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E6F61844-FB03-4C00-8104-A9D40F1EBCB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8.0.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94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1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4" i="12"/>
  <c r="D83" i="12"/>
  <c r="D90" i="12"/>
  <c r="D93" i="12"/>
  <c r="D5" i="12"/>
  <c r="D9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1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5" i="12"/>
  <c r="D89" i="12"/>
  <c r="D29" i="12"/>
  <c r="D25" i="12"/>
  <c r="D74" i="12"/>
  <c r="D78" i="12"/>
  <c r="D82" i="12"/>
  <c r="D86" i="12"/>
  <c r="D2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87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<sst xmlns="http://schemas.openxmlformats.org/spreadsheetml/2006/main" count="2380" uniqueCount="77">
  <si>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</si>
  <si>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</si>
  <si>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</si>
  <si>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</si>
  <si>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</si>
  <si>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</si>
  <si>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</si>
  <si>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</si>
  <si>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</si>
  <si>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</si>
  <si>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</si>
  <si>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</si>
  <si>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</si>
  <si>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</si>
  <si>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</si>
  <si>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</si>
  <si>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</si>
  <si>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</si>
  <si>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</si>
  <si>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</si>
  <si>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</si>
  <si>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</si>
  <si>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</si>
  <si>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</si>
  <si>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</si>
  <si>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</si>
  <si>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</si>
  <si>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</si>
  <si>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</si>
  <si>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</si>
  <si>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</si>
  <si>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</si>
  <si>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</si>
  <si>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</si>
  <si>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</si>
  <si>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</si>
  <si>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</si>
  <si>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</si>
  <si>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</si>
  <si>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</si>
  <si>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</si>
  <si>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</si>
  <si>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</si>
  <si>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</si>
  <si>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</si>
  <si>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</si>
  <si>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</si>
  <si>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</si>
  <si>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</si>
  <si>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</si>
  <si>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</si>
  <si>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</si>
  <si>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</si>
  <si>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</si>
  <si>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</si>
  <si>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</si>
  <si>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</si>
  <si>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</si>
  <si>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</si>
  <si>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</si>
  <si>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</si>
  <si>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</si>
  <si>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</si>
  <si>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</si>
  <si>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</si>
  <si>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</si>
  <si>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</si>
  <si>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</si>
  <si>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</si>
  <si>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</si>
  <si>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</si>
  <si>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</si>
  <si>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</si>
  <si>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</si>
  <si>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version 8.0.0</t>
  </si>
  <si>
    <t>2级</t>
    <phoneticPr fontId="7" type="noConversion"/>
  </si>
  <si>
    <t>是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</si>
</sst>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lightGrid">
        <fgColor theme="4" tint="-0.24994659260841701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3" fillId="0" borderId="0" xfId="0" applyFont="1" applyFill="1" applyBorder="1"/>
    <xf numFmtId="0" fontId="3" fillId="3" borderId="0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3" fillId="3" borderId="0" xfId="0" applyFont="1" applyFill="1"/>
    <xf numFmtId="0" fontId="3" fillId="0" borderId="0" xfId="0" applyFont="1"/>
    <xf numFmtId="0" fontId="6" fillId="0" borderId="0" xfId="0" applyFont="1"/>
    <xf numFmtId="0" fontId="2" fillId="9" borderId="13" xfId="0" applyFont="1" applyFill="1" applyBorder="1"/>
    <xf numFmtId="0" fontId="2" fillId="14" borderId="13" xfId="0" applyFont="1" applyFill="1" applyBorder="1"/>
    <xf numFmtId="0" fontId="2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2" fillId="10" borderId="15" xfId="0" applyFont="1" applyFill="1" applyBorder="1" applyAlignment="1">
      <alignment wrapText="1"/>
    </xf>
    <xf numFmtId="0" fontId="2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2" fillId="18" borderId="13" xfId="0" applyFont="1" applyFill="1" applyBorder="1"/>
    <xf numFmtId="0" fontId="0" fillId="0" borderId="13" xfId="0" applyFill="1" applyBorder="1"/>
    <xf numFmtId="0" fontId="0" fillId="11" borderId="4" xfId="0" applyFill="1" applyBorder="1"/>
    <xf numFmtId="0" fontId="2" fillId="19" borderId="13" xfId="0" applyFont="1" applyFill="1" applyBorder="1"/>
    <xf numFmtId="0" fontId="2" fillId="20" borderId="13" xfId="0" applyFont="1" applyFill="1" applyBorder="1"/>
    <xf numFmtId="0" fontId="2" fillId="21" borderId="13" xfId="0" applyFont="1" applyFill="1" applyBorder="1"/>
    <xf numFmtId="0" fontId="2" fillId="5" borderId="13" xfId="0" applyFont="1" applyFill="1" applyBorder="1"/>
    <xf numFmtId="0" fontId="2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8" fillId="0" borderId="0" xfId="0" applyFont="1"/>
    <xf numFmtId="0" fontId="8" fillId="11" borderId="10" xfId="0" applyFont="1" applyFill="1" applyBorder="1"/>
    <xf numFmtId="0" fontId="8" fillId="11" borderId="11" xfId="0" applyFont="1" applyFill="1" applyBorder="1"/>
    <xf numFmtId="0" fontId="9" fillId="22" borderId="14" xfId="0" applyFont="1" applyFill="1" applyBorder="1" applyAlignment="1">
      <alignment horizontal="center" wrapText="1"/>
    </xf>
    <xf numFmtId="0" fontId="9" fillId="22" borderId="14" xfId="0" applyFont="1" applyFill="1" applyBorder="1" applyAlignment="1">
      <alignment wrapText="1"/>
    </xf>
    <xf numFmtId="0" fontId="9" fillId="22" borderId="15" xfId="0" applyFont="1" applyFill="1" applyBorder="1" applyAlignment="1">
      <alignment wrapText="1"/>
    </xf>
    <xf numFmtId="0" fontId="10" fillId="15" borderId="15" xfId="0" applyFont="1" applyFill="1" applyBorder="1" applyAlignment="1">
      <alignment horizontal="center"/>
    </xf>
    <xf numFmtId="0" fontId="11" fillId="0" borderId="0" xfId="0" applyFont="1"/>
    <xf numFmtId="0" fontId="0" fillId="23" borderId="0" xfId="0" applyFill="1" applyAlignment="1">
      <alignment wrapText="1"/>
    </xf>
    <xf numFmtId="14" fontId="11" fillId="0" borderId="0" xfId="0" applyNumberFormat="1" applyFont="1" applyFill="1"/>
    <xf numFmtId="0" fontId="11" fillId="3" borderId="0" xfId="0" applyFont="1" applyFill="1"/>
    <xf numFmtId="0" fontId="11" fillId="8" borderId="13" xfId="0" applyFont="1" applyFill="1" applyBorder="1" applyAlignment="1">
      <alignment vertical="top"/>
    </xf>
    <xf numFmtId="0" fontId="11" fillId="0" borderId="13" xfId="0" applyFont="1" applyBorder="1"/>
    <xf numFmtId="0" fontId="11" fillId="0" borderId="0" xfId="0" applyFont="1" applyBorder="1"/>
    <xf numFmtId="0" fontId="11" fillId="13" borderId="13" xfId="0" applyFont="1" applyFill="1" applyBorder="1" applyAlignment="1">
      <alignment vertical="top"/>
    </xf>
    <xf numFmtId="0" fontId="11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2" fillId="12" borderId="5" xfId="0" applyFont="1" applyFill="1" applyBorder="1"/>
    <xf numFmtId="0" fontId="9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6" fillId="3" borderId="0" xfId="0" applyFont="1" applyFill="1"/>
    <xf numFmtId="0" fontId="9" fillId="25" borderId="13" xfId="0" applyFont="1" applyFill="1" applyBorder="1"/>
    <xf numFmtId="0" fontId="12" fillId="0" borderId="15" xfId="0" applyFont="1" applyBorder="1"/>
    <xf numFmtId="0" fontId="12" fillId="0" borderId="0" xfId="0" applyFont="1"/>
    <xf numFmtId="0" fontId="13" fillId="17" borderId="13" xfId="0" applyFont="1" applyFill="1" applyBorder="1" applyAlignment="1">
      <alignment vertical="top"/>
    </xf>
    <xf numFmtId="0" fontId="12" fillId="0" borderId="17" xfId="0" applyFont="1" applyBorder="1"/>
    <xf numFmtId="0" fontId="13" fillId="8" borderId="13" xfId="0" applyFont="1" applyFill="1" applyBorder="1" applyAlignment="1">
      <alignment vertical="top"/>
    </xf>
    <xf numFmtId="0" fontId="13" fillId="13" borderId="13" xfId="0" applyFont="1" applyFill="1" applyBorder="1" applyAlignment="1">
      <alignment vertical="top"/>
    </xf>
    <xf numFmtId="0" fontId="13" fillId="10" borderId="13" xfId="0" applyFont="1" applyFill="1" applyBorder="1" applyAlignment="1">
      <alignment vertical="top"/>
    </xf>
    <xf numFmtId="0" fontId="13" fillId="16" borderId="13" xfId="0" applyFont="1" applyFill="1" applyBorder="1" applyAlignment="1">
      <alignment vertical="top"/>
    </xf>
    <xf numFmtId="0" fontId="13" fillId="2" borderId="13" xfId="0" applyFont="1" applyFill="1" applyBorder="1" applyAlignment="1">
      <alignment vertical="top"/>
    </xf>
    <xf numFmtId="0" fontId="1" fillId="0" borderId="0" xfId="0" applyFont="1"/>
    <xf numFmtId="0" fontId="1" fillId="7" borderId="12" xfId="0" applyFont="1" applyFill="1" applyBorder="1" applyAlignment="1">
      <alignment wrapText="1"/>
    </xf>
    <xf numFmtId="0" fontId="0" fillId="8" borderId="13" xfId="0" applyFill="1" applyBorder="1" applyAlignment="1">
      <alignment vertical="top"/>
    </xf>
    <xf numFmtId="0" fontId="9" fillId="26" borderId="13" xfId="0" applyFont="1" applyFill="1" applyBorder="1"/>
    <xf numFmtId="0" fontId="0" fillId="27" borderId="13" xfId="0" applyFill="1" applyBorder="1" applyAlignment="1">
      <alignment vertical="top"/>
    </xf>
    <xf numFmtId="0" fontId="9" fillId="28" borderId="13" xfId="0" applyFont="1" applyFill="1" applyBorder="1"/>
    <xf numFmtId="0" fontId="0" fillId="22" borderId="13" xfId="0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0" fillId="29" borderId="13" xfId="0" applyFill="1" applyBorder="1" applyAlignment="1">
      <alignment vertical="top"/>
    </xf>
    <xf numFmtId="0" fontId="9" fillId="29" borderId="13" xfId="0" applyFont="1" applyFill="1" applyBorder="1" applyAlignment="1">
      <alignment vertical="top"/>
    </xf>
    <xf numFmtId="0" fontId="13" fillId="29" borderId="13" xfId="0" applyFont="1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9" fillId="19" borderId="13" xfId="0" applyFont="1" applyFill="1" applyBorder="1"/>
    <xf numFmtId="0" fontId="0" fillId="24" borderId="13" xfId="0" applyFill="1" applyBorder="1" applyAlignment="1">
      <alignment vertical="top"/>
    </xf>
    <xf numFmtId="0" fontId="9" fillId="20" borderId="13" xfId="0" applyFont="1" applyFill="1" applyBorder="1"/>
    <xf numFmtId="0" fontId="13" fillId="24" borderId="13" xfId="0" applyFont="1" applyFill="1" applyBorder="1" applyAlignment="1">
      <alignment vertical="top"/>
    </xf>
    <xf numFmtId="0" fontId="13" fillId="27" borderId="13" xfId="0" applyFont="1" applyFill="1" applyBorder="1" applyAlignment="1">
      <alignment vertical="top"/>
    </xf>
    <xf numFmtId="0" fontId="2" fillId="19" borderId="2" xfId="0" applyFont="1" applyFill="1" applyBorder="1" applyAlignment="1"/>
    <xf numFmtId="0" fontId="2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2" fillId="11" borderId="2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2" fillId="22" borderId="13" xfId="0" applyFont="1" applyFill="1" applyBorder="1" applyAlignment="1">
      <alignment vertical="top"/>
    </xf>
    <xf numFmtId="0" fontId="14" fillId="27" borderId="13" xfId="0" applyFont="1" applyFill="1" applyBorder="1" applyAlignment="1">
      <alignment vertical="top"/>
    </xf>
    <xf numFmtId="0" fontId="3" fillId="30" borderId="0" xfId="0" applyFont="1" applyFill="1"/>
    <xf numFmtId="0" fontId="11" fillId="30" borderId="0" xfId="0" applyFont="1" applyFill="1"/>
    <xf numFmtId="14" fontId="11" fillId="31" borderId="0" xfId="0" applyNumberFormat="1" applyFont="1" applyFill="1"/>
    <xf numFmtId="14" fontId="6" fillId="31" borderId="0" xfId="0" applyNumberFormat="1" applyFont="1" applyFill="1"/>
    <xf numFmtId="14" fontId="14" fillId="0" borderId="0" xfId="0" applyNumberFormat="1" applyFont="1" applyFill="1"/>
    <xf numFmtId="0" fontId="14" fillId="22" borderId="13" xfId="0" applyFont="1" applyFill="1" applyBorder="1" applyAlignment="1">
      <alignment vertical="top"/>
    </xf>
    <xf numFmtId="0" fontId="14" fillId="29" borderId="13" xfId="0" applyFont="1" applyFill="1" applyBorder="1" applyAlignment="1">
      <alignment vertical="top"/>
    </xf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Normal="100" workbookViewId="0">
      <pane xSplit="8" ySplit="3" topLeftCell="I37" activePane="bottomRight" state="frozen"/>
      <selection pane="topRight" activeCell="I1" sqref="I1"/>
      <selection pane="bottomLeft" activeCell="A4" sqref="A4"/>
      <selection pane="bottomRight" activeCell="N9" sqref="N9"/>
    </sheetView>
  </sheetViews>
  <sheetFormatPr defaultColWidth="9" defaultRowHeight="15"/>
  <cols>
    <col min="1" max="1" width="11.85546875" customWidth="1"/>
    <col min="2" max="2" width="9" customWidth="1"/>
    <col min="3" max="3" width="7.42578125" customWidth="1"/>
    <col min="4" max="4" width="5.5703125" customWidth="1"/>
    <col min="5" max="5" width="6.42578125" customWidth="1"/>
    <col min="6" max="6" width="5.5703125" customWidth="1"/>
    <col min="7" max="7" width="6.42578125" customWidth="1"/>
    <col min="8" max="8" width="5.42578125" customWidth="1"/>
    <col min="9" max="15" width="7.42578125" customWidth="1"/>
    <col min="16" max="16" width="7.140625" customWidth="1"/>
    <col min="17" max="32" width="7.42578125" customWidth="1"/>
    <col min="33" max="37" width="5.140625" customWidth="1"/>
  </cols>
  <sheetData>
    <row r="1" spans="1:53" ht="28.15" customHeight="1" thickBot="1">
      <c r="A1" s="127">
        <f ca="1">(_xlfn.DAYS(TODAY(),A4)+2)/((_xlfn.DAYS(A94,A4))+1)</f>
        <v>5.4945054945054944E-2</v>
      </c>
      <c r="B1" s="128"/>
      <c r="C1" s="128"/>
      <c r="D1" s="128"/>
      <c r="E1" s="128"/>
      <c r="F1" s="128"/>
      <c r="G1" s="128"/>
      <c r="H1" s="129"/>
      <c r="I1" s="130" t="s">
        <v>0</v>
      </c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2"/>
      <c r="AH1" s="23"/>
      <c r="AI1" s="23"/>
      <c r="AJ1" s="23"/>
      <c r="AM1" s="125" t="s">
        <v>1</v>
      </c>
      <c r="AN1" s="125"/>
      <c r="AO1" s="125"/>
      <c r="AP1" s="66"/>
    </row>
    <row r="2" spans="1:53" ht="16.149999999999999" customHeight="1" thickBot="1">
      <c r="A2" s="87" t="s">
        <v>74</v>
      </c>
      <c r="B2" s="74" t="s">
        <v>70</v>
      </c>
      <c r="C2" s="75">
        <f>SUM(亏损!A4:X94)+SUM(AG4:AG14)*10</f>
        <v>29663.76831619738</v>
      </c>
      <c r="D2" s="133" t="s">
        <v>2</v>
      </c>
      <c r="E2" s="134"/>
      <c r="F2" s="135">
        <f>SUM(F4:F94)+SUM(H4:H94)</f>
        <v>65160</v>
      </c>
      <c r="G2" s="135"/>
      <c r="H2" s="136"/>
      <c r="I2" s="137" t="s">
        <v>3</v>
      </c>
      <c r="J2" s="138"/>
      <c r="K2" s="109" t="s">
        <v>4</v>
      </c>
      <c r="L2" s="109">
        <f>COUNTIF(I4:P94,"&lt;&gt;空")</f>
        <v>538</v>
      </c>
      <c r="M2" s="138" t="s">
        <v>5</v>
      </c>
      <c r="N2" s="138"/>
      <c r="O2" s="138"/>
      <c r="P2" s="139"/>
      <c r="Q2" s="140" t="s">
        <v>6</v>
      </c>
      <c r="R2" s="141"/>
      <c r="S2" s="110" t="s">
        <v>4</v>
      </c>
      <c r="T2" s="110">
        <f>COUNTIF(Q4:X94,"&lt;&gt;空")</f>
        <v>71</v>
      </c>
      <c r="U2" s="141" t="s">
        <v>5</v>
      </c>
      <c r="V2" s="141"/>
      <c r="W2" s="141"/>
      <c r="X2" s="142"/>
      <c r="Y2" s="143" t="s">
        <v>7</v>
      </c>
      <c r="Z2" s="144"/>
      <c r="AA2" s="104" t="s">
        <v>8</v>
      </c>
      <c r="AB2" s="105">
        <f>COUNTIF(Y4:AF94,"&lt;&gt;空")</f>
        <v>468</v>
      </c>
      <c r="AC2" s="144" t="s">
        <v>5</v>
      </c>
      <c r="AD2" s="144"/>
      <c r="AE2" s="144"/>
      <c r="AF2" s="145"/>
      <c r="AG2" s="53">
        <f>SUM(AG4:AG94)</f>
        <v>21</v>
      </c>
      <c r="AH2" s="53">
        <f t="shared" ref="AH2" si="0">SUM(AH4:AH94)</f>
        <v>11</v>
      </c>
      <c r="AI2" s="53">
        <f>SUM(AI4:AI94)</f>
        <v>2</v>
      </c>
      <c r="AJ2" s="22">
        <f t="shared" ref="AJ2" si="1">SUM(AJ4:AJ94)</f>
        <v>8</v>
      </c>
      <c r="AK2" s="122" t="s">
        <v>9</v>
      </c>
      <c r="AM2" s="126"/>
      <c r="AN2" s="126"/>
      <c r="AO2" s="126"/>
      <c r="AP2" s="71"/>
      <c r="AS2" t="s">
        <v>28</v>
      </c>
      <c r="AT2">
        <f>SUM(AT4:AT29)</f>
        <v>1077</v>
      </c>
      <c r="AV2" t="s">
        <v>60</v>
      </c>
      <c r="AW2" s="46">
        <f>SUM(AU4:AW29)+7000</f>
        <v>65160</v>
      </c>
      <c r="AX2" s="39"/>
      <c r="AY2" s="47" t="s">
        <v>10</v>
      </c>
    </row>
    <row r="3" spans="1:53" ht="31.5" customHeight="1" thickBot="1">
      <c r="A3" s="14" t="s">
        <v>11</v>
      </c>
      <c r="B3" s="15" t="s">
        <v>12</v>
      </c>
      <c r="C3" s="58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88" t="s">
        <v>17</v>
      </c>
      <c r="I3" s="32">
        <v>1</v>
      </c>
      <c r="J3" s="44">
        <v>2</v>
      </c>
      <c r="K3" s="44">
        <v>3</v>
      </c>
      <c r="L3" s="44">
        <v>4</v>
      </c>
      <c r="M3" s="44">
        <v>5</v>
      </c>
      <c r="N3" s="44">
        <v>6</v>
      </c>
      <c r="O3" s="44">
        <v>7</v>
      </c>
      <c r="P3" s="44">
        <v>8</v>
      </c>
      <c r="Q3" s="111">
        <v>1</v>
      </c>
      <c r="R3" s="112">
        <v>2</v>
      </c>
      <c r="S3" s="112">
        <v>3</v>
      </c>
      <c r="T3" s="112">
        <v>4</v>
      </c>
      <c r="U3" s="112">
        <v>5</v>
      </c>
      <c r="V3" s="112">
        <v>6</v>
      </c>
      <c r="W3" s="112">
        <v>7</v>
      </c>
      <c r="X3" s="112">
        <v>8</v>
      </c>
      <c r="Y3" s="106">
        <v>1</v>
      </c>
      <c r="Z3" s="107">
        <v>2</v>
      </c>
      <c r="AA3" s="107">
        <v>3</v>
      </c>
      <c r="AB3" s="107">
        <v>4</v>
      </c>
      <c r="AC3" s="107">
        <v>5</v>
      </c>
      <c r="AD3" s="107">
        <v>6</v>
      </c>
      <c r="AE3" s="107">
        <v>7</v>
      </c>
      <c r="AF3" s="108">
        <v>8</v>
      </c>
      <c r="AG3" s="54" t="s">
        <v>18</v>
      </c>
      <c r="AH3" s="55" t="s">
        <v>19</v>
      </c>
      <c r="AI3" s="55" t="s">
        <v>20</v>
      </c>
      <c r="AJ3" s="24" t="s">
        <v>21</v>
      </c>
      <c r="AK3" s="123"/>
      <c r="AL3" s="25"/>
      <c r="AM3" s="26" t="s">
        <v>22</v>
      </c>
      <c r="AN3" s="26" t="s">
        <v>23</v>
      </c>
      <c r="AO3" s="26" t="s">
        <v>24</v>
      </c>
      <c r="AP3" s="26" t="s">
        <v>69</v>
      </c>
      <c r="AQ3" s="40" t="s">
        <v>25</v>
      </c>
      <c r="AR3" s="41" t="s">
        <v>26</v>
      </c>
      <c r="AS3" s="42" t="s">
        <v>27</v>
      </c>
      <c r="AT3" s="43" t="s">
        <v>28</v>
      </c>
      <c r="AU3" s="40" t="s">
        <v>29</v>
      </c>
      <c r="AV3" s="41" t="s">
        <v>30</v>
      </c>
      <c r="AW3" s="42" t="s">
        <v>31</v>
      </c>
      <c r="AX3" s="44" t="s">
        <v>32</v>
      </c>
      <c r="AY3" s="48">
        <v>1</v>
      </c>
    </row>
    <row r="4" spans="1:53" s="50" customFormat="1" ht="15.75" thickBot="1">
      <c r="A4" s="117">
        <v>44729</v>
      </c>
      <c r="B4" s="60">
        <v>800</v>
      </c>
      <c r="C4" s="60">
        <v>6000</v>
      </c>
      <c r="D4" s="60">
        <f>(SUM(粮草!A4:X4)+AG4*10)*IF(AK4="是",$AY$4,$AY$3)</f>
        <v>2770</v>
      </c>
      <c r="E4" s="76">
        <f>SUM($B$4:B4)+SUM($C$4:C4)-SUM($D$4:D4)</f>
        <v>4030</v>
      </c>
      <c r="F4" s="60">
        <f>SUM(经验!A4:X4)</f>
        <v>1240</v>
      </c>
      <c r="G4" s="60">
        <f>SUM($F$4:F4)+SUM($H$4:H4)</f>
        <v>1740</v>
      </c>
      <c r="H4" s="60">
        <v>500</v>
      </c>
      <c r="I4" s="89" t="s">
        <v>33</v>
      </c>
      <c r="J4" s="89" t="s">
        <v>33</v>
      </c>
      <c r="K4" s="89" t="s">
        <v>33</v>
      </c>
      <c r="L4" s="89" t="s">
        <v>33</v>
      </c>
      <c r="M4" s="89" t="s">
        <v>33</v>
      </c>
      <c r="N4" s="89" t="s">
        <v>33</v>
      </c>
      <c r="O4" s="72" t="s">
        <v>34</v>
      </c>
      <c r="P4" s="72" t="s">
        <v>34</v>
      </c>
      <c r="Q4" s="90" t="s">
        <v>39</v>
      </c>
      <c r="R4" s="91" t="s">
        <v>37</v>
      </c>
      <c r="S4" s="91" t="s">
        <v>37</v>
      </c>
      <c r="T4" s="91" t="s">
        <v>37</v>
      </c>
      <c r="U4" s="91" t="s">
        <v>37</v>
      </c>
      <c r="V4" s="91" t="s">
        <v>37</v>
      </c>
      <c r="W4" s="72" t="s">
        <v>34</v>
      </c>
      <c r="X4" s="91" t="s">
        <v>37</v>
      </c>
      <c r="Y4" s="91" t="s">
        <v>37</v>
      </c>
      <c r="Z4" s="92" t="s">
        <v>46</v>
      </c>
      <c r="AA4" s="91" t="s">
        <v>37</v>
      </c>
      <c r="AB4" s="77" t="s">
        <v>71</v>
      </c>
      <c r="AC4" s="91" t="s">
        <v>37</v>
      </c>
      <c r="AD4" s="91" t="s">
        <v>37</v>
      </c>
      <c r="AE4" s="91" t="s">
        <v>37</v>
      </c>
      <c r="AF4" s="91" t="s">
        <v>37</v>
      </c>
      <c r="AG4" s="56">
        <f>AH4+AI4+AJ4</f>
        <v>0</v>
      </c>
      <c r="AH4" s="56"/>
      <c r="AI4" s="56"/>
      <c r="AJ4" s="56"/>
      <c r="AK4" s="78" t="s">
        <v>35</v>
      </c>
      <c r="AM4" s="61" t="s">
        <v>33</v>
      </c>
      <c r="AN4" s="62">
        <v>150</v>
      </c>
      <c r="AO4" s="62">
        <v>35</v>
      </c>
      <c r="AP4" s="62">
        <v>44.222109392472248</v>
      </c>
      <c r="AQ4" s="62">
        <f>COUNTIF($I$4:$P$94,AM4)</f>
        <v>6</v>
      </c>
      <c r="AR4" s="62">
        <f>COUNTIF($Q$4:$X$94,AM4)</f>
        <v>5</v>
      </c>
      <c r="AS4" s="62">
        <f>COUNTIF($Y$4:$AF$94,AM4)</f>
        <v>0</v>
      </c>
      <c r="AT4" s="62">
        <f>AQ4+AR4+AS4</f>
        <v>11</v>
      </c>
      <c r="AU4" s="63">
        <f>AQ4*$AO4</f>
        <v>210</v>
      </c>
      <c r="AV4" s="63">
        <f t="shared" ref="AV4:AW19" si="2">AR4*$AO4</f>
        <v>175</v>
      </c>
      <c r="AW4" s="63">
        <f t="shared" si="2"/>
        <v>0</v>
      </c>
      <c r="AX4" s="51" t="s">
        <v>36</v>
      </c>
      <c r="AY4" s="52">
        <v>0.8</v>
      </c>
      <c r="BA4" s="57">
        <f>AN4*0.8</f>
        <v>120</v>
      </c>
    </row>
    <row r="5" spans="1:53" s="50" customFormat="1">
      <c r="A5" s="117">
        <v>44730</v>
      </c>
      <c r="B5" s="60">
        <v>1600</v>
      </c>
      <c r="C5" s="60"/>
      <c r="D5" s="116">
        <f>(SUM(粮草!A5:X5)+AG5*10)*IF(AK5="是",$AY$4,$AY$3)-50</f>
        <v>2000</v>
      </c>
      <c r="E5" s="76">
        <f>SUM($B$4:B5)+SUM($C$4:C5)-SUM($D$4:D5)</f>
        <v>3630</v>
      </c>
      <c r="F5" s="60">
        <f>SUM(经验!A5:X5)</f>
        <v>675</v>
      </c>
      <c r="G5" s="60">
        <f>SUM($F$4:F5)+SUM($H$4:H5)</f>
        <v>2415</v>
      </c>
      <c r="H5" s="60">
        <v>0</v>
      </c>
      <c r="I5" s="93" t="s">
        <v>40</v>
      </c>
      <c r="J5" s="93" t="s">
        <v>40</v>
      </c>
      <c r="K5" s="90" t="s">
        <v>39</v>
      </c>
      <c r="L5" s="93" t="s">
        <v>40</v>
      </c>
      <c r="M5" s="93" t="s">
        <v>40</v>
      </c>
      <c r="N5" s="93" t="s">
        <v>40</v>
      </c>
      <c r="O5" s="72" t="s">
        <v>34</v>
      </c>
      <c r="P5" s="72" t="s">
        <v>34</v>
      </c>
      <c r="Q5" s="79" t="s">
        <v>34</v>
      </c>
      <c r="R5" s="79" t="s">
        <v>34</v>
      </c>
      <c r="S5" s="79" t="s">
        <v>34</v>
      </c>
      <c r="T5" s="79" t="s">
        <v>34</v>
      </c>
      <c r="U5" s="79" t="s">
        <v>34</v>
      </c>
      <c r="V5" s="79" t="s">
        <v>34</v>
      </c>
      <c r="W5" s="72" t="s">
        <v>34</v>
      </c>
      <c r="X5" s="72" t="s">
        <v>34</v>
      </c>
      <c r="Y5" s="91" t="s">
        <v>75</v>
      </c>
      <c r="Z5" s="93" t="s">
        <v>40</v>
      </c>
      <c r="AA5" s="93" t="s">
        <v>40</v>
      </c>
      <c r="AB5" s="93" t="s">
        <v>40</v>
      </c>
      <c r="AC5" s="73" t="s">
        <v>72</v>
      </c>
      <c r="AD5" s="93" t="s">
        <v>40</v>
      </c>
      <c r="AE5" s="72" t="s">
        <v>34</v>
      </c>
      <c r="AF5" s="72" t="s">
        <v>34</v>
      </c>
      <c r="AG5" s="56">
        <f t="shared" ref="AG5:AG68" si="3">AH5+AI5+AJ5</f>
        <v>6</v>
      </c>
      <c r="AH5" s="56">
        <v>1</v>
      </c>
      <c r="AI5" s="56"/>
      <c r="AJ5" s="56">
        <v>5</v>
      </c>
      <c r="AK5" s="78" t="s">
        <v>35</v>
      </c>
      <c r="AM5" s="64" t="s">
        <v>37</v>
      </c>
      <c r="AN5" s="62">
        <v>160</v>
      </c>
      <c r="AO5" s="62">
        <v>40</v>
      </c>
      <c r="AP5" s="62">
        <v>39.110982162825422</v>
      </c>
      <c r="AQ5" s="62">
        <f t="shared" ref="AQ5:AQ26" si="4">COUNTIF($I$4:$P$94,AM5)</f>
        <v>0</v>
      </c>
      <c r="AR5" s="62">
        <f t="shared" ref="AR5:AR26" si="5">COUNTIF($Q$4:$X$94,AM5)</f>
        <v>48</v>
      </c>
      <c r="AS5" s="62">
        <f t="shared" ref="AS5:AS26" si="6">COUNTIF($Y$4:$AF$94,AM5)</f>
        <v>7</v>
      </c>
      <c r="AT5" s="62">
        <f t="shared" ref="AT5:AT26" si="7">AQ5+AR5+AS5</f>
        <v>55</v>
      </c>
      <c r="AU5" s="63">
        <f t="shared" ref="AU5:AW28" si="8">AQ5*$AO5</f>
        <v>0</v>
      </c>
      <c r="AV5" s="63">
        <f t="shared" si="2"/>
        <v>1920</v>
      </c>
      <c r="AW5" s="63">
        <f t="shared" si="2"/>
        <v>280</v>
      </c>
      <c r="AX5" s="124" t="s">
        <v>38</v>
      </c>
      <c r="AY5" s="124"/>
      <c r="BA5" s="57">
        <f t="shared" ref="BA5:BA29" si="9">AN5*0.8</f>
        <v>128</v>
      </c>
    </row>
    <row r="6" spans="1:53" s="50" customFormat="1">
      <c r="A6" s="117">
        <v>44731</v>
      </c>
      <c r="B6" s="60">
        <v>1600</v>
      </c>
      <c r="C6" s="60"/>
      <c r="D6" s="60">
        <f>(SUM(粮草!A6:X6)+AG6*10)*IF(AK6="是",$AY$4,$AY$3)</f>
        <v>2060</v>
      </c>
      <c r="E6" s="76">
        <f>SUM($B$4:B6)+SUM($C$4:C6)-SUM($D$4:D6)</f>
        <v>3170</v>
      </c>
      <c r="F6" s="60">
        <f>SUM(经验!A6:X6)</f>
        <v>585</v>
      </c>
      <c r="G6" s="60">
        <f>SUM($F$4:F6)+SUM($H$4:H6)</f>
        <v>3000</v>
      </c>
      <c r="H6" s="60">
        <v>0</v>
      </c>
      <c r="I6" s="73" t="s">
        <v>73</v>
      </c>
      <c r="J6" s="93" t="s">
        <v>40</v>
      </c>
      <c r="K6" s="93" t="s">
        <v>40</v>
      </c>
      <c r="L6" s="93" t="s">
        <v>40</v>
      </c>
      <c r="M6" s="93" t="s">
        <v>40</v>
      </c>
      <c r="N6" s="93" t="s">
        <v>40</v>
      </c>
      <c r="O6" s="72" t="s">
        <v>34</v>
      </c>
      <c r="P6" s="72" t="s">
        <v>34</v>
      </c>
      <c r="Q6" s="79" t="s">
        <v>34</v>
      </c>
      <c r="R6" s="79" t="s">
        <v>34</v>
      </c>
      <c r="S6" s="79" t="s">
        <v>34</v>
      </c>
      <c r="T6" s="79" t="s">
        <v>34</v>
      </c>
      <c r="U6" s="79" t="s">
        <v>34</v>
      </c>
      <c r="V6" s="79" t="s">
        <v>34</v>
      </c>
      <c r="W6" s="72" t="s">
        <v>34</v>
      </c>
      <c r="X6" s="72" t="s">
        <v>34</v>
      </c>
      <c r="Y6" s="93" t="s">
        <v>40</v>
      </c>
      <c r="Z6" s="93" t="s">
        <v>40</v>
      </c>
      <c r="AA6" s="92" t="s">
        <v>46</v>
      </c>
      <c r="AB6" s="93" t="s">
        <v>40</v>
      </c>
      <c r="AC6" s="93" t="s">
        <v>40</v>
      </c>
      <c r="AD6" s="93" t="s">
        <v>40</v>
      </c>
      <c r="AE6" s="73" t="s">
        <v>73</v>
      </c>
      <c r="AF6" s="93" t="s">
        <v>40</v>
      </c>
      <c r="AG6" s="56">
        <f t="shared" si="3"/>
        <v>0</v>
      </c>
      <c r="AH6" s="56"/>
      <c r="AI6" s="56"/>
      <c r="AJ6" s="56"/>
      <c r="AK6" s="78" t="s">
        <v>35</v>
      </c>
      <c r="AM6" s="65" t="s">
        <v>40</v>
      </c>
      <c r="AN6" s="62">
        <v>170</v>
      </c>
      <c r="AO6" s="62">
        <v>45</v>
      </c>
      <c r="AP6" s="62">
        <v>34</v>
      </c>
      <c r="AQ6" s="62">
        <f t="shared" si="4"/>
        <v>28</v>
      </c>
      <c r="AR6" s="62">
        <f t="shared" si="5"/>
        <v>0</v>
      </c>
      <c r="AS6" s="62">
        <f t="shared" si="6"/>
        <v>205</v>
      </c>
      <c r="AT6" s="62">
        <f t="shared" si="7"/>
        <v>233</v>
      </c>
      <c r="AU6" s="63">
        <f t="shared" si="8"/>
        <v>1260</v>
      </c>
      <c r="AV6" s="63">
        <f t="shared" si="2"/>
        <v>0</v>
      </c>
      <c r="AW6" s="63">
        <f t="shared" si="2"/>
        <v>9225</v>
      </c>
      <c r="AX6" s="125"/>
      <c r="AY6" s="125"/>
      <c r="BA6" s="57">
        <f t="shared" si="9"/>
        <v>136</v>
      </c>
    </row>
    <row r="7" spans="1:53">
      <c r="A7" s="117">
        <v>44732</v>
      </c>
      <c r="B7" s="18">
        <v>1600</v>
      </c>
      <c r="C7" s="18"/>
      <c r="D7" s="17">
        <f>(SUM(粮草!A7:X7)+AG7*10)*IF(AK7="是",$AY$4,$AY$3)</f>
        <v>2040</v>
      </c>
      <c r="E7" s="76">
        <f>SUM($B$4:B7)+SUM($C$4:C7)-SUM($D$4:D7)</f>
        <v>2730</v>
      </c>
      <c r="F7" s="17">
        <f>SUM(经验!A7:X7)</f>
        <v>540</v>
      </c>
      <c r="G7" s="17">
        <f>SUM($F$4:F7)+SUM($H$4:H7)</f>
        <v>3740</v>
      </c>
      <c r="H7" s="18">
        <v>200</v>
      </c>
      <c r="I7" s="93" t="s">
        <v>40</v>
      </c>
      <c r="J7" s="93" t="s">
        <v>40</v>
      </c>
      <c r="K7" s="73" t="s">
        <v>73</v>
      </c>
      <c r="L7" s="93" t="s">
        <v>40</v>
      </c>
      <c r="M7" s="93" t="s">
        <v>40</v>
      </c>
      <c r="N7" s="93" t="s">
        <v>40</v>
      </c>
      <c r="O7" s="72" t="s">
        <v>34</v>
      </c>
      <c r="P7" s="72" t="s">
        <v>34</v>
      </c>
      <c r="Q7" s="79" t="s">
        <v>34</v>
      </c>
      <c r="R7" s="79" t="s">
        <v>34</v>
      </c>
      <c r="S7" s="79" t="s">
        <v>34</v>
      </c>
      <c r="T7" s="79" t="s">
        <v>34</v>
      </c>
      <c r="U7" s="79" t="s">
        <v>34</v>
      </c>
      <c r="V7" s="79" t="s">
        <v>34</v>
      </c>
      <c r="W7" s="72" t="s">
        <v>34</v>
      </c>
      <c r="X7" s="72" t="s">
        <v>34</v>
      </c>
      <c r="Y7" s="93" t="s">
        <v>40</v>
      </c>
      <c r="Z7" s="93" t="s">
        <v>40</v>
      </c>
      <c r="AA7" s="93" t="s">
        <v>40</v>
      </c>
      <c r="AB7" s="93" t="s">
        <v>40</v>
      </c>
      <c r="AC7" s="93" t="s">
        <v>40</v>
      </c>
      <c r="AD7" s="93" t="s">
        <v>40</v>
      </c>
      <c r="AE7" s="72" t="s">
        <v>34</v>
      </c>
      <c r="AF7" s="72" t="s">
        <v>34</v>
      </c>
      <c r="AG7" s="56">
        <f t="shared" si="3"/>
        <v>0</v>
      </c>
      <c r="AH7" s="56"/>
      <c r="AI7" s="56"/>
      <c r="AJ7" s="56"/>
      <c r="AK7" s="78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 t="shared" si="4"/>
        <v>104</v>
      </c>
      <c r="AR7" s="26">
        <f t="shared" si="5"/>
        <v>0</v>
      </c>
      <c r="AS7" s="26">
        <f t="shared" si="6"/>
        <v>161</v>
      </c>
      <c r="AT7" s="26">
        <f t="shared" si="7"/>
        <v>265</v>
      </c>
      <c r="AU7" s="45">
        <f t="shared" si="8"/>
        <v>5200</v>
      </c>
      <c r="AV7" s="45">
        <f t="shared" si="2"/>
        <v>0</v>
      </c>
      <c r="AW7" s="45">
        <f t="shared" si="2"/>
        <v>8050</v>
      </c>
      <c r="AX7" s="125"/>
      <c r="AY7" s="125"/>
      <c r="BA7">
        <f t="shared" si="9"/>
        <v>144</v>
      </c>
    </row>
    <row r="8" spans="1:53">
      <c r="A8" s="117">
        <v>44733</v>
      </c>
      <c r="B8" s="18">
        <v>1600</v>
      </c>
      <c r="C8" s="18"/>
      <c r="D8" s="17">
        <f>(SUM(粮草!A8:X8)+AG8*10)*IF(AK8="是",$AY$4,$AY$3)</f>
        <v>2200</v>
      </c>
      <c r="E8" s="76">
        <f>SUM($B$4:B8)+SUM($C$4:C8)-SUM($D$4:D8)</f>
        <v>2130</v>
      </c>
      <c r="F8" s="17">
        <f>SUM(经验!A8:X8)</f>
        <v>895</v>
      </c>
      <c r="G8" s="17">
        <f>SUM($F$4:F8)+SUM($H$4:H8)</f>
        <v>4735</v>
      </c>
      <c r="H8" s="18">
        <v>100</v>
      </c>
      <c r="I8" s="93" t="s">
        <v>40</v>
      </c>
      <c r="J8" s="94" t="s">
        <v>47</v>
      </c>
      <c r="K8" s="93" t="s">
        <v>40</v>
      </c>
      <c r="L8" s="73" t="s">
        <v>72</v>
      </c>
      <c r="M8" s="93" t="s">
        <v>40</v>
      </c>
      <c r="N8" s="93" t="s">
        <v>40</v>
      </c>
      <c r="O8" s="92" t="s">
        <v>46</v>
      </c>
      <c r="P8" s="93" t="s">
        <v>40</v>
      </c>
      <c r="Q8" s="79" t="s">
        <v>34</v>
      </c>
      <c r="R8" s="79" t="s">
        <v>34</v>
      </c>
      <c r="S8" s="79" t="s">
        <v>34</v>
      </c>
      <c r="T8" s="79" t="s">
        <v>34</v>
      </c>
      <c r="U8" s="79" t="s">
        <v>34</v>
      </c>
      <c r="V8" s="79" t="s">
        <v>34</v>
      </c>
      <c r="W8" s="72" t="s">
        <v>34</v>
      </c>
      <c r="X8" s="72" t="s">
        <v>34</v>
      </c>
      <c r="Y8" s="73" t="s">
        <v>72</v>
      </c>
      <c r="Z8" s="93" t="s">
        <v>40</v>
      </c>
      <c r="AA8" s="93" t="s">
        <v>40</v>
      </c>
      <c r="AB8" s="93" t="s">
        <v>40</v>
      </c>
      <c r="AC8" s="93" t="s">
        <v>40</v>
      </c>
      <c r="AD8" s="93" t="s">
        <v>40</v>
      </c>
      <c r="AE8" s="72" t="s">
        <v>34</v>
      </c>
      <c r="AF8" s="72" t="s">
        <v>34</v>
      </c>
      <c r="AG8" s="56">
        <f t="shared" si="3"/>
        <v>0</v>
      </c>
      <c r="AH8" s="56"/>
      <c r="AI8" s="56"/>
      <c r="AJ8" s="56"/>
      <c r="AK8" s="78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 t="shared" si="4"/>
        <v>177</v>
      </c>
      <c r="AR8" s="26">
        <f t="shared" si="5"/>
        <v>0</v>
      </c>
      <c r="AS8" s="26">
        <f t="shared" si="6"/>
        <v>57</v>
      </c>
      <c r="AT8" s="26">
        <f t="shared" si="7"/>
        <v>234</v>
      </c>
      <c r="AU8" s="45">
        <f t="shared" si="8"/>
        <v>9735</v>
      </c>
      <c r="AV8" s="45">
        <f t="shared" si="2"/>
        <v>0</v>
      </c>
      <c r="AW8" s="45">
        <f t="shared" si="2"/>
        <v>3135</v>
      </c>
      <c r="AX8" s="125"/>
      <c r="AY8" s="125"/>
      <c r="BA8">
        <f t="shared" si="9"/>
        <v>152</v>
      </c>
    </row>
    <row r="9" spans="1:53">
      <c r="A9" s="117">
        <v>44734</v>
      </c>
      <c r="B9" s="18">
        <v>1600</v>
      </c>
      <c r="C9" s="18"/>
      <c r="D9" s="17">
        <f>(SUM(粮草!A9:X9)+AG9*10)*IF(AK9="是",$AY$4,$AY$3)</f>
        <v>1580</v>
      </c>
      <c r="E9" s="76">
        <f>SUM($B$4:B9)+SUM($C$4:C9)-SUM($D$4:D9)</f>
        <v>2150</v>
      </c>
      <c r="F9" s="17">
        <f>SUM(经验!A9:X9)</f>
        <v>435</v>
      </c>
      <c r="G9" s="17">
        <f>SUM($F$4:F9)+SUM($H$4:H9)</f>
        <v>5370</v>
      </c>
      <c r="H9" s="18">
        <v>200</v>
      </c>
      <c r="I9" s="93" t="s">
        <v>40</v>
      </c>
      <c r="J9" s="93" t="s">
        <v>40</v>
      </c>
      <c r="K9" s="90" t="s">
        <v>39</v>
      </c>
      <c r="L9" s="93" t="s">
        <v>40</v>
      </c>
      <c r="M9" s="93" t="s">
        <v>40</v>
      </c>
      <c r="N9" s="73" t="s">
        <v>73</v>
      </c>
      <c r="O9" s="72" t="s">
        <v>34</v>
      </c>
      <c r="P9" s="72" t="s">
        <v>34</v>
      </c>
      <c r="Q9" s="79" t="s">
        <v>34</v>
      </c>
      <c r="R9" s="79" t="s">
        <v>34</v>
      </c>
      <c r="S9" s="79" t="s">
        <v>34</v>
      </c>
      <c r="T9" s="79" t="s">
        <v>34</v>
      </c>
      <c r="U9" s="79" t="s">
        <v>34</v>
      </c>
      <c r="V9" s="79" t="s">
        <v>34</v>
      </c>
      <c r="W9" s="72" t="s">
        <v>34</v>
      </c>
      <c r="X9" s="72" t="s">
        <v>34</v>
      </c>
      <c r="Y9" s="93" t="s">
        <v>40</v>
      </c>
      <c r="Z9" s="93" t="s">
        <v>40</v>
      </c>
      <c r="AA9" s="93" t="s">
        <v>40</v>
      </c>
      <c r="AB9" s="73" t="s">
        <v>73</v>
      </c>
      <c r="AC9" s="79" t="s">
        <v>34</v>
      </c>
      <c r="AD9" s="79" t="s">
        <v>34</v>
      </c>
      <c r="AE9" s="72" t="s">
        <v>34</v>
      </c>
      <c r="AF9" s="72" t="s">
        <v>34</v>
      </c>
      <c r="AG9" s="56">
        <f t="shared" si="3"/>
        <v>0</v>
      </c>
      <c r="AH9" s="56"/>
      <c r="AI9" s="56"/>
      <c r="AJ9" s="56"/>
      <c r="AK9" s="78" t="s">
        <v>35</v>
      </c>
      <c r="AM9" s="29" t="s">
        <v>44</v>
      </c>
      <c r="AN9" s="26">
        <v>200</v>
      </c>
      <c r="AO9" s="26">
        <v>60</v>
      </c>
      <c r="AP9" s="26"/>
      <c r="AQ9" s="26">
        <f t="shared" si="4"/>
        <v>194</v>
      </c>
      <c r="AR9" s="26">
        <f t="shared" si="5"/>
        <v>0</v>
      </c>
      <c r="AS9" s="26">
        <f t="shared" si="6"/>
        <v>0</v>
      </c>
      <c r="AT9" s="26">
        <f t="shared" si="7"/>
        <v>194</v>
      </c>
      <c r="AU9" s="45">
        <f t="shared" si="8"/>
        <v>11640</v>
      </c>
      <c r="AV9" s="45">
        <f t="shared" si="2"/>
        <v>0</v>
      </c>
      <c r="AW9" s="45">
        <f t="shared" si="2"/>
        <v>0</v>
      </c>
      <c r="BA9">
        <f t="shared" si="9"/>
        <v>160</v>
      </c>
    </row>
    <row r="10" spans="1:53">
      <c r="A10" s="119">
        <v>44735</v>
      </c>
      <c r="B10" s="18">
        <v>1600</v>
      </c>
      <c r="C10" s="18"/>
      <c r="D10" s="17">
        <f>(SUM(粮草!A10:X10)+AG10*10)*IF(AK10="是",$AY$4,$AY$3)</f>
        <v>1448</v>
      </c>
      <c r="E10" s="76">
        <f>SUM($B$4:B10)+SUM($C$4:C10)-SUM($D$4:D10)</f>
        <v>2302</v>
      </c>
      <c r="F10" s="17">
        <f>SUM(经验!A10:X10)</f>
        <v>515</v>
      </c>
      <c r="G10" s="17">
        <f>SUM($F$4:F10)+SUM($H$4:H10)</f>
        <v>5885</v>
      </c>
      <c r="H10" s="18">
        <v>0</v>
      </c>
      <c r="I10" s="93" t="s">
        <v>40</v>
      </c>
      <c r="J10" s="93" t="s">
        <v>40</v>
      </c>
      <c r="K10" s="90" t="s">
        <v>39</v>
      </c>
      <c r="L10" s="93" t="s">
        <v>40</v>
      </c>
      <c r="M10" s="93" t="s">
        <v>40</v>
      </c>
      <c r="N10" s="95" t="s">
        <v>42</v>
      </c>
      <c r="O10" s="72" t="s">
        <v>34</v>
      </c>
      <c r="P10" s="72" t="s">
        <v>34</v>
      </c>
      <c r="Q10" s="79" t="s">
        <v>34</v>
      </c>
      <c r="R10" s="79" t="s">
        <v>34</v>
      </c>
      <c r="S10" s="79" t="s">
        <v>34</v>
      </c>
      <c r="T10" s="79" t="s">
        <v>34</v>
      </c>
      <c r="U10" s="79" t="s">
        <v>34</v>
      </c>
      <c r="V10" s="79" t="s">
        <v>34</v>
      </c>
      <c r="W10" s="72" t="s">
        <v>34</v>
      </c>
      <c r="X10" s="72" t="s">
        <v>34</v>
      </c>
      <c r="Y10" s="93" t="s">
        <v>40</v>
      </c>
      <c r="Z10" s="93" t="s">
        <v>40</v>
      </c>
      <c r="AA10" s="90" t="s">
        <v>39</v>
      </c>
      <c r="AB10" s="93" t="s">
        <v>40</v>
      </c>
      <c r="AC10" s="93" t="s">
        <v>40</v>
      </c>
      <c r="AD10" s="93" t="s">
        <v>40</v>
      </c>
      <c r="AE10" s="72" t="s">
        <v>34</v>
      </c>
      <c r="AF10" s="72" t="s">
        <v>34</v>
      </c>
      <c r="AG10" s="56">
        <f t="shared" si="3"/>
        <v>0</v>
      </c>
      <c r="AH10" s="56"/>
      <c r="AI10" s="56"/>
      <c r="AJ10" s="56"/>
      <c r="AK10" s="78" t="s">
        <v>76</v>
      </c>
      <c r="AM10" s="82" t="s">
        <v>45</v>
      </c>
      <c r="AN10" s="26">
        <v>150</v>
      </c>
      <c r="AO10" s="26">
        <v>35</v>
      </c>
      <c r="AP10" s="26">
        <v>44.222109392472248</v>
      </c>
      <c r="AQ10" s="26">
        <f t="shared" si="4"/>
        <v>0</v>
      </c>
      <c r="AR10" s="26">
        <f t="shared" si="5"/>
        <v>0</v>
      </c>
      <c r="AS10" s="26">
        <f t="shared" si="6"/>
        <v>0</v>
      </c>
      <c r="AT10" s="26">
        <f t="shared" si="7"/>
        <v>0</v>
      </c>
      <c r="AU10" s="45">
        <f t="shared" si="8"/>
        <v>0</v>
      </c>
      <c r="AV10" s="45">
        <f t="shared" si="2"/>
        <v>0</v>
      </c>
      <c r="AW10" s="45">
        <f t="shared" si="2"/>
        <v>0</v>
      </c>
      <c r="BA10">
        <f t="shared" si="9"/>
        <v>120</v>
      </c>
    </row>
    <row r="11" spans="1:53">
      <c r="A11" s="119">
        <v>44736</v>
      </c>
      <c r="B11" s="18">
        <v>1600</v>
      </c>
      <c r="C11" s="18"/>
      <c r="D11" s="17">
        <f>(SUM(粮草!A11:X11)+AG11*10)*IF(AK11="是",$AY$4,$AY$3)</f>
        <v>1600</v>
      </c>
      <c r="E11" s="76">
        <f>SUM($B$4:B11)+SUM($C$4:C11)-SUM($D$4:D11)</f>
        <v>2302</v>
      </c>
      <c r="F11" s="17">
        <f>SUM(经验!A11:X11)</f>
        <v>600</v>
      </c>
      <c r="G11" s="17">
        <f>SUM($F$4:F11)+SUM($H$4:H11)</f>
        <v>6485</v>
      </c>
      <c r="H11" s="18">
        <v>0</v>
      </c>
      <c r="I11" s="95" t="s">
        <v>42</v>
      </c>
      <c r="J11" s="96" t="s">
        <v>42</v>
      </c>
      <c r="K11" s="90" t="s">
        <v>39</v>
      </c>
      <c r="L11" s="95" t="s">
        <v>42</v>
      </c>
      <c r="M11" s="95" t="s">
        <v>42</v>
      </c>
      <c r="N11" s="92" t="s">
        <v>59</v>
      </c>
      <c r="O11" s="95" t="s">
        <v>42</v>
      </c>
      <c r="P11" s="95" t="s">
        <v>42</v>
      </c>
      <c r="Q11" s="79" t="s">
        <v>34</v>
      </c>
      <c r="R11" s="79" t="s">
        <v>34</v>
      </c>
      <c r="S11" s="79" t="s">
        <v>34</v>
      </c>
      <c r="T11" s="79" t="s">
        <v>34</v>
      </c>
      <c r="U11" s="79" t="s">
        <v>34</v>
      </c>
      <c r="V11" s="79" t="s">
        <v>34</v>
      </c>
      <c r="W11" s="72" t="s">
        <v>34</v>
      </c>
      <c r="X11" s="72" t="s">
        <v>34</v>
      </c>
      <c r="Y11" s="93" t="s">
        <v>40</v>
      </c>
      <c r="Z11" s="93" t="s">
        <v>40</v>
      </c>
      <c r="AA11" s="93" t="s">
        <v>40</v>
      </c>
      <c r="AB11" s="93" t="s">
        <v>40</v>
      </c>
      <c r="AC11" s="93" t="s">
        <v>40</v>
      </c>
      <c r="AD11" s="93" t="s">
        <v>40</v>
      </c>
      <c r="AE11" s="72" t="s">
        <v>34</v>
      </c>
      <c r="AF11" s="72" t="s">
        <v>34</v>
      </c>
      <c r="AG11" s="56">
        <f t="shared" si="3"/>
        <v>5</v>
      </c>
      <c r="AH11" s="56">
        <v>5</v>
      </c>
      <c r="AI11" s="56"/>
      <c r="AJ11" s="56"/>
      <c r="AK11" s="78" t="s">
        <v>52</v>
      </c>
      <c r="AM11" s="83" t="s">
        <v>41</v>
      </c>
      <c r="AN11" s="26">
        <v>150</v>
      </c>
      <c r="AO11" s="26">
        <v>40</v>
      </c>
      <c r="AP11" s="26">
        <v>29.110982162825422</v>
      </c>
      <c r="AQ11" s="26">
        <f t="shared" si="4"/>
        <v>0</v>
      </c>
      <c r="AR11" s="26">
        <f t="shared" si="5"/>
        <v>2</v>
      </c>
      <c r="AS11" s="26">
        <f t="shared" si="6"/>
        <v>0</v>
      </c>
      <c r="AT11" s="26">
        <f t="shared" si="7"/>
        <v>2</v>
      </c>
      <c r="AU11" s="45">
        <f t="shared" si="8"/>
        <v>0</v>
      </c>
      <c r="AV11" s="45">
        <f t="shared" si="2"/>
        <v>80</v>
      </c>
      <c r="AW11" s="45">
        <f t="shared" si="2"/>
        <v>0</v>
      </c>
      <c r="BA11">
        <f t="shared" si="9"/>
        <v>120</v>
      </c>
    </row>
    <row r="12" spans="1:53">
      <c r="A12" s="119">
        <v>44737</v>
      </c>
      <c r="B12" s="18">
        <v>1600</v>
      </c>
      <c r="C12" s="18"/>
      <c r="D12" s="17">
        <f>(SUM(粮草!A12:X12)+AG12*10)*IF(AK12="是",$AY$4,$AY$3)</f>
        <v>1680</v>
      </c>
      <c r="E12" s="76">
        <f>SUM($B$4:B12)+SUM($C$4:C12)-SUM($D$4:D12)</f>
        <v>2222</v>
      </c>
      <c r="F12" s="17">
        <f>SUM(经验!A12:X12)</f>
        <v>570</v>
      </c>
      <c r="G12" s="17">
        <f>SUM($F$4:F12)+SUM($H$4:H12)</f>
        <v>7055</v>
      </c>
      <c r="H12" s="18">
        <v>0</v>
      </c>
      <c r="I12" s="95" t="s">
        <v>42</v>
      </c>
      <c r="J12" s="95" t="s">
        <v>42</v>
      </c>
      <c r="K12" s="95" t="s">
        <v>42</v>
      </c>
      <c r="L12" s="95" t="s">
        <v>42</v>
      </c>
      <c r="M12" s="95" t="s">
        <v>42</v>
      </c>
      <c r="N12" s="95" t="s">
        <v>42</v>
      </c>
      <c r="O12" s="72" t="s">
        <v>34</v>
      </c>
      <c r="P12" s="72" t="s">
        <v>34</v>
      </c>
      <c r="Q12" s="79" t="s">
        <v>34</v>
      </c>
      <c r="R12" s="79" t="s">
        <v>34</v>
      </c>
      <c r="S12" s="79" t="s">
        <v>34</v>
      </c>
      <c r="T12" s="79" t="s">
        <v>34</v>
      </c>
      <c r="U12" s="79" t="s">
        <v>34</v>
      </c>
      <c r="V12" s="79" t="s">
        <v>34</v>
      </c>
      <c r="W12" s="72" t="s">
        <v>34</v>
      </c>
      <c r="X12" s="72" t="s">
        <v>34</v>
      </c>
      <c r="Y12" s="93" t="s">
        <v>40</v>
      </c>
      <c r="Z12" s="93" t="s">
        <v>40</v>
      </c>
      <c r="AA12" s="93" t="s">
        <v>40</v>
      </c>
      <c r="AB12" s="93" t="s">
        <v>40</v>
      </c>
      <c r="AC12" s="93" t="s">
        <v>40</v>
      </c>
      <c r="AD12" s="93" t="s">
        <v>40</v>
      </c>
      <c r="AE12" s="72" t="s">
        <v>34</v>
      </c>
      <c r="AF12" s="72" t="s">
        <v>34</v>
      </c>
      <c r="AG12" s="56">
        <f t="shared" si="3"/>
        <v>0</v>
      </c>
      <c r="AH12" s="56"/>
      <c r="AI12" s="56"/>
      <c r="AJ12" s="56"/>
      <c r="AK12" s="78" t="s">
        <v>52</v>
      </c>
      <c r="AM12" s="84" t="s">
        <v>47</v>
      </c>
      <c r="AN12" s="26">
        <v>150</v>
      </c>
      <c r="AO12" s="26">
        <v>45</v>
      </c>
      <c r="AP12" s="26">
        <v>13.999854933178597</v>
      </c>
      <c r="AQ12" s="26">
        <f t="shared" si="4"/>
        <v>1</v>
      </c>
      <c r="AR12" s="26">
        <f t="shared" si="5"/>
        <v>0</v>
      </c>
      <c r="AS12" s="26">
        <f t="shared" si="6"/>
        <v>5</v>
      </c>
      <c r="AT12" s="26">
        <f t="shared" si="7"/>
        <v>6</v>
      </c>
      <c r="AU12" s="45">
        <f t="shared" si="8"/>
        <v>45</v>
      </c>
      <c r="AV12" s="45">
        <f t="shared" si="2"/>
        <v>0</v>
      </c>
      <c r="AW12" s="45">
        <f t="shared" si="2"/>
        <v>225</v>
      </c>
      <c r="BA12">
        <f t="shared" si="9"/>
        <v>120</v>
      </c>
    </row>
    <row r="13" spans="1:53">
      <c r="A13" s="119">
        <v>44738</v>
      </c>
      <c r="B13" s="18">
        <v>1600</v>
      </c>
      <c r="C13" s="18"/>
      <c r="D13" s="17">
        <f>(SUM(粮草!A13:X13)+AG13*10)*IF(AK13="是",$AY$4,$AY$3)</f>
        <v>1584</v>
      </c>
      <c r="E13" s="76">
        <f>SUM($B$4:B13)+SUM($C$4:C13)-SUM($D$4:D13)</f>
        <v>2238</v>
      </c>
      <c r="F13" s="17">
        <f>SUM(经验!A13:X13)</f>
        <v>555</v>
      </c>
      <c r="G13" s="17">
        <f>SUM($F$4:F13)+SUM($H$4:H13)</f>
        <v>7610</v>
      </c>
      <c r="H13" s="18">
        <v>0</v>
      </c>
      <c r="I13" s="95" t="s">
        <v>42</v>
      </c>
      <c r="J13" s="95" t="s">
        <v>42</v>
      </c>
      <c r="K13" s="95" t="s">
        <v>42</v>
      </c>
      <c r="L13" s="95" t="s">
        <v>42</v>
      </c>
      <c r="M13" s="95" t="s">
        <v>42</v>
      </c>
      <c r="N13" s="95" t="s">
        <v>42</v>
      </c>
      <c r="O13" s="72" t="s">
        <v>34</v>
      </c>
      <c r="P13" s="72" t="s">
        <v>34</v>
      </c>
      <c r="Q13" s="79" t="s">
        <v>34</v>
      </c>
      <c r="R13" s="79" t="s">
        <v>34</v>
      </c>
      <c r="S13" s="79" t="s">
        <v>34</v>
      </c>
      <c r="T13" s="79" t="s">
        <v>34</v>
      </c>
      <c r="U13" s="79" t="s">
        <v>34</v>
      </c>
      <c r="V13" s="79" t="s">
        <v>34</v>
      </c>
      <c r="W13" s="72" t="s">
        <v>34</v>
      </c>
      <c r="X13" s="72" t="s">
        <v>34</v>
      </c>
      <c r="Y13" s="90" t="s">
        <v>39</v>
      </c>
      <c r="Z13" s="93" t="s">
        <v>40</v>
      </c>
      <c r="AA13" s="93" t="s">
        <v>40</v>
      </c>
      <c r="AB13" s="93" t="s">
        <v>40</v>
      </c>
      <c r="AC13" s="93" t="s">
        <v>40</v>
      </c>
      <c r="AD13" s="93" t="s">
        <v>40</v>
      </c>
      <c r="AE13" s="72" t="s">
        <v>34</v>
      </c>
      <c r="AF13" s="72" t="s">
        <v>34</v>
      </c>
      <c r="AG13" s="56">
        <f t="shared" si="3"/>
        <v>0</v>
      </c>
      <c r="AH13" s="56"/>
      <c r="AI13" s="56"/>
      <c r="AJ13" s="56"/>
      <c r="AK13" s="78" t="s">
        <v>52</v>
      </c>
      <c r="AM13" s="85" t="s">
        <v>48</v>
      </c>
      <c r="AN13" s="26">
        <v>150</v>
      </c>
      <c r="AO13" s="26">
        <v>50</v>
      </c>
      <c r="AP13" s="26"/>
      <c r="AQ13" s="26">
        <f t="shared" si="4"/>
        <v>2</v>
      </c>
      <c r="AR13" s="26">
        <f t="shared" si="5"/>
        <v>0</v>
      </c>
      <c r="AS13" s="26">
        <f t="shared" si="6"/>
        <v>2</v>
      </c>
      <c r="AT13" s="26">
        <f t="shared" si="7"/>
        <v>4</v>
      </c>
      <c r="AU13" s="45">
        <f t="shared" si="8"/>
        <v>100</v>
      </c>
      <c r="AV13" s="45">
        <f t="shared" si="2"/>
        <v>0</v>
      </c>
      <c r="AW13" s="45">
        <f t="shared" si="2"/>
        <v>100</v>
      </c>
      <c r="BA13">
        <f t="shared" si="9"/>
        <v>120</v>
      </c>
    </row>
    <row r="14" spans="1:53">
      <c r="A14" s="119">
        <v>44739</v>
      </c>
      <c r="B14" s="17">
        <v>1600</v>
      </c>
      <c r="C14" s="17"/>
      <c r="D14" s="17">
        <f>(SUM(粮草!A14:X14)+AG14*10)*IF(AK14="是",$AY$4,$AY$3)</f>
        <v>1680</v>
      </c>
      <c r="E14" s="76">
        <f>SUM($B$4:B14)+SUM($C$4:C14)-SUM($D$4:D14)</f>
        <v>2158</v>
      </c>
      <c r="F14" s="17">
        <f>SUM(经验!A14:X14)</f>
        <v>570</v>
      </c>
      <c r="G14" s="17">
        <f>SUM($F$4:F14)+SUM($H$4:H14)</f>
        <v>8480</v>
      </c>
      <c r="H14" s="17">
        <v>300</v>
      </c>
      <c r="I14" s="95" t="s">
        <v>42</v>
      </c>
      <c r="J14" s="95" t="s">
        <v>42</v>
      </c>
      <c r="K14" s="95" t="s">
        <v>42</v>
      </c>
      <c r="L14" s="95" t="s">
        <v>42</v>
      </c>
      <c r="M14" s="95" t="s">
        <v>42</v>
      </c>
      <c r="N14" s="95" t="s">
        <v>42</v>
      </c>
      <c r="O14" s="72" t="s">
        <v>34</v>
      </c>
      <c r="P14" s="72" t="s">
        <v>34</v>
      </c>
      <c r="Q14" s="79" t="s">
        <v>34</v>
      </c>
      <c r="R14" s="79" t="s">
        <v>34</v>
      </c>
      <c r="S14" s="79" t="s">
        <v>34</v>
      </c>
      <c r="T14" s="79" t="s">
        <v>34</v>
      </c>
      <c r="U14" s="79" t="s">
        <v>34</v>
      </c>
      <c r="V14" s="79" t="s">
        <v>34</v>
      </c>
      <c r="W14" s="72" t="s">
        <v>34</v>
      </c>
      <c r="X14" s="72" t="s">
        <v>34</v>
      </c>
      <c r="Y14" s="93" t="s">
        <v>40</v>
      </c>
      <c r="Z14" s="93" t="s">
        <v>40</v>
      </c>
      <c r="AA14" s="93" t="s">
        <v>40</v>
      </c>
      <c r="AB14" s="93" t="s">
        <v>40</v>
      </c>
      <c r="AC14" s="93" t="s">
        <v>40</v>
      </c>
      <c r="AD14" s="93" t="s">
        <v>40</v>
      </c>
      <c r="AE14" s="72" t="s">
        <v>34</v>
      </c>
      <c r="AF14" s="72" t="s">
        <v>34</v>
      </c>
      <c r="AG14" s="56">
        <f t="shared" si="3"/>
        <v>0</v>
      </c>
      <c r="AH14" s="56"/>
      <c r="AI14" s="56"/>
      <c r="AJ14" s="56"/>
      <c r="AK14" s="78" t="s">
        <v>52</v>
      </c>
      <c r="AM14" s="80" t="s">
        <v>49</v>
      </c>
      <c r="AN14" s="26">
        <v>150</v>
      </c>
      <c r="AO14" s="26">
        <v>55</v>
      </c>
      <c r="AP14" s="26"/>
      <c r="AQ14" s="26">
        <f t="shared" si="4"/>
        <v>2</v>
      </c>
      <c r="AR14" s="26">
        <f t="shared" si="5"/>
        <v>0</v>
      </c>
      <c r="AS14" s="26">
        <f t="shared" si="6"/>
        <v>1</v>
      </c>
      <c r="AT14" s="26">
        <f t="shared" si="7"/>
        <v>3</v>
      </c>
      <c r="AU14" s="45">
        <f t="shared" si="8"/>
        <v>110</v>
      </c>
      <c r="AV14" s="45">
        <f t="shared" si="2"/>
        <v>0</v>
      </c>
      <c r="AW14" s="45">
        <f t="shared" si="2"/>
        <v>55</v>
      </c>
      <c r="BA14">
        <f t="shared" si="9"/>
        <v>120</v>
      </c>
    </row>
    <row r="15" spans="1:53">
      <c r="A15" s="119">
        <v>44740</v>
      </c>
      <c r="B15" s="17">
        <v>1600</v>
      </c>
      <c r="C15" s="17"/>
      <c r="D15" s="17">
        <f>(SUM(粮草!A15:X15)+AG15*10)*IF(AK15="是",$AY$4,$AY$3)</f>
        <v>1680</v>
      </c>
      <c r="E15" s="76">
        <f>SUM($B$4:B15)+SUM($C$4:C15)-SUM($D$4:D15)</f>
        <v>2078</v>
      </c>
      <c r="F15" s="17">
        <f>SUM(经验!A15:X15)</f>
        <v>570</v>
      </c>
      <c r="G15" s="17">
        <f>SUM($F$4:F15)+SUM($H$4:H15)</f>
        <v>9050</v>
      </c>
      <c r="H15" s="17">
        <v>0</v>
      </c>
      <c r="I15" s="95" t="s">
        <v>42</v>
      </c>
      <c r="J15" s="95" t="s">
        <v>42</v>
      </c>
      <c r="K15" s="95" t="s">
        <v>42</v>
      </c>
      <c r="L15" s="95" t="s">
        <v>42</v>
      </c>
      <c r="M15" s="95" t="s">
        <v>42</v>
      </c>
      <c r="N15" s="95" t="s">
        <v>42</v>
      </c>
      <c r="O15" s="72" t="s">
        <v>34</v>
      </c>
      <c r="P15" s="72" t="s">
        <v>34</v>
      </c>
      <c r="Q15" s="79" t="s">
        <v>34</v>
      </c>
      <c r="R15" s="79" t="s">
        <v>34</v>
      </c>
      <c r="S15" s="79" t="s">
        <v>34</v>
      </c>
      <c r="T15" s="79" t="s">
        <v>34</v>
      </c>
      <c r="U15" s="79" t="s">
        <v>34</v>
      </c>
      <c r="V15" s="79" t="s">
        <v>34</v>
      </c>
      <c r="W15" s="72" t="s">
        <v>34</v>
      </c>
      <c r="X15" s="72" t="s">
        <v>34</v>
      </c>
      <c r="Y15" s="93" t="s">
        <v>40</v>
      </c>
      <c r="Z15" s="93" t="s">
        <v>40</v>
      </c>
      <c r="AA15" s="93" t="s">
        <v>40</v>
      </c>
      <c r="AB15" s="93" t="s">
        <v>40</v>
      </c>
      <c r="AC15" s="93" t="s">
        <v>40</v>
      </c>
      <c r="AD15" s="93" t="s">
        <v>40</v>
      </c>
      <c r="AE15" s="72" t="s">
        <v>34</v>
      </c>
      <c r="AF15" s="72" t="s">
        <v>34</v>
      </c>
      <c r="AG15" s="56">
        <f t="shared" si="3"/>
        <v>0</v>
      </c>
      <c r="AH15" s="56"/>
      <c r="AI15" s="56"/>
      <c r="AJ15" s="56"/>
      <c r="AK15" s="78" t="s">
        <v>52</v>
      </c>
      <c r="AM15" s="86" t="s">
        <v>50</v>
      </c>
      <c r="AN15" s="26">
        <v>150</v>
      </c>
      <c r="AO15" s="26">
        <v>60</v>
      </c>
      <c r="AP15" s="26"/>
      <c r="AQ15" s="26">
        <f t="shared" si="4"/>
        <v>1</v>
      </c>
      <c r="AR15" s="26">
        <f t="shared" si="5"/>
        <v>0</v>
      </c>
      <c r="AS15" s="26">
        <f t="shared" si="6"/>
        <v>0</v>
      </c>
      <c r="AT15" s="26">
        <f t="shared" si="7"/>
        <v>1</v>
      </c>
      <c r="AU15" s="45">
        <f t="shared" si="8"/>
        <v>60</v>
      </c>
      <c r="AV15" s="45">
        <f t="shared" si="2"/>
        <v>0</v>
      </c>
      <c r="AW15" s="45">
        <f t="shared" si="2"/>
        <v>0</v>
      </c>
      <c r="BA15">
        <f t="shared" si="9"/>
        <v>120</v>
      </c>
    </row>
    <row r="16" spans="1:53">
      <c r="A16" s="119">
        <v>44741</v>
      </c>
      <c r="B16" s="17">
        <v>1600</v>
      </c>
      <c r="C16" s="17"/>
      <c r="D16" s="17">
        <f>(SUM(粮草!A16:X16)+AG16*10)*IF(AK16="是",$AY$4,$AY$3)</f>
        <v>1680</v>
      </c>
      <c r="E16" s="76">
        <f>SUM($B$4:B16)+SUM($C$4:C16)-SUM($D$4:D16)</f>
        <v>1998</v>
      </c>
      <c r="F16" s="17">
        <f>SUM(经验!A16:X16)</f>
        <v>570</v>
      </c>
      <c r="G16" s="17">
        <f>SUM($F$4:F16)+SUM($H$4:H16)</f>
        <v>9820</v>
      </c>
      <c r="H16" s="17">
        <v>200</v>
      </c>
      <c r="I16" s="95" t="s">
        <v>42</v>
      </c>
      <c r="J16" s="95" t="s">
        <v>42</v>
      </c>
      <c r="K16" s="95" t="s">
        <v>42</v>
      </c>
      <c r="L16" s="95" t="s">
        <v>42</v>
      </c>
      <c r="M16" s="95" t="s">
        <v>42</v>
      </c>
      <c r="N16" s="95" t="s">
        <v>42</v>
      </c>
      <c r="O16" s="72" t="s">
        <v>34</v>
      </c>
      <c r="P16" s="72" t="s">
        <v>34</v>
      </c>
      <c r="Q16" s="79" t="s">
        <v>34</v>
      </c>
      <c r="R16" s="79" t="s">
        <v>34</v>
      </c>
      <c r="S16" s="79" t="s">
        <v>34</v>
      </c>
      <c r="T16" s="79" t="s">
        <v>34</v>
      </c>
      <c r="U16" s="79" t="s">
        <v>34</v>
      </c>
      <c r="V16" s="79" t="s">
        <v>34</v>
      </c>
      <c r="W16" s="72" t="s">
        <v>34</v>
      </c>
      <c r="X16" s="72" t="s">
        <v>34</v>
      </c>
      <c r="Y16" s="93" t="s">
        <v>40</v>
      </c>
      <c r="Z16" s="93" t="s">
        <v>40</v>
      </c>
      <c r="AA16" s="93" t="s">
        <v>40</v>
      </c>
      <c r="AB16" s="93" t="s">
        <v>40</v>
      </c>
      <c r="AC16" s="93" t="s">
        <v>40</v>
      </c>
      <c r="AD16" s="93" t="s">
        <v>40</v>
      </c>
      <c r="AE16" s="72" t="s">
        <v>34</v>
      </c>
      <c r="AF16" s="72" t="s">
        <v>34</v>
      </c>
      <c r="AG16" s="56">
        <f t="shared" si="3"/>
        <v>0</v>
      </c>
      <c r="AH16" s="56"/>
      <c r="AI16" s="56"/>
      <c r="AJ16" s="56"/>
      <c r="AK16" s="78" t="s">
        <v>52</v>
      </c>
      <c r="AM16" s="30" t="s">
        <v>51</v>
      </c>
      <c r="AN16" s="31">
        <v>150</v>
      </c>
      <c r="AO16" s="26">
        <v>35</v>
      </c>
      <c r="AP16" s="26">
        <v>44.222109392472248</v>
      </c>
      <c r="AQ16" s="26">
        <f t="shared" si="4"/>
        <v>0</v>
      </c>
      <c r="AR16" s="26">
        <f t="shared" si="5"/>
        <v>0</v>
      </c>
      <c r="AS16" s="26">
        <f t="shared" si="6"/>
        <v>0</v>
      </c>
      <c r="AT16" s="26">
        <f t="shared" si="7"/>
        <v>0</v>
      </c>
      <c r="AU16" s="45">
        <f t="shared" si="8"/>
        <v>0</v>
      </c>
      <c r="AV16" s="45">
        <f t="shared" si="2"/>
        <v>0</v>
      </c>
      <c r="AW16" s="45">
        <f t="shared" si="2"/>
        <v>0</v>
      </c>
      <c r="BA16">
        <f t="shared" si="9"/>
        <v>120</v>
      </c>
    </row>
    <row r="17" spans="1:53">
      <c r="A17" s="119">
        <v>44742</v>
      </c>
      <c r="B17" s="17">
        <v>1600</v>
      </c>
      <c r="C17" s="17"/>
      <c r="D17" s="17">
        <f>(SUM(粮草!A17:X17)+AG17*10)*IF(AK17="是",$AY$4,$AY$3)</f>
        <v>1592</v>
      </c>
      <c r="E17" s="76">
        <f>SUM($B$4:B17)+SUM($C$4:C17)-SUM($D$4:D17)</f>
        <v>2006</v>
      </c>
      <c r="F17" s="17">
        <f>SUM(经验!A17:X17)</f>
        <v>555</v>
      </c>
      <c r="G17" s="17">
        <f>SUM($F$4:F17)+SUM($H$4:H17)</f>
        <v>10375</v>
      </c>
      <c r="H17" s="17">
        <v>0</v>
      </c>
      <c r="I17" s="95" t="s">
        <v>42</v>
      </c>
      <c r="J17" s="95" t="s">
        <v>42</v>
      </c>
      <c r="K17" s="95" t="s">
        <v>42</v>
      </c>
      <c r="L17" s="95" t="s">
        <v>42</v>
      </c>
      <c r="M17" s="95" t="s">
        <v>42</v>
      </c>
      <c r="N17" s="95" t="s">
        <v>42</v>
      </c>
      <c r="O17" s="72" t="s">
        <v>34</v>
      </c>
      <c r="P17" s="72" t="s">
        <v>34</v>
      </c>
      <c r="Q17" s="79" t="s">
        <v>34</v>
      </c>
      <c r="R17" s="79" t="s">
        <v>34</v>
      </c>
      <c r="S17" s="79" t="s">
        <v>34</v>
      </c>
      <c r="T17" s="79" t="s">
        <v>34</v>
      </c>
      <c r="U17" s="79" t="s">
        <v>34</v>
      </c>
      <c r="V17" s="79" t="s">
        <v>34</v>
      </c>
      <c r="W17" s="72" t="s">
        <v>34</v>
      </c>
      <c r="X17" s="72" t="s">
        <v>34</v>
      </c>
      <c r="Y17" s="93" t="s">
        <v>40</v>
      </c>
      <c r="Z17" s="90" t="s">
        <v>39</v>
      </c>
      <c r="AA17" s="93" t="s">
        <v>40</v>
      </c>
      <c r="AB17" s="120" t="s">
        <v>40</v>
      </c>
      <c r="AC17" s="120" t="s">
        <v>40</v>
      </c>
      <c r="AD17" s="93" t="s">
        <v>40</v>
      </c>
      <c r="AE17" s="72" t="s">
        <v>34</v>
      </c>
      <c r="AF17" s="72" t="s">
        <v>34</v>
      </c>
      <c r="AG17" s="56">
        <f t="shared" si="3"/>
        <v>1</v>
      </c>
      <c r="AH17" s="56"/>
      <c r="AI17" s="56"/>
      <c r="AJ17" s="56">
        <v>1</v>
      </c>
      <c r="AK17" s="78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 t="shared" si="4"/>
        <v>8</v>
      </c>
      <c r="AR17" s="26">
        <f t="shared" si="5"/>
        <v>14</v>
      </c>
      <c r="AS17" s="26">
        <f t="shared" si="6"/>
        <v>17</v>
      </c>
      <c r="AT17" s="26">
        <f t="shared" si="7"/>
        <v>39</v>
      </c>
      <c r="AU17" s="45">
        <f t="shared" si="8"/>
        <v>240</v>
      </c>
      <c r="AV17" s="45">
        <f t="shared" si="2"/>
        <v>420</v>
      </c>
      <c r="AW17" s="45">
        <f t="shared" si="2"/>
        <v>510</v>
      </c>
      <c r="BA17">
        <f t="shared" si="9"/>
        <v>40</v>
      </c>
    </row>
    <row r="18" spans="1:53">
      <c r="A18" s="119">
        <v>44743</v>
      </c>
      <c r="B18" s="17">
        <v>1600</v>
      </c>
      <c r="C18" s="17"/>
      <c r="D18" s="17">
        <f>(SUM(粮草!A18:X18)+AG18*10)*IF(AK18="是",$AY$4,$AY$3)</f>
        <v>1664</v>
      </c>
      <c r="E18" s="76">
        <f>SUM($B$4:B18)+SUM($C$4:C18)-SUM($D$4:D18)</f>
        <v>1942</v>
      </c>
      <c r="F18" s="17">
        <f>SUM(经验!A18:X18)</f>
        <v>570</v>
      </c>
      <c r="G18" s="17">
        <f>SUM($F$4:F18)+SUM($H$4:H18)</f>
        <v>10945</v>
      </c>
      <c r="H18" s="17">
        <v>0</v>
      </c>
      <c r="I18" s="95" t="s">
        <v>42</v>
      </c>
      <c r="J18" s="95" t="s">
        <v>42</v>
      </c>
      <c r="K18" s="95" t="s">
        <v>42</v>
      </c>
      <c r="L18" s="95" t="s">
        <v>42</v>
      </c>
      <c r="M18" s="95" t="s">
        <v>42</v>
      </c>
      <c r="N18" s="95" t="s">
        <v>42</v>
      </c>
      <c r="O18" s="72" t="s">
        <v>34</v>
      </c>
      <c r="P18" s="72" t="s">
        <v>34</v>
      </c>
      <c r="Q18" s="79" t="s">
        <v>34</v>
      </c>
      <c r="R18" s="79" t="s">
        <v>34</v>
      </c>
      <c r="S18" s="79" t="s">
        <v>34</v>
      </c>
      <c r="T18" s="79" t="s">
        <v>34</v>
      </c>
      <c r="U18" s="79" t="s">
        <v>34</v>
      </c>
      <c r="V18" s="79" t="s">
        <v>34</v>
      </c>
      <c r="W18" s="72" t="s">
        <v>34</v>
      </c>
      <c r="X18" s="72" t="s">
        <v>34</v>
      </c>
      <c r="Y18" s="93" t="s">
        <v>40</v>
      </c>
      <c r="Z18" s="93" t="s">
        <v>40</v>
      </c>
      <c r="AA18" s="93" t="s">
        <v>40</v>
      </c>
      <c r="AB18" s="93" t="s">
        <v>40</v>
      </c>
      <c r="AC18" s="94" t="s">
        <v>47</v>
      </c>
      <c r="AD18" s="93" t="s">
        <v>40</v>
      </c>
      <c r="AE18" s="72" t="s">
        <v>34</v>
      </c>
      <c r="AF18" s="72" t="s">
        <v>34</v>
      </c>
      <c r="AG18" s="56">
        <f t="shared" si="3"/>
        <v>0</v>
      </c>
      <c r="AH18" s="56"/>
      <c r="AI18" s="56"/>
      <c r="AJ18" s="56"/>
      <c r="AK18" s="78" t="s">
        <v>52</v>
      </c>
      <c r="AL18" s="32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 t="shared" si="4"/>
        <v>1</v>
      </c>
      <c r="AR18" s="26">
        <f t="shared" si="5"/>
        <v>0</v>
      </c>
      <c r="AS18" s="26">
        <f t="shared" si="6"/>
        <v>2</v>
      </c>
      <c r="AT18" s="26">
        <f t="shared" si="7"/>
        <v>3</v>
      </c>
      <c r="AU18" s="45">
        <f t="shared" si="8"/>
        <v>0</v>
      </c>
      <c r="AV18" s="45">
        <f t="shared" si="2"/>
        <v>0</v>
      </c>
      <c r="AW18" s="45">
        <f t="shared" si="2"/>
        <v>0</v>
      </c>
      <c r="BA18">
        <f t="shared" si="9"/>
        <v>-120</v>
      </c>
    </row>
    <row r="19" spans="1:53">
      <c r="A19" s="119">
        <v>44744</v>
      </c>
      <c r="B19" s="17">
        <v>1600</v>
      </c>
      <c r="C19" s="17"/>
      <c r="D19" s="17">
        <f>(SUM(粮草!A19:X19)+AG19*10)*IF(AK19="是",$AY$4,$AY$3)</f>
        <v>1680</v>
      </c>
      <c r="E19" s="76">
        <f>SUM($B$4:B19)+SUM($C$4:C19)-SUM($D$4:D19)</f>
        <v>1862</v>
      </c>
      <c r="F19" s="17">
        <f>SUM(经验!A19:X19)</f>
        <v>570</v>
      </c>
      <c r="G19" s="17">
        <f>SUM($F$4:F19)+SUM($H$4:H19)</f>
        <v>11515</v>
      </c>
      <c r="H19" s="17">
        <v>0</v>
      </c>
      <c r="I19" s="95" t="s">
        <v>42</v>
      </c>
      <c r="J19" s="95" t="s">
        <v>42</v>
      </c>
      <c r="K19" s="95" t="s">
        <v>42</v>
      </c>
      <c r="L19" s="95" t="s">
        <v>42</v>
      </c>
      <c r="M19" s="95" t="s">
        <v>42</v>
      </c>
      <c r="N19" s="95" t="s">
        <v>42</v>
      </c>
      <c r="O19" s="72" t="s">
        <v>34</v>
      </c>
      <c r="P19" s="72" t="s">
        <v>34</v>
      </c>
      <c r="Q19" s="79" t="s">
        <v>34</v>
      </c>
      <c r="R19" s="79" t="s">
        <v>34</v>
      </c>
      <c r="S19" s="79" t="s">
        <v>34</v>
      </c>
      <c r="T19" s="79" t="s">
        <v>34</v>
      </c>
      <c r="U19" s="79" t="s">
        <v>34</v>
      </c>
      <c r="V19" s="79" t="s">
        <v>34</v>
      </c>
      <c r="W19" s="72" t="s">
        <v>34</v>
      </c>
      <c r="X19" s="72" t="s">
        <v>34</v>
      </c>
      <c r="Y19" s="93" t="s">
        <v>40</v>
      </c>
      <c r="Z19" s="93" t="s">
        <v>40</v>
      </c>
      <c r="AA19" s="93" t="s">
        <v>40</v>
      </c>
      <c r="AB19" s="93" t="s">
        <v>40</v>
      </c>
      <c r="AC19" s="93" t="s">
        <v>40</v>
      </c>
      <c r="AD19" s="93" t="s">
        <v>40</v>
      </c>
      <c r="AE19" s="72" t="s">
        <v>34</v>
      </c>
      <c r="AF19" s="72" t="s">
        <v>34</v>
      </c>
      <c r="AG19" s="56">
        <f t="shared" si="3"/>
        <v>0</v>
      </c>
      <c r="AH19" s="56"/>
      <c r="AI19" s="56"/>
      <c r="AJ19" s="56"/>
      <c r="AK19" s="78" t="s">
        <v>52</v>
      </c>
      <c r="AM19" s="73" t="s">
        <v>72</v>
      </c>
      <c r="AN19" s="26">
        <v>250</v>
      </c>
      <c r="AO19" s="26">
        <v>200</v>
      </c>
      <c r="AP19" s="26"/>
      <c r="AQ19" s="26">
        <f t="shared" si="4"/>
        <v>1</v>
      </c>
      <c r="AR19" s="26">
        <f t="shared" si="5"/>
        <v>0</v>
      </c>
      <c r="AS19" s="26">
        <f t="shared" si="6"/>
        <v>2</v>
      </c>
      <c r="AT19" s="26">
        <f t="shared" si="7"/>
        <v>3</v>
      </c>
      <c r="AU19" s="45">
        <f t="shared" si="8"/>
        <v>200</v>
      </c>
      <c r="AV19" s="45">
        <f t="shared" si="2"/>
        <v>0</v>
      </c>
      <c r="AW19" s="45">
        <f t="shared" si="2"/>
        <v>400</v>
      </c>
      <c r="BA19">
        <f t="shared" si="9"/>
        <v>200</v>
      </c>
    </row>
    <row r="20" spans="1:53">
      <c r="A20" s="119">
        <v>44745</v>
      </c>
      <c r="B20" s="17">
        <v>1600</v>
      </c>
      <c r="C20" s="17"/>
      <c r="D20" s="17">
        <f>(SUM(粮草!A20:X20)+AG20*10)*IF(AK20="是",$AY$4,$AY$3)</f>
        <v>1680</v>
      </c>
      <c r="E20" s="76">
        <f>SUM($B$4:B20)+SUM($C$4:C20)-SUM($D$4:D20)</f>
        <v>1782</v>
      </c>
      <c r="F20" s="17">
        <f>SUM(经验!A20:X20)</f>
        <v>570</v>
      </c>
      <c r="G20" s="17">
        <f>SUM($F$4:F20)+SUM($H$4:H20)</f>
        <v>12085</v>
      </c>
      <c r="H20" s="17">
        <v>0</v>
      </c>
      <c r="I20" s="95" t="s">
        <v>42</v>
      </c>
      <c r="J20" s="95" t="s">
        <v>42</v>
      </c>
      <c r="K20" s="95" t="s">
        <v>42</v>
      </c>
      <c r="L20" s="95" t="s">
        <v>42</v>
      </c>
      <c r="M20" s="95" t="s">
        <v>42</v>
      </c>
      <c r="N20" s="95" t="s">
        <v>42</v>
      </c>
      <c r="O20" s="72" t="s">
        <v>34</v>
      </c>
      <c r="P20" s="72" t="s">
        <v>34</v>
      </c>
      <c r="Q20" s="79" t="s">
        <v>34</v>
      </c>
      <c r="R20" s="79" t="s">
        <v>34</v>
      </c>
      <c r="S20" s="79" t="s">
        <v>34</v>
      </c>
      <c r="T20" s="79" t="s">
        <v>34</v>
      </c>
      <c r="U20" s="79" t="s">
        <v>34</v>
      </c>
      <c r="V20" s="79" t="s">
        <v>34</v>
      </c>
      <c r="W20" s="72" t="s">
        <v>34</v>
      </c>
      <c r="X20" s="72" t="s">
        <v>34</v>
      </c>
      <c r="Y20" s="93" t="s">
        <v>40</v>
      </c>
      <c r="Z20" s="93" t="s">
        <v>40</v>
      </c>
      <c r="AA20" s="93" t="s">
        <v>40</v>
      </c>
      <c r="AB20" s="93" t="s">
        <v>40</v>
      </c>
      <c r="AC20" s="93" t="s">
        <v>40</v>
      </c>
      <c r="AD20" s="93" t="s">
        <v>40</v>
      </c>
      <c r="AE20" s="72" t="s">
        <v>34</v>
      </c>
      <c r="AF20" s="72" t="s">
        <v>34</v>
      </c>
      <c r="AG20" s="56">
        <f t="shared" si="3"/>
        <v>0</v>
      </c>
      <c r="AH20" s="56"/>
      <c r="AI20" s="56"/>
      <c r="AJ20" s="56"/>
      <c r="AK20" s="78" t="s">
        <v>52</v>
      </c>
      <c r="AM20" s="73" t="s">
        <v>73</v>
      </c>
      <c r="AN20" s="26">
        <v>170</v>
      </c>
      <c r="AO20" s="26">
        <v>45</v>
      </c>
      <c r="AP20" s="26"/>
      <c r="AQ20" s="26">
        <f t="shared" si="4"/>
        <v>3</v>
      </c>
      <c r="AR20" s="26">
        <f t="shared" si="5"/>
        <v>0</v>
      </c>
      <c r="AS20" s="26">
        <f t="shared" si="6"/>
        <v>2</v>
      </c>
      <c r="AT20" s="26">
        <f t="shared" si="7"/>
        <v>5</v>
      </c>
      <c r="AU20" s="45">
        <f t="shared" si="8"/>
        <v>135</v>
      </c>
      <c r="AV20" s="45">
        <f t="shared" si="8"/>
        <v>0</v>
      </c>
      <c r="AW20" s="45">
        <f t="shared" si="8"/>
        <v>90</v>
      </c>
      <c r="BA20">
        <f t="shared" si="9"/>
        <v>136</v>
      </c>
    </row>
    <row r="21" spans="1:53">
      <c r="A21" s="119">
        <v>44746</v>
      </c>
      <c r="B21" s="18">
        <v>1600</v>
      </c>
      <c r="C21" s="18"/>
      <c r="D21" s="17">
        <f>(SUM(粮草!A21:X21)+AG21*10)*IF(AK21="是",$AY$4,$AY$3)</f>
        <v>1680</v>
      </c>
      <c r="E21" s="76">
        <f>SUM($B$4:B21)+SUM($C$4:C21)-SUM($D$4:D21)</f>
        <v>1702</v>
      </c>
      <c r="F21" s="17">
        <f>SUM(经验!A21:X21)</f>
        <v>570</v>
      </c>
      <c r="G21" s="17">
        <f>SUM($F$4:F21)+SUM($H$4:H21)</f>
        <v>12855</v>
      </c>
      <c r="H21" s="18">
        <v>200</v>
      </c>
      <c r="I21" s="95" t="s">
        <v>42</v>
      </c>
      <c r="J21" s="95" t="s">
        <v>42</v>
      </c>
      <c r="K21" s="95" t="s">
        <v>42</v>
      </c>
      <c r="L21" s="95" t="s">
        <v>42</v>
      </c>
      <c r="M21" s="95" t="s">
        <v>42</v>
      </c>
      <c r="N21" s="95" t="s">
        <v>42</v>
      </c>
      <c r="O21" s="72" t="s">
        <v>34</v>
      </c>
      <c r="P21" s="72" t="s">
        <v>34</v>
      </c>
      <c r="Q21" s="79" t="s">
        <v>34</v>
      </c>
      <c r="R21" s="79" t="s">
        <v>34</v>
      </c>
      <c r="S21" s="79" t="s">
        <v>34</v>
      </c>
      <c r="T21" s="79" t="s">
        <v>34</v>
      </c>
      <c r="U21" s="79" t="s">
        <v>34</v>
      </c>
      <c r="V21" s="79" t="s">
        <v>34</v>
      </c>
      <c r="W21" s="72" t="s">
        <v>34</v>
      </c>
      <c r="X21" s="72" t="s">
        <v>34</v>
      </c>
      <c r="Y21" s="93" t="s">
        <v>40</v>
      </c>
      <c r="Z21" s="93" t="s">
        <v>40</v>
      </c>
      <c r="AA21" s="93" t="s">
        <v>40</v>
      </c>
      <c r="AB21" s="93" t="s">
        <v>40</v>
      </c>
      <c r="AC21" s="93" t="s">
        <v>40</v>
      </c>
      <c r="AD21" s="93" t="s">
        <v>40</v>
      </c>
      <c r="AE21" s="72" t="s">
        <v>34</v>
      </c>
      <c r="AF21" s="72" t="s">
        <v>34</v>
      </c>
      <c r="AG21" s="56">
        <f t="shared" si="3"/>
        <v>0</v>
      </c>
      <c r="AH21" s="56"/>
      <c r="AI21" s="56"/>
      <c r="AJ21" s="56"/>
      <c r="AK21" s="78" t="s">
        <v>52</v>
      </c>
      <c r="AM21" s="33" t="s">
        <v>53</v>
      </c>
      <c r="AN21" s="26">
        <v>250</v>
      </c>
      <c r="AO21" s="26">
        <v>200</v>
      </c>
      <c r="AP21" s="26"/>
      <c r="AQ21" s="26">
        <f t="shared" si="4"/>
        <v>0</v>
      </c>
      <c r="AR21" s="26">
        <f t="shared" si="5"/>
        <v>0</v>
      </c>
      <c r="AS21" s="26">
        <f t="shared" si="6"/>
        <v>0</v>
      </c>
      <c r="AT21" s="26">
        <f t="shared" si="7"/>
        <v>0</v>
      </c>
      <c r="AU21" s="45">
        <f t="shared" si="8"/>
        <v>0</v>
      </c>
      <c r="AV21" s="45">
        <f t="shared" si="8"/>
        <v>0</v>
      </c>
      <c r="AW21" s="45">
        <f t="shared" si="8"/>
        <v>0</v>
      </c>
      <c r="BA21">
        <f t="shared" si="9"/>
        <v>200</v>
      </c>
    </row>
    <row r="22" spans="1:53">
      <c r="A22" s="119">
        <v>44747</v>
      </c>
      <c r="B22" s="18">
        <v>1600</v>
      </c>
      <c r="C22" s="18"/>
      <c r="D22" s="17">
        <f>(SUM(粮草!A22:X22)+AG22*10)*IF(AK22="是",$AY$4,$AY$3)</f>
        <v>1576</v>
      </c>
      <c r="E22" s="76">
        <f>SUM($B$4:B22)+SUM($C$4:C22)-SUM($D$4:D22)</f>
        <v>1726</v>
      </c>
      <c r="F22" s="17">
        <f>SUM(经验!A22:X22)</f>
        <v>550</v>
      </c>
      <c r="G22" s="17">
        <f>SUM($F$4:F22)+SUM($H$4:H22)</f>
        <v>13505</v>
      </c>
      <c r="H22" s="18">
        <v>100</v>
      </c>
      <c r="I22" s="95" t="s">
        <v>42</v>
      </c>
      <c r="J22" s="90" t="s">
        <v>39</v>
      </c>
      <c r="K22" s="95" t="s">
        <v>42</v>
      </c>
      <c r="L22" s="95" t="s">
        <v>42</v>
      </c>
      <c r="M22" s="95" t="s">
        <v>42</v>
      </c>
      <c r="N22" s="95" t="s">
        <v>42</v>
      </c>
      <c r="O22" s="72" t="s">
        <v>34</v>
      </c>
      <c r="P22" s="72" t="s">
        <v>34</v>
      </c>
      <c r="Q22" s="79" t="s">
        <v>34</v>
      </c>
      <c r="R22" s="79" t="s">
        <v>34</v>
      </c>
      <c r="S22" s="79" t="s">
        <v>34</v>
      </c>
      <c r="T22" s="79" t="s">
        <v>34</v>
      </c>
      <c r="U22" s="79" t="s">
        <v>34</v>
      </c>
      <c r="V22" s="79" t="s">
        <v>34</v>
      </c>
      <c r="W22" s="72" t="s">
        <v>34</v>
      </c>
      <c r="X22" s="72" t="s">
        <v>34</v>
      </c>
      <c r="Y22" s="93" t="s">
        <v>40</v>
      </c>
      <c r="Z22" s="93" t="s">
        <v>40</v>
      </c>
      <c r="AA22" s="93" t="s">
        <v>40</v>
      </c>
      <c r="AB22" s="93" t="s">
        <v>40</v>
      </c>
      <c r="AC22" s="93" t="s">
        <v>40</v>
      </c>
      <c r="AD22" s="93" t="s">
        <v>40</v>
      </c>
      <c r="AE22" s="72" t="s">
        <v>34</v>
      </c>
      <c r="AF22" s="72" t="s">
        <v>34</v>
      </c>
      <c r="AG22" s="56">
        <f t="shared" si="3"/>
        <v>0</v>
      </c>
      <c r="AH22" s="56"/>
      <c r="AI22" s="56"/>
      <c r="AJ22" s="56"/>
      <c r="AK22" s="78" t="s">
        <v>52</v>
      </c>
      <c r="AM22" s="34" t="s">
        <v>54</v>
      </c>
      <c r="AN22" s="26">
        <v>250</v>
      </c>
      <c r="AO22" s="26">
        <v>1000</v>
      </c>
      <c r="AP22" s="26"/>
      <c r="AQ22" s="26">
        <f t="shared" si="4"/>
        <v>2</v>
      </c>
      <c r="AR22" s="26">
        <f t="shared" si="5"/>
        <v>0</v>
      </c>
      <c r="AS22" s="26">
        <f t="shared" si="6"/>
        <v>0</v>
      </c>
      <c r="AT22" s="26">
        <f t="shared" si="7"/>
        <v>2</v>
      </c>
      <c r="AU22" s="45">
        <f t="shared" si="8"/>
        <v>2000</v>
      </c>
      <c r="AV22" s="45">
        <f t="shared" si="8"/>
        <v>0</v>
      </c>
      <c r="AW22" s="45">
        <f t="shared" si="8"/>
        <v>0</v>
      </c>
      <c r="BA22">
        <f t="shared" si="9"/>
        <v>200</v>
      </c>
    </row>
    <row r="23" spans="1:53">
      <c r="A23" s="119">
        <v>44748</v>
      </c>
      <c r="B23" s="18">
        <v>1600</v>
      </c>
      <c r="C23" s="18"/>
      <c r="D23" s="17">
        <f>(SUM(粮草!A23:X23)+AG23*10)*IF(AK23="是",$AY$4,$AY$3)</f>
        <v>1584</v>
      </c>
      <c r="E23" s="76">
        <f>SUM($B$4:B23)+SUM($C$4:C23)-SUM($D$4:D23)</f>
        <v>1742</v>
      </c>
      <c r="F23" s="17">
        <f>SUM(经验!A23:X23)</f>
        <v>555</v>
      </c>
      <c r="G23" s="17">
        <f>SUM($F$4:F23)+SUM($H$4:H23)</f>
        <v>14260</v>
      </c>
      <c r="H23" s="18">
        <v>200</v>
      </c>
      <c r="I23" s="95" t="s">
        <v>42</v>
      </c>
      <c r="J23" s="95" t="s">
        <v>42</v>
      </c>
      <c r="K23" s="95" t="s">
        <v>42</v>
      </c>
      <c r="L23" s="95" t="s">
        <v>42</v>
      </c>
      <c r="M23" s="95" t="s">
        <v>42</v>
      </c>
      <c r="N23" s="95" t="s">
        <v>42</v>
      </c>
      <c r="O23" s="72" t="s">
        <v>34</v>
      </c>
      <c r="P23" s="72" t="s">
        <v>34</v>
      </c>
      <c r="Q23" s="79" t="s">
        <v>34</v>
      </c>
      <c r="R23" s="79" t="s">
        <v>34</v>
      </c>
      <c r="S23" s="79" t="s">
        <v>34</v>
      </c>
      <c r="T23" s="79" t="s">
        <v>34</v>
      </c>
      <c r="U23" s="79" t="s">
        <v>34</v>
      </c>
      <c r="V23" s="79" t="s">
        <v>34</v>
      </c>
      <c r="W23" s="72" t="s">
        <v>34</v>
      </c>
      <c r="X23" s="72" t="s">
        <v>34</v>
      </c>
      <c r="Y23" s="93" t="s">
        <v>40</v>
      </c>
      <c r="Z23" s="90" t="s">
        <v>39</v>
      </c>
      <c r="AA23" s="93" t="s">
        <v>40</v>
      </c>
      <c r="AB23" s="93" t="s">
        <v>40</v>
      </c>
      <c r="AC23" s="93" t="s">
        <v>40</v>
      </c>
      <c r="AD23" s="93" t="s">
        <v>40</v>
      </c>
      <c r="AE23" s="72" t="s">
        <v>34</v>
      </c>
      <c r="AF23" s="72" t="s">
        <v>34</v>
      </c>
      <c r="AG23" s="56">
        <f t="shared" si="3"/>
        <v>0</v>
      </c>
      <c r="AH23" s="56"/>
      <c r="AI23" s="56"/>
      <c r="AJ23" s="56"/>
      <c r="AK23" s="78" t="s">
        <v>52</v>
      </c>
      <c r="AM23" s="35" t="s">
        <v>55</v>
      </c>
      <c r="AN23" s="26">
        <v>250</v>
      </c>
      <c r="AO23" s="26">
        <v>500</v>
      </c>
      <c r="AP23" s="26"/>
      <c r="AQ23" s="26">
        <f t="shared" si="4"/>
        <v>1</v>
      </c>
      <c r="AR23" s="26">
        <f t="shared" si="5"/>
        <v>0</v>
      </c>
      <c r="AS23" s="26">
        <f t="shared" si="6"/>
        <v>1</v>
      </c>
      <c r="AT23" s="26">
        <f t="shared" si="7"/>
        <v>2</v>
      </c>
      <c r="AU23" s="45">
        <f t="shared" si="8"/>
        <v>500</v>
      </c>
      <c r="AV23" s="45">
        <f t="shared" si="8"/>
        <v>0</v>
      </c>
      <c r="AW23" s="45">
        <f t="shared" si="8"/>
        <v>500</v>
      </c>
      <c r="BA23">
        <f t="shared" si="9"/>
        <v>200</v>
      </c>
    </row>
    <row r="24" spans="1:53">
      <c r="A24" s="119">
        <v>44749</v>
      </c>
      <c r="B24" s="18">
        <v>1600</v>
      </c>
      <c r="C24" s="18"/>
      <c r="D24" s="17">
        <f>(SUM(粮草!A24:X24)+AG24*10)*IF(AK24="是",$AY$4,$AY$3)</f>
        <v>1680</v>
      </c>
      <c r="E24" s="76">
        <f>SUM($B$4:B24)+SUM($C$4:C24)-SUM($D$4:D24)</f>
        <v>1662</v>
      </c>
      <c r="F24" s="17">
        <f>SUM(经验!A24:X24)</f>
        <v>570</v>
      </c>
      <c r="G24" s="17">
        <f>SUM($F$4:F24)+SUM($H$4:H24)</f>
        <v>14830</v>
      </c>
      <c r="H24" s="18">
        <v>0</v>
      </c>
      <c r="I24" s="95" t="s">
        <v>42</v>
      </c>
      <c r="J24" s="95" t="s">
        <v>42</v>
      </c>
      <c r="K24" s="95" t="s">
        <v>42</v>
      </c>
      <c r="L24" s="95" t="s">
        <v>42</v>
      </c>
      <c r="M24" s="95" t="s">
        <v>42</v>
      </c>
      <c r="N24" s="95" t="s">
        <v>42</v>
      </c>
      <c r="O24" s="72" t="s">
        <v>34</v>
      </c>
      <c r="P24" s="72" t="s">
        <v>34</v>
      </c>
      <c r="Q24" s="79" t="s">
        <v>34</v>
      </c>
      <c r="R24" s="79" t="s">
        <v>34</v>
      </c>
      <c r="S24" s="79" t="s">
        <v>34</v>
      </c>
      <c r="T24" s="79" t="s">
        <v>34</v>
      </c>
      <c r="U24" s="79" t="s">
        <v>34</v>
      </c>
      <c r="V24" s="79" t="s">
        <v>34</v>
      </c>
      <c r="W24" s="72" t="s">
        <v>34</v>
      </c>
      <c r="X24" s="72" t="s">
        <v>34</v>
      </c>
      <c r="Y24" s="93" t="s">
        <v>40</v>
      </c>
      <c r="Z24" s="93" t="s">
        <v>40</v>
      </c>
      <c r="AA24" s="93" t="s">
        <v>40</v>
      </c>
      <c r="AB24" s="93" t="s">
        <v>40</v>
      </c>
      <c r="AC24" s="93" t="s">
        <v>40</v>
      </c>
      <c r="AD24" s="93" t="s">
        <v>40</v>
      </c>
      <c r="AE24" s="72" t="s">
        <v>34</v>
      </c>
      <c r="AF24" s="72" t="s">
        <v>34</v>
      </c>
      <c r="AG24" s="56">
        <f t="shared" si="3"/>
        <v>0</v>
      </c>
      <c r="AH24" s="56"/>
      <c r="AI24" s="56"/>
      <c r="AJ24" s="56"/>
      <c r="AK24" s="78" t="s">
        <v>52</v>
      </c>
      <c r="AM24" s="36" t="s">
        <v>56</v>
      </c>
      <c r="AN24" s="26">
        <v>160</v>
      </c>
      <c r="AO24" s="26">
        <v>40</v>
      </c>
      <c r="AP24" s="26">
        <v>39.110982162825422</v>
      </c>
      <c r="AQ24" s="26">
        <f t="shared" si="4"/>
        <v>0</v>
      </c>
      <c r="AR24" s="26">
        <f t="shared" si="5"/>
        <v>0</v>
      </c>
      <c r="AS24" s="26">
        <f t="shared" si="6"/>
        <v>0</v>
      </c>
      <c r="AT24" s="26">
        <f t="shared" si="7"/>
        <v>0</v>
      </c>
      <c r="AU24" s="45">
        <f t="shared" si="8"/>
        <v>0</v>
      </c>
      <c r="AV24" s="45">
        <f t="shared" si="8"/>
        <v>0</v>
      </c>
      <c r="AW24" s="45">
        <f t="shared" si="8"/>
        <v>0</v>
      </c>
      <c r="BA24">
        <f t="shared" si="9"/>
        <v>128</v>
      </c>
    </row>
    <row r="25" spans="1:53">
      <c r="A25" s="119">
        <v>44750</v>
      </c>
      <c r="B25" s="18">
        <v>1600</v>
      </c>
      <c r="C25" s="18"/>
      <c r="D25" s="17">
        <f>(SUM(粮草!A25:X25)+AG25*10)*IF(AK25="是",$AY$4,$AY$3)</f>
        <v>1664</v>
      </c>
      <c r="E25" s="76">
        <f>SUM($B$4:B25)+SUM($C$4:C25)-SUM($D$4:D25)</f>
        <v>1598</v>
      </c>
      <c r="F25" s="17">
        <f>SUM(经验!A25:X25)</f>
        <v>570</v>
      </c>
      <c r="G25" s="17">
        <f>SUM($F$4:F25)+SUM($H$4:H25)</f>
        <v>15400</v>
      </c>
      <c r="H25" s="18">
        <v>0</v>
      </c>
      <c r="I25" s="95" t="s">
        <v>42</v>
      </c>
      <c r="J25" s="95" t="s">
        <v>42</v>
      </c>
      <c r="K25" s="95" t="s">
        <v>42</v>
      </c>
      <c r="L25" s="95" t="s">
        <v>42</v>
      </c>
      <c r="M25" s="95" t="s">
        <v>42</v>
      </c>
      <c r="N25" s="95" t="s">
        <v>42</v>
      </c>
      <c r="O25" s="72" t="s">
        <v>34</v>
      </c>
      <c r="P25" s="72" t="s">
        <v>34</v>
      </c>
      <c r="Q25" s="79" t="s">
        <v>34</v>
      </c>
      <c r="R25" s="79" t="s">
        <v>34</v>
      </c>
      <c r="S25" s="79" t="s">
        <v>34</v>
      </c>
      <c r="T25" s="79" t="s">
        <v>34</v>
      </c>
      <c r="U25" s="79" t="s">
        <v>34</v>
      </c>
      <c r="V25" s="79" t="s">
        <v>34</v>
      </c>
      <c r="W25" s="72" t="s">
        <v>34</v>
      </c>
      <c r="X25" s="72" t="s">
        <v>34</v>
      </c>
      <c r="Y25" s="93" t="s">
        <v>40</v>
      </c>
      <c r="Z25" s="93" t="s">
        <v>40</v>
      </c>
      <c r="AA25" s="94" t="s">
        <v>47</v>
      </c>
      <c r="AB25" s="93" t="s">
        <v>40</v>
      </c>
      <c r="AC25" s="93" t="s">
        <v>40</v>
      </c>
      <c r="AD25" s="93" t="s">
        <v>40</v>
      </c>
      <c r="AE25" s="72" t="s">
        <v>34</v>
      </c>
      <c r="AF25" s="72" t="s">
        <v>34</v>
      </c>
      <c r="AG25" s="56">
        <f t="shared" si="3"/>
        <v>0</v>
      </c>
      <c r="AH25" s="56"/>
      <c r="AI25" s="56"/>
      <c r="AJ25" s="56"/>
      <c r="AK25" s="78" t="s">
        <v>52</v>
      </c>
      <c r="AM25" s="36" t="s">
        <v>57</v>
      </c>
      <c r="AN25" s="26">
        <v>160</v>
      </c>
      <c r="AO25" s="26">
        <v>40</v>
      </c>
      <c r="AP25" s="26">
        <v>39.110982162825422</v>
      </c>
      <c r="AQ25" s="26">
        <f t="shared" si="4"/>
        <v>0</v>
      </c>
      <c r="AR25" s="26">
        <f t="shared" si="5"/>
        <v>0</v>
      </c>
      <c r="AS25" s="26">
        <f t="shared" si="6"/>
        <v>0</v>
      </c>
      <c r="AT25" s="26">
        <f t="shared" si="7"/>
        <v>0</v>
      </c>
      <c r="AU25" s="45">
        <f t="shared" si="8"/>
        <v>0</v>
      </c>
      <c r="AV25" s="45">
        <f t="shared" si="8"/>
        <v>0</v>
      </c>
      <c r="AW25" s="45">
        <f t="shared" si="8"/>
        <v>0</v>
      </c>
      <c r="BA25">
        <f t="shared" si="9"/>
        <v>128</v>
      </c>
    </row>
    <row r="26" spans="1:53">
      <c r="A26" s="119">
        <v>44751</v>
      </c>
      <c r="B26" s="18">
        <v>1600</v>
      </c>
      <c r="C26" s="18"/>
      <c r="D26" s="17">
        <f>(SUM(粮草!A26:X26)+AG26*10)*IF(AK26="是",$AY$4,$AY$3)</f>
        <v>1576</v>
      </c>
      <c r="E26" s="76">
        <f>SUM($B$4:B26)+SUM($C$4:C26)-SUM($D$4:D26)</f>
        <v>1622</v>
      </c>
      <c r="F26" s="17">
        <f>SUM(经验!A26:X26)</f>
        <v>550</v>
      </c>
      <c r="G26" s="17">
        <f>SUM($F$4:F26)+SUM($H$4:H26)</f>
        <v>15950</v>
      </c>
      <c r="H26" s="18">
        <v>0</v>
      </c>
      <c r="I26" s="95" t="s">
        <v>42</v>
      </c>
      <c r="J26" s="95" t="s">
        <v>42</v>
      </c>
      <c r="K26" s="95" t="s">
        <v>42</v>
      </c>
      <c r="L26" s="90" t="s">
        <v>39</v>
      </c>
      <c r="M26" s="95" t="s">
        <v>42</v>
      </c>
      <c r="N26" s="95" t="s">
        <v>42</v>
      </c>
      <c r="O26" s="72" t="s">
        <v>34</v>
      </c>
      <c r="P26" s="72" t="s">
        <v>34</v>
      </c>
      <c r="Q26" s="79" t="s">
        <v>34</v>
      </c>
      <c r="R26" s="79" t="s">
        <v>34</v>
      </c>
      <c r="S26" s="79" t="s">
        <v>34</v>
      </c>
      <c r="T26" s="79" t="s">
        <v>34</v>
      </c>
      <c r="U26" s="79" t="s">
        <v>34</v>
      </c>
      <c r="V26" s="79" t="s">
        <v>34</v>
      </c>
      <c r="W26" s="72" t="s">
        <v>34</v>
      </c>
      <c r="X26" s="72" t="s">
        <v>34</v>
      </c>
      <c r="Y26" s="93" t="s">
        <v>40</v>
      </c>
      <c r="Z26" s="93" t="s">
        <v>40</v>
      </c>
      <c r="AA26" s="93" t="s">
        <v>40</v>
      </c>
      <c r="AB26" s="93" t="s">
        <v>40</v>
      </c>
      <c r="AC26" s="93" t="s">
        <v>40</v>
      </c>
      <c r="AD26" s="93" t="s">
        <v>40</v>
      </c>
      <c r="AE26" s="72" t="s">
        <v>34</v>
      </c>
      <c r="AF26" s="72" t="s">
        <v>34</v>
      </c>
      <c r="AG26" s="56">
        <f t="shared" si="3"/>
        <v>0</v>
      </c>
      <c r="AH26" s="56"/>
      <c r="AI26" s="56"/>
      <c r="AJ26" s="56"/>
      <c r="AK26" s="78" t="s">
        <v>52</v>
      </c>
      <c r="AM26" s="36" t="s">
        <v>58</v>
      </c>
      <c r="AN26" s="26">
        <v>150</v>
      </c>
      <c r="AO26" s="26">
        <v>35</v>
      </c>
      <c r="AP26" s="26">
        <v>44.222109392472248</v>
      </c>
      <c r="AQ26" s="26">
        <f t="shared" si="4"/>
        <v>0</v>
      </c>
      <c r="AR26" s="26">
        <f t="shared" si="5"/>
        <v>0</v>
      </c>
      <c r="AS26" s="26">
        <f t="shared" si="6"/>
        <v>0</v>
      </c>
      <c r="AT26" s="26">
        <f t="shared" si="7"/>
        <v>0</v>
      </c>
      <c r="AU26" s="45">
        <f t="shared" si="8"/>
        <v>0</v>
      </c>
      <c r="AV26" s="45">
        <f t="shared" si="8"/>
        <v>0</v>
      </c>
      <c r="AW26" s="45">
        <f t="shared" si="8"/>
        <v>0</v>
      </c>
      <c r="BA26">
        <f t="shared" si="9"/>
        <v>120</v>
      </c>
    </row>
    <row r="27" spans="1:53">
      <c r="A27" s="119">
        <v>44752</v>
      </c>
      <c r="B27" s="18">
        <v>1600</v>
      </c>
      <c r="C27" s="18"/>
      <c r="D27" s="17">
        <f>(SUM(粮草!A27:X27)+AG27*10)*IF(AK27="是",$AY$4,$AY$3)</f>
        <v>1632</v>
      </c>
      <c r="E27" s="76">
        <f>SUM($B$4:B27)+SUM($C$4:C27)-SUM($D$4:D27)</f>
        <v>1590</v>
      </c>
      <c r="F27" s="17">
        <f>SUM(经验!A27:X27)</f>
        <v>615</v>
      </c>
      <c r="G27" s="17">
        <f>SUM($F$4:F27)+SUM($H$4:H27)</f>
        <v>16565</v>
      </c>
      <c r="H27" s="18">
        <v>0</v>
      </c>
      <c r="I27" s="95" t="s">
        <v>42</v>
      </c>
      <c r="J27" s="97" t="s">
        <v>48</v>
      </c>
      <c r="K27" s="95" t="s">
        <v>42</v>
      </c>
      <c r="L27" s="95" t="s">
        <v>42</v>
      </c>
      <c r="M27" s="95" t="s">
        <v>42</v>
      </c>
      <c r="N27" s="95" t="s">
        <v>42</v>
      </c>
      <c r="O27" s="72" t="s">
        <v>34</v>
      </c>
      <c r="P27" s="72" t="s">
        <v>34</v>
      </c>
      <c r="Q27" s="79" t="s">
        <v>34</v>
      </c>
      <c r="R27" s="79" t="s">
        <v>34</v>
      </c>
      <c r="S27" s="79" t="s">
        <v>34</v>
      </c>
      <c r="T27" s="79" t="s">
        <v>34</v>
      </c>
      <c r="U27" s="79" t="s">
        <v>34</v>
      </c>
      <c r="V27" s="79" t="s">
        <v>34</v>
      </c>
      <c r="W27" s="72" t="s">
        <v>34</v>
      </c>
      <c r="X27" s="72" t="s">
        <v>34</v>
      </c>
      <c r="Y27" s="93" t="s">
        <v>40</v>
      </c>
      <c r="Z27" s="93" t="s">
        <v>40</v>
      </c>
      <c r="AA27" s="93" t="s">
        <v>40</v>
      </c>
      <c r="AB27" s="92" t="s">
        <v>59</v>
      </c>
      <c r="AC27" s="93" t="s">
        <v>40</v>
      </c>
      <c r="AD27" s="93" t="s">
        <v>40</v>
      </c>
      <c r="AE27" s="93" t="s">
        <v>40</v>
      </c>
      <c r="AF27" s="93" t="s">
        <v>40</v>
      </c>
      <c r="AG27" s="56">
        <f t="shared" si="3"/>
        <v>0</v>
      </c>
      <c r="AH27" s="56"/>
      <c r="AI27" s="56"/>
      <c r="AJ27" s="56"/>
      <c r="AK27" s="78" t="s">
        <v>52</v>
      </c>
      <c r="AM27" s="37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5">
        <f t="shared" si="8"/>
        <v>0</v>
      </c>
      <c r="AV27" s="45">
        <f t="shared" si="8"/>
        <v>0</v>
      </c>
      <c r="AW27" s="45">
        <f t="shared" si="8"/>
        <v>0</v>
      </c>
      <c r="BA27">
        <f t="shared" si="9"/>
        <v>0</v>
      </c>
    </row>
    <row r="28" spans="1:53" ht="15.75" thickBot="1">
      <c r="A28" s="119">
        <v>44753</v>
      </c>
      <c r="B28" s="17">
        <v>1600</v>
      </c>
      <c r="C28" s="17"/>
      <c r="D28" s="17">
        <f>(SUM(粮草!A28:X28)+AG28*10)*IF(AK28="是",$AY$4,$AY$3)</f>
        <v>1680</v>
      </c>
      <c r="E28" s="76">
        <f>SUM($B$4:B28)+SUM($C$4:C28)-SUM($D$4:D28)</f>
        <v>1510</v>
      </c>
      <c r="F28" s="17">
        <f>SUM(经验!A28:X28)</f>
        <v>585</v>
      </c>
      <c r="G28" s="17">
        <f>SUM($F$4:F28)+SUM($H$4:H28)</f>
        <v>17350</v>
      </c>
      <c r="H28" s="17">
        <v>200</v>
      </c>
      <c r="I28" s="95" t="s">
        <v>42</v>
      </c>
      <c r="J28" s="95" t="s">
        <v>42</v>
      </c>
      <c r="K28" s="97" t="s">
        <v>48</v>
      </c>
      <c r="L28" s="98" t="s">
        <v>43</v>
      </c>
      <c r="M28" s="98" t="s">
        <v>43</v>
      </c>
      <c r="N28" s="98" t="s">
        <v>43</v>
      </c>
      <c r="O28" s="72" t="s">
        <v>34</v>
      </c>
      <c r="P28" s="72" t="s">
        <v>34</v>
      </c>
      <c r="Q28" s="79" t="s">
        <v>34</v>
      </c>
      <c r="R28" s="79" t="s">
        <v>34</v>
      </c>
      <c r="S28" s="79" t="s">
        <v>34</v>
      </c>
      <c r="T28" s="79" t="s">
        <v>34</v>
      </c>
      <c r="U28" s="79" t="s">
        <v>34</v>
      </c>
      <c r="V28" s="79" t="s">
        <v>34</v>
      </c>
      <c r="W28" s="72" t="s">
        <v>34</v>
      </c>
      <c r="X28" s="72" t="s">
        <v>34</v>
      </c>
      <c r="Y28" s="93" t="s">
        <v>40</v>
      </c>
      <c r="Z28" s="93" t="s">
        <v>40</v>
      </c>
      <c r="AA28" s="93" t="s">
        <v>40</v>
      </c>
      <c r="AB28" s="93" t="s">
        <v>40</v>
      </c>
      <c r="AC28" s="93" t="s">
        <v>40</v>
      </c>
      <c r="AD28" s="93" t="s">
        <v>40</v>
      </c>
      <c r="AE28" s="72" t="s">
        <v>34</v>
      </c>
      <c r="AF28" s="72" t="s">
        <v>34</v>
      </c>
      <c r="AG28" s="56">
        <f t="shared" si="3"/>
        <v>0</v>
      </c>
      <c r="AH28" s="56"/>
      <c r="AI28" s="56"/>
      <c r="AJ28" s="56"/>
      <c r="AK28" s="78" t="s">
        <v>52</v>
      </c>
      <c r="AL28" s="38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COUNTIF($I$4:$P$94,AM28)</f>
        <v>6</v>
      </c>
      <c r="AR28" s="26">
        <f>COUNTIF($Q$4:$X$94,AM28)</f>
        <v>2</v>
      </c>
      <c r="AS28" s="26">
        <f>COUNTIF($Y$4:$AF$94,AM28)</f>
        <v>4</v>
      </c>
      <c r="AT28" s="26">
        <f>AQ28+AR28+AS28</f>
        <v>12</v>
      </c>
      <c r="AU28" s="45">
        <f t="shared" si="8"/>
        <v>0</v>
      </c>
      <c r="AV28" s="45">
        <f t="shared" si="8"/>
        <v>0</v>
      </c>
      <c r="AW28" s="45">
        <f t="shared" si="8"/>
        <v>0</v>
      </c>
      <c r="BA28">
        <f t="shared" si="9"/>
        <v>-160</v>
      </c>
    </row>
    <row r="29" spans="1:53">
      <c r="A29" s="119">
        <v>44754</v>
      </c>
      <c r="B29" s="17">
        <v>1600</v>
      </c>
      <c r="C29" s="17"/>
      <c r="D29" s="17">
        <f>(SUM(粮草!A29:X29)+AG29*10)*IF(AK29="是",$AY$4,$AY$3)</f>
        <v>1704</v>
      </c>
      <c r="E29" s="76">
        <f>SUM($B$4:B29)+SUM($C$4:C29)-SUM($D$4:D29)</f>
        <v>1406</v>
      </c>
      <c r="F29" s="17">
        <f>SUM(经验!A29:X29)</f>
        <v>595</v>
      </c>
      <c r="G29" s="17">
        <f>SUM($F$4:F29)+SUM($H$4:H29)</f>
        <v>18045</v>
      </c>
      <c r="H29" s="17">
        <v>100</v>
      </c>
      <c r="I29" s="98" t="s">
        <v>43</v>
      </c>
      <c r="J29" s="95" t="s">
        <v>42</v>
      </c>
      <c r="K29" s="98" t="s">
        <v>43</v>
      </c>
      <c r="L29" s="98" t="s">
        <v>43</v>
      </c>
      <c r="M29" s="98" t="s">
        <v>43</v>
      </c>
      <c r="N29" s="98" t="s">
        <v>43</v>
      </c>
      <c r="O29" s="72" t="s">
        <v>34</v>
      </c>
      <c r="P29" s="72" t="s">
        <v>34</v>
      </c>
      <c r="Q29" s="79" t="s">
        <v>34</v>
      </c>
      <c r="R29" s="79" t="s">
        <v>34</v>
      </c>
      <c r="S29" s="79" t="s">
        <v>34</v>
      </c>
      <c r="T29" s="79" t="s">
        <v>34</v>
      </c>
      <c r="U29" s="79" t="s">
        <v>34</v>
      </c>
      <c r="V29" s="79" t="s">
        <v>34</v>
      </c>
      <c r="W29" s="72" t="s">
        <v>34</v>
      </c>
      <c r="X29" s="72" t="s">
        <v>34</v>
      </c>
      <c r="Y29" s="93" t="s">
        <v>40</v>
      </c>
      <c r="Z29" s="93" t="s">
        <v>40</v>
      </c>
      <c r="AA29" s="93" t="s">
        <v>40</v>
      </c>
      <c r="AB29" s="93" t="s">
        <v>40</v>
      </c>
      <c r="AC29" s="93" t="s">
        <v>40</v>
      </c>
      <c r="AD29" s="94" t="s">
        <v>47</v>
      </c>
      <c r="AE29" s="72" t="s">
        <v>34</v>
      </c>
      <c r="AF29" s="72" t="s">
        <v>34</v>
      </c>
      <c r="AG29" s="56">
        <f t="shared" si="3"/>
        <v>0</v>
      </c>
      <c r="AH29" s="56"/>
      <c r="AI29" s="56"/>
      <c r="AJ29" s="56"/>
      <c r="AK29" s="78" t="s">
        <v>52</v>
      </c>
      <c r="AM29" s="77" t="s">
        <v>71</v>
      </c>
      <c r="AN29" s="26">
        <v>50</v>
      </c>
      <c r="AO29" s="26">
        <v>520</v>
      </c>
      <c r="AP29" s="26"/>
      <c r="AQ29" s="26">
        <f>COUNTIF($I$4:$P$94,AM29)</f>
        <v>1</v>
      </c>
      <c r="AR29" s="26">
        <f>COUNTIF($Q$4:$X$94,AM29)</f>
        <v>0</v>
      </c>
      <c r="AS29" s="26">
        <f>COUNTIF($Y$4:$AF$94,AM29)</f>
        <v>2</v>
      </c>
      <c r="AT29" s="26">
        <f>AQ29+AR29+AS29</f>
        <v>3</v>
      </c>
      <c r="AU29" s="45">
        <f t="shared" ref="AU29" si="10">AQ29*$AO29</f>
        <v>520</v>
      </c>
      <c r="AV29" s="45">
        <f t="shared" ref="AV29" si="11">AR29*$AO29</f>
        <v>0</v>
      </c>
      <c r="AW29" s="45">
        <f t="shared" ref="AW29" si="12">AS29*$AO29</f>
        <v>1040</v>
      </c>
      <c r="BA29">
        <f t="shared" si="9"/>
        <v>40</v>
      </c>
    </row>
    <row r="30" spans="1:53">
      <c r="A30" s="119">
        <v>44755</v>
      </c>
      <c r="B30" s="17">
        <v>1600</v>
      </c>
      <c r="C30" s="17"/>
      <c r="D30" s="17">
        <f>(SUM(粮草!A30:X30)+AG30*10)*IF(AK30="是",$AY$4,$AY$3)</f>
        <v>1632</v>
      </c>
      <c r="E30" s="76">
        <f>SUM($B$4:B30)+SUM($C$4:C30)-SUM($D$4:D30)</f>
        <v>1374</v>
      </c>
      <c r="F30" s="17">
        <f>SUM(经验!A30:X30)</f>
        <v>585</v>
      </c>
      <c r="G30" s="17">
        <f>SUM($F$4:F30)+SUM($H$4:H30)</f>
        <v>18830</v>
      </c>
      <c r="H30" s="17">
        <v>200</v>
      </c>
      <c r="I30" s="98" t="s">
        <v>43</v>
      </c>
      <c r="J30" s="98" t="s">
        <v>43</v>
      </c>
      <c r="K30" s="98" t="s">
        <v>43</v>
      </c>
      <c r="L30" s="98" t="s">
        <v>43</v>
      </c>
      <c r="M30" s="98" t="s">
        <v>43</v>
      </c>
      <c r="N30" s="98" t="s">
        <v>43</v>
      </c>
      <c r="O30" s="72" t="s">
        <v>34</v>
      </c>
      <c r="P30" s="72" t="s">
        <v>34</v>
      </c>
      <c r="Q30" s="79" t="s">
        <v>34</v>
      </c>
      <c r="R30" s="79" t="s">
        <v>34</v>
      </c>
      <c r="S30" s="79" t="s">
        <v>34</v>
      </c>
      <c r="T30" s="79" t="s">
        <v>34</v>
      </c>
      <c r="U30" s="79" t="s">
        <v>34</v>
      </c>
      <c r="V30" s="79" t="s">
        <v>34</v>
      </c>
      <c r="W30" s="72" t="s">
        <v>34</v>
      </c>
      <c r="X30" s="72" t="s">
        <v>34</v>
      </c>
      <c r="Y30" s="93" t="s">
        <v>40</v>
      </c>
      <c r="Z30" s="93" t="s">
        <v>40</v>
      </c>
      <c r="AA30" s="93" t="s">
        <v>40</v>
      </c>
      <c r="AB30" s="93" t="s">
        <v>40</v>
      </c>
      <c r="AC30" s="90" t="s">
        <v>39</v>
      </c>
      <c r="AD30" s="93" t="s">
        <v>40</v>
      </c>
      <c r="AE30" s="72" t="s">
        <v>34</v>
      </c>
      <c r="AF30" s="72" t="s">
        <v>34</v>
      </c>
      <c r="AG30" s="56">
        <f t="shared" si="3"/>
        <v>0</v>
      </c>
      <c r="AH30" s="56"/>
      <c r="AI30" s="56"/>
      <c r="AJ30" s="56"/>
      <c r="AK30" s="78" t="s">
        <v>52</v>
      </c>
      <c r="AM30" s="26"/>
      <c r="AN30" s="26"/>
      <c r="AO30" s="26"/>
      <c r="AP30" s="45"/>
    </row>
    <row r="31" spans="1:53">
      <c r="A31" s="119">
        <v>44756</v>
      </c>
      <c r="B31" s="17">
        <v>1600</v>
      </c>
      <c r="C31" s="17"/>
      <c r="D31" s="17">
        <f>(SUM(粮草!A31:X31)+AG31*10)*IF(AK31="是",$AY$4,$AY$3)</f>
        <v>1728</v>
      </c>
      <c r="E31" s="76">
        <f>SUM($B$4:B31)+SUM($C$4:C31)-SUM($D$4:D31)</f>
        <v>1246</v>
      </c>
      <c r="F31" s="17">
        <f>SUM(经验!A31:X31)</f>
        <v>600</v>
      </c>
      <c r="G31" s="17">
        <f>SUM($F$4:F31)+SUM($H$4:H31)</f>
        <v>19430</v>
      </c>
      <c r="H31" s="17">
        <v>0</v>
      </c>
      <c r="I31" s="98" t="s">
        <v>43</v>
      </c>
      <c r="J31" s="98" t="s">
        <v>43</v>
      </c>
      <c r="K31" s="98" t="s">
        <v>43</v>
      </c>
      <c r="L31" s="98" t="s">
        <v>43</v>
      </c>
      <c r="M31" s="98" t="s">
        <v>43</v>
      </c>
      <c r="N31" s="98" t="s">
        <v>43</v>
      </c>
      <c r="O31" s="72" t="s">
        <v>34</v>
      </c>
      <c r="P31" s="72" t="s">
        <v>34</v>
      </c>
      <c r="Q31" s="79" t="s">
        <v>34</v>
      </c>
      <c r="R31" s="79" t="s">
        <v>34</v>
      </c>
      <c r="S31" s="79" t="s">
        <v>34</v>
      </c>
      <c r="T31" s="79" t="s">
        <v>34</v>
      </c>
      <c r="U31" s="79" t="s">
        <v>34</v>
      </c>
      <c r="V31" s="79" t="s">
        <v>34</v>
      </c>
      <c r="W31" s="72" t="s">
        <v>34</v>
      </c>
      <c r="X31" s="72" t="s">
        <v>34</v>
      </c>
      <c r="Y31" s="93" t="s">
        <v>40</v>
      </c>
      <c r="Z31" s="93" t="s">
        <v>40</v>
      </c>
      <c r="AA31" s="93" t="s">
        <v>40</v>
      </c>
      <c r="AB31" s="93" t="s">
        <v>40</v>
      </c>
      <c r="AC31" s="93" t="s">
        <v>40</v>
      </c>
      <c r="AD31" s="93" t="s">
        <v>40</v>
      </c>
      <c r="AE31" s="72" t="s">
        <v>34</v>
      </c>
      <c r="AF31" s="72" t="s">
        <v>34</v>
      </c>
      <c r="AG31" s="56">
        <f t="shared" si="3"/>
        <v>0</v>
      </c>
      <c r="AH31" s="56"/>
      <c r="AI31" s="56"/>
      <c r="AJ31" s="56"/>
      <c r="AK31" s="78" t="s">
        <v>52</v>
      </c>
      <c r="AM31" s="26"/>
      <c r="AN31" s="26"/>
      <c r="AO31" s="26"/>
      <c r="AP31" s="45"/>
    </row>
    <row r="32" spans="1:53">
      <c r="A32" s="119">
        <v>44757</v>
      </c>
      <c r="B32" s="17">
        <v>1600</v>
      </c>
      <c r="C32" s="17"/>
      <c r="D32" s="17">
        <f>(SUM(粮草!A32:X32)+AG32*10)*IF(AK32="是",$AY$4,$AY$3)</f>
        <v>1632</v>
      </c>
      <c r="E32" s="76">
        <f>SUM($B$4:B32)+SUM($C$4:C32)-SUM($D$4:D32)</f>
        <v>1214</v>
      </c>
      <c r="F32" s="17">
        <f>SUM(经验!A32:X32)</f>
        <v>585</v>
      </c>
      <c r="G32" s="17">
        <f>SUM($F$4:F32)+SUM($H$4:H32)</f>
        <v>20015</v>
      </c>
      <c r="H32" s="17">
        <v>0</v>
      </c>
      <c r="I32" s="98" t="s">
        <v>43</v>
      </c>
      <c r="J32" s="98" t="s">
        <v>43</v>
      </c>
      <c r="K32" s="98" t="s">
        <v>43</v>
      </c>
      <c r="L32" s="98" t="s">
        <v>43</v>
      </c>
      <c r="M32" s="98" t="s">
        <v>43</v>
      </c>
      <c r="N32" s="98" t="s">
        <v>43</v>
      </c>
      <c r="O32" s="72" t="s">
        <v>34</v>
      </c>
      <c r="P32" s="72" t="s">
        <v>34</v>
      </c>
      <c r="Q32" s="79" t="s">
        <v>34</v>
      </c>
      <c r="R32" s="79" t="s">
        <v>34</v>
      </c>
      <c r="S32" s="79" t="s">
        <v>34</v>
      </c>
      <c r="T32" s="79" t="s">
        <v>34</v>
      </c>
      <c r="U32" s="79" t="s">
        <v>34</v>
      </c>
      <c r="V32" s="79" t="s">
        <v>34</v>
      </c>
      <c r="W32" s="72" t="s">
        <v>34</v>
      </c>
      <c r="X32" s="72" t="s">
        <v>34</v>
      </c>
      <c r="Y32" s="90" t="s">
        <v>39</v>
      </c>
      <c r="Z32" s="93" t="s">
        <v>40</v>
      </c>
      <c r="AA32" s="93" t="s">
        <v>40</v>
      </c>
      <c r="AB32" s="93" t="s">
        <v>40</v>
      </c>
      <c r="AC32" s="93" t="s">
        <v>40</v>
      </c>
      <c r="AD32" s="93" t="s">
        <v>40</v>
      </c>
      <c r="AE32" s="72" t="s">
        <v>34</v>
      </c>
      <c r="AF32" s="72" t="s">
        <v>34</v>
      </c>
      <c r="AG32" s="56">
        <f t="shared" si="3"/>
        <v>0</v>
      </c>
      <c r="AH32" s="56"/>
      <c r="AI32" s="56"/>
      <c r="AJ32" s="56"/>
      <c r="AK32" s="78" t="s">
        <v>52</v>
      </c>
      <c r="AM32" s="26"/>
      <c r="AN32" s="26"/>
      <c r="AO32" s="26"/>
      <c r="AP32" s="45"/>
    </row>
    <row r="33" spans="1:42">
      <c r="A33" s="119">
        <v>44758</v>
      </c>
      <c r="B33" s="17">
        <v>1600</v>
      </c>
      <c r="C33" s="17"/>
      <c r="D33" s="17">
        <f>(SUM(粮草!A33:X33)+AG33*10)*IF(AK33="是",$AY$4,$AY$3)</f>
        <v>1728</v>
      </c>
      <c r="E33" s="76">
        <f>SUM($B$4:B33)+SUM($C$4:C33)-SUM($D$4:D33)</f>
        <v>1086</v>
      </c>
      <c r="F33" s="17">
        <f>SUM(经验!A33:X33)</f>
        <v>600</v>
      </c>
      <c r="G33" s="17">
        <f>SUM($F$4:F33)+SUM($H$4:H33)</f>
        <v>20615</v>
      </c>
      <c r="H33" s="17">
        <v>0</v>
      </c>
      <c r="I33" s="98" t="s">
        <v>43</v>
      </c>
      <c r="J33" s="98" t="s">
        <v>43</v>
      </c>
      <c r="K33" s="98" t="s">
        <v>43</v>
      </c>
      <c r="L33" s="98" t="s">
        <v>43</v>
      </c>
      <c r="M33" s="98" t="s">
        <v>43</v>
      </c>
      <c r="N33" s="98" t="s">
        <v>43</v>
      </c>
      <c r="O33" s="72" t="s">
        <v>34</v>
      </c>
      <c r="P33" s="72" t="s">
        <v>34</v>
      </c>
      <c r="Q33" s="79" t="s">
        <v>34</v>
      </c>
      <c r="R33" s="79" t="s">
        <v>34</v>
      </c>
      <c r="S33" s="79" t="s">
        <v>34</v>
      </c>
      <c r="T33" s="79" t="s">
        <v>34</v>
      </c>
      <c r="U33" s="79" t="s">
        <v>34</v>
      </c>
      <c r="V33" s="79" t="s">
        <v>34</v>
      </c>
      <c r="W33" s="72" t="s">
        <v>34</v>
      </c>
      <c r="X33" s="72" t="s">
        <v>34</v>
      </c>
      <c r="Y33" s="93" t="s">
        <v>40</v>
      </c>
      <c r="Z33" s="93" t="s">
        <v>40</v>
      </c>
      <c r="AA33" s="93" t="s">
        <v>40</v>
      </c>
      <c r="AB33" s="93" t="s">
        <v>40</v>
      </c>
      <c r="AC33" s="93" t="s">
        <v>40</v>
      </c>
      <c r="AD33" s="93" t="s">
        <v>40</v>
      </c>
      <c r="AE33" s="72" t="s">
        <v>34</v>
      </c>
      <c r="AF33" s="72" t="s">
        <v>34</v>
      </c>
      <c r="AG33" s="56">
        <f t="shared" si="3"/>
        <v>0</v>
      </c>
      <c r="AH33" s="56"/>
      <c r="AI33" s="56"/>
      <c r="AJ33" s="56"/>
      <c r="AK33" s="78" t="s">
        <v>52</v>
      </c>
      <c r="AM33" s="26"/>
      <c r="AN33" s="26"/>
      <c r="AO33" s="26"/>
      <c r="AP33" s="45"/>
    </row>
    <row r="34" spans="1:42">
      <c r="A34" s="119">
        <v>44759</v>
      </c>
      <c r="B34" s="17">
        <v>1600</v>
      </c>
      <c r="C34" s="17"/>
      <c r="D34" s="17">
        <f>(SUM(粮草!A34:X34)+AG34*10)*IF(AK34="是",$AY$4,$AY$3)</f>
        <v>1728</v>
      </c>
      <c r="E34" s="76">
        <f>SUM($B$4:B34)+SUM($C$4:C34)-SUM($D$4:D34)</f>
        <v>958</v>
      </c>
      <c r="F34" s="17">
        <f>SUM(经验!A34:X34)</f>
        <v>600</v>
      </c>
      <c r="G34" s="17">
        <f>SUM($F$4:F34)+SUM($H$4:H34)</f>
        <v>21215</v>
      </c>
      <c r="H34" s="17">
        <v>0</v>
      </c>
      <c r="I34" s="98" t="s">
        <v>43</v>
      </c>
      <c r="J34" s="98" t="s">
        <v>43</v>
      </c>
      <c r="K34" s="98" t="s">
        <v>43</v>
      </c>
      <c r="L34" s="98" t="s">
        <v>43</v>
      </c>
      <c r="M34" s="98" t="s">
        <v>43</v>
      </c>
      <c r="N34" s="98" t="s">
        <v>43</v>
      </c>
      <c r="O34" s="72" t="s">
        <v>34</v>
      </c>
      <c r="P34" s="72" t="s">
        <v>34</v>
      </c>
      <c r="Q34" s="79" t="s">
        <v>34</v>
      </c>
      <c r="R34" s="79" t="s">
        <v>34</v>
      </c>
      <c r="S34" s="79" t="s">
        <v>34</v>
      </c>
      <c r="T34" s="79" t="s">
        <v>34</v>
      </c>
      <c r="U34" s="79" t="s">
        <v>34</v>
      </c>
      <c r="V34" s="79" t="s">
        <v>34</v>
      </c>
      <c r="W34" s="72" t="s">
        <v>34</v>
      </c>
      <c r="X34" s="72" t="s">
        <v>34</v>
      </c>
      <c r="Y34" s="93" t="s">
        <v>40</v>
      </c>
      <c r="Z34" s="93" t="s">
        <v>40</v>
      </c>
      <c r="AA34" s="93" t="s">
        <v>40</v>
      </c>
      <c r="AB34" s="93" t="s">
        <v>40</v>
      </c>
      <c r="AC34" s="93" t="s">
        <v>40</v>
      </c>
      <c r="AD34" s="93" t="s">
        <v>40</v>
      </c>
      <c r="AE34" s="72" t="s">
        <v>34</v>
      </c>
      <c r="AF34" s="72" t="s">
        <v>34</v>
      </c>
      <c r="AG34" s="56">
        <f t="shared" si="3"/>
        <v>0</v>
      </c>
      <c r="AH34" s="56"/>
      <c r="AI34" s="56"/>
      <c r="AJ34" s="56"/>
      <c r="AK34" s="78" t="s">
        <v>52</v>
      </c>
      <c r="AM34" s="26"/>
      <c r="AN34" s="26"/>
      <c r="AO34" s="26"/>
      <c r="AP34" s="45"/>
    </row>
    <row r="35" spans="1:42">
      <c r="A35" s="119">
        <v>44760</v>
      </c>
      <c r="B35" s="18">
        <v>1600</v>
      </c>
      <c r="C35" s="18"/>
      <c r="D35" s="17">
        <f>(SUM(粮草!A35:X35)+AG35*10)*IF(AK35="是",$AY$4,$AY$3)</f>
        <v>1664</v>
      </c>
      <c r="E35" s="76">
        <f>SUM($B$4:B35)+SUM($C$4:C35)-SUM($D$4:D35)</f>
        <v>894</v>
      </c>
      <c r="F35" s="17">
        <f>SUM(经验!A35:X35)</f>
        <v>1030</v>
      </c>
      <c r="G35" s="17">
        <f>SUM($F$4:F35)+SUM($H$4:H35)</f>
        <v>22445</v>
      </c>
      <c r="H35" s="18">
        <v>200</v>
      </c>
      <c r="I35" s="98" t="s">
        <v>43</v>
      </c>
      <c r="J35" s="98" t="s">
        <v>43</v>
      </c>
      <c r="K35" s="98" t="s">
        <v>43</v>
      </c>
      <c r="L35" s="99" t="s">
        <v>55</v>
      </c>
      <c r="M35" s="98" t="s">
        <v>43</v>
      </c>
      <c r="N35" s="98" t="s">
        <v>43</v>
      </c>
      <c r="O35" s="72" t="s">
        <v>34</v>
      </c>
      <c r="P35" s="72" t="s">
        <v>34</v>
      </c>
      <c r="Q35" s="79" t="s">
        <v>34</v>
      </c>
      <c r="R35" s="79" t="s">
        <v>34</v>
      </c>
      <c r="S35" s="79" t="s">
        <v>34</v>
      </c>
      <c r="T35" s="79" t="s">
        <v>34</v>
      </c>
      <c r="U35" s="79" t="s">
        <v>34</v>
      </c>
      <c r="V35" s="79" t="s">
        <v>34</v>
      </c>
      <c r="W35" s="72" t="s">
        <v>34</v>
      </c>
      <c r="X35" s="72" t="s">
        <v>34</v>
      </c>
      <c r="Y35" s="90" t="s">
        <v>39</v>
      </c>
      <c r="Z35" s="93" t="s">
        <v>40</v>
      </c>
      <c r="AA35" s="93" t="s">
        <v>40</v>
      </c>
      <c r="AB35" s="94" t="s">
        <v>47</v>
      </c>
      <c r="AC35" s="93" t="s">
        <v>40</v>
      </c>
      <c r="AD35" s="93" t="s">
        <v>40</v>
      </c>
      <c r="AE35" s="72" t="s">
        <v>34</v>
      </c>
      <c r="AF35" s="72" t="s">
        <v>34</v>
      </c>
      <c r="AG35" s="56">
        <f t="shared" si="3"/>
        <v>0</v>
      </c>
      <c r="AH35" s="56"/>
      <c r="AI35" s="56"/>
      <c r="AJ35" s="56"/>
      <c r="AK35" s="78" t="s">
        <v>52</v>
      </c>
      <c r="AM35" s="26"/>
      <c r="AN35" s="26"/>
      <c r="AO35" s="26"/>
      <c r="AP35" s="45"/>
    </row>
    <row r="36" spans="1:42">
      <c r="A36" s="119">
        <v>44761</v>
      </c>
      <c r="B36" s="18">
        <v>1600</v>
      </c>
      <c r="C36" s="18"/>
      <c r="D36" s="17">
        <f>(SUM(粮草!A36:X36)+AG36*10)*IF(AK36="是",$AY$4,$AY$3)</f>
        <v>1736</v>
      </c>
      <c r="E36" s="76">
        <f>SUM($B$4:B36)+SUM($C$4:C36)-SUM($D$4:D36)</f>
        <v>758</v>
      </c>
      <c r="F36" s="17">
        <f>SUM(经验!A36:X36)</f>
        <v>600</v>
      </c>
      <c r="G36" s="17">
        <f>SUM($F$4:F36)+SUM($H$4:H36)</f>
        <v>23145</v>
      </c>
      <c r="H36" s="18">
        <v>100</v>
      </c>
      <c r="I36" s="98" t="s">
        <v>43</v>
      </c>
      <c r="J36" s="98" t="s">
        <v>43</v>
      </c>
      <c r="K36" s="98" t="s">
        <v>43</v>
      </c>
      <c r="L36" s="98" t="s">
        <v>43</v>
      </c>
      <c r="M36" s="98" t="s">
        <v>43</v>
      </c>
      <c r="N36" s="98" t="s">
        <v>43</v>
      </c>
      <c r="O36" s="72" t="s">
        <v>34</v>
      </c>
      <c r="P36" s="72" t="s">
        <v>34</v>
      </c>
      <c r="Q36" s="79" t="s">
        <v>34</v>
      </c>
      <c r="R36" s="79" t="s">
        <v>34</v>
      </c>
      <c r="S36" s="79" t="s">
        <v>34</v>
      </c>
      <c r="T36" s="79" t="s">
        <v>34</v>
      </c>
      <c r="U36" s="79" t="s">
        <v>34</v>
      </c>
      <c r="V36" s="79" t="s">
        <v>34</v>
      </c>
      <c r="W36" s="72" t="s">
        <v>34</v>
      </c>
      <c r="X36" s="72" t="s">
        <v>34</v>
      </c>
      <c r="Y36" s="93" t="s">
        <v>40</v>
      </c>
      <c r="Z36" s="93" t="s">
        <v>40</v>
      </c>
      <c r="AA36" s="113" t="s">
        <v>40</v>
      </c>
      <c r="AB36" s="113" t="s">
        <v>40</v>
      </c>
      <c r="AC36" s="93" t="s">
        <v>40</v>
      </c>
      <c r="AD36" s="93" t="s">
        <v>40</v>
      </c>
      <c r="AE36" s="72" t="s">
        <v>34</v>
      </c>
      <c r="AF36" s="72" t="s">
        <v>34</v>
      </c>
      <c r="AG36" s="56">
        <f t="shared" si="3"/>
        <v>1</v>
      </c>
      <c r="AH36" s="56"/>
      <c r="AI36" s="56"/>
      <c r="AJ36" s="56">
        <v>1</v>
      </c>
      <c r="AK36" s="78" t="s">
        <v>52</v>
      </c>
      <c r="AM36" s="26"/>
      <c r="AN36" s="26"/>
      <c r="AO36" s="26"/>
      <c r="AP36" s="45"/>
    </row>
    <row r="37" spans="1:42">
      <c r="A37" s="119">
        <v>44762</v>
      </c>
      <c r="B37" s="18">
        <v>1600</v>
      </c>
      <c r="C37" s="18"/>
      <c r="D37" s="17">
        <f>(SUM(粮草!A37:X37)+AG37*10)*IF(AK37="是",$AY$4,$AY$3)</f>
        <v>1632</v>
      </c>
      <c r="E37" s="76">
        <f>SUM($B$4:B37)+SUM($C$4:C37)-SUM($D$4:D37)</f>
        <v>726</v>
      </c>
      <c r="F37" s="17">
        <f>SUM(经验!A37:X37)</f>
        <v>585</v>
      </c>
      <c r="G37" s="17">
        <f>SUM($F$4:F37)+SUM($H$4:H37)</f>
        <v>23930</v>
      </c>
      <c r="H37" s="18">
        <v>200</v>
      </c>
      <c r="I37" s="98" t="s">
        <v>43</v>
      </c>
      <c r="J37" s="98" t="s">
        <v>43</v>
      </c>
      <c r="K37" s="98" t="s">
        <v>43</v>
      </c>
      <c r="L37" s="98" t="s">
        <v>43</v>
      </c>
      <c r="M37" s="98" t="s">
        <v>43</v>
      </c>
      <c r="N37" s="98" t="s">
        <v>43</v>
      </c>
      <c r="O37" s="72" t="s">
        <v>34</v>
      </c>
      <c r="P37" s="72" t="s">
        <v>34</v>
      </c>
      <c r="Q37" s="79" t="s">
        <v>34</v>
      </c>
      <c r="R37" s="79" t="s">
        <v>34</v>
      </c>
      <c r="S37" s="79" t="s">
        <v>34</v>
      </c>
      <c r="T37" s="79" t="s">
        <v>34</v>
      </c>
      <c r="U37" s="79" t="s">
        <v>34</v>
      </c>
      <c r="V37" s="79" t="s">
        <v>34</v>
      </c>
      <c r="W37" s="72" t="s">
        <v>34</v>
      </c>
      <c r="X37" s="72" t="s">
        <v>34</v>
      </c>
      <c r="Y37" s="90" t="s">
        <v>39</v>
      </c>
      <c r="Z37" s="93" t="s">
        <v>40</v>
      </c>
      <c r="AA37" s="93" t="s">
        <v>40</v>
      </c>
      <c r="AB37" s="93" t="s">
        <v>40</v>
      </c>
      <c r="AC37" s="93" t="s">
        <v>40</v>
      </c>
      <c r="AD37" s="93" t="s">
        <v>40</v>
      </c>
      <c r="AE37" s="72" t="s">
        <v>34</v>
      </c>
      <c r="AF37" s="72" t="s">
        <v>34</v>
      </c>
      <c r="AG37" s="56">
        <f t="shared" si="3"/>
        <v>0</v>
      </c>
      <c r="AH37" s="56"/>
      <c r="AI37" s="56"/>
      <c r="AJ37" s="56"/>
      <c r="AK37" s="78" t="s">
        <v>52</v>
      </c>
      <c r="AM37" s="26"/>
      <c r="AN37" s="26"/>
      <c r="AO37" s="26"/>
      <c r="AP37" s="45"/>
    </row>
    <row r="38" spans="1:42">
      <c r="A38" s="119">
        <v>44763</v>
      </c>
      <c r="B38" s="18">
        <v>1600</v>
      </c>
      <c r="C38" s="18"/>
      <c r="D38" s="17">
        <f>(SUM(粮草!A38:X38)+AG38*10)*IF(AK38="是",$AY$4,$AY$3)</f>
        <v>1616</v>
      </c>
      <c r="E38" s="76">
        <f>SUM($B$4:B38)+SUM($C$4:C38)-SUM($D$4:D38)</f>
        <v>710</v>
      </c>
      <c r="F38" s="17">
        <f>SUM(经验!A38:X38)</f>
        <v>575</v>
      </c>
      <c r="G38" s="17">
        <f>SUM($F$4:F38)+SUM($H$4:H38)</f>
        <v>24505</v>
      </c>
      <c r="H38" s="18">
        <v>0</v>
      </c>
      <c r="I38" s="98" t="s">
        <v>43</v>
      </c>
      <c r="J38" s="98" t="s">
        <v>43</v>
      </c>
      <c r="K38" s="90" t="s">
        <v>39</v>
      </c>
      <c r="L38" s="98" t="s">
        <v>43</v>
      </c>
      <c r="M38" s="98" t="s">
        <v>43</v>
      </c>
      <c r="N38" s="98" t="s">
        <v>43</v>
      </c>
      <c r="O38" s="72" t="s">
        <v>34</v>
      </c>
      <c r="P38" s="72" t="s">
        <v>34</v>
      </c>
      <c r="Q38" s="79" t="s">
        <v>34</v>
      </c>
      <c r="R38" s="79" t="s">
        <v>34</v>
      </c>
      <c r="S38" s="79" t="s">
        <v>34</v>
      </c>
      <c r="T38" s="79" t="s">
        <v>34</v>
      </c>
      <c r="U38" s="79" t="s">
        <v>34</v>
      </c>
      <c r="V38" s="79" t="s">
        <v>34</v>
      </c>
      <c r="W38" s="72" t="s">
        <v>34</v>
      </c>
      <c r="X38" s="72" t="s">
        <v>34</v>
      </c>
      <c r="Y38" s="93" t="s">
        <v>40</v>
      </c>
      <c r="Z38" s="93" t="s">
        <v>40</v>
      </c>
      <c r="AA38" s="93" t="s">
        <v>40</v>
      </c>
      <c r="AB38" s="93" t="s">
        <v>40</v>
      </c>
      <c r="AC38" s="93" t="s">
        <v>40</v>
      </c>
      <c r="AD38" s="93" t="s">
        <v>40</v>
      </c>
      <c r="AE38" s="72" t="s">
        <v>34</v>
      </c>
      <c r="AF38" s="72" t="s">
        <v>34</v>
      </c>
      <c r="AG38" s="56">
        <f t="shared" si="3"/>
        <v>0</v>
      </c>
      <c r="AH38" s="56"/>
      <c r="AI38" s="56"/>
      <c r="AJ38" s="56"/>
      <c r="AK38" s="78" t="s">
        <v>52</v>
      </c>
      <c r="AM38" s="26"/>
      <c r="AN38" s="26"/>
      <c r="AO38" s="26"/>
      <c r="AP38" s="45"/>
    </row>
    <row r="39" spans="1:42">
      <c r="A39" s="119">
        <v>44764</v>
      </c>
      <c r="B39" s="18">
        <v>1600</v>
      </c>
      <c r="C39" s="18"/>
      <c r="D39" s="17">
        <f>(SUM(粮草!A39:X39)+AG39*10)*IF(AK39="是",$AY$4,$AY$3)</f>
        <v>1632</v>
      </c>
      <c r="E39" s="76">
        <f>SUM($B$4:B39)+SUM($C$4:C39)-SUM($D$4:D39)</f>
        <v>678</v>
      </c>
      <c r="F39" s="17">
        <f>SUM(经验!A39:X39)</f>
        <v>585</v>
      </c>
      <c r="G39" s="17">
        <f>SUM($F$4:F39)+SUM($H$4:H39)</f>
        <v>25090</v>
      </c>
      <c r="H39" s="18">
        <v>0</v>
      </c>
      <c r="I39" s="98" t="s">
        <v>43</v>
      </c>
      <c r="J39" s="98" t="s">
        <v>43</v>
      </c>
      <c r="K39" s="98" t="s">
        <v>43</v>
      </c>
      <c r="L39" s="98" t="s">
        <v>43</v>
      </c>
      <c r="M39" s="98" t="s">
        <v>43</v>
      </c>
      <c r="N39" s="98" t="s">
        <v>43</v>
      </c>
      <c r="O39" s="72" t="s">
        <v>34</v>
      </c>
      <c r="P39" s="72" t="s">
        <v>34</v>
      </c>
      <c r="Q39" s="79" t="s">
        <v>34</v>
      </c>
      <c r="R39" s="79" t="s">
        <v>34</v>
      </c>
      <c r="S39" s="79" t="s">
        <v>34</v>
      </c>
      <c r="T39" s="79" t="s">
        <v>34</v>
      </c>
      <c r="U39" s="79" t="s">
        <v>34</v>
      </c>
      <c r="V39" s="79" t="s">
        <v>34</v>
      </c>
      <c r="W39" s="72" t="s">
        <v>34</v>
      </c>
      <c r="X39" s="72" t="s">
        <v>34</v>
      </c>
      <c r="Y39" s="93" t="s">
        <v>40</v>
      </c>
      <c r="Z39" s="93" t="s">
        <v>40</v>
      </c>
      <c r="AA39" s="93" t="s">
        <v>40</v>
      </c>
      <c r="AB39" s="93" t="s">
        <v>40</v>
      </c>
      <c r="AC39" s="93" t="s">
        <v>40</v>
      </c>
      <c r="AD39" s="90" t="s">
        <v>39</v>
      </c>
      <c r="AE39" s="72" t="s">
        <v>34</v>
      </c>
      <c r="AF39" s="72" t="s">
        <v>34</v>
      </c>
      <c r="AG39" s="56">
        <f t="shared" si="3"/>
        <v>0</v>
      </c>
      <c r="AH39" s="56"/>
      <c r="AI39" s="56"/>
      <c r="AJ39" s="56"/>
      <c r="AK39" s="78" t="s">
        <v>52</v>
      </c>
      <c r="AM39" s="26" t="s">
        <v>64</v>
      </c>
      <c r="AN39" s="26"/>
      <c r="AO39" s="26"/>
      <c r="AP39" s="45"/>
    </row>
    <row r="40" spans="1:42">
      <c r="A40" s="119">
        <v>44765</v>
      </c>
      <c r="B40" s="18">
        <v>1600</v>
      </c>
      <c r="C40" s="18"/>
      <c r="D40" s="17">
        <f>(SUM(粮草!A40:X40)+AG40*10)*IF(AK40="是",$AY$4,$AY$3)</f>
        <v>1768</v>
      </c>
      <c r="E40" s="76">
        <f>SUM($B$4:B40)+SUM($C$4:C40)-SUM($D$4:D40)</f>
        <v>510</v>
      </c>
      <c r="F40" s="17">
        <f>SUM(经验!A40:X40)</f>
        <v>1120</v>
      </c>
      <c r="G40" s="17">
        <f>SUM($F$4:F40)+SUM($H$4:H40)</f>
        <v>26210</v>
      </c>
      <c r="H40" s="18">
        <v>0</v>
      </c>
      <c r="I40" s="98" t="s">
        <v>43</v>
      </c>
      <c r="J40" s="98" t="s">
        <v>43</v>
      </c>
      <c r="K40" s="98" t="s">
        <v>43</v>
      </c>
      <c r="L40" s="77" t="s">
        <v>71</v>
      </c>
      <c r="M40" s="98" t="s">
        <v>43</v>
      </c>
      <c r="N40" s="98" t="s">
        <v>43</v>
      </c>
      <c r="O40" s="98" t="s">
        <v>43</v>
      </c>
      <c r="P40" s="72" t="s">
        <v>34</v>
      </c>
      <c r="Q40" s="79" t="s">
        <v>34</v>
      </c>
      <c r="R40" s="79" t="s">
        <v>34</v>
      </c>
      <c r="S40" s="79" t="s">
        <v>34</v>
      </c>
      <c r="T40" s="79" t="s">
        <v>34</v>
      </c>
      <c r="U40" s="79" t="s">
        <v>34</v>
      </c>
      <c r="V40" s="79" t="s">
        <v>34</v>
      </c>
      <c r="W40" s="72" t="s">
        <v>34</v>
      </c>
      <c r="X40" s="72" t="s">
        <v>34</v>
      </c>
      <c r="Y40" s="93" t="s">
        <v>40</v>
      </c>
      <c r="Z40" s="93" t="s">
        <v>40</v>
      </c>
      <c r="AA40" s="93" t="s">
        <v>40</v>
      </c>
      <c r="AB40" s="93" t="s">
        <v>40</v>
      </c>
      <c r="AC40" s="93" t="s">
        <v>40</v>
      </c>
      <c r="AD40" s="93" t="s">
        <v>40</v>
      </c>
      <c r="AE40" s="72" t="s">
        <v>34</v>
      </c>
      <c r="AF40" s="72" t="s">
        <v>34</v>
      </c>
      <c r="AG40" s="56">
        <f t="shared" si="3"/>
        <v>0</v>
      </c>
      <c r="AH40" s="56"/>
      <c r="AI40" s="56"/>
      <c r="AJ40" s="56"/>
      <c r="AK40" s="78" t="s">
        <v>52</v>
      </c>
      <c r="AM40" s="26" t="s">
        <v>65</v>
      </c>
      <c r="AN40" s="26"/>
      <c r="AO40" s="26"/>
      <c r="AP40" s="45"/>
    </row>
    <row r="41" spans="1:42">
      <c r="A41" s="119">
        <v>44766</v>
      </c>
      <c r="B41" s="18">
        <v>1600</v>
      </c>
      <c r="C41" s="18"/>
      <c r="D41" s="17">
        <f>(SUM(粮草!A41:X41)+AG41*10)*IF(AK41="是",$AY$4,$AY$3)</f>
        <v>1696</v>
      </c>
      <c r="E41" s="76">
        <f>SUM($B$4:B41)+SUM($C$4:C41)-SUM($D$4:D41)</f>
        <v>414</v>
      </c>
      <c r="F41" s="17">
        <f>SUM(经验!A41:X41)</f>
        <v>610</v>
      </c>
      <c r="G41" s="17">
        <f>SUM($F$4:F41)+SUM($H$4:H41)</f>
        <v>26820</v>
      </c>
      <c r="H41" s="18">
        <v>0</v>
      </c>
      <c r="I41" s="98" t="s">
        <v>43</v>
      </c>
      <c r="J41" s="80" t="s">
        <v>49</v>
      </c>
      <c r="K41" s="98" t="s">
        <v>43</v>
      </c>
      <c r="L41" s="98" t="s">
        <v>43</v>
      </c>
      <c r="M41" s="98" t="s">
        <v>43</v>
      </c>
      <c r="N41" s="98" t="s">
        <v>43</v>
      </c>
      <c r="O41" s="72" t="s">
        <v>34</v>
      </c>
      <c r="P41" s="72" t="s">
        <v>34</v>
      </c>
      <c r="Q41" s="79" t="s">
        <v>34</v>
      </c>
      <c r="R41" s="79" t="s">
        <v>34</v>
      </c>
      <c r="S41" s="79" t="s">
        <v>34</v>
      </c>
      <c r="T41" s="79" t="s">
        <v>34</v>
      </c>
      <c r="U41" s="79" t="s">
        <v>34</v>
      </c>
      <c r="V41" s="79" t="s">
        <v>34</v>
      </c>
      <c r="W41" s="72" t="s">
        <v>34</v>
      </c>
      <c r="X41" s="72" t="s">
        <v>34</v>
      </c>
      <c r="Y41" s="93" t="s">
        <v>40</v>
      </c>
      <c r="Z41" s="94" t="s">
        <v>47</v>
      </c>
      <c r="AA41" s="95" t="s">
        <v>42</v>
      </c>
      <c r="AB41" s="95" t="s">
        <v>42</v>
      </c>
      <c r="AC41" s="93" t="s">
        <v>40</v>
      </c>
      <c r="AD41" s="93" t="s">
        <v>40</v>
      </c>
      <c r="AE41" s="72" t="s">
        <v>34</v>
      </c>
      <c r="AF41" s="72" t="s">
        <v>34</v>
      </c>
      <c r="AG41" s="56">
        <f t="shared" si="3"/>
        <v>0</v>
      </c>
      <c r="AH41" s="56"/>
      <c r="AI41" s="56"/>
      <c r="AJ41" s="56"/>
      <c r="AK41" s="78" t="s">
        <v>52</v>
      </c>
      <c r="AM41" s="26" t="s">
        <v>66</v>
      </c>
      <c r="AN41" s="26"/>
      <c r="AO41" s="26"/>
      <c r="AP41" s="45"/>
    </row>
    <row r="42" spans="1:42">
      <c r="A42" s="119">
        <v>44767</v>
      </c>
      <c r="B42" s="17">
        <v>1600</v>
      </c>
      <c r="C42" s="17"/>
      <c r="D42" s="17">
        <f>(SUM(粮草!A42:X42)+AG42*10)*IF(AK42="是",$AY$4,$AY$3)</f>
        <v>1744</v>
      </c>
      <c r="E42" s="76">
        <f>SUM($B$4:B42)+SUM($C$4:C42)-SUM($D$4:D42)</f>
        <v>270</v>
      </c>
      <c r="F42" s="17">
        <f>SUM(经验!A42:X42)</f>
        <v>610</v>
      </c>
      <c r="G42" s="17">
        <f>SUM($F$4:F42)+SUM($H$4:H42)</f>
        <v>27730</v>
      </c>
      <c r="H42" s="17">
        <v>300</v>
      </c>
      <c r="I42" s="98" t="s">
        <v>43</v>
      </c>
      <c r="J42" s="98" t="s">
        <v>43</v>
      </c>
      <c r="K42" s="98" t="s">
        <v>43</v>
      </c>
      <c r="L42" s="98" t="s">
        <v>43</v>
      </c>
      <c r="M42" s="98" t="s">
        <v>43</v>
      </c>
      <c r="N42" s="98" t="s">
        <v>43</v>
      </c>
      <c r="O42" s="72" t="s">
        <v>34</v>
      </c>
      <c r="P42" s="72" t="s">
        <v>34</v>
      </c>
      <c r="Q42" s="79" t="s">
        <v>34</v>
      </c>
      <c r="R42" s="79" t="s">
        <v>34</v>
      </c>
      <c r="S42" s="79" t="s">
        <v>34</v>
      </c>
      <c r="T42" s="79" t="s">
        <v>34</v>
      </c>
      <c r="U42" s="79" t="s">
        <v>34</v>
      </c>
      <c r="V42" s="79" t="s">
        <v>34</v>
      </c>
      <c r="W42" s="72" t="s">
        <v>34</v>
      </c>
      <c r="X42" s="72" t="s">
        <v>34</v>
      </c>
      <c r="Y42" s="93" t="s">
        <v>40</v>
      </c>
      <c r="Z42" s="93" t="s">
        <v>40</v>
      </c>
      <c r="AA42" s="93" t="s">
        <v>40</v>
      </c>
      <c r="AB42" s="93" t="s">
        <v>40</v>
      </c>
      <c r="AC42" s="95" t="s">
        <v>42</v>
      </c>
      <c r="AD42" s="95" t="s">
        <v>42</v>
      </c>
      <c r="AE42" s="72" t="s">
        <v>34</v>
      </c>
      <c r="AF42" s="72" t="s">
        <v>34</v>
      </c>
      <c r="AG42" s="56">
        <f t="shared" si="3"/>
        <v>0</v>
      </c>
      <c r="AH42" s="56"/>
      <c r="AI42" s="56"/>
      <c r="AJ42" s="56"/>
      <c r="AK42" s="78" t="s">
        <v>52</v>
      </c>
      <c r="AM42" s="26" t="s">
        <v>67</v>
      </c>
      <c r="AN42" s="26"/>
      <c r="AO42" s="26"/>
      <c r="AP42" s="45"/>
    </row>
    <row r="43" spans="1:42">
      <c r="A43" s="119">
        <v>44768</v>
      </c>
      <c r="B43" s="17">
        <v>1600</v>
      </c>
      <c r="C43" s="17"/>
      <c r="D43" s="17">
        <f>(SUM(粮草!A43:X43)+AG43*10)*IF(AK43="是",$AY$4,$AY$3)</f>
        <v>1776</v>
      </c>
      <c r="E43" s="76">
        <f>SUM($B$4:B43)+SUM($C$4:C43)-SUM($D$4:D43)</f>
        <v>94</v>
      </c>
      <c r="F43" s="17">
        <f>SUM(经验!A43:X43)</f>
        <v>630</v>
      </c>
      <c r="G43" s="17">
        <f>SUM($F$4:F43)+SUM($H$4:H43)</f>
        <v>28360</v>
      </c>
      <c r="H43" s="17">
        <v>0</v>
      </c>
      <c r="I43" s="98" t="s">
        <v>43</v>
      </c>
      <c r="J43" s="98" t="s">
        <v>43</v>
      </c>
      <c r="K43" s="98" t="s">
        <v>43</v>
      </c>
      <c r="L43" s="98" t="s">
        <v>43</v>
      </c>
      <c r="M43" s="98" t="s">
        <v>43</v>
      </c>
      <c r="N43" s="98" t="s">
        <v>43</v>
      </c>
      <c r="O43" s="72" t="s">
        <v>34</v>
      </c>
      <c r="P43" s="72" t="s">
        <v>34</v>
      </c>
      <c r="Q43" s="79" t="s">
        <v>34</v>
      </c>
      <c r="R43" s="79" t="s">
        <v>34</v>
      </c>
      <c r="S43" s="79" t="s">
        <v>34</v>
      </c>
      <c r="T43" s="79" t="s">
        <v>34</v>
      </c>
      <c r="U43" s="79" t="s">
        <v>34</v>
      </c>
      <c r="V43" s="79" t="s">
        <v>34</v>
      </c>
      <c r="W43" s="72" t="s">
        <v>34</v>
      </c>
      <c r="X43" s="72" t="s">
        <v>34</v>
      </c>
      <c r="Y43" s="95" t="s">
        <v>42</v>
      </c>
      <c r="Z43" s="95" t="s">
        <v>42</v>
      </c>
      <c r="AA43" s="95" t="s">
        <v>42</v>
      </c>
      <c r="AB43" s="95" t="s">
        <v>42</v>
      </c>
      <c r="AC43" s="121" t="s">
        <v>42</v>
      </c>
      <c r="AD43" s="121" t="s">
        <v>42</v>
      </c>
      <c r="AE43" s="72" t="s">
        <v>34</v>
      </c>
      <c r="AF43" s="72" t="s">
        <v>34</v>
      </c>
      <c r="AG43" s="56">
        <f t="shared" si="3"/>
        <v>0</v>
      </c>
      <c r="AH43" s="56"/>
      <c r="AI43" s="56"/>
      <c r="AJ43" s="56"/>
      <c r="AK43" s="78" t="s">
        <v>52</v>
      </c>
      <c r="AM43" s="70" t="s">
        <v>68</v>
      </c>
      <c r="AN43" s="26"/>
      <c r="AO43" s="26"/>
      <c r="AP43" s="45"/>
    </row>
    <row r="44" spans="1:42">
      <c r="A44" s="119">
        <v>44769</v>
      </c>
      <c r="B44" s="17">
        <v>1600</v>
      </c>
      <c r="C44" s="17"/>
      <c r="D44" s="17">
        <f>(SUM(粮草!A44:X44)+AG44*10)*IF(AK44="是",$AY$4,$AY$3)</f>
        <v>1664</v>
      </c>
      <c r="E44" s="76">
        <f>SUM($B$4:B44)+SUM($C$4:C44)-SUM($D$4:D44)</f>
        <v>30</v>
      </c>
      <c r="F44" s="17">
        <f>SUM(经验!A44:X44)</f>
        <v>600</v>
      </c>
      <c r="G44" s="17">
        <f>SUM($F$4:F44)+SUM($H$4:H44)</f>
        <v>29160</v>
      </c>
      <c r="H44" s="17">
        <v>200</v>
      </c>
      <c r="I44" s="98" t="s">
        <v>43</v>
      </c>
      <c r="J44" s="95" t="s">
        <v>42</v>
      </c>
      <c r="K44" s="98" t="s">
        <v>43</v>
      </c>
      <c r="L44" s="98" t="s">
        <v>43</v>
      </c>
      <c r="M44" s="90" t="s">
        <v>39</v>
      </c>
      <c r="N44" s="98" t="s">
        <v>43</v>
      </c>
      <c r="O44" s="72" t="s">
        <v>34</v>
      </c>
      <c r="P44" s="72" t="s">
        <v>34</v>
      </c>
      <c r="Q44" s="79" t="s">
        <v>34</v>
      </c>
      <c r="R44" s="79" t="s">
        <v>34</v>
      </c>
      <c r="S44" s="79" t="s">
        <v>34</v>
      </c>
      <c r="T44" s="79" t="s">
        <v>34</v>
      </c>
      <c r="U44" s="79" t="s">
        <v>34</v>
      </c>
      <c r="V44" s="79" t="s">
        <v>34</v>
      </c>
      <c r="W44" s="72" t="s">
        <v>34</v>
      </c>
      <c r="X44" s="72" t="s">
        <v>34</v>
      </c>
      <c r="Y44" s="95" t="s">
        <v>42</v>
      </c>
      <c r="Z44" s="95" t="s">
        <v>42</v>
      </c>
      <c r="AA44" s="95" t="s">
        <v>42</v>
      </c>
      <c r="AB44" s="95" t="s">
        <v>42</v>
      </c>
      <c r="AC44" s="121" t="s">
        <v>42</v>
      </c>
      <c r="AD44" s="121" t="s">
        <v>42</v>
      </c>
      <c r="AE44" s="72" t="s">
        <v>34</v>
      </c>
      <c r="AF44" s="72" t="s">
        <v>34</v>
      </c>
      <c r="AG44" s="56">
        <f t="shared" si="3"/>
        <v>1</v>
      </c>
      <c r="AH44" s="56"/>
      <c r="AI44" s="56"/>
      <c r="AJ44" s="56">
        <v>1</v>
      </c>
      <c r="AK44" s="78" t="s">
        <v>52</v>
      </c>
      <c r="AM44" s="26"/>
      <c r="AN44" s="26"/>
      <c r="AO44" s="26"/>
      <c r="AP44" s="45"/>
    </row>
    <row r="45" spans="1:42">
      <c r="A45" s="119">
        <v>44770</v>
      </c>
      <c r="B45" s="17">
        <v>1600</v>
      </c>
      <c r="C45" s="17"/>
      <c r="D45" s="17">
        <f>(SUM(粮草!A45:X45)+AG45*10)*IF(AK45="是",$AY$4,$AY$3)</f>
        <v>1520</v>
      </c>
      <c r="E45" s="76">
        <f>SUM($B$4:B45)+SUM($C$4:C45)-SUM($D$4:D45)</f>
        <v>110</v>
      </c>
      <c r="F45" s="17">
        <f>SUM(经验!A45:X45)</f>
        <v>615</v>
      </c>
      <c r="G45" s="17">
        <f>SUM($F$4:F45)+SUM($H$4:H45)</f>
        <v>29775</v>
      </c>
      <c r="H45" s="17">
        <v>0</v>
      </c>
      <c r="I45" s="98" t="s">
        <v>43</v>
      </c>
      <c r="J45" s="98" t="s">
        <v>43</v>
      </c>
      <c r="K45" s="98" t="s">
        <v>43</v>
      </c>
      <c r="L45" s="98" t="s">
        <v>43</v>
      </c>
      <c r="M45" s="92" t="s">
        <v>59</v>
      </c>
      <c r="N45" s="98" t="s">
        <v>43</v>
      </c>
      <c r="O45" s="98" t="s">
        <v>43</v>
      </c>
      <c r="P45" s="98" t="s">
        <v>43</v>
      </c>
      <c r="Q45" s="79" t="s">
        <v>34</v>
      </c>
      <c r="R45" s="79" t="s">
        <v>34</v>
      </c>
      <c r="S45" s="79" t="s">
        <v>34</v>
      </c>
      <c r="T45" s="79" t="s">
        <v>34</v>
      </c>
      <c r="U45" s="79" t="s">
        <v>34</v>
      </c>
      <c r="V45" s="79" t="s">
        <v>34</v>
      </c>
      <c r="W45" s="72" t="s">
        <v>34</v>
      </c>
      <c r="X45" s="72" t="s">
        <v>34</v>
      </c>
      <c r="Y45" s="95" t="s">
        <v>42</v>
      </c>
      <c r="Z45" s="95" t="s">
        <v>42</v>
      </c>
      <c r="AA45" s="90" t="s">
        <v>39</v>
      </c>
      <c r="AB45" s="95" t="s">
        <v>42</v>
      </c>
      <c r="AC45" s="95" t="s">
        <v>42</v>
      </c>
      <c r="AD45" s="79" t="s">
        <v>34</v>
      </c>
      <c r="AE45" s="72" t="s">
        <v>34</v>
      </c>
      <c r="AF45" s="72" t="s">
        <v>34</v>
      </c>
      <c r="AG45" s="56">
        <f t="shared" si="3"/>
        <v>0</v>
      </c>
      <c r="AH45" s="56"/>
      <c r="AI45" s="56"/>
      <c r="AJ45" s="56"/>
      <c r="AK45" s="78" t="s">
        <v>52</v>
      </c>
    </row>
    <row r="46" spans="1:42">
      <c r="A46" s="119">
        <v>44771</v>
      </c>
      <c r="B46" s="17">
        <v>1600</v>
      </c>
      <c r="C46" s="17"/>
      <c r="D46" s="17">
        <f>(SUM(粮草!A46:X46)+AG46*10)*IF(AK46="是",$AY$4,$AY$3)</f>
        <v>1672</v>
      </c>
      <c r="E46" s="76">
        <f>SUM($B$4:B46)+SUM($C$4:C46)-SUM($D$4:D46)</f>
        <v>38</v>
      </c>
      <c r="F46" s="17">
        <f>SUM(经验!A46:X46)</f>
        <v>580</v>
      </c>
      <c r="G46" s="17">
        <f>SUM($F$4:F46)+SUM($H$4:H46)</f>
        <v>30355</v>
      </c>
      <c r="H46" s="17">
        <v>0</v>
      </c>
      <c r="I46" s="98" t="s">
        <v>43</v>
      </c>
      <c r="J46" s="98" t="s">
        <v>43</v>
      </c>
      <c r="K46" s="98" t="s">
        <v>43</v>
      </c>
      <c r="L46" s="98" t="s">
        <v>43</v>
      </c>
      <c r="M46" s="98" t="s">
        <v>43</v>
      </c>
      <c r="N46" s="98" t="s">
        <v>43</v>
      </c>
      <c r="O46" s="72" t="s">
        <v>34</v>
      </c>
      <c r="P46" s="72" t="s">
        <v>34</v>
      </c>
      <c r="Q46" s="79" t="s">
        <v>34</v>
      </c>
      <c r="R46" s="79" t="s">
        <v>34</v>
      </c>
      <c r="S46" s="79" t="s">
        <v>34</v>
      </c>
      <c r="T46" s="79" t="s">
        <v>34</v>
      </c>
      <c r="U46" s="79" t="s">
        <v>34</v>
      </c>
      <c r="V46" s="79" t="s">
        <v>34</v>
      </c>
      <c r="W46" s="72" t="s">
        <v>34</v>
      </c>
      <c r="X46" s="72" t="s">
        <v>34</v>
      </c>
      <c r="Y46" s="95" t="s">
        <v>42</v>
      </c>
      <c r="Z46" s="95" t="s">
        <v>42</v>
      </c>
      <c r="AA46" s="95" t="s">
        <v>42</v>
      </c>
      <c r="AB46" s="95" t="s">
        <v>42</v>
      </c>
      <c r="AC46" s="95" t="s">
        <v>42</v>
      </c>
      <c r="AD46" s="79" t="s">
        <v>34</v>
      </c>
      <c r="AE46" s="72" t="s">
        <v>34</v>
      </c>
      <c r="AF46" s="72" t="s">
        <v>34</v>
      </c>
      <c r="AG46" s="56">
        <f t="shared" si="3"/>
        <v>5</v>
      </c>
      <c r="AH46" s="56">
        <v>5</v>
      </c>
      <c r="AI46" s="56"/>
      <c r="AJ46" s="56"/>
      <c r="AK46" s="78" t="s">
        <v>52</v>
      </c>
    </row>
    <row r="47" spans="1:42">
      <c r="A47" s="119">
        <v>44772</v>
      </c>
      <c r="B47" s="17">
        <v>1600</v>
      </c>
      <c r="C47" s="17"/>
      <c r="D47" s="17">
        <f>(SUM(粮草!A47:X47)+AG47*10)*IF(AK47="是",$AY$4,$AY$3)</f>
        <v>1632</v>
      </c>
      <c r="E47" s="76">
        <f>SUM($B$4:B47)+SUM($C$4:C47)-SUM($D$4:D47)</f>
        <v>6</v>
      </c>
      <c r="F47" s="17">
        <f>SUM(经验!A47:X47)</f>
        <v>580</v>
      </c>
      <c r="G47" s="17">
        <f>SUM($F$4:F47)+SUM($H$4:H47)</f>
        <v>30935</v>
      </c>
      <c r="H47" s="17">
        <v>0</v>
      </c>
      <c r="I47" s="98" t="s">
        <v>43</v>
      </c>
      <c r="J47" s="98" t="s">
        <v>43</v>
      </c>
      <c r="K47" s="98" t="s">
        <v>43</v>
      </c>
      <c r="L47" s="98" t="s">
        <v>43</v>
      </c>
      <c r="M47" s="98" t="s">
        <v>43</v>
      </c>
      <c r="N47" s="98" t="s">
        <v>43</v>
      </c>
      <c r="O47" s="72" t="s">
        <v>34</v>
      </c>
      <c r="P47" s="72" t="s">
        <v>34</v>
      </c>
      <c r="Q47" s="79" t="s">
        <v>34</v>
      </c>
      <c r="R47" s="79" t="s">
        <v>34</v>
      </c>
      <c r="S47" s="79" t="s">
        <v>34</v>
      </c>
      <c r="T47" s="79" t="s">
        <v>34</v>
      </c>
      <c r="U47" s="79" t="s">
        <v>34</v>
      </c>
      <c r="V47" s="79" t="s">
        <v>34</v>
      </c>
      <c r="W47" s="72" t="s">
        <v>34</v>
      </c>
      <c r="X47" s="72" t="s">
        <v>34</v>
      </c>
      <c r="Y47" s="95" t="s">
        <v>42</v>
      </c>
      <c r="Z47" s="95" t="s">
        <v>42</v>
      </c>
      <c r="AA47" s="95" t="s">
        <v>42</v>
      </c>
      <c r="AB47" s="95" t="s">
        <v>42</v>
      </c>
      <c r="AC47" s="95" t="s">
        <v>42</v>
      </c>
      <c r="AD47" s="79" t="s">
        <v>34</v>
      </c>
      <c r="AE47" s="72" t="s">
        <v>34</v>
      </c>
      <c r="AF47" s="72" t="s">
        <v>34</v>
      </c>
      <c r="AG47" s="56">
        <f t="shared" si="3"/>
        <v>0</v>
      </c>
      <c r="AH47" s="56"/>
      <c r="AI47" s="56"/>
      <c r="AJ47" s="56"/>
      <c r="AK47" s="78" t="s">
        <v>52</v>
      </c>
    </row>
    <row r="48" spans="1:42">
      <c r="A48" s="119">
        <v>44773</v>
      </c>
      <c r="B48" s="17">
        <v>1600</v>
      </c>
      <c r="C48" s="17"/>
      <c r="D48" s="17">
        <f>(SUM(粮草!A48:X48)+AG48*10)*IF(AK48="是",$AY$4,$AY$3)</f>
        <v>1488</v>
      </c>
      <c r="E48" s="76">
        <f>SUM($B$4:B48)+SUM($C$4:C48)-SUM($D$4:D48)</f>
        <v>118</v>
      </c>
      <c r="F48" s="17">
        <f>SUM(经验!A48:X48)</f>
        <v>530</v>
      </c>
      <c r="G48" s="17">
        <f>SUM($F$4:F48)+SUM($H$4:H48)</f>
        <v>31465</v>
      </c>
      <c r="H48" s="17">
        <v>0</v>
      </c>
      <c r="I48" s="98" t="s">
        <v>43</v>
      </c>
      <c r="J48" s="98" t="s">
        <v>43</v>
      </c>
      <c r="K48" s="98" t="s">
        <v>43</v>
      </c>
      <c r="L48" s="98" t="s">
        <v>43</v>
      </c>
      <c r="M48" s="98" t="s">
        <v>43</v>
      </c>
      <c r="N48" s="98" t="s">
        <v>43</v>
      </c>
      <c r="O48" s="72" t="s">
        <v>34</v>
      </c>
      <c r="P48" s="72" t="s">
        <v>34</v>
      </c>
      <c r="Q48" s="79" t="s">
        <v>34</v>
      </c>
      <c r="R48" s="79" t="s">
        <v>34</v>
      </c>
      <c r="S48" s="79" t="s">
        <v>34</v>
      </c>
      <c r="T48" s="79" t="s">
        <v>34</v>
      </c>
      <c r="U48" s="79" t="s">
        <v>34</v>
      </c>
      <c r="V48" s="79" t="s">
        <v>34</v>
      </c>
      <c r="W48" s="72" t="s">
        <v>34</v>
      </c>
      <c r="X48" s="72" t="s">
        <v>34</v>
      </c>
      <c r="Y48" s="95" t="s">
        <v>42</v>
      </c>
      <c r="Z48" s="95" t="s">
        <v>42</v>
      </c>
      <c r="AA48" s="95" t="s">
        <v>42</v>
      </c>
      <c r="AB48" s="95" t="s">
        <v>42</v>
      </c>
      <c r="AC48" s="79" t="s">
        <v>34</v>
      </c>
      <c r="AD48" s="79" t="s">
        <v>34</v>
      </c>
      <c r="AE48" s="72" t="s">
        <v>34</v>
      </c>
      <c r="AF48" s="72" t="s">
        <v>34</v>
      </c>
      <c r="AG48" s="56">
        <f t="shared" si="3"/>
        <v>0</v>
      </c>
      <c r="AH48" s="56"/>
      <c r="AI48" s="56"/>
      <c r="AJ48" s="56"/>
      <c r="AK48" s="78" t="s">
        <v>52</v>
      </c>
    </row>
    <row r="49" spans="1:37">
      <c r="A49" s="119">
        <v>44774</v>
      </c>
      <c r="B49" s="18">
        <v>1600</v>
      </c>
      <c r="C49" s="18"/>
      <c r="D49" s="17">
        <f>(SUM(粮草!A49:X49)+AG49*10)*IF(AK49="是",$AY$4,$AY$3)</f>
        <v>1680</v>
      </c>
      <c r="E49" s="76">
        <f>SUM($B$4:B49)+SUM($C$4:C49)-SUM($D$4:D49)</f>
        <v>38</v>
      </c>
      <c r="F49" s="17">
        <f>SUM(经验!A49:X49)</f>
        <v>615</v>
      </c>
      <c r="G49" s="17">
        <f>SUM($F$4:F49)+SUM($H$4:H49)</f>
        <v>32280</v>
      </c>
      <c r="H49" s="18">
        <v>200</v>
      </c>
      <c r="I49" s="98" t="s">
        <v>43</v>
      </c>
      <c r="J49" s="98" t="s">
        <v>43</v>
      </c>
      <c r="K49" s="98" t="s">
        <v>43</v>
      </c>
      <c r="L49" s="98" t="s">
        <v>43</v>
      </c>
      <c r="M49" s="98" t="s">
        <v>43</v>
      </c>
      <c r="N49" s="100" t="s">
        <v>44</v>
      </c>
      <c r="O49" s="72" t="s">
        <v>34</v>
      </c>
      <c r="P49" s="72" t="s">
        <v>34</v>
      </c>
      <c r="Q49" s="79" t="s">
        <v>34</v>
      </c>
      <c r="R49" s="79" t="s">
        <v>34</v>
      </c>
      <c r="S49" s="79" t="s">
        <v>34</v>
      </c>
      <c r="T49" s="79" t="s">
        <v>34</v>
      </c>
      <c r="U49" s="79" t="s">
        <v>34</v>
      </c>
      <c r="V49" s="79" t="s">
        <v>34</v>
      </c>
      <c r="W49" s="72" t="s">
        <v>34</v>
      </c>
      <c r="X49" s="72" t="s">
        <v>34</v>
      </c>
      <c r="Y49" s="95" t="s">
        <v>42</v>
      </c>
      <c r="Z49" s="95" t="s">
        <v>42</v>
      </c>
      <c r="AA49" s="95" t="s">
        <v>42</v>
      </c>
      <c r="AB49" s="90" t="s">
        <v>39</v>
      </c>
      <c r="AC49" s="95" t="s">
        <v>42</v>
      </c>
      <c r="AD49" s="95" t="s">
        <v>42</v>
      </c>
      <c r="AE49" s="72" t="s">
        <v>34</v>
      </c>
      <c r="AF49" s="72" t="s">
        <v>34</v>
      </c>
      <c r="AG49" s="56">
        <f t="shared" si="3"/>
        <v>0</v>
      </c>
      <c r="AH49" s="56"/>
      <c r="AI49" s="56"/>
      <c r="AJ49" s="56"/>
      <c r="AK49" s="78" t="s">
        <v>52</v>
      </c>
    </row>
    <row r="50" spans="1:37">
      <c r="A50" s="119">
        <v>44775</v>
      </c>
      <c r="B50" s="18">
        <v>1600</v>
      </c>
      <c r="C50" s="18"/>
      <c r="D50" s="17">
        <f>(SUM(粮草!A50:X50)+AG50*10)*IF(AK50="是",$AY$4,$AY$3)</f>
        <v>1536</v>
      </c>
      <c r="E50" s="76">
        <f>SUM($B$4:B50)+SUM($C$4:C50)-SUM($D$4:D50)</f>
        <v>102</v>
      </c>
      <c r="F50" s="17">
        <f>SUM(经验!A50:X50)</f>
        <v>620</v>
      </c>
      <c r="G50" s="17">
        <f>SUM($F$4:F50)+SUM($H$4:H50)</f>
        <v>33000</v>
      </c>
      <c r="H50" s="18">
        <v>100</v>
      </c>
      <c r="I50" s="100" t="s">
        <v>44</v>
      </c>
      <c r="J50" s="100" t="s">
        <v>44</v>
      </c>
      <c r="K50" s="100" t="s">
        <v>44</v>
      </c>
      <c r="L50" s="92" t="s">
        <v>59</v>
      </c>
      <c r="M50" s="100" t="s">
        <v>44</v>
      </c>
      <c r="N50" s="100" t="s">
        <v>44</v>
      </c>
      <c r="O50" s="100" t="s">
        <v>44</v>
      </c>
      <c r="P50" s="100" t="s">
        <v>44</v>
      </c>
      <c r="Q50" s="79" t="s">
        <v>34</v>
      </c>
      <c r="R50" s="79" t="s">
        <v>34</v>
      </c>
      <c r="S50" s="79" t="s">
        <v>34</v>
      </c>
      <c r="T50" s="79" t="s">
        <v>34</v>
      </c>
      <c r="U50" s="79" t="s">
        <v>34</v>
      </c>
      <c r="V50" s="79" t="s">
        <v>34</v>
      </c>
      <c r="W50" s="72" t="s">
        <v>34</v>
      </c>
      <c r="X50" s="72" t="s">
        <v>34</v>
      </c>
      <c r="Y50" s="95" t="s">
        <v>42</v>
      </c>
      <c r="Z50" s="95" t="s">
        <v>42</v>
      </c>
      <c r="AA50" s="95" t="s">
        <v>42</v>
      </c>
      <c r="AB50" s="95" t="s">
        <v>42</v>
      </c>
      <c r="AC50" s="79" t="s">
        <v>34</v>
      </c>
      <c r="AD50" s="79" t="s">
        <v>34</v>
      </c>
      <c r="AE50" s="72" t="s">
        <v>34</v>
      </c>
      <c r="AF50" s="72" t="s">
        <v>34</v>
      </c>
      <c r="AG50" s="56">
        <f t="shared" si="3"/>
        <v>0</v>
      </c>
      <c r="AH50" s="56"/>
      <c r="AI50" s="56"/>
      <c r="AJ50" s="56"/>
      <c r="AK50" s="78" t="s">
        <v>52</v>
      </c>
    </row>
    <row r="51" spans="1:37">
      <c r="A51" s="119">
        <v>44776</v>
      </c>
      <c r="B51" s="18">
        <v>1600</v>
      </c>
      <c r="C51" s="18"/>
      <c r="D51" s="17">
        <f>(SUM(粮草!A51:X51)+AG51*10)*IF(AK51="是",$AY$4,$AY$3)</f>
        <v>1656</v>
      </c>
      <c r="E51" s="76">
        <f>SUM($B$4:B51)+SUM($C$4:C51)-SUM($D$4:D51)</f>
        <v>46</v>
      </c>
      <c r="F51" s="17">
        <f>SUM(经验!A51:X51)</f>
        <v>610</v>
      </c>
      <c r="G51" s="17">
        <f>SUM($F$4:F51)+SUM($H$4:H51)</f>
        <v>33810</v>
      </c>
      <c r="H51" s="18">
        <v>200</v>
      </c>
      <c r="I51" s="100" t="s">
        <v>44</v>
      </c>
      <c r="J51" s="100" t="s">
        <v>44</v>
      </c>
      <c r="K51" s="100" t="s">
        <v>44</v>
      </c>
      <c r="L51" s="100" t="s">
        <v>44</v>
      </c>
      <c r="M51" s="100" t="s">
        <v>44</v>
      </c>
      <c r="N51" s="100" t="s">
        <v>44</v>
      </c>
      <c r="O51" s="72" t="s">
        <v>34</v>
      </c>
      <c r="P51" s="72" t="s">
        <v>34</v>
      </c>
      <c r="Q51" s="79" t="s">
        <v>34</v>
      </c>
      <c r="R51" s="79" t="s">
        <v>34</v>
      </c>
      <c r="S51" s="79" t="s">
        <v>34</v>
      </c>
      <c r="T51" s="79" t="s">
        <v>34</v>
      </c>
      <c r="U51" s="79" t="s">
        <v>34</v>
      </c>
      <c r="V51" s="79" t="s">
        <v>34</v>
      </c>
      <c r="W51" s="72" t="s">
        <v>34</v>
      </c>
      <c r="X51" s="72" t="s">
        <v>34</v>
      </c>
      <c r="Y51" s="95" t="s">
        <v>42</v>
      </c>
      <c r="Z51" s="97" t="s">
        <v>48</v>
      </c>
      <c r="AA51" s="95" t="s">
        <v>42</v>
      </c>
      <c r="AB51" s="95" t="s">
        <v>42</v>
      </c>
      <c r="AC51" s="95" t="s">
        <v>42</v>
      </c>
      <c r="AD51" s="79" t="s">
        <v>34</v>
      </c>
      <c r="AE51" s="72" t="s">
        <v>34</v>
      </c>
      <c r="AF51" s="72" t="s">
        <v>34</v>
      </c>
      <c r="AG51" s="56">
        <f t="shared" si="3"/>
        <v>0</v>
      </c>
      <c r="AH51" s="56"/>
      <c r="AI51" s="56"/>
      <c r="AJ51" s="56"/>
      <c r="AK51" s="78" t="s">
        <v>52</v>
      </c>
    </row>
    <row r="52" spans="1:37">
      <c r="A52" s="119">
        <v>44777</v>
      </c>
      <c r="B52" s="18">
        <v>1600</v>
      </c>
      <c r="C52" s="18"/>
      <c r="D52" s="17">
        <f>(SUM(粮草!A52:X52)+AG52*10)*IF(AK52="是",$AY$4,$AY$3)</f>
        <v>1560</v>
      </c>
      <c r="E52" s="76">
        <f>SUM($B$4:B52)+SUM($C$4:C52)-SUM($D$4:D52)</f>
        <v>86</v>
      </c>
      <c r="F52" s="17">
        <f>SUM(经验!A52:X52)</f>
        <v>575</v>
      </c>
      <c r="G52" s="17">
        <f>SUM($F$4:F52)+SUM($H$4:H52)</f>
        <v>34385</v>
      </c>
      <c r="H52" s="18">
        <v>0</v>
      </c>
      <c r="I52" s="100" t="s">
        <v>44</v>
      </c>
      <c r="J52" s="100" t="s">
        <v>44</v>
      </c>
      <c r="K52" s="100" t="s">
        <v>44</v>
      </c>
      <c r="L52" s="100" t="s">
        <v>44</v>
      </c>
      <c r="M52" s="100" t="s">
        <v>44</v>
      </c>
      <c r="N52" s="100" t="s">
        <v>44</v>
      </c>
      <c r="O52" s="72" t="s">
        <v>34</v>
      </c>
      <c r="P52" s="72" t="s">
        <v>34</v>
      </c>
      <c r="Q52" s="79" t="s">
        <v>34</v>
      </c>
      <c r="R52" s="79" t="s">
        <v>34</v>
      </c>
      <c r="S52" s="79" t="s">
        <v>34</v>
      </c>
      <c r="T52" s="79" t="s">
        <v>34</v>
      </c>
      <c r="U52" s="79" t="s">
        <v>34</v>
      </c>
      <c r="V52" s="79" t="s">
        <v>34</v>
      </c>
      <c r="W52" s="72" t="s">
        <v>34</v>
      </c>
      <c r="X52" s="72" t="s">
        <v>34</v>
      </c>
      <c r="Y52" s="95" t="s">
        <v>42</v>
      </c>
      <c r="Z52" s="98" t="s">
        <v>43</v>
      </c>
      <c r="AA52" s="98" t="s">
        <v>43</v>
      </c>
      <c r="AB52" s="98" t="s">
        <v>43</v>
      </c>
      <c r="AC52" s="79" t="s">
        <v>34</v>
      </c>
      <c r="AD52" s="79" t="s">
        <v>34</v>
      </c>
      <c r="AE52" s="72" t="s">
        <v>34</v>
      </c>
      <c r="AF52" s="72" t="s">
        <v>34</v>
      </c>
      <c r="AG52" s="56">
        <f t="shared" si="3"/>
        <v>0</v>
      </c>
      <c r="AH52" s="56"/>
      <c r="AI52" s="56"/>
      <c r="AJ52" s="56"/>
      <c r="AK52" s="78" t="s">
        <v>52</v>
      </c>
    </row>
    <row r="53" spans="1:37">
      <c r="A53" s="119">
        <v>44778</v>
      </c>
      <c r="B53" s="18">
        <v>1600</v>
      </c>
      <c r="C53" s="18"/>
      <c r="D53" s="17">
        <f>(SUM(粮草!A53:X53)+AG53*10)*IF(AK53="是",$AY$4,$AY$3)</f>
        <v>1560</v>
      </c>
      <c r="E53" s="76">
        <f>SUM($B$4:B53)+SUM($C$4:C53)-SUM($D$4:D53)</f>
        <v>126</v>
      </c>
      <c r="F53" s="17">
        <f>SUM(经验!A53:X53)</f>
        <v>635</v>
      </c>
      <c r="G53" s="17">
        <f>SUM($F$4:F53)+SUM($H$4:H53)</f>
        <v>35020</v>
      </c>
      <c r="H53" s="18">
        <v>0</v>
      </c>
      <c r="I53" s="100" t="s">
        <v>44</v>
      </c>
      <c r="J53" s="100" t="s">
        <v>44</v>
      </c>
      <c r="K53" s="100" t="s">
        <v>44</v>
      </c>
      <c r="L53" s="100" t="s">
        <v>44</v>
      </c>
      <c r="M53" s="100" t="s">
        <v>44</v>
      </c>
      <c r="N53" s="100" t="s">
        <v>44</v>
      </c>
      <c r="O53" s="72" t="s">
        <v>34</v>
      </c>
      <c r="P53" s="72" t="s">
        <v>34</v>
      </c>
      <c r="Q53" s="79" t="s">
        <v>34</v>
      </c>
      <c r="R53" s="79" t="s">
        <v>34</v>
      </c>
      <c r="S53" s="79" t="s">
        <v>34</v>
      </c>
      <c r="T53" s="79" t="s">
        <v>34</v>
      </c>
      <c r="U53" s="79" t="s">
        <v>34</v>
      </c>
      <c r="V53" s="79" t="s">
        <v>34</v>
      </c>
      <c r="W53" s="72" t="s">
        <v>34</v>
      </c>
      <c r="X53" s="72" t="s">
        <v>34</v>
      </c>
      <c r="Y53" s="98" t="s">
        <v>43</v>
      </c>
      <c r="Z53" s="98" t="s">
        <v>43</v>
      </c>
      <c r="AA53" s="98" t="s">
        <v>43</v>
      </c>
      <c r="AB53" s="92" t="s">
        <v>59</v>
      </c>
      <c r="AC53" s="98" t="s">
        <v>43</v>
      </c>
      <c r="AD53" s="98" t="s">
        <v>43</v>
      </c>
      <c r="AE53" s="72" t="s">
        <v>34</v>
      </c>
      <c r="AF53" s="72" t="s">
        <v>34</v>
      </c>
      <c r="AG53" s="56">
        <f t="shared" si="3"/>
        <v>0</v>
      </c>
      <c r="AH53" s="56"/>
      <c r="AI53" s="56"/>
      <c r="AJ53" s="56"/>
      <c r="AK53" s="78" t="s">
        <v>52</v>
      </c>
    </row>
    <row r="54" spans="1:37">
      <c r="A54" s="119">
        <v>44779</v>
      </c>
      <c r="B54" s="18">
        <v>1600</v>
      </c>
      <c r="C54" s="18"/>
      <c r="D54" s="17">
        <f>(SUM(粮草!A54:X54)+AG54*10)*IF(AK54="是",$AY$4,$AY$3)</f>
        <v>1720</v>
      </c>
      <c r="E54" s="76">
        <f>SUM($B$4:B54)+SUM($C$4:C54)-SUM($D$4:D54)</f>
        <v>6</v>
      </c>
      <c r="F54" s="17">
        <f>SUM(经验!A54:X54)</f>
        <v>635</v>
      </c>
      <c r="G54" s="17">
        <f>SUM($F$4:F54)+SUM($H$4:H54)</f>
        <v>35655</v>
      </c>
      <c r="H54" s="18">
        <v>0</v>
      </c>
      <c r="I54" s="100" t="s">
        <v>44</v>
      </c>
      <c r="J54" s="100" t="s">
        <v>44</v>
      </c>
      <c r="K54" s="100" t="s">
        <v>44</v>
      </c>
      <c r="L54" s="100" t="s">
        <v>44</v>
      </c>
      <c r="M54" s="100" t="s">
        <v>44</v>
      </c>
      <c r="N54" s="100" t="s">
        <v>44</v>
      </c>
      <c r="O54" s="72" t="s">
        <v>34</v>
      </c>
      <c r="P54" s="72" t="s">
        <v>34</v>
      </c>
      <c r="Q54" s="79" t="s">
        <v>34</v>
      </c>
      <c r="R54" s="79" t="s">
        <v>34</v>
      </c>
      <c r="S54" s="79" t="s">
        <v>34</v>
      </c>
      <c r="T54" s="79" t="s">
        <v>34</v>
      </c>
      <c r="U54" s="79" t="s">
        <v>34</v>
      </c>
      <c r="V54" s="79" t="s">
        <v>34</v>
      </c>
      <c r="W54" s="72" t="s">
        <v>34</v>
      </c>
      <c r="X54" s="72" t="s">
        <v>34</v>
      </c>
      <c r="Y54" s="98" t="s">
        <v>43</v>
      </c>
      <c r="Z54" s="98" t="s">
        <v>43</v>
      </c>
      <c r="AA54" s="98" t="s">
        <v>43</v>
      </c>
      <c r="AB54" s="98" t="s">
        <v>43</v>
      </c>
      <c r="AC54" s="98" t="s">
        <v>43</v>
      </c>
      <c r="AD54" s="79" t="s">
        <v>34</v>
      </c>
      <c r="AE54" s="72" t="s">
        <v>34</v>
      </c>
      <c r="AF54" s="72" t="s">
        <v>34</v>
      </c>
      <c r="AG54" s="56">
        <f t="shared" si="3"/>
        <v>0</v>
      </c>
      <c r="AH54" s="56"/>
      <c r="AI54" s="56"/>
      <c r="AJ54" s="56"/>
      <c r="AK54" s="78" t="s">
        <v>52</v>
      </c>
    </row>
    <row r="55" spans="1:37">
      <c r="A55" s="119">
        <v>44780</v>
      </c>
      <c r="B55" s="18">
        <v>1600</v>
      </c>
      <c r="C55" s="18"/>
      <c r="D55" s="17">
        <f>(SUM(粮草!A55:X55)+AG55*10)*IF(AK55="是",$AY$4,$AY$3)</f>
        <v>1568</v>
      </c>
      <c r="E55" s="76">
        <f>SUM($B$4:B55)+SUM($C$4:C55)-SUM($D$4:D55)</f>
        <v>38</v>
      </c>
      <c r="F55" s="17">
        <f>SUM(经验!A55:X55)</f>
        <v>580</v>
      </c>
      <c r="G55" s="17">
        <f>SUM($F$4:F55)+SUM($H$4:H55)</f>
        <v>36235</v>
      </c>
      <c r="H55" s="18">
        <v>0</v>
      </c>
      <c r="I55" s="100" t="s">
        <v>44</v>
      </c>
      <c r="J55" s="100" t="s">
        <v>44</v>
      </c>
      <c r="K55" s="100" t="s">
        <v>44</v>
      </c>
      <c r="L55" s="100" t="s">
        <v>44</v>
      </c>
      <c r="M55" s="100" t="s">
        <v>44</v>
      </c>
      <c r="N55" s="100" t="s">
        <v>44</v>
      </c>
      <c r="O55" s="72" t="s">
        <v>34</v>
      </c>
      <c r="P55" s="72" t="s">
        <v>34</v>
      </c>
      <c r="Q55" s="79" t="s">
        <v>34</v>
      </c>
      <c r="R55" s="79" t="s">
        <v>34</v>
      </c>
      <c r="S55" s="79" t="s">
        <v>34</v>
      </c>
      <c r="T55" s="79" t="s">
        <v>34</v>
      </c>
      <c r="U55" s="79" t="s">
        <v>34</v>
      </c>
      <c r="V55" s="79" t="s">
        <v>34</v>
      </c>
      <c r="W55" s="72" t="s">
        <v>34</v>
      </c>
      <c r="X55" s="72" t="s">
        <v>34</v>
      </c>
      <c r="Y55" s="98" t="s">
        <v>43</v>
      </c>
      <c r="Z55" s="98" t="s">
        <v>43</v>
      </c>
      <c r="AA55" s="98" t="s">
        <v>43</v>
      </c>
      <c r="AB55" s="98" t="s">
        <v>43</v>
      </c>
      <c r="AC55" s="79" t="s">
        <v>34</v>
      </c>
      <c r="AD55" s="79" t="s">
        <v>34</v>
      </c>
      <c r="AE55" s="72" t="s">
        <v>34</v>
      </c>
      <c r="AF55" s="72" t="s">
        <v>34</v>
      </c>
      <c r="AG55" s="56">
        <f t="shared" si="3"/>
        <v>0</v>
      </c>
      <c r="AH55" s="56"/>
      <c r="AI55" s="56"/>
      <c r="AJ55" s="56"/>
      <c r="AK55" s="78" t="s">
        <v>52</v>
      </c>
    </row>
    <row r="56" spans="1:37">
      <c r="A56" s="119">
        <v>44781</v>
      </c>
      <c r="B56" s="17">
        <v>1600</v>
      </c>
      <c r="C56" s="17"/>
      <c r="D56" s="17">
        <f>(SUM(粮草!A56:X56)+AG56*10)*IF(AK56="是",$AY$4,$AY$3)</f>
        <v>1608</v>
      </c>
      <c r="E56" s="76">
        <f>SUM($B$4:B56)+SUM($C$4:C56)-SUM($D$4:D56)</f>
        <v>30</v>
      </c>
      <c r="F56" s="17">
        <f>SUM(经验!A56:X56)</f>
        <v>610</v>
      </c>
      <c r="G56" s="17">
        <f>SUM($F$4:F56)+SUM($H$4:H56)</f>
        <v>37145</v>
      </c>
      <c r="H56" s="17">
        <v>300</v>
      </c>
      <c r="I56" s="100" t="s">
        <v>44</v>
      </c>
      <c r="J56" s="100" t="s">
        <v>44</v>
      </c>
      <c r="K56" s="100" t="s">
        <v>44</v>
      </c>
      <c r="L56" s="100" t="s">
        <v>44</v>
      </c>
      <c r="M56" s="100" t="s">
        <v>44</v>
      </c>
      <c r="N56" s="100" t="s">
        <v>44</v>
      </c>
      <c r="O56" s="72" t="s">
        <v>34</v>
      </c>
      <c r="P56" s="72" t="s">
        <v>34</v>
      </c>
      <c r="Q56" s="79" t="s">
        <v>34</v>
      </c>
      <c r="R56" s="79" t="s">
        <v>34</v>
      </c>
      <c r="S56" s="79" t="s">
        <v>34</v>
      </c>
      <c r="T56" s="79" t="s">
        <v>34</v>
      </c>
      <c r="U56" s="79" t="s">
        <v>34</v>
      </c>
      <c r="V56" s="79" t="s">
        <v>34</v>
      </c>
      <c r="W56" s="72" t="s">
        <v>34</v>
      </c>
      <c r="X56" s="72" t="s">
        <v>34</v>
      </c>
      <c r="Y56" s="98" t="s">
        <v>43</v>
      </c>
      <c r="Z56" s="90" t="s">
        <v>39</v>
      </c>
      <c r="AA56" s="98" t="s">
        <v>43</v>
      </c>
      <c r="AB56" s="98" t="s">
        <v>43</v>
      </c>
      <c r="AC56" s="98" t="s">
        <v>43</v>
      </c>
      <c r="AD56" s="79" t="s">
        <v>34</v>
      </c>
      <c r="AE56" s="72" t="s">
        <v>34</v>
      </c>
      <c r="AF56" s="72" t="s">
        <v>34</v>
      </c>
      <c r="AG56" s="56">
        <f t="shared" si="3"/>
        <v>0</v>
      </c>
      <c r="AH56" s="56"/>
      <c r="AI56" s="56"/>
      <c r="AJ56" s="56"/>
      <c r="AK56" s="78" t="s">
        <v>52</v>
      </c>
    </row>
    <row r="57" spans="1:37">
      <c r="A57" s="119">
        <v>44782</v>
      </c>
      <c r="B57" s="17">
        <v>1600</v>
      </c>
      <c r="C57" s="17"/>
      <c r="D57" s="17">
        <f>(SUM(粮草!A57:X57)+AG57*10)*IF(AK57="是",$AY$4,$AY$3)</f>
        <v>1568</v>
      </c>
      <c r="E57" s="76">
        <f>SUM($B$4:B57)+SUM($C$4:C57)-SUM($D$4:D57)</f>
        <v>62</v>
      </c>
      <c r="F57" s="17">
        <f>SUM(经验!A57:X57)</f>
        <v>580</v>
      </c>
      <c r="G57" s="17">
        <f>SUM($F$4:F57)+SUM($H$4:H57)</f>
        <v>37725</v>
      </c>
      <c r="H57" s="17">
        <v>0</v>
      </c>
      <c r="I57" s="100" t="s">
        <v>44</v>
      </c>
      <c r="J57" s="100" t="s">
        <v>44</v>
      </c>
      <c r="K57" s="100" t="s">
        <v>44</v>
      </c>
      <c r="L57" s="100" t="s">
        <v>44</v>
      </c>
      <c r="M57" s="100" t="s">
        <v>44</v>
      </c>
      <c r="N57" s="100" t="s">
        <v>44</v>
      </c>
      <c r="O57" s="72" t="s">
        <v>34</v>
      </c>
      <c r="P57" s="72" t="s">
        <v>34</v>
      </c>
      <c r="Q57" s="79" t="s">
        <v>34</v>
      </c>
      <c r="R57" s="79" t="s">
        <v>34</v>
      </c>
      <c r="S57" s="79" t="s">
        <v>34</v>
      </c>
      <c r="T57" s="79" t="s">
        <v>34</v>
      </c>
      <c r="U57" s="79" t="s">
        <v>34</v>
      </c>
      <c r="V57" s="79" t="s">
        <v>34</v>
      </c>
      <c r="W57" s="72" t="s">
        <v>34</v>
      </c>
      <c r="X57" s="72" t="s">
        <v>34</v>
      </c>
      <c r="Y57" s="98" t="s">
        <v>43</v>
      </c>
      <c r="Z57" s="98" t="s">
        <v>43</v>
      </c>
      <c r="AA57" s="98" t="s">
        <v>43</v>
      </c>
      <c r="AB57" s="98" t="s">
        <v>43</v>
      </c>
      <c r="AC57" s="79" t="s">
        <v>34</v>
      </c>
      <c r="AD57" s="79" t="s">
        <v>34</v>
      </c>
      <c r="AE57" s="72" t="s">
        <v>34</v>
      </c>
      <c r="AF57" s="72" t="s">
        <v>34</v>
      </c>
      <c r="AG57" s="56">
        <f t="shared" si="3"/>
        <v>0</v>
      </c>
      <c r="AH57" s="56"/>
      <c r="AI57" s="56"/>
      <c r="AJ57" s="56"/>
      <c r="AK57" s="78" t="s">
        <v>52</v>
      </c>
    </row>
    <row r="58" spans="1:37">
      <c r="A58" s="119">
        <v>44783</v>
      </c>
      <c r="B58" s="17">
        <v>1600</v>
      </c>
      <c r="C58" s="17"/>
      <c r="D58" s="17">
        <f>(SUM(粮草!A58:X58)+AG58*10)*IF(AK58="是",$AY$4,$AY$3)</f>
        <v>1616</v>
      </c>
      <c r="E58" s="76">
        <f>SUM($B$4:B58)+SUM($C$4:C58)-SUM($D$4:D58)</f>
        <v>46</v>
      </c>
      <c r="F58" s="17">
        <f>SUM(经验!A58:X58)</f>
        <v>1025</v>
      </c>
      <c r="G58" s="17">
        <f>SUM($F$4:F58)+SUM($H$4:H58)</f>
        <v>38950</v>
      </c>
      <c r="H58" s="17">
        <v>200</v>
      </c>
      <c r="I58" s="100" t="s">
        <v>44</v>
      </c>
      <c r="J58" s="100" t="s">
        <v>44</v>
      </c>
      <c r="K58" s="100" t="s">
        <v>44</v>
      </c>
      <c r="L58" s="100" t="s">
        <v>44</v>
      </c>
      <c r="M58" s="100" t="s">
        <v>44</v>
      </c>
      <c r="N58" s="100" t="s">
        <v>44</v>
      </c>
      <c r="O58" s="72" t="s">
        <v>34</v>
      </c>
      <c r="P58" s="72" t="s">
        <v>34</v>
      </c>
      <c r="Q58" s="79" t="s">
        <v>34</v>
      </c>
      <c r="R58" s="79" t="s">
        <v>34</v>
      </c>
      <c r="S58" s="79" t="s">
        <v>34</v>
      </c>
      <c r="T58" s="79" t="s">
        <v>34</v>
      </c>
      <c r="U58" s="79" t="s">
        <v>34</v>
      </c>
      <c r="V58" s="79" t="s">
        <v>34</v>
      </c>
      <c r="W58" s="72" t="s">
        <v>34</v>
      </c>
      <c r="X58" s="72" t="s">
        <v>34</v>
      </c>
      <c r="Y58" s="98" t="s">
        <v>43</v>
      </c>
      <c r="Z58" s="99" t="s">
        <v>55</v>
      </c>
      <c r="AA58" s="98" t="s">
        <v>43</v>
      </c>
      <c r="AB58" s="98" t="s">
        <v>43</v>
      </c>
      <c r="AC58" s="79" t="s">
        <v>34</v>
      </c>
      <c r="AD58" s="79" t="s">
        <v>34</v>
      </c>
      <c r="AE58" s="72" t="s">
        <v>34</v>
      </c>
      <c r="AF58" s="72" t="s">
        <v>34</v>
      </c>
      <c r="AG58" s="56">
        <f t="shared" si="3"/>
        <v>0</v>
      </c>
      <c r="AH58" s="56"/>
      <c r="AI58" s="56"/>
      <c r="AJ58" s="56"/>
      <c r="AK58" s="78" t="s">
        <v>52</v>
      </c>
    </row>
    <row r="59" spans="1:37">
      <c r="A59" s="119">
        <v>44784</v>
      </c>
      <c r="B59" s="17">
        <v>1600</v>
      </c>
      <c r="C59" s="17"/>
      <c r="D59" s="17">
        <f>(SUM(粮草!A59:X59)+AG59*10)*IF(AK59="是",$AY$4,$AY$3)</f>
        <v>1568</v>
      </c>
      <c r="E59" s="76">
        <f>SUM($B$4:B59)+SUM($C$4:C59)-SUM($D$4:D59)</f>
        <v>78</v>
      </c>
      <c r="F59" s="17">
        <f>SUM(经验!A59:X59)</f>
        <v>580</v>
      </c>
      <c r="G59" s="17">
        <f>SUM($F$4:F59)+SUM($H$4:H59)</f>
        <v>39530</v>
      </c>
      <c r="H59" s="17">
        <v>0</v>
      </c>
      <c r="I59" s="100" t="s">
        <v>44</v>
      </c>
      <c r="J59" s="100" t="s">
        <v>44</v>
      </c>
      <c r="K59" s="100" t="s">
        <v>44</v>
      </c>
      <c r="L59" s="100" t="s">
        <v>44</v>
      </c>
      <c r="M59" s="100" t="s">
        <v>44</v>
      </c>
      <c r="N59" s="100" t="s">
        <v>44</v>
      </c>
      <c r="O59" s="72" t="s">
        <v>34</v>
      </c>
      <c r="P59" s="72" t="s">
        <v>34</v>
      </c>
      <c r="Q59" s="79" t="s">
        <v>34</v>
      </c>
      <c r="R59" s="79" t="s">
        <v>34</v>
      </c>
      <c r="S59" s="79" t="s">
        <v>34</v>
      </c>
      <c r="T59" s="79" t="s">
        <v>34</v>
      </c>
      <c r="U59" s="79" t="s">
        <v>34</v>
      </c>
      <c r="V59" s="79" t="s">
        <v>34</v>
      </c>
      <c r="W59" s="72" t="s">
        <v>34</v>
      </c>
      <c r="X59" s="72" t="s">
        <v>34</v>
      </c>
      <c r="Y59" s="98" t="s">
        <v>43</v>
      </c>
      <c r="Z59" s="98" t="s">
        <v>43</v>
      </c>
      <c r="AA59" s="98" t="s">
        <v>43</v>
      </c>
      <c r="AB59" s="98" t="s">
        <v>43</v>
      </c>
      <c r="AC59" s="79" t="s">
        <v>34</v>
      </c>
      <c r="AD59" s="79" t="s">
        <v>34</v>
      </c>
      <c r="AE59" s="72" t="s">
        <v>34</v>
      </c>
      <c r="AF59" s="72" t="s">
        <v>34</v>
      </c>
      <c r="AG59" s="56">
        <f t="shared" si="3"/>
        <v>0</v>
      </c>
      <c r="AH59" s="56"/>
      <c r="AI59" s="56"/>
      <c r="AJ59" s="56"/>
      <c r="AK59" s="78" t="s">
        <v>52</v>
      </c>
    </row>
    <row r="60" spans="1:37">
      <c r="A60" s="119">
        <v>44785</v>
      </c>
      <c r="B60" s="17">
        <v>1600</v>
      </c>
      <c r="C60" s="17"/>
      <c r="D60" s="17">
        <f>(SUM(粮草!A60:X60)+AG60*10)*IF(AK60="是",$AY$4,$AY$3)</f>
        <v>1648</v>
      </c>
      <c r="E60" s="76">
        <f>SUM($B$4:B60)+SUM($C$4:C60)-SUM($D$4:D60)</f>
        <v>30</v>
      </c>
      <c r="F60" s="17">
        <f>SUM(经验!A60:X60)</f>
        <v>1550</v>
      </c>
      <c r="G60" s="17">
        <f>SUM($F$4:F60)+SUM($H$4:H60)</f>
        <v>41080</v>
      </c>
      <c r="H60" s="17">
        <v>0</v>
      </c>
      <c r="I60" s="100" t="s">
        <v>44</v>
      </c>
      <c r="J60" s="100" t="s">
        <v>44</v>
      </c>
      <c r="K60" s="101" t="s">
        <v>54</v>
      </c>
      <c r="L60" s="100" t="s">
        <v>44</v>
      </c>
      <c r="M60" s="100" t="s">
        <v>44</v>
      </c>
      <c r="N60" s="100" t="s">
        <v>44</v>
      </c>
      <c r="O60" s="72" t="s">
        <v>34</v>
      </c>
      <c r="P60" s="72" t="s">
        <v>34</v>
      </c>
      <c r="Q60" s="79" t="s">
        <v>34</v>
      </c>
      <c r="R60" s="79" t="s">
        <v>34</v>
      </c>
      <c r="S60" s="79" t="s">
        <v>34</v>
      </c>
      <c r="T60" s="79" t="s">
        <v>34</v>
      </c>
      <c r="U60" s="79" t="s">
        <v>34</v>
      </c>
      <c r="V60" s="79" t="s">
        <v>34</v>
      </c>
      <c r="W60" s="72" t="s">
        <v>34</v>
      </c>
      <c r="X60" s="72" t="s">
        <v>34</v>
      </c>
      <c r="Y60" s="98" t="s">
        <v>43</v>
      </c>
      <c r="Z60" s="98" t="s">
        <v>43</v>
      </c>
      <c r="AA60" s="98" t="s">
        <v>43</v>
      </c>
      <c r="AB60" s="90" t="s">
        <v>39</v>
      </c>
      <c r="AC60" s="98" t="s">
        <v>43</v>
      </c>
      <c r="AD60" s="79" t="s">
        <v>34</v>
      </c>
      <c r="AE60" s="72" t="s">
        <v>34</v>
      </c>
      <c r="AF60" s="72" t="s">
        <v>34</v>
      </c>
      <c r="AG60" s="56">
        <f t="shared" si="3"/>
        <v>0</v>
      </c>
      <c r="AH60" s="56"/>
      <c r="AI60" s="56"/>
      <c r="AJ60" s="56"/>
      <c r="AK60" s="78" t="s">
        <v>52</v>
      </c>
    </row>
    <row r="61" spans="1:37">
      <c r="A61" s="119">
        <v>44786</v>
      </c>
      <c r="B61" s="17">
        <v>1600</v>
      </c>
      <c r="C61" s="17"/>
      <c r="D61" s="17">
        <f>(SUM(粮草!A61:X61)+AG61*10)*IF(AK61="是",$AY$4,$AY$3)</f>
        <v>1568</v>
      </c>
      <c r="E61" s="76">
        <f>SUM($B$4:B61)+SUM($C$4:C61)-SUM($D$4:D61)</f>
        <v>62</v>
      </c>
      <c r="F61" s="17">
        <f>SUM(经验!A61:X61)</f>
        <v>580</v>
      </c>
      <c r="G61" s="17">
        <f>SUM($F$4:F61)+SUM($H$4:H61)</f>
        <v>41660</v>
      </c>
      <c r="H61" s="17">
        <v>0</v>
      </c>
      <c r="I61" s="100" t="s">
        <v>44</v>
      </c>
      <c r="J61" s="100" t="s">
        <v>44</v>
      </c>
      <c r="K61" s="100" t="s">
        <v>44</v>
      </c>
      <c r="L61" s="100" t="s">
        <v>44</v>
      </c>
      <c r="M61" s="100" t="s">
        <v>44</v>
      </c>
      <c r="N61" s="100" t="s">
        <v>44</v>
      </c>
      <c r="O61" s="72" t="s">
        <v>34</v>
      </c>
      <c r="P61" s="72" t="s">
        <v>34</v>
      </c>
      <c r="Q61" s="79" t="s">
        <v>34</v>
      </c>
      <c r="R61" s="79" t="s">
        <v>34</v>
      </c>
      <c r="S61" s="79" t="s">
        <v>34</v>
      </c>
      <c r="T61" s="79" t="s">
        <v>34</v>
      </c>
      <c r="U61" s="79" t="s">
        <v>34</v>
      </c>
      <c r="V61" s="79" t="s">
        <v>34</v>
      </c>
      <c r="W61" s="72" t="s">
        <v>34</v>
      </c>
      <c r="X61" s="72" t="s">
        <v>34</v>
      </c>
      <c r="Y61" s="98" t="s">
        <v>43</v>
      </c>
      <c r="Z61" s="98" t="s">
        <v>43</v>
      </c>
      <c r="AA61" s="98" t="s">
        <v>43</v>
      </c>
      <c r="AB61" s="98" t="s">
        <v>43</v>
      </c>
      <c r="AC61" s="79" t="s">
        <v>34</v>
      </c>
      <c r="AD61" s="79" t="s">
        <v>34</v>
      </c>
      <c r="AE61" s="72" t="s">
        <v>34</v>
      </c>
      <c r="AF61" s="72" t="s">
        <v>34</v>
      </c>
      <c r="AG61" s="56">
        <f t="shared" si="3"/>
        <v>0</v>
      </c>
      <c r="AH61" s="56"/>
      <c r="AI61" s="56"/>
      <c r="AJ61" s="56"/>
      <c r="AK61" s="78" t="s">
        <v>52</v>
      </c>
    </row>
    <row r="62" spans="1:37">
      <c r="A62" s="119">
        <v>44787</v>
      </c>
      <c r="B62" s="17">
        <v>1600</v>
      </c>
      <c r="C62" s="17"/>
      <c r="D62" s="17">
        <f>(SUM(粮草!A62:X62)+AG62*10)*IF(AK62="是",$AY$4,$AY$3)</f>
        <v>1568</v>
      </c>
      <c r="E62" s="76">
        <f>SUM($B$4:B62)+SUM($C$4:C62)-SUM($D$4:D62)</f>
        <v>94</v>
      </c>
      <c r="F62" s="17">
        <f>SUM(经验!A62:X62)</f>
        <v>580</v>
      </c>
      <c r="G62" s="17">
        <f>SUM($F$4:F62)+SUM($H$4:H62)</f>
        <v>42240</v>
      </c>
      <c r="H62" s="17">
        <v>0</v>
      </c>
      <c r="I62" s="100" t="s">
        <v>44</v>
      </c>
      <c r="J62" s="100" t="s">
        <v>44</v>
      </c>
      <c r="K62" s="100" t="s">
        <v>44</v>
      </c>
      <c r="L62" s="100" t="s">
        <v>44</v>
      </c>
      <c r="M62" s="100" t="s">
        <v>44</v>
      </c>
      <c r="N62" s="100" t="s">
        <v>44</v>
      </c>
      <c r="O62" s="72" t="s">
        <v>34</v>
      </c>
      <c r="P62" s="72" t="s">
        <v>34</v>
      </c>
      <c r="Q62" s="79" t="s">
        <v>34</v>
      </c>
      <c r="R62" s="79" t="s">
        <v>34</v>
      </c>
      <c r="S62" s="79" t="s">
        <v>34</v>
      </c>
      <c r="T62" s="79" t="s">
        <v>34</v>
      </c>
      <c r="U62" s="79" t="s">
        <v>34</v>
      </c>
      <c r="V62" s="79" t="s">
        <v>34</v>
      </c>
      <c r="W62" s="72" t="s">
        <v>34</v>
      </c>
      <c r="X62" s="72" t="s">
        <v>34</v>
      </c>
      <c r="Y62" s="98" t="s">
        <v>43</v>
      </c>
      <c r="Z62" s="98" t="s">
        <v>43</v>
      </c>
      <c r="AA62" s="98" t="s">
        <v>43</v>
      </c>
      <c r="AB62" s="98" t="s">
        <v>43</v>
      </c>
      <c r="AC62" s="79" t="s">
        <v>34</v>
      </c>
      <c r="AD62" s="79" t="s">
        <v>34</v>
      </c>
      <c r="AE62" s="72" t="s">
        <v>34</v>
      </c>
      <c r="AF62" s="72" t="s">
        <v>34</v>
      </c>
      <c r="AG62" s="56">
        <f t="shared" si="3"/>
        <v>0</v>
      </c>
      <c r="AH62" s="56"/>
      <c r="AI62" s="56"/>
      <c r="AJ62" s="56"/>
      <c r="AK62" s="78" t="s">
        <v>52</v>
      </c>
    </row>
    <row r="63" spans="1:37">
      <c r="A63" s="119">
        <v>44788</v>
      </c>
      <c r="B63" s="18">
        <v>1600</v>
      </c>
      <c r="C63" s="18"/>
      <c r="D63" s="17">
        <f>(SUM(粮草!A63:X63)+AG63*10)*IF(AK63="是",$AY$4,$AY$3)</f>
        <v>1568</v>
      </c>
      <c r="E63" s="76">
        <f>SUM($B$4:B63)+SUM($C$4:C63)-SUM($D$4:D63)</f>
        <v>126</v>
      </c>
      <c r="F63" s="17">
        <f>SUM(经验!A63:X63)</f>
        <v>580</v>
      </c>
      <c r="G63" s="17">
        <f>SUM($F$4:F63)+SUM($H$4:H63)</f>
        <v>43120</v>
      </c>
      <c r="H63" s="18">
        <v>300</v>
      </c>
      <c r="I63" s="100" t="s">
        <v>44</v>
      </c>
      <c r="J63" s="100" t="s">
        <v>44</v>
      </c>
      <c r="K63" s="100" t="s">
        <v>44</v>
      </c>
      <c r="L63" s="100" t="s">
        <v>44</v>
      </c>
      <c r="M63" s="100" t="s">
        <v>44</v>
      </c>
      <c r="N63" s="100" t="s">
        <v>44</v>
      </c>
      <c r="O63" s="72" t="s">
        <v>34</v>
      </c>
      <c r="P63" s="72" t="s">
        <v>34</v>
      </c>
      <c r="Q63" s="79" t="s">
        <v>34</v>
      </c>
      <c r="R63" s="79" t="s">
        <v>34</v>
      </c>
      <c r="S63" s="79" t="s">
        <v>34</v>
      </c>
      <c r="T63" s="79" t="s">
        <v>34</v>
      </c>
      <c r="U63" s="79" t="s">
        <v>34</v>
      </c>
      <c r="V63" s="79" t="s">
        <v>34</v>
      </c>
      <c r="W63" s="72" t="s">
        <v>34</v>
      </c>
      <c r="X63" s="72" t="s">
        <v>34</v>
      </c>
      <c r="Y63" s="98" t="s">
        <v>43</v>
      </c>
      <c r="Z63" s="98" t="s">
        <v>43</v>
      </c>
      <c r="AA63" s="98" t="s">
        <v>43</v>
      </c>
      <c r="AB63" s="98" t="s">
        <v>43</v>
      </c>
      <c r="AC63" s="79" t="s">
        <v>34</v>
      </c>
      <c r="AD63" s="79" t="s">
        <v>34</v>
      </c>
      <c r="AE63" s="72" t="s">
        <v>34</v>
      </c>
      <c r="AF63" s="72" t="s">
        <v>34</v>
      </c>
      <c r="AG63" s="56">
        <f t="shared" si="3"/>
        <v>0</v>
      </c>
      <c r="AH63" s="56"/>
      <c r="AI63" s="56"/>
      <c r="AJ63" s="56"/>
      <c r="AK63" s="78" t="s">
        <v>52</v>
      </c>
    </row>
    <row r="64" spans="1:37">
      <c r="A64" s="119">
        <v>44789</v>
      </c>
      <c r="B64" s="18">
        <v>1600</v>
      </c>
      <c r="C64" s="18"/>
      <c r="D64" s="17">
        <f>(SUM(粮草!A64:X64)+AG64*10)*IF(AK64="是",$AY$4,$AY$3)</f>
        <v>1608</v>
      </c>
      <c r="E64" s="76">
        <f>SUM($B$4:B64)+SUM($C$4:C64)-SUM($D$4:D64)</f>
        <v>118</v>
      </c>
      <c r="F64" s="17">
        <f>SUM(经验!A64:X64)</f>
        <v>1100</v>
      </c>
      <c r="G64" s="17">
        <f>SUM($F$4:F64)+SUM($H$4:H64)</f>
        <v>44220</v>
      </c>
      <c r="H64" s="18">
        <v>0</v>
      </c>
      <c r="I64" s="100" t="s">
        <v>44</v>
      </c>
      <c r="J64" s="100" t="s">
        <v>44</v>
      </c>
      <c r="K64" s="100" t="s">
        <v>44</v>
      </c>
      <c r="L64" s="100" t="s">
        <v>44</v>
      </c>
      <c r="M64" s="100" t="s">
        <v>44</v>
      </c>
      <c r="N64" s="100" t="s">
        <v>44</v>
      </c>
      <c r="O64" s="72" t="s">
        <v>34</v>
      </c>
      <c r="P64" s="72" t="s">
        <v>34</v>
      </c>
      <c r="Q64" s="79" t="s">
        <v>34</v>
      </c>
      <c r="R64" s="79" t="s">
        <v>34</v>
      </c>
      <c r="S64" s="79" t="s">
        <v>34</v>
      </c>
      <c r="T64" s="79" t="s">
        <v>34</v>
      </c>
      <c r="U64" s="79" t="s">
        <v>34</v>
      </c>
      <c r="V64" s="79" t="s">
        <v>34</v>
      </c>
      <c r="W64" s="72" t="s">
        <v>34</v>
      </c>
      <c r="X64" s="72" t="s">
        <v>34</v>
      </c>
      <c r="Y64" s="98" t="s">
        <v>43</v>
      </c>
      <c r="Z64" s="98" t="s">
        <v>43</v>
      </c>
      <c r="AA64" s="77" t="s">
        <v>71</v>
      </c>
      <c r="AB64" s="98" t="s">
        <v>43</v>
      </c>
      <c r="AC64" s="98" t="s">
        <v>43</v>
      </c>
      <c r="AD64" s="79" t="s">
        <v>34</v>
      </c>
      <c r="AE64" s="72" t="s">
        <v>34</v>
      </c>
      <c r="AF64" s="72" t="s">
        <v>34</v>
      </c>
      <c r="AG64" s="56">
        <f t="shared" si="3"/>
        <v>0</v>
      </c>
      <c r="AH64" s="56"/>
      <c r="AI64" s="56"/>
      <c r="AJ64" s="56"/>
      <c r="AK64" s="78" t="s">
        <v>52</v>
      </c>
    </row>
    <row r="65" spans="1:37">
      <c r="A65" s="119">
        <v>44790</v>
      </c>
      <c r="B65" s="18">
        <v>1600</v>
      </c>
      <c r="C65" s="18"/>
      <c r="D65" s="17">
        <f>(SUM(粮草!A65:X65)+AG65*10)*IF(AK65="是",$AY$4,$AY$3)</f>
        <v>1688</v>
      </c>
      <c r="E65" s="76">
        <f>SUM($B$4:B65)+SUM($C$4:C65)-SUM($D$4:D65)</f>
        <v>30</v>
      </c>
      <c r="F65" s="17">
        <f>SUM(经验!A65:X65)</f>
        <v>635</v>
      </c>
      <c r="G65" s="17">
        <f>SUM($F$4:F65)+SUM($H$4:H65)</f>
        <v>45055</v>
      </c>
      <c r="H65" s="18">
        <v>200</v>
      </c>
      <c r="I65" s="100" t="s">
        <v>44</v>
      </c>
      <c r="J65" s="100" t="s">
        <v>44</v>
      </c>
      <c r="K65" s="100" t="s">
        <v>44</v>
      </c>
      <c r="L65" s="100" t="s">
        <v>44</v>
      </c>
      <c r="M65" s="100" t="s">
        <v>44</v>
      </c>
      <c r="N65" s="100" t="s">
        <v>44</v>
      </c>
      <c r="O65" s="72" t="s">
        <v>34</v>
      </c>
      <c r="P65" s="72" t="s">
        <v>34</v>
      </c>
      <c r="Q65" s="79" t="s">
        <v>34</v>
      </c>
      <c r="R65" s="79" t="s">
        <v>34</v>
      </c>
      <c r="S65" s="79" t="s">
        <v>34</v>
      </c>
      <c r="T65" s="79" t="s">
        <v>34</v>
      </c>
      <c r="U65" s="79" t="s">
        <v>34</v>
      </c>
      <c r="V65" s="79" t="s">
        <v>34</v>
      </c>
      <c r="W65" s="72" t="s">
        <v>34</v>
      </c>
      <c r="X65" s="72" t="s">
        <v>34</v>
      </c>
      <c r="Y65" s="80" t="s">
        <v>49</v>
      </c>
      <c r="Z65" s="98" t="s">
        <v>43</v>
      </c>
      <c r="AA65" s="98" t="s">
        <v>43</v>
      </c>
      <c r="AB65" s="98" t="s">
        <v>43</v>
      </c>
      <c r="AC65" s="98" t="s">
        <v>43</v>
      </c>
      <c r="AD65" s="79" t="s">
        <v>34</v>
      </c>
      <c r="AE65" s="72" t="s">
        <v>34</v>
      </c>
      <c r="AF65" s="72" t="s">
        <v>34</v>
      </c>
      <c r="AG65" s="56">
        <f t="shared" si="3"/>
        <v>0</v>
      </c>
      <c r="AH65" s="56"/>
      <c r="AI65" s="56"/>
      <c r="AJ65" s="56"/>
      <c r="AK65" s="78" t="s">
        <v>52</v>
      </c>
    </row>
    <row r="66" spans="1:37">
      <c r="A66" s="119">
        <v>44791</v>
      </c>
      <c r="B66" s="18">
        <v>1600</v>
      </c>
      <c r="C66" s="18"/>
      <c r="D66" s="17">
        <f>(SUM(粮草!A66:X66)+AG66*10)*IF(AK66="是",$AY$4,$AY$3)</f>
        <v>1544</v>
      </c>
      <c r="E66" s="76">
        <f>SUM($B$4:B66)+SUM($C$4:C66)-SUM($D$4:D66)</f>
        <v>86</v>
      </c>
      <c r="F66" s="17">
        <f>SUM(经验!A66:X66)</f>
        <v>565</v>
      </c>
      <c r="G66" s="17">
        <f>SUM($F$4:F66)+SUM($H$4:H66)</f>
        <v>45620</v>
      </c>
      <c r="H66" s="18">
        <v>0</v>
      </c>
      <c r="I66" s="100" t="s">
        <v>44</v>
      </c>
      <c r="J66" s="100" t="s">
        <v>44</v>
      </c>
      <c r="K66" s="100" t="s">
        <v>44</v>
      </c>
      <c r="L66" s="100" t="s">
        <v>44</v>
      </c>
      <c r="M66" s="100" t="s">
        <v>44</v>
      </c>
      <c r="N66" s="100" t="s">
        <v>44</v>
      </c>
      <c r="O66" s="72" t="s">
        <v>34</v>
      </c>
      <c r="P66" s="72" t="s">
        <v>34</v>
      </c>
      <c r="Q66" s="79" t="s">
        <v>34</v>
      </c>
      <c r="R66" s="79" t="s">
        <v>34</v>
      </c>
      <c r="S66" s="79" t="s">
        <v>34</v>
      </c>
      <c r="T66" s="79" t="s">
        <v>34</v>
      </c>
      <c r="U66" s="79" t="s">
        <v>34</v>
      </c>
      <c r="V66" s="79" t="s">
        <v>34</v>
      </c>
      <c r="W66" s="72" t="s">
        <v>34</v>
      </c>
      <c r="X66" s="72" t="s">
        <v>34</v>
      </c>
      <c r="Y66" s="98" t="s">
        <v>43</v>
      </c>
      <c r="Z66" s="95" t="s">
        <v>42</v>
      </c>
      <c r="AA66" s="95" t="s">
        <v>42</v>
      </c>
      <c r="AB66" s="95" t="s">
        <v>42</v>
      </c>
      <c r="AC66" s="79" t="s">
        <v>34</v>
      </c>
      <c r="AD66" s="79" t="s">
        <v>34</v>
      </c>
      <c r="AE66" s="72" t="s">
        <v>34</v>
      </c>
      <c r="AF66" s="72" t="s">
        <v>34</v>
      </c>
      <c r="AG66" s="56">
        <f t="shared" si="3"/>
        <v>0</v>
      </c>
      <c r="AH66" s="56"/>
      <c r="AI66" s="56"/>
      <c r="AJ66" s="56"/>
      <c r="AK66" s="78" t="s">
        <v>52</v>
      </c>
    </row>
    <row r="67" spans="1:37">
      <c r="A67" s="119">
        <v>44792</v>
      </c>
      <c r="B67" s="18">
        <v>1600</v>
      </c>
      <c r="C67" s="18"/>
      <c r="D67" s="17">
        <f>(SUM(粮草!A67:X67)+AG67*10)*IF(AK67="是",$AY$4,$AY$3)</f>
        <v>1680</v>
      </c>
      <c r="E67" s="76">
        <f>SUM($B$4:B67)+SUM($C$4:C67)-SUM($D$4:D67)</f>
        <v>6</v>
      </c>
      <c r="F67" s="17">
        <f>SUM(经验!A67:X67)</f>
        <v>610</v>
      </c>
      <c r="G67" s="17">
        <f>SUM($F$4:F67)+SUM($H$4:H67)</f>
        <v>46230</v>
      </c>
      <c r="H67" s="18">
        <v>0</v>
      </c>
      <c r="I67" s="100" t="s">
        <v>44</v>
      </c>
      <c r="J67" s="100" t="s">
        <v>44</v>
      </c>
      <c r="K67" s="100" t="s">
        <v>44</v>
      </c>
      <c r="L67" s="100" t="s">
        <v>44</v>
      </c>
      <c r="M67" s="100" t="s">
        <v>44</v>
      </c>
      <c r="N67" s="100" t="s">
        <v>44</v>
      </c>
      <c r="O67" s="72" t="s">
        <v>34</v>
      </c>
      <c r="P67" s="72" t="s">
        <v>34</v>
      </c>
      <c r="Q67" s="79" t="s">
        <v>34</v>
      </c>
      <c r="R67" s="79" t="s">
        <v>34</v>
      </c>
      <c r="S67" s="79" t="s">
        <v>34</v>
      </c>
      <c r="T67" s="79" t="s">
        <v>34</v>
      </c>
      <c r="U67" s="79" t="s">
        <v>34</v>
      </c>
      <c r="V67" s="79" t="s">
        <v>34</v>
      </c>
      <c r="W67" s="72" t="s">
        <v>34</v>
      </c>
      <c r="X67" s="72" t="s">
        <v>34</v>
      </c>
      <c r="Y67" s="95" t="s">
        <v>42</v>
      </c>
      <c r="Z67" s="95" t="s">
        <v>42</v>
      </c>
      <c r="AA67" s="95" t="s">
        <v>42</v>
      </c>
      <c r="AB67" s="95" t="s">
        <v>42</v>
      </c>
      <c r="AC67" s="95" t="s">
        <v>42</v>
      </c>
      <c r="AD67" s="79" t="s">
        <v>34</v>
      </c>
      <c r="AE67" s="72" t="s">
        <v>34</v>
      </c>
      <c r="AF67" s="72" t="s">
        <v>34</v>
      </c>
      <c r="AG67" s="56">
        <f t="shared" si="3"/>
        <v>0</v>
      </c>
      <c r="AH67" s="56"/>
      <c r="AI67" s="56"/>
      <c r="AJ67" s="56"/>
      <c r="AK67" s="78" t="s">
        <v>52</v>
      </c>
    </row>
    <row r="68" spans="1:37">
      <c r="A68" s="119">
        <v>44793</v>
      </c>
      <c r="B68" s="18">
        <v>1600</v>
      </c>
      <c r="C68" s="18"/>
      <c r="D68" s="17">
        <f>(SUM(粮草!A68:X68)+AG68*10)*IF(AK68="是",$AY$4,$AY$3)</f>
        <v>1536</v>
      </c>
      <c r="E68" s="76">
        <f>SUM($B$4:B68)+SUM($C$4:C68)-SUM($D$4:D68)</f>
        <v>70</v>
      </c>
      <c r="F68" s="17">
        <f>SUM(经验!A68:X68)</f>
        <v>620</v>
      </c>
      <c r="G68" s="17">
        <f>SUM($F$4:F68)+SUM($H$4:H68)</f>
        <v>46850</v>
      </c>
      <c r="H68" s="18">
        <v>0</v>
      </c>
      <c r="I68" s="100" t="s">
        <v>44</v>
      </c>
      <c r="J68" s="100" t="s">
        <v>44</v>
      </c>
      <c r="K68" s="100" t="s">
        <v>44</v>
      </c>
      <c r="L68" s="92" t="s">
        <v>59</v>
      </c>
      <c r="M68" s="100" t="s">
        <v>44</v>
      </c>
      <c r="N68" s="100" t="s">
        <v>44</v>
      </c>
      <c r="O68" s="100" t="s">
        <v>44</v>
      </c>
      <c r="P68" s="100" t="s">
        <v>44</v>
      </c>
      <c r="Q68" s="79" t="s">
        <v>34</v>
      </c>
      <c r="R68" s="79" t="s">
        <v>34</v>
      </c>
      <c r="S68" s="79" t="s">
        <v>34</v>
      </c>
      <c r="T68" s="79" t="s">
        <v>34</v>
      </c>
      <c r="U68" s="79" t="s">
        <v>34</v>
      </c>
      <c r="V68" s="79" t="s">
        <v>34</v>
      </c>
      <c r="W68" s="72" t="s">
        <v>34</v>
      </c>
      <c r="X68" s="72" t="s">
        <v>34</v>
      </c>
      <c r="Y68" s="95" t="s">
        <v>42</v>
      </c>
      <c r="Z68" s="95" t="s">
        <v>42</v>
      </c>
      <c r="AA68" s="95" t="s">
        <v>42</v>
      </c>
      <c r="AB68" s="95" t="s">
        <v>42</v>
      </c>
      <c r="AC68" s="79" t="s">
        <v>34</v>
      </c>
      <c r="AD68" s="79" t="s">
        <v>34</v>
      </c>
      <c r="AE68" s="72" t="s">
        <v>34</v>
      </c>
      <c r="AF68" s="72" t="s">
        <v>34</v>
      </c>
      <c r="AG68" s="56">
        <f t="shared" si="3"/>
        <v>0</v>
      </c>
      <c r="AH68" s="56"/>
      <c r="AI68" s="56"/>
      <c r="AJ68" s="56"/>
      <c r="AK68" s="78" t="s">
        <v>52</v>
      </c>
    </row>
    <row r="69" spans="1:37">
      <c r="A69" s="119">
        <v>44794</v>
      </c>
      <c r="B69" s="18">
        <v>1600</v>
      </c>
      <c r="C69" s="18"/>
      <c r="D69" s="17">
        <f>(SUM(粮草!A69:X69)+AG69*10)*IF(AK69="是",$AY$4,$AY$3)</f>
        <v>1536</v>
      </c>
      <c r="E69" s="76">
        <f>SUM($B$4:B69)+SUM($C$4:C69)-SUM($D$4:D69)</f>
        <v>134</v>
      </c>
      <c r="F69" s="17">
        <f>SUM(经验!A69:X69)</f>
        <v>560</v>
      </c>
      <c r="G69" s="17">
        <f>SUM($F$4:F69)+SUM($H$4:H69)</f>
        <v>47410</v>
      </c>
      <c r="H69" s="18">
        <v>0</v>
      </c>
      <c r="I69" s="100" t="s">
        <v>44</v>
      </c>
      <c r="J69" s="100" t="s">
        <v>44</v>
      </c>
      <c r="K69" s="100" t="s">
        <v>44</v>
      </c>
      <c r="L69" s="100" t="s">
        <v>44</v>
      </c>
      <c r="M69" s="100" t="s">
        <v>44</v>
      </c>
      <c r="N69" s="100" t="s">
        <v>44</v>
      </c>
      <c r="O69" s="72" t="s">
        <v>34</v>
      </c>
      <c r="P69" s="72" t="s">
        <v>34</v>
      </c>
      <c r="Q69" s="79" t="s">
        <v>34</v>
      </c>
      <c r="R69" s="79" t="s">
        <v>34</v>
      </c>
      <c r="S69" s="79" t="s">
        <v>34</v>
      </c>
      <c r="T69" s="79" t="s">
        <v>34</v>
      </c>
      <c r="U69" s="79" t="s">
        <v>34</v>
      </c>
      <c r="V69" s="79" t="s">
        <v>34</v>
      </c>
      <c r="W69" s="72" t="s">
        <v>34</v>
      </c>
      <c r="X69" s="72" t="s">
        <v>34</v>
      </c>
      <c r="Y69" s="95" t="s">
        <v>42</v>
      </c>
      <c r="Z69" s="95" t="s">
        <v>42</v>
      </c>
      <c r="AA69" s="95" t="s">
        <v>42</v>
      </c>
      <c r="AB69" s="95" t="s">
        <v>42</v>
      </c>
      <c r="AC69" s="79" t="s">
        <v>34</v>
      </c>
      <c r="AD69" s="79" t="s">
        <v>34</v>
      </c>
      <c r="AE69" s="72" t="s">
        <v>34</v>
      </c>
      <c r="AF69" s="72" t="s">
        <v>34</v>
      </c>
      <c r="AG69" s="56">
        <f t="shared" ref="AG69:AG94" si="13">AH69+AI69+AJ69</f>
        <v>0</v>
      </c>
      <c r="AH69" s="56"/>
      <c r="AI69" s="56"/>
      <c r="AJ69" s="56"/>
      <c r="AK69" s="78" t="s">
        <v>52</v>
      </c>
    </row>
    <row r="70" spans="1:37">
      <c r="A70" s="119">
        <v>44795</v>
      </c>
      <c r="B70" s="17">
        <v>1600</v>
      </c>
      <c r="C70" s="17"/>
      <c r="D70" s="17">
        <f>(SUM(粮草!A70:X70)+AG70*10)*IF(AK70="是",$AY$4,$AY$3)</f>
        <v>1640</v>
      </c>
      <c r="E70" s="76">
        <f>SUM($B$4:B70)+SUM($C$4:C70)-SUM($D$4:D70)</f>
        <v>94</v>
      </c>
      <c r="F70" s="17">
        <f>SUM(经验!A70:X70)</f>
        <v>610</v>
      </c>
      <c r="G70" s="17">
        <f>SUM($F$4:F70)+SUM($H$4:H70)</f>
        <v>48320</v>
      </c>
      <c r="H70" s="17">
        <v>300</v>
      </c>
      <c r="I70" s="102" t="s">
        <v>50</v>
      </c>
      <c r="J70" s="100" t="s">
        <v>44</v>
      </c>
      <c r="K70" s="100" t="s">
        <v>44</v>
      </c>
      <c r="L70" s="100" t="s">
        <v>44</v>
      </c>
      <c r="M70" s="100" t="s">
        <v>44</v>
      </c>
      <c r="N70" s="100" t="s">
        <v>44</v>
      </c>
      <c r="O70" s="72" t="s">
        <v>34</v>
      </c>
      <c r="P70" s="72" t="s">
        <v>34</v>
      </c>
      <c r="Q70" s="79" t="s">
        <v>34</v>
      </c>
      <c r="R70" s="79" t="s">
        <v>34</v>
      </c>
      <c r="S70" s="79" t="s">
        <v>34</v>
      </c>
      <c r="T70" s="79" t="s">
        <v>34</v>
      </c>
      <c r="U70" s="79" t="s">
        <v>34</v>
      </c>
      <c r="V70" s="79" t="s">
        <v>34</v>
      </c>
      <c r="W70" s="72" t="s">
        <v>34</v>
      </c>
      <c r="X70" s="72" t="s">
        <v>34</v>
      </c>
      <c r="Y70" s="95" t="s">
        <v>42</v>
      </c>
      <c r="Z70" s="95" t="s">
        <v>42</v>
      </c>
      <c r="AA70" s="95" t="s">
        <v>42</v>
      </c>
      <c r="AB70" s="95" t="s">
        <v>42</v>
      </c>
      <c r="AC70" s="95" t="s">
        <v>42</v>
      </c>
      <c r="AD70" s="79" t="s">
        <v>34</v>
      </c>
      <c r="AE70" s="72" t="s">
        <v>34</v>
      </c>
      <c r="AF70" s="72" t="s">
        <v>34</v>
      </c>
      <c r="AG70" s="56">
        <f t="shared" si="13"/>
        <v>0</v>
      </c>
      <c r="AH70" s="56"/>
      <c r="AI70" s="56"/>
      <c r="AJ70" s="56"/>
      <c r="AK70" s="78" t="s">
        <v>52</v>
      </c>
    </row>
    <row r="71" spans="1:37">
      <c r="A71" s="119">
        <v>44796</v>
      </c>
      <c r="B71" s="17">
        <v>1600</v>
      </c>
      <c r="C71" s="17"/>
      <c r="D71" s="17">
        <f>(SUM(粮草!A71:X71)+AG71*10)*IF(AK71="是",$AY$4,$AY$3)</f>
        <v>1680</v>
      </c>
      <c r="E71" s="76">
        <f>SUM($B$4:B71)+SUM($C$4:C71)-SUM($D$4:D71)</f>
        <v>14</v>
      </c>
      <c r="F71" s="17">
        <f>SUM(经验!A71:X71)</f>
        <v>610</v>
      </c>
      <c r="G71" s="17">
        <f>SUM($F$4:F71)+SUM($H$4:H71)</f>
        <v>48930</v>
      </c>
      <c r="H71" s="17">
        <v>0</v>
      </c>
      <c r="I71" s="100" t="s">
        <v>44</v>
      </c>
      <c r="J71" s="100" t="s">
        <v>44</v>
      </c>
      <c r="K71" s="100" t="s">
        <v>44</v>
      </c>
      <c r="L71" s="100" t="s">
        <v>44</v>
      </c>
      <c r="M71" s="100" t="s">
        <v>44</v>
      </c>
      <c r="N71" s="100" t="s">
        <v>44</v>
      </c>
      <c r="O71" s="72" t="s">
        <v>34</v>
      </c>
      <c r="P71" s="72" t="s">
        <v>34</v>
      </c>
      <c r="Q71" s="79" t="s">
        <v>34</v>
      </c>
      <c r="R71" s="79" t="s">
        <v>34</v>
      </c>
      <c r="S71" s="79" t="s">
        <v>34</v>
      </c>
      <c r="T71" s="79" t="s">
        <v>34</v>
      </c>
      <c r="U71" s="79" t="s">
        <v>34</v>
      </c>
      <c r="V71" s="79" t="s">
        <v>34</v>
      </c>
      <c r="W71" s="72" t="s">
        <v>34</v>
      </c>
      <c r="X71" s="72" t="s">
        <v>34</v>
      </c>
      <c r="Y71" s="95" t="s">
        <v>42</v>
      </c>
      <c r="Z71" s="95" t="s">
        <v>42</v>
      </c>
      <c r="AA71" s="95" t="s">
        <v>42</v>
      </c>
      <c r="AB71" s="95" t="s">
        <v>42</v>
      </c>
      <c r="AC71" s="95" t="s">
        <v>42</v>
      </c>
      <c r="AD71" s="79" t="s">
        <v>34</v>
      </c>
      <c r="AE71" s="72" t="s">
        <v>34</v>
      </c>
      <c r="AF71" s="72" t="s">
        <v>34</v>
      </c>
      <c r="AG71" s="56">
        <f t="shared" si="13"/>
        <v>0</v>
      </c>
      <c r="AH71" s="56"/>
      <c r="AI71" s="56"/>
      <c r="AJ71" s="56"/>
      <c r="AK71" s="78" t="s">
        <v>52</v>
      </c>
    </row>
    <row r="72" spans="1:37">
      <c r="A72" s="119">
        <v>44797</v>
      </c>
      <c r="B72" s="17">
        <v>1600</v>
      </c>
      <c r="C72" s="17"/>
      <c r="D72" s="17">
        <f>(SUM(粮草!A72:X72)+AG72*10)*IF(AK72="是",$AY$4,$AY$3)</f>
        <v>1536</v>
      </c>
      <c r="E72" s="76">
        <f>SUM($B$4:B72)+SUM($C$4:C72)-SUM($D$4:D72)</f>
        <v>78</v>
      </c>
      <c r="F72" s="17">
        <f>SUM(经验!A72:X72)</f>
        <v>560</v>
      </c>
      <c r="G72" s="17">
        <f>SUM($F$4:F72)+SUM($H$4:H72)</f>
        <v>49690</v>
      </c>
      <c r="H72" s="17">
        <v>200</v>
      </c>
      <c r="I72" s="100" t="s">
        <v>44</v>
      </c>
      <c r="J72" s="100" t="s">
        <v>44</v>
      </c>
      <c r="K72" s="100" t="s">
        <v>44</v>
      </c>
      <c r="L72" s="100" t="s">
        <v>44</v>
      </c>
      <c r="M72" s="100" t="s">
        <v>44</v>
      </c>
      <c r="N72" s="100" t="s">
        <v>44</v>
      </c>
      <c r="O72" s="72" t="s">
        <v>34</v>
      </c>
      <c r="P72" s="72" t="s">
        <v>34</v>
      </c>
      <c r="Q72" s="79" t="s">
        <v>34</v>
      </c>
      <c r="R72" s="79" t="s">
        <v>34</v>
      </c>
      <c r="S72" s="79" t="s">
        <v>34</v>
      </c>
      <c r="T72" s="79" t="s">
        <v>34</v>
      </c>
      <c r="U72" s="79" t="s">
        <v>34</v>
      </c>
      <c r="V72" s="79" t="s">
        <v>34</v>
      </c>
      <c r="W72" s="72" t="s">
        <v>34</v>
      </c>
      <c r="X72" s="72" t="s">
        <v>34</v>
      </c>
      <c r="Y72" s="95" t="s">
        <v>42</v>
      </c>
      <c r="Z72" s="95" t="s">
        <v>42</v>
      </c>
      <c r="AA72" s="95" t="s">
        <v>42</v>
      </c>
      <c r="AB72" s="95" t="s">
        <v>42</v>
      </c>
      <c r="AC72" s="79" t="s">
        <v>34</v>
      </c>
      <c r="AD72" s="79" t="s">
        <v>34</v>
      </c>
      <c r="AE72" s="72" t="s">
        <v>34</v>
      </c>
      <c r="AF72" s="72" t="s">
        <v>34</v>
      </c>
      <c r="AG72" s="56">
        <f t="shared" si="13"/>
        <v>0</v>
      </c>
      <c r="AH72" s="56"/>
      <c r="AI72" s="56"/>
      <c r="AJ72" s="56"/>
      <c r="AK72" s="78" t="s">
        <v>52</v>
      </c>
    </row>
    <row r="73" spans="1:37">
      <c r="A73" s="119">
        <v>44798</v>
      </c>
      <c r="B73" s="17">
        <v>1600</v>
      </c>
      <c r="C73" s="17"/>
      <c r="D73" s="17">
        <f>(SUM(粮草!A73:X73)+AG73*10)*IF(AK73="是",$AY$4,$AY$3)</f>
        <v>1560</v>
      </c>
      <c r="E73" s="76">
        <f>SUM($B$4:B73)+SUM($C$4:C73)-SUM($D$4:D73)</f>
        <v>118</v>
      </c>
      <c r="F73" s="17">
        <f>SUM(经验!A73:X73)</f>
        <v>640</v>
      </c>
      <c r="G73" s="17">
        <f>SUM($F$4:F73)+SUM($H$4:H73)</f>
        <v>50330</v>
      </c>
      <c r="H73" s="17">
        <v>0</v>
      </c>
      <c r="I73" s="100" t="s">
        <v>44</v>
      </c>
      <c r="J73" s="100" t="s">
        <v>44</v>
      </c>
      <c r="K73" s="100" t="s">
        <v>44</v>
      </c>
      <c r="L73" s="100" t="s">
        <v>44</v>
      </c>
      <c r="M73" s="100" t="s">
        <v>44</v>
      </c>
      <c r="N73" s="100" t="s">
        <v>44</v>
      </c>
      <c r="O73" s="72" t="s">
        <v>34</v>
      </c>
      <c r="P73" s="72" t="s">
        <v>34</v>
      </c>
      <c r="Q73" s="79" t="s">
        <v>34</v>
      </c>
      <c r="R73" s="79" t="s">
        <v>34</v>
      </c>
      <c r="S73" s="79" t="s">
        <v>34</v>
      </c>
      <c r="T73" s="79" t="s">
        <v>34</v>
      </c>
      <c r="U73" s="79" t="s">
        <v>34</v>
      </c>
      <c r="V73" s="79" t="s">
        <v>34</v>
      </c>
      <c r="W73" s="72" t="s">
        <v>34</v>
      </c>
      <c r="X73" s="72" t="s">
        <v>34</v>
      </c>
      <c r="Y73" s="95" t="s">
        <v>42</v>
      </c>
      <c r="Z73" s="95" t="s">
        <v>42</v>
      </c>
      <c r="AA73" s="92" t="s">
        <v>59</v>
      </c>
      <c r="AB73" s="95" t="s">
        <v>42</v>
      </c>
      <c r="AC73" s="95" t="s">
        <v>42</v>
      </c>
      <c r="AD73" s="95" t="s">
        <v>42</v>
      </c>
      <c r="AE73" s="90" t="s">
        <v>39</v>
      </c>
      <c r="AF73" s="72" t="s">
        <v>34</v>
      </c>
      <c r="AG73" s="56">
        <f t="shared" si="13"/>
        <v>0</v>
      </c>
      <c r="AH73" s="56"/>
      <c r="AI73" s="56"/>
      <c r="AJ73" s="56"/>
      <c r="AK73" s="78" t="s">
        <v>52</v>
      </c>
    </row>
    <row r="74" spans="1:37">
      <c r="A74" s="119">
        <v>44799</v>
      </c>
      <c r="B74" s="17">
        <v>1600</v>
      </c>
      <c r="C74" s="17"/>
      <c r="D74" s="17">
        <f>(SUM(粮草!A74:X74)+AG74*10)*IF(AK74="是",$AY$4,$AY$3)</f>
        <v>1680</v>
      </c>
      <c r="E74" s="76">
        <f>SUM($B$4:B74)+SUM($C$4:C74)-SUM($D$4:D74)</f>
        <v>38</v>
      </c>
      <c r="F74" s="17">
        <f>SUM(经验!A74:X74)</f>
        <v>670</v>
      </c>
      <c r="G74" s="17">
        <f>SUM($F$4:F74)+SUM($H$4:H74)</f>
        <v>51000</v>
      </c>
      <c r="H74" s="17">
        <v>0</v>
      </c>
      <c r="I74" s="100" t="s">
        <v>44</v>
      </c>
      <c r="J74" s="100" t="s">
        <v>44</v>
      </c>
      <c r="K74" s="100" t="s">
        <v>44</v>
      </c>
      <c r="L74" s="92" t="s">
        <v>59</v>
      </c>
      <c r="M74" s="100" t="s">
        <v>44</v>
      </c>
      <c r="N74" s="100" t="s">
        <v>44</v>
      </c>
      <c r="O74" s="100" t="s">
        <v>44</v>
      </c>
      <c r="P74" s="100" t="s">
        <v>44</v>
      </c>
      <c r="Q74" s="79" t="s">
        <v>34</v>
      </c>
      <c r="R74" s="79" t="s">
        <v>34</v>
      </c>
      <c r="S74" s="79" t="s">
        <v>34</v>
      </c>
      <c r="T74" s="79" t="s">
        <v>34</v>
      </c>
      <c r="U74" s="79" t="s">
        <v>34</v>
      </c>
      <c r="V74" s="79" t="s">
        <v>34</v>
      </c>
      <c r="W74" s="72" t="s">
        <v>34</v>
      </c>
      <c r="X74" s="72" t="s">
        <v>34</v>
      </c>
      <c r="Y74" s="95" t="s">
        <v>42</v>
      </c>
      <c r="Z74" s="95" t="s">
        <v>42</v>
      </c>
      <c r="AA74" s="95" t="s">
        <v>42</v>
      </c>
      <c r="AB74" s="95" t="s">
        <v>42</v>
      </c>
      <c r="AC74" s="95" t="s">
        <v>42</v>
      </c>
      <c r="AD74" s="79" t="s">
        <v>34</v>
      </c>
      <c r="AE74" s="72" t="s">
        <v>34</v>
      </c>
      <c r="AF74" s="72" t="s">
        <v>34</v>
      </c>
      <c r="AG74" s="56">
        <f t="shared" si="13"/>
        <v>0</v>
      </c>
      <c r="AH74" s="56"/>
      <c r="AI74" s="56"/>
      <c r="AJ74" s="56"/>
      <c r="AK74" s="78" t="s">
        <v>52</v>
      </c>
    </row>
    <row r="75" spans="1:37">
      <c r="A75" s="119">
        <v>44800</v>
      </c>
      <c r="B75" s="17">
        <v>1600</v>
      </c>
      <c r="C75" s="17"/>
      <c r="D75" s="17">
        <f>(SUM(粮草!A75:X75)+AG75*10)*IF(AK75="是",$AY$4,$AY$3)</f>
        <v>1536</v>
      </c>
      <c r="E75" s="76">
        <f>SUM($B$4:B75)+SUM($C$4:C75)-SUM($D$4:D75)</f>
        <v>102</v>
      </c>
      <c r="F75" s="17">
        <f>SUM(经验!A75:X75)</f>
        <v>560</v>
      </c>
      <c r="G75" s="17">
        <f>SUM($F$4:F75)+SUM($H$4:H75)</f>
        <v>51560</v>
      </c>
      <c r="H75" s="17">
        <v>0</v>
      </c>
      <c r="I75" s="100" t="s">
        <v>44</v>
      </c>
      <c r="J75" s="100" t="s">
        <v>44</v>
      </c>
      <c r="K75" s="100" t="s">
        <v>44</v>
      </c>
      <c r="L75" s="100" t="s">
        <v>44</v>
      </c>
      <c r="M75" s="100" t="s">
        <v>44</v>
      </c>
      <c r="N75" s="100" t="s">
        <v>44</v>
      </c>
      <c r="O75" s="72" t="s">
        <v>34</v>
      </c>
      <c r="P75" s="72" t="s">
        <v>34</v>
      </c>
      <c r="Q75" s="79" t="s">
        <v>34</v>
      </c>
      <c r="R75" s="79" t="s">
        <v>34</v>
      </c>
      <c r="S75" s="79" t="s">
        <v>34</v>
      </c>
      <c r="T75" s="79" t="s">
        <v>34</v>
      </c>
      <c r="U75" s="79" t="s">
        <v>34</v>
      </c>
      <c r="V75" s="79" t="s">
        <v>34</v>
      </c>
      <c r="W75" s="72" t="s">
        <v>34</v>
      </c>
      <c r="X75" s="72" t="s">
        <v>34</v>
      </c>
      <c r="Y75" s="95" t="s">
        <v>42</v>
      </c>
      <c r="Z75" s="95" t="s">
        <v>42</v>
      </c>
      <c r="AA75" s="95" t="s">
        <v>42</v>
      </c>
      <c r="AB75" s="95" t="s">
        <v>42</v>
      </c>
      <c r="AC75" s="79" t="s">
        <v>34</v>
      </c>
      <c r="AD75" s="79" t="s">
        <v>34</v>
      </c>
      <c r="AE75" s="72" t="s">
        <v>34</v>
      </c>
      <c r="AF75" s="72" t="s">
        <v>34</v>
      </c>
      <c r="AG75" s="56">
        <f t="shared" si="13"/>
        <v>0</v>
      </c>
      <c r="AH75" s="56"/>
      <c r="AI75" s="56"/>
      <c r="AJ75" s="56"/>
      <c r="AK75" s="78" t="s">
        <v>52</v>
      </c>
    </row>
    <row r="76" spans="1:37">
      <c r="A76" s="119">
        <v>44801</v>
      </c>
      <c r="B76" s="17">
        <v>1600</v>
      </c>
      <c r="C76" s="17"/>
      <c r="D76" s="17">
        <f>(SUM(粮草!A76:X76)+AG76*10)*IF(AK76="是",$AY$4,$AY$3)</f>
        <v>1576</v>
      </c>
      <c r="E76" s="76">
        <f>SUM($B$4:B76)+SUM($C$4:C76)-SUM($D$4:D76)</f>
        <v>126</v>
      </c>
      <c r="F76" s="17">
        <f>SUM(经验!A76:X76)</f>
        <v>590</v>
      </c>
      <c r="G76" s="17">
        <f>SUM($F$4:F76)+SUM($H$4:H76)</f>
        <v>52150</v>
      </c>
      <c r="H76" s="17">
        <v>0</v>
      </c>
      <c r="I76" s="100" t="s">
        <v>44</v>
      </c>
      <c r="J76" s="100" t="s">
        <v>44</v>
      </c>
      <c r="K76" s="100" t="s">
        <v>44</v>
      </c>
      <c r="L76" s="100" t="s">
        <v>44</v>
      </c>
      <c r="M76" s="100" t="s">
        <v>44</v>
      </c>
      <c r="N76" s="100" t="s">
        <v>44</v>
      </c>
      <c r="O76" s="72" t="s">
        <v>34</v>
      </c>
      <c r="P76" s="72" t="s">
        <v>34</v>
      </c>
      <c r="Q76" s="79" t="s">
        <v>34</v>
      </c>
      <c r="R76" s="79" t="s">
        <v>34</v>
      </c>
      <c r="S76" s="79" t="s">
        <v>34</v>
      </c>
      <c r="T76" s="79" t="s">
        <v>34</v>
      </c>
      <c r="U76" s="79" t="s">
        <v>34</v>
      </c>
      <c r="V76" s="79" t="s">
        <v>34</v>
      </c>
      <c r="W76" s="72" t="s">
        <v>34</v>
      </c>
      <c r="X76" s="72" t="s">
        <v>34</v>
      </c>
      <c r="Y76" s="95" t="s">
        <v>42</v>
      </c>
      <c r="Z76" s="95" t="s">
        <v>42</v>
      </c>
      <c r="AA76" s="90" t="s">
        <v>39</v>
      </c>
      <c r="AB76" s="95" t="s">
        <v>42</v>
      </c>
      <c r="AC76" s="95" t="s">
        <v>42</v>
      </c>
      <c r="AD76" s="79" t="s">
        <v>34</v>
      </c>
      <c r="AE76" s="72" t="s">
        <v>34</v>
      </c>
      <c r="AF76" s="72" t="s">
        <v>34</v>
      </c>
      <c r="AG76" s="56">
        <f t="shared" si="13"/>
        <v>0</v>
      </c>
      <c r="AH76" s="56"/>
      <c r="AI76" s="56"/>
      <c r="AJ76" s="56"/>
      <c r="AK76" s="78" t="s">
        <v>52</v>
      </c>
    </row>
    <row r="77" spans="1:37">
      <c r="A77" s="119">
        <v>44802</v>
      </c>
      <c r="B77" s="18">
        <v>1600</v>
      </c>
      <c r="C77" s="18"/>
      <c r="D77" s="17">
        <f>(SUM(粮草!A77:X77)+AG77*10)*IF(AK77="是",$AY$4,$AY$3)</f>
        <v>1680</v>
      </c>
      <c r="E77" s="76">
        <f>SUM($B$4:B77)+SUM($C$4:C77)-SUM($D$4:D77)</f>
        <v>46</v>
      </c>
      <c r="F77" s="17">
        <f>SUM(经验!A77:X77)</f>
        <v>610</v>
      </c>
      <c r="G77" s="17">
        <f>SUM($F$4:F77)+SUM($H$4:H77)</f>
        <v>52960</v>
      </c>
      <c r="H77" s="18">
        <v>200</v>
      </c>
      <c r="I77" s="100" t="s">
        <v>44</v>
      </c>
      <c r="J77" s="100" t="s">
        <v>44</v>
      </c>
      <c r="K77" s="100" t="s">
        <v>44</v>
      </c>
      <c r="L77" s="100" t="s">
        <v>44</v>
      </c>
      <c r="M77" s="100" t="s">
        <v>44</v>
      </c>
      <c r="N77" s="100" t="s">
        <v>44</v>
      </c>
      <c r="O77" s="72" t="s">
        <v>34</v>
      </c>
      <c r="P77" s="72" t="s">
        <v>34</v>
      </c>
      <c r="Q77" s="79" t="s">
        <v>34</v>
      </c>
      <c r="R77" s="79" t="s">
        <v>34</v>
      </c>
      <c r="S77" s="79" t="s">
        <v>34</v>
      </c>
      <c r="T77" s="79" t="s">
        <v>34</v>
      </c>
      <c r="U77" s="79" t="s">
        <v>34</v>
      </c>
      <c r="V77" s="79" t="s">
        <v>34</v>
      </c>
      <c r="W77" s="72" t="s">
        <v>34</v>
      </c>
      <c r="X77" s="72" t="s">
        <v>34</v>
      </c>
      <c r="Y77" s="95" t="s">
        <v>42</v>
      </c>
      <c r="Z77" s="95" t="s">
        <v>42</v>
      </c>
      <c r="AA77" s="95" t="s">
        <v>42</v>
      </c>
      <c r="AB77" s="95" t="s">
        <v>42</v>
      </c>
      <c r="AC77" s="95" t="s">
        <v>42</v>
      </c>
      <c r="AD77" s="79" t="s">
        <v>34</v>
      </c>
      <c r="AE77" s="72" t="s">
        <v>34</v>
      </c>
      <c r="AF77" s="72" t="s">
        <v>34</v>
      </c>
      <c r="AG77" s="56">
        <f t="shared" si="13"/>
        <v>0</v>
      </c>
      <c r="AH77" s="56"/>
      <c r="AI77" s="56"/>
      <c r="AJ77" s="56"/>
      <c r="AK77" s="78" t="s">
        <v>52</v>
      </c>
    </row>
    <row r="78" spans="1:37">
      <c r="A78" s="119">
        <v>44803</v>
      </c>
      <c r="B78" s="18">
        <v>1600</v>
      </c>
      <c r="C78" s="18"/>
      <c r="D78" s="17">
        <f>(SUM(粮草!A78:X78)+AG78*10)*IF(AK78="是",$AY$4,$AY$3)</f>
        <v>1520</v>
      </c>
      <c r="E78" s="76">
        <f>SUM($B$4:B78)+SUM($C$4:C78)-SUM($D$4:D78)</f>
        <v>126</v>
      </c>
      <c r="F78" s="17">
        <f>SUM(经验!A78:X78)</f>
        <v>610</v>
      </c>
      <c r="G78" s="17">
        <f>SUM($F$4:F78)+SUM($H$4:H78)</f>
        <v>53670</v>
      </c>
      <c r="H78" s="18">
        <v>100</v>
      </c>
      <c r="I78" s="100" t="s">
        <v>44</v>
      </c>
      <c r="J78" s="100" t="s">
        <v>44</v>
      </c>
      <c r="K78" s="100" t="s">
        <v>44</v>
      </c>
      <c r="L78" s="100" t="s">
        <v>44</v>
      </c>
      <c r="M78" s="100" t="s">
        <v>44</v>
      </c>
      <c r="N78" s="100" t="s">
        <v>44</v>
      </c>
      <c r="O78" s="72" t="s">
        <v>34</v>
      </c>
      <c r="P78" s="72" t="s">
        <v>34</v>
      </c>
      <c r="Q78" s="79" t="s">
        <v>34</v>
      </c>
      <c r="R78" s="79" t="s">
        <v>34</v>
      </c>
      <c r="S78" s="79" t="s">
        <v>34</v>
      </c>
      <c r="T78" s="79" t="s">
        <v>34</v>
      </c>
      <c r="U78" s="79" t="s">
        <v>34</v>
      </c>
      <c r="V78" s="79" t="s">
        <v>34</v>
      </c>
      <c r="W78" s="72" t="s">
        <v>34</v>
      </c>
      <c r="X78" s="72" t="s">
        <v>34</v>
      </c>
      <c r="Y78" s="95" t="s">
        <v>42</v>
      </c>
      <c r="Z78" s="92" t="s">
        <v>59</v>
      </c>
      <c r="AA78" s="95" t="s">
        <v>42</v>
      </c>
      <c r="AB78" s="95" t="s">
        <v>42</v>
      </c>
      <c r="AC78" s="95" t="s">
        <v>42</v>
      </c>
      <c r="AD78" s="95" t="s">
        <v>42</v>
      </c>
      <c r="AE78" s="72" t="s">
        <v>34</v>
      </c>
      <c r="AF78" s="72" t="s">
        <v>34</v>
      </c>
      <c r="AG78" s="56">
        <f t="shared" si="13"/>
        <v>0</v>
      </c>
      <c r="AH78" s="56"/>
      <c r="AI78" s="56"/>
      <c r="AJ78" s="56"/>
      <c r="AK78" s="78" t="s">
        <v>52</v>
      </c>
    </row>
    <row r="79" spans="1:37">
      <c r="A79" s="119">
        <v>44804</v>
      </c>
      <c r="B79">
        <v>1600</v>
      </c>
      <c r="D79" s="17">
        <f>(SUM(粮草!A79:X79)+AG79*10)*IF(AK79="是",$AY$4,$AY$3)</f>
        <v>1720</v>
      </c>
      <c r="E79" s="76">
        <f>SUM($B$4:B79)+SUM($C$4:C79)-SUM($D$4:D79)</f>
        <v>6</v>
      </c>
      <c r="F79" s="17">
        <f>SUM(经验!A79:X79)</f>
        <v>1550</v>
      </c>
      <c r="G79" s="49">
        <f>SUM($F$4:F79)+SUM($H$4:H79)</f>
        <v>55420</v>
      </c>
      <c r="H79">
        <v>200</v>
      </c>
      <c r="I79" s="101" t="s">
        <v>54</v>
      </c>
      <c r="J79" s="100" t="s">
        <v>44</v>
      </c>
      <c r="K79" s="100" t="s">
        <v>44</v>
      </c>
      <c r="L79" s="100" t="s">
        <v>44</v>
      </c>
      <c r="M79" s="100" t="s">
        <v>44</v>
      </c>
      <c r="N79" s="100" t="s">
        <v>44</v>
      </c>
      <c r="O79" s="72" t="s">
        <v>34</v>
      </c>
      <c r="P79" s="72" t="s">
        <v>34</v>
      </c>
      <c r="Q79" s="79" t="s">
        <v>34</v>
      </c>
      <c r="R79" s="79" t="s">
        <v>34</v>
      </c>
      <c r="S79" s="79" t="s">
        <v>34</v>
      </c>
      <c r="T79" s="79" t="s">
        <v>34</v>
      </c>
      <c r="U79" s="79" t="s">
        <v>34</v>
      </c>
      <c r="V79" s="79" t="s">
        <v>34</v>
      </c>
      <c r="W79" s="72" t="s">
        <v>34</v>
      </c>
      <c r="X79" s="72" t="s">
        <v>34</v>
      </c>
      <c r="Y79" s="95" t="s">
        <v>42</v>
      </c>
      <c r="Z79" s="95" t="s">
        <v>42</v>
      </c>
      <c r="AA79" s="95" t="s">
        <v>42</v>
      </c>
      <c r="AB79" s="95" t="s">
        <v>42</v>
      </c>
      <c r="AC79" s="95" t="s">
        <v>42</v>
      </c>
      <c r="AD79" s="79" t="s">
        <v>34</v>
      </c>
      <c r="AE79" s="72" t="s">
        <v>34</v>
      </c>
      <c r="AF79" s="72" t="s">
        <v>34</v>
      </c>
      <c r="AG79" s="56">
        <f t="shared" si="13"/>
        <v>0</v>
      </c>
      <c r="AH79" s="56"/>
      <c r="AI79" s="56"/>
      <c r="AJ79" s="56"/>
      <c r="AK79" s="78" t="s">
        <v>52</v>
      </c>
    </row>
    <row r="80" spans="1:37">
      <c r="A80" s="119">
        <v>44805</v>
      </c>
      <c r="B80">
        <v>1600</v>
      </c>
      <c r="D80" s="17">
        <f>(SUM(粮草!A80:X80)+AG80*10)*IF(AK80="是",$AY$4,$AY$3)</f>
        <v>1536</v>
      </c>
      <c r="E80" s="76">
        <f>SUM($B$4:B80)+SUM($C$4:C80)-SUM($D$4:D80)</f>
        <v>70</v>
      </c>
      <c r="F80" s="17">
        <f>SUM(经验!A80:X80)</f>
        <v>560</v>
      </c>
      <c r="G80" s="49">
        <f>SUM($F$4:F80)+SUM($H$4:H80)</f>
        <v>55980</v>
      </c>
      <c r="H80">
        <v>0</v>
      </c>
      <c r="I80" s="100" t="s">
        <v>44</v>
      </c>
      <c r="J80" s="100" t="s">
        <v>44</v>
      </c>
      <c r="K80" s="100" t="s">
        <v>44</v>
      </c>
      <c r="L80" s="100" t="s">
        <v>44</v>
      </c>
      <c r="M80" s="100" t="s">
        <v>44</v>
      </c>
      <c r="N80" s="100" t="s">
        <v>44</v>
      </c>
      <c r="O80" s="72" t="s">
        <v>34</v>
      </c>
      <c r="P80" s="72" t="s">
        <v>34</v>
      </c>
      <c r="Q80" s="79" t="s">
        <v>34</v>
      </c>
      <c r="R80" s="79" t="s">
        <v>34</v>
      </c>
      <c r="S80" s="79" t="s">
        <v>34</v>
      </c>
      <c r="T80" s="79" t="s">
        <v>34</v>
      </c>
      <c r="U80" s="79" t="s">
        <v>34</v>
      </c>
      <c r="V80" s="79" t="s">
        <v>34</v>
      </c>
      <c r="W80" s="72" t="s">
        <v>34</v>
      </c>
      <c r="X80" s="72" t="s">
        <v>34</v>
      </c>
      <c r="Y80" s="95" t="s">
        <v>42</v>
      </c>
      <c r="Z80" s="95" t="s">
        <v>42</v>
      </c>
      <c r="AA80" s="95" t="s">
        <v>42</v>
      </c>
      <c r="AB80" s="95" t="s">
        <v>42</v>
      </c>
      <c r="AC80" s="79" t="s">
        <v>34</v>
      </c>
      <c r="AD80" s="79" t="s">
        <v>34</v>
      </c>
      <c r="AE80" s="72" t="s">
        <v>34</v>
      </c>
      <c r="AF80" s="72" t="s">
        <v>34</v>
      </c>
      <c r="AG80" s="56">
        <f t="shared" si="13"/>
        <v>0</v>
      </c>
      <c r="AH80" s="56"/>
      <c r="AI80" s="56"/>
      <c r="AJ80" s="56"/>
      <c r="AK80" s="78" t="s">
        <v>52</v>
      </c>
    </row>
    <row r="81" spans="1:37">
      <c r="A81" s="119">
        <v>44806</v>
      </c>
      <c r="B81">
        <v>1600</v>
      </c>
      <c r="D81" s="17">
        <f>(SUM(粮草!A81:X81)+AG81*10)*IF(AK81="是",$AY$4,$AY$3)</f>
        <v>1536</v>
      </c>
      <c r="E81" s="76">
        <f>SUM($B$4:B81)+SUM($C$4:C81)-SUM($D$4:D81)</f>
        <v>134</v>
      </c>
      <c r="F81" s="17">
        <f>SUM(经验!A81:X81)</f>
        <v>560</v>
      </c>
      <c r="G81" s="49">
        <f>SUM($F$4:F81)+SUM($H$4:H81)</f>
        <v>56540</v>
      </c>
      <c r="H81">
        <v>0</v>
      </c>
      <c r="I81" s="100" t="s">
        <v>44</v>
      </c>
      <c r="J81" s="100" t="s">
        <v>44</v>
      </c>
      <c r="K81" s="100" t="s">
        <v>44</v>
      </c>
      <c r="L81" s="100" t="s">
        <v>44</v>
      </c>
      <c r="M81" s="100" t="s">
        <v>44</v>
      </c>
      <c r="N81" s="100" t="s">
        <v>44</v>
      </c>
      <c r="O81" s="72" t="s">
        <v>34</v>
      </c>
      <c r="P81" s="72" t="s">
        <v>34</v>
      </c>
      <c r="Q81" s="79" t="s">
        <v>34</v>
      </c>
      <c r="R81" s="79" t="s">
        <v>34</v>
      </c>
      <c r="S81" s="79" t="s">
        <v>34</v>
      </c>
      <c r="T81" s="79" t="s">
        <v>34</v>
      </c>
      <c r="U81" s="79" t="s">
        <v>34</v>
      </c>
      <c r="V81" s="79" t="s">
        <v>34</v>
      </c>
      <c r="W81" s="72" t="s">
        <v>34</v>
      </c>
      <c r="X81" s="72" t="s">
        <v>34</v>
      </c>
      <c r="Y81" s="95" t="s">
        <v>42</v>
      </c>
      <c r="Z81" s="95" t="s">
        <v>42</v>
      </c>
      <c r="AA81" s="95" t="s">
        <v>42</v>
      </c>
      <c r="AB81" s="95" t="s">
        <v>42</v>
      </c>
      <c r="AC81" s="79" t="s">
        <v>34</v>
      </c>
      <c r="AD81" s="79" t="s">
        <v>34</v>
      </c>
      <c r="AE81" s="72" t="s">
        <v>34</v>
      </c>
      <c r="AF81" s="72" t="s">
        <v>34</v>
      </c>
      <c r="AG81" s="56">
        <f t="shared" si="13"/>
        <v>0</v>
      </c>
      <c r="AH81" s="56"/>
      <c r="AI81" s="56"/>
      <c r="AJ81" s="56"/>
      <c r="AK81" s="78" t="s">
        <v>52</v>
      </c>
    </row>
    <row r="82" spans="1:37">
      <c r="A82" s="118">
        <v>44807</v>
      </c>
      <c r="B82">
        <v>1600</v>
      </c>
      <c r="D82" s="17">
        <f>(SUM(粮草!A82:X82)+AG82*10)*IF(AK82="是",$AY$4,$AY$3)</f>
        <v>1616</v>
      </c>
      <c r="E82" s="76">
        <f>SUM($B$4:B82)+SUM($C$4:C82)-SUM($D$4:D82)</f>
        <v>118</v>
      </c>
      <c r="F82" s="17">
        <f>SUM(经验!A82:X82)</f>
        <v>580</v>
      </c>
      <c r="G82" s="49">
        <f>SUM($F$4:F82)+SUM($H$4:H82)</f>
        <v>57120</v>
      </c>
      <c r="H82">
        <v>0</v>
      </c>
      <c r="I82" s="100" t="s">
        <v>44</v>
      </c>
      <c r="J82" s="79" t="s">
        <v>34</v>
      </c>
      <c r="K82" s="79" t="s">
        <v>34</v>
      </c>
      <c r="L82" s="79" t="s">
        <v>34</v>
      </c>
      <c r="M82" s="79" t="s">
        <v>34</v>
      </c>
      <c r="N82" s="79" t="s">
        <v>34</v>
      </c>
      <c r="O82" s="72" t="s">
        <v>34</v>
      </c>
      <c r="P82" s="72" t="s">
        <v>34</v>
      </c>
      <c r="Q82" s="90" t="s">
        <v>39</v>
      </c>
      <c r="R82" s="91" t="s">
        <v>37</v>
      </c>
      <c r="S82" s="91" t="s">
        <v>37</v>
      </c>
      <c r="T82" s="91" t="s">
        <v>37</v>
      </c>
      <c r="U82" s="91" t="s">
        <v>37</v>
      </c>
      <c r="V82" s="90" t="s">
        <v>39</v>
      </c>
      <c r="W82" s="72" t="s">
        <v>34</v>
      </c>
      <c r="X82" s="72" t="s">
        <v>34</v>
      </c>
      <c r="Y82" s="95" t="s">
        <v>42</v>
      </c>
      <c r="Z82" s="95" t="s">
        <v>42</v>
      </c>
      <c r="AA82" s="95" t="s">
        <v>42</v>
      </c>
      <c r="AB82" s="95" t="s">
        <v>42</v>
      </c>
      <c r="AC82" s="95" t="s">
        <v>42</v>
      </c>
      <c r="AD82" s="95" t="s">
        <v>42</v>
      </c>
      <c r="AE82" s="72" t="s">
        <v>34</v>
      </c>
      <c r="AF82" s="72" t="s">
        <v>34</v>
      </c>
      <c r="AG82" s="56">
        <f t="shared" si="13"/>
        <v>0</v>
      </c>
      <c r="AH82" s="56"/>
      <c r="AI82" s="56"/>
      <c r="AJ82" s="56"/>
      <c r="AK82" s="78" t="s">
        <v>52</v>
      </c>
    </row>
    <row r="83" spans="1:37">
      <c r="A83" s="59">
        <v>44808</v>
      </c>
      <c r="B83">
        <v>1600</v>
      </c>
      <c r="D83" s="115">
        <f>(SUM(粮草!A83:X83)+AG83*10)*IF(AK83="是",$AY$4,$AY$3)-40</f>
        <v>1624</v>
      </c>
      <c r="E83" s="76">
        <f>SUM($B$4:B83)+SUM($C$4:C83)-SUM($D$4:D83)</f>
        <v>94</v>
      </c>
      <c r="F83" s="17">
        <f>SUM(经验!A83:X83)</f>
        <v>625</v>
      </c>
      <c r="G83" s="49">
        <f>SUM($F$4:F83)+SUM($H$4:H83)</f>
        <v>57745</v>
      </c>
      <c r="H83">
        <v>0</v>
      </c>
      <c r="I83" s="98" t="s">
        <v>43</v>
      </c>
      <c r="J83" s="98" t="s">
        <v>43</v>
      </c>
      <c r="K83" s="98" t="s">
        <v>43</v>
      </c>
      <c r="L83" s="79" t="s">
        <v>34</v>
      </c>
      <c r="M83" s="79" t="s">
        <v>34</v>
      </c>
      <c r="N83" s="79" t="s">
        <v>34</v>
      </c>
      <c r="O83" s="72" t="s">
        <v>34</v>
      </c>
      <c r="P83" s="72" t="s">
        <v>34</v>
      </c>
      <c r="Q83" s="114" t="s">
        <v>37</v>
      </c>
      <c r="R83" s="92" t="s">
        <v>59</v>
      </c>
      <c r="S83" s="114" t="s">
        <v>37</v>
      </c>
      <c r="T83" s="114" t="s">
        <v>37</v>
      </c>
      <c r="U83" s="90" t="s">
        <v>39</v>
      </c>
      <c r="V83" s="114" t="s">
        <v>37</v>
      </c>
      <c r="W83" s="89" t="s">
        <v>33</v>
      </c>
      <c r="X83" s="89" t="s">
        <v>33</v>
      </c>
      <c r="Y83" s="95" t="s">
        <v>42</v>
      </c>
      <c r="Z83" s="95" t="s">
        <v>42</v>
      </c>
      <c r="AA83" s="95" t="s">
        <v>42</v>
      </c>
      <c r="AB83" s="95" t="s">
        <v>42</v>
      </c>
      <c r="AC83" s="79" t="s">
        <v>34</v>
      </c>
      <c r="AD83" s="79" t="s">
        <v>34</v>
      </c>
      <c r="AE83" s="72" t="s">
        <v>34</v>
      </c>
      <c r="AF83" s="72" t="s">
        <v>34</v>
      </c>
      <c r="AG83" s="56">
        <f t="shared" si="13"/>
        <v>0</v>
      </c>
      <c r="AH83" s="56"/>
      <c r="AI83" s="56"/>
      <c r="AJ83" s="56"/>
      <c r="AK83" s="78" t="s">
        <v>52</v>
      </c>
    </row>
    <row r="84" spans="1:37">
      <c r="A84" s="59">
        <v>44809</v>
      </c>
      <c r="B84" s="49">
        <v>1600</v>
      </c>
      <c r="C84" s="49"/>
      <c r="D84" s="115">
        <f>(SUM(粮草!A84:X84)+AG84*10)*IF(AK84="是",$AY$4,$AY$3)-40</f>
        <v>1576</v>
      </c>
      <c r="E84" s="76">
        <f>SUM($B$4:B84)+SUM($C$4:C84)-SUM($D$4:D84)</f>
        <v>118</v>
      </c>
      <c r="F84" s="17">
        <f>SUM(经验!A84:X84)</f>
        <v>640</v>
      </c>
      <c r="G84" s="49">
        <f>SUM($F$4:F84)+SUM($H$4:H84)</f>
        <v>58585</v>
      </c>
      <c r="H84" s="49">
        <v>200</v>
      </c>
      <c r="I84" s="98" t="s">
        <v>43</v>
      </c>
      <c r="J84" s="92" t="s">
        <v>59</v>
      </c>
      <c r="K84" s="98" t="s">
        <v>43</v>
      </c>
      <c r="L84" s="98" t="s">
        <v>43</v>
      </c>
      <c r="M84" s="98" t="s">
        <v>43</v>
      </c>
      <c r="N84" s="98" t="s">
        <v>43</v>
      </c>
      <c r="O84" s="98" t="s">
        <v>43</v>
      </c>
      <c r="P84" s="98" t="s">
        <v>43</v>
      </c>
      <c r="Q84" s="90" t="s">
        <v>39</v>
      </c>
      <c r="R84" s="89" t="s">
        <v>33</v>
      </c>
      <c r="S84" s="89" t="s">
        <v>33</v>
      </c>
      <c r="T84" s="89" t="s">
        <v>33</v>
      </c>
      <c r="U84" s="90" t="s">
        <v>39</v>
      </c>
      <c r="V84" s="114" t="s">
        <v>37</v>
      </c>
      <c r="W84" s="72" t="s">
        <v>34</v>
      </c>
      <c r="X84" s="72" t="s">
        <v>34</v>
      </c>
      <c r="Y84" s="95" t="s">
        <v>42</v>
      </c>
      <c r="Z84" s="79" t="s">
        <v>34</v>
      </c>
      <c r="AA84" s="79" t="s">
        <v>34</v>
      </c>
      <c r="AB84" s="79" t="s">
        <v>34</v>
      </c>
      <c r="AC84" s="79" t="s">
        <v>34</v>
      </c>
      <c r="AD84" s="79" t="s">
        <v>34</v>
      </c>
      <c r="AE84" s="72" t="s">
        <v>34</v>
      </c>
      <c r="AF84" s="72" t="s">
        <v>34</v>
      </c>
      <c r="AG84" s="56">
        <f t="shared" si="13"/>
        <v>0</v>
      </c>
      <c r="AH84" s="56"/>
      <c r="AI84" s="56"/>
      <c r="AJ84" s="56"/>
      <c r="AK84" s="78" t="s">
        <v>52</v>
      </c>
    </row>
    <row r="85" spans="1:37">
      <c r="A85" s="59">
        <v>44810</v>
      </c>
      <c r="B85" s="49">
        <v>1600</v>
      </c>
      <c r="C85" s="49"/>
      <c r="D85" s="17">
        <f>(SUM(粮草!A85:X85)+AG85*10)*IF(AK85="是",$AY$4,$AY$3)</f>
        <v>1656</v>
      </c>
      <c r="E85" s="76">
        <f>SUM($B$4:B85)+SUM($C$4:C85)-SUM($D$4:D85)</f>
        <v>62</v>
      </c>
      <c r="F85" s="17">
        <f>SUM(经验!A85:X85)</f>
        <v>590</v>
      </c>
      <c r="G85" s="49">
        <f>SUM($F$4:F85)+SUM($H$4:H85)</f>
        <v>59175</v>
      </c>
      <c r="H85" s="49">
        <v>0</v>
      </c>
      <c r="I85" s="98" t="s">
        <v>43</v>
      </c>
      <c r="J85" s="98" t="s">
        <v>43</v>
      </c>
      <c r="K85" s="98" t="s">
        <v>43</v>
      </c>
      <c r="L85" s="98" t="s">
        <v>43</v>
      </c>
      <c r="M85" s="98" t="s">
        <v>43</v>
      </c>
      <c r="N85" s="98" t="s">
        <v>43</v>
      </c>
      <c r="O85" s="72" t="s">
        <v>34</v>
      </c>
      <c r="P85" s="72" t="s">
        <v>34</v>
      </c>
      <c r="Q85" s="90" t="s">
        <v>39</v>
      </c>
      <c r="R85" s="114" t="s">
        <v>37</v>
      </c>
      <c r="S85" s="114" t="s">
        <v>37</v>
      </c>
      <c r="T85" s="79" t="s">
        <v>34</v>
      </c>
      <c r="U85" s="79" t="s">
        <v>34</v>
      </c>
      <c r="V85" s="79" t="s">
        <v>34</v>
      </c>
      <c r="W85" s="72" t="s">
        <v>34</v>
      </c>
      <c r="X85" s="72" t="s">
        <v>34</v>
      </c>
      <c r="Y85" s="95" t="s">
        <v>42</v>
      </c>
      <c r="Z85" s="95" t="s">
        <v>42</v>
      </c>
      <c r="AA85" s="95" t="s">
        <v>42</v>
      </c>
      <c r="AB85" s="79" t="s">
        <v>34</v>
      </c>
      <c r="AC85" s="79" t="s">
        <v>34</v>
      </c>
      <c r="AD85" s="79" t="s">
        <v>34</v>
      </c>
      <c r="AE85" s="72" t="s">
        <v>34</v>
      </c>
      <c r="AF85" s="72" t="s">
        <v>34</v>
      </c>
      <c r="AG85" s="56">
        <f t="shared" si="13"/>
        <v>2</v>
      </c>
      <c r="AH85" s="56"/>
      <c r="AI85" s="56">
        <v>2</v>
      </c>
      <c r="AJ85" s="56"/>
      <c r="AK85" s="78" t="s">
        <v>52</v>
      </c>
    </row>
    <row r="86" spans="1:37">
      <c r="A86" s="59">
        <v>44811</v>
      </c>
      <c r="B86" s="49">
        <v>1600</v>
      </c>
      <c r="C86" s="49"/>
      <c r="D86" s="17">
        <f>(SUM(粮草!A86:X86)+AG86*10)*IF(AK86="是",$AY$4,$AY$3)</f>
        <v>1624</v>
      </c>
      <c r="E86" s="76">
        <f>SUM($B$4:B86)+SUM($C$4:C86)-SUM($D$4:D86)</f>
        <v>38</v>
      </c>
      <c r="F86" s="17">
        <f>SUM(经验!A86:X86)</f>
        <v>580</v>
      </c>
      <c r="G86" s="49">
        <f>SUM($F$4:F86)+SUM($H$4:H86)</f>
        <v>60055</v>
      </c>
      <c r="H86" s="49">
        <v>300</v>
      </c>
      <c r="I86" s="98" t="s">
        <v>43</v>
      </c>
      <c r="J86" s="98" t="s">
        <v>43</v>
      </c>
      <c r="K86" s="98" t="s">
        <v>43</v>
      </c>
      <c r="L86" s="98" t="s">
        <v>43</v>
      </c>
      <c r="M86" s="98" t="s">
        <v>43</v>
      </c>
      <c r="N86" s="98" t="s">
        <v>43</v>
      </c>
      <c r="O86" s="72" t="s">
        <v>34</v>
      </c>
      <c r="P86" s="72" t="s">
        <v>34</v>
      </c>
      <c r="Q86" s="114" t="s">
        <v>37</v>
      </c>
      <c r="R86" s="90" t="s">
        <v>39</v>
      </c>
      <c r="S86" s="114" t="s">
        <v>37</v>
      </c>
      <c r="T86" s="114" t="s">
        <v>37</v>
      </c>
      <c r="U86" s="79" t="s">
        <v>34</v>
      </c>
      <c r="V86" s="79" t="s">
        <v>34</v>
      </c>
      <c r="W86" s="72" t="s">
        <v>34</v>
      </c>
      <c r="X86" s="72" t="s">
        <v>34</v>
      </c>
      <c r="Y86" s="95" t="s">
        <v>42</v>
      </c>
      <c r="Z86" s="95" t="s">
        <v>42</v>
      </c>
      <c r="AA86" s="79" t="s">
        <v>34</v>
      </c>
      <c r="AB86" s="79" t="s">
        <v>34</v>
      </c>
      <c r="AC86" s="79" t="s">
        <v>34</v>
      </c>
      <c r="AD86" s="79" t="s">
        <v>34</v>
      </c>
      <c r="AE86" s="72" t="s">
        <v>34</v>
      </c>
      <c r="AF86" s="72" t="s">
        <v>34</v>
      </c>
      <c r="AG86" s="56">
        <f t="shared" si="13"/>
        <v>0</v>
      </c>
      <c r="AH86" s="56"/>
      <c r="AI86" s="56"/>
      <c r="AJ86" s="56"/>
      <c r="AK86" s="78" t="s">
        <v>52</v>
      </c>
    </row>
    <row r="87" spans="1:37">
      <c r="A87" s="59">
        <v>44812</v>
      </c>
      <c r="B87" s="49">
        <v>1600</v>
      </c>
      <c r="C87" s="49"/>
      <c r="D87" s="17">
        <f>(SUM(粮草!A87:X87)+AG87*10)*IF(AK87="是",$AY$4,$AY$3)</f>
        <v>1576</v>
      </c>
      <c r="E87" s="76">
        <f>SUM($B$4:B87)+SUM($C$4:C87)-SUM($D$4:D87)</f>
        <v>62</v>
      </c>
      <c r="F87" s="17">
        <f>SUM(经验!A87:X87)</f>
        <v>610</v>
      </c>
      <c r="G87" s="49">
        <f>SUM($F$4:F87)+SUM($H$4:H87)</f>
        <v>60665</v>
      </c>
      <c r="H87" s="49">
        <v>0</v>
      </c>
      <c r="I87" s="98" t="s">
        <v>43</v>
      </c>
      <c r="J87" s="98" t="s">
        <v>43</v>
      </c>
      <c r="K87" s="98" t="s">
        <v>43</v>
      </c>
      <c r="L87" s="98" t="s">
        <v>43</v>
      </c>
      <c r="M87" s="98" t="s">
        <v>43</v>
      </c>
      <c r="N87" s="98" t="s">
        <v>43</v>
      </c>
      <c r="O87" s="72" t="s">
        <v>34</v>
      </c>
      <c r="P87" s="72" t="s">
        <v>34</v>
      </c>
      <c r="Q87" s="114" t="s">
        <v>37</v>
      </c>
      <c r="R87" s="114" t="s">
        <v>37</v>
      </c>
      <c r="S87" s="92" t="s">
        <v>59</v>
      </c>
      <c r="T87" s="114" t="s">
        <v>37</v>
      </c>
      <c r="U87" s="114" t="s">
        <v>37</v>
      </c>
      <c r="V87" s="90" t="s">
        <v>39</v>
      </c>
      <c r="W87" s="114" t="s">
        <v>37</v>
      </c>
      <c r="X87" s="72" t="s">
        <v>34</v>
      </c>
      <c r="Y87" s="95" t="s">
        <v>42</v>
      </c>
      <c r="Z87" s="79" t="s">
        <v>34</v>
      </c>
      <c r="AA87" s="79" t="s">
        <v>34</v>
      </c>
      <c r="AB87" s="79" t="s">
        <v>34</v>
      </c>
      <c r="AC87" s="79" t="s">
        <v>34</v>
      </c>
      <c r="AD87" s="79" t="s">
        <v>34</v>
      </c>
      <c r="AE87" s="72" t="s">
        <v>34</v>
      </c>
      <c r="AF87" s="72" t="s">
        <v>34</v>
      </c>
      <c r="AG87" s="56">
        <f t="shared" si="13"/>
        <v>0</v>
      </c>
      <c r="AH87" s="56"/>
      <c r="AI87" s="56"/>
      <c r="AJ87" s="56"/>
      <c r="AK87" s="78" t="s">
        <v>52</v>
      </c>
    </row>
    <row r="88" spans="1:37">
      <c r="A88" s="59">
        <v>44813</v>
      </c>
      <c r="B88" s="49">
        <v>1600</v>
      </c>
      <c r="C88" s="49"/>
      <c r="D88" s="17">
        <f>(SUM(粮草!A88:X88)+AG88*10)*IF(AK88="是",$AY$4,$AY$3)</f>
        <v>1560</v>
      </c>
      <c r="E88" s="76">
        <f>SUM($B$4:B88)+SUM($C$4:C88)-SUM($D$4:D88)</f>
        <v>102</v>
      </c>
      <c r="F88" s="17">
        <f>SUM(经验!A88:X88)</f>
        <v>560</v>
      </c>
      <c r="G88" s="49">
        <f>SUM($F$4:F88)+SUM($H$4:H88)</f>
        <v>61225</v>
      </c>
      <c r="H88" s="49">
        <v>0</v>
      </c>
      <c r="I88" s="98" t="s">
        <v>43</v>
      </c>
      <c r="J88" s="98" t="s">
        <v>43</v>
      </c>
      <c r="K88" s="80" t="s">
        <v>49</v>
      </c>
      <c r="L88" s="98" t="s">
        <v>43</v>
      </c>
      <c r="M88" s="98" t="s">
        <v>43</v>
      </c>
      <c r="N88" s="98" t="s">
        <v>43</v>
      </c>
      <c r="O88" s="72" t="s">
        <v>34</v>
      </c>
      <c r="P88" s="72" t="s">
        <v>34</v>
      </c>
      <c r="Q88" s="114" t="s">
        <v>37</v>
      </c>
      <c r="R88" s="114" t="s">
        <v>37</v>
      </c>
      <c r="S88" s="114" t="s">
        <v>37</v>
      </c>
      <c r="T88" s="90" t="s">
        <v>39</v>
      </c>
      <c r="U88" s="114" t="s">
        <v>37</v>
      </c>
      <c r="V88" s="114" t="s">
        <v>37</v>
      </c>
      <c r="W88" s="72" t="s">
        <v>34</v>
      </c>
      <c r="X88" s="72" t="s">
        <v>34</v>
      </c>
      <c r="Y88" s="79" t="s">
        <v>34</v>
      </c>
      <c r="Z88" s="79" t="s">
        <v>34</v>
      </c>
      <c r="AA88" s="79" t="s">
        <v>34</v>
      </c>
      <c r="AB88" s="79" t="s">
        <v>34</v>
      </c>
      <c r="AC88" s="79" t="s">
        <v>34</v>
      </c>
      <c r="AD88" s="79" t="s">
        <v>34</v>
      </c>
      <c r="AE88" s="72" t="s">
        <v>34</v>
      </c>
      <c r="AF88" s="72" t="s">
        <v>34</v>
      </c>
      <c r="AG88" s="56">
        <f t="shared" si="13"/>
        <v>0</v>
      </c>
      <c r="AH88" s="56"/>
      <c r="AI88" s="56"/>
      <c r="AJ88" s="56"/>
      <c r="AK88" s="78" t="s">
        <v>52</v>
      </c>
    </row>
    <row r="89" spans="1:37">
      <c r="A89" s="59">
        <v>44814</v>
      </c>
      <c r="B89" s="49">
        <v>1600</v>
      </c>
      <c r="C89" s="49"/>
      <c r="D89" s="17">
        <f>(SUM(粮草!A89:X89)+AG89*10)*IF(AK89="是",$AY$4,$AY$3)</f>
        <v>1600</v>
      </c>
      <c r="E89" s="76">
        <f>SUM($B$4:B89)+SUM($C$4:C89)-SUM($D$4:D89)</f>
        <v>102</v>
      </c>
      <c r="F89" s="17">
        <f>SUM(经验!A89:X89)</f>
        <v>570</v>
      </c>
      <c r="G89" s="49">
        <f>SUM($F$4:F89)+SUM($H$4:H89)</f>
        <v>61795</v>
      </c>
      <c r="H89" s="49">
        <v>0</v>
      </c>
      <c r="I89" s="98" t="s">
        <v>43</v>
      </c>
      <c r="J89" s="98" t="s">
        <v>43</v>
      </c>
      <c r="K89" s="98" t="s">
        <v>43</v>
      </c>
      <c r="L89" s="98" t="s">
        <v>43</v>
      </c>
      <c r="M89" s="98" t="s">
        <v>43</v>
      </c>
      <c r="N89" s="98" t="s">
        <v>43</v>
      </c>
      <c r="O89" s="72" t="s">
        <v>34</v>
      </c>
      <c r="P89" s="72" t="s">
        <v>34</v>
      </c>
      <c r="Q89" s="114" t="s">
        <v>37</v>
      </c>
      <c r="R89" s="103" t="s">
        <v>41</v>
      </c>
      <c r="S89" s="114" t="s">
        <v>37</v>
      </c>
      <c r="T89" s="114" t="s">
        <v>37</v>
      </c>
      <c r="U89" s="90" t="s">
        <v>39</v>
      </c>
      <c r="V89" s="79" t="s">
        <v>34</v>
      </c>
      <c r="W89" s="72" t="s">
        <v>34</v>
      </c>
      <c r="X89" s="72" t="s">
        <v>34</v>
      </c>
      <c r="Y89" s="95" t="s">
        <v>42</v>
      </c>
      <c r="Z89" s="79" t="s">
        <v>34</v>
      </c>
      <c r="AA89" s="79" t="s">
        <v>34</v>
      </c>
      <c r="AB89" s="79" t="s">
        <v>34</v>
      </c>
      <c r="AC89" s="79" t="s">
        <v>34</v>
      </c>
      <c r="AD89" s="79" t="s">
        <v>34</v>
      </c>
      <c r="AE89" s="72" t="s">
        <v>34</v>
      </c>
      <c r="AF89" s="72" t="s">
        <v>34</v>
      </c>
      <c r="AG89" s="56">
        <f t="shared" si="13"/>
        <v>0</v>
      </c>
      <c r="AH89" s="56"/>
      <c r="AI89" s="56"/>
      <c r="AJ89" s="56"/>
      <c r="AK89" s="78" t="s">
        <v>52</v>
      </c>
    </row>
    <row r="90" spans="1:37">
      <c r="A90" s="59">
        <v>44815</v>
      </c>
      <c r="B90" s="49">
        <v>1600</v>
      </c>
      <c r="C90" s="49"/>
      <c r="D90" s="17">
        <f>(SUM(粮草!A90:X90)+AG90*10)*IF(AK90="是",$AY$4,$AY$3)</f>
        <v>1576</v>
      </c>
      <c r="E90" s="76">
        <f>SUM($B$4:B90)+SUM($C$4:C90)-SUM($D$4:D90)</f>
        <v>126</v>
      </c>
      <c r="F90" s="17">
        <f>SUM(经验!A90:X90)</f>
        <v>560</v>
      </c>
      <c r="G90" s="49">
        <f>SUM($F$4:F90)+SUM($H$4:H90)</f>
        <v>62355</v>
      </c>
      <c r="H90" s="49">
        <v>0</v>
      </c>
      <c r="I90" s="98" t="s">
        <v>43</v>
      </c>
      <c r="J90" s="98" t="s">
        <v>43</v>
      </c>
      <c r="K90" s="98" t="s">
        <v>43</v>
      </c>
      <c r="L90" s="98" t="s">
        <v>43</v>
      </c>
      <c r="M90" s="98" t="s">
        <v>43</v>
      </c>
      <c r="N90" s="98" t="s">
        <v>43</v>
      </c>
      <c r="O90" s="72" t="s">
        <v>34</v>
      </c>
      <c r="P90" s="72" t="s">
        <v>34</v>
      </c>
      <c r="Q90" s="114" t="s">
        <v>37</v>
      </c>
      <c r="R90" s="114" t="s">
        <v>37</v>
      </c>
      <c r="S90" s="79" t="s">
        <v>34</v>
      </c>
      <c r="T90" s="79" t="s">
        <v>34</v>
      </c>
      <c r="U90" s="79" t="s">
        <v>34</v>
      </c>
      <c r="V90" s="79" t="s">
        <v>34</v>
      </c>
      <c r="W90" s="72" t="s">
        <v>34</v>
      </c>
      <c r="X90" s="72" t="s">
        <v>34</v>
      </c>
      <c r="Y90" s="95" t="s">
        <v>42</v>
      </c>
      <c r="Z90" s="97" t="s">
        <v>48</v>
      </c>
      <c r="AA90" s="95" t="s">
        <v>42</v>
      </c>
      <c r="AB90" s="79" t="s">
        <v>34</v>
      </c>
      <c r="AC90" s="79" t="s">
        <v>34</v>
      </c>
      <c r="AD90" s="79" t="s">
        <v>34</v>
      </c>
      <c r="AE90" s="72" t="s">
        <v>34</v>
      </c>
      <c r="AF90" s="72" t="s">
        <v>34</v>
      </c>
      <c r="AG90" s="56">
        <f t="shared" si="13"/>
        <v>0</v>
      </c>
      <c r="AH90" s="56"/>
      <c r="AI90" s="56"/>
      <c r="AJ90" s="56"/>
      <c r="AK90" s="78" t="s">
        <v>52</v>
      </c>
    </row>
    <row r="91" spans="1:37">
      <c r="A91" s="59">
        <v>44816</v>
      </c>
      <c r="B91">
        <v>1600</v>
      </c>
      <c r="D91" s="17">
        <f>(SUM(粮草!A91:X91)+AG91*10)*IF(AK91="是",$AY$4,$AY$3)</f>
        <v>1696</v>
      </c>
      <c r="E91" s="76">
        <f>SUM($B$4:B91)+SUM($C$4:C91)-SUM($D$4:D91)</f>
        <v>30</v>
      </c>
      <c r="F91" s="17">
        <f>SUM(经验!A91:X91)</f>
        <v>585</v>
      </c>
      <c r="G91" s="49">
        <f>SUM($F$4:F91)+SUM($H$4:H91)</f>
        <v>63140</v>
      </c>
      <c r="H91">
        <v>200</v>
      </c>
      <c r="I91" s="98" t="s">
        <v>43</v>
      </c>
      <c r="J91" s="79" t="s">
        <v>34</v>
      </c>
      <c r="K91" s="79" t="s">
        <v>34</v>
      </c>
      <c r="L91" s="79" t="s">
        <v>34</v>
      </c>
      <c r="M91" s="79" t="s">
        <v>34</v>
      </c>
      <c r="N91" s="79" t="s">
        <v>34</v>
      </c>
      <c r="O91" s="72" t="s">
        <v>34</v>
      </c>
      <c r="P91" s="72" t="s">
        <v>34</v>
      </c>
      <c r="Q91" s="114" t="s">
        <v>37</v>
      </c>
      <c r="R91" s="114" t="s">
        <v>37</v>
      </c>
      <c r="S91" s="114" t="s">
        <v>37</v>
      </c>
      <c r="T91" s="90" t="s">
        <v>39</v>
      </c>
      <c r="U91" s="114" t="s">
        <v>37</v>
      </c>
      <c r="V91" s="114" t="s">
        <v>37</v>
      </c>
      <c r="W91" s="72" t="s">
        <v>34</v>
      </c>
      <c r="X91" s="72" t="s">
        <v>34</v>
      </c>
      <c r="Y91" s="95" t="s">
        <v>42</v>
      </c>
      <c r="Z91" s="95" t="s">
        <v>42</v>
      </c>
      <c r="AA91" s="95" t="s">
        <v>42</v>
      </c>
      <c r="AB91" s="95" t="s">
        <v>42</v>
      </c>
      <c r="AC91" s="95" t="s">
        <v>42</v>
      </c>
      <c r="AD91" s="95" t="s">
        <v>42</v>
      </c>
      <c r="AE91" s="72" t="s">
        <v>34</v>
      </c>
      <c r="AF91" s="72" t="s">
        <v>34</v>
      </c>
      <c r="AG91" s="56">
        <f t="shared" si="13"/>
        <v>0</v>
      </c>
      <c r="AH91" s="56"/>
      <c r="AI91" s="56"/>
      <c r="AJ91" s="56"/>
      <c r="AK91" s="78" t="s">
        <v>52</v>
      </c>
    </row>
    <row r="92" spans="1:37">
      <c r="A92" s="59">
        <v>44817</v>
      </c>
      <c r="B92">
        <v>1600</v>
      </c>
      <c r="D92" s="17">
        <f>(SUM(粮草!A92:X92)+AG92*10)*IF(AK92="是",$AY$4,$AY$3)</f>
        <v>1584</v>
      </c>
      <c r="E92" s="76">
        <f>SUM($B$4:B92)+SUM($C$4:C92)-SUM($D$4:D92)</f>
        <v>46</v>
      </c>
      <c r="F92" s="17">
        <f>SUM(经验!A92:X92)</f>
        <v>565</v>
      </c>
      <c r="G92" s="49">
        <f>SUM($F$4:F92)+SUM($H$4:H92)</f>
        <v>63805</v>
      </c>
      <c r="H92">
        <v>100</v>
      </c>
      <c r="I92" s="98" t="s">
        <v>43</v>
      </c>
      <c r="J92" s="79" t="s">
        <v>34</v>
      </c>
      <c r="K92" s="79" t="s">
        <v>34</v>
      </c>
      <c r="L92" s="79" t="s">
        <v>34</v>
      </c>
      <c r="M92" s="79" t="s">
        <v>34</v>
      </c>
      <c r="N92" s="79" t="s">
        <v>34</v>
      </c>
      <c r="O92" s="72" t="s">
        <v>34</v>
      </c>
      <c r="P92" s="72" t="s">
        <v>34</v>
      </c>
      <c r="Q92" s="114" t="s">
        <v>37</v>
      </c>
      <c r="R92" s="103" t="s">
        <v>41</v>
      </c>
      <c r="S92" s="114" t="s">
        <v>37</v>
      </c>
      <c r="T92" s="114" t="s">
        <v>37</v>
      </c>
      <c r="U92" s="90" t="s">
        <v>39</v>
      </c>
      <c r="V92" s="114" t="s">
        <v>37</v>
      </c>
      <c r="W92" s="72" t="s">
        <v>34</v>
      </c>
      <c r="X92" s="72" t="s">
        <v>34</v>
      </c>
      <c r="Y92" s="90" t="s">
        <v>39</v>
      </c>
      <c r="Z92" s="95" t="s">
        <v>42</v>
      </c>
      <c r="AA92" s="95" t="s">
        <v>42</v>
      </c>
      <c r="AB92" s="95" t="s">
        <v>42</v>
      </c>
      <c r="AC92" s="95" t="s">
        <v>42</v>
      </c>
      <c r="AD92" s="95" t="s">
        <v>42</v>
      </c>
      <c r="AE92" s="72" t="s">
        <v>34</v>
      </c>
      <c r="AF92" s="72" t="s">
        <v>34</v>
      </c>
      <c r="AG92" s="56">
        <f t="shared" si="13"/>
        <v>0</v>
      </c>
      <c r="AH92" s="56"/>
      <c r="AI92" s="56"/>
      <c r="AJ92" s="56"/>
      <c r="AK92" s="78" t="s">
        <v>52</v>
      </c>
    </row>
    <row r="93" spans="1:37">
      <c r="A93" s="59">
        <v>44818</v>
      </c>
      <c r="B93">
        <v>1600</v>
      </c>
      <c r="D93" s="17">
        <f>(SUM(粮草!A93:X93)+AG93*10)*IF(AK93="是",$AY$4,$AY$3)</f>
        <v>1616</v>
      </c>
      <c r="E93" s="76">
        <f>SUM($B$4:B93)+SUM($C$4:C93)-SUM($D$4:D93)</f>
        <v>30</v>
      </c>
      <c r="F93" s="17">
        <f>SUM(经验!A93:X93)</f>
        <v>580</v>
      </c>
      <c r="G93" s="49">
        <f>SUM($F$4:F93)+SUM($H$4:H93)</f>
        <v>64585</v>
      </c>
      <c r="H93">
        <v>200</v>
      </c>
      <c r="I93" s="98" t="s">
        <v>43</v>
      </c>
      <c r="J93" s="98" t="s">
        <v>43</v>
      </c>
      <c r="K93" s="79" t="s">
        <v>34</v>
      </c>
      <c r="L93" s="79" t="s">
        <v>34</v>
      </c>
      <c r="M93" s="79" t="s">
        <v>34</v>
      </c>
      <c r="N93" s="79" t="s">
        <v>34</v>
      </c>
      <c r="O93" s="72" t="s">
        <v>34</v>
      </c>
      <c r="P93" s="72" t="s">
        <v>34</v>
      </c>
      <c r="Q93" s="114" t="s">
        <v>37</v>
      </c>
      <c r="R93" s="114" t="s">
        <v>37</v>
      </c>
      <c r="S93" s="114" t="s">
        <v>37</v>
      </c>
      <c r="T93" s="114" t="s">
        <v>37</v>
      </c>
      <c r="U93" s="90" t="s">
        <v>39</v>
      </c>
      <c r="V93" s="79" t="s">
        <v>34</v>
      </c>
      <c r="W93" s="72" t="s">
        <v>34</v>
      </c>
      <c r="X93" s="72" t="s">
        <v>34</v>
      </c>
      <c r="Y93" s="95" t="s">
        <v>42</v>
      </c>
      <c r="Z93" s="95" t="s">
        <v>42</v>
      </c>
      <c r="AA93" s="95" t="s">
        <v>42</v>
      </c>
      <c r="AB93" s="95" t="s">
        <v>42</v>
      </c>
      <c r="AC93" s="95" t="s">
        <v>42</v>
      </c>
      <c r="AD93" s="90" t="s">
        <v>39</v>
      </c>
      <c r="AE93" s="72" t="s">
        <v>34</v>
      </c>
      <c r="AF93" s="72" t="s">
        <v>34</v>
      </c>
      <c r="AG93" s="56">
        <f t="shared" si="13"/>
        <v>0</v>
      </c>
      <c r="AH93" s="56"/>
      <c r="AI93" s="56"/>
      <c r="AJ93" s="56"/>
      <c r="AK93" s="78" t="s">
        <v>52</v>
      </c>
    </row>
    <row r="94" spans="1:37" ht="15.75" thickBot="1">
      <c r="A94" s="59">
        <v>44819</v>
      </c>
      <c r="B94">
        <v>1600</v>
      </c>
      <c r="D94" s="17">
        <f>(SUM(粮草!A94:X94)+AG94*10)*IF(AK94="是",$AY$4,$AY$3)</f>
        <v>1624</v>
      </c>
      <c r="E94" s="76">
        <f>SUM($B$4:B94)+SUM($C$4:C94)-SUM($D$4:D94)</f>
        <v>6</v>
      </c>
      <c r="F94" s="17">
        <f>SUM(经验!A94:X94)</f>
        <v>575</v>
      </c>
      <c r="G94" s="49">
        <f>SUM($F$4:F94)+SUM($H$4:H94)</f>
        <v>65160</v>
      </c>
      <c r="H94">
        <v>0</v>
      </c>
      <c r="I94" s="98" t="s">
        <v>43</v>
      </c>
      <c r="J94" s="98" t="s">
        <v>43</v>
      </c>
      <c r="K94" s="98" t="s">
        <v>43</v>
      </c>
      <c r="L94" s="98" t="s">
        <v>43</v>
      </c>
      <c r="M94" s="98" t="s">
        <v>43</v>
      </c>
      <c r="N94" s="79" t="s">
        <v>34</v>
      </c>
      <c r="O94" s="72" t="s">
        <v>34</v>
      </c>
      <c r="P94" s="72" t="s">
        <v>34</v>
      </c>
      <c r="Q94" s="79" t="s">
        <v>34</v>
      </c>
      <c r="R94" s="79" t="s">
        <v>34</v>
      </c>
      <c r="S94" s="79" t="s">
        <v>34</v>
      </c>
      <c r="T94" s="79" t="s">
        <v>34</v>
      </c>
      <c r="U94" s="79" t="s">
        <v>34</v>
      </c>
      <c r="V94" s="79" t="s">
        <v>34</v>
      </c>
      <c r="W94" s="72" t="s">
        <v>34</v>
      </c>
      <c r="X94" s="72" t="s">
        <v>34</v>
      </c>
      <c r="Y94" s="95" t="s">
        <v>42</v>
      </c>
      <c r="Z94" s="95" t="s">
        <v>42</v>
      </c>
      <c r="AA94" s="95" t="s">
        <v>42</v>
      </c>
      <c r="AB94" s="95" t="s">
        <v>42</v>
      </c>
      <c r="AC94" s="95" t="s">
        <v>42</v>
      </c>
      <c r="AD94" s="95" t="s">
        <v>42</v>
      </c>
      <c r="AE94" s="72" t="s">
        <v>34</v>
      </c>
      <c r="AF94" s="72" t="s">
        <v>34</v>
      </c>
      <c r="AG94" s="56">
        <f t="shared" si="13"/>
        <v>0</v>
      </c>
      <c r="AH94" s="56"/>
      <c r="AI94" s="56"/>
      <c r="AJ94" s="56"/>
      <c r="AK94" s="81" t="s">
        <v>52</v>
      </c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7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8" t="s">
        <v>62</v>
      </c>
      <c r="B2" s="149"/>
      <c r="C2" s="1" t="s">
        <v>4</v>
      </c>
      <c r="D2" s="1">
        <f>COUNTIF(A4:H94,"&lt;&gt;空")</f>
        <v>728</v>
      </c>
      <c r="E2" s="149" t="s">
        <v>5</v>
      </c>
      <c r="F2" s="149"/>
      <c r="G2" s="149"/>
      <c r="H2" s="150"/>
      <c r="I2" s="151" t="s">
        <v>6</v>
      </c>
      <c r="J2" s="152"/>
      <c r="K2" s="6" t="s">
        <v>4</v>
      </c>
      <c r="L2" s="6">
        <f>COUNTIF(I4:P94,"&lt;&gt;空")</f>
        <v>728</v>
      </c>
      <c r="M2" s="152" t="s">
        <v>5</v>
      </c>
      <c r="N2" s="152"/>
      <c r="O2" s="152"/>
      <c r="P2" s="153"/>
      <c r="Q2" s="154" t="s">
        <v>7</v>
      </c>
      <c r="R2" s="146"/>
      <c r="S2" s="10" t="s">
        <v>8</v>
      </c>
      <c r="T2" s="9">
        <f>COUNTIF(Q4:X94,"&lt;&gt;空")</f>
        <v>728</v>
      </c>
      <c r="U2" s="146" t="s">
        <v>5</v>
      </c>
      <c r="V2" s="146"/>
      <c r="W2" s="146"/>
      <c r="X2" s="14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(VLOOKUP('8.0.0'!I4,'8.0.0'!$AM$4:$AO$45,2,FALSE))*IF('8.0.0'!AK$4="是",'8.0.0'!$AY$4,'8.0.0'!$AY$3)</f>
        <v>150</v>
      </c>
      <c r="B4" s="4">
        <f>(VLOOKUP('8.0.0'!J4,'8.0.0'!$AM$4:$AO$45,2,FALSE))*IF('8.0.0'!AL$4="是",'8.0.0'!$AY$4,'8.0.0'!$AY$3)</f>
        <v>150</v>
      </c>
      <c r="C4" s="4">
        <f>(VLOOKUP('8.0.0'!K4,'8.0.0'!$AM$4:$AO$45,2,FALSE))*IF('8.0.0'!AM$4="是",'8.0.0'!$AY$4,'8.0.0'!$AY$3)</f>
        <v>150</v>
      </c>
      <c r="D4" s="4">
        <f>(VLOOKUP('8.0.0'!L4,'8.0.0'!$AM$4:$AO$45,2,FALSE))*IF('8.0.0'!AN$4="是",'8.0.0'!$AY$4,'8.0.0'!$AY$3)</f>
        <v>150</v>
      </c>
      <c r="E4" s="4">
        <f>(VLOOKUP('8.0.0'!M4,'8.0.0'!$AM$4:$AO$45,2,FALSE))*IF('8.0.0'!AO$4="是",'8.0.0'!$AY$4,'8.0.0'!$AY$3)</f>
        <v>150</v>
      </c>
      <c r="F4" s="4">
        <f>(VLOOKUP('8.0.0'!N4,'8.0.0'!$AM$4:$AO$45,2,FALSE))*IF('8.0.0'!AQ$4="是",'8.0.0'!$AY$4,'8.0.0'!$AY$3)</f>
        <v>150</v>
      </c>
      <c r="G4" s="5">
        <f>(VLOOKUP('8.0.0'!O4,'8.0.0'!$AM$4:$AO$45,2,FALSE))*IF('8.0.0'!AR$4="是",'8.0.0'!$AY$4,'8.0.0'!$AY$3)</f>
        <v>0</v>
      </c>
      <c r="H4" s="5">
        <f>(VLOOKUP('8.0.0'!P4,'8.0.0'!$AM$4:$AO$45,2,FALSE))*IF('8.0.0'!AS$4="是",'8.0.0'!$AY$4,'8.0.0'!$AY$3)</f>
        <v>0</v>
      </c>
      <c r="I4" s="4">
        <f>(VLOOKUP('8.0.0'!Q4,'8.0.0'!$AM$4:$AO$45,2,FALSE))*IF('8.0.0'!AT$4="是",'8.0.0'!$AY$4,'8.0.0'!$AY$3)</f>
        <v>50</v>
      </c>
      <c r="J4" s="4">
        <f>(VLOOKUP('8.0.0'!R4,'8.0.0'!$AM$4:$AO$45,2,FALSE))*IF('8.0.0'!AU$4="是",'8.0.0'!$AY$4,'8.0.0'!$AY$3)</f>
        <v>160</v>
      </c>
      <c r="K4" s="4">
        <f>(VLOOKUP('8.0.0'!S4,'8.0.0'!$AM$4:$AO$45,2,FALSE))*IF('8.0.0'!AV$4="是",'8.0.0'!$AY$4,'8.0.0'!$AY$3)</f>
        <v>160</v>
      </c>
      <c r="L4" s="4">
        <f>(VLOOKUP('8.0.0'!T4,'8.0.0'!$AM$4:$AO$45,2,FALSE))*IF('8.0.0'!AW$4="是",'8.0.0'!$AY$4,'8.0.0'!$AY$3)</f>
        <v>160</v>
      </c>
      <c r="M4" s="4">
        <f>(VLOOKUP('8.0.0'!U4,'8.0.0'!$AM$4:$AO$45,2,FALSE))*IF('8.0.0'!AX$4="是",'8.0.0'!$AY$4,'8.0.0'!$AY$3)</f>
        <v>160</v>
      </c>
      <c r="N4" s="4">
        <f>(VLOOKUP('8.0.0'!V4,'8.0.0'!$AM$4:$AO$45,2,FALSE))*IF('8.0.0'!AY$4="是",'8.0.0'!$AY$4,'8.0.0'!$AY$3)</f>
        <v>160</v>
      </c>
      <c r="O4" s="5">
        <f>(VLOOKUP('8.0.0'!W4,'8.0.0'!$AM$4:$AO$45,2,FALSE))*IF('8.0.0'!AZ$4="是",'8.0.0'!$AY$4,'8.0.0'!$AY$3)</f>
        <v>0</v>
      </c>
      <c r="P4" s="5">
        <f>(VLOOKUP('8.0.0'!X4,'8.0.0'!$AM$4:$AO$45,2,FALSE))*IF('8.0.0'!BA$4="是",'8.0.0'!$AY$4,'8.0.0'!$AY$3)</f>
        <v>160</v>
      </c>
      <c r="Q4" s="4">
        <f>(VLOOKUP('8.0.0'!Y4,'8.0.0'!$AM$4:$AO$45,2,FALSE))*IF('8.0.0'!BB$4="是",'8.0.0'!$AY$4,'8.0.0'!$AY$3)</f>
        <v>160</v>
      </c>
      <c r="R4" s="4">
        <f>(VLOOKUP('8.0.0'!Z4,'8.0.0'!$AM$4:$AO$45,2,FALSE))*IF('8.0.0'!BC$4="是",'8.0.0'!$AY$4,'8.0.0'!$AY$3)</f>
        <v>-150</v>
      </c>
      <c r="S4" s="4">
        <f>(VLOOKUP('8.0.0'!AA4,'8.0.0'!$AM$4:$AO$45,2,FALSE))*IF('8.0.0'!BD$4="是",'8.0.0'!$AY$4,'8.0.0'!$AY$3)</f>
        <v>160</v>
      </c>
      <c r="T4" s="4">
        <f>(VLOOKUP('8.0.0'!AB4,'8.0.0'!$AM$4:$AO$45,2,FALSE))*IF('8.0.0'!BE$4="是",'8.0.0'!$AY$4,'8.0.0'!$AY$3)</f>
        <v>50</v>
      </c>
      <c r="U4" s="4">
        <f>(VLOOKUP('8.0.0'!AC4,'8.0.0'!$AM$4:$AO$45,2,FALSE))*IF('8.0.0'!BF$4="是",'8.0.0'!$AY$4,'8.0.0'!$AY$3)</f>
        <v>160</v>
      </c>
      <c r="V4" s="4">
        <f>(VLOOKUP('8.0.0'!AD4,'8.0.0'!$AM$4:$AO$45,2,FALSE))*IF('8.0.0'!BG$4="是",'8.0.0'!$AY$4,'8.0.0'!$AY$3)</f>
        <v>160</v>
      </c>
      <c r="W4" s="5">
        <f>(VLOOKUP('8.0.0'!AE4,'8.0.0'!$AM$4:$AO$45,2,FALSE))*IF('8.0.0'!BH$4="是",'8.0.0'!$AY$4,'8.0.0'!$AY$3)</f>
        <v>160</v>
      </c>
      <c r="X4" s="5">
        <f>(VLOOKUP('8.0.0'!AF4,'8.0.0'!$AM$4:$AO$45,2,FALSE))*IF('8.0.0'!BI$4="是",'8.0.0'!$AY$4,'8.0.0'!$AY$3)</f>
        <v>160</v>
      </c>
    </row>
    <row r="5" spans="1:24">
      <c r="A5" s="4">
        <f>(VLOOKUP('8.0.0'!I5,'8.0.0'!$AM$4:$AO$45,2,FALSE))*IF('8.0.0'!AK$4="是",'8.0.0'!$AY$4,'8.0.0'!$AY$3)</f>
        <v>170</v>
      </c>
      <c r="B5" s="4">
        <f>(VLOOKUP('8.0.0'!J5,'8.0.0'!$AM$4:$AO$45,2,FALSE))*IF('8.0.0'!AL$4="是",'8.0.0'!$AY$4,'8.0.0'!$AY$3)</f>
        <v>170</v>
      </c>
      <c r="C5" s="4">
        <f>(VLOOKUP('8.0.0'!K5,'8.0.0'!$AM$4:$AO$45,2,FALSE))*IF('8.0.0'!AM$4="是",'8.0.0'!$AY$4,'8.0.0'!$AY$3)</f>
        <v>50</v>
      </c>
      <c r="D5" s="4">
        <f>(VLOOKUP('8.0.0'!L5,'8.0.0'!$AM$4:$AO$45,2,FALSE))*IF('8.0.0'!AN$4="是",'8.0.0'!$AY$4,'8.0.0'!$AY$3)</f>
        <v>170</v>
      </c>
      <c r="E5" s="4">
        <f>(VLOOKUP('8.0.0'!M5,'8.0.0'!$AM$4:$AO$45,2,FALSE))*IF('8.0.0'!AO$4="是",'8.0.0'!$AY$4,'8.0.0'!$AY$3)</f>
        <v>170</v>
      </c>
      <c r="F5" s="4">
        <f>(VLOOKUP('8.0.0'!N5,'8.0.0'!$AM$4:$AO$45,2,FALSE))*IF('8.0.0'!AQ$4="是",'8.0.0'!$AY$4,'8.0.0'!$AY$3)</f>
        <v>170</v>
      </c>
      <c r="G5" s="5">
        <f>(VLOOKUP('8.0.0'!O5,'8.0.0'!$AM$4:$AO$45,2,FALSE))*IF('8.0.0'!AR$4="是",'8.0.0'!$AY$4,'8.0.0'!$AY$3)</f>
        <v>0</v>
      </c>
      <c r="H5" s="5">
        <f>(VLOOKUP('8.0.0'!P5,'8.0.0'!$AM$4:$AO$45,2,FALSE))*IF('8.0.0'!AS$4="是",'8.0.0'!$AY$4,'8.0.0'!$AY$3)</f>
        <v>0</v>
      </c>
      <c r="I5" s="4">
        <f>(VLOOKUP('8.0.0'!Q5,'8.0.0'!$AM$4:$AO$45,2,FALSE))*IF('8.0.0'!AT$4="是",'8.0.0'!$AY$4,'8.0.0'!$AY$3)</f>
        <v>0</v>
      </c>
      <c r="J5" s="4">
        <f>(VLOOKUP('8.0.0'!R5,'8.0.0'!$AM$4:$AO$45,2,FALSE))*IF('8.0.0'!AU$4="是",'8.0.0'!$AY$4,'8.0.0'!$AY$3)</f>
        <v>0</v>
      </c>
      <c r="K5" s="4">
        <f>(VLOOKUP('8.0.0'!S5,'8.0.0'!$AM$4:$AO$45,2,FALSE))*IF('8.0.0'!AV$4="是",'8.0.0'!$AY$4,'8.0.0'!$AY$3)</f>
        <v>0</v>
      </c>
      <c r="L5" s="4">
        <f>(VLOOKUP('8.0.0'!T5,'8.0.0'!$AM$4:$AO$45,2,FALSE))*IF('8.0.0'!AW$4="是",'8.0.0'!$AY$4,'8.0.0'!$AY$3)</f>
        <v>0</v>
      </c>
      <c r="M5" s="4">
        <f>(VLOOKUP('8.0.0'!U5,'8.0.0'!$AM$4:$AO$45,2,FALSE))*IF('8.0.0'!AX$4="是",'8.0.0'!$AY$4,'8.0.0'!$AY$3)</f>
        <v>0</v>
      </c>
      <c r="N5" s="4">
        <f>(VLOOKUP('8.0.0'!V5,'8.0.0'!$AM$4:$AO$45,2,FALSE))*IF('8.0.0'!AY$4="是",'8.0.0'!$AY$4,'8.0.0'!$AY$3)</f>
        <v>0</v>
      </c>
      <c r="O5" s="5">
        <f>(VLOOKUP('8.0.0'!W5,'8.0.0'!$AM$4:$AO$45,2,FALSE))*IF('8.0.0'!AZ$4="是",'8.0.0'!$AY$4,'8.0.0'!$AY$3)</f>
        <v>0</v>
      </c>
      <c r="P5" s="5">
        <f>(VLOOKUP('8.0.0'!X5,'8.0.0'!$AM$4:$AO$45,2,FALSE))*IF('8.0.0'!BA$4="是",'8.0.0'!$AY$4,'8.0.0'!$AY$3)</f>
        <v>0</v>
      </c>
      <c r="Q5" s="4">
        <f>(VLOOKUP('8.0.0'!Y5,'8.0.0'!$AM$4:$AO$45,2,FALSE))*IF('8.0.0'!BB$4="是",'8.0.0'!$AY$4,'8.0.0'!$AY$3)</f>
        <v>160</v>
      </c>
      <c r="R5" s="4">
        <f>(VLOOKUP('8.0.0'!Z5,'8.0.0'!$AM$4:$AO$45,2,FALSE))*IF('8.0.0'!BC$4="是",'8.0.0'!$AY$4,'8.0.0'!$AY$3)</f>
        <v>170</v>
      </c>
      <c r="S5" s="4">
        <f>(VLOOKUP('8.0.0'!AA5,'8.0.0'!$AM$4:$AO$45,2,FALSE))*IF('8.0.0'!BD$4="是",'8.0.0'!$AY$4,'8.0.0'!$AY$3)</f>
        <v>170</v>
      </c>
      <c r="T5" s="4">
        <f>(VLOOKUP('8.0.0'!AB5,'8.0.0'!$AM$4:$AO$45,2,FALSE))*IF('8.0.0'!BE$4="是",'8.0.0'!$AY$4,'8.0.0'!$AY$3)</f>
        <v>170</v>
      </c>
      <c r="U5" s="4">
        <f>(VLOOKUP('8.0.0'!AC5,'8.0.0'!$AM$4:$AO$45,2,FALSE))*IF('8.0.0'!BF$4="是",'8.0.0'!$AY$4,'8.0.0'!$AY$3)</f>
        <v>250</v>
      </c>
      <c r="V5" s="4">
        <f>(VLOOKUP('8.0.0'!AD5,'8.0.0'!$AM$4:$AO$45,2,FALSE))*IF('8.0.0'!BG$4="是",'8.0.0'!$AY$4,'8.0.0'!$AY$3)</f>
        <v>170</v>
      </c>
      <c r="W5" s="5">
        <f>(VLOOKUP('8.0.0'!AE5,'8.0.0'!$AM$4:$AO$45,2,FALSE))*IF('8.0.0'!BH$4="是",'8.0.0'!$AY$4,'8.0.0'!$AY$3)</f>
        <v>0</v>
      </c>
      <c r="X5" s="5">
        <f>(VLOOKUP('8.0.0'!AF5,'8.0.0'!$AM$4:$AO$45,2,FALSE))*IF('8.0.0'!BI$4="是",'8.0.0'!$AY$4,'8.0.0'!$AY$3)</f>
        <v>0</v>
      </c>
    </row>
    <row r="6" spans="1:24">
      <c r="A6" s="4">
        <f>(VLOOKUP('8.0.0'!I6,'8.0.0'!$AM$4:$AO$45,2,FALSE))*IF('8.0.0'!AK$4="是",'8.0.0'!$AY$4,'8.0.0'!$AY$3)</f>
        <v>170</v>
      </c>
      <c r="B6" s="4">
        <f>(VLOOKUP('8.0.0'!J6,'8.0.0'!$AM$4:$AO$45,2,FALSE))*IF('8.0.0'!AL$4="是",'8.0.0'!$AY$4,'8.0.0'!$AY$3)</f>
        <v>170</v>
      </c>
      <c r="C6" s="4">
        <f>(VLOOKUP('8.0.0'!K6,'8.0.0'!$AM$4:$AO$45,2,FALSE))*IF('8.0.0'!AM$4="是",'8.0.0'!$AY$4,'8.0.0'!$AY$3)</f>
        <v>170</v>
      </c>
      <c r="D6" s="4">
        <f>(VLOOKUP('8.0.0'!L6,'8.0.0'!$AM$4:$AO$45,2,FALSE))*IF('8.0.0'!AN$4="是",'8.0.0'!$AY$4,'8.0.0'!$AY$3)</f>
        <v>170</v>
      </c>
      <c r="E6" s="4">
        <f>(VLOOKUP('8.0.0'!M6,'8.0.0'!$AM$4:$AO$45,2,FALSE))*IF('8.0.0'!AO$4="是",'8.0.0'!$AY$4,'8.0.0'!$AY$3)</f>
        <v>170</v>
      </c>
      <c r="F6" s="4">
        <f>(VLOOKUP('8.0.0'!N6,'8.0.0'!$AM$4:$AO$45,2,FALSE))*IF('8.0.0'!AQ$4="是",'8.0.0'!$AY$4,'8.0.0'!$AY$3)</f>
        <v>170</v>
      </c>
      <c r="G6" s="5">
        <f>(VLOOKUP('8.0.0'!O6,'8.0.0'!$AM$4:$AO$45,2,FALSE))*IF('8.0.0'!AR$4="是",'8.0.0'!$AY$4,'8.0.0'!$AY$3)</f>
        <v>0</v>
      </c>
      <c r="H6" s="5">
        <f>(VLOOKUP('8.0.0'!P6,'8.0.0'!$AM$4:$AO$45,2,FALSE))*IF('8.0.0'!AS$4="是",'8.0.0'!$AY$4,'8.0.0'!$AY$3)</f>
        <v>0</v>
      </c>
      <c r="I6" s="4">
        <f>(VLOOKUP('8.0.0'!Q6,'8.0.0'!$AM$4:$AO$45,2,FALSE))*IF('8.0.0'!AT$4="是",'8.0.0'!$AY$4,'8.0.0'!$AY$3)</f>
        <v>0</v>
      </c>
      <c r="J6" s="4">
        <f>(VLOOKUP('8.0.0'!R6,'8.0.0'!$AM$4:$AO$45,2,FALSE))*IF('8.0.0'!AU$4="是",'8.0.0'!$AY$4,'8.0.0'!$AY$3)</f>
        <v>0</v>
      </c>
      <c r="K6" s="4">
        <f>(VLOOKUP('8.0.0'!S6,'8.0.0'!$AM$4:$AO$45,2,FALSE))*IF('8.0.0'!AV$4="是",'8.0.0'!$AY$4,'8.0.0'!$AY$3)</f>
        <v>0</v>
      </c>
      <c r="L6" s="4">
        <f>(VLOOKUP('8.0.0'!T6,'8.0.0'!$AM$4:$AO$45,2,FALSE))*IF('8.0.0'!AW$4="是",'8.0.0'!$AY$4,'8.0.0'!$AY$3)</f>
        <v>0</v>
      </c>
      <c r="M6" s="4">
        <f>(VLOOKUP('8.0.0'!U6,'8.0.0'!$AM$4:$AO$45,2,FALSE))*IF('8.0.0'!AX$4="是",'8.0.0'!$AY$4,'8.0.0'!$AY$3)</f>
        <v>0</v>
      </c>
      <c r="N6" s="4">
        <f>(VLOOKUP('8.0.0'!V6,'8.0.0'!$AM$4:$AO$45,2,FALSE))*IF('8.0.0'!AY$4="是",'8.0.0'!$AY$4,'8.0.0'!$AY$3)</f>
        <v>0</v>
      </c>
      <c r="O6" s="5">
        <f>(VLOOKUP('8.0.0'!W6,'8.0.0'!$AM$4:$AO$45,2,FALSE))*IF('8.0.0'!AZ$4="是",'8.0.0'!$AY$4,'8.0.0'!$AY$3)</f>
        <v>0</v>
      </c>
      <c r="P6" s="5">
        <f>(VLOOKUP('8.0.0'!X6,'8.0.0'!$AM$4:$AO$45,2,FALSE))*IF('8.0.0'!BA$4="是",'8.0.0'!$AY$4,'8.0.0'!$AY$3)</f>
        <v>0</v>
      </c>
      <c r="Q6" s="4">
        <f>(VLOOKUP('8.0.0'!Y6,'8.0.0'!$AM$4:$AO$45,2,FALSE))*IF('8.0.0'!BB$4="是",'8.0.0'!$AY$4,'8.0.0'!$AY$3)</f>
        <v>170</v>
      </c>
      <c r="R6" s="4">
        <f>(VLOOKUP('8.0.0'!Z6,'8.0.0'!$AM$4:$AO$45,2,FALSE))*IF('8.0.0'!BC$4="是",'8.0.0'!$AY$4,'8.0.0'!$AY$3)</f>
        <v>170</v>
      </c>
      <c r="S6" s="4">
        <f>(VLOOKUP('8.0.0'!AA6,'8.0.0'!$AM$4:$AO$45,2,FALSE))*IF('8.0.0'!BD$4="是",'8.0.0'!$AY$4,'8.0.0'!$AY$3)</f>
        <v>-150</v>
      </c>
      <c r="T6" s="4">
        <f>(VLOOKUP('8.0.0'!AB6,'8.0.0'!$AM$4:$AO$45,2,FALSE))*IF('8.0.0'!BE$4="是",'8.0.0'!$AY$4,'8.0.0'!$AY$3)</f>
        <v>170</v>
      </c>
      <c r="U6" s="4">
        <f>(VLOOKUP('8.0.0'!AC6,'8.0.0'!$AM$4:$AO$45,2,FALSE))*IF('8.0.0'!BF$4="是",'8.0.0'!$AY$4,'8.0.0'!$AY$3)</f>
        <v>170</v>
      </c>
      <c r="V6" s="4">
        <f>(VLOOKUP('8.0.0'!AD6,'8.0.0'!$AM$4:$AO$45,2,FALSE))*IF('8.0.0'!BG$4="是",'8.0.0'!$AY$4,'8.0.0'!$AY$3)</f>
        <v>170</v>
      </c>
      <c r="W6" s="5">
        <f>(VLOOKUP('8.0.0'!AE6,'8.0.0'!$AM$4:$AO$45,2,FALSE))*IF('8.0.0'!BH$4="是",'8.0.0'!$AY$4,'8.0.0'!$AY$3)</f>
        <v>170</v>
      </c>
      <c r="X6" s="5">
        <f>(VLOOKUP('8.0.0'!AF6,'8.0.0'!$AM$4:$AO$45,2,FALSE))*IF('8.0.0'!BI$4="是",'8.0.0'!$AY$4,'8.0.0'!$AY$3)</f>
        <v>170</v>
      </c>
    </row>
    <row r="7" spans="1:24">
      <c r="A7" s="4">
        <f>(VLOOKUP('8.0.0'!I7,'8.0.0'!$AM$4:$AO$45,2,FALSE))*IF('8.0.0'!AK$4="是",'8.0.0'!$AY$4,'8.0.0'!$AY$3)</f>
        <v>170</v>
      </c>
      <c r="B7" s="4">
        <f>(VLOOKUP('8.0.0'!J7,'8.0.0'!$AM$4:$AO$45,2,FALSE))*IF('8.0.0'!AL$4="是",'8.0.0'!$AY$4,'8.0.0'!$AY$3)</f>
        <v>170</v>
      </c>
      <c r="C7" s="4">
        <f>(VLOOKUP('8.0.0'!K7,'8.0.0'!$AM$4:$AO$45,2,FALSE))*IF('8.0.0'!AM$4="是",'8.0.0'!$AY$4,'8.0.0'!$AY$3)</f>
        <v>170</v>
      </c>
      <c r="D7" s="4">
        <f>(VLOOKUP('8.0.0'!L7,'8.0.0'!$AM$4:$AO$45,2,FALSE))*IF('8.0.0'!AN$4="是",'8.0.0'!$AY$4,'8.0.0'!$AY$3)</f>
        <v>170</v>
      </c>
      <c r="E7" s="4">
        <f>(VLOOKUP('8.0.0'!M7,'8.0.0'!$AM$4:$AO$45,2,FALSE))*IF('8.0.0'!AO$4="是",'8.0.0'!$AY$4,'8.0.0'!$AY$3)</f>
        <v>170</v>
      </c>
      <c r="F7" s="4">
        <f>(VLOOKUP('8.0.0'!N7,'8.0.0'!$AM$4:$AO$45,2,FALSE))*IF('8.0.0'!AQ$4="是",'8.0.0'!$AY$4,'8.0.0'!$AY$3)</f>
        <v>170</v>
      </c>
      <c r="G7" s="5">
        <f>(VLOOKUP('8.0.0'!O7,'8.0.0'!$AM$4:$AO$45,2,FALSE))*IF('8.0.0'!AR$4="是",'8.0.0'!$AY$4,'8.0.0'!$AY$3)</f>
        <v>0</v>
      </c>
      <c r="H7" s="5">
        <f>(VLOOKUP('8.0.0'!P7,'8.0.0'!$AM$4:$AO$45,2,FALSE))*IF('8.0.0'!AS$4="是",'8.0.0'!$AY$4,'8.0.0'!$AY$3)</f>
        <v>0</v>
      </c>
      <c r="I7" s="4">
        <f>(VLOOKUP('8.0.0'!Q7,'8.0.0'!$AM$4:$AO$45,2,FALSE))*IF('8.0.0'!AT$4="是",'8.0.0'!$AY$4,'8.0.0'!$AY$3)</f>
        <v>0</v>
      </c>
      <c r="J7" s="4">
        <f>(VLOOKUP('8.0.0'!R7,'8.0.0'!$AM$4:$AO$45,2,FALSE))*IF('8.0.0'!AU$4="是",'8.0.0'!$AY$4,'8.0.0'!$AY$3)</f>
        <v>0</v>
      </c>
      <c r="K7" s="4">
        <f>(VLOOKUP('8.0.0'!S7,'8.0.0'!$AM$4:$AO$45,2,FALSE))*IF('8.0.0'!AV$4="是",'8.0.0'!$AY$4,'8.0.0'!$AY$3)</f>
        <v>0</v>
      </c>
      <c r="L7" s="4">
        <f>(VLOOKUP('8.0.0'!T7,'8.0.0'!$AM$4:$AO$45,2,FALSE))*IF('8.0.0'!AW$4="是",'8.0.0'!$AY$4,'8.0.0'!$AY$3)</f>
        <v>0</v>
      </c>
      <c r="M7" s="4">
        <f>(VLOOKUP('8.0.0'!U7,'8.0.0'!$AM$4:$AO$45,2,FALSE))*IF('8.0.0'!AX$4="是",'8.0.0'!$AY$4,'8.0.0'!$AY$3)</f>
        <v>0</v>
      </c>
      <c r="N7" s="4">
        <f>(VLOOKUP('8.0.0'!V7,'8.0.0'!$AM$4:$AO$45,2,FALSE))*IF('8.0.0'!AY$4="是",'8.0.0'!$AY$4,'8.0.0'!$AY$3)</f>
        <v>0</v>
      </c>
      <c r="O7" s="5">
        <f>(VLOOKUP('8.0.0'!W7,'8.0.0'!$AM$4:$AO$45,2,FALSE))*IF('8.0.0'!AZ$4="是",'8.0.0'!$AY$4,'8.0.0'!$AY$3)</f>
        <v>0</v>
      </c>
      <c r="P7" s="5">
        <f>(VLOOKUP('8.0.0'!X7,'8.0.0'!$AM$4:$AO$45,2,FALSE))*IF('8.0.0'!BA$4="是",'8.0.0'!$AY$4,'8.0.0'!$AY$3)</f>
        <v>0</v>
      </c>
      <c r="Q7" s="4">
        <f>(VLOOKUP('8.0.0'!Y7,'8.0.0'!$AM$4:$AO$45,2,FALSE))*IF('8.0.0'!BB$4="是",'8.0.0'!$AY$4,'8.0.0'!$AY$3)</f>
        <v>170</v>
      </c>
      <c r="R7" s="4">
        <f>(VLOOKUP('8.0.0'!Z7,'8.0.0'!$AM$4:$AO$45,2,FALSE))*IF('8.0.0'!BC$4="是",'8.0.0'!$AY$4,'8.0.0'!$AY$3)</f>
        <v>170</v>
      </c>
      <c r="S7" s="4">
        <f>(VLOOKUP('8.0.0'!AA7,'8.0.0'!$AM$4:$AO$45,2,FALSE))*IF('8.0.0'!BD$4="是",'8.0.0'!$AY$4,'8.0.0'!$AY$3)</f>
        <v>170</v>
      </c>
      <c r="T7" s="4">
        <f>(VLOOKUP('8.0.0'!AB7,'8.0.0'!$AM$4:$AO$45,2,FALSE))*IF('8.0.0'!BE$4="是",'8.0.0'!$AY$4,'8.0.0'!$AY$3)</f>
        <v>170</v>
      </c>
      <c r="U7" s="4">
        <f>(VLOOKUP('8.0.0'!AC7,'8.0.0'!$AM$4:$AO$45,2,FALSE))*IF('8.0.0'!BF$4="是",'8.0.0'!$AY$4,'8.0.0'!$AY$3)</f>
        <v>170</v>
      </c>
      <c r="V7" s="4">
        <f>(VLOOKUP('8.0.0'!AD7,'8.0.0'!$AM$4:$AO$45,2,FALSE))*IF('8.0.0'!BG$4="是",'8.0.0'!$AY$4,'8.0.0'!$AY$3)</f>
        <v>170</v>
      </c>
      <c r="W7" s="5">
        <f>(VLOOKUP('8.0.0'!AE7,'8.0.0'!$AM$4:$AO$45,2,FALSE))*IF('8.0.0'!BH$4="是",'8.0.0'!$AY$4,'8.0.0'!$AY$3)</f>
        <v>0</v>
      </c>
      <c r="X7" s="5">
        <f>(VLOOKUP('8.0.0'!AF7,'8.0.0'!$AM$4:$AO$45,2,FALSE))*IF('8.0.0'!BI$4="是",'8.0.0'!$AY$4,'8.0.0'!$AY$3)</f>
        <v>0</v>
      </c>
    </row>
    <row r="8" spans="1:24">
      <c r="A8" s="4">
        <f>(VLOOKUP('8.0.0'!I8,'8.0.0'!$AM$4:$AO$45,2,FALSE))*IF('8.0.0'!AK$4="是",'8.0.0'!$AY$4,'8.0.0'!$AY$3)</f>
        <v>170</v>
      </c>
      <c r="B8" s="4">
        <f>(VLOOKUP('8.0.0'!J8,'8.0.0'!$AM$4:$AO$45,2,FALSE))*IF('8.0.0'!AL$4="是",'8.0.0'!$AY$4,'8.0.0'!$AY$3)</f>
        <v>150</v>
      </c>
      <c r="C8" s="4">
        <f>(VLOOKUP('8.0.0'!K8,'8.0.0'!$AM$4:$AO$45,2,FALSE))*IF('8.0.0'!AM$4="是",'8.0.0'!$AY$4,'8.0.0'!$AY$3)</f>
        <v>170</v>
      </c>
      <c r="D8" s="4">
        <f>(VLOOKUP('8.0.0'!L8,'8.0.0'!$AM$4:$AO$45,2,FALSE))*IF('8.0.0'!AN$4="是",'8.0.0'!$AY$4,'8.0.0'!$AY$3)</f>
        <v>250</v>
      </c>
      <c r="E8" s="4">
        <f>(VLOOKUP('8.0.0'!M8,'8.0.0'!$AM$4:$AO$45,2,FALSE))*IF('8.0.0'!AO$4="是",'8.0.0'!$AY$4,'8.0.0'!$AY$3)</f>
        <v>170</v>
      </c>
      <c r="F8" s="4">
        <f>(VLOOKUP('8.0.0'!N8,'8.0.0'!$AM$4:$AO$45,2,FALSE))*IF('8.0.0'!AQ$4="是",'8.0.0'!$AY$4,'8.0.0'!$AY$3)</f>
        <v>170</v>
      </c>
      <c r="G8" s="5">
        <f>(VLOOKUP('8.0.0'!O8,'8.0.0'!$AM$4:$AO$45,2,FALSE))*IF('8.0.0'!AR$4="是",'8.0.0'!$AY$4,'8.0.0'!$AY$3)</f>
        <v>-150</v>
      </c>
      <c r="H8" s="5">
        <f>(VLOOKUP('8.0.0'!P8,'8.0.0'!$AM$4:$AO$45,2,FALSE))*IF('8.0.0'!AS$4="是",'8.0.0'!$AY$4,'8.0.0'!$AY$3)</f>
        <v>170</v>
      </c>
      <c r="I8" s="4">
        <f>(VLOOKUP('8.0.0'!Q8,'8.0.0'!$AM$4:$AO$45,2,FALSE))*IF('8.0.0'!AT$4="是",'8.0.0'!$AY$4,'8.0.0'!$AY$3)</f>
        <v>0</v>
      </c>
      <c r="J8" s="4">
        <f>(VLOOKUP('8.0.0'!R8,'8.0.0'!$AM$4:$AO$45,2,FALSE))*IF('8.0.0'!AU$4="是",'8.0.0'!$AY$4,'8.0.0'!$AY$3)</f>
        <v>0</v>
      </c>
      <c r="K8" s="4">
        <f>(VLOOKUP('8.0.0'!S8,'8.0.0'!$AM$4:$AO$45,2,FALSE))*IF('8.0.0'!AV$4="是",'8.0.0'!$AY$4,'8.0.0'!$AY$3)</f>
        <v>0</v>
      </c>
      <c r="L8" s="4">
        <f>(VLOOKUP('8.0.0'!T8,'8.0.0'!$AM$4:$AO$45,2,FALSE))*IF('8.0.0'!AW$4="是",'8.0.0'!$AY$4,'8.0.0'!$AY$3)</f>
        <v>0</v>
      </c>
      <c r="M8" s="4">
        <f>(VLOOKUP('8.0.0'!U8,'8.0.0'!$AM$4:$AO$45,2,FALSE))*IF('8.0.0'!AX$4="是",'8.0.0'!$AY$4,'8.0.0'!$AY$3)</f>
        <v>0</v>
      </c>
      <c r="N8" s="4">
        <f>(VLOOKUP('8.0.0'!V8,'8.0.0'!$AM$4:$AO$45,2,FALSE))*IF('8.0.0'!AY$4="是",'8.0.0'!$AY$4,'8.0.0'!$AY$3)</f>
        <v>0</v>
      </c>
      <c r="O8" s="5">
        <f>(VLOOKUP('8.0.0'!W8,'8.0.0'!$AM$4:$AO$45,2,FALSE))*IF('8.0.0'!AZ$4="是",'8.0.0'!$AY$4,'8.0.0'!$AY$3)</f>
        <v>0</v>
      </c>
      <c r="P8" s="5">
        <f>(VLOOKUP('8.0.0'!X8,'8.0.0'!$AM$4:$AO$45,2,FALSE))*IF('8.0.0'!BA$4="是",'8.0.0'!$AY$4,'8.0.0'!$AY$3)</f>
        <v>0</v>
      </c>
      <c r="Q8" s="4">
        <f>(VLOOKUP('8.0.0'!Y8,'8.0.0'!$AM$4:$AO$45,2,FALSE))*IF('8.0.0'!BB$4="是",'8.0.0'!$AY$4,'8.0.0'!$AY$3)</f>
        <v>250</v>
      </c>
      <c r="R8" s="4">
        <f>(VLOOKUP('8.0.0'!Z8,'8.0.0'!$AM$4:$AO$45,2,FALSE))*IF('8.0.0'!BC$4="是",'8.0.0'!$AY$4,'8.0.0'!$AY$3)</f>
        <v>170</v>
      </c>
      <c r="S8" s="4">
        <f>(VLOOKUP('8.0.0'!AA8,'8.0.0'!$AM$4:$AO$45,2,FALSE))*IF('8.0.0'!BD$4="是",'8.0.0'!$AY$4,'8.0.0'!$AY$3)</f>
        <v>170</v>
      </c>
      <c r="T8" s="4">
        <f>(VLOOKUP('8.0.0'!AB8,'8.0.0'!$AM$4:$AO$45,2,FALSE))*IF('8.0.0'!BE$4="是",'8.0.0'!$AY$4,'8.0.0'!$AY$3)</f>
        <v>170</v>
      </c>
      <c r="U8" s="4">
        <f>(VLOOKUP('8.0.0'!AC8,'8.0.0'!$AM$4:$AO$45,2,FALSE))*IF('8.0.0'!BF$4="是",'8.0.0'!$AY$4,'8.0.0'!$AY$3)</f>
        <v>170</v>
      </c>
      <c r="V8" s="4">
        <f>(VLOOKUP('8.0.0'!AD8,'8.0.0'!$AM$4:$AO$45,2,FALSE))*IF('8.0.0'!BG$4="是",'8.0.0'!$AY$4,'8.0.0'!$AY$3)</f>
        <v>170</v>
      </c>
      <c r="W8" s="5">
        <f>(VLOOKUP('8.0.0'!AE8,'8.0.0'!$AM$4:$AO$45,2,FALSE))*IF('8.0.0'!BH$4="是",'8.0.0'!$AY$4,'8.0.0'!$AY$3)</f>
        <v>0</v>
      </c>
      <c r="X8" s="5">
        <f>(VLOOKUP('8.0.0'!AF8,'8.0.0'!$AM$4:$AO$45,2,FALSE))*IF('8.0.0'!BI$4="是",'8.0.0'!$AY$4,'8.0.0'!$AY$3)</f>
        <v>0</v>
      </c>
    </row>
    <row r="9" spans="1:24">
      <c r="A9" s="4">
        <f>(VLOOKUP('8.0.0'!I9,'8.0.0'!$AM$4:$AO$45,2,FALSE))*IF('8.0.0'!AK$4="是",'8.0.0'!$AY$4,'8.0.0'!$AY$3)</f>
        <v>170</v>
      </c>
      <c r="B9" s="4">
        <f>(VLOOKUP('8.0.0'!J9,'8.0.0'!$AM$4:$AO$45,2,FALSE))*IF('8.0.0'!AL$4="是",'8.0.0'!$AY$4,'8.0.0'!$AY$3)</f>
        <v>170</v>
      </c>
      <c r="C9" s="4">
        <f>(VLOOKUP('8.0.0'!K9,'8.0.0'!$AM$4:$AO$45,2,FALSE))*IF('8.0.0'!AM$4="是",'8.0.0'!$AY$4,'8.0.0'!$AY$3)</f>
        <v>50</v>
      </c>
      <c r="D9" s="4">
        <f>(VLOOKUP('8.0.0'!L9,'8.0.0'!$AM$4:$AO$45,2,FALSE))*IF('8.0.0'!AN$4="是",'8.0.0'!$AY$4,'8.0.0'!$AY$3)</f>
        <v>170</v>
      </c>
      <c r="E9" s="4">
        <f>(VLOOKUP('8.0.0'!M9,'8.0.0'!$AM$4:$AO$45,2,FALSE))*IF('8.0.0'!AO$4="是",'8.0.0'!$AY$4,'8.0.0'!$AY$3)</f>
        <v>170</v>
      </c>
      <c r="F9" s="4">
        <f>(VLOOKUP('8.0.0'!N9,'8.0.0'!$AM$4:$AO$45,2,FALSE))*IF('8.0.0'!AQ$4="是",'8.0.0'!$AY$4,'8.0.0'!$AY$3)</f>
        <v>170</v>
      </c>
      <c r="G9" s="5">
        <f>(VLOOKUP('8.0.0'!O9,'8.0.0'!$AM$4:$AO$45,2,FALSE))*IF('8.0.0'!AR$4="是",'8.0.0'!$AY$4,'8.0.0'!$AY$3)</f>
        <v>0</v>
      </c>
      <c r="H9" s="5">
        <f>(VLOOKUP('8.0.0'!P9,'8.0.0'!$AM$4:$AO$45,2,FALSE))*IF('8.0.0'!AS$4="是",'8.0.0'!$AY$4,'8.0.0'!$AY$3)</f>
        <v>0</v>
      </c>
      <c r="I9" s="4">
        <f>(VLOOKUP('8.0.0'!Q9,'8.0.0'!$AM$4:$AO$45,2,FALSE))*IF('8.0.0'!AT$4="是",'8.0.0'!$AY$4,'8.0.0'!$AY$3)</f>
        <v>0</v>
      </c>
      <c r="J9" s="4">
        <f>(VLOOKUP('8.0.0'!R9,'8.0.0'!$AM$4:$AO$45,2,FALSE))*IF('8.0.0'!AU$4="是",'8.0.0'!$AY$4,'8.0.0'!$AY$3)</f>
        <v>0</v>
      </c>
      <c r="K9" s="4">
        <f>(VLOOKUP('8.0.0'!S9,'8.0.0'!$AM$4:$AO$45,2,FALSE))*IF('8.0.0'!AV$4="是",'8.0.0'!$AY$4,'8.0.0'!$AY$3)</f>
        <v>0</v>
      </c>
      <c r="L9" s="4">
        <f>(VLOOKUP('8.0.0'!T9,'8.0.0'!$AM$4:$AO$45,2,FALSE))*IF('8.0.0'!AW$4="是",'8.0.0'!$AY$4,'8.0.0'!$AY$3)</f>
        <v>0</v>
      </c>
      <c r="M9" s="4">
        <f>(VLOOKUP('8.0.0'!U9,'8.0.0'!$AM$4:$AO$45,2,FALSE))*IF('8.0.0'!AX$4="是",'8.0.0'!$AY$4,'8.0.0'!$AY$3)</f>
        <v>0</v>
      </c>
      <c r="N9" s="4">
        <f>(VLOOKUP('8.0.0'!V9,'8.0.0'!$AM$4:$AO$45,2,FALSE))*IF('8.0.0'!AY$4="是",'8.0.0'!$AY$4,'8.0.0'!$AY$3)</f>
        <v>0</v>
      </c>
      <c r="O9" s="5">
        <f>(VLOOKUP('8.0.0'!W9,'8.0.0'!$AM$4:$AO$45,2,FALSE))*IF('8.0.0'!AZ$4="是",'8.0.0'!$AY$4,'8.0.0'!$AY$3)</f>
        <v>0</v>
      </c>
      <c r="P9" s="5">
        <f>(VLOOKUP('8.0.0'!X9,'8.0.0'!$AM$4:$AO$45,2,FALSE))*IF('8.0.0'!BA$4="是",'8.0.0'!$AY$4,'8.0.0'!$AY$3)</f>
        <v>0</v>
      </c>
      <c r="Q9" s="4">
        <f>(VLOOKUP('8.0.0'!Y9,'8.0.0'!$AM$4:$AO$45,2,FALSE))*IF('8.0.0'!BB$4="是",'8.0.0'!$AY$4,'8.0.0'!$AY$3)</f>
        <v>170</v>
      </c>
      <c r="R9" s="4">
        <f>(VLOOKUP('8.0.0'!Z9,'8.0.0'!$AM$4:$AO$45,2,FALSE))*IF('8.0.0'!BC$4="是",'8.0.0'!$AY$4,'8.0.0'!$AY$3)</f>
        <v>170</v>
      </c>
      <c r="S9" s="4">
        <f>(VLOOKUP('8.0.0'!AA9,'8.0.0'!$AM$4:$AO$45,2,FALSE))*IF('8.0.0'!BD$4="是",'8.0.0'!$AY$4,'8.0.0'!$AY$3)</f>
        <v>170</v>
      </c>
      <c r="T9" s="4">
        <f>(VLOOKUP('8.0.0'!AB9,'8.0.0'!$AM$4:$AO$45,2,FALSE))*IF('8.0.0'!BE$4="是",'8.0.0'!$AY$4,'8.0.0'!$AY$3)</f>
        <v>170</v>
      </c>
      <c r="U9" s="4">
        <f>(VLOOKUP('8.0.0'!AC9,'8.0.0'!$AM$4:$AO$45,2,FALSE))*IF('8.0.0'!BF$4="是",'8.0.0'!$AY$4,'8.0.0'!$AY$3)</f>
        <v>0</v>
      </c>
      <c r="V9" s="4">
        <f>(VLOOKUP('8.0.0'!AD9,'8.0.0'!$AM$4:$AO$45,2,FALSE))*IF('8.0.0'!BG$4="是",'8.0.0'!$AY$4,'8.0.0'!$AY$3)</f>
        <v>0</v>
      </c>
      <c r="W9" s="5">
        <f>(VLOOKUP('8.0.0'!AE9,'8.0.0'!$AM$4:$AO$45,2,FALSE))*IF('8.0.0'!BH$4="是",'8.0.0'!$AY$4,'8.0.0'!$AY$3)</f>
        <v>0</v>
      </c>
      <c r="X9" s="5">
        <f>(VLOOKUP('8.0.0'!AF9,'8.0.0'!$AM$4:$AO$45,2,FALSE))*IF('8.0.0'!BI$4="是",'8.0.0'!$AY$4,'8.0.0'!$AY$3)</f>
        <v>0</v>
      </c>
    </row>
    <row r="10" spans="1:24">
      <c r="A10" s="4">
        <f>(VLOOKUP('8.0.0'!I10,'8.0.0'!$AM$4:$AO$45,2,FALSE))*IF('8.0.0'!AK$4="是",'8.0.0'!$AY$4,'8.0.0'!$AY$3)</f>
        <v>170</v>
      </c>
      <c r="B10" s="4">
        <f>(VLOOKUP('8.0.0'!J10,'8.0.0'!$AM$4:$AO$45,2,FALSE))*IF('8.0.0'!AL$4="是",'8.0.0'!$AY$4,'8.0.0'!$AY$3)</f>
        <v>170</v>
      </c>
      <c r="C10" s="4">
        <f>(VLOOKUP('8.0.0'!K10,'8.0.0'!$AM$4:$AO$45,2,FALSE))*IF('8.0.0'!AM$4="是",'8.0.0'!$AY$4,'8.0.0'!$AY$3)</f>
        <v>50</v>
      </c>
      <c r="D10" s="4">
        <f>(VLOOKUP('8.0.0'!L10,'8.0.0'!$AM$4:$AO$45,2,FALSE))*IF('8.0.0'!AN$4="是",'8.0.0'!$AY$4,'8.0.0'!$AY$3)</f>
        <v>170</v>
      </c>
      <c r="E10" s="4">
        <f>(VLOOKUP('8.0.0'!M10,'8.0.0'!$AM$4:$AO$45,2,FALSE))*IF('8.0.0'!AO$4="是",'8.0.0'!$AY$4,'8.0.0'!$AY$3)</f>
        <v>170</v>
      </c>
      <c r="F10" s="4">
        <f>(VLOOKUP('8.0.0'!N10,'8.0.0'!$AM$4:$AO$45,2,FALSE))*IF('8.0.0'!AQ$4="是",'8.0.0'!$AY$4,'8.0.0'!$AY$3)</f>
        <v>180</v>
      </c>
      <c r="G10" s="5">
        <f>(VLOOKUP('8.0.0'!O10,'8.0.0'!$AM$4:$AO$45,2,FALSE))*IF('8.0.0'!AR$4="是",'8.0.0'!$AY$4,'8.0.0'!$AY$3)</f>
        <v>0</v>
      </c>
      <c r="H10" s="5">
        <f>(VLOOKUP('8.0.0'!P10,'8.0.0'!$AM$4:$AO$45,2,FALSE))*IF('8.0.0'!AS$4="是",'8.0.0'!$AY$4,'8.0.0'!$AY$3)</f>
        <v>0</v>
      </c>
      <c r="I10" s="4">
        <f>(VLOOKUP('8.0.0'!Q10,'8.0.0'!$AM$4:$AO$45,2,FALSE))*IF('8.0.0'!AT$4="是",'8.0.0'!$AY$4,'8.0.0'!$AY$3)</f>
        <v>0</v>
      </c>
      <c r="J10" s="4">
        <f>(VLOOKUP('8.0.0'!R10,'8.0.0'!$AM$4:$AO$45,2,FALSE))*IF('8.0.0'!AU$4="是",'8.0.0'!$AY$4,'8.0.0'!$AY$3)</f>
        <v>0</v>
      </c>
      <c r="K10" s="4">
        <f>(VLOOKUP('8.0.0'!S10,'8.0.0'!$AM$4:$AO$45,2,FALSE))*IF('8.0.0'!AV$4="是",'8.0.0'!$AY$4,'8.0.0'!$AY$3)</f>
        <v>0</v>
      </c>
      <c r="L10" s="4">
        <f>(VLOOKUP('8.0.0'!T10,'8.0.0'!$AM$4:$AO$45,2,FALSE))*IF('8.0.0'!AW$4="是",'8.0.0'!$AY$4,'8.0.0'!$AY$3)</f>
        <v>0</v>
      </c>
      <c r="M10" s="4">
        <f>(VLOOKUP('8.0.0'!U10,'8.0.0'!$AM$4:$AO$45,2,FALSE))*IF('8.0.0'!AX$4="是",'8.0.0'!$AY$4,'8.0.0'!$AY$3)</f>
        <v>0</v>
      </c>
      <c r="N10" s="4">
        <f>(VLOOKUP('8.0.0'!V10,'8.0.0'!$AM$4:$AO$45,2,FALSE))*IF('8.0.0'!AY$4="是",'8.0.0'!$AY$4,'8.0.0'!$AY$3)</f>
        <v>0</v>
      </c>
      <c r="O10" s="5">
        <f>(VLOOKUP('8.0.0'!W10,'8.0.0'!$AM$4:$AO$45,2,FALSE))*IF('8.0.0'!AZ$4="是",'8.0.0'!$AY$4,'8.0.0'!$AY$3)</f>
        <v>0</v>
      </c>
      <c r="P10" s="5">
        <f>(VLOOKUP('8.0.0'!X10,'8.0.0'!$AM$4:$AO$45,2,FALSE))*IF('8.0.0'!BA$4="是",'8.0.0'!$AY$4,'8.0.0'!$AY$3)</f>
        <v>0</v>
      </c>
      <c r="Q10" s="4">
        <f>(VLOOKUP('8.0.0'!Y10,'8.0.0'!$AM$4:$AO$45,2,FALSE))*IF('8.0.0'!BB$4="是",'8.0.0'!$AY$4,'8.0.0'!$AY$3)</f>
        <v>170</v>
      </c>
      <c r="R10" s="4">
        <f>(VLOOKUP('8.0.0'!Z10,'8.0.0'!$AM$4:$AO$45,2,FALSE))*IF('8.0.0'!BC$4="是",'8.0.0'!$AY$4,'8.0.0'!$AY$3)</f>
        <v>170</v>
      </c>
      <c r="S10" s="4">
        <f>(VLOOKUP('8.0.0'!AA10,'8.0.0'!$AM$4:$AO$45,2,FALSE))*IF('8.0.0'!BD$4="是",'8.0.0'!$AY$4,'8.0.0'!$AY$3)</f>
        <v>50</v>
      </c>
      <c r="T10" s="4">
        <f>(VLOOKUP('8.0.0'!AB10,'8.0.0'!$AM$4:$AO$45,2,FALSE))*IF('8.0.0'!BE$4="是",'8.0.0'!$AY$4,'8.0.0'!$AY$3)</f>
        <v>170</v>
      </c>
      <c r="U10" s="4">
        <f>(VLOOKUP('8.0.0'!AC10,'8.0.0'!$AM$4:$AO$45,2,FALSE))*IF('8.0.0'!BF$4="是",'8.0.0'!$AY$4,'8.0.0'!$AY$3)</f>
        <v>170</v>
      </c>
      <c r="V10" s="4">
        <f>(VLOOKUP('8.0.0'!AD10,'8.0.0'!$AM$4:$AO$45,2,FALSE))*IF('8.0.0'!BG$4="是",'8.0.0'!$AY$4,'8.0.0'!$AY$3)</f>
        <v>170</v>
      </c>
      <c r="W10" s="5">
        <f>(VLOOKUP('8.0.0'!AE10,'8.0.0'!$AM$4:$AO$45,2,FALSE))*IF('8.0.0'!BH$4="是",'8.0.0'!$AY$4,'8.0.0'!$AY$3)</f>
        <v>0</v>
      </c>
      <c r="X10" s="5">
        <f>(VLOOKUP('8.0.0'!AF10,'8.0.0'!$AM$4:$AO$45,2,FALSE))*IF('8.0.0'!BI$4="是",'8.0.0'!$AY$4,'8.0.0'!$AY$3)</f>
        <v>0</v>
      </c>
    </row>
    <row r="11" spans="1:24">
      <c r="A11" s="4">
        <f>(VLOOKUP('8.0.0'!I11,'8.0.0'!$AM$4:$AO$45,2,FALSE))*IF('8.0.0'!AK$4="是",'8.0.0'!$AY$4,'8.0.0'!$AY$3)</f>
        <v>180</v>
      </c>
      <c r="B11" s="4">
        <f>(VLOOKUP('8.0.0'!J11,'8.0.0'!$AM$4:$AO$45,2,FALSE))*IF('8.0.0'!AL$4="是",'8.0.0'!$AY$4,'8.0.0'!$AY$3)</f>
        <v>180</v>
      </c>
      <c r="C11" s="4">
        <f>(VLOOKUP('8.0.0'!K11,'8.0.0'!$AM$4:$AO$45,2,FALSE))*IF('8.0.0'!AM$4="是",'8.0.0'!$AY$4,'8.0.0'!$AY$3)</f>
        <v>50</v>
      </c>
      <c r="D11" s="4">
        <f>(VLOOKUP('8.0.0'!L11,'8.0.0'!$AM$4:$AO$45,2,FALSE))*IF('8.0.0'!AN$4="是",'8.0.0'!$AY$4,'8.0.0'!$AY$3)</f>
        <v>180</v>
      </c>
      <c r="E11" s="4">
        <f>(VLOOKUP('8.0.0'!M11,'8.0.0'!$AM$4:$AO$45,2,FALSE))*IF('8.0.0'!AO$4="是",'8.0.0'!$AY$4,'8.0.0'!$AY$3)</f>
        <v>180</v>
      </c>
      <c r="F11" s="4">
        <f>(VLOOKUP('8.0.0'!N11,'8.0.0'!$AM$4:$AO$45,2,FALSE))*IF('8.0.0'!AQ$4="是",'8.0.0'!$AY$4,'8.0.0'!$AY$3)</f>
        <v>-200</v>
      </c>
      <c r="G11" s="5">
        <f>(VLOOKUP('8.0.0'!O11,'8.0.0'!$AM$4:$AO$45,2,FALSE))*IF('8.0.0'!AR$4="是",'8.0.0'!$AY$4,'8.0.0'!$AY$3)</f>
        <v>180</v>
      </c>
      <c r="H11" s="5">
        <f>(VLOOKUP('8.0.0'!P11,'8.0.0'!$AM$4:$AO$45,2,FALSE))*IF('8.0.0'!AS$4="是",'8.0.0'!$AY$4,'8.0.0'!$AY$3)</f>
        <v>180</v>
      </c>
      <c r="I11" s="4">
        <f>(VLOOKUP('8.0.0'!Q11,'8.0.0'!$AM$4:$AO$45,2,FALSE))*IF('8.0.0'!AT$4="是",'8.0.0'!$AY$4,'8.0.0'!$AY$3)</f>
        <v>0</v>
      </c>
      <c r="J11" s="4">
        <f>(VLOOKUP('8.0.0'!R11,'8.0.0'!$AM$4:$AO$45,2,FALSE))*IF('8.0.0'!AU$4="是",'8.0.0'!$AY$4,'8.0.0'!$AY$3)</f>
        <v>0</v>
      </c>
      <c r="K11" s="4">
        <f>(VLOOKUP('8.0.0'!S11,'8.0.0'!$AM$4:$AO$45,2,FALSE))*IF('8.0.0'!AV$4="是",'8.0.0'!$AY$4,'8.0.0'!$AY$3)</f>
        <v>0</v>
      </c>
      <c r="L11" s="4">
        <f>(VLOOKUP('8.0.0'!T11,'8.0.0'!$AM$4:$AO$45,2,FALSE))*IF('8.0.0'!AW$4="是",'8.0.0'!$AY$4,'8.0.0'!$AY$3)</f>
        <v>0</v>
      </c>
      <c r="M11" s="4">
        <f>(VLOOKUP('8.0.0'!U11,'8.0.0'!$AM$4:$AO$45,2,FALSE))*IF('8.0.0'!AX$4="是",'8.0.0'!$AY$4,'8.0.0'!$AY$3)</f>
        <v>0</v>
      </c>
      <c r="N11" s="4">
        <f>(VLOOKUP('8.0.0'!V11,'8.0.0'!$AM$4:$AO$45,2,FALSE))*IF('8.0.0'!AY$4="是",'8.0.0'!$AY$4,'8.0.0'!$AY$3)</f>
        <v>0</v>
      </c>
      <c r="O11" s="5">
        <f>(VLOOKUP('8.0.0'!W11,'8.0.0'!$AM$4:$AO$45,2,FALSE))*IF('8.0.0'!AZ$4="是",'8.0.0'!$AY$4,'8.0.0'!$AY$3)</f>
        <v>0</v>
      </c>
      <c r="P11" s="5">
        <f>(VLOOKUP('8.0.0'!X11,'8.0.0'!$AM$4:$AO$45,2,FALSE))*IF('8.0.0'!BA$4="是",'8.0.0'!$AY$4,'8.0.0'!$AY$3)</f>
        <v>0</v>
      </c>
      <c r="Q11" s="4">
        <f>(VLOOKUP('8.0.0'!Y11,'8.0.0'!$AM$4:$AO$45,2,FALSE))*IF('8.0.0'!BB$4="是",'8.0.0'!$AY$4,'8.0.0'!$AY$3)</f>
        <v>170</v>
      </c>
      <c r="R11" s="4">
        <f>(VLOOKUP('8.0.0'!Z11,'8.0.0'!$AM$4:$AO$45,2,FALSE))*IF('8.0.0'!BC$4="是",'8.0.0'!$AY$4,'8.0.0'!$AY$3)</f>
        <v>170</v>
      </c>
      <c r="S11" s="4">
        <f>(VLOOKUP('8.0.0'!AA11,'8.0.0'!$AM$4:$AO$45,2,FALSE))*IF('8.0.0'!BD$4="是",'8.0.0'!$AY$4,'8.0.0'!$AY$3)</f>
        <v>170</v>
      </c>
      <c r="T11" s="4">
        <f>(VLOOKUP('8.0.0'!AB11,'8.0.0'!$AM$4:$AO$45,2,FALSE))*IF('8.0.0'!BE$4="是",'8.0.0'!$AY$4,'8.0.0'!$AY$3)</f>
        <v>170</v>
      </c>
      <c r="U11" s="4">
        <f>(VLOOKUP('8.0.0'!AC11,'8.0.0'!$AM$4:$AO$45,2,FALSE))*IF('8.0.0'!BF$4="是",'8.0.0'!$AY$4,'8.0.0'!$AY$3)</f>
        <v>170</v>
      </c>
      <c r="V11" s="4">
        <f>(VLOOKUP('8.0.0'!AD11,'8.0.0'!$AM$4:$AO$45,2,FALSE))*IF('8.0.0'!BG$4="是",'8.0.0'!$AY$4,'8.0.0'!$AY$3)</f>
        <v>170</v>
      </c>
      <c r="W11" s="5">
        <f>(VLOOKUP('8.0.0'!AE11,'8.0.0'!$AM$4:$AO$45,2,FALSE))*IF('8.0.0'!BH$4="是",'8.0.0'!$AY$4,'8.0.0'!$AY$3)</f>
        <v>0</v>
      </c>
      <c r="X11" s="5">
        <f>(VLOOKUP('8.0.0'!AF11,'8.0.0'!$AM$4:$AO$45,2,FALSE))*IF('8.0.0'!BI$4="是",'8.0.0'!$AY$4,'8.0.0'!$AY$3)</f>
        <v>0</v>
      </c>
    </row>
    <row r="12" spans="1:24">
      <c r="A12" s="4">
        <f>(VLOOKUP('8.0.0'!I12,'8.0.0'!$AM$4:$AO$45,2,FALSE))*IF('8.0.0'!AK$4="是",'8.0.0'!$AY$4,'8.0.0'!$AY$3)</f>
        <v>180</v>
      </c>
      <c r="B12" s="4">
        <f>(VLOOKUP('8.0.0'!J12,'8.0.0'!$AM$4:$AO$45,2,FALSE))*IF('8.0.0'!AL$4="是",'8.0.0'!$AY$4,'8.0.0'!$AY$3)</f>
        <v>180</v>
      </c>
      <c r="C12" s="4">
        <f>(VLOOKUP('8.0.0'!K12,'8.0.0'!$AM$4:$AO$45,2,FALSE))*IF('8.0.0'!AM$4="是",'8.0.0'!$AY$4,'8.0.0'!$AY$3)</f>
        <v>180</v>
      </c>
      <c r="D12" s="4">
        <f>(VLOOKUP('8.0.0'!L12,'8.0.0'!$AM$4:$AO$45,2,FALSE))*IF('8.0.0'!AN$4="是",'8.0.0'!$AY$4,'8.0.0'!$AY$3)</f>
        <v>180</v>
      </c>
      <c r="E12" s="4">
        <f>(VLOOKUP('8.0.0'!M12,'8.0.0'!$AM$4:$AO$45,2,FALSE))*IF('8.0.0'!AO$4="是",'8.0.0'!$AY$4,'8.0.0'!$AY$3)</f>
        <v>180</v>
      </c>
      <c r="F12" s="4">
        <f>(VLOOKUP('8.0.0'!N12,'8.0.0'!$AM$4:$AO$45,2,FALSE))*IF('8.0.0'!AQ$4="是",'8.0.0'!$AY$4,'8.0.0'!$AY$3)</f>
        <v>180</v>
      </c>
      <c r="G12" s="5">
        <f>(VLOOKUP('8.0.0'!O12,'8.0.0'!$AM$4:$AO$45,2,FALSE))*IF('8.0.0'!AR$4="是",'8.0.0'!$AY$4,'8.0.0'!$AY$3)</f>
        <v>0</v>
      </c>
      <c r="H12" s="5">
        <f>(VLOOKUP('8.0.0'!P12,'8.0.0'!$AM$4:$AO$45,2,FALSE))*IF('8.0.0'!AS$4="是",'8.0.0'!$AY$4,'8.0.0'!$AY$3)</f>
        <v>0</v>
      </c>
      <c r="I12" s="4">
        <f>(VLOOKUP('8.0.0'!Q12,'8.0.0'!$AM$4:$AO$45,2,FALSE))*IF('8.0.0'!AT$4="是",'8.0.0'!$AY$4,'8.0.0'!$AY$3)</f>
        <v>0</v>
      </c>
      <c r="J12" s="4">
        <f>(VLOOKUP('8.0.0'!R12,'8.0.0'!$AM$4:$AO$45,2,FALSE))*IF('8.0.0'!AU$4="是",'8.0.0'!$AY$4,'8.0.0'!$AY$3)</f>
        <v>0</v>
      </c>
      <c r="K12" s="4">
        <f>(VLOOKUP('8.0.0'!S12,'8.0.0'!$AM$4:$AO$45,2,FALSE))*IF('8.0.0'!AV$4="是",'8.0.0'!$AY$4,'8.0.0'!$AY$3)</f>
        <v>0</v>
      </c>
      <c r="L12" s="4">
        <f>(VLOOKUP('8.0.0'!T12,'8.0.0'!$AM$4:$AO$45,2,FALSE))*IF('8.0.0'!AW$4="是",'8.0.0'!$AY$4,'8.0.0'!$AY$3)</f>
        <v>0</v>
      </c>
      <c r="M12" s="4">
        <f>(VLOOKUP('8.0.0'!U12,'8.0.0'!$AM$4:$AO$45,2,FALSE))*IF('8.0.0'!AX$4="是",'8.0.0'!$AY$4,'8.0.0'!$AY$3)</f>
        <v>0</v>
      </c>
      <c r="N12" s="4">
        <f>(VLOOKUP('8.0.0'!V12,'8.0.0'!$AM$4:$AO$45,2,FALSE))*IF('8.0.0'!AY$4="是",'8.0.0'!$AY$4,'8.0.0'!$AY$3)</f>
        <v>0</v>
      </c>
      <c r="O12" s="5">
        <f>(VLOOKUP('8.0.0'!W12,'8.0.0'!$AM$4:$AO$45,2,FALSE))*IF('8.0.0'!AZ$4="是",'8.0.0'!$AY$4,'8.0.0'!$AY$3)</f>
        <v>0</v>
      </c>
      <c r="P12" s="5">
        <f>(VLOOKUP('8.0.0'!X12,'8.0.0'!$AM$4:$AO$45,2,FALSE))*IF('8.0.0'!BA$4="是",'8.0.0'!$AY$4,'8.0.0'!$AY$3)</f>
        <v>0</v>
      </c>
      <c r="Q12" s="4">
        <f>(VLOOKUP('8.0.0'!Y12,'8.0.0'!$AM$4:$AO$45,2,FALSE))*IF('8.0.0'!BB$4="是",'8.0.0'!$AY$4,'8.0.0'!$AY$3)</f>
        <v>170</v>
      </c>
      <c r="R12" s="4">
        <f>(VLOOKUP('8.0.0'!Z12,'8.0.0'!$AM$4:$AO$45,2,FALSE))*IF('8.0.0'!BC$4="是",'8.0.0'!$AY$4,'8.0.0'!$AY$3)</f>
        <v>170</v>
      </c>
      <c r="S12" s="4">
        <f>(VLOOKUP('8.0.0'!AA12,'8.0.0'!$AM$4:$AO$45,2,FALSE))*IF('8.0.0'!BD$4="是",'8.0.0'!$AY$4,'8.0.0'!$AY$3)</f>
        <v>170</v>
      </c>
      <c r="T12" s="4">
        <f>(VLOOKUP('8.0.0'!AB12,'8.0.0'!$AM$4:$AO$45,2,FALSE))*IF('8.0.0'!BE$4="是",'8.0.0'!$AY$4,'8.0.0'!$AY$3)</f>
        <v>170</v>
      </c>
      <c r="U12" s="4">
        <f>(VLOOKUP('8.0.0'!AC12,'8.0.0'!$AM$4:$AO$45,2,FALSE))*IF('8.0.0'!BF$4="是",'8.0.0'!$AY$4,'8.0.0'!$AY$3)</f>
        <v>170</v>
      </c>
      <c r="V12" s="4">
        <f>(VLOOKUP('8.0.0'!AD12,'8.0.0'!$AM$4:$AO$45,2,FALSE))*IF('8.0.0'!BG$4="是",'8.0.0'!$AY$4,'8.0.0'!$AY$3)</f>
        <v>170</v>
      </c>
      <c r="W12" s="5">
        <f>(VLOOKUP('8.0.0'!AE12,'8.0.0'!$AM$4:$AO$45,2,FALSE))*IF('8.0.0'!BH$4="是",'8.0.0'!$AY$4,'8.0.0'!$AY$3)</f>
        <v>0</v>
      </c>
      <c r="X12" s="5">
        <f>(VLOOKUP('8.0.0'!AF12,'8.0.0'!$AM$4:$AO$45,2,FALSE))*IF('8.0.0'!BI$4="是",'8.0.0'!$AY$4,'8.0.0'!$AY$3)</f>
        <v>0</v>
      </c>
    </row>
    <row r="13" spans="1:24">
      <c r="A13" s="4">
        <f>(VLOOKUP('8.0.0'!I13,'8.0.0'!$AM$4:$AO$45,2,FALSE))*IF('8.0.0'!AK$4="是",'8.0.0'!$AY$4,'8.0.0'!$AY$3)</f>
        <v>180</v>
      </c>
      <c r="B13" s="4">
        <f>(VLOOKUP('8.0.0'!J13,'8.0.0'!$AM$4:$AO$45,2,FALSE))*IF('8.0.0'!AL$4="是",'8.0.0'!$AY$4,'8.0.0'!$AY$3)</f>
        <v>180</v>
      </c>
      <c r="C13" s="4">
        <f>(VLOOKUP('8.0.0'!K13,'8.0.0'!$AM$4:$AO$45,2,FALSE))*IF('8.0.0'!AM$4="是",'8.0.0'!$AY$4,'8.0.0'!$AY$3)</f>
        <v>180</v>
      </c>
      <c r="D13" s="4">
        <f>(VLOOKUP('8.0.0'!L13,'8.0.0'!$AM$4:$AO$45,2,FALSE))*IF('8.0.0'!AN$4="是",'8.0.0'!$AY$4,'8.0.0'!$AY$3)</f>
        <v>180</v>
      </c>
      <c r="E13" s="4">
        <f>(VLOOKUP('8.0.0'!M13,'8.0.0'!$AM$4:$AO$45,2,FALSE))*IF('8.0.0'!AO$4="是",'8.0.0'!$AY$4,'8.0.0'!$AY$3)</f>
        <v>180</v>
      </c>
      <c r="F13" s="4">
        <f>(VLOOKUP('8.0.0'!N13,'8.0.0'!$AM$4:$AO$45,2,FALSE))*IF('8.0.0'!AQ$4="是",'8.0.0'!$AY$4,'8.0.0'!$AY$3)</f>
        <v>180</v>
      </c>
      <c r="G13" s="5">
        <f>(VLOOKUP('8.0.0'!O13,'8.0.0'!$AM$4:$AO$45,2,FALSE))*IF('8.0.0'!AR$4="是",'8.0.0'!$AY$4,'8.0.0'!$AY$3)</f>
        <v>0</v>
      </c>
      <c r="H13" s="5">
        <f>(VLOOKUP('8.0.0'!P13,'8.0.0'!$AM$4:$AO$45,2,FALSE))*IF('8.0.0'!AS$4="是",'8.0.0'!$AY$4,'8.0.0'!$AY$3)</f>
        <v>0</v>
      </c>
      <c r="I13" s="4">
        <f>(VLOOKUP('8.0.0'!Q13,'8.0.0'!$AM$4:$AO$45,2,FALSE))*IF('8.0.0'!AT$4="是",'8.0.0'!$AY$4,'8.0.0'!$AY$3)</f>
        <v>0</v>
      </c>
      <c r="J13" s="4">
        <f>(VLOOKUP('8.0.0'!R13,'8.0.0'!$AM$4:$AO$45,2,FALSE))*IF('8.0.0'!AU$4="是",'8.0.0'!$AY$4,'8.0.0'!$AY$3)</f>
        <v>0</v>
      </c>
      <c r="K13" s="4">
        <f>(VLOOKUP('8.0.0'!S13,'8.0.0'!$AM$4:$AO$45,2,FALSE))*IF('8.0.0'!AV$4="是",'8.0.0'!$AY$4,'8.0.0'!$AY$3)</f>
        <v>0</v>
      </c>
      <c r="L13" s="4">
        <f>(VLOOKUP('8.0.0'!T13,'8.0.0'!$AM$4:$AO$45,2,FALSE))*IF('8.0.0'!AW$4="是",'8.0.0'!$AY$4,'8.0.0'!$AY$3)</f>
        <v>0</v>
      </c>
      <c r="M13" s="4">
        <f>(VLOOKUP('8.0.0'!U13,'8.0.0'!$AM$4:$AO$45,2,FALSE))*IF('8.0.0'!AX$4="是",'8.0.0'!$AY$4,'8.0.0'!$AY$3)</f>
        <v>0</v>
      </c>
      <c r="N13" s="4">
        <f>(VLOOKUP('8.0.0'!V13,'8.0.0'!$AM$4:$AO$45,2,FALSE))*IF('8.0.0'!AY$4="是",'8.0.0'!$AY$4,'8.0.0'!$AY$3)</f>
        <v>0</v>
      </c>
      <c r="O13" s="5">
        <f>(VLOOKUP('8.0.0'!W13,'8.0.0'!$AM$4:$AO$45,2,FALSE))*IF('8.0.0'!AZ$4="是",'8.0.0'!$AY$4,'8.0.0'!$AY$3)</f>
        <v>0</v>
      </c>
      <c r="P13" s="5">
        <f>(VLOOKUP('8.0.0'!X13,'8.0.0'!$AM$4:$AO$45,2,FALSE))*IF('8.0.0'!BA$4="是",'8.0.0'!$AY$4,'8.0.0'!$AY$3)</f>
        <v>0</v>
      </c>
      <c r="Q13" s="4">
        <f>(VLOOKUP('8.0.0'!Y13,'8.0.0'!$AM$4:$AO$45,2,FALSE))*IF('8.0.0'!BB$4="是",'8.0.0'!$AY$4,'8.0.0'!$AY$3)</f>
        <v>50</v>
      </c>
      <c r="R13" s="4">
        <f>(VLOOKUP('8.0.0'!Z13,'8.0.0'!$AM$4:$AO$45,2,FALSE))*IF('8.0.0'!BC$4="是",'8.0.0'!$AY$4,'8.0.0'!$AY$3)</f>
        <v>170</v>
      </c>
      <c r="S13" s="4">
        <f>(VLOOKUP('8.0.0'!AA13,'8.0.0'!$AM$4:$AO$45,2,FALSE))*IF('8.0.0'!BD$4="是",'8.0.0'!$AY$4,'8.0.0'!$AY$3)</f>
        <v>170</v>
      </c>
      <c r="T13" s="4">
        <f>(VLOOKUP('8.0.0'!AB13,'8.0.0'!$AM$4:$AO$45,2,FALSE))*IF('8.0.0'!BE$4="是",'8.0.0'!$AY$4,'8.0.0'!$AY$3)</f>
        <v>170</v>
      </c>
      <c r="U13" s="4">
        <f>(VLOOKUP('8.0.0'!AC13,'8.0.0'!$AM$4:$AO$45,2,FALSE))*IF('8.0.0'!BF$4="是",'8.0.0'!$AY$4,'8.0.0'!$AY$3)</f>
        <v>170</v>
      </c>
      <c r="V13" s="4">
        <f>(VLOOKUP('8.0.0'!AD13,'8.0.0'!$AM$4:$AO$45,2,FALSE))*IF('8.0.0'!BG$4="是",'8.0.0'!$AY$4,'8.0.0'!$AY$3)</f>
        <v>170</v>
      </c>
      <c r="W13" s="5">
        <f>(VLOOKUP('8.0.0'!AE13,'8.0.0'!$AM$4:$AO$45,2,FALSE))*IF('8.0.0'!BH$4="是",'8.0.0'!$AY$4,'8.0.0'!$AY$3)</f>
        <v>0</v>
      </c>
      <c r="X13" s="5">
        <f>(VLOOKUP('8.0.0'!AF13,'8.0.0'!$AM$4:$AO$45,2,FALSE))*IF('8.0.0'!BI$4="是",'8.0.0'!$AY$4,'8.0.0'!$AY$3)</f>
        <v>0</v>
      </c>
    </row>
    <row r="14" spans="1:24">
      <c r="A14" s="4">
        <f>(VLOOKUP('8.0.0'!I14,'8.0.0'!$AM$4:$AO$45,2,FALSE))*IF('8.0.0'!AK$4="是",'8.0.0'!$AY$4,'8.0.0'!$AY$3)</f>
        <v>180</v>
      </c>
      <c r="B14" s="4">
        <f>(VLOOKUP('8.0.0'!J14,'8.0.0'!$AM$4:$AO$45,2,FALSE))*IF('8.0.0'!AL$4="是",'8.0.0'!$AY$4,'8.0.0'!$AY$3)</f>
        <v>180</v>
      </c>
      <c r="C14" s="4">
        <f>(VLOOKUP('8.0.0'!K14,'8.0.0'!$AM$4:$AO$45,2,FALSE))*IF('8.0.0'!AM$4="是",'8.0.0'!$AY$4,'8.0.0'!$AY$3)</f>
        <v>180</v>
      </c>
      <c r="D14" s="4">
        <f>(VLOOKUP('8.0.0'!L14,'8.0.0'!$AM$4:$AO$45,2,FALSE))*IF('8.0.0'!AN$4="是",'8.0.0'!$AY$4,'8.0.0'!$AY$3)</f>
        <v>180</v>
      </c>
      <c r="E14" s="4">
        <f>(VLOOKUP('8.0.0'!M14,'8.0.0'!$AM$4:$AO$45,2,FALSE))*IF('8.0.0'!AO$4="是",'8.0.0'!$AY$4,'8.0.0'!$AY$3)</f>
        <v>180</v>
      </c>
      <c r="F14" s="4">
        <f>(VLOOKUP('8.0.0'!N14,'8.0.0'!$AM$4:$AO$45,2,FALSE))*IF('8.0.0'!AQ$4="是",'8.0.0'!$AY$4,'8.0.0'!$AY$3)</f>
        <v>180</v>
      </c>
      <c r="G14" s="5">
        <f>(VLOOKUP('8.0.0'!O14,'8.0.0'!$AM$4:$AO$45,2,FALSE))*IF('8.0.0'!AR$4="是",'8.0.0'!$AY$4,'8.0.0'!$AY$3)</f>
        <v>0</v>
      </c>
      <c r="H14" s="5">
        <f>(VLOOKUP('8.0.0'!P14,'8.0.0'!$AM$4:$AO$45,2,FALSE))*IF('8.0.0'!AS$4="是",'8.0.0'!$AY$4,'8.0.0'!$AY$3)</f>
        <v>0</v>
      </c>
      <c r="I14" s="4">
        <f>(VLOOKUP('8.0.0'!Q14,'8.0.0'!$AM$4:$AO$45,2,FALSE))*IF('8.0.0'!AT$4="是",'8.0.0'!$AY$4,'8.0.0'!$AY$3)</f>
        <v>0</v>
      </c>
      <c r="J14" s="4">
        <f>(VLOOKUP('8.0.0'!R14,'8.0.0'!$AM$4:$AO$45,2,FALSE))*IF('8.0.0'!AU$4="是",'8.0.0'!$AY$4,'8.0.0'!$AY$3)</f>
        <v>0</v>
      </c>
      <c r="K14" s="4">
        <f>(VLOOKUP('8.0.0'!S14,'8.0.0'!$AM$4:$AO$45,2,FALSE))*IF('8.0.0'!AV$4="是",'8.0.0'!$AY$4,'8.0.0'!$AY$3)</f>
        <v>0</v>
      </c>
      <c r="L14" s="4">
        <f>(VLOOKUP('8.0.0'!T14,'8.0.0'!$AM$4:$AO$45,2,FALSE))*IF('8.0.0'!AW$4="是",'8.0.0'!$AY$4,'8.0.0'!$AY$3)</f>
        <v>0</v>
      </c>
      <c r="M14" s="4">
        <f>(VLOOKUP('8.0.0'!U14,'8.0.0'!$AM$4:$AO$45,2,FALSE))*IF('8.0.0'!AX$4="是",'8.0.0'!$AY$4,'8.0.0'!$AY$3)</f>
        <v>0</v>
      </c>
      <c r="N14" s="4">
        <f>(VLOOKUP('8.0.0'!V14,'8.0.0'!$AM$4:$AO$45,2,FALSE))*IF('8.0.0'!AY$4="是",'8.0.0'!$AY$4,'8.0.0'!$AY$3)</f>
        <v>0</v>
      </c>
      <c r="O14" s="5">
        <f>(VLOOKUP('8.0.0'!W14,'8.0.0'!$AM$4:$AO$45,2,FALSE))*IF('8.0.0'!AZ$4="是",'8.0.0'!$AY$4,'8.0.0'!$AY$3)</f>
        <v>0</v>
      </c>
      <c r="P14" s="5">
        <f>(VLOOKUP('8.0.0'!X14,'8.0.0'!$AM$4:$AO$45,2,FALSE))*IF('8.0.0'!BA$4="是",'8.0.0'!$AY$4,'8.0.0'!$AY$3)</f>
        <v>0</v>
      </c>
      <c r="Q14" s="4">
        <f>(VLOOKUP('8.0.0'!Y14,'8.0.0'!$AM$4:$AO$45,2,FALSE))*IF('8.0.0'!BB$4="是",'8.0.0'!$AY$4,'8.0.0'!$AY$3)</f>
        <v>170</v>
      </c>
      <c r="R14" s="4">
        <f>(VLOOKUP('8.0.0'!Z14,'8.0.0'!$AM$4:$AO$45,2,FALSE))*IF('8.0.0'!BC$4="是",'8.0.0'!$AY$4,'8.0.0'!$AY$3)</f>
        <v>170</v>
      </c>
      <c r="S14" s="4">
        <f>(VLOOKUP('8.0.0'!AA14,'8.0.0'!$AM$4:$AO$45,2,FALSE))*IF('8.0.0'!BD$4="是",'8.0.0'!$AY$4,'8.0.0'!$AY$3)</f>
        <v>170</v>
      </c>
      <c r="T14" s="4">
        <f>(VLOOKUP('8.0.0'!AB14,'8.0.0'!$AM$4:$AO$45,2,FALSE))*IF('8.0.0'!BE$4="是",'8.0.0'!$AY$4,'8.0.0'!$AY$3)</f>
        <v>170</v>
      </c>
      <c r="U14" s="4">
        <f>(VLOOKUP('8.0.0'!AC14,'8.0.0'!$AM$4:$AO$45,2,FALSE))*IF('8.0.0'!BF$4="是",'8.0.0'!$AY$4,'8.0.0'!$AY$3)</f>
        <v>170</v>
      </c>
      <c r="V14" s="4">
        <f>(VLOOKUP('8.0.0'!AD14,'8.0.0'!$AM$4:$AO$45,2,FALSE))*IF('8.0.0'!BG$4="是",'8.0.0'!$AY$4,'8.0.0'!$AY$3)</f>
        <v>170</v>
      </c>
      <c r="W14" s="5">
        <f>(VLOOKUP('8.0.0'!AE14,'8.0.0'!$AM$4:$AO$45,2,FALSE))*IF('8.0.0'!BH$4="是",'8.0.0'!$AY$4,'8.0.0'!$AY$3)</f>
        <v>0</v>
      </c>
      <c r="X14" s="5">
        <f>(VLOOKUP('8.0.0'!AF14,'8.0.0'!$AM$4:$AO$45,2,FALSE))*IF('8.0.0'!BI$4="是",'8.0.0'!$AY$4,'8.0.0'!$AY$3)</f>
        <v>0</v>
      </c>
    </row>
    <row r="15" spans="1:24">
      <c r="A15" s="4">
        <f>(VLOOKUP('8.0.0'!I15,'8.0.0'!$AM$4:$AO$45,2,FALSE))*IF('8.0.0'!AK$4="是",'8.0.0'!$AY$4,'8.0.0'!$AY$3)</f>
        <v>180</v>
      </c>
      <c r="B15" s="4">
        <f>(VLOOKUP('8.0.0'!J15,'8.0.0'!$AM$4:$AO$45,2,FALSE))*IF('8.0.0'!AL$4="是",'8.0.0'!$AY$4,'8.0.0'!$AY$3)</f>
        <v>180</v>
      </c>
      <c r="C15" s="4">
        <f>(VLOOKUP('8.0.0'!K15,'8.0.0'!$AM$4:$AO$45,2,FALSE))*IF('8.0.0'!AM$4="是",'8.0.0'!$AY$4,'8.0.0'!$AY$3)</f>
        <v>180</v>
      </c>
      <c r="D15" s="4">
        <f>(VLOOKUP('8.0.0'!L15,'8.0.0'!$AM$4:$AO$45,2,FALSE))*IF('8.0.0'!AN$4="是",'8.0.0'!$AY$4,'8.0.0'!$AY$3)</f>
        <v>180</v>
      </c>
      <c r="E15" s="4">
        <f>(VLOOKUP('8.0.0'!M15,'8.0.0'!$AM$4:$AO$45,2,FALSE))*IF('8.0.0'!AO$4="是",'8.0.0'!$AY$4,'8.0.0'!$AY$3)</f>
        <v>180</v>
      </c>
      <c r="F15" s="4">
        <f>(VLOOKUP('8.0.0'!N15,'8.0.0'!$AM$4:$AO$45,2,FALSE))*IF('8.0.0'!AQ$4="是",'8.0.0'!$AY$4,'8.0.0'!$AY$3)</f>
        <v>180</v>
      </c>
      <c r="G15" s="5">
        <f>(VLOOKUP('8.0.0'!O15,'8.0.0'!$AM$4:$AO$45,2,FALSE))*IF('8.0.0'!AR$4="是",'8.0.0'!$AY$4,'8.0.0'!$AY$3)</f>
        <v>0</v>
      </c>
      <c r="H15" s="5">
        <f>(VLOOKUP('8.0.0'!P15,'8.0.0'!$AM$4:$AO$45,2,FALSE))*IF('8.0.0'!AS$4="是",'8.0.0'!$AY$4,'8.0.0'!$AY$3)</f>
        <v>0</v>
      </c>
      <c r="I15" s="4">
        <f>(VLOOKUP('8.0.0'!Q15,'8.0.0'!$AM$4:$AO$45,2,FALSE))*IF('8.0.0'!AT$4="是",'8.0.0'!$AY$4,'8.0.0'!$AY$3)</f>
        <v>0</v>
      </c>
      <c r="J15" s="4">
        <f>(VLOOKUP('8.0.0'!R15,'8.0.0'!$AM$4:$AO$45,2,FALSE))*IF('8.0.0'!AU$4="是",'8.0.0'!$AY$4,'8.0.0'!$AY$3)</f>
        <v>0</v>
      </c>
      <c r="K15" s="4">
        <f>(VLOOKUP('8.0.0'!S15,'8.0.0'!$AM$4:$AO$45,2,FALSE))*IF('8.0.0'!AV$4="是",'8.0.0'!$AY$4,'8.0.0'!$AY$3)</f>
        <v>0</v>
      </c>
      <c r="L15" s="4">
        <f>(VLOOKUP('8.0.0'!T15,'8.0.0'!$AM$4:$AO$45,2,FALSE))*IF('8.0.0'!AW$4="是",'8.0.0'!$AY$4,'8.0.0'!$AY$3)</f>
        <v>0</v>
      </c>
      <c r="M15" s="4">
        <f>(VLOOKUP('8.0.0'!U15,'8.0.0'!$AM$4:$AO$45,2,FALSE))*IF('8.0.0'!AX$4="是",'8.0.0'!$AY$4,'8.0.0'!$AY$3)</f>
        <v>0</v>
      </c>
      <c r="N15" s="4">
        <f>(VLOOKUP('8.0.0'!V15,'8.0.0'!$AM$4:$AO$45,2,FALSE))*IF('8.0.0'!AY$4="是",'8.0.0'!$AY$4,'8.0.0'!$AY$3)</f>
        <v>0</v>
      </c>
      <c r="O15" s="5">
        <f>(VLOOKUP('8.0.0'!W15,'8.0.0'!$AM$4:$AO$45,2,FALSE))*IF('8.0.0'!AZ$4="是",'8.0.0'!$AY$4,'8.0.0'!$AY$3)</f>
        <v>0</v>
      </c>
      <c r="P15" s="5">
        <f>(VLOOKUP('8.0.0'!X15,'8.0.0'!$AM$4:$AO$45,2,FALSE))*IF('8.0.0'!BA$4="是",'8.0.0'!$AY$4,'8.0.0'!$AY$3)</f>
        <v>0</v>
      </c>
      <c r="Q15" s="4">
        <f>(VLOOKUP('8.0.0'!Y15,'8.0.0'!$AM$4:$AO$45,2,FALSE))*IF('8.0.0'!BB$4="是",'8.0.0'!$AY$4,'8.0.0'!$AY$3)</f>
        <v>170</v>
      </c>
      <c r="R15" s="4">
        <f>(VLOOKUP('8.0.0'!Z15,'8.0.0'!$AM$4:$AO$45,2,FALSE))*IF('8.0.0'!BC$4="是",'8.0.0'!$AY$4,'8.0.0'!$AY$3)</f>
        <v>170</v>
      </c>
      <c r="S15" s="4">
        <f>(VLOOKUP('8.0.0'!AA15,'8.0.0'!$AM$4:$AO$45,2,FALSE))*IF('8.0.0'!BD$4="是",'8.0.0'!$AY$4,'8.0.0'!$AY$3)</f>
        <v>170</v>
      </c>
      <c r="T15" s="4">
        <f>(VLOOKUP('8.0.0'!AB15,'8.0.0'!$AM$4:$AO$45,2,FALSE))*IF('8.0.0'!BE$4="是",'8.0.0'!$AY$4,'8.0.0'!$AY$3)</f>
        <v>170</v>
      </c>
      <c r="U15" s="4">
        <f>(VLOOKUP('8.0.0'!AC15,'8.0.0'!$AM$4:$AO$45,2,FALSE))*IF('8.0.0'!BF$4="是",'8.0.0'!$AY$4,'8.0.0'!$AY$3)</f>
        <v>170</v>
      </c>
      <c r="V15" s="4">
        <f>(VLOOKUP('8.0.0'!AD15,'8.0.0'!$AM$4:$AO$45,2,FALSE))*IF('8.0.0'!BG$4="是",'8.0.0'!$AY$4,'8.0.0'!$AY$3)</f>
        <v>170</v>
      </c>
      <c r="W15" s="5">
        <f>(VLOOKUP('8.0.0'!AE15,'8.0.0'!$AM$4:$AO$45,2,FALSE))*IF('8.0.0'!BH$4="是",'8.0.0'!$AY$4,'8.0.0'!$AY$3)</f>
        <v>0</v>
      </c>
      <c r="X15" s="5">
        <f>(VLOOKUP('8.0.0'!AF15,'8.0.0'!$AM$4:$AO$45,2,FALSE))*IF('8.0.0'!BI$4="是",'8.0.0'!$AY$4,'8.0.0'!$AY$3)</f>
        <v>0</v>
      </c>
    </row>
    <row r="16" spans="1:24">
      <c r="A16" s="4">
        <f>(VLOOKUP('8.0.0'!I16,'8.0.0'!$AM$4:$AO$45,2,FALSE))*IF('8.0.0'!AK$4="是",'8.0.0'!$AY$4,'8.0.0'!$AY$3)</f>
        <v>180</v>
      </c>
      <c r="B16" s="4">
        <f>(VLOOKUP('8.0.0'!J16,'8.0.0'!$AM$4:$AO$45,2,FALSE))*IF('8.0.0'!AL$4="是",'8.0.0'!$AY$4,'8.0.0'!$AY$3)</f>
        <v>180</v>
      </c>
      <c r="C16" s="4">
        <f>(VLOOKUP('8.0.0'!K16,'8.0.0'!$AM$4:$AO$45,2,FALSE))*IF('8.0.0'!AM$4="是",'8.0.0'!$AY$4,'8.0.0'!$AY$3)</f>
        <v>180</v>
      </c>
      <c r="D16" s="4">
        <f>(VLOOKUP('8.0.0'!L16,'8.0.0'!$AM$4:$AO$45,2,FALSE))*IF('8.0.0'!AN$4="是",'8.0.0'!$AY$4,'8.0.0'!$AY$3)</f>
        <v>180</v>
      </c>
      <c r="E16" s="4">
        <f>(VLOOKUP('8.0.0'!M16,'8.0.0'!$AM$4:$AO$45,2,FALSE))*IF('8.0.0'!AO$4="是",'8.0.0'!$AY$4,'8.0.0'!$AY$3)</f>
        <v>180</v>
      </c>
      <c r="F16" s="4">
        <f>(VLOOKUP('8.0.0'!N16,'8.0.0'!$AM$4:$AO$45,2,FALSE))*IF('8.0.0'!AQ$4="是",'8.0.0'!$AY$4,'8.0.0'!$AY$3)</f>
        <v>180</v>
      </c>
      <c r="G16" s="5">
        <f>(VLOOKUP('8.0.0'!O16,'8.0.0'!$AM$4:$AO$45,2,FALSE))*IF('8.0.0'!AR$4="是",'8.0.0'!$AY$4,'8.0.0'!$AY$3)</f>
        <v>0</v>
      </c>
      <c r="H16" s="5">
        <f>(VLOOKUP('8.0.0'!P16,'8.0.0'!$AM$4:$AO$45,2,FALSE))*IF('8.0.0'!AS$4="是",'8.0.0'!$AY$4,'8.0.0'!$AY$3)</f>
        <v>0</v>
      </c>
      <c r="I16" s="4">
        <f>(VLOOKUP('8.0.0'!Q16,'8.0.0'!$AM$4:$AO$45,2,FALSE))*IF('8.0.0'!AT$4="是",'8.0.0'!$AY$4,'8.0.0'!$AY$3)</f>
        <v>0</v>
      </c>
      <c r="J16" s="4">
        <f>(VLOOKUP('8.0.0'!R16,'8.0.0'!$AM$4:$AO$45,2,FALSE))*IF('8.0.0'!AU$4="是",'8.0.0'!$AY$4,'8.0.0'!$AY$3)</f>
        <v>0</v>
      </c>
      <c r="K16" s="4">
        <f>(VLOOKUP('8.0.0'!S16,'8.0.0'!$AM$4:$AO$45,2,FALSE))*IF('8.0.0'!AV$4="是",'8.0.0'!$AY$4,'8.0.0'!$AY$3)</f>
        <v>0</v>
      </c>
      <c r="L16" s="4">
        <f>(VLOOKUP('8.0.0'!T16,'8.0.0'!$AM$4:$AO$45,2,FALSE))*IF('8.0.0'!AW$4="是",'8.0.0'!$AY$4,'8.0.0'!$AY$3)</f>
        <v>0</v>
      </c>
      <c r="M16" s="4">
        <f>(VLOOKUP('8.0.0'!U16,'8.0.0'!$AM$4:$AO$45,2,FALSE))*IF('8.0.0'!AX$4="是",'8.0.0'!$AY$4,'8.0.0'!$AY$3)</f>
        <v>0</v>
      </c>
      <c r="N16" s="4">
        <f>(VLOOKUP('8.0.0'!V16,'8.0.0'!$AM$4:$AO$45,2,FALSE))*IF('8.0.0'!AY$4="是",'8.0.0'!$AY$4,'8.0.0'!$AY$3)</f>
        <v>0</v>
      </c>
      <c r="O16" s="5">
        <f>(VLOOKUP('8.0.0'!W16,'8.0.0'!$AM$4:$AO$45,2,FALSE))*IF('8.0.0'!AZ$4="是",'8.0.0'!$AY$4,'8.0.0'!$AY$3)</f>
        <v>0</v>
      </c>
      <c r="P16" s="5">
        <f>(VLOOKUP('8.0.0'!X16,'8.0.0'!$AM$4:$AO$45,2,FALSE))*IF('8.0.0'!BA$4="是",'8.0.0'!$AY$4,'8.0.0'!$AY$3)</f>
        <v>0</v>
      </c>
      <c r="Q16" s="4">
        <f>(VLOOKUP('8.0.0'!Y16,'8.0.0'!$AM$4:$AO$45,2,FALSE))*IF('8.0.0'!BB$4="是",'8.0.0'!$AY$4,'8.0.0'!$AY$3)</f>
        <v>170</v>
      </c>
      <c r="R16" s="4">
        <f>(VLOOKUP('8.0.0'!Z16,'8.0.0'!$AM$4:$AO$45,2,FALSE))*IF('8.0.0'!BC$4="是",'8.0.0'!$AY$4,'8.0.0'!$AY$3)</f>
        <v>170</v>
      </c>
      <c r="S16" s="4">
        <f>(VLOOKUP('8.0.0'!AA16,'8.0.0'!$AM$4:$AO$45,2,FALSE))*IF('8.0.0'!BD$4="是",'8.0.0'!$AY$4,'8.0.0'!$AY$3)</f>
        <v>170</v>
      </c>
      <c r="T16" s="4">
        <f>(VLOOKUP('8.0.0'!AB16,'8.0.0'!$AM$4:$AO$45,2,FALSE))*IF('8.0.0'!BE$4="是",'8.0.0'!$AY$4,'8.0.0'!$AY$3)</f>
        <v>170</v>
      </c>
      <c r="U16" s="4">
        <f>(VLOOKUP('8.0.0'!AC16,'8.0.0'!$AM$4:$AO$45,2,FALSE))*IF('8.0.0'!BF$4="是",'8.0.0'!$AY$4,'8.0.0'!$AY$3)</f>
        <v>170</v>
      </c>
      <c r="V16" s="4">
        <f>(VLOOKUP('8.0.0'!AD16,'8.0.0'!$AM$4:$AO$45,2,FALSE))*IF('8.0.0'!BG$4="是",'8.0.0'!$AY$4,'8.0.0'!$AY$3)</f>
        <v>170</v>
      </c>
      <c r="W16" s="5">
        <f>(VLOOKUP('8.0.0'!AE16,'8.0.0'!$AM$4:$AO$45,2,FALSE))*IF('8.0.0'!BH$4="是",'8.0.0'!$AY$4,'8.0.0'!$AY$3)</f>
        <v>0</v>
      </c>
      <c r="X16" s="5">
        <f>(VLOOKUP('8.0.0'!AF16,'8.0.0'!$AM$4:$AO$45,2,FALSE))*IF('8.0.0'!BI$4="是",'8.0.0'!$AY$4,'8.0.0'!$AY$3)</f>
        <v>0</v>
      </c>
    </row>
    <row r="17" spans="1:24">
      <c r="A17" s="4">
        <f>(VLOOKUP('8.0.0'!I17,'8.0.0'!$AM$4:$AO$45,2,FALSE))*IF('8.0.0'!AK$4="是",'8.0.0'!$AY$4,'8.0.0'!$AY$3)</f>
        <v>180</v>
      </c>
      <c r="B17" s="4">
        <f>(VLOOKUP('8.0.0'!J17,'8.0.0'!$AM$4:$AO$45,2,FALSE))*IF('8.0.0'!AL$4="是",'8.0.0'!$AY$4,'8.0.0'!$AY$3)</f>
        <v>180</v>
      </c>
      <c r="C17" s="4">
        <f>(VLOOKUP('8.0.0'!K17,'8.0.0'!$AM$4:$AO$45,2,FALSE))*IF('8.0.0'!AM$4="是",'8.0.0'!$AY$4,'8.0.0'!$AY$3)</f>
        <v>180</v>
      </c>
      <c r="D17" s="4">
        <f>(VLOOKUP('8.0.0'!L17,'8.0.0'!$AM$4:$AO$45,2,FALSE))*IF('8.0.0'!AN$4="是",'8.0.0'!$AY$4,'8.0.0'!$AY$3)</f>
        <v>180</v>
      </c>
      <c r="E17" s="4">
        <f>(VLOOKUP('8.0.0'!M17,'8.0.0'!$AM$4:$AO$45,2,FALSE))*IF('8.0.0'!AO$4="是",'8.0.0'!$AY$4,'8.0.0'!$AY$3)</f>
        <v>180</v>
      </c>
      <c r="F17" s="4">
        <f>(VLOOKUP('8.0.0'!N17,'8.0.0'!$AM$4:$AO$45,2,FALSE))*IF('8.0.0'!AQ$4="是",'8.0.0'!$AY$4,'8.0.0'!$AY$3)</f>
        <v>180</v>
      </c>
      <c r="G17" s="5">
        <f>(VLOOKUP('8.0.0'!O17,'8.0.0'!$AM$4:$AO$45,2,FALSE))*IF('8.0.0'!AR$4="是",'8.0.0'!$AY$4,'8.0.0'!$AY$3)</f>
        <v>0</v>
      </c>
      <c r="H17" s="5">
        <f>(VLOOKUP('8.0.0'!P17,'8.0.0'!$AM$4:$AO$45,2,FALSE))*IF('8.0.0'!AS$4="是",'8.0.0'!$AY$4,'8.0.0'!$AY$3)</f>
        <v>0</v>
      </c>
      <c r="I17" s="4">
        <f>(VLOOKUP('8.0.0'!Q17,'8.0.0'!$AM$4:$AO$45,2,FALSE))*IF('8.0.0'!AT$4="是",'8.0.0'!$AY$4,'8.0.0'!$AY$3)</f>
        <v>0</v>
      </c>
      <c r="J17" s="4">
        <f>(VLOOKUP('8.0.0'!R17,'8.0.0'!$AM$4:$AO$45,2,FALSE))*IF('8.0.0'!AU$4="是",'8.0.0'!$AY$4,'8.0.0'!$AY$3)</f>
        <v>0</v>
      </c>
      <c r="K17" s="4">
        <f>(VLOOKUP('8.0.0'!S17,'8.0.0'!$AM$4:$AO$45,2,FALSE))*IF('8.0.0'!AV$4="是",'8.0.0'!$AY$4,'8.0.0'!$AY$3)</f>
        <v>0</v>
      </c>
      <c r="L17" s="4">
        <f>(VLOOKUP('8.0.0'!T17,'8.0.0'!$AM$4:$AO$45,2,FALSE))*IF('8.0.0'!AW$4="是",'8.0.0'!$AY$4,'8.0.0'!$AY$3)</f>
        <v>0</v>
      </c>
      <c r="M17" s="4">
        <f>(VLOOKUP('8.0.0'!U17,'8.0.0'!$AM$4:$AO$45,2,FALSE))*IF('8.0.0'!AX$4="是",'8.0.0'!$AY$4,'8.0.0'!$AY$3)</f>
        <v>0</v>
      </c>
      <c r="N17" s="4">
        <f>(VLOOKUP('8.0.0'!V17,'8.0.0'!$AM$4:$AO$45,2,FALSE))*IF('8.0.0'!AY$4="是",'8.0.0'!$AY$4,'8.0.0'!$AY$3)</f>
        <v>0</v>
      </c>
      <c r="O17" s="5">
        <f>(VLOOKUP('8.0.0'!W17,'8.0.0'!$AM$4:$AO$45,2,FALSE))*IF('8.0.0'!AZ$4="是",'8.0.0'!$AY$4,'8.0.0'!$AY$3)</f>
        <v>0</v>
      </c>
      <c r="P17" s="5">
        <f>(VLOOKUP('8.0.0'!X17,'8.0.0'!$AM$4:$AO$45,2,FALSE))*IF('8.0.0'!BA$4="是",'8.0.0'!$AY$4,'8.0.0'!$AY$3)</f>
        <v>0</v>
      </c>
      <c r="Q17" s="4">
        <f>(VLOOKUP('8.0.0'!Y17,'8.0.0'!$AM$4:$AO$45,2,FALSE))*IF('8.0.0'!BB$4="是",'8.0.0'!$AY$4,'8.0.0'!$AY$3)</f>
        <v>170</v>
      </c>
      <c r="R17" s="4">
        <f>(VLOOKUP('8.0.0'!Z17,'8.0.0'!$AM$4:$AO$45,2,FALSE))*IF('8.0.0'!BC$4="是",'8.0.0'!$AY$4,'8.0.0'!$AY$3)</f>
        <v>50</v>
      </c>
      <c r="S17" s="4">
        <f>(VLOOKUP('8.0.0'!AA17,'8.0.0'!$AM$4:$AO$45,2,FALSE))*IF('8.0.0'!BD$4="是",'8.0.0'!$AY$4,'8.0.0'!$AY$3)</f>
        <v>170</v>
      </c>
      <c r="T17" s="4">
        <f>(VLOOKUP('8.0.0'!AB17,'8.0.0'!$AM$4:$AO$45,2,FALSE))*IF('8.0.0'!BE$4="是",'8.0.0'!$AY$4,'8.0.0'!$AY$3)</f>
        <v>170</v>
      </c>
      <c r="U17" s="4">
        <f>(VLOOKUP('8.0.0'!AC17,'8.0.0'!$AM$4:$AO$45,2,FALSE))*IF('8.0.0'!BF$4="是",'8.0.0'!$AY$4,'8.0.0'!$AY$3)</f>
        <v>170</v>
      </c>
      <c r="V17" s="4">
        <f>(VLOOKUP('8.0.0'!AD17,'8.0.0'!$AM$4:$AO$45,2,FALSE))*IF('8.0.0'!BG$4="是",'8.0.0'!$AY$4,'8.0.0'!$AY$3)</f>
        <v>170</v>
      </c>
      <c r="W17" s="5">
        <f>(VLOOKUP('8.0.0'!AE17,'8.0.0'!$AM$4:$AO$45,2,FALSE))*IF('8.0.0'!BH$4="是",'8.0.0'!$AY$4,'8.0.0'!$AY$3)</f>
        <v>0</v>
      </c>
      <c r="X17" s="5">
        <f>(VLOOKUP('8.0.0'!AF17,'8.0.0'!$AM$4:$AO$45,2,FALSE))*IF('8.0.0'!BI$4="是",'8.0.0'!$AY$4,'8.0.0'!$AY$3)</f>
        <v>0</v>
      </c>
    </row>
    <row r="18" spans="1:24">
      <c r="A18" s="4">
        <f>(VLOOKUP('8.0.0'!I18,'8.0.0'!$AM$4:$AO$45,2,FALSE))*IF('8.0.0'!AK$4="是",'8.0.0'!$AY$4,'8.0.0'!$AY$3)</f>
        <v>180</v>
      </c>
      <c r="B18" s="4">
        <f>(VLOOKUP('8.0.0'!J18,'8.0.0'!$AM$4:$AO$45,2,FALSE))*IF('8.0.0'!AL$4="是",'8.0.0'!$AY$4,'8.0.0'!$AY$3)</f>
        <v>180</v>
      </c>
      <c r="C18" s="4">
        <f>(VLOOKUP('8.0.0'!K18,'8.0.0'!$AM$4:$AO$45,2,FALSE))*IF('8.0.0'!AM$4="是",'8.0.0'!$AY$4,'8.0.0'!$AY$3)</f>
        <v>180</v>
      </c>
      <c r="D18" s="4">
        <f>(VLOOKUP('8.0.0'!L18,'8.0.0'!$AM$4:$AO$45,2,FALSE))*IF('8.0.0'!AN$4="是",'8.0.0'!$AY$4,'8.0.0'!$AY$3)</f>
        <v>180</v>
      </c>
      <c r="E18" s="4">
        <f>(VLOOKUP('8.0.0'!M18,'8.0.0'!$AM$4:$AO$45,2,FALSE))*IF('8.0.0'!AO$4="是",'8.0.0'!$AY$4,'8.0.0'!$AY$3)</f>
        <v>180</v>
      </c>
      <c r="F18" s="4">
        <f>(VLOOKUP('8.0.0'!N18,'8.0.0'!$AM$4:$AO$45,2,FALSE))*IF('8.0.0'!AQ$4="是",'8.0.0'!$AY$4,'8.0.0'!$AY$3)</f>
        <v>180</v>
      </c>
      <c r="G18" s="5">
        <f>(VLOOKUP('8.0.0'!O18,'8.0.0'!$AM$4:$AO$45,2,FALSE))*IF('8.0.0'!AR$4="是",'8.0.0'!$AY$4,'8.0.0'!$AY$3)</f>
        <v>0</v>
      </c>
      <c r="H18" s="5">
        <f>(VLOOKUP('8.0.0'!P18,'8.0.0'!$AM$4:$AO$45,2,FALSE))*IF('8.0.0'!AS$4="是",'8.0.0'!$AY$4,'8.0.0'!$AY$3)</f>
        <v>0</v>
      </c>
      <c r="I18" s="4">
        <f>(VLOOKUP('8.0.0'!Q18,'8.0.0'!$AM$4:$AO$45,2,FALSE))*IF('8.0.0'!AT$4="是",'8.0.0'!$AY$4,'8.0.0'!$AY$3)</f>
        <v>0</v>
      </c>
      <c r="J18" s="4">
        <f>(VLOOKUP('8.0.0'!R18,'8.0.0'!$AM$4:$AO$45,2,FALSE))*IF('8.0.0'!AU$4="是",'8.0.0'!$AY$4,'8.0.0'!$AY$3)</f>
        <v>0</v>
      </c>
      <c r="K18" s="4">
        <f>(VLOOKUP('8.0.0'!S18,'8.0.0'!$AM$4:$AO$45,2,FALSE))*IF('8.0.0'!AV$4="是",'8.0.0'!$AY$4,'8.0.0'!$AY$3)</f>
        <v>0</v>
      </c>
      <c r="L18" s="4">
        <f>(VLOOKUP('8.0.0'!T18,'8.0.0'!$AM$4:$AO$45,2,FALSE))*IF('8.0.0'!AW$4="是",'8.0.0'!$AY$4,'8.0.0'!$AY$3)</f>
        <v>0</v>
      </c>
      <c r="M18" s="4">
        <f>(VLOOKUP('8.0.0'!U18,'8.0.0'!$AM$4:$AO$45,2,FALSE))*IF('8.0.0'!AX$4="是",'8.0.0'!$AY$4,'8.0.0'!$AY$3)</f>
        <v>0</v>
      </c>
      <c r="N18" s="4">
        <f>(VLOOKUP('8.0.0'!V18,'8.0.0'!$AM$4:$AO$45,2,FALSE))*IF('8.0.0'!AY$4="是",'8.0.0'!$AY$4,'8.0.0'!$AY$3)</f>
        <v>0</v>
      </c>
      <c r="O18" s="5">
        <f>(VLOOKUP('8.0.0'!W18,'8.0.0'!$AM$4:$AO$45,2,FALSE))*IF('8.0.0'!AZ$4="是",'8.0.0'!$AY$4,'8.0.0'!$AY$3)</f>
        <v>0</v>
      </c>
      <c r="P18" s="5">
        <f>(VLOOKUP('8.0.0'!X18,'8.0.0'!$AM$4:$AO$45,2,FALSE))*IF('8.0.0'!BA$4="是",'8.0.0'!$AY$4,'8.0.0'!$AY$3)</f>
        <v>0</v>
      </c>
      <c r="Q18" s="4">
        <f>(VLOOKUP('8.0.0'!Y18,'8.0.0'!$AM$4:$AO$45,2,FALSE))*IF('8.0.0'!BB$4="是",'8.0.0'!$AY$4,'8.0.0'!$AY$3)</f>
        <v>170</v>
      </c>
      <c r="R18" s="4">
        <f>(VLOOKUP('8.0.0'!Z18,'8.0.0'!$AM$4:$AO$45,2,FALSE))*IF('8.0.0'!BC$4="是",'8.0.0'!$AY$4,'8.0.0'!$AY$3)</f>
        <v>170</v>
      </c>
      <c r="S18" s="4">
        <f>(VLOOKUP('8.0.0'!AA18,'8.0.0'!$AM$4:$AO$45,2,FALSE))*IF('8.0.0'!BD$4="是",'8.0.0'!$AY$4,'8.0.0'!$AY$3)</f>
        <v>170</v>
      </c>
      <c r="T18" s="4">
        <f>(VLOOKUP('8.0.0'!AB18,'8.0.0'!$AM$4:$AO$45,2,FALSE))*IF('8.0.0'!BE$4="是",'8.0.0'!$AY$4,'8.0.0'!$AY$3)</f>
        <v>170</v>
      </c>
      <c r="U18" s="4">
        <f>(VLOOKUP('8.0.0'!AC18,'8.0.0'!$AM$4:$AO$45,2,FALSE))*IF('8.0.0'!BF$4="是",'8.0.0'!$AY$4,'8.0.0'!$AY$3)</f>
        <v>150</v>
      </c>
      <c r="V18" s="4">
        <f>(VLOOKUP('8.0.0'!AD18,'8.0.0'!$AM$4:$AO$45,2,FALSE))*IF('8.0.0'!BG$4="是",'8.0.0'!$AY$4,'8.0.0'!$AY$3)</f>
        <v>170</v>
      </c>
      <c r="W18" s="5">
        <f>(VLOOKUP('8.0.0'!AE18,'8.0.0'!$AM$4:$AO$45,2,FALSE))*IF('8.0.0'!BH$4="是",'8.0.0'!$AY$4,'8.0.0'!$AY$3)</f>
        <v>0</v>
      </c>
      <c r="X18" s="5">
        <f>(VLOOKUP('8.0.0'!AF18,'8.0.0'!$AM$4:$AO$45,2,FALSE))*IF('8.0.0'!BI$4="是",'8.0.0'!$AY$4,'8.0.0'!$AY$3)</f>
        <v>0</v>
      </c>
    </row>
    <row r="19" spans="1:24">
      <c r="A19" s="4">
        <f>(VLOOKUP('8.0.0'!I19,'8.0.0'!$AM$4:$AO$45,2,FALSE))*IF('8.0.0'!AK$4="是",'8.0.0'!$AY$4,'8.0.0'!$AY$3)</f>
        <v>180</v>
      </c>
      <c r="B19" s="4">
        <f>(VLOOKUP('8.0.0'!J19,'8.0.0'!$AM$4:$AO$45,2,FALSE))*IF('8.0.0'!AL$4="是",'8.0.0'!$AY$4,'8.0.0'!$AY$3)</f>
        <v>180</v>
      </c>
      <c r="C19" s="4">
        <f>(VLOOKUP('8.0.0'!K19,'8.0.0'!$AM$4:$AO$45,2,FALSE))*IF('8.0.0'!AM$4="是",'8.0.0'!$AY$4,'8.0.0'!$AY$3)</f>
        <v>180</v>
      </c>
      <c r="D19" s="4">
        <f>(VLOOKUP('8.0.0'!L19,'8.0.0'!$AM$4:$AO$45,2,FALSE))*IF('8.0.0'!AN$4="是",'8.0.0'!$AY$4,'8.0.0'!$AY$3)</f>
        <v>180</v>
      </c>
      <c r="E19" s="4">
        <f>(VLOOKUP('8.0.0'!M19,'8.0.0'!$AM$4:$AO$45,2,FALSE))*IF('8.0.0'!AO$4="是",'8.0.0'!$AY$4,'8.0.0'!$AY$3)</f>
        <v>180</v>
      </c>
      <c r="F19" s="4">
        <f>(VLOOKUP('8.0.0'!N19,'8.0.0'!$AM$4:$AO$45,2,FALSE))*IF('8.0.0'!AQ$4="是",'8.0.0'!$AY$4,'8.0.0'!$AY$3)</f>
        <v>180</v>
      </c>
      <c r="G19" s="5">
        <f>(VLOOKUP('8.0.0'!O19,'8.0.0'!$AM$4:$AO$45,2,FALSE))*IF('8.0.0'!AR$4="是",'8.0.0'!$AY$4,'8.0.0'!$AY$3)</f>
        <v>0</v>
      </c>
      <c r="H19" s="5">
        <f>(VLOOKUP('8.0.0'!P19,'8.0.0'!$AM$4:$AO$45,2,FALSE))*IF('8.0.0'!AS$4="是",'8.0.0'!$AY$4,'8.0.0'!$AY$3)</f>
        <v>0</v>
      </c>
      <c r="I19" s="4">
        <f>(VLOOKUP('8.0.0'!Q19,'8.0.0'!$AM$4:$AO$45,2,FALSE))*IF('8.0.0'!AT$4="是",'8.0.0'!$AY$4,'8.0.0'!$AY$3)</f>
        <v>0</v>
      </c>
      <c r="J19" s="4">
        <f>(VLOOKUP('8.0.0'!R19,'8.0.0'!$AM$4:$AO$45,2,FALSE))*IF('8.0.0'!AU$4="是",'8.0.0'!$AY$4,'8.0.0'!$AY$3)</f>
        <v>0</v>
      </c>
      <c r="K19" s="4">
        <f>(VLOOKUP('8.0.0'!S19,'8.0.0'!$AM$4:$AO$45,2,FALSE))*IF('8.0.0'!AV$4="是",'8.0.0'!$AY$4,'8.0.0'!$AY$3)</f>
        <v>0</v>
      </c>
      <c r="L19" s="4">
        <f>(VLOOKUP('8.0.0'!T19,'8.0.0'!$AM$4:$AO$45,2,FALSE))*IF('8.0.0'!AW$4="是",'8.0.0'!$AY$4,'8.0.0'!$AY$3)</f>
        <v>0</v>
      </c>
      <c r="M19" s="4">
        <f>(VLOOKUP('8.0.0'!U19,'8.0.0'!$AM$4:$AO$45,2,FALSE))*IF('8.0.0'!AX$4="是",'8.0.0'!$AY$4,'8.0.0'!$AY$3)</f>
        <v>0</v>
      </c>
      <c r="N19" s="4">
        <f>(VLOOKUP('8.0.0'!V19,'8.0.0'!$AM$4:$AO$45,2,FALSE))*IF('8.0.0'!AY$4="是",'8.0.0'!$AY$4,'8.0.0'!$AY$3)</f>
        <v>0</v>
      </c>
      <c r="O19" s="5">
        <f>(VLOOKUP('8.0.0'!W19,'8.0.0'!$AM$4:$AO$45,2,FALSE))*IF('8.0.0'!AZ$4="是",'8.0.0'!$AY$4,'8.0.0'!$AY$3)</f>
        <v>0</v>
      </c>
      <c r="P19" s="5">
        <f>(VLOOKUP('8.0.0'!X19,'8.0.0'!$AM$4:$AO$45,2,FALSE))*IF('8.0.0'!BA$4="是",'8.0.0'!$AY$4,'8.0.0'!$AY$3)</f>
        <v>0</v>
      </c>
      <c r="Q19" s="4">
        <f>(VLOOKUP('8.0.0'!Y19,'8.0.0'!$AM$4:$AO$45,2,FALSE))*IF('8.0.0'!BB$4="是",'8.0.0'!$AY$4,'8.0.0'!$AY$3)</f>
        <v>170</v>
      </c>
      <c r="R19" s="4">
        <f>(VLOOKUP('8.0.0'!Z19,'8.0.0'!$AM$4:$AO$45,2,FALSE))*IF('8.0.0'!BC$4="是",'8.0.0'!$AY$4,'8.0.0'!$AY$3)</f>
        <v>170</v>
      </c>
      <c r="S19" s="4">
        <f>(VLOOKUP('8.0.0'!AA19,'8.0.0'!$AM$4:$AO$45,2,FALSE))*IF('8.0.0'!BD$4="是",'8.0.0'!$AY$4,'8.0.0'!$AY$3)</f>
        <v>170</v>
      </c>
      <c r="T19" s="4">
        <f>(VLOOKUP('8.0.0'!AB19,'8.0.0'!$AM$4:$AO$45,2,FALSE))*IF('8.0.0'!BE$4="是",'8.0.0'!$AY$4,'8.0.0'!$AY$3)</f>
        <v>170</v>
      </c>
      <c r="U19" s="4">
        <f>(VLOOKUP('8.0.0'!AC19,'8.0.0'!$AM$4:$AO$45,2,FALSE))*IF('8.0.0'!BF$4="是",'8.0.0'!$AY$4,'8.0.0'!$AY$3)</f>
        <v>170</v>
      </c>
      <c r="V19" s="4">
        <f>(VLOOKUP('8.0.0'!AD19,'8.0.0'!$AM$4:$AO$45,2,FALSE))*IF('8.0.0'!BG$4="是",'8.0.0'!$AY$4,'8.0.0'!$AY$3)</f>
        <v>170</v>
      </c>
      <c r="W19" s="5">
        <f>(VLOOKUP('8.0.0'!AE19,'8.0.0'!$AM$4:$AO$45,2,FALSE))*IF('8.0.0'!BH$4="是",'8.0.0'!$AY$4,'8.0.0'!$AY$3)</f>
        <v>0</v>
      </c>
      <c r="X19" s="5">
        <f>(VLOOKUP('8.0.0'!AF19,'8.0.0'!$AM$4:$AO$45,2,FALSE))*IF('8.0.0'!BI$4="是",'8.0.0'!$AY$4,'8.0.0'!$AY$3)</f>
        <v>0</v>
      </c>
    </row>
    <row r="20" spans="1:24">
      <c r="A20" s="4">
        <f>(VLOOKUP('8.0.0'!I20,'8.0.0'!$AM$4:$AO$45,2,FALSE))*IF('8.0.0'!AK$4="是",'8.0.0'!$AY$4,'8.0.0'!$AY$3)</f>
        <v>180</v>
      </c>
      <c r="B20" s="4">
        <f>(VLOOKUP('8.0.0'!J20,'8.0.0'!$AM$4:$AO$45,2,FALSE))*IF('8.0.0'!AL$4="是",'8.0.0'!$AY$4,'8.0.0'!$AY$3)</f>
        <v>180</v>
      </c>
      <c r="C20" s="4">
        <f>(VLOOKUP('8.0.0'!K20,'8.0.0'!$AM$4:$AO$45,2,FALSE))*IF('8.0.0'!AM$4="是",'8.0.0'!$AY$4,'8.0.0'!$AY$3)</f>
        <v>180</v>
      </c>
      <c r="D20" s="4">
        <f>(VLOOKUP('8.0.0'!L20,'8.0.0'!$AM$4:$AO$45,2,FALSE))*IF('8.0.0'!AN$4="是",'8.0.0'!$AY$4,'8.0.0'!$AY$3)</f>
        <v>180</v>
      </c>
      <c r="E20" s="4">
        <f>(VLOOKUP('8.0.0'!M20,'8.0.0'!$AM$4:$AO$45,2,FALSE))*IF('8.0.0'!AO$4="是",'8.0.0'!$AY$4,'8.0.0'!$AY$3)</f>
        <v>180</v>
      </c>
      <c r="F20" s="4">
        <f>(VLOOKUP('8.0.0'!N20,'8.0.0'!$AM$4:$AO$45,2,FALSE))*IF('8.0.0'!AQ$4="是",'8.0.0'!$AY$4,'8.0.0'!$AY$3)</f>
        <v>180</v>
      </c>
      <c r="G20" s="5">
        <f>(VLOOKUP('8.0.0'!O20,'8.0.0'!$AM$4:$AO$45,2,FALSE))*IF('8.0.0'!AR$4="是",'8.0.0'!$AY$4,'8.0.0'!$AY$3)</f>
        <v>0</v>
      </c>
      <c r="H20" s="5">
        <f>(VLOOKUP('8.0.0'!P20,'8.0.0'!$AM$4:$AO$45,2,FALSE))*IF('8.0.0'!AS$4="是",'8.0.0'!$AY$4,'8.0.0'!$AY$3)</f>
        <v>0</v>
      </c>
      <c r="I20" s="4">
        <f>(VLOOKUP('8.0.0'!Q20,'8.0.0'!$AM$4:$AO$45,2,FALSE))*IF('8.0.0'!AT$4="是",'8.0.0'!$AY$4,'8.0.0'!$AY$3)</f>
        <v>0</v>
      </c>
      <c r="J20" s="4">
        <f>(VLOOKUP('8.0.0'!R20,'8.0.0'!$AM$4:$AO$45,2,FALSE))*IF('8.0.0'!AU$4="是",'8.0.0'!$AY$4,'8.0.0'!$AY$3)</f>
        <v>0</v>
      </c>
      <c r="K20" s="4">
        <f>(VLOOKUP('8.0.0'!S20,'8.0.0'!$AM$4:$AO$45,2,FALSE))*IF('8.0.0'!AV$4="是",'8.0.0'!$AY$4,'8.0.0'!$AY$3)</f>
        <v>0</v>
      </c>
      <c r="L20" s="4">
        <f>(VLOOKUP('8.0.0'!T20,'8.0.0'!$AM$4:$AO$45,2,FALSE))*IF('8.0.0'!AW$4="是",'8.0.0'!$AY$4,'8.0.0'!$AY$3)</f>
        <v>0</v>
      </c>
      <c r="M20" s="4">
        <f>(VLOOKUP('8.0.0'!U20,'8.0.0'!$AM$4:$AO$45,2,FALSE))*IF('8.0.0'!AX$4="是",'8.0.0'!$AY$4,'8.0.0'!$AY$3)</f>
        <v>0</v>
      </c>
      <c r="N20" s="4">
        <f>(VLOOKUP('8.0.0'!V20,'8.0.0'!$AM$4:$AO$45,2,FALSE))*IF('8.0.0'!AY$4="是",'8.0.0'!$AY$4,'8.0.0'!$AY$3)</f>
        <v>0</v>
      </c>
      <c r="O20" s="5">
        <f>(VLOOKUP('8.0.0'!W20,'8.0.0'!$AM$4:$AO$45,2,FALSE))*IF('8.0.0'!AZ$4="是",'8.0.0'!$AY$4,'8.0.0'!$AY$3)</f>
        <v>0</v>
      </c>
      <c r="P20" s="5">
        <f>(VLOOKUP('8.0.0'!X20,'8.0.0'!$AM$4:$AO$45,2,FALSE))*IF('8.0.0'!BA$4="是",'8.0.0'!$AY$4,'8.0.0'!$AY$3)</f>
        <v>0</v>
      </c>
      <c r="Q20" s="4">
        <f>(VLOOKUP('8.0.0'!Y20,'8.0.0'!$AM$4:$AO$45,2,FALSE))*IF('8.0.0'!BB$4="是",'8.0.0'!$AY$4,'8.0.0'!$AY$3)</f>
        <v>170</v>
      </c>
      <c r="R20" s="4">
        <f>(VLOOKUP('8.0.0'!Z20,'8.0.0'!$AM$4:$AO$45,2,FALSE))*IF('8.0.0'!BC$4="是",'8.0.0'!$AY$4,'8.0.0'!$AY$3)</f>
        <v>170</v>
      </c>
      <c r="S20" s="4">
        <f>(VLOOKUP('8.0.0'!AA20,'8.0.0'!$AM$4:$AO$45,2,FALSE))*IF('8.0.0'!BD$4="是",'8.0.0'!$AY$4,'8.0.0'!$AY$3)</f>
        <v>170</v>
      </c>
      <c r="T20" s="4">
        <f>(VLOOKUP('8.0.0'!AB20,'8.0.0'!$AM$4:$AO$45,2,FALSE))*IF('8.0.0'!BE$4="是",'8.0.0'!$AY$4,'8.0.0'!$AY$3)</f>
        <v>170</v>
      </c>
      <c r="U20" s="4">
        <f>(VLOOKUP('8.0.0'!AC20,'8.0.0'!$AM$4:$AO$45,2,FALSE))*IF('8.0.0'!BF$4="是",'8.0.0'!$AY$4,'8.0.0'!$AY$3)</f>
        <v>170</v>
      </c>
      <c r="V20" s="4">
        <f>(VLOOKUP('8.0.0'!AD20,'8.0.0'!$AM$4:$AO$45,2,FALSE))*IF('8.0.0'!BG$4="是",'8.0.0'!$AY$4,'8.0.0'!$AY$3)</f>
        <v>170</v>
      </c>
      <c r="W20" s="5">
        <f>(VLOOKUP('8.0.0'!AE20,'8.0.0'!$AM$4:$AO$45,2,FALSE))*IF('8.0.0'!BH$4="是",'8.0.0'!$AY$4,'8.0.0'!$AY$3)</f>
        <v>0</v>
      </c>
      <c r="X20" s="5">
        <f>(VLOOKUP('8.0.0'!AF20,'8.0.0'!$AM$4:$AO$45,2,FALSE))*IF('8.0.0'!BI$4="是",'8.0.0'!$AY$4,'8.0.0'!$AY$3)</f>
        <v>0</v>
      </c>
    </row>
    <row r="21" spans="1:24">
      <c r="A21" s="4">
        <f>(VLOOKUP('8.0.0'!I21,'8.0.0'!$AM$4:$AO$45,2,FALSE))*IF('8.0.0'!AK$4="是",'8.0.0'!$AY$4,'8.0.0'!$AY$3)</f>
        <v>180</v>
      </c>
      <c r="B21" s="4">
        <f>(VLOOKUP('8.0.0'!J21,'8.0.0'!$AM$4:$AO$45,2,FALSE))*IF('8.0.0'!AL$4="是",'8.0.0'!$AY$4,'8.0.0'!$AY$3)</f>
        <v>180</v>
      </c>
      <c r="C21" s="4">
        <f>(VLOOKUP('8.0.0'!K21,'8.0.0'!$AM$4:$AO$45,2,FALSE))*IF('8.0.0'!AM$4="是",'8.0.0'!$AY$4,'8.0.0'!$AY$3)</f>
        <v>180</v>
      </c>
      <c r="D21" s="4">
        <f>(VLOOKUP('8.0.0'!L21,'8.0.0'!$AM$4:$AO$45,2,FALSE))*IF('8.0.0'!AN$4="是",'8.0.0'!$AY$4,'8.0.0'!$AY$3)</f>
        <v>180</v>
      </c>
      <c r="E21" s="4">
        <f>(VLOOKUP('8.0.0'!M21,'8.0.0'!$AM$4:$AO$45,2,FALSE))*IF('8.0.0'!AO$4="是",'8.0.0'!$AY$4,'8.0.0'!$AY$3)</f>
        <v>180</v>
      </c>
      <c r="F21" s="4">
        <f>(VLOOKUP('8.0.0'!N21,'8.0.0'!$AM$4:$AO$45,2,FALSE))*IF('8.0.0'!AQ$4="是",'8.0.0'!$AY$4,'8.0.0'!$AY$3)</f>
        <v>180</v>
      </c>
      <c r="G21" s="5">
        <f>(VLOOKUP('8.0.0'!O21,'8.0.0'!$AM$4:$AO$45,2,FALSE))*IF('8.0.0'!AR$4="是",'8.0.0'!$AY$4,'8.0.0'!$AY$3)</f>
        <v>0</v>
      </c>
      <c r="H21" s="5">
        <f>(VLOOKUP('8.0.0'!P21,'8.0.0'!$AM$4:$AO$45,2,FALSE))*IF('8.0.0'!AS$4="是",'8.0.0'!$AY$4,'8.0.0'!$AY$3)</f>
        <v>0</v>
      </c>
      <c r="I21" s="4">
        <f>(VLOOKUP('8.0.0'!Q21,'8.0.0'!$AM$4:$AO$45,2,FALSE))*IF('8.0.0'!AT$4="是",'8.0.0'!$AY$4,'8.0.0'!$AY$3)</f>
        <v>0</v>
      </c>
      <c r="J21" s="4">
        <f>(VLOOKUP('8.0.0'!R21,'8.0.0'!$AM$4:$AO$45,2,FALSE))*IF('8.0.0'!AU$4="是",'8.0.0'!$AY$4,'8.0.0'!$AY$3)</f>
        <v>0</v>
      </c>
      <c r="K21" s="4">
        <f>(VLOOKUP('8.0.0'!S21,'8.0.0'!$AM$4:$AO$45,2,FALSE))*IF('8.0.0'!AV$4="是",'8.0.0'!$AY$4,'8.0.0'!$AY$3)</f>
        <v>0</v>
      </c>
      <c r="L21" s="4">
        <f>(VLOOKUP('8.0.0'!T21,'8.0.0'!$AM$4:$AO$45,2,FALSE))*IF('8.0.0'!AW$4="是",'8.0.0'!$AY$4,'8.0.0'!$AY$3)</f>
        <v>0</v>
      </c>
      <c r="M21" s="4">
        <f>(VLOOKUP('8.0.0'!U21,'8.0.0'!$AM$4:$AO$45,2,FALSE))*IF('8.0.0'!AX$4="是",'8.0.0'!$AY$4,'8.0.0'!$AY$3)</f>
        <v>0</v>
      </c>
      <c r="N21" s="4">
        <f>(VLOOKUP('8.0.0'!V21,'8.0.0'!$AM$4:$AO$45,2,FALSE))*IF('8.0.0'!AY$4="是",'8.0.0'!$AY$4,'8.0.0'!$AY$3)</f>
        <v>0</v>
      </c>
      <c r="O21" s="5">
        <f>(VLOOKUP('8.0.0'!W21,'8.0.0'!$AM$4:$AO$45,2,FALSE))*IF('8.0.0'!AZ$4="是",'8.0.0'!$AY$4,'8.0.0'!$AY$3)</f>
        <v>0</v>
      </c>
      <c r="P21" s="5">
        <f>(VLOOKUP('8.0.0'!X21,'8.0.0'!$AM$4:$AO$45,2,FALSE))*IF('8.0.0'!BA$4="是",'8.0.0'!$AY$4,'8.0.0'!$AY$3)</f>
        <v>0</v>
      </c>
      <c r="Q21" s="4">
        <f>(VLOOKUP('8.0.0'!Y21,'8.0.0'!$AM$4:$AO$45,2,FALSE))*IF('8.0.0'!BB$4="是",'8.0.0'!$AY$4,'8.0.0'!$AY$3)</f>
        <v>170</v>
      </c>
      <c r="R21" s="4">
        <f>(VLOOKUP('8.0.0'!Z21,'8.0.0'!$AM$4:$AO$45,2,FALSE))*IF('8.0.0'!BC$4="是",'8.0.0'!$AY$4,'8.0.0'!$AY$3)</f>
        <v>170</v>
      </c>
      <c r="S21" s="4">
        <f>(VLOOKUP('8.0.0'!AA21,'8.0.0'!$AM$4:$AO$45,2,FALSE))*IF('8.0.0'!BD$4="是",'8.0.0'!$AY$4,'8.0.0'!$AY$3)</f>
        <v>170</v>
      </c>
      <c r="T21" s="4">
        <f>(VLOOKUP('8.0.0'!AB21,'8.0.0'!$AM$4:$AO$45,2,FALSE))*IF('8.0.0'!BE$4="是",'8.0.0'!$AY$4,'8.0.0'!$AY$3)</f>
        <v>170</v>
      </c>
      <c r="U21" s="4">
        <f>(VLOOKUP('8.0.0'!AC21,'8.0.0'!$AM$4:$AO$45,2,FALSE))*IF('8.0.0'!BF$4="是",'8.0.0'!$AY$4,'8.0.0'!$AY$3)</f>
        <v>170</v>
      </c>
      <c r="V21" s="4">
        <f>(VLOOKUP('8.0.0'!AD21,'8.0.0'!$AM$4:$AO$45,2,FALSE))*IF('8.0.0'!BG$4="是",'8.0.0'!$AY$4,'8.0.0'!$AY$3)</f>
        <v>170</v>
      </c>
      <c r="W21" s="5">
        <f>(VLOOKUP('8.0.0'!AE21,'8.0.0'!$AM$4:$AO$45,2,FALSE))*IF('8.0.0'!BH$4="是",'8.0.0'!$AY$4,'8.0.0'!$AY$3)</f>
        <v>0</v>
      </c>
      <c r="X21" s="5">
        <f>(VLOOKUP('8.0.0'!AF21,'8.0.0'!$AM$4:$AO$45,2,FALSE))*IF('8.0.0'!BI$4="是",'8.0.0'!$AY$4,'8.0.0'!$AY$3)</f>
        <v>0</v>
      </c>
    </row>
    <row r="22" spans="1:24">
      <c r="A22" s="4">
        <f>(VLOOKUP('8.0.0'!I22,'8.0.0'!$AM$4:$AO$45,2,FALSE))*IF('8.0.0'!AK$4="是",'8.0.0'!$AY$4,'8.0.0'!$AY$3)</f>
        <v>180</v>
      </c>
      <c r="B22" s="4">
        <f>(VLOOKUP('8.0.0'!J22,'8.0.0'!$AM$4:$AO$45,2,FALSE))*IF('8.0.0'!AL$4="是",'8.0.0'!$AY$4,'8.0.0'!$AY$3)</f>
        <v>50</v>
      </c>
      <c r="C22" s="4">
        <f>(VLOOKUP('8.0.0'!K22,'8.0.0'!$AM$4:$AO$45,2,FALSE))*IF('8.0.0'!AM$4="是",'8.0.0'!$AY$4,'8.0.0'!$AY$3)</f>
        <v>180</v>
      </c>
      <c r="D22" s="4">
        <f>(VLOOKUP('8.0.0'!L22,'8.0.0'!$AM$4:$AO$45,2,FALSE))*IF('8.0.0'!AN$4="是",'8.0.0'!$AY$4,'8.0.0'!$AY$3)</f>
        <v>180</v>
      </c>
      <c r="E22" s="4">
        <f>(VLOOKUP('8.0.0'!M22,'8.0.0'!$AM$4:$AO$45,2,FALSE))*IF('8.0.0'!AO$4="是",'8.0.0'!$AY$4,'8.0.0'!$AY$3)</f>
        <v>180</v>
      </c>
      <c r="F22" s="4">
        <f>(VLOOKUP('8.0.0'!N22,'8.0.0'!$AM$4:$AO$45,2,FALSE))*IF('8.0.0'!AQ$4="是",'8.0.0'!$AY$4,'8.0.0'!$AY$3)</f>
        <v>180</v>
      </c>
      <c r="G22" s="5">
        <f>(VLOOKUP('8.0.0'!O22,'8.0.0'!$AM$4:$AO$45,2,FALSE))*IF('8.0.0'!AR$4="是",'8.0.0'!$AY$4,'8.0.0'!$AY$3)</f>
        <v>0</v>
      </c>
      <c r="H22" s="5">
        <f>(VLOOKUP('8.0.0'!P22,'8.0.0'!$AM$4:$AO$45,2,FALSE))*IF('8.0.0'!AS$4="是",'8.0.0'!$AY$4,'8.0.0'!$AY$3)</f>
        <v>0</v>
      </c>
      <c r="I22" s="4">
        <f>(VLOOKUP('8.0.0'!Q22,'8.0.0'!$AM$4:$AO$45,2,FALSE))*IF('8.0.0'!AT$4="是",'8.0.0'!$AY$4,'8.0.0'!$AY$3)</f>
        <v>0</v>
      </c>
      <c r="J22" s="4">
        <f>(VLOOKUP('8.0.0'!R22,'8.0.0'!$AM$4:$AO$45,2,FALSE))*IF('8.0.0'!AU$4="是",'8.0.0'!$AY$4,'8.0.0'!$AY$3)</f>
        <v>0</v>
      </c>
      <c r="K22" s="4">
        <f>(VLOOKUP('8.0.0'!S22,'8.0.0'!$AM$4:$AO$45,2,FALSE))*IF('8.0.0'!AV$4="是",'8.0.0'!$AY$4,'8.0.0'!$AY$3)</f>
        <v>0</v>
      </c>
      <c r="L22" s="4">
        <f>(VLOOKUP('8.0.0'!T22,'8.0.0'!$AM$4:$AO$45,2,FALSE))*IF('8.0.0'!AW$4="是",'8.0.0'!$AY$4,'8.0.0'!$AY$3)</f>
        <v>0</v>
      </c>
      <c r="M22" s="4">
        <f>(VLOOKUP('8.0.0'!U22,'8.0.0'!$AM$4:$AO$45,2,FALSE))*IF('8.0.0'!AX$4="是",'8.0.0'!$AY$4,'8.0.0'!$AY$3)</f>
        <v>0</v>
      </c>
      <c r="N22" s="4">
        <f>(VLOOKUP('8.0.0'!V22,'8.0.0'!$AM$4:$AO$45,2,FALSE))*IF('8.0.0'!AY$4="是",'8.0.0'!$AY$4,'8.0.0'!$AY$3)</f>
        <v>0</v>
      </c>
      <c r="O22" s="5">
        <f>(VLOOKUP('8.0.0'!W22,'8.0.0'!$AM$4:$AO$45,2,FALSE))*IF('8.0.0'!AZ$4="是",'8.0.0'!$AY$4,'8.0.0'!$AY$3)</f>
        <v>0</v>
      </c>
      <c r="P22" s="5">
        <f>(VLOOKUP('8.0.0'!X22,'8.0.0'!$AM$4:$AO$45,2,FALSE))*IF('8.0.0'!BA$4="是",'8.0.0'!$AY$4,'8.0.0'!$AY$3)</f>
        <v>0</v>
      </c>
      <c r="Q22" s="4">
        <f>(VLOOKUP('8.0.0'!Y22,'8.0.0'!$AM$4:$AO$45,2,FALSE))*IF('8.0.0'!BB$4="是",'8.0.0'!$AY$4,'8.0.0'!$AY$3)</f>
        <v>170</v>
      </c>
      <c r="R22" s="4">
        <f>(VLOOKUP('8.0.0'!Z22,'8.0.0'!$AM$4:$AO$45,2,FALSE))*IF('8.0.0'!BC$4="是",'8.0.0'!$AY$4,'8.0.0'!$AY$3)</f>
        <v>170</v>
      </c>
      <c r="S22" s="4">
        <f>(VLOOKUP('8.0.0'!AA22,'8.0.0'!$AM$4:$AO$45,2,FALSE))*IF('8.0.0'!BD$4="是",'8.0.0'!$AY$4,'8.0.0'!$AY$3)</f>
        <v>170</v>
      </c>
      <c r="T22" s="4">
        <f>(VLOOKUP('8.0.0'!AB22,'8.0.0'!$AM$4:$AO$45,2,FALSE))*IF('8.0.0'!BE$4="是",'8.0.0'!$AY$4,'8.0.0'!$AY$3)</f>
        <v>170</v>
      </c>
      <c r="U22" s="4">
        <f>(VLOOKUP('8.0.0'!AC22,'8.0.0'!$AM$4:$AO$45,2,FALSE))*IF('8.0.0'!BF$4="是",'8.0.0'!$AY$4,'8.0.0'!$AY$3)</f>
        <v>170</v>
      </c>
      <c r="V22" s="4">
        <f>(VLOOKUP('8.0.0'!AD22,'8.0.0'!$AM$4:$AO$45,2,FALSE))*IF('8.0.0'!BG$4="是",'8.0.0'!$AY$4,'8.0.0'!$AY$3)</f>
        <v>170</v>
      </c>
      <c r="W22" s="5">
        <f>(VLOOKUP('8.0.0'!AE22,'8.0.0'!$AM$4:$AO$45,2,FALSE))*IF('8.0.0'!BH$4="是",'8.0.0'!$AY$4,'8.0.0'!$AY$3)</f>
        <v>0</v>
      </c>
      <c r="X22" s="5">
        <f>(VLOOKUP('8.0.0'!AF22,'8.0.0'!$AM$4:$AO$45,2,FALSE))*IF('8.0.0'!BI$4="是",'8.0.0'!$AY$4,'8.0.0'!$AY$3)</f>
        <v>0</v>
      </c>
    </row>
    <row r="23" spans="1:24">
      <c r="A23" s="4">
        <f>(VLOOKUP('8.0.0'!I23,'8.0.0'!$AM$4:$AO$45,2,FALSE))*IF('8.0.0'!AK$4="是",'8.0.0'!$AY$4,'8.0.0'!$AY$3)</f>
        <v>180</v>
      </c>
      <c r="B23" s="4">
        <f>(VLOOKUP('8.0.0'!J23,'8.0.0'!$AM$4:$AO$45,2,FALSE))*IF('8.0.0'!AL$4="是",'8.0.0'!$AY$4,'8.0.0'!$AY$3)</f>
        <v>180</v>
      </c>
      <c r="C23" s="4">
        <f>(VLOOKUP('8.0.0'!K23,'8.0.0'!$AM$4:$AO$45,2,FALSE))*IF('8.0.0'!AM$4="是",'8.0.0'!$AY$4,'8.0.0'!$AY$3)</f>
        <v>180</v>
      </c>
      <c r="D23" s="4">
        <f>(VLOOKUP('8.0.0'!L23,'8.0.0'!$AM$4:$AO$45,2,FALSE))*IF('8.0.0'!AN$4="是",'8.0.0'!$AY$4,'8.0.0'!$AY$3)</f>
        <v>180</v>
      </c>
      <c r="E23" s="4">
        <f>(VLOOKUP('8.0.0'!M23,'8.0.0'!$AM$4:$AO$45,2,FALSE))*IF('8.0.0'!AO$4="是",'8.0.0'!$AY$4,'8.0.0'!$AY$3)</f>
        <v>180</v>
      </c>
      <c r="F23" s="4">
        <f>(VLOOKUP('8.0.0'!N23,'8.0.0'!$AM$4:$AO$45,2,FALSE))*IF('8.0.0'!AQ$4="是",'8.0.0'!$AY$4,'8.0.0'!$AY$3)</f>
        <v>180</v>
      </c>
      <c r="G23" s="5">
        <f>(VLOOKUP('8.0.0'!O23,'8.0.0'!$AM$4:$AO$45,2,FALSE))*IF('8.0.0'!AR$4="是",'8.0.0'!$AY$4,'8.0.0'!$AY$3)</f>
        <v>0</v>
      </c>
      <c r="H23" s="5">
        <f>(VLOOKUP('8.0.0'!P23,'8.0.0'!$AM$4:$AO$45,2,FALSE))*IF('8.0.0'!AS$4="是",'8.0.0'!$AY$4,'8.0.0'!$AY$3)</f>
        <v>0</v>
      </c>
      <c r="I23" s="4">
        <f>(VLOOKUP('8.0.0'!Q23,'8.0.0'!$AM$4:$AO$45,2,FALSE))*IF('8.0.0'!AT$4="是",'8.0.0'!$AY$4,'8.0.0'!$AY$3)</f>
        <v>0</v>
      </c>
      <c r="J23" s="4">
        <f>(VLOOKUP('8.0.0'!R23,'8.0.0'!$AM$4:$AO$45,2,FALSE))*IF('8.0.0'!AU$4="是",'8.0.0'!$AY$4,'8.0.0'!$AY$3)</f>
        <v>0</v>
      </c>
      <c r="K23" s="4">
        <f>(VLOOKUP('8.0.0'!S23,'8.0.0'!$AM$4:$AO$45,2,FALSE))*IF('8.0.0'!AV$4="是",'8.0.0'!$AY$4,'8.0.0'!$AY$3)</f>
        <v>0</v>
      </c>
      <c r="L23" s="4">
        <f>(VLOOKUP('8.0.0'!T23,'8.0.0'!$AM$4:$AO$45,2,FALSE))*IF('8.0.0'!AW$4="是",'8.0.0'!$AY$4,'8.0.0'!$AY$3)</f>
        <v>0</v>
      </c>
      <c r="M23" s="4">
        <f>(VLOOKUP('8.0.0'!U23,'8.0.0'!$AM$4:$AO$45,2,FALSE))*IF('8.0.0'!AX$4="是",'8.0.0'!$AY$4,'8.0.0'!$AY$3)</f>
        <v>0</v>
      </c>
      <c r="N23" s="4">
        <f>(VLOOKUP('8.0.0'!V23,'8.0.0'!$AM$4:$AO$45,2,FALSE))*IF('8.0.0'!AY$4="是",'8.0.0'!$AY$4,'8.0.0'!$AY$3)</f>
        <v>0</v>
      </c>
      <c r="O23" s="5">
        <f>(VLOOKUP('8.0.0'!W23,'8.0.0'!$AM$4:$AO$45,2,FALSE))*IF('8.0.0'!AZ$4="是",'8.0.0'!$AY$4,'8.0.0'!$AY$3)</f>
        <v>0</v>
      </c>
      <c r="P23" s="5">
        <f>(VLOOKUP('8.0.0'!X23,'8.0.0'!$AM$4:$AO$45,2,FALSE))*IF('8.0.0'!BA$4="是",'8.0.0'!$AY$4,'8.0.0'!$AY$3)</f>
        <v>0</v>
      </c>
      <c r="Q23" s="4">
        <f>(VLOOKUP('8.0.0'!Y23,'8.0.0'!$AM$4:$AO$45,2,FALSE))*IF('8.0.0'!BB$4="是",'8.0.0'!$AY$4,'8.0.0'!$AY$3)</f>
        <v>170</v>
      </c>
      <c r="R23" s="4">
        <f>(VLOOKUP('8.0.0'!Z23,'8.0.0'!$AM$4:$AO$45,2,FALSE))*IF('8.0.0'!BC$4="是",'8.0.0'!$AY$4,'8.0.0'!$AY$3)</f>
        <v>50</v>
      </c>
      <c r="S23" s="4">
        <f>(VLOOKUP('8.0.0'!AA23,'8.0.0'!$AM$4:$AO$45,2,FALSE))*IF('8.0.0'!BD$4="是",'8.0.0'!$AY$4,'8.0.0'!$AY$3)</f>
        <v>170</v>
      </c>
      <c r="T23" s="4">
        <f>(VLOOKUP('8.0.0'!AB23,'8.0.0'!$AM$4:$AO$45,2,FALSE))*IF('8.0.0'!BE$4="是",'8.0.0'!$AY$4,'8.0.0'!$AY$3)</f>
        <v>170</v>
      </c>
      <c r="U23" s="4">
        <f>(VLOOKUP('8.0.0'!AC23,'8.0.0'!$AM$4:$AO$45,2,FALSE))*IF('8.0.0'!BF$4="是",'8.0.0'!$AY$4,'8.0.0'!$AY$3)</f>
        <v>170</v>
      </c>
      <c r="V23" s="4">
        <f>(VLOOKUP('8.0.0'!AD23,'8.0.0'!$AM$4:$AO$45,2,FALSE))*IF('8.0.0'!BG$4="是",'8.0.0'!$AY$4,'8.0.0'!$AY$3)</f>
        <v>170</v>
      </c>
      <c r="W23" s="5">
        <f>(VLOOKUP('8.0.0'!AE23,'8.0.0'!$AM$4:$AO$45,2,FALSE))*IF('8.0.0'!BH$4="是",'8.0.0'!$AY$4,'8.0.0'!$AY$3)</f>
        <v>0</v>
      </c>
      <c r="X23" s="5">
        <f>(VLOOKUP('8.0.0'!AF23,'8.0.0'!$AM$4:$AO$45,2,FALSE))*IF('8.0.0'!BI$4="是",'8.0.0'!$AY$4,'8.0.0'!$AY$3)</f>
        <v>0</v>
      </c>
    </row>
    <row r="24" spans="1:24">
      <c r="A24" s="4">
        <f>(VLOOKUP('8.0.0'!I24,'8.0.0'!$AM$4:$AO$45,2,FALSE))*IF('8.0.0'!AK$4="是",'8.0.0'!$AY$4,'8.0.0'!$AY$3)</f>
        <v>180</v>
      </c>
      <c r="B24" s="4">
        <f>(VLOOKUP('8.0.0'!J24,'8.0.0'!$AM$4:$AO$45,2,FALSE))*IF('8.0.0'!AL$4="是",'8.0.0'!$AY$4,'8.0.0'!$AY$3)</f>
        <v>180</v>
      </c>
      <c r="C24" s="4">
        <f>(VLOOKUP('8.0.0'!K24,'8.0.0'!$AM$4:$AO$45,2,FALSE))*IF('8.0.0'!AM$4="是",'8.0.0'!$AY$4,'8.0.0'!$AY$3)</f>
        <v>180</v>
      </c>
      <c r="D24" s="4">
        <f>(VLOOKUP('8.0.0'!L24,'8.0.0'!$AM$4:$AO$45,2,FALSE))*IF('8.0.0'!AN$4="是",'8.0.0'!$AY$4,'8.0.0'!$AY$3)</f>
        <v>180</v>
      </c>
      <c r="E24" s="4">
        <f>(VLOOKUP('8.0.0'!M24,'8.0.0'!$AM$4:$AO$45,2,FALSE))*IF('8.0.0'!AO$4="是",'8.0.0'!$AY$4,'8.0.0'!$AY$3)</f>
        <v>180</v>
      </c>
      <c r="F24" s="4">
        <f>(VLOOKUP('8.0.0'!N24,'8.0.0'!$AM$4:$AO$45,2,FALSE))*IF('8.0.0'!AQ$4="是",'8.0.0'!$AY$4,'8.0.0'!$AY$3)</f>
        <v>180</v>
      </c>
      <c r="G24" s="5">
        <f>(VLOOKUP('8.0.0'!O24,'8.0.0'!$AM$4:$AO$45,2,FALSE))*IF('8.0.0'!AR$4="是",'8.0.0'!$AY$4,'8.0.0'!$AY$3)</f>
        <v>0</v>
      </c>
      <c r="H24" s="5">
        <f>(VLOOKUP('8.0.0'!P24,'8.0.0'!$AM$4:$AO$45,2,FALSE))*IF('8.0.0'!AS$4="是",'8.0.0'!$AY$4,'8.0.0'!$AY$3)</f>
        <v>0</v>
      </c>
      <c r="I24" s="4">
        <f>(VLOOKUP('8.0.0'!Q24,'8.0.0'!$AM$4:$AO$45,2,FALSE))*IF('8.0.0'!AT$4="是",'8.0.0'!$AY$4,'8.0.0'!$AY$3)</f>
        <v>0</v>
      </c>
      <c r="J24" s="4">
        <f>(VLOOKUP('8.0.0'!R24,'8.0.0'!$AM$4:$AO$45,2,FALSE))*IF('8.0.0'!AU$4="是",'8.0.0'!$AY$4,'8.0.0'!$AY$3)</f>
        <v>0</v>
      </c>
      <c r="K24" s="4">
        <f>(VLOOKUP('8.0.0'!S24,'8.0.0'!$AM$4:$AO$45,2,FALSE))*IF('8.0.0'!AV$4="是",'8.0.0'!$AY$4,'8.0.0'!$AY$3)</f>
        <v>0</v>
      </c>
      <c r="L24" s="4">
        <f>(VLOOKUP('8.0.0'!T24,'8.0.0'!$AM$4:$AO$45,2,FALSE))*IF('8.0.0'!AW$4="是",'8.0.0'!$AY$4,'8.0.0'!$AY$3)</f>
        <v>0</v>
      </c>
      <c r="M24" s="4">
        <f>(VLOOKUP('8.0.0'!U24,'8.0.0'!$AM$4:$AO$45,2,FALSE))*IF('8.0.0'!AX$4="是",'8.0.0'!$AY$4,'8.0.0'!$AY$3)</f>
        <v>0</v>
      </c>
      <c r="N24" s="4">
        <f>(VLOOKUP('8.0.0'!V24,'8.0.0'!$AM$4:$AO$45,2,FALSE))*IF('8.0.0'!AY$4="是",'8.0.0'!$AY$4,'8.0.0'!$AY$3)</f>
        <v>0</v>
      </c>
      <c r="O24" s="5">
        <f>(VLOOKUP('8.0.0'!W24,'8.0.0'!$AM$4:$AO$45,2,FALSE))*IF('8.0.0'!AZ$4="是",'8.0.0'!$AY$4,'8.0.0'!$AY$3)</f>
        <v>0</v>
      </c>
      <c r="P24" s="5">
        <f>(VLOOKUP('8.0.0'!X24,'8.0.0'!$AM$4:$AO$45,2,FALSE))*IF('8.0.0'!BA$4="是",'8.0.0'!$AY$4,'8.0.0'!$AY$3)</f>
        <v>0</v>
      </c>
      <c r="Q24" s="4">
        <f>(VLOOKUP('8.0.0'!Y24,'8.0.0'!$AM$4:$AO$45,2,FALSE))*IF('8.0.0'!BB$4="是",'8.0.0'!$AY$4,'8.0.0'!$AY$3)</f>
        <v>170</v>
      </c>
      <c r="R24" s="4">
        <f>(VLOOKUP('8.0.0'!Z24,'8.0.0'!$AM$4:$AO$45,2,FALSE))*IF('8.0.0'!BC$4="是",'8.0.0'!$AY$4,'8.0.0'!$AY$3)</f>
        <v>170</v>
      </c>
      <c r="S24" s="4">
        <f>(VLOOKUP('8.0.0'!AA24,'8.0.0'!$AM$4:$AO$45,2,FALSE))*IF('8.0.0'!BD$4="是",'8.0.0'!$AY$4,'8.0.0'!$AY$3)</f>
        <v>170</v>
      </c>
      <c r="T24" s="4">
        <f>(VLOOKUP('8.0.0'!AB24,'8.0.0'!$AM$4:$AO$45,2,FALSE))*IF('8.0.0'!BE$4="是",'8.0.0'!$AY$4,'8.0.0'!$AY$3)</f>
        <v>170</v>
      </c>
      <c r="U24" s="4">
        <f>(VLOOKUP('8.0.0'!AC24,'8.0.0'!$AM$4:$AO$45,2,FALSE))*IF('8.0.0'!BF$4="是",'8.0.0'!$AY$4,'8.0.0'!$AY$3)</f>
        <v>170</v>
      </c>
      <c r="V24" s="4">
        <f>(VLOOKUP('8.0.0'!AD24,'8.0.0'!$AM$4:$AO$45,2,FALSE))*IF('8.0.0'!BG$4="是",'8.0.0'!$AY$4,'8.0.0'!$AY$3)</f>
        <v>170</v>
      </c>
      <c r="W24" s="5">
        <f>(VLOOKUP('8.0.0'!AE24,'8.0.0'!$AM$4:$AO$45,2,FALSE))*IF('8.0.0'!BH$4="是",'8.0.0'!$AY$4,'8.0.0'!$AY$3)</f>
        <v>0</v>
      </c>
      <c r="X24" s="5">
        <f>(VLOOKUP('8.0.0'!AF24,'8.0.0'!$AM$4:$AO$45,2,FALSE))*IF('8.0.0'!BI$4="是",'8.0.0'!$AY$4,'8.0.0'!$AY$3)</f>
        <v>0</v>
      </c>
    </row>
    <row r="25" spans="1:24">
      <c r="A25" s="4">
        <f>(VLOOKUP('8.0.0'!I25,'8.0.0'!$AM$4:$AO$45,2,FALSE))*IF('8.0.0'!AK$4="是",'8.0.0'!$AY$4,'8.0.0'!$AY$3)</f>
        <v>180</v>
      </c>
      <c r="B25" s="4">
        <f>(VLOOKUP('8.0.0'!J25,'8.0.0'!$AM$4:$AO$45,2,FALSE))*IF('8.0.0'!AL$4="是",'8.0.0'!$AY$4,'8.0.0'!$AY$3)</f>
        <v>180</v>
      </c>
      <c r="C25" s="4">
        <f>(VLOOKUP('8.0.0'!K25,'8.0.0'!$AM$4:$AO$45,2,FALSE))*IF('8.0.0'!AM$4="是",'8.0.0'!$AY$4,'8.0.0'!$AY$3)</f>
        <v>180</v>
      </c>
      <c r="D25" s="4">
        <f>(VLOOKUP('8.0.0'!L25,'8.0.0'!$AM$4:$AO$45,2,FALSE))*IF('8.0.0'!AN$4="是",'8.0.0'!$AY$4,'8.0.0'!$AY$3)</f>
        <v>180</v>
      </c>
      <c r="E25" s="4">
        <f>(VLOOKUP('8.0.0'!M25,'8.0.0'!$AM$4:$AO$45,2,FALSE))*IF('8.0.0'!AO$4="是",'8.0.0'!$AY$4,'8.0.0'!$AY$3)</f>
        <v>180</v>
      </c>
      <c r="F25" s="4">
        <f>(VLOOKUP('8.0.0'!N25,'8.0.0'!$AM$4:$AO$45,2,FALSE))*IF('8.0.0'!AQ$4="是",'8.0.0'!$AY$4,'8.0.0'!$AY$3)</f>
        <v>180</v>
      </c>
      <c r="G25" s="5">
        <f>(VLOOKUP('8.0.0'!O25,'8.0.0'!$AM$4:$AO$45,2,FALSE))*IF('8.0.0'!AR$4="是",'8.0.0'!$AY$4,'8.0.0'!$AY$3)</f>
        <v>0</v>
      </c>
      <c r="H25" s="5">
        <f>(VLOOKUP('8.0.0'!P25,'8.0.0'!$AM$4:$AO$45,2,FALSE))*IF('8.0.0'!AS$4="是",'8.0.0'!$AY$4,'8.0.0'!$AY$3)</f>
        <v>0</v>
      </c>
      <c r="I25" s="4">
        <f>(VLOOKUP('8.0.0'!Q25,'8.0.0'!$AM$4:$AO$45,2,FALSE))*IF('8.0.0'!AT$4="是",'8.0.0'!$AY$4,'8.0.0'!$AY$3)</f>
        <v>0</v>
      </c>
      <c r="J25" s="4">
        <f>(VLOOKUP('8.0.0'!R25,'8.0.0'!$AM$4:$AO$45,2,FALSE))*IF('8.0.0'!AU$4="是",'8.0.0'!$AY$4,'8.0.0'!$AY$3)</f>
        <v>0</v>
      </c>
      <c r="K25" s="4">
        <f>(VLOOKUP('8.0.0'!S25,'8.0.0'!$AM$4:$AO$45,2,FALSE))*IF('8.0.0'!AV$4="是",'8.0.0'!$AY$4,'8.0.0'!$AY$3)</f>
        <v>0</v>
      </c>
      <c r="L25" s="4">
        <f>(VLOOKUP('8.0.0'!T25,'8.0.0'!$AM$4:$AO$45,2,FALSE))*IF('8.0.0'!AW$4="是",'8.0.0'!$AY$4,'8.0.0'!$AY$3)</f>
        <v>0</v>
      </c>
      <c r="M25" s="4">
        <f>(VLOOKUP('8.0.0'!U25,'8.0.0'!$AM$4:$AO$45,2,FALSE))*IF('8.0.0'!AX$4="是",'8.0.0'!$AY$4,'8.0.0'!$AY$3)</f>
        <v>0</v>
      </c>
      <c r="N25" s="4">
        <f>(VLOOKUP('8.0.0'!V25,'8.0.0'!$AM$4:$AO$45,2,FALSE))*IF('8.0.0'!AY$4="是",'8.0.0'!$AY$4,'8.0.0'!$AY$3)</f>
        <v>0</v>
      </c>
      <c r="O25" s="5">
        <f>(VLOOKUP('8.0.0'!W25,'8.0.0'!$AM$4:$AO$45,2,FALSE))*IF('8.0.0'!AZ$4="是",'8.0.0'!$AY$4,'8.0.0'!$AY$3)</f>
        <v>0</v>
      </c>
      <c r="P25" s="5">
        <f>(VLOOKUP('8.0.0'!X25,'8.0.0'!$AM$4:$AO$45,2,FALSE))*IF('8.0.0'!BA$4="是",'8.0.0'!$AY$4,'8.0.0'!$AY$3)</f>
        <v>0</v>
      </c>
      <c r="Q25" s="4">
        <f>(VLOOKUP('8.0.0'!Y25,'8.0.0'!$AM$4:$AO$45,2,FALSE))*IF('8.0.0'!BB$4="是",'8.0.0'!$AY$4,'8.0.0'!$AY$3)</f>
        <v>170</v>
      </c>
      <c r="R25" s="4">
        <f>(VLOOKUP('8.0.0'!Z25,'8.0.0'!$AM$4:$AO$45,2,FALSE))*IF('8.0.0'!BC$4="是",'8.0.0'!$AY$4,'8.0.0'!$AY$3)</f>
        <v>170</v>
      </c>
      <c r="S25" s="4">
        <f>(VLOOKUP('8.0.0'!AA25,'8.0.0'!$AM$4:$AO$45,2,FALSE))*IF('8.0.0'!BD$4="是",'8.0.0'!$AY$4,'8.0.0'!$AY$3)</f>
        <v>150</v>
      </c>
      <c r="T25" s="4">
        <f>(VLOOKUP('8.0.0'!AB25,'8.0.0'!$AM$4:$AO$45,2,FALSE))*IF('8.0.0'!BE$4="是",'8.0.0'!$AY$4,'8.0.0'!$AY$3)</f>
        <v>170</v>
      </c>
      <c r="U25" s="4">
        <f>(VLOOKUP('8.0.0'!AC25,'8.0.0'!$AM$4:$AO$45,2,FALSE))*IF('8.0.0'!BF$4="是",'8.0.0'!$AY$4,'8.0.0'!$AY$3)</f>
        <v>170</v>
      </c>
      <c r="V25" s="4">
        <f>(VLOOKUP('8.0.0'!AD25,'8.0.0'!$AM$4:$AO$45,2,FALSE))*IF('8.0.0'!BG$4="是",'8.0.0'!$AY$4,'8.0.0'!$AY$3)</f>
        <v>170</v>
      </c>
      <c r="W25" s="5">
        <f>(VLOOKUP('8.0.0'!AE25,'8.0.0'!$AM$4:$AO$45,2,FALSE))*IF('8.0.0'!BH$4="是",'8.0.0'!$AY$4,'8.0.0'!$AY$3)</f>
        <v>0</v>
      </c>
      <c r="X25" s="5">
        <f>(VLOOKUP('8.0.0'!AF25,'8.0.0'!$AM$4:$AO$45,2,FALSE))*IF('8.0.0'!BI$4="是",'8.0.0'!$AY$4,'8.0.0'!$AY$3)</f>
        <v>0</v>
      </c>
    </row>
    <row r="26" spans="1:24">
      <c r="A26" s="4">
        <f>(VLOOKUP('8.0.0'!I26,'8.0.0'!$AM$4:$AO$45,2,FALSE))*IF('8.0.0'!AK$4="是",'8.0.0'!$AY$4,'8.0.0'!$AY$3)</f>
        <v>180</v>
      </c>
      <c r="B26" s="4">
        <f>(VLOOKUP('8.0.0'!J26,'8.0.0'!$AM$4:$AO$45,2,FALSE))*IF('8.0.0'!AL$4="是",'8.0.0'!$AY$4,'8.0.0'!$AY$3)</f>
        <v>180</v>
      </c>
      <c r="C26" s="4">
        <f>(VLOOKUP('8.0.0'!K26,'8.0.0'!$AM$4:$AO$45,2,FALSE))*IF('8.0.0'!AM$4="是",'8.0.0'!$AY$4,'8.0.0'!$AY$3)</f>
        <v>180</v>
      </c>
      <c r="D26" s="4">
        <f>(VLOOKUP('8.0.0'!L26,'8.0.0'!$AM$4:$AO$45,2,FALSE))*IF('8.0.0'!AN$4="是",'8.0.0'!$AY$4,'8.0.0'!$AY$3)</f>
        <v>50</v>
      </c>
      <c r="E26" s="4">
        <f>(VLOOKUP('8.0.0'!M26,'8.0.0'!$AM$4:$AO$45,2,FALSE))*IF('8.0.0'!AO$4="是",'8.0.0'!$AY$4,'8.0.0'!$AY$3)</f>
        <v>180</v>
      </c>
      <c r="F26" s="4">
        <f>(VLOOKUP('8.0.0'!N26,'8.0.0'!$AM$4:$AO$45,2,FALSE))*IF('8.0.0'!AQ$4="是",'8.0.0'!$AY$4,'8.0.0'!$AY$3)</f>
        <v>180</v>
      </c>
      <c r="G26" s="5">
        <f>(VLOOKUP('8.0.0'!O26,'8.0.0'!$AM$4:$AO$45,2,FALSE))*IF('8.0.0'!AR$4="是",'8.0.0'!$AY$4,'8.0.0'!$AY$3)</f>
        <v>0</v>
      </c>
      <c r="H26" s="5">
        <f>(VLOOKUP('8.0.0'!P26,'8.0.0'!$AM$4:$AO$45,2,FALSE))*IF('8.0.0'!AS$4="是",'8.0.0'!$AY$4,'8.0.0'!$AY$3)</f>
        <v>0</v>
      </c>
      <c r="I26" s="4">
        <f>(VLOOKUP('8.0.0'!Q26,'8.0.0'!$AM$4:$AO$45,2,FALSE))*IF('8.0.0'!AT$4="是",'8.0.0'!$AY$4,'8.0.0'!$AY$3)</f>
        <v>0</v>
      </c>
      <c r="J26" s="4">
        <f>(VLOOKUP('8.0.0'!R26,'8.0.0'!$AM$4:$AO$45,2,FALSE))*IF('8.0.0'!AU$4="是",'8.0.0'!$AY$4,'8.0.0'!$AY$3)</f>
        <v>0</v>
      </c>
      <c r="K26" s="4">
        <f>(VLOOKUP('8.0.0'!S26,'8.0.0'!$AM$4:$AO$45,2,FALSE))*IF('8.0.0'!AV$4="是",'8.0.0'!$AY$4,'8.0.0'!$AY$3)</f>
        <v>0</v>
      </c>
      <c r="L26" s="4">
        <f>(VLOOKUP('8.0.0'!T26,'8.0.0'!$AM$4:$AO$45,2,FALSE))*IF('8.0.0'!AW$4="是",'8.0.0'!$AY$4,'8.0.0'!$AY$3)</f>
        <v>0</v>
      </c>
      <c r="M26" s="4">
        <f>(VLOOKUP('8.0.0'!U26,'8.0.0'!$AM$4:$AO$45,2,FALSE))*IF('8.0.0'!AX$4="是",'8.0.0'!$AY$4,'8.0.0'!$AY$3)</f>
        <v>0</v>
      </c>
      <c r="N26" s="4">
        <f>(VLOOKUP('8.0.0'!V26,'8.0.0'!$AM$4:$AO$45,2,FALSE))*IF('8.0.0'!AY$4="是",'8.0.0'!$AY$4,'8.0.0'!$AY$3)</f>
        <v>0</v>
      </c>
      <c r="O26" s="5">
        <f>(VLOOKUP('8.0.0'!W26,'8.0.0'!$AM$4:$AO$45,2,FALSE))*IF('8.0.0'!AZ$4="是",'8.0.0'!$AY$4,'8.0.0'!$AY$3)</f>
        <v>0</v>
      </c>
      <c r="P26" s="5">
        <f>(VLOOKUP('8.0.0'!X26,'8.0.0'!$AM$4:$AO$45,2,FALSE))*IF('8.0.0'!BA$4="是",'8.0.0'!$AY$4,'8.0.0'!$AY$3)</f>
        <v>0</v>
      </c>
      <c r="Q26" s="4">
        <f>(VLOOKUP('8.0.0'!Y26,'8.0.0'!$AM$4:$AO$45,2,FALSE))*IF('8.0.0'!BB$4="是",'8.0.0'!$AY$4,'8.0.0'!$AY$3)</f>
        <v>170</v>
      </c>
      <c r="R26" s="4">
        <f>(VLOOKUP('8.0.0'!Z26,'8.0.0'!$AM$4:$AO$45,2,FALSE))*IF('8.0.0'!BC$4="是",'8.0.0'!$AY$4,'8.0.0'!$AY$3)</f>
        <v>170</v>
      </c>
      <c r="S26" s="4">
        <f>(VLOOKUP('8.0.0'!AA26,'8.0.0'!$AM$4:$AO$45,2,FALSE))*IF('8.0.0'!BD$4="是",'8.0.0'!$AY$4,'8.0.0'!$AY$3)</f>
        <v>170</v>
      </c>
      <c r="T26" s="4">
        <f>(VLOOKUP('8.0.0'!AB26,'8.0.0'!$AM$4:$AO$45,2,FALSE))*IF('8.0.0'!BE$4="是",'8.0.0'!$AY$4,'8.0.0'!$AY$3)</f>
        <v>170</v>
      </c>
      <c r="U26" s="4">
        <f>(VLOOKUP('8.0.0'!AC26,'8.0.0'!$AM$4:$AO$45,2,FALSE))*IF('8.0.0'!BF$4="是",'8.0.0'!$AY$4,'8.0.0'!$AY$3)</f>
        <v>170</v>
      </c>
      <c r="V26" s="4">
        <f>(VLOOKUP('8.0.0'!AD26,'8.0.0'!$AM$4:$AO$45,2,FALSE))*IF('8.0.0'!BG$4="是",'8.0.0'!$AY$4,'8.0.0'!$AY$3)</f>
        <v>170</v>
      </c>
      <c r="W26" s="5">
        <f>(VLOOKUP('8.0.0'!AE26,'8.0.0'!$AM$4:$AO$45,2,FALSE))*IF('8.0.0'!BH$4="是",'8.0.0'!$AY$4,'8.0.0'!$AY$3)</f>
        <v>0</v>
      </c>
      <c r="X26" s="5">
        <f>(VLOOKUP('8.0.0'!AF26,'8.0.0'!$AM$4:$AO$45,2,FALSE))*IF('8.0.0'!BI$4="是",'8.0.0'!$AY$4,'8.0.0'!$AY$3)</f>
        <v>0</v>
      </c>
    </row>
    <row r="27" spans="1:24">
      <c r="A27" s="4">
        <f>(VLOOKUP('8.0.0'!I27,'8.0.0'!$AM$4:$AO$45,2,FALSE))*IF('8.0.0'!AK$4="是",'8.0.0'!$AY$4,'8.0.0'!$AY$3)</f>
        <v>180</v>
      </c>
      <c r="B27" s="4">
        <f>(VLOOKUP('8.0.0'!J27,'8.0.0'!$AM$4:$AO$45,2,FALSE))*IF('8.0.0'!AL$4="是",'8.0.0'!$AY$4,'8.0.0'!$AY$3)</f>
        <v>150</v>
      </c>
      <c r="C27" s="4">
        <f>(VLOOKUP('8.0.0'!K27,'8.0.0'!$AM$4:$AO$45,2,FALSE))*IF('8.0.0'!AM$4="是",'8.0.0'!$AY$4,'8.0.0'!$AY$3)</f>
        <v>180</v>
      </c>
      <c r="D27" s="4">
        <f>(VLOOKUP('8.0.0'!L27,'8.0.0'!$AM$4:$AO$45,2,FALSE))*IF('8.0.0'!AN$4="是",'8.0.0'!$AY$4,'8.0.0'!$AY$3)</f>
        <v>180</v>
      </c>
      <c r="E27" s="4">
        <f>(VLOOKUP('8.0.0'!M27,'8.0.0'!$AM$4:$AO$45,2,FALSE))*IF('8.0.0'!AO$4="是",'8.0.0'!$AY$4,'8.0.0'!$AY$3)</f>
        <v>180</v>
      </c>
      <c r="F27" s="4">
        <f>(VLOOKUP('8.0.0'!N27,'8.0.0'!$AM$4:$AO$45,2,FALSE))*IF('8.0.0'!AQ$4="是",'8.0.0'!$AY$4,'8.0.0'!$AY$3)</f>
        <v>180</v>
      </c>
      <c r="G27" s="5">
        <f>(VLOOKUP('8.0.0'!O27,'8.0.0'!$AM$4:$AO$45,2,FALSE))*IF('8.0.0'!AR$4="是",'8.0.0'!$AY$4,'8.0.0'!$AY$3)</f>
        <v>0</v>
      </c>
      <c r="H27" s="5">
        <f>(VLOOKUP('8.0.0'!P27,'8.0.0'!$AM$4:$AO$45,2,FALSE))*IF('8.0.0'!AS$4="是",'8.0.0'!$AY$4,'8.0.0'!$AY$3)</f>
        <v>0</v>
      </c>
      <c r="I27" s="4">
        <f>(VLOOKUP('8.0.0'!Q27,'8.0.0'!$AM$4:$AO$45,2,FALSE))*IF('8.0.0'!AT$4="是",'8.0.0'!$AY$4,'8.0.0'!$AY$3)</f>
        <v>0</v>
      </c>
      <c r="J27" s="4">
        <f>(VLOOKUP('8.0.0'!R27,'8.0.0'!$AM$4:$AO$45,2,FALSE))*IF('8.0.0'!AU$4="是",'8.0.0'!$AY$4,'8.0.0'!$AY$3)</f>
        <v>0</v>
      </c>
      <c r="K27" s="4">
        <f>(VLOOKUP('8.0.0'!S27,'8.0.0'!$AM$4:$AO$45,2,FALSE))*IF('8.0.0'!AV$4="是",'8.0.0'!$AY$4,'8.0.0'!$AY$3)</f>
        <v>0</v>
      </c>
      <c r="L27" s="4">
        <f>(VLOOKUP('8.0.0'!T27,'8.0.0'!$AM$4:$AO$45,2,FALSE))*IF('8.0.0'!AW$4="是",'8.0.0'!$AY$4,'8.0.0'!$AY$3)</f>
        <v>0</v>
      </c>
      <c r="M27" s="4">
        <f>(VLOOKUP('8.0.0'!U27,'8.0.0'!$AM$4:$AO$45,2,FALSE))*IF('8.0.0'!AX$4="是",'8.0.0'!$AY$4,'8.0.0'!$AY$3)</f>
        <v>0</v>
      </c>
      <c r="N27" s="4">
        <f>(VLOOKUP('8.0.0'!V27,'8.0.0'!$AM$4:$AO$45,2,FALSE))*IF('8.0.0'!AY$4="是",'8.0.0'!$AY$4,'8.0.0'!$AY$3)</f>
        <v>0</v>
      </c>
      <c r="O27" s="5">
        <f>(VLOOKUP('8.0.0'!W27,'8.0.0'!$AM$4:$AO$45,2,FALSE))*IF('8.0.0'!AZ$4="是",'8.0.0'!$AY$4,'8.0.0'!$AY$3)</f>
        <v>0</v>
      </c>
      <c r="P27" s="5">
        <f>(VLOOKUP('8.0.0'!X27,'8.0.0'!$AM$4:$AO$45,2,FALSE))*IF('8.0.0'!BA$4="是",'8.0.0'!$AY$4,'8.0.0'!$AY$3)</f>
        <v>0</v>
      </c>
      <c r="Q27" s="4">
        <f>(VLOOKUP('8.0.0'!Y27,'8.0.0'!$AM$4:$AO$45,2,FALSE))*IF('8.0.0'!BB$4="是",'8.0.0'!$AY$4,'8.0.0'!$AY$3)</f>
        <v>170</v>
      </c>
      <c r="R27" s="4">
        <f>(VLOOKUP('8.0.0'!Z27,'8.0.0'!$AM$4:$AO$45,2,FALSE))*IF('8.0.0'!BC$4="是",'8.0.0'!$AY$4,'8.0.0'!$AY$3)</f>
        <v>170</v>
      </c>
      <c r="S27" s="4">
        <f>(VLOOKUP('8.0.0'!AA27,'8.0.0'!$AM$4:$AO$45,2,FALSE))*IF('8.0.0'!BD$4="是",'8.0.0'!$AY$4,'8.0.0'!$AY$3)</f>
        <v>170</v>
      </c>
      <c r="T27" s="4">
        <f>(VLOOKUP('8.0.0'!AB27,'8.0.0'!$AM$4:$AO$45,2,FALSE))*IF('8.0.0'!BE$4="是",'8.0.0'!$AY$4,'8.0.0'!$AY$3)</f>
        <v>-200</v>
      </c>
      <c r="U27" s="4">
        <f>(VLOOKUP('8.0.0'!AC27,'8.0.0'!$AM$4:$AO$45,2,FALSE))*IF('8.0.0'!BF$4="是",'8.0.0'!$AY$4,'8.0.0'!$AY$3)</f>
        <v>170</v>
      </c>
      <c r="V27" s="4">
        <f>(VLOOKUP('8.0.0'!AD27,'8.0.0'!$AM$4:$AO$45,2,FALSE))*IF('8.0.0'!BG$4="是",'8.0.0'!$AY$4,'8.0.0'!$AY$3)</f>
        <v>170</v>
      </c>
      <c r="W27" s="5">
        <f>(VLOOKUP('8.0.0'!AE27,'8.0.0'!$AM$4:$AO$45,2,FALSE))*IF('8.0.0'!BH$4="是",'8.0.0'!$AY$4,'8.0.0'!$AY$3)</f>
        <v>170</v>
      </c>
      <c r="X27" s="5">
        <f>(VLOOKUP('8.0.0'!AF27,'8.0.0'!$AM$4:$AO$45,2,FALSE))*IF('8.0.0'!BI$4="是",'8.0.0'!$AY$4,'8.0.0'!$AY$3)</f>
        <v>170</v>
      </c>
    </row>
    <row r="28" spans="1:24">
      <c r="A28" s="4">
        <f>(VLOOKUP('8.0.0'!I28,'8.0.0'!$AM$4:$AO$45,2,FALSE))*IF('8.0.0'!AK$4="是",'8.0.0'!$AY$4,'8.0.0'!$AY$3)</f>
        <v>180</v>
      </c>
      <c r="B28" s="4">
        <f>(VLOOKUP('8.0.0'!J28,'8.0.0'!$AM$4:$AO$45,2,FALSE))*IF('8.0.0'!AL$4="是",'8.0.0'!$AY$4,'8.0.0'!$AY$3)</f>
        <v>180</v>
      </c>
      <c r="C28" s="4">
        <f>(VLOOKUP('8.0.0'!K28,'8.0.0'!$AM$4:$AO$45,2,FALSE))*IF('8.0.0'!AM$4="是",'8.0.0'!$AY$4,'8.0.0'!$AY$3)</f>
        <v>150</v>
      </c>
      <c r="D28" s="4">
        <f>(VLOOKUP('8.0.0'!L28,'8.0.0'!$AM$4:$AO$45,2,FALSE))*IF('8.0.0'!AN$4="是",'8.0.0'!$AY$4,'8.0.0'!$AY$3)</f>
        <v>190</v>
      </c>
      <c r="E28" s="4">
        <f>(VLOOKUP('8.0.0'!M28,'8.0.0'!$AM$4:$AO$45,2,FALSE))*IF('8.0.0'!AO$4="是",'8.0.0'!$AY$4,'8.0.0'!$AY$3)</f>
        <v>190</v>
      </c>
      <c r="F28" s="4">
        <f>(VLOOKUP('8.0.0'!N28,'8.0.0'!$AM$4:$AO$45,2,FALSE))*IF('8.0.0'!AQ$4="是",'8.0.0'!$AY$4,'8.0.0'!$AY$3)</f>
        <v>190</v>
      </c>
      <c r="G28" s="5">
        <f>(VLOOKUP('8.0.0'!O28,'8.0.0'!$AM$4:$AO$45,2,FALSE))*IF('8.0.0'!AR$4="是",'8.0.0'!$AY$4,'8.0.0'!$AY$3)</f>
        <v>0</v>
      </c>
      <c r="H28" s="5">
        <f>(VLOOKUP('8.0.0'!P28,'8.0.0'!$AM$4:$AO$45,2,FALSE))*IF('8.0.0'!AS$4="是",'8.0.0'!$AY$4,'8.0.0'!$AY$3)</f>
        <v>0</v>
      </c>
      <c r="I28" s="4">
        <f>(VLOOKUP('8.0.0'!Q28,'8.0.0'!$AM$4:$AO$45,2,FALSE))*IF('8.0.0'!AT$4="是",'8.0.0'!$AY$4,'8.0.0'!$AY$3)</f>
        <v>0</v>
      </c>
      <c r="J28" s="4">
        <f>(VLOOKUP('8.0.0'!R28,'8.0.0'!$AM$4:$AO$45,2,FALSE))*IF('8.0.0'!AU$4="是",'8.0.0'!$AY$4,'8.0.0'!$AY$3)</f>
        <v>0</v>
      </c>
      <c r="K28" s="4">
        <f>(VLOOKUP('8.0.0'!S28,'8.0.0'!$AM$4:$AO$45,2,FALSE))*IF('8.0.0'!AV$4="是",'8.0.0'!$AY$4,'8.0.0'!$AY$3)</f>
        <v>0</v>
      </c>
      <c r="L28" s="4">
        <f>(VLOOKUP('8.0.0'!T28,'8.0.0'!$AM$4:$AO$45,2,FALSE))*IF('8.0.0'!AW$4="是",'8.0.0'!$AY$4,'8.0.0'!$AY$3)</f>
        <v>0</v>
      </c>
      <c r="M28" s="4">
        <f>(VLOOKUP('8.0.0'!U28,'8.0.0'!$AM$4:$AO$45,2,FALSE))*IF('8.0.0'!AX$4="是",'8.0.0'!$AY$4,'8.0.0'!$AY$3)</f>
        <v>0</v>
      </c>
      <c r="N28" s="4">
        <f>(VLOOKUP('8.0.0'!V28,'8.0.0'!$AM$4:$AO$45,2,FALSE))*IF('8.0.0'!AY$4="是",'8.0.0'!$AY$4,'8.0.0'!$AY$3)</f>
        <v>0</v>
      </c>
      <c r="O28" s="5">
        <f>(VLOOKUP('8.0.0'!W28,'8.0.0'!$AM$4:$AO$45,2,FALSE))*IF('8.0.0'!AZ$4="是",'8.0.0'!$AY$4,'8.0.0'!$AY$3)</f>
        <v>0</v>
      </c>
      <c r="P28" s="5">
        <f>(VLOOKUP('8.0.0'!X28,'8.0.0'!$AM$4:$AO$45,2,FALSE))*IF('8.0.0'!BA$4="是",'8.0.0'!$AY$4,'8.0.0'!$AY$3)</f>
        <v>0</v>
      </c>
      <c r="Q28" s="4">
        <f>(VLOOKUP('8.0.0'!Y28,'8.0.0'!$AM$4:$AO$45,2,FALSE))*IF('8.0.0'!BB$4="是",'8.0.0'!$AY$4,'8.0.0'!$AY$3)</f>
        <v>170</v>
      </c>
      <c r="R28" s="4">
        <f>(VLOOKUP('8.0.0'!Z28,'8.0.0'!$AM$4:$AO$45,2,FALSE))*IF('8.0.0'!BC$4="是",'8.0.0'!$AY$4,'8.0.0'!$AY$3)</f>
        <v>170</v>
      </c>
      <c r="S28" s="4">
        <f>(VLOOKUP('8.0.0'!AA28,'8.0.0'!$AM$4:$AO$45,2,FALSE))*IF('8.0.0'!BD$4="是",'8.0.0'!$AY$4,'8.0.0'!$AY$3)</f>
        <v>170</v>
      </c>
      <c r="T28" s="4">
        <f>(VLOOKUP('8.0.0'!AB28,'8.0.0'!$AM$4:$AO$45,2,FALSE))*IF('8.0.0'!BE$4="是",'8.0.0'!$AY$4,'8.0.0'!$AY$3)</f>
        <v>170</v>
      </c>
      <c r="U28" s="4">
        <f>(VLOOKUP('8.0.0'!AC28,'8.0.0'!$AM$4:$AO$45,2,FALSE))*IF('8.0.0'!BF$4="是",'8.0.0'!$AY$4,'8.0.0'!$AY$3)</f>
        <v>170</v>
      </c>
      <c r="V28" s="4">
        <f>(VLOOKUP('8.0.0'!AD28,'8.0.0'!$AM$4:$AO$45,2,FALSE))*IF('8.0.0'!BG$4="是",'8.0.0'!$AY$4,'8.0.0'!$AY$3)</f>
        <v>170</v>
      </c>
      <c r="W28" s="5">
        <f>(VLOOKUP('8.0.0'!AE28,'8.0.0'!$AM$4:$AO$45,2,FALSE))*IF('8.0.0'!BH$4="是",'8.0.0'!$AY$4,'8.0.0'!$AY$3)</f>
        <v>0</v>
      </c>
      <c r="X28" s="5">
        <f>(VLOOKUP('8.0.0'!AF28,'8.0.0'!$AM$4:$AO$45,2,FALSE))*IF('8.0.0'!BI$4="是",'8.0.0'!$AY$4,'8.0.0'!$AY$3)</f>
        <v>0</v>
      </c>
    </row>
    <row r="29" spans="1:24">
      <c r="A29" s="4">
        <f>(VLOOKUP('8.0.0'!I29,'8.0.0'!$AM$4:$AO$45,2,FALSE))*IF('8.0.0'!AK$4="是",'8.0.0'!$AY$4,'8.0.0'!$AY$3)</f>
        <v>190</v>
      </c>
      <c r="B29" s="4">
        <f>(VLOOKUP('8.0.0'!J29,'8.0.0'!$AM$4:$AO$45,2,FALSE))*IF('8.0.0'!AL$4="是",'8.0.0'!$AY$4,'8.0.0'!$AY$3)</f>
        <v>180</v>
      </c>
      <c r="C29" s="4">
        <f>(VLOOKUP('8.0.0'!K29,'8.0.0'!$AM$4:$AO$45,2,FALSE))*IF('8.0.0'!AM$4="是",'8.0.0'!$AY$4,'8.0.0'!$AY$3)</f>
        <v>190</v>
      </c>
      <c r="D29" s="4">
        <f>(VLOOKUP('8.0.0'!L29,'8.0.0'!$AM$4:$AO$45,2,FALSE))*IF('8.0.0'!AN$4="是",'8.0.0'!$AY$4,'8.0.0'!$AY$3)</f>
        <v>190</v>
      </c>
      <c r="E29" s="4">
        <f>(VLOOKUP('8.0.0'!M29,'8.0.0'!$AM$4:$AO$45,2,FALSE))*IF('8.0.0'!AO$4="是",'8.0.0'!$AY$4,'8.0.0'!$AY$3)</f>
        <v>190</v>
      </c>
      <c r="F29" s="4">
        <f>(VLOOKUP('8.0.0'!N29,'8.0.0'!$AM$4:$AO$45,2,FALSE))*IF('8.0.0'!AQ$4="是",'8.0.0'!$AY$4,'8.0.0'!$AY$3)</f>
        <v>190</v>
      </c>
      <c r="G29" s="5">
        <f>(VLOOKUP('8.0.0'!O29,'8.0.0'!$AM$4:$AO$45,2,FALSE))*IF('8.0.0'!AR$4="是",'8.0.0'!$AY$4,'8.0.0'!$AY$3)</f>
        <v>0</v>
      </c>
      <c r="H29" s="5">
        <f>(VLOOKUP('8.0.0'!P29,'8.0.0'!$AM$4:$AO$45,2,FALSE))*IF('8.0.0'!AS$4="是",'8.0.0'!$AY$4,'8.0.0'!$AY$3)</f>
        <v>0</v>
      </c>
      <c r="I29" s="4">
        <f>(VLOOKUP('8.0.0'!Q29,'8.0.0'!$AM$4:$AO$45,2,FALSE))*IF('8.0.0'!AT$4="是",'8.0.0'!$AY$4,'8.0.0'!$AY$3)</f>
        <v>0</v>
      </c>
      <c r="J29" s="4">
        <f>(VLOOKUP('8.0.0'!R29,'8.0.0'!$AM$4:$AO$45,2,FALSE))*IF('8.0.0'!AU$4="是",'8.0.0'!$AY$4,'8.0.0'!$AY$3)</f>
        <v>0</v>
      </c>
      <c r="K29" s="4">
        <f>(VLOOKUP('8.0.0'!S29,'8.0.0'!$AM$4:$AO$45,2,FALSE))*IF('8.0.0'!AV$4="是",'8.0.0'!$AY$4,'8.0.0'!$AY$3)</f>
        <v>0</v>
      </c>
      <c r="L29" s="4">
        <f>(VLOOKUP('8.0.0'!T29,'8.0.0'!$AM$4:$AO$45,2,FALSE))*IF('8.0.0'!AW$4="是",'8.0.0'!$AY$4,'8.0.0'!$AY$3)</f>
        <v>0</v>
      </c>
      <c r="M29" s="4">
        <f>(VLOOKUP('8.0.0'!U29,'8.0.0'!$AM$4:$AO$45,2,FALSE))*IF('8.0.0'!AX$4="是",'8.0.0'!$AY$4,'8.0.0'!$AY$3)</f>
        <v>0</v>
      </c>
      <c r="N29" s="4">
        <f>(VLOOKUP('8.0.0'!V29,'8.0.0'!$AM$4:$AO$45,2,FALSE))*IF('8.0.0'!AY$4="是",'8.0.0'!$AY$4,'8.0.0'!$AY$3)</f>
        <v>0</v>
      </c>
      <c r="O29" s="5">
        <f>(VLOOKUP('8.0.0'!W29,'8.0.0'!$AM$4:$AO$45,2,FALSE))*IF('8.0.0'!AZ$4="是",'8.0.0'!$AY$4,'8.0.0'!$AY$3)</f>
        <v>0</v>
      </c>
      <c r="P29" s="5">
        <f>(VLOOKUP('8.0.0'!X29,'8.0.0'!$AM$4:$AO$45,2,FALSE))*IF('8.0.0'!BA$4="是",'8.0.0'!$AY$4,'8.0.0'!$AY$3)</f>
        <v>0</v>
      </c>
      <c r="Q29" s="4">
        <f>(VLOOKUP('8.0.0'!Y29,'8.0.0'!$AM$4:$AO$45,2,FALSE))*IF('8.0.0'!BB$4="是",'8.0.0'!$AY$4,'8.0.0'!$AY$3)</f>
        <v>170</v>
      </c>
      <c r="R29" s="4">
        <f>(VLOOKUP('8.0.0'!Z29,'8.0.0'!$AM$4:$AO$45,2,FALSE))*IF('8.0.0'!BC$4="是",'8.0.0'!$AY$4,'8.0.0'!$AY$3)</f>
        <v>170</v>
      </c>
      <c r="S29" s="4">
        <f>(VLOOKUP('8.0.0'!AA29,'8.0.0'!$AM$4:$AO$45,2,FALSE))*IF('8.0.0'!BD$4="是",'8.0.0'!$AY$4,'8.0.0'!$AY$3)</f>
        <v>170</v>
      </c>
      <c r="T29" s="4">
        <f>(VLOOKUP('8.0.0'!AB29,'8.0.0'!$AM$4:$AO$45,2,FALSE))*IF('8.0.0'!BE$4="是",'8.0.0'!$AY$4,'8.0.0'!$AY$3)</f>
        <v>170</v>
      </c>
      <c r="U29" s="4">
        <f>(VLOOKUP('8.0.0'!AC29,'8.0.0'!$AM$4:$AO$45,2,FALSE))*IF('8.0.0'!BF$4="是",'8.0.0'!$AY$4,'8.0.0'!$AY$3)</f>
        <v>170</v>
      </c>
      <c r="V29" s="4">
        <f>(VLOOKUP('8.0.0'!AD29,'8.0.0'!$AM$4:$AO$45,2,FALSE))*IF('8.0.0'!BG$4="是",'8.0.0'!$AY$4,'8.0.0'!$AY$3)</f>
        <v>150</v>
      </c>
      <c r="W29" s="5">
        <f>(VLOOKUP('8.0.0'!AE29,'8.0.0'!$AM$4:$AO$45,2,FALSE))*IF('8.0.0'!BH$4="是",'8.0.0'!$AY$4,'8.0.0'!$AY$3)</f>
        <v>0</v>
      </c>
      <c r="X29" s="5">
        <f>(VLOOKUP('8.0.0'!AF29,'8.0.0'!$AM$4:$AO$45,2,FALSE))*IF('8.0.0'!BI$4="是",'8.0.0'!$AY$4,'8.0.0'!$AY$3)</f>
        <v>0</v>
      </c>
    </row>
    <row r="30" spans="1:24">
      <c r="A30" s="4">
        <f>(VLOOKUP('8.0.0'!I30,'8.0.0'!$AM$4:$AO$45,2,FALSE))*IF('8.0.0'!AK$4="是",'8.0.0'!$AY$4,'8.0.0'!$AY$3)</f>
        <v>190</v>
      </c>
      <c r="B30" s="4">
        <f>(VLOOKUP('8.0.0'!J30,'8.0.0'!$AM$4:$AO$45,2,FALSE))*IF('8.0.0'!AL$4="是",'8.0.0'!$AY$4,'8.0.0'!$AY$3)</f>
        <v>190</v>
      </c>
      <c r="C30" s="4">
        <f>(VLOOKUP('8.0.0'!K30,'8.0.0'!$AM$4:$AO$45,2,FALSE))*IF('8.0.0'!AM$4="是",'8.0.0'!$AY$4,'8.0.0'!$AY$3)</f>
        <v>190</v>
      </c>
      <c r="D30" s="4">
        <f>(VLOOKUP('8.0.0'!L30,'8.0.0'!$AM$4:$AO$45,2,FALSE))*IF('8.0.0'!AN$4="是",'8.0.0'!$AY$4,'8.0.0'!$AY$3)</f>
        <v>190</v>
      </c>
      <c r="E30" s="4">
        <f>(VLOOKUP('8.0.0'!M30,'8.0.0'!$AM$4:$AO$45,2,FALSE))*IF('8.0.0'!AO$4="是",'8.0.0'!$AY$4,'8.0.0'!$AY$3)</f>
        <v>190</v>
      </c>
      <c r="F30" s="4">
        <f>(VLOOKUP('8.0.0'!N30,'8.0.0'!$AM$4:$AO$45,2,FALSE))*IF('8.0.0'!AQ$4="是",'8.0.0'!$AY$4,'8.0.0'!$AY$3)</f>
        <v>190</v>
      </c>
      <c r="G30" s="5">
        <f>(VLOOKUP('8.0.0'!O30,'8.0.0'!$AM$4:$AO$45,2,FALSE))*IF('8.0.0'!AR$4="是",'8.0.0'!$AY$4,'8.0.0'!$AY$3)</f>
        <v>0</v>
      </c>
      <c r="H30" s="5">
        <f>(VLOOKUP('8.0.0'!P30,'8.0.0'!$AM$4:$AO$45,2,FALSE))*IF('8.0.0'!AS$4="是",'8.0.0'!$AY$4,'8.0.0'!$AY$3)</f>
        <v>0</v>
      </c>
      <c r="I30" s="4">
        <f>(VLOOKUP('8.0.0'!Q30,'8.0.0'!$AM$4:$AO$45,2,FALSE))*IF('8.0.0'!AT$4="是",'8.0.0'!$AY$4,'8.0.0'!$AY$3)</f>
        <v>0</v>
      </c>
      <c r="J30" s="4">
        <f>(VLOOKUP('8.0.0'!R30,'8.0.0'!$AM$4:$AO$45,2,FALSE))*IF('8.0.0'!AU$4="是",'8.0.0'!$AY$4,'8.0.0'!$AY$3)</f>
        <v>0</v>
      </c>
      <c r="K30" s="4">
        <f>(VLOOKUP('8.0.0'!S30,'8.0.0'!$AM$4:$AO$45,2,FALSE))*IF('8.0.0'!AV$4="是",'8.0.0'!$AY$4,'8.0.0'!$AY$3)</f>
        <v>0</v>
      </c>
      <c r="L30" s="4">
        <f>(VLOOKUP('8.0.0'!T30,'8.0.0'!$AM$4:$AO$45,2,FALSE))*IF('8.0.0'!AW$4="是",'8.0.0'!$AY$4,'8.0.0'!$AY$3)</f>
        <v>0</v>
      </c>
      <c r="M30" s="4">
        <f>(VLOOKUP('8.0.0'!U30,'8.0.0'!$AM$4:$AO$45,2,FALSE))*IF('8.0.0'!AX$4="是",'8.0.0'!$AY$4,'8.0.0'!$AY$3)</f>
        <v>0</v>
      </c>
      <c r="N30" s="4">
        <f>(VLOOKUP('8.0.0'!V30,'8.0.0'!$AM$4:$AO$45,2,FALSE))*IF('8.0.0'!AY$4="是",'8.0.0'!$AY$4,'8.0.0'!$AY$3)</f>
        <v>0</v>
      </c>
      <c r="O30" s="5">
        <f>(VLOOKUP('8.0.0'!W30,'8.0.0'!$AM$4:$AO$45,2,FALSE))*IF('8.0.0'!AZ$4="是",'8.0.0'!$AY$4,'8.0.0'!$AY$3)</f>
        <v>0</v>
      </c>
      <c r="P30" s="5">
        <f>(VLOOKUP('8.0.0'!X30,'8.0.0'!$AM$4:$AO$45,2,FALSE))*IF('8.0.0'!BA$4="是",'8.0.0'!$AY$4,'8.0.0'!$AY$3)</f>
        <v>0</v>
      </c>
      <c r="Q30" s="4">
        <f>(VLOOKUP('8.0.0'!Y30,'8.0.0'!$AM$4:$AO$45,2,FALSE))*IF('8.0.0'!BB$4="是",'8.0.0'!$AY$4,'8.0.0'!$AY$3)</f>
        <v>170</v>
      </c>
      <c r="R30" s="4">
        <f>(VLOOKUP('8.0.0'!Z30,'8.0.0'!$AM$4:$AO$45,2,FALSE))*IF('8.0.0'!BC$4="是",'8.0.0'!$AY$4,'8.0.0'!$AY$3)</f>
        <v>170</v>
      </c>
      <c r="S30" s="4">
        <f>(VLOOKUP('8.0.0'!AA30,'8.0.0'!$AM$4:$AO$45,2,FALSE))*IF('8.0.0'!BD$4="是",'8.0.0'!$AY$4,'8.0.0'!$AY$3)</f>
        <v>170</v>
      </c>
      <c r="T30" s="4">
        <f>(VLOOKUP('8.0.0'!AB30,'8.0.0'!$AM$4:$AO$45,2,FALSE))*IF('8.0.0'!BE$4="是",'8.0.0'!$AY$4,'8.0.0'!$AY$3)</f>
        <v>170</v>
      </c>
      <c r="U30" s="4">
        <f>(VLOOKUP('8.0.0'!AC30,'8.0.0'!$AM$4:$AO$45,2,FALSE))*IF('8.0.0'!BF$4="是",'8.0.0'!$AY$4,'8.0.0'!$AY$3)</f>
        <v>50</v>
      </c>
      <c r="V30" s="4">
        <f>(VLOOKUP('8.0.0'!AD30,'8.0.0'!$AM$4:$AO$45,2,FALSE))*IF('8.0.0'!BG$4="是",'8.0.0'!$AY$4,'8.0.0'!$AY$3)</f>
        <v>170</v>
      </c>
      <c r="W30" s="5">
        <f>(VLOOKUP('8.0.0'!AE30,'8.0.0'!$AM$4:$AO$45,2,FALSE))*IF('8.0.0'!BH$4="是",'8.0.0'!$AY$4,'8.0.0'!$AY$3)</f>
        <v>0</v>
      </c>
      <c r="X30" s="5">
        <f>(VLOOKUP('8.0.0'!AF30,'8.0.0'!$AM$4:$AO$45,2,FALSE))*IF('8.0.0'!BI$4="是",'8.0.0'!$AY$4,'8.0.0'!$AY$3)</f>
        <v>0</v>
      </c>
    </row>
    <row r="31" spans="1:24">
      <c r="A31" s="4">
        <f>(VLOOKUP('8.0.0'!I31,'8.0.0'!$AM$4:$AO$45,2,FALSE))*IF('8.0.0'!AK$4="是",'8.0.0'!$AY$4,'8.0.0'!$AY$3)</f>
        <v>190</v>
      </c>
      <c r="B31" s="4">
        <f>(VLOOKUP('8.0.0'!J31,'8.0.0'!$AM$4:$AO$45,2,FALSE))*IF('8.0.0'!AL$4="是",'8.0.0'!$AY$4,'8.0.0'!$AY$3)</f>
        <v>190</v>
      </c>
      <c r="C31" s="4">
        <f>(VLOOKUP('8.0.0'!K31,'8.0.0'!$AM$4:$AO$45,2,FALSE))*IF('8.0.0'!AM$4="是",'8.0.0'!$AY$4,'8.0.0'!$AY$3)</f>
        <v>190</v>
      </c>
      <c r="D31" s="4">
        <f>(VLOOKUP('8.0.0'!L31,'8.0.0'!$AM$4:$AO$45,2,FALSE))*IF('8.0.0'!AN$4="是",'8.0.0'!$AY$4,'8.0.0'!$AY$3)</f>
        <v>190</v>
      </c>
      <c r="E31" s="4">
        <f>(VLOOKUP('8.0.0'!M31,'8.0.0'!$AM$4:$AO$45,2,FALSE))*IF('8.0.0'!AO$4="是",'8.0.0'!$AY$4,'8.0.0'!$AY$3)</f>
        <v>190</v>
      </c>
      <c r="F31" s="4">
        <f>(VLOOKUP('8.0.0'!N31,'8.0.0'!$AM$4:$AO$45,2,FALSE))*IF('8.0.0'!AQ$4="是",'8.0.0'!$AY$4,'8.0.0'!$AY$3)</f>
        <v>190</v>
      </c>
      <c r="G31" s="5">
        <f>(VLOOKUP('8.0.0'!O31,'8.0.0'!$AM$4:$AO$45,2,FALSE))*IF('8.0.0'!AR$4="是",'8.0.0'!$AY$4,'8.0.0'!$AY$3)</f>
        <v>0</v>
      </c>
      <c r="H31" s="5">
        <f>(VLOOKUP('8.0.0'!P31,'8.0.0'!$AM$4:$AO$45,2,FALSE))*IF('8.0.0'!AS$4="是",'8.0.0'!$AY$4,'8.0.0'!$AY$3)</f>
        <v>0</v>
      </c>
      <c r="I31" s="4">
        <f>(VLOOKUP('8.0.0'!Q31,'8.0.0'!$AM$4:$AO$45,2,FALSE))*IF('8.0.0'!AT$4="是",'8.0.0'!$AY$4,'8.0.0'!$AY$3)</f>
        <v>0</v>
      </c>
      <c r="J31" s="4">
        <f>(VLOOKUP('8.0.0'!R31,'8.0.0'!$AM$4:$AO$45,2,FALSE))*IF('8.0.0'!AU$4="是",'8.0.0'!$AY$4,'8.0.0'!$AY$3)</f>
        <v>0</v>
      </c>
      <c r="K31" s="4">
        <f>(VLOOKUP('8.0.0'!S31,'8.0.0'!$AM$4:$AO$45,2,FALSE))*IF('8.0.0'!AV$4="是",'8.0.0'!$AY$4,'8.0.0'!$AY$3)</f>
        <v>0</v>
      </c>
      <c r="L31" s="4">
        <f>(VLOOKUP('8.0.0'!T31,'8.0.0'!$AM$4:$AO$45,2,FALSE))*IF('8.0.0'!AW$4="是",'8.0.0'!$AY$4,'8.0.0'!$AY$3)</f>
        <v>0</v>
      </c>
      <c r="M31" s="4">
        <f>(VLOOKUP('8.0.0'!U31,'8.0.0'!$AM$4:$AO$45,2,FALSE))*IF('8.0.0'!AX$4="是",'8.0.0'!$AY$4,'8.0.0'!$AY$3)</f>
        <v>0</v>
      </c>
      <c r="N31" s="4">
        <f>(VLOOKUP('8.0.0'!V31,'8.0.0'!$AM$4:$AO$45,2,FALSE))*IF('8.0.0'!AY$4="是",'8.0.0'!$AY$4,'8.0.0'!$AY$3)</f>
        <v>0</v>
      </c>
      <c r="O31" s="5">
        <f>(VLOOKUP('8.0.0'!W31,'8.0.0'!$AM$4:$AO$45,2,FALSE))*IF('8.0.0'!AZ$4="是",'8.0.0'!$AY$4,'8.0.0'!$AY$3)</f>
        <v>0</v>
      </c>
      <c r="P31" s="5">
        <f>(VLOOKUP('8.0.0'!X31,'8.0.0'!$AM$4:$AO$45,2,FALSE))*IF('8.0.0'!BA$4="是",'8.0.0'!$AY$4,'8.0.0'!$AY$3)</f>
        <v>0</v>
      </c>
      <c r="Q31" s="4">
        <f>(VLOOKUP('8.0.0'!Y31,'8.0.0'!$AM$4:$AO$45,2,FALSE))*IF('8.0.0'!BB$4="是",'8.0.0'!$AY$4,'8.0.0'!$AY$3)</f>
        <v>170</v>
      </c>
      <c r="R31" s="4">
        <f>(VLOOKUP('8.0.0'!Z31,'8.0.0'!$AM$4:$AO$45,2,FALSE))*IF('8.0.0'!BC$4="是",'8.0.0'!$AY$4,'8.0.0'!$AY$3)</f>
        <v>170</v>
      </c>
      <c r="S31" s="4">
        <f>(VLOOKUP('8.0.0'!AA31,'8.0.0'!$AM$4:$AO$45,2,FALSE))*IF('8.0.0'!BD$4="是",'8.0.0'!$AY$4,'8.0.0'!$AY$3)</f>
        <v>170</v>
      </c>
      <c r="T31" s="4">
        <f>(VLOOKUP('8.0.0'!AB31,'8.0.0'!$AM$4:$AO$45,2,FALSE))*IF('8.0.0'!BE$4="是",'8.0.0'!$AY$4,'8.0.0'!$AY$3)</f>
        <v>170</v>
      </c>
      <c r="U31" s="4">
        <f>(VLOOKUP('8.0.0'!AC31,'8.0.0'!$AM$4:$AO$45,2,FALSE))*IF('8.0.0'!BF$4="是",'8.0.0'!$AY$4,'8.0.0'!$AY$3)</f>
        <v>170</v>
      </c>
      <c r="V31" s="4">
        <f>(VLOOKUP('8.0.0'!AD31,'8.0.0'!$AM$4:$AO$45,2,FALSE))*IF('8.0.0'!BG$4="是",'8.0.0'!$AY$4,'8.0.0'!$AY$3)</f>
        <v>170</v>
      </c>
      <c r="W31" s="5">
        <f>(VLOOKUP('8.0.0'!AE31,'8.0.0'!$AM$4:$AO$45,2,FALSE))*IF('8.0.0'!BH$4="是",'8.0.0'!$AY$4,'8.0.0'!$AY$3)</f>
        <v>0</v>
      </c>
      <c r="X31" s="5">
        <f>(VLOOKUP('8.0.0'!AF31,'8.0.0'!$AM$4:$AO$45,2,FALSE))*IF('8.0.0'!BI$4="是",'8.0.0'!$AY$4,'8.0.0'!$AY$3)</f>
        <v>0</v>
      </c>
    </row>
    <row r="32" spans="1:24">
      <c r="A32" s="4">
        <f>(VLOOKUP('8.0.0'!I32,'8.0.0'!$AM$4:$AO$45,2,FALSE))*IF('8.0.0'!AK$4="是",'8.0.0'!$AY$4,'8.0.0'!$AY$3)</f>
        <v>190</v>
      </c>
      <c r="B32" s="4">
        <f>(VLOOKUP('8.0.0'!J32,'8.0.0'!$AM$4:$AO$45,2,FALSE))*IF('8.0.0'!AL$4="是",'8.0.0'!$AY$4,'8.0.0'!$AY$3)</f>
        <v>190</v>
      </c>
      <c r="C32" s="4">
        <f>(VLOOKUP('8.0.0'!K32,'8.0.0'!$AM$4:$AO$45,2,FALSE))*IF('8.0.0'!AM$4="是",'8.0.0'!$AY$4,'8.0.0'!$AY$3)</f>
        <v>190</v>
      </c>
      <c r="D32" s="4">
        <f>(VLOOKUP('8.0.0'!L32,'8.0.0'!$AM$4:$AO$45,2,FALSE))*IF('8.0.0'!AN$4="是",'8.0.0'!$AY$4,'8.0.0'!$AY$3)</f>
        <v>190</v>
      </c>
      <c r="E32" s="4">
        <f>(VLOOKUP('8.0.0'!M32,'8.0.0'!$AM$4:$AO$45,2,FALSE))*IF('8.0.0'!AO$4="是",'8.0.0'!$AY$4,'8.0.0'!$AY$3)</f>
        <v>190</v>
      </c>
      <c r="F32" s="4">
        <f>(VLOOKUP('8.0.0'!N32,'8.0.0'!$AM$4:$AO$45,2,FALSE))*IF('8.0.0'!AQ$4="是",'8.0.0'!$AY$4,'8.0.0'!$AY$3)</f>
        <v>190</v>
      </c>
      <c r="G32" s="5">
        <f>(VLOOKUP('8.0.0'!O32,'8.0.0'!$AM$4:$AO$45,2,FALSE))*IF('8.0.0'!AR$4="是",'8.0.0'!$AY$4,'8.0.0'!$AY$3)</f>
        <v>0</v>
      </c>
      <c r="H32" s="5">
        <f>(VLOOKUP('8.0.0'!P32,'8.0.0'!$AM$4:$AO$45,2,FALSE))*IF('8.0.0'!AS$4="是",'8.0.0'!$AY$4,'8.0.0'!$AY$3)</f>
        <v>0</v>
      </c>
      <c r="I32" s="4">
        <f>(VLOOKUP('8.0.0'!Q32,'8.0.0'!$AM$4:$AO$45,2,FALSE))*IF('8.0.0'!AT$4="是",'8.0.0'!$AY$4,'8.0.0'!$AY$3)</f>
        <v>0</v>
      </c>
      <c r="J32" s="4">
        <f>(VLOOKUP('8.0.0'!R32,'8.0.0'!$AM$4:$AO$45,2,FALSE))*IF('8.0.0'!AU$4="是",'8.0.0'!$AY$4,'8.0.0'!$AY$3)</f>
        <v>0</v>
      </c>
      <c r="K32" s="4">
        <f>(VLOOKUP('8.0.0'!S32,'8.0.0'!$AM$4:$AO$45,2,FALSE))*IF('8.0.0'!AV$4="是",'8.0.0'!$AY$4,'8.0.0'!$AY$3)</f>
        <v>0</v>
      </c>
      <c r="L32" s="4">
        <f>(VLOOKUP('8.0.0'!T32,'8.0.0'!$AM$4:$AO$45,2,FALSE))*IF('8.0.0'!AW$4="是",'8.0.0'!$AY$4,'8.0.0'!$AY$3)</f>
        <v>0</v>
      </c>
      <c r="M32" s="4">
        <f>(VLOOKUP('8.0.0'!U32,'8.0.0'!$AM$4:$AO$45,2,FALSE))*IF('8.0.0'!AX$4="是",'8.0.0'!$AY$4,'8.0.0'!$AY$3)</f>
        <v>0</v>
      </c>
      <c r="N32" s="4">
        <f>(VLOOKUP('8.0.0'!V32,'8.0.0'!$AM$4:$AO$45,2,FALSE))*IF('8.0.0'!AY$4="是",'8.0.0'!$AY$4,'8.0.0'!$AY$3)</f>
        <v>0</v>
      </c>
      <c r="O32" s="5">
        <f>(VLOOKUP('8.0.0'!W32,'8.0.0'!$AM$4:$AO$45,2,FALSE))*IF('8.0.0'!AZ$4="是",'8.0.0'!$AY$4,'8.0.0'!$AY$3)</f>
        <v>0</v>
      </c>
      <c r="P32" s="5">
        <f>(VLOOKUP('8.0.0'!X32,'8.0.0'!$AM$4:$AO$45,2,FALSE))*IF('8.0.0'!BA$4="是",'8.0.0'!$AY$4,'8.0.0'!$AY$3)</f>
        <v>0</v>
      </c>
      <c r="Q32" s="4">
        <f>(VLOOKUP('8.0.0'!Y32,'8.0.0'!$AM$4:$AO$45,2,FALSE))*IF('8.0.0'!BB$4="是",'8.0.0'!$AY$4,'8.0.0'!$AY$3)</f>
        <v>50</v>
      </c>
      <c r="R32" s="4">
        <f>(VLOOKUP('8.0.0'!Z32,'8.0.0'!$AM$4:$AO$45,2,FALSE))*IF('8.0.0'!BC$4="是",'8.0.0'!$AY$4,'8.0.0'!$AY$3)</f>
        <v>170</v>
      </c>
      <c r="S32" s="4">
        <f>(VLOOKUP('8.0.0'!AA32,'8.0.0'!$AM$4:$AO$45,2,FALSE))*IF('8.0.0'!BD$4="是",'8.0.0'!$AY$4,'8.0.0'!$AY$3)</f>
        <v>170</v>
      </c>
      <c r="T32" s="4">
        <f>(VLOOKUP('8.0.0'!AB32,'8.0.0'!$AM$4:$AO$45,2,FALSE))*IF('8.0.0'!BE$4="是",'8.0.0'!$AY$4,'8.0.0'!$AY$3)</f>
        <v>170</v>
      </c>
      <c r="U32" s="4">
        <f>(VLOOKUP('8.0.0'!AC32,'8.0.0'!$AM$4:$AO$45,2,FALSE))*IF('8.0.0'!BF$4="是",'8.0.0'!$AY$4,'8.0.0'!$AY$3)</f>
        <v>170</v>
      </c>
      <c r="V32" s="4">
        <f>(VLOOKUP('8.0.0'!AD32,'8.0.0'!$AM$4:$AO$45,2,FALSE))*IF('8.0.0'!BG$4="是",'8.0.0'!$AY$4,'8.0.0'!$AY$3)</f>
        <v>170</v>
      </c>
      <c r="W32" s="5">
        <f>(VLOOKUP('8.0.0'!AE32,'8.0.0'!$AM$4:$AO$45,2,FALSE))*IF('8.0.0'!BH$4="是",'8.0.0'!$AY$4,'8.0.0'!$AY$3)</f>
        <v>0</v>
      </c>
      <c r="X32" s="5">
        <f>(VLOOKUP('8.0.0'!AF32,'8.0.0'!$AM$4:$AO$45,2,FALSE))*IF('8.0.0'!BI$4="是",'8.0.0'!$AY$4,'8.0.0'!$AY$3)</f>
        <v>0</v>
      </c>
    </row>
    <row r="33" spans="1:24">
      <c r="A33" s="4">
        <f>(VLOOKUP('8.0.0'!I33,'8.0.0'!$AM$4:$AO$45,2,FALSE))*IF('8.0.0'!AK$4="是",'8.0.0'!$AY$4,'8.0.0'!$AY$3)</f>
        <v>190</v>
      </c>
      <c r="B33" s="4">
        <f>(VLOOKUP('8.0.0'!J33,'8.0.0'!$AM$4:$AO$45,2,FALSE))*IF('8.0.0'!AL$4="是",'8.0.0'!$AY$4,'8.0.0'!$AY$3)</f>
        <v>190</v>
      </c>
      <c r="C33" s="4">
        <f>(VLOOKUP('8.0.0'!K33,'8.0.0'!$AM$4:$AO$45,2,FALSE))*IF('8.0.0'!AM$4="是",'8.0.0'!$AY$4,'8.0.0'!$AY$3)</f>
        <v>190</v>
      </c>
      <c r="D33" s="4">
        <f>(VLOOKUP('8.0.0'!L33,'8.0.0'!$AM$4:$AO$45,2,FALSE))*IF('8.0.0'!AN$4="是",'8.0.0'!$AY$4,'8.0.0'!$AY$3)</f>
        <v>190</v>
      </c>
      <c r="E33" s="4">
        <f>(VLOOKUP('8.0.0'!M33,'8.0.0'!$AM$4:$AO$45,2,FALSE))*IF('8.0.0'!AO$4="是",'8.0.0'!$AY$4,'8.0.0'!$AY$3)</f>
        <v>190</v>
      </c>
      <c r="F33" s="4">
        <f>(VLOOKUP('8.0.0'!N33,'8.0.0'!$AM$4:$AO$45,2,FALSE))*IF('8.0.0'!AQ$4="是",'8.0.0'!$AY$4,'8.0.0'!$AY$3)</f>
        <v>190</v>
      </c>
      <c r="G33" s="5">
        <f>(VLOOKUP('8.0.0'!O33,'8.0.0'!$AM$4:$AO$45,2,FALSE))*IF('8.0.0'!AR$4="是",'8.0.0'!$AY$4,'8.0.0'!$AY$3)</f>
        <v>0</v>
      </c>
      <c r="H33" s="5">
        <f>(VLOOKUP('8.0.0'!P33,'8.0.0'!$AM$4:$AO$45,2,FALSE))*IF('8.0.0'!AS$4="是",'8.0.0'!$AY$4,'8.0.0'!$AY$3)</f>
        <v>0</v>
      </c>
      <c r="I33" s="4">
        <f>(VLOOKUP('8.0.0'!Q33,'8.0.0'!$AM$4:$AO$45,2,FALSE))*IF('8.0.0'!AT$4="是",'8.0.0'!$AY$4,'8.0.0'!$AY$3)</f>
        <v>0</v>
      </c>
      <c r="J33" s="4">
        <f>(VLOOKUP('8.0.0'!R33,'8.0.0'!$AM$4:$AO$45,2,FALSE))*IF('8.0.0'!AU$4="是",'8.0.0'!$AY$4,'8.0.0'!$AY$3)</f>
        <v>0</v>
      </c>
      <c r="K33" s="4">
        <f>(VLOOKUP('8.0.0'!S33,'8.0.0'!$AM$4:$AO$45,2,FALSE))*IF('8.0.0'!AV$4="是",'8.0.0'!$AY$4,'8.0.0'!$AY$3)</f>
        <v>0</v>
      </c>
      <c r="L33" s="4">
        <f>(VLOOKUP('8.0.0'!T33,'8.0.0'!$AM$4:$AO$45,2,FALSE))*IF('8.0.0'!AW$4="是",'8.0.0'!$AY$4,'8.0.0'!$AY$3)</f>
        <v>0</v>
      </c>
      <c r="M33" s="4">
        <f>(VLOOKUP('8.0.0'!U33,'8.0.0'!$AM$4:$AO$45,2,FALSE))*IF('8.0.0'!AX$4="是",'8.0.0'!$AY$4,'8.0.0'!$AY$3)</f>
        <v>0</v>
      </c>
      <c r="N33" s="4">
        <f>(VLOOKUP('8.0.0'!V33,'8.0.0'!$AM$4:$AO$45,2,FALSE))*IF('8.0.0'!AY$4="是",'8.0.0'!$AY$4,'8.0.0'!$AY$3)</f>
        <v>0</v>
      </c>
      <c r="O33" s="5">
        <f>(VLOOKUP('8.0.0'!W33,'8.0.0'!$AM$4:$AO$45,2,FALSE))*IF('8.0.0'!AZ$4="是",'8.0.0'!$AY$4,'8.0.0'!$AY$3)</f>
        <v>0</v>
      </c>
      <c r="P33" s="5">
        <f>(VLOOKUP('8.0.0'!X33,'8.0.0'!$AM$4:$AO$45,2,FALSE))*IF('8.0.0'!BA$4="是",'8.0.0'!$AY$4,'8.0.0'!$AY$3)</f>
        <v>0</v>
      </c>
      <c r="Q33" s="4">
        <f>(VLOOKUP('8.0.0'!Y33,'8.0.0'!$AM$4:$AO$45,2,FALSE))*IF('8.0.0'!BB$4="是",'8.0.0'!$AY$4,'8.0.0'!$AY$3)</f>
        <v>170</v>
      </c>
      <c r="R33" s="4">
        <f>(VLOOKUP('8.0.0'!Z33,'8.0.0'!$AM$4:$AO$45,2,FALSE))*IF('8.0.0'!BC$4="是",'8.0.0'!$AY$4,'8.0.0'!$AY$3)</f>
        <v>170</v>
      </c>
      <c r="S33" s="4">
        <f>(VLOOKUP('8.0.0'!AA33,'8.0.0'!$AM$4:$AO$45,2,FALSE))*IF('8.0.0'!BD$4="是",'8.0.0'!$AY$4,'8.0.0'!$AY$3)</f>
        <v>170</v>
      </c>
      <c r="T33" s="4">
        <f>(VLOOKUP('8.0.0'!AB33,'8.0.0'!$AM$4:$AO$45,2,FALSE))*IF('8.0.0'!BE$4="是",'8.0.0'!$AY$4,'8.0.0'!$AY$3)</f>
        <v>170</v>
      </c>
      <c r="U33" s="4">
        <f>(VLOOKUP('8.0.0'!AC33,'8.0.0'!$AM$4:$AO$45,2,FALSE))*IF('8.0.0'!BF$4="是",'8.0.0'!$AY$4,'8.0.0'!$AY$3)</f>
        <v>170</v>
      </c>
      <c r="V33" s="4">
        <f>(VLOOKUP('8.0.0'!AD33,'8.0.0'!$AM$4:$AO$45,2,FALSE))*IF('8.0.0'!BG$4="是",'8.0.0'!$AY$4,'8.0.0'!$AY$3)</f>
        <v>170</v>
      </c>
      <c r="W33" s="5">
        <f>(VLOOKUP('8.0.0'!AE33,'8.0.0'!$AM$4:$AO$45,2,FALSE))*IF('8.0.0'!BH$4="是",'8.0.0'!$AY$4,'8.0.0'!$AY$3)</f>
        <v>0</v>
      </c>
      <c r="X33" s="5">
        <f>(VLOOKUP('8.0.0'!AF33,'8.0.0'!$AM$4:$AO$45,2,FALSE))*IF('8.0.0'!BI$4="是",'8.0.0'!$AY$4,'8.0.0'!$AY$3)</f>
        <v>0</v>
      </c>
    </row>
    <row r="34" spans="1:24">
      <c r="A34" s="4">
        <f>(VLOOKUP('8.0.0'!I34,'8.0.0'!$AM$4:$AO$45,2,FALSE))*IF('8.0.0'!AK$4="是",'8.0.0'!$AY$4,'8.0.0'!$AY$3)</f>
        <v>190</v>
      </c>
      <c r="B34" s="4">
        <f>(VLOOKUP('8.0.0'!J34,'8.0.0'!$AM$4:$AO$45,2,FALSE))*IF('8.0.0'!AL$4="是",'8.0.0'!$AY$4,'8.0.0'!$AY$3)</f>
        <v>190</v>
      </c>
      <c r="C34" s="4">
        <f>(VLOOKUP('8.0.0'!K34,'8.0.0'!$AM$4:$AO$45,2,FALSE))*IF('8.0.0'!AM$4="是",'8.0.0'!$AY$4,'8.0.0'!$AY$3)</f>
        <v>190</v>
      </c>
      <c r="D34" s="4">
        <f>(VLOOKUP('8.0.0'!L34,'8.0.0'!$AM$4:$AO$45,2,FALSE))*IF('8.0.0'!AN$4="是",'8.0.0'!$AY$4,'8.0.0'!$AY$3)</f>
        <v>190</v>
      </c>
      <c r="E34" s="4">
        <f>(VLOOKUP('8.0.0'!M34,'8.0.0'!$AM$4:$AO$45,2,FALSE))*IF('8.0.0'!AO$4="是",'8.0.0'!$AY$4,'8.0.0'!$AY$3)</f>
        <v>190</v>
      </c>
      <c r="F34" s="4">
        <f>(VLOOKUP('8.0.0'!N34,'8.0.0'!$AM$4:$AO$45,2,FALSE))*IF('8.0.0'!AQ$4="是",'8.0.0'!$AY$4,'8.0.0'!$AY$3)</f>
        <v>190</v>
      </c>
      <c r="G34" s="5">
        <f>(VLOOKUP('8.0.0'!O34,'8.0.0'!$AM$4:$AO$45,2,FALSE))*IF('8.0.0'!AR$4="是",'8.0.0'!$AY$4,'8.0.0'!$AY$3)</f>
        <v>0</v>
      </c>
      <c r="H34" s="5">
        <f>(VLOOKUP('8.0.0'!P34,'8.0.0'!$AM$4:$AO$45,2,FALSE))*IF('8.0.0'!AS$4="是",'8.0.0'!$AY$4,'8.0.0'!$AY$3)</f>
        <v>0</v>
      </c>
      <c r="I34" s="4">
        <f>(VLOOKUP('8.0.0'!Q34,'8.0.0'!$AM$4:$AO$45,2,FALSE))*IF('8.0.0'!AT$4="是",'8.0.0'!$AY$4,'8.0.0'!$AY$3)</f>
        <v>0</v>
      </c>
      <c r="J34" s="4">
        <f>(VLOOKUP('8.0.0'!R34,'8.0.0'!$AM$4:$AO$45,2,FALSE))*IF('8.0.0'!AU$4="是",'8.0.0'!$AY$4,'8.0.0'!$AY$3)</f>
        <v>0</v>
      </c>
      <c r="K34" s="4">
        <f>(VLOOKUP('8.0.0'!S34,'8.0.0'!$AM$4:$AO$45,2,FALSE))*IF('8.0.0'!AV$4="是",'8.0.0'!$AY$4,'8.0.0'!$AY$3)</f>
        <v>0</v>
      </c>
      <c r="L34" s="4">
        <f>(VLOOKUP('8.0.0'!T34,'8.0.0'!$AM$4:$AO$45,2,FALSE))*IF('8.0.0'!AW$4="是",'8.0.0'!$AY$4,'8.0.0'!$AY$3)</f>
        <v>0</v>
      </c>
      <c r="M34" s="4">
        <f>(VLOOKUP('8.0.0'!U34,'8.0.0'!$AM$4:$AO$45,2,FALSE))*IF('8.0.0'!AX$4="是",'8.0.0'!$AY$4,'8.0.0'!$AY$3)</f>
        <v>0</v>
      </c>
      <c r="N34" s="4">
        <f>(VLOOKUP('8.0.0'!V34,'8.0.0'!$AM$4:$AO$45,2,FALSE))*IF('8.0.0'!AY$4="是",'8.0.0'!$AY$4,'8.0.0'!$AY$3)</f>
        <v>0</v>
      </c>
      <c r="O34" s="5">
        <f>(VLOOKUP('8.0.0'!W34,'8.0.0'!$AM$4:$AO$45,2,FALSE))*IF('8.0.0'!AZ$4="是",'8.0.0'!$AY$4,'8.0.0'!$AY$3)</f>
        <v>0</v>
      </c>
      <c r="P34" s="5">
        <f>(VLOOKUP('8.0.0'!X34,'8.0.0'!$AM$4:$AO$45,2,FALSE))*IF('8.0.0'!BA$4="是",'8.0.0'!$AY$4,'8.0.0'!$AY$3)</f>
        <v>0</v>
      </c>
      <c r="Q34" s="4">
        <f>(VLOOKUP('8.0.0'!Y34,'8.0.0'!$AM$4:$AO$45,2,FALSE))*IF('8.0.0'!BB$4="是",'8.0.0'!$AY$4,'8.0.0'!$AY$3)</f>
        <v>170</v>
      </c>
      <c r="R34" s="4">
        <f>(VLOOKUP('8.0.0'!Z34,'8.0.0'!$AM$4:$AO$45,2,FALSE))*IF('8.0.0'!BC$4="是",'8.0.0'!$AY$4,'8.0.0'!$AY$3)</f>
        <v>170</v>
      </c>
      <c r="S34" s="4">
        <f>(VLOOKUP('8.0.0'!AA34,'8.0.0'!$AM$4:$AO$45,2,FALSE))*IF('8.0.0'!BD$4="是",'8.0.0'!$AY$4,'8.0.0'!$AY$3)</f>
        <v>170</v>
      </c>
      <c r="T34" s="4">
        <f>(VLOOKUP('8.0.0'!AB34,'8.0.0'!$AM$4:$AO$45,2,FALSE))*IF('8.0.0'!BE$4="是",'8.0.0'!$AY$4,'8.0.0'!$AY$3)</f>
        <v>170</v>
      </c>
      <c r="U34" s="4">
        <f>(VLOOKUP('8.0.0'!AC34,'8.0.0'!$AM$4:$AO$45,2,FALSE))*IF('8.0.0'!BF$4="是",'8.0.0'!$AY$4,'8.0.0'!$AY$3)</f>
        <v>170</v>
      </c>
      <c r="V34" s="4">
        <f>(VLOOKUP('8.0.0'!AD34,'8.0.0'!$AM$4:$AO$45,2,FALSE))*IF('8.0.0'!BG$4="是",'8.0.0'!$AY$4,'8.0.0'!$AY$3)</f>
        <v>170</v>
      </c>
      <c r="W34" s="5">
        <f>(VLOOKUP('8.0.0'!AE34,'8.0.0'!$AM$4:$AO$45,2,FALSE))*IF('8.0.0'!BH$4="是",'8.0.0'!$AY$4,'8.0.0'!$AY$3)</f>
        <v>0</v>
      </c>
      <c r="X34" s="5">
        <f>(VLOOKUP('8.0.0'!AF34,'8.0.0'!$AM$4:$AO$45,2,FALSE))*IF('8.0.0'!BI$4="是",'8.0.0'!$AY$4,'8.0.0'!$AY$3)</f>
        <v>0</v>
      </c>
    </row>
    <row r="35" spans="1:24">
      <c r="A35" s="4">
        <f>(VLOOKUP('8.0.0'!I35,'8.0.0'!$AM$4:$AO$45,2,FALSE))*IF('8.0.0'!AK$4="是",'8.0.0'!$AY$4,'8.0.0'!$AY$3)</f>
        <v>190</v>
      </c>
      <c r="B35" s="4">
        <f>(VLOOKUP('8.0.0'!J35,'8.0.0'!$AM$4:$AO$45,2,FALSE))*IF('8.0.0'!AL$4="是",'8.0.0'!$AY$4,'8.0.0'!$AY$3)</f>
        <v>190</v>
      </c>
      <c r="C35" s="4">
        <f>(VLOOKUP('8.0.0'!K35,'8.0.0'!$AM$4:$AO$45,2,FALSE))*IF('8.0.0'!AM$4="是",'8.0.0'!$AY$4,'8.0.0'!$AY$3)</f>
        <v>190</v>
      </c>
      <c r="D35" s="4">
        <f>(VLOOKUP('8.0.0'!L35,'8.0.0'!$AM$4:$AO$45,2,FALSE))*IF('8.0.0'!AN$4="是",'8.0.0'!$AY$4,'8.0.0'!$AY$3)</f>
        <v>250</v>
      </c>
      <c r="E35" s="4">
        <f>(VLOOKUP('8.0.0'!M35,'8.0.0'!$AM$4:$AO$45,2,FALSE))*IF('8.0.0'!AO$4="是",'8.0.0'!$AY$4,'8.0.0'!$AY$3)</f>
        <v>190</v>
      </c>
      <c r="F35" s="4">
        <f>(VLOOKUP('8.0.0'!N35,'8.0.0'!$AM$4:$AO$45,2,FALSE))*IF('8.0.0'!AQ$4="是",'8.0.0'!$AY$4,'8.0.0'!$AY$3)</f>
        <v>190</v>
      </c>
      <c r="G35" s="5">
        <f>(VLOOKUP('8.0.0'!O35,'8.0.0'!$AM$4:$AO$45,2,FALSE))*IF('8.0.0'!AR$4="是",'8.0.0'!$AY$4,'8.0.0'!$AY$3)</f>
        <v>0</v>
      </c>
      <c r="H35" s="5">
        <f>(VLOOKUP('8.0.0'!P35,'8.0.0'!$AM$4:$AO$45,2,FALSE))*IF('8.0.0'!AS$4="是",'8.0.0'!$AY$4,'8.0.0'!$AY$3)</f>
        <v>0</v>
      </c>
      <c r="I35" s="4">
        <f>(VLOOKUP('8.0.0'!Q35,'8.0.0'!$AM$4:$AO$45,2,FALSE))*IF('8.0.0'!AT$4="是",'8.0.0'!$AY$4,'8.0.0'!$AY$3)</f>
        <v>0</v>
      </c>
      <c r="J35" s="4">
        <f>(VLOOKUP('8.0.0'!R35,'8.0.0'!$AM$4:$AO$45,2,FALSE))*IF('8.0.0'!AU$4="是",'8.0.0'!$AY$4,'8.0.0'!$AY$3)</f>
        <v>0</v>
      </c>
      <c r="K35" s="4">
        <f>(VLOOKUP('8.0.0'!S35,'8.0.0'!$AM$4:$AO$45,2,FALSE))*IF('8.0.0'!AV$4="是",'8.0.0'!$AY$4,'8.0.0'!$AY$3)</f>
        <v>0</v>
      </c>
      <c r="L35" s="4">
        <f>(VLOOKUP('8.0.0'!T35,'8.0.0'!$AM$4:$AO$45,2,FALSE))*IF('8.0.0'!AW$4="是",'8.0.0'!$AY$4,'8.0.0'!$AY$3)</f>
        <v>0</v>
      </c>
      <c r="M35" s="4">
        <f>(VLOOKUP('8.0.0'!U35,'8.0.0'!$AM$4:$AO$45,2,FALSE))*IF('8.0.0'!AX$4="是",'8.0.0'!$AY$4,'8.0.0'!$AY$3)</f>
        <v>0</v>
      </c>
      <c r="N35" s="4">
        <f>(VLOOKUP('8.0.0'!V35,'8.0.0'!$AM$4:$AO$45,2,FALSE))*IF('8.0.0'!AY$4="是",'8.0.0'!$AY$4,'8.0.0'!$AY$3)</f>
        <v>0</v>
      </c>
      <c r="O35" s="5">
        <f>(VLOOKUP('8.0.0'!W35,'8.0.0'!$AM$4:$AO$45,2,FALSE))*IF('8.0.0'!AZ$4="是",'8.0.0'!$AY$4,'8.0.0'!$AY$3)</f>
        <v>0</v>
      </c>
      <c r="P35" s="5">
        <f>(VLOOKUP('8.0.0'!X35,'8.0.0'!$AM$4:$AO$45,2,FALSE))*IF('8.0.0'!BA$4="是",'8.0.0'!$AY$4,'8.0.0'!$AY$3)</f>
        <v>0</v>
      </c>
      <c r="Q35" s="4">
        <f>(VLOOKUP('8.0.0'!Y35,'8.0.0'!$AM$4:$AO$45,2,FALSE))*IF('8.0.0'!BB$4="是",'8.0.0'!$AY$4,'8.0.0'!$AY$3)</f>
        <v>50</v>
      </c>
      <c r="R35" s="4">
        <f>(VLOOKUP('8.0.0'!Z35,'8.0.0'!$AM$4:$AO$45,2,FALSE))*IF('8.0.0'!BC$4="是",'8.0.0'!$AY$4,'8.0.0'!$AY$3)</f>
        <v>170</v>
      </c>
      <c r="S35" s="4">
        <f>(VLOOKUP('8.0.0'!AA35,'8.0.0'!$AM$4:$AO$45,2,FALSE))*IF('8.0.0'!BD$4="是",'8.0.0'!$AY$4,'8.0.0'!$AY$3)</f>
        <v>170</v>
      </c>
      <c r="T35" s="4">
        <f>(VLOOKUP('8.0.0'!AB35,'8.0.0'!$AM$4:$AO$45,2,FALSE))*IF('8.0.0'!BE$4="是",'8.0.0'!$AY$4,'8.0.0'!$AY$3)</f>
        <v>150</v>
      </c>
      <c r="U35" s="4">
        <f>(VLOOKUP('8.0.0'!AC35,'8.0.0'!$AM$4:$AO$45,2,FALSE))*IF('8.0.0'!BF$4="是",'8.0.0'!$AY$4,'8.0.0'!$AY$3)</f>
        <v>170</v>
      </c>
      <c r="V35" s="4">
        <f>(VLOOKUP('8.0.0'!AD35,'8.0.0'!$AM$4:$AO$45,2,FALSE))*IF('8.0.0'!BG$4="是",'8.0.0'!$AY$4,'8.0.0'!$AY$3)</f>
        <v>170</v>
      </c>
      <c r="W35" s="5">
        <f>(VLOOKUP('8.0.0'!AE35,'8.0.0'!$AM$4:$AO$45,2,FALSE))*IF('8.0.0'!BH$4="是",'8.0.0'!$AY$4,'8.0.0'!$AY$3)</f>
        <v>0</v>
      </c>
      <c r="X35" s="5">
        <f>(VLOOKUP('8.0.0'!AF35,'8.0.0'!$AM$4:$AO$45,2,FALSE))*IF('8.0.0'!BI$4="是",'8.0.0'!$AY$4,'8.0.0'!$AY$3)</f>
        <v>0</v>
      </c>
    </row>
    <row r="36" spans="1:24">
      <c r="A36" s="4">
        <f>(VLOOKUP('8.0.0'!I36,'8.0.0'!$AM$4:$AO$45,2,FALSE))*IF('8.0.0'!AK$4="是",'8.0.0'!$AY$4,'8.0.0'!$AY$3)</f>
        <v>190</v>
      </c>
      <c r="B36" s="4">
        <f>(VLOOKUP('8.0.0'!J36,'8.0.0'!$AM$4:$AO$45,2,FALSE))*IF('8.0.0'!AL$4="是",'8.0.0'!$AY$4,'8.0.0'!$AY$3)</f>
        <v>190</v>
      </c>
      <c r="C36" s="4">
        <f>(VLOOKUP('8.0.0'!K36,'8.0.0'!$AM$4:$AO$45,2,FALSE))*IF('8.0.0'!AM$4="是",'8.0.0'!$AY$4,'8.0.0'!$AY$3)</f>
        <v>190</v>
      </c>
      <c r="D36" s="4">
        <f>(VLOOKUP('8.0.0'!L36,'8.0.0'!$AM$4:$AO$45,2,FALSE))*IF('8.0.0'!AN$4="是",'8.0.0'!$AY$4,'8.0.0'!$AY$3)</f>
        <v>190</v>
      </c>
      <c r="E36" s="4">
        <f>(VLOOKUP('8.0.0'!M36,'8.0.0'!$AM$4:$AO$45,2,FALSE))*IF('8.0.0'!AO$4="是",'8.0.0'!$AY$4,'8.0.0'!$AY$3)</f>
        <v>190</v>
      </c>
      <c r="F36" s="4">
        <f>(VLOOKUP('8.0.0'!N36,'8.0.0'!$AM$4:$AO$45,2,FALSE))*IF('8.0.0'!AQ$4="是",'8.0.0'!$AY$4,'8.0.0'!$AY$3)</f>
        <v>190</v>
      </c>
      <c r="G36" s="5">
        <f>(VLOOKUP('8.0.0'!O36,'8.0.0'!$AM$4:$AO$45,2,FALSE))*IF('8.0.0'!AR$4="是",'8.0.0'!$AY$4,'8.0.0'!$AY$3)</f>
        <v>0</v>
      </c>
      <c r="H36" s="5">
        <f>(VLOOKUP('8.0.0'!P36,'8.0.0'!$AM$4:$AO$45,2,FALSE))*IF('8.0.0'!AS$4="是",'8.0.0'!$AY$4,'8.0.0'!$AY$3)</f>
        <v>0</v>
      </c>
      <c r="I36" s="4">
        <f>(VLOOKUP('8.0.0'!Q36,'8.0.0'!$AM$4:$AO$45,2,FALSE))*IF('8.0.0'!AT$4="是",'8.0.0'!$AY$4,'8.0.0'!$AY$3)</f>
        <v>0</v>
      </c>
      <c r="J36" s="4">
        <f>(VLOOKUP('8.0.0'!R36,'8.0.0'!$AM$4:$AO$45,2,FALSE))*IF('8.0.0'!AU$4="是",'8.0.0'!$AY$4,'8.0.0'!$AY$3)</f>
        <v>0</v>
      </c>
      <c r="K36" s="4">
        <f>(VLOOKUP('8.0.0'!S36,'8.0.0'!$AM$4:$AO$45,2,FALSE))*IF('8.0.0'!AV$4="是",'8.0.0'!$AY$4,'8.0.0'!$AY$3)</f>
        <v>0</v>
      </c>
      <c r="L36" s="4">
        <f>(VLOOKUP('8.0.0'!T36,'8.0.0'!$AM$4:$AO$45,2,FALSE))*IF('8.0.0'!AW$4="是",'8.0.0'!$AY$4,'8.0.0'!$AY$3)</f>
        <v>0</v>
      </c>
      <c r="M36" s="4">
        <f>(VLOOKUP('8.0.0'!U36,'8.0.0'!$AM$4:$AO$45,2,FALSE))*IF('8.0.0'!AX$4="是",'8.0.0'!$AY$4,'8.0.0'!$AY$3)</f>
        <v>0</v>
      </c>
      <c r="N36" s="4">
        <f>(VLOOKUP('8.0.0'!V36,'8.0.0'!$AM$4:$AO$45,2,FALSE))*IF('8.0.0'!AY$4="是",'8.0.0'!$AY$4,'8.0.0'!$AY$3)</f>
        <v>0</v>
      </c>
      <c r="O36" s="5">
        <f>(VLOOKUP('8.0.0'!W36,'8.0.0'!$AM$4:$AO$45,2,FALSE))*IF('8.0.0'!AZ$4="是",'8.0.0'!$AY$4,'8.0.0'!$AY$3)</f>
        <v>0</v>
      </c>
      <c r="P36" s="5">
        <f>(VLOOKUP('8.0.0'!X36,'8.0.0'!$AM$4:$AO$45,2,FALSE))*IF('8.0.0'!BA$4="是",'8.0.0'!$AY$4,'8.0.0'!$AY$3)</f>
        <v>0</v>
      </c>
      <c r="Q36" s="4">
        <f>(VLOOKUP('8.0.0'!Y36,'8.0.0'!$AM$4:$AO$45,2,FALSE))*IF('8.0.0'!BB$4="是",'8.0.0'!$AY$4,'8.0.0'!$AY$3)</f>
        <v>170</v>
      </c>
      <c r="R36" s="4">
        <f>(VLOOKUP('8.0.0'!Z36,'8.0.0'!$AM$4:$AO$45,2,FALSE))*IF('8.0.0'!BC$4="是",'8.0.0'!$AY$4,'8.0.0'!$AY$3)</f>
        <v>170</v>
      </c>
      <c r="S36" s="4">
        <f>(VLOOKUP('8.0.0'!AA36,'8.0.0'!$AM$4:$AO$45,2,FALSE))*IF('8.0.0'!BD$4="是",'8.0.0'!$AY$4,'8.0.0'!$AY$3)</f>
        <v>170</v>
      </c>
      <c r="T36" s="4">
        <f>(VLOOKUP('8.0.0'!AB36,'8.0.0'!$AM$4:$AO$45,2,FALSE))*IF('8.0.0'!BE$4="是",'8.0.0'!$AY$4,'8.0.0'!$AY$3)</f>
        <v>170</v>
      </c>
      <c r="U36" s="4">
        <f>(VLOOKUP('8.0.0'!AC36,'8.0.0'!$AM$4:$AO$45,2,FALSE))*IF('8.0.0'!BF$4="是",'8.0.0'!$AY$4,'8.0.0'!$AY$3)</f>
        <v>170</v>
      </c>
      <c r="V36" s="4">
        <f>(VLOOKUP('8.0.0'!AD36,'8.0.0'!$AM$4:$AO$45,2,FALSE))*IF('8.0.0'!BG$4="是",'8.0.0'!$AY$4,'8.0.0'!$AY$3)</f>
        <v>170</v>
      </c>
      <c r="W36" s="5">
        <f>(VLOOKUP('8.0.0'!AE36,'8.0.0'!$AM$4:$AO$45,2,FALSE))*IF('8.0.0'!BH$4="是",'8.0.0'!$AY$4,'8.0.0'!$AY$3)</f>
        <v>0</v>
      </c>
      <c r="X36" s="5">
        <f>(VLOOKUP('8.0.0'!AF36,'8.0.0'!$AM$4:$AO$45,2,FALSE))*IF('8.0.0'!BI$4="是",'8.0.0'!$AY$4,'8.0.0'!$AY$3)</f>
        <v>0</v>
      </c>
    </row>
    <row r="37" spans="1:24">
      <c r="A37" s="4">
        <f>(VLOOKUP('8.0.0'!I37,'8.0.0'!$AM$4:$AO$45,2,FALSE))*IF('8.0.0'!AK$4="是",'8.0.0'!$AY$4,'8.0.0'!$AY$3)</f>
        <v>190</v>
      </c>
      <c r="B37" s="4">
        <f>(VLOOKUP('8.0.0'!J37,'8.0.0'!$AM$4:$AO$45,2,FALSE))*IF('8.0.0'!AL$4="是",'8.0.0'!$AY$4,'8.0.0'!$AY$3)</f>
        <v>190</v>
      </c>
      <c r="C37" s="4">
        <f>(VLOOKUP('8.0.0'!K37,'8.0.0'!$AM$4:$AO$45,2,FALSE))*IF('8.0.0'!AM$4="是",'8.0.0'!$AY$4,'8.0.0'!$AY$3)</f>
        <v>190</v>
      </c>
      <c r="D37" s="4">
        <f>(VLOOKUP('8.0.0'!L37,'8.0.0'!$AM$4:$AO$45,2,FALSE))*IF('8.0.0'!AN$4="是",'8.0.0'!$AY$4,'8.0.0'!$AY$3)</f>
        <v>190</v>
      </c>
      <c r="E37" s="4">
        <f>(VLOOKUP('8.0.0'!M37,'8.0.0'!$AM$4:$AO$45,2,FALSE))*IF('8.0.0'!AO$4="是",'8.0.0'!$AY$4,'8.0.0'!$AY$3)</f>
        <v>190</v>
      </c>
      <c r="F37" s="4">
        <f>(VLOOKUP('8.0.0'!N37,'8.0.0'!$AM$4:$AO$45,2,FALSE))*IF('8.0.0'!AQ$4="是",'8.0.0'!$AY$4,'8.0.0'!$AY$3)</f>
        <v>190</v>
      </c>
      <c r="G37" s="5">
        <f>(VLOOKUP('8.0.0'!O37,'8.0.0'!$AM$4:$AO$45,2,FALSE))*IF('8.0.0'!AR$4="是",'8.0.0'!$AY$4,'8.0.0'!$AY$3)</f>
        <v>0</v>
      </c>
      <c r="H37" s="5">
        <f>(VLOOKUP('8.0.0'!P37,'8.0.0'!$AM$4:$AO$45,2,FALSE))*IF('8.0.0'!AS$4="是",'8.0.0'!$AY$4,'8.0.0'!$AY$3)</f>
        <v>0</v>
      </c>
      <c r="I37" s="4">
        <f>(VLOOKUP('8.0.0'!Q37,'8.0.0'!$AM$4:$AO$45,2,FALSE))*IF('8.0.0'!AT$4="是",'8.0.0'!$AY$4,'8.0.0'!$AY$3)</f>
        <v>0</v>
      </c>
      <c r="J37" s="4">
        <f>(VLOOKUP('8.0.0'!R37,'8.0.0'!$AM$4:$AO$45,2,FALSE))*IF('8.0.0'!AU$4="是",'8.0.0'!$AY$4,'8.0.0'!$AY$3)</f>
        <v>0</v>
      </c>
      <c r="K37" s="4">
        <f>(VLOOKUP('8.0.0'!S37,'8.0.0'!$AM$4:$AO$45,2,FALSE))*IF('8.0.0'!AV$4="是",'8.0.0'!$AY$4,'8.0.0'!$AY$3)</f>
        <v>0</v>
      </c>
      <c r="L37" s="4">
        <f>(VLOOKUP('8.0.0'!T37,'8.0.0'!$AM$4:$AO$45,2,FALSE))*IF('8.0.0'!AW$4="是",'8.0.0'!$AY$4,'8.0.0'!$AY$3)</f>
        <v>0</v>
      </c>
      <c r="M37" s="4">
        <f>(VLOOKUP('8.0.0'!U37,'8.0.0'!$AM$4:$AO$45,2,FALSE))*IF('8.0.0'!AX$4="是",'8.0.0'!$AY$4,'8.0.0'!$AY$3)</f>
        <v>0</v>
      </c>
      <c r="N37" s="4">
        <f>(VLOOKUP('8.0.0'!V37,'8.0.0'!$AM$4:$AO$45,2,FALSE))*IF('8.0.0'!AY$4="是",'8.0.0'!$AY$4,'8.0.0'!$AY$3)</f>
        <v>0</v>
      </c>
      <c r="O37" s="5">
        <f>(VLOOKUP('8.0.0'!W37,'8.0.0'!$AM$4:$AO$45,2,FALSE))*IF('8.0.0'!AZ$4="是",'8.0.0'!$AY$4,'8.0.0'!$AY$3)</f>
        <v>0</v>
      </c>
      <c r="P37" s="5">
        <f>(VLOOKUP('8.0.0'!X37,'8.0.0'!$AM$4:$AO$45,2,FALSE))*IF('8.0.0'!BA$4="是",'8.0.0'!$AY$4,'8.0.0'!$AY$3)</f>
        <v>0</v>
      </c>
      <c r="Q37" s="4">
        <f>(VLOOKUP('8.0.0'!Y37,'8.0.0'!$AM$4:$AO$45,2,FALSE))*IF('8.0.0'!BB$4="是",'8.0.0'!$AY$4,'8.0.0'!$AY$3)</f>
        <v>50</v>
      </c>
      <c r="R37" s="4">
        <f>(VLOOKUP('8.0.0'!Z37,'8.0.0'!$AM$4:$AO$45,2,FALSE))*IF('8.0.0'!BC$4="是",'8.0.0'!$AY$4,'8.0.0'!$AY$3)</f>
        <v>170</v>
      </c>
      <c r="S37" s="4">
        <f>(VLOOKUP('8.0.0'!AA37,'8.0.0'!$AM$4:$AO$45,2,FALSE))*IF('8.0.0'!BD$4="是",'8.0.0'!$AY$4,'8.0.0'!$AY$3)</f>
        <v>170</v>
      </c>
      <c r="T37" s="4">
        <f>(VLOOKUP('8.0.0'!AB37,'8.0.0'!$AM$4:$AO$45,2,FALSE))*IF('8.0.0'!BE$4="是",'8.0.0'!$AY$4,'8.0.0'!$AY$3)</f>
        <v>170</v>
      </c>
      <c r="U37" s="4">
        <f>(VLOOKUP('8.0.0'!AC37,'8.0.0'!$AM$4:$AO$45,2,FALSE))*IF('8.0.0'!BF$4="是",'8.0.0'!$AY$4,'8.0.0'!$AY$3)</f>
        <v>170</v>
      </c>
      <c r="V37" s="4">
        <f>(VLOOKUP('8.0.0'!AD37,'8.0.0'!$AM$4:$AO$45,2,FALSE))*IF('8.0.0'!BG$4="是",'8.0.0'!$AY$4,'8.0.0'!$AY$3)</f>
        <v>170</v>
      </c>
      <c r="W37" s="5">
        <f>(VLOOKUP('8.0.0'!AE37,'8.0.0'!$AM$4:$AO$45,2,FALSE))*IF('8.0.0'!BH$4="是",'8.0.0'!$AY$4,'8.0.0'!$AY$3)</f>
        <v>0</v>
      </c>
      <c r="X37" s="5">
        <f>(VLOOKUP('8.0.0'!AF37,'8.0.0'!$AM$4:$AO$45,2,FALSE))*IF('8.0.0'!BI$4="是",'8.0.0'!$AY$4,'8.0.0'!$AY$3)</f>
        <v>0</v>
      </c>
    </row>
    <row r="38" spans="1:24">
      <c r="A38" s="4">
        <f>(VLOOKUP('8.0.0'!I38,'8.0.0'!$AM$4:$AO$45,2,FALSE))*IF('8.0.0'!AK$4="是",'8.0.0'!$AY$4,'8.0.0'!$AY$3)</f>
        <v>190</v>
      </c>
      <c r="B38" s="4">
        <f>(VLOOKUP('8.0.0'!J38,'8.0.0'!$AM$4:$AO$45,2,FALSE))*IF('8.0.0'!AL$4="是",'8.0.0'!$AY$4,'8.0.0'!$AY$3)</f>
        <v>190</v>
      </c>
      <c r="C38" s="4">
        <f>(VLOOKUP('8.0.0'!K38,'8.0.0'!$AM$4:$AO$45,2,FALSE))*IF('8.0.0'!AM$4="是",'8.0.0'!$AY$4,'8.0.0'!$AY$3)</f>
        <v>50</v>
      </c>
      <c r="D38" s="4">
        <f>(VLOOKUP('8.0.0'!L38,'8.0.0'!$AM$4:$AO$45,2,FALSE))*IF('8.0.0'!AN$4="是",'8.0.0'!$AY$4,'8.0.0'!$AY$3)</f>
        <v>190</v>
      </c>
      <c r="E38" s="4">
        <f>(VLOOKUP('8.0.0'!M38,'8.0.0'!$AM$4:$AO$45,2,FALSE))*IF('8.0.0'!AO$4="是",'8.0.0'!$AY$4,'8.0.0'!$AY$3)</f>
        <v>190</v>
      </c>
      <c r="F38" s="4">
        <f>(VLOOKUP('8.0.0'!N38,'8.0.0'!$AM$4:$AO$45,2,FALSE))*IF('8.0.0'!AQ$4="是",'8.0.0'!$AY$4,'8.0.0'!$AY$3)</f>
        <v>190</v>
      </c>
      <c r="G38" s="5">
        <f>(VLOOKUP('8.0.0'!O38,'8.0.0'!$AM$4:$AO$45,2,FALSE))*IF('8.0.0'!AR$4="是",'8.0.0'!$AY$4,'8.0.0'!$AY$3)</f>
        <v>0</v>
      </c>
      <c r="H38" s="5">
        <f>(VLOOKUP('8.0.0'!P38,'8.0.0'!$AM$4:$AO$45,2,FALSE))*IF('8.0.0'!AS$4="是",'8.0.0'!$AY$4,'8.0.0'!$AY$3)</f>
        <v>0</v>
      </c>
      <c r="I38" s="4">
        <f>(VLOOKUP('8.0.0'!Q38,'8.0.0'!$AM$4:$AO$45,2,FALSE))*IF('8.0.0'!AT$4="是",'8.0.0'!$AY$4,'8.0.0'!$AY$3)</f>
        <v>0</v>
      </c>
      <c r="J38" s="4">
        <f>(VLOOKUP('8.0.0'!R38,'8.0.0'!$AM$4:$AO$45,2,FALSE))*IF('8.0.0'!AU$4="是",'8.0.0'!$AY$4,'8.0.0'!$AY$3)</f>
        <v>0</v>
      </c>
      <c r="K38" s="4">
        <f>(VLOOKUP('8.0.0'!S38,'8.0.0'!$AM$4:$AO$45,2,FALSE))*IF('8.0.0'!AV$4="是",'8.0.0'!$AY$4,'8.0.0'!$AY$3)</f>
        <v>0</v>
      </c>
      <c r="L38" s="4">
        <f>(VLOOKUP('8.0.0'!T38,'8.0.0'!$AM$4:$AO$45,2,FALSE))*IF('8.0.0'!AW$4="是",'8.0.0'!$AY$4,'8.0.0'!$AY$3)</f>
        <v>0</v>
      </c>
      <c r="M38" s="4">
        <f>(VLOOKUP('8.0.0'!U38,'8.0.0'!$AM$4:$AO$45,2,FALSE))*IF('8.0.0'!AX$4="是",'8.0.0'!$AY$4,'8.0.0'!$AY$3)</f>
        <v>0</v>
      </c>
      <c r="N38" s="4">
        <f>(VLOOKUP('8.0.0'!V38,'8.0.0'!$AM$4:$AO$45,2,FALSE))*IF('8.0.0'!AY$4="是",'8.0.0'!$AY$4,'8.0.0'!$AY$3)</f>
        <v>0</v>
      </c>
      <c r="O38" s="5">
        <f>(VLOOKUP('8.0.0'!W38,'8.0.0'!$AM$4:$AO$45,2,FALSE))*IF('8.0.0'!AZ$4="是",'8.0.0'!$AY$4,'8.0.0'!$AY$3)</f>
        <v>0</v>
      </c>
      <c r="P38" s="5">
        <f>(VLOOKUP('8.0.0'!X38,'8.0.0'!$AM$4:$AO$45,2,FALSE))*IF('8.0.0'!BA$4="是",'8.0.0'!$AY$4,'8.0.0'!$AY$3)</f>
        <v>0</v>
      </c>
      <c r="Q38" s="4">
        <f>(VLOOKUP('8.0.0'!Y38,'8.0.0'!$AM$4:$AO$45,2,FALSE))*IF('8.0.0'!BB$4="是",'8.0.0'!$AY$4,'8.0.0'!$AY$3)</f>
        <v>170</v>
      </c>
      <c r="R38" s="4">
        <f>(VLOOKUP('8.0.0'!Z38,'8.0.0'!$AM$4:$AO$45,2,FALSE))*IF('8.0.0'!BC$4="是",'8.0.0'!$AY$4,'8.0.0'!$AY$3)</f>
        <v>170</v>
      </c>
      <c r="S38" s="4">
        <f>(VLOOKUP('8.0.0'!AA38,'8.0.0'!$AM$4:$AO$45,2,FALSE))*IF('8.0.0'!BD$4="是",'8.0.0'!$AY$4,'8.0.0'!$AY$3)</f>
        <v>170</v>
      </c>
      <c r="T38" s="4">
        <f>(VLOOKUP('8.0.0'!AB38,'8.0.0'!$AM$4:$AO$45,2,FALSE))*IF('8.0.0'!BE$4="是",'8.0.0'!$AY$4,'8.0.0'!$AY$3)</f>
        <v>170</v>
      </c>
      <c r="U38" s="4">
        <f>(VLOOKUP('8.0.0'!AC38,'8.0.0'!$AM$4:$AO$45,2,FALSE))*IF('8.0.0'!BF$4="是",'8.0.0'!$AY$4,'8.0.0'!$AY$3)</f>
        <v>170</v>
      </c>
      <c r="V38" s="4">
        <f>(VLOOKUP('8.0.0'!AD38,'8.0.0'!$AM$4:$AO$45,2,FALSE))*IF('8.0.0'!BG$4="是",'8.0.0'!$AY$4,'8.0.0'!$AY$3)</f>
        <v>170</v>
      </c>
      <c r="W38" s="5">
        <f>(VLOOKUP('8.0.0'!AE38,'8.0.0'!$AM$4:$AO$45,2,FALSE))*IF('8.0.0'!BH$4="是",'8.0.0'!$AY$4,'8.0.0'!$AY$3)</f>
        <v>0</v>
      </c>
      <c r="X38" s="5">
        <f>(VLOOKUP('8.0.0'!AF38,'8.0.0'!$AM$4:$AO$45,2,FALSE))*IF('8.0.0'!BI$4="是",'8.0.0'!$AY$4,'8.0.0'!$AY$3)</f>
        <v>0</v>
      </c>
    </row>
    <row r="39" spans="1:24">
      <c r="A39" s="4">
        <f>(VLOOKUP('8.0.0'!I39,'8.0.0'!$AM$4:$AO$45,2,FALSE))*IF('8.0.0'!AK$4="是",'8.0.0'!$AY$4,'8.0.0'!$AY$3)</f>
        <v>190</v>
      </c>
      <c r="B39" s="4">
        <f>(VLOOKUP('8.0.0'!J39,'8.0.0'!$AM$4:$AO$45,2,FALSE))*IF('8.0.0'!AL$4="是",'8.0.0'!$AY$4,'8.0.0'!$AY$3)</f>
        <v>190</v>
      </c>
      <c r="C39" s="4">
        <f>(VLOOKUP('8.0.0'!K39,'8.0.0'!$AM$4:$AO$45,2,FALSE))*IF('8.0.0'!AM$4="是",'8.0.0'!$AY$4,'8.0.0'!$AY$3)</f>
        <v>190</v>
      </c>
      <c r="D39" s="4">
        <f>(VLOOKUP('8.0.0'!L39,'8.0.0'!$AM$4:$AO$45,2,FALSE))*IF('8.0.0'!AN$4="是",'8.0.0'!$AY$4,'8.0.0'!$AY$3)</f>
        <v>190</v>
      </c>
      <c r="E39" s="4">
        <f>(VLOOKUP('8.0.0'!M39,'8.0.0'!$AM$4:$AO$45,2,FALSE))*IF('8.0.0'!AO$4="是",'8.0.0'!$AY$4,'8.0.0'!$AY$3)</f>
        <v>190</v>
      </c>
      <c r="F39" s="4">
        <f>(VLOOKUP('8.0.0'!N39,'8.0.0'!$AM$4:$AO$45,2,FALSE))*IF('8.0.0'!AQ$4="是",'8.0.0'!$AY$4,'8.0.0'!$AY$3)</f>
        <v>190</v>
      </c>
      <c r="G39" s="5">
        <f>(VLOOKUP('8.0.0'!O39,'8.0.0'!$AM$4:$AO$45,2,FALSE))*IF('8.0.0'!AR$4="是",'8.0.0'!$AY$4,'8.0.0'!$AY$3)</f>
        <v>0</v>
      </c>
      <c r="H39" s="5">
        <f>(VLOOKUP('8.0.0'!P39,'8.0.0'!$AM$4:$AO$45,2,FALSE))*IF('8.0.0'!AS$4="是",'8.0.0'!$AY$4,'8.0.0'!$AY$3)</f>
        <v>0</v>
      </c>
      <c r="I39" s="4">
        <f>(VLOOKUP('8.0.0'!Q39,'8.0.0'!$AM$4:$AO$45,2,FALSE))*IF('8.0.0'!AT$4="是",'8.0.0'!$AY$4,'8.0.0'!$AY$3)</f>
        <v>0</v>
      </c>
      <c r="J39" s="4">
        <f>(VLOOKUP('8.0.0'!R39,'8.0.0'!$AM$4:$AO$45,2,FALSE))*IF('8.0.0'!AU$4="是",'8.0.0'!$AY$4,'8.0.0'!$AY$3)</f>
        <v>0</v>
      </c>
      <c r="K39" s="4">
        <f>(VLOOKUP('8.0.0'!S39,'8.0.0'!$AM$4:$AO$45,2,FALSE))*IF('8.0.0'!AV$4="是",'8.0.0'!$AY$4,'8.0.0'!$AY$3)</f>
        <v>0</v>
      </c>
      <c r="L39" s="4">
        <f>(VLOOKUP('8.0.0'!T39,'8.0.0'!$AM$4:$AO$45,2,FALSE))*IF('8.0.0'!AW$4="是",'8.0.0'!$AY$4,'8.0.0'!$AY$3)</f>
        <v>0</v>
      </c>
      <c r="M39" s="4">
        <f>(VLOOKUP('8.0.0'!U39,'8.0.0'!$AM$4:$AO$45,2,FALSE))*IF('8.0.0'!AX$4="是",'8.0.0'!$AY$4,'8.0.0'!$AY$3)</f>
        <v>0</v>
      </c>
      <c r="N39" s="4">
        <f>(VLOOKUP('8.0.0'!V39,'8.0.0'!$AM$4:$AO$45,2,FALSE))*IF('8.0.0'!AY$4="是",'8.0.0'!$AY$4,'8.0.0'!$AY$3)</f>
        <v>0</v>
      </c>
      <c r="O39" s="5">
        <f>(VLOOKUP('8.0.0'!W39,'8.0.0'!$AM$4:$AO$45,2,FALSE))*IF('8.0.0'!AZ$4="是",'8.0.0'!$AY$4,'8.0.0'!$AY$3)</f>
        <v>0</v>
      </c>
      <c r="P39" s="5">
        <f>(VLOOKUP('8.0.0'!X39,'8.0.0'!$AM$4:$AO$45,2,FALSE))*IF('8.0.0'!BA$4="是",'8.0.0'!$AY$4,'8.0.0'!$AY$3)</f>
        <v>0</v>
      </c>
      <c r="Q39" s="4">
        <f>(VLOOKUP('8.0.0'!Y39,'8.0.0'!$AM$4:$AO$45,2,FALSE))*IF('8.0.0'!BB$4="是",'8.0.0'!$AY$4,'8.0.0'!$AY$3)</f>
        <v>170</v>
      </c>
      <c r="R39" s="4">
        <f>(VLOOKUP('8.0.0'!Z39,'8.0.0'!$AM$4:$AO$45,2,FALSE))*IF('8.0.0'!BC$4="是",'8.0.0'!$AY$4,'8.0.0'!$AY$3)</f>
        <v>170</v>
      </c>
      <c r="S39" s="4">
        <f>(VLOOKUP('8.0.0'!AA39,'8.0.0'!$AM$4:$AO$45,2,FALSE))*IF('8.0.0'!BD$4="是",'8.0.0'!$AY$4,'8.0.0'!$AY$3)</f>
        <v>170</v>
      </c>
      <c r="T39" s="4">
        <f>(VLOOKUP('8.0.0'!AB39,'8.0.0'!$AM$4:$AO$45,2,FALSE))*IF('8.0.0'!BE$4="是",'8.0.0'!$AY$4,'8.0.0'!$AY$3)</f>
        <v>170</v>
      </c>
      <c r="U39" s="4">
        <f>(VLOOKUP('8.0.0'!AC39,'8.0.0'!$AM$4:$AO$45,2,FALSE))*IF('8.0.0'!BF$4="是",'8.0.0'!$AY$4,'8.0.0'!$AY$3)</f>
        <v>170</v>
      </c>
      <c r="V39" s="4">
        <f>(VLOOKUP('8.0.0'!AD39,'8.0.0'!$AM$4:$AO$45,2,FALSE))*IF('8.0.0'!BG$4="是",'8.0.0'!$AY$4,'8.0.0'!$AY$3)</f>
        <v>50</v>
      </c>
      <c r="W39" s="5">
        <f>(VLOOKUP('8.0.0'!AE39,'8.0.0'!$AM$4:$AO$45,2,FALSE))*IF('8.0.0'!BH$4="是",'8.0.0'!$AY$4,'8.0.0'!$AY$3)</f>
        <v>0</v>
      </c>
      <c r="X39" s="5">
        <f>(VLOOKUP('8.0.0'!AF39,'8.0.0'!$AM$4:$AO$45,2,FALSE))*IF('8.0.0'!BI$4="是",'8.0.0'!$AY$4,'8.0.0'!$AY$3)</f>
        <v>0</v>
      </c>
    </row>
    <row r="40" spans="1:24">
      <c r="A40" s="4">
        <f>(VLOOKUP('8.0.0'!I40,'8.0.0'!$AM$4:$AO$45,2,FALSE))*IF('8.0.0'!AK$4="是",'8.0.0'!$AY$4,'8.0.0'!$AY$3)</f>
        <v>190</v>
      </c>
      <c r="B40" s="4">
        <f>(VLOOKUP('8.0.0'!J40,'8.0.0'!$AM$4:$AO$45,2,FALSE))*IF('8.0.0'!AL$4="是",'8.0.0'!$AY$4,'8.0.0'!$AY$3)</f>
        <v>190</v>
      </c>
      <c r="C40" s="4">
        <f>(VLOOKUP('8.0.0'!K40,'8.0.0'!$AM$4:$AO$45,2,FALSE))*IF('8.0.0'!AM$4="是",'8.0.0'!$AY$4,'8.0.0'!$AY$3)</f>
        <v>190</v>
      </c>
      <c r="D40" s="4">
        <f>(VLOOKUP('8.0.0'!L40,'8.0.0'!$AM$4:$AO$45,2,FALSE))*IF('8.0.0'!AN$4="是",'8.0.0'!$AY$4,'8.0.0'!$AY$3)</f>
        <v>50</v>
      </c>
      <c r="E40" s="4">
        <f>(VLOOKUP('8.0.0'!M40,'8.0.0'!$AM$4:$AO$45,2,FALSE))*IF('8.0.0'!AO$4="是",'8.0.0'!$AY$4,'8.0.0'!$AY$3)</f>
        <v>190</v>
      </c>
      <c r="F40" s="4">
        <f>(VLOOKUP('8.0.0'!N40,'8.0.0'!$AM$4:$AO$45,2,FALSE))*IF('8.0.0'!AQ$4="是",'8.0.0'!$AY$4,'8.0.0'!$AY$3)</f>
        <v>190</v>
      </c>
      <c r="G40" s="5">
        <f>(VLOOKUP('8.0.0'!O40,'8.0.0'!$AM$4:$AO$45,2,FALSE))*IF('8.0.0'!AR$4="是",'8.0.0'!$AY$4,'8.0.0'!$AY$3)</f>
        <v>190</v>
      </c>
      <c r="H40" s="5">
        <f>(VLOOKUP('8.0.0'!P40,'8.0.0'!$AM$4:$AO$45,2,FALSE))*IF('8.0.0'!AS$4="是",'8.0.0'!$AY$4,'8.0.0'!$AY$3)</f>
        <v>0</v>
      </c>
      <c r="I40" s="4">
        <f>(VLOOKUP('8.0.0'!Q40,'8.0.0'!$AM$4:$AO$45,2,FALSE))*IF('8.0.0'!AT$4="是",'8.0.0'!$AY$4,'8.0.0'!$AY$3)</f>
        <v>0</v>
      </c>
      <c r="J40" s="4">
        <f>(VLOOKUP('8.0.0'!R40,'8.0.0'!$AM$4:$AO$45,2,FALSE))*IF('8.0.0'!AU$4="是",'8.0.0'!$AY$4,'8.0.0'!$AY$3)</f>
        <v>0</v>
      </c>
      <c r="K40" s="4">
        <f>(VLOOKUP('8.0.0'!S40,'8.0.0'!$AM$4:$AO$45,2,FALSE))*IF('8.0.0'!AV$4="是",'8.0.0'!$AY$4,'8.0.0'!$AY$3)</f>
        <v>0</v>
      </c>
      <c r="L40" s="4">
        <f>(VLOOKUP('8.0.0'!T40,'8.0.0'!$AM$4:$AO$45,2,FALSE))*IF('8.0.0'!AW$4="是",'8.0.0'!$AY$4,'8.0.0'!$AY$3)</f>
        <v>0</v>
      </c>
      <c r="M40" s="4">
        <f>(VLOOKUP('8.0.0'!U40,'8.0.0'!$AM$4:$AO$45,2,FALSE))*IF('8.0.0'!AX$4="是",'8.0.0'!$AY$4,'8.0.0'!$AY$3)</f>
        <v>0</v>
      </c>
      <c r="N40" s="4">
        <f>(VLOOKUP('8.0.0'!V40,'8.0.0'!$AM$4:$AO$45,2,FALSE))*IF('8.0.0'!AY$4="是",'8.0.0'!$AY$4,'8.0.0'!$AY$3)</f>
        <v>0</v>
      </c>
      <c r="O40" s="5">
        <f>(VLOOKUP('8.0.0'!W40,'8.0.0'!$AM$4:$AO$45,2,FALSE))*IF('8.0.0'!AZ$4="是",'8.0.0'!$AY$4,'8.0.0'!$AY$3)</f>
        <v>0</v>
      </c>
      <c r="P40" s="5">
        <f>(VLOOKUP('8.0.0'!X40,'8.0.0'!$AM$4:$AO$45,2,FALSE))*IF('8.0.0'!BA$4="是",'8.0.0'!$AY$4,'8.0.0'!$AY$3)</f>
        <v>0</v>
      </c>
      <c r="Q40" s="4">
        <f>(VLOOKUP('8.0.0'!Y40,'8.0.0'!$AM$4:$AO$45,2,FALSE))*IF('8.0.0'!BB$4="是",'8.0.0'!$AY$4,'8.0.0'!$AY$3)</f>
        <v>170</v>
      </c>
      <c r="R40" s="4">
        <f>(VLOOKUP('8.0.0'!Z40,'8.0.0'!$AM$4:$AO$45,2,FALSE))*IF('8.0.0'!BC$4="是",'8.0.0'!$AY$4,'8.0.0'!$AY$3)</f>
        <v>170</v>
      </c>
      <c r="S40" s="4">
        <f>(VLOOKUP('8.0.0'!AA40,'8.0.0'!$AM$4:$AO$45,2,FALSE))*IF('8.0.0'!BD$4="是",'8.0.0'!$AY$4,'8.0.0'!$AY$3)</f>
        <v>170</v>
      </c>
      <c r="T40" s="4">
        <f>(VLOOKUP('8.0.0'!AB40,'8.0.0'!$AM$4:$AO$45,2,FALSE))*IF('8.0.0'!BE$4="是",'8.0.0'!$AY$4,'8.0.0'!$AY$3)</f>
        <v>170</v>
      </c>
      <c r="U40" s="4">
        <f>(VLOOKUP('8.0.0'!AC40,'8.0.0'!$AM$4:$AO$45,2,FALSE))*IF('8.0.0'!BF$4="是",'8.0.0'!$AY$4,'8.0.0'!$AY$3)</f>
        <v>170</v>
      </c>
      <c r="V40" s="4">
        <f>(VLOOKUP('8.0.0'!AD40,'8.0.0'!$AM$4:$AO$45,2,FALSE))*IF('8.0.0'!BG$4="是",'8.0.0'!$AY$4,'8.0.0'!$AY$3)</f>
        <v>170</v>
      </c>
      <c r="W40" s="5">
        <f>(VLOOKUP('8.0.0'!AE40,'8.0.0'!$AM$4:$AO$45,2,FALSE))*IF('8.0.0'!BH$4="是",'8.0.0'!$AY$4,'8.0.0'!$AY$3)</f>
        <v>0</v>
      </c>
      <c r="X40" s="5">
        <f>(VLOOKUP('8.0.0'!AF40,'8.0.0'!$AM$4:$AO$45,2,FALSE))*IF('8.0.0'!BI$4="是",'8.0.0'!$AY$4,'8.0.0'!$AY$3)</f>
        <v>0</v>
      </c>
    </row>
    <row r="41" spans="1:24">
      <c r="A41" s="4">
        <f>(VLOOKUP('8.0.0'!I41,'8.0.0'!$AM$4:$AO$45,2,FALSE))*IF('8.0.0'!AK$4="是",'8.0.0'!$AY$4,'8.0.0'!$AY$3)</f>
        <v>190</v>
      </c>
      <c r="B41" s="4">
        <f>(VLOOKUP('8.0.0'!J41,'8.0.0'!$AM$4:$AO$45,2,FALSE))*IF('8.0.0'!AL$4="是",'8.0.0'!$AY$4,'8.0.0'!$AY$3)</f>
        <v>150</v>
      </c>
      <c r="C41" s="4">
        <f>(VLOOKUP('8.0.0'!K41,'8.0.0'!$AM$4:$AO$45,2,FALSE))*IF('8.0.0'!AM$4="是",'8.0.0'!$AY$4,'8.0.0'!$AY$3)</f>
        <v>190</v>
      </c>
      <c r="D41" s="4">
        <f>(VLOOKUP('8.0.0'!L41,'8.0.0'!$AM$4:$AO$45,2,FALSE))*IF('8.0.0'!AN$4="是",'8.0.0'!$AY$4,'8.0.0'!$AY$3)</f>
        <v>190</v>
      </c>
      <c r="E41" s="4">
        <f>(VLOOKUP('8.0.0'!M41,'8.0.0'!$AM$4:$AO$45,2,FALSE))*IF('8.0.0'!AO$4="是",'8.0.0'!$AY$4,'8.0.0'!$AY$3)</f>
        <v>190</v>
      </c>
      <c r="F41" s="4">
        <f>(VLOOKUP('8.0.0'!N41,'8.0.0'!$AM$4:$AO$45,2,FALSE))*IF('8.0.0'!AQ$4="是",'8.0.0'!$AY$4,'8.0.0'!$AY$3)</f>
        <v>190</v>
      </c>
      <c r="G41" s="5">
        <f>(VLOOKUP('8.0.0'!O41,'8.0.0'!$AM$4:$AO$45,2,FALSE))*IF('8.0.0'!AR$4="是",'8.0.0'!$AY$4,'8.0.0'!$AY$3)</f>
        <v>0</v>
      </c>
      <c r="H41" s="5">
        <f>(VLOOKUP('8.0.0'!P41,'8.0.0'!$AM$4:$AO$45,2,FALSE))*IF('8.0.0'!AS$4="是",'8.0.0'!$AY$4,'8.0.0'!$AY$3)</f>
        <v>0</v>
      </c>
      <c r="I41" s="4">
        <f>(VLOOKUP('8.0.0'!Q41,'8.0.0'!$AM$4:$AO$45,2,FALSE))*IF('8.0.0'!AT$4="是",'8.0.0'!$AY$4,'8.0.0'!$AY$3)</f>
        <v>0</v>
      </c>
      <c r="J41" s="4">
        <f>(VLOOKUP('8.0.0'!R41,'8.0.0'!$AM$4:$AO$45,2,FALSE))*IF('8.0.0'!AU$4="是",'8.0.0'!$AY$4,'8.0.0'!$AY$3)</f>
        <v>0</v>
      </c>
      <c r="K41" s="4">
        <f>(VLOOKUP('8.0.0'!S41,'8.0.0'!$AM$4:$AO$45,2,FALSE))*IF('8.0.0'!AV$4="是",'8.0.0'!$AY$4,'8.0.0'!$AY$3)</f>
        <v>0</v>
      </c>
      <c r="L41" s="4">
        <f>(VLOOKUP('8.0.0'!T41,'8.0.0'!$AM$4:$AO$45,2,FALSE))*IF('8.0.0'!AW$4="是",'8.0.0'!$AY$4,'8.0.0'!$AY$3)</f>
        <v>0</v>
      </c>
      <c r="M41" s="4">
        <f>(VLOOKUP('8.0.0'!U41,'8.0.0'!$AM$4:$AO$45,2,FALSE))*IF('8.0.0'!AX$4="是",'8.0.0'!$AY$4,'8.0.0'!$AY$3)</f>
        <v>0</v>
      </c>
      <c r="N41" s="4">
        <f>(VLOOKUP('8.0.0'!V41,'8.0.0'!$AM$4:$AO$45,2,FALSE))*IF('8.0.0'!AY$4="是",'8.0.0'!$AY$4,'8.0.0'!$AY$3)</f>
        <v>0</v>
      </c>
      <c r="O41" s="5">
        <f>(VLOOKUP('8.0.0'!W41,'8.0.0'!$AM$4:$AO$45,2,FALSE))*IF('8.0.0'!AZ$4="是",'8.0.0'!$AY$4,'8.0.0'!$AY$3)</f>
        <v>0</v>
      </c>
      <c r="P41" s="5">
        <f>(VLOOKUP('8.0.0'!X41,'8.0.0'!$AM$4:$AO$45,2,FALSE))*IF('8.0.0'!BA$4="是",'8.0.0'!$AY$4,'8.0.0'!$AY$3)</f>
        <v>0</v>
      </c>
      <c r="Q41" s="4">
        <f>(VLOOKUP('8.0.0'!Y41,'8.0.0'!$AM$4:$AO$45,2,FALSE))*IF('8.0.0'!BB$4="是",'8.0.0'!$AY$4,'8.0.0'!$AY$3)</f>
        <v>170</v>
      </c>
      <c r="R41" s="4">
        <f>(VLOOKUP('8.0.0'!Z41,'8.0.0'!$AM$4:$AO$45,2,FALSE))*IF('8.0.0'!BC$4="是",'8.0.0'!$AY$4,'8.0.0'!$AY$3)</f>
        <v>150</v>
      </c>
      <c r="S41" s="4">
        <f>(VLOOKUP('8.0.0'!AA41,'8.0.0'!$AM$4:$AO$45,2,FALSE))*IF('8.0.0'!BD$4="是",'8.0.0'!$AY$4,'8.0.0'!$AY$3)</f>
        <v>180</v>
      </c>
      <c r="T41" s="4">
        <f>(VLOOKUP('8.0.0'!AB41,'8.0.0'!$AM$4:$AO$45,2,FALSE))*IF('8.0.0'!BE$4="是",'8.0.0'!$AY$4,'8.0.0'!$AY$3)</f>
        <v>180</v>
      </c>
      <c r="U41" s="4">
        <f>(VLOOKUP('8.0.0'!AC41,'8.0.0'!$AM$4:$AO$45,2,FALSE))*IF('8.0.0'!BF$4="是",'8.0.0'!$AY$4,'8.0.0'!$AY$3)</f>
        <v>170</v>
      </c>
      <c r="V41" s="4">
        <f>(VLOOKUP('8.0.0'!AD41,'8.0.0'!$AM$4:$AO$45,2,FALSE))*IF('8.0.0'!BG$4="是",'8.0.0'!$AY$4,'8.0.0'!$AY$3)</f>
        <v>170</v>
      </c>
      <c r="W41" s="5">
        <f>(VLOOKUP('8.0.0'!AE41,'8.0.0'!$AM$4:$AO$45,2,FALSE))*IF('8.0.0'!BH$4="是",'8.0.0'!$AY$4,'8.0.0'!$AY$3)</f>
        <v>0</v>
      </c>
      <c r="X41" s="5">
        <f>(VLOOKUP('8.0.0'!AF41,'8.0.0'!$AM$4:$AO$45,2,FALSE))*IF('8.0.0'!BI$4="是",'8.0.0'!$AY$4,'8.0.0'!$AY$3)</f>
        <v>0</v>
      </c>
    </row>
    <row r="42" spans="1:24">
      <c r="A42" s="4">
        <f>(VLOOKUP('8.0.0'!I42,'8.0.0'!$AM$4:$AO$45,2,FALSE))*IF('8.0.0'!AK$4="是",'8.0.0'!$AY$4,'8.0.0'!$AY$3)</f>
        <v>190</v>
      </c>
      <c r="B42" s="4">
        <f>(VLOOKUP('8.0.0'!J42,'8.0.0'!$AM$4:$AO$45,2,FALSE))*IF('8.0.0'!AL$4="是",'8.0.0'!$AY$4,'8.0.0'!$AY$3)</f>
        <v>190</v>
      </c>
      <c r="C42" s="4">
        <f>(VLOOKUP('8.0.0'!K42,'8.0.0'!$AM$4:$AO$45,2,FALSE))*IF('8.0.0'!AM$4="是",'8.0.0'!$AY$4,'8.0.0'!$AY$3)</f>
        <v>190</v>
      </c>
      <c r="D42" s="4">
        <f>(VLOOKUP('8.0.0'!L42,'8.0.0'!$AM$4:$AO$45,2,FALSE))*IF('8.0.0'!AN$4="是",'8.0.0'!$AY$4,'8.0.0'!$AY$3)</f>
        <v>190</v>
      </c>
      <c r="E42" s="4">
        <f>(VLOOKUP('8.0.0'!M42,'8.0.0'!$AM$4:$AO$45,2,FALSE))*IF('8.0.0'!AO$4="是",'8.0.0'!$AY$4,'8.0.0'!$AY$3)</f>
        <v>190</v>
      </c>
      <c r="F42" s="4">
        <f>(VLOOKUP('8.0.0'!N42,'8.0.0'!$AM$4:$AO$45,2,FALSE))*IF('8.0.0'!AQ$4="是",'8.0.0'!$AY$4,'8.0.0'!$AY$3)</f>
        <v>190</v>
      </c>
      <c r="G42" s="5">
        <f>(VLOOKUP('8.0.0'!O42,'8.0.0'!$AM$4:$AO$45,2,FALSE))*IF('8.0.0'!AR$4="是",'8.0.0'!$AY$4,'8.0.0'!$AY$3)</f>
        <v>0</v>
      </c>
      <c r="H42" s="5">
        <f>(VLOOKUP('8.0.0'!P42,'8.0.0'!$AM$4:$AO$45,2,FALSE))*IF('8.0.0'!AS$4="是",'8.0.0'!$AY$4,'8.0.0'!$AY$3)</f>
        <v>0</v>
      </c>
      <c r="I42" s="4">
        <f>(VLOOKUP('8.0.0'!Q42,'8.0.0'!$AM$4:$AO$45,2,FALSE))*IF('8.0.0'!AT$4="是",'8.0.0'!$AY$4,'8.0.0'!$AY$3)</f>
        <v>0</v>
      </c>
      <c r="J42" s="4">
        <f>(VLOOKUP('8.0.0'!R42,'8.0.0'!$AM$4:$AO$45,2,FALSE))*IF('8.0.0'!AU$4="是",'8.0.0'!$AY$4,'8.0.0'!$AY$3)</f>
        <v>0</v>
      </c>
      <c r="K42" s="4">
        <f>(VLOOKUP('8.0.0'!S42,'8.0.0'!$AM$4:$AO$45,2,FALSE))*IF('8.0.0'!AV$4="是",'8.0.0'!$AY$4,'8.0.0'!$AY$3)</f>
        <v>0</v>
      </c>
      <c r="L42" s="4">
        <f>(VLOOKUP('8.0.0'!T42,'8.0.0'!$AM$4:$AO$45,2,FALSE))*IF('8.0.0'!AW$4="是",'8.0.0'!$AY$4,'8.0.0'!$AY$3)</f>
        <v>0</v>
      </c>
      <c r="M42" s="4">
        <f>(VLOOKUP('8.0.0'!U42,'8.0.0'!$AM$4:$AO$45,2,FALSE))*IF('8.0.0'!AX$4="是",'8.0.0'!$AY$4,'8.0.0'!$AY$3)</f>
        <v>0</v>
      </c>
      <c r="N42" s="4">
        <f>(VLOOKUP('8.0.0'!V42,'8.0.0'!$AM$4:$AO$45,2,FALSE))*IF('8.0.0'!AY$4="是",'8.0.0'!$AY$4,'8.0.0'!$AY$3)</f>
        <v>0</v>
      </c>
      <c r="O42" s="5">
        <f>(VLOOKUP('8.0.0'!W42,'8.0.0'!$AM$4:$AO$45,2,FALSE))*IF('8.0.0'!AZ$4="是",'8.0.0'!$AY$4,'8.0.0'!$AY$3)</f>
        <v>0</v>
      </c>
      <c r="P42" s="5">
        <f>(VLOOKUP('8.0.0'!X42,'8.0.0'!$AM$4:$AO$45,2,FALSE))*IF('8.0.0'!BA$4="是",'8.0.0'!$AY$4,'8.0.0'!$AY$3)</f>
        <v>0</v>
      </c>
      <c r="Q42" s="4">
        <f>(VLOOKUP('8.0.0'!Y42,'8.0.0'!$AM$4:$AO$45,2,FALSE))*IF('8.0.0'!BB$4="是",'8.0.0'!$AY$4,'8.0.0'!$AY$3)</f>
        <v>170</v>
      </c>
      <c r="R42" s="4">
        <f>(VLOOKUP('8.0.0'!Z42,'8.0.0'!$AM$4:$AO$45,2,FALSE))*IF('8.0.0'!BC$4="是",'8.0.0'!$AY$4,'8.0.0'!$AY$3)</f>
        <v>170</v>
      </c>
      <c r="S42" s="4">
        <f>(VLOOKUP('8.0.0'!AA42,'8.0.0'!$AM$4:$AO$45,2,FALSE))*IF('8.0.0'!BD$4="是",'8.0.0'!$AY$4,'8.0.0'!$AY$3)</f>
        <v>170</v>
      </c>
      <c r="T42" s="4">
        <f>(VLOOKUP('8.0.0'!AB42,'8.0.0'!$AM$4:$AO$45,2,FALSE))*IF('8.0.0'!BE$4="是",'8.0.0'!$AY$4,'8.0.0'!$AY$3)</f>
        <v>170</v>
      </c>
      <c r="U42" s="4">
        <f>(VLOOKUP('8.0.0'!AC42,'8.0.0'!$AM$4:$AO$45,2,FALSE))*IF('8.0.0'!BF$4="是",'8.0.0'!$AY$4,'8.0.0'!$AY$3)</f>
        <v>180</v>
      </c>
      <c r="V42" s="4">
        <f>(VLOOKUP('8.0.0'!AD42,'8.0.0'!$AM$4:$AO$45,2,FALSE))*IF('8.0.0'!BG$4="是",'8.0.0'!$AY$4,'8.0.0'!$AY$3)</f>
        <v>180</v>
      </c>
      <c r="W42" s="5">
        <f>(VLOOKUP('8.0.0'!AE42,'8.0.0'!$AM$4:$AO$45,2,FALSE))*IF('8.0.0'!BH$4="是",'8.0.0'!$AY$4,'8.0.0'!$AY$3)</f>
        <v>0</v>
      </c>
      <c r="X42" s="5">
        <f>(VLOOKUP('8.0.0'!AF42,'8.0.0'!$AM$4:$AO$45,2,FALSE))*IF('8.0.0'!BI$4="是",'8.0.0'!$AY$4,'8.0.0'!$AY$3)</f>
        <v>0</v>
      </c>
    </row>
    <row r="43" spans="1:24">
      <c r="A43" s="4">
        <f>(VLOOKUP('8.0.0'!I43,'8.0.0'!$AM$4:$AO$45,2,FALSE))*IF('8.0.0'!AK$4="是",'8.0.0'!$AY$4,'8.0.0'!$AY$3)</f>
        <v>190</v>
      </c>
      <c r="B43" s="4">
        <f>(VLOOKUP('8.0.0'!J43,'8.0.0'!$AM$4:$AO$45,2,FALSE))*IF('8.0.0'!AL$4="是",'8.0.0'!$AY$4,'8.0.0'!$AY$3)</f>
        <v>190</v>
      </c>
      <c r="C43" s="4">
        <f>(VLOOKUP('8.0.0'!K43,'8.0.0'!$AM$4:$AO$45,2,FALSE))*IF('8.0.0'!AM$4="是",'8.0.0'!$AY$4,'8.0.0'!$AY$3)</f>
        <v>190</v>
      </c>
      <c r="D43" s="4">
        <f>(VLOOKUP('8.0.0'!L43,'8.0.0'!$AM$4:$AO$45,2,FALSE))*IF('8.0.0'!AN$4="是",'8.0.0'!$AY$4,'8.0.0'!$AY$3)</f>
        <v>190</v>
      </c>
      <c r="E43" s="4">
        <f>(VLOOKUP('8.0.0'!M43,'8.0.0'!$AM$4:$AO$45,2,FALSE))*IF('8.0.0'!AO$4="是",'8.0.0'!$AY$4,'8.0.0'!$AY$3)</f>
        <v>190</v>
      </c>
      <c r="F43" s="4">
        <f>(VLOOKUP('8.0.0'!N43,'8.0.0'!$AM$4:$AO$45,2,FALSE))*IF('8.0.0'!AQ$4="是",'8.0.0'!$AY$4,'8.0.0'!$AY$3)</f>
        <v>190</v>
      </c>
      <c r="G43" s="5">
        <f>(VLOOKUP('8.0.0'!O43,'8.0.0'!$AM$4:$AO$45,2,FALSE))*IF('8.0.0'!AR$4="是",'8.0.0'!$AY$4,'8.0.0'!$AY$3)</f>
        <v>0</v>
      </c>
      <c r="H43" s="5">
        <f>(VLOOKUP('8.0.0'!P43,'8.0.0'!$AM$4:$AO$45,2,FALSE))*IF('8.0.0'!AS$4="是",'8.0.0'!$AY$4,'8.0.0'!$AY$3)</f>
        <v>0</v>
      </c>
      <c r="I43" s="4">
        <f>(VLOOKUP('8.0.0'!Q43,'8.0.0'!$AM$4:$AO$45,2,FALSE))*IF('8.0.0'!AT$4="是",'8.0.0'!$AY$4,'8.0.0'!$AY$3)</f>
        <v>0</v>
      </c>
      <c r="J43" s="4">
        <f>(VLOOKUP('8.0.0'!R43,'8.0.0'!$AM$4:$AO$45,2,FALSE))*IF('8.0.0'!AU$4="是",'8.0.0'!$AY$4,'8.0.0'!$AY$3)</f>
        <v>0</v>
      </c>
      <c r="K43" s="4">
        <f>(VLOOKUP('8.0.0'!S43,'8.0.0'!$AM$4:$AO$45,2,FALSE))*IF('8.0.0'!AV$4="是",'8.0.0'!$AY$4,'8.0.0'!$AY$3)</f>
        <v>0</v>
      </c>
      <c r="L43" s="4">
        <f>(VLOOKUP('8.0.0'!T43,'8.0.0'!$AM$4:$AO$45,2,FALSE))*IF('8.0.0'!AW$4="是",'8.0.0'!$AY$4,'8.0.0'!$AY$3)</f>
        <v>0</v>
      </c>
      <c r="M43" s="4">
        <f>(VLOOKUP('8.0.0'!U43,'8.0.0'!$AM$4:$AO$45,2,FALSE))*IF('8.0.0'!AX$4="是",'8.0.0'!$AY$4,'8.0.0'!$AY$3)</f>
        <v>0</v>
      </c>
      <c r="N43" s="4">
        <f>(VLOOKUP('8.0.0'!V43,'8.0.0'!$AM$4:$AO$45,2,FALSE))*IF('8.0.0'!AY$4="是",'8.0.0'!$AY$4,'8.0.0'!$AY$3)</f>
        <v>0</v>
      </c>
      <c r="O43" s="5">
        <f>(VLOOKUP('8.0.0'!W43,'8.0.0'!$AM$4:$AO$45,2,FALSE))*IF('8.0.0'!AZ$4="是",'8.0.0'!$AY$4,'8.0.0'!$AY$3)</f>
        <v>0</v>
      </c>
      <c r="P43" s="5">
        <f>(VLOOKUP('8.0.0'!X43,'8.0.0'!$AM$4:$AO$45,2,FALSE))*IF('8.0.0'!BA$4="是",'8.0.0'!$AY$4,'8.0.0'!$AY$3)</f>
        <v>0</v>
      </c>
      <c r="Q43" s="4">
        <f>(VLOOKUP('8.0.0'!Y43,'8.0.0'!$AM$4:$AO$45,2,FALSE))*IF('8.0.0'!BB$4="是",'8.0.0'!$AY$4,'8.0.0'!$AY$3)</f>
        <v>180</v>
      </c>
      <c r="R43" s="4">
        <f>(VLOOKUP('8.0.0'!Z43,'8.0.0'!$AM$4:$AO$45,2,FALSE))*IF('8.0.0'!BC$4="是",'8.0.0'!$AY$4,'8.0.0'!$AY$3)</f>
        <v>180</v>
      </c>
      <c r="S43" s="4">
        <f>(VLOOKUP('8.0.0'!AA43,'8.0.0'!$AM$4:$AO$45,2,FALSE))*IF('8.0.0'!BD$4="是",'8.0.0'!$AY$4,'8.0.0'!$AY$3)</f>
        <v>180</v>
      </c>
      <c r="T43" s="4">
        <f>(VLOOKUP('8.0.0'!AB43,'8.0.0'!$AM$4:$AO$45,2,FALSE))*IF('8.0.0'!BE$4="是",'8.0.0'!$AY$4,'8.0.0'!$AY$3)</f>
        <v>180</v>
      </c>
      <c r="U43" s="4">
        <f>(VLOOKUP('8.0.0'!AC43,'8.0.0'!$AM$4:$AO$45,2,FALSE))*IF('8.0.0'!BF$4="是",'8.0.0'!$AY$4,'8.0.0'!$AY$3)</f>
        <v>180</v>
      </c>
      <c r="V43" s="4">
        <f>(VLOOKUP('8.0.0'!AD43,'8.0.0'!$AM$4:$AO$45,2,FALSE))*IF('8.0.0'!BG$4="是",'8.0.0'!$AY$4,'8.0.0'!$AY$3)</f>
        <v>180</v>
      </c>
      <c r="W43" s="5">
        <f>(VLOOKUP('8.0.0'!AE43,'8.0.0'!$AM$4:$AO$45,2,FALSE))*IF('8.0.0'!BH$4="是",'8.0.0'!$AY$4,'8.0.0'!$AY$3)</f>
        <v>0</v>
      </c>
      <c r="X43" s="5">
        <f>(VLOOKUP('8.0.0'!AF43,'8.0.0'!$AM$4:$AO$45,2,FALSE))*IF('8.0.0'!BI$4="是",'8.0.0'!$AY$4,'8.0.0'!$AY$3)</f>
        <v>0</v>
      </c>
    </row>
    <row r="44" spans="1:24">
      <c r="A44" s="4">
        <f>(VLOOKUP('8.0.0'!I44,'8.0.0'!$AM$4:$AO$45,2,FALSE))*IF('8.0.0'!AK$4="是",'8.0.0'!$AY$4,'8.0.0'!$AY$3)</f>
        <v>190</v>
      </c>
      <c r="B44" s="4">
        <f>(VLOOKUP('8.0.0'!J44,'8.0.0'!$AM$4:$AO$45,2,FALSE))*IF('8.0.0'!AL$4="是",'8.0.0'!$AY$4,'8.0.0'!$AY$3)</f>
        <v>180</v>
      </c>
      <c r="C44" s="4">
        <f>(VLOOKUP('8.0.0'!K44,'8.0.0'!$AM$4:$AO$45,2,FALSE))*IF('8.0.0'!AM$4="是",'8.0.0'!$AY$4,'8.0.0'!$AY$3)</f>
        <v>190</v>
      </c>
      <c r="D44" s="4">
        <f>(VLOOKUP('8.0.0'!L44,'8.0.0'!$AM$4:$AO$45,2,FALSE))*IF('8.0.0'!AN$4="是",'8.0.0'!$AY$4,'8.0.0'!$AY$3)</f>
        <v>190</v>
      </c>
      <c r="E44" s="4">
        <f>(VLOOKUP('8.0.0'!M44,'8.0.0'!$AM$4:$AO$45,2,FALSE))*IF('8.0.0'!AO$4="是",'8.0.0'!$AY$4,'8.0.0'!$AY$3)</f>
        <v>50</v>
      </c>
      <c r="F44" s="4">
        <f>(VLOOKUP('8.0.0'!N44,'8.0.0'!$AM$4:$AO$45,2,FALSE))*IF('8.0.0'!AQ$4="是",'8.0.0'!$AY$4,'8.0.0'!$AY$3)</f>
        <v>190</v>
      </c>
      <c r="G44" s="5">
        <f>(VLOOKUP('8.0.0'!O44,'8.0.0'!$AM$4:$AO$45,2,FALSE))*IF('8.0.0'!AR$4="是",'8.0.0'!$AY$4,'8.0.0'!$AY$3)</f>
        <v>0</v>
      </c>
      <c r="H44" s="5">
        <f>(VLOOKUP('8.0.0'!P44,'8.0.0'!$AM$4:$AO$45,2,FALSE))*IF('8.0.0'!AS$4="是",'8.0.0'!$AY$4,'8.0.0'!$AY$3)</f>
        <v>0</v>
      </c>
      <c r="I44" s="4">
        <f>(VLOOKUP('8.0.0'!Q44,'8.0.0'!$AM$4:$AO$45,2,FALSE))*IF('8.0.0'!AT$4="是",'8.0.0'!$AY$4,'8.0.0'!$AY$3)</f>
        <v>0</v>
      </c>
      <c r="J44" s="4">
        <f>(VLOOKUP('8.0.0'!R44,'8.0.0'!$AM$4:$AO$45,2,FALSE))*IF('8.0.0'!AU$4="是",'8.0.0'!$AY$4,'8.0.0'!$AY$3)</f>
        <v>0</v>
      </c>
      <c r="K44" s="4">
        <f>(VLOOKUP('8.0.0'!S44,'8.0.0'!$AM$4:$AO$45,2,FALSE))*IF('8.0.0'!AV$4="是",'8.0.0'!$AY$4,'8.0.0'!$AY$3)</f>
        <v>0</v>
      </c>
      <c r="L44" s="4">
        <f>(VLOOKUP('8.0.0'!T44,'8.0.0'!$AM$4:$AO$45,2,FALSE))*IF('8.0.0'!AW$4="是",'8.0.0'!$AY$4,'8.0.0'!$AY$3)</f>
        <v>0</v>
      </c>
      <c r="M44" s="4">
        <f>(VLOOKUP('8.0.0'!U44,'8.0.0'!$AM$4:$AO$45,2,FALSE))*IF('8.0.0'!AX$4="是",'8.0.0'!$AY$4,'8.0.0'!$AY$3)</f>
        <v>0</v>
      </c>
      <c r="N44" s="4">
        <f>(VLOOKUP('8.0.0'!V44,'8.0.0'!$AM$4:$AO$45,2,FALSE))*IF('8.0.0'!AY$4="是",'8.0.0'!$AY$4,'8.0.0'!$AY$3)</f>
        <v>0</v>
      </c>
      <c r="O44" s="5">
        <f>(VLOOKUP('8.0.0'!W44,'8.0.0'!$AM$4:$AO$45,2,FALSE))*IF('8.0.0'!AZ$4="是",'8.0.0'!$AY$4,'8.0.0'!$AY$3)</f>
        <v>0</v>
      </c>
      <c r="P44" s="5">
        <f>(VLOOKUP('8.0.0'!X44,'8.0.0'!$AM$4:$AO$45,2,FALSE))*IF('8.0.0'!BA$4="是",'8.0.0'!$AY$4,'8.0.0'!$AY$3)</f>
        <v>0</v>
      </c>
      <c r="Q44" s="4">
        <f>(VLOOKUP('8.0.0'!Y44,'8.0.0'!$AM$4:$AO$45,2,FALSE))*IF('8.0.0'!BB$4="是",'8.0.0'!$AY$4,'8.0.0'!$AY$3)</f>
        <v>180</v>
      </c>
      <c r="R44" s="4">
        <f>(VLOOKUP('8.0.0'!Z44,'8.0.0'!$AM$4:$AO$45,2,FALSE))*IF('8.0.0'!BC$4="是",'8.0.0'!$AY$4,'8.0.0'!$AY$3)</f>
        <v>180</v>
      </c>
      <c r="S44" s="4">
        <f>(VLOOKUP('8.0.0'!AA44,'8.0.0'!$AM$4:$AO$45,2,FALSE))*IF('8.0.0'!BD$4="是",'8.0.0'!$AY$4,'8.0.0'!$AY$3)</f>
        <v>180</v>
      </c>
      <c r="T44" s="4">
        <f>(VLOOKUP('8.0.0'!AB44,'8.0.0'!$AM$4:$AO$45,2,FALSE))*IF('8.0.0'!BE$4="是",'8.0.0'!$AY$4,'8.0.0'!$AY$3)</f>
        <v>180</v>
      </c>
      <c r="U44" s="4">
        <f>(VLOOKUP('8.0.0'!AC44,'8.0.0'!$AM$4:$AO$45,2,FALSE))*IF('8.0.0'!BF$4="是",'8.0.0'!$AY$4,'8.0.0'!$AY$3)</f>
        <v>180</v>
      </c>
      <c r="V44" s="4">
        <f>(VLOOKUP('8.0.0'!AD44,'8.0.0'!$AM$4:$AO$45,2,FALSE))*IF('8.0.0'!BG$4="是",'8.0.0'!$AY$4,'8.0.0'!$AY$3)</f>
        <v>180</v>
      </c>
      <c r="W44" s="5">
        <f>(VLOOKUP('8.0.0'!AE44,'8.0.0'!$AM$4:$AO$45,2,FALSE))*IF('8.0.0'!BH$4="是",'8.0.0'!$AY$4,'8.0.0'!$AY$3)</f>
        <v>0</v>
      </c>
      <c r="X44" s="5">
        <f>(VLOOKUP('8.0.0'!AF44,'8.0.0'!$AM$4:$AO$45,2,FALSE))*IF('8.0.0'!BI$4="是",'8.0.0'!$AY$4,'8.0.0'!$AY$3)</f>
        <v>0</v>
      </c>
    </row>
    <row r="45" spans="1:24">
      <c r="A45" s="4">
        <f>(VLOOKUP('8.0.0'!I45,'8.0.0'!$AM$4:$AO$45,2,FALSE))*IF('8.0.0'!AK$4="是",'8.0.0'!$AY$4,'8.0.0'!$AY$3)</f>
        <v>190</v>
      </c>
      <c r="B45" s="4">
        <f>(VLOOKUP('8.0.0'!J45,'8.0.0'!$AM$4:$AO$45,2,FALSE))*IF('8.0.0'!AL$4="是",'8.0.0'!$AY$4,'8.0.0'!$AY$3)</f>
        <v>190</v>
      </c>
      <c r="C45" s="4">
        <f>(VLOOKUP('8.0.0'!K45,'8.0.0'!$AM$4:$AO$45,2,FALSE))*IF('8.0.0'!AM$4="是",'8.0.0'!$AY$4,'8.0.0'!$AY$3)</f>
        <v>190</v>
      </c>
      <c r="D45" s="4">
        <f>(VLOOKUP('8.0.0'!L45,'8.0.0'!$AM$4:$AO$45,2,FALSE))*IF('8.0.0'!AN$4="是",'8.0.0'!$AY$4,'8.0.0'!$AY$3)</f>
        <v>190</v>
      </c>
      <c r="E45" s="4">
        <f>(VLOOKUP('8.0.0'!M45,'8.0.0'!$AM$4:$AO$45,2,FALSE))*IF('8.0.0'!AO$4="是",'8.0.0'!$AY$4,'8.0.0'!$AY$3)</f>
        <v>-200</v>
      </c>
      <c r="F45" s="4">
        <f>(VLOOKUP('8.0.0'!N45,'8.0.0'!$AM$4:$AO$45,2,FALSE))*IF('8.0.0'!AQ$4="是",'8.0.0'!$AY$4,'8.0.0'!$AY$3)</f>
        <v>190</v>
      </c>
      <c r="G45" s="5">
        <f>(VLOOKUP('8.0.0'!O45,'8.0.0'!$AM$4:$AO$45,2,FALSE))*IF('8.0.0'!AR$4="是",'8.0.0'!$AY$4,'8.0.0'!$AY$3)</f>
        <v>190</v>
      </c>
      <c r="H45" s="5">
        <f>(VLOOKUP('8.0.0'!P45,'8.0.0'!$AM$4:$AO$45,2,FALSE))*IF('8.0.0'!AS$4="是",'8.0.0'!$AY$4,'8.0.0'!$AY$3)</f>
        <v>190</v>
      </c>
      <c r="I45" s="4">
        <f>(VLOOKUP('8.0.0'!Q45,'8.0.0'!$AM$4:$AO$45,2,FALSE))*IF('8.0.0'!AT$4="是",'8.0.0'!$AY$4,'8.0.0'!$AY$3)</f>
        <v>0</v>
      </c>
      <c r="J45" s="4">
        <f>(VLOOKUP('8.0.0'!R45,'8.0.0'!$AM$4:$AO$45,2,FALSE))*IF('8.0.0'!AU$4="是",'8.0.0'!$AY$4,'8.0.0'!$AY$3)</f>
        <v>0</v>
      </c>
      <c r="K45" s="4">
        <f>(VLOOKUP('8.0.0'!S45,'8.0.0'!$AM$4:$AO$45,2,FALSE))*IF('8.0.0'!AV$4="是",'8.0.0'!$AY$4,'8.0.0'!$AY$3)</f>
        <v>0</v>
      </c>
      <c r="L45" s="4">
        <f>(VLOOKUP('8.0.0'!T45,'8.0.0'!$AM$4:$AO$45,2,FALSE))*IF('8.0.0'!AW$4="是",'8.0.0'!$AY$4,'8.0.0'!$AY$3)</f>
        <v>0</v>
      </c>
      <c r="M45" s="4">
        <f>(VLOOKUP('8.0.0'!U45,'8.0.0'!$AM$4:$AO$45,2,FALSE))*IF('8.0.0'!AX$4="是",'8.0.0'!$AY$4,'8.0.0'!$AY$3)</f>
        <v>0</v>
      </c>
      <c r="N45" s="4">
        <f>(VLOOKUP('8.0.0'!V45,'8.0.0'!$AM$4:$AO$45,2,FALSE))*IF('8.0.0'!AY$4="是",'8.0.0'!$AY$4,'8.0.0'!$AY$3)</f>
        <v>0</v>
      </c>
      <c r="O45" s="5">
        <f>(VLOOKUP('8.0.0'!W45,'8.0.0'!$AM$4:$AO$45,2,FALSE))*IF('8.0.0'!AZ$4="是",'8.0.0'!$AY$4,'8.0.0'!$AY$3)</f>
        <v>0</v>
      </c>
      <c r="P45" s="5">
        <f>(VLOOKUP('8.0.0'!X45,'8.0.0'!$AM$4:$AO$45,2,FALSE))*IF('8.0.0'!BA$4="是",'8.0.0'!$AY$4,'8.0.0'!$AY$3)</f>
        <v>0</v>
      </c>
      <c r="Q45" s="4">
        <f>(VLOOKUP('8.0.0'!Y45,'8.0.0'!$AM$4:$AO$45,2,FALSE))*IF('8.0.0'!BB$4="是",'8.0.0'!$AY$4,'8.0.0'!$AY$3)</f>
        <v>180</v>
      </c>
      <c r="R45" s="4">
        <f>(VLOOKUP('8.0.0'!Z45,'8.0.0'!$AM$4:$AO$45,2,FALSE))*IF('8.0.0'!BC$4="是",'8.0.0'!$AY$4,'8.0.0'!$AY$3)</f>
        <v>180</v>
      </c>
      <c r="S45" s="4">
        <f>(VLOOKUP('8.0.0'!AA45,'8.0.0'!$AM$4:$AO$45,2,FALSE))*IF('8.0.0'!BD$4="是",'8.0.0'!$AY$4,'8.0.0'!$AY$3)</f>
        <v>50</v>
      </c>
      <c r="T45" s="4">
        <f>(VLOOKUP('8.0.0'!AB45,'8.0.0'!$AM$4:$AO$45,2,FALSE))*IF('8.0.0'!BE$4="是",'8.0.0'!$AY$4,'8.0.0'!$AY$3)</f>
        <v>180</v>
      </c>
      <c r="U45" s="4">
        <f>(VLOOKUP('8.0.0'!AC45,'8.0.0'!$AM$4:$AO$45,2,FALSE))*IF('8.0.0'!BF$4="是",'8.0.0'!$AY$4,'8.0.0'!$AY$3)</f>
        <v>180</v>
      </c>
      <c r="V45" s="4">
        <f>(VLOOKUP('8.0.0'!AD45,'8.0.0'!$AM$4:$AO$45,2,FALSE))*IF('8.0.0'!BG$4="是",'8.0.0'!$AY$4,'8.0.0'!$AY$3)</f>
        <v>0</v>
      </c>
      <c r="W45" s="5">
        <f>(VLOOKUP('8.0.0'!AE45,'8.0.0'!$AM$4:$AO$45,2,FALSE))*IF('8.0.0'!BH$4="是",'8.0.0'!$AY$4,'8.0.0'!$AY$3)</f>
        <v>0</v>
      </c>
      <c r="X45" s="5">
        <f>(VLOOKUP('8.0.0'!AF45,'8.0.0'!$AM$4:$AO$45,2,FALSE))*IF('8.0.0'!BI$4="是",'8.0.0'!$AY$4,'8.0.0'!$AY$3)</f>
        <v>0</v>
      </c>
    </row>
    <row r="46" spans="1:24">
      <c r="A46" s="4">
        <f>(VLOOKUP('8.0.0'!I46,'8.0.0'!$AM$4:$AO$45,2,FALSE))*IF('8.0.0'!AK$4="是",'8.0.0'!$AY$4,'8.0.0'!$AY$3)</f>
        <v>190</v>
      </c>
      <c r="B46" s="4">
        <f>(VLOOKUP('8.0.0'!J46,'8.0.0'!$AM$4:$AO$45,2,FALSE))*IF('8.0.0'!AL$4="是",'8.0.0'!$AY$4,'8.0.0'!$AY$3)</f>
        <v>190</v>
      </c>
      <c r="C46" s="4">
        <f>(VLOOKUP('8.0.0'!K46,'8.0.0'!$AM$4:$AO$45,2,FALSE))*IF('8.0.0'!AM$4="是",'8.0.0'!$AY$4,'8.0.0'!$AY$3)</f>
        <v>190</v>
      </c>
      <c r="D46" s="4">
        <f>(VLOOKUP('8.0.0'!L46,'8.0.0'!$AM$4:$AO$45,2,FALSE))*IF('8.0.0'!AN$4="是",'8.0.0'!$AY$4,'8.0.0'!$AY$3)</f>
        <v>190</v>
      </c>
      <c r="E46" s="4">
        <f>(VLOOKUP('8.0.0'!M46,'8.0.0'!$AM$4:$AO$45,2,FALSE))*IF('8.0.0'!AO$4="是",'8.0.0'!$AY$4,'8.0.0'!$AY$3)</f>
        <v>190</v>
      </c>
      <c r="F46" s="4">
        <f>(VLOOKUP('8.0.0'!N46,'8.0.0'!$AM$4:$AO$45,2,FALSE))*IF('8.0.0'!AQ$4="是",'8.0.0'!$AY$4,'8.0.0'!$AY$3)</f>
        <v>190</v>
      </c>
      <c r="G46" s="5">
        <f>(VLOOKUP('8.0.0'!O46,'8.0.0'!$AM$4:$AO$45,2,FALSE))*IF('8.0.0'!AR$4="是",'8.0.0'!$AY$4,'8.0.0'!$AY$3)</f>
        <v>0</v>
      </c>
      <c r="H46" s="5">
        <f>(VLOOKUP('8.0.0'!P46,'8.0.0'!$AM$4:$AO$45,2,FALSE))*IF('8.0.0'!AS$4="是",'8.0.0'!$AY$4,'8.0.0'!$AY$3)</f>
        <v>0</v>
      </c>
      <c r="I46" s="4">
        <f>(VLOOKUP('8.0.0'!Q46,'8.0.0'!$AM$4:$AO$45,2,FALSE))*IF('8.0.0'!AT$4="是",'8.0.0'!$AY$4,'8.0.0'!$AY$3)</f>
        <v>0</v>
      </c>
      <c r="J46" s="4">
        <f>(VLOOKUP('8.0.0'!R46,'8.0.0'!$AM$4:$AO$45,2,FALSE))*IF('8.0.0'!AU$4="是",'8.0.0'!$AY$4,'8.0.0'!$AY$3)</f>
        <v>0</v>
      </c>
      <c r="K46" s="4">
        <f>(VLOOKUP('8.0.0'!S46,'8.0.0'!$AM$4:$AO$45,2,FALSE))*IF('8.0.0'!AV$4="是",'8.0.0'!$AY$4,'8.0.0'!$AY$3)</f>
        <v>0</v>
      </c>
      <c r="L46" s="4">
        <f>(VLOOKUP('8.0.0'!T46,'8.0.0'!$AM$4:$AO$45,2,FALSE))*IF('8.0.0'!AW$4="是",'8.0.0'!$AY$4,'8.0.0'!$AY$3)</f>
        <v>0</v>
      </c>
      <c r="M46" s="4">
        <f>(VLOOKUP('8.0.0'!U46,'8.0.0'!$AM$4:$AO$45,2,FALSE))*IF('8.0.0'!AX$4="是",'8.0.0'!$AY$4,'8.0.0'!$AY$3)</f>
        <v>0</v>
      </c>
      <c r="N46" s="4">
        <f>(VLOOKUP('8.0.0'!V46,'8.0.0'!$AM$4:$AO$45,2,FALSE))*IF('8.0.0'!AY$4="是",'8.0.0'!$AY$4,'8.0.0'!$AY$3)</f>
        <v>0</v>
      </c>
      <c r="O46" s="5">
        <f>(VLOOKUP('8.0.0'!W46,'8.0.0'!$AM$4:$AO$45,2,FALSE))*IF('8.0.0'!AZ$4="是",'8.0.0'!$AY$4,'8.0.0'!$AY$3)</f>
        <v>0</v>
      </c>
      <c r="P46" s="5">
        <f>(VLOOKUP('8.0.0'!X46,'8.0.0'!$AM$4:$AO$45,2,FALSE))*IF('8.0.0'!BA$4="是",'8.0.0'!$AY$4,'8.0.0'!$AY$3)</f>
        <v>0</v>
      </c>
      <c r="Q46" s="4">
        <f>(VLOOKUP('8.0.0'!Y46,'8.0.0'!$AM$4:$AO$45,2,FALSE))*IF('8.0.0'!BB$4="是",'8.0.0'!$AY$4,'8.0.0'!$AY$3)</f>
        <v>180</v>
      </c>
      <c r="R46" s="4">
        <f>(VLOOKUP('8.0.0'!Z46,'8.0.0'!$AM$4:$AO$45,2,FALSE))*IF('8.0.0'!BC$4="是",'8.0.0'!$AY$4,'8.0.0'!$AY$3)</f>
        <v>180</v>
      </c>
      <c r="S46" s="4">
        <f>(VLOOKUP('8.0.0'!AA46,'8.0.0'!$AM$4:$AO$45,2,FALSE))*IF('8.0.0'!BD$4="是",'8.0.0'!$AY$4,'8.0.0'!$AY$3)</f>
        <v>180</v>
      </c>
      <c r="T46" s="4">
        <f>(VLOOKUP('8.0.0'!AB46,'8.0.0'!$AM$4:$AO$45,2,FALSE))*IF('8.0.0'!BE$4="是",'8.0.0'!$AY$4,'8.0.0'!$AY$3)</f>
        <v>180</v>
      </c>
      <c r="U46" s="4">
        <f>(VLOOKUP('8.0.0'!AC46,'8.0.0'!$AM$4:$AO$45,2,FALSE))*IF('8.0.0'!BF$4="是",'8.0.0'!$AY$4,'8.0.0'!$AY$3)</f>
        <v>180</v>
      </c>
      <c r="V46" s="4">
        <f>(VLOOKUP('8.0.0'!AD46,'8.0.0'!$AM$4:$AO$45,2,FALSE))*IF('8.0.0'!BG$4="是",'8.0.0'!$AY$4,'8.0.0'!$AY$3)</f>
        <v>0</v>
      </c>
      <c r="W46" s="5">
        <f>(VLOOKUP('8.0.0'!AE46,'8.0.0'!$AM$4:$AO$45,2,FALSE))*IF('8.0.0'!BH$4="是",'8.0.0'!$AY$4,'8.0.0'!$AY$3)</f>
        <v>0</v>
      </c>
      <c r="X46" s="5">
        <f>(VLOOKUP('8.0.0'!AF46,'8.0.0'!$AM$4:$AO$45,2,FALSE))*IF('8.0.0'!BI$4="是",'8.0.0'!$AY$4,'8.0.0'!$AY$3)</f>
        <v>0</v>
      </c>
    </row>
    <row r="47" spans="1:24">
      <c r="A47" s="4">
        <f>(VLOOKUP('8.0.0'!I47,'8.0.0'!$AM$4:$AO$45,2,FALSE))*IF('8.0.0'!AK$4="是",'8.0.0'!$AY$4,'8.0.0'!$AY$3)</f>
        <v>190</v>
      </c>
      <c r="B47" s="4">
        <f>(VLOOKUP('8.0.0'!J47,'8.0.0'!$AM$4:$AO$45,2,FALSE))*IF('8.0.0'!AL$4="是",'8.0.0'!$AY$4,'8.0.0'!$AY$3)</f>
        <v>190</v>
      </c>
      <c r="C47" s="4">
        <f>(VLOOKUP('8.0.0'!K47,'8.0.0'!$AM$4:$AO$45,2,FALSE))*IF('8.0.0'!AM$4="是",'8.0.0'!$AY$4,'8.0.0'!$AY$3)</f>
        <v>190</v>
      </c>
      <c r="D47" s="4">
        <f>(VLOOKUP('8.0.0'!L47,'8.0.0'!$AM$4:$AO$45,2,FALSE))*IF('8.0.0'!AN$4="是",'8.0.0'!$AY$4,'8.0.0'!$AY$3)</f>
        <v>190</v>
      </c>
      <c r="E47" s="4">
        <f>(VLOOKUP('8.0.0'!M47,'8.0.0'!$AM$4:$AO$45,2,FALSE))*IF('8.0.0'!AO$4="是",'8.0.0'!$AY$4,'8.0.0'!$AY$3)</f>
        <v>190</v>
      </c>
      <c r="F47" s="4">
        <f>(VLOOKUP('8.0.0'!N47,'8.0.0'!$AM$4:$AO$45,2,FALSE))*IF('8.0.0'!AQ$4="是",'8.0.0'!$AY$4,'8.0.0'!$AY$3)</f>
        <v>190</v>
      </c>
      <c r="G47" s="5">
        <f>(VLOOKUP('8.0.0'!O47,'8.0.0'!$AM$4:$AO$45,2,FALSE))*IF('8.0.0'!AR$4="是",'8.0.0'!$AY$4,'8.0.0'!$AY$3)</f>
        <v>0</v>
      </c>
      <c r="H47" s="5">
        <f>(VLOOKUP('8.0.0'!P47,'8.0.0'!$AM$4:$AO$45,2,FALSE))*IF('8.0.0'!AS$4="是",'8.0.0'!$AY$4,'8.0.0'!$AY$3)</f>
        <v>0</v>
      </c>
      <c r="I47" s="4">
        <f>(VLOOKUP('8.0.0'!Q47,'8.0.0'!$AM$4:$AO$45,2,FALSE))*IF('8.0.0'!AT$4="是",'8.0.0'!$AY$4,'8.0.0'!$AY$3)</f>
        <v>0</v>
      </c>
      <c r="J47" s="4">
        <f>(VLOOKUP('8.0.0'!R47,'8.0.0'!$AM$4:$AO$45,2,FALSE))*IF('8.0.0'!AU$4="是",'8.0.0'!$AY$4,'8.0.0'!$AY$3)</f>
        <v>0</v>
      </c>
      <c r="K47" s="4">
        <f>(VLOOKUP('8.0.0'!S47,'8.0.0'!$AM$4:$AO$45,2,FALSE))*IF('8.0.0'!AV$4="是",'8.0.0'!$AY$4,'8.0.0'!$AY$3)</f>
        <v>0</v>
      </c>
      <c r="L47" s="4">
        <f>(VLOOKUP('8.0.0'!T47,'8.0.0'!$AM$4:$AO$45,2,FALSE))*IF('8.0.0'!AW$4="是",'8.0.0'!$AY$4,'8.0.0'!$AY$3)</f>
        <v>0</v>
      </c>
      <c r="M47" s="4">
        <f>(VLOOKUP('8.0.0'!U47,'8.0.0'!$AM$4:$AO$45,2,FALSE))*IF('8.0.0'!AX$4="是",'8.0.0'!$AY$4,'8.0.0'!$AY$3)</f>
        <v>0</v>
      </c>
      <c r="N47" s="4">
        <f>(VLOOKUP('8.0.0'!V47,'8.0.0'!$AM$4:$AO$45,2,FALSE))*IF('8.0.0'!AY$4="是",'8.0.0'!$AY$4,'8.0.0'!$AY$3)</f>
        <v>0</v>
      </c>
      <c r="O47" s="5">
        <f>(VLOOKUP('8.0.0'!W47,'8.0.0'!$AM$4:$AO$45,2,FALSE))*IF('8.0.0'!AZ$4="是",'8.0.0'!$AY$4,'8.0.0'!$AY$3)</f>
        <v>0</v>
      </c>
      <c r="P47" s="5">
        <f>(VLOOKUP('8.0.0'!X47,'8.0.0'!$AM$4:$AO$45,2,FALSE))*IF('8.0.0'!BA$4="是",'8.0.0'!$AY$4,'8.0.0'!$AY$3)</f>
        <v>0</v>
      </c>
      <c r="Q47" s="4">
        <f>(VLOOKUP('8.0.0'!Y47,'8.0.0'!$AM$4:$AO$45,2,FALSE))*IF('8.0.0'!BB$4="是",'8.0.0'!$AY$4,'8.0.0'!$AY$3)</f>
        <v>180</v>
      </c>
      <c r="R47" s="4">
        <f>(VLOOKUP('8.0.0'!Z47,'8.0.0'!$AM$4:$AO$45,2,FALSE))*IF('8.0.0'!BC$4="是",'8.0.0'!$AY$4,'8.0.0'!$AY$3)</f>
        <v>180</v>
      </c>
      <c r="S47" s="4">
        <f>(VLOOKUP('8.0.0'!AA47,'8.0.0'!$AM$4:$AO$45,2,FALSE))*IF('8.0.0'!BD$4="是",'8.0.0'!$AY$4,'8.0.0'!$AY$3)</f>
        <v>180</v>
      </c>
      <c r="T47" s="4">
        <f>(VLOOKUP('8.0.0'!AB47,'8.0.0'!$AM$4:$AO$45,2,FALSE))*IF('8.0.0'!BE$4="是",'8.0.0'!$AY$4,'8.0.0'!$AY$3)</f>
        <v>180</v>
      </c>
      <c r="U47" s="4">
        <f>(VLOOKUP('8.0.0'!AC47,'8.0.0'!$AM$4:$AO$45,2,FALSE))*IF('8.0.0'!BF$4="是",'8.0.0'!$AY$4,'8.0.0'!$AY$3)</f>
        <v>180</v>
      </c>
      <c r="V47" s="4">
        <f>(VLOOKUP('8.0.0'!AD47,'8.0.0'!$AM$4:$AO$45,2,FALSE))*IF('8.0.0'!BG$4="是",'8.0.0'!$AY$4,'8.0.0'!$AY$3)</f>
        <v>0</v>
      </c>
      <c r="W47" s="5">
        <f>(VLOOKUP('8.0.0'!AE47,'8.0.0'!$AM$4:$AO$45,2,FALSE))*IF('8.0.0'!BH$4="是",'8.0.0'!$AY$4,'8.0.0'!$AY$3)</f>
        <v>0</v>
      </c>
      <c r="X47" s="5">
        <f>(VLOOKUP('8.0.0'!AF47,'8.0.0'!$AM$4:$AO$45,2,FALSE))*IF('8.0.0'!BI$4="是",'8.0.0'!$AY$4,'8.0.0'!$AY$3)</f>
        <v>0</v>
      </c>
    </row>
    <row r="48" spans="1:24">
      <c r="A48" s="4">
        <f>(VLOOKUP('8.0.0'!I48,'8.0.0'!$AM$4:$AO$45,2,FALSE))*IF('8.0.0'!AK$4="是",'8.0.0'!$AY$4,'8.0.0'!$AY$3)</f>
        <v>190</v>
      </c>
      <c r="B48" s="4">
        <f>(VLOOKUP('8.0.0'!J48,'8.0.0'!$AM$4:$AO$45,2,FALSE))*IF('8.0.0'!AL$4="是",'8.0.0'!$AY$4,'8.0.0'!$AY$3)</f>
        <v>190</v>
      </c>
      <c r="C48" s="4">
        <f>(VLOOKUP('8.0.0'!K48,'8.0.0'!$AM$4:$AO$45,2,FALSE))*IF('8.0.0'!AM$4="是",'8.0.0'!$AY$4,'8.0.0'!$AY$3)</f>
        <v>190</v>
      </c>
      <c r="D48" s="4">
        <f>(VLOOKUP('8.0.0'!L48,'8.0.0'!$AM$4:$AO$45,2,FALSE))*IF('8.0.0'!AN$4="是",'8.0.0'!$AY$4,'8.0.0'!$AY$3)</f>
        <v>190</v>
      </c>
      <c r="E48" s="4">
        <f>(VLOOKUP('8.0.0'!M48,'8.0.0'!$AM$4:$AO$45,2,FALSE))*IF('8.0.0'!AO$4="是",'8.0.0'!$AY$4,'8.0.0'!$AY$3)</f>
        <v>190</v>
      </c>
      <c r="F48" s="4">
        <f>(VLOOKUP('8.0.0'!N48,'8.0.0'!$AM$4:$AO$45,2,FALSE))*IF('8.0.0'!AQ$4="是",'8.0.0'!$AY$4,'8.0.0'!$AY$3)</f>
        <v>190</v>
      </c>
      <c r="G48" s="5">
        <f>(VLOOKUP('8.0.0'!O48,'8.0.0'!$AM$4:$AO$45,2,FALSE))*IF('8.0.0'!AR$4="是",'8.0.0'!$AY$4,'8.0.0'!$AY$3)</f>
        <v>0</v>
      </c>
      <c r="H48" s="5">
        <f>(VLOOKUP('8.0.0'!P48,'8.0.0'!$AM$4:$AO$45,2,FALSE))*IF('8.0.0'!AS$4="是",'8.0.0'!$AY$4,'8.0.0'!$AY$3)</f>
        <v>0</v>
      </c>
      <c r="I48" s="4">
        <f>(VLOOKUP('8.0.0'!Q48,'8.0.0'!$AM$4:$AO$45,2,FALSE))*IF('8.0.0'!AT$4="是",'8.0.0'!$AY$4,'8.0.0'!$AY$3)</f>
        <v>0</v>
      </c>
      <c r="J48" s="4">
        <f>(VLOOKUP('8.0.0'!R48,'8.0.0'!$AM$4:$AO$45,2,FALSE))*IF('8.0.0'!AU$4="是",'8.0.0'!$AY$4,'8.0.0'!$AY$3)</f>
        <v>0</v>
      </c>
      <c r="K48" s="4">
        <f>(VLOOKUP('8.0.0'!S48,'8.0.0'!$AM$4:$AO$45,2,FALSE))*IF('8.0.0'!AV$4="是",'8.0.0'!$AY$4,'8.0.0'!$AY$3)</f>
        <v>0</v>
      </c>
      <c r="L48" s="4">
        <f>(VLOOKUP('8.0.0'!T48,'8.0.0'!$AM$4:$AO$45,2,FALSE))*IF('8.0.0'!AW$4="是",'8.0.0'!$AY$4,'8.0.0'!$AY$3)</f>
        <v>0</v>
      </c>
      <c r="M48" s="4">
        <f>(VLOOKUP('8.0.0'!U48,'8.0.0'!$AM$4:$AO$45,2,FALSE))*IF('8.0.0'!AX$4="是",'8.0.0'!$AY$4,'8.0.0'!$AY$3)</f>
        <v>0</v>
      </c>
      <c r="N48" s="4">
        <f>(VLOOKUP('8.0.0'!V48,'8.0.0'!$AM$4:$AO$45,2,FALSE))*IF('8.0.0'!AY$4="是",'8.0.0'!$AY$4,'8.0.0'!$AY$3)</f>
        <v>0</v>
      </c>
      <c r="O48" s="5">
        <f>(VLOOKUP('8.0.0'!W48,'8.0.0'!$AM$4:$AO$45,2,FALSE))*IF('8.0.0'!AZ$4="是",'8.0.0'!$AY$4,'8.0.0'!$AY$3)</f>
        <v>0</v>
      </c>
      <c r="P48" s="5">
        <f>(VLOOKUP('8.0.0'!X48,'8.0.0'!$AM$4:$AO$45,2,FALSE))*IF('8.0.0'!BA$4="是",'8.0.0'!$AY$4,'8.0.0'!$AY$3)</f>
        <v>0</v>
      </c>
      <c r="Q48" s="4">
        <f>(VLOOKUP('8.0.0'!Y48,'8.0.0'!$AM$4:$AO$45,2,FALSE))*IF('8.0.0'!BB$4="是",'8.0.0'!$AY$4,'8.0.0'!$AY$3)</f>
        <v>180</v>
      </c>
      <c r="R48" s="4">
        <f>(VLOOKUP('8.0.0'!Z48,'8.0.0'!$AM$4:$AO$45,2,FALSE))*IF('8.0.0'!BC$4="是",'8.0.0'!$AY$4,'8.0.0'!$AY$3)</f>
        <v>180</v>
      </c>
      <c r="S48" s="4">
        <f>(VLOOKUP('8.0.0'!AA48,'8.0.0'!$AM$4:$AO$45,2,FALSE))*IF('8.0.0'!BD$4="是",'8.0.0'!$AY$4,'8.0.0'!$AY$3)</f>
        <v>180</v>
      </c>
      <c r="T48" s="4">
        <f>(VLOOKUP('8.0.0'!AB48,'8.0.0'!$AM$4:$AO$45,2,FALSE))*IF('8.0.0'!BE$4="是",'8.0.0'!$AY$4,'8.0.0'!$AY$3)</f>
        <v>180</v>
      </c>
      <c r="U48" s="4">
        <f>(VLOOKUP('8.0.0'!AC48,'8.0.0'!$AM$4:$AO$45,2,FALSE))*IF('8.0.0'!BF$4="是",'8.0.0'!$AY$4,'8.0.0'!$AY$3)</f>
        <v>0</v>
      </c>
      <c r="V48" s="4">
        <f>(VLOOKUP('8.0.0'!AD48,'8.0.0'!$AM$4:$AO$45,2,FALSE))*IF('8.0.0'!BG$4="是",'8.0.0'!$AY$4,'8.0.0'!$AY$3)</f>
        <v>0</v>
      </c>
      <c r="W48" s="5">
        <f>(VLOOKUP('8.0.0'!AE48,'8.0.0'!$AM$4:$AO$45,2,FALSE))*IF('8.0.0'!BH$4="是",'8.0.0'!$AY$4,'8.0.0'!$AY$3)</f>
        <v>0</v>
      </c>
      <c r="X48" s="5">
        <f>(VLOOKUP('8.0.0'!AF48,'8.0.0'!$AM$4:$AO$45,2,FALSE))*IF('8.0.0'!BI$4="是",'8.0.0'!$AY$4,'8.0.0'!$AY$3)</f>
        <v>0</v>
      </c>
    </row>
    <row r="49" spans="1:24">
      <c r="A49" s="4">
        <f>(VLOOKUP('8.0.0'!I49,'8.0.0'!$AM$4:$AO$45,2,FALSE))*IF('8.0.0'!AK$4="是",'8.0.0'!$AY$4,'8.0.0'!$AY$3)</f>
        <v>190</v>
      </c>
      <c r="B49" s="4">
        <f>(VLOOKUP('8.0.0'!J49,'8.0.0'!$AM$4:$AO$45,2,FALSE))*IF('8.0.0'!AL$4="是",'8.0.0'!$AY$4,'8.0.0'!$AY$3)</f>
        <v>190</v>
      </c>
      <c r="C49" s="4">
        <f>(VLOOKUP('8.0.0'!K49,'8.0.0'!$AM$4:$AO$45,2,FALSE))*IF('8.0.0'!AM$4="是",'8.0.0'!$AY$4,'8.0.0'!$AY$3)</f>
        <v>190</v>
      </c>
      <c r="D49" s="4">
        <f>(VLOOKUP('8.0.0'!L49,'8.0.0'!$AM$4:$AO$45,2,FALSE))*IF('8.0.0'!AN$4="是",'8.0.0'!$AY$4,'8.0.0'!$AY$3)</f>
        <v>190</v>
      </c>
      <c r="E49" s="4">
        <f>(VLOOKUP('8.0.0'!M49,'8.0.0'!$AM$4:$AO$45,2,FALSE))*IF('8.0.0'!AO$4="是",'8.0.0'!$AY$4,'8.0.0'!$AY$3)</f>
        <v>190</v>
      </c>
      <c r="F49" s="4">
        <f>(VLOOKUP('8.0.0'!N49,'8.0.0'!$AM$4:$AO$45,2,FALSE))*IF('8.0.0'!AQ$4="是",'8.0.0'!$AY$4,'8.0.0'!$AY$3)</f>
        <v>200</v>
      </c>
      <c r="G49" s="5">
        <f>(VLOOKUP('8.0.0'!O49,'8.0.0'!$AM$4:$AO$45,2,FALSE))*IF('8.0.0'!AR$4="是",'8.0.0'!$AY$4,'8.0.0'!$AY$3)</f>
        <v>0</v>
      </c>
      <c r="H49" s="5">
        <f>(VLOOKUP('8.0.0'!P49,'8.0.0'!$AM$4:$AO$45,2,FALSE))*IF('8.0.0'!AS$4="是",'8.0.0'!$AY$4,'8.0.0'!$AY$3)</f>
        <v>0</v>
      </c>
      <c r="I49" s="4">
        <f>(VLOOKUP('8.0.0'!Q49,'8.0.0'!$AM$4:$AO$45,2,FALSE))*IF('8.0.0'!AT$4="是",'8.0.0'!$AY$4,'8.0.0'!$AY$3)</f>
        <v>0</v>
      </c>
      <c r="J49" s="4">
        <f>(VLOOKUP('8.0.0'!R49,'8.0.0'!$AM$4:$AO$45,2,FALSE))*IF('8.0.0'!AU$4="是",'8.0.0'!$AY$4,'8.0.0'!$AY$3)</f>
        <v>0</v>
      </c>
      <c r="K49" s="4">
        <f>(VLOOKUP('8.0.0'!S49,'8.0.0'!$AM$4:$AO$45,2,FALSE))*IF('8.0.0'!AV$4="是",'8.0.0'!$AY$4,'8.0.0'!$AY$3)</f>
        <v>0</v>
      </c>
      <c r="L49" s="4">
        <f>(VLOOKUP('8.0.0'!T49,'8.0.0'!$AM$4:$AO$45,2,FALSE))*IF('8.0.0'!AW$4="是",'8.0.0'!$AY$4,'8.0.0'!$AY$3)</f>
        <v>0</v>
      </c>
      <c r="M49" s="4">
        <f>(VLOOKUP('8.0.0'!U49,'8.0.0'!$AM$4:$AO$45,2,FALSE))*IF('8.0.0'!AX$4="是",'8.0.0'!$AY$4,'8.0.0'!$AY$3)</f>
        <v>0</v>
      </c>
      <c r="N49" s="4">
        <f>(VLOOKUP('8.0.0'!V49,'8.0.0'!$AM$4:$AO$45,2,FALSE))*IF('8.0.0'!AY$4="是",'8.0.0'!$AY$4,'8.0.0'!$AY$3)</f>
        <v>0</v>
      </c>
      <c r="O49" s="5">
        <f>(VLOOKUP('8.0.0'!W49,'8.0.0'!$AM$4:$AO$45,2,FALSE))*IF('8.0.0'!AZ$4="是",'8.0.0'!$AY$4,'8.0.0'!$AY$3)</f>
        <v>0</v>
      </c>
      <c r="P49" s="5">
        <f>(VLOOKUP('8.0.0'!X49,'8.0.0'!$AM$4:$AO$45,2,FALSE))*IF('8.0.0'!BA$4="是",'8.0.0'!$AY$4,'8.0.0'!$AY$3)</f>
        <v>0</v>
      </c>
      <c r="Q49" s="4">
        <f>(VLOOKUP('8.0.0'!Y49,'8.0.0'!$AM$4:$AO$45,2,FALSE))*IF('8.0.0'!BB$4="是",'8.0.0'!$AY$4,'8.0.0'!$AY$3)</f>
        <v>180</v>
      </c>
      <c r="R49" s="4">
        <f>(VLOOKUP('8.0.0'!Z49,'8.0.0'!$AM$4:$AO$45,2,FALSE))*IF('8.0.0'!BC$4="是",'8.0.0'!$AY$4,'8.0.0'!$AY$3)</f>
        <v>180</v>
      </c>
      <c r="S49" s="4">
        <f>(VLOOKUP('8.0.0'!AA49,'8.0.0'!$AM$4:$AO$45,2,FALSE))*IF('8.0.0'!BD$4="是",'8.0.0'!$AY$4,'8.0.0'!$AY$3)</f>
        <v>180</v>
      </c>
      <c r="T49" s="4">
        <f>(VLOOKUP('8.0.0'!AB49,'8.0.0'!$AM$4:$AO$45,2,FALSE))*IF('8.0.0'!BE$4="是",'8.0.0'!$AY$4,'8.0.0'!$AY$3)</f>
        <v>50</v>
      </c>
      <c r="U49" s="4">
        <f>(VLOOKUP('8.0.0'!AC49,'8.0.0'!$AM$4:$AO$45,2,FALSE))*IF('8.0.0'!BF$4="是",'8.0.0'!$AY$4,'8.0.0'!$AY$3)</f>
        <v>180</v>
      </c>
      <c r="V49" s="4">
        <f>(VLOOKUP('8.0.0'!AD49,'8.0.0'!$AM$4:$AO$45,2,FALSE))*IF('8.0.0'!BG$4="是",'8.0.0'!$AY$4,'8.0.0'!$AY$3)</f>
        <v>180</v>
      </c>
      <c r="W49" s="5">
        <f>(VLOOKUP('8.0.0'!AE49,'8.0.0'!$AM$4:$AO$45,2,FALSE))*IF('8.0.0'!BH$4="是",'8.0.0'!$AY$4,'8.0.0'!$AY$3)</f>
        <v>0</v>
      </c>
      <c r="X49" s="5">
        <f>(VLOOKUP('8.0.0'!AF49,'8.0.0'!$AM$4:$AO$45,2,FALSE))*IF('8.0.0'!BI$4="是",'8.0.0'!$AY$4,'8.0.0'!$AY$3)</f>
        <v>0</v>
      </c>
    </row>
    <row r="50" spans="1:24">
      <c r="A50" s="4">
        <f>(VLOOKUP('8.0.0'!I50,'8.0.0'!$AM$4:$AO$45,2,FALSE))*IF('8.0.0'!AK$4="是",'8.0.0'!$AY$4,'8.0.0'!$AY$3)</f>
        <v>200</v>
      </c>
      <c r="B50" s="4">
        <f>(VLOOKUP('8.0.0'!J50,'8.0.0'!$AM$4:$AO$45,2,FALSE))*IF('8.0.0'!AL$4="是",'8.0.0'!$AY$4,'8.0.0'!$AY$3)</f>
        <v>200</v>
      </c>
      <c r="C50" s="4">
        <f>(VLOOKUP('8.0.0'!K50,'8.0.0'!$AM$4:$AO$45,2,FALSE))*IF('8.0.0'!AM$4="是",'8.0.0'!$AY$4,'8.0.0'!$AY$3)</f>
        <v>200</v>
      </c>
      <c r="D50" s="4">
        <f>(VLOOKUP('8.0.0'!L50,'8.0.0'!$AM$4:$AO$45,2,FALSE))*IF('8.0.0'!AN$4="是",'8.0.0'!$AY$4,'8.0.0'!$AY$3)</f>
        <v>-200</v>
      </c>
      <c r="E50" s="4">
        <f>(VLOOKUP('8.0.0'!M50,'8.0.0'!$AM$4:$AO$45,2,FALSE))*IF('8.0.0'!AO$4="是",'8.0.0'!$AY$4,'8.0.0'!$AY$3)</f>
        <v>200</v>
      </c>
      <c r="F50" s="4">
        <f>(VLOOKUP('8.0.0'!N50,'8.0.0'!$AM$4:$AO$45,2,FALSE))*IF('8.0.0'!AQ$4="是",'8.0.0'!$AY$4,'8.0.0'!$AY$3)</f>
        <v>200</v>
      </c>
      <c r="G50" s="5">
        <f>(VLOOKUP('8.0.0'!O50,'8.0.0'!$AM$4:$AO$45,2,FALSE))*IF('8.0.0'!AR$4="是",'8.0.0'!$AY$4,'8.0.0'!$AY$3)</f>
        <v>200</v>
      </c>
      <c r="H50" s="5">
        <f>(VLOOKUP('8.0.0'!P50,'8.0.0'!$AM$4:$AO$45,2,FALSE))*IF('8.0.0'!AS$4="是",'8.0.0'!$AY$4,'8.0.0'!$AY$3)</f>
        <v>200</v>
      </c>
      <c r="I50" s="4">
        <f>(VLOOKUP('8.0.0'!Q50,'8.0.0'!$AM$4:$AO$45,2,FALSE))*IF('8.0.0'!AT$4="是",'8.0.0'!$AY$4,'8.0.0'!$AY$3)</f>
        <v>0</v>
      </c>
      <c r="J50" s="4">
        <f>(VLOOKUP('8.0.0'!R50,'8.0.0'!$AM$4:$AO$45,2,FALSE))*IF('8.0.0'!AU$4="是",'8.0.0'!$AY$4,'8.0.0'!$AY$3)</f>
        <v>0</v>
      </c>
      <c r="K50" s="4">
        <f>(VLOOKUP('8.0.0'!S50,'8.0.0'!$AM$4:$AO$45,2,FALSE))*IF('8.0.0'!AV$4="是",'8.0.0'!$AY$4,'8.0.0'!$AY$3)</f>
        <v>0</v>
      </c>
      <c r="L50" s="4">
        <f>(VLOOKUP('8.0.0'!T50,'8.0.0'!$AM$4:$AO$45,2,FALSE))*IF('8.0.0'!AW$4="是",'8.0.0'!$AY$4,'8.0.0'!$AY$3)</f>
        <v>0</v>
      </c>
      <c r="M50" s="4">
        <f>(VLOOKUP('8.0.0'!U50,'8.0.0'!$AM$4:$AO$45,2,FALSE))*IF('8.0.0'!AX$4="是",'8.0.0'!$AY$4,'8.0.0'!$AY$3)</f>
        <v>0</v>
      </c>
      <c r="N50" s="4">
        <f>(VLOOKUP('8.0.0'!V50,'8.0.0'!$AM$4:$AO$45,2,FALSE))*IF('8.0.0'!AY$4="是",'8.0.0'!$AY$4,'8.0.0'!$AY$3)</f>
        <v>0</v>
      </c>
      <c r="O50" s="5">
        <f>(VLOOKUP('8.0.0'!W50,'8.0.0'!$AM$4:$AO$45,2,FALSE))*IF('8.0.0'!AZ$4="是",'8.0.0'!$AY$4,'8.0.0'!$AY$3)</f>
        <v>0</v>
      </c>
      <c r="P50" s="5">
        <f>(VLOOKUP('8.0.0'!X50,'8.0.0'!$AM$4:$AO$45,2,FALSE))*IF('8.0.0'!BA$4="是",'8.0.0'!$AY$4,'8.0.0'!$AY$3)</f>
        <v>0</v>
      </c>
      <c r="Q50" s="4">
        <f>(VLOOKUP('8.0.0'!Y50,'8.0.0'!$AM$4:$AO$45,2,FALSE))*IF('8.0.0'!BB$4="是",'8.0.0'!$AY$4,'8.0.0'!$AY$3)</f>
        <v>180</v>
      </c>
      <c r="R50" s="4">
        <f>(VLOOKUP('8.0.0'!Z50,'8.0.0'!$AM$4:$AO$45,2,FALSE))*IF('8.0.0'!BC$4="是",'8.0.0'!$AY$4,'8.0.0'!$AY$3)</f>
        <v>180</v>
      </c>
      <c r="S50" s="4">
        <f>(VLOOKUP('8.0.0'!AA50,'8.0.0'!$AM$4:$AO$45,2,FALSE))*IF('8.0.0'!BD$4="是",'8.0.0'!$AY$4,'8.0.0'!$AY$3)</f>
        <v>180</v>
      </c>
      <c r="T50" s="4">
        <f>(VLOOKUP('8.0.0'!AB50,'8.0.0'!$AM$4:$AO$45,2,FALSE))*IF('8.0.0'!BE$4="是",'8.0.0'!$AY$4,'8.0.0'!$AY$3)</f>
        <v>180</v>
      </c>
      <c r="U50" s="4">
        <f>(VLOOKUP('8.0.0'!AC50,'8.0.0'!$AM$4:$AO$45,2,FALSE))*IF('8.0.0'!BF$4="是",'8.0.0'!$AY$4,'8.0.0'!$AY$3)</f>
        <v>0</v>
      </c>
      <c r="V50" s="4">
        <f>(VLOOKUP('8.0.0'!AD50,'8.0.0'!$AM$4:$AO$45,2,FALSE))*IF('8.0.0'!BG$4="是",'8.0.0'!$AY$4,'8.0.0'!$AY$3)</f>
        <v>0</v>
      </c>
      <c r="W50" s="5">
        <f>(VLOOKUP('8.0.0'!AE50,'8.0.0'!$AM$4:$AO$45,2,FALSE))*IF('8.0.0'!BH$4="是",'8.0.0'!$AY$4,'8.0.0'!$AY$3)</f>
        <v>0</v>
      </c>
      <c r="X50" s="5">
        <f>(VLOOKUP('8.0.0'!AF50,'8.0.0'!$AM$4:$AO$45,2,FALSE))*IF('8.0.0'!BI$4="是",'8.0.0'!$AY$4,'8.0.0'!$AY$3)</f>
        <v>0</v>
      </c>
    </row>
    <row r="51" spans="1:24">
      <c r="A51" s="4">
        <f>(VLOOKUP('8.0.0'!I51,'8.0.0'!$AM$4:$AO$45,2,FALSE))*IF('8.0.0'!AK$4="是",'8.0.0'!$AY$4,'8.0.0'!$AY$3)</f>
        <v>200</v>
      </c>
      <c r="B51" s="4">
        <f>(VLOOKUP('8.0.0'!J51,'8.0.0'!$AM$4:$AO$45,2,FALSE))*IF('8.0.0'!AL$4="是",'8.0.0'!$AY$4,'8.0.0'!$AY$3)</f>
        <v>200</v>
      </c>
      <c r="C51" s="4">
        <f>(VLOOKUP('8.0.0'!K51,'8.0.0'!$AM$4:$AO$45,2,FALSE))*IF('8.0.0'!AM$4="是",'8.0.0'!$AY$4,'8.0.0'!$AY$3)</f>
        <v>200</v>
      </c>
      <c r="D51" s="4">
        <f>(VLOOKUP('8.0.0'!L51,'8.0.0'!$AM$4:$AO$45,2,FALSE))*IF('8.0.0'!AN$4="是",'8.0.0'!$AY$4,'8.0.0'!$AY$3)</f>
        <v>200</v>
      </c>
      <c r="E51" s="4">
        <f>(VLOOKUP('8.0.0'!M51,'8.0.0'!$AM$4:$AO$45,2,FALSE))*IF('8.0.0'!AO$4="是",'8.0.0'!$AY$4,'8.0.0'!$AY$3)</f>
        <v>200</v>
      </c>
      <c r="F51" s="4">
        <f>(VLOOKUP('8.0.0'!N51,'8.0.0'!$AM$4:$AO$45,2,FALSE))*IF('8.0.0'!AQ$4="是",'8.0.0'!$AY$4,'8.0.0'!$AY$3)</f>
        <v>200</v>
      </c>
      <c r="G51" s="5">
        <f>(VLOOKUP('8.0.0'!O51,'8.0.0'!$AM$4:$AO$45,2,FALSE))*IF('8.0.0'!AR$4="是",'8.0.0'!$AY$4,'8.0.0'!$AY$3)</f>
        <v>0</v>
      </c>
      <c r="H51" s="5">
        <f>(VLOOKUP('8.0.0'!P51,'8.0.0'!$AM$4:$AO$45,2,FALSE))*IF('8.0.0'!AS$4="是",'8.0.0'!$AY$4,'8.0.0'!$AY$3)</f>
        <v>0</v>
      </c>
      <c r="I51" s="4">
        <f>(VLOOKUP('8.0.0'!Q51,'8.0.0'!$AM$4:$AO$45,2,FALSE))*IF('8.0.0'!AT$4="是",'8.0.0'!$AY$4,'8.0.0'!$AY$3)</f>
        <v>0</v>
      </c>
      <c r="J51" s="4">
        <f>(VLOOKUP('8.0.0'!R51,'8.0.0'!$AM$4:$AO$45,2,FALSE))*IF('8.0.0'!AU$4="是",'8.0.0'!$AY$4,'8.0.0'!$AY$3)</f>
        <v>0</v>
      </c>
      <c r="K51" s="4">
        <f>(VLOOKUP('8.0.0'!S51,'8.0.0'!$AM$4:$AO$45,2,FALSE))*IF('8.0.0'!AV$4="是",'8.0.0'!$AY$4,'8.0.0'!$AY$3)</f>
        <v>0</v>
      </c>
      <c r="L51" s="4">
        <f>(VLOOKUP('8.0.0'!T51,'8.0.0'!$AM$4:$AO$45,2,FALSE))*IF('8.0.0'!AW$4="是",'8.0.0'!$AY$4,'8.0.0'!$AY$3)</f>
        <v>0</v>
      </c>
      <c r="M51" s="4">
        <f>(VLOOKUP('8.0.0'!U51,'8.0.0'!$AM$4:$AO$45,2,FALSE))*IF('8.0.0'!AX$4="是",'8.0.0'!$AY$4,'8.0.0'!$AY$3)</f>
        <v>0</v>
      </c>
      <c r="N51" s="4">
        <f>(VLOOKUP('8.0.0'!V51,'8.0.0'!$AM$4:$AO$45,2,FALSE))*IF('8.0.0'!AY$4="是",'8.0.0'!$AY$4,'8.0.0'!$AY$3)</f>
        <v>0</v>
      </c>
      <c r="O51" s="5">
        <f>(VLOOKUP('8.0.0'!W51,'8.0.0'!$AM$4:$AO$45,2,FALSE))*IF('8.0.0'!AZ$4="是",'8.0.0'!$AY$4,'8.0.0'!$AY$3)</f>
        <v>0</v>
      </c>
      <c r="P51" s="5">
        <f>(VLOOKUP('8.0.0'!X51,'8.0.0'!$AM$4:$AO$45,2,FALSE))*IF('8.0.0'!BA$4="是",'8.0.0'!$AY$4,'8.0.0'!$AY$3)</f>
        <v>0</v>
      </c>
      <c r="Q51" s="4">
        <f>(VLOOKUP('8.0.0'!Y51,'8.0.0'!$AM$4:$AO$45,2,FALSE))*IF('8.0.0'!BB$4="是",'8.0.0'!$AY$4,'8.0.0'!$AY$3)</f>
        <v>180</v>
      </c>
      <c r="R51" s="4">
        <f>(VLOOKUP('8.0.0'!Z51,'8.0.0'!$AM$4:$AO$45,2,FALSE))*IF('8.0.0'!BC$4="是",'8.0.0'!$AY$4,'8.0.0'!$AY$3)</f>
        <v>150</v>
      </c>
      <c r="S51" s="4">
        <f>(VLOOKUP('8.0.0'!AA51,'8.0.0'!$AM$4:$AO$45,2,FALSE))*IF('8.0.0'!BD$4="是",'8.0.0'!$AY$4,'8.0.0'!$AY$3)</f>
        <v>180</v>
      </c>
      <c r="T51" s="4">
        <f>(VLOOKUP('8.0.0'!AB51,'8.0.0'!$AM$4:$AO$45,2,FALSE))*IF('8.0.0'!BE$4="是",'8.0.0'!$AY$4,'8.0.0'!$AY$3)</f>
        <v>180</v>
      </c>
      <c r="U51" s="4">
        <f>(VLOOKUP('8.0.0'!AC51,'8.0.0'!$AM$4:$AO$45,2,FALSE))*IF('8.0.0'!BF$4="是",'8.0.0'!$AY$4,'8.0.0'!$AY$3)</f>
        <v>180</v>
      </c>
      <c r="V51" s="4">
        <f>(VLOOKUP('8.0.0'!AD51,'8.0.0'!$AM$4:$AO$45,2,FALSE))*IF('8.0.0'!BG$4="是",'8.0.0'!$AY$4,'8.0.0'!$AY$3)</f>
        <v>0</v>
      </c>
      <c r="W51" s="5">
        <f>(VLOOKUP('8.0.0'!AE51,'8.0.0'!$AM$4:$AO$45,2,FALSE))*IF('8.0.0'!BH$4="是",'8.0.0'!$AY$4,'8.0.0'!$AY$3)</f>
        <v>0</v>
      </c>
      <c r="X51" s="5">
        <f>(VLOOKUP('8.0.0'!AF51,'8.0.0'!$AM$4:$AO$45,2,FALSE))*IF('8.0.0'!BI$4="是",'8.0.0'!$AY$4,'8.0.0'!$AY$3)</f>
        <v>0</v>
      </c>
    </row>
    <row r="52" spans="1:24">
      <c r="A52" s="4">
        <f>(VLOOKUP('8.0.0'!I52,'8.0.0'!$AM$4:$AO$45,2,FALSE))*IF('8.0.0'!AK$4="是",'8.0.0'!$AY$4,'8.0.0'!$AY$3)</f>
        <v>200</v>
      </c>
      <c r="B52" s="4">
        <f>(VLOOKUP('8.0.0'!J52,'8.0.0'!$AM$4:$AO$45,2,FALSE))*IF('8.0.0'!AL$4="是",'8.0.0'!$AY$4,'8.0.0'!$AY$3)</f>
        <v>200</v>
      </c>
      <c r="C52" s="4">
        <f>(VLOOKUP('8.0.0'!K52,'8.0.0'!$AM$4:$AO$45,2,FALSE))*IF('8.0.0'!AM$4="是",'8.0.0'!$AY$4,'8.0.0'!$AY$3)</f>
        <v>200</v>
      </c>
      <c r="D52" s="4">
        <f>(VLOOKUP('8.0.0'!L52,'8.0.0'!$AM$4:$AO$45,2,FALSE))*IF('8.0.0'!AN$4="是",'8.0.0'!$AY$4,'8.0.0'!$AY$3)</f>
        <v>200</v>
      </c>
      <c r="E52" s="4">
        <f>(VLOOKUP('8.0.0'!M52,'8.0.0'!$AM$4:$AO$45,2,FALSE))*IF('8.0.0'!AO$4="是",'8.0.0'!$AY$4,'8.0.0'!$AY$3)</f>
        <v>200</v>
      </c>
      <c r="F52" s="4">
        <f>(VLOOKUP('8.0.0'!N52,'8.0.0'!$AM$4:$AO$45,2,FALSE))*IF('8.0.0'!AQ$4="是",'8.0.0'!$AY$4,'8.0.0'!$AY$3)</f>
        <v>200</v>
      </c>
      <c r="G52" s="5">
        <f>(VLOOKUP('8.0.0'!O52,'8.0.0'!$AM$4:$AO$45,2,FALSE))*IF('8.0.0'!AR$4="是",'8.0.0'!$AY$4,'8.0.0'!$AY$3)</f>
        <v>0</v>
      </c>
      <c r="H52" s="5">
        <f>(VLOOKUP('8.0.0'!P52,'8.0.0'!$AM$4:$AO$45,2,FALSE))*IF('8.0.0'!AS$4="是",'8.0.0'!$AY$4,'8.0.0'!$AY$3)</f>
        <v>0</v>
      </c>
      <c r="I52" s="4">
        <f>(VLOOKUP('8.0.0'!Q52,'8.0.0'!$AM$4:$AO$45,2,FALSE))*IF('8.0.0'!AT$4="是",'8.0.0'!$AY$4,'8.0.0'!$AY$3)</f>
        <v>0</v>
      </c>
      <c r="J52" s="4">
        <f>(VLOOKUP('8.0.0'!R52,'8.0.0'!$AM$4:$AO$45,2,FALSE))*IF('8.0.0'!AU$4="是",'8.0.0'!$AY$4,'8.0.0'!$AY$3)</f>
        <v>0</v>
      </c>
      <c r="K52" s="4">
        <f>(VLOOKUP('8.0.0'!S52,'8.0.0'!$AM$4:$AO$45,2,FALSE))*IF('8.0.0'!AV$4="是",'8.0.0'!$AY$4,'8.0.0'!$AY$3)</f>
        <v>0</v>
      </c>
      <c r="L52" s="4">
        <f>(VLOOKUP('8.0.0'!T52,'8.0.0'!$AM$4:$AO$45,2,FALSE))*IF('8.0.0'!AW$4="是",'8.0.0'!$AY$4,'8.0.0'!$AY$3)</f>
        <v>0</v>
      </c>
      <c r="M52" s="4">
        <f>(VLOOKUP('8.0.0'!U52,'8.0.0'!$AM$4:$AO$45,2,FALSE))*IF('8.0.0'!AX$4="是",'8.0.0'!$AY$4,'8.0.0'!$AY$3)</f>
        <v>0</v>
      </c>
      <c r="N52" s="4">
        <f>(VLOOKUP('8.0.0'!V52,'8.0.0'!$AM$4:$AO$45,2,FALSE))*IF('8.0.0'!AY$4="是",'8.0.0'!$AY$4,'8.0.0'!$AY$3)</f>
        <v>0</v>
      </c>
      <c r="O52" s="5">
        <f>(VLOOKUP('8.0.0'!W52,'8.0.0'!$AM$4:$AO$45,2,FALSE))*IF('8.0.0'!AZ$4="是",'8.0.0'!$AY$4,'8.0.0'!$AY$3)</f>
        <v>0</v>
      </c>
      <c r="P52" s="5">
        <f>(VLOOKUP('8.0.0'!X52,'8.0.0'!$AM$4:$AO$45,2,FALSE))*IF('8.0.0'!BA$4="是",'8.0.0'!$AY$4,'8.0.0'!$AY$3)</f>
        <v>0</v>
      </c>
      <c r="Q52" s="4">
        <f>(VLOOKUP('8.0.0'!Y52,'8.0.0'!$AM$4:$AO$45,2,FALSE))*IF('8.0.0'!BB$4="是",'8.0.0'!$AY$4,'8.0.0'!$AY$3)</f>
        <v>180</v>
      </c>
      <c r="R52" s="4">
        <f>(VLOOKUP('8.0.0'!Z52,'8.0.0'!$AM$4:$AO$45,2,FALSE))*IF('8.0.0'!BC$4="是",'8.0.0'!$AY$4,'8.0.0'!$AY$3)</f>
        <v>190</v>
      </c>
      <c r="S52" s="4">
        <f>(VLOOKUP('8.0.0'!AA52,'8.0.0'!$AM$4:$AO$45,2,FALSE))*IF('8.0.0'!BD$4="是",'8.0.0'!$AY$4,'8.0.0'!$AY$3)</f>
        <v>190</v>
      </c>
      <c r="T52" s="4">
        <f>(VLOOKUP('8.0.0'!AB52,'8.0.0'!$AM$4:$AO$45,2,FALSE))*IF('8.0.0'!BE$4="是",'8.0.0'!$AY$4,'8.0.0'!$AY$3)</f>
        <v>190</v>
      </c>
      <c r="U52" s="4">
        <f>(VLOOKUP('8.0.0'!AC52,'8.0.0'!$AM$4:$AO$45,2,FALSE))*IF('8.0.0'!BF$4="是",'8.0.0'!$AY$4,'8.0.0'!$AY$3)</f>
        <v>0</v>
      </c>
      <c r="V52" s="4">
        <f>(VLOOKUP('8.0.0'!AD52,'8.0.0'!$AM$4:$AO$45,2,FALSE))*IF('8.0.0'!BG$4="是",'8.0.0'!$AY$4,'8.0.0'!$AY$3)</f>
        <v>0</v>
      </c>
      <c r="W52" s="5">
        <f>(VLOOKUP('8.0.0'!AE52,'8.0.0'!$AM$4:$AO$45,2,FALSE))*IF('8.0.0'!BH$4="是",'8.0.0'!$AY$4,'8.0.0'!$AY$3)</f>
        <v>0</v>
      </c>
      <c r="X52" s="5">
        <f>(VLOOKUP('8.0.0'!AF52,'8.0.0'!$AM$4:$AO$45,2,FALSE))*IF('8.0.0'!BI$4="是",'8.0.0'!$AY$4,'8.0.0'!$AY$3)</f>
        <v>0</v>
      </c>
    </row>
    <row r="53" spans="1:24">
      <c r="A53" s="4">
        <f>(VLOOKUP('8.0.0'!I53,'8.0.0'!$AM$4:$AO$45,2,FALSE))*IF('8.0.0'!AK$4="是",'8.0.0'!$AY$4,'8.0.0'!$AY$3)</f>
        <v>200</v>
      </c>
      <c r="B53" s="4">
        <f>(VLOOKUP('8.0.0'!J53,'8.0.0'!$AM$4:$AO$45,2,FALSE))*IF('8.0.0'!AL$4="是",'8.0.0'!$AY$4,'8.0.0'!$AY$3)</f>
        <v>200</v>
      </c>
      <c r="C53" s="4">
        <f>(VLOOKUP('8.0.0'!K53,'8.0.0'!$AM$4:$AO$45,2,FALSE))*IF('8.0.0'!AM$4="是",'8.0.0'!$AY$4,'8.0.0'!$AY$3)</f>
        <v>200</v>
      </c>
      <c r="D53" s="4">
        <f>(VLOOKUP('8.0.0'!L53,'8.0.0'!$AM$4:$AO$45,2,FALSE))*IF('8.0.0'!AN$4="是",'8.0.0'!$AY$4,'8.0.0'!$AY$3)</f>
        <v>200</v>
      </c>
      <c r="E53" s="4">
        <f>(VLOOKUP('8.0.0'!M53,'8.0.0'!$AM$4:$AO$45,2,FALSE))*IF('8.0.0'!AO$4="是",'8.0.0'!$AY$4,'8.0.0'!$AY$3)</f>
        <v>200</v>
      </c>
      <c r="F53" s="4">
        <f>(VLOOKUP('8.0.0'!N53,'8.0.0'!$AM$4:$AO$45,2,FALSE))*IF('8.0.0'!AQ$4="是",'8.0.0'!$AY$4,'8.0.0'!$AY$3)</f>
        <v>200</v>
      </c>
      <c r="G53" s="5">
        <f>(VLOOKUP('8.0.0'!O53,'8.0.0'!$AM$4:$AO$45,2,FALSE))*IF('8.0.0'!AR$4="是",'8.0.0'!$AY$4,'8.0.0'!$AY$3)</f>
        <v>0</v>
      </c>
      <c r="H53" s="5">
        <f>(VLOOKUP('8.0.0'!P53,'8.0.0'!$AM$4:$AO$45,2,FALSE))*IF('8.0.0'!AS$4="是",'8.0.0'!$AY$4,'8.0.0'!$AY$3)</f>
        <v>0</v>
      </c>
      <c r="I53" s="4">
        <f>(VLOOKUP('8.0.0'!Q53,'8.0.0'!$AM$4:$AO$45,2,FALSE))*IF('8.0.0'!AT$4="是",'8.0.0'!$AY$4,'8.0.0'!$AY$3)</f>
        <v>0</v>
      </c>
      <c r="J53" s="4">
        <f>(VLOOKUP('8.0.0'!R53,'8.0.0'!$AM$4:$AO$45,2,FALSE))*IF('8.0.0'!AU$4="是",'8.0.0'!$AY$4,'8.0.0'!$AY$3)</f>
        <v>0</v>
      </c>
      <c r="K53" s="4">
        <f>(VLOOKUP('8.0.0'!S53,'8.0.0'!$AM$4:$AO$45,2,FALSE))*IF('8.0.0'!AV$4="是",'8.0.0'!$AY$4,'8.0.0'!$AY$3)</f>
        <v>0</v>
      </c>
      <c r="L53" s="4">
        <f>(VLOOKUP('8.0.0'!T53,'8.0.0'!$AM$4:$AO$45,2,FALSE))*IF('8.0.0'!AW$4="是",'8.0.0'!$AY$4,'8.0.0'!$AY$3)</f>
        <v>0</v>
      </c>
      <c r="M53" s="4">
        <f>(VLOOKUP('8.0.0'!U53,'8.0.0'!$AM$4:$AO$45,2,FALSE))*IF('8.0.0'!AX$4="是",'8.0.0'!$AY$4,'8.0.0'!$AY$3)</f>
        <v>0</v>
      </c>
      <c r="N53" s="4">
        <f>(VLOOKUP('8.0.0'!V53,'8.0.0'!$AM$4:$AO$45,2,FALSE))*IF('8.0.0'!AY$4="是",'8.0.0'!$AY$4,'8.0.0'!$AY$3)</f>
        <v>0</v>
      </c>
      <c r="O53" s="5">
        <f>(VLOOKUP('8.0.0'!W53,'8.0.0'!$AM$4:$AO$45,2,FALSE))*IF('8.0.0'!AZ$4="是",'8.0.0'!$AY$4,'8.0.0'!$AY$3)</f>
        <v>0</v>
      </c>
      <c r="P53" s="5">
        <f>(VLOOKUP('8.0.0'!X53,'8.0.0'!$AM$4:$AO$45,2,FALSE))*IF('8.0.0'!BA$4="是",'8.0.0'!$AY$4,'8.0.0'!$AY$3)</f>
        <v>0</v>
      </c>
      <c r="Q53" s="4">
        <f>(VLOOKUP('8.0.0'!Y53,'8.0.0'!$AM$4:$AO$45,2,FALSE))*IF('8.0.0'!BB$4="是",'8.0.0'!$AY$4,'8.0.0'!$AY$3)</f>
        <v>190</v>
      </c>
      <c r="R53" s="4">
        <f>(VLOOKUP('8.0.0'!Z53,'8.0.0'!$AM$4:$AO$45,2,FALSE))*IF('8.0.0'!BC$4="是",'8.0.0'!$AY$4,'8.0.0'!$AY$3)</f>
        <v>190</v>
      </c>
      <c r="S53" s="4">
        <f>(VLOOKUP('8.0.0'!AA53,'8.0.0'!$AM$4:$AO$45,2,FALSE))*IF('8.0.0'!BD$4="是",'8.0.0'!$AY$4,'8.0.0'!$AY$3)</f>
        <v>190</v>
      </c>
      <c r="T53" s="4">
        <f>(VLOOKUP('8.0.0'!AB53,'8.0.0'!$AM$4:$AO$45,2,FALSE))*IF('8.0.0'!BE$4="是",'8.0.0'!$AY$4,'8.0.0'!$AY$3)</f>
        <v>-200</v>
      </c>
      <c r="U53" s="4">
        <f>(VLOOKUP('8.0.0'!AC53,'8.0.0'!$AM$4:$AO$45,2,FALSE))*IF('8.0.0'!BF$4="是",'8.0.0'!$AY$4,'8.0.0'!$AY$3)</f>
        <v>190</v>
      </c>
      <c r="V53" s="4">
        <f>(VLOOKUP('8.0.0'!AD53,'8.0.0'!$AM$4:$AO$45,2,FALSE))*IF('8.0.0'!BG$4="是",'8.0.0'!$AY$4,'8.0.0'!$AY$3)</f>
        <v>190</v>
      </c>
      <c r="W53" s="5">
        <f>(VLOOKUP('8.0.0'!AE53,'8.0.0'!$AM$4:$AO$45,2,FALSE))*IF('8.0.0'!BH$4="是",'8.0.0'!$AY$4,'8.0.0'!$AY$3)</f>
        <v>0</v>
      </c>
      <c r="X53" s="5">
        <f>(VLOOKUP('8.0.0'!AF53,'8.0.0'!$AM$4:$AO$45,2,FALSE))*IF('8.0.0'!BI$4="是",'8.0.0'!$AY$4,'8.0.0'!$AY$3)</f>
        <v>0</v>
      </c>
    </row>
    <row r="54" spans="1:24">
      <c r="A54" s="4">
        <f>(VLOOKUP('8.0.0'!I54,'8.0.0'!$AM$4:$AO$45,2,FALSE))*IF('8.0.0'!AK$4="是",'8.0.0'!$AY$4,'8.0.0'!$AY$3)</f>
        <v>200</v>
      </c>
      <c r="B54" s="4">
        <f>(VLOOKUP('8.0.0'!J54,'8.0.0'!$AM$4:$AO$45,2,FALSE))*IF('8.0.0'!AL$4="是",'8.0.0'!$AY$4,'8.0.0'!$AY$3)</f>
        <v>200</v>
      </c>
      <c r="C54" s="4">
        <f>(VLOOKUP('8.0.0'!K54,'8.0.0'!$AM$4:$AO$45,2,FALSE))*IF('8.0.0'!AM$4="是",'8.0.0'!$AY$4,'8.0.0'!$AY$3)</f>
        <v>200</v>
      </c>
      <c r="D54" s="4">
        <f>(VLOOKUP('8.0.0'!L54,'8.0.0'!$AM$4:$AO$45,2,FALSE))*IF('8.0.0'!AN$4="是",'8.0.0'!$AY$4,'8.0.0'!$AY$3)</f>
        <v>200</v>
      </c>
      <c r="E54" s="4">
        <f>(VLOOKUP('8.0.0'!M54,'8.0.0'!$AM$4:$AO$45,2,FALSE))*IF('8.0.0'!AO$4="是",'8.0.0'!$AY$4,'8.0.0'!$AY$3)</f>
        <v>200</v>
      </c>
      <c r="F54" s="4">
        <f>(VLOOKUP('8.0.0'!N54,'8.0.0'!$AM$4:$AO$45,2,FALSE))*IF('8.0.0'!AQ$4="是",'8.0.0'!$AY$4,'8.0.0'!$AY$3)</f>
        <v>200</v>
      </c>
      <c r="G54" s="5">
        <f>(VLOOKUP('8.0.0'!O54,'8.0.0'!$AM$4:$AO$45,2,FALSE))*IF('8.0.0'!AR$4="是",'8.0.0'!$AY$4,'8.0.0'!$AY$3)</f>
        <v>0</v>
      </c>
      <c r="H54" s="5">
        <f>(VLOOKUP('8.0.0'!P54,'8.0.0'!$AM$4:$AO$45,2,FALSE))*IF('8.0.0'!AS$4="是",'8.0.0'!$AY$4,'8.0.0'!$AY$3)</f>
        <v>0</v>
      </c>
      <c r="I54" s="4">
        <f>(VLOOKUP('8.0.0'!Q54,'8.0.0'!$AM$4:$AO$45,2,FALSE))*IF('8.0.0'!AT$4="是",'8.0.0'!$AY$4,'8.0.0'!$AY$3)</f>
        <v>0</v>
      </c>
      <c r="J54" s="4">
        <f>(VLOOKUP('8.0.0'!R54,'8.0.0'!$AM$4:$AO$45,2,FALSE))*IF('8.0.0'!AU$4="是",'8.0.0'!$AY$4,'8.0.0'!$AY$3)</f>
        <v>0</v>
      </c>
      <c r="K54" s="4">
        <f>(VLOOKUP('8.0.0'!S54,'8.0.0'!$AM$4:$AO$45,2,FALSE))*IF('8.0.0'!AV$4="是",'8.0.0'!$AY$4,'8.0.0'!$AY$3)</f>
        <v>0</v>
      </c>
      <c r="L54" s="4">
        <f>(VLOOKUP('8.0.0'!T54,'8.0.0'!$AM$4:$AO$45,2,FALSE))*IF('8.0.0'!AW$4="是",'8.0.0'!$AY$4,'8.0.0'!$AY$3)</f>
        <v>0</v>
      </c>
      <c r="M54" s="4">
        <f>(VLOOKUP('8.0.0'!U54,'8.0.0'!$AM$4:$AO$45,2,FALSE))*IF('8.0.0'!AX$4="是",'8.0.0'!$AY$4,'8.0.0'!$AY$3)</f>
        <v>0</v>
      </c>
      <c r="N54" s="4">
        <f>(VLOOKUP('8.0.0'!V54,'8.0.0'!$AM$4:$AO$45,2,FALSE))*IF('8.0.0'!AY$4="是",'8.0.0'!$AY$4,'8.0.0'!$AY$3)</f>
        <v>0</v>
      </c>
      <c r="O54" s="5">
        <f>(VLOOKUP('8.0.0'!W54,'8.0.0'!$AM$4:$AO$45,2,FALSE))*IF('8.0.0'!AZ$4="是",'8.0.0'!$AY$4,'8.0.0'!$AY$3)</f>
        <v>0</v>
      </c>
      <c r="P54" s="5">
        <f>(VLOOKUP('8.0.0'!X54,'8.0.0'!$AM$4:$AO$45,2,FALSE))*IF('8.0.0'!BA$4="是",'8.0.0'!$AY$4,'8.0.0'!$AY$3)</f>
        <v>0</v>
      </c>
      <c r="Q54" s="4">
        <f>(VLOOKUP('8.0.0'!Y54,'8.0.0'!$AM$4:$AO$45,2,FALSE))*IF('8.0.0'!BB$4="是",'8.0.0'!$AY$4,'8.0.0'!$AY$3)</f>
        <v>190</v>
      </c>
      <c r="R54" s="4">
        <f>(VLOOKUP('8.0.0'!Z54,'8.0.0'!$AM$4:$AO$45,2,FALSE))*IF('8.0.0'!BC$4="是",'8.0.0'!$AY$4,'8.0.0'!$AY$3)</f>
        <v>190</v>
      </c>
      <c r="S54" s="4">
        <f>(VLOOKUP('8.0.0'!AA54,'8.0.0'!$AM$4:$AO$45,2,FALSE))*IF('8.0.0'!BD$4="是",'8.0.0'!$AY$4,'8.0.0'!$AY$3)</f>
        <v>190</v>
      </c>
      <c r="T54" s="4">
        <f>(VLOOKUP('8.0.0'!AB54,'8.0.0'!$AM$4:$AO$45,2,FALSE))*IF('8.0.0'!BE$4="是",'8.0.0'!$AY$4,'8.0.0'!$AY$3)</f>
        <v>190</v>
      </c>
      <c r="U54" s="4">
        <f>(VLOOKUP('8.0.0'!AC54,'8.0.0'!$AM$4:$AO$45,2,FALSE))*IF('8.0.0'!BF$4="是",'8.0.0'!$AY$4,'8.0.0'!$AY$3)</f>
        <v>190</v>
      </c>
      <c r="V54" s="4">
        <f>(VLOOKUP('8.0.0'!AD54,'8.0.0'!$AM$4:$AO$45,2,FALSE))*IF('8.0.0'!BG$4="是",'8.0.0'!$AY$4,'8.0.0'!$AY$3)</f>
        <v>0</v>
      </c>
      <c r="W54" s="5">
        <f>(VLOOKUP('8.0.0'!AE54,'8.0.0'!$AM$4:$AO$45,2,FALSE))*IF('8.0.0'!BH$4="是",'8.0.0'!$AY$4,'8.0.0'!$AY$3)</f>
        <v>0</v>
      </c>
      <c r="X54" s="5">
        <f>(VLOOKUP('8.0.0'!AF54,'8.0.0'!$AM$4:$AO$45,2,FALSE))*IF('8.0.0'!BI$4="是",'8.0.0'!$AY$4,'8.0.0'!$AY$3)</f>
        <v>0</v>
      </c>
    </row>
    <row r="55" spans="1:24">
      <c r="A55" s="4">
        <f>(VLOOKUP('8.0.0'!I55,'8.0.0'!$AM$4:$AO$45,2,FALSE))*IF('8.0.0'!AK$4="是",'8.0.0'!$AY$4,'8.0.0'!$AY$3)</f>
        <v>200</v>
      </c>
      <c r="B55" s="4">
        <f>(VLOOKUP('8.0.0'!J55,'8.0.0'!$AM$4:$AO$45,2,FALSE))*IF('8.0.0'!AL$4="是",'8.0.0'!$AY$4,'8.0.0'!$AY$3)</f>
        <v>200</v>
      </c>
      <c r="C55" s="4">
        <f>(VLOOKUP('8.0.0'!K55,'8.0.0'!$AM$4:$AO$45,2,FALSE))*IF('8.0.0'!AM$4="是",'8.0.0'!$AY$4,'8.0.0'!$AY$3)</f>
        <v>200</v>
      </c>
      <c r="D55" s="4">
        <f>(VLOOKUP('8.0.0'!L55,'8.0.0'!$AM$4:$AO$45,2,FALSE))*IF('8.0.0'!AN$4="是",'8.0.0'!$AY$4,'8.0.0'!$AY$3)</f>
        <v>200</v>
      </c>
      <c r="E55" s="4">
        <f>(VLOOKUP('8.0.0'!M55,'8.0.0'!$AM$4:$AO$45,2,FALSE))*IF('8.0.0'!AO$4="是",'8.0.0'!$AY$4,'8.0.0'!$AY$3)</f>
        <v>200</v>
      </c>
      <c r="F55" s="4">
        <f>(VLOOKUP('8.0.0'!N55,'8.0.0'!$AM$4:$AO$45,2,FALSE))*IF('8.0.0'!AQ$4="是",'8.0.0'!$AY$4,'8.0.0'!$AY$3)</f>
        <v>200</v>
      </c>
      <c r="G55" s="5">
        <f>(VLOOKUP('8.0.0'!O55,'8.0.0'!$AM$4:$AO$45,2,FALSE))*IF('8.0.0'!AR$4="是",'8.0.0'!$AY$4,'8.0.0'!$AY$3)</f>
        <v>0</v>
      </c>
      <c r="H55" s="5">
        <f>(VLOOKUP('8.0.0'!P55,'8.0.0'!$AM$4:$AO$45,2,FALSE))*IF('8.0.0'!AS$4="是",'8.0.0'!$AY$4,'8.0.0'!$AY$3)</f>
        <v>0</v>
      </c>
      <c r="I55" s="4">
        <f>(VLOOKUP('8.0.0'!Q55,'8.0.0'!$AM$4:$AO$45,2,FALSE))*IF('8.0.0'!AT$4="是",'8.0.0'!$AY$4,'8.0.0'!$AY$3)</f>
        <v>0</v>
      </c>
      <c r="J55" s="4">
        <f>(VLOOKUP('8.0.0'!R55,'8.0.0'!$AM$4:$AO$45,2,FALSE))*IF('8.0.0'!AU$4="是",'8.0.0'!$AY$4,'8.0.0'!$AY$3)</f>
        <v>0</v>
      </c>
      <c r="K55" s="4">
        <f>(VLOOKUP('8.0.0'!S55,'8.0.0'!$AM$4:$AO$45,2,FALSE))*IF('8.0.0'!AV$4="是",'8.0.0'!$AY$4,'8.0.0'!$AY$3)</f>
        <v>0</v>
      </c>
      <c r="L55" s="4">
        <f>(VLOOKUP('8.0.0'!T55,'8.0.0'!$AM$4:$AO$45,2,FALSE))*IF('8.0.0'!AW$4="是",'8.0.0'!$AY$4,'8.0.0'!$AY$3)</f>
        <v>0</v>
      </c>
      <c r="M55" s="4">
        <f>(VLOOKUP('8.0.0'!U55,'8.0.0'!$AM$4:$AO$45,2,FALSE))*IF('8.0.0'!AX$4="是",'8.0.0'!$AY$4,'8.0.0'!$AY$3)</f>
        <v>0</v>
      </c>
      <c r="N55" s="4">
        <f>(VLOOKUP('8.0.0'!V55,'8.0.0'!$AM$4:$AO$45,2,FALSE))*IF('8.0.0'!AY$4="是",'8.0.0'!$AY$4,'8.0.0'!$AY$3)</f>
        <v>0</v>
      </c>
      <c r="O55" s="5">
        <f>(VLOOKUP('8.0.0'!W55,'8.0.0'!$AM$4:$AO$45,2,FALSE))*IF('8.0.0'!AZ$4="是",'8.0.0'!$AY$4,'8.0.0'!$AY$3)</f>
        <v>0</v>
      </c>
      <c r="P55" s="5">
        <f>(VLOOKUP('8.0.0'!X55,'8.0.0'!$AM$4:$AO$45,2,FALSE))*IF('8.0.0'!BA$4="是",'8.0.0'!$AY$4,'8.0.0'!$AY$3)</f>
        <v>0</v>
      </c>
      <c r="Q55" s="4">
        <f>(VLOOKUP('8.0.0'!Y55,'8.0.0'!$AM$4:$AO$45,2,FALSE))*IF('8.0.0'!BB$4="是",'8.0.0'!$AY$4,'8.0.0'!$AY$3)</f>
        <v>190</v>
      </c>
      <c r="R55" s="4">
        <f>(VLOOKUP('8.0.0'!Z55,'8.0.0'!$AM$4:$AO$45,2,FALSE))*IF('8.0.0'!BC$4="是",'8.0.0'!$AY$4,'8.0.0'!$AY$3)</f>
        <v>190</v>
      </c>
      <c r="S55" s="4">
        <f>(VLOOKUP('8.0.0'!AA55,'8.0.0'!$AM$4:$AO$45,2,FALSE))*IF('8.0.0'!BD$4="是",'8.0.0'!$AY$4,'8.0.0'!$AY$3)</f>
        <v>190</v>
      </c>
      <c r="T55" s="4">
        <f>(VLOOKUP('8.0.0'!AB55,'8.0.0'!$AM$4:$AO$45,2,FALSE))*IF('8.0.0'!BE$4="是",'8.0.0'!$AY$4,'8.0.0'!$AY$3)</f>
        <v>190</v>
      </c>
      <c r="U55" s="4">
        <f>(VLOOKUP('8.0.0'!AC55,'8.0.0'!$AM$4:$AO$45,2,FALSE))*IF('8.0.0'!BF$4="是",'8.0.0'!$AY$4,'8.0.0'!$AY$3)</f>
        <v>0</v>
      </c>
      <c r="V55" s="4">
        <f>(VLOOKUP('8.0.0'!AD55,'8.0.0'!$AM$4:$AO$45,2,FALSE))*IF('8.0.0'!BG$4="是",'8.0.0'!$AY$4,'8.0.0'!$AY$3)</f>
        <v>0</v>
      </c>
      <c r="W55" s="5">
        <f>(VLOOKUP('8.0.0'!AE55,'8.0.0'!$AM$4:$AO$45,2,FALSE))*IF('8.0.0'!BH$4="是",'8.0.0'!$AY$4,'8.0.0'!$AY$3)</f>
        <v>0</v>
      </c>
      <c r="X55" s="5">
        <f>(VLOOKUP('8.0.0'!AF55,'8.0.0'!$AM$4:$AO$45,2,FALSE))*IF('8.0.0'!BI$4="是",'8.0.0'!$AY$4,'8.0.0'!$AY$3)</f>
        <v>0</v>
      </c>
    </row>
    <row r="56" spans="1:24">
      <c r="A56" s="4">
        <f>(VLOOKUP('8.0.0'!I56,'8.0.0'!$AM$4:$AO$45,2,FALSE))*IF('8.0.0'!AK$4="是",'8.0.0'!$AY$4,'8.0.0'!$AY$3)</f>
        <v>200</v>
      </c>
      <c r="B56" s="4">
        <f>(VLOOKUP('8.0.0'!J56,'8.0.0'!$AM$4:$AO$45,2,FALSE))*IF('8.0.0'!AL$4="是",'8.0.0'!$AY$4,'8.0.0'!$AY$3)</f>
        <v>200</v>
      </c>
      <c r="C56" s="4">
        <f>(VLOOKUP('8.0.0'!K56,'8.0.0'!$AM$4:$AO$45,2,FALSE))*IF('8.0.0'!AM$4="是",'8.0.0'!$AY$4,'8.0.0'!$AY$3)</f>
        <v>200</v>
      </c>
      <c r="D56" s="4">
        <f>(VLOOKUP('8.0.0'!L56,'8.0.0'!$AM$4:$AO$45,2,FALSE))*IF('8.0.0'!AN$4="是",'8.0.0'!$AY$4,'8.0.0'!$AY$3)</f>
        <v>200</v>
      </c>
      <c r="E56" s="4">
        <f>(VLOOKUP('8.0.0'!M56,'8.0.0'!$AM$4:$AO$45,2,FALSE))*IF('8.0.0'!AO$4="是",'8.0.0'!$AY$4,'8.0.0'!$AY$3)</f>
        <v>200</v>
      </c>
      <c r="F56" s="4">
        <f>(VLOOKUP('8.0.0'!N56,'8.0.0'!$AM$4:$AO$45,2,FALSE))*IF('8.0.0'!AQ$4="是",'8.0.0'!$AY$4,'8.0.0'!$AY$3)</f>
        <v>200</v>
      </c>
      <c r="G56" s="5">
        <f>(VLOOKUP('8.0.0'!O56,'8.0.0'!$AM$4:$AO$45,2,FALSE))*IF('8.0.0'!AR$4="是",'8.0.0'!$AY$4,'8.0.0'!$AY$3)</f>
        <v>0</v>
      </c>
      <c r="H56" s="5">
        <f>(VLOOKUP('8.0.0'!P56,'8.0.0'!$AM$4:$AO$45,2,FALSE))*IF('8.0.0'!AS$4="是",'8.0.0'!$AY$4,'8.0.0'!$AY$3)</f>
        <v>0</v>
      </c>
      <c r="I56" s="4">
        <f>(VLOOKUP('8.0.0'!Q56,'8.0.0'!$AM$4:$AO$45,2,FALSE))*IF('8.0.0'!AT$4="是",'8.0.0'!$AY$4,'8.0.0'!$AY$3)</f>
        <v>0</v>
      </c>
      <c r="J56" s="4">
        <f>(VLOOKUP('8.0.0'!R56,'8.0.0'!$AM$4:$AO$45,2,FALSE))*IF('8.0.0'!AU$4="是",'8.0.0'!$AY$4,'8.0.0'!$AY$3)</f>
        <v>0</v>
      </c>
      <c r="K56" s="4">
        <f>(VLOOKUP('8.0.0'!S56,'8.0.0'!$AM$4:$AO$45,2,FALSE))*IF('8.0.0'!AV$4="是",'8.0.0'!$AY$4,'8.0.0'!$AY$3)</f>
        <v>0</v>
      </c>
      <c r="L56" s="4">
        <f>(VLOOKUP('8.0.0'!T56,'8.0.0'!$AM$4:$AO$45,2,FALSE))*IF('8.0.0'!AW$4="是",'8.0.0'!$AY$4,'8.0.0'!$AY$3)</f>
        <v>0</v>
      </c>
      <c r="M56" s="4">
        <f>(VLOOKUP('8.0.0'!U56,'8.0.0'!$AM$4:$AO$45,2,FALSE))*IF('8.0.0'!AX$4="是",'8.0.0'!$AY$4,'8.0.0'!$AY$3)</f>
        <v>0</v>
      </c>
      <c r="N56" s="4">
        <f>(VLOOKUP('8.0.0'!V56,'8.0.0'!$AM$4:$AO$45,2,FALSE))*IF('8.0.0'!AY$4="是",'8.0.0'!$AY$4,'8.0.0'!$AY$3)</f>
        <v>0</v>
      </c>
      <c r="O56" s="5">
        <f>(VLOOKUP('8.0.0'!W56,'8.0.0'!$AM$4:$AO$45,2,FALSE))*IF('8.0.0'!AZ$4="是",'8.0.0'!$AY$4,'8.0.0'!$AY$3)</f>
        <v>0</v>
      </c>
      <c r="P56" s="5">
        <f>(VLOOKUP('8.0.0'!X56,'8.0.0'!$AM$4:$AO$45,2,FALSE))*IF('8.0.0'!BA$4="是",'8.0.0'!$AY$4,'8.0.0'!$AY$3)</f>
        <v>0</v>
      </c>
      <c r="Q56" s="4">
        <f>(VLOOKUP('8.0.0'!Y56,'8.0.0'!$AM$4:$AO$45,2,FALSE))*IF('8.0.0'!BB$4="是",'8.0.0'!$AY$4,'8.0.0'!$AY$3)</f>
        <v>190</v>
      </c>
      <c r="R56" s="4">
        <f>(VLOOKUP('8.0.0'!Z56,'8.0.0'!$AM$4:$AO$45,2,FALSE))*IF('8.0.0'!BC$4="是",'8.0.0'!$AY$4,'8.0.0'!$AY$3)</f>
        <v>50</v>
      </c>
      <c r="S56" s="4">
        <f>(VLOOKUP('8.0.0'!AA56,'8.0.0'!$AM$4:$AO$45,2,FALSE))*IF('8.0.0'!BD$4="是",'8.0.0'!$AY$4,'8.0.0'!$AY$3)</f>
        <v>190</v>
      </c>
      <c r="T56" s="4">
        <f>(VLOOKUP('8.0.0'!AB56,'8.0.0'!$AM$4:$AO$45,2,FALSE))*IF('8.0.0'!BE$4="是",'8.0.0'!$AY$4,'8.0.0'!$AY$3)</f>
        <v>190</v>
      </c>
      <c r="U56" s="4">
        <f>(VLOOKUP('8.0.0'!AC56,'8.0.0'!$AM$4:$AO$45,2,FALSE))*IF('8.0.0'!BF$4="是",'8.0.0'!$AY$4,'8.0.0'!$AY$3)</f>
        <v>190</v>
      </c>
      <c r="V56" s="4">
        <f>(VLOOKUP('8.0.0'!AD56,'8.0.0'!$AM$4:$AO$45,2,FALSE))*IF('8.0.0'!BG$4="是",'8.0.0'!$AY$4,'8.0.0'!$AY$3)</f>
        <v>0</v>
      </c>
      <c r="W56" s="5">
        <f>(VLOOKUP('8.0.0'!AE56,'8.0.0'!$AM$4:$AO$45,2,FALSE))*IF('8.0.0'!BH$4="是",'8.0.0'!$AY$4,'8.0.0'!$AY$3)</f>
        <v>0</v>
      </c>
      <c r="X56" s="5">
        <f>(VLOOKUP('8.0.0'!AF56,'8.0.0'!$AM$4:$AO$45,2,FALSE))*IF('8.0.0'!BI$4="是",'8.0.0'!$AY$4,'8.0.0'!$AY$3)</f>
        <v>0</v>
      </c>
    </row>
    <row r="57" spans="1:24">
      <c r="A57" s="4">
        <f>(VLOOKUP('8.0.0'!I57,'8.0.0'!$AM$4:$AO$45,2,FALSE))*IF('8.0.0'!AK$4="是",'8.0.0'!$AY$4,'8.0.0'!$AY$3)</f>
        <v>200</v>
      </c>
      <c r="B57" s="4">
        <f>(VLOOKUP('8.0.0'!J57,'8.0.0'!$AM$4:$AO$45,2,FALSE))*IF('8.0.0'!AL$4="是",'8.0.0'!$AY$4,'8.0.0'!$AY$3)</f>
        <v>200</v>
      </c>
      <c r="C57" s="4">
        <f>(VLOOKUP('8.0.0'!K57,'8.0.0'!$AM$4:$AO$45,2,FALSE))*IF('8.0.0'!AM$4="是",'8.0.0'!$AY$4,'8.0.0'!$AY$3)</f>
        <v>200</v>
      </c>
      <c r="D57" s="4">
        <f>(VLOOKUP('8.0.0'!L57,'8.0.0'!$AM$4:$AO$45,2,FALSE))*IF('8.0.0'!AN$4="是",'8.0.0'!$AY$4,'8.0.0'!$AY$3)</f>
        <v>200</v>
      </c>
      <c r="E57" s="4">
        <f>(VLOOKUP('8.0.0'!M57,'8.0.0'!$AM$4:$AO$45,2,FALSE))*IF('8.0.0'!AO$4="是",'8.0.0'!$AY$4,'8.0.0'!$AY$3)</f>
        <v>200</v>
      </c>
      <c r="F57" s="4">
        <f>(VLOOKUP('8.0.0'!N57,'8.0.0'!$AM$4:$AO$45,2,FALSE))*IF('8.0.0'!AQ$4="是",'8.0.0'!$AY$4,'8.0.0'!$AY$3)</f>
        <v>200</v>
      </c>
      <c r="G57" s="5">
        <f>(VLOOKUP('8.0.0'!O57,'8.0.0'!$AM$4:$AO$45,2,FALSE))*IF('8.0.0'!AR$4="是",'8.0.0'!$AY$4,'8.0.0'!$AY$3)</f>
        <v>0</v>
      </c>
      <c r="H57" s="5">
        <f>(VLOOKUP('8.0.0'!P57,'8.0.0'!$AM$4:$AO$45,2,FALSE))*IF('8.0.0'!AS$4="是",'8.0.0'!$AY$4,'8.0.0'!$AY$3)</f>
        <v>0</v>
      </c>
      <c r="I57" s="4">
        <f>(VLOOKUP('8.0.0'!Q57,'8.0.0'!$AM$4:$AO$45,2,FALSE))*IF('8.0.0'!AT$4="是",'8.0.0'!$AY$4,'8.0.0'!$AY$3)</f>
        <v>0</v>
      </c>
      <c r="J57" s="4">
        <f>(VLOOKUP('8.0.0'!R57,'8.0.0'!$AM$4:$AO$45,2,FALSE))*IF('8.0.0'!AU$4="是",'8.0.0'!$AY$4,'8.0.0'!$AY$3)</f>
        <v>0</v>
      </c>
      <c r="K57" s="4">
        <f>(VLOOKUP('8.0.0'!S57,'8.0.0'!$AM$4:$AO$45,2,FALSE))*IF('8.0.0'!AV$4="是",'8.0.0'!$AY$4,'8.0.0'!$AY$3)</f>
        <v>0</v>
      </c>
      <c r="L57" s="4">
        <f>(VLOOKUP('8.0.0'!T57,'8.0.0'!$AM$4:$AO$45,2,FALSE))*IF('8.0.0'!AW$4="是",'8.0.0'!$AY$4,'8.0.0'!$AY$3)</f>
        <v>0</v>
      </c>
      <c r="M57" s="4">
        <f>(VLOOKUP('8.0.0'!U57,'8.0.0'!$AM$4:$AO$45,2,FALSE))*IF('8.0.0'!AX$4="是",'8.0.0'!$AY$4,'8.0.0'!$AY$3)</f>
        <v>0</v>
      </c>
      <c r="N57" s="4">
        <f>(VLOOKUP('8.0.0'!V57,'8.0.0'!$AM$4:$AO$45,2,FALSE))*IF('8.0.0'!AY$4="是",'8.0.0'!$AY$4,'8.0.0'!$AY$3)</f>
        <v>0</v>
      </c>
      <c r="O57" s="5">
        <f>(VLOOKUP('8.0.0'!W57,'8.0.0'!$AM$4:$AO$45,2,FALSE))*IF('8.0.0'!AZ$4="是",'8.0.0'!$AY$4,'8.0.0'!$AY$3)</f>
        <v>0</v>
      </c>
      <c r="P57" s="5">
        <f>(VLOOKUP('8.0.0'!X57,'8.0.0'!$AM$4:$AO$45,2,FALSE))*IF('8.0.0'!BA$4="是",'8.0.0'!$AY$4,'8.0.0'!$AY$3)</f>
        <v>0</v>
      </c>
      <c r="Q57" s="4">
        <f>(VLOOKUP('8.0.0'!Y57,'8.0.0'!$AM$4:$AO$45,2,FALSE))*IF('8.0.0'!BB$4="是",'8.0.0'!$AY$4,'8.0.0'!$AY$3)</f>
        <v>190</v>
      </c>
      <c r="R57" s="4">
        <f>(VLOOKUP('8.0.0'!Z57,'8.0.0'!$AM$4:$AO$45,2,FALSE))*IF('8.0.0'!BC$4="是",'8.0.0'!$AY$4,'8.0.0'!$AY$3)</f>
        <v>190</v>
      </c>
      <c r="S57" s="4">
        <f>(VLOOKUP('8.0.0'!AA57,'8.0.0'!$AM$4:$AO$45,2,FALSE))*IF('8.0.0'!BD$4="是",'8.0.0'!$AY$4,'8.0.0'!$AY$3)</f>
        <v>190</v>
      </c>
      <c r="T57" s="4">
        <f>(VLOOKUP('8.0.0'!AB57,'8.0.0'!$AM$4:$AO$45,2,FALSE))*IF('8.0.0'!BE$4="是",'8.0.0'!$AY$4,'8.0.0'!$AY$3)</f>
        <v>190</v>
      </c>
      <c r="U57" s="4">
        <f>(VLOOKUP('8.0.0'!AC57,'8.0.0'!$AM$4:$AO$45,2,FALSE))*IF('8.0.0'!BF$4="是",'8.0.0'!$AY$4,'8.0.0'!$AY$3)</f>
        <v>0</v>
      </c>
      <c r="V57" s="4">
        <f>(VLOOKUP('8.0.0'!AD57,'8.0.0'!$AM$4:$AO$45,2,FALSE))*IF('8.0.0'!BG$4="是",'8.0.0'!$AY$4,'8.0.0'!$AY$3)</f>
        <v>0</v>
      </c>
      <c r="W57" s="5">
        <f>(VLOOKUP('8.0.0'!AE57,'8.0.0'!$AM$4:$AO$45,2,FALSE))*IF('8.0.0'!BH$4="是",'8.0.0'!$AY$4,'8.0.0'!$AY$3)</f>
        <v>0</v>
      </c>
      <c r="X57" s="5">
        <f>(VLOOKUP('8.0.0'!AF57,'8.0.0'!$AM$4:$AO$45,2,FALSE))*IF('8.0.0'!BI$4="是",'8.0.0'!$AY$4,'8.0.0'!$AY$3)</f>
        <v>0</v>
      </c>
    </row>
    <row r="58" spans="1:24">
      <c r="A58" s="4">
        <f>(VLOOKUP('8.0.0'!I58,'8.0.0'!$AM$4:$AO$45,2,FALSE))*IF('8.0.0'!AK$4="是",'8.0.0'!$AY$4,'8.0.0'!$AY$3)</f>
        <v>200</v>
      </c>
      <c r="B58" s="4">
        <f>(VLOOKUP('8.0.0'!J58,'8.0.0'!$AM$4:$AO$45,2,FALSE))*IF('8.0.0'!AL$4="是",'8.0.0'!$AY$4,'8.0.0'!$AY$3)</f>
        <v>200</v>
      </c>
      <c r="C58" s="4">
        <f>(VLOOKUP('8.0.0'!K58,'8.0.0'!$AM$4:$AO$45,2,FALSE))*IF('8.0.0'!AM$4="是",'8.0.0'!$AY$4,'8.0.0'!$AY$3)</f>
        <v>200</v>
      </c>
      <c r="D58" s="4">
        <f>(VLOOKUP('8.0.0'!L58,'8.0.0'!$AM$4:$AO$45,2,FALSE))*IF('8.0.0'!AN$4="是",'8.0.0'!$AY$4,'8.0.0'!$AY$3)</f>
        <v>200</v>
      </c>
      <c r="E58" s="4">
        <f>(VLOOKUP('8.0.0'!M58,'8.0.0'!$AM$4:$AO$45,2,FALSE))*IF('8.0.0'!AO$4="是",'8.0.0'!$AY$4,'8.0.0'!$AY$3)</f>
        <v>200</v>
      </c>
      <c r="F58" s="4">
        <f>(VLOOKUP('8.0.0'!N58,'8.0.0'!$AM$4:$AO$45,2,FALSE))*IF('8.0.0'!AQ$4="是",'8.0.0'!$AY$4,'8.0.0'!$AY$3)</f>
        <v>200</v>
      </c>
      <c r="G58" s="5">
        <f>(VLOOKUP('8.0.0'!O58,'8.0.0'!$AM$4:$AO$45,2,FALSE))*IF('8.0.0'!AR$4="是",'8.0.0'!$AY$4,'8.0.0'!$AY$3)</f>
        <v>0</v>
      </c>
      <c r="H58" s="5">
        <f>(VLOOKUP('8.0.0'!P58,'8.0.0'!$AM$4:$AO$45,2,FALSE))*IF('8.0.0'!AS$4="是",'8.0.0'!$AY$4,'8.0.0'!$AY$3)</f>
        <v>0</v>
      </c>
      <c r="I58" s="4">
        <f>(VLOOKUP('8.0.0'!Q58,'8.0.0'!$AM$4:$AO$45,2,FALSE))*IF('8.0.0'!AT$4="是",'8.0.0'!$AY$4,'8.0.0'!$AY$3)</f>
        <v>0</v>
      </c>
      <c r="J58" s="4">
        <f>(VLOOKUP('8.0.0'!R58,'8.0.0'!$AM$4:$AO$45,2,FALSE))*IF('8.0.0'!AU$4="是",'8.0.0'!$AY$4,'8.0.0'!$AY$3)</f>
        <v>0</v>
      </c>
      <c r="K58" s="4">
        <f>(VLOOKUP('8.0.0'!S58,'8.0.0'!$AM$4:$AO$45,2,FALSE))*IF('8.0.0'!AV$4="是",'8.0.0'!$AY$4,'8.0.0'!$AY$3)</f>
        <v>0</v>
      </c>
      <c r="L58" s="4">
        <f>(VLOOKUP('8.0.0'!T58,'8.0.0'!$AM$4:$AO$45,2,FALSE))*IF('8.0.0'!AW$4="是",'8.0.0'!$AY$4,'8.0.0'!$AY$3)</f>
        <v>0</v>
      </c>
      <c r="M58" s="4">
        <f>(VLOOKUP('8.0.0'!U58,'8.0.0'!$AM$4:$AO$45,2,FALSE))*IF('8.0.0'!AX$4="是",'8.0.0'!$AY$4,'8.0.0'!$AY$3)</f>
        <v>0</v>
      </c>
      <c r="N58" s="4">
        <f>(VLOOKUP('8.0.0'!V58,'8.0.0'!$AM$4:$AO$45,2,FALSE))*IF('8.0.0'!AY$4="是",'8.0.0'!$AY$4,'8.0.0'!$AY$3)</f>
        <v>0</v>
      </c>
      <c r="O58" s="5">
        <f>(VLOOKUP('8.0.0'!W58,'8.0.0'!$AM$4:$AO$45,2,FALSE))*IF('8.0.0'!AZ$4="是",'8.0.0'!$AY$4,'8.0.0'!$AY$3)</f>
        <v>0</v>
      </c>
      <c r="P58" s="5">
        <f>(VLOOKUP('8.0.0'!X58,'8.0.0'!$AM$4:$AO$45,2,FALSE))*IF('8.0.0'!BA$4="是",'8.0.0'!$AY$4,'8.0.0'!$AY$3)</f>
        <v>0</v>
      </c>
      <c r="Q58" s="4">
        <f>(VLOOKUP('8.0.0'!Y58,'8.0.0'!$AM$4:$AO$45,2,FALSE))*IF('8.0.0'!BB$4="是",'8.0.0'!$AY$4,'8.0.0'!$AY$3)</f>
        <v>190</v>
      </c>
      <c r="R58" s="4">
        <f>(VLOOKUP('8.0.0'!Z58,'8.0.0'!$AM$4:$AO$45,2,FALSE))*IF('8.0.0'!BC$4="是",'8.0.0'!$AY$4,'8.0.0'!$AY$3)</f>
        <v>250</v>
      </c>
      <c r="S58" s="4">
        <f>(VLOOKUP('8.0.0'!AA58,'8.0.0'!$AM$4:$AO$45,2,FALSE))*IF('8.0.0'!BD$4="是",'8.0.0'!$AY$4,'8.0.0'!$AY$3)</f>
        <v>190</v>
      </c>
      <c r="T58" s="4">
        <f>(VLOOKUP('8.0.0'!AB58,'8.0.0'!$AM$4:$AO$45,2,FALSE))*IF('8.0.0'!BE$4="是",'8.0.0'!$AY$4,'8.0.0'!$AY$3)</f>
        <v>190</v>
      </c>
      <c r="U58" s="4">
        <f>(VLOOKUP('8.0.0'!AC58,'8.0.0'!$AM$4:$AO$45,2,FALSE))*IF('8.0.0'!BF$4="是",'8.0.0'!$AY$4,'8.0.0'!$AY$3)</f>
        <v>0</v>
      </c>
      <c r="V58" s="4">
        <f>(VLOOKUP('8.0.0'!AD58,'8.0.0'!$AM$4:$AO$45,2,FALSE))*IF('8.0.0'!BG$4="是",'8.0.0'!$AY$4,'8.0.0'!$AY$3)</f>
        <v>0</v>
      </c>
      <c r="W58" s="5">
        <f>(VLOOKUP('8.0.0'!AE58,'8.0.0'!$AM$4:$AO$45,2,FALSE))*IF('8.0.0'!BH$4="是",'8.0.0'!$AY$4,'8.0.0'!$AY$3)</f>
        <v>0</v>
      </c>
      <c r="X58" s="5">
        <f>(VLOOKUP('8.0.0'!AF58,'8.0.0'!$AM$4:$AO$45,2,FALSE))*IF('8.0.0'!BI$4="是",'8.0.0'!$AY$4,'8.0.0'!$AY$3)</f>
        <v>0</v>
      </c>
    </row>
    <row r="59" spans="1:24">
      <c r="A59" s="4">
        <f>(VLOOKUP('8.0.0'!I59,'8.0.0'!$AM$4:$AO$45,2,FALSE))*IF('8.0.0'!AK$4="是",'8.0.0'!$AY$4,'8.0.0'!$AY$3)</f>
        <v>200</v>
      </c>
      <c r="B59" s="4">
        <f>(VLOOKUP('8.0.0'!J59,'8.0.0'!$AM$4:$AO$45,2,FALSE))*IF('8.0.0'!AL$4="是",'8.0.0'!$AY$4,'8.0.0'!$AY$3)</f>
        <v>200</v>
      </c>
      <c r="C59" s="4">
        <f>(VLOOKUP('8.0.0'!K59,'8.0.0'!$AM$4:$AO$45,2,FALSE))*IF('8.0.0'!AM$4="是",'8.0.0'!$AY$4,'8.0.0'!$AY$3)</f>
        <v>200</v>
      </c>
      <c r="D59" s="4">
        <f>(VLOOKUP('8.0.0'!L59,'8.0.0'!$AM$4:$AO$45,2,FALSE))*IF('8.0.0'!AN$4="是",'8.0.0'!$AY$4,'8.0.0'!$AY$3)</f>
        <v>200</v>
      </c>
      <c r="E59" s="4">
        <f>(VLOOKUP('8.0.0'!M59,'8.0.0'!$AM$4:$AO$45,2,FALSE))*IF('8.0.0'!AO$4="是",'8.0.0'!$AY$4,'8.0.0'!$AY$3)</f>
        <v>200</v>
      </c>
      <c r="F59" s="4">
        <f>(VLOOKUP('8.0.0'!N59,'8.0.0'!$AM$4:$AO$45,2,FALSE))*IF('8.0.0'!AQ$4="是",'8.0.0'!$AY$4,'8.0.0'!$AY$3)</f>
        <v>200</v>
      </c>
      <c r="G59" s="5">
        <f>(VLOOKUP('8.0.0'!O59,'8.0.0'!$AM$4:$AO$45,2,FALSE))*IF('8.0.0'!AR$4="是",'8.0.0'!$AY$4,'8.0.0'!$AY$3)</f>
        <v>0</v>
      </c>
      <c r="H59" s="5">
        <f>(VLOOKUP('8.0.0'!P59,'8.0.0'!$AM$4:$AO$45,2,FALSE))*IF('8.0.0'!AS$4="是",'8.0.0'!$AY$4,'8.0.0'!$AY$3)</f>
        <v>0</v>
      </c>
      <c r="I59" s="4">
        <f>(VLOOKUP('8.0.0'!Q59,'8.0.0'!$AM$4:$AO$45,2,FALSE))*IF('8.0.0'!AT$4="是",'8.0.0'!$AY$4,'8.0.0'!$AY$3)</f>
        <v>0</v>
      </c>
      <c r="J59" s="4">
        <f>(VLOOKUP('8.0.0'!R59,'8.0.0'!$AM$4:$AO$45,2,FALSE))*IF('8.0.0'!AU$4="是",'8.0.0'!$AY$4,'8.0.0'!$AY$3)</f>
        <v>0</v>
      </c>
      <c r="K59" s="4">
        <f>(VLOOKUP('8.0.0'!S59,'8.0.0'!$AM$4:$AO$45,2,FALSE))*IF('8.0.0'!AV$4="是",'8.0.0'!$AY$4,'8.0.0'!$AY$3)</f>
        <v>0</v>
      </c>
      <c r="L59" s="4">
        <f>(VLOOKUP('8.0.0'!T59,'8.0.0'!$AM$4:$AO$45,2,FALSE))*IF('8.0.0'!AW$4="是",'8.0.0'!$AY$4,'8.0.0'!$AY$3)</f>
        <v>0</v>
      </c>
      <c r="M59" s="4">
        <f>(VLOOKUP('8.0.0'!U59,'8.0.0'!$AM$4:$AO$45,2,FALSE))*IF('8.0.0'!AX$4="是",'8.0.0'!$AY$4,'8.0.0'!$AY$3)</f>
        <v>0</v>
      </c>
      <c r="N59" s="4">
        <f>(VLOOKUP('8.0.0'!V59,'8.0.0'!$AM$4:$AO$45,2,FALSE))*IF('8.0.0'!AY$4="是",'8.0.0'!$AY$4,'8.0.0'!$AY$3)</f>
        <v>0</v>
      </c>
      <c r="O59" s="5">
        <f>(VLOOKUP('8.0.0'!W59,'8.0.0'!$AM$4:$AO$45,2,FALSE))*IF('8.0.0'!AZ$4="是",'8.0.0'!$AY$4,'8.0.0'!$AY$3)</f>
        <v>0</v>
      </c>
      <c r="P59" s="5">
        <f>(VLOOKUP('8.0.0'!X59,'8.0.0'!$AM$4:$AO$45,2,FALSE))*IF('8.0.0'!BA$4="是",'8.0.0'!$AY$4,'8.0.0'!$AY$3)</f>
        <v>0</v>
      </c>
      <c r="Q59" s="4">
        <f>(VLOOKUP('8.0.0'!Y59,'8.0.0'!$AM$4:$AO$45,2,FALSE))*IF('8.0.0'!BB$4="是",'8.0.0'!$AY$4,'8.0.0'!$AY$3)</f>
        <v>190</v>
      </c>
      <c r="R59" s="4">
        <f>(VLOOKUP('8.0.0'!Z59,'8.0.0'!$AM$4:$AO$45,2,FALSE))*IF('8.0.0'!BC$4="是",'8.0.0'!$AY$4,'8.0.0'!$AY$3)</f>
        <v>190</v>
      </c>
      <c r="S59" s="4">
        <f>(VLOOKUP('8.0.0'!AA59,'8.0.0'!$AM$4:$AO$45,2,FALSE))*IF('8.0.0'!BD$4="是",'8.0.0'!$AY$4,'8.0.0'!$AY$3)</f>
        <v>190</v>
      </c>
      <c r="T59" s="4">
        <f>(VLOOKUP('8.0.0'!AB59,'8.0.0'!$AM$4:$AO$45,2,FALSE))*IF('8.0.0'!BE$4="是",'8.0.0'!$AY$4,'8.0.0'!$AY$3)</f>
        <v>190</v>
      </c>
      <c r="U59" s="4">
        <f>(VLOOKUP('8.0.0'!AC59,'8.0.0'!$AM$4:$AO$45,2,FALSE))*IF('8.0.0'!BF$4="是",'8.0.0'!$AY$4,'8.0.0'!$AY$3)</f>
        <v>0</v>
      </c>
      <c r="V59" s="4">
        <f>(VLOOKUP('8.0.0'!AD59,'8.0.0'!$AM$4:$AO$45,2,FALSE))*IF('8.0.0'!BG$4="是",'8.0.0'!$AY$4,'8.0.0'!$AY$3)</f>
        <v>0</v>
      </c>
      <c r="W59" s="5">
        <f>(VLOOKUP('8.0.0'!AE59,'8.0.0'!$AM$4:$AO$45,2,FALSE))*IF('8.0.0'!BH$4="是",'8.0.0'!$AY$4,'8.0.0'!$AY$3)</f>
        <v>0</v>
      </c>
      <c r="X59" s="5">
        <f>(VLOOKUP('8.0.0'!AF59,'8.0.0'!$AM$4:$AO$45,2,FALSE))*IF('8.0.0'!BI$4="是",'8.0.0'!$AY$4,'8.0.0'!$AY$3)</f>
        <v>0</v>
      </c>
    </row>
    <row r="60" spans="1:24">
      <c r="A60" s="4">
        <f>(VLOOKUP('8.0.0'!I60,'8.0.0'!$AM$4:$AO$45,2,FALSE))*IF('8.0.0'!AK$4="是",'8.0.0'!$AY$4,'8.0.0'!$AY$3)</f>
        <v>200</v>
      </c>
      <c r="B60" s="4">
        <f>(VLOOKUP('8.0.0'!J60,'8.0.0'!$AM$4:$AO$45,2,FALSE))*IF('8.0.0'!AL$4="是",'8.0.0'!$AY$4,'8.0.0'!$AY$3)</f>
        <v>200</v>
      </c>
      <c r="C60" s="4">
        <f>(VLOOKUP('8.0.0'!K60,'8.0.0'!$AM$4:$AO$45,2,FALSE))*IF('8.0.0'!AM$4="是",'8.0.0'!$AY$4,'8.0.0'!$AY$3)</f>
        <v>250</v>
      </c>
      <c r="D60" s="4">
        <f>(VLOOKUP('8.0.0'!L60,'8.0.0'!$AM$4:$AO$45,2,FALSE))*IF('8.0.0'!AN$4="是",'8.0.0'!$AY$4,'8.0.0'!$AY$3)</f>
        <v>200</v>
      </c>
      <c r="E60" s="4">
        <f>(VLOOKUP('8.0.0'!M60,'8.0.0'!$AM$4:$AO$45,2,FALSE))*IF('8.0.0'!AO$4="是",'8.0.0'!$AY$4,'8.0.0'!$AY$3)</f>
        <v>200</v>
      </c>
      <c r="F60" s="4">
        <f>(VLOOKUP('8.0.0'!N60,'8.0.0'!$AM$4:$AO$45,2,FALSE))*IF('8.0.0'!AQ$4="是",'8.0.0'!$AY$4,'8.0.0'!$AY$3)</f>
        <v>200</v>
      </c>
      <c r="G60" s="5">
        <f>(VLOOKUP('8.0.0'!O60,'8.0.0'!$AM$4:$AO$45,2,FALSE))*IF('8.0.0'!AR$4="是",'8.0.0'!$AY$4,'8.0.0'!$AY$3)</f>
        <v>0</v>
      </c>
      <c r="H60" s="5">
        <f>(VLOOKUP('8.0.0'!P60,'8.0.0'!$AM$4:$AO$45,2,FALSE))*IF('8.0.0'!AS$4="是",'8.0.0'!$AY$4,'8.0.0'!$AY$3)</f>
        <v>0</v>
      </c>
      <c r="I60" s="4">
        <f>(VLOOKUP('8.0.0'!Q60,'8.0.0'!$AM$4:$AO$45,2,FALSE))*IF('8.0.0'!AT$4="是",'8.0.0'!$AY$4,'8.0.0'!$AY$3)</f>
        <v>0</v>
      </c>
      <c r="J60" s="4">
        <f>(VLOOKUP('8.0.0'!R60,'8.0.0'!$AM$4:$AO$45,2,FALSE))*IF('8.0.0'!AU$4="是",'8.0.0'!$AY$4,'8.0.0'!$AY$3)</f>
        <v>0</v>
      </c>
      <c r="K60" s="4">
        <f>(VLOOKUP('8.0.0'!S60,'8.0.0'!$AM$4:$AO$45,2,FALSE))*IF('8.0.0'!AV$4="是",'8.0.0'!$AY$4,'8.0.0'!$AY$3)</f>
        <v>0</v>
      </c>
      <c r="L60" s="4">
        <f>(VLOOKUP('8.0.0'!T60,'8.0.0'!$AM$4:$AO$45,2,FALSE))*IF('8.0.0'!AW$4="是",'8.0.0'!$AY$4,'8.0.0'!$AY$3)</f>
        <v>0</v>
      </c>
      <c r="M60" s="4">
        <f>(VLOOKUP('8.0.0'!U60,'8.0.0'!$AM$4:$AO$45,2,FALSE))*IF('8.0.0'!AX$4="是",'8.0.0'!$AY$4,'8.0.0'!$AY$3)</f>
        <v>0</v>
      </c>
      <c r="N60" s="4">
        <f>(VLOOKUP('8.0.0'!V60,'8.0.0'!$AM$4:$AO$45,2,FALSE))*IF('8.0.0'!AY$4="是",'8.0.0'!$AY$4,'8.0.0'!$AY$3)</f>
        <v>0</v>
      </c>
      <c r="O60" s="5">
        <f>(VLOOKUP('8.0.0'!W60,'8.0.0'!$AM$4:$AO$45,2,FALSE))*IF('8.0.0'!AZ$4="是",'8.0.0'!$AY$4,'8.0.0'!$AY$3)</f>
        <v>0</v>
      </c>
      <c r="P60" s="5">
        <f>(VLOOKUP('8.0.0'!X60,'8.0.0'!$AM$4:$AO$45,2,FALSE))*IF('8.0.0'!BA$4="是",'8.0.0'!$AY$4,'8.0.0'!$AY$3)</f>
        <v>0</v>
      </c>
      <c r="Q60" s="4">
        <f>(VLOOKUP('8.0.0'!Y60,'8.0.0'!$AM$4:$AO$45,2,FALSE))*IF('8.0.0'!BB$4="是",'8.0.0'!$AY$4,'8.0.0'!$AY$3)</f>
        <v>190</v>
      </c>
      <c r="R60" s="4">
        <f>(VLOOKUP('8.0.0'!Z60,'8.0.0'!$AM$4:$AO$45,2,FALSE))*IF('8.0.0'!BC$4="是",'8.0.0'!$AY$4,'8.0.0'!$AY$3)</f>
        <v>190</v>
      </c>
      <c r="S60" s="4">
        <f>(VLOOKUP('8.0.0'!AA60,'8.0.0'!$AM$4:$AO$45,2,FALSE))*IF('8.0.0'!BD$4="是",'8.0.0'!$AY$4,'8.0.0'!$AY$3)</f>
        <v>190</v>
      </c>
      <c r="T60" s="4">
        <f>(VLOOKUP('8.0.0'!AB60,'8.0.0'!$AM$4:$AO$45,2,FALSE))*IF('8.0.0'!BE$4="是",'8.0.0'!$AY$4,'8.0.0'!$AY$3)</f>
        <v>50</v>
      </c>
      <c r="U60" s="4">
        <f>(VLOOKUP('8.0.0'!AC60,'8.0.0'!$AM$4:$AO$45,2,FALSE))*IF('8.0.0'!BF$4="是",'8.0.0'!$AY$4,'8.0.0'!$AY$3)</f>
        <v>190</v>
      </c>
      <c r="V60" s="4">
        <f>(VLOOKUP('8.0.0'!AD60,'8.0.0'!$AM$4:$AO$45,2,FALSE))*IF('8.0.0'!BG$4="是",'8.0.0'!$AY$4,'8.0.0'!$AY$3)</f>
        <v>0</v>
      </c>
      <c r="W60" s="5">
        <f>(VLOOKUP('8.0.0'!AE60,'8.0.0'!$AM$4:$AO$45,2,FALSE))*IF('8.0.0'!BH$4="是",'8.0.0'!$AY$4,'8.0.0'!$AY$3)</f>
        <v>0</v>
      </c>
      <c r="X60" s="5">
        <f>(VLOOKUP('8.0.0'!AF60,'8.0.0'!$AM$4:$AO$45,2,FALSE))*IF('8.0.0'!BI$4="是",'8.0.0'!$AY$4,'8.0.0'!$AY$3)</f>
        <v>0</v>
      </c>
    </row>
    <row r="61" spans="1:24">
      <c r="A61" s="4">
        <f>(VLOOKUP('8.0.0'!I61,'8.0.0'!$AM$4:$AO$45,2,FALSE))*IF('8.0.0'!AK$4="是",'8.0.0'!$AY$4,'8.0.0'!$AY$3)</f>
        <v>200</v>
      </c>
      <c r="B61" s="4">
        <f>(VLOOKUP('8.0.0'!J61,'8.0.0'!$AM$4:$AO$45,2,FALSE))*IF('8.0.0'!AL$4="是",'8.0.0'!$AY$4,'8.0.0'!$AY$3)</f>
        <v>200</v>
      </c>
      <c r="C61" s="4">
        <f>(VLOOKUP('8.0.0'!K61,'8.0.0'!$AM$4:$AO$45,2,FALSE))*IF('8.0.0'!AM$4="是",'8.0.0'!$AY$4,'8.0.0'!$AY$3)</f>
        <v>200</v>
      </c>
      <c r="D61" s="4">
        <f>(VLOOKUP('8.0.0'!L61,'8.0.0'!$AM$4:$AO$45,2,FALSE))*IF('8.0.0'!AN$4="是",'8.0.0'!$AY$4,'8.0.0'!$AY$3)</f>
        <v>200</v>
      </c>
      <c r="E61" s="4">
        <f>(VLOOKUP('8.0.0'!M61,'8.0.0'!$AM$4:$AO$45,2,FALSE))*IF('8.0.0'!AO$4="是",'8.0.0'!$AY$4,'8.0.0'!$AY$3)</f>
        <v>200</v>
      </c>
      <c r="F61" s="4">
        <f>(VLOOKUP('8.0.0'!N61,'8.0.0'!$AM$4:$AO$45,2,FALSE))*IF('8.0.0'!AQ$4="是",'8.0.0'!$AY$4,'8.0.0'!$AY$3)</f>
        <v>200</v>
      </c>
      <c r="G61" s="5">
        <f>(VLOOKUP('8.0.0'!O61,'8.0.0'!$AM$4:$AO$45,2,FALSE))*IF('8.0.0'!AR$4="是",'8.0.0'!$AY$4,'8.0.0'!$AY$3)</f>
        <v>0</v>
      </c>
      <c r="H61" s="5">
        <f>(VLOOKUP('8.0.0'!P61,'8.0.0'!$AM$4:$AO$45,2,FALSE))*IF('8.0.0'!AS$4="是",'8.0.0'!$AY$4,'8.0.0'!$AY$3)</f>
        <v>0</v>
      </c>
      <c r="I61" s="4">
        <f>(VLOOKUP('8.0.0'!Q61,'8.0.0'!$AM$4:$AO$45,2,FALSE))*IF('8.0.0'!AT$4="是",'8.0.0'!$AY$4,'8.0.0'!$AY$3)</f>
        <v>0</v>
      </c>
      <c r="J61" s="4">
        <f>(VLOOKUP('8.0.0'!R61,'8.0.0'!$AM$4:$AO$45,2,FALSE))*IF('8.0.0'!AU$4="是",'8.0.0'!$AY$4,'8.0.0'!$AY$3)</f>
        <v>0</v>
      </c>
      <c r="K61" s="4">
        <f>(VLOOKUP('8.0.0'!S61,'8.0.0'!$AM$4:$AO$45,2,FALSE))*IF('8.0.0'!AV$4="是",'8.0.0'!$AY$4,'8.0.0'!$AY$3)</f>
        <v>0</v>
      </c>
      <c r="L61" s="4">
        <f>(VLOOKUP('8.0.0'!T61,'8.0.0'!$AM$4:$AO$45,2,FALSE))*IF('8.0.0'!AW$4="是",'8.0.0'!$AY$4,'8.0.0'!$AY$3)</f>
        <v>0</v>
      </c>
      <c r="M61" s="4">
        <f>(VLOOKUP('8.0.0'!U61,'8.0.0'!$AM$4:$AO$45,2,FALSE))*IF('8.0.0'!AX$4="是",'8.0.0'!$AY$4,'8.0.0'!$AY$3)</f>
        <v>0</v>
      </c>
      <c r="N61" s="4">
        <f>(VLOOKUP('8.0.0'!V61,'8.0.0'!$AM$4:$AO$45,2,FALSE))*IF('8.0.0'!AY$4="是",'8.0.0'!$AY$4,'8.0.0'!$AY$3)</f>
        <v>0</v>
      </c>
      <c r="O61" s="5">
        <f>(VLOOKUP('8.0.0'!W61,'8.0.0'!$AM$4:$AO$45,2,FALSE))*IF('8.0.0'!AZ$4="是",'8.0.0'!$AY$4,'8.0.0'!$AY$3)</f>
        <v>0</v>
      </c>
      <c r="P61" s="5">
        <f>(VLOOKUP('8.0.0'!X61,'8.0.0'!$AM$4:$AO$45,2,FALSE))*IF('8.0.0'!BA$4="是",'8.0.0'!$AY$4,'8.0.0'!$AY$3)</f>
        <v>0</v>
      </c>
      <c r="Q61" s="4">
        <f>(VLOOKUP('8.0.0'!Y61,'8.0.0'!$AM$4:$AO$45,2,FALSE))*IF('8.0.0'!BB$4="是",'8.0.0'!$AY$4,'8.0.0'!$AY$3)</f>
        <v>190</v>
      </c>
      <c r="R61" s="4">
        <f>(VLOOKUP('8.0.0'!Z61,'8.0.0'!$AM$4:$AO$45,2,FALSE))*IF('8.0.0'!BC$4="是",'8.0.0'!$AY$4,'8.0.0'!$AY$3)</f>
        <v>190</v>
      </c>
      <c r="S61" s="4">
        <f>(VLOOKUP('8.0.0'!AA61,'8.0.0'!$AM$4:$AO$45,2,FALSE))*IF('8.0.0'!BD$4="是",'8.0.0'!$AY$4,'8.0.0'!$AY$3)</f>
        <v>190</v>
      </c>
      <c r="T61" s="4">
        <f>(VLOOKUP('8.0.0'!AB61,'8.0.0'!$AM$4:$AO$45,2,FALSE))*IF('8.0.0'!BE$4="是",'8.0.0'!$AY$4,'8.0.0'!$AY$3)</f>
        <v>190</v>
      </c>
      <c r="U61" s="4">
        <f>(VLOOKUP('8.0.0'!AC61,'8.0.0'!$AM$4:$AO$45,2,FALSE))*IF('8.0.0'!BF$4="是",'8.0.0'!$AY$4,'8.0.0'!$AY$3)</f>
        <v>0</v>
      </c>
      <c r="V61" s="4">
        <f>(VLOOKUP('8.0.0'!AD61,'8.0.0'!$AM$4:$AO$45,2,FALSE))*IF('8.0.0'!BG$4="是",'8.0.0'!$AY$4,'8.0.0'!$AY$3)</f>
        <v>0</v>
      </c>
      <c r="W61" s="5">
        <f>(VLOOKUP('8.0.0'!AE61,'8.0.0'!$AM$4:$AO$45,2,FALSE))*IF('8.0.0'!BH$4="是",'8.0.0'!$AY$4,'8.0.0'!$AY$3)</f>
        <v>0</v>
      </c>
      <c r="X61" s="5">
        <f>(VLOOKUP('8.0.0'!AF61,'8.0.0'!$AM$4:$AO$45,2,FALSE))*IF('8.0.0'!BI$4="是",'8.0.0'!$AY$4,'8.0.0'!$AY$3)</f>
        <v>0</v>
      </c>
    </row>
    <row r="62" spans="1:24">
      <c r="A62" s="4">
        <f>(VLOOKUP('8.0.0'!I62,'8.0.0'!$AM$4:$AO$45,2,FALSE))*IF('8.0.0'!AK$4="是",'8.0.0'!$AY$4,'8.0.0'!$AY$3)</f>
        <v>200</v>
      </c>
      <c r="B62" s="4">
        <f>(VLOOKUP('8.0.0'!J62,'8.0.0'!$AM$4:$AO$45,2,FALSE))*IF('8.0.0'!AL$4="是",'8.0.0'!$AY$4,'8.0.0'!$AY$3)</f>
        <v>200</v>
      </c>
      <c r="C62" s="4">
        <f>(VLOOKUP('8.0.0'!K62,'8.0.0'!$AM$4:$AO$45,2,FALSE))*IF('8.0.0'!AM$4="是",'8.0.0'!$AY$4,'8.0.0'!$AY$3)</f>
        <v>200</v>
      </c>
      <c r="D62" s="4">
        <f>(VLOOKUP('8.0.0'!L62,'8.0.0'!$AM$4:$AO$45,2,FALSE))*IF('8.0.0'!AN$4="是",'8.0.0'!$AY$4,'8.0.0'!$AY$3)</f>
        <v>200</v>
      </c>
      <c r="E62" s="4">
        <f>(VLOOKUP('8.0.0'!M62,'8.0.0'!$AM$4:$AO$45,2,FALSE))*IF('8.0.0'!AO$4="是",'8.0.0'!$AY$4,'8.0.0'!$AY$3)</f>
        <v>200</v>
      </c>
      <c r="F62" s="4">
        <f>(VLOOKUP('8.0.0'!N62,'8.0.0'!$AM$4:$AO$45,2,FALSE))*IF('8.0.0'!AQ$4="是",'8.0.0'!$AY$4,'8.0.0'!$AY$3)</f>
        <v>200</v>
      </c>
      <c r="G62" s="5">
        <f>(VLOOKUP('8.0.0'!O62,'8.0.0'!$AM$4:$AO$45,2,FALSE))*IF('8.0.0'!AR$4="是",'8.0.0'!$AY$4,'8.0.0'!$AY$3)</f>
        <v>0</v>
      </c>
      <c r="H62" s="5">
        <f>(VLOOKUP('8.0.0'!P62,'8.0.0'!$AM$4:$AO$45,2,FALSE))*IF('8.0.0'!AS$4="是",'8.0.0'!$AY$4,'8.0.0'!$AY$3)</f>
        <v>0</v>
      </c>
      <c r="I62" s="4">
        <f>(VLOOKUP('8.0.0'!Q62,'8.0.0'!$AM$4:$AO$45,2,FALSE))*IF('8.0.0'!AT$4="是",'8.0.0'!$AY$4,'8.0.0'!$AY$3)</f>
        <v>0</v>
      </c>
      <c r="J62" s="4">
        <f>(VLOOKUP('8.0.0'!R62,'8.0.0'!$AM$4:$AO$45,2,FALSE))*IF('8.0.0'!AU$4="是",'8.0.0'!$AY$4,'8.0.0'!$AY$3)</f>
        <v>0</v>
      </c>
      <c r="K62" s="4">
        <f>(VLOOKUP('8.0.0'!S62,'8.0.0'!$AM$4:$AO$45,2,FALSE))*IF('8.0.0'!AV$4="是",'8.0.0'!$AY$4,'8.0.0'!$AY$3)</f>
        <v>0</v>
      </c>
      <c r="L62" s="4">
        <f>(VLOOKUP('8.0.0'!T62,'8.0.0'!$AM$4:$AO$45,2,FALSE))*IF('8.0.0'!AW$4="是",'8.0.0'!$AY$4,'8.0.0'!$AY$3)</f>
        <v>0</v>
      </c>
      <c r="M62" s="4">
        <f>(VLOOKUP('8.0.0'!U62,'8.0.0'!$AM$4:$AO$45,2,FALSE))*IF('8.0.0'!AX$4="是",'8.0.0'!$AY$4,'8.0.0'!$AY$3)</f>
        <v>0</v>
      </c>
      <c r="N62" s="4">
        <f>(VLOOKUP('8.0.0'!V62,'8.0.0'!$AM$4:$AO$45,2,FALSE))*IF('8.0.0'!AY$4="是",'8.0.0'!$AY$4,'8.0.0'!$AY$3)</f>
        <v>0</v>
      </c>
      <c r="O62" s="5">
        <f>(VLOOKUP('8.0.0'!W62,'8.0.0'!$AM$4:$AO$45,2,FALSE))*IF('8.0.0'!AZ$4="是",'8.0.0'!$AY$4,'8.0.0'!$AY$3)</f>
        <v>0</v>
      </c>
      <c r="P62" s="5">
        <f>(VLOOKUP('8.0.0'!X62,'8.0.0'!$AM$4:$AO$45,2,FALSE))*IF('8.0.0'!BA$4="是",'8.0.0'!$AY$4,'8.0.0'!$AY$3)</f>
        <v>0</v>
      </c>
      <c r="Q62" s="4">
        <f>(VLOOKUP('8.0.0'!Y62,'8.0.0'!$AM$4:$AO$45,2,FALSE))*IF('8.0.0'!BB$4="是",'8.0.0'!$AY$4,'8.0.0'!$AY$3)</f>
        <v>190</v>
      </c>
      <c r="R62" s="4">
        <f>(VLOOKUP('8.0.0'!Z62,'8.0.0'!$AM$4:$AO$45,2,FALSE))*IF('8.0.0'!BC$4="是",'8.0.0'!$AY$4,'8.0.0'!$AY$3)</f>
        <v>190</v>
      </c>
      <c r="S62" s="4">
        <f>(VLOOKUP('8.0.0'!AA62,'8.0.0'!$AM$4:$AO$45,2,FALSE))*IF('8.0.0'!BD$4="是",'8.0.0'!$AY$4,'8.0.0'!$AY$3)</f>
        <v>190</v>
      </c>
      <c r="T62" s="4">
        <f>(VLOOKUP('8.0.0'!AB62,'8.0.0'!$AM$4:$AO$45,2,FALSE))*IF('8.0.0'!BE$4="是",'8.0.0'!$AY$4,'8.0.0'!$AY$3)</f>
        <v>190</v>
      </c>
      <c r="U62" s="4">
        <f>(VLOOKUP('8.0.0'!AC62,'8.0.0'!$AM$4:$AO$45,2,FALSE))*IF('8.0.0'!BF$4="是",'8.0.0'!$AY$4,'8.0.0'!$AY$3)</f>
        <v>0</v>
      </c>
      <c r="V62" s="4">
        <f>(VLOOKUP('8.0.0'!AD62,'8.0.0'!$AM$4:$AO$45,2,FALSE))*IF('8.0.0'!BG$4="是",'8.0.0'!$AY$4,'8.0.0'!$AY$3)</f>
        <v>0</v>
      </c>
      <c r="W62" s="5">
        <f>(VLOOKUP('8.0.0'!AE62,'8.0.0'!$AM$4:$AO$45,2,FALSE))*IF('8.0.0'!BH$4="是",'8.0.0'!$AY$4,'8.0.0'!$AY$3)</f>
        <v>0</v>
      </c>
      <c r="X62" s="5">
        <f>(VLOOKUP('8.0.0'!AF62,'8.0.0'!$AM$4:$AO$45,2,FALSE))*IF('8.0.0'!BI$4="是",'8.0.0'!$AY$4,'8.0.0'!$AY$3)</f>
        <v>0</v>
      </c>
    </row>
    <row r="63" spans="1:24">
      <c r="A63" s="4">
        <f>(VLOOKUP('8.0.0'!I63,'8.0.0'!$AM$4:$AO$45,2,FALSE))*IF('8.0.0'!AK$4="是",'8.0.0'!$AY$4,'8.0.0'!$AY$3)</f>
        <v>200</v>
      </c>
      <c r="B63" s="4">
        <f>(VLOOKUP('8.0.0'!J63,'8.0.0'!$AM$4:$AO$45,2,FALSE))*IF('8.0.0'!AL$4="是",'8.0.0'!$AY$4,'8.0.0'!$AY$3)</f>
        <v>200</v>
      </c>
      <c r="C63" s="4">
        <f>(VLOOKUP('8.0.0'!K63,'8.0.0'!$AM$4:$AO$45,2,FALSE))*IF('8.0.0'!AM$4="是",'8.0.0'!$AY$4,'8.0.0'!$AY$3)</f>
        <v>200</v>
      </c>
      <c r="D63" s="4">
        <f>(VLOOKUP('8.0.0'!L63,'8.0.0'!$AM$4:$AO$45,2,FALSE))*IF('8.0.0'!AN$4="是",'8.0.0'!$AY$4,'8.0.0'!$AY$3)</f>
        <v>200</v>
      </c>
      <c r="E63" s="4">
        <f>(VLOOKUP('8.0.0'!M63,'8.0.0'!$AM$4:$AO$45,2,FALSE))*IF('8.0.0'!AO$4="是",'8.0.0'!$AY$4,'8.0.0'!$AY$3)</f>
        <v>200</v>
      </c>
      <c r="F63" s="4">
        <f>(VLOOKUP('8.0.0'!N63,'8.0.0'!$AM$4:$AO$45,2,FALSE))*IF('8.0.0'!AQ$4="是",'8.0.0'!$AY$4,'8.0.0'!$AY$3)</f>
        <v>200</v>
      </c>
      <c r="G63" s="5">
        <f>(VLOOKUP('8.0.0'!O63,'8.0.0'!$AM$4:$AO$45,2,FALSE))*IF('8.0.0'!AR$4="是",'8.0.0'!$AY$4,'8.0.0'!$AY$3)</f>
        <v>0</v>
      </c>
      <c r="H63" s="5">
        <f>(VLOOKUP('8.0.0'!P63,'8.0.0'!$AM$4:$AO$45,2,FALSE))*IF('8.0.0'!AS$4="是",'8.0.0'!$AY$4,'8.0.0'!$AY$3)</f>
        <v>0</v>
      </c>
      <c r="I63" s="4">
        <f>(VLOOKUP('8.0.0'!Q63,'8.0.0'!$AM$4:$AO$45,2,FALSE))*IF('8.0.0'!AT$4="是",'8.0.0'!$AY$4,'8.0.0'!$AY$3)</f>
        <v>0</v>
      </c>
      <c r="J63" s="4">
        <f>(VLOOKUP('8.0.0'!R63,'8.0.0'!$AM$4:$AO$45,2,FALSE))*IF('8.0.0'!AU$4="是",'8.0.0'!$AY$4,'8.0.0'!$AY$3)</f>
        <v>0</v>
      </c>
      <c r="K63" s="4">
        <f>(VLOOKUP('8.0.0'!S63,'8.0.0'!$AM$4:$AO$45,2,FALSE))*IF('8.0.0'!AV$4="是",'8.0.0'!$AY$4,'8.0.0'!$AY$3)</f>
        <v>0</v>
      </c>
      <c r="L63" s="4">
        <f>(VLOOKUP('8.0.0'!T63,'8.0.0'!$AM$4:$AO$45,2,FALSE))*IF('8.0.0'!AW$4="是",'8.0.0'!$AY$4,'8.0.0'!$AY$3)</f>
        <v>0</v>
      </c>
      <c r="M63" s="4">
        <f>(VLOOKUP('8.0.0'!U63,'8.0.0'!$AM$4:$AO$45,2,FALSE))*IF('8.0.0'!AX$4="是",'8.0.0'!$AY$4,'8.0.0'!$AY$3)</f>
        <v>0</v>
      </c>
      <c r="N63" s="4">
        <f>(VLOOKUP('8.0.0'!V63,'8.0.0'!$AM$4:$AO$45,2,FALSE))*IF('8.0.0'!AY$4="是",'8.0.0'!$AY$4,'8.0.0'!$AY$3)</f>
        <v>0</v>
      </c>
      <c r="O63" s="5">
        <f>(VLOOKUP('8.0.0'!W63,'8.0.0'!$AM$4:$AO$45,2,FALSE))*IF('8.0.0'!AZ$4="是",'8.0.0'!$AY$4,'8.0.0'!$AY$3)</f>
        <v>0</v>
      </c>
      <c r="P63" s="5">
        <f>(VLOOKUP('8.0.0'!X63,'8.0.0'!$AM$4:$AO$45,2,FALSE))*IF('8.0.0'!BA$4="是",'8.0.0'!$AY$4,'8.0.0'!$AY$3)</f>
        <v>0</v>
      </c>
      <c r="Q63" s="4">
        <f>(VLOOKUP('8.0.0'!Y63,'8.0.0'!$AM$4:$AO$45,2,FALSE))*IF('8.0.0'!BB$4="是",'8.0.0'!$AY$4,'8.0.0'!$AY$3)</f>
        <v>190</v>
      </c>
      <c r="R63" s="4">
        <f>(VLOOKUP('8.0.0'!Z63,'8.0.0'!$AM$4:$AO$45,2,FALSE))*IF('8.0.0'!BC$4="是",'8.0.0'!$AY$4,'8.0.0'!$AY$3)</f>
        <v>190</v>
      </c>
      <c r="S63" s="4">
        <f>(VLOOKUP('8.0.0'!AA63,'8.0.0'!$AM$4:$AO$45,2,FALSE))*IF('8.0.0'!BD$4="是",'8.0.0'!$AY$4,'8.0.0'!$AY$3)</f>
        <v>190</v>
      </c>
      <c r="T63" s="4">
        <f>(VLOOKUP('8.0.0'!AB63,'8.0.0'!$AM$4:$AO$45,2,FALSE))*IF('8.0.0'!BE$4="是",'8.0.0'!$AY$4,'8.0.0'!$AY$3)</f>
        <v>190</v>
      </c>
      <c r="U63" s="4">
        <f>(VLOOKUP('8.0.0'!AC63,'8.0.0'!$AM$4:$AO$45,2,FALSE))*IF('8.0.0'!BF$4="是",'8.0.0'!$AY$4,'8.0.0'!$AY$3)</f>
        <v>0</v>
      </c>
      <c r="V63" s="4">
        <f>(VLOOKUP('8.0.0'!AD63,'8.0.0'!$AM$4:$AO$45,2,FALSE))*IF('8.0.0'!BG$4="是",'8.0.0'!$AY$4,'8.0.0'!$AY$3)</f>
        <v>0</v>
      </c>
      <c r="W63" s="5">
        <f>(VLOOKUP('8.0.0'!AE63,'8.0.0'!$AM$4:$AO$45,2,FALSE))*IF('8.0.0'!BH$4="是",'8.0.0'!$AY$4,'8.0.0'!$AY$3)</f>
        <v>0</v>
      </c>
      <c r="X63" s="5">
        <f>(VLOOKUP('8.0.0'!AF63,'8.0.0'!$AM$4:$AO$45,2,FALSE))*IF('8.0.0'!BI$4="是",'8.0.0'!$AY$4,'8.0.0'!$AY$3)</f>
        <v>0</v>
      </c>
    </row>
    <row r="64" spans="1:24">
      <c r="A64" s="4">
        <f>(VLOOKUP('8.0.0'!I64,'8.0.0'!$AM$4:$AO$45,2,FALSE))*IF('8.0.0'!AK$4="是",'8.0.0'!$AY$4,'8.0.0'!$AY$3)</f>
        <v>200</v>
      </c>
      <c r="B64" s="4">
        <f>(VLOOKUP('8.0.0'!J64,'8.0.0'!$AM$4:$AO$45,2,FALSE))*IF('8.0.0'!AL$4="是",'8.0.0'!$AY$4,'8.0.0'!$AY$3)</f>
        <v>200</v>
      </c>
      <c r="C64" s="4">
        <f>(VLOOKUP('8.0.0'!K64,'8.0.0'!$AM$4:$AO$45,2,FALSE))*IF('8.0.0'!AM$4="是",'8.0.0'!$AY$4,'8.0.0'!$AY$3)</f>
        <v>200</v>
      </c>
      <c r="D64" s="4">
        <f>(VLOOKUP('8.0.0'!L64,'8.0.0'!$AM$4:$AO$45,2,FALSE))*IF('8.0.0'!AN$4="是",'8.0.0'!$AY$4,'8.0.0'!$AY$3)</f>
        <v>200</v>
      </c>
      <c r="E64" s="4">
        <f>(VLOOKUP('8.0.0'!M64,'8.0.0'!$AM$4:$AO$45,2,FALSE))*IF('8.0.0'!AO$4="是",'8.0.0'!$AY$4,'8.0.0'!$AY$3)</f>
        <v>200</v>
      </c>
      <c r="F64" s="4">
        <f>(VLOOKUP('8.0.0'!N64,'8.0.0'!$AM$4:$AO$45,2,FALSE))*IF('8.0.0'!AQ$4="是",'8.0.0'!$AY$4,'8.0.0'!$AY$3)</f>
        <v>200</v>
      </c>
      <c r="G64" s="5">
        <f>(VLOOKUP('8.0.0'!O64,'8.0.0'!$AM$4:$AO$45,2,FALSE))*IF('8.0.0'!AR$4="是",'8.0.0'!$AY$4,'8.0.0'!$AY$3)</f>
        <v>0</v>
      </c>
      <c r="H64" s="5">
        <f>(VLOOKUP('8.0.0'!P64,'8.0.0'!$AM$4:$AO$45,2,FALSE))*IF('8.0.0'!AS$4="是",'8.0.0'!$AY$4,'8.0.0'!$AY$3)</f>
        <v>0</v>
      </c>
      <c r="I64" s="4">
        <f>(VLOOKUP('8.0.0'!Q64,'8.0.0'!$AM$4:$AO$45,2,FALSE))*IF('8.0.0'!AT$4="是",'8.0.0'!$AY$4,'8.0.0'!$AY$3)</f>
        <v>0</v>
      </c>
      <c r="J64" s="4">
        <f>(VLOOKUP('8.0.0'!R64,'8.0.0'!$AM$4:$AO$45,2,FALSE))*IF('8.0.0'!AU$4="是",'8.0.0'!$AY$4,'8.0.0'!$AY$3)</f>
        <v>0</v>
      </c>
      <c r="K64" s="4">
        <f>(VLOOKUP('8.0.0'!S64,'8.0.0'!$AM$4:$AO$45,2,FALSE))*IF('8.0.0'!AV$4="是",'8.0.0'!$AY$4,'8.0.0'!$AY$3)</f>
        <v>0</v>
      </c>
      <c r="L64" s="4">
        <f>(VLOOKUP('8.0.0'!T64,'8.0.0'!$AM$4:$AO$45,2,FALSE))*IF('8.0.0'!AW$4="是",'8.0.0'!$AY$4,'8.0.0'!$AY$3)</f>
        <v>0</v>
      </c>
      <c r="M64" s="4">
        <f>(VLOOKUP('8.0.0'!U64,'8.0.0'!$AM$4:$AO$45,2,FALSE))*IF('8.0.0'!AX$4="是",'8.0.0'!$AY$4,'8.0.0'!$AY$3)</f>
        <v>0</v>
      </c>
      <c r="N64" s="4">
        <f>(VLOOKUP('8.0.0'!V64,'8.0.0'!$AM$4:$AO$45,2,FALSE))*IF('8.0.0'!AY$4="是",'8.0.0'!$AY$4,'8.0.0'!$AY$3)</f>
        <v>0</v>
      </c>
      <c r="O64" s="5">
        <f>(VLOOKUP('8.0.0'!W64,'8.0.0'!$AM$4:$AO$45,2,FALSE))*IF('8.0.0'!AZ$4="是",'8.0.0'!$AY$4,'8.0.0'!$AY$3)</f>
        <v>0</v>
      </c>
      <c r="P64" s="5">
        <f>(VLOOKUP('8.0.0'!X64,'8.0.0'!$AM$4:$AO$45,2,FALSE))*IF('8.0.0'!BA$4="是",'8.0.0'!$AY$4,'8.0.0'!$AY$3)</f>
        <v>0</v>
      </c>
      <c r="Q64" s="4">
        <f>(VLOOKUP('8.0.0'!Y64,'8.0.0'!$AM$4:$AO$45,2,FALSE))*IF('8.0.0'!BB$4="是",'8.0.0'!$AY$4,'8.0.0'!$AY$3)</f>
        <v>190</v>
      </c>
      <c r="R64" s="4">
        <f>(VLOOKUP('8.0.0'!Z64,'8.0.0'!$AM$4:$AO$45,2,FALSE))*IF('8.0.0'!BC$4="是",'8.0.0'!$AY$4,'8.0.0'!$AY$3)</f>
        <v>190</v>
      </c>
      <c r="S64" s="4">
        <f>(VLOOKUP('8.0.0'!AA64,'8.0.0'!$AM$4:$AO$45,2,FALSE))*IF('8.0.0'!BD$4="是",'8.0.0'!$AY$4,'8.0.0'!$AY$3)</f>
        <v>50</v>
      </c>
      <c r="T64" s="4">
        <f>(VLOOKUP('8.0.0'!AB64,'8.0.0'!$AM$4:$AO$45,2,FALSE))*IF('8.0.0'!BE$4="是",'8.0.0'!$AY$4,'8.0.0'!$AY$3)</f>
        <v>190</v>
      </c>
      <c r="U64" s="4">
        <f>(VLOOKUP('8.0.0'!AC64,'8.0.0'!$AM$4:$AO$45,2,FALSE))*IF('8.0.0'!BF$4="是",'8.0.0'!$AY$4,'8.0.0'!$AY$3)</f>
        <v>190</v>
      </c>
      <c r="V64" s="4">
        <f>(VLOOKUP('8.0.0'!AD64,'8.0.0'!$AM$4:$AO$45,2,FALSE))*IF('8.0.0'!BG$4="是",'8.0.0'!$AY$4,'8.0.0'!$AY$3)</f>
        <v>0</v>
      </c>
      <c r="W64" s="5">
        <f>(VLOOKUP('8.0.0'!AE64,'8.0.0'!$AM$4:$AO$45,2,FALSE))*IF('8.0.0'!BH$4="是",'8.0.0'!$AY$4,'8.0.0'!$AY$3)</f>
        <v>0</v>
      </c>
      <c r="X64" s="5">
        <f>(VLOOKUP('8.0.0'!AF64,'8.0.0'!$AM$4:$AO$45,2,FALSE))*IF('8.0.0'!BI$4="是",'8.0.0'!$AY$4,'8.0.0'!$AY$3)</f>
        <v>0</v>
      </c>
    </row>
    <row r="65" spans="1:24">
      <c r="A65" s="4">
        <f>(VLOOKUP('8.0.0'!I65,'8.0.0'!$AM$4:$AO$45,2,FALSE))*IF('8.0.0'!AK$4="是",'8.0.0'!$AY$4,'8.0.0'!$AY$3)</f>
        <v>200</v>
      </c>
      <c r="B65" s="4">
        <f>(VLOOKUP('8.0.0'!J65,'8.0.0'!$AM$4:$AO$45,2,FALSE))*IF('8.0.0'!AL$4="是",'8.0.0'!$AY$4,'8.0.0'!$AY$3)</f>
        <v>200</v>
      </c>
      <c r="C65" s="4">
        <f>(VLOOKUP('8.0.0'!K65,'8.0.0'!$AM$4:$AO$45,2,FALSE))*IF('8.0.0'!AM$4="是",'8.0.0'!$AY$4,'8.0.0'!$AY$3)</f>
        <v>200</v>
      </c>
      <c r="D65" s="4">
        <f>(VLOOKUP('8.0.0'!L65,'8.0.0'!$AM$4:$AO$45,2,FALSE))*IF('8.0.0'!AN$4="是",'8.0.0'!$AY$4,'8.0.0'!$AY$3)</f>
        <v>200</v>
      </c>
      <c r="E65" s="4">
        <f>(VLOOKUP('8.0.0'!M65,'8.0.0'!$AM$4:$AO$45,2,FALSE))*IF('8.0.0'!AO$4="是",'8.0.0'!$AY$4,'8.0.0'!$AY$3)</f>
        <v>200</v>
      </c>
      <c r="F65" s="4">
        <f>(VLOOKUP('8.0.0'!N65,'8.0.0'!$AM$4:$AO$45,2,FALSE))*IF('8.0.0'!AQ$4="是",'8.0.0'!$AY$4,'8.0.0'!$AY$3)</f>
        <v>200</v>
      </c>
      <c r="G65" s="5">
        <f>(VLOOKUP('8.0.0'!O65,'8.0.0'!$AM$4:$AO$45,2,FALSE))*IF('8.0.0'!AR$4="是",'8.0.0'!$AY$4,'8.0.0'!$AY$3)</f>
        <v>0</v>
      </c>
      <c r="H65" s="5">
        <f>(VLOOKUP('8.0.0'!P65,'8.0.0'!$AM$4:$AO$45,2,FALSE))*IF('8.0.0'!AS$4="是",'8.0.0'!$AY$4,'8.0.0'!$AY$3)</f>
        <v>0</v>
      </c>
      <c r="I65" s="4">
        <f>(VLOOKUP('8.0.0'!Q65,'8.0.0'!$AM$4:$AO$45,2,FALSE))*IF('8.0.0'!AT$4="是",'8.0.0'!$AY$4,'8.0.0'!$AY$3)</f>
        <v>0</v>
      </c>
      <c r="J65" s="4">
        <f>(VLOOKUP('8.0.0'!R65,'8.0.0'!$AM$4:$AO$45,2,FALSE))*IF('8.0.0'!AU$4="是",'8.0.0'!$AY$4,'8.0.0'!$AY$3)</f>
        <v>0</v>
      </c>
      <c r="K65" s="4">
        <f>(VLOOKUP('8.0.0'!S65,'8.0.0'!$AM$4:$AO$45,2,FALSE))*IF('8.0.0'!AV$4="是",'8.0.0'!$AY$4,'8.0.0'!$AY$3)</f>
        <v>0</v>
      </c>
      <c r="L65" s="4">
        <f>(VLOOKUP('8.0.0'!T65,'8.0.0'!$AM$4:$AO$45,2,FALSE))*IF('8.0.0'!AW$4="是",'8.0.0'!$AY$4,'8.0.0'!$AY$3)</f>
        <v>0</v>
      </c>
      <c r="M65" s="4">
        <f>(VLOOKUP('8.0.0'!U65,'8.0.0'!$AM$4:$AO$45,2,FALSE))*IF('8.0.0'!AX$4="是",'8.0.0'!$AY$4,'8.0.0'!$AY$3)</f>
        <v>0</v>
      </c>
      <c r="N65" s="4">
        <f>(VLOOKUP('8.0.0'!V65,'8.0.0'!$AM$4:$AO$45,2,FALSE))*IF('8.0.0'!AY$4="是",'8.0.0'!$AY$4,'8.0.0'!$AY$3)</f>
        <v>0</v>
      </c>
      <c r="O65" s="5">
        <f>(VLOOKUP('8.0.0'!W65,'8.0.0'!$AM$4:$AO$45,2,FALSE))*IF('8.0.0'!AZ$4="是",'8.0.0'!$AY$4,'8.0.0'!$AY$3)</f>
        <v>0</v>
      </c>
      <c r="P65" s="5">
        <f>(VLOOKUP('8.0.0'!X65,'8.0.0'!$AM$4:$AO$45,2,FALSE))*IF('8.0.0'!BA$4="是",'8.0.0'!$AY$4,'8.0.0'!$AY$3)</f>
        <v>0</v>
      </c>
      <c r="Q65" s="4">
        <f>(VLOOKUP('8.0.0'!Y65,'8.0.0'!$AM$4:$AO$45,2,FALSE))*IF('8.0.0'!BB$4="是",'8.0.0'!$AY$4,'8.0.0'!$AY$3)</f>
        <v>150</v>
      </c>
      <c r="R65" s="4">
        <f>(VLOOKUP('8.0.0'!Z65,'8.0.0'!$AM$4:$AO$45,2,FALSE))*IF('8.0.0'!BC$4="是",'8.0.0'!$AY$4,'8.0.0'!$AY$3)</f>
        <v>190</v>
      </c>
      <c r="S65" s="4">
        <f>(VLOOKUP('8.0.0'!AA65,'8.0.0'!$AM$4:$AO$45,2,FALSE))*IF('8.0.0'!BD$4="是",'8.0.0'!$AY$4,'8.0.0'!$AY$3)</f>
        <v>190</v>
      </c>
      <c r="T65" s="4">
        <f>(VLOOKUP('8.0.0'!AB65,'8.0.0'!$AM$4:$AO$45,2,FALSE))*IF('8.0.0'!BE$4="是",'8.0.0'!$AY$4,'8.0.0'!$AY$3)</f>
        <v>190</v>
      </c>
      <c r="U65" s="4">
        <f>(VLOOKUP('8.0.0'!AC65,'8.0.0'!$AM$4:$AO$45,2,FALSE))*IF('8.0.0'!BF$4="是",'8.0.0'!$AY$4,'8.0.0'!$AY$3)</f>
        <v>190</v>
      </c>
      <c r="V65" s="4">
        <f>(VLOOKUP('8.0.0'!AD65,'8.0.0'!$AM$4:$AO$45,2,FALSE))*IF('8.0.0'!BG$4="是",'8.0.0'!$AY$4,'8.0.0'!$AY$3)</f>
        <v>0</v>
      </c>
      <c r="W65" s="5">
        <f>(VLOOKUP('8.0.0'!AE65,'8.0.0'!$AM$4:$AO$45,2,FALSE))*IF('8.0.0'!BH$4="是",'8.0.0'!$AY$4,'8.0.0'!$AY$3)</f>
        <v>0</v>
      </c>
      <c r="X65" s="5">
        <f>(VLOOKUP('8.0.0'!AF65,'8.0.0'!$AM$4:$AO$45,2,FALSE))*IF('8.0.0'!BI$4="是",'8.0.0'!$AY$4,'8.0.0'!$AY$3)</f>
        <v>0</v>
      </c>
    </row>
    <row r="66" spans="1:24">
      <c r="A66" s="4">
        <f>(VLOOKUP('8.0.0'!I66,'8.0.0'!$AM$4:$AO$45,2,FALSE))*IF('8.0.0'!AK$4="是",'8.0.0'!$AY$4,'8.0.0'!$AY$3)</f>
        <v>200</v>
      </c>
      <c r="B66" s="4">
        <f>(VLOOKUP('8.0.0'!J66,'8.0.0'!$AM$4:$AO$45,2,FALSE))*IF('8.0.0'!AL$4="是",'8.0.0'!$AY$4,'8.0.0'!$AY$3)</f>
        <v>200</v>
      </c>
      <c r="C66" s="4">
        <f>(VLOOKUP('8.0.0'!K66,'8.0.0'!$AM$4:$AO$45,2,FALSE))*IF('8.0.0'!AM$4="是",'8.0.0'!$AY$4,'8.0.0'!$AY$3)</f>
        <v>200</v>
      </c>
      <c r="D66" s="4">
        <f>(VLOOKUP('8.0.0'!L66,'8.0.0'!$AM$4:$AO$45,2,FALSE))*IF('8.0.0'!AN$4="是",'8.0.0'!$AY$4,'8.0.0'!$AY$3)</f>
        <v>200</v>
      </c>
      <c r="E66" s="4">
        <f>(VLOOKUP('8.0.0'!M66,'8.0.0'!$AM$4:$AO$45,2,FALSE))*IF('8.0.0'!AO$4="是",'8.0.0'!$AY$4,'8.0.0'!$AY$3)</f>
        <v>200</v>
      </c>
      <c r="F66" s="4">
        <f>(VLOOKUP('8.0.0'!N66,'8.0.0'!$AM$4:$AO$45,2,FALSE))*IF('8.0.0'!AQ$4="是",'8.0.0'!$AY$4,'8.0.0'!$AY$3)</f>
        <v>200</v>
      </c>
      <c r="G66" s="5">
        <f>(VLOOKUP('8.0.0'!O66,'8.0.0'!$AM$4:$AO$45,2,FALSE))*IF('8.0.0'!AR$4="是",'8.0.0'!$AY$4,'8.0.0'!$AY$3)</f>
        <v>0</v>
      </c>
      <c r="H66" s="5">
        <f>(VLOOKUP('8.0.0'!P66,'8.0.0'!$AM$4:$AO$45,2,FALSE))*IF('8.0.0'!AS$4="是",'8.0.0'!$AY$4,'8.0.0'!$AY$3)</f>
        <v>0</v>
      </c>
      <c r="I66" s="4">
        <f>(VLOOKUP('8.0.0'!Q66,'8.0.0'!$AM$4:$AO$45,2,FALSE))*IF('8.0.0'!AT$4="是",'8.0.0'!$AY$4,'8.0.0'!$AY$3)</f>
        <v>0</v>
      </c>
      <c r="J66" s="4">
        <f>(VLOOKUP('8.0.0'!R66,'8.0.0'!$AM$4:$AO$45,2,FALSE))*IF('8.0.0'!AU$4="是",'8.0.0'!$AY$4,'8.0.0'!$AY$3)</f>
        <v>0</v>
      </c>
      <c r="K66" s="4">
        <f>(VLOOKUP('8.0.0'!S66,'8.0.0'!$AM$4:$AO$45,2,FALSE))*IF('8.0.0'!AV$4="是",'8.0.0'!$AY$4,'8.0.0'!$AY$3)</f>
        <v>0</v>
      </c>
      <c r="L66" s="4">
        <f>(VLOOKUP('8.0.0'!T66,'8.0.0'!$AM$4:$AO$45,2,FALSE))*IF('8.0.0'!AW$4="是",'8.0.0'!$AY$4,'8.0.0'!$AY$3)</f>
        <v>0</v>
      </c>
      <c r="M66" s="4">
        <f>(VLOOKUP('8.0.0'!U66,'8.0.0'!$AM$4:$AO$45,2,FALSE))*IF('8.0.0'!AX$4="是",'8.0.0'!$AY$4,'8.0.0'!$AY$3)</f>
        <v>0</v>
      </c>
      <c r="N66" s="4">
        <f>(VLOOKUP('8.0.0'!V66,'8.0.0'!$AM$4:$AO$45,2,FALSE))*IF('8.0.0'!AY$4="是",'8.0.0'!$AY$4,'8.0.0'!$AY$3)</f>
        <v>0</v>
      </c>
      <c r="O66" s="5">
        <f>(VLOOKUP('8.0.0'!W66,'8.0.0'!$AM$4:$AO$45,2,FALSE))*IF('8.0.0'!AZ$4="是",'8.0.0'!$AY$4,'8.0.0'!$AY$3)</f>
        <v>0</v>
      </c>
      <c r="P66" s="5">
        <f>(VLOOKUP('8.0.0'!X66,'8.0.0'!$AM$4:$AO$45,2,FALSE))*IF('8.0.0'!BA$4="是",'8.0.0'!$AY$4,'8.0.0'!$AY$3)</f>
        <v>0</v>
      </c>
      <c r="Q66" s="4">
        <f>(VLOOKUP('8.0.0'!Y66,'8.0.0'!$AM$4:$AO$45,2,FALSE))*IF('8.0.0'!BB$4="是",'8.0.0'!$AY$4,'8.0.0'!$AY$3)</f>
        <v>190</v>
      </c>
      <c r="R66" s="4">
        <f>(VLOOKUP('8.0.0'!Z66,'8.0.0'!$AM$4:$AO$45,2,FALSE))*IF('8.0.0'!BC$4="是",'8.0.0'!$AY$4,'8.0.0'!$AY$3)</f>
        <v>180</v>
      </c>
      <c r="S66" s="4">
        <f>(VLOOKUP('8.0.0'!AA66,'8.0.0'!$AM$4:$AO$45,2,FALSE))*IF('8.0.0'!BD$4="是",'8.0.0'!$AY$4,'8.0.0'!$AY$3)</f>
        <v>180</v>
      </c>
      <c r="T66" s="4">
        <f>(VLOOKUP('8.0.0'!AB66,'8.0.0'!$AM$4:$AO$45,2,FALSE))*IF('8.0.0'!BE$4="是",'8.0.0'!$AY$4,'8.0.0'!$AY$3)</f>
        <v>180</v>
      </c>
      <c r="U66" s="4">
        <f>(VLOOKUP('8.0.0'!AC66,'8.0.0'!$AM$4:$AO$45,2,FALSE))*IF('8.0.0'!BF$4="是",'8.0.0'!$AY$4,'8.0.0'!$AY$3)</f>
        <v>0</v>
      </c>
      <c r="V66" s="4">
        <f>(VLOOKUP('8.0.0'!AD66,'8.0.0'!$AM$4:$AO$45,2,FALSE))*IF('8.0.0'!BG$4="是",'8.0.0'!$AY$4,'8.0.0'!$AY$3)</f>
        <v>0</v>
      </c>
      <c r="W66" s="5">
        <f>(VLOOKUP('8.0.0'!AE66,'8.0.0'!$AM$4:$AO$45,2,FALSE))*IF('8.0.0'!BH$4="是",'8.0.0'!$AY$4,'8.0.0'!$AY$3)</f>
        <v>0</v>
      </c>
      <c r="X66" s="5">
        <f>(VLOOKUP('8.0.0'!AF66,'8.0.0'!$AM$4:$AO$45,2,FALSE))*IF('8.0.0'!BI$4="是",'8.0.0'!$AY$4,'8.0.0'!$AY$3)</f>
        <v>0</v>
      </c>
    </row>
    <row r="67" spans="1:24">
      <c r="A67" s="4">
        <f>(VLOOKUP('8.0.0'!I67,'8.0.0'!$AM$4:$AO$45,2,FALSE))*IF('8.0.0'!AK$4="是",'8.0.0'!$AY$4,'8.0.0'!$AY$3)</f>
        <v>200</v>
      </c>
      <c r="B67" s="4">
        <f>(VLOOKUP('8.0.0'!J67,'8.0.0'!$AM$4:$AO$45,2,FALSE))*IF('8.0.0'!AL$4="是",'8.0.0'!$AY$4,'8.0.0'!$AY$3)</f>
        <v>200</v>
      </c>
      <c r="C67" s="4">
        <f>(VLOOKUP('8.0.0'!K67,'8.0.0'!$AM$4:$AO$45,2,FALSE))*IF('8.0.0'!AM$4="是",'8.0.0'!$AY$4,'8.0.0'!$AY$3)</f>
        <v>200</v>
      </c>
      <c r="D67" s="4">
        <f>(VLOOKUP('8.0.0'!L67,'8.0.0'!$AM$4:$AO$45,2,FALSE))*IF('8.0.0'!AN$4="是",'8.0.0'!$AY$4,'8.0.0'!$AY$3)</f>
        <v>200</v>
      </c>
      <c r="E67" s="4">
        <f>(VLOOKUP('8.0.0'!M67,'8.0.0'!$AM$4:$AO$45,2,FALSE))*IF('8.0.0'!AO$4="是",'8.0.0'!$AY$4,'8.0.0'!$AY$3)</f>
        <v>200</v>
      </c>
      <c r="F67" s="4">
        <f>(VLOOKUP('8.0.0'!N67,'8.0.0'!$AM$4:$AO$45,2,FALSE))*IF('8.0.0'!AQ$4="是",'8.0.0'!$AY$4,'8.0.0'!$AY$3)</f>
        <v>200</v>
      </c>
      <c r="G67" s="5">
        <f>(VLOOKUP('8.0.0'!O67,'8.0.0'!$AM$4:$AO$45,2,FALSE))*IF('8.0.0'!AR$4="是",'8.0.0'!$AY$4,'8.0.0'!$AY$3)</f>
        <v>0</v>
      </c>
      <c r="H67" s="5">
        <f>(VLOOKUP('8.0.0'!P67,'8.0.0'!$AM$4:$AO$45,2,FALSE))*IF('8.0.0'!AS$4="是",'8.0.0'!$AY$4,'8.0.0'!$AY$3)</f>
        <v>0</v>
      </c>
      <c r="I67" s="4">
        <f>(VLOOKUP('8.0.0'!Q67,'8.0.0'!$AM$4:$AO$45,2,FALSE))*IF('8.0.0'!AT$4="是",'8.0.0'!$AY$4,'8.0.0'!$AY$3)</f>
        <v>0</v>
      </c>
      <c r="J67" s="4">
        <f>(VLOOKUP('8.0.0'!R67,'8.0.0'!$AM$4:$AO$45,2,FALSE))*IF('8.0.0'!AU$4="是",'8.0.0'!$AY$4,'8.0.0'!$AY$3)</f>
        <v>0</v>
      </c>
      <c r="K67" s="4">
        <f>(VLOOKUP('8.0.0'!S67,'8.0.0'!$AM$4:$AO$45,2,FALSE))*IF('8.0.0'!AV$4="是",'8.0.0'!$AY$4,'8.0.0'!$AY$3)</f>
        <v>0</v>
      </c>
      <c r="L67" s="4">
        <f>(VLOOKUP('8.0.0'!T67,'8.0.0'!$AM$4:$AO$45,2,FALSE))*IF('8.0.0'!AW$4="是",'8.0.0'!$AY$4,'8.0.0'!$AY$3)</f>
        <v>0</v>
      </c>
      <c r="M67" s="4">
        <f>(VLOOKUP('8.0.0'!U67,'8.0.0'!$AM$4:$AO$45,2,FALSE))*IF('8.0.0'!AX$4="是",'8.0.0'!$AY$4,'8.0.0'!$AY$3)</f>
        <v>0</v>
      </c>
      <c r="N67" s="4">
        <f>(VLOOKUP('8.0.0'!V67,'8.0.0'!$AM$4:$AO$45,2,FALSE))*IF('8.0.0'!AY$4="是",'8.0.0'!$AY$4,'8.0.0'!$AY$3)</f>
        <v>0</v>
      </c>
      <c r="O67" s="5">
        <f>(VLOOKUP('8.0.0'!W67,'8.0.0'!$AM$4:$AO$45,2,FALSE))*IF('8.0.0'!AZ$4="是",'8.0.0'!$AY$4,'8.0.0'!$AY$3)</f>
        <v>0</v>
      </c>
      <c r="P67" s="5">
        <f>(VLOOKUP('8.0.0'!X67,'8.0.0'!$AM$4:$AO$45,2,FALSE))*IF('8.0.0'!BA$4="是",'8.0.0'!$AY$4,'8.0.0'!$AY$3)</f>
        <v>0</v>
      </c>
      <c r="Q67" s="4">
        <f>(VLOOKUP('8.0.0'!Y67,'8.0.0'!$AM$4:$AO$45,2,FALSE))*IF('8.0.0'!BB$4="是",'8.0.0'!$AY$4,'8.0.0'!$AY$3)</f>
        <v>180</v>
      </c>
      <c r="R67" s="4">
        <f>(VLOOKUP('8.0.0'!Z67,'8.0.0'!$AM$4:$AO$45,2,FALSE))*IF('8.0.0'!BC$4="是",'8.0.0'!$AY$4,'8.0.0'!$AY$3)</f>
        <v>180</v>
      </c>
      <c r="S67" s="4">
        <f>(VLOOKUP('8.0.0'!AA67,'8.0.0'!$AM$4:$AO$45,2,FALSE))*IF('8.0.0'!BD$4="是",'8.0.0'!$AY$4,'8.0.0'!$AY$3)</f>
        <v>180</v>
      </c>
      <c r="T67" s="4">
        <f>(VLOOKUP('8.0.0'!AB67,'8.0.0'!$AM$4:$AO$45,2,FALSE))*IF('8.0.0'!BE$4="是",'8.0.0'!$AY$4,'8.0.0'!$AY$3)</f>
        <v>180</v>
      </c>
      <c r="U67" s="4">
        <f>(VLOOKUP('8.0.0'!AC67,'8.0.0'!$AM$4:$AO$45,2,FALSE))*IF('8.0.0'!BF$4="是",'8.0.0'!$AY$4,'8.0.0'!$AY$3)</f>
        <v>180</v>
      </c>
      <c r="V67" s="4">
        <f>(VLOOKUP('8.0.0'!AD67,'8.0.0'!$AM$4:$AO$45,2,FALSE))*IF('8.0.0'!BG$4="是",'8.0.0'!$AY$4,'8.0.0'!$AY$3)</f>
        <v>0</v>
      </c>
      <c r="W67" s="5">
        <f>(VLOOKUP('8.0.0'!AE67,'8.0.0'!$AM$4:$AO$45,2,FALSE))*IF('8.0.0'!BH$4="是",'8.0.0'!$AY$4,'8.0.0'!$AY$3)</f>
        <v>0</v>
      </c>
      <c r="X67" s="5">
        <f>(VLOOKUP('8.0.0'!AF67,'8.0.0'!$AM$4:$AO$45,2,FALSE))*IF('8.0.0'!BI$4="是",'8.0.0'!$AY$4,'8.0.0'!$AY$3)</f>
        <v>0</v>
      </c>
    </row>
    <row r="68" spans="1:24">
      <c r="A68" s="4">
        <f>(VLOOKUP('8.0.0'!I68,'8.0.0'!$AM$4:$AO$45,2,FALSE))*IF('8.0.0'!AK$4="是",'8.0.0'!$AY$4,'8.0.0'!$AY$3)</f>
        <v>200</v>
      </c>
      <c r="B68" s="4">
        <f>(VLOOKUP('8.0.0'!J68,'8.0.0'!$AM$4:$AO$45,2,FALSE))*IF('8.0.0'!AL$4="是",'8.0.0'!$AY$4,'8.0.0'!$AY$3)</f>
        <v>200</v>
      </c>
      <c r="C68" s="4">
        <f>(VLOOKUP('8.0.0'!K68,'8.0.0'!$AM$4:$AO$45,2,FALSE))*IF('8.0.0'!AM$4="是",'8.0.0'!$AY$4,'8.0.0'!$AY$3)</f>
        <v>200</v>
      </c>
      <c r="D68" s="4">
        <f>(VLOOKUP('8.0.0'!L68,'8.0.0'!$AM$4:$AO$45,2,FALSE))*IF('8.0.0'!AN$4="是",'8.0.0'!$AY$4,'8.0.0'!$AY$3)</f>
        <v>-200</v>
      </c>
      <c r="E68" s="4">
        <f>(VLOOKUP('8.0.0'!M68,'8.0.0'!$AM$4:$AO$45,2,FALSE))*IF('8.0.0'!AO$4="是",'8.0.0'!$AY$4,'8.0.0'!$AY$3)</f>
        <v>200</v>
      </c>
      <c r="F68" s="4">
        <f>(VLOOKUP('8.0.0'!N68,'8.0.0'!$AM$4:$AO$45,2,FALSE))*IF('8.0.0'!AQ$4="是",'8.0.0'!$AY$4,'8.0.0'!$AY$3)</f>
        <v>200</v>
      </c>
      <c r="G68" s="5">
        <f>(VLOOKUP('8.0.0'!O68,'8.0.0'!$AM$4:$AO$45,2,FALSE))*IF('8.0.0'!AR$4="是",'8.0.0'!$AY$4,'8.0.0'!$AY$3)</f>
        <v>200</v>
      </c>
      <c r="H68" s="5">
        <f>(VLOOKUP('8.0.0'!P68,'8.0.0'!$AM$4:$AO$45,2,FALSE))*IF('8.0.0'!AS$4="是",'8.0.0'!$AY$4,'8.0.0'!$AY$3)</f>
        <v>200</v>
      </c>
      <c r="I68" s="4">
        <f>(VLOOKUP('8.0.0'!Q68,'8.0.0'!$AM$4:$AO$45,2,FALSE))*IF('8.0.0'!AT$4="是",'8.0.0'!$AY$4,'8.0.0'!$AY$3)</f>
        <v>0</v>
      </c>
      <c r="J68" s="4">
        <f>(VLOOKUP('8.0.0'!R68,'8.0.0'!$AM$4:$AO$45,2,FALSE))*IF('8.0.0'!AU$4="是",'8.0.0'!$AY$4,'8.0.0'!$AY$3)</f>
        <v>0</v>
      </c>
      <c r="K68" s="4">
        <f>(VLOOKUP('8.0.0'!S68,'8.0.0'!$AM$4:$AO$45,2,FALSE))*IF('8.0.0'!AV$4="是",'8.0.0'!$AY$4,'8.0.0'!$AY$3)</f>
        <v>0</v>
      </c>
      <c r="L68" s="4">
        <f>(VLOOKUP('8.0.0'!T68,'8.0.0'!$AM$4:$AO$45,2,FALSE))*IF('8.0.0'!AW$4="是",'8.0.0'!$AY$4,'8.0.0'!$AY$3)</f>
        <v>0</v>
      </c>
      <c r="M68" s="4">
        <f>(VLOOKUP('8.0.0'!U68,'8.0.0'!$AM$4:$AO$45,2,FALSE))*IF('8.0.0'!AX$4="是",'8.0.0'!$AY$4,'8.0.0'!$AY$3)</f>
        <v>0</v>
      </c>
      <c r="N68" s="4">
        <f>(VLOOKUP('8.0.0'!V68,'8.0.0'!$AM$4:$AO$45,2,FALSE))*IF('8.0.0'!AY$4="是",'8.0.0'!$AY$4,'8.0.0'!$AY$3)</f>
        <v>0</v>
      </c>
      <c r="O68" s="5">
        <f>(VLOOKUP('8.0.0'!W68,'8.0.0'!$AM$4:$AO$45,2,FALSE))*IF('8.0.0'!AZ$4="是",'8.0.0'!$AY$4,'8.0.0'!$AY$3)</f>
        <v>0</v>
      </c>
      <c r="P68" s="5">
        <f>(VLOOKUP('8.0.0'!X68,'8.0.0'!$AM$4:$AO$45,2,FALSE))*IF('8.0.0'!BA$4="是",'8.0.0'!$AY$4,'8.0.0'!$AY$3)</f>
        <v>0</v>
      </c>
      <c r="Q68" s="4">
        <f>(VLOOKUP('8.0.0'!Y68,'8.0.0'!$AM$4:$AO$45,2,FALSE))*IF('8.0.0'!BB$4="是",'8.0.0'!$AY$4,'8.0.0'!$AY$3)</f>
        <v>180</v>
      </c>
      <c r="R68" s="4">
        <f>(VLOOKUP('8.0.0'!Z68,'8.0.0'!$AM$4:$AO$45,2,FALSE))*IF('8.0.0'!BC$4="是",'8.0.0'!$AY$4,'8.0.0'!$AY$3)</f>
        <v>180</v>
      </c>
      <c r="S68" s="4">
        <f>(VLOOKUP('8.0.0'!AA68,'8.0.0'!$AM$4:$AO$45,2,FALSE))*IF('8.0.0'!BD$4="是",'8.0.0'!$AY$4,'8.0.0'!$AY$3)</f>
        <v>180</v>
      </c>
      <c r="T68" s="4">
        <f>(VLOOKUP('8.0.0'!AB68,'8.0.0'!$AM$4:$AO$45,2,FALSE))*IF('8.0.0'!BE$4="是",'8.0.0'!$AY$4,'8.0.0'!$AY$3)</f>
        <v>180</v>
      </c>
      <c r="U68" s="4">
        <f>(VLOOKUP('8.0.0'!AC68,'8.0.0'!$AM$4:$AO$45,2,FALSE))*IF('8.0.0'!BF$4="是",'8.0.0'!$AY$4,'8.0.0'!$AY$3)</f>
        <v>0</v>
      </c>
      <c r="V68" s="4">
        <f>(VLOOKUP('8.0.0'!AD68,'8.0.0'!$AM$4:$AO$45,2,FALSE))*IF('8.0.0'!BG$4="是",'8.0.0'!$AY$4,'8.0.0'!$AY$3)</f>
        <v>0</v>
      </c>
      <c r="W68" s="5">
        <f>(VLOOKUP('8.0.0'!AE68,'8.0.0'!$AM$4:$AO$45,2,FALSE))*IF('8.0.0'!BH$4="是",'8.0.0'!$AY$4,'8.0.0'!$AY$3)</f>
        <v>0</v>
      </c>
      <c r="X68" s="5">
        <f>(VLOOKUP('8.0.0'!AF68,'8.0.0'!$AM$4:$AO$45,2,FALSE))*IF('8.0.0'!BI$4="是",'8.0.0'!$AY$4,'8.0.0'!$AY$3)</f>
        <v>0</v>
      </c>
    </row>
    <row r="69" spans="1:24">
      <c r="A69" s="4">
        <f>(VLOOKUP('8.0.0'!I69,'8.0.0'!$AM$4:$AO$45,2,FALSE))*IF('8.0.0'!AK$4="是",'8.0.0'!$AY$4,'8.0.0'!$AY$3)</f>
        <v>200</v>
      </c>
      <c r="B69" s="4">
        <f>(VLOOKUP('8.0.0'!J69,'8.0.0'!$AM$4:$AO$45,2,FALSE))*IF('8.0.0'!AL$4="是",'8.0.0'!$AY$4,'8.0.0'!$AY$3)</f>
        <v>200</v>
      </c>
      <c r="C69" s="4">
        <f>(VLOOKUP('8.0.0'!K69,'8.0.0'!$AM$4:$AO$45,2,FALSE))*IF('8.0.0'!AM$4="是",'8.0.0'!$AY$4,'8.0.0'!$AY$3)</f>
        <v>200</v>
      </c>
      <c r="D69" s="4">
        <f>(VLOOKUP('8.0.0'!L69,'8.0.0'!$AM$4:$AO$45,2,FALSE))*IF('8.0.0'!AN$4="是",'8.0.0'!$AY$4,'8.0.0'!$AY$3)</f>
        <v>200</v>
      </c>
      <c r="E69" s="4">
        <f>(VLOOKUP('8.0.0'!M69,'8.0.0'!$AM$4:$AO$45,2,FALSE))*IF('8.0.0'!AO$4="是",'8.0.0'!$AY$4,'8.0.0'!$AY$3)</f>
        <v>200</v>
      </c>
      <c r="F69" s="4">
        <f>(VLOOKUP('8.0.0'!N69,'8.0.0'!$AM$4:$AO$45,2,FALSE))*IF('8.0.0'!AQ$4="是",'8.0.0'!$AY$4,'8.0.0'!$AY$3)</f>
        <v>200</v>
      </c>
      <c r="G69" s="5">
        <f>(VLOOKUP('8.0.0'!O69,'8.0.0'!$AM$4:$AO$45,2,FALSE))*IF('8.0.0'!AR$4="是",'8.0.0'!$AY$4,'8.0.0'!$AY$3)</f>
        <v>0</v>
      </c>
      <c r="H69" s="5">
        <f>(VLOOKUP('8.0.0'!P69,'8.0.0'!$AM$4:$AO$45,2,FALSE))*IF('8.0.0'!AS$4="是",'8.0.0'!$AY$4,'8.0.0'!$AY$3)</f>
        <v>0</v>
      </c>
      <c r="I69" s="4">
        <f>(VLOOKUP('8.0.0'!Q69,'8.0.0'!$AM$4:$AO$45,2,FALSE))*IF('8.0.0'!AT$4="是",'8.0.0'!$AY$4,'8.0.0'!$AY$3)</f>
        <v>0</v>
      </c>
      <c r="J69" s="4">
        <f>(VLOOKUP('8.0.0'!R69,'8.0.0'!$AM$4:$AO$45,2,FALSE))*IF('8.0.0'!AU$4="是",'8.0.0'!$AY$4,'8.0.0'!$AY$3)</f>
        <v>0</v>
      </c>
      <c r="K69" s="4">
        <f>(VLOOKUP('8.0.0'!S69,'8.0.0'!$AM$4:$AO$45,2,FALSE))*IF('8.0.0'!AV$4="是",'8.0.0'!$AY$4,'8.0.0'!$AY$3)</f>
        <v>0</v>
      </c>
      <c r="L69" s="4">
        <f>(VLOOKUP('8.0.0'!T69,'8.0.0'!$AM$4:$AO$45,2,FALSE))*IF('8.0.0'!AW$4="是",'8.0.0'!$AY$4,'8.0.0'!$AY$3)</f>
        <v>0</v>
      </c>
      <c r="M69" s="4">
        <f>(VLOOKUP('8.0.0'!U69,'8.0.0'!$AM$4:$AO$45,2,FALSE))*IF('8.0.0'!AX$4="是",'8.0.0'!$AY$4,'8.0.0'!$AY$3)</f>
        <v>0</v>
      </c>
      <c r="N69" s="4">
        <f>(VLOOKUP('8.0.0'!V69,'8.0.0'!$AM$4:$AO$45,2,FALSE))*IF('8.0.0'!AY$4="是",'8.0.0'!$AY$4,'8.0.0'!$AY$3)</f>
        <v>0</v>
      </c>
      <c r="O69" s="5">
        <f>(VLOOKUP('8.0.0'!W69,'8.0.0'!$AM$4:$AO$45,2,FALSE))*IF('8.0.0'!AZ$4="是",'8.0.0'!$AY$4,'8.0.0'!$AY$3)</f>
        <v>0</v>
      </c>
      <c r="P69" s="5">
        <f>(VLOOKUP('8.0.0'!X69,'8.0.0'!$AM$4:$AO$45,2,FALSE))*IF('8.0.0'!BA$4="是",'8.0.0'!$AY$4,'8.0.0'!$AY$3)</f>
        <v>0</v>
      </c>
      <c r="Q69" s="4">
        <f>(VLOOKUP('8.0.0'!Y69,'8.0.0'!$AM$4:$AO$45,2,FALSE))*IF('8.0.0'!BB$4="是",'8.0.0'!$AY$4,'8.0.0'!$AY$3)</f>
        <v>180</v>
      </c>
      <c r="R69" s="4">
        <f>(VLOOKUP('8.0.0'!Z69,'8.0.0'!$AM$4:$AO$45,2,FALSE))*IF('8.0.0'!BC$4="是",'8.0.0'!$AY$4,'8.0.0'!$AY$3)</f>
        <v>180</v>
      </c>
      <c r="S69" s="4">
        <f>(VLOOKUP('8.0.0'!AA69,'8.0.0'!$AM$4:$AO$45,2,FALSE))*IF('8.0.0'!BD$4="是",'8.0.0'!$AY$4,'8.0.0'!$AY$3)</f>
        <v>180</v>
      </c>
      <c r="T69" s="4">
        <f>(VLOOKUP('8.0.0'!AB69,'8.0.0'!$AM$4:$AO$45,2,FALSE))*IF('8.0.0'!BE$4="是",'8.0.0'!$AY$4,'8.0.0'!$AY$3)</f>
        <v>180</v>
      </c>
      <c r="U69" s="4">
        <f>(VLOOKUP('8.0.0'!AC69,'8.0.0'!$AM$4:$AO$45,2,FALSE))*IF('8.0.0'!BF$4="是",'8.0.0'!$AY$4,'8.0.0'!$AY$3)</f>
        <v>0</v>
      </c>
      <c r="V69" s="4">
        <f>(VLOOKUP('8.0.0'!AD69,'8.0.0'!$AM$4:$AO$45,2,FALSE))*IF('8.0.0'!BG$4="是",'8.0.0'!$AY$4,'8.0.0'!$AY$3)</f>
        <v>0</v>
      </c>
      <c r="W69" s="5">
        <f>(VLOOKUP('8.0.0'!AE69,'8.0.0'!$AM$4:$AO$45,2,FALSE))*IF('8.0.0'!BH$4="是",'8.0.0'!$AY$4,'8.0.0'!$AY$3)</f>
        <v>0</v>
      </c>
      <c r="X69" s="5">
        <f>(VLOOKUP('8.0.0'!AF69,'8.0.0'!$AM$4:$AO$45,2,FALSE))*IF('8.0.0'!BI$4="是",'8.0.0'!$AY$4,'8.0.0'!$AY$3)</f>
        <v>0</v>
      </c>
    </row>
    <row r="70" spans="1:24">
      <c r="A70" s="4">
        <f>(VLOOKUP('8.0.0'!I70,'8.0.0'!$AM$4:$AO$45,2,FALSE))*IF('8.0.0'!AK$4="是",'8.0.0'!$AY$4,'8.0.0'!$AY$3)</f>
        <v>150</v>
      </c>
      <c r="B70" s="4">
        <f>(VLOOKUP('8.0.0'!J70,'8.0.0'!$AM$4:$AO$45,2,FALSE))*IF('8.0.0'!AL$4="是",'8.0.0'!$AY$4,'8.0.0'!$AY$3)</f>
        <v>200</v>
      </c>
      <c r="C70" s="4">
        <f>(VLOOKUP('8.0.0'!K70,'8.0.0'!$AM$4:$AO$45,2,FALSE))*IF('8.0.0'!AM$4="是",'8.0.0'!$AY$4,'8.0.0'!$AY$3)</f>
        <v>200</v>
      </c>
      <c r="D70" s="4">
        <f>(VLOOKUP('8.0.0'!L70,'8.0.0'!$AM$4:$AO$45,2,FALSE))*IF('8.0.0'!AN$4="是",'8.0.0'!$AY$4,'8.0.0'!$AY$3)</f>
        <v>200</v>
      </c>
      <c r="E70" s="4">
        <f>(VLOOKUP('8.0.0'!M70,'8.0.0'!$AM$4:$AO$45,2,FALSE))*IF('8.0.0'!AO$4="是",'8.0.0'!$AY$4,'8.0.0'!$AY$3)</f>
        <v>200</v>
      </c>
      <c r="F70" s="4">
        <f>(VLOOKUP('8.0.0'!N70,'8.0.0'!$AM$4:$AO$45,2,FALSE))*IF('8.0.0'!AQ$4="是",'8.0.0'!$AY$4,'8.0.0'!$AY$3)</f>
        <v>200</v>
      </c>
      <c r="G70" s="5">
        <f>(VLOOKUP('8.0.0'!O70,'8.0.0'!$AM$4:$AO$45,2,FALSE))*IF('8.0.0'!AR$4="是",'8.0.0'!$AY$4,'8.0.0'!$AY$3)</f>
        <v>0</v>
      </c>
      <c r="H70" s="5">
        <f>(VLOOKUP('8.0.0'!P70,'8.0.0'!$AM$4:$AO$45,2,FALSE))*IF('8.0.0'!AS$4="是",'8.0.0'!$AY$4,'8.0.0'!$AY$3)</f>
        <v>0</v>
      </c>
      <c r="I70" s="4">
        <f>(VLOOKUP('8.0.0'!Q70,'8.0.0'!$AM$4:$AO$45,2,FALSE))*IF('8.0.0'!AT$4="是",'8.0.0'!$AY$4,'8.0.0'!$AY$3)</f>
        <v>0</v>
      </c>
      <c r="J70" s="4">
        <f>(VLOOKUP('8.0.0'!R70,'8.0.0'!$AM$4:$AO$45,2,FALSE))*IF('8.0.0'!AU$4="是",'8.0.0'!$AY$4,'8.0.0'!$AY$3)</f>
        <v>0</v>
      </c>
      <c r="K70" s="4">
        <f>(VLOOKUP('8.0.0'!S70,'8.0.0'!$AM$4:$AO$45,2,FALSE))*IF('8.0.0'!AV$4="是",'8.0.0'!$AY$4,'8.0.0'!$AY$3)</f>
        <v>0</v>
      </c>
      <c r="L70" s="4">
        <f>(VLOOKUP('8.0.0'!T70,'8.0.0'!$AM$4:$AO$45,2,FALSE))*IF('8.0.0'!AW$4="是",'8.0.0'!$AY$4,'8.0.0'!$AY$3)</f>
        <v>0</v>
      </c>
      <c r="M70" s="4">
        <f>(VLOOKUP('8.0.0'!U70,'8.0.0'!$AM$4:$AO$45,2,FALSE))*IF('8.0.0'!AX$4="是",'8.0.0'!$AY$4,'8.0.0'!$AY$3)</f>
        <v>0</v>
      </c>
      <c r="N70" s="4">
        <f>(VLOOKUP('8.0.0'!V70,'8.0.0'!$AM$4:$AO$45,2,FALSE))*IF('8.0.0'!AY$4="是",'8.0.0'!$AY$4,'8.0.0'!$AY$3)</f>
        <v>0</v>
      </c>
      <c r="O70" s="5">
        <f>(VLOOKUP('8.0.0'!W70,'8.0.0'!$AM$4:$AO$45,2,FALSE))*IF('8.0.0'!AZ$4="是",'8.0.0'!$AY$4,'8.0.0'!$AY$3)</f>
        <v>0</v>
      </c>
      <c r="P70" s="5">
        <f>(VLOOKUP('8.0.0'!X70,'8.0.0'!$AM$4:$AO$45,2,FALSE))*IF('8.0.0'!BA$4="是",'8.0.0'!$AY$4,'8.0.0'!$AY$3)</f>
        <v>0</v>
      </c>
      <c r="Q70" s="4">
        <f>(VLOOKUP('8.0.0'!Y70,'8.0.0'!$AM$4:$AO$45,2,FALSE))*IF('8.0.0'!BB$4="是",'8.0.0'!$AY$4,'8.0.0'!$AY$3)</f>
        <v>180</v>
      </c>
      <c r="R70" s="4">
        <f>(VLOOKUP('8.0.0'!Z70,'8.0.0'!$AM$4:$AO$45,2,FALSE))*IF('8.0.0'!BC$4="是",'8.0.0'!$AY$4,'8.0.0'!$AY$3)</f>
        <v>180</v>
      </c>
      <c r="S70" s="4">
        <f>(VLOOKUP('8.0.0'!AA70,'8.0.0'!$AM$4:$AO$45,2,FALSE))*IF('8.0.0'!BD$4="是",'8.0.0'!$AY$4,'8.0.0'!$AY$3)</f>
        <v>180</v>
      </c>
      <c r="T70" s="4">
        <f>(VLOOKUP('8.0.0'!AB70,'8.0.0'!$AM$4:$AO$45,2,FALSE))*IF('8.0.0'!BE$4="是",'8.0.0'!$AY$4,'8.0.0'!$AY$3)</f>
        <v>180</v>
      </c>
      <c r="U70" s="4">
        <f>(VLOOKUP('8.0.0'!AC70,'8.0.0'!$AM$4:$AO$45,2,FALSE))*IF('8.0.0'!BF$4="是",'8.0.0'!$AY$4,'8.0.0'!$AY$3)</f>
        <v>180</v>
      </c>
      <c r="V70" s="4">
        <f>(VLOOKUP('8.0.0'!AD70,'8.0.0'!$AM$4:$AO$45,2,FALSE))*IF('8.0.0'!BG$4="是",'8.0.0'!$AY$4,'8.0.0'!$AY$3)</f>
        <v>0</v>
      </c>
      <c r="W70" s="5">
        <f>(VLOOKUP('8.0.0'!AE70,'8.0.0'!$AM$4:$AO$45,2,FALSE))*IF('8.0.0'!BH$4="是",'8.0.0'!$AY$4,'8.0.0'!$AY$3)</f>
        <v>0</v>
      </c>
      <c r="X70" s="5">
        <f>(VLOOKUP('8.0.0'!AF70,'8.0.0'!$AM$4:$AO$45,2,FALSE))*IF('8.0.0'!BI$4="是",'8.0.0'!$AY$4,'8.0.0'!$AY$3)</f>
        <v>0</v>
      </c>
    </row>
    <row r="71" spans="1:24">
      <c r="A71" s="4">
        <f>(VLOOKUP('8.0.0'!I71,'8.0.0'!$AM$4:$AO$45,2,FALSE))*IF('8.0.0'!AK$4="是",'8.0.0'!$AY$4,'8.0.0'!$AY$3)</f>
        <v>200</v>
      </c>
      <c r="B71" s="4">
        <f>(VLOOKUP('8.0.0'!J71,'8.0.0'!$AM$4:$AO$45,2,FALSE))*IF('8.0.0'!AL$4="是",'8.0.0'!$AY$4,'8.0.0'!$AY$3)</f>
        <v>200</v>
      </c>
      <c r="C71" s="4">
        <f>(VLOOKUP('8.0.0'!K71,'8.0.0'!$AM$4:$AO$45,2,FALSE))*IF('8.0.0'!AM$4="是",'8.0.0'!$AY$4,'8.0.0'!$AY$3)</f>
        <v>200</v>
      </c>
      <c r="D71" s="4">
        <f>(VLOOKUP('8.0.0'!L71,'8.0.0'!$AM$4:$AO$45,2,FALSE))*IF('8.0.0'!AN$4="是",'8.0.0'!$AY$4,'8.0.0'!$AY$3)</f>
        <v>200</v>
      </c>
      <c r="E71" s="4">
        <f>(VLOOKUP('8.0.0'!M71,'8.0.0'!$AM$4:$AO$45,2,FALSE))*IF('8.0.0'!AO$4="是",'8.0.0'!$AY$4,'8.0.0'!$AY$3)</f>
        <v>200</v>
      </c>
      <c r="F71" s="4">
        <f>(VLOOKUP('8.0.0'!N71,'8.0.0'!$AM$4:$AO$45,2,FALSE))*IF('8.0.0'!AQ$4="是",'8.0.0'!$AY$4,'8.0.0'!$AY$3)</f>
        <v>200</v>
      </c>
      <c r="G71" s="5">
        <f>(VLOOKUP('8.0.0'!O71,'8.0.0'!$AM$4:$AO$45,2,FALSE))*IF('8.0.0'!AR$4="是",'8.0.0'!$AY$4,'8.0.0'!$AY$3)</f>
        <v>0</v>
      </c>
      <c r="H71" s="5">
        <f>(VLOOKUP('8.0.0'!P71,'8.0.0'!$AM$4:$AO$45,2,FALSE))*IF('8.0.0'!AS$4="是",'8.0.0'!$AY$4,'8.0.0'!$AY$3)</f>
        <v>0</v>
      </c>
      <c r="I71" s="4">
        <f>(VLOOKUP('8.0.0'!Q71,'8.0.0'!$AM$4:$AO$45,2,FALSE))*IF('8.0.0'!AT$4="是",'8.0.0'!$AY$4,'8.0.0'!$AY$3)</f>
        <v>0</v>
      </c>
      <c r="J71" s="4">
        <f>(VLOOKUP('8.0.0'!R71,'8.0.0'!$AM$4:$AO$45,2,FALSE))*IF('8.0.0'!AU$4="是",'8.0.0'!$AY$4,'8.0.0'!$AY$3)</f>
        <v>0</v>
      </c>
      <c r="K71" s="4">
        <f>(VLOOKUP('8.0.0'!S71,'8.0.0'!$AM$4:$AO$45,2,FALSE))*IF('8.0.0'!AV$4="是",'8.0.0'!$AY$4,'8.0.0'!$AY$3)</f>
        <v>0</v>
      </c>
      <c r="L71" s="4">
        <f>(VLOOKUP('8.0.0'!T71,'8.0.0'!$AM$4:$AO$45,2,FALSE))*IF('8.0.0'!AW$4="是",'8.0.0'!$AY$4,'8.0.0'!$AY$3)</f>
        <v>0</v>
      </c>
      <c r="M71" s="4">
        <f>(VLOOKUP('8.0.0'!U71,'8.0.0'!$AM$4:$AO$45,2,FALSE))*IF('8.0.0'!AX$4="是",'8.0.0'!$AY$4,'8.0.0'!$AY$3)</f>
        <v>0</v>
      </c>
      <c r="N71" s="4">
        <f>(VLOOKUP('8.0.0'!V71,'8.0.0'!$AM$4:$AO$45,2,FALSE))*IF('8.0.0'!AY$4="是",'8.0.0'!$AY$4,'8.0.0'!$AY$3)</f>
        <v>0</v>
      </c>
      <c r="O71" s="5">
        <f>(VLOOKUP('8.0.0'!W71,'8.0.0'!$AM$4:$AO$45,2,FALSE))*IF('8.0.0'!AZ$4="是",'8.0.0'!$AY$4,'8.0.0'!$AY$3)</f>
        <v>0</v>
      </c>
      <c r="P71" s="5">
        <f>(VLOOKUP('8.0.0'!X71,'8.0.0'!$AM$4:$AO$45,2,FALSE))*IF('8.0.0'!BA$4="是",'8.0.0'!$AY$4,'8.0.0'!$AY$3)</f>
        <v>0</v>
      </c>
      <c r="Q71" s="4">
        <f>(VLOOKUP('8.0.0'!Y71,'8.0.0'!$AM$4:$AO$45,2,FALSE))*IF('8.0.0'!BB$4="是",'8.0.0'!$AY$4,'8.0.0'!$AY$3)</f>
        <v>180</v>
      </c>
      <c r="R71" s="4">
        <f>(VLOOKUP('8.0.0'!Z71,'8.0.0'!$AM$4:$AO$45,2,FALSE))*IF('8.0.0'!BC$4="是",'8.0.0'!$AY$4,'8.0.0'!$AY$3)</f>
        <v>180</v>
      </c>
      <c r="S71" s="4">
        <f>(VLOOKUP('8.0.0'!AA71,'8.0.0'!$AM$4:$AO$45,2,FALSE))*IF('8.0.0'!BD$4="是",'8.0.0'!$AY$4,'8.0.0'!$AY$3)</f>
        <v>180</v>
      </c>
      <c r="T71" s="4">
        <f>(VLOOKUP('8.0.0'!AB71,'8.0.0'!$AM$4:$AO$45,2,FALSE))*IF('8.0.0'!BE$4="是",'8.0.0'!$AY$4,'8.0.0'!$AY$3)</f>
        <v>180</v>
      </c>
      <c r="U71" s="4">
        <f>(VLOOKUP('8.0.0'!AC71,'8.0.0'!$AM$4:$AO$45,2,FALSE))*IF('8.0.0'!BF$4="是",'8.0.0'!$AY$4,'8.0.0'!$AY$3)</f>
        <v>180</v>
      </c>
      <c r="V71" s="4">
        <f>(VLOOKUP('8.0.0'!AD71,'8.0.0'!$AM$4:$AO$45,2,FALSE))*IF('8.0.0'!BG$4="是",'8.0.0'!$AY$4,'8.0.0'!$AY$3)</f>
        <v>0</v>
      </c>
      <c r="W71" s="5">
        <f>(VLOOKUP('8.0.0'!AE71,'8.0.0'!$AM$4:$AO$45,2,FALSE))*IF('8.0.0'!BH$4="是",'8.0.0'!$AY$4,'8.0.0'!$AY$3)</f>
        <v>0</v>
      </c>
      <c r="X71" s="5">
        <f>(VLOOKUP('8.0.0'!AF71,'8.0.0'!$AM$4:$AO$45,2,FALSE))*IF('8.0.0'!BI$4="是",'8.0.0'!$AY$4,'8.0.0'!$AY$3)</f>
        <v>0</v>
      </c>
    </row>
    <row r="72" spans="1:24">
      <c r="A72" s="4">
        <f>(VLOOKUP('8.0.0'!I72,'8.0.0'!$AM$4:$AO$45,2,FALSE))*IF('8.0.0'!AK$4="是",'8.0.0'!$AY$4,'8.0.0'!$AY$3)</f>
        <v>200</v>
      </c>
      <c r="B72" s="4">
        <f>(VLOOKUP('8.0.0'!J72,'8.0.0'!$AM$4:$AO$45,2,FALSE))*IF('8.0.0'!AL$4="是",'8.0.0'!$AY$4,'8.0.0'!$AY$3)</f>
        <v>200</v>
      </c>
      <c r="C72" s="4">
        <f>(VLOOKUP('8.0.0'!K72,'8.0.0'!$AM$4:$AO$45,2,FALSE))*IF('8.0.0'!AM$4="是",'8.0.0'!$AY$4,'8.0.0'!$AY$3)</f>
        <v>200</v>
      </c>
      <c r="D72" s="4">
        <f>(VLOOKUP('8.0.0'!L72,'8.0.0'!$AM$4:$AO$45,2,FALSE))*IF('8.0.0'!AN$4="是",'8.0.0'!$AY$4,'8.0.0'!$AY$3)</f>
        <v>200</v>
      </c>
      <c r="E72" s="4">
        <f>(VLOOKUP('8.0.0'!M72,'8.0.0'!$AM$4:$AO$45,2,FALSE))*IF('8.0.0'!AO$4="是",'8.0.0'!$AY$4,'8.0.0'!$AY$3)</f>
        <v>200</v>
      </c>
      <c r="F72" s="4">
        <f>(VLOOKUP('8.0.0'!N72,'8.0.0'!$AM$4:$AO$45,2,FALSE))*IF('8.0.0'!AQ$4="是",'8.0.0'!$AY$4,'8.0.0'!$AY$3)</f>
        <v>200</v>
      </c>
      <c r="G72" s="5">
        <f>(VLOOKUP('8.0.0'!O72,'8.0.0'!$AM$4:$AO$45,2,FALSE))*IF('8.0.0'!AR$4="是",'8.0.0'!$AY$4,'8.0.0'!$AY$3)</f>
        <v>0</v>
      </c>
      <c r="H72" s="5">
        <f>(VLOOKUP('8.0.0'!P72,'8.0.0'!$AM$4:$AO$45,2,FALSE))*IF('8.0.0'!AS$4="是",'8.0.0'!$AY$4,'8.0.0'!$AY$3)</f>
        <v>0</v>
      </c>
      <c r="I72" s="4">
        <f>(VLOOKUP('8.0.0'!Q72,'8.0.0'!$AM$4:$AO$45,2,FALSE))*IF('8.0.0'!AT$4="是",'8.0.0'!$AY$4,'8.0.0'!$AY$3)</f>
        <v>0</v>
      </c>
      <c r="J72" s="4">
        <f>(VLOOKUP('8.0.0'!R72,'8.0.0'!$AM$4:$AO$45,2,FALSE))*IF('8.0.0'!AU$4="是",'8.0.0'!$AY$4,'8.0.0'!$AY$3)</f>
        <v>0</v>
      </c>
      <c r="K72" s="4">
        <f>(VLOOKUP('8.0.0'!S72,'8.0.0'!$AM$4:$AO$45,2,FALSE))*IF('8.0.0'!AV$4="是",'8.0.0'!$AY$4,'8.0.0'!$AY$3)</f>
        <v>0</v>
      </c>
      <c r="L72" s="4">
        <f>(VLOOKUP('8.0.0'!T72,'8.0.0'!$AM$4:$AO$45,2,FALSE))*IF('8.0.0'!AW$4="是",'8.0.0'!$AY$4,'8.0.0'!$AY$3)</f>
        <v>0</v>
      </c>
      <c r="M72" s="4">
        <f>(VLOOKUP('8.0.0'!U72,'8.0.0'!$AM$4:$AO$45,2,FALSE))*IF('8.0.0'!AX$4="是",'8.0.0'!$AY$4,'8.0.0'!$AY$3)</f>
        <v>0</v>
      </c>
      <c r="N72" s="4">
        <f>(VLOOKUP('8.0.0'!V72,'8.0.0'!$AM$4:$AO$45,2,FALSE))*IF('8.0.0'!AY$4="是",'8.0.0'!$AY$4,'8.0.0'!$AY$3)</f>
        <v>0</v>
      </c>
      <c r="O72" s="5">
        <f>(VLOOKUP('8.0.0'!W72,'8.0.0'!$AM$4:$AO$45,2,FALSE))*IF('8.0.0'!AZ$4="是",'8.0.0'!$AY$4,'8.0.0'!$AY$3)</f>
        <v>0</v>
      </c>
      <c r="P72" s="5">
        <f>(VLOOKUP('8.0.0'!X72,'8.0.0'!$AM$4:$AO$45,2,FALSE))*IF('8.0.0'!BA$4="是",'8.0.0'!$AY$4,'8.0.0'!$AY$3)</f>
        <v>0</v>
      </c>
      <c r="Q72" s="4">
        <f>(VLOOKUP('8.0.0'!Y72,'8.0.0'!$AM$4:$AO$45,2,FALSE))*IF('8.0.0'!BB$4="是",'8.0.0'!$AY$4,'8.0.0'!$AY$3)</f>
        <v>180</v>
      </c>
      <c r="R72" s="4">
        <f>(VLOOKUP('8.0.0'!Z72,'8.0.0'!$AM$4:$AO$45,2,FALSE))*IF('8.0.0'!BC$4="是",'8.0.0'!$AY$4,'8.0.0'!$AY$3)</f>
        <v>180</v>
      </c>
      <c r="S72" s="4">
        <f>(VLOOKUP('8.0.0'!AA72,'8.0.0'!$AM$4:$AO$45,2,FALSE))*IF('8.0.0'!BD$4="是",'8.0.0'!$AY$4,'8.0.0'!$AY$3)</f>
        <v>180</v>
      </c>
      <c r="T72" s="4">
        <f>(VLOOKUP('8.0.0'!AB72,'8.0.0'!$AM$4:$AO$45,2,FALSE))*IF('8.0.0'!BE$4="是",'8.0.0'!$AY$4,'8.0.0'!$AY$3)</f>
        <v>180</v>
      </c>
      <c r="U72" s="4">
        <f>(VLOOKUP('8.0.0'!AC72,'8.0.0'!$AM$4:$AO$45,2,FALSE))*IF('8.0.0'!BF$4="是",'8.0.0'!$AY$4,'8.0.0'!$AY$3)</f>
        <v>0</v>
      </c>
      <c r="V72" s="4">
        <f>(VLOOKUP('8.0.0'!AD72,'8.0.0'!$AM$4:$AO$45,2,FALSE))*IF('8.0.0'!BG$4="是",'8.0.0'!$AY$4,'8.0.0'!$AY$3)</f>
        <v>0</v>
      </c>
      <c r="W72" s="5">
        <f>(VLOOKUP('8.0.0'!AE72,'8.0.0'!$AM$4:$AO$45,2,FALSE))*IF('8.0.0'!BH$4="是",'8.0.0'!$AY$4,'8.0.0'!$AY$3)</f>
        <v>0</v>
      </c>
      <c r="X72" s="5">
        <f>(VLOOKUP('8.0.0'!AF72,'8.0.0'!$AM$4:$AO$45,2,FALSE))*IF('8.0.0'!BI$4="是",'8.0.0'!$AY$4,'8.0.0'!$AY$3)</f>
        <v>0</v>
      </c>
    </row>
    <row r="73" spans="1:24">
      <c r="A73" s="4">
        <f>(VLOOKUP('8.0.0'!I73,'8.0.0'!$AM$4:$AO$45,2,FALSE))*IF('8.0.0'!AK$4="是",'8.0.0'!$AY$4,'8.0.0'!$AY$3)</f>
        <v>200</v>
      </c>
      <c r="B73" s="4">
        <f>(VLOOKUP('8.0.0'!J73,'8.0.0'!$AM$4:$AO$45,2,FALSE))*IF('8.0.0'!AL$4="是",'8.0.0'!$AY$4,'8.0.0'!$AY$3)</f>
        <v>200</v>
      </c>
      <c r="C73" s="4">
        <f>(VLOOKUP('8.0.0'!K73,'8.0.0'!$AM$4:$AO$45,2,FALSE))*IF('8.0.0'!AM$4="是",'8.0.0'!$AY$4,'8.0.0'!$AY$3)</f>
        <v>200</v>
      </c>
      <c r="D73" s="4">
        <f>(VLOOKUP('8.0.0'!L73,'8.0.0'!$AM$4:$AO$45,2,FALSE))*IF('8.0.0'!AN$4="是",'8.0.0'!$AY$4,'8.0.0'!$AY$3)</f>
        <v>200</v>
      </c>
      <c r="E73" s="4">
        <f>(VLOOKUP('8.0.0'!M73,'8.0.0'!$AM$4:$AO$45,2,FALSE))*IF('8.0.0'!AO$4="是",'8.0.0'!$AY$4,'8.0.0'!$AY$3)</f>
        <v>200</v>
      </c>
      <c r="F73" s="4">
        <f>(VLOOKUP('8.0.0'!N73,'8.0.0'!$AM$4:$AO$45,2,FALSE))*IF('8.0.0'!AQ$4="是",'8.0.0'!$AY$4,'8.0.0'!$AY$3)</f>
        <v>200</v>
      </c>
      <c r="G73" s="5">
        <f>(VLOOKUP('8.0.0'!O73,'8.0.0'!$AM$4:$AO$45,2,FALSE))*IF('8.0.0'!AR$4="是",'8.0.0'!$AY$4,'8.0.0'!$AY$3)</f>
        <v>0</v>
      </c>
      <c r="H73" s="5">
        <f>(VLOOKUP('8.0.0'!P73,'8.0.0'!$AM$4:$AO$45,2,FALSE))*IF('8.0.0'!AS$4="是",'8.0.0'!$AY$4,'8.0.0'!$AY$3)</f>
        <v>0</v>
      </c>
      <c r="I73" s="4">
        <f>(VLOOKUP('8.0.0'!Q73,'8.0.0'!$AM$4:$AO$45,2,FALSE))*IF('8.0.0'!AT$4="是",'8.0.0'!$AY$4,'8.0.0'!$AY$3)</f>
        <v>0</v>
      </c>
      <c r="J73" s="4">
        <f>(VLOOKUP('8.0.0'!R73,'8.0.0'!$AM$4:$AO$45,2,FALSE))*IF('8.0.0'!AU$4="是",'8.0.0'!$AY$4,'8.0.0'!$AY$3)</f>
        <v>0</v>
      </c>
      <c r="K73" s="4">
        <f>(VLOOKUP('8.0.0'!S73,'8.0.0'!$AM$4:$AO$45,2,FALSE))*IF('8.0.0'!AV$4="是",'8.0.0'!$AY$4,'8.0.0'!$AY$3)</f>
        <v>0</v>
      </c>
      <c r="L73" s="4">
        <f>(VLOOKUP('8.0.0'!T73,'8.0.0'!$AM$4:$AO$45,2,FALSE))*IF('8.0.0'!AW$4="是",'8.0.0'!$AY$4,'8.0.0'!$AY$3)</f>
        <v>0</v>
      </c>
      <c r="M73" s="4">
        <f>(VLOOKUP('8.0.0'!U73,'8.0.0'!$AM$4:$AO$45,2,FALSE))*IF('8.0.0'!AX$4="是",'8.0.0'!$AY$4,'8.0.0'!$AY$3)</f>
        <v>0</v>
      </c>
      <c r="N73" s="4">
        <f>(VLOOKUP('8.0.0'!V73,'8.0.0'!$AM$4:$AO$45,2,FALSE))*IF('8.0.0'!AY$4="是",'8.0.0'!$AY$4,'8.0.0'!$AY$3)</f>
        <v>0</v>
      </c>
      <c r="O73" s="5">
        <f>(VLOOKUP('8.0.0'!W73,'8.0.0'!$AM$4:$AO$45,2,FALSE))*IF('8.0.0'!AZ$4="是",'8.0.0'!$AY$4,'8.0.0'!$AY$3)</f>
        <v>0</v>
      </c>
      <c r="P73" s="5">
        <f>(VLOOKUP('8.0.0'!X73,'8.0.0'!$AM$4:$AO$45,2,FALSE))*IF('8.0.0'!BA$4="是",'8.0.0'!$AY$4,'8.0.0'!$AY$3)</f>
        <v>0</v>
      </c>
      <c r="Q73" s="4">
        <f>(VLOOKUP('8.0.0'!Y73,'8.0.0'!$AM$4:$AO$45,2,FALSE))*IF('8.0.0'!BB$4="是",'8.0.0'!$AY$4,'8.0.0'!$AY$3)</f>
        <v>180</v>
      </c>
      <c r="R73" s="4">
        <f>(VLOOKUP('8.0.0'!Z73,'8.0.0'!$AM$4:$AO$45,2,FALSE))*IF('8.0.0'!BC$4="是",'8.0.0'!$AY$4,'8.0.0'!$AY$3)</f>
        <v>180</v>
      </c>
      <c r="S73" s="4">
        <f>(VLOOKUP('8.0.0'!AA73,'8.0.0'!$AM$4:$AO$45,2,FALSE))*IF('8.0.0'!BD$4="是",'8.0.0'!$AY$4,'8.0.0'!$AY$3)</f>
        <v>-200</v>
      </c>
      <c r="T73" s="4">
        <f>(VLOOKUP('8.0.0'!AB73,'8.0.0'!$AM$4:$AO$45,2,FALSE))*IF('8.0.0'!BE$4="是",'8.0.0'!$AY$4,'8.0.0'!$AY$3)</f>
        <v>180</v>
      </c>
      <c r="U73" s="4">
        <f>(VLOOKUP('8.0.0'!AC73,'8.0.0'!$AM$4:$AO$45,2,FALSE))*IF('8.0.0'!BF$4="是",'8.0.0'!$AY$4,'8.0.0'!$AY$3)</f>
        <v>180</v>
      </c>
      <c r="V73" s="4">
        <f>(VLOOKUP('8.0.0'!AD73,'8.0.0'!$AM$4:$AO$45,2,FALSE))*IF('8.0.0'!BG$4="是",'8.0.0'!$AY$4,'8.0.0'!$AY$3)</f>
        <v>180</v>
      </c>
      <c r="W73" s="5">
        <f>(VLOOKUP('8.0.0'!AE73,'8.0.0'!$AM$4:$AO$45,2,FALSE))*IF('8.0.0'!BH$4="是",'8.0.0'!$AY$4,'8.0.0'!$AY$3)</f>
        <v>50</v>
      </c>
      <c r="X73" s="5">
        <f>(VLOOKUP('8.0.0'!AF73,'8.0.0'!$AM$4:$AO$45,2,FALSE))*IF('8.0.0'!BI$4="是",'8.0.0'!$AY$4,'8.0.0'!$AY$3)</f>
        <v>0</v>
      </c>
    </row>
    <row r="74" spans="1:24">
      <c r="A74" s="4">
        <f>(VLOOKUP('8.0.0'!I74,'8.0.0'!$AM$4:$AO$45,2,FALSE))*IF('8.0.0'!AK$4="是",'8.0.0'!$AY$4,'8.0.0'!$AY$3)</f>
        <v>200</v>
      </c>
      <c r="B74" s="4">
        <f>(VLOOKUP('8.0.0'!J74,'8.0.0'!$AM$4:$AO$45,2,FALSE))*IF('8.0.0'!AL$4="是",'8.0.0'!$AY$4,'8.0.0'!$AY$3)</f>
        <v>200</v>
      </c>
      <c r="C74" s="4">
        <f>(VLOOKUP('8.0.0'!K74,'8.0.0'!$AM$4:$AO$45,2,FALSE))*IF('8.0.0'!AM$4="是",'8.0.0'!$AY$4,'8.0.0'!$AY$3)</f>
        <v>200</v>
      </c>
      <c r="D74" s="4">
        <f>(VLOOKUP('8.0.0'!L74,'8.0.0'!$AM$4:$AO$45,2,FALSE))*IF('8.0.0'!AN$4="是",'8.0.0'!$AY$4,'8.0.0'!$AY$3)</f>
        <v>-200</v>
      </c>
      <c r="E74" s="4">
        <f>(VLOOKUP('8.0.0'!M74,'8.0.0'!$AM$4:$AO$45,2,FALSE))*IF('8.0.0'!AO$4="是",'8.0.0'!$AY$4,'8.0.0'!$AY$3)</f>
        <v>200</v>
      </c>
      <c r="F74" s="4">
        <f>(VLOOKUP('8.0.0'!N74,'8.0.0'!$AM$4:$AO$45,2,FALSE))*IF('8.0.0'!AQ$4="是",'8.0.0'!$AY$4,'8.0.0'!$AY$3)</f>
        <v>200</v>
      </c>
      <c r="G74" s="5">
        <f>(VLOOKUP('8.0.0'!O74,'8.0.0'!$AM$4:$AO$45,2,FALSE))*IF('8.0.0'!AR$4="是",'8.0.0'!$AY$4,'8.0.0'!$AY$3)</f>
        <v>200</v>
      </c>
      <c r="H74" s="5">
        <f>(VLOOKUP('8.0.0'!P74,'8.0.0'!$AM$4:$AO$45,2,FALSE))*IF('8.0.0'!AS$4="是",'8.0.0'!$AY$4,'8.0.0'!$AY$3)</f>
        <v>200</v>
      </c>
      <c r="I74" s="4">
        <f>(VLOOKUP('8.0.0'!Q74,'8.0.0'!$AM$4:$AO$45,2,FALSE))*IF('8.0.0'!AT$4="是",'8.0.0'!$AY$4,'8.0.0'!$AY$3)</f>
        <v>0</v>
      </c>
      <c r="J74" s="4">
        <f>(VLOOKUP('8.0.0'!R74,'8.0.0'!$AM$4:$AO$45,2,FALSE))*IF('8.0.0'!AU$4="是",'8.0.0'!$AY$4,'8.0.0'!$AY$3)</f>
        <v>0</v>
      </c>
      <c r="K74" s="4">
        <f>(VLOOKUP('8.0.0'!S74,'8.0.0'!$AM$4:$AO$45,2,FALSE))*IF('8.0.0'!AV$4="是",'8.0.0'!$AY$4,'8.0.0'!$AY$3)</f>
        <v>0</v>
      </c>
      <c r="L74" s="4">
        <f>(VLOOKUP('8.0.0'!T74,'8.0.0'!$AM$4:$AO$45,2,FALSE))*IF('8.0.0'!AW$4="是",'8.0.0'!$AY$4,'8.0.0'!$AY$3)</f>
        <v>0</v>
      </c>
      <c r="M74" s="4">
        <f>(VLOOKUP('8.0.0'!U74,'8.0.0'!$AM$4:$AO$45,2,FALSE))*IF('8.0.0'!AX$4="是",'8.0.0'!$AY$4,'8.0.0'!$AY$3)</f>
        <v>0</v>
      </c>
      <c r="N74" s="4">
        <f>(VLOOKUP('8.0.0'!V74,'8.0.0'!$AM$4:$AO$45,2,FALSE))*IF('8.0.0'!AY$4="是",'8.0.0'!$AY$4,'8.0.0'!$AY$3)</f>
        <v>0</v>
      </c>
      <c r="O74" s="5">
        <f>(VLOOKUP('8.0.0'!W74,'8.0.0'!$AM$4:$AO$45,2,FALSE))*IF('8.0.0'!AZ$4="是",'8.0.0'!$AY$4,'8.0.0'!$AY$3)</f>
        <v>0</v>
      </c>
      <c r="P74" s="5">
        <f>(VLOOKUP('8.0.0'!X74,'8.0.0'!$AM$4:$AO$45,2,FALSE))*IF('8.0.0'!BA$4="是",'8.0.0'!$AY$4,'8.0.0'!$AY$3)</f>
        <v>0</v>
      </c>
      <c r="Q74" s="4">
        <f>(VLOOKUP('8.0.0'!Y74,'8.0.0'!$AM$4:$AO$45,2,FALSE))*IF('8.0.0'!BB$4="是",'8.0.0'!$AY$4,'8.0.0'!$AY$3)</f>
        <v>180</v>
      </c>
      <c r="R74" s="4">
        <f>(VLOOKUP('8.0.0'!Z74,'8.0.0'!$AM$4:$AO$45,2,FALSE))*IF('8.0.0'!BC$4="是",'8.0.0'!$AY$4,'8.0.0'!$AY$3)</f>
        <v>180</v>
      </c>
      <c r="S74" s="4">
        <f>(VLOOKUP('8.0.0'!AA74,'8.0.0'!$AM$4:$AO$45,2,FALSE))*IF('8.0.0'!BD$4="是",'8.0.0'!$AY$4,'8.0.0'!$AY$3)</f>
        <v>180</v>
      </c>
      <c r="T74" s="4">
        <f>(VLOOKUP('8.0.0'!AB74,'8.0.0'!$AM$4:$AO$45,2,FALSE))*IF('8.0.0'!BE$4="是",'8.0.0'!$AY$4,'8.0.0'!$AY$3)</f>
        <v>180</v>
      </c>
      <c r="U74" s="4">
        <f>(VLOOKUP('8.0.0'!AC74,'8.0.0'!$AM$4:$AO$45,2,FALSE))*IF('8.0.0'!BF$4="是",'8.0.0'!$AY$4,'8.0.0'!$AY$3)</f>
        <v>180</v>
      </c>
      <c r="V74" s="4">
        <f>(VLOOKUP('8.0.0'!AD74,'8.0.0'!$AM$4:$AO$45,2,FALSE))*IF('8.0.0'!BG$4="是",'8.0.0'!$AY$4,'8.0.0'!$AY$3)</f>
        <v>0</v>
      </c>
      <c r="W74" s="5">
        <f>(VLOOKUP('8.0.0'!AE74,'8.0.0'!$AM$4:$AO$45,2,FALSE))*IF('8.0.0'!BH$4="是",'8.0.0'!$AY$4,'8.0.0'!$AY$3)</f>
        <v>0</v>
      </c>
      <c r="X74" s="5">
        <f>(VLOOKUP('8.0.0'!AF74,'8.0.0'!$AM$4:$AO$45,2,FALSE))*IF('8.0.0'!BI$4="是",'8.0.0'!$AY$4,'8.0.0'!$AY$3)</f>
        <v>0</v>
      </c>
    </row>
    <row r="75" spans="1:24">
      <c r="A75" s="4">
        <f>(VLOOKUP('8.0.0'!I75,'8.0.0'!$AM$4:$AO$45,2,FALSE))*IF('8.0.0'!AK$4="是",'8.0.0'!$AY$4,'8.0.0'!$AY$3)</f>
        <v>200</v>
      </c>
      <c r="B75" s="4">
        <f>(VLOOKUP('8.0.0'!J75,'8.0.0'!$AM$4:$AO$45,2,FALSE))*IF('8.0.0'!AL$4="是",'8.0.0'!$AY$4,'8.0.0'!$AY$3)</f>
        <v>200</v>
      </c>
      <c r="C75" s="4">
        <f>(VLOOKUP('8.0.0'!K75,'8.0.0'!$AM$4:$AO$45,2,FALSE))*IF('8.0.0'!AM$4="是",'8.0.0'!$AY$4,'8.0.0'!$AY$3)</f>
        <v>200</v>
      </c>
      <c r="D75" s="4">
        <f>(VLOOKUP('8.0.0'!L75,'8.0.0'!$AM$4:$AO$45,2,FALSE))*IF('8.0.0'!AN$4="是",'8.0.0'!$AY$4,'8.0.0'!$AY$3)</f>
        <v>200</v>
      </c>
      <c r="E75" s="4">
        <f>(VLOOKUP('8.0.0'!M75,'8.0.0'!$AM$4:$AO$45,2,FALSE))*IF('8.0.0'!AO$4="是",'8.0.0'!$AY$4,'8.0.0'!$AY$3)</f>
        <v>200</v>
      </c>
      <c r="F75" s="4">
        <f>(VLOOKUP('8.0.0'!N75,'8.0.0'!$AM$4:$AO$45,2,FALSE))*IF('8.0.0'!AQ$4="是",'8.0.0'!$AY$4,'8.0.0'!$AY$3)</f>
        <v>200</v>
      </c>
      <c r="G75" s="5">
        <f>(VLOOKUP('8.0.0'!O75,'8.0.0'!$AM$4:$AO$45,2,FALSE))*IF('8.0.0'!AR$4="是",'8.0.0'!$AY$4,'8.0.0'!$AY$3)</f>
        <v>0</v>
      </c>
      <c r="H75" s="5">
        <f>(VLOOKUP('8.0.0'!P75,'8.0.0'!$AM$4:$AO$45,2,FALSE))*IF('8.0.0'!AS$4="是",'8.0.0'!$AY$4,'8.0.0'!$AY$3)</f>
        <v>0</v>
      </c>
      <c r="I75" s="4">
        <f>(VLOOKUP('8.0.0'!Q75,'8.0.0'!$AM$4:$AO$45,2,FALSE))*IF('8.0.0'!AT$4="是",'8.0.0'!$AY$4,'8.0.0'!$AY$3)</f>
        <v>0</v>
      </c>
      <c r="J75" s="4">
        <f>(VLOOKUP('8.0.0'!R75,'8.0.0'!$AM$4:$AO$45,2,FALSE))*IF('8.0.0'!AU$4="是",'8.0.0'!$AY$4,'8.0.0'!$AY$3)</f>
        <v>0</v>
      </c>
      <c r="K75" s="4">
        <f>(VLOOKUP('8.0.0'!S75,'8.0.0'!$AM$4:$AO$45,2,FALSE))*IF('8.0.0'!AV$4="是",'8.0.0'!$AY$4,'8.0.0'!$AY$3)</f>
        <v>0</v>
      </c>
      <c r="L75" s="4">
        <f>(VLOOKUP('8.0.0'!T75,'8.0.0'!$AM$4:$AO$45,2,FALSE))*IF('8.0.0'!AW$4="是",'8.0.0'!$AY$4,'8.0.0'!$AY$3)</f>
        <v>0</v>
      </c>
      <c r="M75" s="4">
        <f>(VLOOKUP('8.0.0'!U75,'8.0.0'!$AM$4:$AO$45,2,FALSE))*IF('8.0.0'!AX$4="是",'8.0.0'!$AY$4,'8.0.0'!$AY$3)</f>
        <v>0</v>
      </c>
      <c r="N75" s="4">
        <f>(VLOOKUP('8.0.0'!V75,'8.0.0'!$AM$4:$AO$45,2,FALSE))*IF('8.0.0'!AY$4="是",'8.0.0'!$AY$4,'8.0.0'!$AY$3)</f>
        <v>0</v>
      </c>
      <c r="O75" s="5">
        <f>(VLOOKUP('8.0.0'!W75,'8.0.0'!$AM$4:$AO$45,2,FALSE))*IF('8.0.0'!AZ$4="是",'8.0.0'!$AY$4,'8.0.0'!$AY$3)</f>
        <v>0</v>
      </c>
      <c r="P75" s="5">
        <f>(VLOOKUP('8.0.0'!X75,'8.0.0'!$AM$4:$AO$45,2,FALSE))*IF('8.0.0'!BA$4="是",'8.0.0'!$AY$4,'8.0.0'!$AY$3)</f>
        <v>0</v>
      </c>
      <c r="Q75" s="4">
        <f>(VLOOKUP('8.0.0'!Y75,'8.0.0'!$AM$4:$AO$45,2,FALSE))*IF('8.0.0'!BB$4="是",'8.0.0'!$AY$4,'8.0.0'!$AY$3)</f>
        <v>180</v>
      </c>
      <c r="R75" s="4">
        <f>(VLOOKUP('8.0.0'!Z75,'8.0.0'!$AM$4:$AO$45,2,FALSE))*IF('8.0.0'!BC$4="是",'8.0.0'!$AY$4,'8.0.0'!$AY$3)</f>
        <v>180</v>
      </c>
      <c r="S75" s="4">
        <f>(VLOOKUP('8.0.0'!AA75,'8.0.0'!$AM$4:$AO$45,2,FALSE))*IF('8.0.0'!BD$4="是",'8.0.0'!$AY$4,'8.0.0'!$AY$3)</f>
        <v>180</v>
      </c>
      <c r="T75" s="4">
        <f>(VLOOKUP('8.0.0'!AB75,'8.0.0'!$AM$4:$AO$45,2,FALSE))*IF('8.0.0'!BE$4="是",'8.0.0'!$AY$4,'8.0.0'!$AY$3)</f>
        <v>180</v>
      </c>
      <c r="U75" s="4">
        <f>(VLOOKUP('8.0.0'!AC75,'8.0.0'!$AM$4:$AO$45,2,FALSE))*IF('8.0.0'!BF$4="是",'8.0.0'!$AY$4,'8.0.0'!$AY$3)</f>
        <v>0</v>
      </c>
      <c r="V75" s="4">
        <f>(VLOOKUP('8.0.0'!AD75,'8.0.0'!$AM$4:$AO$45,2,FALSE))*IF('8.0.0'!BG$4="是",'8.0.0'!$AY$4,'8.0.0'!$AY$3)</f>
        <v>0</v>
      </c>
      <c r="W75" s="5">
        <f>(VLOOKUP('8.0.0'!AE75,'8.0.0'!$AM$4:$AO$45,2,FALSE))*IF('8.0.0'!BH$4="是",'8.0.0'!$AY$4,'8.0.0'!$AY$3)</f>
        <v>0</v>
      </c>
      <c r="X75" s="5">
        <f>(VLOOKUP('8.0.0'!AF75,'8.0.0'!$AM$4:$AO$45,2,FALSE))*IF('8.0.0'!BI$4="是",'8.0.0'!$AY$4,'8.0.0'!$AY$3)</f>
        <v>0</v>
      </c>
    </row>
    <row r="76" spans="1:24">
      <c r="A76" s="4">
        <f>(VLOOKUP('8.0.0'!I76,'8.0.0'!$AM$4:$AO$45,2,FALSE))*IF('8.0.0'!AK$4="是",'8.0.0'!$AY$4,'8.0.0'!$AY$3)</f>
        <v>200</v>
      </c>
      <c r="B76" s="4">
        <f>(VLOOKUP('8.0.0'!J76,'8.0.0'!$AM$4:$AO$45,2,FALSE))*IF('8.0.0'!AL$4="是",'8.0.0'!$AY$4,'8.0.0'!$AY$3)</f>
        <v>200</v>
      </c>
      <c r="C76" s="4">
        <f>(VLOOKUP('8.0.0'!K76,'8.0.0'!$AM$4:$AO$45,2,FALSE))*IF('8.0.0'!AM$4="是",'8.0.0'!$AY$4,'8.0.0'!$AY$3)</f>
        <v>200</v>
      </c>
      <c r="D76" s="4">
        <f>(VLOOKUP('8.0.0'!L76,'8.0.0'!$AM$4:$AO$45,2,FALSE))*IF('8.0.0'!AN$4="是",'8.0.0'!$AY$4,'8.0.0'!$AY$3)</f>
        <v>200</v>
      </c>
      <c r="E76" s="4">
        <f>(VLOOKUP('8.0.0'!M76,'8.0.0'!$AM$4:$AO$45,2,FALSE))*IF('8.0.0'!AO$4="是",'8.0.0'!$AY$4,'8.0.0'!$AY$3)</f>
        <v>200</v>
      </c>
      <c r="F76" s="4">
        <f>(VLOOKUP('8.0.0'!N76,'8.0.0'!$AM$4:$AO$45,2,FALSE))*IF('8.0.0'!AQ$4="是",'8.0.0'!$AY$4,'8.0.0'!$AY$3)</f>
        <v>200</v>
      </c>
      <c r="G76" s="5">
        <f>(VLOOKUP('8.0.0'!O76,'8.0.0'!$AM$4:$AO$45,2,FALSE))*IF('8.0.0'!AR$4="是",'8.0.0'!$AY$4,'8.0.0'!$AY$3)</f>
        <v>0</v>
      </c>
      <c r="H76" s="5">
        <f>(VLOOKUP('8.0.0'!P76,'8.0.0'!$AM$4:$AO$45,2,FALSE))*IF('8.0.0'!AS$4="是",'8.0.0'!$AY$4,'8.0.0'!$AY$3)</f>
        <v>0</v>
      </c>
      <c r="I76" s="4">
        <f>(VLOOKUP('8.0.0'!Q76,'8.0.0'!$AM$4:$AO$45,2,FALSE))*IF('8.0.0'!AT$4="是",'8.0.0'!$AY$4,'8.0.0'!$AY$3)</f>
        <v>0</v>
      </c>
      <c r="J76" s="4">
        <f>(VLOOKUP('8.0.0'!R76,'8.0.0'!$AM$4:$AO$45,2,FALSE))*IF('8.0.0'!AU$4="是",'8.0.0'!$AY$4,'8.0.0'!$AY$3)</f>
        <v>0</v>
      </c>
      <c r="K76" s="4">
        <f>(VLOOKUP('8.0.0'!S76,'8.0.0'!$AM$4:$AO$45,2,FALSE))*IF('8.0.0'!AV$4="是",'8.0.0'!$AY$4,'8.0.0'!$AY$3)</f>
        <v>0</v>
      </c>
      <c r="L76" s="4">
        <f>(VLOOKUP('8.0.0'!T76,'8.0.0'!$AM$4:$AO$45,2,FALSE))*IF('8.0.0'!AW$4="是",'8.0.0'!$AY$4,'8.0.0'!$AY$3)</f>
        <v>0</v>
      </c>
      <c r="M76" s="4">
        <f>(VLOOKUP('8.0.0'!U76,'8.0.0'!$AM$4:$AO$45,2,FALSE))*IF('8.0.0'!AX$4="是",'8.0.0'!$AY$4,'8.0.0'!$AY$3)</f>
        <v>0</v>
      </c>
      <c r="N76" s="4">
        <f>(VLOOKUP('8.0.0'!V76,'8.0.0'!$AM$4:$AO$45,2,FALSE))*IF('8.0.0'!AY$4="是",'8.0.0'!$AY$4,'8.0.0'!$AY$3)</f>
        <v>0</v>
      </c>
      <c r="O76" s="5">
        <f>(VLOOKUP('8.0.0'!W76,'8.0.0'!$AM$4:$AO$45,2,FALSE))*IF('8.0.0'!AZ$4="是",'8.0.0'!$AY$4,'8.0.0'!$AY$3)</f>
        <v>0</v>
      </c>
      <c r="P76" s="5">
        <f>(VLOOKUP('8.0.0'!X76,'8.0.0'!$AM$4:$AO$45,2,FALSE))*IF('8.0.0'!BA$4="是",'8.0.0'!$AY$4,'8.0.0'!$AY$3)</f>
        <v>0</v>
      </c>
      <c r="Q76" s="4">
        <f>(VLOOKUP('8.0.0'!Y76,'8.0.0'!$AM$4:$AO$45,2,FALSE))*IF('8.0.0'!BB$4="是",'8.0.0'!$AY$4,'8.0.0'!$AY$3)</f>
        <v>180</v>
      </c>
      <c r="R76" s="4">
        <f>(VLOOKUP('8.0.0'!Z76,'8.0.0'!$AM$4:$AO$45,2,FALSE))*IF('8.0.0'!BC$4="是",'8.0.0'!$AY$4,'8.0.0'!$AY$3)</f>
        <v>180</v>
      </c>
      <c r="S76" s="4">
        <f>(VLOOKUP('8.0.0'!AA76,'8.0.0'!$AM$4:$AO$45,2,FALSE))*IF('8.0.0'!BD$4="是",'8.0.0'!$AY$4,'8.0.0'!$AY$3)</f>
        <v>50</v>
      </c>
      <c r="T76" s="4">
        <f>(VLOOKUP('8.0.0'!AB76,'8.0.0'!$AM$4:$AO$45,2,FALSE))*IF('8.0.0'!BE$4="是",'8.0.0'!$AY$4,'8.0.0'!$AY$3)</f>
        <v>180</v>
      </c>
      <c r="U76" s="4">
        <f>(VLOOKUP('8.0.0'!AC76,'8.0.0'!$AM$4:$AO$45,2,FALSE))*IF('8.0.0'!BF$4="是",'8.0.0'!$AY$4,'8.0.0'!$AY$3)</f>
        <v>180</v>
      </c>
      <c r="V76" s="4">
        <f>(VLOOKUP('8.0.0'!AD76,'8.0.0'!$AM$4:$AO$45,2,FALSE))*IF('8.0.0'!BG$4="是",'8.0.0'!$AY$4,'8.0.0'!$AY$3)</f>
        <v>0</v>
      </c>
      <c r="W76" s="5">
        <f>(VLOOKUP('8.0.0'!AE76,'8.0.0'!$AM$4:$AO$45,2,FALSE))*IF('8.0.0'!BH$4="是",'8.0.0'!$AY$4,'8.0.0'!$AY$3)</f>
        <v>0</v>
      </c>
      <c r="X76" s="5">
        <f>(VLOOKUP('8.0.0'!AF76,'8.0.0'!$AM$4:$AO$45,2,FALSE))*IF('8.0.0'!BI$4="是",'8.0.0'!$AY$4,'8.0.0'!$AY$3)</f>
        <v>0</v>
      </c>
    </row>
    <row r="77" spans="1:24">
      <c r="A77" s="4">
        <f>(VLOOKUP('8.0.0'!I77,'8.0.0'!$AM$4:$AO$45,2,FALSE))*IF('8.0.0'!AK$4="是",'8.0.0'!$AY$4,'8.0.0'!$AY$3)</f>
        <v>200</v>
      </c>
      <c r="B77" s="4">
        <f>(VLOOKUP('8.0.0'!J77,'8.0.0'!$AM$4:$AO$45,2,FALSE))*IF('8.0.0'!AL$4="是",'8.0.0'!$AY$4,'8.0.0'!$AY$3)</f>
        <v>200</v>
      </c>
      <c r="C77" s="4">
        <f>(VLOOKUP('8.0.0'!K77,'8.0.0'!$AM$4:$AO$45,2,FALSE))*IF('8.0.0'!AM$4="是",'8.0.0'!$AY$4,'8.0.0'!$AY$3)</f>
        <v>200</v>
      </c>
      <c r="D77" s="4">
        <f>(VLOOKUP('8.0.0'!L77,'8.0.0'!$AM$4:$AO$45,2,FALSE))*IF('8.0.0'!AN$4="是",'8.0.0'!$AY$4,'8.0.0'!$AY$3)</f>
        <v>200</v>
      </c>
      <c r="E77" s="4">
        <f>(VLOOKUP('8.0.0'!M77,'8.0.0'!$AM$4:$AO$45,2,FALSE))*IF('8.0.0'!AO$4="是",'8.0.0'!$AY$4,'8.0.0'!$AY$3)</f>
        <v>200</v>
      </c>
      <c r="F77" s="4">
        <f>(VLOOKUP('8.0.0'!N77,'8.0.0'!$AM$4:$AO$45,2,FALSE))*IF('8.0.0'!AQ$4="是",'8.0.0'!$AY$4,'8.0.0'!$AY$3)</f>
        <v>200</v>
      </c>
      <c r="G77" s="5">
        <f>(VLOOKUP('8.0.0'!O77,'8.0.0'!$AM$4:$AO$45,2,FALSE))*IF('8.0.0'!AR$4="是",'8.0.0'!$AY$4,'8.0.0'!$AY$3)</f>
        <v>0</v>
      </c>
      <c r="H77" s="5">
        <f>(VLOOKUP('8.0.0'!P77,'8.0.0'!$AM$4:$AO$45,2,FALSE))*IF('8.0.0'!AS$4="是",'8.0.0'!$AY$4,'8.0.0'!$AY$3)</f>
        <v>0</v>
      </c>
      <c r="I77" s="4">
        <f>(VLOOKUP('8.0.0'!Q77,'8.0.0'!$AM$4:$AO$45,2,FALSE))*IF('8.0.0'!AT$4="是",'8.0.0'!$AY$4,'8.0.0'!$AY$3)</f>
        <v>0</v>
      </c>
      <c r="J77" s="4">
        <f>(VLOOKUP('8.0.0'!R77,'8.0.0'!$AM$4:$AO$45,2,FALSE))*IF('8.0.0'!AU$4="是",'8.0.0'!$AY$4,'8.0.0'!$AY$3)</f>
        <v>0</v>
      </c>
      <c r="K77" s="4">
        <f>(VLOOKUP('8.0.0'!S77,'8.0.0'!$AM$4:$AO$45,2,FALSE))*IF('8.0.0'!AV$4="是",'8.0.0'!$AY$4,'8.0.0'!$AY$3)</f>
        <v>0</v>
      </c>
      <c r="L77" s="4">
        <f>(VLOOKUP('8.0.0'!T77,'8.0.0'!$AM$4:$AO$45,2,FALSE))*IF('8.0.0'!AW$4="是",'8.0.0'!$AY$4,'8.0.0'!$AY$3)</f>
        <v>0</v>
      </c>
      <c r="M77" s="4">
        <f>(VLOOKUP('8.0.0'!U77,'8.0.0'!$AM$4:$AO$45,2,FALSE))*IF('8.0.0'!AX$4="是",'8.0.0'!$AY$4,'8.0.0'!$AY$3)</f>
        <v>0</v>
      </c>
      <c r="N77" s="4">
        <f>(VLOOKUP('8.0.0'!V77,'8.0.0'!$AM$4:$AO$45,2,FALSE))*IF('8.0.0'!AY$4="是",'8.0.0'!$AY$4,'8.0.0'!$AY$3)</f>
        <v>0</v>
      </c>
      <c r="O77" s="5">
        <f>(VLOOKUP('8.0.0'!W77,'8.0.0'!$AM$4:$AO$45,2,FALSE))*IF('8.0.0'!AZ$4="是",'8.0.0'!$AY$4,'8.0.0'!$AY$3)</f>
        <v>0</v>
      </c>
      <c r="P77" s="5">
        <f>(VLOOKUP('8.0.0'!X77,'8.0.0'!$AM$4:$AO$45,2,FALSE))*IF('8.0.0'!BA$4="是",'8.0.0'!$AY$4,'8.0.0'!$AY$3)</f>
        <v>0</v>
      </c>
      <c r="Q77" s="4">
        <f>(VLOOKUP('8.0.0'!Y77,'8.0.0'!$AM$4:$AO$45,2,FALSE))*IF('8.0.0'!BB$4="是",'8.0.0'!$AY$4,'8.0.0'!$AY$3)</f>
        <v>180</v>
      </c>
      <c r="R77" s="4">
        <f>(VLOOKUP('8.0.0'!Z77,'8.0.0'!$AM$4:$AO$45,2,FALSE))*IF('8.0.0'!BC$4="是",'8.0.0'!$AY$4,'8.0.0'!$AY$3)</f>
        <v>180</v>
      </c>
      <c r="S77" s="4">
        <f>(VLOOKUP('8.0.0'!AA77,'8.0.0'!$AM$4:$AO$45,2,FALSE))*IF('8.0.0'!BD$4="是",'8.0.0'!$AY$4,'8.0.0'!$AY$3)</f>
        <v>180</v>
      </c>
      <c r="T77" s="4">
        <f>(VLOOKUP('8.0.0'!AB77,'8.0.0'!$AM$4:$AO$45,2,FALSE))*IF('8.0.0'!BE$4="是",'8.0.0'!$AY$4,'8.0.0'!$AY$3)</f>
        <v>180</v>
      </c>
      <c r="U77" s="4">
        <f>(VLOOKUP('8.0.0'!AC77,'8.0.0'!$AM$4:$AO$45,2,FALSE))*IF('8.0.0'!BF$4="是",'8.0.0'!$AY$4,'8.0.0'!$AY$3)</f>
        <v>180</v>
      </c>
      <c r="V77" s="4">
        <f>(VLOOKUP('8.0.0'!AD77,'8.0.0'!$AM$4:$AO$45,2,FALSE))*IF('8.0.0'!BG$4="是",'8.0.0'!$AY$4,'8.0.0'!$AY$3)</f>
        <v>0</v>
      </c>
      <c r="W77" s="5">
        <f>(VLOOKUP('8.0.0'!AE77,'8.0.0'!$AM$4:$AO$45,2,FALSE))*IF('8.0.0'!BH$4="是",'8.0.0'!$AY$4,'8.0.0'!$AY$3)</f>
        <v>0</v>
      </c>
      <c r="X77" s="5">
        <f>(VLOOKUP('8.0.0'!AF77,'8.0.0'!$AM$4:$AO$45,2,FALSE))*IF('8.0.0'!BI$4="是",'8.0.0'!$AY$4,'8.0.0'!$AY$3)</f>
        <v>0</v>
      </c>
    </row>
    <row r="78" spans="1:24">
      <c r="A78" s="4">
        <f>(VLOOKUP('8.0.0'!I78,'8.0.0'!$AM$4:$AO$45,2,FALSE))*IF('8.0.0'!AK$4="是",'8.0.0'!$AY$4,'8.0.0'!$AY$3)</f>
        <v>200</v>
      </c>
      <c r="B78" s="4">
        <f>(VLOOKUP('8.0.0'!J78,'8.0.0'!$AM$4:$AO$45,2,FALSE))*IF('8.0.0'!AL$4="是",'8.0.0'!$AY$4,'8.0.0'!$AY$3)</f>
        <v>200</v>
      </c>
      <c r="C78" s="4">
        <f>(VLOOKUP('8.0.0'!K78,'8.0.0'!$AM$4:$AO$45,2,FALSE))*IF('8.0.0'!AM$4="是",'8.0.0'!$AY$4,'8.0.0'!$AY$3)</f>
        <v>200</v>
      </c>
      <c r="D78" s="4">
        <f>(VLOOKUP('8.0.0'!L78,'8.0.0'!$AM$4:$AO$45,2,FALSE))*IF('8.0.0'!AN$4="是",'8.0.0'!$AY$4,'8.0.0'!$AY$3)</f>
        <v>200</v>
      </c>
      <c r="E78" s="4">
        <f>(VLOOKUP('8.0.0'!M78,'8.0.0'!$AM$4:$AO$45,2,FALSE))*IF('8.0.0'!AO$4="是",'8.0.0'!$AY$4,'8.0.0'!$AY$3)</f>
        <v>200</v>
      </c>
      <c r="F78" s="4">
        <f>(VLOOKUP('8.0.0'!N78,'8.0.0'!$AM$4:$AO$45,2,FALSE))*IF('8.0.0'!AQ$4="是",'8.0.0'!$AY$4,'8.0.0'!$AY$3)</f>
        <v>200</v>
      </c>
      <c r="G78" s="5">
        <f>(VLOOKUP('8.0.0'!O78,'8.0.0'!$AM$4:$AO$45,2,FALSE))*IF('8.0.0'!AR$4="是",'8.0.0'!$AY$4,'8.0.0'!$AY$3)</f>
        <v>0</v>
      </c>
      <c r="H78" s="5">
        <f>(VLOOKUP('8.0.0'!P78,'8.0.0'!$AM$4:$AO$45,2,FALSE))*IF('8.0.0'!AS$4="是",'8.0.0'!$AY$4,'8.0.0'!$AY$3)</f>
        <v>0</v>
      </c>
      <c r="I78" s="4">
        <f>(VLOOKUP('8.0.0'!Q78,'8.0.0'!$AM$4:$AO$45,2,FALSE))*IF('8.0.0'!AT$4="是",'8.0.0'!$AY$4,'8.0.0'!$AY$3)</f>
        <v>0</v>
      </c>
      <c r="J78" s="4">
        <f>(VLOOKUP('8.0.0'!R78,'8.0.0'!$AM$4:$AO$45,2,FALSE))*IF('8.0.0'!AU$4="是",'8.0.0'!$AY$4,'8.0.0'!$AY$3)</f>
        <v>0</v>
      </c>
      <c r="K78" s="4">
        <f>(VLOOKUP('8.0.0'!S78,'8.0.0'!$AM$4:$AO$45,2,FALSE))*IF('8.0.0'!AV$4="是",'8.0.0'!$AY$4,'8.0.0'!$AY$3)</f>
        <v>0</v>
      </c>
      <c r="L78" s="4">
        <f>(VLOOKUP('8.0.0'!T78,'8.0.0'!$AM$4:$AO$45,2,FALSE))*IF('8.0.0'!AW$4="是",'8.0.0'!$AY$4,'8.0.0'!$AY$3)</f>
        <v>0</v>
      </c>
      <c r="M78" s="4">
        <f>(VLOOKUP('8.0.0'!U78,'8.0.0'!$AM$4:$AO$45,2,FALSE))*IF('8.0.0'!AX$4="是",'8.0.0'!$AY$4,'8.0.0'!$AY$3)</f>
        <v>0</v>
      </c>
      <c r="N78" s="4">
        <f>(VLOOKUP('8.0.0'!V78,'8.0.0'!$AM$4:$AO$45,2,FALSE))*IF('8.0.0'!AY$4="是",'8.0.0'!$AY$4,'8.0.0'!$AY$3)</f>
        <v>0</v>
      </c>
      <c r="O78" s="5">
        <f>(VLOOKUP('8.0.0'!W78,'8.0.0'!$AM$4:$AO$45,2,FALSE))*IF('8.0.0'!AZ$4="是",'8.0.0'!$AY$4,'8.0.0'!$AY$3)</f>
        <v>0</v>
      </c>
      <c r="P78" s="5">
        <f>(VLOOKUP('8.0.0'!X78,'8.0.0'!$AM$4:$AO$45,2,FALSE))*IF('8.0.0'!BA$4="是",'8.0.0'!$AY$4,'8.0.0'!$AY$3)</f>
        <v>0</v>
      </c>
      <c r="Q78" s="4">
        <f>(VLOOKUP('8.0.0'!Y78,'8.0.0'!$AM$4:$AO$45,2,FALSE))*IF('8.0.0'!BB$4="是",'8.0.0'!$AY$4,'8.0.0'!$AY$3)</f>
        <v>180</v>
      </c>
      <c r="R78" s="4">
        <f>(VLOOKUP('8.0.0'!Z78,'8.0.0'!$AM$4:$AO$45,2,FALSE))*IF('8.0.0'!BC$4="是",'8.0.0'!$AY$4,'8.0.0'!$AY$3)</f>
        <v>-200</v>
      </c>
      <c r="S78" s="4">
        <f>(VLOOKUP('8.0.0'!AA78,'8.0.0'!$AM$4:$AO$45,2,FALSE))*IF('8.0.0'!BD$4="是",'8.0.0'!$AY$4,'8.0.0'!$AY$3)</f>
        <v>180</v>
      </c>
      <c r="T78" s="4">
        <f>(VLOOKUP('8.0.0'!AB78,'8.0.0'!$AM$4:$AO$45,2,FALSE))*IF('8.0.0'!BE$4="是",'8.0.0'!$AY$4,'8.0.0'!$AY$3)</f>
        <v>180</v>
      </c>
      <c r="U78" s="4">
        <f>(VLOOKUP('8.0.0'!AC78,'8.0.0'!$AM$4:$AO$45,2,FALSE))*IF('8.0.0'!BF$4="是",'8.0.0'!$AY$4,'8.0.0'!$AY$3)</f>
        <v>180</v>
      </c>
      <c r="V78" s="4">
        <f>(VLOOKUP('8.0.0'!AD78,'8.0.0'!$AM$4:$AO$45,2,FALSE))*IF('8.0.0'!BG$4="是",'8.0.0'!$AY$4,'8.0.0'!$AY$3)</f>
        <v>180</v>
      </c>
      <c r="W78" s="5">
        <f>(VLOOKUP('8.0.0'!AE78,'8.0.0'!$AM$4:$AO$45,2,FALSE))*IF('8.0.0'!BH$4="是",'8.0.0'!$AY$4,'8.0.0'!$AY$3)</f>
        <v>0</v>
      </c>
      <c r="X78" s="5">
        <f>(VLOOKUP('8.0.0'!AF78,'8.0.0'!$AM$4:$AO$45,2,FALSE))*IF('8.0.0'!BI$4="是",'8.0.0'!$AY$4,'8.0.0'!$AY$3)</f>
        <v>0</v>
      </c>
    </row>
    <row r="79" spans="1:24">
      <c r="A79" s="4">
        <f>(VLOOKUP('8.0.0'!I79,'8.0.0'!$AM$4:$AO$45,2,FALSE))*IF('8.0.0'!AK$4="是",'8.0.0'!$AY$4,'8.0.0'!$AY$3)</f>
        <v>250</v>
      </c>
      <c r="B79" s="4">
        <f>(VLOOKUP('8.0.0'!J79,'8.0.0'!$AM$4:$AO$45,2,FALSE))*IF('8.0.0'!AL$4="是",'8.0.0'!$AY$4,'8.0.0'!$AY$3)</f>
        <v>200</v>
      </c>
      <c r="C79" s="4">
        <f>(VLOOKUP('8.0.0'!K79,'8.0.0'!$AM$4:$AO$45,2,FALSE))*IF('8.0.0'!AM$4="是",'8.0.0'!$AY$4,'8.0.0'!$AY$3)</f>
        <v>200</v>
      </c>
      <c r="D79" s="4">
        <f>(VLOOKUP('8.0.0'!L79,'8.0.0'!$AM$4:$AO$45,2,FALSE))*IF('8.0.0'!AN$4="是",'8.0.0'!$AY$4,'8.0.0'!$AY$3)</f>
        <v>200</v>
      </c>
      <c r="E79" s="4">
        <f>(VLOOKUP('8.0.0'!M79,'8.0.0'!$AM$4:$AO$45,2,FALSE))*IF('8.0.0'!AO$4="是",'8.0.0'!$AY$4,'8.0.0'!$AY$3)</f>
        <v>200</v>
      </c>
      <c r="F79" s="4">
        <f>(VLOOKUP('8.0.0'!N79,'8.0.0'!$AM$4:$AO$45,2,FALSE))*IF('8.0.0'!AQ$4="是",'8.0.0'!$AY$4,'8.0.0'!$AY$3)</f>
        <v>200</v>
      </c>
      <c r="G79" s="5">
        <f>(VLOOKUP('8.0.0'!O79,'8.0.0'!$AM$4:$AO$45,2,FALSE))*IF('8.0.0'!AR$4="是",'8.0.0'!$AY$4,'8.0.0'!$AY$3)</f>
        <v>0</v>
      </c>
      <c r="H79" s="5">
        <f>(VLOOKUP('8.0.0'!P79,'8.0.0'!$AM$4:$AO$45,2,FALSE))*IF('8.0.0'!AS$4="是",'8.0.0'!$AY$4,'8.0.0'!$AY$3)</f>
        <v>0</v>
      </c>
      <c r="I79" s="4">
        <f>(VLOOKUP('8.0.0'!Q79,'8.0.0'!$AM$4:$AO$45,2,FALSE))*IF('8.0.0'!AT$4="是",'8.0.0'!$AY$4,'8.0.0'!$AY$3)</f>
        <v>0</v>
      </c>
      <c r="J79" s="4">
        <f>(VLOOKUP('8.0.0'!R79,'8.0.0'!$AM$4:$AO$45,2,FALSE))*IF('8.0.0'!AU$4="是",'8.0.0'!$AY$4,'8.0.0'!$AY$3)</f>
        <v>0</v>
      </c>
      <c r="K79" s="4">
        <f>(VLOOKUP('8.0.0'!S79,'8.0.0'!$AM$4:$AO$45,2,FALSE))*IF('8.0.0'!AV$4="是",'8.0.0'!$AY$4,'8.0.0'!$AY$3)</f>
        <v>0</v>
      </c>
      <c r="L79" s="4">
        <f>(VLOOKUP('8.0.0'!T79,'8.0.0'!$AM$4:$AO$45,2,FALSE))*IF('8.0.0'!AW$4="是",'8.0.0'!$AY$4,'8.0.0'!$AY$3)</f>
        <v>0</v>
      </c>
      <c r="M79" s="4">
        <f>(VLOOKUP('8.0.0'!U79,'8.0.0'!$AM$4:$AO$45,2,FALSE))*IF('8.0.0'!AX$4="是",'8.0.0'!$AY$4,'8.0.0'!$AY$3)</f>
        <v>0</v>
      </c>
      <c r="N79" s="4">
        <f>(VLOOKUP('8.0.0'!V79,'8.0.0'!$AM$4:$AO$45,2,FALSE))*IF('8.0.0'!AY$4="是",'8.0.0'!$AY$4,'8.0.0'!$AY$3)</f>
        <v>0</v>
      </c>
      <c r="O79" s="5">
        <f>(VLOOKUP('8.0.0'!W79,'8.0.0'!$AM$4:$AO$45,2,FALSE))*IF('8.0.0'!AZ$4="是",'8.0.0'!$AY$4,'8.0.0'!$AY$3)</f>
        <v>0</v>
      </c>
      <c r="P79" s="5">
        <f>(VLOOKUP('8.0.0'!X79,'8.0.0'!$AM$4:$AO$45,2,FALSE))*IF('8.0.0'!BA$4="是",'8.0.0'!$AY$4,'8.0.0'!$AY$3)</f>
        <v>0</v>
      </c>
      <c r="Q79" s="4">
        <f>(VLOOKUP('8.0.0'!Y79,'8.0.0'!$AM$4:$AO$45,2,FALSE))*IF('8.0.0'!BB$4="是",'8.0.0'!$AY$4,'8.0.0'!$AY$3)</f>
        <v>180</v>
      </c>
      <c r="R79" s="4">
        <f>(VLOOKUP('8.0.0'!Z79,'8.0.0'!$AM$4:$AO$45,2,FALSE))*IF('8.0.0'!BC$4="是",'8.0.0'!$AY$4,'8.0.0'!$AY$3)</f>
        <v>180</v>
      </c>
      <c r="S79" s="4">
        <f>(VLOOKUP('8.0.0'!AA79,'8.0.0'!$AM$4:$AO$45,2,FALSE))*IF('8.0.0'!BD$4="是",'8.0.0'!$AY$4,'8.0.0'!$AY$3)</f>
        <v>180</v>
      </c>
      <c r="T79" s="4">
        <f>(VLOOKUP('8.0.0'!AB79,'8.0.0'!$AM$4:$AO$45,2,FALSE))*IF('8.0.0'!BE$4="是",'8.0.0'!$AY$4,'8.0.0'!$AY$3)</f>
        <v>180</v>
      </c>
      <c r="U79" s="4">
        <f>(VLOOKUP('8.0.0'!AC79,'8.0.0'!$AM$4:$AO$45,2,FALSE))*IF('8.0.0'!BF$4="是",'8.0.0'!$AY$4,'8.0.0'!$AY$3)</f>
        <v>180</v>
      </c>
      <c r="V79" s="4">
        <f>(VLOOKUP('8.0.0'!AD79,'8.0.0'!$AM$4:$AO$45,2,FALSE))*IF('8.0.0'!BG$4="是",'8.0.0'!$AY$4,'8.0.0'!$AY$3)</f>
        <v>0</v>
      </c>
      <c r="W79" s="5">
        <f>(VLOOKUP('8.0.0'!AE79,'8.0.0'!$AM$4:$AO$45,2,FALSE))*IF('8.0.0'!BH$4="是",'8.0.0'!$AY$4,'8.0.0'!$AY$3)</f>
        <v>0</v>
      </c>
      <c r="X79" s="5">
        <f>(VLOOKUP('8.0.0'!AF79,'8.0.0'!$AM$4:$AO$45,2,FALSE))*IF('8.0.0'!BI$4="是",'8.0.0'!$AY$4,'8.0.0'!$AY$3)</f>
        <v>0</v>
      </c>
    </row>
    <row r="80" spans="1:24">
      <c r="A80" s="4">
        <f>(VLOOKUP('8.0.0'!I80,'8.0.0'!$AM$4:$AO$45,2,FALSE))*IF('8.0.0'!AK$4="是",'8.0.0'!$AY$4,'8.0.0'!$AY$3)</f>
        <v>200</v>
      </c>
      <c r="B80" s="4">
        <f>(VLOOKUP('8.0.0'!J80,'8.0.0'!$AM$4:$AO$45,2,FALSE))*IF('8.0.0'!AL$4="是",'8.0.0'!$AY$4,'8.0.0'!$AY$3)</f>
        <v>200</v>
      </c>
      <c r="C80" s="4">
        <f>(VLOOKUP('8.0.0'!K80,'8.0.0'!$AM$4:$AO$45,2,FALSE))*IF('8.0.0'!AM$4="是",'8.0.0'!$AY$4,'8.0.0'!$AY$3)</f>
        <v>200</v>
      </c>
      <c r="D80" s="4">
        <f>(VLOOKUP('8.0.0'!L80,'8.0.0'!$AM$4:$AO$45,2,FALSE))*IF('8.0.0'!AN$4="是",'8.0.0'!$AY$4,'8.0.0'!$AY$3)</f>
        <v>200</v>
      </c>
      <c r="E80" s="4">
        <f>(VLOOKUP('8.0.0'!M80,'8.0.0'!$AM$4:$AO$45,2,FALSE))*IF('8.0.0'!AO$4="是",'8.0.0'!$AY$4,'8.0.0'!$AY$3)</f>
        <v>200</v>
      </c>
      <c r="F80" s="4">
        <f>(VLOOKUP('8.0.0'!N80,'8.0.0'!$AM$4:$AO$45,2,FALSE))*IF('8.0.0'!AQ$4="是",'8.0.0'!$AY$4,'8.0.0'!$AY$3)</f>
        <v>200</v>
      </c>
      <c r="G80" s="5">
        <f>(VLOOKUP('8.0.0'!O80,'8.0.0'!$AM$4:$AO$45,2,FALSE))*IF('8.0.0'!AR$4="是",'8.0.0'!$AY$4,'8.0.0'!$AY$3)</f>
        <v>0</v>
      </c>
      <c r="H80" s="5">
        <f>(VLOOKUP('8.0.0'!P80,'8.0.0'!$AM$4:$AO$45,2,FALSE))*IF('8.0.0'!AS$4="是",'8.0.0'!$AY$4,'8.0.0'!$AY$3)</f>
        <v>0</v>
      </c>
      <c r="I80" s="4">
        <f>(VLOOKUP('8.0.0'!Q80,'8.0.0'!$AM$4:$AO$45,2,FALSE))*IF('8.0.0'!AT$4="是",'8.0.0'!$AY$4,'8.0.0'!$AY$3)</f>
        <v>0</v>
      </c>
      <c r="J80" s="4">
        <f>(VLOOKUP('8.0.0'!R80,'8.0.0'!$AM$4:$AO$45,2,FALSE))*IF('8.0.0'!AU$4="是",'8.0.0'!$AY$4,'8.0.0'!$AY$3)</f>
        <v>0</v>
      </c>
      <c r="K80" s="4">
        <f>(VLOOKUP('8.0.0'!S80,'8.0.0'!$AM$4:$AO$45,2,FALSE))*IF('8.0.0'!AV$4="是",'8.0.0'!$AY$4,'8.0.0'!$AY$3)</f>
        <v>0</v>
      </c>
      <c r="L80" s="4">
        <f>(VLOOKUP('8.0.0'!T80,'8.0.0'!$AM$4:$AO$45,2,FALSE))*IF('8.0.0'!AW$4="是",'8.0.0'!$AY$4,'8.0.0'!$AY$3)</f>
        <v>0</v>
      </c>
      <c r="M80" s="4">
        <f>(VLOOKUP('8.0.0'!U80,'8.0.0'!$AM$4:$AO$45,2,FALSE))*IF('8.0.0'!AX$4="是",'8.0.0'!$AY$4,'8.0.0'!$AY$3)</f>
        <v>0</v>
      </c>
      <c r="N80" s="4">
        <f>(VLOOKUP('8.0.0'!V80,'8.0.0'!$AM$4:$AO$45,2,FALSE))*IF('8.0.0'!AY$4="是",'8.0.0'!$AY$4,'8.0.0'!$AY$3)</f>
        <v>0</v>
      </c>
      <c r="O80" s="5">
        <f>(VLOOKUP('8.0.0'!W80,'8.0.0'!$AM$4:$AO$45,2,FALSE))*IF('8.0.0'!AZ$4="是",'8.0.0'!$AY$4,'8.0.0'!$AY$3)</f>
        <v>0</v>
      </c>
      <c r="P80" s="5">
        <f>(VLOOKUP('8.0.0'!X80,'8.0.0'!$AM$4:$AO$45,2,FALSE))*IF('8.0.0'!BA$4="是",'8.0.0'!$AY$4,'8.0.0'!$AY$3)</f>
        <v>0</v>
      </c>
      <c r="Q80" s="4">
        <f>(VLOOKUP('8.0.0'!Y80,'8.0.0'!$AM$4:$AO$45,2,FALSE))*IF('8.0.0'!BB$4="是",'8.0.0'!$AY$4,'8.0.0'!$AY$3)</f>
        <v>180</v>
      </c>
      <c r="R80" s="4">
        <f>(VLOOKUP('8.0.0'!Z80,'8.0.0'!$AM$4:$AO$45,2,FALSE))*IF('8.0.0'!BC$4="是",'8.0.0'!$AY$4,'8.0.0'!$AY$3)</f>
        <v>180</v>
      </c>
      <c r="S80" s="4">
        <f>(VLOOKUP('8.0.0'!AA80,'8.0.0'!$AM$4:$AO$45,2,FALSE))*IF('8.0.0'!BD$4="是",'8.0.0'!$AY$4,'8.0.0'!$AY$3)</f>
        <v>180</v>
      </c>
      <c r="T80" s="4">
        <f>(VLOOKUP('8.0.0'!AB80,'8.0.0'!$AM$4:$AO$45,2,FALSE))*IF('8.0.0'!BE$4="是",'8.0.0'!$AY$4,'8.0.0'!$AY$3)</f>
        <v>180</v>
      </c>
      <c r="U80" s="4">
        <f>(VLOOKUP('8.0.0'!AC80,'8.0.0'!$AM$4:$AO$45,2,FALSE))*IF('8.0.0'!BF$4="是",'8.0.0'!$AY$4,'8.0.0'!$AY$3)</f>
        <v>0</v>
      </c>
      <c r="V80" s="4">
        <f>(VLOOKUP('8.0.0'!AD80,'8.0.0'!$AM$4:$AO$45,2,FALSE))*IF('8.0.0'!BG$4="是",'8.0.0'!$AY$4,'8.0.0'!$AY$3)</f>
        <v>0</v>
      </c>
      <c r="W80" s="5">
        <f>(VLOOKUP('8.0.0'!AE80,'8.0.0'!$AM$4:$AO$45,2,FALSE))*IF('8.0.0'!BH$4="是",'8.0.0'!$AY$4,'8.0.0'!$AY$3)</f>
        <v>0</v>
      </c>
      <c r="X80" s="5">
        <f>(VLOOKUP('8.0.0'!AF80,'8.0.0'!$AM$4:$AO$45,2,FALSE))*IF('8.0.0'!BI$4="是",'8.0.0'!$AY$4,'8.0.0'!$AY$3)</f>
        <v>0</v>
      </c>
    </row>
    <row r="81" spans="1:24">
      <c r="A81" s="4">
        <f>(VLOOKUP('8.0.0'!I81,'8.0.0'!$AM$4:$AO$45,2,FALSE))*IF('8.0.0'!AK$4="是",'8.0.0'!$AY$4,'8.0.0'!$AY$3)</f>
        <v>200</v>
      </c>
      <c r="B81" s="4">
        <f>(VLOOKUP('8.0.0'!J81,'8.0.0'!$AM$4:$AO$45,2,FALSE))*IF('8.0.0'!AL$4="是",'8.0.0'!$AY$4,'8.0.0'!$AY$3)</f>
        <v>200</v>
      </c>
      <c r="C81" s="4">
        <f>(VLOOKUP('8.0.0'!K81,'8.0.0'!$AM$4:$AO$45,2,FALSE))*IF('8.0.0'!AM$4="是",'8.0.0'!$AY$4,'8.0.0'!$AY$3)</f>
        <v>200</v>
      </c>
      <c r="D81" s="4">
        <f>(VLOOKUP('8.0.0'!L81,'8.0.0'!$AM$4:$AO$45,2,FALSE))*IF('8.0.0'!AN$4="是",'8.0.0'!$AY$4,'8.0.0'!$AY$3)</f>
        <v>200</v>
      </c>
      <c r="E81" s="4">
        <f>(VLOOKUP('8.0.0'!M81,'8.0.0'!$AM$4:$AO$45,2,FALSE))*IF('8.0.0'!AO$4="是",'8.0.0'!$AY$4,'8.0.0'!$AY$3)</f>
        <v>200</v>
      </c>
      <c r="F81" s="4">
        <f>(VLOOKUP('8.0.0'!N81,'8.0.0'!$AM$4:$AO$45,2,FALSE))*IF('8.0.0'!AQ$4="是",'8.0.0'!$AY$4,'8.0.0'!$AY$3)</f>
        <v>200</v>
      </c>
      <c r="G81" s="5">
        <f>(VLOOKUP('8.0.0'!O81,'8.0.0'!$AM$4:$AO$45,2,FALSE))*IF('8.0.0'!AR$4="是",'8.0.0'!$AY$4,'8.0.0'!$AY$3)</f>
        <v>0</v>
      </c>
      <c r="H81" s="5">
        <f>(VLOOKUP('8.0.0'!P81,'8.0.0'!$AM$4:$AO$45,2,FALSE))*IF('8.0.0'!AS$4="是",'8.0.0'!$AY$4,'8.0.0'!$AY$3)</f>
        <v>0</v>
      </c>
      <c r="I81" s="4">
        <f>(VLOOKUP('8.0.0'!Q81,'8.0.0'!$AM$4:$AO$45,2,FALSE))*IF('8.0.0'!AT$4="是",'8.0.0'!$AY$4,'8.0.0'!$AY$3)</f>
        <v>0</v>
      </c>
      <c r="J81" s="4">
        <f>(VLOOKUP('8.0.0'!R81,'8.0.0'!$AM$4:$AO$45,2,FALSE))*IF('8.0.0'!AU$4="是",'8.0.0'!$AY$4,'8.0.0'!$AY$3)</f>
        <v>0</v>
      </c>
      <c r="K81" s="4">
        <f>(VLOOKUP('8.0.0'!S81,'8.0.0'!$AM$4:$AO$45,2,FALSE))*IF('8.0.0'!AV$4="是",'8.0.0'!$AY$4,'8.0.0'!$AY$3)</f>
        <v>0</v>
      </c>
      <c r="L81" s="4">
        <f>(VLOOKUP('8.0.0'!T81,'8.0.0'!$AM$4:$AO$45,2,FALSE))*IF('8.0.0'!AW$4="是",'8.0.0'!$AY$4,'8.0.0'!$AY$3)</f>
        <v>0</v>
      </c>
      <c r="M81" s="4">
        <f>(VLOOKUP('8.0.0'!U81,'8.0.0'!$AM$4:$AO$45,2,FALSE))*IF('8.0.0'!AX$4="是",'8.0.0'!$AY$4,'8.0.0'!$AY$3)</f>
        <v>0</v>
      </c>
      <c r="N81" s="4">
        <f>(VLOOKUP('8.0.0'!V81,'8.0.0'!$AM$4:$AO$45,2,FALSE))*IF('8.0.0'!AY$4="是",'8.0.0'!$AY$4,'8.0.0'!$AY$3)</f>
        <v>0</v>
      </c>
      <c r="O81" s="5">
        <f>(VLOOKUP('8.0.0'!W81,'8.0.0'!$AM$4:$AO$45,2,FALSE))*IF('8.0.0'!AZ$4="是",'8.0.0'!$AY$4,'8.0.0'!$AY$3)</f>
        <v>0</v>
      </c>
      <c r="P81" s="5">
        <f>(VLOOKUP('8.0.0'!X81,'8.0.0'!$AM$4:$AO$45,2,FALSE))*IF('8.0.0'!BA$4="是",'8.0.0'!$AY$4,'8.0.0'!$AY$3)</f>
        <v>0</v>
      </c>
      <c r="Q81" s="4">
        <f>(VLOOKUP('8.0.0'!Y81,'8.0.0'!$AM$4:$AO$45,2,FALSE))*IF('8.0.0'!BB$4="是",'8.0.0'!$AY$4,'8.0.0'!$AY$3)</f>
        <v>180</v>
      </c>
      <c r="R81" s="4">
        <f>(VLOOKUP('8.0.0'!Z81,'8.0.0'!$AM$4:$AO$45,2,FALSE))*IF('8.0.0'!BC$4="是",'8.0.0'!$AY$4,'8.0.0'!$AY$3)</f>
        <v>180</v>
      </c>
      <c r="S81" s="4">
        <f>(VLOOKUP('8.0.0'!AA81,'8.0.0'!$AM$4:$AO$45,2,FALSE))*IF('8.0.0'!BD$4="是",'8.0.0'!$AY$4,'8.0.0'!$AY$3)</f>
        <v>180</v>
      </c>
      <c r="T81" s="4">
        <f>(VLOOKUP('8.0.0'!AB81,'8.0.0'!$AM$4:$AO$45,2,FALSE))*IF('8.0.0'!BE$4="是",'8.0.0'!$AY$4,'8.0.0'!$AY$3)</f>
        <v>180</v>
      </c>
      <c r="U81" s="4">
        <f>(VLOOKUP('8.0.0'!AC81,'8.0.0'!$AM$4:$AO$45,2,FALSE))*IF('8.0.0'!BF$4="是",'8.0.0'!$AY$4,'8.0.0'!$AY$3)</f>
        <v>0</v>
      </c>
      <c r="V81" s="4">
        <f>(VLOOKUP('8.0.0'!AD81,'8.0.0'!$AM$4:$AO$45,2,FALSE))*IF('8.0.0'!BG$4="是",'8.0.0'!$AY$4,'8.0.0'!$AY$3)</f>
        <v>0</v>
      </c>
      <c r="W81" s="5">
        <f>(VLOOKUP('8.0.0'!AE81,'8.0.0'!$AM$4:$AO$45,2,FALSE))*IF('8.0.0'!BH$4="是",'8.0.0'!$AY$4,'8.0.0'!$AY$3)</f>
        <v>0</v>
      </c>
      <c r="X81" s="5">
        <f>(VLOOKUP('8.0.0'!AF81,'8.0.0'!$AM$4:$AO$45,2,FALSE))*IF('8.0.0'!BI$4="是",'8.0.0'!$AY$4,'8.0.0'!$AY$3)</f>
        <v>0</v>
      </c>
    </row>
    <row r="82" spans="1:24">
      <c r="A82" s="4">
        <f>(VLOOKUP('8.0.0'!I82,'8.0.0'!$AM$4:$AO$45,2,FALSE))*IF('8.0.0'!AK$4="是",'8.0.0'!$AY$4,'8.0.0'!$AY$3)</f>
        <v>200</v>
      </c>
      <c r="B82" s="4">
        <f>(VLOOKUP('8.0.0'!J82,'8.0.0'!$AM$4:$AO$45,2,FALSE))*IF('8.0.0'!AL$4="是",'8.0.0'!$AY$4,'8.0.0'!$AY$3)</f>
        <v>0</v>
      </c>
      <c r="C82" s="4">
        <f>(VLOOKUP('8.0.0'!K82,'8.0.0'!$AM$4:$AO$45,2,FALSE))*IF('8.0.0'!AM$4="是",'8.0.0'!$AY$4,'8.0.0'!$AY$3)</f>
        <v>0</v>
      </c>
      <c r="D82" s="4">
        <f>(VLOOKUP('8.0.0'!L82,'8.0.0'!$AM$4:$AO$45,2,FALSE))*IF('8.0.0'!AN$4="是",'8.0.0'!$AY$4,'8.0.0'!$AY$3)</f>
        <v>0</v>
      </c>
      <c r="E82" s="4">
        <f>(VLOOKUP('8.0.0'!M82,'8.0.0'!$AM$4:$AO$45,2,FALSE))*IF('8.0.0'!AO$4="是",'8.0.0'!$AY$4,'8.0.0'!$AY$3)</f>
        <v>0</v>
      </c>
      <c r="F82" s="4">
        <f>(VLOOKUP('8.0.0'!N82,'8.0.0'!$AM$4:$AO$45,2,FALSE))*IF('8.0.0'!AQ$4="是",'8.0.0'!$AY$4,'8.0.0'!$AY$3)</f>
        <v>0</v>
      </c>
      <c r="G82" s="5">
        <f>(VLOOKUP('8.0.0'!O82,'8.0.0'!$AM$4:$AO$45,2,FALSE))*IF('8.0.0'!AR$4="是",'8.0.0'!$AY$4,'8.0.0'!$AY$3)</f>
        <v>0</v>
      </c>
      <c r="H82" s="5">
        <f>(VLOOKUP('8.0.0'!P82,'8.0.0'!$AM$4:$AO$45,2,FALSE))*IF('8.0.0'!AS$4="是",'8.0.0'!$AY$4,'8.0.0'!$AY$3)</f>
        <v>0</v>
      </c>
      <c r="I82" s="4">
        <f>(VLOOKUP('8.0.0'!Q82,'8.0.0'!$AM$4:$AO$45,2,FALSE))*IF('8.0.0'!AT$4="是",'8.0.0'!$AY$4,'8.0.0'!$AY$3)</f>
        <v>50</v>
      </c>
      <c r="J82" s="4">
        <f>(VLOOKUP('8.0.0'!R82,'8.0.0'!$AM$4:$AO$45,2,FALSE))*IF('8.0.0'!AU$4="是",'8.0.0'!$AY$4,'8.0.0'!$AY$3)</f>
        <v>160</v>
      </c>
      <c r="K82" s="4">
        <f>(VLOOKUP('8.0.0'!S82,'8.0.0'!$AM$4:$AO$45,2,FALSE))*IF('8.0.0'!AV$4="是",'8.0.0'!$AY$4,'8.0.0'!$AY$3)</f>
        <v>160</v>
      </c>
      <c r="L82" s="4">
        <f>(VLOOKUP('8.0.0'!T82,'8.0.0'!$AM$4:$AO$45,2,FALSE))*IF('8.0.0'!AW$4="是",'8.0.0'!$AY$4,'8.0.0'!$AY$3)</f>
        <v>160</v>
      </c>
      <c r="M82" s="4">
        <f>(VLOOKUP('8.0.0'!U82,'8.0.0'!$AM$4:$AO$45,2,FALSE))*IF('8.0.0'!AX$4="是",'8.0.0'!$AY$4,'8.0.0'!$AY$3)</f>
        <v>160</v>
      </c>
      <c r="N82" s="4">
        <f>(VLOOKUP('8.0.0'!V82,'8.0.0'!$AM$4:$AO$45,2,FALSE))*IF('8.0.0'!AY$4="是",'8.0.0'!$AY$4,'8.0.0'!$AY$3)</f>
        <v>50</v>
      </c>
      <c r="O82" s="5">
        <f>(VLOOKUP('8.0.0'!W82,'8.0.0'!$AM$4:$AO$45,2,FALSE))*IF('8.0.0'!AZ$4="是",'8.0.0'!$AY$4,'8.0.0'!$AY$3)</f>
        <v>0</v>
      </c>
      <c r="P82" s="5">
        <f>(VLOOKUP('8.0.0'!X82,'8.0.0'!$AM$4:$AO$45,2,FALSE))*IF('8.0.0'!BA$4="是",'8.0.0'!$AY$4,'8.0.0'!$AY$3)</f>
        <v>0</v>
      </c>
      <c r="Q82" s="4">
        <f>(VLOOKUP('8.0.0'!Y82,'8.0.0'!$AM$4:$AO$45,2,FALSE))*IF('8.0.0'!BB$4="是",'8.0.0'!$AY$4,'8.0.0'!$AY$3)</f>
        <v>180</v>
      </c>
      <c r="R82" s="4">
        <f>(VLOOKUP('8.0.0'!Z82,'8.0.0'!$AM$4:$AO$45,2,FALSE))*IF('8.0.0'!BC$4="是",'8.0.0'!$AY$4,'8.0.0'!$AY$3)</f>
        <v>180</v>
      </c>
      <c r="S82" s="4">
        <f>(VLOOKUP('8.0.0'!AA82,'8.0.0'!$AM$4:$AO$45,2,FALSE))*IF('8.0.0'!BD$4="是",'8.0.0'!$AY$4,'8.0.0'!$AY$3)</f>
        <v>180</v>
      </c>
      <c r="T82" s="4">
        <f>(VLOOKUP('8.0.0'!AB82,'8.0.0'!$AM$4:$AO$45,2,FALSE))*IF('8.0.0'!BE$4="是",'8.0.0'!$AY$4,'8.0.0'!$AY$3)</f>
        <v>180</v>
      </c>
      <c r="U82" s="4">
        <f>(VLOOKUP('8.0.0'!AC82,'8.0.0'!$AM$4:$AO$45,2,FALSE))*IF('8.0.0'!BF$4="是",'8.0.0'!$AY$4,'8.0.0'!$AY$3)</f>
        <v>180</v>
      </c>
      <c r="V82" s="4">
        <f>(VLOOKUP('8.0.0'!AD82,'8.0.0'!$AM$4:$AO$45,2,FALSE))*IF('8.0.0'!BG$4="是",'8.0.0'!$AY$4,'8.0.0'!$AY$3)</f>
        <v>180</v>
      </c>
      <c r="W82" s="5">
        <f>(VLOOKUP('8.0.0'!AE82,'8.0.0'!$AM$4:$AO$45,2,FALSE))*IF('8.0.0'!BH$4="是",'8.0.0'!$AY$4,'8.0.0'!$AY$3)</f>
        <v>0</v>
      </c>
      <c r="X82" s="5">
        <f>(VLOOKUP('8.0.0'!AF82,'8.0.0'!$AM$4:$AO$45,2,FALSE))*IF('8.0.0'!BI$4="是",'8.0.0'!$AY$4,'8.0.0'!$AY$3)</f>
        <v>0</v>
      </c>
    </row>
    <row r="83" spans="1:24">
      <c r="A83" s="4">
        <f>(VLOOKUP('8.0.0'!I83,'8.0.0'!$AM$4:$AO$45,2,FALSE))*IF('8.0.0'!AK$4="是",'8.0.0'!$AY$4,'8.0.0'!$AY$3)</f>
        <v>190</v>
      </c>
      <c r="B83" s="4">
        <f>(VLOOKUP('8.0.0'!J83,'8.0.0'!$AM$4:$AO$45,2,FALSE))*IF('8.0.0'!AL$4="是",'8.0.0'!$AY$4,'8.0.0'!$AY$3)</f>
        <v>190</v>
      </c>
      <c r="C83" s="4">
        <f>(VLOOKUP('8.0.0'!K83,'8.0.0'!$AM$4:$AO$45,2,FALSE))*IF('8.0.0'!AM$4="是",'8.0.0'!$AY$4,'8.0.0'!$AY$3)</f>
        <v>190</v>
      </c>
      <c r="D83" s="4">
        <f>(VLOOKUP('8.0.0'!L83,'8.0.0'!$AM$4:$AO$45,2,FALSE))*IF('8.0.0'!AN$4="是",'8.0.0'!$AY$4,'8.0.0'!$AY$3)</f>
        <v>0</v>
      </c>
      <c r="E83" s="4">
        <f>(VLOOKUP('8.0.0'!M83,'8.0.0'!$AM$4:$AO$45,2,FALSE))*IF('8.0.0'!AO$4="是",'8.0.0'!$AY$4,'8.0.0'!$AY$3)</f>
        <v>0</v>
      </c>
      <c r="F83" s="4">
        <f>(VLOOKUP('8.0.0'!N83,'8.0.0'!$AM$4:$AO$45,2,FALSE))*IF('8.0.0'!AQ$4="是",'8.0.0'!$AY$4,'8.0.0'!$AY$3)</f>
        <v>0</v>
      </c>
      <c r="G83" s="5">
        <f>(VLOOKUP('8.0.0'!O83,'8.0.0'!$AM$4:$AO$45,2,FALSE))*IF('8.0.0'!AR$4="是",'8.0.0'!$AY$4,'8.0.0'!$AY$3)</f>
        <v>0</v>
      </c>
      <c r="H83" s="5">
        <f>(VLOOKUP('8.0.0'!P83,'8.0.0'!$AM$4:$AO$45,2,FALSE))*IF('8.0.0'!AS$4="是",'8.0.0'!$AY$4,'8.0.0'!$AY$3)</f>
        <v>0</v>
      </c>
      <c r="I83" s="4">
        <f>(VLOOKUP('8.0.0'!Q83,'8.0.0'!$AM$4:$AO$45,2,FALSE))*IF('8.0.0'!AT$4="是",'8.0.0'!$AY$4,'8.0.0'!$AY$3)</f>
        <v>160</v>
      </c>
      <c r="J83" s="4">
        <f>(VLOOKUP('8.0.0'!R83,'8.0.0'!$AM$4:$AO$45,2,FALSE))*IF('8.0.0'!AU$4="是",'8.0.0'!$AY$4,'8.0.0'!$AY$3)</f>
        <v>-200</v>
      </c>
      <c r="K83" s="4">
        <f>(VLOOKUP('8.0.0'!S83,'8.0.0'!$AM$4:$AO$45,2,FALSE))*IF('8.0.0'!AV$4="是",'8.0.0'!$AY$4,'8.0.0'!$AY$3)</f>
        <v>160</v>
      </c>
      <c r="L83" s="4">
        <f>(VLOOKUP('8.0.0'!T83,'8.0.0'!$AM$4:$AO$45,2,FALSE))*IF('8.0.0'!AW$4="是",'8.0.0'!$AY$4,'8.0.0'!$AY$3)</f>
        <v>160</v>
      </c>
      <c r="M83" s="4">
        <f>(VLOOKUP('8.0.0'!U83,'8.0.0'!$AM$4:$AO$45,2,FALSE))*IF('8.0.0'!AX$4="是",'8.0.0'!$AY$4,'8.0.0'!$AY$3)</f>
        <v>50</v>
      </c>
      <c r="N83" s="4">
        <f>(VLOOKUP('8.0.0'!V83,'8.0.0'!$AM$4:$AO$45,2,FALSE))*IF('8.0.0'!AY$4="是",'8.0.0'!$AY$4,'8.0.0'!$AY$3)</f>
        <v>160</v>
      </c>
      <c r="O83" s="5">
        <f>(VLOOKUP('8.0.0'!W83,'8.0.0'!$AM$4:$AO$45,2,FALSE))*IF('8.0.0'!AZ$4="是",'8.0.0'!$AY$4,'8.0.0'!$AY$3)</f>
        <v>150</v>
      </c>
      <c r="P83" s="5">
        <f>(VLOOKUP('8.0.0'!X83,'8.0.0'!$AM$4:$AO$45,2,FALSE))*IF('8.0.0'!BA$4="是",'8.0.0'!$AY$4,'8.0.0'!$AY$3)</f>
        <v>150</v>
      </c>
      <c r="Q83" s="4">
        <f>(VLOOKUP('8.0.0'!Y83,'8.0.0'!$AM$4:$AO$45,2,FALSE))*IF('8.0.0'!BB$4="是",'8.0.0'!$AY$4,'8.0.0'!$AY$3)</f>
        <v>180</v>
      </c>
      <c r="R83" s="4">
        <f>(VLOOKUP('8.0.0'!Z83,'8.0.0'!$AM$4:$AO$45,2,FALSE))*IF('8.0.0'!BC$4="是",'8.0.0'!$AY$4,'8.0.0'!$AY$3)</f>
        <v>180</v>
      </c>
      <c r="S83" s="4">
        <f>(VLOOKUP('8.0.0'!AA83,'8.0.0'!$AM$4:$AO$45,2,FALSE))*IF('8.0.0'!BD$4="是",'8.0.0'!$AY$4,'8.0.0'!$AY$3)</f>
        <v>180</v>
      </c>
      <c r="T83" s="4">
        <f>(VLOOKUP('8.0.0'!AB83,'8.0.0'!$AM$4:$AO$45,2,FALSE))*IF('8.0.0'!BE$4="是",'8.0.0'!$AY$4,'8.0.0'!$AY$3)</f>
        <v>180</v>
      </c>
      <c r="U83" s="4">
        <f>(VLOOKUP('8.0.0'!AC83,'8.0.0'!$AM$4:$AO$45,2,FALSE))*IF('8.0.0'!BF$4="是",'8.0.0'!$AY$4,'8.0.0'!$AY$3)</f>
        <v>0</v>
      </c>
      <c r="V83" s="4">
        <f>(VLOOKUP('8.0.0'!AD83,'8.0.0'!$AM$4:$AO$45,2,FALSE))*IF('8.0.0'!BG$4="是",'8.0.0'!$AY$4,'8.0.0'!$AY$3)</f>
        <v>0</v>
      </c>
      <c r="W83" s="5">
        <f>(VLOOKUP('8.0.0'!AE83,'8.0.0'!$AM$4:$AO$45,2,FALSE))*IF('8.0.0'!BH$4="是",'8.0.0'!$AY$4,'8.0.0'!$AY$3)</f>
        <v>0</v>
      </c>
      <c r="X83" s="5">
        <f>(VLOOKUP('8.0.0'!AF83,'8.0.0'!$AM$4:$AO$45,2,FALSE))*IF('8.0.0'!BI$4="是",'8.0.0'!$AY$4,'8.0.0'!$AY$3)</f>
        <v>0</v>
      </c>
    </row>
    <row r="84" spans="1:24">
      <c r="A84" s="4">
        <f>(VLOOKUP('8.0.0'!I84,'8.0.0'!$AM$4:$AO$45,2,FALSE))*IF('8.0.0'!AK$4="是",'8.0.0'!$AY$4,'8.0.0'!$AY$3)</f>
        <v>190</v>
      </c>
      <c r="B84" s="4">
        <f>(VLOOKUP('8.0.0'!J84,'8.0.0'!$AM$4:$AO$45,2,FALSE))*IF('8.0.0'!AL$4="是",'8.0.0'!$AY$4,'8.0.0'!$AY$3)</f>
        <v>-200</v>
      </c>
      <c r="C84" s="4">
        <f>(VLOOKUP('8.0.0'!K84,'8.0.0'!$AM$4:$AO$45,2,FALSE))*IF('8.0.0'!AM$4="是",'8.0.0'!$AY$4,'8.0.0'!$AY$3)</f>
        <v>190</v>
      </c>
      <c r="D84" s="4">
        <f>(VLOOKUP('8.0.0'!L84,'8.0.0'!$AM$4:$AO$45,2,FALSE))*IF('8.0.0'!AN$4="是",'8.0.0'!$AY$4,'8.0.0'!$AY$3)</f>
        <v>190</v>
      </c>
      <c r="E84" s="4">
        <f>(VLOOKUP('8.0.0'!M84,'8.0.0'!$AM$4:$AO$45,2,FALSE))*IF('8.0.0'!AO$4="是",'8.0.0'!$AY$4,'8.0.0'!$AY$3)</f>
        <v>190</v>
      </c>
      <c r="F84" s="4">
        <f>(VLOOKUP('8.0.0'!N84,'8.0.0'!$AM$4:$AO$45,2,FALSE))*IF('8.0.0'!AQ$4="是",'8.0.0'!$AY$4,'8.0.0'!$AY$3)</f>
        <v>190</v>
      </c>
      <c r="G84" s="5">
        <f>(VLOOKUP('8.0.0'!O84,'8.0.0'!$AM$4:$AO$45,2,FALSE))*IF('8.0.0'!AR$4="是",'8.0.0'!$AY$4,'8.0.0'!$AY$3)</f>
        <v>190</v>
      </c>
      <c r="H84" s="5">
        <f>(VLOOKUP('8.0.0'!P84,'8.0.0'!$AM$4:$AO$45,2,FALSE))*IF('8.0.0'!AS$4="是",'8.0.0'!$AY$4,'8.0.0'!$AY$3)</f>
        <v>190</v>
      </c>
      <c r="I84" s="4">
        <f>(VLOOKUP('8.0.0'!Q84,'8.0.0'!$AM$4:$AO$45,2,FALSE))*IF('8.0.0'!AT$4="是",'8.0.0'!$AY$4,'8.0.0'!$AY$3)</f>
        <v>50</v>
      </c>
      <c r="J84" s="4">
        <f>(VLOOKUP('8.0.0'!R84,'8.0.0'!$AM$4:$AO$45,2,FALSE))*IF('8.0.0'!AU$4="是",'8.0.0'!$AY$4,'8.0.0'!$AY$3)</f>
        <v>150</v>
      </c>
      <c r="K84" s="4">
        <f>(VLOOKUP('8.0.0'!S84,'8.0.0'!$AM$4:$AO$45,2,FALSE))*IF('8.0.0'!AV$4="是",'8.0.0'!$AY$4,'8.0.0'!$AY$3)</f>
        <v>150</v>
      </c>
      <c r="L84" s="4">
        <f>(VLOOKUP('8.0.0'!T84,'8.0.0'!$AM$4:$AO$45,2,FALSE))*IF('8.0.0'!AW$4="是",'8.0.0'!$AY$4,'8.0.0'!$AY$3)</f>
        <v>150</v>
      </c>
      <c r="M84" s="4">
        <f>(VLOOKUP('8.0.0'!U84,'8.0.0'!$AM$4:$AO$45,2,FALSE))*IF('8.0.0'!AX$4="是",'8.0.0'!$AY$4,'8.0.0'!$AY$3)</f>
        <v>50</v>
      </c>
      <c r="N84" s="4">
        <f>(VLOOKUP('8.0.0'!V84,'8.0.0'!$AM$4:$AO$45,2,FALSE))*IF('8.0.0'!AY$4="是",'8.0.0'!$AY$4,'8.0.0'!$AY$3)</f>
        <v>160</v>
      </c>
      <c r="O84" s="5">
        <f>(VLOOKUP('8.0.0'!W84,'8.0.0'!$AM$4:$AO$45,2,FALSE))*IF('8.0.0'!AZ$4="是",'8.0.0'!$AY$4,'8.0.0'!$AY$3)</f>
        <v>0</v>
      </c>
      <c r="P84" s="5">
        <f>(VLOOKUP('8.0.0'!X84,'8.0.0'!$AM$4:$AO$45,2,FALSE))*IF('8.0.0'!BA$4="是",'8.0.0'!$AY$4,'8.0.0'!$AY$3)</f>
        <v>0</v>
      </c>
      <c r="Q84" s="4">
        <f>(VLOOKUP('8.0.0'!Y84,'8.0.0'!$AM$4:$AO$45,2,FALSE))*IF('8.0.0'!BB$4="是",'8.0.0'!$AY$4,'8.0.0'!$AY$3)</f>
        <v>180</v>
      </c>
      <c r="R84" s="4">
        <f>(VLOOKUP('8.0.0'!Z84,'8.0.0'!$AM$4:$AO$45,2,FALSE))*IF('8.0.0'!BC$4="是",'8.0.0'!$AY$4,'8.0.0'!$AY$3)</f>
        <v>0</v>
      </c>
      <c r="S84" s="4">
        <f>(VLOOKUP('8.0.0'!AA84,'8.0.0'!$AM$4:$AO$45,2,FALSE))*IF('8.0.0'!BD$4="是",'8.0.0'!$AY$4,'8.0.0'!$AY$3)</f>
        <v>0</v>
      </c>
      <c r="T84" s="4">
        <f>(VLOOKUP('8.0.0'!AB84,'8.0.0'!$AM$4:$AO$45,2,FALSE))*IF('8.0.0'!BE$4="是",'8.0.0'!$AY$4,'8.0.0'!$AY$3)</f>
        <v>0</v>
      </c>
      <c r="U84" s="4">
        <f>(VLOOKUP('8.0.0'!AC84,'8.0.0'!$AM$4:$AO$45,2,FALSE))*IF('8.0.0'!BF$4="是",'8.0.0'!$AY$4,'8.0.0'!$AY$3)</f>
        <v>0</v>
      </c>
      <c r="V84" s="4">
        <f>(VLOOKUP('8.0.0'!AD84,'8.0.0'!$AM$4:$AO$45,2,FALSE))*IF('8.0.0'!BG$4="是",'8.0.0'!$AY$4,'8.0.0'!$AY$3)</f>
        <v>0</v>
      </c>
      <c r="W84" s="5">
        <f>(VLOOKUP('8.0.0'!AE84,'8.0.0'!$AM$4:$AO$45,2,FALSE))*IF('8.0.0'!BH$4="是",'8.0.0'!$AY$4,'8.0.0'!$AY$3)</f>
        <v>0</v>
      </c>
      <c r="X84" s="5">
        <f>(VLOOKUP('8.0.0'!AF84,'8.0.0'!$AM$4:$AO$45,2,FALSE))*IF('8.0.0'!BI$4="是",'8.0.0'!$AY$4,'8.0.0'!$AY$3)</f>
        <v>0</v>
      </c>
    </row>
    <row r="85" spans="1:24">
      <c r="A85" s="4">
        <f>(VLOOKUP('8.0.0'!I85,'8.0.0'!$AM$4:$AO$45,2,FALSE))*IF('8.0.0'!AK$4="是",'8.0.0'!$AY$4,'8.0.0'!$AY$3)</f>
        <v>190</v>
      </c>
      <c r="B85" s="4">
        <f>(VLOOKUP('8.0.0'!J85,'8.0.0'!$AM$4:$AO$45,2,FALSE))*IF('8.0.0'!AL$4="是",'8.0.0'!$AY$4,'8.0.0'!$AY$3)</f>
        <v>190</v>
      </c>
      <c r="C85" s="4">
        <f>(VLOOKUP('8.0.0'!K85,'8.0.0'!$AM$4:$AO$45,2,FALSE))*IF('8.0.0'!AM$4="是",'8.0.0'!$AY$4,'8.0.0'!$AY$3)</f>
        <v>190</v>
      </c>
      <c r="D85" s="4">
        <f>(VLOOKUP('8.0.0'!L85,'8.0.0'!$AM$4:$AO$45,2,FALSE))*IF('8.0.0'!AN$4="是",'8.0.0'!$AY$4,'8.0.0'!$AY$3)</f>
        <v>190</v>
      </c>
      <c r="E85" s="4">
        <f>(VLOOKUP('8.0.0'!M85,'8.0.0'!$AM$4:$AO$45,2,FALSE))*IF('8.0.0'!AO$4="是",'8.0.0'!$AY$4,'8.0.0'!$AY$3)</f>
        <v>190</v>
      </c>
      <c r="F85" s="4">
        <f>(VLOOKUP('8.0.0'!N85,'8.0.0'!$AM$4:$AO$45,2,FALSE))*IF('8.0.0'!AQ$4="是",'8.0.0'!$AY$4,'8.0.0'!$AY$3)</f>
        <v>190</v>
      </c>
      <c r="G85" s="5">
        <f>(VLOOKUP('8.0.0'!O85,'8.0.0'!$AM$4:$AO$45,2,FALSE))*IF('8.0.0'!AR$4="是",'8.0.0'!$AY$4,'8.0.0'!$AY$3)</f>
        <v>0</v>
      </c>
      <c r="H85" s="5">
        <f>(VLOOKUP('8.0.0'!P85,'8.0.0'!$AM$4:$AO$45,2,FALSE))*IF('8.0.0'!AS$4="是",'8.0.0'!$AY$4,'8.0.0'!$AY$3)</f>
        <v>0</v>
      </c>
      <c r="I85" s="4">
        <f>(VLOOKUP('8.0.0'!Q85,'8.0.0'!$AM$4:$AO$45,2,FALSE))*IF('8.0.0'!AT$4="是",'8.0.0'!$AY$4,'8.0.0'!$AY$3)</f>
        <v>50</v>
      </c>
      <c r="J85" s="4">
        <f>(VLOOKUP('8.0.0'!R85,'8.0.0'!$AM$4:$AO$45,2,FALSE))*IF('8.0.0'!AU$4="是",'8.0.0'!$AY$4,'8.0.0'!$AY$3)</f>
        <v>160</v>
      </c>
      <c r="K85" s="4">
        <f>(VLOOKUP('8.0.0'!S85,'8.0.0'!$AM$4:$AO$45,2,FALSE))*IF('8.0.0'!AV$4="是",'8.0.0'!$AY$4,'8.0.0'!$AY$3)</f>
        <v>160</v>
      </c>
      <c r="L85" s="4">
        <f>(VLOOKUP('8.0.0'!T85,'8.0.0'!$AM$4:$AO$45,2,FALSE))*IF('8.0.0'!AW$4="是",'8.0.0'!$AY$4,'8.0.0'!$AY$3)</f>
        <v>0</v>
      </c>
      <c r="M85" s="4">
        <f>(VLOOKUP('8.0.0'!U85,'8.0.0'!$AM$4:$AO$45,2,FALSE))*IF('8.0.0'!AX$4="是",'8.0.0'!$AY$4,'8.0.0'!$AY$3)</f>
        <v>0</v>
      </c>
      <c r="N85" s="4">
        <f>(VLOOKUP('8.0.0'!V85,'8.0.0'!$AM$4:$AO$45,2,FALSE))*IF('8.0.0'!AY$4="是",'8.0.0'!$AY$4,'8.0.0'!$AY$3)</f>
        <v>0</v>
      </c>
      <c r="O85" s="5">
        <f>(VLOOKUP('8.0.0'!W85,'8.0.0'!$AM$4:$AO$45,2,FALSE))*IF('8.0.0'!AZ$4="是",'8.0.0'!$AY$4,'8.0.0'!$AY$3)</f>
        <v>0</v>
      </c>
      <c r="P85" s="5">
        <f>(VLOOKUP('8.0.0'!X85,'8.0.0'!$AM$4:$AO$45,2,FALSE))*IF('8.0.0'!BA$4="是",'8.0.0'!$AY$4,'8.0.0'!$AY$3)</f>
        <v>0</v>
      </c>
      <c r="Q85" s="4">
        <f>(VLOOKUP('8.0.0'!Y85,'8.0.0'!$AM$4:$AO$45,2,FALSE))*IF('8.0.0'!BB$4="是",'8.0.0'!$AY$4,'8.0.0'!$AY$3)</f>
        <v>180</v>
      </c>
      <c r="R85" s="4">
        <f>(VLOOKUP('8.0.0'!Z85,'8.0.0'!$AM$4:$AO$45,2,FALSE))*IF('8.0.0'!BC$4="是",'8.0.0'!$AY$4,'8.0.0'!$AY$3)</f>
        <v>180</v>
      </c>
      <c r="S85" s="4">
        <f>(VLOOKUP('8.0.0'!AA85,'8.0.0'!$AM$4:$AO$45,2,FALSE))*IF('8.0.0'!BD$4="是",'8.0.0'!$AY$4,'8.0.0'!$AY$3)</f>
        <v>180</v>
      </c>
      <c r="T85" s="4">
        <f>(VLOOKUP('8.0.0'!AB85,'8.0.0'!$AM$4:$AO$45,2,FALSE))*IF('8.0.0'!BE$4="是",'8.0.0'!$AY$4,'8.0.0'!$AY$3)</f>
        <v>0</v>
      </c>
      <c r="U85" s="4">
        <f>(VLOOKUP('8.0.0'!AC85,'8.0.0'!$AM$4:$AO$45,2,FALSE))*IF('8.0.0'!BF$4="是",'8.0.0'!$AY$4,'8.0.0'!$AY$3)</f>
        <v>0</v>
      </c>
      <c r="V85" s="4">
        <f>(VLOOKUP('8.0.0'!AD85,'8.0.0'!$AM$4:$AO$45,2,FALSE))*IF('8.0.0'!BG$4="是",'8.0.0'!$AY$4,'8.0.0'!$AY$3)</f>
        <v>0</v>
      </c>
      <c r="W85" s="5">
        <f>(VLOOKUP('8.0.0'!AE85,'8.0.0'!$AM$4:$AO$45,2,FALSE))*IF('8.0.0'!BH$4="是",'8.0.0'!$AY$4,'8.0.0'!$AY$3)</f>
        <v>0</v>
      </c>
      <c r="X85" s="5">
        <f>(VLOOKUP('8.0.0'!AF85,'8.0.0'!$AM$4:$AO$45,2,FALSE))*IF('8.0.0'!BI$4="是",'8.0.0'!$AY$4,'8.0.0'!$AY$3)</f>
        <v>0</v>
      </c>
    </row>
    <row r="86" spans="1:24">
      <c r="A86" s="4">
        <f>(VLOOKUP('8.0.0'!I86,'8.0.0'!$AM$4:$AO$45,2,FALSE))*IF('8.0.0'!AK$4="是",'8.0.0'!$AY$4,'8.0.0'!$AY$3)</f>
        <v>190</v>
      </c>
      <c r="B86" s="4">
        <f>(VLOOKUP('8.0.0'!J86,'8.0.0'!$AM$4:$AO$45,2,FALSE))*IF('8.0.0'!AL$4="是",'8.0.0'!$AY$4,'8.0.0'!$AY$3)</f>
        <v>190</v>
      </c>
      <c r="C86" s="4">
        <f>(VLOOKUP('8.0.0'!K86,'8.0.0'!$AM$4:$AO$45,2,FALSE))*IF('8.0.0'!AM$4="是",'8.0.0'!$AY$4,'8.0.0'!$AY$3)</f>
        <v>190</v>
      </c>
      <c r="D86" s="4">
        <f>(VLOOKUP('8.0.0'!L86,'8.0.0'!$AM$4:$AO$45,2,FALSE))*IF('8.0.0'!AN$4="是",'8.0.0'!$AY$4,'8.0.0'!$AY$3)</f>
        <v>190</v>
      </c>
      <c r="E86" s="4">
        <f>(VLOOKUP('8.0.0'!M86,'8.0.0'!$AM$4:$AO$45,2,FALSE))*IF('8.0.0'!AO$4="是",'8.0.0'!$AY$4,'8.0.0'!$AY$3)</f>
        <v>190</v>
      </c>
      <c r="F86" s="4">
        <f>(VLOOKUP('8.0.0'!N86,'8.0.0'!$AM$4:$AO$45,2,FALSE))*IF('8.0.0'!AQ$4="是",'8.0.0'!$AY$4,'8.0.0'!$AY$3)</f>
        <v>190</v>
      </c>
      <c r="G86" s="5">
        <f>(VLOOKUP('8.0.0'!O86,'8.0.0'!$AM$4:$AO$45,2,FALSE))*IF('8.0.0'!AR$4="是",'8.0.0'!$AY$4,'8.0.0'!$AY$3)</f>
        <v>0</v>
      </c>
      <c r="H86" s="5">
        <f>(VLOOKUP('8.0.0'!P86,'8.0.0'!$AM$4:$AO$45,2,FALSE))*IF('8.0.0'!AS$4="是",'8.0.0'!$AY$4,'8.0.0'!$AY$3)</f>
        <v>0</v>
      </c>
      <c r="I86" s="4">
        <f>(VLOOKUP('8.0.0'!Q86,'8.0.0'!$AM$4:$AO$45,2,FALSE))*IF('8.0.0'!AT$4="是",'8.0.0'!$AY$4,'8.0.0'!$AY$3)</f>
        <v>160</v>
      </c>
      <c r="J86" s="4">
        <f>(VLOOKUP('8.0.0'!R86,'8.0.0'!$AM$4:$AO$45,2,FALSE))*IF('8.0.0'!AU$4="是",'8.0.0'!$AY$4,'8.0.0'!$AY$3)</f>
        <v>50</v>
      </c>
      <c r="K86" s="4">
        <f>(VLOOKUP('8.0.0'!S86,'8.0.0'!$AM$4:$AO$45,2,FALSE))*IF('8.0.0'!AV$4="是",'8.0.0'!$AY$4,'8.0.0'!$AY$3)</f>
        <v>160</v>
      </c>
      <c r="L86" s="4">
        <f>(VLOOKUP('8.0.0'!T86,'8.0.0'!$AM$4:$AO$45,2,FALSE))*IF('8.0.0'!AW$4="是",'8.0.0'!$AY$4,'8.0.0'!$AY$3)</f>
        <v>160</v>
      </c>
      <c r="M86" s="4">
        <f>(VLOOKUP('8.0.0'!U86,'8.0.0'!$AM$4:$AO$45,2,FALSE))*IF('8.0.0'!AX$4="是",'8.0.0'!$AY$4,'8.0.0'!$AY$3)</f>
        <v>0</v>
      </c>
      <c r="N86" s="4">
        <f>(VLOOKUP('8.0.0'!V86,'8.0.0'!$AM$4:$AO$45,2,FALSE))*IF('8.0.0'!AY$4="是",'8.0.0'!$AY$4,'8.0.0'!$AY$3)</f>
        <v>0</v>
      </c>
      <c r="O86" s="5">
        <f>(VLOOKUP('8.0.0'!W86,'8.0.0'!$AM$4:$AO$45,2,FALSE))*IF('8.0.0'!AZ$4="是",'8.0.0'!$AY$4,'8.0.0'!$AY$3)</f>
        <v>0</v>
      </c>
      <c r="P86" s="5">
        <f>(VLOOKUP('8.0.0'!X86,'8.0.0'!$AM$4:$AO$45,2,FALSE))*IF('8.0.0'!BA$4="是",'8.0.0'!$AY$4,'8.0.0'!$AY$3)</f>
        <v>0</v>
      </c>
      <c r="Q86" s="4">
        <f>(VLOOKUP('8.0.0'!Y86,'8.0.0'!$AM$4:$AO$45,2,FALSE))*IF('8.0.0'!BB$4="是",'8.0.0'!$AY$4,'8.0.0'!$AY$3)</f>
        <v>180</v>
      </c>
      <c r="R86" s="4">
        <f>(VLOOKUP('8.0.0'!Z86,'8.0.0'!$AM$4:$AO$45,2,FALSE))*IF('8.0.0'!BC$4="是",'8.0.0'!$AY$4,'8.0.0'!$AY$3)</f>
        <v>180</v>
      </c>
      <c r="S86" s="4">
        <f>(VLOOKUP('8.0.0'!AA86,'8.0.0'!$AM$4:$AO$45,2,FALSE))*IF('8.0.0'!BD$4="是",'8.0.0'!$AY$4,'8.0.0'!$AY$3)</f>
        <v>0</v>
      </c>
      <c r="T86" s="4">
        <f>(VLOOKUP('8.0.0'!AB86,'8.0.0'!$AM$4:$AO$45,2,FALSE))*IF('8.0.0'!BE$4="是",'8.0.0'!$AY$4,'8.0.0'!$AY$3)</f>
        <v>0</v>
      </c>
      <c r="U86" s="4">
        <f>(VLOOKUP('8.0.0'!AC86,'8.0.0'!$AM$4:$AO$45,2,FALSE))*IF('8.0.0'!BF$4="是",'8.0.0'!$AY$4,'8.0.0'!$AY$3)</f>
        <v>0</v>
      </c>
      <c r="V86" s="4">
        <f>(VLOOKUP('8.0.0'!AD86,'8.0.0'!$AM$4:$AO$45,2,FALSE))*IF('8.0.0'!BG$4="是",'8.0.0'!$AY$4,'8.0.0'!$AY$3)</f>
        <v>0</v>
      </c>
      <c r="W86" s="5">
        <f>(VLOOKUP('8.0.0'!AE86,'8.0.0'!$AM$4:$AO$45,2,FALSE))*IF('8.0.0'!BH$4="是",'8.0.0'!$AY$4,'8.0.0'!$AY$3)</f>
        <v>0</v>
      </c>
      <c r="X86" s="5">
        <f>(VLOOKUP('8.0.0'!AF86,'8.0.0'!$AM$4:$AO$45,2,FALSE))*IF('8.0.0'!BI$4="是",'8.0.0'!$AY$4,'8.0.0'!$AY$3)</f>
        <v>0</v>
      </c>
    </row>
    <row r="87" spans="1:24">
      <c r="A87" s="4">
        <f>(VLOOKUP('8.0.0'!I87,'8.0.0'!$AM$4:$AO$45,2,FALSE))*IF('8.0.0'!AK$4="是",'8.0.0'!$AY$4,'8.0.0'!$AY$3)</f>
        <v>190</v>
      </c>
      <c r="B87" s="4">
        <f>(VLOOKUP('8.0.0'!J87,'8.0.0'!$AM$4:$AO$45,2,FALSE))*IF('8.0.0'!AL$4="是",'8.0.0'!$AY$4,'8.0.0'!$AY$3)</f>
        <v>190</v>
      </c>
      <c r="C87" s="4">
        <f>(VLOOKUP('8.0.0'!K87,'8.0.0'!$AM$4:$AO$45,2,FALSE))*IF('8.0.0'!AM$4="是",'8.0.0'!$AY$4,'8.0.0'!$AY$3)</f>
        <v>190</v>
      </c>
      <c r="D87" s="4">
        <f>(VLOOKUP('8.0.0'!L87,'8.0.0'!$AM$4:$AO$45,2,FALSE))*IF('8.0.0'!AN$4="是",'8.0.0'!$AY$4,'8.0.0'!$AY$3)</f>
        <v>190</v>
      </c>
      <c r="E87" s="4">
        <f>(VLOOKUP('8.0.0'!M87,'8.0.0'!$AM$4:$AO$45,2,FALSE))*IF('8.0.0'!AO$4="是",'8.0.0'!$AY$4,'8.0.0'!$AY$3)</f>
        <v>190</v>
      </c>
      <c r="F87" s="4">
        <f>(VLOOKUP('8.0.0'!N87,'8.0.0'!$AM$4:$AO$45,2,FALSE))*IF('8.0.0'!AQ$4="是",'8.0.0'!$AY$4,'8.0.0'!$AY$3)</f>
        <v>190</v>
      </c>
      <c r="G87" s="5">
        <f>(VLOOKUP('8.0.0'!O87,'8.0.0'!$AM$4:$AO$45,2,FALSE))*IF('8.0.0'!AR$4="是",'8.0.0'!$AY$4,'8.0.0'!$AY$3)</f>
        <v>0</v>
      </c>
      <c r="H87" s="5">
        <f>(VLOOKUP('8.0.0'!P87,'8.0.0'!$AM$4:$AO$45,2,FALSE))*IF('8.0.0'!AS$4="是",'8.0.0'!$AY$4,'8.0.0'!$AY$3)</f>
        <v>0</v>
      </c>
      <c r="I87" s="4">
        <f>(VLOOKUP('8.0.0'!Q87,'8.0.0'!$AM$4:$AO$45,2,FALSE))*IF('8.0.0'!AT$4="是",'8.0.0'!$AY$4,'8.0.0'!$AY$3)</f>
        <v>160</v>
      </c>
      <c r="J87" s="4">
        <f>(VLOOKUP('8.0.0'!R87,'8.0.0'!$AM$4:$AO$45,2,FALSE))*IF('8.0.0'!AU$4="是",'8.0.0'!$AY$4,'8.0.0'!$AY$3)</f>
        <v>160</v>
      </c>
      <c r="K87" s="4">
        <f>(VLOOKUP('8.0.0'!S87,'8.0.0'!$AM$4:$AO$45,2,FALSE))*IF('8.0.0'!AV$4="是",'8.0.0'!$AY$4,'8.0.0'!$AY$3)</f>
        <v>-200</v>
      </c>
      <c r="L87" s="4">
        <f>(VLOOKUP('8.0.0'!T87,'8.0.0'!$AM$4:$AO$45,2,FALSE))*IF('8.0.0'!AW$4="是",'8.0.0'!$AY$4,'8.0.0'!$AY$3)</f>
        <v>160</v>
      </c>
      <c r="M87" s="4">
        <f>(VLOOKUP('8.0.0'!U87,'8.0.0'!$AM$4:$AO$45,2,FALSE))*IF('8.0.0'!AX$4="是",'8.0.0'!$AY$4,'8.0.0'!$AY$3)</f>
        <v>160</v>
      </c>
      <c r="N87" s="4">
        <f>(VLOOKUP('8.0.0'!V87,'8.0.0'!$AM$4:$AO$45,2,FALSE))*IF('8.0.0'!AY$4="是",'8.0.0'!$AY$4,'8.0.0'!$AY$3)</f>
        <v>50</v>
      </c>
      <c r="O87" s="5">
        <f>(VLOOKUP('8.0.0'!W87,'8.0.0'!$AM$4:$AO$45,2,FALSE))*IF('8.0.0'!AZ$4="是",'8.0.0'!$AY$4,'8.0.0'!$AY$3)</f>
        <v>160</v>
      </c>
      <c r="P87" s="5">
        <f>(VLOOKUP('8.0.0'!X87,'8.0.0'!$AM$4:$AO$45,2,FALSE))*IF('8.0.0'!BA$4="是",'8.0.0'!$AY$4,'8.0.0'!$AY$3)</f>
        <v>0</v>
      </c>
      <c r="Q87" s="4">
        <f>(VLOOKUP('8.0.0'!Y87,'8.0.0'!$AM$4:$AO$45,2,FALSE))*IF('8.0.0'!BB$4="是",'8.0.0'!$AY$4,'8.0.0'!$AY$3)</f>
        <v>180</v>
      </c>
      <c r="R87" s="4">
        <f>(VLOOKUP('8.0.0'!Z87,'8.0.0'!$AM$4:$AO$45,2,FALSE))*IF('8.0.0'!BC$4="是",'8.0.0'!$AY$4,'8.0.0'!$AY$3)</f>
        <v>0</v>
      </c>
      <c r="S87" s="4">
        <f>(VLOOKUP('8.0.0'!AA87,'8.0.0'!$AM$4:$AO$45,2,FALSE))*IF('8.0.0'!BD$4="是",'8.0.0'!$AY$4,'8.0.0'!$AY$3)</f>
        <v>0</v>
      </c>
      <c r="T87" s="4">
        <f>(VLOOKUP('8.0.0'!AB87,'8.0.0'!$AM$4:$AO$45,2,FALSE))*IF('8.0.0'!BE$4="是",'8.0.0'!$AY$4,'8.0.0'!$AY$3)</f>
        <v>0</v>
      </c>
      <c r="U87" s="4">
        <f>(VLOOKUP('8.0.0'!AC87,'8.0.0'!$AM$4:$AO$45,2,FALSE))*IF('8.0.0'!BF$4="是",'8.0.0'!$AY$4,'8.0.0'!$AY$3)</f>
        <v>0</v>
      </c>
      <c r="V87" s="4">
        <f>(VLOOKUP('8.0.0'!AD87,'8.0.0'!$AM$4:$AO$45,2,FALSE))*IF('8.0.0'!BG$4="是",'8.0.0'!$AY$4,'8.0.0'!$AY$3)</f>
        <v>0</v>
      </c>
      <c r="W87" s="5">
        <f>(VLOOKUP('8.0.0'!AE87,'8.0.0'!$AM$4:$AO$45,2,FALSE))*IF('8.0.0'!BH$4="是",'8.0.0'!$AY$4,'8.0.0'!$AY$3)</f>
        <v>0</v>
      </c>
      <c r="X87" s="5">
        <f>(VLOOKUP('8.0.0'!AF87,'8.0.0'!$AM$4:$AO$45,2,FALSE))*IF('8.0.0'!BI$4="是",'8.0.0'!$AY$4,'8.0.0'!$AY$3)</f>
        <v>0</v>
      </c>
    </row>
    <row r="88" spans="1:24">
      <c r="A88" s="4">
        <f>(VLOOKUP('8.0.0'!I88,'8.0.0'!$AM$4:$AO$45,2,FALSE))*IF('8.0.0'!AK$4="是",'8.0.0'!$AY$4,'8.0.0'!$AY$3)</f>
        <v>190</v>
      </c>
      <c r="B88" s="4">
        <f>(VLOOKUP('8.0.0'!J88,'8.0.0'!$AM$4:$AO$45,2,FALSE))*IF('8.0.0'!AL$4="是",'8.0.0'!$AY$4,'8.0.0'!$AY$3)</f>
        <v>190</v>
      </c>
      <c r="C88" s="4">
        <f>(VLOOKUP('8.0.0'!K88,'8.0.0'!$AM$4:$AO$45,2,FALSE))*IF('8.0.0'!AM$4="是",'8.0.0'!$AY$4,'8.0.0'!$AY$3)</f>
        <v>150</v>
      </c>
      <c r="D88" s="4">
        <f>(VLOOKUP('8.0.0'!L88,'8.0.0'!$AM$4:$AO$45,2,FALSE))*IF('8.0.0'!AN$4="是",'8.0.0'!$AY$4,'8.0.0'!$AY$3)</f>
        <v>190</v>
      </c>
      <c r="E88" s="4">
        <f>(VLOOKUP('8.0.0'!M88,'8.0.0'!$AM$4:$AO$45,2,FALSE))*IF('8.0.0'!AO$4="是",'8.0.0'!$AY$4,'8.0.0'!$AY$3)</f>
        <v>190</v>
      </c>
      <c r="F88" s="4">
        <f>(VLOOKUP('8.0.0'!N88,'8.0.0'!$AM$4:$AO$45,2,FALSE))*IF('8.0.0'!AQ$4="是",'8.0.0'!$AY$4,'8.0.0'!$AY$3)</f>
        <v>190</v>
      </c>
      <c r="G88" s="5">
        <f>(VLOOKUP('8.0.0'!O88,'8.0.0'!$AM$4:$AO$45,2,FALSE))*IF('8.0.0'!AR$4="是",'8.0.0'!$AY$4,'8.0.0'!$AY$3)</f>
        <v>0</v>
      </c>
      <c r="H88" s="5">
        <f>(VLOOKUP('8.0.0'!P88,'8.0.0'!$AM$4:$AO$45,2,FALSE))*IF('8.0.0'!AS$4="是",'8.0.0'!$AY$4,'8.0.0'!$AY$3)</f>
        <v>0</v>
      </c>
      <c r="I88" s="4">
        <f>(VLOOKUP('8.0.0'!Q88,'8.0.0'!$AM$4:$AO$45,2,FALSE))*IF('8.0.0'!AT$4="是",'8.0.0'!$AY$4,'8.0.0'!$AY$3)</f>
        <v>160</v>
      </c>
      <c r="J88" s="4">
        <f>(VLOOKUP('8.0.0'!R88,'8.0.0'!$AM$4:$AO$45,2,FALSE))*IF('8.0.0'!AU$4="是",'8.0.0'!$AY$4,'8.0.0'!$AY$3)</f>
        <v>160</v>
      </c>
      <c r="K88" s="4">
        <f>(VLOOKUP('8.0.0'!S88,'8.0.0'!$AM$4:$AO$45,2,FALSE))*IF('8.0.0'!AV$4="是",'8.0.0'!$AY$4,'8.0.0'!$AY$3)</f>
        <v>160</v>
      </c>
      <c r="L88" s="4">
        <f>(VLOOKUP('8.0.0'!T88,'8.0.0'!$AM$4:$AO$45,2,FALSE))*IF('8.0.0'!AW$4="是",'8.0.0'!$AY$4,'8.0.0'!$AY$3)</f>
        <v>50</v>
      </c>
      <c r="M88" s="4">
        <f>(VLOOKUP('8.0.0'!U88,'8.0.0'!$AM$4:$AO$45,2,FALSE))*IF('8.0.0'!AX$4="是",'8.0.0'!$AY$4,'8.0.0'!$AY$3)</f>
        <v>160</v>
      </c>
      <c r="N88" s="4">
        <f>(VLOOKUP('8.0.0'!V88,'8.0.0'!$AM$4:$AO$45,2,FALSE))*IF('8.0.0'!AY$4="是",'8.0.0'!$AY$4,'8.0.0'!$AY$3)</f>
        <v>160</v>
      </c>
      <c r="O88" s="5">
        <f>(VLOOKUP('8.0.0'!W88,'8.0.0'!$AM$4:$AO$45,2,FALSE))*IF('8.0.0'!AZ$4="是",'8.0.0'!$AY$4,'8.0.0'!$AY$3)</f>
        <v>0</v>
      </c>
      <c r="P88" s="5">
        <f>(VLOOKUP('8.0.0'!X88,'8.0.0'!$AM$4:$AO$45,2,FALSE))*IF('8.0.0'!BA$4="是",'8.0.0'!$AY$4,'8.0.0'!$AY$3)</f>
        <v>0</v>
      </c>
      <c r="Q88" s="4">
        <f>(VLOOKUP('8.0.0'!Y88,'8.0.0'!$AM$4:$AO$45,2,FALSE))*IF('8.0.0'!BB$4="是",'8.0.0'!$AY$4,'8.0.0'!$AY$3)</f>
        <v>0</v>
      </c>
      <c r="R88" s="4">
        <f>(VLOOKUP('8.0.0'!Z88,'8.0.0'!$AM$4:$AO$45,2,FALSE))*IF('8.0.0'!BC$4="是",'8.0.0'!$AY$4,'8.0.0'!$AY$3)</f>
        <v>0</v>
      </c>
      <c r="S88" s="4">
        <f>(VLOOKUP('8.0.0'!AA88,'8.0.0'!$AM$4:$AO$45,2,FALSE))*IF('8.0.0'!BD$4="是",'8.0.0'!$AY$4,'8.0.0'!$AY$3)</f>
        <v>0</v>
      </c>
      <c r="T88" s="4">
        <f>(VLOOKUP('8.0.0'!AB88,'8.0.0'!$AM$4:$AO$45,2,FALSE))*IF('8.0.0'!BE$4="是",'8.0.0'!$AY$4,'8.0.0'!$AY$3)</f>
        <v>0</v>
      </c>
      <c r="U88" s="4">
        <f>(VLOOKUP('8.0.0'!AC88,'8.0.0'!$AM$4:$AO$45,2,FALSE))*IF('8.0.0'!BF$4="是",'8.0.0'!$AY$4,'8.0.0'!$AY$3)</f>
        <v>0</v>
      </c>
      <c r="V88" s="4">
        <f>(VLOOKUP('8.0.0'!AD88,'8.0.0'!$AM$4:$AO$45,2,FALSE))*IF('8.0.0'!BG$4="是",'8.0.0'!$AY$4,'8.0.0'!$AY$3)</f>
        <v>0</v>
      </c>
      <c r="W88" s="5">
        <f>(VLOOKUP('8.0.0'!AE88,'8.0.0'!$AM$4:$AO$45,2,FALSE))*IF('8.0.0'!BH$4="是",'8.0.0'!$AY$4,'8.0.0'!$AY$3)</f>
        <v>0</v>
      </c>
      <c r="X88" s="5">
        <f>(VLOOKUP('8.0.0'!AF88,'8.0.0'!$AM$4:$AO$45,2,FALSE))*IF('8.0.0'!BI$4="是",'8.0.0'!$AY$4,'8.0.0'!$AY$3)</f>
        <v>0</v>
      </c>
    </row>
    <row r="89" spans="1:24">
      <c r="A89" s="4">
        <f>(VLOOKUP('8.0.0'!I89,'8.0.0'!$AM$4:$AO$45,2,FALSE))*IF('8.0.0'!AK$4="是",'8.0.0'!$AY$4,'8.0.0'!$AY$3)</f>
        <v>190</v>
      </c>
      <c r="B89" s="4">
        <f>(VLOOKUP('8.0.0'!J89,'8.0.0'!$AM$4:$AO$45,2,FALSE))*IF('8.0.0'!AL$4="是",'8.0.0'!$AY$4,'8.0.0'!$AY$3)</f>
        <v>190</v>
      </c>
      <c r="C89" s="4">
        <f>(VLOOKUP('8.0.0'!K89,'8.0.0'!$AM$4:$AO$45,2,FALSE))*IF('8.0.0'!AM$4="是",'8.0.0'!$AY$4,'8.0.0'!$AY$3)</f>
        <v>190</v>
      </c>
      <c r="D89" s="4">
        <f>(VLOOKUP('8.0.0'!L89,'8.0.0'!$AM$4:$AO$45,2,FALSE))*IF('8.0.0'!AN$4="是",'8.0.0'!$AY$4,'8.0.0'!$AY$3)</f>
        <v>190</v>
      </c>
      <c r="E89" s="4">
        <f>(VLOOKUP('8.0.0'!M89,'8.0.0'!$AM$4:$AO$45,2,FALSE))*IF('8.0.0'!AO$4="是",'8.0.0'!$AY$4,'8.0.0'!$AY$3)</f>
        <v>190</v>
      </c>
      <c r="F89" s="4">
        <f>(VLOOKUP('8.0.0'!N89,'8.0.0'!$AM$4:$AO$45,2,FALSE))*IF('8.0.0'!AQ$4="是",'8.0.0'!$AY$4,'8.0.0'!$AY$3)</f>
        <v>190</v>
      </c>
      <c r="G89" s="5">
        <f>(VLOOKUP('8.0.0'!O89,'8.0.0'!$AM$4:$AO$45,2,FALSE))*IF('8.0.0'!AR$4="是",'8.0.0'!$AY$4,'8.0.0'!$AY$3)</f>
        <v>0</v>
      </c>
      <c r="H89" s="5">
        <f>(VLOOKUP('8.0.0'!P89,'8.0.0'!$AM$4:$AO$45,2,FALSE))*IF('8.0.0'!AS$4="是",'8.0.0'!$AY$4,'8.0.0'!$AY$3)</f>
        <v>0</v>
      </c>
      <c r="I89" s="4">
        <f>(VLOOKUP('8.0.0'!Q89,'8.0.0'!$AM$4:$AO$45,2,FALSE))*IF('8.0.0'!AT$4="是",'8.0.0'!$AY$4,'8.0.0'!$AY$3)</f>
        <v>160</v>
      </c>
      <c r="J89" s="4">
        <f>(VLOOKUP('8.0.0'!R89,'8.0.0'!$AM$4:$AO$45,2,FALSE))*IF('8.0.0'!AU$4="是",'8.0.0'!$AY$4,'8.0.0'!$AY$3)</f>
        <v>150</v>
      </c>
      <c r="K89" s="4">
        <f>(VLOOKUP('8.0.0'!S89,'8.0.0'!$AM$4:$AO$45,2,FALSE))*IF('8.0.0'!AV$4="是",'8.0.0'!$AY$4,'8.0.0'!$AY$3)</f>
        <v>160</v>
      </c>
      <c r="L89" s="4">
        <f>(VLOOKUP('8.0.0'!T89,'8.0.0'!$AM$4:$AO$45,2,FALSE))*IF('8.0.0'!AW$4="是",'8.0.0'!$AY$4,'8.0.0'!$AY$3)</f>
        <v>160</v>
      </c>
      <c r="M89" s="4">
        <f>(VLOOKUP('8.0.0'!U89,'8.0.0'!$AM$4:$AO$45,2,FALSE))*IF('8.0.0'!AX$4="是",'8.0.0'!$AY$4,'8.0.0'!$AY$3)</f>
        <v>50</v>
      </c>
      <c r="N89" s="4">
        <f>(VLOOKUP('8.0.0'!V89,'8.0.0'!$AM$4:$AO$45,2,FALSE))*IF('8.0.0'!AY$4="是",'8.0.0'!$AY$4,'8.0.0'!$AY$3)</f>
        <v>0</v>
      </c>
      <c r="O89" s="5">
        <f>(VLOOKUP('8.0.0'!W89,'8.0.0'!$AM$4:$AO$45,2,FALSE))*IF('8.0.0'!AZ$4="是",'8.0.0'!$AY$4,'8.0.0'!$AY$3)</f>
        <v>0</v>
      </c>
      <c r="P89" s="5">
        <f>(VLOOKUP('8.0.0'!X89,'8.0.0'!$AM$4:$AO$45,2,FALSE))*IF('8.0.0'!BA$4="是",'8.0.0'!$AY$4,'8.0.0'!$AY$3)</f>
        <v>0</v>
      </c>
      <c r="Q89" s="4">
        <f>(VLOOKUP('8.0.0'!Y89,'8.0.0'!$AM$4:$AO$45,2,FALSE))*IF('8.0.0'!BB$4="是",'8.0.0'!$AY$4,'8.0.0'!$AY$3)</f>
        <v>180</v>
      </c>
      <c r="R89" s="4">
        <f>(VLOOKUP('8.0.0'!Z89,'8.0.0'!$AM$4:$AO$45,2,FALSE))*IF('8.0.0'!BC$4="是",'8.0.0'!$AY$4,'8.0.0'!$AY$3)</f>
        <v>0</v>
      </c>
      <c r="S89" s="4">
        <f>(VLOOKUP('8.0.0'!AA89,'8.0.0'!$AM$4:$AO$45,2,FALSE))*IF('8.0.0'!BD$4="是",'8.0.0'!$AY$4,'8.0.0'!$AY$3)</f>
        <v>0</v>
      </c>
      <c r="T89" s="4">
        <f>(VLOOKUP('8.0.0'!AB89,'8.0.0'!$AM$4:$AO$45,2,FALSE))*IF('8.0.0'!BE$4="是",'8.0.0'!$AY$4,'8.0.0'!$AY$3)</f>
        <v>0</v>
      </c>
      <c r="U89" s="4">
        <f>(VLOOKUP('8.0.0'!AC89,'8.0.0'!$AM$4:$AO$45,2,FALSE))*IF('8.0.0'!BF$4="是",'8.0.0'!$AY$4,'8.0.0'!$AY$3)</f>
        <v>0</v>
      </c>
      <c r="V89" s="4">
        <f>(VLOOKUP('8.0.0'!AD89,'8.0.0'!$AM$4:$AO$45,2,FALSE))*IF('8.0.0'!BG$4="是",'8.0.0'!$AY$4,'8.0.0'!$AY$3)</f>
        <v>0</v>
      </c>
      <c r="W89" s="5">
        <f>(VLOOKUP('8.0.0'!AE89,'8.0.0'!$AM$4:$AO$45,2,FALSE))*IF('8.0.0'!BH$4="是",'8.0.0'!$AY$4,'8.0.0'!$AY$3)</f>
        <v>0</v>
      </c>
      <c r="X89" s="5">
        <f>(VLOOKUP('8.0.0'!AF89,'8.0.0'!$AM$4:$AO$45,2,FALSE))*IF('8.0.0'!BI$4="是",'8.0.0'!$AY$4,'8.0.0'!$AY$3)</f>
        <v>0</v>
      </c>
    </row>
    <row r="90" spans="1:24">
      <c r="A90" s="4">
        <f>(VLOOKUP('8.0.0'!I90,'8.0.0'!$AM$4:$AO$45,2,FALSE))*IF('8.0.0'!AK$4="是",'8.0.0'!$AY$4,'8.0.0'!$AY$3)</f>
        <v>190</v>
      </c>
      <c r="B90" s="4">
        <f>(VLOOKUP('8.0.0'!J90,'8.0.0'!$AM$4:$AO$45,2,FALSE))*IF('8.0.0'!AL$4="是",'8.0.0'!$AY$4,'8.0.0'!$AY$3)</f>
        <v>190</v>
      </c>
      <c r="C90" s="4">
        <f>(VLOOKUP('8.0.0'!K90,'8.0.0'!$AM$4:$AO$45,2,FALSE))*IF('8.0.0'!AM$4="是",'8.0.0'!$AY$4,'8.0.0'!$AY$3)</f>
        <v>190</v>
      </c>
      <c r="D90" s="4">
        <f>(VLOOKUP('8.0.0'!L90,'8.0.0'!$AM$4:$AO$45,2,FALSE))*IF('8.0.0'!AN$4="是",'8.0.0'!$AY$4,'8.0.0'!$AY$3)</f>
        <v>190</v>
      </c>
      <c r="E90" s="4">
        <f>(VLOOKUP('8.0.0'!M90,'8.0.0'!$AM$4:$AO$45,2,FALSE))*IF('8.0.0'!AO$4="是",'8.0.0'!$AY$4,'8.0.0'!$AY$3)</f>
        <v>190</v>
      </c>
      <c r="F90" s="4">
        <f>(VLOOKUP('8.0.0'!N90,'8.0.0'!$AM$4:$AO$45,2,FALSE))*IF('8.0.0'!AQ$4="是",'8.0.0'!$AY$4,'8.0.0'!$AY$3)</f>
        <v>190</v>
      </c>
      <c r="G90" s="5">
        <f>(VLOOKUP('8.0.0'!O90,'8.0.0'!$AM$4:$AO$45,2,FALSE))*IF('8.0.0'!AR$4="是",'8.0.0'!$AY$4,'8.0.0'!$AY$3)</f>
        <v>0</v>
      </c>
      <c r="H90" s="5">
        <f>(VLOOKUP('8.0.0'!P90,'8.0.0'!$AM$4:$AO$45,2,FALSE))*IF('8.0.0'!AS$4="是",'8.0.0'!$AY$4,'8.0.0'!$AY$3)</f>
        <v>0</v>
      </c>
      <c r="I90" s="4">
        <f>(VLOOKUP('8.0.0'!Q90,'8.0.0'!$AM$4:$AO$45,2,FALSE))*IF('8.0.0'!AT$4="是",'8.0.0'!$AY$4,'8.0.0'!$AY$3)</f>
        <v>160</v>
      </c>
      <c r="J90" s="4">
        <f>(VLOOKUP('8.0.0'!R90,'8.0.0'!$AM$4:$AO$45,2,FALSE))*IF('8.0.0'!AU$4="是",'8.0.0'!$AY$4,'8.0.0'!$AY$3)</f>
        <v>160</v>
      </c>
      <c r="K90" s="4">
        <f>(VLOOKUP('8.0.0'!S90,'8.0.0'!$AM$4:$AO$45,2,FALSE))*IF('8.0.0'!AV$4="是",'8.0.0'!$AY$4,'8.0.0'!$AY$3)</f>
        <v>0</v>
      </c>
      <c r="L90" s="4">
        <f>(VLOOKUP('8.0.0'!T90,'8.0.0'!$AM$4:$AO$45,2,FALSE))*IF('8.0.0'!AW$4="是",'8.0.0'!$AY$4,'8.0.0'!$AY$3)</f>
        <v>0</v>
      </c>
      <c r="M90" s="4">
        <f>(VLOOKUP('8.0.0'!U90,'8.0.0'!$AM$4:$AO$45,2,FALSE))*IF('8.0.0'!AX$4="是",'8.0.0'!$AY$4,'8.0.0'!$AY$3)</f>
        <v>0</v>
      </c>
      <c r="N90" s="4">
        <f>(VLOOKUP('8.0.0'!V90,'8.0.0'!$AM$4:$AO$45,2,FALSE))*IF('8.0.0'!AY$4="是",'8.0.0'!$AY$4,'8.0.0'!$AY$3)</f>
        <v>0</v>
      </c>
      <c r="O90" s="5">
        <f>(VLOOKUP('8.0.0'!W90,'8.0.0'!$AM$4:$AO$45,2,FALSE))*IF('8.0.0'!AZ$4="是",'8.0.0'!$AY$4,'8.0.0'!$AY$3)</f>
        <v>0</v>
      </c>
      <c r="P90" s="5">
        <f>(VLOOKUP('8.0.0'!X90,'8.0.0'!$AM$4:$AO$45,2,FALSE))*IF('8.0.0'!BA$4="是",'8.0.0'!$AY$4,'8.0.0'!$AY$3)</f>
        <v>0</v>
      </c>
      <c r="Q90" s="4">
        <f>(VLOOKUP('8.0.0'!Y90,'8.0.0'!$AM$4:$AO$45,2,FALSE))*IF('8.0.0'!BB$4="是",'8.0.0'!$AY$4,'8.0.0'!$AY$3)</f>
        <v>180</v>
      </c>
      <c r="R90" s="4">
        <f>(VLOOKUP('8.0.0'!Z90,'8.0.0'!$AM$4:$AO$45,2,FALSE))*IF('8.0.0'!BC$4="是",'8.0.0'!$AY$4,'8.0.0'!$AY$3)</f>
        <v>150</v>
      </c>
      <c r="S90" s="4">
        <f>(VLOOKUP('8.0.0'!AA90,'8.0.0'!$AM$4:$AO$45,2,FALSE))*IF('8.0.0'!BD$4="是",'8.0.0'!$AY$4,'8.0.0'!$AY$3)</f>
        <v>180</v>
      </c>
      <c r="T90" s="4">
        <f>(VLOOKUP('8.0.0'!AB90,'8.0.0'!$AM$4:$AO$45,2,FALSE))*IF('8.0.0'!BE$4="是",'8.0.0'!$AY$4,'8.0.0'!$AY$3)</f>
        <v>0</v>
      </c>
      <c r="U90" s="4">
        <f>(VLOOKUP('8.0.0'!AC90,'8.0.0'!$AM$4:$AO$45,2,FALSE))*IF('8.0.0'!BF$4="是",'8.0.0'!$AY$4,'8.0.0'!$AY$3)</f>
        <v>0</v>
      </c>
      <c r="V90" s="4">
        <f>(VLOOKUP('8.0.0'!AD90,'8.0.0'!$AM$4:$AO$45,2,FALSE))*IF('8.0.0'!BG$4="是",'8.0.0'!$AY$4,'8.0.0'!$AY$3)</f>
        <v>0</v>
      </c>
      <c r="W90" s="5">
        <f>(VLOOKUP('8.0.0'!AE90,'8.0.0'!$AM$4:$AO$45,2,FALSE))*IF('8.0.0'!BH$4="是",'8.0.0'!$AY$4,'8.0.0'!$AY$3)</f>
        <v>0</v>
      </c>
      <c r="X90" s="5">
        <f>(VLOOKUP('8.0.0'!AF90,'8.0.0'!$AM$4:$AO$45,2,FALSE))*IF('8.0.0'!BI$4="是",'8.0.0'!$AY$4,'8.0.0'!$AY$3)</f>
        <v>0</v>
      </c>
    </row>
    <row r="91" spans="1:24">
      <c r="A91" s="4">
        <f>(VLOOKUP('8.0.0'!I91,'8.0.0'!$AM$4:$AO$45,2,FALSE))*IF('8.0.0'!AK$4="是",'8.0.0'!$AY$4,'8.0.0'!$AY$3)</f>
        <v>190</v>
      </c>
      <c r="B91" s="4">
        <f>(VLOOKUP('8.0.0'!J91,'8.0.0'!$AM$4:$AO$45,2,FALSE))*IF('8.0.0'!AL$4="是",'8.0.0'!$AY$4,'8.0.0'!$AY$3)</f>
        <v>0</v>
      </c>
      <c r="C91" s="4">
        <f>(VLOOKUP('8.0.0'!K91,'8.0.0'!$AM$4:$AO$45,2,FALSE))*IF('8.0.0'!AM$4="是",'8.0.0'!$AY$4,'8.0.0'!$AY$3)</f>
        <v>0</v>
      </c>
      <c r="D91" s="4">
        <f>(VLOOKUP('8.0.0'!L91,'8.0.0'!$AM$4:$AO$45,2,FALSE))*IF('8.0.0'!AN$4="是",'8.0.0'!$AY$4,'8.0.0'!$AY$3)</f>
        <v>0</v>
      </c>
      <c r="E91" s="4">
        <f>(VLOOKUP('8.0.0'!M91,'8.0.0'!$AM$4:$AO$45,2,FALSE))*IF('8.0.0'!AO$4="是",'8.0.0'!$AY$4,'8.0.0'!$AY$3)</f>
        <v>0</v>
      </c>
      <c r="F91" s="4">
        <f>(VLOOKUP('8.0.0'!N91,'8.0.0'!$AM$4:$AO$45,2,FALSE))*IF('8.0.0'!AQ$4="是",'8.0.0'!$AY$4,'8.0.0'!$AY$3)</f>
        <v>0</v>
      </c>
      <c r="G91" s="5">
        <f>(VLOOKUP('8.0.0'!O91,'8.0.0'!$AM$4:$AO$45,2,FALSE))*IF('8.0.0'!AR$4="是",'8.0.0'!$AY$4,'8.0.0'!$AY$3)</f>
        <v>0</v>
      </c>
      <c r="H91" s="5">
        <f>(VLOOKUP('8.0.0'!P91,'8.0.0'!$AM$4:$AO$45,2,FALSE))*IF('8.0.0'!AS$4="是",'8.0.0'!$AY$4,'8.0.0'!$AY$3)</f>
        <v>0</v>
      </c>
      <c r="I91" s="4">
        <f>(VLOOKUP('8.0.0'!Q91,'8.0.0'!$AM$4:$AO$45,2,FALSE))*IF('8.0.0'!AT$4="是",'8.0.0'!$AY$4,'8.0.0'!$AY$3)</f>
        <v>160</v>
      </c>
      <c r="J91" s="4">
        <f>(VLOOKUP('8.0.0'!R91,'8.0.0'!$AM$4:$AO$45,2,FALSE))*IF('8.0.0'!AU$4="是",'8.0.0'!$AY$4,'8.0.0'!$AY$3)</f>
        <v>160</v>
      </c>
      <c r="K91" s="4">
        <f>(VLOOKUP('8.0.0'!S91,'8.0.0'!$AM$4:$AO$45,2,FALSE))*IF('8.0.0'!AV$4="是",'8.0.0'!$AY$4,'8.0.0'!$AY$3)</f>
        <v>160</v>
      </c>
      <c r="L91" s="4">
        <f>(VLOOKUP('8.0.0'!T91,'8.0.0'!$AM$4:$AO$45,2,FALSE))*IF('8.0.0'!AW$4="是",'8.0.0'!$AY$4,'8.0.0'!$AY$3)</f>
        <v>50</v>
      </c>
      <c r="M91" s="4">
        <f>(VLOOKUP('8.0.0'!U91,'8.0.0'!$AM$4:$AO$45,2,FALSE))*IF('8.0.0'!AX$4="是",'8.0.0'!$AY$4,'8.0.0'!$AY$3)</f>
        <v>160</v>
      </c>
      <c r="N91" s="4">
        <f>(VLOOKUP('8.0.0'!V91,'8.0.0'!$AM$4:$AO$45,2,FALSE))*IF('8.0.0'!AY$4="是",'8.0.0'!$AY$4,'8.0.0'!$AY$3)</f>
        <v>160</v>
      </c>
      <c r="O91" s="5">
        <f>(VLOOKUP('8.0.0'!W91,'8.0.0'!$AM$4:$AO$45,2,FALSE))*IF('8.0.0'!AZ$4="是",'8.0.0'!$AY$4,'8.0.0'!$AY$3)</f>
        <v>0</v>
      </c>
      <c r="P91" s="5">
        <f>(VLOOKUP('8.0.0'!X91,'8.0.0'!$AM$4:$AO$45,2,FALSE))*IF('8.0.0'!BA$4="是",'8.0.0'!$AY$4,'8.0.0'!$AY$3)</f>
        <v>0</v>
      </c>
      <c r="Q91" s="4">
        <f>(VLOOKUP('8.0.0'!Y91,'8.0.0'!$AM$4:$AO$45,2,FALSE))*IF('8.0.0'!BB$4="是",'8.0.0'!$AY$4,'8.0.0'!$AY$3)</f>
        <v>180</v>
      </c>
      <c r="R91" s="4">
        <f>(VLOOKUP('8.0.0'!Z91,'8.0.0'!$AM$4:$AO$45,2,FALSE))*IF('8.0.0'!BC$4="是",'8.0.0'!$AY$4,'8.0.0'!$AY$3)</f>
        <v>180</v>
      </c>
      <c r="S91" s="4">
        <f>(VLOOKUP('8.0.0'!AA91,'8.0.0'!$AM$4:$AO$45,2,FALSE))*IF('8.0.0'!BD$4="是",'8.0.0'!$AY$4,'8.0.0'!$AY$3)</f>
        <v>180</v>
      </c>
      <c r="T91" s="4">
        <f>(VLOOKUP('8.0.0'!AB91,'8.0.0'!$AM$4:$AO$45,2,FALSE))*IF('8.0.0'!BE$4="是",'8.0.0'!$AY$4,'8.0.0'!$AY$3)</f>
        <v>180</v>
      </c>
      <c r="U91" s="4">
        <f>(VLOOKUP('8.0.0'!AC91,'8.0.0'!$AM$4:$AO$45,2,FALSE))*IF('8.0.0'!BF$4="是",'8.0.0'!$AY$4,'8.0.0'!$AY$3)</f>
        <v>180</v>
      </c>
      <c r="V91" s="4">
        <f>(VLOOKUP('8.0.0'!AD91,'8.0.0'!$AM$4:$AO$45,2,FALSE))*IF('8.0.0'!BG$4="是",'8.0.0'!$AY$4,'8.0.0'!$AY$3)</f>
        <v>180</v>
      </c>
      <c r="W91" s="5">
        <f>(VLOOKUP('8.0.0'!AE91,'8.0.0'!$AM$4:$AO$45,2,FALSE))*IF('8.0.0'!BH$4="是",'8.0.0'!$AY$4,'8.0.0'!$AY$3)</f>
        <v>0</v>
      </c>
      <c r="X91" s="5">
        <f>(VLOOKUP('8.0.0'!AF91,'8.0.0'!$AM$4:$AO$45,2,FALSE))*IF('8.0.0'!BI$4="是",'8.0.0'!$AY$4,'8.0.0'!$AY$3)</f>
        <v>0</v>
      </c>
    </row>
    <row r="92" spans="1:24">
      <c r="A92" s="4">
        <f>(VLOOKUP('8.0.0'!I92,'8.0.0'!$AM$4:$AO$45,2,FALSE))*IF('8.0.0'!AK$4="是",'8.0.0'!$AY$4,'8.0.0'!$AY$3)</f>
        <v>190</v>
      </c>
      <c r="B92" s="4">
        <f>(VLOOKUP('8.0.0'!J92,'8.0.0'!$AM$4:$AO$45,2,FALSE))*IF('8.0.0'!AL$4="是",'8.0.0'!$AY$4,'8.0.0'!$AY$3)</f>
        <v>0</v>
      </c>
      <c r="C92" s="4">
        <f>(VLOOKUP('8.0.0'!K92,'8.0.0'!$AM$4:$AO$45,2,FALSE))*IF('8.0.0'!AM$4="是",'8.0.0'!$AY$4,'8.0.0'!$AY$3)</f>
        <v>0</v>
      </c>
      <c r="D92" s="4">
        <f>(VLOOKUP('8.0.0'!L92,'8.0.0'!$AM$4:$AO$45,2,FALSE))*IF('8.0.0'!AN$4="是",'8.0.0'!$AY$4,'8.0.0'!$AY$3)</f>
        <v>0</v>
      </c>
      <c r="E92" s="4">
        <f>(VLOOKUP('8.0.0'!M92,'8.0.0'!$AM$4:$AO$45,2,FALSE))*IF('8.0.0'!AO$4="是",'8.0.0'!$AY$4,'8.0.0'!$AY$3)</f>
        <v>0</v>
      </c>
      <c r="F92" s="4">
        <f>(VLOOKUP('8.0.0'!N92,'8.0.0'!$AM$4:$AO$45,2,FALSE))*IF('8.0.0'!AQ$4="是",'8.0.0'!$AY$4,'8.0.0'!$AY$3)</f>
        <v>0</v>
      </c>
      <c r="G92" s="5">
        <f>(VLOOKUP('8.0.0'!O92,'8.0.0'!$AM$4:$AO$45,2,FALSE))*IF('8.0.0'!AR$4="是",'8.0.0'!$AY$4,'8.0.0'!$AY$3)</f>
        <v>0</v>
      </c>
      <c r="H92" s="5">
        <f>(VLOOKUP('8.0.0'!P92,'8.0.0'!$AM$4:$AO$45,2,FALSE))*IF('8.0.0'!AS$4="是",'8.0.0'!$AY$4,'8.0.0'!$AY$3)</f>
        <v>0</v>
      </c>
      <c r="I92" s="4">
        <f>(VLOOKUP('8.0.0'!Q92,'8.0.0'!$AM$4:$AO$45,2,FALSE))*IF('8.0.0'!AT$4="是",'8.0.0'!$AY$4,'8.0.0'!$AY$3)</f>
        <v>160</v>
      </c>
      <c r="J92" s="4">
        <f>(VLOOKUP('8.0.0'!R92,'8.0.0'!$AM$4:$AO$45,2,FALSE))*IF('8.0.0'!AU$4="是",'8.0.0'!$AY$4,'8.0.0'!$AY$3)</f>
        <v>150</v>
      </c>
      <c r="K92" s="4">
        <f>(VLOOKUP('8.0.0'!S92,'8.0.0'!$AM$4:$AO$45,2,FALSE))*IF('8.0.0'!AV$4="是",'8.0.0'!$AY$4,'8.0.0'!$AY$3)</f>
        <v>160</v>
      </c>
      <c r="L92" s="4">
        <f>(VLOOKUP('8.0.0'!T92,'8.0.0'!$AM$4:$AO$45,2,FALSE))*IF('8.0.0'!AW$4="是",'8.0.0'!$AY$4,'8.0.0'!$AY$3)</f>
        <v>160</v>
      </c>
      <c r="M92" s="4">
        <f>(VLOOKUP('8.0.0'!U92,'8.0.0'!$AM$4:$AO$45,2,FALSE))*IF('8.0.0'!AX$4="是",'8.0.0'!$AY$4,'8.0.0'!$AY$3)</f>
        <v>50</v>
      </c>
      <c r="N92" s="4">
        <f>(VLOOKUP('8.0.0'!V92,'8.0.0'!$AM$4:$AO$45,2,FALSE))*IF('8.0.0'!AY$4="是",'8.0.0'!$AY$4,'8.0.0'!$AY$3)</f>
        <v>160</v>
      </c>
      <c r="O92" s="5">
        <f>(VLOOKUP('8.0.0'!W92,'8.0.0'!$AM$4:$AO$45,2,FALSE))*IF('8.0.0'!AZ$4="是",'8.0.0'!$AY$4,'8.0.0'!$AY$3)</f>
        <v>0</v>
      </c>
      <c r="P92" s="5">
        <f>(VLOOKUP('8.0.0'!X92,'8.0.0'!$AM$4:$AO$45,2,FALSE))*IF('8.0.0'!BA$4="是",'8.0.0'!$AY$4,'8.0.0'!$AY$3)</f>
        <v>0</v>
      </c>
      <c r="Q92" s="4">
        <f>(VLOOKUP('8.0.0'!Y92,'8.0.0'!$AM$4:$AO$45,2,FALSE))*IF('8.0.0'!BB$4="是",'8.0.0'!$AY$4,'8.0.0'!$AY$3)</f>
        <v>50</v>
      </c>
      <c r="R92" s="4">
        <f>(VLOOKUP('8.0.0'!Z92,'8.0.0'!$AM$4:$AO$45,2,FALSE))*IF('8.0.0'!BC$4="是",'8.0.0'!$AY$4,'8.0.0'!$AY$3)</f>
        <v>180</v>
      </c>
      <c r="S92" s="4">
        <f>(VLOOKUP('8.0.0'!AA92,'8.0.0'!$AM$4:$AO$45,2,FALSE))*IF('8.0.0'!BD$4="是",'8.0.0'!$AY$4,'8.0.0'!$AY$3)</f>
        <v>180</v>
      </c>
      <c r="T92" s="4">
        <f>(VLOOKUP('8.0.0'!AB92,'8.0.0'!$AM$4:$AO$45,2,FALSE))*IF('8.0.0'!BE$4="是",'8.0.0'!$AY$4,'8.0.0'!$AY$3)</f>
        <v>180</v>
      </c>
      <c r="U92" s="4">
        <f>(VLOOKUP('8.0.0'!AC92,'8.0.0'!$AM$4:$AO$45,2,FALSE))*IF('8.0.0'!BF$4="是",'8.0.0'!$AY$4,'8.0.0'!$AY$3)</f>
        <v>180</v>
      </c>
      <c r="V92" s="4">
        <f>(VLOOKUP('8.0.0'!AD92,'8.0.0'!$AM$4:$AO$45,2,FALSE))*IF('8.0.0'!BG$4="是",'8.0.0'!$AY$4,'8.0.0'!$AY$3)</f>
        <v>180</v>
      </c>
      <c r="W92" s="5">
        <f>(VLOOKUP('8.0.0'!AE92,'8.0.0'!$AM$4:$AO$45,2,FALSE))*IF('8.0.0'!BH$4="是",'8.0.0'!$AY$4,'8.0.0'!$AY$3)</f>
        <v>0</v>
      </c>
      <c r="X92" s="5">
        <f>(VLOOKUP('8.0.0'!AF92,'8.0.0'!$AM$4:$AO$45,2,FALSE))*IF('8.0.0'!BI$4="是",'8.0.0'!$AY$4,'8.0.0'!$AY$3)</f>
        <v>0</v>
      </c>
    </row>
    <row r="93" spans="1:24">
      <c r="A93" s="4">
        <f>(VLOOKUP('8.0.0'!I93,'8.0.0'!$AM$4:$AO$45,2,FALSE))*IF('8.0.0'!AK$4="是",'8.0.0'!$AY$4,'8.0.0'!$AY$3)</f>
        <v>190</v>
      </c>
      <c r="B93" s="4">
        <f>(VLOOKUP('8.0.0'!J93,'8.0.0'!$AM$4:$AO$45,2,FALSE))*IF('8.0.0'!AL$4="是",'8.0.0'!$AY$4,'8.0.0'!$AY$3)</f>
        <v>190</v>
      </c>
      <c r="C93" s="4">
        <f>(VLOOKUP('8.0.0'!K93,'8.0.0'!$AM$4:$AO$45,2,FALSE))*IF('8.0.0'!AM$4="是",'8.0.0'!$AY$4,'8.0.0'!$AY$3)</f>
        <v>0</v>
      </c>
      <c r="D93" s="4">
        <f>(VLOOKUP('8.0.0'!L93,'8.0.0'!$AM$4:$AO$45,2,FALSE))*IF('8.0.0'!AN$4="是",'8.0.0'!$AY$4,'8.0.0'!$AY$3)</f>
        <v>0</v>
      </c>
      <c r="E93" s="4">
        <f>(VLOOKUP('8.0.0'!M93,'8.0.0'!$AM$4:$AO$45,2,FALSE))*IF('8.0.0'!AO$4="是",'8.0.0'!$AY$4,'8.0.0'!$AY$3)</f>
        <v>0</v>
      </c>
      <c r="F93" s="4">
        <f>(VLOOKUP('8.0.0'!N93,'8.0.0'!$AM$4:$AO$45,2,FALSE))*IF('8.0.0'!AQ$4="是",'8.0.0'!$AY$4,'8.0.0'!$AY$3)</f>
        <v>0</v>
      </c>
      <c r="G93" s="5">
        <f>(VLOOKUP('8.0.0'!O93,'8.0.0'!$AM$4:$AO$45,2,FALSE))*IF('8.0.0'!AR$4="是",'8.0.0'!$AY$4,'8.0.0'!$AY$3)</f>
        <v>0</v>
      </c>
      <c r="H93" s="5">
        <f>(VLOOKUP('8.0.0'!P93,'8.0.0'!$AM$4:$AO$45,2,FALSE))*IF('8.0.0'!AS$4="是",'8.0.0'!$AY$4,'8.0.0'!$AY$3)</f>
        <v>0</v>
      </c>
      <c r="I93" s="4">
        <f>(VLOOKUP('8.0.0'!Q93,'8.0.0'!$AM$4:$AO$45,2,FALSE))*IF('8.0.0'!AT$4="是",'8.0.0'!$AY$4,'8.0.0'!$AY$3)</f>
        <v>160</v>
      </c>
      <c r="J93" s="4">
        <f>(VLOOKUP('8.0.0'!R93,'8.0.0'!$AM$4:$AO$45,2,FALSE))*IF('8.0.0'!AU$4="是",'8.0.0'!$AY$4,'8.0.0'!$AY$3)</f>
        <v>160</v>
      </c>
      <c r="K93" s="4">
        <f>(VLOOKUP('8.0.0'!S93,'8.0.0'!$AM$4:$AO$45,2,FALSE))*IF('8.0.0'!AV$4="是",'8.0.0'!$AY$4,'8.0.0'!$AY$3)</f>
        <v>160</v>
      </c>
      <c r="L93" s="4">
        <f>(VLOOKUP('8.0.0'!T93,'8.0.0'!$AM$4:$AO$45,2,FALSE))*IF('8.0.0'!AW$4="是",'8.0.0'!$AY$4,'8.0.0'!$AY$3)</f>
        <v>160</v>
      </c>
      <c r="M93" s="4">
        <f>(VLOOKUP('8.0.0'!U93,'8.0.0'!$AM$4:$AO$45,2,FALSE))*IF('8.0.0'!AX$4="是",'8.0.0'!$AY$4,'8.0.0'!$AY$3)</f>
        <v>50</v>
      </c>
      <c r="N93" s="4">
        <f>(VLOOKUP('8.0.0'!V93,'8.0.0'!$AM$4:$AO$45,2,FALSE))*IF('8.0.0'!AY$4="是",'8.0.0'!$AY$4,'8.0.0'!$AY$3)</f>
        <v>0</v>
      </c>
      <c r="O93" s="5">
        <f>(VLOOKUP('8.0.0'!W93,'8.0.0'!$AM$4:$AO$45,2,FALSE))*IF('8.0.0'!AZ$4="是",'8.0.0'!$AY$4,'8.0.0'!$AY$3)</f>
        <v>0</v>
      </c>
      <c r="P93" s="5">
        <f>(VLOOKUP('8.0.0'!X93,'8.0.0'!$AM$4:$AO$45,2,FALSE))*IF('8.0.0'!BA$4="是",'8.0.0'!$AY$4,'8.0.0'!$AY$3)</f>
        <v>0</v>
      </c>
      <c r="Q93" s="4">
        <f>(VLOOKUP('8.0.0'!Y93,'8.0.0'!$AM$4:$AO$45,2,FALSE))*IF('8.0.0'!BB$4="是",'8.0.0'!$AY$4,'8.0.0'!$AY$3)</f>
        <v>180</v>
      </c>
      <c r="R93" s="4">
        <f>(VLOOKUP('8.0.0'!Z93,'8.0.0'!$AM$4:$AO$45,2,FALSE))*IF('8.0.0'!BC$4="是",'8.0.0'!$AY$4,'8.0.0'!$AY$3)</f>
        <v>180</v>
      </c>
      <c r="S93" s="4">
        <f>(VLOOKUP('8.0.0'!AA93,'8.0.0'!$AM$4:$AO$45,2,FALSE))*IF('8.0.0'!BD$4="是",'8.0.0'!$AY$4,'8.0.0'!$AY$3)</f>
        <v>180</v>
      </c>
      <c r="T93" s="4">
        <f>(VLOOKUP('8.0.0'!AB93,'8.0.0'!$AM$4:$AO$45,2,FALSE))*IF('8.0.0'!BE$4="是",'8.0.0'!$AY$4,'8.0.0'!$AY$3)</f>
        <v>180</v>
      </c>
      <c r="U93" s="4">
        <f>(VLOOKUP('8.0.0'!AC93,'8.0.0'!$AM$4:$AO$45,2,FALSE))*IF('8.0.0'!BF$4="是",'8.0.0'!$AY$4,'8.0.0'!$AY$3)</f>
        <v>180</v>
      </c>
      <c r="V93" s="4">
        <f>(VLOOKUP('8.0.0'!AD93,'8.0.0'!$AM$4:$AO$45,2,FALSE))*IF('8.0.0'!BG$4="是",'8.0.0'!$AY$4,'8.0.0'!$AY$3)</f>
        <v>50</v>
      </c>
      <c r="W93" s="5">
        <f>(VLOOKUP('8.0.0'!AE93,'8.0.0'!$AM$4:$AO$45,2,FALSE))*IF('8.0.0'!BH$4="是",'8.0.0'!$AY$4,'8.0.0'!$AY$3)</f>
        <v>0</v>
      </c>
      <c r="X93" s="5">
        <f>(VLOOKUP('8.0.0'!AF93,'8.0.0'!$AM$4:$AO$45,2,FALSE))*IF('8.0.0'!BI$4="是",'8.0.0'!$AY$4,'8.0.0'!$AY$3)</f>
        <v>0</v>
      </c>
    </row>
    <row r="94" spans="1:24">
      <c r="A94" s="4">
        <f>(VLOOKUP('8.0.0'!I94,'8.0.0'!$AM$4:$AO$45,2,FALSE))*IF('8.0.0'!AK$4="是",'8.0.0'!$AY$4,'8.0.0'!$AY$3)</f>
        <v>190</v>
      </c>
      <c r="B94" s="4">
        <f>(VLOOKUP('8.0.0'!J94,'8.0.0'!$AM$4:$AO$45,2,FALSE))*IF('8.0.0'!AL$4="是",'8.0.0'!$AY$4,'8.0.0'!$AY$3)</f>
        <v>190</v>
      </c>
      <c r="C94" s="4">
        <f>(VLOOKUP('8.0.0'!K94,'8.0.0'!$AM$4:$AO$45,2,FALSE))*IF('8.0.0'!AM$4="是",'8.0.0'!$AY$4,'8.0.0'!$AY$3)</f>
        <v>190</v>
      </c>
      <c r="D94" s="4">
        <f>(VLOOKUP('8.0.0'!L94,'8.0.0'!$AM$4:$AO$45,2,FALSE))*IF('8.0.0'!AN$4="是",'8.0.0'!$AY$4,'8.0.0'!$AY$3)</f>
        <v>190</v>
      </c>
      <c r="E94" s="4">
        <f>(VLOOKUP('8.0.0'!M94,'8.0.0'!$AM$4:$AO$45,2,FALSE))*IF('8.0.0'!AO$4="是",'8.0.0'!$AY$4,'8.0.0'!$AY$3)</f>
        <v>190</v>
      </c>
      <c r="F94" s="4">
        <f>(VLOOKUP('8.0.0'!N94,'8.0.0'!$AM$4:$AO$45,2,FALSE))*IF('8.0.0'!AQ$4="是",'8.0.0'!$AY$4,'8.0.0'!$AY$3)</f>
        <v>0</v>
      </c>
      <c r="G94" s="5">
        <f>(VLOOKUP('8.0.0'!O94,'8.0.0'!$AM$4:$AO$45,2,FALSE))*IF('8.0.0'!AR$4="是",'8.0.0'!$AY$4,'8.0.0'!$AY$3)</f>
        <v>0</v>
      </c>
      <c r="H94" s="5">
        <f>(VLOOKUP('8.0.0'!P94,'8.0.0'!$AM$4:$AO$45,2,FALSE))*IF('8.0.0'!AS$4="是",'8.0.0'!$AY$4,'8.0.0'!$AY$3)</f>
        <v>0</v>
      </c>
      <c r="I94" s="4">
        <f>(VLOOKUP('8.0.0'!Q94,'8.0.0'!$AM$4:$AO$45,2,FALSE))*IF('8.0.0'!AT$4="是",'8.0.0'!$AY$4,'8.0.0'!$AY$3)</f>
        <v>0</v>
      </c>
      <c r="J94" s="4">
        <f>(VLOOKUP('8.0.0'!R94,'8.0.0'!$AM$4:$AO$45,2,FALSE))*IF('8.0.0'!AU$4="是",'8.0.0'!$AY$4,'8.0.0'!$AY$3)</f>
        <v>0</v>
      </c>
      <c r="K94" s="4">
        <f>(VLOOKUP('8.0.0'!S94,'8.0.0'!$AM$4:$AO$45,2,FALSE))*IF('8.0.0'!AV$4="是",'8.0.0'!$AY$4,'8.0.0'!$AY$3)</f>
        <v>0</v>
      </c>
      <c r="L94" s="4">
        <f>(VLOOKUP('8.0.0'!T94,'8.0.0'!$AM$4:$AO$45,2,FALSE))*IF('8.0.0'!AW$4="是",'8.0.0'!$AY$4,'8.0.0'!$AY$3)</f>
        <v>0</v>
      </c>
      <c r="M94" s="4">
        <f>(VLOOKUP('8.0.0'!U94,'8.0.0'!$AM$4:$AO$45,2,FALSE))*IF('8.0.0'!AX$4="是",'8.0.0'!$AY$4,'8.0.0'!$AY$3)</f>
        <v>0</v>
      </c>
      <c r="N94" s="4">
        <f>(VLOOKUP('8.0.0'!V94,'8.0.0'!$AM$4:$AO$45,2,FALSE))*IF('8.0.0'!AY$4="是",'8.0.0'!$AY$4,'8.0.0'!$AY$3)</f>
        <v>0</v>
      </c>
      <c r="O94" s="5">
        <f>(VLOOKUP('8.0.0'!W94,'8.0.0'!$AM$4:$AO$45,2,FALSE))*IF('8.0.0'!AZ$4="是",'8.0.0'!$AY$4,'8.0.0'!$AY$3)</f>
        <v>0</v>
      </c>
      <c r="P94" s="5">
        <f>(VLOOKUP('8.0.0'!X94,'8.0.0'!$AM$4:$AO$45,2,FALSE))*IF('8.0.0'!BA$4="是",'8.0.0'!$AY$4,'8.0.0'!$AY$3)</f>
        <v>0</v>
      </c>
      <c r="Q94" s="4">
        <f>(VLOOKUP('8.0.0'!Y94,'8.0.0'!$AM$4:$AO$45,2,FALSE))*IF('8.0.0'!BB$4="是",'8.0.0'!$AY$4,'8.0.0'!$AY$3)</f>
        <v>180</v>
      </c>
      <c r="R94" s="4">
        <f>(VLOOKUP('8.0.0'!Z94,'8.0.0'!$AM$4:$AO$45,2,FALSE))*IF('8.0.0'!BC$4="是",'8.0.0'!$AY$4,'8.0.0'!$AY$3)</f>
        <v>180</v>
      </c>
      <c r="S94" s="4">
        <f>(VLOOKUP('8.0.0'!AA94,'8.0.0'!$AM$4:$AO$45,2,FALSE))*IF('8.0.0'!BD$4="是",'8.0.0'!$AY$4,'8.0.0'!$AY$3)</f>
        <v>180</v>
      </c>
      <c r="T94" s="4">
        <f>(VLOOKUP('8.0.0'!AB94,'8.0.0'!$AM$4:$AO$45,2,FALSE))*IF('8.0.0'!BE$4="是",'8.0.0'!$AY$4,'8.0.0'!$AY$3)</f>
        <v>180</v>
      </c>
      <c r="U94" s="4">
        <f>(VLOOKUP('8.0.0'!AC94,'8.0.0'!$AM$4:$AO$45,2,FALSE))*IF('8.0.0'!BF$4="是",'8.0.0'!$AY$4,'8.0.0'!$AY$3)</f>
        <v>180</v>
      </c>
      <c r="V94" s="4">
        <f>(VLOOKUP('8.0.0'!AD94,'8.0.0'!$AM$4:$AO$45,2,FALSE))*IF('8.0.0'!BG$4="是",'8.0.0'!$AY$4,'8.0.0'!$AY$3)</f>
        <v>180</v>
      </c>
      <c r="W94" s="5">
        <f>(VLOOKUP('8.0.0'!AE94,'8.0.0'!$AM$4:$AO$45,2,FALSE))*IF('8.0.0'!BH$4="是",'8.0.0'!$AY$4,'8.0.0'!$AY$3)</f>
        <v>0</v>
      </c>
      <c r="X94" s="5">
        <f>(VLOOKUP('8.0.0'!AF94,'8.0.0'!$AM$4:$AO$45,2,FALSE))*IF('8.0.0'!BI$4="是",'8.0.0'!$AY$4,'8.0.0'!$AY$3)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48" t="s">
        <v>62</v>
      </c>
      <c r="B2" s="149"/>
      <c r="C2" s="1" t="s">
        <v>4</v>
      </c>
      <c r="D2" s="1">
        <f>COUNTIF(A4:H94,"&lt;&gt;空")</f>
        <v>728</v>
      </c>
      <c r="E2" s="149" t="s">
        <v>5</v>
      </c>
      <c r="F2" s="149"/>
      <c r="G2" s="149"/>
      <c r="H2" s="150"/>
      <c r="I2" s="151" t="s">
        <v>6</v>
      </c>
      <c r="J2" s="152"/>
      <c r="K2" s="6" t="s">
        <v>4</v>
      </c>
      <c r="L2" s="6">
        <f>COUNTIF(I4:P94,"&lt;&gt;空")</f>
        <v>728</v>
      </c>
      <c r="M2" s="152" t="s">
        <v>5</v>
      </c>
      <c r="N2" s="152"/>
      <c r="O2" s="152"/>
      <c r="P2" s="153"/>
      <c r="Q2" s="154" t="s">
        <v>7</v>
      </c>
      <c r="R2" s="146"/>
      <c r="S2" s="10" t="s">
        <v>8</v>
      </c>
      <c r="T2" s="9">
        <f>COUNTIF(Q4:X94,"&lt;&gt;空")</f>
        <v>728</v>
      </c>
      <c r="U2" s="146" t="s">
        <v>5</v>
      </c>
      <c r="V2" s="146"/>
      <c r="W2" s="146"/>
      <c r="X2" s="14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(VLOOKUP('8.0.0'!I4,'8.0.0'!$AM$4:$AO$45,3,FALSE))</f>
        <v>35</v>
      </c>
      <c r="B4" s="4">
        <f>(VLOOKUP('8.0.0'!J4,'8.0.0'!$AM$4:$AO$45,3,FALSE))</f>
        <v>35</v>
      </c>
      <c r="C4" s="4">
        <f>(VLOOKUP('8.0.0'!K4,'8.0.0'!$AM$4:$AO$45,3,FALSE))</f>
        <v>35</v>
      </c>
      <c r="D4" s="4">
        <f>(VLOOKUP('8.0.0'!L4,'8.0.0'!$AM$4:$AO$45,3,FALSE))</f>
        <v>35</v>
      </c>
      <c r="E4" s="4">
        <f>(VLOOKUP('8.0.0'!M4,'8.0.0'!$AM$4:$AO$45,3,FALSE))</f>
        <v>35</v>
      </c>
      <c r="F4" s="4">
        <f>(VLOOKUP('8.0.0'!N4,'8.0.0'!$AM$4:$AO$45,3,FALSE))</f>
        <v>35</v>
      </c>
      <c r="G4" s="5">
        <f>(VLOOKUP('8.0.0'!O4,'8.0.0'!$AM$4:$AO$45,3,FALSE))</f>
        <v>0</v>
      </c>
      <c r="H4" s="5">
        <f>(VLOOKUP('8.0.0'!P4,'8.0.0'!$AM$4:$AO$45,3,FALSE))</f>
        <v>0</v>
      </c>
      <c r="I4" s="4">
        <f>(VLOOKUP('8.0.0'!Q4,'8.0.0'!$AM$4:$AO$45,3,FALSE))</f>
        <v>30</v>
      </c>
      <c r="J4" s="4">
        <f>(VLOOKUP('8.0.0'!R4,'8.0.0'!$AM$4:$AO$45,3,FALSE))</f>
        <v>40</v>
      </c>
      <c r="K4" s="4">
        <f>(VLOOKUP('8.0.0'!S4,'8.0.0'!$AM$4:$AO$45,3,FALSE))</f>
        <v>40</v>
      </c>
      <c r="L4" s="4">
        <f>(VLOOKUP('8.0.0'!T4,'8.0.0'!$AM$4:$AO$45,3,FALSE))</f>
        <v>40</v>
      </c>
      <c r="M4" s="4">
        <f>(VLOOKUP('8.0.0'!U4,'8.0.0'!$AM$4:$AO$45,3,FALSE))</f>
        <v>40</v>
      </c>
      <c r="N4" s="4">
        <f>(VLOOKUP('8.0.0'!V4,'8.0.0'!$AM$4:$AO$45,3,FALSE))</f>
        <v>40</v>
      </c>
      <c r="O4" s="5">
        <f>(VLOOKUP('8.0.0'!W4,'8.0.0'!$AM$4:$AO$45,3,FALSE))</f>
        <v>0</v>
      </c>
      <c r="P4" s="5">
        <f>(VLOOKUP('8.0.0'!X4,'8.0.0'!$AM$4:$AO$45,3,FALSE))</f>
        <v>40</v>
      </c>
      <c r="Q4" s="4">
        <f>(VLOOKUP('8.0.0'!Y4,'8.0.0'!$AM$4:$AO$45,3,FALSE))</f>
        <v>40</v>
      </c>
      <c r="R4" s="4">
        <f>(VLOOKUP('8.0.0'!Z4,'8.0.0'!$AM$4:$AO$45,3,FALSE))</f>
        <v>0</v>
      </c>
      <c r="S4" s="4">
        <f>(VLOOKUP('8.0.0'!AA4,'8.0.0'!$AM$4:$AO$45,3,FALSE))</f>
        <v>40</v>
      </c>
      <c r="T4" s="4">
        <f>(VLOOKUP('8.0.0'!AB4,'8.0.0'!$AM$4:$AO$45,3,FALSE))</f>
        <v>520</v>
      </c>
      <c r="U4" s="4">
        <f>(VLOOKUP('8.0.0'!AC4,'8.0.0'!$AM$4:$AO$45,3,FALSE))</f>
        <v>40</v>
      </c>
      <c r="V4" s="4">
        <f>(VLOOKUP('8.0.0'!AD4,'8.0.0'!$AM$4:$AO$45,3,FALSE))</f>
        <v>40</v>
      </c>
      <c r="W4" s="5">
        <f>(VLOOKUP('8.0.0'!AE4,'8.0.0'!$AM$4:$AO$45,3,FALSE))</f>
        <v>40</v>
      </c>
      <c r="X4" s="5">
        <f>(VLOOKUP('8.0.0'!AF4,'8.0.0'!$AM$4:$AO$45,3,FALSE))</f>
        <v>40</v>
      </c>
    </row>
    <row r="5" spans="1:24">
      <c r="A5" s="4">
        <f>(VLOOKUP('8.0.0'!I5,'8.0.0'!$AM$4:$AO$45,3,FALSE))</f>
        <v>45</v>
      </c>
      <c r="B5" s="4">
        <f>(VLOOKUP('8.0.0'!J5,'8.0.0'!$AM$4:$AO$45,3,FALSE))</f>
        <v>45</v>
      </c>
      <c r="C5" s="4">
        <f>(VLOOKUP('8.0.0'!K5,'8.0.0'!$AM$4:$AO$45,3,FALSE))</f>
        <v>30</v>
      </c>
      <c r="D5" s="4">
        <f>(VLOOKUP('8.0.0'!L5,'8.0.0'!$AM$4:$AO$45,3,FALSE))</f>
        <v>45</v>
      </c>
      <c r="E5" s="4">
        <f>(VLOOKUP('8.0.0'!M5,'8.0.0'!$AM$4:$AO$45,3,FALSE))</f>
        <v>45</v>
      </c>
      <c r="F5" s="4">
        <f>(VLOOKUP('8.0.0'!N5,'8.0.0'!$AM$4:$AO$45,3,FALSE))</f>
        <v>45</v>
      </c>
      <c r="G5" s="5">
        <f>(VLOOKUP('8.0.0'!O5,'8.0.0'!$AM$4:$AO$45,3,FALSE))</f>
        <v>0</v>
      </c>
      <c r="H5" s="5">
        <f>(VLOOKUP('8.0.0'!P5,'8.0.0'!$AM$4:$AO$45,3,FALSE))</f>
        <v>0</v>
      </c>
      <c r="I5" s="4">
        <f>(VLOOKUP('8.0.0'!Q5,'8.0.0'!$AM$4:$AO$45,3,FALSE))</f>
        <v>0</v>
      </c>
      <c r="J5" s="4">
        <f>(VLOOKUP('8.0.0'!R5,'8.0.0'!$AM$4:$AO$45,3,FALSE))</f>
        <v>0</v>
      </c>
      <c r="K5" s="4">
        <f>(VLOOKUP('8.0.0'!S5,'8.0.0'!$AM$4:$AO$45,3,FALSE))</f>
        <v>0</v>
      </c>
      <c r="L5" s="4">
        <f>(VLOOKUP('8.0.0'!T5,'8.0.0'!$AM$4:$AO$45,3,FALSE))</f>
        <v>0</v>
      </c>
      <c r="M5" s="4">
        <f>(VLOOKUP('8.0.0'!U5,'8.0.0'!$AM$4:$AO$45,3,FALSE))</f>
        <v>0</v>
      </c>
      <c r="N5" s="4">
        <f>(VLOOKUP('8.0.0'!V5,'8.0.0'!$AM$4:$AO$45,3,FALSE))</f>
        <v>0</v>
      </c>
      <c r="O5" s="5">
        <f>(VLOOKUP('8.0.0'!W5,'8.0.0'!$AM$4:$AO$45,3,FALSE))</f>
        <v>0</v>
      </c>
      <c r="P5" s="5">
        <f>(VLOOKUP('8.0.0'!X5,'8.0.0'!$AM$4:$AO$45,3,FALSE))</f>
        <v>0</v>
      </c>
      <c r="Q5" s="4">
        <f>(VLOOKUP('8.0.0'!Y5,'8.0.0'!$AM$4:$AO$45,3,FALSE))</f>
        <v>40</v>
      </c>
      <c r="R5" s="4">
        <f>(VLOOKUP('8.0.0'!Z5,'8.0.0'!$AM$4:$AO$45,3,FALSE))</f>
        <v>45</v>
      </c>
      <c r="S5" s="4">
        <f>(VLOOKUP('8.0.0'!AA5,'8.0.0'!$AM$4:$AO$45,3,FALSE))</f>
        <v>45</v>
      </c>
      <c r="T5" s="4">
        <f>(VLOOKUP('8.0.0'!AB5,'8.0.0'!$AM$4:$AO$45,3,FALSE))</f>
        <v>45</v>
      </c>
      <c r="U5" s="4">
        <f>(VLOOKUP('8.0.0'!AC5,'8.0.0'!$AM$4:$AO$45,3,FALSE))</f>
        <v>200</v>
      </c>
      <c r="V5" s="4">
        <f>(VLOOKUP('8.0.0'!AD5,'8.0.0'!$AM$4:$AO$45,3,FALSE))</f>
        <v>45</v>
      </c>
      <c r="W5" s="5">
        <f>(VLOOKUP('8.0.0'!AE5,'8.0.0'!$AM$4:$AO$45,3,FALSE))</f>
        <v>0</v>
      </c>
      <c r="X5" s="5">
        <f>(VLOOKUP('8.0.0'!AF5,'8.0.0'!$AM$4:$AO$45,3,FALSE))</f>
        <v>0</v>
      </c>
    </row>
    <row r="6" spans="1:24">
      <c r="A6" s="4">
        <f>(VLOOKUP('8.0.0'!I6,'8.0.0'!$AM$4:$AO$45,3,FALSE))</f>
        <v>45</v>
      </c>
      <c r="B6" s="4">
        <f>(VLOOKUP('8.0.0'!J6,'8.0.0'!$AM$4:$AO$45,3,FALSE))</f>
        <v>45</v>
      </c>
      <c r="C6" s="4">
        <f>(VLOOKUP('8.0.0'!K6,'8.0.0'!$AM$4:$AO$45,3,FALSE))</f>
        <v>45</v>
      </c>
      <c r="D6" s="4">
        <f>(VLOOKUP('8.0.0'!L6,'8.0.0'!$AM$4:$AO$45,3,FALSE))</f>
        <v>45</v>
      </c>
      <c r="E6" s="4">
        <f>(VLOOKUP('8.0.0'!M6,'8.0.0'!$AM$4:$AO$45,3,FALSE))</f>
        <v>45</v>
      </c>
      <c r="F6" s="4">
        <f>(VLOOKUP('8.0.0'!N6,'8.0.0'!$AM$4:$AO$45,3,FALSE))</f>
        <v>45</v>
      </c>
      <c r="G6" s="5">
        <f>(VLOOKUP('8.0.0'!O6,'8.0.0'!$AM$4:$AO$45,3,FALSE))</f>
        <v>0</v>
      </c>
      <c r="H6" s="5">
        <f>(VLOOKUP('8.0.0'!P6,'8.0.0'!$AM$4:$AO$45,3,FALSE))</f>
        <v>0</v>
      </c>
      <c r="I6" s="4">
        <f>(VLOOKUP('8.0.0'!Q6,'8.0.0'!$AM$4:$AO$45,3,FALSE))</f>
        <v>0</v>
      </c>
      <c r="J6" s="4">
        <f>(VLOOKUP('8.0.0'!R6,'8.0.0'!$AM$4:$AO$45,3,FALSE))</f>
        <v>0</v>
      </c>
      <c r="K6" s="4">
        <f>(VLOOKUP('8.0.0'!S6,'8.0.0'!$AM$4:$AO$45,3,FALSE))</f>
        <v>0</v>
      </c>
      <c r="L6" s="4">
        <f>(VLOOKUP('8.0.0'!T6,'8.0.0'!$AM$4:$AO$45,3,FALSE))</f>
        <v>0</v>
      </c>
      <c r="M6" s="4">
        <f>(VLOOKUP('8.0.0'!U6,'8.0.0'!$AM$4:$AO$45,3,FALSE))</f>
        <v>0</v>
      </c>
      <c r="N6" s="4">
        <f>(VLOOKUP('8.0.0'!V6,'8.0.0'!$AM$4:$AO$45,3,FALSE))</f>
        <v>0</v>
      </c>
      <c r="O6" s="5">
        <f>(VLOOKUP('8.0.0'!W6,'8.0.0'!$AM$4:$AO$45,3,FALSE))</f>
        <v>0</v>
      </c>
      <c r="P6" s="5">
        <f>(VLOOKUP('8.0.0'!X6,'8.0.0'!$AM$4:$AO$45,3,FALSE))</f>
        <v>0</v>
      </c>
      <c r="Q6" s="4">
        <f>(VLOOKUP('8.0.0'!Y6,'8.0.0'!$AM$4:$AO$45,3,FALSE))</f>
        <v>45</v>
      </c>
      <c r="R6" s="4">
        <f>(VLOOKUP('8.0.0'!Z6,'8.0.0'!$AM$4:$AO$45,3,FALSE))</f>
        <v>45</v>
      </c>
      <c r="S6" s="4">
        <f>(VLOOKUP('8.0.0'!AA6,'8.0.0'!$AM$4:$AO$45,3,FALSE))</f>
        <v>0</v>
      </c>
      <c r="T6" s="4">
        <f>(VLOOKUP('8.0.0'!AB6,'8.0.0'!$AM$4:$AO$45,3,FALSE))</f>
        <v>45</v>
      </c>
      <c r="U6" s="4">
        <f>(VLOOKUP('8.0.0'!AC6,'8.0.0'!$AM$4:$AO$45,3,FALSE))</f>
        <v>45</v>
      </c>
      <c r="V6" s="4">
        <f>(VLOOKUP('8.0.0'!AD6,'8.0.0'!$AM$4:$AO$45,3,FALSE))</f>
        <v>45</v>
      </c>
      <c r="W6" s="5">
        <f>(VLOOKUP('8.0.0'!AE6,'8.0.0'!$AM$4:$AO$45,3,FALSE))</f>
        <v>45</v>
      </c>
      <c r="X6" s="5">
        <f>(VLOOKUP('8.0.0'!AF6,'8.0.0'!$AM$4:$AO$45,3,FALSE))</f>
        <v>45</v>
      </c>
    </row>
    <row r="7" spans="1:24">
      <c r="A7" s="4">
        <f>(VLOOKUP('8.0.0'!I7,'8.0.0'!$AM$4:$AO$45,3,FALSE))</f>
        <v>45</v>
      </c>
      <c r="B7" s="4">
        <f>(VLOOKUP('8.0.0'!J7,'8.0.0'!$AM$4:$AO$45,3,FALSE))</f>
        <v>45</v>
      </c>
      <c r="C7" s="4">
        <f>(VLOOKUP('8.0.0'!K7,'8.0.0'!$AM$4:$AO$45,3,FALSE))</f>
        <v>45</v>
      </c>
      <c r="D7" s="4">
        <f>(VLOOKUP('8.0.0'!L7,'8.0.0'!$AM$4:$AO$45,3,FALSE))</f>
        <v>45</v>
      </c>
      <c r="E7" s="4">
        <f>(VLOOKUP('8.0.0'!M7,'8.0.0'!$AM$4:$AO$45,3,FALSE))</f>
        <v>45</v>
      </c>
      <c r="F7" s="4">
        <f>(VLOOKUP('8.0.0'!N7,'8.0.0'!$AM$4:$AO$45,3,FALSE))</f>
        <v>45</v>
      </c>
      <c r="G7" s="5">
        <f>(VLOOKUP('8.0.0'!O7,'8.0.0'!$AM$4:$AO$45,3,FALSE))</f>
        <v>0</v>
      </c>
      <c r="H7" s="5">
        <f>(VLOOKUP('8.0.0'!P7,'8.0.0'!$AM$4:$AO$45,3,FALSE))</f>
        <v>0</v>
      </c>
      <c r="I7" s="4">
        <f>(VLOOKUP('8.0.0'!Q7,'8.0.0'!$AM$4:$AO$45,3,FALSE))</f>
        <v>0</v>
      </c>
      <c r="J7" s="4">
        <f>(VLOOKUP('8.0.0'!R7,'8.0.0'!$AM$4:$AO$45,3,FALSE))</f>
        <v>0</v>
      </c>
      <c r="K7" s="4">
        <f>(VLOOKUP('8.0.0'!S7,'8.0.0'!$AM$4:$AO$45,3,FALSE))</f>
        <v>0</v>
      </c>
      <c r="L7" s="4">
        <f>(VLOOKUP('8.0.0'!T7,'8.0.0'!$AM$4:$AO$45,3,FALSE))</f>
        <v>0</v>
      </c>
      <c r="M7" s="4">
        <f>(VLOOKUP('8.0.0'!U7,'8.0.0'!$AM$4:$AO$45,3,FALSE))</f>
        <v>0</v>
      </c>
      <c r="N7" s="4">
        <f>(VLOOKUP('8.0.0'!V7,'8.0.0'!$AM$4:$AO$45,3,FALSE))</f>
        <v>0</v>
      </c>
      <c r="O7" s="5">
        <f>(VLOOKUP('8.0.0'!W7,'8.0.0'!$AM$4:$AO$45,3,FALSE))</f>
        <v>0</v>
      </c>
      <c r="P7" s="5">
        <f>(VLOOKUP('8.0.0'!X7,'8.0.0'!$AM$4:$AO$45,3,FALSE))</f>
        <v>0</v>
      </c>
      <c r="Q7" s="4">
        <f>(VLOOKUP('8.0.0'!Y7,'8.0.0'!$AM$4:$AO$45,3,FALSE))</f>
        <v>45</v>
      </c>
      <c r="R7" s="4">
        <f>(VLOOKUP('8.0.0'!Z7,'8.0.0'!$AM$4:$AO$45,3,FALSE))</f>
        <v>45</v>
      </c>
      <c r="S7" s="4">
        <f>(VLOOKUP('8.0.0'!AA7,'8.0.0'!$AM$4:$AO$45,3,FALSE))</f>
        <v>45</v>
      </c>
      <c r="T7" s="4">
        <f>(VLOOKUP('8.0.0'!AB7,'8.0.0'!$AM$4:$AO$45,3,FALSE))</f>
        <v>45</v>
      </c>
      <c r="U7" s="4">
        <f>(VLOOKUP('8.0.0'!AC7,'8.0.0'!$AM$4:$AO$45,3,FALSE))</f>
        <v>45</v>
      </c>
      <c r="V7" s="4">
        <f>(VLOOKUP('8.0.0'!AD7,'8.0.0'!$AM$4:$AO$45,3,FALSE))</f>
        <v>45</v>
      </c>
      <c r="W7" s="5">
        <f>(VLOOKUP('8.0.0'!AE7,'8.0.0'!$AM$4:$AO$45,3,FALSE))</f>
        <v>0</v>
      </c>
      <c r="X7" s="5">
        <f>(VLOOKUP('8.0.0'!AF7,'8.0.0'!$AM$4:$AO$45,3,FALSE))</f>
        <v>0</v>
      </c>
    </row>
    <row r="8" spans="1:24">
      <c r="A8" s="4">
        <f>(VLOOKUP('8.0.0'!I8,'8.0.0'!$AM$4:$AO$45,3,FALSE))</f>
        <v>45</v>
      </c>
      <c r="B8" s="4">
        <f>(VLOOKUP('8.0.0'!J8,'8.0.0'!$AM$4:$AO$45,3,FALSE))</f>
        <v>45</v>
      </c>
      <c r="C8" s="4">
        <f>(VLOOKUP('8.0.0'!K8,'8.0.0'!$AM$4:$AO$45,3,FALSE))</f>
        <v>45</v>
      </c>
      <c r="D8" s="4">
        <f>(VLOOKUP('8.0.0'!L8,'8.0.0'!$AM$4:$AO$45,3,FALSE))</f>
        <v>200</v>
      </c>
      <c r="E8" s="4">
        <f>(VLOOKUP('8.0.0'!M8,'8.0.0'!$AM$4:$AO$45,3,FALSE))</f>
        <v>45</v>
      </c>
      <c r="F8" s="4">
        <f>(VLOOKUP('8.0.0'!N8,'8.0.0'!$AM$4:$AO$45,3,FALSE))</f>
        <v>45</v>
      </c>
      <c r="G8" s="5">
        <f>(VLOOKUP('8.0.0'!O8,'8.0.0'!$AM$4:$AO$45,3,FALSE))</f>
        <v>0</v>
      </c>
      <c r="H8" s="5">
        <f>(VLOOKUP('8.0.0'!P8,'8.0.0'!$AM$4:$AO$45,3,FALSE))</f>
        <v>45</v>
      </c>
      <c r="I8" s="4">
        <f>(VLOOKUP('8.0.0'!Q8,'8.0.0'!$AM$4:$AO$45,3,FALSE))</f>
        <v>0</v>
      </c>
      <c r="J8" s="4">
        <f>(VLOOKUP('8.0.0'!R8,'8.0.0'!$AM$4:$AO$45,3,FALSE))</f>
        <v>0</v>
      </c>
      <c r="K8" s="4">
        <f>(VLOOKUP('8.0.0'!S8,'8.0.0'!$AM$4:$AO$45,3,FALSE))</f>
        <v>0</v>
      </c>
      <c r="L8" s="4">
        <f>(VLOOKUP('8.0.0'!T8,'8.0.0'!$AM$4:$AO$45,3,FALSE))</f>
        <v>0</v>
      </c>
      <c r="M8" s="4">
        <f>(VLOOKUP('8.0.0'!U8,'8.0.0'!$AM$4:$AO$45,3,FALSE))</f>
        <v>0</v>
      </c>
      <c r="N8" s="4">
        <f>(VLOOKUP('8.0.0'!V8,'8.0.0'!$AM$4:$AO$45,3,FALSE))</f>
        <v>0</v>
      </c>
      <c r="O8" s="5">
        <f>(VLOOKUP('8.0.0'!W8,'8.0.0'!$AM$4:$AO$45,3,FALSE))</f>
        <v>0</v>
      </c>
      <c r="P8" s="5">
        <f>(VLOOKUP('8.0.0'!X8,'8.0.0'!$AM$4:$AO$45,3,FALSE))</f>
        <v>0</v>
      </c>
      <c r="Q8" s="4">
        <f>(VLOOKUP('8.0.0'!Y8,'8.0.0'!$AM$4:$AO$45,3,FALSE))</f>
        <v>200</v>
      </c>
      <c r="R8" s="4">
        <f>(VLOOKUP('8.0.0'!Z8,'8.0.0'!$AM$4:$AO$45,3,FALSE))</f>
        <v>45</v>
      </c>
      <c r="S8" s="4">
        <f>(VLOOKUP('8.0.0'!AA8,'8.0.0'!$AM$4:$AO$45,3,FALSE))</f>
        <v>45</v>
      </c>
      <c r="T8" s="4">
        <f>(VLOOKUP('8.0.0'!AB8,'8.0.0'!$AM$4:$AO$45,3,FALSE))</f>
        <v>45</v>
      </c>
      <c r="U8" s="4">
        <f>(VLOOKUP('8.0.0'!AC8,'8.0.0'!$AM$4:$AO$45,3,FALSE))</f>
        <v>45</v>
      </c>
      <c r="V8" s="4">
        <f>(VLOOKUP('8.0.0'!AD8,'8.0.0'!$AM$4:$AO$45,3,FALSE))</f>
        <v>45</v>
      </c>
      <c r="W8" s="5">
        <f>(VLOOKUP('8.0.0'!AE8,'8.0.0'!$AM$4:$AO$45,3,FALSE))</f>
        <v>0</v>
      </c>
      <c r="X8" s="5">
        <f>(VLOOKUP('8.0.0'!AF8,'8.0.0'!$AM$4:$AO$45,3,FALSE))</f>
        <v>0</v>
      </c>
    </row>
    <row r="9" spans="1:24">
      <c r="A9" s="4">
        <f>(VLOOKUP('8.0.0'!I9,'8.0.0'!$AM$4:$AO$45,3,FALSE))</f>
        <v>45</v>
      </c>
      <c r="B9" s="4">
        <f>(VLOOKUP('8.0.0'!J9,'8.0.0'!$AM$4:$AO$45,3,FALSE))</f>
        <v>45</v>
      </c>
      <c r="C9" s="4">
        <f>(VLOOKUP('8.0.0'!K9,'8.0.0'!$AM$4:$AO$45,3,FALSE))</f>
        <v>30</v>
      </c>
      <c r="D9" s="4">
        <f>(VLOOKUP('8.0.0'!L9,'8.0.0'!$AM$4:$AO$45,3,FALSE))</f>
        <v>45</v>
      </c>
      <c r="E9" s="4">
        <f>(VLOOKUP('8.0.0'!M9,'8.0.0'!$AM$4:$AO$45,3,FALSE))</f>
        <v>45</v>
      </c>
      <c r="F9" s="4">
        <f>(VLOOKUP('8.0.0'!N9,'8.0.0'!$AM$4:$AO$45,3,FALSE))</f>
        <v>45</v>
      </c>
      <c r="G9" s="5">
        <f>(VLOOKUP('8.0.0'!O9,'8.0.0'!$AM$4:$AO$45,3,FALSE))</f>
        <v>0</v>
      </c>
      <c r="H9" s="5">
        <f>(VLOOKUP('8.0.0'!P9,'8.0.0'!$AM$4:$AO$45,3,FALSE))</f>
        <v>0</v>
      </c>
      <c r="I9" s="4">
        <f>(VLOOKUP('8.0.0'!Q9,'8.0.0'!$AM$4:$AO$45,3,FALSE))</f>
        <v>0</v>
      </c>
      <c r="J9" s="4">
        <f>(VLOOKUP('8.0.0'!R9,'8.0.0'!$AM$4:$AO$45,3,FALSE))</f>
        <v>0</v>
      </c>
      <c r="K9" s="4">
        <f>(VLOOKUP('8.0.0'!S9,'8.0.0'!$AM$4:$AO$45,3,FALSE))</f>
        <v>0</v>
      </c>
      <c r="L9" s="4">
        <f>(VLOOKUP('8.0.0'!T9,'8.0.0'!$AM$4:$AO$45,3,FALSE))</f>
        <v>0</v>
      </c>
      <c r="M9" s="4">
        <f>(VLOOKUP('8.0.0'!U9,'8.0.0'!$AM$4:$AO$45,3,FALSE))</f>
        <v>0</v>
      </c>
      <c r="N9" s="4">
        <f>(VLOOKUP('8.0.0'!V9,'8.0.0'!$AM$4:$AO$45,3,FALSE))</f>
        <v>0</v>
      </c>
      <c r="O9" s="5">
        <f>(VLOOKUP('8.0.0'!W9,'8.0.0'!$AM$4:$AO$45,3,FALSE))</f>
        <v>0</v>
      </c>
      <c r="P9" s="5">
        <f>(VLOOKUP('8.0.0'!X9,'8.0.0'!$AM$4:$AO$45,3,FALSE))</f>
        <v>0</v>
      </c>
      <c r="Q9" s="4">
        <f>(VLOOKUP('8.0.0'!Y9,'8.0.0'!$AM$4:$AO$45,3,FALSE))</f>
        <v>45</v>
      </c>
      <c r="R9" s="4">
        <f>(VLOOKUP('8.0.0'!Z9,'8.0.0'!$AM$4:$AO$45,3,FALSE))</f>
        <v>45</v>
      </c>
      <c r="S9" s="4">
        <f>(VLOOKUP('8.0.0'!AA9,'8.0.0'!$AM$4:$AO$45,3,FALSE))</f>
        <v>45</v>
      </c>
      <c r="T9" s="4">
        <f>(VLOOKUP('8.0.0'!AB9,'8.0.0'!$AM$4:$AO$45,3,FALSE))</f>
        <v>45</v>
      </c>
      <c r="U9" s="4">
        <f>(VLOOKUP('8.0.0'!AC9,'8.0.0'!$AM$4:$AO$45,3,FALSE))</f>
        <v>0</v>
      </c>
      <c r="V9" s="4">
        <f>(VLOOKUP('8.0.0'!AD9,'8.0.0'!$AM$4:$AO$45,3,FALSE))</f>
        <v>0</v>
      </c>
      <c r="W9" s="5">
        <f>(VLOOKUP('8.0.0'!AE9,'8.0.0'!$AM$4:$AO$45,3,FALSE))</f>
        <v>0</v>
      </c>
      <c r="X9" s="5">
        <f>(VLOOKUP('8.0.0'!AF9,'8.0.0'!$AM$4:$AO$45,3,FALSE))</f>
        <v>0</v>
      </c>
    </row>
    <row r="10" spans="1:24">
      <c r="A10" s="4">
        <f>(VLOOKUP('8.0.0'!I10,'8.0.0'!$AM$4:$AO$45,3,FALSE))</f>
        <v>45</v>
      </c>
      <c r="B10" s="4">
        <f>(VLOOKUP('8.0.0'!J10,'8.0.0'!$AM$4:$AO$45,3,FALSE))</f>
        <v>45</v>
      </c>
      <c r="C10" s="4">
        <f>(VLOOKUP('8.0.0'!K10,'8.0.0'!$AM$4:$AO$45,3,FALSE))</f>
        <v>30</v>
      </c>
      <c r="D10" s="4">
        <f>(VLOOKUP('8.0.0'!L10,'8.0.0'!$AM$4:$AO$45,3,FALSE))</f>
        <v>45</v>
      </c>
      <c r="E10" s="4">
        <f>(VLOOKUP('8.0.0'!M10,'8.0.0'!$AM$4:$AO$45,3,FALSE))</f>
        <v>45</v>
      </c>
      <c r="F10" s="4">
        <f>(VLOOKUP('8.0.0'!N10,'8.0.0'!$AM$4:$AO$45,3,FALSE))</f>
        <v>50</v>
      </c>
      <c r="G10" s="5">
        <f>(VLOOKUP('8.0.0'!O10,'8.0.0'!$AM$4:$AO$45,3,FALSE))</f>
        <v>0</v>
      </c>
      <c r="H10" s="5">
        <f>(VLOOKUP('8.0.0'!P10,'8.0.0'!$AM$4:$AO$45,3,FALSE))</f>
        <v>0</v>
      </c>
      <c r="I10" s="4">
        <f>(VLOOKUP('8.0.0'!Q10,'8.0.0'!$AM$4:$AO$45,3,FALSE))</f>
        <v>0</v>
      </c>
      <c r="J10" s="4">
        <f>(VLOOKUP('8.0.0'!R10,'8.0.0'!$AM$4:$AO$45,3,FALSE))</f>
        <v>0</v>
      </c>
      <c r="K10" s="4">
        <f>(VLOOKUP('8.0.0'!S10,'8.0.0'!$AM$4:$AO$45,3,FALSE))</f>
        <v>0</v>
      </c>
      <c r="L10" s="4">
        <f>(VLOOKUP('8.0.0'!T10,'8.0.0'!$AM$4:$AO$45,3,FALSE))</f>
        <v>0</v>
      </c>
      <c r="M10" s="4">
        <f>(VLOOKUP('8.0.0'!U10,'8.0.0'!$AM$4:$AO$45,3,FALSE))</f>
        <v>0</v>
      </c>
      <c r="N10" s="4">
        <f>(VLOOKUP('8.0.0'!V10,'8.0.0'!$AM$4:$AO$45,3,FALSE))</f>
        <v>0</v>
      </c>
      <c r="O10" s="5">
        <f>(VLOOKUP('8.0.0'!W10,'8.0.0'!$AM$4:$AO$45,3,FALSE))</f>
        <v>0</v>
      </c>
      <c r="P10" s="5">
        <f>(VLOOKUP('8.0.0'!X10,'8.0.0'!$AM$4:$AO$45,3,FALSE))</f>
        <v>0</v>
      </c>
      <c r="Q10" s="4">
        <f>(VLOOKUP('8.0.0'!Y10,'8.0.0'!$AM$4:$AO$45,3,FALSE))</f>
        <v>45</v>
      </c>
      <c r="R10" s="4">
        <f>(VLOOKUP('8.0.0'!Z10,'8.0.0'!$AM$4:$AO$45,3,FALSE))</f>
        <v>45</v>
      </c>
      <c r="S10" s="4">
        <f>(VLOOKUP('8.0.0'!AA10,'8.0.0'!$AM$4:$AO$45,3,FALSE))</f>
        <v>30</v>
      </c>
      <c r="T10" s="4">
        <f>(VLOOKUP('8.0.0'!AB10,'8.0.0'!$AM$4:$AO$45,3,FALSE))</f>
        <v>45</v>
      </c>
      <c r="U10" s="4">
        <f>(VLOOKUP('8.0.0'!AC10,'8.0.0'!$AM$4:$AO$45,3,FALSE))</f>
        <v>45</v>
      </c>
      <c r="V10" s="4">
        <f>(VLOOKUP('8.0.0'!AD10,'8.0.0'!$AM$4:$AO$45,3,FALSE))</f>
        <v>45</v>
      </c>
      <c r="W10" s="5">
        <f>(VLOOKUP('8.0.0'!AE10,'8.0.0'!$AM$4:$AO$45,3,FALSE))</f>
        <v>0</v>
      </c>
      <c r="X10" s="5">
        <f>(VLOOKUP('8.0.0'!AF10,'8.0.0'!$AM$4:$AO$45,3,FALSE))</f>
        <v>0</v>
      </c>
    </row>
    <row r="11" spans="1:24">
      <c r="A11" s="4">
        <f>(VLOOKUP('8.0.0'!I11,'8.0.0'!$AM$4:$AO$45,3,FALSE))</f>
        <v>50</v>
      </c>
      <c r="B11" s="4">
        <f>(VLOOKUP('8.0.0'!J11,'8.0.0'!$AM$4:$AO$45,3,FALSE))</f>
        <v>50</v>
      </c>
      <c r="C11" s="4">
        <f>(VLOOKUP('8.0.0'!K11,'8.0.0'!$AM$4:$AO$45,3,FALSE))</f>
        <v>30</v>
      </c>
      <c r="D11" s="4">
        <f>(VLOOKUP('8.0.0'!L11,'8.0.0'!$AM$4:$AO$45,3,FALSE))</f>
        <v>50</v>
      </c>
      <c r="E11" s="4">
        <f>(VLOOKUP('8.0.0'!M11,'8.0.0'!$AM$4:$AO$45,3,FALSE))</f>
        <v>50</v>
      </c>
      <c r="F11" s="4">
        <f>(VLOOKUP('8.0.0'!N11,'8.0.0'!$AM$4:$AO$45,3,FALSE))</f>
        <v>0</v>
      </c>
      <c r="G11" s="5">
        <f>(VLOOKUP('8.0.0'!O11,'8.0.0'!$AM$4:$AO$45,3,FALSE))</f>
        <v>50</v>
      </c>
      <c r="H11" s="5">
        <f>(VLOOKUP('8.0.0'!P11,'8.0.0'!$AM$4:$AO$45,3,FALSE))</f>
        <v>50</v>
      </c>
      <c r="I11" s="4">
        <f>(VLOOKUP('8.0.0'!Q11,'8.0.0'!$AM$4:$AO$45,3,FALSE))</f>
        <v>0</v>
      </c>
      <c r="J11" s="4">
        <f>(VLOOKUP('8.0.0'!R11,'8.0.0'!$AM$4:$AO$45,3,FALSE))</f>
        <v>0</v>
      </c>
      <c r="K11" s="4">
        <f>(VLOOKUP('8.0.0'!S11,'8.0.0'!$AM$4:$AO$45,3,FALSE))</f>
        <v>0</v>
      </c>
      <c r="L11" s="4">
        <f>(VLOOKUP('8.0.0'!T11,'8.0.0'!$AM$4:$AO$45,3,FALSE))</f>
        <v>0</v>
      </c>
      <c r="M11" s="4">
        <f>(VLOOKUP('8.0.0'!U11,'8.0.0'!$AM$4:$AO$45,3,FALSE))</f>
        <v>0</v>
      </c>
      <c r="N11" s="4">
        <f>(VLOOKUP('8.0.0'!V11,'8.0.0'!$AM$4:$AO$45,3,FALSE))</f>
        <v>0</v>
      </c>
      <c r="O11" s="5">
        <f>(VLOOKUP('8.0.0'!W11,'8.0.0'!$AM$4:$AO$45,3,FALSE))</f>
        <v>0</v>
      </c>
      <c r="P11" s="5">
        <f>(VLOOKUP('8.0.0'!X11,'8.0.0'!$AM$4:$AO$45,3,FALSE))</f>
        <v>0</v>
      </c>
      <c r="Q11" s="4">
        <f>(VLOOKUP('8.0.0'!Y11,'8.0.0'!$AM$4:$AO$45,3,FALSE))</f>
        <v>45</v>
      </c>
      <c r="R11" s="4">
        <f>(VLOOKUP('8.0.0'!Z11,'8.0.0'!$AM$4:$AO$45,3,FALSE))</f>
        <v>45</v>
      </c>
      <c r="S11" s="4">
        <f>(VLOOKUP('8.0.0'!AA11,'8.0.0'!$AM$4:$AO$45,3,FALSE))</f>
        <v>45</v>
      </c>
      <c r="T11" s="4">
        <f>(VLOOKUP('8.0.0'!AB11,'8.0.0'!$AM$4:$AO$45,3,FALSE))</f>
        <v>45</v>
      </c>
      <c r="U11" s="4">
        <f>(VLOOKUP('8.0.0'!AC11,'8.0.0'!$AM$4:$AO$45,3,FALSE))</f>
        <v>45</v>
      </c>
      <c r="V11" s="4">
        <f>(VLOOKUP('8.0.0'!AD11,'8.0.0'!$AM$4:$AO$45,3,FALSE))</f>
        <v>45</v>
      </c>
      <c r="W11" s="5">
        <f>(VLOOKUP('8.0.0'!AE11,'8.0.0'!$AM$4:$AO$45,3,FALSE))</f>
        <v>0</v>
      </c>
      <c r="X11" s="5">
        <f>(VLOOKUP('8.0.0'!AF11,'8.0.0'!$AM$4:$AO$45,3,FALSE))</f>
        <v>0</v>
      </c>
    </row>
    <row r="12" spans="1:24">
      <c r="A12" s="4">
        <f>(VLOOKUP('8.0.0'!I12,'8.0.0'!$AM$4:$AO$45,3,FALSE))</f>
        <v>50</v>
      </c>
      <c r="B12" s="4">
        <f>(VLOOKUP('8.0.0'!J12,'8.0.0'!$AM$4:$AO$45,3,FALSE))</f>
        <v>50</v>
      </c>
      <c r="C12" s="4">
        <f>(VLOOKUP('8.0.0'!K12,'8.0.0'!$AM$4:$AO$45,3,FALSE))</f>
        <v>50</v>
      </c>
      <c r="D12" s="4">
        <f>(VLOOKUP('8.0.0'!L12,'8.0.0'!$AM$4:$AO$45,3,FALSE))</f>
        <v>50</v>
      </c>
      <c r="E12" s="4">
        <f>(VLOOKUP('8.0.0'!M12,'8.0.0'!$AM$4:$AO$45,3,FALSE))</f>
        <v>50</v>
      </c>
      <c r="F12" s="4">
        <f>(VLOOKUP('8.0.0'!N12,'8.0.0'!$AM$4:$AO$45,3,FALSE))</f>
        <v>50</v>
      </c>
      <c r="G12" s="5">
        <f>(VLOOKUP('8.0.0'!O12,'8.0.0'!$AM$4:$AO$45,3,FALSE))</f>
        <v>0</v>
      </c>
      <c r="H12" s="5">
        <f>(VLOOKUP('8.0.0'!P12,'8.0.0'!$AM$4:$AO$45,3,FALSE))</f>
        <v>0</v>
      </c>
      <c r="I12" s="4">
        <f>(VLOOKUP('8.0.0'!Q12,'8.0.0'!$AM$4:$AO$45,3,FALSE))</f>
        <v>0</v>
      </c>
      <c r="J12" s="4">
        <f>(VLOOKUP('8.0.0'!R12,'8.0.0'!$AM$4:$AO$45,3,FALSE))</f>
        <v>0</v>
      </c>
      <c r="K12" s="4">
        <f>(VLOOKUP('8.0.0'!S12,'8.0.0'!$AM$4:$AO$45,3,FALSE))</f>
        <v>0</v>
      </c>
      <c r="L12" s="4">
        <f>(VLOOKUP('8.0.0'!T12,'8.0.0'!$AM$4:$AO$45,3,FALSE))</f>
        <v>0</v>
      </c>
      <c r="M12" s="4">
        <f>(VLOOKUP('8.0.0'!U12,'8.0.0'!$AM$4:$AO$45,3,FALSE))</f>
        <v>0</v>
      </c>
      <c r="N12" s="4">
        <f>(VLOOKUP('8.0.0'!V12,'8.0.0'!$AM$4:$AO$45,3,FALSE))</f>
        <v>0</v>
      </c>
      <c r="O12" s="5">
        <f>(VLOOKUP('8.0.0'!W12,'8.0.0'!$AM$4:$AO$45,3,FALSE))</f>
        <v>0</v>
      </c>
      <c r="P12" s="5">
        <f>(VLOOKUP('8.0.0'!X12,'8.0.0'!$AM$4:$AO$45,3,FALSE))</f>
        <v>0</v>
      </c>
      <c r="Q12" s="4">
        <f>(VLOOKUP('8.0.0'!Y12,'8.0.0'!$AM$4:$AO$45,3,FALSE))</f>
        <v>45</v>
      </c>
      <c r="R12" s="4">
        <f>(VLOOKUP('8.0.0'!Z12,'8.0.0'!$AM$4:$AO$45,3,FALSE))</f>
        <v>45</v>
      </c>
      <c r="S12" s="4">
        <f>(VLOOKUP('8.0.0'!AA12,'8.0.0'!$AM$4:$AO$45,3,FALSE))</f>
        <v>45</v>
      </c>
      <c r="T12" s="4">
        <f>(VLOOKUP('8.0.0'!AB12,'8.0.0'!$AM$4:$AO$45,3,FALSE))</f>
        <v>45</v>
      </c>
      <c r="U12" s="4">
        <f>(VLOOKUP('8.0.0'!AC12,'8.0.0'!$AM$4:$AO$45,3,FALSE))</f>
        <v>45</v>
      </c>
      <c r="V12" s="4">
        <f>(VLOOKUP('8.0.0'!AD12,'8.0.0'!$AM$4:$AO$45,3,FALSE))</f>
        <v>45</v>
      </c>
      <c r="W12" s="5">
        <f>(VLOOKUP('8.0.0'!AE12,'8.0.0'!$AM$4:$AO$45,3,FALSE))</f>
        <v>0</v>
      </c>
      <c r="X12" s="5">
        <f>(VLOOKUP('8.0.0'!AF12,'8.0.0'!$AM$4:$AO$45,3,FALSE))</f>
        <v>0</v>
      </c>
    </row>
    <row r="13" spans="1:24">
      <c r="A13" s="4">
        <f>(VLOOKUP('8.0.0'!I13,'8.0.0'!$AM$4:$AO$45,3,FALSE))</f>
        <v>50</v>
      </c>
      <c r="B13" s="4">
        <f>(VLOOKUP('8.0.0'!J13,'8.0.0'!$AM$4:$AO$45,3,FALSE))</f>
        <v>50</v>
      </c>
      <c r="C13" s="4">
        <f>(VLOOKUP('8.0.0'!K13,'8.0.0'!$AM$4:$AO$45,3,FALSE))</f>
        <v>50</v>
      </c>
      <c r="D13" s="4">
        <f>(VLOOKUP('8.0.0'!L13,'8.0.0'!$AM$4:$AO$45,3,FALSE))</f>
        <v>50</v>
      </c>
      <c r="E13" s="4">
        <f>(VLOOKUP('8.0.0'!M13,'8.0.0'!$AM$4:$AO$45,3,FALSE))</f>
        <v>50</v>
      </c>
      <c r="F13" s="4">
        <f>(VLOOKUP('8.0.0'!N13,'8.0.0'!$AM$4:$AO$45,3,FALSE))</f>
        <v>50</v>
      </c>
      <c r="G13" s="5">
        <f>(VLOOKUP('8.0.0'!O13,'8.0.0'!$AM$4:$AO$45,3,FALSE))</f>
        <v>0</v>
      </c>
      <c r="H13" s="5">
        <f>(VLOOKUP('8.0.0'!P13,'8.0.0'!$AM$4:$AO$45,3,FALSE))</f>
        <v>0</v>
      </c>
      <c r="I13" s="4">
        <f>(VLOOKUP('8.0.0'!Q13,'8.0.0'!$AM$4:$AO$45,3,FALSE))</f>
        <v>0</v>
      </c>
      <c r="J13" s="4">
        <f>(VLOOKUP('8.0.0'!R13,'8.0.0'!$AM$4:$AO$45,3,FALSE))</f>
        <v>0</v>
      </c>
      <c r="K13" s="4">
        <f>(VLOOKUP('8.0.0'!S13,'8.0.0'!$AM$4:$AO$45,3,FALSE))</f>
        <v>0</v>
      </c>
      <c r="L13" s="4">
        <f>(VLOOKUP('8.0.0'!T13,'8.0.0'!$AM$4:$AO$45,3,FALSE))</f>
        <v>0</v>
      </c>
      <c r="M13" s="4">
        <f>(VLOOKUP('8.0.0'!U13,'8.0.0'!$AM$4:$AO$45,3,FALSE))</f>
        <v>0</v>
      </c>
      <c r="N13" s="4">
        <f>(VLOOKUP('8.0.0'!V13,'8.0.0'!$AM$4:$AO$45,3,FALSE))</f>
        <v>0</v>
      </c>
      <c r="O13" s="5">
        <f>(VLOOKUP('8.0.0'!W13,'8.0.0'!$AM$4:$AO$45,3,FALSE))</f>
        <v>0</v>
      </c>
      <c r="P13" s="5">
        <f>(VLOOKUP('8.0.0'!X13,'8.0.0'!$AM$4:$AO$45,3,FALSE))</f>
        <v>0</v>
      </c>
      <c r="Q13" s="4">
        <f>(VLOOKUP('8.0.0'!Y13,'8.0.0'!$AM$4:$AO$45,3,FALSE))</f>
        <v>30</v>
      </c>
      <c r="R13" s="4">
        <f>(VLOOKUP('8.0.0'!Z13,'8.0.0'!$AM$4:$AO$45,3,FALSE))</f>
        <v>45</v>
      </c>
      <c r="S13" s="4">
        <f>(VLOOKUP('8.0.0'!AA13,'8.0.0'!$AM$4:$AO$45,3,FALSE))</f>
        <v>45</v>
      </c>
      <c r="T13" s="4">
        <f>(VLOOKUP('8.0.0'!AB13,'8.0.0'!$AM$4:$AO$45,3,FALSE))</f>
        <v>45</v>
      </c>
      <c r="U13" s="4">
        <f>(VLOOKUP('8.0.0'!AC13,'8.0.0'!$AM$4:$AO$45,3,FALSE))</f>
        <v>45</v>
      </c>
      <c r="V13" s="4">
        <f>(VLOOKUP('8.0.0'!AD13,'8.0.0'!$AM$4:$AO$45,3,FALSE))</f>
        <v>45</v>
      </c>
      <c r="W13" s="5">
        <f>(VLOOKUP('8.0.0'!AE13,'8.0.0'!$AM$4:$AO$45,3,FALSE))</f>
        <v>0</v>
      </c>
      <c r="X13" s="5">
        <f>(VLOOKUP('8.0.0'!AF13,'8.0.0'!$AM$4:$AO$45,3,FALSE))</f>
        <v>0</v>
      </c>
    </row>
    <row r="14" spans="1:24">
      <c r="A14" s="4">
        <f>(VLOOKUP('8.0.0'!I14,'8.0.0'!$AM$4:$AO$45,3,FALSE))</f>
        <v>50</v>
      </c>
      <c r="B14" s="4">
        <f>(VLOOKUP('8.0.0'!J14,'8.0.0'!$AM$4:$AO$45,3,FALSE))</f>
        <v>50</v>
      </c>
      <c r="C14" s="4">
        <f>(VLOOKUP('8.0.0'!K14,'8.0.0'!$AM$4:$AO$45,3,FALSE))</f>
        <v>50</v>
      </c>
      <c r="D14" s="4">
        <f>(VLOOKUP('8.0.0'!L14,'8.0.0'!$AM$4:$AO$45,3,FALSE))</f>
        <v>50</v>
      </c>
      <c r="E14" s="4">
        <f>(VLOOKUP('8.0.0'!M14,'8.0.0'!$AM$4:$AO$45,3,FALSE))</f>
        <v>50</v>
      </c>
      <c r="F14" s="4">
        <f>(VLOOKUP('8.0.0'!N14,'8.0.0'!$AM$4:$AO$45,3,FALSE))</f>
        <v>50</v>
      </c>
      <c r="G14" s="5">
        <f>(VLOOKUP('8.0.0'!O14,'8.0.0'!$AM$4:$AO$45,3,FALSE))</f>
        <v>0</v>
      </c>
      <c r="H14" s="5">
        <f>(VLOOKUP('8.0.0'!P14,'8.0.0'!$AM$4:$AO$45,3,FALSE))</f>
        <v>0</v>
      </c>
      <c r="I14" s="4">
        <f>(VLOOKUP('8.0.0'!Q14,'8.0.0'!$AM$4:$AO$45,3,FALSE))</f>
        <v>0</v>
      </c>
      <c r="J14" s="4">
        <f>(VLOOKUP('8.0.0'!R14,'8.0.0'!$AM$4:$AO$45,3,FALSE))</f>
        <v>0</v>
      </c>
      <c r="K14" s="4">
        <f>(VLOOKUP('8.0.0'!S14,'8.0.0'!$AM$4:$AO$45,3,FALSE))</f>
        <v>0</v>
      </c>
      <c r="L14" s="4">
        <f>(VLOOKUP('8.0.0'!T14,'8.0.0'!$AM$4:$AO$45,3,FALSE))</f>
        <v>0</v>
      </c>
      <c r="M14" s="4">
        <f>(VLOOKUP('8.0.0'!U14,'8.0.0'!$AM$4:$AO$45,3,FALSE))</f>
        <v>0</v>
      </c>
      <c r="N14" s="4">
        <f>(VLOOKUP('8.0.0'!V14,'8.0.0'!$AM$4:$AO$45,3,FALSE))</f>
        <v>0</v>
      </c>
      <c r="O14" s="5">
        <f>(VLOOKUP('8.0.0'!W14,'8.0.0'!$AM$4:$AO$45,3,FALSE))</f>
        <v>0</v>
      </c>
      <c r="P14" s="5">
        <f>(VLOOKUP('8.0.0'!X14,'8.0.0'!$AM$4:$AO$45,3,FALSE))</f>
        <v>0</v>
      </c>
      <c r="Q14" s="4">
        <f>(VLOOKUP('8.0.0'!Y14,'8.0.0'!$AM$4:$AO$45,3,FALSE))</f>
        <v>45</v>
      </c>
      <c r="R14" s="4">
        <f>(VLOOKUP('8.0.0'!Z14,'8.0.0'!$AM$4:$AO$45,3,FALSE))</f>
        <v>45</v>
      </c>
      <c r="S14" s="4">
        <f>(VLOOKUP('8.0.0'!AA14,'8.0.0'!$AM$4:$AO$45,3,FALSE))</f>
        <v>45</v>
      </c>
      <c r="T14" s="4">
        <f>(VLOOKUP('8.0.0'!AB14,'8.0.0'!$AM$4:$AO$45,3,FALSE))</f>
        <v>45</v>
      </c>
      <c r="U14" s="4">
        <f>(VLOOKUP('8.0.0'!AC14,'8.0.0'!$AM$4:$AO$45,3,FALSE))</f>
        <v>45</v>
      </c>
      <c r="V14" s="4">
        <f>(VLOOKUP('8.0.0'!AD14,'8.0.0'!$AM$4:$AO$45,3,FALSE))</f>
        <v>45</v>
      </c>
      <c r="W14" s="5">
        <f>(VLOOKUP('8.0.0'!AE14,'8.0.0'!$AM$4:$AO$45,3,FALSE))</f>
        <v>0</v>
      </c>
      <c r="X14" s="5">
        <f>(VLOOKUP('8.0.0'!AF14,'8.0.0'!$AM$4:$AO$45,3,FALSE))</f>
        <v>0</v>
      </c>
    </row>
    <row r="15" spans="1:24">
      <c r="A15" s="4">
        <f>(VLOOKUP('8.0.0'!I15,'8.0.0'!$AM$4:$AO$45,3,FALSE))</f>
        <v>50</v>
      </c>
      <c r="B15" s="4">
        <f>(VLOOKUP('8.0.0'!J15,'8.0.0'!$AM$4:$AO$45,3,FALSE))</f>
        <v>50</v>
      </c>
      <c r="C15" s="4">
        <f>(VLOOKUP('8.0.0'!K15,'8.0.0'!$AM$4:$AO$45,3,FALSE))</f>
        <v>50</v>
      </c>
      <c r="D15" s="4">
        <f>(VLOOKUP('8.0.0'!L15,'8.0.0'!$AM$4:$AO$45,3,FALSE))</f>
        <v>50</v>
      </c>
      <c r="E15" s="4">
        <f>(VLOOKUP('8.0.0'!M15,'8.0.0'!$AM$4:$AO$45,3,FALSE))</f>
        <v>50</v>
      </c>
      <c r="F15" s="4">
        <f>(VLOOKUP('8.0.0'!N15,'8.0.0'!$AM$4:$AO$45,3,FALSE))</f>
        <v>50</v>
      </c>
      <c r="G15" s="5">
        <f>(VLOOKUP('8.0.0'!O15,'8.0.0'!$AM$4:$AO$45,3,FALSE))</f>
        <v>0</v>
      </c>
      <c r="H15" s="5">
        <f>(VLOOKUP('8.0.0'!P15,'8.0.0'!$AM$4:$AO$45,3,FALSE))</f>
        <v>0</v>
      </c>
      <c r="I15" s="4">
        <f>(VLOOKUP('8.0.0'!Q15,'8.0.0'!$AM$4:$AO$45,3,FALSE))</f>
        <v>0</v>
      </c>
      <c r="J15" s="4">
        <f>(VLOOKUP('8.0.0'!R15,'8.0.0'!$AM$4:$AO$45,3,FALSE))</f>
        <v>0</v>
      </c>
      <c r="K15" s="4">
        <f>(VLOOKUP('8.0.0'!S15,'8.0.0'!$AM$4:$AO$45,3,FALSE))</f>
        <v>0</v>
      </c>
      <c r="L15" s="4">
        <f>(VLOOKUP('8.0.0'!T15,'8.0.0'!$AM$4:$AO$45,3,FALSE))</f>
        <v>0</v>
      </c>
      <c r="M15" s="4">
        <f>(VLOOKUP('8.0.0'!U15,'8.0.0'!$AM$4:$AO$45,3,FALSE))</f>
        <v>0</v>
      </c>
      <c r="N15" s="4">
        <f>(VLOOKUP('8.0.0'!V15,'8.0.0'!$AM$4:$AO$45,3,FALSE))</f>
        <v>0</v>
      </c>
      <c r="O15" s="5">
        <f>(VLOOKUP('8.0.0'!W15,'8.0.0'!$AM$4:$AO$45,3,FALSE))</f>
        <v>0</v>
      </c>
      <c r="P15" s="5">
        <f>(VLOOKUP('8.0.0'!X15,'8.0.0'!$AM$4:$AO$45,3,FALSE))</f>
        <v>0</v>
      </c>
      <c r="Q15" s="4">
        <f>(VLOOKUP('8.0.0'!Y15,'8.0.0'!$AM$4:$AO$45,3,FALSE))</f>
        <v>45</v>
      </c>
      <c r="R15" s="4">
        <f>(VLOOKUP('8.0.0'!Z15,'8.0.0'!$AM$4:$AO$45,3,FALSE))</f>
        <v>45</v>
      </c>
      <c r="S15" s="4">
        <f>(VLOOKUP('8.0.0'!AA15,'8.0.0'!$AM$4:$AO$45,3,FALSE))</f>
        <v>45</v>
      </c>
      <c r="T15" s="4">
        <f>(VLOOKUP('8.0.0'!AB15,'8.0.0'!$AM$4:$AO$45,3,FALSE))</f>
        <v>45</v>
      </c>
      <c r="U15" s="4">
        <f>(VLOOKUP('8.0.0'!AC15,'8.0.0'!$AM$4:$AO$45,3,FALSE))</f>
        <v>45</v>
      </c>
      <c r="V15" s="4">
        <f>(VLOOKUP('8.0.0'!AD15,'8.0.0'!$AM$4:$AO$45,3,FALSE))</f>
        <v>45</v>
      </c>
      <c r="W15" s="5">
        <f>(VLOOKUP('8.0.0'!AE15,'8.0.0'!$AM$4:$AO$45,3,FALSE))</f>
        <v>0</v>
      </c>
      <c r="X15" s="5">
        <f>(VLOOKUP('8.0.0'!AF15,'8.0.0'!$AM$4:$AO$45,3,FALSE))</f>
        <v>0</v>
      </c>
    </row>
    <row r="16" spans="1:24">
      <c r="A16" s="4">
        <f>(VLOOKUP('8.0.0'!I16,'8.0.0'!$AM$4:$AO$45,3,FALSE))</f>
        <v>50</v>
      </c>
      <c r="B16" s="4">
        <f>(VLOOKUP('8.0.0'!J16,'8.0.0'!$AM$4:$AO$45,3,FALSE))</f>
        <v>50</v>
      </c>
      <c r="C16" s="4">
        <f>(VLOOKUP('8.0.0'!K16,'8.0.0'!$AM$4:$AO$45,3,FALSE))</f>
        <v>50</v>
      </c>
      <c r="D16" s="4">
        <f>(VLOOKUP('8.0.0'!L16,'8.0.0'!$AM$4:$AO$45,3,FALSE))</f>
        <v>50</v>
      </c>
      <c r="E16" s="4">
        <f>(VLOOKUP('8.0.0'!M16,'8.0.0'!$AM$4:$AO$45,3,FALSE))</f>
        <v>50</v>
      </c>
      <c r="F16" s="4">
        <f>(VLOOKUP('8.0.0'!N16,'8.0.0'!$AM$4:$AO$45,3,FALSE))</f>
        <v>50</v>
      </c>
      <c r="G16" s="5">
        <f>(VLOOKUP('8.0.0'!O16,'8.0.0'!$AM$4:$AO$45,3,FALSE))</f>
        <v>0</v>
      </c>
      <c r="H16" s="5">
        <f>(VLOOKUP('8.0.0'!P16,'8.0.0'!$AM$4:$AO$45,3,FALSE))</f>
        <v>0</v>
      </c>
      <c r="I16" s="4">
        <f>(VLOOKUP('8.0.0'!Q16,'8.0.0'!$AM$4:$AO$45,3,FALSE))</f>
        <v>0</v>
      </c>
      <c r="J16" s="4">
        <f>(VLOOKUP('8.0.0'!R16,'8.0.0'!$AM$4:$AO$45,3,FALSE))</f>
        <v>0</v>
      </c>
      <c r="K16" s="4">
        <f>(VLOOKUP('8.0.0'!S16,'8.0.0'!$AM$4:$AO$45,3,FALSE))</f>
        <v>0</v>
      </c>
      <c r="L16" s="4">
        <f>(VLOOKUP('8.0.0'!T16,'8.0.0'!$AM$4:$AO$45,3,FALSE))</f>
        <v>0</v>
      </c>
      <c r="M16" s="4">
        <f>(VLOOKUP('8.0.0'!U16,'8.0.0'!$AM$4:$AO$45,3,FALSE))</f>
        <v>0</v>
      </c>
      <c r="N16" s="4">
        <f>(VLOOKUP('8.0.0'!V16,'8.0.0'!$AM$4:$AO$45,3,FALSE))</f>
        <v>0</v>
      </c>
      <c r="O16" s="5">
        <f>(VLOOKUP('8.0.0'!W16,'8.0.0'!$AM$4:$AO$45,3,FALSE))</f>
        <v>0</v>
      </c>
      <c r="P16" s="5">
        <f>(VLOOKUP('8.0.0'!X16,'8.0.0'!$AM$4:$AO$45,3,FALSE))</f>
        <v>0</v>
      </c>
      <c r="Q16" s="4">
        <f>(VLOOKUP('8.0.0'!Y16,'8.0.0'!$AM$4:$AO$45,3,FALSE))</f>
        <v>45</v>
      </c>
      <c r="R16" s="4">
        <f>(VLOOKUP('8.0.0'!Z16,'8.0.0'!$AM$4:$AO$45,3,FALSE))</f>
        <v>45</v>
      </c>
      <c r="S16" s="4">
        <f>(VLOOKUP('8.0.0'!AA16,'8.0.0'!$AM$4:$AO$45,3,FALSE))</f>
        <v>45</v>
      </c>
      <c r="T16" s="4">
        <f>(VLOOKUP('8.0.0'!AB16,'8.0.0'!$AM$4:$AO$45,3,FALSE))</f>
        <v>45</v>
      </c>
      <c r="U16" s="4">
        <f>(VLOOKUP('8.0.0'!AC16,'8.0.0'!$AM$4:$AO$45,3,FALSE))</f>
        <v>45</v>
      </c>
      <c r="V16" s="4">
        <f>(VLOOKUP('8.0.0'!AD16,'8.0.0'!$AM$4:$AO$45,3,FALSE))</f>
        <v>45</v>
      </c>
      <c r="W16" s="5">
        <f>(VLOOKUP('8.0.0'!AE16,'8.0.0'!$AM$4:$AO$45,3,FALSE))</f>
        <v>0</v>
      </c>
      <c r="X16" s="5">
        <f>(VLOOKUP('8.0.0'!AF16,'8.0.0'!$AM$4:$AO$45,3,FALSE))</f>
        <v>0</v>
      </c>
    </row>
    <row r="17" spans="1:24">
      <c r="A17" s="4">
        <f>(VLOOKUP('8.0.0'!I17,'8.0.0'!$AM$4:$AO$45,3,FALSE))</f>
        <v>50</v>
      </c>
      <c r="B17" s="4">
        <f>(VLOOKUP('8.0.0'!J17,'8.0.0'!$AM$4:$AO$45,3,FALSE))</f>
        <v>50</v>
      </c>
      <c r="C17" s="4">
        <f>(VLOOKUP('8.0.0'!K17,'8.0.0'!$AM$4:$AO$45,3,FALSE))</f>
        <v>50</v>
      </c>
      <c r="D17" s="4">
        <f>(VLOOKUP('8.0.0'!L17,'8.0.0'!$AM$4:$AO$45,3,FALSE))</f>
        <v>50</v>
      </c>
      <c r="E17" s="4">
        <f>(VLOOKUP('8.0.0'!M17,'8.0.0'!$AM$4:$AO$45,3,FALSE))</f>
        <v>50</v>
      </c>
      <c r="F17" s="4">
        <f>(VLOOKUP('8.0.0'!N17,'8.0.0'!$AM$4:$AO$45,3,FALSE))</f>
        <v>50</v>
      </c>
      <c r="G17" s="5">
        <f>(VLOOKUP('8.0.0'!O17,'8.0.0'!$AM$4:$AO$45,3,FALSE))</f>
        <v>0</v>
      </c>
      <c r="H17" s="5">
        <f>(VLOOKUP('8.0.0'!P17,'8.0.0'!$AM$4:$AO$45,3,FALSE))</f>
        <v>0</v>
      </c>
      <c r="I17" s="4">
        <f>(VLOOKUP('8.0.0'!Q17,'8.0.0'!$AM$4:$AO$45,3,FALSE))</f>
        <v>0</v>
      </c>
      <c r="J17" s="4">
        <f>(VLOOKUP('8.0.0'!R17,'8.0.0'!$AM$4:$AO$45,3,FALSE))</f>
        <v>0</v>
      </c>
      <c r="K17" s="4">
        <f>(VLOOKUP('8.0.0'!S17,'8.0.0'!$AM$4:$AO$45,3,FALSE))</f>
        <v>0</v>
      </c>
      <c r="L17" s="4">
        <f>(VLOOKUP('8.0.0'!T17,'8.0.0'!$AM$4:$AO$45,3,FALSE))</f>
        <v>0</v>
      </c>
      <c r="M17" s="4">
        <f>(VLOOKUP('8.0.0'!U17,'8.0.0'!$AM$4:$AO$45,3,FALSE))</f>
        <v>0</v>
      </c>
      <c r="N17" s="4">
        <f>(VLOOKUP('8.0.0'!V17,'8.0.0'!$AM$4:$AO$45,3,FALSE))</f>
        <v>0</v>
      </c>
      <c r="O17" s="5">
        <f>(VLOOKUP('8.0.0'!W17,'8.0.0'!$AM$4:$AO$45,3,FALSE))</f>
        <v>0</v>
      </c>
      <c r="P17" s="5">
        <f>(VLOOKUP('8.0.0'!X17,'8.0.0'!$AM$4:$AO$45,3,FALSE))</f>
        <v>0</v>
      </c>
      <c r="Q17" s="4">
        <f>(VLOOKUP('8.0.0'!Y17,'8.0.0'!$AM$4:$AO$45,3,FALSE))</f>
        <v>45</v>
      </c>
      <c r="R17" s="4">
        <f>(VLOOKUP('8.0.0'!Z17,'8.0.0'!$AM$4:$AO$45,3,FALSE))</f>
        <v>30</v>
      </c>
      <c r="S17" s="4">
        <f>(VLOOKUP('8.0.0'!AA17,'8.0.0'!$AM$4:$AO$45,3,FALSE))</f>
        <v>45</v>
      </c>
      <c r="T17" s="4">
        <f>(VLOOKUP('8.0.0'!AB17,'8.0.0'!$AM$4:$AO$45,3,FALSE))</f>
        <v>45</v>
      </c>
      <c r="U17" s="4">
        <f>(VLOOKUP('8.0.0'!AC17,'8.0.0'!$AM$4:$AO$45,3,FALSE))</f>
        <v>45</v>
      </c>
      <c r="V17" s="4">
        <f>(VLOOKUP('8.0.0'!AD17,'8.0.0'!$AM$4:$AO$45,3,FALSE))</f>
        <v>45</v>
      </c>
      <c r="W17" s="5">
        <f>(VLOOKUP('8.0.0'!AE17,'8.0.0'!$AM$4:$AO$45,3,FALSE))</f>
        <v>0</v>
      </c>
      <c r="X17" s="5">
        <f>(VLOOKUP('8.0.0'!AF17,'8.0.0'!$AM$4:$AO$45,3,FALSE))</f>
        <v>0</v>
      </c>
    </row>
    <row r="18" spans="1:24">
      <c r="A18" s="4">
        <f>(VLOOKUP('8.0.0'!I18,'8.0.0'!$AM$4:$AO$45,3,FALSE))</f>
        <v>50</v>
      </c>
      <c r="B18" s="4">
        <f>(VLOOKUP('8.0.0'!J18,'8.0.0'!$AM$4:$AO$45,3,FALSE))</f>
        <v>50</v>
      </c>
      <c r="C18" s="4">
        <f>(VLOOKUP('8.0.0'!K18,'8.0.0'!$AM$4:$AO$45,3,FALSE))</f>
        <v>50</v>
      </c>
      <c r="D18" s="4">
        <f>(VLOOKUP('8.0.0'!L18,'8.0.0'!$AM$4:$AO$45,3,FALSE))</f>
        <v>50</v>
      </c>
      <c r="E18" s="4">
        <f>(VLOOKUP('8.0.0'!M18,'8.0.0'!$AM$4:$AO$45,3,FALSE))</f>
        <v>50</v>
      </c>
      <c r="F18" s="4">
        <f>(VLOOKUP('8.0.0'!N18,'8.0.0'!$AM$4:$AO$45,3,FALSE))</f>
        <v>50</v>
      </c>
      <c r="G18" s="5">
        <f>(VLOOKUP('8.0.0'!O18,'8.0.0'!$AM$4:$AO$45,3,FALSE))</f>
        <v>0</v>
      </c>
      <c r="H18" s="5">
        <f>(VLOOKUP('8.0.0'!P18,'8.0.0'!$AM$4:$AO$45,3,FALSE))</f>
        <v>0</v>
      </c>
      <c r="I18" s="4">
        <f>(VLOOKUP('8.0.0'!Q18,'8.0.0'!$AM$4:$AO$45,3,FALSE))</f>
        <v>0</v>
      </c>
      <c r="J18" s="4">
        <f>(VLOOKUP('8.0.0'!R18,'8.0.0'!$AM$4:$AO$45,3,FALSE))</f>
        <v>0</v>
      </c>
      <c r="K18" s="4">
        <f>(VLOOKUP('8.0.0'!S18,'8.0.0'!$AM$4:$AO$45,3,FALSE))</f>
        <v>0</v>
      </c>
      <c r="L18" s="4">
        <f>(VLOOKUP('8.0.0'!T18,'8.0.0'!$AM$4:$AO$45,3,FALSE))</f>
        <v>0</v>
      </c>
      <c r="M18" s="4">
        <f>(VLOOKUP('8.0.0'!U18,'8.0.0'!$AM$4:$AO$45,3,FALSE))</f>
        <v>0</v>
      </c>
      <c r="N18" s="4">
        <f>(VLOOKUP('8.0.0'!V18,'8.0.0'!$AM$4:$AO$45,3,FALSE))</f>
        <v>0</v>
      </c>
      <c r="O18" s="5">
        <f>(VLOOKUP('8.0.0'!W18,'8.0.0'!$AM$4:$AO$45,3,FALSE))</f>
        <v>0</v>
      </c>
      <c r="P18" s="5">
        <f>(VLOOKUP('8.0.0'!X18,'8.0.0'!$AM$4:$AO$45,3,FALSE))</f>
        <v>0</v>
      </c>
      <c r="Q18" s="4">
        <f>(VLOOKUP('8.0.0'!Y18,'8.0.0'!$AM$4:$AO$45,3,FALSE))</f>
        <v>45</v>
      </c>
      <c r="R18" s="4">
        <f>(VLOOKUP('8.0.0'!Z18,'8.0.0'!$AM$4:$AO$45,3,FALSE))</f>
        <v>45</v>
      </c>
      <c r="S18" s="4">
        <f>(VLOOKUP('8.0.0'!AA18,'8.0.0'!$AM$4:$AO$45,3,FALSE))</f>
        <v>45</v>
      </c>
      <c r="T18" s="4">
        <f>(VLOOKUP('8.0.0'!AB18,'8.0.0'!$AM$4:$AO$45,3,FALSE))</f>
        <v>45</v>
      </c>
      <c r="U18" s="4">
        <f>(VLOOKUP('8.0.0'!AC18,'8.0.0'!$AM$4:$AO$45,3,FALSE))</f>
        <v>45</v>
      </c>
      <c r="V18" s="4">
        <f>(VLOOKUP('8.0.0'!AD18,'8.0.0'!$AM$4:$AO$45,3,FALSE))</f>
        <v>45</v>
      </c>
      <c r="W18" s="5">
        <f>(VLOOKUP('8.0.0'!AE18,'8.0.0'!$AM$4:$AO$45,3,FALSE))</f>
        <v>0</v>
      </c>
      <c r="X18" s="5">
        <f>(VLOOKUP('8.0.0'!AF18,'8.0.0'!$AM$4:$AO$45,3,FALSE))</f>
        <v>0</v>
      </c>
    </row>
    <row r="19" spans="1:24">
      <c r="A19" s="4">
        <f>(VLOOKUP('8.0.0'!I19,'8.0.0'!$AM$4:$AO$45,3,FALSE))</f>
        <v>50</v>
      </c>
      <c r="B19" s="4">
        <f>(VLOOKUP('8.0.0'!J19,'8.0.0'!$AM$4:$AO$45,3,FALSE))</f>
        <v>50</v>
      </c>
      <c r="C19" s="4">
        <f>(VLOOKUP('8.0.0'!K19,'8.0.0'!$AM$4:$AO$45,3,FALSE))</f>
        <v>50</v>
      </c>
      <c r="D19" s="4">
        <f>(VLOOKUP('8.0.0'!L19,'8.0.0'!$AM$4:$AO$45,3,FALSE))</f>
        <v>50</v>
      </c>
      <c r="E19" s="4">
        <f>(VLOOKUP('8.0.0'!M19,'8.0.0'!$AM$4:$AO$45,3,FALSE))</f>
        <v>50</v>
      </c>
      <c r="F19" s="4">
        <f>(VLOOKUP('8.0.0'!N19,'8.0.0'!$AM$4:$AO$45,3,FALSE))</f>
        <v>50</v>
      </c>
      <c r="G19" s="5">
        <f>(VLOOKUP('8.0.0'!O19,'8.0.0'!$AM$4:$AO$45,3,FALSE))</f>
        <v>0</v>
      </c>
      <c r="H19" s="5">
        <f>(VLOOKUP('8.0.0'!P19,'8.0.0'!$AM$4:$AO$45,3,FALSE))</f>
        <v>0</v>
      </c>
      <c r="I19" s="4">
        <f>(VLOOKUP('8.0.0'!Q19,'8.0.0'!$AM$4:$AO$45,3,FALSE))</f>
        <v>0</v>
      </c>
      <c r="J19" s="4">
        <f>(VLOOKUP('8.0.0'!R19,'8.0.0'!$AM$4:$AO$45,3,FALSE))</f>
        <v>0</v>
      </c>
      <c r="K19" s="4">
        <f>(VLOOKUP('8.0.0'!S19,'8.0.0'!$AM$4:$AO$45,3,FALSE))</f>
        <v>0</v>
      </c>
      <c r="L19" s="4">
        <f>(VLOOKUP('8.0.0'!T19,'8.0.0'!$AM$4:$AO$45,3,FALSE))</f>
        <v>0</v>
      </c>
      <c r="M19" s="4">
        <f>(VLOOKUP('8.0.0'!U19,'8.0.0'!$AM$4:$AO$45,3,FALSE))</f>
        <v>0</v>
      </c>
      <c r="N19" s="4">
        <f>(VLOOKUP('8.0.0'!V19,'8.0.0'!$AM$4:$AO$45,3,FALSE))</f>
        <v>0</v>
      </c>
      <c r="O19" s="5">
        <f>(VLOOKUP('8.0.0'!W19,'8.0.0'!$AM$4:$AO$45,3,FALSE))</f>
        <v>0</v>
      </c>
      <c r="P19" s="5">
        <f>(VLOOKUP('8.0.0'!X19,'8.0.0'!$AM$4:$AO$45,3,FALSE))</f>
        <v>0</v>
      </c>
      <c r="Q19" s="4">
        <f>(VLOOKUP('8.0.0'!Y19,'8.0.0'!$AM$4:$AO$45,3,FALSE))</f>
        <v>45</v>
      </c>
      <c r="R19" s="4">
        <f>(VLOOKUP('8.0.0'!Z19,'8.0.0'!$AM$4:$AO$45,3,FALSE))</f>
        <v>45</v>
      </c>
      <c r="S19" s="4">
        <f>(VLOOKUP('8.0.0'!AA19,'8.0.0'!$AM$4:$AO$45,3,FALSE))</f>
        <v>45</v>
      </c>
      <c r="T19" s="4">
        <f>(VLOOKUP('8.0.0'!AB19,'8.0.0'!$AM$4:$AO$45,3,FALSE))</f>
        <v>45</v>
      </c>
      <c r="U19" s="4">
        <f>(VLOOKUP('8.0.0'!AC19,'8.0.0'!$AM$4:$AO$45,3,FALSE))</f>
        <v>45</v>
      </c>
      <c r="V19" s="4">
        <f>(VLOOKUP('8.0.0'!AD19,'8.0.0'!$AM$4:$AO$45,3,FALSE))</f>
        <v>45</v>
      </c>
      <c r="W19" s="5">
        <f>(VLOOKUP('8.0.0'!AE19,'8.0.0'!$AM$4:$AO$45,3,FALSE))</f>
        <v>0</v>
      </c>
      <c r="X19" s="5">
        <f>(VLOOKUP('8.0.0'!AF19,'8.0.0'!$AM$4:$AO$45,3,FALSE))</f>
        <v>0</v>
      </c>
    </row>
    <row r="20" spans="1:24">
      <c r="A20" s="4">
        <f>(VLOOKUP('8.0.0'!I20,'8.0.0'!$AM$4:$AO$45,3,FALSE))</f>
        <v>50</v>
      </c>
      <c r="B20" s="4">
        <f>(VLOOKUP('8.0.0'!J20,'8.0.0'!$AM$4:$AO$45,3,FALSE))</f>
        <v>50</v>
      </c>
      <c r="C20" s="4">
        <f>(VLOOKUP('8.0.0'!K20,'8.0.0'!$AM$4:$AO$45,3,FALSE))</f>
        <v>50</v>
      </c>
      <c r="D20" s="4">
        <f>(VLOOKUP('8.0.0'!L20,'8.0.0'!$AM$4:$AO$45,3,FALSE))</f>
        <v>50</v>
      </c>
      <c r="E20" s="4">
        <f>(VLOOKUP('8.0.0'!M20,'8.0.0'!$AM$4:$AO$45,3,FALSE))</f>
        <v>50</v>
      </c>
      <c r="F20" s="4">
        <f>(VLOOKUP('8.0.0'!N20,'8.0.0'!$AM$4:$AO$45,3,FALSE))</f>
        <v>50</v>
      </c>
      <c r="G20" s="5">
        <f>(VLOOKUP('8.0.0'!O20,'8.0.0'!$AM$4:$AO$45,3,FALSE))</f>
        <v>0</v>
      </c>
      <c r="H20" s="5">
        <f>(VLOOKUP('8.0.0'!P20,'8.0.0'!$AM$4:$AO$45,3,FALSE))</f>
        <v>0</v>
      </c>
      <c r="I20" s="4">
        <f>(VLOOKUP('8.0.0'!Q20,'8.0.0'!$AM$4:$AO$45,3,FALSE))</f>
        <v>0</v>
      </c>
      <c r="J20" s="4">
        <f>(VLOOKUP('8.0.0'!R20,'8.0.0'!$AM$4:$AO$45,3,FALSE))</f>
        <v>0</v>
      </c>
      <c r="K20" s="4">
        <f>(VLOOKUP('8.0.0'!S20,'8.0.0'!$AM$4:$AO$45,3,FALSE))</f>
        <v>0</v>
      </c>
      <c r="L20" s="4">
        <f>(VLOOKUP('8.0.0'!T20,'8.0.0'!$AM$4:$AO$45,3,FALSE))</f>
        <v>0</v>
      </c>
      <c r="M20" s="4">
        <f>(VLOOKUP('8.0.0'!U20,'8.0.0'!$AM$4:$AO$45,3,FALSE))</f>
        <v>0</v>
      </c>
      <c r="N20" s="4">
        <f>(VLOOKUP('8.0.0'!V20,'8.0.0'!$AM$4:$AO$45,3,FALSE))</f>
        <v>0</v>
      </c>
      <c r="O20" s="5">
        <f>(VLOOKUP('8.0.0'!W20,'8.0.0'!$AM$4:$AO$45,3,FALSE))</f>
        <v>0</v>
      </c>
      <c r="P20" s="5">
        <f>(VLOOKUP('8.0.0'!X20,'8.0.0'!$AM$4:$AO$45,3,FALSE))</f>
        <v>0</v>
      </c>
      <c r="Q20" s="4">
        <f>(VLOOKUP('8.0.0'!Y20,'8.0.0'!$AM$4:$AO$45,3,FALSE))</f>
        <v>45</v>
      </c>
      <c r="R20" s="4">
        <f>(VLOOKUP('8.0.0'!Z20,'8.0.0'!$AM$4:$AO$45,3,FALSE))</f>
        <v>45</v>
      </c>
      <c r="S20" s="4">
        <f>(VLOOKUP('8.0.0'!AA20,'8.0.0'!$AM$4:$AO$45,3,FALSE))</f>
        <v>45</v>
      </c>
      <c r="T20" s="4">
        <f>(VLOOKUP('8.0.0'!AB20,'8.0.0'!$AM$4:$AO$45,3,FALSE))</f>
        <v>45</v>
      </c>
      <c r="U20" s="4">
        <f>(VLOOKUP('8.0.0'!AC20,'8.0.0'!$AM$4:$AO$45,3,FALSE))</f>
        <v>45</v>
      </c>
      <c r="V20" s="4">
        <f>(VLOOKUP('8.0.0'!AD20,'8.0.0'!$AM$4:$AO$45,3,FALSE))</f>
        <v>45</v>
      </c>
      <c r="W20" s="5">
        <f>(VLOOKUP('8.0.0'!AE20,'8.0.0'!$AM$4:$AO$45,3,FALSE))</f>
        <v>0</v>
      </c>
      <c r="X20" s="5">
        <f>(VLOOKUP('8.0.0'!AF20,'8.0.0'!$AM$4:$AO$45,3,FALSE))</f>
        <v>0</v>
      </c>
    </row>
    <row r="21" spans="1:24">
      <c r="A21" s="4">
        <f>(VLOOKUP('8.0.0'!I21,'8.0.0'!$AM$4:$AO$45,3,FALSE))</f>
        <v>50</v>
      </c>
      <c r="B21" s="4">
        <f>(VLOOKUP('8.0.0'!J21,'8.0.0'!$AM$4:$AO$45,3,FALSE))</f>
        <v>50</v>
      </c>
      <c r="C21" s="4">
        <f>(VLOOKUP('8.0.0'!K21,'8.0.0'!$AM$4:$AO$45,3,FALSE))</f>
        <v>50</v>
      </c>
      <c r="D21" s="4">
        <f>(VLOOKUP('8.0.0'!L21,'8.0.0'!$AM$4:$AO$45,3,FALSE))</f>
        <v>50</v>
      </c>
      <c r="E21" s="4">
        <f>(VLOOKUP('8.0.0'!M21,'8.0.0'!$AM$4:$AO$45,3,FALSE))</f>
        <v>50</v>
      </c>
      <c r="F21" s="4">
        <f>(VLOOKUP('8.0.0'!N21,'8.0.0'!$AM$4:$AO$45,3,FALSE))</f>
        <v>50</v>
      </c>
      <c r="G21" s="5">
        <f>(VLOOKUP('8.0.0'!O21,'8.0.0'!$AM$4:$AO$45,3,FALSE))</f>
        <v>0</v>
      </c>
      <c r="H21" s="5">
        <f>(VLOOKUP('8.0.0'!P21,'8.0.0'!$AM$4:$AO$45,3,FALSE))</f>
        <v>0</v>
      </c>
      <c r="I21" s="4">
        <f>(VLOOKUP('8.0.0'!Q21,'8.0.0'!$AM$4:$AO$45,3,FALSE))</f>
        <v>0</v>
      </c>
      <c r="J21" s="4">
        <f>(VLOOKUP('8.0.0'!R21,'8.0.0'!$AM$4:$AO$45,3,FALSE))</f>
        <v>0</v>
      </c>
      <c r="K21" s="4">
        <f>(VLOOKUP('8.0.0'!S21,'8.0.0'!$AM$4:$AO$45,3,FALSE))</f>
        <v>0</v>
      </c>
      <c r="L21" s="4">
        <f>(VLOOKUP('8.0.0'!T21,'8.0.0'!$AM$4:$AO$45,3,FALSE))</f>
        <v>0</v>
      </c>
      <c r="M21" s="4">
        <f>(VLOOKUP('8.0.0'!U21,'8.0.0'!$AM$4:$AO$45,3,FALSE))</f>
        <v>0</v>
      </c>
      <c r="N21" s="4">
        <f>(VLOOKUP('8.0.0'!V21,'8.0.0'!$AM$4:$AO$45,3,FALSE))</f>
        <v>0</v>
      </c>
      <c r="O21" s="5">
        <f>(VLOOKUP('8.0.0'!W21,'8.0.0'!$AM$4:$AO$45,3,FALSE))</f>
        <v>0</v>
      </c>
      <c r="P21" s="5">
        <f>(VLOOKUP('8.0.0'!X21,'8.0.0'!$AM$4:$AO$45,3,FALSE))</f>
        <v>0</v>
      </c>
      <c r="Q21" s="4">
        <f>(VLOOKUP('8.0.0'!Y21,'8.0.0'!$AM$4:$AO$45,3,FALSE))</f>
        <v>45</v>
      </c>
      <c r="R21" s="4">
        <f>(VLOOKUP('8.0.0'!Z21,'8.0.0'!$AM$4:$AO$45,3,FALSE))</f>
        <v>45</v>
      </c>
      <c r="S21" s="4">
        <f>(VLOOKUP('8.0.0'!AA21,'8.0.0'!$AM$4:$AO$45,3,FALSE))</f>
        <v>45</v>
      </c>
      <c r="T21" s="4">
        <f>(VLOOKUP('8.0.0'!AB21,'8.0.0'!$AM$4:$AO$45,3,FALSE))</f>
        <v>45</v>
      </c>
      <c r="U21" s="4">
        <f>(VLOOKUP('8.0.0'!AC21,'8.0.0'!$AM$4:$AO$45,3,FALSE))</f>
        <v>45</v>
      </c>
      <c r="V21" s="4">
        <f>(VLOOKUP('8.0.0'!AD21,'8.0.0'!$AM$4:$AO$45,3,FALSE))</f>
        <v>45</v>
      </c>
      <c r="W21" s="5">
        <f>(VLOOKUP('8.0.0'!AE21,'8.0.0'!$AM$4:$AO$45,3,FALSE))</f>
        <v>0</v>
      </c>
      <c r="X21" s="5">
        <f>(VLOOKUP('8.0.0'!AF21,'8.0.0'!$AM$4:$AO$45,3,FALSE))</f>
        <v>0</v>
      </c>
    </row>
    <row r="22" spans="1:24">
      <c r="A22" s="4">
        <f>(VLOOKUP('8.0.0'!I22,'8.0.0'!$AM$4:$AO$45,3,FALSE))</f>
        <v>50</v>
      </c>
      <c r="B22" s="4">
        <f>(VLOOKUP('8.0.0'!J22,'8.0.0'!$AM$4:$AO$45,3,FALSE))</f>
        <v>30</v>
      </c>
      <c r="C22" s="4">
        <f>(VLOOKUP('8.0.0'!K22,'8.0.0'!$AM$4:$AO$45,3,FALSE))</f>
        <v>50</v>
      </c>
      <c r="D22" s="4">
        <f>(VLOOKUP('8.0.0'!L22,'8.0.0'!$AM$4:$AO$45,3,FALSE))</f>
        <v>50</v>
      </c>
      <c r="E22" s="4">
        <f>(VLOOKUP('8.0.0'!M22,'8.0.0'!$AM$4:$AO$45,3,FALSE))</f>
        <v>50</v>
      </c>
      <c r="F22" s="4">
        <f>(VLOOKUP('8.0.0'!N22,'8.0.0'!$AM$4:$AO$45,3,FALSE))</f>
        <v>50</v>
      </c>
      <c r="G22" s="5">
        <f>(VLOOKUP('8.0.0'!O22,'8.0.0'!$AM$4:$AO$45,3,FALSE))</f>
        <v>0</v>
      </c>
      <c r="H22" s="5">
        <f>(VLOOKUP('8.0.0'!P22,'8.0.0'!$AM$4:$AO$45,3,FALSE))</f>
        <v>0</v>
      </c>
      <c r="I22" s="4">
        <f>(VLOOKUP('8.0.0'!Q22,'8.0.0'!$AM$4:$AO$45,3,FALSE))</f>
        <v>0</v>
      </c>
      <c r="J22" s="4">
        <f>(VLOOKUP('8.0.0'!R22,'8.0.0'!$AM$4:$AO$45,3,FALSE))</f>
        <v>0</v>
      </c>
      <c r="K22" s="4">
        <f>(VLOOKUP('8.0.0'!S22,'8.0.0'!$AM$4:$AO$45,3,FALSE))</f>
        <v>0</v>
      </c>
      <c r="L22" s="4">
        <f>(VLOOKUP('8.0.0'!T22,'8.0.0'!$AM$4:$AO$45,3,FALSE))</f>
        <v>0</v>
      </c>
      <c r="M22" s="4">
        <f>(VLOOKUP('8.0.0'!U22,'8.0.0'!$AM$4:$AO$45,3,FALSE))</f>
        <v>0</v>
      </c>
      <c r="N22" s="4">
        <f>(VLOOKUP('8.0.0'!V22,'8.0.0'!$AM$4:$AO$45,3,FALSE))</f>
        <v>0</v>
      </c>
      <c r="O22" s="5">
        <f>(VLOOKUP('8.0.0'!W22,'8.0.0'!$AM$4:$AO$45,3,FALSE))</f>
        <v>0</v>
      </c>
      <c r="P22" s="5">
        <f>(VLOOKUP('8.0.0'!X22,'8.0.0'!$AM$4:$AO$45,3,FALSE))</f>
        <v>0</v>
      </c>
      <c r="Q22" s="4">
        <f>(VLOOKUP('8.0.0'!Y22,'8.0.0'!$AM$4:$AO$45,3,FALSE))</f>
        <v>45</v>
      </c>
      <c r="R22" s="4">
        <f>(VLOOKUP('8.0.0'!Z22,'8.0.0'!$AM$4:$AO$45,3,FALSE))</f>
        <v>45</v>
      </c>
      <c r="S22" s="4">
        <f>(VLOOKUP('8.0.0'!AA22,'8.0.0'!$AM$4:$AO$45,3,FALSE))</f>
        <v>45</v>
      </c>
      <c r="T22" s="4">
        <f>(VLOOKUP('8.0.0'!AB22,'8.0.0'!$AM$4:$AO$45,3,FALSE))</f>
        <v>45</v>
      </c>
      <c r="U22" s="4">
        <f>(VLOOKUP('8.0.0'!AC22,'8.0.0'!$AM$4:$AO$45,3,FALSE))</f>
        <v>45</v>
      </c>
      <c r="V22" s="4">
        <f>(VLOOKUP('8.0.0'!AD22,'8.0.0'!$AM$4:$AO$45,3,FALSE))</f>
        <v>45</v>
      </c>
      <c r="W22" s="5">
        <f>(VLOOKUP('8.0.0'!AE22,'8.0.0'!$AM$4:$AO$45,3,FALSE))</f>
        <v>0</v>
      </c>
      <c r="X22" s="5">
        <f>(VLOOKUP('8.0.0'!AF22,'8.0.0'!$AM$4:$AO$45,3,FALSE))</f>
        <v>0</v>
      </c>
    </row>
    <row r="23" spans="1:24">
      <c r="A23" s="4">
        <f>(VLOOKUP('8.0.0'!I23,'8.0.0'!$AM$4:$AO$45,3,FALSE))</f>
        <v>50</v>
      </c>
      <c r="B23" s="4">
        <f>(VLOOKUP('8.0.0'!J23,'8.0.0'!$AM$4:$AO$45,3,FALSE))</f>
        <v>50</v>
      </c>
      <c r="C23" s="4">
        <f>(VLOOKUP('8.0.0'!K23,'8.0.0'!$AM$4:$AO$45,3,FALSE))</f>
        <v>50</v>
      </c>
      <c r="D23" s="4">
        <f>(VLOOKUP('8.0.0'!L23,'8.0.0'!$AM$4:$AO$45,3,FALSE))</f>
        <v>50</v>
      </c>
      <c r="E23" s="4">
        <f>(VLOOKUP('8.0.0'!M23,'8.0.0'!$AM$4:$AO$45,3,FALSE))</f>
        <v>50</v>
      </c>
      <c r="F23" s="4">
        <f>(VLOOKUP('8.0.0'!N23,'8.0.0'!$AM$4:$AO$45,3,FALSE))</f>
        <v>50</v>
      </c>
      <c r="G23" s="5">
        <f>(VLOOKUP('8.0.0'!O23,'8.0.0'!$AM$4:$AO$45,3,FALSE))</f>
        <v>0</v>
      </c>
      <c r="H23" s="5">
        <f>(VLOOKUP('8.0.0'!P23,'8.0.0'!$AM$4:$AO$45,3,FALSE))</f>
        <v>0</v>
      </c>
      <c r="I23" s="4">
        <f>(VLOOKUP('8.0.0'!Q23,'8.0.0'!$AM$4:$AO$45,3,FALSE))</f>
        <v>0</v>
      </c>
      <c r="J23" s="4">
        <f>(VLOOKUP('8.0.0'!R23,'8.0.0'!$AM$4:$AO$45,3,FALSE))</f>
        <v>0</v>
      </c>
      <c r="K23" s="4">
        <f>(VLOOKUP('8.0.0'!S23,'8.0.0'!$AM$4:$AO$45,3,FALSE))</f>
        <v>0</v>
      </c>
      <c r="L23" s="4">
        <f>(VLOOKUP('8.0.0'!T23,'8.0.0'!$AM$4:$AO$45,3,FALSE))</f>
        <v>0</v>
      </c>
      <c r="M23" s="4">
        <f>(VLOOKUP('8.0.0'!U23,'8.0.0'!$AM$4:$AO$45,3,FALSE))</f>
        <v>0</v>
      </c>
      <c r="N23" s="4">
        <f>(VLOOKUP('8.0.0'!V23,'8.0.0'!$AM$4:$AO$45,3,FALSE))</f>
        <v>0</v>
      </c>
      <c r="O23" s="5">
        <f>(VLOOKUP('8.0.0'!W23,'8.0.0'!$AM$4:$AO$45,3,FALSE))</f>
        <v>0</v>
      </c>
      <c r="P23" s="5">
        <f>(VLOOKUP('8.0.0'!X23,'8.0.0'!$AM$4:$AO$45,3,FALSE))</f>
        <v>0</v>
      </c>
      <c r="Q23" s="4">
        <f>(VLOOKUP('8.0.0'!Y23,'8.0.0'!$AM$4:$AO$45,3,FALSE))</f>
        <v>45</v>
      </c>
      <c r="R23" s="4">
        <f>(VLOOKUP('8.0.0'!Z23,'8.0.0'!$AM$4:$AO$45,3,FALSE))</f>
        <v>30</v>
      </c>
      <c r="S23" s="4">
        <f>(VLOOKUP('8.0.0'!AA23,'8.0.0'!$AM$4:$AO$45,3,FALSE))</f>
        <v>45</v>
      </c>
      <c r="T23" s="4">
        <f>(VLOOKUP('8.0.0'!AB23,'8.0.0'!$AM$4:$AO$45,3,FALSE))</f>
        <v>45</v>
      </c>
      <c r="U23" s="4">
        <f>(VLOOKUP('8.0.0'!AC23,'8.0.0'!$AM$4:$AO$45,3,FALSE))</f>
        <v>45</v>
      </c>
      <c r="V23" s="4">
        <f>(VLOOKUP('8.0.0'!AD23,'8.0.0'!$AM$4:$AO$45,3,FALSE))</f>
        <v>45</v>
      </c>
      <c r="W23" s="5">
        <f>(VLOOKUP('8.0.0'!AE23,'8.0.0'!$AM$4:$AO$45,3,FALSE))</f>
        <v>0</v>
      </c>
      <c r="X23" s="5">
        <f>(VLOOKUP('8.0.0'!AF23,'8.0.0'!$AM$4:$AO$45,3,FALSE))</f>
        <v>0</v>
      </c>
    </row>
    <row r="24" spans="1:24">
      <c r="A24" s="4">
        <f>(VLOOKUP('8.0.0'!I24,'8.0.0'!$AM$4:$AO$45,3,FALSE))</f>
        <v>50</v>
      </c>
      <c r="B24" s="4">
        <f>(VLOOKUP('8.0.0'!J24,'8.0.0'!$AM$4:$AO$45,3,FALSE))</f>
        <v>50</v>
      </c>
      <c r="C24" s="4">
        <f>(VLOOKUP('8.0.0'!K24,'8.0.0'!$AM$4:$AO$45,3,FALSE))</f>
        <v>50</v>
      </c>
      <c r="D24" s="4">
        <f>(VLOOKUP('8.0.0'!L24,'8.0.0'!$AM$4:$AO$45,3,FALSE))</f>
        <v>50</v>
      </c>
      <c r="E24" s="4">
        <f>(VLOOKUP('8.0.0'!M24,'8.0.0'!$AM$4:$AO$45,3,FALSE))</f>
        <v>50</v>
      </c>
      <c r="F24" s="4">
        <f>(VLOOKUP('8.0.0'!N24,'8.0.0'!$AM$4:$AO$45,3,FALSE))</f>
        <v>50</v>
      </c>
      <c r="G24" s="5">
        <f>(VLOOKUP('8.0.0'!O24,'8.0.0'!$AM$4:$AO$45,3,FALSE))</f>
        <v>0</v>
      </c>
      <c r="H24" s="5">
        <f>(VLOOKUP('8.0.0'!P24,'8.0.0'!$AM$4:$AO$45,3,FALSE))</f>
        <v>0</v>
      </c>
      <c r="I24" s="4">
        <f>(VLOOKUP('8.0.0'!Q24,'8.0.0'!$AM$4:$AO$45,3,FALSE))</f>
        <v>0</v>
      </c>
      <c r="J24" s="4">
        <f>(VLOOKUP('8.0.0'!R24,'8.0.0'!$AM$4:$AO$45,3,FALSE))</f>
        <v>0</v>
      </c>
      <c r="K24" s="4">
        <f>(VLOOKUP('8.0.0'!S24,'8.0.0'!$AM$4:$AO$45,3,FALSE))</f>
        <v>0</v>
      </c>
      <c r="L24" s="4">
        <f>(VLOOKUP('8.0.0'!T24,'8.0.0'!$AM$4:$AO$45,3,FALSE))</f>
        <v>0</v>
      </c>
      <c r="M24" s="4">
        <f>(VLOOKUP('8.0.0'!U24,'8.0.0'!$AM$4:$AO$45,3,FALSE))</f>
        <v>0</v>
      </c>
      <c r="N24" s="4">
        <f>(VLOOKUP('8.0.0'!V24,'8.0.0'!$AM$4:$AO$45,3,FALSE))</f>
        <v>0</v>
      </c>
      <c r="O24" s="5">
        <f>(VLOOKUP('8.0.0'!W24,'8.0.0'!$AM$4:$AO$45,3,FALSE))</f>
        <v>0</v>
      </c>
      <c r="P24" s="5">
        <f>(VLOOKUP('8.0.0'!X24,'8.0.0'!$AM$4:$AO$45,3,FALSE))</f>
        <v>0</v>
      </c>
      <c r="Q24" s="4">
        <f>(VLOOKUP('8.0.0'!Y24,'8.0.0'!$AM$4:$AO$45,3,FALSE))</f>
        <v>45</v>
      </c>
      <c r="R24" s="4">
        <f>(VLOOKUP('8.0.0'!Z24,'8.0.0'!$AM$4:$AO$45,3,FALSE))</f>
        <v>45</v>
      </c>
      <c r="S24" s="4">
        <f>(VLOOKUP('8.0.0'!AA24,'8.0.0'!$AM$4:$AO$45,3,FALSE))</f>
        <v>45</v>
      </c>
      <c r="T24" s="4">
        <f>(VLOOKUP('8.0.0'!AB24,'8.0.0'!$AM$4:$AO$45,3,FALSE))</f>
        <v>45</v>
      </c>
      <c r="U24" s="4">
        <f>(VLOOKUP('8.0.0'!AC24,'8.0.0'!$AM$4:$AO$45,3,FALSE))</f>
        <v>45</v>
      </c>
      <c r="V24" s="4">
        <f>(VLOOKUP('8.0.0'!AD24,'8.0.0'!$AM$4:$AO$45,3,FALSE))</f>
        <v>45</v>
      </c>
      <c r="W24" s="5">
        <f>(VLOOKUP('8.0.0'!AE24,'8.0.0'!$AM$4:$AO$45,3,FALSE))</f>
        <v>0</v>
      </c>
      <c r="X24" s="5">
        <f>(VLOOKUP('8.0.0'!AF24,'8.0.0'!$AM$4:$AO$45,3,FALSE))</f>
        <v>0</v>
      </c>
    </row>
    <row r="25" spans="1:24">
      <c r="A25" s="4">
        <f>(VLOOKUP('8.0.0'!I25,'8.0.0'!$AM$4:$AO$45,3,FALSE))</f>
        <v>50</v>
      </c>
      <c r="B25" s="4">
        <f>(VLOOKUP('8.0.0'!J25,'8.0.0'!$AM$4:$AO$45,3,FALSE))</f>
        <v>50</v>
      </c>
      <c r="C25" s="4">
        <f>(VLOOKUP('8.0.0'!K25,'8.0.0'!$AM$4:$AO$45,3,FALSE))</f>
        <v>50</v>
      </c>
      <c r="D25" s="4">
        <f>(VLOOKUP('8.0.0'!L25,'8.0.0'!$AM$4:$AO$45,3,FALSE))</f>
        <v>50</v>
      </c>
      <c r="E25" s="4">
        <f>(VLOOKUP('8.0.0'!M25,'8.0.0'!$AM$4:$AO$45,3,FALSE))</f>
        <v>50</v>
      </c>
      <c r="F25" s="4">
        <f>(VLOOKUP('8.0.0'!N25,'8.0.0'!$AM$4:$AO$45,3,FALSE))</f>
        <v>50</v>
      </c>
      <c r="G25" s="5">
        <f>(VLOOKUP('8.0.0'!O25,'8.0.0'!$AM$4:$AO$45,3,FALSE))</f>
        <v>0</v>
      </c>
      <c r="H25" s="5">
        <f>(VLOOKUP('8.0.0'!P25,'8.0.0'!$AM$4:$AO$45,3,FALSE))</f>
        <v>0</v>
      </c>
      <c r="I25" s="4">
        <f>(VLOOKUP('8.0.0'!Q25,'8.0.0'!$AM$4:$AO$45,3,FALSE))</f>
        <v>0</v>
      </c>
      <c r="J25" s="4">
        <f>(VLOOKUP('8.0.0'!R25,'8.0.0'!$AM$4:$AO$45,3,FALSE))</f>
        <v>0</v>
      </c>
      <c r="K25" s="4">
        <f>(VLOOKUP('8.0.0'!S25,'8.0.0'!$AM$4:$AO$45,3,FALSE))</f>
        <v>0</v>
      </c>
      <c r="L25" s="4">
        <f>(VLOOKUP('8.0.0'!T25,'8.0.0'!$AM$4:$AO$45,3,FALSE))</f>
        <v>0</v>
      </c>
      <c r="M25" s="4">
        <f>(VLOOKUP('8.0.0'!U25,'8.0.0'!$AM$4:$AO$45,3,FALSE))</f>
        <v>0</v>
      </c>
      <c r="N25" s="4">
        <f>(VLOOKUP('8.0.0'!V25,'8.0.0'!$AM$4:$AO$45,3,FALSE))</f>
        <v>0</v>
      </c>
      <c r="O25" s="5">
        <f>(VLOOKUP('8.0.0'!W25,'8.0.0'!$AM$4:$AO$45,3,FALSE))</f>
        <v>0</v>
      </c>
      <c r="P25" s="5">
        <f>(VLOOKUP('8.0.0'!X25,'8.0.0'!$AM$4:$AO$45,3,FALSE))</f>
        <v>0</v>
      </c>
      <c r="Q25" s="4">
        <f>(VLOOKUP('8.0.0'!Y25,'8.0.0'!$AM$4:$AO$45,3,FALSE))</f>
        <v>45</v>
      </c>
      <c r="R25" s="4">
        <f>(VLOOKUP('8.0.0'!Z25,'8.0.0'!$AM$4:$AO$45,3,FALSE))</f>
        <v>45</v>
      </c>
      <c r="S25" s="4">
        <f>(VLOOKUP('8.0.0'!AA25,'8.0.0'!$AM$4:$AO$45,3,FALSE))</f>
        <v>45</v>
      </c>
      <c r="T25" s="4">
        <f>(VLOOKUP('8.0.0'!AB25,'8.0.0'!$AM$4:$AO$45,3,FALSE))</f>
        <v>45</v>
      </c>
      <c r="U25" s="4">
        <f>(VLOOKUP('8.0.0'!AC25,'8.0.0'!$AM$4:$AO$45,3,FALSE))</f>
        <v>45</v>
      </c>
      <c r="V25" s="4">
        <f>(VLOOKUP('8.0.0'!AD25,'8.0.0'!$AM$4:$AO$45,3,FALSE))</f>
        <v>45</v>
      </c>
      <c r="W25" s="5">
        <f>(VLOOKUP('8.0.0'!AE25,'8.0.0'!$AM$4:$AO$45,3,FALSE))</f>
        <v>0</v>
      </c>
      <c r="X25" s="5">
        <f>(VLOOKUP('8.0.0'!AF25,'8.0.0'!$AM$4:$AO$45,3,FALSE))</f>
        <v>0</v>
      </c>
    </row>
    <row r="26" spans="1:24">
      <c r="A26" s="4">
        <f>(VLOOKUP('8.0.0'!I26,'8.0.0'!$AM$4:$AO$45,3,FALSE))</f>
        <v>50</v>
      </c>
      <c r="B26" s="4">
        <f>(VLOOKUP('8.0.0'!J26,'8.0.0'!$AM$4:$AO$45,3,FALSE))</f>
        <v>50</v>
      </c>
      <c r="C26" s="4">
        <f>(VLOOKUP('8.0.0'!K26,'8.0.0'!$AM$4:$AO$45,3,FALSE))</f>
        <v>50</v>
      </c>
      <c r="D26" s="4">
        <f>(VLOOKUP('8.0.0'!L26,'8.0.0'!$AM$4:$AO$45,3,FALSE))</f>
        <v>30</v>
      </c>
      <c r="E26" s="4">
        <f>(VLOOKUP('8.0.0'!M26,'8.0.0'!$AM$4:$AO$45,3,FALSE))</f>
        <v>50</v>
      </c>
      <c r="F26" s="4">
        <f>(VLOOKUP('8.0.0'!N26,'8.0.0'!$AM$4:$AO$45,3,FALSE))</f>
        <v>50</v>
      </c>
      <c r="G26" s="5">
        <f>(VLOOKUP('8.0.0'!O26,'8.0.0'!$AM$4:$AO$45,3,FALSE))</f>
        <v>0</v>
      </c>
      <c r="H26" s="5">
        <f>(VLOOKUP('8.0.0'!P26,'8.0.0'!$AM$4:$AO$45,3,FALSE))</f>
        <v>0</v>
      </c>
      <c r="I26" s="4">
        <f>(VLOOKUP('8.0.0'!Q26,'8.0.0'!$AM$4:$AO$45,3,FALSE))</f>
        <v>0</v>
      </c>
      <c r="J26" s="4">
        <f>(VLOOKUP('8.0.0'!R26,'8.0.0'!$AM$4:$AO$45,3,FALSE))</f>
        <v>0</v>
      </c>
      <c r="K26" s="4">
        <f>(VLOOKUP('8.0.0'!S26,'8.0.0'!$AM$4:$AO$45,3,FALSE))</f>
        <v>0</v>
      </c>
      <c r="L26" s="4">
        <f>(VLOOKUP('8.0.0'!T26,'8.0.0'!$AM$4:$AO$45,3,FALSE))</f>
        <v>0</v>
      </c>
      <c r="M26" s="4">
        <f>(VLOOKUP('8.0.0'!U26,'8.0.0'!$AM$4:$AO$45,3,FALSE))</f>
        <v>0</v>
      </c>
      <c r="N26" s="4">
        <f>(VLOOKUP('8.0.0'!V26,'8.0.0'!$AM$4:$AO$45,3,FALSE))</f>
        <v>0</v>
      </c>
      <c r="O26" s="5">
        <f>(VLOOKUP('8.0.0'!W26,'8.0.0'!$AM$4:$AO$45,3,FALSE))</f>
        <v>0</v>
      </c>
      <c r="P26" s="5">
        <f>(VLOOKUP('8.0.0'!X26,'8.0.0'!$AM$4:$AO$45,3,FALSE))</f>
        <v>0</v>
      </c>
      <c r="Q26" s="4">
        <f>(VLOOKUP('8.0.0'!Y26,'8.0.0'!$AM$4:$AO$45,3,FALSE))</f>
        <v>45</v>
      </c>
      <c r="R26" s="4">
        <f>(VLOOKUP('8.0.0'!Z26,'8.0.0'!$AM$4:$AO$45,3,FALSE))</f>
        <v>45</v>
      </c>
      <c r="S26" s="4">
        <f>(VLOOKUP('8.0.0'!AA26,'8.0.0'!$AM$4:$AO$45,3,FALSE))</f>
        <v>45</v>
      </c>
      <c r="T26" s="4">
        <f>(VLOOKUP('8.0.0'!AB26,'8.0.0'!$AM$4:$AO$45,3,FALSE))</f>
        <v>45</v>
      </c>
      <c r="U26" s="4">
        <f>(VLOOKUP('8.0.0'!AC26,'8.0.0'!$AM$4:$AO$45,3,FALSE))</f>
        <v>45</v>
      </c>
      <c r="V26" s="4">
        <f>(VLOOKUP('8.0.0'!AD26,'8.0.0'!$AM$4:$AO$45,3,FALSE))</f>
        <v>45</v>
      </c>
      <c r="W26" s="5">
        <f>(VLOOKUP('8.0.0'!AE26,'8.0.0'!$AM$4:$AO$45,3,FALSE))</f>
        <v>0</v>
      </c>
      <c r="X26" s="5">
        <f>(VLOOKUP('8.0.0'!AF26,'8.0.0'!$AM$4:$AO$45,3,FALSE))</f>
        <v>0</v>
      </c>
    </row>
    <row r="27" spans="1:24">
      <c r="A27" s="4">
        <f>(VLOOKUP('8.0.0'!I27,'8.0.0'!$AM$4:$AO$45,3,FALSE))</f>
        <v>50</v>
      </c>
      <c r="B27" s="4">
        <f>(VLOOKUP('8.0.0'!J27,'8.0.0'!$AM$4:$AO$45,3,FALSE))</f>
        <v>50</v>
      </c>
      <c r="C27" s="4">
        <f>(VLOOKUP('8.0.0'!K27,'8.0.0'!$AM$4:$AO$45,3,FALSE))</f>
        <v>50</v>
      </c>
      <c r="D27" s="4">
        <f>(VLOOKUP('8.0.0'!L27,'8.0.0'!$AM$4:$AO$45,3,FALSE))</f>
        <v>50</v>
      </c>
      <c r="E27" s="4">
        <f>(VLOOKUP('8.0.0'!M27,'8.0.0'!$AM$4:$AO$45,3,FALSE))</f>
        <v>50</v>
      </c>
      <c r="F27" s="4">
        <f>(VLOOKUP('8.0.0'!N27,'8.0.0'!$AM$4:$AO$45,3,FALSE))</f>
        <v>50</v>
      </c>
      <c r="G27" s="5">
        <f>(VLOOKUP('8.0.0'!O27,'8.0.0'!$AM$4:$AO$45,3,FALSE))</f>
        <v>0</v>
      </c>
      <c r="H27" s="5">
        <f>(VLOOKUP('8.0.0'!P27,'8.0.0'!$AM$4:$AO$45,3,FALSE))</f>
        <v>0</v>
      </c>
      <c r="I27" s="4">
        <f>(VLOOKUP('8.0.0'!Q27,'8.0.0'!$AM$4:$AO$45,3,FALSE))</f>
        <v>0</v>
      </c>
      <c r="J27" s="4">
        <f>(VLOOKUP('8.0.0'!R27,'8.0.0'!$AM$4:$AO$45,3,FALSE))</f>
        <v>0</v>
      </c>
      <c r="K27" s="4">
        <f>(VLOOKUP('8.0.0'!S27,'8.0.0'!$AM$4:$AO$45,3,FALSE))</f>
        <v>0</v>
      </c>
      <c r="L27" s="4">
        <f>(VLOOKUP('8.0.0'!T27,'8.0.0'!$AM$4:$AO$45,3,FALSE))</f>
        <v>0</v>
      </c>
      <c r="M27" s="4">
        <f>(VLOOKUP('8.0.0'!U27,'8.0.0'!$AM$4:$AO$45,3,FALSE))</f>
        <v>0</v>
      </c>
      <c r="N27" s="4">
        <f>(VLOOKUP('8.0.0'!V27,'8.0.0'!$AM$4:$AO$45,3,FALSE))</f>
        <v>0</v>
      </c>
      <c r="O27" s="5">
        <f>(VLOOKUP('8.0.0'!W27,'8.0.0'!$AM$4:$AO$45,3,FALSE))</f>
        <v>0</v>
      </c>
      <c r="P27" s="5">
        <f>(VLOOKUP('8.0.0'!X27,'8.0.0'!$AM$4:$AO$45,3,FALSE))</f>
        <v>0</v>
      </c>
      <c r="Q27" s="4">
        <f>(VLOOKUP('8.0.0'!Y27,'8.0.0'!$AM$4:$AO$45,3,FALSE))</f>
        <v>45</v>
      </c>
      <c r="R27" s="4">
        <f>(VLOOKUP('8.0.0'!Z27,'8.0.0'!$AM$4:$AO$45,3,FALSE))</f>
        <v>45</v>
      </c>
      <c r="S27" s="4">
        <f>(VLOOKUP('8.0.0'!AA27,'8.0.0'!$AM$4:$AO$45,3,FALSE))</f>
        <v>45</v>
      </c>
      <c r="T27" s="4">
        <f>(VLOOKUP('8.0.0'!AB27,'8.0.0'!$AM$4:$AO$45,3,FALSE))</f>
        <v>0</v>
      </c>
      <c r="U27" s="4">
        <f>(VLOOKUP('8.0.0'!AC27,'8.0.0'!$AM$4:$AO$45,3,FALSE))</f>
        <v>45</v>
      </c>
      <c r="V27" s="4">
        <f>(VLOOKUP('8.0.0'!AD27,'8.0.0'!$AM$4:$AO$45,3,FALSE))</f>
        <v>45</v>
      </c>
      <c r="W27" s="5">
        <f>(VLOOKUP('8.0.0'!AE27,'8.0.0'!$AM$4:$AO$45,3,FALSE))</f>
        <v>45</v>
      </c>
      <c r="X27" s="5">
        <f>(VLOOKUP('8.0.0'!AF27,'8.0.0'!$AM$4:$AO$45,3,FALSE))</f>
        <v>45</v>
      </c>
    </row>
    <row r="28" spans="1:24">
      <c r="A28" s="4">
        <f>(VLOOKUP('8.0.0'!I28,'8.0.0'!$AM$4:$AO$45,3,FALSE))</f>
        <v>50</v>
      </c>
      <c r="B28" s="4">
        <f>(VLOOKUP('8.0.0'!J28,'8.0.0'!$AM$4:$AO$45,3,FALSE))</f>
        <v>50</v>
      </c>
      <c r="C28" s="4">
        <f>(VLOOKUP('8.0.0'!K28,'8.0.0'!$AM$4:$AO$45,3,FALSE))</f>
        <v>50</v>
      </c>
      <c r="D28" s="4">
        <f>(VLOOKUP('8.0.0'!L28,'8.0.0'!$AM$4:$AO$45,3,FALSE))</f>
        <v>55</v>
      </c>
      <c r="E28" s="4">
        <f>(VLOOKUP('8.0.0'!M28,'8.0.0'!$AM$4:$AO$45,3,FALSE))</f>
        <v>55</v>
      </c>
      <c r="F28" s="4">
        <f>(VLOOKUP('8.0.0'!N28,'8.0.0'!$AM$4:$AO$45,3,FALSE))</f>
        <v>55</v>
      </c>
      <c r="G28" s="5">
        <f>(VLOOKUP('8.0.0'!O28,'8.0.0'!$AM$4:$AO$45,3,FALSE))</f>
        <v>0</v>
      </c>
      <c r="H28" s="5">
        <f>(VLOOKUP('8.0.0'!P28,'8.0.0'!$AM$4:$AO$45,3,FALSE))</f>
        <v>0</v>
      </c>
      <c r="I28" s="4">
        <f>(VLOOKUP('8.0.0'!Q28,'8.0.0'!$AM$4:$AO$45,3,FALSE))</f>
        <v>0</v>
      </c>
      <c r="J28" s="4">
        <f>(VLOOKUP('8.0.0'!R28,'8.0.0'!$AM$4:$AO$45,3,FALSE))</f>
        <v>0</v>
      </c>
      <c r="K28" s="4">
        <f>(VLOOKUP('8.0.0'!S28,'8.0.0'!$AM$4:$AO$45,3,FALSE))</f>
        <v>0</v>
      </c>
      <c r="L28" s="4">
        <f>(VLOOKUP('8.0.0'!T28,'8.0.0'!$AM$4:$AO$45,3,FALSE))</f>
        <v>0</v>
      </c>
      <c r="M28" s="4">
        <f>(VLOOKUP('8.0.0'!U28,'8.0.0'!$AM$4:$AO$45,3,FALSE))</f>
        <v>0</v>
      </c>
      <c r="N28" s="4">
        <f>(VLOOKUP('8.0.0'!V28,'8.0.0'!$AM$4:$AO$45,3,FALSE))</f>
        <v>0</v>
      </c>
      <c r="O28" s="5">
        <f>(VLOOKUP('8.0.0'!W28,'8.0.0'!$AM$4:$AO$45,3,FALSE))</f>
        <v>0</v>
      </c>
      <c r="P28" s="5">
        <f>(VLOOKUP('8.0.0'!X28,'8.0.0'!$AM$4:$AO$45,3,FALSE))</f>
        <v>0</v>
      </c>
      <c r="Q28" s="4">
        <f>(VLOOKUP('8.0.0'!Y28,'8.0.0'!$AM$4:$AO$45,3,FALSE))</f>
        <v>45</v>
      </c>
      <c r="R28" s="4">
        <f>(VLOOKUP('8.0.0'!Z28,'8.0.0'!$AM$4:$AO$45,3,FALSE))</f>
        <v>45</v>
      </c>
      <c r="S28" s="4">
        <f>(VLOOKUP('8.0.0'!AA28,'8.0.0'!$AM$4:$AO$45,3,FALSE))</f>
        <v>45</v>
      </c>
      <c r="T28" s="4">
        <f>(VLOOKUP('8.0.0'!AB28,'8.0.0'!$AM$4:$AO$45,3,FALSE))</f>
        <v>45</v>
      </c>
      <c r="U28" s="4">
        <f>(VLOOKUP('8.0.0'!AC28,'8.0.0'!$AM$4:$AO$45,3,FALSE))</f>
        <v>45</v>
      </c>
      <c r="V28" s="4">
        <f>(VLOOKUP('8.0.0'!AD28,'8.0.0'!$AM$4:$AO$45,3,FALSE))</f>
        <v>45</v>
      </c>
      <c r="W28" s="5">
        <f>(VLOOKUP('8.0.0'!AE28,'8.0.0'!$AM$4:$AO$45,3,FALSE))</f>
        <v>0</v>
      </c>
      <c r="X28" s="5">
        <f>(VLOOKUP('8.0.0'!AF28,'8.0.0'!$AM$4:$AO$45,3,FALSE))</f>
        <v>0</v>
      </c>
    </row>
    <row r="29" spans="1:24">
      <c r="A29" s="4">
        <f>(VLOOKUP('8.0.0'!I29,'8.0.0'!$AM$4:$AO$45,3,FALSE))</f>
        <v>55</v>
      </c>
      <c r="B29" s="4">
        <f>(VLOOKUP('8.0.0'!J29,'8.0.0'!$AM$4:$AO$45,3,FALSE))</f>
        <v>50</v>
      </c>
      <c r="C29" s="4">
        <f>(VLOOKUP('8.0.0'!K29,'8.0.0'!$AM$4:$AO$45,3,FALSE))</f>
        <v>55</v>
      </c>
      <c r="D29" s="4">
        <f>(VLOOKUP('8.0.0'!L29,'8.0.0'!$AM$4:$AO$45,3,FALSE))</f>
        <v>55</v>
      </c>
      <c r="E29" s="4">
        <f>(VLOOKUP('8.0.0'!M29,'8.0.0'!$AM$4:$AO$45,3,FALSE))</f>
        <v>55</v>
      </c>
      <c r="F29" s="4">
        <f>(VLOOKUP('8.0.0'!N29,'8.0.0'!$AM$4:$AO$45,3,FALSE))</f>
        <v>55</v>
      </c>
      <c r="G29" s="5">
        <f>(VLOOKUP('8.0.0'!O29,'8.0.0'!$AM$4:$AO$45,3,FALSE))</f>
        <v>0</v>
      </c>
      <c r="H29" s="5">
        <f>(VLOOKUP('8.0.0'!P29,'8.0.0'!$AM$4:$AO$45,3,FALSE))</f>
        <v>0</v>
      </c>
      <c r="I29" s="4">
        <f>(VLOOKUP('8.0.0'!Q29,'8.0.0'!$AM$4:$AO$45,3,FALSE))</f>
        <v>0</v>
      </c>
      <c r="J29" s="4">
        <f>(VLOOKUP('8.0.0'!R29,'8.0.0'!$AM$4:$AO$45,3,FALSE))</f>
        <v>0</v>
      </c>
      <c r="K29" s="4">
        <f>(VLOOKUP('8.0.0'!S29,'8.0.0'!$AM$4:$AO$45,3,FALSE))</f>
        <v>0</v>
      </c>
      <c r="L29" s="4">
        <f>(VLOOKUP('8.0.0'!T29,'8.0.0'!$AM$4:$AO$45,3,FALSE))</f>
        <v>0</v>
      </c>
      <c r="M29" s="4">
        <f>(VLOOKUP('8.0.0'!U29,'8.0.0'!$AM$4:$AO$45,3,FALSE))</f>
        <v>0</v>
      </c>
      <c r="N29" s="4">
        <f>(VLOOKUP('8.0.0'!V29,'8.0.0'!$AM$4:$AO$45,3,FALSE))</f>
        <v>0</v>
      </c>
      <c r="O29" s="5">
        <f>(VLOOKUP('8.0.0'!W29,'8.0.0'!$AM$4:$AO$45,3,FALSE))</f>
        <v>0</v>
      </c>
      <c r="P29" s="5">
        <f>(VLOOKUP('8.0.0'!X29,'8.0.0'!$AM$4:$AO$45,3,FALSE))</f>
        <v>0</v>
      </c>
      <c r="Q29" s="4">
        <f>(VLOOKUP('8.0.0'!Y29,'8.0.0'!$AM$4:$AO$45,3,FALSE))</f>
        <v>45</v>
      </c>
      <c r="R29" s="4">
        <f>(VLOOKUP('8.0.0'!Z29,'8.0.0'!$AM$4:$AO$45,3,FALSE))</f>
        <v>45</v>
      </c>
      <c r="S29" s="4">
        <f>(VLOOKUP('8.0.0'!AA29,'8.0.0'!$AM$4:$AO$45,3,FALSE))</f>
        <v>45</v>
      </c>
      <c r="T29" s="4">
        <f>(VLOOKUP('8.0.0'!AB29,'8.0.0'!$AM$4:$AO$45,3,FALSE))</f>
        <v>45</v>
      </c>
      <c r="U29" s="4">
        <f>(VLOOKUP('8.0.0'!AC29,'8.0.0'!$AM$4:$AO$45,3,FALSE))</f>
        <v>45</v>
      </c>
      <c r="V29" s="4">
        <f>(VLOOKUP('8.0.0'!AD29,'8.0.0'!$AM$4:$AO$45,3,FALSE))</f>
        <v>45</v>
      </c>
      <c r="W29" s="5">
        <f>(VLOOKUP('8.0.0'!AE29,'8.0.0'!$AM$4:$AO$45,3,FALSE))</f>
        <v>0</v>
      </c>
      <c r="X29" s="5">
        <f>(VLOOKUP('8.0.0'!AF29,'8.0.0'!$AM$4:$AO$45,3,FALSE))</f>
        <v>0</v>
      </c>
    </row>
    <row r="30" spans="1:24">
      <c r="A30" s="4">
        <f>(VLOOKUP('8.0.0'!I30,'8.0.0'!$AM$4:$AO$45,3,FALSE))</f>
        <v>55</v>
      </c>
      <c r="B30" s="4">
        <f>(VLOOKUP('8.0.0'!J30,'8.0.0'!$AM$4:$AO$45,3,FALSE))</f>
        <v>55</v>
      </c>
      <c r="C30" s="4">
        <f>(VLOOKUP('8.0.0'!K30,'8.0.0'!$AM$4:$AO$45,3,FALSE))</f>
        <v>55</v>
      </c>
      <c r="D30" s="4">
        <f>(VLOOKUP('8.0.0'!L30,'8.0.0'!$AM$4:$AO$45,3,FALSE))</f>
        <v>55</v>
      </c>
      <c r="E30" s="4">
        <f>(VLOOKUP('8.0.0'!M30,'8.0.0'!$AM$4:$AO$45,3,FALSE))</f>
        <v>55</v>
      </c>
      <c r="F30" s="4">
        <f>(VLOOKUP('8.0.0'!N30,'8.0.0'!$AM$4:$AO$45,3,FALSE))</f>
        <v>55</v>
      </c>
      <c r="G30" s="5">
        <f>(VLOOKUP('8.0.0'!O30,'8.0.0'!$AM$4:$AO$45,3,FALSE))</f>
        <v>0</v>
      </c>
      <c r="H30" s="5">
        <f>(VLOOKUP('8.0.0'!P30,'8.0.0'!$AM$4:$AO$45,3,FALSE))</f>
        <v>0</v>
      </c>
      <c r="I30" s="4">
        <f>(VLOOKUP('8.0.0'!Q30,'8.0.0'!$AM$4:$AO$45,3,FALSE))</f>
        <v>0</v>
      </c>
      <c r="J30" s="4">
        <f>(VLOOKUP('8.0.0'!R30,'8.0.0'!$AM$4:$AO$45,3,FALSE))</f>
        <v>0</v>
      </c>
      <c r="K30" s="4">
        <f>(VLOOKUP('8.0.0'!S30,'8.0.0'!$AM$4:$AO$45,3,FALSE))</f>
        <v>0</v>
      </c>
      <c r="L30" s="4">
        <f>(VLOOKUP('8.0.0'!T30,'8.0.0'!$AM$4:$AO$45,3,FALSE))</f>
        <v>0</v>
      </c>
      <c r="M30" s="4">
        <f>(VLOOKUP('8.0.0'!U30,'8.0.0'!$AM$4:$AO$45,3,FALSE))</f>
        <v>0</v>
      </c>
      <c r="N30" s="4">
        <f>(VLOOKUP('8.0.0'!V30,'8.0.0'!$AM$4:$AO$45,3,FALSE))</f>
        <v>0</v>
      </c>
      <c r="O30" s="5">
        <f>(VLOOKUP('8.0.0'!W30,'8.0.0'!$AM$4:$AO$45,3,FALSE))</f>
        <v>0</v>
      </c>
      <c r="P30" s="5">
        <f>(VLOOKUP('8.0.0'!X30,'8.0.0'!$AM$4:$AO$45,3,FALSE))</f>
        <v>0</v>
      </c>
      <c r="Q30" s="4">
        <f>(VLOOKUP('8.0.0'!Y30,'8.0.0'!$AM$4:$AO$45,3,FALSE))</f>
        <v>45</v>
      </c>
      <c r="R30" s="4">
        <f>(VLOOKUP('8.0.0'!Z30,'8.0.0'!$AM$4:$AO$45,3,FALSE))</f>
        <v>45</v>
      </c>
      <c r="S30" s="4">
        <f>(VLOOKUP('8.0.0'!AA30,'8.0.0'!$AM$4:$AO$45,3,FALSE))</f>
        <v>45</v>
      </c>
      <c r="T30" s="4">
        <f>(VLOOKUP('8.0.0'!AB30,'8.0.0'!$AM$4:$AO$45,3,FALSE))</f>
        <v>45</v>
      </c>
      <c r="U30" s="4">
        <f>(VLOOKUP('8.0.0'!AC30,'8.0.0'!$AM$4:$AO$45,3,FALSE))</f>
        <v>30</v>
      </c>
      <c r="V30" s="4">
        <f>(VLOOKUP('8.0.0'!AD30,'8.0.0'!$AM$4:$AO$45,3,FALSE))</f>
        <v>45</v>
      </c>
      <c r="W30" s="5">
        <f>(VLOOKUP('8.0.0'!AE30,'8.0.0'!$AM$4:$AO$45,3,FALSE))</f>
        <v>0</v>
      </c>
      <c r="X30" s="5">
        <f>(VLOOKUP('8.0.0'!AF30,'8.0.0'!$AM$4:$AO$45,3,FALSE))</f>
        <v>0</v>
      </c>
    </row>
    <row r="31" spans="1:24">
      <c r="A31" s="4">
        <f>(VLOOKUP('8.0.0'!I31,'8.0.0'!$AM$4:$AO$45,3,FALSE))</f>
        <v>55</v>
      </c>
      <c r="B31" s="4">
        <f>(VLOOKUP('8.0.0'!J31,'8.0.0'!$AM$4:$AO$45,3,FALSE))</f>
        <v>55</v>
      </c>
      <c r="C31" s="4">
        <f>(VLOOKUP('8.0.0'!K31,'8.0.0'!$AM$4:$AO$45,3,FALSE))</f>
        <v>55</v>
      </c>
      <c r="D31" s="4">
        <f>(VLOOKUP('8.0.0'!L31,'8.0.0'!$AM$4:$AO$45,3,FALSE))</f>
        <v>55</v>
      </c>
      <c r="E31" s="4">
        <f>(VLOOKUP('8.0.0'!M31,'8.0.0'!$AM$4:$AO$45,3,FALSE))</f>
        <v>55</v>
      </c>
      <c r="F31" s="4">
        <f>(VLOOKUP('8.0.0'!N31,'8.0.0'!$AM$4:$AO$45,3,FALSE))</f>
        <v>55</v>
      </c>
      <c r="G31" s="5">
        <f>(VLOOKUP('8.0.0'!O31,'8.0.0'!$AM$4:$AO$45,3,FALSE))</f>
        <v>0</v>
      </c>
      <c r="H31" s="5">
        <f>(VLOOKUP('8.0.0'!P31,'8.0.0'!$AM$4:$AO$45,3,FALSE))</f>
        <v>0</v>
      </c>
      <c r="I31" s="4">
        <f>(VLOOKUP('8.0.0'!Q31,'8.0.0'!$AM$4:$AO$45,3,FALSE))</f>
        <v>0</v>
      </c>
      <c r="J31" s="4">
        <f>(VLOOKUP('8.0.0'!R31,'8.0.0'!$AM$4:$AO$45,3,FALSE))</f>
        <v>0</v>
      </c>
      <c r="K31" s="4">
        <f>(VLOOKUP('8.0.0'!S31,'8.0.0'!$AM$4:$AO$45,3,FALSE))</f>
        <v>0</v>
      </c>
      <c r="L31" s="4">
        <f>(VLOOKUP('8.0.0'!T31,'8.0.0'!$AM$4:$AO$45,3,FALSE))</f>
        <v>0</v>
      </c>
      <c r="M31" s="4">
        <f>(VLOOKUP('8.0.0'!U31,'8.0.0'!$AM$4:$AO$45,3,FALSE))</f>
        <v>0</v>
      </c>
      <c r="N31" s="4">
        <f>(VLOOKUP('8.0.0'!V31,'8.0.0'!$AM$4:$AO$45,3,FALSE))</f>
        <v>0</v>
      </c>
      <c r="O31" s="5">
        <f>(VLOOKUP('8.0.0'!W31,'8.0.0'!$AM$4:$AO$45,3,FALSE))</f>
        <v>0</v>
      </c>
      <c r="P31" s="5">
        <f>(VLOOKUP('8.0.0'!X31,'8.0.0'!$AM$4:$AO$45,3,FALSE))</f>
        <v>0</v>
      </c>
      <c r="Q31" s="4">
        <f>(VLOOKUP('8.0.0'!Y31,'8.0.0'!$AM$4:$AO$45,3,FALSE))</f>
        <v>45</v>
      </c>
      <c r="R31" s="4">
        <f>(VLOOKUP('8.0.0'!Z31,'8.0.0'!$AM$4:$AO$45,3,FALSE))</f>
        <v>45</v>
      </c>
      <c r="S31" s="4">
        <f>(VLOOKUP('8.0.0'!AA31,'8.0.0'!$AM$4:$AO$45,3,FALSE))</f>
        <v>45</v>
      </c>
      <c r="T31" s="4">
        <f>(VLOOKUP('8.0.0'!AB31,'8.0.0'!$AM$4:$AO$45,3,FALSE))</f>
        <v>45</v>
      </c>
      <c r="U31" s="4">
        <f>(VLOOKUP('8.0.0'!AC31,'8.0.0'!$AM$4:$AO$45,3,FALSE))</f>
        <v>45</v>
      </c>
      <c r="V31" s="4">
        <f>(VLOOKUP('8.0.0'!AD31,'8.0.0'!$AM$4:$AO$45,3,FALSE))</f>
        <v>45</v>
      </c>
      <c r="W31" s="5">
        <f>(VLOOKUP('8.0.0'!AE31,'8.0.0'!$AM$4:$AO$45,3,FALSE))</f>
        <v>0</v>
      </c>
      <c r="X31" s="5">
        <f>(VLOOKUP('8.0.0'!AF31,'8.0.0'!$AM$4:$AO$45,3,FALSE))</f>
        <v>0</v>
      </c>
    </row>
    <row r="32" spans="1:24">
      <c r="A32" s="4">
        <f>(VLOOKUP('8.0.0'!I32,'8.0.0'!$AM$4:$AO$45,3,FALSE))</f>
        <v>55</v>
      </c>
      <c r="B32" s="4">
        <f>(VLOOKUP('8.0.0'!J32,'8.0.0'!$AM$4:$AO$45,3,FALSE))</f>
        <v>55</v>
      </c>
      <c r="C32" s="4">
        <f>(VLOOKUP('8.0.0'!K32,'8.0.0'!$AM$4:$AO$45,3,FALSE))</f>
        <v>55</v>
      </c>
      <c r="D32" s="4">
        <f>(VLOOKUP('8.0.0'!L32,'8.0.0'!$AM$4:$AO$45,3,FALSE))</f>
        <v>55</v>
      </c>
      <c r="E32" s="4">
        <f>(VLOOKUP('8.0.0'!M32,'8.0.0'!$AM$4:$AO$45,3,FALSE))</f>
        <v>55</v>
      </c>
      <c r="F32" s="4">
        <f>(VLOOKUP('8.0.0'!N32,'8.0.0'!$AM$4:$AO$45,3,FALSE))</f>
        <v>55</v>
      </c>
      <c r="G32" s="5">
        <f>(VLOOKUP('8.0.0'!O32,'8.0.0'!$AM$4:$AO$45,3,FALSE))</f>
        <v>0</v>
      </c>
      <c r="H32" s="5">
        <f>(VLOOKUP('8.0.0'!P32,'8.0.0'!$AM$4:$AO$45,3,FALSE))</f>
        <v>0</v>
      </c>
      <c r="I32" s="4">
        <f>(VLOOKUP('8.0.0'!Q32,'8.0.0'!$AM$4:$AO$45,3,FALSE))</f>
        <v>0</v>
      </c>
      <c r="J32" s="4">
        <f>(VLOOKUP('8.0.0'!R32,'8.0.0'!$AM$4:$AO$45,3,FALSE))</f>
        <v>0</v>
      </c>
      <c r="K32" s="4">
        <f>(VLOOKUP('8.0.0'!S32,'8.0.0'!$AM$4:$AO$45,3,FALSE))</f>
        <v>0</v>
      </c>
      <c r="L32" s="4">
        <f>(VLOOKUP('8.0.0'!T32,'8.0.0'!$AM$4:$AO$45,3,FALSE))</f>
        <v>0</v>
      </c>
      <c r="M32" s="4">
        <f>(VLOOKUP('8.0.0'!U32,'8.0.0'!$AM$4:$AO$45,3,FALSE))</f>
        <v>0</v>
      </c>
      <c r="N32" s="4">
        <f>(VLOOKUP('8.0.0'!V32,'8.0.0'!$AM$4:$AO$45,3,FALSE))</f>
        <v>0</v>
      </c>
      <c r="O32" s="5">
        <f>(VLOOKUP('8.0.0'!W32,'8.0.0'!$AM$4:$AO$45,3,FALSE))</f>
        <v>0</v>
      </c>
      <c r="P32" s="5">
        <f>(VLOOKUP('8.0.0'!X32,'8.0.0'!$AM$4:$AO$45,3,FALSE))</f>
        <v>0</v>
      </c>
      <c r="Q32" s="4">
        <f>(VLOOKUP('8.0.0'!Y32,'8.0.0'!$AM$4:$AO$45,3,FALSE))</f>
        <v>30</v>
      </c>
      <c r="R32" s="4">
        <f>(VLOOKUP('8.0.0'!Z32,'8.0.0'!$AM$4:$AO$45,3,FALSE))</f>
        <v>45</v>
      </c>
      <c r="S32" s="4">
        <f>(VLOOKUP('8.0.0'!AA32,'8.0.0'!$AM$4:$AO$45,3,FALSE))</f>
        <v>45</v>
      </c>
      <c r="T32" s="4">
        <f>(VLOOKUP('8.0.0'!AB32,'8.0.0'!$AM$4:$AO$45,3,FALSE))</f>
        <v>45</v>
      </c>
      <c r="U32" s="4">
        <f>(VLOOKUP('8.0.0'!AC32,'8.0.0'!$AM$4:$AO$45,3,FALSE))</f>
        <v>45</v>
      </c>
      <c r="V32" s="4">
        <f>(VLOOKUP('8.0.0'!AD32,'8.0.0'!$AM$4:$AO$45,3,FALSE))</f>
        <v>45</v>
      </c>
      <c r="W32" s="5">
        <f>(VLOOKUP('8.0.0'!AE32,'8.0.0'!$AM$4:$AO$45,3,FALSE))</f>
        <v>0</v>
      </c>
      <c r="X32" s="5">
        <f>(VLOOKUP('8.0.0'!AF32,'8.0.0'!$AM$4:$AO$45,3,FALSE))</f>
        <v>0</v>
      </c>
    </row>
    <row r="33" spans="1:24">
      <c r="A33" s="4">
        <f>(VLOOKUP('8.0.0'!I33,'8.0.0'!$AM$4:$AO$45,3,FALSE))</f>
        <v>55</v>
      </c>
      <c r="B33" s="4">
        <f>(VLOOKUP('8.0.0'!J33,'8.0.0'!$AM$4:$AO$45,3,FALSE))</f>
        <v>55</v>
      </c>
      <c r="C33" s="4">
        <f>(VLOOKUP('8.0.0'!K33,'8.0.0'!$AM$4:$AO$45,3,FALSE))</f>
        <v>55</v>
      </c>
      <c r="D33" s="4">
        <f>(VLOOKUP('8.0.0'!L33,'8.0.0'!$AM$4:$AO$45,3,FALSE))</f>
        <v>55</v>
      </c>
      <c r="E33" s="4">
        <f>(VLOOKUP('8.0.0'!M33,'8.0.0'!$AM$4:$AO$45,3,FALSE))</f>
        <v>55</v>
      </c>
      <c r="F33" s="4">
        <f>(VLOOKUP('8.0.0'!N33,'8.0.0'!$AM$4:$AO$45,3,FALSE))</f>
        <v>55</v>
      </c>
      <c r="G33" s="5">
        <f>(VLOOKUP('8.0.0'!O33,'8.0.0'!$AM$4:$AO$45,3,FALSE))</f>
        <v>0</v>
      </c>
      <c r="H33" s="5">
        <f>(VLOOKUP('8.0.0'!P33,'8.0.0'!$AM$4:$AO$45,3,FALSE))</f>
        <v>0</v>
      </c>
      <c r="I33" s="4">
        <f>(VLOOKUP('8.0.0'!Q33,'8.0.0'!$AM$4:$AO$45,3,FALSE))</f>
        <v>0</v>
      </c>
      <c r="J33" s="4">
        <f>(VLOOKUP('8.0.0'!R33,'8.0.0'!$AM$4:$AO$45,3,FALSE))</f>
        <v>0</v>
      </c>
      <c r="K33" s="4">
        <f>(VLOOKUP('8.0.0'!S33,'8.0.0'!$AM$4:$AO$45,3,FALSE))</f>
        <v>0</v>
      </c>
      <c r="L33" s="4">
        <f>(VLOOKUP('8.0.0'!T33,'8.0.0'!$AM$4:$AO$45,3,FALSE))</f>
        <v>0</v>
      </c>
      <c r="M33" s="4">
        <f>(VLOOKUP('8.0.0'!U33,'8.0.0'!$AM$4:$AO$45,3,FALSE))</f>
        <v>0</v>
      </c>
      <c r="N33" s="4">
        <f>(VLOOKUP('8.0.0'!V33,'8.0.0'!$AM$4:$AO$45,3,FALSE))</f>
        <v>0</v>
      </c>
      <c r="O33" s="5">
        <f>(VLOOKUP('8.0.0'!W33,'8.0.0'!$AM$4:$AO$45,3,FALSE))</f>
        <v>0</v>
      </c>
      <c r="P33" s="5">
        <f>(VLOOKUP('8.0.0'!X33,'8.0.0'!$AM$4:$AO$45,3,FALSE))</f>
        <v>0</v>
      </c>
      <c r="Q33" s="4">
        <f>(VLOOKUP('8.0.0'!Y33,'8.0.0'!$AM$4:$AO$45,3,FALSE))</f>
        <v>45</v>
      </c>
      <c r="R33" s="4">
        <f>(VLOOKUP('8.0.0'!Z33,'8.0.0'!$AM$4:$AO$45,3,FALSE))</f>
        <v>45</v>
      </c>
      <c r="S33" s="4">
        <f>(VLOOKUP('8.0.0'!AA33,'8.0.0'!$AM$4:$AO$45,3,FALSE))</f>
        <v>45</v>
      </c>
      <c r="T33" s="4">
        <f>(VLOOKUP('8.0.0'!AB33,'8.0.0'!$AM$4:$AO$45,3,FALSE))</f>
        <v>45</v>
      </c>
      <c r="U33" s="4">
        <f>(VLOOKUP('8.0.0'!AC33,'8.0.0'!$AM$4:$AO$45,3,FALSE))</f>
        <v>45</v>
      </c>
      <c r="V33" s="4">
        <f>(VLOOKUP('8.0.0'!AD33,'8.0.0'!$AM$4:$AO$45,3,FALSE))</f>
        <v>45</v>
      </c>
      <c r="W33" s="5">
        <f>(VLOOKUP('8.0.0'!AE33,'8.0.0'!$AM$4:$AO$45,3,FALSE))</f>
        <v>0</v>
      </c>
      <c r="X33" s="5">
        <f>(VLOOKUP('8.0.0'!AF33,'8.0.0'!$AM$4:$AO$45,3,FALSE))</f>
        <v>0</v>
      </c>
    </row>
    <row r="34" spans="1:24">
      <c r="A34" s="4">
        <f>(VLOOKUP('8.0.0'!I34,'8.0.0'!$AM$4:$AO$45,3,FALSE))</f>
        <v>55</v>
      </c>
      <c r="B34" s="4">
        <f>(VLOOKUP('8.0.0'!J34,'8.0.0'!$AM$4:$AO$45,3,FALSE))</f>
        <v>55</v>
      </c>
      <c r="C34" s="4">
        <f>(VLOOKUP('8.0.0'!K34,'8.0.0'!$AM$4:$AO$45,3,FALSE))</f>
        <v>55</v>
      </c>
      <c r="D34" s="4">
        <f>(VLOOKUP('8.0.0'!L34,'8.0.0'!$AM$4:$AO$45,3,FALSE))</f>
        <v>55</v>
      </c>
      <c r="E34" s="4">
        <f>(VLOOKUP('8.0.0'!M34,'8.0.0'!$AM$4:$AO$45,3,FALSE))</f>
        <v>55</v>
      </c>
      <c r="F34" s="4">
        <f>(VLOOKUP('8.0.0'!N34,'8.0.0'!$AM$4:$AO$45,3,FALSE))</f>
        <v>55</v>
      </c>
      <c r="G34" s="5">
        <f>(VLOOKUP('8.0.0'!O34,'8.0.0'!$AM$4:$AO$45,3,FALSE))</f>
        <v>0</v>
      </c>
      <c r="H34" s="5">
        <f>(VLOOKUP('8.0.0'!P34,'8.0.0'!$AM$4:$AO$45,3,FALSE))</f>
        <v>0</v>
      </c>
      <c r="I34" s="4">
        <f>(VLOOKUP('8.0.0'!Q34,'8.0.0'!$AM$4:$AO$45,3,FALSE))</f>
        <v>0</v>
      </c>
      <c r="J34" s="4">
        <f>(VLOOKUP('8.0.0'!R34,'8.0.0'!$AM$4:$AO$45,3,FALSE))</f>
        <v>0</v>
      </c>
      <c r="K34" s="4">
        <f>(VLOOKUP('8.0.0'!S34,'8.0.0'!$AM$4:$AO$45,3,FALSE))</f>
        <v>0</v>
      </c>
      <c r="L34" s="4">
        <f>(VLOOKUP('8.0.0'!T34,'8.0.0'!$AM$4:$AO$45,3,FALSE))</f>
        <v>0</v>
      </c>
      <c r="M34" s="4">
        <f>(VLOOKUP('8.0.0'!U34,'8.0.0'!$AM$4:$AO$45,3,FALSE))</f>
        <v>0</v>
      </c>
      <c r="N34" s="4">
        <f>(VLOOKUP('8.0.0'!V34,'8.0.0'!$AM$4:$AO$45,3,FALSE))</f>
        <v>0</v>
      </c>
      <c r="O34" s="5">
        <f>(VLOOKUP('8.0.0'!W34,'8.0.0'!$AM$4:$AO$45,3,FALSE))</f>
        <v>0</v>
      </c>
      <c r="P34" s="5">
        <f>(VLOOKUP('8.0.0'!X34,'8.0.0'!$AM$4:$AO$45,3,FALSE))</f>
        <v>0</v>
      </c>
      <c r="Q34" s="4">
        <f>(VLOOKUP('8.0.0'!Y34,'8.0.0'!$AM$4:$AO$45,3,FALSE))</f>
        <v>45</v>
      </c>
      <c r="R34" s="4">
        <f>(VLOOKUP('8.0.0'!Z34,'8.0.0'!$AM$4:$AO$45,3,FALSE))</f>
        <v>45</v>
      </c>
      <c r="S34" s="4">
        <f>(VLOOKUP('8.0.0'!AA34,'8.0.0'!$AM$4:$AO$45,3,FALSE))</f>
        <v>45</v>
      </c>
      <c r="T34" s="4">
        <f>(VLOOKUP('8.0.0'!AB34,'8.0.0'!$AM$4:$AO$45,3,FALSE))</f>
        <v>45</v>
      </c>
      <c r="U34" s="4">
        <f>(VLOOKUP('8.0.0'!AC34,'8.0.0'!$AM$4:$AO$45,3,FALSE))</f>
        <v>45</v>
      </c>
      <c r="V34" s="4">
        <f>(VLOOKUP('8.0.0'!AD34,'8.0.0'!$AM$4:$AO$45,3,FALSE))</f>
        <v>45</v>
      </c>
      <c r="W34" s="5">
        <f>(VLOOKUP('8.0.0'!AE34,'8.0.0'!$AM$4:$AO$45,3,FALSE))</f>
        <v>0</v>
      </c>
      <c r="X34" s="5">
        <f>(VLOOKUP('8.0.0'!AF34,'8.0.0'!$AM$4:$AO$45,3,FALSE))</f>
        <v>0</v>
      </c>
    </row>
    <row r="35" spans="1:24">
      <c r="A35" s="4">
        <f>(VLOOKUP('8.0.0'!I35,'8.0.0'!$AM$4:$AO$45,3,FALSE))</f>
        <v>55</v>
      </c>
      <c r="B35" s="4">
        <f>(VLOOKUP('8.0.0'!J35,'8.0.0'!$AM$4:$AO$45,3,FALSE))</f>
        <v>55</v>
      </c>
      <c r="C35" s="4">
        <f>(VLOOKUP('8.0.0'!K35,'8.0.0'!$AM$4:$AO$45,3,FALSE))</f>
        <v>55</v>
      </c>
      <c r="D35" s="4">
        <f>(VLOOKUP('8.0.0'!L35,'8.0.0'!$AM$4:$AO$45,3,FALSE))</f>
        <v>500</v>
      </c>
      <c r="E35" s="4">
        <f>(VLOOKUP('8.0.0'!M35,'8.0.0'!$AM$4:$AO$45,3,FALSE))</f>
        <v>55</v>
      </c>
      <c r="F35" s="4">
        <f>(VLOOKUP('8.0.0'!N35,'8.0.0'!$AM$4:$AO$45,3,FALSE))</f>
        <v>55</v>
      </c>
      <c r="G35" s="5">
        <f>(VLOOKUP('8.0.0'!O35,'8.0.0'!$AM$4:$AO$45,3,FALSE))</f>
        <v>0</v>
      </c>
      <c r="H35" s="5">
        <f>(VLOOKUP('8.0.0'!P35,'8.0.0'!$AM$4:$AO$45,3,FALSE))</f>
        <v>0</v>
      </c>
      <c r="I35" s="4">
        <f>(VLOOKUP('8.0.0'!Q35,'8.0.0'!$AM$4:$AO$45,3,FALSE))</f>
        <v>0</v>
      </c>
      <c r="J35" s="4">
        <f>(VLOOKUP('8.0.0'!R35,'8.0.0'!$AM$4:$AO$45,3,FALSE))</f>
        <v>0</v>
      </c>
      <c r="K35" s="4">
        <f>(VLOOKUP('8.0.0'!S35,'8.0.0'!$AM$4:$AO$45,3,FALSE))</f>
        <v>0</v>
      </c>
      <c r="L35" s="4">
        <f>(VLOOKUP('8.0.0'!T35,'8.0.0'!$AM$4:$AO$45,3,FALSE))</f>
        <v>0</v>
      </c>
      <c r="M35" s="4">
        <f>(VLOOKUP('8.0.0'!U35,'8.0.0'!$AM$4:$AO$45,3,FALSE))</f>
        <v>0</v>
      </c>
      <c r="N35" s="4">
        <f>(VLOOKUP('8.0.0'!V35,'8.0.0'!$AM$4:$AO$45,3,FALSE))</f>
        <v>0</v>
      </c>
      <c r="O35" s="5">
        <f>(VLOOKUP('8.0.0'!W35,'8.0.0'!$AM$4:$AO$45,3,FALSE))</f>
        <v>0</v>
      </c>
      <c r="P35" s="5">
        <f>(VLOOKUP('8.0.0'!X35,'8.0.0'!$AM$4:$AO$45,3,FALSE))</f>
        <v>0</v>
      </c>
      <c r="Q35" s="4">
        <f>(VLOOKUP('8.0.0'!Y35,'8.0.0'!$AM$4:$AO$45,3,FALSE))</f>
        <v>30</v>
      </c>
      <c r="R35" s="4">
        <f>(VLOOKUP('8.0.0'!Z35,'8.0.0'!$AM$4:$AO$45,3,FALSE))</f>
        <v>45</v>
      </c>
      <c r="S35" s="4">
        <f>(VLOOKUP('8.0.0'!AA35,'8.0.0'!$AM$4:$AO$45,3,FALSE))</f>
        <v>45</v>
      </c>
      <c r="T35" s="4">
        <f>(VLOOKUP('8.0.0'!AB35,'8.0.0'!$AM$4:$AO$45,3,FALSE))</f>
        <v>45</v>
      </c>
      <c r="U35" s="4">
        <f>(VLOOKUP('8.0.0'!AC35,'8.0.0'!$AM$4:$AO$45,3,FALSE))</f>
        <v>45</v>
      </c>
      <c r="V35" s="4">
        <f>(VLOOKUP('8.0.0'!AD35,'8.0.0'!$AM$4:$AO$45,3,FALSE))</f>
        <v>45</v>
      </c>
      <c r="W35" s="5">
        <f>(VLOOKUP('8.0.0'!AE35,'8.0.0'!$AM$4:$AO$45,3,FALSE))</f>
        <v>0</v>
      </c>
      <c r="X35" s="5">
        <f>(VLOOKUP('8.0.0'!AF35,'8.0.0'!$AM$4:$AO$45,3,FALSE))</f>
        <v>0</v>
      </c>
    </row>
    <row r="36" spans="1:24">
      <c r="A36" s="4">
        <f>(VLOOKUP('8.0.0'!I36,'8.0.0'!$AM$4:$AO$45,3,FALSE))</f>
        <v>55</v>
      </c>
      <c r="B36" s="4">
        <f>(VLOOKUP('8.0.0'!J36,'8.0.0'!$AM$4:$AO$45,3,FALSE))</f>
        <v>55</v>
      </c>
      <c r="C36" s="4">
        <f>(VLOOKUP('8.0.0'!K36,'8.0.0'!$AM$4:$AO$45,3,FALSE))</f>
        <v>55</v>
      </c>
      <c r="D36" s="4">
        <f>(VLOOKUP('8.0.0'!L36,'8.0.0'!$AM$4:$AO$45,3,FALSE))</f>
        <v>55</v>
      </c>
      <c r="E36" s="4">
        <f>(VLOOKUP('8.0.0'!M36,'8.0.0'!$AM$4:$AO$45,3,FALSE))</f>
        <v>55</v>
      </c>
      <c r="F36" s="4">
        <f>(VLOOKUP('8.0.0'!N36,'8.0.0'!$AM$4:$AO$45,3,FALSE))</f>
        <v>55</v>
      </c>
      <c r="G36" s="5">
        <f>(VLOOKUP('8.0.0'!O36,'8.0.0'!$AM$4:$AO$45,3,FALSE))</f>
        <v>0</v>
      </c>
      <c r="H36" s="5">
        <f>(VLOOKUP('8.0.0'!P36,'8.0.0'!$AM$4:$AO$45,3,FALSE))</f>
        <v>0</v>
      </c>
      <c r="I36" s="4">
        <f>(VLOOKUP('8.0.0'!Q36,'8.0.0'!$AM$4:$AO$45,3,FALSE))</f>
        <v>0</v>
      </c>
      <c r="J36" s="4">
        <f>(VLOOKUP('8.0.0'!R36,'8.0.0'!$AM$4:$AO$45,3,FALSE))</f>
        <v>0</v>
      </c>
      <c r="K36" s="4">
        <f>(VLOOKUP('8.0.0'!S36,'8.0.0'!$AM$4:$AO$45,3,FALSE))</f>
        <v>0</v>
      </c>
      <c r="L36" s="4">
        <f>(VLOOKUP('8.0.0'!T36,'8.0.0'!$AM$4:$AO$45,3,FALSE))</f>
        <v>0</v>
      </c>
      <c r="M36" s="4">
        <f>(VLOOKUP('8.0.0'!U36,'8.0.0'!$AM$4:$AO$45,3,FALSE))</f>
        <v>0</v>
      </c>
      <c r="N36" s="4">
        <f>(VLOOKUP('8.0.0'!V36,'8.0.0'!$AM$4:$AO$45,3,FALSE))</f>
        <v>0</v>
      </c>
      <c r="O36" s="5">
        <f>(VLOOKUP('8.0.0'!W36,'8.0.0'!$AM$4:$AO$45,3,FALSE))</f>
        <v>0</v>
      </c>
      <c r="P36" s="5">
        <f>(VLOOKUP('8.0.0'!X36,'8.0.0'!$AM$4:$AO$45,3,FALSE))</f>
        <v>0</v>
      </c>
      <c r="Q36" s="4">
        <f>(VLOOKUP('8.0.0'!Y36,'8.0.0'!$AM$4:$AO$45,3,FALSE))</f>
        <v>45</v>
      </c>
      <c r="R36" s="4">
        <f>(VLOOKUP('8.0.0'!Z36,'8.0.0'!$AM$4:$AO$45,3,FALSE))</f>
        <v>45</v>
      </c>
      <c r="S36" s="4">
        <f>(VLOOKUP('8.0.0'!AA36,'8.0.0'!$AM$4:$AO$45,3,FALSE))</f>
        <v>45</v>
      </c>
      <c r="T36" s="4">
        <f>(VLOOKUP('8.0.0'!AB36,'8.0.0'!$AM$4:$AO$45,3,FALSE))</f>
        <v>45</v>
      </c>
      <c r="U36" s="4">
        <f>(VLOOKUP('8.0.0'!AC36,'8.0.0'!$AM$4:$AO$45,3,FALSE))</f>
        <v>45</v>
      </c>
      <c r="V36" s="4">
        <f>(VLOOKUP('8.0.0'!AD36,'8.0.0'!$AM$4:$AO$45,3,FALSE))</f>
        <v>45</v>
      </c>
      <c r="W36" s="5">
        <f>(VLOOKUP('8.0.0'!AE36,'8.0.0'!$AM$4:$AO$45,3,FALSE))</f>
        <v>0</v>
      </c>
      <c r="X36" s="5">
        <f>(VLOOKUP('8.0.0'!AF36,'8.0.0'!$AM$4:$AO$45,3,FALSE))</f>
        <v>0</v>
      </c>
    </row>
    <row r="37" spans="1:24">
      <c r="A37" s="4">
        <f>(VLOOKUP('8.0.0'!I37,'8.0.0'!$AM$4:$AO$45,3,FALSE))</f>
        <v>55</v>
      </c>
      <c r="B37" s="4">
        <f>(VLOOKUP('8.0.0'!J37,'8.0.0'!$AM$4:$AO$45,3,FALSE))</f>
        <v>55</v>
      </c>
      <c r="C37" s="4">
        <f>(VLOOKUP('8.0.0'!K37,'8.0.0'!$AM$4:$AO$45,3,FALSE))</f>
        <v>55</v>
      </c>
      <c r="D37" s="4">
        <f>(VLOOKUP('8.0.0'!L37,'8.0.0'!$AM$4:$AO$45,3,FALSE))</f>
        <v>55</v>
      </c>
      <c r="E37" s="4">
        <f>(VLOOKUP('8.0.0'!M37,'8.0.0'!$AM$4:$AO$45,3,FALSE))</f>
        <v>55</v>
      </c>
      <c r="F37" s="4">
        <f>(VLOOKUP('8.0.0'!N37,'8.0.0'!$AM$4:$AO$45,3,FALSE))</f>
        <v>55</v>
      </c>
      <c r="G37" s="5">
        <f>(VLOOKUP('8.0.0'!O37,'8.0.0'!$AM$4:$AO$45,3,FALSE))</f>
        <v>0</v>
      </c>
      <c r="H37" s="5">
        <f>(VLOOKUP('8.0.0'!P37,'8.0.0'!$AM$4:$AO$45,3,FALSE))</f>
        <v>0</v>
      </c>
      <c r="I37" s="4">
        <f>(VLOOKUP('8.0.0'!Q37,'8.0.0'!$AM$4:$AO$45,3,FALSE))</f>
        <v>0</v>
      </c>
      <c r="J37" s="4">
        <f>(VLOOKUP('8.0.0'!R37,'8.0.0'!$AM$4:$AO$45,3,FALSE))</f>
        <v>0</v>
      </c>
      <c r="K37" s="4">
        <f>(VLOOKUP('8.0.0'!S37,'8.0.0'!$AM$4:$AO$45,3,FALSE))</f>
        <v>0</v>
      </c>
      <c r="L37" s="4">
        <f>(VLOOKUP('8.0.0'!T37,'8.0.0'!$AM$4:$AO$45,3,FALSE))</f>
        <v>0</v>
      </c>
      <c r="M37" s="4">
        <f>(VLOOKUP('8.0.0'!U37,'8.0.0'!$AM$4:$AO$45,3,FALSE))</f>
        <v>0</v>
      </c>
      <c r="N37" s="4">
        <f>(VLOOKUP('8.0.0'!V37,'8.0.0'!$AM$4:$AO$45,3,FALSE))</f>
        <v>0</v>
      </c>
      <c r="O37" s="5">
        <f>(VLOOKUP('8.0.0'!W37,'8.0.0'!$AM$4:$AO$45,3,FALSE))</f>
        <v>0</v>
      </c>
      <c r="P37" s="5">
        <f>(VLOOKUP('8.0.0'!X37,'8.0.0'!$AM$4:$AO$45,3,FALSE))</f>
        <v>0</v>
      </c>
      <c r="Q37" s="4">
        <f>(VLOOKUP('8.0.0'!Y37,'8.0.0'!$AM$4:$AO$45,3,FALSE))</f>
        <v>30</v>
      </c>
      <c r="R37" s="4">
        <f>(VLOOKUP('8.0.0'!Z37,'8.0.0'!$AM$4:$AO$45,3,FALSE))</f>
        <v>45</v>
      </c>
      <c r="S37" s="4">
        <f>(VLOOKUP('8.0.0'!AA37,'8.0.0'!$AM$4:$AO$45,3,FALSE))</f>
        <v>45</v>
      </c>
      <c r="T37" s="4">
        <f>(VLOOKUP('8.0.0'!AB37,'8.0.0'!$AM$4:$AO$45,3,FALSE))</f>
        <v>45</v>
      </c>
      <c r="U37" s="4">
        <f>(VLOOKUP('8.0.0'!AC37,'8.0.0'!$AM$4:$AO$45,3,FALSE))</f>
        <v>45</v>
      </c>
      <c r="V37" s="4">
        <f>(VLOOKUP('8.0.0'!AD37,'8.0.0'!$AM$4:$AO$45,3,FALSE))</f>
        <v>45</v>
      </c>
      <c r="W37" s="5">
        <f>(VLOOKUP('8.0.0'!AE37,'8.0.0'!$AM$4:$AO$45,3,FALSE))</f>
        <v>0</v>
      </c>
      <c r="X37" s="5">
        <f>(VLOOKUP('8.0.0'!AF37,'8.0.0'!$AM$4:$AO$45,3,FALSE))</f>
        <v>0</v>
      </c>
    </row>
    <row r="38" spans="1:24">
      <c r="A38" s="4">
        <f>(VLOOKUP('8.0.0'!I38,'8.0.0'!$AM$4:$AO$45,3,FALSE))</f>
        <v>55</v>
      </c>
      <c r="B38" s="4">
        <f>(VLOOKUP('8.0.0'!J38,'8.0.0'!$AM$4:$AO$45,3,FALSE))</f>
        <v>55</v>
      </c>
      <c r="C38" s="4">
        <f>(VLOOKUP('8.0.0'!K38,'8.0.0'!$AM$4:$AO$45,3,FALSE))</f>
        <v>30</v>
      </c>
      <c r="D38" s="4">
        <f>(VLOOKUP('8.0.0'!L38,'8.0.0'!$AM$4:$AO$45,3,FALSE))</f>
        <v>55</v>
      </c>
      <c r="E38" s="4">
        <f>(VLOOKUP('8.0.0'!M38,'8.0.0'!$AM$4:$AO$45,3,FALSE))</f>
        <v>55</v>
      </c>
      <c r="F38" s="4">
        <f>(VLOOKUP('8.0.0'!N38,'8.0.0'!$AM$4:$AO$45,3,FALSE))</f>
        <v>55</v>
      </c>
      <c r="G38" s="5">
        <f>(VLOOKUP('8.0.0'!O38,'8.0.0'!$AM$4:$AO$45,3,FALSE))</f>
        <v>0</v>
      </c>
      <c r="H38" s="5">
        <f>(VLOOKUP('8.0.0'!P38,'8.0.0'!$AM$4:$AO$45,3,FALSE))</f>
        <v>0</v>
      </c>
      <c r="I38" s="4">
        <f>(VLOOKUP('8.0.0'!Q38,'8.0.0'!$AM$4:$AO$45,3,FALSE))</f>
        <v>0</v>
      </c>
      <c r="J38" s="4">
        <f>(VLOOKUP('8.0.0'!R38,'8.0.0'!$AM$4:$AO$45,3,FALSE))</f>
        <v>0</v>
      </c>
      <c r="K38" s="4">
        <f>(VLOOKUP('8.0.0'!S38,'8.0.0'!$AM$4:$AO$45,3,FALSE))</f>
        <v>0</v>
      </c>
      <c r="L38" s="4">
        <f>(VLOOKUP('8.0.0'!T38,'8.0.0'!$AM$4:$AO$45,3,FALSE))</f>
        <v>0</v>
      </c>
      <c r="M38" s="4">
        <f>(VLOOKUP('8.0.0'!U38,'8.0.0'!$AM$4:$AO$45,3,FALSE))</f>
        <v>0</v>
      </c>
      <c r="N38" s="4">
        <f>(VLOOKUP('8.0.0'!V38,'8.0.0'!$AM$4:$AO$45,3,FALSE))</f>
        <v>0</v>
      </c>
      <c r="O38" s="5">
        <f>(VLOOKUP('8.0.0'!W38,'8.0.0'!$AM$4:$AO$45,3,FALSE))</f>
        <v>0</v>
      </c>
      <c r="P38" s="5">
        <f>(VLOOKUP('8.0.0'!X38,'8.0.0'!$AM$4:$AO$45,3,FALSE))</f>
        <v>0</v>
      </c>
      <c r="Q38" s="4">
        <f>(VLOOKUP('8.0.0'!Y38,'8.0.0'!$AM$4:$AO$45,3,FALSE))</f>
        <v>45</v>
      </c>
      <c r="R38" s="4">
        <f>(VLOOKUP('8.0.0'!Z38,'8.0.0'!$AM$4:$AO$45,3,FALSE))</f>
        <v>45</v>
      </c>
      <c r="S38" s="4">
        <f>(VLOOKUP('8.0.0'!AA38,'8.0.0'!$AM$4:$AO$45,3,FALSE))</f>
        <v>45</v>
      </c>
      <c r="T38" s="4">
        <f>(VLOOKUP('8.0.0'!AB38,'8.0.0'!$AM$4:$AO$45,3,FALSE))</f>
        <v>45</v>
      </c>
      <c r="U38" s="4">
        <f>(VLOOKUP('8.0.0'!AC38,'8.0.0'!$AM$4:$AO$45,3,FALSE))</f>
        <v>45</v>
      </c>
      <c r="V38" s="4">
        <f>(VLOOKUP('8.0.0'!AD38,'8.0.0'!$AM$4:$AO$45,3,FALSE))</f>
        <v>45</v>
      </c>
      <c r="W38" s="5">
        <f>(VLOOKUP('8.0.0'!AE38,'8.0.0'!$AM$4:$AO$45,3,FALSE))</f>
        <v>0</v>
      </c>
      <c r="X38" s="5">
        <f>(VLOOKUP('8.0.0'!AF38,'8.0.0'!$AM$4:$AO$45,3,FALSE))</f>
        <v>0</v>
      </c>
    </row>
    <row r="39" spans="1:24">
      <c r="A39" s="4">
        <f>(VLOOKUP('8.0.0'!I39,'8.0.0'!$AM$4:$AO$45,3,FALSE))</f>
        <v>55</v>
      </c>
      <c r="B39" s="4">
        <f>(VLOOKUP('8.0.0'!J39,'8.0.0'!$AM$4:$AO$45,3,FALSE))</f>
        <v>55</v>
      </c>
      <c r="C39" s="4">
        <f>(VLOOKUP('8.0.0'!K39,'8.0.0'!$AM$4:$AO$45,3,FALSE))</f>
        <v>55</v>
      </c>
      <c r="D39" s="4">
        <f>(VLOOKUP('8.0.0'!L39,'8.0.0'!$AM$4:$AO$45,3,FALSE))</f>
        <v>55</v>
      </c>
      <c r="E39" s="4">
        <f>(VLOOKUP('8.0.0'!M39,'8.0.0'!$AM$4:$AO$45,3,FALSE))</f>
        <v>55</v>
      </c>
      <c r="F39" s="4">
        <f>(VLOOKUP('8.0.0'!N39,'8.0.0'!$AM$4:$AO$45,3,FALSE))</f>
        <v>55</v>
      </c>
      <c r="G39" s="5">
        <f>(VLOOKUP('8.0.0'!O39,'8.0.0'!$AM$4:$AO$45,3,FALSE))</f>
        <v>0</v>
      </c>
      <c r="H39" s="5">
        <f>(VLOOKUP('8.0.0'!P39,'8.0.0'!$AM$4:$AO$45,3,FALSE))</f>
        <v>0</v>
      </c>
      <c r="I39" s="4">
        <f>(VLOOKUP('8.0.0'!Q39,'8.0.0'!$AM$4:$AO$45,3,FALSE))</f>
        <v>0</v>
      </c>
      <c r="J39" s="4">
        <f>(VLOOKUP('8.0.0'!R39,'8.0.0'!$AM$4:$AO$45,3,FALSE))</f>
        <v>0</v>
      </c>
      <c r="K39" s="4">
        <f>(VLOOKUP('8.0.0'!S39,'8.0.0'!$AM$4:$AO$45,3,FALSE))</f>
        <v>0</v>
      </c>
      <c r="L39" s="4">
        <f>(VLOOKUP('8.0.0'!T39,'8.0.0'!$AM$4:$AO$45,3,FALSE))</f>
        <v>0</v>
      </c>
      <c r="M39" s="4">
        <f>(VLOOKUP('8.0.0'!U39,'8.0.0'!$AM$4:$AO$45,3,FALSE))</f>
        <v>0</v>
      </c>
      <c r="N39" s="4">
        <f>(VLOOKUP('8.0.0'!V39,'8.0.0'!$AM$4:$AO$45,3,FALSE))</f>
        <v>0</v>
      </c>
      <c r="O39" s="5">
        <f>(VLOOKUP('8.0.0'!W39,'8.0.0'!$AM$4:$AO$45,3,FALSE))</f>
        <v>0</v>
      </c>
      <c r="P39" s="5">
        <f>(VLOOKUP('8.0.0'!X39,'8.0.0'!$AM$4:$AO$45,3,FALSE))</f>
        <v>0</v>
      </c>
      <c r="Q39" s="4">
        <f>(VLOOKUP('8.0.0'!Y39,'8.0.0'!$AM$4:$AO$45,3,FALSE))</f>
        <v>45</v>
      </c>
      <c r="R39" s="4">
        <f>(VLOOKUP('8.0.0'!Z39,'8.0.0'!$AM$4:$AO$45,3,FALSE))</f>
        <v>45</v>
      </c>
      <c r="S39" s="4">
        <f>(VLOOKUP('8.0.0'!AA39,'8.0.0'!$AM$4:$AO$45,3,FALSE))</f>
        <v>45</v>
      </c>
      <c r="T39" s="4">
        <f>(VLOOKUP('8.0.0'!AB39,'8.0.0'!$AM$4:$AO$45,3,FALSE))</f>
        <v>45</v>
      </c>
      <c r="U39" s="4">
        <f>(VLOOKUP('8.0.0'!AC39,'8.0.0'!$AM$4:$AO$45,3,FALSE))</f>
        <v>45</v>
      </c>
      <c r="V39" s="4">
        <f>(VLOOKUP('8.0.0'!AD39,'8.0.0'!$AM$4:$AO$45,3,FALSE))</f>
        <v>30</v>
      </c>
      <c r="W39" s="5">
        <f>(VLOOKUP('8.0.0'!AE39,'8.0.0'!$AM$4:$AO$45,3,FALSE))</f>
        <v>0</v>
      </c>
      <c r="X39" s="5">
        <f>(VLOOKUP('8.0.0'!AF39,'8.0.0'!$AM$4:$AO$45,3,FALSE))</f>
        <v>0</v>
      </c>
    </row>
    <row r="40" spans="1:24">
      <c r="A40" s="4">
        <f>(VLOOKUP('8.0.0'!I40,'8.0.0'!$AM$4:$AO$45,3,FALSE))</f>
        <v>55</v>
      </c>
      <c r="B40" s="4">
        <f>(VLOOKUP('8.0.0'!J40,'8.0.0'!$AM$4:$AO$45,3,FALSE))</f>
        <v>55</v>
      </c>
      <c r="C40" s="4">
        <f>(VLOOKUP('8.0.0'!K40,'8.0.0'!$AM$4:$AO$45,3,FALSE))</f>
        <v>55</v>
      </c>
      <c r="D40" s="4">
        <f>(VLOOKUP('8.0.0'!L40,'8.0.0'!$AM$4:$AO$45,3,FALSE))</f>
        <v>520</v>
      </c>
      <c r="E40" s="4">
        <f>(VLOOKUP('8.0.0'!M40,'8.0.0'!$AM$4:$AO$45,3,FALSE))</f>
        <v>55</v>
      </c>
      <c r="F40" s="4">
        <f>(VLOOKUP('8.0.0'!N40,'8.0.0'!$AM$4:$AO$45,3,FALSE))</f>
        <v>55</v>
      </c>
      <c r="G40" s="5">
        <f>(VLOOKUP('8.0.0'!O40,'8.0.0'!$AM$4:$AO$45,3,FALSE))</f>
        <v>55</v>
      </c>
      <c r="H40" s="5">
        <f>(VLOOKUP('8.0.0'!P40,'8.0.0'!$AM$4:$AO$45,3,FALSE))</f>
        <v>0</v>
      </c>
      <c r="I40" s="4">
        <f>(VLOOKUP('8.0.0'!Q40,'8.0.0'!$AM$4:$AO$45,3,FALSE))</f>
        <v>0</v>
      </c>
      <c r="J40" s="4">
        <f>(VLOOKUP('8.0.0'!R40,'8.0.0'!$AM$4:$AO$45,3,FALSE))</f>
        <v>0</v>
      </c>
      <c r="K40" s="4">
        <f>(VLOOKUP('8.0.0'!S40,'8.0.0'!$AM$4:$AO$45,3,FALSE))</f>
        <v>0</v>
      </c>
      <c r="L40" s="4">
        <f>(VLOOKUP('8.0.0'!T40,'8.0.0'!$AM$4:$AO$45,3,FALSE))</f>
        <v>0</v>
      </c>
      <c r="M40" s="4">
        <f>(VLOOKUP('8.0.0'!U40,'8.0.0'!$AM$4:$AO$45,3,FALSE))</f>
        <v>0</v>
      </c>
      <c r="N40" s="4">
        <f>(VLOOKUP('8.0.0'!V40,'8.0.0'!$AM$4:$AO$45,3,FALSE))</f>
        <v>0</v>
      </c>
      <c r="O40" s="5">
        <f>(VLOOKUP('8.0.0'!W40,'8.0.0'!$AM$4:$AO$45,3,FALSE))</f>
        <v>0</v>
      </c>
      <c r="P40" s="5">
        <f>(VLOOKUP('8.0.0'!X40,'8.0.0'!$AM$4:$AO$45,3,FALSE))</f>
        <v>0</v>
      </c>
      <c r="Q40" s="4">
        <f>(VLOOKUP('8.0.0'!Y40,'8.0.0'!$AM$4:$AO$45,3,FALSE))</f>
        <v>45</v>
      </c>
      <c r="R40" s="4">
        <f>(VLOOKUP('8.0.0'!Z40,'8.0.0'!$AM$4:$AO$45,3,FALSE))</f>
        <v>45</v>
      </c>
      <c r="S40" s="4">
        <f>(VLOOKUP('8.0.0'!AA40,'8.0.0'!$AM$4:$AO$45,3,FALSE))</f>
        <v>45</v>
      </c>
      <c r="T40" s="4">
        <f>(VLOOKUP('8.0.0'!AB40,'8.0.0'!$AM$4:$AO$45,3,FALSE))</f>
        <v>45</v>
      </c>
      <c r="U40" s="4">
        <f>(VLOOKUP('8.0.0'!AC40,'8.0.0'!$AM$4:$AO$45,3,FALSE))</f>
        <v>45</v>
      </c>
      <c r="V40" s="4">
        <f>(VLOOKUP('8.0.0'!AD40,'8.0.0'!$AM$4:$AO$45,3,FALSE))</f>
        <v>45</v>
      </c>
      <c r="W40" s="5">
        <f>(VLOOKUP('8.0.0'!AE40,'8.0.0'!$AM$4:$AO$45,3,FALSE))</f>
        <v>0</v>
      </c>
      <c r="X40" s="5">
        <f>(VLOOKUP('8.0.0'!AF40,'8.0.0'!$AM$4:$AO$45,3,FALSE))</f>
        <v>0</v>
      </c>
    </row>
    <row r="41" spans="1:24">
      <c r="A41" s="4">
        <f>(VLOOKUP('8.0.0'!I41,'8.0.0'!$AM$4:$AO$45,3,FALSE))</f>
        <v>55</v>
      </c>
      <c r="B41" s="4">
        <f>(VLOOKUP('8.0.0'!J41,'8.0.0'!$AM$4:$AO$45,3,FALSE))</f>
        <v>55</v>
      </c>
      <c r="C41" s="4">
        <f>(VLOOKUP('8.0.0'!K41,'8.0.0'!$AM$4:$AO$45,3,FALSE))</f>
        <v>55</v>
      </c>
      <c r="D41" s="4">
        <f>(VLOOKUP('8.0.0'!L41,'8.0.0'!$AM$4:$AO$45,3,FALSE))</f>
        <v>55</v>
      </c>
      <c r="E41" s="4">
        <f>(VLOOKUP('8.0.0'!M41,'8.0.0'!$AM$4:$AO$45,3,FALSE))</f>
        <v>55</v>
      </c>
      <c r="F41" s="4">
        <f>(VLOOKUP('8.0.0'!N41,'8.0.0'!$AM$4:$AO$45,3,FALSE))</f>
        <v>55</v>
      </c>
      <c r="G41" s="5">
        <f>(VLOOKUP('8.0.0'!O41,'8.0.0'!$AM$4:$AO$45,3,FALSE))</f>
        <v>0</v>
      </c>
      <c r="H41" s="5">
        <f>(VLOOKUP('8.0.0'!P41,'8.0.0'!$AM$4:$AO$45,3,FALSE))</f>
        <v>0</v>
      </c>
      <c r="I41" s="4">
        <f>(VLOOKUP('8.0.0'!Q41,'8.0.0'!$AM$4:$AO$45,3,FALSE))</f>
        <v>0</v>
      </c>
      <c r="J41" s="4">
        <f>(VLOOKUP('8.0.0'!R41,'8.0.0'!$AM$4:$AO$45,3,FALSE))</f>
        <v>0</v>
      </c>
      <c r="K41" s="4">
        <f>(VLOOKUP('8.0.0'!S41,'8.0.0'!$AM$4:$AO$45,3,FALSE))</f>
        <v>0</v>
      </c>
      <c r="L41" s="4">
        <f>(VLOOKUP('8.0.0'!T41,'8.0.0'!$AM$4:$AO$45,3,FALSE))</f>
        <v>0</v>
      </c>
      <c r="M41" s="4">
        <f>(VLOOKUP('8.0.0'!U41,'8.0.0'!$AM$4:$AO$45,3,FALSE))</f>
        <v>0</v>
      </c>
      <c r="N41" s="4">
        <f>(VLOOKUP('8.0.0'!V41,'8.0.0'!$AM$4:$AO$45,3,FALSE))</f>
        <v>0</v>
      </c>
      <c r="O41" s="5">
        <f>(VLOOKUP('8.0.0'!W41,'8.0.0'!$AM$4:$AO$45,3,FALSE))</f>
        <v>0</v>
      </c>
      <c r="P41" s="5">
        <f>(VLOOKUP('8.0.0'!X41,'8.0.0'!$AM$4:$AO$45,3,FALSE))</f>
        <v>0</v>
      </c>
      <c r="Q41" s="4">
        <f>(VLOOKUP('8.0.0'!Y41,'8.0.0'!$AM$4:$AO$45,3,FALSE))</f>
        <v>45</v>
      </c>
      <c r="R41" s="4">
        <f>(VLOOKUP('8.0.0'!Z41,'8.0.0'!$AM$4:$AO$45,3,FALSE))</f>
        <v>45</v>
      </c>
      <c r="S41" s="4">
        <f>(VLOOKUP('8.0.0'!AA41,'8.0.0'!$AM$4:$AO$45,3,FALSE))</f>
        <v>50</v>
      </c>
      <c r="T41" s="4">
        <f>(VLOOKUP('8.0.0'!AB41,'8.0.0'!$AM$4:$AO$45,3,FALSE))</f>
        <v>50</v>
      </c>
      <c r="U41" s="4">
        <f>(VLOOKUP('8.0.0'!AC41,'8.0.0'!$AM$4:$AO$45,3,FALSE))</f>
        <v>45</v>
      </c>
      <c r="V41" s="4">
        <f>(VLOOKUP('8.0.0'!AD41,'8.0.0'!$AM$4:$AO$45,3,FALSE))</f>
        <v>45</v>
      </c>
      <c r="W41" s="5">
        <f>(VLOOKUP('8.0.0'!AE41,'8.0.0'!$AM$4:$AO$45,3,FALSE))</f>
        <v>0</v>
      </c>
      <c r="X41" s="5">
        <f>(VLOOKUP('8.0.0'!AF41,'8.0.0'!$AM$4:$AO$45,3,FALSE))</f>
        <v>0</v>
      </c>
    </row>
    <row r="42" spans="1:24">
      <c r="A42" s="4">
        <f>(VLOOKUP('8.0.0'!I42,'8.0.0'!$AM$4:$AO$45,3,FALSE))</f>
        <v>55</v>
      </c>
      <c r="B42" s="4">
        <f>(VLOOKUP('8.0.0'!J42,'8.0.0'!$AM$4:$AO$45,3,FALSE))</f>
        <v>55</v>
      </c>
      <c r="C42" s="4">
        <f>(VLOOKUP('8.0.0'!K42,'8.0.0'!$AM$4:$AO$45,3,FALSE))</f>
        <v>55</v>
      </c>
      <c r="D42" s="4">
        <f>(VLOOKUP('8.0.0'!L42,'8.0.0'!$AM$4:$AO$45,3,FALSE))</f>
        <v>55</v>
      </c>
      <c r="E42" s="4">
        <f>(VLOOKUP('8.0.0'!M42,'8.0.0'!$AM$4:$AO$45,3,FALSE))</f>
        <v>55</v>
      </c>
      <c r="F42" s="4">
        <f>(VLOOKUP('8.0.0'!N42,'8.0.0'!$AM$4:$AO$45,3,FALSE))</f>
        <v>55</v>
      </c>
      <c r="G42" s="5">
        <f>(VLOOKUP('8.0.0'!O42,'8.0.0'!$AM$4:$AO$45,3,FALSE))</f>
        <v>0</v>
      </c>
      <c r="H42" s="5">
        <f>(VLOOKUP('8.0.0'!P42,'8.0.0'!$AM$4:$AO$45,3,FALSE))</f>
        <v>0</v>
      </c>
      <c r="I42" s="4">
        <f>(VLOOKUP('8.0.0'!Q42,'8.0.0'!$AM$4:$AO$45,3,FALSE))</f>
        <v>0</v>
      </c>
      <c r="J42" s="4">
        <f>(VLOOKUP('8.0.0'!R42,'8.0.0'!$AM$4:$AO$45,3,FALSE))</f>
        <v>0</v>
      </c>
      <c r="K42" s="4">
        <f>(VLOOKUP('8.0.0'!S42,'8.0.0'!$AM$4:$AO$45,3,FALSE))</f>
        <v>0</v>
      </c>
      <c r="L42" s="4">
        <f>(VLOOKUP('8.0.0'!T42,'8.0.0'!$AM$4:$AO$45,3,FALSE))</f>
        <v>0</v>
      </c>
      <c r="M42" s="4">
        <f>(VLOOKUP('8.0.0'!U42,'8.0.0'!$AM$4:$AO$45,3,FALSE))</f>
        <v>0</v>
      </c>
      <c r="N42" s="4">
        <f>(VLOOKUP('8.0.0'!V42,'8.0.0'!$AM$4:$AO$45,3,FALSE))</f>
        <v>0</v>
      </c>
      <c r="O42" s="5">
        <f>(VLOOKUP('8.0.0'!W42,'8.0.0'!$AM$4:$AO$45,3,FALSE))</f>
        <v>0</v>
      </c>
      <c r="P42" s="5">
        <f>(VLOOKUP('8.0.0'!X42,'8.0.0'!$AM$4:$AO$45,3,FALSE))</f>
        <v>0</v>
      </c>
      <c r="Q42" s="4">
        <f>(VLOOKUP('8.0.0'!Y42,'8.0.0'!$AM$4:$AO$45,3,FALSE))</f>
        <v>45</v>
      </c>
      <c r="R42" s="4">
        <f>(VLOOKUP('8.0.0'!Z42,'8.0.0'!$AM$4:$AO$45,3,FALSE))</f>
        <v>45</v>
      </c>
      <c r="S42" s="4">
        <f>(VLOOKUP('8.0.0'!AA42,'8.0.0'!$AM$4:$AO$45,3,FALSE))</f>
        <v>45</v>
      </c>
      <c r="T42" s="4">
        <f>(VLOOKUP('8.0.0'!AB42,'8.0.0'!$AM$4:$AO$45,3,FALSE))</f>
        <v>45</v>
      </c>
      <c r="U42" s="4">
        <f>(VLOOKUP('8.0.0'!AC42,'8.0.0'!$AM$4:$AO$45,3,FALSE))</f>
        <v>50</v>
      </c>
      <c r="V42" s="4">
        <f>(VLOOKUP('8.0.0'!AD42,'8.0.0'!$AM$4:$AO$45,3,FALSE))</f>
        <v>50</v>
      </c>
      <c r="W42" s="5">
        <f>(VLOOKUP('8.0.0'!AE42,'8.0.0'!$AM$4:$AO$45,3,FALSE))</f>
        <v>0</v>
      </c>
      <c r="X42" s="5">
        <f>(VLOOKUP('8.0.0'!AF42,'8.0.0'!$AM$4:$AO$45,3,FALSE))</f>
        <v>0</v>
      </c>
    </row>
    <row r="43" spans="1:24">
      <c r="A43" s="4">
        <f>(VLOOKUP('8.0.0'!I43,'8.0.0'!$AM$4:$AO$45,3,FALSE))</f>
        <v>55</v>
      </c>
      <c r="B43" s="4">
        <f>(VLOOKUP('8.0.0'!J43,'8.0.0'!$AM$4:$AO$45,3,FALSE))</f>
        <v>55</v>
      </c>
      <c r="C43" s="4">
        <f>(VLOOKUP('8.0.0'!K43,'8.0.0'!$AM$4:$AO$45,3,FALSE))</f>
        <v>55</v>
      </c>
      <c r="D43" s="4">
        <f>(VLOOKUP('8.0.0'!L43,'8.0.0'!$AM$4:$AO$45,3,FALSE))</f>
        <v>55</v>
      </c>
      <c r="E43" s="4">
        <f>(VLOOKUP('8.0.0'!M43,'8.0.0'!$AM$4:$AO$45,3,FALSE))</f>
        <v>55</v>
      </c>
      <c r="F43" s="4">
        <f>(VLOOKUP('8.0.0'!N43,'8.0.0'!$AM$4:$AO$45,3,FALSE))</f>
        <v>55</v>
      </c>
      <c r="G43" s="5">
        <f>(VLOOKUP('8.0.0'!O43,'8.0.0'!$AM$4:$AO$45,3,FALSE))</f>
        <v>0</v>
      </c>
      <c r="H43" s="5">
        <f>(VLOOKUP('8.0.0'!P43,'8.0.0'!$AM$4:$AO$45,3,FALSE))</f>
        <v>0</v>
      </c>
      <c r="I43" s="4">
        <f>(VLOOKUP('8.0.0'!Q43,'8.0.0'!$AM$4:$AO$45,3,FALSE))</f>
        <v>0</v>
      </c>
      <c r="J43" s="4">
        <f>(VLOOKUP('8.0.0'!R43,'8.0.0'!$AM$4:$AO$45,3,FALSE))</f>
        <v>0</v>
      </c>
      <c r="K43" s="4">
        <f>(VLOOKUP('8.0.0'!S43,'8.0.0'!$AM$4:$AO$45,3,FALSE))</f>
        <v>0</v>
      </c>
      <c r="L43" s="4">
        <f>(VLOOKUP('8.0.0'!T43,'8.0.0'!$AM$4:$AO$45,3,FALSE))</f>
        <v>0</v>
      </c>
      <c r="M43" s="4">
        <f>(VLOOKUP('8.0.0'!U43,'8.0.0'!$AM$4:$AO$45,3,FALSE))</f>
        <v>0</v>
      </c>
      <c r="N43" s="4">
        <f>(VLOOKUP('8.0.0'!V43,'8.0.0'!$AM$4:$AO$45,3,FALSE))</f>
        <v>0</v>
      </c>
      <c r="O43" s="5">
        <f>(VLOOKUP('8.0.0'!W43,'8.0.0'!$AM$4:$AO$45,3,FALSE))</f>
        <v>0</v>
      </c>
      <c r="P43" s="5">
        <f>(VLOOKUP('8.0.0'!X43,'8.0.0'!$AM$4:$AO$45,3,FALSE))</f>
        <v>0</v>
      </c>
      <c r="Q43" s="4">
        <f>(VLOOKUP('8.0.0'!Y43,'8.0.0'!$AM$4:$AO$45,3,FALSE))</f>
        <v>50</v>
      </c>
      <c r="R43" s="4">
        <f>(VLOOKUP('8.0.0'!Z43,'8.0.0'!$AM$4:$AO$45,3,FALSE))</f>
        <v>50</v>
      </c>
      <c r="S43" s="4">
        <f>(VLOOKUP('8.0.0'!AA43,'8.0.0'!$AM$4:$AO$45,3,FALSE))</f>
        <v>50</v>
      </c>
      <c r="T43" s="4">
        <f>(VLOOKUP('8.0.0'!AB43,'8.0.0'!$AM$4:$AO$45,3,FALSE))</f>
        <v>50</v>
      </c>
      <c r="U43" s="4">
        <f>(VLOOKUP('8.0.0'!AC43,'8.0.0'!$AM$4:$AO$45,3,FALSE))</f>
        <v>50</v>
      </c>
      <c r="V43" s="4">
        <f>(VLOOKUP('8.0.0'!AD43,'8.0.0'!$AM$4:$AO$45,3,FALSE))</f>
        <v>50</v>
      </c>
      <c r="W43" s="5">
        <f>(VLOOKUP('8.0.0'!AE43,'8.0.0'!$AM$4:$AO$45,3,FALSE))</f>
        <v>0</v>
      </c>
      <c r="X43" s="5">
        <f>(VLOOKUP('8.0.0'!AF43,'8.0.0'!$AM$4:$AO$45,3,FALSE))</f>
        <v>0</v>
      </c>
    </row>
    <row r="44" spans="1:24">
      <c r="A44" s="4">
        <f>(VLOOKUP('8.0.0'!I44,'8.0.0'!$AM$4:$AO$45,3,FALSE))</f>
        <v>55</v>
      </c>
      <c r="B44" s="4">
        <f>(VLOOKUP('8.0.0'!J44,'8.0.0'!$AM$4:$AO$45,3,FALSE))</f>
        <v>50</v>
      </c>
      <c r="C44" s="4">
        <f>(VLOOKUP('8.0.0'!K44,'8.0.0'!$AM$4:$AO$45,3,FALSE))</f>
        <v>55</v>
      </c>
      <c r="D44" s="4">
        <f>(VLOOKUP('8.0.0'!L44,'8.0.0'!$AM$4:$AO$45,3,FALSE))</f>
        <v>55</v>
      </c>
      <c r="E44" s="4">
        <f>(VLOOKUP('8.0.0'!M44,'8.0.0'!$AM$4:$AO$45,3,FALSE))</f>
        <v>30</v>
      </c>
      <c r="F44" s="4">
        <f>(VLOOKUP('8.0.0'!N44,'8.0.0'!$AM$4:$AO$45,3,FALSE))</f>
        <v>55</v>
      </c>
      <c r="G44" s="5">
        <f>(VLOOKUP('8.0.0'!O44,'8.0.0'!$AM$4:$AO$45,3,FALSE))</f>
        <v>0</v>
      </c>
      <c r="H44" s="5">
        <f>(VLOOKUP('8.0.0'!P44,'8.0.0'!$AM$4:$AO$45,3,FALSE))</f>
        <v>0</v>
      </c>
      <c r="I44" s="4">
        <f>(VLOOKUP('8.0.0'!Q44,'8.0.0'!$AM$4:$AO$45,3,FALSE))</f>
        <v>0</v>
      </c>
      <c r="J44" s="4">
        <f>(VLOOKUP('8.0.0'!R44,'8.0.0'!$AM$4:$AO$45,3,FALSE))</f>
        <v>0</v>
      </c>
      <c r="K44" s="4">
        <f>(VLOOKUP('8.0.0'!S44,'8.0.0'!$AM$4:$AO$45,3,FALSE))</f>
        <v>0</v>
      </c>
      <c r="L44" s="4">
        <f>(VLOOKUP('8.0.0'!T44,'8.0.0'!$AM$4:$AO$45,3,FALSE))</f>
        <v>0</v>
      </c>
      <c r="M44" s="4">
        <f>(VLOOKUP('8.0.0'!U44,'8.0.0'!$AM$4:$AO$45,3,FALSE))</f>
        <v>0</v>
      </c>
      <c r="N44" s="4">
        <f>(VLOOKUP('8.0.0'!V44,'8.0.0'!$AM$4:$AO$45,3,FALSE))</f>
        <v>0</v>
      </c>
      <c r="O44" s="5">
        <f>(VLOOKUP('8.0.0'!W44,'8.0.0'!$AM$4:$AO$45,3,FALSE))</f>
        <v>0</v>
      </c>
      <c r="P44" s="5">
        <f>(VLOOKUP('8.0.0'!X44,'8.0.0'!$AM$4:$AO$45,3,FALSE))</f>
        <v>0</v>
      </c>
      <c r="Q44" s="4">
        <f>(VLOOKUP('8.0.0'!Y44,'8.0.0'!$AM$4:$AO$45,3,FALSE))</f>
        <v>50</v>
      </c>
      <c r="R44" s="4">
        <f>(VLOOKUP('8.0.0'!Z44,'8.0.0'!$AM$4:$AO$45,3,FALSE))</f>
        <v>50</v>
      </c>
      <c r="S44" s="4">
        <f>(VLOOKUP('8.0.0'!AA44,'8.0.0'!$AM$4:$AO$45,3,FALSE))</f>
        <v>50</v>
      </c>
      <c r="T44" s="4">
        <f>(VLOOKUP('8.0.0'!AB44,'8.0.0'!$AM$4:$AO$45,3,FALSE))</f>
        <v>50</v>
      </c>
      <c r="U44" s="4">
        <f>(VLOOKUP('8.0.0'!AC44,'8.0.0'!$AM$4:$AO$45,3,FALSE))</f>
        <v>50</v>
      </c>
      <c r="V44" s="4">
        <f>(VLOOKUP('8.0.0'!AD44,'8.0.0'!$AM$4:$AO$45,3,FALSE))</f>
        <v>50</v>
      </c>
      <c r="W44" s="5">
        <f>(VLOOKUP('8.0.0'!AE44,'8.0.0'!$AM$4:$AO$45,3,FALSE))</f>
        <v>0</v>
      </c>
      <c r="X44" s="5">
        <f>(VLOOKUP('8.0.0'!AF44,'8.0.0'!$AM$4:$AO$45,3,FALSE))</f>
        <v>0</v>
      </c>
    </row>
    <row r="45" spans="1:24">
      <c r="A45" s="4">
        <f>(VLOOKUP('8.0.0'!I45,'8.0.0'!$AM$4:$AO$45,3,FALSE))</f>
        <v>55</v>
      </c>
      <c r="B45" s="4">
        <f>(VLOOKUP('8.0.0'!J45,'8.0.0'!$AM$4:$AO$45,3,FALSE))</f>
        <v>55</v>
      </c>
      <c r="C45" s="4">
        <f>(VLOOKUP('8.0.0'!K45,'8.0.0'!$AM$4:$AO$45,3,FALSE))</f>
        <v>55</v>
      </c>
      <c r="D45" s="4">
        <f>(VLOOKUP('8.0.0'!L45,'8.0.0'!$AM$4:$AO$45,3,FALSE))</f>
        <v>55</v>
      </c>
      <c r="E45" s="4">
        <f>(VLOOKUP('8.0.0'!M45,'8.0.0'!$AM$4:$AO$45,3,FALSE))</f>
        <v>0</v>
      </c>
      <c r="F45" s="4">
        <f>(VLOOKUP('8.0.0'!N45,'8.0.0'!$AM$4:$AO$45,3,FALSE))</f>
        <v>55</v>
      </c>
      <c r="G45" s="5">
        <f>(VLOOKUP('8.0.0'!O45,'8.0.0'!$AM$4:$AO$45,3,FALSE))</f>
        <v>55</v>
      </c>
      <c r="H45" s="5">
        <f>(VLOOKUP('8.0.0'!P45,'8.0.0'!$AM$4:$AO$45,3,FALSE))</f>
        <v>55</v>
      </c>
      <c r="I45" s="4">
        <f>(VLOOKUP('8.0.0'!Q45,'8.0.0'!$AM$4:$AO$45,3,FALSE))</f>
        <v>0</v>
      </c>
      <c r="J45" s="4">
        <f>(VLOOKUP('8.0.0'!R45,'8.0.0'!$AM$4:$AO$45,3,FALSE))</f>
        <v>0</v>
      </c>
      <c r="K45" s="4">
        <f>(VLOOKUP('8.0.0'!S45,'8.0.0'!$AM$4:$AO$45,3,FALSE))</f>
        <v>0</v>
      </c>
      <c r="L45" s="4">
        <f>(VLOOKUP('8.0.0'!T45,'8.0.0'!$AM$4:$AO$45,3,FALSE))</f>
        <v>0</v>
      </c>
      <c r="M45" s="4">
        <f>(VLOOKUP('8.0.0'!U45,'8.0.0'!$AM$4:$AO$45,3,FALSE))</f>
        <v>0</v>
      </c>
      <c r="N45" s="4">
        <f>(VLOOKUP('8.0.0'!V45,'8.0.0'!$AM$4:$AO$45,3,FALSE))</f>
        <v>0</v>
      </c>
      <c r="O45" s="5">
        <f>(VLOOKUP('8.0.0'!W45,'8.0.0'!$AM$4:$AO$45,3,FALSE))</f>
        <v>0</v>
      </c>
      <c r="P45" s="5">
        <f>(VLOOKUP('8.0.0'!X45,'8.0.0'!$AM$4:$AO$45,3,FALSE))</f>
        <v>0</v>
      </c>
      <c r="Q45" s="4">
        <f>(VLOOKUP('8.0.0'!Y45,'8.0.0'!$AM$4:$AO$45,3,FALSE))</f>
        <v>50</v>
      </c>
      <c r="R45" s="4">
        <f>(VLOOKUP('8.0.0'!Z45,'8.0.0'!$AM$4:$AO$45,3,FALSE))</f>
        <v>50</v>
      </c>
      <c r="S45" s="4">
        <f>(VLOOKUP('8.0.0'!AA45,'8.0.0'!$AM$4:$AO$45,3,FALSE))</f>
        <v>30</v>
      </c>
      <c r="T45" s="4">
        <f>(VLOOKUP('8.0.0'!AB45,'8.0.0'!$AM$4:$AO$45,3,FALSE))</f>
        <v>50</v>
      </c>
      <c r="U45" s="4">
        <f>(VLOOKUP('8.0.0'!AC45,'8.0.0'!$AM$4:$AO$45,3,FALSE))</f>
        <v>50</v>
      </c>
      <c r="V45" s="4">
        <f>(VLOOKUP('8.0.0'!AD45,'8.0.0'!$AM$4:$AO$45,3,FALSE))</f>
        <v>0</v>
      </c>
      <c r="W45" s="5">
        <f>(VLOOKUP('8.0.0'!AE45,'8.0.0'!$AM$4:$AO$45,3,FALSE))</f>
        <v>0</v>
      </c>
      <c r="X45" s="5">
        <f>(VLOOKUP('8.0.0'!AF45,'8.0.0'!$AM$4:$AO$45,3,FALSE))</f>
        <v>0</v>
      </c>
    </row>
    <row r="46" spans="1:24">
      <c r="A46" s="4">
        <f>(VLOOKUP('8.0.0'!I46,'8.0.0'!$AM$4:$AO$45,3,FALSE))</f>
        <v>55</v>
      </c>
      <c r="B46" s="4">
        <f>(VLOOKUP('8.0.0'!J46,'8.0.0'!$AM$4:$AO$45,3,FALSE))</f>
        <v>55</v>
      </c>
      <c r="C46" s="4">
        <f>(VLOOKUP('8.0.0'!K46,'8.0.0'!$AM$4:$AO$45,3,FALSE))</f>
        <v>55</v>
      </c>
      <c r="D46" s="4">
        <f>(VLOOKUP('8.0.0'!L46,'8.0.0'!$AM$4:$AO$45,3,FALSE))</f>
        <v>55</v>
      </c>
      <c r="E46" s="4">
        <f>(VLOOKUP('8.0.0'!M46,'8.0.0'!$AM$4:$AO$45,3,FALSE))</f>
        <v>55</v>
      </c>
      <c r="F46" s="4">
        <f>(VLOOKUP('8.0.0'!N46,'8.0.0'!$AM$4:$AO$45,3,FALSE))</f>
        <v>55</v>
      </c>
      <c r="G46" s="5">
        <f>(VLOOKUP('8.0.0'!O46,'8.0.0'!$AM$4:$AO$45,3,FALSE))</f>
        <v>0</v>
      </c>
      <c r="H46" s="5">
        <f>(VLOOKUP('8.0.0'!P46,'8.0.0'!$AM$4:$AO$45,3,FALSE))</f>
        <v>0</v>
      </c>
      <c r="I46" s="4">
        <f>(VLOOKUP('8.0.0'!Q46,'8.0.0'!$AM$4:$AO$45,3,FALSE))</f>
        <v>0</v>
      </c>
      <c r="J46" s="4">
        <f>(VLOOKUP('8.0.0'!R46,'8.0.0'!$AM$4:$AO$45,3,FALSE))</f>
        <v>0</v>
      </c>
      <c r="K46" s="4">
        <f>(VLOOKUP('8.0.0'!S46,'8.0.0'!$AM$4:$AO$45,3,FALSE))</f>
        <v>0</v>
      </c>
      <c r="L46" s="4">
        <f>(VLOOKUP('8.0.0'!T46,'8.0.0'!$AM$4:$AO$45,3,FALSE))</f>
        <v>0</v>
      </c>
      <c r="M46" s="4">
        <f>(VLOOKUP('8.0.0'!U46,'8.0.0'!$AM$4:$AO$45,3,FALSE))</f>
        <v>0</v>
      </c>
      <c r="N46" s="4">
        <f>(VLOOKUP('8.0.0'!V46,'8.0.0'!$AM$4:$AO$45,3,FALSE))</f>
        <v>0</v>
      </c>
      <c r="O46" s="5">
        <f>(VLOOKUP('8.0.0'!W46,'8.0.0'!$AM$4:$AO$45,3,FALSE))</f>
        <v>0</v>
      </c>
      <c r="P46" s="5">
        <f>(VLOOKUP('8.0.0'!X46,'8.0.0'!$AM$4:$AO$45,3,FALSE))</f>
        <v>0</v>
      </c>
      <c r="Q46" s="4">
        <f>(VLOOKUP('8.0.0'!Y46,'8.0.0'!$AM$4:$AO$45,3,FALSE))</f>
        <v>50</v>
      </c>
      <c r="R46" s="4">
        <f>(VLOOKUP('8.0.0'!Z46,'8.0.0'!$AM$4:$AO$45,3,FALSE))</f>
        <v>50</v>
      </c>
      <c r="S46" s="4">
        <f>(VLOOKUP('8.0.0'!AA46,'8.0.0'!$AM$4:$AO$45,3,FALSE))</f>
        <v>50</v>
      </c>
      <c r="T46" s="4">
        <f>(VLOOKUP('8.0.0'!AB46,'8.0.0'!$AM$4:$AO$45,3,FALSE))</f>
        <v>50</v>
      </c>
      <c r="U46" s="4">
        <f>(VLOOKUP('8.0.0'!AC46,'8.0.0'!$AM$4:$AO$45,3,FALSE))</f>
        <v>50</v>
      </c>
      <c r="V46" s="4">
        <f>(VLOOKUP('8.0.0'!AD46,'8.0.0'!$AM$4:$AO$45,3,FALSE))</f>
        <v>0</v>
      </c>
      <c r="W46" s="5">
        <f>(VLOOKUP('8.0.0'!AE46,'8.0.0'!$AM$4:$AO$45,3,FALSE))</f>
        <v>0</v>
      </c>
      <c r="X46" s="5">
        <f>(VLOOKUP('8.0.0'!AF46,'8.0.0'!$AM$4:$AO$45,3,FALSE))</f>
        <v>0</v>
      </c>
    </row>
    <row r="47" spans="1:24">
      <c r="A47" s="4">
        <f>(VLOOKUP('8.0.0'!I47,'8.0.0'!$AM$4:$AO$45,3,FALSE))</f>
        <v>55</v>
      </c>
      <c r="B47" s="4">
        <f>(VLOOKUP('8.0.0'!J47,'8.0.0'!$AM$4:$AO$45,3,FALSE))</f>
        <v>55</v>
      </c>
      <c r="C47" s="4">
        <f>(VLOOKUP('8.0.0'!K47,'8.0.0'!$AM$4:$AO$45,3,FALSE))</f>
        <v>55</v>
      </c>
      <c r="D47" s="4">
        <f>(VLOOKUP('8.0.0'!L47,'8.0.0'!$AM$4:$AO$45,3,FALSE))</f>
        <v>55</v>
      </c>
      <c r="E47" s="4">
        <f>(VLOOKUP('8.0.0'!M47,'8.0.0'!$AM$4:$AO$45,3,FALSE))</f>
        <v>55</v>
      </c>
      <c r="F47" s="4">
        <f>(VLOOKUP('8.0.0'!N47,'8.0.0'!$AM$4:$AO$45,3,FALSE))</f>
        <v>55</v>
      </c>
      <c r="G47" s="5">
        <f>(VLOOKUP('8.0.0'!O47,'8.0.0'!$AM$4:$AO$45,3,FALSE))</f>
        <v>0</v>
      </c>
      <c r="H47" s="5">
        <f>(VLOOKUP('8.0.0'!P47,'8.0.0'!$AM$4:$AO$45,3,FALSE))</f>
        <v>0</v>
      </c>
      <c r="I47" s="4">
        <f>(VLOOKUP('8.0.0'!Q47,'8.0.0'!$AM$4:$AO$45,3,FALSE))</f>
        <v>0</v>
      </c>
      <c r="J47" s="4">
        <f>(VLOOKUP('8.0.0'!R47,'8.0.0'!$AM$4:$AO$45,3,FALSE))</f>
        <v>0</v>
      </c>
      <c r="K47" s="4">
        <f>(VLOOKUP('8.0.0'!S47,'8.0.0'!$AM$4:$AO$45,3,FALSE))</f>
        <v>0</v>
      </c>
      <c r="L47" s="4">
        <f>(VLOOKUP('8.0.0'!T47,'8.0.0'!$AM$4:$AO$45,3,FALSE))</f>
        <v>0</v>
      </c>
      <c r="M47" s="4">
        <f>(VLOOKUP('8.0.0'!U47,'8.0.0'!$AM$4:$AO$45,3,FALSE))</f>
        <v>0</v>
      </c>
      <c r="N47" s="4">
        <f>(VLOOKUP('8.0.0'!V47,'8.0.0'!$AM$4:$AO$45,3,FALSE))</f>
        <v>0</v>
      </c>
      <c r="O47" s="5">
        <f>(VLOOKUP('8.0.0'!W47,'8.0.0'!$AM$4:$AO$45,3,FALSE))</f>
        <v>0</v>
      </c>
      <c r="P47" s="5">
        <f>(VLOOKUP('8.0.0'!X47,'8.0.0'!$AM$4:$AO$45,3,FALSE))</f>
        <v>0</v>
      </c>
      <c r="Q47" s="4">
        <f>(VLOOKUP('8.0.0'!Y47,'8.0.0'!$AM$4:$AO$45,3,FALSE))</f>
        <v>50</v>
      </c>
      <c r="R47" s="4">
        <f>(VLOOKUP('8.0.0'!Z47,'8.0.0'!$AM$4:$AO$45,3,FALSE))</f>
        <v>50</v>
      </c>
      <c r="S47" s="4">
        <f>(VLOOKUP('8.0.0'!AA47,'8.0.0'!$AM$4:$AO$45,3,FALSE))</f>
        <v>50</v>
      </c>
      <c r="T47" s="4">
        <f>(VLOOKUP('8.0.0'!AB47,'8.0.0'!$AM$4:$AO$45,3,FALSE))</f>
        <v>50</v>
      </c>
      <c r="U47" s="4">
        <f>(VLOOKUP('8.0.0'!AC47,'8.0.0'!$AM$4:$AO$45,3,FALSE))</f>
        <v>50</v>
      </c>
      <c r="V47" s="4">
        <f>(VLOOKUP('8.0.0'!AD47,'8.0.0'!$AM$4:$AO$45,3,FALSE))</f>
        <v>0</v>
      </c>
      <c r="W47" s="5">
        <f>(VLOOKUP('8.0.0'!AE47,'8.0.0'!$AM$4:$AO$45,3,FALSE))</f>
        <v>0</v>
      </c>
      <c r="X47" s="5">
        <f>(VLOOKUP('8.0.0'!AF47,'8.0.0'!$AM$4:$AO$45,3,FALSE))</f>
        <v>0</v>
      </c>
    </row>
    <row r="48" spans="1:24">
      <c r="A48" s="4">
        <f>(VLOOKUP('8.0.0'!I48,'8.0.0'!$AM$4:$AO$45,3,FALSE))</f>
        <v>55</v>
      </c>
      <c r="B48" s="4">
        <f>(VLOOKUP('8.0.0'!J48,'8.0.0'!$AM$4:$AO$45,3,FALSE))</f>
        <v>55</v>
      </c>
      <c r="C48" s="4">
        <f>(VLOOKUP('8.0.0'!K48,'8.0.0'!$AM$4:$AO$45,3,FALSE))</f>
        <v>55</v>
      </c>
      <c r="D48" s="4">
        <f>(VLOOKUP('8.0.0'!L48,'8.0.0'!$AM$4:$AO$45,3,FALSE))</f>
        <v>55</v>
      </c>
      <c r="E48" s="4">
        <f>(VLOOKUP('8.0.0'!M48,'8.0.0'!$AM$4:$AO$45,3,FALSE))</f>
        <v>55</v>
      </c>
      <c r="F48" s="4">
        <f>(VLOOKUP('8.0.0'!N48,'8.0.0'!$AM$4:$AO$45,3,FALSE))</f>
        <v>55</v>
      </c>
      <c r="G48" s="5">
        <f>(VLOOKUP('8.0.0'!O48,'8.0.0'!$AM$4:$AO$45,3,FALSE))</f>
        <v>0</v>
      </c>
      <c r="H48" s="5">
        <f>(VLOOKUP('8.0.0'!P48,'8.0.0'!$AM$4:$AO$45,3,FALSE))</f>
        <v>0</v>
      </c>
      <c r="I48" s="4">
        <f>(VLOOKUP('8.0.0'!Q48,'8.0.0'!$AM$4:$AO$45,3,FALSE))</f>
        <v>0</v>
      </c>
      <c r="J48" s="4">
        <f>(VLOOKUP('8.0.0'!R48,'8.0.0'!$AM$4:$AO$45,3,FALSE))</f>
        <v>0</v>
      </c>
      <c r="K48" s="4">
        <f>(VLOOKUP('8.0.0'!S48,'8.0.0'!$AM$4:$AO$45,3,FALSE))</f>
        <v>0</v>
      </c>
      <c r="L48" s="4">
        <f>(VLOOKUP('8.0.0'!T48,'8.0.0'!$AM$4:$AO$45,3,FALSE))</f>
        <v>0</v>
      </c>
      <c r="M48" s="4">
        <f>(VLOOKUP('8.0.0'!U48,'8.0.0'!$AM$4:$AO$45,3,FALSE))</f>
        <v>0</v>
      </c>
      <c r="N48" s="4">
        <f>(VLOOKUP('8.0.0'!V48,'8.0.0'!$AM$4:$AO$45,3,FALSE))</f>
        <v>0</v>
      </c>
      <c r="O48" s="5">
        <f>(VLOOKUP('8.0.0'!W48,'8.0.0'!$AM$4:$AO$45,3,FALSE))</f>
        <v>0</v>
      </c>
      <c r="P48" s="5">
        <f>(VLOOKUP('8.0.0'!X48,'8.0.0'!$AM$4:$AO$45,3,FALSE))</f>
        <v>0</v>
      </c>
      <c r="Q48" s="4">
        <f>(VLOOKUP('8.0.0'!Y48,'8.0.0'!$AM$4:$AO$45,3,FALSE))</f>
        <v>50</v>
      </c>
      <c r="R48" s="4">
        <f>(VLOOKUP('8.0.0'!Z48,'8.0.0'!$AM$4:$AO$45,3,FALSE))</f>
        <v>50</v>
      </c>
      <c r="S48" s="4">
        <f>(VLOOKUP('8.0.0'!AA48,'8.0.0'!$AM$4:$AO$45,3,FALSE))</f>
        <v>50</v>
      </c>
      <c r="T48" s="4">
        <f>(VLOOKUP('8.0.0'!AB48,'8.0.0'!$AM$4:$AO$45,3,FALSE))</f>
        <v>50</v>
      </c>
      <c r="U48" s="4">
        <f>(VLOOKUP('8.0.0'!AC48,'8.0.0'!$AM$4:$AO$45,3,FALSE))</f>
        <v>0</v>
      </c>
      <c r="V48" s="4">
        <f>(VLOOKUP('8.0.0'!AD48,'8.0.0'!$AM$4:$AO$45,3,FALSE))</f>
        <v>0</v>
      </c>
      <c r="W48" s="5">
        <f>(VLOOKUP('8.0.0'!AE48,'8.0.0'!$AM$4:$AO$45,3,FALSE))</f>
        <v>0</v>
      </c>
      <c r="X48" s="5">
        <f>(VLOOKUP('8.0.0'!AF48,'8.0.0'!$AM$4:$AO$45,3,FALSE))</f>
        <v>0</v>
      </c>
    </row>
    <row r="49" spans="1:24">
      <c r="A49" s="4">
        <f>(VLOOKUP('8.0.0'!I49,'8.0.0'!$AM$4:$AO$45,3,FALSE))</f>
        <v>55</v>
      </c>
      <c r="B49" s="4">
        <f>(VLOOKUP('8.0.0'!J49,'8.0.0'!$AM$4:$AO$45,3,FALSE))</f>
        <v>55</v>
      </c>
      <c r="C49" s="4">
        <f>(VLOOKUP('8.0.0'!K49,'8.0.0'!$AM$4:$AO$45,3,FALSE))</f>
        <v>55</v>
      </c>
      <c r="D49" s="4">
        <f>(VLOOKUP('8.0.0'!L49,'8.0.0'!$AM$4:$AO$45,3,FALSE))</f>
        <v>55</v>
      </c>
      <c r="E49" s="4">
        <f>(VLOOKUP('8.0.0'!M49,'8.0.0'!$AM$4:$AO$45,3,FALSE))</f>
        <v>55</v>
      </c>
      <c r="F49" s="4">
        <f>(VLOOKUP('8.0.0'!N49,'8.0.0'!$AM$4:$AO$45,3,FALSE))</f>
        <v>60</v>
      </c>
      <c r="G49" s="5">
        <f>(VLOOKUP('8.0.0'!O49,'8.0.0'!$AM$4:$AO$45,3,FALSE))</f>
        <v>0</v>
      </c>
      <c r="H49" s="5">
        <f>(VLOOKUP('8.0.0'!P49,'8.0.0'!$AM$4:$AO$45,3,FALSE))</f>
        <v>0</v>
      </c>
      <c r="I49" s="4">
        <f>(VLOOKUP('8.0.0'!Q49,'8.0.0'!$AM$4:$AO$45,3,FALSE))</f>
        <v>0</v>
      </c>
      <c r="J49" s="4">
        <f>(VLOOKUP('8.0.0'!R49,'8.0.0'!$AM$4:$AO$45,3,FALSE))</f>
        <v>0</v>
      </c>
      <c r="K49" s="4">
        <f>(VLOOKUP('8.0.0'!S49,'8.0.0'!$AM$4:$AO$45,3,FALSE))</f>
        <v>0</v>
      </c>
      <c r="L49" s="4">
        <f>(VLOOKUP('8.0.0'!T49,'8.0.0'!$AM$4:$AO$45,3,FALSE))</f>
        <v>0</v>
      </c>
      <c r="M49" s="4">
        <f>(VLOOKUP('8.0.0'!U49,'8.0.0'!$AM$4:$AO$45,3,FALSE))</f>
        <v>0</v>
      </c>
      <c r="N49" s="4">
        <f>(VLOOKUP('8.0.0'!V49,'8.0.0'!$AM$4:$AO$45,3,FALSE))</f>
        <v>0</v>
      </c>
      <c r="O49" s="5">
        <f>(VLOOKUP('8.0.0'!W49,'8.0.0'!$AM$4:$AO$45,3,FALSE))</f>
        <v>0</v>
      </c>
      <c r="P49" s="5">
        <f>(VLOOKUP('8.0.0'!X49,'8.0.0'!$AM$4:$AO$45,3,FALSE))</f>
        <v>0</v>
      </c>
      <c r="Q49" s="4">
        <f>(VLOOKUP('8.0.0'!Y49,'8.0.0'!$AM$4:$AO$45,3,FALSE))</f>
        <v>50</v>
      </c>
      <c r="R49" s="4">
        <f>(VLOOKUP('8.0.0'!Z49,'8.0.0'!$AM$4:$AO$45,3,FALSE))</f>
        <v>50</v>
      </c>
      <c r="S49" s="4">
        <f>(VLOOKUP('8.0.0'!AA49,'8.0.0'!$AM$4:$AO$45,3,FALSE))</f>
        <v>50</v>
      </c>
      <c r="T49" s="4">
        <f>(VLOOKUP('8.0.0'!AB49,'8.0.0'!$AM$4:$AO$45,3,FALSE))</f>
        <v>30</v>
      </c>
      <c r="U49" s="4">
        <f>(VLOOKUP('8.0.0'!AC49,'8.0.0'!$AM$4:$AO$45,3,FALSE))</f>
        <v>50</v>
      </c>
      <c r="V49" s="4">
        <f>(VLOOKUP('8.0.0'!AD49,'8.0.0'!$AM$4:$AO$45,3,FALSE))</f>
        <v>50</v>
      </c>
      <c r="W49" s="5">
        <f>(VLOOKUP('8.0.0'!AE49,'8.0.0'!$AM$4:$AO$45,3,FALSE))</f>
        <v>0</v>
      </c>
      <c r="X49" s="5">
        <f>(VLOOKUP('8.0.0'!AF49,'8.0.0'!$AM$4:$AO$45,3,FALSE))</f>
        <v>0</v>
      </c>
    </row>
    <row r="50" spans="1:24">
      <c r="A50" s="4">
        <f>(VLOOKUP('8.0.0'!I50,'8.0.0'!$AM$4:$AO$45,3,FALSE))</f>
        <v>60</v>
      </c>
      <c r="B50" s="4">
        <f>(VLOOKUP('8.0.0'!J50,'8.0.0'!$AM$4:$AO$45,3,FALSE))</f>
        <v>60</v>
      </c>
      <c r="C50" s="4">
        <f>(VLOOKUP('8.0.0'!K50,'8.0.0'!$AM$4:$AO$45,3,FALSE))</f>
        <v>60</v>
      </c>
      <c r="D50" s="4">
        <f>(VLOOKUP('8.0.0'!L50,'8.0.0'!$AM$4:$AO$45,3,FALSE))</f>
        <v>0</v>
      </c>
      <c r="E50" s="4">
        <f>(VLOOKUP('8.0.0'!M50,'8.0.0'!$AM$4:$AO$45,3,FALSE))</f>
        <v>60</v>
      </c>
      <c r="F50" s="4">
        <f>(VLOOKUP('8.0.0'!N50,'8.0.0'!$AM$4:$AO$45,3,FALSE))</f>
        <v>60</v>
      </c>
      <c r="G50" s="5">
        <f>(VLOOKUP('8.0.0'!O50,'8.0.0'!$AM$4:$AO$45,3,FALSE))</f>
        <v>60</v>
      </c>
      <c r="H50" s="5">
        <f>(VLOOKUP('8.0.0'!P50,'8.0.0'!$AM$4:$AO$45,3,FALSE))</f>
        <v>60</v>
      </c>
      <c r="I50" s="4">
        <f>(VLOOKUP('8.0.0'!Q50,'8.0.0'!$AM$4:$AO$45,3,FALSE))</f>
        <v>0</v>
      </c>
      <c r="J50" s="4">
        <f>(VLOOKUP('8.0.0'!R50,'8.0.0'!$AM$4:$AO$45,3,FALSE))</f>
        <v>0</v>
      </c>
      <c r="K50" s="4">
        <f>(VLOOKUP('8.0.0'!S50,'8.0.0'!$AM$4:$AO$45,3,FALSE))</f>
        <v>0</v>
      </c>
      <c r="L50" s="4">
        <f>(VLOOKUP('8.0.0'!T50,'8.0.0'!$AM$4:$AO$45,3,FALSE))</f>
        <v>0</v>
      </c>
      <c r="M50" s="4">
        <f>(VLOOKUP('8.0.0'!U50,'8.0.0'!$AM$4:$AO$45,3,FALSE))</f>
        <v>0</v>
      </c>
      <c r="N50" s="4">
        <f>(VLOOKUP('8.0.0'!V50,'8.0.0'!$AM$4:$AO$45,3,FALSE))</f>
        <v>0</v>
      </c>
      <c r="O50" s="5">
        <f>(VLOOKUP('8.0.0'!W50,'8.0.0'!$AM$4:$AO$45,3,FALSE))</f>
        <v>0</v>
      </c>
      <c r="P50" s="5">
        <f>(VLOOKUP('8.0.0'!X50,'8.0.0'!$AM$4:$AO$45,3,FALSE))</f>
        <v>0</v>
      </c>
      <c r="Q50" s="4">
        <f>(VLOOKUP('8.0.0'!Y50,'8.0.0'!$AM$4:$AO$45,3,FALSE))</f>
        <v>50</v>
      </c>
      <c r="R50" s="4">
        <f>(VLOOKUP('8.0.0'!Z50,'8.0.0'!$AM$4:$AO$45,3,FALSE))</f>
        <v>50</v>
      </c>
      <c r="S50" s="4">
        <f>(VLOOKUP('8.0.0'!AA50,'8.0.0'!$AM$4:$AO$45,3,FALSE))</f>
        <v>50</v>
      </c>
      <c r="T50" s="4">
        <f>(VLOOKUP('8.0.0'!AB50,'8.0.0'!$AM$4:$AO$45,3,FALSE))</f>
        <v>50</v>
      </c>
      <c r="U50" s="4">
        <f>(VLOOKUP('8.0.0'!AC50,'8.0.0'!$AM$4:$AO$45,3,FALSE))</f>
        <v>0</v>
      </c>
      <c r="V50" s="4">
        <f>(VLOOKUP('8.0.0'!AD50,'8.0.0'!$AM$4:$AO$45,3,FALSE))</f>
        <v>0</v>
      </c>
      <c r="W50" s="5">
        <f>(VLOOKUP('8.0.0'!AE50,'8.0.0'!$AM$4:$AO$45,3,FALSE))</f>
        <v>0</v>
      </c>
      <c r="X50" s="5">
        <f>(VLOOKUP('8.0.0'!AF50,'8.0.0'!$AM$4:$AO$45,3,FALSE))</f>
        <v>0</v>
      </c>
    </row>
    <row r="51" spans="1:24">
      <c r="A51" s="4">
        <f>(VLOOKUP('8.0.0'!I51,'8.0.0'!$AM$4:$AO$45,3,FALSE))</f>
        <v>60</v>
      </c>
      <c r="B51" s="4">
        <f>(VLOOKUP('8.0.0'!J51,'8.0.0'!$AM$4:$AO$45,3,FALSE))</f>
        <v>60</v>
      </c>
      <c r="C51" s="4">
        <f>(VLOOKUP('8.0.0'!K51,'8.0.0'!$AM$4:$AO$45,3,FALSE))</f>
        <v>60</v>
      </c>
      <c r="D51" s="4">
        <f>(VLOOKUP('8.0.0'!L51,'8.0.0'!$AM$4:$AO$45,3,FALSE))</f>
        <v>60</v>
      </c>
      <c r="E51" s="4">
        <f>(VLOOKUP('8.0.0'!M51,'8.0.0'!$AM$4:$AO$45,3,FALSE))</f>
        <v>60</v>
      </c>
      <c r="F51" s="4">
        <f>(VLOOKUP('8.0.0'!N51,'8.0.0'!$AM$4:$AO$45,3,FALSE))</f>
        <v>60</v>
      </c>
      <c r="G51" s="5">
        <f>(VLOOKUP('8.0.0'!O51,'8.0.0'!$AM$4:$AO$45,3,FALSE))</f>
        <v>0</v>
      </c>
      <c r="H51" s="5">
        <f>(VLOOKUP('8.0.0'!P51,'8.0.0'!$AM$4:$AO$45,3,FALSE))</f>
        <v>0</v>
      </c>
      <c r="I51" s="4">
        <f>(VLOOKUP('8.0.0'!Q51,'8.0.0'!$AM$4:$AO$45,3,FALSE))</f>
        <v>0</v>
      </c>
      <c r="J51" s="4">
        <f>(VLOOKUP('8.0.0'!R51,'8.0.0'!$AM$4:$AO$45,3,FALSE))</f>
        <v>0</v>
      </c>
      <c r="K51" s="4">
        <f>(VLOOKUP('8.0.0'!S51,'8.0.0'!$AM$4:$AO$45,3,FALSE))</f>
        <v>0</v>
      </c>
      <c r="L51" s="4">
        <f>(VLOOKUP('8.0.0'!T51,'8.0.0'!$AM$4:$AO$45,3,FALSE))</f>
        <v>0</v>
      </c>
      <c r="M51" s="4">
        <f>(VLOOKUP('8.0.0'!U51,'8.0.0'!$AM$4:$AO$45,3,FALSE))</f>
        <v>0</v>
      </c>
      <c r="N51" s="4">
        <f>(VLOOKUP('8.0.0'!V51,'8.0.0'!$AM$4:$AO$45,3,FALSE))</f>
        <v>0</v>
      </c>
      <c r="O51" s="5">
        <f>(VLOOKUP('8.0.0'!W51,'8.0.0'!$AM$4:$AO$45,3,FALSE))</f>
        <v>0</v>
      </c>
      <c r="P51" s="5">
        <f>(VLOOKUP('8.0.0'!X51,'8.0.0'!$AM$4:$AO$45,3,FALSE))</f>
        <v>0</v>
      </c>
      <c r="Q51" s="4">
        <f>(VLOOKUP('8.0.0'!Y51,'8.0.0'!$AM$4:$AO$45,3,FALSE))</f>
        <v>50</v>
      </c>
      <c r="R51" s="4">
        <f>(VLOOKUP('8.0.0'!Z51,'8.0.0'!$AM$4:$AO$45,3,FALSE))</f>
        <v>50</v>
      </c>
      <c r="S51" s="4">
        <f>(VLOOKUP('8.0.0'!AA51,'8.0.0'!$AM$4:$AO$45,3,FALSE))</f>
        <v>50</v>
      </c>
      <c r="T51" s="4">
        <f>(VLOOKUP('8.0.0'!AB51,'8.0.0'!$AM$4:$AO$45,3,FALSE))</f>
        <v>50</v>
      </c>
      <c r="U51" s="4">
        <f>(VLOOKUP('8.0.0'!AC51,'8.0.0'!$AM$4:$AO$45,3,FALSE))</f>
        <v>50</v>
      </c>
      <c r="V51" s="4">
        <f>(VLOOKUP('8.0.0'!AD51,'8.0.0'!$AM$4:$AO$45,3,FALSE))</f>
        <v>0</v>
      </c>
      <c r="W51" s="5">
        <f>(VLOOKUP('8.0.0'!AE51,'8.0.0'!$AM$4:$AO$45,3,FALSE))</f>
        <v>0</v>
      </c>
      <c r="X51" s="5">
        <f>(VLOOKUP('8.0.0'!AF51,'8.0.0'!$AM$4:$AO$45,3,FALSE))</f>
        <v>0</v>
      </c>
    </row>
    <row r="52" spans="1:24">
      <c r="A52" s="4">
        <f>(VLOOKUP('8.0.0'!I52,'8.0.0'!$AM$4:$AO$45,3,FALSE))</f>
        <v>60</v>
      </c>
      <c r="B52" s="4">
        <f>(VLOOKUP('8.0.0'!J52,'8.0.0'!$AM$4:$AO$45,3,FALSE))</f>
        <v>60</v>
      </c>
      <c r="C52" s="4">
        <f>(VLOOKUP('8.0.0'!K52,'8.0.0'!$AM$4:$AO$45,3,FALSE))</f>
        <v>60</v>
      </c>
      <c r="D52" s="4">
        <f>(VLOOKUP('8.0.0'!L52,'8.0.0'!$AM$4:$AO$45,3,FALSE))</f>
        <v>60</v>
      </c>
      <c r="E52" s="4">
        <f>(VLOOKUP('8.0.0'!M52,'8.0.0'!$AM$4:$AO$45,3,FALSE))</f>
        <v>60</v>
      </c>
      <c r="F52" s="4">
        <f>(VLOOKUP('8.0.0'!N52,'8.0.0'!$AM$4:$AO$45,3,FALSE))</f>
        <v>60</v>
      </c>
      <c r="G52" s="5">
        <f>(VLOOKUP('8.0.0'!O52,'8.0.0'!$AM$4:$AO$45,3,FALSE))</f>
        <v>0</v>
      </c>
      <c r="H52" s="5">
        <f>(VLOOKUP('8.0.0'!P52,'8.0.0'!$AM$4:$AO$45,3,FALSE))</f>
        <v>0</v>
      </c>
      <c r="I52" s="4">
        <f>(VLOOKUP('8.0.0'!Q52,'8.0.0'!$AM$4:$AO$45,3,FALSE))</f>
        <v>0</v>
      </c>
      <c r="J52" s="4">
        <f>(VLOOKUP('8.0.0'!R52,'8.0.0'!$AM$4:$AO$45,3,FALSE))</f>
        <v>0</v>
      </c>
      <c r="K52" s="4">
        <f>(VLOOKUP('8.0.0'!S52,'8.0.0'!$AM$4:$AO$45,3,FALSE))</f>
        <v>0</v>
      </c>
      <c r="L52" s="4">
        <f>(VLOOKUP('8.0.0'!T52,'8.0.0'!$AM$4:$AO$45,3,FALSE))</f>
        <v>0</v>
      </c>
      <c r="M52" s="4">
        <f>(VLOOKUP('8.0.0'!U52,'8.0.0'!$AM$4:$AO$45,3,FALSE))</f>
        <v>0</v>
      </c>
      <c r="N52" s="4">
        <f>(VLOOKUP('8.0.0'!V52,'8.0.0'!$AM$4:$AO$45,3,FALSE))</f>
        <v>0</v>
      </c>
      <c r="O52" s="5">
        <f>(VLOOKUP('8.0.0'!W52,'8.0.0'!$AM$4:$AO$45,3,FALSE))</f>
        <v>0</v>
      </c>
      <c r="P52" s="5">
        <f>(VLOOKUP('8.0.0'!X52,'8.0.0'!$AM$4:$AO$45,3,FALSE))</f>
        <v>0</v>
      </c>
      <c r="Q52" s="4">
        <f>(VLOOKUP('8.0.0'!Y52,'8.0.0'!$AM$4:$AO$45,3,FALSE))</f>
        <v>50</v>
      </c>
      <c r="R52" s="4">
        <f>(VLOOKUP('8.0.0'!Z52,'8.0.0'!$AM$4:$AO$45,3,FALSE))</f>
        <v>55</v>
      </c>
      <c r="S52" s="4">
        <f>(VLOOKUP('8.0.0'!AA52,'8.0.0'!$AM$4:$AO$45,3,FALSE))</f>
        <v>55</v>
      </c>
      <c r="T52" s="4">
        <f>(VLOOKUP('8.0.0'!AB52,'8.0.0'!$AM$4:$AO$45,3,FALSE))</f>
        <v>55</v>
      </c>
      <c r="U52" s="4">
        <f>(VLOOKUP('8.0.0'!AC52,'8.0.0'!$AM$4:$AO$45,3,FALSE))</f>
        <v>0</v>
      </c>
      <c r="V52" s="4">
        <f>(VLOOKUP('8.0.0'!AD52,'8.0.0'!$AM$4:$AO$45,3,FALSE))</f>
        <v>0</v>
      </c>
      <c r="W52" s="5">
        <f>(VLOOKUP('8.0.0'!AE52,'8.0.0'!$AM$4:$AO$45,3,FALSE))</f>
        <v>0</v>
      </c>
      <c r="X52" s="5">
        <f>(VLOOKUP('8.0.0'!AF52,'8.0.0'!$AM$4:$AO$45,3,FALSE))</f>
        <v>0</v>
      </c>
    </row>
    <row r="53" spans="1:24">
      <c r="A53" s="4">
        <f>(VLOOKUP('8.0.0'!I53,'8.0.0'!$AM$4:$AO$45,3,FALSE))</f>
        <v>60</v>
      </c>
      <c r="B53" s="4">
        <f>(VLOOKUP('8.0.0'!J53,'8.0.0'!$AM$4:$AO$45,3,FALSE))</f>
        <v>60</v>
      </c>
      <c r="C53" s="4">
        <f>(VLOOKUP('8.0.0'!K53,'8.0.0'!$AM$4:$AO$45,3,FALSE))</f>
        <v>60</v>
      </c>
      <c r="D53" s="4">
        <f>(VLOOKUP('8.0.0'!L53,'8.0.0'!$AM$4:$AO$45,3,FALSE))</f>
        <v>60</v>
      </c>
      <c r="E53" s="4">
        <f>(VLOOKUP('8.0.0'!M53,'8.0.0'!$AM$4:$AO$45,3,FALSE))</f>
        <v>60</v>
      </c>
      <c r="F53" s="4">
        <f>(VLOOKUP('8.0.0'!N53,'8.0.0'!$AM$4:$AO$45,3,FALSE))</f>
        <v>60</v>
      </c>
      <c r="G53" s="5">
        <f>(VLOOKUP('8.0.0'!O53,'8.0.0'!$AM$4:$AO$45,3,FALSE))</f>
        <v>0</v>
      </c>
      <c r="H53" s="5">
        <f>(VLOOKUP('8.0.0'!P53,'8.0.0'!$AM$4:$AO$45,3,FALSE))</f>
        <v>0</v>
      </c>
      <c r="I53" s="4">
        <f>(VLOOKUP('8.0.0'!Q53,'8.0.0'!$AM$4:$AO$45,3,FALSE))</f>
        <v>0</v>
      </c>
      <c r="J53" s="4">
        <f>(VLOOKUP('8.0.0'!R53,'8.0.0'!$AM$4:$AO$45,3,FALSE))</f>
        <v>0</v>
      </c>
      <c r="K53" s="4">
        <f>(VLOOKUP('8.0.0'!S53,'8.0.0'!$AM$4:$AO$45,3,FALSE))</f>
        <v>0</v>
      </c>
      <c r="L53" s="4">
        <f>(VLOOKUP('8.0.0'!T53,'8.0.0'!$AM$4:$AO$45,3,FALSE))</f>
        <v>0</v>
      </c>
      <c r="M53" s="4">
        <f>(VLOOKUP('8.0.0'!U53,'8.0.0'!$AM$4:$AO$45,3,FALSE))</f>
        <v>0</v>
      </c>
      <c r="N53" s="4">
        <f>(VLOOKUP('8.0.0'!V53,'8.0.0'!$AM$4:$AO$45,3,FALSE))</f>
        <v>0</v>
      </c>
      <c r="O53" s="5">
        <f>(VLOOKUP('8.0.0'!W53,'8.0.0'!$AM$4:$AO$45,3,FALSE))</f>
        <v>0</v>
      </c>
      <c r="P53" s="5">
        <f>(VLOOKUP('8.0.0'!X53,'8.0.0'!$AM$4:$AO$45,3,FALSE))</f>
        <v>0</v>
      </c>
      <c r="Q53" s="4">
        <f>(VLOOKUP('8.0.0'!Y53,'8.0.0'!$AM$4:$AO$45,3,FALSE))</f>
        <v>55</v>
      </c>
      <c r="R53" s="4">
        <f>(VLOOKUP('8.0.0'!Z53,'8.0.0'!$AM$4:$AO$45,3,FALSE))</f>
        <v>55</v>
      </c>
      <c r="S53" s="4">
        <f>(VLOOKUP('8.0.0'!AA53,'8.0.0'!$AM$4:$AO$45,3,FALSE))</f>
        <v>55</v>
      </c>
      <c r="T53" s="4">
        <f>(VLOOKUP('8.0.0'!AB53,'8.0.0'!$AM$4:$AO$45,3,FALSE))</f>
        <v>0</v>
      </c>
      <c r="U53" s="4">
        <f>(VLOOKUP('8.0.0'!AC53,'8.0.0'!$AM$4:$AO$45,3,FALSE))</f>
        <v>55</v>
      </c>
      <c r="V53" s="4">
        <f>(VLOOKUP('8.0.0'!AD53,'8.0.0'!$AM$4:$AO$45,3,FALSE))</f>
        <v>55</v>
      </c>
      <c r="W53" s="5">
        <f>(VLOOKUP('8.0.0'!AE53,'8.0.0'!$AM$4:$AO$45,3,FALSE))</f>
        <v>0</v>
      </c>
      <c r="X53" s="5">
        <f>(VLOOKUP('8.0.0'!AF53,'8.0.0'!$AM$4:$AO$45,3,FALSE))</f>
        <v>0</v>
      </c>
    </row>
    <row r="54" spans="1:24">
      <c r="A54" s="4">
        <f>(VLOOKUP('8.0.0'!I54,'8.0.0'!$AM$4:$AO$45,3,FALSE))</f>
        <v>60</v>
      </c>
      <c r="B54" s="4">
        <f>(VLOOKUP('8.0.0'!J54,'8.0.0'!$AM$4:$AO$45,3,FALSE))</f>
        <v>60</v>
      </c>
      <c r="C54" s="4">
        <f>(VLOOKUP('8.0.0'!K54,'8.0.0'!$AM$4:$AO$45,3,FALSE))</f>
        <v>60</v>
      </c>
      <c r="D54" s="4">
        <f>(VLOOKUP('8.0.0'!L54,'8.0.0'!$AM$4:$AO$45,3,FALSE))</f>
        <v>60</v>
      </c>
      <c r="E54" s="4">
        <f>(VLOOKUP('8.0.0'!M54,'8.0.0'!$AM$4:$AO$45,3,FALSE))</f>
        <v>60</v>
      </c>
      <c r="F54" s="4">
        <f>(VLOOKUP('8.0.0'!N54,'8.0.0'!$AM$4:$AO$45,3,FALSE))</f>
        <v>60</v>
      </c>
      <c r="G54" s="5">
        <f>(VLOOKUP('8.0.0'!O54,'8.0.0'!$AM$4:$AO$45,3,FALSE))</f>
        <v>0</v>
      </c>
      <c r="H54" s="5">
        <f>(VLOOKUP('8.0.0'!P54,'8.0.0'!$AM$4:$AO$45,3,FALSE))</f>
        <v>0</v>
      </c>
      <c r="I54" s="4">
        <f>(VLOOKUP('8.0.0'!Q54,'8.0.0'!$AM$4:$AO$45,3,FALSE))</f>
        <v>0</v>
      </c>
      <c r="J54" s="4">
        <f>(VLOOKUP('8.0.0'!R54,'8.0.0'!$AM$4:$AO$45,3,FALSE))</f>
        <v>0</v>
      </c>
      <c r="K54" s="4">
        <f>(VLOOKUP('8.0.0'!S54,'8.0.0'!$AM$4:$AO$45,3,FALSE))</f>
        <v>0</v>
      </c>
      <c r="L54" s="4">
        <f>(VLOOKUP('8.0.0'!T54,'8.0.0'!$AM$4:$AO$45,3,FALSE))</f>
        <v>0</v>
      </c>
      <c r="M54" s="4">
        <f>(VLOOKUP('8.0.0'!U54,'8.0.0'!$AM$4:$AO$45,3,FALSE))</f>
        <v>0</v>
      </c>
      <c r="N54" s="4">
        <f>(VLOOKUP('8.0.0'!V54,'8.0.0'!$AM$4:$AO$45,3,FALSE))</f>
        <v>0</v>
      </c>
      <c r="O54" s="5">
        <f>(VLOOKUP('8.0.0'!W54,'8.0.0'!$AM$4:$AO$45,3,FALSE))</f>
        <v>0</v>
      </c>
      <c r="P54" s="5">
        <f>(VLOOKUP('8.0.0'!X54,'8.0.0'!$AM$4:$AO$45,3,FALSE))</f>
        <v>0</v>
      </c>
      <c r="Q54" s="4">
        <f>(VLOOKUP('8.0.0'!Y54,'8.0.0'!$AM$4:$AO$45,3,FALSE))</f>
        <v>55</v>
      </c>
      <c r="R54" s="4">
        <f>(VLOOKUP('8.0.0'!Z54,'8.0.0'!$AM$4:$AO$45,3,FALSE))</f>
        <v>55</v>
      </c>
      <c r="S54" s="4">
        <f>(VLOOKUP('8.0.0'!AA54,'8.0.0'!$AM$4:$AO$45,3,FALSE))</f>
        <v>55</v>
      </c>
      <c r="T54" s="4">
        <f>(VLOOKUP('8.0.0'!AB54,'8.0.0'!$AM$4:$AO$45,3,FALSE))</f>
        <v>55</v>
      </c>
      <c r="U54" s="4">
        <f>(VLOOKUP('8.0.0'!AC54,'8.0.0'!$AM$4:$AO$45,3,FALSE))</f>
        <v>55</v>
      </c>
      <c r="V54" s="4">
        <f>(VLOOKUP('8.0.0'!AD54,'8.0.0'!$AM$4:$AO$45,3,FALSE))</f>
        <v>0</v>
      </c>
      <c r="W54" s="5">
        <f>(VLOOKUP('8.0.0'!AE54,'8.0.0'!$AM$4:$AO$45,3,FALSE))</f>
        <v>0</v>
      </c>
      <c r="X54" s="5">
        <f>(VLOOKUP('8.0.0'!AF54,'8.0.0'!$AM$4:$AO$45,3,FALSE))</f>
        <v>0</v>
      </c>
    </row>
    <row r="55" spans="1:24">
      <c r="A55" s="4">
        <f>(VLOOKUP('8.0.0'!I55,'8.0.0'!$AM$4:$AO$45,3,FALSE))</f>
        <v>60</v>
      </c>
      <c r="B55" s="4">
        <f>(VLOOKUP('8.0.0'!J55,'8.0.0'!$AM$4:$AO$45,3,FALSE))</f>
        <v>60</v>
      </c>
      <c r="C55" s="4">
        <f>(VLOOKUP('8.0.0'!K55,'8.0.0'!$AM$4:$AO$45,3,FALSE))</f>
        <v>60</v>
      </c>
      <c r="D55" s="4">
        <f>(VLOOKUP('8.0.0'!L55,'8.0.0'!$AM$4:$AO$45,3,FALSE))</f>
        <v>60</v>
      </c>
      <c r="E55" s="4">
        <f>(VLOOKUP('8.0.0'!M55,'8.0.0'!$AM$4:$AO$45,3,FALSE))</f>
        <v>60</v>
      </c>
      <c r="F55" s="4">
        <f>(VLOOKUP('8.0.0'!N55,'8.0.0'!$AM$4:$AO$45,3,FALSE))</f>
        <v>60</v>
      </c>
      <c r="G55" s="5">
        <f>(VLOOKUP('8.0.0'!O55,'8.0.0'!$AM$4:$AO$45,3,FALSE))</f>
        <v>0</v>
      </c>
      <c r="H55" s="5">
        <f>(VLOOKUP('8.0.0'!P55,'8.0.0'!$AM$4:$AO$45,3,FALSE))</f>
        <v>0</v>
      </c>
      <c r="I55" s="4">
        <f>(VLOOKUP('8.0.0'!Q55,'8.0.0'!$AM$4:$AO$45,3,FALSE))</f>
        <v>0</v>
      </c>
      <c r="J55" s="4">
        <f>(VLOOKUP('8.0.0'!R55,'8.0.0'!$AM$4:$AO$45,3,FALSE))</f>
        <v>0</v>
      </c>
      <c r="K55" s="4">
        <f>(VLOOKUP('8.0.0'!S55,'8.0.0'!$AM$4:$AO$45,3,FALSE))</f>
        <v>0</v>
      </c>
      <c r="L55" s="4">
        <f>(VLOOKUP('8.0.0'!T55,'8.0.0'!$AM$4:$AO$45,3,FALSE))</f>
        <v>0</v>
      </c>
      <c r="M55" s="4">
        <f>(VLOOKUP('8.0.0'!U55,'8.0.0'!$AM$4:$AO$45,3,FALSE))</f>
        <v>0</v>
      </c>
      <c r="N55" s="4">
        <f>(VLOOKUP('8.0.0'!V55,'8.0.0'!$AM$4:$AO$45,3,FALSE))</f>
        <v>0</v>
      </c>
      <c r="O55" s="5">
        <f>(VLOOKUP('8.0.0'!W55,'8.0.0'!$AM$4:$AO$45,3,FALSE))</f>
        <v>0</v>
      </c>
      <c r="P55" s="5">
        <f>(VLOOKUP('8.0.0'!X55,'8.0.0'!$AM$4:$AO$45,3,FALSE))</f>
        <v>0</v>
      </c>
      <c r="Q55" s="4">
        <f>(VLOOKUP('8.0.0'!Y55,'8.0.0'!$AM$4:$AO$45,3,FALSE))</f>
        <v>55</v>
      </c>
      <c r="R55" s="4">
        <f>(VLOOKUP('8.0.0'!Z55,'8.0.0'!$AM$4:$AO$45,3,FALSE))</f>
        <v>55</v>
      </c>
      <c r="S55" s="4">
        <f>(VLOOKUP('8.0.0'!AA55,'8.0.0'!$AM$4:$AO$45,3,FALSE))</f>
        <v>55</v>
      </c>
      <c r="T55" s="4">
        <f>(VLOOKUP('8.0.0'!AB55,'8.0.0'!$AM$4:$AO$45,3,FALSE))</f>
        <v>55</v>
      </c>
      <c r="U55" s="4">
        <f>(VLOOKUP('8.0.0'!AC55,'8.0.0'!$AM$4:$AO$45,3,FALSE))</f>
        <v>0</v>
      </c>
      <c r="V55" s="4">
        <f>(VLOOKUP('8.0.0'!AD55,'8.0.0'!$AM$4:$AO$45,3,FALSE))</f>
        <v>0</v>
      </c>
      <c r="W55" s="5">
        <f>(VLOOKUP('8.0.0'!AE55,'8.0.0'!$AM$4:$AO$45,3,FALSE))</f>
        <v>0</v>
      </c>
      <c r="X55" s="5">
        <f>(VLOOKUP('8.0.0'!AF55,'8.0.0'!$AM$4:$AO$45,3,FALSE))</f>
        <v>0</v>
      </c>
    </row>
    <row r="56" spans="1:24">
      <c r="A56" s="4">
        <f>(VLOOKUP('8.0.0'!I56,'8.0.0'!$AM$4:$AO$45,3,FALSE))</f>
        <v>60</v>
      </c>
      <c r="B56" s="4">
        <f>(VLOOKUP('8.0.0'!J56,'8.0.0'!$AM$4:$AO$45,3,FALSE))</f>
        <v>60</v>
      </c>
      <c r="C56" s="4">
        <f>(VLOOKUP('8.0.0'!K56,'8.0.0'!$AM$4:$AO$45,3,FALSE))</f>
        <v>60</v>
      </c>
      <c r="D56" s="4">
        <f>(VLOOKUP('8.0.0'!L56,'8.0.0'!$AM$4:$AO$45,3,FALSE))</f>
        <v>60</v>
      </c>
      <c r="E56" s="4">
        <f>(VLOOKUP('8.0.0'!M56,'8.0.0'!$AM$4:$AO$45,3,FALSE))</f>
        <v>60</v>
      </c>
      <c r="F56" s="4">
        <f>(VLOOKUP('8.0.0'!N56,'8.0.0'!$AM$4:$AO$45,3,FALSE))</f>
        <v>60</v>
      </c>
      <c r="G56" s="5">
        <f>(VLOOKUP('8.0.0'!O56,'8.0.0'!$AM$4:$AO$45,3,FALSE))</f>
        <v>0</v>
      </c>
      <c r="H56" s="5">
        <f>(VLOOKUP('8.0.0'!P56,'8.0.0'!$AM$4:$AO$45,3,FALSE))</f>
        <v>0</v>
      </c>
      <c r="I56" s="4">
        <f>(VLOOKUP('8.0.0'!Q56,'8.0.0'!$AM$4:$AO$45,3,FALSE))</f>
        <v>0</v>
      </c>
      <c r="J56" s="4">
        <f>(VLOOKUP('8.0.0'!R56,'8.0.0'!$AM$4:$AO$45,3,FALSE))</f>
        <v>0</v>
      </c>
      <c r="K56" s="4">
        <f>(VLOOKUP('8.0.0'!S56,'8.0.0'!$AM$4:$AO$45,3,FALSE))</f>
        <v>0</v>
      </c>
      <c r="L56" s="4">
        <f>(VLOOKUP('8.0.0'!T56,'8.0.0'!$AM$4:$AO$45,3,FALSE))</f>
        <v>0</v>
      </c>
      <c r="M56" s="4">
        <f>(VLOOKUP('8.0.0'!U56,'8.0.0'!$AM$4:$AO$45,3,FALSE))</f>
        <v>0</v>
      </c>
      <c r="N56" s="4">
        <f>(VLOOKUP('8.0.0'!V56,'8.0.0'!$AM$4:$AO$45,3,FALSE))</f>
        <v>0</v>
      </c>
      <c r="O56" s="5">
        <f>(VLOOKUP('8.0.0'!W56,'8.0.0'!$AM$4:$AO$45,3,FALSE))</f>
        <v>0</v>
      </c>
      <c r="P56" s="5">
        <f>(VLOOKUP('8.0.0'!X56,'8.0.0'!$AM$4:$AO$45,3,FALSE))</f>
        <v>0</v>
      </c>
      <c r="Q56" s="4">
        <f>(VLOOKUP('8.0.0'!Y56,'8.0.0'!$AM$4:$AO$45,3,FALSE))</f>
        <v>55</v>
      </c>
      <c r="R56" s="4">
        <f>(VLOOKUP('8.0.0'!Z56,'8.0.0'!$AM$4:$AO$45,3,FALSE))</f>
        <v>30</v>
      </c>
      <c r="S56" s="4">
        <f>(VLOOKUP('8.0.0'!AA56,'8.0.0'!$AM$4:$AO$45,3,FALSE))</f>
        <v>55</v>
      </c>
      <c r="T56" s="4">
        <f>(VLOOKUP('8.0.0'!AB56,'8.0.0'!$AM$4:$AO$45,3,FALSE))</f>
        <v>55</v>
      </c>
      <c r="U56" s="4">
        <f>(VLOOKUP('8.0.0'!AC56,'8.0.0'!$AM$4:$AO$45,3,FALSE))</f>
        <v>55</v>
      </c>
      <c r="V56" s="4">
        <f>(VLOOKUP('8.0.0'!AD56,'8.0.0'!$AM$4:$AO$45,3,FALSE))</f>
        <v>0</v>
      </c>
      <c r="W56" s="5">
        <f>(VLOOKUP('8.0.0'!AE56,'8.0.0'!$AM$4:$AO$45,3,FALSE))</f>
        <v>0</v>
      </c>
      <c r="X56" s="5">
        <f>(VLOOKUP('8.0.0'!AF56,'8.0.0'!$AM$4:$AO$45,3,FALSE))</f>
        <v>0</v>
      </c>
    </row>
    <row r="57" spans="1:24">
      <c r="A57" s="4">
        <f>(VLOOKUP('8.0.0'!I57,'8.0.0'!$AM$4:$AO$45,3,FALSE))</f>
        <v>60</v>
      </c>
      <c r="B57" s="4">
        <f>(VLOOKUP('8.0.0'!J57,'8.0.0'!$AM$4:$AO$45,3,FALSE))</f>
        <v>60</v>
      </c>
      <c r="C57" s="4">
        <f>(VLOOKUP('8.0.0'!K57,'8.0.0'!$AM$4:$AO$45,3,FALSE))</f>
        <v>60</v>
      </c>
      <c r="D57" s="4">
        <f>(VLOOKUP('8.0.0'!L57,'8.0.0'!$AM$4:$AO$45,3,FALSE))</f>
        <v>60</v>
      </c>
      <c r="E57" s="4">
        <f>(VLOOKUP('8.0.0'!M57,'8.0.0'!$AM$4:$AO$45,3,FALSE))</f>
        <v>60</v>
      </c>
      <c r="F57" s="4">
        <f>(VLOOKUP('8.0.0'!N57,'8.0.0'!$AM$4:$AO$45,3,FALSE))</f>
        <v>60</v>
      </c>
      <c r="G57" s="5">
        <f>(VLOOKUP('8.0.0'!O57,'8.0.0'!$AM$4:$AO$45,3,FALSE))</f>
        <v>0</v>
      </c>
      <c r="H57" s="5">
        <f>(VLOOKUP('8.0.0'!P57,'8.0.0'!$AM$4:$AO$45,3,FALSE))</f>
        <v>0</v>
      </c>
      <c r="I57" s="4">
        <f>(VLOOKUP('8.0.0'!Q57,'8.0.0'!$AM$4:$AO$45,3,FALSE))</f>
        <v>0</v>
      </c>
      <c r="J57" s="4">
        <f>(VLOOKUP('8.0.0'!R57,'8.0.0'!$AM$4:$AO$45,3,FALSE))</f>
        <v>0</v>
      </c>
      <c r="K57" s="4">
        <f>(VLOOKUP('8.0.0'!S57,'8.0.0'!$AM$4:$AO$45,3,FALSE))</f>
        <v>0</v>
      </c>
      <c r="L57" s="4">
        <f>(VLOOKUP('8.0.0'!T57,'8.0.0'!$AM$4:$AO$45,3,FALSE))</f>
        <v>0</v>
      </c>
      <c r="M57" s="4">
        <f>(VLOOKUP('8.0.0'!U57,'8.0.0'!$AM$4:$AO$45,3,FALSE))</f>
        <v>0</v>
      </c>
      <c r="N57" s="4">
        <f>(VLOOKUP('8.0.0'!V57,'8.0.0'!$AM$4:$AO$45,3,FALSE))</f>
        <v>0</v>
      </c>
      <c r="O57" s="5">
        <f>(VLOOKUP('8.0.0'!W57,'8.0.0'!$AM$4:$AO$45,3,FALSE))</f>
        <v>0</v>
      </c>
      <c r="P57" s="5">
        <f>(VLOOKUP('8.0.0'!X57,'8.0.0'!$AM$4:$AO$45,3,FALSE))</f>
        <v>0</v>
      </c>
      <c r="Q57" s="4">
        <f>(VLOOKUP('8.0.0'!Y57,'8.0.0'!$AM$4:$AO$45,3,FALSE))</f>
        <v>55</v>
      </c>
      <c r="R57" s="4">
        <f>(VLOOKUP('8.0.0'!Z57,'8.0.0'!$AM$4:$AO$45,3,FALSE))</f>
        <v>55</v>
      </c>
      <c r="S57" s="4">
        <f>(VLOOKUP('8.0.0'!AA57,'8.0.0'!$AM$4:$AO$45,3,FALSE))</f>
        <v>55</v>
      </c>
      <c r="T57" s="4">
        <f>(VLOOKUP('8.0.0'!AB57,'8.0.0'!$AM$4:$AO$45,3,FALSE))</f>
        <v>55</v>
      </c>
      <c r="U57" s="4">
        <f>(VLOOKUP('8.0.0'!AC57,'8.0.0'!$AM$4:$AO$45,3,FALSE))</f>
        <v>0</v>
      </c>
      <c r="V57" s="4">
        <f>(VLOOKUP('8.0.0'!AD57,'8.0.0'!$AM$4:$AO$45,3,FALSE))</f>
        <v>0</v>
      </c>
      <c r="W57" s="5">
        <f>(VLOOKUP('8.0.0'!AE57,'8.0.0'!$AM$4:$AO$45,3,FALSE))</f>
        <v>0</v>
      </c>
      <c r="X57" s="5">
        <f>(VLOOKUP('8.0.0'!AF57,'8.0.0'!$AM$4:$AO$45,3,FALSE))</f>
        <v>0</v>
      </c>
    </row>
    <row r="58" spans="1:24">
      <c r="A58" s="4">
        <f>(VLOOKUP('8.0.0'!I58,'8.0.0'!$AM$4:$AO$45,3,FALSE))</f>
        <v>60</v>
      </c>
      <c r="B58" s="4">
        <f>(VLOOKUP('8.0.0'!J58,'8.0.0'!$AM$4:$AO$45,3,FALSE))</f>
        <v>60</v>
      </c>
      <c r="C58" s="4">
        <f>(VLOOKUP('8.0.0'!K58,'8.0.0'!$AM$4:$AO$45,3,FALSE))</f>
        <v>60</v>
      </c>
      <c r="D58" s="4">
        <f>(VLOOKUP('8.0.0'!L58,'8.0.0'!$AM$4:$AO$45,3,FALSE))</f>
        <v>60</v>
      </c>
      <c r="E58" s="4">
        <f>(VLOOKUP('8.0.0'!M58,'8.0.0'!$AM$4:$AO$45,3,FALSE))</f>
        <v>60</v>
      </c>
      <c r="F58" s="4">
        <f>(VLOOKUP('8.0.0'!N58,'8.0.0'!$AM$4:$AO$45,3,FALSE))</f>
        <v>60</v>
      </c>
      <c r="G58" s="5">
        <f>(VLOOKUP('8.0.0'!O58,'8.0.0'!$AM$4:$AO$45,3,FALSE))</f>
        <v>0</v>
      </c>
      <c r="H58" s="5">
        <f>(VLOOKUP('8.0.0'!P58,'8.0.0'!$AM$4:$AO$45,3,FALSE))</f>
        <v>0</v>
      </c>
      <c r="I58" s="4">
        <f>(VLOOKUP('8.0.0'!Q58,'8.0.0'!$AM$4:$AO$45,3,FALSE))</f>
        <v>0</v>
      </c>
      <c r="J58" s="4">
        <f>(VLOOKUP('8.0.0'!R58,'8.0.0'!$AM$4:$AO$45,3,FALSE))</f>
        <v>0</v>
      </c>
      <c r="K58" s="4">
        <f>(VLOOKUP('8.0.0'!S58,'8.0.0'!$AM$4:$AO$45,3,FALSE))</f>
        <v>0</v>
      </c>
      <c r="L58" s="4">
        <f>(VLOOKUP('8.0.0'!T58,'8.0.0'!$AM$4:$AO$45,3,FALSE))</f>
        <v>0</v>
      </c>
      <c r="M58" s="4">
        <f>(VLOOKUP('8.0.0'!U58,'8.0.0'!$AM$4:$AO$45,3,FALSE))</f>
        <v>0</v>
      </c>
      <c r="N58" s="4">
        <f>(VLOOKUP('8.0.0'!V58,'8.0.0'!$AM$4:$AO$45,3,FALSE))</f>
        <v>0</v>
      </c>
      <c r="O58" s="5">
        <f>(VLOOKUP('8.0.0'!W58,'8.0.0'!$AM$4:$AO$45,3,FALSE))</f>
        <v>0</v>
      </c>
      <c r="P58" s="5">
        <f>(VLOOKUP('8.0.0'!X58,'8.0.0'!$AM$4:$AO$45,3,FALSE))</f>
        <v>0</v>
      </c>
      <c r="Q58" s="4">
        <f>(VLOOKUP('8.0.0'!Y58,'8.0.0'!$AM$4:$AO$45,3,FALSE))</f>
        <v>55</v>
      </c>
      <c r="R58" s="4">
        <f>(VLOOKUP('8.0.0'!Z58,'8.0.0'!$AM$4:$AO$45,3,FALSE))</f>
        <v>500</v>
      </c>
      <c r="S58" s="4">
        <f>(VLOOKUP('8.0.0'!AA58,'8.0.0'!$AM$4:$AO$45,3,FALSE))</f>
        <v>55</v>
      </c>
      <c r="T58" s="4">
        <f>(VLOOKUP('8.0.0'!AB58,'8.0.0'!$AM$4:$AO$45,3,FALSE))</f>
        <v>55</v>
      </c>
      <c r="U58" s="4">
        <f>(VLOOKUP('8.0.0'!AC58,'8.0.0'!$AM$4:$AO$45,3,FALSE))</f>
        <v>0</v>
      </c>
      <c r="V58" s="4">
        <f>(VLOOKUP('8.0.0'!AD58,'8.0.0'!$AM$4:$AO$45,3,FALSE))</f>
        <v>0</v>
      </c>
      <c r="W58" s="5">
        <f>(VLOOKUP('8.0.0'!AE58,'8.0.0'!$AM$4:$AO$45,3,FALSE))</f>
        <v>0</v>
      </c>
      <c r="X58" s="5">
        <f>(VLOOKUP('8.0.0'!AF58,'8.0.0'!$AM$4:$AO$45,3,FALSE))</f>
        <v>0</v>
      </c>
    </row>
    <row r="59" spans="1:24">
      <c r="A59" s="4">
        <f>(VLOOKUP('8.0.0'!I59,'8.0.0'!$AM$4:$AO$45,3,FALSE))</f>
        <v>60</v>
      </c>
      <c r="B59" s="4">
        <f>(VLOOKUP('8.0.0'!J59,'8.0.0'!$AM$4:$AO$45,3,FALSE))</f>
        <v>60</v>
      </c>
      <c r="C59" s="4">
        <f>(VLOOKUP('8.0.0'!K59,'8.0.0'!$AM$4:$AO$45,3,FALSE))</f>
        <v>60</v>
      </c>
      <c r="D59" s="4">
        <f>(VLOOKUP('8.0.0'!L59,'8.0.0'!$AM$4:$AO$45,3,FALSE))</f>
        <v>60</v>
      </c>
      <c r="E59" s="4">
        <f>(VLOOKUP('8.0.0'!M59,'8.0.0'!$AM$4:$AO$45,3,FALSE))</f>
        <v>60</v>
      </c>
      <c r="F59" s="4">
        <f>(VLOOKUP('8.0.0'!N59,'8.0.0'!$AM$4:$AO$45,3,FALSE))</f>
        <v>60</v>
      </c>
      <c r="G59" s="5">
        <f>(VLOOKUP('8.0.0'!O59,'8.0.0'!$AM$4:$AO$45,3,FALSE))</f>
        <v>0</v>
      </c>
      <c r="H59" s="5">
        <f>(VLOOKUP('8.0.0'!P59,'8.0.0'!$AM$4:$AO$45,3,FALSE))</f>
        <v>0</v>
      </c>
      <c r="I59" s="4">
        <f>(VLOOKUP('8.0.0'!Q59,'8.0.0'!$AM$4:$AO$45,3,FALSE))</f>
        <v>0</v>
      </c>
      <c r="J59" s="4">
        <f>(VLOOKUP('8.0.0'!R59,'8.0.0'!$AM$4:$AO$45,3,FALSE))</f>
        <v>0</v>
      </c>
      <c r="K59" s="4">
        <f>(VLOOKUP('8.0.0'!S59,'8.0.0'!$AM$4:$AO$45,3,FALSE))</f>
        <v>0</v>
      </c>
      <c r="L59" s="4">
        <f>(VLOOKUP('8.0.0'!T59,'8.0.0'!$AM$4:$AO$45,3,FALSE))</f>
        <v>0</v>
      </c>
      <c r="M59" s="4">
        <f>(VLOOKUP('8.0.0'!U59,'8.0.0'!$AM$4:$AO$45,3,FALSE))</f>
        <v>0</v>
      </c>
      <c r="N59" s="4">
        <f>(VLOOKUP('8.0.0'!V59,'8.0.0'!$AM$4:$AO$45,3,FALSE))</f>
        <v>0</v>
      </c>
      <c r="O59" s="5">
        <f>(VLOOKUP('8.0.0'!W59,'8.0.0'!$AM$4:$AO$45,3,FALSE))</f>
        <v>0</v>
      </c>
      <c r="P59" s="5">
        <f>(VLOOKUP('8.0.0'!X59,'8.0.0'!$AM$4:$AO$45,3,FALSE))</f>
        <v>0</v>
      </c>
      <c r="Q59" s="4">
        <f>(VLOOKUP('8.0.0'!Y59,'8.0.0'!$AM$4:$AO$45,3,FALSE))</f>
        <v>55</v>
      </c>
      <c r="R59" s="4">
        <f>(VLOOKUP('8.0.0'!Z59,'8.0.0'!$AM$4:$AO$45,3,FALSE))</f>
        <v>55</v>
      </c>
      <c r="S59" s="4">
        <f>(VLOOKUP('8.0.0'!AA59,'8.0.0'!$AM$4:$AO$45,3,FALSE))</f>
        <v>55</v>
      </c>
      <c r="T59" s="4">
        <f>(VLOOKUP('8.0.0'!AB59,'8.0.0'!$AM$4:$AO$45,3,FALSE))</f>
        <v>55</v>
      </c>
      <c r="U59" s="4">
        <f>(VLOOKUP('8.0.0'!AC59,'8.0.0'!$AM$4:$AO$45,3,FALSE))</f>
        <v>0</v>
      </c>
      <c r="V59" s="4">
        <f>(VLOOKUP('8.0.0'!AD59,'8.0.0'!$AM$4:$AO$45,3,FALSE))</f>
        <v>0</v>
      </c>
      <c r="W59" s="5">
        <f>(VLOOKUP('8.0.0'!AE59,'8.0.0'!$AM$4:$AO$45,3,FALSE))</f>
        <v>0</v>
      </c>
      <c r="X59" s="5">
        <f>(VLOOKUP('8.0.0'!AF59,'8.0.0'!$AM$4:$AO$45,3,FALSE))</f>
        <v>0</v>
      </c>
    </row>
    <row r="60" spans="1:24">
      <c r="A60" s="4">
        <f>(VLOOKUP('8.0.0'!I60,'8.0.0'!$AM$4:$AO$45,3,FALSE))</f>
        <v>60</v>
      </c>
      <c r="B60" s="4">
        <f>(VLOOKUP('8.0.0'!J60,'8.0.0'!$AM$4:$AO$45,3,FALSE))</f>
        <v>60</v>
      </c>
      <c r="C60" s="4">
        <f>(VLOOKUP('8.0.0'!K60,'8.0.0'!$AM$4:$AO$45,3,FALSE))</f>
        <v>1000</v>
      </c>
      <c r="D60" s="4">
        <f>(VLOOKUP('8.0.0'!L60,'8.0.0'!$AM$4:$AO$45,3,FALSE))</f>
        <v>60</v>
      </c>
      <c r="E60" s="4">
        <f>(VLOOKUP('8.0.0'!M60,'8.0.0'!$AM$4:$AO$45,3,FALSE))</f>
        <v>60</v>
      </c>
      <c r="F60" s="4">
        <f>(VLOOKUP('8.0.0'!N60,'8.0.0'!$AM$4:$AO$45,3,FALSE))</f>
        <v>60</v>
      </c>
      <c r="G60" s="5">
        <f>(VLOOKUP('8.0.0'!O60,'8.0.0'!$AM$4:$AO$45,3,FALSE))</f>
        <v>0</v>
      </c>
      <c r="H60" s="5">
        <f>(VLOOKUP('8.0.0'!P60,'8.0.0'!$AM$4:$AO$45,3,FALSE))</f>
        <v>0</v>
      </c>
      <c r="I60" s="4">
        <f>(VLOOKUP('8.0.0'!Q60,'8.0.0'!$AM$4:$AO$45,3,FALSE))</f>
        <v>0</v>
      </c>
      <c r="J60" s="4">
        <f>(VLOOKUP('8.0.0'!R60,'8.0.0'!$AM$4:$AO$45,3,FALSE))</f>
        <v>0</v>
      </c>
      <c r="K60" s="4">
        <f>(VLOOKUP('8.0.0'!S60,'8.0.0'!$AM$4:$AO$45,3,FALSE))</f>
        <v>0</v>
      </c>
      <c r="L60" s="4">
        <f>(VLOOKUP('8.0.0'!T60,'8.0.0'!$AM$4:$AO$45,3,FALSE))</f>
        <v>0</v>
      </c>
      <c r="M60" s="4">
        <f>(VLOOKUP('8.0.0'!U60,'8.0.0'!$AM$4:$AO$45,3,FALSE))</f>
        <v>0</v>
      </c>
      <c r="N60" s="4">
        <f>(VLOOKUP('8.0.0'!V60,'8.0.0'!$AM$4:$AO$45,3,FALSE))</f>
        <v>0</v>
      </c>
      <c r="O60" s="5">
        <f>(VLOOKUP('8.0.0'!W60,'8.0.0'!$AM$4:$AO$45,3,FALSE))</f>
        <v>0</v>
      </c>
      <c r="P60" s="5">
        <f>(VLOOKUP('8.0.0'!X60,'8.0.0'!$AM$4:$AO$45,3,FALSE))</f>
        <v>0</v>
      </c>
      <c r="Q60" s="4">
        <f>(VLOOKUP('8.0.0'!Y60,'8.0.0'!$AM$4:$AO$45,3,FALSE))</f>
        <v>55</v>
      </c>
      <c r="R60" s="4">
        <f>(VLOOKUP('8.0.0'!Z60,'8.0.0'!$AM$4:$AO$45,3,FALSE))</f>
        <v>55</v>
      </c>
      <c r="S60" s="4">
        <f>(VLOOKUP('8.0.0'!AA60,'8.0.0'!$AM$4:$AO$45,3,FALSE))</f>
        <v>55</v>
      </c>
      <c r="T60" s="4">
        <f>(VLOOKUP('8.0.0'!AB60,'8.0.0'!$AM$4:$AO$45,3,FALSE))</f>
        <v>30</v>
      </c>
      <c r="U60" s="4">
        <f>(VLOOKUP('8.0.0'!AC60,'8.0.0'!$AM$4:$AO$45,3,FALSE))</f>
        <v>55</v>
      </c>
      <c r="V60" s="4">
        <f>(VLOOKUP('8.0.0'!AD60,'8.0.0'!$AM$4:$AO$45,3,FALSE))</f>
        <v>0</v>
      </c>
      <c r="W60" s="5">
        <f>(VLOOKUP('8.0.0'!AE60,'8.0.0'!$AM$4:$AO$45,3,FALSE))</f>
        <v>0</v>
      </c>
      <c r="X60" s="5">
        <f>(VLOOKUP('8.0.0'!AF60,'8.0.0'!$AM$4:$AO$45,3,FALSE))</f>
        <v>0</v>
      </c>
    </row>
    <row r="61" spans="1:24">
      <c r="A61" s="4">
        <f>(VLOOKUP('8.0.0'!I61,'8.0.0'!$AM$4:$AO$45,3,FALSE))</f>
        <v>60</v>
      </c>
      <c r="B61" s="4">
        <f>(VLOOKUP('8.0.0'!J61,'8.0.0'!$AM$4:$AO$45,3,FALSE))</f>
        <v>60</v>
      </c>
      <c r="C61" s="4">
        <f>(VLOOKUP('8.0.0'!K61,'8.0.0'!$AM$4:$AO$45,3,FALSE))</f>
        <v>60</v>
      </c>
      <c r="D61" s="4">
        <f>(VLOOKUP('8.0.0'!L61,'8.0.0'!$AM$4:$AO$45,3,FALSE))</f>
        <v>60</v>
      </c>
      <c r="E61" s="4">
        <f>(VLOOKUP('8.0.0'!M61,'8.0.0'!$AM$4:$AO$45,3,FALSE))</f>
        <v>60</v>
      </c>
      <c r="F61" s="4">
        <f>(VLOOKUP('8.0.0'!N61,'8.0.0'!$AM$4:$AO$45,3,FALSE))</f>
        <v>60</v>
      </c>
      <c r="G61" s="5">
        <f>(VLOOKUP('8.0.0'!O61,'8.0.0'!$AM$4:$AO$45,3,FALSE))</f>
        <v>0</v>
      </c>
      <c r="H61" s="5">
        <f>(VLOOKUP('8.0.0'!P61,'8.0.0'!$AM$4:$AO$45,3,FALSE))</f>
        <v>0</v>
      </c>
      <c r="I61" s="4">
        <f>(VLOOKUP('8.0.0'!Q61,'8.0.0'!$AM$4:$AO$45,3,FALSE))</f>
        <v>0</v>
      </c>
      <c r="J61" s="4">
        <f>(VLOOKUP('8.0.0'!R61,'8.0.0'!$AM$4:$AO$45,3,FALSE))</f>
        <v>0</v>
      </c>
      <c r="K61" s="4">
        <f>(VLOOKUP('8.0.0'!S61,'8.0.0'!$AM$4:$AO$45,3,FALSE))</f>
        <v>0</v>
      </c>
      <c r="L61" s="4">
        <f>(VLOOKUP('8.0.0'!T61,'8.0.0'!$AM$4:$AO$45,3,FALSE))</f>
        <v>0</v>
      </c>
      <c r="M61" s="4">
        <f>(VLOOKUP('8.0.0'!U61,'8.0.0'!$AM$4:$AO$45,3,FALSE))</f>
        <v>0</v>
      </c>
      <c r="N61" s="4">
        <f>(VLOOKUP('8.0.0'!V61,'8.0.0'!$AM$4:$AO$45,3,FALSE))</f>
        <v>0</v>
      </c>
      <c r="O61" s="5">
        <f>(VLOOKUP('8.0.0'!W61,'8.0.0'!$AM$4:$AO$45,3,FALSE))</f>
        <v>0</v>
      </c>
      <c r="P61" s="5">
        <f>(VLOOKUP('8.0.0'!X61,'8.0.0'!$AM$4:$AO$45,3,FALSE))</f>
        <v>0</v>
      </c>
      <c r="Q61" s="4">
        <f>(VLOOKUP('8.0.0'!Y61,'8.0.0'!$AM$4:$AO$45,3,FALSE))</f>
        <v>55</v>
      </c>
      <c r="R61" s="4">
        <f>(VLOOKUP('8.0.0'!Z61,'8.0.0'!$AM$4:$AO$45,3,FALSE))</f>
        <v>55</v>
      </c>
      <c r="S61" s="4">
        <f>(VLOOKUP('8.0.0'!AA61,'8.0.0'!$AM$4:$AO$45,3,FALSE))</f>
        <v>55</v>
      </c>
      <c r="T61" s="4">
        <f>(VLOOKUP('8.0.0'!AB61,'8.0.0'!$AM$4:$AO$45,3,FALSE))</f>
        <v>55</v>
      </c>
      <c r="U61" s="4">
        <f>(VLOOKUP('8.0.0'!AC61,'8.0.0'!$AM$4:$AO$45,3,FALSE))</f>
        <v>0</v>
      </c>
      <c r="V61" s="4">
        <f>(VLOOKUP('8.0.0'!AD61,'8.0.0'!$AM$4:$AO$45,3,FALSE))</f>
        <v>0</v>
      </c>
      <c r="W61" s="5">
        <f>(VLOOKUP('8.0.0'!AE61,'8.0.0'!$AM$4:$AO$45,3,FALSE))</f>
        <v>0</v>
      </c>
      <c r="X61" s="5">
        <f>(VLOOKUP('8.0.0'!AF61,'8.0.0'!$AM$4:$AO$45,3,FALSE))</f>
        <v>0</v>
      </c>
    </row>
    <row r="62" spans="1:24">
      <c r="A62" s="4">
        <f>(VLOOKUP('8.0.0'!I62,'8.0.0'!$AM$4:$AO$45,3,FALSE))</f>
        <v>60</v>
      </c>
      <c r="B62" s="4">
        <f>(VLOOKUP('8.0.0'!J62,'8.0.0'!$AM$4:$AO$45,3,FALSE))</f>
        <v>60</v>
      </c>
      <c r="C62" s="4">
        <f>(VLOOKUP('8.0.0'!K62,'8.0.0'!$AM$4:$AO$45,3,FALSE))</f>
        <v>60</v>
      </c>
      <c r="D62" s="4">
        <f>(VLOOKUP('8.0.0'!L62,'8.0.0'!$AM$4:$AO$45,3,FALSE))</f>
        <v>60</v>
      </c>
      <c r="E62" s="4">
        <f>(VLOOKUP('8.0.0'!M62,'8.0.0'!$AM$4:$AO$45,3,FALSE))</f>
        <v>60</v>
      </c>
      <c r="F62" s="4">
        <f>(VLOOKUP('8.0.0'!N62,'8.0.0'!$AM$4:$AO$45,3,FALSE))</f>
        <v>60</v>
      </c>
      <c r="G62" s="5">
        <f>(VLOOKUP('8.0.0'!O62,'8.0.0'!$AM$4:$AO$45,3,FALSE))</f>
        <v>0</v>
      </c>
      <c r="H62" s="5">
        <f>(VLOOKUP('8.0.0'!P62,'8.0.0'!$AM$4:$AO$45,3,FALSE))</f>
        <v>0</v>
      </c>
      <c r="I62" s="4">
        <f>(VLOOKUP('8.0.0'!Q62,'8.0.0'!$AM$4:$AO$45,3,FALSE))</f>
        <v>0</v>
      </c>
      <c r="J62" s="4">
        <f>(VLOOKUP('8.0.0'!R62,'8.0.0'!$AM$4:$AO$45,3,FALSE))</f>
        <v>0</v>
      </c>
      <c r="K62" s="4">
        <f>(VLOOKUP('8.0.0'!S62,'8.0.0'!$AM$4:$AO$45,3,FALSE))</f>
        <v>0</v>
      </c>
      <c r="L62" s="4">
        <f>(VLOOKUP('8.0.0'!T62,'8.0.0'!$AM$4:$AO$45,3,FALSE))</f>
        <v>0</v>
      </c>
      <c r="M62" s="4">
        <f>(VLOOKUP('8.0.0'!U62,'8.0.0'!$AM$4:$AO$45,3,FALSE))</f>
        <v>0</v>
      </c>
      <c r="N62" s="4">
        <f>(VLOOKUP('8.0.0'!V62,'8.0.0'!$AM$4:$AO$45,3,FALSE))</f>
        <v>0</v>
      </c>
      <c r="O62" s="5">
        <f>(VLOOKUP('8.0.0'!W62,'8.0.0'!$AM$4:$AO$45,3,FALSE))</f>
        <v>0</v>
      </c>
      <c r="P62" s="5">
        <f>(VLOOKUP('8.0.0'!X62,'8.0.0'!$AM$4:$AO$45,3,FALSE))</f>
        <v>0</v>
      </c>
      <c r="Q62" s="4">
        <f>(VLOOKUP('8.0.0'!Y62,'8.0.0'!$AM$4:$AO$45,3,FALSE))</f>
        <v>55</v>
      </c>
      <c r="R62" s="4">
        <f>(VLOOKUP('8.0.0'!Z62,'8.0.0'!$AM$4:$AO$45,3,FALSE))</f>
        <v>55</v>
      </c>
      <c r="S62" s="4">
        <f>(VLOOKUP('8.0.0'!AA62,'8.0.0'!$AM$4:$AO$45,3,FALSE))</f>
        <v>55</v>
      </c>
      <c r="T62" s="4">
        <f>(VLOOKUP('8.0.0'!AB62,'8.0.0'!$AM$4:$AO$45,3,FALSE))</f>
        <v>55</v>
      </c>
      <c r="U62" s="4">
        <f>(VLOOKUP('8.0.0'!AC62,'8.0.0'!$AM$4:$AO$45,3,FALSE))</f>
        <v>0</v>
      </c>
      <c r="V62" s="4">
        <f>(VLOOKUP('8.0.0'!AD62,'8.0.0'!$AM$4:$AO$45,3,FALSE))</f>
        <v>0</v>
      </c>
      <c r="W62" s="5">
        <f>(VLOOKUP('8.0.0'!AE62,'8.0.0'!$AM$4:$AO$45,3,FALSE))</f>
        <v>0</v>
      </c>
      <c r="X62" s="5">
        <f>(VLOOKUP('8.0.0'!AF62,'8.0.0'!$AM$4:$AO$45,3,FALSE))</f>
        <v>0</v>
      </c>
    </row>
    <row r="63" spans="1:24">
      <c r="A63" s="4">
        <f>(VLOOKUP('8.0.0'!I63,'8.0.0'!$AM$4:$AO$45,3,FALSE))</f>
        <v>60</v>
      </c>
      <c r="B63" s="4">
        <f>(VLOOKUP('8.0.0'!J63,'8.0.0'!$AM$4:$AO$45,3,FALSE))</f>
        <v>60</v>
      </c>
      <c r="C63" s="4">
        <f>(VLOOKUP('8.0.0'!K63,'8.0.0'!$AM$4:$AO$45,3,FALSE))</f>
        <v>60</v>
      </c>
      <c r="D63" s="4">
        <f>(VLOOKUP('8.0.0'!L63,'8.0.0'!$AM$4:$AO$45,3,FALSE))</f>
        <v>60</v>
      </c>
      <c r="E63" s="4">
        <f>(VLOOKUP('8.0.0'!M63,'8.0.0'!$AM$4:$AO$45,3,FALSE))</f>
        <v>60</v>
      </c>
      <c r="F63" s="4">
        <f>(VLOOKUP('8.0.0'!N63,'8.0.0'!$AM$4:$AO$45,3,FALSE))</f>
        <v>60</v>
      </c>
      <c r="G63" s="5">
        <f>(VLOOKUP('8.0.0'!O63,'8.0.0'!$AM$4:$AO$45,3,FALSE))</f>
        <v>0</v>
      </c>
      <c r="H63" s="5">
        <f>(VLOOKUP('8.0.0'!P63,'8.0.0'!$AM$4:$AO$45,3,FALSE))</f>
        <v>0</v>
      </c>
      <c r="I63" s="4">
        <f>(VLOOKUP('8.0.0'!Q63,'8.0.0'!$AM$4:$AO$45,3,FALSE))</f>
        <v>0</v>
      </c>
      <c r="J63" s="4">
        <f>(VLOOKUP('8.0.0'!R63,'8.0.0'!$AM$4:$AO$45,3,FALSE))</f>
        <v>0</v>
      </c>
      <c r="K63" s="4">
        <f>(VLOOKUP('8.0.0'!S63,'8.0.0'!$AM$4:$AO$45,3,FALSE))</f>
        <v>0</v>
      </c>
      <c r="L63" s="4">
        <f>(VLOOKUP('8.0.0'!T63,'8.0.0'!$AM$4:$AO$45,3,FALSE))</f>
        <v>0</v>
      </c>
      <c r="M63" s="4">
        <f>(VLOOKUP('8.0.0'!U63,'8.0.0'!$AM$4:$AO$45,3,FALSE))</f>
        <v>0</v>
      </c>
      <c r="N63" s="4">
        <f>(VLOOKUP('8.0.0'!V63,'8.0.0'!$AM$4:$AO$45,3,FALSE))</f>
        <v>0</v>
      </c>
      <c r="O63" s="5">
        <f>(VLOOKUP('8.0.0'!W63,'8.0.0'!$AM$4:$AO$45,3,FALSE))</f>
        <v>0</v>
      </c>
      <c r="P63" s="5">
        <f>(VLOOKUP('8.0.0'!X63,'8.0.0'!$AM$4:$AO$45,3,FALSE))</f>
        <v>0</v>
      </c>
      <c r="Q63" s="4">
        <f>(VLOOKUP('8.0.0'!Y63,'8.0.0'!$AM$4:$AO$45,3,FALSE))</f>
        <v>55</v>
      </c>
      <c r="R63" s="4">
        <f>(VLOOKUP('8.0.0'!Z63,'8.0.0'!$AM$4:$AO$45,3,FALSE))</f>
        <v>55</v>
      </c>
      <c r="S63" s="4">
        <f>(VLOOKUP('8.0.0'!AA63,'8.0.0'!$AM$4:$AO$45,3,FALSE))</f>
        <v>55</v>
      </c>
      <c r="T63" s="4">
        <f>(VLOOKUP('8.0.0'!AB63,'8.0.0'!$AM$4:$AO$45,3,FALSE))</f>
        <v>55</v>
      </c>
      <c r="U63" s="4">
        <f>(VLOOKUP('8.0.0'!AC63,'8.0.0'!$AM$4:$AO$45,3,FALSE))</f>
        <v>0</v>
      </c>
      <c r="V63" s="4">
        <f>(VLOOKUP('8.0.0'!AD63,'8.0.0'!$AM$4:$AO$45,3,FALSE))</f>
        <v>0</v>
      </c>
      <c r="W63" s="5">
        <f>(VLOOKUP('8.0.0'!AE63,'8.0.0'!$AM$4:$AO$45,3,FALSE))</f>
        <v>0</v>
      </c>
      <c r="X63" s="5">
        <f>(VLOOKUP('8.0.0'!AF63,'8.0.0'!$AM$4:$AO$45,3,FALSE))</f>
        <v>0</v>
      </c>
    </row>
    <row r="64" spans="1:24">
      <c r="A64" s="4">
        <f>(VLOOKUP('8.0.0'!I64,'8.0.0'!$AM$4:$AO$45,3,FALSE))</f>
        <v>60</v>
      </c>
      <c r="B64" s="4">
        <f>(VLOOKUP('8.0.0'!J64,'8.0.0'!$AM$4:$AO$45,3,FALSE))</f>
        <v>60</v>
      </c>
      <c r="C64" s="4">
        <f>(VLOOKUP('8.0.0'!K64,'8.0.0'!$AM$4:$AO$45,3,FALSE))</f>
        <v>60</v>
      </c>
      <c r="D64" s="4">
        <f>(VLOOKUP('8.0.0'!L64,'8.0.0'!$AM$4:$AO$45,3,FALSE))</f>
        <v>60</v>
      </c>
      <c r="E64" s="4">
        <f>(VLOOKUP('8.0.0'!M64,'8.0.0'!$AM$4:$AO$45,3,FALSE))</f>
        <v>60</v>
      </c>
      <c r="F64" s="4">
        <f>(VLOOKUP('8.0.0'!N64,'8.0.0'!$AM$4:$AO$45,3,FALSE))</f>
        <v>60</v>
      </c>
      <c r="G64" s="5">
        <f>(VLOOKUP('8.0.0'!O64,'8.0.0'!$AM$4:$AO$45,3,FALSE))</f>
        <v>0</v>
      </c>
      <c r="H64" s="5">
        <f>(VLOOKUP('8.0.0'!P64,'8.0.0'!$AM$4:$AO$45,3,FALSE))</f>
        <v>0</v>
      </c>
      <c r="I64" s="4">
        <f>(VLOOKUP('8.0.0'!Q64,'8.0.0'!$AM$4:$AO$45,3,FALSE))</f>
        <v>0</v>
      </c>
      <c r="J64" s="4">
        <f>(VLOOKUP('8.0.0'!R64,'8.0.0'!$AM$4:$AO$45,3,FALSE))</f>
        <v>0</v>
      </c>
      <c r="K64" s="4">
        <f>(VLOOKUP('8.0.0'!S64,'8.0.0'!$AM$4:$AO$45,3,FALSE))</f>
        <v>0</v>
      </c>
      <c r="L64" s="4">
        <f>(VLOOKUP('8.0.0'!T64,'8.0.0'!$AM$4:$AO$45,3,FALSE))</f>
        <v>0</v>
      </c>
      <c r="M64" s="4">
        <f>(VLOOKUP('8.0.0'!U64,'8.0.0'!$AM$4:$AO$45,3,FALSE))</f>
        <v>0</v>
      </c>
      <c r="N64" s="4">
        <f>(VLOOKUP('8.0.0'!V64,'8.0.0'!$AM$4:$AO$45,3,FALSE))</f>
        <v>0</v>
      </c>
      <c r="O64" s="5">
        <f>(VLOOKUP('8.0.0'!W64,'8.0.0'!$AM$4:$AO$45,3,FALSE))</f>
        <v>0</v>
      </c>
      <c r="P64" s="5">
        <f>(VLOOKUP('8.0.0'!X64,'8.0.0'!$AM$4:$AO$45,3,FALSE))</f>
        <v>0</v>
      </c>
      <c r="Q64" s="4">
        <f>(VLOOKUP('8.0.0'!Y64,'8.0.0'!$AM$4:$AO$45,3,FALSE))</f>
        <v>55</v>
      </c>
      <c r="R64" s="4">
        <f>(VLOOKUP('8.0.0'!Z64,'8.0.0'!$AM$4:$AO$45,3,FALSE))</f>
        <v>55</v>
      </c>
      <c r="S64" s="4">
        <f>(VLOOKUP('8.0.0'!AA64,'8.0.0'!$AM$4:$AO$45,3,FALSE))</f>
        <v>520</v>
      </c>
      <c r="T64" s="4">
        <f>(VLOOKUP('8.0.0'!AB64,'8.0.0'!$AM$4:$AO$45,3,FALSE))</f>
        <v>55</v>
      </c>
      <c r="U64" s="4">
        <f>(VLOOKUP('8.0.0'!AC64,'8.0.0'!$AM$4:$AO$45,3,FALSE))</f>
        <v>55</v>
      </c>
      <c r="V64" s="4">
        <f>(VLOOKUP('8.0.0'!AD64,'8.0.0'!$AM$4:$AO$45,3,FALSE))</f>
        <v>0</v>
      </c>
      <c r="W64" s="5">
        <f>(VLOOKUP('8.0.0'!AE64,'8.0.0'!$AM$4:$AO$45,3,FALSE))</f>
        <v>0</v>
      </c>
      <c r="X64" s="5">
        <f>(VLOOKUP('8.0.0'!AF64,'8.0.0'!$AM$4:$AO$45,3,FALSE))</f>
        <v>0</v>
      </c>
    </row>
    <row r="65" spans="1:24">
      <c r="A65" s="4">
        <f>(VLOOKUP('8.0.0'!I65,'8.0.0'!$AM$4:$AO$45,3,FALSE))</f>
        <v>60</v>
      </c>
      <c r="B65" s="4">
        <f>(VLOOKUP('8.0.0'!J65,'8.0.0'!$AM$4:$AO$45,3,FALSE))</f>
        <v>60</v>
      </c>
      <c r="C65" s="4">
        <f>(VLOOKUP('8.0.0'!K65,'8.0.0'!$AM$4:$AO$45,3,FALSE))</f>
        <v>60</v>
      </c>
      <c r="D65" s="4">
        <f>(VLOOKUP('8.0.0'!L65,'8.0.0'!$AM$4:$AO$45,3,FALSE))</f>
        <v>60</v>
      </c>
      <c r="E65" s="4">
        <f>(VLOOKUP('8.0.0'!M65,'8.0.0'!$AM$4:$AO$45,3,FALSE))</f>
        <v>60</v>
      </c>
      <c r="F65" s="4">
        <f>(VLOOKUP('8.0.0'!N65,'8.0.0'!$AM$4:$AO$45,3,FALSE))</f>
        <v>60</v>
      </c>
      <c r="G65" s="5">
        <f>(VLOOKUP('8.0.0'!O65,'8.0.0'!$AM$4:$AO$45,3,FALSE))</f>
        <v>0</v>
      </c>
      <c r="H65" s="5">
        <f>(VLOOKUP('8.0.0'!P65,'8.0.0'!$AM$4:$AO$45,3,FALSE))</f>
        <v>0</v>
      </c>
      <c r="I65" s="4">
        <f>(VLOOKUP('8.0.0'!Q65,'8.0.0'!$AM$4:$AO$45,3,FALSE))</f>
        <v>0</v>
      </c>
      <c r="J65" s="4">
        <f>(VLOOKUP('8.0.0'!R65,'8.0.0'!$AM$4:$AO$45,3,FALSE))</f>
        <v>0</v>
      </c>
      <c r="K65" s="4">
        <f>(VLOOKUP('8.0.0'!S65,'8.0.0'!$AM$4:$AO$45,3,FALSE))</f>
        <v>0</v>
      </c>
      <c r="L65" s="4">
        <f>(VLOOKUP('8.0.0'!T65,'8.0.0'!$AM$4:$AO$45,3,FALSE))</f>
        <v>0</v>
      </c>
      <c r="M65" s="4">
        <f>(VLOOKUP('8.0.0'!U65,'8.0.0'!$AM$4:$AO$45,3,FALSE))</f>
        <v>0</v>
      </c>
      <c r="N65" s="4">
        <f>(VLOOKUP('8.0.0'!V65,'8.0.0'!$AM$4:$AO$45,3,FALSE))</f>
        <v>0</v>
      </c>
      <c r="O65" s="5">
        <f>(VLOOKUP('8.0.0'!W65,'8.0.0'!$AM$4:$AO$45,3,FALSE))</f>
        <v>0</v>
      </c>
      <c r="P65" s="5">
        <f>(VLOOKUP('8.0.0'!X65,'8.0.0'!$AM$4:$AO$45,3,FALSE))</f>
        <v>0</v>
      </c>
      <c r="Q65" s="4">
        <f>(VLOOKUP('8.0.0'!Y65,'8.0.0'!$AM$4:$AO$45,3,FALSE))</f>
        <v>55</v>
      </c>
      <c r="R65" s="4">
        <f>(VLOOKUP('8.0.0'!Z65,'8.0.0'!$AM$4:$AO$45,3,FALSE))</f>
        <v>55</v>
      </c>
      <c r="S65" s="4">
        <f>(VLOOKUP('8.0.0'!AA65,'8.0.0'!$AM$4:$AO$45,3,FALSE))</f>
        <v>55</v>
      </c>
      <c r="T65" s="4">
        <f>(VLOOKUP('8.0.0'!AB65,'8.0.0'!$AM$4:$AO$45,3,FALSE))</f>
        <v>55</v>
      </c>
      <c r="U65" s="4">
        <f>(VLOOKUP('8.0.0'!AC65,'8.0.0'!$AM$4:$AO$45,3,FALSE))</f>
        <v>55</v>
      </c>
      <c r="V65" s="4">
        <f>(VLOOKUP('8.0.0'!AD65,'8.0.0'!$AM$4:$AO$45,3,FALSE))</f>
        <v>0</v>
      </c>
      <c r="W65" s="5">
        <f>(VLOOKUP('8.0.0'!AE65,'8.0.0'!$AM$4:$AO$45,3,FALSE))</f>
        <v>0</v>
      </c>
      <c r="X65" s="5">
        <f>(VLOOKUP('8.0.0'!AF65,'8.0.0'!$AM$4:$AO$45,3,FALSE))</f>
        <v>0</v>
      </c>
    </row>
    <row r="66" spans="1:24">
      <c r="A66" s="4">
        <f>(VLOOKUP('8.0.0'!I66,'8.0.0'!$AM$4:$AO$45,3,FALSE))</f>
        <v>60</v>
      </c>
      <c r="B66" s="4">
        <f>(VLOOKUP('8.0.0'!J66,'8.0.0'!$AM$4:$AO$45,3,FALSE))</f>
        <v>60</v>
      </c>
      <c r="C66" s="4">
        <f>(VLOOKUP('8.0.0'!K66,'8.0.0'!$AM$4:$AO$45,3,FALSE))</f>
        <v>60</v>
      </c>
      <c r="D66" s="4">
        <f>(VLOOKUP('8.0.0'!L66,'8.0.0'!$AM$4:$AO$45,3,FALSE))</f>
        <v>60</v>
      </c>
      <c r="E66" s="4">
        <f>(VLOOKUP('8.0.0'!M66,'8.0.0'!$AM$4:$AO$45,3,FALSE))</f>
        <v>60</v>
      </c>
      <c r="F66" s="4">
        <f>(VLOOKUP('8.0.0'!N66,'8.0.0'!$AM$4:$AO$45,3,FALSE))</f>
        <v>60</v>
      </c>
      <c r="G66" s="5">
        <f>(VLOOKUP('8.0.0'!O66,'8.0.0'!$AM$4:$AO$45,3,FALSE))</f>
        <v>0</v>
      </c>
      <c r="H66" s="5">
        <f>(VLOOKUP('8.0.0'!P66,'8.0.0'!$AM$4:$AO$45,3,FALSE))</f>
        <v>0</v>
      </c>
      <c r="I66" s="4">
        <f>(VLOOKUP('8.0.0'!Q66,'8.0.0'!$AM$4:$AO$45,3,FALSE))</f>
        <v>0</v>
      </c>
      <c r="J66" s="4">
        <f>(VLOOKUP('8.0.0'!R66,'8.0.0'!$AM$4:$AO$45,3,FALSE))</f>
        <v>0</v>
      </c>
      <c r="K66" s="4">
        <f>(VLOOKUP('8.0.0'!S66,'8.0.0'!$AM$4:$AO$45,3,FALSE))</f>
        <v>0</v>
      </c>
      <c r="L66" s="4">
        <f>(VLOOKUP('8.0.0'!T66,'8.0.0'!$AM$4:$AO$45,3,FALSE))</f>
        <v>0</v>
      </c>
      <c r="M66" s="4">
        <f>(VLOOKUP('8.0.0'!U66,'8.0.0'!$AM$4:$AO$45,3,FALSE))</f>
        <v>0</v>
      </c>
      <c r="N66" s="4">
        <f>(VLOOKUP('8.0.0'!V66,'8.0.0'!$AM$4:$AO$45,3,FALSE))</f>
        <v>0</v>
      </c>
      <c r="O66" s="5">
        <f>(VLOOKUP('8.0.0'!W66,'8.0.0'!$AM$4:$AO$45,3,FALSE))</f>
        <v>0</v>
      </c>
      <c r="P66" s="5">
        <f>(VLOOKUP('8.0.0'!X66,'8.0.0'!$AM$4:$AO$45,3,FALSE))</f>
        <v>0</v>
      </c>
      <c r="Q66" s="4">
        <f>(VLOOKUP('8.0.0'!Y66,'8.0.0'!$AM$4:$AO$45,3,FALSE))</f>
        <v>55</v>
      </c>
      <c r="R66" s="4">
        <f>(VLOOKUP('8.0.0'!Z66,'8.0.0'!$AM$4:$AO$45,3,FALSE))</f>
        <v>50</v>
      </c>
      <c r="S66" s="4">
        <f>(VLOOKUP('8.0.0'!AA66,'8.0.0'!$AM$4:$AO$45,3,FALSE))</f>
        <v>50</v>
      </c>
      <c r="T66" s="4">
        <f>(VLOOKUP('8.0.0'!AB66,'8.0.0'!$AM$4:$AO$45,3,FALSE))</f>
        <v>50</v>
      </c>
      <c r="U66" s="4">
        <f>(VLOOKUP('8.0.0'!AC66,'8.0.0'!$AM$4:$AO$45,3,FALSE))</f>
        <v>0</v>
      </c>
      <c r="V66" s="4">
        <f>(VLOOKUP('8.0.0'!AD66,'8.0.0'!$AM$4:$AO$45,3,FALSE))</f>
        <v>0</v>
      </c>
      <c r="W66" s="5">
        <f>(VLOOKUP('8.0.0'!AE66,'8.0.0'!$AM$4:$AO$45,3,FALSE))</f>
        <v>0</v>
      </c>
      <c r="X66" s="5">
        <f>(VLOOKUP('8.0.0'!AF66,'8.0.0'!$AM$4:$AO$45,3,FALSE))</f>
        <v>0</v>
      </c>
    </row>
    <row r="67" spans="1:24">
      <c r="A67" s="4">
        <f>(VLOOKUP('8.0.0'!I67,'8.0.0'!$AM$4:$AO$45,3,FALSE))</f>
        <v>60</v>
      </c>
      <c r="B67" s="4">
        <f>(VLOOKUP('8.0.0'!J67,'8.0.0'!$AM$4:$AO$45,3,FALSE))</f>
        <v>60</v>
      </c>
      <c r="C67" s="4">
        <f>(VLOOKUP('8.0.0'!K67,'8.0.0'!$AM$4:$AO$45,3,FALSE))</f>
        <v>60</v>
      </c>
      <c r="D67" s="4">
        <f>(VLOOKUP('8.0.0'!L67,'8.0.0'!$AM$4:$AO$45,3,FALSE))</f>
        <v>60</v>
      </c>
      <c r="E67" s="4">
        <f>(VLOOKUP('8.0.0'!M67,'8.0.0'!$AM$4:$AO$45,3,FALSE))</f>
        <v>60</v>
      </c>
      <c r="F67" s="4">
        <f>(VLOOKUP('8.0.0'!N67,'8.0.0'!$AM$4:$AO$45,3,FALSE))</f>
        <v>60</v>
      </c>
      <c r="G67" s="5">
        <f>(VLOOKUP('8.0.0'!O67,'8.0.0'!$AM$4:$AO$45,3,FALSE))</f>
        <v>0</v>
      </c>
      <c r="H67" s="5">
        <f>(VLOOKUP('8.0.0'!P67,'8.0.0'!$AM$4:$AO$45,3,FALSE))</f>
        <v>0</v>
      </c>
      <c r="I67" s="4">
        <f>(VLOOKUP('8.0.0'!Q67,'8.0.0'!$AM$4:$AO$45,3,FALSE))</f>
        <v>0</v>
      </c>
      <c r="J67" s="4">
        <f>(VLOOKUP('8.0.0'!R67,'8.0.0'!$AM$4:$AO$45,3,FALSE))</f>
        <v>0</v>
      </c>
      <c r="K67" s="4">
        <f>(VLOOKUP('8.0.0'!S67,'8.0.0'!$AM$4:$AO$45,3,FALSE))</f>
        <v>0</v>
      </c>
      <c r="L67" s="4">
        <f>(VLOOKUP('8.0.0'!T67,'8.0.0'!$AM$4:$AO$45,3,FALSE))</f>
        <v>0</v>
      </c>
      <c r="M67" s="4">
        <f>(VLOOKUP('8.0.0'!U67,'8.0.0'!$AM$4:$AO$45,3,FALSE))</f>
        <v>0</v>
      </c>
      <c r="N67" s="4">
        <f>(VLOOKUP('8.0.0'!V67,'8.0.0'!$AM$4:$AO$45,3,FALSE))</f>
        <v>0</v>
      </c>
      <c r="O67" s="5">
        <f>(VLOOKUP('8.0.0'!W67,'8.0.0'!$AM$4:$AO$45,3,FALSE))</f>
        <v>0</v>
      </c>
      <c r="P67" s="5">
        <f>(VLOOKUP('8.0.0'!X67,'8.0.0'!$AM$4:$AO$45,3,FALSE))</f>
        <v>0</v>
      </c>
      <c r="Q67" s="4">
        <f>(VLOOKUP('8.0.0'!Y67,'8.0.0'!$AM$4:$AO$45,3,FALSE))</f>
        <v>50</v>
      </c>
      <c r="R67" s="4">
        <f>(VLOOKUP('8.0.0'!Z67,'8.0.0'!$AM$4:$AO$45,3,FALSE))</f>
        <v>50</v>
      </c>
      <c r="S67" s="4">
        <f>(VLOOKUP('8.0.0'!AA67,'8.0.0'!$AM$4:$AO$45,3,FALSE))</f>
        <v>50</v>
      </c>
      <c r="T67" s="4">
        <f>(VLOOKUP('8.0.0'!AB67,'8.0.0'!$AM$4:$AO$45,3,FALSE))</f>
        <v>50</v>
      </c>
      <c r="U67" s="4">
        <f>(VLOOKUP('8.0.0'!AC67,'8.0.0'!$AM$4:$AO$45,3,FALSE))</f>
        <v>50</v>
      </c>
      <c r="V67" s="4">
        <f>(VLOOKUP('8.0.0'!AD67,'8.0.0'!$AM$4:$AO$45,3,FALSE))</f>
        <v>0</v>
      </c>
      <c r="W67" s="5">
        <f>(VLOOKUP('8.0.0'!AE67,'8.0.0'!$AM$4:$AO$45,3,FALSE))</f>
        <v>0</v>
      </c>
      <c r="X67" s="5">
        <f>(VLOOKUP('8.0.0'!AF67,'8.0.0'!$AM$4:$AO$45,3,FALSE))</f>
        <v>0</v>
      </c>
    </row>
    <row r="68" spans="1:24">
      <c r="A68" s="4">
        <f>(VLOOKUP('8.0.0'!I68,'8.0.0'!$AM$4:$AO$45,3,FALSE))</f>
        <v>60</v>
      </c>
      <c r="B68" s="4">
        <f>(VLOOKUP('8.0.0'!J68,'8.0.0'!$AM$4:$AO$45,3,FALSE))</f>
        <v>60</v>
      </c>
      <c r="C68" s="4">
        <f>(VLOOKUP('8.0.0'!K68,'8.0.0'!$AM$4:$AO$45,3,FALSE))</f>
        <v>60</v>
      </c>
      <c r="D68" s="4">
        <f>(VLOOKUP('8.0.0'!L68,'8.0.0'!$AM$4:$AO$45,3,FALSE))</f>
        <v>0</v>
      </c>
      <c r="E68" s="4">
        <f>(VLOOKUP('8.0.0'!M68,'8.0.0'!$AM$4:$AO$45,3,FALSE))</f>
        <v>60</v>
      </c>
      <c r="F68" s="4">
        <f>(VLOOKUP('8.0.0'!N68,'8.0.0'!$AM$4:$AO$45,3,FALSE))</f>
        <v>60</v>
      </c>
      <c r="G68" s="5">
        <f>(VLOOKUP('8.0.0'!O68,'8.0.0'!$AM$4:$AO$45,3,FALSE))</f>
        <v>60</v>
      </c>
      <c r="H68" s="5">
        <f>(VLOOKUP('8.0.0'!P68,'8.0.0'!$AM$4:$AO$45,3,FALSE))</f>
        <v>60</v>
      </c>
      <c r="I68" s="4">
        <f>(VLOOKUP('8.0.0'!Q68,'8.0.0'!$AM$4:$AO$45,3,FALSE))</f>
        <v>0</v>
      </c>
      <c r="J68" s="4">
        <f>(VLOOKUP('8.0.0'!R68,'8.0.0'!$AM$4:$AO$45,3,FALSE))</f>
        <v>0</v>
      </c>
      <c r="K68" s="4">
        <f>(VLOOKUP('8.0.0'!S68,'8.0.0'!$AM$4:$AO$45,3,FALSE))</f>
        <v>0</v>
      </c>
      <c r="L68" s="4">
        <f>(VLOOKUP('8.0.0'!T68,'8.0.0'!$AM$4:$AO$45,3,FALSE))</f>
        <v>0</v>
      </c>
      <c r="M68" s="4">
        <f>(VLOOKUP('8.0.0'!U68,'8.0.0'!$AM$4:$AO$45,3,FALSE))</f>
        <v>0</v>
      </c>
      <c r="N68" s="4">
        <f>(VLOOKUP('8.0.0'!V68,'8.0.0'!$AM$4:$AO$45,3,FALSE))</f>
        <v>0</v>
      </c>
      <c r="O68" s="5">
        <f>(VLOOKUP('8.0.0'!W68,'8.0.0'!$AM$4:$AO$45,3,FALSE))</f>
        <v>0</v>
      </c>
      <c r="P68" s="5">
        <f>(VLOOKUP('8.0.0'!X68,'8.0.0'!$AM$4:$AO$45,3,FALSE))</f>
        <v>0</v>
      </c>
      <c r="Q68" s="4">
        <f>(VLOOKUP('8.0.0'!Y68,'8.0.0'!$AM$4:$AO$45,3,FALSE))</f>
        <v>50</v>
      </c>
      <c r="R68" s="4">
        <f>(VLOOKUP('8.0.0'!Z68,'8.0.0'!$AM$4:$AO$45,3,FALSE))</f>
        <v>50</v>
      </c>
      <c r="S68" s="4">
        <f>(VLOOKUP('8.0.0'!AA68,'8.0.0'!$AM$4:$AO$45,3,FALSE))</f>
        <v>50</v>
      </c>
      <c r="T68" s="4">
        <f>(VLOOKUP('8.0.0'!AB68,'8.0.0'!$AM$4:$AO$45,3,FALSE))</f>
        <v>50</v>
      </c>
      <c r="U68" s="4">
        <f>(VLOOKUP('8.0.0'!AC68,'8.0.0'!$AM$4:$AO$45,3,FALSE))</f>
        <v>0</v>
      </c>
      <c r="V68" s="4">
        <f>(VLOOKUP('8.0.0'!AD68,'8.0.0'!$AM$4:$AO$45,3,FALSE))</f>
        <v>0</v>
      </c>
      <c r="W68" s="5">
        <f>(VLOOKUP('8.0.0'!AE68,'8.0.0'!$AM$4:$AO$45,3,FALSE))</f>
        <v>0</v>
      </c>
      <c r="X68" s="5">
        <f>(VLOOKUP('8.0.0'!AF68,'8.0.0'!$AM$4:$AO$45,3,FALSE))</f>
        <v>0</v>
      </c>
    </row>
    <row r="69" spans="1:24">
      <c r="A69" s="4">
        <f>(VLOOKUP('8.0.0'!I69,'8.0.0'!$AM$4:$AO$45,3,FALSE))</f>
        <v>60</v>
      </c>
      <c r="B69" s="4">
        <f>(VLOOKUP('8.0.0'!J69,'8.0.0'!$AM$4:$AO$45,3,FALSE))</f>
        <v>60</v>
      </c>
      <c r="C69" s="4">
        <f>(VLOOKUP('8.0.0'!K69,'8.0.0'!$AM$4:$AO$45,3,FALSE))</f>
        <v>60</v>
      </c>
      <c r="D69" s="4">
        <f>(VLOOKUP('8.0.0'!L69,'8.0.0'!$AM$4:$AO$45,3,FALSE))</f>
        <v>60</v>
      </c>
      <c r="E69" s="4">
        <f>(VLOOKUP('8.0.0'!M69,'8.0.0'!$AM$4:$AO$45,3,FALSE))</f>
        <v>60</v>
      </c>
      <c r="F69" s="4">
        <f>(VLOOKUP('8.0.0'!N69,'8.0.0'!$AM$4:$AO$45,3,FALSE))</f>
        <v>60</v>
      </c>
      <c r="G69" s="5">
        <f>(VLOOKUP('8.0.0'!O69,'8.0.0'!$AM$4:$AO$45,3,FALSE))</f>
        <v>0</v>
      </c>
      <c r="H69" s="5">
        <f>(VLOOKUP('8.0.0'!P69,'8.0.0'!$AM$4:$AO$45,3,FALSE))</f>
        <v>0</v>
      </c>
      <c r="I69" s="4">
        <f>(VLOOKUP('8.0.0'!Q69,'8.0.0'!$AM$4:$AO$45,3,FALSE))</f>
        <v>0</v>
      </c>
      <c r="J69" s="4">
        <f>(VLOOKUP('8.0.0'!R69,'8.0.0'!$AM$4:$AO$45,3,FALSE))</f>
        <v>0</v>
      </c>
      <c r="K69" s="4">
        <f>(VLOOKUP('8.0.0'!S69,'8.0.0'!$AM$4:$AO$45,3,FALSE))</f>
        <v>0</v>
      </c>
      <c r="L69" s="4">
        <f>(VLOOKUP('8.0.0'!T69,'8.0.0'!$AM$4:$AO$45,3,FALSE))</f>
        <v>0</v>
      </c>
      <c r="M69" s="4">
        <f>(VLOOKUP('8.0.0'!U69,'8.0.0'!$AM$4:$AO$45,3,FALSE))</f>
        <v>0</v>
      </c>
      <c r="N69" s="4">
        <f>(VLOOKUP('8.0.0'!V69,'8.0.0'!$AM$4:$AO$45,3,FALSE))</f>
        <v>0</v>
      </c>
      <c r="O69" s="5">
        <f>(VLOOKUP('8.0.0'!W69,'8.0.0'!$AM$4:$AO$45,3,FALSE))</f>
        <v>0</v>
      </c>
      <c r="P69" s="5">
        <f>(VLOOKUP('8.0.0'!X69,'8.0.0'!$AM$4:$AO$45,3,FALSE))</f>
        <v>0</v>
      </c>
      <c r="Q69" s="4">
        <f>(VLOOKUP('8.0.0'!Y69,'8.0.0'!$AM$4:$AO$45,3,FALSE))</f>
        <v>50</v>
      </c>
      <c r="R69" s="4">
        <f>(VLOOKUP('8.0.0'!Z69,'8.0.0'!$AM$4:$AO$45,3,FALSE))</f>
        <v>50</v>
      </c>
      <c r="S69" s="4">
        <f>(VLOOKUP('8.0.0'!AA69,'8.0.0'!$AM$4:$AO$45,3,FALSE))</f>
        <v>50</v>
      </c>
      <c r="T69" s="4">
        <f>(VLOOKUP('8.0.0'!AB69,'8.0.0'!$AM$4:$AO$45,3,FALSE))</f>
        <v>50</v>
      </c>
      <c r="U69" s="4">
        <f>(VLOOKUP('8.0.0'!AC69,'8.0.0'!$AM$4:$AO$45,3,FALSE))</f>
        <v>0</v>
      </c>
      <c r="V69" s="4">
        <f>(VLOOKUP('8.0.0'!AD69,'8.0.0'!$AM$4:$AO$45,3,FALSE))</f>
        <v>0</v>
      </c>
      <c r="W69" s="5">
        <f>(VLOOKUP('8.0.0'!AE69,'8.0.0'!$AM$4:$AO$45,3,FALSE))</f>
        <v>0</v>
      </c>
      <c r="X69" s="5">
        <f>(VLOOKUP('8.0.0'!AF69,'8.0.0'!$AM$4:$AO$45,3,FALSE))</f>
        <v>0</v>
      </c>
    </row>
    <row r="70" spans="1:24">
      <c r="A70" s="4">
        <f>(VLOOKUP('8.0.0'!I70,'8.0.0'!$AM$4:$AO$45,3,FALSE))</f>
        <v>60</v>
      </c>
      <c r="B70" s="4">
        <f>(VLOOKUP('8.0.0'!J70,'8.0.0'!$AM$4:$AO$45,3,FALSE))</f>
        <v>60</v>
      </c>
      <c r="C70" s="4">
        <f>(VLOOKUP('8.0.0'!K70,'8.0.0'!$AM$4:$AO$45,3,FALSE))</f>
        <v>60</v>
      </c>
      <c r="D70" s="4">
        <f>(VLOOKUP('8.0.0'!L70,'8.0.0'!$AM$4:$AO$45,3,FALSE))</f>
        <v>60</v>
      </c>
      <c r="E70" s="4">
        <f>(VLOOKUP('8.0.0'!M70,'8.0.0'!$AM$4:$AO$45,3,FALSE))</f>
        <v>60</v>
      </c>
      <c r="F70" s="4">
        <f>(VLOOKUP('8.0.0'!N70,'8.0.0'!$AM$4:$AO$45,3,FALSE))</f>
        <v>60</v>
      </c>
      <c r="G70" s="5">
        <f>(VLOOKUP('8.0.0'!O70,'8.0.0'!$AM$4:$AO$45,3,FALSE))</f>
        <v>0</v>
      </c>
      <c r="H70" s="5">
        <f>(VLOOKUP('8.0.0'!P70,'8.0.0'!$AM$4:$AO$45,3,FALSE))</f>
        <v>0</v>
      </c>
      <c r="I70" s="4">
        <f>(VLOOKUP('8.0.0'!Q70,'8.0.0'!$AM$4:$AO$45,3,FALSE))</f>
        <v>0</v>
      </c>
      <c r="J70" s="4">
        <f>(VLOOKUP('8.0.0'!R70,'8.0.0'!$AM$4:$AO$45,3,FALSE))</f>
        <v>0</v>
      </c>
      <c r="K70" s="4">
        <f>(VLOOKUP('8.0.0'!S70,'8.0.0'!$AM$4:$AO$45,3,FALSE))</f>
        <v>0</v>
      </c>
      <c r="L70" s="4">
        <f>(VLOOKUP('8.0.0'!T70,'8.0.0'!$AM$4:$AO$45,3,FALSE))</f>
        <v>0</v>
      </c>
      <c r="M70" s="4">
        <f>(VLOOKUP('8.0.0'!U70,'8.0.0'!$AM$4:$AO$45,3,FALSE))</f>
        <v>0</v>
      </c>
      <c r="N70" s="4">
        <f>(VLOOKUP('8.0.0'!V70,'8.0.0'!$AM$4:$AO$45,3,FALSE))</f>
        <v>0</v>
      </c>
      <c r="O70" s="5">
        <f>(VLOOKUP('8.0.0'!W70,'8.0.0'!$AM$4:$AO$45,3,FALSE))</f>
        <v>0</v>
      </c>
      <c r="P70" s="5">
        <f>(VLOOKUP('8.0.0'!X70,'8.0.0'!$AM$4:$AO$45,3,FALSE))</f>
        <v>0</v>
      </c>
      <c r="Q70" s="4">
        <f>(VLOOKUP('8.0.0'!Y70,'8.0.0'!$AM$4:$AO$45,3,FALSE))</f>
        <v>50</v>
      </c>
      <c r="R70" s="4">
        <f>(VLOOKUP('8.0.0'!Z70,'8.0.0'!$AM$4:$AO$45,3,FALSE))</f>
        <v>50</v>
      </c>
      <c r="S70" s="4">
        <f>(VLOOKUP('8.0.0'!AA70,'8.0.0'!$AM$4:$AO$45,3,FALSE))</f>
        <v>50</v>
      </c>
      <c r="T70" s="4">
        <f>(VLOOKUP('8.0.0'!AB70,'8.0.0'!$AM$4:$AO$45,3,FALSE))</f>
        <v>50</v>
      </c>
      <c r="U70" s="4">
        <f>(VLOOKUP('8.0.0'!AC70,'8.0.0'!$AM$4:$AO$45,3,FALSE))</f>
        <v>50</v>
      </c>
      <c r="V70" s="4">
        <f>(VLOOKUP('8.0.0'!AD70,'8.0.0'!$AM$4:$AO$45,3,FALSE))</f>
        <v>0</v>
      </c>
      <c r="W70" s="5">
        <f>(VLOOKUP('8.0.0'!AE70,'8.0.0'!$AM$4:$AO$45,3,FALSE))</f>
        <v>0</v>
      </c>
      <c r="X70" s="5">
        <f>(VLOOKUP('8.0.0'!AF70,'8.0.0'!$AM$4:$AO$45,3,FALSE))</f>
        <v>0</v>
      </c>
    </row>
    <row r="71" spans="1:24">
      <c r="A71" s="4">
        <f>(VLOOKUP('8.0.0'!I71,'8.0.0'!$AM$4:$AO$45,3,FALSE))</f>
        <v>60</v>
      </c>
      <c r="B71" s="4">
        <f>(VLOOKUP('8.0.0'!J71,'8.0.0'!$AM$4:$AO$45,3,FALSE))</f>
        <v>60</v>
      </c>
      <c r="C71" s="4">
        <f>(VLOOKUP('8.0.0'!K71,'8.0.0'!$AM$4:$AO$45,3,FALSE))</f>
        <v>60</v>
      </c>
      <c r="D71" s="4">
        <f>(VLOOKUP('8.0.0'!L71,'8.0.0'!$AM$4:$AO$45,3,FALSE))</f>
        <v>60</v>
      </c>
      <c r="E71" s="4">
        <f>(VLOOKUP('8.0.0'!M71,'8.0.0'!$AM$4:$AO$45,3,FALSE))</f>
        <v>60</v>
      </c>
      <c r="F71" s="4">
        <f>(VLOOKUP('8.0.0'!N71,'8.0.0'!$AM$4:$AO$45,3,FALSE))</f>
        <v>60</v>
      </c>
      <c r="G71" s="5">
        <f>(VLOOKUP('8.0.0'!O71,'8.0.0'!$AM$4:$AO$45,3,FALSE))</f>
        <v>0</v>
      </c>
      <c r="H71" s="5">
        <f>(VLOOKUP('8.0.0'!P71,'8.0.0'!$AM$4:$AO$45,3,FALSE))</f>
        <v>0</v>
      </c>
      <c r="I71" s="4">
        <f>(VLOOKUP('8.0.0'!Q71,'8.0.0'!$AM$4:$AO$45,3,FALSE))</f>
        <v>0</v>
      </c>
      <c r="J71" s="4">
        <f>(VLOOKUP('8.0.0'!R71,'8.0.0'!$AM$4:$AO$45,3,FALSE))</f>
        <v>0</v>
      </c>
      <c r="K71" s="4">
        <f>(VLOOKUP('8.0.0'!S71,'8.0.0'!$AM$4:$AO$45,3,FALSE))</f>
        <v>0</v>
      </c>
      <c r="L71" s="4">
        <f>(VLOOKUP('8.0.0'!T71,'8.0.0'!$AM$4:$AO$45,3,FALSE))</f>
        <v>0</v>
      </c>
      <c r="M71" s="4">
        <f>(VLOOKUP('8.0.0'!U71,'8.0.0'!$AM$4:$AO$45,3,FALSE))</f>
        <v>0</v>
      </c>
      <c r="N71" s="4">
        <f>(VLOOKUP('8.0.0'!V71,'8.0.0'!$AM$4:$AO$45,3,FALSE))</f>
        <v>0</v>
      </c>
      <c r="O71" s="5">
        <f>(VLOOKUP('8.0.0'!W71,'8.0.0'!$AM$4:$AO$45,3,FALSE))</f>
        <v>0</v>
      </c>
      <c r="P71" s="5">
        <f>(VLOOKUP('8.0.0'!X71,'8.0.0'!$AM$4:$AO$45,3,FALSE))</f>
        <v>0</v>
      </c>
      <c r="Q71" s="4">
        <f>(VLOOKUP('8.0.0'!Y71,'8.0.0'!$AM$4:$AO$45,3,FALSE))</f>
        <v>50</v>
      </c>
      <c r="R71" s="4">
        <f>(VLOOKUP('8.0.0'!Z71,'8.0.0'!$AM$4:$AO$45,3,FALSE))</f>
        <v>50</v>
      </c>
      <c r="S71" s="4">
        <f>(VLOOKUP('8.0.0'!AA71,'8.0.0'!$AM$4:$AO$45,3,FALSE))</f>
        <v>50</v>
      </c>
      <c r="T71" s="4">
        <f>(VLOOKUP('8.0.0'!AB71,'8.0.0'!$AM$4:$AO$45,3,FALSE))</f>
        <v>50</v>
      </c>
      <c r="U71" s="4">
        <f>(VLOOKUP('8.0.0'!AC71,'8.0.0'!$AM$4:$AO$45,3,FALSE))</f>
        <v>50</v>
      </c>
      <c r="V71" s="4">
        <f>(VLOOKUP('8.0.0'!AD71,'8.0.0'!$AM$4:$AO$45,3,FALSE))</f>
        <v>0</v>
      </c>
      <c r="W71" s="5">
        <f>(VLOOKUP('8.0.0'!AE71,'8.0.0'!$AM$4:$AO$45,3,FALSE))</f>
        <v>0</v>
      </c>
      <c r="X71" s="5">
        <f>(VLOOKUP('8.0.0'!AF71,'8.0.0'!$AM$4:$AO$45,3,FALSE))</f>
        <v>0</v>
      </c>
    </row>
    <row r="72" spans="1:24">
      <c r="A72" s="4">
        <f>(VLOOKUP('8.0.0'!I72,'8.0.0'!$AM$4:$AO$45,3,FALSE))</f>
        <v>60</v>
      </c>
      <c r="B72" s="4">
        <f>(VLOOKUP('8.0.0'!J72,'8.0.0'!$AM$4:$AO$45,3,FALSE))</f>
        <v>60</v>
      </c>
      <c r="C72" s="4">
        <f>(VLOOKUP('8.0.0'!K72,'8.0.0'!$AM$4:$AO$45,3,FALSE))</f>
        <v>60</v>
      </c>
      <c r="D72" s="4">
        <f>(VLOOKUP('8.0.0'!L72,'8.0.0'!$AM$4:$AO$45,3,FALSE))</f>
        <v>60</v>
      </c>
      <c r="E72" s="4">
        <f>(VLOOKUP('8.0.0'!M72,'8.0.0'!$AM$4:$AO$45,3,FALSE))</f>
        <v>60</v>
      </c>
      <c r="F72" s="4">
        <f>(VLOOKUP('8.0.0'!N72,'8.0.0'!$AM$4:$AO$45,3,FALSE))</f>
        <v>60</v>
      </c>
      <c r="G72" s="5">
        <f>(VLOOKUP('8.0.0'!O72,'8.0.0'!$AM$4:$AO$45,3,FALSE))</f>
        <v>0</v>
      </c>
      <c r="H72" s="5">
        <f>(VLOOKUP('8.0.0'!P72,'8.0.0'!$AM$4:$AO$45,3,FALSE))</f>
        <v>0</v>
      </c>
      <c r="I72" s="4">
        <f>(VLOOKUP('8.0.0'!Q72,'8.0.0'!$AM$4:$AO$45,3,FALSE))</f>
        <v>0</v>
      </c>
      <c r="J72" s="4">
        <f>(VLOOKUP('8.0.0'!R72,'8.0.0'!$AM$4:$AO$45,3,FALSE))</f>
        <v>0</v>
      </c>
      <c r="K72" s="4">
        <f>(VLOOKUP('8.0.0'!S72,'8.0.0'!$AM$4:$AO$45,3,FALSE))</f>
        <v>0</v>
      </c>
      <c r="L72" s="4">
        <f>(VLOOKUP('8.0.0'!T72,'8.0.0'!$AM$4:$AO$45,3,FALSE))</f>
        <v>0</v>
      </c>
      <c r="M72" s="4">
        <f>(VLOOKUP('8.0.0'!U72,'8.0.0'!$AM$4:$AO$45,3,FALSE))</f>
        <v>0</v>
      </c>
      <c r="N72" s="4">
        <f>(VLOOKUP('8.0.0'!V72,'8.0.0'!$AM$4:$AO$45,3,FALSE))</f>
        <v>0</v>
      </c>
      <c r="O72" s="5">
        <f>(VLOOKUP('8.0.0'!W72,'8.0.0'!$AM$4:$AO$45,3,FALSE))</f>
        <v>0</v>
      </c>
      <c r="P72" s="5">
        <f>(VLOOKUP('8.0.0'!X72,'8.0.0'!$AM$4:$AO$45,3,FALSE))</f>
        <v>0</v>
      </c>
      <c r="Q72" s="4">
        <f>(VLOOKUP('8.0.0'!Y72,'8.0.0'!$AM$4:$AO$45,3,FALSE))</f>
        <v>50</v>
      </c>
      <c r="R72" s="4">
        <f>(VLOOKUP('8.0.0'!Z72,'8.0.0'!$AM$4:$AO$45,3,FALSE))</f>
        <v>50</v>
      </c>
      <c r="S72" s="4">
        <f>(VLOOKUP('8.0.0'!AA72,'8.0.0'!$AM$4:$AO$45,3,FALSE))</f>
        <v>50</v>
      </c>
      <c r="T72" s="4">
        <f>(VLOOKUP('8.0.0'!AB72,'8.0.0'!$AM$4:$AO$45,3,FALSE))</f>
        <v>50</v>
      </c>
      <c r="U72" s="4">
        <f>(VLOOKUP('8.0.0'!AC72,'8.0.0'!$AM$4:$AO$45,3,FALSE))</f>
        <v>0</v>
      </c>
      <c r="V72" s="4">
        <f>(VLOOKUP('8.0.0'!AD72,'8.0.0'!$AM$4:$AO$45,3,FALSE))</f>
        <v>0</v>
      </c>
      <c r="W72" s="5">
        <f>(VLOOKUP('8.0.0'!AE72,'8.0.0'!$AM$4:$AO$45,3,FALSE))</f>
        <v>0</v>
      </c>
      <c r="X72" s="5">
        <f>(VLOOKUP('8.0.0'!AF72,'8.0.0'!$AM$4:$AO$45,3,FALSE))</f>
        <v>0</v>
      </c>
    </row>
    <row r="73" spans="1:24">
      <c r="A73" s="4">
        <f>(VLOOKUP('8.0.0'!I73,'8.0.0'!$AM$4:$AO$45,3,FALSE))</f>
        <v>60</v>
      </c>
      <c r="B73" s="4">
        <f>(VLOOKUP('8.0.0'!J73,'8.0.0'!$AM$4:$AO$45,3,FALSE))</f>
        <v>60</v>
      </c>
      <c r="C73" s="4">
        <f>(VLOOKUP('8.0.0'!K73,'8.0.0'!$AM$4:$AO$45,3,FALSE))</f>
        <v>60</v>
      </c>
      <c r="D73" s="4">
        <f>(VLOOKUP('8.0.0'!L73,'8.0.0'!$AM$4:$AO$45,3,FALSE))</f>
        <v>60</v>
      </c>
      <c r="E73" s="4">
        <f>(VLOOKUP('8.0.0'!M73,'8.0.0'!$AM$4:$AO$45,3,FALSE))</f>
        <v>60</v>
      </c>
      <c r="F73" s="4">
        <f>(VLOOKUP('8.0.0'!N73,'8.0.0'!$AM$4:$AO$45,3,FALSE))</f>
        <v>60</v>
      </c>
      <c r="G73" s="5">
        <f>(VLOOKUP('8.0.0'!O73,'8.0.0'!$AM$4:$AO$45,3,FALSE))</f>
        <v>0</v>
      </c>
      <c r="H73" s="5">
        <f>(VLOOKUP('8.0.0'!P73,'8.0.0'!$AM$4:$AO$45,3,FALSE))</f>
        <v>0</v>
      </c>
      <c r="I73" s="4">
        <f>(VLOOKUP('8.0.0'!Q73,'8.0.0'!$AM$4:$AO$45,3,FALSE))</f>
        <v>0</v>
      </c>
      <c r="J73" s="4">
        <f>(VLOOKUP('8.0.0'!R73,'8.0.0'!$AM$4:$AO$45,3,FALSE))</f>
        <v>0</v>
      </c>
      <c r="K73" s="4">
        <f>(VLOOKUP('8.0.0'!S73,'8.0.0'!$AM$4:$AO$45,3,FALSE))</f>
        <v>0</v>
      </c>
      <c r="L73" s="4">
        <f>(VLOOKUP('8.0.0'!T73,'8.0.0'!$AM$4:$AO$45,3,FALSE))</f>
        <v>0</v>
      </c>
      <c r="M73" s="4">
        <f>(VLOOKUP('8.0.0'!U73,'8.0.0'!$AM$4:$AO$45,3,FALSE))</f>
        <v>0</v>
      </c>
      <c r="N73" s="4">
        <f>(VLOOKUP('8.0.0'!V73,'8.0.0'!$AM$4:$AO$45,3,FALSE))</f>
        <v>0</v>
      </c>
      <c r="O73" s="5">
        <f>(VLOOKUP('8.0.0'!W73,'8.0.0'!$AM$4:$AO$45,3,FALSE))</f>
        <v>0</v>
      </c>
      <c r="P73" s="5">
        <f>(VLOOKUP('8.0.0'!X73,'8.0.0'!$AM$4:$AO$45,3,FALSE))</f>
        <v>0</v>
      </c>
      <c r="Q73" s="4">
        <f>(VLOOKUP('8.0.0'!Y73,'8.0.0'!$AM$4:$AO$45,3,FALSE))</f>
        <v>50</v>
      </c>
      <c r="R73" s="4">
        <f>(VLOOKUP('8.0.0'!Z73,'8.0.0'!$AM$4:$AO$45,3,FALSE))</f>
        <v>50</v>
      </c>
      <c r="S73" s="4">
        <f>(VLOOKUP('8.0.0'!AA73,'8.0.0'!$AM$4:$AO$45,3,FALSE))</f>
        <v>0</v>
      </c>
      <c r="T73" s="4">
        <f>(VLOOKUP('8.0.0'!AB73,'8.0.0'!$AM$4:$AO$45,3,FALSE))</f>
        <v>50</v>
      </c>
      <c r="U73" s="4">
        <f>(VLOOKUP('8.0.0'!AC73,'8.0.0'!$AM$4:$AO$45,3,FALSE))</f>
        <v>50</v>
      </c>
      <c r="V73" s="4">
        <f>(VLOOKUP('8.0.0'!AD73,'8.0.0'!$AM$4:$AO$45,3,FALSE))</f>
        <v>50</v>
      </c>
      <c r="W73" s="5">
        <f>(VLOOKUP('8.0.0'!AE73,'8.0.0'!$AM$4:$AO$45,3,FALSE))</f>
        <v>30</v>
      </c>
      <c r="X73" s="5">
        <f>(VLOOKUP('8.0.0'!AF73,'8.0.0'!$AM$4:$AO$45,3,FALSE))</f>
        <v>0</v>
      </c>
    </row>
    <row r="74" spans="1:24">
      <c r="A74" s="4">
        <f>(VLOOKUP('8.0.0'!I74,'8.0.0'!$AM$4:$AO$45,3,FALSE))</f>
        <v>60</v>
      </c>
      <c r="B74" s="4">
        <f>(VLOOKUP('8.0.0'!J74,'8.0.0'!$AM$4:$AO$45,3,FALSE))</f>
        <v>60</v>
      </c>
      <c r="C74" s="4">
        <f>(VLOOKUP('8.0.0'!K74,'8.0.0'!$AM$4:$AO$45,3,FALSE))</f>
        <v>60</v>
      </c>
      <c r="D74" s="4">
        <f>(VLOOKUP('8.0.0'!L74,'8.0.0'!$AM$4:$AO$45,3,FALSE))</f>
        <v>0</v>
      </c>
      <c r="E74" s="4">
        <f>(VLOOKUP('8.0.0'!M74,'8.0.0'!$AM$4:$AO$45,3,FALSE))</f>
        <v>60</v>
      </c>
      <c r="F74" s="4">
        <f>(VLOOKUP('8.0.0'!N74,'8.0.0'!$AM$4:$AO$45,3,FALSE))</f>
        <v>60</v>
      </c>
      <c r="G74" s="5">
        <f>(VLOOKUP('8.0.0'!O74,'8.0.0'!$AM$4:$AO$45,3,FALSE))</f>
        <v>60</v>
      </c>
      <c r="H74" s="5">
        <f>(VLOOKUP('8.0.0'!P74,'8.0.0'!$AM$4:$AO$45,3,FALSE))</f>
        <v>60</v>
      </c>
      <c r="I74" s="4">
        <f>(VLOOKUP('8.0.0'!Q74,'8.0.0'!$AM$4:$AO$45,3,FALSE))</f>
        <v>0</v>
      </c>
      <c r="J74" s="4">
        <f>(VLOOKUP('8.0.0'!R74,'8.0.0'!$AM$4:$AO$45,3,FALSE))</f>
        <v>0</v>
      </c>
      <c r="K74" s="4">
        <f>(VLOOKUP('8.0.0'!S74,'8.0.0'!$AM$4:$AO$45,3,FALSE))</f>
        <v>0</v>
      </c>
      <c r="L74" s="4">
        <f>(VLOOKUP('8.0.0'!T74,'8.0.0'!$AM$4:$AO$45,3,FALSE))</f>
        <v>0</v>
      </c>
      <c r="M74" s="4">
        <f>(VLOOKUP('8.0.0'!U74,'8.0.0'!$AM$4:$AO$45,3,FALSE))</f>
        <v>0</v>
      </c>
      <c r="N74" s="4">
        <f>(VLOOKUP('8.0.0'!V74,'8.0.0'!$AM$4:$AO$45,3,FALSE))</f>
        <v>0</v>
      </c>
      <c r="O74" s="5">
        <f>(VLOOKUP('8.0.0'!W74,'8.0.0'!$AM$4:$AO$45,3,FALSE))</f>
        <v>0</v>
      </c>
      <c r="P74" s="5">
        <f>(VLOOKUP('8.0.0'!X74,'8.0.0'!$AM$4:$AO$45,3,FALSE))</f>
        <v>0</v>
      </c>
      <c r="Q74" s="4">
        <f>(VLOOKUP('8.0.0'!Y74,'8.0.0'!$AM$4:$AO$45,3,FALSE))</f>
        <v>50</v>
      </c>
      <c r="R74" s="4">
        <f>(VLOOKUP('8.0.0'!Z74,'8.0.0'!$AM$4:$AO$45,3,FALSE))</f>
        <v>50</v>
      </c>
      <c r="S74" s="4">
        <f>(VLOOKUP('8.0.0'!AA74,'8.0.0'!$AM$4:$AO$45,3,FALSE))</f>
        <v>50</v>
      </c>
      <c r="T74" s="4">
        <f>(VLOOKUP('8.0.0'!AB74,'8.0.0'!$AM$4:$AO$45,3,FALSE))</f>
        <v>50</v>
      </c>
      <c r="U74" s="4">
        <f>(VLOOKUP('8.0.0'!AC74,'8.0.0'!$AM$4:$AO$45,3,FALSE))</f>
        <v>50</v>
      </c>
      <c r="V74" s="4">
        <f>(VLOOKUP('8.0.0'!AD74,'8.0.0'!$AM$4:$AO$45,3,FALSE))</f>
        <v>0</v>
      </c>
      <c r="W74" s="5">
        <f>(VLOOKUP('8.0.0'!AE74,'8.0.0'!$AM$4:$AO$45,3,FALSE))</f>
        <v>0</v>
      </c>
      <c r="X74" s="5">
        <f>(VLOOKUP('8.0.0'!AF74,'8.0.0'!$AM$4:$AO$45,3,FALSE))</f>
        <v>0</v>
      </c>
    </row>
    <row r="75" spans="1:24">
      <c r="A75" s="4">
        <f>(VLOOKUP('8.0.0'!I75,'8.0.0'!$AM$4:$AO$45,3,FALSE))</f>
        <v>60</v>
      </c>
      <c r="B75" s="4">
        <f>(VLOOKUP('8.0.0'!J75,'8.0.0'!$AM$4:$AO$45,3,FALSE))</f>
        <v>60</v>
      </c>
      <c r="C75" s="4">
        <f>(VLOOKUP('8.0.0'!K75,'8.0.0'!$AM$4:$AO$45,3,FALSE))</f>
        <v>60</v>
      </c>
      <c r="D75" s="4">
        <f>(VLOOKUP('8.0.0'!L75,'8.0.0'!$AM$4:$AO$45,3,FALSE))</f>
        <v>60</v>
      </c>
      <c r="E75" s="4">
        <f>(VLOOKUP('8.0.0'!M75,'8.0.0'!$AM$4:$AO$45,3,FALSE))</f>
        <v>60</v>
      </c>
      <c r="F75" s="4">
        <f>(VLOOKUP('8.0.0'!N75,'8.0.0'!$AM$4:$AO$45,3,FALSE))</f>
        <v>60</v>
      </c>
      <c r="G75" s="5">
        <f>(VLOOKUP('8.0.0'!O75,'8.0.0'!$AM$4:$AO$45,3,FALSE))</f>
        <v>0</v>
      </c>
      <c r="H75" s="5">
        <f>(VLOOKUP('8.0.0'!P75,'8.0.0'!$AM$4:$AO$45,3,FALSE))</f>
        <v>0</v>
      </c>
      <c r="I75" s="4">
        <f>(VLOOKUP('8.0.0'!Q75,'8.0.0'!$AM$4:$AO$45,3,FALSE))</f>
        <v>0</v>
      </c>
      <c r="J75" s="4">
        <f>(VLOOKUP('8.0.0'!R75,'8.0.0'!$AM$4:$AO$45,3,FALSE))</f>
        <v>0</v>
      </c>
      <c r="K75" s="4">
        <f>(VLOOKUP('8.0.0'!S75,'8.0.0'!$AM$4:$AO$45,3,FALSE))</f>
        <v>0</v>
      </c>
      <c r="L75" s="4">
        <f>(VLOOKUP('8.0.0'!T75,'8.0.0'!$AM$4:$AO$45,3,FALSE))</f>
        <v>0</v>
      </c>
      <c r="M75" s="4">
        <f>(VLOOKUP('8.0.0'!U75,'8.0.0'!$AM$4:$AO$45,3,FALSE))</f>
        <v>0</v>
      </c>
      <c r="N75" s="4">
        <f>(VLOOKUP('8.0.0'!V75,'8.0.0'!$AM$4:$AO$45,3,FALSE))</f>
        <v>0</v>
      </c>
      <c r="O75" s="5">
        <f>(VLOOKUP('8.0.0'!W75,'8.0.0'!$AM$4:$AO$45,3,FALSE))</f>
        <v>0</v>
      </c>
      <c r="P75" s="5">
        <f>(VLOOKUP('8.0.0'!X75,'8.0.0'!$AM$4:$AO$45,3,FALSE))</f>
        <v>0</v>
      </c>
      <c r="Q75" s="4">
        <f>(VLOOKUP('8.0.0'!Y75,'8.0.0'!$AM$4:$AO$45,3,FALSE))</f>
        <v>50</v>
      </c>
      <c r="R75" s="4">
        <f>(VLOOKUP('8.0.0'!Z75,'8.0.0'!$AM$4:$AO$45,3,FALSE))</f>
        <v>50</v>
      </c>
      <c r="S75" s="4">
        <f>(VLOOKUP('8.0.0'!AA75,'8.0.0'!$AM$4:$AO$45,3,FALSE))</f>
        <v>50</v>
      </c>
      <c r="T75" s="4">
        <f>(VLOOKUP('8.0.0'!AB75,'8.0.0'!$AM$4:$AO$45,3,FALSE))</f>
        <v>50</v>
      </c>
      <c r="U75" s="4">
        <f>(VLOOKUP('8.0.0'!AC75,'8.0.0'!$AM$4:$AO$45,3,FALSE))</f>
        <v>0</v>
      </c>
      <c r="V75" s="4">
        <f>(VLOOKUP('8.0.0'!AD75,'8.0.0'!$AM$4:$AO$45,3,FALSE))</f>
        <v>0</v>
      </c>
      <c r="W75" s="5">
        <f>(VLOOKUP('8.0.0'!AE75,'8.0.0'!$AM$4:$AO$45,3,FALSE))</f>
        <v>0</v>
      </c>
      <c r="X75" s="5">
        <f>(VLOOKUP('8.0.0'!AF75,'8.0.0'!$AM$4:$AO$45,3,FALSE))</f>
        <v>0</v>
      </c>
    </row>
    <row r="76" spans="1:24">
      <c r="A76" s="4">
        <f>(VLOOKUP('8.0.0'!I76,'8.0.0'!$AM$4:$AO$45,3,FALSE))</f>
        <v>60</v>
      </c>
      <c r="B76" s="4">
        <f>(VLOOKUP('8.0.0'!J76,'8.0.0'!$AM$4:$AO$45,3,FALSE))</f>
        <v>60</v>
      </c>
      <c r="C76" s="4">
        <f>(VLOOKUP('8.0.0'!K76,'8.0.0'!$AM$4:$AO$45,3,FALSE))</f>
        <v>60</v>
      </c>
      <c r="D76" s="4">
        <f>(VLOOKUP('8.0.0'!L76,'8.0.0'!$AM$4:$AO$45,3,FALSE))</f>
        <v>60</v>
      </c>
      <c r="E76" s="4">
        <f>(VLOOKUP('8.0.0'!M76,'8.0.0'!$AM$4:$AO$45,3,FALSE))</f>
        <v>60</v>
      </c>
      <c r="F76" s="4">
        <f>(VLOOKUP('8.0.0'!N76,'8.0.0'!$AM$4:$AO$45,3,FALSE))</f>
        <v>60</v>
      </c>
      <c r="G76" s="5">
        <f>(VLOOKUP('8.0.0'!O76,'8.0.0'!$AM$4:$AO$45,3,FALSE))</f>
        <v>0</v>
      </c>
      <c r="H76" s="5">
        <f>(VLOOKUP('8.0.0'!P76,'8.0.0'!$AM$4:$AO$45,3,FALSE))</f>
        <v>0</v>
      </c>
      <c r="I76" s="4">
        <f>(VLOOKUP('8.0.0'!Q76,'8.0.0'!$AM$4:$AO$45,3,FALSE))</f>
        <v>0</v>
      </c>
      <c r="J76" s="4">
        <f>(VLOOKUP('8.0.0'!R76,'8.0.0'!$AM$4:$AO$45,3,FALSE))</f>
        <v>0</v>
      </c>
      <c r="K76" s="4">
        <f>(VLOOKUP('8.0.0'!S76,'8.0.0'!$AM$4:$AO$45,3,FALSE))</f>
        <v>0</v>
      </c>
      <c r="L76" s="4">
        <f>(VLOOKUP('8.0.0'!T76,'8.0.0'!$AM$4:$AO$45,3,FALSE))</f>
        <v>0</v>
      </c>
      <c r="M76" s="4">
        <f>(VLOOKUP('8.0.0'!U76,'8.0.0'!$AM$4:$AO$45,3,FALSE))</f>
        <v>0</v>
      </c>
      <c r="N76" s="4">
        <f>(VLOOKUP('8.0.0'!V76,'8.0.0'!$AM$4:$AO$45,3,FALSE))</f>
        <v>0</v>
      </c>
      <c r="O76" s="5">
        <f>(VLOOKUP('8.0.0'!W76,'8.0.0'!$AM$4:$AO$45,3,FALSE))</f>
        <v>0</v>
      </c>
      <c r="P76" s="5">
        <f>(VLOOKUP('8.0.0'!X76,'8.0.0'!$AM$4:$AO$45,3,FALSE))</f>
        <v>0</v>
      </c>
      <c r="Q76" s="4">
        <f>(VLOOKUP('8.0.0'!Y76,'8.0.0'!$AM$4:$AO$45,3,FALSE))</f>
        <v>50</v>
      </c>
      <c r="R76" s="4">
        <f>(VLOOKUP('8.0.0'!Z76,'8.0.0'!$AM$4:$AO$45,3,FALSE))</f>
        <v>50</v>
      </c>
      <c r="S76" s="4">
        <f>(VLOOKUP('8.0.0'!AA76,'8.0.0'!$AM$4:$AO$45,3,FALSE))</f>
        <v>30</v>
      </c>
      <c r="T76" s="4">
        <f>(VLOOKUP('8.0.0'!AB76,'8.0.0'!$AM$4:$AO$45,3,FALSE))</f>
        <v>50</v>
      </c>
      <c r="U76" s="4">
        <f>(VLOOKUP('8.0.0'!AC76,'8.0.0'!$AM$4:$AO$45,3,FALSE))</f>
        <v>50</v>
      </c>
      <c r="V76" s="4">
        <f>(VLOOKUP('8.0.0'!AD76,'8.0.0'!$AM$4:$AO$45,3,FALSE))</f>
        <v>0</v>
      </c>
      <c r="W76" s="5">
        <f>(VLOOKUP('8.0.0'!AE76,'8.0.0'!$AM$4:$AO$45,3,FALSE))</f>
        <v>0</v>
      </c>
      <c r="X76" s="5">
        <f>(VLOOKUP('8.0.0'!AF76,'8.0.0'!$AM$4:$AO$45,3,FALSE))</f>
        <v>0</v>
      </c>
    </row>
    <row r="77" spans="1:24">
      <c r="A77" s="4">
        <f>(VLOOKUP('8.0.0'!I77,'8.0.0'!$AM$4:$AO$45,3,FALSE))</f>
        <v>60</v>
      </c>
      <c r="B77" s="4">
        <f>(VLOOKUP('8.0.0'!J77,'8.0.0'!$AM$4:$AO$45,3,FALSE))</f>
        <v>60</v>
      </c>
      <c r="C77" s="4">
        <f>(VLOOKUP('8.0.0'!K77,'8.0.0'!$AM$4:$AO$45,3,FALSE))</f>
        <v>60</v>
      </c>
      <c r="D77" s="4">
        <f>(VLOOKUP('8.0.0'!L77,'8.0.0'!$AM$4:$AO$45,3,FALSE))</f>
        <v>60</v>
      </c>
      <c r="E77" s="4">
        <f>(VLOOKUP('8.0.0'!M77,'8.0.0'!$AM$4:$AO$45,3,FALSE))</f>
        <v>60</v>
      </c>
      <c r="F77" s="4">
        <f>(VLOOKUP('8.0.0'!N77,'8.0.0'!$AM$4:$AO$45,3,FALSE))</f>
        <v>60</v>
      </c>
      <c r="G77" s="5">
        <f>(VLOOKUP('8.0.0'!O77,'8.0.0'!$AM$4:$AO$45,3,FALSE))</f>
        <v>0</v>
      </c>
      <c r="H77" s="5">
        <f>(VLOOKUP('8.0.0'!P77,'8.0.0'!$AM$4:$AO$45,3,FALSE))</f>
        <v>0</v>
      </c>
      <c r="I77" s="4">
        <f>(VLOOKUP('8.0.0'!Q77,'8.0.0'!$AM$4:$AO$45,3,FALSE))</f>
        <v>0</v>
      </c>
      <c r="J77" s="4">
        <f>(VLOOKUP('8.0.0'!R77,'8.0.0'!$AM$4:$AO$45,3,FALSE))</f>
        <v>0</v>
      </c>
      <c r="K77" s="4">
        <f>(VLOOKUP('8.0.0'!S77,'8.0.0'!$AM$4:$AO$45,3,FALSE))</f>
        <v>0</v>
      </c>
      <c r="L77" s="4">
        <f>(VLOOKUP('8.0.0'!T77,'8.0.0'!$AM$4:$AO$45,3,FALSE))</f>
        <v>0</v>
      </c>
      <c r="M77" s="4">
        <f>(VLOOKUP('8.0.0'!U77,'8.0.0'!$AM$4:$AO$45,3,FALSE))</f>
        <v>0</v>
      </c>
      <c r="N77" s="4">
        <f>(VLOOKUP('8.0.0'!V77,'8.0.0'!$AM$4:$AO$45,3,FALSE))</f>
        <v>0</v>
      </c>
      <c r="O77" s="5">
        <f>(VLOOKUP('8.0.0'!W77,'8.0.0'!$AM$4:$AO$45,3,FALSE))</f>
        <v>0</v>
      </c>
      <c r="P77" s="5">
        <f>(VLOOKUP('8.0.0'!X77,'8.0.0'!$AM$4:$AO$45,3,FALSE))</f>
        <v>0</v>
      </c>
      <c r="Q77" s="4">
        <f>(VLOOKUP('8.0.0'!Y77,'8.0.0'!$AM$4:$AO$45,3,FALSE))</f>
        <v>50</v>
      </c>
      <c r="R77" s="4">
        <f>(VLOOKUP('8.0.0'!Z77,'8.0.0'!$AM$4:$AO$45,3,FALSE))</f>
        <v>50</v>
      </c>
      <c r="S77" s="4">
        <f>(VLOOKUP('8.0.0'!AA77,'8.0.0'!$AM$4:$AO$45,3,FALSE))</f>
        <v>50</v>
      </c>
      <c r="T77" s="4">
        <f>(VLOOKUP('8.0.0'!AB77,'8.0.0'!$AM$4:$AO$45,3,FALSE))</f>
        <v>50</v>
      </c>
      <c r="U77" s="4">
        <f>(VLOOKUP('8.0.0'!AC77,'8.0.0'!$AM$4:$AO$45,3,FALSE))</f>
        <v>50</v>
      </c>
      <c r="V77" s="4">
        <f>(VLOOKUP('8.0.0'!AD77,'8.0.0'!$AM$4:$AO$45,3,FALSE))</f>
        <v>0</v>
      </c>
      <c r="W77" s="5">
        <f>(VLOOKUP('8.0.0'!AE77,'8.0.0'!$AM$4:$AO$45,3,FALSE))</f>
        <v>0</v>
      </c>
      <c r="X77" s="5">
        <f>(VLOOKUP('8.0.0'!AF77,'8.0.0'!$AM$4:$AO$45,3,FALSE))</f>
        <v>0</v>
      </c>
    </row>
    <row r="78" spans="1:24">
      <c r="A78" s="4">
        <f>(VLOOKUP('8.0.0'!I78,'8.0.0'!$AM$4:$AO$45,3,FALSE))</f>
        <v>60</v>
      </c>
      <c r="B78" s="4">
        <f>(VLOOKUP('8.0.0'!J78,'8.0.0'!$AM$4:$AO$45,3,FALSE))</f>
        <v>60</v>
      </c>
      <c r="C78" s="4">
        <f>(VLOOKUP('8.0.0'!K78,'8.0.0'!$AM$4:$AO$45,3,FALSE))</f>
        <v>60</v>
      </c>
      <c r="D78" s="4">
        <f>(VLOOKUP('8.0.0'!L78,'8.0.0'!$AM$4:$AO$45,3,FALSE))</f>
        <v>60</v>
      </c>
      <c r="E78" s="4">
        <f>(VLOOKUP('8.0.0'!M78,'8.0.0'!$AM$4:$AO$45,3,FALSE))</f>
        <v>60</v>
      </c>
      <c r="F78" s="4">
        <f>(VLOOKUP('8.0.0'!N78,'8.0.0'!$AM$4:$AO$45,3,FALSE))</f>
        <v>60</v>
      </c>
      <c r="G78" s="5">
        <f>(VLOOKUP('8.0.0'!O78,'8.0.0'!$AM$4:$AO$45,3,FALSE))</f>
        <v>0</v>
      </c>
      <c r="H78" s="5">
        <f>(VLOOKUP('8.0.0'!P78,'8.0.0'!$AM$4:$AO$45,3,FALSE))</f>
        <v>0</v>
      </c>
      <c r="I78" s="4">
        <f>(VLOOKUP('8.0.0'!Q78,'8.0.0'!$AM$4:$AO$45,3,FALSE))</f>
        <v>0</v>
      </c>
      <c r="J78" s="4">
        <f>(VLOOKUP('8.0.0'!R78,'8.0.0'!$AM$4:$AO$45,3,FALSE))</f>
        <v>0</v>
      </c>
      <c r="K78" s="4">
        <f>(VLOOKUP('8.0.0'!S78,'8.0.0'!$AM$4:$AO$45,3,FALSE))</f>
        <v>0</v>
      </c>
      <c r="L78" s="4">
        <f>(VLOOKUP('8.0.0'!T78,'8.0.0'!$AM$4:$AO$45,3,FALSE))</f>
        <v>0</v>
      </c>
      <c r="M78" s="4">
        <f>(VLOOKUP('8.0.0'!U78,'8.0.0'!$AM$4:$AO$45,3,FALSE))</f>
        <v>0</v>
      </c>
      <c r="N78" s="4">
        <f>(VLOOKUP('8.0.0'!V78,'8.0.0'!$AM$4:$AO$45,3,FALSE))</f>
        <v>0</v>
      </c>
      <c r="O78" s="5">
        <f>(VLOOKUP('8.0.0'!W78,'8.0.0'!$AM$4:$AO$45,3,FALSE))</f>
        <v>0</v>
      </c>
      <c r="P78" s="5">
        <f>(VLOOKUP('8.0.0'!X78,'8.0.0'!$AM$4:$AO$45,3,FALSE))</f>
        <v>0</v>
      </c>
      <c r="Q78" s="4">
        <f>(VLOOKUP('8.0.0'!Y78,'8.0.0'!$AM$4:$AO$45,3,FALSE))</f>
        <v>50</v>
      </c>
      <c r="R78" s="4">
        <f>(VLOOKUP('8.0.0'!Z78,'8.0.0'!$AM$4:$AO$45,3,FALSE))</f>
        <v>0</v>
      </c>
      <c r="S78" s="4">
        <f>(VLOOKUP('8.0.0'!AA78,'8.0.0'!$AM$4:$AO$45,3,FALSE))</f>
        <v>50</v>
      </c>
      <c r="T78" s="4">
        <f>(VLOOKUP('8.0.0'!AB78,'8.0.0'!$AM$4:$AO$45,3,FALSE))</f>
        <v>50</v>
      </c>
      <c r="U78" s="4">
        <f>(VLOOKUP('8.0.0'!AC78,'8.0.0'!$AM$4:$AO$45,3,FALSE))</f>
        <v>50</v>
      </c>
      <c r="V78" s="4">
        <f>(VLOOKUP('8.0.0'!AD78,'8.0.0'!$AM$4:$AO$45,3,FALSE))</f>
        <v>50</v>
      </c>
      <c r="W78" s="5">
        <f>(VLOOKUP('8.0.0'!AE78,'8.0.0'!$AM$4:$AO$45,3,FALSE))</f>
        <v>0</v>
      </c>
      <c r="X78" s="5">
        <f>(VLOOKUP('8.0.0'!AF78,'8.0.0'!$AM$4:$AO$45,3,FALSE))</f>
        <v>0</v>
      </c>
    </row>
    <row r="79" spans="1:24">
      <c r="A79" s="4">
        <f>(VLOOKUP('8.0.0'!I79,'8.0.0'!$AM$4:$AO$45,3,FALSE))</f>
        <v>1000</v>
      </c>
      <c r="B79" s="4">
        <f>(VLOOKUP('8.0.0'!J79,'8.0.0'!$AM$4:$AO$45,3,FALSE))</f>
        <v>60</v>
      </c>
      <c r="C79" s="4">
        <f>(VLOOKUP('8.0.0'!K79,'8.0.0'!$AM$4:$AO$45,3,FALSE))</f>
        <v>60</v>
      </c>
      <c r="D79" s="4">
        <f>(VLOOKUP('8.0.0'!L79,'8.0.0'!$AM$4:$AO$45,3,FALSE))</f>
        <v>60</v>
      </c>
      <c r="E79" s="4">
        <f>(VLOOKUP('8.0.0'!M79,'8.0.0'!$AM$4:$AO$45,3,FALSE))</f>
        <v>60</v>
      </c>
      <c r="F79" s="4">
        <f>(VLOOKUP('8.0.0'!N79,'8.0.0'!$AM$4:$AO$45,3,FALSE))</f>
        <v>60</v>
      </c>
      <c r="G79" s="5">
        <f>(VLOOKUP('8.0.0'!O79,'8.0.0'!$AM$4:$AO$45,3,FALSE))</f>
        <v>0</v>
      </c>
      <c r="H79" s="5">
        <f>(VLOOKUP('8.0.0'!P79,'8.0.0'!$AM$4:$AO$45,3,FALSE))</f>
        <v>0</v>
      </c>
      <c r="I79" s="4">
        <f>(VLOOKUP('8.0.0'!Q79,'8.0.0'!$AM$4:$AO$45,3,FALSE))</f>
        <v>0</v>
      </c>
      <c r="J79" s="4">
        <f>(VLOOKUP('8.0.0'!R79,'8.0.0'!$AM$4:$AO$45,3,FALSE))</f>
        <v>0</v>
      </c>
      <c r="K79" s="4">
        <f>(VLOOKUP('8.0.0'!S79,'8.0.0'!$AM$4:$AO$45,3,FALSE))</f>
        <v>0</v>
      </c>
      <c r="L79" s="4">
        <f>(VLOOKUP('8.0.0'!T79,'8.0.0'!$AM$4:$AO$45,3,FALSE))</f>
        <v>0</v>
      </c>
      <c r="M79" s="4">
        <f>(VLOOKUP('8.0.0'!U79,'8.0.0'!$AM$4:$AO$45,3,FALSE))</f>
        <v>0</v>
      </c>
      <c r="N79" s="4">
        <f>(VLOOKUP('8.0.0'!V79,'8.0.0'!$AM$4:$AO$45,3,FALSE))</f>
        <v>0</v>
      </c>
      <c r="O79" s="5">
        <f>(VLOOKUP('8.0.0'!W79,'8.0.0'!$AM$4:$AO$45,3,FALSE))</f>
        <v>0</v>
      </c>
      <c r="P79" s="5">
        <f>(VLOOKUP('8.0.0'!X79,'8.0.0'!$AM$4:$AO$45,3,FALSE))</f>
        <v>0</v>
      </c>
      <c r="Q79" s="4">
        <f>(VLOOKUP('8.0.0'!Y79,'8.0.0'!$AM$4:$AO$45,3,FALSE))</f>
        <v>50</v>
      </c>
      <c r="R79" s="4">
        <f>(VLOOKUP('8.0.0'!Z79,'8.0.0'!$AM$4:$AO$45,3,FALSE))</f>
        <v>50</v>
      </c>
      <c r="S79" s="4">
        <f>(VLOOKUP('8.0.0'!AA79,'8.0.0'!$AM$4:$AO$45,3,FALSE))</f>
        <v>50</v>
      </c>
      <c r="T79" s="4">
        <f>(VLOOKUP('8.0.0'!AB79,'8.0.0'!$AM$4:$AO$45,3,FALSE))</f>
        <v>50</v>
      </c>
      <c r="U79" s="4">
        <f>(VLOOKUP('8.0.0'!AC79,'8.0.0'!$AM$4:$AO$45,3,FALSE))</f>
        <v>50</v>
      </c>
      <c r="V79" s="4">
        <f>(VLOOKUP('8.0.0'!AD79,'8.0.0'!$AM$4:$AO$45,3,FALSE))</f>
        <v>0</v>
      </c>
      <c r="W79" s="5">
        <f>(VLOOKUP('8.0.0'!AE79,'8.0.0'!$AM$4:$AO$45,3,FALSE))</f>
        <v>0</v>
      </c>
      <c r="X79" s="5">
        <f>(VLOOKUP('8.0.0'!AF79,'8.0.0'!$AM$4:$AO$45,3,FALSE))</f>
        <v>0</v>
      </c>
    </row>
    <row r="80" spans="1:24">
      <c r="A80" s="4">
        <f>(VLOOKUP('8.0.0'!I80,'8.0.0'!$AM$4:$AO$45,3,FALSE))</f>
        <v>60</v>
      </c>
      <c r="B80" s="4">
        <f>(VLOOKUP('8.0.0'!J80,'8.0.0'!$AM$4:$AO$45,3,FALSE))</f>
        <v>60</v>
      </c>
      <c r="C80" s="4">
        <f>(VLOOKUP('8.0.0'!K80,'8.0.0'!$AM$4:$AO$45,3,FALSE))</f>
        <v>60</v>
      </c>
      <c r="D80" s="4">
        <f>(VLOOKUP('8.0.0'!L80,'8.0.0'!$AM$4:$AO$45,3,FALSE))</f>
        <v>60</v>
      </c>
      <c r="E80" s="4">
        <f>(VLOOKUP('8.0.0'!M80,'8.0.0'!$AM$4:$AO$45,3,FALSE))</f>
        <v>60</v>
      </c>
      <c r="F80" s="4">
        <f>(VLOOKUP('8.0.0'!N80,'8.0.0'!$AM$4:$AO$45,3,FALSE))</f>
        <v>60</v>
      </c>
      <c r="G80" s="5">
        <f>(VLOOKUP('8.0.0'!O80,'8.0.0'!$AM$4:$AO$45,3,FALSE))</f>
        <v>0</v>
      </c>
      <c r="H80" s="5">
        <f>(VLOOKUP('8.0.0'!P80,'8.0.0'!$AM$4:$AO$45,3,FALSE))</f>
        <v>0</v>
      </c>
      <c r="I80" s="4">
        <f>(VLOOKUP('8.0.0'!Q80,'8.0.0'!$AM$4:$AO$45,3,FALSE))</f>
        <v>0</v>
      </c>
      <c r="J80" s="4">
        <f>(VLOOKUP('8.0.0'!R80,'8.0.0'!$AM$4:$AO$45,3,FALSE))</f>
        <v>0</v>
      </c>
      <c r="K80" s="4">
        <f>(VLOOKUP('8.0.0'!S80,'8.0.0'!$AM$4:$AO$45,3,FALSE))</f>
        <v>0</v>
      </c>
      <c r="L80" s="4">
        <f>(VLOOKUP('8.0.0'!T80,'8.0.0'!$AM$4:$AO$45,3,FALSE))</f>
        <v>0</v>
      </c>
      <c r="M80" s="4">
        <f>(VLOOKUP('8.0.0'!U80,'8.0.0'!$AM$4:$AO$45,3,FALSE))</f>
        <v>0</v>
      </c>
      <c r="N80" s="4">
        <f>(VLOOKUP('8.0.0'!V80,'8.0.0'!$AM$4:$AO$45,3,FALSE))</f>
        <v>0</v>
      </c>
      <c r="O80" s="5">
        <f>(VLOOKUP('8.0.0'!W80,'8.0.0'!$AM$4:$AO$45,3,FALSE))</f>
        <v>0</v>
      </c>
      <c r="P80" s="5">
        <f>(VLOOKUP('8.0.0'!X80,'8.0.0'!$AM$4:$AO$45,3,FALSE))</f>
        <v>0</v>
      </c>
      <c r="Q80" s="4">
        <f>(VLOOKUP('8.0.0'!Y80,'8.0.0'!$AM$4:$AO$45,3,FALSE))</f>
        <v>50</v>
      </c>
      <c r="R80" s="4">
        <f>(VLOOKUP('8.0.0'!Z80,'8.0.0'!$AM$4:$AO$45,3,FALSE))</f>
        <v>50</v>
      </c>
      <c r="S80" s="4">
        <f>(VLOOKUP('8.0.0'!AA80,'8.0.0'!$AM$4:$AO$45,3,FALSE))</f>
        <v>50</v>
      </c>
      <c r="T80" s="4">
        <f>(VLOOKUP('8.0.0'!AB80,'8.0.0'!$AM$4:$AO$45,3,FALSE))</f>
        <v>50</v>
      </c>
      <c r="U80" s="4">
        <f>(VLOOKUP('8.0.0'!AC80,'8.0.0'!$AM$4:$AO$45,3,FALSE))</f>
        <v>0</v>
      </c>
      <c r="V80" s="4">
        <f>(VLOOKUP('8.0.0'!AD80,'8.0.0'!$AM$4:$AO$45,3,FALSE))</f>
        <v>0</v>
      </c>
      <c r="W80" s="5">
        <f>(VLOOKUP('8.0.0'!AE80,'8.0.0'!$AM$4:$AO$45,3,FALSE))</f>
        <v>0</v>
      </c>
      <c r="X80" s="5">
        <f>(VLOOKUP('8.0.0'!AF80,'8.0.0'!$AM$4:$AO$45,3,FALSE))</f>
        <v>0</v>
      </c>
    </row>
    <row r="81" spans="1:24">
      <c r="A81" s="4">
        <f>(VLOOKUP('8.0.0'!I81,'8.0.0'!$AM$4:$AO$45,3,FALSE))</f>
        <v>60</v>
      </c>
      <c r="B81" s="4">
        <f>(VLOOKUP('8.0.0'!J81,'8.0.0'!$AM$4:$AO$45,3,FALSE))</f>
        <v>60</v>
      </c>
      <c r="C81" s="4">
        <f>(VLOOKUP('8.0.0'!K81,'8.0.0'!$AM$4:$AO$45,3,FALSE))</f>
        <v>60</v>
      </c>
      <c r="D81" s="4">
        <f>(VLOOKUP('8.0.0'!L81,'8.0.0'!$AM$4:$AO$45,3,FALSE))</f>
        <v>60</v>
      </c>
      <c r="E81" s="4">
        <f>(VLOOKUP('8.0.0'!M81,'8.0.0'!$AM$4:$AO$45,3,FALSE))</f>
        <v>60</v>
      </c>
      <c r="F81" s="4">
        <f>(VLOOKUP('8.0.0'!N81,'8.0.0'!$AM$4:$AO$45,3,FALSE))</f>
        <v>60</v>
      </c>
      <c r="G81" s="5">
        <f>(VLOOKUP('8.0.0'!O81,'8.0.0'!$AM$4:$AO$45,3,FALSE))</f>
        <v>0</v>
      </c>
      <c r="H81" s="5">
        <f>(VLOOKUP('8.0.0'!P81,'8.0.0'!$AM$4:$AO$45,3,FALSE))</f>
        <v>0</v>
      </c>
      <c r="I81" s="4">
        <f>(VLOOKUP('8.0.0'!Q81,'8.0.0'!$AM$4:$AO$45,3,FALSE))</f>
        <v>0</v>
      </c>
      <c r="J81" s="4">
        <f>(VLOOKUP('8.0.0'!R81,'8.0.0'!$AM$4:$AO$45,3,FALSE))</f>
        <v>0</v>
      </c>
      <c r="K81" s="4">
        <f>(VLOOKUP('8.0.0'!S81,'8.0.0'!$AM$4:$AO$45,3,FALSE))</f>
        <v>0</v>
      </c>
      <c r="L81" s="4">
        <f>(VLOOKUP('8.0.0'!T81,'8.0.0'!$AM$4:$AO$45,3,FALSE))</f>
        <v>0</v>
      </c>
      <c r="M81" s="4">
        <f>(VLOOKUP('8.0.0'!U81,'8.0.0'!$AM$4:$AO$45,3,FALSE))</f>
        <v>0</v>
      </c>
      <c r="N81" s="4">
        <f>(VLOOKUP('8.0.0'!V81,'8.0.0'!$AM$4:$AO$45,3,FALSE))</f>
        <v>0</v>
      </c>
      <c r="O81" s="5">
        <f>(VLOOKUP('8.0.0'!W81,'8.0.0'!$AM$4:$AO$45,3,FALSE))</f>
        <v>0</v>
      </c>
      <c r="P81" s="5">
        <f>(VLOOKUP('8.0.0'!X81,'8.0.0'!$AM$4:$AO$45,3,FALSE))</f>
        <v>0</v>
      </c>
      <c r="Q81" s="4">
        <f>(VLOOKUP('8.0.0'!Y81,'8.0.0'!$AM$4:$AO$45,3,FALSE))</f>
        <v>50</v>
      </c>
      <c r="R81" s="4">
        <f>(VLOOKUP('8.0.0'!Z81,'8.0.0'!$AM$4:$AO$45,3,FALSE))</f>
        <v>50</v>
      </c>
      <c r="S81" s="4">
        <f>(VLOOKUP('8.0.0'!AA81,'8.0.0'!$AM$4:$AO$45,3,FALSE))</f>
        <v>50</v>
      </c>
      <c r="T81" s="4">
        <f>(VLOOKUP('8.0.0'!AB81,'8.0.0'!$AM$4:$AO$45,3,FALSE))</f>
        <v>50</v>
      </c>
      <c r="U81" s="4">
        <f>(VLOOKUP('8.0.0'!AC81,'8.0.0'!$AM$4:$AO$45,3,FALSE))</f>
        <v>0</v>
      </c>
      <c r="V81" s="4">
        <f>(VLOOKUP('8.0.0'!AD81,'8.0.0'!$AM$4:$AO$45,3,FALSE))</f>
        <v>0</v>
      </c>
      <c r="W81" s="5">
        <f>(VLOOKUP('8.0.0'!AE81,'8.0.0'!$AM$4:$AO$45,3,FALSE))</f>
        <v>0</v>
      </c>
      <c r="X81" s="5">
        <f>(VLOOKUP('8.0.0'!AF81,'8.0.0'!$AM$4:$AO$45,3,FALSE))</f>
        <v>0</v>
      </c>
    </row>
    <row r="82" spans="1:24">
      <c r="A82" s="4">
        <f>(VLOOKUP('8.0.0'!I82,'8.0.0'!$AM$4:$AO$45,3,FALSE))</f>
        <v>60</v>
      </c>
      <c r="B82" s="4">
        <f>(VLOOKUP('8.0.0'!J82,'8.0.0'!$AM$4:$AO$45,3,FALSE))</f>
        <v>0</v>
      </c>
      <c r="C82" s="4">
        <f>(VLOOKUP('8.0.0'!K82,'8.0.0'!$AM$4:$AO$45,3,FALSE))</f>
        <v>0</v>
      </c>
      <c r="D82" s="4">
        <f>(VLOOKUP('8.0.0'!L82,'8.0.0'!$AM$4:$AO$45,3,FALSE))</f>
        <v>0</v>
      </c>
      <c r="E82" s="4">
        <f>(VLOOKUP('8.0.0'!M82,'8.0.0'!$AM$4:$AO$45,3,FALSE))</f>
        <v>0</v>
      </c>
      <c r="F82" s="4">
        <f>(VLOOKUP('8.0.0'!N82,'8.0.0'!$AM$4:$AO$45,3,FALSE))</f>
        <v>0</v>
      </c>
      <c r="G82" s="5">
        <f>(VLOOKUP('8.0.0'!O82,'8.0.0'!$AM$4:$AO$45,3,FALSE))</f>
        <v>0</v>
      </c>
      <c r="H82" s="5">
        <f>(VLOOKUP('8.0.0'!P82,'8.0.0'!$AM$4:$AO$45,3,FALSE))</f>
        <v>0</v>
      </c>
      <c r="I82" s="4">
        <f>(VLOOKUP('8.0.0'!Q82,'8.0.0'!$AM$4:$AO$45,3,FALSE))</f>
        <v>30</v>
      </c>
      <c r="J82" s="4">
        <f>(VLOOKUP('8.0.0'!R82,'8.0.0'!$AM$4:$AO$45,3,FALSE))</f>
        <v>40</v>
      </c>
      <c r="K82" s="4">
        <f>(VLOOKUP('8.0.0'!S82,'8.0.0'!$AM$4:$AO$45,3,FALSE))</f>
        <v>40</v>
      </c>
      <c r="L82" s="4">
        <f>(VLOOKUP('8.0.0'!T82,'8.0.0'!$AM$4:$AO$45,3,FALSE))</f>
        <v>40</v>
      </c>
      <c r="M82" s="4">
        <f>(VLOOKUP('8.0.0'!U82,'8.0.0'!$AM$4:$AO$45,3,FALSE))</f>
        <v>40</v>
      </c>
      <c r="N82" s="4">
        <f>(VLOOKUP('8.0.0'!V82,'8.0.0'!$AM$4:$AO$45,3,FALSE))</f>
        <v>30</v>
      </c>
      <c r="O82" s="5">
        <f>(VLOOKUP('8.0.0'!W82,'8.0.0'!$AM$4:$AO$45,3,FALSE))</f>
        <v>0</v>
      </c>
      <c r="P82" s="5">
        <f>(VLOOKUP('8.0.0'!X82,'8.0.0'!$AM$4:$AO$45,3,FALSE))</f>
        <v>0</v>
      </c>
      <c r="Q82" s="4">
        <f>(VLOOKUP('8.0.0'!Y82,'8.0.0'!$AM$4:$AO$45,3,FALSE))</f>
        <v>50</v>
      </c>
      <c r="R82" s="4">
        <f>(VLOOKUP('8.0.0'!Z82,'8.0.0'!$AM$4:$AO$45,3,FALSE))</f>
        <v>50</v>
      </c>
      <c r="S82" s="4">
        <f>(VLOOKUP('8.0.0'!AA82,'8.0.0'!$AM$4:$AO$45,3,FALSE))</f>
        <v>50</v>
      </c>
      <c r="T82" s="4">
        <f>(VLOOKUP('8.0.0'!AB82,'8.0.0'!$AM$4:$AO$45,3,FALSE))</f>
        <v>50</v>
      </c>
      <c r="U82" s="4">
        <f>(VLOOKUP('8.0.0'!AC82,'8.0.0'!$AM$4:$AO$45,3,FALSE))</f>
        <v>50</v>
      </c>
      <c r="V82" s="4">
        <f>(VLOOKUP('8.0.0'!AD82,'8.0.0'!$AM$4:$AO$45,3,FALSE))</f>
        <v>50</v>
      </c>
      <c r="W82" s="5">
        <f>(VLOOKUP('8.0.0'!AE82,'8.0.0'!$AM$4:$AO$45,3,FALSE))</f>
        <v>0</v>
      </c>
      <c r="X82" s="5">
        <f>(VLOOKUP('8.0.0'!AF82,'8.0.0'!$AM$4:$AO$45,3,FALSE))</f>
        <v>0</v>
      </c>
    </row>
    <row r="83" spans="1:24">
      <c r="A83" s="4">
        <f>(VLOOKUP('8.0.0'!I83,'8.0.0'!$AM$4:$AO$45,3,FALSE))</f>
        <v>55</v>
      </c>
      <c r="B83" s="4">
        <f>(VLOOKUP('8.0.0'!J83,'8.0.0'!$AM$4:$AO$45,3,FALSE))</f>
        <v>55</v>
      </c>
      <c r="C83" s="4">
        <f>(VLOOKUP('8.0.0'!K83,'8.0.0'!$AM$4:$AO$45,3,FALSE))</f>
        <v>55</v>
      </c>
      <c r="D83" s="4">
        <f>(VLOOKUP('8.0.0'!L83,'8.0.0'!$AM$4:$AO$45,3,FALSE))</f>
        <v>0</v>
      </c>
      <c r="E83" s="4">
        <f>(VLOOKUP('8.0.0'!M83,'8.0.0'!$AM$4:$AO$45,3,FALSE))</f>
        <v>0</v>
      </c>
      <c r="F83" s="4">
        <f>(VLOOKUP('8.0.0'!N83,'8.0.0'!$AM$4:$AO$45,3,FALSE))</f>
        <v>0</v>
      </c>
      <c r="G83" s="5">
        <f>(VLOOKUP('8.0.0'!O83,'8.0.0'!$AM$4:$AO$45,3,FALSE))</f>
        <v>0</v>
      </c>
      <c r="H83" s="5">
        <f>(VLOOKUP('8.0.0'!P83,'8.0.0'!$AM$4:$AO$45,3,FALSE))</f>
        <v>0</v>
      </c>
      <c r="I83" s="4">
        <f>(VLOOKUP('8.0.0'!Q83,'8.0.0'!$AM$4:$AO$45,3,FALSE))</f>
        <v>40</v>
      </c>
      <c r="J83" s="4">
        <f>(VLOOKUP('8.0.0'!R83,'8.0.0'!$AM$4:$AO$45,3,FALSE))</f>
        <v>0</v>
      </c>
      <c r="K83" s="4">
        <f>(VLOOKUP('8.0.0'!S83,'8.0.0'!$AM$4:$AO$45,3,FALSE))</f>
        <v>40</v>
      </c>
      <c r="L83" s="4">
        <f>(VLOOKUP('8.0.0'!T83,'8.0.0'!$AM$4:$AO$45,3,FALSE))</f>
        <v>40</v>
      </c>
      <c r="M83" s="4">
        <f>(VLOOKUP('8.0.0'!U83,'8.0.0'!$AM$4:$AO$45,3,FALSE))</f>
        <v>30</v>
      </c>
      <c r="N83" s="4">
        <f>(VLOOKUP('8.0.0'!V83,'8.0.0'!$AM$4:$AO$45,3,FALSE))</f>
        <v>40</v>
      </c>
      <c r="O83" s="5">
        <f>(VLOOKUP('8.0.0'!W83,'8.0.0'!$AM$4:$AO$45,3,FALSE))</f>
        <v>35</v>
      </c>
      <c r="P83" s="5">
        <f>(VLOOKUP('8.0.0'!X83,'8.0.0'!$AM$4:$AO$45,3,FALSE))</f>
        <v>35</v>
      </c>
      <c r="Q83" s="4">
        <f>(VLOOKUP('8.0.0'!Y83,'8.0.0'!$AM$4:$AO$45,3,FALSE))</f>
        <v>50</v>
      </c>
      <c r="R83" s="4">
        <f>(VLOOKUP('8.0.0'!Z83,'8.0.0'!$AM$4:$AO$45,3,FALSE))</f>
        <v>50</v>
      </c>
      <c r="S83" s="4">
        <f>(VLOOKUP('8.0.0'!AA83,'8.0.0'!$AM$4:$AO$45,3,FALSE))</f>
        <v>50</v>
      </c>
      <c r="T83" s="4">
        <f>(VLOOKUP('8.0.0'!AB83,'8.0.0'!$AM$4:$AO$45,3,FALSE))</f>
        <v>50</v>
      </c>
      <c r="U83" s="4">
        <f>(VLOOKUP('8.0.0'!AC83,'8.0.0'!$AM$4:$AO$45,3,FALSE))</f>
        <v>0</v>
      </c>
      <c r="V83" s="4">
        <f>(VLOOKUP('8.0.0'!AD83,'8.0.0'!$AM$4:$AO$45,3,FALSE))</f>
        <v>0</v>
      </c>
      <c r="W83" s="5">
        <f>(VLOOKUP('8.0.0'!AE83,'8.0.0'!$AM$4:$AO$45,3,FALSE))</f>
        <v>0</v>
      </c>
      <c r="X83" s="5">
        <f>(VLOOKUP('8.0.0'!AF83,'8.0.0'!$AM$4:$AO$45,3,FALSE))</f>
        <v>0</v>
      </c>
    </row>
    <row r="84" spans="1:24">
      <c r="A84" s="4">
        <f>(VLOOKUP('8.0.0'!I84,'8.0.0'!$AM$4:$AO$45,3,FALSE))</f>
        <v>55</v>
      </c>
      <c r="B84" s="4">
        <f>(VLOOKUP('8.0.0'!J84,'8.0.0'!$AM$4:$AO$45,3,FALSE))</f>
        <v>0</v>
      </c>
      <c r="C84" s="4">
        <f>(VLOOKUP('8.0.0'!K84,'8.0.0'!$AM$4:$AO$45,3,FALSE))</f>
        <v>55</v>
      </c>
      <c r="D84" s="4">
        <f>(VLOOKUP('8.0.0'!L84,'8.0.0'!$AM$4:$AO$45,3,FALSE))</f>
        <v>55</v>
      </c>
      <c r="E84" s="4">
        <f>(VLOOKUP('8.0.0'!M84,'8.0.0'!$AM$4:$AO$45,3,FALSE))</f>
        <v>55</v>
      </c>
      <c r="F84" s="4">
        <f>(VLOOKUP('8.0.0'!N84,'8.0.0'!$AM$4:$AO$45,3,FALSE))</f>
        <v>55</v>
      </c>
      <c r="G84" s="5">
        <f>(VLOOKUP('8.0.0'!O84,'8.0.0'!$AM$4:$AO$45,3,FALSE))</f>
        <v>55</v>
      </c>
      <c r="H84" s="5">
        <f>(VLOOKUP('8.0.0'!P84,'8.0.0'!$AM$4:$AO$45,3,FALSE))</f>
        <v>55</v>
      </c>
      <c r="I84" s="4">
        <f>(VLOOKUP('8.0.0'!Q84,'8.0.0'!$AM$4:$AO$45,3,FALSE))</f>
        <v>30</v>
      </c>
      <c r="J84" s="4">
        <f>(VLOOKUP('8.0.0'!R84,'8.0.0'!$AM$4:$AO$45,3,FALSE))</f>
        <v>35</v>
      </c>
      <c r="K84" s="4">
        <f>(VLOOKUP('8.0.0'!S84,'8.0.0'!$AM$4:$AO$45,3,FALSE))</f>
        <v>35</v>
      </c>
      <c r="L84" s="4">
        <f>(VLOOKUP('8.0.0'!T84,'8.0.0'!$AM$4:$AO$45,3,FALSE))</f>
        <v>35</v>
      </c>
      <c r="M84" s="4">
        <f>(VLOOKUP('8.0.0'!U84,'8.0.0'!$AM$4:$AO$45,3,FALSE))</f>
        <v>30</v>
      </c>
      <c r="N84" s="4">
        <f>(VLOOKUP('8.0.0'!V84,'8.0.0'!$AM$4:$AO$45,3,FALSE))</f>
        <v>40</v>
      </c>
      <c r="O84" s="5">
        <f>(VLOOKUP('8.0.0'!W84,'8.0.0'!$AM$4:$AO$45,3,FALSE))</f>
        <v>0</v>
      </c>
      <c r="P84" s="5">
        <f>(VLOOKUP('8.0.0'!X84,'8.0.0'!$AM$4:$AO$45,3,FALSE))</f>
        <v>0</v>
      </c>
      <c r="Q84" s="4">
        <f>(VLOOKUP('8.0.0'!Y84,'8.0.0'!$AM$4:$AO$45,3,FALSE))</f>
        <v>50</v>
      </c>
      <c r="R84" s="4">
        <f>(VLOOKUP('8.0.0'!Z84,'8.0.0'!$AM$4:$AO$45,3,FALSE))</f>
        <v>0</v>
      </c>
      <c r="S84" s="4">
        <f>(VLOOKUP('8.0.0'!AA84,'8.0.0'!$AM$4:$AO$45,3,FALSE))</f>
        <v>0</v>
      </c>
      <c r="T84" s="4">
        <f>(VLOOKUP('8.0.0'!AB84,'8.0.0'!$AM$4:$AO$45,3,FALSE))</f>
        <v>0</v>
      </c>
      <c r="U84" s="4">
        <f>(VLOOKUP('8.0.0'!AC84,'8.0.0'!$AM$4:$AO$45,3,FALSE))</f>
        <v>0</v>
      </c>
      <c r="V84" s="4">
        <f>(VLOOKUP('8.0.0'!AD84,'8.0.0'!$AM$4:$AO$45,3,FALSE))</f>
        <v>0</v>
      </c>
      <c r="W84" s="5">
        <f>(VLOOKUP('8.0.0'!AE84,'8.0.0'!$AM$4:$AO$45,3,FALSE))</f>
        <v>0</v>
      </c>
      <c r="X84" s="5">
        <f>(VLOOKUP('8.0.0'!AF84,'8.0.0'!$AM$4:$AO$45,3,FALSE))</f>
        <v>0</v>
      </c>
    </row>
    <row r="85" spans="1:24">
      <c r="A85" s="4">
        <f>(VLOOKUP('8.0.0'!I85,'8.0.0'!$AM$4:$AO$45,3,FALSE))</f>
        <v>55</v>
      </c>
      <c r="B85" s="4">
        <f>(VLOOKUP('8.0.0'!J85,'8.0.0'!$AM$4:$AO$45,3,FALSE))</f>
        <v>55</v>
      </c>
      <c r="C85" s="4">
        <f>(VLOOKUP('8.0.0'!K85,'8.0.0'!$AM$4:$AO$45,3,FALSE))</f>
        <v>55</v>
      </c>
      <c r="D85" s="4">
        <f>(VLOOKUP('8.0.0'!L85,'8.0.0'!$AM$4:$AO$45,3,FALSE))</f>
        <v>55</v>
      </c>
      <c r="E85" s="4">
        <f>(VLOOKUP('8.0.0'!M85,'8.0.0'!$AM$4:$AO$45,3,FALSE))</f>
        <v>55</v>
      </c>
      <c r="F85" s="4">
        <f>(VLOOKUP('8.0.0'!N85,'8.0.0'!$AM$4:$AO$45,3,FALSE))</f>
        <v>55</v>
      </c>
      <c r="G85" s="5">
        <f>(VLOOKUP('8.0.0'!O85,'8.0.0'!$AM$4:$AO$45,3,FALSE))</f>
        <v>0</v>
      </c>
      <c r="H85" s="5">
        <f>(VLOOKUP('8.0.0'!P85,'8.0.0'!$AM$4:$AO$45,3,FALSE))</f>
        <v>0</v>
      </c>
      <c r="I85" s="4">
        <f>(VLOOKUP('8.0.0'!Q85,'8.0.0'!$AM$4:$AO$45,3,FALSE))</f>
        <v>30</v>
      </c>
      <c r="J85" s="4">
        <f>(VLOOKUP('8.0.0'!R85,'8.0.0'!$AM$4:$AO$45,3,FALSE))</f>
        <v>40</v>
      </c>
      <c r="K85" s="4">
        <f>(VLOOKUP('8.0.0'!S85,'8.0.0'!$AM$4:$AO$45,3,FALSE))</f>
        <v>40</v>
      </c>
      <c r="L85" s="4">
        <f>(VLOOKUP('8.0.0'!T85,'8.0.0'!$AM$4:$AO$45,3,FALSE))</f>
        <v>0</v>
      </c>
      <c r="M85" s="4">
        <f>(VLOOKUP('8.0.0'!U85,'8.0.0'!$AM$4:$AO$45,3,FALSE))</f>
        <v>0</v>
      </c>
      <c r="N85" s="4">
        <f>(VLOOKUP('8.0.0'!V85,'8.0.0'!$AM$4:$AO$45,3,FALSE))</f>
        <v>0</v>
      </c>
      <c r="O85" s="5">
        <f>(VLOOKUP('8.0.0'!W85,'8.0.0'!$AM$4:$AO$45,3,FALSE))</f>
        <v>0</v>
      </c>
      <c r="P85" s="5">
        <f>(VLOOKUP('8.0.0'!X85,'8.0.0'!$AM$4:$AO$45,3,FALSE))</f>
        <v>0</v>
      </c>
      <c r="Q85" s="4">
        <f>(VLOOKUP('8.0.0'!Y85,'8.0.0'!$AM$4:$AO$45,3,FALSE))</f>
        <v>50</v>
      </c>
      <c r="R85" s="4">
        <f>(VLOOKUP('8.0.0'!Z85,'8.0.0'!$AM$4:$AO$45,3,FALSE))</f>
        <v>50</v>
      </c>
      <c r="S85" s="4">
        <f>(VLOOKUP('8.0.0'!AA85,'8.0.0'!$AM$4:$AO$45,3,FALSE))</f>
        <v>50</v>
      </c>
      <c r="T85" s="4">
        <f>(VLOOKUP('8.0.0'!AB85,'8.0.0'!$AM$4:$AO$45,3,FALSE))</f>
        <v>0</v>
      </c>
      <c r="U85" s="4">
        <f>(VLOOKUP('8.0.0'!AC85,'8.0.0'!$AM$4:$AO$45,3,FALSE))</f>
        <v>0</v>
      </c>
      <c r="V85" s="4">
        <f>(VLOOKUP('8.0.0'!AD85,'8.0.0'!$AM$4:$AO$45,3,FALSE))</f>
        <v>0</v>
      </c>
      <c r="W85" s="5">
        <f>(VLOOKUP('8.0.0'!AE85,'8.0.0'!$AM$4:$AO$45,3,FALSE))</f>
        <v>0</v>
      </c>
      <c r="X85" s="5">
        <f>(VLOOKUP('8.0.0'!AF85,'8.0.0'!$AM$4:$AO$45,3,FALSE))</f>
        <v>0</v>
      </c>
    </row>
    <row r="86" spans="1:24">
      <c r="A86" s="4">
        <f>(VLOOKUP('8.0.0'!I86,'8.0.0'!$AM$4:$AO$45,3,FALSE))</f>
        <v>55</v>
      </c>
      <c r="B86" s="4">
        <f>(VLOOKUP('8.0.0'!J86,'8.0.0'!$AM$4:$AO$45,3,FALSE))</f>
        <v>55</v>
      </c>
      <c r="C86" s="4">
        <f>(VLOOKUP('8.0.0'!K86,'8.0.0'!$AM$4:$AO$45,3,FALSE))</f>
        <v>55</v>
      </c>
      <c r="D86" s="4">
        <f>(VLOOKUP('8.0.0'!L86,'8.0.0'!$AM$4:$AO$45,3,FALSE))</f>
        <v>55</v>
      </c>
      <c r="E86" s="4">
        <f>(VLOOKUP('8.0.0'!M86,'8.0.0'!$AM$4:$AO$45,3,FALSE))</f>
        <v>55</v>
      </c>
      <c r="F86" s="4">
        <f>(VLOOKUP('8.0.0'!N86,'8.0.0'!$AM$4:$AO$45,3,FALSE))</f>
        <v>55</v>
      </c>
      <c r="G86" s="5">
        <f>(VLOOKUP('8.0.0'!O86,'8.0.0'!$AM$4:$AO$45,3,FALSE))</f>
        <v>0</v>
      </c>
      <c r="H86" s="5">
        <f>(VLOOKUP('8.0.0'!P86,'8.0.0'!$AM$4:$AO$45,3,FALSE))</f>
        <v>0</v>
      </c>
      <c r="I86" s="4">
        <f>(VLOOKUP('8.0.0'!Q86,'8.0.0'!$AM$4:$AO$45,3,FALSE))</f>
        <v>40</v>
      </c>
      <c r="J86" s="4">
        <f>(VLOOKUP('8.0.0'!R86,'8.0.0'!$AM$4:$AO$45,3,FALSE))</f>
        <v>30</v>
      </c>
      <c r="K86" s="4">
        <f>(VLOOKUP('8.0.0'!S86,'8.0.0'!$AM$4:$AO$45,3,FALSE))</f>
        <v>40</v>
      </c>
      <c r="L86" s="4">
        <f>(VLOOKUP('8.0.0'!T86,'8.0.0'!$AM$4:$AO$45,3,FALSE))</f>
        <v>40</v>
      </c>
      <c r="M86" s="4">
        <f>(VLOOKUP('8.0.0'!U86,'8.0.0'!$AM$4:$AO$45,3,FALSE))</f>
        <v>0</v>
      </c>
      <c r="N86" s="4">
        <f>(VLOOKUP('8.0.0'!V86,'8.0.0'!$AM$4:$AO$45,3,FALSE))</f>
        <v>0</v>
      </c>
      <c r="O86" s="5">
        <f>(VLOOKUP('8.0.0'!W86,'8.0.0'!$AM$4:$AO$45,3,FALSE))</f>
        <v>0</v>
      </c>
      <c r="P86" s="5">
        <f>(VLOOKUP('8.0.0'!X86,'8.0.0'!$AM$4:$AO$45,3,FALSE))</f>
        <v>0</v>
      </c>
      <c r="Q86" s="4">
        <f>(VLOOKUP('8.0.0'!Y86,'8.0.0'!$AM$4:$AO$45,3,FALSE))</f>
        <v>50</v>
      </c>
      <c r="R86" s="4">
        <f>(VLOOKUP('8.0.0'!Z86,'8.0.0'!$AM$4:$AO$45,3,FALSE))</f>
        <v>50</v>
      </c>
      <c r="S86" s="4">
        <f>(VLOOKUP('8.0.0'!AA86,'8.0.0'!$AM$4:$AO$45,3,FALSE))</f>
        <v>0</v>
      </c>
      <c r="T86" s="4">
        <f>(VLOOKUP('8.0.0'!AB86,'8.0.0'!$AM$4:$AO$45,3,FALSE))</f>
        <v>0</v>
      </c>
      <c r="U86" s="4">
        <f>(VLOOKUP('8.0.0'!AC86,'8.0.0'!$AM$4:$AO$45,3,FALSE))</f>
        <v>0</v>
      </c>
      <c r="V86" s="4">
        <f>(VLOOKUP('8.0.0'!AD86,'8.0.0'!$AM$4:$AO$45,3,FALSE))</f>
        <v>0</v>
      </c>
      <c r="W86" s="5">
        <f>(VLOOKUP('8.0.0'!AE86,'8.0.0'!$AM$4:$AO$45,3,FALSE))</f>
        <v>0</v>
      </c>
      <c r="X86" s="5">
        <f>(VLOOKUP('8.0.0'!AF86,'8.0.0'!$AM$4:$AO$45,3,FALSE))</f>
        <v>0</v>
      </c>
    </row>
    <row r="87" spans="1:24">
      <c r="A87" s="4">
        <f>(VLOOKUP('8.0.0'!I87,'8.0.0'!$AM$4:$AO$45,3,FALSE))</f>
        <v>55</v>
      </c>
      <c r="B87" s="4">
        <f>(VLOOKUP('8.0.0'!J87,'8.0.0'!$AM$4:$AO$45,3,FALSE))</f>
        <v>55</v>
      </c>
      <c r="C87" s="4">
        <f>(VLOOKUP('8.0.0'!K87,'8.0.0'!$AM$4:$AO$45,3,FALSE))</f>
        <v>55</v>
      </c>
      <c r="D87" s="4">
        <f>(VLOOKUP('8.0.0'!L87,'8.0.0'!$AM$4:$AO$45,3,FALSE))</f>
        <v>55</v>
      </c>
      <c r="E87" s="4">
        <f>(VLOOKUP('8.0.0'!M87,'8.0.0'!$AM$4:$AO$45,3,FALSE))</f>
        <v>55</v>
      </c>
      <c r="F87" s="4">
        <f>(VLOOKUP('8.0.0'!N87,'8.0.0'!$AM$4:$AO$45,3,FALSE))</f>
        <v>55</v>
      </c>
      <c r="G87" s="5">
        <f>(VLOOKUP('8.0.0'!O87,'8.0.0'!$AM$4:$AO$45,3,FALSE))</f>
        <v>0</v>
      </c>
      <c r="H87" s="5">
        <f>(VLOOKUP('8.0.0'!P87,'8.0.0'!$AM$4:$AO$45,3,FALSE))</f>
        <v>0</v>
      </c>
      <c r="I87" s="4">
        <f>(VLOOKUP('8.0.0'!Q87,'8.0.0'!$AM$4:$AO$45,3,FALSE))</f>
        <v>40</v>
      </c>
      <c r="J87" s="4">
        <f>(VLOOKUP('8.0.0'!R87,'8.0.0'!$AM$4:$AO$45,3,FALSE))</f>
        <v>40</v>
      </c>
      <c r="K87" s="4">
        <f>(VLOOKUP('8.0.0'!S87,'8.0.0'!$AM$4:$AO$45,3,FALSE))</f>
        <v>0</v>
      </c>
      <c r="L87" s="4">
        <f>(VLOOKUP('8.0.0'!T87,'8.0.0'!$AM$4:$AO$45,3,FALSE))</f>
        <v>40</v>
      </c>
      <c r="M87" s="4">
        <f>(VLOOKUP('8.0.0'!U87,'8.0.0'!$AM$4:$AO$45,3,FALSE))</f>
        <v>40</v>
      </c>
      <c r="N87" s="4">
        <f>(VLOOKUP('8.0.0'!V87,'8.0.0'!$AM$4:$AO$45,3,FALSE))</f>
        <v>30</v>
      </c>
      <c r="O87" s="5">
        <f>(VLOOKUP('8.0.0'!W87,'8.0.0'!$AM$4:$AO$45,3,FALSE))</f>
        <v>40</v>
      </c>
      <c r="P87" s="5">
        <f>(VLOOKUP('8.0.0'!X87,'8.0.0'!$AM$4:$AO$45,3,FALSE))</f>
        <v>0</v>
      </c>
      <c r="Q87" s="4">
        <f>(VLOOKUP('8.0.0'!Y87,'8.0.0'!$AM$4:$AO$45,3,FALSE))</f>
        <v>50</v>
      </c>
      <c r="R87" s="4">
        <f>(VLOOKUP('8.0.0'!Z87,'8.0.0'!$AM$4:$AO$45,3,FALSE))</f>
        <v>0</v>
      </c>
      <c r="S87" s="4">
        <f>(VLOOKUP('8.0.0'!AA87,'8.0.0'!$AM$4:$AO$45,3,FALSE))</f>
        <v>0</v>
      </c>
      <c r="T87" s="4">
        <f>(VLOOKUP('8.0.0'!AB87,'8.0.0'!$AM$4:$AO$45,3,FALSE))</f>
        <v>0</v>
      </c>
      <c r="U87" s="4">
        <f>(VLOOKUP('8.0.0'!AC87,'8.0.0'!$AM$4:$AO$45,3,FALSE))</f>
        <v>0</v>
      </c>
      <c r="V87" s="4">
        <f>(VLOOKUP('8.0.0'!AD87,'8.0.0'!$AM$4:$AO$45,3,FALSE))</f>
        <v>0</v>
      </c>
      <c r="W87" s="5">
        <f>(VLOOKUP('8.0.0'!AE87,'8.0.0'!$AM$4:$AO$45,3,FALSE))</f>
        <v>0</v>
      </c>
      <c r="X87" s="5">
        <f>(VLOOKUP('8.0.0'!AF87,'8.0.0'!$AM$4:$AO$45,3,FALSE))</f>
        <v>0</v>
      </c>
    </row>
    <row r="88" spans="1:24">
      <c r="A88" s="4">
        <f>(VLOOKUP('8.0.0'!I88,'8.0.0'!$AM$4:$AO$45,3,FALSE))</f>
        <v>55</v>
      </c>
      <c r="B88" s="4">
        <f>(VLOOKUP('8.0.0'!J88,'8.0.0'!$AM$4:$AO$45,3,FALSE))</f>
        <v>55</v>
      </c>
      <c r="C88" s="4">
        <f>(VLOOKUP('8.0.0'!K88,'8.0.0'!$AM$4:$AO$45,3,FALSE))</f>
        <v>55</v>
      </c>
      <c r="D88" s="4">
        <f>(VLOOKUP('8.0.0'!L88,'8.0.0'!$AM$4:$AO$45,3,FALSE))</f>
        <v>55</v>
      </c>
      <c r="E88" s="4">
        <f>(VLOOKUP('8.0.0'!M88,'8.0.0'!$AM$4:$AO$45,3,FALSE))</f>
        <v>55</v>
      </c>
      <c r="F88" s="4">
        <f>(VLOOKUP('8.0.0'!N88,'8.0.0'!$AM$4:$AO$45,3,FALSE))</f>
        <v>55</v>
      </c>
      <c r="G88" s="5">
        <f>(VLOOKUP('8.0.0'!O88,'8.0.0'!$AM$4:$AO$45,3,FALSE))</f>
        <v>0</v>
      </c>
      <c r="H88" s="5">
        <f>(VLOOKUP('8.0.0'!P88,'8.0.0'!$AM$4:$AO$45,3,FALSE))</f>
        <v>0</v>
      </c>
      <c r="I88" s="4">
        <f>(VLOOKUP('8.0.0'!Q88,'8.0.0'!$AM$4:$AO$45,3,FALSE))</f>
        <v>40</v>
      </c>
      <c r="J88" s="4">
        <f>(VLOOKUP('8.0.0'!R88,'8.0.0'!$AM$4:$AO$45,3,FALSE))</f>
        <v>40</v>
      </c>
      <c r="K88" s="4">
        <f>(VLOOKUP('8.0.0'!S88,'8.0.0'!$AM$4:$AO$45,3,FALSE))</f>
        <v>40</v>
      </c>
      <c r="L88" s="4">
        <f>(VLOOKUP('8.0.0'!T88,'8.0.0'!$AM$4:$AO$45,3,FALSE))</f>
        <v>30</v>
      </c>
      <c r="M88" s="4">
        <f>(VLOOKUP('8.0.0'!U88,'8.0.0'!$AM$4:$AO$45,3,FALSE))</f>
        <v>40</v>
      </c>
      <c r="N88" s="4">
        <f>(VLOOKUP('8.0.0'!V88,'8.0.0'!$AM$4:$AO$45,3,FALSE))</f>
        <v>40</v>
      </c>
      <c r="O88" s="5">
        <f>(VLOOKUP('8.0.0'!W88,'8.0.0'!$AM$4:$AO$45,3,FALSE))</f>
        <v>0</v>
      </c>
      <c r="P88" s="5">
        <f>(VLOOKUP('8.0.0'!X88,'8.0.0'!$AM$4:$AO$45,3,FALSE))</f>
        <v>0</v>
      </c>
      <c r="Q88" s="4">
        <f>(VLOOKUP('8.0.0'!Y88,'8.0.0'!$AM$4:$AO$45,3,FALSE))</f>
        <v>0</v>
      </c>
      <c r="R88" s="4">
        <f>(VLOOKUP('8.0.0'!Z88,'8.0.0'!$AM$4:$AO$45,3,FALSE))</f>
        <v>0</v>
      </c>
      <c r="S88" s="4">
        <f>(VLOOKUP('8.0.0'!AA88,'8.0.0'!$AM$4:$AO$45,3,FALSE))</f>
        <v>0</v>
      </c>
      <c r="T88" s="4">
        <f>(VLOOKUP('8.0.0'!AB88,'8.0.0'!$AM$4:$AO$45,3,FALSE))</f>
        <v>0</v>
      </c>
      <c r="U88" s="4">
        <f>(VLOOKUP('8.0.0'!AC88,'8.0.0'!$AM$4:$AO$45,3,FALSE))</f>
        <v>0</v>
      </c>
      <c r="V88" s="4">
        <f>(VLOOKUP('8.0.0'!AD88,'8.0.0'!$AM$4:$AO$45,3,FALSE))</f>
        <v>0</v>
      </c>
      <c r="W88" s="5">
        <f>(VLOOKUP('8.0.0'!AE88,'8.0.0'!$AM$4:$AO$45,3,FALSE))</f>
        <v>0</v>
      </c>
      <c r="X88" s="5">
        <f>(VLOOKUP('8.0.0'!AF88,'8.0.0'!$AM$4:$AO$45,3,FALSE))</f>
        <v>0</v>
      </c>
    </row>
    <row r="89" spans="1:24">
      <c r="A89" s="4">
        <f>(VLOOKUP('8.0.0'!I89,'8.0.0'!$AM$4:$AO$45,3,FALSE))</f>
        <v>55</v>
      </c>
      <c r="B89" s="4">
        <f>(VLOOKUP('8.0.0'!J89,'8.0.0'!$AM$4:$AO$45,3,FALSE))</f>
        <v>55</v>
      </c>
      <c r="C89" s="4">
        <f>(VLOOKUP('8.0.0'!K89,'8.0.0'!$AM$4:$AO$45,3,FALSE))</f>
        <v>55</v>
      </c>
      <c r="D89" s="4">
        <f>(VLOOKUP('8.0.0'!L89,'8.0.0'!$AM$4:$AO$45,3,FALSE))</f>
        <v>55</v>
      </c>
      <c r="E89" s="4">
        <f>(VLOOKUP('8.0.0'!M89,'8.0.0'!$AM$4:$AO$45,3,FALSE))</f>
        <v>55</v>
      </c>
      <c r="F89" s="4">
        <f>(VLOOKUP('8.0.0'!N89,'8.0.0'!$AM$4:$AO$45,3,FALSE))</f>
        <v>55</v>
      </c>
      <c r="G89" s="5">
        <f>(VLOOKUP('8.0.0'!O89,'8.0.0'!$AM$4:$AO$45,3,FALSE))</f>
        <v>0</v>
      </c>
      <c r="H89" s="5">
        <f>(VLOOKUP('8.0.0'!P89,'8.0.0'!$AM$4:$AO$45,3,FALSE))</f>
        <v>0</v>
      </c>
      <c r="I89" s="4">
        <f>(VLOOKUP('8.0.0'!Q89,'8.0.0'!$AM$4:$AO$45,3,FALSE))</f>
        <v>40</v>
      </c>
      <c r="J89" s="4">
        <f>(VLOOKUP('8.0.0'!R89,'8.0.0'!$AM$4:$AO$45,3,FALSE))</f>
        <v>40</v>
      </c>
      <c r="K89" s="4">
        <f>(VLOOKUP('8.0.0'!S89,'8.0.0'!$AM$4:$AO$45,3,FALSE))</f>
        <v>40</v>
      </c>
      <c r="L89" s="4">
        <f>(VLOOKUP('8.0.0'!T89,'8.0.0'!$AM$4:$AO$45,3,FALSE))</f>
        <v>40</v>
      </c>
      <c r="M89" s="4">
        <f>(VLOOKUP('8.0.0'!U89,'8.0.0'!$AM$4:$AO$45,3,FALSE))</f>
        <v>30</v>
      </c>
      <c r="N89" s="4">
        <f>(VLOOKUP('8.0.0'!V89,'8.0.0'!$AM$4:$AO$45,3,FALSE))</f>
        <v>0</v>
      </c>
      <c r="O89" s="5">
        <f>(VLOOKUP('8.0.0'!W89,'8.0.0'!$AM$4:$AO$45,3,FALSE))</f>
        <v>0</v>
      </c>
      <c r="P89" s="5">
        <f>(VLOOKUP('8.0.0'!X89,'8.0.0'!$AM$4:$AO$45,3,FALSE))</f>
        <v>0</v>
      </c>
      <c r="Q89" s="4">
        <f>(VLOOKUP('8.0.0'!Y89,'8.0.0'!$AM$4:$AO$45,3,FALSE))</f>
        <v>50</v>
      </c>
      <c r="R89" s="4">
        <f>(VLOOKUP('8.0.0'!Z89,'8.0.0'!$AM$4:$AO$45,3,FALSE))</f>
        <v>0</v>
      </c>
      <c r="S89" s="4">
        <f>(VLOOKUP('8.0.0'!AA89,'8.0.0'!$AM$4:$AO$45,3,FALSE))</f>
        <v>0</v>
      </c>
      <c r="T89" s="4">
        <f>(VLOOKUP('8.0.0'!AB89,'8.0.0'!$AM$4:$AO$45,3,FALSE))</f>
        <v>0</v>
      </c>
      <c r="U89" s="4">
        <f>(VLOOKUP('8.0.0'!AC89,'8.0.0'!$AM$4:$AO$45,3,FALSE))</f>
        <v>0</v>
      </c>
      <c r="V89" s="4">
        <f>(VLOOKUP('8.0.0'!AD89,'8.0.0'!$AM$4:$AO$45,3,FALSE))</f>
        <v>0</v>
      </c>
      <c r="W89" s="5">
        <f>(VLOOKUP('8.0.0'!AE89,'8.0.0'!$AM$4:$AO$45,3,FALSE))</f>
        <v>0</v>
      </c>
      <c r="X89" s="5">
        <f>(VLOOKUP('8.0.0'!AF89,'8.0.0'!$AM$4:$AO$45,3,FALSE))</f>
        <v>0</v>
      </c>
    </row>
    <row r="90" spans="1:24">
      <c r="A90" s="4">
        <f>(VLOOKUP('8.0.0'!I90,'8.0.0'!$AM$4:$AO$45,3,FALSE))</f>
        <v>55</v>
      </c>
      <c r="B90" s="4">
        <f>(VLOOKUP('8.0.0'!J90,'8.0.0'!$AM$4:$AO$45,3,FALSE))</f>
        <v>55</v>
      </c>
      <c r="C90" s="4">
        <f>(VLOOKUP('8.0.0'!K90,'8.0.0'!$AM$4:$AO$45,3,FALSE))</f>
        <v>55</v>
      </c>
      <c r="D90" s="4">
        <f>(VLOOKUP('8.0.0'!L90,'8.0.0'!$AM$4:$AO$45,3,FALSE))</f>
        <v>55</v>
      </c>
      <c r="E90" s="4">
        <f>(VLOOKUP('8.0.0'!M90,'8.0.0'!$AM$4:$AO$45,3,FALSE))</f>
        <v>55</v>
      </c>
      <c r="F90" s="4">
        <f>(VLOOKUP('8.0.0'!N90,'8.0.0'!$AM$4:$AO$45,3,FALSE))</f>
        <v>55</v>
      </c>
      <c r="G90" s="5">
        <f>(VLOOKUP('8.0.0'!O90,'8.0.0'!$AM$4:$AO$45,3,FALSE))</f>
        <v>0</v>
      </c>
      <c r="H90" s="5">
        <f>(VLOOKUP('8.0.0'!P90,'8.0.0'!$AM$4:$AO$45,3,FALSE))</f>
        <v>0</v>
      </c>
      <c r="I90" s="4">
        <f>(VLOOKUP('8.0.0'!Q90,'8.0.0'!$AM$4:$AO$45,3,FALSE))</f>
        <v>40</v>
      </c>
      <c r="J90" s="4">
        <f>(VLOOKUP('8.0.0'!R90,'8.0.0'!$AM$4:$AO$45,3,FALSE))</f>
        <v>40</v>
      </c>
      <c r="K90" s="4">
        <f>(VLOOKUP('8.0.0'!S90,'8.0.0'!$AM$4:$AO$45,3,FALSE))</f>
        <v>0</v>
      </c>
      <c r="L90" s="4">
        <f>(VLOOKUP('8.0.0'!T90,'8.0.0'!$AM$4:$AO$45,3,FALSE))</f>
        <v>0</v>
      </c>
      <c r="M90" s="4">
        <f>(VLOOKUP('8.0.0'!U90,'8.0.0'!$AM$4:$AO$45,3,FALSE))</f>
        <v>0</v>
      </c>
      <c r="N90" s="4">
        <f>(VLOOKUP('8.0.0'!V90,'8.0.0'!$AM$4:$AO$45,3,FALSE))</f>
        <v>0</v>
      </c>
      <c r="O90" s="5">
        <f>(VLOOKUP('8.0.0'!W90,'8.0.0'!$AM$4:$AO$45,3,FALSE))</f>
        <v>0</v>
      </c>
      <c r="P90" s="5">
        <f>(VLOOKUP('8.0.0'!X90,'8.0.0'!$AM$4:$AO$45,3,FALSE))</f>
        <v>0</v>
      </c>
      <c r="Q90" s="4">
        <f>(VLOOKUP('8.0.0'!Y90,'8.0.0'!$AM$4:$AO$45,3,FALSE))</f>
        <v>50</v>
      </c>
      <c r="R90" s="4">
        <f>(VLOOKUP('8.0.0'!Z90,'8.0.0'!$AM$4:$AO$45,3,FALSE))</f>
        <v>50</v>
      </c>
      <c r="S90" s="4">
        <f>(VLOOKUP('8.0.0'!AA90,'8.0.0'!$AM$4:$AO$45,3,FALSE))</f>
        <v>50</v>
      </c>
      <c r="T90" s="4">
        <f>(VLOOKUP('8.0.0'!AB90,'8.0.0'!$AM$4:$AO$45,3,FALSE))</f>
        <v>0</v>
      </c>
      <c r="U90" s="4">
        <f>(VLOOKUP('8.0.0'!AC90,'8.0.0'!$AM$4:$AO$45,3,FALSE))</f>
        <v>0</v>
      </c>
      <c r="V90" s="4">
        <f>(VLOOKUP('8.0.0'!AD90,'8.0.0'!$AM$4:$AO$45,3,FALSE))</f>
        <v>0</v>
      </c>
      <c r="W90" s="5">
        <f>(VLOOKUP('8.0.0'!AE90,'8.0.0'!$AM$4:$AO$45,3,FALSE))</f>
        <v>0</v>
      </c>
      <c r="X90" s="5">
        <f>(VLOOKUP('8.0.0'!AF90,'8.0.0'!$AM$4:$AO$45,3,FALSE))</f>
        <v>0</v>
      </c>
    </row>
    <row r="91" spans="1:24">
      <c r="A91" s="4">
        <f>(VLOOKUP('8.0.0'!I91,'8.0.0'!$AM$4:$AO$45,3,FALSE))</f>
        <v>55</v>
      </c>
      <c r="B91" s="4">
        <f>(VLOOKUP('8.0.0'!J91,'8.0.0'!$AM$4:$AO$45,3,FALSE))</f>
        <v>0</v>
      </c>
      <c r="C91" s="4">
        <f>(VLOOKUP('8.0.0'!K91,'8.0.0'!$AM$4:$AO$45,3,FALSE))</f>
        <v>0</v>
      </c>
      <c r="D91" s="4">
        <f>(VLOOKUP('8.0.0'!L91,'8.0.0'!$AM$4:$AO$45,3,FALSE))</f>
        <v>0</v>
      </c>
      <c r="E91" s="4">
        <f>(VLOOKUP('8.0.0'!M91,'8.0.0'!$AM$4:$AO$45,3,FALSE))</f>
        <v>0</v>
      </c>
      <c r="F91" s="4">
        <f>(VLOOKUP('8.0.0'!N91,'8.0.0'!$AM$4:$AO$45,3,FALSE))</f>
        <v>0</v>
      </c>
      <c r="G91" s="5">
        <f>(VLOOKUP('8.0.0'!O91,'8.0.0'!$AM$4:$AO$45,3,FALSE))</f>
        <v>0</v>
      </c>
      <c r="H91" s="5">
        <f>(VLOOKUP('8.0.0'!P91,'8.0.0'!$AM$4:$AO$45,3,FALSE))</f>
        <v>0</v>
      </c>
      <c r="I91" s="4">
        <f>(VLOOKUP('8.0.0'!Q91,'8.0.0'!$AM$4:$AO$45,3,FALSE))</f>
        <v>40</v>
      </c>
      <c r="J91" s="4">
        <f>(VLOOKUP('8.0.0'!R91,'8.0.0'!$AM$4:$AO$45,3,FALSE))</f>
        <v>40</v>
      </c>
      <c r="K91" s="4">
        <f>(VLOOKUP('8.0.0'!S91,'8.0.0'!$AM$4:$AO$45,3,FALSE))</f>
        <v>40</v>
      </c>
      <c r="L91" s="4">
        <f>(VLOOKUP('8.0.0'!T91,'8.0.0'!$AM$4:$AO$45,3,FALSE))</f>
        <v>30</v>
      </c>
      <c r="M91" s="4">
        <f>(VLOOKUP('8.0.0'!U91,'8.0.0'!$AM$4:$AO$45,3,FALSE))</f>
        <v>40</v>
      </c>
      <c r="N91" s="4">
        <f>(VLOOKUP('8.0.0'!V91,'8.0.0'!$AM$4:$AO$45,3,FALSE))</f>
        <v>40</v>
      </c>
      <c r="O91" s="5">
        <f>(VLOOKUP('8.0.0'!W91,'8.0.0'!$AM$4:$AO$45,3,FALSE))</f>
        <v>0</v>
      </c>
      <c r="P91" s="5">
        <f>(VLOOKUP('8.0.0'!X91,'8.0.0'!$AM$4:$AO$45,3,FALSE))</f>
        <v>0</v>
      </c>
      <c r="Q91" s="4">
        <f>(VLOOKUP('8.0.0'!Y91,'8.0.0'!$AM$4:$AO$45,3,FALSE))</f>
        <v>50</v>
      </c>
      <c r="R91" s="4">
        <f>(VLOOKUP('8.0.0'!Z91,'8.0.0'!$AM$4:$AO$45,3,FALSE))</f>
        <v>50</v>
      </c>
      <c r="S91" s="4">
        <f>(VLOOKUP('8.0.0'!AA91,'8.0.0'!$AM$4:$AO$45,3,FALSE))</f>
        <v>50</v>
      </c>
      <c r="T91" s="4">
        <f>(VLOOKUP('8.0.0'!AB91,'8.0.0'!$AM$4:$AO$45,3,FALSE))</f>
        <v>50</v>
      </c>
      <c r="U91" s="4">
        <f>(VLOOKUP('8.0.0'!AC91,'8.0.0'!$AM$4:$AO$45,3,FALSE))</f>
        <v>50</v>
      </c>
      <c r="V91" s="4">
        <f>(VLOOKUP('8.0.0'!AD91,'8.0.0'!$AM$4:$AO$45,3,FALSE))</f>
        <v>50</v>
      </c>
      <c r="W91" s="5">
        <f>(VLOOKUP('8.0.0'!AE91,'8.0.0'!$AM$4:$AO$45,3,FALSE))</f>
        <v>0</v>
      </c>
      <c r="X91" s="5">
        <f>(VLOOKUP('8.0.0'!AF91,'8.0.0'!$AM$4:$AO$45,3,FALSE))</f>
        <v>0</v>
      </c>
    </row>
    <row r="92" spans="1:24">
      <c r="A92" s="4">
        <f>(VLOOKUP('8.0.0'!I92,'8.0.0'!$AM$4:$AO$45,3,FALSE))</f>
        <v>55</v>
      </c>
      <c r="B92" s="4">
        <f>(VLOOKUP('8.0.0'!J92,'8.0.0'!$AM$4:$AO$45,3,FALSE))</f>
        <v>0</v>
      </c>
      <c r="C92" s="4">
        <f>(VLOOKUP('8.0.0'!K92,'8.0.0'!$AM$4:$AO$45,3,FALSE))</f>
        <v>0</v>
      </c>
      <c r="D92" s="4">
        <f>(VLOOKUP('8.0.0'!L92,'8.0.0'!$AM$4:$AO$45,3,FALSE))</f>
        <v>0</v>
      </c>
      <c r="E92" s="4">
        <f>(VLOOKUP('8.0.0'!M92,'8.0.0'!$AM$4:$AO$45,3,FALSE))</f>
        <v>0</v>
      </c>
      <c r="F92" s="4">
        <f>(VLOOKUP('8.0.0'!N92,'8.0.0'!$AM$4:$AO$45,3,FALSE))</f>
        <v>0</v>
      </c>
      <c r="G92" s="5">
        <f>(VLOOKUP('8.0.0'!O92,'8.0.0'!$AM$4:$AO$45,3,FALSE))</f>
        <v>0</v>
      </c>
      <c r="H92" s="5">
        <f>(VLOOKUP('8.0.0'!P92,'8.0.0'!$AM$4:$AO$45,3,FALSE))</f>
        <v>0</v>
      </c>
      <c r="I92" s="4">
        <f>(VLOOKUP('8.0.0'!Q92,'8.0.0'!$AM$4:$AO$45,3,FALSE))</f>
        <v>40</v>
      </c>
      <c r="J92" s="4">
        <f>(VLOOKUP('8.0.0'!R92,'8.0.0'!$AM$4:$AO$45,3,FALSE))</f>
        <v>40</v>
      </c>
      <c r="K92" s="4">
        <f>(VLOOKUP('8.0.0'!S92,'8.0.0'!$AM$4:$AO$45,3,FALSE))</f>
        <v>40</v>
      </c>
      <c r="L92" s="4">
        <f>(VLOOKUP('8.0.0'!T92,'8.0.0'!$AM$4:$AO$45,3,FALSE))</f>
        <v>40</v>
      </c>
      <c r="M92" s="4">
        <f>(VLOOKUP('8.0.0'!U92,'8.0.0'!$AM$4:$AO$45,3,FALSE))</f>
        <v>30</v>
      </c>
      <c r="N92" s="4">
        <f>(VLOOKUP('8.0.0'!V92,'8.0.0'!$AM$4:$AO$45,3,FALSE))</f>
        <v>40</v>
      </c>
      <c r="O92" s="5">
        <f>(VLOOKUP('8.0.0'!W92,'8.0.0'!$AM$4:$AO$45,3,FALSE))</f>
        <v>0</v>
      </c>
      <c r="P92" s="5">
        <f>(VLOOKUP('8.0.0'!X92,'8.0.0'!$AM$4:$AO$45,3,FALSE))</f>
        <v>0</v>
      </c>
      <c r="Q92" s="4">
        <f>(VLOOKUP('8.0.0'!Y92,'8.0.0'!$AM$4:$AO$45,3,FALSE))</f>
        <v>30</v>
      </c>
      <c r="R92" s="4">
        <f>(VLOOKUP('8.0.0'!Z92,'8.0.0'!$AM$4:$AO$45,3,FALSE))</f>
        <v>50</v>
      </c>
      <c r="S92" s="4">
        <f>(VLOOKUP('8.0.0'!AA92,'8.0.0'!$AM$4:$AO$45,3,FALSE))</f>
        <v>50</v>
      </c>
      <c r="T92" s="4">
        <f>(VLOOKUP('8.0.0'!AB92,'8.0.0'!$AM$4:$AO$45,3,FALSE))</f>
        <v>50</v>
      </c>
      <c r="U92" s="4">
        <f>(VLOOKUP('8.0.0'!AC92,'8.0.0'!$AM$4:$AO$45,3,FALSE))</f>
        <v>50</v>
      </c>
      <c r="V92" s="4">
        <f>(VLOOKUP('8.0.0'!AD92,'8.0.0'!$AM$4:$AO$45,3,FALSE))</f>
        <v>50</v>
      </c>
      <c r="W92" s="5">
        <f>(VLOOKUP('8.0.0'!AE92,'8.0.0'!$AM$4:$AO$45,3,FALSE))</f>
        <v>0</v>
      </c>
      <c r="X92" s="5">
        <f>(VLOOKUP('8.0.0'!AF92,'8.0.0'!$AM$4:$AO$45,3,FALSE))</f>
        <v>0</v>
      </c>
    </row>
    <row r="93" spans="1:24">
      <c r="A93" s="4">
        <f>(VLOOKUP('8.0.0'!I93,'8.0.0'!$AM$4:$AO$45,3,FALSE))</f>
        <v>55</v>
      </c>
      <c r="B93" s="4">
        <f>(VLOOKUP('8.0.0'!J93,'8.0.0'!$AM$4:$AO$45,3,FALSE))</f>
        <v>55</v>
      </c>
      <c r="C93" s="4">
        <f>(VLOOKUP('8.0.0'!K93,'8.0.0'!$AM$4:$AO$45,3,FALSE))</f>
        <v>0</v>
      </c>
      <c r="D93" s="4">
        <f>(VLOOKUP('8.0.0'!L93,'8.0.0'!$AM$4:$AO$45,3,FALSE))</f>
        <v>0</v>
      </c>
      <c r="E93" s="4">
        <f>(VLOOKUP('8.0.0'!M93,'8.0.0'!$AM$4:$AO$45,3,FALSE))</f>
        <v>0</v>
      </c>
      <c r="F93" s="4">
        <f>(VLOOKUP('8.0.0'!N93,'8.0.0'!$AM$4:$AO$45,3,FALSE))</f>
        <v>0</v>
      </c>
      <c r="G93" s="5">
        <f>(VLOOKUP('8.0.0'!O93,'8.0.0'!$AM$4:$AO$45,3,FALSE))</f>
        <v>0</v>
      </c>
      <c r="H93" s="5">
        <f>(VLOOKUP('8.0.0'!P93,'8.0.0'!$AM$4:$AO$45,3,FALSE))</f>
        <v>0</v>
      </c>
      <c r="I93" s="4">
        <f>(VLOOKUP('8.0.0'!Q93,'8.0.0'!$AM$4:$AO$45,3,FALSE))</f>
        <v>40</v>
      </c>
      <c r="J93" s="4">
        <f>(VLOOKUP('8.0.0'!R93,'8.0.0'!$AM$4:$AO$45,3,FALSE))</f>
        <v>40</v>
      </c>
      <c r="K93" s="4">
        <f>(VLOOKUP('8.0.0'!S93,'8.0.0'!$AM$4:$AO$45,3,FALSE))</f>
        <v>40</v>
      </c>
      <c r="L93" s="4">
        <f>(VLOOKUP('8.0.0'!T93,'8.0.0'!$AM$4:$AO$45,3,FALSE))</f>
        <v>40</v>
      </c>
      <c r="M93" s="4">
        <f>(VLOOKUP('8.0.0'!U93,'8.0.0'!$AM$4:$AO$45,3,FALSE))</f>
        <v>30</v>
      </c>
      <c r="N93" s="4">
        <f>(VLOOKUP('8.0.0'!V93,'8.0.0'!$AM$4:$AO$45,3,FALSE))</f>
        <v>0</v>
      </c>
      <c r="O93" s="5">
        <f>(VLOOKUP('8.0.0'!W93,'8.0.0'!$AM$4:$AO$45,3,FALSE))</f>
        <v>0</v>
      </c>
      <c r="P93" s="5">
        <f>(VLOOKUP('8.0.0'!X93,'8.0.0'!$AM$4:$AO$45,3,FALSE))</f>
        <v>0</v>
      </c>
      <c r="Q93" s="4">
        <f>(VLOOKUP('8.0.0'!Y93,'8.0.0'!$AM$4:$AO$45,3,FALSE))</f>
        <v>50</v>
      </c>
      <c r="R93" s="4">
        <f>(VLOOKUP('8.0.0'!Z93,'8.0.0'!$AM$4:$AO$45,3,FALSE))</f>
        <v>50</v>
      </c>
      <c r="S93" s="4">
        <f>(VLOOKUP('8.0.0'!AA93,'8.0.0'!$AM$4:$AO$45,3,FALSE))</f>
        <v>50</v>
      </c>
      <c r="T93" s="4">
        <f>(VLOOKUP('8.0.0'!AB93,'8.0.0'!$AM$4:$AO$45,3,FALSE))</f>
        <v>50</v>
      </c>
      <c r="U93" s="4">
        <f>(VLOOKUP('8.0.0'!AC93,'8.0.0'!$AM$4:$AO$45,3,FALSE))</f>
        <v>50</v>
      </c>
      <c r="V93" s="4">
        <f>(VLOOKUP('8.0.0'!AD93,'8.0.0'!$AM$4:$AO$45,3,FALSE))</f>
        <v>30</v>
      </c>
      <c r="W93" s="5">
        <f>(VLOOKUP('8.0.0'!AE93,'8.0.0'!$AM$4:$AO$45,3,FALSE))</f>
        <v>0</v>
      </c>
      <c r="X93" s="5">
        <f>(VLOOKUP('8.0.0'!AF93,'8.0.0'!$AM$4:$AO$45,3,FALSE))</f>
        <v>0</v>
      </c>
    </row>
    <row r="94" spans="1:24">
      <c r="A94" s="4">
        <f>(VLOOKUP('8.0.0'!I94,'8.0.0'!$AM$4:$AO$45,3,FALSE))</f>
        <v>55</v>
      </c>
      <c r="B94" s="4">
        <f>(VLOOKUP('8.0.0'!J94,'8.0.0'!$AM$4:$AO$45,3,FALSE))</f>
        <v>55</v>
      </c>
      <c r="C94" s="4">
        <f>(VLOOKUP('8.0.0'!K94,'8.0.0'!$AM$4:$AO$45,3,FALSE))</f>
        <v>55</v>
      </c>
      <c r="D94" s="4">
        <f>(VLOOKUP('8.0.0'!L94,'8.0.0'!$AM$4:$AO$45,3,FALSE))</f>
        <v>55</v>
      </c>
      <c r="E94" s="4">
        <f>(VLOOKUP('8.0.0'!M94,'8.0.0'!$AM$4:$AO$45,3,FALSE))</f>
        <v>55</v>
      </c>
      <c r="F94" s="4">
        <f>(VLOOKUP('8.0.0'!N94,'8.0.0'!$AM$4:$AO$45,3,FALSE))</f>
        <v>0</v>
      </c>
      <c r="G94" s="5">
        <f>(VLOOKUP('8.0.0'!O94,'8.0.0'!$AM$4:$AO$45,3,FALSE))</f>
        <v>0</v>
      </c>
      <c r="H94" s="5">
        <f>(VLOOKUP('8.0.0'!P94,'8.0.0'!$AM$4:$AO$45,3,FALSE))</f>
        <v>0</v>
      </c>
      <c r="I94" s="4">
        <f>(VLOOKUP('8.0.0'!Q94,'8.0.0'!$AM$4:$AO$45,3,FALSE))</f>
        <v>0</v>
      </c>
      <c r="J94" s="4">
        <f>(VLOOKUP('8.0.0'!R94,'8.0.0'!$AM$4:$AO$45,3,FALSE))</f>
        <v>0</v>
      </c>
      <c r="K94" s="4">
        <f>(VLOOKUP('8.0.0'!S94,'8.0.0'!$AM$4:$AO$45,3,FALSE))</f>
        <v>0</v>
      </c>
      <c r="L94" s="4">
        <f>(VLOOKUP('8.0.0'!T94,'8.0.0'!$AM$4:$AO$45,3,FALSE))</f>
        <v>0</v>
      </c>
      <c r="M94" s="4">
        <f>(VLOOKUP('8.0.0'!U94,'8.0.0'!$AM$4:$AO$45,3,FALSE))</f>
        <v>0</v>
      </c>
      <c r="N94" s="4">
        <f>(VLOOKUP('8.0.0'!V94,'8.0.0'!$AM$4:$AO$45,3,FALSE))</f>
        <v>0</v>
      </c>
      <c r="O94" s="5">
        <f>(VLOOKUP('8.0.0'!W94,'8.0.0'!$AM$4:$AO$45,3,FALSE))</f>
        <v>0</v>
      </c>
      <c r="P94" s="5">
        <f>(VLOOKUP('8.0.0'!X94,'8.0.0'!$AM$4:$AO$45,3,FALSE))</f>
        <v>0</v>
      </c>
      <c r="Q94" s="4">
        <f>(VLOOKUP('8.0.0'!Y94,'8.0.0'!$AM$4:$AO$45,3,FALSE))</f>
        <v>50</v>
      </c>
      <c r="R94" s="4">
        <f>(VLOOKUP('8.0.0'!Z94,'8.0.0'!$AM$4:$AO$45,3,FALSE))</f>
        <v>50</v>
      </c>
      <c r="S94" s="4">
        <f>(VLOOKUP('8.0.0'!AA94,'8.0.0'!$AM$4:$AO$45,3,FALSE))</f>
        <v>50</v>
      </c>
      <c r="T94" s="4">
        <f>(VLOOKUP('8.0.0'!AB94,'8.0.0'!$AM$4:$AO$45,3,FALSE))</f>
        <v>50</v>
      </c>
      <c r="U94" s="4">
        <f>(VLOOKUP('8.0.0'!AC94,'8.0.0'!$AM$4:$AO$45,3,FALSE))</f>
        <v>50</v>
      </c>
      <c r="V94" s="4">
        <f>(VLOOKUP('8.0.0'!AD94,'8.0.0'!$AM$4:$AO$45,3,FALSE))</f>
        <v>50</v>
      </c>
      <c r="W94" s="5">
        <f>(VLOOKUP('8.0.0'!AE94,'8.0.0'!$AM$4:$AO$45,3,FALSE))</f>
        <v>0</v>
      </c>
      <c r="X94" s="5">
        <f>(VLOOKUP('8.0.0'!AF94,'8.0.0'!$AM$4:$AO$45,3,FALSE))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48" t="s">
        <v>62</v>
      </c>
      <c r="B2" s="149"/>
      <c r="C2" s="67" t="s">
        <v>4</v>
      </c>
      <c r="D2" s="67">
        <f>COUNTIF(A4:H94,"&lt;&gt;空")</f>
        <v>728</v>
      </c>
      <c r="E2" s="149" t="s">
        <v>5</v>
      </c>
      <c r="F2" s="149"/>
      <c r="G2" s="149"/>
      <c r="H2" s="150"/>
      <c r="I2" s="151" t="s">
        <v>6</v>
      </c>
      <c r="J2" s="152"/>
      <c r="K2" s="68" t="s">
        <v>4</v>
      </c>
      <c r="L2" s="68">
        <f>COUNTIF(I4:P94,"&lt;&gt;空")</f>
        <v>728</v>
      </c>
      <c r="M2" s="152" t="s">
        <v>5</v>
      </c>
      <c r="N2" s="152"/>
      <c r="O2" s="152"/>
      <c r="P2" s="153"/>
      <c r="Q2" s="154" t="s">
        <v>7</v>
      </c>
      <c r="R2" s="146"/>
      <c r="S2" s="10" t="s">
        <v>8</v>
      </c>
      <c r="T2" s="69">
        <f>COUNTIF(Q4:X94,"&lt;&gt;空")</f>
        <v>728</v>
      </c>
      <c r="U2" s="146" t="s">
        <v>5</v>
      </c>
      <c r="V2" s="146"/>
      <c r="W2" s="146"/>
      <c r="X2" s="14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(VLOOKUP('8.0.0'!I4,'8.0.0'!$AM$4:$AP$48,4,FALSE))</f>
        <v>44.222109392472248</v>
      </c>
      <c r="B4" s="4">
        <f>(VLOOKUP('8.0.0'!J4,'8.0.0'!$AM$4:$AP$48,4,FALSE))</f>
        <v>44.222109392472248</v>
      </c>
      <c r="C4" s="4">
        <f>(VLOOKUP('8.0.0'!K4,'8.0.0'!$AM$4:$AP$48,4,FALSE))</f>
        <v>44.222109392472248</v>
      </c>
      <c r="D4" s="4">
        <f>(VLOOKUP('8.0.0'!L4,'8.0.0'!$AM$4:$AP$48,4,FALSE))</f>
        <v>44.222109392472248</v>
      </c>
      <c r="E4" s="4">
        <f>(VLOOKUP('8.0.0'!M4,'8.0.0'!$AM$4:$AP$48,4,FALSE))</f>
        <v>44.222109392472248</v>
      </c>
      <c r="F4" s="4">
        <f>(VLOOKUP('8.0.0'!N4,'8.0.0'!$AM$4:$AP$48,4,FALSE))</f>
        <v>44.222109392472248</v>
      </c>
      <c r="G4" s="4">
        <f>(VLOOKUP('8.0.0'!O4,'8.0.0'!$AM$4:$AP$48,4,FALSE))</f>
        <v>0</v>
      </c>
      <c r="H4" s="4">
        <f>(VLOOKUP('8.0.0'!P4,'8.0.0'!$AM$4:$AP$48,4,FALSE))</f>
        <v>0</v>
      </c>
      <c r="I4" s="4">
        <f>(VLOOKUP('8.0.0'!Q4,'8.0.0'!$AM$4:$AP$48,4,FALSE))</f>
        <v>10</v>
      </c>
      <c r="J4" s="4">
        <f>(VLOOKUP('8.0.0'!R4,'8.0.0'!$AM$4:$AP$48,4,FALSE))</f>
        <v>39.110982162825422</v>
      </c>
      <c r="K4" s="4">
        <f>(VLOOKUP('8.0.0'!S4,'8.0.0'!$AM$4:$AP$48,4,FALSE))</f>
        <v>39.110982162825422</v>
      </c>
      <c r="L4" s="4">
        <f>(VLOOKUP('8.0.0'!T4,'8.0.0'!$AM$4:$AP$48,4,FALSE))</f>
        <v>39.110982162825422</v>
      </c>
      <c r="M4" s="4">
        <f>(VLOOKUP('8.0.0'!U4,'8.0.0'!$AM$4:$AP$48,4,FALSE))</f>
        <v>39.110982162825422</v>
      </c>
      <c r="N4" s="4">
        <f>(VLOOKUP('8.0.0'!V4,'8.0.0'!$AM$4:$AP$48,4,FALSE))</f>
        <v>39.110982162825422</v>
      </c>
      <c r="O4" s="4">
        <f>(VLOOKUP('8.0.0'!W4,'8.0.0'!$AM$4:$AP$48,4,FALSE))</f>
        <v>0</v>
      </c>
      <c r="P4" s="4">
        <f>(VLOOKUP('8.0.0'!X4,'8.0.0'!$AM$4:$AP$48,4,FALSE))</f>
        <v>39.110982162825422</v>
      </c>
      <c r="Q4" s="4">
        <f>(VLOOKUP('8.0.0'!Y4,'8.0.0'!$AM$4:$AP$48,4,FALSE))</f>
        <v>39.110982162825422</v>
      </c>
      <c r="R4" s="4">
        <f>(VLOOKUP('8.0.0'!Z4,'8.0.0'!$AM$4:$AP$48,4,FALSE))</f>
        <v>10</v>
      </c>
      <c r="S4" s="4">
        <f>(VLOOKUP('8.0.0'!AA4,'8.0.0'!$AM$4:$AP$48,4,FALSE))</f>
        <v>39.110982162825422</v>
      </c>
      <c r="T4" s="4">
        <f>(VLOOKUP('8.0.0'!AB4,'8.0.0'!$AM$4:$AP$48,4,FALSE))</f>
        <v>0</v>
      </c>
      <c r="U4" s="4">
        <f>(VLOOKUP('8.0.0'!AC4,'8.0.0'!$AM$4:$AP$48,4,FALSE))</f>
        <v>39.110982162825422</v>
      </c>
      <c r="V4" s="4">
        <f>(VLOOKUP('8.0.0'!AD4,'8.0.0'!$AM$4:$AP$48,4,FALSE))</f>
        <v>39.110982162825422</v>
      </c>
      <c r="W4" s="4">
        <f>(VLOOKUP('8.0.0'!AE4,'8.0.0'!$AM$4:$AP$48,4,FALSE))</f>
        <v>39.110982162825422</v>
      </c>
      <c r="X4" s="4">
        <f>(VLOOKUP('8.0.0'!AF4,'8.0.0'!$AM$4:$AP$48,4,FALSE))</f>
        <v>39.110982162825422</v>
      </c>
    </row>
    <row r="5" spans="1:24">
      <c r="A5" s="4">
        <f>(VLOOKUP('8.0.0'!I5,'8.0.0'!$AM$4:$AP$48,4,FALSE))</f>
        <v>34</v>
      </c>
      <c r="B5" s="4">
        <f>(VLOOKUP('8.0.0'!J5,'8.0.0'!$AM$4:$AP$48,4,FALSE))</f>
        <v>34</v>
      </c>
      <c r="C5" s="4">
        <f>(VLOOKUP('8.0.0'!K5,'8.0.0'!$AM$4:$AP$48,4,FALSE))</f>
        <v>10</v>
      </c>
      <c r="D5" s="4">
        <f>(VLOOKUP('8.0.0'!L5,'8.0.0'!$AM$4:$AP$48,4,FALSE))</f>
        <v>34</v>
      </c>
      <c r="E5" s="4">
        <f>(VLOOKUP('8.0.0'!M5,'8.0.0'!$AM$4:$AP$48,4,FALSE))</f>
        <v>34</v>
      </c>
      <c r="F5" s="4">
        <f>(VLOOKUP('8.0.0'!N5,'8.0.0'!$AM$4:$AP$48,4,FALSE))</f>
        <v>34</v>
      </c>
      <c r="G5" s="4">
        <f>(VLOOKUP('8.0.0'!O5,'8.0.0'!$AM$4:$AP$48,4,FALSE))</f>
        <v>0</v>
      </c>
      <c r="H5" s="4">
        <f>(VLOOKUP('8.0.0'!P5,'8.0.0'!$AM$4:$AP$48,4,FALSE))</f>
        <v>0</v>
      </c>
      <c r="I5" s="4">
        <f>(VLOOKUP('8.0.0'!Q5,'8.0.0'!$AM$4:$AP$48,4,FALSE))</f>
        <v>0</v>
      </c>
      <c r="J5" s="4">
        <f>(VLOOKUP('8.0.0'!R5,'8.0.0'!$AM$4:$AP$48,4,FALSE))</f>
        <v>0</v>
      </c>
      <c r="K5" s="4">
        <f>(VLOOKUP('8.0.0'!S5,'8.0.0'!$AM$4:$AP$48,4,FALSE))</f>
        <v>0</v>
      </c>
      <c r="L5" s="4">
        <f>(VLOOKUP('8.0.0'!T5,'8.0.0'!$AM$4:$AP$48,4,FALSE))</f>
        <v>0</v>
      </c>
      <c r="M5" s="4">
        <f>(VLOOKUP('8.0.0'!U5,'8.0.0'!$AM$4:$AP$48,4,FALSE))</f>
        <v>0</v>
      </c>
      <c r="N5" s="4">
        <f>(VLOOKUP('8.0.0'!V5,'8.0.0'!$AM$4:$AP$48,4,FALSE))</f>
        <v>0</v>
      </c>
      <c r="O5" s="4">
        <f>(VLOOKUP('8.0.0'!W5,'8.0.0'!$AM$4:$AP$48,4,FALSE))</f>
        <v>0</v>
      </c>
      <c r="P5" s="4">
        <f>(VLOOKUP('8.0.0'!X5,'8.0.0'!$AM$4:$AP$48,4,FALSE))</f>
        <v>0</v>
      </c>
      <c r="Q5" s="4">
        <f>(VLOOKUP('8.0.0'!Y5,'8.0.0'!$AM$4:$AP$48,4,FALSE))</f>
        <v>39.110982162825422</v>
      </c>
      <c r="R5" s="4">
        <f>(VLOOKUP('8.0.0'!Z5,'8.0.0'!$AM$4:$AP$48,4,FALSE))</f>
        <v>34</v>
      </c>
      <c r="S5" s="4">
        <f>(VLOOKUP('8.0.0'!AA5,'8.0.0'!$AM$4:$AP$48,4,FALSE))</f>
        <v>34</v>
      </c>
      <c r="T5" s="4">
        <f>(VLOOKUP('8.0.0'!AB5,'8.0.0'!$AM$4:$AP$48,4,FALSE))</f>
        <v>34</v>
      </c>
      <c r="U5" s="4">
        <f>(VLOOKUP('8.0.0'!AC5,'8.0.0'!$AM$4:$AP$48,4,FALSE))</f>
        <v>0</v>
      </c>
      <c r="V5" s="4">
        <f>(VLOOKUP('8.0.0'!AD5,'8.0.0'!$AM$4:$AP$48,4,FALSE))</f>
        <v>34</v>
      </c>
      <c r="W5" s="4">
        <f>(VLOOKUP('8.0.0'!AE5,'8.0.0'!$AM$4:$AP$48,4,FALSE))</f>
        <v>0</v>
      </c>
      <c r="X5" s="4">
        <f>(VLOOKUP('8.0.0'!AF5,'8.0.0'!$AM$4:$AP$48,4,FALSE))</f>
        <v>0</v>
      </c>
    </row>
    <row r="6" spans="1:24">
      <c r="A6" s="4">
        <f>(VLOOKUP('8.0.0'!I6,'8.0.0'!$AM$4:$AP$48,4,FALSE))</f>
        <v>0</v>
      </c>
      <c r="B6" s="4">
        <f>(VLOOKUP('8.0.0'!J6,'8.0.0'!$AM$4:$AP$48,4,FALSE))</f>
        <v>34</v>
      </c>
      <c r="C6" s="4">
        <f>(VLOOKUP('8.0.0'!K6,'8.0.0'!$AM$4:$AP$48,4,FALSE))</f>
        <v>34</v>
      </c>
      <c r="D6" s="4">
        <f>(VLOOKUP('8.0.0'!L6,'8.0.0'!$AM$4:$AP$48,4,FALSE))</f>
        <v>34</v>
      </c>
      <c r="E6" s="4">
        <f>(VLOOKUP('8.0.0'!M6,'8.0.0'!$AM$4:$AP$48,4,FALSE))</f>
        <v>34</v>
      </c>
      <c r="F6" s="4">
        <f>(VLOOKUP('8.0.0'!N6,'8.0.0'!$AM$4:$AP$48,4,FALSE))</f>
        <v>34</v>
      </c>
      <c r="G6" s="4">
        <f>(VLOOKUP('8.0.0'!O6,'8.0.0'!$AM$4:$AP$48,4,FALSE))</f>
        <v>0</v>
      </c>
      <c r="H6" s="4">
        <f>(VLOOKUP('8.0.0'!P6,'8.0.0'!$AM$4:$AP$48,4,FALSE))</f>
        <v>0</v>
      </c>
      <c r="I6" s="4">
        <f>(VLOOKUP('8.0.0'!Q6,'8.0.0'!$AM$4:$AP$48,4,FALSE))</f>
        <v>0</v>
      </c>
      <c r="J6" s="4">
        <f>(VLOOKUP('8.0.0'!R6,'8.0.0'!$AM$4:$AP$48,4,FALSE))</f>
        <v>0</v>
      </c>
      <c r="K6" s="4">
        <f>(VLOOKUP('8.0.0'!S6,'8.0.0'!$AM$4:$AP$48,4,FALSE))</f>
        <v>0</v>
      </c>
      <c r="L6" s="4">
        <f>(VLOOKUP('8.0.0'!T6,'8.0.0'!$AM$4:$AP$48,4,FALSE))</f>
        <v>0</v>
      </c>
      <c r="M6" s="4">
        <f>(VLOOKUP('8.0.0'!U6,'8.0.0'!$AM$4:$AP$48,4,FALSE))</f>
        <v>0</v>
      </c>
      <c r="N6" s="4">
        <f>(VLOOKUP('8.0.0'!V6,'8.0.0'!$AM$4:$AP$48,4,FALSE))</f>
        <v>0</v>
      </c>
      <c r="O6" s="4">
        <f>(VLOOKUP('8.0.0'!W6,'8.0.0'!$AM$4:$AP$48,4,FALSE))</f>
        <v>0</v>
      </c>
      <c r="P6" s="4">
        <f>(VLOOKUP('8.0.0'!X6,'8.0.0'!$AM$4:$AP$48,4,FALSE))</f>
        <v>0</v>
      </c>
      <c r="Q6" s="4">
        <f>(VLOOKUP('8.0.0'!Y6,'8.0.0'!$AM$4:$AP$48,4,FALSE))</f>
        <v>34</v>
      </c>
      <c r="R6" s="4">
        <f>(VLOOKUP('8.0.0'!Z6,'8.0.0'!$AM$4:$AP$48,4,FALSE))</f>
        <v>34</v>
      </c>
      <c r="S6" s="4">
        <f>(VLOOKUP('8.0.0'!AA6,'8.0.0'!$AM$4:$AP$48,4,FALSE))</f>
        <v>10</v>
      </c>
      <c r="T6" s="4">
        <f>(VLOOKUP('8.0.0'!AB6,'8.0.0'!$AM$4:$AP$48,4,FALSE))</f>
        <v>34</v>
      </c>
      <c r="U6" s="4">
        <f>(VLOOKUP('8.0.0'!AC6,'8.0.0'!$AM$4:$AP$48,4,FALSE))</f>
        <v>34</v>
      </c>
      <c r="V6" s="4">
        <f>(VLOOKUP('8.0.0'!AD6,'8.0.0'!$AM$4:$AP$48,4,FALSE))</f>
        <v>34</v>
      </c>
      <c r="W6" s="4">
        <f>(VLOOKUP('8.0.0'!AE6,'8.0.0'!$AM$4:$AP$48,4,FALSE))</f>
        <v>0</v>
      </c>
      <c r="X6" s="4">
        <f>(VLOOKUP('8.0.0'!AF6,'8.0.0'!$AM$4:$AP$48,4,FALSE))</f>
        <v>34</v>
      </c>
    </row>
    <row r="7" spans="1:24">
      <c r="A7" s="4">
        <f>(VLOOKUP('8.0.0'!I7,'8.0.0'!$AM$4:$AP$48,4,FALSE))</f>
        <v>34</v>
      </c>
      <c r="B7" s="4">
        <f>(VLOOKUP('8.0.0'!J7,'8.0.0'!$AM$4:$AP$48,4,FALSE))</f>
        <v>34</v>
      </c>
      <c r="C7" s="4">
        <f>(VLOOKUP('8.0.0'!K7,'8.0.0'!$AM$4:$AP$48,4,FALSE))</f>
        <v>0</v>
      </c>
      <c r="D7" s="4">
        <f>(VLOOKUP('8.0.0'!L7,'8.0.0'!$AM$4:$AP$48,4,FALSE))</f>
        <v>34</v>
      </c>
      <c r="E7" s="4">
        <f>(VLOOKUP('8.0.0'!M7,'8.0.0'!$AM$4:$AP$48,4,FALSE))</f>
        <v>34</v>
      </c>
      <c r="F7" s="4">
        <f>(VLOOKUP('8.0.0'!N7,'8.0.0'!$AM$4:$AP$48,4,FALSE))</f>
        <v>34</v>
      </c>
      <c r="G7" s="4">
        <f>(VLOOKUP('8.0.0'!O7,'8.0.0'!$AM$4:$AP$48,4,FALSE))</f>
        <v>0</v>
      </c>
      <c r="H7" s="4">
        <f>(VLOOKUP('8.0.0'!P7,'8.0.0'!$AM$4:$AP$48,4,FALSE))</f>
        <v>0</v>
      </c>
      <c r="I7" s="4">
        <f>(VLOOKUP('8.0.0'!Q7,'8.0.0'!$AM$4:$AP$48,4,FALSE))</f>
        <v>0</v>
      </c>
      <c r="J7" s="4">
        <f>(VLOOKUP('8.0.0'!R7,'8.0.0'!$AM$4:$AP$48,4,FALSE))</f>
        <v>0</v>
      </c>
      <c r="K7" s="4">
        <f>(VLOOKUP('8.0.0'!S7,'8.0.0'!$AM$4:$AP$48,4,FALSE))</f>
        <v>0</v>
      </c>
      <c r="L7" s="4">
        <f>(VLOOKUP('8.0.0'!T7,'8.0.0'!$AM$4:$AP$48,4,FALSE))</f>
        <v>0</v>
      </c>
      <c r="M7" s="4">
        <f>(VLOOKUP('8.0.0'!U7,'8.0.0'!$AM$4:$AP$48,4,FALSE))</f>
        <v>0</v>
      </c>
      <c r="N7" s="4">
        <f>(VLOOKUP('8.0.0'!V7,'8.0.0'!$AM$4:$AP$48,4,FALSE))</f>
        <v>0</v>
      </c>
      <c r="O7" s="4">
        <f>(VLOOKUP('8.0.0'!W7,'8.0.0'!$AM$4:$AP$48,4,FALSE))</f>
        <v>0</v>
      </c>
      <c r="P7" s="4">
        <f>(VLOOKUP('8.0.0'!X7,'8.0.0'!$AM$4:$AP$48,4,FALSE))</f>
        <v>0</v>
      </c>
      <c r="Q7" s="4">
        <f>(VLOOKUP('8.0.0'!Y7,'8.0.0'!$AM$4:$AP$48,4,FALSE))</f>
        <v>34</v>
      </c>
      <c r="R7" s="4">
        <f>(VLOOKUP('8.0.0'!Z7,'8.0.0'!$AM$4:$AP$48,4,FALSE))</f>
        <v>34</v>
      </c>
      <c r="S7" s="4">
        <f>(VLOOKUP('8.0.0'!AA7,'8.0.0'!$AM$4:$AP$48,4,FALSE))</f>
        <v>34</v>
      </c>
      <c r="T7" s="4">
        <f>(VLOOKUP('8.0.0'!AB7,'8.0.0'!$AM$4:$AP$48,4,FALSE))</f>
        <v>34</v>
      </c>
      <c r="U7" s="4">
        <f>(VLOOKUP('8.0.0'!AC7,'8.0.0'!$AM$4:$AP$48,4,FALSE))</f>
        <v>34</v>
      </c>
      <c r="V7" s="4">
        <f>(VLOOKUP('8.0.0'!AD7,'8.0.0'!$AM$4:$AP$48,4,FALSE))</f>
        <v>34</v>
      </c>
      <c r="W7" s="4">
        <f>(VLOOKUP('8.0.0'!AE7,'8.0.0'!$AM$4:$AP$48,4,FALSE))</f>
        <v>0</v>
      </c>
      <c r="X7" s="4">
        <f>(VLOOKUP('8.0.0'!AF7,'8.0.0'!$AM$4:$AP$48,4,FALSE))</f>
        <v>0</v>
      </c>
    </row>
    <row r="8" spans="1:24">
      <c r="A8" s="4">
        <f>(VLOOKUP('8.0.0'!I8,'8.0.0'!$AM$4:$AP$48,4,FALSE))</f>
        <v>34</v>
      </c>
      <c r="B8" s="4">
        <f>(VLOOKUP('8.0.0'!J8,'8.0.0'!$AM$4:$AP$48,4,FALSE))</f>
        <v>13.999854933178597</v>
      </c>
      <c r="C8" s="4">
        <f>(VLOOKUP('8.0.0'!K8,'8.0.0'!$AM$4:$AP$48,4,FALSE))</f>
        <v>34</v>
      </c>
      <c r="D8" s="4">
        <f>(VLOOKUP('8.0.0'!L8,'8.0.0'!$AM$4:$AP$48,4,FALSE))</f>
        <v>0</v>
      </c>
      <c r="E8" s="4">
        <f>(VLOOKUP('8.0.0'!M8,'8.0.0'!$AM$4:$AP$48,4,FALSE))</f>
        <v>34</v>
      </c>
      <c r="F8" s="4">
        <f>(VLOOKUP('8.0.0'!N8,'8.0.0'!$AM$4:$AP$48,4,FALSE))</f>
        <v>34</v>
      </c>
      <c r="G8" s="4">
        <f>(VLOOKUP('8.0.0'!O8,'8.0.0'!$AM$4:$AP$48,4,FALSE))</f>
        <v>10</v>
      </c>
      <c r="H8" s="4">
        <f>(VLOOKUP('8.0.0'!P8,'8.0.0'!$AM$4:$AP$48,4,FALSE))</f>
        <v>34</v>
      </c>
      <c r="I8" s="4">
        <f>(VLOOKUP('8.0.0'!Q8,'8.0.0'!$AM$4:$AP$48,4,FALSE))</f>
        <v>0</v>
      </c>
      <c r="J8" s="4">
        <f>(VLOOKUP('8.0.0'!R8,'8.0.0'!$AM$4:$AP$48,4,FALSE))</f>
        <v>0</v>
      </c>
      <c r="K8" s="4">
        <f>(VLOOKUP('8.0.0'!S8,'8.0.0'!$AM$4:$AP$48,4,FALSE))</f>
        <v>0</v>
      </c>
      <c r="L8" s="4">
        <f>(VLOOKUP('8.0.0'!T8,'8.0.0'!$AM$4:$AP$48,4,FALSE))</f>
        <v>0</v>
      </c>
      <c r="M8" s="4">
        <f>(VLOOKUP('8.0.0'!U8,'8.0.0'!$AM$4:$AP$48,4,FALSE))</f>
        <v>0</v>
      </c>
      <c r="N8" s="4">
        <f>(VLOOKUP('8.0.0'!V8,'8.0.0'!$AM$4:$AP$48,4,FALSE))</f>
        <v>0</v>
      </c>
      <c r="O8" s="4">
        <f>(VLOOKUP('8.0.0'!W8,'8.0.0'!$AM$4:$AP$48,4,FALSE))</f>
        <v>0</v>
      </c>
      <c r="P8" s="4">
        <f>(VLOOKUP('8.0.0'!X8,'8.0.0'!$AM$4:$AP$48,4,FALSE))</f>
        <v>0</v>
      </c>
      <c r="Q8" s="4">
        <f>(VLOOKUP('8.0.0'!Y8,'8.0.0'!$AM$4:$AP$48,4,FALSE))</f>
        <v>0</v>
      </c>
      <c r="R8" s="4">
        <f>(VLOOKUP('8.0.0'!Z8,'8.0.0'!$AM$4:$AP$48,4,FALSE))</f>
        <v>34</v>
      </c>
      <c r="S8" s="4">
        <f>(VLOOKUP('8.0.0'!AA8,'8.0.0'!$AM$4:$AP$48,4,FALSE))</f>
        <v>34</v>
      </c>
      <c r="T8" s="4">
        <f>(VLOOKUP('8.0.0'!AB8,'8.0.0'!$AM$4:$AP$48,4,FALSE))</f>
        <v>34</v>
      </c>
      <c r="U8" s="4">
        <f>(VLOOKUP('8.0.0'!AC8,'8.0.0'!$AM$4:$AP$48,4,FALSE))</f>
        <v>34</v>
      </c>
      <c r="V8" s="4">
        <f>(VLOOKUP('8.0.0'!AD8,'8.0.0'!$AM$4:$AP$48,4,FALSE))</f>
        <v>34</v>
      </c>
      <c r="W8" s="4">
        <f>(VLOOKUP('8.0.0'!AE8,'8.0.0'!$AM$4:$AP$48,4,FALSE))</f>
        <v>0</v>
      </c>
      <c r="X8" s="4">
        <f>(VLOOKUP('8.0.0'!AF8,'8.0.0'!$AM$4:$AP$48,4,FALSE))</f>
        <v>0</v>
      </c>
    </row>
    <row r="9" spans="1:24">
      <c r="A9" s="4">
        <f>(VLOOKUP('8.0.0'!I9,'8.0.0'!$AM$4:$AP$48,4,FALSE))</f>
        <v>34</v>
      </c>
      <c r="B9" s="4">
        <f>(VLOOKUP('8.0.0'!J9,'8.0.0'!$AM$4:$AP$48,4,FALSE))</f>
        <v>34</v>
      </c>
      <c r="C9" s="4">
        <f>(VLOOKUP('8.0.0'!K9,'8.0.0'!$AM$4:$AP$48,4,FALSE))</f>
        <v>10</v>
      </c>
      <c r="D9" s="4">
        <f>(VLOOKUP('8.0.0'!L9,'8.0.0'!$AM$4:$AP$48,4,FALSE))</f>
        <v>34</v>
      </c>
      <c r="E9" s="4">
        <f>(VLOOKUP('8.0.0'!M9,'8.0.0'!$AM$4:$AP$48,4,FALSE))</f>
        <v>34</v>
      </c>
      <c r="F9" s="4">
        <f>(VLOOKUP('8.0.0'!N9,'8.0.0'!$AM$4:$AP$48,4,FALSE))</f>
        <v>0</v>
      </c>
      <c r="G9" s="4">
        <f>(VLOOKUP('8.0.0'!O9,'8.0.0'!$AM$4:$AP$48,4,FALSE))</f>
        <v>0</v>
      </c>
      <c r="H9" s="4">
        <f>(VLOOKUP('8.0.0'!P9,'8.0.0'!$AM$4:$AP$48,4,FALSE))</f>
        <v>0</v>
      </c>
      <c r="I9" s="4">
        <f>(VLOOKUP('8.0.0'!Q9,'8.0.0'!$AM$4:$AP$48,4,FALSE))</f>
        <v>0</v>
      </c>
      <c r="J9" s="4">
        <f>(VLOOKUP('8.0.0'!R9,'8.0.0'!$AM$4:$AP$48,4,FALSE))</f>
        <v>0</v>
      </c>
      <c r="K9" s="4">
        <f>(VLOOKUP('8.0.0'!S9,'8.0.0'!$AM$4:$AP$48,4,FALSE))</f>
        <v>0</v>
      </c>
      <c r="L9" s="4">
        <f>(VLOOKUP('8.0.0'!T9,'8.0.0'!$AM$4:$AP$48,4,FALSE))</f>
        <v>0</v>
      </c>
      <c r="M9" s="4">
        <f>(VLOOKUP('8.0.0'!U9,'8.0.0'!$AM$4:$AP$48,4,FALSE))</f>
        <v>0</v>
      </c>
      <c r="N9" s="4">
        <f>(VLOOKUP('8.0.0'!V9,'8.0.0'!$AM$4:$AP$48,4,FALSE))</f>
        <v>0</v>
      </c>
      <c r="O9" s="4">
        <f>(VLOOKUP('8.0.0'!W9,'8.0.0'!$AM$4:$AP$48,4,FALSE))</f>
        <v>0</v>
      </c>
      <c r="P9" s="4">
        <f>(VLOOKUP('8.0.0'!X9,'8.0.0'!$AM$4:$AP$48,4,FALSE))</f>
        <v>0</v>
      </c>
      <c r="Q9" s="4">
        <f>(VLOOKUP('8.0.0'!Y9,'8.0.0'!$AM$4:$AP$48,4,FALSE))</f>
        <v>34</v>
      </c>
      <c r="R9" s="4">
        <f>(VLOOKUP('8.0.0'!Z9,'8.0.0'!$AM$4:$AP$48,4,FALSE))</f>
        <v>34</v>
      </c>
      <c r="S9" s="4">
        <f>(VLOOKUP('8.0.0'!AA9,'8.0.0'!$AM$4:$AP$48,4,FALSE))</f>
        <v>34</v>
      </c>
      <c r="T9" s="4">
        <f>(VLOOKUP('8.0.0'!AB9,'8.0.0'!$AM$4:$AP$48,4,FALSE))</f>
        <v>0</v>
      </c>
      <c r="U9" s="4">
        <f>(VLOOKUP('8.0.0'!AC9,'8.0.0'!$AM$4:$AP$48,4,FALSE))</f>
        <v>0</v>
      </c>
      <c r="V9" s="4">
        <f>(VLOOKUP('8.0.0'!AD9,'8.0.0'!$AM$4:$AP$48,4,FALSE))</f>
        <v>0</v>
      </c>
      <c r="W9" s="4">
        <f>(VLOOKUP('8.0.0'!AE9,'8.0.0'!$AM$4:$AP$48,4,FALSE))</f>
        <v>0</v>
      </c>
      <c r="X9" s="4">
        <f>(VLOOKUP('8.0.0'!AF9,'8.0.0'!$AM$4:$AP$48,4,FALSE))</f>
        <v>0</v>
      </c>
    </row>
    <row r="10" spans="1:24">
      <c r="A10" s="4">
        <f>(VLOOKUP('8.0.0'!I10,'8.0.0'!$AM$4:$AP$48,4,FALSE))</f>
        <v>34</v>
      </c>
      <c r="B10" s="4">
        <f>(VLOOKUP('8.0.0'!J10,'8.0.0'!$AM$4:$AP$48,4,FALSE))</f>
        <v>34</v>
      </c>
      <c r="C10" s="4">
        <f>(VLOOKUP('8.0.0'!K10,'8.0.0'!$AM$4:$AP$48,4,FALSE))</f>
        <v>10</v>
      </c>
      <c r="D10" s="4">
        <f>(VLOOKUP('8.0.0'!L10,'8.0.0'!$AM$4:$AP$48,4,FALSE))</f>
        <v>34</v>
      </c>
      <c r="E10" s="4">
        <f>(VLOOKUP('8.0.0'!M10,'8.0.0'!$AM$4:$AP$48,4,FALSE))</f>
        <v>34</v>
      </c>
      <c r="F10" s="4">
        <f>(VLOOKUP('8.0.0'!N10,'8.0.0'!$AM$4:$AP$48,4,FALSE))</f>
        <v>36</v>
      </c>
      <c r="G10" s="4">
        <f>(VLOOKUP('8.0.0'!O10,'8.0.0'!$AM$4:$AP$48,4,FALSE))</f>
        <v>0</v>
      </c>
      <c r="H10" s="4">
        <f>(VLOOKUP('8.0.0'!P10,'8.0.0'!$AM$4:$AP$48,4,FALSE))</f>
        <v>0</v>
      </c>
      <c r="I10" s="4">
        <f>(VLOOKUP('8.0.0'!Q10,'8.0.0'!$AM$4:$AP$48,4,FALSE))</f>
        <v>0</v>
      </c>
      <c r="J10" s="4">
        <f>(VLOOKUP('8.0.0'!R10,'8.0.0'!$AM$4:$AP$48,4,FALSE))</f>
        <v>0</v>
      </c>
      <c r="K10" s="4">
        <f>(VLOOKUP('8.0.0'!S10,'8.0.0'!$AM$4:$AP$48,4,FALSE))</f>
        <v>0</v>
      </c>
      <c r="L10" s="4">
        <f>(VLOOKUP('8.0.0'!T10,'8.0.0'!$AM$4:$AP$48,4,FALSE))</f>
        <v>0</v>
      </c>
      <c r="M10" s="4">
        <f>(VLOOKUP('8.0.0'!U10,'8.0.0'!$AM$4:$AP$48,4,FALSE))</f>
        <v>0</v>
      </c>
      <c r="N10" s="4">
        <f>(VLOOKUP('8.0.0'!V10,'8.0.0'!$AM$4:$AP$48,4,FALSE))</f>
        <v>0</v>
      </c>
      <c r="O10" s="4">
        <f>(VLOOKUP('8.0.0'!W10,'8.0.0'!$AM$4:$AP$48,4,FALSE))</f>
        <v>0</v>
      </c>
      <c r="P10" s="4">
        <f>(VLOOKUP('8.0.0'!X10,'8.0.0'!$AM$4:$AP$48,4,FALSE))</f>
        <v>0</v>
      </c>
      <c r="Q10" s="4">
        <f>(VLOOKUP('8.0.0'!Y10,'8.0.0'!$AM$4:$AP$48,4,FALSE))</f>
        <v>34</v>
      </c>
      <c r="R10" s="4">
        <f>(VLOOKUP('8.0.0'!Z10,'8.0.0'!$AM$4:$AP$48,4,FALSE))</f>
        <v>34</v>
      </c>
      <c r="S10" s="4">
        <f>(VLOOKUP('8.0.0'!AA10,'8.0.0'!$AM$4:$AP$48,4,FALSE))</f>
        <v>10</v>
      </c>
      <c r="T10" s="4">
        <f>(VLOOKUP('8.0.0'!AB10,'8.0.0'!$AM$4:$AP$48,4,FALSE))</f>
        <v>34</v>
      </c>
      <c r="U10" s="4">
        <f>(VLOOKUP('8.0.0'!AC10,'8.0.0'!$AM$4:$AP$48,4,FALSE))</f>
        <v>34</v>
      </c>
      <c r="V10" s="4">
        <f>(VLOOKUP('8.0.0'!AD10,'8.0.0'!$AM$4:$AP$48,4,FALSE))</f>
        <v>34</v>
      </c>
      <c r="W10" s="4">
        <f>(VLOOKUP('8.0.0'!AE10,'8.0.0'!$AM$4:$AP$48,4,FALSE))</f>
        <v>0</v>
      </c>
      <c r="X10" s="4">
        <f>(VLOOKUP('8.0.0'!AF10,'8.0.0'!$AM$4:$AP$48,4,FALSE))</f>
        <v>0</v>
      </c>
    </row>
    <row r="11" spans="1:24">
      <c r="A11" s="4">
        <f>(VLOOKUP('8.0.0'!I11,'8.0.0'!$AM$4:$AP$48,4,FALSE))</f>
        <v>36</v>
      </c>
      <c r="B11" s="4">
        <f>(VLOOKUP('8.0.0'!J11,'8.0.0'!$AM$4:$AP$48,4,FALSE))</f>
        <v>36</v>
      </c>
      <c r="C11" s="4">
        <f>(VLOOKUP('8.0.0'!K11,'8.0.0'!$AM$4:$AP$48,4,FALSE))</f>
        <v>10</v>
      </c>
      <c r="D11" s="4">
        <f>(VLOOKUP('8.0.0'!L11,'8.0.0'!$AM$4:$AP$48,4,FALSE))</f>
        <v>36</v>
      </c>
      <c r="E11" s="4">
        <f>(VLOOKUP('8.0.0'!M11,'8.0.0'!$AM$4:$AP$48,4,FALSE))</f>
        <v>36</v>
      </c>
      <c r="F11" s="4">
        <f>(VLOOKUP('8.0.0'!N11,'8.0.0'!$AM$4:$AP$48,4,FALSE))</f>
        <v>0</v>
      </c>
      <c r="G11" s="4">
        <f>(VLOOKUP('8.0.0'!O11,'8.0.0'!$AM$4:$AP$48,4,FALSE))</f>
        <v>36</v>
      </c>
      <c r="H11" s="4">
        <f>(VLOOKUP('8.0.0'!P11,'8.0.0'!$AM$4:$AP$48,4,FALSE))</f>
        <v>36</v>
      </c>
      <c r="I11" s="4">
        <f>(VLOOKUP('8.0.0'!Q11,'8.0.0'!$AM$4:$AP$48,4,FALSE))</f>
        <v>0</v>
      </c>
      <c r="J11" s="4">
        <f>(VLOOKUP('8.0.0'!R11,'8.0.0'!$AM$4:$AP$48,4,FALSE))</f>
        <v>0</v>
      </c>
      <c r="K11" s="4">
        <f>(VLOOKUP('8.0.0'!S11,'8.0.0'!$AM$4:$AP$48,4,FALSE))</f>
        <v>0</v>
      </c>
      <c r="L11" s="4">
        <f>(VLOOKUP('8.0.0'!T11,'8.0.0'!$AM$4:$AP$48,4,FALSE))</f>
        <v>0</v>
      </c>
      <c r="M11" s="4">
        <f>(VLOOKUP('8.0.0'!U11,'8.0.0'!$AM$4:$AP$48,4,FALSE))</f>
        <v>0</v>
      </c>
      <c r="N11" s="4">
        <f>(VLOOKUP('8.0.0'!V11,'8.0.0'!$AM$4:$AP$48,4,FALSE))</f>
        <v>0</v>
      </c>
      <c r="O11" s="4">
        <f>(VLOOKUP('8.0.0'!W11,'8.0.0'!$AM$4:$AP$48,4,FALSE))</f>
        <v>0</v>
      </c>
      <c r="P11" s="4">
        <f>(VLOOKUP('8.0.0'!X11,'8.0.0'!$AM$4:$AP$48,4,FALSE))</f>
        <v>0</v>
      </c>
      <c r="Q11" s="4">
        <f>(VLOOKUP('8.0.0'!Y11,'8.0.0'!$AM$4:$AP$48,4,FALSE))</f>
        <v>34</v>
      </c>
      <c r="R11" s="4">
        <f>(VLOOKUP('8.0.0'!Z11,'8.0.0'!$AM$4:$AP$48,4,FALSE))</f>
        <v>34</v>
      </c>
      <c r="S11" s="4">
        <f>(VLOOKUP('8.0.0'!AA11,'8.0.0'!$AM$4:$AP$48,4,FALSE))</f>
        <v>34</v>
      </c>
      <c r="T11" s="4">
        <f>(VLOOKUP('8.0.0'!AB11,'8.0.0'!$AM$4:$AP$48,4,FALSE))</f>
        <v>34</v>
      </c>
      <c r="U11" s="4">
        <f>(VLOOKUP('8.0.0'!AC11,'8.0.0'!$AM$4:$AP$48,4,FALSE))</f>
        <v>34</v>
      </c>
      <c r="V11" s="4">
        <f>(VLOOKUP('8.0.0'!AD11,'8.0.0'!$AM$4:$AP$48,4,FALSE))</f>
        <v>34</v>
      </c>
      <c r="W11" s="4">
        <f>(VLOOKUP('8.0.0'!AE11,'8.0.0'!$AM$4:$AP$48,4,FALSE))</f>
        <v>0</v>
      </c>
      <c r="X11" s="4">
        <f>(VLOOKUP('8.0.0'!AF11,'8.0.0'!$AM$4:$AP$48,4,FALSE))</f>
        <v>0</v>
      </c>
    </row>
    <row r="12" spans="1:24">
      <c r="A12" s="4">
        <f>(VLOOKUP('8.0.0'!I12,'8.0.0'!$AM$4:$AP$48,4,FALSE))</f>
        <v>36</v>
      </c>
      <c r="B12" s="4">
        <f>(VLOOKUP('8.0.0'!J12,'8.0.0'!$AM$4:$AP$48,4,FALSE))</f>
        <v>36</v>
      </c>
      <c r="C12" s="4">
        <f>(VLOOKUP('8.0.0'!K12,'8.0.0'!$AM$4:$AP$48,4,FALSE))</f>
        <v>36</v>
      </c>
      <c r="D12" s="4">
        <f>(VLOOKUP('8.0.0'!L12,'8.0.0'!$AM$4:$AP$48,4,FALSE))</f>
        <v>36</v>
      </c>
      <c r="E12" s="4">
        <f>(VLOOKUP('8.0.0'!M12,'8.0.0'!$AM$4:$AP$48,4,FALSE))</f>
        <v>36</v>
      </c>
      <c r="F12" s="4">
        <f>(VLOOKUP('8.0.0'!N12,'8.0.0'!$AM$4:$AP$48,4,FALSE))</f>
        <v>36</v>
      </c>
      <c r="G12" s="4">
        <f>(VLOOKUP('8.0.0'!O12,'8.0.0'!$AM$4:$AP$48,4,FALSE))</f>
        <v>0</v>
      </c>
      <c r="H12" s="4">
        <f>(VLOOKUP('8.0.0'!P12,'8.0.0'!$AM$4:$AP$48,4,FALSE))</f>
        <v>0</v>
      </c>
      <c r="I12" s="4">
        <f>(VLOOKUP('8.0.0'!Q12,'8.0.0'!$AM$4:$AP$48,4,FALSE))</f>
        <v>0</v>
      </c>
      <c r="J12" s="4">
        <f>(VLOOKUP('8.0.0'!R12,'8.0.0'!$AM$4:$AP$48,4,FALSE))</f>
        <v>0</v>
      </c>
      <c r="K12" s="4">
        <f>(VLOOKUP('8.0.0'!S12,'8.0.0'!$AM$4:$AP$48,4,FALSE))</f>
        <v>0</v>
      </c>
      <c r="L12" s="4">
        <f>(VLOOKUP('8.0.0'!T12,'8.0.0'!$AM$4:$AP$48,4,FALSE))</f>
        <v>0</v>
      </c>
      <c r="M12" s="4">
        <f>(VLOOKUP('8.0.0'!U12,'8.0.0'!$AM$4:$AP$48,4,FALSE))</f>
        <v>0</v>
      </c>
      <c r="N12" s="4">
        <f>(VLOOKUP('8.0.0'!V12,'8.0.0'!$AM$4:$AP$48,4,FALSE))</f>
        <v>0</v>
      </c>
      <c r="O12" s="4">
        <f>(VLOOKUP('8.0.0'!W12,'8.0.0'!$AM$4:$AP$48,4,FALSE))</f>
        <v>0</v>
      </c>
      <c r="P12" s="4">
        <f>(VLOOKUP('8.0.0'!X12,'8.0.0'!$AM$4:$AP$48,4,FALSE))</f>
        <v>0</v>
      </c>
      <c r="Q12" s="4">
        <f>(VLOOKUP('8.0.0'!Y12,'8.0.0'!$AM$4:$AP$48,4,FALSE))</f>
        <v>34</v>
      </c>
      <c r="R12" s="4">
        <f>(VLOOKUP('8.0.0'!Z12,'8.0.0'!$AM$4:$AP$48,4,FALSE))</f>
        <v>34</v>
      </c>
      <c r="S12" s="4">
        <f>(VLOOKUP('8.0.0'!AA12,'8.0.0'!$AM$4:$AP$48,4,FALSE))</f>
        <v>34</v>
      </c>
      <c r="T12" s="4">
        <f>(VLOOKUP('8.0.0'!AB12,'8.0.0'!$AM$4:$AP$48,4,FALSE))</f>
        <v>34</v>
      </c>
      <c r="U12" s="4">
        <f>(VLOOKUP('8.0.0'!AC12,'8.0.0'!$AM$4:$AP$48,4,FALSE))</f>
        <v>34</v>
      </c>
      <c r="V12" s="4">
        <f>(VLOOKUP('8.0.0'!AD12,'8.0.0'!$AM$4:$AP$48,4,FALSE))</f>
        <v>34</v>
      </c>
      <c r="W12" s="4">
        <f>(VLOOKUP('8.0.0'!AE12,'8.0.0'!$AM$4:$AP$48,4,FALSE))</f>
        <v>0</v>
      </c>
      <c r="X12" s="4">
        <f>(VLOOKUP('8.0.0'!AF12,'8.0.0'!$AM$4:$AP$48,4,FALSE))</f>
        <v>0</v>
      </c>
    </row>
    <row r="13" spans="1:24">
      <c r="A13" s="4">
        <f>(VLOOKUP('8.0.0'!I13,'8.0.0'!$AM$4:$AP$48,4,FALSE))</f>
        <v>36</v>
      </c>
      <c r="B13" s="4">
        <f>(VLOOKUP('8.0.0'!J13,'8.0.0'!$AM$4:$AP$48,4,FALSE))</f>
        <v>36</v>
      </c>
      <c r="C13" s="4">
        <f>(VLOOKUP('8.0.0'!K13,'8.0.0'!$AM$4:$AP$48,4,FALSE))</f>
        <v>36</v>
      </c>
      <c r="D13" s="4">
        <f>(VLOOKUP('8.0.0'!L13,'8.0.0'!$AM$4:$AP$48,4,FALSE))</f>
        <v>36</v>
      </c>
      <c r="E13" s="4">
        <f>(VLOOKUP('8.0.0'!M13,'8.0.0'!$AM$4:$AP$48,4,FALSE))</f>
        <v>36</v>
      </c>
      <c r="F13" s="4">
        <f>(VLOOKUP('8.0.0'!N13,'8.0.0'!$AM$4:$AP$48,4,FALSE))</f>
        <v>36</v>
      </c>
      <c r="G13" s="4">
        <f>(VLOOKUP('8.0.0'!O13,'8.0.0'!$AM$4:$AP$48,4,FALSE))</f>
        <v>0</v>
      </c>
      <c r="H13" s="4">
        <f>(VLOOKUP('8.0.0'!P13,'8.0.0'!$AM$4:$AP$48,4,FALSE))</f>
        <v>0</v>
      </c>
      <c r="I13" s="4">
        <f>(VLOOKUP('8.0.0'!Q13,'8.0.0'!$AM$4:$AP$48,4,FALSE))</f>
        <v>0</v>
      </c>
      <c r="J13" s="4">
        <f>(VLOOKUP('8.0.0'!R13,'8.0.0'!$AM$4:$AP$48,4,FALSE))</f>
        <v>0</v>
      </c>
      <c r="K13" s="4">
        <f>(VLOOKUP('8.0.0'!S13,'8.0.0'!$AM$4:$AP$48,4,FALSE))</f>
        <v>0</v>
      </c>
      <c r="L13" s="4">
        <f>(VLOOKUP('8.0.0'!T13,'8.0.0'!$AM$4:$AP$48,4,FALSE))</f>
        <v>0</v>
      </c>
      <c r="M13" s="4">
        <f>(VLOOKUP('8.0.0'!U13,'8.0.0'!$AM$4:$AP$48,4,FALSE))</f>
        <v>0</v>
      </c>
      <c r="N13" s="4">
        <f>(VLOOKUP('8.0.0'!V13,'8.0.0'!$AM$4:$AP$48,4,FALSE))</f>
        <v>0</v>
      </c>
      <c r="O13" s="4">
        <f>(VLOOKUP('8.0.0'!W13,'8.0.0'!$AM$4:$AP$48,4,FALSE))</f>
        <v>0</v>
      </c>
      <c r="P13" s="4">
        <f>(VLOOKUP('8.0.0'!X13,'8.0.0'!$AM$4:$AP$48,4,FALSE))</f>
        <v>0</v>
      </c>
      <c r="Q13" s="4">
        <f>(VLOOKUP('8.0.0'!Y13,'8.0.0'!$AM$4:$AP$48,4,FALSE))</f>
        <v>10</v>
      </c>
      <c r="R13" s="4">
        <f>(VLOOKUP('8.0.0'!Z13,'8.0.0'!$AM$4:$AP$48,4,FALSE))</f>
        <v>34</v>
      </c>
      <c r="S13" s="4">
        <f>(VLOOKUP('8.0.0'!AA13,'8.0.0'!$AM$4:$AP$48,4,FALSE))</f>
        <v>34</v>
      </c>
      <c r="T13" s="4">
        <f>(VLOOKUP('8.0.0'!AB13,'8.0.0'!$AM$4:$AP$48,4,FALSE))</f>
        <v>34</v>
      </c>
      <c r="U13" s="4">
        <f>(VLOOKUP('8.0.0'!AC13,'8.0.0'!$AM$4:$AP$48,4,FALSE))</f>
        <v>34</v>
      </c>
      <c r="V13" s="4">
        <f>(VLOOKUP('8.0.0'!AD13,'8.0.0'!$AM$4:$AP$48,4,FALSE))</f>
        <v>34</v>
      </c>
      <c r="W13" s="4">
        <f>(VLOOKUP('8.0.0'!AE13,'8.0.0'!$AM$4:$AP$48,4,FALSE))</f>
        <v>0</v>
      </c>
      <c r="X13" s="4">
        <f>(VLOOKUP('8.0.0'!AF13,'8.0.0'!$AM$4:$AP$48,4,FALSE))</f>
        <v>0</v>
      </c>
    </row>
    <row r="14" spans="1:24">
      <c r="A14" s="4">
        <f>(VLOOKUP('8.0.0'!I14,'8.0.0'!$AM$4:$AP$48,4,FALSE))</f>
        <v>36</v>
      </c>
      <c r="B14" s="4">
        <f>(VLOOKUP('8.0.0'!J14,'8.0.0'!$AM$4:$AP$48,4,FALSE))</f>
        <v>36</v>
      </c>
      <c r="C14" s="4">
        <f>(VLOOKUP('8.0.0'!K14,'8.0.0'!$AM$4:$AP$48,4,FALSE))</f>
        <v>36</v>
      </c>
      <c r="D14" s="4">
        <f>(VLOOKUP('8.0.0'!L14,'8.0.0'!$AM$4:$AP$48,4,FALSE))</f>
        <v>36</v>
      </c>
      <c r="E14" s="4">
        <f>(VLOOKUP('8.0.0'!M14,'8.0.0'!$AM$4:$AP$48,4,FALSE))</f>
        <v>36</v>
      </c>
      <c r="F14" s="4">
        <f>(VLOOKUP('8.0.0'!N14,'8.0.0'!$AM$4:$AP$48,4,FALSE))</f>
        <v>36</v>
      </c>
      <c r="G14" s="4">
        <f>(VLOOKUP('8.0.0'!O14,'8.0.0'!$AM$4:$AP$48,4,FALSE))</f>
        <v>0</v>
      </c>
      <c r="H14" s="4">
        <f>(VLOOKUP('8.0.0'!P14,'8.0.0'!$AM$4:$AP$48,4,FALSE))</f>
        <v>0</v>
      </c>
      <c r="I14" s="4">
        <f>(VLOOKUP('8.0.0'!Q14,'8.0.0'!$AM$4:$AP$48,4,FALSE))</f>
        <v>0</v>
      </c>
      <c r="J14" s="4">
        <f>(VLOOKUP('8.0.0'!R14,'8.0.0'!$AM$4:$AP$48,4,FALSE))</f>
        <v>0</v>
      </c>
      <c r="K14" s="4">
        <f>(VLOOKUP('8.0.0'!S14,'8.0.0'!$AM$4:$AP$48,4,FALSE))</f>
        <v>0</v>
      </c>
      <c r="L14" s="4">
        <f>(VLOOKUP('8.0.0'!T14,'8.0.0'!$AM$4:$AP$48,4,FALSE))</f>
        <v>0</v>
      </c>
      <c r="M14" s="4">
        <f>(VLOOKUP('8.0.0'!U14,'8.0.0'!$AM$4:$AP$48,4,FALSE))</f>
        <v>0</v>
      </c>
      <c r="N14" s="4">
        <f>(VLOOKUP('8.0.0'!V14,'8.0.0'!$AM$4:$AP$48,4,FALSE))</f>
        <v>0</v>
      </c>
      <c r="O14" s="4">
        <f>(VLOOKUP('8.0.0'!W14,'8.0.0'!$AM$4:$AP$48,4,FALSE))</f>
        <v>0</v>
      </c>
      <c r="P14" s="4">
        <f>(VLOOKUP('8.0.0'!X14,'8.0.0'!$AM$4:$AP$48,4,FALSE))</f>
        <v>0</v>
      </c>
      <c r="Q14" s="4">
        <f>(VLOOKUP('8.0.0'!Y14,'8.0.0'!$AM$4:$AP$48,4,FALSE))</f>
        <v>34</v>
      </c>
      <c r="R14" s="4">
        <f>(VLOOKUP('8.0.0'!Z14,'8.0.0'!$AM$4:$AP$48,4,FALSE))</f>
        <v>34</v>
      </c>
      <c r="S14" s="4">
        <f>(VLOOKUP('8.0.0'!AA14,'8.0.0'!$AM$4:$AP$48,4,FALSE))</f>
        <v>34</v>
      </c>
      <c r="T14" s="4">
        <f>(VLOOKUP('8.0.0'!AB14,'8.0.0'!$AM$4:$AP$48,4,FALSE))</f>
        <v>34</v>
      </c>
      <c r="U14" s="4">
        <f>(VLOOKUP('8.0.0'!AC14,'8.0.0'!$AM$4:$AP$48,4,FALSE))</f>
        <v>34</v>
      </c>
      <c r="V14" s="4">
        <f>(VLOOKUP('8.0.0'!AD14,'8.0.0'!$AM$4:$AP$48,4,FALSE))</f>
        <v>34</v>
      </c>
      <c r="W14" s="4">
        <f>(VLOOKUP('8.0.0'!AE14,'8.0.0'!$AM$4:$AP$48,4,FALSE))</f>
        <v>0</v>
      </c>
      <c r="X14" s="4">
        <f>(VLOOKUP('8.0.0'!AF14,'8.0.0'!$AM$4:$AP$48,4,FALSE))</f>
        <v>0</v>
      </c>
    </row>
    <row r="15" spans="1:24">
      <c r="A15" s="4">
        <f>(VLOOKUP('8.0.0'!I15,'8.0.0'!$AM$4:$AP$48,4,FALSE))</f>
        <v>36</v>
      </c>
      <c r="B15" s="4">
        <f>(VLOOKUP('8.0.0'!J15,'8.0.0'!$AM$4:$AP$48,4,FALSE))</f>
        <v>36</v>
      </c>
      <c r="C15" s="4">
        <f>(VLOOKUP('8.0.0'!K15,'8.0.0'!$AM$4:$AP$48,4,FALSE))</f>
        <v>36</v>
      </c>
      <c r="D15" s="4">
        <f>(VLOOKUP('8.0.0'!L15,'8.0.0'!$AM$4:$AP$48,4,FALSE))</f>
        <v>36</v>
      </c>
      <c r="E15" s="4">
        <f>(VLOOKUP('8.0.0'!M15,'8.0.0'!$AM$4:$AP$48,4,FALSE))</f>
        <v>36</v>
      </c>
      <c r="F15" s="4">
        <f>(VLOOKUP('8.0.0'!N15,'8.0.0'!$AM$4:$AP$48,4,FALSE))</f>
        <v>36</v>
      </c>
      <c r="G15" s="4">
        <f>(VLOOKUP('8.0.0'!O15,'8.0.0'!$AM$4:$AP$48,4,FALSE))</f>
        <v>0</v>
      </c>
      <c r="H15" s="4">
        <f>(VLOOKUP('8.0.0'!P15,'8.0.0'!$AM$4:$AP$48,4,FALSE))</f>
        <v>0</v>
      </c>
      <c r="I15" s="4">
        <f>(VLOOKUP('8.0.0'!Q15,'8.0.0'!$AM$4:$AP$48,4,FALSE))</f>
        <v>0</v>
      </c>
      <c r="J15" s="4">
        <f>(VLOOKUP('8.0.0'!R15,'8.0.0'!$AM$4:$AP$48,4,FALSE))</f>
        <v>0</v>
      </c>
      <c r="K15" s="4">
        <f>(VLOOKUP('8.0.0'!S15,'8.0.0'!$AM$4:$AP$48,4,FALSE))</f>
        <v>0</v>
      </c>
      <c r="L15" s="4">
        <f>(VLOOKUP('8.0.0'!T15,'8.0.0'!$AM$4:$AP$48,4,FALSE))</f>
        <v>0</v>
      </c>
      <c r="M15" s="4">
        <f>(VLOOKUP('8.0.0'!U15,'8.0.0'!$AM$4:$AP$48,4,FALSE))</f>
        <v>0</v>
      </c>
      <c r="N15" s="4">
        <f>(VLOOKUP('8.0.0'!V15,'8.0.0'!$AM$4:$AP$48,4,FALSE))</f>
        <v>0</v>
      </c>
      <c r="O15" s="4">
        <f>(VLOOKUP('8.0.0'!W15,'8.0.0'!$AM$4:$AP$48,4,FALSE))</f>
        <v>0</v>
      </c>
      <c r="P15" s="4">
        <f>(VLOOKUP('8.0.0'!X15,'8.0.0'!$AM$4:$AP$48,4,FALSE))</f>
        <v>0</v>
      </c>
      <c r="Q15" s="4">
        <f>(VLOOKUP('8.0.0'!Y15,'8.0.0'!$AM$4:$AP$48,4,FALSE))</f>
        <v>34</v>
      </c>
      <c r="R15" s="4">
        <f>(VLOOKUP('8.0.0'!Z15,'8.0.0'!$AM$4:$AP$48,4,FALSE))</f>
        <v>34</v>
      </c>
      <c r="S15" s="4">
        <f>(VLOOKUP('8.0.0'!AA15,'8.0.0'!$AM$4:$AP$48,4,FALSE))</f>
        <v>34</v>
      </c>
      <c r="T15" s="4">
        <f>(VLOOKUP('8.0.0'!AB15,'8.0.0'!$AM$4:$AP$48,4,FALSE))</f>
        <v>34</v>
      </c>
      <c r="U15" s="4">
        <f>(VLOOKUP('8.0.0'!AC15,'8.0.0'!$AM$4:$AP$48,4,FALSE))</f>
        <v>34</v>
      </c>
      <c r="V15" s="4">
        <f>(VLOOKUP('8.0.0'!AD15,'8.0.0'!$AM$4:$AP$48,4,FALSE))</f>
        <v>34</v>
      </c>
      <c r="W15" s="4">
        <f>(VLOOKUP('8.0.0'!AE15,'8.0.0'!$AM$4:$AP$48,4,FALSE))</f>
        <v>0</v>
      </c>
      <c r="X15" s="4">
        <f>(VLOOKUP('8.0.0'!AF15,'8.0.0'!$AM$4:$AP$48,4,FALSE))</f>
        <v>0</v>
      </c>
    </row>
    <row r="16" spans="1:24">
      <c r="A16" s="4">
        <f>(VLOOKUP('8.0.0'!I16,'8.0.0'!$AM$4:$AP$48,4,FALSE))</f>
        <v>36</v>
      </c>
      <c r="B16" s="4">
        <f>(VLOOKUP('8.0.0'!J16,'8.0.0'!$AM$4:$AP$48,4,FALSE))</f>
        <v>36</v>
      </c>
      <c r="C16" s="4">
        <f>(VLOOKUP('8.0.0'!K16,'8.0.0'!$AM$4:$AP$48,4,FALSE))</f>
        <v>36</v>
      </c>
      <c r="D16" s="4">
        <f>(VLOOKUP('8.0.0'!L16,'8.0.0'!$AM$4:$AP$48,4,FALSE))</f>
        <v>36</v>
      </c>
      <c r="E16" s="4">
        <f>(VLOOKUP('8.0.0'!M16,'8.0.0'!$AM$4:$AP$48,4,FALSE))</f>
        <v>36</v>
      </c>
      <c r="F16" s="4">
        <f>(VLOOKUP('8.0.0'!N16,'8.0.0'!$AM$4:$AP$48,4,FALSE))</f>
        <v>36</v>
      </c>
      <c r="G16" s="4">
        <f>(VLOOKUP('8.0.0'!O16,'8.0.0'!$AM$4:$AP$48,4,FALSE))</f>
        <v>0</v>
      </c>
      <c r="H16" s="4">
        <f>(VLOOKUP('8.0.0'!P16,'8.0.0'!$AM$4:$AP$48,4,FALSE))</f>
        <v>0</v>
      </c>
      <c r="I16" s="4">
        <f>(VLOOKUP('8.0.0'!Q16,'8.0.0'!$AM$4:$AP$48,4,FALSE))</f>
        <v>0</v>
      </c>
      <c r="J16" s="4">
        <f>(VLOOKUP('8.0.0'!R16,'8.0.0'!$AM$4:$AP$48,4,FALSE))</f>
        <v>0</v>
      </c>
      <c r="K16" s="4">
        <f>(VLOOKUP('8.0.0'!S16,'8.0.0'!$AM$4:$AP$48,4,FALSE))</f>
        <v>0</v>
      </c>
      <c r="L16" s="4">
        <f>(VLOOKUP('8.0.0'!T16,'8.0.0'!$AM$4:$AP$48,4,FALSE))</f>
        <v>0</v>
      </c>
      <c r="M16" s="4">
        <f>(VLOOKUP('8.0.0'!U16,'8.0.0'!$AM$4:$AP$48,4,FALSE))</f>
        <v>0</v>
      </c>
      <c r="N16" s="4">
        <f>(VLOOKUP('8.0.0'!V16,'8.0.0'!$AM$4:$AP$48,4,FALSE))</f>
        <v>0</v>
      </c>
      <c r="O16" s="4">
        <f>(VLOOKUP('8.0.0'!W16,'8.0.0'!$AM$4:$AP$48,4,FALSE))</f>
        <v>0</v>
      </c>
      <c r="P16" s="4">
        <f>(VLOOKUP('8.0.0'!X16,'8.0.0'!$AM$4:$AP$48,4,FALSE))</f>
        <v>0</v>
      </c>
      <c r="Q16" s="4">
        <f>(VLOOKUP('8.0.0'!Y16,'8.0.0'!$AM$4:$AP$48,4,FALSE))</f>
        <v>34</v>
      </c>
      <c r="R16" s="4">
        <f>(VLOOKUP('8.0.0'!Z16,'8.0.0'!$AM$4:$AP$48,4,FALSE))</f>
        <v>34</v>
      </c>
      <c r="S16" s="4">
        <f>(VLOOKUP('8.0.0'!AA16,'8.0.0'!$AM$4:$AP$48,4,FALSE))</f>
        <v>34</v>
      </c>
      <c r="T16" s="4">
        <f>(VLOOKUP('8.0.0'!AB16,'8.0.0'!$AM$4:$AP$48,4,FALSE))</f>
        <v>34</v>
      </c>
      <c r="U16" s="4">
        <f>(VLOOKUP('8.0.0'!AC16,'8.0.0'!$AM$4:$AP$48,4,FALSE))</f>
        <v>34</v>
      </c>
      <c r="V16" s="4">
        <f>(VLOOKUP('8.0.0'!AD16,'8.0.0'!$AM$4:$AP$48,4,FALSE))</f>
        <v>34</v>
      </c>
      <c r="W16" s="4">
        <f>(VLOOKUP('8.0.0'!AE16,'8.0.0'!$AM$4:$AP$48,4,FALSE))</f>
        <v>0</v>
      </c>
      <c r="X16" s="4">
        <f>(VLOOKUP('8.0.0'!AF16,'8.0.0'!$AM$4:$AP$48,4,FALSE))</f>
        <v>0</v>
      </c>
    </row>
    <row r="17" spans="1:24">
      <c r="A17" s="4">
        <f>(VLOOKUP('8.0.0'!I17,'8.0.0'!$AM$4:$AP$48,4,FALSE))</f>
        <v>36</v>
      </c>
      <c r="B17" s="4">
        <f>(VLOOKUP('8.0.0'!J17,'8.0.0'!$AM$4:$AP$48,4,FALSE))</f>
        <v>36</v>
      </c>
      <c r="C17" s="4">
        <f>(VLOOKUP('8.0.0'!K17,'8.0.0'!$AM$4:$AP$48,4,FALSE))</f>
        <v>36</v>
      </c>
      <c r="D17" s="4">
        <f>(VLOOKUP('8.0.0'!L17,'8.0.0'!$AM$4:$AP$48,4,FALSE))</f>
        <v>36</v>
      </c>
      <c r="E17" s="4">
        <f>(VLOOKUP('8.0.0'!M17,'8.0.0'!$AM$4:$AP$48,4,FALSE))</f>
        <v>36</v>
      </c>
      <c r="F17" s="4">
        <f>(VLOOKUP('8.0.0'!N17,'8.0.0'!$AM$4:$AP$48,4,FALSE))</f>
        <v>36</v>
      </c>
      <c r="G17" s="4">
        <f>(VLOOKUP('8.0.0'!O17,'8.0.0'!$AM$4:$AP$48,4,FALSE))</f>
        <v>0</v>
      </c>
      <c r="H17" s="4">
        <f>(VLOOKUP('8.0.0'!P17,'8.0.0'!$AM$4:$AP$48,4,FALSE))</f>
        <v>0</v>
      </c>
      <c r="I17" s="4">
        <f>(VLOOKUP('8.0.0'!Q17,'8.0.0'!$AM$4:$AP$48,4,FALSE))</f>
        <v>0</v>
      </c>
      <c r="J17" s="4">
        <f>(VLOOKUP('8.0.0'!R17,'8.0.0'!$AM$4:$AP$48,4,FALSE))</f>
        <v>0</v>
      </c>
      <c r="K17" s="4">
        <f>(VLOOKUP('8.0.0'!S17,'8.0.0'!$AM$4:$AP$48,4,FALSE))</f>
        <v>0</v>
      </c>
      <c r="L17" s="4">
        <f>(VLOOKUP('8.0.0'!T17,'8.0.0'!$AM$4:$AP$48,4,FALSE))</f>
        <v>0</v>
      </c>
      <c r="M17" s="4">
        <f>(VLOOKUP('8.0.0'!U17,'8.0.0'!$AM$4:$AP$48,4,FALSE))</f>
        <v>0</v>
      </c>
      <c r="N17" s="4">
        <f>(VLOOKUP('8.0.0'!V17,'8.0.0'!$AM$4:$AP$48,4,FALSE))</f>
        <v>0</v>
      </c>
      <c r="O17" s="4">
        <f>(VLOOKUP('8.0.0'!W17,'8.0.0'!$AM$4:$AP$48,4,FALSE))</f>
        <v>0</v>
      </c>
      <c r="P17" s="4">
        <f>(VLOOKUP('8.0.0'!X17,'8.0.0'!$AM$4:$AP$48,4,FALSE))</f>
        <v>0</v>
      </c>
      <c r="Q17" s="4">
        <f>(VLOOKUP('8.0.0'!Y17,'8.0.0'!$AM$4:$AP$48,4,FALSE))</f>
        <v>34</v>
      </c>
      <c r="R17" s="4">
        <f>(VLOOKUP('8.0.0'!Z17,'8.0.0'!$AM$4:$AP$48,4,FALSE))</f>
        <v>10</v>
      </c>
      <c r="S17" s="4">
        <f>(VLOOKUP('8.0.0'!AA17,'8.0.0'!$AM$4:$AP$48,4,FALSE))</f>
        <v>34</v>
      </c>
      <c r="T17" s="4">
        <f>(VLOOKUP('8.0.0'!AB17,'8.0.0'!$AM$4:$AP$48,4,FALSE))</f>
        <v>34</v>
      </c>
      <c r="U17" s="4">
        <f>(VLOOKUP('8.0.0'!AC17,'8.0.0'!$AM$4:$AP$48,4,FALSE))</f>
        <v>34</v>
      </c>
      <c r="V17" s="4">
        <f>(VLOOKUP('8.0.0'!AD17,'8.0.0'!$AM$4:$AP$48,4,FALSE))</f>
        <v>34</v>
      </c>
      <c r="W17" s="4">
        <f>(VLOOKUP('8.0.0'!AE17,'8.0.0'!$AM$4:$AP$48,4,FALSE))</f>
        <v>0</v>
      </c>
      <c r="X17" s="4">
        <f>(VLOOKUP('8.0.0'!AF17,'8.0.0'!$AM$4:$AP$48,4,FALSE))</f>
        <v>0</v>
      </c>
    </row>
    <row r="18" spans="1:24">
      <c r="A18" s="4">
        <f>(VLOOKUP('8.0.0'!I18,'8.0.0'!$AM$4:$AP$48,4,FALSE))</f>
        <v>36</v>
      </c>
      <c r="B18" s="4">
        <f>(VLOOKUP('8.0.0'!J18,'8.0.0'!$AM$4:$AP$48,4,FALSE))</f>
        <v>36</v>
      </c>
      <c r="C18" s="4">
        <f>(VLOOKUP('8.0.0'!K18,'8.0.0'!$AM$4:$AP$48,4,FALSE))</f>
        <v>36</v>
      </c>
      <c r="D18" s="4">
        <f>(VLOOKUP('8.0.0'!L18,'8.0.0'!$AM$4:$AP$48,4,FALSE))</f>
        <v>36</v>
      </c>
      <c r="E18" s="4">
        <f>(VLOOKUP('8.0.0'!M18,'8.0.0'!$AM$4:$AP$48,4,FALSE))</f>
        <v>36</v>
      </c>
      <c r="F18" s="4">
        <f>(VLOOKUP('8.0.0'!N18,'8.0.0'!$AM$4:$AP$48,4,FALSE))</f>
        <v>36</v>
      </c>
      <c r="G18" s="4">
        <f>(VLOOKUP('8.0.0'!O18,'8.0.0'!$AM$4:$AP$48,4,FALSE))</f>
        <v>0</v>
      </c>
      <c r="H18" s="4">
        <f>(VLOOKUP('8.0.0'!P18,'8.0.0'!$AM$4:$AP$48,4,FALSE))</f>
        <v>0</v>
      </c>
      <c r="I18" s="4">
        <f>(VLOOKUP('8.0.0'!Q18,'8.0.0'!$AM$4:$AP$48,4,FALSE))</f>
        <v>0</v>
      </c>
      <c r="J18" s="4">
        <f>(VLOOKUP('8.0.0'!R18,'8.0.0'!$AM$4:$AP$48,4,FALSE))</f>
        <v>0</v>
      </c>
      <c r="K18" s="4">
        <f>(VLOOKUP('8.0.0'!S18,'8.0.0'!$AM$4:$AP$48,4,FALSE))</f>
        <v>0</v>
      </c>
      <c r="L18" s="4">
        <f>(VLOOKUP('8.0.0'!T18,'8.0.0'!$AM$4:$AP$48,4,FALSE))</f>
        <v>0</v>
      </c>
      <c r="M18" s="4">
        <f>(VLOOKUP('8.0.0'!U18,'8.0.0'!$AM$4:$AP$48,4,FALSE))</f>
        <v>0</v>
      </c>
      <c r="N18" s="4">
        <f>(VLOOKUP('8.0.0'!V18,'8.0.0'!$AM$4:$AP$48,4,FALSE))</f>
        <v>0</v>
      </c>
      <c r="O18" s="4">
        <f>(VLOOKUP('8.0.0'!W18,'8.0.0'!$AM$4:$AP$48,4,FALSE))</f>
        <v>0</v>
      </c>
      <c r="P18" s="4">
        <f>(VLOOKUP('8.0.0'!X18,'8.0.0'!$AM$4:$AP$48,4,FALSE))</f>
        <v>0</v>
      </c>
      <c r="Q18" s="4">
        <f>(VLOOKUP('8.0.0'!Y18,'8.0.0'!$AM$4:$AP$48,4,FALSE))</f>
        <v>34</v>
      </c>
      <c r="R18" s="4">
        <f>(VLOOKUP('8.0.0'!Z18,'8.0.0'!$AM$4:$AP$48,4,FALSE))</f>
        <v>34</v>
      </c>
      <c r="S18" s="4">
        <f>(VLOOKUP('8.0.0'!AA18,'8.0.0'!$AM$4:$AP$48,4,FALSE))</f>
        <v>34</v>
      </c>
      <c r="T18" s="4">
        <f>(VLOOKUP('8.0.0'!AB18,'8.0.0'!$AM$4:$AP$48,4,FALSE))</f>
        <v>34</v>
      </c>
      <c r="U18" s="4">
        <f>(VLOOKUP('8.0.0'!AC18,'8.0.0'!$AM$4:$AP$48,4,FALSE))</f>
        <v>13.999854933178597</v>
      </c>
      <c r="V18" s="4">
        <f>(VLOOKUP('8.0.0'!AD18,'8.0.0'!$AM$4:$AP$48,4,FALSE))</f>
        <v>34</v>
      </c>
      <c r="W18" s="4">
        <f>(VLOOKUP('8.0.0'!AE18,'8.0.0'!$AM$4:$AP$48,4,FALSE))</f>
        <v>0</v>
      </c>
      <c r="X18" s="4">
        <f>(VLOOKUP('8.0.0'!AF18,'8.0.0'!$AM$4:$AP$48,4,FALSE))</f>
        <v>0</v>
      </c>
    </row>
    <row r="19" spans="1:24">
      <c r="A19" s="4">
        <f>(VLOOKUP('8.0.0'!I19,'8.0.0'!$AM$4:$AP$48,4,FALSE))</f>
        <v>36</v>
      </c>
      <c r="B19" s="4">
        <f>(VLOOKUP('8.0.0'!J19,'8.0.0'!$AM$4:$AP$48,4,FALSE))</f>
        <v>36</v>
      </c>
      <c r="C19" s="4">
        <f>(VLOOKUP('8.0.0'!K19,'8.0.0'!$AM$4:$AP$48,4,FALSE))</f>
        <v>36</v>
      </c>
      <c r="D19" s="4">
        <f>(VLOOKUP('8.0.0'!L19,'8.0.0'!$AM$4:$AP$48,4,FALSE))</f>
        <v>36</v>
      </c>
      <c r="E19" s="4">
        <f>(VLOOKUP('8.0.0'!M19,'8.0.0'!$AM$4:$AP$48,4,FALSE))</f>
        <v>36</v>
      </c>
      <c r="F19" s="4">
        <f>(VLOOKUP('8.0.0'!N19,'8.0.0'!$AM$4:$AP$48,4,FALSE))</f>
        <v>36</v>
      </c>
      <c r="G19" s="4">
        <f>(VLOOKUP('8.0.0'!O19,'8.0.0'!$AM$4:$AP$48,4,FALSE))</f>
        <v>0</v>
      </c>
      <c r="H19" s="4">
        <f>(VLOOKUP('8.0.0'!P19,'8.0.0'!$AM$4:$AP$48,4,FALSE))</f>
        <v>0</v>
      </c>
      <c r="I19" s="4">
        <f>(VLOOKUP('8.0.0'!Q19,'8.0.0'!$AM$4:$AP$48,4,FALSE))</f>
        <v>0</v>
      </c>
      <c r="J19" s="4">
        <f>(VLOOKUP('8.0.0'!R19,'8.0.0'!$AM$4:$AP$48,4,FALSE))</f>
        <v>0</v>
      </c>
      <c r="K19" s="4">
        <f>(VLOOKUP('8.0.0'!S19,'8.0.0'!$AM$4:$AP$48,4,FALSE))</f>
        <v>0</v>
      </c>
      <c r="L19" s="4">
        <f>(VLOOKUP('8.0.0'!T19,'8.0.0'!$AM$4:$AP$48,4,FALSE))</f>
        <v>0</v>
      </c>
      <c r="M19" s="4">
        <f>(VLOOKUP('8.0.0'!U19,'8.0.0'!$AM$4:$AP$48,4,FALSE))</f>
        <v>0</v>
      </c>
      <c r="N19" s="4">
        <f>(VLOOKUP('8.0.0'!V19,'8.0.0'!$AM$4:$AP$48,4,FALSE))</f>
        <v>0</v>
      </c>
      <c r="O19" s="4">
        <f>(VLOOKUP('8.0.0'!W19,'8.0.0'!$AM$4:$AP$48,4,FALSE))</f>
        <v>0</v>
      </c>
      <c r="P19" s="4">
        <f>(VLOOKUP('8.0.0'!X19,'8.0.0'!$AM$4:$AP$48,4,FALSE))</f>
        <v>0</v>
      </c>
      <c r="Q19" s="4">
        <f>(VLOOKUP('8.0.0'!Y19,'8.0.0'!$AM$4:$AP$48,4,FALSE))</f>
        <v>34</v>
      </c>
      <c r="R19" s="4">
        <f>(VLOOKUP('8.0.0'!Z19,'8.0.0'!$AM$4:$AP$48,4,FALSE))</f>
        <v>34</v>
      </c>
      <c r="S19" s="4">
        <f>(VLOOKUP('8.0.0'!AA19,'8.0.0'!$AM$4:$AP$48,4,FALSE))</f>
        <v>34</v>
      </c>
      <c r="T19" s="4">
        <f>(VLOOKUP('8.0.0'!AB19,'8.0.0'!$AM$4:$AP$48,4,FALSE))</f>
        <v>34</v>
      </c>
      <c r="U19" s="4">
        <f>(VLOOKUP('8.0.0'!AC19,'8.0.0'!$AM$4:$AP$48,4,FALSE))</f>
        <v>34</v>
      </c>
      <c r="V19" s="4">
        <f>(VLOOKUP('8.0.0'!AD19,'8.0.0'!$AM$4:$AP$48,4,FALSE))</f>
        <v>34</v>
      </c>
      <c r="W19" s="4">
        <f>(VLOOKUP('8.0.0'!AE19,'8.0.0'!$AM$4:$AP$48,4,FALSE))</f>
        <v>0</v>
      </c>
      <c r="X19" s="4">
        <f>(VLOOKUP('8.0.0'!AF19,'8.0.0'!$AM$4:$AP$48,4,FALSE))</f>
        <v>0</v>
      </c>
    </row>
    <row r="20" spans="1:24">
      <c r="A20" s="4">
        <f>(VLOOKUP('8.0.0'!I20,'8.0.0'!$AM$4:$AP$48,4,FALSE))</f>
        <v>36</v>
      </c>
      <c r="B20" s="4">
        <f>(VLOOKUP('8.0.0'!J20,'8.0.0'!$AM$4:$AP$48,4,FALSE))</f>
        <v>36</v>
      </c>
      <c r="C20" s="4">
        <f>(VLOOKUP('8.0.0'!K20,'8.0.0'!$AM$4:$AP$48,4,FALSE))</f>
        <v>36</v>
      </c>
      <c r="D20" s="4">
        <f>(VLOOKUP('8.0.0'!L20,'8.0.0'!$AM$4:$AP$48,4,FALSE))</f>
        <v>36</v>
      </c>
      <c r="E20" s="4">
        <f>(VLOOKUP('8.0.0'!M20,'8.0.0'!$AM$4:$AP$48,4,FALSE))</f>
        <v>36</v>
      </c>
      <c r="F20" s="4">
        <f>(VLOOKUP('8.0.0'!N20,'8.0.0'!$AM$4:$AP$48,4,FALSE))</f>
        <v>36</v>
      </c>
      <c r="G20" s="4">
        <f>(VLOOKUP('8.0.0'!O20,'8.0.0'!$AM$4:$AP$48,4,FALSE))</f>
        <v>0</v>
      </c>
      <c r="H20" s="4">
        <f>(VLOOKUP('8.0.0'!P20,'8.0.0'!$AM$4:$AP$48,4,FALSE))</f>
        <v>0</v>
      </c>
      <c r="I20" s="4">
        <f>(VLOOKUP('8.0.0'!Q20,'8.0.0'!$AM$4:$AP$48,4,FALSE))</f>
        <v>0</v>
      </c>
      <c r="J20" s="4">
        <f>(VLOOKUP('8.0.0'!R20,'8.0.0'!$AM$4:$AP$48,4,FALSE))</f>
        <v>0</v>
      </c>
      <c r="K20" s="4">
        <f>(VLOOKUP('8.0.0'!S20,'8.0.0'!$AM$4:$AP$48,4,FALSE))</f>
        <v>0</v>
      </c>
      <c r="L20" s="4">
        <f>(VLOOKUP('8.0.0'!T20,'8.0.0'!$AM$4:$AP$48,4,FALSE))</f>
        <v>0</v>
      </c>
      <c r="M20" s="4">
        <f>(VLOOKUP('8.0.0'!U20,'8.0.0'!$AM$4:$AP$48,4,FALSE))</f>
        <v>0</v>
      </c>
      <c r="N20" s="4">
        <f>(VLOOKUP('8.0.0'!V20,'8.0.0'!$AM$4:$AP$48,4,FALSE))</f>
        <v>0</v>
      </c>
      <c r="O20" s="4">
        <f>(VLOOKUP('8.0.0'!W20,'8.0.0'!$AM$4:$AP$48,4,FALSE))</f>
        <v>0</v>
      </c>
      <c r="P20" s="4">
        <f>(VLOOKUP('8.0.0'!X20,'8.0.0'!$AM$4:$AP$48,4,FALSE))</f>
        <v>0</v>
      </c>
      <c r="Q20" s="4">
        <f>(VLOOKUP('8.0.0'!Y20,'8.0.0'!$AM$4:$AP$48,4,FALSE))</f>
        <v>34</v>
      </c>
      <c r="R20" s="4">
        <f>(VLOOKUP('8.0.0'!Z20,'8.0.0'!$AM$4:$AP$48,4,FALSE))</f>
        <v>34</v>
      </c>
      <c r="S20" s="4">
        <f>(VLOOKUP('8.0.0'!AA20,'8.0.0'!$AM$4:$AP$48,4,FALSE))</f>
        <v>34</v>
      </c>
      <c r="T20" s="4">
        <f>(VLOOKUP('8.0.0'!AB20,'8.0.0'!$AM$4:$AP$48,4,FALSE))</f>
        <v>34</v>
      </c>
      <c r="U20" s="4">
        <f>(VLOOKUP('8.0.0'!AC20,'8.0.0'!$AM$4:$AP$48,4,FALSE))</f>
        <v>34</v>
      </c>
      <c r="V20" s="4">
        <f>(VLOOKUP('8.0.0'!AD20,'8.0.0'!$AM$4:$AP$48,4,FALSE))</f>
        <v>34</v>
      </c>
      <c r="W20" s="4">
        <f>(VLOOKUP('8.0.0'!AE20,'8.0.0'!$AM$4:$AP$48,4,FALSE))</f>
        <v>0</v>
      </c>
      <c r="X20" s="4">
        <f>(VLOOKUP('8.0.0'!AF20,'8.0.0'!$AM$4:$AP$48,4,FALSE))</f>
        <v>0</v>
      </c>
    </row>
    <row r="21" spans="1:24">
      <c r="A21" s="4">
        <f>(VLOOKUP('8.0.0'!I21,'8.0.0'!$AM$4:$AP$48,4,FALSE))</f>
        <v>36</v>
      </c>
      <c r="B21" s="4">
        <f>(VLOOKUP('8.0.0'!J21,'8.0.0'!$AM$4:$AP$48,4,FALSE))</f>
        <v>36</v>
      </c>
      <c r="C21" s="4">
        <f>(VLOOKUP('8.0.0'!K21,'8.0.0'!$AM$4:$AP$48,4,FALSE))</f>
        <v>36</v>
      </c>
      <c r="D21" s="4">
        <f>(VLOOKUP('8.0.0'!L21,'8.0.0'!$AM$4:$AP$48,4,FALSE))</f>
        <v>36</v>
      </c>
      <c r="E21" s="4">
        <f>(VLOOKUP('8.0.0'!M21,'8.0.0'!$AM$4:$AP$48,4,FALSE))</f>
        <v>36</v>
      </c>
      <c r="F21" s="4">
        <f>(VLOOKUP('8.0.0'!N21,'8.0.0'!$AM$4:$AP$48,4,FALSE))</f>
        <v>36</v>
      </c>
      <c r="G21" s="4">
        <f>(VLOOKUP('8.0.0'!O21,'8.0.0'!$AM$4:$AP$48,4,FALSE))</f>
        <v>0</v>
      </c>
      <c r="H21" s="4">
        <f>(VLOOKUP('8.0.0'!P21,'8.0.0'!$AM$4:$AP$48,4,FALSE))</f>
        <v>0</v>
      </c>
      <c r="I21" s="4">
        <f>(VLOOKUP('8.0.0'!Q21,'8.0.0'!$AM$4:$AP$48,4,FALSE))</f>
        <v>0</v>
      </c>
      <c r="J21" s="4">
        <f>(VLOOKUP('8.0.0'!R21,'8.0.0'!$AM$4:$AP$48,4,FALSE))</f>
        <v>0</v>
      </c>
      <c r="K21" s="4">
        <f>(VLOOKUP('8.0.0'!S21,'8.0.0'!$AM$4:$AP$48,4,FALSE))</f>
        <v>0</v>
      </c>
      <c r="L21" s="4">
        <f>(VLOOKUP('8.0.0'!T21,'8.0.0'!$AM$4:$AP$48,4,FALSE))</f>
        <v>0</v>
      </c>
      <c r="M21" s="4">
        <f>(VLOOKUP('8.0.0'!U21,'8.0.0'!$AM$4:$AP$48,4,FALSE))</f>
        <v>0</v>
      </c>
      <c r="N21" s="4">
        <f>(VLOOKUP('8.0.0'!V21,'8.0.0'!$AM$4:$AP$48,4,FALSE))</f>
        <v>0</v>
      </c>
      <c r="O21" s="4">
        <f>(VLOOKUP('8.0.0'!W21,'8.0.0'!$AM$4:$AP$48,4,FALSE))</f>
        <v>0</v>
      </c>
      <c r="P21" s="4">
        <f>(VLOOKUP('8.0.0'!X21,'8.0.0'!$AM$4:$AP$48,4,FALSE))</f>
        <v>0</v>
      </c>
      <c r="Q21" s="4">
        <f>(VLOOKUP('8.0.0'!Y21,'8.0.0'!$AM$4:$AP$48,4,FALSE))</f>
        <v>34</v>
      </c>
      <c r="R21" s="4">
        <f>(VLOOKUP('8.0.0'!Z21,'8.0.0'!$AM$4:$AP$48,4,FALSE))</f>
        <v>34</v>
      </c>
      <c r="S21" s="4">
        <f>(VLOOKUP('8.0.0'!AA21,'8.0.0'!$AM$4:$AP$48,4,FALSE))</f>
        <v>34</v>
      </c>
      <c r="T21" s="4">
        <f>(VLOOKUP('8.0.0'!AB21,'8.0.0'!$AM$4:$AP$48,4,FALSE))</f>
        <v>34</v>
      </c>
      <c r="U21" s="4">
        <f>(VLOOKUP('8.0.0'!AC21,'8.0.0'!$AM$4:$AP$48,4,FALSE))</f>
        <v>34</v>
      </c>
      <c r="V21" s="4">
        <f>(VLOOKUP('8.0.0'!AD21,'8.0.0'!$AM$4:$AP$48,4,FALSE))</f>
        <v>34</v>
      </c>
      <c r="W21" s="4">
        <f>(VLOOKUP('8.0.0'!AE21,'8.0.0'!$AM$4:$AP$48,4,FALSE))</f>
        <v>0</v>
      </c>
      <c r="X21" s="4">
        <f>(VLOOKUP('8.0.0'!AF21,'8.0.0'!$AM$4:$AP$48,4,FALSE))</f>
        <v>0</v>
      </c>
    </row>
    <row r="22" spans="1:24">
      <c r="A22" s="4">
        <f>(VLOOKUP('8.0.0'!I22,'8.0.0'!$AM$4:$AP$48,4,FALSE))</f>
        <v>36</v>
      </c>
      <c r="B22" s="4">
        <f>(VLOOKUP('8.0.0'!J22,'8.0.0'!$AM$4:$AP$48,4,FALSE))</f>
        <v>10</v>
      </c>
      <c r="C22" s="4">
        <f>(VLOOKUP('8.0.0'!K22,'8.0.0'!$AM$4:$AP$48,4,FALSE))</f>
        <v>36</v>
      </c>
      <c r="D22" s="4">
        <f>(VLOOKUP('8.0.0'!L22,'8.0.0'!$AM$4:$AP$48,4,FALSE))</f>
        <v>36</v>
      </c>
      <c r="E22" s="4">
        <f>(VLOOKUP('8.0.0'!M22,'8.0.0'!$AM$4:$AP$48,4,FALSE))</f>
        <v>36</v>
      </c>
      <c r="F22" s="4">
        <f>(VLOOKUP('8.0.0'!N22,'8.0.0'!$AM$4:$AP$48,4,FALSE))</f>
        <v>36</v>
      </c>
      <c r="G22" s="4">
        <f>(VLOOKUP('8.0.0'!O22,'8.0.0'!$AM$4:$AP$48,4,FALSE))</f>
        <v>0</v>
      </c>
      <c r="H22" s="4">
        <f>(VLOOKUP('8.0.0'!P22,'8.0.0'!$AM$4:$AP$48,4,FALSE))</f>
        <v>0</v>
      </c>
      <c r="I22" s="4">
        <f>(VLOOKUP('8.0.0'!Q22,'8.0.0'!$AM$4:$AP$48,4,FALSE))</f>
        <v>0</v>
      </c>
      <c r="J22" s="4">
        <f>(VLOOKUP('8.0.0'!R22,'8.0.0'!$AM$4:$AP$48,4,FALSE))</f>
        <v>0</v>
      </c>
      <c r="K22" s="4">
        <f>(VLOOKUP('8.0.0'!S22,'8.0.0'!$AM$4:$AP$48,4,FALSE))</f>
        <v>0</v>
      </c>
      <c r="L22" s="4">
        <f>(VLOOKUP('8.0.0'!T22,'8.0.0'!$AM$4:$AP$48,4,FALSE))</f>
        <v>0</v>
      </c>
      <c r="M22" s="4">
        <f>(VLOOKUP('8.0.0'!U22,'8.0.0'!$AM$4:$AP$48,4,FALSE))</f>
        <v>0</v>
      </c>
      <c r="N22" s="4">
        <f>(VLOOKUP('8.0.0'!V22,'8.0.0'!$AM$4:$AP$48,4,FALSE))</f>
        <v>0</v>
      </c>
      <c r="O22" s="4">
        <f>(VLOOKUP('8.0.0'!W22,'8.0.0'!$AM$4:$AP$48,4,FALSE))</f>
        <v>0</v>
      </c>
      <c r="P22" s="4">
        <f>(VLOOKUP('8.0.0'!X22,'8.0.0'!$AM$4:$AP$48,4,FALSE))</f>
        <v>0</v>
      </c>
      <c r="Q22" s="4">
        <f>(VLOOKUP('8.0.0'!Y22,'8.0.0'!$AM$4:$AP$48,4,FALSE))</f>
        <v>34</v>
      </c>
      <c r="R22" s="4">
        <f>(VLOOKUP('8.0.0'!Z22,'8.0.0'!$AM$4:$AP$48,4,FALSE))</f>
        <v>34</v>
      </c>
      <c r="S22" s="4">
        <f>(VLOOKUP('8.0.0'!AA22,'8.0.0'!$AM$4:$AP$48,4,FALSE))</f>
        <v>34</v>
      </c>
      <c r="T22" s="4">
        <f>(VLOOKUP('8.0.0'!AB22,'8.0.0'!$AM$4:$AP$48,4,FALSE))</f>
        <v>34</v>
      </c>
      <c r="U22" s="4">
        <f>(VLOOKUP('8.0.0'!AC22,'8.0.0'!$AM$4:$AP$48,4,FALSE))</f>
        <v>34</v>
      </c>
      <c r="V22" s="4">
        <f>(VLOOKUP('8.0.0'!AD22,'8.0.0'!$AM$4:$AP$48,4,FALSE))</f>
        <v>34</v>
      </c>
      <c r="W22" s="4">
        <f>(VLOOKUP('8.0.0'!AE22,'8.0.0'!$AM$4:$AP$48,4,FALSE))</f>
        <v>0</v>
      </c>
      <c r="X22" s="4">
        <f>(VLOOKUP('8.0.0'!AF22,'8.0.0'!$AM$4:$AP$48,4,FALSE))</f>
        <v>0</v>
      </c>
    </row>
    <row r="23" spans="1:24">
      <c r="A23" s="4">
        <f>(VLOOKUP('8.0.0'!I23,'8.0.0'!$AM$4:$AP$48,4,FALSE))</f>
        <v>36</v>
      </c>
      <c r="B23" s="4">
        <f>(VLOOKUP('8.0.0'!J23,'8.0.0'!$AM$4:$AP$48,4,FALSE))</f>
        <v>36</v>
      </c>
      <c r="C23" s="4">
        <f>(VLOOKUP('8.0.0'!K23,'8.0.0'!$AM$4:$AP$48,4,FALSE))</f>
        <v>36</v>
      </c>
      <c r="D23" s="4">
        <f>(VLOOKUP('8.0.0'!L23,'8.0.0'!$AM$4:$AP$48,4,FALSE))</f>
        <v>36</v>
      </c>
      <c r="E23" s="4">
        <f>(VLOOKUP('8.0.0'!M23,'8.0.0'!$AM$4:$AP$48,4,FALSE))</f>
        <v>36</v>
      </c>
      <c r="F23" s="4">
        <f>(VLOOKUP('8.0.0'!N23,'8.0.0'!$AM$4:$AP$48,4,FALSE))</f>
        <v>36</v>
      </c>
      <c r="G23" s="4">
        <f>(VLOOKUP('8.0.0'!O23,'8.0.0'!$AM$4:$AP$48,4,FALSE))</f>
        <v>0</v>
      </c>
      <c r="H23" s="4">
        <f>(VLOOKUP('8.0.0'!P23,'8.0.0'!$AM$4:$AP$48,4,FALSE))</f>
        <v>0</v>
      </c>
      <c r="I23" s="4">
        <f>(VLOOKUP('8.0.0'!Q23,'8.0.0'!$AM$4:$AP$48,4,FALSE))</f>
        <v>0</v>
      </c>
      <c r="J23" s="4">
        <f>(VLOOKUP('8.0.0'!R23,'8.0.0'!$AM$4:$AP$48,4,FALSE))</f>
        <v>0</v>
      </c>
      <c r="K23" s="4">
        <f>(VLOOKUP('8.0.0'!S23,'8.0.0'!$AM$4:$AP$48,4,FALSE))</f>
        <v>0</v>
      </c>
      <c r="L23" s="4">
        <f>(VLOOKUP('8.0.0'!T23,'8.0.0'!$AM$4:$AP$48,4,FALSE))</f>
        <v>0</v>
      </c>
      <c r="M23" s="4">
        <f>(VLOOKUP('8.0.0'!U23,'8.0.0'!$AM$4:$AP$48,4,FALSE))</f>
        <v>0</v>
      </c>
      <c r="N23" s="4">
        <f>(VLOOKUP('8.0.0'!V23,'8.0.0'!$AM$4:$AP$48,4,FALSE))</f>
        <v>0</v>
      </c>
      <c r="O23" s="4">
        <f>(VLOOKUP('8.0.0'!W23,'8.0.0'!$AM$4:$AP$48,4,FALSE))</f>
        <v>0</v>
      </c>
      <c r="P23" s="4">
        <f>(VLOOKUP('8.0.0'!X23,'8.0.0'!$AM$4:$AP$48,4,FALSE))</f>
        <v>0</v>
      </c>
      <c r="Q23" s="4">
        <f>(VLOOKUP('8.0.0'!Y23,'8.0.0'!$AM$4:$AP$48,4,FALSE))</f>
        <v>34</v>
      </c>
      <c r="R23" s="4">
        <f>(VLOOKUP('8.0.0'!Z23,'8.0.0'!$AM$4:$AP$48,4,FALSE))</f>
        <v>10</v>
      </c>
      <c r="S23" s="4">
        <f>(VLOOKUP('8.0.0'!AA23,'8.0.0'!$AM$4:$AP$48,4,FALSE))</f>
        <v>34</v>
      </c>
      <c r="T23" s="4">
        <f>(VLOOKUP('8.0.0'!AB23,'8.0.0'!$AM$4:$AP$48,4,FALSE))</f>
        <v>34</v>
      </c>
      <c r="U23" s="4">
        <f>(VLOOKUP('8.0.0'!AC23,'8.0.0'!$AM$4:$AP$48,4,FALSE))</f>
        <v>34</v>
      </c>
      <c r="V23" s="4">
        <f>(VLOOKUP('8.0.0'!AD23,'8.0.0'!$AM$4:$AP$48,4,FALSE))</f>
        <v>34</v>
      </c>
      <c r="W23" s="4">
        <f>(VLOOKUP('8.0.0'!AE23,'8.0.0'!$AM$4:$AP$48,4,FALSE))</f>
        <v>0</v>
      </c>
      <c r="X23" s="4">
        <f>(VLOOKUP('8.0.0'!AF23,'8.0.0'!$AM$4:$AP$48,4,FALSE))</f>
        <v>0</v>
      </c>
    </row>
    <row r="24" spans="1:24">
      <c r="A24" s="4">
        <f>(VLOOKUP('8.0.0'!I24,'8.0.0'!$AM$4:$AP$48,4,FALSE))</f>
        <v>36</v>
      </c>
      <c r="B24" s="4">
        <f>(VLOOKUP('8.0.0'!J24,'8.0.0'!$AM$4:$AP$48,4,FALSE))</f>
        <v>36</v>
      </c>
      <c r="C24" s="4">
        <f>(VLOOKUP('8.0.0'!K24,'8.0.0'!$AM$4:$AP$48,4,FALSE))</f>
        <v>36</v>
      </c>
      <c r="D24" s="4">
        <f>(VLOOKUP('8.0.0'!L24,'8.0.0'!$AM$4:$AP$48,4,FALSE))</f>
        <v>36</v>
      </c>
      <c r="E24" s="4">
        <f>(VLOOKUP('8.0.0'!M24,'8.0.0'!$AM$4:$AP$48,4,FALSE))</f>
        <v>36</v>
      </c>
      <c r="F24" s="4">
        <f>(VLOOKUP('8.0.0'!N24,'8.0.0'!$AM$4:$AP$48,4,FALSE))</f>
        <v>36</v>
      </c>
      <c r="G24" s="4">
        <f>(VLOOKUP('8.0.0'!O24,'8.0.0'!$AM$4:$AP$48,4,FALSE))</f>
        <v>0</v>
      </c>
      <c r="H24" s="4">
        <f>(VLOOKUP('8.0.0'!P24,'8.0.0'!$AM$4:$AP$48,4,FALSE))</f>
        <v>0</v>
      </c>
      <c r="I24" s="4">
        <f>(VLOOKUP('8.0.0'!Q24,'8.0.0'!$AM$4:$AP$48,4,FALSE))</f>
        <v>0</v>
      </c>
      <c r="J24" s="4">
        <f>(VLOOKUP('8.0.0'!R24,'8.0.0'!$AM$4:$AP$48,4,FALSE))</f>
        <v>0</v>
      </c>
      <c r="K24" s="4">
        <f>(VLOOKUP('8.0.0'!S24,'8.0.0'!$AM$4:$AP$48,4,FALSE))</f>
        <v>0</v>
      </c>
      <c r="L24" s="4">
        <f>(VLOOKUP('8.0.0'!T24,'8.0.0'!$AM$4:$AP$48,4,FALSE))</f>
        <v>0</v>
      </c>
      <c r="M24" s="4">
        <f>(VLOOKUP('8.0.0'!U24,'8.0.0'!$AM$4:$AP$48,4,FALSE))</f>
        <v>0</v>
      </c>
      <c r="N24" s="4">
        <f>(VLOOKUP('8.0.0'!V24,'8.0.0'!$AM$4:$AP$48,4,FALSE))</f>
        <v>0</v>
      </c>
      <c r="O24" s="4">
        <f>(VLOOKUP('8.0.0'!W24,'8.0.0'!$AM$4:$AP$48,4,FALSE))</f>
        <v>0</v>
      </c>
      <c r="P24" s="4">
        <f>(VLOOKUP('8.0.0'!X24,'8.0.0'!$AM$4:$AP$48,4,FALSE))</f>
        <v>0</v>
      </c>
      <c r="Q24" s="4">
        <f>(VLOOKUP('8.0.0'!Y24,'8.0.0'!$AM$4:$AP$48,4,FALSE))</f>
        <v>34</v>
      </c>
      <c r="R24" s="4">
        <f>(VLOOKUP('8.0.0'!Z24,'8.0.0'!$AM$4:$AP$48,4,FALSE))</f>
        <v>34</v>
      </c>
      <c r="S24" s="4">
        <f>(VLOOKUP('8.0.0'!AA24,'8.0.0'!$AM$4:$AP$48,4,FALSE))</f>
        <v>34</v>
      </c>
      <c r="T24" s="4">
        <f>(VLOOKUP('8.0.0'!AB24,'8.0.0'!$AM$4:$AP$48,4,FALSE))</f>
        <v>34</v>
      </c>
      <c r="U24" s="4">
        <f>(VLOOKUP('8.0.0'!AC24,'8.0.0'!$AM$4:$AP$48,4,FALSE))</f>
        <v>34</v>
      </c>
      <c r="V24" s="4">
        <f>(VLOOKUP('8.0.0'!AD24,'8.0.0'!$AM$4:$AP$48,4,FALSE))</f>
        <v>34</v>
      </c>
      <c r="W24" s="4">
        <f>(VLOOKUP('8.0.0'!AE24,'8.0.0'!$AM$4:$AP$48,4,FALSE))</f>
        <v>0</v>
      </c>
      <c r="X24" s="4">
        <f>(VLOOKUP('8.0.0'!AF24,'8.0.0'!$AM$4:$AP$48,4,FALSE))</f>
        <v>0</v>
      </c>
    </row>
    <row r="25" spans="1:24">
      <c r="A25" s="4">
        <f>(VLOOKUP('8.0.0'!I25,'8.0.0'!$AM$4:$AP$48,4,FALSE))</f>
        <v>36</v>
      </c>
      <c r="B25" s="4">
        <f>(VLOOKUP('8.0.0'!J25,'8.0.0'!$AM$4:$AP$48,4,FALSE))</f>
        <v>36</v>
      </c>
      <c r="C25" s="4">
        <f>(VLOOKUP('8.0.0'!K25,'8.0.0'!$AM$4:$AP$48,4,FALSE))</f>
        <v>36</v>
      </c>
      <c r="D25" s="4">
        <f>(VLOOKUP('8.0.0'!L25,'8.0.0'!$AM$4:$AP$48,4,FALSE))</f>
        <v>36</v>
      </c>
      <c r="E25" s="4">
        <f>(VLOOKUP('8.0.0'!M25,'8.0.0'!$AM$4:$AP$48,4,FALSE))</f>
        <v>36</v>
      </c>
      <c r="F25" s="4">
        <f>(VLOOKUP('8.0.0'!N25,'8.0.0'!$AM$4:$AP$48,4,FALSE))</f>
        <v>36</v>
      </c>
      <c r="G25" s="4">
        <f>(VLOOKUP('8.0.0'!O25,'8.0.0'!$AM$4:$AP$48,4,FALSE))</f>
        <v>0</v>
      </c>
      <c r="H25" s="4">
        <f>(VLOOKUP('8.0.0'!P25,'8.0.0'!$AM$4:$AP$48,4,FALSE))</f>
        <v>0</v>
      </c>
      <c r="I25" s="4">
        <f>(VLOOKUP('8.0.0'!Q25,'8.0.0'!$AM$4:$AP$48,4,FALSE))</f>
        <v>0</v>
      </c>
      <c r="J25" s="4">
        <f>(VLOOKUP('8.0.0'!R25,'8.0.0'!$AM$4:$AP$48,4,FALSE))</f>
        <v>0</v>
      </c>
      <c r="K25" s="4">
        <f>(VLOOKUP('8.0.0'!S25,'8.0.0'!$AM$4:$AP$48,4,FALSE))</f>
        <v>0</v>
      </c>
      <c r="L25" s="4">
        <f>(VLOOKUP('8.0.0'!T25,'8.0.0'!$AM$4:$AP$48,4,FALSE))</f>
        <v>0</v>
      </c>
      <c r="M25" s="4">
        <f>(VLOOKUP('8.0.0'!U25,'8.0.0'!$AM$4:$AP$48,4,FALSE))</f>
        <v>0</v>
      </c>
      <c r="N25" s="4">
        <f>(VLOOKUP('8.0.0'!V25,'8.0.0'!$AM$4:$AP$48,4,FALSE))</f>
        <v>0</v>
      </c>
      <c r="O25" s="4">
        <f>(VLOOKUP('8.0.0'!W25,'8.0.0'!$AM$4:$AP$48,4,FALSE))</f>
        <v>0</v>
      </c>
      <c r="P25" s="4">
        <f>(VLOOKUP('8.0.0'!X25,'8.0.0'!$AM$4:$AP$48,4,FALSE))</f>
        <v>0</v>
      </c>
      <c r="Q25" s="4">
        <f>(VLOOKUP('8.0.0'!Y25,'8.0.0'!$AM$4:$AP$48,4,FALSE))</f>
        <v>34</v>
      </c>
      <c r="R25" s="4">
        <f>(VLOOKUP('8.0.0'!Z25,'8.0.0'!$AM$4:$AP$48,4,FALSE))</f>
        <v>34</v>
      </c>
      <c r="S25" s="4">
        <f>(VLOOKUP('8.0.0'!AA25,'8.0.0'!$AM$4:$AP$48,4,FALSE))</f>
        <v>13.999854933178597</v>
      </c>
      <c r="T25" s="4">
        <f>(VLOOKUP('8.0.0'!AB25,'8.0.0'!$AM$4:$AP$48,4,FALSE))</f>
        <v>34</v>
      </c>
      <c r="U25" s="4">
        <f>(VLOOKUP('8.0.0'!AC25,'8.0.0'!$AM$4:$AP$48,4,FALSE))</f>
        <v>34</v>
      </c>
      <c r="V25" s="4">
        <f>(VLOOKUP('8.0.0'!AD25,'8.0.0'!$AM$4:$AP$48,4,FALSE))</f>
        <v>34</v>
      </c>
      <c r="W25" s="4">
        <f>(VLOOKUP('8.0.0'!AE25,'8.0.0'!$AM$4:$AP$48,4,FALSE))</f>
        <v>0</v>
      </c>
      <c r="X25" s="4">
        <f>(VLOOKUP('8.0.0'!AF25,'8.0.0'!$AM$4:$AP$48,4,FALSE))</f>
        <v>0</v>
      </c>
    </row>
    <row r="26" spans="1:24">
      <c r="A26" s="4">
        <f>(VLOOKUP('8.0.0'!I26,'8.0.0'!$AM$4:$AP$48,4,FALSE))</f>
        <v>36</v>
      </c>
      <c r="B26" s="4">
        <f>(VLOOKUP('8.0.0'!J26,'8.0.0'!$AM$4:$AP$48,4,FALSE))</f>
        <v>36</v>
      </c>
      <c r="C26" s="4">
        <f>(VLOOKUP('8.0.0'!K26,'8.0.0'!$AM$4:$AP$48,4,FALSE))</f>
        <v>36</v>
      </c>
      <c r="D26" s="4">
        <f>(VLOOKUP('8.0.0'!L26,'8.0.0'!$AM$4:$AP$48,4,FALSE))</f>
        <v>10</v>
      </c>
      <c r="E26" s="4">
        <f>(VLOOKUP('8.0.0'!M26,'8.0.0'!$AM$4:$AP$48,4,FALSE))</f>
        <v>36</v>
      </c>
      <c r="F26" s="4">
        <f>(VLOOKUP('8.0.0'!N26,'8.0.0'!$AM$4:$AP$48,4,FALSE))</f>
        <v>36</v>
      </c>
      <c r="G26" s="4">
        <f>(VLOOKUP('8.0.0'!O26,'8.0.0'!$AM$4:$AP$48,4,FALSE))</f>
        <v>0</v>
      </c>
      <c r="H26" s="4">
        <f>(VLOOKUP('8.0.0'!P26,'8.0.0'!$AM$4:$AP$48,4,FALSE))</f>
        <v>0</v>
      </c>
      <c r="I26" s="4">
        <f>(VLOOKUP('8.0.0'!Q26,'8.0.0'!$AM$4:$AP$48,4,FALSE))</f>
        <v>0</v>
      </c>
      <c r="J26" s="4">
        <f>(VLOOKUP('8.0.0'!R26,'8.0.0'!$AM$4:$AP$48,4,FALSE))</f>
        <v>0</v>
      </c>
      <c r="K26" s="4">
        <f>(VLOOKUP('8.0.0'!S26,'8.0.0'!$AM$4:$AP$48,4,FALSE))</f>
        <v>0</v>
      </c>
      <c r="L26" s="4">
        <f>(VLOOKUP('8.0.0'!T26,'8.0.0'!$AM$4:$AP$48,4,FALSE))</f>
        <v>0</v>
      </c>
      <c r="M26" s="4">
        <f>(VLOOKUP('8.0.0'!U26,'8.0.0'!$AM$4:$AP$48,4,FALSE))</f>
        <v>0</v>
      </c>
      <c r="N26" s="4">
        <f>(VLOOKUP('8.0.0'!V26,'8.0.0'!$AM$4:$AP$48,4,FALSE))</f>
        <v>0</v>
      </c>
      <c r="O26" s="4">
        <f>(VLOOKUP('8.0.0'!W26,'8.0.0'!$AM$4:$AP$48,4,FALSE))</f>
        <v>0</v>
      </c>
      <c r="P26" s="4">
        <f>(VLOOKUP('8.0.0'!X26,'8.0.0'!$AM$4:$AP$48,4,FALSE))</f>
        <v>0</v>
      </c>
      <c r="Q26" s="4">
        <f>(VLOOKUP('8.0.0'!Y26,'8.0.0'!$AM$4:$AP$48,4,FALSE))</f>
        <v>34</v>
      </c>
      <c r="R26" s="4">
        <f>(VLOOKUP('8.0.0'!Z26,'8.0.0'!$AM$4:$AP$48,4,FALSE))</f>
        <v>34</v>
      </c>
      <c r="S26" s="4">
        <f>(VLOOKUP('8.0.0'!AA26,'8.0.0'!$AM$4:$AP$48,4,FALSE))</f>
        <v>34</v>
      </c>
      <c r="T26" s="4">
        <f>(VLOOKUP('8.0.0'!AB26,'8.0.0'!$AM$4:$AP$48,4,FALSE))</f>
        <v>34</v>
      </c>
      <c r="U26" s="4">
        <f>(VLOOKUP('8.0.0'!AC26,'8.0.0'!$AM$4:$AP$48,4,FALSE))</f>
        <v>34</v>
      </c>
      <c r="V26" s="4">
        <f>(VLOOKUP('8.0.0'!AD26,'8.0.0'!$AM$4:$AP$48,4,FALSE))</f>
        <v>34</v>
      </c>
      <c r="W26" s="4">
        <f>(VLOOKUP('8.0.0'!AE26,'8.0.0'!$AM$4:$AP$48,4,FALSE))</f>
        <v>0</v>
      </c>
      <c r="X26" s="4">
        <f>(VLOOKUP('8.0.0'!AF26,'8.0.0'!$AM$4:$AP$48,4,FALSE))</f>
        <v>0</v>
      </c>
    </row>
    <row r="27" spans="1:24">
      <c r="A27" s="4">
        <f>(VLOOKUP('8.0.0'!I27,'8.0.0'!$AM$4:$AP$48,4,FALSE))</f>
        <v>36</v>
      </c>
      <c r="B27" s="4">
        <f>(VLOOKUP('8.0.0'!J27,'8.0.0'!$AM$4:$AP$48,4,FALSE))</f>
        <v>0</v>
      </c>
      <c r="C27" s="4">
        <f>(VLOOKUP('8.0.0'!K27,'8.0.0'!$AM$4:$AP$48,4,FALSE))</f>
        <v>36</v>
      </c>
      <c r="D27" s="4">
        <f>(VLOOKUP('8.0.0'!L27,'8.0.0'!$AM$4:$AP$48,4,FALSE))</f>
        <v>36</v>
      </c>
      <c r="E27" s="4">
        <f>(VLOOKUP('8.0.0'!M27,'8.0.0'!$AM$4:$AP$48,4,FALSE))</f>
        <v>36</v>
      </c>
      <c r="F27" s="4">
        <f>(VLOOKUP('8.0.0'!N27,'8.0.0'!$AM$4:$AP$48,4,FALSE))</f>
        <v>36</v>
      </c>
      <c r="G27" s="4">
        <f>(VLOOKUP('8.0.0'!O27,'8.0.0'!$AM$4:$AP$48,4,FALSE))</f>
        <v>0</v>
      </c>
      <c r="H27" s="4">
        <f>(VLOOKUP('8.0.0'!P27,'8.0.0'!$AM$4:$AP$48,4,FALSE))</f>
        <v>0</v>
      </c>
      <c r="I27" s="4">
        <f>(VLOOKUP('8.0.0'!Q27,'8.0.0'!$AM$4:$AP$48,4,FALSE))</f>
        <v>0</v>
      </c>
      <c r="J27" s="4">
        <f>(VLOOKUP('8.0.0'!R27,'8.0.0'!$AM$4:$AP$48,4,FALSE))</f>
        <v>0</v>
      </c>
      <c r="K27" s="4">
        <f>(VLOOKUP('8.0.0'!S27,'8.0.0'!$AM$4:$AP$48,4,FALSE))</f>
        <v>0</v>
      </c>
      <c r="L27" s="4">
        <f>(VLOOKUP('8.0.0'!T27,'8.0.0'!$AM$4:$AP$48,4,FALSE))</f>
        <v>0</v>
      </c>
      <c r="M27" s="4">
        <f>(VLOOKUP('8.0.0'!U27,'8.0.0'!$AM$4:$AP$48,4,FALSE))</f>
        <v>0</v>
      </c>
      <c r="N27" s="4">
        <f>(VLOOKUP('8.0.0'!V27,'8.0.0'!$AM$4:$AP$48,4,FALSE))</f>
        <v>0</v>
      </c>
      <c r="O27" s="4">
        <f>(VLOOKUP('8.0.0'!W27,'8.0.0'!$AM$4:$AP$48,4,FALSE))</f>
        <v>0</v>
      </c>
      <c r="P27" s="4">
        <f>(VLOOKUP('8.0.0'!X27,'8.0.0'!$AM$4:$AP$48,4,FALSE))</f>
        <v>0</v>
      </c>
      <c r="Q27" s="4">
        <f>(VLOOKUP('8.0.0'!Y27,'8.0.0'!$AM$4:$AP$48,4,FALSE))</f>
        <v>34</v>
      </c>
      <c r="R27" s="4">
        <f>(VLOOKUP('8.0.0'!Z27,'8.0.0'!$AM$4:$AP$48,4,FALSE))</f>
        <v>34</v>
      </c>
      <c r="S27" s="4">
        <f>(VLOOKUP('8.0.0'!AA27,'8.0.0'!$AM$4:$AP$48,4,FALSE))</f>
        <v>34</v>
      </c>
      <c r="T27" s="4">
        <f>(VLOOKUP('8.0.0'!AB27,'8.0.0'!$AM$4:$AP$48,4,FALSE))</f>
        <v>0</v>
      </c>
      <c r="U27" s="4">
        <f>(VLOOKUP('8.0.0'!AC27,'8.0.0'!$AM$4:$AP$48,4,FALSE))</f>
        <v>34</v>
      </c>
      <c r="V27" s="4">
        <f>(VLOOKUP('8.0.0'!AD27,'8.0.0'!$AM$4:$AP$48,4,FALSE))</f>
        <v>34</v>
      </c>
      <c r="W27" s="4">
        <f>(VLOOKUP('8.0.0'!AE27,'8.0.0'!$AM$4:$AP$48,4,FALSE))</f>
        <v>34</v>
      </c>
      <c r="X27" s="4">
        <f>(VLOOKUP('8.0.0'!AF27,'8.0.0'!$AM$4:$AP$48,4,FALSE))</f>
        <v>34</v>
      </c>
    </row>
    <row r="28" spans="1:24">
      <c r="A28" s="4">
        <f>(VLOOKUP('8.0.0'!I28,'8.0.0'!$AM$4:$AP$48,4,FALSE))</f>
        <v>36</v>
      </c>
      <c r="B28" s="4">
        <f>(VLOOKUP('8.0.0'!J28,'8.0.0'!$AM$4:$AP$48,4,FALSE))</f>
        <v>36</v>
      </c>
      <c r="C28" s="4">
        <f>(VLOOKUP('8.0.0'!K28,'8.0.0'!$AM$4:$AP$48,4,FALSE))</f>
        <v>0</v>
      </c>
      <c r="D28" s="4">
        <f>(VLOOKUP('8.0.0'!L28,'8.0.0'!$AM$4:$AP$48,4,FALSE))</f>
        <v>38</v>
      </c>
      <c r="E28" s="4">
        <f>(VLOOKUP('8.0.0'!M28,'8.0.0'!$AM$4:$AP$48,4,FALSE))</f>
        <v>38</v>
      </c>
      <c r="F28" s="4">
        <f>(VLOOKUP('8.0.0'!N28,'8.0.0'!$AM$4:$AP$48,4,FALSE))</f>
        <v>38</v>
      </c>
      <c r="G28" s="4">
        <f>(VLOOKUP('8.0.0'!O28,'8.0.0'!$AM$4:$AP$48,4,FALSE))</f>
        <v>0</v>
      </c>
      <c r="H28" s="4">
        <f>(VLOOKUP('8.0.0'!P28,'8.0.0'!$AM$4:$AP$48,4,FALSE))</f>
        <v>0</v>
      </c>
      <c r="I28" s="4">
        <f>(VLOOKUP('8.0.0'!Q28,'8.0.0'!$AM$4:$AP$48,4,FALSE))</f>
        <v>0</v>
      </c>
      <c r="J28" s="4">
        <f>(VLOOKUP('8.0.0'!R28,'8.0.0'!$AM$4:$AP$48,4,FALSE))</f>
        <v>0</v>
      </c>
      <c r="K28" s="4">
        <f>(VLOOKUP('8.0.0'!S28,'8.0.0'!$AM$4:$AP$48,4,FALSE))</f>
        <v>0</v>
      </c>
      <c r="L28" s="4">
        <f>(VLOOKUP('8.0.0'!T28,'8.0.0'!$AM$4:$AP$48,4,FALSE))</f>
        <v>0</v>
      </c>
      <c r="M28" s="4">
        <f>(VLOOKUP('8.0.0'!U28,'8.0.0'!$AM$4:$AP$48,4,FALSE))</f>
        <v>0</v>
      </c>
      <c r="N28" s="4">
        <f>(VLOOKUP('8.0.0'!V28,'8.0.0'!$AM$4:$AP$48,4,FALSE))</f>
        <v>0</v>
      </c>
      <c r="O28" s="4">
        <f>(VLOOKUP('8.0.0'!W28,'8.0.0'!$AM$4:$AP$48,4,FALSE))</f>
        <v>0</v>
      </c>
      <c r="P28" s="4">
        <f>(VLOOKUP('8.0.0'!X28,'8.0.0'!$AM$4:$AP$48,4,FALSE))</f>
        <v>0</v>
      </c>
      <c r="Q28" s="4">
        <f>(VLOOKUP('8.0.0'!Y28,'8.0.0'!$AM$4:$AP$48,4,FALSE))</f>
        <v>34</v>
      </c>
      <c r="R28" s="4">
        <f>(VLOOKUP('8.0.0'!Z28,'8.0.0'!$AM$4:$AP$48,4,FALSE))</f>
        <v>34</v>
      </c>
      <c r="S28" s="4">
        <f>(VLOOKUP('8.0.0'!AA28,'8.0.0'!$AM$4:$AP$48,4,FALSE))</f>
        <v>34</v>
      </c>
      <c r="T28" s="4">
        <f>(VLOOKUP('8.0.0'!AB28,'8.0.0'!$AM$4:$AP$48,4,FALSE))</f>
        <v>34</v>
      </c>
      <c r="U28" s="4">
        <f>(VLOOKUP('8.0.0'!AC28,'8.0.0'!$AM$4:$AP$48,4,FALSE))</f>
        <v>34</v>
      </c>
      <c r="V28" s="4">
        <f>(VLOOKUP('8.0.0'!AD28,'8.0.0'!$AM$4:$AP$48,4,FALSE))</f>
        <v>34</v>
      </c>
      <c r="W28" s="4">
        <f>(VLOOKUP('8.0.0'!AE28,'8.0.0'!$AM$4:$AP$48,4,FALSE))</f>
        <v>0</v>
      </c>
      <c r="X28" s="4">
        <f>(VLOOKUP('8.0.0'!AF28,'8.0.0'!$AM$4:$AP$48,4,FALSE))</f>
        <v>0</v>
      </c>
    </row>
    <row r="29" spans="1:24">
      <c r="A29" s="4">
        <f>(VLOOKUP('8.0.0'!I29,'8.0.0'!$AM$4:$AP$48,4,FALSE))</f>
        <v>38</v>
      </c>
      <c r="B29" s="4">
        <f>(VLOOKUP('8.0.0'!J29,'8.0.0'!$AM$4:$AP$48,4,FALSE))</f>
        <v>36</v>
      </c>
      <c r="C29" s="4">
        <f>(VLOOKUP('8.0.0'!K29,'8.0.0'!$AM$4:$AP$48,4,FALSE))</f>
        <v>38</v>
      </c>
      <c r="D29" s="4">
        <f>(VLOOKUP('8.0.0'!L29,'8.0.0'!$AM$4:$AP$48,4,FALSE))</f>
        <v>38</v>
      </c>
      <c r="E29" s="4">
        <f>(VLOOKUP('8.0.0'!M29,'8.0.0'!$AM$4:$AP$48,4,FALSE))</f>
        <v>38</v>
      </c>
      <c r="F29" s="4">
        <f>(VLOOKUP('8.0.0'!N29,'8.0.0'!$AM$4:$AP$48,4,FALSE))</f>
        <v>38</v>
      </c>
      <c r="G29" s="4">
        <f>(VLOOKUP('8.0.0'!O29,'8.0.0'!$AM$4:$AP$48,4,FALSE))</f>
        <v>0</v>
      </c>
      <c r="H29" s="4">
        <f>(VLOOKUP('8.0.0'!P29,'8.0.0'!$AM$4:$AP$48,4,FALSE))</f>
        <v>0</v>
      </c>
      <c r="I29" s="4">
        <f>(VLOOKUP('8.0.0'!Q29,'8.0.0'!$AM$4:$AP$48,4,FALSE))</f>
        <v>0</v>
      </c>
      <c r="J29" s="4">
        <f>(VLOOKUP('8.0.0'!R29,'8.0.0'!$AM$4:$AP$48,4,FALSE))</f>
        <v>0</v>
      </c>
      <c r="K29" s="4">
        <f>(VLOOKUP('8.0.0'!S29,'8.0.0'!$AM$4:$AP$48,4,FALSE))</f>
        <v>0</v>
      </c>
      <c r="L29" s="4">
        <f>(VLOOKUP('8.0.0'!T29,'8.0.0'!$AM$4:$AP$48,4,FALSE))</f>
        <v>0</v>
      </c>
      <c r="M29" s="4">
        <f>(VLOOKUP('8.0.0'!U29,'8.0.0'!$AM$4:$AP$48,4,FALSE))</f>
        <v>0</v>
      </c>
      <c r="N29" s="4">
        <f>(VLOOKUP('8.0.0'!V29,'8.0.0'!$AM$4:$AP$48,4,FALSE))</f>
        <v>0</v>
      </c>
      <c r="O29" s="4">
        <f>(VLOOKUP('8.0.0'!W29,'8.0.0'!$AM$4:$AP$48,4,FALSE))</f>
        <v>0</v>
      </c>
      <c r="P29" s="4">
        <f>(VLOOKUP('8.0.0'!X29,'8.0.0'!$AM$4:$AP$48,4,FALSE))</f>
        <v>0</v>
      </c>
      <c r="Q29" s="4">
        <f>(VLOOKUP('8.0.0'!Y29,'8.0.0'!$AM$4:$AP$48,4,FALSE))</f>
        <v>34</v>
      </c>
      <c r="R29" s="4">
        <f>(VLOOKUP('8.0.0'!Z29,'8.0.0'!$AM$4:$AP$48,4,FALSE))</f>
        <v>34</v>
      </c>
      <c r="S29" s="4">
        <f>(VLOOKUP('8.0.0'!AA29,'8.0.0'!$AM$4:$AP$48,4,FALSE))</f>
        <v>34</v>
      </c>
      <c r="T29" s="4">
        <f>(VLOOKUP('8.0.0'!AB29,'8.0.0'!$AM$4:$AP$48,4,FALSE))</f>
        <v>34</v>
      </c>
      <c r="U29" s="4">
        <f>(VLOOKUP('8.0.0'!AC29,'8.0.0'!$AM$4:$AP$48,4,FALSE))</f>
        <v>34</v>
      </c>
      <c r="V29" s="4">
        <f>(VLOOKUP('8.0.0'!AD29,'8.0.0'!$AM$4:$AP$48,4,FALSE))</f>
        <v>13.999854933178597</v>
      </c>
      <c r="W29" s="4">
        <f>(VLOOKUP('8.0.0'!AE29,'8.0.0'!$AM$4:$AP$48,4,FALSE))</f>
        <v>0</v>
      </c>
      <c r="X29" s="4">
        <f>(VLOOKUP('8.0.0'!AF29,'8.0.0'!$AM$4:$AP$48,4,FALSE))</f>
        <v>0</v>
      </c>
    </row>
    <row r="30" spans="1:24">
      <c r="A30" s="4">
        <f>(VLOOKUP('8.0.0'!I30,'8.0.0'!$AM$4:$AP$48,4,FALSE))</f>
        <v>38</v>
      </c>
      <c r="B30" s="4">
        <f>(VLOOKUP('8.0.0'!J30,'8.0.0'!$AM$4:$AP$48,4,FALSE))</f>
        <v>38</v>
      </c>
      <c r="C30" s="4">
        <f>(VLOOKUP('8.0.0'!K30,'8.0.0'!$AM$4:$AP$48,4,FALSE))</f>
        <v>38</v>
      </c>
      <c r="D30" s="4">
        <f>(VLOOKUP('8.0.0'!L30,'8.0.0'!$AM$4:$AP$48,4,FALSE))</f>
        <v>38</v>
      </c>
      <c r="E30" s="4">
        <f>(VLOOKUP('8.0.0'!M30,'8.0.0'!$AM$4:$AP$48,4,FALSE))</f>
        <v>38</v>
      </c>
      <c r="F30" s="4">
        <f>(VLOOKUP('8.0.0'!N30,'8.0.0'!$AM$4:$AP$48,4,FALSE))</f>
        <v>38</v>
      </c>
      <c r="G30" s="4">
        <f>(VLOOKUP('8.0.0'!O30,'8.0.0'!$AM$4:$AP$48,4,FALSE))</f>
        <v>0</v>
      </c>
      <c r="H30" s="4">
        <f>(VLOOKUP('8.0.0'!P30,'8.0.0'!$AM$4:$AP$48,4,FALSE))</f>
        <v>0</v>
      </c>
      <c r="I30" s="4">
        <f>(VLOOKUP('8.0.0'!Q30,'8.0.0'!$AM$4:$AP$48,4,FALSE))</f>
        <v>0</v>
      </c>
      <c r="J30" s="4">
        <f>(VLOOKUP('8.0.0'!R30,'8.0.0'!$AM$4:$AP$48,4,FALSE))</f>
        <v>0</v>
      </c>
      <c r="K30" s="4">
        <f>(VLOOKUP('8.0.0'!S30,'8.0.0'!$AM$4:$AP$48,4,FALSE))</f>
        <v>0</v>
      </c>
      <c r="L30" s="4">
        <f>(VLOOKUP('8.0.0'!T30,'8.0.0'!$AM$4:$AP$48,4,FALSE))</f>
        <v>0</v>
      </c>
      <c r="M30" s="4">
        <f>(VLOOKUP('8.0.0'!U30,'8.0.0'!$AM$4:$AP$48,4,FALSE))</f>
        <v>0</v>
      </c>
      <c r="N30" s="4">
        <f>(VLOOKUP('8.0.0'!V30,'8.0.0'!$AM$4:$AP$48,4,FALSE))</f>
        <v>0</v>
      </c>
      <c r="O30" s="4">
        <f>(VLOOKUP('8.0.0'!W30,'8.0.0'!$AM$4:$AP$48,4,FALSE))</f>
        <v>0</v>
      </c>
      <c r="P30" s="4">
        <f>(VLOOKUP('8.0.0'!X30,'8.0.0'!$AM$4:$AP$48,4,FALSE))</f>
        <v>0</v>
      </c>
      <c r="Q30" s="4">
        <f>(VLOOKUP('8.0.0'!Y30,'8.0.0'!$AM$4:$AP$48,4,FALSE))</f>
        <v>34</v>
      </c>
      <c r="R30" s="4">
        <f>(VLOOKUP('8.0.0'!Z30,'8.0.0'!$AM$4:$AP$48,4,FALSE))</f>
        <v>34</v>
      </c>
      <c r="S30" s="4">
        <f>(VLOOKUP('8.0.0'!AA30,'8.0.0'!$AM$4:$AP$48,4,FALSE))</f>
        <v>34</v>
      </c>
      <c r="T30" s="4">
        <f>(VLOOKUP('8.0.0'!AB30,'8.0.0'!$AM$4:$AP$48,4,FALSE))</f>
        <v>34</v>
      </c>
      <c r="U30" s="4">
        <f>(VLOOKUP('8.0.0'!AC30,'8.0.0'!$AM$4:$AP$48,4,FALSE))</f>
        <v>10</v>
      </c>
      <c r="V30" s="4">
        <f>(VLOOKUP('8.0.0'!AD30,'8.0.0'!$AM$4:$AP$48,4,FALSE))</f>
        <v>34</v>
      </c>
      <c r="W30" s="4">
        <f>(VLOOKUP('8.0.0'!AE30,'8.0.0'!$AM$4:$AP$48,4,FALSE))</f>
        <v>0</v>
      </c>
      <c r="X30" s="4">
        <f>(VLOOKUP('8.0.0'!AF30,'8.0.0'!$AM$4:$AP$48,4,FALSE))</f>
        <v>0</v>
      </c>
    </row>
    <row r="31" spans="1:24">
      <c r="A31" s="4">
        <f>(VLOOKUP('8.0.0'!I31,'8.0.0'!$AM$4:$AP$48,4,FALSE))</f>
        <v>38</v>
      </c>
      <c r="B31" s="4">
        <f>(VLOOKUP('8.0.0'!J31,'8.0.0'!$AM$4:$AP$48,4,FALSE))</f>
        <v>38</v>
      </c>
      <c r="C31" s="4">
        <f>(VLOOKUP('8.0.0'!K31,'8.0.0'!$AM$4:$AP$48,4,FALSE))</f>
        <v>38</v>
      </c>
      <c r="D31" s="4">
        <f>(VLOOKUP('8.0.0'!L31,'8.0.0'!$AM$4:$AP$48,4,FALSE))</f>
        <v>38</v>
      </c>
      <c r="E31" s="4">
        <f>(VLOOKUP('8.0.0'!M31,'8.0.0'!$AM$4:$AP$48,4,FALSE))</f>
        <v>38</v>
      </c>
      <c r="F31" s="4">
        <f>(VLOOKUP('8.0.0'!N31,'8.0.0'!$AM$4:$AP$48,4,FALSE))</f>
        <v>38</v>
      </c>
      <c r="G31" s="4">
        <f>(VLOOKUP('8.0.0'!O31,'8.0.0'!$AM$4:$AP$48,4,FALSE))</f>
        <v>0</v>
      </c>
      <c r="H31" s="4">
        <f>(VLOOKUP('8.0.0'!P31,'8.0.0'!$AM$4:$AP$48,4,FALSE))</f>
        <v>0</v>
      </c>
      <c r="I31" s="4">
        <f>(VLOOKUP('8.0.0'!Q31,'8.0.0'!$AM$4:$AP$48,4,FALSE))</f>
        <v>0</v>
      </c>
      <c r="J31" s="4">
        <f>(VLOOKUP('8.0.0'!R31,'8.0.0'!$AM$4:$AP$48,4,FALSE))</f>
        <v>0</v>
      </c>
      <c r="K31" s="4">
        <f>(VLOOKUP('8.0.0'!S31,'8.0.0'!$AM$4:$AP$48,4,FALSE))</f>
        <v>0</v>
      </c>
      <c r="L31" s="4">
        <f>(VLOOKUP('8.0.0'!T31,'8.0.0'!$AM$4:$AP$48,4,FALSE))</f>
        <v>0</v>
      </c>
      <c r="M31" s="4">
        <f>(VLOOKUP('8.0.0'!U31,'8.0.0'!$AM$4:$AP$48,4,FALSE))</f>
        <v>0</v>
      </c>
      <c r="N31" s="4">
        <f>(VLOOKUP('8.0.0'!V31,'8.0.0'!$AM$4:$AP$48,4,FALSE))</f>
        <v>0</v>
      </c>
      <c r="O31" s="4">
        <f>(VLOOKUP('8.0.0'!W31,'8.0.0'!$AM$4:$AP$48,4,FALSE))</f>
        <v>0</v>
      </c>
      <c r="P31" s="4">
        <f>(VLOOKUP('8.0.0'!X31,'8.0.0'!$AM$4:$AP$48,4,FALSE))</f>
        <v>0</v>
      </c>
      <c r="Q31" s="4">
        <f>(VLOOKUP('8.0.0'!Y31,'8.0.0'!$AM$4:$AP$48,4,FALSE))</f>
        <v>34</v>
      </c>
      <c r="R31" s="4">
        <f>(VLOOKUP('8.0.0'!Z31,'8.0.0'!$AM$4:$AP$48,4,FALSE))</f>
        <v>34</v>
      </c>
      <c r="S31" s="4">
        <f>(VLOOKUP('8.0.0'!AA31,'8.0.0'!$AM$4:$AP$48,4,FALSE))</f>
        <v>34</v>
      </c>
      <c r="T31" s="4">
        <f>(VLOOKUP('8.0.0'!AB31,'8.0.0'!$AM$4:$AP$48,4,FALSE))</f>
        <v>34</v>
      </c>
      <c r="U31" s="4">
        <f>(VLOOKUP('8.0.0'!AC31,'8.0.0'!$AM$4:$AP$48,4,FALSE))</f>
        <v>34</v>
      </c>
      <c r="V31" s="4">
        <f>(VLOOKUP('8.0.0'!AD31,'8.0.0'!$AM$4:$AP$48,4,FALSE))</f>
        <v>34</v>
      </c>
      <c r="W31" s="4">
        <f>(VLOOKUP('8.0.0'!AE31,'8.0.0'!$AM$4:$AP$48,4,FALSE))</f>
        <v>0</v>
      </c>
      <c r="X31" s="4">
        <f>(VLOOKUP('8.0.0'!AF31,'8.0.0'!$AM$4:$AP$48,4,FALSE))</f>
        <v>0</v>
      </c>
    </row>
    <row r="32" spans="1:24">
      <c r="A32" s="4">
        <f>(VLOOKUP('8.0.0'!I32,'8.0.0'!$AM$4:$AP$48,4,FALSE))</f>
        <v>38</v>
      </c>
      <c r="B32" s="4">
        <f>(VLOOKUP('8.0.0'!J32,'8.0.0'!$AM$4:$AP$48,4,FALSE))</f>
        <v>38</v>
      </c>
      <c r="C32" s="4">
        <f>(VLOOKUP('8.0.0'!K32,'8.0.0'!$AM$4:$AP$48,4,FALSE))</f>
        <v>38</v>
      </c>
      <c r="D32" s="4">
        <f>(VLOOKUP('8.0.0'!L32,'8.0.0'!$AM$4:$AP$48,4,FALSE))</f>
        <v>38</v>
      </c>
      <c r="E32" s="4">
        <f>(VLOOKUP('8.0.0'!M32,'8.0.0'!$AM$4:$AP$48,4,FALSE))</f>
        <v>38</v>
      </c>
      <c r="F32" s="4">
        <f>(VLOOKUP('8.0.0'!N32,'8.0.0'!$AM$4:$AP$48,4,FALSE))</f>
        <v>38</v>
      </c>
      <c r="G32" s="4">
        <f>(VLOOKUP('8.0.0'!O32,'8.0.0'!$AM$4:$AP$48,4,FALSE))</f>
        <v>0</v>
      </c>
      <c r="H32" s="4">
        <f>(VLOOKUP('8.0.0'!P32,'8.0.0'!$AM$4:$AP$48,4,FALSE))</f>
        <v>0</v>
      </c>
      <c r="I32" s="4">
        <f>(VLOOKUP('8.0.0'!Q32,'8.0.0'!$AM$4:$AP$48,4,FALSE))</f>
        <v>0</v>
      </c>
      <c r="J32" s="4">
        <f>(VLOOKUP('8.0.0'!R32,'8.0.0'!$AM$4:$AP$48,4,FALSE))</f>
        <v>0</v>
      </c>
      <c r="K32" s="4">
        <f>(VLOOKUP('8.0.0'!S32,'8.0.0'!$AM$4:$AP$48,4,FALSE))</f>
        <v>0</v>
      </c>
      <c r="L32" s="4">
        <f>(VLOOKUP('8.0.0'!T32,'8.0.0'!$AM$4:$AP$48,4,FALSE))</f>
        <v>0</v>
      </c>
      <c r="M32" s="4">
        <f>(VLOOKUP('8.0.0'!U32,'8.0.0'!$AM$4:$AP$48,4,FALSE))</f>
        <v>0</v>
      </c>
      <c r="N32" s="4">
        <f>(VLOOKUP('8.0.0'!V32,'8.0.0'!$AM$4:$AP$48,4,FALSE))</f>
        <v>0</v>
      </c>
      <c r="O32" s="4">
        <f>(VLOOKUP('8.0.0'!W32,'8.0.0'!$AM$4:$AP$48,4,FALSE))</f>
        <v>0</v>
      </c>
      <c r="P32" s="4">
        <f>(VLOOKUP('8.0.0'!X32,'8.0.0'!$AM$4:$AP$48,4,FALSE))</f>
        <v>0</v>
      </c>
      <c r="Q32" s="4">
        <f>(VLOOKUP('8.0.0'!Y32,'8.0.0'!$AM$4:$AP$48,4,FALSE))</f>
        <v>10</v>
      </c>
      <c r="R32" s="4">
        <f>(VLOOKUP('8.0.0'!Z32,'8.0.0'!$AM$4:$AP$48,4,FALSE))</f>
        <v>34</v>
      </c>
      <c r="S32" s="4">
        <f>(VLOOKUP('8.0.0'!AA32,'8.0.0'!$AM$4:$AP$48,4,FALSE))</f>
        <v>34</v>
      </c>
      <c r="T32" s="4">
        <f>(VLOOKUP('8.0.0'!AB32,'8.0.0'!$AM$4:$AP$48,4,FALSE))</f>
        <v>34</v>
      </c>
      <c r="U32" s="4">
        <f>(VLOOKUP('8.0.0'!AC32,'8.0.0'!$AM$4:$AP$48,4,FALSE))</f>
        <v>34</v>
      </c>
      <c r="V32" s="4">
        <f>(VLOOKUP('8.0.0'!AD32,'8.0.0'!$AM$4:$AP$48,4,FALSE))</f>
        <v>34</v>
      </c>
      <c r="W32" s="4">
        <f>(VLOOKUP('8.0.0'!AE32,'8.0.0'!$AM$4:$AP$48,4,FALSE))</f>
        <v>0</v>
      </c>
      <c r="X32" s="4">
        <f>(VLOOKUP('8.0.0'!AF32,'8.0.0'!$AM$4:$AP$48,4,FALSE))</f>
        <v>0</v>
      </c>
    </row>
    <row r="33" spans="1:24">
      <c r="A33" s="4">
        <f>(VLOOKUP('8.0.0'!I33,'8.0.0'!$AM$4:$AP$48,4,FALSE))</f>
        <v>38</v>
      </c>
      <c r="B33" s="4">
        <f>(VLOOKUP('8.0.0'!J33,'8.0.0'!$AM$4:$AP$48,4,FALSE))</f>
        <v>38</v>
      </c>
      <c r="C33" s="4">
        <f>(VLOOKUP('8.0.0'!K33,'8.0.0'!$AM$4:$AP$48,4,FALSE))</f>
        <v>38</v>
      </c>
      <c r="D33" s="4">
        <f>(VLOOKUP('8.0.0'!L33,'8.0.0'!$AM$4:$AP$48,4,FALSE))</f>
        <v>38</v>
      </c>
      <c r="E33" s="4">
        <f>(VLOOKUP('8.0.0'!M33,'8.0.0'!$AM$4:$AP$48,4,FALSE))</f>
        <v>38</v>
      </c>
      <c r="F33" s="4">
        <f>(VLOOKUP('8.0.0'!N33,'8.0.0'!$AM$4:$AP$48,4,FALSE))</f>
        <v>38</v>
      </c>
      <c r="G33" s="4">
        <f>(VLOOKUP('8.0.0'!O33,'8.0.0'!$AM$4:$AP$48,4,FALSE))</f>
        <v>0</v>
      </c>
      <c r="H33" s="4">
        <f>(VLOOKUP('8.0.0'!P33,'8.0.0'!$AM$4:$AP$48,4,FALSE))</f>
        <v>0</v>
      </c>
      <c r="I33" s="4">
        <f>(VLOOKUP('8.0.0'!Q33,'8.0.0'!$AM$4:$AP$48,4,FALSE))</f>
        <v>0</v>
      </c>
      <c r="J33" s="4">
        <f>(VLOOKUP('8.0.0'!R33,'8.0.0'!$AM$4:$AP$48,4,FALSE))</f>
        <v>0</v>
      </c>
      <c r="K33" s="4">
        <f>(VLOOKUP('8.0.0'!S33,'8.0.0'!$AM$4:$AP$48,4,FALSE))</f>
        <v>0</v>
      </c>
      <c r="L33" s="4">
        <f>(VLOOKUP('8.0.0'!T33,'8.0.0'!$AM$4:$AP$48,4,FALSE))</f>
        <v>0</v>
      </c>
      <c r="M33" s="4">
        <f>(VLOOKUP('8.0.0'!U33,'8.0.0'!$AM$4:$AP$48,4,FALSE))</f>
        <v>0</v>
      </c>
      <c r="N33" s="4">
        <f>(VLOOKUP('8.0.0'!V33,'8.0.0'!$AM$4:$AP$48,4,FALSE))</f>
        <v>0</v>
      </c>
      <c r="O33" s="4">
        <f>(VLOOKUP('8.0.0'!W33,'8.0.0'!$AM$4:$AP$48,4,FALSE))</f>
        <v>0</v>
      </c>
      <c r="P33" s="4">
        <f>(VLOOKUP('8.0.0'!X33,'8.0.0'!$AM$4:$AP$48,4,FALSE))</f>
        <v>0</v>
      </c>
      <c r="Q33" s="4">
        <f>(VLOOKUP('8.0.0'!Y33,'8.0.0'!$AM$4:$AP$48,4,FALSE))</f>
        <v>34</v>
      </c>
      <c r="R33" s="4">
        <f>(VLOOKUP('8.0.0'!Z33,'8.0.0'!$AM$4:$AP$48,4,FALSE))</f>
        <v>34</v>
      </c>
      <c r="S33" s="4">
        <f>(VLOOKUP('8.0.0'!AA33,'8.0.0'!$AM$4:$AP$48,4,FALSE))</f>
        <v>34</v>
      </c>
      <c r="T33" s="4">
        <f>(VLOOKUP('8.0.0'!AB33,'8.0.0'!$AM$4:$AP$48,4,FALSE))</f>
        <v>34</v>
      </c>
      <c r="U33" s="4">
        <f>(VLOOKUP('8.0.0'!AC33,'8.0.0'!$AM$4:$AP$48,4,FALSE))</f>
        <v>34</v>
      </c>
      <c r="V33" s="4">
        <f>(VLOOKUP('8.0.0'!AD33,'8.0.0'!$AM$4:$AP$48,4,FALSE))</f>
        <v>34</v>
      </c>
      <c r="W33" s="4">
        <f>(VLOOKUP('8.0.0'!AE33,'8.0.0'!$AM$4:$AP$48,4,FALSE))</f>
        <v>0</v>
      </c>
      <c r="X33" s="4">
        <f>(VLOOKUP('8.0.0'!AF33,'8.0.0'!$AM$4:$AP$48,4,FALSE))</f>
        <v>0</v>
      </c>
    </row>
    <row r="34" spans="1:24">
      <c r="A34" s="4">
        <f>(VLOOKUP('8.0.0'!I34,'8.0.0'!$AM$4:$AP$48,4,FALSE))</f>
        <v>38</v>
      </c>
      <c r="B34" s="4">
        <f>(VLOOKUP('8.0.0'!J34,'8.0.0'!$AM$4:$AP$48,4,FALSE))</f>
        <v>38</v>
      </c>
      <c r="C34" s="4">
        <f>(VLOOKUP('8.0.0'!K34,'8.0.0'!$AM$4:$AP$48,4,FALSE))</f>
        <v>38</v>
      </c>
      <c r="D34" s="4">
        <f>(VLOOKUP('8.0.0'!L34,'8.0.0'!$AM$4:$AP$48,4,FALSE))</f>
        <v>38</v>
      </c>
      <c r="E34" s="4">
        <f>(VLOOKUP('8.0.0'!M34,'8.0.0'!$AM$4:$AP$48,4,FALSE))</f>
        <v>38</v>
      </c>
      <c r="F34" s="4">
        <f>(VLOOKUP('8.0.0'!N34,'8.0.0'!$AM$4:$AP$48,4,FALSE))</f>
        <v>38</v>
      </c>
      <c r="G34" s="4">
        <f>(VLOOKUP('8.0.0'!O34,'8.0.0'!$AM$4:$AP$48,4,FALSE))</f>
        <v>0</v>
      </c>
      <c r="H34" s="4">
        <f>(VLOOKUP('8.0.0'!P34,'8.0.0'!$AM$4:$AP$48,4,FALSE))</f>
        <v>0</v>
      </c>
      <c r="I34" s="4">
        <f>(VLOOKUP('8.0.0'!Q34,'8.0.0'!$AM$4:$AP$48,4,FALSE))</f>
        <v>0</v>
      </c>
      <c r="J34" s="4">
        <f>(VLOOKUP('8.0.0'!R34,'8.0.0'!$AM$4:$AP$48,4,FALSE))</f>
        <v>0</v>
      </c>
      <c r="K34" s="4">
        <f>(VLOOKUP('8.0.0'!S34,'8.0.0'!$AM$4:$AP$48,4,FALSE))</f>
        <v>0</v>
      </c>
      <c r="L34" s="4">
        <f>(VLOOKUP('8.0.0'!T34,'8.0.0'!$AM$4:$AP$48,4,FALSE))</f>
        <v>0</v>
      </c>
      <c r="M34" s="4">
        <f>(VLOOKUP('8.0.0'!U34,'8.0.0'!$AM$4:$AP$48,4,FALSE))</f>
        <v>0</v>
      </c>
      <c r="N34" s="4">
        <f>(VLOOKUP('8.0.0'!V34,'8.0.0'!$AM$4:$AP$48,4,FALSE))</f>
        <v>0</v>
      </c>
      <c r="O34" s="4">
        <f>(VLOOKUP('8.0.0'!W34,'8.0.0'!$AM$4:$AP$48,4,FALSE))</f>
        <v>0</v>
      </c>
      <c r="P34" s="4">
        <f>(VLOOKUP('8.0.0'!X34,'8.0.0'!$AM$4:$AP$48,4,FALSE))</f>
        <v>0</v>
      </c>
      <c r="Q34" s="4">
        <f>(VLOOKUP('8.0.0'!Y34,'8.0.0'!$AM$4:$AP$48,4,FALSE))</f>
        <v>34</v>
      </c>
      <c r="R34" s="4">
        <f>(VLOOKUP('8.0.0'!Z34,'8.0.0'!$AM$4:$AP$48,4,FALSE))</f>
        <v>34</v>
      </c>
      <c r="S34" s="4">
        <f>(VLOOKUP('8.0.0'!AA34,'8.0.0'!$AM$4:$AP$48,4,FALSE))</f>
        <v>34</v>
      </c>
      <c r="T34" s="4">
        <f>(VLOOKUP('8.0.0'!AB34,'8.0.0'!$AM$4:$AP$48,4,FALSE))</f>
        <v>34</v>
      </c>
      <c r="U34" s="4">
        <f>(VLOOKUP('8.0.0'!AC34,'8.0.0'!$AM$4:$AP$48,4,FALSE))</f>
        <v>34</v>
      </c>
      <c r="V34" s="4">
        <f>(VLOOKUP('8.0.0'!AD34,'8.0.0'!$AM$4:$AP$48,4,FALSE))</f>
        <v>34</v>
      </c>
      <c r="W34" s="4">
        <f>(VLOOKUP('8.0.0'!AE34,'8.0.0'!$AM$4:$AP$48,4,FALSE))</f>
        <v>0</v>
      </c>
      <c r="X34" s="4">
        <f>(VLOOKUP('8.0.0'!AF34,'8.0.0'!$AM$4:$AP$48,4,FALSE))</f>
        <v>0</v>
      </c>
    </row>
    <row r="35" spans="1:24">
      <c r="A35" s="4">
        <f>(VLOOKUP('8.0.0'!I35,'8.0.0'!$AM$4:$AP$48,4,FALSE))</f>
        <v>38</v>
      </c>
      <c r="B35" s="4">
        <f>(VLOOKUP('8.0.0'!J35,'8.0.0'!$AM$4:$AP$48,4,FALSE))</f>
        <v>38</v>
      </c>
      <c r="C35" s="4">
        <f>(VLOOKUP('8.0.0'!K35,'8.0.0'!$AM$4:$AP$48,4,FALSE))</f>
        <v>38</v>
      </c>
      <c r="D35" s="4">
        <f>(VLOOKUP('8.0.0'!L35,'8.0.0'!$AM$4:$AP$48,4,FALSE))</f>
        <v>0</v>
      </c>
      <c r="E35" s="4">
        <f>(VLOOKUP('8.0.0'!M35,'8.0.0'!$AM$4:$AP$48,4,FALSE))</f>
        <v>38</v>
      </c>
      <c r="F35" s="4">
        <f>(VLOOKUP('8.0.0'!N35,'8.0.0'!$AM$4:$AP$48,4,FALSE))</f>
        <v>38</v>
      </c>
      <c r="G35" s="4">
        <f>(VLOOKUP('8.0.0'!O35,'8.0.0'!$AM$4:$AP$48,4,FALSE))</f>
        <v>0</v>
      </c>
      <c r="H35" s="4">
        <f>(VLOOKUP('8.0.0'!P35,'8.0.0'!$AM$4:$AP$48,4,FALSE))</f>
        <v>0</v>
      </c>
      <c r="I35" s="4">
        <f>(VLOOKUP('8.0.0'!Q35,'8.0.0'!$AM$4:$AP$48,4,FALSE))</f>
        <v>0</v>
      </c>
      <c r="J35" s="4">
        <f>(VLOOKUP('8.0.0'!R35,'8.0.0'!$AM$4:$AP$48,4,FALSE))</f>
        <v>0</v>
      </c>
      <c r="K35" s="4">
        <f>(VLOOKUP('8.0.0'!S35,'8.0.0'!$AM$4:$AP$48,4,FALSE))</f>
        <v>0</v>
      </c>
      <c r="L35" s="4">
        <f>(VLOOKUP('8.0.0'!T35,'8.0.0'!$AM$4:$AP$48,4,FALSE))</f>
        <v>0</v>
      </c>
      <c r="M35" s="4">
        <f>(VLOOKUP('8.0.0'!U35,'8.0.0'!$AM$4:$AP$48,4,FALSE))</f>
        <v>0</v>
      </c>
      <c r="N35" s="4">
        <f>(VLOOKUP('8.0.0'!V35,'8.0.0'!$AM$4:$AP$48,4,FALSE))</f>
        <v>0</v>
      </c>
      <c r="O35" s="4">
        <f>(VLOOKUP('8.0.0'!W35,'8.0.0'!$AM$4:$AP$48,4,FALSE))</f>
        <v>0</v>
      </c>
      <c r="P35" s="4">
        <f>(VLOOKUP('8.0.0'!X35,'8.0.0'!$AM$4:$AP$48,4,FALSE))</f>
        <v>0</v>
      </c>
      <c r="Q35" s="4">
        <f>(VLOOKUP('8.0.0'!Y35,'8.0.0'!$AM$4:$AP$48,4,FALSE))</f>
        <v>10</v>
      </c>
      <c r="R35" s="4">
        <f>(VLOOKUP('8.0.0'!Z35,'8.0.0'!$AM$4:$AP$48,4,FALSE))</f>
        <v>34</v>
      </c>
      <c r="S35" s="4">
        <f>(VLOOKUP('8.0.0'!AA35,'8.0.0'!$AM$4:$AP$48,4,FALSE))</f>
        <v>34</v>
      </c>
      <c r="T35" s="4">
        <f>(VLOOKUP('8.0.0'!AB35,'8.0.0'!$AM$4:$AP$48,4,FALSE))</f>
        <v>13.999854933178597</v>
      </c>
      <c r="U35" s="4">
        <f>(VLOOKUP('8.0.0'!AC35,'8.0.0'!$AM$4:$AP$48,4,FALSE))</f>
        <v>34</v>
      </c>
      <c r="V35" s="4">
        <f>(VLOOKUP('8.0.0'!AD35,'8.0.0'!$AM$4:$AP$48,4,FALSE))</f>
        <v>34</v>
      </c>
      <c r="W35" s="4">
        <f>(VLOOKUP('8.0.0'!AE35,'8.0.0'!$AM$4:$AP$48,4,FALSE))</f>
        <v>0</v>
      </c>
      <c r="X35" s="4">
        <f>(VLOOKUP('8.0.0'!AF35,'8.0.0'!$AM$4:$AP$48,4,FALSE))</f>
        <v>0</v>
      </c>
    </row>
    <row r="36" spans="1:24">
      <c r="A36" s="4">
        <f>(VLOOKUP('8.0.0'!I36,'8.0.0'!$AM$4:$AP$48,4,FALSE))</f>
        <v>38</v>
      </c>
      <c r="B36" s="4">
        <f>(VLOOKUP('8.0.0'!J36,'8.0.0'!$AM$4:$AP$48,4,FALSE))</f>
        <v>38</v>
      </c>
      <c r="C36" s="4">
        <f>(VLOOKUP('8.0.0'!K36,'8.0.0'!$AM$4:$AP$48,4,FALSE))</f>
        <v>38</v>
      </c>
      <c r="D36" s="4">
        <f>(VLOOKUP('8.0.0'!L36,'8.0.0'!$AM$4:$AP$48,4,FALSE))</f>
        <v>38</v>
      </c>
      <c r="E36" s="4">
        <f>(VLOOKUP('8.0.0'!M36,'8.0.0'!$AM$4:$AP$48,4,FALSE))</f>
        <v>38</v>
      </c>
      <c r="F36" s="4">
        <f>(VLOOKUP('8.0.0'!N36,'8.0.0'!$AM$4:$AP$48,4,FALSE))</f>
        <v>38</v>
      </c>
      <c r="G36" s="4">
        <f>(VLOOKUP('8.0.0'!O36,'8.0.0'!$AM$4:$AP$48,4,FALSE))</f>
        <v>0</v>
      </c>
      <c r="H36" s="4">
        <f>(VLOOKUP('8.0.0'!P36,'8.0.0'!$AM$4:$AP$48,4,FALSE))</f>
        <v>0</v>
      </c>
      <c r="I36" s="4">
        <f>(VLOOKUP('8.0.0'!Q36,'8.0.0'!$AM$4:$AP$48,4,FALSE))</f>
        <v>0</v>
      </c>
      <c r="J36" s="4">
        <f>(VLOOKUP('8.0.0'!R36,'8.0.0'!$AM$4:$AP$48,4,FALSE))</f>
        <v>0</v>
      </c>
      <c r="K36" s="4">
        <f>(VLOOKUP('8.0.0'!S36,'8.0.0'!$AM$4:$AP$48,4,FALSE))</f>
        <v>0</v>
      </c>
      <c r="L36" s="4">
        <f>(VLOOKUP('8.0.0'!T36,'8.0.0'!$AM$4:$AP$48,4,FALSE))</f>
        <v>0</v>
      </c>
      <c r="M36" s="4">
        <f>(VLOOKUP('8.0.0'!U36,'8.0.0'!$AM$4:$AP$48,4,FALSE))</f>
        <v>0</v>
      </c>
      <c r="N36" s="4">
        <f>(VLOOKUP('8.0.0'!V36,'8.0.0'!$AM$4:$AP$48,4,FALSE))</f>
        <v>0</v>
      </c>
      <c r="O36" s="4">
        <f>(VLOOKUP('8.0.0'!W36,'8.0.0'!$AM$4:$AP$48,4,FALSE))</f>
        <v>0</v>
      </c>
      <c r="P36" s="4">
        <f>(VLOOKUP('8.0.0'!X36,'8.0.0'!$AM$4:$AP$48,4,FALSE))</f>
        <v>0</v>
      </c>
      <c r="Q36" s="4">
        <f>(VLOOKUP('8.0.0'!Y36,'8.0.0'!$AM$4:$AP$48,4,FALSE))</f>
        <v>34</v>
      </c>
      <c r="R36" s="4">
        <f>(VLOOKUP('8.0.0'!Z36,'8.0.0'!$AM$4:$AP$48,4,FALSE))</f>
        <v>34</v>
      </c>
      <c r="S36" s="4">
        <f>(VLOOKUP('8.0.0'!AA36,'8.0.0'!$AM$4:$AP$48,4,FALSE))</f>
        <v>34</v>
      </c>
      <c r="T36" s="4">
        <f>(VLOOKUP('8.0.0'!AB36,'8.0.0'!$AM$4:$AP$48,4,FALSE))</f>
        <v>34</v>
      </c>
      <c r="U36" s="4">
        <f>(VLOOKUP('8.0.0'!AC36,'8.0.0'!$AM$4:$AP$48,4,FALSE))</f>
        <v>34</v>
      </c>
      <c r="V36" s="4">
        <f>(VLOOKUP('8.0.0'!AD36,'8.0.0'!$AM$4:$AP$48,4,FALSE))</f>
        <v>34</v>
      </c>
      <c r="W36" s="4">
        <f>(VLOOKUP('8.0.0'!AE36,'8.0.0'!$AM$4:$AP$48,4,FALSE))</f>
        <v>0</v>
      </c>
      <c r="X36" s="4">
        <f>(VLOOKUP('8.0.0'!AF36,'8.0.0'!$AM$4:$AP$48,4,FALSE))</f>
        <v>0</v>
      </c>
    </row>
    <row r="37" spans="1:24">
      <c r="A37" s="4">
        <f>(VLOOKUP('8.0.0'!I37,'8.0.0'!$AM$4:$AP$48,4,FALSE))</f>
        <v>38</v>
      </c>
      <c r="B37" s="4">
        <f>(VLOOKUP('8.0.0'!J37,'8.0.0'!$AM$4:$AP$48,4,FALSE))</f>
        <v>38</v>
      </c>
      <c r="C37" s="4">
        <f>(VLOOKUP('8.0.0'!K37,'8.0.0'!$AM$4:$AP$48,4,FALSE))</f>
        <v>38</v>
      </c>
      <c r="D37" s="4">
        <f>(VLOOKUP('8.0.0'!L37,'8.0.0'!$AM$4:$AP$48,4,FALSE))</f>
        <v>38</v>
      </c>
      <c r="E37" s="4">
        <f>(VLOOKUP('8.0.0'!M37,'8.0.0'!$AM$4:$AP$48,4,FALSE))</f>
        <v>38</v>
      </c>
      <c r="F37" s="4">
        <f>(VLOOKUP('8.0.0'!N37,'8.0.0'!$AM$4:$AP$48,4,FALSE))</f>
        <v>38</v>
      </c>
      <c r="G37" s="4">
        <f>(VLOOKUP('8.0.0'!O37,'8.0.0'!$AM$4:$AP$48,4,FALSE))</f>
        <v>0</v>
      </c>
      <c r="H37" s="4">
        <f>(VLOOKUP('8.0.0'!P37,'8.0.0'!$AM$4:$AP$48,4,FALSE))</f>
        <v>0</v>
      </c>
      <c r="I37" s="4">
        <f>(VLOOKUP('8.0.0'!Q37,'8.0.0'!$AM$4:$AP$48,4,FALSE))</f>
        <v>0</v>
      </c>
      <c r="J37" s="4">
        <f>(VLOOKUP('8.0.0'!R37,'8.0.0'!$AM$4:$AP$48,4,FALSE))</f>
        <v>0</v>
      </c>
      <c r="K37" s="4">
        <f>(VLOOKUP('8.0.0'!S37,'8.0.0'!$AM$4:$AP$48,4,FALSE))</f>
        <v>0</v>
      </c>
      <c r="L37" s="4">
        <f>(VLOOKUP('8.0.0'!T37,'8.0.0'!$AM$4:$AP$48,4,FALSE))</f>
        <v>0</v>
      </c>
      <c r="M37" s="4">
        <f>(VLOOKUP('8.0.0'!U37,'8.0.0'!$AM$4:$AP$48,4,FALSE))</f>
        <v>0</v>
      </c>
      <c r="N37" s="4">
        <f>(VLOOKUP('8.0.0'!V37,'8.0.0'!$AM$4:$AP$48,4,FALSE))</f>
        <v>0</v>
      </c>
      <c r="O37" s="4">
        <f>(VLOOKUP('8.0.0'!W37,'8.0.0'!$AM$4:$AP$48,4,FALSE))</f>
        <v>0</v>
      </c>
      <c r="P37" s="4">
        <f>(VLOOKUP('8.0.0'!X37,'8.0.0'!$AM$4:$AP$48,4,FALSE))</f>
        <v>0</v>
      </c>
      <c r="Q37" s="4">
        <f>(VLOOKUP('8.0.0'!Y37,'8.0.0'!$AM$4:$AP$48,4,FALSE))</f>
        <v>10</v>
      </c>
      <c r="R37" s="4">
        <f>(VLOOKUP('8.0.0'!Z37,'8.0.0'!$AM$4:$AP$48,4,FALSE))</f>
        <v>34</v>
      </c>
      <c r="S37" s="4">
        <f>(VLOOKUP('8.0.0'!AA37,'8.0.0'!$AM$4:$AP$48,4,FALSE))</f>
        <v>34</v>
      </c>
      <c r="T37" s="4">
        <f>(VLOOKUP('8.0.0'!AB37,'8.0.0'!$AM$4:$AP$48,4,FALSE))</f>
        <v>34</v>
      </c>
      <c r="U37" s="4">
        <f>(VLOOKUP('8.0.0'!AC37,'8.0.0'!$AM$4:$AP$48,4,FALSE))</f>
        <v>34</v>
      </c>
      <c r="V37" s="4">
        <f>(VLOOKUP('8.0.0'!AD37,'8.0.0'!$AM$4:$AP$48,4,FALSE))</f>
        <v>34</v>
      </c>
      <c r="W37" s="4">
        <f>(VLOOKUP('8.0.0'!AE37,'8.0.0'!$AM$4:$AP$48,4,FALSE))</f>
        <v>0</v>
      </c>
      <c r="X37" s="4">
        <f>(VLOOKUP('8.0.0'!AF37,'8.0.0'!$AM$4:$AP$48,4,FALSE))</f>
        <v>0</v>
      </c>
    </row>
    <row r="38" spans="1:24">
      <c r="A38" s="4">
        <f>(VLOOKUP('8.0.0'!I38,'8.0.0'!$AM$4:$AP$48,4,FALSE))</f>
        <v>38</v>
      </c>
      <c r="B38" s="4">
        <f>(VLOOKUP('8.0.0'!J38,'8.0.0'!$AM$4:$AP$48,4,FALSE))</f>
        <v>38</v>
      </c>
      <c r="C38" s="4">
        <f>(VLOOKUP('8.0.0'!K38,'8.0.0'!$AM$4:$AP$48,4,FALSE))</f>
        <v>10</v>
      </c>
      <c r="D38" s="4">
        <f>(VLOOKUP('8.0.0'!L38,'8.0.0'!$AM$4:$AP$48,4,FALSE))</f>
        <v>38</v>
      </c>
      <c r="E38" s="4">
        <f>(VLOOKUP('8.0.0'!M38,'8.0.0'!$AM$4:$AP$48,4,FALSE))</f>
        <v>38</v>
      </c>
      <c r="F38" s="4">
        <f>(VLOOKUP('8.0.0'!N38,'8.0.0'!$AM$4:$AP$48,4,FALSE))</f>
        <v>38</v>
      </c>
      <c r="G38" s="4">
        <f>(VLOOKUP('8.0.0'!O38,'8.0.0'!$AM$4:$AP$48,4,FALSE))</f>
        <v>0</v>
      </c>
      <c r="H38" s="4">
        <f>(VLOOKUP('8.0.0'!P38,'8.0.0'!$AM$4:$AP$48,4,FALSE))</f>
        <v>0</v>
      </c>
      <c r="I38" s="4">
        <f>(VLOOKUP('8.0.0'!Q38,'8.0.0'!$AM$4:$AP$48,4,FALSE))</f>
        <v>0</v>
      </c>
      <c r="J38" s="4">
        <f>(VLOOKUP('8.0.0'!R38,'8.0.0'!$AM$4:$AP$48,4,FALSE))</f>
        <v>0</v>
      </c>
      <c r="K38" s="4">
        <f>(VLOOKUP('8.0.0'!S38,'8.0.0'!$AM$4:$AP$48,4,FALSE))</f>
        <v>0</v>
      </c>
      <c r="L38" s="4">
        <f>(VLOOKUP('8.0.0'!T38,'8.0.0'!$AM$4:$AP$48,4,FALSE))</f>
        <v>0</v>
      </c>
      <c r="M38" s="4">
        <f>(VLOOKUP('8.0.0'!U38,'8.0.0'!$AM$4:$AP$48,4,FALSE))</f>
        <v>0</v>
      </c>
      <c r="N38" s="4">
        <f>(VLOOKUP('8.0.0'!V38,'8.0.0'!$AM$4:$AP$48,4,FALSE))</f>
        <v>0</v>
      </c>
      <c r="O38" s="4">
        <f>(VLOOKUP('8.0.0'!W38,'8.0.0'!$AM$4:$AP$48,4,FALSE))</f>
        <v>0</v>
      </c>
      <c r="P38" s="4">
        <f>(VLOOKUP('8.0.0'!X38,'8.0.0'!$AM$4:$AP$48,4,FALSE))</f>
        <v>0</v>
      </c>
      <c r="Q38" s="4">
        <f>(VLOOKUP('8.0.0'!Y38,'8.0.0'!$AM$4:$AP$48,4,FALSE))</f>
        <v>34</v>
      </c>
      <c r="R38" s="4">
        <f>(VLOOKUP('8.0.0'!Z38,'8.0.0'!$AM$4:$AP$48,4,FALSE))</f>
        <v>34</v>
      </c>
      <c r="S38" s="4">
        <f>(VLOOKUP('8.0.0'!AA38,'8.0.0'!$AM$4:$AP$48,4,FALSE))</f>
        <v>34</v>
      </c>
      <c r="T38" s="4">
        <f>(VLOOKUP('8.0.0'!AB38,'8.0.0'!$AM$4:$AP$48,4,FALSE))</f>
        <v>34</v>
      </c>
      <c r="U38" s="4">
        <f>(VLOOKUP('8.0.0'!AC38,'8.0.0'!$AM$4:$AP$48,4,FALSE))</f>
        <v>34</v>
      </c>
      <c r="V38" s="4">
        <f>(VLOOKUP('8.0.0'!AD38,'8.0.0'!$AM$4:$AP$48,4,FALSE))</f>
        <v>34</v>
      </c>
      <c r="W38" s="4">
        <f>(VLOOKUP('8.0.0'!AE38,'8.0.0'!$AM$4:$AP$48,4,FALSE))</f>
        <v>0</v>
      </c>
      <c r="X38" s="4">
        <f>(VLOOKUP('8.0.0'!AF38,'8.0.0'!$AM$4:$AP$48,4,FALSE))</f>
        <v>0</v>
      </c>
    </row>
    <row r="39" spans="1:24">
      <c r="A39" s="4">
        <f>(VLOOKUP('8.0.0'!I39,'8.0.0'!$AM$4:$AP$48,4,FALSE))</f>
        <v>38</v>
      </c>
      <c r="B39" s="4">
        <f>(VLOOKUP('8.0.0'!J39,'8.0.0'!$AM$4:$AP$48,4,FALSE))</f>
        <v>38</v>
      </c>
      <c r="C39" s="4">
        <f>(VLOOKUP('8.0.0'!K39,'8.0.0'!$AM$4:$AP$48,4,FALSE))</f>
        <v>38</v>
      </c>
      <c r="D39" s="4">
        <f>(VLOOKUP('8.0.0'!L39,'8.0.0'!$AM$4:$AP$48,4,FALSE))</f>
        <v>38</v>
      </c>
      <c r="E39" s="4">
        <f>(VLOOKUP('8.0.0'!M39,'8.0.0'!$AM$4:$AP$48,4,FALSE))</f>
        <v>38</v>
      </c>
      <c r="F39" s="4">
        <f>(VLOOKUP('8.0.0'!N39,'8.0.0'!$AM$4:$AP$48,4,FALSE))</f>
        <v>38</v>
      </c>
      <c r="G39" s="4">
        <f>(VLOOKUP('8.0.0'!O39,'8.0.0'!$AM$4:$AP$48,4,FALSE))</f>
        <v>0</v>
      </c>
      <c r="H39" s="4">
        <f>(VLOOKUP('8.0.0'!P39,'8.0.0'!$AM$4:$AP$48,4,FALSE))</f>
        <v>0</v>
      </c>
      <c r="I39" s="4">
        <f>(VLOOKUP('8.0.0'!Q39,'8.0.0'!$AM$4:$AP$48,4,FALSE))</f>
        <v>0</v>
      </c>
      <c r="J39" s="4">
        <f>(VLOOKUP('8.0.0'!R39,'8.0.0'!$AM$4:$AP$48,4,FALSE))</f>
        <v>0</v>
      </c>
      <c r="K39" s="4">
        <f>(VLOOKUP('8.0.0'!S39,'8.0.0'!$AM$4:$AP$48,4,FALSE))</f>
        <v>0</v>
      </c>
      <c r="L39" s="4">
        <f>(VLOOKUP('8.0.0'!T39,'8.0.0'!$AM$4:$AP$48,4,FALSE))</f>
        <v>0</v>
      </c>
      <c r="M39" s="4">
        <f>(VLOOKUP('8.0.0'!U39,'8.0.0'!$AM$4:$AP$48,4,FALSE))</f>
        <v>0</v>
      </c>
      <c r="N39" s="4">
        <f>(VLOOKUP('8.0.0'!V39,'8.0.0'!$AM$4:$AP$48,4,FALSE))</f>
        <v>0</v>
      </c>
      <c r="O39" s="4">
        <f>(VLOOKUP('8.0.0'!W39,'8.0.0'!$AM$4:$AP$48,4,FALSE))</f>
        <v>0</v>
      </c>
      <c r="P39" s="4">
        <f>(VLOOKUP('8.0.0'!X39,'8.0.0'!$AM$4:$AP$48,4,FALSE))</f>
        <v>0</v>
      </c>
      <c r="Q39" s="4">
        <f>(VLOOKUP('8.0.0'!Y39,'8.0.0'!$AM$4:$AP$48,4,FALSE))</f>
        <v>34</v>
      </c>
      <c r="R39" s="4">
        <f>(VLOOKUP('8.0.0'!Z39,'8.0.0'!$AM$4:$AP$48,4,FALSE))</f>
        <v>34</v>
      </c>
      <c r="S39" s="4">
        <f>(VLOOKUP('8.0.0'!AA39,'8.0.0'!$AM$4:$AP$48,4,FALSE))</f>
        <v>34</v>
      </c>
      <c r="T39" s="4">
        <f>(VLOOKUP('8.0.0'!AB39,'8.0.0'!$AM$4:$AP$48,4,FALSE))</f>
        <v>34</v>
      </c>
      <c r="U39" s="4">
        <f>(VLOOKUP('8.0.0'!AC39,'8.0.0'!$AM$4:$AP$48,4,FALSE))</f>
        <v>34</v>
      </c>
      <c r="V39" s="4">
        <f>(VLOOKUP('8.0.0'!AD39,'8.0.0'!$AM$4:$AP$48,4,FALSE))</f>
        <v>10</v>
      </c>
      <c r="W39" s="4">
        <f>(VLOOKUP('8.0.0'!AE39,'8.0.0'!$AM$4:$AP$48,4,FALSE))</f>
        <v>0</v>
      </c>
      <c r="X39" s="4">
        <f>(VLOOKUP('8.0.0'!AF39,'8.0.0'!$AM$4:$AP$48,4,FALSE))</f>
        <v>0</v>
      </c>
    </row>
    <row r="40" spans="1:24">
      <c r="A40" s="4">
        <f>(VLOOKUP('8.0.0'!I40,'8.0.0'!$AM$4:$AP$48,4,FALSE))</f>
        <v>38</v>
      </c>
      <c r="B40" s="4">
        <f>(VLOOKUP('8.0.0'!J40,'8.0.0'!$AM$4:$AP$48,4,FALSE))</f>
        <v>38</v>
      </c>
      <c r="C40" s="4">
        <f>(VLOOKUP('8.0.0'!K40,'8.0.0'!$AM$4:$AP$48,4,FALSE))</f>
        <v>38</v>
      </c>
      <c r="D40" s="4">
        <f>(VLOOKUP('8.0.0'!L40,'8.0.0'!$AM$4:$AP$48,4,FALSE))</f>
        <v>0</v>
      </c>
      <c r="E40" s="4">
        <f>(VLOOKUP('8.0.0'!M40,'8.0.0'!$AM$4:$AP$48,4,FALSE))</f>
        <v>38</v>
      </c>
      <c r="F40" s="4">
        <f>(VLOOKUP('8.0.0'!N40,'8.0.0'!$AM$4:$AP$48,4,FALSE))</f>
        <v>38</v>
      </c>
      <c r="G40" s="4">
        <f>(VLOOKUP('8.0.0'!O40,'8.0.0'!$AM$4:$AP$48,4,FALSE))</f>
        <v>38</v>
      </c>
      <c r="H40" s="4">
        <f>(VLOOKUP('8.0.0'!P40,'8.0.0'!$AM$4:$AP$48,4,FALSE))</f>
        <v>0</v>
      </c>
      <c r="I40" s="4">
        <f>(VLOOKUP('8.0.0'!Q40,'8.0.0'!$AM$4:$AP$48,4,FALSE))</f>
        <v>0</v>
      </c>
      <c r="J40" s="4">
        <f>(VLOOKUP('8.0.0'!R40,'8.0.0'!$AM$4:$AP$48,4,FALSE))</f>
        <v>0</v>
      </c>
      <c r="K40" s="4">
        <f>(VLOOKUP('8.0.0'!S40,'8.0.0'!$AM$4:$AP$48,4,FALSE))</f>
        <v>0</v>
      </c>
      <c r="L40" s="4">
        <f>(VLOOKUP('8.0.0'!T40,'8.0.0'!$AM$4:$AP$48,4,FALSE))</f>
        <v>0</v>
      </c>
      <c r="M40" s="4">
        <f>(VLOOKUP('8.0.0'!U40,'8.0.0'!$AM$4:$AP$48,4,FALSE))</f>
        <v>0</v>
      </c>
      <c r="N40" s="4">
        <f>(VLOOKUP('8.0.0'!V40,'8.0.0'!$AM$4:$AP$48,4,FALSE))</f>
        <v>0</v>
      </c>
      <c r="O40" s="4">
        <f>(VLOOKUP('8.0.0'!W40,'8.0.0'!$AM$4:$AP$48,4,FALSE))</f>
        <v>0</v>
      </c>
      <c r="P40" s="4">
        <f>(VLOOKUP('8.0.0'!X40,'8.0.0'!$AM$4:$AP$48,4,FALSE))</f>
        <v>0</v>
      </c>
      <c r="Q40" s="4">
        <f>(VLOOKUP('8.0.0'!Y40,'8.0.0'!$AM$4:$AP$48,4,FALSE))</f>
        <v>34</v>
      </c>
      <c r="R40" s="4">
        <f>(VLOOKUP('8.0.0'!Z40,'8.0.0'!$AM$4:$AP$48,4,FALSE))</f>
        <v>34</v>
      </c>
      <c r="S40" s="4">
        <f>(VLOOKUP('8.0.0'!AA40,'8.0.0'!$AM$4:$AP$48,4,FALSE))</f>
        <v>34</v>
      </c>
      <c r="T40" s="4">
        <f>(VLOOKUP('8.0.0'!AB40,'8.0.0'!$AM$4:$AP$48,4,FALSE))</f>
        <v>34</v>
      </c>
      <c r="U40" s="4">
        <f>(VLOOKUP('8.0.0'!AC40,'8.0.0'!$AM$4:$AP$48,4,FALSE))</f>
        <v>34</v>
      </c>
      <c r="V40" s="4">
        <f>(VLOOKUP('8.0.0'!AD40,'8.0.0'!$AM$4:$AP$48,4,FALSE))</f>
        <v>34</v>
      </c>
      <c r="W40" s="4">
        <f>(VLOOKUP('8.0.0'!AE40,'8.0.0'!$AM$4:$AP$48,4,FALSE))</f>
        <v>0</v>
      </c>
      <c r="X40" s="4">
        <f>(VLOOKUP('8.0.0'!AF40,'8.0.0'!$AM$4:$AP$48,4,FALSE))</f>
        <v>0</v>
      </c>
    </row>
    <row r="41" spans="1:24">
      <c r="A41" s="4">
        <f>(VLOOKUP('8.0.0'!I41,'8.0.0'!$AM$4:$AP$48,4,FALSE))</f>
        <v>38</v>
      </c>
      <c r="B41" s="4">
        <f>(VLOOKUP('8.0.0'!J41,'8.0.0'!$AM$4:$AP$48,4,FALSE))</f>
        <v>0</v>
      </c>
      <c r="C41" s="4">
        <f>(VLOOKUP('8.0.0'!K41,'8.0.0'!$AM$4:$AP$48,4,FALSE))</f>
        <v>38</v>
      </c>
      <c r="D41" s="4">
        <f>(VLOOKUP('8.0.0'!L41,'8.0.0'!$AM$4:$AP$48,4,FALSE))</f>
        <v>38</v>
      </c>
      <c r="E41" s="4">
        <f>(VLOOKUP('8.0.0'!M41,'8.0.0'!$AM$4:$AP$48,4,FALSE))</f>
        <v>38</v>
      </c>
      <c r="F41" s="4">
        <f>(VLOOKUP('8.0.0'!N41,'8.0.0'!$AM$4:$AP$48,4,FALSE))</f>
        <v>38</v>
      </c>
      <c r="G41" s="4">
        <f>(VLOOKUP('8.0.0'!O41,'8.0.0'!$AM$4:$AP$48,4,FALSE))</f>
        <v>0</v>
      </c>
      <c r="H41" s="4">
        <f>(VLOOKUP('8.0.0'!P41,'8.0.0'!$AM$4:$AP$48,4,FALSE))</f>
        <v>0</v>
      </c>
      <c r="I41" s="4">
        <f>(VLOOKUP('8.0.0'!Q41,'8.0.0'!$AM$4:$AP$48,4,FALSE))</f>
        <v>0</v>
      </c>
      <c r="J41" s="4">
        <f>(VLOOKUP('8.0.0'!R41,'8.0.0'!$AM$4:$AP$48,4,FALSE))</f>
        <v>0</v>
      </c>
      <c r="K41" s="4">
        <f>(VLOOKUP('8.0.0'!S41,'8.0.0'!$AM$4:$AP$48,4,FALSE))</f>
        <v>0</v>
      </c>
      <c r="L41" s="4">
        <f>(VLOOKUP('8.0.0'!T41,'8.0.0'!$AM$4:$AP$48,4,FALSE))</f>
        <v>0</v>
      </c>
      <c r="M41" s="4">
        <f>(VLOOKUP('8.0.0'!U41,'8.0.0'!$AM$4:$AP$48,4,FALSE))</f>
        <v>0</v>
      </c>
      <c r="N41" s="4">
        <f>(VLOOKUP('8.0.0'!V41,'8.0.0'!$AM$4:$AP$48,4,FALSE))</f>
        <v>0</v>
      </c>
      <c r="O41" s="4">
        <f>(VLOOKUP('8.0.0'!W41,'8.0.0'!$AM$4:$AP$48,4,FALSE))</f>
        <v>0</v>
      </c>
      <c r="P41" s="4">
        <f>(VLOOKUP('8.0.0'!X41,'8.0.0'!$AM$4:$AP$48,4,FALSE))</f>
        <v>0</v>
      </c>
      <c r="Q41" s="4">
        <f>(VLOOKUP('8.0.0'!Y41,'8.0.0'!$AM$4:$AP$48,4,FALSE))</f>
        <v>34</v>
      </c>
      <c r="R41" s="4">
        <f>(VLOOKUP('8.0.0'!Z41,'8.0.0'!$AM$4:$AP$48,4,FALSE))</f>
        <v>13.999854933178597</v>
      </c>
      <c r="S41" s="4">
        <f>(VLOOKUP('8.0.0'!AA41,'8.0.0'!$AM$4:$AP$48,4,FALSE))</f>
        <v>36</v>
      </c>
      <c r="T41" s="4">
        <f>(VLOOKUP('8.0.0'!AB41,'8.0.0'!$AM$4:$AP$48,4,FALSE))</f>
        <v>36</v>
      </c>
      <c r="U41" s="4">
        <f>(VLOOKUP('8.0.0'!AC41,'8.0.0'!$AM$4:$AP$48,4,FALSE))</f>
        <v>34</v>
      </c>
      <c r="V41" s="4">
        <f>(VLOOKUP('8.0.0'!AD41,'8.0.0'!$AM$4:$AP$48,4,FALSE))</f>
        <v>34</v>
      </c>
      <c r="W41" s="4">
        <f>(VLOOKUP('8.0.0'!AE41,'8.0.0'!$AM$4:$AP$48,4,FALSE))</f>
        <v>0</v>
      </c>
      <c r="X41" s="4">
        <f>(VLOOKUP('8.0.0'!AF41,'8.0.0'!$AM$4:$AP$48,4,FALSE))</f>
        <v>0</v>
      </c>
    </row>
    <row r="42" spans="1:24">
      <c r="A42" s="4">
        <f>(VLOOKUP('8.0.0'!I42,'8.0.0'!$AM$4:$AP$48,4,FALSE))</f>
        <v>38</v>
      </c>
      <c r="B42" s="4">
        <f>(VLOOKUP('8.0.0'!J42,'8.0.0'!$AM$4:$AP$48,4,FALSE))</f>
        <v>38</v>
      </c>
      <c r="C42" s="4">
        <f>(VLOOKUP('8.0.0'!K42,'8.0.0'!$AM$4:$AP$48,4,FALSE))</f>
        <v>38</v>
      </c>
      <c r="D42" s="4">
        <f>(VLOOKUP('8.0.0'!L42,'8.0.0'!$AM$4:$AP$48,4,FALSE))</f>
        <v>38</v>
      </c>
      <c r="E42" s="4">
        <f>(VLOOKUP('8.0.0'!M42,'8.0.0'!$AM$4:$AP$48,4,FALSE))</f>
        <v>38</v>
      </c>
      <c r="F42" s="4">
        <f>(VLOOKUP('8.0.0'!N42,'8.0.0'!$AM$4:$AP$48,4,FALSE))</f>
        <v>38</v>
      </c>
      <c r="G42" s="4">
        <f>(VLOOKUP('8.0.0'!O42,'8.0.0'!$AM$4:$AP$48,4,FALSE))</f>
        <v>0</v>
      </c>
      <c r="H42" s="4">
        <f>(VLOOKUP('8.0.0'!P42,'8.0.0'!$AM$4:$AP$48,4,FALSE))</f>
        <v>0</v>
      </c>
      <c r="I42" s="4">
        <f>(VLOOKUP('8.0.0'!Q42,'8.0.0'!$AM$4:$AP$48,4,FALSE))</f>
        <v>0</v>
      </c>
      <c r="J42" s="4">
        <f>(VLOOKUP('8.0.0'!R42,'8.0.0'!$AM$4:$AP$48,4,FALSE))</f>
        <v>0</v>
      </c>
      <c r="K42" s="4">
        <f>(VLOOKUP('8.0.0'!S42,'8.0.0'!$AM$4:$AP$48,4,FALSE))</f>
        <v>0</v>
      </c>
      <c r="L42" s="4">
        <f>(VLOOKUP('8.0.0'!T42,'8.0.0'!$AM$4:$AP$48,4,FALSE))</f>
        <v>0</v>
      </c>
      <c r="M42" s="4">
        <f>(VLOOKUP('8.0.0'!U42,'8.0.0'!$AM$4:$AP$48,4,FALSE))</f>
        <v>0</v>
      </c>
      <c r="N42" s="4">
        <f>(VLOOKUP('8.0.0'!V42,'8.0.0'!$AM$4:$AP$48,4,FALSE))</f>
        <v>0</v>
      </c>
      <c r="O42" s="4">
        <f>(VLOOKUP('8.0.0'!W42,'8.0.0'!$AM$4:$AP$48,4,FALSE))</f>
        <v>0</v>
      </c>
      <c r="P42" s="4">
        <f>(VLOOKUP('8.0.0'!X42,'8.0.0'!$AM$4:$AP$48,4,FALSE))</f>
        <v>0</v>
      </c>
      <c r="Q42" s="4">
        <f>(VLOOKUP('8.0.0'!Y42,'8.0.0'!$AM$4:$AP$48,4,FALSE))</f>
        <v>34</v>
      </c>
      <c r="R42" s="4">
        <f>(VLOOKUP('8.0.0'!Z42,'8.0.0'!$AM$4:$AP$48,4,FALSE))</f>
        <v>34</v>
      </c>
      <c r="S42" s="4">
        <f>(VLOOKUP('8.0.0'!AA42,'8.0.0'!$AM$4:$AP$48,4,FALSE))</f>
        <v>34</v>
      </c>
      <c r="T42" s="4">
        <f>(VLOOKUP('8.0.0'!AB42,'8.0.0'!$AM$4:$AP$48,4,FALSE))</f>
        <v>34</v>
      </c>
      <c r="U42" s="4">
        <f>(VLOOKUP('8.0.0'!AC42,'8.0.0'!$AM$4:$AP$48,4,FALSE))</f>
        <v>36</v>
      </c>
      <c r="V42" s="4">
        <f>(VLOOKUP('8.0.0'!AD42,'8.0.0'!$AM$4:$AP$48,4,FALSE))</f>
        <v>36</v>
      </c>
      <c r="W42" s="4">
        <f>(VLOOKUP('8.0.0'!AE42,'8.0.0'!$AM$4:$AP$48,4,FALSE))</f>
        <v>0</v>
      </c>
      <c r="X42" s="4">
        <f>(VLOOKUP('8.0.0'!AF42,'8.0.0'!$AM$4:$AP$48,4,FALSE))</f>
        <v>0</v>
      </c>
    </row>
    <row r="43" spans="1:24">
      <c r="A43" s="4">
        <f>(VLOOKUP('8.0.0'!I43,'8.0.0'!$AM$4:$AP$48,4,FALSE))</f>
        <v>38</v>
      </c>
      <c r="B43" s="4">
        <f>(VLOOKUP('8.0.0'!J43,'8.0.0'!$AM$4:$AP$48,4,FALSE))</f>
        <v>38</v>
      </c>
      <c r="C43" s="4">
        <f>(VLOOKUP('8.0.0'!K43,'8.0.0'!$AM$4:$AP$48,4,FALSE))</f>
        <v>38</v>
      </c>
      <c r="D43" s="4">
        <f>(VLOOKUP('8.0.0'!L43,'8.0.0'!$AM$4:$AP$48,4,FALSE))</f>
        <v>38</v>
      </c>
      <c r="E43" s="4">
        <f>(VLOOKUP('8.0.0'!M43,'8.0.0'!$AM$4:$AP$48,4,FALSE))</f>
        <v>38</v>
      </c>
      <c r="F43" s="4">
        <f>(VLOOKUP('8.0.0'!N43,'8.0.0'!$AM$4:$AP$48,4,FALSE))</f>
        <v>38</v>
      </c>
      <c r="G43" s="4">
        <f>(VLOOKUP('8.0.0'!O43,'8.0.0'!$AM$4:$AP$48,4,FALSE))</f>
        <v>0</v>
      </c>
      <c r="H43" s="4">
        <f>(VLOOKUP('8.0.0'!P43,'8.0.0'!$AM$4:$AP$48,4,FALSE))</f>
        <v>0</v>
      </c>
      <c r="I43" s="4">
        <f>(VLOOKUP('8.0.0'!Q43,'8.0.0'!$AM$4:$AP$48,4,FALSE))</f>
        <v>0</v>
      </c>
      <c r="J43" s="4">
        <f>(VLOOKUP('8.0.0'!R43,'8.0.0'!$AM$4:$AP$48,4,FALSE))</f>
        <v>0</v>
      </c>
      <c r="K43" s="4">
        <f>(VLOOKUP('8.0.0'!S43,'8.0.0'!$AM$4:$AP$48,4,FALSE))</f>
        <v>0</v>
      </c>
      <c r="L43" s="4">
        <f>(VLOOKUP('8.0.0'!T43,'8.0.0'!$AM$4:$AP$48,4,FALSE))</f>
        <v>0</v>
      </c>
      <c r="M43" s="4">
        <f>(VLOOKUP('8.0.0'!U43,'8.0.0'!$AM$4:$AP$48,4,FALSE))</f>
        <v>0</v>
      </c>
      <c r="N43" s="4">
        <f>(VLOOKUP('8.0.0'!V43,'8.0.0'!$AM$4:$AP$48,4,FALSE))</f>
        <v>0</v>
      </c>
      <c r="O43" s="4">
        <f>(VLOOKUP('8.0.0'!W43,'8.0.0'!$AM$4:$AP$48,4,FALSE))</f>
        <v>0</v>
      </c>
      <c r="P43" s="4">
        <f>(VLOOKUP('8.0.0'!X43,'8.0.0'!$AM$4:$AP$48,4,FALSE))</f>
        <v>0</v>
      </c>
      <c r="Q43" s="4">
        <f>(VLOOKUP('8.0.0'!Y43,'8.0.0'!$AM$4:$AP$48,4,FALSE))</f>
        <v>36</v>
      </c>
      <c r="R43" s="4">
        <f>(VLOOKUP('8.0.0'!Z43,'8.0.0'!$AM$4:$AP$48,4,FALSE))</f>
        <v>36</v>
      </c>
      <c r="S43" s="4">
        <f>(VLOOKUP('8.0.0'!AA43,'8.0.0'!$AM$4:$AP$48,4,FALSE))</f>
        <v>36</v>
      </c>
      <c r="T43" s="4">
        <f>(VLOOKUP('8.0.0'!AB43,'8.0.0'!$AM$4:$AP$48,4,FALSE))</f>
        <v>36</v>
      </c>
      <c r="U43" s="4">
        <f>(VLOOKUP('8.0.0'!AC43,'8.0.0'!$AM$4:$AP$48,4,FALSE))</f>
        <v>36</v>
      </c>
      <c r="V43" s="4">
        <f>(VLOOKUP('8.0.0'!AD43,'8.0.0'!$AM$4:$AP$48,4,FALSE))</f>
        <v>36</v>
      </c>
      <c r="W43" s="4">
        <f>(VLOOKUP('8.0.0'!AE43,'8.0.0'!$AM$4:$AP$48,4,FALSE))</f>
        <v>0</v>
      </c>
      <c r="X43" s="4">
        <f>(VLOOKUP('8.0.0'!AF43,'8.0.0'!$AM$4:$AP$48,4,FALSE))</f>
        <v>0</v>
      </c>
    </row>
    <row r="44" spans="1:24">
      <c r="A44" s="4">
        <f>(VLOOKUP('8.0.0'!I44,'8.0.0'!$AM$4:$AP$48,4,FALSE))</f>
        <v>38</v>
      </c>
      <c r="B44" s="4">
        <f>(VLOOKUP('8.0.0'!J44,'8.0.0'!$AM$4:$AP$48,4,FALSE))</f>
        <v>36</v>
      </c>
      <c r="C44" s="4">
        <f>(VLOOKUP('8.0.0'!K44,'8.0.0'!$AM$4:$AP$48,4,FALSE))</f>
        <v>38</v>
      </c>
      <c r="D44" s="4">
        <f>(VLOOKUP('8.0.0'!L44,'8.0.0'!$AM$4:$AP$48,4,FALSE))</f>
        <v>38</v>
      </c>
      <c r="E44" s="4">
        <f>(VLOOKUP('8.0.0'!M44,'8.0.0'!$AM$4:$AP$48,4,FALSE))</f>
        <v>10</v>
      </c>
      <c r="F44" s="4">
        <f>(VLOOKUP('8.0.0'!N44,'8.0.0'!$AM$4:$AP$48,4,FALSE))</f>
        <v>38</v>
      </c>
      <c r="G44" s="4">
        <f>(VLOOKUP('8.0.0'!O44,'8.0.0'!$AM$4:$AP$48,4,FALSE))</f>
        <v>0</v>
      </c>
      <c r="H44" s="4">
        <f>(VLOOKUP('8.0.0'!P44,'8.0.0'!$AM$4:$AP$48,4,FALSE))</f>
        <v>0</v>
      </c>
      <c r="I44" s="4">
        <f>(VLOOKUP('8.0.0'!Q44,'8.0.0'!$AM$4:$AP$48,4,FALSE))</f>
        <v>0</v>
      </c>
      <c r="J44" s="4">
        <f>(VLOOKUP('8.0.0'!R44,'8.0.0'!$AM$4:$AP$48,4,FALSE))</f>
        <v>0</v>
      </c>
      <c r="K44" s="4">
        <f>(VLOOKUP('8.0.0'!S44,'8.0.0'!$AM$4:$AP$48,4,FALSE))</f>
        <v>0</v>
      </c>
      <c r="L44" s="4">
        <f>(VLOOKUP('8.0.0'!T44,'8.0.0'!$AM$4:$AP$48,4,FALSE))</f>
        <v>0</v>
      </c>
      <c r="M44" s="4">
        <f>(VLOOKUP('8.0.0'!U44,'8.0.0'!$AM$4:$AP$48,4,FALSE))</f>
        <v>0</v>
      </c>
      <c r="N44" s="4">
        <f>(VLOOKUP('8.0.0'!V44,'8.0.0'!$AM$4:$AP$48,4,FALSE))</f>
        <v>0</v>
      </c>
      <c r="O44" s="4">
        <f>(VLOOKUP('8.0.0'!W44,'8.0.0'!$AM$4:$AP$48,4,FALSE))</f>
        <v>0</v>
      </c>
      <c r="P44" s="4">
        <f>(VLOOKUP('8.0.0'!X44,'8.0.0'!$AM$4:$AP$48,4,FALSE))</f>
        <v>0</v>
      </c>
      <c r="Q44" s="4">
        <f>(VLOOKUP('8.0.0'!Y44,'8.0.0'!$AM$4:$AP$48,4,FALSE))</f>
        <v>36</v>
      </c>
      <c r="R44" s="4">
        <f>(VLOOKUP('8.0.0'!Z44,'8.0.0'!$AM$4:$AP$48,4,FALSE))</f>
        <v>36</v>
      </c>
      <c r="S44" s="4">
        <f>(VLOOKUP('8.0.0'!AA44,'8.0.0'!$AM$4:$AP$48,4,FALSE))</f>
        <v>36</v>
      </c>
      <c r="T44" s="4">
        <f>(VLOOKUP('8.0.0'!AB44,'8.0.0'!$AM$4:$AP$48,4,FALSE))</f>
        <v>36</v>
      </c>
      <c r="U44" s="4">
        <f>(VLOOKUP('8.0.0'!AC44,'8.0.0'!$AM$4:$AP$48,4,FALSE))</f>
        <v>36</v>
      </c>
      <c r="V44" s="4">
        <f>(VLOOKUP('8.0.0'!AD44,'8.0.0'!$AM$4:$AP$48,4,FALSE))</f>
        <v>36</v>
      </c>
      <c r="W44" s="4">
        <f>(VLOOKUP('8.0.0'!AE44,'8.0.0'!$AM$4:$AP$48,4,FALSE))</f>
        <v>0</v>
      </c>
      <c r="X44" s="4">
        <f>(VLOOKUP('8.0.0'!AF44,'8.0.0'!$AM$4:$AP$48,4,FALSE))</f>
        <v>0</v>
      </c>
    </row>
    <row r="45" spans="1:24">
      <c r="A45" s="4">
        <f>(VLOOKUP('8.0.0'!I45,'8.0.0'!$AM$4:$AP$48,4,FALSE))</f>
        <v>38</v>
      </c>
      <c r="B45" s="4">
        <f>(VLOOKUP('8.0.0'!J45,'8.0.0'!$AM$4:$AP$48,4,FALSE))</f>
        <v>38</v>
      </c>
      <c r="C45" s="4">
        <f>(VLOOKUP('8.0.0'!K45,'8.0.0'!$AM$4:$AP$48,4,FALSE))</f>
        <v>38</v>
      </c>
      <c r="D45" s="4">
        <f>(VLOOKUP('8.0.0'!L45,'8.0.0'!$AM$4:$AP$48,4,FALSE))</f>
        <v>38</v>
      </c>
      <c r="E45" s="4">
        <f>(VLOOKUP('8.0.0'!M45,'8.0.0'!$AM$4:$AP$48,4,FALSE))</f>
        <v>0</v>
      </c>
      <c r="F45" s="4">
        <f>(VLOOKUP('8.0.0'!N45,'8.0.0'!$AM$4:$AP$48,4,FALSE))</f>
        <v>38</v>
      </c>
      <c r="G45" s="4">
        <f>(VLOOKUP('8.0.0'!O45,'8.0.0'!$AM$4:$AP$48,4,FALSE))</f>
        <v>38</v>
      </c>
      <c r="H45" s="4">
        <f>(VLOOKUP('8.0.0'!P45,'8.0.0'!$AM$4:$AP$48,4,FALSE))</f>
        <v>38</v>
      </c>
      <c r="I45" s="4">
        <f>(VLOOKUP('8.0.0'!Q45,'8.0.0'!$AM$4:$AP$48,4,FALSE))</f>
        <v>0</v>
      </c>
      <c r="J45" s="4">
        <f>(VLOOKUP('8.0.0'!R45,'8.0.0'!$AM$4:$AP$48,4,FALSE))</f>
        <v>0</v>
      </c>
      <c r="K45" s="4">
        <f>(VLOOKUP('8.0.0'!S45,'8.0.0'!$AM$4:$AP$48,4,FALSE))</f>
        <v>0</v>
      </c>
      <c r="L45" s="4">
        <f>(VLOOKUP('8.0.0'!T45,'8.0.0'!$AM$4:$AP$48,4,FALSE))</f>
        <v>0</v>
      </c>
      <c r="M45" s="4">
        <f>(VLOOKUP('8.0.0'!U45,'8.0.0'!$AM$4:$AP$48,4,FALSE))</f>
        <v>0</v>
      </c>
      <c r="N45" s="4">
        <f>(VLOOKUP('8.0.0'!V45,'8.0.0'!$AM$4:$AP$48,4,FALSE))</f>
        <v>0</v>
      </c>
      <c r="O45" s="4">
        <f>(VLOOKUP('8.0.0'!W45,'8.0.0'!$AM$4:$AP$48,4,FALSE))</f>
        <v>0</v>
      </c>
      <c r="P45" s="4">
        <f>(VLOOKUP('8.0.0'!X45,'8.0.0'!$AM$4:$AP$48,4,FALSE))</f>
        <v>0</v>
      </c>
      <c r="Q45" s="4">
        <f>(VLOOKUP('8.0.0'!Y45,'8.0.0'!$AM$4:$AP$48,4,FALSE))</f>
        <v>36</v>
      </c>
      <c r="R45" s="4">
        <f>(VLOOKUP('8.0.0'!Z45,'8.0.0'!$AM$4:$AP$48,4,FALSE))</f>
        <v>36</v>
      </c>
      <c r="S45" s="4">
        <f>(VLOOKUP('8.0.0'!AA45,'8.0.0'!$AM$4:$AP$48,4,FALSE))</f>
        <v>10</v>
      </c>
      <c r="T45" s="4">
        <f>(VLOOKUP('8.0.0'!AB45,'8.0.0'!$AM$4:$AP$48,4,FALSE))</f>
        <v>36</v>
      </c>
      <c r="U45" s="4">
        <f>(VLOOKUP('8.0.0'!AC45,'8.0.0'!$AM$4:$AP$48,4,FALSE))</f>
        <v>36</v>
      </c>
      <c r="V45" s="4">
        <f>(VLOOKUP('8.0.0'!AD45,'8.0.0'!$AM$4:$AP$48,4,FALSE))</f>
        <v>0</v>
      </c>
      <c r="W45" s="4">
        <f>(VLOOKUP('8.0.0'!AE45,'8.0.0'!$AM$4:$AP$48,4,FALSE))</f>
        <v>0</v>
      </c>
      <c r="X45" s="4">
        <f>(VLOOKUP('8.0.0'!AF45,'8.0.0'!$AM$4:$AP$48,4,FALSE))</f>
        <v>0</v>
      </c>
    </row>
    <row r="46" spans="1:24">
      <c r="A46" s="4">
        <f>(VLOOKUP('8.0.0'!I46,'8.0.0'!$AM$4:$AP$48,4,FALSE))</f>
        <v>38</v>
      </c>
      <c r="B46" s="4">
        <f>(VLOOKUP('8.0.0'!J46,'8.0.0'!$AM$4:$AP$48,4,FALSE))</f>
        <v>38</v>
      </c>
      <c r="C46" s="4">
        <f>(VLOOKUP('8.0.0'!K46,'8.0.0'!$AM$4:$AP$48,4,FALSE))</f>
        <v>38</v>
      </c>
      <c r="D46" s="4">
        <f>(VLOOKUP('8.0.0'!L46,'8.0.0'!$AM$4:$AP$48,4,FALSE))</f>
        <v>38</v>
      </c>
      <c r="E46" s="4">
        <f>(VLOOKUP('8.0.0'!M46,'8.0.0'!$AM$4:$AP$48,4,FALSE))</f>
        <v>38</v>
      </c>
      <c r="F46" s="4">
        <f>(VLOOKUP('8.0.0'!N46,'8.0.0'!$AM$4:$AP$48,4,FALSE))</f>
        <v>38</v>
      </c>
      <c r="G46" s="4">
        <f>(VLOOKUP('8.0.0'!O46,'8.0.0'!$AM$4:$AP$48,4,FALSE))</f>
        <v>0</v>
      </c>
      <c r="H46" s="4">
        <f>(VLOOKUP('8.0.0'!P46,'8.0.0'!$AM$4:$AP$48,4,FALSE))</f>
        <v>0</v>
      </c>
      <c r="I46" s="4">
        <f>(VLOOKUP('8.0.0'!Q46,'8.0.0'!$AM$4:$AP$48,4,FALSE))</f>
        <v>0</v>
      </c>
      <c r="J46" s="4">
        <f>(VLOOKUP('8.0.0'!R46,'8.0.0'!$AM$4:$AP$48,4,FALSE))</f>
        <v>0</v>
      </c>
      <c r="K46" s="4">
        <f>(VLOOKUP('8.0.0'!S46,'8.0.0'!$AM$4:$AP$48,4,FALSE))</f>
        <v>0</v>
      </c>
      <c r="L46" s="4">
        <f>(VLOOKUP('8.0.0'!T46,'8.0.0'!$AM$4:$AP$48,4,FALSE))</f>
        <v>0</v>
      </c>
      <c r="M46" s="4">
        <f>(VLOOKUP('8.0.0'!U46,'8.0.0'!$AM$4:$AP$48,4,FALSE))</f>
        <v>0</v>
      </c>
      <c r="N46" s="4">
        <f>(VLOOKUP('8.0.0'!V46,'8.0.0'!$AM$4:$AP$48,4,FALSE))</f>
        <v>0</v>
      </c>
      <c r="O46" s="4">
        <f>(VLOOKUP('8.0.0'!W46,'8.0.0'!$AM$4:$AP$48,4,FALSE))</f>
        <v>0</v>
      </c>
      <c r="P46" s="4">
        <f>(VLOOKUP('8.0.0'!X46,'8.0.0'!$AM$4:$AP$48,4,FALSE))</f>
        <v>0</v>
      </c>
      <c r="Q46" s="4">
        <f>(VLOOKUP('8.0.0'!Y46,'8.0.0'!$AM$4:$AP$48,4,FALSE))</f>
        <v>36</v>
      </c>
      <c r="R46" s="4">
        <f>(VLOOKUP('8.0.0'!Z46,'8.0.0'!$AM$4:$AP$48,4,FALSE))</f>
        <v>36</v>
      </c>
      <c r="S46" s="4">
        <f>(VLOOKUP('8.0.0'!AA46,'8.0.0'!$AM$4:$AP$48,4,FALSE))</f>
        <v>36</v>
      </c>
      <c r="T46" s="4">
        <f>(VLOOKUP('8.0.0'!AB46,'8.0.0'!$AM$4:$AP$48,4,FALSE))</f>
        <v>36</v>
      </c>
      <c r="U46" s="4">
        <f>(VLOOKUP('8.0.0'!AC46,'8.0.0'!$AM$4:$AP$48,4,FALSE))</f>
        <v>36</v>
      </c>
      <c r="V46" s="4">
        <f>(VLOOKUP('8.0.0'!AD46,'8.0.0'!$AM$4:$AP$48,4,FALSE))</f>
        <v>0</v>
      </c>
      <c r="W46" s="4">
        <f>(VLOOKUP('8.0.0'!AE46,'8.0.0'!$AM$4:$AP$48,4,FALSE))</f>
        <v>0</v>
      </c>
      <c r="X46" s="4">
        <f>(VLOOKUP('8.0.0'!AF46,'8.0.0'!$AM$4:$AP$48,4,FALSE))</f>
        <v>0</v>
      </c>
    </row>
    <row r="47" spans="1:24">
      <c r="A47" s="4">
        <f>(VLOOKUP('8.0.0'!I47,'8.0.0'!$AM$4:$AP$48,4,FALSE))</f>
        <v>38</v>
      </c>
      <c r="B47" s="4">
        <f>(VLOOKUP('8.0.0'!J47,'8.0.0'!$AM$4:$AP$48,4,FALSE))</f>
        <v>38</v>
      </c>
      <c r="C47" s="4">
        <f>(VLOOKUP('8.0.0'!K47,'8.0.0'!$AM$4:$AP$48,4,FALSE))</f>
        <v>38</v>
      </c>
      <c r="D47" s="4">
        <f>(VLOOKUP('8.0.0'!L47,'8.0.0'!$AM$4:$AP$48,4,FALSE))</f>
        <v>38</v>
      </c>
      <c r="E47" s="4">
        <f>(VLOOKUP('8.0.0'!M47,'8.0.0'!$AM$4:$AP$48,4,FALSE))</f>
        <v>38</v>
      </c>
      <c r="F47" s="4">
        <f>(VLOOKUP('8.0.0'!N47,'8.0.0'!$AM$4:$AP$48,4,FALSE))</f>
        <v>38</v>
      </c>
      <c r="G47" s="4">
        <f>(VLOOKUP('8.0.0'!O47,'8.0.0'!$AM$4:$AP$48,4,FALSE))</f>
        <v>0</v>
      </c>
      <c r="H47" s="4">
        <f>(VLOOKUP('8.0.0'!P47,'8.0.0'!$AM$4:$AP$48,4,FALSE))</f>
        <v>0</v>
      </c>
      <c r="I47" s="4">
        <f>(VLOOKUP('8.0.0'!Q47,'8.0.0'!$AM$4:$AP$48,4,FALSE))</f>
        <v>0</v>
      </c>
      <c r="J47" s="4">
        <f>(VLOOKUP('8.0.0'!R47,'8.0.0'!$AM$4:$AP$48,4,FALSE))</f>
        <v>0</v>
      </c>
      <c r="K47" s="4">
        <f>(VLOOKUP('8.0.0'!S47,'8.0.0'!$AM$4:$AP$48,4,FALSE))</f>
        <v>0</v>
      </c>
      <c r="L47" s="4">
        <f>(VLOOKUP('8.0.0'!T47,'8.0.0'!$AM$4:$AP$48,4,FALSE))</f>
        <v>0</v>
      </c>
      <c r="M47" s="4">
        <f>(VLOOKUP('8.0.0'!U47,'8.0.0'!$AM$4:$AP$48,4,FALSE))</f>
        <v>0</v>
      </c>
      <c r="N47" s="4">
        <f>(VLOOKUP('8.0.0'!V47,'8.0.0'!$AM$4:$AP$48,4,FALSE))</f>
        <v>0</v>
      </c>
      <c r="O47" s="4">
        <f>(VLOOKUP('8.0.0'!W47,'8.0.0'!$AM$4:$AP$48,4,FALSE))</f>
        <v>0</v>
      </c>
      <c r="P47" s="4">
        <f>(VLOOKUP('8.0.0'!X47,'8.0.0'!$AM$4:$AP$48,4,FALSE))</f>
        <v>0</v>
      </c>
      <c r="Q47" s="4">
        <f>(VLOOKUP('8.0.0'!Y47,'8.0.0'!$AM$4:$AP$48,4,FALSE))</f>
        <v>36</v>
      </c>
      <c r="R47" s="4">
        <f>(VLOOKUP('8.0.0'!Z47,'8.0.0'!$AM$4:$AP$48,4,FALSE))</f>
        <v>36</v>
      </c>
      <c r="S47" s="4">
        <f>(VLOOKUP('8.0.0'!AA47,'8.0.0'!$AM$4:$AP$48,4,FALSE))</f>
        <v>36</v>
      </c>
      <c r="T47" s="4">
        <f>(VLOOKUP('8.0.0'!AB47,'8.0.0'!$AM$4:$AP$48,4,FALSE))</f>
        <v>36</v>
      </c>
      <c r="U47" s="4">
        <f>(VLOOKUP('8.0.0'!AC47,'8.0.0'!$AM$4:$AP$48,4,FALSE))</f>
        <v>36</v>
      </c>
      <c r="V47" s="4">
        <f>(VLOOKUP('8.0.0'!AD47,'8.0.0'!$AM$4:$AP$48,4,FALSE))</f>
        <v>0</v>
      </c>
      <c r="W47" s="4">
        <f>(VLOOKUP('8.0.0'!AE47,'8.0.0'!$AM$4:$AP$48,4,FALSE))</f>
        <v>0</v>
      </c>
      <c r="X47" s="4">
        <f>(VLOOKUP('8.0.0'!AF47,'8.0.0'!$AM$4:$AP$48,4,FALSE))</f>
        <v>0</v>
      </c>
    </row>
    <row r="48" spans="1:24">
      <c r="A48" s="4">
        <f>(VLOOKUP('8.0.0'!I48,'8.0.0'!$AM$4:$AP$48,4,FALSE))</f>
        <v>38</v>
      </c>
      <c r="B48" s="4">
        <f>(VLOOKUP('8.0.0'!J48,'8.0.0'!$AM$4:$AP$48,4,FALSE))</f>
        <v>38</v>
      </c>
      <c r="C48" s="4">
        <f>(VLOOKUP('8.0.0'!K48,'8.0.0'!$AM$4:$AP$48,4,FALSE))</f>
        <v>38</v>
      </c>
      <c r="D48" s="4">
        <f>(VLOOKUP('8.0.0'!L48,'8.0.0'!$AM$4:$AP$48,4,FALSE))</f>
        <v>38</v>
      </c>
      <c r="E48" s="4">
        <f>(VLOOKUP('8.0.0'!M48,'8.0.0'!$AM$4:$AP$48,4,FALSE))</f>
        <v>38</v>
      </c>
      <c r="F48" s="4">
        <f>(VLOOKUP('8.0.0'!N48,'8.0.0'!$AM$4:$AP$48,4,FALSE))</f>
        <v>38</v>
      </c>
      <c r="G48" s="4">
        <f>(VLOOKUP('8.0.0'!O48,'8.0.0'!$AM$4:$AP$48,4,FALSE))</f>
        <v>0</v>
      </c>
      <c r="H48" s="4">
        <f>(VLOOKUP('8.0.0'!P48,'8.0.0'!$AM$4:$AP$48,4,FALSE))</f>
        <v>0</v>
      </c>
      <c r="I48" s="4">
        <f>(VLOOKUP('8.0.0'!Q48,'8.0.0'!$AM$4:$AP$48,4,FALSE))</f>
        <v>0</v>
      </c>
      <c r="J48" s="4">
        <f>(VLOOKUP('8.0.0'!R48,'8.0.0'!$AM$4:$AP$48,4,FALSE))</f>
        <v>0</v>
      </c>
      <c r="K48" s="4">
        <f>(VLOOKUP('8.0.0'!S48,'8.0.0'!$AM$4:$AP$48,4,FALSE))</f>
        <v>0</v>
      </c>
      <c r="L48" s="4">
        <f>(VLOOKUP('8.0.0'!T48,'8.0.0'!$AM$4:$AP$48,4,FALSE))</f>
        <v>0</v>
      </c>
      <c r="M48" s="4">
        <f>(VLOOKUP('8.0.0'!U48,'8.0.0'!$AM$4:$AP$48,4,FALSE))</f>
        <v>0</v>
      </c>
      <c r="N48" s="4">
        <f>(VLOOKUP('8.0.0'!V48,'8.0.0'!$AM$4:$AP$48,4,FALSE))</f>
        <v>0</v>
      </c>
      <c r="O48" s="4">
        <f>(VLOOKUP('8.0.0'!W48,'8.0.0'!$AM$4:$AP$48,4,FALSE))</f>
        <v>0</v>
      </c>
      <c r="P48" s="4">
        <f>(VLOOKUP('8.0.0'!X48,'8.0.0'!$AM$4:$AP$48,4,FALSE))</f>
        <v>0</v>
      </c>
      <c r="Q48" s="4">
        <f>(VLOOKUP('8.0.0'!Y48,'8.0.0'!$AM$4:$AP$48,4,FALSE))</f>
        <v>36</v>
      </c>
      <c r="R48" s="4">
        <f>(VLOOKUP('8.0.0'!Z48,'8.0.0'!$AM$4:$AP$48,4,FALSE))</f>
        <v>36</v>
      </c>
      <c r="S48" s="4">
        <f>(VLOOKUP('8.0.0'!AA48,'8.0.0'!$AM$4:$AP$48,4,FALSE))</f>
        <v>36</v>
      </c>
      <c r="T48" s="4">
        <f>(VLOOKUP('8.0.0'!AB48,'8.0.0'!$AM$4:$AP$48,4,FALSE))</f>
        <v>36</v>
      </c>
      <c r="U48" s="4">
        <f>(VLOOKUP('8.0.0'!AC48,'8.0.0'!$AM$4:$AP$48,4,FALSE))</f>
        <v>0</v>
      </c>
      <c r="V48" s="4">
        <f>(VLOOKUP('8.0.0'!AD48,'8.0.0'!$AM$4:$AP$48,4,FALSE))</f>
        <v>0</v>
      </c>
      <c r="W48" s="4">
        <f>(VLOOKUP('8.0.0'!AE48,'8.0.0'!$AM$4:$AP$48,4,FALSE))</f>
        <v>0</v>
      </c>
      <c r="X48" s="4">
        <f>(VLOOKUP('8.0.0'!AF48,'8.0.0'!$AM$4:$AP$48,4,FALSE))</f>
        <v>0</v>
      </c>
    </row>
    <row r="49" spans="1:24">
      <c r="A49" s="4">
        <f>(VLOOKUP('8.0.0'!I49,'8.0.0'!$AM$4:$AP$48,4,FALSE))</f>
        <v>38</v>
      </c>
      <c r="B49" s="4">
        <f>(VLOOKUP('8.0.0'!J49,'8.0.0'!$AM$4:$AP$48,4,FALSE))</f>
        <v>38</v>
      </c>
      <c r="C49" s="4">
        <f>(VLOOKUP('8.0.0'!K49,'8.0.0'!$AM$4:$AP$48,4,FALSE))</f>
        <v>38</v>
      </c>
      <c r="D49" s="4">
        <f>(VLOOKUP('8.0.0'!L49,'8.0.0'!$AM$4:$AP$48,4,FALSE))</f>
        <v>38</v>
      </c>
      <c r="E49" s="4">
        <f>(VLOOKUP('8.0.0'!M49,'8.0.0'!$AM$4:$AP$48,4,FALSE))</f>
        <v>38</v>
      </c>
      <c r="F49" s="4">
        <f>(VLOOKUP('8.0.0'!N49,'8.0.0'!$AM$4:$AP$48,4,FALSE))</f>
        <v>0</v>
      </c>
      <c r="G49" s="4">
        <f>(VLOOKUP('8.0.0'!O49,'8.0.0'!$AM$4:$AP$48,4,FALSE))</f>
        <v>0</v>
      </c>
      <c r="H49" s="4">
        <f>(VLOOKUP('8.0.0'!P49,'8.0.0'!$AM$4:$AP$48,4,FALSE))</f>
        <v>0</v>
      </c>
      <c r="I49" s="4">
        <f>(VLOOKUP('8.0.0'!Q49,'8.0.0'!$AM$4:$AP$48,4,FALSE))</f>
        <v>0</v>
      </c>
      <c r="J49" s="4">
        <f>(VLOOKUP('8.0.0'!R49,'8.0.0'!$AM$4:$AP$48,4,FALSE))</f>
        <v>0</v>
      </c>
      <c r="K49" s="4">
        <f>(VLOOKUP('8.0.0'!S49,'8.0.0'!$AM$4:$AP$48,4,FALSE))</f>
        <v>0</v>
      </c>
      <c r="L49" s="4">
        <f>(VLOOKUP('8.0.0'!T49,'8.0.0'!$AM$4:$AP$48,4,FALSE))</f>
        <v>0</v>
      </c>
      <c r="M49" s="4">
        <f>(VLOOKUP('8.0.0'!U49,'8.0.0'!$AM$4:$AP$48,4,FALSE))</f>
        <v>0</v>
      </c>
      <c r="N49" s="4">
        <f>(VLOOKUP('8.0.0'!V49,'8.0.0'!$AM$4:$AP$48,4,FALSE))</f>
        <v>0</v>
      </c>
      <c r="O49" s="4">
        <f>(VLOOKUP('8.0.0'!W49,'8.0.0'!$AM$4:$AP$48,4,FALSE))</f>
        <v>0</v>
      </c>
      <c r="P49" s="4">
        <f>(VLOOKUP('8.0.0'!X49,'8.0.0'!$AM$4:$AP$48,4,FALSE))</f>
        <v>0</v>
      </c>
      <c r="Q49" s="4">
        <f>(VLOOKUP('8.0.0'!Y49,'8.0.0'!$AM$4:$AP$48,4,FALSE))</f>
        <v>36</v>
      </c>
      <c r="R49" s="4">
        <f>(VLOOKUP('8.0.0'!Z49,'8.0.0'!$AM$4:$AP$48,4,FALSE))</f>
        <v>36</v>
      </c>
      <c r="S49" s="4">
        <f>(VLOOKUP('8.0.0'!AA49,'8.0.0'!$AM$4:$AP$48,4,FALSE))</f>
        <v>36</v>
      </c>
      <c r="T49" s="4">
        <f>(VLOOKUP('8.0.0'!AB49,'8.0.0'!$AM$4:$AP$48,4,FALSE))</f>
        <v>10</v>
      </c>
      <c r="U49" s="4">
        <f>(VLOOKUP('8.0.0'!AC49,'8.0.0'!$AM$4:$AP$48,4,FALSE))</f>
        <v>36</v>
      </c>
      <c r="V49" s="4">
        <f>(VLOOKUP('8.0.0'!AD49,'8.0.0'!$AM$4:$AP$48,4,FALSE))</f>
        <v>36</v>
      </c>
      <c r="W49" s="4">
        <f>(VLOOKUP('8.0.0'!AE49,'8.0.0'!$AM$4:$AP$48,4,FALSE))</f>
        <v>0</v>
      </c>
      <c r="X49" s="4">
        <f>(VLOOKUP('8.0.0'!AF49,'8.0.0'!$AM$4:$AP$48,4,FALSE))</f>
        <v>0</v>
      </c>
    </row>
    <row r="50" spans="1:24">
      <c r="A50" s="4">
        <f>(VLOOKUP('8.0.0'!I50,'8.0.0'!$AM$4:$AP$48,4,FALSE))</f>
        <v>0</v>
      </c>
      <c r="B50" s="4">
        <f>(VLOOKUP('8.0.0'!J50,'8.0.0'!$AM$4:$AP$48,4,FALSE))</f>
        <v>0</v>
      </c>
      <c r="C50" s="4">
        <f>(VLOOKUP('8.0.0'!K50,'8.0.0'!$AM$4:$AP$48,4,FALSE))</f>
        <v>0</v>
      </c>
      <c r="D50" s="4">
        <f>(VLOOKUP('8.0.0'!L50,'8.0.0'!$AM$4:$AP$48,4,FALSE))</f>
        <v>0</v>
      </c>
      <c r="E50" s="4">
        <f>(VLOOKUP('8.0.0'!M50,'8.0.0'!$AM$4:$AP$48,4,FALSE))</f>
        <v>0</v>
      </c>
      <c r="F50" s="4">
        <f>(VLOOKUP('8.0.0'!N50,'8.0.0'!$AM$4:$AP$48,4,FALSE))</f>
        <v>0</v>
      </c>
      <c r="G50" s="4">
        <f>(VLOOKUP('8.0.0'!O50,'8.0.0'!$AM$4:$AP$48,4,FALSE))</f>
        <v>0</v>
      </c>
      <c r="H50" s="4">
        <f>(VLOOKUP('8.0.0'!P50,'8.0.0'!$AM$4:$AP$48,4,FALSE))</f>
        <v>0</v>
      </c>
      <c r="I50" s="4">
        <f>(VLOOKUP('8.0.0'!Q50,'8.0.0'!$AM$4:$AP$48,4,FALSE))</f>
        <v>0</v>
      </c>
      <c r="J50" s="4">
        <f>(VLOOKUP('8.0.0'!R50,'8.0.0'!$AM$4:$AP$48,4,FALSE))</f>
        <v>0</v>
      </c>
      <c r="K50" s="4">
        <f>(VLOOKUP('8.0.0'!S50,'8.0.0'!$AM$4:$AP$48,4,FALSE))</f>
        <v>0</v>
      </c>
      <c r="L50" s="4">
        <f>(VLOOKUP('8.0.0'!T50,'8.0.0'!$AM$4:$AP$48,4,FALSE))</f>
        <v>0</v>
      </c>
      <c r="M50" s="4">
        <f>(VLOOKUP('8.0.0'!U50,'8.0.0'!$AM$4:$AP$48,4,FALSE))</f>
        <v>0</v>
      </c>
      <c r="N50" s="4">
        <f>(VLOOKUP('8.0.0'!V50,'8.0.0'!$AM$4:$AP$48,4,FALSE))</f>
        <v>0</v>
      </c>
      <c r="O50" s="4">
        <f>(VLOOKUP('8.0.0'!W50,'8.0.0'!$AM$4:$AP$48,4,FALSE))</f>
        <v>0</v>
      </c>
      <c r="P50" s="4">
        <f>(VLOOKUP('8.0.0'!X50,'8.0.0'!$AM$4:$AP$48,4,FALSE))</f>
        <v>0</v>
      </c>
      <c r="Q50" s="4">
        <f>(VLOOKUP('8.0.0'!Y50,'8.0.0'!$AM$4:$AP$48,4,FALSE))</f>
        <v>36</v>
      </c>
      <c r="R50" s="4">
        <f>(VLOOKUP('8.0.0'!Z50,'8.0.0'!$AM$4:$AP$48,4,FALSE))</f>
        <v>36</v>
      </c>
      <c r="S50" s="4">
        <f>(VLOOKUP('8.0.0'!AA50,'8.0.0'!$AM$4:$AP$48,4,FALSE))</f>
        <v>36</v>
      </c>
      <c r="T50" s="4">
        <f>(VLOOKUP('8.0.0'!AB50,'8.0.0'!$AM$4:$AP$48,4,FALSE))</f>
        <v>36</v>
      </c>
      <c r="U50" s="4">
        <f>(VLOOKUP('8.0.0'!AC50,'8.0.0'!$AM$4:$AP$48,4,FALSE))</f>
        <v>0</v>
      </c>
      <c r="V50" s="4">
        <f>(VLOOKUP('8.0.0'!AD50,'8.0.0'!$AM$4:$AP$48,4,FALSE))</f>
        <v>0</v>
      </c>
      <c r="W50" s="4">
        <f>(VLOOKUP('8.0.0'!AE50,'8.0.0'!$AM$4:$AP$48,4,FALSE))</f>
        <v>0</v>
      </c>
      <c r="X50" s="4">
        <f>(VLOOKUP('8.0.0'!AF50,'8.0.0'!$AM$4:$AP$48,4,FALSE))</f>
        <v>0</v>
      </c>
    </row>
    <row r="51" spans="1:24">
      <c r="A51" s="4">
        <f>(VLOOKUP('8.0.0'!I51,'8.0.0'!$AM$4:$AP$48,4,FALSE))</f>
        <v>0</v>
      </c>
      <c r="B51" s="4">
        <f>(VLOOKUP('8.0.0'!J51,'8.0.0'!$AM$4:$AP$48,4,FALSE))</f>
        <v>0</v>
      </c>
      <c r="C51" s="4">
        <f>(VLOOKUP('8.0.0'!K51,'8.0.0'!$AM$4:$AP$48,4,FALSE))</f>
        <v>0</v>
      </c>
      <c r="D51" s="4">
        <f>(VLOOKUP('8.0.0'!L51,'8.0.0'!$AM$4:$AP$48,4,FALSE))</f>
        <v>0</v>
      </c>
      <c r="E51" s="4">
        <f>(VLOOKUP('8.0.0'!M51,'8.0.0'!$AM$4:$AP$48,4,FALSE))</f>
        <v>0</v>
      </c>
      <c r="F51" s="4">
        <f>(VLOOKUP('8.0.0'!N51,'8.0.0'!$AM$4:$AP$48,4,FALSE))</f>
        <v>0</v>
      </c>
      <c r="G51" s="4">
        <f>(VLOOKUP('8.0.0'!O51,'8.0.0'!$AM$4:$AP$48,4,FALSE))</f>
        <v>0</v>
      </c>
      <c r="H51" s="4">
        <f>(VLOOKUP('8.0.0'!P51,'8.0.0'!$AM$4:$AP$48,4,FALSE))</f>
        <v>0</v>
      </c>
      <c r="I51" s="4">
        <f>(VLOOKUP('8.0.0'!Q51,'8.0.0'!$AM$4:$AP$48,4,FALSE))</f>
        <v>0</v>
      </c>
      <c r="J51" s="4">
        <f>(VLOOKUP('8.0.0'!R51,'8.0.0'!$AM$4:$AP$48,4,FALSE))</f>
        <v>0</v>
      </c>
      <c r="K51" s="4">
        <f>(VLOOKUP('8.0.0'!S51,'8.0.0'!$AM$4:$AP$48,4,FALSE))</f>
        <v>0</v>
      </c>
      <c r="L51" s="4">
        <f>(VLOOKUP('8.0.0'!T51,'8.0.0'!$AM$4:$AP$48,4,FALSE))</f>
        <v>0</v>
      </c>
      <c r="M51" s="4">
        <f>(VLOOKUP('8.0.0'!U51,'8.0.0'!$AM$4:$AP$48,4,FALSE))</f>
        <v>0</v>
      </c>
      <c r="N51" s="4">
        <f>(VLOOKUP('8.0.0'!V51,'8.0.0'!$AM$4:$AP$48,4,FALSE))</f>
        <v>0</v>
      </c>
      <c r="O51" s="4">
        <f>(VLOOKUP('8.0.0'!W51,'8.0.0'!$AM$4:$AP$48,4,FALSE))</f>
        <v>0</v>
      </c>
      <c r="P51" s="4">
        <f>(VLOOKUP('8.0.0'!X51,'8.0.0'!$AM$4:$AP$48,4,FALSE))</f>
        <v>0</v>
      </c>
      <c r="Q51" s="4">
        <f>(VLOOKUP('8.0.0'!Y51,'8.0.0'!$AM$4:$AP$48,4,FALSE))</f>
        <v>36</v>
      </c>
      <c r="R51" s="4">
        <f>(VLOOKUP('8.0.0'!Z51,'8.0.0'!$AM$4:$AP$48,4,FALSE))</f>
        <v>0</v>
      </c>
      <c r="S51" s="4">
        <f>(VLOOKUP('8.0.0'!AA51,'8.0.0'!$AM$4:$AP$48,4,FALSE))</f>
        <v>36</v>
      </c>
      <c r="T51" s="4">
        <f>(VLOOKUP('8.0.0'!AB51,'8.0.0'!$AM$4:$AP$48,4,FALSE))</f>
        <v>36</v>
      </c>
      <c r="U51" s="4">
        <f>(VLOOKUP('8.0.0'!AC51,'8.0.0'!$AM$4:$AP$48,4,FALSE))</f>
        <v>36</v>
      </c>
      <c r="V51" s="4">
        <f>(VLOOKUP('8.0.0'!AD51,'8.0.0'!$AM$4:$AP$48,4,FALSE))</f>
        <v>0</v>
      </c>
      <c r="W51" s="4">
        <f>(VLOOKUP('8.0.0'!AE51,'8.0.0'!$AM$4:$AP$48,4,FALSE))</f>
        <v>0</v>
      </c>
      <c r="X51" s="4">
        <f>(VLOOKUP('8.0.0'!AF51,'8.0.0'!$AM$4:$AP$48,4,FALSE))</f>
        <v>0</v>
      </c>
    </row>
    <row r="52" spans="1:24">
      <c r="A52" s="4">
        <f>(VLOOKUP('8.0.0'!I52,'8.0.0'!$AM$4:$AP$48,4,FALSE))</f>
        <v>0</v>
      </c>
      <c r="B52" s="4">
        <f>(VLOOKUP('8.0.0'!J52,'8.0.0'!$AM$4:$AP$48,4,FALSE))</f>
        <v>0</v>
      </c>
      <c r="C52" s="4">
        <f>(VLOOKUP('8.0.0'!K52,'8.0.0'!$AM$4:$AP$48,4,FALSE))</f>
        <v>0</v>
      </c>
      <c r="D52" s="4">
        <f>(VLOOKUP('8.0.0'!L52,'8.0.0'!$AM$4:$AP$48,4,FALSE))</f>
        <v>0</v>
      </c>
      <c r="E52" s="4">
        <f>(VLOOKUP('8.0.0'!M52,'8.0.0'!$AM$4:$AP$48,4,FALSE))</f>
        <v>0</v>
      </c>
      <c r="F52" s="4">
        <f>(VLOOKUP('8.0.0'!N52,'8.0.0'!$AM$4:$AP$48,4,FALSE))</f>
        <v>0</v>
      </c>
      <c r="G52" s="4">
        <f>(VLOOKUP('8.0.0'!O52,'8.0.0'!$AM$4:$AP$48,4,FALSE))</f>
        <v>0</v>
      </c>
      <c r="H52" s="4">
        <f>(VLOOKUP('8.0.0'!P52,'8.0.0'!$AM$4:$AP$48,4,FALSE))</f>
        <v>0</v>
      </c>
      <c r="I52" s="4">
        <f>(VLOOKUP('8.0.0'!Q52,'8.0.0'!$AM$4:$AP$48,4,FALSE))</f>
        <v>0</v>
      </c>
      <c r="J52" s="4">
        <f>(VLOOKUP('8.0.0'!R52,'8.0.0'!$AM$4:$AP$48,4,FALSE))</f>
        <v>0</v>
      </c>
      <c r="K52" s="4">
        <f>(VLOOKUP('8.0.0'!S52,'8.0.0'!$AM$4:$AP$48,4,FALSE))</f>
        <v>0</v>
      </c>
      <c r="L52" s="4">
        <f>(VLOOKUP('8.0.0'!T52,'8.0.0'!$AM$4:$AP$48,4,FALSE))</f>
        <v>0</v>
      </c>
      <c r="M52" s="4">
        <f>(VLOOKUP('8.0.0'!U52,'8.0.0'!$AM$4:$AP$48,4,FALSE))</f>
        <v>0</v>
      </c>
      <c r="N52" s="4">
        <f>(VLOOKUP('8.0.0'!V52,'8.0.0'!$AM$4:$AP$48,4,FALSE))</f>
        <v>0</v>
      </c>
      <c r="O52" s="4">
        <f>(VLOOKUP('8.0.0'!W52,'8.0.0'!$AM$4:$AP$48,4,FALSE))</f>
        <v>0</v>
      </c>
      <c r="P52" s="4">
        <f>(VLOOKUP('8.0.0'!X52,'8.0.0'!$AM$4:$AP$48,4,FALSE))</f>
        <v>0</v>
      </c>
      <c r="Q52" s="4">
        <f>(VLOOKUP('8.0.0'!Y52,'8.0.0'!$AM$4:$AP$48,4,FALSE))</f>
        <v>36</v>
      </c>
      <c r="R52" s="4">
        <f>(VLOOKUP('8.0.0'!Z52,'8.0.0'!$AM$4:$AP$48,4,FALSE))</f>
        <v>38</v>
      </c>
      <c r="S52" s="4">
        <f>(VLOOKUP('8.0.0'!AA52,'8.0.0'!$AM$4:$AP$48,4,FALSE))</f>
        <v>38</v>
      </c>
      <c r="T52" s="4">
        <f>(VLOOKUP('8.0.0'!AB52,'8.0.0'!$AM$4:$AP$48,4,FALSE))</f>
        <v>38</v>
      </c>
      <c r="U52" s="4">
        <f>(VLOOKUP('8.0.0'!AC52,'8.0.0'!$AM$4:$AP$48,4,FALSE))</f>
        <v>0</v>
      </c>
      <c r="V52" s="4">
        <f>(VLOOKUP('8.0.0'!AD52,'8.0.0'!$AM$4:$AP$48,4,FALSE))</f>
        <v>0</v>
      </c>
      <c r="W52" s="4">
        <f>(VLOOKUP('8.0.0'!AE52,'8.0.0'!$AM$4:$AP$48,4,FALSE))</f>
        <v>0</v>
      </c>
      <c r="X52" s="4">
        <f>(VLOOKUP('8.0.0'!AF52,'8.0.0'!$AM$4:$AP$48,4,FALSE))</f>
        <v>0</v>
      </c>
    </row>
    <row r="53" spans="1:24">
      <c r="A53" s="4">
        <f>(VLOOKUP('8.0.0'!I53,'8.0.0'!$AM$4:$AP$48,4,FALSE))</f>
        <v>0</v>
      </c>
      <c r="B53" s="4">
        <f>(VLOOKUP('8.0.0'!J53,'8.0.0'!$AM$4:$AP$48,4,FALSE))</f>
        <v>0</v>
      </c>
      <c r="C53" s="4">
        <f>(VLOOKUP('8.0.0'!K53,'8.0.0'!$AM$4:$AP$48,4,FALSE))</f>
        <v>0</v>
      </c>
      <c r="D53" s="4">
        <f>(VLOOKUP('8.0.0'!L53,'8.0.0'!$AM$4:$AP$48,4,FALSE))</f>
        <v>0</v>
      </c>
      <c r="E53" s="4">
        <f>(VLOOKUP('8.0.0'!M53,'8.0.0'!$AM$4:$AP$48,4,FALSE))</f>
        <v>0</v>
      </c>
      <c r="F53" s="4">
        <f>(VLOOKUP('8.0.0'!N53,'8.0.0'!$AM$4:$AP$48,4,FALSE))</f>
        <v>0</v>
      </c>
      <c r="G53" s="4">
        <f>(VLOOKUP('8.0.0'!O53,'8.0.0'!$AM$4:$AP$48,4,FALSE))</f>
        <v>0</v>
      </c>
      <c r="H53" s="4">
        <f>(VLOOKUP('8.0.0'!P53,'8.0.0'!$AM$4:$AP$48,4,FALSE))</f>
        <v>0</v>
      </c>
      <c r="I53" s="4">
        <f>(VLOOKUP('8.0.0'!Q53,'8.0.0'!$AM$4:$AP$48,4,FALSE))</f>
        <v>0</v>
      </c>
      <c r="J53" s="4">
        <f>(VLOOKUP('8.0.0'!R53,'8.0.0'!$AM$4:$AP$48,4,FALSE))</f>
        <v>0</v>
      </c>
      <c r="K53" s="4">
        <f>(VLOOKUP('8.0.0'!S53,'8.0.0'!$AM$4:$AP$48,4,FALSE))</f>
        <v>0</v>
      </c>
      <c r="L53" s="4">
        <f>(VLOOKUP('8.0.0'!T53,'8.0.0'!$AM$4:$AP$48,4,FALSE))</f>
        <v>0</v>
      </c>
      <c r="M53" s="4">
        <f>(VLOOKUP('8.0.0'!U53,'8.0.0'!$AM$4:$AP$48,4,FALSE))</f>
        <v>0</v>
      </c>
      <c r="N53" s="4">
        <f>(VLOOKUP('8.0.0'!V53,'8.0.0'!$AM$4:$AP$48,4,FALSE))</f>
        <v>0</v>
      </c>
      <c r="O53" s="4">
        <f>(VLOOKUP('8.0.0'!W53,'8.0.0'!$AM$4:$AP$48,4,FALSE))</f>
        <v>0</v>
      </c>
      <c r="P53" s="4">
        <f>(VLOOKUP('8.0.0'!X53,'8.0.0'!$AM$4:$AP$48,4,FALSE))</f>
        <v>0</v>
      </c>
      <c r="Q53" s="4">
        <f>(VLOOKUP('8.0.0'!Y53,'8.0.0'!$AM$4:$AP$48,4,FALSE))</f>
        <v>38</v>
      </c>
      <c r="R53" s="4">
        <f>(VLOOKUP('8.0.0'!Z53,'8.0.0'!$AM$4:$AP$48,4,FALSE))</f>
        <v>38</v>
      </c>
      <c r="S53" s="4">
        <f>(VLOOKUP('8.0.0'!AA53,'8.0.0'!$AM$4:$AP$48,4,FALSE))</f>
        <v>38</v>
      </c>
      <c r="T53" s="4">
        <f>(VLOOKUP('8.0.0'!AB53,'8.0.0'!$AM$4:$AP$48,4,FALSE))</f>
        <v>0</v>
      </c>
      <c r="U53" s="4">
        <f>(VLOOKUP('8.0.0'!AC53,'8.0.0'!$AM$4:$AP$48,4,FALSE))</f>
        <v>38</v>
      </c>
      <c r="V53" s="4">
        <f>(VLOOKUP('8.0.0'!AD53,'8.0.0'!$AM$4:$AP$48,4,FALSE))</f>
        <v>38</v>
      </c>
      <c r="W53" s="4">
        <f>(VLOOKUP('8.0.0'!AE53,'8.0.0'!$AM$4:$AP$48,4,FALSE))</f>
        <v>0</v>
      </c>
      <c r="X53" s="4">
        <f>(VLOOKUP('8.0.0'!AF53,'8.0.0'!$AM$4:$AP$48,4,FALSE))</f>
        <v>0</v>
      </c>
    </row>
    <row r="54" spans="1:24">
      <c r="A54" s="4">
        <f>(VLOOKUP('8.0.0'!I54,'8.0.0'!$AM$4:$AP$48,4,FALSE))</f>
        <v>0</v>
      </c>
      <c r="B54" s="4">
        <f>(VLOOKUP('8.0.0'!J54,'8.0.0'!$AM$4:$AP$48,4,FALSE))</f>
        <v>0</v>
      </c>
      <c r="C54" s="4">
        <f>(VLOOKUP('8.0.0'!K54,'8.0.0'!$AM$4:$AP$48,4,FALSE))</f>
        <v>0</v>
      </c>
      <c r="D54" s="4">
        <f>(VLOOKUP('8.0.0'!L54,'8.0.0'!$AM$4:$AP$48,4,FALSE))</f>
        <v>0</v>
      </c>
      <c r="E54" s="4">
        <f>(VLOOKUP('8.0.0'!M54,'8.0.0'!$AM$4:$AP$48,4,FALSE))</f>
        <v>0</v>
      </c>
      <c r="F54" s="4">
        <f>(VLOOKUP('8.0.0'!N54,'8.0.0'!$AM$4:$AP$48,4,FALSE))</f>
        <v>0</v>
      </c>
      <c r="G54" s="4">
        <f>(VLOOKUP('8.0.0'!O54,'8.0.0'!$AM$4:$AP$48,4,FALSE))</f>
        <v>0</v>
      </c>
      <c r="H54" s="4">
        <f>(VLOOKUP('8.0.0'!P54,'8.0.0'!$AM$4:$AP$48,4,FALSE))</f>
        <v>0</v>
      </c>
      <c r="I54" s="4">
        <f>(VLOOKUP('8.0.0'!Q54,'8.0.0'!$AM$4:$AP$48,4,FALSE))</f>
        <v>0</v>
      </c>
      <c r="J54" s="4">
        <f>(VLOOKUP('8.0.0'!R54,'8.0.0'!$AM$4:$AP$48,4,FALSE))</f>
        <v>0</v>
      </c>
      <c r="K54" s="4">
        <f>(VLOOKUP('8.0.0'!S54,'8.0.0'!$AM$4:$AP$48,4,FALSE))</f>
        <v>0</v>
      </c>
      <c r="L54" s="4">
        <f>(VLOOKUP('8.0.0'!T54,'8.0.0'!$AM$4:$AP$48,4,FALSE))</f>
        <v>0</v>
      </c>
      <c r="M54" s="4">
        <f>(VLOOKUP('8.0.0'!U54,'8.0.0'!$AM$4:$AP$48,4,FALSE))</f>
        <v>0</v>
      </c>
      <c r="N54" s="4">
        <f>(VLOOKUP('8.0.0'!V54,'8.0.0'!$AM$4:$AP$48,4,FALSE))</f>
        <v>0</v>
      </c>
      <c r="O54" s="4">
        <f>(VLOOKUP('8.0.0'!W54,'8.0.0'!$AM$4:$AP$48,4,FALSE))</f>
        <v>0</v>
      </c>
      <c r="P54" s="4">
        <f>(VLOOKUP('8.0.0'!X54,'8.0.0'!$AM$4:$AP$48,4,FALSE))</f>
        <v>0</v>
      </c>
      <c r="Q54" s="4">
        <f>(VLOOKUP('8.0.0'!Y54,'8.0.0'!$AM$4:$AP$48,4,FALSE))</f>
        <v>38</v>
      </c>
      <c r="R54" s="4">
        <f>(VLOOKUP('8.0.0'!Z54,'8.0.0'!$AM$4:$AP$48,4,FALSE))</f>
        <v>38</v>
      </c>
      <c r="S54" s="4">
        <f>(VLOOKUP('8.0.0'!AA54,'8.0.0'!$AM$4:$AP$48,4,FALSE))</f>
        <v>38</v>
      </c>
      <c r="T54" s="4">
        <f>(VLOOKUP('8.0.0'!AB54,'8.0.0'!$AM$4:$AP$48,4,FALSE))</f>
        <v>38</v>
      </c>
      <c r="U54" s="4">
        <f>(VLOOKUP('8.0.0'!AC54,'8.0.0'!$AM$4:$AP$48,4,FALSE))</f>
        <v>38</v>
      </c>
      <c r="V54" s="4">
        <f>(VLOOKUP('8.0.0'!AD54,'8.0.0'!$AM$4:$AP$48,4,FALSE))</f>
        <v>0</v>
      </c>
      <c r="W54" s="4">
        <f>(VLOOKUP('8.0.0'!AE54,'8.0.0'!$AM$4:$AP$48,4,FALSE))</f>
        <v>0</v>
      </c>
      <c r="X54" s="4">
        <f>(VLOOKUP('8.0.0'!AF54,'8.0.0'!$AM$4:$AP$48,4,FALSE))</f>
        <v>0</v>
      </c>
    </row>
    <row r="55" spans="1:24">
      <c r="A55" s="4">
        <f>(VLOOKUP('8.0.0'!I55,'8.0.0'!$AM$4:$AP$48,4,FALSE))</f>
        <v>0</v>
      </c>
      <c r="B55" s="4">
        <f>(VLOOKUP('8.0.0'!J55,'8.0.0'!$AM$4:$AP$48,4,FALSE))</f>
        <v>0</v>
      </c>
      <c r="C55" s="4">
        <f>(VLOOKUP('8.0.0'!K55,'8.0.0'!$AM$4:$AP$48,4,FALSE))</f>
        <v>0</v>
      </c>
      <c r="D55" s="4">
        <f>(VLOOKUP('8.0.0'!L55,'8.0.0'!$AM$4:$AP$48,4,FALSE))</f>
        <v>0</v>
      </c>
      <c r="E55" s="4">
        <f>(VLOOKUP('8.0.0'!M55,'8.0.0'!$AM$4:$AP$48,4,FALSE))</f>
        <v>0</v>
      </c>
      <c r="F55" s="4">
        <f>(VLOOKUP('8.0.0'!N55,'8.0.0'!$AM$4:$AP$48,4,FALSE))</f>
        <v>0</v>
      </c>
      <c r="G55" s="4">
        <f>(VLOOKUP('8.0.0'!O55,'8.0.0'!$AM$4:$AP$48,4,FALSE))</f>
        <v>0</v>
      </c>
      <c r="H55" s="4">
        <f>(VLOOKUP('8.0.0'!P55,'8.0.0'!$AM$4:$AP$48,4,FALSE))</f>
        <v>0</v>
      </c>
      <c r="I55" s="4">
        <f>(VLOOKUP('8.0.0'!Q55,'8.0.0'!$AM$4:$AP$48,4,FALSE))</f>
        <v>0</v>
      </c>
      <c r="J55" s="4">
        <f>(VLOOKUP('8.0.0'!R55,'8.0.0'!$AM$4:$AP$48,4,FALSE))</f>
        <v>0</v>
      </c>
      <c r="K55" s="4">
        <f>(VLOOKUP('8.0.0'!S55,'8.0.0'!$AM$4:$AP$48,4,FALSE))</f>
        <v>0</v>
      </c>
      <c r="L55" s="4">
        <f>(VLOOKUP('8.0.0'!T55,'8.0.0'!$AM$4:$AP$48,4,FALSE))</f>
        <v>0</v>
      </c>
      <c r="M55" s="4">
        <f>(VLOOKUP('8.0.0'!U55,'8.0.0'!$AM$4:$AP$48,4,FALSE))</f>
        <v>0</v>
      </c>
      <c r="N55" s="4">
        <f>(VLOOKUP('8.0.0'!V55,'8.0.0'!$AM$4:$AP$48,4,FALSE))</f>
        <v>0</v>
      </c>
      <c r="O55" s="4">
        <f>(VLOOKUP('8.0.0'!W55,'8.0.0'!$AM$4:$AP$48,4,FALSE))</f>
        <v>0</v>
      </c>
      <c r="P55" s="4">
        <f>(VLOOKUP('8.0.0'!X55,'8.0.0'!$AM$4:$AP$48,4,FALSE))</f>
        <v>0</v>
      </c>
      <c r="Q55" s="4">
        <f>(VLOOKUP('8.0.0'!Y55,'8.0.0'!$AM$4:$AP$48,4,FALSE))</f>
        <v>38</v>
      </c>
      <c r="R55" s="4">
        <f>(VLOOKUP('8.0.0'!Z55,'8.0.0'!$AM$4:$AP$48,4,FALSE))</f>
        <v>38</v>
      </c>
      <c r="S55" s="4">
        <f>(VLOOKUP('8.0.0'!AA55,'8.0.0'!$AM$4:$AP$48,4,FALSE))</f>
        <v>38</v>
      </c>
      <c r="T55" s="4">
        <f>(VLOOKUP('8.0.0'!AB55,'8.0.0'!$AM$4:$AP$48,4,FALSE))</f>
        <v>38</v>
      </c>
      <c r="U55" s="4">
        <f>(VLOOKUP('8.0.0'!AC55,'8.0.0'!$AM$4:$AP$48,4,FALSE))</f>
        <v>0</v>
      </c>
      <c r="V55" s="4">
        <f>(VLOOKUP('8.0.0'!AD55,'8.0.0'!$AM$4:$AP$48,4,FALSE))</f>
        <v>0</v>
      </c>
      <c r="W55" s="4">
        <f>(VLOOKUP('8.0.0'!AE55,'8.0.0'!$AM$4:$AP$48,4,FALSE))</f>
        <v>0</v>
      </c>
      <c r="X55" s="4">
        <f>(VLOOKUP('8.0.0'!AF55,'8.0.0'!$AM$4:$AP$48,4,FALSE))</f>
        <v>0</v>
      </c>
    </row>
    <row r="56" spans="1:24">
      <c r="A56" s="4">
        <f>(VLOOKUP('8.0.0'!I56,'8.0.0'!$AM$4:$AP$48,4,FALSE))</f>
        <v>0</v>
      </c>
      <c r="B56" s="4">
        <f>(VLOOKUP('8.0.0'!J56,'8.0.0'!$AM$4:$AP$48,4,FALSE))</f>
        <v>0</v>
      </c>
      <c r="C56" s="4">
        <f>(VLOOKUP('8.0.0'!K56,'8.0.0'!$AM$4:$AP$48,4,FALSE))</f>
        <v>0</v>
      </c>
      <c r="D56" s="4">
        <f>(VLOOKUP('8.0.0'!L56,'8.0.0'!$AM$4:$AP$48,4,FALSE))</f>
        <v>0</v>
      </c>
      <c r="E56" s="4">
        <f>(VLOOKUP('8.0.0'!M56,'8.0.0'!$AM$4:$AP$48,4,FALSE))</f>
        <v>0</v>
      </c>
      <c r="F56" s="4">
        <f>(VLOOKUP('8.0.0'!N56,'8.0.0'!$AM$4:$AP$48,4,FALSE))</f>
        <v>0</v>
      </c>
      <c r="G56" s="4">
        <f>(VLOOKUP('8.0.0'!O56,'8.0.0'!$AM$4:$AP$48,4,FALSE))</f>
        <v>0</v>
      </c>
      <c r="H56" s="4">
        <f>(VLOOKUP('8.0.0'!P56,'8.0.0'!$AM$4:$AP$48,4,FALSE))</f>
        <v>0</v>
      </c>
      <c r="I56" s="4">
        <f>(VLOOKUP('8.0.0'!Q56,'8.0.0'!$AM$4:$AP$48,4,FALSE))</f>
        <v>0</v>
      </c>
      <c r="J56" s="4">
        <f>(VLOOKUP('8.0.0'!R56,'8.0.0'!$AM$4:$AP$48,4,FALSE))</f>
        <v>0</v>
      </c>
      <c r="K56" s="4">
        <f>(VLOOKUP('8.0.0'!S56,'8.0.0'!$AM$4:$AP$48,4,FALSE))</f>
        <v>0</v>
      </c>
      <c r="L56" s="4">
        <f>(VLOOKUP('8.0.0'!T56,'8.0.0'!$AM$4:$AP$48,4,FALSE))</f>
        <v>0</v>
      </c>
      <c r="M56" s="4">
        <f>(VLOOKUP('8.0.0'!U56,'8.0.0'!$AM$4:$AP$48,4,FALSE))</f>
        <v>0</v>
      </c>
      <c r="N56" s="4">
        <f>(VLOOKUP('8.0.0'!V56,'8.0.0'!$AM$4:$AP$48,4,FALSE))</f>
        <v>0</v>
      </c>
      <c r="O56" s="4">
        <f>(VLOOKUP('8.0.0'!W56,'8.0.0'!$AM$4:$AP$48,4,FALSE))</f>
        <v>0</v>
      </c>
      <c r="P56" s="4">
        <f>(VLOOKUP('8.0.0'!X56,'8.0.0'!$AM$4:$AP$48,4,FALSE))</f>
        <v>0</v>
      </c>
      <c r="Q56" s="4">
        <f>(VLOOKUP('8.0.0'!Y56,'8.0.0'!$AM$4:$AP$48,4,FALSE))</f>
        <v>38</v>
      </c>
      <c r="R56" s="4">
        <f>(VLOOKUP('8.0.0'!Z56,'8.0.0'!$AM$4:$AP$48,4,FALSE))</f>
        <v>10</v>
      </c>
      <c r="S56" s="4">
        <f>(VLOOKUP('8.0.0'!AA56,'8.0.0'!$AM$4:$AP$48,4,FALSE))</f>
        <v>38</v>
      </c>
      <c r="T56" s="4">
        <f>(VLOOKUP('8.0.0'!AB56,'8.0.0'!$AM$4:$AP$48,4,FALSE))</f>
        <v>38</v>
      </c>
      <c r="U56" s="4">
        <f>(VLOOKUP('8.0.0'!AC56,'8.0.0'!$AM$4:$AP$48,4,FALSE))</f>
        <v>38</v>
      </c>
      <c r="V56" s="4">
        <f>(VLOOKUP('8.0.0'!AD56,'8.0.0'!$AM$4:$AP$48,4,FALSE))</f>
        <v>0</v>
      </c>
      <c r="W56" s="4">
        <f>(VLOOKUP('8.0.0'!AE56,'8.0.0'!$AM$4:$AP$48,4,FALSE))</f>
        <v>0</v>
      </c>
      <c r="X56" s="4">
        <f>(VLOOKUP('8.0.0'!AF56,'8.0.0'!$AM$4:$AP$48,4,FALSE))</f>
        <v>0</v>
      </c>
    </row>
    <row r="57" spans="1:24">
      <c r="A57" s="4">
        <f>(VLOOKUP('8.0.0'!I57,'8.0.0'!$AM$4:$AP$48,4,FALSE))</f>
        <v>0</v>
      </c>
      <c r="B57" s="4">
        <f>(VLOOKUP('8.0.0'!J57,'8.0.0'!$AM$4:$AP$48,4,FALSE))</f>
        <v>0</v>
      </c>
      <c r="C57" s="4">
        <f>(VLOOKUP('8.0.0'!K57,'8.0.0'!$AM$4:$AP$48,4,FALSE))</f>
        <v>0</v>
      </c>
      <c r="D57" s="4">
        <f>(VLOOKUP('8.0.0'!L57,'8.0.0'!$AM$4:$AP$48,4,FALSE))</f>
        <v>0</v>
      </c>
      <c r="E57" s="4">
        <f>(VLOOKUP('8.0.0'!M57,'8.0.0'!$AM$4:$AP$48,4,FALSE))</f>
        <v>0</v>
      </c>
      <c r="F57" s="4">
        <f>(VLOOKUP('8.0.0'!N57,'8.0.0'!$AM$4:$AP$48,4,FALSE))</f>
        <v>0</v>
      </c>
      <c r="G57" s="4">
        <f>(VLOOKUP('8.0.0'!O57,'8.0.0'!$AM$4:$AP$48,4,FALSE))</f>
        <v>0</v>
      </c>
      <c r="H57" s="4">
        <f>(VLOOKUP('8.0.0'!P57,'8.0.0'!$AM$4:$AP$48,4,FALSE))</f>
        <v>0</v>
      </c>
      <c r="I57" s="4">
        <f>(VLOOKUP('8.0.0'!Q57,'8.0.0'!$AM$4:$AP$48,4,FALSE))</f>
        <v>0</v>
      </c>
      <c r="J57" s="4">
        <f>(VLOOKUP('8.0.0'!R57,'8.0.0'!$AM$4:$AP$48,4,FALSE))</f>
        <v>0</v>
      </c>
      <c r="K57" s="4">
        <f>(VLOOKUP('8.0.0'!S57,'8.0.0'!$AM$4:$AP$48,4,FALSE))</f>
        <v>0</v>
      </c>
      <c r="L57" s="4">
        <f>(VLOOKUP('8.0.0'!T57,'8.0.0'!$AM$4:$AP$48,4,FALSE))</f>
        <v>0</v>
      </c>
      <c r="M57" s="4">
        <f>(VLOOKUP('8.0.0'!U57,'8.0.0'!$AM$4:$AP$48,4,FALSE))</f>
        <v>0</v>
      </c>
      <c r="N57" s="4">
        <f>(VLOOKUP('8.0.0'!V57,'8.0.0'!$AM$4:$AP$48,4,FALSE))</f>
        <v>0</v>
      </c>
      <c r="O57" s="4">
        <f>(VLOOKUP('8.0.0'!W57,'8.0.0'!$AM$4:$AP$48,4,FALSE))</f>
        <v>0</v>
      </c>
      <c r="P57" s="4">
        <f>(VLOOKUP('8.0.0'!X57,'8.0.0'!$AM$4:$AP$48,4,FALSE))</f>
        <v>0</v>
      </c>
      <c r="Q57" s="4">
        <f>(VLOOKUP('8.0.0'!Y57,'8.0.0'!$AM$4:$AP$48,4,FALSE))</f>
        <v>38</v>
      </c>
      <c r="R57" s="4">
        <f>(VLOOKUP('8.0.0'!Z57,'8.0.0'!$AM$4:$AP$48,4,FALSE))</f>
        <v>38</v>
      </c>
      <c r="S57" s="4">
        <f>(VLOOKUP('8.0.0'!AA57,'8.0.0'!$AM$4:$AP$48,4,FALSE))</f>
        <v>38</v>
      </c>
      <c r="T57" s="4">
        <f>(VLOOKUP('8.0.0'!AB57,'8.0.0'!$AM$4:$AP$48,4,FALSE))</f>
        <v>38</v>
      </c>
      <c r="U57" s="4">
        <f>(VLOOKUP('8.0.0'!AC57,'8.0.0'!$AM$4:$AP$48,4,FALSE))</f>
        <v>0</v>
      </c>
      <c r="V57" s="4">
        <f>(VLOOKUP('8.0.0'!AD57,'8.0.0'!$AM$4:$AP$48,4,FALSE))</f>
        <v>0</v>
      </c>
      <c r="W57" s="4">
        <f>(VLOOKUP('8.0.0'!AE57,'8.0.0'!$AM$4:$AP$48,4,FALSE))</f>
        <v>0</v>
      </c>
      <c r="X57" s="4">
        <f>(VLOOKUP('8.0.0'!AF57,'8.0.0'!$AM$4:$AP$48,4,FALSE))</f>
        <v>0</v>
      </c>
    </row>
    <row r="58" spans="1:24">
      <c r="A58" s="4">
        <f>(VLOOKUP('8.0.0'!I58,'8.0.0'!$AM$4:$AP$48,4,FALSE))</f>
        <v>0</v>
      </c>
      <c r="B58" s="4">
        <f>(VLOOKUP('8.0.0'!J58,'8.0.0'!$AM$4:$AP$48,4,FALSE))</f>
        <v>0</v>
      </c>
      <c r="C58" s="4">
        <f>(VLOOKUP('8.0.0'!K58,'8.0.0'!$AM$4:$AP$48,4,FALSE))</f>
        <v>0</v>
      </c>
      <c r="D58" s="4">
        <f>(VLOOKUP('8.0.0'!L58,'8.0.0'!$AM$4:$AP$48,4,FALSE))</f>
        <v>0</v>
      </c>
      <c r="E58" s="4">
        <f>(VLOOKUP('8.0.0'!M58,'8.0.0'!$AM$4:$AP$48,4,FALSE))</f>
        <v>0</v>
      </c>
      <c r="F58" s="4">
        <f>(VLOOKUP('8.0.0'!N58,'8.0.0'!$AM$4:$AP$48,4,FALSE))</f>
        <v>0</v>
      </c>
      <c r="G58" s="4">
        <f>(VLOOKUP('8.0.0'!O58,'8.0.0'!$AM$4:$AP$48,4,FALSE))</f>
        <v>0</v>
      </c>
      <c r="H58" s="4">
        <f>(VLOOKUP('8.0.0'!P58,'8.0.0'!$AM$4:$AP$48,4,FALSE))</f>
        <v>0</v>
      </c>
      <c r="I58" s="4">
        <f>(VLOOKUP('8.0.0'!Q58,'8.0.0'!$AM$4:$AP$48,4,FALSE))</f>
        <v>0</v>
      </c>
      <c r="J58" s="4">
        <f>(VLOOKUP('8.0.0'!R58,'8.0.0'!$AM$4:$AP$48,4,FALSE))</f>
        <v>0</v>
      </c>
      <c r="K58" s="4">
        <f>(VLOOKUP('8.0.0'!S58,'8.0.0'!$AM$4:$AP$48,4,FALSE))</f>
        <v>0</v>
      </c>
      <c r="L58" s="4">
        <f>(VLOOKUP('8.0.0'!T58,'8.0.0'!$AM$4:$AP$48,4,FALSE))</f>
        <v>0</v>
      </c>
      <c r="M58" s="4">
        <f>(VLOOKUP('8.0.0'!U58,'8.0.0'!$AM$4:$AP$48,4,FALSE))</f>
        <v>0</v>
      </c>
      <c r="N58" s="4">
        <f>(VLOOKUP('8.0.0'!V58,'8.0.0'!$AM$4:$AP$48,4,FALSE))</f>
        <v>0</v>
      </c>
      <c r="O58" s="4">
        <f>(VLOOKUP('8.0.0'!W58,'8.0.0'!$AM$4:$AP$48,4,FALSE))</f>
        <v>0</v>
      </c>
      <c r="P58" s="4">
        <f>(VLOOKUP('8.0.0'!X58,'8.0.0'!$AM$4:$AP$48,4,FALSE))</f>
        <v>0</v>
      </c>
      <c r="Q58" s="4">
        <f>(VLOOKUP('8.0.0'!Y58,'8.0.0'!$AM$4:$AP$48,4,FALSE))</f>
        <v>38</v>
      </c>
      <c r="R58" s="4">
        <f>(VLOOKUP('8.0.0'!Z58,'8.0.0'!$AM$4:$AP$48,4,FALSE))</f>
        <v>0</v>
      </c>
      <c r="S58" s="4">
        <f>(VLOOKUP('8.0.0'!AA58,'8.0.0'!$AM$4:$AP$48,4,FALSE))</f>
        <v>38</v>
      </c>
      <c r="T58" s="4">
        <f>(VLOOKUP('8.0.0'!AB58,'8.0.0'!$AM$4:$AP$48,4,FALSE))</f>
        <v>38</v>
      </c>
      <c r="U58" s="4">
        <f>(VLOOKUP('8.0.0'!AC58,'8.0.0'!$AM$4:$AP$48,4,FALSE))</f>
        <v>0</v>
      </c>
      <c r="V58" s="4">
        <f>(VLOOKUP('8.0.0'!AD58,'8.0.0'!$AM$4:$AP$48,4,FALSE))</f>
        <v>0</v>
      </c>
      <c r="W58" s="4">
        <f>(VLOOKUP('8.0.0'!AE58,'8.0.0'!$AM$4:$AP$48,4,FALSE))</f>
        <v>0</v>
      </c>
      <c r="X58" s="4">
        <f>(VLOOKUP('8.0.0'!AF58,'8.0.0'!$AM$4:$AP$48,4,FALSE))</f>
        <v>0</v>
      </c>
    </row>
    <row r="59" spans="1:24">
      <c r="A59" s="4">
        <f>(VLOOKUP('8.0.0'!I59,'8.0.0'!$AM$4:$AP$48,4,FALSE))</f>
        <v>0</v>
      </c>
      <c r="B59" s="4">
        <f>(VLOOKUP('8.0.0'!J59,'8.0.0'!$AM$4:$AP$48,4,FALSE))</f>
        <v>0</v>
      </c>
      <c r="C59" s="4">
        <f>(VLOOKUP('8.0.0'!K59,'8.0.0'!$AM$4:$AP$48,4,FALSE))</f>
        <v>0</v>
      </c>
      <c r="D59" s="4">
        <f>(VLOOKUP('8.0.0'!L59,'8.0.0'!$AM$4:$AP$48,4,FALSE))</f>
        <v>0</v>
      </c>
      <c r="E59" s="4">
        <f>(VLOOKUP('8.0.0'!M59,'8.0.0'!$AM$4:$AP$48,4,FALSE))</f>
        <v>0</v>
      </c>
      <c r="F59" s="4">
        <f>(VLOOKUP('8.0.0'!N59,'8.0.0'!$AM$4:$AP$48,4,FALSE))</f>
        <v>0</v>
      </c>
      <c r="G59" s="4">
        <f>(VLOOKUP('8.0.0'!O59,'8.0.0'!$AM$4:$AP$48,4,FALSE))</f>
        <v>0</v>
      </c>
      <c r="H59" s="4">
        <f>(VLOOKUP('8.0.0'!P59,'8.0.0'!$AM$4:$AP$48,4,FALSE))</f>
        <v>0</v>
      </c>
      <c r="I59" s="4">
        <f>(VLOOKUP('8.0.0'!Q59,'8.0.0'!$AM$4:$AP$48,4,FALSE))</f>
        <v>0</v>
      </c>
      <c r="J59" s="4">
        <f>(VLOOKUP('8.0.0'!R59,'8.0.0'!$AM$4:$AP$48,4,FALSE))</f>
        <v>0</v>
      </c>
      <c r="K59" s="4">
        <f>(VLOOKUP('8.0.0'!S59,'8.0.0'!$AM$4:$AP$48,4,FALSE))</f>
        <v>0</v>
      </c>
      <c r="L59" s="4">
        <f>(VLOOKUP('8.0.0'!T59,'8.0.0'!$AM$4:$AP$48,4,FALSE))</f>
        <v>0</v>
      </c>
      <c r="M59" s="4">
        <f>(VLOOKUP('8.0.0'!U59,'8.0.0'!$AM$4:$AP$48,4,FALSE))</f>
        <v>0</v>
      </c>
      <c r="N59" s="4">
        <f>(VLOOKUP('8.0.0'!V59,'8.0.0'!$AM$4:$AP$48,4,FALSE))</f>
        <v>0</v>
      </c>
      <c r="O59" s="4">
        <f>(VLOOKUP('8.0.0'!W59,'8.0.0'!$AM$4:$AP$48,4,FALSE))</f>
        <v>0</v>
      </c>
      <c r="P59" s="4">
        <f>(VLOOKUP('8.0.0'!X59,'8.0.0'!$AM$4:$AP$48,4,FALSE))</f>
        <v>0</v>
      </c>
      <c r="Q59" s="4">
        <f>(VLOOKUP('8.0.0'!Y59,'8.0.0'!$AM$4:$AP$48,4,FALSE))</f>
        <v>38</v>
      </c>
      <c r="R59" s="4">
        <f>(VLOOKUP('8.0.0'!Z59,'8.0.0'!$AM$4:$AP$48,4,FALSE))</f>
        <v>38</v>
      </c>
      <c r="S59" s="4">
        <f>(VLOOKUP('8.0.0'!AA59,'8.0.0'!$AM$4:$AP$48,4,FALSE))</f>
        <v>38</v>
      </c>
      <c r="T59" s="4">
        <f>(VLOOKUP('8.0.0'!AB59,'8.0.0'!$AM$4:$AP$48,4,FALSE))</f>
        <v>38</v>
      </c>
      <c r="U59" s="4">
        <f>(VLOOKUP('8.0.0'!AC59,'8.0.0'!$AM$4:$AP$48,4,FALSE))</f>
        <v>0</v>
      </c>
      <c r="V59" s="4">
        <f>(VLOOKUP('8.0.0'!AD59,'8.0.0'!$AM$4:$AP$48,4,FALSE))</f>
        <v>0</v>
      </c>
      <c r="W59" s="4">
        <f>(VLOOKUP('8.0.0'!AE59,'8.0.0'!$AM$4:$AP$48,4,FALSE))</f>
        <v>0</v>
      </c>
      <c r="X59" s="4">
        <f>(VLOOKUP('8.0.0'!AF59,'8.0.0'!$AM$4:$AP$48,4,FALSE))</f>
        <v>0</v>
      </c>
    </row>
    <row r="60" spans="1:24">
      <c r="A60" s="4">
        <f>(VLOOKUP('8.0.0'!I60,'8.0.0'!$AM$4:$AP$48,4,FALSE))</f>
        <v>0</v>
      </c>
      <c r="B60" s="4">
        <f>(VLOOKUP('8.0.0'!J60,'8.0.0'!$AM$4:$AP$48,4,FALSE))</f>
        <v>0</v>
      </c>
      <c r="C60" s="4">
        <f>(VLOOKUP('8.0.0'!K60,'8.0.0'!$AM$4:$AP$48,4,FALSE))</f>
        <v>0</v>
      </c>
      <c r="D60" s="4">
        <f>(VLOOKUP('8.0.0'!L60,'8.0.0'!$AM$4:$AP$48,4,FALSE))</f>
        <v>0</v>
      </c>
      <c r="E60" s="4">
        <f>(VLOOKUP('8.0.0'!M60,'8.0.0'!$AM$4:$AP$48,4,FALSE))</f>
        <v>0</v>
      </c>
      <c r="F60" s="4">
        <f>(VLOOKUP('8.0.0'!N60,'8.0.0'!$AM$4:$AP$48,4,FALSE))</f>
        <v>0</v>
      </c>
      <c r="G60" s="4">
        <f>(VLOOKUP('8.0.0'!O60,'8.0.0'!$AM$4:$AP$48,4,FALSE))</f>
        <v>0</v>
      </c>
      <c r="H60" s="4">
        <f>(VLOOKUP('8.0.0'!P60,'8.0.0'!$AM$4:$AP$48,4,FALSE))</f>
        <v>0</v>
      </c>
      <c r="I60" s="4">
        <f>(VLOOKUP('8.0.0'!Q60,'8.0.0'!$AM$4:$AP$48,4,FALSE))</f>
        <v>0</v>
      </c>
      <c r="J60" s="4">
        <f>(VLOOKUP('8.0.0'!R60,'8.0.0'!$AM$4:$AP$48,4,FALSE))</f>
        <v>0</v>
      </c>
      <c r="K60" s="4">
        <f>(VLOOKUP('8.0.0'!S60,'8.0.0'!$AM$4:$AP$48,4,FALSE))</f>
        <v>0</v>
      </c>
      <c r="L60" s="4">
        <f>(VLOOKUP('8.0.0'!T60,'8.0.0'!$AM$4:$AP$48,4,FALSE))</f>
        <v>0</v>
      </c>
      <c r="M60" s="4">
        <f>(VLOOKUP('8.0.0'!U60,'8.0.0'!$AM$4:$AP$48,4,FALSE))</f>
        <v>0</v>
      </c>
      <c r="N60" s="4">
        <f>(VLOOKUP('8.0.0'!V60,'8.0.0'!$AM$4:$AP$48,4,FALSE))</f>
        <v>0</v>
      </c>
      <c r="O60" s="4">
        <f>(VLOOKUP('8.0.0'!W60,'8.0.0'!$AM$4:$AP$48,4,FALSE))</f>
        <v>0</v>
      </c>
      <c r="P60" s="4">
        <f>(VLOOKUP('8.0.0'!X60,'8.0.0'!$AM$4:$AP$48,4,FALSE))</f>
        <v>0</v>
      </c>
      <c r="Q60" s="4">
        <f>(VLOOKUP('8.0.0'!Y60,'8.0.0'!$AM$4:$AP$48,4,FALSE))</f>
        <v>38</v>
      </c>
      <c r="R60" s="4">
        <f>(VLOOKUP('8.0.0'!Z60,'8.0.0'!$AM$4:$AP$48,4,FALSE))</f>
        <v>38</v>
      </c>
      <c r="S60" s="4">
        <f>(VLOOKUP('8.0.0'!AA60,'8.0.0'!$AM$4:$AP$48,4,FALSE))</f>
        <v>38</v>
      </c>
      <c r="T60" s="4">
        <f>(VLOOKUP('8.0.0'!AB60,'8.0.0'!$AM$4:$AP$48,4,FALSE))</f>
        <v>10</v>
      </c>
      <c r="U60" s="4">
        <f>(VLOOKUP('8.0.0'!AC60,'8.0.0'!$AM$4:$AP$48,4,FALSE))</f>
        <v>38</v>
      </c>
      <c r="V60" s="4">
        <f>(VLOOKUP('8.0.0'!AD60,'8.0.0'!$AM$4:$AP$48,4,FALSE))</f>
        <v>0</v>
      </c>
      <c r="W60" s="4">
        <f>(VLOOKUP('8.0.0'!AE60,'8.0.0'!$AM$4:$AP$48,4,FALSE))</f>
        <v>0</v>
      </c>
      <c r="X60" s="4">
        <f>(VLOOKUP('8.0.0'!AF60,'8.0.0'!$AM$4:$AP$48,4,FALSE))</f>
        <v>0</v>
      </c>
    </row>
    <row r="61" spans="1:24">
      <c r="A61" s="4">
        <f>(VLOOKUP('8.0.0'!I61,'8.0.0'!$AM$4:$AP$48,4,FALSE))</f>
        <v>0</v>
      </c>
      <c r="B61" s="4">
        <f>(VLOOKUP('8.0.0'!J61,'8.0.0'!$AM$4:$AP$48,4,FALSE))</f>
        <v>0</v>
      </c>
      <c r="C61" s="4">
        <f>(VLOOKUP('8.0.0'!K61,'8.0.0'!$AM$4:$AP$48,4,FALSE))</f>
        <v>0</v>
      </c>
      <c r="D61" s="4">
        <f>(VLOOKUP('8.0.0'!L61,'8.0.0'!$AM$4:$AP$48,4,FALSE))</f>
        <v>0</v>
      </c>
      <c r="E61" s="4">
        <f>(VLOOKUP('8.0.0'!M61,'8.0.0'!$AM$4:$AP$48,4,FALSE))</f>
        <v>0</v>
      </c>
      <c r="F61" s="4">
        <f>(VLOOKUP('8.0.0'!N61,'8.0.0'!$AM$4:$AP$48,4,FALSE))</f>
        <v>0</v>
      </c>
      <c r="G61" s="4">
        <f>(VLOOKUP('8.0.0'!O61,'8.0.0'!$AM$4:$AP$48,4,FALSE))</f>
        <v>0</v>
      </c>
      <c r="H61" s="4">
        <f>(VLOOKUP('8.0.0'!P61,'8.0.0'!$AM$4:$AP$48,4,FALSE))</f>
        <v>0</v>
      </c>
      <c r="I61" s="4">
        <f>(VLOOKUP('8.0.0'!Q61,'8.0.0'!$AM$4:$AP$48,4,FALSE))</f>
        <v>0</v>
      </c>
      <c r="J61" s="4">
        <f>(VLOOKUP('8.0.0'!R61,'8.0.0'!$AM$4:$AP$48,4,FALSE))</f>
        <v>0</v>
      </c>
      <c r="K61" s="4">
        <f>(VLOOKUP('8.0.0'!S61,'8.0.0'!$AM$4:$AP$48,4,FALSE))</f>
        <v>0</v>
      </c>
      <c r="L61" s="4">
        <f>(VLOOKUP('8.0.0'!T61,'8.0.0'!$AM$4:$AP$48,4,FALSE))</f>
        <v>0</v>
      </c>
      <c r="M61" s="4">
        <f>(VLOOKUP('8.0.0'!U61,'8.0.0'!$AM$4:$AP$48,4,FALSE))</f>
        <v>0</v>
      </c>
      <c r="N61" s="4">
        <f>(VLOOKUP('8.0.0'!V61,'8.0.0'!$AM$4:$AP$48,4,FALSE))</f>
        <v>0</v>
      </c>
      <c r="O61" s="4">
        <f>(VLOOKUP('8.0.0'!W61,'8.0.0'!$AM$4:$AP$48,4,FALSE))</f>
        <v>0</v>
      </c>
      <c r="P61" s="4">
        <f>(VLOOKUP('8.0.0'!X61,'8.0.0'!$AM$4:$AP$48,4,FALSE))</f>
        <v>0</v>
      </c>
      <c r="Q61" s="4">
        <f>(VLOOKUP('8.0.0'!Y61,'8.0.0'!$AM$4:$AP$48,4,FALSE))</f>
        <v>38</v>
      </c>
      <c r="R61" s="4">
        <f>(VLOOKUP('8.0.0'!Z61,'8.0.0'!$AM$4:$AP$48,4,FALSE))</f>
        <v>38</v>
      </c>
      <c r="S61" s="4">
        <f>(VLOOKUP('8.0.0'!AA61,'8.0.0'!$AM$4:$AP$48,4,FALSE))</f>
        <v>38</v>
      </c>
      <c r="T61" s="4">
        <f>(VLOOKUP('8.0.0'!AB61,'8.0.0'!$AM$4:$AP$48,4,FALSE))</f>
        <v>38</v>
      </c>
      <c r="U61" s="4">
        <f>(VLOOKUP('8.0.0'!AC61,'8.0.0'!$AM$4:$AP$48,4,FALSE))</f>
        <v>0</v>
      </c>
      <c r="V61" s="4">
        <f>(VLOOKUP('8.0.0'!AD61,'8.0.0'!$AM$4:$AP$48,4,FALSE))</f>
        <v>0</v>
      </c>
      <c r="W61" s="4">
        <f>(VLOOKUP('8.0.0'!AE61,'8.0.0'!$AM$4:$AP$48,4,FALSE))</f>
        <v>0</v>
      </c>
      <c r="X61" s="4">
        <f>(VLOOKUP('8.0.0'!AF61,'8.0.0'!$AM$4:$AP$48,4,FALSE))</f>
        <v>0</v>
      </c>
    </row>
    <row r="62" spans="1:24">
      <c r="A62" s="4">
        <f>(VLOOKUP('8.0.0'!I62,'8.0.0'!$AM$4:$AP$48,4,FALSE))</f>
        <v>0</v>
      </c>
      <c r="B62" s="4">
        <f>(VLOOKUP('8.0.0'!J62,'8.0.0'!$AM$4:$AP$48,4,FALSE))</f>
        <v>0</v>
      </c>
      <c r="C62" s="4">
        <f>(VLOOKUP('8.0.0'!K62,'8.0.0'!$AM$4:$AP$48,4,FALSE))</f>
        <v>0</v>
      </c>
      <c r="D62" s="4">
        <f>(VLOOKUP('8.0.0'!L62,'8.0.0'!$AM$4:$AP$48,4,FALSE))</f>
        <v>0</v>
      </c>
      <c r="E62" s="4">
        <f>(VLOOKUP('8.0.0'!M62,'8.0.0'!$AM$4:$AP$48,4,FALSE))</f>
        <v>0</v>
      </c>
      <c r="F62" s="4">
        <f>(VLOOKUP('8.0.0'!N62,'8.0.0'!$AM$4:$AP$48,4,FALSE))</f>
        <v>0</v>
      </c>
      <c r="G62" s="4">
        <f>(VLOOKUP('8.0.0'!O62,'8.0.0'!$AM$4:$AP$48,4,FALSE))</f>
        <v>0</v>
      </c>
      <c r="H62" s="4">
        <f>(VLOOKUP('8.0.0'!P62,'8.0.0'!$AM$4:$AP$48,4,FALSE))</f>
        <v>0</v>
      </c>
      <c r="I62" s="4">
        <f>(VLOOKUP('8.0.0'!Q62,'8.0.0'!$AM$4:$AP$48,4,FALSE))</f>
        <v>0</v>
      </c>
      <c r="J62" s="4">
        <f>(VLOOKUP('8.0.0'!R62,'8.0.0'!$AM$4:$AP$48,4,FALSE))</f>
        <v>0</v>
      </c>
      <c r="K62" s="4">
        <f>(VLOOKUP('8.0.0'!S62,'8.0.0'!$AM$4:$AP$48,4,FALSE))</f>
        <v>0</v>
      </c>
      <c r="L62" s="4">
        <f>(VLOOKUP('8.0.0'!T62,'8.0.0'!$AM$4:$AP$48,4,FALSE))</f>
        <v>0</v>
      </c>
      <c r="M62" s="4">
        <f>(VLOOKUP('8.0.0'!U62,'8.0.0'!$AM$4:$AP$48,4,FALSE))</f>
        <v>0</v>
      </c>
      <c r="N62" s="4">
        <f>(VLOOKUP('8.0.0'!V62,'8.0.0'!$AM$4:$AP$48,4,FALSE))</f>
        <v>0</v>
      </c>
      <c r="O62" s="4">
        <f>(VLOOKUP('8.0.0'!W62,'8.0.0'!$AM$4:$AP$48,4,FALSE))</f>
        <v>0</v>
      </c>
      <c r="P62" s="4">
        <f>(VLOOKUP('8.0.0'!X62,'8.0.0'!$AM$4:$AP$48,4,FALSE))</f>
        <v>0</v>
      </c>
      <c r="Q62" s="4">
        <f>(VLOOKUP('8.0.0'!Y62,'8.0.0'!$AM$4:$AP$48,4,FALSE))</f>
        <v>38</v>
      </c>
      <c r="R62" s="4">
        <f>(VLOOKUP('8.0.0'!Z62,'8.0.0'!$AM$4:$AP$48,4,FALSE))</f>
        <v>38</v>
      </c>
      <c r="S62" s="4">
        <f>(VLOOKUP('8.0.0'!AA62,'8.0.0'!$AM$4:$AP$48,4,FALSE))</f>
        <v>38</v>
      </c>
      <c r="T62" s="4">
        <f>(VLOOKUP('8.0.0'!AB62,'8.0.0'!$AM$4:$AP$48,4,FALSE))</f>
        <v>38</v>
      </c>
      <c r="U62" s="4">
        <f>(VLOOKUP('8.0.0'!AC62,'8.0.0'!$AM$4:$AP$48,4,FALSE))</f>
        <v>0</v>
      </c>
      <c r="V62" s="4">
        <f>(VLOOKUP('8.0.0'!AD62,'8.0.0'!$AM$4:$AP$48,4,FALSE))</f>
        <v>0</v>
      </c>
      <c r="W62" s="4">
        <f>(VLOOKUP('8.0.0'!AE62,'8.0.0'!$AM$4:$AP$48,4,FALSE))</f>
        <v>0</v>
      </c>
      <c r="X62" s="4">
        <f>(VLOOKUP('8.0.0'!AF62,'8.0.0'!$AM$4:$AP$48,4,FALSE))</f>
        <v>0</v>
      </c>
    </row>
    <row r="63" spans="1:24">
      <c r="A63" s="4">
        <f>(VLOOKUP('8.0.0'!I63,'8.0.0'!$AM$4:$AP$48,4,FALSE))</f>
        <v>0</v>
      </c>
      <c r="B63" s="4">
        <f>(VLOOKUP('8.0.0'!J63,'8.0.0'!$AM$4:$AP$48,4,FALSE))</f>
        <v>0</v>
      </c>
      <c r="C63" s="4">
        <f>(VLOOKUP('8.0.0'!K63,'8.0.0'!$AM$4:$AP$48,4,FALSE))</f>
        <v>0</v>
      </c>
      <c r="D63" s="4">
        <f>(VLOOKUP('8.0.0'!L63,'8.0.0'!$AM$4:$AP$48,4,FALSE))</f>
        <v>0</v>
      </c>
      <c r="E63" s="4">
        <f>(VLOOKUP('8.0.0'!M63,'8.0.0'!$AM$4:$AP$48,4,FALSE))</f>
        <v>0</v>
      </c>
      <c r="F63" s="4">
        <f>(VLOOKUP('8.0.0'!N63,'8.0.0'!$AM$4:$AP$48,4,FALSE))</f>
        <v>0</v>
      </c>
      <c r="G63" s="4">
        <f>(VLOOKUP('8.0.0'!O63,'8.0.0'!$AM$4:$AP$48,4,FALSE))</f>
        <v>0</v>
      </c>
      <c r="H63" s="4">
        <f>(VLOOKUP('8.0.0'!P63,'8.0.0'!$AM$4:$AP$48,4,FALSE))</f>
        <v>0</v>
      </c>
      <c r="I63" s="4">
        <f>(VLOOKUP('8.0.0'!Q63,'8.0.0'!$AM$4:$AP$48,4,FALSE))</f>
        <v>0</v>
      </c>
      <c r="J63" s="4">
        <f>(VLOOKUP('8.0.0'!R63,'8.0.0'!$AM$4:$AP$48,4,FALSE))</f>
        <v>0</v>
      </c>
      <c r="K63" s="4">
        <f>(VLOOKUP('8.0.0'!S63,'8.0.0'!$AM$4:$AP$48,4,FALSE))</f>
        <v>0</v>
      </c>
      <c r="L63" s="4">
        <f>(VLOOKUP('8.0.0'!T63,'8.0.0'!$AM$4:$AP$48,4,FALSE))</f>
        <v>0</v>
      </c>
      <c r="M63" s="4">
        <f>(VLOOKUP('8.0.0'!U63,'8.0.0'!$AM$4:$AP$48,4,FALSE))</f>
        <v>0</v>
      </c>
      <c r="N63" s="4">
        <f>(VLOOKUP('8.0.0'!V63,'8.0.0'!$AM$4:$AP$48,4,FALSE))</f>
        <v>0</v>
      </c>
      <c r="O63" s="4">
        <f>(VLOOKUP('8.0.0'!W63,'8.0.0'!$AM$4:$AP$48,4,FALSE))</f>
        <v>0</v>
      </c>
      <c r="P63" s="4">
        <f>(VLOOKUP('8.0.0'!X63,'8.0.0'!$AM$4:$AP$48,4,FALSE))</f>
        <v>0</v>
      </c>
      <c r="Q63" s="4">
        <f>(VLOOKUP('8.0.0'!Y63,'8.0.0'!$AM$4:$AP$48,4,FALSE))</f>
        <v>38</v>
      </c>
      <c r="R63" s="4">
        <f>(VLOOKUP('8.0.0'!Z63,'8.0.0'!$AM$4:$AP$48,4,FALSE))</f>
        <v>38</v>
      </c>
      <c r="S63" s="4">
        <f>(VLOOKUP('8.0.0'!AA63,'8.0.0'!$AM$4:$AP$48,4,FALSE))</f>
        <v>38</v>
      </c>
      <c r="T63" s="4">
        <f>(VLOOKUP('8.0.0'!AB63,'8.0.0'!$AM$4:$AP$48,4,FALSE))</f>
        <v>38</v>
      </c>
      <c r="U63" s="4">
        <f>(VLOOKUP('8.0.0'!AC63,'8.0.0'!$AM$4:$AP$48,4,FALSE))</f>
        <v>0</v>
      </c>
      <c r="V63" s="4">
        <f>(VLOOKUP('8.0.0'!AD63,'8.0.0'!$AM$4:$AP$48,4,FALSE))</f>
        <v>0</v>
      </c>
      <c r="W63" s="4">
        <f>(VLOOKUP('8.0.0'!AE63,'8.0.0'!$AM$4:$AP$48,4,FALSE))</f>
        <v>0</v>
      </c>
      <c r="X63" s="4">
        <f>(VLOOKUP('8.0.0'!AF63,'8.0.0'!$AM$4:$AP$48,4,FALSE))</f>
        <v>0</v>
      </c>
    </row>
    <row r="64" spans="1:24">
      <c r="A64" s="4">
        <f>(VLOOKUP('8.0.0'!I64,'8.0.0'!$AM$4:$AP$48,4,FALSE))</f>
        <v>0</v>
      </c>
      <c r="B64" s="4">
        <f>(VLOOKUP('8.0.0'!J64,'8.0.0'!$AM$4:$AP$48,4,FALSE))</f>
        <v>0</v>
      </c>
      <c r="C64" s="4">
        <f>(VLOOKUP('8.0.0'!K64,'8.0.0'!$AM$4:$AP$48,4,FALSE))</f>
        <v>0</v>
      </c>
      <c r="D64" s="4">
        <f>(VLOOKUP('8.0.0'!L64,'8.0.0'!$AM$4:$AP$48,4,FALSE))</f>
        <v>0</v>
      </c>
      <c r="E64" s="4">
        <f>(VLOOKUP('8.0.0'!M64,'8.0.0'!$AM$4:$AP$48,4,FALSE))</f>
        <v>0</v>
      </c>
      <c r="F64" s="4">
        <f>(VLOOKUP('8.0.0'!N64,'8.0.0'!$AM$4:$AP$48,4,FALSE))</f>
        <v>0</v>
      </c>
      <c r="G64" s="4">
        <f>(VLOOKUP('8.0.0'!O64,'8.0.0'!$AM$4:$AP$48,4,FALSE))</f>
        <v>0</v>
      </c>
      <c r="H64" s="4">
        <f>(VLOOKUP('8.0.0'!P64,'8.0.0'!$AM$4:$AP$48,4,FALSE))</f>
        <v>0</v>
      </c>
      <c r="I64" s="4">
        <f>(VLOOKUP('8.0.0'!Q64,'8.0.0'!$AM$4:$AP$48,4,FALSE))</f>
        <v>0</v>
      </c>
      <c r="J64" s="4">
        <f>(VLOOKUP('8.0.0'!R64,'8.0.0'!$AM$4:$AP$48,4,FALSE))</f>
        <v>0</v>
      </c>
      <c r="K64" s="4">
        <f>(VLOOKUP('8.0.0'!S64,'8.0.0'!$AM$4:$AP$48,4,FALSE))</f>
        <v>0</v>
      </c>
      <c r="L64" s="4">
        <f>(VLOOKUP('8.0.0'!T64,'8.0.0'!$AM$4:$AP$48,4,FALSE))</f>
        <v>0</v>
      </c>
      <c r="M64" s="4">
        <f>(VLOOKUP('8.0.0'!U64,'8.0.0'!$AM$4:$AP$48,4,FALSE))</f>
        <v>0</v>
      </c>
      <c r="N64" s="4">
        <f>(VLOOKUP('8.0.0'!V64,'8.0.0'!$AM$4:$AP$48,4,FALSE))</f>
        <v>0</v>
      </c>
      <c r="O64" s="4">
        <f>(VLOOKUP('8.0.0'!W64,'8.0.0'!$AM$4:$AP$48,4,FALSE))</f>
        <v>0</v>
      </c>
      <c r="P64" s="4">
        <f>(VLOOKUP('8.0.0'!X64,'8.0.0'!$AM$4:$AP$48,4,FALSE))</f>
        <v>0</v>
      </c>
      <c r="Q64" s="4">
        <f>(VLOOKUP('8.0.0'!Y64,'8.0.0'!$AM$4:$AP$48,4,FALSE))</f>
        <v>38</v>
      </c>
      <c r="R64" s="4">
        <f>(VLOOKUP('8.0.0'!Z64,'8.0.0'!$AM$4:$AP$48,4,FALSE))</f>
        <v>38</v>
      </c>
      <c r="S64" s="4">
        <f>(VLOOKUP('8.0.0'!AA64,'8.0.0'!$AM$4:$AP$48,4,FALSE))</f>
        <v>0</v>
      </c>
      <c r="T64" s="4">
        <f>(VLOOKUP('8.0.0'!AB64,'8.0.0'!$AM$4:$AP$48,4,FALSE))</f>
        <v>38</v>
      </c>
      <c r="U64" s="4">
        <f>(VLOOKUP('8.0.0'!AC64,'8.0.0'!$AM$4:$AP$48,4,FALSE))</f>
        <v>38</v>
      </c>
      <c r="V64" s="4">
        <f>(VLOOKUP('8.0.0'!AD64,'8.0.0'!$AM$4:$AP$48,4,FALSE))</f>
        <v>0</v>
      </c>
      <c r="W64" s="4">
        <f>(VLOOKUP('8.0.0'!AE64,'8.0.0'!$AM$4:$AP$48,4,FALSE))</f>
        <v>0</v>
      </c>
      <c r="X64" s="4">
        <f>(VLOOKUP('8.0.0'!AF64,'8.0.0'!$AM$4:$AP$48,4,FALSE))</f>
        <v>0</v>
      </c>
    </row>
    <row r="65" spans="1:24">
      <c r="A65" s="4">
        <f>(VLOOKUP('8.0.0'!I65,'8.0.0'!$AM$4:$AP$48,4,FALSE))</f>
        <v>0</v>
      </c>
      <c r="B65" s="4">
        <f>(VLOOKUP('8.0.0'!J65,'8.0.0'!$AM$4:$AP$48,4,FALSE))</f>
        <v>0</v>
      </c>
      <c r="C65" s="4">
        <f>(VLOOKUP('8.0.0'!K65,'8.0.0'!$AM$4:$AP$48,4,FALSE))</f>
        <v>0</v>
      </c>
      <c r="D65" s="4">
        <f>(VLOOKUP('8.0.0'!L65,'8.0.0'!$AM$4:$AP$48,4,FALSE))</f>
        <v>0</v>
      </c>
      <c r="E65" s="4">
        <f>(VLOOKUP('8.0.0'!M65,'8.0.0'!$AM$4:$AP$48,4,FALSE))</f>
        <v>0</v>
      </c>
      <c r="F65" s="4">
        <f>(VLOOKUP('8.0.0'!N65,'8.0.0'!$AM$4:$AP$48,4,FALSE))</f>
        <v>0</v>
      </c>
      <c r="G65" s="4">
        <f>(VLOOKUP('8.0.0'!O65,'8.0.0'!$AM$4:$AP$48,4,FALSE))</f>
        <v>0</v>
      </c>
      <c r="H65" s="4">
        <f>(VLOOKUP('8.0.0'!P65,'8.0.0'!$AM$4:$AP$48,4,FALSE))</f>
        <v>0</v>
      </c>
      <c r="I65" s="4">
        <f>(VLOOKUP('8.0.0'!Q65,'8.0.0'!$AM$4:$AP$48,4,FALSE))</f>
        <v>0</v>
      </c>
      <c r="J65" s="4">
        <f>(VLOOKUP('8.0.0'!R65,'8.0.0'!$AM$4:$AP$48,4,FALSE))</f>
        <v>0</v>
      </c>
      <c r="K65" s="4">
        <f>(VLOOKUP('8.0.0'!S65,'8.0.0'!$AM$4:$AP$48,4,FALSE))</f>
        <v>0</v>
      </c>
      <c r="L65" s="4">
        <f>(VLOOKUP('8.0.0'!T65,'8.0.0'!$AM$4:$AP$48,4,FALSE))</f>
        <v>0</v>
      </c>
      <c r="M65" s="4">
        <f>(VLOOKUP('8.0.0'!U65,'8.0.0'!$AM$4:$AP$48,4,FALSE))</f>
        <v>0</v>
      </c>
      <c r="N65" s="4">
        <f>(VLOOKUP('8.0.0'!V65,'8.0.0'!$AM$4:$AP$48,4,FALSE))</f>
        <v>0</v>
      </c>
      <c r="O65" s="4">
        <f>(VLOOKUP('8.0.0'!W65,'8.0.0'!$AM$4:$AP$48,4,FALSE))</f>
        <v>0</v>
      </c>
      <c r="P65" s="4">
        <f>(VLOOKUP('8.0.0'!X65,'8.0.0'!$AM$4:$AP$48,4,FALSE))</f>
        <v>0</v>
      </c>
      <c r="Q65" s="4">
        <f>(VLOOKUP('8.0.0'!Y65,'8.0.0'!$AM$4:$AP$48,4,FALSE))</f>
        <v>0</v>
      </c>
      <c r="R65" s="4">
        <f>(VLOOKUP('8.0.0'!Z65,'8.0.0'!$AM$4:$AP$48,4,FALSE))</f>
        <v>38</v>
      </c>
      <c r="S65" s="4">
        <f>(VLOOKUP('8.0.0'!AA65,'8.0.0'!$AM$4:$AP$48,4,FALSE))</f>
        <v>38</v>
      </c>
      <c r="T65" s="4">
        <f>(VLOOKUP('8.0.0'!AB65,'8.0.0'!$AM$4:$AP$48,4,FALSE))</f>
        <v>38</v>
      </c>
      <c r="U65" s="4">
        <f>(VLOOKUP('8.0.0'!AC65,'8.0.0'!$AM$4:$AP$48,4,FALSE))</f>
        <v>38</v>
      </c>
      <c r="V65" s="4">
        <f>(VLOOKUP('8.0.0'!AD65,'8.0.0'!$AM$4:$AP$48,4,FALSE))</f>
        <v>0</v>
      </c>
      <c r="W65" s="4">
        <f>(VLOOKUP('8.0.0'!AE65,'8.0.0'!$AM$4:$AP$48,4,FALSE))</f>
        <v>0</v>
      </c>
      <c r="X65" s="4">
        <f>(VLOOKUP('8.0.0'!AF65,'8.0.0'!$AM$4:$AP$48,4,FALSE))</f>
        <v>0</v>
      </c>
    </row>
    <row r="66" spans="1:24">
      <c r="A66" s="4">
        <f>(VLOOKUP('8.0.0'!I66,'8.0.0'!$AM$4:$AP$48,4,FALSE))</f>
        <v>0</v>
      </c>
      <c r="B66" s="4">
        <f>(VLOOKUP('8.0.0'!J66,'8.0.0'!$AM$4:$AP$48,4,FALSE))</f>
        <v>0</v>
      </c>
      <c r="C66" s="4">
        <f>(VLOOKUP('8.0.0'!K66,'8.0.0'!$AM$4:$AP$48,4,FALSE))</f>
        <v>0</v>
      </c>
      <c r="D66" s="4">
        <f>(VLOOKUP('8.0.0'!L66,'8.0.0'!$AM$4:$AP$48,4,FALSE))</f>
        <v>0</v>
      </c>
      <c r="E66" s="4">
        <f>(VLOOKUP('8.0.0'!M66,'8.0.0'!$AM$4:$AP$48,4,FALSE))</f>
        <v>0</v>
      </c>
      <c r="F66" s="4">
        <f>(VLOOKUP('8.0.0'!N66,'8.0.0'!$AM$4:$AP$48,4,FALSE))</f>
        <v>0</v>
      </c>
      <c r="G66" s="4">
        <f>(VLOOKUP('8.0.0'!O66,'8.0.0'!$AM$4:$AP$48,4,FALSE))</f>
        <v>0</v>
      </c>
      <c r="H66" s="4">
        <f>(VLOOKUP('8.0.0'!P66,'8.0.0'!$AM$4:$AP$48,4,FALSE))</f>
        <v>0</v>
      </c>
      <c r="I66" s="4">
        <f>(VLOOKUP('8.0.0'!Q66,'8.0.0'!$AM$4:$AP$48,4,FALSE))</f>
        <v>0</v>
      </c>
      <c r="J66" s="4">
        <f>(VLOOKUP('8.0.0'!R66,'8.0.0'!$AM$4:$AP$48,4,FALSE))</f>
        <v>0</v>
      </c>
      <c r="K66" s="4">
        <f>(VLOOKUP('8.0.0'!S66,'8.0.0'!$AM$4:$AP$48,4,FALSE))</f>
        <v>0</v>
      </c>
      <c r="L66" s="4">
        <f>(VLOOKUP('8.0.0'!T66,'8.0.0'!$AM$4:$AP$48,4,FALSE))</f>
        <v>0</v>
      </c>
      <c r="M66" s="4">
        <f>(VLOOKUP('8.0.0'!U66,'8.0.0'!$AM$4:$AP$48,4,FALSE))</f>
        <v>0</v>
      </c>
      <c r="N66" s="4">
        <f>(VLOOKUP('8.0.0'!V66,'8.0.0'!$AM$4:$AP$48,4,FALSE))</f>
        <v>0</v>
      </c>
      <c r="O66" s="4">
        <f>(VLOOKUP('8.0.0'!W66,'8.0.0'!$AM$4:$AP$48,4,FALSE))</f>
        <v>0</v>
      </c>
      <c r="P66" s="4">
        <f>(VLOOKUP('8.0.0'!X66,'8.0.0'!$AM$4:$AP$48,4,FALSE))</f>
        <v>0</v>
      </c>
      <c r="Q66" s="4">
        <f>(VLOOKUP('8.0.0'!Y66,'8.0.0'!$AM$4:$AP$48,4,FALSE))</f>
        <v>38</v>
      </c>
      <c r="R66" s="4">
        <f>(VLOOKUP('8.0.0'!Z66,'8.0.0'!$AM$4:$AP$48,4,FALSE))</f>
        <v>36</v>
      </c>
      <c r="S66" s="4">
        <f>(VLOOKUP('8.0.0'!AA66,'8.0.0'!$AM$4:$AP$48,4,FALSE))</f>
        <v>36</v>
      </c>
      <c r="T66" s="4">
        <f>(VLOOKUP('8.0.0'!AB66,'8.0.0'!$AM$4:$AP$48,4,FALSE))</f>
        <v>36</v>
      </c>
      <c r="U66" s="4">
        <f>(VLOOKUP('8.0.0'!AC66,'8.0.0'!$AM$4:$AP$48,4,FALSE))</f>
        <v>0</v>
      </c>
      <c r="V66" s="4">
        <f>(VLOOKUP('8.0.0'!AD66,'8.0.0'!$AM$4:$AP$48,4,FALSE))</f>
        <v>0</v>
      </c>
      <c r="W66" s="4">
        <f>(VLOOKUP('8.0.0'!AE66,'8.0.0'!$AM$4:$AP$48,4,FALSE))</f>
        <v>0</v>
      </c>
      <c r="X66" s="4">
        <f>(VLOOKUP('8.0.0'!AF66,'8.0.0'!$AM$4:$AP$48,4,FALSE))</f>
        <v>0</v>
      </c>
    </row>
    <row r="67" spans="1:24">
      <c r="A67" s="4">
        <f>(VLOOKUP('8.0.0'!I67,'8.0.0'!$AM$4:$AP$48,4,FALSE))</f>
        <v>0</v>
      </c>
      <c r="B67" s="4">
        <f>(VLOOKUP('8.0.0'!J67,'8.0.0'!$AM$4:$AP$48,4,FALSE))</f>
        <v>0</v>
      </c>
      <c r="C67" s="4">
        <f>(VLOOKUP('8.0.0'!K67,'8.0.0'!$AM$4:$AP$48,4,FALSE))</f>
        <v>0</v>
      </c>
      <c r="D67" s="4">
        <f>(VLOOKUP('8.0.0'!L67,'8.0.0'!$AM$4:$AP$48,4,FALSE))</f>
        <v>0</v>
      </c>
      <c r="E67" s="4">
        <f>(VLOOKUP('8.0.0'!M67,'8.0.0'!$AM$4:$AP$48,4,FALSE))</f>
        <v>0</v>
      </c>
      <c r="F67" s="4">
        <f>(VLOOKUP('8.0.0'!N67,'8.0.0'!$AM$4:$AP$48,4,FALSE))</f>
        <v>0</v>
      </c>
      <c r="G67" s="4">
        <f>(VLOOKUP('8.0.0'!O67,'8.0.0'!$AM$4:$AP$48,4,FALSE))</f>
        <v>0</v>
      </c>
      <c r="H67" s="4">
        <f>(VLOOKUP('8.0.0'!P67,'8.0.0'!$AM$4:$AP$48,4,FALSE))</f>
        <v>0</v>
      </c>
      <c r="I67" s="4">
        <f>(VLOOKUP('8.0.0'!Q67,'8.0.0'!$AM$4:$AP$48,4,FALSE))</f>
        <v>0</v>
      </c>
      <c r="J67" s="4">
        <f>(VLOOKUP('8.0.0'!R67,'8.0.0'!$AM$4:$AP$48,4,FALSE))</f>
        <v>0</v>
      </c>
      <c r="K67" s="4">
        <f>(VLOOKUP('8.0.0'!S67,'8.0.0'!$AM$4:$AP$48,4,FALSE))</f>
        <v>0</v>
      </c>
      <c r="L67" s="4">
        <f>(VLOOKUP('8.0.0'!T67,'8.0.0'!$AM$4:$AP$48,4,FALSE))</f>
        <v>0</v>
      </c>
      <c r="M67" s="4">
        <f>(VLOOKUP('8.0.0'!U67,'8.0.0'!$AM$4:$AP$48,4,FALSE))</f>
        <v>0</v>
      </c>
      <c r="N67" s="4">
        <f>(VLOOKUP('8.0.0'!V67,'8.0.0'!$AM$4:$AP$48,4,FALSE))</f>
        <v>0</v>
      </c>
      <c r="O67" s="4">
        <f>(VLOOKUP('8.0.0'!W67,'8.0.0'!$AM$4:$AP$48,4,FALSE))</f>
        <v>0</v>
      </c>
      <c r="P67" s="4">
        <f>(VLOOKUP('8.0.0'!X67,'8.0.0'!$AM$4:$AP$48,4,FALSE))</f>
        <v>0</v>
      </c>
      <c r="Q67" s="4">
        <f>(VLOOKUP('8.0.0'!Y67,'8.0.0'!$AM$4:$AP$48,4,FALSE))</f>
        <v>36</v>
      </c>
      <c r="R67" s="4">
        <f>(VLOOKUP('8.0.0'!Z67,'8.0.0'!$AM$4:$AP$48,4,FALSE))</f>
        <v>36</v>
      </c>
      <c r="S67" s="4">
        <f>(VLOOKUP('8.0.0'!AA67,'8.0.0'!$AM$4:$AP$48,4,FALSE))</f>
        <v>36</v>
      </c>
      <c r="T67" s="4">
        <f>(VLOOKUP('8.0.0'!AB67,'8.0.0'!$AM$4:$AP$48,4,FALSE))</f>
        <v>36</v>
      </c>
      <c r="U67" s="4">
        <f>(VLOOKUP('8.0.0'!AC67,'8.0.0'!$AM$4:$AP$48,4,FALSE))</f>
        <v>36</v>
      </c>
      <c r="V67" s="4">
        <f>(VLOOKUP('8.0.0'!AD67,'8.0.0'!$AM$4:$AP$48,4,FALSE))</f>
        <v>0</v>
      </c>
      <c r="W67" s="4">
        <f>(VLOOKUP('8.0.0'!AE67,'8.0.0'!$AM$4:$AP$48,4,FALSE))</f>
        <v>0</v>
      </c>
      <c r="X67" s="4">
        <f>(VLOOKUP('8.0.0'!AF67,'8.0.0'!$AM$4:$AP$48,4,FALSE))</f>
        <v>0</v>
      </c>
    </row>
    <row r="68" spans="1:24">
      <c r="A68" s="4">
        <f>(VLOOKUP('8.0.0'!I68,'8.0.0'!$AM$4:$AP$48,4,FALSE))</f>
        <v>0</v>
      </c>
      <c r="B68" s="4">
        <f>(VLOOKUP('8.0.0'!J68,'8.0.0'!$AM$4:$AP$48,4,FALSE))</f>
        <v>0</v>
      </c>
      <c r="C68" s="4">
        <f>(VLOOKUP('8.0.0'!K68,'8.0.0'!$AM$4:$AP$48,4,FALSE))</f>
        <v>0</v>
      </c>
      <c r="D68" s="4">
        <f>(VLOOKUP('8.0.0'!L68,'8.0.0'!$AM$4:$AP$48,4,FALSE))</f>
        <v>0</v>
      </c>
      <c r="E68" s="4">
        <f>(VLOOKUP('8.0.0'!M68,'8.0.0'!$AM$4:$AP$48,4,FALSE))</f>
        <v>0</v>
      </c>
      <c r="F68" s="4">
        <f>(VLOOKUP('8.0.0'!N68,'8.0.0'!$AM$4:$AP$48,4,FALSE))</f>
        <v>0</v>
      </c>
      <c r="G68" s="4">
        <f>(VLOOKUP('8.0.0'!O68,'8.0.0'!$AM$4:$AP$48,4,FALSE))</f>
        <v>0</v>
      </c>
      <c r="H68" s="4">
        <f>(VLOOKUP('8.0.0'!P68,'8.0.0'!$AM$4:$AP$48,4,FALSE))</f>
        <v>0</v>
      </c>
      <c r="I68" s="4">
        <f>(VLOOKUP('8.0.0'!Q68,'8.0.0'!$AM$4:$AP$48,4,FALSE))</f>
        <v>0</v>
      </c>
      <c r="J68" s="4">
        <f>(VLOOKUP('8.0.0'!R68,'8.0.0'!$AM$4:$AP$48,4,FALSE))</f>
        <v>0</v>
      </c>
      <c r="K68" s="4">
        <f>(VLOOKUP('8.0.0'!S68,'8.0.0'!$AM$4:$AP$48,4,FALSE))</f>
        <v>0</v>
      </c>
      <c r="L68" s="4">
        <f>(VLOOKUP('8.0.0'!T68,'8.0.0'!$AM$4:$AP$48,4,FALSE))</f>
        <v>0</v>
      </c>
      <c r="M68" s="4">
        <f>(VLOOKUP('8.0.0'!U68,'8.0.0'!$AM$4:$AP$48,4,FALSE))</f>
        <v>0</v>
      </c>
      <c r="N68" s="4">
        <f>(VLOOKUP('8.0.0'!V68,'8.0.0'!$AM$4:$AP$48,4,FALSE))</f>
        <v>0</v>
      </c>
      <c r="O68" s="4">
        <f>(VLOOKUP('8.0.0'!W68,'8.0.0'!$AM$4:$AP$48,4,FALSE))</f>
        <v>0</v>
      </c>
      <c r="P68" s="4">
        <f>(VLOOKUP('8.0.0'!X68,'8.0.0'!$AM$4:$AP$48,4,FALSE))</f>
        <v>0</v>
      </c>
      <c r="Q68" s="4">
        <f>(VLOOKUP('8.0.0'!Y68,'8.0.0'!$AM$4:$AP$48,4,FALSE))</f>
        <v>36</v>
      </c>
      <c r="R68" s="4">
        <f>(VLOOKUP('8.0.0'!Z68,'8.0.0'!$AM$4:$AP$48,4,FALSE))</f>
        <v>36</v>
      </c>
      <c r="S68" s="4">
        <f>(VLOOKUP('8.0.0'!AA68,'8.0.0'!$AM$4:$AP$48,4,FALSE))</f>
        <v>36</v>
      </c>
      <c r="T68" s="4">
        <f>(VLOOKUP('8.0.0'!AB68,'8.0.0'!$AM$4:$AP$48,4,FALSE))</f>
        <v>36</v>
      </c>
      <c r="U68" s="4">
        <f>(VLOOKUP('8.0.0'!AC68,'8.0.0'!$AM$4:$AP$48,4,FALSE))</f>
        <v>0</v>
      </c>
      <c r="V68" s="4">
        <f>(VLOOKUP('8.0.0'!AD68,'8.0.0'!$AM$4:$AP$48,4,FALSE))</f>
        <v>0</v>
      </c>
      <c r="W68" s="4">
        <f>(VLOOKUP('8.0.0'!AE68,'8.0.0'!$AM$4:$AP$48,4,FALSE))</f>
        <v>0</v>
      </c>
      <c r="X68" s="4">
        <f>(VLOOKUP('8.0.0'!AF68,'8.0.0'!$AM$4:$AP$48,4,FALSE))</f>
        <v>0</v>
      </c>
    </row>
    <row r="69" spans="1:24">
      <c r="A69" s="4">
        <f>(VLOOKUP('8.0.0'!I69,'8.0.0'!$AM$4:$AP$48,4,FALSE))</f>
        <v>0</v>
      </c>
      <c r="B69" s="4">
        <f>(VLOOKUP('8.0.0'!J69,'8.0.0'!$AM$4:$AP$48,4,FALSE))</f>
        <v>0</v>
      </c>
      <c r="C69" s="4">
        <f>(VLOOKUP('8.0.0'!K69,'8.0.0'!$AM$4:$AP$48,4,FALSE))</f>
        <v>0</v>
      </c>
      <c r="D69" s="4">
        <f>(VLOOKUP('8.0.0'!L69,'8.0.0'!$AM$4:$AP$48,4,FALSE))</f>
        <v>0</v>
      </c>
      <c r="E69" s="4">
        <f>(VLOOKUP('8.0.0'!M69,'8.0.0'!$AM$4:$AP$48,4,FALSE))</f>
        <v>0</v>
      </c>
      <c r="F69" s="4">
        <f>(VLOOKUP('8.0.0'!N69,'8.0.0'!$AM$4:$AP$48,4,FALSE))</f>
        <v>0</v>
      </c>
      <c r="G69" s="4">
        <f>(VLOOKUP('8.0.0'!O69,'8.0.0'!$AM$4:$AP$48,4,FALSE))</f>
        <v>0</v>
      </c>
      <c r="H69" s="4">
        <f>(VLOOKUP('8.0.0'!P69,'8.0.0'!$AM$4:$AP$48,4,FALSE))</f>
        <v>0</v>
      </c>
      <c r="I69" s="4">
        <f>(VLOOKUP('8.0.0'!Q69,'8.0.0'!$AM$4:$AP$48,4,FALSE))</f>
        <v>0</v>
      </c>
      <c r="J69" s="4">
        <f>(VLOOKUP('8.0.0'!R69,'8.0.0'!$AM$4:$AP$48,4,FALSE))</f>
        <v>0</v>
      </c>
      <c r="K69" s="4">
        <f>(VLOOKUP('8.0.0'!S69,'8.0.0'!$AM$4:$AP$48,4,FALSE))</f>
        <v>0</v>
      </c>
      <c r="L69" s="4">
        <f>(VLOOKUP('8.0.0'!T69,'8.0.0'!$AM$4:$AP$48,4,FALSE))</f>
        <v>0</v>
      </c>
      <c r="M69" s="4">
        <f>(VLOOKUP('8.0.0'!U69,'8.0.0'!$AM$4:$AP$48,4,FALSE))</f>
        <v>0</v>
      </c>
      <c r="N69" s="4">
        <f>(VLOOKUP('8.0.0'!V69,'8.0.0'!$AM$4:$AP$48,4,FALSE))</f>
        <v>0</v>
      </c>
      <c r="O69" s="4">
        <f>(VLOOKUP('8.0.0'!W69,'8.0.0'!$AM$4:$AP$48,4,FALSE))</f>
        <v>0</v>
      </c>
      <c r="P69" s="4">
        <f>(VLOOKUP('8.0.0'!X69,'8.0.0'!$AM$4:$AP$48,4,FALSE))</f>
        <v>0</v>
      </c>
      <c r="Q69" s="4">
        <f>(VLOOKUP('8.0.0'!Y69,'8.0.0'!$AM$4:$AP$48,4,FALSE))</f>
        <v>36</v>
      </c>
      <c r="R69" s="4">
        <f>(VLOOKUP('8.0.0'!Z69,'8.0.0'!$AM$4:$AP$48,4,FALSE))</f>
        <v>36</v>
      </c>
      <c r="S69" s="4">
        <f>(VLOOKUP('8.0.0'!AA69,'8.0.0'!$AM$4:$AP$48,4,FALSE))</f>
        <v>36</v>
      </c>
      <c r="T69" s="4">
        <f>(VLOOKUP('8.0.0'!AB69,'8.0.0'!$AM$4:$AP$48,4,FALSE))</f>
        <v>36</v>
      </c>
      <c r="U69" s="4">
        <f>(VLOOKUP('8.0.0'!AC69,'8.0.0'!$AM$4:$AP$48,4,FALSE))</f>
        <v>0</v>
      </c>
      <c r="V69" s="4">
        <f>(VLOOKUP('8.0.0'!AD69,'8.0.0'!$AM$4:$AP$48,4,FALSE))</f>
        <v>0</v>
      </c>
      <c r="W69" s="4">
        <f>(VLOOKUP('8.0.0'!AE69,'8.0.0'!$AM$4:$AP$48,4,FALSE))</f>
        <v>0</v>
      </c>
      <c r="X69" s="4">
        <f>(VLOOKUP('8.0.0'!AF69,'8.0.0'!$AM$4:$AP$48,4,FALSE))</f>
        <v>0</v>
      </c>
    </row>
    <row r="70" spans="1:24">
      <c r="A70" s="4">
        <f>(VLOOKUP('8.0.0'!I70,'8.0.0'!$AM$4:$AP$48,4,FALSE))</f>
        <v>0</v>
      </c>
      <c r="B70" s="4">
        <f>(VLOOKUP('8.0.0'!J70,'8.0.0'!$AM$4:$AP$48,4,FALSE))</f>
        <v>0</v>
      </c>
      <c r="C70" s="4">
        <f>(VLOOKUP('8.0.0'!K70,'8.0.0'!$AM$4:$AP$48,4,FALSE))</f>
        <v>0</v>
      </c>
      <c r="D70" s="4">
        <f>(VLOOKUP('8.0.0'!L70,'8.0.0'!$AM$4:$AP$48,4,FALSE))</f>
        <v>0</v>
      </c>
      <c r="E70" s="4">
        <f>(VLOOKUP('8.0.0'!M70,'8.0.0'!$AM$4:$AP$48,4,FALSE))</f>
        <v>0</v>
      </c>
      <c r="F70" s="4">
        <f>(VLOOKUP('8.0.0'!N70,'8.0.0'!$AM$4:$AP$48,4,FALSE))</f>
        <v>0</v>
      </c>
      <c r="G70" s="4">
        <f>(VLOOKUP('8.0.0'!O70,'8.0.0'!$AM$4:$AP$48,4,FALSE))</f>
        <v>0</v>
      </c>
      <c r="H70" s="4">
        <f>(VLOOKUP('8.0.0'!P70,'8.0.0'!$AM$4:$AP$48,4,FALSE))</f>
        <v>0</v>
      </c>
      <c r="I70" s="4">
        <f>(VLOOKUP('8.0.0'!Q70,'8.0.0'!$AM$4:$AP$48,4,FALSE))</f>
        <v>0</v>
      </c>
      <c r="J70" s="4">
        <f>(VLOOKUP('8.0.0'!R70,'8.0.0'!$AM$4:$AP$48,4,FALSE))</f>
        <v>0</v>
      </c>
      <c r="K70" s="4">
        <f>(VLOOKUP('8.0.0'!S70,'8.0.0'!$AM$4:$AP$48,4,FALSE))</f>
        <v>0</v>
      </c>
      <c r="L70" s="4">
        <f>(VLOOKUP('8.0.0'!T70,'8.0.0'!$AM$4:$AP$48,4,FALSE))</f>
        <v>0</v>
      </c>
      <c r="M70" s="4">
        <f>(VLOOKUP('8.0.0'!U70,'8.0.0'!$AM$4:$AP$48,4,FALSE))</f>
        <v>0</v>
      </c>
      <c r="N70" s="4">
        <f>(VLOOKUP('8.0.0'!V70,'8.0.0'!$AM$4:$AP$48,4,FALSE))</f>
        <v>0</v>
      </c>
      <c r="O70" s="4">
        <f>(VLOOKUP('8.0.0'!W70,'8.0.0'!$AM$4:$AP$48,4,FALSE))</f>
        <v>0</v>
      </c>
      <c r="P70" s="4">
        <f>(VLOOKUP('8.0.0'!X70,'8.0.0'!$AM$4:$AP$48,4,FALSE))</f>
        <v>0</v>
      </c>
      <c r="Q70" s="4">
        <f>(VLOOKUP('8.0.0'!Y70,'8.0.0'!$AM$4:$AP$48,4,FALSE))</f>
        <v>36</v>
      </c>
      <c r="R70" s="4">
        <f>(VLOOKUP('8.0.0'!Z70,'8.0.0'!$AM$4:$AP$48,4,FALSE))</f>
        <v>36</v>
      </c>
      <c r="S70" s="4">
        <f>(VLOOKUP('8.0.0'!AA70,'8.0.0'!$AM$4:$AP$48,4,FALSE))</f>
        <v>36</v>
      </c>
      <c r="T70" s="4">
        <f>(VLOOKUP('8.0.0'!AB70,'8.0.0'!$AM$4:$AP$48,4,FALSE))</f>
        <v>36</v>
      </c>
      <c r="U70" s="4">
        <f>(VLOOKUP('8.0.0'!AC70,'8.0.0'!$AM$4:$AP$48,4,FALSE))</f>
        <v>36</v>
      </c>
      <c r="V70" s="4">
        <f>(VLOOKUP('8.0.0'!AD70,'8.0.0'!$AM$4:$AP$48,4,FALSE))</f>
        <v>0</v>
      </c>
      <c r="W70" s="4">
        <f>(VLOOKUP('8.0.0'!AE70,'8.0.0'!$AM$4:$AP$48,4,FALSE))</f>
        <v>0</v>
      </c>
      <c r="X70" s="4">
        <f>(VLOOKUP('8.0.0'!AF70,'8.0.0'!$AM$4:$AP$48,4,FALSE))</f>
        <v>0</v>
      </c>
    </row>
    <row r="71" spans="1:24">
      <c r="A71" s="4">
        <f>(VLOOKUP('8.0.0'!I71,'8.0.0'!$AM$4:$AP$48,4,FALSE))</f>
        <v>0</v>
      </c>
      <c r="B71" s="4">
        <f>(VLOOKUP('8.0.0'!J71,'8.0.0'!$AM$4:$AP$48,4,FALSE))</f>
        <v>0</v>
      </c>
      <c r="C71" s="4">
        <f>(VLOOKUP('8.0.0'!K71,'8.0.0'!$AM$4:$AP$48,4,FALSE))</f>
        <v>0</v>
      </c>
      <c r="D71" s="4">
        <f>(VLOOKUP('8.0.0'!L71,'8.0.0'!$AM$4:$AP$48,4,FALSE))</f>
        <v>0</v>
      </c>
      <c r="E71" s="4">
        <f>(VLOOKUP('8.0.0'!M71,'8.0.0'!$AM$4:$AP$48,4,FALSE))</f>
        <v>0</v>
      </c>
      <c r="F71" s="4">
        <f>(VLOOKUP('8.0.0'!N71,'8.0.0'!$AM$4:$AP$48,4,FALSE))</f>
        <v>0</v>
      </c>
      <c r="G71" s="4">
        <f>(VLOOKUP('8.0.0'!O71,'8.0.0'!$AM$4:$AP$48,4,FALSE))</f>
        <v>0</v>
      </c>
      <c r="H71" s="4">
        <f>(VLOOKUP('8.0.0'!P71,'8.0.0'!$AM$4:$AP$48,4,FALSE))</f>
        <v>0</v>
      </c>
      <c r="I71" s="4">
        <f>(VLOOKUP('8.0.0'!Q71,'8.0.0'!$AM$4:$AP$48,4,FALSE))</f>
        <v>0</v>
      </c>
      <c r="J71" s="4">
        <f>(VLOOKUP('8.0.0'!R71,'8.0.0'!$AM$4:$AP$48,4,FALSE))</f>
        <v>0</v>
      </c>
      <c r="K71" s="4">
        <f>(VLOOKUP('8.0.0'!S71,'8.0.0'!$AM$4:$AP$48,4,FALSE))</f>
        <v>0</v>
      </c>
      <c r="L71" s="4">
        <f>(VLOOKUP('8.0.0'!T71,'8.0.0'!$AM$4:$AP$48,4,FALSE))</f>
        <v>0</v>
      </c>
      <c r="M71" s="4">
        <f>(VLOOKUP('8.0.0'!U71,'8.0.0'!$AM$4:$AP$48,4,FALSE))</f>
        <v>0</v>
      </c>
      <c r="N71" s="4">
        <f>(VLOOKUP('8.0.0'!V71,'8.0.0'!$AM$4:$AP$48,4,FALSE))</f>
        <v>0</v>
      </c>
      <c r="O71" s="4">
        <f>(VLOOKUP('8.0.0'!W71,'8.0.0'!$AM$4:$AP$48,4,FALSE))</f>
        <v>0</v>
      </c>
      <c r="P71" s="4">
        <f>(VLOOKUP('8.0.0'!X71,'8.0.0'!$AM$4:$AP$48,4,FALSE))</f>
        <v>0</v>
      </c>
      <c r="Q71" s="4">
        <f>(VLOOKUP('8.0.0'!Y71,'8.0.0'!$AM$4:$AP$48,4,FALSE))</f>
        <v>36</v>
      </c>
      <c r="R71" s="4">
        <f>(VLOOKUP('8.0.0'!Z71,'8.0.0'!$AM$4:$AP$48,4,FALSE))</f>
        <v>36</v>
      </c>
      <c r="S71" s="4">
        <f>(VLOOKUP('8.0.0'!AA71,'8.0.0'!$AM$4:$AP$48,4,FALSE))</f>
        <v>36</v>
      </c>
      <c r="T71" s="4">
        <f>(VLOOKUP('8.0.0'!AB71,'8.0.0'!$AM$4:$AP$48,4,FALSE))</f>
        <v>36</v>
      </c>
      <c r="U71" s="4">
        <f>(VLOOKUP('8.0.0'!AC71,'8.0.0'!$AM$4:$AP$48,4,FALSE))</f>
        <v>36</v>
      </c>
      <c r="V71" s="4">
        <f>(VLOOKUP('8.0.0'!AD71,'8.0.0'!$AM$4:$AP$48,4,FALSE))</f>
        <v>0</v>
      </c>
      <c r="W71" s="4">
        <f>(VLOOKUP('8.0.0'!AE71,'8.0.0'!$AM$4:$AP$48,4,FALSE))</f>
        <v>0</v>
      </c>
      <c r="X71" s="4">
        <f>(VLOOKUP('8.0.0'!AF71,'8.0.0'!$AM$4:$AP$48,4,FALSE))</f>
        <v>0</v>
      </c>
    </row>
    <row r="72" spans="1:24">
      <c r="A72" s="4">
        <f>(VLOOKUP('8.0.0'!I72,'8.0.0'!$AM$4:$AP$48,4,FALSE))</f>
        <v>0</v>
      </c>
      <c r="B72" s="4">
        <f>(VLOOKUP('8.0.0'!J72,'8.0.0'!$AM$4:$AP$48,4,FALSE))</f>
        <v>0</v>
      </c>
      <c r="C72" s="4">
        <f>(VLOOKUP('8.0.0'!K72,'8.0.0'!$AM$4:$AP$48,4,FALSE))</f>
        <v>0</v>
      </c>
      <c r="D72" s="4">
        <f>(VLOOKUP('8.0.0'!L72,'8.0.0'!$AM$4:$AP$48,4,FALSE))</f>
        <v>0</v>
      </c>
      <c r="E72" s="4">
        <f>(VLOOKUP('8.0.0'!M72,'8.0.0'!$AM$4:$AP$48,4,FALSE))</f>
        <v>0</v>
      </c>
      <c r="F72" s="4">
        <f>(VLOOKUP('8.0.0'!N72,'8.0.0'!$AM$4:$AP$48,4,FALSE))</f>
        <v>0</v>
      </c>
      <c r="G72" s="4">
        <f>(VLOOKUP('8.0.0'!O72,'8.0.0'!$AM$4:$AP$48,4,FALSE))</f>
        <v>0</v>
      </c>
      <c r="H72" s="4">
        <f>(VLOOKUP('8.0.0'!P72,'8.0.0'!$AM$4:$AP$48,4,FALSE))</f>
        <v>0</v>
      </c>
      <c r="I72" s="4">
        <f>(VLOOKUP('8.0.0'!Q72,'8.0.0'!$AM$4:$AP$48,4,FALSE))</f>
        <v>0</v>
      </c>
      <c r="J72" s="4">
        <f>(VLOOKUP('8.0.0'!R72,'8.0.0'!$AM$4:$AP$48,4,FALSE))</f>
        <v>0</v>
      </c>
      <c r="K72" s="4">
        <f>(VLOOKUP('8.0.0'!S72,'8.0.0'!$AM$4:$AP$48,4,FALSE))</f>
        <v>0</v>
      </c>
      <c r="L72" s="4">
        <f>(VLOOKUP('8.0.0'!T72,'8.0.0'!$AM$4:$AP$48,4,FALSE))</f>
        <v>0</v>
      </c>
      <c r="M72" s="4">
        <f>(VLOOKUP('8.0.0'!U72,'8.0.0'!$AM$4:$AP$48,4,FALSE))</f>
        <v>0</v>
      </c>
      <c r="N72" s="4">
        <f>(VLOOKUP('8.0.0'!V72,'8.0.0'!$AM$4:$AP$48,4,FALSE))</f>
        <v>0</v>
      </c>
      <c r="O72" s="4">
        <f>(VLOOKUP('8.0.0'!W72,'8.0.0'!$AM$4:$AP$48,4,FALSE))</f>
        <v>0</v>
      </c>
      <c r="P72" s="4">
        <f>(VLOOKUP('8.0.0'!X72,'8.0.0'!$AM$4:$AP$48,4,FALSE))</f>
        <v>0</v>
      </c>
      <c r="Q72" s="4">
        <f>(VLOOKUP('8.0.0'!Y72,'8.0.0'!$AM$4:$AP$48,4,FALSE))</f>
        <v>36</v>
      </c>
      <c r="R72" s="4">
        <f>(VLOOKUP('8.0.0'!Z72,'8.0.0'!$AM$4:$AP$48,4,FALSE))</f>
        <v>36</v>
      </c>
      <c r="S72" s="4">
        <f>(VLOOKUP('8.0.0'!AA72,'8.0.0'!$AM$4:$AP$48,4,FALSE))</f>
        <v>36</v>
      </c>
      <c r="T72" s="4">
        <f>(VLOOKUP('8.0.0'!AB72,'8.0.0'!$AM$4:$AP$48,4,FALSE))</f>
        <v>36</v>
      </c>
      <c r="U72" s="4">
        <f>(VLOOKUP('8.0.0'!AC72,'8.0.0'!$AM$4:$AP$48,4,FALSE))</f>
        <v>0</v>
      </c>
      <c r="V72" s="4">
        <f>(VLOOKUP('8.0.0'!AD72,'8.0.0'!$AM$4:$AP$48,4,FALSE))</f>
        <v>0</v>
      </c>
      <c r="W72" s="4">
        <f>(VLOOKUP('8.0.0'!AE72,'8.0.0'!$AM$4:$AP$48,4,FALSE))</f>
        <v>0</v>
      </c>
      <c r="X72" s="4">
        <f>(VLOOKUP('8.0.0'!AF72,'8.0.0'!$AM$4:$AP$48,4,FALSE))</f>
        <v>0</v>
      </c>
    </row>
    <row r="73" spans="1:24">
      <c r="A73" s="4">
        <f>(VLOOKUP('8.0.0'!I73,'8.0.0'!$AM$4:$AP$48,4,FALSE))</f>
        <v>0</v>
      </c>
      <c r="B73" s="4">
        <f>(VLOOKUP('8.0.0'!J73,'8.0.0'!$AM$4:$AP$48,4,FALSE))</f>
        <v>0</v>
      </c>
      <c r="C73" s="4">
        <f>(VLOOKUP('8.0.0'!K73,'8.0.0'!$AM$4:$AP$48,4,FALSE))</f>
        <v>0</v>
      </c>
      <c r="D73" s="4">
        <f>(VLOOKUP('8.0.0'!L73,'8.0.0'!$AM$4:$AP$48,4,FALSE))</f>
        <v>0</v>
      </c>
      <c r="E73" s="4">
        <f>(VLOOKUP('8.0.0'!M73,'8.0.0'!$AM$4:$AP$48,4,FALSE))</f>
        <v>0</v>
      </c>
      <c r="F73" s="4">
        <f>(VLOOKUP('8.0.0'!N73,'8.0.0'!$AM$4:$AP$48,4,FALSE))</f>
        <v>0</v>
      </c>
      <c r="G73" s="4">
        <f>(VLOOKUP('8.0.0'!O73,'8.0.0'!$AM$4:$AP$48,4,FALSE))</f>
        <v>0</v>
      </c>
      <c r="H73" s="4">
        <f>(VLOOKUP('8.0.0'!P73,'8.0.0'!$AM$4:$AP$48,4,FALSE))</f>
        <v>0</v>
      </c>
      <c r="I73" s="4">
        <f>(VLOOKUP('8.0.0'!Q73,'8.0.0'!$AM$4:$AP$48,4,FALSE))</f>
        <v>0</v>
      </c>
      <c r="J73" s="4">
        <f>(VLOOKUP('8.0.0'!R73,'8.0.0'!$AM$4:$AP$48,4,FALSE))</f>
        <v>0</v>
      </c>
      <c r="K73" s="4">
        <f>(VLOOKUP('8.0.0'!S73,'8.0.0'!$AM$4:$AP$48,4,FALSE))</f>
        <v>0</v>
      </c>
      <c r="L73" s="4">
        <f>(VLOOKUP('8.0.0'!T73,'8.0.0'!$AM$4:$AP$48,4,FALSE))</f>
        <v>0</v>
      </c>
      <c r="M73" s="4">
        <f>(VLOOKUP('8.0.0'!U73,'8.0.0'!$AM$4:$AP$48,4,FALSE))</f>
        <v>0</v>
      </c>
      <c r="N73" s="4">
        <f>(VLOOKUP('8.0.0'!V73,'8.0.0'!$AM$4:$AP$48,4,FALSE))</f>
        <v>0</v>
      </c>
      <c r="O73" s="4">
        <f>(VLOOKUP('8.0.0'!W73,'8.0.0'!$AM$4:$AP$48,4,FALSE))</f>
        <v>0</v>
      </c>
      <c r="P73" s="4">
        <f>(VLOOKUP('8.0.0'!X73,'8.0.0'!$AM$4:$AP$48,4,FALSE))</f>
        <v>0</v>
      </c>
      <c r="Q73" s="4">
        <f>(VLOOKUP('8.0.0'!Y73,'8.0.0'!$AM$4:$AP$48,4,FALSE))</f>
        <v>36</v>
      </c>
      <c r="R73" s="4">
        <f>(VLOOKUP('8.0.0'!Z73,'8.0.0'!$AM$4:$AP$48,4,FALSE))</f>
        <v>36</v>
      </c>
      <c r="S73" s="4">
        <f>(VLOOKUP('8.0.0'!AA73,'8.0.0'!$AM$4:$AP$48,4,FALSE))</f>
        <v>0</v>
      </c>
      <c r="T73" s="4">
        <f>(VLOOKUP('8.0.0'!AB73,'8.0.0'!$AM$4:$AP$48,4,FALSE))</f>
        <v>36</v>
      </c>
      <c r="U73" s="4">
        <f>(VLOOKUP('8.0.0'!AC73,'8.0.0'!$AM$4:$AP$48,4,FALSE))</f>
        <v>36</v>
      </c>
      <c r="V73" s="4">
        <f>(VLOOKUP('8.0.0'!AD73,'8.0.0'!$AM$4:$AP$48,4,FALSE))</f>
        <v>36</v>
      </c>
      <c r="W73" s="4">
        <f>(VLOOKUP('8.0.0'!AE73,'8.0.0'!$AM$4:$AP$48,4,FALSE))</f>
        <v>10</v>
      </c>
      <c r="X73" s="4">
        <f>(VLOOKUP('8.0.0'!AF73,'8.0.0'!$AM$4:$AP$48,4,FALSE))</f>
        <v>0</v>
      </c>
    </row>
    <row r="74" spans="1:24">
      <c r="A74" s="4">
        <f>(VLOOKUP('8.0.0'!I74,'8.0.0'!$AM$4:$AP$48,4,FALSE))</f>
        <v>0</v>
      </c>
      <c r="B74" s="4">
        <f>(VLOOKUP('8.0.0'!J74,'8.0.0'!$AM$4:$AP$48,4,FALSE))</f>
        <v>0</v>
      </c>
      <c r="C74" s="4">
        <f>(VLOOKUP('8.0.0'!K74,'8.0.0'!$AM$4:$AP$48,4,FALSE))</f>
        <v>0</v>
      </c>
      <c r="D74" s="4">
        <f>(VLOOKUP('8.0.0'!L74,'8.0.0'!$AM$4:$AP$48,4,FALSE))</f>
        <v>0</v>
      </c>
      <c r="E74" s="4">
        <f>(VLOOKUP('8.0.0'!M74,'8.0.0'!$AM$4:$AP$48,4,FALSE))</f>
        <v>0</v>
      </c>
      <c r="F74" s="4">
        <f>(VLOOKUP('8.0.0'!N74,'8.0.0'!$AM$4:$AP$48,4,FALSE))</f>
        <v>0</v>
      </c>
      <c r="G74" s="4">
        <f>(VLOOKUP('8.0.0'!O74,'8.0.0'!$AM$4:$AP$48,4,FALSE))</f>
        <v>0</v>
      </c>
      <c r="H74" s="4">
        <f>(VLOOKUP('8.0.0'!P74,'8.0.0'!$AM$4:$AP$48,4,FALSE))</f>
        <v>0</v>
      </c>
      <c r="I74" s="4">
        <f>(VLOOKUP('8.0.0'!Q74,'8.0.0'!$AM$4:$AP$48,4,FALSE))</f>
        <v>0</v>
      </c>
      <c r="J74" s="4">
        <f>(VLOOKUP('8.0.0'!R74,'8.0.0'!$AM$4:$AP$48,4,FALSE))</f>
        <v>0</v>
      </c>
      <c r="K74" s="4">
        <f>(VLOOKUP('8.0.0'!S74,'8.0.0'!$AM$4:$AP$48,4,FALSE))</f>
        <v>0</v>
      </c>
      <c r="L74" s="4">
        <f>(VLOOKUP('8.0.0'!T74,'8.0.0'!$AM$4:$AP$48,4,FALSE))</f>
        <v>0</v>
      </c>
      <c r="M74" s="4">
        <f>(VLOOKUP('8.0.0'!U74,'8.0.0'!$AM$4:$AP$48,4,FALSE))</f>
        <v>0</v>
      </c>
      <c r="N74" s="4">
        <f>(VLOOKUP('8.0.0'!V74,'8.0.0'!$AM$4:$AP$48,4,FALSE))</f>
        <v>0</v>
      </c>
      <c r="O74" s="4">
        <f>(VLOOKUP('8.0.0'!W74,'8.0.0'!$AM$4:$AP$48,4,FALSE))</f>
        <v>0</v>
      </c>
      <c r="P74" s="4">
        <f>(VLOOKUP('8.0.0'!X74,'8.0.0'!$AM$4:$AP$48,4,FALSE))</f>
        <v>0</v>
      </c>
      <c r="Q74" s="4">
        <f>(VLOOKUP('8.0.0'!Y74,'8.0.0'!$AM$4:$AP$48,4,FALSE))</f>
        <v>36</v>
      </c>
      <c r="R74" s="4">
        <f>(VLOOKUP('8.0.0'!Z74,'8.0.0'!$AM$4:$AP$48,4,FALSE))</f>
        <v>36</v>
      </c>
      <c r="S74" s="4">
        <f>(VLOOKUP('8.0.0'!AA74,'8.0.0'!$AM$4:$AP$48,4,FALSE))</f>
        <v>36</v>
      </c>
      <c r="T74" s="4">
        <f>(VLOOKUP('8.0.0'!AB74,'8.0.0'!$AM$4:$AP$48,4,FALSE))</f>
        <v>36</v>
      </c>
      <c r="U74" s="4">
        <f>(VLOOKUP('8.0.0'!AC74,'8.0.0'!$AM$4:$AP$48,4,FALSE))</f>
        <v>36</v>
      </c>
      <c r="V74" s="4">
        <f>(VLOOKUP('8.0.0'!AD74,'8.0.0'!$AM$4:$AP$48,4,FALSE))</f>
        <v>0</v>
      </c>
      <c r="W74" s="4">
        <f>(VLOOKUP('8.0.0'!AE74,'8.0.0'!$AM$4:$AP$48,4,FALSE))</f>
        <v>0</v>
      </c>
      <c r="X74" s="4">
        <f>(VLOOKUP('8.0.0'!AF74,'8.0.0'!$AM$4:$AP$48,4,FALSE))</f>
        <v>0</v>
      </c>
    </row>
    <row r="75" spans="1:24">
      <c r="A75" s="4">
        <f>(VLOOKUP('8.0.0'!I75,'8.0.0'!$AM$4:$AP$48,4,FALSE))</f>
        <v>0</v>
      </c>
      <c r="B75" s="4">
        <f>(VLOOKUP('8.0.0'!J75,'8.0.0'!$AM$4:$AP$48,4,FALSE))</f>
        <v>0</v>
      </c>
      <c r="C75" s="4">
        <f>(VLOOKUP('8.0.0'!K75,'8.0.0'!$AM$4:$AP$48,4,FALSE))</f>
        <v>0</v>
      </c>
      <c r="D75" s="4">
        <f>(VLOOKUP('8.0.0'!L75,'8.0.0'!$AM$4:$AP$48,4,FALSE))</f>
        <v>0</v>
      </c>
      <c r="E75" s="4">
        <f>(VLOOKUP('8.0.0'!M75,'8.0.0'!$AM$4:$AP$48,4,FALSE))</f>
        <v>0</v>
      </c>
      <c r="F75" s="4">
        <f>(VLOOKUP('8.0.0'!N75,'8.0.0'!$AM$4:$AP$48,4,FALSE))</f>
        <v>0</v>
      </c>
      <c r="G75" s="4">
        <f>(VLOOKUP('8.0.0'!O75,'8.0.0'!$AM$4:$AP$48,4,FALSE))</f>
        <v>0</v>
      </c>
      <c r="H75" s="4">
        <f>(VLOOKUP('8.0.0'!P75,'8.0.0'!$AM$4:$AP$48,4,FALSE))</f>
        <v>0</v>
      </c>
      <c r="I75" s="4">
        <f>(VLOOKUP('8.0.0'!Q75,'8.0.0'!$AM$4:$AP$48,4,FALSE))</f>
        <v>0</v>
      </c>
      <c r="J75" s="4">
        <f>(VLOOKUP('8.0.0'!R75,'8.0.0'!$AM$4:$AP$48,4,FALSE))</f>
        <v>0</v>
      </c>
      <c r="K75" s="4">
        <f>(VLOOKUP('8.0.0'!S75,'8.0.0'!$AM$4:$AP$48,4,FALSE))</f>
        <v>0</v>
      </c>
      <c r="L75" s="4">
        <f>(VLOOKUP('8.0.0'!T75,'8.0.0'!$AM$4:$AP$48,4,FALSE))</f>
        <v>0</v>
      </c>
      <c r="M75" s="4">
        <f>(VLOOKUP('8.0.0'!U75,'8.0.0'!$AM$4:$AP$48,4,FALSE))</f>
        <v>0</v>
      </c>
      <c r="N75" s="4">
        <f>(VLOOKUP('8.0.0'!V75,'8.0.0'!$AM$4:$AP$48,4,FALSE))</f>
        <v>0</v>
      </c>
      <c r="O75" s="4">
        <f>(VLOOKUP('8.0.0'!W75,'8.0.0'!$AM$4:$AP$48,4,FALSE))</f>
        <v>0</v>
      </c>
      <c r="P75" s="4">
        <f>(VLOOKUP('8.0.0'!X75,'8.0.0'!$AM$4:$AP$48,4,FALSE))</f>
        <v>0</v>
      </c>
      <c r="Q75" s="4">
        <f>(VLOOKUP('8.0.0'!Y75,'8.0.0'!$AM$4:$AP$48,4,FALSE))</f>
        <v>36</v>
      </c>
      <c r="R75" s="4">
        <f>(VLOOKUP('8.0.0'!Z75,'8.0.0'!$AM$4:$AP$48,4,FALSE))</f>
        <v>36</v>
      </c>
      <c r="S75" s="4">
        <f>(VLOOKUP('8.0.0'!AA75,'8.0.0'!$AM$4:$AP$48,4,FALSE))</f>
        <v>36</v>
      </c>
      <c r="T75" s="4">
        <f>(VLOOKUP('8.0.0'!AB75,'8.0.0'!$AM$4:$AP$48,4,FALSE))</f>
        <v>36</v>
      </c>
      <c r="U75" s="4">
        <f>(VLOOKUP('8.0.0'!AC75,'8.0.0'!$AM$4:$AP$48,4,FALSE))</f>
        <v>0</v>
      </c>
      <c r="V75" s="4">
        <f>(VLOOKUP('8.0.0'!AD75,'8.0.0'!$AM$4:$AP$48,4,FALSE))</f>
        <v>0</v>
      </c>
      <c r="W75" s="4">
        <f>(VLOOKUP('8.0.0'!AE75,'8.0.0'!$AM$4:$AP$48,4,FALSE))</f>
        <v>0</v>
      </c>
      <c r="X75" s="4">
        <f>(VLOOKUP('8.0.0'!AF75,'8.0.0'!$AM$4:$AP$48,4,FALSE))</f>
        <v>0</v>
      </c>
    </row>
    <row r="76" spans="1:24">
      <c r="A76" s="4">
        <f>(VLOOKUP('8.0.0'!I76,'8.0.0'!$AM$4:$AP$48,4,FALSE))</f>
        <v>0</v>
      </c>
      <c r="B76" s="4">
        <f>(VLOOKUP('8.0.0'!J76,'8.0.0'!$AM$4:$AP$48,4,FALSE))</f>
        <v>0</v>
      </c>
      <c r="C76" s="4">
        <f>(VLOOKUP('8.0.0'!K76,'8.0.0'!$AM$4:$AP$48,4,FALSE))</f>
        <v>0</v>
      </c>
      <c r="D76" s="4">
        <f>(VLOOKUP('8.0.0'!L76,'8.0.0'!$AM$4:$AP$48,4,FALSE))</f>
        <v>0</v>
      </c>
      <c r="E76" s="4">
        <f>(VLOOKUP('8.0.0'!M76,'8.0.0'!$AM$4:$AP$48,4,FALSE))</f>
        <v>0</v>
      </c>
      <c r="F76" s="4">
        <f>(VLOOKUP('8.0.0'!N76,'8.0.0'!$AM$4:$AP$48,4,FALSE))</f>
        <v>0</v>
      </c>
      <c r="G76" s="4">
        <f>(VLOOKUP('8.0.0'!O76,'8.0.0'!$AM$4:$AP$48,4,FALSE))</f>
        <v>0</v>
      </c>
      <c r="H76" s="4">
        <f>(VLOOKUP('8.0.0'!P76,'8.0.0'!$AM$4:$AP$48,4,FALSE))</f>
        <v>0</v>
      </c>
      <c r="I76" s="4">
        <f>(VLOOKUP('8.0.0'!Q76,'8.0.0'!$AM$4:$AP$48,4,FALSE))</f>
        <v>0</v>
      </c>
      <c r="J76" s="4">
        <f>(VLOOKUP('8.0.0'!R76,'8.0.0'!$AM$4:$AP$48,4,FALSE))</f>
        <v>0</v>
      </c>
      <c r="K76" s="4">
        <f>(VLOOKUP('8.0.0'!S76,'8.0.0'!$AM$4:$AP$48,4,FALSE))</f>
        <v>0</v>
      </c>
      <c r="L76" s="4">
        <f>(VLOOKUP('8.0.0'!T76,'8.0.0'!$AM$4:$AP$48,4,FALSE))</f>
        <v>0</v>
      </c>
      <c r="M76" s="4">
        <f>(VLOOKUP('8.0.0'!U76,'8.0.0'!$AM$4:$AP$48,4,FALSE))</f>
        <v>0</v>
      </c>
      <c r="N76" s="4">
        <f>(VLOOKUP('8.0.0'!V76,'8.0.0'!$AM$4:$AP$48,4,FALSE))</f>
        <v>0</v>
      </c>
      <c r="O76" s="4">
        <f>(VLOOKUP('8.0.0'!W76,'8.0.0'!$AM$4:$AP$48,4,FALSE))</f>
        <v>0</v>
      </c>
      <c r="P76" s="4">
        <f>(VLOOKUP('8.0.0'!X76,'8.0.0'!$AM$4:$AP$48,4,FALSE))</f>
        <v>0</v>
      </c>
      <c r="Q76" s="4">
        <f>(VLOOKUP('8.0.0'!Y76,'8.0.0'!$AM$4:$AP$48,4,FALSE))</f>
        <v>36</v>
      </c>
      <c r="R76" s="4">
        <f>(VLOOKUP('8.0.0'!Z76,'8.0.0'!$AM$4:$AP$48,4,FALSE))</f>
        <v>36</v>
      </c>
      <c r="S76" s="4">
        <f>(VLOOKUP('8.0.0'!AA76,'8.0.0'!$AM$4:$AP$48,4,FALSE))</f>
        <v>10</v>
      </c>
      <c r="T76" s="4">
        <f>(VLOOKUP('8.0.0'!AB76,'8.0.0'!$AM$4:$AP$48,4,FALSE))</f>
        <v>36</v>
      </c>
      <c r="U76" s="4">
        <f>(VLOOKUP('8.0.0'!AC76,'8.0.0'!$AM$4:$AP$48,4,FALSE))</f>
        <v>36</v>
      </c>
      <c r="V76" s="4">
        <f>(VLOOKUP('8.0.0'!AD76,'8.0.0'!$AM$4:$AP$48,4,FALSE))</f>
        <v>0</v>
      </c>
      <c r="W76" s="4">
        <f>(VLOOKUP('8.0.0'!AE76,'8.0.0'!$AM$4:$AP$48,4,FALSE))</f>
        <v>0</v>
      </c>
      <c r="X76" s="4">
        <f>(VLOOKUP('8.0.0'!AF76,'8.0.0'!$AM$4:$AP$48,4,FALSE))</f>
        <v>0</v>
      </c>
    </row>
    <row r="77" spans="1:24">
      <c r="A77" s="4">
        <f>(VLOOKUP('8.0.0'!I77,'8.0.0'!$AM$4:$AP$48,4,FALSE))</f>
        <v>0</v>
      </c>
      <c r="B77" s="4">
        <f>(VLOOKUP('8.0.0'!J77,'8.0.0'!$AM$4:$AP$48,4,FALSE))</f>
        <v>0</v>
      </c>
      <c r="C77" s="4">
        <f>(VLOOKUP('8.0.0'!K77,'8.0.0'!$AM$4:$AP$48,4,FALSE))</f>
        <v>0</v>
      </c>
      <c r="D77" s="4">
        <f>(VLOOKUP('8.0.0'!L77,'8.0.0'!$AM$4:$AP$48,4,FALSE))</f>
        <v>0</v>
      </c>
      <c r="E77" s="4">
        <f>(VLOOKUP('8.0.0'!M77,'8.0.0'!$AM$4:$AP$48,4,FALSE))</f>
        <v>0</v>
      </c>
      <c r="F77" s="4">
        <f>(VLOOKUP('8.0.0'!N77,'8.0.0'!$AM$4:$AP$48,4,FALSE))</f>
        <v>0</v>
      </c>
      <c r="G77" s="4">
        <f>(VLOOKUP('8.0.0'!O77,'8.0.0'!$AM$4:$AP$48,4,FALSE))</f>
        <v>0</v>
      </c>
      <c r="H77" s="4">
        <f>(VLOOKUP('8.0.0'!P77,'8.0.0'!$AM$4:$AP$48,4,FALSE))</f>
        <v>0</v>
      </c>
      <c r="I77" s="4">
        <f>(VLOOKUP('8.0.0'!Q77,'8.0.0'!$AM$4:$AP$48,4,FALSE))</f>
        <v>0</v>
      </c>
      <c r="J77" s="4">
        <f>(VLOOKUP('8.0.0'!R77,'8.0.0'!$AM$4:$AP$48,4,FALSE))</f>
        <v>0</v>
      </c>
      <c r="K77" s="4">
        <f>(VLOOKUP('8.0.0'!S77,'8.0.0'!$AM$4:$AP$48,4,FALSE))</f>
        <v>0</v>
      </c>
      <c r="L77" s="4">
        <f>(VLOOKUP('8.0.0'!T77,'8.0.0'!$AM$4:$AP$48,4,FALSE))</f>
        <v>0</v>
      </c>
      <c r="M77" s="4">
        <f>(VLOOKUP('8.0.0'!U77,'8.0.0'!$AM$4:$AP$48,4,FALSE))</f>
        <v>0</v>
      </c>
      <c r="N77" s="4">
        <f>(VLOOKUP('8.0.0'!V77,'8.0.0'!$AM$4:$AP$48,4,FALSE))</f>
        <v>0</v>
      </c>
      <c r="O77" s="4">
        <f>(VLOOKUP('8.0.0'!W77,'8.0.0'!$AM$4:$AP$48,4,FALSE))</f>
        <v>0</v>
      </c>
      <c r="P77" s="4">
        <f>(VLOOKUP('8.0.0'!X77,'8.0.0'!$AM$4:$AP$48,4,FALSE))</f>
        <v>0</v>
      </c>
      <c r="Q77" s="4">
        <f>(VLOOKUP('8.0.0'!Y77,'8.0.0'!$AM$4:$AP$48,4,FALSE))</f>
        <v>36</v>
      </c>
      <c r="R77" s="4">
        <f>(VLOOKUP('8.0.0'!Z77,'8.0.0'!$AM$4:$AP$48,4,FALSE))</f>
        <v>36</v>
      </c>
      <c r="S77" s="4">
        <f>(VLOOKUP('8.0.0'!AA77,'8.0.0'!$AM$4:$AP$48,4,FALSE))</f>
        <v>36</v>
      </c>
      <c r="T77" s="4">
        <f>(VLOOKUP('8.0.0'!AB77,'8.0.0'!$AM$4:$AP$48,4,FALSE))</f>
        <v>36</v>
      </c>
      <c r="U77" s="4">
        <f>(VLOOKUP('8.0.0'!AC77,'8.0.0'!$AM$4:$AP$48,4,FALSE))</f>
        <v>36</v>
      </c>
      <c r="V77" s="4">
        <f>(VLOOKUP('8.0.0'!AD77,'8.0.0'!$AM$4:$AP$48,4,FALSE))</f>
        <v>0</v>
      </c>
      <c r="W77" s="4">
        <f>(VLOOKUP('8.0.0'!AE77,'8.0.0'!$AM$4:$AP$48,4,FALSE))</f>
        <v>0</v>
      </c>
      <c r="X77" s="4">
        <f>(VLOOKUP('8.0.0'!AF77,'8.0.0'!$AM$4:$AP$48,4,FALSE))</f>
        <v>0</v>
      </c>
    </row>
    <row r="78" spans="1:24">
      <c r="A78" s="4">
        <f>(VLOOKUP('8.0.0'!I78,'8.0.0'!$AM$4:$AP$48,4,FALSE))</f>
        <v>0</v>
      </c>
      <c r="B78" s="4">
        <f>(VLOOKUP('8.0.0'!J78,'8.0.0'!$AM$4:$AP$48,4,FALSE))</f>
        <v>0</v>
      </c>
      <c r="C78" s="4">
        <f>(VLOOKUP('8.0.0'!K78,'8.0.0'!$AM$4:$AP$48,4,FALSE))</f>
        <v>0</v>
      </c>
      <c r="D78" s="4">
        <f>(VLOOKUP('8.0.0'!L78,'8.0.0'!$AM$4:$AP$48,4,FALSE))</f>
        <v>0</v>
      </c>
      <c r="E78" s="4">
        <f>(VLOOKUP('8.0.0'!M78,'8.0.0'!$AM$4:$AP$48,4,FALSE))</f>
        <v>0</v>
      </c>
      <c r="F78" s="4">
        <f>(VLOOKUP('8.0.0'!N78,'8.0.0'!$AM$4:$AP$48,4,FALSE))</f>
        <v>0</v>
      </c>
      <c r="G78" s="4">
        <f>(VLOOKUP('8.0.0'!O78,'8.0.0'!$AM$4:$AP$48,4,FALSE))</f>
        <v>0</v>
      </c>
      <c r="H78" s="4">
        <f>(VLOOKUP('8.0.0'!P78,'8.0.0'!$AM$4:$AP$48,4,FALSE))</f>
        <v>0</v>
      </c>
      <c r="I78" s="4">
        <f>(VLOOKUP('8.0.0'!Q78,'8.0.0'!$AM$4:$AP$48,4,FALSE))</f>
        <v>0</v>
      </c>
      <c r="J78" s="4">
        <f>(VLOOKUP('8.0.0'!R78,'8.0.0'!$AM$4:$AP$48,4,FALSE))</f>
        <v>0</v>
      </c>
      <c r="K78" s="4">
        <f>(VLOOKUP('8.0.0'!S78,'8.0.0'!$AM$4:$AP$48,4,FALSE))</f>
        <v>0</v>
      </c>
      <c r="L78" s="4">
        <f>(VLOOKUP('8.0.0'!T78,'8.0.0'!$AM$4:$AP$48,4,FALSE))</f>
        <v>0</v>
      </c>
      <c r="M78" s="4">
        <f>(VLOOKUP('8.0.0'!U78,'8.0.0'!$AM$4:$AP$48,4,FALSE))</f>
        <v>0</v>
      </c>
      <c r="N78" s="4">
        <f>(VLOOKUP('8.0.0'!V78,'8.0.0'!$AM$4:$AP$48,4,FALSE))</f>
        <v>0</v>
      </c>
      <c r="O78" s="4">
        <f>(VLOOKUP('8.0.0'!W78,'8.0.0'!$AM$4:$AP$48,4,FALSE))</f>
        <v>0</v>
      </c>
      <c r="P78" s="4">
        <f>(VLOOKUP('8.0.0'!X78,'8.0.0'!$AM$4:$AP$48,4,FALSE))</f>
        <v>0</v>
      </c>
      <c r="Q78" s="4">
        <f>(VLOOKUP('8.0.0'!Y78,'8.0.0'!$AM$4:$AP$48,4,FALSE))</f>
        <v>36</v>
      </c>
      <c r="R78" s="4">
        <f>(VLOOKUP('8.0.0'!Z78,'8.0.0'!$AM$4:$AP$48,4,FALSE))</f>
        <v>0</v>
      </c>
      <c r="S78" s="4">
        <f>(VLOOKUP('8.0.0'!AA78,'8.0.0'!$AM$4:$AP$48,4,FALSE))</f>
        <v>36</v>
      </c>
      <c r="T78" s="4">
        <f>(VLOOKUP('8.0.0'!AB78,'8.0.0'!$AM$4:$AP$48,4,FALSE))</f>
        <v>36</v>
      </c>
      <c r="U78" s="4">
        <f>(VLOOKUP('8.0.0'!AC78,'8.0.0'!$AM$4:$AP$48,4,FALSE))</f>
        <v>36</v>
      </c>
      <c r="V78" s="4">
        <f>(VLOOKUP('8.0.0'!AD78,'8.0.0'!$AM$4:$AP$48,4,FALSE))</f>
        <v>36</v>
      </c>
      <c r="W78" s="4">
        <f>(VLOOKUP('8.0.0'!AE78,'8.0.0'!$AM$4:$AP$48,4,FALSE))</f>
        <v>0</v>
      </c>
      <c r="X78" s="4">
        <f>(VLOOKUP('8.0.0'!AF78,'8.0.0'!$AM$4:$AP$48,4,FALSE))</f>
        <v>0</v>
      </c>
    </row>
    <row r="79" spans="1:24">
      <c r="A79" s="4">
        <f>(VLOOKUP('8.0.0'!I79,'8.0.0'!$AM$4:$AP$48,4,FALSE))</f>
        <v>0</v>
      </c>
      <c r="B79" s="4">
        <f>(VLOOKUP('8.0.0'!J79,'8.0.0'!$AM$4:$AP$48,4,FALSE))</f>
        <v>0</v>
      </c>
      <c r="C79" s="4">
        <f>(VLOOKUP('8.0.0'!K79,'8.0.0'!$AM$4:$AP$48,4,FALSE))</f>
        <v>0</v>
      </c>
      <c r="D79" s="4">
        <f>(VLOOKUP('8.0.0'!L79,'8.0.0'!$AM$4:$AP$48,4,FALSE))</f>
        <v>0</v>
      </c>
      <c r="E79" s="4">
        <f>(VLOOKUP('8.0.0'!M79,'8.0.0'!$AM$4:$AP$48,4,FALSE))</f>
        <v>0</v>
      </c>
      <c r="F79" s="4">
        <f>(VLOOKUP('8.0.0'!N79,'8.0.0'!$AM$4:$AP$48,4,FALSE))</f>
        <v>0</v>
      </c>
      <c r="G79" s="4">
        <f>(VLOOKUP('8.0.0'!O79,'8.0.0'!$AM$4:$AP$48,4,FALSE))</f>
        <v>0</v>
      </c>
      <c r="H79" s="4">
        <f>(VLOOKUP('8.0.0'!P79,'8.0.0'!$AM$4:$AP$48,4,FALSE))</f>
        <v>0</v>
      </c>
      <c r="I79" s="4">
        <f>(VLOOKUP('8.0.0'!Q79,'8.0.0'!$AM$4:$AP$48,4,FALSE))</f>
        <v>0</v>
      </c>
      <c r="J79" s="4">
        <f>(VLOOKUP('8.0.0'!R79,'8.0.0'!$AM$4:$AP$48,4,FALSE))</f>
        <v>0</v>
      </c>
      <c r="K79" s="4">
        <f>(VLOOKUP('8.0.0'!S79,'8.0.0'!$AM$4:$AP$48,4,FALSE))</f>
        <v>0</v>
      </c>
      <c r="L79" s="4">
        <f>(VLOOKUP('8.0.0'!T79,'8.0.0'!$AM$4:$AP$48,4,FALSE))</f>
        <v>0</v>
      </c>
      <c r="M79" s="4">
        <f>(VLOOKUP('8.0.0'!U79,'8.0.0'!$AM$4:$AP$48,4,FALSE))</f>
        <v>0</v>
      </c>
      <c r="N79" s="4">
        <f>(VLOOKUP('8.0.0'!V79,'8.0.0'!$AM$4:$AP$48,4,FALSE))</f>
        <v>0</v>
      </c>
      <c r="O79" s="4">
        <f>(VLOOKUP('8.0.0'!W79,'8.0.0'!$AM$4:$AP$48,4,FALSE))</f>
        <v>0</v>
      </c>
      <c r="P79" s="4">
        <f>(VLOOKUP('8.0.0'!X79,'8.0.0'!$AM$4:$AP$48,4,FALSE))</f>
        <v>0</v>
      </c>
      <c r="Q79" s="4">
        <f>(VLOOKUP('8.0.0'!Y79,'8.0.0'!$AM$4:$AP$48,4,FALSE))</f>
        <v>36</v>
      </c>
      <c r="R79" s="4">
        <f>(VLOOKUP('8.0.0'!Z79,'8.0.0'!$AM$4:$AP$48,4,FALSE))</f>
        <v>36</v>
      </c>
      <c r="S79" s="4">
        <f>(VLOOKUP('8.0.0'!AA79,'8.0.0'!$AM$4:$AP$48,4,FALSE))</f>
        <v>36</v>
      </c>
      <c r="T79" s="4">
        <f>(VLOOKUP('8.0.0'!AB79,'8.0.0'!$AM$4:$AP$48,4,FALSE))</f>
        <v>36</v>
      </c>
      <c r="U79" s="4">
        <f>(VLOOKUP('8.0.0'!AC79,'8.0.0'!$AM$4:$AP$48,4,FALSE))</f>
        <v>36</v>
      </c>
      <c r="V79" s="4">
        <f>(VLOOKUP('8.0.0'!AD79,'8.0.0'!$AM$4:$AP$48,4,FALSE))</f>
        <v>0</v>
      </c>
      <c r="W79" s="4">
        <f>(VLOOKUP('8.0.0'!AE79,'8.0.0'!$AM$4:$AP$48,4,FALSE))</f>
        <v>0</v>
      </c>
      <c r="X79" s="4">
        <f>(VLOOKUP('8.0.0'!AF79,'8.0.0'!$AM$4:$AP$48,4,FALSE))</f>
        <v>0</v>
      </c>
    </row>
    <row r="80" spans="1:24">
      <c r="A80" s="4">
        <f>(VLOOKUP('8.0.0'!I80,'8.0.0'!$AM$4:$AP$48,4,FALSE))</f>
        <v>0</v>
      </c>
      <c r="B80" s="4">
        <f>(VLOOKUP('8.0.0'!J80,'8.0.0'!$AM$4:$AP$48,4,FALSE))</f>
        <v>0</v>
      </c>
      <c r="C80" s="4">
        <f>(VLOOKUP('8.0.0'!K80,'8.0.0'!$AM$4:$AP$48,4,FALSE))</f>
        <v>0</v>
      </c>
      <c r="D80" s="4">
        <f>(VLOOKUP('8.0.0'!L80,'8.0.0'!$AM$4:$AP$48,4,FALSE))</f>
        <v>0</v>
      </c>
      <c r="E80" s="4">
        <f>(VLOOKUP('8.0.0'!M80,'8.0.0'!$AM$4:$AP$48,4,FALSE))</f>
        <v>0</v>
      </c>
      <c r="F80" s="4">
        <f>(VLOOKUP('8.0.0'!N80,'8.0.0'!$AM$4:$AP$48,4,FALSE))</f>
        <v>0</v>
      </c>
      <c r="G80" s="4">
        <f>(VLOOKUP('8.0.0'!O80,'8.0.0'!$AM$4:$AP$48,4,FALSE))</f>
        <v>0</v>
      </c>
      <c r="H80" s="4">
        <f>(VLOOKUP('8.0.0'!P80,'8.0.0'!$AM$4:$AP$48,4,FALSE))</f>
        <v>0</v>
      </c>
      <c r="I80" s="4">
        <f>(VLOOKUP('8.0.0'!Q80,'8.0.0'!$AM$4:$AP$48,4,FALSE))</f>
        <v>0</v>
      </c>
      <c r="J80" s="4">
        <f>(VLOOKUP('8.0.0'!R80,'8.0.0'!$AM$4:$AP$48,4,FALSE))</f>
        <v>0</v>
      </c>
      <c r="K80" s="4">
        <f>(VLOOKUP('8.0.0'!S80,'8.0.0'!$AM$4:$AP$48,4,FALSE))</f>
        <v>0</v>
      </c>
      <c r="L80" s="4">
        <f>(VLOOKUP('8.0.0'!T80,'8.0.0'!$AM$4:$AP$48,4,FALSE))</f>
        <v>0</v>
      </c>
      <c r="M80" s="4">
        <f>(VLOOKUP('8.0.0'!U80,'8.0.0'!$AM$4:$AP$48,4,FALSE))</f>
        <v>0</v>
      </c>
      <c r="N80" s="4">
        <f>(VLOOKUP('8.0.0'!V80,'8.0.0'!$AM$4:$AP$48,4,FALSE))</f>
        <v>0</v>
      </c>
      <c r="O80" s="4">
        <f>(VLOOKUP('8.0.0'!W80,'8.0.0'!$AM$4:$AP$48,4,FALSE))</f>
        <v>0</v>
      </c>
      <c r="P80" s="4">
        <f>(VLOOKUP('8.0.0'!X80,'8.0.0'!$AM$4:$AP$48,4,FALSE))</f>
        <v>0</v>
      </c>
      <c r="Q80" s="4">
        <f>(VLOOKUP('8.0.0'!Y80,'8.0.0'!$AM$4:$AP$48,4,FALSE))</f>
        <v>36</v>
      </c>
      <c r="R80" s="4">
        <f>(VLOOKUP('8.0.0'!Z80,'8.0.0'!$AM$4:$AP$48,4,FALSE))</f>
        <v>36</v>
      </c>
      <c r="S80" s="4">
        <f>(VLOOKUP('8.0.0'!AA80,'8.0.0'!$AM$4:$AP$48,4,FALSE))</f>
        <v>36</v>
      </c>
      <c r="T80" s="4">
        <f>(VLOOKUP('8.0.0'!AB80,'8.0.0'!$AM$4:$AP$48,4,FALSE))</f>
        <v>36</v>
      </c>
      <c r="U80" s="4">
        <f>(VLOOKUP('8.0.0'!AC80,'8.0.0'!$AM$4:$AP$48,4,FALSE))</f>
        <v>0</v>
      </c>
      <c r="V80" s="4">
        <f>(VLOOKUP('8.0.0'!AD80,'8.0.0'!$AM$4:$AP$48,4,FALSE))</f>
        <v>0</v>
      </c>
      <c r="W80" s="4">
        <f>(VLOOKUP('8.0.0'!AE80,'8.0.0'!$AM$4:$AP$48,4,FALSE))</f>
        <v>0</v>
      </c>
      <c r="X80" s="4">
        <f>(VLOOKUP('8.0.0'!AF80,'8.0.0'!$AM$4:$AP$48,4,FALSE))</f>
        <v>0</v>
      </c>
    </row>
    <row r="81" spans="1:24">
      <c r="A81" s="4">
        <f>(VLOOKUP('8.0.0'!I81,'8.0.0'!$AM$4:$AP$48,4,FALSE))</f>
        <v>0</v>
      </c>
      <c r="B81" s="4">
        <f>(VLOOKUP('8.0.0'!J81,'8.0.0'!$AM$4:$AP$48,4,FALSE))</f>
        <v>0</v>
      </c>
      <c r="C81" s="4">
        <f>(VLOOKUP('8.0.0'!K81,'8.0.0'!$AM$4:$AP$48,4,FALSE))</f>
        <v>0</v>
      </c>
      <c r="D81" s="4">
        <f>(VLOOKUP('8.0.0'!L81,'8.0.0'!$AM$4:$AP$48,4,FALSE))</f>
        <v>0</v>
      </c>
      <c r="E81" s="4">
        <f>(VLOOKUP('8.0.0'!M81,'8.0.0'!$AM$4:$AP$48,4,FALSE))</f>
        <v>0</v>
      </c>
      <c r="F81" s="4">
        <f>(VLOOKUP('8.0.0'!N81,'8.0.0'!$AM$4:$AP$48,4,FALSE))</f>
        <v>0</v>
      </c>
      <c r="G81" s="4">
        <f>(VLOOKUP('8.0.0'!O81,'8.0.0'!$AM$4:$AP$48,4,FALSE))</f>
        <v>0</v>
      </c>
      <c r="H81" s="4">
        <f>(VLOOKUP('8.0.0'!P81,'8.0.0'!$AM$4:$AP$48,4,FALSE))</f>
        <v>0</v>
      </c>
      <c r="I81" s="4">
        <f>(VLOOKUP('8.0.0'!Q81,'8.0.0'!$AM$4:$AP$48,4,FALSE))</f>
        <v>0</v>
      </c>
      <c r="J81" s="4">
        <f>(VLOOKUP('8.0.0'!R81,'8.0.0'!$AM$4:$AP$48,4,FALSE))</f>
        <v>0</v>
      </c>
      <c r="K81" s="4">
        <f>(VLOOKUP('8.0.0'!S81,'8.0.0'!$AM$4:$AP$48,4,FALSE))</f>
        <v>0</v>
      </c>
      <c r="L81" s="4">
        <f>(VLOOKUP('8.0.0'!T81,'8.0.0'!$AM$4:$AP$48,4,FALSE))</f>
        <v>0</v>
      </c>
      <c r="M81" s="4">
        <f>(VLOOKUP('8.0.0'!U81,'8.0.0'!$AM$4:$AP$48,4,FALSE))</f>
        <v>0</v>
      </c>
      <c r="N81" s="4">
        <f>(VLOOKUP('8.0.0'!V81,'8.0.0'!$AM$4:$AP$48,4,FALSE))</f>
        <v>0</v>
      </c>
      <c r="O81" s="4">
        <f>(VLOOKUP('8.0.0'!W81,'8.0.0'!$AM$4:$AP$48,4,FALSE))</f>
        <v>0</v>
      </c>
      <c r="P81" s="4">
        <f>(VLOOKUP('8.0.0'!X81,'8.0.0'!$AM$4:$AP$48,4,FALSE))</f>
        <v>0</v>
      </c>
      <c r="Q81" s="4">
        <f>(VLOOKUP('8.0.0'!Y81,'8.0.0'!$AM$4:$AP$48,4,FALSE))</f>
        <v>36</v>
      </c>
      <c r="R81" s="4">
        <f>(VLOOKUP('8.0.0'!Z81,'8.0.0'!$AM$4:$AP$48,4,FALSE))</f>
        <v>36</v>
      </c>
      <c r="S81" s="4">
        <f>(VLOOKUP('8.0.0'!AA81,'8.0.0'!$AM$4:$AP$48,4,FALSE))</f>
        <v>36</v>
      </c>
      <c r="T81" s="4">
        <f>(VLOOKUP('8.0.0'!AB81,'8.0.0'!$AM$4:$AP$48,4,FALSE))</f>
        <v>36</v>
      </c>
      <c r="U81" s="4">
        <f>(VLOOKUP('8.0.0'!AC81,'8.0.0'!$AM$4:$AP$48,4,FALSE))</f>
        <v>0</v>
      </c>
      <c r="V81" s="4">
        <f>(VLOOKUP('8.0.0'!AD81,'8.0.0'!$AM$4:$AP$48,4,FALSE))</f>
        <v>0</v>
      </c>
      <c r="W81" s="4">
        <f>(VLOOKUP('8.0.0'!AE81,'8.0.0'!$AM$4:$AP$48,4,FALSE))</f>
        <v>0</v>
      </c>
      <c r="X81" s="4">
        <f>(VLOOKUP('8.0.0'!AF81,'8.0.0'!$AM$4:$AP$48,4,FALSE))</f>
        <v>0</v>
      </c>
    </row>
    <row r="82" spans="1:24">
      <c r="A82" s="4">
        <f>(VLOOKUP('8.0.0'!I82,'8.0.0'!$AM$4:$AP$48,4,FALSE))</f>
        <v>0</v>
      </c>
      <c r="B82" s="4">
        <f>(VLOOKUP('8.0.0'!J82,'8.0.0'!$AM$4:$AP$48,4,FALSE))</f>
        <v>0</v>
      </c>
      <c r="C82" s="4">
        <f>(VLOOKUP('8.0.0'!K82,'8.0.0'!$AM$4:$AP$48,4,FALSE))</f>
        <v>0</v>
      </c>
      <c r="D82" s="4">
        <f>(VLOOKUP('8.0.0'!L82,'8.0.0'!$AM$4:$AP$48,4,FALSE))</f>
        <v>0</v>
      </c>
      <c r="E82" s="4">
        <f>(VLOOKUP('8.0.0'!M82,'8.0.0'!$AM$4:$AP$48,4,FALSE))</f>
        <v>0</v>
      </c>
      <c r="F82" s="4">
        <f>(VLOOKUP('8.0.0'!N82,'8.0.0'!$AM$4:$AP$48,4,FALSE))</f>
        <v>0</v>
      </c>
      <c r="G82" s="4">
        <f>(VLOOKUP('8.0.0'!O82,'8.0.0'!$AM$4:$AP$48,4,FALSE))</f>
        <v>0</v>
      </c>
      <c r="H82" s="4">
        <f>(VLOOKUP('8.0.0'!P82,'8.0.0'!$AM$4:$AP$48,4,FALSE))</f>
        <v>0</v>
      </c>
      <c r="I82" s="4">
        <f>(VLOOKUP('8.0.0'!Q82,'8.0.0'!$AM$4:$AP$48,4,FALSE))</f>
        <v>10</v>
      </c>
      <c r="J82" s="4">
        <f>(VLOOKUP('8.0.0'!R82,'8.0.0'!$AM$4:$AP$48,4,FALSE))</f>
        <v>39.110982162825422</v>
      </c>
      <c r="K82" s="4">
        <f>(VLOOKUP('8.0.0'!S82,'8.0.0'!$AM$4:$AP$48,4,FALSE))</f>
        <v>39.110982162825422</v>
      </c>
      <c r="L82" s="4">
        <f>(VLOOKUP('8.0.0'!T82,'8.0.0'!$AM$4:$AP$48,4,FALSE))</f>
        <v>39.110982162825422</v>
      </c>
      <c r="M82" s="4">
        <f>(VLOOKUP('8.0.0'!U82,'8.0.0'!$AM$4:$AP$48,4,FALSE))</f>
        <v>39.110982162825422</v>
      </c>
      <c r="N82" s="4">
        <f>(VLOOKUP('8.0.0'!V82,'8.0.0'!$AM$4:$AP$48,4,FALSE))</f>
        <v>10</v>
      </c>
      <c r="O82" s="4">
        <f>(VLOOKUP('8.0.0'!W82,'8.0.0'!$AM$4:$AP$48,4,FALSE))</f>
        <v>0</v>
      </c>
      <c r="P82" s="4">
        <f>(VLOOKUP('8.0.0'!X82,'8.0.0'!$AM$4:$AP$48,4,FALSE))</f>
        <v>0</v>
      </c>
      <c r="Q82" s="4">
        <f>(VLOOKUP('8.0.0'!Y82,'8.0.0'!$AM$4:$AP$48,4,FALSE))</f>
        <v>36</v>
      </c>
      <c r="R82" s="4">
        <f>(VLOOKUP('8.0.0'!Z82,'8.0.0'!$AM$4:$AP$48,4,FALSE))</f>
        <v>36</v>
      </c>
      <c r="S82" s="4">
        <f>(VLOOKUP('8.0.0'!AA82,'8.0.0'!$AM$4:$AP$48,4,FALSE))</f>
        <v>36</v>
      </c>
      <c r="T82" s="4">
        <f>(VLOOKUP('8.0.0'!AB82,'8.0.0'!$AM$4:$AP$48,4,FALSE))</f>
        <v>36</v>
      </c>
      <c r="U82" s="4">
        <f>(VLOOKUP('8.0.0'!AC82,'8.0.0'!$AM$4:$AP$48,4,FALSE))</f>
        <v>36</v>
      </c>
      <c r="V82" s="4">
        <f>(VLOOKUP('8.0.0'!AD82,'8.0.0'!$AM$4:$AP$48,4,FALSE))</f>
        <v>36</v>
      </c>
      <c r="W82" s="4">
        <f>(VLOOKUP('8.0.0'!AE82,'8.0.0'!$AM$4:$AP$48,4,FALSE))</f>
        <v>0</v>
      </c>
      <c r="X82" s="4">
        <f>(VLOOKUP('8.0.0'!AF82,'8.0.0'!$AM$4:$AP$48,4,FALSE))</f>
        <v>0</v>
      </c>
    </row>
    <row r="83" spans="1:24">
      <c r="A83" s="4">
        <f>(VLOOKUP('8.0.0'!I83,'8.0.0'!$AM$4:$AP$48,4,FALSE))</f>
        <v>38</v>
      </c>
      <c r="B83" s="4">
        <f>(VLOOKUP('8.0.0'!J83,'8.0.0'!$AM$4:$AP$48,4,FALSE))</f>
        <v>38</v>
      </c>
      <c r="C83" s="4">
        <f>(VLOOKUP('8.0.0'!K83,'8.0.0'!$AM$4:$AP$48,4,FALSE))</f>
        <v>38</v>
      </c>
      <c r="D83" s="4">
        <f>(VLOOKUP('8.0.0'!L83,'8.0.0'!$AM$4:$AP$48,4,FALSE))</f>
        <v>0</v>
      </c>
      <c r="E83" s="4">
        <f>(VLOOKUP('8.0.0'!M83,'8.0.0'!$AM$4:$AP$48,4,FALSE))</f>
        <v>0</v>
      </c>
      <c r="F83" s="4">
        <f>(VLOOKUP('8.0.0'!N83,'8.0.0'!$AM$4:$AP$48,4,FALSE))</f>
        <v>0</v>
      </c>
      <c r="G83" s="4">
        <f>(VLOOKUP('8.0.0'!O83,'8.0.0'!$AM$4:$AP$48,4,FALSE))</f>
        <v>0</v>
      </c>
      <c r="H83" s="4">
        <f>(VLOOKUP('8.0.0'!P83,'8.0.0'!$AM$4:$AP$48,4,FALSE))</f>
        <v>0</v>
      </c>
      <c r="I83" s="4">
        <f>(VLOOKUP('8.0.0'!Q83,'8.0.0'!$AM$4:$AP$48,4,FALSE))</f>
        <v>39.110982162825422</v>
      </c>
      <c r="J83" s="4">
        <f>(VLOOKUP('8.0.0'!R83,'8.0.0'!$AM$4:$AP$48,4,FALSE))</f>
        <v>0</v>
      </c>
      <c r="K83" s="4">
        <f>(VLOOKUP('8.0.0'!S83,'8.0.0'!$AM$4:$AP$48,4,FALSE))</f>
        <v>39.110982162825422</v>
      </c>
      <c r="L83" s="4">
        <f>(VLOOKUP('8.0.0'!T83,'8.0.0'!$AM$4:$AP$48,4,FALSE))</f>
        <v>39.110982162825422</v>
      </c>
      <c r="M83" s="4">
        <f>(VLOOKUP('8.0.0'!U83,'8.0.0'!$AM$4:$AP$48,4,FALSE))</f>
        <v>10</v>
      </c>
      <c r="N83" s="4">
        <f>(VLOOKUP('8.0.0'!V83,'8.0.0'!$AM$4:$AP$48,4,FALSE))</f>
        <v>39.110982162825422</v>
      </c>
      <c r="O83" s="4">
        <f>(VLOOKUP('8.0.0'!W83,'8.0.0'!$AM$4:$AP$48,4,FALSE))</f>
        <v>44.222109392472248</v>
      </c>
      <c r="P83" s="4">
        <f>(VLOOKUP('8.0.0'!X83,'8.0.0'!$AM$4:$AP$48,4,FALSE))</f>
        <v>44.222109392472248</v>
      </c>
      <c r="Q83" s="4">
        <f>(VLOOKUP('8.0.0'!Y83,'8.0.0'!$AM$4:$AP$48,4,FALSE))</f>
        <v>36</v>
      </c>
      <c r="R83" s="4">
        <f>(VLOOKUP('8.0.0'!Z83,'8.0.0'!$AM$4:$AP$48,4,FALSE))</f>
        <v>36</v>
      </c>
      <c r="S83" s="4">
        <f>(VLOOKUP('8.0.0'!AA83,'8.0.0'!$AM$4:$AP$48,4,FALSE))</f>
        <v>36</v>
      </c>
      <c r="T83" s="4">
        <f>(VLOOKUP('8.0.0'!AB83,'8.0.0'!$AM$4:$AP$48,4,FALSE))</f>
        <v>36</v>
      </c>
      <c r="U83" s="4">
        <f>(VLOOKUP('8.0.0'!AC83,'8.0.0'!$AM$4:$AP$48,4,FALSE))</f>
        <v>0</v>
      </c>
      <c r="V83" s="4">
        <f>(VLOOKUP('8.0.0'!AD83,'8.0.0'!$AM$4:$AP$48,4,FALSE))</f>
        <v>0</v>
      </c>
      <c r="W83" s="4">
        <f>(VLOOKUP('8.0.0'!AE83,'8.0.0'!$AM$4:$AP$48,4,FALSE))</f>
        <v>0</v>
      </c>
      <c r="X83" s="4">
        <f>(VLOOKUP('8.0.0'!AF83,'8.0.0'!$AM$4:$AP$48,4,FALSE))</f>
        <v>0</v>
      </c>
    </row>
    <row r="84" spans="1:24">
      <c r="A84" s="4">
        <f>(VLOOKUP('8.0.0'!I84,'8.0.0'!$AM$4:$AP$48,4,FALSE))</f>
        <v>38</v>
      </c>
      <c r="B84" s="4">
        <f>(VLOOKUP('8.0.0'!J84,'8.0.0'!$AM$4:$AP$48,4,FALSE))</f>
        <v>0</v>
      </c>
      <c r="C84" s="4">
        <f>(VLOOKUP('8.0.0'!K84,'8.0.0'!$AM$4:$AP$48,4,FALSE))</f>
        <v>38</v>
      </c>
      <c r="D84" s="4">
        <f>(VLOOKUP('8.0.0'!L84,'8.0.0'!$AM$4:$AP$48,4,FALSE))</f>
        <v>38</v>
      </c>
      <c r="E84" s="4">
        <f>(VLOOKUP('8.0.0'!M84,'8.0.0'!$AM$4:$AP$48,4,FALSE))</f>
        <v>38</v>
      </c>
      <c r="F84" s="4">
        <f>(VLOOKUP('8.0.0'!N84,'8.0.0'!$AM$4:$AP$48,4,FALSE))</f>
        <v>38</v>
      </c>
      <c r="G84" s="4">
        <f>(VLOOKUP('8.0.0'!O84,'8.0.0'!$AM$4:$AP$48,4,FALSE))</f>
        <v>38</v>
      </c>
      <c r="H84" s="4">
        <f>(VLOOKUP('8.0.0'!P84,'8.0.0'!$AM$4:$AP$48,4,FALSE))</f>
        <v>38</v>
      </c>
      <c r="I84" s="4">
        <f>(VLOOKUP('8.0.0'!Q84,'8.0.0'!$AM$4:$AP$48,4,FALSE))</f>
        <v>10</v>
      </c>
      <c r="J84" s="4">
        <f>(VLOOKUP('8.0.0'!R84,'8.0.0'!$AM$4:$AP$48,4,FALSE))</f>
        <v>44.222109392472248</v>
      </c>
      <c r="K84" s="4">
        <f>(VLOOKUP('8.0.0'!S84,'8.0.0'!$AM$4:$AP$48,4,FALSE))</f>
        <v>44.222109392472248</v>
      </c>
      <c r="L84" s="4">
        <f>(VLOOKUP('8.0.0'!T84,'8.0.0'!$AM$4:$AP$48,4,FALSE))</f>
        <v>44.222109392472248</v>
      </c>
      <c r="M84" s="4">
        <f>(VLOOKUP('8.0.0'!U84,'8.0.0'!$AM$4:$AP$48,4,FALSE))</f>
        <v>10</v>
      </c>
      <c r="N84" s="4">
        <f>(VLOOKUP('8.0.0'!V84,'8.0.0'!$AM$4:$AP$48,4,FALSE))</f>
        <v>39.110982162825422</v>
      </c>
      <c r="O84" s="4">
        <f>(VLOOKUP('8.0.0'!W84,'8.0.0'!$AM$4:$AP$48,4,FALSE))</f>
        <v>0</v>
      </c>
      <c r="P84" s="4">
        <f>(VLOOKUP('8.0.0'!X84,'8.0.0'!$AM$4:$AP$48,4,FALSE))</f>
        <v>0</v>
      </c>
      <c r="Q84" s="4">
        <f>(VLOOKUP('8.0.0'!Y84,'8.0.0'!$AM$4:$AP$48,4,FALSE))</f>
        <v>36</v>
      </c>
      <c r="R84" s="4">
        <f>(VLOOKUP('8.0.0'!Z84,'8.0.0'!$AM$4:$AP$48,4,FALSE))</f>
        <v>0</v>
      </c>
      <c r="S84" s="4">
        <f>(VLOOKUP('8.0.0'!AA84,'8.0.0'!$AM$4:$AP$48,4,FALSE))</f>
        <v>0</v>
      </c>
      <c r="T84" s="4">
        <f>(VLOOKUP('8.0.0'!AB84,'8.0.0'!$AM$4:$AP$48,4,FALSE))</f>
        <v>0</v>
      </c>
      <c r="U84" s="4">
        <f>(VLOOKUP('8.0.0'!AC84,'8.0.0'!$AM$4:$AP$48,4,FALSE))</f>
        <v>0</v>
      </c>
      <c r="V84" s="4">
        <f>(VLOOKUP('8.0.0'!AD84,'8.0.0'!$AM$4:$AP$48,4,FALSE))</f>
        <v>0</v>
      </c>
      <c r="W84" s="4">
        <f>(VLOOKUP('8.0.0'!AE84,'8.0.0'!$AM$4:$AP$48,4,FALSE))</f>
        <v>0</v>
      </c>
      <c r="X84" s="4">
        <f>(VLOOKUP('8.0.0'!AF84,'8.0.0'!$AM$4:$AP$48,4,FALSE))</f>
        <v>0</v>
      </c>
    </row>
    <row r="85" spans="1:24">
      <c r="A85" s="4">
        <f>(VLOOKUP('8.0.0'!I85,'8.0.0'!$AM$4:$AP$48,4,FALSE))</f>
        <v>38</v>
      </c>
      <c r="B85" s="4">
        <f>(VLOOKUP('8.0.0'!J85,'8.0.0'!$AM$4:$AP$48,4,FALSE))</f>
        <v>38</v>
      </c>
      <c r="C85" s="4">
        <f>(VLOOKUP('8.0.0'!K85,'8.0.0'!$AM$4:$AP$48,4,FALSE))</f>
        <v>38</v>
      </c>
      <c r="D85" s="4">
        <f>(VLOOKUP('8.0.0'!L85,'8.0.0'!$AM$4:$AP$48,4,FALSE))</f>
        <v>38</v>
      </c>
      <c r="E85" s="4">
        <f>(VLOOKUP('8.0.0'!M85,'8.0.0'!$AM$4:$AP$48,4,FALSE))</f>
        <v>38</v>
      </c>
      <c r="F85" s="4">
        <f>(VLOOKUP('8.0.0'!N85,'8.0.0'!$AM$4:$AP$48,4,FALSE))</f>
        <v>38</v>
      </c>
      <c r="G85" s="4">
        <f>(VLOOKUP('8.0.0'!O85,'8.0.0'!$AM$4:$AP$48,4,FALSE))</f>
        <v>0</v>
      </c>
      <c r="H85" s="4">
        <f>(VLOOKUP('8.0.0'!P85,'8.0.0'!$AM$4:$AP$48,4,FALSE))</f>
        <v>0</v>
      </c>
      <c r="I85" s="4">
        <f>(VLOOKUP('8.0.0'!Q85,'8.0.0'!$AM$4:$AP$48,4,FALSE))</f>
        <v>10</v>
      </c>
      <c r="J85" s="4">
        <f>(VLOOKUP('8.0.0'!R85,'8.0.0'!$AM$4:$AP$48,4,FALSE))</f>
        <v>39.110982162825422</v>
      </c>
      <c r="K85" s="4">
        <f>(VLOOKUP('8.0.0'!S85,'8.0.0'!$AM$4:$AP$48,4,FALSE))</f>
        <v>39.110982162825422</v>
      </c>
      <c r="L85" s="4">
        <f>(VLOOKUP('8.0.0'!T85,'8.0.0'!$AM$4:$AP$48,4,FALSE))</f>
        <v>0</v>
      </c>
      <c r="M85" s="4">
        <f>(VLOOKUP('8.0.0'!U85,'8.0.0'!$AM$4:$AP$48,4,FALSE))</f>
        <v>0</v>
      </c>
      <c r="N85" s="4">
        <f>(VLOOKUP('8.0.0'!V85,'8.0.0'!$AM$4:$AP$48,4,FALSE))</f>
        <v>0</v>
      </c>
      <c r="O85" s="4">
        <f>(VLOOKUP('8.0.0'!W85,'8.0.0'!$AM$4:$AP$48,4,FALSE))</f>
        <v>0</v>
      </c>
      <c r="P85" s="4">
        <f>(VLOOKUP('8.0.0'!X85,'8.0.0'!$AM$4:$AP$48,4,FALSE))</f>
        <v>0</v>
      </c>
      <c r="Q85" s="4">
        <f>(VLOOKUP('8.0.0'!Y85,'8.0.0'!$AM$4:$AP$48,4,FALSE))</f>
        <v>36</v>
      </c>
      <c r="R85" s="4">
        <f>(VLOOKUP('8.0.0'!Z85,'8.0.0'!$AM$4:$AP$48,4,FALSE))</f>
        <v>36</v>
      </c>
      <c r="S85" s="4">
        <f>(VLOOKUP('8.0.0'!AA85,'8.0.0'!$AM$4:$AP$48,4,FALSE))</f>
        <v>36</v>
      </c>
      <c r="T85" s="4">
        <f>(VLOOKUP('8.0.0'!AB85,'8.0.0'!$AM$4:$AP$48,4,FALSE))</f>
        <v>0</v>
      </c>
      <c r="U85" s="4">
        <f>(VLOOKUP('8.0.0'!AC85,'8.0.0'!$AM$4:$AP$48,4,FALSE))</f>
        <v>0</v>
      </c>
      <c r="V85" s="4">
        <f>(VLOOKUP('8.0.0'!AD85,'8.0.0'!$AM$4:$AP$48,4,FALSE))</f>
        <v>0</v>
      </c>
      <c r="W85" s="4">
        <f>(VLOOKUP('8.0.0'!AE85,'8.0.0'!$AM$4:$AP$48,4,FALSE))</f>
        <v>0</v>
      </c>
      <c r="X85" s="4">
        <f>(VLOOKUP('8.0.0'!AF85,'8.0.0'!$AM$4:$AP$48,4,FALSE))</f>
        <v>0</v>
      </c>
    </row>
    <row r="86" spans="1:24">
      <c r="A86" s="4">
        <f>(VLOOKUP('8.0.0'!I86,'8.0.0'!$AM$4:$AP$48,4,FALSE))</f>
        <v>38</v>
      </c>
      <c r="B86" s="4">
        <f>(VLOOKUP('8.0.0'!J86,'8.0.0'!$AM$4:$AP$48,4,FALSE))</f>
        <v>38</v>
      </c>
      <c r="C86" s="4">
        <f>(VLOOKUP('8.0.0'!K86,'8.0.0'!$AM$4:$AP$48,4,FALSE))</f>
        <v>38</v>
      </c>
      <c r="D86" s="4">
        <f>(VLOOKUP('8.0.0'!L86,'8.0.0'!$AM$4:$AP$48,4,FALSE))</f>
        <v>38</v>
      </c>
      <c r="E86" s="4">
        <f>(VLOOKUP('8.0.0'!M86,'8.0.0'!$AM$4:$AP$48,4,FALSE))</f>
        <v>38</v>
      </c>
      <c r="F86" s="4">
        <f>(VLOOKUP('8.0.0'!N86,'8.0.0'!$AM$4:$AP$48,4,FALSE))</f>
        <v>38</v>
      </c>
      <c r="G86" s="4">
        <f>(VLOOKUP('8.0.0'!O86,'8.0.0'!$AM$4:$AP$48,4,FALSE))</f>
        <v>0</v>
      </c>
      <c r="H86" s="4">
        <f>(VLOOKUP('8.0.0'!P86,'8.0.0'!$AM$4:$AP$48,4,FALSE))</f>
        <v>0</v>
      </c>
      <c r="I86" s="4">
        <f>(VLOOKUP('8.0.0'!Q86,'8.0.0'!$AM$4:$AP$48,4,FALSE))</f>
        <v>39.110982162825422</v>
      </c>
      <c r="J86" s="4">
        <f>(VLOOKUP('8.0.0'!R86,'8.0.0'!$AM$4:$AP$48,4,FALSE))</f>
        <v>10</v>
      </c>
      <c r="K86" s="4">
        <f>(VLOOKUP('8.0.0'!S86,'8.0.0'!$AM$4:$AP$48,4,FALSE))</f>
        <v>39.110982162825422</v>
      </c>
      <c r="L86" s="4">
        <f>(VLOOKUP('8.0.0'!T86,'8.0.0'!$AM$4:$AP$48,4,FALSE))</f>
        <v>39.110982162825422</v>
      </c>
      <c r="M86" s="4">
        <f>(VLOOKUP('8.0.0'!U86,'8.0.0'!$AM$4:$AP$48,4,FALSE))</f>
        <v>0</v>
      </c>
      <c r="N86" s="4">
        <f>(VLOOKUP('8.0.0'!V86,'8.0.0'!$AM$4:$AP$48,4,FALSE))</f>
        <v>0</v>
      </c>
      <c r="O86" s="4">
        <f>(VLOOKUP('8.0.0'!W86,'8.0.0'!$AM$4:$AP$48,4,FALSE))</f>
        <v>0</v>
      </c>
      <c r="P86" s="4">
        <f>(VLOOKUP('8.0.0'!X86,'8.0.0'!$AM$4:$AP$48,4,FALSE))</f>
        <v>0</v>
      </c>
      <c r="Q86" s="4">
        <f>(VLOOKUP('8.0.0'!Y86,'8.0.0'!$AM$4:$AP$48,4,FALSE))</f>
        <v>36</v>
      </c>
      <c r="R86" s="4">
        <f>(VLOOKUP('8.0.0'!Z86,'8.0.0'!$AM$4:$AP$48,4,FALSE))</f>
        <v>36</v>
      </c>
      <c r="S86" s="4">
        <f>(VLOOKUP('8.0.0'!AA86,'8.0.0'!$AM$4:$AP$48,4,FALSE))</f>
        <v>0</v>
      </c>
      <c r="T86" s="4">
        <f>(VLOOKUP('8.0.0'!AB86,'8.0.0'!$AM$4:$AP$48,4,FALSE))</f>
        <v>0</v>
      </c>
      <c r="U86" s="4">
        <f>(VLOOKUP('8.0.0'!AC86,'8.0.0'!$AM$4:$AP$48,4,FALSE))</f>
        <v>0</v>
      </c>
      <c r="V86" s="4">
        <f>(VLOOKUP('8.0.0'!AD86,'8.0.0'!$AM$4:$AP$48,4,FALSE))</f>
        <v>0</v>
      </c>
      <c r="W86" s="4">
        <f>(VLOOKUP('8.0.0'!AE86,'8.0.0'!$AM$4:$AP$48,4,FALSE))</f>
        <v>0</v>
      </c>
      <c r="X86" s="4">
        <f>(VLOOKUP('8.0.0'!AF86,'8.0.0'!$AM$4:$AP$48,4,FALSE))</f>
        <v>0</v>
      </c>
    </row>
    <row r="87" spans="1:24">
      <c r="A87" s="4">
        <f>(VLOOKUP('8.0.0'!I87,'8.0.0'!$AM$4:$AP$48,4,FALSE))</f>
        <v>38</v>
      </c>
      <c r="B87" s="4">
        <f>(VLOOKUP('8.0.0'!J87,'8.0.0'!$AM$4:$AP$48,4,FALSE))</f>
        <v>38</v>
      </c>
      <c r="C87" s="4">
        <f>(VLOOKUP('8.0.0'!K87,'8.0.0'!$AM$4:$AP$48,4,FALSE))</f>
        <v>38</v>
      </c>
      <c r="D87" s="4">
        <f>(VLOOKUP('8.0.0'!L87,'8.0.0'!$AM$4:$AP$48,4,FALSE))</f>
        <v>38</v>
      </c>
      <c r="E87" s="4">
        <f>(VLOOKUP('8.0.0'!M87,'8.0.0'!$AM$4:$AP$48,4,FALSE))</f>
        <v>38</v>
      </c>
      <c r="F87" s="4">
        <f>(VLOOKUP('8.0.0'!N87,'8.0.0'!$AM$4:$AP$48,4,FALSE))</f>
        <v>38</v>
      </c>
      <c r="G87" s="4">
        <f>(VLOOKUP('8.0.0'!O87,'8.0.0'!$AM$4:$AP$48,4,FALSE))</f>
        <v>0</v>
      </c>
      <c r="H87" s="4">
        <f>(VLOOKUP('8.0.0'!P87,'8.0.0'!$AM$4:$AP$48,4,FALSE))</f>
        <v>0</v>
      </c>
      <c r="I87" s="4">
        <f>(VLOOKUP('8.0.0'!Q87,'8.0.0'!$AM$4:$AP$48,4,FALSE))</f>
        <v>39.110982162825422</v>
      </c>
      <c r="J87" s="4">
        <f>(VLOOKUP('8.0.0'!R87,'8.0.0'!$AM$4:$AP$48,4,FALSE))</f>
        <v>39.110982162825422</v>
      </c>
      <c r="K87" s="4">
        <f>(VLOOKUP('8.0.0'!S87,'8.0.0'!$AM$4:$AP$48,4,FALSE))</f>
        <v>0</v>
      </c>
      <c r="L87" s="4">
        <f>(VLOOKUP('8.0.0'!T87,'8.0.0'!$AM$4:$AP$48,4,FALSE))</f>
        <v>39.110982162825422</v>
      </c>
      <c r="M87" s="4">
        <f>(VLOOKUP('8.0.0'!U87,'8.0.0'!$AM$4:$AP$48,4,FALSE))</f>
        <v>39.110982162825422</v>
      </c>
      <c r="N87" s="4">
        <f>(VLOOKUP('8.0.0'!V87,'8.0.0'!$AM$4:$AP$48,4,FALSE))</f>
        <v>10</v>
      </c>
      <c r="O87" s="4">
        <f>(VLOOKUP('8.0.0'!W87,'8.0.0'!$AM$4:$AP$48,4,FALSE))</f>
        <v>39.110982162825422</v>
      </c>
      <c r="P87" s="4">
        <f>(VLOOKUP('8.0.0'!X87,'8.0.0'!$AM$4:$AP$48,4,FALSE))</f>
        <v>0</v>
      </c>
      <c r="Q87" s="4">
        <f>(VLOOKUP('8.0.0'!Y87,'8.0.0'!$AM$4:$AP$48,4,FALSE))</f>
        <v>36</v>
      </c>
      <c r="R87" s="4">
        <f>(VLOOKUP('8.0.0'!Z87,'8.0.0'!$AM$4:$AP$48,4,FALSE))</f>
        <v>0</v>
      </c>
      <c r="S87" s="4">
        <f>(VLOOKUP('8.0.0'!AA87,'8.0.0'!$AM$4:$AP$48,4,FALSE))</f>
        <v>0</v>
      </c>
      <c r="T87" s="4">
        <f>(VLOOKUP('8.0.0'!AB87,'8.0.0'!$AM$4:$AP$48,4,FALSE))</f>
        <v>0</v>
      </c>
      <c r="U87" s="4">
        <f>(VLOOKUP('8.0.0'!AC87,'8.0.0'!$AM$4:$AP$48,4,FALSE))</f>
        <v>0</v>
      </c>
      <c r="V87" s="4">
        <f>(VLOOKUP('8.0.0'!AD87,'8.0.0'!$AM$4:$AP$48,4,FALSE))</f>
        <v>0</v>
      </c>
      <c r="W87" s="4">
        <f>(VLOOKUP('8.0.0'!AE87,'8.0.0'!$AM$4:$AP$48,4,FALSE))</f>
        <v>0</v>
      </c>
      <c r="X87" s="4">
        <f>(VLOOKUP('8.0.0'!AF87,'8.0.0'!$AM$4:$AP$48,4,FALSE))</f>
        <v>0</v>
      </c>
    </row>
    <row r="88" spans="1:24">
      <c r="A88" s="4">
        <f>(VLOOKUP('8.0.0'!I88,'8.0.0'!$AM$4:$AP$48,4,FALSE))</f>
        <v>38</v>
      </c>
      <c r="B88" s="4">
        <f>(VLOOKUP('8.0.0'!J88,'8.0.0'!$AM$4:$AP$48,4,FALSE))</f>
        <v>38</v>
      </c>
      <c r="C88" s="4">
        <f>(VLOOKUP('8.0.0'!K88,'8.0.0'!$AM$4:$AP$48,4,FALSE))</f>
        <v>0</v>
      </c>
      <c r="D88" s="4">
        <f>(VLOOKUP('8.0.0'!L88,'8.0.0'!$AM$4:$AP$48,4,FALSE))</f>
        <v>38</v>
      </c>
      <c r="E88" s="4">
        <f>(VLOOKUP('8.0.0'!M88,'8.0.0'!$AM$4:$AP$48,4,FALSE))</f>
        <v>38</v>
      </c>
      <c r="F88" s="4">
        <f>(VLOOKUP('8.0.0'!N88,'8.0.0'!$AM$4:$AP$48,4,FALSE))</f>
        <v>38</v>
      </c>
      <c r="G88" s="4">
        <f>(VLOOKUP('8.0.0'!O88,'8.0.0'!$AM$4:$AP$48,4,FALSE))</f>
        <v>0</v>
      </c>
      <c r="H88" s="4">
        <f>(VLOOKUP('8.0.0'!P88,'8.0.0'!$AM$4:$AP$48,4,FALSE))</f>
        <v>0</v>
      </c>
      <c r="I88" s="4">
        <f>(VLOOKUP('8.0.0'!Q88,'8.0.0'!$AM$4:$AP$48,4,FALSE))</f>
        <v>39.110982162825422</v>
      </c>
      <c r="J88" s="4">
        <f>(VLOOKUP('8.0.0'!R88,'8.0.0'!$AM$4:$AP$48,4,FALSE))</f>
        <v>39.110982162825422</v>
      </c>
      <c r="K88" s="4">
        <f>(VLOOKUP('8.0.0'!S88,'8.0.0'!$AM$4:$AP$48,4,FALSE))</f>
        <v>39.110982162825422</v>
      </c>
      <c r="L88" s="4">
        <f>(VLOOKUP('8.0.0'!T88,'8.0.0'!$AM$4:$AP$48,4,FALSE))</f>
        <v>10</v>
      </c>
      <c r="M88" s="4">
        <f>(VLOOKUP('8.0.0'!U88,'8.0.0'!$AM$4:$AP$48,4,FALSE))</f>
        <v>39.110982162825422</v>
      </c>
      <c r="N88" s="4">
        <f>(VLOOKUP('8.0.0'!V88,'8.0.0'!$AM$4:$AP$48,4,FALSE))</f>
        <v>39.110982162825422</v>
      </c>
      <c r="O88" s="4">
        <f>(VLOOKUP('8.0.0'!W88,'8.0.0'!$AM$4:$AP$48,4,FALSE))</f>
        <v>0</v>
      </c>
      <c r="P88" s="4">
        <f>(VLOOKUP('8.0.0'!X88,'8.0.0'!$AM$4:$AP$48,4,FALSE))</f>
        <v>0</v>
      </c>
      <c r="Q88" s="4">
        <f>(VLOOKUP('8.0.0'!Y88,'8.0.0'!$AM$4:$AP$48,4,FALSE))</f>
        <v>0</v>
      </c>
      <c r="R88" s="4">
        <f>(VLOOKUP('8.0.0'!Z88,'8.0.0'!$AM$4:$AP$48,4,FALSE))</f>
        <v>0</v>
      </c>
      <c r="S88" s="4">
        <f>(VLOOKUP('8.0.0'!AA88,'8.0.0'!$AM$4:$AP$48,4,FALSE))</f>
        <v>0</v>
      </c>
      <c r="T88" s="4">
        <f>(VLOOKUP('8.0.0'!AB88,'8.0.0'!$AM$4:$AP$48,4,FALSE))</f>
        <v>0</v>
      </c>
      <c r="U88" s="4">
        <f>(VLOOKUP('8.0.0'!AC88,'8.0.0'!$AM$4:$AP$48,4,FALSE))</f>
        <v>0</v>
      </c>
      <c r="V88" s="4">
        <f>(VLOOKUP('8.0.0'!AD88,'8.0.0'!$AM$4:$AP$48,4,FALSE))</f>
        <v>0</v>
      </c>
      <c r="W88" s="4">
        <f>(VLOOKUP('8.0.0'!AE88,'8.0.0'!$AM$4:$AP$48,4,FALSE))</f>
        <v>0</v>
      </c>
      <c r="X88" s="4">
        <f>(VLOOKUP('8.0.0'!AF88,'8.0.0'!$AM$4:$AP$48,4,FALSE))</f>
        <v>0</v>
      </c>
    </row>
    <row r="89" spans="1:24">
      <c r="A89" s="4">
        <f>(VLOOKUP('8.0.0'!I89,'8.0.0'!$AM$4:$AP$48,4,FALSE))</f>
        <v>38</v>
      </c>
      <c r="B89" s="4">
        <f>(VLOOKUP('8.0.0'!J89,'8.0.0'!$AM$4:$AP$48,4,FALSE))</f>
        <v>38</v>
      </c>
      <c r="C89" s="4">
        <f>(VLOOKUP('8.0.0'!K89,'8.0.0'!$AM$4:$AP$48,4,FALSE))</f>
        <v>38</v>
      </c>
      <c r="D89" s="4">
        <f>(VLOOKUP('8.0.0'!L89,'8.0.0'!$AM$4:$AP$48,4,FALSE))</f>
        <v>38</v>
      </c>
      <c r="E89" s="4">
        <f>(VLOOKUP('8.0.0'!M89,'8.0.0'!$AM$4:$AP$48,4,FALSE))</f>
        <v>38</v>
      </c>
      <c r="F89" s="4">
        <f>(VLOOKUP('8.0.0'!N89,'8.0.0'!$AM$4:$AP$48,4,FALSE))</f>
        <v>38</v>
      </c>
      <c r="G89" s="4">
        <f>(VLOOKUP('8.0.0'!O89,'8.0.0'!$AM$4:$AP$48,4,FALSE))</f>
        <v>0</v>
      </c>
      <c r="H89" s="4">
        <f>(VLOOKUP('8.0.0'!P89,'8.0.0'!$AM$4:$AP$48,4,FALSE))</f>
        <v>0</v>
      </c>
      <c r="I89" s="4">
        <f>(VLOOKUP('8.0.0'!Q89,'8.0.0'!$AM$4:$AP$48,4,FALSE))</f>
        <v>39.110982162825422</v>
      </c>
      <c r="J89" s="4">
        <f>(VLOOKUP('8.0.0'!R89,'8.0.0'!$AM$4:$AP$48,4,FALSE))</f>
        <v>29.110982162825422</v>
      </c>
      <c r="K89" s="4">
        <f>(VLOOKUP('8.0.0'!S89,'8.0.0'!$AM$4:$AP$48,4,FALSE))</f>
        <v>39.110982162825422</v>
      </c>
      <c r="L89" s="4">
        <f>(VLOOKUP('8.0.0'!T89,'8.0.0'!$AM$4:$AP$48,4,FALSE))</f>
        <v>39.110982162825422</v>
      </c>
      <c r="M89" s="4">
        <f>(VLOOKUP('8.0.0'!U89,'8.0.0'!$AM$4:$AP$48,4,FALSE))</f>
        <v>10</v>
      </c>
      <c r="N89" s="4">
        <f>(VLOOKUP('8.0.0'!V89,'8.0.0'!$AM$4:$AP$48,4,FALSE))</f>
        <v>0</v>
      </c>
      <c r="O89" s="4">
        <f>(VLOOKUP('8.0.0'!W89,'8.0.0'!$AM$4:$AP$48,4,FALSE))</f>
        <v>0</v>
      </c>
      <c r="P89" s="4">
        <f>(VLOOKUP('8.0.0'!X89,'8.0.0'!$AM$4:$AP$48,4,FALSE))</f>
        <v>0</v>
      </c>
      <c r="Q89" s="4">
        <f>(VLOOKUP('8.0.0'!Y89,'8.0.0'!$AM$4:$AP$48,4,FALSE))</f>
        <v>36</v>
      </c>
      <c r="R89" s="4">
        <f>(VLOOKUP('8.0.0'!Z89,'8.0.0'!$AM$4:$AP$48,4,FALSE))</f>
        <v>0</v>
      </c>
      <c r="S89" s="4">
        <f>(VLOOKUP('8.0.0'!AA89,'8.0.0'!$AM$4:$AP$48,4,FALSE))</f>
        <v>0</v>
      </c>
      <c r="T89" s="4">
        <f>(VLOOKUP('8.0.0'!AB89,'8.0.0'!$AM$4:$AP$48,4,FALSE))</f>
        <v>0</v>
      </c>
      <c r="U89" s="4">
        <f>(VLOOKUP('8.0.0'!AC89,'8.0.0'!$AM$4:$AP$48,4,FALSE))</f>
        <v>0</v>
      </c>
      <c r="V89" s="4">
        <f>(VLOOKUP('8.0.0'!AD89,'8.0.0'!$AM$4:$AP$48,4,FALSE))</f>
        <v>0</v>
      </c>
      <c r="W89" s="4">
        <f>(VLOOKUP('8.0.0'!AE89,'8.0.0'!$AM$4:$AP$48,4,FALSE))</f>
        <v>0</v>
      </c>
      <c r="X89" s="4">
        <f>(VLOOKUP('8.0.0'!AF89,'8.0.0'!$AM$4:$AP$48,4,FALSE))</f>
        <v>0</v>
      </c>
    </row>
    <row r="90" spans="1:24">
      <c r="A90" s="4">
        <f>(VLOOKUP('8.0.0'!I90,'8.0.0'!$AM$4:$AP$48,4,FALSE))</f>
        <v>38</v>
      </c>
      <c r="B90" s="4">
        <f>(VLOOKUP('8.0.0'!J90,'8.0.0'!$AM$4:$AP$48,4,FALSE))</f>
        <v>38</v>
      </c>
      <c r="C90" s="4">
        <f>(VLOOKUP('8.0.0'!K90,'8.0.0'!$AM$4:$AP$48,4,FALSE))</f>
        <v>38</v>
      </c>
      <c r="D90" s="4">
        <f>(VLOOKUP('8.0.0'!L90,'8.0.0'!$AM$4:$AP$48,4,FALSE))</f>
        <v>38</v>
      </c>
      <c r="E90" s="4">
        <f>(VLOOKUP('8.0.0'!M90,'8.0.0'!$AM$4:$AP$48,4,FALSE))</f>
        <v>38</v>
      </c>
      <c r="F90" s="4">
        <f>(VLOOKUP('8.0.0'!N90,'8.0.0'!$AM$4:$AP$48,4,FALSE))</f>
        <v>38</v>
      </c>
      <c r="G90" s="4">
        <f>(VLOOKUP('8.0.0'!O90,'8.0.0'!$AM$4:$AP$48,4,FALSE))</f>
        <v>0</v>
      </c>
      <c r="H90" s="4">
        <f>(VLOOKUP('8.0.0'!P90,'8.0.0'!$AM$4:$AP$48,4,FALSE))</f>
        <v>0</v>
      </c>
      <c r="I90" s="4">
        <f>(VLOOKUP('8.0.0'!Q90,'8.0.0'!$AM$4:$AP$48,4,FALSE))</f>
        <v>39.110982162825422</v>
      </c>
      <c r="J90" s="4">
        <f>(VLOOKUP('8.0.0'!R90,'8.0.0'!$AM$4:$AP$48,4,FALSE))</f>
        <v>39.110982162825422</v>
      </c>
      <c r="K90" s="4">
        <f>(VLOOKUP('8.0.0'!S90,'8.0.0'!$AM$4:$AP$48,4,FALSE))</f>
        <v>0</v>
      </c>
      <c r="L90" s="4">
        <f>(VLOOKUP('8.0.0'!T90,'8.0.0'!$AM$4:$AP$48,4,FALSE))</f>
        <v>0</v>
      </c>
      <c r="M90" s="4">
        <f>(VLOOKUP('8.0.0'!U90,'8.0.0'!$AM$4:$AP$48,4,FALSE))</f>
        <v>0</v>
      </c>
      <c r="N90" s="4">
        <f>(VLOOKUP('8.0.0'!V90,'8.0.0'!$AM$4:$AP$48,4,FALSE))</f>
        <v>0</v>
      </c>
      <c r="O90" s="4">
        <f>(VLOOKUP('8.0.0'!W90,'8.0.0'!$AM$4:$AP$48,4,FALSE))</f>
        <v>0</v>
      </c>
      <c r="P90" s="4">
        <f>(VLOOKUP('8.0.0'!X90,'8.0.0'!$AM$4:$AP$48,4,FALSE))</f>
        <v>0</v>
      </c>
      <c r="Q90" s="4">
        <f>(VLOOKUP('8.0.0'!Y90,'8.0.0'!$AM$4:$AP$48,4,FALSE))</f>
        <v>36</v>
      </c>
      <c r="R90" s="4">
        <f>(VLOOKUP('8.0.0'!Z90,'8.0.0'!$AM$4:$AP$48,4,FALSE))</f>
        <v>0</v>
      </c>
      <c r="S90" s="4">
        <f>(VLOOKUP('8.0.0'!AA90,'8.0.0'!$AM$4:$AP$48,4,FALSE))</f>
        <v>36</v>
      </c>
      <c r="T90" s="4">
        <f>(VLOOKUP('8.0.0'!AB90,'8.0.0'!$AM$4:$AP$48,4,FALSE))</f>
        <v>0</v>
      </c>
      <c r="U90" s="4">
        <f>(VLOOKUP('8.0.0'!AC90,'8.0.0'!$AM$4:$AP$48,4,FALSE))</f>
        <v>0</v>
      </c>
      <c r="V90" s="4">
        <f>(VLOOKUP('8.0.0'!AD90,'8.0.0'!$AM$4:$AP$48,4,FALSE))</f>
        <v>0</v>
      </c>
      <c r="W90" s="4">
        <f>(VLOOKUP('8.0.0'!AE90,'8.0.0'!$AM$4:$AP$48,4,FALSE))</f>
        <v>0</v>
      </c>
      <c r="X90" s="4">
        <f>(VLOOKUP('8.0.0'!AF90,'8.0.0'!$AM$4:$AP$48,4,FALSE))</f>
        <v>0</v>
      </c>
    </row>
    <row r="91" spans="1:24">
      <c r="A91" s="4">
        <f>(VLOOKUP('8.0.0'!I91,'8.0.0'!$AM$4:$AP$48,4,FALSE))</f>
        <v>38</v>
      </c>
      <c r="B91" s="4">
        <f>(VLOOKUP('8.0.0'!J91,'8.0.0'!$AM$4:$AP$48,4,FALSE))</f>
        <v>0</v>
      </c>
      <c r="C91" s="4">
        <f>(VLOOKUP('8.0.0'!K91,'8.0.0'!$AM$4:$AP$48,4,FALSE))</f>
        <v>0</v>
      </c>
      <c r="D91" s="4">
        <f>(VLOOKUP('8.0.0'!L91,'8.0.0'!$AM$4:$AP$48,4,FALSE))</f>
        <v>0</v>
      </c>
      <c r="E91" s="4">
        <f>(VLOOKUP('8.0.0'!M91,'8.0.0'!$AM$4:$AP$48,4,FALSE))</f>
        <v>0</v>
      </c>
      <c r="F91" s="4">
        <f>(VLOOKUP('8.0.0'!N91,'8.0.0'!$AM$4:$AP$48,4,FALSE))</f>
        <v>0</v>
      </c>
      <c r="G91" s="4">
        <f>(VLOOKUP('8.0.0'!O91,'8.0.0'!$AM$4:$AP$48,4,FALSE))</f>
        <v>0</v>
      </c>
      <c r="H91" s="4">
        <f>(VLOOKUP('8.0.0'!P91,'8.0.0'!$AM$4:$AP$48,4,FALSE))</f>
        <v>0</v>
      </c>
      <c r="I91" s="4">
        <f>(VLOOKUP('8.0.0'!Q91,'8.0.0'!$AM$4:$AP$48,4,FALSE))</f>
        <v>39.110982162825422</v>
      </c>
      <c r="J91" s="4">
        <f>(VLOOKUP('8.0.0'!R91,'8.0.0'!$AM$4:$AP$48,4,FALSE))</f>
        <v>39.110982162825422</v>
      </c>
      <c r="K91" s="4">
        <f>(VLOOKUP('8.0.0'!S91,'8.0.0'!$AM$4:$AP$48,4,FALSE))</f>
        <v>39.110982162825422</v>
      </c>
      <c r="L91" s="4">
        <f>(VLOOKUP('8.0.0'!T91,'8.0.0'!$AM$4:$AP$48,4,FALSE))</f>
        <v>10</v>
      </c>
      <c r="M91" s="4">
        <f>(VLOOKUP('8.0.0'!U91,'8.0.0'!$AM$4:$AP$48,4,FALSE))</f>
        <v>39.110982162825422</v>
      </c>
      <c r="N91" s="4">
        <f>(VLOOKUP('8.0.0'!V91,'8.0.0'!$AM$4:$AP$48,4,FALSE))</f>
        <v>39.110982162825422</v>
      </c>
      <c r="O91" s="4">
        <f>(VLOOKUP('8.0.0'!W91,'8.0.0'!$AM$4:$AP$48,4,FALSE))</f>
        <v>0</v>
      </c>
      <c r="P91" s="4">
        <f>(VLOOKUP('8.0.0'!X91,'8.0.0'!$AM$4:$AP$48,4,FALSE))</f>
        <v>0</v>
      </c>
      <c r="Q91" s="4">
        <f>(VLOOKUP('8.0.0'!Y91,'8.0.0'!$AM$4:$AP$48,4,FALSE))</f>
        <v>36</v>
      </c>
      <c r="R91" s="4">
        <f>(VLOOKUP('8.0.0'!Z91,'8.0.0'!$AM$4:$AP$48,4,FALSE))</f>
        <v>36</v>
      </c>
      <c r="S91" s="4">
        <f>(VLOOKUP('8.0.0'!AA91,'8.0.0'!$AM$4:$AP$48,4,FALSE))</f>
        <v>36</v>
      </c>
      <c r="T91" s="4">
        <f>(VLOOKUP('8.0.0'!AB91,'8.0.0'!$AM$4:$AP$48,4,FALSE))</f>
        <v>36</v>
      </c>
      <c r="U91" s="4">
        <f>(VLOOKUP('8.0.0'!AC91,'8.0.0'!$AM$4:$AP$48,4,FALSE))</f>
        <v>36</v>
      </c>
      <c r="V91" s="4">
        <f>(VLOOKUP('8.0.0'!AD91,'8.0.0'!$AM$4:$AP$48,4,FALSE))</f>
        <v>36</v>
      </c>
      <c r="W91" s="4">
        <f>(VLOOKUP('8.0.0'!AE91,'8.0.0'!$AM$4:$AP$48,4,FALSE))</f>
        <v>0</v>
      </c>
      <c r="X91" s="4">
        <f>(VLOOKUP('8.0.0'!AF91,'8.0.0'!$AM$4:$AP$48,4,FALSE))</f>
        <v>0</v>
      </c>
    </row>
    <row r="92" spans="1:24">
      <c r="A92" s="4">
        <f>(VLOOKUP('8.0.0'!I92,'8.0.0'!$AM$4:$AP$48,4,FALSE))</f>
        <v>38</v>
      </c>
      <c r="B92" s="4">
        <f>(VLOOKUP('8.0.0'!J92,'8.0.0'!$AM$4:$AP$48,4,FALSE))</f>
        <v>0</v>
      </c>
      <c r="C92" s="4">
        <f>(VLOOKUP('8.0.0'!K92,'8.0.0'!$AM$4:$AP$48,4,FALSE))</f>
        <v>0</v>
      </c>
      <c r="D92" s="4">
        <f>(VLOOKUP('8.0.0'!L92,'8.0.0'!$AM$4:$AP$48,4,FALSE))</f>
        <v>0</v>
      </c>
      <c r="E92" s="4">
        <f>(VLOOKUP('8.0.0'!M92,'8.0.0'!$AM$4:$AP$48,4,FALSE))</f>
        <v>0</v>
      </c>
      <c r="F92" s="4">
        <f>(VLOOKUP('8.0.0'!N92,'8.0.0'!$AM$4:$AP$48,4,FALSE))</f>
        <v>0</v>
      </c>
      <c r="G92" s="4">
        <f>(VLOOKUP('8.0.0'!O92,'8.0.0'!$AM$4:$AP$48,4,FALSE))</f>
        <v>0</v>
      </c>
      <c r="H92" s="4">
        <f>(VLOOKUP('8.0.0'!P92,'8.0.0'!$AM$4:$AP$48,4,FALSE))</f>
        <v>0</v>
      </c>
      <c r="I92" s="4">
        <f>(VLOOKUP('8.0.0'!Q92,'8.0.0'!$AM$4:$AP$48,4,FALSE))</f>
        <v>39.110982162825422</v>
      </c>
      <c r="J92" s="4">
        <f>(VLOOKUP('8.0.0'!R92,'8.0.0'!$AM$4:$AP$48,4,FALSE))</f>
        <v>29.110982162825422</v>
      </c>
      <c r="K92" s="4">
        <f>(VLOOKUP('8.0.0'!S92,'8.0.0'!$AM$4:$AP$48,4,FALSE))</f>
        <v>39.110982162825422</v>
      </c>
      <c r="L92" s="4">
        <f>(VLOOKUP('8.0.0'!T92,'8.0.0'!$AM$4:$AP$48,4,FALSE))</f>
        <v>39.110982162825422</v>
      </c>
      <c r="M92" s="4">
        <f>(VLOOKUP('8.0.0'!U92,'8.0.0'!$AM$4:$AP$48,4,FALSE))</f>
        <v>10</v>
      </c>
      <c r="N92" s="4">
        <f>(VLOOKUP('8.0.0'!V92,'8.0.0'!$AM$4:$AP$48,4,FALSE))</f>
        <v>39.110982162825422</v>
      </c>
      <c r="O92" s="4">
        <f>(VLOOKUP('8.0.0'!W92,'8.0.0'!$AM$4:$AP$48,4,FALSE))</f>
        <v>0</v>
      </c>
      <c r="P92" s="4">
        <f>(VLOOKUP('8.0.0'!X92,'8.0.0'!$AM$4:$AP$48,4,FALSE))</f>
        <v>0</v>
      </c>
      <c r="Q92" s="4">
        <f>(VLOOKUP('8.0.0'!Y92,'8.0.0'!$AM$4:$AP$48,4,FALSE))</f>
        <v>10</v>
      </c>
      <c r="R92" s="4">
        <f>(VLOOKUP('8.0.0'!Z92,'8.0.0'!$AM$4:$AP$48,4,FALSE))</f>
        <v>36</v>
      </c>
      <c r="S92" s="4">
        <f>(VLOOKUP('8.0.0'!AA92,'8.0.0'!$AM$4:$AP$48,4,FALSE))</f>
        <v>36</v>
      </c>
      <c r="T92" s="4">
        <f>(VLOOKUP('8.0.0'!AB92,'8.0.0'!$AM$4:$AP$48,4,FALSE))</f>
        <v>36</v>
      </c>
      <c r="U92" s="4">
        <f>(VLOOKUP('8.0.0'!AC92,'8.0.0'!$AM$4:$AP$48,4,FALSE))</f>
        <v>36</v>
      </c>
      <c r="V92" s="4">
        <f>(VLOOKUP('8.0.0'!AD92,'8.0.0'!$AM$4:$AP$48,4,FALSE))</f>
        <v>36</v>
      </c>
      <c r="W92" s="4">
        <f>(VLOOKUP('8.0.0'!AE92,'8.0.0'!$AM$4:$AP$48,4,FALSE))</f>
        <v>0</v>
      </c>
      <c r="X92" s="4">
        <f>(VLOOKUP('8.0.0'!AF92,'8.0.0'!$AM$4:$AP$48,4,FALSE))</f>
        <v>0</v>
      </c>
    </row>
    <row r="93" spans="1:24">
      <c r="A93" s="4">
        <f>(VLOOKUP('8.0.0'!I93,'8.0.0'!$AM$4:$AP$48,4,FALSE))</f>
        <v>38</v>
      </c>
      <c r="B93" s="4">
        <f>(VLOOKUP('8.0.0'!J93,'8.0.0'!$AM$4:$AP$48,4,FALSE))</f>
        <v>38</v>
      </c>
      <c r="C93" s="4">
        <f>(VLOOKUP('8.0.0'!K93,'8.0.0'!$AM$4:$AP$48,4,FALSE))</f>
        <v>0</v>
      </c>
      <c r="D93" s="4">
        <f>(VLOOKUP('8.0.0'!L93,'8.0.0'!$AM$4:$AP$48,4,FALSE))</f>
        <v>0</v>
      </c>
      <c r="E93" s="4">
        <f>(VLOOKUP('8.0.0'!M93,'8.0.0'!$AM$4:$AP$48,4,FALSE))</f>
        <v>0</v>
      </c>
      <c r="F93" s="4">
        <f>(VLOOKUP('8.0.0'!N93,'8.0.0'!$AM$4:$AP$48,4,FALSE))</f>
        <v>0</v>
      </c>
      <c r="G93" s="4">
        <f>(VLOOKUP('8.0.0'!O93,'8.0.0'!$AM$4:$AP$48,4,FALSE))</f>
        <v>0</v>
      </c>
      <c r="H93" s="4">
        <f>(VLOOKUP('8.0.0'!P93,'8.0.0'!$AM$4:$AP$48,4,FALSE))</f>
        <v>0</v>
      </c>
      <c r="I93" s="4">
        <f>(VLOOKUP('8.0.0'!Q93,'8.0.0'!$AM$4:$AP$48,4,FALSE))</f>
        <v>39.110982162825422</v>
      </c>
      <c r="J93" s="4">
        <f>(VLOOKUP('8.0.0'!R93,'8.0.0'!$AM$4:$AP$48,4,FALSE))</f>
        <v>39.110982162825422</v>
      </c>
      <c r="K93" s="4">
        <f>(VLOOKUP('8.0.0'!S93,'8.0.0'!$AM$4:$AP$48,4,FALSE))</f>
        <v>39.110982162825422</v>
      </c>
      <c r="L93" s="4">
        <f>(VLOOKUP('8.0.0'!T93,'8.0.0'!$AM$4:$AP$48,4,FALSE))</f>
        <v>39.110982162825422</v>
      </c>
      <c r="M93" s="4">
        <f>(VLOOKUP('8.0.0'!U93,'8.0.0'!$AM$4:$AP$48,4,FALSE))</f>
        <v>10</v>
      </c>
      <c r="N93" s="4">
        <f>(VLOOKUP('8.0.0'!V93,'8.0.0'!$AM$4:$AP$48,4,FALSE))</f>
        <v>0</v>
      </c>
      <c r="O93" s="4">
        <f>(VLOOKUP('8.0.0'!W93,'8.0.0'!$AM$4:$AP$48,4,FALSE))</f>
        <v>0</v>
      </c>
      <c r="P93" s="4">
        <f>(VLOOKUP('8.0.0'!X93,'8.0.0'!$AM$4:$AP$48,4,FALSE))</f>
        <v>0</v>
      </c>
      <c r="Q93" s="4">
        <f>(VLOOKUP('8.0.0'!Y93,'8.0.0'!$AM$4:$AP$48,4,FALSE))</f>
        <v>36</v>
      </c>
      <c r="R93" s="4">
        <f>(VLOOKUP('8.0.0'!Z93,'8.0.0'!$AM$4:$AP$48,4,FALSE))</f>
        <v>36</v>
      </c>
      <c r="S93" s="4">
        <f>(VLOOKUP('8.0.0'!AA93,'8.0.0'!$AM$4:$AP$48,4,FALSE))</f>
        <v>36</v>
      </c>
      <c r="T93" s="4">
        <f>(VLOOKUP('8.0.0'!AB93,'8.0.0'!$AM$4:$AP$48,4,FALSE))</f>
        <v>36</v>
      </c>
      <c r="U93" s="4">
        <f>(VLOOKUP('8.0.0'!AC93,'8.0.0'!$AM$4:$AP$48,4,FALSE))</f>
        <v>36</v>
      </c>
      <c r="V93" s="4">
        <f>(VLOOKUP('8.0.0'!AD93,'8.0.0'!$AM$4:$AP$48,4,FALSE))</f>
        <v>10</v>
      </c>
      <c r="W93" s="4">
        <f>(VLOOKUP('8.0.0'!AE93,'8.0.0'!$AM$4:$AP$48,4,FALSE))</f>
        <v>0</v>
      </c>
      <c r="X93" s="4">
        <f>(VLOOKUP('8.0.0'!AF93,'8.0.0'!$AM$4:$AP$48,4,FALSE))</f>
        <v>0</v>
      </c>
    </row>
    <row r="94" spans="1:24">
      <c r="A94" s="4">
        <f>(VLOOKUP('8.0.0'!I94,'8.0.0'!$AM$4:$AP$48,4,FALSE))</f>
        <v>38</v>
      </c>
      <c r="B94" s="4">
        <f>(VLOOKUP('8.0.0'!J94,'8.0.0'!$AM$4:$AP$48,4,FALSE))</f>
        <v>38</v>
      </c>
      <c r="C94" s="4">
        <f>(VLOOKUP('8.0.0'!K94,'8.0.0'!$AM$4:$AP$48,4,FALSE))</f>
        <v>38</v>
      </c>
      <c r="D94" s="4">
        <f>(VLOOKUP('8.0.0'!L94,'8.0.0'!$AM$4:$AP$48,4,FALSE))</f>
        <v>38</v>
      </c>
      <c r="E94" s="4">
        <f>(VLOOKUP('8.0.0'!M94,'8.0.0'!$AM$4:$AP$48,4,FALSE))</f>
        <v>38</v>
      </c>
      <c r="F94" s="4">
        <f>(VLOOKUP('8.0.0'!N94,'8.0.0'!$AM$4:$AP$48,4,FALSE))</f>
        <v>0</v>
      </c>
      <c r="G94" s="4">
        <f>(VLOOKUP('8.0.0'!O94,'8.0.0'!$AM$4:$AP$48,4,FALSE))</f>
        <v>0</v>
      </c>
      <c r="H94" s="4">
        <f>(VLOOKUP('8.0.0'!P94,'8.0.0'!$AM$4:$AP$48,4,FALSE))</f>
        <v>0</v>
      </c>
      <c r="I94" s="4">
        <f>(VLOOKUP('8.0.0'!Q94,'8.0.0'!$AM$4:$AP$48,4,FALSE))</f>
        <v>0</v>
      </c>
      <c r="J94" s="4">
        <f>(VLOOKUP('8.0.0'!R94,'8.0.0'!$AM$4:$AP$48,4,FALSE))</f>
        <v>0</v>
      </c>
      <c r="K94" s="4">
        <f>(VLOOKUP('8.0.0'!S94,'8.0.0'!$AM$4:$AP$48,4,FALSE))</f>
        <v>0</v>
      </c>
      <c r="L94" s="4">
        <f>(VLOOKUP('8.0.0'!T94,'8.0.0'!$AM$4:$AP$48,4,FALSE))</f>
        <v>0</v>
      </c>
      <c r="M94" s="4">
        <f>(VLOOKUP('8.0.0'!U94,'8.0.0'!$AM$4:$AP$48,4,FALSE))</f>
        <v>0</v>
      </c>
      <c r="N94" s="4">
        <f>(VLOOKUP('8.0.0'!V94,'8.0.0'!$AM$4:$AP$48,4,FALSE))</f>
        <v>0</v>
      </c>
      <c r="O94" s="4">
        <f>(VLOOKUP('8.0.0'!W94,'8.0.0'!$AM$4:$AP$48,4,FALSE))</f>
        <v>0</v>
      </c>
      <c r="P94" s="4">
        <f>(VLOOKUP('8.0.0'!X94,'8.0.0'!$AM$4:$AP$48,4,FALSE))</f>
        <v>0</v>
      </c>
      <c r="Q94" s="4">
        <f>(VLOOKUP('8.0.0'!Y94,'8.0.0'!$AM$4:$AP$48,4,FALSE))</f>
        <v>36</v>
      </c>
      <c r="R94" s="4">
        <f>(VLOOKUP('8.0.0'!Z94,'8.0.0'!$AM$4:$AP$48,4,FALSE))</f>
        <v>36</v>
      </c>
      <c r="S94" s="4">
        <f>(VLOOKUP('8.0.0'!AA94,'8.0.0'!$AM$4:$AP$48,4,FALSE))</f>
        <v>36</v>
      </c>
      <c r="T94" s="4">
        <f>(VLOOKUP('8.0.0'!AB94,'8.0.0'!$AM$4:$AP$48,4,FALSE))</f>
        <v>36</v>
      </c>
      <c r="U94" s="4">
        <f>(VLOOKUP('8.0.0'!AC94,'8.0.0'!$AM$4:$AP$48,4,FALSE))</f>
        <v>36</v>
      </c>
      <c r="V94" s="4">
        <f>(VLOOKUP('8.0.0'!AD94,'8.0.0'!$AM$4:$AP$48,4,FALSE))</f>
        <v>36</v>
      </c>
      <c r="W94" s="4">
        <f>(VLOOKUP('8.0.0'!AE94,'8.0.0'!$AM$4:$AP$48,4,FALSE))</f>
        <v>0</v>
      </c>
      <c r="X94" s="4">
        <f>(VLOOKUP('8.0.0'!AF94,'8.0.0'!$AM$4:$AP$48,4,FALSE))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8.0.0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2022-06-20T23:29:12Z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