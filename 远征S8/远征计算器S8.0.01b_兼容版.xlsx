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DBC90FF9-1BDA-42F7-BB47-48C9268959D9}" xr6:coauthVersionLast="47" xr6:coauthVersionMax="47" xr10:uidLastSave="{00000000-0000-0000-0000-000000000000}"/>
  <workbookProtection workbookAlgorithmName="SHA-512" workbookHashValue="Pq8T01AsxKx3Wcbv14EWcyw3b1hy80I8bvzLHAk857KYtfnIXARQ4PaoEsRpdk4oQo6ClGf8hSuzMeQfRA4dpw==" workbookSaltValue="gqdDnV9QTXYGQ+roWTFjFQ==" workbookSpinCount="100000" lockStructure="1"/>
  <bookViews>
    <workbookView xWindow="-108" yWindow="-108" windowWidth="23256" windowHeight="12576" xr2:uid="{00000000-000D-0000-FFFF-FFFF00000000}"/>
  </bookViews>
  <sheets>
    <sheet name=" 6.0.00" sheetId="12" r:id="rId1"/>
    <sheet name="粮草" sheetId="14" state="hidden" r:id="rId2"/>
    <sheet name="经验" sheetId="1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P29" i="12" l="1"/>
  <c r="AQ29" i="12"/>
  <c r="AU29" i="12" s="1"/>
  <c r="AR29" i="12"/>
  <c r="AV29" i="12" s="1"/>
  <c r="AZ29" i="12"/>
  <c r="E4" i="14"/>
  <c r="A1" i="12"/>
  <c r="AI2" i="12"/>
  <c r="AH2" i="12"/>
  <c r="AG2" i="12"/>
  <c r="AS29" i="12" l="1"/>
  <c r="AT29" i="12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AZ28" i="12"/>
  <c r="AR28" i="12"/>
  <c r="AV28" i="12" s="1"/>
  <c r="AQ28" i="12"/>
  <c r="AU28" i="12" s="1"/>
  <c r="AP28" i="12"/>
  <c r="AZ27" i="12"/>
  <c r="AV27" i="12"/>
  <c r="AU27" i="12"/>
  <c r="AT27" i="12"/>
  <c r="AZ26" i="12"/>
  <c r="AR26" i="12"/>
  <c r="AV26" i="12" s="1"/>
  <c r="AQ26" i="12"/>
  <c r="AU26" i="12" s="1"/>
  <c r="AP26" i="12"/>
  <c r="AT26" i="12" s="1"/>
  <c r="AZ25" i="12"/>
  <c r="AR25" i="12"/>
  <c r="AV25" i="12" s="1"/>
  <c r="AQ25" i="12"/>
  <c r="AU25" i="12" s="1"/>
  <c r="AP25" i="12"/>
  <c r="AZ24" i="12"/>
  <c r="AR24" i="12"/>
  <c r="AV24" i="12" s="1"/>
  <c r="AQ24" i="12"/>
  <c r="AU24" i="12" s="1"/>
  <c r="AP24" i="12"/>
  <c r="AT24" i="12" s="1"/>
  <c r="AZ23" i="12"/>
  <c r="AR23" i="12"/>
  <c r="AV23" i="12" s="1"/>
  <c r="AQ23" i="12"/>
  <c r="AU23" i="12" s="1"/>
  <c r="AP23" i="12"/>
  <c r="AZ22" i="12"/>
  <c r="AR22" i="12"/>
  <c r="AV22" i="12" s="1"/>
  <c r="AQ22" i="12"/>
  <c r="AU22" i="12" s="1"/>
  <c r="AP22" i="12"/>
  <c r="AT22" i="12" s="1"/>
  <c r="AZ21" i="12"/>
  <c r="AR21" i="12"/>
  <c r="AV21" i="12" s="1"/>
  <c r="AQ21" i="12"/>
  <c r="AU21" i="12" s="1"/>
  <c r="AP21" i="12"/>
  <c r="AZ20" i="12"/>
  <c r="AR20" i="12"/>
  <c r="AV20" i="12" s="1"/>
  <c r="AQ20" i="12"/>
  <c r="AU20" i="12" s="1"/>
  <c r="AP20" i="12"/>
  <c r="AT20" i="12" s="1"/>
  <c r="AZ19" i="12"/>
  <c r="AR19" i="12"/>
  <c r="AV19" i="12" s="1"/>
  <c r="AQ19" i="12"/>
  <c r="AU19" i="12" s="1"/>
  <c r="AP19" i="12"/>
  <c r="AZ18" i="12"/>
  <c r="AR18" i="12"/>
  <c r="AV18" i="12" s="1"/>
  <c r="AQ18" i="12"/>
  <c r="AU18" i="12" s="1"/>
  <c r="AP18" i="12"/>
  <c r="AT18" i="12" s="1"/>
  <c r="AZ17" i="12"/>
  <c r="AR17" i="12"/>
  <c r="AV17" i="12" s="1"/>
  <c r="AQ17" i="12"/>
  <c r="AU17" i="12" s="1"/>
  <c r="AP17" i="12"/>
  <c r="AZ16" i="12"/>
  <c r="AR16" i="12"/>
  <c r="AV16" i="12" s="1"/>
  <c r="AQ16" i="12"/>
  <c r="AU16" i="12" s="1"/>
  <c r="AP16" i="12"/>
  <c r="AZ15" i="12"/>
  <c r="AR15" i="12"/>
  <c r="AV15" i="12" s="1"/>
  <c r="AQ15" i="12"/>
  <c r="AU15" i="12" s="1"/>
  <c r="AP15" i="12"/>
  <c r="AZ14" i="12"/>
  <c r="AR14" i="12"/>
  <c r="AV14" i="12" s="1"/>
  <c r="AQ14" i="12"/>
  <c r="AU14" i="12" s="1"/>
  <c r="AP14" i="12"/>
  <c r="AZ13" i="12"/>
  <c r="AR13" i="12"/>
  <c r="AV13" i="12" s="1"/>
  <c r="AQ13" i="12"/>
  <c r="AU13" i="12" s="1"/>
  <c r="AP13" i="12"/>
  <c r="AZ12" i="12"/>
  <c r="AR12" i="12"/>
  <c r="AV12" i="12" s="1"/>
  <c r="AQ12" i="12"/>
  <c r="AU12" i="12" s="1"/>
  <c r="AP12" i="12"/>
  <c r="AZ11" i="12"/>
  <c r="AR11" i="12"/>
  <c r="AV11" i="12" s="1"/>
  <c r="AQ11" i="12"/>
  <c r="AU11" i="12" s="1"/>
  <c r="AP11" i="12"/>
  <c r="AT11" i="12" s="1"/>
  <c r="AZ10" i="12"/>
  <c r="AR10" i="12"/>
  <c r="AV10" i="12" s="1"/>
  <c r="AQ10" i="12"/>
  <c r="AP10" i="12"/>
  <c r="AT10" i="12" s="1"/>
  <c r="AZ9" i="12"/>
  <c r="AR9" i="12"/>
  <c r="AV9" i="12" s="1"/>
  <c r="AQ9" i="12"/>
  <c r="AU9" i="12" s="1"/>
  <c r="AP9" i="12"/>
  <c r="AT9" i="12" s="1"/>
  <c r="AZ8" i="12"/>
  <c r="AR8" i="12"/>
  <c r="AV8" i="12" s="1"/>
  <c r="AQ8" i="12"/>
  <c r="AU8" i="12" s="1"/>
  <c r="AP8" i="12"/>
  <c r="AT8" i="12" s="1"/>
  <c r="AZ7" i="12"/>
  <c r="AR7" i="12"/>
  <c r="AV7" i="12" s="1"/>
  <c r="AQ7" i="12"/>
  <c r="AU7" i="12" s="1"/>
  <c r="AP7" i="12"/>
  <c r="AZ6" i="12"/>
  <c r="AR6" i="12"/>
  <c r="AV6" i="12" s="1"/>
  <c r="AQ6" i="12"/>
  <c r="AU6" i="12" s="1"/>
  <c r="AP6" i="12"/>
  <c r="AT6" i="12" s="1"/>
  <c r="AZ5" i="12"/>
  <c r="AR5" i="12"/>
  <c r="AV5" i="12" s="1"/>
  <c r="AQ5" i="12"/>
  <c r="AU5" i="12" s="1"/>
  <c r="AP5" i="12"/>
  <c r="AT5" i="12" s="1"/>
  <c r="AZ4" i="12"/>
  <c r="AR4" i="12"/>
  <c r="AQ4" i="12"/>
  <c r="AP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S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S7" i="12"/>
  <c r="AS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T4" i="12"/>
  <c r="AT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V4" i="12"/>
  <c r="G4" i="12"/>
  <c r="AS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S5" i="12"/>
  <c r="AS6" i="12"/>
  <c r="AS8" i="12"/>
  <c r="AS9" i="12"/>
  <c r="AU10" i="12"/>
  <c r="AS11" i="12"/>
  <c r="AS13" i="12"/>
  <c r="AT13" i="12"/>
  <c r="AS17" i="12"/>
  <c r="AT17" i="12"/>
  <c r="AS12" i="12"/>
  <c r="AT12" i="12"/>
  <c r="AS16" i="12"/>
  <c r="AT16" i="12"/>
  <c r="AS19" i="12"/>
  <c r="AT19" i="12"/>
  <c r="AS15" i="12"/>
  <c r="AT15" i="12"/>
  <c r="AS21" i="12"/>
  <c r="AT21" i="12"/>
  <c r="AS23" i="12"/>
  <c r="AT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U4" i="12"/>
  <c r="AS14" i="12"/>
  <c r="AT14" i="12"/>
  <c r="AT25" i="12"/>
  <c r="AS28" i="12"/>
  <c r="AS18" i="12"/>
  <c r="AS20" i="12"/>
  <c r="AS22" i="12"/>
  <c r="AS24" i="12"/>
  <c r="AS26" i="12"/>
  <c r="AT28" i="12"/>
  <c r="G6" i="12" l="1"/>
  <c r="G5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AV2" i="12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AS2" i="12"/>
  <c r="I4" i="14"/>
  <c r="D18" i="12" l="1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1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5" i="12"/>
  <c r="D89" i="12"/>
  <c r="D93" i="12"/>
  <c r="D29" i="12"/>
  <c r="D25" i="12"/>
  <c r="D74" i="12"/>
  <c r="D78" i="12"/>
  <c r="D82" i="12"/>
  <c r="D86" i="12"/>
  <c r="D90" i="12"/>
  <c r="D94" i="12"/>
  <c r="D2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9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84" i="12"/>
  <c r="D88" i="12"/>
  <c r="D92" i="12"/>
  <c r="D5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83" i="12"/>
  <c r="D87" i="12"/>
  <c r="D91" i="12"/>
  <c r="D36" i="12"/>
  <c r="D68" i="12"/>
  <c r="L2" i="14"/>
  <c r="E8" i="12" l="1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5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<sst xmlns="http://schemas.openxmlformats.org/spreadsheetml/2006/main" count="2364" uniqueCount="68">
  <si>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</si>
  <si>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</si>
  <si>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</si>
  <si>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</si>
  <si>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</si>
  <si>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</si>
  <si>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</si>
  <si>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</si>
  <si>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</si>
  <si>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</si>
  <si>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</si>
  <si>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</si>
  <si>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</si>
  <si>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</si>
  <si>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</si>
  <si>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</si>
  <si>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</si>
  <si>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</si>
  <si>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</si>
  <si>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</si>
  <si>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</si>
  <si>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</si>
  <si>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</si>
  <si>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</si>
  <si>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</si>
  <si>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</si>
  <si>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</si>
  <si>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</si>
  <si>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</si>
  <si>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</si>
  <si>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</si>
  <si>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</si>
  <si>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</si>
  <si>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</si>
  <si>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</si>
  <si>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</si>
  <si>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</si>
  <si>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</si>
  <si>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</si>
  <si>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</si>
  <si>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</si>
  <si>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</si>
  <si>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</si>
  <si>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</si>
  <si>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</si>
  <si>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</si>
  <si>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</si>
  <si>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</si>
  <si>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</si>
  <si>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</si>
  <si>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</si>
  <si>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</si>
  <si>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</si>
  <si>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</si>
  <si>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</si>
  <si>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</si>
  <si>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</si>
  <si>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</si>
  <si>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</si>
  <si>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</si>
  <si>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</si>
  <si>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</si>
  <si>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</si>
  <si>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</si>
  <si>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历练</t>
  </si>
  <si>
    <t>大卦</t>
  </si>
  <si>
    <t>小卦</t>
  </si>
  <si>
    <t>version 7.0.00b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</si>
</sst>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>
        <bgColor theme="8" tint="0.79998168889431442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3" fillId="0" borderId="0" xfId="0" applyFont="1" applyFill="1" applyBorder="1"/>
    <xf numFmtId="0" fontId="3" fillId="3" borderId="0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6" fillId="0" borderId="0" xfId="0" applyFont="1"/>
    <xf numFmtId="0" fontId="2" fillId="9" borderId="13" xfId="0" applyFont="1" applyFill="1" applyBorder="1"/>
    <xf numFmtId="0" fontId="0" fillId="10" borderId="13" xfId="0" applyFont="1" applyFill="1" applyBorder="1" applyAlignment="1">
      <alignment vertical="top"/>
    </xf>
    <xf numFmtId="0" fontId="0" fillId="0" borderId="0" xfId="0" applyFont="1"/>
    <xf numFmtId="0" fontId="0" fillId="12" borderId="5" xfId="0" applyFill="1" applyBorder="1"/>
    <xf numFmtId="0" fontId="0" fillId="13" borderId="13" xfId="0" applyFont="1" applyFill="1" applyBorder="1" applyAlignment="1">
      <alignment vertical="top"/>
    </xf>
    <xf numFmtId="0" fontId="2" fillId="14" borderId="13" xfId="0" applyFont="1" applyFill="1" applyBorder="1"/>
    <xf numFmtId="0" fontId="0" fillId="12" borderId="5" xfId="0" applyFont="1" applyFill="1" applyBorder="1"/>
    <xf numFmtId="0" fontId="2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2" fillId="10" borderId="15" xfId="0" applyFont="1" applyFill="1" applyBorder="1" applyAlignment="1">
      <alignment wrapText="1"/>
    </xf>
    <xf numFmtId="0" fontId="2" fillId="0" borderId="0" xfId="0" applyFont="1"/>
    <xf numFmtId="0" fontId="0" fillId="0" borderId="13" xfId="0" applyBorder="1"/>
    <xf numFmtId="0" fontId="0" fillId="0" borderId="15" xfId="0" applyBorder="1"/>
    <xf numFmtId="0" fontId="0" fillId="8" borderId="13" xfId="0" applyFont="1" applyFill="1" applyBorder="1" applyAlignment="1">
      <alignment vertical="top"/>
    </xf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2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2" fillId="19" borderId="13" xfId="0" applyFont="1" applyFill="1" applyBorder="1"/>
    <xf numFmtId="0" fontId="2" fillId="20" borderId="13" xfId="0" applyFont="1" applyFill="1" applyBorder="1"/>
    <xf numFmtId="0" fontId="2" fillId="21" borderId="13" xfId="0" applyFont="1" applyFill="1" applyBorder="1"/>
    <xf numFmtId="0" fontId="2" fillId="5" borderId="13" xfId="0" applyFont="1" applyFill="1" applyBorder="1"/>
    <xf numFmtId="0" fontId="2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0" borderId="17" xfId="0" applyBorder="1"/>
    <xf numFmtId="0" fontId="8" fillId="0" borderId="0" xfId="0" applyFont="1"/>
    <xf numFmtId="0" fontId="8" fillId="11" borderId="10" xfId="0" applyFont="1" applyFill="1" applyBorder="1"/>
    <xf numFmtId="0" fontId="8" fillId="11" borderId="11" xfId="0" applyFont="1" applyFill="1" applyBorder="1"/>
    <xf numFmtId="0" fontId="9" fillId="22" borderId="14" xfId="0" applyFont="1" applyFill="1" applyBorder="1" applyAlignment="1">
      <alignment horizontal="center" wrapText="1"/>
    </xf>
    <xf numFmtId="0" fontId="9" fillId="22" borderId="14" xfId="0" applyFont="1" applyFill="1" applyBorder="1" applyAlignment="1">
      <alignment wrapText="1"/>
    </xf>
    <xf numFmtId="0" fontId="9" fillId="22" borderId="15" xfId="0" applyFont="1" applyFill="1" applyBorder="1" applyAlignment="1">
      <alignment wrapText="1"/>
    </xf>
    <xf numFmtId="0" fontId="10" fillId="15" borderId="15" xfId="0" applyFont="1" applyFill="1" applyBorder="1" applyAlignment="1">
      <alignment horizontal="center"/>
    </xf>
    <xf numFmtId="0" fontId="11" fillId="0" borderId="15" xfId="0" applyFont="1" applyBorder="1"/>
    <xf numFmtId="0" fontId="11" fillId="0" borderId="0" xfId="0" applyFont="1"/>
    <xf numFmtId="0" fontId="11" fillId="12" borderId="5" xfId="0" applyFont="1" applyFill="1" applyBorder="1"/>
    <xf numFmtId="0" fontId="0" fillId="23" borderId="0" xfId="0" applyFill="1" applyAlignment="1">
      <alignment wrapText="1"/>
    </xf>
    <xf numFmtId="14" fontId="11" fillId="0" borderId="0" xfId="0" applyNumberFormat="1" applyFont="1" applyFill="1"/>
    <xf numFmtId="0" fontId="11" fillId="8" borderId="13" xfId="0" applyFont="1" applyFill="1" applyBorder="1" applyAlignment="1">
      <alignment vertical="top"/>
    </xf>
    <xf numFmtId="0" fontId="11" fillId="0" borderId="13" xfId="0" applyFont="1" applyBorder="1"/>
    <xf numFmtId="0" fontId="11" fillId="0" borderId="0" xfId="0" applyFont="1" applyBorder="1"/>
    <xf numFmtId="0" fontId="11" fillId="13" borderId="13" xfId="0" applyFont="1" applyFill="1" applyBorder="1" applyAlignment="1">
      <alignment vertical="top"/>
    </xf>
    <xf numFmtId="0" fontId="11" fillId="10" borderId="13" xfId="0" applyFont="1" applyFill="1" applyBorder="1" applyAlignment="1">
      <alignment vertical="top"/>
    </xf>
    <xf numFmtId="0" fontId="0" fillId="11" borderId="13" xfId="0" applyFill="1" applyBorder="1"/>
    <xf numFmtId="0" fontId="12" fillId="12" borderId="5" xfId="0" applyFont="1" applyFill="1" applyBorder="1"/>
    <xf numFmtId="0" fontId="9" fillId="11" borderId="13" xfId="0" applyFont="1" applyFill="1" applyBorder="1"/>
    <xf numFmtId="0" fontId="9" fillId="24" borderId="13" xfId="0" applyFont="1" applyFill="1" applyBorder="1"/>
    <xf numFmtId="10" fontId="0" fillId="0" borderId="0" xfId="0" applyNumberFormat="1" applyFill="1"/>
    <xf numFmtId="2" fontId="0" fillId="0" borderId="0" xfId="0" applyNumberFormat="1" applyFill="1"/>
    <xf numFmtId="0" fontId="1" fillId="0" borderId="0" xfId="0" applyFont="1"/>
    <xf numFmtId="0" fontId="3" fillId="3" borderId="0" xfId="0" applyFont="1" applyFill="1" applyProtection="1">
      <protection hidden="1"/>
    </xf>
    <xf numFmtId="0" fontId="6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11" fillId="3" borderId="0" xfId="0" applyFont="1" applyFill="1" applyProtection="1"/>
    <xf numFmtId="0" fontId="3" fillId="0" borderId="0" xfId="0" applyFont="1" applyProtection="1"/>
    <xf numFmtId="0" fontId="3" fillId="3" borderId="0" xfId="0" applyFont="1" applyFill="1" applyProtection="1"/>
    <xf numFmtId="0" fontId="0" fillId="0" borderId="0" xfId="0" applyProtection="1"/>
    <xf numFmtId="0" fontId="0" fillId="3" borderId="0" xfId="0" applyFill="1" applyProtection="1"/>
    <xf numFmtId="0" fontId="11" fillId="3" borderId="0" xfId="0" applyFont="1" applyFill="1" applyProtection="1">
      <protection hidden="1"/>
    </xf>
    <xf numFmtId="0" fontId="0" fillId="0" borderId="15" xfId="0" applyBorder="1" applyProtection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96"/>
  <sheetViews>
    <sheetView tabSelected="1" zoomScaleNormal="100" workbookViewId="0">
      <pane ySplit="3" topLeftCell="A4" activePane="bottomLeft" state="frozen"/>
      <selection activeCell="AO32" sqref="AO32"/>
      <selection pane="bottomLeft" activeCell="B8" sqref="B8"/>
    </sheetView>
  </sheetViews>
  <sheetFormatPr defaultColWidth="9" defaultRowHeight="14.4"/>
  <cols>
    <col min="1" max="1" width="11.88671875" customWidth="1"/>
    <col min="2" max="2" width="9" customWidth="1"/>
    <col min="3" max="3" width="8.109375" customWidth="1"/>
    <col min="4" max="4" width="5.6640625" customWidth="1"/>
    <col min="5" max="5" width="6.44140625" customWidth="1"/>
    <col min="6" max="6" width="5.6640625" customWidth="1"/>
    <col min="7" max="7" width="6.5546875" customWidth="1"/>
    <col min="8" max="8" width="5" customWidth="1"/>
    <col min="9" max="15" width="7.33203125" customWidth="1"/>
    <col min="16" max="16" width="7.109375" customWidth="1"/>
    <col min="17" max="32" width="7.33203125" customWidth="1"/>
    <col min="33" max="37" width="5.109375" customWidth="1"/>
  </cols>
  <sheetData>
    <row r="1" spans="1:52" ht="28.2" customHeight="1" thickBot="1">
      <c r="A1" s="94">
        <f ca="1">(_xlfn.DAYS(TODAY(),A4)+2)/((_xlfn.DAYS(A94,A4))+1)</f>
        <v>1.098901098901099E-2</v>
      </c>
      <c r="B1" s="95"/>
      <c r="C1" s="95"/>
      <c r="D1" s="95"/>
      <c r="E1" s="95"/>
      <c r="F1" s="95"/>
      <c r="G1" s="95"/>
      <c r="H1" s="96"/>
      <c r="I1" s="97" t="s">
        <v>0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9"/>
      <c r="AH1" s="26"/>
      <c r="AI1" s="26"/>
      <c r="AJ1" s="26"/>
      <c r="AM1" s="92" t="s">
        <v>1</v>
      </c>
      <c r="AN1" s="92"/>
      <c r="AO1" s="92"/>
    </row>
    <row r="2" spans="1:52" ht="16.2" customHeight="1" thickBot="1">
      <c r="A2" s="78" t="s">
        <v>67</v>
      </c>
      <c r="B2" s="76"/>
      <c r="C2" s="77"/>
      <c r="D2" s="100" t="s">
        <v>2</v>
      </c>
      <c r="E2" s="101"/>
      <c r="F2" s="102">
        <f>SUM(F4:F94)+SUM(H4:H94)</f>
        <v>7000</v>
      </c>
      <c r="G2" s="102"/>
      <c r="H2" s="103"/>
      <c r="I2" s="104" t="s">
        <v>3</v>
      </c>
      <c r="J2" s="105"/>
      <c r="K2" s="1" t="s">
        <v>4</v>
      </c>
      <c r="L2" s="1">
        <f>COUNTIF(I4:P94,"&lt;&gt;空")</f>
        <v>0</v>
      </c>
      <c r="M2" s="105" t="s">
        <v>5</v>
      </c>
      <c r="N2" s="105"/>
      <c r="O2" s="105"/>
      <c r="P2" s="106"/>
      <c r="Q2" s="107" t="s">
        <v>6</v>
      </c>
      <c r="R2" s="108"/>
      <c r="S2" s="6" t="s">
        <v>4</v>
      </c>
      <c r="T2" s="6">
        <f>COUNTIF(Q4:X94,"&lt;&gt;空")</f>
        <v>0</v>
      </c>
      <c r="U2" s="108" t="s">
        <v>5</v>
      </c>
      <c r="V2" s="108"/>
      <c r="W2" s="108"/>
      <c r="X2" s="109"/>
      <c r="Y2" s="110" t="s">
        <v>7</v>
      </c>
      <c r="Z2" s="111"/>
      <c r="AA2" s="10" t="s">
        <v>8</v>
      </c>
      <c r="AB2" s="9">
        <f>COUNTIF(Y4:AF94,"&lt;&gt;空")</f>
        <v>0</v>
      </c>
      <c r="AC2" s="111" t="s">
        <v>5</v>
      </c>
      <c r="AD2" s="111"/>
      <c r="AE2" s="111"/>
      <c r="AF2" s="112"/>
      <c r="AG2" s="58">
        <f>SUM(AG4:AG94)</f>
        <v>0</v>
      </c>
      <c r="AH2" s="58">
        <f t="shared" ref="AH2" si="0">SUM(AH4:AH94)</f>
        <v>0</v>
      </c>
      <c r="AI2" s="58">
        <f>SUM(AI4:AI94)</f>
        <v>0</v>
      </c>
      <c r="AJ2" s="25">
        <f t="shared" ref="AJ2" si="1">SUM(AJ4:AJ94)</f>
        <v>0</v>
      </c>
      <c r="AK2" s="89" t="s">
        <v>9</v>
      </c>
      <c r="AM2" s="93"/>
      <c r="AN2" s="93"/>
      <c r="AO2" s="93"/>
      <c r="AR2" t="s">
        <v>28</v>
      </c>
      <c r="AS2">
        <f>SUM(AS4:AS28)</f>
        <v>0</v>
      </c>
      <c r="AU2" t="s">
        <v>60</v>
      </c>
      <c r="AV2" s="51">
        <f>SUM(AT4:AV28)+7000</f>
        <v>7000</v>
      </c>
      <c r="AW2" s="44"/>
      <c r="AX2" s="52" t="s">
        <v>10</v>
      </c>
    </row>
    <row r="3" spans="1:52" ht="29.4" thickBot="1">
      <c r="A3" s="14" t="s">
        <v>11</v>
      </c>
      <c r="B3" s="15" t="s">
        <v>12</v>
      </c>
      <c r="C3" s="65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16" t="s">
        <v>17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>
        <v>8</v>
      </c>
      <c r="Q3" s="7">
        <v>1</v>
      </c>
      <c r="R3" s="8">
        <v>2</v>
      </c>
      <c r="S3" s="8">
        <v>3</v>
      </c>
      <c r="T3" s="8">
        <v>4</v>
      </c>
      <c r="U3" s="8">
        <v>5</v>
      </c>
      <c r="V3" s="8">
        <v>6</v>
      </c>
      <c r="W3" s="8">
        <v>7</v>
      </c>
      <c r="X3" s="8">
        <v>8</v>
      </c>
      <c r="Y3" s="11">
        <v>1</v>
      </c>
      <c r="Z3" s="12">
        <v>2</v>
      </c>
      <c r="AA3" s="12">
        <v>3</v>
      </c>
      <c r="AB3" s="12">
        <v>4</v>
      </c>
      <c r="AC3" s="12">
        <v>5</v>
      </c>
      <c r="AD3" s="12">
        <v>6</v>
      </c>
      <c r="AE3" s="12">
        <v>7</v>
      </c>
      <c r="AF3" s="13">
        <v>8</v>
      </c>
      <c r="AG3" s="59" t="s">
        <v>18</v>
      </c>
      <c r="AH3" s="60" t="s">
        <v>19</v>
      </c>
      <c r="AI3" s="60" t="s">
        <v>20</v>
      </c>
      <c r="AJ3" s="27" t="s">
        <v>21</v>
      </c>
      <c r="AK3" s="90"/>
      <c r="AL3" s="28"/>
      <c r="AM3" s="29" t="s">
        <v>22</v>
      </c>
      <c r="AN3" s="29" t="s">
        <v>23</v>
      </c>
      <c r="AO3" s="29" t="s">
        <v>24</v>
      </c>
      <c r="AP3" s="45" t="s">
        <v>25</v>
      </c>
      <c r="AQ3" s="46" t="s">
        <v>26</v>
      </c>
      <c r="AR3" s="47" t="s">
        <v>27</v>
      </c>
      <c r="AS3" s="48" t="s">
        <v>28</v>
      </c>
      <c r="AT3" s="45" t="s">
        <v>29</v>
      </c>
      <c r="AU3" s="46" t="s">
        <v>30</v>
      </c>
      <c r="AV3" s="47" t="s">
        <v>31</v>
      </c>
      <c r="AW3" s="49" t="s">
        <v>32</v>
      </c>
      <c r="AX3" s="53">
        <v>1</v>
      </c>
    </row>
    <row r="4" spans="1:52" s="55" customFormat="1" ht="15" thickBot="1">
      <c r="A4" s="66">
        <v>44729</v>
      </c>
      <c r="B4" s="82">
        <v>800</v>
      </c>
      <c r="C4" s="82"/>
      <c r="D4" s="87">
        <f>(SUM(粮草!A4:X4)+AG4*10)*IF(AK4="是",$AX$4,$AX$3)</f>
        <v>0</v>
      </c>
      <c r="E4" s="80">
        <f>SUM($B$4:B4)+SUM($C$4:C4)-SUM($D$4:D4)</f>
        <v>800</v>
      </c>
      <c r="F4" s="87">
        <f>SUM(经验!A4:X4)</f>
        <v>0</v>
      </c>
      <c r="G4" s="87">
        <f>SUM($F$4:F4)+SUM($H$4:H4)</f>
        <v>0</v>
      </c>
      <c r="H4" s="82">
        <v>0</v>
      </c>
      <c r="I4" s="85" t="s">
        <v>34</v>
      </c>
      <c r="J4" s="85" t="s">
        <v>34</v>
      </c>
      <c r="K4" s="85" t="s">
        <v>34</v>
      </c>
      <c r="L4" s="85" t="s">
        <v>34</v>
      </c>
      <c r="M4" t="s">
        <v>34</v>
      </c>
      <c r="N4" t="s">
        <v>34</v>
      </c>
      <c r="O4" s="73" t="s">
        <v>34</v>
      </c>
      <c r="P4" s="73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s="73" t="s">
        <v>34</v>
      </c>
      <c r="X4" s="73" t="s">
        <v>34</v>
      </c>
      <c r="Y4" s="63" t="s">
        <v>34</v>
      </c>
      <c r="Z4" s="63" t="s">
        <v>34</v>
      </c>
      <c r="AA4" s="63" t="s">
        <v>34</v>
      </c>
      <c r="AB4" s="63" t="s">
        <v>34</v>
      </c>
      <c r="AC4" s="63" t="s">
        <v>34</v>
      </c>
      <c r="AD4" s="63" t="s">
        <v>34</v>
      </c>
      <c r="AE4" s="64" t="s">
        <v>34</v>
      </c>
      <c r="AF4" s="64" t="s">
        <v>34</v>
      </c>
      <c r="AG4" s="61">
        <v>0</v>
      </c>
      <c r="AH4" s="61"/>
      <c r="AI4" s="61"/>
      <c r="AJ4" s="61"/>
      <c r="AK4" s="62" t="s">
        <v>35</v>
      </c>
      <c r="AM4" s="67" t="s">
        <v>33</v>
      </c>
      <c r="AN4" s="68">
        <v>150</v>
      </c>
      <c r="AO4" s="68">
        <v>35</v>
      </c>
      <c r="AP4" s="68">
        <f t="shared" ref="AP4:AP26" si="2">COUNTIF($I$4:$P$94,AM4)</f>
        <v>0</v>
      </c>
      <c r="AQ4" s="68">
        <f t="shared" ref="AQ4:AQ26" si="3">COUNTIF($Q$4:$X$94,AM4)</f>
        <v>0</v>
      </c>
      <c r="AR4" s="68">
        <f t="shared" ref="AR4:AR26" si="4">COUNTIF($Y$4:$AF$94,AM4)</f>
        <v>0</v>
      </c>
      <c r="AS4" s="68">
        <f>AP4+AQ4+AR4</f>
        <v>0</v>
      </c>
      <c r="AT4" s="69">
        <f>AP4*$AO4</f>
        <v>0</v>
      </c>
      <c r="AU4" s="69">
        <f t="shared" ref="AU4:AV19" si="5">AQ4*$AO4</f>
        <v>0</v>
      </c>
      <c r="AV4" s="69">
        <f t="shared" si="5"/>
        <v>0</v>
      </c>
      <c r="AW4" s="56" t="s">
        <v>36</v>
      </c>
      <c r="AX4" s="57">
        <v>0.8</v>
      </c>
      <c r="AZ4" s="63">
        <f t="shared" ref="AZ4:AZ29" si="6">AN4*0.8</f>
        <v>120</v>
      </c>
    </row>
    <row r="5" spans="1:52" s="55" customFormat="1">
      <c r="A5" s="66">
        <v>44730</v>
      </c>
      <c r="B5" s="82">
        <v>1600</v>
      </c>
      <c r="C5" s="82"/>
      <c r="D5" s="87">
        <f>(SUM(粮草!A5:X5)+AG5*10)*IF(AK5="是",$AX$4,$AX$3)</f>
        <v>0</v>
      </c>
      <c r="E5" s="80">
        <f>SUM($B$4:B5)+SUM($C$4:C5)-SUM($D$4:D5)</f>
        <v>2400</v>
      </c>
      <c r="F5" s="87">
        <f>SUM(经验!A5:X5)</f>
        <v>0</v>
      </c>
      <c r="G5" s="87">
        <f>SUM($F$4:F5)+SUM($H$4:H5)</f>
        <v>500</v>
      </c>
      <c r="H5" s="82">
        <v>500</v>
      </c>
      <c r="I5" s="85" t="s">
        <v>34</v>
      </c>
      <c r="J5" s="85" t="s">
        <v>34</v>
      </c>
      <c r="K5" s="85" t="s">
        <v>34</v>
      </c>
      <c r="L5" s="85" t="s">
        <v>34</v>
      </c>
      <c r="M5" t="s">
        <v>34</v>
      </c>
      <c r="N5" t="s">
        <v>34</v>
      </c>
      <c r="O5" s="73" t="s">
        <v>34</v>
      </c>
      <c r="P5" s="73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s="73" t="s">
        <v>34</v>
      </c>
      <c r="X5" s="73" t="s">
        <v>34</v>
      </c>
      <c r="Y5" s="63" t="s">
        <v>34</v>
      </c>
      <c r="Z5" s="63" t="s">
        <v>34</v>
      </c>
      <c r="AA5" s="63" t="s">
        <v>34</v>
      </c>
      <c r="AB5" s="63" t="s">
        <v>34</v>
      </c>
      <c r="AC5" s="63" t="s">
        <v>34</v>
      </c>
      <c r="AD5" s="63" t="s">
        <v>34</v>
      </c>
      <c r="AE5" s="64" t="s">
        <v>34</v>
      </c>
      <c r="AF5" s="64" t="s">
        <v>34</v>
      </c>
      <c r="AG5" s="61">
        <v>0</v>
      </c>
      <c r="AH5" s="61"/>
      <c r="AI5" s="61"/>
      <c r="AJ5" s="61"/>
      <c r="AK5" s="62" t="s">
        <v>35</v>
      </c>
      <c r="AM5" s="70" t="s">
        <v>37</v>
      </c>
      <c r="AN5" s="68">
        <v>160</v>
      </c>
      <c r="AO5" s="68">
        <v>40</v>
      </c>
      <c r="AP5" s="68">
        <f t="shared" si="2"/>
        <v>0</v>
      </c>
      <c r="AQ5" s="68">
        <f t="shared" si="3"/>
        <v>0</v>
      </c>
      <c r="AR5" s="68">
        <f t="shared" si="4"/>
        <v>0</v>
      </c>
      <c r="AS5" s="68">
        <f t="shared" ref="AS5:AS26" si="7">AP5+AQ5+AR5</f>
        <v>0</v>
      </c>
      <c r="AT5" s="69">
        <f t="shared" ref="AT5:AV28" si="8">AP5*$AO5</f>
        <v>0</v>
      </c>
      <c r="AU5" s="69">
        <f t="shared" si="5"/>
        <v>0</v>
      </c>
      <c r="AV5" s="69">
        <f t="shared" si="5"/>
        <v>0</v>
      </c>
      <c r="AW5" s="91" t="s">
        <v>38</v>
      </c>
      <c r="AX5" s="91"/>
      <c r="AZ5" s="63">
        <f t="shared" si="6"/>
        <v>128</v>
      </c>
    </row>
    <row r="6" spans="1:52" s="55" customFormat="1">
      <c r="A6" s="66">
        <v>44731</v>
      </c>
      <c r="B6" s="82">
        <v>1600</v>
      </c>
      <c r="C6" s="82"/>
      <c r="D6" s="87">
        <f>(SUM(粮草!A6:X6)+AG6*10)*IF(AK6="是",$AX$4,$AX$3)</f>
        <v>0</v>
      </c>
      <c r="E6" s="80">
        <f>SUM($B$4:B6)+SUM($C$4:C6)-SUM($D$4:D6)</f>
        <v>4000</v>
      </c>
      <c r="F6" s="87">
        <f>SUM(经验!A6:X6)</f>
        <v>0</v>
      </c>
      <c r="G6" s="87">
        <f>SUM($F$4:F6)+SUM($H$4:H6)</f>
        <v>500</v>
      </c>
      <c r="H6" s="82">
        <v>0</v>
      </c>
      <c r="I6" s="85" t="s">
        <v>34</v>
      </c>
      <c r="J6" s="85" t="s">
        <v>34</v>
      </c>
      <c r="K6" s="85" t="s">
        <v>34</v>
      </c>
      <c r="L6" s="85" t="s">
        <v>34</v>
      </c>
      <c r="M6" t="s">
        <v>34</v>
      </c>
      <c r="N6" t="s">
        <v>34</v>
      </c>
      <c r="O6" s="73" t="s">
        <v>34</v>
      </c>
      <c r="P6" s="73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s="73" t="s">
        <v>34</v>
      </c>
      <c r="X6" s="73" t="s">
        <v>34</v>
      </c>
      <c r="Y6" s="63" t="s">
        <v>34</v>
      </c>
      <c r="Z6" s="63" t="s">
        <v>34</v>
      </c>
      <c r="AA6" s="63" t="s">
        <v>34</v>
      </c>
      <c r="AB6" s="63" t="s">
        <v>34</v>
      </c>
      <c r="AC6" s="63" t="s">
        <v>34</v>
      </c>
      <c r="AD6" s="63" t="s">
        <v>34</v>
      </c>
      <c r="AE6" s="64" t="s">
        <v>34</v>
      </c>
      <c r="AF6" s="64" t="s">
        <v>34</v>
      </c>
      <c r="AG6" s="61">
        <v>0</v>
      </c>
      <c r="AH6" s="61"/>
      <c r="AI6" s="61"/>
      <c r="AJ6" s="61"/>
      <c r="AK6" s="62" t="s">
        <v>35</v>
      </c>
      <c r="AM6" s="71" t="s">
        <v>40</v>
      </c>
      <c r="AN6" s="68">
        <v>170</v>
      </c>
      <c r="AO6" s="68">
        <v>45</v>
      </c>
      <c r="AP6" s="68">
        <f t="shared" si="2"/>
        <v>0</v>
      </c>
      <c r="AQ6" s="68">
        <f t="shared" si="3"/>
        <v>0</v>
      </c>
      <c r="AR6" s="68">
        <f t="shared" si="4"/>
        <v>0</v>
      </c>
      <c r="AS6" s="68">
        <f t="shared" si="7"/>
        <v>0</v>
      </c>
      <c r="AT6" s="69">
        <f t="shared" si="8"/>
        <v>0</v>
      </c>
      <c r="AU6" s="69">
        <f t="shared" si="5"/>
        <v>0</v>
      </c>
      <c r="AV6" s="69">
        <f t="shared" si="5"/>
        <v>0</v>
      </c>
      <c r="AW6" s="92"/>
      <c r="AX6" s="92"/>
      <c r="AZ6" s="63">
        <f t="shared" si="6"/>
        <v>136</v>
      </c>
    </row>
    <row r="7" spans="1:52">
      <c r="A7" s="66">
        <v>44732</v>
      </c>
      <c r="B7" s="83">
        <v>1600</v>
      </c>
      <c r="C7" s="83"/>
      <c r="D7" s="79">
        <f>(SUM(粮草!A7:X7)+AG7*10)*IF(AK7="是",$AX$4,$AX$3)</f>
        <v>0</v>
      </c>
      <c r="E7" s="80">
        <f>SUM($B$4:B7)+SUM($C$4:C7)-SUM($D$4:D7)</f>
        <v>5600</v>
      </c>
      <c r="F7" s="79">
        <f>SUM(经验!A7:X7)</f>
        <v>0</v>
      </c>
      <c r="G7" s="79">
        <f>SUM($F$4:F7)+SUM($H$4:H7)</f>
        <v>700</v>
      </c>
      <c r="H7" s="83">
        <v>200</v>
      </c>
      <c r="I7" s="85" t="s">
        <v>34</v>
      </c>
      <c r="J7" s="85" t="s">
        <v>34</v>
      </c>
      <c r="K7" s="85" t="s">
        <v>34</v>
      </c>
      <c r="L7" s="85" t="s">
        <v>34</v>
      </c>
      <c r="M7" t="s">
        <v>34</v>
      </c>
      <c r="N7" t="s">
        <v>34</v>
      </c>
      <c r="O7" s="73" t="s">
        <v>34</v>
      </c>
      <c r="P7" s="73" t="s">
        <v>34</v>
      </c>
      <c r="Q7" t="s">
        <v>34</v>
      </c>
      <c r="R7" t="s">
        <v>34</v>
      </c>
      <c r="S7" s="85" t="s">
        <v>34</v>
      </c>
      <c r="T7" t="s">
        <v>34</v>
      </c>
      <c r="U7" t="s">
        <v>34</v>
      </c>
      <c r="V7" t="s">
        <v>34</v>
      </c>
      <c r="W7" s="73" t="s">
        <v>34</v>
      </c>
      <c r="X7" s="73" t="s">
        <v>34</v>
      </c>
      <c r="Y7" s="20" t="s">
        <v>34</v>
      </c>
      <c r="Z7" s="20" t="s">
        <v>34</v>
      </c>
      <c r="AA7" s="20" t="s">
        <v>34</v>
      </c>
      <c r="AB7" s="20" t="s">
        <v>34</v>
      </c>
      <c r="AC7" s="20" t="s">
        <v>34</v>
      </c>
      <c r="AD7" s="20" t="s">
        <v>34</v>
      </c>
      <c r="AE7" s="24" t="s">
        <v>34</v>
      </c>
      <c r="AF7" s="24" t="s">
        <v>34</v>
      </c>
      <c r="AG7" s="61">
        <v>0</v>
      </c>
      <c r="AH7" s="61"/>
      <c r="AI7" s="61"/>
      <c r="AJ7" s="61"/>
      <c r="AK7" s="30" t="s">
        <v>35</v>
      </c>
      <c r="AM7" s="32" t="s">
        <v>42</v>
      </c>
      <c r="AN7" s="29">
        <v>180</v>
      </c>
      <c r="AO7" s="29">
        <v>50</v>
      </c>
      <c r="AP7" s="29">
        <f t="shared" si="2"/>
        <v>0</v>
      </c>
      <c r="AQ7" s="29">
        <f t="shared" si="3"/>
        <v>0</v>
      </c>
      <c r="AR7" s="29">
        <f t="shared" si="4"/>
        <v>0</v>
      </c>
      <c r="AS7" s="29">
        <f t="shared" si="7"/>
        <v>0</v>
      </c>
      <c r="AT7" s="50">
        <f t="shared" si="8"/>
        <v>0</v>
      </c>
      <c r="AU7" s="50">
        <f t="shared" si="5"/>
        <v>0</v>
      </c>
      <c r="AV7" s="50">
        <f t="shared" si="5"/>
        <v>0</v>
      </c>
      <c r="AW7" s="92"/>
      <c r="AX7" s="92"/>
      <c r="AZ7">
        <f t="shared" si="6"/>
        <v>144</v>
      </c>
    </row>
    <row r="8" spans="1:52">
      <c r="A8" s="66">
        <v>44733</v>
      </c>
      <c r="B8" s="83">
        <v>1600</v>
      </c>
      <c r="C8" s="83"/>
      <c r="D8" s="79">
        <f>(SUM(粮草!A8:X8)+AG8*10)*IF(AK8="是",$AX$4,$AX$3)</f>
        <v>0</v>
      </c>
      <c r="E8" s="80">
        <f>SUM($B$4:B8)+SUM($C$4:C8)-SUM($D$4:D8)</f>
        <v>7200</v>
      </c>
      <c r="F8" s="79">
        <f>SUM(经验!A8:X8)</f>
        <v>0</v>
      </c>
      <c r="G8" s="79">
        <f>SUM($F$4:F8)+SUM($H$4:H8)</f>
        <v>800</v>
      </c>
      <c r="H8" s="83">
        <v>100</v>
      </c>
      <c r="I8" s="85" t="s">
        <v>34</v>
      </c>
      <c r="J8" s="85" t="s">
        <v>34</v>
      </c>
      <c r="K8" s="85" t="s">
        <v>34</v>
      </c>
      <c r="L8" s="85" t="s">
        <v>34</v>
      </c>
      <c r="M8" t="s">
        <v>34</v>
      </c>
      <c r="N8" t="s">
        <v>34</v>
      </c>
      <c r="O8" s="73" t="s">
        <v>34</v>
      </c>
      <c r="P8" s="73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s="73" t="s">
        <v>34</v>
      </c>
      <c r="X8" s="73" t="s">
        <v>34</v>
      </c>
      <c r="Y8" s="20" t="s">
        <v>34</v>
      </c>
      <c r="Z8" s="20" t="s">
        <v>34</v>
      </c>
      <c r="AA8" s="20" t="s">
        <v>34</v>
      </c>
      <c r="AB8" s="20" t="s">
        <v>34</v>
      </c>
      <c r="AC8" s="20" t="s">
        <v>34</v>
      </c>
      <c r="AD8" s="20" t="s">
        <v>34</v>
      </c>
      <c r="AE8" s="24" t="s">
        <v>34</v>
      </c>
      <c r="AF8" s="24" t="s">
        <v>34</v>
      </c>
      <c r="AG8" s="61">
        <v>0</v>
      </c>
      <c r="AH8" s="61"/>
      <c r="AI8" s="61"/>
      <c r="AJ8" s="61"/>
      <c r="AK8" s="30" t="s">
        <v>35</v>
      </c>
      <c r="AM8" s="33" t="s">
        <v>43</v>
      </c>
      <c r="AN8" s="29">
        <v>190</v>
      </c>
      <c r="AO8" s="29">
        <v>55</v>
      </c>
      <c r="AP8" s="29">
        <f t="shared" si="2"/>
        <v>0</v>
      </c>
      <c r="AQ8" s="29">
        <f t="shared" si="3"/>
        <v>0</v>
      </c>
      <c r="AR8" s="29">
        <f t="shared" si="4"/>
        <v>0</v>
      </c>
      <c r="AS8" s="29">
        <f t="shared" si="7"/>
        <v>0</v>
      </c>
      <c r="AT8" s="50">
        <f t="shared" si="8"/>
        <v>0</v>
      </c>
      <c r="AU8" s="50">
        <f t="shared" si="5"/>
        <v>0</v>
      </c>
      <c r="AV8" s="50">
        <f t="shared" si="5"/>
        <v>0</v>
      </c>
      <c r="AW8" s="92"/>
      <c r="AX8" s="92"/>
      <c r="AZ8">
        <f t="shared" si="6"/>
        <v>152</v>
      </c>
    </row>
    <row r="9" spans="1:52">
      <c r="A9" s="66">
        <v>44734</v>
      </c>
      <c r="B9" s="83">
        <v>1600</v>
      </c>
      <c r="C9" s="83"/>
      <c r="D9" s="79">
        <f>(SUM(粮草!A9:X9)+AG9*10)*IF(AK9="是",$AX$4,$AX$3)</f>
        <v>0</v>
      </c>
      <c r="E9" s="80">
        <f>SUM($B$4:B9)+SUM($C$4:C9)-SUM($D$4:D9)</f>
        <v>8800</v>
      </c>
      <c r="F9" s="79">
        <f>SUM(经验!A9:X9)</f>
        <v>0</v>
      </c>
      <c r="G9" s="79">
        <f>SUM($F$4:F9)+SUM($H$4:H9)</f>
        <v>1000</v>
      </c>
      <c r="H9" s="83">
        <v>200</v>
      </c>
      <c r="I9" s="85" t="s">
        <v>34</v>
      </c>
      <c r="J9" s="85" t="s">
        <v>34</v>
      </c>
      <c r="K9" s="85" t="s">
        <v>34</v>
      </c>
      <c r="L9" s="85" t="s">
        <v>34</v>
      </c>
      <c r="M9" t="s">
        <v>34</v>
      </c>
      <c r="N9" t="s">
        <v>34</v>
      </c>
      <c r="O9" s="73" t="s">
        <v>34</v>
      </c>
      <c r="P9" s="73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s="73" t="s">
        <v>34</v>
      </c>
      <c r="X9" s="73" t="s">
        <v>34</v>
      </c>
      <c r="Y9" s="20" t="s">
        <v>34</v>
      </c>
      <c r="Z9" s="20" t="s">
        <v>34</v>
      </c>
      <c r="AA9" s="20" t="s">
        <v>34</v>
      </c>
      <c r="AB9" s="20" t="s">
        <v>34</v>
      </c>
      <c r="AC9" s="20" t="s">
        <v>34</v>
      </c>
      <c r="AD9" s="20" t="s">
        <v>34</v>
      </c>
      <c r="AE9" s="24" t="s">
        <v>34</v>
      </c>
      <c r="AF9" s="24" t="s">
        <v>34</v>
      </c>
      <c r="AG9" s="61">
        <v>0</v>
      </c>
      <c r="AH9" s="61"/>
      <c r="AI9" s="61"/>
      <c r="AJ9" s="61"/>
      <c r="AK9" s="30" t="s">
        <v>35</v>
      </c>
      <c r="AM9" s="34" t="s">
        <v>44</v>
      </c>
      <c r="AN9" s="29">
        <v>200</v>
      </c>
      <c r="AO9" s="29">
        <v>60</v>
      </c>
      <c r="AP9" s="29">
        <f t="shared" si="2"/>
        <v>0</v>
      </c>
      <c r="AQ9" s="29">
        <f t="shared" si="3"/>
        <v>0</v>
      </c>
      <c r="AR9" s="29">
        <f t="shared" si="4"/>
        <v>0</v>
      </c>
      <c r="AS9" s="29">
        <f t="shared" si="7"/>
        <v>0</v>
      </c>
      <c r="AT9" s="50">
        <f t="shared" si="8"/>
        <v>0</v>
      </c>
      <c r="AU9" s="50">
        <f t="shared" si="5"/>
        <v>0</v>
      </c>
      <c r="AV9" s="50">
        <f t="shared" si="5"/>
        <v>0</v>
      </c>
      <c r="AZ9">
        <f t="shared" si="6"/>
        <v>160</v>
      </c>
    </row>
    <row r="10" spans="1:52">
      <c r="A10" s="66">
        <v>44735</v>
      </c>
      <c r="B10" s="83">
        <v>1600</v>
      </c>
      <c r="C10" s="83"/>
      <c r="D10" s="79">
        <f>(SUM(粮草!A10:X10)+AG10*10)*IF(AK10="是",$AX$4,$AX$3)</f>
        <v>0</v>
      </c>
      <c r="E10" s="80">
        <f>SUM($B$4:B10)+SUM($C$4:C10)-SUM($D$4:D10)</f>
        <v>10400</v>
      </c>
      <c r="F10" s="79">
        <f>SUM(经验!A10:X10)</f>
        <v>0</v>
      </c>
      <c r="G10" s="79">
        <f>SUM($F$4:F10)+SUM($H$4:H10)</f>
        <v>1000</v>
      </c>
      <c r="H10" s="83">
        <v>0</v>
      </c>
      <c r="I10" s="85" t="s">
        <v>34</v>
      </c>
      <c r="J10" s="85" t="s">
        <v>34</v>
      </c>
      <c r="K10" s="85" t="s">
        <v>34</v>
      </c>
      <c r="L10" s="85" t="s">
        <v>34</v>
      </c>
      <c r="M10" t="s">
        <v>34</v>
      </c>
      <c r="N10" t="s">
        <v>34</v>
      </c>
      <c r="O10" s="73" t="s">
        <v>34</v>
      </c>
      <c r="P10" s="73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s="73" t="s">
        <v>34</v>
      </c>
      <c r="X10" s="73" t="s">
        <v>34</v>
      </c>
      <c r="Y10" s="20" t="s">
        <v>34</v>
      </c>
      <c r="Z10" s="20" t="s">
        <v>34</v>
      </c>
      <c r="AA10" s="20" t="s">
        <v>34</v>
      </c>
      <c r="AB10" s="20" t="s">
        <v>34</v>
      </c>
      <c r="AC10" s="20" t="s">
        <v>34</v>
      </c>
      <c r="AD10" s="20" t="s">
        <v>34</v>
      </c>
      <c r="AE10" s="24" t="s">
        <v>34</v>
      </c>
      <c r="AF10" s="24" t="s">
        <v>34</v>
      </c>
      <c r="AG10" s="61">
        <v>0</v>
      </c>
      <c r="AH10" s="61"/>
      <c r="AI10" s="61"/>
      <c r="AJ10" s="61"/>
      <c r="AK10" s="30" t="s">
        <v>35</v>
      </c>
      <c r="AM10" s="31" t="s">
        <v>45</v>
      </c>
      <c r="AN10" s="29">
        <v>150</v>
      </c>
      <c r="AO10" s="29">
        <v>35</v>
      </c>
      <c r="AP10" s="29">
        <f t="shared" si="2"/>
        <v>0</v>
      </c>
      <c r="AQ10" s="29">
        <f t="shared" si="3"/>
        <v>0</v>
      </c>
      <c r="AR10" s="29">
        <f t="shared" si="4"/>
        <v>0</v>
      </c>
      <c r="AS10" s="29">
        <f t="shared" si="7"/>
        <v>0</v>
      </c>
      <c r="AT10" s="50">
        <f t="shared" si="8"/>
        <v>0</v>
      </c>
      <c r="AU10" s="50">
        <f t="shared" si="5"/>
        <v>0</v>
      </c>
      <c r="AV10" s="50">
        <f t="shared" si="5"/>
        <v>0</v>
      </c>
      <c r="AZ10">
        <f t="shared" si="6"/>
        <v>120</v>
      </c>
    </row>
    <row r="11" spans="1:52">
      <c r="A11" s="66">
        <v>44736</v>
      </c>
      <c r="B11" s="83">
        <v>1600</v>
      </c>
      <c r="C11" s="83"/>
      <c r="D11" s="79">
        <f>(SUM(粮草!A11:X11)+AG11*10)*IF(AK11="是",$AX$4,$AX$3)</f>
        <v>0</v>
      </c>
      <c r="E11" s="80">
        <f>SUM($B$4:B11)+SUM($C$4:C11)-SUM($D$4:D11)</f>
        <v>12000</v>
      </c>
      <c r="F11" s="79">
        <f>SUM(经验!A11:X11)</f>
        <v>0</v>
      </c>
      <c r="G11" s="79">
        <f>SUM($F$4:F11)+SUM($H$4:H11)</f>
        <v>1000</v>
      </c>
      <c r="H11" s="83">
        <v>0</v>
      </c>
      <c r="I11" s="85" t="s">
        <v>34</v>
      </c>
      <c r="J11" s="85" t="s">
        <v>34</v>
      </c>
      <c r="K11" s="85" t="s">
        <v>34</v>
      </c>
      <c r="L11" s="85" t="s">
        <v>34</v>
      </c>
      <c r="M11" t="s">
        <v>34</v>
      </c>
      <c r="N11" t="s">
        <v>34</v>
      </c>
      <c r="O11" s="73" t="s">
        <v>34</v>
      </c>
      <c r="P11" s="73" t="s">
        <v>34</v>
      </c>
      <c r="Q11" t="s">
        <v>34</v>
      </c>
      <c r="R11" t="s">
        <v>34</v>
      </c>
      <c r="S11" t="s">
        <v>34</v>
      </c>
      <c r="T11" s="85" t="s">
        <v>34</v>
      </c>
      <c r="U11" t="s">
        <v>34</v>
      </c>
      <c r="V11" t="s">
        <v>34</v>
      </c>
      <c r="W11" s="73" t="s">
        <v>34</v>
      </c>
      <c r="X11" s="73" t="s">
        <v>34</v>
      </c>
      <c r="Y11" s="20" t="s">
        <v>34</v>
      </c>
      <c r="Z11" s="20" t="s">
        <v>34</v>
      </c>
      <c r="AA11" s="20" t="s">
        <v>34</v>
      </c>
      <c r="AB11" s="20" t="s">
        <v>34</v>
      </c>
      <c r="AC11" s="20" t="s">
        <v>34</v>
      </c>
      <c r="AD11" s="20" t="s">
        <v>34</v>
      </c>
      <c r="AE11" s="24" t="s">
        <v>34</v>
      </c>
      <c r="AF11" s="24" t="s">
        <v>34</v>
      </c>
      <c r="AG11" s="61">
        <v>0</v>
      </c>
      <c r="AH11" s="61"/>
      <c r="AI11" s="61"/>
      <c r="AJ11" s="61"/>
      <c r="AK11" s="30" t="s">
        <v>35</v>
      </c>
      <c r="AM11" s="22" t="s">
        <v>41</v>
      </c>
      <c r="AN11" s="29">
        <v>150</v>
      </c>
      <c r="AO11" s="29">
        <v>40</v>
      </c>
      <c r="AP11" s="29">
        <f t="shared" si="2"/>
        <v>0</v>
      </c>
      <c r="AQ11" s="29">
        <f t="shared" si="3"/>
        <v>0</v>
      </c>
      <c r="AR11" s="29">
        <f t="shared" si="4"/>
        <v>0</v>
      </c>
      <c r="AS11" s="29">
        <f t="shared" si="7"/>
        <v>0</v>
      </c>
      <c r="AT11" s="50">
        <f t="shared" si="8"/>
        <v>0</v>
      </c>
      <c r="AU11" s="50">
        <f t="shared" si="5"/>
        <v>0</v>
      </c>
      <c r="AV11" s="50">
        <f t="shared" si="5"/>
        <v>0</v>
      </c>
      <c r="AZ11">
        <f t="shared" si="6"/>
        <v>120</v>
      </c>
    </row>
    <row r="12" spans="1:52">
      <c r="A12" s="66">
        <v>44737</v>
      </c>
      <c r="B12" s="83">
        <v>1600</v>
      </c>
      <c r="C12" s="83"/>
      <c r="D12" s="79">
        <f>(SUM(粮草!A12:X12)+AG12*10)*IF(AK12="是",$AX$4,$AX$3)</f>
        <v>0</v>
      </c>
      <c r="E12" s="80">
        <f>SUM($B$4:B12)+SUM($C$4:C12)-SUM($D$4:D12)</f>
        <v>13600</v>
      </c>
      <c r="F12" s="79">
        <f>SUM(经验!A12:X12)</f>
        <v>0</v>
      </c>
      <c r="G12" s="79">
        <f>SUM($F$4:F12)+SUM($H$4:H12)</f>
        <v>1000</v>
      </c>
      <c r="H12" s="83">
        <v>0</v>
      </c>
      <c r="I12" s="85" t="s">
        <v>34</v>
      </c>
      <c r="J12" s="85" t="s">
        <v>34</v>
      </c>
      <c r="K12" s="85" t="s">
        <v>34</v>
      </c>
      <c r="L12" s="85" t="s">
        <v>34</v>
      </c>
      <c r="M12" t="s">
        <v>34</v>
      </c>
      <c r="N12" t="s">
        <v>34</v>
      </c>
      <c r="O12" s="73" t="s">
        <v>34</v>
      </c>
      <c r="P12" s="73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s="73" t="s">
        <v>34</v>
      </c>
      <c r="X12" s="73" t="s">
        <v>34</v>
      </c>
      <c r="Y12" s="20" t="s">
        <v>34</v>
      </c>
      <c r="Z12" s="20" t="s">
        <v>34</v>
      </c>
      <c r="AA12" s="20" t="s">
        <v>34</v>
      </c>
      <c r="AB12" s="20" t="s">
        <v>34</v>
      </c>
      <c r="AC12" s="20" t="s">
        <v>34</v>
      </c>
      <c r="AD12" s="20" t="s">
        <v>34</v>
      </c>
      <c r="AE12" s="24" t="s">
        <v>34</v>
      </c>
      <c r="AF12" s="24" t="s">
        <v>34</v>
      </c>
      <c r="AG12" s="61">
        <v>0</v>
      </c>
      <c r="AH12" s="61"/>
      <c r="AI12" s="61"/>
      <c r="AJ12" s="61"/>
      <c r="AK12" s="30" t="s">
        <v>35</v>
      </c>
      <c r="AM12" s="19" t="s">
        <v>47</v>
      </c>
      <c r="AN12" s="29">
        <v>150</v>
      </c>
      <c r="AO12" s="29">
        <v>45</v>
      </c>
      <c r="AP12" s="29">
        <f t="shared" si="2"/>
        <v>0</v>
      </c>
      <c r="AQ12" s="29">
        <f t="shared" si="3"/>
        <v>0</v>
      </c>
      <c r="AR12" s="29">
        <f t="shared" si="4"/>
        <v>0</v>
      </c>
      <c r="AS12" s="29">
        <f t="shared" si="7"/>
        <v>0</v>
      </c>
      <c r="AT12" s="50">
        <f t="shared" si="8"/>
        <v>0</v>
      </c>
      <c r="AU12" s="50">
        <f t="shared" si="5"/>
        <v>0</v>
      </c>
      <c r="AV12" s="50">
        <f t="shared" si="5"/>
        <v>0</v>
      </c>
      <c r="AZ12">
        <f t="shared" si="6"/>
        <v>120</v>
      </c>
    </row>
    <row r="13" spans="1:52">
      <c r="A13" s="66">
        <v>44738</v>
      </c>
      <c r="B13" s="83">
        <v>1600</v>
      </c>
      <c r="C13" s="83"/>
      <c r="D13" s="79">
        <f>(SUM(粮草!A13:X13)+AG13*10)*IF(AK13="是",$AX$4,$AX$3)</f>
        <v>0</v>
      </c>
      <c r="E13" s="80">
        <f>SUM($B$4:B13)+SUM($C$4:C13)-SUM($D$4:D13)</f>
        <v>15200</v>
      </c>
      <c r="F13" s="79">
        <f>SUM(经验!A13:X13)</f>
        <v>0</v>
      </c>
      <c r="G13" s="79">
        <f>SUM($F$4:F13)+SUM($H$4:H13)</f>
        <v>1000</v>
      </c>
      <c r="H13" s="83">
        <v>0</v>
      </c>
      <c r="I13" s="85" t="s">
        <v>34</v>
      </c>
      <c r="J13" s="85" t="s">
        <v>34</v>
      </c>
      <c r="K13" s="85" t="s">
        <v>34</v>
      </c>
      <c r="L13" s="85" t="s">
        <v>34</v>
      </c>
      <c r="M13" t="s">
        <v>34</v>
      </c>
      <c r="N13" t="s">
        <v>34</v>
      </c>
      <c r="O13" s="73" t="s">
        <v>34</v>
      </c>
      <c r="P13" s="7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s="73" t="s">
        <v>34</v>
      </c>
      <c r="X13" s="73" t="s">
        <v>34</v>
      </c>
      <c r="Y13" s="20" t="s">
        <v>34</v>
      </c>
      <c r="Z13" s="20" t="s">
        <v>34</v>
      </c>
      <c r="AA13" s="20" t="s">
        <v>34</v>
      </c>
      <c r="AB13" s="20" t="s">
        <v>34</v>
      </c>
      <c r="AC13" s="20" t="s">
        <v>34</v>
      </c>
      <c r="AD13" s="20" t="s">
        <v>34</v>
      </c>
      <c r="AE13" s="24" t="s">
        <v>34</v>
      </c>
      <c r="AF13" s="24" t="s">
        <v>34</v>
      </c>
      <c r="AG13" s="61">
        <v>0</v>
      </c>
      <c r="AH13" s="61"/>
      <c r="AI13" s="61"/>
      <c r="AJ13" s="61"/>
      <c r="AK13" s="30" t="s">
        <v>35</v>
      </c>
      <c r="AM13" s="32" t="s">
        <v>48</v>
      </c>
      <c r="AN13" s="29">
        <v>150</v>
      </c>
      <c r="AO13" s="29">
        <v>50</v>
      </c>
      <c r="AP13" s="29">
        <f t="shared" si="2"/>
        <v>0</v>
      </c>
      <c r="AQ13" s="29">
        <f t="shared" si="3"/>
        <v>0</v>
      </c>
      <c r="AR13" s="29">
        <f t="shared" si="4"/>
        <v>0</v>
      </c>
      <c r="AS13" s="29">
        <f t="shared" si="7"/>
        <v>0</v>
      </c>
      <c r="AT13" s="50">
        <f t="shared" si="8"/>
        <v>0</v>
      </c>
      <c r="AU13" s="50">
        <f t="shared" si="5"/>
        <v>0</v>
      </c>
      <c r="AV13" s="50">
        <f t="shared" si="5"/>
        <v>0</v>
      </c>
      <c r="AZ13">
        <f t="shared" si="6"/>
        <v>120</v>
      </c>
    </row>
    <row r="14" spans="1:52">
      <c r="A14" s="66">
        <v>44739</v>
      </c>
      <c r="B14" s="84">
        <v>1600</v>
      </c>
      <c r="C14" s="84"/>
      <c r="D14" s="79">
        <f>(SUM(粮草!A14:X14)+AG14*10)*IF(AK14="是",$AX$4,$AX$3)</f>
        <v>0</v>
      </c>
      <c r="E14" s="80">
        <f>SUM($B$4:B14)+SUM($C$4:C14)-SUM($D$4:D14)</f>
        <v>16800</v>
      </c>
      <c r="F14" s="79">
        <f>SUM(经验!A14:X14)</f>
        <v>0</v>
      </c>
      <c r="G14" s="79">
        <f>SUM($F$4:F14)+SUM($H$4:H14)</f>
        <v>1300</v>
      </c>
      <c r="H14" s="84">
        <v>300</v>
      </c>
      <c r="I14" s="85" t="s">
        <v>34</v>
      </c>
      <c r="J14" s="85" t="s">
        <v>34</v>
      </c>
      <c r="K14" s="85" t="s">
        <v>34</v>
      </c>
      <c r="L14" s="85" t="s">
        <v>34</v>
      </c>
      <c r="M14" t="s">
        <v>34</v>
      </c>
      <c r="N14" t="s">
        <v>34</v>
      </c>
      <c r="O14" s="21" t="s">
        <v>34</v>
      </c>
      <c r="P14" s="21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s="21" t="s">
        <v>34</v>
      </c>
      <c r="X14" s="21" t="s">
        <v>34</v>
      </c>
      <c r="Y14" s="20" t="s">
        <v>34</v>
      </c>
      <c r="Z14" s="20" t="s">
        <v>34</v>
      </c>
      <c r="AA14" s="20" t="s">
        <v>34</v>
      </c>
      <c r="AB14" s="20" t="s">
        <v>34</v>
      </c>
      <c r="AC14" s="20" t="s">
        <v>34</v>
      </c>
      <c r="AD14" s="20" t="s">
        <v>34</v>
      </c>
      <c r="AE14" s="24" t="s">
        <v>34</v>
      </c>
      <c r="AF14" s="24" t="s">
        <v>34</v>
      </c>
      <c r="AG14" s="61">
        <v>0</v>
      </c>
      <c r="AH14" s="61"/>
      <c r="AI14" s="61"/>
      <c r="AJ14" s="61"/>
      <c r="AK14" s="30" t="s">
        <v>35</v>
      </c>
      <c r="AM14" s="33" t="s">
        <v>49</v>
      </c>
      <c r="AN14" s="29">
        <v>150</v>
      </c>
      <c r="AO14" s="29">
        <v>55</v>
      </c>
      <c r="AP14" s="29">
        <f t="shared" si="2"/>
        <v>0</v>
      </c>
      <c r="AQ14" s="29">
        <f t="shared" si="3"/>
        <v>0</v>
      </c>
      <c r="AR14" s="29">
        <f t="shared" si="4"/>
        <v>0</v>
      </c>
      <c r="AS14" s="29">
        <f t="shared" si="7"/>
        <v>0</v>
      </c>
      <c r="AT14" s="50">
        <f t="shared" si="8"/>
        <v>0</v>
      </c>
      <c r="AU14" s="50">
        <f t="shared" si="5"/>
        <v>0</v>
      </c>
      <c r="AV14" s="50">
        <f t="shared" si="5"/>
        <v>0</v>
      </c>
      <c r="AZ14">
        <f t="shared" si="6"/>
        <v>120</v>
      </c>
    </row>
    <row r="15" spans="1:52">
      <c r="A15" s="66">
        <v>44740</v>
      </c>
      <c r="B15" s="84">
        <v>1600</v>
      </c>
      <c r="C15" s="84"/>
      <c r="D15" s="79">
        <f>(SUM(粮草!A15:X15)+AG15*10)*IF(AK15="是",$AX$4,$AX$3)</f>
        <v>0</v>
      </c>
      <c r="E15" s="80">
        <f>SUM($B$4:B15)+SUM($C$4:C15)-SUM($D$4:D15)</f>
        <v>18400</v>
      </c>
      <c r="F15" s="79">
        <f>SUM(经验!A15:X15)</f>
        <v>0</v>
      </c>
      <c r="G15" s="79">
        <f>SUM($F$4:F15)+SUM($H$4:H15)</f>
        <v>1300</v>
      </c>
      <c r="H15" s="84">
        <v>0</v>
      </c>
      <c r="I15" s="85" t="s">
        <v>34</v>
      </c>
      <c r="J15" s="85" t="s">
        <v>34</v>
      </c>
      <c r="K15" s="85" t="s">
        <v>34</v>
      </c>
      <c r="L15" s="85" t="s">
        <v>34</v>
      </c>
      <c r="M15" t="s">
        <v>34</v>
      </c>
      <c r="N15" t="s">
        <v>34</v>
      </c>
      <c r="O15" s="21" t="s">
        <v>34</v>
      </c>
      <c r="P15" s="21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s="21" t="s">
        <v>34</v>
      </c>
      <c r="X15" s="21" t="s">
        <v>34</v>
      </c>
      <c r="Y15" s="20" t="s">
        <v>34</v>
      </c>
      <c r="Z15" s="20" t="s">
        <v>34</v>
      </c>
      <c r="AA15" s="20" t="s">
        <v>34</v>
      </c>
      <c r="AB15" s="20" t="s">
        <v>34</v>
      </c>
      <c r="AC15" s="20" t="s">
        <v>34</v>
      </c>
      <c r="AD15" s="20" t="s">
        <v>34</v>
      </c>
      <c r="AE15" s="24" t="s">
        <v>34</v>
      </c>
      <c r="AF15" s="24" t="s">
        <v>34</v>
      </c>
      <c r="AG15" s="61">
        <v>0</v>
      </c>
      <c r="AH15" s="61"/>
      <c r="AI15" s="61"/>
      <c r="AJ15" s="61"/>
      <c r="AK15" s="30" t="s">
        <v>35</v>
      </c>
      <c r="AM15" s="34" t="s">
        <v>50</v>
      </c>
      <c r="AN15" s="29">
        <v>150</v>
      </c>
      <c r="AO15" s="29">
        <v>60</v>
      </c>
      <c r="AP15" s="29">
        <f t="shared" si="2"/>
        <v>0</v>
      </c>
      <c r="AQ15" s="29">
        <f t="shared" si="3"/>
        <v>0</v>
      </c>
      <c r="AR15" s="29">
        <f t="shared" si="4"/>
        <v>0</v>
      </c>
      <c r="AS15" s="29">
        <f t="shared" si="7"/>
        <v>0</v>
      </c>
      <c r="AT15" s="50">
        <f t="shared" si="8"/>
        <v>0</v>
      </c>
      <c r="AU15" s="50">
        <f t="shared" si="5"/>
        <v>0</v>
      </c>
      <c r="AV15" s="50">
        <f t="shared" si="5"/>
        <v>0</v>
      </c>
      <c r="AZ15">
        <f t="shared" si="6"/>
        <v>120</v>
      </c>
    </row>
    <row r="16" spans="1:52">
      <c r="A16" s="66">
        <v>44741</v>
      </c>
      <c r="B16" s="84">
        <v>1600</v>
      </c>
      <c r="C16" s="84"/>
      <c r="D16" s="79">
        <f>(SUM(粮草!A16:X16)+AG16*10)*IF(AK16="是",$AX$4,$AX$3)</f>
        <v>0</v>
      </c>
      <c r="E16" s="80">
        <f>SUM($B$4:B16)+SUM($C$4:C16)-SUM($D$4:D16)</f>
        <v>20000</v>
      </c>
      <c r="F16" s="79">
        <f>SUM(经验!A16:X16)</f>
        <v>0</v>
      </c>
      <c r="G16" s="79">
        <f>SUM($F$4:F16)+SUM($H$4:H16)</f>
        <v>1500</v>
      </c>
      <c r="H16" s="84">
        <v>200</v>
      </c>
      <c r="I16" s="85" t="s">
        <v>34</v>
      </c>
      <c r="J16" s="85" t="s">
        <v>34</v>
      </c>
      <c r="K16" s="85" t="s">
        <v>34</v>
      </c>
      <c r="L16" s="85" t="s">
        <v>34</v>
      </c>
      <c r="M16" t="s">
        <v>34</v>
      </c>
      <c r="N16" t="s">
        <v>34</v>
      </c>
      <c r="O16" s="21" t="s">
        <v>34</v>
      </c>
      <c r="P16" s="21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s="21" t="s">
        <v>34</v>
      </c>
      <c r="X16" s="21" t="s">
        <v>34</v>
      </c>
      <c r="Y16" s="20" t="s">
        <v>34</v>
      </c>
      <c r="Z16" s="20" t="s">
        <v>34</v>
      </c>
      <c r="AA16" s="20" t="s">
        <v>34</v>
      </c>
      <c r="AB16" s="20" t="s">
        <v>34</v>
      </c>
      <c r="AC16" s="20" t="s">
        <v>34</v>
      </c>
      <c r="AD16" s="20" t="s">
        <v>34</v>
      </c>
      <c r="AE16" s="24" t="s">
        <v>34</v>
      </c>
      <c r="AF16" s="24" t="s">
        <v>34</v>
      </c>
      <c r="AG16" s="61">
        <v>0</v>
      </c>
      <c r="AH16" s="61"/>
      <c r="AI16" s="61"/>
      <c r="AJ16" s="61"/>
      <c r="AK16" s="30" t="s">
        <v>35</v>
      </c>
      <c r="AM16" s="35" t="s">
        <v>51</v>
      </c>
      <c r="AN16" s="36">
        <v>150</v>
      </c>
      <c r="AO16" s="29">
        <v>35</v>
      </c>
      <c r="AP16" s="29">
        <f t="shared" si="2"/>
        <v>0</v>
      </c>
      <c r="AQ16" s="29">
        <f t="shared" si="3"/>
        <v>0</v>
      </c>
      <c r="AR16" s="29">
        <f t="shared" si="4"/>
        <v>0</v>
      </c>
      <c r="AS16" s="29">
        <f t="shared" si="7"/>
        <v>0</v>
      </c>
      <c r="AT16" s="50">
        <f t="shared" si="8"/>
        <v>0</v>
      </c>
      <c r="AU16" s="50">
        <f t="shared" si="5"/>
        <v>0</v>
      </c>
      <c r="AV16" s="50">
        <f t="shared" si="5"/>
        <v>0</v>
      </c>
      <c r="AZ16">
        <f t="shared" si="6"/>
        <v>120</v>
      </c>
    </row>
    <row r="17" spans="1:52">
      <c r="A17" s="66">
        <v>44742</v>
      </c>
      <c r="B17" s="84">
        <v>1600</v>
      </c>
      <c r="C17" s="84"/>
      <c r="D17" s="79">
        <f>(SUM(粮草!A17:X17)+AG17*10)*IF(AK17="是",$AX$4,$AX$3)</f>
        <v>0</v>
      </c>
      <c r="E17" s="80">
        <f>SUM($B$4:B17)+SUM($C$4:C17)-SUM($D$4:D17)</f>
        <v>21600</v>
      </c>
      <c r="F17" s="79">
        <f>SUM(经验!A17:X17)</f>
        <v>0</v>
      </c>
      <c r="G17" s="79">
        <f>SUM($F$4:F17)+SUM($H$4:H17)</f>
        <v>1500</v>
      </c>
      <c r="H17" s="84">
        <v>0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s="21" t="s">
        <v>34</v>
      </c>
      <c r="P17" s="21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s="21" t="s">
        <v>34</v>
      </c>
      <c r="X17" s="21" t="s">
        <v>34</v>
      </c>
      <c r="Y17" s="20" t="s">
        <v>34</v>
      </c>
      <c r="Z17" s="20" t="s">
        <v>34</v>
      </c>
      <c r="AA17" s="20" t="s">
        <v>34</v>
      </c>
      <c r="AB17" s="20" t="s">
        <v>34</v>
      </c>
      <c r="AC17" s="20" t="s">
        <v>34</v>
      </c>
      <c r="AD17" s="20" t="s">
        <v>34</v>
      </c>
      <c r="AE17" s="24" t="s">
        <v>34</v>
      </c>
      <c r="AF17" s="24" t="s">
        <v>34</v>
      </c>
      <c r="AG17" s="61">
        <v>0</v>
      </c>
      <c r="AH17" s="61"/>
      <c r="AI17" s="61"/>
      <c r="AJ17" s="61"/>
      <c r="AK17" s="30" t="s">
        <v>35</v>
      </c>
      <c r="AM17" s="18" t="s">
        <v>39</v>
      </c>
      <c r="AN17" s="29">
        <v>50</v>
      </c>
      <c r="AO17" s="29">
        <v>30</v>
      </c>
      <c r="AP17" s="29">
        <f t="shared" si="2"/>
        <v>0</v>
      </c>
      <c r="AQ17" s="29">
        <f t="shared" si="3"/>
        <v>0</v>
      </c>
      <c r="AR17" s="29">
        <f t="shared" si="4"/>
        <v>0</v>
      </c>
      <c r="AS17" s="29">
        <f t="shared" si="7"/>
        <v>0</v>
      </c>
      <c r="AT17" s="50">
        <f t="shared" si="8"/>
        <v>0</v>
      </c>
      <c r="AU17" s="50">
        <f t="shared" si="5"/>
        <v>0</v>
      </c>
      <c r="AV17" s="50">
        <f t="shared" si="5"/>
        <v>0</v>
      </c>
      <c r="AZ17">
        <f t="shared" si="6"/>
        <v>40</v>
      </c>
    </row>
    <row r="18" spans="1:52">
      <c r="A18" s="66">
        <v>44743</v>
      </c>
      <c r="B18" s="84">
        <v>1600</v>
      </c>
      <c r="C18" s="84"/>
      <c r="D18" s="79">
        <f>(SUM(粮草!A18:X18)+AG18*10)*IF(AK18="是",$AX$4,$AX$3)</f>
        <v>0</v>
      </c>
      <c r="E18" s="80">
        <f>SUM($B$4:B18)+SUM($C$4:C18)-SUM($D$4:D18)</f>
        <v>23200</v>
      </c>
      <c r="F18" s="79">
        <f>SUM(经验!A18:X18)</f>
        <v>0</v>
      </c>
      <c r="G18" s="79">
        <f>SUM($F$4:F18)+SUM($H$4:H18)</f>
        <v>1500</v>
      </c>
      <c r="H18" s="84">
        <v>0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s="21" t="s">
        <v>34</v>
      </c>
      <c r="P18" s="21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s="21" t="s">
        <v>34</v>
      </c>
      <c r="X18" s="21" t="s">
        <v>34</v>
      </c>
      <c r="Y18" s="20" t="s">
        <v>34</v>
      </c>
      <c r="Z18" s="20" t="s">
        <v>34</v>
      </c>
      <c r="AA18" s="20" t="s">
        <v>34</v>
      </c>
      <c r="AB18" s="20" t="s">
        <v>34</v>
      </c>
      <c r="AC18" s="20" t="s">
        <v>34</v>
      </c>
      <c r="AD18" s="20" t="s">
        <v>34</v>
      </c>
      <c r="AE18" s="24" t="s">
        <v>34</v>
      </c>
      <c r="AF18" s="24" t="s">
        <v>34</v>
      </c>
      <c r="AG18" s="61">
        <v>0</v>
      </c>
      <c r="AH18" s="61"/>
      <c r="AI18" s="61"/>
      <c r="AJ18" s="61"/>
      <c r="AK18" s="88" t="s">
        <v>35</v>
      </c>
      <c r="AL18" s="37" t="s">
        <v>32</v>
      </c>
      <c r="AM18" s="23" t="s">
        <v>46</v>
      </c>
      <c r="AN18" s="29">
        <v>-150</v>
      </c>
      <c r="AO18" s="29">
        <v>0</v>
      </c>
      <c r="AP18" s="29">
        <f t="shared" si="2"/>
        <v>0</v>
      </c>
      <c r="AQ18" s="29">
        <f t="shared" si="3"/>
        <v>0</v>
      </c>
      <c r="AR18" s="29">
        <f t="shared" si="4"/>
        <v>0</v>
      </c>
      <c r="AS18" s="29">
        <f t="shared" si="7"/>
        <v>0</v>
      </c>
      <c r="AT18" s="50">
        <f t="shared" si="8"/>
        <v>0</v>
      </c>
      <c r="AU18" s="50">
        <f t="shared" si="5"/>
        <v>0</v>
      </c>
      <c r="AV18" s="50">
        <f t="shared" si="5"/>
        <v>0</v>
      </c>
      <c r="AZ18">
        <f t="shared" si="6"/>
        <v>-120</v>
      </c>
    </row>
    <row r="19" spans="1:52">
      <c r="A19" s="66">
        <v>44744</v>
      </c>
      <c r="B19" s="84">
        <v>1600</v>
      </c>
      <c r="C19" s="84"/>
      <c r="D19" s="79">
        <f>(SUM(粮草!A19:X19)+AG19*10)*IF(AK19="是",$AX$4,$AX$3)</f>
        <v>0</v>
      </c>
      <c r="E19" s="80">
        <f>SUM($B$4:B19)+SUM($C$4:C19)-SUM($D$4:D19)</f>
        <v>24800</v>
      </c>
      <c r="F19" s="79">
        <f>SUM(经验!A19:X19)</f>
        <v>0</v>
      </c>
      <c r="G19" s="79">
        <f>SUM($F$4:F19)+SUM($H$4:H19)</f>
        <v>1500</v>
      </c>
      <c r="H19" s="84">
        <v>0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s="21" t="s">
        <v>34</v>
      </c>
      <c r="P19" s="21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s="21" t="s">
        <v>34</v>
      </c>
      <c r="X19" s="21" t="s">
        <v>34</v>
      </c>
      <c r="Y19" s="20" t="s">
        <v>34</v>
      </c>
      <c r="Z19" s="20" t="s">
        <v>34</v>
      </c>
      <c r="AA19" s="20" t="s">
        <v>34</v>
      </c>
      <c r="AB19" s="20" t="s">
        <v>34</v>
      </c>
      <c r="AC19" s="20" t="s">
        <v>34</v>
      </c>
      <c r="AD19" s="20" t="s">
        <v>34</v>
      </c>
      <c r="AE19" s="24" t="s">
        <v>34</v>
      </c>
      <c r="AF19" s="24" t="s">
        <v>34</v>
      </c>
      <c r="AG19" s="61">
        <v>0</v>
      </c>
      <c r="AH19" s="61"/>
      <c r="AI19" s="61"/>
      <c r="AJ19" s="61"/>
      <c r="AK19" s="30" t="s">
        <v>52</v>
      </c>
      <c r="AM19" s="74" t="s">
        <v>65</v>
      </c>
      <c r="AN19" s="29">
        <v>250</v>
      </c>
      <c r="AO19" s="29">
        <v>200</v>
      </c>
      <c r="AP19" s="29">
        <f t="shared" si="2"/>
        <v>0</v>
      </c>
      <c r="AQ19" s="29">
        <f t="shared" si="3"/>
        <v>0</v>
      </c>
      <c r="AR19" s="29">
        <f t="shared" si="4"/>
        <v>0</v>
      </c>
      <c r="AS19" s="29">
        <f t="shared" si="7"/>
        <v>0</v>
      </c>
      <c r="AT19" s="50">
        <f t="shared" si="8"/>
        <v>0</v>
      </c>
      <c r="AU19" s="50">
        <f t="shared" si="5"/>
        <v>0</v>
      </c>
      <c r="AV19" s="50">
        <f t="shared" si="5"/>
        <v>0</v>
      </c>
      <c r="AZ19">
        <f t="shared" si="6"/>
        <v>200</v>
      </c>
    </row>
    <row r="20" spans="1:52">
      <c r="A20" s="66">
        <v>44745</v>
      </c>
      <c r="B20" s="84">
        <v>1600</v>
      </c>
      <c r="C20" s="84"/>
      <c r="D20" s="79">
        <f>(SUM(粮草!A20:X20)+AG20*10)*IF(AK20="是",$AX$4,$AX$3)</f>
        <v>0</v>
      </c>
      <c r="E20" s="80">
        <f>SUM($B$4:B20)+SUM($C$4:C20)-SUM($D$4:D20)</f>
        <v>26400</v>
      </c>
      <c r="F20" s="79">
        <f>SUM(经验!A20:X20)</f>
        <v>0</v>
      </c>
      <c r="G20" s="79">
        <f>SUM($F$4:F20)+SUM($H$4:H20)</f>
        <v>1500</v>
      </c>
      <c r="H20" s="84">
        <v>0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s="21" t="s">
        <v>34</v>
      </c>
      <c r="P20" s="21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s="21" t="s">
        <v>34</v>
      </c>
      <c r="X20" s="21" t="s">
        <v>34</v>
      </c>
      <c r="Y20" s="20" t="s">
        <v>34</v>
      </c>
      <c r="Z20" s="20" t="s">
        <v>34</v>
      </c>
      <c r="AA20" s="20" t="s">
        <v>34</v>
      </c>
      <c r="AB20" s="20" t="s">
        <v>34</v>
      </c>
      <c r="AC20" s="20" t="s">
        <v>34</v>
      </c>
      <c r="AD20" s="20" t="s">
        <v>34</v>
      </c>
      <c r="AE20" s="24" t="s">
        <v>34</v>
      </c>
      <c r="AF20" s="24" t="s">
        <v>34</v>
      </c>
      <c r="AG20" s="61">
        <v>0</v>
      </c>
      <c r="AH20" s="61"/>
      <c r="AI20" s="61"/>
      <c r="AJ20" s="61"/>
      <c r="AK20" s="30" t="s">
        <v>52</v>
      </c>
      <c r="AM20" s="74" t="s">
        <v>66</v>
      </c>
      <c r="AN20" s="29">
        <v>170</v>
      </c>
      <c r="AO20" s="29">
        <v>45</v>
      </c>
      <c r="AP20" s="29">
        <f t="shared" si="2"/>
        <v>0</v>
      </c>
      <c r="AQ20" s="29">
        <f t="shared" si="3"/>
        <v>0</v>
      </c>
      <c r="AR20" s="29">
        <f t="shared" si="4"/>
        <v>0</v>
      </c>
      <c r="AS20" s="29">
        <f t="shared" si="7"/>
        <v>0</v>
      </c>
      <c r="AT20" s="50">
        <f t="shared" si="8"/>
        <v>0</v>
      </c>
      <c r="AU20" s="50">
        <f t="shared" si="8"/>
        <v>0</v>
      </c>
      <c r="AV20" s="50">
        <f t="shared" si="8"/>
        <v>0</v>
      </c>
      <c r="AZ20">
        <f t="shared" si="6"/>
        <v>136</v>
      </c>
    </row>
    <row r="21" spans="1:52">
      <c r="A21" s="66">
        <v>44746</v>
      </c>
      <c r="B21" s="83">
        <v>1600</v>
      </c>
      <c r="C21" s="83"/>
      <c r="D21" s="79">
        <f>(SUM(粮草!A21:X21)+AG21*10)*IF(AK21="是",$AX$4,$AX$3)</f>
        <v>0</v>
      </c>
      <c r="E21" s="80">
        <f>SUM($B$4:B21)+SUM($C$4:C21)-SUM($D$4:D21)</f>
        <v>28000</v>
      </c>
      <c r="F21" s="79">
        <f>SUM(经验!A21:X21)</f>
        <v>0</v>
      </c>
      <c r="G21" s="79">
        <f>SUM($F$4:F21)+SUM($H$4:H21)</f>
        <v>1700</v>
      </c>
      <c r="H21" s="83">
        <v>200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s="21" t="s">
        <v>34</v>
      </c>
      <c r="P21" s="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s="21" t="s">
        <v>34</v>
      </c>
      <c r="X21" s="21" t="s">
        <v>34</v>
      </c>
      <c r="Y21" s="20" t="s">
        <v>34</v>
      </c>
      <c r="Z21" s="20" t="s">
        <v>34</v>
      </c>
      <c r="AA21" s="20" t="s">
        <v>34</v>
      </c>
      <c r="AB21" s="20" t="s">
        <v>34</v>
      </c>
      <c r="AC21" s="20" t="s">
        <v>34</v>
      </c>
      <c r="AD21" s="20" t="s">
        <v>34</v>
      </c>
      <c r="AE21" s="24" t="s">
        <v>34</v>
      </c>
      <c r="AF21" s="24" t="s">
        <v>34</v>
      </c>
      <c r="AG21" s="61">
        <v>0</v>
      </c>
      <c r="AH21" s="61"/>
      <c r="AI21" s="61"/>
      <c r="AJ21" s="61"/>
      <c r="AK21" s="30" t="s">
        <v>52</v>
      </c>
      <c r="AM21" s="38" t="s">
        <v>53</v>
      </c>
      <c r="AN21" s="29">
        <v>250</v>
      </c>
      <c r="AO21" s="29">
        <v>200</v>
      </c>
      <c r="AP21" s="29">
        <f t="shared" si="2"/>
        <v>0</v>
      </c>
      <c r="AQ21" s="29">
        <f t="shared" si="3"/>
        <v>0</v>
      </c>
      <c r="AR21" s="29">
        <f t="shared" si="4"/>
        <v>0</v>
      </c>
      <c r="AS21" s="29">
        <f t="shared" si="7"/>
        <v>0</v>
      </c>
      <c r="AT21" s="50">
        <f t="shared" si="8"/>
        <v>0</v>
      </c>
      <c r="AU21" s="50">
        <f t="shared" si="8"/>
        <v>0</v>
      </c>
      <c r="AV21" s="50">
        <f t="shared" si="8"/>
        <v>0</v>
      </c>
      <c r="AZ21">
        <f t="shared" si="6"/>
        <v>200</v>
      </c>
    </row>
    <row r="22" spans="1:52">
      <c r="A22" s="66">
        <v>44747</v>
      </c>
      <c r="B22" s="83">
        <v>1600</v>
      </c>
      <c r="C22" s="83"/>
      <c r="D22" s="79">
        <f>(SUM(粮草!A22:X22)+AG22*10)*IF(AK22="是",$AX$4,$AX$3)</f>
        <v>0</v>
      </c>
      <c r="E22" s="80">
        <f>SUM($B$4:B22)+SUM($C$4:C22)-SUM($D$4:D22)</f>
        <v>29600</v>
      </c>
      <c r="F22" s="79">
        <f>SUM(经验!A22:X22)</f>
        <v>0</v>
      </c>
      <c r="G22" s="79">
        <f>SUM($F$4:F22)+SUM($H$4:H22)</f>
        <v>1800</v>
      </c>
      <c r="H22" s="83">
        <v>100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s="21" t="s">
        <v>34</v>
      </c>
      <c r="P22" s="21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s="21" t="s">
        <v>34</v>
      </c>
      <c r="X22" s="21" t="s">
        <v>34</v>
      </c>
      <c r="Y22" s="20" t="s">
        <v>34</v>
      </c>
      <c r="Z22" s="20" t="s">
        <v>34</v>
      </c>
      <c r="AA22" s="20" t="s">
        <v>34</v>
      </c>
      <c r="AB22" s="20" t="s">
        <v>34</v>
      </c>
      <c r="AC22" s="20" t="s">
        <v>34</v>
      </c>
      <c r="AD22" s="20" t="s">
        <v>34</v>
      </c>
      <c r="AE22" s="24" t="s">
        <v>34</v>
      </c>
      <c r="AF22" s="24" t="s">
        <v>34</v>
      </c>
      <c r="AG22" s="61">
        <v>0</v>
      </c>
      <c r="AH22" s="61"/>
      <c r="AI22" s="61"/>
      <c r="AJ22" s="61"/>
      <c r="AK22" s="30" t="s">
        <v>52</v>
      </c>
      <c r="AM22" s="39" t="s">
        <v>54</v>
      </c>
      <c r="AN22" s="29">
        <v>250</v>
      </c>
      <c r="AO22" s="29">
        <v>1000</v>
      </c>
      <c r="AP22" s="29">
        <f t="shared" si="2"/>
        <v>0</v>
      </c>
      <c r="AQ22" s="29">
        <f t="shared" si="3"/>
        <v>0</v>
      </c>
      <c r="AR22" s="29">
        <f t="shared" si="4"/>
        <v>0</v>
      </c>
      <c r="AS22" s="29">
        <f t="shared" si="7"/>
        <v>0</v>
      </c>
      <c r="AT22" s="50">
        <f t="shared" si="8"/>
        <v>0</v>
      </c>
      <c r="AU22" s="50">
        <f t="shared" si="8"/>
        <v>0</v>
      </c>
      <c r="AV22" s="50">
        <f t="shared" si="8"/>
        <v>0</v>
      </c>
      <c r="AZ22">
        <f t="shared" si="6"/>
        <v>200</v>
      </c>
    </row>
    <row r="23" spans="1:52">
      <c r="A23" s="66">
        <v>44748</v>
      </c>
      <c r="B23" s="83">
        <v>1600</v>
      </c>
      <c r="C23" s="83"/>
      <c r="D23" s="79">
        <f>(SUM(粮草!A23:X23)+AG23*10)*IF(AK23="是",$AX$4,$AX$3)</f>
        <v>0</v>
      </c>
      <c r="E23" s="80">
        <f>SUM($B$4:B23)+SUM($C$4:C23)-SUM($D$4:D23)</f>
        <v>31200</v>
      </c>
      <c r="F23" s="79">
        <f>SUM(经验!A23:X23)</f>
        <v>0</v>
      </c>
      <c r="G23" s="79">
        <f>SUM($F$4:F23)+SUM($H$4:H23)</f>
        <v>2000</v>
      </c>
      <c r="H23" s="83">
        <v>200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s="21" t="s">
        <v>34</v>
      </c>
      <c r="P23" s="21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s="21" t="s">
        <v>34</v>
      </c>
      <c r="X23" s="21" t="s">
        <v>34</v>
      </c>
      <c r="Y23" s="20" t="s">
        <v>34</v>
      </c>
      <c r="Z23" s="20" t="s">
        <v>34</v>
      </c>
      <c r="AA23" s="20" t="s">
        <v>34</v>
      </c>
      <c r="AB23" s="20" t="s">
        <v>34</v>
      </c>
      <c r="AC23" s="20" t="s">
        <v>34</v>
      </c>
      <c r="AD23" s="20" t="s">
        <v>34</v>
      </c>
      <c r="AE23" s="24" t="s">
        <v>34</v>
      </c>
      <c r="AF23" s="24" t="s">
        <v>34</v>
      </c>
      <c r="AG23" s="61">
        <v>0</v>
      </c>
      <c r="AH23" s="61"/>
      <c r="AI23" s="61"/>
      <c r="AJ23" s="61"/>
      <c r="AK23" s="30" t="s">
        <v>52</v>
      </c>
      <c r="AM23" s="40" t="s">
        <v>55</v>
      </c>
      <c r="AN23" s="29">
        <v>250</v>
      </c>
      <c r="AO23" s="29">
        <v>500</v>
      </c>
      <c r="AP23" s="29">
        <f t="shared" si="2"/>
        <v>0</v>
      </c>
      <c r="AQ23" s="29">
        <f t="shared" si="3"/>
        <v>0</v>
      </c>
      <c r="AR23" s="29">
        <f t="shared" si="4"/>
        <v>0</v>
      </c>
      <c r="AS23" s="29">
        <f t="shared" si="7"/>
        <v>0</v>
      </c>
      <c r="AT23" s="50">
        <f t="shared" si="8"/>
        <v>0</v>
      </c>
      <c r="AU23" s="50">
        <f t="shared" si="8"/>
        <v>0</v>
      </c>
      <c r="AV23" s="50">
        <f t="shared" si="8"/>
        <v>0</v>
      </c>
      <c r="AZ23">
        <f t="shared" si="6"/>
        <v>200</v>
      </c>
    </row>
    <row r="24" spans="1:52">
      <c r="A24" s="66">
        <v>44749</v>
      </c>
      <c r="B24" s="83">
        <v>1600</v>
      </c>
      <c r="C24" s="83"/>
      <c r="D24" s="79">
        <f>(SUM(粮草!A24:X24)+AG24*10)*IF(AK24="是",$AX$4,$AX$3)</f>
        <v>0</v>
      </c>
      <c r="E24" s="80">
        <f>SUM($B$4:B24)+SUM($C$4:C24)-SUM($D$4:D24)</f>
        <v>32800</v>
      </c>
      <c r="F24" s="79">
        <f>SUM(经验!A24:X24)</f>
        <v>0</v>
      </c>
      <c r="G24" s="79">
        <f>SUM($F$4:F24)+SUM($H$4:H24)</f>
        <v>2000</v>
      </c>
      <c r="H24" s="83">
        <v>0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s="21" t="s">
        <v>34</v>
      </c>
      <c r="P24" s="21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s="21" t="s">
        <v>34</v>
      </c>
      <c r="X24" s="21" t="s">
        <v>34</v>
      </c>
      <c r="Y24" s="20" t="s">
        <v>34</v>
      </c>
      <c r="Z24" s="20" t="s">
        <v>34</v>
      </c>
      <c r="AA24" s="20" t="s">
        <v>34</v>
      </c>
      <c r="AB24" s="20" t="s">
        <v>34</v>
      </c>
      <c r="AC24" s="20" t="s">
        <v>34</v>
      </c>
      <c r="AD24" s="20" t="s">
        <v>34</v>
      </c>
      <c r="AE24" s="24" t="s">
        <v>34</v>
      </c>
      <c r="AF24" s="24" t="s">
        <v>34</v>
      </c>
      <c r="AG24" s="61">
        <v>0</v>
      </c>
      <c r="AH24" s="61"/>
      <c r="AI24" s="61"/>
      <c r="AJ24" s="61"/>
      <c r="AK24" s="30" t="s">
        <v>52</v>
      </c>
      <c r="AM24" s="41" t="s">
        <v>56</v>
      </c>
      <c r="AN24" s="29">
        <v>160</v>
      </c>
      <c r="AO24" s="29">
        <v>40</v>
      </c>
      <c r="AP24" s="29">
        <f t="shared" si="2"/>
        <v>0</v>
      </c>
      <c r="AQ24" s="29">
        <f t="shared" si="3"/>
        <v>0</v>
      </c>
      <c r="AR24" s="29">
        <f t="shared" si="4"/>
        <v>0</v>
      </c>
      <c r="AS24" s="29">
        <f t="shared" si="7"/>
        <v>0</v>
      </c>
      <c r="AT24" s="50">
        <f t="shared" si="8"/>
        <v>0</v>
      </c>
      <c r="AU24" s="50">
        <f t="shared" si="8"/>
        <v>0</v>
      </c>
      <c r="AV24" s="50">
        <f t="shared" si="8"/>
        <v>0</v>
      </c>
      <c r="AZ24">
        <f t="shared" si="6"/>
        <v>128</v>
      </c>
    </row>
    <row r="25" spans="1:52">
      <c r="A25" s="66">
        <v>44750</v>
      </c>
      <c r="B25" s="83">
        <v>1600</v>
      </c>
      <c r="C25" s="83"/>
      <c r="D25" s="79">
        <f>(SUM(粮草!A25:X25)+AG25*10)*IF(AK25="是",$AX$4,$AX$3)</f>
        <v>0</v>
      </c>
      <c r="E25" s="80">
        <f>SUM($B$4:B25)+SUM($C$4:C25)-SUM($D$4:D25)</f>
        <v>34400</v>
      </c>
      <c r="F25" s="79">
        <f>SUM(经验!A25:X25)</f>
        <v>0</v>
      </c>
      <c r="G25" s="79">
        <f>SUM($F$4:F25)+SUM($H$4:H25)</f>
        <v>2000</v>
      </c>
      <c r="H25" s="83">
        <v>0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s="21" t="s">
        <v>34</v>
      </c>
      <c r="P25" s="21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s="21" t="s">
        <v>34</v>
      </c>
      <c r="X25" s="21" t="s">
        <v>34</v>
      </c>
      <c r="Y25" s="20" t="s">
        <v>34</v>
      </c>
      <c r="Z25" s="20" t="s">
        <v>34</v>
      </c>
      <c r="AA25" s="20" t="s">
        <v>34</v>
      </c>
      <c r="AB25" s="20" t="s">
        <v>34</v>
      </c>
      <c r="AC25" s="20" t="s">
        <v>34</v>
      </c>
      <c r="AD25" s="20" t="s">
        <v>34</v>
      </c>
      <c r="AE25" s="24" t="s">
        <v>34</v>
      </c>
      <c r="AF25" s="24" t="s">
        <v>34</v>
      </c>
      <c r="AG25" s="61">
        <v>0</v>
      </c>
      <c r="AH25" s="61"/>
      <c r="AI25" s="61"/>
      <c r="AJ25" s="61"/>
      <c r="AK25" s="30" t="s">
        <v>52</v>
      </c>
      <c r="AM25" s="41" t="s">
        <v>57</v>
      </c>
      <c r="AN25" s="29">
        <v>160</v>
      </c>
      <c r="AO25" s="29">
        <v>40</v>
      </c>
      <c r="AP25" s="29">
        <f t="shared" si="2"/>
        <v>0</v>
      </c>
      <c r="AQ25" s="29">
        <f t="shared" si="3"/>
        <v>0</v>
      </c>
      <c r="AR25" s="29">
        <f t="shared" si="4"/>
        <v>0</v>
      </c>
      <c r="AS25" s="29">
        <f t="shared" si="7"/>
        <v>0</v>
      </c>
      <c r="AT25" s="50">
        <f t="shared" si="8"/>
        <v>0</v>
      </c>
      <c r="AU25" s="50">
        <f t="shared" si="8"/>
        <v>0</v>
      </c>
      <c r="AV25" s="50">
        <f t="shared" si="8"/>
        <v>0</v>
      </c>
      <c r="AZ25">
        <f t="shared" si="6"/>
        <v>128</v>
      </c>
    </row>
    <row r="26" spans="1:52">
      <c r="A26" s="66">
        <v>44751</v>
      </c>
      <c r="B26" s="83">
        <v>1600</v>
      </c>
      <c r="C26" s="83"/>
      <c r="D26" s="79">
        <f>(SUM(粮草!A26:X26)+AG26*10)*IF(AK26="是",$AX$4,$AX$3)</f>
        <v>0</v>
      </c>
      <c r="E26" s="80">
        <f>SUM($B$4:B26)+SUM($C$4:C26)-SUM($D$4:D26)</f>
        <v>36000</v>
      </c>
      <c r="F26" s="79">
        <f>SUM(经验!A26:X26)</f>
        <v>0</v>
      </c>
      <c r="G26" s="79">
        <f>SUM($F$4:F26)+SUM($H$4:H26)</f>
        <v>2000</v>
      </c>
      <c r="H26" s="83">
        <v>0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s="21" t="s">
        <v>34</v>
      </c>
      <c r="P26" s="21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s="21" t="s">
        <v>34</v>
      </c>
      <c r="X26" s="21" t="s">
        <v>34</v>
      </c>
      <c r="Y26" s="20" t="s">
        <v>34</v>
      </c>
      <c r="Z26" s="20" t="s">
        <v>34</v>
      </c>
      <c r="AA26" s="20" t="s">
        <v>34</v>
      </c>
      <c r="AB26" s="20" t="s">
        <v>34</v>
      </c>
      <c r="AC26" s="20" t="s">
        <v>34</v>
      </c>
      <c r="AD26" s="20" t="s">
        <v>34</v>
      </c>
      <c r="AE26" s="24" t="s">
        <v>34</v>
      </c>
      <c r="AF26" s="24" t="s">
        <v>34</v>
      </c>
      <c r="AG26" s="61">
        <v>0</v>
      </c>
      <c r="AH26" s="61"/>
      <c r="AI26" s="61"/>
      <c r="AJ26" s="61"/>
      <c r="AK26" s="30" t="s">
        <v>52</v>
      </c>
      <c r="AM26" s="41" t="s">
        <v>58</v>
      </c>
      <c r="AN26" s="29">
        <v>150</v>
      </c>
      <c r="AO26" s="29">
        <v>35</v>
      </c>
      <c r="AP26" s="29">
        <f t="shared" si="2"/>
        <v>0</v>
      </c>
      <c r="AQ26" s="29">
        <f t="shared" si="3"/>
        <v>0</v>
      </c>
      <c r="AR26" s="29">
        <f t="shared" si="4"/>
        <v>0</v>
      </c>
      <c r="AS26" s="29">
        <f t="shared" si="7"/>
        <v>0</v>
      </c>
      <c r="AT26" s="50">
        <f t="shared" si="8"/>
        <v>0</v>
      </c>
      <c r="AU26" s="50">
        <f t="shared" si="8"/>
        <v>0</v>
      </c>
      <c r="AV26" s="50">
        <f t="shared" si="8"/>
        <v>0</v>
      </c>
      <c r="AZ26">
        <f t="shared" si="6"/>
        <v>120</v>
      </c>
    </row>
    <row r="27" spans="1:52">
      <c r="A27" s="66">
        <v>44752</v>
      </c>
      <c r="B27" s="83">
        <v>1600</v>
      </c>
      <c r="C27" s="83"/>
      <c r="D27" s="79">
        <f>(SUM(粮草!A27:X27)+AG27*10)*IF(AK27="是",$AX$4,$AX$3)</f>
        <v>0</v>
      </c>
      <c r="E27" s="80">
        <f>SUM($B$4:B27)+SUM($C$4:C27)-SUM($D$4:D27)</f>
        <v>37600</v>
      </c>
      <c r="F27" s="79">
        <f>SUM(经验!A27:X27)</f>
        <v>0</v>
      </c>
      <c r="G27" s="79">
        <f>SUM($F$4:F27)+SUM($H$4:H27)</f>
        <v>2000</v>
      </c>
      <c r="H27" s="83">
        <v>0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s="21" t="s">
        <v>34</v>
      </c>
      <c r="P27" s="21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s="21" t="s">
        <v>34</v>
      </c>
      <c r="X27" s="21" t="s">
        <v>34</v>
      </c>
      <c r="Y27" s="20" t="s">
        <v>34</v>
      </c>
      <c r="Z27" s="20" t="s">
        <v>34</v>
      </c>
      <c r="AA27" s="20" t="s">
        <v>34</v>
      </c>
      <c r="AB27" s="20" t="s">
        <v>34</v>
      </c>
      <c r="AC27" s="20" t="s">
        <v>34</v>
      </c>
      <c r="AD27" s="20" t="s">
        <v>34</v>
      </c>
      <c r="AE27" s="24" t="s">
        <v>34</v>
      </c>
      <c r="AF27" s="24" t="s">
        <v>34</v>
      </c>
      <c r="AG27" s="61">
        <v>0</v>
      </c>
      <c r="AH27" s="61"/>
      <c r="AI27" s="61"/>
      <c r="AJ27" s="61"/>
      <c r="AK27" s="30" t="s">
        <v>52</v>
      </c>
      <c r="AM27" s="42" t="s">
        <v>34</v>
      </c>
      <c r="AN27" s="29">
        <v>0</v>
      </c>
      <c r="AO27" s="29">
        <v>0</v>
      </c>
      <c r="AP27" s="29"/>
      <c r="AQ27" s="29"/>
      <c r="AR27" s="29"/>
      <c r="AS27" s="29"/>
      <c r="AT27" s="50">
        <f t="shared" si="8"/>
        <v>0</v>
      </c>
      <c r="AU27" s="50">
        <f t="shared" si="8"/>
        <v>0</v>
      </c>
      <c r="AV27" s="50">
        <f t="shared" si="8"/>
        <v>0</v>
      </c>
      <c r="AZ27">
        <f t="shared" si="6"/>
        <v>0</v>
      </c>
    </row>
    <row r="28" spans="1:52" ht="15" thickBot="1">
      <c r="A28" s="66">
        <v>44753</v>
      </c>
      <c r="B28" s="84">
        <v>1600</v>
      </c>
      <c r="C28" s="84"/>
      <c r="D28" s="79">
        <f>(SUM(粮草!A28:X28)+AG28*10)*IF(AK28="是",$AX$4,$AX$3)</f>
        <v>0</v>
      </c>
      <c r="E28" s="80">
        <f>SUM($B$4:B28)+SUM($C$4:C28)-SUM($D$4:D28)</f>
        <v>39200</v>
      </c>
      <c r="F28" s="79">
        <f>SUM(经验!A28:X28)</f>
        <v>0</v>
      </c>
      <c r="G28" s="79">
        <f>SUM($F$4:F28)+SUM($H$4:H28)</f>
        <v>2200</v>
      </c>
      <c r="H28" s="84">
        <v>200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s="21" t="s">
        <v>34</v>
      </c>
      <c r="P28" s="21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s="21" t="s">
        <v>34</v>
      </c>
      <c r="X28" s="21" t="s">
        <v>34</v>
      </c>
      <c r="Y28" s="20" t="s">
        <v>34</v>
      </c>
      <c r="Z28" s="20" t="s">
        <v>34</v>
      </c>
      <c r="AA28" s="20" t="s">
        <v>34</v>
      </c>
      <c r="AB28" s="20" t="s">
        <v>34</v>
      </c>
      <c r="AC28" s="20" t="s">
        <v>34</v>
      </c>
      <c r="AD28" s="20" t="s">
        <v>34</v>
      </c>
      <c r="AE28" s="24" t="s">
        <v>34</v>
      </c>
      <c r="AF28" s="24" t="s">
        <v>34</v>
      </c>
      <c r="AG28" s="61">
        <v>0</v>
      </c>
      <c r="AH28" s="61"/>
      <c r="AI28" s="61"/>
      <c r="AJ28" s="61"/>
      <c r="AK28" s="30" t="s">
        <v>52</v>
      </c>
      <c r="AL28" s="43" t="s">
        <v>36</v>
      </c>
      <c r="AM28" s="23" t="s">
        <v>59</v>
      </c>
      <c r="AN28" s="29">
        <v>-200</v>
      </c>
      <c r="AO28" s="29">
        <v>0</v>
      </c>
      <c r="AP28" s="29">
        <f>COUNTIF($I$4:$P$94,AM28)</f>
        <v>0</v>
      </c>
      <c r="AQ28" s="29">
        <f>COUNTIF($Q$4:$X$94,AM28)</f>
        <v>0</v>
      </c>
      <c r="AR28" s="29">
        <f>COUNTIF($Y$4:$AF$94,AM28)</f>
        <v>0</v>
      </c>
      <c r="AS28" s="29">
        <f>AP28+AQ28+AR28</f>
        <v>0</v>
      </c>
      <c r="AT28" s="50">
        <f t="shared" si="8"/>
        <v>0</v>
      </c>
      <c r="AU28" s="50">
        <f t="shared" si="8"/>
        <v>0</v>
      </c>
      <c r="AV28" s="50">
        <f t="shared" si="8"/>
        <v>0</v>
      </c>
      <c r="AZ28">
        <f t="shared" si="6"/>
        <v>-160</v>
      </c>
    </row>
    <row r="29" spans="1:52">
      <c r="A29" s="66">
        <v>44754</v>
      </c>
      <c r="B29" s="84">
        <v>1600</v>
      </c>
      <c r="C29" s="84"/>
      <c r="D29" s="79">
        <f>(SUM(粮草!A29:X29)+AG29*10)*IF(AK29="是",$AX$4,$AX$3)</f>
        <v>0</v>
      </c>
      <c r="E29" s="80">
        <f>SUM($B$4:B29)+SUM($C$4:C29)-SUM($D$4:D29)</f>
        <v>40800</v>
      </c>
      <c r="F29" s="79">
        <f>SUM(经验!A29:X29)</f>
        <v>0</v>
      </c>
      <c r="G29" s="79">
        <f>SUM($F$4:F29)+SUM($H$4:H29)</f>
        <v>2300</v>
      </c>
      <c r="H29" s="84">
        <v>100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s="21" t="s">
        <v>34</v>
      </c>
      <c r="P29" s="21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s="21" t="s">
        <v>34</v>
      </c>
      <c r="X29" s="21" t="s">
        <v>34</v>
      </c>
      <c r="Y29" s="20" t="s">
        <v>34</v>
      </c>
      <c r="Z29" s="20" t="s">
        <v>34</v>
      </c>
      <c r="AA29" s="20" t="s">
        <v>34</v>
      </c>
      <c r="AB29" s="20" t="s">
        <v>34</v>
      </c>
      <c r="AC29" s="20" t="s">
        <v>34</v>
      </c>
      <c r="AD29" s="20" t="s">
        <v>34</v>
      </c>
      <c r="AE29" s="24" t="s">
        <v>34</v>
      </c>
      <c r="AF29" s="24" t="s">
        <v>34</v>
      </c>
      <c r="AG29" s="61">
        <v>0</v>
      </c>
      <c r="AH29" s="61"/>
      <c r="AI29" s="61"/>
      <c r="AJ29" s="61"/>
      <c r="AK29" s="30" t="s">
        <v>52</v>
      </c>
      <c r="AM29" s="75" t="s">
        <v>64</v>
      </c>
      <c r="AN29" s="29">
        <v>50</v>
      </c>
      <c r="AO29" s="29">
        <v>520</v>
      </c>
      <c r="AP29" s="29">
        <f>COUNTIF($I$4:$P$94,AM29)</f>
        <v>0</v>
      </c>
      <c r="AQ29" s="29">
        <f>COUNTIF($Q$4:$X$94,AM29)</f>
        <v>0</v>
      </c>
      <c r="AR29" s="29">
        <f>COUNTIF($Y$4:$AF$94,AM29)</f>
        <v>0</v>
      </c>
      <c r="AS29" s="29">
        <f>AP29+AQ29+AR29</f>
        <v>0</v>
      </c>
      <c r="AT29" s="50">
        <f t="shared" ref="AT29" si="9">AP29*$AO29</f>
        <v>0</v>
      </c>
      <c r="AU29" s="50">
        <f t="shared" ref="AU29" si="10">AQ29*$AO29</f>
        <v>0</v>
      </c>
      <c r="AV29" s="50">
        <f t="shared" ref="AV29" si="11">AR29*$AO29</f>
        <v>0</v>
      </c>
      <c r="AZ29">
        <f t="shared" si="6"/>
        <v>40</v>
      </c>
    </row>
    <row r="30" spans="1:52">
      <c r="A30" s="66">
        <v>44755</v>
      </c>
      <c r="B30" s="84">
        <v>1600</v>
      </c>
      <c r="C30" s="84"/>
      <c r="D30" s="79">
        <f>(SUM(粮草!A30:X30)+AG30*10)*IF(AK30="是",$AX$4,$AX$3)</f>
        <v>0</v>
      </c>
      <c r="E30" s="80">
        <f>SUM($B$4:B30)+SUM($C$4:C30)-SUM($D$4:D30)</f>
        <v>42400</v>
      </c>
      <c r="F30" s="79">
        <f>SUM(经验!A30:X30)</f>
        <v>0</v>
      </c>
      <c r="G30" s="79">
        <f>SUM($F$4:F30)+SUM($H$4:H30)</f>
        <v>2500</v>
      </c>
      <c r="H30" s="84">
        <v>200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s="21" t="s">
        <v>34</v>
      </c>
      <c r="P30" s="21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s="21" t="s">
        <v>34</v>
      </c>
      <c r="X30" s="21" t="s">
        <v>34</v>
      </c>
      <c r="Y30" s="20" t="s">
        <v>34</v>
      </c>
      <c r="Z30" s="20" t="s">
        <v>34</v>
      </c>
      <c r="AA30" s="20" t="s">
        <v>34</v>
      </c>
      <c r="AB30" s="20" t="s">
        <v>34</v>
      </c>
      <c r="AC30" s="20" t="s">
        <v>34</v>
      </c>
      <c r="AD30" s="20" t="s">
        <v>34</v>
      </c>
      <c r="AE30" s="24" t="s">
        <v>34</v>
      </c>
      <c r="AF30" s="24" t="s">
        <v>34</v>
      </c>
      <c r="AG30" s="61">
        <v>0</v>
      </c>
      <c r="AH30" s="61"/>
      <c r="AI30" s="61"/>
      <c r="AJ30" s="61"/>
      <c r="AK30" s="30" t="s">
        <v>52</v>
      </c>
      <c r="AM30" s="29"/>
      <c r="AN30" s="29"/>
      <c r="AO30" s="29"/>
    </row>
    <row r="31" spans="1:52">
      <c r="A31" s="66">
        <v>44756</v>
      </c>
      <c r="B31" s="84">
        <v>1600</v>
      </c>
      <c r="C31" s="84"/>
      <c r="D31" s="79">
        <f>(SUM(粮草!A31:X31)+AG31*10)*IF(AK31="是",$AX$4,$AX$3)</f>
        <v>0</v>
      </c>
      <c r="E31" s="80">
        <f>SUM($B$4:B31)+SUM($C$4:C31)-SUM($D$4:D31)</f>
        <v>44000</v>
      </c>
      <c r="F31" s="79">
        <f>SUM(经验!A31:X31)</f>
        <v>0</v>
      </c>
      <c r="G31" s="79">
        <f>SUM($F$4:F31)+SUM($H$4:H31)</f>
        <v>2500</v>
      </c>
      <c r="H31" s="84">
        <v>0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s="21" t="s">
        <v>34</v>
      </c>
      <c r="P31" s="2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s="21" t="s">
        <v>34</v>
      </c>
      <c r="X31" s="21" t="s">
        <v>34</v>
      </c>
      <c r="Y31" s="20" t="s">
        <v>34</v>
      </c>
      <c r="Z31" s="20" t="s">
        <v>34</v>
      </c>
      <c r="AA31" s="20" t="s">
        <v>34</v>
      </c>
      <c r="AB31" s="20" t="s">
        <v>34</v>
      </c>
      <c r="AC31" s="20" t="s">
        <v>34</v>
      </c>
      <c r="AD31" s="20" t="s">
        <v>34</v>
      </c>
      <c r="AE31" s="24" t="s">
        <v>34</v>
      </c>
      <c r="AF31" s="24" t="s">
        <v>34</v>
      </c>
      <c r="AG31" s="61">
        <v>0</v>
      </c>
      <c r="AH31" s="61"/>
      <c r="AI31" s="61"/>
      <c r="AJ31" s="61"/>
      <c r="AK31" s="30" t="s">
        <v>52</v>
      </c>
      <c r="AM31" s="29"/>
      <c r="AN31" s="29"/>
      <c r="AO31" s="29"/>
    </row>
    <row r="32" spans="1:52">
      <c r="A32" s="66">
        <v>44757</v>
      </c>
      <c r="B32" s="84">
        <v>1600</v>
      </c>
      <c r="C32" s="84"/>
      <c r="D32" s="79">
        <f>(SUM(粮草!A32:X32)+AG32*10)*IF(AK32="是",$AX$4,$AX$3)</f>
        <v>0</v>
      </c>
      <c r="E32" s="80">
        <f>SUM($B$4:B32)+SUM($C$4:C32)-SUM($D$4:D32)</f>
        <v>45600</v>
      </c>
      <c r="F32" s="79">
        <f>SUM(经验!A32:X32)</f>
        <v>0</v>
      </c>
      <c r="G32" s="79">
        <f>SUM($F$4:F32)+SUM($H$4:H32)</f>
        <v>2500</v>
      </c>
      <c r="H32" s="84">
        <v>0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s="21" t="s">
        <v>34</v>
      </c>
      <c r="P32" s="21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s="21" t="s">
        <v>34</v>
      </c>
      <c r="X32" s="21" t="s">
        <v>34</v>
      </c>
      <c r="Y32" s="20" t="s">
        <v>34</v>
      </c>
      <c r="Z32" s="20" t="s">
        <v>34</v>
      </c>
      <c r="AA32" s="20" t="s">
        <v>34</v>
      </c>
      <c r="AB32" s="20" t="s">
        <v>34</v>
      </c>
      <c r="AC32" s="20" t="s">
        <v>34</v>
      </c>
      <c r="AD32" s="20" t="s">
        <v>34</v>
      </c>
      <c r="AE32" s="24" t="s">
        <v>34</v>
      </c>
      <c r="AF32" s="24" t="s">
        <v>34</v>
      </c>
      <c r="AG32" s="61">
        <v>0</v>
      </c>
      <c r="AH32" s="61"/>
      <c r="AI32" s="61"/>
      <c r="AJ32" s="61"/>
      <c r="AK32" s="30" t="s">
        <v>52</v>
      </c>
      <c r="AM32" s="29"/>
      <c r="AN32" s="29"/>
      <c r="AO32" s="29"/>
    </row>
    <row r="33" spans="1:41">
      <c r="A33" s="66">
        <v>44758</v>
      </c>
      <c r="B33" s="84">
        <v>1600</v>
      </c>
      <c r="C33" s="84"/>
      <c r="D33" s="79">
        <f>(SUM(粮草!A33:X33)+AG33*10)*IF(AK33="是",$AX$4,$AX$3)</f>
        <v>0</v>
      </c>
      <c r="E33" s="80">
        <f>SUM($B$4:B33)+SUM($C$4:C33)-SUM($D$4:D33)</f>
        <v>47200</v>
      </c>
      <c r="F33" s="79">
        <f>SUM(经验!A33:X33)</f>
        <v>0</v>
      </c>
      <c r="G33" s="79">
        <f>SUM($F$4:F33)+SUM($H$4:H33)</f>
        <v>2500</v>
      </c>
      <c r="H33" s="84">
        <v>0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s="21" t="s">
        <v>34</v>
      </c>
      <c r="P33" s="21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s="21" t="s">
        <v>34</v>
      </c>
      <c r="X33" s="21" t="s">
        <v>34</v>
      </c>
      <c r="Y33" s="20" t="s">
        <v>34</v>
      </c>
      <c r="Z33" s="20" t="s">
        <v>34</v>
      </c>
      <c r="AA33" s="20" t="s">
        <v>34</v>
      </c>
      <c r="AB33" s="20" t="s">
        <v>34</v>
      </c>
      <c r="AC33" s="20" t="s">
        <v>34</v>
      </c>
      <c r="AD33" s="20" t="s">
        <v>34</v>
      </c>
      <c r="AE33" s="24" t="s">
        <v>34</v>
      </c>
      <c r="AF33" s="24" t="s">
        <v>34</v>
      </c>
      <c r="AG33" s="61">
        <v>0</v>
      </c>
      <c r="AH33" s="61"/>
      <c r="AI33" s="61"/>
      <c r="AJ33" s="61"/>
      <c r="AK33" s="30" t="s">
        <v>52</v>
      </c>
      <c r="AM33" s="29"/>
      <c r="AN33" s="29"/>
      <c r="AO33" s="29"/>
    </row>
    <row r="34" spans="1:41">
      <c r="A34" s="66">
        <v>44759</v>
      </c>
      <c r="B34" s="84">
        <v>1600</v>
      </c>
      <c r="C34" s="84"/>
      <c r="D34" s="79">
        <f>(SUM(粮草!A34:X34)+AG34*10)*IF(AK34="是",$AX$4,$AX$3)</f>
        <v>0</v>
      </c>
      <c r="E34" s="80">
        <f>SUM($B$4:B34)+SUM($C$4:C34)-SUM($D$4:D34)</f>
        <v>48800</v>
      </c>
      <c r="F34" s="79">
        <f>SUM(经验!A34:X34)</f>
        <v>0</v>
      </c>
      <c r="G34" s="79">
        <f>SUM($F$4:F34)+SUM($H$4:H34)</f>
        <v>2500</v>
      </c>
      <c r="H34" s="84">
        <v>0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s="21" t="s">
        <v>34</v>
      </c>
      <c r="P34" s="21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s="21" t="s">
        <v>34</v>
      </c>
      <c r="X34" s="21" t="s">
        <v>34</v>
      </c>
      <c r="Y34" s="20" t="s">
        <v>34</v>
      </c>
      <c r="Z34" s="20" t="s">
        <v>34</v>
      </c>
      <c r="AA34" s="20" t="s">
        <v>34</v>
      </c>
      <c r="AB34" s="20" t="s">
        <v>34</v>
      </c>
      <c r="AC34" s="20" t="s">
        <v>34</v>
      </c>
      <c r="AD34" s="20" t="s">
        <v>34</v>
      </c>
      <c r="AE34" s="24" t="s">
        <v>34</v>
      </c>
      <c r="AF34" s="24" t="s">
        <v>34</v>
      </c>
      <c r="AG34" s="61">
        <v>0</v>
      </c>
      <c r="AH34" s="61"/>
      <c r="AI34" s="61"/>
      <c r="AJ34" s="61"/>
      <c r="AK34" s="30" t="s">
        <v>52</v>
      </c>
      <c r="AM34" s="29"/>
      <c r="AN34" s="29"/>
      <c r="AO34" s="29"/>
    </row>
    <row r="35" spans="1:41">
      <c r="A35" s="66">
        <v>44760</v>
      </c>
      <c r="B35" s="83">
        <v>1600</v>
      </c>
      <c r="C35" s="83"/>
      <c r="D35" s="79">
        <f>(SUM(粮草!A35:X35)+AG35*10)*IF(AK35="是",$AX$4,$AX$3)</f>
        <v>0</v>
      </c>
      <c r="E35" s="80">
        <f>SUM($B$4:B35)+SUM($C$4:C35)-SUM($D$4:D35)</f>
        <v>50400</v>
      </c>
      <c r="F35" s="79">
        <f>SUM(经验!A35:X35)</f>
        <v>0</v>
      </c>
      <c r="G35" s="79">
        <f>SUM($F$4:F35)+SUM($H$4:H35)</f>
        <v>2700</v>
      </c>
      <c r="H35" s="83">
        <v>200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s="21" t="s">
        <v>34</v>
      </c>
      <c r="P35" s="21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s="21" t="s">
        <v>34</v>
      </c>
      <c r="X35" s="21" t="s">
        <v>34</v>
      </c>
      <c r="Y35" s="20" t="s">
        <v>34</v>
      </c>
      <c r="Z35" s="20" t="s">
        <v>34</v>
      </c>
      <c r="AA35" s="20" t="s">
        <v>34</v>
      </c>
      <c r="AB35" s="20" t="s">
        <v>34</v>
      </c>
      <c r="AC35" s="20" t="s">
        <v>34</v>
      </c>
      <c r="AD35" s="20" t="s">
        <v>34</v>
      </c>
      <c r="AE35" s="24" t="s">
        <v>34</v>
      </c>
      <c r="AF35" s="24" t="s">
        <v>34</v>
      </c>
      <c r="AG35" s="61">
        <v>0</v>
      </c>
      <c r="AH35" s="61"/>
      <c r="AI35" s="61"/>
      <c r="AJ35" s="61"/>
      <c r="AK35" s="30" t="s">
        <v>52</v>
      </c>
      <c r="AM35" s="29"/>
      <c r="AN35" s="29"/>
      <c r="AO35" s="29"/>
    </row>
    <row r="36" spans="1:41">
      <c r="A36" s="66">
        <v>44761</v>
      </c>
      <c r="B36" s="83">
        <v>1600</v>
      </c>
      <c r="C36" s="83"/>
      <c r="D36" s="79">
        <f>(SUM(粮草!A36:X36)+AG36*10)*IF(AK36="是",$AX$4,$AX$3)</f>
        <v>0</v>
      </c>
      <c r="E36" s="80">
        <f>SUM($B$4:B36)+SUM($C$4:C36)-SUM($D$4:D36)</f>
        <v>52000</v>
      </c>
      <c r="F36" s="79">
        <f>SUM(经验!A36:X36)</f>
        <v>0</v>
      </c>
      <c r="G36" s="79">
        <f>SUM($F$4:F36)+SUM($H$4:H36)</f>
        <v>2800</v>
      </c>
      <c r="H36" s="83">
        <v>100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s="21" t="s">
        <v>34</v>
      </c>
      <c r="P36" s="21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s="21" t="s">
        <v>34</v>
      </c>
      <c r="X36" s="21" t="s">
        <v>34</v>
      </c>
      <c r="Y36" s="20" t="s">
        <v>34</v>
      </c>
      <c r="Z36" s="20" t="s">
        <v>34</v>
      </c>
      <c r="AA36" s="20" t="s">
        <v>34</v>
      </c>
      <c r="AB36" s="20" t="s">
        <v>34</v>
      </c>
      <c r="AC36" s="20" t="s">
        <v>34</v>
      </c>
      <c r="AD36" s="20" t="s">
        <v>34</v>
      </c>
      <c r="AE36" s="24" t="s">
        <v>34</v>
      </c>
      <c r="AF36" s="24" t="s">
        <v>34</v>
      </c>
      <c r="AG36" s="61">
        <v>0</v>
      </c>
      <c r="AH36" s="61"/>
      <c r="AI36" s="61"/>
      <c r="AJ36" s="61"/>
      <c r="AK36" s="30" t="s">
        <v>52</v>
      </c>
      <c r="AM36" s="29"/>
      <c r="AN36" s="29"/>
      <c r="AO36" s="29"/>
    </row>
    <row r="37" spans="1:41">
      <c r="A37" s="66">
        <v>44762</v>
      </c>
      <c r="B37" s="83">
        <v>1600</v>
      </c>
      <c r="C37" s="83"/>
      <c r="D37" s="79">
        <f>(SUM(粮草!A37:X37)+AG37*10)*IF(AK37="是",$AX$4,$AX$3)</f>
        <v>0</v>
      </c>
      <c r="E37" s="80">
        <f>SUM($B$4:B37)+SUM($C$4:C37)-SUM($D$4:D37)</f>
        <v>53600</v>
      </c>
      <c r="F37" s="79">
        <f>SUM(经验!A37:X37)</f>
        <v>0</v>
      </c>
      <c r="G37" s="79">
        <f>SUM($F$4:F37)+SUM($H$4:H37)</f>
        <v>3000</v>
      </c>
      <c r="H37" s="83">
        <v>200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s="21" t="s">
        <v>34</v>
      </c>
      <c r="P37" s="21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s="21" t="s">
        <v>34</v>
      </c>
      <c r="X37" s="21" t="s">
        <v>34</v>
      </c>
      <c r="Y37" s="20" t="s">
        <v>34</v>
      </c>
      <c r="Z37" s="20" t="s">
        <v>34</v>
      </c>
      <c r="AA37" s="20" t="s">
        <v>34</v>
      </c>
      <c r="AB37" s="20" t="s">
        <v>34</v>
      </c>
      <c r="AC37" s="20" t="s">
        <v>34</v>
      </c>
      <c r="AD37" s="20" t="s">
        <v>34</v>
      </c>
      <c r="AE37" s="24" t="s">
        <v>34</v>
      </c>
      <c r="AF37" s="24" t="s">
        <v>34</v>
      </c>
      <c r="AG37" s="61">
        <v>0</v>
      </c>
      <c r="AH37" s="61"/>
      <c r="AI37" s="61"/>
      <c r="AJ37" s="61"/>
      <c r="AK37" s="30" t="s">
        <v>52</v>
      </c>
      <c r="AM37" s="29"/>
      <c r="AN37" s="29"/>
      <c r="AO37" s="29"/>
    </row>
    <row r="38" spans="1:41">
      <c r="A38" s="66">
        <v>44763</v>
      </c>
      <c r="B38" s="83">
        <v>1600</v>
      </c>
      <c r="C38" s="83"/>
      <c r="D38" s="79">
        <f>(SUM(粮草!A38:X38)+AG38*10)*IF(AK38="是",$AX$4,$AX$3)</f>
        <v>0</v>
      </c>
      <c r="E38" s="80">
        <f>SUM($B$4:B38)+SUM($C$4:C38)-SUM($D$4:D38)</f>
        <v>55200</v>
      </c>
      <c r="F38" s="79">
        <f>SUM(经验!A38:X38)</f>
        <v>0</v>
      </c>
      <c r="G38" s="79">
        <f>SUM($F$4:F38)+SUM($H$4:H38)</f>
        <v>3000</v>
      </c>
      <c r="H38" s="83">
        <v>0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s="21" t="s">
        <v>34</v>
      </c>
      <c r="P38" s="21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s="21" t="s">
        <v>34</v>
      </c>
      <c r="X38" s="21" t="s">
        <v>34</v>
      </c>
      <c r="Y38" s="20" t="s">
        <v>34</v>
      </c>
      <c r="Z38" s="20" t="s">
        <v>34</v>
      </c>
      <c r="AA38" s="20" t="s">
        <v>34</v>
      </c>
      <c r="AB38" s="20" t="s">
        <v>34</v>
      </c>
      <c r="AC38" s="20" t="s">
        <v>34</v>
      </c>
      <c r="AD38" s="20" t="s">
        <v>34</v>
      </c>
      <c r="AE38" s="24" t="s">
        <v>34</v>
      </c>
      <c r="AF38" s="24" t="s">
        <v>34</v>
      </c>
      <c r="AG38" s="61">
        <v>0</v>
      </c>
      <c r="AH38" s="61"/>
      <c r="AI38" s="61"/>
      <c r="AJ38" s="61"/>
      <c r="AK38" s="30" t="s">
        <v>52</v>
      </c>
      <c r="AM38" s="29"/>
      <c r="AN38" s="29"/>
      <c r="AO38" s="29"/>
    </row>
    <row r="39" spans="1:41">
      <c r="A39" s="66">
        <v>44764</v>
      </c>
      <c r="B39" s="83">
        <v>1600</v>
      </c>
      <c r="C39" s="83"/>
      <c r="D39" s="79">
        <f>(SUM(粮草!A39:X39)+AG39*10)*IF(AK39="是",$AX$4,$AX$3)</f>
        <v>0</v>
      </c>
      <c r="E39" s="80">
        <f>SUM($B$4:B39)+SUM($C$4:C39)-SUM($D$4:D39)</f>
        <v>56800</v>
      </c>
      <c r="F39" s="79">
        <f>SUM(经验!A39:X39)</f>
        <v>0</v>
      </c>
      <c r="G39" s="79">
        <f>SUM($F$4:F39)+SUM($H$4:H39)</f>
        <v>3000</v>
      </c>
      <c r="H39" s="83">
        <v>0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s="21" t="s">
        <v>34</v>
      </c>
      <c r="P39" s="21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s="21" t="s">
        <v>34</v>
      </c>
      <c r="X39" s="21" t="s">
        <v>34</v>
      </c>
      <c r="Y39" s="20" t="s">
        <v>34</v>
      </c>
      <c r="Z39" s="20" t="s">
        <v>34</v>
      </c>
      <c r="AA39" s="20" t="s">
        <v>34</v>
      </c>
      <c r="AB39" s="20" t="s">
        <v>34</v>
      </c>
      <c r="AC39" s="20" t="s">
        <v>34</v>
      </c>
      <c r="AD39" s="20" t="s">
        <v>34</v>
      </c>
      <c r="AE39" s="24" t="s">
        <v>34</v>
      </c>
      <c r="AF39" s="24" t="s">
        <v>34</v>
      </c>
      <c r="AG39" s="61">
        <v>0</v>
      </c>
      <c r="AH39" s="61"/>
      <c r="AI39" s="61"/>
      <c r="AJ39" s="61"/>
      <c r="AK39" s="30" t="s">
        <v>52</v>
      </c>
      <c r="AM39" s="29"/>
      <c r="AN39" s="29"/>
      <c r="AO39" s="29"/>
    </row>
    <row r="40" spans="1:41">
      <c r="A40" s="66">
        <v>44765</v>
      </c>
      <c r="B40" s="83">
        <v>1600</v>
      </c>
      <c r="C40" s="83"/>
      <c r="D40" s="79">
        <f>(SUM(粮草!A40:X40)+AG40*10)*IF(AK40="是",$AX$4,$AX$3)</f>
        <v>0</v>
      </c>
      <c r="E40" s="80">
        <f>SUM($B$4:B40)+SUM($C$4:C40)-SUM($D$4:D40)</f>
        <v>58400</v>
      </c>
      <c r="F40" s="79">
        <f>SUM(经验!A40:X40)</f>
        <v>0</v>
      </c>
      <c r="G40" s="79">
        <f>SUM($F$4:F40)+SUM($H$4:H40)</f>
        <v>3000</v>
      </c>
      <c r="H40" s="83">
        <v>0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s="21" t="s">
        <v>34</v>
      </c>
      <c r="P40" s="21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s="21" t="s">
        <v>34</v>
      </c>
      <c r="X40" s="21" t="s">
        <v>34</v>
      </c>
      <c r="Y40" s="20" t="s">
        <v>34</v>
      </c>
      <c r="Z40" s="20" t="s">
        <v>34</v>
      </c>
      <c r="AA40" s="20" t="s">
        <v>34</v>
      </c>
      <c r="AB40" s="20" t="s">
        <v>34</v>
      </c>
      <c r="AC40" s="20" t="s">
        <v>34</v>
      </c>
      <c r="AD40" s="20" t="s">
        <v>34</v>
      </c>
      <c r="AE40" s="24" t="s">
        <v>34</v>
      </c>
      <c r="AF40" s="24" t="s">
        <v>34</v>
      </c>
      <c r="AG40" s="61">
        <v>0</v>
      </c>
      <c r="AH40" s="61"/>
      <c r="AI40" s="61"/>
      <c r="AJ40" s="61"/>
      <c r="AK40" s="30" t="s">
        <v>52</v>
      </c>
      <c r="AM40" s="29"/>
      <c r="AN40" s="29"/>
      <c r="AO40" s="29"/>
    </row>
    <row r="41" spans="1:41">
      <c r="A41" s="66">
        <v>44766</v>
      </c>
      <c r="B41" s="83">
        <v>1600</v>
      </c>
      <c r="C41" s="83"/>
      <c r="D41" s="79">
        <f>(SUM(粮草!A41:X41)+AG41*10)*IF(AK41="是",$AX$4,$AX$3)</f>
        <v>0</v>
      </c>
      <c r="E41" s="80">
        <f>SUM($B$4:B41)+SUM($C$4:C41)-SUM($D$4:D41)</f>
        <v>60000</v>
      </c>
      <c r="F41" s="79">
        <f>SUM(经验!A41:X41)</f>
        <v>0</v>
      </c>
      <c r="G41" s="79">
        <f>SUM($F$4:F41)+SUM($H$4:H41)</f>
        <v>3000</v>
      </c>
      <c r="H41" s="83">
        <v>0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s="21" t="s">
        <v>34</v>
      </c>
      <c r="P41" s="2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s="21" t="s">
        <v>34</v>
      </c>
      <c r="X41" s="21" t="s">
        <v>34</v>
      </c>
      <c r="Y41" s="20" t="s">
        <v>34</v>
      </c>
      <c r="Z41" s="20" t="s">
        <v>34</v>
      </c>
      <c r="AA41" s="20" t="s">
        <v>34</v>
      </c>
      <c r="AB41" s="20" t="s">
        <v>34</v>
      </c>
      <c r="AC41" s="20" t="s">
        <v>34</v>
      </c>
      <c r="AD41" s="20" t="s">
        <v>34</v>
      </c>
      <c r="AE41" s="24" t="s">
        <v>34</v>
      </c>
      <c r="AF41" s="24" t="s">
        <v>34</v>
      </c>
      <c r="AG41" s="61">
        <v>0</v>
      </c>
      <c r="AH41" s="61"/>
      <c r="AI41" s="61"/>
      <c r="AJ41" s="61"/>
      <c r="AK41" s="30" t="s">
        <v>52</v>
      </c>
      <c r="AM41" s="29"/>
      <c r="AN41" s="29"/>
      <c r="AO41" s="29"/>
    </row>
    <row r="42" spans="1:41">
      <c r="A42" s="66">
        <v>44767</v>
      </c>
      <c r="B42" s="84">
        <v>1600</v>
      </c>
      <c r="C42" s="84"/>
      <c r="D42" s="79">
        <f>(SUM(粮草!A42:X42)+AG42*10)*IF(AK42="是",$AX$4,$AX$3)</f>
        <v>0</v>
      </c>
      <c r="E42" s="80">
        <f>SUM($B$4:B42)+SUM($C$4:C42)-SUM($D$4:D42)</f>
        <v>61600</v>
      </c>
      <c r="F42" s="79">
        <f>SUM(经验!A42:X42)</f>
        <v>0</v>
      </c>
      <c r="G42" s="79">
        <f>SUM($F$4:F42)+SUM($H$4:H42)</f>
        <v>3300</v>
      </c>
      <c r="H42" s="84">
        <v>300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s="21" t="s">
        <v>34</v>
      </c>
      <c r="P42" s="21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s="21" t="s">
        <v>34</v>
      </c>
      <c r="X42" s="21" t="s">
        <v>34</v>
      </c>
      <c r="Y42" s="20" t="s">
        <v>34</v>
      </c>
      <c r="Z42" s="20" t="s">
        <v>34</v>
      </c>
      <c r="AA42" s="20" t="s">
        <v>34</v>
      </c>
      <c r="AB42" s="20" t="s">
        <v>34</v>
      </c>
      <c r="AC42" s="20" t="s">
        <v>34</v>
      </c>
      <c r="AD42" s="20" t="s">
        <v>34</v>
      </c>
      <c r="AE42" s="24" t="s">
        <v>34</v>
      </c>
      <c r="AF42" s="24" t="s">
        <v>34</v>
      </c>
      <c r="AG42" s="61">
        <v>0</v>
      </c>
      <c r="AH42" s="61"/>
      <c r="AI42" s="61"/>
      <c r="AJ42" s="61"/>
      <c r="AK42" s="30" t="s">
        <v>52</v>
      </c>
      <c r="AM42" s="29"/>
      <c r="AN42" s="29"/>
      <c r="AO42" s="29"/>
    </row>
    <row r="43" spans="1:41">
      <c r="A43" s="66">
        <v>44768</v>
      </c>
      <c r="B43" s="84">
        <v>1600</v>
      </c>
      <c r="C43" s="84"/>
      <c r="D43" s="79">
        <f>(SUM(粮草!A43:X43)+AG43*10)*IF(AK43="是",$AX$4,$AX$3)</f>
        <v>0</v>
      </c>
      <c r="E43" s="80">
        <f>SUM($B$4:B43)+SUM($C$4:C43)-SUM($D$4:D43)</f>
        <v>63200</v>
      </c>
      <c r="F43" s="79">
        <f>SUM(经验!A43:X43)</f>
        <v>0</v>
      </c>
      <c r="G43" s="79">
        <f>SUM($F$4:F43)+SUM($H$4:H43)</f>
        <v>3300</v>
      </c>
      <c r="H43" s="84">
        <v>0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s="21" t="s">
        <v>34</v>
      </c>
      <c r="P43" s="21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s="21" t="s">
        <v>34</v>
      </c>
      <c r="X43" s="21" t="s">
        <v>34</v>
      </c>
      <c r="Y43" s="20" t="s">
        <v>34</v>
      </c>
      <c r="Z43" s="20" t="s">
        <v>34</v>
      </c>
      <c r="AA43" s="20" t="s">
        <v>34</v>
      </c>
      <c r="AB43" s="20" t="s">
        <v>34</v>
      </c>
      <c r="AC43" s="20" t="s">
        <v>34</v>
      </c>
      <c r="AD43" s="20" t="s">
        <v>34</v>
      </c>
      <c r="AE43" s="24" t="s">
        <v>34</v>
      </c>
      <c r="AF43" s="24" t="s">
        <v>34</v>
      </c>
      <c r="AG43" s="61">
        <v>0</v>
      </c>
      <c r="AH43" s="61"/>
      <c r="AI43" s="61"/>
      <c r="AJ43" s="61"/>
      <c r="AK43" s="30" t="s">
        <v>52</v>
      </c>
      <c r="AM43" s="72"/>
      <c r="AN43" s="29"/>
      <c r="AO43" s="29"/>
    </row>
    <row r="44" spans="1:41">
      <c r="A44" s="66">
        <v>44769</v>
      </c>
      <c r="B44" s="84">
        <v>1600</v>
      </c>
      <c r="C44" s="84"/>
      <c r="D44" s="79">
        <f>(SUM(粮草!A44:X44)+AG44*10)*IF(AK44="是",$AX$4,$AX$3)</f>
        <v>0</v>
      </c>
      <c r="E44" s="80">
        <f>SUM($B$4:B44)+SUM($C$4:C44)-SUM($D$4:D44)</f>
        <v>64800</v>
      </c>
      <c r="F44" s="79">
        <f>SUM(经验!A44:X44)</f>
        <v>0</v>
      </c>
      <c r="G44" s="79">
        <f>SUM($F$4:F44)+SUM($H$4:H44)</f>
        <v>3500</v>
      </c>
      <c r="H44" s="84">
        <v>200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s="21" t="s">
        <v>34</v>
      </c>
      <c r="P44" s="21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s="21" t="s">
        <v>34</v>
      </c>
      <c r="X44" s="21" t="s">
        <v>34</v>
      </c>
      <c r="Y44" s="20" t="s">
        <v>34</v>
      </c>
      <c r="Z44" s="20" t="s">
        <v>34</v>
      </c>
      <c r="AA44" s="20" t="s">
        <v>34</v>
      </c>
      <c r="AB44" s="20" t="s">
        <v>34</v>
      </c>
      <c r="AC44" s="20" t="s">
        <v>34</v>
      </c>
      <c r="AD44" s="20" t="s">
        <v>34</v>
      </c>
      <c r="AE44" s="24" t="s">
        <v>34</v>
      </c>
      <c r="AF44" s="24" t="s">
        <v>34</v>
      </c>
      <c r="AG44" s="61">
        <v>0</v>
      </c>
      <c r="AH44" s="61"/>
      <c r="AI44" s="61"/>
      <c r="AJ44" s="61"/>
      <c r="AK44" s="30" t="s">
        <v>52</v>
      </c>
      <c r="AM44" s="29"/>
      <c r="AN44" s="29"/>
      <c r="AO44" s="29"/>
    </row>
    <row r="45" spans="1:41">
      <c r="A45" s="66">
        <v>44770</v>
      </c>
      <c r="B45" s="84">
        <v>1600</v>
      </c>
      <c r="C45" s="84"/>
      <c r="D45" s="79">
        <f>(SUM(粮草!A45:X45)+AG45*10)*IF(AK45="是",$AX$4,$AX$3)</f>
        <v>0</v>
      </c>
      <c r="E45" s="80">
        <f>SUM($B$4:B45)+SUM($C$4:C45)-SUM($D$4:D45)</f>
        <v>66400</v>
      </c>
      <c r="F45" s="79">
        <f>SUM(经验!A45:X45)</f>
        <v>0</v>
      </c>
      <c r="G45" s="79">
        <f>SUM($F$4:F45)+SUM($H$4:H45)</f>
        <v>3500</v>
      </c>
      <c r="H45" s="84">
        <v>0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s="21" t="s">
        <v>34</v>
      </c>
      <c r="P45" s="21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s="21" t="s">
        <v>34</v>
      </c>
      <c r="X45" s="21" t="s">
        <v>34</v>
      </c>
      <c r="Y45" s="20" t="s">
        <v>34</v>
      </c>
      <c r="Z45" s="20" t="s">
        <v>34</v>
      </c>
      <c r="AA45" s="20" t="s">
        <v>34</v>
      </c>
      <c r="AB45" s="20" t="s">
        <v>34</v>
      </c>
      <c r="AC45" s="20" t="s">
        <v>34</v>
      </c>
      <c r="AD45" s="20" t="s">
        <v>34</v>
      </c>
      <c r="AE45" s="24" t="s">
        <v>34</v>
      </c>
      <c r="AF45" s="24" t="s">
        <v>34</v>
      </c>
      <c r="AG45" s="61">
        <v>0</v>
      </c>
      <c r="AH45" s="61"/>
      <c r="AI45" s="61"/>
      <c r="AJ45" s="61"/>
      <c r="AK45" s="30" t="s">
        <v>52</v>
      </c>
    </row>
    <row r="46" spans="1:41">
      <c r="A46" s="66">
        <v>44771</v>
      </c>
      <c r="B46" s="84">
        <v>1600</v>
      </c>
      <c r="C46" s="84"/>
      <c r="D46" s="79">
        <f>(SUM(粮草!A46:X46)+AG46*10)*IF(AK46="是",$AX$4,$AX$3)</f>
        <v>0</v>
      </c>
      <c r="E46" s="80">
        <f>SUM($B$4:B46)+SUM($C$4:C46)-SUM($D$4:D46)</f>
        <v>68000</v>
      </c>
      <c r="F46" s="79">
        <f>SUM(经验!A46:X46)</f>
        <v>0</v>
      </c>
      <c r="G46" s="79">
        <f>SUM($F$4:F46)+SUM($H$4:H46)</f>
        <v>3500</v>
      </c>
      <c r="H46" s="84">
        <v>0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s="21" t="s">
        <v>34</v>
      </c>
      <c r="P46" s="21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s="21" t="s">
        <v>34</v>
      </c>
      <c r="X46" s="21" t="s">
        <v>34</v>
      </c>
      <c r="Y46" s="20" t="s">
        <v>34</v>
      </c>
      <c r="Z46" s="20" t="s">
        <v>34</v>
      </c>
      <c r="AA46" s="20" t="s">
        <v>34</v>
      </c>
      <c r="AB46" s="20" t="s">
        <v>34</v>
      </c>
      <c r="AC46" s="20" t="s">
        <v>34</v>
      </c>
      <c r="AD46" s="20" t="s">
        <v>34</v>
      </c>
      <c r="AE46" s="24" t="s">
        <v>34</v>
      </c>
      <c r="AF46" s="24" t="s">
        <v>34</v>
      </c>
      <c r="AG46" s="61">
        <v>0</v>
      </c>
      <c r="AH46" s="61"/>
      <c r="AI46" s="61"/>
      <c r="AJ46" s="61"/>
      <c r="AK46" s="30" t="s">
        <v>52</v>
      </c>
    </row>
    <row r="47" spans="1:41">
      <c r="A47" s="66">
        <v>44772</v>
      </c>
      <c r="B47" s="84">
        <v>1600</v>
      </c>
      <c r="C47" s="84"/>
      <c r="D47" s="79">
        <f>(SUM(粮草!A47:X47)+AG47*10)*IF(AK47="是",$AX$4,$AX$3)</f>
        <v>0</v>
      </c>
      <c r="E47" s="80">
        <f>SUM($B$4:B47)+SUM($C$4:C47)-SUM($D$4:D47)</f>
        <v>69600</v>
      </c>
      <c r="F47" s="79">
        <f>SUM(经验!A47:X47)</f>
        <v>0</v>
      </c>
      <c r="G47" s="79">
        <f>SUM($F$4:F47)+SUM($H$4:H47)</f>
        <v>3500</v>
      </c>
      <c r="H47" s="84">
        <v>0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s="21" t="s">
        <v>34</v>
      </c>
      <c r="P47" s="21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s="21" t="s">
        <v>34</v>
      </c>
      <c r="X47" s="21" t="s">
        <v>34</v>
      </c>
      <c r="Y47" s="20" t="s">
        <v>34</v>
      </c>
      <c r="Z47" s="20" t="s">
        <v>34</v>
      </c>
      <c r="AA47" s="20" t="s">
        <v>34</v>
      </c>
      <c r="AB47" s="20" t="s">
        <v>34</v>
      </c>
      <c r="AC47" s="20" t="s">
        <v>34</v>
      </c>
      <c r="AD47" s="20" t="s">
        <v>34</v>
      </c>
      <c r="AE47" s="24" t="s">
        <v>34</v>
      </c>
      <c r="AF47" s="24" t="s">
        <v>34</v>
      </c>
      <c r="AG47" s="61">
        <v>0</v>
      </c>
      <c r="AH47" s="61"/>
      <c r="AI47" s="61"/>
      <c r="AJ47" s="61"/>
      <c r="AK47" s="30" t="s">
        <v>52</v>
      </c>
    </row>
    <row r="48" spans="1:41">
      <c r="A48" s="66">
        <v>44773</v>
      </c>
      <c r="B48" s="84">
        <v>1600</v>
      </c>
      <c r="C48" s="84"/>
      <c r="D48" s="79">
        <f>(SUM(粮草!A48:X48)+AG48*10)*IF(AK48="是",$AX$4,$AX$3)</f>
        <v>0</v>
      </c>
      <c r="E48" s="80">
        <f>SUM($B$4:B48)+SUM($C$4:C48)-SUM($D$4:D48)</f>
        <v>71200</v>
      </c>
      <c r="F48" s="79">
        <f>SUM(经验!A48:X48)</f>
        <v>0</v>
      </c>
      <c r="G48" s="79">
        <f>SUM($F$4:F48)+SUM($H$4:H48)</f>
        <v>3500</v>
      </c>
      <c r="H48" s="84">
        <v>0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s="21" t="s">
        <v>34</v>
      </c>
      <c r="P48" s="21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s="21" t="s">
        <v>34</v>
      </c>
      <c r="X48" s="21" t="s">
        <v>34</v>
      </c>
      <c r="Y48" s="20" t="s">
        <v>34</v>
      </c>
      <c r="Z48" s="20" t="s">
        <v>34</v>
      </c>
      <c r="AA48" s="20" t="s">
        <v>34</v>
      </c>
      <c r="AB48" s="20" t="s">
        <v>34</v>
      </c>
      <c r="AC48" s="20" t="s">
        <v>34</v>
      </c>
      <c r="AD48" s="20" t="s">
        <v>34</v>
      </c>
      <c r="AE48" s="24" t="s">
        <v>34</v>
      </c>
      <c r="AF48" s="24" t="s">
        <v>34</v>
      </c>
      <c r="AG48" s="61">
        <v>0</v>
      </c>
      <c r="AH48" s="61"/>
      <c r="AI48" s="61"/>
      <c r="AJ48" s="61"/>
      <c r="AK48" s="30" t="s">
        <v>52</v>
      </c>
    </row>
    <row r="49" spans="1:37">
      <c r="A49" s="66">
        <v>44774</v>
      </c>
      <c r="B49" s="83">
        <v>1600</v>
      </c>
      <c r="C49" s="83"/>
      <c r="D49" s="79">
        <f>(SUM(粮草!A49:X49)+AG49*10)*IF(AK49="是",$AX$4,$AX$3)</f>
        <v>0</v>
      </c>
      <c r="E49" s="80">
        <f>SUM($B$4:B49)+SUM($C$4:C49)-SUM($D$4:D49)</f>
        <v>72800</v>
      </c>
      <c r="F49" s="79">
        <f>SUM(经验!A49:X49)</f>
        <v>0</v>
      </c>
      <c r="G49" s="79">
        <f>SUM($F$4:F49)+SUM($H$4:H49)</f>
        <v>3700</v>
      </c>
      <c r="H49" s="83">
        <v>200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s="21" t="s">
        <v>34</v>
      </c>
      <c r="P49" s="21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s="21" t="s">
        <v>34</v>
      </c>
      <c r="X49" s="21" t="s">
        <v>34</v>
      </c>
      <c r="Y49" s="20" t="s">
        <v>34</v>
      </c>
      <c r="Z49" s="20" t="s">
        <v>34</v>
      </c>
      <c r="AA49" s="20" t="s">
        <v>34</v>
      </c>
      <c r="AB49" s="20" t="s">
        <v>34</v>
      </c>
      <c r="AC49" s="20" t="s">
        <v>34</v>
      </c>
      <c r="AD49" s="20" t="s">
        <v>34</v>
      </c>
      <c r="AE49" s="24" t="s">
        <v>34</v>
      </c>
      <c r="AF49" s="24" t="s">
        <v>34</v>
      </c>
      <c r="AG49" s="61">
        <v>0</v>
      </c>
      <c r="AH49" s="61"/>
      <c r="AI49" s="61"/>
      <c r="AJ49" s="61"/>
      <c r="AK49" s="30" t="s">
        <v>52</v>
      </c>
    </row>
    <row r="50" spans="1:37">
      <c r="A50" s="66">
        <v>44775</v>
      </c>
      <c r="B50" s="83">
        <v>1600</v>
      </c>
      <c r="C50" s="83"/>
      <c r="D50" s="79">
        <f>(SUM(粮草!A50:X50)+AG50*10)*IF(AK50="是",$AX$4,$AX$3)</f>
        <v>0</v>
      </c>
      <c r="E50" s="80">
        <f>SUM($B$4:B50)+SUM($C$4:C50)-SUM($D$4:D50)</f>
        <v>74400</v>
      </c>
      <c r="F50" s="79">
        <f>SUM(经验!A50:X50)</f>
        <v>0</v>
      </c>
      <c r="G50" s="79">
        <f>SUM($F$4:F50)+SUM($H$4:H50)</f>
        <v>3800</v>
      </c>
      <c r="H50" s="83">
        <v>100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s="21" t="s">
        <v>34</v>
      </c>
      <c r="P50" s="21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s="21" t="s">
        <v>34</v>
      </c>
      <c r="X50" s="21" t="s">
        <v>34</v>
      </c>
      <c r="Y50" s="20" t="s">
        <v>34</v>
      </c>
      <c r="Z50" s="20" t="s">
        <v>34</v>
      </c>
      <c r="AA50" s="20" t="s">
        <v>34</v>
      </c>
      <c r="AB50" s="20" t="s">
        <v>34</v>
      </c>
      <c r="AC50" s="20" t="s">
        <v>34</v>
      </c>
      <c r="AD50" s="20" t="s">
        <v>34</v>
      </c>
      <c r="AE50" s="24" t="s">
        <v>34</v>
      </c>
      <c r="AF50" s="24" t="s">
        <v>34</v>
      </c>
      <c r="AG50" s="61">
        <v>0</v>
      </c>
      <c r="AH50" s="61"/>
      <c r="AI50" s="61"/>
      <c r="AJ50" s="61"/>
      <c r="AK50" s="30" t="s">
        <v>52</v>
      </c>
    </row>
    <row r="51" spans="1:37">
      <c r="A51" s="66">
        <v>44776</v>
      </c>
      <c r="B51" s="83">
        <v>1600</v>
      </c>
      <c r="C51" s="83"/>
      <c r="D51" s="79">
        <f>(SUM(粮草!A51:X51)+AG51*10)*IF(AK51="是",$AX$4,$AX$3)</f>
        <v>0</v>
      </c>
      <c r="E51" s="80">
        <f>SUM($B$4:B51)+SUM($C$4:C51)-SUM($D$4:D51)</f>
        <v>76000</v>
      </c>
      <c r="F51" s="79">
        <f>SUM(经验!A51:X51)</f>
        <v>0</v>
      </c>
      <c r="G51" s="79">
        <f>SUM($F$4:F51)+SUM($H$4:H51)</f>
        <v>4000</v>
      </c>
      <c r="H51" s="83">
        <v>200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s="21" t="s">
        <v>34</v>
      </c>
      <c r="P51" s="2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s="21" t="s">
        <v>34</v>
      </c>
      <c r="X51" s="21" t="s">
        <v>34</v>
      </c>
      <c r="Y51" s="20" t="s">
        <v>34</v>
      </c>
      <c r="Z51" s="20" t="s">
        <v>34</v>
      </c>
      <c r="AA51" s="20" t="s">
        <v>34</v>
      </c>
      <c r="AB51" s="20" t="s">
        <v>34</v>
      </c>
      <c r="AC51" s="20" t="s">
        <v>34</v>
      </c>
      <c r="AD51" s="20" t="s">
        <v>34</v>
      </c>
      <c r="AE51" s="24" t="s">
        <v>34</v>
      </c>
      <c r="AF51" s="24" t="s">
        <v>34</v>
      </c>
      <c r="AG51" s="61">
        <v>0</v>
      </c>
      <c r="AH51" s="61"/>
      <c r="AI51" s="61"/>
      <c r="AJ51" s="61"/>
      <c r="AK51" s="30" t="s">
        <v>52</v>
      </c>
    </row>
    <row r="52" spans="1:37">
      <c r="A52" s="66">
        <v>44777</v>
      </c>
      <c r="B52" s="83">
        <v>1600</v>
      </c>
      <c r="C52" s="83"/>
      <c r="D52" s="79">
        <f>(SUM(粮草!A52:X52)+AG52*10)*IF(AK52="是",$AX$4,$AX$3)</f>
        <v>0</v>
      </c>
      <c r="E52" s="80">
        <f>SUM($B$4:B52)+SUM($C$4:C52)-SUM($D$4:D52)</f>
        <v>77600</v>
      </c>
      <c r="F52" s="79">
        <f>SUM(经验!A52:X52)</f>
        <v>0</v>
      </c>
      <c r="G52" s="79">
        <f>SUM($F$4:F52)+SUM($H$4:H52)</f>
        <v>4000</v>
      </c>
      <c r="H52" s="83">
        <v>0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s="21" t="s">
        <v>34</v>
      </c>
      <c r="P52" s="21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s="21" t="s">
        <v>34</v>
      </c>
      <c r="X52" s="21" t="s">
        <v>34</v>
      </c>
      <c r="Y52" s="20" t="s">
        <v>34</v>
      </c>
      <c r="Z52" s="20" t="s">
        <v>34</v>
      </c>
      <c r="AA52" s="20" t="s">
        <v>34</v>
      </c>
      <c r="AB52" s="20" t="s">
        <v>34</v>
      </c>
      <c r="AC52" s="20" t="s">
        <v>34</v>
      </c>
      <c r="AD52" s="20" t="s">
        <v>34</v>
      </c>
      <c r="AE52" s="24" t="s">
        <v>34</v>
      </c>
      <c r="AF52" s="24" t="s">
        <v>34</v>
      </c>
      <c r="AG52" s="61">
        <v>0</v>
      </c>
      <c r="AH52" s="61"/>
      <c r="AI52" s="61"/>
      <c r="AJ52" s="61"/>
      <c r="AK52" s="30" t="s">
        <v>52</v>
      </c>
    </row>
    <row r="53" spans="1:37">
      <c r="A53" s="66">
        <v>44778</v>
      </c>
      <c r="B53" s="83">
        <v>1600</v>
      </c>
      <c r="C53" s="83"/>
      <c r="D53" s="79">
        <f>(SUM(粮草!A53:X53)+AG53*10)*IF(AK53="是",$AX$4,$AX$3)</f>
        <v>0</v>
      </c>
      <c r="E53" s="80">
        <f>SUM($B$4:B53)+SUM($C$4:C53)-SUM($D$4:D53)</f>
        <v>79200</v>
      </c>
      <c r="F53" s="79">
        <f>SUM(经验!A53:X53)</f>
        <v>0</v>
      </c>
      <c r="G53" s="79">
        <f>SUM($F$4:F53)+SUM($H$4:H53)</f>
        <v>4000</v>
      </c>
      <c r="H53" s="83">
        <v>0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s="21" t="s">
        <v>34</v>
      </c>
      <c r="P53" s="21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s="21" t="s">
        <v>34</v>
      </c>
      <c r="X53" s="21" t="s">
        <v>34</v>
      </c>
      <c r="Y53" s="20" t="s">
        <v>34</v>
      </c>
      <c r="Z53" s="20" t="s">
        <v>34</v>
      </c>
      <c r="AA53" s="20" t="s">
        <v>34</v>
      </c>
      <c r="AB53" s="20" t="s">
        <v>34</v>
      </c>
      <c r="AC53" s="20" t="s">
        <v>34</v>
      </c>
      <c r="AD53" s="20" t="s">
        <v>34</v>
      </c>
      <c r="AE53" s="24" t="s">
        <v>34</v>
      </c>
      <c r="AF53" s="24" t="s">
        <v>34</v>
      </c>
      <c r="AG53" s="61">
        <v>0</v>
      </c>
      <c r="AH53" s="61"/>
      <c r="AI53" s="61"/>
      <c r="AJ53" s="61"/>
      <c r="AK53" s="30" t="s">
        <v>52</v>
      </c>
    </row>
    <row r="54" spans="1:37">
      <c r="A54" s="66">
        <v>44779</v>
      </c>
      <c r="B54" s="83">
        <v>1600</v>
      </c>
      <c r="C54" s="83"/>
      <c r="D54" s="79">
        <f>(SUM(粮草!A54:X54)+AG54*10)*IF(AK54="是",$AX$4,$AX$3)</f>
        <v>0</v>
      </c>
      <c r="E54" s="80">
        <f>SUM($B$4:B54)+SUM($C$4:C54)-SUM($D$4:D54)</f>
        <v>80800</v>
      </c>
      <c r="F54" s="79">
        <f>SUM(经验!A54:X54)</f>
        <v>0</v>
      </c>
      <c r="G54" s="79">
        <f>SUM($F$4:F54)+SUM($H$4:H54)</f>
        <v>4000</v>
      </c>
      <c r="H54" s="83">
        <v>0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s="21" t="s">
        <v>34</v>
      </c>
      <c r="P54" s="21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s="21" t="s">
        <v>34</v>
      </c>
      <c r="X54" s="21" t="s">
        <v>34</v>
      </c>
      <c r="Y54" s="20" t="s">
        <v>34</v>
      </c>
      <c r="Z54" s="20" t="s">
        <v>34</v>
      </c>
      <c r="AA54" s="20" t="s">
        <v>34</v>
      </c>
      <c r="AB54" s="20" t="s">
        <v>34</v>
      </c>
      <c r="AC54" s="20" t="s">
        <v>34</v>
      </c>
      <c r="AD54" s="20" t="s">
        <v>34</v>
      </c>
      <c r="AE54" s="24" t="s">
        <v>34</v>
      </c>
      <c r="AF54" s="24" t="s">
        <v>34</v>
      </c>
      <c r="AG54" s="61">
        <v>0</v>
      </c>
      <c r="AH54" s="61"/>
      <c r="AI54" s="61"/>
      <c r="AJ54" s="61"/>
      <c r="AK54" s="30" t="s">
        <v>52</v>
      </c>
    </row>
    <row r="55" spans="1:37">
      <c r="A55" s="66">
        <v>44780</v>
      </c>
      <c r="B55" s="83">
        <v>1600</v>
      </c>
      <c r="C55" s="83"/>
      <c r="D55" s="79">
        <f>(SUM(粮草!A55:X55)+AG55*10)*IF(AK55="是",$AX$4,$AX$3)</f>
        <v>0</v>
      </c>
      <c r="E55" s="80">
        <f>SUM($B$4:B55)+SUM($C$4:C55)-SUM($D$4:D55)</f>
        <v>82400</v>
      </c>
      <c r="F55" s="79">
        <f>SUM(经验!A55:X55)</f>
        <v>0</v>
      </c>
      <c r="G55" s="79">
        <f>SUM($F$4:F55)+SUM($H$4:H55)</f>
        <v>4000</v>
      </c>
      <c r="H55" s="83">
        <v>0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s="21" t="s">
        <v>34</v>
      </c>
      <c r="P55" s="21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s="21" t="s">
        <v>34</v>
      </c>
      <c r="X55" s="21" t="s">
        <v>34</v>
      </c>
      <c r="Y55" s="20" t="s">
        <v>34</v>
      </c>
      <c r="Z55" s="20" t="s">
        <v>34</v>
      </c>
      <c r="AA55" s="20" t="s">
        <v>34</v>
      </c>
      <c r="AB55" s="20" t="s">
        <v>34</v>
      </c>
      <c r="AC55" s="20" t="s">
        <v>34</v>
      </c>
      <c r="AD55" s="20" t="s">
        <v>34</v>
      </c>
      <c r="AE55" s="24" t="s">
        <v>34</v>
      </c>
      <c r="AF55" s="24" t="s">
        <v>34</v>
      </c>
      <c r="AG55" s="61">
        <v>0</v>
      </c>
      <c r="AH55" s="61"/>
      <c r="AI55" s="61"/>
      <c r="AJ55" s="61"/>
      <c r="AK55" s="30" t="s">
        <v>52</v>
      </c>
    </row>
    <row r="56" spans="1:37">
      <c r="A56" s="66">
        <v>44781</v>
      </c>
      <c r="B56" s="84">
        <v>1600</v>
      </c>
      <c r="C56" s="84"/>
      <c r="D56" s="79">
        <f>(SUM(粮草!A56:X56)+AG56*10)*IF(AK56="是",$AX$4,$AX$3)</f>
        <v>0</v>
      </c>
      <c r="E56" s="80">
        <f>SUM($B$4:B56)+SUM($C$4:C56)-SUM($D$4:D56)</f>
        <v>84000</v>
      </c>
      <c r="F56" s="79">
        <f>SUM(经验!A56:X56)</f>
        <v>0</v>
      </c>
      <c r="G56" s="79">
        <f>SUM($F$4:F56)+SUM($H$4:H56)</f>
        <v>4300</v>
      </c>
      <c r="H56" s="84">
        <v>300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s="21" t="s">
        <v>34</v>
      </c>
      <c r="P56" s="21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s="21" t="s">
        <v>34</v>
      </c>
      <c r="X56" s="21" t="s">
        <v>34</v>
      </c>
      <c r="Y56" s="20" t="s">
        <v>34</v>
      </c>
      <c r="Z56" s="20" t="s">
        <v>34</v>
      </c>
      <c r="AA56" s="20" t="s">
        <v>34</v>
      </c>
      <c r="AB56" s="20" t="s">
        <v>34</v>
      </c>
      <c r="AC56" s="20" t="s">
        <v>34</v>
      </c>
      <c r="AD56" s="20" t="s">
        <v>34</v>
      </c>
      <c r="AE56" s="24" t="s">
        <v>34</v>
      </c>
      <c r="AF56" s="24" t="s">
        <v>34</v>
      </c>
      <c r="AG56" s="61">
        <v>0</v>
      </c>
      <c r="AH56" s="61"/>
      <c r="AI56" s="61"/>
      <c r="AJ56" s="61"/>
      <c r="AK56" s="30" t="s">
        <v>52</v>
      </c>
    </row>
    <row r="57" spans="1:37">
      <c r="A57" s="66">
        <v>44782</v>
      </c>
      <c r="B57" s="84">
        <v>1600</v>
      </c>
      <c r="C57" s="84"/>
      <c r="D57" s="79">
        <f>(SUM(粮草!A57:X57)+AG57*10)*IF(AK57="是",$AX$4,$AX$3)</f>
        <v>0</v>
      </c>
      <c r="E57" s="80">
        <f>SUM($B$4:B57)+SUM($C$4:C57)-SUM($D$4:D57)</f>
        <v>85600</v>
      </c>
      <c r="F57" s="79">
        <f>SUM(经验!A57:X57)</f>
        <v>0</v>
      </c>
      <c r="G57" s="79">
        <f>SUM($F$4:F57)+SUM($H$4:H57)</f>
        <v>4300</v>
      </c>
      <c r="H57" s="84">
        <v>0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s="21" t="s">
        <v>34</v>
      </c>
      <c r="P57" s="21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s="21" t="s">
        <v>34</v>
      </c>
      <c r="X57" s="21" t="s">
        <v>34</v>
      </c>
      <c r="Y57" s="20" t="s">
        <v>34</v>
      </c>
      <c r="Z57" s="20" t="s">
        <v>34</v>
      </c>
      <c r="AA57" s="20" t="s">
        <v>34</v>
      </c>
      <c r="AB57" s="20" t="s">
        <v>34</v>
      </c>
      <c r="AC57" s="20" t="s">
        <v>34</v>
      </c>
      <c r="AD57" s="20" t="s">
        <v>34</v>
      </c>
      <c r="AE57" s="24" t="s">
        <v>34</v>
      </c>
      <c r="AF57" s="24" t="s">
        <v>34</v>
      </c>
      <c r="AG57" s="61">
        <v>0</v>
      </c>
      <c r="AH57" s="61"/>
      <c r="AI57" s="61"/>
      <c r="AJ57" s="61"/>
      <c r="AK57" s="30" t="s">
        <v>52</v>
      </c>
    </row>
    <row r="58" spans="1:37">
      <c r="A58" s="66">
        <v>44783</v>
      </c>
      <c r="B58" s="84">
        <v>1600</v>
      </c>
      <c r="C58" s="84"/>
      <c r="D58" s="79">
        <f>(SUM(粮草!A58:X58)+AG58*10)*IF(AK58="是",$AX$4,$AX$3)</f>
        <v>0</v>
      </c>
      <c r="E58" s="80">
        <f>SUM($B$4:B58)+SUM($C$4:C58)-SUM($D$4:D58)</f>
        <v>87200</v>
      </c>
      <c r="F58" s="79">
        <f>SUM(经验!A58:X58)</f>
        <v>0</v>
      </c>
      <c r="G58" s="79">
        <f>SUM($F$4:F58)+SUM($H$4:H58)</f>
        <v>4500</v>
      </c>
      <c r="H58" s="84">
        <v>200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s="21" t="s">
        <v>34</v>
      </c>
      <c r="P58" s="21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s="21" t="s">
        <v>34</v>
      </c>
      <c r="X58" s="21" t="s">
        <v>34</v>
      </c>
      <c r="Y58" s="20" t="s">
        <v>34</v>
      </c>
      <c r="Z58" s="20" t="s">
        <v>34</v>
      </c>
      <c r="AA58" s="20" t="s">
        <v>34</v>
      </c>
      <c r="AB58" s="20" t="s">
        <v>34</v>
      </c>
      <c r="AC58" s="20" t="s">
        <v>34</v>
      </c>
      <c r="AD58" s="20" t="s">
        <v>34</v>
      </c>
      <c r="AE58" s="24" t="s">
        <v>34</v>
      </c>
      <c r="AF58" s="24" t="s">
        <v>34</v>
      </c>
      <c r="AG58" s="61">
        <v>0</v>
      </c>
      <c r="AH58" s="61"/>
      <c r="AI58" s="61"/>
      <c r="AJ58" s="61"/>
      <c r="AK58" s="30" t="s">
        <v>52</v>
      </c>
    </row>
    <row r="59" spans="1:37">
      <c r="A59" s="66">
        <v>44784</v>
      </c>
      <c r="B59" s="84">
        <v>1600</v>
      </c>
      <c r="C59" s="84"/>
      <c r="D59" s="79">
        <f>(SUM(粮草!A59:X59)+AG59*10)*IF(AK59="是",$AX$4,$AX$3)</f>
        <v>0</v>
      </c>
      <c r="E59" s="80">
        <f>SUM($B$4:B59)+SUM($C$4:C59)-SUM($D$4:D59)</f>
        <v>88800</v>
      </c>
      <c r="F59" s="79">
        <f>SUM(经验!A59:X59)</f>
        <v>0</v>
      </c>
      <c r="G59" s="79">
        <f>SUM($F$4:F59)+SUM($H$4:H59)</f>
        <v>4500</v>
      </c>
      <c r="H59" s="84">
        <v>0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s="21" t="s">
        <v>34</v>
      </c>
      <c r="P59" s="21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s="21" t="s">
        <v>34</v>
      </c>
      <c r="X59" s="21" t="s">
        <v>34</v>
      </c>
      <c r="Y59" s="20" t="s">
        <v>34</v>
      </c>
      <c r="Z59" s="20" t="s">
        <v>34</v>
      </c>
      <c r="AA59" s="20" t="s">
        <v>34</v>
      </c>
      <c r="AB59" s="20" t="s">
        <v>34</v>
      </c>
      <c r="AC59" s="20" t="s">
        <v>34</v>
      </c>
      <c r="AD59" s="20" t="s">
        <v>34</v>
      </c>
      <c r="AE59" s="24" t="s">
        <v>34</v>
      </c>
      <c r="AF59" s="24" t="s">
        <v>34</v>
      </c>
      <c r="AG59" s="61">
        <v>0</v>
      </c>
      <c r="AH59" s="61"/>
      <c r="AI59" s="61"/>
      <c r="AJ59" s="61"/>
      <c r="AK59" s="30" t="s">
        <v>52</v>
      </c>
    </row>
    <row r="60" spans="1:37">
      <c r="A60" s="66">
        <v>44785</v>
      </c>
      <c r="B60" s="84">
        <v>1600</v>
      </c>
      <c r="C60" s="84"/>
      <c r="D60" s="79">
        <f>(SUM(粮草!A60:X60)+AG60*10)*IF(AK60="是",$AX$4,$AX$3)</f>
        <v>0</v>
      </c>
      <c r="E60" s="80">
        <f>SUM($B$4:B60)+SUM($C$4:C60)-SUM($D$4:D60)</f>
        <v>90400</v>
      </c>
      <c r="F60" s="79">
        <f>SUM(经验!A60:X60)</f>
        <v>0</v>
      </c>
      <c r="G60" s="79">
        <f>SUM($F$4:F60)+SUM($H$4:H60)</f>
        <v>4500</v>
      </c>
      <c r="H60" s="84">
        <v>0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s="21" t="s">
        <v>34</v>
      </c>
      <c r="P60" s="21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s="21" t="s">
        <v>34</v>
      </c>
      <c r="X60" s="21" t="s">
        <v>34</v>
      </c>
      <c r="Y60" s="20" t="s">
        <v>34</v>
      </c>
      <c r="Z60" s="20" t="s">
        <v>34</v>
      </c>
      <c r="AA60" s="20" t="s">
        <v>34</v>
      </c>
      <c r="AB60" s="20" t="s">
        <v>34</v>
      </c>
      <c r="AC60" s="20" t="s">
        <v>34</v>
      </c>
      <c r="AD60" s="20" t="s">
        <v>34</v>
      </c>
      <c r="AE60" s="24" t="s">
        <v>34</v>
      </c>
      <c r="AF60" s="24" t="s">
        <v>34</v>
      </c>
      <c r="AG60" s="61">
        <v>0</v>
      </c>
      <c r="AH60" s="61"/>
      <c r="AI60" s="61"/>
      <c r="AJ60" s="61"/>
      <c r="AK60" s="30" t="s">
        <v>52</v>
      </c>
    </row>
    <row r="61" spans="1:37">
      <c r="A61" s="66">
        <v>44786</v>
      </c>
      <c r="B61" s="84">
        <v>1600</v>
      </c>
      <c r="C61" s="84"/>
      <c r="D61" s="79">
        <f>(SUM(粮草!A61:X61)+AG61*10)*IF(AK61="是",$AX$4,$AX$3)</f>
        <v>0</v>
      </c>
      <c r="E61" s="80">
        <f>SUM($B$4:B61)+SUM($C$4:C61)-SUM($D$4:D61)</f>
        <v>92000</v>
      </c>
      <c r="F61" s="79">
        <f>SUM(经验!A61:X61)</f>
        <v>0</v>
      </c>
      <c r="G61" s="79">
        <f>SUM($F$4:F61)+SUM($H$4:H61)</f>
        <v>4500</v>
      </c>
      <c r="H61" s="84">
        <v>0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s="21" t="s">
        <v>34</v>
      </c>
      <c r="P61" s="2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s="21" t="s">
        <v>34</v>
      </c>
      <c r="X61" s="21" t="s">
        <v>34</v>
      </c>
      <c r="Y61" s="20" t="s">
        <v>34</v>
      </c>
      <c r="Z61" s="20" t="s">
        <v>34</v>
      </c>
      <c r="AA61" s="20" t="s">
        <v>34</v>
      </c>
      <c r="AB61" s="20" t="s">
        <v>34</v>
      </c>
      <c r="AC61" s="20" t="s">
        <v>34</v>
      </c>
      <c r="AD61" s="20" t="s">
        <v>34</v>
      </c>
      <c r="AE61" s="24" t="s">
        <v>34</v>
      </c>
      <c r="AF61" s="24" t="s">
        <v>34</v>
      </c>
      <c r="AG61" s="61">
        <v>0</v>
      </c>
      <c r="AH61" s="61"/>
      <c r="AI61" s="61"/>
      <c r="AJ61" s="61"/>
      <c r="AK61" s="30" t="s">
        <v>52</v>
      </c>
    </row>
    <row r="62" spans="1:37">
      <c r="A62" s="66">
        <v>44787</v>
      </c>
      <c r="B62" s="84">
        <v>1600</v>
      </c>
      <c r="C62" s="84"/>
      <c r="D62" s="79">
        <f>(SUM(粮草!A62:X62)+AG62*10)*IF(AK62="是",$AX$4,$AX$3)</f>
        <v>0</v>
      </c>
      <c r="E62" s="80">
        <f>SUM($B$4:B62)+SUM($C$4:C62)-SUM($D$4:D62)</f>
        <v>93600</v>
      </c>
      <c r="F62" s="79">
        <f>SUM(经验!A62:X62)</f>
        <v>0</v>
      </c>
      <c r="G62" s="79">
        <f>SUM($F$4:F62)+SUM($H$4:H62)</f>
        <v>4500</v>
      </c>
      <c r="H62" s="84">
        <v>0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s="21" t="s">
        <v>34</v>
      </c>
      <c r="P62" s="21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s="21" t="s">
        <v>34</v>
      </c>
      <c r="X62" s="21" t="s">
        <v>34</v>
      </c>
      <c r="Y62" s="20" t="s">
        <v>34</v>
      </c>
      <c r="Z62" s="20" t="s">
        <v>34</v>
      </c>
      <c r="AA62" s="20" t="s">
        <v>34</v>
      </c>
      <c r="AB62" s="20" t="s">
        <v>34</v>
      </c>
      <c r="AC62" s="20" t="s">
        <v>34</v>
      </c>
      <c r="AD62" s="20" t="s">
        <v>34</v>
      </c>
      <c r="AE62" s="24" t="s">
        <v>34</v>
      </c>
      <c r="AF62" s="24" t="s">
        <v>34</v>
      </c>
      <c r="AG62" s="61">
        <v>0</v>
      </c>
      <c r="AH62" s="61"/>
      <c r="AI62" s="61"/>
      <c r="AJ62" s="61"/>
      <c r="AK62" s="30" t="s">
        <v>52</v>
      </c>
    </row>
    <row r="63" spans="1:37">
      <c r="A63" s="66">
        <v>44788</v>
      </c>
      <c r="B63" s="83">
        <v>1600</v>
      </c>
      <c r="C63" s="83"/>
      <c r="D63" s="79">
        <f>(SUM(粮草!A63:X63)+AG63*10)*IF(AK63="是",$AX$4,$AX$3)</f>
        <v>0</v>
      </c>
      <c r="E63" s="80">
        <f>SUM($B$4:B63)+SUM($C$4:C63)-SUM($D$4:D63)</f>
        <v>95200</v>
      </c>
      <c r="F63" s="79">
        <f>SUM(经验!A63:X63)</f>
        <v>0</v>
      </c>
      <c r="G63" s="79">
        <f>SUM($F$4:F63)+SUM($H$4:H63)</f>
        <v>4800</v>
      </c>
      <c r="H63" s="83">
        <v>300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s="21" t="s">
        <v>34</v>
      </c>
      <c r="P63" s="21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s="21" t="s">
        <v>34</v>
      </c>
      <c r="X63" s="21" t="s">
        <v>34</v>
      </c>
      <c r="Y63" s="20" t="s">
        <v>34</v>
      </c>
      <c r="Z63" s="20" t="s">
        <v>34</v>
      </c>
      <c r="AA63" s="20" t="s">
        <v>34</v>
      </c>
      <c r="AB63" s="20" t="s">
        <v>34</v>
      </c>
      <c r="AC63" s="20" t="s">
        <v>34</v>
      </c>
      <c r="AD63" s="20" t="s">
        <v>34</v>
      </c>
      <c r="AE63" s="24" t="s">
        <v>34</v>
      </c>
      <c r="AF63" s="24" t="s">
        <v>34</v>
      </c>
      <c r="AG63" s="61">
        <v>0</v>
      </c>
      <c r="AH63" s="61"/>
      <c r="AI63" s="61"/>
      <c r="AJ63" s="61"/>
      <c r="AK63" s="30" t="s">
        <v>52</v>
      </c>
    </row>
    <row r="64" spans="1:37">
      <c r="A64" s="66">
        <v>44789</v>
      </c>
      <c r="B64" s="83">
        <v>1600</v>
      </c>
      <c r="C64" s="83"/>
      <c r="D64" s="79">
        <f>(SUM(粮草!A64:X64)+AG64*10)*IF(AK64="是",$AX$4,$AX$3)</f>
        <v>0</v>
      </c>
      <c r="E64" s="80">
        <f>SUM($B$4:B64)+SUM($C$4:C64)-SUM($D$4:D64)</f>
        <v>96800</v>
      </c>
      <c r="F64" s="79">
        <f>SUM(经验!A64:X64)</f>
        <v>0</v>
      </c>
      <c r="G64" s="79">
        <f>SUM($F$4:F64)+SUM($H$4:H64)</f>
        <v>4800</v>
      </c>
      <c r="H64" s="83">
        <v>0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s="21" t="s">
        <v>34</v>
      </c>
      <c r="P64" s="21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s="21" t="s">
        <v>34</v>
      </c>
      <c r="X64" s="21" t="s">
        <v>34</v>
      </c>
      <c r="Y64" s="20" t="s">
        <v>34</v>
      </c>
      <c r="Z64" s="20" t="s">
        <v>34</v>
      </c>
      <c r="AA64" s="20" t="s">
        <v>34</v>
      </c>
      <c r="AB64" s="20" t="s">
        <v>34</v>
      </c>
      <c r="AC64" s="20" t="s">
        <v>34</v>
      </c>
      <c r="AD64" s="20" t="s">
        <v>34</v>
      </c>
      <c r="AE64" s="24" t="s">
        <v>34</v>
      </c>
      <c r="AF64" s="24" t="s">
        <v>34</v>
      </c>
      <c r="AG64" s="61">
        <v>0</v>
      </c>
      <c r="AH64" s="61"/>
      <c r="AI64" s="61"/>
      <c r="AJ64" s="61"/>
      <c r="AK64" s="30" t="s">
        <v>52</v>
      </c>
    </row>
    <row r="65" spans="1:37">
      <c r="A65" s="66">
        <v>44790</v>
      </c>
      <c r="B65" s="83">
        <v>1600</v>
      </c>
      <c r="C65" s="83"/>
      <c r="D65" s="79">
        <f>(SUM(粮草!A65:X65)+AG65*10)*IF(AK65="是",$AX$4,$AX$3)</f>
        <v>0</v>
      </c>
      <c r="E65" s="80">
        <f>SUM($B$4:B65)+SUM($C$4:C65)-SUM($D$4:D65)</f>
        <v>98400</v>
      </c>
      <c r="F65" s="79">
        <f>SUM(经验!A65:X65)</f>
        <v>0</v>
      </c>
      <c r="G65" s="79">
        <f>SUM($F$4:F65)+SUM($H$4:H65)</f>
        <v>5000</v>
      </c>
      <c r="H65" s="83">
        <v>200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s="21" t="s">
        <v>34</v>
      </c>
      <c r="P65" s="21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s="21" t="s">
        <v>34</v>
      </c>
      <c r="X65" s="21" t="s">
        <v>34</v>
      </c>
      <c r="Y65" s="20" t="s">
        <v>34</v>
      </c>
      <c r="Z65" s="20" t="s">
        <v>34</v>
      </c>
      <c r="AA65" s="20" t="s">
        <v>34</v>
      </c>
      <c r="AB65" s="20" t="s">
        <v>34</v>
      </c>
      <c r="AC65" s="20" t="s">
        <v>34</v>
      </c>
      <c r="AD65" s="20" t="s">
        <v>34</v>
      </c>
      <c r="AE65" s="24" t="s">
        <v>34</v>
      </c>
      <c r="AF65" s="24" t="s">
        <v>34</v>
      </c>
      <c r="AG65" s="61">
        <v>0</v>
      </c>
      <c r="AH65" s="61"/>
      <c r="AI65" s="61"/>
      <c r="AJ65" s="61"/>
      <c r="AK65" s="30" t="s">
        <v>52</v>
      </c>
    </row>
    <row r="66" spans="1:37">
      <c r="A66" s="66">
        <v>44791</v>
      </c>
      <c r="B66" s="83">
        <v>1600</v>
      </c>
      <c r="C66" s="83"/>
      <c r="D66" s="79">
        <f>(SUM(粮草!A66:X66)+AG66*10)*IF(AK66="是",$AX$4,$AX$3)</f>
        <v>0</v>
      </c>
      <c r="E66" s="80">
        <f>SUM($B$4:B66)+SUM($C$4:C66)-SUM($D$4:D66)</f>
        <v>100000</v>
      </c>
      <c r="F66" s="79">
        <f>SUM(经验!A66:X66)</f>
        <v>0</v>
      </c>
      <c r="G66" s="79">
        <f>SUM($F$4:F66)+SUM($H$4:H66)</f>
        <v>5000</v>
      </c>
      <c r="H66" s="83">
        <v>0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s="21" t="s">
        <v>34</v>
      </c>
      <c r="P66" s="21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s="21" t="s">
        <v>34</v>
      </c>
      <c r="X66" s="21" t="s">
        <v>34</v>
      </c>
      <c r="Y66" s="20" t="s">
        <v>34</v>
      </c>
      <c r="Z66" s="20" t="s">
        <v>34</v>
      </c>
      <c r="AA66" s="20" t="s">
        <v>34</v>
      </c>
      <c r="AB66" s="20" t="s">
        <v>34</v>
      </c>
      <c r="AC66" s="20" t="s">
        <v>34</v>
      </c>
      <c r="AD66" s="20" t="s">
        <v>34</v>
      </c>
      <c r="AE66" s="24" t="s">
        <v>34</v>
      </c>
      <c r="AF66" s="24" t="s">
        <v>34</v>
      </c>
      <c r="AG66" s="61">
        <v>0</v>
      </c>
      <c r="AH66" s="61"/>
      <c r="AI66" s="61"/>
      <c r="AJ66" s="61"/>
      <c r="AK66" s="30" t="s">
        <v>52</v>
      </c>
    </row>
    <row r="67" spans="1:37">
      <c r="A67" s="66">
        <v>44792</v>
      </c>
      <c r="B67" s="83">
        <v>1600</v>
      </c>
      <c r="C67" s="83"/>
      <c r="D67" s="79">
        <f>(SUM(粮草!A67:X67)+AG67*10)*IF(AK67="是",$AX$4,$AX$3)</f>
        <v>0</v>
      </c>
      <c r="E67" s="80">
        <f>SUM($B$4:B67)+SUM($C$4:C67)-SUM($D$4:D67)</f>
        <v>101600</v>
      </c>
      <c r="F67" s="79">
        <f>SUM(经验!A67:X67)</f>
        <v>0</v>
      </c>
      <c r="G67" s="79">
        <f>SUM($F$4:F67)+SUM($H$4:H67)</f>
        <v>5000</v>
      </c>
      <c r="H67" s="83">
        <v>0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s="21" t="s">
        <v>34</v>
      </c>
      <c r="P67" s="21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s="21" t="s">
        <v>34</v>
      </c>
      <c r="X67" s="21" t="s">
        <v>34</v>
      </c>
      <c r="Y67" s="20" t="s">
        <v>34</v>
      </c>
      <c r="Z67" s="20" t="s">
        <v>34</v>
      </c>
      <c r="AA67" s="20" t="s">
        <v>34</v>
      </c>
      <c r="AB67" s="20" t="s">
        <v>34</v>
      </c>
      <c r="AC67" s="20" t="s">
        <v>34</v>
      </c>
      <c r="AD67" s="20" t="s">
        <v>34</v>
      </c>
      <c r="AE67" s="24" t="s">
        <v>34</v>
      </c>
      <c r="AF67" s="24" t="s">
        <v>34</v>
      </c>
      <c r="AG67" s="61">
        <v>0</v>
      </c>
      <c r="AH67" s="61"/>
      <c r="AI67" s="61"/>
      <c r="AJ67" s="61"/>
      <c r="AK67" s="30" t="s">
        <v>52</v>
      </c>
    </row>
    <row r="68" spans="1:37">
      <c r="A68" s="66">
        <v>44793</v>
      </c>
      <c r="B68" s="83">
        <v>1600</v>
      </c>
      <c r="C68" s="83"/>
      <c r="D68" s="79">
        <f>(SUM(粮草!A68:X68)+AG68*10)*IF(AK68="是",$AX$4,$AX$3)</f>
        <v>0</v>
      </c>
      <c r="E68" s="80">
        <f>SUM($B$4:B68)+SUM($C$4:C68)-SUM($D$4:D68)</f>
        <v>103200</v>
      </c>
      <c r="F68" s="79">
        <f>SUM(经验!A68:X68)</f>
        <v>0</v>
      </c>
      <c r="G68" s="79">
        <f>SUM($F$4:F68)+SUM($H$4:H68)</f>
        <v>5000</v>
      </c>
      <c r="H68" s="83">
        <v>0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s="21" t="s">
        <v>34</v>
      </c>
      <c r="P68" s="21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s="21" t="s">
        <v>34</v>
      </c>
      <c r="X68" s="21" t="s">
        <v>34</v>
      </c>
      <c r="Y68" s="20" t="s">
        <v>34</v>
      </c>
      <c r="Z68" s="20" t="s">
        <v>34</v>
      </c>
      <c r="AA68" s="20" t="s">
        <v>34</v>
      </c>
      <c r="AB68" s="20" t="s">
        <v>34</v>
      </c>
      <c r="AC68" s="20" t="s">
        <v>34</v>
      </c>
      <c r="AD68" s="20" t="s">
        <v>34</v>
      </c>
      <c r="AE68" s="24" t="s">
        <v>34</v>
      </c>
      <c r="AF68" s="24" t="s">
        <v>34</v>
      </c>
      <c r="AG68" s="61">
        <v>0</v>
      </c>
      <c r="AH68" s="61"/>
      <c r="AI68" s="61"/>
      <c r="AJ68" s="61"/>
      <c r="AK68" s="30" t="s">
        <v>52</v>
      </c>
    </row>
    <row r="69" spans="1:37">
      <c r="A69" s="66">
        <v>44794</v>
      </c>
      <c r="B69" s="83">
        <v>1600</v>
      </c>
      <c r="C69" s="83"/>
      <c r="D69" s="79">
        <f>(SUM(粮草!A69:X69)+AG69*10)*IF(AK69="是",$AX$4,$AX$3)</f>
        <v>0</v>
      </c>
      <c r="E69" s="80">
        <f>SUM($B$4:B69)+SUM($C$4:C69)-SUM($D$4:D69)</f>
        <v>104800</v>
      </c>
      <c r="F69" s="79">
        <f>SUM(经验!A69:X69)</f>
        <v>0</v>
      </c>
      <c r="G69" s="79">
        <f>SUM($F$4:F69)+SUM($H$4:H69)</f>
        <v>5000</v>
      </c>
      <c r="H69" s="83">
        <v>0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s="21" t="s">
        <v>34</v>
      </c>
      <c r="P69" s="21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s="21" t="s">
        <v>34</v>
      </c>
      <c r="X69" s="21" t="s">
        <v>34</v>
      </c>
      <c r="Y69" s="20" t="s">
        <v>34</v>
      </c>
      <c r="Z69" s="20" t="s">
        <v>34</v>
      </c>
      <c r="AA69" s="20" t="s">
        <v>34</v>
      </c>
      <c r="AB69" s="20" t="s">
        <v>34</v>
      </c>
      <c r="AC69" s="20" t="s">
        <v>34</v>
      </c>
      <c r="AD69" s="20" t="s">
        <v>34</v>
      </c>
      <c r="AE69" s="24" t="s">
        <v>34</v>
      </c>
      <c r="AF69" s="24" t="s">
        <v>34</v>
      </c>
      <c r="AG69" s="61">
        <v>0</v>
      </c>
      <c r="AH69" s="61"/>
      <c r="AI69" s="61"/>
      <c r="AJ69" s="61"/>
      <c r="AK69" s="30" t="s">
        <v>52</v>
      </c>
    </row>
    <row r="70" spans="1:37">
      <c r="A70" s="66">
        <v>44795</v>
      </c>
      <c r="B70" s="84">
        <v>1600</v>
      </c>
      <c r="C70" s="84"/>
      <c r="D70" s="79">
        <f>(SUM(粮草!A70:X70)+AG70*10)*IF(AK70="是",$AX$4,$AX$3)</f>
        <v>0</v>
      </c>
      <c r="E70" s="80">
        <f>SUM($B$4:B70)+SUM($C$4:C70)-SUM($D$4:D70)</f>
        <v>106400</v>
      </c>
      <c r="F70" s="79">
        <f>SUM(经验!A70:X70)</f>
        <v>0</v>
      </c>
      <c r="G70" s="79">
        <f>SUM($F$4:F70)+SUM($H$4:H70)</f>
        <v>5300</v>
      </c>
      <c r="H70" s="84">
        <v>300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s="21" t="s">
        <v>34</v>
      </c>
      <c r="P70" s="21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s="21" t="s">
        <v>34</v>
      </c>
      <c r="X70" s="21" t="s">
        <v>34</v>
      </c>
      <c r="Y70" s="20" t="s">
        <v>34</v>
      </c>
      <c r="Z70" s="20" t="s">
        <v>34</v>
      </c>
      <c r="AA70" s="20" t="s">
        <v>34</v>
      </c>
      <c r="AB70" s="20" t="s">
        <v>34</v>
      </c>
      <c r="AC70" s="20" t="s">
        <v>34</v>
      </c>
      <c r="AD70" s="20" t="s">
        <v>34</v>
      </c>
      <c r="AE70" s="24" t="s">
        <v>34</v>
      </c>
      <c r="AF70" s="24" t="s">
        <v>34</v>
      </c>
      <c r="AG70" s="61">
        <v>0</v>
      </c>
      <c r="AH70" s="61"/>
      <c r="AI70" s="61"/>
      <c r="AJ70" s="61"/>
      <c r="AK70" s="30" t="s">
        <v>52</v>
      </c>
    </row>
    <row r="71" spans="1:37">
      <c r="A71" s="66">
        <v>44796</v>
      </c>
      <c r="B71" s="84">
        <v>1600</v>
      </c>
      <c r="C71" s="84"/>
      <c r="D71" s="79">
        <f>(SUM(粮草!A71:X71)+AG71*10)*IF(AK71="是",$AX$4,$AX$3)</f>
        <v>0</v>
      </c>
      <c r="E71" s="80">
        <f>SUM($B$4:B71)+SUM($C$4:C71)-SUM($D$4:D71)</f>
        <v>108000</v>
      </c>
      <c r="F71" s="79">
        <f>SUM(经验!A71:X71)</f>
        <v>0</v>
      </c>
      <c r="G71" s="79">
        <f>SUM($F$4:F71)+SUM($H$4:H71)</f>
        <v>5300</v>
      </c>
      <c r="H71" s="84">
        <v>0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s="21" t="s">
        <v>34</v>
      </c>
      <c r="P71" s="2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s="21" t="s">
        <v>34</v>
      </c>
      <c r="X71" s="21" t="s">
        <v>34</v>
      </c>
      <c r="Y71" s="20" t="s">
        <v>34</v>
      </c>
      <c r="Z71" s="20" t="s">
        <v>34</v>
      </c>
      <c r="AA71" s="20" t="s">
        <v>34</v>
      </c>
      <c r="AB71" s="20" t="s">
        <v>34</v>
      </c>
      <c r="AC71" s="20" t="s">
        <v>34</v>
      </c>
      <c r="AD71" s="20" t="s">
        <v>34</v>
      </c>
      <c r="AE71" s="24" t="s">
        <v>34</v>
      </c>
      <c r="AF71" s="24" t="s">
        <v>34</v>
      </c>
      <c r="AG71" s="61">
        <v>0</v>
      </c>
      <c r="AH71" s="61"/>
      <c r="AI71" s="61"/>
      <c r="AJ71" s="61"/>
      <c r="AK71" s="30" t="s">
        <v>52</v>
      </c>
    </row>
    <row r="72" spans="1:37">
      <c r="A72" s="66">
        <v>44797</v>
      </c>
      <c r="B72" s="84">
        <v>1600</v>
      </c>
      <c r="C72" s="84"/>
      <c r="D72" s="79">
        <f>(SUM(粮草!A72:X72)+AG72*10)*IF(AK72="是",$AX$4,$AX$3)</f>
        <v>0</v>
      </c>
      <c r="E72" s="80">
        <f>SUM($B$4:B72)+SUM($C$4:C72)-SUM($D$4:D72)</f>
        <v>109600</v>
      </c>
      <c r="F72" s="79">
        <f>SUM(经验!A72:X72)</f>
        <v>0</v>
      </c>
      <c r="G72" s="79">
        <f>SUM($F$4:F72)+SUM($H$4:H72)</f>
        <v>5500</v>
      </c>
      <c r="H72" s="84">
        <v>200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s="21" t="s">
        <v>34</v>
      </c>
      <c r="P72" s="21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s="21" t="s">
        <v>34</v>
      </c>
      <c r="X72" s="21" t="s">
        <v>34</v>
      </c>
      <c r="Y72" s="20" t="s">
        <v>34</v>
      </c>
      <c r="Z72" s="20" t="s">
        <v>34</v>
      </c>
      <c r="AA72" s="20" t="s">
        <v>34</v>
      </c>
      <c r="AB72" s="20" t="s">
        <v>34</v>
      </c>
      <c r="AC72" s="20" t="s">
        <v>34</v>
      </c>
      <c r="AD72" s="20" t="s">
        <v>34</v>
      </c>
      <c r="AE72" s="24" t="s">
        <v>34</v>
      </c>
      <c r="AF72" s="24" t="s">
        <v>34</v>
      </c>
      <c r="AG72" s="61">
        <v>0</v>
      </c>
      <c r="AH72" s="61"/>
      <c r="AI72" s="61"/>
      <c r="AJ72" s="61"/>
      <c r="AK72" s="30" t="s">
        <v>52</v>
      </c>
    </row>
    <row r="73" spans="1:37">
      <c r="A73" s="66">
        <v>44798</v>
      </c>
      <c r="B73" s="84">
        <v>1600</v>
      </c>
      <c r="C73" s="84"/>
      <c r="D73" s="79">
        <f>(SUM(粮草!A73:X73)+AG73*10)*IF(AK73="是",$AX$4,$AX$3)</f>
        <v>0</v>
      </c>
      <c r="E73" s="80">
        <f>SUM($B$4:B73)+SUM($C$4:C73)-SUM($D$4:D73)</f>
        <v>111200</v>
      </c>
      <c r="F73" s="79">
        <f>SUM(经验!A73:X73)</f>
        <v>0</v>
      </c>
      <c r="G73" s="79">
        <f>SUM($F$4:F73)+SUM($H$4:H73)</f>
        <v>5500</v>
      </c>
      <c r="H73" s="84">
        <v>0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s="21" t="s">
        <v>34</v>
      </c>
      <c r="P73" s="21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s="21" t="s">
        <v>34</v>
      </c>
      <c r="X73" s="21" t="s">
        <v>34</v>
      </c>
      <c r="Y73" s="20" t="s">
        <v>34</v>
      </c>
      <c r="Z73" s="20" t="s">
        <v>34</v>
      </c>
      <c r="AA73" s="20" t="s">
        <v>34</v>
      </c>
      <c r="AB73" s="20" t="s">
        <v>34</v>
      </c>
      <c r="AC73" s="20" t="s">
        <v>34</v>
      </c>
      <c r="AD73" s="20" t="s">
        <v>34</v>
      </c>
      <c r="AE73" s="24" t="s">
        <v>34</v>
      </c>
      <c r="AF73" s="24" t="s">
        <v>34</v>
      </c>
      <c r="AG73" s="61">
        <v>0</v>
      </c>
      <c r="AH73" s="61"/>
      <c r="AI73" s="61"/>
      <c r="AJ73" s="61"/>
      <c r="AK73" s="30" t="s">
        <v>52</v>
      </c>
    </row>
    <row r="74" spans="1:37">
      <c r="A74" s="66">
        <v>44799</v>
      </c>
      <c r="B74" s="84">
        <v>1600</v>
      </c>
      <c r="C74" s="84"/>
      <c r="D74" s="79">
        <f>(SUM(粮草!A74:X74)+AG74*10)*IF(AK74="是",$AX$4,$AX$3)</f>
        <v>0</v>
      </c>
      <c r="E74" s="80">
        <f>SUM($B$4:B74)+SUM($C$4:C74)-SUM($D$4:D74)</f>
        <v>112800</v>
      </c>
      <c r="F74" s="79">
        <f>SUM(经验!A74:X74)</f>
        <v>0</v>
      </c>
      <c r="G74" s="79">
        <f>SUM($F$4:F74)+SUM($H$4:H74)</f>
        <v>5500</v>
      </c>
      <c r="H74" s="84">
        <v>0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s="21" t="s">
        <v>34</v>
      </c>
      <c r="P74" s="21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s="21" t="s">
        <v>34</v>
      </c>
      <c r="X74" s="21" t="s">
        <v>34</v>
      </c>
      <c r="Y74" s="20" t="s">
        <v>34</v>
      </c>
      <c r="Z74" s="20" t="s">
        <v>34</v>
      </c>
      <c r="AA74" s="20" t="s">
        <v>34</v>
      </c>
      <c r="AB74" s="20" t="s">
        <v>34</v>
      </c>
      <c r="AC74" s="20" t="s">
        <v>34</v>
      </c>
      <c r="AD74" s="20" t="s">
        <v>34</v>
      </c>
      <c r="AE74" s="24" t="s">
        <v>34</v>
      </c>
      <c r="AF74" s="24" t="s">
        <v>34</v>
      </c>
      <c r="AG74" s="61">
        <v>0</v>
      </c>
      <c r="AH74" s="61"/>
      <c r="AI74" s="61"/>
      <c r="AJ74" s="61"/>
      <c r="AK74" s="30" t="s">
        <v>52</v>
      </c>
    </row>
    <row r="75" spans="1:37">
      <c r="A75" s="66">
        <v>44800</v>
      </c>
      <c r="B75" s="84">
        <v>1600</v>
      </c>
      <c r="C75" s="84"/>
      <c r="D75" s="79">
        <f>(SUM(粮草!A75:X75)+AG75*10)*IF(AK75="是",$AX$4,$AX$3)</f>
        <v>0</v>
      </c>
      <c r="E75" s="80">
        <f>SUM($B$4:B75)+SUM($C$4:C75)-SUM($D$4:D75)</f>
        <v>114400</v>
      </c>
      <c r="F75" s="79">
        <f>SUM(经验!A75:X75)</f>
        <v>0</v>
      </c>
      <c r="G75" s="79">
        <f>SUM($F$4:F75)+SUM($H$4:H75)</f>
        <v>5500</v>
      </c>
      <c r="H75" s="84">
        <v>0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s="21" t="s">
        <v>34</v>
      </c>
      <c r="P75" s="21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s="21" t="s">
        <v>34</v>
      </c>
      <c r="X75" s="21" t="s">
        <v>34</v>
      </c>
      <c r="Y75" s="20" t="s">
        <v>34</v>
      </c>
      <c r="Z75" s="20" t="s">
        <v>34</v>
      </c>
      <c r="AA75" s="20" t="s">
        <v>34</v>
      </c>
      <c r="AB75" s="20" t="s">
        <v>34</v>
      </c>
      <c r="AC75" s="20" t="s">
        <v>34</v>
      </c>
      <c r="AD75" s="20" t="s">
        <v>34</v>
      </c>
      <c r="AE75" s="24" t="s">
        <v>34</v>
      </c>
      <c r="AF75" s="24" t="s">
        <v>34</v>
      </c>
      <c r="AG75" s="61">
        <v>0</v>
      </c>
      <c r="AH75" s="61"/>
      <c r="AI75" s="61"/>
      <c r="AJ75" s="61"/>
      <c r="AK75" s="30" t="s">
        <v>52</v>
      </c>
    </row>
    <row r="76" spans="1:37">
      <c r="A76" s="66">
        <v>44801</v>
      </c>
      <c r="B76" s="84">
        <v>1600</v>
      </c>
      <c r="C76" s="84"/>
      <c r="D76" s="79">
        <f>(SUM(粮草!A76:X76)+AG76*10)*IF(AK76="是",$AX$4,$AX$3)</f>
        <v>0</v>
      </c>
      <c r="E76" s="80">
        <f>SUM($B$4:B76)+SUM($C$4:C76)-SUM($D$4:D76)</f>
        <v>116000</v>
      </c>
      <c r="F76" s="79">
        <f>SUM(经验!A76:X76)</f>
        <v>0</v>
      </c>
      <c r="G76" s="79">
        <f>SUM($F$4:F76)+SUM($H$4:H76)</f>
        <v>5500</v>
      </c>
      <c r="H76" s="84">
        <v>0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s="21" t="s">
        <v>34</v>
      </c>
      <c r="P76" s="21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s="21" t="s">
        <v>34</v>
      </c>
      <c r="X76" s="21" t="s">
        <v>34</v>
      </c>
      <c r="Y76" s="20" t="s">
        <v>34</v>
      </c>
      <c r="Z76" s="20" t="s">
        <v>34</v>
      </c>
      <c r="AA76" s="20" t="s">
        <v>34</v>
      </c>
      <c r="AB76" s="20" t="s">
        <v>34</v>
      </c>
      <c r="AC76" s="20" t="s">
        <v>34</v>
      </c>
      <c r="AD76" s="20" t="s">
        <v>34</v>
      </c>
      <c r="AE76" s="24" t="s">
        <v>34</v>
      </c>
      <c r="AF76" s="24" t="s">
        <v>34</v>
      </c>
      <c r="AG76" s="61">
        <v>0</v>
      </c>
      <c r="AH76" s="61"/>
      <c r="AI76" s="61"/>
      <c r="AJ76" s="61"/>
      <c r="AK76" s="30" t="s">
        <v>52</v>
      </c>
    </row>
    <row r="77" spans="1:37">
      <c r="A77" s="66">
        <v>44802</v>
      </c>
      <c r="B77" s="83">
        <v>1600</v>
      </c>
      <c r="C77" s="83"/>
      <c r="D77" s="79">
        <f>(SUM(粮草!A77:X77)+AG77*10)*IF(AK77="是",$AX$4,$AX$3)</f>
        <v>0</v>
      </c>
      <c r="E77" s="80">
        <f>SUM($B$4:B77)+SUM($C$4:C77)-SUM($D$4:D77)</f>
        <v>117600</v>
      </c>
      <c r="F77" s="79">
        <f>SUM(经验!A77:X77)</f>
        <v>0</v>
      </c>
      <c r="G77" s="79">
        <f>SUM($F$4:F77)+SUM($H$4:H77)</f>
        <v>5700</v>
      </c>
      <c r="H77" s="83">
        <v>200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s="21" t="s">
        <v>34</v>
      </c>
      <c r="P77" s="21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s="21" t="s">
        <v>34</v>
      </c>
      <c r="X77" s="21" t="s">
        <v>34</v>
      </c>
      <c r="Y77" s="20" t="s">
        <v>34</v>
      </c>
      <c r="Z77" s="20" t="s">
        <v>34</v>
      </c>
      <c r="AA77" s="20" t="s">
        <v>34</v>
      </c>
      <c r="AB77" s="20" t="s">
        <v>34</v>
      </c>
      <c r="AC77" s="20" t="s">
        <v>34</v>
      </c>
      <c r="AD77" s="20" t="s">
        <v>34</v>
      </c>
      <c r="AE77" s="24" t="s">
        <v>34</v>
      </c>
      <c r="AF77" s="24" t="s">
        <v>34</v>
      </c>
      <c r="AG77" s="61">
        <v>0</v>
      </c>
      <c r="AH77" s="61"/>
      <c r="AI77" s="61"/>
      <c r="AJ77" s="61"/>
      <c r="AK77" s="30" t="s">
        <v>52</v>
      </c>
    </row>
    <row r="78" spans="1:37">
      <c r="A78" s="66">
        <v>44803</v>
      </c>
      <c r="B78" s="83">
        <v>1600</v>
      </c>
      <c r="C78" s="83"/>
      <c r="D78" s="79">
        <f>(SUM(粮草!A78:X78)+AG78*10)*IF(AK78="是",$AX$4,$AX$3)</f>
        <v>0</v>
      </c>
      <c r="E78" s="80">
        <f>SUM($B$4:B78)+SUM($C$4:C78)-SUM($D$4:D78)</f>
        <v>119200</v>
      </c>
      <c r="F78" s="79">
        <f>SUM(经验!A78:X78)</f>
        <v>0</v>
      </c>
      <c r="G78" s="79">
        <f>SUM($F$4:F78)+SUM($H$4:H78)</f>
        <v>5800</v>
      </c>
      <c r="H78" s="83">
        <v>100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s="21" t="s">
        <v>34</v>
      </c>
      <c r="P78" s="21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s="21" t="s">
        <v>34</v>
      </c>
      <c r="X78" s="21" t="s">
        <v>34</v>
      </c>
      <c r="Y78" s="20" t="s">
        <v>34</v>
      </c>
      <c r="Z78" s="20" t="s">
        <v>34</v>
      </c>
      <c r="AA78" s="20" t="s">
        <v>34</v>
      </c>
      <c r="AB78" s="20" t="s">
        <v>34</v>
      </c>
      <c r="AC78" s="20" t="s">
        <v>34</v>
      </c>
      <c r="AD78" s="20" t="s">
        <v>34</v>
      </c>
      <c r="AE78" s="24" t="s">
        <v>34</v>
      </c>
      <c r="AF78" s="24" t="s">
        <v>34</v>
      </c>
      <c r="AG78" s="61">
        <v>0</v>
      </c>
      <c r="AH78" s="61"/>
      <c r="AI78" s="61"/>
      <c r="AJ78" s="61"/>
      <c r="AK78" s="30" t="s">
        <v>52</v>
      </c>
    </row>
    <row r="79" spans="1:37">
      <c r="A79" s="66">
        <v>44804</v>
      </c>
      <c r="B79" s="85">
        <v>1600</v>
      </c>
      <c r="C79" s="85"/>
      <c r="D79" s="79">
        <f>(SUM(粮草!A79:X79)+AG79*10)*IF(AK79="是",$AX$4,$AX$3)</f>
        <v>0</v>
      </c>
      <c r="E79" s="80">
        <f>SUM($B$4:B79)+SUM($C$4:C79)-SUM($D$4:D79)</f>
        <v>120800</v>
      </c>
      <c r="F79" s="79">
        <f>SUM(经验!A79:X79)</f>
        <v>0</v>
      </c>
      <c r="G79" s="81">
        <f>SUM($F$4:F79)+SUM($H$4:H79)</f>
        <v>6000</v>
      </c>
      <c r="H79" s="85">
        <v>200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s="21" t="s">
        <v>34</v>
      </c>
      <c r="P79" s="21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s="21" t="s">
        <v>34</v>
      </c>
      <c r="X79" s="21" t="s">
        <v>34</v>
      </c>
      <c r="Y79" s="20" t="s">
        <v>34</v>
      </c>
      <c r="Z79" s="20" t="s">
        <v>34</v>
      </c>
      <c r="AA79" s="20" t="s">
        <v>34</v>
      </c>
      <c r="AB79" s="20" t="s">
        <v>34</v>
      </c>
      <c r="AC79" s="20" t="s">
        <v>34</v>
      </c>
      <c r="AD79" s="20" t="s">
        <v>34</v>
      </c>
      <c r="AE79" s="24" t="s">
        <v>34</v>
      </c>
      <c r="AF79" s="24" t="s">
        <v>34</v>
      </c>
      <c r="AG79" s="61">
        <v>0</v>
      </c>
      <c r="AH79" s="61"/>
      <c r="AI79" s="61"/>
      <c r="AJ79" s="61"/>
      <c r="AK79" s="30" t="s">
        <v>52</v>
      </c>
    </row>
    <row r="80" spans="1:37">
      <c r="A80" s="66">
        <v>44805</v>
      </c>
      <c r="B80" s="85">
        <v>1600</v>
      </c>
      <c r="C80" s="85"/>
      <c r="D80" s="79">
        <f>(SUM(粮草!A80:X80)+AG80*10)*IF(AK80="是",$AX$4,$AX$3)</f>
        <v>0</v>
      </c>
      <c r="E80" s="80">
        <f>SUM($B$4:B80)+SUM($C$4:C80)-SUM($D$4:D80)</f>
        <v>122400</v>
      </c>
      <c r="F80" s="79">
        <f>SUM(经验!A80:X80)</f>
        <v>0</v>
      </c>
      <c r="G80" s="81">
        <f>SUM($F$4:F80)+SUM($H$4:H80)</f>
        <v>6000</v>
      </c>
      <c r="H80" s="85">
        <v>0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s="21" t="s">
        <v>34</v>
      </c>
      <c r="P80" s="21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s="21" t="s">
        <v>34</v>
      </c>
      <c r="X80" s="21" t="s">
        <v>34</v>
      </c>
      <c r="Y80" s="20" t="s">
        <v>34</v>
      </c>
      <c r="Z80" s="20" t="s">
        <v>34</v>
      </c>
      <c r="AA80" s="20" t="s">
        <v>34</v>
      </c>
      <c r="AB80" s="20" t="s">
        <v>34</v>
      </c>
      <c r="AC80" s="20" t="s">
        <v>34</v>
      </c>
      <c r="AD80" s="20" t="s">
        <v>34</v>
      </c>
      <c r="AE80" s="24" t="s">
        <v>34</v>
      </c>
      <c r="AF80" s="24" t="s">
        <v>34</v>
      </c>
      <c r="AG80" s="61">
        <v>0</v>
      </c>
      <c r="AH80" s="61"/>
      <c r="AI80" s="61"/>
      <c r="AJ80" s="61"/>
      <c r="AK80" s="30" t="s">
        <v>52</v>
      </c>
    </row>
    <row r="81" spans="1:37">
      <c r="A81" s="66">
        <v>44806</v>
      </c>
      <c r="B81" s="85">
        <v>1600</v>
      </c>
      <c r="C81" s="85"/>
      <c r="D81" s="79">
        <f>(SUM(粮草!A81:X81)+AG81*10)*IF(AK81="是",$AX$4,$AX$3)</f>
        <v>0</v>
      </c>
      <c r="E81" s="80">
        <f>SUM($B$4:B81)+SUM($C$4:C81)-SUM($D$4:D81)</f>
        <v>124000</v>
      </c>
      <c r="F81" s="79">
        <f>SUM(经验!A81:X81)</f>
        <v>0</v>
      </c>
      <c r="G81" s="81">
        <f>SUM($F$4:F81)+SUM($H$4:H81)</f>
        <v>6000</v>
      </c>
      <c r="H81" s="85">
        <v>0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s="21" t="s">
        <v>34</v>
      </c>
      <c r="P81" s="2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s="21" t="s">
        <v>34</v>
      </c>
      <c r="X81" s="21" t="s">
        <v>34</v>
      </c>
      <c r="Y81" s="20" t="s">
        <v>34</v>
      </c>
      <c r="Z81" s="20" t="s">
        <v>34</v>
      </c>
      <c r="AA81" s="20" t="s">
        <v>34</v>
      </c>
      <c r="AB81" s="20" t="s">
        <v>34</v>
      </c>
      <c r="AC81" s="20" t="s">
        <v>34</v>
      </c>
      <c r="AD81" s="20" t="s">
        <v>34</v>
      </c>
      <c r="AE81" s="24" t="s">
        <v>34</v>
      </c>
      <c r="AF81" s="24" t="s">
        <v>34</v>
      </c>
      <c r="AG81" s="61">
        <v>0</v>
      </c>
      <c r="AH81" s="61"/>
      <c r="AI81" s="61"/>
      <c r="AJ81" s="61"/>
      <c r="AK81" s="30" t="s">
        <v>52</v>
      </c>
    </row>
    <row r="82" spans="1:37">
      <c r="A82" s="66">
        <v>44807</v>
      </c>
      <c r="B82" s="85">
        <v>1600</v>
      </c>
      <c r="C82" s="85"/>
      <c r="D82" s="79">
        <f>(SUM(粮草!A82:X82)+AG82*10)*IF(AK82="是",$AX$4,$AX$3)</f>
        <v>0</v>
      </c>
      <c r="E82" s="80">
        <f>SUM($B$4:B82)+SUM($C$4:C82)-SUM($D$4:D82)</f>
        <v>125600</v>
      </c>
      <c r="F82" s="79">
        <f>SUM(经验!A82:X82)</f>
        <v>0</v>
      </c>
      <c r="G82" s="81">
        <f>SUM($F$4:F82)+SUM($H$4:H82)</f>
        <v>6000</v>
      </c>
      <c r="H82" s="85">
        <v>0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s="21" t="s">
        <v>34</v>
      </c>
      <c r="P82" s="21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s="21" t="s">
        <v>34</v>
      </c>
      <c r="X82" s="21" t="s">
        <v>34</v>
      </c>
      <c r="Y82" s="20" t="s">
        <v>34</v>
      </c>
      <c r="Z82" s="20" t="s">
        <v>34</v>
      </c>
      <c r="AA82" s="20" t="s">
        <v>34</v>
      </c>
      <c r="AB82" s="20" t="s">
        <v>34</v>
      </c>
      <c r="AC82" s="20" t="s">
        <v>34</v>
      </c>
      <c r="AD82" s="20" t="s">
        <v>34</v>
      </c>
      <c r="AE82" s="24" t="s">
        <v>34</v>
      </c>
      <c r="AF82" s="24" t="s">
        <v>34</v>
      </c>
      <c r="AG82" s="61">
        <v>0</v>
      </c>
      <c r="AH82" s="61"/>
      <c r="AI82" s="61"/>
      <c r="AJ82" s="61"/>
      <c r="AK82" s="30" t="s">
        <v>52</v>
      </c>
    </row>
    <row r="83" spans="1:37">
      <c r="A83" s="66">
        <v>44808</v>
      </c>
      <c r="B83" s="85">
        <v>1600</v>
      </c>
      <c r="C83" s="85"/>
      <c r="D83" s="79">
        <f>(SUM(粮草!A83:X83)+AG83*10)*IF(AK83="是",$AX$4,$AX$3)</f>
        <v>0</v>
      </c>
      <c r="E83" s="80">
        <f>SUM($B$4:B83)+SUM($C$4:C83)-SUM($D$4:D83)</f>
        <v>127200</v>
      </c>
      <c r="F83" s="79">
        <f>SUM(经验!A83:X83)</f>
        <v>0</v>
      </c>
      <c r="G83" s="81">
        <f>SUM($F$4:F83)+SUM($H$4:H83)</f>
        <v>6000</v>
      </c>
      <c r="H83" s="85">
        <v>0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s="21" t="s">
        <v>34</v>
      </c>
      <c r="P83" s="21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s="21" t="s">
        <v>34</v>
      </c>
      <c r="X83" s="21" t="s">
        <v>34</v>
      </c>
      <c r="Y83" s="20" t="s">
        <v>34</v>
      </c>
      <c r="Z83" s="20" t="s">
        <v>34</v>
      </c>
      <c r="AA83" s="20" t="s">
        <v>34</v>
      </c>
      <c r="AB83" s="20" t="s">
        <v>34</v>
      </c>
      <c r="AC83" s="20" t="s">
        <v>34</v>
      </c>
      <c r="AD83" s="20" t="s">
        <v>34</v>
      </c>
      <c r="AE83" s="24" t="s">
        <v>34</v>
      </c>
      <c r="AF83" s="24" t="s">
        <v>34</v>
      </c>
      <c r="AG83" s="61">
        <v>0</v>
      </c>
      <c r="AH83" s="61"/>
      <c r="AI83" s="61"/>
      <c r="AJ83" s="61"/>
      <c r="AK83" s="30" t="s">
        <v>52</v>
      </c>
    </row>
    <row r="84" spans="1:37">
      <c r="A84" s="66">
        <v>44809</v>
      </c>
      <c r="B84" s="86">
        <v>1600</v>
      </c>
      <c r="C84" s="86"/>
      <c r="D84" s="79">
        <f>(SUM(粮草!A84:X84)+AG84*10)*IF(AK84="是",$AX$4,$AX$3)</f>
        <v>0</v>
      </c>
      <c r="E84" s="80">
        <f>SUM($B$4:B84)+SUM($C$4:C84)-SUM($D$4:D84)</f>
        <v>128800</v>
      </c>
      <c r="F84" s="79">
        <f>SUM(经验!A84:X84)</f>
        <v>0</v>
      </c>
      <c r="G84" s="81">
        <f>SUM($F$4:F84)+SUM($H$4:H84)</f>
        <v>6200</v>
      </c>
      <c r="H84" s="86">
        <v>200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s="21" t="s">
        <v>34</v>
      </c>
      <c r="P84" s="21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s="21" t="s">
        <v>34</v>
      </c>
      <c r="X84" s="21" t="s">
        <v>34</v>
      </c>
      <c r="Y84" s="20" t="s">
        <v>34</v>
      </c>
      <c r="Z84" s="20" t="s">
        <v>34</v>
      </c>
      <c r="AA84" s="20" t="s">
        <v>34</v>
      </c>
      <c r="AB84" s="20" t="s">
        <v>34</v>
      </c>
      <c r="AC84" s="20" t="s">
        <v>34</v>
      </c>
      <c r="AD84" s="20" t="s">
        <v>34</v>
      </c>
      <c r="AE84" s="24" t="s">
        <v>34</v>
      </c>
      <c r="AF84" s="24" t="s">
        <v>34</v>
      </c>
      <c r="AG84" s="61">
        <v>0</v>
      </c>
      <c r="AH84" s="61"/>
      <c r="AI84" s="61"/>
      <c r="AJ84" s="61"/>
      <c r="AK84" s="30" t="s">
        <v>52</v>
      </c>
    </row>
    <row r="85" spans="1:37">
      <c r="A85" s="66">
        <v>44810</v>
      </c>
      <c r="B85" s="86">
        <v>1600</v>
      </c>
      <c r="C85" s="86"/>
      <c r="D85" s="79">
        <f>(SUM(粮草!A85:X85)+AG85*10)*IF(AK85="是",$AX$4,$AX$3)</f>
        <v>0</v>
      </c>
      <c r="E85" s="80">
        <f>SUM($B$4:B85)+SUM($C$4:C85)-SUM($D$4:D85)</f>
        <v>130400</v>
      </c>
      <c r="F85" s="79">
        <f>SUM(经验!A85:X85)</f>
        <v>0</v>
      </c>
      <c r="G85" s="81">
        <f>SUM($F$4:F85)+SUM($H$4:H85)</f>
        <v>6200</v>
      </c>
      <c r="H85" s="86">
        <v>0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s="21" t="s">
        <v>34</v>
      </c>
      <c r="P85" s="21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s="21" t="s">
        <v>34</v>
      </c>
      <c r="X85" s="21" t="s">
        <v>34</v>
      </c>
      <c r="Y85" s="20" t="s">
        <v>34</v>
      </c>
      <c r="Z85" s="20" t="s">
        <v>34</v>
      </c>
      <c r="AA85" s="20" t="s">
        <v>34</v>
      </c>
      <c r="AB85" s="20" t="s">
        <v>34</v>
      </c>
      <c r="AC85" s="20" t="s">
        <v>34</v>
      </c>
      <c r="AD85" s="20" t="s">
        <v>34</v>
      </c>
      <c r="AE85" s="24" t="s">
        <v>34</v>
      </c>
      <c r="AF85" s="24" t="s">
        <v>34</v>
      </c>
      <c r="AG85" s="61">
        <v>0</v>
      </c>
      <c r="AH85" s="61"/>
      <c r="AI85" s="61"/>
      <c r="AJ85" s="61"/>
      <c r="AK85" s="30" t="s">
        <v>52</v>
      </c>
    </row>
    <row r="86" spans="1:37">
      <c r="A86" s="66">
        <v>44811</v>
      </c>
      <c r="B86" s="86">
        <v>1600</v>
      </c>
      <c r="C86" s="86"/>
      <c r="D86" s="79">
        <f>(SUM(粮草!A86:X86)+AG86*10)*IF(AK86="是",$AX$4,$AX$3)</f>
        <v>0</v>
      </c>
      <c r="E86" s="80">
        <f>SUM($B$4:B86)+SUM($C$4:C86)-SUM($D$4:D86)</f>
        <v>132000</v>
      </c>
      <c r="F86" s="79">
        <f>SUM(经验!A86:X86)</f>
        <v>0</v>
      </c>
      <c r="G86" s="81">
        <f>SUM($F$4:F86)+SUM($H$4:H86)</f>
        <v>6500</v>
      </c>
      <c r="H86" s="86">
        <v>300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s="21" t="s">
        <v>34</v>
      </c>
      <c r="P86" s="21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s="21" t="s">
        <v>34</v>
      </c>
      <c r="X86" s="21" t="s">
        <v>34</v>
      </c>
      <c r="Y86" s="20" t="s">
        <v>34</v>
      </c>
      <c r="Z86" s="20" t="s">
        <v>34</v>
      </c>
      <c r="AA86" s="20" t="s">
        <v>34</v>
      </c>
      <c r="AB86" s="20" t="s">
        <v>34</v>
      </c>
      <c r="AC86" s="20" t="s">
        <v>34</v>
      </c>
      <c r="AD86" s="20" t="s">
        <v>34</v>
      </c>
      <c r="AE86" s="24" t="s">
        <v>34</v>
      </c>
      <c r="AF86" s="24" t="s">
        <v>34</v>
      </c>
      <c r="AG86" s="61">
        <v>0</v>
      </c>
      <c r="AH86" s="61"/>
      <c r="AI86" s="61"/>
      <c r="AJ86" s="61"/>
      <c r="AK86" s="30" t="s">
        <v>52</v>
      </c>
    </row>
    <row r="87" spans="1:37">
      <c r="A87" s="66">
        <v>44812</v>
      </c>
      <c r="B87" s="86">
        <v>1600</v>
      </c>
      <c r="C87" s="86"/>
      <c r="D87" s="79">
        <f>(SUM(粮草!A87:X87)+AG87*10)*IF(AK87="是",$AX$4,$AX$3)</f>
        <v>0</v>
      </c>
      <c r="E87" s="80">
        <f>SUM($B$4:B87)+SUM($C$4:C87)-SUM($D$4:D87)</f>
        <v>133600</v>
      </c>
      <c r="F87" s="79">
        <f>SUM(经验!A87:X87)</f>
        <v>0</v>
      </c>
      <c r="G87" s="81">
        <f>SUM($F$4:F87)+SUM($H$4:H87)</f>
        <v>6500</v>
      </c>
      <c r="H87" s="86">
        <v>0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s="21" t="s">
        <v>34</v>
      </c>
      <c r="P87" s="21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s="21" t="s">
        <v>34</v>
      </c>
      <c r="X87" s="21" t="s">
        <v>34</v>
      </c>
      <c r="Y87" s="20" t="s">
        <v>34</v>
      </c>
      <c r="Z87" s="20" t="s">
        <v>34</v>
      </c>
      <c r="AA87" s="20" t="s">
        <v>34</v>
      </c>
      <c r="AB87" s="20" t="s">
        <v>34</v>
      </c>
      <c r="AC87" s="20" t="s">
        <v>34</v>
      </c>
      <c r="AD87" s="20" t="s">
        <v>34</v>
      </c>
      <c r="AE87" s="24" t="s">
        <v>34</v>
      </c>
      <c r="AF87" s="24" t="s">
        <v>34</v>
      </c>
      <c r="AG87" s="61">
        <v>0</v>
      </c>
      <c r="AH87" s="61"/>
      <c r="AI87" s="61"/>
      <c r="AJ87" s="61"/>
      <c r="AK87" s="30" t="s">
        <v>52</v>
      </c>
    </row>
    <row r="88" spans="1:37">
      <c r="A88" s="66">
        <v>44813</v>
      </c>
      <c r="B88" s="86">
        <v>1600</v>
      </c>
      <c r="C88" s="86"/>
      <c r="D88" s="79">
        <f>(SUM(粮草!A88:X88)+AG88*10)*IF(AK88="是",$AX$4,$AX$3)</f>
        <v>0</v>
      </c>
      <c r="E88" s="80">
        <f>SUM($B$4:B88)+SUM($C$4:C88)-SUM($D$4:D88)</f>
        <v>135200</v>
      </c>
      <c r="F88" s="79">
        <f>SUM(经验!A88:X88)</f>
        <v>0</v>
      </c>
      <c r="G88" s="81">
        <f>SUM($F$4:F88)+SUM($H$4:H88)</f>
        <v>6500</v>
      </c>
      <c r="H88" s="86">
        <v>0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s="21" t="s">
        <v>34</v>
      </c>
      <c r="P88" s="21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s="21" t="s">
        <v>34</v>
      </c>
      <c r="X88" s="21" t="s">
        <v>34</v>
      </c>
      <c r="Y88" s="20" t="s">
        <v>34</v>
      </c>
      <c r="Z88" s="20" t="s">
        <v>34</v>
      </c>
      <c r="AA88" s="20" t="s">
        <v>34</v>
      </c>
      <c r="AB88" s="20" t="s">
        <v>34</v>
      </c>
      <c r="AC88" s="20" t="s">
        <v>34</v>
      </c>
      <c r="AD88" s="20" t="s">
        <v>34</v>
      </c>
      <c r="AE88" s="24" t="s">
        <v>34</v>
      </c>
      <c r="AF88" s="24" t="s">
        <v>34</v>
      </c>
      <c r="AG88" s="61">
        <v>0</v>
      </c>
      <c r="AH88" s="61"/>
      <c r="AI88" s="61"/>
      <c r="AJ88" s="61"/>
      <c r="AK88" s="30" t="s">
        <v>52</v>
      </c>
    </row>
    <row r="89" spans="1:37">
      <c r="A89" s="66">
        <v>44814</v>
      </c>
      <c r="B89" s="86">
        <v>1600</v>
      </c>
      <c r="C89" s="86"/>
      <c r="D89" s="79">
        <f>(SUM(粮草!A89:X89)+AG89*10)*IF(AK89="是",$AX$4,$AX$3)</f>
        <v>0</v>
      </c>
      <c r="E89" s="80">
        <f>SUM($B$4:B89)+SUM($C$4:C89)-SUM($D$4:D89)</f>
        <v>136800</v>
      </c>
      <c r="F89" s="79">
        <f>SUM(经验!A89:X89)</f>
        <v>0</v>
      </c>
      <c r="G89" s="81">
        <f>SUM($F$4:F89)+SUM($H$4:H89)</f>
        <v>6500</v>
      </c>
      <c r="H89" s="86">
        <v>0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s="21" t="s">
        <v>34</v>
      </c>
      <c r="P89" s="21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s="21" t="s">
        <v>34</v>
      </c>
      <c r="X89" s="21" t="s">
        <v>34</v>
      </c>
      <c r="Y89" s="20" t="s">
        <v>34</v>
      </c>
      <c r="Z89" s="20" t="s">
        <v>34</v>
      </c>
      <c r="AA89" s="20" t="s">
        <v>34</v>
      </c>
      <c r="AB89" s="20" t="s">
        <v>34</v>
      </c>
      <c r="AC89" s="20" t="s">
        <v>34</v>
      </c>
      <c r="AD89" s="20" t="s">
        <v>34</v>
      </c>
      <c r="AE89" s="24" t="s">
        <v>34</v>
      </c>
      <c r="AF89" s="24" t="s">
        <v>34</v>
      </c>
      <c r="AG89" s="61">
        <v>0</v>
      </c>
      <c r="AH89" s="61"/>
      <c r="AI89" s="61"/>
      <c r="AJ89" s="61"/>
      <c r="AK89" s="30" t="s">
        <v>52</v>
      </c>
    </row>
    <row r="90" spans="1:37">
      <c r="A90" s="66">
        <v>44815</v>
      </c>
      <c r="B90" s="86">
        <v>1600</v>
      </c>
      <c r="C90" s="86"/>
      <c r="D90" s="79">
        <f>(SUM(粮草!A90:X90)+AG90*10)*IF(AK90="是",$AX$4,$AX$3)</f>
        <v>0</v>
      </c>
      <c r="E90" s="80">
        <f>SUM($B$4:B90)+SUM($C$4:C90)-SUM($D$4:D90)</f>
        <v>138400</v>
      </c>
      <c r="F90" s="79">
        <f>SUM(经验!A90:X90)</f>
        <v>0</v>
      </c>
      <c r="G90" s="81">
        <f>SUM($F$4:F90)+SUM($H$4:H90)</f>
        <v>6500</v>
      </c>
      <c r="H90" s="86">
        <v>0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s="21" t="s">
        <v>34</v>
      </c>
      <c r="P90" s="21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s="21" t="s">
        <v>34</v>
      </c>
      <c r="X90" s="21" t="s">
        <v>34</v>
      </c>
      <c r="Y90" s="20" t="s">
        <v>34</v>
      </c>
      <c r="Z90" s="20" t="s">
        <v>34</v>
      </c>
      <c r="AA90" s="20" t="s">
        <v>34</v>
      </c>
      <c r="AB90" s="20" t="s">
        <v>34</v>
      </c>
      <c r="AC90" s="20" t="s">
        <v>34</v>
      </c>
      <c r="AD90" s="20" t="s">
        <v>34</v>
      </c>
      <c r="AE90" s="24" t="s">
        <v>34</v>
      </c>
      <c r="AF90" s="24" t="s">
        <v>34</v>
      </c>
      <c r="AG90" s="61">
        <v>0</v>
      </c>
      <c r="AH90" s="61"/>
      <c r="AI90" s="61"/>
      <c r="AJ90" s="61"/>
      <c r="AK90" s="30" t="s">
        <v>52</v>
      </c>
    </row>
    <row r="91" spans="1:37">
      <c r="A91" s="66">
        <v>44816</v>
      </c>
      <c r="B91" s="85">
        <v>1600</v>
      </c>
      <c r="C91" s="85"/>
      <c r="D91" s="79">
        <f>(SUM(粮草!A91:X91)+AG91*10)*IF(AK91="是",$AX$4,$AX$3)</f>
        <v>0</v>
      </c>
      <c r="E91" s="80">
        <f>SUM($B$4:B91)+SUM($C$4:C91)-SUM($D$4:D91)</f>
        <v>140000</v>
      </c>
      <c r="F91" s="79">
        <f>SUM(经验!A91:X91)</f>
        <v>0</v>
      </c>
      <c r="G91" s="81">
        <f>SUM($F$4:F91)+SUM($H$4:H91)</f>
        <v>6700</v>
      </c>
      <c r="H91" s="85">
        <v>200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s="21" t="s">
        <v>34</v>
      </c>
      <c r="P91" s="2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s="21" t="s">
        <v>34</v>
      </c>
      <c r="X91" s="21" t="s">
        <v>34</v>
      </c>
      <c r="Y91" s="20" t="s">
        <v>34</v>
      </c>
      <c r="Z91" s="20" t="s">
        <v>34</v>
      </c>
      <c r="AA91" s="20" t="s">
        <v>34</v>
      </c>
      <c r="AB91" s="20" t="s">
        <v>34</v>
      </c>
      <c r="AC91" s="20" t="s">
        <v>34</v>
      </c>
      <c r="AD91" s="20" t="s">
        <v>34</v>
      </c>
      <c r="AE91" s="24" t="s">
        <v>34</v>
      </c>
      <c r="AF91" s="24" t="s">
        <v>34</v>
      </c>
      <c r="AG91" s="61">
        <v>0</v>
      </c>
      <c r="AH91" s="61"/>
      <c r="AI91" s="61"/>
      <c r="AJ91" s="61"/>
      <c r="AK91" s="30" t="s">
        <v>52</v>
      </c>
    </row>
    <row r="92" spans="1:37">
      <c r="A92" s="66">
        <v>44817</v>
      </c>
      <c r="B92" s="85">
        <v>1600</v>
      </c>
      <c r="C92" s="85"/>
      <c r="D92" s="79">
        <f>(SUM(粮草!A92:X92)+AG92*10)*IF(AK92="是",$AX$4,$AX$3)</f>
        <v>0</v>
      </c>
      <c r="E92" s="80">
        <f>SUM($B$4:B92)+SUM($C$4:C92)-SUM($D$4:D92)</f>
        <v>141600</v>
      </c>
      <c r="F92" s="79">
        <f>SUM(经验!A92:X92)</f>
        <v>0</v>
      </c>
      <c r="G92" s="81">
        <f>SUM($F$4:F92)+SUM($H$4:H92)</f>
        <v>6800</v>
      </c>
      <c r="H92" s="85">
        <v>100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s="21" t="s">
        <v>34</v>
      </c>
      <c r="P92" s="21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s="21" t="s">
        <v>34</v>
      </c>
      <c r="X92" s="21" t="s">
        <v>34</v>
      </c>
      <c r="Y92" s="20" t="s">
        <v>34</v>
      </c>
      <c r="Z92" s="20" t="s">
        <v>34</v>
      </c>
      <c r="AA92" s="20" t="s">
        <v>34</v>
      </c>
      <c r="AB92" s="20" t="s">
        <v>34</v>
      </c>
      <c r="AC92" s="20" t="s">
        <v>34</v>
      </c>
      <c r="AD92" s="20" t="s">
        <v>34</v>
      </c>
      <c r="AE92" s="24" t="s">
        <v>34</v>
      </c>
      <c r="AF92" s="24" t="s">
        <v>34</v>
      </c>
      <c r="AG92" s="61">
        <v>0</v>
      </c>
      <c r="AH92" s="61"/>
      <c r="AI92" s="61"/>
      <c r="AJ92" s="61"/>
      <c r="AK92" s="30" t="s">
        <v>52</v>
      </c>
    </row>
    <row r="93" spans="1:37">
      <c r="A93" s="66">
        <v>44818</v>
      </c>
      <c r="B93" s="85">
        <v>1600</v>
      </c>
      <c r="C93" s="85"/>
      <c r="D93" s="79">
        <f>(SUM(粮草!A93:X93)+AG93*10)*IF(AK93="是",$AX$4,$AX$3)</f>
        <v>0</v>
      </c>
      <c r="E93" s="80">
        <f>SUM($B$4:B93)+SUM($C$4:C93)-SUM($D$4:D93)</f>
        <v>143200</v>
      </c>
      <c r="F93" s="79">
        <f>SUM(经验!A93:X93)</f>
        <v>0</v>
      </c>
      <c r="G93" s="81">
        <f>SUM($F$4:F93)+SUM($H$4:H93)</f>
        <v>7000</v>
      </c>
      <c r="H93" s="85">
        <v>200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s="21" t="s">
        <v>34</v>
      </c>
      <c r="P93" s="21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s="21" t="s">
        <v>34</v>
      </c>
      <c r="X93" s="21" t="s">
        <v>34</v>
      </c>
      <c r="Y93" s="20" t="s">
        <v>34</v>
      </c>
      <c r="Z93" s="20" t="s">
        <v>34</v>
      </c>
      <c r="AA93" s="20" t="s">
        <v>34</v>
      </c>
      <c r="AB93" s="20" t="s">
        <v>34</v>
      </c>
      <c r="AC93" s="20" t="s">
        <v>34</v>
      </c>
      <c r="AD93" s="20" t="s">
        <v>34</v>
      </c>
      <c r="AE93" s="24" t="s">
        <v>34</v>
      </c>
      <c r="AF93" s="24" t="s">
        <v>34</v>
      </c>
      <c r="AG93" s="61">
        <v>0</v>
      </c>
      <c r="AH93" s="61"/>
      <c r="AI93" s="61"/>
      <c r="AJ93" s="61"/>
      <c r="AK93" s="30" t="s">
        <v>52</v>
      </c>
    </row>
    <row r="94" spans="1:37" ht="15" thickBot="1">
      <c r="A94" s="66">
        <v>44819</v>
      </c>
      <c r="B94" s="85">
        <v>1600</v>
      </c>
      <c r="C94" s="85"/>
      <c r="D94" s="79">
        <f>(SUM(粮草!A94:X94)+AG94*10)*IF(AK94="是",$AX$4,$AX$3)</f>
        <v>0</v>
      </c>
      <c r="E94" s="80">
        <f>SUM($B$4:B94)+SUM($C$4:C94)-SUM($D$4:D94)</f>
        <v>144800</v>
      </c>
      <c r="F94" s="79">
        <f>SUM(经验!A94:X94)</f>
        <v>0</v>
      </c>
      <c r="G94" s="81">
        <f>SUM($F$4:F94)+SUM($H$4:H94)</f>
        <v>7000</v>
      </c>
      <c r="H94" s="85">
        <v>0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s="21" t="s">
        <v>34</v>
      </c>
      <c r="P94" s="21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s="21" t="s">
        <v>34</v>
      </c>
      <c r="X94" s="21" t="s">
        <v>34</v>
      </c>
      <c r="Y94" s="20" t="s">
        <v>34</v>
      </c>
      <c r="Z94" s="20" t="s">
        <v>34</v>
      </c>
      <c r="AA94" s="20" t="s">
        <v>34</v>
      </c>
      <c r="AB94" s="20" t="s">
        <v>34</v>
      </c>
      <c r="AC94" s="20" t="s">
        <v>34</v>
      </c>
      <c r="AD94" s="20" t="s">
        <v>34</v>
      </c>
      <c r="AE94" s="24" t="s">
        <v>34</v>
      </c>
      <c r="AF94" s="24" t="s">
        <v>34</v>
      </c>
      <c r="AG94" s="61">
        <v>0</v>
      </c>
      <c r="AH94" s="61"/>
      <c r="AI94" s="61"/>
      <c r="AJ94" s="61"/>
      <c r="AK94" s="54" t="s">
        <v>52</v>
      </c>
    </row>
    <row r="96" spans="1:37">
      <c r="D96" t="s">
        <v>61</v>
      </c>
      <c r="E96" s="17">
        <f>COUNTIF(E4:E94,"&lt;0")</f>
        <v>0</v>
      </c>
    </row>
  </sheetData>
  <sheetProtection sheet="1" objects="1" scenarios="1"/>
  <protectedRanges>
    <protectedRange sqref="H4:H94" name="task"/>
    <protectedRange sqref="I4:AK94" name="工作区"/>
    <protectedRange sqref="C4:C94" name="farming"/>
  </protectedRanges>
  <mergeCells count="13">
    <mergeCell ref="AK2:AK3"/>
    <mergeCell ref="AW5:AX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7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X94"/>
  <sheetViews>
    <sheetView workbookViewId="0">
      <selection activeCell="D14" sqref="D14"/>
    </sheetView>
  </sheetViews>
  <sheetFormatPr defaultColWidth="9" defaultRowHeight="14.4"/>
  <sheetData>
    <row r="2" spans="1:24">
      <c r="A2" s="104" t="s">
        <v>62</v>
      </c>
      <c r="B2" s="105"/>
      <c r="C2" s="1" t="s">
        <v>4</v>
      </c>
      <c r="D2" s="1">
        <f>COUNTIF(A4:H94,"&lt;&gt;空")</f>
        <v>728</v>
      </c>
      <c r="E2" s="105" t="s">
        <v>5</v>
      </c>
      <c r="F2" s="105"/>
      <c r="G2" s="105"/>
      <c r="H2" s="106"/>
      <c r="I2" s="107" t="s">
        <v>6</v>
      </c>
      <c r="J2" s="108"/>
      <c r="K2" s="6" t="s">
        <v>4</v>
      </c>
      <c r="L2" s="6">
        <f>COUNTIF(I4:P94,"&lt;&gt;空")</f>
        <v>728</v>
      </c>
      <c r="M2" s="108" t="s">
        <v>5</v>
      </c>
      <c r="N2" s="108"/>
      <c r="O2" s="108"/>
      <c r="P2" s="109"/>
      <c r="Q2" s="110" t="s">
        <v>7</v>
      </c>
      <c r="R2" s="111"/>
      <c r="S2" s="10" t="s">
        <v>8</v>
      </c>
      <c r="T2" s="9">
        <f>COUNTIF(Q4:X94,"&lt;&gt;空")</f>
        <v>728</v>
      </c>
      <c r="U2" s="111" t="s">
        <v>5</v>
      </c>
      <c r="V2" s="111"/>
      <c r="W2" s="111"/>
      <c r="X2" s="11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6.0.00'!$AM$4:$AO$55,2,FALSE))*IF(' 6.0.00'!AK$4="是",' 6.0.00'!$AX$4,' 6.0.00'!$AX$3)</f>
        <v>0</v>
      </c>
      <c r="B4" s="4">
        <f>(VLOOKUP(' 6.0.00'!J4,' 6.0.00'!$AM$4:$AO$55,2,FALSE))*IF(' 6.0.00'!AL$4="是",' 6.0.00'!$AX$4,' 6.0.00'!$AX$3)</f>
        <v>0</v>
      </c>
      <c r="C4" s="4">
        <f>(VLOOKUP(' 6.0.00'!K4,' 6.0.00'!$AM$4:$AO$55,2,FALSE))*IF(' 6.0.00'!AM$4="是",' 6.0.00'!$AX$4,' 6.0.00'!$AX$3)</f>
        <v>0</v>
      </c>
      <c r="D4" s="4">
        <f>(VLOOKUP(' 6.0.00'!L4,' 6.0.00'!$AM$4:$AO$55,2,FALSE))*IF(' 6.0.00'!AN$4="是",' 6.0.00'!$AX$4,' 6.0.00'!$AX$3)</f>
        <v>0</v>
      </c>
      <c r="E4" s="4">
        <f>(VLOOKUP(' 6.0.00'!M4,' 6.0.00'!$AM$4:$AO$55,2,FALSE))*IF(' 6.0.00'!AO$4="是",' 6.0.00'!$AX$4,' 6.0.00'!$AX$3)</f>
        <v>0</v>
      </c>
      <c r="F4" s="4">
        <f>(VLOOKUP(' 6.0.00'!N4,' 6.0.00'!$AM$4:$AO$55,2,FALSE))*IF(' 6.0.00'!AP$4="是",' 6.0.00'!$AX$4,' 6.0.00'!$AX$3)</f>
        <v>0</v>
      </c>
      <c r="G4" s="5">
        <f>(VLOOKUP(' 6.0.00'!O4,' 6.0.00'!$AM$4:$AO$55,2,FALSE))*IF(' 6.0.00'!AQ$4="是",' 6.0.00'!$AX$4,' 6.0.00'!$AX$3)</f>
        <v>0</v>
      </c>
      <c r="H4" s="5">
        <f>(VLOOKUP(' 6.0.00'!P4,' 6.0.00'!$AM$4:$AO$55,2,FALSE))*IF(' 6.0.00'!AR$4="是",' 6.0.00'!$AX$4,' 6.0.00'!$AX$3)</f>
        <v>0</v>
      </c>
      <c r="I4" s="4">
        <f>(VLOOKUP(' 6.0.00'!Q4,' 6.0.00'!$AM$4:$AO$55,2,FALSE))*IF(' 6.0.00'!AS$4="是",' 6.0.00'!$AX$4,' 6.0.00'!$AX$3)</f>
        <v>0</v>
      </c>
      <c r="J4" s="4">
        <f>(VLOOKUP(' 6.0.00'!R4,' 6.0.00'!$AM$4:$AO$55,2,FALSE))*IF(' 6.0.00'!AT$4="是",' 6.0.00'!$AX$4,' 6.0.00'!$AX$3)</f>
        <v>0</v>
      </c>
      <c r="K4" s="4">
        <f>(VLOOKUP(' 6.0.00'!S4,' 6.0.00'!$AM$4:$AO$55,2,FALSE))*IF(' 6.0.00'!AU$4="是",' 6.0.00'!$AX$4,' 6.0.00'!$AX$3)</f>
        <v>0</v>
      </c>
      <c r="L4" s="4">
        <f>(VLOOKUP(' 6.0.00'!T4,' 6.0.00'!$AM$4:$AO$55,2,FALSE))*IF(' 6.0.00'!AV$4="是",' 6.0.00'!$AX$4,' 6.0.00'!$AX$3)</f>
        <v>0</v>
      </c>
      <c r="M4" s="4">
        <f>(VLOOKUP(' 6.0.00'!U4,' 6.0.00'!$AM$4:$AO$55,2,FALSE))*IF(' 6.0.00'!AW$4="是",' 6.0.00'!$AX$4,' 6.0.00'!$AX$3)</f>
        <v>0</v>
      </c>
      <c r="N4" s="4">
        <f>(VLOOKUP(' 6.0.00'!V4,' 6.0.00'!$AM$4:$AO$55,2,FALSE))*IF(' 6.0.00'!AX$4="是",' 6.0.00'!$AX$4,' 6.0.00'!$AX$3)</f>
        <v>0</v>
      </c>
      <c r="O4" s="5">
        <f>(VLOOKUP(' 6.0.00'!W4,' 6.0.00'!$AM$4:$AO$55,2,FALSE))*IF(' 6.0.00'!AY$4="是",' 6.0.00'!$AX$4,' 6.0.00'!$AX$3)</f>
        <v>0</v>
      </c>
      <c r="P4" s="5">
        <f>(VLOOKUP(' 6.0.00'!X4,' 6.0.00'!$AM$4:$AO$55,2,FALSE))*IF(' 6.0.00'!AZ$4="是",' 6.0.00'!$AX$4,' 6.0.00'!$AX$3)</f>
        <v>0</v>
      </c>
      <c r="Q4" s="4">
        <f>(VLOOKUP(' 6.0.00'!Y4,' 6.0.00'!$AM$4:$AO$55,2,FALSE))*IF(' 6.0.00'!BA$4="是",' 6.0.00'!$AX$4,' 6.0.00'!$AX$3)</f>
        <v>0</v>
      </c>
      <c r="R4" s="4">
        <f>(VLOOKUP(' 6.0.00'!Z4,' 6.0.00'!$AM$4:$AO$55,2,FALSE))*IF(' 6.0.00'!BB$4="是",' 6.0.00'!$AX$4,' 6.0.00'!$AX$3)</f>
        <v>0</v>
      </c>
      <c r="S4" s="4">
        <f>(VLOOKUP(' 6.0.00'!AA4,' 6.0.00'!$AM$4:$AO$55,2,FALSE))*IF(' 6.0.00'!BC$4="是",' 6.0.00'!$AX$4,' 6.0.00'!$AX$3)</f>
        <v>0</v>
      </c>
      <c r="T4" s="4">
        <f>(VLOOKUP(' 6.0.00'!AB4,' 6.0.00'!$AM$4:$AO$55,2,FALSE))*IF(' 6.0.00'!BD$4="是",' 6.0.00'!$AX$4,' 6.0.00'!$AX$3)</f>
        <v>0</v>
      </c>
      <c r="U4" s="4">
        <f>(VLOOKUP(' 6.0.00'!AC4,' 6.0.00'!$AM$4:$AO$55,2,FALSE))*IF(' 6.0.00'!BE$4="是",' 6.0.00'!$AX$4,' 6.0.00'!$AX$3)</f>
        <v>0</v>
      </c>
      <c r="V4" s="4">
        <f>(VLOOKUP(' 6.0.00'!AD4,' 6.0.00'!$AM$4:$AO$55,2,FALSE))*IF(' 6.0.00'!BF$4="是",' 6.0.00'!$AX$4,' 6.0.00'!$AX$3)</f>
        <v>0</v>
      </c>
      <c r="W4" s="5">
        <f>(VLOOKUP(' 6.0.00'!AE4,' 6.0.00'!$AM$4:$AO$55,2,FALSE))*IF(' 6.0.00'!BG$4="是",' 6.0.00'!$AX$4,' 6.0.00'!$AX$3)</f>
        <v>0</v>
      </c>
      <c r="X4" s="5">
        <f>(VLOOKUP(' 6.0.00'!AF4,' 6.0.00'!$AM$4:$AO$55,2,FALSE))*IF(' 6.0.00'!BH$4="是",' 6.0.00'!$AX$4,' 6.0.00'!$AX$3)</f>
        <v>0</v>
      </c>
    </row>
    <row r="5" spans="1:24">
      <c r="A5" s="4">
        <f>(VLOOKUP(' 6.0.00'!I5,' 6.0.00'!$AM$4:$AO$55,2,FALSE))*IF(' 6.0.00'!AK$4="是",' 6.0.00'!$AX$4,' 6.0.00'!$AX$3)</f>
        <v>0</v>
      </c>
      <c r="B5" s="4">
        <f>(VLOOKUP(' 6.0.00'!J5,' 6.0.00'!$AM$4:$AO$55,2,FALSE))*IF(' 6.0.00'!AL$4="是",' 6.0.00'!$AX$4,' 6.0.00'!$AX$3)</f>
        <v>0</v>
      </c>
      <c r="C5" s="4">
        <f>(VLOOKUP(' 6.0.00'!K5,' 6.0.00'!$AM$4:$AO$55,2,FALSE))*IF(' 6.0.00'!AM$4="是",' 6.0.00'!$AX$4,' 6.0.00'!$AX$3)</f>
        <v>0</v>
      </c>
      <c r="D5" s="4">
        <f>(VLOOKUP(' 6.0.00'!L5,' 6.0.00'!$AM$4:$AO$55,2,FALSE))*IF(' 6.0.00'!AN$4="是",' 6.0.00'!$AX$4,' 6.0.00'!$AX$3)</f>
        <v>0</v>
      </c>
      <c r="E5" s="4">
        <f>(VLOOKUP(' 6.0.00'!M5,' 6.0.00'!$AM$4:$AO$55,2,FALSE))*IF(' 6.0.00'!AO$4="是",' 6.0.00'!$AX$4,' 6.0.00'!$AX$3)</f>
        <v>0</v>
      </c>
      <c r="F5" s="4">
        <f>(VLOOKUP(' 6.0.00'!N5,' 6.0.00'!$AM$4:$AO$55,2,FALSE))*IF(' 6.0.00'!AP$4="是",' 6.0.00'!$AX$4,' 6.0.00'!$AX$3)</f>
        <v>0</v>
      </c>
      <c r="G5" s="5">
        <f>(VLOOKUP(' 6.0.00'!O5,' 6.0.00'!$AM$4:$AO$55,2,FALSE))*IF(' 6.0.00'!AQ$4="是",' 6.0.00'!$AX$4,' 6.0.00'!$AX$3)</f>
        <v>0</v>
      </c>
      <c r="H5" s="5">
        <f>(VLOOKUP(' 6.0.00'!P5,' 6.0.00'!$AM$4:$AO$55,2,FALSE))*IF(' 6.0.00'!AR$4="是",' 6.0.00'!$AX$4,' 6.0.00'!$AX$3)</f>
        <v>0</v>
      </c>
      <c r="I5" s="4">
        <f>(VLOOKUP(' 6.0.00'!Q5,' 6.0.00'!$AM$4:$AO$55,2,FALSE))*IF(' 6.0.00'!AS$4="是",' 6.0.00'!$AX$4,' 6.0.00'!$AX$3)</f>
        <v>0</v>
      </c>
      <c r="J5" s="4">
        <f>(VLOOKUP(' 6.0.00'!R5,' 6.0.00'!$AM$4:$AO$55,2,FALSE))*IF(' 6.0.00'!AT$4="是",' 6.0.00'!$AX$4,' 6.0.00'!$AX$3)</f>
        <v>0</v>
      </c>
      <c r="K5" s="4">
        <f>(VLOOKUP(' 6.0.00'!S5,' 6.0.00'!$AM$4:$AO$55,2,FALSE))*IF(' 6.0.00'!AU$4="是",' 6.0.00'!$AX$4,' 6.0.00'!$AX$3)</f>
        <v>0</v>
      </c>
      <c r="L5" s="4">
        <f>(VLOOKUP(' 6.0.00'!T5,' 6.0.00'!$AM$4:$AO$55,2,FALSE))*IF(' 6.0.00'!AV$4="是",' 6.0.00'!$AX$4,' 6.0.00'!$AX$3)</f>
        <v>0</v>
      </c>
      <c r="M5" s="4">
        <f>(VLOOKUP(' 6.0.00'!U5,' 6.0.00'!$AM$4:$AO$55,2,FALSE))*IF(' 6.0.00'!AW$4="是",' 6.0.00'!$AX$4,' 6.0.00'!$AX$3)</f>
        <v>0</v>
      </c>
      <c r="N5" s="4">
        <f>(VLOOKUP(' 6.0.00'!V5,' 6.0.00'!$AM$4:$AO$55,2,FALSE))*IF(' 6.0.00'!AX$4="是",' 6.0.00'!$AX$4,' 6.0.00'!$AX$3)</f>
        <v>0</v>
      </c>
      <c r="O5" s="5">
        <f>(VLOOKUP(' 6.0.00'!W5,' 6.0.00'!$AM$4:$AO$55,2,FALSE))*IF(' 6.0.00'!AY$4="是",' 6.0.00'!$AX$4,' 6.0.00'!$AX$3)</f>
        <v>0</v>
      </c>
      <c r="P5" s="5">
        <f>(VLOOKUP(' 6.0.00'!X5,' 6.0.00'!$AM$4:$AO$55,2,FALSE))*IF(' 6.0.00'!AZ$4="是",' 6.0.00'!$AX$4,' 6.0.00'!$AX$3)</f>
        <v>0</v>
      </c>
      <c r="Q5" s="4">
        <f>(VLOOKUP(' 6.0.00'!Y5,' 6.0.00'!$AM$4:$AO$55,2,FALSE))*IF(' 6.0.00'!BA$4="是",' 6.0.00'!$AX$4,' 6.0.00'!$AX$3)</f>
        <v>0</v>
      </c>
      <c r="R5" s="4">
        <f>(VLOOKUP(' 6.0.00'!Z5,' 6.0.00'!$AM$4:$AO$55,2,FALSE))*IF(' 6.0.00'!BB$4="是",' 6.0.00'!$AX$4,' 6.0.00'!$AX$3)</f>
        <v>0</v>
      </c>
      <c r="S5" s="4">
        <f>(VLOOKUP(' 6.0.00'!AA5,' 6.0.00'!$AM$4:$AO$55,2,FALSE))*IF(' 6.0.00'!BC$4="是",' 6.0.00'!$AX$4,' 6.0.00'!$AX$3)</f>
        <v>0</v>
      </c>
      <c r="T5" s="4">
        <f>(VLOOKUP(' 6.0.00'!AB5,' 6.0.00'!$AM$4:$AO$55,2,FALSE))*IF(' 6.0.00'!BD$4="是",' 6.0.00'!$AX$4,' 6.0.00'!$AX$3)</f>
        <v>0</v>
      </c>
      <c r="U5" s="4">
        <f>(VLOOKUP(' 6.0.00'!AC5,' 6.0.00'!$AM$4:$AO$55,2,FALSE))*IF(' 6.0.00'!BE$4="是",' 6.0.00'!$AX$4,' 6.0.00'!$AX$3)</f>
        <v>0</v>
      </c>
      <c r="V5" s="4">
        <f>(VLOOKUP(' 6.0.00'!AD5,' 6.0.00'!$AM$4:$AO$55,2,FALSE))*IF(' 6.0.00'!BF$4="是",' 6.0.00'!$AX$4,' 6.0.00'!$AX$3)</f>
        <v>0</v>
      </c>
      <c r="W5" s="5">
        <f>(VLOOKUP(' 6.0.00'!AE5,' 6.0.00'!$AM$4:$AO$55,2,FALSE))*IF(' 6.0.00'!BG$4="是",' 6.0.00'!$AX$4,' 6.0.00'!$AX$3)</f>
        <v>0</v>
      </c>
      <c r="X5" s="5">
        <f>(VLOOKUP(' 6.0.00'!AF5,' 6.0.00'!$AM$4:$AO$55,2,FALSE))*IF(' 6.0.00'!BH$4="是",' 6.0.00'!$AX$4,' 6.0.00'!$AX$3)</f>
        <v>0</v>
      </c>
    </row>
    <row r="6" spans="1:24">
      <c r="A6" s="4">
        <f>(VLOOKUP(' 6.0.00'!I6,' 6.0.00'!$AM$4:$AO$55,2,FALSE))*IF(' 6.0.00'!AK$4="是",' 6.0.00'!$AX$4,' 6.0.00'!$AX$3)</f>
        <v>0</v>
      </c>
      <c r="B6" s="4">
        <f>(VLOOKUP(' 6.0.00'!J6,' 6.0.00'!$AM$4:$AO$55,2,FALSE))*IF(' 6.0.00'!AL$4="是",' 6.0.00'!$AX$4,' 6.0.00'!$AX$3)</f>
        <v>0</v>
      </c>
      <c r="C6" s="4">
        <f>(VLOOKUP(' 6.0.00'!K6,' 6.0.00'!$AM$4:$AO$55,2,FALSE))*IF(' 6.0.00'!AM$4="是",' 6.0.00'!$AX$4,' 6.0.00'!$AX$3)</f>
        <v>0</v>
      </c>
      <c r="D6" s="4">
        <f>(VLOOKUP(' 6.0.00'!L6,' 6.0.00'!$AM$4:$AO$55,2,FALSE))*IF(' 6.0.00'!AN$4="是",' 6.0.00'!$AX$4,' 6.0.00'!$AX$3)</f>
        <v>0</v>
      </c>
      <c r="E6" s="4">
        <f>(VLOOKUP(' 6.0.00'!M6,' 6.0.00'!$AM$4:$AO$55,2,FALSE))*IF(' 6.0.00'!AO$4="是",' 6.0.00'!$AX$4,' 6.0.00'!$AX$3)</f>
        <v>0</v>
      </c>
      <c r="F6" s="4">
        <f>(VLOOKUP(' 6.0.00'!N6,' 6.0.00'!$AM$4:$AO$55,2,FALSE))*IF(' 6.0.00'!AP$4="是",' 6.0.00'!$AX$4,' 6.0.00'!$AX$3)</f>
        <v>0</v>
      </c>
      <c r="G6" s="5">
        <f>(VLOOKUP(' 6.0.00'!O6,' 6.0.00'!$AM$4:$AO$55,2,FALSE))*IF(' 6.0.00'!AQ$4="是",' 6.0.00'!$AX$4,' 6.0.00'!$AX$3)</f>
        <v>0</v>
      </c>
      <c r="H6" s="5">
        <f>(VLOOKUP(' 6.0.00'!P6,' 6.0.00'!$AM$4:$AO$55,2,FALSE))*IF(' 6.0.00'!AR$4="是",' 6.0.00'!$AX$4,' 6.0.00'!$AX$3)</f>
        <v>0</v>
      </c>
      <c r="I6" s="4">
        <f>(VLOOKUP(' 6.0.00'!Q6,' 6.0.00'!$AM$4:$AO$55,2,FALSE))*IF(' 6.0.00'!AS$4="是",' 6.0.00'!$AX$4,' 6.0.00'!$AX$3)</f>
        <v>0</v>
      </c>
      <c r="J6" s="4">
        <f>(VLOOKUP(' 6.0.00'!R6,' 6.0.00'!$AM$4:$AO$55,2,FALSE))*IF(' 6.0.00'!AT$4="是",' 6.0.00'!$AX$4,' 6.0.00'!$AX$3)</f>
        <v>0</v>
      </c>
      <c r="K6" s="4">
        <f>(VLOOKUP(' 6.0.00'!S6,' 6.0.00'!$AM$4:$AO$55,2,FALSE))*IF(' 6.0.00'!AU$4="是",' 6.0.00'!$AX$4,' 6.0.00'!$AX$3)</f>
        <v>0</v>
      </c>
      <c r="L6" s="4">
        <f>(VLOOKUP(' 6.0.00'!T6,' 6.0.00'!$AM$4:$AO$55,2,FALSE))*IF(' 6.0.00'!AV$4="是",' 6.0.00'!$AX$4,' 6.0.00'!$AX$3)</f>
        <v>0</v>
      </c>
      <c r="M6" s="4">
        <f>(VLOOKUP(' 6.0.00'!U6,' 6.0.00'!$AM$4:$AO$55,2,FALSE))*IF(' 6.0.00'!AW$4="是",' 6.0.00'!$AX$4,' 6.0.00'!$AX$3)</f>
        <v>0</v>
      </c>
      <c r="N6" s="4">
        <f>(VLOOKUP(' 6.0.00'!V6,' 6.0.00'!$AM$4:$AO$55,2,FALSE))*IF(' 6.0.00'!AX$4="是",' 6.0.00'!$AX$4,' 6.0.00'!$AX$3)</f>
        <v>0</v>
      </c>
      <c r="O6" s="5">
        <f>(VLOOKUP(' 6.0.00'!W6,' 6.0.00'!$AM$4:$AO$55,2,FALSE))*IF(' 6.0.00'!AY$4="是",' 6.0.00'!$AX$4,' 6.0.00'!$AX$3)</f>
        <v>0</v>
      </c>
      <c r="P6" s="5">
        <f>(VLOOKUP(' 6.0.00'!X6,' 6.0.00'!$AM$4:$AO$55,2,FALSE))*IF(' 6.0.00'!AZ$4="是",' 6.0.00'!$AX$4,' 6.0.00'!$AX$3)</f>
        <v>0</v>
      </c>
      <c r="Q6" s="4">
        <f>(VLOOKUP(' 6.0.00'!Y6,' 6.0.00'!$AM$4:$AO$55,2,FALSE))*IF(' 6.0.00'!BA$4="是",' 6.0.00'!$AX$4,' 6.0.00'!$AX$3)</f>
        <v>0</v>
      </c>
      <c r="R6" s="4">
        <f>(VLOOKUP(' 6.0.00'!Z6,' 6.0.00'!$AM$4:$AO$55,2,FALSE))*IF(' 6.0.00'!BB$4="是",' 6.0.00'!$AX$4,' 6.0.00'!$AX$3)</f>
        <v>0</v>
      </c>
      <c r="S6" s="4">
        <f>(VLOOKUP(' 6.0.00'!AA6,' 6.0.00'!$AM$4:$AO$55,2,FALSE))*IF(' 6.0.00'!BC$4="是",' 6.0.00'!$AX$4,' 6.0.00'!$AX$3)</f>
        <v>0</v>
      </c>
      <c r="T6" s="4">
        <f>(VLOOKUP(' 6.0.00'!AB6,' 6.0.00'!$AM$4:$AO$55,2,FALSE))*IF(' 6.0.00'!BD$4="是",' 6.0.00'!$AX$4,' 6.0.00'!$AX$3)</f>
        <v>0</v>
      </c>
      <c r="U6" s="4">
        <f>(VLOOKUP(' 6.0.00'!AC6,' 6.0.00'!$AM$4:$AO$55,2,FALSE))*IF(' 6.0.00'!BE$4="是",' 6.0.00'!$AX$4,' 6.0.00'!$AX$3)</f>
        <v>0</v>
      </c>
      <c r="V6" s="4">
        <f>(VLOOKUP(' 6.0.00'!AD6,' 6.0.00'!$AM$4:$AO$55,2,FALSE))*IF(' 6.0.00'!BF$4="是",' 6.0.00'!$AX$4,' 6.0.00'!$AX$3)</f>
        <v>0</v>
      </c>
      <c r="W6" s="5">
        <f>(VLOOKUP(' 6.0.00'!AE6,' 6.0.00'!$AM$4:$AO$55,2,FALSE))*IF(' 6.0.00'!BG$4="是",' 6.0.00'!$AX$4,' 6.0.00'!$AX$3)</f>
        <v>0</v>
      </c>
      <c r="X6" s="5">
        <f>(VLOOKUP(' 6.0.00'!AF6,' 6.0.00'!$AM$4:$AO$55,2,FALSE))*IF(' 6.0.00'!BH$4="是",' 6.0.00'!$AX$4,' 6.0.00'!$AX$3)</f>
        <v>0</v>
      </c>
    </row>
    <row r="7" spans="1:24">
      <c r="A7" s="4">
        <f>(VLOOKUP(' 6.0.00'!I7,' 6.0.00'!$AM$4:$AO$55,2,FALSE))*IF(' 6.0.00'!AK$4="是",' 6.0.00'!$AX$4,' 6.0.00'!$AX$3)</f>
        <v>0</v>
      </c>
      <c r="B7" s="4">
        <f>(VLOOKUP(' 6.0.00'!J7,' 6.0.00'!$AM$4:$AO$55,2,FALSE))*IF(' 6.0.00'!AL$4="是",' 6.0.00'!$AX$4,' 6.0.00'!$AX$3)</f>
        <v>0</v>
      </c>
      <c r="C7" s="4">
        <f>(VLOOKUP(' 6.0.00'!K7,' 6.0.00'!$AM$4:$AO$55,2,FALSE))*IF(' 6.0.00'!AM$4="是",' 6.0.00'!$AX$4,' 6.0.00'!$AX$3)</f>
        <v>0</v>
      </c>
      <c r="D7" s="4">
        <f>(VLOOKUP(' 6.0.00'!L7,' 6.0.00'!$AM$4:$AO$55,2,FALSE))*IF(' 6.0.00'!AN$4="是",' 6.0.00'!$AX$4,' 6.0.00'!$AX$3)</f>
        <v>0</v>
      </c>
      <c r="E7" s="4">
        <f>(VLOOKUP(' 6.0.00'!M7,' 6.0.00'!$AM$4:$AO$55,2,FALSE))*IF(' 6.0.00'!AO$4="是",' 6.0.00'!$AX$4,' 6.0.00'!$AX$3)</f>
        <v>0</v>
      </c>
      <c r="F7" s="4">
        <f>(VLOOKUP(' 6.0.00'!N7,' 6.0.00'!$AM$4:$AO$55,2,FALSE))*IF(' 6.0.00'!AP$4="是",' 6.0.00'!$AX$4,' 6.0.00'!$AX$3)</f>
        <v>0</v>
      </c>
      <c r="G7" s="5">
        <f>(VLOOKUP(' 6.0.00'!O7,' 6.0.00'!$AM$4:$AO$55,2,FALSE))*IF(' 6.0.00'!AQ$4="是",' 6.0.00'!$AX$4,' 6.0.00'!$AX$3)</f>
        <v>0</v>
      </c>
      <c r="H7" s="5">
        <f>(VLOOKUP(' 6.0.00'!P7,' 6.0.00'!$AM$4:$AO$55,2,FALSE))*IF(' 6.0.00'!AR$4="是",' 6.0.00'!$AX$4,' 6.0.00'!$AX$3)</f>
        <v>0</v>
      </c>
      <c r="I7" s="4">
        <f>(VLOOKUP(' 6.0.00'!Q7,' 6.0.00'!$AM$4:$AO$55,2,FALSE))*IF(' 6.0.00'!AS$4="是",' 6.0.00'!$AX$4,' 6.0.00'!$AX$3)</f>
        <v>0</v>
      </c>
      <c r="J7" s="4">
        <f>(VLOOKUP(' 6.0.00'!R7,' 6.0.00'!$AM$4:$AO$55,2,FALSE))*IF(' 6.0.00'!AT$4="是",' 6.0.00'!$AX$4,' 6.0.00'!$AX$3)</f>
        <v>0</v>
      </c>
      <c r="K7" s="4">
        <f>(VLOOKUP(' 6.0.00'!S7,' 6.0.00'!$AM$4:$AO$55,2,FALSE))*IF(' 6.0.00'!AU$4="是",' 6.0.00'!$AX$4,' 6.0.00'!$AX$3)</f>
        <v>0</v>
      </c>
      <c r="L7" s="4">
        <f>(VLOOKUP(' 6.0.00'!T7,' 6.0.00'!$AM$4:$AO$55,2,FALSE))*IF(' 6.0.00'!AV$4="是",' 6.0.00'!$AX$4,' 6.0.00'!$AX$3)</f>
        <v>0</v>
      </c>
      <c r="M7" s="4">
        <f>(VLOOKUP(' 6.0.00'!U7,' 6.0.00'!$AM$4:$AO$55,2,FALSE))*IF(' 6.0.00'!AW$4="是",' 6.0.00'!$AX$4,' 6.0.00'!$AX$3)</f>
        <v>0</v>
      </c>
      <c r="N7" s="4">
        <f>(VLOOKUP(' 6.0.00'!V7,' 6.0.00'!$AM$4:$AO$55,2,FALSE))*IF(' 6.0.00'!AX$4="是",' 6.0.00'!$AX$4,' 6.0.00'!$AX$3)</f>
        <v>0</v>
      </c>
      <c r="O7" s="5">
        <f>(VLOOKUP(' 6.0.00'!W7,' 6.0.00'!$AM$4:$AO$55,2,FALSE))*IF(' 6.0.00'!AY$4="是",' 6.0.00'!$AX$4,' 6.0.00'!$AX$3)</f>
        <v>0</v>
      </c>
      <c r="P7" s="5">
        <f>(VLOOKUP(' 6.0.00'!X7,' 6.0.00'!$AM$4:$AO$55,2,FALSE))*IF(' 6.0.00'!AZ$4="是",' 6.0.00'!$AX$4,' 6.0.00'!$AX$3)</f>
        <v>0</v>
      </c>
      <c r="Q7" s="4">
        <f>(VLOOKUP(' 6.0.00'!Y7,' 6.0.00'!$AM$4:$AO$55,2,FALSE))*IF(' 6.0.00'!BA$4="是",' 6.0.00'!$AX$4,' 6.0.00'!$AX$3)</f>
        <v>0</v>
      </c>
      <c r="R7" s="4">
        <f>(VLOOKUP(' 6.0.00'!Z7,' 6.0.00'!$AM$4:$AO$55,2,FALSE))*IF(' 6.0.00'!BB$4="是",' 6.0.00'!$AX$4,' 6.0.00'!$AX$3)</f>
        <v>0</v>
      </c>
      <c r="S7" s="4">
        <f>(VLOOKUP(' 6.0.00'!AA7,' 6.0.00'!$AM$4:$AO$55,2,FALSE))*IF(' 6.0.00'!BC$4="是",' 6.0.00'!$AX$4,' 6.0.00'!$AX$3)</f>
        <v>0</v>
      </c>
      <c r="T7" s="4">
        <f>(VLOOKUP(' 6.0.00'!AB7,' 6.0.00'!$AM$4:$AO$55,2,FALSE))*IF(' 6.0.00'!BD$4="是",' 6.0.00'!$AX$4,' 6.0.00'!$AX$3)</f>
        <v>0</v>
      </c>
      <c r="U7" s="4">
        <f>(VLOOKUP(' 6.0.00'!AC7,' 6.0.00'!$AM$4:$AO$55,2,FALSE))*IF(' 6.0.00'!BE$4="是",' 6.0.00'!$AX$4,' 6.0.00'!$AX$3)</f>
        <v>0</v>
      </c>
      <c r="V7" s="4">
        <f>(VLOOKUP(' 6.0.00'!AD7,' 6.0.00'!$AM$4:$AO$55,2,FALSE))*IF(' 6.0.00'!BF$4="是",' 6.0.00'!$AX$4,' 6.0.00'!$AX$3)</f>
        <v>0</v>
      </c>
      <c r="W7" s="5">
        <f>(VLOOKUP(' 6.0.00'!AE7,' 6.0.00'!$AM$4:$AO$55,2,FALSE))*IF(' 6.0.00'!BG$4="是",' 6.0.00'!$AX$4,' 6.0.00'!$AX$3)</f>
        <v>0</v>
      </c>
      <c r="X7" s="5">
        <f>(VLOOKUP(' 6.0.00'!AF7,' 6.0.00'!$AM$4:$AO$55,2,FALSE))*IF(' 6.0.00'!BH$4="是",' 6.0.00'!$AX$4,' 6.0.00'!$AX$3)</f>
        <v>0</v>
      </c>
    </row>
    <row r="8" spans="1:24">
      <c r="A8" s="4">
        <f>(VLOOKUP(' 6.0.00'!I8,' 6.0.00'!$AM$4:$AO$55,2,FALSE))*IF(' 6.0.00'!AK$4="是",' 6.0.00'!$AX$4,' 6.0.00'!$AX$3)</f>
        <v>0</v>
      </c>
      <c r="B8" s="4">
        <f>(VLOOKUP(' 6.0.00'!J8,' 6.0.00'!$AM$4:$AO$55,2,FALSE))*IF(' 6.0.00'!AL$4="是",' 6.0.00'!$AX$4,' 6.0.00'!$AX$3)</f>
        <v>0</v>
      </c>
      <c r="C8" s="4">
        <f>(VLOOKUP(' 6.0.00'!K8,' 6.0.00'!$AM$4:$AO$55,2,FALSE))*IF(' 6.0.00'!AM$4="是",' 6.0.00'!$AX$4,' 6.0.00'!$AX$3)</f>
        <v>0</v>
      </c>
      <c r="D8" s="4">
        <f>(VLOOKUP(' 6.0.00'!L8,' 6.0.00'!$AM$4:$AO$55,2,FALSE))*IF(' 6.0.00'!AN$4="是",' 6.0.00'!$AX$4,' 6.0.00'!$AX$3)</f>
        <v>0</v>
      </c>
      <c r="E8" s="4">
        <f>(VLOOKUP(' 6.0.00'!M8,' 6.0.00'!$AM$4:$AO$55,2,FALSE))*IF(' 6.0.00'!AO$4="是",' 6.0.00'!$AX$4,' 6.0.00'!$AX$3)</f>
        <v>0</v>
      </c>
      <c r="F8" s="4">
        <f>(VLOOKUP(' 6.0.00'!N8,' 6.0.00'!$AM$4:$AO$55,2,FALSE))*IF(' 6.0.00'!AP$4="是",' 6.0.00'!$AX$4,' 6.0.00'!$AX$3)</f>
        <v>0</v>
      </c>
      <c r="G8" s="5">
        <f>(VLOOKUP(' 6.0.00'!O8,' 6.0.00'!$AM$4:$AO$55,2,FALSE))*IF(' 6.0.00'!AQ$4="是",' 6.0.00'!$AX$4,' 6.0.00'!$AX$3)</f>
        <v>0</v>
      </c>
      <c r="H8" s="5">
        <f>(VLOOKUP(' 6.0.00'!P8,' 6.0.00'!$AM$4:$AO$55,2,FALSE))*IF(' 6.0.00'!AR$4="是",' 6.0.00'!$AX$4,' 6.0.00'!$AX$3)</f>
        <v>0</v>
      </c>
      <c r="I8" s="4">
        <f>(VLOOKUP(' 6.0.00'!Q8,' 6.0.00'!$AM$4:$AO$55,2,FALSE))*IF(' 6.0.00'!AS$4="是",' 6.0.00'!$AX$4,' 6.0.00'!$AX$3)</f>
        <v>0</v>
      </c>
      <c r="J8" s="4">
        <f>(VLOOKUP(' 6.0.00'!R8,' 6.0.00'!$AM$4:$AO$55,2,FALSE))*IF(' 6.0.00'!AT$4="是",' 6.0.00'!$AX$4,' 6.0.00'!$AX$3)</f>
        <v>0</v>
      </c>
      <c r="K8" s="4">
        <f>(VLOOKUP(' 6.0.00'!S8,' 6.0.00'!$AM$4:$AO$55,2,FALSE))*IF(' 6.0.00'!AU$4="是",' 6.0.00'!$AX$4,' 6.0.00'!$AX$3)</f>
        <v>0</v>
      </c>
      <c r="L8" s="4">
        <f>(VLOOKUP(' 6.0.00'!T8,' 6.0.00'!$AM$4:$AO$55,2,FALSE))*IF(' 6.0.00'!AV$4="是",' 6.0.00'!$AX$4,' 6.0.00'!$AX$3)</f>
        <v>0</v>
      </c>
      <c r="M8" s="4">
        <f>(VLOOKUP(' 6.0.00'!U8,' 6.0.00'!$AM$4:$AO$55,2,FALSE))*IF(' 6.0.00'!AW$4="是",' 6.0.00'!$AX$4,' 6.0.00'!$AX$3)</f>
        <v>0</v>
      </c>
      <c r="N8" s="4">
        <f>(VLOOKUP(' 6.0.00'!V8,' 6.0.00'!$AM$4:$AO$55,2,FALSE))*IF(' 6.0.00'!AX$4="是",' 6.0.00'!$AX$4,' 6.0.00'!$AX$3)</f>
        <v>0</v>
      </c>
      <c r="O8" s="5">
        <f>(VLOOKUP(' 6.0.00'!W8,' 6.0.00'!$AM$4:$AO$55,2,FALSE))*IF(' 6.0.00'!AY$4="是",' 6.0.00'!$AX$4,' 6.0.00'!$AX$3)</f>
        <v>0</v>
      </c>
      <c r="P8" s="5">
        <f>(VLOOKUP(' 6.0.00'!X8,' 6.0.00'!$AM$4:$AO$55,2,FALSE))*IF(' 6.0.00'!AZ$4="是",' 6.0.00'!$AX$4,' 6.0.00'!$AX$3)</f>
        <v>0</v>
      </c>
      <c r="Q8" s="4">
        <f>(VLOOKUP(' 6.0.00'!Y8,' 6.0.00'!$AM$4:$AO$55,2,FALSE))*IF(' 6.0.00'!BA$4="是",' 6.0.00'!$AX$4,' 6.0.00'!$AX$3)</f>
        <v>0</v>
      </c>
      <c r="R8" s="4">
        <f>(VLOOKUP(' 6.0.00'!Z8,' 6.0.00'!$AM$4:$AO$55,2,FALSE))*IF(' 6.0.00'!BB$4="是",' 6.0.00'!$AX$4,' 6.0.00'!$AX$3)</f>
        <v>0</v>
      </c>
      <c r="S8" s="4">
        <f>(VLOOKUP(' 6.0.00'!AA8,' 6.0.00'!$AM$4:$AO$55,2,FALSE))*IF(' 6.0.00'!BC$4="是",' 6.0.00'!$AX$4,' 6.0.00'!$AX$3)</f>
        <v>0</v>
      </c>
      <c r="T8" s="4">
        <f>(VLOOKUP(' 6.0.00'!AB8,' 6.0.00'!$AM$4:$AO$55,2,FALSE))*IF(' 6.0.00'!BD$4="是",' 6.0.00'!$AX$4,' 6.0.00'!$AX$3)</f>
        <v>0</v>
      </c>
      <c r="U8" s="4">
        <f>(VLOOKUP(' 6.0.00'!AC8,' 6.0.00'!$AM$4:$AO$55,2,FALSE))*IF(' 6.0.00'!BE$4="是",' 6.0.00'!$AX$4,' 6.0.00'!$AX$3)</f>
        <v>0</v>
      </c>
      <c r="V8" s="4">
        <f>(VLOOKUP(' 6.0.00'!AD8,' 6.0.00'!$AM$4:$AO$55,2,FALSE))*IF(' 6.0.00'!BF$4="是",' 6.0.00'!$AX$4,' 6.0.00'!$AX$3)</f>
        <v>0</v>
      </c>
      <c r="W8" s="5">
        <f>(VLOOKUP(' 6.0.00'!AE8,' 6.0.00'!$AM$4:$AO$55,2,FALSE))*IF(' 6.0.00'!BG$4="是",' 6.0.00'!$AX$4,' 6.0.00'!$AX$3)</f>
        <v>0</v>
      </c>
      <c r="X8" s="5">
        <f>(VLOOKUP(' 6.0.00'!AF8,' 6.0.00'!$AM$4:$AO$55,2,FALSE))*IF(' 6.0.00'!BH$4="是",' 6.0.00'!$AX$4,' 6.0.00'!$AX$3)</f>
        <v>0</v>
      </c>
    </row>
    <row r="9" spans="1:24">
      <c r="A9" s="4">
        <f>(VLOOKUP(' 6.0.00'!I9,' 6.0.00'!$AM$4:$AO$55,2,FALSE))*IF(' 6.0.00'!AK$4="是",' 6.0.00'!$AX$4,' 6.0.00'!$AX$3)</f>
        <v>0</v>
      </c>
      <c r="B9" s="4">
        <f>(VLOOKUP(' 6.0.00'!J9,' 6.0.00'!$AM$4:$AO$55,2,FALSE))*IF(' 6.0.00'!AL$4="是",' 6.0.00'!$AX$4,' 6.0.00'!$AX$3)</f>
        <v>0</v>
      </c>
      <c r="C9" s="4">
        <f>(VLOOKUP(' 6.0.00'!K9,' 6.0.00'!$AM$4:$AO$55,2,FALSE))*IF(' 6.0.00'!AM$4="是",' 6.0.00'!$AX$4,' 6.0.00'!$AX$3)</f>
        <v>0</v>
      </c>
      <c r="D9" s="4">
        <f>(VLOOKUP(' 6.0.00'!L9,' 6.0.00'!$AM$4:$AO$55,2,FALSE))*IF(' 6.0.00'!AN$4="是",' 6.0.00'!$AX$4,' 6.0.00'!$AX$3)</f>
        <v>0</v>
      </c>
      <c r="E9" s="4">
        <f>(VLOOKUP(' 6.0.00'!M9,' 6.0.00'!$AM$4:$AO$55,2,FALSE))*IF(' 6.0.00'!AO$4="是",' 6.0.00'!$AX$4,' 6.0.00'!$AX$3)</f>
        <v>0</v>
      </c>
      <c r="F9" s="4">
        <f>(VLOOKUP(' 6.0.00'!N9,' 6.0.00'!$AM$4:$AO$55,2,FALSE))*IF(' 6.0.00'!AP$4="是",' 6.0.00'!$AX$4,' 6.0.00'!$AX$3)</f>
        <v>0</v>
      </c>
      <c r="G9" s="5">
        <f>(VLOOKUP(' 6.0.00'!O9,' 6.0.00'!$AM$4:$AO$55,2,FALSE))*IF(' 6.0.00'!AQ$4="是",' 6.0.00'!$AX$4,' 6.0.00'!$AX$3)</f>
        <v>0</v>
      </c>
      <c r="H9" s="5">
        <f>(VLOOKUP(' 6.0.00'!P9,' 6.0.00'!$AM$4:$AO$55,2,FALSE))*IF(' 6.0.00'!AR$4="是",' 6.0.00'!$AX$4,' 6.0.00'!$AX$3)</f>
        <v>0</v>
      </c>
      <c r="I9" s="4">
        <f>(VLOOKUP(' 6.0.00'!Q9,' 6.0.00'!$AM$4:$AO$55,2,FALSE))*IF(' 6.0.00'!AS$4="是",' 6.0.00'!$AX$4,' 6.0.00'!$AX$3)</f>
        <v>0</v>
      </c>
      <c r="J9" s="4">
        <f>(VLOOKUP(' 6.0.00'!R9,' 6.0.00'!$AM$4:$AO$55,2,FALSE))*IF(' 6.0.00'!AT$4="是",' 6.0.00'!$AX$4,' 6.0.00'!$AX$3)</f>
        <v>0</v>
      </c>
      <c r="K9" s="4">
        <f>(VLOOKUP(' 6.0.00'!S9,' 6.0.00'!$AM$4:$AO$55,2,FALSE))*IF(' 6.0.00'!AU$4="是",' 6.0.00'!$AX$4,' 6.0.00'!$AX$3)</f>
        <v>0</v>
      </c>
      <c r="L9" s="4">
        <f>(VLOOKUP(' 6.0.00'!T9,' 6.0.00'!$AM$4:$AO$55,2,FALSE))*IF(' 6.0.00'!AV$4="是",' 6.0.00'!$AX$4,' 6.0.00'!$AX$3)</f>
        <v>0</v>
      </c>
      <c r="M9" s="4">
        <f>(VLOOKUP(' 6.0.00'!U9,' 6.0.00'!$AM$4:$AO$55,2,FALSE))*IF(' 6.0.00'!AW$4="是",' 6.0.00'!$AX$4,' 6.0.00'!$AX$3)</f>
        <v>0</v>
      </c>
      <c r="N9" s="4">
        <f>(VLOOKUP(' 6.0.00'!V9,' 6.0.00'!$AM$4:$AO$55,2,FALSE))*IF(' 6.0.00'!AX$4="是",' 6.0.00'!$AX$4,' 6.0.00'!$AX$3)</f>
        <v>0</v>
      </c>
      <c r="O9" s="5">
        <f>(VLOOKUP(' 6.0.00'!W9,' 6.0.00'!$AM$4:$AO$55,2,FALSE))*IF(' 6.0.00'!AY$4="是",' 6.0.00'!$AX$4,' 6.0.00'!$AX$3)</f>
        <v>0</v>
      </c>
      <c r="P9" s="5">
        <f>(VLOOKUP(' 6.0.00'!X9,' 6.0.00'!$AM$4:$AO$55,2,FALSE))*IF(' 6.0.00'!AZ$4="是",' 6.0.00'!$AX$4,' 6.0.00'!$AX$3)</f>
        <v>0</v>
      </c>
      <c r="Q9" s="4">
        <f>(VLOOKUP(' 6.0.00'!Y9,' 6.0.00'!$AM$4:$AO$55,2,FALSE))*IF(' 6.0.00'!BA$4="是",' 6.0.00'!$AX$4,' 6.0.00'!$AX$3)</f>
        <v>0</v>
      </c>
      <c r="R9" s="4">
        <f>(VLOOKUP(' 6.0.00'!Z9,' 6.0.00'!$AM$4:$AO$55,2,FALSE))*IF(' 6.0.00'!BB$4="是",' 6.0.00'!$AX$4,' 6.0.00'!$AX$3)</f>
        <v>0</v>
      </c>
      <c r="S9" s="4">
        <f>(VLOOKUP(' 6.0.00'!AA9,' 6.0.00'!$AM$4:$AO$55,2,FALSE))*IF(' 6.0.00'!BC$4="是",' 6.0.00'!$AX$4,' 6.0.00'!$AX$3)</f>
        <v>0</v>
      </c>
      <c r="T9" s="4">
        <f>(VLOOKUP(' 6.0.00'!AB9,' 6.0.00'!$AM$4:$AO$55,2,FALSE))*IF(' 6.0.00'!BD$4="是",' 6.0.00'!$AX$4,' 6.0.00'!$AX$3)</f>
        <v>0</v>
      </c>
      <c r="U9" s="4">
        <f>(VLOOKUP(' 6.0.00'!AC9,' 6.0.00'!$AM$4:$AO$55,2,FALSE))*IF(' 6.0.00'!BE$4="是",' 6.0.00'!$AX$4,' 6.0.00'!$AX$3)</f>
        <v>0</v>
      </c>
      <c r="V9" s="4">
        <f>(VLOOKUP(' 6.0.00'!AD9,' 6.0.00'!$AM$4:$AO$55,2,FALSE))*IF(' 6.0.00'!BF$4="是",' 6.0.00'!$AX$4,' 6.0.00'!$AX$3)</f>
        <v>0</v>
      </c>
      <c r="W9" s="5">
        <f>(VLOOKUP(' 6.0.00'!AE9,' 6.0.00'!$AM$4:$AO$55,2,FALSE))*IF(' 6.0.00'!BG$4="是",' 6.0.00'!$AX$4,' 6.0.00'!$AX$3)</f>
        <v>0</v>
      </c>
      <c r="X9" s="5">
        <f>(VLOOKUP(' 6.0.00'!AF9,' 6.0.00'!$AM$4:$AO$55,2,FALSE))*IF(' 6.0.00'!BH$4="是",' 6.0.00'!$AX$4,' 6.0.00'!$AX$3)</f>
        <v>0</v>
      </c>
    </row>
    <row r="10" spans="1:24">
      <c r="A10" s="4">
        <f>(VLOOKUP(' 6.0.00'!I10,' 6.0.00'!$AM$4:$AO$55,2,FALSE))*IF(' 6.0.00'!AK$4="是",' 6.0.00'!$AX$4,' 6.0.00'!$AX$3)</f>
        <v>0</v>
      </c>
      <c r="B10" s="4">
        <f>(VLOOKUP(' 6.0.00'!J10,' 6.0.00'!$AM$4:$AO$55,2,FALSE))*IF(' 6.0.00'!AL$4="是",' 6.0.00'!$AX$4,' 6.0.00'!$AX$3)</f>
        <v>0</v>
      </c>
      <c r="C10" s="4">
        <f>(VLOOKUP(' 6.0.00'!K10,' 6.0.00'!$AM$4:$AO$55,2,FALSE))*IF(' 6.0.00'!AM$4="是",' 6.0.00'!$AX$4,' 6.0.00'!$AX$3)</f>
        <v>0</v>
      </c>
      <c r="D10" s="4">
        <f>(VLOOKUP(' 6.0.00'!L10,' 6.0.00'!$AM$4:$AO$55,2,FALSE))*IF(' 6.0.00'!AN$4="是",' 6.0.00'!$AX$4,' 6.0.00'!$AX$3)</f>
        <v>0</v>
      </c>
      <c r="E10" s="4">
        <f>(VLOOKUP(' 6.0.00'!M10,' 6.0.00'!$AM$4:$AO$55,2,FALSE))*IF(' 6.0.00'!AO$4="是",' 6.0.00'!$AX$4,' 6.0.00'!$AX$3)</f>
        <v>0</v>
      </c>
      <c r="F10" s="4">
        <f>(VLOOKUP(' 6.0.00'!N10,' 6.0.00'!$AM$4:$AO$55,2,FALSE))*IF(' 6.0.00'!AP$4="是",' 6.0.00'!$AX$4,' 6.0.00'!$AX$3)</f>
        <v>0</v>
      </c>
      <c r="G10" s="5">
        <f>(VLOOKUP(' 6.0.00'!O10,' 6.0.00'!$AM$4:$AO$55,2,FALSE))*IF(' 6.0.00'!AQ$4="是",' 6.0.00'!$AX$4,' 6.0.00'!$AX$3)</f>
        <v>0</v>
      </c>
      <c r="H10" s="5">
        <f>(VLOOKUP(' 6.0.00'!P10,' 6.0.00'!$AM$4:$AO$55,2,FALSE))*IF(' 6.0.00'!AR$4="是",' 6.0.00'!$AX$4,' 6.0.00'!$AX$3)</f>
        <v>0</v>
      </c>
      <c r="I10" s="4">
        <f>(VLOOKUP(' 6.0.00'!Q10,' 6.0.00'!$AM$4:$AO$55,2,FALSE))*IF(' 6.0.00'!AS$4="是",' 6.0.00'!$AX$4,' 6.0.00'!$AX$3)</f>
        <v>0</v>
      </c>
      <c r="J10" s="4">
        <f>(VLOOKUP(' 6.0.00'!R10,' 6.0.00'!$AM$4:$AO$55,2,FALSE))*IF(' 6.0.00'!AT$4="是",' 6.0.00'!$AX$4,' 6.0.00'!$AX$3)</f>
        <v>0</v>
      </c>
      <c r="K10" s="4">
        <f>(VLOOKUP(' 6.0.00'!S10,' 6.0.00'!$AM$4:$AO$55,2,FALSE))*IF(' 6.0.00'!AU$4="是",' 6.0.00'!$AX$4,' 6.0.00'!$AX$3)</f>
        <v>0</v>
      </c>
      <c r="L10" s="4">
        <f>(VLOOKUP(' 6.0.00'!T10,' 6.0.00'!$AM$4:$AO$55,2,FALSE))*IF(' 6.0.00'!AV$4="是",' 6.0.00'!$AX$4,' 6.0.00'!$AX$3)</f>
        <v>0</v>
      </c>
      <c r="M10" s="4">
        <f>(VLOOKUP(' 6.0.00'!U10,' 6.0.00'!$AM$4:$AO$55,2,FALSE))*IF(' 6.0.00'!AW$4="是",' 6.0.00'!$AX$4,' 6.0.00'!$AX$3)</f>
        <v>0</v>
      </c>
      <c r="N10" s="4">
        <f>(VLOOKUP(' 6.0.00'!V10,' 6.0.00'!$AM$4:$AO$55,2,FALSE))*IF(' 6.0.00'!AX$4="是",' 6.0.00'!$AX$4,' 6.0.00'!$AX$3)</f>
        <v>0</v>
      </c>
      <c r="O10" s="5">
        <f>(VLOOKUP(' 6.0.00'!W10,' 6.0.00'!$AM$4:$AO$55,2,FALSE))*IF(' 6.0.00'!AY$4="是",' 6.0.00'!$AX$4,' 6.0.00'!$AX$3)</f>
        <v>0</v>
      </c>
      <c r="P10" s="5">
        <f>(VLOOKUP(' 6.0.00'!X10,' 6.0.00'!$AM$4:$AO$55,2,FALSE))*IF(' 6.0.00'!AZ$4="是",' 6.0.00'!$AX$4,' 6.0.00'!$AX$3)</f>
        <v>0</v>
      </c>
      <c r="Q10" s="4">
        <f>(VLOOKUP(' 6.0.00'!Y10,' 6.0.00'!$AM$4:$AO$55,2,FALSE))*IF(' 6.0.00'!BA$4="是",' 6.0.00'!$AX$4,' 6.0.00'!$AX$3)</f>
        <v>0</v>
      </c>
      <c r="R10" s="4">
        <f>(VLOOKUP(' 6.0.00'!Z10,' 6.0.00'!$AM$4:$AO$55,2,FALSE))*IF(' 6.0.00'!BB$4="是",' 6.0.00'!$AX$4,' 6.0.00'!$AX$3)</f>
        <v>0</v>
      </c>
      <c r="S10" s="4">
        <f>(VLOOKUP(' 6.0.00'!AA10,' 6.0.00'!$AM$4:$AO$55,2,FALSE))*IF(' 6.0.00'!BC$4="是",' 6.0.00'!$AX$4,' 6.0.00'!$AX$3)</f>
        <v>0</v>
      </c>
      <c r="T10" s="4">
        <f>(VLOOKUP(' 6.0.00'!AB10,' 6.0.00'!$AM$4:$AO$55,2,FALSE))*IF(' 6.0.00'!BD$4="是",' 6.0.00'!$AX$4,' 6.0.00'!$AX$3)</f>
        <v>0</v>
      </c>
      <c r="U10" s="4">
        <f>(VLOOKUP(' 6.0.00'!AC10,' 6.0.00'!$AM$4:$AO$55,2,FALSE))*IF(' 6.0.00'!BE$4="是",' 6.0.00'!$AX$4,' 6.0.00'!$AX$3)</f>
        <v>0</v>
      </c>
      <c r="V10" s="4">
        <f>(VLOOKUP(' 6.0.00'!AD10,' 6.0.00'!$AM$4:$AO$55,2,FALSE))*IF(' 6.0.00'!BF$4="是",' 6.0.00'!$AX$4,' 6.0.00'!$AX$3)</f>
        <v>0</v>
      </c>
      <c r="W10" s="5">
        <f>(VLOOKUP(' 6.0.00'!AE10,' 6.0.00'!$AM$4:$AO$55,2,FALSE))*IF(' 6.0.00'!BG$4="是",' 6.0.00'!$AX$4,' 6.0.00'!$AX$3)</f>
        <v>0</v>
      </c>
      <c r="X10" s="5">
        <f>(VLOOKUP(' 6.0.00'!AF10,' 6.0.00'!$AM$4:$AO$55,2,FALSE))*IF(' 6.0.00'!BH$4="是",' 6.0.00'!$AX$4,' 6.0.00'!$AX$3)</f>
        <v>0</v>
      </c>
    </row>
    <row r="11" spans="1:24">
      <c r="A11" s="4">
        <f>(VLOOKUP(' 6.0.00'!I11,' 6.0.00'!$AM$4:$AO$55,2,FALSE))*IF(' 6.0.00'!AK$4="是",' 6.0.00'!$AX$4,' 6.0.00'!$AX$3)</f>
        <v>0</v>
      </c>
      <c r="B11" s="4">
        <f>(VLOOKUP(' 6.0.00'!J11,' 6.0.00'!$AM$4:$AO$55,2,FALSE))*IF(' 6.0.00'!AL$4="是",' 6.0.00'!$AX$4,' 6.0.00'!$AX$3)</f>
        <v>0</v>
      </c>
      <c r="C11" s="4">
        <f>(VLOOKUP(' 6.0.00'!K11,' 6.0.00'!$AM$4:$AO$55,2,FALSE))*IF(' 6.0.00'!AM$4="是",' 6.0.00'!$AX$4,' 6.0.00'!$AX$3)</f>
        <v>0</v>
      </c>
      <c r="D11" s="4">
        <f>(VLOOKUP(' 6.0.00'!L11,' 6.0.00'!$AM$4:$AO$55,2,FALSE))*IF(' 6.0.00'!AN$4="是",' 6.0.00'!$AX$4,' 6.0.00'!$AX$3)</f>
        <v>0</v>
      </c>
      <c r="E11" s="4">
        <f>(VLOOKUP(' 6.0.00'!M11,' 6.0.00'!$AM$4:$AO$55,2,FALSE))*IF(' 6.0.00'!AO$4="是",' 6.0.00'!$AX$4,' 6.0.00'!$AX$3)</f>
        <v>0</v>
      </c>
      <c r="F11" s="4">
        <f>(VLOOKUP(' 6.0.00'!N11,' 6.0.00'!$AM$4:$AO$55,2,FALSE))*IF(' 6.0.00'!AP$4="是",' 6.0.00'!$AX$4,' 6.0.00'!$AX$3)</f>
        <v>0</v>
      </c>
      <c r="G11" s="5">
        <f>(VLOOKUP(' 6.0.00'!O11,' 6.0.00'!$AM$4:$AO$55,2,FALSE))*IF(' 6.0.00'!AQ$4="是",' 6.0.00'!$AX$4,' 6.0.00'!$AX$3)</f>
        <v>0</v>
      </c>
      <c r="H11" s="5">
        <f>(VLOOKUP(' 6.0.00'!P11,' 6.0.00'!$AM$4:$AO$55,2,FALSE))*IF(' 6.0.00'!AR$4="是",' 6.0.00'!$AX$4,' 6.0.00'!$AX$3)</f>
        <v>0</v>
      </c>
      <c r="I11" s="4">
        <f>(VLOOKUP(' 6.0.00'!Q11,' 6.0.00'!$AM$4:$AO$55,2,FALSE))*IF(' 6.0.00'!AS$4="是",' 6.0.00'!$AX$4,' 6.0.00'!$AX$3)</f>
        <v>0</v>
      </c>
      <c r="J11" s="4">
        <f>(VLOOKUP(' 6.0.00'!R11,' 6.0.00'!$AM$4:$AO$55,2,FALSE))*IF(' 6.0.00'!AT$4="是",' 6.0.00'!$AX$4,' 6.0.00'!$AX$3)</f>
        <v>0</v>
      </c>
      <c r="K11" s="4">
        <f>(VLOOKUP(' 6.0.00'!S11,' 6.0.00'!$AM$4:$AO$55,2,FALSE))*IF(' 6.0.00'!AU$4="是",' 6.0.00'!$AX$4,' 6.0.00'!$AX$3)</f>
        <v>0</v>
      </c>
      <c r="L11" s="4">
        <f>(VLOOKUP(' 6.0.00'!T11,' 6.0.00'!$AM$4:$AO$55,2,FALSE))*IF(' 6.0.00'!AV$4="是",' 6.0.00'!$AX$4,' 6.0.00'!$AX$3)</f>
        <v>0</v>
      </c>
      <c r="M11" s="4">
        <f>(VLOOKUP(' 6.0.00'!U11,' 6.0.00'!$AM$4:$AO$55,2,FALSE))*IF(' 6.0.00'!AW$4="是",' 6.0.00'!$AX$4,' 6.0.00'!$AX$3)</f>
        <v>0</v>
      </c>
      <c r="N11" s="4">
        <f>(VLOOKUP(' 6.0.00'!V11,' 6.0.00'!$AM$4:$AO$55,2,FALSE))*IF(' 6.0.00'!AX$4="是",' 6.0.00'!$AX$4,' 6.0.00'!$AX$3)</f>
        <v>0</v>
      </c>
      <c r="O11" s="5">
        <f>(VLOOKUP(' 6.0.00'!W11,' 6.0.00'!$AM$4:$AO$55,2,FALSE))*IF(' 6.0.00'!AY$4="是",' 6.0.00'!$AX$4,' 6.0.00'!$AX$3)</f>
        <v>0</v>
      </c>
      <c r="P11" s="5">
        <f>(VLOOKUP(' 6.0.00'!X11,' 6.0.00'!$AM$4:$AO$55,2,FALSE))*IF(' 6.0.00'!AZ$4="是",' 6.0.00'!$AX$4,' 6.0.00'!$AX$3)</f>
        <v>0</v>
      </c>
      <c r="Q11" s="4">
        <f>(VLOOKUP(' 6.0.00'!Y11,' 6.0.00'!$AM$4:$AO$55,2,FALSE))*IF(' 6.0.00'!BA$4="是",' 6.0.00'!$AX$4,' 6.0.00'!$AX$3)</f>
        <v>0</v>
      </c>
      <c r="R11" s="4">
        <f>(VLOOKUP(' 6.0.00'!Z11,' 6.0.00'!$AM$4:$AO$55,2,FALSE))*IF(' 6.0.00'!BB$4="是",' 6.0.00'!$AX$4,' 6.0.00'!$AX$3)</f>
        <v>0</v>
      </c>
      <c r="S11" s="4">
        <f>(VLOOKUP(' 6.0.00'!AA11,' 6.0.00'!$AM$4:$AO$55,2,FALSE))*IF(' 6.0.00'!BC$4="是",' 6.0.00'!$AX$4,' 6.0.00'!$AX$3)</f>
        <v>0</v>
      </c>
      <c r="T11" s="4">
        <f>(VLOOKUP(' 6.0.00'!AB11,' 6.0.00'!$AM$4:$AO$55,2,FALSE))*IF(' 6.0.00'!BD$4="是",' 6.0.00'!$AX$4,' 6.0.00'!$AX$3)</f>
        <v>0</v>
      </c>
      <c r="U11" s="4">
        <f>(VLOOKUP(' 6.0.00'!AC11,' 6.0.00'!$AM$4:$AO$55,2,FALSE))*IF(' 6.0.00'!BE$4="是",' 6.0.00'!$AX$4,' 6.0.00'!$AX$3)</f>
        <v>0</v>
      </c>
      <c r="V11" s="4">
        <f>(VLOOKUP(' 6.0.00'!AD11,' 6.0.00'!$AM$4:$AO$55,2,FALSE))*IF(' 6.0.00'!BF$4="是",' 6.0.00'!$AX$4,' 6.0.00'!$AX$3)</f>
        <v>0</v>
      </c>
      <c r="W11" s="5">
        <f>(VLOOKUP(' 6.0.00'!AE11,' 6.0.00'!$AM$4:$AO$55,2,FALSE))*IF(' 6.0.00'!BG$4="是",' 6.0.00'!$AX$4,' 6.0.00'!$AX$3)</f>
        <v>0</v>
      </c>
      <c r="X11" s="5">
        <f>(VLOOKUP(' 6.0.00'!AF11,' 6.0.00'!$AM$4:$AO$55,2,FALSE))*IF(' 6.0.00'!BH$4="是",' 6.0.00'!$AX$4,' 6.0.00'!$AX$3)</f>
        <v>0</v>
      </c>
    </row>
    <row r="12" spans="1:24">
      <c r="A12" s="4">
        <f>(VLOOKUP(' 6.0.00'!I12,' 6.0.00'!$AM$4:$AO$55,2,FALSE))*IF(' 6.0.00'!AK$4="是",' 6.0.00'!$AX$4,' 6.0.00'!$AX$3)</f>
        <v>0</v>
      </c>
      <c r="B12" s="4">
        <f>(VLOOKUP(' 6.0.00'!J12,' 6.0.00'!$AM$4:$AO$55,2,FALSE))*IF(' 6.0.00'!AL$4="是",' 6.0.00'!$AX$4,' 6.0.00'!$AX$3)</f>
        <v>0</v>
      </c>
      <c r="C12" s="4">
        <f>(VLOOKUP(' 6.0.00'!K12,' 6.0.00'!$AM$4:$AO$55,2,FALSE))*IF(' 6.0.00'!AM$4="是",' 6.0.00'!$AX$4,' 6.0.00'!$AX$3)</f>
        <v>0</v>
      </c>
      <c r="D12" s="4">
        <f>(VLOOKUP(' 6.0.00'!L12,' 6.0.00'!$AM$4:$AO$55,2,FALSE))*IF(' 6.0.00'!AN$4="是",' 6.0.00'!$AX$4,' 6.0.00'!$AX$3)</f>
        <v>0</v>
      </c>
      <c r="E12" s="4">
        <f>(VLOOKUP(' 6.0.00'!M12,' 6.0.00'!$AM$4:$AO$55,2,FALSE))*IF(' 6.0.00'!AO$4="是",' 6.0.00'!$AX$4,' 6.0.00'!$AX$3)</f>
        <v>0</v>
      </c>
      <c r="F12" s="4">
        <f>(VLOOKUP(' 6.0.00'!N12,' 6.0.00'!$AM$4:$AO$55,2,FALSE))*IF(' 6.0.00'!AP$4="是",' 6.0.00'!$AX$4,' 6.0.00'!$AX$3)</f>
        <v>0</v>
      </c>
      <c r="G12" s="5">
        <f>(VLOOKUP(' 6.0.00'!O12,' 6.0.00'!$AM$4:$AO$55,2,FALSE))*IF(' 6.0.00'!AQ$4="是",' 6.0.00'!$AX$4,' 6.0.00'!$AX$3)</f>
        <v>0</v>
      </c>
      <c r="H12" s="5">
        <f>(VLOOKUP(' 6.0.00'!P12,' 6.0.00'!$AM$4:$AO$55,2,FALSE))*IF(' 6.0.00'!AR$4="是",' 6.0.00'!$AX$4,' 6.0.00'!$AX$3)</f>
        <v>0</v>
      </c>
      <c r="I12" s="4">
        <f>(VLOOKUP(' 6.0.00'!Q12,' 6.0.00'!$AM$4:$AO$55,2,FALSE))*IF(' 6.0.00'!AS$4="是",' 6.0.00'!$AX$4,' 6.0.00'!$AX$3)</f>
        <v>0</v>
      </c>
      <c r="J12" s="4">
        <f>(VLOOKUP(' 6.0.00'!R12,' 6.0.00'!$AM$4:$AO$55,2,FALSE))*IF(' 6.0.00'!AT$4="是",' 6.0.00'!$AX$4,' 6.0.00'!$AX$3)</f>
        <v>0</v>
      </c>
      <c r="K12" s="4">
        <f>(VLOOKUP(' 6.0.00'!S12,' 6.0.00'!$AM$4:$AO$55,2,FALSE))*IF(' 6.0.00'!AU$4="是",' 6.0.00'!$AX$4,' 6.0.00'!$AX$3)</f>
        <v>0</v>
      </c>
      <c r="L12" s="4">
        <f>(VLOOKUP(' 6.0.00'!T12,' 6.0.00'!$AM$4:$AO$55,2,FALSE))*IF(' 6.0.00'!AV$4="是",' 6.0.00'!$AX$4,' 6.0.00'!$AX$3)</f>
        <v>0</v>
      </c>
      <c r="M12" s="4">
        <f>(VLOOKUP(' 6.0.00'!U12,' 6.0.00'!$AM$4:$AO$55,2,FALSE))*IF(' 6.0.00'!AW$4="是",' 6.0.00'!$AX$4,' 6.0.00'!$AX$3)</f>
        <v>0</v>
      </c>
      <c r="N12" s="4">
        <f>(VLOOKUP(' 6.0.00'!V12,' 6.0.00'!$AM$4:$AO$55,2,FALSE))*IF(' 6.0.00'!AX$4="是",' 6.0.00'!$AX$4,' 6.0.00'!$AX$3)</f>
        <v>0</v>
      </c>
      <c r="O12" s="5">
        <f>(VLOOKUP(' 6.0.00'!W12,' 6.0.00'!$AM$4:$AO$55,2,FALSE))*IF(' 6.0.00'!AY$4="是",' 6.0.00'!$AX$4,' 6.0.00'!$AX$3)</f>
        <v>0</v>
      </c>
      <c r="P12" s="5">
        <f>(VLOOKUP(' 6.0.00'!X12,' 6.0.00'!$AM$4:$AO$55,2,FALSE))*IF(' 6.0.00'!AZ$4="是",' 6.0.00'!$AX$4,' 6.0.00'!$AX$3)</f>
        <v>0</v>
      </c>
      <c r="Q12" s="4">
        <f>(VLOOKUP(' 6.0.00'!Y12,' 6.0.00'!$AM$4:$AO$55,2,FALSE))*IF(' 6.0.00'!BA$4="是",' 6.0.00'!$AX$4,' 6.0.00'!$AX$3)</f>
        <v>0</v>
      </c>
      <c r="R12" s="4">
        <f>(VLOOKUP(' 6.0.00'!Z12,' 6.0.00'!$AM$4:$AO$55,2,FALSE))*IF(' 6.0.00'!BB$4="是",' 6.0.00'!$AX$4,' 6.0.00'!$AX$3)</f>
        <v>0</v>
      </c>
      <c r="S12" s="4">
        <f>(VLOOKUP(' 6.0.00'!AA12,' 6.0.00'!$AM$4:$AO$55,2,FALSE))*IF(' 6.0.00'!BC$4="是",' 6.0.00'!$AX$4,' 6.0.00'!$AX$3)</f>
        <v>0</v>
      </c>
      <c r="T12" s="4">
        <f>(VLOOKUP(' 6.0.00'!AB12,' 6.0.00'!$AM$4:$AO$55,2,FALSE))*IF(' 6.0.00'!BD$4="是",' 6.0.00'!$AX$4,' 6.0.00'!$AX$3)</f>
        <v>0</v>
      </c>
      <c r="U12" s="4">
        <f>(VLOOKUP(' 6.0.00'!AC12,' 6.0.00'!$AM$4:$AO$55,2,FALSE))*IF(' 6.0.00'!BE$4="是",' 6.0.00'!$AX$4,' 6.0.00'!$AX$3)</f>
        <v>0</v>
      </c>
      <c r="V12" s="4">
        <f>(VLOOKUP(' 6.0.00'!AD12,' 6.0.00'!$AM$4:$AO$55,2,FALSE))*IF(' 6.0.00'!BF$4="是",' 6.0.00'!$AX$4,' 6.0.00'!$AX$3)</f>
        <v>0</v>
      </c>
      <c r="W12" s="5">
        <f>(VLOOKUP(' 6.0.00'!AE12,' 6.0.00'!$AM$4:$AO$55,2,FALSE))*IF(' 6.0.00'!BG$4="是",' 6.0.00'!$AX$4,' 6.0.00'!$AX$3)</f>
        <v>0</v>
      </c>
      <c r="X12" s="5">
        <f>(VLOOKUP(' 6.0.00'!AF12,' 6.0.00'!$AM$4:$AO$55,2,FALSE))*IF(' 6.0.00'!BH$4="是",' 6.0.00'!$AX$4,' 6.0.00'!$AX$3)</f>
        <v>0</v>
      </c>
    </row>
    <row r="13" spans="1:24">
      <c r="A13" s="4">
        <f>(VLOOKUP(' 6.0.00'!I13,' 6.0.00'!$AM$4:$AO$55,2,FALSE))*IF(' 6.0.00'!AK$4="是",' 6.0.00'!$AX$4,' 6.0.00'!$AX$3)</f>
        <v>0</v>
      </c>
      <c r="B13" s="4">
        <f>(VLOOKUP(' 6.0.00'!J13,' 6.0.00'!$AM$4:$AO$55,2,FALSE))*IF(' 6.0.00'!AL$4="是",' 6.0.00'!$AX$4,' 6.0.00'!$AX$3)</f>
        <v>0</v>
      </c>
      <c r="C13" s="4">
        <f>(VLOOKUP(' 6.0.00'!K13,' 6.0.00'!$AM$4:$AO$55,2,FALSE))*IF(' 6.0.00'!AM$4="是",' 6.0.00'!$AX$4,' 6.0.00'!$AX$3)</f>
        <v>0</v>
      </c>
      <c r="D13" s="4">
        <f>(VLOOKUP(' 6.0.00'!L13,' 6.0.00'!$AM$4:$AO$55,2,FALSE))*IF(' 6.0.00'!AN$4="是",' 6.0.00'!$AX$4,' 6.0.00'!$AX$3)</f>
        <v>0</v>
      </c>
      <c r="E13" s="4">
        <f>(VLOOKUP(' 6.0.00'!M13,' 6.0.00'!$AM$4:$AO$55,2,FALSE))*IF(' 6.0.00'!AO$4="是",' 6.0.00'!$AX$4,' 6.0.00'!$AX$3)</f>
        <v>0</v>
      </c>
      <c r="F13" s="4">
        <f>(VLOOKUP(' 6.0.00'!N13,' 6.0.00'!$AM$4:$AO$55,2,FALSE))*IF(' 6.0.00'!AP$4="是",' 6.0.00'!$AX$4,' 6.0.00'!$AX$3)</f>
        <v>0</v>
      </c>
      <c r="G13" s="5">
        <f>(VLOOKUP(' 6.0.00'!O13,' 6.0.00'!$AM$4:$AO$55,2,FALSE))*IF(' 6.0.00'!AQ$4="是",' 6.0.00'!$AX$4,' 6.0.00'!$AX$3)</f>
        <v>0</v>
      </c>
      <c r="H13" s="5">
        <f>(VLOOKUP(' 6.0.00'!P13,' 6.0.00'!$AM$4:$AO$55,2,FALSE))*IF(' 6.0.00'!AR$4="是",' 6.0.00'!$AX$4,' 6.0.00'!$AX$3)</f>
        <v>0</v>
      </c>
      <c r="I13" s="4">
        <f>(VLOOKUP(' 6.0.00'!Q13,' 6.0.00'!$AM$4:$AO$55,2,FALSE))*IF(' 6.0.00'!AS$4="是",' 6.0.00'!$AX$4,' 6.0.00'!$AX$3)</f>
        <v>0</v>
      </c>
      <c r="J13" s="4">
        <f>(VLOOKUP(' 6.0.00'!R13,' 6.0.00'!$AM$4:$AO$55,2,FALSE))*IF(' 6.0.00'!AT$4="是",' 6.0.00'!$AX$4,' 6.0.00'!$AX$3)</f>
        <v>0</v>
      </c>
      <c r="K13" s="4">
        <f>(VLOOKUP(' 6.0.00'!S13,' 6.0.00'!$AM$4:$AO$55,2,FALSE))*IF(' 6.0.00'!AU$4="是",' 6.0.00'!$AX$4,' 6.0.00'!$AX$3)</f>
        <v>0</v>
      </c>
      <c r="L13" s="4">
        <f>(VLOOKUP(' 6.0.00'!T13,' 6.0.00'!$AM$4:$AO$55,2,FALSE))*IF(' 6.0.00'!AV$4="是",' 6.0.00'!$AX$4,' 6.0.00'!$AX$3)</f>
        <v>0</v>
      </c>
      <c r="M13" s="4">
        <f>(VLOOKUP(' 6.0.00'!U13,' 6.0.00'!$AM$4:$AO$55,2,FALSE))*IF(' 6.0.00'!AW$4="是",' 6.0.00'!$AX$4,' 6.0.00'!$AX$3)</f>
        <v>0</v>
      </c>
      <c r="N13" s="4">
        <f>(VLOOKUP(' 6.0.00'!V13,' 6.0.00'!$AM$4:$AO$55,2,FALSE))*IF(' 6.0.00'!AX$4="是",' 6.0.00'!$AX$4,' 6.0.00'!$AX$3)</f>
        <v>0</v>
      </c>
      <c r="O13" s="5">
        <f>(VLOOKUP(' 6.0.00'!W13,' 6.0.00'!$AM$4:$AO$55,2,FALSE))*IF(' 6.0.00'!AY$4="是",' 6.0.00'!$AX$4,' 6.0.00'!$AX$3)</f>
        <v>0</v>
      </c>
      <c r="P13" s="5">
        <f>(VLOOKUP(' 6.0.00'!X13,' 6.0.00'!$AM$4:$AO$55,2,FALSE))*IF(' 6.0.00'!AZ$4="是",' 6.0.00'!$AX$4,' 6.0.00'!$AX$3)</f>
        <v>0</v>
      </c>
      <c r="Q13" s="4">
        <f>(VLOOKUP(' 6.0.00'!Y13,' 6.0.00'!$AM$4:$AO$55,2,FALSE))*IF(' 6.0.00'!BA$4="是",' 6.0.00'!$AX$4,' 6.0.00'!$AX$3)</f>
        <v>0</v>
      </c>
      <c r="R13" s="4">
        <f>(VLOOKUP(' 6.0.00'!Z13,' 6.0.00'!$AM$4:$AO$55,2,FALSE))*IF(' 6.0.00'!BB$4="是",' 6.0.00'!$AX$4,' 6.0.00'!$AX$3)</f>
        <v>0</v>
      </c>
      <c r="S13" s="4">
        <f>(VLOOKUP(' 6.0.00'!AA13,' 6.0.00'!$AM$4:$AO$55,2,FALSE))*IF(' 6.0.00'!BC$4="是",' 6.0.00'!$AX$4,' 6.0.00'!$AX$3)</f>
        <v>0</v>
      </c>
      <c r="T13" s="4">
        <f>(VLOOKUP(' 6.0.00'!AB13,' 6.0.00'!$AM$4:$AO$55,2,FALSE))*IF(' 6.0.00'!BD$4="是",' 6.0.00'!$AX$4,' 6.0.00'!$AX$3)</f>
        <v>0</v>
      </c>
      <c r="U13" s="4">
        <f>(VLOOKUP(' 6.0.00'!AC13,' 6.0.00'!$AM$4:$AO$55,2,FALSE))*IF(' 6.0.00'!BE$4="是",' 6.0.00'!$AX$4,' 6.0.00'!$AX$3)</f>
        <v>0</v>
      </c>
      <c r="V13" s="4">
        <f>(VLOOKUP(' 6.0.00'!AD13,' 6.0.00'!$AM$4:$AO$55,2,FALSE))*IF(' 6.0.00'!BF$4="是",' 6.0.00'!$AX$4,' 6.0.00'!$AX$3)</f>
        <v>0</v>
      </c>
      <c r="W13" s="5">
        <f>(VLOOKUP(' 6.0.00'!AE13,' 6.0.00'!$AM$4:$AO$55,2,FALSE))*IF(' 6.0.00'!BG$4="是",' 6.0.00'!$AX$4,' 6.0.00'!$AX$3)</f>
        <v>0</v>
      </c>
      <c r="X13" s="5">
        <f>(VLOOKUP(' 6.0.00'!AF13,' 6.0.00'!$AM$4:$AO$55,2,FALSE))*IF(' 6.0.00'!BH$4="是",' 6.0.00'!$AX$4,' 6.0.00'!$AX$3)</f>
        <v>0</v>
      </c>
    </row>
    <row r="14" spans="1:24">
      <c r="A14" s="4">
        <f>(VLOOKUP(' 6.0.00'!I14,' 6.0.00'!$AM$4:$AO$55,2,FALSE))*IF(' 6.0.00'!AK$4="是",' 6.0.00'!$AX$4,' 6.0.00'!$AX$3)</f>
        <v>0</v>
      </c>
      <c r="B14" s="4">
        <f>(VLOOKUP(' 6.0.00'!J14,' 6.0.00'!$AM$4:$AO$55,2,FALSE))*IF(' 6.0.00'!AL$4="是",' 6.0.00'!$AX$4,' 6.0.00'!$AX$3)</f>
        <v>0</v>
      </c>
      <c r="C14" s="4">
        <f>(VLOOKUP(' 6.0.00'!K14,' 6.0.00'!$AM$4:$AO$55,2,FALSE))*IF(' 6.0.00'!AM$4="是",' 6.0.00'!$AX$4,' 6.0.00'!$AX$3)</f>
        <v>0</v>
      </c>
      <c r="D14" s="4">
        <f>(VLOOKUP(' 6.0.00'!L14,' 6.0.00'!$AM$4:$AO$55,2,FALSE))*IF(' 6.0.00'!AN$4="是",' 6.0.00'!$AX$4,' 6.0.00'!$AX$3)</f>
        <v>0</v>
      </c>
      <c r="E14" s="4">
        <f>(VLOOKUP(' 6.0.00'!M14,' 6.0.00'!$AM$4:$AO$55,2,FALSE))*IF(' 6.0.00'!AO$4="是",' 6.0.00'!$AX$4,' 6.0.00'!$AX$3)</f>
        <v>0</v>
      </c>
      <c r="F14" s="4">
        <f>(VLOOKUP(' 6.0.00'!N14,' 6.0.00'!$AM$4:$AO$55,2,FALSE))*IF(' 6.0.00'!AP$4="是",' 6.0.00'!$AX$4,' 6.0.00'!$AX$3)</f>
        <v>0</v>
      </c>
      <c r="G14" s="5">
        <f>(VLOOKUP(' 6.0.00'!O14,' 6.0.00'!$AM$4:$AO$55,2,FALSE))*IF(' 6.0.00'!AQ$4="是",' 6.0.00'!$AX$4,' 6.0.00'!$AX$3)</f>
        <v>0</v>
      </c>
      <c r="H14" s="5">
        <f>(VLOOKUP(' 6.0.00'!P14,' 6.0.00'!$AM$4:$AO$55,2,FALSE))*IF(' 6.0.00'!AR$4="是",' 6.0.00'!$AX$4,' 6.0.00'!$AX$3)</f>
        <v>0</v>
      </c>
      <c r="I14" s="4">
        <f>(VLOOKUP(' 6.0.00'!Q14,' 6.0.00'!$AM$4:$AO$55,2,FALSE))*IF(' 6.0.00'!AS$4="是",' 6.0.00'!$AX$4,' 6.0.00'!$AX$3)</f>
        <v>0</v>
      </c>
      <c r="J14" s="4">
        <f>(VLOOKUP(' 6.0.00'!R14,' 6.0.00'!$AM$4:$AO$55,2,FALSE))*IF(' 6.0.00'!AT$4="是",' 6.0.00'!$AX$4,' 6.0.00'!$AX$3)</f>
        <v>0</v>
      </c>
      <c r="K14" s="4">
        <f>(VLOOKUP(' 6.0.00'!S14,' 6.0.00'!$AM$4:$AO$55,2,FALSE))*IF(' 6.0.00'!AU$4="是",' 6.0.00'!$AX$4,' 6.0.00'!$AX$3)</f>
        <v>0</v>
      </c>
      <c r="L14" s="4">
        <f>(VLOOKUP(' 6.0.00'!T14,' 6.0.00'!$AM$4:$AO$55,2,FALSE))*IF(' 6.0.00'!AV$4="是",' 6.0.00'!$AX$4,' 6.0.00'!$AX$3)</f>
        <v>0</v>
      </c>
      <c r="M14" s="4">
        <f>(VLOOKUP(' 6.0.00'!U14,' 6.0.00'!$AM$4:$AO$55,2,FALSE))*IF(' 6.0.00'!AW$4="是",' 6.0.00'!$AX$4,' 6.0.00'!$AX$3)</f>
        <v>0</v>
      </c>
      <c r="N14" s="4">
        <f>(VLOOKUP(' 6.0.00'!V14,' 6.0.00'!$AM$4:$AO$55,2,FALSE))*IF(' 6.0.00'!AX$4="是",' 6.0.00'!$AX$4,' 6.0.00'!$AX$3)</f>
        <v>0</v>
      </c>
      <c r="O14" s="5">
        <f>(VLOOKUP(' 6.0.00'!W14,' 6.0.00'!$AM$4:$AO$55,2,FALSE))*IF(' 6.0.00'!AY$4="是",' 6.0.00'!$AX$4,' 6.0.00'!$AX$3)</f>
        <v>0</v>
      </c>
      <c r="P14" s="5">
        <f>(VLOOKUP(' 6.0.00'!X14,' 6.0.00'!$AM$4:$AO$55,2,FALSE))*IF(' 6.0.00'!AZ$4="是",' 6.0.00'!$AX$4,' 6.0.00'!$AX$3)</f>
        <v>0</v>
      </c>
      <c r="Q14" s="4">
        <f>(VLOOKUP(' 6.0.00'!Y14,' 6.0.00'!$AM$4:$AO$55,2,FALSE))*IF(' 6.0.00'!BA$4="是",' 6.0.00'!$AX$4,' 6.0.00'!$AX$3)</f>
        <v>0</v>
      </c>
      <c r="R14" s="4">
        <f>(VLOOKUP(' 6.0.00'!Z14,' 6.0.00'!$AM$4:$AO$55,2,FALSE))*IF(' 6.0.00'!BB$4="是",' 6.0.00'!$AX$4,' 6.0.00'!$AX$3)</f>
        <v>0</v>
      </c>
      <c r="S14" s="4">
        <f>(VLOOKUP(' 6.0.00'!AA14,' 6.0.00'!$AM$4:$AO$55,2,FALSE))*IF(' 6.0.00'!BC$4="是",' 6.0.00'!$AX$4,' 6.0.00'!$AX$3)</f>
        <v>0</v>
      </c>
      <c r="T14" s="4">
        <f>(VLOOKUP(' 6.0.00'!AB14,' 6.0.00'!$AM$4:$AO$55,2,FALSE))*IF(' 6.0.00'!BD$4="是",' 6.0.00'!$AX$4,' 6.0.00'!$AX$3)</f>
        <v>0</v>
      </c>
      <c r="U14" s="4">
        <f>(VLOOKUP(' 6.0.00'!AC14,' 6.0.00'!$AM$4:$AO$55,2,FALSE))*IF(' 6.0.00'!BE$4="是",' 6.0.00'!$AX$4,' 6.0.00'!$AX$3)</f>
        <v>0</v>
      </c>
      <c r="V14" s="4">
        <f>(VLOOKUP(' 6.0.00'!AD14,' 6.0.00'!$AM$4:$AO$55,2,FALSE))*IF(' 6.0.00'!BF$4="是",' 6.0.00'!$AX$4,' 6.0.00'!$AX$3)</f>
        <v>0</v>
      </c>
      <c r="W14" s="5">
        <f>(VLOOKUP(' 6.0.00'!AE14,' 6.0.00'!$AM$4:$AO$55,2,FALSE))*IF(' 6.0.00'!BG$4="是",' 6.0.00'!$AX$4,' 6.0.00'!$AX$3)</f>
        <v>0</v>
      </c>
      <c r="X14" s="5">
        <f>(VLOOKUP(' 6.0.00'!AF14,' 6.0.00'!$AM$4:$AO$55,2,FALSE))*IF(' 6.0.00'!BH$4="是",' 6.0.00'!$AX$4,' 6.0.00'!$AX$3)</f>
        <v>0</v>
      </c>
    </row>
    <row r="15" spans="1:24">
      <c r="A15" s="4">
        <f>(VLOOKUP(' 6.0.00'!I15,' 6.0.00'!$AM$4:$AO$55,2,FALSE))*IF(' 6.0.00'!AK$4="是",' 6.0.00'!$AX$4,' 6.0.00'!$AX$3)</f>
        <v>0</v>
      </c>
      <c r="B15" s="4">
        <f>(VLOOKUP(' 6.0.00'!J15,' 6.0.00'!$AM$4:$AO$55,2,FALSE))*IF(' 6.0.00'!AL$4="是",' 6.0.00'!$AX$4,' 6.0.00'!$AX$3)</f>
        <v>0</v>
      </c>
      <c r="C15" s="4">
        <f>(VLOOKUP(' 6.0.00'!K15,' 6.0.00'!$AM$4:$AO$55,2,FALSE))*IF(' 6.0.00'!AM$4="是",' 6.0.00'!$AX$4,' 6.0.00'!$AX$3)</f>
        <v>0</v>
      </c>
      <c r="D15" s="4">
        <f>(VLOOKUP(' 6.0.00'!L15,' 6.0.00'!$AM$4:$AO$55,2,FALSE))*IF(' 6.0.00'!AN$4="是",' 6.0.00'!$AX$4,' 6.0.00'!$AX$3)</f>
        <v>0</v>
      </c>
      <c r="E15" s="4">
        <f>(VLOOKUP(' 6.0.00'!M15,' 6.0.00'!$AM$4:$AO$55,2,FALSE))*IF(' 6.0.00'!AO$4="是",' 6.0.00'!$AX$4,' 6.0.00'!$AX$3)</f>
        <v>0</v>
      </c>
      <c r="F15" s="4">
        <f>(VLOOKUP(' 6.0.00'!N15,' 6.0.00'!$AM$4:$AO$55,2,FALSE))*IF(' 6.0.00'!AP$4="是",' 6.0.00'!$AX$4,' 6.0.00'!$AX$3)</f>
        <v>0</v>
      </c>
      <c r="G15" s="5">
        <f>(VLOOKUP(' 6.0.00'!O15,' 6.0.00'!$AM$4:$AO$55,2,FALSE))*IF(' 6.0.00'!AQ$4="是",' 6.0.00'!$AX$4,' 6.0.00'!$AX$3)</f>
        <v>0</v>
      </c>
      <c r="H15" s="5">
        <f>(VLOOKUP(' 6.0.00'!P15,' 6.0.00'!$AM$4:$AO$55,2,FALSE))*IF(' 6.0.00'!AR$4="是",' 6.0.00'!$AX$4,' 6.0.00'!$AX$3)</f>
        <v>0</v>
      </c>
      <c r="I15" s="4">
        <f>(VLOOKUP(' 6.0.00'!Q15,' 6.0.00'!$AM$4:$AO$55,2,FALSE))*IF(' 6.0.00'!AS$4="是",' 6.0.00'!$AX$4,' 6.0.00'!$AX$3)</f>
        <v>0</v>
      </c>
      <c r="J15" s="4">
        <f>(VLOOKUP(' 6.0.00'!R15,' 6.0.00'!$AM$4:$AO$55,2,FALSE))*IF(' 6.0.00'!AT$4="是",' 6.0.00'!$AX$4,' 6.0.00'!$AX$3)</f>
        <v>0</v>
      </c>
      <c r="K15" s="4">
        <f>(VLOOKUP(' 6.0.00'!S15,' 6.0.00'!$AM$4:$AO$55,2,FALSE))*IF(' 6.0.00'!AU$4="是",' 6.0.00'!$AX$4,' 6.0.00'!$AX$3)</f>
        <v>0</v>
      </c>
      <c r="L15" s="4">
        <f>(VLOOKUP(' 6.0.00'!T15,' 6.0.00'!$AM$4:$AO$55,2,FALSE))*IF(' 6.0.00'!AV$4="是",' 6.0.00'!$AX$4,' 6.0.00'!$AX$3)</f>
        <v>0</v>
      </c>
      <c r="M15" s="4">
        <f>(VLOOKUP(' 6.0.00'!U15,' 6.0.00'!$AM$4:$AO$55,2,FALSE))*IF(' 6.0.00'!AW$4="是",' 6.0.00'!$AX$4,' 6.0.00'!$AX$3)</f>
        <v>0</v>
      </c>
      <c r="N15" s="4">
        <f>(VLOOKUP(' 6.0.00'!V15,' 6.0.00'!$AM$4:$AO$55,2,FALSE))*IF(' 6.0.00'!AX$4="是",' 6.0.00'!$AX$4,' 6.0.00'!$AX$3)</f>
        <v>0</v>
      </c>
      <c r="O15" s="5">
        <f>(VLOOKUP(' 6.0.00'!W15,' 6.0.00'!$AM$4:$AO$55,2,FALSE))*IF(' 6.0.00'!AY$4="是",' 6.0.00'!$AX$4,' 6.0.00'!$AX$3)</f>
        <v>0</v>
      </c>
      <c r="P15" s="5">
        <f>(VLOOKUP(' 6.0.00'!X15,' 6.0.00'!$AM$4:$AO$55,2,FALSE))*IF(' 6.0.00'!AZ$4="是",' 6.0.00'!$AX$4,' 6.0.00'!$AX$3)</f>
        <v>0</v>
      </c>
      <c r="Q15" s="4">
        <f>(VLOOKUP(' 6.0.00'!Y15,' 6.0.00'!$AM$4:$AO$55,2,FALSE))*IF(' 6.0.00'!BA$4="是",' 6.0.00'!$AX$4,' 6.0.00'!$AX$3)</f>
        <v>0</v>
      </c>
      <c r="R15" s="4">
        <f>(VLOOKUP(' 6.0.00'!Z15,' 6.0.00'!$AM$4:$AO$55,2,FALSE))*IF(' 6.0.00'!BB$4="是",' 6.0.00'!$AX$4,' 6.0.00'!$AX$3)</f>
        <v>0</v>
      </c>
      <c r="S15" s="4">
        <f>(VLOOKUP(' 6.0.00'!AA15,' 6.0.00'!$AM$4:$AO$55,2,FALSE))*IF(' 6.0.00'!BC$4="是",' 6.0.00'!$AX$4,' 6.0.00'!$AX$3)</f>
        <v>0</v>
      </c>
      <c r="T15" s="4">
        <f>(VLOOKUP(' 6.0.00'!AB15,' 6.0.00'!$AM$4:$AO$55,2,FALSE))*IF(' 6.0.00'!BD$4="是",' 6.0.00'!$AX$4,' 6.0.00'!$AX$3)</f>
        <v>0</v>
      </c>
      <c r="U15" s="4">
        <f>(VLOOKUP(' 6.0.00'!AC15,' 6.0.00'!$AM$4:$AO$55,2,FALSE))*IF(' 6.0.00'!BE$4="是",' 6.0.00'!$AX$4,' 6.0.00'!$AX$3)</f>
        <v>0</v>
      </c>
      <c r="V15" s="4">
        <f>(VLOOKUP(' 6.0.00'!AD15,' 6.0.00'!$AM$4:$AO$55,2,FALSE))*IF(' 6.0.00'!BF$4="是",' 6.0.00'!$AX$4,' 6.0.00'!$AX$3)</f>
        <v>0</v>
      </c>
      <c r="W15" s="5">
        <f>(VLOOKUP(' 6.0.00'!AE15,' 6.0.00'!$AM$4:$AO$55,2,FALSE))*IF(' 6.0.00'!BG$4="是",' 6.0.00'!$AX$4,' 6.0.00'!$AX$3)</f>
        <v>0</v>
      </c>
      <c r="X15" s="5">
        <f>(VLOOKUP(' 6.0.00'!AF15,' 6.0.00'!$AM$4:$AO$55,2,FALSE))*IF(' 6.0.00'!BH$4="是",' 6.0.00'!$AX$4,' 6.0.00'!$AX$3)</f>
        <v>0</v>
      </c>
    </row>
    <row r="16" spans="1:24">
      <c r="A16" s="4">
        <f>(VLOOKUP(' 6.0.00'!I16,' 6.0.00'!$AM$4:$AO$55,2,FALSE))*IF(' 6.0.00'!AK$4="是",' 6.0.00'!$AX$4,' 6.0.00'!$AX$3)</f>
        <v>0</v>
      </c>
      <c r="B16" s="4">
        <f>(VLOOKUP(' 6.0.00'!J16,' 6.0.00'!$AM$4:$AO$55,2,FALSE))*IF(' 6.0.00'!AL$4="是",' 6.0.00'!$AX$4,' 6.0.00'!$AX$3)</f>
        <v>0</v>
      </c>
      <c r="C16" s="4">
        <f>(VLOOKUP(' 6.0.00'!K16,' 6.0.00'!$AM$4:$AO$55,2,FALSE))*IF(' 6.0.00'!AM$4="是",' 6.0.00'!$AX$4,' 6.0.00'!$AX$3)</f>
        <v>0</v>
      </c>
      <c r="D16" s="4">
        <f>(VLOOKUP(' 6.0.00'!L16,' 6.0.00'!$AM$4:$AO$55,2,FALSE))*IF(' 6.0.00'!AN$4="是",' 6.0.00'!$AX$4,' 6.0.00'!$AX$3)</f>
        <v>0</v>
      </c>
      <c r="E16" s="4">
        <f>(VLOOKUP(' 6.0.00'!M16,' 6.0.00'!$AM$4:$AO$55,2,FALSE))*IF(' 6.0.00'!AO$4="是",' 6.0.00'!$AX$4,' 6.0.00'!$AX$3)</f>
        <v>0</v>
      </c>
      <c r="F16" s="4">
        <f>(VLOOKUP(' 6.0.00'!N16,' 6.0.00'!$AM$4:$AO$55,2,FALSE))*IF(' 6.0.00'!AP$4="是",' 6.0.00'!$AX$4,' 6.0.00'!$AX$3)</f>
        <v>0</v>
      </c>
      <c r="G16" s="5">
        <f>(VLOOKUP(' 6.0.00'!O16,' 6.0.00'!$AM$4:$AO$55,2,FALSE))*IF(' 6.0.00'!AQ$4="是",' 6.0.00'!$AX$4,' 6.0.00'!$AX$3)</f>
        <v>0</v>
      </c>
      <c r="H16" s="5">
        <f>(VLOOKUP(' 6.0.00'!P16,' 6.0.00'!$AM$4:$AO$55,2,FALSE))*IF(' 6.0.00'!AR$4="是",' 6.0.00'!$AX$4,' 6.0.00'!$AX$3)</f>
        <v>0</v>
      </c>
      <c r="I16" s="4">
        <f>(VLOOKUP(' 6.0.00'!Q16,' 6.0.00'!$AM$4:$AO$55,2,FALSE))*IF(' 6.0.00'!AS$4="是",' 6.0.00'!$AX$4,' 6.0.00'!$AX$3)</f>
        <v>0</v>
      </c>
      <c r="J16" s="4">
        <f>(VLOOKUP(' 6.0.00'!R16,' 6.0.00'!$AM$4:$AO$55,2,FALSE))*IF(' 6.0.00'!AT$4="是",' 6.0.00'!$AX$4,' 6.0.00'!$AX$3)</f>
        <v>0</v>
      </c>
      <c r="K16" s="4">
        <f>(VLOOKUP(' 6.0.00'!S16,' 6.0.00'!$AM$4:$AO$55,2,FALSE))*IF(' 6.0.00'!AU$4="是",' 6.0.00'!$AX$4,' 6.0.00'!$AX$3)</f>
        <v>0</v>
      </c>
      <c r="L16" s="4">
        <f>(VLOOKUP(' 6.0.00'!T16,' 6.0.00'!$AM$4:$AO$55,2,FALSE))*IF(' 6.0.00'!AV$4="是",' 6.0.00'!$AX$4,' 6.0.00'!$AX$3)</f>
        <v>0</v>
      </c>
      <c r="M16" s="4">
        <f>(VLOOKUP(' 6.0.00'!U16,' 6.0.00'!$AM$4:$AO$55,2,FALSE))*IF(' 6.0.00'!AW$4="是",' 6.0.00'!$AX$4,' 6.0.00'!$AX$3)</f>
        <v>0</v>
      </c>
      <c r="N16" s="4">
        <f>(VLOOKUP(' 6.0.00'!V16,' 6.0.00'!$AM$4:$AO$55,2,FALSE))*IF(' 6.0.00'!AX$4="是",' 6.0.00'!$AX$4,' 6.0.00'!$AX$3)</f>
        <v>0</v>
      </c>
      <c r="O16" s="5">
        <f>(VLOOKUP(' 6.0.00'!W16,' 6.0.00'!$AM$4:$AO$55,2,FALSE))*IF(' 6.0.00'!AY$4="是",' 6.0.00'!$AX$4,' 6.0.00'!$AX$3)</f>
        <v>0</v>
      </c>
      <c r="P16" s="5">
        <f>(VLOOKUP(' 6.0.00'!X16,' 6.0.00'!$AM$4:$AO$55,2,FALSE))*IF(' 6.0.00'!AZ$4="是",' 6.0.00'!$AX$4,' 6.0.00'!$AX$3)</f>
        <v>0</v>
      </c>
      <c r="Q16" s="4">
        <f>(VLOOKUP(' 6.0.00'!Y16,' 6.0.00'!$AM$4:$AO$55,2,FALSE))*IF(' 6.0.00'!BA$4="是",' 6.0.00'!$AX$4,' 6.0.00'!$AX$3)</f>
        <v>0</v>
      </c>
      <c r="R16" s="4">
        <f>(VLOOKUP(' 6.0.00'!Z16,' 6.0.00'!$AM$4:$AO$55,2,FALSE))*IF(' 6.0.00'!BB$4="是",' 6.0.00'!$AX$4,' 6.0.00'!$AX$3)</f>
        <v>0</v>
      </c>
      <c r="S16" s="4">
        <f>(VLOOKUP(' 6.0.00'!AA16,' 6.0.00'!$AM$4:$AO$55,2,FALSE))*IF(' 6.0.00'!BC$4="是",' 6.0.00'!$AX$4,' 6.0.00'!$AX$3)</f>
        <v>0</v>
      </c>
      <c r="T16" s="4">
        <f>(VLOOKUP(' 6.0.00'!AB16,' 6.0.00'!$AM$4:$AO$55,2,FALSE))*IF(' 6.0.00'!BD$4="是",' 6.0.00'!$AX$4,' 6.0.00'!$AX$3)</f>
        <v>0</v>
      </c>
      <c r="U16" s="4">
        <f>(VLOOKUP(' 6.0.00'!AC16,' 6.0.00'!$AM$4:$AO$55,2,FALSE))*IF(' 6.0.00'!BE$4="是",' 6.0.00'!$AX$4,' 6.0.00'!$AX$3)</f>
        <v>0</v>
      </c>
      <c r="V16" s="4">
        <f>(VLOOKUP(' 6.0.00'!AD16,' 6.0.00'!$AM$4:$AO$55,2,FALSE))*IF(' 6.0.00'!BF$4="是",' 6.0.00'!$AX$4,' 6.0.00'!$AX$3)</f>
        <v>0</v>
      </c>
      <c r="W16" s="5">
        <f>(VLOOKUP(' 6.0.00'!AE16,' 6.0.00'!$AM$4:$AO$55,2,FALSE))*IF(' 6.0.00'!BG$4="是",' 6.0.00'!$AX$4,' 6.0.00'!$AX$3)</f>
        <v>0</v>
      </c>
      <c r="X16" s="5">
        <f>(VLOOKUP(' 6.0.00'!AF16,' 6.0.00'!$AM$4:$AO$55,2,FALSE))*IF(' 6.0.00'!BH$4="是",' 6.0.00'!$AX$4,' 6.0.00'!$AX$3)</f>
        <v>0</v>
      </c>
    </row>
    <row r="17" spans="1:24">
      <c r="A17" s="4">
        <f>(VLOOKUP(' 6.0.00'!I17,' 6.0.00'!$AM$4:$AO$55,2,FALSE))*IF(' 6.0.00'!AK$4="是",' 6.0.00'!$AX$4,' 6.0.00'!$AX$3)</f>
        <v>0</v>
      </c>
      <c r="B17" s="4">
        <f>(VLOOKUP(' 6.0.00'!J17,' 6.0.00'!$AM$4:$AO$55,2,FALSE))*IF(' 6.0.00'!AL$4="是",' 6.0.00'!$AX$4,' 6.0.00'!$AX$3)</f>
        <v>0</v>
      </c>
      <c r="C17" s="4">
        <f>(VLOOKUP(' 6.0.00'!K17,' 6.0.00'!$AM$4:$AO$55,2,FALSE))*IF(' 6.0.00'!AM$4="是",' 6.0.00'!$AX$4,' 6.0.00'!$AX$3)</f>
        <v>0</v>
      </c>
      <c r="D17" s="4">
        <f>(VLOOKUP(' 6.0.00'!L17,' 6.0.00'!$AM$4:$AO$55,2,FALSE))*IF(' 6.0.00'!AN$4="是",' 6.0.00'!$AX$4,' 6.0.00'!$AX$3)</f>
        <v>0</v>
      </c>
      <c r="E17" s="4">
        <f>(VLOOKUP(' 6.0.00'!M17,' 6.0.00'!$AM$4:$AO$55,2,FALSE))*IF(' 6.0.00'!AO$4="是",' 6.0.00'!$AX$4,' 6.0.00'!$AX$3)</f>
        <v>0</v>
      </c>
      <c r="F17" s="4">
        <f>(VLOOKUP(' 6.0.00'!N17,' 6.0.00'!$AM$4:$AO$55,2,FALSE))*IF(' 6.0.00'!AP$4="是",' 6.0.00'!$AX$4,' 6.0.00'!$AX$3)</f>
        <v>0</v>
      </c>
      <c r="G17" s="5">
        <f>(VLOOKUP(' 6.0.00'!O17,' 6.0.00'!$AM$4:$AO$55,2,FALSE))*IF(' 6.0.00'!AQ$4="是",' 6.0.00'!$AX$4,' 6.0.00'!$AX$3)</f>
        <v>0</v>
      </c>
      <c r="H17" s="5">
        <f>(VLOOKUP(' 6.0.00'!P17,' 6.0.00'!$AM$4:$AO$55,2,FALSE))*IF(' 6.0.00'!AR$4="是",' 6.0.00'!$AX$4,' 6.0.00'!$AX$3)</f>
        <v>0</v>
      </c>
      <c r="I17" s="4">
        <f>(VLOOKUP(' 6.0.00'!Q17,' 6.0.00'!$AM$4:$AO$55,2,FALSE))*IF(' 6.0.00'!AS$4="是",' 6.0.00'!$AX$4,' 6.0.00'!$AX$3)</f>
        <v>0</v>
      </c>
      <c r="J17" s="4">
        <f>(VLOOKUP(' 6.0.00'!R17,' 6.0.00'!$AM$4:$AO$55,2,FALSE))*IF(' 6.0.00'!AT$4="是",' 6.0.00'!$AX$4,' 6.0.00'!$AX$3)</f>
        <v>0</v>
      </c>
      <c r="K17" s="4">
        <f>(VLOOKUP(' 6.0.00'!S17,' 6.0.00'!$AM$4:$AO$55,2,FALSE))*IF(' 6.0.00'!AU$4="是",' 6.0.00'!$AX$4,' 6.0.00'!$AX$3)</f>
        <v>0</v>
      </c>
      <c r="L17" s="4">
        <f>(VLOOKUP(' 6.0.00'!T17,' 6.0.00'!$AM$4:$AO$55,2,FALSE))*IF(' 6.0.00'!AV$4="是",' 6.0.00'!$AX$4,' 6.0.00'!$AX$3)</f>
        <v>0</v>
      </c>
      <c r="M17" s="4">
        <f>(VLOOKUP(' 6.0.00'!U17,' 6.0.00'!$AM$4:$AO$55,2,FALSE))*IF(' 6.0.00'!AW$4="是",' 6.0.00'!$AX$4,' 6.0.00'!$AX$3)</f>
        <v>0</v>
      </c>
      <c r="N17" s="4">
        <f>(VLOOKUP(' 6.0.00'!V17,' 6.0.00'!$AM$4:$AO$55,2,FALSE))*IF(' 6.0.00'!AX$4="是",' 6.0.00'!$AX$4,' 6.0.00'!$AX$3)</f>
        <v>0</v>
      </c>
      <c r="O17" s="5">
        <f>(VLOOKUP(' 6.0.00'!W17,' 6.0.00'!$AM$4:$AO$55,2,FALSE))*IF(' 6.0.00'!AY$4="是",' 6.0.00'!$AX$4,' 6.0.00'!$AX$3)</f>
        <v>0</v>
      </c>
      <c r="P17" s="5">
        <f>(VLOOKUP(' 6.0.00'!X17,' 6.0.00'!$AM$4:$AO$55,2,FALSE))*IF(' 6.0.00'!AZ$4="是",' 6.0.00'!$AX$4,' 6.0.00'!$AX$3)</f>
        <v>0</v>
      </c>
      <c r="Q17" s="4">
        <f>(VLOOKUP(' 6.0.00'!Y17,' 6.0.00'!$AM$4:$AO$55,2,FALSE))*IF(' 6.0.00'!BA$4="是",' 6.0.00'!$AX$4,' 6.0.00'!$AX$3)</f>
        <v>0</v>
      </c>
      <c r="R17" s="4">
        <f>(VLOOKUP(' 6.0.00'!Z17,' 6.0.00'!$AM$4:$AO$55,2,FALSE))*IF(' 6.0.00'!BB$4="是",' 6.0.00'!$AX$4,' 6.0.00'!$AX$3)</f>
        <v>0</v>
      </c>
      <c r="S17" s="4">
        <f>(VLOOKUP(' 6.0.00'!AA17,' 6.0.00'!$AM$4:$AO$55,2,FALSE))*IF(' 6.0.00'!BC$4="是",' 6.0.00'!$AX$4,' 6.0.00'!$AX$3)</f>
        <v>0</v>
      </c>
      <c r="T17" s="4">
        <f>(VLOOKUP(' 6.0.00'!AB17,' 6.0.00'!$AM$4:$AO$55,2,FALSE))*IF(' 6.0.00'!BD$4="是",' 6.0.00'!$AX$4,' 6.0.00'!$AX$3)</f>
        <v>0</v>
      </c>
      <c r="U17" s="4">
        <f>(VLOOKUP(' 6.0.00'!AC17,' 6.0.00'!$AM$4:$AO$55,2,FALSE))*IF(' 6.0.00'!BE$4="是",' 6.0.00'!$AX$4,' 6.0.00'!$AX$3)</f>
        <v>0</v>
      </c>
      <c r="V17" s="4">
        <f>(VLOOKUP(' 6.0.00'!AD17,' 6.0.00'!$AM$4:$AO$55,2,FALSE))*IF(' 6.0.00'!BF$4="是",' 6.0.00'!$AX$4,' 6.0.00'!$AX$3)</f>
        <v>0</v>
      </c>
      <c r="W17" s="5">
        <f>(VLOOKUP(' 6.0.00'!AE17,' 6.0.00'!$AM$4:$AO$55,2,FALSE))*IF(' 6.0.00'!BG$4="是",' 6.0.00'!$AX$4,' 6.0.00'!$AX$3)</f>
        <v>0</v>
      </c>
      <c r="X17" s="5">
        <f>(VLOOKUP(' 6.0.00'!AF17,' 6.0.00'!$AM$4:$AO$55,2,FALSE))*IF(' 6.0.00'!BH$4="是",' 6.0.00'!$AX$4,' 6.0.00'!$AX$3)</f>
        <v>0</v>
      </c>
    </row>
    <row r="18" spans="1:24">
      <c r="A18" s="4">
        <f>(VLOOKUP(' 6.0.00'!I18,' 6.0.00'!$AM$4:$AO$55,2,FALSE))*IF(' 6.0.00'!AK$4="是",' 6.0.00'!$AX$4,' 6.0.00'!$AX$3)</f>
        <v>0</v>
      </c>
      <c r="B18" s="4">
        <f>(VLOOKUP(' 6.0.00'!J18,' 6.0.00'!$AM$4:$AO$55,2,FALSE))*IF(' 6.0.00'!AL$4="是",' 6.0.00'!$AX$4,' 6.0.00'!$AX$3)</f>
        <v>0</v>
      </c>
      <c r="C18" s="4">
        <f>(VLOOKUP(' 6.0.00'!K18,' 6.0.00'!$AM$4:$AO$55,2,FALSE))*IF(' 6.0.00'!AM$4="是",' 6.0.00'!$AX$4,' 6.0.00'!$AX$3)</f>
        <v>0</v>
      </c>
      <c r="D18" s="4">
        <f>(VLOOKUP(' 6.0.00'!L18,' 6.0.00'!$AM$4:$AO$55,2,FALSE))*IF(' 6.0.00'!AN$4="是",' 6.0.00'!$AX$4,' 6.0.00'!$AX$3)</f>
        <v>0</v>
      </c>
      <c r="E18" s="4">
        <f>(VLOOKUP(' 6.0.00'!M18,' 6.0.00'!$AM$4:$AO$55,2,FALSE))*IF(' 6.0.00'!AO$4="是",' 6.0.00'!$AX$4,' 6.0.00'!$AX$3)</f>
        <v>0</v>
      </c>
      <c r="F18" s="4">
        <f>(VLOOKUP(' 6.0.00'!N18,' 6.0.00'!$AM$4:$AO$55,2,FALSE))*IF(' 6.0.00'!AP$4="是",' 6.0.00'!$AX$4,' 6.0.00'!$AX$3)</f>
        <v>0</v>
      </c>
      <c r="G18" s="5">
        <f>(VLOOKUP(' 6.0.00'!O18,' 6.0.00'!$AM$4:$AO$55,2,FALSE))*IF(' 6.0.00'!AQ$4="是",' 6.0.00'!$AX$4,' 6.0.00'!$AX$3)</f>
        <v>0</v>
      </c>
      <c r="H18" s="5">
        <f>(VLOOKUP(' 6.0.00'!P18,' 6.0.00'!$AM$4:$AO$55,2,FALSE))*IF(' 6.0.00'!AR$4="是",' 6.0.00'!$AX$4,' 6.0.00'!$AX$3)</f>
        <v>0</v>
      </c>
      <c r="I18" s="4">
        <f>(VLOOKUP(' 6.0.00'!Q18,' 6.0.00'!$AM$4:$AO$55,2,FALSE))*IF(' 6.0.00'!AS$4="是",' 6.0.00'!$AX$4,' 6.0.00'!$AX$3)</f>
        <v>0</v>
      </c>
      <c r="J18" s="4">
        <f>(VLOOKUP(' 6.0.00'!R18,' 6.0.00'!$AM$4:$AO$55,2,FALSE))*IF(' 6.0.00'!AT$4="是",' 6.0.00'!$AX$4,' 6.0.00'!$AX$3)</f>
        <v>0</v>
      </c>
      <c r="K18" s="4">
        <f>(VLOOKUP(' 6.0.00'!S18,' 6.0.00'!$AM$4:$AO$55,2,FALSE))*IF(' 6.0.00'!AU$4="是",' 6.0.00'!$AX$4,' 6.0.00'!$AX$3)</f>
        <v>0</v>
      </c>
      <c r="L18" s="4">
        <f>(VLOOKUP(' 6.0.00'!T18,' 6.0.00'!$AM$4:$AO$55,2,FALSE))*IF(' 6.0.00'!AV$4="是",' 6.0.00'!$AX$4,' 6.0.00'!$AX$3)</f>
        <v>0</v>
      </c>
      <c r="M18" s="4">
        <f>(VLOOKUP(' 6.0.00'!U18,' 6.0.00'!$AM$4:$AO$55,2,FALSE))*IF(' 6.0.00'!AW$4="是",' 6.0.00'!$AX$4,' 6.0.00'!$AX$3)</f>
        <v>0</v>
      </c>
      <c r="N18" s="4">
        <f>(VLOOKUP(' 6.0.00'!V18,' 6.0.00'!$AM$4:$AO$55,2,FALSE))*IF(' 6.0.00'!AX$4="是",' 6.0.00'!$AX$4,' 6.0.00'!$AX$3)</f>
        <v>0</v>
      </c>
      <c r="O18" s="5">
        <f>(VLOOKUP(' 6.0.00'!W18,' 6.0.00'!$AM$4:$AO$55,2,FALSE))*IF(' 6.0.00'!AY$4="是",' 6.0.00'!$AX$4,' 6.0.00'!$AX$3)</f>
        <v>0</v>
      </c>
      <c r="P18" s="5">
        <f>(VLOOKUP(' 6.0.00'!X18,' 6.0.00'!$AM$4:$AO$55,2,FALSE))*IF(' 6.0.00'!AZ$4="是",' 6.0.00'!$AX$4,' 6.0.00'!$AX$3)</f>
        <v>0</v>
      </c>
      <c r="Q18" s="4">
        <f>(VLOOKUP(' 6.0.00'!Y18,' 6.0.00'!$AM$4:$AO$55,2,FALSE))*IF(' 6.0.00'!BA$4="是",' 6.0.00'!$AX$4,' 6.0.00'!$AX$3)</f>
        <v>0</v>
      </c>
      <c r="R18" s="4">
        <f>(VLOOKUP(' 6.0.00'!Z18,' 6.0.00'!$AM$4:$AO$55,2,FALSE))*IF(' 6.0.00'!BB$4="是",' 6.0.00'!$AX$4,' 6.0.00'!$AX$3)</f>
        <v>0</v>
      </c>
      <c r="S18" s="4">
        <f>(VLOOKUP(' 6.0.00'!AA18,' 6.0.00'!$AM$4:$AO$55,2,FALSE))*IF(' 6.0.00'!BC$4="是",' 6.0.00'!$AX$4,' 6.0.00'!$AX$3)</f>
        <v>0</v>
      </c>
      <c r="T18" s="4">
        <f>(VLOOKUP(' 6.0.00'!AB18,' 6.0.00'!$AM$4:$AO$55,2,FALSE))*IF(' 6.0.00'!BD$4="是",' 6.0.00'!$AX$4,' 6.0.00'!$AX$3)</f>
        <v>0</v>
      </c>
      <c r="U18" s="4">
        <f>(VLOOKUP(' 6.0.00'!AC18,' 6.0.00'!$AM$4:$AO$55,2,FALSE))*IF(' 6.0.00'!BE$4="是",' 6.0.00'!$AX$4,' 6.0.00'!$AX$3)</f>
        <v>0</v>
      </c>
      <c r="V18" s="4">
        <f>(VLOOKUP(' 6.0.00'!AD18,' 6.0.00'!$AM$4:$AO$55,2,FALSE))*IF(' 6.0.00'!BF$4="是",' 6.0.00'!$AX$4,' 6.0.00'!$AX$3)</f>
        <v>0</v>
      </c>
      <c r="W18" s="5">
        <f>(VLOOKUP(' 6.0.00'!AE18,' 6.0.00'!$AM$4:$AO$55,2,FALSE))*IF(' 6.0.00'!BG$4="是",' 6.0.00'!$AX$4,' 6.0.00'!$AX$3)</f>
        <v>0</v>
      </c>
      <c r="X18" s="5">
        <f>(VLOOKUP(' 6.0.00'!AF18,' 6.0.00'!$AM$4:$AO$55,2,FALSE))*IF(' 6.0.00'!BH$4="是",' 6.0.00'!$AX$4,' 6.0.00'!$AX$3)</f>
        <v>0</v>
      </c>
    </row>
    <row r="19" spans="1:24">
      <c r="A19" s="4">
        <f>(VLOOKUP(' 6.0.00'!I19,' 6.0.00'!$AM$4:$AO$55,2,FALSE))*IF(' 6.0.00'!AK$4="是",' 6.0.00'!$AX$4,' 6.0.00'!$AX$3)</f>
        <v>0</v>
      </c>
      <c r="B19" s="4">
        <f>(VLOOKUP(' 6.0.00'!J19,' 6.0.00'!$AM$4:$AO$55,2,FALSE))*IF(' 6.0.00'!AL$4="是",' 6.0.00'!$AX$4,' 6.0.00'!$AX$3)</f>
        <v>0</v>
      </c>
      <c r="C19" s="4">
        <f>(VLOOKUP(' 6.0.00'!K19,' 6.0.00'!$AM$4:$AO$55,2,FALSE))*IF(' 6.0.00'!AM$4="是",' 6.0.00'!$AX$4,' 6.0.00'!$AX$3)</f>
        <v>0</v>
      </c>
      <c r="D19" s="4">
        <f>(VLOOKUP(' 6.0.00'!L19,' 6.0.00'!$AM$4:$AO$55,2,FALSE))*IF(' 6.0.00'!AN$4="是",' 6.0.00'!$AX$4,' 6.0.00'!$AX$3)</f>
        <v>0</v>
      </c>
      <c r="E19" s="4">
        <f>(VLOOKUP(' 6.0.00'!M19,' 6.0.00'!$AM$4:$AO$55,2,FALSE))*IF(' 6.0.00'!AO$4="是",' 6.0.00'!$AX$4,' 6.0.00'!$AX$3)</f>
        <v>0</v>
      </c>
      <c r="F19" s="4">
        <f>(VLOOKUP(' 6.0.00'!N19,' 6.0.00'!$AM$4:$AO$55,2,FALSE))*IF(' 6.0.00'!AP$4="是",' 6.0.00'!$AX$4,' 6.0.00'!$AX$3)</f>
        <v>0</v>
      </c>
      <c r="G19" s="5">
        <f>(VLOOKUP(' 6.0.00'!O19,' 6.0.00'!$AM$4:$AO$55,2,FALSE))*IF(' 6.0.00'!AQ$4="是",' 6.0.00'!$AX$4,' 6.0.00'!$AX$3)</f>
        <v>0</v>
      </c>
      <c r="H19" s="5">
        <f>(VLOOKUP(' 6.0.00'!P19,' 6.0.00'!$AM$4:$AO$55,2,FALSE))*IF(' 6.0.00'!AR$4="是",' 6.0.00'!$AX$4,' 6.0.00'!$AX$3)</f>
        <v>0</v>
      </c>
      <c r="I19" s="4">
        <f>(VLOOKUP(' 6.0.00'!Q19,' 6.0.00'!$AM$4:$AO$55,2,FALSE))*IF(' 6.0.00'!AS$4="是",' 6.0.00'!$AX$4,' 6.0.00'!$AX$3)</f>
        <v>0</v>
      </c>
      <c r="J19" s="4">
        <f>(VLOOKUP(' 6.0.00'!R19,' 6.0.00'!$AM$4:$AO$55,2,FALSE))*IF(' 6.0.00'!AT$4="是",' 6.0.00'!$AX$4,' 6.0.00'!$AX$3)</f>
        <v>0</v>
      </c>
      <c r="K19" s="4">
        <f>(VLOOKUP(' 6.0.00'!S19,' 6.0.00'!$AM$4:$AO$55,2,FALSE))*IF(' 6.0.00'!AU$4="是",' 6.0.00'!$AX$4,' 6.0.00'!$AX$3)</f>
        <v>0</v>
      </c>
      <c r="L19" s="4">
        <f>(VLOOKUP(' 6.0.00'!T19,' 6.0.00'!$AM$4:$AO$55,2,FALSE))*IF(' 6.0.00'!AV$4="是",' 6.0.00'!$AX$4,' 6.0.00'!$AX$3)</f>
        <v>0</v>
      </c>
      <c r="M19" s="4">
        <f>(VLOOKUP(' 6.0.00'!U19,' 6.0.00'!$AM$4:$AO$55,2,FALSE))*IF(' 6.0.00'!AW$4="是",' 6.0.00'!$AX$4,' 6.0.00'!$AX$3)</f>
        <v>0</v>
      </c>
      <c r="N19" s="4">
        <f>(VLOOKUP(' 6.0.00'!V19,' 6.0.00'!$AM$4:$AO$55,2,FALSE))*IF(' 6.0.00'!AX$4="是",' 6.0.00'!$AX$4,' 6.0.00'!$AX$3)</f>
        <v>0</v>
      </c>
      <c r="O19" s="5">
        <f>(VLOOKUP(' 6.0.00'!W19,' 6.0.00'!$AM$4:$AO$55,2,FALSE))*IF(' 6.0.00'!AY$4="是",' 6.0.00'!$AX$4,' 6.0.00'!$AX$3)</f>
        <v>0</v>
      </c>
      <c r="P19" s="5">
        <f>(VLOOKUP(' 6.0.00'!X19,' 6.0.00'!$AM$4:$AO$55,2,FALSE))*IF(' 6.0.00'!AZ$4="是",' 6.0.00'!$AX$4,' 6.0.00'!$AX$3)</f>
        <v>0</v>
      </c>
      <c r="Q19" s="4">
        <f>(VLOOKUP(' 6.0.00'!Y19,' 6.0.00'!$AM$4:$AO$55,2,FALSE))*IF(' 6.0.00'!BA$4="是",' 6.0.00'!$AX$4,' 6.0.00'!$AX$3)</f>
        <v>0</v>
      </c>
      <c r="R19" s="4">
        <f>(VLOOKUP(' 6.0.00'!Z19,' 6.0.00'!$AM$4:$AO$55,2,FALSE))*IF(' 6.0.00'!BB$4="是",' 6.0.00'!$AX$4,' 6.0.00'!$AX$3)</f>
        <v>0</v>
      </c>
      <c r="S19" s="4">
        <f>(VLOOKUP(' 6.0.00'!AA19,' 6.0.00'!$AM$4:$AO$55,2,FALSE))*IF(' 6.0.00'!BC$4="是",' 6.0.00'!$AX$4,' 6.0.00'!$AX$3)</f>
        <v>0</v>
      </c>
      <c r="T19" s="4">
        <f>(VLOOKUP(' 6.0.00'!AB19,' 6.0.00'!$AM$4:$AO$55,2,FALSE))*IF(' 6.0.00'!BD$4="是",' 6.0.00'!$AX$4,' 6.0.00'!$AX$3)</f>
        <v>0</v>
      </c>
      <c r="U19" s="4">
        <f>(VLOOKUP(' 6.0.00'!AC19,' 6.0.00'!$AM$4:$AO$55,2,FALSE))*IF(' 6.0.00'!BE$4="是",' 6.0.00'!$AX$4,' 6.0.00'!$AX$3)</f>
        <v>0</v>
      </c>
      <c r="V19" s="4">
        <f>(VLOOKUP(' 6.0.00'!AD19,' 6.0.00'!$AM$4:$AO$55,2,FALSE))*IF(' 6.0.00'!BF$4="是",' 6.0.00'!$AX$4,' 6.0.00'!$AX$3)</f>
        <v>0</v>
      </c>
      <c r="W19" s="5">
        <f>(VLOOKUP(' 6.0.00'!AE19,' 6.0.00'!$AM$4:$AO$55,2,FALSE))*IF(' 6.0.00'!BG$4="是",' 6.0.00'!$AX$4,' 6.0.00'!$AX$3)</f>
        <v>0</v>
      </c>
      <c r="X19" s="5">
        <f>(VLOOKUP(' 6.0.00'!AF19,' 6.0.00'!$AM$4:$AO$55,2,FALSE))*IF(' 6.0.00'!BH$4="是",' 6.0.00'!$AX$4,' 6.0.00'!$AX$3)</f>
        <v>0</v>
      </c>
    </row>
    <row r="20" spans="1:24">
      <c r="A20" s="4">
        <f>(VLOOKUP(' 6.0.00'!I20,' 6.0.00'!$AM$4:$AO$55,2,FALSE))*IF(' 6.0.00'!AK$4="是",' 6.0.00'!$AX$4,' 6.0.00'!$AX$3)</f>
        <v>0</v>
      </c>
      <c r="B20" s="4">
        <f>(VLOOKUP(' 6.0.00'!J20,' 6.0.00'!$AM$4:$AO$55,2,FALSE))*IF(' 6.0.00'!AL$4="是",' 6.0.00'!$AX$4,' 6.0.00'!$AX$3)</f>
        <v>0</v>
      </c>
      <c r="C20" s="4">
        <f>(VLOOKUP(' 6.0.00'!K20,' 6.0.00'!$AM$4:$AO$55,2,FALSE))*IF(' 6.0.00'!AM$4="是",' 6.0.00'!$AX$4,' 6.0.00'!$AX$3)</f>
        <v>0</v>
      </c>
      <c r="D20" s="4">
        <f>(VLOOKUP(' 6.0.00'!L20,' 6.0.00'!$AM$4:$AO$55,2,FALSE))*IF(' 6.0.00'!AN$4="是",' 6.0.00'!$AX$4,' 6.0.00'!$AX$3)</f>
        <v>0</v>
      </c>
      <c r="E20" s="4">
        <f>(VLOOKUP(' 6.0.00'!M20,' 6.0.00'!$AM$4:$AO$55,2,FALSE))*IF(' 6.0.00'!AO$4="是",' 6.0.00'!$AX$4,' 6.0.00'!$AX$3)</f>
        <v>0</v>
      </c>
      <c r="F20" s="4">
        <f>(VLOOKUP(' 6.0.00'!N20,' 6.0.00'!$AM$4:$AO$55,2,FALSE))*IF(' 6.0.00'!AP$4="是",' 6.0.00'!$AX$4,' 6.0.00'!$AX$3)</f>
        <v>0</v>
      </c>
      <c r="G20" s="5">
        <f>(VLOOKUP(' 6.0.00'!O20,' 6.0.00'!$AM$4:$AO$55,2,FALSE))*IF(' 6.0.00'!AQ$4="是",' 6.0.00'!$AX$4,' 6.0.00'!$AX$3)</f>
        <v>0</v>
      </c>
      <c r="H20" s="5">
        <f>(VLOOKUP(' 6.0.00'!P20,' 6.0.00'!$AM$4:$AO$55,2,FALSE))*IF(' 6.0.00'!AR$4="是",' 6.0.00'!$AX$4,' 6.0.00'!$AX$3)</f>
        <v>0</v>
      </c>
      <c r="I20" s="4">
        <f>(VLOOKUP(' 6.0.00'!Q20,' 6.0.00'!$AM$4:$AO$55,2,FALSE))*IF(' 6.0.00'!AS$4="是",' 6.0.00'!$AX$4,' 6.0.00'!$AX$3)</f>
        <v>0</v>
      </c>
      <c r="J20" s="4">
        <f>(VLOOKUP(' 6.0.00'!R20,' 6.0.00'!$AM$4:$AO$55,2,FALSE))*IF(' 6.0.00'!AT$4="是",' 6.0.00'!$AX$4,' 6.0.00'!$AX$3)</f>
        <v>0</v>
      </c>
      <c r="K20" s="4">
        <f>(VLOOKUP(' 6.0.00'!S20,' 6.0.00'!$AM$4:$AO$55,2,FALSE))*IF(' 6.0.00'!AU$4="是",' 6.0.00'!$AX$4,' 6.0.00'!$AX$3)</f>
        <v>0</v>
      </c>
      <c r="L20" s="4">
        <f>(VLOOKUP(' 6.0.00'!T20,' 6.0.00'!$AM$4:$AO$55,2,FALSE))*IF(' 6.0.00'!AV$4="是",' 6.0.00'!$AX$4,' 6.0.00'!$AX$3)</f>
        <v>0</v>
      </c>
      <c r="M20" s="4">
        <f>(VLOOKUP(' 6.0.00'!U20,' 6.0.00'!$AM$4:$AO$55,2,FALSE))*IF(' 6.0.00'!AW$4="是",' 6.0.00'!$AX$4,' 6.0.00'!$AX$3)</f>
        <v>0</v>
      </c>
      <c r="N20" s="4">
        <f>(VLOOKUP(' 6.0.00'!V20,' 6.0.00'!$AM$4:$AO$55,2,FALSE))*IF(' 6.0.00'!AX$4="是",' 6.0.00'!$AX$4,' 6.0.00'!$AX$3)</f>
        <v>0</v>
      </c>
      <c r="O20" s="5">
        <f>(VLOOKUP(' 6.0.00'!W20,' 6.0.00'!$AM$4:$AO$55,2,FALSE))*IF(' 6.0.00'!AY$4="是",' 6.0.00'!$AX$4,' 6.0.00'!$AX$3)</f>
        <v>0</v>
      </c>
      <c r="P20" s="5">
        <f>(VLOOKUP(' 6.0.00'!X20,' 6.0.00'!$AM$4:$AO$55,2,FALSE))*IF(' 6.0.00'!AZ$4="是",' 6.0.00'!$AX$4,' 6.0.00'!$AX$3)</f>
        <v>0</v>
      </c>
      <c r="Q20" s="4">
        <f>(VLOOKUP(' 6.0.00'!Y20,' 6.0.00'!$AM$4:$AO$55,2,FALSE))*IF(' 6.0.00'!BA$4="是",' 6.0.00'!$AX$4,' 6.0.00'!$AX$3)</f>
        <v>0</v>
      </c>
      <c r="R20" s="4">
        <f>(VLOOKUP(' 6.0.00'!Z20,' 6.0.00'!$AM$4:$AO$55,2,FALSE))*IF(' 6.0.00'!BB$4="是",' 6.0.00'!$AX$4,' 6.0.00'!$AX$3)</f>
        <v>0</v>
      </c>
      <c r="S20" s="4">
        <f>(VLOOKUP(' 6.0.00'!AA20,' 6.0.00'!$AM$4:$AO$55,2,FALSE))*IF(' 6.0.00'!BC$4="是",' 6.0.00'!$AX$4,' 6.0.00'!$AX$3)</f>
        <v>0</v>
      </c>
      <c r="T20" s="4">
        <f>(VLOOKUP(' 6.0.00'!AB20,' 6.0.00'!$AM$4:$AO$55,2,FALSE))*IF(' 6.0.00'!BD$4="是",' 6.0.00'!$AX$4,' 6.0.00'!$AX$3)</f>
        <v>0</v>
      </c>
      <c r="U20" s="4">
        <f>(VLOOKUP(' 6.0.00'!AC20,' 6.0.00'!$AM$4:$AO$55,2,FALSE))*IF(' 6.0.00'!BE$4="是",' 6.0.00'!$AX$4,' 6.0.00'!$AX$3)</f>
        <v>0</v>
      </c>
      <c r="V20" s="4">
        <f>(VLOOKUP(' 6.0.00'!AD20,' 6.0.00'!$AM$4:$AO$55,2,FALSE))*IF(' 6.0.00'!BF$4="是",' 6.0.00'!$AX$4,' 6.0.00'!$AX$3)</f>
        <v>0</v>
      </c>
      <c r="W20" s="5">
        <f>(VLOOKUP(' 6.0.00'!AE20,' 6.0.00'!$AM$4:$AO$55,2,FALSE))*IF(' 6.0.00'!BG$4="是",' 6.0.00'!$AX$4,' 6.0.00'!$AX$3)</f>
        <v>0</v>
      </c>
      <c r="X20" s="5">
        <f>(VLOOKUP(' 6.0.00'!AF20,' 6.0.00'!$AM$4:$AO$55,2,FALSE))*IF(' 6.0.00'!BH$4="是",' 6.0.00'!$AX$4,' 6.0.00'!$AX$3)</f>
        <v>0</v>
      </c>
    </row>
    <row r="21" spans="1:24">
      <c r="A21" s="4">
        <f>(VLOOKUP(' 6.0.00'!I21,' 6.0.00'!$AM$4:$AO$55,2,FALSE))*IF(' 6.0.00'!AK$4="是",' 6.0.00'!$AX$4,' 6.0.00'!$AX$3)</f>
        <v>0</v>
      </c>
      <c r="B21" s="4">
        <f>(VLOOKUP(' 6.0.00'!J21,' 6.0.00'!$AM$4:$AO$55,2,FALSE))*IF(' 6.0.00'!AL$4="是",' 6.0.00'!$AX$4,' 6.0.00'!$AX$3)</f>
        <v>0</v>
      </c>
      <c r="C21" s="4">
        <f>(VLOOKUP(' 6.0.00'!K21,' 6.0.00'!$AM$4:$AO$55,2,FALSE))*IF(' 6.0.00'!AM$4="是",' 6.0.00'!$AX$4,' 6.0.00'!$AX$3)</f>
        <v>0</v>
      </c>
      <c r="D21" s="4">
        <f>(VLOOKUP(' 6.0.00'!L21,' 6.0.00'!$AM$4:$AO$55,2,FALSE))*IF(' 6.0.00'!AN$4="是",' 6.0.00'!$AX$4,' 6.0.00'!$AX$3)</f>
        <v>0</v>
      </c>
      <c r="E21" s="4">
        <f>(VLOOKUP(' 6.0.00'!M21,' 6.0.00'!$AM$4:$AO$55,2,FALSE))*IF(' 6.0.00'!AO$4="是",' 6.0.00'!$AX$4,' 6.0.00'!$AX$3)</f>
        <v>0</v>
      </c>
      <c r="F21" s="4">
        <f>(VLOOKUP(' 6.0.00'!N21,' 6.0.00'!$AM$4:$AO$55,2,FALSE))*IF(' 6.0.00'!AP$4="是",' 6.0.00'!$AX$4,' 6.0.00'!$AX$3)</f>
        <v>0</v>
      </c>
      <c r="G21" s="5">
        <f>(VLOOKUP(' 6.0.00'!O21,' 6.0.00'!$AM$4:$AO$55,2,FALSE))*IF(' 6.0.00'!AQ$4="是",' 6.0.00'!$AX$4,' 6.0.00'!$AX$3)</f>
        <v>0</v>
      </c>
      <c r="H21" s="5">
        <f>(VLOOKUP(' 6.0.00'!P21,' 6.0.00'!$AM$4:$AO$55,2,FALSE))*IF(' 6.0.00'!AR$4="是",' 6.0.00'!$AX$4,' 6.0.00'!$AX$3)</f>
        <v>0</v>
      </c>
      <c r="I21" s="4">
        <f>(VLOOKUP(' 6.0.00'!Q21,' 6.0.00'!$AM$4:$AO$55,2,FALSE))*IF(' 6.0.00'!AS$4="是",' 6.0.00'!$AX$4,' 6.0.00'!$AX$3)</f>
        <v>0</v>
      </c>
      <c r="J21" s="4">
        <f>(VLOOKUP(' 6.0.00'!R21,' 6.0.00'!$AM$4:$AO$55,2,FALSE))*IF(' 6.0.00'!AT$4="是",' 6.0.00'!$AX$4,' 6.0.00'!$AX$3)</f>
        <v>0</v>
      </c>
      <c r="K21" s="4">
        <f>(VLOOKUP(' 6.0.00'!S21,' 6.0.00'!$AM$4:$AO$55,2,FALSE))*IF(' 6.0.00'!AU$4="是",' 6.0.00'!$AX$4,' 6.0.00'!$AX$3)</f>
        <v>0</v>
      </c>
      <c r="L21" s="4">
        <f>(VLOOKUP(' 6.0.00'!T21,' 6.0.00'!$AM$4:$AO$55,2,FALSE))*IF(' 6.0.00'!AV$4="是",' 6.0.00'!$AX$4,' 6.0.00'!$AX$3)</f>
        <v>0</v>
      </c>
      <c r="M21" s="4">
        <f>(VLOOKUP(' 6.0.00'!U21,' 6.0.00'!$AM$4:$AO$55,2,FALSE))*IF(' 6.0.00'!AW$4="是",' 6.0.00'!$AX$4,' 6.0.00'!$AX$3)</f>
        <v>0</v>
      </c>
      <c r="N21" s="4">
        <f>(VLOOKUP(' 6.0.00'!V21,' 6.0.00'!$AM$4:$AO$55,2,FALSE))*IF(' 6.0.00'!AX$4="是",' 6.0.00'!$AX$4,' 6.0.00'!$AX$3)</f>
        <v>0</v>
      </c>
      <c r="O21" s="5">
        <f>(VLOOKUP(' 6.0.00'!W21,' 6.0.00'!$AM$4:$AO$55,2,FALSE))*IF(' 6.0.00'!AY$4="是",' 6.0.00'!$AX$4,' 6.0.00'!$AX$3)</f>
        <v>0</v>
      </c>
      <c r="P21" s="5">
        <f>(VLOOKUP(' 6.0.00'!X21,' 6.0.00'!$AM$4:$AO$55,2,FALSE))*IF(' 6.0.00'!AZ$4="是",' 6.0.00'!$AX$4,' 6.0.00'!$AX$3)</f>
        <v>0</v>
      </c>
      <c r="Q21" s="4">
        <f>(VLOOKUP(' 6.0.00'!Y21,' 6.0.00'!$AM$4:$AO$55,2,FALSE))*IF(' 6.0.00'!BA$4="是",' 6.0.00'!$AX$4,' 6.0.00'!$AX$3)</f>
        <v>0</v>
      </c>
      <c r="R21" s="4">
        <f>(VLOOKUP(' 6.0.00'!Z21,' 6.0.00'!$AM$4:$AO$55,2,FALSE))*IF(' 6.0.00'!BB$4="是",' 6.0.00'!$AX$4,' 6.0.00'!$AX$3)</f>
        <v>0</v>
      </c>
      <c r="S21" s="4">
        <f>(VLOOKUP(' 6.0.00'!AA21,' 6.0.00'!$AM$4:$AO$55,2,FALSE))*IF(' 6.0.00'!BC$4="是",' 6.0.00'!$AX$4,' 6.0.00'!$AX$3)</f>
        <v>0</v>
      </c>
      <c r="T21" s="4">
        <f>(VLOOKUP(' 6.0.00'!AB21,' 6.0.00'!$AM$4:$AO$55,2,FALSE))*IF(' 6.0.00'!BD$4="是",' 6.0.00'!$AX$4,' 6.0.00'!$AX$3)</f>
        <v>0</v>
      </c>
      <c r="U21" s="4">
        <f>(VLOOKUP(' 6.0.00'!AC21,' 6.0.00'!$AM$4:$AO$55,2,FALSE))*IF(' 6.0.00'!BE$4="是",' 6.0.00'!$AX$4,' 6.0.00'!$AX$3)</f>
        <v>0</v>
      </c>
      <c r="V21" s="4">
        <f>(VLOOKUP(' 6.0.00'!AD21,' 6.0.00'!$AM$4:$AO$55,2,FALSE))*IF(' 6.0.00'!BF$4="是",' 6.0.00'!$AX$4,' 6.0.00'!$AX$3)</f>
        <v>0</v>
      </c>
      <c r="W21" s="5">
        <f>(VLOOKUP(' 6.0.00'!AE21,' 6.0.00'!$AM$4:$AO$55,2,FALSE))*IF(' 6.0.00'!BG$4="是",' 6.0.00'!$AX$4,' 6.0.00'!$AX$3)</f>
        <v>0</v>
      </c>
      <c r="X21" s="5">
        <f>(VLOOKUP(' 6.0.00'!AF21,' 6.0.00'!$AM$4:$AO$55,2,FALSE))*IF(' 6.0.00'!BH$4="是",' 6.0.00'!$AX$4,' 6.0.00'!$AX$3)</f>
        <v>0</v>
      </c>
    </row>
    <row r="22" spans="1:24">
      <c r="A22" s="4">
        <f>(VLOOKUP(' 6.0.00'!I22,' 6.0.00'!$AM$4:$AO$55,2,FALSE))*IF(' 6.0.00'!AK$4="是",' 6.0.00'!$AX$4,' 6.0.00'!$AX$3)</f>
        <v>0</v>
      </c>
      <c r="B22" s="4">
        <f>(VLOOKUP(' 6.0.00'!J22,' 6.0.00'!$AM$4:$AO$55,2,FALSE))*IF(' 6.0.00'!AL$4="是",' 6.0.00'!$AX$4,' 6.0.00'!$AX$3)</f>
        <v>0</v>
      </c>
      <c r="C22" s="4">
        <f>(VLOOKUP(' 6.0.00'!K22,' 6.0.00'!$AM$4:$AO$55,2,FALSE))*IF(' 6.0.00'!AM$4="是",' 6.0.00'!$AX$4,' 6.0.00'!$AX$3)</f>
        <v>0</v>
      </c>
      <c r="D22" s="4">
        <f>(VLOOKUP(' 6.0.00'!L22,' 6.0.00'!$AM$4:$AO$55,2,FALSE))*IF(' 6.0.00'!AN$4="是",' 6.0.00'!$AX$4,' 6.0.00'!$AX$3)</f>
        <v>0</v>
      </c>
      <c r="E22" s="4">
        <f>(VLOOKUP(' 6.0.00'!M22,' 6.0.00'!$AM$4:$AO$55,2,FALSE))*IF(' 6.0.00'!AO$4="是",' 6.0.00'!$AX$4,' 6.0.00'!$AX$3)</f>
        <v>0</v>
      </c>
      <c r="F22" s="4">
        <f>(VLOOKUP(' 6.0.00'!N22,' 6.0.00'!$AM$4:$AO$55,2,FALSE))*IF(' 6.0.00'!AP$4="是",' 6.0.00'!$AX$4,' 6.0.00'!$AX$3)</f>
        <v>0</v>
      </c>
      <c r="G22" s="5">
        <f>(VLOOKUP(' 6.0.00'!O22,' 6.0.00'!$AM$4:$AO$55,2,FALSE))*IF(' 6.0.00'!AQ$4="是",' 6.0.00'!$AX$4,' 6.0.00'!$AX$3)</f>
        <v>0</v>
      </c>
      <c r="H22" s="5">
        <f>(VLOOKUP(' 6.0.00'!P22,' 6.0.00'!$AM$4:$AO$55,2,FALSE))*IF(' 6.0.00'!AR$4="是",' 6.0.00'!$AX$4,' 6.0.00'!$AX$3)</f>
        <v>0</v>
      </c>
      <c r="I22" s="4">
        <f>(VLOOKUP(' 6.0.00'!Q22,' 6.0.00'!$AM$4:$AO$55,2,FALSE))*IF(' 6.0.00'!AS$4="是",' 6.0.00'!$AX$4,' 6.0.00'!$AX$3)</f>
        <v>0</v>
      </c>
      <c r="J22" s="4">
        <f>(VLOOKUP(' 6.0.00'!R22,' 6.0.00'!$AM$4:$AO$55,2,FALSE))*IF(' 6.0.00'!AT$4="是",' 6.0.00'!$AX$4,' 6.0.00'!$AX$3)</f>
        <v>0</v>
      </c>
      <c r="K22" s="4">
        <f>(VLOOKUP(' 6.0.00'!S22,' 6.0.00'!$AM$4:$AO$55,2,FALSE))*IF(' 6.0.00'!AU$4="是",' 6.0.00'!$AX$4,' 6.0.00'!$AX$3)</f>
        <v>0</v>
      </c>
      <c r="L22" s="4">
        <f>(VLOOKUP(' 6.0.00'!T22,' 6.0.00'!$AM$4:$AO$55,2,FALSE))*IF(' 6.0.00'!AV$4="是",' 6.0.00'!$AX$4,' 6.0.00'!$AX$3)</f>
        <v>0</v>
      </c>
      <c r="M22" s="4">
        <f>(VLOOKUP(' 6.0.00'!U22,' 6.0.00'!$AM$4:$AO$55,2,FALSE))*IF(' 6.0.00'!AW$4="是",' 6.0.00'!$AX$4,' 6.0.00'!$AX$3)</f>
        <v>0</v>
      </c>
      <c r="N22" s="4">
        <f>(VLOOKUP(' 6.0.00'!V22,' 6.0.00'!$AM$4:$AO$55,2,FALSE))*IF(' 6.0.00'!AX$4="是",' 6.0.00'!$AX$4,' 6.0.00'!$AX$3)</f>
        <v>0</v>
      </c>
      <c r="O22" s="5">
        <f>(VLOOKUP(' 6.0.00'!W22,' 6.0.00'!$AM$4:$AO$55,2,FALSE))*IF(' 6.0.00'!AY$4="是",' 6.0.00'!$AX$4,' 6.0.00'!$AX$3)</f>
        <v>0</v>
      </c>
      <c r="P22" s="5">
        <f>(VLOOKUP(' 6.0.00'!X22,' 6.0.00'!$AM$4:$AO$55,2,FALSE))*IF(' 6.0.00'!AZ$4="是",' 6.0.00'!$AX$4,' 6.0.00'!$AX$3)</f>
        <v>0</v>
      </c>
      <c r="Q22" s="4">
        <f>(VLOOKUP(' 6.0.00'!Y22,' 6.0.00'!$AM$4:$AO$55,2,FALSE))*IF(' 6.0.00'!BA$4="是",' 6.0.00'!$AX$4,' 6.0.00'!$AX$3)</f>
        <v>0</v>
      </c>
      <c r="R22" s="4">
        <f>(VLOOKUP(' 6.0.00'!Z22,' 6.0.00'!$AM$4:$AO$55,2,FALSE))*IF(' 6.0.00'!BB$4="是",' 6.0.00'!$AX$4,' 6.0.00'!$AX$3)</f>
        <v>0</v>
      </c>
      <c r="S22" s="4">
        <f>(VLOOKUP(' 6.0.00'!AA22,' 6.0.00'!$AM$4:$AO$55,2,FALSE))*IF(' 6.0.00'!BC$4="是",' 6.0.00'!$AX$4,' 6.0.00'!$AX$3)</f>
        <v>0</v>
      </c>
      <c r="T22" s="4">
        <f>(VLOOKUP(' 6.0.00'!AB22,' 6.0.00'!$AM$4:$AO$55,2,FALSE))*IF(' 6.0.00'!BD$4="是",' 6.0.00'!$AX$4,' 6.0.00'!$AX$3)</f>
        <v>0</v>
      </c>
      <c r="U22" s="4">
        <f>(VLOOKUP(' 6.0.00'!AC22,' 6.0.00'!$AM$4:$AO$55,2,FALSE))*IF(' 6.0.00'!BE$4="是",' 6.0.00'!$AX$4,' 6.0.00'!$AX$3)</f>
        <v>0</v>
      </c>
      <c r="V22" s="4">
        <f>(VLOOKUP(' 6.0.00'!AD22,' 6.0.00'!$AM$4:$AO$55,2,FALSE))*IF(' 6.0.00'!BF$4="是",' 6.0.00'!$AX$4,' 6.0.00'!$AX$3)</f>
        <v>0</v>
      </c>
      <c r="W22" s="5">
        <f>(VLOOKUP(' 6.0.00'!AE22,' 6.0.00'!$AM$4:$AO$55,2,FALSE))*IF(' 6.0.00'!BG$4="是",' 6.0.00'!$AX$4,' 6.0.00'!$AX$3)</f>
        <v>0</v>
      </c>
      <c r="X22" s="5">
        <f>(VLOOKUP(' 6.0.00'!AF22,' 6.0.00'!$AM$4:$AO$55,2,FALSE))*IF(' 6.0.00'!BH$4="是",' 6.0.00'!$AX$4,' 6.0.00'!$AX$3)</f>
        <v>0</v>
      </c>
    </row>
    <row r="23" spans="1:24">
      <c r="A23" s="4">
        <f>(VLOOKUP(' 6.0.00'!I23,' 6.0.00'!$AM$4:$AO$55,2,FALSE))*IF(' 6.0.00'!AK$4="是",' 6.0.00'!$AX$4,' 6.0.00'!$AX$3)</f>
        <v>0</v>
      </c>
      <c r="B23" s="4">
        <f>(VLOOKUP(' 6.0.00'!J23,' 6.0.00'!$AM$4:$AO$55,2,FALSE))*IF(' 6.0.00'!AL$4="是",' 6.0.00'!$AX$4,' 6.0.00'!$AX$3)</f>
        <v>0</v>
      </c>
      <c r="C23" s="4">
        <f>(VLOOKUP(' 6.0.00'!K23,' 6.0.00'!$AM$4:$AO$55,2,FALSE))*IF(' 6.0.00'!AM$4="是",' 6.0.00'!$AX$4,' 6.0.00'!$AX$3)</f>
        <v>0</v>
      </c>
      <c r="D23" s="4">
        <f>(VLOOKUP(' 6.0.00'!L23,' 6.0.00'!$AM$4:$AO$55,2,FALSE))*IF(' 6.0.00'!AN$4="是",' 6.0.00'!$AX$4,' 6.0.00'!$AX$3)</f>
        <v>0</v>
      </c>
      <c r="E23" s="4">
        <f>(VLOOKUP(' 6.0.00'!M23,' 6.0.00'!$AM$4:$AO$55,2,FALSE))*IF(' 6.0.00'!AO$4="是",' 6.0.00'!$AX$4,' 6.0.00'!$AX$3)</f>
        <v>0</v>
      </c>
      <c r="F23" s="4">
        <f>(VLOOKUP(' 6.0.00'!N23,' 6.0.00'!$AM$4:$AO$55,2,FALSE))*IF(' 6.0.00'!AP$4="是",' 6.0.00'!$AX$4,' 6.0.00'!$AX$3)</f>
        <v>0</v>
      </c>
      <c r="G23" s="5">
        <f>(VLOOKUP(' 6.0.00'!O23,' 6.0.00'!$AM$4:$AO$55,2,FALSE))*IF(' 6.0.00'!AQ$4="是",' 6.0.00'!$AX$4,' 6.0.00'!$AX$3)</f>
        <v>0</v>
      </c>
      <c r="H23" s="5">
        <f>(VLOOKUP(' 6.0.00'!P23,' 6.0.00'!$AM$4:$AO$55,2,FALSE))*IF(' 6.0.00'!AR$4="是",' 6.0.00'!$AX$4,' 6.0.00'!$AX$3)</f>
        <v>0</v>
      </c>
      <c r="I23" s="4">
        <f>(VLOOKUP(' 6.0.00'!Q23,' 6.0.00'!$AM$4:$AO$55,2,FALSE))*IF(' 6.0.00'!AS$4="是",' 6.0.00'!$AX$4,' 6.0.00'!$AX$3)</f>
        <v>0</v>
      </c>
      <c r="J23" s="4">
        <f>(VLOOKUP(' 6.0.00'!R23,' 6.0.00'!$AM$4:$AO$55,2,FALSE))*IF(' 6.0.00'!AT$4="是",' 6.0.00'!$AX$4,' 6.0.00'!$AX$3)</f>
        <v>0</v>
      </c>
      <c r="K23" s="4">
        <f>(VLOOKUP(' 6.0.00'!S23,' 6.0.00'!$AM$4:$AO$55,2,FALSE))*IF(' 6.0.00'!AU$4="是",' 6.0.00'!$AX$4,' 6.0.00'!$AX$3)</f>
        <v>0</v>
      </c>
      <c r="L23" s="4">
        <f>(VLOOKUP(' 6.0.00'!T23,' 6.0.00'!$AM$4:$AO$55,2,FALSE))*IF(' 6.0.00'!AV$4="是",' 6.0.00'!$AX$4,' 6.0.00'!$AX$3)</f>
        <v>0</v>
      </c>
      <c r="M23" s="4">
        <f>(VLOOKUP(' 6.0.00'!U23,' 6.0.00'!$AM$4:$AO$55,2,FALSE))*IF(' 6.0.00'!AW$4="是",' 6.0.00'!$AX$4,' 6.0.00'!$AX$3)</f>
        <v>0</v>
      </c>
      <c r="N23" s="4">
        <f>(VLOOKUP(' 6.0.00'!V23,' 6.0.00'!$AM$4:$AO$55,2,FALSE))*IF(' 6.0.00'!AX$4="是",' 6.0.00'!$AX$4,' 6.0.00'!$AX$3)</f>
        <v>0</v>
      </c>
      <c r="O23" s="5">
        <f>(VLOOKUP(' 6.0.00'!W23,' 6.0.00'!$AM$4:$AO$55,2,FALSE))*IF(' 6.0.00'!AY$4="是",' 6.0.00'!$AX$4,' 6.0.00'!$AX$3)</f>
        <v>0</v>
      </c>
      <c r="P23" s="5">
        <f>(VLOOKUP(' 6.0.00'!X23,' 6.0.00'!$AM$4:$AO$55,2,FALSE))*IF(' 6.0.00'!AZ$4="是",' 6.0.00'!$AX$4,' 6.0.00'!$AX$3)</f>
        <v>0</v>
      </c>
      <c r="Q23" s="4">
        <f>(VLOOKUP(' 6.0.00'!Y23,' 6.0.00'!$AM$4:$AO$55,2,FALSE))*IF(' 6.0.00'!BA$4="是",' 6.0.00'!$AX$4,' 6.0.00'!$AX$3)</f>
        <v>0</v>
      </c>
      <c r="R23" s="4">
        <f>(VLOOKUP(' 6.0.00'!Z23,' 6.0.00'!$AM$4:$AO$55,2,FALSE))*IF(' 6.0.00'!BB$4="是",' 6.0.00'!$AX$4,' 6.0.00'!$AX$3)</f>
        <v>0</v>
      </c>
      <c r="S23" s="4">
        <f>(VLOOKUP(' 6.0.00'!AA23,' 6.0.00'!$AM$4:$AO$55,2,FALSE))*IF(' 6.0.00'!BC$4="是",' 6.0.00'!$AX$4,' 6.0.00'!$AX$3)</f>
        <v>0</v>
      </c>
      <c r="T23" s="4">
        <f>(VLOOKUP(' 6.0.00'!AB23,' 6.0.00'!$AM$4:$AO$55,2,FALSE))*IF(' 6.0.00'!BD$4="是",' 6.0.00'!$AX$4,' 6.0.00'!$AX$3)</f>
        <v>0</v>
      </c>
      <c r="U23" s="4">
        <f>(VLOOKUP(' 6.0.00'!AC23,' 6.0.00'!$AM$4:$AO$55,2,FALSE))*IF(' 6.0.00'!BE$4="是",' 6.0.00'!$AX$4,' 6.0.00'!$AX$3)</f>
        <v>0</v>
      </c>
      <c r="V23" s="4">
        <f>(VLOOKUP(' 6.0.00'!AD23,' 6.0.00'!$AM$4:$AO$55,2,FALSE))*IF(' 6.0.00'!BF$4="是",' 6.0.00'!$AX$4,' 6.0.00'!$AX$3)</f>
        <v>0</v>
      </c>
      <c r="W23" s="5">
        <f>(VLOOKUP(' 6.0.00'!AE23,' 6.0.00'!$AM$4:$AO$55,2,FALSE))*IF(' 6.0.00'!BG$4="是",' 6.0.00'!$AX$4,' 6.0.00'!$AX$3)</f>
        <v>0</v>
      </c>
      <c r="X23" s="5">
        <f>(VLOOKUP(' 6.0.00'!AF23,' 6.0.00'!$AM$4:$AO$55,2,FALSE))*IF(' 6.0.00'!BH$4="是",' 6.0.00'!$AX$4,' 6.0.00'!$AX$3)</f>
        <v>0</v>
      </c>
    </row>
    <row r="24" spans="1:24">
      <c r="A24" s="4">
        <f>(VLOOKUP(' 6.0.00'!I24,' 6.0.00'!$AM$4:$AO$55,2,FALSE))*IF(' 6.0.00'!AK$4="是",' 6.0.00'!$AX$4,' 6.0.00'!$AX$3)</f>
        <v>0</v>
      </c>
      <c r="B24" s="4">
        <f>(VLOOKUP(' 6.0.00'!J24,' 6.0.00'!$AM$4:$AO$55,2,FALSE))*IF(' 6.0.00'!AL$4="是",' 6.0.00'!$AX$4,' 6.0.00'!$AX$3)</f>
        <v>0</v>
      </c>
      <c r="C24" s="4">
        <f>(VLOOKUP(' 6.0.00'!K24,' 6.0.00'!$AM$4:$AO$55,2,FALSE))*IF(' 6.0.00'!AM$4="是",' 6.0.00'!$AX$4,' 6.0.00'!$AX$3)</f>
        <v>0</v>
      </c>
      <c r="D24" s="4">
        <f>(VLOOKUP(' 6.0.00'!L24,' 6.0.00'!$AM$4:$AO$55,2,FALSE))*IF(' 6.0.00'!AN$4="是",' 6.0.00'!$AX$4,' 6.0.00'!$AX$3)</f>
        <v>0</v>
      </c>
      <c r="E24" s="4">
        <f>(VLOOKUP(' 6.0.00'!M24,' 6.0.00'!$AM$4:$AO$55,2,FALSE))*IF(' 6.0.00'!AO$4="是",' 6.0.00'!$AX$4,' 6.0.00'!$AX$3)</f>
        <v>0</v>
      </c>
      <c r="F24" s="4">
        <f>(VLOOKUP(' 6.0.00'!N24,' 6.0.00'!$AM$4:$AO$55,2,FALSE))*IF(' 6.0.00'!AP$4="是",' 6.0.00'!$AX$4,' 6.0.00'!$AX$3)</f>
        <v>0</v>
      </c>
      <c r="G24" s="5">
        <f>(VLOOKUP(' 6.0.00'!O24,' 6.0.00'!$AM$4:$AO$55,2,FALSE))*IF(' 6.0.00'!AQ$4="是",' 6.0.00'!$AX$4,' 6.0.00'!$AX$3)</f>
        <v>0</v>
      </c>
      <c r="H24" s="5">
        <f>(VLOOKUP(' 6.0.00'!P24,' 6.0.00'!$AM$4:$AO$55,2,FALSE))*IF(' 6.0.00'!AR$4="是",' 6.0.00'!$AX$4,' 6.0.00'!$AX$3)</f>
        <v>0</v>
      </c>
      <c r="I24" s="4">
        <f>(VLOOKUP(' 6.0.00'!Q24,' 6.0.00'!$AM$4:$AO$55,2,FALSE))*IF(' 6.0.00'!AS$4="是",' 6.0.00'!$AX$4,' 6.0.00'!$AX$3)</f>
        <v>0</v>
      </c>
      <c r="J24" s="4">
        <f>(VLOOKUP(' 6.0.00'!R24,' 6.0.00'!$AM$4:$AO$55,2,FALSE))*IF(' 6.0.00'!AT$4="是",' 6.0.00'!$AX$4,' 6.0.00'!$AX$3)</f>
        <v>0</v>
      </c>
      <c r="K24" s="4">
        <f>(VLOOKUP(' 6.0.00'!S24,' 6.0.00'!$AM$4:$AO$55,2,FALSE))*IF(' 6.0.00'!AU$4="是",' 6.0.00'!$AX$4,' 6.0.00'!$AX$3)</f>
        <v>0</v>
      </c>
      <c r="L24" s="4">
        <f>(VLOOKUP(' 6.0.00'!T24,' 6.0.00'!$AM$4:$AO$55,2,FALSE))*IF(' 6.0.00'!AV$4="是",' 6.0.00'!$AX$4,' 6.0.00'!$AX$3)</f>
        <v>0</v>
      </c>
      <c r="M24" s="4">
        <f>(VLOOKUP(' 6.0.00'!U24,' 6.0.00'!$AM$4:$AO$55,2,FALSE))*IF(' 6.0.00'!AW$4="是",' 6.0.00'!$AX$4,' 6.0.00'!$AX$3)</f>
        <v>0</v>
      </c>
      <c r="N24" s="4">
        <f>(VLOOKUP(' 6.0.00'!V24,' 6.0.00'!$AM$4:$AO$55,2,FALSE))*IF(' 6.0.00'!AX$4="是",' 6.0.00'!$AX$4,' 6.0.00'!$AX$3)</f>
        <v>0</v>
      </c>
      <c r="O24" s="5">
        <f>(VLOOKUP(' 6.0.00'!W24,' 6.0.00'!$AM$4:$AO$55,2,FALSE))*IF(' 6.0.00'!AY$4="是",' 6.0.00'!$AX$4,' 6.0.00'!$AX$3)</f>
        <v>0</v>
      </c>
      <c r="P24" s="5">
        <f>(VLOOKUP(' 6.0.00'!X24,' 6.0.00'!$AM$4:$AO$55,2,FALSE))*IF(' 6.0.00'!AZ$4="是",' 6.0.00'!$AX$4,' 6.0.00'!$AX$3)</f>
        <v>0</v>
      </c>
      <c r="Q24" s="4">
        <f>(VLOOKUP(' 6.0.00'!Y24,' 6.0.00'!$AM$4:$AO$55,2,FALSE))*IF(' 6.0.00'!BA$4="是",' 6.0.00'!$AX$4,' 6.0.00'!$AX$3)</f>
        <v>0</v>
      </c>
      <c r="R24" s="4">
        <f>(VLOOKUP(' 6.0.00'!Z24,' 6.0.00'!$AM$4:$AO$55,2,FALSE))*IF(' 6.0.00'!BB$4="是",' 6.0.00'!$AX$4,' 6.0.00'!$AX$3)</f>
        <v>0</v>
      </c>
      <c r="S24" s="4">
        <f>(VLOOKUP(' 6.0.00'!AA24,' 6.0.00'!$AM$4:$AO$55,2,FALSE))*IF(' 6.0.00'!BC$4="是",' 6.0.00'!$AX$4,' 6.0.00'!$AX$3)</f>
        <v>0</v>
      </c>
      <c r="T24" s="4">
        <f>(VLOOKUP(' 6.0.00'!AB24,' 6.0.00'!$AM$4:$AO$55,2,FALSE))*IF(' 6.0.00'!BD$4="是",' 6.0.00'!$AX$4,' 6.0.00'!$AX$3)</f>
        <v>0</v>
      </c>
      <c r="U24" s="4">
        <f>(VLOOKUP(' 6.0.00'!AC24,' 6.0.00'!$AM$4:$AO$55,2,FALSE))*IF(' 6.0.00'!BE$4="是",' 6.0.00'!$AX$4,' 6.0.00'!$AX$3)</f>
        <v>0</v>
      </c>
      <c r="V24" s="4">
        <f>(VLOOKUP(' 6.0.00'!AD24,' 6.0.00'!$AM$4:$AO$55,2,FALSE))*IF(' 6.0.00'!BF$4="是",' 6.0.00'!$AX$4,' 6.0.00'!$AX$3)</f>
        <v>0</v>
      </c>
      <c r="W24" s="5">
        <f>(VLOOKUP(' 6.0.00'!AE24,' 6.0.00'!$AM$4:$AO$55,2,FALSE))*IF(' 6.0.00'!BG$4="是",' 6.0.00'!$AX$4,' 6.0.00'!$AX$3)</f>
        <v>0</v>
      </c>
      <c r="X24" s="5">
        <f>(VLOOKUP(' 6.0.00'!AF24,' 6.0.00'!$AM$4:$AO$55,2,FALSE))*IF(' 6.0.00'!BH$4="是",' 6.0.00'!$AX$4,' 6.0.00'!$AX$3)</f>
        <v>0</v>
      </c>
    </row>
    <row r="25" spans="1:24">
      <c r="A25" s="4">
        <f>(VLOOKUP(' 6.0.00'!I25,' 6.0.00'!$AM$4:$AO$55,2,FALSE))*IF(' 6.0.00'!AK$4="是",' 6.0.00'!$AX$4,' 6.0.00'!$AX$3)</f>
        <v>0</v>
      </c>
      <c r="B25" s="4">
        <f>(VLOOKUP(' 6.0.00'!J25,' 6.0.00'!$AM$4:$AO$55,2,FALSE))*IF(' 6.0.00'!AL$4="是",' 6.0.00'!$AX$4,' 6.0.00'!$AX$3)</f>
        <v>0</v>
      </c>
      <c r="C25" s="4">
        <f>(VLOOKUP(' 6.0.00'!K25,' 6.0.00'!$AM$4:$AO$55,2,FALSE))*IF(' 6.0.00'!AM$4="是",' 6.0.00'!$AX$4,' 6.0.00'!$AX$3)</f>
        <v>0</v>
      </c>
      <c r="D25" s="4">
        <f>(VLOOKUP(' 6.0.00'!L25,' 6.0.00'!$AM$4:$AO$55,2,FALSE))*IF(' 6.0.00'!AN$4="是",' 6.0.00'!$AX$4,' 6.0.00'!$AX$3)</f>
        <v>0</v>
      </c>
      <c r="E25" s="4">
        <f>(VLOOKUP(' 6.0.00'!M25,' 6.0.00'!$AM$4:$AO$55,2,FALSE))*IF(' 6.0.00'!AO$4="是",' 6.0.00'!$AX$4,' 6.0.00'!$AX$3)</f>
        <v>0</v>
      </c>
      <c r="F25" s="4">
        <f>(VLOOKUP(' 6.0.00'!N25,' 6.0.00'!$AM$4:$AO$55,2,FALSE))*IF(' 6.0.00'!AP$4="是",' 6.0.00'!$AX$4,' 6.0.00'!$AX$3)</f>
        <v>0</v>
      </c>
      <c r="G25" s="5">
        <f>(VLOOKUP(' 6.0.00'!O25,' 6.0.00'!$AM$4:$AO$55,2,FALSE))*IF(' 6.0.00'!AQ$4="是",' 6.0.00'!$AX$4,' 6.0.00'!$AX$3)</f>
        <v>0</v>
      </c>
      <c r="H25" s="5">
        <f>(VLOOKUP(' 6.0.00'!P25,' 6.0.00'!$AM$4:$AO$55,2,FALSE))*IF(' 6.0.00'!AR$4="是",' 6.0.00'!$AX$4,' 6.0.00'!$AX$3)</f>
        <v>0</v>
      </c>
      <c r="I25" s="4">
        <f>(VLOOKUP(' 6.0.00'!Q25,' 6.0.00'!$AM$4:$AO$55,2,FALSE))*IF(' 6.0.00'!AS$4="是",' 6.0.00'!$AX$4,' 6.0.00'!$AX$3)</f>
        <v>0</v>
      </c>
      <c r="J25" s="4">
        <f>(VLOOKUP(' 6.0.00'!R25,' 6.0.00'!$AM$4:$AO$55,2,FALSE))*IF(' 6.0.00'!AT$4="是",' 6.0.00'!$AX$4,' 6.0.00'!$AX$3)</f>
        <v>0</v>
      </c>
      <c r="K25" s="4">
        <f>(VLOOKUP(' 6.0.00'!S25,' 6.0.00'!$AM$4:$AO$55,2,FALSE))*IF(' 6.0.00'!AU$4="是",' 6.0.00'!$AX$4,' 6.0.00'!$AX$3)</f>
        <v>0</v>
      </c>
      <c r="L25" s="4">
        <f>(VLOOKUP(' 6.0.00'!T25,' 6.0.00'!$AM$4:$AO$55,2,FALSE))*IF(' 6.0.00'!AV$4="是",' 6.0.00'!$AX$4,' 6.0.00'!$AX$3)</f>
        <v>0</v>
      </c>
      <c r="M25" s="4">
        <f>(VLOOKUP(' 6.0.00'!U25,' 6.0.00'!$AM$4:$AO$55,2,FALSE))*IF(' 6.0.00'!AW$4="是",' 6.0.00'!$AX$4,' 6.0.00'!$AX$3)</f>
        <v>0</v>
      </c>
      <c r="N25" s="4">
        <f>(VLOOKUP(' 6.0.00'!V25,' 6.0.00'!$AM$4:$AO$55,2,FALSE))*IF(' 6.0.00'!AX$4="是",' 6.0.00'!$AX$4,' 6.0.00'!$AX$3)</f>
        <v>0</v>
      </c>
      <c r="O25" s="5">
        <f>(VLOOKUP(' 6.0.00'!W25,' 6.0.00'!$AM$4:$AO$55,2,FALSE))*IF(' 6.0.00'!AY$4="是",' 6.0.00'!$AX$4,' 6.0.00'!$AX$3)</f>
        <v>0</v>
      </c>
      <c r="P25" s="5">
        <f>(VLOOKUP(' 6.0.00'!X25,' 6.0.00'!$AM$4:$AO$55,2,FALSE))*IF(' 6.0.00'!AZ$4="是",' 6.0.00'!$AX$4,' 6.0.00'!$AX$3)</f>
        <v>0</v>
      </c>
      <c r="Q25" s="4">
        <f>(VLOOKUP(' 6.0.00'!Y25,' 6.0.00'!$AM$4:$AO$55,2,FALSE))*IF(' 6.0.00'!BA$4="是",' 6.0.00'!$AX$4,' 6.0.00'!$AX$3)</f>
        <v>0</v>
      </c>
      <c r="R25" s="4">
        <f>(VLOOKUP(' 6.0.00'!Z25,' 6.0.00'!$AM$4:$AO$55,2,FALSE))*IF(' 6.0.00'!BB$4="是",' 6.0.00'!$AX$4,' 6.0.00'!$AX$3)</f>
        <v>0</v>
      </c>
      <c r="S25" s="4">
        <f>(VLOOKUP(' 6.0.00'!AA25,' 6.0.00'!$AM$4:$AO$55,2,FALSE))*IF(' 6.0.00'!BC$4="是",' 6.0.00'!$AX$4,' 6.0.00'!$AX$3)</f>
        <v>0</v>
      </c>
      <c r="T25" s="4">
        <f>(VLOOKUP(' 6.0.00'!AB25,' 6.0.00'!$AM$4:$AO$55,2,FALSE))*IF(' 6.0.00'!BD$4="是",' 6.0.00'!$AX$4,' 6.0.00'!$AX$3)</f>
        <v>0</v>
      </c>
      <c r="U25" s="4">
        <f>(VLOOKUP(' 6.0.00'!AC25,' 6.0.00'!$AM$4:$AO$55,2,FALSE))*IF(' 6.0.00'!BE$4="是",' 6.0.00'!$AX$4,' 6.0.00'!$AX$3)</f>
        <v>0</v>
      </c>
      <c r="V25" s="4">
        <f>(VLOOKUP(' 6.0.00'!AD25,' 6.0.00'!$AM$4:$AO$55,2,FALSE))*IF(' 6.0.00'!BF$4="是",' 6.0.00'!$AX$4,' 6.0.00'!$AX$3)</f>
        <v>0</v>
      </c>
      <c r="W25" s="5">
        <f>(VLOOKUP(' 6.0.00'!AE25,' 6.0.00'!$AM$4:$AO$55,2,FALSE))*IF(' 6.0.00'!BG$4="是",' 6.0.00'!$AX$4,' 6.0.00'!$AX$3)</f>
        <v>0</v>
      </c>
      <c r="X25" s="5">
        <f>(VLOOKUP(' 6.0.00'!AF25,' 6.0.00'!$AM$4:$AO$55,2,FALSE))*IF(' 6.0.00'!BH$4="是",' 6.0.00'!$AX$4,' 6.0.00'!$AX$3)</f>
        <v>0</v>
      </c>
    </row>
    <row r="26" spans="1:24">
      <c r="A26" s="4">
        <f>(VLOOKUP(' 6.0.00'!I26,' 6.0.00'!$AM$4:$AO$55,2,FALSE))*IF(' 6.0.00'!AK$4="是",' 6.0.00'!$AX$4,' 6.0.00'!$AX$3)</f>
        <v>0</v>
      </c>
      <c r="B26" s="4">
        <f>(VLOOKUP(' 6.0.00'!J26,' 6.0.00'!$AM$4:$AO$55,2,FALSE))*IF(' 6.0.00'!AL$4="是",' 6.0.00'!$AX$4,' 6.0.00'!$AX$3)</f>
        <v>0</v>
      </c>
      <c r="C26" s="4">
        <f>(VLOOKUP(' 6.0.00'!K26,' 6.0.00'!$AM$4:$AO$55,2,FALSE))*IF(' 6.0.00'!AM$4="是",' 6.0.00'!$AX$4,' 6.0.00'!$AX$3)</f>
        <v>0</v>
      </c>
      <c r="D26" s="4">
        <f>(VLOOKUP(' 6.0.00'!L26,' 6.0.00'!$AM$4:$AO$55,2,FALSE))*IF(' 6.0.00'!AN$4="是",' 6.0.00'!$AX$4,' 6.0.00'!$AX$3)</f>
        <v>0</v>
      </c>
      <c r="E26" s="4">
        <f>(VLOOKUP(' 6.0.00'!M26,' 6.0.00'!$AM$4:$AO$55,2,FALSE))*IF(' 6.0.00'!AO$4="是",' 6.0.00'!$AX$4,' 6.0.00'!$AX$3)</f>
        <v>0</v>
      </c>
      <c r="F26" s="4">
        <f>(VLOOKUP(' 6.0.00'!N26,' 6.0.00'!$AM$4:$AO$55,2,FALSE))*IF(' 6.0.00'!AP$4="是",' 6.0.00'!$AX$4,' 6.0.00'!$AX$3)</f>
        <v>0</v>
      </c>
      <c r="G26" s="5">
        <f>(VLOOKUP(' 6.0.00'!O26,' 6.0.00'!$AM$4:$AO$55,2,FALSE))*IF(' 6.0.00'!AQ$4="是",' 6.0.00'!$AX$4,' 6.0.00'!$AX$3)</f>
        <v>0</v>
      </c>
      <c r="H26" s="5">
        <f>(VLOOKUP(' 6.0.00'!P26,' 6.0.00'!$AM$4:$AO$55,2,FALSE))*IF(' 6.0.00'!AR$4="是",' 6.0.00'!$AX$4,' 6.0.00'!$AX$3)</f>
        <v>0</v>
      </c>
      <c r="I26" s="4">
        <f>(VLOOKUP(' 6.0.00'!Q26,' 6.0.00'!$AM$4:$AO$55,2,FALSE))*IF(' 6.0.00'!AS$4="是",' 6.0.00'!$AX$4,' 6.0.00'!$AX$3)</f>
        <v>0</v>
      </c>
      <c r="J26" s="4">
        <f>(VLOOKUP(' 6.0.00'!R26,' 6.0.00'!$AM$4:$AO$55,2,FALSE))*IF(' 6.0.00'!AT$4="是",' 6.0.00'!$AX$4,' 6.0.00'!$AX$3)</f>
        <v>0</v>
      </c>
      <c r="K26" s="4">
        <f>(VLOOKUP(' 6.0.00'!S26,' 6.0.00'!$AM$4:$AO$55,2,FALSE))*IF(' 6.0.00'!AU$4="是",' 6.0.00'!$AX$4,' 6.0.00'!$AX$3)</f>
        <v>0</v>
      </c>
      <c r="L26" s="4">
        <f>(VLOOKUP(' 6.0.00'!T26,' 6.0.00'!$AM$4:$AO$55,2,FALSE))*IF(' 6.0.00'!AV$4="是",' 6.0.00'!$AX$4,' 6.0.00'!$AX$3)</f>
        <v>0</v>
      </c>
      <c r="M26" s="4">
        <f>(VLOOKUP(' 6.0.00'!U26,' 6.0.00'!$AM$4:$AO$55,2,FALSE))*IF(' 6.0.00'!AW$4="是",' 6.0.00'!$AX$4,' 6.0.00'!$AX$3)</f>
        <v>0</v>
      </c>
      <c r="N26" s="4">
        <f>(VLOOKUP(' 6.0.00'!V26,' 6.0.00'!$AM$4:$AO$55,2,FALSE))*IF(' 6.0.00'!AX$4="是",' 6.0.00'!$AX$4,' 6.0.00'!$AX$3)</f>
        <v>0</v>
      </c>
      <c r="O26" s="5">
        <f>(VLOOKUP(' 6.0.00'!W26,' 6.0.00'!$AM$4:$AO$55,2,FALSE))*IF(' 6.0.00'!AY$4="是",' 6.0.00'!$AX$4,' 6.0.00'!$AX$3)</f>
        <v>0</v>
      </c>
      <c r="P26" s="5">
        <f>(VLOOKUP(' 6.0.00'!X26,' 6.0.00'!$AM$4:$AO$55,2,FALSE))*IF(' 6.0.00'!AZ$4="是",' 6.0.00'!$AX$4,' 6.0.00'!$AX$3)</f>
        <v>0</v>
      </c>
      <c r="Q26" s="4">
        <f>(VLOOKUP(' 6.0.00'!Y26,' 6.0.00'!$AM$4:$AO$55,2,FALSE))*IF(' 6.0.00'!BA$4="是",' 6.0.00'!$AX$4,' 6.0.00'!$AX$3)</f>
        <v>0</v>
      </c>
      <c r="R26" s="4">
        <f>(VLOOKUP(' 6.0.00'!Z26,' 6.0.00'!$AM$4:$AO$55,2,FALSE))*IF(' 6.0.00'!BB$4="是",' 6.0.00'!$AX$4,' 6.0.00'!$AX$3)</f>
        <v>0</v>
      </c>
      <c r="S26" s="4">
        <f>(VLOOKUP(' 6.0.00'!AA26,' 6.0.00'!$AM$4:$AO$55,2,FALSE))*IF(' 6.0.00'!BC$4="是",' 6.0.00'!$AX$4,' 6.0.00'!$AX$3)</f>
        <v>0</v>
      </c>
      <c r="T26" s="4">
        <f>(VLOOKUP(' 6.0.00'!AB26,' 6.0.00'!$AM$4:$AO$55,2,FALSE))*IF(' 6.0.00'!BD$4="是",' 6.0.00'!$AX$4,' 6.0.00'!$AX$3)</f>
        <v>0</v>
      </c>
      <c r="U26" s="4">
        <f>(VLOOKUP(' 6.0.00'!AC26,' 6.0.00'!$AM$4:$AO$55,2,FALSE))*IF(' 6.0.00'!BE$4="是",' 6.0.00'!$AX$4,' 6.0.00'!$AX$3)</f>
        <v>0</v>
      </c>
      <c r="V26" s="4">
        <f>(VLOOKUP(' 6.0.00'!AD26,' 6.0.00'!$AM$4:$AO$55,2,FALSE))*IF(' 6.0.00'!BF$4="是",' 6.0.00'!$AX$4,' 6.0.00'!$AX$3)</f>
        <v>0</v>
      </c>
      <c r="W26" s="5">
        <f>(VLOOKUP(' 6.0.00'!AE26,' 6.0.00'!$AM$4:$AO$55,2,FALSE))*IF(' 6.0.00'!BG$4="是",' 6.0.00'!$AX$4,' 6.0.00'!$AX$3)</f>
        <v>0</v>
      </c>
      <c r="X26" s="5">
        <f>(VLOOKUP(' 6.0.00'!AF26,' 6.0.00'!$AM$4:$AO$55,2,FALSE))*IF(' 6.0.00'!BH$4="是",' 6.0.00'!$AX$4,' 6.0.00'!$AX$3)</f>
        <v>0</v>
      </c>
    </row>
    <row r="27" spans="1:24">
      <c r="A27" s="4">
        <f>(VLOOKUP(' 6.0.00'!I27,' 6.0.00'!$AM$4:$AO$55,2,FALSE))*IF(' 6.0.00'!AK$4="是",' 6.0.00'!$AX$4,' 6.0.00'!$AX$3)</f>
        <v>0</v>
      </c>
      <c r="B27" s="4">
        <f>(VLOOKUP(' 6.0.00'!J27,' 6.0.00'!$AM$4:$AO$55,2,FALSE))*IF(' 6.0.00'!AL$4="是",' 6.0.00'!$AX$4,' 6.0.00'!$AX$3)</f>
        <v>0</v>
      </c>
      <c r="C27" s="4">
        <f>(VLOOKUP(' 6.0.00'!K27,' 6.0.00'!$AM$4:$AO$55,2,FALSE))*IF(' 6.0.00'!AM$4="是",' 6.0.00'!$AX$4,' 6.0.00'!$AX$3)</f>
        <v>0</v>
      </c>
      <c r="D27" s="4">
        <f>(VLOOKUP(' 6.0.00'!L27,' 6.0.00'!$AM$4:$AO$55,2,FALSE))*IF(' 6.0.00'!AN$4="是",' 6.0.00'!$AX$4,' 6.0.00'!$AX$3)</f>
        <v>0</v>
      </c>
      <c r="E27" s="4">
        <f>(VLOOKUP(' 6.0.00'!M27,' 6.0.00'!$AM$4:$AO$55,2,FALSE))*IF(' 6.0.00'!AO$4="是",' 6.0.00'!$AX$4,' 6.0.00'!$AX$3)</f>
        <v>0</v>
      </c>
      <c r="F27" s="4">
        <f>(VLOOKUP(' 6.0.00'!N27,' 6.0.00'!$AM$4:$AO$55,2,FALSE))*IF(' 6.0.00'!AP$4="是",' 6.0.00'!$AX$4,' 6.0.00'!$AX$3)</f>
        <v>0</v>
      </c>
      <c r="G27" s="5">
        <f>(VLOOKUP(' 6.0.00'!O27,' 6.0.00'!$AM$4:$AO$55,2,FALSE))*IF(' 6.0.00'!AQ$4="是",' 6.0.00'!$AX$4,' 6.0.00'!$AX$3)</f>
        <v>0</v>
      </c>
      <c r="H27" s="5">
        <f>(VLOOKUP(' 6.0.00'!P27,' 6.0.00'!$AM$4:$AO$55,2,FALSE))*IF(' 6.0.00'!AR$4="是",' 6.0.00'!$AX$4,' 6.0.00'!$AX$3)</f>
        <v>0</v>
      </c>
      <c r="I27" s="4">
        <f>(VLOOKUP(' 6.0.00'!Q27,' 6.0.00'!$AM$4:$AO$55,2,FALSE))*IF(' 6.0.00'!AS$4="是",' 6.0.00'!$AX$4,' 6.0.00'!$AX$3)</f>
        <v>0</v>
      </c>
      <c r="J27" s="4">
        <f>(VLOOKUP(' 6.0.00'!R27,' 6.0.00'!$AM$4:$AO$55,2,FALSE))*IF(' 6.0.00'!AT$4="是",' 6.0.00'!$AX$4,' 6.0.00'!$AX$3)</f>
        <v>0</v>
      </c>
      <c r="K27" s="4">
        <f>(VLOOKUP(' 6.0.00'!S27,' 6.0.00'!$AM$4:$AO$55,2,FALSE))*IF(' 6.0.00'!AU$4="是",' 6.0.00'!$AX$4,' 6.0.00'!$AX$3)</f>
        <v>0</v>
      </c>
      <c r="L27" s="4">
        <f>(VLOOKUP(' 6.0.00'!T27,' 6.0.00'!$AM$4:$AO$55,2,FALSE))*IF(' 6.0.00'!AV$4="是",' 6.0.00'!$AX$4,' 6.0.00'!$AX$3)</f>
        <v>0</v>
      </c>
      <c r="M27" s="4">
        <f>(VLOOKUP(' 6.0.00'!U27,' 6.0.00'!$AM$4:$AO$55,2,FALSE))*IF(' 6.0.00'!AW$4="是",' 6.0.00'!$AX$4,' 6.0.00'!$AX$3)</f>
        <v>0</v>
      </c>
      <c r="N27" s="4">
        <f>(VLOOKUP(' 6.0.00'!V27,' 6.0.00'!$AM$4:$AO$55,2,FALSE))*IF(' 6.0.00'!AX$4="是",' 6.0.00'!$AX$4,' 6.0.00'!$AX$3)</f>
        <v>0</v>
      </c>
      <c r="O27" s="5">
        <f>(VLOOKUP(' 6.0.00'!W27,' 6.0.00'!$AM$4:$AO$55,2,FALSE))*IF(' 6.0.00'!AY$4="是",' 6.0.00'!$AX$4,' 6.0.00'!$AX$3)</f>
        <v>0</v>
      </c>
      <c r="P27" s="5">
        <f>(VLOOKUP(' 6.0.00'!X27,' 6.0.00'!$AM$4:$AO$55,2,FALSE))*IF(' 6.0.00'!AZ$4="是",' 6.0.00'!$AX$4,' 6.0.00'!$AX$3)</f>
        <v>0</v>
      </c>
      <c r="Q27" s="4">
        <f>(VLOOKUP(' 6.0.00'!Y27,' 6.0.00'!$AM$4:$AO$55,2,FALSE))*IF(' 6.0.00'!BA$4="是",' 6.0.00'!$AX$4,' 6.0.00'!$AX$3)</f>
        <v>0</v>
      </c>
      <c r="R27" s="4">
        <f>(VLOOKUP(' 6.0.00'!Z27,' 6.0.00'!$AM$4:$AO$55,2,FALSE))*IF(' 6.0.00'!BB$4="是",' 6.0.00'!$AX$4,' 6.0.00'!$AX$3)</f>
        <v>0</v>
      </c>
      <c r="S27" s="4">
        <f>(VLOOKUP(' 6.0.00'!AA27,' 6.0.00'!$AM$4:$AO$55,2,FALSE))*IF(' 6.0.00'!BC$4="是",' 6.0.00'!$AX$4,' 6.0.00'!$AX$3)</f>
        <v>0</v>
      </c>
      <c r="T27" s="4">
        <f>(VLOOKUP(' 6.0.00'!AB27,' 6.0.00'!$AM$4:$AO$55,2,FALSE))*IF(' 6.0.00'!BD$4="是",' 6.0.00'!$AX$4,' 6.0.00'!$AX$3)</f>
        <v>0</v>
      </c>
      <c r="U27" s="4">
        <f>(VLOOKUP(' 6.0.00'!AC27,' 6.0.00'!$AM$4:$AO$55,2,FALSE))*IF(' 6.0.00'!BE$4="是",' 6.0.00'!$AX$4,' 6.0.00'!$AX$3)</f>
        <v>0</v>
      </c>
      <c r="V27" s="4">
        <f>(VLOOKUP(' 6.0.00'!AD27,' 6.0.00'!$AM$4:$AO$55,2,FALSE))*IF(' 6.0.00'!BF$4="是",' 6.0.00'!$AX$4,' 6.0.00'!$AX$3)</f>
        <v>0</v>
      </c>
      <c r="W27" s="5">
        <f>(VLOOKUP(' 6.0.00'!AE27,' 6.0.00'!$AM$4:$AO$55,2,FALSE))*IF(' 6.0.00'!BG$4="是",' 6.0.00'!$AX$4,' 6.0.00'!$AX$3)</f>
        <v>0</v>
      </c>
      <c r="X27" s="5">
        <f>(VLOOKUP(' 6.0.00'!AF27,' 6.0.00'!$AM$4:$AO$55,2,FALSE))*IF(' 6.0.00'!BH$4="是",' 6.0.00'!$AX$4,' 6.0.00'!$AX$3)</f>
        <v>0</v>
      </c>
    </row>
    <row r="28" spans="1:24">
      <c r="A28" s="4">
        <f>(VLOOKUP(' 6.0.00'!I28,' 6.0.00'!$AM$4:$AO$55,2,FALSE))*IF(' 6.0.00'!AK$4="是",' 6.0.00'!$AX$4,' 6.0.00'!$AX$3)</f>
        <v>0</v>
      </c>
      <c r="B28" s="4">
        <f>(VLOOKUP(' 6.0.00'!J28,' 6.0.00'!$AM$4:$AO$55,2,FALSE))*IF(' 6.0.00'!AL$4="是",' 6.0.00'!$AX$4,' 6.0.00'!$AX$3)</f>
        <v>0</v>
      </c>
      <c r="C28" s="4">
        <f>(VLOOKUP(' 6.0.00'!K28,' 6.0.00'!$AM$4:$AO$55,2,FALSE))*IF(' 6.0.00'!AM$4="是",' 6.0.00'!$AX$4,' 6.0.00'!$AX$3)</f>
        <v>0</v>
      </c>
      <c r="D28" s="4">
        <f>(VLOOKUP(' 6.0.00'!L28,' 6.0.00'!$AM$4:$AO$55,2,FALSE))*IF(' 6.0.00'!AN$4="是",' 6.0.00'!$AX$4,' 6.0.00'!$AX$3)</f>
        <v>0</v>
      </c>
      <c r="E28" s="4">
        <f>(VLOOKUP(' 6.0.00'!M28,' 6.0.00'!$AM$4:$AO$55,2,FALSE))*IF(' 6.0.00'!AO$4="是",' 6.0.00'!$AX$4,' 6.0.00'!$AX$3)</f>
        <v>0</v>
      </c>
      <c r="F28" s="4">
        <f>(VLOOKUP(' 6.0.00'!N28,' 6.0.00'!$AM$4:$AO$55,2,FALSE))*IF(' 6.0.00'!AP$4="是",' 6.0.00'!$AX$4,' 6.0.00'!$AX$3)</f>
        <v>0</v>
      </c>
      <c r="G28" s="5">
        <f>(VLOOKUP(' 6.0.00'!O28,' 6.0.00'!$AM$4:$AO$55,2,FALSE))*IF(' 6.0.00'!AQ$4="是",' 6.0.00'!$AX$4,' 6.0.00'!$AX$3)</f>
        <v>0</v>
      </c>
      <c r="H28" s="5">
        <f>(VLOOKUP(' 6.0.00'!P28,' 6.0.00'!$AM$4:$AO$55,2,FALSE))*IF(' 6.0.00'!AR$4="是",' 6.0.00'!$AX$4,' 6.0.00'!$AX$3)</f>
        <v>0</v>
      </c>
      <c r="I28" s="4">
        <f>(VLOOKUP(' 6.0.00'!Q28,' 6.0.00'!$AM$4:$AO$55,2,FALSE))*IF(' 6.0.00'!AS$4="是",' 6.0.00'!$AX$4,' 6.0.00'!$AX$3)</f>
        <v>0</v>
      </c>
      <c r="J28" s="4">
        <f>(VLOOKUP(' 6.0.00'!R28,' 6.0.00'!$AM$4:$AO$55,2,FALSE))*IF(' 6.0.00'!AT$4="是",' 6.0.00'!$AX$4,' 6.0.00'!$AX$3)</f>
        <v>0</v>
      </c>
      <c r="K28" s="4">
        <f>(VLOOKUP(' 6.0.00'!S28,' 6.0.00'!$AM$4:$AO$55,2,FALSE))*IF(' 6.0.00'!AU$4="是",' 6.0.00'!$AX$4,' 6.0.00'!$AX$3)</f>
        <v>0</v>
      </c>
      <c r="L28" s="4">
        <f>(VLOOKUP(' 6.0.00'!T28,' 6.0.00'!$AM$4:$AO$55,2,FALSE))*IF(' 6.0.00'!AV$4="是",' 6.0.00'!$AX$4,' 6.0.00'!$AX$3)</f>
        <v>0</v>
      </c>
      <c r="M28" s="4">
        <f>(VLOOKUP(' 6.0.00'!U28,' 6.0.00'!$AM$4:$AO$55,2,FALSE))*IF(' 6.0.00'!AW$4="是",' 6.0.00'!$AX$4,' 6.0.00'!$AX$3)</f>
        <v>0</v>
      </c>
      <c r="N28" s="4">
        <f>(VLOOKUP(' 6.0.00'!V28,' 6.0.00'!$AM$4:$AO$55,2,FALSE))*IF(' 6.0.00'!AX$4="是",' 6.0.00'!$AX$4,' 6.0.00'!$AX$3)</f>
        <v>0</v>
      </c>
      <c r="O28" s="5">
        <f>(VLOOKUP(' 6.0.00'!W28,' 6.0.00'!$AM$4:$AO$55,2,FALSE))*IF(' 6.0.00'!AY$4="是",' 6.0.00'!$AX$4,' 6.0.00'!$AX$3)</f>
        <v>0</v>
      </c>
      <c r="P28" s="5">
        <f>(VLOOKUP(' 6.0.00'!X28,' 6.0.00'!$AM$4:$AO$55,2,FALSE))*IF(' 6.0.00'!AZ$4="是",' 6.0.00'!$AX$4,' 6.0.00'!$AX$3)</f>
        <v>0</v>
      </c>
      <c r="Q28" s="4">
        <f>(VLOOKUP(' 6.0.00'!Y28,' 6.0.00'!$AM$4:$AO$55,2,FALSE))*IF(' 6.0.00'!BA$4="是",' 6.0.00'!$AX$4,' 6.0.00'!$AX$3)</f>
        <v>0</v>
      </c>
      <c r="R28" s="4">
        <f>(VLOOKUP(' 6.0.00'!Z28,' 6.0.00'!$AM$4:$AO$55,2,FALSE))*IF(' 6.0.00'!BB$4="是",' 6.0.00'!$AX$4,' 6.0.00'!$AX$3)</f>
        <v>0</v>
      </c>
      <c r="S28" s="4">
        <f>(VLOOKUP(' 6.0.00'!AA28,' 6.0.00'!$AM$4:$AO$55,2,FALSE))*IF(' 6.0.00'!BC$4="是",' 6.0.00'!$AX$4,' 6.0.00'!$AX$3)</f>
        <v>0</v>
      </c>
      <c r="T28" s="4">
        <f>(VLOOKUP(' 6.0.00'!AB28,' 6.0.00'!$AM$4:$AO$55,2,FALSE))*IF(' 6.0.00'!BD$4="是",' 6.0.00'!$AX$4,' 6.0.00'!$AX$3)</f>
        <v>0</v>
      </c>
      <c r="U28" s="4">
        <f>(VLOOKUP(' 6.0.00'!AC28,' 6.0.00'!$AM$4:$AO$55,2,FALSE))*IF(' 6.0.00'!BE$4="是",' 6.0.00'!$AX$4,' 6.0.00'!$AX$3)</f>
        <v>0</v>
      </c>
      <c r="V28" s="4">
        <f>(VLOOKUP(' 6.0.00'!AD28,' 6.0.00'!$AM$4:$AO$55,2,FALSE))*IF(' 6.0.00'!BF$4="是",' 6.0.00'!$AX$4,' 6.0.00'!$AX$3)</f>
        <v>0</v>
      </c>
      <c r="W28" s="5">
        <f>(VLOOKUP(' 6.0.00'!AE28,' 6.0.00'!$AM$4:$AO$55,2,FALSE))*IF(' 6.0.00'!BG$4="是",' 6.0.00'!$AX$4,' 6.0.00'!$AX$3)</f>
        <v>0</v>
      </c>
      <c r="X28" s="5">
        <f>(VLOOKUP(' 6.0.00'!AF28,' 6.0.00'!$AM$4:$AO$55,2,FALSE))*IF(' 6.0.00'!BH$4="是",' 6.0.00'!$AX$4,' 6.0.00'!$AX$3)</f>
        <v>0</v>
      </c>
    </row>
    <row r="29" spans="1:24">
      <c r="A29" s="4">
        <f>(VLOOKUP(' 6.0.00'!I29,' 6.0.00'!$AM$4:$AO$55,2,FALSE))*IF(' 6.0.00'!AK$4="是",' 6.0.00'!$AX$4,' 6.0.00'!$AX$3)</f>
        <v>0</v>
      </c>
      <c r="B29" s="4">
        <f>(VLOOKUP(' 6.0.00'!J29,' 6.0.00'!$AM$4:$AO$55,2,FALSE))*IF(' 6.0.00'!AL$4="是",' 6.0.00'!$AX$4,' 6.0.00'!$AX$3)</f>
        <v>0</v>
      </c>
      <c r="C29" s="4">
        <f>(VLOOKUP(' 6.0.00'!K29,' 6.0.00'!$AM$4:$AO$55,2,FALSE))*IF(' 6.0.00'!AM$4="是",' 6.0.00'!$AX$4,' 6.0.00'!$AX$3)</f>
        <v>0</v>
      </c>
      <c r="D29" s="4">
        <f>(VLOOKUP(' 6.0.00'!L29,' 6.0.00'!$AM$4:$AO$55,2,FALSE))*IF(' 6.0.00'!AN$4="是",' 6.0.00'!$AX$4,' 6.0.00'!$AX$3)</f>
        <v>0</v>
      </c>
      <c r="E29" s="4">
        <f>(VLOOKUP(' 6.0.00'!M29,' 6.0.00'!$AM$4:$AO$55,2,FALSE))*IF(' 6.0.00'!AO$4="是",' 6.0.00'!$AX$4,' 6.0.00'!$AX$3)</f>
        <v>0</v>
      </c>
      <c r="F29" s="4">
        <f>(VLOOKUP(' 6.0.00'!N29,' 6.0.00'!$AM$4:$AO$55,2,FALSE))*IF(' 6.0.00'!AP$4="是",' 6.0.00'!$AX$4,' 6.0.00'!$AX$3)</f>
        <v>0</v>
      </c>
      <c r="G29" s="5">
        <f>(VLOOKUP(' 6.0.00'!O29,' 6.0.00'!$AM$4:$AO$55,2,FALSE))*IF(' 6.0.00'!AQ$4="是",' 6.0.00'!$AX$4,' 6.0.00'!$AX$3)</f>
        <v>0</v>
      </c>
      <c r="H29" s="5">
        <f>(VLOOKUP(' 6.0.00'!P29,' 6.0.00'!$AM$4:$AO$55,2,FALSE))*IF(' 6.0.00'!AR$4="是",' 6.0.00'!$AX$4,' 6.0.00'!$AX$3)</f>
        <v>0</v>
      </c>
      <c r="I29" s="4">
        <f>(VLOOKUP(' 6.0.00'!Q29,' 6.0.00'!$AM$4:$AO$55,2,FALSE))*IF(' 6.0.00'!AS$4="是",' 6.0.00'!$AX$4,' 6.0.00'!$AX$3)</f>
        <v>0</v>
      </c>
      <c r="J29" s="4">
        <f>(VLOOKUP(' 6.0.00'!R29,' 6.0.00'!$AM$4:$AO$55,2,FALSE))*IF(' 6.0.00'!AT$4="是",' 6.0.00'!$AX$4,' 6.0.00'!$AX$3)</f>
        <v>0</v>
      </c>
      <c r="K29" s="4">
        <f>(VLOOKUP(' 6.0.00'!S29,' 6.0.00'!$AM$4:$AO$55,2,FALSE))*IF(' 6.0.00'!AU$4="是",' 6.0.00'!$AX$4,' 6.0.00'!$AX$3)</f>
        <v>0</v>
      </c>
      <c r="L29" s="4">
        <f>(VLOOKUP(' 6.0.00'!T29,' 6.0.00'!$AM$4:$AO$55,2,FALSE))*IF(' 6.0.00'!AV$4="是",' 6.0.00'!$AX$4,' 6.0.00'!$AX$3)</f>
        <v>0</v>
      </c>
      <c r="M29" s="4">
        <f>(VLOOKUP(' 6.0.00'!U29,' 6.0.00'!$AM$4:$AO$55,2,FALSE))*IF(' 6.0.00'!AW$4="是",' 6.0.00'!$AX$4,' 6.0.00'!$AX$3)</f>
        <v>0</v>
      </c>
      <c r="N29" s="4">
        <f>(VLOOKUP(' 6.0.00'!V29,' 6.0.00'!$AM$4:$AO$55,2,FALSE))*IF(' 6.0.00'!AX$4="是",' 6.0.00'!$AX$4,' 6.0.00'!$AX$3)</f>
        <v>0</v>
      </c>
      <c r="O29" s="5">
        <f>(VLOOKUP(' 6.0.00'!W29,' 6.0.00'!$AM$4:$AO$55,2,FALSE))*IF(' 6.0.00'!AY$4="是",' 6.0.00'!$AX$4,' 6.0.00'!$AX$3)</f>
        <v>0</v>
      </c>
      <c r="P29" s="5">
        <f>(VLOOKUP(' 6.0.00'!X29,' 6.0.00'!$AM$4:$AO$55,2,FALSE))*IF(' 6.0.00'!AZ$4="是",' 6.0.00'!$AX$4,' 6.0.00'!$AX$3)</f>
        <v>0</v>
      </c>
      <c r="Q29" s="4">
        <f>(VLOOKUP(' 6.0.00'!Y29,' 6.0.00'!$AM$4:$AO$55,2,FALSE))*IF(' 6.0.00'!BA$4="是",' 6.0.00'!$AX$4,' 6.0.00'!$AX$3)</f>
        <v>0</v>
      </c>
      <c r="R29" s="4">
        <f>(VLOOKUP(' 6.0.00'!Z29,' 6.0.00'!$AM$4:$AO$55,2,FALSE))*IF(' 6.0.00'!BB$4="是",' 6.0.00'!$AX$4,' 6.0.00'!$AX$3)</f>
        <v>0</v>
      </c>
      <c r="S29" s="4">
        <f>(VLOOKUP(' 6.0.00'!AA29,' 6.0.00'!$AM$4:$AO$55,2,FALSE))*IF(' 6.0.00'!BC$4="是",' 6.0.00'!$AX$4,' 6.0.00'!$AX$3)</f>
        <v>0</v>
      </c>
      <c r="T29" s="4">
        <f>(VLOOKUP(' 6.0.00'!AB29,' 6.0.00'!$AM$4:$AO$55,2,FALSE))*IF(' 6.0.00'!BD$4="是",' 6.0.00'!$AX$4,' 6.0.00'!$AX$3)</f>
        <v>0</v>
      </c>
      <c r="U29" s="4">
        <f>(VLOOKUP(' 6.0.00'!AC29,' 6.0.00'!$AM$4:$AO$55,2,FALSE))*IF(' 6.0.00'!BE$4="是",' 6.0.00'!$AX$4,' 6.0.00'!$AX$3)</f>
        <v>0</v>
      </c>
      <c r="V29" s="4">
        <f>(VLOOKUP(' 6.0.00'!AD29,' 6.0.00'!$AM$4:$AO$55,2,FALSE))*IF(' 6.0.00'!BF$4="是",' 6.0.00'!$AX$4,' 6.0.00'!$AX$3)</f>
        <v>0</v>
      </c>
      <c r="W29" s="5">
        <f>(VLOOKUP(' 6.0.00'!AE29,' 6.0.00'!$AM$4:$AO$55,2,FALSE))*IF(' 6.0.00'!BG$4="是",' 6.0.00'!$AX$4,' 6.0.00'!$AX$3)</f>
        <v>0</v>
      </c>
      <c r="X29" s="5">
        <f>(VLOOKUP(' 6.0.00'!AF29,' 6.0.00'!$AM$4:$AO$55,2,FALSE))*IF(' 6.0.00'!BH$4="是",' 6.0.00'!$AX$4,' 6.0.00'!$AX$3)</f>
        <v>0</v>
      </c>
    </row>
    <row r="30" spans="1:24">
      <c r="A30" s="4">
        <f>(VLOOKUP(' 6.0.00'!I30,' 6.0.00'!$AM$4:$AO$55,2,FALSE))*IF(' 6.0.00'!AK$4="是",' 6.0.00'!$AX$4,' 6.0.00'!$AX$3)</f>
        <v>0</v>
      </c>
      <c r="B30" s="4">
        <f>(VLOOKUP(' 6.0.00'!J30,' 6.0.00'!$AM$4:$AO$55,2,FALSE))*IF(' 6.0.00'!AL$4="是",' 6.0.00'!$AX$4,' 6.0.00'!$AX$3)</f>
        <v>0</v>
      </c>
      <c r="C30" s="4">
        <f>(VLOOKUP(' 6.0.00'!K30,' 6.0.00'!$AM$4:$AO$55,2,FALSE))*IF(' 6.0.00'!AM$4="是",' 6.0.00'!$AX$4,' 6.0.00'!$AX$3)</f>
        <v>0</v>
      </c>
      <c r="D30" s="4">
        <f>(VLOOKUP(' 6.0.00'!L30,' 6.0.00'!$AM$4:$AO$55,2,FALSE))*IF(' 6.0.00'!AN$4="是",' 6.0.00'!$AX$4,' 6.0.00'!$AX$3)</f>
        <v>0</v>
      </c>
      <c r="E30" s="4">
        <f>(VLOOKUP(' 6.0.00'!M30,' 6.0.00'!$AM$4:$AO$55,2,FALSE))*IF(' 6.0.00'!AO$4="是",' 6.0.00'!$AX$4,' 6.0.00'!$AX$3)</f>
        <v>0</v>
      </c>
      <c r="F30" s="4">
        <f>(VLOOKUP(' 6.0.00'!N30,' 6.0.00'!$AM$4:$AO$55,2,FALSE))*IF(' 6.0.00'!AP$4="是",' 6.0.00'!$AX$4,' 6.0.00'!$AX$3)</f>
        <v>0</v>
      </c>
      <c r="G30" s="5">
        <f>(VLOOKUP(' 6.0.00'!O30,' 6.0.00'!$AM$4:$AO$55,2,FALSE))*IF(' 6.0.00'!AQ$4="是",' 6.0.00'!$AX$4,' 6.0.00'!$AX$3)</f>
        <v>0</v>
      </c>
      <c r="H30" s="5">
        <f>(VLOOKUP(' 6.0.00'!P30,' 6.0.00'!$AM$4:$AO$55,2,FALSE))*IF(' 6.0.00'!AR$4="是",' 6.0.00'!$AX$4,' 6.0.00'!$AX$3)</f>
        <v>0</v>
      </c>
      <c r="I30" s="4">
        <f>(VLOOKUP(' 6.0.00'!Q30,' 6.0.00'!$AM$4:$AO$55,2,FALSE))*IF(' 6.0.00'!AS$4="是",' 6.0.00'!$AX$4,' 6.0.00'!$AX$3)</f>
        <v>0</v>
      </c>
      <c r="J30" s="4">
        <f>(VLOOKUP(' 6.0.00'!R30,' 6.0.00'!$AM$4:$AO$55,2,FALSE))*IF(' 6.0.00'!AT$4="是",' 6.0.00'!$AX$4,' 6.0.00'!$AX$3)</f>
        <v>0</v>
      </c>
      <c r="K30" s="4">
        <f>(VLOOKUP(' 6.0.00'!S30,' 6.0.00'!$AM$4:$AO$55,2,FALSE))*IF(' 6.0.00'!AU$4="是",' 6.0.00'!$AX$4,' 6.0.00'!$AX$3)</f>
        <v>0</v>
      </c>
      <c r="L30" s="4">
        <f>(VLOOKUP(' 6.0.00'!T30,' 6.0.00'!$AM$4:$AO$55,2,FALSE))*IF(' 6.0.00'!AV$4="是",' 6.0.00'!$AX$4,' 6.0.00'!$AX$3)</f>
        <v>0</v>
      </c>
      <c r="M30" s="4">
        <f>(VLOOKUP(' 6.0.00'!U30,' 6.0.00'!$AM$4:$AO$55,2,FALSE))*IF(' 6.0.00'!AW$4="是",' 6.0.00'!$AX$4,' 6.0.00'!$AX$3)</f>
        <v>0</v>
      </c>
      <c r="N30" s="4">
        <f>(VLOOKUP(' 6.0.00'!V30,' 6.0.00'!$AM$4:$AO$55,2,FALSE))*IF(' 6.0.00'!AX$4="是",' 6.0.00'!$AX$4,' 6.0.00'!$AX$3)</f>
        <v>0</v>
      </c>
      <c r="O30" s="5">
        <f>(VLOOKUP(' 6.0.00'!W30,' 6.0.00'!$AM$4:$AO$55,2,FALSE))*IF(' 6.0.00'!AY$4="是",' 6.0.00'!$AX$4,' 6.0.00'!$AX$3)</f>
        <v>0</v>
      </c>
      <c r="P30" s="5">
        <f>(VLOOKUP(' 6.0.00'!X30,' 6.0.00'!$AM$4:$AO$55,2,FALSE))*IF(' 6.0.00'!AZ$4="是",' 6.0.00'!$AX$4,' 6.0.00'!$AX$3)</f>
        <v>0</v>
      </c>
      <c r="Q30" s="4">
        <f>(VLOOKUP(' 6.0.00'!Y30,' 6.0.00'!$AM$4:$AO$55,2,FALSE))*IF(' 6.0.00'!BA$4="是",' 6.0.00'!$AX$4,' 6.0.00'!$AX$3)</f>
        <v>0</v>
      </c>
      <c r="R30" s="4">
        <f>(VLOOKUP(' 6.0.00'!Z30,' 6.0.00'!$AM$4:$AO$55,2,FALSE))*IF(' 6.0.00'!BB$4="是",' 6.0.00'!$AX$4,' 6.0.00'!$AX$3)</f>
        <v>0</v>
      </c>
      <c r="S30" s="4">
        <f>(VLOOKUP(' 6.0.00'!AA30,' 6.0.00'!$AM$4:$AO$55,2,FALSE))*IF(' 6.0.00'!BC$4="是",' 6.0.00'!$AX$4,' 6.0.00'!$AX$3)</f>
        <v>0</v>
      </c>
      <c r="T30" s="4">
        <f>(VLOOKUP(' 6.0.00'!AB30,' 6.0.00'!$AM$4:$AO$55,2,FALSE))*IF(' 6.0.00'!BD$4="是",' 6.0.00'!$AX$4,' 6.0.00'!$AX$3)</f>
        <v>0</v>
      </c>
      <c r="U30" s="4">
        <f>(VLOOKUP(' 6.0.00'!AC30,' 6.0.00'!$AM$4:$AO$55,2,FALSE))*IF(' 6.0.00'!BE$4="是",' 6.0.00'!$AX$4,' 6.0.00'!$AX$3)</f>
        <v>0</v>
      </c>
      <c r="V30" s="4">
        <f>(VLOOKUP(' 6.0.00'!AD30,' 6.0.00'!$AM$4:$AO$55,2,FALSE))*IF(' 6.0.00'!BF$4="是",' 6.0.00'!$AX$4,' 6.0.00'!$AX$3)</f>
        <v>0</v>
      </c>
      <c r="W30" s="5">
        <f>(VLOOKUP(' 6.0.00'!AE30,' 6.0.00'!$AM$4:$AO$55,2,FALSE))*IF(' 6.0.00'!BG$4="是",' 6.0.00'!$AX$4,' 6.0.00'!$AX$3)</f>
        <v>0</v>
      </c>
      <c r="X30" s="5">
        <f>(VLOOKUP(' 6.0.00'!AF30,' 6.0.00'!$AM$4:$AO$55,2,FALSE))*IF(' 6.0.00'!BH$4="是",' 6.0.00'!$AX$4,' 6.0.00'!$AX$3)</f>
        <v>0</v>
      </c>
    </row>
    <row r="31" spans="1:24">
      <c r="A31" s="4">
        <f>(VLOOKUP(' 6.0.00'!I31,' 6.0.00'!$AM$4:$AO$55,2,FALSE))*IF(' 6.0.00'!AK$4="是",' 6.0.00'!$AX$4,' 6.0.00'!$AX$3)</f>
        <v>0</v>
      </c>
      <c r="B31" s="4">
        <f>(VLOOKUP(' 6.0.00'!J31,' 6.0.00'!$AM$4:$AO$55,2,FALSE))*IF(' 6.0.00'!AL$4="是",' 6.0.00'!$AX$4,' 6.0.00'!$AX$3)</f>
        <v>0</v>
      </c>
      <c r="C31" s="4">
        <f>(VLOOKUP(' 6.0.00'!K31,' 6.0.00'!$AM$4:$AO$55,2,FALSE))*IF(' 6.0.00'!AM$4="是",' 6.0.00'!$AX$4,' 6.0.00'!$AX$3)</f>
        <v>0</v>
      </c>
      <c r="D31" s="4">
        <f>(VLOOKUP(' 6.0.00'!L31,' 6.0.00'!$AM$4:$AO$55,2,FALSE))*IF(' 6.0.00'!AN$4="是",' 6.0.00'!$AX$4,' 6.0.00'!$AX$3)</f>
        <v>0</v>
      </c>
      <c r="E31" s="4">
        <f>(VLOOKUP(' 6.0.00'!M31,' 6.0.00'!$AM$4:$AO$55,2,FALSE))*IF(' 6.0.00'!AO$4="是",' 6.0.00'!$AX$4,' 6.0.00'!$AX$3)</f>
        <v>0</v>
      </c>
      <c r="F31" s="4">
        <f>(VLOOKUP(' 6.0.00'!N31,' 6.0.00'!$AM$4:$AO$55,2,FALSE))*IF(' 6.0.00'!AP$4="是",' 6.0.00'!$AX$4,' 6.0.00'!$AX$3)</f>
        <v>0</v>
      </c>
      <c r="G31" s="5">
        <f>(VLOOKUP(' 6.0.00'!O31,' 6.0.00'!$AM$4:$AO$55,2,FALSE))*IF(' 6.0.00'!AQ$4="是",' 6.0.00'!$AX$4,' 6.0.00'!$AX$3)</f>
        <v>0</v>
      </c>
      <c r="H31" s="5">
        <f>(VLOOKUP(' 6.0.00'!P31,' 6.0.00'!$AM$4:$AO$55,2,FALSE))*IF(' 6.0.00'!AR$4="是",' 6.0.00'!$AX$4,' 6.0.00'!$AX$3)</f>
        <v>0</v>
      </c>
      <c r="I31" s="4">
        <f>(VLOOKUP(' 6.0.00'!Q31,' 6.0.00'!$AM$4:$AO$55,2,FALSE))*IF(' 6.0.00'!AS$4="是",' 6.0.00'!$AX$4,' 6.0.00'!$AX$3)</f>
        <v>0</v>
      </c>
      <c r="J31" s="4">
        <f>(VLOOKUP(' 6.0.00'!R31,' 6.0.00'!$AM$4:$AO$55,2,FALSE))*IF(' 6.0.00'!AT$4="是",' 6.0.00'!$AX$4,' 6.0.00'!$AX$3)</f>
        <v>0</v>
      </c>
      <c r="K31" s="4">
        <f>(VLOOKUP(' 6.0.00'!S31,' 6.0.00'!$AM$4:$AO$55,2,FALSE))*IF(' 6.0.00'!AU$4="是",' 6.0.00'!$AX$4,' 6.0.00'!$AX$3)</f>
        <v>0</v>
      </c>
      <c r="L31" s="4">
        <f>(VLOOKUP(' 6.0.00'!T31,' 6.0.00'!$AM$4:$AO$55,2,FALSE))*IF(' 6.0.00'!AV$4="是",' 6.0.00'!$AX$4,' 6.0.00'!$AX$3)</f>
        <v>0</v>
      </c>
      <c r="M31" s="4">
        <f>(VLOOKUP(' 6.0.00'!U31,' 6.0.00'!$AM$4:$AO$55,2,FALSE))*IF(' 6.0.00'!AW$4="是",' 6.0.00'!$AX$4,' 6.0.00'!$AX$3)</f>
        <v>0</v>
      </c>
      <c r="N31" s="4">
        <f>(VLOOKUP(' 6.0.00'!V31,' 6.0.00'!$AM$4:$AO$55,2,FALSE))*IF(' 6.0.00'!AX$4="是",' 6.0.00'!$AX$4,' 6.0.00'!$AX$3)</f>
        <v>0</v>
      </c>
      <c r="O31" s="5">
        <f>(VLOOKUP(' 6.0.00'!W31,' 6.0.00'!$AM$4:$AO$55,2,FALSE))*IF(' 6.0.00'!AY$4="是",' 6.0.00'!$AX$4,' 6.0.00'!$AX$3)</f>
        <v>0</v>
      </c>
      <c r="P31" s="5">
        <f>(VLOOKUP(' 6.0.00'!X31,' 6.0.00'!$AM$4:$AO$55,2,FALSE))*IF(' 6.0.00'!AZ$4="是",' 6.0.00'!$AX$4,' 6.0.00'!$AX$3)</f>
        <v>0</v>
      </c>
      <c r="Q31" s="4">
        <f>(VLOOKUP(' 6.0.00'!Y31,' 6.0.00'!$AM$4:$AO$55,2,FALSE))*IF(' 6.0.00'!BA$4="是",' 6.0.00'!$AX$4,' 6.0.00'!$AX$3)</f>
        <v>0</v>
      </c>
      <c r="R31" s="4">
        <f>(VLOOKUP(' 6.0.00'!Z31,' 6.0.00'!$AM$4:$AO$55,2,FALSE))*IF(' 6.0.00'!BB$4="是",' 6.0.00'!$AX$4,' 6.0.00'!$AX$3)</f>
        <v>0</v>
      </c>
      <c r="S31" s="4">
        <f>(VLOOKUP(' 6.0.00'!AA31,' 6.0.00'!$AM$4:$AO$55,2,FALSE))*IF(' 6.0.00'!BC$4="是",' 6.0.00'!$AX$4,' 6.0.00'!$AX$3)</f>
        <v>0</v>
      </c>
      <c r="T31" s="4">
        <f>(VLOOKUP(' 6.0.00'!AB31,' 6.0.00'!$AM$4:$AO$55,2,FALSE))*IF(' 6.0.00'!BD$4="是",' 6.0.00'!$AX$4,' 6.0.00'!$AX$3)</f>
        <v>0</v>
      </c>
      <c r="U31" s="4">
        <f>(VLOOKUP(' 6.0.00'!AC31,' 6.0.00'!$AM$4:$AO$55,2,FALSE))*IF(' 6.0.00'!BE$4="是",' 6.0.00'!$AX$4,' 6.0.00'!$AX$3)</f>
        <v>0</v>
      </c>
      <c r="V31" s="4">
        <f>(VLOOKUP(' 6.0.00'!AD31,' 6.0.00'!$AM$4:$AO$55,2,FALSE))*IF(' 6.0.00'!BF$4="是",' 6.0.00'!$AX$4,' 6.0.00'!$AX$3)</f>
        <v>0</v>
      </c>
      <c r="W31" s="5">
        <f>(VLOOKUP(' 6.0.00'!AE31,' 6.0.00'!$AM$4:$AO$55,2,FALSE))*IF(' 6.0.00'!BG$4="是",' 6.0.00'!$AX$4,' 6.0.00'!$AX$3)</f>
        <v>0</v>
      </c>
      <c r="X31" s="5">
        <f>(VLOOKUP(' 6.0.00'!AF31,' 6.0.00'!$AM$4:$AO$55,2,FALSE))*IF(' 6.0.00'!BH$4="是",' 6.0.00'!$AX$4,' 6.0.00'!$AX$3)</f>
        <v>0</v>
      </c>
    </row>
    <row r="32" spans="1:24">
      <c r="A32" s="4">
        <f>(VLOOKUP(' 6.0.00'!I32,' 6.0.00'!$AM$4:$AO$55,2,FALSE))*IF(' 6.0.00'!AK$4="是",' 6.0.00'!$AX$4,' 6.0.00'!$AX$3)</f>
        <v>0</v>
      </c>
      <c r="B32" s="4">
        <f>(VLOOKUP(' 6.0.00'!J32,' 6.0.00'!$AM$4:$AO$55,2,FALSE))*IF(' 6.0.00'!AL$4="是",' 6.0.00'!$AX$4,' 6.0.00'!$AX$3)</f>
        <v>0</v>
      </c>
      <c r="C32" s="4">
        <f>(VLOOKUP(' 6.0.00'!K32,' 6.0.00'!$AM$4:$AO$55,2,FALSE))*IF(' 6.0.00'!AM$4="是",' 6.0.00'!$AX$4,' 6.0.00'!$AX$3)</f>
        <v>0</v>
      </c>
      <c r="D32" s="4">
        <f>(VLOOKUP(' 6.0.00'!L32,' 6.0.00'!$AM$4:$AO$55,2,FALSE))*IF(' 6.0.00'!AN$4="是",' 6.0.00'!$AX$4,' 6.0.00'!$AX$3)</f>
        <v>0</v>
      </c>
      <c r="E32" s="4">
        <f>(VLOOKUP(' 6.0.00'!M32,' 6.0.00'!$AM$4:$AO$55,2,FALSE))*IF(' 6.0.00'!AO$4="是",' 6.0.00'!$AX$4,' 6.0.00'!$AX$3)</f>
        <v>0</v>
      </c>
      <c r="F32" s="4">
        <f>(VLOOKUP(' 6.0.00'!N32,' 6.0.00'!$AM$4:$AO$55,2,FALSE))*IF(' 6.0.00'!AP$4="是",' 6.0.00'!$AX$4,' 6.0.00'!$AX$3)</f>
        <v>0</v>
      </c>
      <c r="G32" s="5">
        <f>(VLOOKUP(' 6.0.00'!O32,' 6.0.00'!$AM$4:$AO$55,2,FALSE))*IF(' 6.0.00'!AQ$4="是",' 6.0.00'!$AX$4,' 6.0.00'!$AX$3)</f>
        <v>0</v>
      </c>
      <c r="H32" s="5">
        <f>(VLOOKUP(' 6.0.00'!P32,' 6.0.00'!$AM$4:$AO$55,2,FALSE))*IF(' 6.0.00'!AR$4="是",' 6.0.00'!$AX$4,' 6.0.00'!$AX$3)</f>
        <v>0</v>
      </c>
      <c r="I32" s="4">
        <f>(VLOOKUP(' 6.0.00'!Q32,' 6.0.00'!$AM$4:$AO$55,2,FALSE))*IF(' 6.0.00'!AS$4="是",' 6.0.00'!$AX$4,' 6.0.00'!$AX$3)</f>
        <v>0</v>
      </c>
      <c r="J32" s="4">
        <f>(VLOOKUP(' 6.0.00'!R32,' 6.0.00'!$AM$4:$AO$55,2,FALSE))*IF(' 6.0.00'!AT$4="是",' 6.0.00'!$AX$4,' 6.0.00'!$AX$3)</f>
        <v>0</v>
      </c>
      <c r="K32" s="4">
        <f>(VLOOKUP(' 6.0.00'!S32,' 6.0.00'!$AM$4:$AO$55,2,FALSE))*IF(' 6.0.00'!AU$4="是",' 6.0.00'!$AX$4,' 6.0.00'!$AX$3)</f>
        <v>0</v>
      </c>
      <c r="L32" s="4">
        <f>(VLOOKUP(' 6.0.00'!T32,' 6.0.00'!$AM$4:$AO$55,2,FALSE))*IF(' 6.0.00'!AV$4="是",' 6.0.00'!$AX$4,' 6.0.00'!$AX$3)</f>
        <v>0</v>
      </c>
      <c r="M32" s="4">
        <f>(VLOOKUP(' 6.0.00'!U32,' 6.0.00'!$AM$4:$AO$55,2,FALSE))*IF(' 6.0.00'!AW$4="是",' 6.0.00'!$AX$4,' 6.0.00'!$AX$3)</f>
        <v>0</v>
      </c>
      <c r="N32" s="4">
        <f>(VLOOKUP(' 6.0.00'!V32,' 6.0.00'!$AM$4:$AO$55,2,FALSE))*IF(' 6.0.00'!AX$4="是",' 6.0.00'!$AX$4,' 6.0.00'!$AX$3)</f>
        <v>0</v>
      </c>
      <c r="O32" s="5">
        <f>(VLOOKUP(' 6.0.00'!W32,' 6.0.00'!$AM$4:$AO$55,2,FALSE))*IF(' 6.0.00'!AY$4="是",' 6.0.00'!$AX$4,' 6.0.00'!$AX$3)</f>
        <v>0</v>
      </c>
      <c r="P32" s="5">
        <f>(VLOOKUP(' 6.0.00'!X32,' 6.0.00'!$AM$4:$AO$55,2,FALSE))*IF(' 6.0.00'!AZ$4="是",' 6.0.00'!$AX$4,' 6.0.00'!$AX$3)</f>
        <v>0</v>
      </c>
      <c r="Q32" s="4">
        <f>(VLOOKUP(' 6.0.00'!Y32,' 6.0.00'!$AM$4:$AO$55,2,FALSE))*IF(' 6.0.00'!BA$4="是",' 6.0.00'!$AX$4,' 6.0.00'!$AX$3)</f>
        <v>0</v>
      </c>
      <c r="R32" s="4">
        <f>(VLOOKUP(' 6.0.00'!Z32,' 6.0.00'!$AM$4:$AO$55,2,FALSE))*IF(' 6.0.00'!BB$4="是",' 6.0.00'!$AX$4,' 6.0.00'!$AX$3)</f>
        <v>0</v>
      </c>
      <c r="S32" s="4">
        <f>(VLOOKUP(' 6.0.00'!AA32,' 6.0.00'!$AM$4:$AO$55,2,FALSE))*IF(' 6.0.00'!BC$4="是",' 6.0.00'!$AX$4,' 6.0.00'!$AX$3)</f>
        <v>0</v>
      </c>
      <c r="T32" s="4">
        <f>(VLOOKUP(' 6.0.00'!AB32,' 6.0.00'!$AM$4:$AO$55,2,FALSE))*IF(' 6.0.00'!BD$4="是",' 6.0.00'!$AX$4,' 6.0.00'!$AX$3)</f>
        <v>0</v>
      </c>
      <c r="U32" s="4">
        <f>(VLOOKUP(' 6.0.00'!AC32,' 6.0.00'!$AM$4:$AO$55,2,FALSE))*IF(' 6.0.00'!BE$4="是",' 6.0.00'!$AX$4,' 6.0.00'!$AX$3)</f>
        <v>0</v>
      </c>
      <c r="V32" s="4">
        <f>(VLOOKUP(' 6.0.00'!AD32,' 6.0.00'!$AM$4:$AO$55,2,FALSE))*IF(' 6.0.00'!BF$4="是",' 6.0.00'!$AX$4,' 6.0.00'!$AX$3)</f>
        <v>0</v>
      </c>
      <c r="W32" s="5">
        <f>(VLOOKUP(' 6.0.00'!AE32,' 6.0.00'!$AM$4:$AO$55,2,FALSE))*IF(' 6.0.00'!BG$4="是",' 6.0.00'!$AX$4,' 6.0.00'!$AX$3)</f>
        <v>0</v>
      </c>
      <c r="X32" s="5">
        <f>(VLOOKUP(' 6.0.00'!AF32,' 6.0.00'!$AM$4:$AO$55,2,FALSE))*IF(' 6.0.00'!BH$4="是",' 6.0.00'!$AX$4,' 6.0.00'!$AX$3)</f>
        <v>0</v>
      </c>
    </row>
    <row r="33" spans="1:24">
      <c r="A33" s="4">
        <f>(VLOOKUP(' 6.0.00'!I33,' 6.0.00'!$AM$4:$AO$55,2,FALSE))*IF(' 6.0.00'!AK$4="是",' 6.0.00'!$AX$4,' 6.0.00'!$AX$3)</f>
        <v>0</v>
      </c>
      <c r="B33" s="4">
        <f>(VLOOKUP(' 6.0.00'!J33,' 6.0.00'!$AM$4:$AO$55,2,FALSE))*IF(' 6.0.00'!AL$4="是",' 6.0.00'!$AX$4,' 6.0.00'!$AX$3)</f>
        <v>0</v>
      </c>
      <c r="C33" s="4">
        <f>(VLOOKUP(' 6.0.00'!K33,' 6.0.00'!$AM$4:$AO$55,2,FALSE))*IF(' 6.0.00'!AM$4="是",' 6.0.00'!$AX$4,' 6.0.00'!$AX$3)</f>
        <v>0</v>
      </c>
      <c r="D33" s="4">
        <f>(VLOOKUP(' 6.0.00'!L33,' 6.0.00'!$AM$4:$AO$55,2,FALSE))*IF(' 6.0.00'!AN$4="是",' 6.0.00'!$AX$4,' 6.0.00'!$AX$3)</f>
        <v>0</v>
      </c>
      <c r="E33" s="4">
        <f>(VLOOKUP(' 6.0.00'!M33,' 6.0.00'!$AM$4:$AO$55,2,FALSE))*IF(' 6.0.00'!AO$4="是",' 6.0.00'!$AX$4,' 6.0.00'!$AX$3)</f>
        <v>0</v>
      </c>
      <c r="F33" s="4">
        <f>(VLOOKUP(' 6.0.00'!N33,' 6.0.00'!$AM$4:$AO$55,2,FALSE))*IF(' 6.0.00'!AP$4="是",' 6.0.00'!$AX$4,' 6.0.00'!$AX$3)</f>
        <v>0</v>
      </c>
      <c r="G33" s="5">
        <f>(VLOOKUP(' 6.0.00'!O33,' 6.0.00'!$AM$4:$AO$55,2,FALSE))*IF(' 6.0.00'!AQ$4="是",' 6.0.00'!$AX$4,' 6.0.00'!$AX$3)</f>
        <v>0</v>
      </c>
      <c r="H33" s="5">
        <f>(VLOOKUP(' 6.0.00'!P33,' 6.0.00'!$AM$4:$AO$55,2,FALSE))*IF(' 6.0.00'!AR$4="是",' 6.0.00'!$AX$4,' 6.0.00'!$AX$3)</f>
        <v>0</v>
      </c>
      <c r="I33" s="4">
        <f>(VLOOKUP(' 6.0.00'!Q33,' 6.0.00'!$AM$4:$AO$55,2,FALSE))*IF(' 6.0.00'!AS$4="是",' 6.0.00'!$AX$4,' 6.0.00'!$AX$3)</f>
        <v>0</v>
      </c>
      <c r="J33" s="4">
        <f>(VLOOKUP(' 6.0.00'!R33,' 6.0.00'!$AM$4:$AO$55,2,FALSE))*IF(' 6.0.00'!AT$4="是",' 6.0.00'!$AX$4,' 6.0.00'!$AX$3)</f>
        <v>0</v>
      </c>
      <c r="K33" s="4">
        <f>(VLOOKUP(' 6.0.00'!S33,' 6.0.00'!$AM$4:$AO$55,2,FALSE))*IF(' 6.0.00'!AU$4="是",' 6.0.00'!$AX$4,' 6.0.00'!$AX$3)</f>
        <v>0</v>
      </c>
      <c r="L33" s="4">
        <f>(VLOOKUP(' 6.0.00'!T33,' 6.0.00'!$AM$4:$AO$55,2,FALSE))*IF(' 6.0.00'!AV$4="是",' 6.0.00'!$AX$4,' 6.0.00'!$AX$3)</f>
        <v>0</v>
      </c>
      <c r="M33" s="4">
        <f>(VLOOKUP(' 6.0.00'!U33,' 6.0.00'!$AM$4:$AO$55,2,FALSE))*IF(' 6.0.00'!AW$4="是",' 6.0.00'!$AX$4,' 6.0.00'!$AX$3)</f>
        <v>0</v>
      </c>
      <c r="N33" s="4">
        <f>(VLOOKUP(' 6.0.00'!V33,' 6.0.00'!$AM$4:$AO$55,2,FALSE))*IF(' 6.0.00'!AX$4="是",' 6.0.00'!$AX$4,' 6.0.00'!$AX$3)</f>
        <v>0</v>
      </c>
      <c r="O33" s="5">
        <f>(VLOOKUP(' 6.0.00'!W33,' 6.0.00'!$AM$4:$AO$55,2,FALSE))*IF(' 6.0.00'!AY$4="是",' 6.0.00'!$AX$4,' 6.0.00'!$AX$3)</f>
        <v>0</v>
      </c>
      <c r="P33" s="5">
        <f>(VLOOKUP(' 6.0.00'!X33,' 6.0.00'!$AM$4:$AO$55,2,FALSE))*IF(' 6.0.00'!AZ$4="是",' 6.0.00'!$AX$4,' 6.0.00'!$AX$3)</f>
        <v>0</v>
      </c>
      <c r="Q33" s="4">
        <f>(VLOOKUP(' 6.0.00'!Y33,' 6.0.00'!$AM$4:$AO$55,2,FALSE))*IF(' 6.0.00'!BA$4="是",' 6.0.00'!$AX$4,' 6.0.00'!$AX$3)</f>
        <v>0</v>
      </c>
      <c r="R33" s="4">
        <f>(VLOOKUP(' 6.0.00'!Z33,' 6.0.00'!$AM$4:$AO$55,2,FALSE))*IF(' 6.0.00'!BB$4="是",' 6.0.00'!$AX$4,' 6.0.00'!$AX$3)</f>
        <v>0</v>
      </c>
      <c r="S33" s="4">
        <f>(VLOOKUP(' 6.0.00'!AA33,' 6.0.00'!$AM$4:$AO$55,2,FALSE))*IF(' 6.0.00'!BC$4="是",' 6.0.00'!$AX$4,' 6.0.00'!$AX$3)</f>
        <v>0</v>
      </c>
      <c r="T33" s="4">
        <f>(VLOOKUP(' 6.0.00'!AB33,' 6.0.00'!$AM$4:$AO$55,2,FALSE))*IF(' 6.0.00'!BD$4="是",' 6.0.00'!$AX$4,' 6.0.00'!$AX$3)</f>
        <v>0</v>
      </c>
      <c r="U33" s="4">
        <f>(VLOOKUP(' 6.0.00'!AC33,' 6.0.00'!$AM$4:$AO$55,2,FALSE))*IF(' 6.0.00'!BE$4="是",' 6.0.00'!$AX$4,' 6.0.00'!$AX$3)</f>
        <v>0</v>
      </c>
      <c r="V33" s="4">
        <f>(VLOOKUP(' 6.0.00'!AD33,' 6.0.00'!$AM$4:$AO$55,2,FALSE))*IF(' 6.0.00'!BF$4="是",' 6.0.00'!$AX$4,' 6.0.00'!$AX$3)</f>
        <v>0</v>
      </c>
      <c r="W33" s="5">
        <f>(VLOOKUP(' 6.0.00'!AE33,' 6.0.00'!$AM$4:$AO$55,2,FALSE))*IF(' 6.0.00'!BG$4="是",' 6.0.00'!$AX$4,' 6.0.00'!$AX$3)</f>
        <v>0</v>
      </c>
      <c r="X33" s="5">
        <f>(VLOOKUP(' 6.0.00'!AF33,' 6.0.00'!$AM$4:$AO$55,2,FALSE))*IF(' 6.0.00'!BH$4="是",' 6.0.00'!$AX$4,' 6.0.00'!$AX$3)</f>
        <v>0</v>
      </c>
    </row>
    <row r="34" spans="1:24">
      <c r="A34" s="4">
        <f>(VLOOKUP(' 6.0.00'!I34,' 6.0.00'!$AM$4:$AO$55,2,FALSE))*IF(' 6.0.00'!AK$4="是",' 6.0.00'!$AX$4,' 6.0.00'!$AX$3)</f>
        <v>0</v>
      </c>
      <c r="B34" s="4">
        <f>(VLOOKUP(' 6.0.00'!J34,' 6.0.00'!$AM$4:$AO$55,2,FALSE))*IF(' 6.0.00'!AL$4="是",' 6.0.00'!$AX$4,' 6.0.00'!$AX$3)</f>
        <v>0</v>
      </c>
      <c r="C34" s="4">
        <f>(VLOOKUP(' 6.0.00'!K34,' 6.0.00'!$AM$4:$AO$55,2,FALSE))*IF(' 6.0.00'!AM$4="是",' 6.0.00'!$AX$4,' 6.0.00'!$AX$3)</f>
        <v>0</v>
      </c>
      <c r="D34" s="4">
        <f>(VLOOKUP(' 6.0.00'!L34,' 6.0.00'!$AM$4:$AO$55,2,FALSE))*IF(' 6.0.00'!AN$4="是",' 6.0.00'!$AX$4,' 6.0.00'!$AX$3)</f>
        <v>0</v>
      </c>
      <c r="E34" s="4">
        <f>(VLOOKUP(' 6.0.00'!M34,' 6.0.00'!$AM$4:$AO$55,2,FALSE))*IF(' 6.0.00'!AO$4="是",' 6.0.00'!$AX$4,' 6.0.00'!$AX$3)</f>
        <v>0</v>
      </c>
      <c r="F34" s="4">
        <f>(VLOOKUP(' 6.0.00'!N34,' 6.0.00'!$AM$4:$AO$55,2,FALSE))*IF(' 6.0.00'!AP$4="是",' 6.0.00'!$AX$4,' 6.0.00'!$AX$3)</f>
        <v>0</v>
      </c>
      <c r="G34" s="5">
        <f>(VLOOKUP(' 6.0.00'!O34,' 6.0.00'!$AM$4:$AO$55,2,FALSE))*IF(' 6.0.00'!AQ$4="是",' 6.0.00'!$AX$4,' 6.0.00'!$AX$3)</f>
        <v>0</v>
      </c>
      <c r="H34" s="5">
        <f>(VLOOKUP(' 6.0.00'!P34,' 6.0.00'!$AM$4:$AO$55,2,FALSE))*IF(' 6.0.00'!AR$4="是",' 6.0.00'!$AX$4,' 6.0.00'!$AX$3)</f>
        <v>0</v>
      </c>
      <c r="I34" s="4">
        <f>(VLOOKUP(' 6.0.00'!Q34,' 6.0.00'!$AM$4:$AO$55,2,FALSE))*IF(' 6.0.00'!AS$4="是",' 6.0.00'!$AX$4,' 6.0.00'!$AX$3)</f>
        <v>0</v>
      </c>
      <c r="J34" s="4">
        <f>(VLOOKUP(' 6.0.00'!R34,' 6.0.00'!$AM$4:$AO$55,2,FALSE))*IF(' 6.0.00'!AT$4="是",' 6.0.00'!$AX$4,' 6.0.00'!$AX$3)</f>
        <v>0</v>
      </c>
      <c r="K34" s="4">
        <f>(VLOOKUP(' 6.0.00'!S34,' 6.0.00'!$AM$4:$AO$55,2,FALSE))*IF(' 6.0.00'!AU$4="是",' 6.0.00'!$AX$4,' 6.0.00'!$AX$3)</f>
        <v>0</v>
      </c>
      <c r="L34" s="4">
        <f>(VLOOKUP(' 6.0.00'!T34,' 6.0.00'!$AM$4:$AO$55,2,FALSE))*IF(' 6.0.00'!AV$4="是",' 6.0.00'!$AX$4,' 6.0.00'!$AX$3)</f>
        <v>0</v>
      </c>
      <c r="M34" s="4">
        <f>(VLOOKUP(' 6.0.00'!U34,' 6.0.00'!$AM$4:$AO$55,2,FALSE))*IF(' 6.0.00'!AW$4="是",' 6.0.00'!$AX$4,' 6.0.00'!$AX$3)</f>
        <v>0</v>
      </c>
      <c r="N34" s="4">
        <f>(VLOOKUP(' 6.0.00'!V34,' 6.0.00'!$AM$4:$AO$55,2,FALSE))*IF(' 6.0.00'!AX$4="是",' 6.0.00'!$AX$4,' 6.0.00'!$AX$3)</f>
        <v>0</v>
      </c>
      <c r="O34" s="5">
        <f>(VLOOKUP(' 6.0.00'!W34,' 6.0.00'!$AM$4:$AO$55,2,FALSE))*IF(' 6.0.00'!AY$4="是",' 6.0.00'!$AX$4,' 6.0.00'!$AX$3)</f>
        <v>0</v>
      </c>
      <c r="P34" s="5">
        <f>(VLOOKUP(' 6.0.00'!X34,' 6.0.00'!$AM$4:$AO$55,2,FALSE))*IF(' 6.0.00'!AZ$4="是",' 6.0.00'!$AX$4,' 6.0.00'!$AX$3)</f>
        <v>0</v>
      </c>
      <c r="Q34" s="4">
        <f>(VLOOKUP(' 6.0.00'!Y34,' 6.0.00'!$AM$4:$AO$55,2,FALSE))*IF(' 6.0.00'!BA$4="是",' 6.0.00'!$AX$4,' 6.0.00'!$AX$3)</f>
        <v>0</v>
      </c>
      <c r="R34" s="4">
        <f>(VLOOKUP(' 6.0.00'!Z34,' 6.0.00'!$AM$4:$AO$55,2,FALSE))*IF(' 6.0.00'!BB$4="是",' 6.0.00'!$AX$4,' 6.0.00'!$AX$3)</f>
        <v>0</v>
      </c>
      <c r="S34" s="4">
        <f>(VLOOKUP(' 6.0.00'!AA34,' 6.0.00'!$AM$4:$AO$55,2,FALSE))*IF(' 6.0.00'!BC$4="是",' 6.0.00'!$AX$4,' 6.0.00'!$AX$3)</f>
        <v>0</v>
      </c>
      <c r="T34" s="4">
        <f>(VLOOKUP(' 6.0.00'!AB34,' 6.0.00'!$AM$4:$AO$55,2,FALSE))*IF(' 6.0.00'!BD$4="是",' 6.0.00'!$AX$4,' 6.0.00'!$AX$3)</f>
        <v>0</v>
      </c>
      <c r="U34" s="4">
        <f>(VLOOKUP(' 6.0.00'!AC34,' 6.0.00'!$AM$4:$AO$55,2,FALSE))*IF(' 6.0.00'!BE$4="是",' 6.0.00'!$AX$4,' 6.0.00'!$AX$3)</f>
        <v>0</v>
      </c>
      <c r="V34" s="4">
        <f>(VLOOKUP(' 6.0.00'!AD34,' 6.0.00'!$AM$4:$AO$55,2,FALSE))*IF(' 6.0.00'!BF$4="是",' 6.0.00'!$AX$4,' 6.0.00'!$AX$3)</f>
        <v>0</v>
      </c>
      <c r="W34" s="5">
        <f>(VLOOKUP(' 6.0.00'!AE34,' 6.0.00'!$AM$4:$AO$55,2,FALSE))*IF(' 6.0.00'!BG$4="是",' 6.0.00'!$AX$4,' 6.0.00'!$AX$3)</f>
        <v>0</v>
      </c>
      <c r="X34" s="5">
        <f>(VLOOKUP(' 6.0.00'!AF34,' 6.0.00'!$AM$4:$AO$55,2,FALSE))*IF(' 6.0.00'!BH$4="是",' 6.0.00'!$AX$4,' 6.0.00'!$AX$3)</f>
        <v>0</v>
      </c>
    </row>
    <row r="35" spans="1:24">
      <c r="A35" s="4">
        <f>(VLOOKUP(' 6.0.00'!I35,' 6.0.00'!$AM$4:$AO$55,2,FALSE))*IF(' 6.0.00'!AK$4="是",' 6.0.00'!$AX$4,' 6.0.00'!$AX$3)</f>
        <v>0</v>
      </c>
      <c r="B35" s="4">
        <f>(VLOOKUP(' 6.0.00'!J35,' 6.0.00'!$AM$4:$AO$55,2,FALSE))*IF(' 6.0.00'!AL$4="是",' 6.0.00'!$AX$4,' 6.0.00'!$AX$3)</f>
        <v>0</v>
      </c>
      <c r="C35" s="4">
        <f>(VLOOKUP(' 6.0.00'!K35,' 6.0.00'!$AM$4:$AO$55,2,FALSE))*IF(' 6.0.00'!AM$4="是",' 6.0.00'!$AX$4,' 6.0.00'!$AX$3)</f>
        <v>0</v>
      </c>
      <c r="D35" s="4">
        <f>(VLOOKUP(' 6.0.00'!L35,' 6.0.00'!$AM$4:$AO$55,2,FALSE))*IF(' 6.0.00'!AN$4="是",' 6.0.00'!$AX$4,' 6.0.00'!$AX$3)</f>
        <v>0</v>
      </c>
      <c r="E35" s="4">
        <f>(VLOOKUP(' 6.0.00'!M35,' 6.0.00'!$AM$4:$AO$55,2,FALSE))*IF(' 6.0.00'!AO$4="是",' 6.0.00'!$AX$4,' 6.0.00'!$AX$3)</f>
        <v>0</v>
      </c>
      <c r="F35" s="4">
        <f>(VLOOKUP(' 6.0.00'!N35,' 6.0.00'!$AM$4:$AO$55,2,FALSE))*IF(' 6.0.00'!AP$4="是",' 6.0.00'!$AX$4,' 6.0.00'!$AX$3)</f>
        <v>0</v>
      </c>
      <c r="G35" s="5">
        <f>(VLOOKUP(' 6.0.00'!O35,' 6.0.00'!$AM$4:$AO$55,2,FALSE))*IF(' 6.0.00'!AQ$4="是",' 6.0.00'!$AX$4,' 6.0.00'!$AX$3)</f>
        <v>0</v>
      </c>
      <c r="H35" s="5">
        <f>(VLOOKUP(' 6.0.00'!P35,' 6.0.00'!$AM$4:$AO$55,2,FALSE))*IF(' 6.0.00'!AR$4="是",' 6.0.00'!$AX$4,' 6.0.00'!$AX$3)</f>
        <v>0</v>
      </c>
      <c r="I35" s="4">
        <f>(VLOOKUP(' 6.0.00'!Q35,' 6.0.00'!$AM$4:$AO$55,2,FALSE))*IF(' 6.0.00'!AS$4="是",' 6.0.00'!$AX$4,' 6.0.00'!$AX$3)</f>
        <v>0</v>
      </c>
      <c r="J35" s="4">
        <f>(VLOOKUP(' 6.0.00'!R35,' 6.0.00'!$AM$4:$AO$55,2,FALSE))*IF(' 6.0.00'!AT$4="是",' 6.0.00'!$AX$4,' 6.0.00'!$AX$3)</f>
        <v>0</v>
      </c>
      <c r="K35" s="4">
        <f>(VLOOKUP(' 6.0.00'!S35,' 6.0.00'!$AM$4:$AO$55,2,FALSE))*IF(' 6.0.00'!AU$4="是",' 6.0.00'!$AX$4,' 6.0.00'!$AX$3)</f>
        <v>0</v>
      </c>
      <c r="L35" s="4">
        <f>(VLOOKUP(' 6.0.00'!T35,' 6.0.00'!$AM$4:$AO$55,2,FALSE))*IF(' 6.0.00'!AV$4="是",' 6.0.00'!$AX$4,' 6.0.00'!$AX$3)</f>
        <v>0</v>
      </c>
      <c r="M35" s="4">
        <f>(VLOOKUP(' 6.0.00'!U35,' 6.0.00'!$AM$4:$AO$55,2,FALSE))*IF(' 6.0.00'!AW$4="是",' 6.0.00'!$AX$4,' 6.0.00'!$AX$3)</f>
        <v>0</v>
      </c>
      <c r="N35" s="4">
        <f>(VLOOKUP(' 6.0.00'!V35,' 6.0.00'!$AM$4:$AO$55,2,FALSE))*IF(' 6.0.00'!AX$4="是",' 6.0.00'!$AX$4,' 6.0.00'!$AX$3)</f>
        <v>0</v>
      </c>
      <c r="O35" s="5">
        <f>(VLOOKUP(' 6.0.00'!W35,' 6.0.00'!$AM$4:$AO$55,2,FALSE))*IF(' 6.0.00'!AY$4="是",' 6.0.00'!$AX$4,' 6.0.00'!$AX$3)</f>
        <v>0</v>
      </c>
      <c r="P35" s="5">
        <f>(VLOOKUP(' 6.0.00'!X35,' 6.0.00'!$AM$4:$AO$55,2,FALSE))*IF(' 6.0.00'!AZ$4="是",' 6.0.00'!$AX$4,' 6.0.00'!$AX$3)</f>
        <v>0</v>
      </c>
      <c r="Q35" s="4">
        <f>(VLOOKUP(' 6.0.00'!Y35,' 6.0.00'!$AM$4:$AO$55,2,FALSE))*IF(' 6.0.00'!BA$4="是",' 6.0.00'!$AX$4,' 6.0.00'!$AX$3)</f>
        <v>0</v>
      </c>
      <c r="R35" s="4">
        <f>(VLOOKUP(' 6.0.00'!Z35,' 6.0.00'!$AM$4:$AO$55,2,FALSE))*IF(' 6.0.00'!BB$4="是",' 6.0.00'!$AX$4,' 6.0.00'!$AX$3)</f>
        <v>0</v>
      </c>
      <c r="S35" s="4">
        <f>(VLOOKUP(' 6.0.00'!AA35,' 6.0.00'!$AM$4:$AO$55,2,FALSE))*IF(' 6.0.00'!BC$4="是",' 6.0.00'!$AX$4,' 6.0.00'!$AX$3)</f>
        <v>0</v>
      </c>
      <c r="T35" s="4">
        <f>(VLOOKUP(' 6.0.00'!AB35,' 6.0.00'!$AM$4:$AO$55,2,FALSE))*IF(' 6.0.00'!BD$4="是",' 6.0.00'!$AX$4,' 6.0.00'!$AX$3)</f>
        <v>0</v>
      </c>
      <c r="U35" s="4">
        <f>(VLOOKUP(' 6.0.00'!AC35,' 6.0.00'!$AM$4:$AO$55,2,FALSE))*IF(' 6.0.00'!BE$4="是",' 6.0.00'!$AX$4,' 6.0.00'!$AX$3)</f>
        <v>0</v>
      </c>
      <c r="V35" s="4">
        <f>(VLOOKUP(' 6.0.00'!AD35,' 6.0.00'!$AM$4:$AO$55,2,FALSE))*IF(' 6.0.00'!BF$4="是",' 6.0.00'!$AX$4,' 6.0.00'!$AX$3)</f>
        <v>0</v>
      </c>
      <c r="W35" s="5">
        <f>(VLOOKUP(' 6.0.00'!AE35,' 6.0.00'!$AM$4:$AO$55,2,FALSE))*IF(' 6.0.00'!BG$4="是",' 6.0.00'!$AX$4,' 6.0.00'!$AX$3)</f>
        <v>0</v>
      </c>
      <c r="X35" s="5">
        <f>(VLOOKUP(' 6.0.00'!AF35,' 6.0.00'!$AM$4:$AO$55,2,FALSE))*IF(' 6.0.00'!BH$4="是",' 6.0.00'!$AX$4,' 6.0.00'!$AX$3)</f>
        <v>0</v>
      </c>
    </row>
    <row r="36" spans="1:24">
      <c r="A36" s="4">
        <f>(VLOOKUP(' 6.0.00'!I36,' 6.0.00'!$AM$4:$AO$55,2,FALSE))*IF(' 6.0.00'!AK$4="是",' 6.0.00'!$AX$4,' 6.0.00'!$AX$3)</f>
        <v>0</v>
      </c>
      <c r="B36" s="4">
        <f>(VLOOKUP(' 6.0.00'!J36,' 6.0.00'!$AM$4:$AO$55,2,FALSE))*IF(' 6.0.00'!AL$4="是",' 6.0.00'!$AX$4,' 6.0.00'!$AX$3)</f>
        <v>0</v>
      </c>
      <c r="C36" s="4">
        <f>(VLOOKUP(' 6.0.00'!K36,' 6.0.00'!$AM$4:$AO$55,2,FALSE))*IF(' 6.0.00'!AM$4="是",' 6.0.00'!$AX$4,' 6.0.00'!$AX$3)</f>
        <v>0</v>
      </c>
      <c r="D36" s="4">
        <f>(VLOOKUP(' 6.0.00'!L36,' 6.0.00'!$AM$4:$AO$55,2,FALSE))*IF(' 6.0.00'!AN$4="是",' 6.0.00'!$AX$4,' 6.0.00'!$AX$3)</f>
        <v>0</v>
      </c>
      <c r="E36" s="4">
        <f>(VLOOKUP(' 6.0.00'!M36,' 6.0.00'!$AM$4:$AO$55,2,FALSE))*IF(' 6.0.00'!AO$4="是",' 6.0.00'!$AX$4,' 6.0.00'!$AX$3)</f>
        <v>0</v>
      </c>
      <c r="F36" s="4">
        <f>(VLOOKUP(' 6.0.00'!N36,' 6.0.00'!$AM$4:$AO$55,2,FALSE))*IF(' 6.0.00'!AP$4="是",' 6.0.00'!$AX$4,' 6.0.00'!$AX$3)</f>
        <v>0</v>
      </c>
      <c r="G36" s="5">
        <f>(VLOOKUP(' 6.0.00'!O36,' 6.0.00'!$AM$4:$AO$55,2,FALSE))*IF(' 6.0.00'!AQ$4="是",' 6.0.00'!$AX$4,' 6.0.00'!$AX$3)</f>
        <v>0</v>
      </c>
      <c r="H36" s="5">
        <f>(VLOOKUP(' 6.0.00'!P36,' 6.0.00'!$AM$4:$AO$55,2,FALSE))*IF(' 6.0.00'!AR$4="是",' 6.0.00'!$AX$4,' 6.0.00'!$AX$3)</f>
        <v>0</v>
      </c>
      <c r="I36" s="4">
        <f>(VLOOKUP(' 6.0.00'!Q36,' 6.0.00'!$AM$4:$AO$55,2,FALSE))*IF(' 6.0.00'!AS$4="是",' 6.0.00'!$AX$4,' 6.0.00'!$AX$3)</f>
        <v>0</v>
      </c>
      <c r="J36" s="4">
        <f>(VLOOKUP(' 6.0.00'!R36,' 6.0.00'!$AM$4:$AO$55,2,FALSE))*IF(' 6.0.00'!AT$4="是",' 6.0.00'!$AX$4,' 6.0.00'!$AX$3)</f>
        <v>0</v>
      </c>
      <c r="K36" s="4">
        <f>(VLOOKUP(' 6.0.00'!S36,' 6.0.00'!$AM$4:$AO$55,2,FALSE))*IF(' 6.0.00'!AU$4="是",' 6.0.00'!$AX$4,' 6.0.00'!$AX$3)</f>
        <v>0</v>
      </c>
      <c r="L36" s="4">
        <f>(VLOOKUP(' 6.0.00'!T36,' 6.0.00'!$AM$4:$AO$55,2,FALSE))*IF(' 6.0.00'!AV$4="是",' 6.0.00'!$AX$4,' 6.0.00'!$AX$3)</f>
        <v>0</v>
      </c>
      <c r="M36" s="4">
        <f>(VLOOKUP(' 6.0.00'!U36,' 6.0.00'!$AM$4:$AO$55,2,FALSE))*IF(' 6.0.00'!AW$4="是",' 6.0.00'!$AX$4,' 6.0.00'!$AX$3)</f>
        <v>0</v>
      </c>
      <c r="N36" s="4">
        <f>(VLOOKUP(' 6.0.00'!V36,' 6.0.00'!$AM$4:$AO$55,2,FALSE))*IF(' 6.0.00'!AX$4="是",' 6.0.00'!$AX$4,' 6.0.00'!$AX$3)</f>
        <v>0</v>
      </c>
      <c r="O36" s="5">
        <f>(VLOOKUP(' 6.0.00'!W36,' 6.0.00'!$AM$4:$AO$55,2,FALSE))*IF(' 6.0.00'!AY$4="是",' 6.0.00'!$AX$4,' 6.0.00'!$AX$3)</f>
        <v>0</v>
      </c>
      <c r="P36" s="5">
        <f>(VLOOKUP(' 6.0.00'!X36,' 6.0.00'!$AM$4:$AO$55,2,FALSE))*IF(' 6.0.00'!AZ$4="是",' 6.0.00'!$AX$4,' 6.0.00'!$AX$3)</f>
        <v>0</v>
      </c>
      <c r="Q36" s="4">
        <f>(VLOOKUP(' 6.0.00'!Y36,' 6.0.00'!$AM$4:$AO$55,2,FALSE))*IF(' 6.0.00'!BA$4="是",' 6.0.00'!$AX$4,' 6.0.00'!$AX$3)</f>
        <v>0</v>
      </c>
      <c r="R36" s="4">
        <f>(VLOOKUP(' 6.0.00'!Z36,' 6.0.00'!$AM$4:$AO$55,2,FALSE))*IF(' 6.0.00'!BB$4="是",' 6.0.00'!$AX$4,' 6.0.00'!$AX$3)</f>
        <v>0</v>
      </c>
      <c r="S36" s="4">
        <f>(VLOOKUP(' 6.0.00'!AA36,' 6.0.00'!$AM$4:$AO$55,2,FALSE))*IF(' 6.0.00'!BC$4="是",' 6.0.00'!$AX$4,' 6.0.00'!$AX$3)</f>
        <v>0</v>
      </c>
      <c r="T36" s="4">
        <f>(VLOOKUP(' 6.0.00'!AB36,' 6.0.00'!$AM$4:$AO$55,2,FALSE))*IF(' 6.0.00'!BD$4="是",' 6.0.00'!$AX$4,' 6.0.00'!$AX$3)</f>
        <v>0</v>
      </c>
      <c r="U36" s="4">
        <f>(VLOOKUP(' 6.0.00'!AC36,' 6.0.00'!$AM$4:$AO$55,2,FALSE))*IF(' 6.0.00'!BE$4="是",' 6.0.00'!$AX$4,' 6.0.00'!$AX$3)</f>
        <v>0</v>
      </c>
      <c r="V36" s="4">
        <f>(VLOOKUP(' 6.0.00'!AD36,' 6.0.00'!$AM$4:$AO$55,2,FALSE))*IF(' 6.0.00'!BF$4="是",' 6.0.00'!$AX$4,' 6.0.00'!$AX$3)</f>
        <v>0</v>
      </c>
      <c r="W36" s="5">
        <f>(VLOOKUP(' 6.0.00'!AE36,' 6.0.00'!$AM$4:$AO$55,2,FALSE))*IF(' 6.0.00'!BG$4="是",' 6.0.00'!$AX$4,' 6.0.00'!$AX$3)</f>
        <v>0</v>
      </c>
      <c r="X36" s="5">
        <f>(VLOOKUP(' 6.0.00'!AF36,' 6.0.00'!$AM$4:$AO$55,2,FALSE))*IF(' 6.0.00'!BH$4="是",' 6.0.00'!$AX$4,' 6.0.00'!$AX$3)</f>
        <v>0</v>
      </c>
    </row>
    <row r="37" spans="1:24">
      <c r="A37" s="4">
        <f>(VLOOKUP(' 6.0.00'!I37,' 6.0.00'!$AM$4:$AO$55,2,FALSE))*IF(' 6.0.00'!AK$4="是",' 6.0.00'!$AX$4,' 6.0.00'!$AX$3)</f>
        <v>0</v>
      </c>
      <c r="B37" s="4">
        <f>(VLOOKUP(' 6.0.00'!J37,' 6.0.00'!$AM$4:$AO$55,2,FALSE))*IF(' 6.0.00'!AL$4="是",' 6.0.00'!$AX$4,' 6.0.00'!$AX$3)</f>
        <v>0</v>
      </c>
      <c r="C37" s="4">
        <f>(VLOOKUP(' 6.0.00'!K37,' 6.0.00'!$AM$4:$AO$55,2,FALSE))*IF(' 6.0.00'!AM$4="是",' 6.0.00'!$AX$4,' 6.0.00'!$AX$3)</f>
        <v>0</v>
      </c>
      <c r="D37" s="4">
        <f>(VLOOKUP(' 6.0.00'!L37,' 6.0.00'!$AM$4:$AO$55,2,FALSE))*IF(' 6.0.00'!AN$4="是",' 6.0.00'!$AX$4,' 6.0.00'!$AX$3)</f>
        <v>0</v>
      </c>
      <c r="E37" s="4">
        <f>(VLOOKUP(' 6.0.00'!M37,' 6.0.00'!$AM$4:$AO$55,2,FALSE))*IF(' 6.0.00'!AO$4="是",' 6.0.00'!$AX$4,' 6.0.00'!$AX$3)</f>
        <v>0</v>
      </c>
      <c r="F37" s="4">
        <f>(VLOOKUP(' 6.0.00'!N37,' 6.0.00'!$AM$4:$AO$55,2,FALSE))*IF(' 6.0.00'!AP$4="是",' 6.0.00'!$AX$4,' 6.0.00'!$AX$3)</f>
        <v>0</v>
      </c>
      <c r="G37" s="5">
        <f>(VLOOKUP(' 6.0.00'!O37,' 6.0.00'!$AM$4:$AO$55,2,FALSE))*IF(' 6.0.00'!AQ$4="是",' 6.0.00'!$AX$4,' 6.0.00'!$AX$3)</f>
        <v>0</v>
      </c>
      <c r="H37" s="5">
        <f>(VLOOKUP(' 6.0.00'!P37,' 6.0.00'!$AM$4:$AO$55,2,FALSE))*IF(' 6.0.00'!AR$4="是",' 6.0.00'!$AX$4,' 6.0.00'!$AX$3)</f>
        <v>0</v>
      </c>
      <c r="I37" s="4">
        <f>(VLOOKUP(' 6.0.00'!Q37,' 6.0.00'!$AM$4:$AO$55,2,FALSE))*IF(' 6.0.00'!AS$4="是",' 6.0.00'!$AX$4,' 6.0.00'!$AX$3)</f>
        <v>0</v>
      </c>
      <c r="J37" s="4">
        <f>(VLOOKUP(' 6.0.00'!R37,' 6.0.00'!$AM$4:$AO$55,2,FALSE))*IF(' 6.0.00'!AT$4="是",' 6.0.00'!$AX$4,' 6.0.00'!$AX$3)</f>
        <v>0</v>
      </c>
      <c r="K37" s="4">
        <f>(VLOOKUP(' 6.0.00'!S37,' 6.0.00'!$AM$4:$AO$55,2,FALSE))*IF(' 6.0.00'!AU$4="是",' 6.0.00'!$AX$4,' 6.0.00'!$AX$3)</f>
        <v>0</v>
      </c>
      <c r="L37" s="4">
        <f>(VLOOKUP(' 6.0.00'!T37,' 6.0.00'!$AM$4:$AO$55,2,FALSE))*IF(' 6.0.00'!AV$4="是",' 6.0.00'!$AX$4,' 6.0.00'!$AX$3)</f>
        <v>0</v>
      </c>
      <c r="M37" s="4">
        <f>(VLOOKUP(' 6.0.00'!U37,' 6.0.00'!$AM$4:$AO$55,2,FALSE))*IF(' 6.0.00'!AW$4="是",' 6.0.00'!$AX$4,' 6.0.00'!$AX$3)</f>
        <v>0</v>
      </c>
      <c r="N37" s="4">
        <f>(VLOOKUP(' 6.0.00'!V37,' 6.0.00'!$AM$4:$AO$55,2,FALSE))*IF(' 6.0.00'!AX$4="是",' 6.0.00'!$AX$4,' 6.0.00'!$AX$3)</f>
        <v>0</v>
      </c>
      <c r="O37" s="5">
        <f>(VLOOKUP(' 6.0.00'!W37,' 6.0.00'!$AM$4:$AO$55,2,FALSE))*IF(' 6.0.00'!AY$4="是",' 6.0.00'!$AX$4,' 6.0.00'!$AX$3)</f>
        <v>0</v>
      </c>
      <c r="P37" s="5">
        <f>(VLOOKUP(' 6.0.00'!X37,' 6.0.00'!$AM$4:$AO$55,2,FALSE))*IF(' 6.0.00'!AZ$4="是",' 6.0.00'!$AX$4,' 6.0.00'!$AX$3)</f>
        <v>0</v>
      </c>
      <c r="Q37" s="4">
        <f>(VLOOKUP(' 6.0.00'!Y37,' 6.0.00'!$AM$4:$AO$55,2,FALSE))*IF(' 6.0.00'!BA$4="是",' 6.0.00'!$AX$4,' 6.0.00'!$AX$3)</f>
        <v>0</v>
      </c>
      <c r="R37" s="4">
        <f>(VLOOKUP(' 6.0.00'!Z37,' 6.0.00'!$AM$4:$AO$55,2,FALSE))*IF(' 6.0.00'!BB$4="是",' 6.0.00'!$AX$4,' 6.0.00'!$AX$3)</f>
        <v>0</v>
      </c>
      <c r="S37" s="4">
        <f>(VLOOKUP(' 6.0.00'!AA37,' 6.0.00'!$AM$4:$AO$55,2,FALSE))*IF(' 6.0.00'!BC$4="是",' 6.0.00'!$AX$4,' 6.0.00'!$AX$3)</f>
        <v>0</v>
      </c>
      <c r="T37" s="4">
        <f>(VLOOKUP(' 6.0.00'!AB37,' 6.0.00'!$AM$4:$AO$55,2,FALSE))*IF(' 6.0.00'!BD$4="是",' 6.0.00'!$AX$4,' 6.0.00'!$AX$3)</f>
        <v>0</v>
      </c>
      <c r="U37" s="4">
        <f>(VLOOKUP(' 6.0.00'!AC37,' 6.0.00'!$AM$4:$AO$55,2,FALSE))*IF(' 6.0.00'!BE$4="是",' 6.0.00'!$AX$4,' 6.0.00'!$AX$3)</f>
        <v>0</v>
      </c>
      <c r="V37" s="4">
        <f>(VLOOKUP(' 6.0.00'!AD37,' 6.0.00'!$AM$4:$AO$55,2,FALSE))*IF(' 6.0.00'!BF$4="是",' 6.0.00'!$AX$4,' 6.0.00'!$AX$3)</f>
        <v>0</v>
      </c>
      <c r="W37" s="5">
        <f>(VLOOKUP(' 6.0.00'!AE37,' 6.0.00'!$AM$4:$AO$55,2,FALSE))*IF(' 6.0.00'!BG$4="是",' 6.0.00'!$AX$4,' 6.0.00'!$AX$3)</f>
        <v>0</v>
      </c>
      <c r="X37" s="5">
        <f>(VLOOKUP(' 6.0.00'!AF37,' 6.0.00'!$AM$4:$AO$55,2,FALSE))*IF(' 6.0.00'!BH$4="是",' 6.0.00'!$AX$4,' 6.0.00'!$AX$3)</f>
        <v>0</v>
      </c>
    </row>
    <row r="38" spans="1:24">
      <c r="A38" s="4">
        <f>(VLOOKUP(' 6.0.00'!I38,' 6.0.00'!$AM$4:$AO$55,2,FALSE))*IF(' 6.0.00'!AK$4="是",' 6.0.00'!$AX$4,' 6.0.00'!$AX$3)</f>
        <v>0</v>
      </c>
      <c r="B38" s="4">
        <f>(VLOOKUP(' 6.0.00'!J38,' 6.0.00'!$AM$4:$AO$55,2,FALSE))*IF(' 6.0.00'!AL$4="是",' 6.0.00'!$AX$4,' 6.0.00'!$AX$3)</f>
        <v>0</v>
      </c>
      <c r="C38" s="4">
        <f>(VLOOKUP(' 6.0.00'!K38,' 6.0.00'!$AM$4:$AO$55,2,FALSE))*IF(' 6.0.00'!AM$4="是",' 6.0.00'!$AX$4,' 6.0.00'!$AX$3)</f>
        <v>0</v>
      </c>
      <c r="D38" s="4">
        <f>(VLOOKUP(' 6.0.00'!L38,' 6.0.00'!$AM$4:$AO$55,2,FALSE))*IF(' 6.0.00'!AN$4="是",' 6.0.00'!$AX$4,' 6.0.00'!$AX$3)</f>
        <v>0</v>
      </c>
      <c r="E38" s="4">
        <f>(VLOOKUP(' 6.0.00'!M38,' 6.0.00'!$AM$4:$AO$55,2,FALSE))*IF(' 6.0.00'!AO$4="是",' 6.0.00'!$AX$4,' 6.0.00'!$AX$3)</f>
        <v>0</v>
      </c>
      <c r="F38" s="4">
        <f>(VLOOKUP(' 6.0.00'!N38,' 6.0.00'!$AM$4:$AO$55,2,FALSE))*IF(' 6.0.00'!AP$4="是",' 6.0.00'!$AX$4,' 6.0.00'!$AX$3)</f>
        <v>0</v>
      </c>
      <c r="G38" s="5">
        <f>(VLOOKUP(' 6.0.00'!O38,' 6.0.00'!$AM$4:$AO$55,2,FALSE))*IF(' 6.0.00'!AQ$4="是",' 6.0.00'!$AX$4,' 6.0.00'!$AX$3)</f>
        <v>0</v>
      </c>
      <c r="H38" s="5">
        <f>(VLOOKUP(' 6.0.00'!P38,' 6.0.00'!$AM$4:$AO$55,2,FALSE))*IF(' 6.0.00'!AR$4="是",' 6.0.00'!$AX$4,' 6.0.00'!$AX$3)</f>
        <v>0</v>
      </c>
      <c r="I38" s="4">
        <f>(VLOOKUP(' 6.0.00'!Q38,' 6.0.00'!$AM$4:$AO$55,2,FALSE))*IF(' 6.0.00'!AS$4="是",' 6.0.00'!$AX$4,' 6.0.00'!$AX$3)</f>
        <v>0</v>
      </c>
      <c r="J38" s="4">
        <f>(VLOOKUP(' 6.0.00'!R38,' 6.0.00'!$AM$4:$AO$55,2,FALSE))*IF(' 6.0.00'!AT$4="是",' 6.0.00'!$AX$4,' 6.0.00'!$AX$3)</f>
        <v>0</v>
      </c>
      <c r="K38" s="4">
        <f>(VLOOKUP(' 6.0.00'!S38,' 6.0.00'!$AM$4:$AO$55,2,FALSE))*IF(' 6.0.00'!AU$4="是",' 6.0.00'!$AX$4,' 6.0.00'!$AX$3)</f>
        <v>0</v>
      </c>
      <c r="L38" s="4">
        <f>(VLOOKUP(' 6.0.00'!T38,' 6.0.00'!$AM$4:$AO$55,2,FALSE))*IF(' 6.0.00'!AV$4="是",' 6.0.00'!$AX$4,' 6.0.00'!$AX$3)</f>
        <v>0</v>
      </c>
      <c r="M38" s="4">
        <f>(VLOOKUP(' 6.0.00'!U38,' 6.0.00'!$AM$4:$AO$55,2,FALSE))*IF(' 6.0.00'!AW$4="是",' 6.0.00'!$AX$4,' 6.0.00'!$AX$3)</f>
        <v>0</v>
      </c>
      <c r="N38" s="4">
        <f>(VLOOKUP(' 6.0.00'!V38,' 6.0.00'!$AM$4:$AO$55,2,FALSE))*IF(' 6.0.00'!AX$4="是",' 6.0.00'!$AX$4,' 6.0.00'!$AX$3)</f>
        <v>0</v>
      </c>
      <c r="O38" s="5">
        <f>(VLOOKUP(' 6.0.00'!W38,' 6.0.00'!$AM$4:$AO$55,2,FALSE))*IF(' 6.0.00'!AY$4="是",' 6.0.00'!$AX$4,' 6.0.00'!$AX$3)</f>
        <v>0</v>
      </c>
      <c r="P38" s="5">
        <f>(VLOOKUP(' 6.0.00'!X38,' 6.0.00'!$AM$4:$AO$55,2,FALSE))*IF(' 6.0.00'!AZ$4="是",' 6.0.00'!$AX$4,' 6.0.00'!$AX$3)</f>
        <v>0</v>
      </c>
      <c r="Q38" s="4">
        <f>(VLOOKUP(' 6.0.00'!Y38,' 6.0.00'!$AM$4:$AO$55,2,FALSE))*IF(' 6.0.00'!BA$4="是",' 6.0.00'!$AX$4,' 6.0.00'!$AX$3)</f>
        <v>0</v>
      </c>
      <c r="R38" s="4">
        <f>(VLOOKUP(' 6.0.00'!Z38,' 6.0.00'!$AM$4:$AO$55,2,FALSE))*IF(' 6.0.00'!BB$4="是",' 6.0.00'!$AX$4,' 6.0.00'!$AX$3)</f>
        <v>0</v>
      </c>
      <c r="S38" s="4">
        <f>(VLOOKUP(' 6.0.00'!AA38,' 6.0.00'!$AM$4:$AO$55,2,FALSE))*IF(' 6.0.00'!BC$4="是",' 6.0.00'!$AX$4,' 6.0.00'!$AX$3)</f>
        <v>0</v>
      </c>
      <c r="T38" s="4">
        <f>(VLOOKUP(' 6.0.00'!AB38,' 6.0.00'!$AM$4:$AO$55,2,FALSE))*IF(' 6.0.00'!BD$4="是",' 6.0.00'!$AX$4,' 6.0.00'!$AX$3)</f>
        <v>0</v>
      </c>
      <c r="U38" s="4">
        <f>(VLOOKUP(' 6.0.00'!AC38,' 6.0.00'!$AM$4:$AO$55,2,FALSE))*IF(' 6.0.00'!BE$4="是",' 6.0.00'!$AX$4,' 6.0.00'!$AX$3)</f>
        <v>0</v>
      </c>
      <c r="V38" s="4">
        <f>(VLOOKUP(' 6.0.00'!AD38,' 6.0.00'!$AM$4:$AO$55,2,FALSE))*IF(' 6.0.00'!BF$4="是",' 6.0.00'!$AX$4,' 6.0.00'!$AX$3)</f>
        <v>0</v>
      </c>
      <c r="W38" s="5">
        <f>(VLOOKUP(' 6.0.00'!AE38,' 6.0.00'!$AM$4:$AO$55,2,FALSE))*IF(' 6.0.00'!BG$4="是",' 6.0.00'!$AX$4,' 6.0.00'!$AX$3)</f>
        <v>0</v>
      </c>
      <c r="X38" s="5">
        <f>(VLOOKUP(' 6.0.00'!AF38,' 6.0.00'!$AM$4:$AO$55,2,FALSE))*IF(' 6.0.00'!BH$4="是",' 6.0.00'!$AX$4,' 6.0.00'!$AX$3)</f>
        <v>0</v>
      </c>
    </row>
    <row r="39" spans="1:24">
      <c r="A39" s="4">
        <f>(VLOOKUP(' 6.0.00'!I39,' 6.0.00'!$AM$4:$AO$55,2,FALSE))*IF(' 6.0.00'!AK$4="是",' 6.0.00'!$AX$4,' 6.0.00'!$AX$3)</f>
        <v>0</v>
      </c>
      <c r="B39" s="4">
        <f>(VLOOKUP(' 6.0.00'!J39,' 6.0.00'!$AM$4:$AO$55,2,FALSE))*IF(' 6.0.00'!AL$4="是",' 6.0.00'!$AX$4,' 6.0.00'!$AX$3)</f>
        <v>0</v>
      </c>
      <c r="C39" s="4">
        <f>(VLOOKUP(' 6.0.00'!K39,' 6.0.00'!$AM$4:$AO$55,2,FALSE))*IF(' 6.0.00'!AM$4="是",' 6.0.00'!$AX$4,' 6.0.00'!$AX$3)</f>
        <v>0</v>
      </c>
      <c r="D39" s="4">
        <f>(VLOOKUP(' 6.0.00'!L39,' 6.0.00'!$AM$4:$AO$55,2,FALSE))*IF(' 6.0.00'!AN$4="是",' 6.0.00'!$AX$4,' 6.0.00'!$AX$3)</f>
        <v>0</v>
      </c>
      <c r="E39" s="4">
        <f>(VLOOKUP(' 6.0.00'!M39,' 6.0.00'!$AM$4:$AO$55,2,FALSE))*IF(' 6.0.00'!AO$4="是",' 6.0.00'!$AX$4,' 6.0.00'!$AX$3)</f>
        <v>0</v>
      </c>
      <c r="F39" s="4">
        <f>(VLOOKUP(' 6.0.00'!N39,' 6.0.00'!$AM$4:$AO$55,2,FALSE))*IF(' 6.0.00'!AP$4="是",' 6.0.00'!$AX$4,' 6.0.00'!$AX$3)</f>
        <v>0</v>
      </c>
      <c r="G39" s="5">
        <f>(VLOOKUP(' 6.0.00'!O39,' 6.0.00'!$AM$4:$AO$55,2,FALSE))*IF(' 6.0.00'!AQ$4="是",' 6.0.00'!$AX$4,' 6.0.00'!$AX$3)</f>
        <v>0</v>
      </c>
      <c r="H39" s="5">
        <f>(VLOOKUP(' 6.0.00'!P39,' 6.0.00'!$AM$4:$AO$55,2,FALSE))*IF(' 6.0.00'!AR$4="是",' 6.0.00'!$AX$4,' 6.0.00'!$AX$3)</f>
        <v>0</v>
      </c>
      <c r="I39" s="4">
        <f>(VLOOKUP(' 6.0.00'!Q39,' 6.0.00'!$AM$4:$AO$55,2,FALSE))*IF(' 6.0.00'!AS$4="是",' 6.0.00'!$AX$4,' 6.0.00'!$AX$3)</f>
        <v>0</v>
      </c>
      <c r="J39" s="4">
        <f>(VLOOKUP(' 6.0.00'!R39,' 6.0.00'!$AM$4:$AO$55,2,FALSE))*IF(' 6.0.00'!AT$4="是",' 6.0.00'!$AX$4,' 6.0.00'!$AX$3)</f>
        <v>0</v>
      </c>
      <c r="K39" s="4">
        <f>(VLOOKUP(' 6.0.00'!S39,' 6.0.00'!$AM$4:$AO$55,2,FALSE))*IF(' 6.0.00'!AU$4="是",' 6.0.00'!$AX$4,' 6.0.00'!$AX$3)</f>
        <v>0</v>
      </c>
      <c r="L39" s="4">
        <f>(VLOOKUP(' 6.0.00'!T39,' 6.0.00'!$AM$4:$AO$55,2,FALSE))*IF(' 6.0.00'!AV$4="是",' 6.0.00'!$AX$4,' 6.0.00'!$AX$3)</f>
        <v>0</v>
      </c>
      <c r="M39" s="4">
        <f>(VLOOKUP(' 6.0.00'!U39,' 6.0.00'!$AM$4:$AO$55,2,FALSE))*IF(' 6.0.00'!AW$4="是",' 6.0.00'!$AX$4,' 6.0.00'!$AX$3)</f>
        <v>0</v>
      </c>
      <c r="N39" s="4">
        <f>(VLOOKUP(' 6.0.00'!V39,' 6.0.00'!$AM$4:$AO$55,2,FALSE))*IF(' 6.0.00'!AX$4="是",' 6.0.00'!$AX$4,' 6.0.00'!$AX$3)</f>
        <v>0</v>
      </c>
      <c r="O39" s="5">
        <f>(VLOOKUP(' 6.0.00'!W39,' 6.0.00'!$AM$4:$AO$55,2,FALSE))*IF(' 6.0.00'!AY$4="是",' 6.0.00'!$AX$4,' 6.0.00'!$AX$3)</f>
        <v>0</v>
      </c>
      <c r="P39" s="5">
        <f>(VLOOKUP(' 6.0.00'!X39,' 6.0.00'!$AM$4:$AO$55,2,FALSE))*IF(' 6.0.00'!AZ$4="是",' 6.0.00'!$AX$4,' 6.0.00'!$AX$3)</f>
        <v>0</v>
      </c>
      <c r="Q39" s="4">
        <f>(VLOOKUP(' 6.0.00'!Y39,' 6.0.00'!$AM$4:$AO$55,2,FALSE))*IF(' 6.0.00'!BA$4="是",' 6.0.00'!$AX$4,' 6.0.00'!$AX$3)</f>
        <v>0</v>
      </c>
      <c r="R39" s="4">
        <f>(VLOOKUP(' 6.0.00'!Z39,' 6.0.00'!$AM$4:$AO$55,2,FALSE))*IF(' 6.0.00'!BB$4="是",' 6.0.00'!$AX$4,' 6.0.00'!$AX$3)</f>
        <v>0</v>
      </c>
      <c r="S39" s="4">
        <f>(VLOOKUP(' 6.0.00'!AA39,' 6.0.00'!$AM$4:$AO$55,2,FALSE))*IF(' 6.0.00'!BC$4="是",' 6.0.00'!$AX$4,' 6.0.00'!$AX$3)</f>
        <v>0</v>
      </c>
      <c r="T39" s="4">
        <f>(VLOOKUP(' 6.0.00'!AB39,' 6.0.00'!$AM$4:$AO$55,2,FALSE))*IF(' 6.0.00'!BD$4="是",' 6.0.00'!$AX$4,' 6.0.00'!$AX$3)</f>
        <v>0</v>
      </c>
      <c r="U39" s="4">
        <f>(VLOOKUP(' 6.0.00'!AC39,' 6.0.00'!$AM$4:$AO$55,2,FALSE))*IF(' 6.0.00'!BE$4="是",' 6.0.00'!$AX$4,' 6.0.00'!$AX$3)</f>
        <v>0</v>
      </c>
      <c r="V39" s="4">
        <f>(VLOOKUP(' 6.0.00'!AD39,' 6.0.00'!$AM$4:$AO$55,2,FALSE))*IF(' 6.0.00'!BF$4="是",' 6.0.00'!$AX$4,' 6.0.00'!$AX$3)</f>
        <v>0</v>
      </c>
      <c r="W39" s="5">
        <f>(VLOOKUP(' 6.0.00'!AE39,' 6.0.00'!$AM$4:$AO$55,2,FALSE))*IF(' 6.0.00'!BG$4="是",' 6.0.00'!$AX$4,' 6.0.00'!$AX$3)</f>
        <v>0</v>
      </c>
      <c r="X39" s="5">
        <f>(VLOOKUP(' 6.0.00'!AF39,' 6.0.00'!$AM$4:$AO$55,2,FALSE))*IF(' 6.0.00'!BH$4="是",' 6.0.00'!$AX$4,' 6.0.00'!$AX$3)</f>
        <v>0</v>
      </c>
    </row>
    <row r="40" spans="1:24">
      <c r="A40" s="4">
        <f>(VLOOKUP(' 6.0.00'!I40,' 6.0.00'!$AM$4:$AO$55,2,FALSE))*IF(' 6.0.00'!AK$4="是",' 6.0.00'!$AX$4,' 6.0.00'!$AX$3)</f>
        <v>0</v>
      </c>
      <c r="B40" s="4">
        <f>(VLOOKUP(' 6.0.00'!J40,' 6.0.00'!$AM$4:$AO$55,2,FALSE))*IF(' 6.0.00'!AL$4="是",' 6.0.00'!$AX$4,' 6.0.00'!$AX$3)</f>
        <v>0</v>
      </c>
      <c r="C40" s="4">
        <f>(VLOOKUP(' 6.0.00'!K40,' 6.0.00'!$AM$4:$AO$55,2,FALSE))*IF(' 6.0.00'!AM$4="是",' 6.0.00'!$AX$4,' 6.0.00'!$AX$3)</f>
        <v>0</v>
      </c>
      <c r="D40" s="4">
        <f>(VLOOKUP(' 6.0.00'!L40,' 6.0.00'!$AM$4:$AO$55,2,FALSE))*IF(' 6.0.00'!AN$4="是",' 6.0.00'!$AX$4,' 6.0.00'!$AX$3)</f>
        <v>0</v>
      </c>
      <c r="E40" s="4">
        <f>(VLOOKUP(' 6.0.00'!M40,' 6.0.00'!$AM$4:$AO$55,2,FALSE))*IF(' 6.0.00'!AO$4="是",' 6.0.00'!$AX$4,' 6.0.00'!$AX$3)</f>
        <v>0</v>
      </c>
      <c r="F40" s="4">
        <f>(VLOOKUP(' 6.0.00'!N40,' 6.0.00'!$AM$4:$AO$55,2,FALSE))*IF(' 6.0.00'!AP$4="是",' 6.0.00'!$AX$4,' 6.0.00'!$AX$3)</f>
        <v>0</v>
      </c>
      <c r="G40" s="5">
        <f>(VLOOKUP(' 6.0.00'!O40,' 6.0.00'!$AM$4:$AO$55,2,FALSE))*IF(' 6.0.00'!AQ$4="是",' 6.0.00'!$AX$4,' 6.0.00'!$AX$3)</f>
        <v>0</v>
      </c>
      <c r="H40" s="5">
        <f>(VLOOKUP(' 6.0.00'!P40,' 6.0.00'!$AM$4:$AO$55,2,FALSE))*IF(' 6.0.00'!AR$4="是",' 6.0.00'!$AX$4,' 6.0.00'!$AX$3)</f>
        <v>0</v>
      </c>
      <c r="I40" s="4">
        <f>(VLOOKUP(' 6.0.00'!Q40,' 6.0.00'!$AM$4:$AO$55,2,FALSE))*IF(' 6.0.00'!AS$4="是",' 6.0.00'!$AX$4,' 6.0.00'!$AX$3)</f>
        <v>0</v>
      </c>
      <c r="J40" s="4">
        <f>(VLOOKUP(' 6.0.00'!R40,' 6.0.00'!$AM$4:$AO$55,2,FALSE))*IF(' 6.0.00'!AT$4="是",' 6.0.00'!$AX$4,' 6.0.00'!$AX$3)</f>
        <v>0</v>
      </c>
      <c r="K40" s="4">
        <f>(VLOOKUP(' 6.0.00'!S40,' 6.0.00'!$AM$4:$AO$55,2,FALSE))*IF(' 6.0.00'!AU$4="是",' 6.0.00'!$AX$4,' 6.0.00'!$AX$3)</f>
        <v>0</v>
      </c>
      <c r="L40" s="4">
        <f>(VLOOKUP(' 6.0.00'!T40,' 6.0.00'!$AM$4:$AO$55,2,FALSE))*IF(' 6.0.00'!AV$4="是",' 6.0.00'!$AX$4,' 6.0.00'!$AX$3)</f>
        <v>0</v>
      </c>
      <c r="M40" s="4">
        <f>(VLOOKUP(' 6.0.00'!U40,' 6.0.00'!$AM$4:$AO$55,2,FALSE))*IF(' 6.0.00'!AW$4="是",' 6.0.00'!$AX$4,' 6.0.00'!$AX$3)</f>
        <v>0</v>
      </c>
      <c r="N40" s="4">
        <f>(VLOOKUP(' 6.0.00'!V40,' 6.0.00'!$AM$4:$AO$55,2,FALSE))*IF(' 6.0.00'!AX$4="是",' 6.0.00'!$AX$4,' 6.0.00'!$AX$3)</f>
        <v>0</v>
      </c>
      <c r="O40" s="5">
        <f>(VLOOKUP(' 6.0.00'!W40,' 6.0.00'!$AM$4:$AO$55,2,FALSE))*IF(' 6.0.00'!AY$4="是",' 6.0.00'!$AX$4,' 6.0.00'!$AX$3)</f>
        <v>0</v>
      </c>
      <c r="P40" s="5">
        <f>(VLOOKUP(' 6.0.00'!X40,' 6.0.00'!$AM$4:$AO$55,2,FALSE))*IF(' 6.0.00'!AZ$4="是",' 6.0.00'!$AX$4,' 6.0.00'!$AX$3)</f>
        <v>0</v>
      </c>
      <c r="Q40" s="4">
        <f>(VLOOKUP(' 6.0.00'!Y40,' 6.0.00'!$AM$4:$AO$55,2,FALSE))*IF(' 6.0.00'!BA$4="是",' 6.0.00'!$AX$4,' 6.0.00'!$AX$3)</f>
        <v>0</v>
      </c>
      <c r="R40" s="4">
        <f>(VLOOKUP(' 6.0.00'!Z40,' 6.0.00'!$AM$4:$AO$55,2,FALSE))*IF(' 6.0.00'!BB$4="是",' 6.0.00'!$AX$4,' 6.0.00'!$AX$3)</f>
        <v>0</v>
      </c>
      <c r="S40" s="4">
        <f>(VLOOKUP(' 6.0.00'!AA40,' 6.0.00'!$AM$4:$AO$55,2,FALSE))*IF(' 6.0.00'!BC$4="是",' 6.0.00'!$AX$4,' 6.0.00'!$AX$3)</f>
        <v>0</v>
      </c>
      <c r="T40" s="4">
        <f>(VLOOKUP(' 6.0.00'!AB40,' 6.0.00'!$AM$4:$AO$55,2,FALSE))*IF(' 6.0.00'!BD$4="是",' 6.0.00'!$AX$4,' 6.0.00'!$AX$3)</f>
        <v>0</v>
      </c>
      <c r="U40" s="4">
        <f>(VLOOKUP(' 6.0.00'!AC40,' 6.0.00'!$AM$4:$AO$55,2,FALSE))*IF(' 6.0.00'!BE$4="是",' 6.0.00'!$AX$4,' 6.0.00'!$AX$3)</f>
        <v>0</v>
      </c>
      <c r="V40" s="4">
        <f>(VLOOKUP(' 6.0.00'!AD40,' 6.0.00'!$AM$4:$AO$55,2,FALSE))*IF(' 6.0.00'!BF$4="是",' 6.0.00'!$AX$4,' 6.0.00'!$AX$3)</f>
        <v>0</v>
      </c>
      <c r="W40" s="5">
        <f>(VLOOKUP(' 6.0.00'!AE40,' 6.0.00'!$AM$4:$AO$55,2,FALSE))*IF(' 6.0.00'!BG$4="是",' 6.0.00'!$AX$4,' 6.0.00'!$AX$3)</f>
        <v>0</v>
      </c>
      <c r="X40" s="5">
        <f>(VLOOKUP(' 6.0.00'!AF40,' 6.0.00'!$AM$4:$AO$55,2,FALSE))*IF(' 6.0.00'!BH$4="是",' 6.0.00'!$AX$4,' 6.0.00'!$AX$3)</f>
        <v>0</v>
      </c>
    </row>
    <row r="41" spans="1:24">
      <c r="A41" s="4">
        <f>(VLOOKUP(' 6.0.00'!I41,' 6.0.00'!$AM$4:$AO$55,2,FALSE))*IF(' 6.0.00'!AK$4="是",' 6.0.00'!$AX$4,' 6.0.00'!$AX$3)</f>
        <v>0</v>
      </c>
      <c r="B41" s="4">
        <f>(VLOOKUP(' 6.0.00'!J41,' 6.0.00'!$AM$4:$AO$55,2,FALSE))*IF(' 6.0.00'!AL$4="是",' 6.0.00'!$AX$4,' 6.0.00'!$AX$3)</f>
        <v>0</v>
      </c>
      <c r="C41" s="4">
        <f>(VLOOKUP(' 6.0.00'!K41,' 6.0.00'!$AM$4:$AO$55,2,FALSE))*IF(' 6.0.00'!AM$4="是",' 6.0.00'!$AX$4,' 6.0.00'!$AX$3)</f>
        <v>0</v>
      </c>
      <c r="D41" s="4">
        <f>(VLOOKUP(' 6.0.00'!L41,' 6.0.00'!$AM$4:$AO$55,2,FALSE))*IF(' 6.0.00'!AN$4="是",' 6.0.00'!$AX$4,' 6.0.00'!$AX$3)</f>
        <v>0</v>
      </c>
      <c r="E41" s="4">
        <f>(VLOOKUP(' 6.0.00'!M41,' 6.0.00'!$AM$4:$AO$55,2,FALSE))*IF(' 6.0.00'!AO$4="是",' 6.0.00'!$AX$4,' 6.0.00'!$AX$3)</f>
        <v>0</v>
      </c>
      <c r="F41" s="4">
        <f>(VLOOKUP(' 6.0.00'!N41,' 6.0.00'!$AM$4:$AO$55,2,FALSE))*IF(' 6.0.00'!AP$4="是",' 6.0.00'!$AX$4,' 6.0.00'!$AX$3)</f>
        <v>0</v>
      </c>
      <c r="G41" s="5">
        <f>(VLOOKUP(' 6.0.00'!O41,' 6.0.00'!$AM$4:$AO$55,2,FALSE))*IF(' 6.0.00'!AQ$4="是",' 6.0.00'!$AX$4,' 6.0.00'!$AX$3)</f>
        <v>0</v>
      </c>
      <c r="H41" s="5">
        <f>(VLOOKUP(' 6.0.00'!P41,' 6.0.00'!$AM$4:$AO$55,2,FALSE))*IF(' 6.0.00'!AR$4="是",' 6.0.00'!$AX$4,' 6.0.00'!$AX$3)</f>
        <v>0</v>
      </c>
      <c r="I41" s="4">
        <f>(VLOOKUP(' 6.0.00'!Q41,' 6.0.00'!$AM$4:$AO$55,2,FALSE))*IF(' 6.0.00'!AS$4="是",' 6.0.00'!$AX$4,' 6.0.00'!$AX$3)</f>
        <v>0</v>
      </c>
      <c r="J41" s="4">
        <f>(VLOOKUP(' 6.0.00'!R41,' 6.0.00'!$AM$4:$AO$55,2,FALSE))*IF(' 6.0.00'!AT$4="是",' 6.0.00'!$AX$4,' 6.0.00'!$AX$3)</f>
        <v>0</v>
      </c>
      <c r="K41" s="4">
        <f>(VLOOKUP(' 6.0.00'!S41,' 6.0.00'!$AM$4:$AO$55,2,FALSE))*IF(' 6.0.00'!AU$4="是",' 6.0.00'!$AX$4,' 6.0.00'!$AX$3)</f>
        <v>0</v>
      </c>
      <c r="L41" s="4">
        <f>(VLOOKUP(' 6.0.00'!T41,' 6.0.00'!$AM$4:$AO$55,2,FALSE))*IF(' 6.0.00'!AV$4="是",' 6.0.00'!$AX$4,' 6.0.00'!$AX$3)</f>
        <v>0</v>
      </c>
      <c r="M41" s="4">
        <f>(VLOOKUP(' 6.0.00'!U41,' 6.0.00'!$AM$4:$AO$55,2,FALSE))*IF(' 6.0.00'!AW$4="是",' 6.0.00'!$AX$4,' 6.0.00'!$AX$3)</f>
        <v>0</v>
      </c>
      <c r="N41" s="4">
        <f>(VLOOKUP(' 6.0.00'!V41,' 6.0.00'!$AM$4:$AO$55,2,FALSE))*IF(' 6.0.00'!AX$4="是",' 6.0.00'!$AX$4,' 6.0.00'!$AX$3)</f>
        <v>0</v>
      </c>
      <c r="O41" s="5">
        <f>(VLOOKUP(' 6.0.00'!W41,' 6.0.00'!$AM$4:$AO$55,2,FALSE))*IF(' 6.0.00'!AY$4="是",' 6.0.00'!$AX$4,' 6.0.00'!$AX$3)</f>
        <v>0</v>
      </c>
      <c r="P41" s="5">
        <f>(VLOOKUP(' 6.0.00'!X41,' 6.0.00'!$AM$4:$AO$55,2,FALSE))*IF(' 6.0.00'!AZ$4="是",' 6.0.00'!$AX$4,' 6.0.00'!$AX$3)</f>
        <v>0</v>
      </c>
      <c r="Q41" s="4">
        <f>(VLOOKUP(' 6.0.00'!Y41,' 6.0.00'!$AM$4:$AO$55,2,FALSE))*IF(' 6.0.00'!BA$4="是",' 6.0.00'!$AX$4,' 6.0.00'!$AX$3)</f>
        <v>0</v>
      </c>
      <c r="R41" s="4">
        <f>(VLOOKUP(' 6.0.00'!Z41,' 6.0.00'!$AM$4:$AO$55,2,FALSE))*IF(' 6.0.00'!BB$4="是",' 6.0.00'!$AX$4,' 6.0.00'!$AX$3)</f>
        <v>0</v>
      </c>
      <c r="S41" s="4">
        <f>(VLOOKUP(' 6.0.00'!AA41,' 6.0.00'!$AM$4:$AO$55,2,FALSE))*IF(' 6.0.00'!BC$4="是",' 6.0.00'!$AX$4,' 6.0.00'!$AX$3)</f>
        <v>0</v>
      </c>
      <c r="T41" s="4">
        <f>(VLOOKUP(' 6.0.00'!AB41,' 6.0.00'!$AM$4:$AO$55,2,FALSE))*IF(' 6.0.00'!BD$4="是",' 6.0.00'!$AX$4,' 6.0.00'!$AX$3)</f>
        <v>0</v>
      </c>
      <c r="U41" s="4">
        <f>(VLOOKUP(' 6.0.00'!AC41,' 6.0.00'!$AM$4:$AO$55,2,FALSE))*IF(' 6.0.00'!BE$4="是",' 6.0.00'!$AX$4,' 6.0.00'!$AX$3)</f>
        <v>0</v>
      </c>
      <c r="V41" s="4">
        <f>(VLOOKUP(' 6.0.00'!AD41,' 6.0.00'!$AM$4:$AO$55,2,FALSE))*IF(' 6.0.00'!BF$4="是",' 6.0.00'!$AX$4,' 6.0.00'!$AX$3)</f>
        <v>0</v>
      </c>
      <c r="W41" s="5">
        <f>(VLOOKUP(' 6.0.00'!AE41,' 6.0.00'!$AM$4:$AO$55,2,FALSE))*IF(' 6.0.00'!BG$4="是",' 6.0.00'!$AX$4,' 6.0.00'!$AX$3)</f>
        <v>0</v>
      </c>
      <c r="X41" s="5">
        <f>(VLOOKUP(' 6.0.00'!AF41,' 6.0.00'!$AM$4:$AO$55,2,FALSE))*IF(' 6.0.00'!BH$4="是",' 6.0.00'!$AX$4,' 6.0.00'!$AX$3)</f>
        <v>0</v>
      </c>
    </row>
    <row r="42" spans="1:24">
      <c r="A42" s="4">
        <f>(VLOOKUP(' 6.0.00'!I42,' 6.0.00'!$AM$4:$AO$55,2,FALSE))*IF(' 6.0.00'!AK$4="是",' 6.0.00'!$AX$4,' 6.0.00'!$AX$3)</f>
        <v>0</v>
      </c>
      <c r="B42" s="4">
        <f>(VLOOKUP(' 6.0.00'!J42,' 6.0.00'!$AM$4:$AO$55,2,FALSE))*IF(' 6.0.00'!AL$4="是",' 6.0.00'!$AX$4,' 6.0.00'!$AX$3)</f>
        <v>0</v>
      </c>
      <c r="C42" s="4">
        <f>(VLOOKUP(' 6.0.00'!K42,' 6.0.00'!$AM$4:$AO$55,2,FALSE))*IF(' 6.0.00'!AM$4="是",' 6.0.00'!$AX$4,' 6.0.00'!$AX$3)</f>
        <v>0</v>
      </c>
      <c r="D42" s="4">
        <f>(VLOOKUP(' 6.0.00'!L42,' 6.0.00'!$AM$4:$AO$55,2,FALSE))*IF(' 6.0.00'!AN$4="是",' 6.0.00'!$AX$4,' 6.0.00'!$AX$3)</f>
        <v>0</v>
      </c>
      <c r="E42" s="4">
        <f>(VLOOKUP(' 6.0.00'!M42,' 6.0.00'!$AM$4:$AO$55,2,FALSE))*IF(' 6.0.00'!AO$4="是",' 6.0.00'!$AX$4,' 6.0.00'!$AX$3)</f>
        <v>0</v>
      </c>
      <c r="F42" s="4">
        <f>(VLOOKUP(' 6.0.00'!N42,' 6.0.00'!$AM$4:$AO$55,2,FALSE))*IF(' 6.0.00'!AP$4="是",' 6.0.00'!$AX$4,' 6.0.00'!$AX$3)</f>
        <v>0</v>
      </c>
      <c r="G42" s="5">
        <f>(VLOOKUP(' 6.0.00'!O42,' 6.0.00'!$AM$4:$AO$55,2,FALSE))*IF(' 6.0.00'!AQ$4="是",' 6.0.00'!$AX$4,' 6.0.00'!$AX$3)</f>
        <v>0</v>
      </c>
      <c r="H42" s="5">
        <f>(VLOOKUP(' 6.0.00'!P42,' 6.0.00'!$AM$4:$AO$55,2,FALSE))*IF(' 6.0.00'!AR$4="是",' 6.0.00'!$AX$4,' 6.0.00'!$AX$3)</f>
        <v>0</v>
      </c>
      <c r="I42" s="4">
        <f>(VLOOKUP(' 6.0.00'!Q42,' 6.0.00'!$AM$4:$AO$55,2,FALSE))*IF(' 6.0.00'!AS$4="是",' 6.0.00'!$AX$4,' 6.0.00'!$AX$3)</f>
        <v>0</v>
      </c>
      <c r="J42" s="4">
        <f>(VLOOKUP(' 6.0.00'!R42,' 6.0.00'!$AM$4:$AO$55,2,FALSE))*IF(' 6.0.00'!AT$4="是",' 6.0.00'!$AX$4,' 6.0.00'!$AX$3)</f>
        <v>0</v>
      </c>
      <c r="K42" s="4">
        <f>(VLOOKUP(' 6.0.00'!S42,' 6.0.00'!$AM$4:$AO$55,2,FALSE))*IF(' 6.0.00'!AU$4="是",' 6.0.00'!$AX$4,' 6.0.00'!$AX$3)</f>
        <v>0</v>
      </c>
      <c r="L42" s="4">
        <f>(VLOOKUP(' 6.0.00'!T42,' 6.0.00'!$AM$4:$AO$55,2,FALSE))*IF(' 6.0.00'!AV$4="是",' 6.0.00'!$AX$4,' 6.0.00'!$AX$3)</f>
        <v>0</v>
      </c>
      <c r="M42" s="4">
        <f>(VLOOKUP(' 6.0.00'!U42,' 6.0.00'!$AM$4:$AO$55,2,FALSE))*IF(' 6.0.00'!AW$4="是",' 6.0.00'!$AX$4,' 6.0.00'!$AX$3)</f>
        <v>0</v>
      </c>
      <c r="N42" s="4">
        <f>(VLOOKUP(' 6.0.00'!V42,' 6.0.00'!$AM$4:$AO$55,2,FALSE))*IF(' 6.0.00'!AX$4="是",' 6.0.00'!$AX$4,' 6.0.00'!$AX$3)</f>
        <v>0</v>
      </c>
      <c r="O42" s="5">
        <f>(VLOOKUP(' 6.0.00'!W42,' 6.0.00'!$AM$4:$AO$55,2,FALSE))*IF(' 6.0.00'!AY$4="是",' 6.0.00'!$AX$4,' 6.0.00'!$AX$3)</f>
        <v>0</v>
      </c>
      <c r="P42" s="5">
        <f>(VLOOKUP(' 6.0.00'!X42,' 6.0.00'!$AM$4:$AO$55,2,FALSE))*IF(' 6.0.00'!AZ$4="是",' 6.0.00'!$AX$4,' 6.0.00'!$AX$3)</f>
        <v>0</v>
      </c>
      <c r="Q42" s="4">
        <f>(VLOOKUP(' 6.0.00'!Y42,' 6.0.00'!$AM$4:$AO$55,2,FALSE))*IF(' 6.0.00'!BA$4="是",' 6.0.00'!$AX$4,' 6.0.00'!$AX$3)</f>
        <v>0</v>
      </c>
      <c r="R42" s="4">
        <f>(VLOOKUP(' 6.0.00'!Z42,' 6.0.00'!$AM$4:$AO$55,2,FALSE))*IF(' 6.0.00'!BB$4="是",' 6.0.00'!$AX$4,' 6.0.00'!$AX$3)</f>
        <v>0</v>
      </c>
      <c r="S42" s="4">
        <f>(VLOOKUP(' 6.0.00'!AA42,' 6.0.00'!$AM$4:$AO$55,2,FALSE))*IF(' 6.0.00'!BC$4="是",' 6.0.00'!$AX$4,' 6.0.00'!$AX$3)</f>
        <v>0</v>
      </c>
      <c r="T42" s="4">
        <f>(VLOOKUP(' 6.0.00'!AB42,' 6.0.00'!$AM$4:$AO$55,2,FALSE))*IF(' 6.0.00'!BD$4="是",' 6.0.00'!$AX$4,' 6.0.00'!$AX$3)</f>
        <v>0</v>
      </c>
      <c r="U42" s="4">
        <f>(VLOOKUP(' 6.0.00'!AC42,' 6.0.00'!$AM$4:$AO$55,2,FALSE))*IF(' 6.0.00'!BE$4="是",' 6.0.00'!$AX$4,' 6.0.00'!$AX$3)</f>
        <v>0</v>
      </c>
      <c r="V42" s="4">
        <f>(VLOOKUP(' 6.0.00'!AD42,' 6.0.00'!$AM$4:$AO$55,2,FALSE))*IF(' 6.0.00'!BF$4="是",' 6.0.00'!$AX$4,' 6.0.00'!$AX$3)</f>
        <v>0</v>
      </c>
      <c r="W42" s="5">
        <f>(VLOOKUP(' 6.0.00'!AE42,' 6.0.00'!$AM$4:$AO$55,2,FALSE))*IF(' 6.0.00'!BG$4="是",' 6.0.00'!$AX$4,' 6.0.00'!$AX$3)</f>
        <v>0</v>
      </c>
      <c r="X42" s="5">
        <f>(VLOOKUP(' 6.0.00'!AF42,' 6.0.00'!$AM$4:$AO$55,2,FALSE))*IF(' 6.0.00'!BH$4="是",' 6.0.00'!$AX$4,' 6.0.00'!$AX$3)</f>
        <v>0</v>
      </c>
    </row>
    <row r="43" spans="1:24">
      <c r="A43" s="4">
        <f>(VLOOKUP(' 6.0.00'!I43,' 6.0.00'!$AM$4:$AO$55,2,FALSE))*IF(' 6.0.00'!AK$4="是",' 6.0.00'!$AX$4,' 6.0.00'!$AX$3)</f>
        <v>0</v>
      </c>
      <c r="B43" s="4">
        <f>(VLOOKUP(' 6.0.00'!J43,' 6.0.00'!$AM$4:$AO$55,2,FALSE))*IF(' 6.0.00'!AL$4="是",' 6.0.00'!$AX$4,' 6.0.00'!$AX$3)</f>
        <v>0</v>
      </c>
      <c r="C43" s="4">
        <f>(VLOOKUP(' 6.0.00'!K43,' 6.0.00'!$AM$4:$AO$55,2,FALSE))*IF(' 6.0.00'!AM$4="是",' 6.0.00'!$AX$4,' 6.0.00'!$AX$3)</f>
        <v>0</v>
      </c>
      <c r="D43" s="4">
        <f>(VLOOKUP(' 6.0.00'!L43,' 6.0.00'!$AM$4:$AO$55,2,FALSE))*IF(' 6.0.00'!AN$4="是",' 6.0.00'!$AX$4,' 6.0.00'!$AX$3)</f>
        <v>0</v>
      </c>
      <c r="E43" s="4">
        <f>(VLOOKUP(' 6.0.00'!M43,' 6.0.00'!$AM$4:$AO$55,2,FALSE))*IF(' 6.0.00'!AO$4="是",' 6.0.00'!$AX$4,' 6.0.00'!$AX$3)</f>
        <v>0</v>
      </c>
      <c r="F43" s="4">
        <f>(VLOOKUP(' 6.0.00'!N43,' 6.0.00'!$AM$4:$AO$55,2,FALSE))*IF(' 6.0.00'!AP$4="是",' 6.0.00'!$AX$4,' 6.0.00'!$AX$3)</f>
        <v>0</v>
      </c>
      <c r="G43" s="5">
        <f>(VLOOKUP(' 6.0.00'!O43,' 6.0.00'!$AM$4:$AO$55,2,FALSE))*IF(' 6.0.00'!AQ$4="是",' 6.0.00'!$AX$4,' 6.0.00'!$AX$3)</f>
        <v>0</v>
      </c>
      <c r="H43" s="5">
        <f>(VLOOKUP(' 6.0.00'!P43,' 6.0.00'!$AM$4:$AO$55,2,FALSE))*IF(' 6.0.00'!AR$4="是",' 6.0.00'!$AX$4,' 6.0.00'!$AX$3)</f>
        <v>0</v>
      </c>
      <c r="I43" s="4">
        <f>(VLOOKUP(' 6.0.00'!Q43,' 6.0.00'!$AM$4:$AO$55,2,FALSE))*IF(' 6.0.00'!AS$4="是",' 6.0.00'!$AX$4,' 6.0.00'!$AX$3)</f>
        <v>0</v>
      </c>
      <c r="J43" s="4">
        <f>(VLOOKUP(' 6.0.00'!R43,' 6.0.00'!$AM$4:$AO$55,2,FALSE))*IF(' 6.0.00'!AT$4="是",' 6.0.00'!$AX$4,' 6.0.00'!$AX$3)</f>
        <v>0</v>
      </c>
      <c r="K43" s="4">
        <f>(VLOOKUP(' 6.0.00'!S43,' 6.0.00'!$AM$4:$AO$55,2,FALSE))*IF(' 6.0.00'!AU$4="是",' 6.0.00'!$AX$4,' 6.0.00'!$AX$3)</f>
        <v>0</v>
      </c>
      <c r="L43" s="4">
        <f>(VLOOKUP(' 6.0.00'!T43,' 6.0.00'!$AM$4:$AO$55,2,FALSE))*IF(' 6.0.00'!AV$4="是",' 6.0.00'!$AX$4,' 6.0.00'!$AX$3)</f>
        <v>0</v>
      </c>
      <c r="M43" s="4">
        <f>(VLOOKUP(' 6.0.00'!U43,' 6.0.00'!$AM$4:$AO$55,2,FALSE))*IF(' 6.0.00'!AW$4="是",' 6.0.00'!$AX$4,' 6.0.00'!$AX$3)</f>
        <v>0</v>
      </c>
      <c r="N43" s="4">
        <f>(VLOOKUP(' 6.0.00'!V43,' 6.0.00'!$AM$4:$AO$55,2,FALSE))*IF(' 6.0.00'!AX$4="是",' 6.0.00'!$AX$4,' 6.0.00'!$AX$3)</f>
        <v>0</v>
      </c>
      <c r="O43" s="5">
        <f>(VLOOKUP(' 6.0.00'!W43,' 6.0.00'!$AM$4:$AO$55,2,FALSE))*IF(' 6.0.00'!AY$4="是",' 6.0.00'!$AX$4,' 6.0.00'!$AX$3)</f>
        <v>0</v>
      </c>
      <c r="P43" s="5">
        <f>(VLOOKUP(' 6.0.00'!X43,' 6.0.00'!$AM$4:$AO$55,2,FALSE))*IF(' 6.0.00'!AZ$4="是",' 6.0.00'!$AX$4,' 6.0.00'!$AX$3)</f>
        <v>0</v>
      </c>
      <c r="Q43" s="4">
        <f>(VLOOKUP(' 6.0.00'!Y43,' 6.0.00'!$AM$4:$AO$55,2,FALSE))*IF(' 6.0.00'!BA$4="是",' 6.0.00'!$AX$4,' 6.0.00'!$AX$3)</f>
        <v>0</v>
      </c>
      <c r="R43" s="4">
        <f>(VLOOKUP(' 6.0.00'!Z43,' 6.0.00'!$AM$4:$AO$55,2,FALSE))*IF(' 6.0.00'!BB$4="是",' 6.0.00'!$AX$4,' 6.0.00'!$AX$3)</f>
        <v>0</v>
      </c>
      <c r="S43" s="4">
        <f>(VLOOKUP(' 6.0.00'!AA43,' 6.0.00'!$AM$4:$AO$55,2,FALSE))*IF(' 6.0.00'!BC$4="是",' 6.0.00'!$AX$4,' 6.0.00'!$AX$3)</f>
        <v>0</v>
      </c>
      <c r="T43" s="4">
        <f>(VLOOKUP(' 6.0.00'!AB43,' 6.0.00'!$AM$4:$AO$55,2,FALSE))*IF(' 6.0.00'!BD$4="是",' 6.0.00'!$AX$4,' 6.0.00'!$AX$3)</f>
        <v>0</v>
      </c>
      <c r="U43" s="4">
        <f>(VLOOKUP(' 6.0.00'!AC43,' 6.0.00'!$AM$4:$AO$55,2,FALSE))*IF(' 6.0.00'!BE$4="是",' 6.0.00'!$AX$4,' 6.0.00'!$AX$3)</f>
        <v>0</v>
      </c>
      <c r="V43" s="4">
        <f>(VLOOKUP(' 6.0.00'!AD43,' 6.0.00'!$AM$4:$AO$55,2,FALSE))*IF(' 6.0.00'!BF$4="是",' 6.0.00'!$AX$4,' 6.0.00'!$AX$3)</f>
        <v>0</v>
      </c>
      <c r="W43" s="5">
        <f>(VLOOKUP(' 6.0.00'!AE43,' 6.0.00'!$AM$4:$AO$55,2,FALSE))*IF(' 6.0.00'!BG$4="是",' 6.0.00'!$AX$4,' 6.0.00'!$AX$3)</f>
        <v>0</v>
      </c>
      <c r="X43" s="5">
        <f>(VLOOKUP(' 6.0.00'!AF43,' 6.0.00'!$AM$4:$AO$55,2,FALSE))*IF(' 6.0.00'!BH$4="是",' 6.0.00'!$AX$4,' 6.0.00'!$AX$3)</f>
        <v>0</v>
      </c>
    </row>
    <row r="44" spans="1:24">
      <c r="A44" s="4">
        <f>(VLOOKUP(' 6.0.00'!I44,' 6.0.00'!$AM$4:$AO$55,2,FALSE))*IF(' 6.0.00'!AK$4="是",' 6.0.00'!$AX$4,' 6.0.00'!$AX$3)</f>
        <v>0</v>
      </c>
      <c r="B44" s="4">
        <f>(VLOOKUP(' 6.0.00'!J44,' 6.0.00'!$AM$4:$AO$55,2,FALSE))*IF(' 6.0.00'!AL$4="是",' 6.0.00'!$AX$4,' 6.0.00'!$AX$3)</f>
        <v>0</v>
      </c>
      <c r="C44" s="4">
        <f>(VLOOKUP(' 6.0.00'!K44,' 6.0.00'!$AM$4:$AO$55,2,FALSE))*IF(' 6.0.00'!AM$4="是",' 6.0.00'!$AX$4,' 6.0.00'!$AX$3)</f>
        <v>0</v>
      </c>
      <c r="D44" s="4">
        <f>(VLOOKUP(' 6.0.00'!L44,' 6.0.00'!$AM$4:$AO$55,2,FALSE))*IF(' 6.0.00'!AN$4="是",' 6.0.00'!$AX$4,' 6.0.00'!$AX$3)</f>
        <v>0</v>
      </c>
      <c r="E44" s="4">
        <f>(VLOOKUP(' 6.0.00'!M44,' 6.0.00'!$AM$4:$AO$55,2,FALSE))*IF(' 6.0.00'!AO$4="是",' 6.0.00'!$AX$4,' 6.0.00'!$AX$3)</f>
        <v>0</v>
      </c>
      <c r="F44" s="4">
        <f>(VLOOKUP(' 6.0.00'!N44,' 6.0.00'!$AM$4:$AO$55,2,FALSE))*IF(' 6.0.00'!AP$4="是",' 6.0.00'!$AX$4,' 6.0.00'!$AX$3)</f>
        <v>0</v>
      </c>
      <c r="G44" s="5">
        <f>(VLOOKUP(' 6.0.00'!O44,' 6.0.00'!$AM$4:$AO$55,2,FALSE))*IF(' 6.0.00'!AQ$4="是",' 6.0.00'!$AX$4,' 6.0.00'!$AX$3)</f>
        <v>0</v>
      </c>
      <c r="H44" s="5">
        <f>(VLOOKUP(' 6.0.00'!P44,' 6.0.00'!$AM$4:$AO$55,2,FALSE))*IF(' 6.0.00'!AR$4="是",' 6.0.00'!$AX$4,' 6.0.00'!$AX$3)</f>
        <v>0</v>
      </c>
      <c r="I44" s="4">
        <f>(VLOOKUP(' 6.0.00'!Q44,' 6.0.00'!$AM$4:$AO$55,2,FALSE))*IF(' 6.0.00'!AS$4="是",' 6.0.00'!$AX$4,' 6.0.00'!$AX$3)</f>
        <v>0</v>
      </c>
      <c r="J44" s="4">
        <f>(VLOOKUP(' 6.0.00'!R44,' 6.0.00'!$AM$4:$AO$55,2,FALSE))*IF(' 6.0.00'!AT$4="是",' 6.0.00'!$AX$4,' 6.0.00'!$AX$3)</f>
        <v>0</v>
      </c>
      <c r="K44" s="4">
        <f>(VLOOKUP(' 6.0.00'!S44,' 6.0.00'!$AM$4:$AO$55,2,FALSE))*IF(' 6.0.00'!AU$4="是",' 6.0.00'!$AX$4,' 6.0.00'!$AX$3)</f>
        <v>0</v>
      </c>
      <c r="L44" s="4">
        <f>(VLOOKUP(' 6.0.00'!T44,' 6.0.00'!$AM$4:$AO$55,2,FALSE))*IF(' 6.0.00'!AV$4="是",' 6.0.00'!$AX$4,' 6.0.00'!$AX$3)</f>
        <v>0</v>
      </c>
      <c r="M44" s="4">
        <f>(VLOOKUP(' 6.0.00'!U44,' 6.0.00'!$AM$4:$AO$55,2,FALSE))*IF(' 6.0.00'!AW$4="是",' 6.0.00'!$AX$4,' 6.0.00'!$AX$3)</f>
        <v>0</v>
      </c>
      <c r="N44" s="4">
        <f>(VLOOKUP(' 6.0.00'!V44,' 6.0.00'!$AM$4:$AO$55,2,FALSE))*IF(' 6.0.00'!AX$4="是",' 6.0.00'!$AX$4,' 6.0.00'!$AX$3)</f>
        <v>0</v>
      </c>
      <c r="O44" s="5">
        <f>(VLOOKUP(' 6.0.00'!W44,' 6.0.00'!$AM$4:$AO$55,2,FALSE))*IF(' 6.0.00'!AY$4="是",' 6.0.00'!$AX$4,' 6.0.00'!$AX$3)</f>
        <v>0</v>
      </c>
      <c r="P44" s="5">
        <f>(VLOOKUP(' 6.0.00'!X44,' 6.0.00'!$AM$4:$AO$55,2,FALSE))*IF(' 6.0.00'!AZ$4="是",' 6.0.00'!$AX$4,' 6.0.00'!$AX$3)</f>
        <v>0</v>
      </c>
      <c r="Q44" s="4">
        <f>(VLOOKUP(' 6.0.00'!Y44,' 6.0.00'!$AM$4:$AO$55,2,FALSE))*IF(' 6.0.00'!BA$4="是",' 6.0.00'!$AX$4,' 6.0.00'!$AX$3)</f>
        <v>0</v>
      </c>
      <c r="R44" s="4">
        <f>(VLOOKUP(' 6.0.00'!Z44,' 6.0.00'!$AM$4:$AO$55,2,FALSE))*IF(' 6.0.00'!BB$4="是",' 6.0.00'!$AX$4,' 6.0.00'!$AX$3)</f>
        <v>0</v>
      </c>
      <c r="S44" s="4">
        <f>(VLOOKUP(' 6.0.00'!AA44,' 6.0.00'!$AM$4:$AO$55,2,FALSE))*IF(' 6.0.00'!BC$4="是",' 6.0.00'!$AX$4,' 6.0.00'!$AX$3)</f>
        <v>0</v>
      </c>
      <c r="T44" s="4">
        <f>(VLOOKUP(' 6.0.00'!AB44,' 6.0.00'!$AM$4:$AO$55,2,FALSE))*IF(' 6.0.00'!BD$4="是",' 6.0.00'!$AX$4,' 6.0.00'!$AX$3)</f>
        <v>0</v>
      </c>
      <c r="U44" s="4">
        <f>(VLOOKUP(' 6.0.00'!AC44,' 6.0.00'!$AM$4:$AO$55,2,FALSE))*IF(' 6.0.00'!BE$4="是",' 6.0.00'!$AX$4,' 6.0.00'!$AX$3)</f>
        <v>0</v>
      </c>
      <c r="V44" s="4">
        <f>(VLOOKUP(' 6.0.00'!AD44,' 6.0.00'!$AM$4:$AO$55,2,FALSE))*IF(' 6.0.00'!BF$4="是",' 6.0.00'!$AX$4,' 6.0.00'!$AX$3)</f>
        <v>0</v>
      </c>
      <c r="W44" s="5">
        <f>(VLOOKUP(' 6.0.00'!AE44,' 6.0.00'!$AM$4:$AO$55,2,FALSE))*IF(' 6.0.00'!BG$4="是",' 6.0.00'!$AX$4,' 6.0.00'!$AX$3)</f>
        <v>0</v>
      </c>
      <c r="X44" s="5">
        <f>(VLOOKUP(' 6.0.00'!AF44,' 6.0.00'!$AM$4:$AO$55,2,FALSE))*IF(' 6.0.00'!BH$4="是",' 6.0.00'!$AX$4,' 6.0.00'!$AX$3)</f>
        <v>0</v>
      </c>
    </row>
    <row r="45" spans="1:24">
      <c r="A45" s="4">
        <f>(VLOOKUP(' 6.0.00'!I45,' 6.0.00'!$AM$4:$AO$55,2,FALSE))*IF(' 6.0.00'!AK$4="是",' 6.0.00'!$AX$4,' 6.0.00'!$AX$3)</f>
        <v>0</v>
      </c>
      <c r="B45" s="4">
        <f>(VLOOKUP(' 6.0.00'!J45,' 6.0.00'!$AM$4:$AO$55,2,FALSE))*IF(' 6.0.00'!AL$4="是",' 6.0.00'!$AX$4,' 6.0.00'!$AX$3)</f>
        <v>0</v>
      </c>
      <c r="C45" s="4">
        <f>(VLOOKUP(' 6.0.00'!K45,' 6.0.00'!$AM$4:$AO$55,2,FALSE))*IF(' 6.0.00'!AM$4="是",' 6.0.00'!$AX$4,' 6.0.00'!$AX$3)</f>
        <v>0</v>
      </c>
      <c r="D45" s="4">
        <f>(VLOOKUP(' 6.0.00'!L45,' 6.0.00'!$AM$4:$AO$55,2,FALSE))*IF(' 6.0.00'!AN$4="是",' 6.0.00'!$AX$4,' 6.0.00'!$AX$3)</f>
        <v>0</v>
      </c>
      <c r="E45" s="4">
        <f>(VLOOKUP(' 6.0.00'!M45,' 6.0.00'!$AM$4:$AO$55,2,FALSE))*IF(' 6.0.00'!AO$4="是",' 6.0.00'!$AX$4,' 6.0.00'!$AX$3)</f>
        <v>0</v>
      </c>
      <c r="F45" s="4">
        <f>(VLOOKUP(' 6.0.00'!N45,' 6.0.00'!$AM$4:$AO$55,2,FALSE))*IF(' 6.0.00'!AP$4="是",' 6.0.00'!$AX$4,' 6.0.00'!$AX$3)</f>
        <v>0</v>
      </c>
      <c r="G45" s="5">
        <f>(VLOOKUP(' 6.0.00'!O45,' 6.0.00'!$AM$4:$AO$55,2,FALSE))*IF(' 6.0.00'!AQ$4="是",' 6.0.00'!$AX$4,' 6.0.00'!$AX$3)</f>
        <v>0</v>
      </c>
      <c r="H45" s="5">
        <f>(VLOOKUP(' 6.0.00'!P45,' 6.0.00'!$AM$4:$AO$55,2,FALSE))*IF(' 6.0.00'!AR$4="是",' 6.0.00'!$AX$4,' 6.0.00'!$AX$3)</f>
        <v>0</v>
      </c>
      <c r="I45" s="4">
        <f>(VLOOKUP(' 6.0.00'!Q45,' 6.0.00'!$AM$4:$AO$55,2,FALSE))*IF(' 6.0.00'!AS$4="是",' 6.0.00'!$AX$4,' 6.0.00'!$AX$3)</f>
        <v>0</v>
      </c>
      <c r="J45" s="4">
        <f>(VLOOKUP(' 6.0.00'!R45,' 6.0.00'!$AM$4:$AO$55,2,FALSE))*IF(' 6.0.00'!AT$4="是",' 6.0.00'!$AX$4,' 6.0.00'!$AX$3)</f>
        <v>0</v>
      </c>
      <c r="K45" s="4">
        <f>(VLOOKUP(' 6.0.00'!S45,' 6.0.00'!$AM$4:$AO$55,2,FALSE))*IF(' 6.0.00'!AU$4="是",' 6.0.00'!$AX$4,' 6.0.00'!$AX$3)</f>
        <v>0</v>
      </c>
      <c r="L45" s="4">
        <f>(VLOOKUP(' 6.0.00'!T45,' 6.0.00'!$AM$4:$AO$55,2,FALSE))*IF(' 6.0.00'!AV$4="是",' 6.0.00'!$AX$4,' 6.0.00'!$AX$3)</f>
        <v>0</v>
      </c>
      <c r="M45" s="4">
        <f>(VLOOKUP(' 6.0.00'!U45,' 6.0.00'!$AM$4:$AO$55,2,FALSE))*IF(' 6.0.00'!AW$4="是",' 6.0.00'!$AX$4,' 6.0.00'!$AX$3)</f>
        <v>0</v>
      </c>
      <c r="N45" s="4">
        <f>(VLOOKUP(' 6.0.00'!V45,' 6.0.00'!$AM$4:$AO$55,2,FALSE))*IF(' 6.0.00'!AX$4="是",' 6.0.00'!$AX$4,' 6.0.00'!$AX$3)</f>
        <v>0</v>
      </c>
      <c r="O45" s="5">
        <f>(VLOOKUP(' 6.0.00'!W45,' 6.0.00'!$AM$4:$AO$55,2,FALSE))*IF(' 6.0.00'!AY$4="是",' 6.0.00'!$AX$4,' 6.0.00'!$AX$3)</f>
        <v>0</v>
      </c>
      <c r="P45" s="5">
        <f>(VLOOKUP(' 6.0.00'!X45,' 6.0.00'!$AM$4:$AO$55,2,FALSE))*IF(' 6.0.00'!AZ$4="是",' 6.0.00'!$AX$4,' 6.0.00'!$AX$3)</f>
        <v>0</v>
      </c>
      <c r="Q45" s="4">
        <f>(VLOOKUP(' 6.0.00'!Y45,' 6.0.00'!$AM$4:$AO$55,2,FALSE))*IF(' 6.0.00'!BA$4="是",' 6.0.00'!$AX$4,' 6.0.00'!$AX$3)</f>
        <v>0</v>
      </c>
      <c r="R45" s="4">
        <f>(VLOOKUP(' 6.0.00'!Z45,' 6.0.00'!$AM$4:$AO$55,2,FALSE))*IF(' 6.0.00'!BB$4="是",' 6.0.00'!$AX$4,' 6.0.00'!$AX$3)</f>
        <v>0</v>
      </c>
      <c r="S45" s="4">
        <f>(VLOOKUP(' 6.0.00'!AA45,' 6.0.00'!$AM$4:$AO$55,2,FALSE))*IF(' 6.0.00'!BC$4="是",' 6.0.00'!$AX$4,' 6.0.00'!$AX$3)</f>
        <v>0</v>
      </c>
      <c r="T45" s="4">
        <f>(VLOOKUP(' 6.0.00'!AB45,' 6.0.00'!$AM$4:$AO$55,2,FALSE))*IF(' 6.0.00'!BD$4="是",' 6.0.00'!$AX$4,' 6.0.00'!$AX$3)</f>
        <v>0</v>
      </c>
      <c r="U45" s="4">
        <f>(VLOOKUP(' 6.0.00'!AC45,' 6.0.00'!$AM$4:$AO$55,2,FALSE))*IF(' 6.0.00'!BE$4="是",' 6.0.00'!$AX$4,' 6.0.00'!$AX$3)</f>
        <v>0</v>
      </c>
      <c r="V45" s="4">
        <f>(VLOOKUP(' 6.0.00'!AD45,' 6.0.00'!$AM$4:$AO$55,2,FALSE))*IF(' 6.0.00'!BF$4="是",' 6.0.00'!$AX$4,' 6.0.00'!$AX$3)</f>
        <v>0</v>
      </c>
      <c r="W45" s="5">
        <f>(VLOOKUP(' 6.0.00'!AE45,' 6.0.00'!$AM$4:$AO$55,2,FALSE))*IF(' 6.0.00'!BG$4="是",' 6.0.00'!$AX$4,' 6.0.00'!$AX$3)</f>
        <v>0</v>
      </c>
      <c r="X45" s="5">
        <f>(VLOOKUP(' 6.0.00'!AF45,' 6.0.00'!$AM$4:$AO$55,2,FALSE))*IF(' 6.0.00'!BH$4="是",' 6.0.00'!$AX$4,' 6.0.00'!$AX$3)</f>
        <v>0</v>
      </c>
    </row>
    <row r="46" spans="1:24">
      <c r="A46" s="4">
        <f>(VLOOKUP(' 6.0.00'!I46,' 6.0.00'!$AM$4:$AO$55,2,FALSE))*IF(' 6.0.00'!AK$4="是",' 6.0.00'!$AX$4,' 6.0.00'!$AX$3)</f>
        <v>0</v>
      </c>
      <c r="B46" s="4">
        <f>(VLOOKUP(' 6.0.00'!J46,' 6.0.00'!$AM$4:$AO$55,2,FALSE))*IF(' 6.0.00'!AL$4="是",' 6.0.00'!$AX$4,' 6.0.00'!$AX$3)</f>
        <v>0</v>
      </c>
      <c r="C46" s="4">
        <f>(VLOOKUP(' 6.0.00'!K46,' 6.0.00'!$AM$4:$AO$55,2,FALSE))*IF(' 6.0.00'!AM$4="是",' 6.0.00'!$AX$4,' 6.0.00'!$AX$3)</f>
        <v>0</v>
      </c>
      <c r="D46" s="4">
        <f>(VLOOKUP(' 6.0.00'!L46,' 6.0.00'!$AM$4:$AO$55,2,FALSE))*IF(' 6.0.00'!AN$4="是",' 6.0.00'!$AX$4,' 6.0.00'!$AX$3)</f>
        <v>0</v>
      </c>
      <c r="E46" s="4">
        <f>(VLOOKUP(' 6.0.00'!M46,' 6.0.00'!$AM$4:$AO$55,2,FALSE))*IF(' 6.0.00'!AO$4="是",' 6.0.00'!$AX$4,' 6.0.00'!$AX$3)</f>
        <v>0</v>
      </c>
      <c r="F46" s="4">
        <f>(VLOOKUP(' 6.0.00'!N46,' 6.0.00'!$AM$4:$AO$55,2,FALSE))*IF(' 6.0.00'!AP$4="是",' 6.0.00'!$AX$4,' 6.0.00'!$AX$3)</f>
        <v>0</v>
      </c>
      <c r="G46" s="5">
        <f>(VLOOKUP(' 6.0.00'!O46,' 6.0.00'!$AM$4:$AO$55,2,FALSE))*IF(' 6.0.00'!AQ$4="是",' 6.0.00'!$AX$4,' 6.0.00'!$AX$3)</f>
        <v>0</v>
      </c>
      <c r="H46" s="5">
        <f>(VLOOKUP(' 6.0.00'!P46,' 6.0.00'!$AM$4:$AO$55,2,FALSE))*IF(' 6.0.00'!AR$4="是",' 6.0.00'!$AX$4,' 6.0.00'!$AX$3)</f>
        <v>0</v>
      </c>
      <c r="I46" s="4">
        <f>(VLOOKUP(' 6.0.00'!Q46,' 6.0.00'!$AM$4:$AO$55,2,FALSE))*IF(' 6.0.00'!AS$4="是",' 6.0.00'!$AX$4,' 6.0.00'!$AX$3)</f>
        <v>0</v>
      </c>
      <c r="J46" s="4">
        <f>(VLOOKUP(' 6.0.00'!R46,' 6.0.00'!$AM$4:$AO$55,2,FALSE))*IF(' 6.0.00'!AT$4="是",' 6.0.00'!$AX$4,' 6.0.00'!$AX$3)</f>
        <v>0</v>
      </c>
      <c r="K46" s="4">
        <f>(VLOOKUP(' 6.0.00'!S46,' 6.0.00'!$AM$4:$AO$55,2,FALSE))*IF(' 6.0.00'!AU$4="是",' 6.0.00'!$AX$4,' 6.0.00'!$AX$3)</f>
        <v>0</v>
      </c>
      <c r="L46" s="4">
        <f>(VLOOKUP(' 6.0.00'!T46,' 6.0.00'!$AM$4:$AO$55,2,FALSE))*IF(' 6.0.00'!AV$4="是",' 6.0.00'!$AX$4,' 6.0.00'!$AX$3)</f>
        <v>0</v>
      </c>
      <c r="M46" s="4">
        <f>(VLOOKUP(' 6.0.00'!U46,' 6.0.00'!$AM$4:$AO$55,2,FALSE))*IF(' 6.0.00'!AW$4="是",' 6.0.00'!$AX$4,' 6.0.00'!$AX$3)</f>
        <v>0</v>
      </c>
      <c r="N46" s="4">
        <f>(VLOOKUP(' 6.0.00'!V46,' 6.0.00'!$AM$4:$AO$55,2,FALSE))*IF(' 6.0.00'!AX$4="是",' 6.0.00'!$AX$4,' 6.0.00'!$AX$3)</f>
        <v>0</v>
      </c>
      <c r="O46" s="5">
        <f>(VLOOKUP(' 6.0.00'!W46,' 6.0.00'!$AM$4:$AO$55,2,FALSE))*IF(' 6.0.00'!AY$4="是",' 6.0.00'!$AX$4,' 6.0.00'!$AX$3)</f>
        <v>0</v>
      </c>
      <c r="P46" s="5">
        <f>(VLOOKUP(' 6.0.00'!X46,' 6.0.00'!$AM$4:$AO$55,2,FALSE))*IF(' 6.0.00'!AZ$4="是",' 6.0.00'!$AX$4,' 6.0.00'!$AX$3)</f>
        <v>0</v>
      </c>
      <c r="Q46" s="4">
        <f>(VLOOKUP(' 6.0.00'!Y46,' 6.0.00'!$AM$4:$AO$55,2,FALSE))*IF(' 6.0.00'!BA$4="是",' 6.0.00'!$AX$4,' 6.0.00'!$AX$3)</f>
        <v>0</v>
      </c>
      <c r="R46" s="4">
        <f>(VLOOKUP(' 6.0.00'!Z46,' 6.0.00'!$AM$4:$AO$55,2,FALSE))*IF(' 6.0.00'!BB$4="是",' 6.0.00'!$AX$4,' 6.0.00'!$AX$3)</f>
        <v>0</v>
      </c>
      <c r="S46" s="4">
        <f>(VLOOKUP(' 6.0.00'!AA46,' 6.0.00'!$AM$4:$AO$55,2,FALSE))*IF(' 6.0.00'!BC$4="是",' 6.0.00'!$AX$4,' 6.0.00'!$AX$3)</f>
        <v>0</v>
      </c>
      <c r="T46" s="4">
        <f>(VLOOKUP(' 6.0.00'!AB46,' 6.0.00'!$AM$4:$AO$55,2,FALSE))*IF(' 6.0.00'!BD$4="是",' 6.0.00'!$AX$4,' 6.0.00'!$AX$3)</f>
        <v>0</v>
      </c>
      <c r="U46" s="4">
        <f>(VLOOKUP(' 6.0.00'!AC46,' 6.0.00'!$AM$4:$AO$55,2,FALSE))*IF(' 6.0.00'!BE$4="是",' 6.0.00'!$AX$4,' 6.0.00'!$AX$3)</f>
        <v>0</v>
      </c>
      <c r="V46" s="4">
        <f>(VLOOKUP(' 6.0.00'!AD46,' 6.0.00'!$AM$4:$AO$55,2,FALSE))*IF(' 6.0.00'!BF$4="是",' 6.0.00'!$AX$4,' 6.0.00'!$AX$3)</f>
        <v>0</v>
      </c>
      <c r="W46" s="5">
        <f>(VLOOKUP(' 6.0.00'!AE46,' 6.0.00'!$AM$4:$AO$55,2,FALSE))*IF(' 6.0.00'!BG$4="是",' 6.0.00'!$AX$4,' 6.0.00'!$AX$3)</f>
        <v>0</v>
      </c>
      <c r="X46" s="5">
        <f>(VLOOKUP(' 6.0.00'!AF46,' 6.0.00'!$AM$4:$AO$55,2,FALSE))*IF(' 6.0.00'!BH$4="是",' 6.0.00'!$AX$4,' 6.0.00'!$AX$3)</f>
        <v>0</v>
      </c>
    </row>
    <row r="47" spans="1:24">
      <c r="A47" s="4">
        <f>(VLOOKUP(' 6.0.00'!I47,' 6.0.00'!$AM$4:$AO$55,2,FALSE))*IF(' 6.0.00'!AK$4="是",' 6.0.00'!$AX$4,' 6.0.00'!$AX$3)</f>
        <v>0</v>
      </c>
      <c r="B47" s="4">
        <f>(VLOOKUP(' 6.0.00'!J47,' 6.0.00'!$AM$4:$AO$55,2,FALSE))*IF(' 6.0.00'!AL$4="是",' 6.0.00'!$AX$4,' 6.0.00'!$AX$3)</f>
        <v>0</v>
      </c>
      <c r="C47" s="4">
        <f>(VLOOKUP(' 6.0.00'!K47,' 6.0.00'!$AM$4:$AO$55,2,FALSE))*IF(' 6.0.00'!AM$4="是",' 6.0.00'!$AX$4,' 6.0.00'!$AX$3)</f>
        <v>0</v>
      </c>
      <c r="D47" s="4">
        <f>(VLOOKUP(' 6.0.00'!L47,' 6.0.00'!$AM$4:$AO$55,2,FALSE))*IF(' 6.0.00'!AN$4="是",' 6.0.00'!$AX$4,' 6.0.00'!$AX$3)</f>
        <v>0</v>
      </c>
      <c r="E47" s="4">
        <f>(VLOOKUP(' 6.0.00'!M47,' 6.0.00'!$AM$4:$AO$55,2,FALSE))*IF(' 6.0.00'!AO$4="是",' 6.0.00'!$AX$4,' 6.0.00'!$AX$3)</f>
        <v>0</v>
      </c>
      <c r="F47" s="4">
        <f>(VLOOKUP(' 6.0.00'!N47,' 6.0.00'!$AM$4:$AO$55,2,FALSE))*IF(' 6.0.00'!AP$4="是",' 6.0.00'!$AX$4,' 6.0.00'!$AX$3)</f>
        <v>0</v>
      </c>
      <c r="G47" s="5">
        <f>(VLOOKUP(' 6.0.00'!O47,' 6.0.00'!$AM$4:$AO$55,2,FALSE))*IF(' 6.0.00'!AQ$4="是",' 6.0.00'!$AX$4,' 6.0.00'!$AX$3)</f>
        <v>0</v>
      </c>
      <c r="H47" s="5">
        <f>(VLOOKUP(' 6.0.00'!P47,' 6.0.00'!$AM$4:$AO$55,2,FALSE))*IF(' 6.0.00'!AR$4="是",' 6.0.00'!$AX$4,' 6.0.00'!$AX$3)</f>
        <v>0</v>
      </c>
      <c r="I47" s="4">
        <f>(VLOOKUP(' 6.0.00'!Q47,' 6.0.00'!$AM$4:$AO$55,2,FALSE))*IF(' 6.0.00'!AS$4="是",' 6.0.00'!$AX$4,' 6.0.00'!$AX$3)</f>
        <v>0</v>
      </c>
      <c r="J47" s="4">
        <f>(VLOOKUP(' 6.0.00'!R47,' 6.0.00'!$AM$4:$AO$55,2,FALSE))*IF(' 6.0.00'!AT$4="是",' 6.0.00'!$AX$4,' 6.0.00'!$AX$3)</f>
        <v>0</v>
      </c>
      <c r="K47" s="4">
        <f>(VLOOKUP(' 6.0.00'!S47,' 6.0.00'!$AM$4:$AO$55,2,FALSE))*IF(' 6.0.00'!AU$4="是",' 6.0.00'!$AX$4,' 6.0.00'!$AX$3)</f>
        <v>0</v>
      </c>
      <c r="L47" s="4">
        <f>(VLOOKUP(' 6.0.00'!T47,' 6.0.00'!$AM$4:$AO$55,2,FALSE))*IF(' 6.0.00'!AV$4="是",' 6.0.00'!$AX$4,' 6.0.00'!$AX$3)</f>
        <v>0</v>
      </c>
      <c r="M47" s="4">
        <f>(VLOOKUP(' 6.0.00'!U47,' 6.0.00'!$AM$4:$AO$55,2,FALSE))*IF(' 6.0.00'!AW$4="是",' 6.0.00'!$AX$4,' 6.0.00'!$AX$3)</f>
        <v>0</v>
      </c>
      <c r="N47" s="4">
        <f>(VLOOKUP(' 6.0.00'!V47,' 6.0.00'!$AM$4:$AO$55,2,FALSE))*IF(' 6.0.00'!AX$4="是",' 6.0.00'!$AX$4,' 6.0.00'!$AX$3)</f>
        <v>0</v>
      </c>
      <c r="O47" s="5">
        <f>(VLOOKUP(' 6.0.00'!W47,' 6.0.00'!$AM$4:$AO$55,2,FALSE))*IF(' 6.0.00'!AY$4="是",' 6.0.00'!$AX$4,' 6.0.00'!$AX$3)</f>
        <v>0</v>
      </c>
      <c r="P47" s="5">
        <f>(VLOOKUP(' 6.0.00'!X47,' 6.0.00'!$AM$4:$AO$55,2,FALSE))*IF(' 6.0.00'!AZ$4="是",' 6.0.00'!$AX$4,' 6.0.00'!$AX$3)</f>
        <v>0</v>
      </c>
      <c r="Q47" s="4">
        <f>(VLOOKUP(' 6.0.00'!Y47,' 6.0.00'!$AM$4:$AO$55,2,FALSE))*IF(' 6.0.00'!BA$4="是",' 6.0.00'!$AX$4,' 6.0.00'!$AX$3)</f>
        <v>0</v>
      </c>
      <c r="R47" s="4">
        <f>(VLOOKUP(' 6.0.00'!Z47,' 6.0.00'!$AM$4:$AO$55,2,FALSE))*IF(' 6.0.00'!BB$4="是",' 6.0.00'!$AX$4,' 6.0.00'!$AX$3)</f>
        <v>0</v>
      </c>
      <c r="S47" s="4">
        <f>(VLOOKUP(' 6.0.00'!AA47,' 6.0.00'!$AM$4:$AO$55,2,FALSE))*IF(' 6.0.00'!BC$4="是",' 6.0.00'!$AX$4,' 6.0.00'!$AX$3)</f>
        <v>0</v>
      </c>
      <c r="T47" s="4">
        <f>(VLOOKUP(' 6.0.00'!AB47,' 6.0.00'!$AM$4:$AO$55,2,FALSE))*IF(' 6.0.00'!BD$4="是",' 6.0.00'!$AX$4,' 6.0.00'!$AX$3)</f>
        <v>0</v>
      </c>
      <c r="U47" s="4">
        <f>(VLOOKUP(' 6.0.00'!AC47,' 6.0.00'!$AM$4:$AO$55,2,FALSE))*IF(' 6.0.00'!BE$4="是",' 6.0.00'!$AX$4,' 6.0.00'!$AX$3)</f>
        <v>0</v>
      </c>
      <c r="V47" s="4">
        <f>(VLOOKUP(' 6.0.00'!AD47,' 6.0.00'!$AM$4:$AO$55,2,FALSE))*IF(' 6.0.00'!BF$4="是",' 6.0.00'!$AX$4,' 6.0.00'!$AX$3)</f>
        <v>0</v>
      </c>
      <c r="W47" s="5">
        <f>(VLOOKUP(' 6.0.00'!AE47,' 6.0.00'!$AM$4:$AO$55,2,FALSE))*IF(' 6.0.00'!BG$4="是",' 6.0.00'!$AX$4,' 6.0.00'!$AX$3)</f>
        <v>0</v>
      </c>
      <c r="X47" s="5">
        <f>(VLOOKUP(' 6.0.00'!AF47,' 6.0.00'!$AM$4:$AO$55,2,FALSE))*IF(' 6.0.00'!BH$4="是",' 6.0.00'!$AX$4,' 6.0.00'!$AX$3)</f>
        <v>0</v>
      </c>
    </row>
    <row r="48" spans="1:24">
      <c r="A48" s="4">
        <f>(VLOOKUP(' 6.0.00'!I48,' 6.0.00'!$AM$4:$AO$55,2,FALSE))*IF(' 6.0.00'!AK$4="是",' 6.0.00'!$AX$4,' 6.0.00'!$AX$3)</f>
        <v>0</v>
      </c>
      <c r="B48" s="4">
        <f>(VLOOKUP(' 6.0.00'!J48,' 6.0.00'!$AM$4:$AO$55,2,FALSE))*IF(' 6.0.00'!AL$4="是",' 6.0.00'!$AX$4,' 6.0.00'!$AX$3)</f>
        <v>0</v>
      </c>
      <c r="C48" s="4">
        <f>(VLOOKUP(' 6.0.00'!K48,' 6.0.00'!$AM$4:$AO$55,2,FALSE))*IF(' 6.0.00'!AM$4="是",' 6.0.00'!$AX$4,' 6.0.00'!$AX$3)</f>
        <v>0</v>
      </c>
      <c r="D48" s="4">
        <f>(VLOOKUP(' 6.0.00'!L48,' 6.0.00'!$AM$4:$AO$55,2,FALSE))*IF(' 6.0.00'!AN$4="是",' 6.0.00'!$AX$4,' 6.0.00'!$AX$3)</f>
        <v>0</v>
      </c>
      <c r="E48" s="4">
        <f>(VLOOKUP(' 6.0.00'!M48,' 6.0.00'!$AM$4:$AO$55,2,FALSE))*IF(' 6.0.00'!AO$4="是",' 6.0.00'!$AX$4,' 6.0.00'!$AX$3)</f>
        <v>0</v>
      </c>
      <c r="F48" s="4">
        <f>(VLOOKUP(' 6.0.00'!N48,' 6.0.00'!$AM$4:$AO$55,2,FALSE))*IF(' 6.0.00'!AP$4="是",' 6.0.00'!$AX$4,' 6.0.00'!$AX$3)</f>
        <v>0</v>
      </c>
      <c r="G48" s="5">
        <f>(VLOOKUP(' 6.0.00'!O48,' 6.0.00'!$AM$4:$AO$55,2,FALSE))*IF(' 6.0.00'!AQ$4="是",' 6.0.00'!$AX$4,' 6.0.00'!$AX$3)</f>
        <v>0</v>
      </c>
      <c r="H48" s="5">
        <f>(VLOOKUP(' 6.0.00'!P48,' 6.0.00'!$AM$4:$AO$55,2,FALSE))*IF(' 6.0.00'!AR$4="是",' 6.0.00'!$AX$4,' 6.0.00'!$AX$3)</f>
        <v>0</v>
      </c>
      <c r="I48" s="4">
        <f>(VLOOKUP(' 6.0.00'!Q48,' 6.0.00'!$AM$4:$AO$55,2,FALSE))*IF(' 6.0.00'!AS$4="是",' 6.0.00'!$AX$4,' 6.0.00'!$AX$3)</f>
        <v>0</v>
      </c>
      <c r="J48" s="4">
        <f>(VLOOKUP(' 6.0.00'!R48,' 6.0.00'!$AM$4:$AO$55,2,FALSE))*IF(' 6.0.00'!AT$4="是",' 6.0.00'!$AX$4,' 6.0.00'!$AX$3)</f>
        <v>0</v>
      </c>
      <c r="K48" s="4">
        <f>(VLOOKUP(' 6.0.00'!S48,' 6.0.00'!$AM$4:$AO$55,2,FALSE))*IF(' 6.0.00'!AU$4="是",' 6.0.00'!$AX$4,' 6.0.00'!$AX$3)</f>
        <v>0</v>
      </c>
      <c r="L48" s="4">
        <f>(VLOOKUP(' 6.0.00'!T48,' 6.0.00'!$AM$4:$AO$55,2,FALSE))*IF(' 6.0.00'!AV$4="是",' 6.0.00'!$AX$4,' 6.0.00'!$AX$3)</f>
        <v>0</v>
      </c>
      <c r="M48" s="4">
        <f>(VLOOKUP(' 6.0.00'!U48,' 6.0.00'!$AM$4:$AO$55,2,FALSE))*IF(' 6.0.00'!AW$4="是",' 6.0.00'!$AX$4,' 6.0.00'!$AX$3)</f>
        <v>0</v>
      </c>
      <c r="N48" s="4">
        <f>(VLOOKUP(' 6.0.00'!V48,' 6.0.00'!$AM$4:$AO$55,2,FALSE))*IF(' 6.0.00'!AX$4="是",' 6.0.00'!$AX$4,' 6.0.00'!$AX$3)</f>
        <v>0</v>
      </c>
      <c r="O48" s="5">
        <f>(VLOOKUP(' 6.0.00'!W48,' 6.0.00'!$AM$4:$AO$55,2,FALSE))*IF(' 6.0.00'!AY$4="是",' 6.0.00'!$AX$4,' 6.0.00'!$AX$3)</f>
        <v>0</v>
      </c>
      <c r="P48" s="5">
        <f>(VLOOKUP(' 6.0.00'!X48,' 6.0.00'!$AM$4:$AO$55,2,FALSE))*IF(' 6.0.00'!AZ$4="是",' 6.0.00'!$AX$4,' 6.0.00'!$AX$3)</f>
        <v>0</v>
      </c>
      <c r="Q48" s="4">
        <f>(VLOOKUP(' 6.0.00'!Y48,' 6.0.00'!$AM$4:$AO$55,2,FALSE))*IF(' 6.0.00'!BA$4="是",' 6.0.00'!$AX$4,' 6.0.00'!$AX$3)</f>
        <v>0</v>
      </c>
      <c r="R48" s="4">
        <f>(VLOOKUP(' 6.0.00'!Z48,' 6.0.00'!$AM$4:$AO$55,2,FALSE))*IF(' 6.0.00'!BB$4="是",' 6.0.00'!$AX$4,' 6.0.00'!$AX$3)</f>
        <v>0</v>
      </c>
      <c r="S48" s="4">
        <f>(VLOOKUP(' 6.0.00'!AA48,' 6.0.00'!$AM$4:$AO$55,2,FALSE))*IF(' 6.0.00'!BC$4="是",' 6.0.00'!$AX$4,' 6.0.00'!$AX$3)</f>
        <v>0</v>
      </c>
      <c r="T48" s="4">
        <f>(VLOOKUP(' 6.0.00'!AB48,' 6.0.00'!$AM$4:$AO$55,2,FALSE))*IF(' 6.0.00'!BD$4="是",' 6.0.00'!$AX$4,' 6.0.00'!$AX$3)</f>
        <v>0</v>
      </c>
      <c r="U48" s="4">
        <f>(VLOOKUP(' 6.0.00'!AC48,' 6.0.00'!$AM$4:$AO$55,2,FALSE))*IF(' 6.0.00'!BE$4="是",' 6.0.00'!$AX$4,' 6.0.00'!$AX$3)</f>
        <v>0</v>
      </c>
      <c r="V48" s="4">
        <f>(VLOOKUP(' 6.0.00'!AD48,' 6.0.00'!$AM$4:$AO$55,2,FALSE))*IF(' 6.0.00'!BF$4="是",' 6.0.00'!$AX$4,' 6.0.00'!$AX$3)</f>
        <v>0</v>
      </c>
      <c r="W48" s="5">
        <f>(VLOOKUP(' 6.0.00'!AE48,' 6.0.00'!$AM$4:$AO$55,2,FALSE))*IF(' 6.0.00'!BG$4="是",' 6.0.00'!$AX$4,' 6.0.00'!$AX$3)</f>
        <v>0</v>
      </c>
      <c r="X48" s="5">
        <f>(VLOOKUP(' 6.0.00'!AF48,' 6.0.00'!$AM$4:$AO$55,2,FALSE))*IF(' 6.0.00'!BH$4="是",' 6.0.00'!$AX$4,' 6.0.00'!$AX$3)</f>
        <v>0</v>
      </c>
    </row>
    <row r="49" spans="1:24">
      <c r="A49" s="4">
        <f>(VLOOKUP(' 6.0.00'!I49,' 6.0.00'!$AM$4:$AO$55,2,FALSE))*IF(' 6.0.00'!AK$4="是",' 6.0.00'!$AX$4,' 6.0.00'!$AX$3)</f>
        <v>0</v>
      </c>
      <c r="B49" s="4">
        <f>(VLOOKUP(' 6.0.00'!J49,' 6.0.00'!$AM$4:$AO$55,2,FALSE))*IF(' 6.0.00'!AL$4="是",' 6.0.00'!$AX$4,' 6.0.00'!$AX$3)</f>
        <v>0</v>
      </c>
      <c r="C49" s="4">
        <f>(VLOOKUP(' 6.0.00'!K49,' 6.0.00'!$AM$4:$AO$55,2,FALSE))*IF(' 6.0.00'!AM$4="是",' 6.0.00'!$AX$4,' 6.0.00'!$AX$3)</f>
        <v>0</v>
      </c>
      <c r="D49" s="4">
        <f>(VLOOKUP(' 6.0.00'!L49,' 6.0.00'!$AM$4:$AO$55,2,FALSE))*IF(' 6.0.00'!AN$4="是",' 6.0.00'!$AX$4,' 6.0.00'!$AX$3)</f>
        <v>0</v>
      </c>
      <c r="E49" s="4">
        <f>(VLOOKUP(' 6.0.00'!M49,' 6.0.00'!$AM$4:$AO$55,2,FALSE))*IF(' 6.0.00'!AO$4="是",' 6.0.00'!$AX$4,' 6.0.00'!$AX$3)</f>
        <v>0</v>
      </c>
      <c r="F49" s="4">
        <f>(VLOOKUP(' 6.0.00'!N49,' 6.0.00'!$AM$4:$AO$55,2,FALSE))*IF(' 6.0.00'!AP$4="是",' 6.0.00'!$AX$4,' 6.0.00'!$AX$3)</f>
        <v>0</v>
      </c>
      <c r="G49" s="5">
        <f>(VLOOKUP(' 6.0.00'!O49,' 6.0.00'!$AM$4:$AO$55,2,FALSE))*IF(' 6.0.00'!AQ$4="是",' 6.0.00'!$AX$4,' 6.0.00'!$AX$3)</f>
        <v>0</v>
      </c>
      <c r="H49" s="5">
        <f>(VLOOKUP(' 6.0.00'!P49,' 6.0.00'!$AM$4:$AO$55,2,FALSE))*IF(' 6.0.00'!AR$4="是",' 6.0.00'!$AX$4,' 6.0.00'!$AX$3)</f>
        <v>0</v>
      </c>
      <c r="I49" s="4">
        <f>(VLOOKUP(' 6.0.00'!Q49,' 6.0.00'!$AM$4:$AO$55,2,FALSE))*IF(' 6.0.00'!AS$4="是",' 6.0.00'!$AX$4,' 6.0.00'!$AX$3)</f>
        <v>0</v>
      </c>
      <c r="J49" s="4">
        <f>(VLOOKUP(' 6.0.00'!R49,' 6.0.00'!$AM$4:$AO$55,2,FALSE))*IF(' 6.0.00'!AT$4="是",' 6.0.00'!$AX$4,' 6.0.00'!$AX$3)</f>
        <v>0</v>
      </c>
      <c r="K49" s="4">
        <f>(VLOOKUP(' 6.0.00'!S49,' 6.0.00'!$AM$4:$AO$55,2,FALSE))*IF(' 6.0.00'!AU$4="是",' 6.0.00'!$AX$4,' 6.0.00'!$AX$3)</f>
        <v>0</v>
      </c>
      <c r="L49" s="4">
        <f>(VLOOKUP(' 6.0.00'!T49,' 6.0.00'!$AM$4:$AO$55,2,FALSE))*IF(' 6.0.00'!AV$4="是",' 6.0.00'!$AX$4,' 6.0.00'!$AX$3)</f>
        <v>0</v>
      </c>
      <c r="M49" s="4">
        <f>(VLOOKUP(' 6.0.00'!U49,' 6.0.00'!$AM$4:$AO$55,2,FALSE))*IF(' 6.0.00'!AW$4="是",' 6.0.00'!$AX$4,' 6.0.00'!$AX$3)</f>
        <v>0</v>
      </c>
      <c r="N49" s="4">
        <f>(VLOOKUP(' 6.0.00'!V49,' 6.0.00'!$AM$4:$AO$55,2,FALSE))*IF(' 6.0.00'!AX$4="是",' 6.0.00'!$AX$4,' 6.0.00'!$AX$3)</f>
        <v>0</v>
      </c>
      <c r="O49" s="5">
        <f>(VLOOKUP(' 6.0.00'!W49,' 6.0.00'!$AM$4:$AO$55,2,FALSE))*IF(' 6.0.00'!AY$4="是",' 6.0.00'!$AX$4,' 6.0.00'!$AX$3)</f>
        <v>0</v>
      </c>
      <c r="P49" s="5">
        <f>(VLOOKUP(' 6.0.00'!X49,' 6.0.00'!$AM$4:$AO$55,2,FALSE))*IF(' 6.0.00'!AZ$4="是",' 6.0.00'!$AX$4,' 6.0.00'!$AX$3)</f>
        <v>0</v>
      </c>
      <c r="Q49" s="4">
        <f>(VLOOKUP(' 6.0.00'!Y49,' 6.0.00'!$AM$4:$AO$55,2,FALSE))*IF(' 6.0.00'!BA$4="是",' 6.0.00'!$AX$4,' 6.0.00'!$AX$3)</f>
        <v>0</v>
      </c>
      <c r="R49" s="4">
        <f>(VLOOKUP(' 6.0.00'!Z49,' 6.0.00'!$AM$4:$AO$55,2,FALSE))*IF(' 6.0.00'!BB$4="是",' 6.0.00'!$AX$4,' 6.0.00'!$AX$3)</f>
        <v>0</v>
      </c>
      <c r="S49" s="4">
        <f>(VLOOKUP(' 6.0.00'!AA49,' 6.0.00'!$AM$4:$AO$55,2,FALSE))*IF(' 6.0.00'!BC$4="是",' 6.0.00'!$AX$4,' 6.0.00'!$AX$3)</f>
        <v>0</v>
      </c>
      <c r="T49" s="4">
        <f>(VLOOKUP(' 6.0.00'!AB49,' 6.0.00'!$AM$4:$AO$55,2,FALSE))*IF(' 6.0.00'!BD$4="是",' 6.0.00'!$AX$4,' 6.0.00'!$AX$3)</f>
        <v>0</v>
      </c>
      <c r="U49" s="4">
        <f>(VLOOKUP(' 6.0.00'!AC49,' 6.0.00'!$AM$4:$AO$55,2,FALSE))*IF(' 6.0.00'!BE$4="是",' 6.0.00'!$AX$4,' 6.0.00'!$AX$3)</f>
        <v>0</v>
      </c>
      <c r="V49" s="4">
        <f>(VLOOKUP(' 6.0.00'!AD49,' 6.0.00'!$AM$4:$AO$55,2,FALSE))*IF(' 6.0.00'!BF$4="是",' 6.0.00'!$AX$4,' 6.0.00'!$AX$3)</f>
        <v>0</v>
      </c>
      <c r="W49" s="5">
        <f>(VLOOKUP(' 6.0.00'!AE49,' 6.0.00'!$AM$4:$AO$55,2,FALSE))*IF(' 6.0.00'!BG$4="是",' 6.0.00'!$AX$4,' 6.0.00'!$AX$3)</f>
        <v>0</v>
      </c>
      <c r="X49" s="5">
        <f>(VLOOKUP(' 6.0.00'!AF49,' 6.0.00'!$AM$4:$AO$55,2,FALSE))*IF(' 6.0.00'!BH$4="是",' 6.0.00'!$AX$4,' 6.0.00'!$AX$3)</f>
        <v>0</v>
      </c>
    </row>
    <row r="50" spans="1:24">
      <c r="A50" s="4">
        <f>(VLOOKUP(' 6.0.00'!I50,' 6.0.00'!$AM$4:$AO$55,2,FALSE))*IF(' 6.0.00'!AK$4="是",' 6.0.00'!$AX$4,' 6.0.00'!$AX$3)</f>
        <v>0</v>
      </c>
      <c r="B50" s="4">
        <f>(VLOOKUP(' 6.0.00'!J50,' 6.0.00'!$AM$4:$AO$55,2,FALSE))*IF(' 6.0.00'!AL$4="是",' 6.0.00'!$AX$4,' 6.0.00'!$AX$3)</f>
        <v>0</v>
      </c>
      <c r="C50" s="4">
        <f>(VLOOKUP(' 6.0.00'!K50,' 6.0.00'!$AM$4:$AO$55,2,FALSE))*IF(' 6.0.00'!AM$4="是",' 6.0.00'!$AX$4,' 6.0.00'!$AX$3)</f>
        <v>0</v>
      </c>
      <c r="D50" s="4">
        <f>(VLOOKUP(' 6.0.00'!L50,' 6.0.00'!$AM$4:$AO$55,2,FALSE))*IF(' 6.0.00'!AN$4="是",' 6.0.00'!$AX$4,' 6.0.00'!$AX$3)</f>
        <v>0</v>
      </c>
      <c r="E50" s="4">
        <f>(VLOOKUP(' 6.0.00'!M50,' 6.0.00'!$AM$4:$AO$55,2,FALSE))*IF(' 6.0.00'!AO$4="是",' 6.0.00'!$AX$4,' 6.0.00'!$AX$3)</f>
        <v>0</v>
      </c>
      <c r="F50" s="4">
        <f>(VLOOKUP(' 6.0.00'!N50,' 6.0.00'!$AM$4:$AO$55,2,FALSE))*IF(' 6.0.00'!AP$4="是",' 6.0.00'!$AX$4,' 6.0.00'!$AX$3)</f>
        <v>0</v>
      </c>
      <c r="G50" s="5">
        <f>(VLOOKUP(' 6.0.00'!O50,' 6.0.00'!$AM$4:$AO$55,2,FALSE))*IF(' 6.0.00'!AQ$4="是",' 6.0.00'!$AX$4,' 6.0.00'!$AX$3)</f>
        <v>0</v>
      </c>
      <c r="H50" s="5">
        <f>(VLOOKUP(' 6.0.00'!P50,' 6.0.00'!$AM$4:$AO$55,2,FALSE))*IF(' 6.0.00'!AR$4="是",' 6.0.00'!$AX$4,' 6.0.00'!$AX$3)</f>
        <v>0</v>
      </c>
      <c r="I50" s="4">
        <f>(VLOOKUP(' 6.0.00'!Q50,' 6.0.00'!$AM$4:$AO$55,2,FALSE))*IF(' 6.0.00'!AS$4="是",' 6.0.00'!$AX$4,' 6.0.00'!$AX$3)</f>
        <v>0</v>
      </c>
      <c r="J50" s="4">
        <f>(VLOOKUP(' 6.0.00'!R50,' 6.0.00'!$AM$4:$AO$55,2,FALSE))*IF(' 6.0.00'!AT$4="是",' 6.0.00'!$AX$4,' 6.0.00'!$AX$3)</f>
        <v>0</v>
      </c>
      <c r="K50" s="4">
        <f>(VLOOKUP(' 6.0.00'!S50,' 6.0.00'!$AM$4:$AO$55,2,FALSE))*IF(' 6.0.00'!AU$4="是",' 6.0.00'!$AX$4,' 6.0.00'!$AX$3)</f>
        <v>0</v>
      </c>
      <c r="L50" s="4">
        <f>(VLOOKUP(' 6.0.00'!T50,' 6.0.00'!$AM$4:$AO$55,2,FALSE))*IF(' 6.0.00'!AV$4="是",' 6.0.00'!$AX$4,' 6.0.00'!$AX$3)</f>
        <v>0</v>
      </c>
      <c r="M50" s="4">
        <f>(VLOOKUP(' 6.0.00'!U50,' 6.0.00'!$AM$4:$AO$55,2,FALSE))*IF(' 6.0.00'!AW$4="是",' 6.0.00'!$AX$4,' 6.0.00'!$AX$3)</f>
        <v>0</v>
      </c>
      <c r="N50" s="4">
        <f>(VLOOKUP(' 6.0.00'!V50,' 6.0.00'!$AM$4:$AO$55,2,FALSE))*IF(' 6.0.00'!AX$4="是",' 6.0.00'!$AX$4,' 6.0.00'!$AX$3)</f>
        <v>0</v>
      </c>
      <c r="O50" s="5">
        <f>(VLOOKUP(' 6.0.00'!W50,' 6.0.00'!$AM$4:$AO$55,2,FALSE))*IF(' 6.0.00'!AY$4="是",' 6.0.00'!$AX$4,' 6.0.00'!$AX$3)</f>
        <v>0</v>
      </c>
      <c r="P50" s="5">
        <f>(VLOOKUP(' 6.0.00'!X50,' 6.0.00'!$AM$4:$AO$55,2,FALSE))*IF(' 6.0.00'!AZ$4="是",' 6.0.00'!$AX$4,' 6.0.00'!$AX$3)</f>
        <v>0</v>
      </c>
      <c r="Q50" s="4">
        <f>(VLOOKUP(' 6.0.00'!Y50,' 6.0.00'!$AM$4:$AO$55,2,FALSE))*IF(' 6.0.00'!BA$4="是",' 6.0.00'!$AX$4,' 6.0.00'!$AX$3)</f>
        <v>0</v>
      </c>
      <c r="R50" s="4">
        <f>(VLOOKUP(' 6.0.00'!Z50,' 6.0.00'!$AM$4:$AO$55,2,FALSE))*IF(' 6.0.00'!BB$4="是",' 6.0.00'!$AX$4,' 6.0.00'!$AX$3)</f>
        <v>0</v>
      </c>
      <c r="S50" s="4">
        <f>(VLOOKUP(' 6.0.00'!AA50,' 6.0.00'!$AM$4:$AO$55,2,FALSE))*IF(' 6.0.00'!BC$4="是",' 6.0.00'!$AX$4,' 6.0.00'!$AX$3)</f>
        <v>0</v>
      </c>
      <c r="T50" s="4">
        <f>(VLOOKUP(' 6.0.00'!AB50,' 6.0.00'!$AM$4:$AO$55,2,FALSE))*IF(' 6.0.00'!BD$4="是",' 6.0.00'!$AX$4,' 6.0.00'!$AX$3)</f>
        <v>0</v>
      </c>
      <c r="U50" s="4">
        <f>(VLOOKUP(' 6.0.00'!AC50,' 6.0.00'!$AM$4:$AO$55,2,FALSE))*IF(' 6.0.00'!BE$4="是",' 6.0.00'!$AX$4,' 6.0.00'!$AX$3)</f>
        <v>0</v>
      </c>
      <c r="V50" s="4">
        <f>(VLOOKUP(' 6.0.00'!AD50,' 6.0.00'!$AM$4:$AO$55,2,FALSE))*IF(' 6.0.00'!BF$4="是",' 6.0.00'!$AX$4,' 6.0.00'!$AX$3)</f>
        <v>0</v>
      </c>
      <c r="W50" s="5">
        <f>(VLOOKUP(' 6.0.00'!AE50,' 6.0.00'!$AM$4:$AO$55,2,FALSE))*IF(' 6.0.00'!BG$4="是",' 6.0.00'!$AX$4,' 6.0.00'!$AX$3)</f>
        <v>0</v>
      </c>
      <c r="X50" s="5">
        <f>(VLOOKUP(' 6.0.00'!AF50,' 6.0.00'!$AM$4:$AO$55,2,FALSE))*IF(' 6.0.00'!BH$4="是",' 6.0.00'!$AX$4,' 6.0.00'!$AX$3)</f>
        <v>0</v>
      </c>
    </row>
    <row r="51" spans="1:24">
      <c r="A51" s="4">
        <f>(VLOOKUP(' 6.0.00'!I51,' 6.0.00'!$AM$4:$AO$55,2,FALSE))*IF(' 6.0.00'!AK$4="是",' 6.0.00'!$AX$4,' 6.0.00'!$AX$3)</f>
        <v>0</v>
      </c>
      <c r="B51" s="4">
        <f>(VLOOKUP(' 6.0.00'!J51,' 6.0.00'!$AM$4:$AO$55,2,FALSE))*IF(' 6.0.00'!AL$4="是",' 6.0.00'!$AX$4,' 6.0.00'!$AX$3)</f>
        <v>0</v>
      </c>
      <c r="C51" s="4">
        <f>(VLOOKUP(' 6.0.00'!K51,' 6.0.00'!$AM$4:$AO$55,2,FALSE))*IF(' 6.0.00'!AM$4="是",' 6.0.00'!$AX$4,' 6.0.00'!$AX$3)</f>
        <v>0</v>
      </c>
      <c r="D51" s="4">
        <f>(VLOOKUP(' 6.0.00'!L51,' 6.0.00'!$AM$4:$AO$55,2,FALSE))*IF(' 6.0.00'!AN$4="是",' 6.0.00'!$AX$4,' 6.0.00'!$AX$3)</f>
        <v>0</v>
      </c>
      <c r="E51" s="4">
        <f>(VLOOKUP(' 6.0.00'!M51,' 6.0.00'!$AM$4:$AO$55,2,FALSE))*IF(' 6.0.00'!AO$4="是",' 6.0.00'!$AX$4,' 6.0.00'!$AX$3)</f>
        <v>0</v>
      </c>
      <c r="F51" s="4">
        <f>(VLOOKUP(' 6.0.00'!N51,' 6.0.00'!$AM$4:$AO$55,2,FALSE))*IF(' 6.0.00'!AP$4="是",' 6.0.00'!$AX$4,' 6.0.00'!$AX$3)</f>
        <v>0</v>
      </c>
      <c r="G51" s="5">
        <f>(VLOOKUP(' 6.0.00'!O51,' 6.0.00'!$AM$4:$AO$55,2,FALSE))*IF(' 6.0.00'!AQ$4="是",' 6.0.00'!$AX$4,' 6.0.00'!$AX$3)</f>
        <v>0</v>
      </c>
      <c r="H51" s="5">
        <f>(VLOOKUP(' 6.0.00'!P51,' 6.0.00'!$AM$4:$AO$55,2,FALSE))*IF(' 6.0.00'!AR$4="是",' 6.0.00'!$AX$4,' 6.0.00'!$AX$3)</f>
        <v>0</v>
      </c>
      <c r="I51" s="4">
        <f>(VLOOKUP(' 6.0.00'!Q51,' 6.0.00'!$AM$4:$AO$55,2,FALSE))*IF(' 6.0.00'!AS$4="是",' 6.0.00'!$AX$4,' 6.0.00'!$AX$3)</f>
        <v>0</v>
      </c>
      <c r="J51" s="4">
        <f>(VLOOKUP(' 6.0.00'!R51,' 6.0.00'!$AM$4:$AO$55,2,FALSE))*IF(' 6.0.00'!AT$4="是",' 6.0.00'!$AX$4,' 6.0.00'!$AX$3)</f>
        <v>0</v>
      </c>
      <c r="K51" s="4">
        <f>(VLOOKUP(' 6.0.00'!S51,' 6.0.00'!$AM$4:$AO$55,2,FALSE))*IF(' 6.0.00'!AU$4="是",' 6.0.00'!$AX$4,' 6.0.00'!$AX$3)</f>
        <v>0</v>
      </c>
      <c r="L51" s="4">
        <f>(VLOOKUP(' 6.0.00'!T51,' 6.0.00'!$AM$4:$AO$55,2,FALSE))*IF(' 6.0.00'!AV$4="是",' 6.0.00'!$AX$4,' 6.0.00'!$AX$3)</f>
        <v>0</v>
      </c>
      <c r="M51" s="4">
        <f>(VLOOKUP(' 6.0.00'!U51,' 6.0.00'!$AM$4:$AO$55,2,FALSE))*IF(' 6.0.00'!AW$4="是",' 6.0.00'!$AX$4,' 6.0.00'!$AX$3)</f>
        <v>0</v>
      </c>
      <c r="N51" s="4">
        <f>(VLOOKUP(' 6.0.00'!V51,' 6.0.00'!$AM$4:$AO$55,2,FALSE))*IF(' 6.0.00'!AX$4="是",' 6.0.00'!$AX$4,' 6.0.00'!$AX$3)</f>
        <v>0</v>
      </c>
      <c r="O51" s="5">
        <f>(VLOOKUP(' 6.0.00'!W51,' 6.0.00'!$AM$4:$AO$55,2,FALSE))*IF(' 6.0.00'!AY$4="是",' 6.0.00'!$AX$4,' 6.0.00'!$AX$3)</f>
        <v>0</v>
      </c>
      <c r="P51" s="5">
        <f>(VLOOKUP(' 6.0.00'!X51,' 6.0.00'!$AM$4:$AO$55,2,FALSE))*IF(' 6.0.00'!AZ$4="是",' 6.0.00'!$AX$4,' 6.0.00'!$AX$3)</f>
        <v>0</v>
      </c>
      <c r="Q51" s="4">
        <f>(VLOOKUP(' 6.0.00'!Y51,' 6.0.00'!$AM$4:$AO$55,2,FALSE))*IF(' 6.0.00'!BA$4="是",' 6.0.00'!$AX$4,' 6.0.00'!$AX$3)</f>
        <v>0</v>
      </c>
      <c r="R51" s="4">
        <f>(VLOOKUP(' 6.0.00'!Z51,' 6.0.00'!$AM$4:$AO$55,2,FALSE))*IF(' 6.0.00'!BB$4="是",' 6.0.00'!$AX$4,' 6.0.00'!$AX$3)</f>
        <v>0</v>
      </c>
      <c r="S51" s="4">
        <f>(VLOOKUP(' 6.0.00'!AA51,' 6.0.00'!$AM$4:$AO$55,2,FALSE))*IF(' 6.0.00'!BC$4="是",' 6.0.00'!$AX$4,' 6.0.00'!$AX$3)</f>
        <v>0</v>
      </c>
      <c r="T51" s="4">
        <f>(VLOOKUP(' 6.0.00'!AB51,' 6.0.00'!$AM$4:$AO$55,2,FALSE))*IF(' 6.0.00'!BD$4="是",' 6.0.00'!$AX$4,' 6.0.00'!$AX$3)</f>
        <v>0</v>
      </c>
      <c r="U51" s="4">
        <f>(VLOOKUP(' 6.0.00'!AC51,' 6.0.00'!$AM$4:$AO$55,2,FALSE))*IF(' 6.0.00'!BE$4="是",' 6.0.00'!$AX$4,' 6.0.00'!$AX$3)</f>
        <v>0</v>
      </c>
      <c r="V51" s="4">
        <f>(VLOOKUP(' 6.0.00'!AD51,' 6.0.00'!$AM$4:$AO$55,2,FALSE))*IF(' 6.0.00'!BF$4="是",' 6.0.00'!$AX$4,' 6.0.00'!$AX$3)</f>
        <v>0</v>
      </c>
      <c r="W51" s="5">
        <f>(VLOOKUP(' 6.0.00'!AE51,' 6.0.00'!$AM$4:$AO$55,2,FALSE))*IF(' 6.0.00'!BG$4="是",' 6.0.00'!$AX$4,' 6.0.00'!$AX$3)</f>
        <v>0</v>
      </c>
      <c r="X51" s="5">
        <f>(VLOOKUP(' 6.0.00'!AF51,' 6.0.00'!$AM$4:$AO$55,2,FALSE))*IF(' 6.0.00'!BH$4="是",' 6.0.00'!$AX$4,' 6.0.00'!$AX$3)</f>
        <v>0</v>
      </c>
    </row>
    <row r="52" spans="1:24">
      <c r="A52" s="4">
        <f>(VLOOKUP(' 6.0.00'!I52,' 6.0.00'!$AM$4:$AO$55,2,FALSE))*IF(' 6.0.00'!AK$4="是",' 6.0.00'!$AX$4,' 6.0.00'!$AX$3)</f>
        <v>0</v>
      </c>
      <c r="B52" s="4">
        <f>(VLOOKUP(' 6.0.00'!J52,' 6.0.00'!$AM$4:$AO$55,2,FALSE))*IF(' 6.0.00'!AL$4="是",' 6.0.00'!$AX$4,' 6.0.00'!$AX$3)</f>
        <v>0</v>
      </c>
      <c r="C52" s="4">
        <f>(VLOOKUP(' 6.0.00'!K52,' 6.0.00'!$AM$4:$AO$55,2,FALSE))*IF(' 6.0.00'!AM$4="是",' 6.0.00'!$AX$4,' 6.0.00'!$AX$3)</f>
        <v>0</v>
      </c>
      <c r="D52" s="4">
        <f>(VLOOKUP(' 6.0.00'!L52,' 6.0.00'!$AM$4:$AO$55,2,FALSE))*IF(' 6.0.00'!AN$4="是",' 6.0.00'!$AX$4,' 6.0.00'!$AX$3)</f>
        <v>0</v>
      </c>
      <c r="E52" s="4">
        <f>(VLOOKUP(' 6.0.00'!M52,' 6.0.00'!$AM$4:$AO$55,2,FALSE))*IF(' 6.0.00'!AO$4="是",' 6.0.00'!$AX$4,' 6.0.00'!$AX$3)</f>
        <v>0</v>
      </c>
      <c r="F52" s="4">
        <f>(VLOOKUP(' 6.0.00'!N52,' 6.0.00'!$AM$4:$AO$55,2,FALSE))*IF(' 6.0.00'!AP$4="是",' 6.0.00'!$AX$4,' 6.0.00'!$AX$3)</f>
        <v>0</v>
      </c>
      <c r="G52" s="5">
        <f>(VLOOKUP(' 6.0.00'!O52,' 6.0.00'!$AM$4:$AO$55,2,FALSE))*IF(' 6.0.00'!AQ$4="是",' 6.0.00'!$AX$4,' 6.0.00'!$AX$3)</f>
        <v>0</v>
      </c>
      <c r="H52" s="5">
        <f>(VLOOKUP(' 6.0.00'!P52,' 6.0.00'!$AM$4:$AO$55,2,FALSE))*IF(' 6.0.00'!AR$4="是",' 6.0.00'!$AX$4,' 6.0.00'!$AX$3)</f>
        <v>0</v>
      </c>
      <c r="I52" s="4">
        <f>(VLOOKUP(' 6.0.00'!Q52,' 6.0.00'!$AM$4:$AO$55,2,FALSE))*IF(' 6.0.00'!AS$4="是",' 6.0.00'!$AX$4,' 6.0.00'!$AX$3)</f>
        <v>0</v>
      </c>
      <c r="J52" s="4">
        <f>(VLOOKUP(' 6.0.00'!R52,' 6.0.00'!$AM$4:$AO$55,2,FALSE))*IF(' 6.0.00'!AT$4="是",' 6.0.00'!$AX$4,' 6.0.00'!$AX$3)</f>
        <v>0</v>
      </c>
      <c r="K52" s="4">
        <f>(VLOOKUP(' 6.0.00'!S52,' 6.0.00'!$AM$4:$AO$55,2,FALSE))*IF(' 6.0.00'!AU$4="是",' 6.0.00'!$AX$4,' 6.0.00'!$AX$3)</f>
        <v>0</v>
      </c>
      <c r="L52" s="4">
        <f>(VLOOKUP(' 6.0.00'!T52,' 6.0.00'!$AM$4:$AO$55,2,FALSE))*IF(' 6.0.00'!AV$4="是",' 6.0.00'!$AX$4,' 6.0.00'!$AX$3)</f>
        <v>0</v>
      </c>
      <c r="M52" s="4">
        <f>(VLOOKUP(' 6.0.00'!U52,' 6.0.00'!$AM$4:$AO$55,2,FALSE))*IF(' 6.0.00'!AW$4="是",' 6.0.00'!$AX$4,' 6.0.00'!$AX$3)</f>
        <v>0</v>
      </c>
      <c r="N52" s="4">
        <f>(VLOOKUP(' 6.0.00'!V52,' 6.0.00'!$AM$4:$AO$55,2,FALSE))*IF(' 6.0.00'!AX$4="是",' 6.0.00'!$AX$4,' 6.0.00'!$AX$3)</f>
        <v>0</v>
      </c>
      <c r="O52" s="5">
        <f>(VLOOKUP(' 6.0.00'!W52,' 6.0.00'!$AM$4:$AO$55,2,FALSE))*IF(' 6.0.00'!AY$4="是",' 6.0.00'!$AX$4,' 6.0.00'!$AX$3)</f>
        <v>0</v>
      </c>
      <c r="P52" s="5">
        <f>(VLOOKUP(' 6.0.00'!X52,' 6.0.00'!$AM$4:$AO$55,2,FALSE))*IF(' 6.0.00'!AZ$4="是",' 6.0.00'!$AX$4,' 6.0.00'!$AX$3)</f>
        <v>0</v>
      </c>
      <c r="Q52" s="4">
        <f>(VLOOKUP(' 6.0.00'!Y52,' 6.0.00'!$AM$4:$AO$55,2,FALSE))*IF(' 6.0.00'!BA$4="是",' 6.0.00'!$AX$4,' 6.0.00'!$AX$3)</f>
        <v>0</v>
      </c>
      <c r="R52" s="4">
        <f>(VLOOKUP(' 6.0.00'!Z52,' 6.0.00'!$AM$4:$AO$55,2,FALSE))*IF(' 6.0.00'!BB$4="是",' 6.0.00'!$AX$4,' 6.0.00'!$AX$3)</f>
        <v>0</v>
      </c>
      <c r="S52" s="4">
        <f>(VLOOKUP(' 6.0.00'!AA52,' 6.0.00'!$AM$4:$AO$55,2,FALSE))*IF(' 6.0.00'!BC$4="是",' 6.0.00'!$AX$4,' 6.0.00'!$AX$3)</f>
        <v>0</v>
      </c>
      <c r="T52" s="4">
        <f>(VLOOKUP(' 6.0.00'!AB52,' 6.0.00'!$AM$4:$AO$55,2,FALSE))*IF(' 6.0.00'!BD$4="是",' 6.0.00'!$AX$4,' 6.0.00'!$AX$3)</f>
        <v>0</v>
      </c>
      <c r="U52" s="4">
        <f>(VLOOKUP(' 6.0.00'!AC52,' 6.0.00'!$AM$4:$AO$55,2,FALSE))*IF(' 6.0.00'!BE$4="是",' 6.0.00'!$AX$4,' 6.0.00'!$AX$3)</f>
        <v>0</v>
      </c>
      <c r="V52" s="4">
        <f>(VLOOKUP(' 6.0.00'!AD52,' 6.0.00'!$AM$4:$AO$55,2,FALSE))*IF(' 6.0.00'!BF$4="是",' 6.0.00'!$AX$4,' 6.0.00'!$AX$3)</f>
        <v>0</v>
      </c>
      <c r="W52" s="5">
        <f>(VLOOKUP(' 6.0.00'!AE52,' 6.0.00'!$AM$4:$AO$55,2,FALSE))*IF(' 6.0.00'!BG$4="是",' 6.0.00'!$AX$4,' 6.0.00'!$AX$3)</f>
        <v>0</v>
      </c>
      <c r="X52" s="5">
        <f>(VLOOKUP(' 6.0.00'!AF52,' 6.0.00'!$AM$4:$AO$55,2,FALSE))*IF(' 6.0.00'!BH$4="是",' 6.0.00'!$AX$4,' 6.0.00'!$AX$3)</f>
        <v>0</v>
      </c>
    </row>
    <row r="53" spans="1:24">
      <c r="A53" s="4">
        <f>(VLOOKUP(' 6.0.00'!I53,' 6.0.00'!$AM$4:$AO$55,2,FALSE))*IF(' 6.0.00'!AK$4="是",' 6.0.00'!$AX$4,' 6.0.00'!$AX$3)</f>
        <v>0</v>
      </c>
      <c r="B53" s="4">
        <f>(VLOOKUP(' 6.0.00'!J53,' 6.0.00'!$AM$4:$AO$55,2,FALSE))*IF(' 6.0.00'!AL$4="是",' 6.0.00'!$AX$4,' 6.0.00'!$AX$3)</f>
        <v>0</v>
      </c>
      <c r="C53" s="4">
        <f>(VLOOKUP(' 6.0.00'!K53,' 6.0.00'!$AM$4:$AO$55,2,FALSE))*IF(' 6.0.00'!AM$4="是",' 6.0.00'!$AX$4,' 6.0.00'!$AX$3)</f>
        <v>0</v>
      </c>
      <c r="D53" s="4">
        <f>(VLOOKUP(' 6.0.00'!L53,' 6.0.00'!$AM$4:$AO$55,2,FALSE))*IF(' 6.0.00'!AN$4="是",' 6.0.00'!$AX$4,' 6.0.00'!$AX$3)</f>
        <v>0</v>
      </c>
      <c r="E53" s="4">
        <f>(VLOOKUP(' 6.0.00'!M53,' 6.0.00'!$AM$4:$AO$55,2,FALSE))*IF(' 6.0.00'!AO$4="是",' 6.0.00'!$AX$4,' 6.0.00'!$AX$3)</f>
        <v>0</v>
      </c>
      <c r="F53" s="4">
        <f>(VLOOKUP(' 6.0.00'!N53,' 6.0.00'!$AM$4:$AO$55,2,FALSE))*IF(' 6.0.00'!AP$4="是",' 6.0.00'!$AX$4,' 6.0.00'!$AX$3)</f>
        <v>0</v>
      </c>
      <c r="G53" s="5">
        <f>(VLOOKUP(' 6.0.00'!O53,' 6.0.00'!$AM$4:$AO$55,2,FALSE))*IF(' 6.0.00'!AQ$4="是",' 6.0.00'!$AX$4,' 6.0.00'!$AX$3)</f>
        <v>0</v>
      </c>
      <c r="H53" s="5">
        <f>(VLOOKUP(' 6.0.00'!P53,' 6.0.00'!$AM$4:$AO$55,2,FALSE))*IF(' 6.0.00'!AR$4="是",' 6.0.00'!$AX$4,' 6.0.00'!$AX$3)</f>
        <v>0</v>
      </c>
      <c r="I53" s="4">
        <f>(VLOOKUP(' 6.0.00'!Q53,' 6.0.00'!$AM$4:$AO$55,2,FALSE))*IF(' 6.0.00'!AS$4="是",' 6.0.00'!$AX$4,' 6.0.00'!$AX$3)</f>
        <v>0</v>
      </c>
      <c r="J53" s="4">
        <f>(VLOOKUP(' 6.0.00'!R53,' 6.0.00'!$AM$4:$AO$55,2,FALSE))*IF(' 6.0.00'!AT$4="是",' 6.0.00'!$AX$4,' 6.0.00'!$AX$3)</f>
        <v>0</v>
      </c>
      <c r="K53" s="4">
        <f>(VLOOKUP(' 6.0.00'!S53,' 6.0.00'!$AM$4:$AO$55,2,FALSE))*IF(' 6.0.00'!AU$4="是",' 6.0.00'!$AX$4,' 6.0.00'!$AX$3)</f>
        <v>0</v>
      </c>
      <c r="L53" s="4">
        <f>(VLOOKUP(' 6.0.00'!T53,' 6.0.00'!$AM$4:$AO$55,2,FALSE))*IF(' 6.0.00'!AV$4="是",' 6.0.00'!$AX$4,' 6.0.00'!$AX$3)</f>
        <v>0</v>
      </c>
      <c r="M53" s="4">
        <f>(VLOOKUP(' 6.0.00'!U53,' 6.0.00'!$AM$4:$AO$55,2,FALSE))*IF(' 6.0.00'!AW$4="是",' 6.0.00'!$AX$4,' 6.0.00'!$AX$3)</f>
        <v>0</v>
      </c>
      <c r="N53" s="4">
        <f>(VLOOKUP(' 6.0.00'!V53,' 6.0.00'!$AM$4:$AO$55,2,FALSE))*IF(' 6.0.00'!AX$4="是",' 6.0.00'!$AX$4,' 6.0.00'!$AX$3)</f>
        <v>0</v>
      </c>
      <c r="O53" s="5">
        <f>(VLOOKUP(' 6.0.00'!W53,' 6.0.00'!$AM$4:$AO$55,2,FALSE))*IF(' 6.0.00'!AY$4="是",' 6.0.00'!$AX$4,' 6.0.00'!$AX$3)</f>
        <v>0</v>
      </c>
      <c r="P53" s="5">
        <f>(VLOOKUP(' 6.0.00'!X53,' 6.0.00'!$AM$4:$AO$55,2,FALSE))*IF(' 6.0.00'!AZ$4="是",' 6.0.00'!$AX$4,' 6.0.00'!$AX$3)</f>
        <v>0</v>
      </c>
      <c r="Q53" s="4">
        <f>(VLOOKUP(' 6.0.00'!Y53,' 6.0.00'!$AM$4:$AO$55,2,FALSE))*IF(' 6.0.00'!BA$4="是",' 6.0.00'!$AX$4,' 6.0.00'!$AX$3)</f>
        <v>0</v>
      </c>
      <c r="R53" s="4">
        <f>(VLOOKUP(' 6.0.00'!Z53,' 6.0.00'!$AM$4:$AO$55,2,FALSE))*IF(' 6.0.00'!BB$4="是",' 6.0.00'!$AX$4,' 6.0.00'!$AX$3)</f>
        <v>0</v>
      </c>
      <c r="S53" s="4">
        <f>(VLOOKUP(' 6.0.00'!AA53,' 6.0.00'!$AM$4:$AO$55,2,FALSE))*IF(' 6.0.00'!BC$4="是",' 6.0.00'!$AX$4,' 6.0.00'!$AX$3)</f>
        <v>0</v>
      </c>
      <c r="T53" s="4">
        <f>(VLOOKUP(' 6.0.00'!AB53,' 6.0.00'!$AM$4:$AO$55,2,FALSE))*IF(' 6.0.00'!BD$4="是",' 6.0.00'!$AX$4,' 6.0.00'!$AX$3)</f>
        <v>0</v>
      </c>
      <c r="U53" s="4">
        <f>(VLOOKUP(' 6.0.00'!AC53,' 6.0.00'!$AM$4:$AO$55,2,FALSE))*IF(' 6.0.00'!BE$4="是",' 6.0.00'!$AX$4,' 6.0.00'!$AX$3)</f>
        <v>0</v>
      </c>
      <c r="V53" s="4">
        <f>(VLOOKUP(' 6.0.00'!AD53,' 6.0.00'!$AM$4:$AO$55,2,FALSE))*IF(' 6.0.00'!BF$4="是",' 6.0.00'!$AX$4,' 6.0.00'!$AX$3)</f>
        <v>0</v>
      </c>
      <c r="W53" s="5">
        <f>(VLOOKUP(' 6.0.00'!AE53,' 6.0.00'!$AM$4:$AO$55,2,FALSE))*IF(' 6.0.00'!BG$4="是",' 6.0.00'!$AX$4,' 6.0.00'!$AX$3)</f>
        <v>0</v>
      </c>
      <c r="X53" s="5">
        <f>(VLOOKUP(' 6.0.00'!AF53,' 6.0.00'!$AM$4:$AO$55,2,FALSE))*IF(' 6.0.00'!BH$4="是",' 6.0.00'!$AX$4,' 6.0.00'!$AX$3)</f>
        <v>0</v>
      </c>
    </row>
    <row r="54" spans="1:24">
      <c r="A54" s="4">
        <f>(VLOOKUP(' 6.0.00'!I54,' 6.0.00'!$AM$4:$AO$55,2,FALSE))*IF(' 6.0.00'!AK$4="是",' 6.0.00'!$AX$4,' 6.0.00'!$AX$3)</f>
        <v>0</v>
      </c>
      <c r="B54" s="4">
        <f>(VLOOKUP(' 6.0.00'!J54,' 6.0.00'!$AM$4:$AO$55,2,FALSE))*IF(' 6.0.00'!AL$4="是",' 6.0.00'!$AX$4,' 6.0.00'!$AX$3)</f>
        <v>0</v>
      </c>
      <c r="C54" s="4">
        <f>(VLOOKUP(' 6.0.00'!K54,' 6.0.00'!$AM$4:$AO$55,2,FALSE))*IF(' 6.0.00'!AM$4="是",' 6.0.00'!$AX$4,' 6.0.00'!$AX$3)</f>
        <v>0</v>
      </c>
      <c r="D54" s="4">
        <f>(VLOOKUP(' 6.0.00'!L54,' 6.0.00'!$AM$4:$AO$55,2,FALSE))*IF(' 6.0.00'!AN$4="是",' 6.0.00'!$AX$4,' 6.0.00'!$AX$3)</f>
        <v>0</v>
      </c>
      <c r="E54" s="4">
        <f>(VLOOKUP(' 6.0.00'!M54,' 6.0.00'!$AM$4:$AO$55,2,FALSE))*IF(' 6.0.00'!AO$4="是",' 6.0.00'!$AX$4,' 6.0.00'!$AX$3)</f>
        <v>0</v>
      </c>
      <c r="F54" s="4">
        <f>(VLOOKUP(' 6.0.00'!N54,' 6.0.00'!$AM$4:$AO$55,2,FALSE))*IF(' 6.0.00'!AP$4="是",' 6.0.00'!$AX$4,' 6.0.00'!$AX$3)</f>
        <v>0</v>
      </c>
      <c r="G54" s="5">
        <f>(VLOOKUP(' 6.0.00'!O54,' 6.0.00'!$AM$4:$AO$55,2,FALSE))*IF(' 6.0.00'!AQ$4="是",' 6.0.00'!$AX$4,' 6.0.00'!$AX$3)</f>
        <v>0</v>
      </c>
      <c r="H54" s="5">
        <f>(VLOOKUP(' 6.0.00'!P54,' 6.0.00'!$AM$4:$AO$55,2,FALSE))*IF(' 6.0.00'!AR$4="是",' 6.0.00'!$AX$4,' 6.0.00'!$AX$3)</f>
        <v>0</v>
      </c>
      <c r="I54" s="4">
        <f>(VLOOKUP(' 6.0.00'!Q54,' 6.0.00'!$AM$4:$AO$55,2,FALSE))*IF(' 6.0.00'!AS$4="是",' 6.0.00'!$AX$4,' 6.0.00'!$AX$3)</f>
        <v>0</v>
      </c>
      <c r="J54" s="4">
        <f>(VLOOKUP(' 6.0.00'!R54,' 6.0.00'!$AM$4:$AO$55,2,FALSE))*IF(' 6.0.00'!AT$4="是",' 6.0.00'!$AX$4,' 6.0.00'!$AX$3)</f>
        <v>0</v>
      </c>
      <c r="K54" s="4">
        <f>(VLOOKUP(' 6.0.00'!S54,' 6.0.00'!$AM$4:$AO$55,2,FALSE))*IF(' 6.0.00'!AU$4="是",' 6.0.00'!$AX$4,' 6.0.00'!$AX$3)</f>
        <v>0</v>
      </c>
      <c r="L54" s="4">
        <f>(VLOOKUP(' 6.0.00'!T54,' 6.0.00'!$AM$4:$AO$55,2,FALSE))*IF(' 6.0.00'!AV$4="是",' 6.0.00'!$AX$4,' 6.0.00'!$AX$3)</f>
        <v>0</v>
      </c>
      <c r="M54" s="4">
        <f>(VLOOKUP(' 6.0.00'!U54,' 6.0.00'!$AM$4:$AO$55,2,FALSE))*IF(' 6.0.00'!AW$4="是",' 6.0.00'!$AX$4,' 6.0.00'!$AX$3)</f>
        <v>0</v>
      </c>
      <c r="N54" s="4">
        <f>(VLOOKUP(' 6.0.00'!V54,' 6.0.00'!$AM$4:$AO$55,2,FALSE))*IF(' 6.0.00'!AX$4="是",' 6.0.00'!$AX$4,' 6.0.00'!$AX$3)</f>
        <v>0</v>
      </c>
      <c r="O54" s="5">
        <f>(VLOOKUP(' 6.0.00'!W54,' 6.0.00'!$AM$4:$AO$55,2,FALSE))*IF(' 6.0.00'!AY$4="是",' 6.0.00'!$AX$4,' 6.0.00'!$AX$3)</f>
        <v>0</v>
      </c>
      <c r="P54" s="5">
        <f>(VLOOKUP(' 6.0.00'!X54,' 6.0.00'!$AM$4:$AO$55,2,FALSE))*IF(' 6.0.00'!AZ$4="是",' 6.0.00'!$AX$4,' 6.0.00'!$AX$3)</f>
        <v>0</v>
      </c>
      <c r="Q54" s="4">
        <f>(VLOOKUP(' 6.0.00'!Y54,' 6.0.00'!$AM$4:$AO$55,2,FALSE))*IF(' 6.0.00'!BA$4="是",' 6.0.00'!$AX$4,' 6.0.00'!$AX$3)</f>
        <v>0</v>
      </c>
      <c r="R54" s="4">
        <f>(VLOOKUP(' 6.0.00'!Z54,' 6.0.00'!$AM$4:$AO$55,2,FALSE))*IF(' 6.0.00'!BB$4="是",' 6.0.00'!$AX$4,' 6.0.00'!$AX$3)</f>
        <v>0</v>
      </c>
      <c r="S54" s="4">
        <f>(VLOOKUP(' 6.0.00'!AA54,' 6.0.00'!$AM$4:$AO$55,2,FALSE))*IF(' 6.0.00'!BC$4="是",' 6.0.00'!$AX$4,' 6.0.00'!$AX$3)</f>
        <v>0</v>
      </c>
      <c r="T54" s="4">
        <f>(VLOOKUP(' 6.0.00'!AB54,' 6.0.00'!$AM$4:$AO$55,2,FALSE))*IF(' 6.0.00'!BD$4="是",' 6.0.00'!$AX$4,' 6.0.00'!$AX$3)</f>
        <v>0</v>
      </c>
      <c r="U54" s="4">
        <f>(VLOOKUP(' 6.0.00'!AC54,' 6.0.00'!$AM$4:$AO$55,2,FALSE))*IF(' 6.0.00'!BE$4="是",' 6.0.00'!$AX$4,' 6.0.00'!$AX$3)</f>
        <v>0</v>
      </c>
      <c r="V54" s="4">
        <f>(VLOOKUP(' 6.0.00'!AD54,' 6.0.00'!$AM$4:$AO$55,2,FALSE))*IF(' 6.0.00'!BF$4="是",' 6.0.00'!$AX$4,' 6.0.00'!$AX$3)</f>
        <v>0</v>
      </c>
      <c r="W54" s="5">
        <f>(VLOOKUP(' 6.0.00'!AE54,' 6.0.00'!$AM$4:$AO$55,2,FALSE))*IF(' 6.0.00'!BG$4="是",' 6.0.00'!$AX$4,' 6.0.00'!$AX$3)</f>
        <v>0</v>
      </c>
      <c r="X54" s="5">
        <f>(VLOOKUP(' 6.0.00'!AF54,' 6.0.00'!$AM$4:$AO$55,2,FALSE))*IF(' 6.0.00'!BH$4="是",' 6.0.00'!$AX$4,' 6.0.00'!$AX$3)</f>
        <v>0</v>
      </c>
    </row>
    <row r="55" spans="1:24">
      <c r="A55" s="4">
        <f>(VLOOKUP(' 6.0.00'!I55,' 6.0.00'!$AM$4:$AO$55,2,FALSE))*IF(' 6.0.00'!AK$4="是",' 6.0.00'!$AX$4,' 6.0.00'!$AX$3)</f>
        <v>0</v>
      </c>
      <c r="B55" s="4">
        <f>(VLOOKUP(' 6.0.00'!J55,' 6.0.00'!$AM$4:$AO$55,2,FALSE))*IF(' 6.0.00'!AL$4="是",' 6.0.00'!$AX$4,' 6.0.00'!$AX$3)</f>
        <v>0</v>
      </c>
      <c r="C55" s="4">
        <f>(VLOOKUP(' 6.0.00'!K55,' 6.0.00'!$AM$4:$AO$55,2,FALSE))*IF(' 6.0.00'!AM$4="是",' 6.0.00'!$AX$4,' 6.0.00'!$AX$3)</f>
        <v>0</v>
      </c>
      <c r="D55" s="4">
        <f>(VLOOKUP(' 6.0.00'!L55,' 6.0.00'!$AM$4:$AO$55,2,FALSE))*IF(' 6.0.00'!AN$4="是",' 6.0.00'!$AX$4,' 6.0.00'!$AX$3)</f>
        <v>0</v>
      </c>
      <c r="E55" s="4">
        <f>(VLOOKUP(' 6.0.00'!M55,' 6.0.00'!$AM$4:$AO$55,2,FALSE))*IF(' 6.0.00'!AO$4="是",' 6.0.00'!$AX$4,' 6.0.00'!$AX$3)</f>
        <v>0</v>
      </c>
      <c r="F55" s="4">
        <f>(VLOOKUP(' 6.0.00'!N55,' 6.0.00'!$AM$4:$AO$55,2,FALSE))*IF(' 6.0.00'!AP$4="是",' 6.0.00'!$AX$4,' 6.0.00'!$AX$3)</f>
        <v>0</v>
      </c>
      <c r="G55" s="5">
        <f>(VLOOKUP(' 6.0.00'!O55,' 6.0.00'!$AM$4:$AO$55,2,FALSE))*IF(' 6.0.00'!AQ$4="是",' 6.0.00'!$AX$4,' 6.0.00'!$AX$3)</f>
        <v>0</v>
      </c>
      <c r="H55" s="5">
        <f>(VLOOKUP(' 6.0.00'!P55,' 6.0.00'!$AM$4:$AO$55,2,FALSE))*IF(' 6.0.00'!AR$4="是",' 6.0.00'!$AX$4,' 6.0.00'!$AX$3)</f>
        <v>0</v>
      </c>
      <c r="I55" s="4">
        <f>(VLOOKUP(' 6.0.00'!Q55,' 6.0.00'!$AM$4:$AO$55,2,FALSE))*IF(' 6.0.00'!AS$4="是",' 6.0.00'!$AX$4,' 6.0.00'!$AX$3)</f>
        <v>0</v>
      </c>
      <c r="J55" s="4">
        <f>(VLOOKUP(' 6.0.00'!R55,' 6.0.00'!$AM$4:$AO$55,2,FALSE))*IF(' 6.0.00'!AT$4="是",' 6.0.00'!$AX$4,' 6.0.00'!$AX$3)</f>
        <v>0</v>
      </c>
      <c r="K55" s="4">
        <f>(VLOOKUP(' 6.0.00'!S55,' 6.0.00'!$AM$4:$AO$55,2,FALSE))*IF(' 6.0.00'!AU$4="是",' 6.0.00'!$AX$4,' 6.0.00'!$AX$3)</f>
        <v>0</v>
      </c>
      <c r="L55" s="4">
        <f>(VLOOKUP(' 6.0.00'!T55,' 6.0.00'!$AM$4:$AO$55,2,FALSE))*IF(' 6.0.00'!AV$4="是",' 6.0.00'!$AX$4,' 6.0.00'!$AX$3)</f>
        <v>0</v>
      </c>
      <c r="M55" s="4">
        <f>(VLOOKUP(' 6.0.00'!U55,' 6.0.00'!$AM$4:$AO$55,2,FALSE))*IF(' 6.0.00'!AW$4="是",' 6.0.00'!$AX$4,' 6.0.00'!$AX$3)</f>
        <v>0</v>
      </c>
      <c r="N55" s="4">
        <f>(VLOOKUP(' 6.0.00'!V55,' 6.0.00'!$AM$4:$AO$55,2,FALSE))*IF(' 6.0.00'!AX$4="是",' 6.0.00'!$AX$4,' 6.0.00'!$AX$3)</f>
        <v>0</v>
      </c>
      <c r="O55" s="5">
        <f>(VLOOKUP(' 6.0.00'!W55,' 6.0.00'!$AM$4:$AO$55,2,FALSE))*IF(' 6.0.00'!AY$4="是",' 6.0.00'!$AX$4,' 6.0.00'!$AX$3)</f>
        <v>0</v>
      </c>
      <c r="P55" s="5">
        <f>(VLOOKUP(' 6.0.00'!X55,' 6.0.00'!$AM$4:$AO$55,2,FALSE))*IF(' 6.0.00'!AZ$4="是",' 6.0.00'!$AX$4,' 6.0.00'!$AX$3)</f>
        <v>0</v>
      </c>
      <c r="Q55" s="4">
        <f>(VLOOKUP(' 6.0.00'!Y55,' 6.0.00'!$AM$4:$AO$55,2,FALSE))*IF(' 6.0.00'!BA$4="是",' 6.0.00'!$AX$4,' 6.0.00'!$AX$3)</f>
        <v>0</v>
      </c>
      <c r="R55" s="4">
        <f>(VLOOKUP(' 6.0.00'!Z55,' 6.0.00'!$AM$4:$AO$55,2,FALSE))*IF(' 6.0.00'!BB$4="是",' 6.0.00'!$AX$4,' 6.0.00'!$AX$3)</f>
        <v>0</v>
      </c>
      <c r="S55" s="4">
        <f>(VLOOKUP(' 6.0.00'!AA55,' 6.0.00'!$AM$4:$AO$55,2,FALSE))*IF(' 6.0.00'!BC$4="是",' 6.0.00'!$AX$4,' 6.0.00'!$AX$3)</f>
        <v>0</v>
      </c>
      <c r="T55" s="4">
        <f>(VLOOKUP(' 6.0.00'!AB55,' 6.0.00'!$AM$4:$AO$55,2,FALSE))*IF(' 6.0.00'!BD$4="是",' 6.0.00'!$AX$4,' 6.0.00'!$AX$3)</f>
        <v>0</v>
      </c>
      <c r="U55" s="4">
        <f>(VLOOKUP(' 6.0.00'!AC55,' 6.0.00'!$AM$4:$AO$55,2,FALSE))*IF(' 6.0.00'!BE$4="是",' 6.0.00'!$AX$4,' 6.0.00'!$AX$3)</f>
        <v>0</v>
      </c>
      <c r="V55" s="4">
        <f>(VLOOKUP(' 6.0.00'!AD55,' 6.0.00'!$AM$4:$AO$55,2,FALSE))*IF(' 6.0.00'!BF$4="是",' 6.0.00'!$AX$4,' 6.0.00'!$AX$3)</f>
        <v>0</v>
      </c>
      <c r="W55" s="5">
        <f>(VLOOKUP(' 6.0.00'!AE55,' 6.0.00'!$AM$4:$AO$55,2,FALSE))*IF(' 6.0.00'!BG$4="是",' 6.0.00'!$AX$4,' 6.0.00'!$AX$3)</f>
        <v>0</v>
      </c>
      <c r="X55" s="5">
        <f>(VLOOKUP(' 6.0.00'!AF55,' 6.0.00'!$AM$4:$AO$55,2,FALSE))*IF(' 6.0.00'!BH$4="是",' 6.0.00'!$AX$4,' 6.0.00'!$AX$3)</f>
        <v>0</v>
      </c>
    </row>
    <row r="56" spans="1:24">
      <c r="A56" s="4">
        <f>(VLOOKUP(' 6.0.00'!I56,' 6.0.00'!$AM$4:$AO$55,2,FALSE))*IF(' 6.0.00'!AK$4="是",' 6.0.00'!$AX$4,' 6.0.00'!$AX$3)</f>
        <v>0</v>
      </c>
      <c r="B56" s="4">
        <f>(VLOOKUP(' 6.0.00'!J56,' 6.0.00'!$AM$4:$AO$55,2,FALSE))*IF(' 6.0.00'!AL$4="是",' 6.0.00'!$AX$4,' 6.0.00'!$AX$3)</f>
        <v>0</v>
      </c>
      <c r="C56" s="4">
        <f>(VLOOKUP(' 6.0.00'!K56,' 6.0.00'!$AM$4:$AO$55,2,FALSE))*IF(' 6.0.00'!AM$4="是",' 6.0.00'!$AX$4,' 6.0.00'!$AX$3)</f>
        <v>0</v>
      </c>
      <c r="D56" s="4">
        <f>(VLOOKUP(' 6.0.00'!L56,' 6.0.00'!$AM$4:$AO$55,2,FALSE))*IF(' 6.0.00'!AN$4="是",' 6.0.00'!$AX$4,' 6.0.00'!$AX$3)</f>
        <v>0</v>
      </c>
      <c r="E56" s="4">
        <f>(VLOOKUP(' 6.0.00'!M56,' 6.0.00'!$AM$4:$AO$55,2,FALSE))*IF(' 6.0.00'!AO$4="是",' 6.0.00'!$AX$4,' 6.0.00'!$AX$3)</f>
        <v>0</v>
      </c>
      <c r="F56" s="4">
        <f>(VLOOKUP(' 6.0.00'!N56,' 6.0.00'!$AM$4:$AO$55,2,FALSE))*IF(' 6.0.00'!AP$4="是",' 6.0.00'!$AX$4,' 6.0.00'!$AX$3)</f>
        <v>0</v>
      </c>
      <c r="G56" s="5">
        <f>(VLOOKUP(' 6.0.00'!O56,' 6.0.00'!$AM$4:$AO$55,2,FALSE))*IF(' 6.0.00'!AQ$4="是",' 6.0.00'!$AX$4,' 6.0.00'!$AX$3)</f>
        <v>0</v>
      </c>
      <c r="H56" s="5">
        <f>(VLOOKUP(' 6.0.00'!P56,' 6.0.00'!$AM$4:$AO$55,2,FALSE))*IF(' 6.0.00'!AR$4="是",' 6.0.00'!$AX$4,' 6.0.00'!$AX$3)</f>
        <v>0</v>
      </c>
      <c r="I56" s="4">
        <f>(VLOOKUP(' 6.0.00'!Q56,' 6.0.00'!$AM$4:$AO$55,2,FALSE))*IF(' 6.0.00'!AS$4="是",' 6.0.00'!$AX$4,' 6.0.00'!$AX$3)</f>
        <v>0</v>
      </c>
      <c r="J56" s="4">
        <f>(VLOOKUP(' 6.0.00'!R56,' 6.0.00'!$AM$4:$AO$55,2,FALSE))*IF(' 6.0.00'!AT$4="是",' 6.0.00'!$AX$4,' 6.0.00'!$AX$3)</f>
        <v>0</v>
      </c>
      <c r="K56" s="4">
        <f>(VLOOKUP(' 6.0.00'!S56,' 6.0.00'!$AM$4:$AO$55,2,FALSE))*IF(' 6.0.00'!AU$4="是",' 6.0.00'!$AX$4,' 6.0.00'!$AX$3)</f>
        <v>0</v>
      </c>
      <c r="L56" s="4">
        <f>(VLOOKUP(' 6.0.00'!T56,' 6.0.00'!$AM$4:$AO$55,2,FALSE))*IF(' 6.0.00'!AV$4="是",' 6.0.00'!$AX$4,' 6.0.00'!$AX$3)</f>
        <v>0</v>
      </c>
      <c r="M56" s="4">
        <f>(VLOOKUP(' 6.0.00'!U56,' 6.0.00'!$AM$4:$AO$55,2,FALSE))*IF(' 6.0.00'!AW$4="是",' 6.0.00'!$AX$4,' 6.0.00'!$AX$3)</f>
        <v>0</v>
      </c>
      <c r="N56" s="4">
        <f>(VLOOKUP(' 6.0.00'!V56,' 6.0.00'!$AM$4:$AO$55,2,FALSE))*IF(' 6.0.00'!AX$4="是",' 6.0.00'!$AX$4,' 6.0.00'!$AX$3)</f>
        <v>0</v>
      </c>
      <c r="O56" s="5">
        <f>(VLOOKUP(' 6.0.00'!W56,' 6.0.00'!$AM$4:$AO$55,2,FALSE))*IF(' 6.0.00'!AY$4="是",' 6.0.00'!$AX$4,' 6.0.00'!$AX$3)</f>
        <v>0</v>
      </c>
      <c r="P56" s="5">
        <f>(VLOOKUP(' 6.0.00'!X56,' 6.0.00'!$AM$4:$AO$55,2,FALSE))*IF(' 6.0.00'!AZ$4="是",' 6.0.00'!$AX$4,' 6.0.00'!$AX$3)</f>
        <v>0</v>
      </c>
      <c r="Q56" s="4">
        <f>(VLOOKUP(' 6.0.00'!Y56,' 6.0.00'!$AM$4:$AO$55,2,FALSE))*IF(' 6.0.00'!BA$4="是",' 6.0.00'!$AX$4,' 6.0.00'!$AX$3)</f>
        <v>0</v>
      </c>
      <c r="R56" s="4">
        <f>(VLOOKUP(' 6.0.00'!Z56,' 6.0.00'!$AM$4:$AO$55,2,FALSE))*IF(' 6.0.00'!BB$4="是",' 6.0.00'!$AX$4,' 6.0.00'!$AX$3)</f>
        <v>0</v>
      </c>
      <c r="S56" s="4">
        <f>(VLOOKUP(' 6.0.00'!AA56,' 6.0.00'!$AM$4:$AO$55,2,FALSE))*IF(' 6.0.00'!BC$4="是",' 6.0.00'!$AX$4,' 6.0.00'!$AX$3)</f>
        <v>0</v>
      </c>
      <c r="T56" s="4">
        <f>(VLOOKUP(' 6.0.00'!AB56,' 6.0.00'!$AM$4:$AO$55,2,FALSE))*IF(' 6.0.00'!BD$4="是",' 6.0.00'!$AX$4,' 6.0.00'!$AX$3)</f>
        <v>0</v>
      </c>
      <c r="U56" s="4">
        <f>(VLOOKUP(' 6.0.00'!AC56,' 6.0.00'!$AM$4:$AO$55,2,FALSE))*IF(' 6.0.00'!BE$4="是",' 6.0.00'!$AX$4,' 6.0.00'!$AX$3)</f>
        <v>0</v>
      </c>
      <c r="V56" s="4">
        <f>(VLOOKUP(' 6.0.00'!AD56,' 6.0.00'!$AM$4:$AO$55,2,FALSE))*IF(' 6.0.00'!BF$4="是",' 6.0.00'!$AX$4,' 6.0.00'!$AX$3)</f>
        <v>0</v>
      </c>
      <c r="W56" s="5">
        <f>(VLOOKUP(' 6.0.00'!AE56,' 6.0.00'!$AM$4:$AO$55,2,FALSE))*IF(' 6.0.00'!BG$4="是",' 6.0.00'!$AX$4,' 6.0.00'!$AX$3)</f>
        <v>0</v>
      </c>
      <c r="X56" s="5">
        <f>(VLOOKUP(' 6.0.00'!AF56,' 6.0.00'!$AM$4:$AO$55,2,FALSE))*IF(' 6.0.00'!BH$4="是",' 6.0.00'!$AX$4,' 6.0.00'!$AX$3)</f>
        <v>0</v>
      </c>
    </row>
    <row r="57" spans="1:24">
      <c r="A57" s="4">
        <f>(VLOOKUP(' 6.0.00'!I57,' 6.0.00'!$AM$4:$AO$55,2,FALSE))*IF(' 6.0.00'!AK$4="是",' 6.0.00'!$AX$4,' 6.0.00'!$AX$3)</f>
        <v>0</v>
      </c>
      <c r="B57" s="4">
        <f>(VLOOKUP(' 6.0.00'!J57,' 6.0.00'!$AM$4:$AO$55,2,FALSE))*IF(' 6.0.00'!AL$4="是",' 6.0.00'!$AX$4,' 6.0.00'!$AX$3)</f>
        <v>0</v>
      </c>
      <c r="C57" s="4">
        <f>(VLOOKUP(' 6.0.00'!K57,' 6.0.00'!$AM$4:$AO$55,2,FALSE))*IF(' 6.0.00'!AM$4="是",' 6.0.00'!$AX$4,' 6.0.00'!$AX$3)</f>
        <v>0</v>
      </c>
      <c r="D57" s="4">
        <f>(VLOOKUP(' 6.0.00'!L57,' 6.0.00'!$AM$4:$AO$55,2,FALSE))*IF(' 6.0.00'!AN$4="是",' 6.0.00'!$AX$4,' 6.0.00'!$AX$3)</f>
        <v>0</v>
      </c>
      <c r="E57" s="4">
        <f>(VLOOKUP(' 6.0.00'!M57,' 6.0.00'!$AM$4:$AO$55,2,FALSE))*IF(' 6.0.00'!AO$4="是",' 6.0.00'!$AX$4,' 6.0.00'!$AX$3)</f>
        <v>0</v>
      </c>
      <c r="F57" s="4">
        <f>(VLOOKUP(' 6.0.00'!N57,' 6.0.00'!$AM$4:$AO$55,2,FALSE))*IF(' 6.0.00'!AP$4="是",' 6.0.00'!$AX$4,' 6.0.00'!$AX$3)</f>
        <v>0</v>
      </c>
      <c r="G57" s="5">
        <f>(VLOOKUP(' 6.0.00'!O57,' 6.0.00'!$AM$4:$AO$55,2,FALSE))*IF(' 6.0.00'!AQ$4="是",' 6.0.00'!$AX$4,' 6.0.00'!$AX$3)</f>
        <v>0</v>
      </c>
      <c r="H57" s="5">
        <f>(VLOOKUP(' 6.0.00'!P57,' 6.0.00'!$AM$4:$AO$55,2,FALSE))*IF(' 6.0.00'!AR$4="是",' 6.0.00'!$AX$4,' 6.0.00'!$AX$3)</f>
        <v>0</v>
      </c>
      <c r="I57" s="4">
        <f>(VLOOKUP(' 6.0.00'!Q57,' 6.0.00'!$AM$4:$AO$55,2,FALSE))*IF(' 6.0.00'!AS$4="是",' 6.0.00'!$AX$4,' 6.0.00'!$AX$3)</f>
        <v>0</v>
      </c>
      <c r="J57" s="4">
        <f>(VLOOKUP(' 6.0.00'!R57,' 6.0.00'!$AM$4:$AO$55,2,FALSE))*IF(' 6.0.00'!AT$4="是",' 6.0.00'!$AX$4,' 6.0.00'!$AX$3)</f>
        <v>0</v>
      </c>
      <c r="K57" s="4">
        <f>(VLOOKUP(' 6.0.00'!S57,' 6.0.00'!$AM$4:$AO$55,2,FALSE))*IF(' 6.0.00'!AU$4="是",' 6.0.00'!$AX$4,' 6.0.00'!$AX$3)</f>
        <v>0</v>
      </c>
      <c r="L57" s="4">
        <f>(VLOOKUP(' 6.0.00'!T57,' 6.0.00'!$AM$4:$AO$55,2,FALSE))*IF(' 6.0.00'!AV$4="是",' 6.0.00'!$AX$4,' 6.0.00'!$AX$3)</f>
        <v>0</v>
      </c>
      <c r="M57" s="4">
        <f>(VLOOKUP(' 6.0.00'!U57,' 6.0.00'!$AM$4:$AO$55,2,FALSE))*IF(' 6.0.00'!AW$4="是",' 6.0.00'!$AX$4,' 6.0.00'!$AX$3)</f>
        <v>0</v>
      </c>
      <c r="N57" s="4">
        <f>(VLOOKUP(' 6.0.00'!V57,' 6.0.00'!$AM$4:$AO$55,2,FALSE))*IF(' 6.0.00'!AX$4="是",' 6.0.00'!$AX$4,' 6.0.00'!$AX$3)</f>
        <v>0</v>
      </c>
      <c r="O57" s="5">
        <f>(VLOOKUP(' 6.0.00'!W57,' 6.0.00'!$AM$4:$AO$55,2,FALSE))*IF(' 6.0.00'!AY$4="是",' 6.0.00'!$AX$4,' 6.0.00'!$AX$3)</f>
        <v>0</v>
      </c>
      <c r="P57" s="5">
        <f>(VLOOKUP(' 6.0.00'!X57,' 6.0.00'!$AM$4:$AO$55,2,FALSE))*IF(' 6.0.00'!AZ$4="是",' 6.0.00'!$AX$4,' 6.0.00'!$AX$3)</f>
        <v>0</v>
      </c>
      <c r="Q57" s="4">
        <f>(VLOOKUP(' 6.0.00'!Y57,' 6.0.00'!$AM$4:$AO$55,2,FALSE))*IF(' 6.0.00'!BA$4="是",' 6.0.00'!$AX$4,' 6.0.00'!$AX$3)</f>
        <v>0</v>
      </c>
      <c r="R57" s="4">
        <f>(VLOOKUP(' 6.0.00'!Z57,' 6.0.00'!$AM$4:$AO$55,2,FALSE))*IF(' 6.0.00'!BB$4="是",' 6.0.00'!$AX$4,' 6.0.00'!$AX$3)</f>
        <v>0</v>
      </c>
      <c r="S57" s="4">
        <f>(VLOOKUP(' 6.0.00'!AA57,' 6.0.00'!$AM$4:$AO$55,2,FALSE))*IF(' 6.0.00'!BC$4="是",' 6.0.00'!$AX$4,' 6.0.00'!$AX$3)</f>
        <v>0</v>
      </c>
      <c r="T57" s="4">
        <f>(VLOOKUP(' 6.0.00'!AB57,' 6.0.00'!$AM$4:$AO$55,2,FALSE))*IF(' 6.0.00'!BD$4="是",' 6.0.00'!$AX$4,' 6.0.00'!$AX$3)</f>
        <v>0</v>
      </c>
      <c r="U57" s="4">
        <f>(VLOOKUP(' 6.0.00'!AC57,' 6.0.00'!$AM$4:$AO$55,2,FALSE))*IF(' 6.0.00'!BE$4="是",' 6.0.00'!$AX$4,' 6.0.00'!$AX$3)</f>
        <v>0</v>
      </c>
      <c r="V57" s="4">
        <f>(VLOOKUP(' 6.0.00'!AD57,' 6.0.00'!$AM$4:$AO$55,2,FALSE))*IF(' 6.0.00'!BF$4="是",' 6.0.00'!$AX$4,' 6.0.00'!$AX$3)</f>
        <v>0</v>
      </c>
      <c r="W57" s="5">
        <f>(VLOOKUP(' 6.0.00'!AE57,' 6.0.00'!$AM$4:$AO$55,2,FALSE))*IF(' 6.0.00'!BG$4="是",' 6.0.00'!$AX$4,' 6.0.00'!$AX$3)</f>
        <v>0</v>
      </c>
      <c r="X57" s="5">
        <f>(VLOOKUP(' 6.0.00'!AF57,' 6.0.00'!$AM$4:$AO$55,2,FALSE))*IF(' 6.0.00'!BH$4="是",' 6.0.00'!$AX$4,' 6.0.00'!$AX$3)</f>
        <v>0</v>
      </c>
    </row>
    <row r="58" spans="1:24">
      <c r="A58" s="4">
        <f>(VLOOKUP(' 6.0.00'!I58,' 6.0.00'!$AM$4:$AO$55,2,FALSE))*IF(' 6.0.00'!AK$4="是",' 6.0.00'!$AX$4,' 6.0.00'!$AX$3)</f>
        <v>0</v>
      </c>
      <c r="B58" s="4">
        <f>(VLOOKUP(' 6.0.00'!J58,' 6.0.00'!$AM$4:$AO$55,2,FALSE))*IF(' 6.0.00'!AL$4="是",' 6.0.00'!$AX$4,' 6.0.00'!$AX$3)</f>
        <v>0</v>
      </c>
      <c r="C58" s="4">
        <f>(VLOOKUP(' 6.0.00'!K58,' 6.0.00'!$AM$4:$AO$55,2,FALSE))*IF(' 6.0.00'!AM$4="是",' 6.0.00'!$AX$4,' 6.0.00'!$AX$3)</f>
        <v>0</v>
      </c>
      <c r="D58" s="4">
        <f>(VLOOKUP(' 6.0.00'!L58,' 6.0.00'!$AM$4:$AO$55,2,FALSE))*IF(' 6.0.00'!AN$4="是",' 6.0.00'!$AX$4,' 6.0.00'!$AX$3)</f>
        <v>0</v>
      </c>
      <c r="E58" s="4">
        <f>(VLOOKUP(' 6.0.00'!M58,' 6.0.00'!$AM$4:$AO$55,2,FALSE))*IF(' 6.0.00'!AO$4="是",' 6.0.00'!$AX$4,' 6.0.00'!$AX$3)</f>
        <v>0</v>
      </c>
      <c r="F58" s="4">
        <f>(VLOOKUP(' 6.0.00'!N58,' 6.0.00'!$AM$4:$AO$55,2,FALSE))*IF(' 6.0.00'!AP$4="是",' 6.0.00'!$AX$4,' 6.0.00'!$AX$3)</f>
        <v>0</v>
      </c>
      <c r="G58" s="5">
        <f>(VLOOKUP(' 6.0.00'!O58,' 6.0.00'!$AM$4:$AO$55,2,FALSE))*IF(' 6.0.00'!AQ$4="是",' 6.0.00'!$AX$4,' 6.0.00'!$AX$3)</f>
        <v>0</v>
      </c>
      <c r="H58" s="5">
        <f>(VLOOKUP(' 6.0.00'!P58,' 6.0.00'!$AM$4:$AO$55,2,FALSE))*IF(' 6.0.00'!AR$4="是",' 6.0.00'!$AX$4,' 6.0.00'!$AX$3)</f>
        <v>0</v>
      </c>
      <c r="I58" s="4">
        <f>(VLOOKUP(' 6.0.00'!Q58,' 6.0.00'!$AM$4:$AO$55,2,FALSE))*IF(' 6.0.00'!AS$4="是",' 6.0.00'!$AX$4,' 6.0.00'!$AX$3)</f>
        <v>0</v>
      </c>
      <c r="J58" s="4">
        <f>(VLOOKUP(' 6.0.00'!R58,' 6.0.00'!$AM$4:$AO$55,2,FALSE))*IF(' 6.0.00'!AT$4="是",' 6.0.00'!$AX$4,' 6.0.00'!$AX$3)</f>
        <v>0</v>
      </c>
      <c r="K58" s="4">
        <f>(VLOOKUP(' 6.0.00'!S58,' 6.0.00'!$AM$4:$AO$55,2,FALSE))*IF(' 6.0.00'!AU$4="是",' 6.0.00'!$AX$4,' 6.0.00'!$AX$3)</f>
        <v>0</v>
      </c>
      <c r="L58" s="4">
        <f>(VLOOKUP(' 6.0.00'!T58,' 6.0.00'!$AM$4:$AO$55,2,FALSE))*IF(' 6.0.00'!AV$4="是",' 6.0.00'!$AX$4,' 6.0.00'!$AX$3)</f>
        <v>0</v>
      </c>
      <c r="M58" s="4">
        <f>(VLOOKUP(' 6.0.00'!U58,' 6.0.00'!$AM$4:$AO$55,2,FALSE))*IF(' 6.0.00'!AW$4="是",' 6.0.00'!$AX$4,' 6.0.00'!$AX$3)</f>
        <v>0</v>
      </c>
      <c r="N58" s="4">
        <f>(VLOOKUP(' 6.0.00'!V58,' 6.0.00'!$AM$4:$AO$55,2,FALSE))*IF(' 6.0.00'!AX$4="是",' 6.0.00'!$AX$4,' 6.0.00'!$AX$3)</f>
        <v>0</v>
      </c>
      <c r="O58" s="5">
        <f>(VLOOKUP(' 6.0.00'!W58,' 6.0.00'!$AM$4:$AO$55,2,FALSE))*IF(' 6.0.00'!AY$4="是",' 6.0.00'!$AX$4,' 6.0.00'!$AX$3)</f>
        <v>0</v>
      </c>
      <c r="P58" s="5">
        <f>(VLOOKUP(' 6.0.00'!X58,' 6.0.00'!$AM$4:$AO$55,2,FALSE))*IF(' 6.0.00'!AZ$4="是",' 6.0.00'!$AX$4,' 6.0.00'!$AX$3)</f>
        <v>0</v>
      </c>
      <c r="Q58" s="4">
        <f>(VLOOKUP(' 6.0.00'!Y58,' 6.0.00'!$AM$4:$AO$55,2,FALSE))*IF(' 6.0.00'!BA$4="是",' 6.0.00'!$AX$4,' 6.0.00'!$AX$3)</f>
        <v>0</v>
      </c>
      <c r="R58" s="4">
        <f>(VLOOKUP(' 6.0.00'!Z58,' 6.0.00'!$AM$4:$AO$55,2,FALSE))*IF(' 6.0.00'!BB$4="是",' 6.0.00'!$AX$4,' 6.0.00'!$AX$3)</f>
        <v>0</v>
      </c>
      <c r="S58" s="4">
        <f>(VLOOKUP(' 6.0.00'!AA58,' 6.0.00'!$AM$4:$AO$55,2,FALSE))*IF(' 6.0.00'!BC$4="是",' 6.0.00'!$AX$4,' 6.0.00'!$AX$3)</f>
        <v>0</v>
      </c>
      <c r="T58" s="4">
        <f>(VLOOKUP(' 6.0.00'!AB58,' 6.0.00'!$AM$4:$AO$55,2,FALSE))*IF(' 6.0.00'!BD$4="是",' 6.0.00'!$AX$4,' 6.0.00'!$AX$3)</f>
        <v>0</v>
      </c>
      <c r="U58" s="4">
        <f>(VLOOKUP(' 6.0.00'!AC58,' 6.0.00'!$AM$4:$AO$55,2,FALSE))*IF(' 6.0.00'!BE$4="是",' 6.0.00'!$AX$4,' 6.0.00'!$AX$3)</f>
        <v>0</v>
      </c>
      <c r="V58" s="4">
        <f>(VLOOKUP(' 6.0.00'!AD58,' 6.0.00'!$AM$4:$AO$55,2,FALSE))*IF(' 6.0.00'!BF$4="是",' 6.0.00'!$AX$4,' 6.0.00'!$AX$3)</f>
        <v>0</v>
      </c>
      <c r="W58" s="5">
        <f>(VLOOKUP(' 6.0.00'!AE58,' 6.0.00'!$AM$4:$AO$55,2,FALSE))*IF(' 6.0.00'!BG$4="是",' 6.0.00'!$AX$4,' 6.0.00'!$AX$3)</f>
        <v>0</v>
      </c>
      <c r="X58" s="5">
        <f>(VLOOKUP(' 6.0.00'!AF58,' 6.0.00'!$AM$4:$AO$55,2,FALSE))*IF(' 6.0.00'!BH$4="是",' 6.0.00'!$AX$4,' 6.0.00'!$AX$3)</f>
        <v>0</v>
      </c>
    </row>
    <row r="59" spans="1:24">
      <c r="A59" s="4">
        <f>(VLOOKUP(' 6.0.00'!I59,' 6.0.00'!$AM$4:$AO$55,2,FALSE))*IF(' 6.0.00'!AK$4="是",' 6.0.00'!$AX$4,' 6.0.00'!$AX$3)</f>
        <v>0</v>
      </c>
      <c r="B59" s="4">
        <f>(VLOOKUP(' 6.0.00'!J59,' 6.0.00'!$AM$4:$AO$55,2,FALSE))*IF(' 6.0.00'!AL$4="是",' 6.0.00'!$AX$4,' 6.0.00'!$AX$3)</f>
        <v>0</v>
      </c>
      <c r="C59" s="4">
        <f>(VLOOKUP(' 6.0.00'!K59,' 6.0.00'!$AM$4:$AO$55,2,FALSE))*IF(' 6.0.00'!AM$4="是",' 6.0.00'!$AX$4,' 6.0.00'!$AX$3)</f>
        <v>0</v>
      </c>
      <c r="D59" s="4">
        <f>(VLOOKUP(' 6.0.00'!L59,' 6.0.00'!$AM$4:$AO$55,2,FALSE))*IF(' 6.0.00'!AN$4="是",' 6.0.00'!$AX$4,' 6.0.00'!$AX$3)</f>
        <v>0</v>
      </c>
      <c r="E59" s="4">
        <f>(VLOOKUP(' 6.0.00'!M59,' 6.0.00'!$AM$4:$AO$55,2,FALSE))*IF(' 6.0.00'!AO$4="是",' 6.0.00'!$AX$4,' 6.0.00'!$AX$3)</f>
        <v>0</v>
      </c>
      <c r="F59" s="4">
        <f>(VLOOKUP(' 6.0.00'!N59,' 6.0.00'!$AM$4:$AO$55,2,FALSE))*IF(' 6.0.00'!AP$4="是",' 6.0.00'!$AX$4,' 6.0.00'!$AX$3)</f>
        <v>0</v>
      </c>
      <c r="G59" s="5">
        <f>(VLOOKUP(' 6.0.00'!O59,' 6.0.00'!$AM$4:$AO$55,2,FALSE))*IF(' 6.0.00'!AQ$4="是",' 6.0.00'!$AX$4,' 6.0.00'!$AX$3)</f>
        <v>0</v>
      </c>
      <c r="H59" s="5">
        <f>(VLOOKUP(' 6.0.00'!P59,' 6.0.00'!$AM$4:$AO$55,2,FALSE))*IF(' 6.0.00'!AR$4="是",' 6.0.00'!$AX$4,' 6.0.00'!$AX$3)</f>
        <v>0</v>
      </c>
      <c r="I59" s="4">
        <f>(VLOOKUP(' 6.0.00'!Q59,' 6.0.00'!$AM$4:$AO$55,2,FALSE))*IF(' 6.0.00'!AS$4="是",' 6.0.00'!$AX$4,' 6.0.00'!$AX$3)</f>
        <v>0</v>
      </c>
      <c r="J59" s="4">
        <f>(VLOOKUP(' 6.0.00'!R59,' 6.0.00'!$AM$4:$AO$55,2,FALSE))*IF(' 6.0.00'!AT$4="是",' 6.0.00'!$AX$4,' 6.0.00'!$AX$3)</f>
        <v>0</v>
      </c>
      <c r="K59" s="4">
        <f>(VLOOKUP(' 6.0.00'!S59,' 6.0.00'!$AM$4:$AO$55,2,FALSE))*IF(' 6.0.00'!AU$4="是",' 6.0.00'!$AX$4,' 6.0.00'!$AX$3)</f>
        <v>0</v>
      </c>
      <c r="L59" s="4">
        <f>(VLOOKUP(' 6.0.00'!T59,' 6.0.00'!$AM$4:$AO$55,2,FALSE))*IF(' 6.0.00'!AV$4="是",' 6.0.00'!$AX$4,' 6.0.00'!$AX$3)</f>
        <v>0</v>
      </c>
      <c r="M59" s="4">
        <f>(VLOOKUP(' 6.0.00'!U59,' 6.0.00'!$AM$4:$AO$55,2,FALSE))*IF(' 6.0.00'!AW$4="是",' 6.0.00'!$AX$4,' 6.0.00'!$AX$3)</f>
        <v>0</v>
      </c>
      <c r="N59" s="4">
        <f>(VLOOKUP(' 6.0.00'!V59,' 6.0.00'!$AM$4:$AO$55,2,FALSE))*IF(' 6.0.00'!AX$4="是",' 6.0.00'!$AX$4,' 6.0.00'!$AX$3)</f>
        <v>0</v>
      </c>
      <c r="O59" s="5">
        <f>(VLOOKUP(' 6.0.00'!W59,' 6.0.00'!$AM$4:$AO$55,2,FALSE))*IF(' 6.0.00'!AY$4="是",' 6.0.00'!$AX$4,' 6.0.00'!$AX$3)</f>
        <v>0</v>
      </c>
      <c r="P59" s="5">
        <f>(VLOOKUP(' 6.0.00'!X59,' 6.0.00'!$AM$4:$AO$55,2,FALSE))*IF(' 6.0.00'!AZ$4="是",' 6.0.00'!$AX$4,' 6.0.00'!$AX$3)</f>
        <v>0</v>
      </c>
      <c r="Q59" s="4">
        <f>(VLOOKUP(' 6.0.00'!Y59,' 6.0.00'!$AM$4:$AO$55,2,FALSE))*IF(' 6.0.00'!BA$4="是",' 6.0.00'!$AX$4,' 6.0.00'!$AX$3)</f>
        <v>0</v>
      </c>
      <c r="R59" s="4">
        <f>(VLOOKUP(' 6.0.00'!Z59,' 6.0.00'!$AM$4:$AO$55,2,FALSE))*IF(' 6.0.00'!BB$4="是",' 6.0.00'!$AX$4,' 6.0.00'!$AX$3)</f>
        <v>0</v>
      </c>
      <c r="S59" s="4">
        <f>(VLOOKUP(' 6.0.00'!AA59,' 6.0.00'!$AM$4:$AO$55,2,FALSE))*IF(' 6.0.00'!BC$4="是",' 6.0.00'!$AX$4,' 6.0.00'!$AX$3)</f>
        <v>0</v>
      </c>
      <c r="T59" s="4">
        <f>(VLOOKUP(' 6.0.00'!AB59,' 6.0.00'!$AM$4:$AO$55,2,FALSE))*IF(' 6.0.00'!BD$4="是",' 6.0.00'!$AX$4,' 6.0.00'!$AX$3)</f>
        <v>0</v>
      </c>
      <c r="U59" s="4">
        <f>(VLOOKUP(' 6.0.00'!AC59,' 6.0.00'!$AM$4:$AO$55,2,FALSE))*IF(' 6.0.00'!BE$4="是",' 6.0.00'!$AX$4,' 6.0.00'!$AX$3)</f>
        <v>0</v>
      </c>
      <c r="V59" s="4">
        <f>(VLOOKUP(' 6.0.00'!AD59,' 6.0.00'!$AM$4:$AO$55,2,FALSE))*IF(' 6.0.00'!BF$4="是",' 6.0.00'!$AX$4,' 6.0.00'!$AX$3)</f>
        <v>0</v>
      </c>
      <c r="W59" s="5">
        <f>(VLOOKUP(' 6.0.00'!AE59,' 6.0.00'!$AM$4:$AO$55,2,FALSE))*IF(' 6.0.00'!BG$4="是",' 6.0.00'!$AX$4,' 6.0.00'!$AX$3)</f>
        <v>0</v>
      </c>
      <c r="X59" s="5">
        <f>(VLOOKUP(' 6.0.00'!AF59,' 6.0.00'!$AM$4:$AO$55,2,FALSE))*IF(' 6.0.00'!BH$4="是",' 6.0.00'!$AX$4,' 6.0.00'!$AX$3)</f>
        <v>0</v>
      </c>
    </row>
    <row r="60" spans="1:24">
      <c r="A60" s="4">
        <f>(VLOOKUP(' 6.0.00'!I60,' 6.0.00'!$AM$4:$AO$55,2,FALSE))*IF(' 6.0.00'!AK$4="是",' 6.0.00'!$AX$4,' 6.0.00'!$AX$3)</f>
        <v>0</v>
      </c>
      <c r="B60" s="4">
        <f>(VLOOKUP(' 6.0.00'!J60,' 6.0.00'!$AM$4:$AO$55,2,FALSE))*IF(' 6.0.00'!AL$4="是",' 6.0.00'!$AX$4,' 6.0.00'!$AX$3)</f>
        <v>0</v>
      </c>
      <c r="C60" s="4">
        <f>(VLOOKUP(' 6.0.00'!K60,' 6.0.00'!$AM$4:$AO$55,2,FALSE))*IF(' 6.0.00'!AM$4="是",' 6.0.00'!$AX$4,' 6.0.00'!$AX$3)</f>
        <v>0</v>
      </c>
      <c r="D60" s="4">
        <f>(VLOOKUP(' 6.0.00'!L60,' 6.0.00'!$AM$4:$AO$55,2,FALSE))*IF(' 6.0.00'!AN$4="是",' 6.0.00'!$AX$4,' 6.0.00'!$AX$3)</f>
        <v>0</v>
      </c>
      <c r="E60" s="4">
        <f>(VLOOKUP(' 6.0.00'!M60,' 6.0.00'!$AM$4:$AO$55,2,FALSE))*IF(' 6.0.00'!AO$4="是",' 6.0.00'!$AX$4,' 6.0.00'!$AX$3)</f>
        <v>0</v>
      </c>
      <c r="F60" s="4">
        <f>(VLOOKUP(' 6.0.00'!N60,' 6.0.00'!$AM$4:$AO$55,2,FALSE))*IF(' 6.0.00'!AP$4="是",' 6.0.00'!$AX$4,' 6.0.00'!$AX$3)</f>
        <v>0</v>
      </c>
      <c r="G60" s="5">
        <f>(VLOOKUP(' 6.0.00'!O60,' 6.0.00'!$AM$4:$AO$55,2,FALSE))*IF(' 6.0.00'!AQ$4="是",' 6.0.00'!$AX$4,' 6.0.00'!$AX$3)</f>
        <v>0</v>
      </c>
      <c r="H60" s="5">
        <f>(VLOOKUP(' 6.0.00'!P60,' 6.0.00'!$AM$4:$AO$55,2,FALSE))*IF(' 6.0.00'!AR$4="是",' 6.0.00'!$AX$4,' 6.0.00'!$AX$3)</f>
        <v>0</v>
      </c>
      <c r="I60" s="4">
        <f>(VLOOKUP(' 6.0.00'!Q60,' 6.0.00'!$AM$4:$AO$55,2,FALSE))*IF(' 6.0.00'!AS$4="是",' 6.0.00'!$AX$4,' 6.0.00'!$AX$3)</f>
        <v>0</v>
      </c>
      <c r="J60" s="4">
        <f>(VLOOKUP(' 6.0.00'!R60,' 6.0.00'!$AM$4:$AO$55,2,FALSE))*IF(' 6.0.00'!AT$4="是",' 6.0.00'!$AX$4,' 6.0.00'!$AX$3)</f>
        <v>0</v>
      </c>
      <c r="K60" s="4">
        <f>(VLOOKUP(' 6.0.00'!S60,' 6.0.00'!$AM$4:$AO$55,2,FALSE))*IF(' 6.0.00'!AU$4="是",' 6.0.00'!$AX$4,' 6.0.00'!$AX$3)</f>
        <v>0</v>
      </c>
      <c r="L60" s="4">
        <f>(VLOOKUP(' 6.0.00'!T60,' 6.0.00'!$AM$4:$AO$55,2,FALSE))*IF(' 6.0.00'!AV$4="是",' 6.0.00'!$AX$4,' 6.0.00'!$AX$3)</f>
        <v>0</v>
      </c>
      <c r="M60" s="4">
        <f>(VLOOKUP(' 6.0.00'!U60,' 6.0.00'!$AM$4:$AO$55,2,FALSE))*IF(' 6.0.00'!AW$4="是",' 6.0.00'!$AX$4,' 6.0.00'!$AX$3)</f>
        <v>0</v>
      </c>
      <c r="N60" s="4">
        <f>(VLOOKUP(' 6.0.00'!V60,' 6.0.00'!$AM$4:$AO$55,2,FALSE))*IF(' 6.0.00'!AX$4="是",' 6.0.00'!$AX$4,' 6.0.00'!$AX$3)</f>
        <v>0</v>
      </c>
      <c r="O60" s="5">
        <f>(VLOOKUP(' 6.0.00'!W60,' 6.0.00'!$AM$4:$AO$55,2,FALSE))*IF(' 6.0.00'!AY$4="是",' 6.0.00'!$AX$4,' 6.0.00'!$AX$3)</f>
        <v>0</v>
      </c>
      <c r="P60" s="5">
        <f>(VLOOKUP(' 6.0.00'!X60,' 6.0.00'!$AM$4:$AO$55,2,FALSE))*IF(' 6.0.00'!AZ$4="是",' 6.0.00'!$AX$4,' 6.0.00'!$AX$3)</f>
        <v>0</v>
      </c>
      <c r="Q60" s="4">
        <f>(VLOOKUP(' 6.0.00'!Y60,' 6.0.00'!$AM$4:$AO$55,2,FALSE))*IF(' 6.0.00'!BA$4="是",' 6.0.00'!$AX$4,' 6.0.00'!$AX$3)</f>
        <v>0</v>
      </c>
      <c r="R60" s="4">
        <f>(VLOOKUP(' 6.0.00'!Z60,' 6.0.00'!$AM$4:$AO$55,2,FALSE))*IF(' 6.0.00'!BB$4="是",' 6.0.00'!$AX$4,' 6.0.00'!$AX$3)</f>
        <v>0</v>
      </c>
      <c r="S60" s="4">
        <f>(VLOOKUP(' 6.0.00'!AA60,' 6.0.00'!$AM$4:$AO$55,2,FALSE))*IF(' 6.0.00'!BC$4="是",' 6.0.00'!$AX$4,' 6.0.00'!$AX$3)</f>
        <v>0</v>
      </c>
      <c r="T60" s="4">
        <f>(VLOOKUP(' 6.0.00'!AB60,' 6.0.00'!$AM$4:$AO$55,2,FALSE))*IF(' 6.0.00'!BD$4="是",' 6.0.00'!$AX$4,' 6.0.00'!$AX$3)</f>
        <v>0</v>
      </c>
      <c r="U60" s="4">
        <f>(VLOOKUP(' 6.0.00'!AC60,' 6.0.00'!$AM$4:$AO$55,2,FALSE))*IF(' 6.0.00'!BE$4="是",' 6.0.00'!$AX$4,' 6.0.00'!$AX$3)</f>
        <v>0</v>
      </c>
      <c r="V60" s="4">
        <f>(VLOOKUP(' 6.0.00'!AD60,' 6.0.00'!$AM$4:$AO$55,2,FALSE))*IF(' 6.0.00'!BF$4="是",' 6.0.00'!$AX$4,' 6.0.00'!$AX$3)</f>
        <v>0</v>
      </c>
      <c r="W60" s="5">
        <f>(VLOOKUP(' 6.0.00'!AE60,' 6.0.00'!$AM$4:$AO$55,2,FALSE))*IF(' 6.0.00'!BG$4="是",' 6.0.00'!$AX$4,' 6.0.00'!$AX$3)</f>
        <v>0</v>
      </c>
      <c r="X60" s="5">
        <f>(VLOOKUP(' 6.0.00'!AF60,' 6.0.00'!$AM$4:$AO$55,2,FALSE))*IF(' 6.0.00'!BH$4="是",' 6.0.00'!$AX$4,' 6.0.00'!$AX$3)</f>
        <v>0</v>
      </c>
    </row>
    <row r="61" spans="1:24">
      <c r="A61" s="4">
        <f>(VLOOKUP(' 6.0.00'!I61,' 6.0.00'!$AM$4:$AO$55,2,FALSE))*IF(' 6.0.00'!AK$4="是",' 6.0.00'!$AX$4,' 6.0.00'!$AX$3)</f>
        <v>0</v>
      </c>
      <c r="B61" s="4">
        <f>(VLOOKUP(' 6.0.00'!J61,' 6.0.00'!$AM$4:$AO$55,2,FALSE))*IF(' 6.0.00'!AL$4="是",' 6.0.00'!$AX$4,' 6.0.00'!$AX$3)</f>
        <v>0</v>
      </c>
      <c r="C61" s="4">
        <f>(VLOOKUP(' 6.0.00'!K61,' 6.0.00'!$AM$4:$AO$55,2,FALSE))*IF(' 6.0.00'!AM$4="是",' 6.0.00'!$AX$4,' 6.0.00'!$AX$3)</f>
        <v>0</v>
      </c>
      <c r="D61" s="4">
        <f>(VLOOKUP(' 6.0.00'!L61,' 6.0.00'!$AM$4:$AO$55,2,FALSE))*IF(' 6.0.00'!AN$4="是",' 6.0.00'!$AX$4,' 6.0.00'!$AX$3)</f>
        <v>0</v>
      </c>
      <c r="E61" s="4">
        <f>(VLOOKUP(' 6.0.00'!M61,' 6.0.00'!$AM$4:$AO$55,2,FALSE))*IF(' 6.0.00'!AO$4="是",' 6.0.00'!$AX$4,' 6.0.00'!$AX$3)</f>
        <v>0</v>
      </c>
      <c r="F61" s="4">
        <f>(VLOOKUP(' 6.0.00'!N61,' 6.0.00'!$AM$4:$AO$55,2,FALSE))*IF(' 6.0.00'!AP$4="是",' 6.0.00'!$AX$4,' 6.0.00'!$AX$3)</f>
        <v>0</v>
      </c>
      <c r="G61" s="5">
        <f>(VLOOKUP(' 6.0.00'!O61,' 6.0.00'!$AM$4:$AO$55,2,FALSE))*IF(' 6.0.00'!AQ$4="是",' 6.0.00'!$AX$4,' 6.0.00'!$AX$3)</f>
        <v>0</v>
      </c>
      <c r="H61" s="5">
        <f>(VLOOKUP(' 6.0.00'!P61,' 6.0.00'!$AM$4:$AO$55,2,FALSE))*IF(' 6.0.00'!AR$4="是",' 6.0.00'!$AX$4,' 6.0.00'!$AX$3)</f>
        <v>0</v>
      </c>
      <c r="I61" s="4">
        <f>(VLOOKUP(' 6.0.00'!Q61,' 6.0.00'!$AM$4:$AO$55,2,FALSE))*IF(' 6.0.00'!AS$4="是",' 6.0.00'!$AX$4,' 6.0.00'!$AX$3)</f>
        <v>0</v>
      </c>
      <c r="J61" s="4">
        <f>(VLOOKUP(' 6.0.00'!R61,' 6.0.00'!$AM$4:$AO$55,2,FALSE))*IF(' 6.0.00'!AT$4="是",' 6.0.00'!$AX$4,' 6.0.00'!$AX$3)</f>
        <v>0</v>
      </c>
      <c r="K61" s="4">
        <f>(VLOOKUP(' 6.0.00'!S61,' 6.0.00'!$AM$4:$AO$55,2,FALSE))*IF(' 6.0.00'!AU$4="是",' 6.0.00'!$AX$4,' 6.0.00'!$AX$3)</f>
        <v>0</v>
      </c>
      <c r="L61" s="4">
        <f>(VLOOKUP(' 6.0.00'!T61,' 6.0.00'!$AM$4:$AO$55,2,FALSE))*IF(' 6.0.00'!AV$4="是",' 6.0.00'!$AX$4,' 6.0.00'!$AX$3)</f>
        <v>0</v>
      </c>
      <c r="M61" s="4">
        <f>(VLOOKUP(' 6.0.00'!U61,' 6.0.00'!$AM$4:$AO$55,2,FALSE))*IF(' 6.0.00'!AW$4="是",' 6.0.00'!$AX$4,' 6.0.00'!$AX$3)</f>
        <v>0</v>
      </c>
      <c r="N61" s="4">
        <f>(VLOOKUP(' 6.0.00'!V61,' 6.0.00'!$AM$4:$AO$55,2,FALSE))*IF(' 6.0.00'!AX$4="是",' 6.0.00'!$AX$4,' 6.0.00'!$AX$3)</f>
        <v>0</v>
      </c>
      <c r="O61" s="5">
        <f>(VLOOKUP(' 6.0.00'!W61,' 6.0.00'!$AM$4:$AO$55,2,FALSE))*IF(' 6.0.00'!AY$4="是",' 6.0.00'!$AX$4,' 6.0.00'!$AX$3)</f>
        <v>0</v>
      </c>
      <c r="P61" s="5">
        <f>(VLOOKUP(' 6.0.00'!X61,' 6.0.00'!$AM$4:$AO$55,2,FALSE))*IF(' 6.0.00'!AZ$4="是",' 6.0.00'!$AX$4,' 6.0.00'!$AX$3)</f>
        <v>0</v>
      </c>
      <c r="Q61" s="4">
        <f>(VLOOKUP(' 6.0.00'!Y61,' 6.0.00'!$AM$4:$AO$55,2,FALSE))*IF(' 6.0.00'!BA$4="是",' 6.0.00'!$AX$4,' 6.0.00'!$AX$3)</f>
        <v>0</v>
      </c>
      <c r="R61" s="4">
        <f>(VLOOKUP(' 6.0.00'!Z61,' 6.0.00'!$AM$4:$AO$55,2,FALSE))*IF(' 6.0.00'!BB$4="是",' 6.0.00'!$AX$4,' 6.0.00'!$AX$3)</f>
        <v>0</v>
      </c>
      <c r="S61" s="4">
        <f>(VLOOKUP(' 6.0.00'!AA61,' 6.0.00'!$AM$4:$AO$55,2,FALSE))*IF(' 6.0.00'!BC$4="是",' 6.0.00'!$AX$4,' 6.0.00'!$AX$3)</f>
        <v>0</v>
      </c>
      <c r="T61" s="4">
        <f>(VLOOKUP(' 6.0.00'!AB61,' 6.0.00'!$AM$4:$AO$55,2,FALSE))*IF(' 6.0.00'!BD$4="是",' 6.0.00'!$AX$4,' 6.0.00'!$AX$3)</f>
        <v>0</v>
      </c>
      <c r="U61" s="4">
        <f>(VLOOKUP(' 6.0.00'!AC61,' 6.0.00'!$AM$4:$AO$55,2,FALSE))*IF(' 6.0.00'!BE$4="是",' 6.0.00'!$AX$4,' 6.0.00'!$AX$3)</f>
        <v>0</v>
      </c>
      <c r="V61" s="4">
        <f>(VLOOKUP(' 6.0.00'!AD61,' 6.0.00'!$AM$4:$AO$55,2,FALSE))*IF(' 6.0.00'!BF$4="是",' 6.0.00'!$AX$4,' 6.0.00'!$AX$3)</f>
        <v>0</v>
      </c>
      <c r="W61" s="5">
        <f>(VLOOKUP(' 6.0.00'!AE61,' 6.0.00'!$AM$4:$AO$55,2,FALSE))*IF(' 6.0.00'!BG$4="是",' 6.0.00'!$AX$4,' 6.0.00'!$AX$3)</f>
        <v>0</v>
      </c>
      <c r="X61" s="5">
        <f>(VLOOKUP(' 6.0.00'!AF61,' 6.0.00'!$AM$4:$AO$55,2,FALSE))*IF(' 6.0.00'!BH$4="是",' 6.0.00'!$AX$4,' 6.0.00'!$AX$3)</f>
        <v>0</v>
      </c>
    </row>
    <row r="62" spans="1:24">
      <c r="A62" s="4">
        <f>(VLOOKUP(' 6.0.00'!I62,' 6.0.00'!$AM$4:$AO$55,2,FALSE))*IF(' 6.0.00'!AK$4="是",' 6.0.00'!$AX$4,' 6.0.00'!$AX$3)</f>
        <v>0</v>
      </c>
      <c r="B62" s="4">
        <f>(VLOOKUP(' 6.0.00'!J62,' 6.0.00'!$AM$4:$AO$55,2,FALSE))*IF(' 6.0.00'!AL$4="是",' 6.0.00'!$AX$4,' 6.0.00'!$AX$3)</f>
        <v>0</v>
      </c>
      <c r="C62" s="4">
        <f>(VLOOKUP(' 6.0.00'!K62,' 6.0.00'!$AM$4:$AO$55,2,FALSE))*IF(' 6.0.00'!AM$4="是",' 6.0.00'!$AX$4,' 6.0.00'!$AX$3)</f>
        <v>0</v>
      </c>
      <c r="D62" s="4">
        <f>(VLOOKUP(' 6.0.00'!L62,' 6.0.00'!$AM$4:$AO$55,2,FALSE))*IF(' 6.0.00'!AN$4="是",' 6.0.00'!$AX$4,' 6.0.00'!$AX$3)</f>
        <v>0</v>
      </c>
      <c r="E62" s="4">
        <f>(VLOOKUP(' 6.0.00'!M62,' 6.0.00'!$AM$4:$AO$55,2,FALSE))*IF(' 6.0.00'!AO$4="是",' 6.0.00'!$AX$4,' 6.0.00'!$AX$3)</f>
        <v>0</v>
      </c>
      <c r="F62" s="4">
        <f>(VLOOKUP(' 6.0.00'!N62,' 6.0.00'!$AM$4:$AO$55,2,FALSE))*IF(' 6.0.00'!AP$4="是",' 6.0.00'!$AX$4,' 6.0.00'!$AX$3)</f>
        <v>0</v>
      </c>
      <c r="G62" s="5">
        <f>(VLOOKUP(' 6.0.00'!O62,' 6.0.00'!$AM$4:$AO$55,2,FALSE))*IF(' 6.0.00'!AQ$4="是",' 6.0.00'!$AX$4,' 6.0.00'!$AX$3)</f>
        <v>0</v>
      </c>
      <c r="H62" s="5">
        <f>(VLOOKUP(' 6.0.00'!P62,' 6.0.00'!$AM$4:$AO$55,2,FALSE))*IF(' 6.0.00'!AR$4="是",' 6.0.00'!$AX$4,' 6.0.00'!$AX$3)</f>
        <v>0</v>
      </c>
      <c r="I62" s="4">
        <f>(VLOOKUP(' 6.0.00'!Q62,' 6.0.00'!$AM$4:$AO$55,2,FALSE))*IF(' 6.0.00'!AS$4="是",' 6.0.00'!$AX$4,' 6.0.00'!$AX$3)</f>
        <v>0</v>
      </c>
      <c r="J62" s="4">
        <f>(VLOOKUP(' 6.0.00'!R62,' 6.0.00'!$AM$4:$AO$55,2,FALSE))*IF(' 6.0.00'!AT$4="是",' 6.0.00'!$AX$4,' 6.0.00'!$AX$3)</f>
        <v>0</v>
      </c>
      <c r="K62" s="4">
        <f>(VLOOKUP(' 6.0.00'!S62,' 6.0.00'!$AM$4:$AO$55,2,FALSE))*IF(' 6.0.00'!AU$4="是",' 6.0.00'!$AX$4,' 6.0.00'!$AX$3)</f>
        <v>0</v>
      </c>
      <c r="L62" s="4">
        <f>(VLOOKUP(' 6.0.00'!T62,' 6.0.00'!$AM$4:$AO$55,2,FALSE))*IF(' 6.0.00'!AV$4="是",' 6.0.00'!$AX$4,' 6.0.00'!$AX$3)</f>
        <v>0</v>
      </c>
      <c r="M62" s="4">
        <f>(VLOOKUP(' 6.0.00'!U62,' 6.0.00'!$AM$4:$AO$55,2,FALSE))*IF(' 6.0.00'!AW$4="是",' 6.0.00'!$AX$4,' 6.0.00'!$AX$3)</f>
        <v>0</v>
      </c>
      <c r="N62" s="4">
        <f>(VLOOKUP(' 6.0.00'!V62,' 6.0.00'!$AM$4:$AO$55,2,FALSE))*IF(' 6.0.00'!AX$4="是",' 6.0.00'!$AX$4,' 6.0.00'!$AX$3)</f>
        <v>0</v>
      </c>
      <c r="O62" s="5">
        <f>(VLOOKUP(' 6.0.00'!W62,' 6.0.00'!$AM$4:$AO$55,2,FALSE))*IF(' 6.0.00'!AY$4="是",' 6.0.00'!$AX$4,' 6.0.00'!$AX$3)</f>
        <v>0</v>
      </c>
      <c r="P62" s="5">
        <f>(VLOOKUP(' 6.0.00'!X62,' 6.0.00'!$AM$4:$AO$55,2,FALSE))*IF(' 6.0.00'!AZ$4="是",' 6.0.00'!$AX$4,' 6.0.00'!$AX$3)</f>
        <v>0</v>
      </c>
      <c r="Q62" s="4">
        <f>(VLOOKUP(' 6.0.00'!Y62,' 6.0.00'!$AM$4:$AO$55,2,FALSE))*IF(' 6.0.00'!BA$4="是",' 6.0.00'!$AX$4,' 6.0.00'!$AX$3)</f>
        <v>0</v>
      </c>
      <c r="R62" s="4">
        <f>(VLOOKUP(' 6.0.00'!Z62,' 6.0.00'!$AM$4:$AO$55,2,FALSE))*IF(' 6.0.00'!BB$4="是",' 6.0.00'!$AX$4,' 6.0.00'!$AX$3)</f>
        <v>0</v>
      </c>
      <c r="S62" s="4">
        <f>(VLOOKUP(' 6.0.00'!AA62,' 6.0.00'!$AM$4:$AO$55,2,FALSE))*IF(' 6.0.00'!BC$4="是",' 6.0.00'!$AX$4,' 6.0.00'!$AX$3)</f>
        <v>0</v>
      </c>
      <c r="T62" s="4">
        <f>(VLOOKUP(' 6.0.00'!AB62,' 6.0.00'!$AM$4:$AO$55,2,FALSE))*IF(' 6.0.00'!BD$4="是",' 6.0.00'!$AX$4,' 6.0.00'!$AX$3)</f>
        <v>0</v>
      </c>
      <c r="U62" s="4">
        <f>(VLOOKUP(' 6.0.00'!AC62,' 6.0.00'!$AM$4:$AO$55,2,FALSE))*IF(' 6.0.00'!BE$4="是",' 6.0.00'!$AX$4,' 6.0.00'!$AX$3)</f>
        <v>0</v>
      </c>
      <c r="V62" s="4">
        <f>(VLOOKUP(' 6.0.00'!AD62,' 6.0.00'!$AM$4:$AO$55,2,FALSE))*IF(' 6.0.00'!BF$4="是",' 6.0.00'!$AX$4,' 6.0.00'!$AX$3)</f>
        <v>0</v>
      </c>
      <c r="W62" s="5">
        <f>(VLOOKUP(' 6.0.00'!AE62,' 6.0.00'!$AM$4:$AO$55,2,FALSE))*IF(' 6.0.00'!BG$4="是",' 6.0.00'!$AX$4,' 6.0.00'!$AX$3)</f>
        <v>0</v>
      </c>
      <c r="X62" s="5">
        <f>(VLOOKUP(' 6.0.00'!AF62,' 6.0.00'!$AM$4:$AO$55,2,FALSE))*IF(' 6.0.00'!BH$4="是",' 6.0.00'!$AX$4,' 6.0.00'!$AX$3)</f>
        <v>0</v>
      </c>
    </row>
    <row r="63" spans="1:24">
      <c r="A63" s="4">
        <f>(VLOOKUP(' 6.0.00'!I63,' 6.0.00'!$AM$4:$AO$55,2,FALSE))*IF(' 6.0.00'!AK$4="是",' 6.0.00'!$AX$4,' 6.0.00'!$AX$3)</f>
        <v>0</v>
      </c>
      <c r="B63" s="4">
        <f>(VLOOKUP(' 6.0.00'!J63,' 6.0.00'!$AM$4:$AO$55,2,FALSE))*IF(' 6.0.00'!AL$4="是",' 6.0.00'!$AX$4,' 6.0.00'!$AX$3)</f>
        <v>0</v>
      </c>
      <c r="C63" s="4">
        <f>(VLOOKUP(' 6.0.00'!K63,' 6.0.00'!$AM$4:$AO$55,2,FALSE))*IF(' 6.0.00'!AM$4="是",' 6.0.00'!$AX$4,' 6.0.00'!$AX$3)</f>
        <v>0</v>
      </c>
      <c r="D63" s="4">
        <f>(VLOOKUP(' 6.0.00'!L63,' 6.0.00'!$AM$4:$AO$55,2,FALSE))*IF(' 6.0.00'!AN$4="是",' 6.0.00'!$AX$4,' 6.0.00'!$AX$3)</f>
        <v>0</v>
      </c>
      <c r="E63" s="4">
        <f>(VLOOKUP(' 6.0.00'!M63,' 6.0.00'!$AM$4:$AO$55,2,FALSE))*IF(' 6.0.00'!AO$4="是",' 6.0.00'!$AX$4,' 6.0.00'!$AX$3)</f>
        <v>0</v>
      </c>
      <c r="F63" s="4">
        <f>(VLOOKUP(' 6.0.00'!N63,' 6.0.00'!$AM$4:$AO$55,2,FALSE))*IF(' 6.0.00'!AP$4="是",' 6.0.00'!$AX$4,' 6.0.00'!$AX$3)</f>
        <v>0</v>
      </c>
      <c r="G63" s="5">
        <f>(VLOOKUP(' 6.0.00'!O63,' 6.0.00'!$AM$4:$AO$55,2,FALSE))*IF(' 6.0.00'!AQ$4="是",' 6.0.00'!$AX$4,' 6.0.00'!$AX$3)</f>
        <v>0</v>
      </c>
      <c r="H63" s="5">
        <f>(VLOOKUP(' 6.0.00'!P63,' 6.0.00'!$AM$4:$AO$55,2,FALSE))*IF(' 6.0.00'!AR$4="是",' 6.0.00'!$AX$4,' 6.0.00'!$AX$3)</f>
        <v>0</v>
      </c>
      <c r="I63" s="4">
        <f>(VLOOKUP(' 6.0.00'!Q63,' 6.0.00'!$AM$4:$AO$55,2,FALSE))*IF(' 6.0.00'!AS$4="是",' 6.0.00'!$AX$4,' 6.0.00'!$AX$3)</f>
        <v>0</v>
      </c>
      <c r="J63" s="4">
        <f>(VLOOKUP(' 6.0.00'!R63,' 6.0.00'!$AM$4:$AO$55,2,FALSE))*IF(' 6.0.00'!AT$4="是",' 6.0.00'!$AX$4,' 6.0.00'!$AX$3)</f>
        <v>0</v>
      </c>
      <c r="K63" s="4">
        <f>(VLOOKUP(' 6.0.00'!S63,' 6.0.00'!$AM$4:$AO$55,2,FALSE))*IF(' 6.0.00'!AU$4="是",' 6.0.00'!$AX$4,' 6.0.00'!$AX$3)</f>
        <v>0</v>
      </c>
      <c r="L63" s="4">
        <f>(VLOOKUP(' 6.0.00'!T63,' 6.0.00'!$AM$4:$AO$55,2,FALSE))*IF(' 6.0.00'!AV$4="是",' 6.0.00'!$AX$4,' 6.0.00'!$AX$3)</f>
        <v>0</v>
      </c>
      <c r="M63" s="4">
        <f>(VLOOKUP(' 6.0.00'!U63,' 6.0.00'!$AM$4:$AO$55,2,FALSE))*IF(' 6.0.00'!AW$4="是",' 6.0.00'!$AX$4,' 6.0.00'!$AX$3)</f>
        <v>0</v>
      </c>
      <c r="N63" s="4">
        <f>(VLOOKUP(' 6.0.00'!V63,' 6.0.00'!$AM$4:$AO$55,2,FALSE))*IF(' 6.0.00'!AX$4="是",' 6.0.00'!$AX$4,' 6.0.00'!$AX$3)</f>
        <v>0</v>
      </c>
      <c r="O63" s="5">
        <f>(VLOOKUP(' 6.0.00'!W63,' 6.0.00'!$AM$4:$AO$55,2,FALSE))*IF(' 6.0.00'!AY$4="是",' 6.0.00'!$AX$4,' 6.0.00'!$AX$3)</f>
        <v>0</v>
      </c>
      <c r="P63" s="5">
        <f>(VLOOKUP(' 6.0.00'!X63,' 6.0.00'!$AM$4:$AO$55,2,FALSE))*IF(' 6.0.00'!AZ$4="是",' 6.0.00'!$AX$4,' 6.0.00'!$AX$3)</f>
        <v>0</v>
      </c>
      <c r="Q63" s="4">
        <f>(VLOOKUP(' 6.0.00'!Y63,' 6.0.00'!$AM$4:$AO$55,2,FALSE))*IF(' 6.0.00'!BA$4="是",' 6.0.00'!$AX$4,' 6.0.00'!$AX$3)</f>
        <v>0</v>
      </c>
      <c r="R63" s="4">
        <f>(VLOOKUP(' 6.0.00'!Z63,' 6.0.00'!$AM$4:$AO$55,2,FALSE))*IF(' 6.0.00'!BB$4="是",' 6.0.00'!$AX$4,' 6.0.00'!$AX$3)</f>
        <v>0</v>
      </c>
      <c r="S63" s="4">
        <f>(VLOOKUP(' 6.0.00'!AA63,' 6.0.00'!$AM$4:$AO$55,2,FALSE))*IF(' 6.0.00'!BC$4="是",' 6.0.00'!$AX$4,' 6.0.00'!$AX$3)</f>
        <v>0</v>
      </c>
      <c r="T63" s="4">
        <f>(VLOOKUP(' 6.0.00'!AB63,' 6.0.00'!$AM$4:$AO$55,2,FALSE))*IF(' 6.0.00'!BD$4="是",' 6.0.00'!$AX$4,' 6.0.00'!$AX$3)</f>
        <v>0</v>
      </c>
      <c r="U63" s="4">
        <f>(VLOOKUP(' 6.0.00'!AC63,' 6.0.00'!$AM$4:$AO$55,2,FALSE))*IF(' 6.0.00'!BE$4="是",' 6.0.00'!$AX$4,' 6.0.00'!$AX$3)</f>
        <v>0</v>
      </c>
      <c r="V63" s="4">
        <f>(VLOOKUP(' 6.0.00'!AD63,' 6.0.00'!$AM$4:$AO$55,2,FALSE))*IF(' 6.0.00'!BF$4="是",' 6.0.00'!$AX$4,' 6.0.00'!$AX$3)</f>
        <v>0</v>
      </c>
      <c r="W63" s="5">
        <f>(VLOOKUP(' 6.0.00'!AE63,' 6.0.00'!$AM$4:$AO$55,2,FALSE))*IF(' 6.0.00'!BG$4="是",' 6.0.00'!$AX$4,' 6.0.00'!$AX$3)</f>
        <v>0</v>
      </c>
      <c r="X63" s="5">
        <f>(VLOOKUP(' 6.0.00'!AF63,' 6.0.00'!$AM$4:$AO$55,2,FALSE))*IF(' 6.0.00'!BH$4="是",' 6.0.00'!$AX$4,' 6.0.00'!$AX$3)</f>
        <v>0</v>
      </c>
    </row>
    <row r="64" spans="1:24">
      <c r="A64" s="4">
        <f>(VLOOKUP(' 6.0.00'!I64,' 6.0.00'!$AM$4:$AO$55,2,FALSE))*IF(' 6.0.00'!AK$4="是",' 6.0.00'!$AX$4,' 6.0.00'!$AX$3)</f>
        <v>0</v>
      </c>
      <c r="B64" s="4">
        <f>(VLOOKUP(' 6.0.00'!J64,' 6.0.00'!$AM$4:$AO$55,2,FALSE))*IF(' 6.0.00'!AL$4="是",' 6.0.00'!$AX$4,' 6.0.00'!$AX$3)</f>
        <v>0</v>
      </c>
      <c r="C64" s="4">
        <f>(VLOOKUP(' 6.0.00'!K64,' 6.0.00'!$AM$4:$AO$55,2,FALSE))*IF(' 6.0.00'!AM$4="是",' 6.0.00'!$AX$4,' 6.0.00'!$AX$3)</f>
        <v>0</v>
      </c>
      <c r="D64" s="4">
        <f>(VLOOKUP(' 6.0.00'!L64,' 6.0.00'!$AM$4:$AO$55,2,FALSE))*IF(' 6.0.00'!AN$4="是",' 6.0.00'!$AX$4,' 6.0.00'!$AX$3)</f>
        <v>0</v>
      </c>
      <c r="E64" s="4">
        <f>(VLOOKUP(' 6.0.00'!M64,' 6.0.00'!$AM$4:$AO$55,2,FALSE))*IF(' 6.0.00'!AO$4="是",' 6.0.00'!$AX$4,' 6.0.00'!$AX$3)</f>
        <v>0</v>
      </c>
      <c r="F64" s="4">
        <f>(VLOOKUP(' 6.0.00'!N64,' 6.0.00'!$AM$4:$AO$55,2,FALSE))*IF(' 6.0.00'!AP$4="是",' 6.0.00'!$AX$4,' 6.0.00'!$AX$3)</f>
        <v>0</v>
      </c>
      <c r="G64" s="5">
        <f>(VLOOKUP(' 6.0.00'!O64,' 6.0.00'!$AM$4:$AO$55,2,FALSE))*IF(' 6.0.00'!AQ$4="是",' 6.0.00'!$AX$4,' 6.0.00'!$AX$3)</f>
        <v>0</v>
      </c>
      <c r="H64" s="5">
        <f>(VLOOKUP(' 6.0.00'!P64,' 6.0.00'!$AM$4:$AO$55,2,FALSE))*IF(' 6.0.00'!AR$4="是",' 6.0.00'!$AX$4,' 6.0.00'!$AX$3)</f>
        <v>0</v>
      </c>
      <c r="I64" s="4">
        <f>(VLOOKUP(' 6.0.00'!Q64,' 6.0.00'!$AM$4:$AO$55,2,FALSE))*IF(' 6.0.00'!AS$4="是",' 6.0.00'!$AX$4,' 6.0.00'!$AX$3)</f>
        <v>0</v>
      </c>
      <c r="J64" s="4">
        <f>(VLOOKUP(' 6.0.00'!R64,' 6.0.00'!$AM$4:$AO$55,2,FALSE))*IF(' 6.0.00'!AT$4="是",' 6.0.00'!$AX$4,' 6.0.00'!$AX$3)</f>
        <v>0</v>
      </c>
      <c r="K64" s="4">
        <f>(VLOOKUP(' 6.0.00'!S64,' 6.0.00'!$AM$4:$AO$55,2,FALSE))*IF(' 6.0.00'!AU$4="是",' 6.0.00'!$AX$4,' 6.0.00'!$AX$3)</f>
        <v>0</v>
      </c>
      <c r="L64" s="4">
        <f>(VLOOKUP(' 6.0.00'!T64,' 6.0.00'!$AM$4:$AO$55,2,FALSE))*IF(' 6.0.00'!AV$4="是",' 6.0.00'!$AX$4,' 6.0.00'!$AX$3)</f>
        <v>0</v>
      </c>
      <c r="M64" s="4">
        <f>(VLOOKUP(' 6.0.00'!U64,' 6.0.00'!$AM$4:$AO$55,2,FALSE))*IF(' 6.0.00'!AW$4="是",' 6.0.00'!$AX$4,' 6.0.00'!$AX$3)</f>
        <v>0</v>
      </c>
      <c r="N64" s="4">
        <f>(VLOOKUP(' 6.0.00'!V64,' 6.0.00'!$AM$4:$AO$55,2,FALSE))*IF(' 6.0.00'!AX$4="是",' 6.0.00'!$AX$4,' 6.0.00'!$AX$3)</f>
        <v>0</v>
      </c>
      <c r="O64" s="5">
        <f>(VLOOKUP(' 6.0.00'!W64,' 6.0.00'!$AM$4:$AO$55,2,FALSE))*IF(' 6.0.00'!AY$4="是",' 6.0.00'!$AX$4,' 6.0.00'!$AX$3)</f>
        <v>0</v>
      </c>
      <c r="P64" s="5">
        <f>(VLOOKUP(' 6.0.00'!X64,' 6.0.00'!$AM$4:$AO$55,2,FALSE))*IF(' 6.0.00'!AZ$4="是",' 6.0.00'!$AX$4,' 6.0.00'!$AX$3)</f>
        <v>0</v>
      </c>
      <c r="Q64" s="4">
        <f>(VLOOKUP(' 6.0.00'!Y64,' 6.0.00'!$AM$4:$AO$55,2,FALSE))*IF(' 6.0.00'!BA$4="是",' 6.0.00'!$AX$4,' 6.0.00'!$AX$3)</f>
        <v>0</v>
      </c>
      <c r="R64" s="4">
        <f>(VLOOKUP(' 6.0.00'!Z64,' 6.0.00'!$AM$4:$AO$55,2,FALSE))*IF(' 6.0.00'!BB$4="是",' 6.0.00'!$AX$4,' 6.0.00'!$AX$3)</f>
        <v>0</v>
      </c>
      <c r="S64" s="4">
        <f>(VLOOKUP(' 6.0.00'!AA64,' 6.0.00'!$AM$4:$AO$55,2,FALSE))*IF(' 6.0.00'!BC$4="是",' 6.0.00'!$AX$4,' 6.0.00'!$AX$3)</f>
        <v>0</v>
      </c>
      <c r="T64" s="4">
        <f>(VLOOKUP(' 6.0.00'!AB64,' 6.0.00'!$AM$4:$AO$55,2,FALSE))*IF(' 6.0.00'!BD$4="是",' 6.0.00'!$AX$4,' 6.0.00'!$AX$3)</f>
        <v>0</v>
      </c>
      <c r="U64" s="4">
        <f>(VLOOKUP(' 6.0.00'!AC64,' 6.0.00'!$AM$4:$AO$55,2,FALSE))*IF(' 6.0.00'!BE$4="是",' 6.0.00'!$AX$4,' 6.0.00'!$AX$3)</f>
        <v>0</v>
      </c>
      <c r="V64" s="4">
        <f>(VLOOKUP(' 6.0.00'!AD64,' 6.0.00'!$AM$4:$AO$55,2,FALSE))*IF(' 6.0.00'!BF$4="是",' 6.0.00'!$AX$4,' 6.0.00'!$AX$3)</f>
        <v>0</v>
      </c>
      <c r="W64" s="5">
        <f>(VLOOKUP(' 6.0.00'!AE64,' 6.0.00'!$AM$4:$AO$55,2,FALSE))*IF(' 6.0.00'!BG$4="是",' 6.0.00'!$AX$4,' 6.0.00'!$AX$3)</f>
        <v>0</v>
      </c>
      <c r="X64" s="5">
        <f>(VLOOKUP(' 6.0.00'!AF64,' 6.0.00'!$AM$4:$AO$55,2,FALSE))*IF(' 6.0.00'!BH$4="是",' 6.0.00'!$AX$4,' 6.0.00'!$AX$3)</f>
        <v>0</v>
      </c>
    </row>
    <row r="65" spans="1:24">
      <c r="A65" s="4">
        <f>(VLOOKUP(' 6.0.00'!I65,' 6.0.00'!$AM$4:$AO$55,2,FALSE))*IF(' 6.0.00'!AK$4="是",' 6.0.00'!$AX$4,' 6.0.00'!$AX$3)</f>
        <v>0</v>
      </c>
      <c r="B65" s="4">
        <f>(VLOOKUP(' 6.0.00'!J65,' 6.0.00'!$AM$4:$AO$55,2,FALSE))*IF(' 6.0.00'!AL$4="是",' 6.0.00'!$AX$4,' 6.0.00'!$AX$3)</f>
        <v>0</v>
      </c>
      <c r="C65" s="4">
        <f>(VLOOKUP(' 6.0.00'!K65,' 6.0.00'!$AM$4:$AO$55,2,FALSE))*IF(' 6.0.00'!AM$4="是",' 6.0.00'!$AX$4,' 6.0.00'!$AX$3)</f>
        <v>0</v>
      </c>
      <c r="D65" s="4">
        <f>(VLOOKUP(' 6.0.00'!L65,' 6.0.00'!$AM$4:$AO$55,2,FALSE))*IF(' 6.0.00'!AN$4="是",' 6.0.00'!$AX$4,' 6.0.00'!$AX$3)</f>
        <v>0</v>
      </c>
      <c r="E65" s="4">
        <f>(VLOOKUP(' 6.0.00'!M65,' 6.0.00'!$AM$4:$AO$55,2,FALSE))*IF(' 6.0.00'!AO$4="是",' 6.0.00'!$AX$4,' 6.0.00'!$AX$3)</f>
        <v>0</v>
      </c>
      <c r="F65" s="4">
        <f>(VLOOKUP(' 6.0.00'!N65,' 6.0.00'!$AM$4:$AO$55,2,FALSE))*IF(' 6.0.00'!AP$4="是",' 6.0.00'!$AX$4,' 6.0.00'!$AX$3)</f>
        <v>0</v>
      </c>
      <c r="G65" s="5">
        <f>(VLOOKUP(' 6.0.00'!O65,' 6.0.00'!$AM$4:$AO$55,2,FALSE))*IF(' 6.0.00'!AQ$4="是",' 6.0.00'!$AX$4,' 6.0.00'!$AX$3)</f>
        <v>0</v>
      </c>
      <c r="H65" s="5">
        <f>(VLOOKUP(' 6.0.00'!P65,' 6.0.00'!$AM$4:$AO$55,2,FALSE))*IF(' 6.0.00'!AR$4="是",' 6.0.00'!$AX$4,' 6.0.00'!$AX$3)</f>
        <v>0</v>
      </c>
      <c r="I65" s="4">
        <f>(VLOOKUP(' 6.0.00'!Q65,' 6.0.00'!$AM$4:$AO$55,2,FALSE))*IF(' 6.0.00'!AS$4="是",' 6.0.00'!$AX$4,' 6.0.00'!$AX$3)</f>
        <v>0</v>
      </c>
      <c r="J65" s="4">
        <f>(VLOOKUP(' 6.0.00'!R65,' 6.0.00'!$AM$4:$AO$55,2,FALSE))*IF(' 6.0.00'!AT$4="是",' 6.0.00'!$AX$4,' 6.0.00'!$AX$3)</f>
        <v>0</v>
      </c>
      <c r="K65" s="4">
        <f>(VLOOKUP(' 6.0.00'!S65,' 6.0.00'!$AM$4:$AO$55,2,FALSE))*IF(' 6.0.00'!AU$4="是",' 6.0.00'!$AX$4,' 6.0.00'!$AX$3)</f>
        <v>0</v>
      </c>
      <c r="L65" s="4">
        <f>(VLOOKUP(' 6.0.00'!T65,' 6.0.00'!$AM$4:$AO$55,2,FALSE))*IF(' 6.0.00'!AV$4="是",' 6.0.00'!$AX$4,' 6.0.00'!$AX$3)</f>
        <v>0</v>
      </c>
      <c r="M65" s="4">
        <f>(VLOOKUP(' 6.0.00'!U65,' 6.0.00'!$AM$4:$AO$55,2,FALSE))*IF(' 6.0.00'!AW$4="是",' 6.0.00'!$AX$4,' 6.0.00'!$AX$3)</f>
        <v>0</v>
      </c>
      <c r="N65" s="4">
        <f>(VLOOKUP(' 6.0.00'!V65,' 6.0.00'!$AM$4:$AO$55,2,FALSE))*IF(' 6.0.00'!AX$4="是",' 6.0.00'!$AX$4,' 6.0.00'!$AX$3)</f>
        <v>0</v>
      </c>
      <c r="O65" s="5">
        <f>(VLOOKUP(' 6.0.00'!W65,' 6.0.00'!$AM$4:$AO$55,2,FALSE))*IF(' 6.0.00'!AY$4="是",' 6.0.00'!$AX$4,' 6.0.00'!$AX$3)</f>
        <v>0</v>
      </c>
      <c r="P65" s="5">
        <f>(VLOOKUP(' 6.0.00'!X65,' 6.0.00'!$AM$4:$AO$55,2,FALSE))*IF(' 6.0.00'!AZ$4="是",' 6.0.00'!$AX$4,' 6.0.00'!$AX$3)</f>
        <v>0</v>
      </c>
      <c r="Q65" s="4">
        <f>(VLOOKUP(' 6.0.00'!Y65,' 6.0.00'!$AM$4:$AO$55,2,FALSE))*IF(' 6.0.00'!BA$4="是",' 6.0.00'!$AX$4,' 6.0.00'!$AX$3)</f>
        <v>0</v>
      </c>
      <c r="R65" s="4">
        <f>(VLOOKUP(' 6.0.00'!Z65,' 6.0.00'!$AM$4:$AO$55,2,FALSE))*IF(' 6.0.00'!BB$4="是",' 6.0.00'!$AX$4,' 6.0.00'!$AX$3)</f>
        <v>0</v>
      </c>
      <c r="S65" s="4">
        <f>(VLOOKUP(' 6.0.00'!AA65,' 6.0.00'!$AM$4:$AO$55,2,FALSE))*IF(' 6.0.00'!BC$4="是",' 6.0.00'!$AX$4,' 6.0.00'!$AX$3)</f>
        <v>0</v>
      </c>
      <c r="T65" s="4">
        <f>(VLOOKUP(' 6.0.00'!AB65,' 6.0.00'!$AM$4:$AO$55,2,FALSE))*IF(' 6.0.00'!BD$4="是",' 6.0.00'!$AX$4,' 6.0.00'!$AX$3)</f>
        <v>0</v>
      </c>
      <c r="U65" s="4">
        <f>(VLOOKUP(' 6.0.00'!AC65,' 6.0.00'!$AM$4:$AO$55,2,FALSE))*IF(' 6.0.00'!BE$4="是",' 6.0.00'!$AX$4,' 6.0.00'!$AX$3)</f>
        <v>0</v>
      </c>
      <c r="V65" s="4">
        <f>(VLOOKUP(' 6.0.00'!AD65,' 6.0.00'!$AM$4:$AO$55,2,FALSE))*IF(' 6.0.00'!BF$4="是",' 6.0.00'!$AX$4,' 6.0.00'!$AX$3)</f>
        <v>0</v>
      </c>
      <c r="W65" s="5">
        <f>(VLOOKUP(' 6.0.00'!AE65,' 6.0.00'!$AM$4:$AO$55,2,FALSE))*IF(' 6.0.00'!BG$4="是",' 6.0.00'!$AX$4,' 6.0.00'!$AX$3)</f>
        <v>0</v>
      </c>
      <c r="X65" s="5">
        <f>(VLOOKUP(' 6.0.00'!AF65,' 6.0.00'!$AM$4:$AO$55,2,FALSE))*IF(' 6.0.00'!BH$4="是",' 6.0.00'!$AX$4,' 6.0.00'!$AX$3)</f>
        <v>0</v>
      </c>
    </row>
    <row r="66" spans="1:24">
      <c r="A66" s="4">
        <f>(VLOOKUP(' 6.0.00'!I66,' 6.0.00'!$AM$4:$AO$55,2,FALSE))*IF(' 6.0.00'!AK$4="是",' 6.0.00'!$AX$4,' 6.0.00'!$AX$3)</f>
        <v>0</v>
      </c>
      <c r="B66" s="4">
        <f>(VLOOKUP(' 6.0.00'!J66,' 6.0.00'!$AM$4:$AO$55,2,FALSE))*IF(' 6.0.00'!AL$4="是",' 6.0.00'!$AX$4,' 6.0.00'!$AX$3)</f>
        <v>0</v>
      </c>
      <c r="C66" s="4">
        <f>(VLOOKUP(' 6.0.00'!K66,' 6.0.00'!$AM$4:$AO$55,2,FALSE))*IF(' 6.0.00'!AM$4="是",' 6.0.00'!$AX$4,' 6.0.00'!$AX$3)</f>
        <v>0</v>
      </c>
      <c r="D66" s="4">
        <f>(VLOOKUP(' 6.0.00'!L66,' 6.0.00'!$AM$4:$AO$55,2,FALSE))*IF(' 6.0.00'!AN$4="是",' 6.0.00'!$AX$4,' 6.0.00'!$AX$3)</f>
        <v>0</v>
      </c>
      <c r="E66" s="4">
        <f>(VLOOKUP(' 6.0.00'!M66,' 6.0.00'!$AM$4:$AO$55,2,FALSE))*IF(' 6.0.00'!AO$4="是",' 6.0.00'!$AX$4,' 6.0.00'!$AX$3)</f>
        <v>0</v>
      </c>
      <c r="F66" s="4">
        <f>(VLOOKUP(' 6.0.00'!N66,' 6.0.00'!$AM$4:$AO$55,2,FALSE))*IF(' 6.0.00'!AP$4="是",' 6.0.00'!$AX$4,' 6.0.00'!$AX$3)</f>
        <v>0</v>
      </c>
      <c r="G66" s="5">
        <f>(VLOOKUP(' 6.0.00'!O66,' 6.0.00'!$AM$4:$AO$55,2,FALSE))*IF(' 6.0.00'!AQ$4="是",' 6.0.00'!$AX$4,' 6.0.00'!$AX$3)</f>
        <v>0</v>
      </c>
      <c r="H66" s="5">
        <f>(VLOOKUP(' 6.0.00'!P66,' 6.0.00'!$AM$4:$AO$55,2,FALSE))*IF(' 6.0.00'!AR$4="是",' 6.0.00'!$AX$4,' 6.0.00'!$AX$3)</f>
        <v>0</v>
      </c>
      <c r="I66" s="4">
        <f>(VLOOKUP(' 6.0.00'!Q66,' 6.0.00'!$AM$4:$AO$55,2,FALSE))*IF(' 6.0.00'!AS$4="是",' 6.0.00'!$AX$4,' 6.0.00'!$AX$3)</f>
        <v>0</v>
      </c>
      <c r="J66" s="4">
        <f>(VLOOKUP(' 6.0.00'!R66,' 6.0.00'!$AM$4:$AO$55,2,FALSE))*IF(' 6.0.00'!AT$4="是",' 6.0.00'!$AX$4,' 6.0.00'!$AX$3)</f>
        <v>0</v>
      </c>
      <c r="K66" s="4">
        <f>(VLOOKUP(' 6.0.00'!S66,' 6.0.00'!$AM$4:$AO$55,2,FALSE))*IF(' 6.0.00'!AU$4="是",' 6.0.00'!$AX$4,' 6.0.00'!$AX$3)</f>
        <v>0</v>
      </c>
      <c r="L66" s="4">
        <f>(VLOOKUP(' 6.0.00'!T66,' 6.0.00'!$AM$4:$AO$55,2,FALSE))*IF(' 6.0.00'!AV$4="是",' 6.0.00'!$AX$4,' 6.0.00'!$AX$3)</f>
        <v>0</v>
      </c>
      <c r="M66" s="4">
        <f>(VLOOKUP(' 6.0.00'!U66,' 6.0.00'!$AM$4:$AO$55,2,FALSE))*IF(' 6.0.00'!AW$4="是",' 6.0.00'!$AX$4,' 6.0.00'!$AX$3)</f>
        <v>0</v>
      </c>
      <c r="N66" s="4">
        <f>(VLOOKUP(' 6.0.00'!V66,' 6.0.00'!$AM$4:$AO$55,2,FALSE))*IF(' 6.0.00'!AX$4="是",' 6.0.00'!$AX$4,' 6.0.00'!$AX$3)</f>
        <v>0</v>
      </c>
      <c r="O66" s="5">
        <f>(VLOOKUP(' 6.0.00'!W66,' 6.0.00'!$AM$4:$AO$55,2,FALSE))*IF(' 6.0.00'!AY$4="是",' 6.0.00'!$AX$4,' 6.0.00'!$AX$3)</f>
        <v>0</v>
      </c>
      <c r="P66" s="5">
        <f>(VLOOKUP(' 6.0.00'!X66,' 6.0.00'!$AM$4:$AO$55,2,FALSE))*IF(' 6.0.00'!AZ$4="是",' 6.0.00'!$AX$4,' 6.0.00'!$AX$3)</f>
        <v>0</v>
      </c>
      <c r="Q66" s="4">
        <f>(VLOOKUP(' 6.0.00'!Y66,' 6.0.00'!$AM$4:$AO$55,2,FALSE))*IF(' 6.0.00'!BA$4="是",' 6.0.00'!$AX$4,' 6.0.00'!$AX$3)</f>
        <v>0</v>
      </c>
      <c r="R66" s="4">
        <f>(VLOOKUP(' 6.0.00'!Z66,' 6.0.00'!$AM$4:$AO$55,2,FALSE))*IF(' 6.0.00'!BB$4="是",' 6.0.00'!$AX$4,' 6.0.00'!$AX$3)</f>
        <v>0</v>
      </c>
      <c r="S66" s="4">
        <f>(VLOOKUP(' 6.0.00'!AA66,' 6.0.00'!$AM$4:$AO$55,2,FALSE))*IF(' 6.0.00'!BC$4="是",' 6.0.00'!$AX$4,' 6.0.00'!$AX$3)</f>
        <v>0</v>
      </c>
      <c r="T66" s="4">
        <f>(VLOOKUP(' 6.0.00'!AB66,' 6.0.00'!$AM$4:$AO$55,2,FALSE))*IF(' 6.0.00'!BD$4="是",' 6.0.00'!$AX$4,' 6.0.00'!$AX$3)</f>
        <v>0</v>
      </c>
      <c r="U66" s="4">
        <f>(VLOOKUP(' 6.0.00'!AC66,' 6.0.00'!$AM$4:$AO$55,2,FALSE))*IF(' 6.0.00'!BE$4="是",' 6.0.00'!$AX$4,' 6.0.00'!$AX$3)</f>
        <v>0</v>
      </c>
      <c r="V66" s="4">
        <f>(VLOOKUP(' 6.0.00'!AD66,' 6.0.00'!$AM$4:$AO$55,2,FALSE))*IF(' 6.0.00'!BF$4="是",' 6.0.00'!$AX$4,' 6.0.00'!$AX$3)</f>
        <v>0</v>
      </c>
      <c r="W66" s="5">
        <f>(VLOOKUP(' 6.0.00'!AE66,' 6.0.00'!$AM$4:$AO$55,2,FALSE))*IF(' 6.0.00'!BG$4="是",' 6.0.00'!$AX$4,' 6.0.00'!$AX$3)</f>
        <v>0</v>
      </c>
      <c r="X66" s="5">
        <f>(VLOOKUP(' 6.0.00'!AF66,' 6.0.00'!$AM$4:$AO$55,2,FALSE))*IF(' 6.0.00'!BH$4="是",' 6.0.00'!$AX$4,' 6.0.00'!$AX$3)</f>
        <v>0</v>
      </c>
    </row>
    <row r="67" spans="1:24">
      <c r="A67" s="4">
        <f>(VLOOKUP(' 6.0.00'!I67,' 6.0.00'!$AM$4:$AO$55,2,FALSE))*IF(' 6.0.00'!AK$4="是",' 6.0.00'!$AX$4,' 6.0.00'!$AX$3)</f>
        <v>0</v>
      </c>
      <c r="B67" s="4">
        <f>(VLOOKUP(' 6.0.00'!J67,' 6.0.00'!$AM$4:$AO$55,2,FALSE))*IF(' 6.0.00'!AL$4="是",' 6.0.00'!$AX$4,' 6.0.00'!$AX$3)</f>
        <v>0</v>
      </c>
      <c r="C67" s="4">
        <f>(VLOOKUP(' 6.0.00'!K67,' 6.0.00'!$AM$4:$AO$55,2,FALSE))*IF(' 6.0.00'!AM$4="是",' 6.0.00'!$AX$4,' 6.0.00'!$AX$3)</f>
        <v>0</v>
      </c>
      <c r="D67" s="4">
        <f>(VLOOKUP(' 6.0.00'!L67,' 6.0.00'!$AM$4:$AO$55,2,FALSE))*IF(' 6.0.00'!AN$4="是",' 6.0.00'!$AX$4,' 6.0.00'!$AX$3)</f>
        <v>0</v>
      </c>
      <c r="E67" s="4">
        <f>(VLOOKUP(' 6.0.00'!M67,' 6.0.00'!$AM$4:$AO$55,2,FALSE))*IF(' 6.0.00'!AO$4="是",' 6.0.00'!$AX$4,' 6.0.00'!$AX$3)</f>
        <v>0</v>
      </c>
      <c r="F67" s="4">
        <f>(VLOOKUP(' 6.0.00'!N67,' 6.0.00'!$AM$4:$AO$55,2,FALSE))*IF(' 6.0.00'!AP$4="是",' 6.0.00'!$AX$4,' 6.0.00'!$AX$3)</f>
        <v>0</v>
      </c>
      <c r="G67" s="5">
        <f>(VLOOKUP(' 6.0.00'!O67,' 6.0.00'!$AM$4:$AO$55,2,FALSE))*IF(' 6.0.00'!AQ$4="是",' 6.0.00'!$AX$4,' 6.0.00'!$AX$3)</f>
        <v>0</v>
      </c>
      <c r="H67" s="5">
        <f>(VLOOKUP(' 6.0.00'!P67,' 6.0.00'!$AM$4:$AO$55,2,FALSE))*IF(' 6.0.00'!AR$4="是",' 6.0.00'!$AX$4,' 6.0.00'!$AX$3)</f>
        <v>0</v>
      </c>
      <c r="I67" s="4">
        <f>(VLOOKUP(' 6.0.00'!Q67,' 6.0.00'!$AM$4:$AO$55,2,FALSE))*IF(' 6.0.00'!AS$4="是",' 6.0.00'!$AX$4,' 6.0.00'!$AX$3)</f>
        <v>0</v>
      </c>
      <c r="J67" s="4">
        <f>(VLOOKUP(' 6.0.00'!R67,' 6.0.00'!$AM$4:$AO$55,2,FALSE))*IF(' 6.0.00'!AT$4="是",' 6.0.00'!$AX$4,' 6.0.00'!$AX$3)</f>
        <v>0</v>
      </c>
      <c r="K67" s="4">
        <f>(VLOOKUP(' 6.0.00'!S67,' 6.0.00'!$AM$4:$AO$55,2,FALSE))*IF(' 6.0.00'!AU$4="是",' 6.0.00'!$AX$4,' 6.0.00'!$AX$3)</f>
        <v>0</v>
      </c>
      <c r="L67" s="4">
        <f>(VLOOKUP(' 6.0.00'!T67,' 6.0.00'!$AM$4:$AO$55,2,FALSE))*IF(' 6.0.00'!AV$4="是",' 6.0.00'!$AX$4,' 6.0.00'!$AX$3)</f>
        <v>0</v>
      </c>
      <c r="M67" s="4">
        <f>(VLOOKUP(' 6.0.00'!U67,' 6.0.00'!$AM$4:$AO$55,2,FALSE))*IF(' 6.0.00'!AW$4="是",' 6.0.00'!$AX$4,' 6.0.00'!$AX$3)</f>
        <v>0</v>
      </c>
      <c r="N67" s="4">
        <f>(VLOOKUP(' 6.0.00'!V67,' 6.0.00'!$AM$4:$AO$55,2,FALSE))*IF(' 6.0.00'!AX$4="是",' 6.0.00'!$AX$4,' 6.0.00'!$AX$3)</f>
        <v>0</v>
      </c>
      <c r="O67" s="5">
        <f>(VLOOKUP(' 6.0.00'!W67,' 6.0.00'!$AM$4:$AO$55,2,FALSE))*IF(' 6.0.00'!AY$4="是",' 6.0.00'!$AX$4,' 6.0.00'!$AX$3)</f>
        <v>0</v>
      </c>
      <c r="P67" s="5">
        <f>(VLOOKUP(' 6.0.00'!X67,' 6.0.00'!$AM$4:$AO$55,2,FALSE))*IF(' 6.0.00'!AZ$4="是",' 6.0.00'!$AX$4,' 6.0.00'!$AX$3)</f>
        <v>0</v>
      </c>
      <c r="Q67" s="4">
        <f>(VLOOKUP(' 6.0.00'!Y67,' 6.0.00'!$AM$4:$AO$55,2,FALSE))*IF(' 6.0.00'!BA$4="是",' 6.0.00'!$AX$4,' 6.0.00'!$AX$3)</f>
        <v>0</v>
      </c>
      <c r="R67" s="4">
        <f>(VLOOKUP(' 6.0.00'!Z67,' 6.0.00'!$AM$4:$AO$55,2,FALSE))*IF(' 6.0.00'!BB$4="是",' 6.0.00'!$AX$4,' 6.0.00'!$AX$3)</f>
        <v>0</v>
      </c>
      <c r="S67" s="4">
        <f>(VLOOKUP(' 6.0.00'!AA67,' 6.0.00'!$AM$4:$AO$55,2,FALSE))*IF(' 6.0.00'!BC$4="是",' 6.0.00'!$AX$4,' 6.0.00'!$AX$3)</f>
        <v>0</v>
      </c>
      <c r="T67" s="4">
        <f>(VLOOKUP(' 6.0.00'!AB67,' 6.0.00'!$AM$4:$AO$55,2,FALSE))*IF(' 6.0.00'!BD$4="是",' 6.0.00'!$AX$4,' 6.0.00'!$AX$3)</f>
        <v>0</v>
      </c>
      <c r="U67" s="4">
        <f>(VLOOKUP(' 6.0.00'!AC67,' 6.0.00'!$AM$4:$AO$55,2,FALSE))*IF(' 6.0.00'!BE$4="是",' 6.0.00'!$AX$4,' 6.0.00'!$AX$3)</f>
        <v>0</v>
      </c>
      <c r="V67" s="4">
        <f>(VLOOKUP(' 6.0.00'!AD67,' 6.0.00'!$AM$4:$AO$55,2,FALSE))*IF(' 6.0.00'!BF$4="是",' 6.0.00'!$AX$4,' 6.0.00'!$AX$3)</f>
        <v>0</v>
      </c>
      <c r="W67" s="5">
        <f>(VLOOKUP(' 6.0.00'!AE67,' 6.0.00'!$AM$4:$AO$55,2,FALSE))*IF(' 6.0.00'!BG$4="是",' 6.0.00'!$AX$4,' 6.0.00'!$AX$3)</f>
        <v>0</v>
      </c>
      <c r="X67" s="5">
        <f>(VLOOKUP(' 6.0.00'!AF67,' 6.0.00'!$AM$4:$AO$55,2,FALSE))*IF(' 6.0.00'!BH$4="是",' 6.0.00'!$AX$4,' 6.0.00'!$AX$3)</f>
        <v>0</v>
      </c>
    </row>
    <row r="68" spans="1:24">
      <c r="A68" s="4">
        <f>(VLOOKUP(' 6.0.00'!I68,' 6.0.00'!$AM$4:$AO$55,2,FALSE))*IF(' 6.0.00'!AK$4="是",' 6.0.00'!$AX$4,' 6.0.00'!$AX$3)</f>
        <v>0</v>
      </c>
      <c r="B68" s="4">
        <f>(VLOOKUP(' 6.0.00'!J68,' 6.0.00'!$AM$4:$AO$55,2,FALSE))*IF(' 6.0.00'!AL$4="是",' 6.0.00'!$AX$4,' 6.0.00'!$AX$3)</f>
        <v>0</v>
      </c>
      <c r="C68" s="4">
        <f>(VLOOKUP(' 6.0.00'!K68,' 6.0.00'!$AM$4:$AO$55,2,FALSE))*IF(' 6.0.00'!AM$4="是",' 6.0.00'!$AX$4,' 6.0.00'!$AX$3)</f>
        <v>0</v>
      </c>
      <c r="D68" s="4">
        <f>(VLOOKUP(' 6.0.00'!L68,' 6.0.00'!$AM$4:$AO$55,2,FALSE))*IF(' 6.0.00'!AN$4="是",' 6.0.00'!$AX$4,' 6.0.00'!$AX$3)</f>
        <v>0</v>
      </c>
      <c r="E68" s="4">
        <f>(VLOOKUP(' 6.0.00'!M68,' 6.0.00'!$AM$4:$AO$55,2,FALSE))*IF(' 6.0.00'!AO$4="是",' 6.0.00'!$AX$4,' 6.0.00'!$AX$3)</f>
        <v>0</v>
      </c>
      <c r="F68" s="4">
        <f>(VLOOKUP(' 6.0.00'!N68,' 6.0.00'!$AM$4:$AO$55,2,FALSE))*IF(' 6.0.00'!AP$4="是",' 6.0.00'!$AX$4,' 6.0.00'!$AX$3)</f>
        <v>0</v>
      </c>
      <c r="G68" s="5">
        <f>(VLOOKUP(' 6.0.00'!O68,' 6.0.00'!$AM$4:$AO$55,2,FALSE))*IF(' 6.0.00'!AQ$4="是",' 6.0.00'!$AX$4,' 6.0.00'!$AX$3)</f>
        <v>0</v>
      </c>
      <c r="H68" s="5">
        <f>(VLOOKUP(' 6.0.00'!P68,' 6.0.00'!$AM$4:$AO$55,2,FALSE))*IF(' 6.0.00'!AR$4="是",' 6.0.00'!$AX$4,' 6.0.00'!$AX$3)</f>
        <v>0</v>
      </c>
      <c r="I68" s="4">
        <f>(VLOOKUP(' 6.0.00'!Q68,' 6.0.00'!$AM$4:$AO$55,2,FALSE))*IF(' 6.0.00'!AS$4="是",' 6.0.00'!$AX$4,' 6.0.00'!$AX$3)</f>
        <v>0</v>
      </c>
      <c r="J68" s="4">
        <f>(VLOOKUP(' 6.0.00'!R68,' 6.0.00'!$AM$4:$AO$55,2,FALSE))*IF(' 6.0.00'!AT$4="是",' 6.0.00'!$AX$4,' 6.0.00'!$AX$3)</f>
        <v>0</v>
      </c>
      <c r="K68" s="4">
        <f>(VLOOKUP(' 6.0.00'!S68,' 6.0.00'!$AM$4:$AO$55,2,FALSE))*IF(' 6.0.00'!AU$4="是",' 6.0.00'!$AX$4,' 6.0.00'!$AX$3)</f>
        <v>0</v>
      </c>
      <c r="L68" s="4">
        <f>(VLOOKUP(' 6.0.00'!T68,' 6.0.00'!$AM$4:$AO$55,2,FALSE))*IF(' 6.0.00'!AV$4="是",' 6.0.00'!$AX$4,' 6.0.00'!$AX$3)</f>
        <v>0</v>
      </c>
      <c r="M68" s="4">
        <f>(VLOOKUP(' 6.0.00'!U68,' 6.0.00'!$AM$4:$AO$55,2,FALSE))*IF(' 6.0.00'!AW$4="是",' 6.0.00'!$AX$4,' 6.0.00'!$AX$3)</f>
        <v>0</v>
      </c>
      <c r="N68" s="4">
        <f>(VLOOKUP(' 6.0.00'!V68,' 6.0.00'!$AM$4:$AO$55,2,FALSE))*IF(' 6.0.00'!AX$4="是",' 6.0.00'!$AX$4,' 6.0.00'!$AX$3)</f>
        <v>0</v>
      </c>
      <c r="O68" s="5">
        <f>(VLOOKUP(' 6.0.00'!W68,' 6.0.00'!$AM$4:$AO$55,2,FALSE))*IF(' 6.0.00'!AY$4="是",' 6.0.00'!$AX$4,' 6.0.00'!$AX$3)</f>
        <v>0</v>
      </c>
      <c r="P68" s="5">
        <f>(VLOOKUP(' 6.0.00'!X68,' 6.0.00'!$AM$4:$AO$55,2,FALSE))*IF(' 6.0.00'!AZ$4="是",' 6.0.00'!$AX$4,' 6.0.00'!$AX$3)</f>
        <v>0</v>
      </c>
      <c r="Q68" s="4">
        <f>(VLOOKUP(' 6.0.00'!Y68,' 6.0.00'!$AM$4:$AO$55,2,FALSE))*IF(' 6.0.00'!BA$4="是",' 6.0.00'!$AX$4,' 6.0.00'!$AX$3)</f>
        <v>0</v>
      </c>
      <c r="R68" s="4">
        <f>(VLOOKUP(' 6.0.00'!Z68,' 6.0.00'!$AM$4:$AO$55,2,FALSE))*IF(' 6.0.00'!BB$4="是",' 6.0.00'!$AX$4,' 6.0.00'!$AX$3)</f>
        <v>0</v>
      </c>
      <c r="S68" s="4">
        <f>(VLOOKUP(' 6.0.00'!AA68,' 6.0.00'!$AM$4:$AO$55,2,FALSE))*IF(' 6.0.00'!BC$4="是",' 6.0.00'!$AX$4,' 6.0.00'!$AX$3)</f>
        <v>0</v>
      </c>
      <c r="T68" s="4">
        <f>(VLOOKUP(' 6.0.00'!AB68,' 6.0.00'!$AM$4:$AO$55,2,FALSE))*IF(' 6.0.00'!BD$4="是",' 6.0.00'!$AX$4,' 6.0.00'!$AX$3)</f>
        <v>0</v>
      </c>
      <c r="U68" s="4">
        <f>(VLOOKUP(' 6.0.00'!AC68,' 6.0.00'!$AM$4:$AO$55,2,FALSE))*IF(' 6.0.00'!BE$4="是",' 6.0.00'!$AX$4,' 6.0.00'!$AX$3)</f>
        <v>0</v>
      </c>
      <c r="V68" s="4">
        <f>(VLOOKUP(' 6.0.00'!AD68,' 6.0.00'!$AM$4:$AO$55,2,FALSE))*IF(' 6.0.00'!BF$4="是",' 6.0.00'!$AX$4,' 6.0.00'!$AX$3)</f>
        <v>0</v>
      </c>
      <c r="W68" s="5">
        <f>(VLOOKUP(' 6.0.00'!AE68,' 6.0.00'!$AM$4:$AO$55,2,FALSE))*IF(' 6.0.00'!BG$4="是",' 6.0.00'!$AX$4,' 6.0.00'!$AX$3)</f>
        <v>0</v>
      </c>
      <c r="X68" s="5">
        <f>(VLOOKUP(' 6.0.00'!AF68,' 6.0.00'!$AM$4:$AO$55,2,FALSE))*IF(' 6.0.00'!BH$4="是",' 6.0.00'!$AX$4,' 6.0.00'!$AX$3)</f>
        <v>0</v>
      </c>
    </row>
    <row r="69" spans="1:24">
      <c r="A69" s="4">
        <f>(VLOOKUP(' 6.0.00'!I69,' 6.0.00'!$AM$4:$AO$55,2,FALSE))*IF(' 6.0.00'!AK$4="是",' 6.0.00'!$AX$4,' 6.0.00'!$AX$3)</f>
        <v>0</v>
      </c>
      <c r="B69" s="4">
        <f>(VLOOKUP(' 6.0.00'!J69,' 6.0.00'!$AM$4:$AO$55,2,FALSE))*IF(' 6.0.00'!AL$4="是",' 6.0.00'!$AX$4,' 6.0.00'!$AX$3)</f>
        <v>0</v>
      </c>
      <c r="C69" s="4">
        <f>(VLOOKUP(' 6.0.00'!K69,' 6.0.00'!$AM$4:$AO$55,2,FALSE))*IF(' 6.0.00'!AM$4="是",' 6.0.00'!$AX$4,' 6.0.00'!$AX$3)</f>
        <v>0</v>
      </c>
      <c r="D69" s="4">
        <f>(VLOOKUP(' 6.0.00'!L69,' 6.0.00'!$AM$4:$AO$55,2,FALSE))*IF(' 6.0.00'!AN$4="是",' 6.0.00'!$AX$4,' 6.0.00'!$AX$3)</f>
        <v>0</v>
      </c>
      <c r="E69" s="4">
        <f>(VLOOKUP(' 6.0.00'!M69,' 6.0.00'!$AM$4:$AO$55,2,FALSE))*IF(' 6.0.00'!AO$4="是",' 6.0.00'!$AX$4,' 6.0.00'!$AX$3)</f>
        <v>0</v>
      </c>
      <c r="F69" s="4">
        <f>(VLOOKUP(' 6.0.00'!N69,' 6.0.00'!$AM$4:$AO$55,2,FALSE))*IF(' 6.0.00'!AP$4="是",' 6.0.00'!$AX$4,' 6.0.00'!$AX$3)</f>
        <v>0</v>
      </c>
      <c r="G69" s="5">
        <f>(VLOOKUP(' 6.0.00'!O69,' 6.0.00'!$AM$4:$AO$55,2,FALSE))*IF(' 6.0.00'!AQ$4="是",' 6.0.00'!$AX$4,' 6.0.00'!$AX$3)</f>
        <v>0</v>
      </c>
      <c r="H69" s="5">
        <f>(VLOOKUP(' 6.0.00'!P69,' 6.0.00'!$AM$4:$AO$55,2,FALSE))*IF(' 6.0.00'!AR$4="是",' 6.0.00'!$AX$4,' 6.0.00'!$AX$3)</f>
        <v>0</v>
      </c>
      <c r="I69" s="4">
        <f>(VLOOKUP(' 6.0.00'!Q69,' 6.0.00'!$AM$4:$AO$55,2,FALSE))*IF(' 6.0.00'!AS$4="是",' 6.0.00'!$AX$4,' 6.0.00'!$AX$3)</f>
        <v>0</v>
      </c>
      <c r="J69" s="4">
        <f>(VLOOKUP(' 6.0.00'!R69,' 6.0.00'!$AM$4:$AO$55,2,FALSE))*IF(' 6.0.00'!AT$4="是",' 6.0.00'!$AX$4,' 6.0.00'!$AX$3)</f>
        <v>0</v>
      </c>
      <c r="K69" s="4">
        <f>(VLOOKUP(' 6.0.00'!S69,' 6.0.00'!$AM$4:$AO$55,2,FALSE))*IF(' 6.0.00'!AU$4="是",' 6.0.00'!$AX$4,' 6.0.00'!$AX$3)</f>
        <v>0</v>
      </c>
      <c r="L69" s="4">
        <f>(VLOOKUP(' 6.0.00'!T69,' 6.0.00'!$AM$4:$AO$55,2,FALSE))*IF(' 6.0.00'!AV$4="是",' 6.0.00'!$AX$4,' 6.0.00'!$AX$3)</f>
        <v>0</v>
      </c>
      <c r="M69" s="4">
        <f>(VLOOKUP(' 6.0.00'!U69,' 6.0.00'!$AM$4:$AO$55,2,FALSE))*IF(' 6.0.00'!AW$4="是",' 6.0.00'!$AX$4,' 6.0.00'!$AX$3)</f>
        <v>0</v>
      </c>
      <c r="N69" s="4">
        <f>(VLOOKUP(' 6.0.00'!V69,' 6.0.00'!$AM$4:$AO$55,2,FALSE))*IF(' 6.0.00'!AX$4="是",' 6.0.00'!$AX$4,' 6.0.00'!$AX$3)</f>
        <v>0</v>
      </c>
      <c r="O69" s="5">
        <f>(VLOOKUP(' 6.0.00'!W69,' 6.0.00'!$AM$4:$AO$55,2,FALSE))*IF(' 6.0.00'!AY$4="是",' 6.0.00'!$AX$4,' 6.0.00'!$AX$3)</f>
        <v>0</v>
      </c>
      <c r="P69" s="5">
        <f>(VLOOKUP(' 6.0.00'!X69,' 6.0.00'!$AM$4:$AO$55,2,FALSE))*IF(' 6.0.00'!AZ$4="是",' 6.0.00'!$AX$4,' 6.0.00'!$AX$3)</f>
        <v>0</v>
      </c>
      <c r="Q69" s="4">
        <f>(VLOOKUP(' 6.0.00'!Y69,' 6.0.00'!$AM$4:$AO$55,2,FALSE))*IF(' 6.0.00'!BA$4="是",' 6.0.00'!$AX$4,' 6.0.00'!$AX$3)</f>
        <v>0</v>
      </c>
      <c r="R69" s="4">
        <f>(VLOOKUP(' 6.0.00'!Z69,' 6.0.00'!$AM$4:$AO$55,2,FALSE))*IF(' 6.0.00'!BB$4="是",' 6.0.00'!$AX$4,' 6.0.00'!$AX$3)</f>
        <v>0</v>
      </c>
      <c r="S69" s="4">
        <f>(VLOOKUP(' 6.0.00'!AA69,' 6.0.00'!$AM$4:$AO$55,2,FALSE))*IF(' 6.0.00'!BC$4="是",' 6.0.00'!$AX$4,' 6.0.00'!$AX$3)</f>
        <v>0</v>
      </c>
      <c r="T69" s="4">
        <f>(VLOOKUP(' 6.0.00'!AB69,' 6.0.00'!$AM$4:$AO$55,2,FALSE))*IF(' 6.0.00'!BD$4="是",' 6.0.00'!$AX$4,' 6.0.00'!$AX$3)</f>
        <v>0</v>
      </c>
      <c r="U69" s="4">
        <f>(VLOOKUP(' 6.0.00'!AC69,' 6.0.00'!$AM$4:$AO$55,2,FALSE))*IF(' 6.0.00'!BE$4="是",' 6.0.00'!$AX$4,' 6.0.00'!$AX$3)</f>
        <v>0</v>
      </c>
      <c r="V69" s="4">
        <f>(VLOOKUP(' 6.0.00'!AD69,' 6.0.00'!$AM$4:$AO$55,2,FALSE))*IF(' 6.0.00'!BF$4="是",' 6.0.00'!$AX$4,' 6.0.00'!$AX$3)</f>
        <v>0</v>
      </c>
      <c r="W69" s="5">
        <f>(VLOOKUP(' 6.0.00'!AE69,' 6.0.00'!$AM$4:$AO$55,2,FALSE))*IF(' 6.0.00'!BG$4="是",' 6.0.00'!$AX$4,' 6.0.00'!$AX$3)</f>
        <v>0</v>
      </c>
      <c r="X69" s="5">
        <f>(VLOOKUP(' 6.0.00'!AF69,' 6.0.00'!$AM$4:$AO$55,2,FALSE))*IF(' 6.0.00'!BH$4="是",' 6.0.00'!$AX$4,' 6.0.00'!$AX$3)</f>
        <v>0</v>
      </c>
    </row>
    <row r="70" spans="1:24">
      <c r="A70" s="4">
        <f>(VLOOKUP(' 6.0.00'!I70,' 6.0.00'!$AM$4:$AO$55,2,FALSE))*IF(' 6.0.00'!AK$4="是",' 6.0.00'!$AX$4,' 6.0.00'!$AX$3)</f>
        <v>0</v>
      </c>
      <c r="B70" s="4">
        <f>(VLOOKUP(' 6.0.00'!J70,' 6.0.00'!$AM$4:$AO$55,2,FALSE))*IF(' 6.0.00'!AL$4="是",' 6.0.00'!$AX$4,' 6.0.00'!$AX$3)</f>
        <v>0</v>
      </c>
      <c r="C70" s="4">
        <f>(VLOOKUP(' 6.0.00'!K70,' 6.0.00'!$AM$4:$AO$55,2,FALSE))*IF(' 6.0.00'!AM$4="是",' 6.0.00'!$AX$4,' 6.0.00'!$AX$3)</f>
        <v>0</v>
      </c>
      <c r="D70" s="4">
        <f>(VLOOKUP(' 6.0.00'!L70,' 6.0.00'!$AM$4:$AO$55,2,FALSE))*IF(' 6.0.00'!AN$4="是",' 6.0.00'!$AX$4,' 6.0.00'!$AX$3)</f>
        <v>0</v>
      </c>
      <c r="E70" s="4">
        <f>(VLOOKUP(' 6.0.00'!M70,' 6.0.00'!$AM$4:$AO$55,2,FALSE))*IF(' 6.0.00'!AO$4="是",' 6.0.00'!$AX$4,' 6.0.00'!$AX$3)</f>
        <v>0</v>
      </c>
      <c r="F70" s="4">
        <f>(VLOOKUP(' 6.0.00'!N70,' 6.0.00'!$AM$4:$AO$55,2,FALSE))*IF(' 6.0.00'!AP$4="是",' 6.0.00'!$AX$4,' 6.0.00'!$AX$3)</f>
        <v>0</v>
      </c>
      <c r="G70" s="5">
        <f>(VLOOKUP(' 6.0.00'!O70,' 6.0.00'!$AM$4:$AO$55,2,FALSE))*IF(' 6.0.00'!AQ$4="是",' 6.0.00'!$AX$4,' 6.0.00'!$AX$3)</f>
        <v>0</v>
      </c>
      <c r="H70" s="5">
        <f>(VLOOKUP(' 6.0.00'!P70,' 6.0.00'!$AM$4:$AO$55,2,FALSE))*IF(' 6.0.00'!AR$4="是",' 6.0.00'!$AX$4,' 6.0.00'!$AX$3)</f>
        <v>0</v>
      </c>
      <c r="I70" s="4">
        <f>(VLOOKUP(' 6.0.00'!Q70,' 6.0.00'!$AM$4:$AO$55,2,FALSE))*IF(' 6.0.00'!AS$4="是",' 6.0.00'!$AX$4,' 6.0.00'!$AX$3)</f>
        <v>0</v>
      </c>
      <c r="J70" s="4">
        <f>(VLOOKUP(' 6.0.00'!R70,' 6.0.00'!$AM$4:$AO$55,2,FALSE))*IF(' 6.0.00'!AT$4="是",' 6.0.00'!$AX$4,' 6.0.00'!$AX$3)</f>
        <v>0</v>
      </c>
      <c r="K70" s="4">
        <f>(VLOOKUP(' 6.0.00'!S70,' 6.0.00'!$AM$4:$AO$55,2,FALSE))*IF(' 6.0.00'!AU$4="是",' 6.0.00'!$AX$4,' 6.0.00'!$AX$3)</f>
        <v>0</v>
      </c>
      <c r="L70" s="4">
        <f>(VLOOKUP(' 6.0.00'!T70,' 6.0.00'!$AM$4:$AO$55,2,FALSE))*IF(' 6.0.00'!AV$4="是",' 6.0.00'!$AX$4,' 6.0.00'!$AX$3)</f>
        <v>0</v>
      </c>
      <c r="M70" s="4">
        <f>(VLOOKUP(' 6.0.00'!U70,' 6.0.00'!$AM$4:$AO$55,2,FALSE))*IF(' 6.0.00'!AW$4="是",' 6.0.00'!$AX$4,' 6.0.00'!$AX$3)</f>
        <v>0</v>
      </c>
      <c r="N70" s="4">
        <f>(VLOOKUP(' 6.0.00'!V70,' 6.0.00'!$AM$4:$AO$55,2,FALSE))*IF(' 6.0.00'!AX$4="是",' 6.0.00'!$AX$4,' 6.0.00'!$AX$3)</f>
        <v>0</v>
      </c>
      <c r="O70" s="5">
        <f>(VLOOKUP(' 6.0.00'!W70,' 6.0.00'!$AM$4:$AO$55,2,FALSE))*IF(' 6.0.00'!AY$4="是",' 6.0.00'!$AX$4,' 6.0.00'!$AX$3)</f>
        <v>0</v>
      </c>
      <c r="P70" s="5">
        <f>(VLOOKUP(' 6.0.00'!X70,' 6.0.00'!$AM$4:$AO$55,2,FALSE))*IF(' 6.0.00'!AZ$4="是",' 6.0.00'!$AX$4,' 6.0.00'!$AX$3)</f>
        <v>0</v>
      </c>
      <c r="Q70" s="4">
        <f>(VLOOKUP(' 6.0.00'!Y70,' 6.0.00'!$AM$4:$AO$55,2,FALSE))*IF(' 6.0.00'!BA$4="是",' 6.0.00'!$AX$4,' 6.0.00'!$AX$3)</f>
        <v>0</v>
      </c>
      <c r="R70" s="4">
        <f>(VLOOKUP(' 6.0.00'!Z70,' 6.0.00'!$AM$4:$AO$55,2,FALSE))*IF(' 6.0.00'!BB$4="是",' 6.0.00'!$AX$4,' 6.0.00'!$AX$3)</f>
        <v>0</v>
      </c>
      <c r="S70" s="4">
        <f>(VLOOKUP(' 6.0.00'!AA70,' 6.0.00'!$AM$4:$AO$55,2,FALSE))*IF(' 6.0.00'!BC$4="是",' 6.0.00'!$AX$4,' 6.0.00'!$AX$3)</f>
        <v>0</v>
      </c>
      <c r="T70" s="4">
        <f>(VLOOKUP(' 6.0.00'!AB70,' 6.0.00'!$AM$4:$AO$55,2,FALSE))*IF(' 6.0.00'!BD$4="是",' 6.0.00'!$AX$4,' 6.0.00'!$AX$3)</f>
        <v>0</v>
      </c>
      <c r="U70" s="4">
        <f>(VLOOKUP(' 6.0.00'!AC70,' 6.0.00'!$AM$4:$AO$55,2,FALSE))*IF(' 6.0.00'!BE$4="是",' 6.0.00'!$AX$4,' 6.0.00'!$AX$3)</f>
        <v>0</v>
      </c>
      <c r="V70" s="4">
        <f>(VLOOKUP(' 6.0.00'!AD70,' 6.0.00'!$AM$4:$AO$55,2,FALSE))*IF(' 6.0.00'!BF$4="是",' 6.0.00'!$AX$4,' 6.0.00'!$AX$3)</f>
        <v>0</v>
      </c>
      <c r="W70" s="5">
        <f>(VLOOKUP(' 6.0.00'!AE70,' 6.0.00'!$AM$4:$AO$55,2,FALSE))*IF(' 6.0.00'!BG$4="是",' 6.0.00'!$AX$4,' 6.0.00'!$AX$3)</f>
        <v>0</v>
      </c>
      <c r="X70" s="5">
        <f>(VLOOKUP(' 6.0.00'!AF70,' 6.0.00'!$AM$4:$AO$55,2,FALSE))*IF(' 6.0.00'!BH$4="是",' 6.0.00'!$AX$4,' 6.0.00'!$AX$3)</f>
        <v>0</v>
      </c>
    </row>
    <row r="71" spans="1:24">
      <c r="A71" s="4">
        <f>(VLOOKUP(' 6.0.00'!I71,' 6.0.00'!$AM$4:$AO$55,2,FALSE))*IF(' 6.0.00'!AK$4="是",' 6.0.00'!$AX$4,' 6.0.00'!$AX$3)</f>
        <v>0</v>
      </c>
      <c r="B71" s="4">
        <f>(VLOOKUP(' 6.0.00'!J71,' 6.0.00'!$AM$4:$AO$55,2,FALSE))*IF(' 6.0.00'!AL$4="是",' 6.0.00'!$AX$4,' 6.0.00'!$AX$3)</f>
        <v>0</v>
      </c>
      <c r="C71" s="4">
        <f>(VLOOKUP(' 6.0.00'!K71,' 6.0.00'!$AM$4:$AO$55,2,FALSE))*IF(' 6.0.00'!AM$4="是",' 6.0.00'!$AX$4,' 6.0.00'!$AX$3)</f>
        <v>0</v>
      </c>
      <c r="D71" s="4">
        <f>(VLOOKUP(' 6.0.00'!L71,' 6.0.00'!$AM$4:$AO$55,2,FALSE))*IF(' 6.0.00'!AN$4="是",' 6.0.00'!$AX$4,' 6.0.00'!$AX$3)</f>
        <v>0</v>
      </c>
      <c r="E71" s="4">
        <f>(VLOOKUP(' 6.0.00'!M71,' 6.0.00'!$AM$4:$AO$55,2,FALSE))*IF(' 6.0.00'!AO$4="是",' 6.0.00'!$AX$4,' 6.0.00'!$AX$3)</f>
        <v>0</v>
      </c>
      <c r="F71" s="4">
        <f>(VLOOKUP(' 6.0.00'!N71,' 6.0.00'!$AM$4:$AO$55,2,FALSE))*IF(' 6.0.00'!AP$4="是",' 6.0.00'!$AX$4,' 6.0.00'!$AX$3)</f>
        <v>0</v>
      </c>
      <c r="G71" s="5">
        <f>(VLOOKUP(' 6.0.00'!O71,' 6.0.00'!$AM$4:$AO$55,2,FALSE))*IF(' 6.0.00'!AQ$4="是",' 6.0.00'!$AX$4,' 6.0.00'!$AX$3)</f>
        <v>0</v>
      </c>
      <c r="H71" s="5">
        <f>(VLOOKUP(' 6.0.00'!P71,' 6.0.00'!$AM$4:$AO$55,2,FALSE))*IF(' 6.0.00'!AR$4="是",' 6.0.00'!$AX$4,' 6.0.00'!$AX$3)</f>
        <v>0</v>
      </c>
      <c r="I71" s="4">
        <f>(VLOOKUP(' 6.0.00'!Q71,' 6.0.00'!$AM$4:$AO$55,2,FALSE))*IF(' 6.0.00'!AS$4="是",' 6.0.00'!$AX$4,' 6.0.00'!$AX$3)</f>
        <v>0</v>
      </c>
      <c r="J71" s="4">
        <f>(VLOOKUP(' 6.0.00'!R71,' 6.0.00'!$AM$4:$AO$55,2,FALSE))*IF(' 6.0.00'!AT$4="是",' 6.0.00'!$AX$4,' 6.0.00'!$AX$3)</f>
        <v>0</v>
      </c>
      <c r="K71" s="4">
        <f>(VLOOKUP(' 6.0.00'!S71,' 6.0.00'!$AM$4:$AO$55,2,FALSE))*IF(' 6.0.00'!AU$4="是",' 6.0.00'!$AX$4,' 6.0.00'!$AX$3)</f>
        <v>0</v>
      </c>
      <c r="L71" s="4">
        <f>(VLOOKUP(' 6.0.00'!T71,' 6.0.00'!$AM$4:$AO$55,2,FALSE))*IF(' 6.0.00'!AV$4="是",' 6.0.00'!$AX$4,' 6.0.00'!$AX$3)</f>
        <v>0</v>
      </c>
      <c r="M71" s="4">
        <f>(VLOOKUP(' 6.0.00'!U71,' 6.0.00'!$AM$4:$AO$55,2,FALSE))*IF(' 6.0.00'!AW$4="是",' 6.0.00'!$AX$4,' 6.0.00'!$AX$3)</f>
        <v>0</v>
      </c>
      <c r="N71" s="4">
        <f>(VLOOKUP(' 6.0.00'!V71,' 6.0.00'!$AM$4:$AO$55,2,FALSE))*IF(' 6.0.00'!AX$4="是",' 6.0.00'!$AX$4,' 6.0.00'!$AX$3)</f>
        <v>0</v>
      </c>
      <c r="O71" s="5">
        <f>(VLOOKUP(' 6.0.00'!W71,' 6.0.00'!$AM$4:$AO$55,2,FALSE))*IF(' 6.0.00'!AY$4="是",' 6.0.00'!$AX$4,' 6.0.00'!$AX$3)</f>
        <v>0</v>
      </c>
      <c r="P71" s="5">
        <f>(VLOOKUP(' 6.0.00'!X71,' 6.0.00'!$AM$4:$AO$55,2,FALSE))*IF(' 6.0.00'!AZ$4="是",' 6.0.00'!$AX$4,' 6.0.00'!$AX$3)</f>
        <v>0</v>
      </c>
      <c r="Q71" s="4">
        <f>(VLOOKUP(' 6.0.00'!Y71,' 6.0.00'!$AM$4:$AO$55,2,FALSE))*IF(' 6.0.00'!BA$4="是",' 6.0.00'!$AX$4,' 6.0.00'!$AX$3)</f>
        <v>0</v>
      </c>
      <c r="R71" s="4">
        <f>(VLOOKUP(' 6.0.00'!Z71,' 6.0.00'!$AM$4:$AO$55,2,FALSE))*IF(' 6.0.00'!BB$4="是",' 6.0.00'!$AX$4,' 6.0.00'!$AX$3)</f>
        <v>0</v>
      </c>
      <c r="S71" s="4">
        <f>(VLOOKUP(' 6.0.00'!AA71,' 6.0.00'!$AM$4:$AO$55,2,FALSE))*IF(' 6.0.00'!BC$4="是",' 6.0.00'!$AX$4,' 6.0.00'!$AX$3)</f>
        <v>0</v>
      </c>
      <c r="T71" s="4">
        <f>(VLOOKUP(' 6.0.00'!AB71,' 6.0.00'!$AM$4:$AO$55,2,FALSE))*IF(' 6.0.00'!BD$4="是",' 6.0.00'!$AX$4,' 6.0.00'!$AX$3)</f>
        <v>0</v>
      </c>
      <c r="U71" s="4">
        <f>(VLOOKUP(' 6.0.00'!AC71,' 6.0.00'!$AM$4:$AO$55,2,FALSE))*IF(' 6.0.00'!BE$4="是",' 6.0.00'!$AX$4,' 6.0.00'!$AX$3)</f>
        <v>0</v>
      </c>
      <c r="V71" s="4">
        <f>(VLOOKUP(' 6.0.00'!AD71,' 6.0.00'!$AM$4:$AO$55,2,FALSE))*IF(' 6.0.00'!BF$4="是",' 6.0.00'!$AX$4,' 6.0.00'!$AX$3)</f>
        <v>0</v>
      </c>
      <c r="W71" s="5">
        <f>(VLOOKUP(' 6.0.00'!AE71,' 6.0.00'!$AM$4:$AO$55,2,FALSE))*IF(' 6.0.00'!BG$4="是",' 6.0.00'!$AX$4,' 6.0.00'!$AX$3)</f>
        <v>0</v>
      </c>
      <c r="X71" s="5">
        <f>(VLOOKUP(' 6.0.00'!AF71,' 6.0.00'!$AM$4:$AO$55,2,FALSE))*IF(' 6.0.00'!BH$4="是",' 6.0.00'!$AX$4,' 6.0.00'!$AX$3)</f>
        <v>0</v>
      </c>
    </row>
    <row r="72" spans="1:24">
      <c r="A72" s="4">
        <f>(VLOOKUP(' 6.0.00'!I72,' 6.0.00'!$AM$4:$AO$55,2,FALSE))*IF(' 6.0.00'!AK$4="是",' 6.0.00'!$AX$4,' 6.0.00'!$AX$3)</f>
        <v>0</v>
      </c>
      <c r="B72" s="4">
        <f>(VLOOKUP(' 6.0.00'!J72,' 6.0.00'!$AM$4:$AO$55,2,FALSE))*IF(' 6.0.00'!AL$4="是",' 6.0.00'!$AX$4,' 6.0.00'!$AX$3)</f>
        <v>0</v>
      </c>
      <c r="C72" s="4">
        <f>(VLOOKUP(' 6.0.00'!K72,' 6.0.00'!$AM$4:$AO$55,2,FALSE))*IF(' 6.0.00'!AM$4="是",' 6.0.00'!$AX$4,' 6.0.00'!$AX$3)</f>
        <v>0</v>
      </c>
      <c r="D72" s="4">
        <f>(VLOOKUP(' 6.0.00'!L72,' 6.0.00'!$AM$4:$AO$55,2,FALSE))*IF(' 6.0.00'!AN$4="是",' 6.0.00'!$AX$4,' 6.0.00'!$AX$3)</f>
        <v>0</v>
      </c>
      <c r="E72" s="4">
        <f>(VLOOKUP(' 6.0.00'!M72,' 6.0.00'!$AM$4:$AO$55,2,FALSE))*IF(' 6.0.00'!AO$4="是",' 6.0.00'!$AX$4,' 6.0.00'!$AX$3)</f>
        <v>0</v>
      </c>
      <c r="F72" s="4">
        <f>(VLOOKUP(' 6.0.00'!N72,' 6.0.00'!$AM$4:$AO$55,2,FALSE))*IF(' 6.0.00'!AP$4="是",' 6.0.00'!$AX$4,' 6.0.00'!$AX$3)</f>
        <v>0</v>
      </c>
      <c r="G72" s="5">
        <f>(VLOOKUP(' 6.0.00'!O72,' 6.0.00'!$AM$4:$AO$55,2,FALSE))*IF(' 6.0.00'!AQ$4="是",' 6.0.00'!$AX$4,' 6.0.00'!$AX$3)</f>
        <v>0</v>
      </c>
      <c r="H72" s="5">
        <f>(VLOOKUP(' 6.0.00'!P72,' 6.0.00'!$AM$4:$AO$55,2,FALSE))*IF(' 6.0.00'!AR$4="是",' 6.0.00'!$AX$4,' 6.0.00'!$AX$3)</f>
        <v>0</v>
      </c>
      <c r="I72" s="4">
        <f>(VLOOKUP(' 6.0.00'!Q72,' 6.0.00'!$AM$4:$AO$55,2,FALSE))*IF(' 6.0.00'!AS$4="是",' 6.0.00'!$AX$4,' 6.0.00'!$AX$3)</f>
        <v>0</v>
      </c>
      <c r="J72" s="4">
        <f>(VLOOKUP(' 6.0.00'!R72,' 6.0.00'!$AM$4:$AO$55,2,FALSE))*IF(' 6.0.00'!AT$4="是",' 6.0.00'!$AX$4,' 6.0.00'!$AX$3)</f>
        <v>0</v>
      </c>
      <c r="K72" s="4">
        <f>(VLOOKUP(' 6.0.00'!S72,' 6.0.00'!$AM$4:$AO$55,2,FALSE))*IF(' 6.0.00'!AU$4="是",' 6.0.00'!$AX$4,' 6.0.00'!$AX$3)</f>
        <v>0</v>
      </c>
      <c r="L72" s="4">
        <f>(VLOOKUP(' 6.0.00'!T72,' 6.0.00'!$AM$4:$AO$55,2,FALSE))*IF(' 6.0.00'!AV$4="是",' 6.0.00'!$AX$4,' 6.0.00'!$AX$3)</f>
        <v>0</v>
      </c>
      <c r="M72" s="4">
        <f>(VLOOKUP(' 6.0.00'!U72,' 6.0.00'!$AM$4:$AO$55,2,FALSE))*IF(' 6.0.00'!AW$4="是",' 6.0.00'!$AX$4,' 6.0.00'!$AX$3)</f>
        <v>0</v>
      </c>
      <c r="N72" s="4">
        <f>(VLOOKUP(' 6.0.00'!V72,' 6.0.00'!$AM$4:$AO$55,2,FALSE))*IF(' 6.0.00'!AX$4="是",' 6.0.00'!$AX$4,' 6.0.00'!$AX$3)</f>
        <v>0</v>
      </c>
      <c r="O72" s="5">
        <f>(VLOOKUP(' 6.0.00'!W72,' 6.0.00'!$AM$4:$AO$55,2,FALSE))*IF(' 6.0.00'!AY$4="是",' 6.0.00'!$AX$4,' 6.0.00'!$AX$3)</f>
        <v>0</v>
      </c>
      <c r="P72" s="5">
        <f>(VLOOKUP(' 6.0.00'!X72,' 6.0.00'!$AM$4:$AO$55,2,FALSE))*IF(' 6.0.00'!AZ$4="是",' 6.0.00'!$AX$4,' 6.0.00'!$AX$3)</f>
        <v>0</v>
      </c>
      <c r="Q72" s="4">
        <f>(VLOOKUP(' 6.0.00'!Y72,' 6.0.00'!$AM$4:$AO$55,2,FALSE))*IF(' 6.0.00'!BA$4="是",' 6.0.00'!$AX$4,' 6.0.00'!$AX$3)</f>
        <v>0</v>
      </c>
      <c r="R72" s="4">
        <f>(VLOOKUP(' 6.0.00'!Z72,' 6.0.00'!$AM$4:$AO$55,2,FALSE))*IF(' 6.0.00'!BB$4="是",' 6.0.00'!$AX$4,' 6.0.00'!$AX$3)</f>
        <v>0</v>
      </c>
      <c r="S72" s="4">
        <f>(VLOOKUP(' 6.0.00'!AA72,' 6.0.00'!$AM$4:$AO$55,2,FALSE))*IF(' 6.0.00'!BC$4="是",' 6.0.00'!$AX$4,' 6.0.00'!$AX$3)</f>
        <v>0</v>
      </c>
      <c r="T72" s="4">
        <f>(VLOOKUP(' 6.0.00'!AB72,' 6.0.00'!$AM$4:$AO$55,2,FALSE))*IF(' 6.0.00'!BD$4="是",' 6.0.00'!$AX$4,' 6.0.00'!$AX$3)</f>
        <v>0</v>
      </c>
      <c r="U72" s="4">
        <f>(VLOOKUP(' 6.0.00'!AC72,' 6.0.00'!$AM$4:$AO$55,2,FALSE))*IF(' 6.0.00'!BE$4="是",' 6.0.00'!$AX$4,' 6.0.00'!$AX$3)</f>
        <v>0</v>
      </c>
      <c r="V72" s="4">
        <f>(VLOOKUP(' 6.0.00'!AD72,' 6.0.00'!$AM$4:$AO$55,2,FALSE))*IF(' 6.0.00'!BF$4="是",' 6.0.00'!$AX$4,' 6.0.00'!$AX$3)</f>
        <v>0</v>
      </c>
      <c r="W72" s="5">
        <f>(VLOOKUP(' 6.0.00'!AE72,' 6.0.00'!$AM$4:$AO$55,2,FALSE))*IF(' 6.0.00'!BG$4="是",' 6.0.00'!$AX$4,' 6.0.00'!$AX$3)</f>
        <v>0</v>
      </c>
      <c r="X72" s="5">
        <f>(VLOOKUP(' 6.0.00'!AF72,' 6.0.00'!$AM$4:$AO$55,2,FALSE))*IF(' 6.0.00'!BH$4="是",' 6.0.00'!$AX$4,' 6.0.00'!$AX$3)</f>
        <v>0</v>
      </c>
    </row>
    <row r="73" spans="1:24">
      <c r="A73" s="4">
        <f>(VLOOKUP(' 6.0.00'!I73,' 6.0.00'!$AM$4:$AO$55,2,FALSE))*IF(' 6.0.00'!AK$4="是",' 6.0.00'!$AX$4,' 6.0.00'!$AX$3)</f>
        <v>0</v>
      </c>
      <c r="B73" s="4">
        <f>(VLOOKUP(' 6.0.00'!J73,' 6.0.00'!$AM$4:$AO$55,2,FALSE))*IF(' 6.0.00'!AL$4="是",' 6.0.00'!$AX$4,' 6.0.00'!$AX$3)</f>
        <v>0</v>
      </c>
      <c r="C73" s="4">
        <f>(VLOOKUP(' 6.0.00'!K73,' 6.0.00'!$AM$4:$AO$55,2,FALSE))*IF(' 6.0.00'!AM$4="是",' 6.0.00'!$AX$4,' 6.0.00'!$AX$3)</f>
        <v>0</v>
      </c>
      <c r="D73" s="4">
        <f>(VLOOKUP(' 6.0.00'!L73,' 6.0.00'!$AM$4:$AO$55,2,FALSE))*IF(' 6.0.00'!AN$4="是",' 6.0.00'!$AX$4,' 6.0.00'!$AX$3)</f>
        <v>0</v>
      </c>
      <c r="E73" s="4">
        <f>(VLOOKUP(' 6.0.00'!M73,' 6.0.00'!$AM$4:$AO$55,2,FALSE))*IF(' 6.0.00'!AO$4="是",' 6.0.00'!$AX$4,' 6.0.00'!$AX$3)</f>
        <v>0</v>
      </c>
      <c r="F73" s="4">
        <f>(VLOOKUP(' 6.0.00'!N73,' 6.0.00'!$AM$4:$AO$55,2,FALSE))*IF(' 6.0.00'!AP$4="是",' 6.0.00'!$AX$4,' 6.0.00'!$AX$3)</f>
        <v>0</v>
      </c>
      <c r="G73" s="5">
        <f>(VLOOKUP(' 6.0.00'!O73,' 6.0.00'!$AM$4:$AO$55,2,FALSE))*IF(' 6.0.00'!AQ$4="是",' 6.0.00'!$AX$4,' 6.0.00'!$AX$3)</f>
        <v>0</v>
      </c>
      <c r="H73" s="5">
        <f>(VLOOKUP(' 6.0.00'!P73,' 6.0.00'!$AM$4:$AO$55,2,FALSE))*IF(' 6.0.00'!AR$4="是",' 6.0.00'!$AX$4,' 6.0.00'!$AX$3)</f>
        <v>0</v>
      </c>
      <c r="I73" s="4">
        <f>(VLOOKUP(' 6.0.00'!Q73,' 6.0.00'!$AM$4:$AO$55,2,FALSE))*IF(' 6.0.00'!AS$4="是",' 6.0.00'!$AX$4,' 6.0.00'!$AX$3)</f>
        <v>0</v>
      </c>
      <c r="J73" s="4">
        <f>(VLOOKUP(' 6.0.00'!R73,' 6.0.00'!$AM$4:$AO$55,2,FALSE))*IF(' 6.0.00'!AT$4="是",' 6.0.00'!$AX$4,' 6.0.00'!$AX$3)</f>
        <v>0</v>
      </c>
      <c r="K73" s="4">
        <f>(VLOOKUP(' 6.0.00'!S73,' 6.0.00'!$AM$4:$AO$55,2,FALSE))*IF(' 6.0.00'!AU$4="是",' 6.0.00'!$AX$4,' 6.0.00'!$AX$3)</f>
        <v>0</v>
      </c>
      <c r="L73" s="4">
        <f>(VLOOKUP(' 6.0.00'!T73,' 6.0.00'!$AM$4:$AO$55,2,FALSE))*IF(' 6.0.00'!AV$4="是",' 6.0.00'!$AX$4,' 6.0.00'!$AX$3)</f>
        <v>0</v>
      </c>
      <c r="M73" s="4">
        <f>(VLOOKUP(' 6.0.00'!U73,' 6.0.00'!$AM$4:$AO$55,2,FALSE))*IF(' 6.0.00'!AW$4="是",' 6.0.00'!$AX$4,' 6.0.00'!$AX$3)</f>
        <v>0</v>
      </c>
      <c r="N73" s="4">
        <f>(VLOOKUP(' 6.0.00'!V73,' 6.0.00'!$AM$4:$AO$55,2,FALSE))*IF(' 6.0.00'!AX$4="是",' 6.0.00'!$AX$4,' 6.0.00'!$AX$3)</f>
        <v>0</v>
      </c>
      <c r="O73" s="5">
        <f>(VLOOKUP(' 6.0.00'!W73,' 6.0.00'!$AM$4:$AO$55,2,FALSE))*IF(' 6.0.00'!AY$4="是",' 6.0.00'!$AX$4,' 6.0.00'!$AX$3)</f>
        <v>0</v>
      </c>
      <c r="P73" s="5">
        <f>(VLOOKUP(' 6.0.00'!X73,' 6.0.00'!$AM$4:$AO$55,2,FALSE))*IF(' 6.0.00'!AZ$4="是",' 6.0.00'!$AX$4,' 6.0.00'!$AX$3)</f>
        <v>0</v>
      </c>
      <c r="Q73" s="4">
        <f>(VLOOKUP(' 6.0.00'!Y73,' 6.0.00'!$AM$4:$AO$55,2,FALSE))*IF(' 6.0.00'!BA$4="是",' 6.0.00'!$AX$4,' 6.0.00'!$AX$3)</f>
        <v>0</v>
      </c>
      <c r="R73" s="4">
        <f>(VLOOKUP(' 6.0.00'!Z73,' 6.0.00'!$AM$4:$AO$55,2,FALSE))*IF(' 6.0.00'!BB$4="是",' 6.0.00'!$AX$4,' 6.0.00'!$AX$3)</f>
        <v>0</v>
      </c>
      <c r="S73" s="4">
        <f>(VLOOKUP(' 6.0.00'!AA73,' 6.0.00'!$AM$4:$AO$55,2,FALSE))*IF(' 6.0.00'!BC$4="是",' 6.0.00'!$AX$4,' 6.0.00'!$AX$3)</f>
        <v>0</v>
      </c>
      <c r="T73" s="4">
        <f>(VLOOKUP(' 6.0.00'!AB73,' 6.0.00'!$AM$4:$AO$55,2,FALSE))*IF(' 6.0.00'!BD$4="是",' 6.0.00'!$AX$4,' 6.0.00'!$AX$3)</f>
        <v>0</v>
      </c>
      <c r="U73" s="4">
        <f>(VLOOKUP(' 6.0.00'!AC73,' 6.0.00'!$AM$4:$AO$55,2,FALSE))*IF(' 6.0.00'!BE$4="是",' 6.0.00'!$AX$4,' 6.0.00'!$AX$3)</f>
        <v>0</v>
      </c>
      <c r="V73" s="4">
        <f>(VLOOKUP(' 6.0.00'!AD73,' 6.0.00'!$AM$4:$AO$55,2,FALSE))*IF(' 6.0.00'!BF$4="是",' 6.0.00'!$AX$4,' 6.0.00'!$AX$3)</f>
        <v>0</v>
      </c>
      <c r="W73" s="5">
        <f>(VLOOKUP(' 6.0.00'!AE73,' 6.0.00'!$AM$4:$AO$55,2,FALSE))*IF(' 6.0.00'!BG$4="是",' 6.0.00'!$AX$4,' 6.0.00'!$AX$3)</f>
        <v>0</v>
      </c>
      <c r="X73" s="5">
        <f>(VLOOKUP(' 6.0.00'!AF73,' 6.0.00'!$AM$4:$AO$55,2,FALSE))*IF(' 6.0.00'!BH$4="是",' 6.0.00'!$AX$4,' 6.0.00'!$AX$3)</f>
        <v>0</v>
      </c>
    </row>
    <row r="74" spans="1:24">
      <c r="A74" s="4">
        <f>(VLOOKUP(' 6.0.00'!I74,' 6.0.00'!$AM$4:$AO$55,2,FALSE))*IF(' 6.0.00'!AK$4="是",' 6.0.00'!$AX$4,' 6.0.00'!$AX$3)</f>
        <v>0</v>
      </c>
      <c r="B74" s="4">
        <f>(VLOOKUP(' 6.0.00'!J74,' 6.0.00'!$AM$4:$AO$55,2,FALSE))*IF(' 6.0.00'!AL$4="是",' 6.0.00'!$AX$4,' 6.0.00'!$AX$3)</f>
        <v>0</v>
      </c>
      <c r="C74" s="4">
        <f>(VLOOKUP(' 6.0.00'!K74,' 6.0.00'!$AM$4:$AO$55,2,FALSE))*IF(' 6.0.00'!AM$4="是",' 6.0.00'!$AX$4,' 6.0.00'!$AX$3)</f>
        <v>0</v>
      </c>
      <c r="D74" s="4">
        <f>(VLOOKUP(' 6.0.00'!L74,' 6.0.00'!$AM$4:$AO$55,2,FALSE))*IF(' 6.0.00'!AN$4="是",' 6.0.00'!$AX$4,' 6.0.00'!$AX$3)</f>
        <v>0</v>
      </c>
      <c r="E74" s="4">
        <f>(VLOOKUP(' 6.0.00'!M74,' 6.0.00'!$AM$4:$AO$55,2,FALSE))*IF(' 6.0.00'!AO$4="是",' 6.0.00'!$AX$4,' 6.0.00'!$AX$3)</f>
        <v>0</v>
      </c>
      <c r="F74" s="4">
        <f>(VLOOKUP(' 6.0.00'!N74,' 6.0.00'!$AM$4:$AO$55,2,FALSE))*IF(' 6.0.00'!AP$4="是",' 6.0.00'!$AX$4,' 6.0.00'!$AX$3)</f>
        <v>0</v>
      </c>
      <c r="G74" s="5">
        <f>(VLOOKUP(' 6.0.00'!O74,' 6.0.00'!$AM$4:$AO$55,2,FALSE))*IF(' 6.0.00'!AQ$4="是",' 6.0.00'!$AX$4,' 6.0.00'!$AX$3)</f>
        <v>0</v>
      </c>
      <c r="H74" s="5">
        <f>(VLOOKUP(' 6.0.00'!P74,' 6.0.00'!$AM$4:$AO$55,2,FALSE))*IF(' 6.0.00'!AR$4="是",' 6.0.00'!$AX$4,' 6.0.00'!$AX$3)</f>
        <v>0</v>
      </c>
      <c r="I74" s="4">
        <f>(VLOOKUP(' 6.0.00'!Q74,' 6.0.00'!$AM$4:$AO$55,2,FALSE))*IF(' 6.0.00'!AS$4="是",' 6.0.00'!$AX$4,' 6.0.00'!$AX$3)</f>
        <v>0</v>
      </c>
      <c r="J74" s="4">
        <f>(VLOOKUP(' 6.0.00'!R74,' 6.0.00'!$AM$4:$AO$55,2,FALSE))*IF(' 6.0.00'!AT$4="是",' 6.0.00'!$AX$4,' 6.0.00'!$AX$3)</f>
        <v>0</v>
      </c>
      <c r="K74" s="4">
        <f>(VLOOKUP(' 6.0.00'!S74,' 6.0.00'!$AM$4:$AO$55,2,FALSE))*IF(' 6.0.00'!AU$4="是",' 6.0.00'!$AX$4,' 6.0.00'!$AX$3)</f>
        <v>0</v>
      </c>
      <c r="L74" s="4">
        <f>(VLOOKUP(' 6.0.00'!T74,' 6.0.00'!$AM$4:$AO$55,2,FALSE))*IF(' 6.0.00'!AV$4="是",' 6.0.00'!$AX$4,' 6.0.00'!$AX$3)</f>
        <v>0</v>
      </c>
      <c r="M74" s="4">
        <f>(VLOOKUP(' 6.0.00'!U74,' 6.0.00'!$AM$4:$AO$55,2,FALSE))*IF(' 6.0.00'!AW$4="是",' 6.0.00'!$AX$4,' 6.0.00'!$AX$3)</f>
        <v>0</v>
      </c>
      <c r="N74" s="4">
        <f>(VLOOKUP(' 6.0.00'!V74,' 6.0.00'!$AM$4:$AO$55,2,FALSE))*IF(' 6.0.00'!AX$4="是",' 6.0.00'!$AX$4,' 6.0.00'!$AX$3)</f>
        <v>0</v>
      </c>
      <c r="O74" s="5">
        <f>(VLOOKUP(' 6.0.00'!W74,' 6.0.00'!$AM$4:$AO$55,2,FALSE))*IF(' 6.0.00'!AY$4="是",' 6.0.00'!$AX$4,' 6.0.00'!$AX$3)</f>
        <v>0</v>
      </c>
      <c r="P74" s="5">
        <f>(VLOOKUP(' 6.0.00'!X74,' 6.0.00'!$AM$4:$AO$55,2,FALSE))*IF(' 6.0.00'!AZ$4="是",' 6.0.00'!$AX$4,' 6.0.00'!$AX$3)</f>
        <v>0</v>
      </c>
      <c r="Q74" s="4">
        <f>(VLOOKUP(' 6.0.00'!Y74,' 6.0.00'!$AM$4:$AO$55,2,FALSE))*IF(' 6.0.00'!BA$4="是",' 6.0.00'!$AX$4,' 6.0.00'!$AX$3)</f>
        <v>0</v>
      </c>
      <c r="R74" s="4">
        <f>(VLOOKUP(' 6.0.00'!Z74,' 6.0.00'!$AM$4:$AO$55,2,FALSE))*IF(' 6.0.00'!BB$4="是",' 6.0.00'!$AX$4,' 6.0.00'!$AX$3)</f>
        <v>0</v>
      </c>
      <c r="S74" s="4">
        <f>(VLOOKUP(' 6.0.00'!AA74,' 6.0.00'!$AM$4:$AO$55,2,FALSE))*IF(' 6.0.00'!BC$4="是",' 6.0.00'!$AX$4,' 6.0.00'!$AX$3)</f>
        <v>0</v>
      </c>
      <c r="T74" s="4">
        <f>(VLOOKUP(' 6.0.00'!AB74,' 6.0.00'!$AM$4:$AO$55,2,FALSE))*IF(' 6.0.00'!BD$4="是",' 6.0.00'!$AX$4,' 6.0.00'!$AX$3)</f>
        <v>0</v>
      </c>
      <c r="U74" s="4">
        <f>(VLOOKUP(' 6.0.00'!AC74,' 6.0.00'!$AM$4:$AO$55,2,FALSE))*IF(' 6.0.00'!BE$4="是",' 6.0.00'!$AX$4,' 6.0.00'!$AX$3)</f>
        <v>0</v>
      </c>
      <c r="V74" s="4">
        <f>(VLOOKUP(' 6.0.00'!AD74,' 6.0.00'!$AM$4:$AO$55,2,FALSE))*IF(' 6.0.00'!BF$4="是",' 6.0.00'!$AX$4,' 6.0.00'!$AX$3)</f>
        <v>0</v>
      </c>
      <c r="W74" s="5">
        <f>(VLOOKUP(' 6.0.00'!AE74,' 6.0.00'!$AM$4:$AO$55,2,FALSE))*IF(' 6.0.00'!BG$4="是",' 6.0.00'!$AX$4,' 6.0.00'!$AX$3)</f>
        <v>0</v>
      </c>
      <c r="X74" s="5">
        <f>(VLOOKUP(' 6.0.00'!AF74,' 6.0.00'!$AM$4:$AO$55,2,FALSE))*IF(' 6.0.00'!BH$4="是",' 6.0.00'!$AX$4,' 6.0.00'!$AX$3)</f>
        <v>0</v>
      </c>
    </row>
    <row r="75" spans="1:24">
      <c r="A75" s="4">
        <f>(VLOOKUP(' 6.0.00'!I75,' 6.0.00'!$AM$4:$AO$55,2,FALSE))*IF(' 6.0.00'!AK$4="是",' 6.0.00'!$AX$4,' 6.0.00'!$AX$3)</f>
        <v>0</v>
      </c>
      <c r="B75" s="4">
        <f>(VLOOKUP(' 6.0.00'!J75,' 6.0.00'!$AM$4:$AO$55,2,FALSE))*IF(' 6.0.00'!AL$4="是",' 6.0.00'!$AX$4,' 6.0.00'!$AX$3)</f>
        <v>0</v>
      </c>
      <c r="C75" s="4">
        <f>(VLOOKUP(' 6.0.00'!K75,' 6.0.00'!$AM$4:$AO$55,2,FALSE))*IF(' 6.0.00'!AM$4="是",' 6.0.00'!$AX$4,' 6.0.00'!$AX$3)</f>
        <v>0</v>
      </c>
      <c r="D75" s="4">
        <f>(VLOOKUP(' 6.0.00'!L75,' 6.0.00'!$AM$4:$AO$55,2,FALSE))*IF(' 6.0.00'!AN$4="是",' 6.0.00'!$AX$4,' 6.0.00'!$AX$3)</f>
        <v>0</v>
      </c>
      <c r="E75" s="4">
        <f>(VLOOKUP(' 6.0.00'!M75,' 6.0.00'!$AM$4:$AO$55,2,FALSE))*IF(' 6.0.00'!AO$4="是",' 6.0.00'!$AX$4,' 6.0.00'!$AX$3)</f>
        <v>0</v>
      </c>
      <c r="F75" s="4">
        <f>(VLOOKUP(' 6.0.00'!N75,' 6.0.00'!$AM$4:$AO$55,2,FALSE))*IF(' 6.0.00'!AP$4="是",' 6.0.00'!$AX$4,' 6.0.00'!$AX$3)</f>
        <v>0</v>
      </c>
      <c r="G75" s="5">
        <f>(VLOOKUP(' 6.0.00'!O75,' 6.0.00'!$AM$4:$AO$55,2,FALSE))*IF(' 6.0.00'!AQ$4="是",' 6.0.00'!$AX$4,' 6.0.00'!$AX$3)</f>
        <v>0</v>
      </c>
      <c r="H75" s="5">
        <f>(VLOOKUP(' 6.0.00'!P75,' 6.0.00'!$AM$4:$AO$55,2,FALSE))*IF(' 6.0.00'!AR$4="是",' 6.0.00'!$AX$4,' 6.0.00'!$AX$3)</f>
        <v>0</v>
      </c>
      <c r="I75" s="4">
        <f>(VLOOKUP(' 6.0.00'!Q75,' 6.0.00'!$AM$4:$AO$55,2,FALSE))*IF(' 6.0.00'!AS$4="是",' 6.0.00'!$AX$4,' 6.0.00'!$AX$3)</f>
        <v>0</v>
      </c>
      <c r="J75" s="4">
        <f>(VLOOKUP(' 6.0.00'!R75,' 6.0.00'!$AM$4:$AO$55,2,FALSE))*IF(' 6.0.00'!AT$4="是",' 6.0.00'!$AX$4,' 6.0.00'!$AX$3)</f>
        <v>0</v>
      </c>
      <c r="K75" s="4">
        <f>(VLOOKUP(' 6.0.00'!S75,' 6.0.00'!$AM$4:$AO$55,2,FALSE))*IF(' 6.0.00'!AU$4="是",' 6.0.00'!$AX$4,' 6.0.00'!$AX$3)</f>
        <v>0</v>
      </c>
      <c r="L75" s="4">
        <f>(VLOOKUP(' 6.0.00'!T75,' 6.0.00'!$AM$4:$AO$55,2,FALSE))*IF(' 6.0.00'!AV$4="是",' 6.0.00'!$AX$4,' 6.0.00'!$AX$3)</f>
        <v>0</v>
      </c>
      <c r="M75" s="4">
        <f>(VLOOKUP(' 6.0.00'!U75,' 6.0.00'!$AM$4:$AO$55,2,FALSE))*IF(' 6.0.00'!AW$4="是",' 6.0.00'!$AX$4,' 6.0.00'!$AX$3)</f>
        <v>0</v>
      </c>
      <c r="N75" s="4">
        <f>(VLOOKUP(' 6.0.00'!V75,' 6.0.00'!$AM$4:$AO$55,2,FALSE))*IF(' 6.0.00'!AX$4="是",' 6.0.00'!$AX$4,' 6.0.00'!$AX$3)</f>
        <v>0</v>
      </c>
      <c r="O75" s="5">
        <f>(VLOOKUP(' 6.0.00'!W75,' 6.0.00'!$AM$4:$AO$55,2,FALSE))*IF(' 6.0.00'!AY$4="是",' 6.0.00'!$AX$4,' 6.0.00'!$AX$3)</f>
        <v>0</v>
      </c>
      <c r="P75" s="5">
        <f>(VLOOKUP(' 6.0.00'!X75,' 6.0.00'!$AM$4:$AO$55,2,FALSE))*IF(' 6.0.00'!AZ$4="是",' 6.0.00'!$AX$4,' 6.0.00'!$AX$3)</f>
        <v>0</v>
      </c>
      <c r="Q75" s="4">
        <f>(VLOOKUP(' 6.0.00'!Y75,' 6.0.00'!$AM$4:$AO$55,2,FALSE))*IF(' 6.0.00'!BA$4="是",' 6.0.00'!$AX$4,' 6.0.00'!$AX$3)</f>
        <v>0</v>
      </c>
      <c r="R75" s="4">
        <f>(VLOOKUP(' 6.0.00'!Z75,' 6.0.00'!$AM$4:$AO$55,2,FALSE))*IF(' 6.0.00'!BB$4="是",' 6.0.00'!$AX$4,' 6.0.00'!$AX$3)</f>
        <v>0</v>
      </c>
      <c r="S75" s="4">
        <f>(VLOOKUP(' 6.0.00'!AA75,' 6.0.00'!$AM$4:$AO$55,2,FALSE))*IF(' 6.0.00'!BC$4="是",' 6.0.00'!$AX$4,' 6.0.00'!$AX$3)</f>
        <v>0</v>
      </c>
      <c r="T75" s="4">
        <f>(VLOOKUP(' 6.0.00'!AB75,' 6.0.00'!$AM$4:$AO$55,2,FALSE))*IF(' 6.0.00'!BD$4="是",' 6.0.00'!$AX$4,' 6.0.00'!$AX$3)</f>
        <v>0</v>
      </c>
      <c r="U75" s="4">
        <f>(VLOOKUP(' 6.0.00'!AC75,' 6.0.00'!$AM$4:$AO$55,2,FALSE))*IF(' 6.0.00'!BE$4="是",' 6.0.00'!$AX$4,' 6.0.00'!$AX$3)</f>
        <v>0</v>
      </c>
      <c r="V75" s="4">
        <f>(VLOOKUP(' 6.0.00'!AD75,' 6.0.00'!$AM$4:$AO$55,2,FALSE))*IF(' 6.0.00'!BF$4="是",' 6.0.00'!$AX$4,' 6.0.00'!$AX$3)</f>
        <v>0</v>
      </c>
      <c r="W75" s="5">
        <f>(VLOOKUP(' 6.0.00'!AE75,' 6.0.00'!$AM$4:$AO$55,2,FALSE))*IF(' 6.0.00'!BG$4="是",' 6.0.00'!$AX$4,' 6.0.00'!$AX$3)</f>
        <v>0</v>
      </c>
      <c r="X75" s="5">
        <f>(VLOOKUP(' 6.0.00'!AF75,' 6.0.00'!$AM$4:$AO$55,2,FALSE))*IF(' 6.0.00'!BH$4="是",' 6.0.00'!$AX$4,' 6.0.00'!$AX$3)</f>
        <v>0</v>
      </c>
    </row>
    <row r="76" spans="1:24">
      <c r="A76" s="4">
        <f>(VLOOKUP(' 6.0.00'!I76,' 6.0.00'!$AM$4:$AO$55,2,FALSE))*IF(' 6.0.00'!AK$4="是",' 6.0.00'!$AX$4,' 6.0.00'!$AX$3)</f>
        <v>0</v>
      </c>
      <c r="B76" s="4">
        <f>(VLOOKUP(' 6.0.00'!J76,' 6.0.00'!$AM$4:$AO$55,2,FALSE))*IF(' 6.0.00'!AL$4="是",' 6.0.00'!$AX$4,' 6.0.00'!$AX$3)</f>
        <v>0</v>
      </c>
      <c r="C76" s="4">
        <f>(VLOOKUP(' 6.0.00'!K76,' 6.0.00'!$AM$4:$AO$55,2,FALSE))*IF(' 6.0.00'!AM$4="是",' 6.0.00'!$AX$4,' 6.0.00'!$AX$3)</f>
        <v>0</v>
      </c>
      <c r="D76" s="4">
        <f>(VLOOKUP(' 6.0.00'!L76,' 6.0.00'!$AM$4:$AO$55,2,FALSE))*IF(' 6.0.00'!AN$4="是",' 6.0.00'!$AX$4,' 6.0.00'!$AX$3)</f>
        <v>0</v>
      </c>
      <c r="E76" s="4">
        <f>(VLOOKUP(' 6.0.00'!M76,' 6.0.00'!$AM$4:$AO$55,2,FALSE))*IF(' 6.0.00'!AO$4="是",' 6.0.00'!$AX$4,' 6.0.00'!$AX$3)</f>
        <v>0</v>
      </c>
      <c r="F76" s="4">
        <f>(VLOOKUP(' 6.0.00'!N76,' 6.0.00'!$AM$4:$AO$55,2,FALSE))*IF(' 6.0.00'!AP$4="是",' 6.0.00'!$AX$4,' 6.0.00'!$AX$3)</f>
        <v>0</v>
      </c>
      <c r="G76" s="5">
        <f>(VLOOKUP(' 6.0.00'!O76,' 6.0.00'!$AM$4:$AO$55,2,FALSE))*IF(' 6.0.00'!AQ$4="是",' 6.0.00'!$AX$4,' 6.0.00'!$AX$3)</f>
        <v>0</v>
      </c>
      <c r="H76" s="5">
        <f>(VLOOKUP(' 6.0.00'!P76,' 6.0.00'!$AM$4:$AO$55,2,FALSE))*IF(' 6.0.00'!AR$4="是",' 6.0.00'!$AX$4,' 6.0.00'!$AX$3)</f>
        <v>0</v>
      </c>
      <c r="I76" s="4">
        <f>(VLOOKUP(' 6.0.00'!Q76,' 6.0.00'!$AM$4:$AO$55,2,FALSE))*IF(' 6.0.00'!AS$4="是",' 6.0.00'!$AX$4,' 6.0.00'!$AX$3)</f>
        <v>0</v>
      </c>
      <c r="J76" s="4">
        <f>(VLOOKUP(' 6.0.00'!R76,' 6.0.00'!$AM$4:$AO$55,2,FALSE))*IF(' 6.0.00'!AT$4="是",' 6.0.00'!$AX$4,' 6.0.00'!$AX$3)</f>
        <v>0</v>
      </c>
      <c r="K76" s="4">
        <f>(VLOOKUP(' 6.0.00'!S76,' 6.0.00'!$AM$4:$AO$55,2,FALSE))*IF(' 6.0.00'!AU$4="是",' 6.0.00'!$AX$4,' 6.0.00'!$AX$3)</f>
        <v>0</v>
      </c>
      <c r="L76" s="4">
        <f>(VLOOKUP(' 6.0.00'!T76,' 6.0.00'!$AM$4:$AO$55,2,FALSE))*IF(' 6.0.00'!AV$4="是",' 6.0.00'!$AX$4,' 6.0.00'!$AX$3)</f>
        <v>0</v>
      </c>
      <c r="M76" s="4">
        <f>(VLOOKUP(' 6.0.00'!U76,' 6.0.00'!$AM$4:$AO$55,2,FALSE))*IF(' 6.0.00'!AW$4="是",' 6.0.00'!$AX$4,' 6.0.00'!$AX$3)</f>
        <v>0</v>
      </c>
      <c r="N76" s="4">
        <f>(VLOOKUP(' 6.0.00'!V76,' 6.0.00'!$AM$4:$AO$55,2,FALSE))*IF(' 6.0.00'!AX$4="是",' 6.0.00'!$AX$4,' 6.0.00'!$AX$3)</f>
        <v>0</v>
      </c>
      <c r="O76" s="5">
        <f>(VLOOKUP(' 6.0.00'!W76,' 6.0.00'!$AM$4:$AO$55,2,FALSE))*IF(' 6.0.00'!AY$4="是",' 6.0.00'!$AX$4,' 6.0.00'!$AX$3)</f>
        <v>0</v>
      </c>
      <c r="P76" s="5">
        <f>(VLOOKUP(' 6.0.00'!X76,' 6.0.00'!$AM$4:$AO$55,2,FALSE))*IF(' 6.0.00'!AZ$4="是",' 6.0.00'!$AX$4,' 6.0.00'!$AX$3)</f>
        <v>0</v>
      </c>
      <c r="Q76" s="4">
        <f>(VLOOKUP(' 6.0.00'!Y76,' 6.0.00'!$AM$4:$AO$55,2,FALSE))*IF(' 6.0.00'!BA$4="是",' 6.0.00'!$AX$4,' 6.0.00'!$AX$3)</f>
        <v>0</v>
      </c>
      <c r="R76" s="4">
        <f>(VLOOKUP(' 6.0.00'!Z76,' 6.0.00'!$AM$4:$AO$55,2,FALSE))*IF(' 6.0.00'!BB$4="是",' 6.0.00'!$AX$4,' 6.0.00'!$AX$3)</f>
        <v>0</v>
      </c>
      <c r="S76" s="4">
        <f>(VLOOKUP(' 6.0.00'!AA76,' 6.0.00'!$AM$4:$AO$55,2,FALSE))*IF(' 6.0.00'!BC$4="是",' 6.0.00'!$AX$4,' 6.0.00'!$AX$3)</f>
        <v>0</v>
      </c>
      <c r="T76" s="4">
        <f>(VLOOKUP(' 6.0.00'!AB76,' 6.0.00'!$AM$4:$AO$55,2,FALSE))*IF(' 6.0.00'!BD$4="是",' 6.0.00'!$AX$4,' 6.0.00'!$AX$3)</f>
        <v>0</v>
      </c>
      <c r="U76" s="4">
        <f>(VLOOKUP(' 6.0.00'!AC76,' 6.0.00'!$AM$4:$AO$55,2,FALSE))*IF(' 6.0.00'!BE$4="是",' 6.0.00'!$AX$4,' 6.0.00'!$AX$3)</f>
        <v>0</v>
      </c>
      <c r="V76" s="4">
        <f>(VLOOKUP(' 6.0.00'!AD76,' 6.0.00'!$AM$4:$AO$55,2,FALSE))*IF(' 6.0.00'!BF$4="是",' 6.0.00'!$AX$4,' 6.0.00'!$AX$3)</f>
        <v>0</v>
      </c>
      <c r="W76" s="5">
        <f>(VLOOKUP(' 6.0.00'!AE76,' 6.0.00'!$AM$4:$AO$55,2,FALSE))*IF(' 6.0.00'!BG$4="是",' 6.0.00'!$AX$4,' 6.0.00'!$AX$3)</f>
        <v>0</v>
      </c>
      <c r="X76" s="5">
        <f>(VLOOKUP(' 6.0.00'!AF76,' 6.0.00'!$AM$4:$AO$55,2,FALSE))*IF(' 6.0.00'!BH$4="是",' 6.0.00'!$AX$4,' 6.0.00'!$AX$3)</f>
        <v>0</v>
      </c>
    </row>
    <row r="77" spans="1:24">
      <c r="A77" s="4">
        <f>(VLOOKUP(' 6.0.00'!I77,' 6.0.00'!$AM$4:$AO$55,2,FALSE))*IF(' 6.0.00'!AK$4="是",' 6.0.00'!$AX$4,' 6.0.00'!$AX$3)</f>
        <v>0</v>
      </c>
      <c r="B77" s="4">
        <f>(VLOOKUP(' 6.0.00'!J77,' 6.0.00'!$AM$4:$AO$55,2,FALSE))*IF(' 6.0.00'!AL$4="是",' 6.0.00'!$AX$4,' 6.0.00'!$AX$3)</f>
        <v>0</v>
      </c>
      <c r="C77" s="4">
        <f>(VLOOKUP(' 6.0.00'!K77,' 6.0.00'!$AM$4:$AO$55,2,FALSE))*IF(' 6.0.00'!AM$4="是",' 6.0.00'!$AX$4,' 6.0.00'!$AX$3)</f>
        <v>0</v>
      </c>
      <c r="D77" s="4">
        <f>(VLOOKUP(' 6.0.00'!L77,' 6.0.00'!$AM$4:$AO$55,2,FALSE))*IF(' 6.0.00'!AN$4="是",' 6.0.00'!$AX$4,' 6.0.00'!$AX$3)</f>
        <v>0</v>
      </c>
      <c r="E77" s="4">
        <f>(VLOOKUP(' 6.0.00'!M77,' 6.0.00'!$AM$4:$AO$55,2,FALSE))*IF(' 6.0.00'!AO$4="是",' 6.0.00'!$AX$4,' 6.0.00'!$AX$3)</f>
        <v>0</v>
      </c>
      <c r="F77" s="4">
        <f>(VLOOKUP(' 6.0.00'!N77,' 6.0.00'!$AM$4:$AO$55,2,FALSE))*IF(' 6.0.00'!AP$4="是",' 6.0.00'!$AX$4,' 6.0.00'!$AX$3)</f>
        <v>0</v>
      </c>
      <c r="G77" s="5">
        <f>(VLOOKUP(' 6.0.00'!O77,' 6.0.00'!$AM$4:$AO$55,2,FALSE))*IF(' 6.0.00'!AQ$4="是",' 6.0.00'!$AX$4,' 6.0.00'!$AX$3)</f>
        <v>0</v>
      </c>
      <c r="H77" s="5">
        <f>(VLOOKUP(' 6.0.00'!P77,' 6.0.00'!$AM$4:$AO$55,2,FALSE))*IF(' 6.0.00'!AR$4="是",' 6.0.00'!$AX$4,' 6.0.00'!$AX$3)</f>
        <v>0</v>
      </c>
      <c r="I77" s="4">
        <f>(VLOOKUP(' 6.0.00'!Q77,' 6.0.00'!$AM$4:$AO$55,2,FALSE))*IF(' 6.0.00'!AS$4="是",' 6.0.00'!$AX$4,' 6.0.00'!$AX$3)</f>
        <v>0</v>
      </c>
      <c r="J77" s="4">
        <f>(VLOOKUP(' 6.0.00'!R77,' 6.0.00'!$AM$4:$AO$55,2,FALSE))*IF(' 6.0.00'!AT$4="是",' 6.0.00'!$AX$4,' 6.0.00'!$AX$3)</f>
        <v>0</v>
      </c>
      <c r="K77" s="4">
        <f>(VLOOKUP(' 6.0.00'!S77,' 6.0.00'!$AM$4:$AO$55,2,FALSE))*IF(' 6.0.00'!AU$4="是",' 6.0.00'!$AX$4,' 6.0.00'!$AX$3)</f>
        <v>0</v>
      </c>
      <c r="L77" s="4">
        <f>(VLOOKUP(' 6.0.00'!T77,' 6.0.00'!$AM$4:$AO$55,2,FALSE))*IF(' 6.0.00'!AV$4="是",' 6.0.00'!$AX$4,' 6.0.00'!$AX$3)</f>
        <v>0</v>
      </c>
      <c r="M77" s="4">
        <f>(VLOOKUP(' 6.0.00'!U77,' 6.0.00'!$AM$4:$AO$55,2,FALSE))*IF(' 6.0.00'!AW$4="是",' 6.0.00'!$AX$4,' 6.0.00'!$AX$3)</f>
        <v>0</v>
      </c>
      <c r="N77" s="4">
        <f>(VLOOKUP(' 6.0.00'!V77,' 6.0.00'!$AM$4:$AO$55,2,FALSE))*IF(' 6.0.00'!AX$4="是",' 6.0.00'!$AX$4,' 6.0.00'!$AX$3)</f>
        <v>0</v>
      </c>
      <c r="O77" s="5">
        <f>(VLOOKUP(' 6.0.00'!W77,' 6.0.00'!$AM$4:$AO$55,2,FALSE))*IF(' 6.0.00'!AY$4="是",' 6.0.00'!$AX$4,' 6.0.00'!$AX$3)</f>
        <v>0</v>
      </c>
      <c r="P77" s="5">
        <f>(VLOOKUP(' 6.0.00'!X77,' 6.0.00'!$AM$4:$AO$55,2,FALSE))*IF(' 6.0.00'!AZ$4="是",' 6.0.00'!$AX$4,' 6.0.00'!$AX$3)</f>
        <v>0</v>
      </c>
      <c r="Q77" s="4">
        <f>(VLOOKUP(' 6.0.00'!Y77,' 6.0.00'!$AM$4:$AO$55,2,FALSE))*IF(' 6.0.00'!BA$4="是",' 6.0.00'!$AX$4,' 6.0.00'!$AX$3)</f>
        <v>0</v>
      </c>
      <c r="R77" s="4">
        <f>(VLOOKUP(' 6.0.00'!Z77,' 6.0.00'!$AM$4:$AO$55,2,FALSE))*IF(' 6.0.00'!BB$4="是",' 6.0.00'!$AX$4,' 6.0.00'!$AX$3)</f>
        <v>0</v>
      </c>
      <c r="S77" s="4">
        <f>(VLOOKUP(' 6.0.00'!AA77,' 6.0.00'!$AM$4:$AO$55,2,FALSE))*IF(' 6.0.00'!BC$4="是",' 6.0.00'!$AX$4,' 6.0.00'!$AX$3)</f>
        <v>0</v>
      </c>
      <c r="T77" s="4">
        <f>(VLOOKUP(' 6.0.00'!AB77,' 6.0.00'!$AM$4:$AO$55,2,FALSE))*IF(' 6.0.00'!BD$4="是",' 6.0.00'!$AX$4,' 6.0.00'!$AX$3)</f>
        <v>0</v>
      </c>
      <c r="U77" s="4">
        <f>(VLOOKUP(' 6.0.00'!AC77,' 6.0.00'!$AM$4:$AO$55,2,FALSE))*IF(' 6.0.00'!BE$4="是",' 6.0.00'!$AX$4,' 6.0.00'!$AX$3)</f>
        <v>0</v>
      </c>
      <c r="V77" s="4">
        <f>(VLOOKUP(' 6.0.00'!AD77,' 6.0.00'!$AM$4:$AO$55,2,FALSE))*IF(' 6.0.00'!BF$4="是",' 6.0.00'!$AX$4,' 6.0.00'!$AX$3)</f>
        <v>0</v>
      </c>
      <c r="W77" s="5">
        <f>(VLOOKUP(' 6.0.00'!AE77,' 6.0.00'!$AM$4:$AO$55,2,FALSE))*IF(' 6.0.00'!BG$4="是",' 6.0.00'!$AX$4,' 6.0.00'!$AX$3)</f>
        <v>0</v>
      </c>
      <c r="X77" s="5">
        <f>(VLOOKUP(' 6.0.00'!AF77,' 6.0.00'!$AM$4:$AO$55,2,FALSE))*IF(' 6.0.00'!BH$4="是",' 6.0.00'!$AX$4,' 6.0.00'!$AX$3)</f>
        <v>0</v>
      </c>
    </row>
    <row r="78" spans="1:24">
      <c r="A78" s="4">
        <f>(VLOOKUP(' 6.0.00'!I78,' 6.0.00'!$AM$4:$AO$55,2,FALSE))*IF(' 6.0.00'!AK$4="是",' 6.0.00'!$AX$4,' 6.0.00'!$AX$3)</f>
        <v>0</v>
      </c>
      <c r="B78" s="4">
        <f>(VLOOKUP(' 6.0.00'!J78,' 6.0.00'!$AM$4:$AO$55,2,FALSE))*IF(' 6.0.00'!AL$4="是",' 6.0.00'!$AX$4,' 6.0.00'!$AX$3)</f>
        <v>0</v>
      </c>
      <c r="C78" s="4">
        <f>(VLOOKUP(' 6.0.00'!K78,' 6.0.00'!$AM$4:$AO$55,2,FALSE))*IF(' 6.0.00'!AM$4="是",' 6.0.00'!$AX$4,' 6.0.00'!$AX$3)</f>
        <v>0</v>
      </c>
      <c r="D78" s="4">
        <f>(VLOOKUP(' 6.0.00'!L78,' 6.0.00'!$AM$4:$AO$55,2,FALSE))*IF(' 6.0.00'!AN$4="是",' 6.0.00'!$AX$4,' 6.0.00'!$AX$3)</f>
        <v>0</v>
      </c>
      <c r="E78" s="4">
        <f>(VLOOKUP(' 6.0.00'!M78,' 6.0.00'!$AM$4:$AO$55,2,FALSE))*IF(' 6.0.00'!AO$4="是",' 6.0.00'!$AX$4,' 6.0.00'!$AX$3)</f>
        <v>0</v>
      </c>
      <c r="F78" s="4">
        <f>(VLOOKUP(' 6.0.00'!N78,' 6.0.00'!$AM$4:$AO$55,2,FALSE))*IF(' 6.0.00'!AP$4="是",' 6.0.00'!$AX$4,' 6.0.00'!$AX$3)</f>
        <v>0</v>
      </c>
      <c r="G78" s="5">
        <f>(VLOOKUP(' 6.0.00'!O78,' 6.0.00'!$AM$4:$AO$55,2,FALSE))*IF(' 6.0.00'!AQ$4="是",' 6.0.00'!$AX$4,' 6.0.00'!$AX$3)</f>
        <v>0</v>
      </c>
      <c r="H78" s="5">
        <f>(VLOOKUP(' 6.0.00'!P78,' 6.0.00'!$AM$4:$AO$55,2,FALSE))*IF(' 6.0.00'!AR$4="是",' 6.0.00'!$AX$4,' 6.0.00'!$AX$3)</f>
        <v>0</v>
      </c>
      <c r="I78" s="4">
        <f>(VLOOKUP(' 6.0.00'!Q78,' 6.0.00'!$AM$4:$AO$55,2,FALSE))*IF(' 6.0.00'!AS$4="是",' 6.0.00'!$AX$4,' 6.0.00'!$AX$3)</f>
        <v>0</v>
      </c>
      <c r="J78" s="4">
        <f>(VLOOKUP(' 6.0.00'!R78,' 6.0.00'!$AM$4:$AO$55,2,FALSE))*IF(' 6.0.00'!AT$4="是",' 6.0.00'!$AX$4,' 6.0.00'!$AX$3)</f>
        <v>0</v>
      </c>
      <c r="K78" s="4">
        <f>(VLOOKUP(' 6.0.00'!S78,' 6.0.00'!$AM$4:$AO$55,2,FALSE))*IF(' 6.0.00'!AU$4="是",' 6.0.00'!$AX$4,' 6.0.00'!$AX$3)</f>
        <v>0</v>
      </c>
      <c r="L78" s="4">
        <f>(VLOOKUP(' 6.0.00'!T78,' 6.0.00'!$AM$4:$AO$55,2,FALSE))*IF(' 6.0.00'!AV$4="是",' 6.0.00'!$AX$4,' 6.0.00'!$AX$3)</f>
        <v>0</v>
      </c>
      <c r="M78" s="4">
        <f>(VLOOKUP(' 6.0.00'!U78,' 6.0.00'!$AM$4:$AO$55,2,FALSE))*IF(' 6.0.00'!AW$4="是",' 6.0.00'!$AX$4,' 6.0.00'!$AX$3)</f>
        <v>0</v>
      </c>
      <c r="N78" s="4">
        <f>(VLOOKUP(' 6.0.00'!V78,' 6.0.00'!$AM$4:$AO$55,2,FALSE))*IF(' 6.0.00'!AX$4="是",' 6.0.00'!$AX$4,' 6.0.00'!$AX$3)</f>
        <v>0</v>
      </c>
      <c r="O78" s="5">
        <f>(VLOOKUP(' 6.0.00'!W78,' 6.0.00'!$AM$4:$AO$55,2,FALSE))*IF(' 6.0.00'!AY$4="是",' 6.0.00'!$AX$4,' 6.0.00'!$AX$3)</f>
        <v>0</v>
      </c>
      <c r="P78" s="5">
        <f>(VLOOKUP(' 6.0.00'!X78,' 6.0.00'!$AM$4:$AO$55,2,FALSE))*IF(' 6.0.00'!AZ$4="是",' 6.0.00'!$AX$4,' 6.0.00'!$AX$3)</f>
        <v>0</v>
      </c>
      <c r="Q78" s="4">
        <f>(VLOOKUP(' 6.0.00'!Y78,' 6.0.00'!$AM$4:$AO$55,2,FALSE))*IF(' 6.0.00'!BA$4="是",' 6.0.00'!$AX$4,' 6.0.00'!$AX$3)</f>
        <v>0</v>
      </c>
      <c r="R78" s="4">
        <f>(VLOOKUP(' 6.0.00'!Z78,' 6.0.00'!$AM$4:$AO$55,2,FALSE))*IF(' 6.0.00'!BB$4="是",' 6.0.00'!$AX$4,' 6.0.00'!$AX$3)</f>
        <v>0</v>
      </c>
      <c r="S78" s="4">
        <f>(VLOOKUP(' 6.0.00'!AA78,' 6.0.00'!$AM$4:$AO$55,2,FALSE))*IF(' 6.0.00'!BC$4="是",' 6.0.00'!$AX$4,' 6.0.00'!$AX$3)</f>
        <v>0</v>
      </c>
      <c r="T78" s="4">
        <f>(VLOOKUP(' 6.0.00'!AB78,' 6.0.00'!$AM$4:$AO$55,2,FALSE))*IF(' 6.0.00'!BD$4="是",' 6.0.00'!$AX$4,' 6.0.00'!$AX$3)</f>
        <v>0</v>
      </c>
      <c r="U78" s="4">
        <f>(VLOOKUP(' 6.0.00'!AC78,' 6.0.00'!$AM$4:$AO$55,2,FALSE))*IF(' 6.0.00'!BE$4="是",' 6.0.00'!$AX$4,' 6.0.00'!$AX$3)</f>
        <v>0</v>
      </c>
      <c r="V78" s="4">
        <f>(VLOOKUP(' 6.0.00'!AD78,' 6.0.00'!$AM$4:$AO$55,2,FALSE))*IF(' 6.0.00'!BF$4="是",' 6.0.00'!$AX$4,' 6.0.00'!$AX$3)</f>
        <v>0</v>
      </c>
      <c r="W78" s="5">
        <f>(VLOOKUP(' 6.0.00'!AE78,' 6.0.00'!$AM$4:$AO$55,2,FALSE))*IF(' 6.0.00'!BG$4="是",' 6.0.00'!$AX$4,' 6.0.00'!$AX$3)</f>
        <v>0</v>
      </c>
      <c r="X78" s="5">
        <f>(VLOOKUP(' 6.0.00'!AF78,' 6.0.00'!$AM$4:$AO$55,2,FALSE))*IF(' 6.0.00'!BH$4="是",' 6.0.00'!$AX$4,' 6.0.00'!$AX$3)</f>
        <v>0</v>
      </c>
    </row>
    <row r="79" spans="1:24">
      <c r="A79" s="4">
        <f>(VLOOKUP(' 6.0.00'!I79,' 6.0.00'!$AM$4:$AO$55,2,FALSE))*IF(' 6.0.00'!AK$4="是",' 6.0.00'!$AX$4,' 6.0.00'!$AX$3)</f>
        <v>0</v>
      </c>
      <c r="B79" s="4">
        <f>(VLOOKUP(' 6.0.00'!J79,' 6.0.00'!$AM$4:$AO$55,2,FALSE))*IF(' 6.0.00'!AL$4="是",' 6.0.00'!$AX$4,' 6.0.00'!$AX$3)</f>
        <v>0</v>
      </c>
      <c r="C79" s="4">
        <f>(VLOOKUP(' 6.0.00'!K79,' 6.0.00'!$AM$4:$AO$55,2,FALSE))*IF(' 6.0.00'!AM$4="是",' 6.0.00'!$AX$4,' 6.0.00'!$AX$3)</f>
        <v>0</v>
      </c>
      <c r="D79" s="4">
        <f>(VLOOKUP(' 6.0.00'!L79,' 6.0.00'!$AM$4:$AO$55,2,FALSE))*IF(' 6.0.00'!AN$4="是",' 6.0.00'!$AX$4,' 6.0.00'!$AX$3)</f>
        <v>0</v>
      </c>
      <c r="E79" s="4">
        <f>(VLOOKUP(' 6.0.00'!M79,' 6.0.00'!$AM$4:$AO$55,2,FALSE))*IF(' 6.0.00'!AO$4="是",' 6.0.00'!$AX$4,' 6.0.00'!$AX$3)</f>
        <v>0</v>
      </c>
      <c r="F79" s="4">
        <f>(VLOOKUP(' 6.0.00'!N79,' 6.0.00'!$AM$4:$AO$55,2,FALSE))*IF(' 6.0.00'!AP$4="是",' 6.0.00'!$AX$4,' 6.0.00'!$AX$3)</f>
        <v>0</v>
      </c>
      <c r="G79" s="5">
        <f>(VLOOKUP(' 6.0.00'!O79,' 6.0.00'!$AM$4:$AO$55,2,FALSE))*IF(' 6.0.00'!AQ$4="是",' 6.0.00'!$AX$4,' 6.0.00'!$AX$3)</f>
        <v>0</v>
      </c>
      <c r="H79" s="5">
        <f>(VLOOKUP(' 6.0.00'!P79,' 6.0.00'!$AM$4:$AO$55,2,FALSE))*IF(' 6.0.00'!AR$4="是",' 6.0.00'!$AX$4,' 6.0.00'!$AX$3)</f>
        <v>0</v>
      </c>
      <c r="I79" s="4">
        <f>(VLOOKUP(' 6.0.00'!Q79,' 6.0.00'!$AM$4:$AO$55,2,FALSE))*IF(' 6.0.00'!AS$4="是",' 6.0.00'!$AX$4,' 6.0.00'!$AX$3)</f>
        <v>0</v>
      </c>
      <c r="J79" s="4">
        <f>(VLOOKUP(' 6.0.00'!R79,' 6.0.00'!$AM$4:$AO$55,2,FALSE))*IF(' 6.0.00'!AT$4="是",' 6.0.00'!$AX$4,' 6.0.00'!$AX$3)</f>
        <v>0</v>
      </c>
      <c r="K79" s="4">
        <f>(VLOOKUP(' 6.0.00'!S79,' 6.0.00'!$AM$4:$AO$55,2,FALSE))*IF(' 6.0.00'!AU$4="是",' 6.0.00'!$AX$4,' 6.0.00'!$AX$3)</f>
        <v>0</v>
      </c>
      <c r="L79" s="4">
        <f>(VLOOKUP(' 6.0.00'!T79,' 6.0.00'!$AM$4:$AO$55,2,FALSE))*IF(' 6.0.00'!AV$4="是",' 6.0.00'!$AX$4,' 6.0.00'!$AX$3)</f>
        <v>0</v>
      </c>
      <c r="M79" s="4">
        <f>(VLOOKUP(' 6.0.00'!U79,' 6.0.00'!$AM$4:$AO$55,2,FALSE))*IF(' 6.0.00'!AW$4="是",' 6.0.00'!$AX$4,' 6.0.00'!$AX$3)</f>
        <v>0</v>
      </c>
      <c r="N79" s="4">
        <f>(VLOOKUP(' 6.0.00'!V79,' 6.0.00'!$AM$4:$AO$55,2,FALSE))*IF(' 6.0.00'!AX$4="是",' 6.0.00'!$AX$4,' 6.0.00'!$AX$3)</f>
        <v>0</v>
      </c>
      <c r="O79" s="5">
        <f>(VLOOKUP(' 6.0.00'!W79,' 6.0.00'!$AM$4:$AO$55,2,FALSE))*IF(' 6.0.00'!AY$4="是",' 6.0.00'!$AX$4,' 6.0.00'!$AX$3)</f>
        <v>0</v>
      </c>
      <c r="P79" s="5">
        <f>(VLOOKUP(' 6.0.00'!X79,' 6.0.00'!$AM$4:$AO$55,2,FALSE))*IF(' 6.0.00'!AZ$4="是",' 6.0.00'!$AX$4,' 6.0.00'!$AX$3)</f>
        <v>0</v>
      </c>
      <c r="Q79" s="4">
        <f>(VLOOKUP(' 6.0.00'!Y79,' 6.0.00'!$AM$4:$AO$55,2,FALSE))*IF(' 6.0.00'!BA$4="是",' 6.0.00'!$AX$4,' 6.0.00'!$AX$3)</f>
        <v>0</v>
      </c>
      <c r="R79" s="4">
        <f>(VLOOKUP(' 6.0.00'!Z79,' 6.0.00'!$AM$4:$AO$55,2,FALSE))*IF(' 6.0.00'!BB$4="是",' 6.0.00'!$AX$4,' 6.0.00'!$AX$3)</f>
        <v>0</v>
      </c>
      <c r="S79" s="4">
        <f>(VLOOKUP(' 6.0.00'!AA79,' 6.0.00'!$AM$4:$AO$55,2,FALSE))*IF(' 6.0.00'!BC$4="是",' 6.0.00'!$AX$4,' 6.0.00'!$AX$3)</f>
        <v>0</v>
      </c>
      <c r="T79" s="4">
        <f>(VLOOKUP(' 6.0.00'!AB79,' 6.0.00'!$AM$4:$AO$55,2,FALSE))*IF(' 6.0.00'!BD$4="是",' 6.0.00'!$AX$4,' 6.0.00'!$AX$3)</f>
        <v>0</v>
      </c>
      <c r="U79" s="4">
        <f>(VLOOKUP(' 6.0.00'!AC79,' 6.0.00'!$AM$4:$AO$55,2,FALSE))*IF(' 6.0.00'!BE$4="是",' 6.0.00'!$AX$4,' 6.0.00'!$AX$3)</f>
        <v>0</v>
      </c>
      <c r="V79" s="4">
        <f>(VLOOKUP(' 6.0.00'!AD79,' 6.0.00'!$AM$4:$AO$55,2,FALSE))*IF(' 6.0.00'!BF$4="是",' 6.0.00'!$AX$4,' 6.0.00'!$AX$3)</f>
        <v>0</v>
      </c>
      <c r="W79" s="5">
        <f>(VLOOKUP(' 6.0.00'!AE79,' 6.0.00'!$AM$4:$AO$55,2,FALSE))*IF(' 6.0.00'!BG$4="是",' 6.0.00'!$AX$4,' 6.0.00'!$AX$3)</f>
        <v>0</v>
      </c>
      <c r="X79" s="5">
        <f>(VLOOKUP(' 6.0.00'!AF79,' 6.0.00'!$AM$4:$AO$55,2,FALSE))*IF(' 6.0.00'!BH$4="是",' 6.0.00'!$AX$4,' 6.0.00'!$AX$3)</f>
        <v>0</v>
      </c>
    </row>
    <row r="80" spans="1:24">
      <c r="A80" s="4">
        <f>(VLOOKUP(' 6.0.00'!I80,' 6.0.00'!$AM$4:$AO$55,2,FALSE))*IF(' 6.0.00'!AK$4="是",' 6.0.00'!$AX$4,' 6.0.00'!$AX$3)</f>
        <v>0</v>
      </c>
      <c r="B80" s="4">
        <f>(VLOOKUP(' 6.0.00'!J80,' 6.0.00'!$AM$4:$AO$55,2,FALSE))*IF(' 6.0.00'!AL$4="是",' 6.0.00'!$AX$4,' 6.0.00'!$AX$3)</f>
        <v>0</v>
      </c>
      <c r="C80" s="4">
        <f>(VLOOKUP(' 6.0.00'!K80,' 6.0.00'!$AM$4:$AO$55,2,FALSE))*IF(' 6.0.00'!AM$4="是",' 6.0.00'!$AX$4,' 6.0.00'!$AX$3)</f>
        <v>0</v>
      </c>
      <c r="D80" s="4">
        <f>(VLOOKUP(' 6.0.00'!L80,' 6.0.00'!$AM$4:$AO$55,2,FALSE))*IF(' 6.0.00'!AN$4="是",' 6.0.00'!$AX$4,' 6.0.00'!$AX$3)</f>
        <v>0</v>
      </c>
      <c r="E80" s="4">
        <f>(VLOOKUP(' 6.0.00'!M80,' 6.0.00'!$AM$4:$AO$55,2,FALSE))*IF(' 6.0.00'!AO$4="是",' 6.0.00'!$AX$4,' 6.0.00'!$AX$3)</f>
        <v>0</v>
      </c>
      <c r="F80" s="4">
        <f>(VLOOKUP(' 6.0.00'!N80,' 6.0.00'!$AM$4:$AO$55,2,FALSE))*IF(' 6.0.00'!AP$4="是",' 6.0.00'!$AX$4,' 6.0.00'!$AX$3)</f>
        <v>0</v>
      </c>
      <c r="G80" s="5">
        <f>(VLOOKUP(' 6.0.00'!O80,' 6.0.00'!$AM$4:$AO$55,2,FALSE))*IF(' 6.0.00'!AQ$4="是",' 6.0.00'!$AX$4,' 6.0.00'!$AX$3)</f>
        <v>0</v>
      </c>
      <c r="H80" s="5">
        <f>(VLOOKUP(' 6.0.00'!P80,' 6.0.00'!$AM$4:$AO$55,2,FALSE))*IF(' 6.0.00'!AR$4="是",' 6.0.00'!$AX$4,' 6.0.00'!$AX$3)</f>
        <v>0</v>
      </c>
      <c r="I80" s="4">
        <f>(VLOOKUP(' 6.0.00'!Q80,' 6.0.00'!$AM$4:$AO$55,2,FALSE))*IF(' 6.0.00'!AS$4="是",' 6.0.00'!$AX$4,' 6.0.00'!$AX$3)</f>
        <v>0</v>
      </c>
      <c r="J80" s="4">
        <f>(VLOOKUP(' 6.0.00'!R80,' 6.0.00'!$AM$4:$AO$55,2,FALSE))*IF(' 6.0.00'!AT$4="是",' 6.0.00'!$AX$4,' 6.0.00'!$AX$3)</f>
        <v>0</v>
      </c>
      <c r="K80" s="4">
        <f>(VLOOKUP(' 6.0.00'!S80,' 6.0.00'!$AM$4:$AO$55,2,FALSE))*IF(' 6.0.00'!AU$4="是",' 6.0.00'!$AX$4,' 6.0.00'!$AX$3)</f>
        <v>0</v>
      </c>
      <c r="L80" s="4">
        <f>(VLOOKUP(' 6.0.00'!T80,' 6.0.00'!$AM$4:$AO$55,2,FALSE))*IF(' 6.0.00'!AV$4="是",' 6.0.00'!$AX$4,' 6.0.00'!$AX$3)</f>
        <v>0</v>
      </c>
      <c r="M80" s="4">
        <f>(VLOOKUP(' 6.0.00'!U80,' 6.0.00'!$AM$4:$AO$55,2,FALSE))*IF(' 6.0.00'!AW$4="是",' 6.0.00'!$AX$4,' 6.0.00'!$AX$3)</f>
        <v>0</v>
      </c>
      <c r="N80" s="4">
        <f>(VLOOKUP(' 6.0.00'!V80,' 6.0.00'!$AM$4:$AO$55,2,FALSE))*IF(' 6.0.00'!AX$4="是",' 6.0.00'!$AX$4,' 6.0.00'!$AX$3)</f>
        <v>0</v>
      </c>
      <c r="O80" s="5">
        <f>(VLOOKUP(' 6.0.00'!W80,' 6.0.00'!$AM$4:$AO$55,2,FALSE))*IF(' 6.0.00'!AY$4="是",' 6.0.00'!$AX$4,' 6.0.00'!$AX$3)</f>
        <v>0</v>
      </c>
      <c r="P80" s="5">
        <f>(VLOOKUP(' 6.0.00'!X80,' 6.0.00'!$AM$4:$AO$55,2,FALSE))*IF(' 6.0.00'!AZ$4="是",' 6.0.00'!$AX$4,' 6.0.00'!$AX$3)</f>
        <v>0</v>
      </c>
      <c r="Q80" s="4">
        <f>(VLOOKUP(' 6.0.00'!Y80,' 6.0.00'!$AM$4:$AO$55,2,FALSE))*IF(' 6.0.00'!BA$4="是",' 6.0.00'!$AX$4,' 6.0.00'!$AX$3)</f>
        <v>0</v>
      </c>
      <c r="R80" s="4">
        <f>(VLOOKUP(' 6.0.00'!Z80,' 6.0.00'!$AM$4:$AO$55,2,FALSE))*IF(' 6.0.00'!BB$4="是",' 6.0.00'!$AX$4,' 6.0.00'!$AX$3)</f>
        <v>0</v>
      </c>
      <c r="S80" s="4">
        <f>(VLOOKUP(' 6.0.00'!AA80,' 6.0.00'!$AM$4:$AO$55,2,FALSE))*IF(' 6.0.00'!BC$4="是",' 6.0.00'!$AX$4,' 6.0.00'!$AX$3)</f>
        <v>0</v>
      </c>
      <c r="T80" s="4">
        <f>(VLOOKUP(' 6.0.00'!AB80,' 6.0.00'!$AM$4:$AO$55,2,FALSE))*IF(' 6.0.00'!BD$4="是",' 6.0.00'!$AX$4,' 6.0.00'!$AX$3)</f>
        <v>0</v>
      </c>
      <c r="U80" s="4">
        <f>(VLOOKUP(' 6.0.00'!AC80,' 6.0.00'!$AM$4:$AO$55,2,FALSE))*IF(' 6.0.00'!BE$4="是",' 6.0.00'!$AX$4,' 6.0.00'!$AX$3)</f>
        <v>0</v>
      </c>
      <c r="V80" s="4">
        <f>(VLOOKUP(' 6.0.00'!AD80,' 6.0.00'!$AM$4:$AO$55,2,FALSE))*IF(' 6.0.00'!BF$4="是",' 6.0.00'!$AX$4,' 6.0.00'!$AX$3)</f>
        <v>0</v>
      </c>
      <c r="W80" s="5">
        <f>(VLOOKUP(' 6.0.00'!AE80,' 6.0.00'!$AM$4:$AO$55,2,FALSE))*IF(' 6.0.00'!BG$4="是",' 6.0.00'!$AX$4,' 6.0.00'!$AX$3)</f>
        <v>0</v>
      </c>
      <c r="X80" s="5">
        <f>(VLOOKUP(' 6.0.00'!AF80,' 6.0.00'!$AM$4:$AO$55,2,FALSE))*IF(' 6.0.00'!BH$4="是",' 6.0.00'!$AX$4,' 6.0.00'!$AX$3)</f>
        <v>0</v>
      </c>
    </row>
    <row r="81" spans="1:24">
      <c r="A81" s="4">
        <f>(VLOOKUP(' 6.0.00'!I81,' 6.0.00'!$AM$4:$AO$55,2,FALSE))*IF(' 6.0.00'!AK$4="是",' 6.0.00'!$AX$4,' 6.0.00'!$AX$3)</f>
        <v>0</v>
      </c>
      <c r="B81" s="4">
        <f>(VLOOKUP(' 6.0.00'!J81,' 6.0.00'!$AM$4:$AO$55,2,FALSE))*IF(' 6.0.00'!AL$4="是",' 6.0.00'!$AX$4,' 6.0.00'!$AX$3)</f>
        <v>0</v>
      </c>
      <c r="C81" s="4">
        <f>(VLOOKUP(' 6.0.00'!K81,' 6.0.00'!$AM$4:$AO$55,2,FALSE))*IF(' 6.0.00'!AM$4="是",' 6.0.00'!$AX$4,' 6.0.00'!$AX$3)</f>
        <v>0</v>
      </c>
      <c r="D81" s="4">
        <f>(VLOOKUP(' 6.0.00'!L81,' 6.0.00'!$AM$4:$AO$55,2,FALSE))*IF(' 6.0.00'!AN$4="是",' 6.0.00'!$AX$4,' 6.0.00'!$AX$3)</f>
        <v>0</v>
      </c>
      <c r="E81" s="4">
        <f>(VLOOKUP(' 6.0.00'!M81,' 6.0.00'!$AM$4:$AO$55,2,FALSE))*IF(' 6.0.00'!AO$4="是",' 6.0.00'!$AX$4,' 6.0.00'!$AX$3)</f>
        <v>0</v>
      </c>
      <c r="F81" s="4">
        <f>(VLOOKUP(' 6.0.00'!N81,' 6.0.00'!$AM$4:$AO$55,2,FALSE))*IF(' 6.0.00'!AP$4="是",' 6.0.00'!$AX$4,' 6.0.00'!$AX$3)</f>
        <v>0</v>
      </c>
      <c r="G81" s="5">
        <f>(VLOOKUP(' 6.0.00'!O81,' 6.0.00'!$AM$4:$AO$55,2,FALSE))*IF(' 6.0.00'!AQ$4="是",' 6.0.00'!$AX$4,' 6.0.00'!$AX$3)</f>
        <v>0</v>
      </c>
      <c r="H81" s="5">
        <f>(VLOOKUP(' 6.0.00'!P81,' 6.0.00'!$AM$4:$AO$55,2,FALSE))*IF(' 6.0.00'!AR$4="是",' 6.0.00'!$AX$4,' 6.0.00'!$AX$3)</f>
        <v>0</v>
      </c>
      <c r="I81" s="4">
        <f>(VLOOKUP(' 6.0.00'!Q81,' 6.0.00'!$AM$4:$AO$55,2,FALSE))*IF(' 6.0.00'!AS$4="是",' 6.0.00'!$AX$4,' 6.0.00'!$AX$3)</f>
        <v>0</v>
      </c>
      <c r="J81" s="4">
        <f>(VLOOKUP(' 6.0.00'!R81,' 6.0.00'!$AM$4:$AO$55,2,FALSE))*IF(' 6.0.00'!AT$4="是",' 6.0.00'!$AX$4,' 6.0.00'!$AX$3)</f>
        <v>0</v>
      </c>
      <c r="K81" s="4">
        <f>(VLOOKUP(' 6.0.00'!S81,' 6.0.00'!$AM$4:$AO$55,2,FALSE))*IF(' 6.0.00'!AU$4="是",' 6.0.00'!$AX$4,' 6.0.00'!$AX$3)</f>
        <v>0</v>
      </c>
      <c r="L81" s="4">
        <f>(VLOOKUP(' 6.0.00'!T81,' 6.0.00'!$AM$4:$AO$55,2,FALSE))*IF(' 6.0.00'!AV$4="是",' 6.0.00'!$AX$4,' 6.0.00'!$AX$3)</f>
        <v>0</v>
      </c>
      <c r="M81" s="4">
        <f>(VLOOKUP(' 6.0.00'!U81,' 6.0.00'!$AM$4:$AO$55,2,FALSE))*IF(' 6.0.00'!AW$4="是",' 6.0.00'!$AX$4,' 6.0.00'!$AX$3)</f>
        <v>0</v>
      </c>
      <c r="N81" s="4">
        <f>(VLOOKUP(' 6.0.00'!V81,' 6.0.00'!$AM$4:$AO$55,2,FALSE))*IF(' 6.0.00'!AX$4="是",' 6.0.00'!$AX$4,' 6.0.00'!$AX$3)</f>
        <v>0</v>
      </c>
      <c r="O81" s="5">
        <f>(VLOOKUP(' 6.0.00'!W81,' 6.0.00'!$AM$4:$AO$55,2,FALSE))*IF(' 6.0.00'!AY$4="是",' 6.0.00'!$AX$4,' 6.0.00'!$AX$3)</f>
        <v>0</v>
      </c>
      <c r="P81" s="5">
        <f>(VLOOKUP(' 6.0.00'!X81,' 6.0.00'!$AM$4:$AO$55,2,FALSE))*IF(' 6.0.00'!AZ$4="是",' 6.0.00'!$AX$4,' 6.0.00'!$AX$3)</f>
        <v>0</v>
      </c>
      <c r="Q81" s="4">
        <f>(VLOOKUP(' 6.0.00'!Y81,' 6.0.00'!$AM$4:$AO$55,2,FALSE))*IF(' 6.0.00'!BA$4="是",' 6.0.00'!$AX$4,' 6.0.00'!$AX$3)</f>
        <v>0</v>
      </c>
      <c r="R81" s="4">
        <f>(VLOOKUP(' 6.0.00'!Z81,' 6.0.00'!$AM$4:$AO$55,2,FALSE))*IF(' 6.0.00'!BB$4="是",' 6.0.00'!$AX$4,' 6.0.00'!$AX$3)</f>
        <v>0</v>
      </c>
      <c r="S81" s="4">
        <f>(VLOOKUP(' 6.0.00'!AA81,' 6.0.00'!$AM$4:$AO$55,2,FALSE))*IF(' 6.0.00'!BC$4="是",' 6.0.00'!$AX$4,' 6.0.00'!$AX$3)</f>
        <v>0</v>
      </c>
      <c r="T81" s="4">
        <f>(VLOOKUP(' 6.0.00'!AB81,' 6.0.00'!$AM$4:$AO$55,2,FALSE))*IF(' 6.0.00'!BD$4="是",' 6.0.00'!$AX$4,' 6.0.00'!$AX$3)</f>
        <v>0</v>
      </c>
      <c r="U81" s="4">
        <f>(VLOOKUP(' 6.0.00'!AC81,' 6.0.00'!$AM$4:$AO$55,2,FALSE))*IF(' 6.0.00'!BE$4="是",' 6.0.00'!$AX$4,' 6.0.00'!$AX$3)</f>
        <v>0</v>
      </c>
      <c r="V81" s="4">
        <f>(VLOOKUP(' 6.0.00'!AD81,' 6.0.00'!$AM$4:$AO$55,2,FALSE))*IF(' 6.0.00'!BF$4="是",' 6.0.00'!$AX$4,' 6.0.00'!$AX$3)</f>
        <v>0</v>
      </c>
      <c r="W81" s="5">
        <f>(VLOOKUP(' 6.0.00'!AE81,' 6.0.00'!$AM$4:$AO$55,2,FALSE))*IF(' 6.0.00'!BG$4="是",' 6.0.00'!$AX$4,' 6.0.00'!$AX$3)</f>
        <v>0</v>
      </c>
      <c r="X81" s="5">
        <f>(VLOOKUP(' 6.0.00'!AF81,' 6.0.00'!$AM$4:$AO$55,2,FALSE))*IF(' 6.0.00'!BH$4="是",' 6.0.00'!$AX$4,' 6.0.00'!$AX$3)</f>
        <v>0</v>
      </c>
    </row>
    <row r="82" spans="1:24">
      <c r="A82" s="4">
        <f>(VLOOKUP(' 6.0.00'!I82,' 6.0.00'!$AM$4:$AO$55,2,FALSE))*IF(' 6.0.00'!AK$4="是",' 6.0.00'!$AX$4,' 6.0.00'!$AX$3)</f>
        <v>0</v>
      </c>
      <c r="B82" s="4">
        <f>(VLOOKUP(' 6.0.00'!J82,' 6.0.00'!$AM$4:$AO$55,2,FALSE))*IF(' 6.0.00'!AL$4="是",' 6.0.00'!$AX$4,' 6.0.00'!$AX$3)</f>
        <v>0</v>
      </c>
      <c r="C82" s="4">
        <f>(VLOOKUP(' 6.0.00'!K82,' 6.0.00'!$AM$4:$AO$55,2,FALSE))*IF(' 6.0.00'!AM$4="是",' 6.0.00'!$AX$4,' 6.0.00'!$AX$3)</f>
        <v>0</v>
      </c>
      <c r="D82" s="4">
        <f>(VLOOKUP(' 6.0.00'!L82,' 6.0.00'!$AM$4:$AO$55,2,FALSE))*IF(' 6.0.00'!AN$4="是",' 6.0.00'!$AX$4,' 6.0.00'!$AX$3)</f>
        <v>0</v>
      </c>
      <c r="E82" s="4">
        <f>(VLOOKUP(' 6.0.00'!M82,' 6.0.00'!$AM$4:$AO$55,2,FALSE))*IF(' 6.0.00'!AO$4="是",' 6.0.00'!$AX$4,' 6.0.00'!$AX$3)</f>
        <v>0</v>
      </c>
      <c r="F82" s="4">
        <f>(VLOOKUP(' 6.0.00'!N82,' 6.0.00'!$AM$4:$AO$55,2,FALSE))*IF(' 6.0.00'!AP$4="是",' 6.0.00'!$AX$4,' 6.0.00'!$AX$3)</f>
        <v>0</v>
      </c>
      <c r="G82" s="5">
        <f>(VLOOKUP(' 6.0.00'!O82,' 6.0.00'!$AM$4:$AO$55,2,FALSE))*IF(' 6.0.00'!AQ$4="是",' 6.0.00'!$AX$4,' 6.0.00'!$AX$3)</f>
        <v>0</v>
      </c>
      <c r="H82" s="5">
        <f>(VLOOKUP(' 6.0.00'!P82,' 6.0.00'!$AM$4:$AO$55,2,FALSE))*IF(' 6.0.00'!AR$4="是",' 6.0.00'!$AX$4,' 6.0.00'!$AX$3)</f>
        <v>0</v>
      </c>
      <c r="I82" s="4">
        <f>(VLOOKUP(' 6.0.00'!Q82,' 6.0.00'!$AM$4:$AO$55,2,FALSE))*IF(' 6.0.00'!AS$4="是",' 6.0.00'!$AX$4,' 6.0.00'!$AX$3)</f>
        <v>0</v>
      </c>
      <c r="J82" s="4">
        <f>(VLOOKUP(' 6.0.00'!R82,' 6.0.00'!$AM$4:$AO$55,2,FALSE))*IF(' 6.0.00'!AT$4="是",' 6.0.00'!$AX$4,' 6.0.00'!$AX$3)</f>
        <v>0</v>
      </c>
      <c r="K82" s="4">
        <f>(VLOOKUP(' 6.0.00'!S82,' 6.0.00'!$AM$4:$AO$55,2,FALSE))*IF(' 6.0.00'!AU$4="是",' 6.0.00'!$AX$4,' 6.0.00'!$AX$3)</f>
        <v>0</v>
      </c>
      <c r="L82" s="4">
        <f>(VLOOKUP(' 6.0.00'!T82,' 6.0.00'!$AM$4:$AO$55,2,FALSE))*IF(' 6.0.00'!AV$4="是",' 6.0.00'!$AX$4,' 6.0.00'!$AX$3)</f>
        <v>0</v>
      </c>
      <c r="M82" s="4">
        <f>(VLOOKUP(' 6.0.00'!U82,' 6.0.00'!$AM$4:$AO$55,2,FALSE))*IF(' 6.0.00'!AW$4="是",' 6.0.00'!$AX$4,' 6.0.00'!$AX$3)</f>
        <v>0</v>
      </c>
      <c r="N82" s="4">
        <f>(VLOOKUP(' 6.0.00'!V82,' 6.0.00'!$AM$4:$AO$55,2,FALSE))*IF(' 6.0.00'!AX$4="是",' 6.0.00'!$AX$4,' 6.0.00'!$AX$3)</f>
        <v>0</v>
      </c>
      <c r="O82" s="5">
        <f>(VLOOKUP(' 6.0.00'!W82,' 6.0.00'!$AM$4:$AO$55,2,FALSE))*IF(' 6.0.00'!AY$4="是",' 6.0.00'!$AX$4,' 6.0.00'!$AX$3)</f>
        <v>0</v>
      </c>
      <c r="P82" s="5">
        <f>(VLOOKUP(' 6.0.00'!X82,' 6.0.00'!$AM$4:$AO$55,2,FALSE))*IF(' 6.0.00'!AZ$4="是",' 6.0.00'!$AX$4,' 6.0.00'!$AX$3)</f>
        <v>0</v>
      </c>
      <c r="Q82" s="4">
        <f>(VLOOKUP(' 6.0.00'!Y82,' 6.0.00'!$AM$4:$AO$55,2,FALSE))*IF(' 6.0.00'!BA$4="是",' 6.0.00'!$AX$4,' 6.0.00'!$AX$3)</f>
        <v>0</v>
      </c>
      <c r="R82" s="4">
        <f>(VLOOKUP(' 6.0.00'!Z82,' 6.0.00'!$AM$4:$AO$55,2,FALSE))*IF(' 6.0.00'!BB$4="是",' 6.0.00'!$AX$4,' 6.0.00'!$AX$3)</f>
        <v>0</v>
      </c>
      <c r="S82" s="4">
        <f>(VLOOKUP(' 6.0.00'!AA82,' 6.0.00'!$AM$4:$AO$55,2,FALSE))*IF(' 6.0.00'!BC$4="是",' 6.0.00'!$AX$4,' 6.0.00'!$AX$3)</f>
        <v>0</v>
      </c>
      <c r="T82" s="4">
        <f>(VLOOKUP(' 6.0.00'!AB82,' 6.0.00'!$AM$4:$AO$55,2,FALSE))*IF(' 6.0.00'!BD$4="是",' 6.0.00'!$AX$4,' 6.0.00'!$AX$3)</f>
        <v>0</v>
      </c>
      <c r="U82" s="4">
        <f>(VLOOKUP(' 6.0.00'!AC82,' 6.0.00'!$AM$4:$AO$55,2,FALSE))*IF(' 6.0.00'!BE$4="是",' 6.0.00'!$AX$4,' 6.0.00'!$AX$3)</f>
        <v>0</v>
      </c>
      <c r="V82" s="4">
        <f>(VLOOKUP(' 6.0.00'!AD82,' 6.0.00'!$AM$4:$AO$55,2,FALSE))*IF(' 6.0.00'!BF$4="是",' 6.0.00'!$AX$4,' 6.0.00'!$AX$3)</f>
        <v>0</v>
      </c>
      <c r="W82" s="5">
        <f>(VLOOKUP(' 6.0.00'!AE82,' 6.0.00'!$AM$4:$AO$55,2,FALSE))*IF(' 6.0.00'!BG$4="是",' 6.0.00'!$AX$4,' 6.0.00'!$AX$3)</f>
        <v>0</v>
      </c>
      <c r="X82" s="5">
        <f>(VLOOKUP(' 6.0.00'!AF82,' 6.0.00'!$AM$4:$AO$55,2,FALSE))*IF(' 6.0.00'!BH$4="是",' 6.0.00'!$AX$4,' 6.0.00'!$AX$3)</f>
        <v>0</v>
      </c>
    </row>
    <row r="83" spans="1:24">
      <c r="A83" s="4">
        <f>(VLOOKUP(' 6.0.00'!I83,' 6.0.00'!$AM$4:$AO$55,2,FALSE))*IF(' 6.0.00'!AK$4="是",' 6.0.00'!$AX$4,' 6.0.00'!$AX$3)</f>
        <v>0</v>
      </c>
      <c r="B83" s="4">
        <f>(VLOOKUP(' 6.0.00'!J83,' 6.0.00'!$AM$4:$AO$55,2,FALSE))*IF(' 6.0.00'!AL$4="是",' 6.0.00'!$AX$4,' 6.0.00'!$AX$3)</f>
        <v>0</v>
      </c>
      <c r="C83" s="4">
        <f>(VLOOKUP(' 6.0.00'!K83,' 6.0.00'!$AM$4:$AO$55,2,FALSE))*IF(' 6.0.00'!AM$4="是",' 6.0.00'!$AX$4,' 6.0.00'!$AX$3)</f>
        <v>0</v>
      </c>
      <c r="D83" s="4">
        <f>(VLOOKUP(' 6.0.00'!L83,' 6.0.00'!$AM$4:$AO$55,2,FALSE))*IF(' 6.0.00'!AN$4="是",' 6.0.00'!$AX$4,' 6.0.00'!$AX$3)</f>
        <v>0</v>
      </c>
      <c r="E83" s="4">
        <f>(VLOOKUP(' 6.0.00'!M83,' 6.0.00'!$AM$4:$AO$55,2,FALSE))*IF(' 6.0.00'!AO$4="是",' 6.0.00'!$AX$4,' 6.0.00'!$AX$3)</f>
        <v>0</v>
      </c>
      <c r="F83" s="4">
        <f>(VLOOKUP(' 6.0.00'!N83,' 6.0.00'!$AM$4:$AO$55,2,FALSE))*IF(' 6.0.00'!AP$4="是",' 6.0.00'!$AX$4,' 6.0.00'!$AX$3)</f>
        <v>0</v>
      </c>
      <c r="G83" s="5">
        <f>(VLOOKUP(' 6.0.00'!O83,' 6.0.00'!$AM$4:$AO$55,2,FALSE))*IF(' 6.0.00'!AQ$4="是",' 6.0.00'!$AX$4,' 6.0.00'!$AX$3)</f>
        <v>0</v>
      </c>
      <c r="H83" s="5">
        <f>(VLOOKUP(' 6.0.00'!P83,' 6.0.00'!$AM$4:$AO$55,2,FALSE))*IF(' 6.0.00'!AR$4="是",' 6.0.00'!$AX$4,' 6.0.00'!$AX$3)</f>
        <v>0</v>
      </c>
      <c r="I83" s="4">
        <f>(VLOOKUP(' 6.0.00'!Q83,' 6.0.00'!$AM$4:$AO$55,2,FALSE))*IF(' 6.0.00'!AS$4="是",' 6.0.00'!$AX$4,' 6.0.00'!$AX$3)</f>
        <v>0</v>
      </c>
      <c r="J83" s="4">
        <f>(VLOOKUP(' 6.0.00'!R83,' 6.0.00'!$AM$4:$AO$55,2,FALSE))*IF(' 6.0.00'!AT$4="是",' 6.0.00'!$AX$4,' 6.0.00'!$AX$3)</f>
        <v>0</v>
      </c>
      <c r="K83" s="4">
        <f>(VLOOKUP(' 6.0.00'!S83,' 6.0.00'!$AM$4:$AO$55,2,FALSE))*IF(' 6.0.00'!AU$4="是",' 6.0.00'!$AX$4,' 6.0.00'!$AX$3)</f>
        <v>0</v>
      </c>
      <c r="L83" s="4">
        <f>(VLOOKUP(' 6.0.00'!T83,' 6.0.00'!$AM$4:$AO$55,2,FALSE))*IF(' 6.0.00'!AV$4="是",' 6.0.00'!$AX$4,' 6.0.00'!$AX$3)</f>
        <v>0</v>
      </c>
      <c r="M83" s="4">
        <f>(VLOOKUP(' 6.0.00'!U83,' 6.0.00'!$AM$4:$AO$55,2,FALSE))*IF(' 6.0.00'!AW$4="是",' 6.0.00'!$AX$4,' 6.0.00'!$AX$3)</f>
        <v>0</v>
      </c>
      <c r="N83" s="4">
        <f>(VLOOKUP(' 6.0.00'!V83,' 6.0.00'!$AM$4:$AO$55,2,FALSE))*IF(' 6.0.00'!AX$4="是",' 6.0.00'!$AX$4,' 6.0.00'!$AX$3)</f>
        <v>0</v>
      </c>
      <c r="O83" s="5">
        <f>(VLOOKUP(' 6.0.00'!W83,' 6.0.00'!$AM$4:$AO$55,2,FALSE))*IF(' 6.0.00'!AY$4="是",' 6.0.00'!$AX$4,' 6.0.00'!$AX$3)</f>
        <v>0</v>
      </c>
      <c r="P83" s="5">
        <f>(VLOOKUP(' 6.0.00'!X83,' 6.0.00'!$AM$4:$AO$55,2,FALSE))*IF(' 6.0.00'!AZ$4="是",' 6.0.00'!$AX$4,' 6.0.00'!$AX$3)</f>
        <v>0</v>
      </c>
      <c r="Q83" s="4">
        <f>(VLOOKUP(' 6.0.00'!Y83,' 6.0.00'!$AM$4:$AO$55,2,FALSE))*IF(' 6.0.00'!BA$4="是",' 6.0.00'!$AX$4,' 6.0.00'!$AX$3)</f>
        <v>0</v>
      </c>
      <c r="R83" s="4">
        <f>(VLOOKUP(' 6.0.00'!Z83,' 6.0.00'!$AM$4:$AO$55,2,FALSE))*IF(' 6.0.00'!BB$4="是",' 6.0.00'!$AX$4,' 6.0.00'!$AX$3)</f>
        <v>0</v>
      </c>
      <c r="S83" s="4">
        <f>(VLOOKUP(' 6.0.00'!AA83,' 6.0.00'!$AM$4:$AO$55,2,FALSE))*IF(' 6.0.00'!BC$4="是",' 6.0.00'!$AX$4,' 6.0.00'!$AX$3)</f>
        <v>0</v>
      </c>
      <c r="T83" s="4">
        <f>(VLOOKUP(' 6.0.00'!AB83,' 6.0.00'!$AM$4:$AO$55,2,FALSE))*IF(' 6.0.00'!BD$4="是",' 6.0.00'!$AX$4,' 6.0.00'!$AX$3)</f>
        <v>0</v>
      </c>
      <c r="U83" s="4">
        <f>(VLOOKUP(' 6.0.00'!AC83,' 6.0.00'!$AM$4:$AO$55,2,FALSE))*IF(' 6.0.00'!BE$4="是",' 6.0.00'!$AX$4,' 6.0.00'!$AX$3)</f>
        <v>0</v>
      </c>
      <c r="V83" s="4">
        <f>(VLOOKUP(' 6.0.00'!AD83,' 6.0.00'!$AM$4:$AO$55,2,FALSE))*IF(' 6.0.00'!BF$4="是",' 6.0.00'!$AX$4,' 6.0.00'!$AX$3)</f>
        <v>0</v>
      </c>
      <c r="W83" s="5">
        <f>(VLOOKUP(' 6.0.00'!AE83,' 6.0.00'!$AM$4:$AO$55,2,FALSE))*IF(' 6.0.00'!BG$4="是",' 6.0.00'!$AX$4,' 6.0.00'!$AX$3)</f>
        <v>0</v>
      </c>
      <c r="X83" s="5">
        <f>(VLOOKUP(' 6.0.00'!AF83,' 6.0.00'!$AM$4:$AO$55,2,FALSE))*IF(' 6.0.00'!BH$4="是",' 6.0.00'!$AX$4,' 6.0.00'!$AX$3)</f>
        <v>0</v>
      </c>
    </row>
    <row r="84" spans="1:24">
      <c r="A84" s="4">
        <f>(VLOOKUP(' 6.0.00'!I84,' 6.0.00'!$AM$4:$AO$55,2,FALSE))*IF(' 6.0.00'!AK$4="是",' 6.0.00'!$AX$4,' 6.0.00'!$AX$3)</f>
        <v>0</v>
      </c>
      <c r="B84" s="4">
        <f>(VLOOKUP(' 6.0.00'!J84,' 6.0.00'!$AM$4:$AO$55,2,FALSE))*IF(' 6.0.00'!AL$4="是",' 6.0.00'!$AX$4,' 6.0.00'!$AX$3)</f>
        <v>0</v>
      </c>
      <c r="C84" s="4">
        <f>(VLOOKUP(' 6.0.00'!K84,' 6.0.00'!$AM$4:$AO$55,2,FALSE))*IF(' 6.0.00'!AM$4="是",' 6.0.00'!$AX$4,' 6.0.00'!$AX$3)</f>
        <v>0</v>
      </c>
      <c r="D84" s="4">
        <f>(VLOOKUP(' 6.0.00'!L84,' 6.0.00'!$AM$4:$AO$55,2,FALSE))*IF(' 6.0.00'!AN$4="是",' 6.0.00'!$AX$4,' 6.0.00'!$AX$3)</f>
        <v>0</v>
      </c>
      <c r="E84" s="4">
        <f>(VLOOKUP(' 6.0.00'!M84,' 6.0.00'!$AM$4:$AO$55,2,FALSE))*IF(' 6.0.00'!AO$4="是",' 6.0.00'!$AX$4,' 6.0.00'!$AX$3)</f>
        <v>0</v>
      </c>
      <c r="F84" s="4">
        <f>(VLOOKUP(' 6.0.00'!N84,' 6.0.00'!$AM$4:$AO$55,2,FALSE))*IF(' 6.0.00'!AP$4="是",' 6.0.00'!$AX$4,' 6.0.00'!$AX$3)</f>
        <v>0</v>
      </c>
      <c r="G84" s="5">
        <f>(VLOOKUP(' 6.0.00'!O84,' 6.0.00'!$AM$4:$AO$55,2,FALSE))*IF(' 6.0.00'!AQ$4="是",' 6.0.00'!$AX$4,' 6.0.00'!$AX$3)</f>
        <v>0</v>
      </c>
      <c r="H84" s="5">
        <f>(VLOOKUP(' 6.0.00'!P84,' 6.0.00'!$AM$4:$AO$55,2,FALSE))*IF(' 6.0.00'!AR$4="是",' 6.0.00'!$AX$4,' 6.0.00'!$AX$3)</f>
        <v>0</v>
      </c>
      <c r="I84" s="4">
        <f>(VLOOKUP(' 6.0.00'!Q84,' 6.0.00'!$AM$4:$AO$55,2,FALSE))*IF(' 6.0.00'!AS$4="是",' 6.0.00'!$AX$4,' 6.0.00'!$AX$3)</f>
        <v>0</v>
      </c>
      <c r="J84" s="4">
        <f>(VLOOKUP(' 6.0.00'!R84,' 6.0.00'!$AM$4:$AO$55,2,FALSE))*IF(' 6.0.00'!AT$4="是",' 6.0.00'!$AX$4,' 6.0.00'!$AX$3)</f>
        <v>0</v>
      </c>
      <c r="K84" s="4">
        <f>(VLOOKUP(' 6.0.00'!S84,' 6.0.00'!$AM$4:$AO$55,2,FALSE))*IF(' 6.0.00'!AU$4="是",' 6.0.00'!$AX$4,' 6.0.00'!$AX$3)</f>
        <v>0</v>
      </c>
      <c r="L84" s="4">
        <f>(VLOOKUP(' 6.0.00'!T84,' 6.0.00'!$AM$4:$AO$55,2,FALSE))*IF(' 6.0.00'!AV$4="是",' 6.0.00'!$AX$4,' 6.0.00'!$AX$3)</f>
        <v>0</v>
      </c>
      <c r="M84" s="4">
        <f>(VLOOKUP(' 6.0.00'!U84,' 6.0.00'!$AM$4:$AO$55,2,FALSE))*IF(' 6.0.00'!AW$4="是",' 6.0.00'!$AX$4,' 6.0.00'!$AX$3)</f>
        <v>0</v>
      </c>
      <c r="N84" s="4">
        <f>(VLOOKUP(' 6.0.00'!V84,' 6.0.00'!$AM$4:$AO$55,2,FALSE))*IF(' 6.0.00'!AX$4="是",' 6.0.00'!$AX$4,' 6.0.00'!$AX$3)</f>
        <v>0</v>
      </c>
      <c r="O84" s="5">
        <f>(VLOOKUP(' 6.0.00'!W84,' 6.0.00'!$AM$4:$AO$55,2,FALSE))*IF(' 6.0.00'!AY$4="是",' 6.0.00'!$AX$4,' 6.0.00'!$AX$3)</f>
        <v>0</v>
      </c>
      <c r="P84" s="5">
        <f>(VLOOKUP(' 6.0.00'!X84,' 6.0.00'!$AM$4:$AO$55,2,FALSE))*IF(' 6.0.00'!AZ$4="是",' 6.0.00'!$AX$4,' 6.0.00'!$AX$3)</f>
        <v>0</v>
      </c>
      <c r="Q84" s="4">
        <f>(VLOOKUP(' 6.0.00'!Y84,' 6.0.00'!$AM$4:$AO$55,2,FALSE))*IF(' 6.0.00'!BA$4="是",' 6.0.00'!$AX$4,' 6.0.00'!$AX$3)</f>
        <v>0</v>
      </c>
      <c r="R84" s="4">
        <f>(VLOOKUP(' 6.0.00'!Z84,' 6.0.00'!$AM$4:$AO$55,2,FALSE))*IF(' 6.0.00'!BB$4="是",' 6.0.00'!$AX$4,' 6.0.00'!$AX$3)</f>
        <v>0</v>
      </c>
      <c r="S84" s="4">
        <f>(VLOOKUP(' 6.0.00'!AA84,' 6.0.00'!$AM$4:$AO$55,2,FALSE))*IF(' 6.0.00'!BC$4="是",' 6.0.00'!$AX$4,' 6.0.00'!$AX$3)</f>
        <v>0</v>
      </c>
      <c r="T84" s="4">
        <f>(VLOOKUP(' 6.0.00'!AB84,' 6.0.00'!$AM$4:$AO$55,2,FALSE))*IF(' 6.0.00'!BD$4="是",' 6.0.00'!$AX$4,' 6.0.00'!$AX$3)</f>
        <v>0</v>
      </c>
      <c r="U84" s="4">
        <f>(VLOOKUP(' 6.0.00'!AC84,' 6.0.00'!$AM$4:$AO$55,2,FALSE))*IF(' 6.0.00'!BE$4="是",' 6.0.00'!$AX$4,' 6.0.00'!$AX$3)</f>
        <v>0</v>
      </c>
      <c r="V84" s="4">
        <f>(VLOOKUP(' 6.0.00'!AD84,' 6.0.00'!$AM$4:$AO$55,2,FALSE))*IF(' 6.0.00'!BF$4="是",' 6.0.00'!$AX$4,' 6.0.00'!$AX$3)</f>
        <v>0</v>
      </c>
      <c r="W84" s="5">
        <f>(VLOOKUP(' 6.0.00'!AE84,' 6.0.00'!$AM$4:$AO$55,2,FALSE))*IF(' 6.0.00'!BG$4="是",' 6.0.00'!$AX$4,' 6.0.00'!$AX$3)</f>
        <v>0</v>
      </c>
      <c r="X84" s="5">
        <f>(VLOOKUP(' 6.0.00'!AF84,' 6.0.00'!$AM$4:$AO$55,2,FALSE))*IF(' 6.0.00'!BH$4="是",' 6.0.00'!$AX$4,' 6.0.00'!$AX$3)</f>
        <v>0</v>
      </c>
    </row>
    <row r="85" spans="1:24">
      <c r="A85" s="4">
        <f>(VLOOKUP(' 6.0.00'!I85,' 6.0.00'!$AM$4:$AO$55,2,FALSE))*IF(' 6.0.00'!AK$4="是",' 6.0.00'!$AX$4,' 6.0.00'!$AX$3)</f>
        <v>0</v>
      </c>
      <c r="B85" s="4">
        <f>(VLOOKUP(' 6.0.00'!J85,' 6.0.00'!$AM$4:$AO$55,2,FALSE))*IF(' 6.0.00'!AL$4="是",' 6.0.00'!$AX$4,' 6.0.00'!$AX$3)</f>
        <v>0</v>
      </c>
      <c r="C85" s="4">
        <f>(VLOOKUP(' 6.0.00'!K85,' 6.0.00'!$AM$4:$AO$55,2,FALSE))*IF(' 6.0.00'!AM$4="是",' 6.0.00'!$AX$4,' 6.0.00'!$AX$3)</f>
        <v>0</v>
      </c>
      <c r="D85" s="4">
        <f>(VLOOKUP(' 6.0.00'!L85,' 6.0.00'!$AM$4:$AO$55,2,FALSE))*IF(' 6.0.00'!AN$4="是",' 6.0.00'!$AX$4,' 6.0.00'!$AX$3)</f>
        <v>0</v>
      </c>
      <c r="E85" s="4">
        <f>(VLOOKUP(' 6.0.00'!M85,' 6.0.00'!$AM$4:$AO$55,2,FALSE))*IF(' 6.0.00'!AO$4="是",' 6.0.00'!$AX$4,' 6.0.00'!$AX$3)</f>
        <v>0</v>
      </c>
      <c r="F85" s="4">
        <f>(VLOOKUP(' 6.0.00'!N85,' 6.0.00'!$AM$4:$AO$55,2,FALSE))*IF(' 6.0.00'!AP$4="是",' 6.0.00'!$AX$4,' 6.0.00'!$AX$3)</f>
        <v>0</v>
      </c>
      <c r="G85" s="5">
        <f>(VLOOKUP(' 6.0.00'!O85,' 6.0.00'!$AM$4:$AO$55,2,FALSE))*IF(' 6.0.00'!AQ$4="是",' 6.0.00'!$AX$4,' 6.0.00'!$AX$3)</f>
        <v>0</v>
      </c>
      <c r="H85" s="5">
        <f>(VLOOKUP(' 6.0.00'!P85,' 6.0.00'!$AM$4:$AO$55,2,FALSE))*IF(' 6.0.00'!AR$4="是",' 6.0.00'!$AX$4,' 6.0.00'!$AX$3)</f>
        <v>0</v>
      </c>
      <c r="I85" s="4">
        <f>(VLOOKUP(' 6.0.00'!Q85,' 6.0.00'!$AM$4:$AO$55,2,FALSE))*IF(' 6.0.00'!AS$4="是",' 6.0.00'!$AX$4,' 6.0.00'!$AX$3)</f>
        <v>0</v>
      </c>
      <c r="J85" s="4">
        <f>(VLOOKUP(' 6.0.00'!R85,' 6.0.00'!$AM$4:$AO$55,2,FALSE))*IF(' 6.0.00'!AT$4="是",' 6.0.00'!$AX$4,' 6.0.00'!$AX$3)</f>
        <v>0</v>
      </c>
      <c r="K85" s="4">
        <f>(VLOOKUP(' 6.0.00'!S85,' 6.0.00'!$AM$4:$AO$55,2,FALSE))*IF(' 6.0.00'!AU$4="是",' 6.0.00'!$AX$4,' 6.0.00'!$AX$3)</f>
        <v>0</v>
      </c>
      <c r="L85" s="4">
        <f>(VLOOKUP(' 6.0.00'!T85,' 6.0.00'!$AM$4:$AO$55,2,FALSE))*IF(' 6.0.00'!AV$4="是",' 6.0.00'!$AX$4,' 6.0.00'!$AX$3)</f>
        <v>0</v>
      </c>
      <c r="M85" s="4">
        <f>(VLOOKUP(' 6.0.00'!U85,' 6.0.00'!$AM$4:$AO$55,2,FALSE))*IF(' 6.0.00'!AW$4="是",' 6.0.00'!$AX$4,' 6.0.00'!$AX$3)</f>
        <v>0</v>
      </c>
      <c r="N85" s="4">
        <f>(VLOOKUP(' 6.0.00'!V85,' 6.0.00'!$AM$4:$AO$55,2,FALSE))*IF(' 6.0.00'!AX$4="是",' 6.0.00'!$AX$4,' 6.0.00'!$AX$3)</f>
        <v>0</v>
      </c>
      <c r="O85" s="5">
        <f>(VLOOKUP(' 6.0.00'!W85,' 6.0.00'!$AM$4:$AO$55,2,FALSE))*IF(' 6.0.00'!AY$4="是",' 6.0.00'!$AX$4,' 6.0.00'!$AX$3)</f>
        <v>0</v>
      </c>
      <c r="P85" s="5">
        <f>(VLOOKUP(' 6.0.00'!X85,' 6.0.00'!$AM$4:$AO$55,2,FALSE))*IF(' 6.0.00'!AZ$4="是",' 6.0.00'!$AX$4,' 6.0.00'!$AX$3)</f>
        <v>0</v>
      </c>
      <c r="Q85" s="4">
        <f>(VLOOKUP(' 6.0.00'!Y85,' 6.0.00'!$AM$4:$AO$55,2,FALSE))*IF(' 6.0.00'!BA$4="是",' 6.0.00'!$AX$4,' 6.0.00'!$AX$3)</f>
        <v>0</v>
      </c>
      <c r="R85" s="4">
        <f>(VLOOKUP(' 6.0.00'!Z85,' 6.0.00'!$AM$4:$AO$55,2,FALSE))*IF(' 6.0.00'!BB$4="是",' 6.0.00'!$AX$4,' 6.0.00'!$AX$3)</f>
        <v>0</v>
      </c>
      <c r="S85" s="4">
        <f>(VLOOKUP(' 6.0.00'!AA85,' 6.0.00'!$AM$4:$AO$55,2,FALSE))*IF(' 6.0.00'!BC$4="是",' 6.0.00'!$AX$4,' 6.0.00'!$AX$3)</f>
        <v>0</v>
      </c>
      <c r="T85" s="4">
        <f>(VLOOKUP(' 6.0.00'!AB85,' 6.0.00'!$AM$4:$AO$55,2,FALSE))*IF(' 6.0.00'!BD$4="是",' 6.0.00'!$AX$4,' 6.0.00'!$AX$3)</f>
        <v>0</v>
      </c>
      <c r="U85" s="4">
        <f>(VLOOKUP(' 6.0.00'!AC85,' 6.0.00'!$AM$4:$AO$55,2,FALSE))*IF(' 6.0.00'!BE$4="是",' 6.0.00'!$AX$4,' 6.0.00'!$AX$3)</f>
        <v>0</v>
      </c>
      <c r="V85" s="4">
        <f>(VLOOKUP(' 6.0.00'!AD85,' 6.0.00'!$AM$4:$AO$55,2,FALSE))*IF(' 6.0.00'!BF$4="是",' 6.0.00'!$AX$4,' 6.0.00'!$AX$3)</f>
        <v>0</v>
      </c>
      <c r="W85" s="5">
        <f>(VLOOKUP(' 6.0.00'!AE85,' 6.0.00'!$AM$4:$AO$55,2,FALSE))*IF(' 6.0.00'!BG$4="是",' 6.0.00'!$AX$4,' 6.0.00'!$AX$3)</f>
        <v>0</v>
      </c>
      <c r="X85" s="5">
        <f>(VLOOKUP(' 6.0.00'!AF85,' 6.0.00'!$AM$4:$AO$55,2,FALSE))*IF(' 6.0.00'!BH$4="是",' 6.0.00'!$AX$4,' 6.0.00'!$AX$3)</f>
        <v>0</v>
      </c>
    </row>
    <row r="86" spans="1:24">
      <c r="A86" s="4">
        <f>(VLOOKUP(' 6.0.00'!I86,' 6.0.00'!$AM$4:$AO$55,2,FALSE))*IF(' 6.0.00'!AK$4="是",' 6.0.00'!$AX$4,' 6.0.00'!$AX$3)</f>
        <v>0</v>
      </c>
      <c r="B86" s="4">
        <f>(VLOOKUP(' 6.0.00'!J86,' 6.0.00'!$AM$4:$AO$55,2,FALSE))*IF(' 6.0.00'!AL$4="是",' 6.0.00'!$AX$4,' 6.0.00'!$AX$3)</f>
        <v>0</v>
      </c>
      <c r="C86" s="4">
        <f>(VLOOKUP(' 6.0.00'!K86,' 6.0.00'!$AM$4:$AO$55,2,FALSE))*IF(' 6.0.00'!AM$4="是",' 6.0.00'!$AX$4,' 6.0.00'!$AX$3)</f>
        <v>0</v>
      </c>
      <c r="D86" s="4">
        <f>(VLOOKUP(' 6.0.00'!L86,' 6.0.00'!$AM$4:$AO$55,2,FALSE))*IF(' 6.0.00'!AN$4="是",' 6.0.00'!$AX$4,' 6.0.00'!$AX$3)</f>
        <v>0</v>
      </c>
      <c r="E86" s="4">
        <f>(VLOOKUP(' 6.0.00'!M86,' 6.0.00'!$AM$4:$AO$55,2,FALSE))*IF(' 6.0.00'!AO$4="是",' 6.0.00'!$AX$4,' 6.0.00'!$AX$3)</f>
        <v>0</v>
      </c>
      <c r="F86" s="4">
        <f>(VLOOKUP(' 6.0.00'!N86,' 6.0.00'!$AM$4:$AO$55,2,FALSE))*IF(' 6.0.00'!AP$4="是",' 6.0.00'!$AX$4,' 6.0.00'!$AX$3)</f>
        <v>0</v>
      </c>
      <c r="G86" s="5">
        <f>(VLOOKUP(' 6.0.00'!O86,' 6.0.00'!$AM$4:$AO$55,2,FALSE))*IF(' 6.0.00'!AQ$4="是",' 6.0.00'!$AX$4,' 6.0.00'!$AX$3)</f>
        <v>0</v>
      </c>
      <c r="H86" s="5">
        <f>(VLOOKUP(' 6.0.00'!P86,' 6.0.00'!$AM$4:$AO$55,2,FALSE))*IF(' 6.0.00'!AR$4="是",' 6.0.00'!$AX$4,' 6.0.00'!$AX$3)</f>
        <v>0</v>
      </c>
      <c r="I86" s="4">
        <f>(VLOOKUP(' 6.0.00'!Q86,' 6.0.00'!$AM$4:$AO$55,2,FALSE))*IF(' 6.0.00'!AS$4="是",' 6.0.00'!$AX$4,' 6.0.00'!$AX$3)</f>
        <v>0</v>
      </c>
      <c r="J86" s="4">
        <f>(VLOOKUP(' 6.0.00'!R86,' 6.0.00'!$AM$4:$AO$55,2,FALSE))*IF(' 6.0.00'!AT$4="是",' 6.0.00'!$AX$4,' 6.0.00'!$AX$3)</f>
        <v>0</v>
      </c>
      <c r="K86" s="4">
        <f>(VLOOKUP(' 6.0.00'!S86,' 6.0.00'!$AM$4:$AO$55,2,FALSE))*IF(' 6.0.00'!AU$4="是",' 6.0.00'!$AX$4,' 6.0.00'!$AX$3)</f>
        <v>0</v>
      </c>
      <c r="L86" s="4">
        <f>(VLOOKUP(' 6.0.00'!T86,' 6.0.00'!$AM$4:$AO$55,2,FALSE))*IF(' 6.0.00'!AV$4="是",' 6.0.00'!$AX$4,' 6.0.00'!$AX$3)</f>
        <v>0</v>
      </c>
      <c r="M86" s="4">
        <f>(VLOOKUP(' 6.0.00'!U86,' 6.0.00'!$AM$4:$AO$55,2,FALSE))*IF(' 6.0.00'!AW$4="是",' 6.0.00'!$AX$4,' 6.0.00'!$AX$3)</f>
        <v>0</v>
      </c>
      <c r="N86" s="4">
        <f>(VLOOKUP(' 6.0.00'!V86,' 6.0.00'!$AM$4:$AO$55,2,FALSE))*IF(' 6.0.00'!AX$4="是",' 6.0.00'!$AX$4,' 6.0.00'!$AX$3)</f>
        <v>0</v>
      </c>
      <c r="O86" s="5">
        <f>(VLOOKUP(' 6.0.00'!W86,' 6.0.00'!$AM$4:$AO$55,2,FALSE))*IF(' 6.0.00'!AY$4="是",' 6.0.00'!$AX$4,' 6.0.00'!$AX$3)</f>
        <v>0</v>
      </c>
      <c r="P86" s="5">
        <f>(VLOOKUP(' 6.0.00'!X86,' 6.0.00'!$AM$4:$AO$55,2,FALSE))*IF(' 6.0.00'!AZ$4="是",' 6.0.00'!$AX$4,' 6.0.00'!$AX$3)</f>
        <v>0</v>
      </c>
      <c r="Q86" s="4">
        <f>(VLOOKUP(' 6.0.00'!Y86,' 6.0.00'!$AM$4:$AO$55,2,FALSE))*IF(' 6.0.00'!BA$4="是",' 6.0.00'!$AX$4,' 6.0.00'!$AX$3)</f>
        <v>0</v>
      </c>
      <c r="R86" s="4">
        <f>(VLOOKUP(' 6.0.00'!Z86,' 6.0.00'!$AM$4:$AO$55,2,FALSE))*IF(' 6.0.00'!BB$4="是",' 6.0.00'!$AX$4,' 6.0.00'!$AX$3)</f>
        <v>0</v>
      </c>
      <c r="S86" s="4">
        <f>(VLOOKUP(' 6.0.00'!AA86,' 6.0.00'!$AM$4:$AO$55,2,FALSE))*IF(' 6.0.00'!BC$4="是",' 6.0.00'!$AX$4,' 6.0.00'!$AX$3)</f>
        <v>0</v>
      </c>
      <c r="T86" s="4">
        <f>(VLOOKUP(' 6.0.00'!AB86,' 6.0.00'!$AM$4:$AO$55,2,FALSE))*IF(' 6.0.00'!BD$4="是",' 6.0.00'!$AX$4,' 6.0.00'!$AX$3)</f>
        <v>0</v>
      </c>
      <c r="U86" s="4">
        <f>(VLOOKUP(' 6.0.00'!AC86,' 6.0.00'!$AM$4:$AO$55,2,FALSE))*IF(' 6.0.00'!BE$4="是",' 6.0.00'!$AX$4,' 6.0.00'!$AX$3)</f>
        <v>0</v>
      </c>
      <c r="V86" s="4">
        <f>(VLOOKUP(' 6.0.00'!AD86,' 6.0.00'!$AM$4:$AO$55,2,FALSE))*IF(' 6.0.00'!BF$4="是",' 6.0.00'!$AX$4,' 6.0.00'!$AX$3)</f>
        <v>0</v>
      </c>
      <c r="W86" s="5">
        <f>(VLOOKUP(' 6.0.00'!AE86,' 6.0.00'!$AM$4:$AO$55,2,FALSE))*IF(' 6.0.00'!BG$4="是",' 6.0.00'!$AX$4,' 6.0.00'!$AX$3)</f>
        <v>0</v>
      </c>
      <c r="X86" s="5">
        <f>(VLOOKUP(' 6.0.00'!AF86,' 6.0.00'!$AM$4:$AO$55,2,FALSE))*IF(' 6.0.00'!BH$4="是",' 6.0.00'!$AX$4,' 6.0.00'!$AX$3)</f>
        <v>0</v>
      </c>
    </row>
    <row r="87" spans="1:24">
      <c r="A87" s="4">
        <f>(VLOOKUP(' 6.0.00'!I87,' 6.0.00'!$AM$4:$AO$55,2,FALSE))*IF(' 6.0.00'!AK$4="是",' 6.0.00'!$AX$4,' 6.0.00'!$AX$3)</f>
        <v>0</v>
      </c>
      <c r="B87" s="4">
        <f>(VLOOKUP(' 6.0.00'!J87,' 6.0.00'!$AM$4:$AO$55,2,FALSE))*IF(' 6.0.00'!AL$4="是",' 6.0.00'!$AX$4,' 6.0.00'!$AX$3)</f>
        <v>0</v>
      </c>
      <c r="C87" s="4">
        <f>(VLOOKUP(' 6.0.00'!K87,' 6.0.00'!$AM$4:$AO$55,2,FALSE))*IF(' 6.0.00'!AM$4="是",' 6.0.00'!$AX$4,' 6.0.00'!$AX$3)</f>
        <v>0</v>
      </c>
      <c r="D87" s="4">
        <f>(VLOOKUP(' 6.0.00'!L87,' 6.0.00'!$AM$4:$AO$55,2,FALSE))*IF(' 6.0.00'!AN$4="是",' 6.0.00'!$AX$4,' 6.0.00'!$AX$3)</f>
        <v>0</v>
      </c>
      <c r="E87" s="4">
        <f>(VLOOKUP(' 6.0.00'!M87,' 6.0.00'!$AM$4:$AO$55,2,FALSE))*IF(' 6.0.00'!AO$4="是",' 6.0.00'!$AX$4,' 6.0.00'!$AX$3)</f>
        <v>0</v>
      </c>
      <c r="F87" s="4">
        <f>(VLOOKUP(' 6.0.00'!N87,' 6.0.00'!$AM$4:$AO$55,2,FALSE))*IF(' 6.0.00'!AP$4="是",' 6.0.00'!$AX$4,' 6.0.00'!$AX$3)</f>
        <v>0</v>
      </c>
      <c r="G87" s="5">
        <f>(VLOOKUP(' 6.0.00'!O87,' 6.0.00'!$AM$4:$AO$55,2,FALSE))*IF(' 6.0.00'!AQ$4="是",' 6.0.00'!$AX$4,' 6.0.00'!$AX$3)</f>
        <v>0</v>
      </c>
      <c r="H87" s="5">
        <f>(VLOOKUP(' 6.0.00'!P87,' 6.0.00'!$AM$4:$AO$55,2,FALSE))*IF(' 6.0.00'!AR$4="是",' 6.0.00'!$AX$4,' 6.0.00'!$AX$3)</f>
        <v>0</v>
      </c>
      <c r="I87" s="4">
        <f>(VLOOKUP(' 6.0.00'!Q87,' 6.0.00'!$AM$4:$AO$55,2,FALSE))*IF(' 6.0.00'!AS$4="是",' 6.0.00'!$AX$4,' 6.0.00'!$AX$3)</f>
        <v>0</v>
      </c>
      <c r="J87" s="4">
        <f>(VLOOKUP(' 6.0.00'!R87,' 6.0.00'!$AM$4:$AO$55,2,FALSE))*IF(' 6.0.00'!AT$4="是",' 6.0.00'!$AX$4,' 6.0.00'!$AX$3)</f>
        <v>0</v>
      </c>
      <c r="K87" s="4">
        <f>(VLOOKUP(' 6.0.00'!S87,' 6.0.00'!$AM$4:$AO$55,2,FALSE))*IF(' 6.0.00'!AU$4="是",' 6.0.00'!$AX$4,' 6.0.00'!$AX$3)</f>
        <v>0</v>
      </c>
      <c r="L87" s="4">
        <f>(VLOOKUP(' 6.0.00'!T87,' 6.0.00'!$AM$4:$AO$55,2,FALSE))*IF(' 6.0.00'!AV$4="是",' 6.0.00'!$AX$4,' 6.0.00'!$AX$3)</f>
        <v>0</v>
      </c>
      <c r="M87" s="4">
        <f>(VLOOKUP(' 6.0.00'!U87,' 6.0.00'!$AM$4:$AO$55,2,FALSE))*IF(' 6.0.00'!AW$4="是",' 6.0.00'!$AX$4,' 6.0.00'!$AX$3)</f>
        <v>0</v>
      </c>
      <c r="N87" s="4">
        <f>(VLOOKUP(' 6.0.00'!V87,' 6.0.00'!$AM$4:$AO$55,2,FALSE))*IF(' 6.0.00'!AX$4="是",' 6.0.00'!$AX$4,' 6.0.00'!$AX$3)</f>
        <v>0</v>
      </c>
      <c r="O87" s="5">
        <f>(VLOOKUP(' 6.0.00'!W87,' 6.0.00'!$AM$4:$AO$55,2,FALSE))*IF(' 6.0.00'!AY$4="是",' 6.0.00'!$AX$4,' 6.0.00'!$AX$3)</f>
        <v>0</v>
      </c>
      <c r="P87" s="5">
        <f>(VLOOKUP(' 6.0.00'!X87,' 6.0.00'!$AM$4:$AO$55,2,FALSE))*IF(' 6.0.00'!AZ$4="是",' 6.0.00'!$AX$4,' 6.0.00'!$AX$3)</f>
        <v>0</v>
      </c>
      <c r="Q87" s="4">
        <f>(VLOOKUP(' 6.0.00'!Y87,' 6.0.00'!$AM$4:$AO$55,2,FALSE))*IF(' 6.0.00'!BA$4="是",' 6.0.00'!$AX$4,' 6.0.00'!$AX$3)</f>
        <v>0</v>
      </c>
      <c r="R87" s="4">
        <f>(VLOOKUP(' 6.0.00'!Z87,' 6.0.00'!$AM$4:$AO$55,2,FALSE))*IF(' 6.0.00'!BB$4="是",' 6.0.00'!$AX$4,' 6.0.00'!$AX$3)</f>
        <v>0</v>
      </c>
      <c r="S87" s="4">
        <f>(VLOOKUP(' 6.0.00'!AA87,' 6.0.00'!$AM$4:$AO$55,2,FALSE))*IF(' 6.0.00'!BC$4="是",' 6.0.00'!$AX$4,' 6.0.00'!$AX$3)</f>
        <v>0</v>
      </c>
      <c r="T87" s="4">
        <f>(VLOOKUP(' 6.0.00'!AB87,' 6.0.00'!$AM$4:$AO$55,2,FALSE))*IF(' 6.0.00'!BD$4="是",' 6.0.00'!$AX$4,' 6.0.00'!$AX$3)</f>
        <v>0</v>
      </c>
      <c r="U87" s="4">
        <f>(VLOOKUP(' 6.0.00'!AC87,' 6.0.00'!$AM$4:$AO$55,2,FALSE))*IF(' 6.0.00'!BE$4="是",' 6.0.00'!$AX$4,' 6.0.00'!$AX$3)</f>
        <v>0</v>
      </c>
      <c r="V87" s="4">
        <f>(VLOOKUP(' 6.0.00'!AD87,' 6.0.00'!$AM$4:$AO$55,2,FALSE))*IF(' 6.0.00'!BF$4="是",' 6.0.00'!$AX$4,' 6.0.00'!$AX$3)</f>
        <v>0</v>
      </c>
      <c r="W87" s="5">
        <f>(VLOOKUP(' 6.0.00'!AE87,' 6.0.00'!$AM$4:$AO$55,2,FALSE))*IF(' 6.0.00'!BG$4="是",' 6.0.00'!$AX$4,' 6.0.00'!$AX$3)</f>
        <v>0</v>
      </c>
      <c r="X87" s="5">
        <f>(VLOOKUP(' 6.0.00'!AF87,' 6.0.00'!$AM$4:$AO$55,2,FALSE))*IF(' 6.0.00'!BH$4="是",' 6.0.00'!$AX$4,' 6.0.00'!$AX$3)</f>
        <v>0</v>
      </c>
    </row>
    <row r="88" spans="1:24">
      <c r="A88" s="4">
        <f>(VLOOKUP(' 6.0.00'!I88,' 6.0.00'!$AM$4:$AO$55,2,FALSE))*IF(' 6.0.00'!AK$4="是",' 6.0.00'!$AX$4,' 6.0.00'!$AX$3)</f>
        <v>0</v>
      </c>
      <c r="B88" s="4">
        <f>(VLOOKUP(' 6.0.00'!J88,' 6.0.00'!$AM$4:$AO$55,2,FALSE))*IF(' 6.0.00'!AL$4="是",' 6.0.00'!$AX$4,' 6.0.00'!$AX$3)</f>
        <v>0</v>
      </c>
      <c r="C88" s="4">
        <f>(VLOOKUP(' 6.0.00'!K88,' 6.0.00'!$AM$4:$AO$55,2,FALSE))*IF(' 6.0.00'!AM$4="是",' 6.0.00'!$AX$4,' 6.0.00'!$AX$3)</f>
        <v>0</v>
      </c>
      <c r="D88" s="4">
        <f>(VLOOKUP(' 6.0.00'!L88,' 6.0.00'!$AM$4:$AO$55,2,FALSE))*IF(' 6.0.00'!AN$4="是",' 6.0.00'!$AX$4,' 6.0.00'!$AX$3)</f>
        <v>0</v>
      </c>
      <c r="E88" s="4">
        <f>(VLOOKUP(' 6.0.00'!M88,' 6.0.00'!$AM$4:$AO$55,2,FALSE))*IF(' 6.0.00'!AO$4="是",' 6.0.00'!$AX$4,' 6.0.00'!$AX$3)</f>
        <v>0</v>
      </c>
      <c r="F88" s="4">
        <f>(VLOOKUP(' 6.0.00'!N88,' 6.0.00'!$AM$4:$AO$55,2,FALSE))*IF(' 6.0.00'!AP$4="是",' 6.0.00'!$AX$4,' 6.0.00'!$AX$3)</f>
        <v>0</v>
      </c>
      <c r="G88" s="5">
        <f>(VLOOKUP(' 6.0.00'!O88,' 6.0.00'!$AM$4:$AO$55,2,FALSE))*IF(' 6.0.00'!AQ$4="是",' 6.0.00'!$AX$4,' 6.0.00'!$AX$3)</f>
        <v>0</v>
      </c>
      <c r="H88" s="5">
        <f>(VLOOKUP(' 6.0.00'!P88,' 6.0.00'!$AM$4:$AO$55,2,FALSE))*IF(' 6.0.00'!AR$4="是",' 6.0.00'!$AX$4,' 6.0.00'!$AX$3)</f>
        <v>0</v>
      </c>
      <c r="I88" s="4">
        <f>(VLOOKUP(' 6.0.00'!Q88,' 6.0.00'!$AM$4:$AO$55,2,FALSE))*IF(' 6.0.00'!AS$4="是",' 6.0.00'!$AX$4,' 6.0.00'!$AX$3)</f>
        <v>0</v>
      </c>
      <c r="J88" s="4">
        <f>(VLOOKUP(' 6.0.00'!R88,' 6.0.00'!$AM$4:$AO$55,2,FALSE))*IF(' 6.0.00'!AT$4="是",' 6.0.00'!$AX$4,' 6.0.00'!$AX$3)</f>
        <v>0</v>
      </c>
      <c r="K88" s="4">
        <f>(VLOOKUP(' 6.0.00'!S88,' 6.0.00'!$AM$4:$AO$55,2,FALSE))*IF(' 6.0.00'!AU$4="是",' 6.0.00'!$AX$4,' 6.0.00'!$AX$3)</f>
        <v>0</v>
      </c>
      <c r="L88" s="4">
        <f>(VLOOKUP(' 6.0.00'!T88,' 6.0.00'!$AM$4:$AO$55,2,FALSE))*IF(' 6.0.00'!AV$4="是",' 6.0.00'!$AX$4,' 6.0.00'!$AX$3)</f>
        <v>0</v>
      </c>
      <c r="M88" s="4">
        <f>(VLOOKUP(' 6.0.00'!U88,' 6.0.00'!$AM$4:$AO$55,2,FALSE))*IF(' 6.0.00'!AW$4="是",' 6.0.00'!$AX$4,' 6.0.00'!$AX$3)</f>
        <v>0</v>
      </c>
      <c r="N88" s="4">
        <f>(VLOOKUP(' 6.0.00'!V88,' 6.0.00'!$AM$4:$AO$55,2,FALSE))*IF(' 6.0.00'!AX$4="是",' 6.0.00'!$AX$4,' 6.0.00'!$AX$3)</f>
        <v>0</v>
      </c>
      <c r="O88" s="5">
        <f>(VLOOKUP(' 6.0.00'!W88,' 6.0.00'!$AM$4:$AO$55,2,FALSE))*IF(' 6.0.00'!AY$4="是",' 6.0.00'!$AX$4,' 6.0.00'!$AX$3)</f>
        <v>0</v>
      </c>
      <c r="P88" s="5">
        <f>(VLOOKUP(' 6.0.00'!X88,' 6.0.00'!$AM$4:$AO$55,2,FALSE))*IF(' 6.0.00'!AZ$4="是",' 6.0.00'!$AX$4,' 6.0.00'!$AX$3)</f>
        <v>0</v>
      </c>
      <c r="Q88" s="4">
        <f>(VLOOKUP(' 6.0.00'!Y88,' 6.0.00'!$AM$4:$AO$55,2,FALSE))*IF(' 6.0.00'!BA$4="是",' 6.0.00'!$AX$4,' 6.0.00'!$AX$3)</f>
        <v>0</v>
      </c>
      <c r="R88" s="4">
        <f>(VLOOKUP(' 6.0.00'!Z88,' 6.0.00'!$AM$4:$AO$55,2,FALSE))*IF(' 6.0.00'!BB$4="是",' 6.0.00'!$AX$4,' 6.0.00'!$AX$3)</f>
        <v>0</v>
      </c>
      <c r="S88" s="4">
        <f>(VLOOKUP(' 6.0.00'!AA88,' 6.0.00'!$AM$4:$AO$55,2,FALSE))*IF(' 6.0.00'!BC$4="是",' 6.0.00'!$AX$4,' 6.0.00'!$AX$3)</f>
        <v>0</v>
      </c>
      <c r="T88" s="4">
        <f>(VLOOKUP(' 6.0.00'!AB88,' 6.0.00'!$AM$4:$AO$55,2,FALSE))*IF(' 6.0.00'!BD$4="是",' 6.0.00'!$AX$4,' 6.0.00'!$AX$3)</f>
        <v>0</v>
      </c>
      <c r="U88" s="4">
        <f>(VLOOKUP(' 6.0.00'!AC88,' 6.0.00'!$AM$4:$AO$55,2,FALSE))*IF(' 6.0.00'!BE$4="是",' 6.0.00'!$AX$4,' 6.0.00'!$AX$3)</f>
        <v>0</v>
      </c>
      <c r="V88" s="4">
        <f>(VLOOKUP(' 6.0.00'!AD88,' 6.0.00'!$AM$4:$AO$55,2,FALSE))*IF(' 6.0.00'!BF$4="是",' 6.0.00'!$AX$4,' 6.0.00'!$AX$3)</f>
        <v>0</v>
      </c>
      <c r="W88" s="5">
        <f>(VLOOKUP(' 6.0.00'!AE88,' 6.0.00'!$AM$4:$AO$55,2,FALSE))*IF(' 6.0.00'!BG$4="是",' 6.0.00'!$AX$4,' 6.0.00'!$AX$3)</f>
        <v>0</v>
      </c>
      <c r="X88" s="5">
        <f>(VLOOKUP(' 6.0.00'!AF88,' 6.0.00'!$AM$4:$AO$55,2,FALSE))*IF(' 6.0.00'!BH$4="是",' 6.0.00'!$AX$4,' 6.0.00'!$AX$3)</f>
        <v>0</v>
      </c>
    </row>
    <row r="89" spans="1:24">
      <c r="A89" s="4">
        <f>(VLOOKUP(' 6.0.00'!I89,' 6.0.00'!$AM$4:$AO$55,2,FALSE))*IF(' 6.0.00'!AK$4="是",' 6.0.00'!$AX$4,' 6.0.00'!$AX$3)</f>
        <v>0</v>
      </c>
      <c r="B89" s="4">
        <f>(VLOOKUP(' 6.0.00'!J89,' 6.0.00'!$AM$4:$AO$55,2,FALSE))*IF(' 6.0.00'!AL$4="是",' 6.0.00'!$AX$4,' 6.0.00'!$AX$3)</f>
        <v>0</v>
      </c>
      <c r="C89" s="4">
        <f>(VLOOKUP(' 6.0.00'!K89,' 6.0.00'!$AM$4:$AO$55,2,FALSE))*IF(' 6.0.00'!AM$4="是",' 6.0.00'!$AX$4,' 6.0.00'!$AX$3)</f>
        <v>0</v>
      </c>
      <c r="D89" s="4">
        <f>(VLOOKUP(' 6.0.00'!L89,' 6.0.00'!$AM$4:$AO$55,2,FALSE))*IF(' 6.0.00'!AN$4="是",' 6.0.00'!$AX$4,' 6.0.00'!$AX$3)</f>
        <v>0</v>
      </c>
      <c r="E89" s="4">
        <f>(VLOOKUP(' 6.0.00'!M89,' 6.0.00'!$AM$4:$AO$55,2,FALSE))*IF(' 6.0.00'!AO$4="是",' 6.0.00'!$AX$4,' 6.0.00'!$AX$3)</f>
        <v>0</v>
      </c>
      <c r="F89" s="4">
        <f>(VLOOKUP(' 6.0.00'!N89,' 6.0.00'!$AM$4:$AO$55,2,FALSE))*IF(' 6.0.00'!AP$4="是",' 6.0.00'!$AX$4,' 6.0.00'!$AX$3)</f>
        <v>0</v>
      </c>
      <c r="G89" s="5">
        <f>(VLOOKUP(' 6.0.00'!O89,' 6.0.00'!$AM$4:$AO$55,2,FALSE))*IF(' 6.0.00'!AQ$4="是",' 6.0.00'!$AX$4,' 6.0.00'!$AX$3)</f>
        <v>0</v>
      </c>
      <c r="H89" s="5">
        <f>(VLOOKUP(' 6.0.00'!P89,' 6.0.00'!$AM$4:$AO$55,2,FALSE))*IF(' 6.0.00'!AR$4="是",' 6.0.00'!$AX$4,' 6.0.00'!$AX$3)</f>
        <v>0</v>
      </c>
      <c r="I89" s="4">
        <f>(VLOOKUP(' 6.0.00'!Q89,' 6.0.00'!$AM$4:$AO$55,2,FALSE))*IF(' 6.0.00'!AS$4="是",' 6.0.00'!$AX$4,' 6.0.00'!$AX$3)</f>
        <v>0</v>
      </c>
      <c r="J89" s="4">
        <f>(VLOOKUP(' 6.0.00'!R89,' 6.0.00'!$AM$4:$AO$55,2,FALSE))*IF(' 6.0.00'!AT$4="是",' 6.0.00'!$AX$4,' 6.0.00'!$AX$3)</f>
        <v>0</v>
      </c>
      <c r="K89" s="4">
        <f>(VLOOKUP(' 6.0.00'!S89,' 6.0.00'!$AM$4:$AO$55,2,FALSE))*IF(' 6.0.00'!AU$4="是",' 6.0.00'!$AX$4,' 6.0.00'!$AX$3)</f>
        <v>0</v>
      </c>
      <c r="L89" s="4">
        <f>(VLOOKUP(' 6.0.00'!T89,' 6.0.00'!$AM$4:$AO$55,2,FALSE))*IF(' 6.0.00'!AV$4="是",' 6.0.00'!$AX$4,' 6.0.00'!$AX$3)</f>
        <v>0</v>
      </c>
      <c r="M89" s="4">
        <f>(VLOOKUP(' 6.0.00'!U89,' 6.0.00'!$AM$4:$AO$55,2,FALSE))*IF(' 6.0.00'!AW$4="是",' 6.0.00'!$AX$4,' 6.0.00'!$AX$3)</f>
        <v>0</v>
      </c>
      <c r="N89" s="4">
        <f>(VLOOKUP(' 6.0.00'!V89,' 6.0.00'!$AM$4:$AO$55,2,FALSE))*IF(' 6.0.00'!AX$4="是",' 6.0.00'!$AX$4,' 6.0.00'!$AX$3)</f>
        <v>0</v>
      </c>
      <c r="O89" s="5">
        <f>(VLOOKUP(' 6.0.00'!W89,' 6.0.00'!$AM$4:$AO$55,2,FALSE))*IF(' 6.0.00'!AY$4="是",' 6.0.00'!$AX$4,' 6.0.00'!$AX$3)</f>
        <v>0</v>
      </c>
      <c r="P89" s="5">
        <f>(VLOOKUP(' 6.0.00'!X89,' 6.0.00'!$AM$4:$AO$55,2,FALSE))*IF(' 6.0.00'!AZ$4="是",' 6.0.00'!$AX$4,' 6.0.00'!$AX$3)</f>
        <v>0</v>
      </c>
      <c r="Q89" s="4">
        <f>(VLOOKUP(' 6.0.00'!Y89,' 6.0.00'!$AM$4:$AO$55,2,FALSE))*IF(' 6.0.00'!BA$4="是",' 6.0.00'!$AX$4,' 6.0.00'!$AX$3)</f>
        <v>0</v>
      </c>
      <c r="R89" s="4">
        <f>(VLOOKUP(' 6.0.00'!Z89,' 6.0.00'!$AM$4:$AO$55,2,FALSE))*IF(' 6.0.00'!BB$4="是",' 6.0.00'!$AX$4,' 6.0.00'!$AX$3)</f>
        <v>0</v>
      </c>
      <c r="S89" s="4">
        <f>(VLOOKUP(' 6.0.00'!AA89,' 6.0.00'!$AM$4:$AO$55,2,FALSE))*IF(' 6.0.00'!BC$4="是",' 6.0.00'!$AX$4,' 6.0.00'!$AX$3)</f>
        <v>0</v>
      </c>
      <c r="T89" s="4">
        <f>(VLOOKUP(' 6.0.00'!AB89,' 6.0.00'!$AM$4:$AO$55,2,FALSE))*IF(' 6.0.00'!BD$4="是",' 6.0.00'!$AX$4,' 6.0.00'!$AX$3)</f>
        <v>0</v>
      </c>
      <c r="U89" s="4">
        <f>(VLOOKUP(' 6.0.00'!AC89,' 6.0.00'!$AM$4:$AO$55,2,FALSE))*IF(' 6.0.00'!BE$4="是",' 6.0.00'!$AX$4,' 6.0.00'!$AX$3)</f>
        <v>0</v>
      </c>
      <c r="V89" s="4">
        <f>(VLOOKUP(' 6.0.00'!AD89,' 6.0.00'!$AM$4:$AO$55,2,FALSE))*IF(' 6.0.00'!BF$4="是",' 6.0.00'!$AX$4,' 6.0.00'!$AX$3)</f>
        <v>0</v>
      </c>
      <c r="W89" s="5">
        <f>(VLOOKUP(' 6.0.00'!AE89,' 6.0.00'!$AM$4:$AO$55,2,FALSE))*IF(' 6.0.00'!BG$4="是",' 6.0.00'!$AX$4,' 6.0.00'!$AX$3)</f>
        <v>0</v>
      </c>
      <c r="X89" s="5">
        <f>(VLOOKUP(' 6.0.00'!AF89,' 6.0.00'!$AM$4:$AO$55,2,FALSE))*IF(' 6.0.00'!BH$4="是",' 6.0.00'!$AX$4,' 6.0.00'!$AX$3)</f>
        <v>0</v>
      </c>
    </row>
    <row r="90" spans="1:24">
      <c r="A90" s="4">
        <f>(VLOOKUP(' 6.0.00'!I90,' 6.0.00'!$AM$4:$AO$55,2,FALSE))*IF(' 6.0.00'!AK$4="是",' 6.0.00'!$AX$4,' 6.0.00'!$AX$3)</f>
        <v>0</v>
      </c>
      <c r="B90" s="4">
        <f>(VLOOKUP(' 6.0.00'!J90,' 6.0.00'!$AM$4:$AO$55,2,FALSE))*IF(' 6.0.00'!AL$4="是",' 6.0.00'!$AX$4,' 6.0.00'!$AX$3)</f>
        <v>0</v>
      </c>
      <c r="C90" s="4">
        <f>(VLOOKUP(' 6.0.00'!K90,' 6.0.00'!$AM$4:$AO$55,2,FALSE))*IF(' 6.0.00'!AM$4="是",' 6.0.00'!$AX$4,' 6.0.00'!$AX$3)</f>
        <v>0</v>
      </c>
      <c r="D90" s="4">
        <f>(VLOOKUP(' 6.0.00'!L90,' 6.0.00'!$AM$4:$AO$55,2,FALSE))*IF(' 6.0.00'!AN$4="是",' 6.0.00'!$AX$4,' 6.0.00'!$AX$3)</f>
        <v>0</v>
      </c>
      <c r="E90" s="4">
        <f>(VLOOKUP(' 6.0.00'!M90,' 6.0.00'!$AM$4:$AO$55,2,FALSE))*IF(' 6.0.00'!AO$4="是",' 6.0.00'!$AX$4,' 6.0.00'!$AX$3)</f>
        <v>0</v>
      </c>
      <c r="F90" s="4">
        <f>(VLOOKUP(' 6.0.00'!N90,' 6.0.00'!$AM$4:$AO$55,2,FALSE))*IF(' 6.0.00'!AP$4="是",' 6.0.00'!$AX$4,' 6.0.00'!$AX$3)</f>
        <v>0</v>
      </c>
      <c r="G90" s="5">
        <f>(VLOOKUP(' 6.0.00'!O90,' 6.0.00'!$AM$4:$AO$55,2,FALSE))*IF(' 6.0.00'!AQ$4="是",' 6.0.00'!$AX$4,' 6.0.00'!$AX$3)</f>
        <v>0</v>
      </c>
      <c r="H90" s="5">
        <f>(VLOOKUP(' 6.0.00'!P90,' 6.0.00'!$AM$4:$AO$55,2,FALSE))*IF(' 6.0.00'!AR$4="是",' 6.0.00'!$AX$4,' 6.0.00'!$AX$3)</f>
        <v>0</v>
      </c>
      <c r="I90" s="4">
        <f>(VLOOKUP(' 6.0.00'!Q90,' 6.0.00'!$AM$4:$AO$55,2,FALSE))*IF(' 6.0.00'!AS$4="是",' 6.0.00'!$AX$4,' 6.0.00'!$AX$3)</f>
        <v>0</v>
      </c>
      <c r="J90" s="4">
        <f>(VLOOKUP(' 6.0.00'!R90,' 6.0.00'!$AM$4:$AO$55,2,FALSE))*IF(' 6.0.00'!AT$4="是",' 6.0.00'!$AX$4,' 6.0.00'!$AX$3)</f>
        <v>0</v>
      </c>
      <c r="K90" s="4">
        <f>(VLOOKUP(' 6.0.00'!S90,' 6.0.00'!$AM$4:$AO$55,2,FALSE))*IF(' 6.0.00'!AU$4="是",' 6.0.00'!$AX$4,' 6.0.00'!$AX$3)</f>
        <v>0</v>
      </c>
      <c r="L90" s="4">
        <f>(VLOOKUP(' 6.0.00'!T90,' 6.0.00'!$AM$4:$AO$55,2,FALSE))*IF(' 6.0.00'!AV$4="是",' 6.0.00'!$AX$4,' 6.0.00'!$AX$3)</f>
        <v>0</v>
      </c>
      <c r="M90" s="4">
        <f>(VLOOKUP(' 6.0.00'!U90,' 6.0.00'!$AM$4:$AO$55,2,FALSE))*IF(' 6.0.00'!AW$4="是",' 6.0.00'!$AX$4,' 6.0.00'!$AX$3)</f>
        <v>0</v>
      </c>
      <c r="N90" s="4">
        <f>(VLOOKUP(' 6.0.00'!V90,' 6.0.00'!$AM$4:$AO$55,2,FALSE))*IF(' 6.0.00'!AX$4="是",' 6.0.00'!$AX$4,' 6.0.00'!$AX$3)</f>
        <v>0</v>
      </c>
      <c r="O90" s="5">
        <f>(VLOOKUP(' 6.0.00'!W90,' 6.0.00'!$AM$4:$AO$55,2,FALSE))*IF(' 6.0.00'!AY$4="是",' 6.0.00'!$AX$4,' 6.0.00'!$AX$3)</f>
        <v>0</v>
      </c>
      <c r="P90" s="5">
        <f>(VLOOKUP(' 6.0.00'!X90,' 6.0.00'!$AM$4:$AO$55,2,FALSE))*IF(' 6.0.00'!AZ$4="是",' 6.0.00'!$AX$4,' 6.0.00'!$AX$3)</f>
        <v>0</v>
      </c>
      <c r="Q90" s="4">
        <f>(VLOOKUP(' 6.0.00'!Y90,' 6.0.00'!$AM$4:$AO$55,2,FALSE))*IF(' 6.0.00'!BA$4="是",' 6.0.00'!$AX$4,' 6.0.00'!$AX$3)</f>
        <v>0</v>
      </c>
      <c r="R90" s="4">
        <f>(VLOOKUP(' 6.0.00'!Z90,' 6.0.00'!$AM$4:$AO$55,2,FALSE))*IF(' 6.0.00'!BB$4="是",' 6.0.00'!$AX$4,' 6.0.00'!$AX$3)</f>
        <v>0</v>
      </c>
      <c r="S90" s="4">
        <f>(VLOOKUP(' 6.0.00'!AA90,' 6.0.00'!$AM$4:$AO$55,2,FALSE))*IF(' 6.0.00'!BC$4="是",' 6.0.00'!$AX$4,' 6.0.00'!$AX$3)</f>
        <v>0</v>
      </c>
      <c r="T90" s="4">
        <f>(VLOOKUP(' 6.0.00'!AB90,' 6.0.00'!$AM$4:$AO$55,2,FALSE))*IF(' 6.0.00'!BD$4="是",' 6.0.00'!$AX$4,' 6.0.00'!$AX$3)</f>
        <v>0</v>
      </c>
      <c r="U90" s="4">
        <f>(VLOOKUP(' 6.0.00'!AC90,' 6.0.00'!$AM$4:$AO$55,2,FALSE))*IF(' 6.0.00'!BE$4="是",' 6.0.00'!$AX$4,' 6.0.00'!$AX$3)</f>
        <v>0</v>
      </c>
      <c r="V90" s="4">
        <f>(VLOOKUP(' 6.0.00'!AD90,' 6.0.00'!$AM$4:$AO$55,2,FALSE))*IF(' 6.0.00'!BF$4="是",' 6.0.00'!$AX$4,' 6.0.00'!$AX$3)</f>
        <v>0</v>
      </c>
      <c r="W90" s="5">
        <f>(VLOOKUP(' 6.0.00'!AE90,' 6.0.00'!$AM$4:$AO$55,2,FALSE))*IF(' 6.0.00'!BG$4="是",' 6.0.00'!$AX$4,' 6.0.00'!$AX$3)</f>
        <v>0</v>
      </c>
      <c r="X90" s="5">
        <f>(VLOOKUP(' 6.0.00'!AF90,' 6.0.00'!$AM$4:$AO$55,2,FALSE))*IF(' 6.0.00'!BH$4="是",' 6.0.00'!$AX$4,' 6.0.00'!$AX$3)</f>
        <v>0</v>
      </c>
    </row>
    <row r="91" spans="1:24">
      <c r="A91" s="4">
        <f>(VLOOKUP(' 6.0.00'!I91,' 6.0.00'!$AM$4:$AO$55,2,FALSE))*IF(' 6.0.00'!AK$4="是",' 6.0.00'!$AX$4,' 6.0.00'!$AX$3)</f>
        <v>0</v>
      </c>
      <c r="B91" s="4">
        <f>(VLOOKUP(' 6.0.00'!J91,' 6.0.00'!$AM$4:$AO$55,2,FALSE))*IF(' 6.0.00'!AL$4="是",' 6.0.00'!$AX$4,' 6.0.00'!$AX$3)</f>
        <v>0</v>
      </c>
      <c r="C91" s="4">
        <f>(VLOOKUP(' 6.0.00'!K91,' 6.0.00'!$AM$4:$AO$55,2,FALSE))*IF(' 6.0.00'!AM$4="是",' 6.0.00'!$AX$4,' 6.0.00'!$AX$3)</f>
        <v>0</v>
      </c>
      <c r="D91" s="4">
        <f>(VLOOKUP(' 6.0.00'!L91,' 6.0.00'!$AM$4:$AO$55,2,FALSE))*IF(' 6.0.00'!AN$4="是",' 6.0.00'!$AX$4,' 6.0.00'!$AX$3)</f>
        <v>0</v>
      </c>
      <c r="E91" s="4">
        <f>(VLOOKUP(' 6.0.00'!M91,' 6.0.00'!$AM$4:$AO$55,2,FALSE))*IF(' 6.0.00'!AO$4="是",' 6.0.00'!$AX$4,' 6.0.00'!$AX$3)</f>
        <v>0</v>
      </c>
      <c r="F91" s="4">
        <f>(VLOOKUP(' 6.0.00'!N91,' 6.0.00'!$AM$4:$AO$55,2,FALSE))*IF(' 6.0.00'!AP$4="是",' 6.0.00'!$AX$4,' 6.0.00'!$AX$3)</f>
        <v>0</v>
      </c>
      <c r="G91" s="5">
        <f>(VLOOKUP(' 6.0.00'!O91,' 6.0.00'!$AM$4:$AO$55,2,FALSE))*IF(' 6.0.00'!AQ$4="是",' 6.0.00'!$AX$4,' 6.0.00'!$AX$3)</f>
        <v>0</v>
      </c>
      <c r="H91" s="5">
        <f>(VLOOKUP(' 6.0.00'!P91,' 6.0.00'!$AM$4:$AO$55,2,FALSE))*IF(' 6.0.00'!AR$4="是",' 6.0.00'!$AX$4,' 6.0.00'!$AX$3)</f>
        <v>0</v>
      </c>
      <c r="I91" s="4">
        <f>(VLOOKUP(' 6.0.00'!Q91,' 6.0.00'!$AM$4:$AO$55,2,FALSE))*IF(' 6.0.00'!AS$4="是",' 6.0.00'!$AX$4,' 6.0.00'!$AX$3)</f>
        <v>0</v>
      </c>
      <c r="J91" s="4">
        <f>(VLOOKUP(' 6.0.00'!R91,' 6.0.00'!$AM$4:$AO$55,2,FALSE))*IF(' 6.0.00'!AT$4="是",' 6.0.00'!$AX$4,' 6.0.00'!$AX$3)</f>
        <v>0</v>
      </c>
      <c r="K91" s="4">
        <f>(VLOOKUP(' 6.0.00'!S91,' 6.0.00'!$AM$4:$AO$55,2,FALSE))*IF(' 6.0.00'!AU$4="是",' 6.0.00'!$AX$4,' 6.0.00'!$AX$3)</f>
        <v>0</v>
      </c>
      <c r="L91" s="4">
        <f>(VLOOKUP(' 6.0.00'!T91,' 6.0.00'!$AM$4:$AO$55,2,FALSE))*IF(' 6.0.00'!AV$4="是",' 6.0.00'!$AX$4,' 6.0.00'!$AX$3)</f>
        <v>0</v>
      </c>
      <c r="M91" s="4">
        <f>(VLOOKUP(' 6.0.00'!U91,' 6.0.00'!$AM$4:$AO$55,2,FALSE))*IF(' 6.0.00'!AW$4="是",' 6.0.00'!$AX$4,' 6.0.00'!$AX$3)</f>
        <v>0</v>
      </c>
      <c r="N91" s="4">
        <f>(VLOOKUP(' 6.0.00'!V91,' 6.0.00'!$AM$4:$AO$55,2,FALSE))*IF(' 6.0.00'!AX$4="是",' 6.0.00'!$AX$4,' 6.0.00'!$AX$3)</f>
        <v>0</v>
      </c>
      <c r="O91" s="5">
        <f>(VLOOKUP(' 6.0.00'!W91,' 6.0.00'!$AM$4:$AO$55,2,FALSE))*IF(' 6.0.00'!AY$4="是",' 6.0.00'!$AX$4,' 6.0.00'!$AX$3)</f>
        <v>0</v>
      </c>
      <c r="P91" s="5">
        <f>(VLOOKUP(' 6.0.00'!X91,' 6.0.00'!$AM$4:$AO$55,2,FALSE))*IF(' 6.0.00'!AZ$4="是",' 6.0.00'!$AX$4,' 6.0.00'!$AX$3)</f>
        <v>0</v>
      </c>
      <c r="Q91" s="4">
        <f>(VLOOKUP(' 6.0.00'!Y91,' 6.0.00'!$AM$4:$AO$55,2,FALSE))*IF(' 6.0.00'!BA$4="是",' 6.0.00'!$AX$4,' 6.0.00'!$AX$3)</f>
        <v>0</v>
      </c>
      <c r="R91" s="4">
        <f>(VLOOKUP(' 6.0.00'!Z91,' 6.0.00'!$AM$4:$AO$55,2,FALSE))*IF(' 6.0.00'!BB$4="是",' 6.0.00'!$AX$4,' 6.0.00'!$AX$3)</f>
        <v>0</v>
      </c>
      <c r="S91" s="4">
        <f>(VLOOKUP(' 6.0.00'!AA91,' 6.0.00'!$AM$4:$AO$55,2,FALSE))*IF(' 6.0.00'!BC$4="是",' 6.0.00'!$AX$4,' 6.0.00'!$AX$3)</f>
        <v>0</v>
      </c>
      <c r="T91" s="4">
        <f>(VLOOKUP(' 6.0.00'!AB91,' 6.0.00'!$AM$4:$AO$55,2,FALSE))*IF(' 6.0.00'!BD$4="是",' 6.0.00'!$AX$4,' 6.0.00'!$AX$3)</f>
        <v>0</v>
      </c>
      <c r="U91" s="4">
        <f>(VLOOKUP(' 6.0.00'!AC91,' 6.0.00'!$AM$4:$AO$55,2,FALSE))*IF(' 6.0.00'!BE$4="是",' 6.0.00'!$AX$4,' 6.0.00'!$AX$3)</f>
        <v>0</v>
      </c>
      <c r="V91" s="4">
        <f>(VLOOKUP(' 6.0.00'!AD91,' 6.0.00'!$AM$4:$AO$55,2,FALSE))*IF(' 6.0.00'!BF$4="是",' 6.0.00'!$AX$4,' 6.0.00'!$AX$3)</f>
        <v>0</v>
      </c>
      <c r="W91" s="5">
        <f>(VLOOKUP(' 6.0.00'!AE91,' 6.0.00'!$AM$4:$AO$55,2,FALSE))*IF(' 6.0.00'!BG$4="是",' 6.0.00'!$AX$4,' 6.0.00'!$AX$3)</f>
        <v>0</v>
      </c>
      <c r="X91" s="5">
        <f>(VLOOKUP(' 6.0.00'!AF91,' 6.0.00'!$AM$4:$AO$55,2,FALSE))*IF(' 6.0.00'!BH$4="是",' 6.0.00'!$AX$4,' 6.0.00'!$AX$3)</f>
        <v>0</v>
      </c>
    </row>
    <row r="92" spans="1:24">
      <c r="A92" s="4">
        <f>(VLOOKUP(' 6.0.00'!I92,' 6.0.00'!$AM$4:$AO$55,2,FALSE))*IF(' 6.0.00'!AK$4="是",' 6.0.00'!$AX$4,' 6.0.00'!$AX$3)</f>
        <v>0</v>
      </c>
      <c r="B92" s="4">
        <f>(VLOOKUP(' 6.0.00'!J92,' 6.0.00'!$AM$4:$AO$55,2,FALSE))*IF(' 6.0.00'!AL$4="是",' 6.0.00'!$AX$4,' 6.0.00'!$AX$3)</f>
        <v>0</v>
      </c>
      <c r="C92" s="4">
        <f>(VLOOKUP(' 6.0.00'!K92,' 6.0.00'!$AM$4:$AO$55,2,FALSE))*IF(' 6.0.00'!AM$4="是",' 6.0.00'!$AX$4,' 6.0.00'!$AX$3)</f>
        <v>0</v>
      </c>
      <c r="D92" s="4">
        <f>(VLOOKUP(' 6.0.00'!L92,' 6.0.00'!$AM$4:$AO$55,2,FALSE))*IF(' 6.0.00'!AN$4="是",' 6.0.00'!$AX$4,' 6.0.00'!$AX$3)</f>
        <v>0</v>
      </c>
      <c r="E92" s="4">
        <f>(VLOOKUP(' 6.0.00'!M92,' 6.0.00'!$AM$4:$AO$55,2,FALSE))*IF(' 6.0.00'!AO$4="是",' 6.0.00'!$AX$4,' 6.0.00'!$AX$3)</f>
        <v>0</v>
      </c>
      <c r="F92" s="4">
        <f>(VLOOKUP(' 6.0.00'!N92,' 6.0.00'!$AM$4:$AO$55,2,FALSE))*IF(' 6.0.00'!AP$4="是",' 6.0.00'!$AX$4,' 6.0.00'!$AX$3)</f>
        <v>0</v>
      </c>
      <c r="G92" s="5">
        <f>(VLOOKUP(' 6.0.00'!O92,' 6.0.00'!$AM$4:$AO$55,2,FALSE))*IF(' 6.0.00'!AQ$4="是",' 6.0.00'!$AX$4,' 6.0.00'!$AX$3)</f>
        <v>0</v>
      </c>
      <c r="H92" s="5">
        <f>(VLOOKUP(' 6.0.00'!P92,' 6.0.00'!$AM$4:$AO$55,2,FALSE))*IF(' 6.0.00'!AR$4="是",' 6.0.00'!$AX$4,' 6.0.00'!$AX$3)</f>
        <v>0</v>
      </c>
      <c r="I92" s="4">
        <f>(VLOOKUP(' 6.0.00'!Q92,' 6.0.00'!$AM$4:$AO$55,2,FALSE))*IF(' 6.0.00'!AS$4="是",' 6.0.00'!$AX$4,' 6.0.00'!$AX$3)</f>
        <v>0</v>
      </c>
      <c r="J92" s="4">
        <f>(VLOOKUP(' 6.0.00'!R92,' 6.0.00'!$AM$4:$AO$55,2,FALSE))*IF(' 6.0.00'!AT$4="是",' 6.0.00'!$AX$4,' 6.0.00'!$AX$3)</f>
        <v>0</v>
      </c>
      <c r="K92" s="4">
        <f>(VLOOKUP(' 6.0.00'!S92,' 6.0.00'!$AM$4:$AO$55,2,FALSE))*IF(' 6.0.00'!AU$4="是",' 6.0.00'!$AX$4,' 6.0.00'!$AX$3)</f>
        <v>0</v>
      </c>
      <c r="L92" s="4">
        <f>(VLOOKUP(' 6.0.00'!T92,' 6.0.00'!$AM$4:$AO$55,2,FALSE))*IF(' 6.0.00'!AV$4="是",' 6.0.00'!$AX$4,' 6.0.00'!$AX$3)</f>
        <v>0</v>
      </c>
      <c r="M92" s="4">
        <f>(VLOOKUP(' 6.0.00'!U92,' 6.0.00'!$AM$4:$AO$55,2,FALSE))*IF(' 6.0.00'!AW$4="是",' 6.0.00'!$AX$4,' 6.0.00'!$AX$3)</f>
        <v>0</v>
      </c>
      <c r="N92" s="4">
        <f>(VLOOKUP(' 6.0.00'!V92,' 6.0.00'!$AM$4:$AO$55,2,FALSE))*IF(' 6.0.00'!AX$4="是",' 6.0.00'!$AX$4,' 6.0.00'!$AX$3)</f>
        <v>0</v>
      </c>
      <c r="O92" s="5">
        <f>(VLOOKUP(' 6.0.00'!W92,' 6.0.00'!$AM$4:$AO$55,2,FALSE))*IF(' 6.0.00'!AY$4="是",' 6.0.00'!$AX$4,' 6.0.00'!$AX$3)</f>
        <v>0</v>
      </c>
      <c r="P92" s="5">
        <f>(VLOOKUP(' 6.0.00'!X92,' 6.0.00'!$AM$4:$AO$55,2,FALSE))*IF(' 6.0.00'!AZ$4="是",' 6.0.00'!$AX$4,' 6.0.00'!$AX$3)</f>
        <v>0</v>
      </c>
      <c r="Q92" s="4">
        <f>(VLOOKUP(' 6.0.00'!Y92,' 6.0.00'!$AM$4:$AO$55,2,FALSE))*IF(' 6.0.00'!BA$4="是",' 6.0.00'!$AX$4,' 6.0.00'!$AX$3)</f>
        <v>0</v>
      </c>
      <c r="R92" s="4">
        <f>(VLOOKUP(' 6.0.00'!Z92,' 6.0.00'!$AM$4:$AO$55,2,FALSE))*IF(' 6.0.00'!BB$4="是",' 6.0.00'!$AX$4,' 6.0.00'!$AX$3)</f>
        <v>0</v>
      </c>
      <c r="S92" s="4">
        <f>(VLOOKUP(' 6.0.00'!AA92,' 6.0.00'!$AM$4:$AO$55,2,FALSE))*IF(' 6.0.00'!BC$4="是",' 6.0.00'!$AX$4,' 6.0.00'!$AX$3)</f>
        <v>0</v>
      </c>
      <c r="T92" s="4">
        <f>(VLOOKUP(' 6.0.00'!AB92,' 6.0.00'!$AM$4:$AO$55,2,FALSE))*IF(' 6.0.00'!BD$4="是",' 6.0.00'!$AX$4,' 6.0.00'!$AX$3)</f>
        <v>0</v>
      </c>
      <c r="U92" s="4">
        <f>(VLOOKUP(' 6.0.00'!AC92,' 6.0.00'!$AM$4:$AO$55,2,FALSE))*IF(' 6.0.00'!BE$4="是",' 6.0.00'!$AX$4,' 6.0.00'!$AX$3)</f>
        <v>0</v>
      </c>
      <c r="V92" s="4">
        <f>(VLOOKUP(' 6.0.00'!AD92,' 6.0.00'!$AM$4:$AO$55,2,FALSE))*IF(' 6.0.00'!BF$4="是",' 6.0.00'!$AX$4,' 6.0.00'!$AX$3)</f>
        <v>0</v>
      </c>
      <c r="W92" s="5">
        <f>(VLOOKUP(' 6.0.00'!AE92,' 6.0.00'!$AM$4:$AO$55,2,FALSE))*IF(' 6.0.00'!BG$4="是",' 6.0.00'!$AX$4,' 6.0.00'!$AX$3)</f>
        <v>0</v>
      </c>
      <c r="X92" s="5">
        <f>(VLOOKUP(' 6.0.00'!AF92,' 6.0.00'!$AM$4:$AO$55,2,FALSE))*IF(' 6.0.00'!BH$4="是",' 6.0.00'!$AX$4,' 6.0.00'!$AX$3)</f>
        <v>0</v>
      </c>
    </row>
    <row r="93" spans="1:24">
      <c r="A93" s="4">
        <f>(VLOOKUP(' 6.0.00'!I93,' 6.0.00'!$AM$4:$AO$55,2,FALSE))*IF(' 6.0.00'!AK$4="是",' 6.0.00'!$AX$4,' 6.0.00'!$AX$3)</f>
        <v>0</v>
      </c>
      <c r="B93" s="4">
        <f>(VLOOKUP(' 6.0.00'!J93,' 6.0.00'!$AM$4:$AO$55,2,FALSE))*IF(' 6.0.00'!AL$4="是",' 6.0.00'!$AX$4,' 6.0.00'!$AX$3)</f>
        <v>0</v>
      </c>
      <c r="C93" s="4">
        <f>(VLOOKUP(' 6.0.00'!K93,' 6.0.00'!$AM$4:$AO$55,2,FALSE))*IF(' 6.0.00'!AM$4="是",' 6.0.00'!$AX$4,' 6.0.00'!$AX$3)</f>
        <v>0</v>
      </c>
      <c r="D93" s="4">
        <f>(VLOOKUP(' 6.0.00'!L93,' 6.0.00'!$AM$4:$AO$55,2,FALSE))*IF(' 6.0.00'!AN$4="是",' 6.0.00'!$AX$4,' 6.0.00'!$AX$3)</f>
        <v>0</v>
      </c>
      <c r="E93" s="4">
        <f>(VLOOKUP(' 6.0.00'!M93,' 6.0.00'!$AM$4:$AO$55,2,FALSE))*IF(' 6.0.00'!AO$4="是",' 6.0.00'!$AX$4,' 6.0.00'!$AX$3)</f>
        <v>0</v>
      </c>
      <c r="F93" s="4">
        <f>(VLOOKUP(' 6.0.00'!N93,' 6.0.00'!$AM$4:$AO$55,2,FALSE))*IF(' 6.0.00'!AP$4="是",' 6.0.00'!$AX$4,' 6.0.00'!$AX$3)</f>
        <v>0</v>
      </c>
      <c r="G93" s="5">
        <f>(VLOOKUP(' 6.0.00'!O93,' 6.0.00'!$AM$4:$AO$55,2,FALSE))*IF(' 6.0.00'!AQ$4="是",' 6.0.00'!$AX$4,' 6.0.00'!$AX$3)</f>
        <v>0</v>
      </c>
      <c r="H93" s="5">
        <f>(VLOOKUP(' 6.0.00'!P93,' 6.0.00'!$AM$4:$AO$55,2,FALSE))*IF(' 6.0.00'!AR$4="是",' 6.0.00'!$AX$4,' 6.0.00'!$AX$3)</f>
        <v>0</v>
      </c>
      <c r="I93" s="4">
        <f>(VLOOKUP(' 6.0.00'!Q93,' 6.0.00'!$AM$4:$AO$55,2,FALSE))*IF(' 6.0.00'!AS$4="是",' 6.0.00'!$AX$4,' 6.0.00'!$AX$3)</f>
        <v>0</v>
      </c>
      <c r="J93" s="4">
        <f>(VLOOKUP(' 6.0.00'!R93,' 6.0.00'!$AM$4:$AO$55,2,FALSE))*IF(' 6.0.00'!AT$4="是",' 6.0.00'!$AX$4,' 6.0.00'!$AX$3)</f>
        <v>0</v>
      </c>
      <c r="K93" s="4">
        <f>(VLOOKUP(' 6.0.00'!S93,' 6.0.00'!$AM$4:$AO$55,2,FALSE))*IF(' 6.0.00'!AU$4="是",' 6.0.00'!$AX$4,' 6.0.00'!$AX$3)</f>
        <v>0</v>
      </c>
      <c r="L93" s="4">
        <f>(VLOOKUP(' 6.0.00'!T93,' 6.0.00'!$AM$4:$AO$55,2,FALSE))*IF(' 6.0.00'!AV$4="是",' 6.0.00'!$AX$4,' 6.0.00'!$AX$3)</f>
        <v>0</v>
      </c>
      <c r="M93" s="4">
        <f>(VLOOKUP(' 6.0.00'!U93,' 6.0.00'!$AM$4:$AO$55,2,FALSE))*IF(' 6.0.00'!AW$4="是",' 6.0.00'!$AX$4,' 6.0.00'!$AX$3)</f>
        <v>0</v>
      </c>
      <c r="N93" s="4">
        <f>(VLOOKUP(' 6.0.00'!V93,' 6.0.00'!$AM$4:$AO$55,2,FALSE))*IF(' 6.0.00'!AX$4="是",' 6.0.00'!$AX$4,' 6.0.00'!$AX$3)</f>
        <v>0</v>
      </c>
      <c r="O93" s="5">
        <f>(VLOOKUP(' 6.0.00'!W93,' 6.0.00'!$AM$4:$AO$55,2,FALSE))*IF(' 6.0.00'!AY$4="是",' 6.0.00'!$AX$4,' 6.0.00'!$AX$3)</f>
        <v>0</v>
      </c>
      <c r="P93" s="5">
        <f>(VLOOKUP(' 6.0.00'!X93,' 6.0.00'!$AM$4:$AO$55,2,FALSE))*IF(' 6.0.00'!AZ$4="是",' 6.0.00'!$AX$4,' 6.0.00'!$AX$3)</f>
        <v>0</v>
      </c>
      <c r="Q93" s="4">
        <f>(VLOOKUP(' 6.0.00'!Y93,' 6.0.00'!$AM$4:$AO$55,2,FALSE))*IF(' 6.0.00'!BA$4="是",' 6.0.00'!$AX$4,' 6.0.00'!$AX$3)</f>
        <v>0</v>
      </c>
      <c r="R93" s="4">
        <f>(VLOOKUP(' 6.0.00'!Z93,' 6.0.00'!$AM$4:$AO$55,2,FALSE))*IF(' 6.0.00'!BB$4="是",' 6.0.00'!$AX$4,' 6.0.00'!$AX$3)</f>
        <v>0</v>
      </c>
      <c r="S93" s="4">
        <f>(VLOOKUP(' 6.0.00'!AA93,' 6.0.00'!$AM$4:$AO$55,2,FALSE))*IF(' 6.0.00'!BC$4="是",' 6.0.00'!$AX$4,' 6.0.00'!$AX$3)</f>
        <v>0</v>
      </c>
      <c r="T93" s="4">
        <f>(VLOOKUP(' 6.0.00'!AB93,' 6.0.00'!$AM$4:$AO$55,2,FALSE))*IF(' 6.0.00'!BD$4="是",' 6.0.00'!$AX$4,' 6.0.00'!$AX$3)</f>
        <v>0</v>
      </c>
      <c r="U93" s="4">
        <f>(VLOOKUP(' 6.0.00'!AC93,' 6.0.00'!$AM$4:$AO$55,2,FALSE))*IF(' 6.0.00'!BE$4="是",' 6.0.00'!$AX$4,' 6.0.00'!$AX$3)</f>
        <v>0</v>
      </c>
      <c r="V93" s="4">
        <f>(VLOOKUP(' 6.0.00'!AD93,' 6.0.00'!$AM$4:$AO$55,2,FALSE))*IF(' 6.0.00'!BF$4="是",' 6.0.00'!$AX$4,' 6.0.00'!$AX$3)</f>
        <v>0</v>
      </c>
      <c r="W93" s="5">
        <f>(VLOOKUP(' 6.0.00'!AE93,' 6.0.00'!$AM$4:$AO$55,2,FALSE))*IF(' 6.0.00'!BG$4="是",' 6.0.00'!$AX$4,' 6.0.00'!$AX$3)</f>
        <v>0</v>
      </c>
      <c r="X93" s="5">
        <f>(VLOOKUP(' 6.0.00'!AF93,' 6.0.00'!$AM$4:$AO$55,2,FALSE))*IF(' 6.0.00'!BH$4="是",' 6.0.00'!$AX$4,' 6.0.00'!$AX$3)</f>
        <v>0</v>
      </c>
    </row>
    <row r="94" spans="1:24">
      <c r="A94" s="4">
        <f>(VLOOKUP(' 6.0.00'!I94,' 6.0.00'!$AM$4:$AO$55,2,FALSE))*IF(' 6.0.00'!AK$4="是",' 6.0.00'!$AX$4,' 6.0.00'!$AX$3)</f>
        <v>0</v>
      </c>
      <c r="B94" s="4">
        <f>(VLOOKUP(' 6.0.00'!J94,' 6.0.00'!$AM$4:$AO$55,2,FALSE))*IF(' 6.0.00'!AL$4="是",' 6.0.00'!$AX$4,' 6.0.00'!$AX$3)</f>
        <v>0</v>
      </c>
      <c r="C94" s="4">
        <f>(VLOOKUP(' 6.0.00'!K94,' 6.0.00'!$AM$4:$AO$55,2,FALSE))*IF(' 6.0.00'!AM$4="是",' 6.0.00'!$AX$4,' 6.0.00'!$AX$3)</f>
        <v>0</v>
      </c>
      <c r="D94" s="4">
        <f>(VLOOKUP(' 6.0.00'!L94,' 6.0.00'!$AM$4:$AO$55,2,FALSE))*IF(' 6.0.00'!AN$4="是",' 6.0.00'!$AX$4,' 6.0.00'!$AX$3)</f>
        <v>0</v>
      </c>
      <c r="E94" s="4">
        <f>(VLOOKUP(' 6.0.00'!M94,' 6.0.00'!$AM$4:$AO$55,2,FALSE))*IF(' 6.0.00'!AO$4="是",' 6.0.00'!$AX$4,' 6.0.00'!$AX$3)</f>
        <v>0</v>
      </c>
      <c r="F94" s="4">
        <f>(VLOOKUP(' 6.0.00'!N94,' 6.0.00'!$AM$4:$AO$55,2,FALSE))*IF(' 6.0.00'!AP$4="是",' 6.0.00'!$AX$4,' 6.0.00'!$AX$3)</f>
        <v>0</v>
      </c>
      <c r="G94" s="5">
        <f>(VLOOKUP(' 6.0.00'!O94,' 6.0.00'!$AM$4:$AO$55,2,FALSE))*IF(' 6.0.00'!AQ$4="是",' 6.0.00'!$AX$4,' 6.0.00'!$AX$3)</f>
        <v>0</v>
      </c>
      <c r="H94" s="5">
        <f>(VLOOKUP(' 6.0.00'!P94,' 6.0.00'!$AM$4:$AO$55,2,FALSE))*IF(' 6.0.00'!AR$4="是",' 6.0.00'!$AX$4,' 6.0.00'!$AX$3)</f>
        <v>0</v>
      </c>
      <c r="I94" s="4">
        <f>(VLOOKUP(' 6.0.00'!Q94,' 6.0.00'!$AM$4:$AO$55,2,FALSE))*IF(' 6.0.00'!AS$4="是",' 6.0.00'!$AX$4,' 6.0.00'!$AX$3)</f>
        <v>0</v>
      </c>
      <c r="J94" s="4">
        <f>(VLOOKUP(' 6.0.00'!R94,' 6.0.00'!$AM$4:$AO$55,2,FALSE))*IF(' 6.0.00'!AT$4="是",' 6.0.00'!$AX$4,' 6.0.00'!$AX$3)</f>
        <v>0</v>
      </c>
      <c r="K94" s="4">
        <f>(VLOOKUP(' 6.0.00'!S94,' 6.0.00'!$AM$4:$AO$55,2,FALSE))*IF(' 6.0.00'!AU$4="是",' 6.0.00'!$AX$4,' 6.0.00'!$AX$3)</f>
        <v>0</v>
      </c>
      <c r="L94" s="4">
        <f>(VLOOKUP(' 6.0.00'!T94,' 6.0.00'!$AM$4:$AO$55,2,FALSE))*IF(' 6.0.00'!AV$4="是",' 6.0.00'!$AX$4,' 6.0.00'!$AX$3)</f>
        <v>0</v>
      </c>
      <c r="M94" s="4">
        <f>(VLOOKUP(' 6.0.00'!U94,' 6.0.00'!$AM$4:$AO$55,2,FALSE))*IF(' 6.0.00'!AW$4="是",' 6.0.00'!$AX$4,' 6.0.00'!$AX$3)</f>
        <v>0</v>
      </c>
      <c r="N94" s="4">
        <f>(VLOOKUP(' 6.0.00'!V94,' 6.0.00'!$AM$4:$AO$55,2,FALSE))*IF(' 6.0.00'!AX$4="是",' 6.0.00'!$AX$4,' 6.0.00'!$AX$3)</f>
        <v>0</v>
      </c>
      <c r="O94" s="5">
        <f>(VLOOKUP(' 6.0.00'!W94,' 6.0.00'!$AM$4:$AO$55,2,FALSE))*IF(' 6.0.00'!AY$4="是",' 6.0.00'!$AX$4,' 6.0.00'!$AX$3)</f>
        <v>0</v>
      </c>
      <c r="P94" s="5">
        <f>(VLOOKUP(' 6.0.00'!X94,' 6.0.00'!$AM$4:$AO$55,2,FALSE))*IF(' 6.0.00'!AZ$4="是",' 6.0.00'!$AX$4,' 6.0.00'!$AX$3)</f>
        <v>0</v>
      </c>
      <c r="Q94" s="4">
        <f>(VLOOKUP(' 6.0.00'!Y94,' 6.0.00'!$AM$4:$AO$55,2,FALSE))*IF(' 6.0.00'!BA$4="是",' 6.0.00'!$AX$4,' 6.0.00'!$AX$3)</f>
        <v>0</v>
      </c>
      <c r="R94" s="4">
        <f>(VLOOKUP(' 6.0.00'!Z94,' 6.0.00'!$AM$4:$AO$55,2,FALSE))*IF(' 6.0.00'!BB$4="是",' 6.0.00'!$AX$4,' 6.0.00'!$AX$3)</f>
        <v>0</v>
      </c>
      <c r="S94" s="4">
        <f>(VLOOKUP(' 6.0.00'!AA94,' 6.0.00'!$AM$4:$AO$55,2,FALSE))*IF(' 6.0.00'!BC$4="是",' 6.0.00'!$AX$4,' 6.0.00'!$AX$3)</f>
        <v>0</v>
      </c>
      <c r="T94" s="4">
        <f>(VLOOKUP(' 6.0.00'!AB94,' 6.0.00'!$AM$4:$AO$55,2,FALSE))*IF(' 6.0.00'!BD$4="是",' 6.0.00'!$AX$4,' 6.0.00'!$AX$3)</f>
        <v>0</v>
      </c>
      <c r="U94" s="4">
        <f>(VLOOKUP(' 6.0.00'!AC94,' 6.0.00'!$AM$4:$AO$55,2,FALSE))*IF(' 6.0.00'!BE$4="是",' 6.0.00'!$AX$4,' 6.0.00'!$AX$3)</f>
        <v>0</v>
      </c>
      <c r="V94" s="4">
        <f>(VLOOKUP(' 6.0.00'!AD94,' 6.0.00'!$AM$4:$AO$55,2,FALSE))*IF(' 6.0.00'!BF$4="是",' 6.0.00'!$AX$4,' 6.0.00'!$AX$3)</f>
        <v>0</v>
      </c>
      <c r="W94" s="5">
        <f>(VLOOKUP(' 6.0.00'!AE94,' 6.0.00'!$AM$4:$AO$55,2,FALSE))*IF(' 6.0.00'!BG$4="是",' 6.0.00'!$AX$4,' 6.0.00'!$AX$3)</f>
        <v>0</v>
      </c>
      <c r="X94" s="5">
        <f>(VLOOKUP(' 6.0.00'!AF94,' 6.0.00'!$AM$4:$AO$55,2,FALSE))*IF(' 6.0.00'!BH$4="是",' 6.0.00'!$AX$4,' 6.0.00'!$AX$3)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04" t="s">
        <v>62</v>
      </c>
      <c r="B2" s="105"/>
      <c r="C2" s="1" t="s">
        <v>4</v>
      </c>
      <c r="D2" s="1">
        <f>COUNTIF(A4:H94,"&lt;&gt;空")</f>
        <v>728</v>
      </c>
      <c r="E2" s="105" t="s">
        <v>5</v>
      </c>
      <c r="F2" s="105"/>
      <c r="G2" s="105"/>
      <c r="H2" s="106"/>
      <c r="I2" s="107" t="s">
        <v>6</v>
      </c>
      <c r="J2" s="108"/>
      <c r="K2" s="6" t="s">
        <v>4</v>
      </c>
      <c r="L2" s="6">
        <f>COUNTIF(I4:P94,"&lt;&gt;空")</f>
        <v>728</v>
      </c>
      <c r="M2" s="108" t="s">
        <v>5</v>
      </c>
      <c r="N2" s="108"/>
      <c r="O2" s="108"/>
      <c r="P2" s="109"/>
      <c r="Q2" s="110" t="s">
        <v>7</v>
      </c>
      <c r="R2" s="111"/>
      <c r="S2" s="10" t="s">
        <v>8</v>
      </c>
      <c r="T2" s="9">
        <f>COUNTIF(Q4:X94,"&lt;&gt;空")</f>
        <v>728</v>
      </c>
      <c r="U2" s="111" t="s">
        <v>5</v>
      </c>
      <c r="V2" s="111"/>
      <c r="W2" s="111"/>
      <c r="X2" s="11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 6.0.00'!I4,' 6.0.00'!$AM$4:$AO$55,3,FALSE))</f>
        <v>0</v>
      </c>
      <c r="B4" s="4">
        <f>(VLOOKUP(' 6.0.00'!J4,' 6.0.00'!$AM$4:$AO$55,3,FALSE))</f>
        <v>0</v>
      </c>
      <c r="C4" s="4">
        <f>(VLOOKUP(' 6.0.00'!K4,' 6.0.00'!$AM$4:$AO$55,3,FALSE))</f>
        <v>0</v>
      </c>
      <c r="D4" s="4">
        <f>(VLOOKUP(' 6.0.00'!L4,' 6.0.00'!$AM$4:$AO$55,3,FALSE))</f>
        <v>0</v>
      </c>
      <c r="E4" s="4">
        <f>(VLOOKUP(' 6.0.00'!M4,' 6.0.00'!$AM$4:$AO$55,3,FALSE))</f>
        <v>0</v>
      </c>
      <c r="F4" s="4">
        <f>(VLOOKUP(' 6.0.00'!N4,' 6.0.00'!$AM$4:$AO$55,3,FALSE))</f>
        <v>0</v>
      </c>
      <c r="G4" s="5">
        <f>(VLOOKUP(' 6.0.00'!O4,' 6.0.00'!$AM$4:$AO$55,3,FALSE))</f>
        <v>0</v>
      </c>
      <c r="H4" s="5">
        <f>(VLOOKUP(' 6.0.00'!P4,' 6.0.00'!$AM$4:$AO$55,3,FALSE))</f>
        <v>0</v>
      </c>
      <c r="I4" s="4">
        <f>(VLOOKUP(' 6.0.00'!Q4,' 6.0.00'!$AM$4:$AO$55,3,FALSE))</f>
        <v>0</v>
      </c>
      <c r="J4" s="4">
        <f>(VLOOKUP(' 6.0.00'!R4,' 6.0.00'!$AM$4:$AO$55,3,FALSE))</f>
        <v>0</v>
      </c>
      <c r="K4" s="4">
        <f>(VLOOKUP(' 6.0.00'!S4,' 6.0.00'!$AM$4:$AO$55,3,FALSE))</f>
        <v>0</v>
      </c>
      <c r="L4" s="4">
        <f>(VLOOKUP(' 6.0.00'!T4,' 6.0.00'!$AM$4:$AO$55,3,FALSE))</f>
        <v>0</v>
      </c>
      <c r="M4" s="4">
        <f>(VLOOKUP(' 6.0.00'!U4,' 6.0.00'!$AM$4:$AO$55,3,FALSE))</f>
        <v>0</v>
      </c>
      <c r="N4" s="4">
        <f>(VLOOKUP(' 6.0.00'!V4,' 6.0.00'!$AM$4:$AO$55,3,FALSE))</f>
        <v>0</v>
      </c>
      <c r="O4" s="5">
        <f>(VLOOKUP(' 6.0.00'!W4,' 6.0.00'!$AM$4:$AO$55,3,FALSE))</f>
        <v>0</v>
      </c>
      <c r="P4" s="5">
        <f>(VLOOKUP(' 6.0.00'!X4,' 6.0.00'!$AM$4:$AO$55,3,FALSE))</f>
        <v>0</v>
      </c>
      <c r="Q4" s="4">
        <f>(VLOOKUP(' 6.0.00'!Y4,' 6.0.00'!$AM$4:$AO$55,3,FALSE))</f>
        <v>0</v>
      </c>
      <c r="R4" s="4">
        <f>(VLOOKUP(' 6.0.00'!Z4,' 6.0.00'!$AM$4:$AO$55,3,FALSE))</f>
        <v>0</v>
      </c>
      <c r="S4" s="4">
        <f>(VLOOKUP(' 6.0.00'!AA4,' 6.0.00'!$AM$4:$AO$55,3,FALSE))</f>
        <v>0</v>
      </c>
      <c r="T4" s="4">
        <f>(VLOOKUP(' 6.0.00'!AB4,' 6.0.00'!$AM$4:$AO$55,3,FALSE))</f>
        <v>0</v>
      </c>
      <c r="U4" s="4">
        <f>(VLOOKUP(' 6.0.00'!AC4,' 6.0.00'!$AM$4:$AO$55,3,FALSE))</f>
        <v>0</v>
      </c>
      <c r="V4" s="4">
        <f>(VLOOKUP(' 6.0.00'!AD4,' 6.0.00'!$AM$4:$AO$55,3,FALSE))</f>
        <v>0</v>
      </c>
      <c r="W4" s="5">
        <f>(VLOOKUP(' 6.0.00'!AE4,' 6.0.00'!$AM$4:$AO$55,3,FALSE))</f>
        <v>0</v>
      </c>
      <c r="X4" s="5">
        <f>(VLOOKUP(' 6.0.00'!AF4,' 6.0.00'!$AM$4:$AO$55,3,FALSE))</f>
        <v>0</v>
      </c>
    </row>
    <row r="5" spans="1:24">
      <c r="A5" s="4">
        <f>(VLOOKUP(' 6.0.00'!I5,' 6.0.00'!$AM$4:$AO$55,3,FALSE))</f>
        <v>0</v>
      </c>
      <c r="B5" s="4">
        <f>(VLOOKUP(' 6.0.00'!J5,' 6.0.00'!$AM$4:$AO$55,3,FALSE))</f>
        <v>0</v>
      </c>
      <c r="C5" s="4">
        <f>(VLOOKUP(' 6.0.00'!K5,' 6.0.00'!$AM$4:$AO$55,3,FALSE))</f>
        <v>0</v>
      </c>
      <c r="D5" s="4">
        <f>(VLOOKUP(' 6.0.00'!L5,' 6.0.00'!$AM$4:$AO$55,3,FALSE))</f>
        <v>0</v>
      </c>
      <c r="E5" s="4">
        <f>(VLOOKUP(' 6.0.00'!M5,' 6.0.00'!$AM$4:$AO$55,3,FALSE))</f>
        <v>0</v>
      </c>
      <c r="F5" s="4">
        <f>(VLOOKUP(' 6.0.00'!N5,' 6.0.00'!$AM$4:$AO$55,3,FALSE))</f>
        <v>0</v>
      </c>
      <c r="G5" s="5">
        <f>(VLOOKUP(' 6.0.00'!O5,' 6.0.00'!$AM$4:$AO$55,3,FALSE))</f>
        <v>0</v>
      </c>
      <c r="H5" s="5">
        <f>(VLOOKUP(' 6.0.00'!P5,' 6.0.00'!$AM$4:$AO$55,3,FALSE))</f>
        <v>0</v>
      </c>
      <c r="I5" s="4">
        <f>(VLOOKUP(' 6.0.00'!Q5,' 6.0.00'!$AM$4:$AO$55,3,FALSE))</f>
        <v>0</v>
      </c>
      <c r="J5" s="4">
        <f>(VLOOKUP(' 6.0.00'!R5,' 6.0.00'!$AM$4:$AO$55,3,FALSE))</f>
        <v>0</v>
      </c>
      <c r="K5" s="4">
        <f>(VLOOKUP(' 6.0.00'!S5,' 6.0.00'!$AM$4:$AO$55,3,FALSE))</f>
        <v>0</v>
      </c>
      <c r="L5" s="4">
        <f>(VLOOKUP(' 6.0.00'!T5,' 6.0.00'!$AM$4:$AO$55,3,FALSE))</f>
        <v>0</v>
      </c>
      <c r="M5" s="4">
        <f>(VLOOKUP(' 6.0.00'!U5,' 6.0.00'!$AM$4:$AO$55,3,FALSE))</f>
        <v>0</v>
      </c>
      <c r="N5" s="4">
        <f>(VLOOKUP(' 6.0.00'!V5,' 6.0.00'!$AM$4:$AO$55,3,FALSE))</f>
        <v>0</v>
      </c>
      <c r="O5" s="5">
        <f>(VLOOKUP(' 6.0.00'!W5,' 6.0.00'!$AM$4:$AO$55,3,FALSE))</f>
        <v>0</v>
      </c>
      <c r="P5" s="5">
        <f>(VLOOKUP(' 6.0.00'!X5,' 6.0.00'!$AM$4:$AO$55,3,FALSE))</f>
        <v>0</v>
      </c>
      <c r="Q5" s="4">
        <f>(VLOOKUP(' 6.0.00'!Y5,' 6.0.00'!$AM$4:$AO$55,3,FALSE))</f>
        <v>0</v>
      </c>
      <c r="R5" s="4">
        <f>(VLOOKUP(' 6.0.00'!Z5,' 6.0.00'!$AM$4:$AO$55,3,FALSE))</f>
        <v>0</v>
      </c>
      <c r="S5" s="4">
        <f>(VLOOKUP(' 6.0.00'!AA5,' 6.0.00'!$AM$4:$AO$55,3,FALSE))</f>
        <v>0</v>
      </c>
      <c r="T5" s="4">
        <f>(VLOOKUP(' 6.0.00'!AB5,' 6.0.00'!$AM$4:$AO$55,3,FALSE))</f>
        <v>0</v>
      </c>
      <c r="U5" s="4">
        <f>(VLOOKUP(' 6.0.00'!AC5,' 6.0.00'!$AM$4:$AO$55,3,FALSE))</f>
        <v>0</v>
      </c>
      <c r="V5" s="4">
        <f>(VLOOKUP(' 6.0.00'!AD5,' 6.0.00'!$AM$4:$AO$55,3,FALSE))</f>
        <v>0</v>
      </c>
      <c r="W5" s="5">
        <f>(VLOOKUP(' 6.0.00'!AE5,' 6.0.00'!$AM$4:$AO$55,3,FALSE))</f>
        <v>0</v>
      </c>
      <c r="X5" s="5">
        <f>(VLOOKUP(' 6.0.00'!AF5,' 6.0.00'!$AM$4:$AO$55,3,FALSE))</f>
        <v>0</v>
      </c>
    </row>
    <row r="6" spans="1:24">
      <c r="A6" s="4">
        <f>(VLOOKUP(' 6.0.00'!I6,' 6.0.00'!$AM$4:$AO$55,3,FALSE))</f>
        <v>0</v>
      </c>
      <c r="B6" s="4">
        <f>(VLOOKUP(' 6.0.00'!J6,' 6.0.00'!$AM$4:$AO$55,3,FALSE))</f>
        <v>0</v>
      </c>
      <c r="C6" s="4">
        <f>(VLOOKUP(' 6.0.00'!K6,' 6.0.00'!$AM$4:$AO$55,3,FALSE))</f>
        <v>0</v>
      </c>
      <c r="D6" s="4">
        <f>(VLOOKUP(' 6.0.00'!L6,' 6.0.00'!$AM$4:$AO$55,3,FALSE))</f>
        <v>0</v>
      </c>
      <c r="E6" s="4">
        <f>(VLOOKUP(' 6.0.00'!M6,' 6.0.00'!$AM$4:$AO$55,3,FALSE))</f>
        <v>0</v>
      </c>
      <c r="F6" s="4">
        <f>(VLOOKUP(' 6.0.00'!N6,' 6.0.00'!$AM$4:$AO$55,3,FALSE))</f>
        <v>0</v>
      </c>
      <c r="G6" s="5">
        <f>(VLOOKUP(' 6.0.00'!O6,' 6.0.00'!$AM$4:$AO$55,3,FALSE))</f>
        <v>0</v>
      </c>
      <c r="H6" s="5">
        <f>(VLOOKUP(' 6.0.00'!P6,' 6.0.00'!$AM$4:$AO$55,3,FALSE))</f>
        <v>0</v>
      </c>
      <c r="I6" s="4">
        <f>(VLOOKUP(' 6.0.00'!Q6,' 6.0.00'!$AM$4:$AO$55,3,FALSE))</f>
        <v>0</v>
      </c>
      <c r="J6" s="4">
        <f>(VLOOKUP(' 6.0.00'!R6,' 6.0.00'!$AM$4:$AO$55,3,FALSE))</f>
        <v>0</v>
      </c>
      <c r="K6" s="4">
        <f>(VLOOKUP(' 6.0.00'!S6,' 6.0.00'!$AM$4:$AO$55,3,FALSE))</f>
        <v>0</v>
      </c>
      <c r="L6" s="4">
        <f>(VLOOKUP(' 6.0.00'!T6,' 6.0.00'!$AM$4:$AO$55,3,FALSE))</f>
        <v>0</v>
      </c>
      <c r="M6" s="4">
        <f>(VLOOKUP(' 6.0.00'!U6,' 6.0.00'!$AM$4:$AO$55,3,FALSE))</f>
        <v>0</v>
      </c>
      <c r="N6" s="4">
        <f>(VLOOKUP(' 6.0.00'!V6,' 6.0.00'!$AM$4:$AO$55,3,FALSE))</f>
        <v>0</v>
      </c>
      <c r="O6" s="5">
        <f>(VLOOKUP(' 6.0.00'!W6,' 6.0.00'!$AM$4:$AO$55,3,FALSE))</f>
        <v>0</v>
      </c>
      <c r="P6" s="5">
        <f>(VLOOKUP(' 6.0.00'!X6,' 6.0.00'!$AM$4:$AO$55,3,FALSE))</f>
        <v>0</v>
      </c>
      <c r="Q6" s="4">
        <f>(VLOOKUP(' 6.0.00'!Y6,' 6.0.00'!$AM$4:$AO$55,3,FALSE))</f>
        <v>0</v>
      </c>
      <c r="R6" s="4">
        <f>(VLOOKUP(' 6.0.00'!Z6,' 6.0.00'!$AM$4:$AO$55,3,FALSE))</f>
        <v>0</v>
      </c>
      <c r="S6" s="4">
        <f>(VLOOKUP(' 6.0.00'!AA6,' 6.0.00'!$AM$4:$AO$55,3,FALSE))</f>
        <v>0</v>
      </c>
      <c r="T6" s="4">
        <f>(VLOOKUP(' 6.0.00'!AB6,' 6.0.00'!$AM$4:$AO$55,3,FALSE))</f>
        <v>0</v>
      </c>
      <c r="U6" s="4">
        <f>(VLOOKUP(' 6.0.00'!AC6,' 6.0.00'!$AM$4:$AO$55,3,FALSE))</f>
        <v>0</v>
      </c>
      <c r="V6" s="4">
        <f>(VLOOKUP(' 6.0.00'!AD6,' 6.0.00'!$AM$4:$AO$55,3,FALSE))</f>
        <v>0</v>
      </c>
      <c r="W6" s="5">
        <f>(VLOOKUP(' 6.0.00'!AE6,' 6.0.00'!$AM$4:$AO$55,3,FALSE))</f>
        <v>0</v>
      </c>
      <c r="X6" s="5">
        <f>(VLOOKUP(' 6.0.00'!AF6,' 6.0.00'!$AM$4:$AO$55,3,FALSE))</f>
        <v>0</v>
      </c>
    </row>
    <row r="7" spans="1:24">
      <c r="A7" s="4">
        <f>(VLOOKUP(' 6.0.00'!I7,' 6.0.00'!$AM$4:$AO$55,3,FALSE))</f>
        <v>0</v>
      </c>
      <c r="B7" s="4">
        <f>(VLOOKUP(' 6.0.00'!J7,' 6.0.00'!$AM$4:$AO$55,3,FALSE))</f>
        <v>0</v>
      </c>
      <c r="C7" s="4">
        <f>(VLOOKUP(' 6.0.00'!K7,' 6.0.00'!$AM$4:$AO$55,3,FALSE))</f>
        <v>0</v>
      </c>
      <c r="D7" s="4">
        <f>(VLOOKUP(' 6.0.00'!L7,' 6.0.00'!$AM$4:$AO$55,3,FALSE))</f>
        <v>0</v>
      </c>
      <c r="E7" s="4">
        <f>(VLOOKUP(' 6.0.00'!M7,' 6.0.00'!$AM$4:$AO$55,3,FALSE))</f>
        <v>0</v>
      </c>
      <c r="F7" s="4">
        <f>(VLOOKUP(' 6.0.00'!N7,' 6.0.00'!$AM$4:$AO$55,3,FALSE))</f>
        <v>0</v>
      </c>
      <c r="G7" s="5">
        <f>(VLOOKUP(' 6.0.00'!O7,' 6.0.00'!$AM$4:$AO$55,3,FALSE))</f>
        <v>0</v>
      </c>
      <c r="H7" s="5">
        <f>(VLOOKUP(' 6.0.00'!P7,' 6.0.00'!$AM$4:$AO$55,3,FALSE))</f>
        <v>0</v>
      </c>
      <c r="I7" s="4">
        <f>(VLOOKUP(' 6.0.00'!Q7,' 6.0.00'!$AM$4:$AO$55,3,FALSE))</f>
        <v>0</v>
      </c>
      <c r="J7" s="4">
        <f>(VLOOKUP(' 6.0.00'!R7,' 6.0.00'!$AM$4:$AO$55,3,FALSE))</f>
        <v>0</v>
      </c>
      <c r="K7" s="4">
        <f>(VLOOKUP(' 6.0.00'!S7,' 6.0.00'!$AM$4:$AO$55,3,FALSE))</f>
        <v>0</v>
      </c>
      <c r="L7" s="4">
        <f>(VLOOKUP(' 6.0.00'!T7,' 6.0.00'!$AM$4:$AO$55,3,FALSE))</f>
        <v>0</v>
      </c>
      <c r="M7" s="4">
        <f>(VLOOKUP(' 6.0.00'!U7,' 6.0.00'!$AM$4:$AO$55,3,FALSE))</f>
        <v>0</v>
      </c>
      <c r="N7" s="4">
        <f>(VLOOKUP(' 6.0.00'!V7,' 6.0.00'!$AM$4:$AO$55,3,FALSE))</f>
        <v>0</v>
      </c>
      <c r="O7" s="5">
        <f>(VLOOKUP(' 6.0.00'!W7,' 6.0.00'!$AM$4:$AO$55,3,FALSE))</f>
        <v>0</v>
      </c>
      <c r="P7" s="5">
        <f>(VLOOKUP(' 6.0.00'!X7,' 6.0.00'!$AM$4:$AO$55,3,FALSE))</f>
        <v>0</v>
      </c>
      <c r="Q7" s="4">
        <f>(VLOOKUP(' 6.0.00'!Y7,' 6.0.00'!$AM$4:$AO$55,3,FALSE))</f>
        <v>0</v>
      </c>
      <c r="R7" s="4">
        <f>(VLOOKUP(' 6.0.00'!Z7,' 6.0.00'!$AM$4:$AO$55,3,FALSE))</f>
        <v>0</v>
      </c>
      <c r="S7" s="4">
        <f>(VLOOKUP(' 6.0.00'!AA7,' 6.0.00'!$AM$4:$AO$55,3,FALSE))</f>
        <v>0</v>
      </c>
      <c r="T7" s="4">
        <f>(VLOOKUP(' 6.0.00'!AB7,' 6.0.00'!$AM$4:$AO$55,3,FALSE))</f>
        <v>0</v>
      </c>
      <c r="U7" s="4">
        <f>(VLOOKUP(' 6.0.00'!AC7,' 6.0.00'!$AM$4:$AO$55,3,FALSE))</f>
        <v>0</v>
      </c>
      <c r="V7" s="4">
        <f>(VLOOKUP(' 6.0.00'!AD7,' 6.0.00'!$AM$4:$AO$55,3,FALSE))</f>
        <v>0</v>
      </c>
      <c r="W7" s="5">
        <f>(VLOOKUP(' 6.0.00'!AE7,' 6.0.00'!$AM$4:$AO$55,3,FALSE))</f>
        <v>0</v>
      </c>
      <c r="X7" s="5">
        <f>(VLOOKUP(' 6.0.00'!AF7,' 6.0.00'!$AM$4:$AO$55,3,FALSE))</f>
        <v>0</v>
      </c>
    </row>
    <row r="8" spans="1:24">
      <c r="A8" s="4">
        <f>(VLOOKUP(' 6.0.00'!I8,' 6.0.00'!$AM$4:$AO$55,3,FALSE))</f>
        <v>0</v>
      </c>
      <c r="B8" s="4">
        <f>(VLOOKUP(' 6.0.00'!J8,' 6.0.00'!$AM$4:$AO$55,3,FALSE))</f>
        <v>0</v>
      </c>
      <c r="C8" s="4">
        <f>(VLOOKUP(' 6.0.00'!K8,' 6.0.00'!$AM$4:$AO$55,3,FALSE))</f>
        <v>0</v>
      </c>
      <c r="D8" s="4">
        <f>(VLOOKUP(' 6.0.00'!L8,' 6.0.00'!$AM$4:$AO$55,3,FALSE))</f>
        <v>0</v>
      </c>
      <c r="E8" s="4">
        <f>(VLOOKUP(' 6.0.00'!M8,' 6.0.00'!$AM$4:$AO$55,3,FALSE))</f>
        <v>0</v>
      </c>
      <c r="F8" s="4">
        <f>(VLOOKUP(' 6.0.00'!N8,' 6.0.00'!$AM$4:$AO$55,3,FALSE))</f>
        <v>0</v>
      </c>
      <c r="G8" s="5">
        <f>(VLOOKUP(' 6.0.00'!O8,' 6.0.00'!$AM$4:$AO$55,3,FALSE))</f>
        <v>0</v>
      </c>
      <c r="H8" s="5">
        <f>(VLOOKUP(' 6.0.00'!P8,' 6.0.00'!$AM$4:$AO$55,3,FALSE))</f>
        <v>0</v>
      </c>
      <c r="I8" s="4">
        <f>(VLOOKUP(' 6.0.00'!Q8,' 6.0.00'!$AM$4:$AO$55,3,FALSE))</f>
        <v>0</v>
      </c>
      <c r="J8" s="4">
        <f>(VLOOKUP(' 6.0.00'!R8,' 6.0.00'!$AM$4:$AO$55,3,FALSE))</f>
        <v>0</v>
      </c>
      <c r="K8" s="4">
        <f>(VLOOKUP(' 6.0.00'!S8,' 6.0.00'!$AM$4:$AO$55,3,FALSE))</f>
        <v>0</v>
      </c>
      <c r="L8" s="4">
        <f>(VLOOKUP(' 6.0.00'!T8,' 6.0.00'!$AM$4:$AO$55,3,FALSE))</f>
        <v>0</v>
      </c>
      <c r="M8" s="4">
        <f>(VLOOKUP(' 6.0.00'!U8,' 6.0.00'!$AM$4:$AO$55,3,FALSE))</f>
        <v>0</v>
      </c>
      <c r="N8" s="4">
        <f>(VLOOKUP(' 6.0.00'!V8,' 6.0.00'!$AM$4:$AO$55,3,FALSE))</f>
        <v>0</v>
      </c>
      <c r="O8" s="5">
        <f>(VLOOKUP(' 6.0.00'!W8,' 6.0.00'!$AM$4:$AO$55,3,FALSE))</f>
        <v>0</v>
      </c>
      <c r="P8" s="5">
        <f>(VLOOKUP(' 6.0.00'!X8,' 6.0.00'!$AM$4:$AO$55,3,FALSE))</f>
        <v>0</v>
      </c>
      <c r="Q8" s="4">
        <f>(VLOOKUP(' 6.0.00'!Y8,' 6.0.00'!$AM$4:$AO$55,3,FALSE))</f>
        <v>0</v>
      </c>
      <c r="R8" s="4">
        <f>(VLOOKUP(' 6.0.00'!Z8,' 6.0.00'!$AM$4:$AO$55,3,FALSE))</f>
        <v>0</v>
      </c>
      <c r="S8" s="4">
        <f>(VLOOKUP(' 6.0.00'!AA8,' 6.0.00'!$AM$4:$AO$55,3,FALSE))</f>
        <v>0</v>
      </c>
      <c r="T8" s="4">
        <f>(VLOOKUP(' 6.0.00'!AB8,' 6.0.00'!$AM$4:$AO$55,3,FALSE))</f>
        <v>0</v>
      </c>
      <c r="U8" s="4">
        <f>(VLOOKUP(' 6.0.00'!AC8,' 6.0.00'!$AM$4:$AO$55,3,FALSE))</f>
        <v>0</v>
      </c>
      <c r="V8" s="4">
        <f>(VLOOKUP(' 6.0.00'!AD8,' 6.0.00'!$AM$4:$AO$55,3,FALSE))</f>
        <v>0</v>
      </c>
      <c r="W8" s="5">
        <f>(VLOOKUP(' 6.0.00'!AE8,' 6.0.00'!$AM$4:$AO$55,3,FALSE))</f>
        <v>0</v>
      </c>
      <c r="X8" s="5">
        <f>(VLOOKUP(' 6.0.00'!AF8,' 6.0.00'!$AM$4:$AO$55,3,FALSE))</f>
        <v>0</v>
      </c>
    </row>
    <row r="9" spans="1:24">
      <c r="A9" s="4">
        <f>(VLOOKUP(' 6.0.00'!I9,' 6.0.00'!$AM$4:$AO$55,3,FALSE))</f>
        <v>0</v>
      </c>
      <c r="B9" s="4">
        <f>(VLOOKUP(' 6.0.00'!J9,' 6.0.00'!$AM$4:$AO$55,3,FALSE))</f>
        <v>0</v>
      </c>
      <c r="C9" s="4">
        <f>(VLOOKUP(' 6.0.00'!K9,' 6.0.00'!$AM$4:$AO$55,3,FALSE))</f>
        <v>0</v>
      </c>
      <c r="D9" s="4">
        <f>(VLOOKUP(' 6.0.00'!L9,' 6.0.00'!$AM$4:$AO$55,3,FALSE))</f>
        <v>0</v>
      </c>
      <c r="E9" s="4">
        <f>(VLOOKUP(' 6.0.00'!M9,' 6.0.00'!$AM$4:$AO$55,3,FALSE))</f>
        <v>0</v>
      </c>
      <c r="F9" s="4">
        <f>(VLOOKUP(' 6.0.00'!N9,' 6.0.00'!$AM$4:$AO$55,3,FALSE))</f>
        <v>0</v>
      </c>
      <c r="G9" s="5">
        <f>(VLOOKUP(' 6.0.00'!O9,' 6.0.00'!$AM$4:$AO$55,3,FALSE))</f>
        <v>0</v>
      </c>
      <c r="H9" s="5">
        <f>(VLOOKUP(' 6.0.00'!P9,' 6.0.00'!$AM$4:$AO$55,3,FALSE))</f>
        <v>0</v>
      </c>
      <c r="I9" s="4">
        <f>(VLOOKUP(' 6.0.00'!Q9,' 6.0.00'!$AM$4:$AO$55,3,FALSE))</f>
        <v>0</v>
      </c>
      <c r="J9" s="4">
        <f>(VLOOKUP(' 6.0.00'!R9,' 6.0.00'!$AM$4:$AO$55,3,FALSE))</f>
        <v>0</v>
      </c>
      <c r="K9" s="4">
        <f>(VLOOKUP(' 6.0.00'!S9,' 6.0.00'!$AM$4:$AO$55,3,FALSE))</f>
        <v>0</v>
      </c>
      <c r="L9" s="4">
        <f>(VLOOKUP(' 6.0.00'!T9,' 6.0.00'!$AM$4:$AO$55,3,FALSE))</f>
        <v>0</v>
      </c>
      <c r="M9" s="4">
        <f>(VLOOKUP(' 6.0.00'!U9,' 6.0.00'!$AM$4:$AO$55,3,FALSE))</f>
        <v>0</v>
      </c>
      <c r="N9" s="4">
        <f>(VLOOKUP(' 6.0.00'!V9,' 6.0.00'!$AM$4:$AO$55,3,FALSE))</f>
        <v>0</v>
      </c>
      <c r="O9" s="5">
        <f>(VLOOKUP(' 6.0.00'!W9,' 6.0.00'!$AM$4:$AO$55,3,FALSE))</f>
        <v>0</v>
      </c>
      <c r="P9" s="5">
        <f>(VLOOKUP(' 6.0.00'!X9,' 6.0.00'!$AM$4:$AO$55,3,FALSE))</f>
        <v>0</v>
      </c>
      <c r="Q9" s="4">
        <f>(VLOOKUP(' 6.0.00'!Y9,' 6.0.00'!$AM$4:$AO$55,3,FALSE))</f>
        <v>0</v>
      </c>
      <c r="R9" s="4">
        <f>(VLOOKUP(' 6.0.00'!Z9,' 6.0.00'!$AM$4:$AO$55,3,FALSE))</f>
        <v>0</v>
      </c>
      <c r="S9" s="4">
        <f>(VLOOKUP(' 6.0.00'!AA9,' 6.0.00'!$AM$4:$AO$55,3,FALSE))</f>
        <v>0</v>
      </c>
      <c r="T9" s="4">
        <f>(VLOOKUP(' 6.0.00'!AB9,' 6.0.00'!$AM$4:$AO$55,3,FALSE))</f>
        <v>0</v>
      </c>
      <c r="U9" s="4">
        <f>(VLOOKUP(' 6.0.00'!AC9,' 6.0.00'!$AM$4:$AO$55,3,FALSE))</f>
        <v>0</v>
      </c>
      <c r="V9" s="4">
        <f>(VLOOKUP(' 6.0.00'!AD9,' 6.0.00'!$AM$4:$AO$55,3,FALSE))</f>
        <v>0</v>
      </c>
      <c r="W9" s="5">
        <f>(VLOOKUP(' 6.0.00'!AE9,' 6.0.00'!$AM$4:$AO$55,3,FALSE))</f>
        <v>0</v>
      </c>
      <c r="X9" s="5">
        <f>(VLOOKUP(' 6.0.00'!AF9,' 6.0.00'!$AM$4:$AO$55,3,FALSE))</f>
        <v>0</v>
      </c>
    </row>
    <row r="10" spans="1:24">
      <c r="A10" s="4">
        <f>(VLOOKUP(' 6.0.00'!I10,' 6.0.00'!$AM$4:$AO$55,3,FALSE))</f>
        <v>0</v>
      </c>
      <c r="B10" s="4">
        <f>(VLOOKUP(' 6.0.00'!J10,' 6.0.00'!$AM$4:$AO$55,3,FALSE))</f>
        <v>0</v>
      </c>
      <c r="C10" s="4">
        <f>(VLOOKUP(' 6.0.00'!K10,' 6.0.00'!$AM$4:$AO$55,3,FALSE))</f>
        <v>0</v>
      </c>
      <c r="D10" s="4">
        <f>(VLOOKUP(' 6.0.00'!L10,' 6.0.00'!$AM$4:$AO$55,3,FALSE))</f>
        <v>0</v>
      </c>
      <c r="E10" s="4">
        <f>(VLOOKUP(' 6.0.00'!M10,' 6.0.00'!$AM$4:$AO$55,3,FALSE))</f>
        <v>0</v>
      </c>
      <c r="F10" s="4">
        <f>(VLOOKUP(' 6.0.00'!N10,' 6.0.00'!$AM$4:$AO$55,3,FALSE))</f>
        <v>0</v>
      </c>
      <c r="G10" s="5">
        <f>(VLOOKUP(' 6.0.00'!O10,' 6.0.00'!$AM$4:$AO$55,3,FALSE))</f>
        <v>0</v>
      </c>
      <c r="H10" s="5">
        <f>(VLOOKUP(' 6.0.00'!P10,' 6.0.00'!$AM$4:$AO$55,3,FALSE))</f>
        <v>0</v>
      </c>
      <c r="I10" s="4">
        <f>(VLOOKUP(' 6.0.00'!Q10,' 6.0.00'!$AM$4:$AO$55,3,FALSE))</f>
        <v>0</v>
      </c>
      <c r="J10" s="4">
        <f>(VLOOKUP(' 6.0.00'!R10,' 6.0.00'!$AM$4:$AO$55,3,FALSE))</f>
        <v>0</v>
      </c>
      <c r="K10" s="4">
        <f>(VLOOKUP(' 6.0.00'!S10,' 6.0.00'!$AM$4:$AO$55,3,FALSE))</f>
        <v>0</v>
      </c>
      <c r="L10" s="4">
        <f>(VLOOKUP(' 6.0.00'!T10,' 6.0.00'!$AM$4:$AO$55,3,FALSE))</f>
        <v>0</v>
      </c>
      <c r="M10" s="4">
        <f>(VLOOKUP(' 6.0.00'!U10,' 6.0.00'!$AM$4:$AO$55,3,FALSE))</f>
        <v>0</v>
      </c>
      <c r="N10" s="4">
        <f>(VLOOKUP(' 6.0.00'!V10,' 6.0.00'!$AM$4:$AO$55,3,FALSE))</f>
        <v>0</v>
      </c>
      <c r="O10" s="5">
        <f>(VLOOKUP(' 6.0.00'!W10,' 6.0.00'!$AM$4:$AO$55,3,FALSE))</f>
        <v>0</v>
      </c>
      <c r="P10" s="5">
        <f>(VLOOKUP(' 6.0.00'!X10,' 6.0.00'!$AM$4:$AO$55,3,FALSE))</f>
        <v>0</v>
      </c>
      <c r="Q10" s="4">
        <f>(VLOOKUP(' 6.0.00'!Y10,' 6.0.00'!$AM$4:$AO$55,3,FALSE))</f>
        <v>0</v>
      </c>
      <c r="R10" s="4">
        <f>(VLOOKUP(' 6.0.00'!Z10,' 6.0.00'!$AM$4:$AO$55,3,FALSE))</f>
        <v>0</v>
      </c>
      <c r="S10" s="4">
        <f>(VLOOKUP(' 6.0.00'!AA10,' 6.0.00'!$AM$4:$AO$55,3,FALSE))</f>
        <v>0</v>
      </c>
      <c r="T10" s="4">
        <f>(VLOOKUP(' 6.0.00'!AB10,' 6.0.00'!$AM$4:$AO$55,3,FALSE))</f>
        <v>0</v>
      </c>
      <c r="U10" s="4">
        <f>(VLOOKUP(' 6.0.00'!AC10,' 6.0.00'!$AM$4:$AO$55,3,FALSE))</f>
        <v>0</v>
      </c>
      <c r="V10" s="4">
        <f>(VLOOKUP(' 6.0.00'!AD10,' 6.0.00'!$AM$4:$AO$55,3,FALSE))</f>
        <v>0</v>
      </c>
      <c r="W10" s="5">
        <f>(VLOOKUP(' 6.0.00'!AE10,' 6.0.00'!$AM$4:$AO$55,3,FALSE))</f>
        <v>0</v>
      </c>
      <c r="X10" s="5">
        <f>(VLOOKUP(' 6.0.00'!AF10,' 6.0.00'!$AM$4:$AO$55,3,FALSE))</f>
        <v>0</v>
      </c>
    </row>
    <row r="11" spans="1:24">
      <c r="A11" s="4">
        <f>(VLOOKUP(' 6.0.00'!I11,' 6.0.00'!$AM$4:$AO$55,3,FALSE))</f>
        <v>0</v>
      </c>
      <c r="B11" s="4">
        <f>(VLOOKUP(' 6.0.00'!J11,' 6.0.00'!$AM$4:$AO$55,3,FALSE))</f>
        <v>0</v>
      </c>
      <c r="C11" s="4">
        <f>(VLOOKUP(' 6.0.00'!K11,' 6.0.00'!$AM$4:$AO$55,3,FALSE))</f>
        <v>0</v>
      </c>
      <c r="D11" s="4">
        <f>(VLOOKUP(' 6.0.00'!L11,' 6.0.00'!$AM$4:$AO$55,3,FALSE))</f>
        <v>0</v>
      </c>
      <c r="E11" s="4">
        <f>(VLOOKUP(' 6.0.00'!M11,' 6.0.00'!$AM$4:$AO$55,3,FALSE))</f>
        <v>0</v>
      </c>
      <c r="F11" s="4">
        <f>(VLOOKUP(' 6.0.00'!N11,' 6.0.00'!$AM$4:$AO$55,3,FALSE))</f>
        <v>0</v>
      </c>
      <c r="G11" s="5">
        <f>(VLOOKUP(' 6.0.00'!O11,' 6.0.00'!$AM$4:$AO$55,3,FALSE))</f>
        <v>0</v>
      </c>
      <c r="H11" s="5">
        <f>(VLOOKUP(' 6.0.00'!P11,' 6.0.00'!$AM$4:$AO$55,3,FALSE))</f>
        <v>0</v>
      </c>
      <c r="I11" s="4">
        <f>(VLOOKUP(' 6.0.00'!Q11,' 6.0.00'!$AM$4:$AO$55,3,FALSE))</f>
        <v>0</v>
      </c>
      <c r="J11" s="4">
        <f>(VLOOKUP(' 6.0.00'!R11,' 6.0.00'!$AM$4:$AO$55,3,FALSE))</f>
        <v>0</v>
      </c>
      <c r="K11" s="4">
        <f>(VLOOKUP(' 6.0.00'!S11,' 6.0.00'!$AM$4:$AO$55,3,FALSE))</f>
        <v>0</v>
      </c>
      <c r="L11" s="4">
        <f>(VLOOKUP(' 6.0.00'!T11,' 6.0.00'!$AM$4:$AO$55,3,FALSE))</f>
        <v>0</v>
      </c>
      <c r="M11" s="4">
        <f>(VLOOKUP(' 6.0.00'!U11,' 6.0.00'!$AM$4:$AO$55,3,FALSE))</f>
        <v>0</v>
      </c>
      <c r="N11" s="4">
        <f>(VLOOKUP(' 6.0.00'!V11,' 6.0.00'!$AM$4:$AO$55,3,FALSE))</f>
        <v>0</v>
      </c>
      <c r="O11" s="5">
        <f>(VLOOKUP(' 6.0.00'!W11,' 6.0.00'!$AM$4:$AO$55,3,FALSE))</f>
        <v>0</v>
      </c>
      <c r="P11" s="5">
        <f>(VLOOKUP(' 6.0.00'!X11,' 6.0.00'!$AM$4:$AO$55,3,FALSE))</f>
        <v>0</v>
      </c>
      <c r="Q11" s="4">
        <f>(VLOOKUP(' 6.0.00'!Y11,' 6.0.00'!$AM$4:$AO$55,3,FALSE))</f>
        <v>0</v>
      </c>
      <c r="R11" s="4">
        <f>(VLOOKUP(' 6.0.00'!Z11,' 6.0.00'!$AM$4:$AO$55,3,FALSE))</f>
        <v>0</v>
      </c>
      <c r="S11" s="4">
        <f>(VLOOKUP(' 6.0.00'!AA11,' 6.0.00'!$AM$4:$AO$55,3,FALSE))</f>
        <v>0</v>
      </c>
      <c r="T11" s="4">
        <f>(VLOOKUP(' 6.0.00'!AB11,' 6.0.00'!$AM$4:$AO$55,3,FALSE))</f>
        <v>0</v>
      </c>
      <c r="U11" s="4">
        <f>(VLOOKUP(' 6.0.00'!AC11,' 6.0.00'!$AM$4:$AO$55,3,FALSE))</f>
        <v>0</v>
      </c>
      <c r="V11" s="4">
        <f>(VLOOKUP(' 6.0.00'!AD11,' 6.0.00'!$AM$4:$AO$55,3,FALSE))</f>
        <v>0</v>
      </c>
      <c r="W11" s="5">
        <f>(VLOOKUP(' 6.0.00'!AE11,' 6.0.00'!$AM$4:$AO$55,3,FALSE))</f>
        <v>0</v>
      </c>
      <c r="X11" s="5">
        <f>(VLOOKUP(' 6.0.00'!AF11,' 6.0.00'!$AM$4:$AO$55,3,FALSE))</f>
        <v>0</v>
      </c>
    </row>
    <row r="12" spans="1:24">
      <c r="A12" s="4">
        <f>(VLOOKUP(' 6.0.00'!I12,' 6.0.00'!$AM$4:$AO$55,3,FALSE))</f>
        <v>0</v>
      </c>
      <c r="B12" s="4">
        <f>(VLOOKUP(' 6.0.00'!J12,' 6.0.00'!$AM$4:$AO$55,3,FALSE))</f>
        <v>0</v>
      </c>
      <c r="C12" s="4">
        <f>(VLOOKUP(' 6.0.00'!K12,' 6.0.00'!$AM$4:$AO$55,3,FALSE))</f>
        <v>0</v>
      </c>
      <c r="D12" s="4">
        <f>(VLOOKUP(' 6.0.00'!L12,' 6.0.00'!$AM$4:$AO$55,3,FALSE))</f>
        <v>0</v>
      </c>
      <c r="E12" s="4">
        <f>(VLOOKUP(' 6.0.00'!M12,' 6.0.00'!$AM$4:$AO$55,3,FALSE))</f>
        <v>0</v>
      </c>
      <c r="F12" s="4">
        <f>(VLOOKUP(' 6.0.00'!N12,' 6.0.00'!$AM$4:$AO$55,3,FALSE))</f>
        <v>0</v>
      </c>
      <c r="G12" s="5">
        <f>(VLOOKUP(' 6.0.00'!O12,' 6.0.00'!$AM$4:$AO$55,3,FALSE))</f>
        <v>0</v>
      </c>
      <c r="H12" s="5">
        <f>(VLOOKUP(' 6.0.00'!P12,' 6.0.00'!$AM$4:$AO$55,3,FALSE))</f>
        <v>0</v>
      </c>
      <c r="I12" s="4">
        <f>(VLOOKUP(' 6.0.00'!Q12,' 6.0.00'!$AM$4:$AO$55,3,FALSE))</f>
        <v>0</v>
      </c>
      <c r="J12" s="4">
        <f>(VLOOKUP(' 6.0.00'!R12,' 6.0.00'!$AM$4:$AO$55,3,FALSE))</f>
        <v>0</v>
      </c>
      <c r="K12" s="4">
        <f>(VLOOKUP(' 6.0.00'!S12,' 6.0.00'!$AM$4:$AO$55,3,FALSE))</f>
        <v>0</v>
      </c>
      <c r="L12" s="4">
        <f>(VLOOKUP(' 6.0.00'!T12,' 6.0.00'!$AM$4:$AO$55,3,FALSE))</f>
        <v>0</v>
      </c>
      <c r="M12" s="4">
        <f>(VLOOKUP(' 6.0.00'!U12,' 6.0.00'!$AM$4:$AO$55,3,FALSE))</f>
        <v>0</v>
      </c>
      <c r="N12" s="4">
        <f>(VLOOKUP(' 6.0.00'!V12,' 6.0.00'!$AM$4:$AO$55,3,FALSE))</f>
        <v>0</v>
      </c>
      <c r="O12" s="5">
        <f>(VLOOKUP(' 6.0.00'!W12,' 6.0.00'!$AM$4:$AO$55,3,FALSE))</f>
        <v>0</v>
      </c>
      <c r="P12" s="5">
        <f>(VLOOKUP(' 6.0.00'!X12,' 6.0.00'!$AM$4:$AO$55,3,FALSE))</f>
        <v>0</v>
      </c>
      <c r="Q12" s="4">
        <f>(VLOOKUP(' 6.0.00'!Y12,' 6.0.00'!$AM$4:$AO$55,3,FALSE))</f>
        <v>0</v>
      </c>
      <c r="R12" s="4">
        <f>(VLOOKUP(' 6.0.00'!Z12,' 6.0.00'!$AM$4:$AO$55,3,FALSE))</f>
        <v>0</v>
      </c>
      <c r="S12" s="4">
        <f>(VLOOKUP(' 6.0.00'!AA12,' 6.0.00'!$AM$4:$AO$55,3,FALSE))</f>
        <v>0</v>
      </c>
      <c r="T12" s="4">
        <f>(VLOOKUP(' 6.0.00'!AB12,' 6.0.00'!$AM$4:$AO$55,3,FALSE))</f>
        <v>0</v>
      </c>
      <c r="U12" s="4">
        <f>(VLOOKUP(' 6.0.00'!AC12,' 6.0.00'!$AM$4:$AO$55,3,FALSE))</f>
        <v>0</v>
      </c>
      <c r="V12" s="4">
        <f>(VLOOKUP(' 6.0.00'!AD12,' 6.0.00'!$AM$4:$AO$55,3,FALSE))</f>
        <v>0</v>
      </c>
      <c r="W12" s="5">
        <f>(VLOOKUP(' 6.0.00'!AE12,' 6.0.00'!$AM$4:$AO$55,3,FALSE))</f>
        <v>0</v>
      </c>
      <c r="X12" s="5">
        <f>(VLOOKUP(' 6.0.00'!AF12,' 6.0.00'!$AM$4:$AO$55,3,FALSE))</f>
        <v>0</v>
      </c>
    </row>
    <row r="13" spans="1:24">
      <c r="A13" s="4">
        <f>(VLOOKUP(' 6.0.00'!I13,' 6.0.00'!$AM$4:$AO$55,3,FALSE))</f>
        <v>0</v>
      </c>
      <c r="B13" s="4">
        <f>(VLOOKUP(' 6.0.00'!J13,' 6.0.00'!$AM$4:$AO$55,3,FALSE))</f>
        <v>0</v>
      </c>
      <c r="C13" s="4">
        <f>(VLOOKUP(' 6.0.00'!K13,' 6.0.00'!$AM$4:$AO$55,3,FALSE))</f>
        <v>0</v>
      </c>
      <c r="D13" s="4">
        <f>(VLOOKUP(' 6.0.00'!L13,' 6.0.00'!$AM$4:$AO$55,3,FALSE))</f>
        <v>0</v>
      </c>
      <c r="E13" s="4">
        <f>(VLOOKUP(' 6.0.00'!M13,' 6.0.00'!$AM$4:$AO$55,3,FALSE))</f>
        <v>0</v>
      </c>
      <c r="F13" s="4">
        <f>(VLOOKUP(' 6.0.00'!N13,' 6.0.00'!$AM$4:$AO$55,3,FALSE))</f>
        <v>0</v>
      </c>
      <c r="G13" s="5">
        <f>(VLOOKUP(' 6.0.00'!O13,' 6.0.00'!$AM$4:$AO$55,3,FALSE))</f>
        <v>0</v>
      </c>
      <c r="H13" s="5">
        <f>(VLOOKUP(' 6.0.00'!P13,' 6.0.00'!$AM$4:$AO$55,3,FALSE))</f>
        <v>0</v>
      </c>
      <c r="I13" s="4">
        <f>(VLOOKUP(' 6.0.00'!Q13,' 6.0.00'!$AM$4:$AO$55,3,FALSE))</f>
        <v>0</v>
      </c>
      <c r="J13" s="4">
        <f>(VLOOKUP(' 6.0.00'!R13,' 6.0.00'!$AM$4:$AO$55,3,FALSE))</f>
        <v>0</v>
      </c>
      <c r="K13" s="4">
        <f>(VLOOKUP(' 6.0.00'!S13,' 6.0.00'!$AM$4:$AO$55,3,FALSE))</f>
        <v>0</v>
      </c>
      <c r="L13" s="4">
        <f>(VLOOKUP(' 6.0.00'!T13,' 6.0.00'!$AM$4:$AO$55,3,FALSE))</f>
        <v>0</v>
      </c>
      <c r="M13" s="4">
        <f>(VLOOKUP(' 6.0.00'!U13,' 6.0.00'!$AM$4:$AO$55,3,FALSE))</f>
        <v>0</v>
      </c>
      <c r="N13" s="4">
        <f>(VLOOKUP(' 6.0.00'!V13,' 6.0.00'!$AM$4:$AO$55,3,FALSE))</f>
        <v>0</v>
      </c>
      <c r="O13" s="5">
        <f>(VLOOKUP(' 6.0.00'!W13,' 6.0.00'!$AM$4:$AO$55,3,FALSE))</f>
        <v>0</v>
      </c>
      <c r="P13" s="5">
        <f>(VLOOKUP(' 6.0.00'!X13,' 6.0.00'!$AM$4:$AO$55,3,FALSE))</f>
        <v>0</v>
      </c>
      <c r="Q13" s="4">
        <f>(VLOOKUP(' 6.0.00'!Y13,' 6.0.00'!$AM$4:$AO$55,3,FALSE))</f>
        <v>0</v>
      </c>
      <c r="R13" s="4">
        <f>(VLOOKUP(' 6.0.00'!Z13,' 6.0.00'!$AM$4:$AO$55,3,FALSE))</f>
        <v>0</v>
      </c>
      <c r="S13" s="4">
        <f>(VLOOKUP(' 6.0.00'!AA13,' 6.0.00'!$AM$4:$AO$55,3,FALSE))</f>
        <v>0</v>
      </c>
      <c r="T13" s="4">
        <f>(VLOOKUP(' 6.0.00'!AB13,' 6.0.00'!$AM$4:$AO$55,3,FALSE))</f>
        <v>0</v>
      </c>
      <c r="U13" s="4">
        <f>(VLOOKUP(' 6.0.00'!AC13,' 6.0.00'!$AM$4:$AO$55,3,FALSE))</f>
        <v>0</v>
      </c>
      <c r="V13" s="4">
        <f>(VLOOKUP(' 6.0.00'!AD13,' 6.0.00'!$AM$4:$AO$55,3,FALSE))</f>
        <v>0</v>
      </c>
      <c r="W13" s="5">
        <f>(VLOOKUP(' 6.0.00'!AE13,' 6.0.00'!$AM$4:$AO$55,3,FALSE))</f>
        <v>0</v>
      </c>
      <c r="X13" s="5">
        <f>(VLOOKUP(' 6.0.00'!AF13,' 6.0.00'!$AM$4:$AO$55,3,FALSE))</f>
        <v>0</v>
      </c>
    </row>
    <row r="14" spans="1:24">
      <c r="A14" s="4">
        <f>(VLOOKUP(' 6.0.00'!I14,' 6.0.00'!$AM$4:$AO$55,3,FALSE))</f>
        <v>0</v>
      </c>
      <c r="B14" s="4">
        <f>(VLOOKUP(' 6.0.00'!J14,' 6.0.00'!$AM$4:$AO$55,3,FALSE))</f>
        <v>0</v>
      </c>
      <c r="C14" s="4">
        <f>(VLOOKUP(' 6.0.00'!K14,' 6.0.00'!$AM$4:$AO$55,3,FALSE))</f>
        <v>0</v>
      </c>
      <c r="D14" s="4">
        <f>(VLOOKUP(' 6.0.00'!L14,' 6.0.00'!$AM$4:$AO$55,3,FALSE))</f>
        <v>0</v>
      </c>
      <c r="E14" s="4">
        <f>(VLOOKUP(' 6.0.00'!M14,' 6.0.00'!$AM$4:$AO$55,3,FALSE))</f>
        <v>0</v>
      </c>
      <c r="F14" s="4">
        <f>(VLOOKUP(' 6.0.00'!N14,' 6.0.00'!$AM$4:$AO$55,3,FALSE))</f>
        <v>0</v>
      </c>
      <c r="G14" s="5">
        <f>(VLOOKUP(' 6.0.00'!O14,' 6.0.00'!$AM$4:$AO$55,3,FALSE))</f>
        <v>0</v>
      </c>
      <c r="H14" s="5">
        <f>(VLOOKUP(' 6.0.00'!P14,' 6.0.00'!$AM$4:$AO$55,3,FALSE))</f>
        <v>0</v>
      </c>
      <c r="I14" s="4">
        <f>(VLOOKUP(' 6.0.00'!Q14,' 6.0.00'!$AM$4:$AO$55,3,FALSE))</f>
        <v>0</v>
      </c>
      <c r="J14" s="4">
        <f>(VLOOKUP(' 6.0.00'!R14,' 6.0.00'!$AM$4:$AO$55,3,FALSE))</f>
        <v>0</v>
      </c>
      <c r="K14" s="4">
        <f>(VLOOKUP(' 6.0.00'!S14,' 6.0.00'!$AM$4:$AO$55,3,FALSE))</f>
        <v>0</v>
      </c>
      <c r="L14" s="4">
        <f>(VLOOKUP(' 6.0.00'!T14,' 6.0.00'!$AM$4:$AO$55,3,FALSE))</f>
        <v>0</v>
      </c>
      <c r="M14" s="4">
        <f>(VLOOKUP(' 6.0.00'!U14,' 6.0.00'!$AM$4:$AO$55,3,FALSE))</f>
        <v>0</v>
      </c>
      <c r="N14" s="4">
        <f>(VLOOKUP(' 6.0.00'!V14,' 6.0.00'!$AM$4:$AO$55,3,FALSE))</f>
        <v>0</v>
      </c>
      <c r="O14" s="5">
        <f>(VLOOKUP(' 6.0.00'!W14,' 6.0.00'!$AM$4:$AO$55,3,FALSE))</f>
        <v>0</v>
      </c>
      <c r="P14" s="5">
        <f>(VLOOKUP(' 6.0.00'!X14,' 6.0.00'!$AM$4:$AO$55,3,FALSE))</f>
        <v>0</v>
      </c>
      <c r="Q14" s="4">
        <f>(VLOOKUP(' 6.0.00'!Y14,' 6.0.00'!$AM$4:$AO$55,3,FALSE))</f>
        <v>0</v>
      </c>
      <c r="R14" s="4">
        <f>(VLOOKUP(' 6.0.00'!Z14,' 6.0.00'!$AM$4:$AO$55,3,FALSE))</f>
        <v>0</v>
      </c>
      <c r="S14" s="4">
        <f>(VLOOKUP(' 6.0.00'!AA14,' 6.0.00'!$AM$4:$AO$55,3,FALSE))</f>
        <v>0</v>
      </c>
      <c r="T14" s="4">
        <f>(VLOOKUP(' 6.0.00'!AB14,' 6.0.00'!$AM$4:$AO$55,3,FALSE))</f>
        <v>0</v>
      </c>
      <c r="U14" s="4">
        <f>(VLOOKUP(' 6.0.00'!AC14,' 6.0.00'!$AM$4:$AO$55,3,FALSE))</f>
        <v>0</v>
      </c>
      <c r="V14" s="4">
        <f>(VLOOKUP(' 6.0.00'!AD14,' 6.0.00'!$AM$4:$AO$55,3,FALSE))</f>
        <v>0</v>
      </c>
      <c r="W14" s="5">
        <f>(VLOOKUP(' 6.0.00'!AE14,' 6.0.00'!$AM$4:$AO$55,3,FALSE))</f>
        <v>0</v>
      </c>
      <c r="X14" s="5">
        <f>(VLOOKUP(' 6.0.00'!AF14,' 6.0.00'!$AM$4:$AO$55,3,FALSE))</f>
        <v>0</v>
      </c>
    </row>
    <row r="15" spans="1:24">
      <c r="A15" s="4">
        <f>(VLOOKUP(' 6.0.00'!I15,' 6.0.00'!$AM$4:$AO$55,3,FALSE))</f>
        <v>0</v>
      </c>
      <c r="B15" s="4">
        <f>(VLOOKUP(' 6.0.00'!J15,' 6.0.00'!$AM$4:$AO$55,3,FALSE))</f>
        <v>0</v>
      </c>
      <c r="C15" s="4">
        <f>(VLOOKUP(' 6.0.00'!K15,' 6.0.00'!$AM$4:$AO$55,3,FALSE))</f>
        <v>0</v>
      </c>
      <c r="D15" s="4">
        <f>(VLOOKUP(' 6.0.00'!L15,' 6.0.00'!$AM$4:$AO$55,3,FALSE))</f>
        <v>0</v>
      </c>
      <c r="E15" s="4">
        <f>(VLOOKUP(' 6.0.00'!M15,' 6.0.00'!$AM$4:$AO$55,3,FALSE))</f>
        <v>0</v>
      </c>
      <c r="F15" s="4">
        <f>(VLOOKUP(' 6.0.00'!N15,' 6.0.00'!$AM$4:$AO$55,3,FALSE))</f>
        <v>0</v>
      </c>
      <c r="G15" s="5">
        <f>(VLOOKUP(' 6.0.00'!O15,' 6.0.00'!$AM$4:$AO$55,3,FALSE))</f>
        <v>0</v>
      </c>
      <c r="H15" s="5">
        <f>(VLOOKUP(' 6.0.00'!P15,' 6.0.00'!$AM$4:$AO$55,3,FALSE))</f>
        <v>0</v>
      </c>
      <c r="I15" s="4">
        <f>(VLOOKUP(' 6.0.00'!Q15,' 6.0.00'!$AM$4:$AO$55,3,FALSE))</f>
        <v>0</v>
      </c>
      <c r="J15" s="4">
        <f>(VLOOKUP(' 6.0.00'!R15,' 6.0.00'!$AM$4:$AO$55,3,FALSE))</f>
        <v>0</v>
      </c>
      <c r="K15" s="4">
        <f>(VLOOKUP(' 6.0.00'!S15,' 6.0.00'!$AM$4:$AO$55,3,FALSE))</f>
        <v>0</v>
      </c>
      <c r="L15" s="4">
        <f>(VLOOKUP(' 6.0.00'!T15,' 6.0.00'!$AM$4:$AO$55,3,FALSE))</f>
        <v>0</v>
      </c>
      <c r="M15" s="4">
        <f>(VLOOKUP(' 6.0.00'!U15,' 6.0.00'!$AM$4:$AO$55,3,FALSE))</f>
        <v>0</v>
      </c>
      <c r="N15" s="4">
        <f>(VLOOKUP(' 6.0.00'!V15,' 6.0.00'!$AM$4:$AO$55,3,FALSE))</f>
        <v>0</v>
      </c>
      <c r="O15" s="5">
        <f>(VLOOKUP(' 6.0.00'!W15,' 6.0.00'!$AM$4:$AO$55,3,FALSE))</f>
        <v>0</v>
      </c>
      <c r="P15" s="5">
        <f>(VLOOKUP(' 6.0.00'!X15,' 6.0.00'!$AM$4:$AO$55,3,FALSE))</f>
        <v>0</v>
      </c>
      <c r="Q15" s="4">
        <f>(VLOOKUP(' 6.0.00'!Y15,' 6.0.00'!$AM$4:$AO$55,3,FALSE))</f>
        <v>0</v>
      </c>
      <c r="R15" s="4">
        <f>(VLOOKUP(' 6.0.00'!Z15,' 6.0.00'!$AM$4:$AO$55,3,FALSE))</f>
        <v>0</v>
      </c>
      <c r="S15" s="4">
        <f>(VLOOKUP(' 6.0.00'!AA15,' 6.0.00'!$AM$4:$AO$55,3,FALSE))</f>
        <v>0</v>
      </c>
      <c r="T15" s="4">
        <f>(VLOOKUP(' 6.0.00'!AB15,' 6.0.00'!$AM$4:$AO$55,3,FALSE))</f>
        <v>0</v>
      </c>
      <c r="U15" s="4">
        <f>(VLOOKUP(' 6.0.00'!AC15,' 6.0.00'!$AM$4:$AO$55,3,FALSE))</f>
        <v>0</v>
      </c>
      <c r="V15" s="4">
        <f>(VLOOKUP(' 6.0.00'!AD15,' 6.0.00'!$AM$4:$AO$55,3,FALSE))</f>
        <v>0</v>
      </c>
      <c r="W15" s="5">
        <f>(VLOOKUP(' 6.0.00'!AE15,' 6.0.00'!$AM$4:$AO$55,3,FALSE))</f>
        <v>0</v>
      </c>
      <c r="X15" s="5">
        <f>(VLOOKUP(' 6.0.00'!AF15,' 6.0.00'!$AM$4:$AO$55,3,FALSE))</f>
        <v>0</v>
      </c>
    </row>
    <row r="16" spans="1:24">
      <c r="A16" s="4">
        <f>(VLOOKUP(' 6.0.00'!I16,' 6.0.00'!$AM$4:$AO$55,3,FALSE))</f>
        <v>0</v>
      </c>
      <c r="B16" s="4">
        <f>(VLOOKUP(' 6.0.00'!J16,' 6.0.00'!$AM$4:$AO$55,3,FALSE))</f>
        <v>0</v>
      </c>
      <c r="C16" s="4">
        <f>(VLOOKUP(' 6.0.00'!K16,' 6.0.00'!$AM$4:$AO$55,3,FALSE))</f>
        <v>0</v>
      </c>
      <c r="D16" s="4">
        <f>(VLOOKUP(' 6.0.00'!L16,' 6.0.00'!$AM$4:$AO$55,3,FALSE))</f>
        <v>0</v>
      </c>
      <c r="E16" s="4">
        <f>(VLOOKUP(' 6.0.00'!M16,' 6.0.00'!$AM$4:$AO$55,3,FALSE))</f>
        <v>0</v>
      </c>
      <c r="F16" s="4">
        <f>(VLOOKUP(' 6.0.00'!N16,' 6.0.00'!$AM$4:$AO$55,3,FALSE))</f>
        <v>0</v>
      </c>
      <c r="G16" s="5">
        <f>(VLOOKUP(' 6.0.00'!O16,' 6.0.00'!$AM$4:$AO$55,3,FALSE))</f>
        <v>0</v>
      </c>
      <c r="H16" s="5">
        <f>(VLOOKUP(' 6.0.00'!P16,' 6.0.00'!$AM$4:$AO$55,3,FALSE))</f>
        <v>0</v>
      </c>
      <c r="I16" s="4">
        <f>(VLOOKUP(' 6.0.00'!Q16,' 6.0.00'!$AM$4:$AO$55,3,FALSE))</f>
        <v>0</v>
      </c>
      <c r="J16" s="4">
        <f>(VLOOKUP(' 6.0.00'!R16,' 6.0.00'!$AM$4:$AO$55,3,FALSE))</f>
        <v>0</v>
      </c>
      <c r="K16" s="4">
        <f>(VLOOKUP(' 6.0.00'!S16,' 6.0.00'!$AM$4:$AO$55,3,FALSE))</f>
        <v>0</v>
      </c>
      <c r="L16" s="4">
        <f>(VLOOKUP(' 6.0.00'!T16,' 6.0.00'!$AM$4:$AO$55,3,FALSE))</f>
        <v>0</v>
      </c>
      <c r="M16" s="4">
        <f>(VLOOKUP(' 6.0.00'!U16,' 6.0.00'!$AM$4:$AO$55,3,FALSE))</f>
        <v>0</v>
      </c>
      <c r="N16" s="4">
        <f>(VLOOKUP(' 6.0.00'!V16,' 6.0.00'!$AM$4:$AO$55,3,FALSE))</f>
        <v>0</v>
      </c>
      <c r="O16" s="5">
        <f>(VLOOKUP(' 6.0.00'!W16,' 6.0.00'!$AM$4:$AO$55,3,FALSE))</f>
        <v>0</v>
      </c>
      <c r="P16" s="5">
        <f>(VLOOKUP(' 6.0.00'!X16,' 6.0.00'!$AM$4:$AO$55,3,FALSE))</f>
        <v>0</v>
      </c>
      <c r="Q16" s="4">
        <f>(VLOOKUP(' 6.0.00'!Y16,' 6.0.00'!$AM$4:$AO$55,3,FALSE))</f>
        <v>0</v>
      </c>
      <c r="R16" s="4">
        <f>(VLOOKUP(' 6.0.00'!Z16,' 6.0.00'!$AM$4:$AO$55,3,FALSE))</f>
        <v>0</v>
      </c>
      <c r="S16" s="4">
        <f>(VLOOKUP(' 6.0.00'!AA16,' 6.0.00'!$AM$4:$AO$55,3,FALSE))</f>
        <v>0</v>
      </c>
      <c r="T16" s="4">
        <f>(VLOOKUP(' 6.0.00'!AB16,' 6.0.00'!$AM$4:$AO$55,3,FALSE))</f>
        <v>0</v>
      </c>
      <c r="U16" s="4">
        <f>(VLOOKUP(' 6.0.00'!AC16,' 6.0.00'!$AM$4:$AO$55,3,FALSE))</f>
        <v>0</v>
      </c>
      <c r="V16" s="4">
        <f>(VLOOKUP(' 6.0.00'!AD16,' 6.0.00'!$AM$4:$AO$55,3,FALSE))</f>
        <v>0</v>
      </c>
      <c r="W16" s="5">
        <f>(VLOOKUP(' 6.0.00'!AE16,' 6.0.00'!$AM$4:$AO$55,3,FALSE))</f>
        <v>0</v>
      </c>
      <c r="X16" s="5">
        <f>(VLOOKUP(' 6.0.00'!AF16,' 6.0.00'!$AM$4:$AO$55,3,FALSE))</f>
        <v>0</v>
      </c>
    </row>
    <row r="17" spans="1:24">
      <c r="A17" s="4">
        <f>(VLOOKUP(' 6.0.00'!I17,' 6.0.00'!$AM$4:$AO$55,3,FALSE))</f>
        <v>0</v>
      </c>
      <c r="B17" s="4">
        <f>(VLOOKUP(' 6.0.00'!J17,' 6.0.00'!$AM$4:$AO$55,3,FALSE))</f>
        <v>0</v>
      </c>
      <c r="C17" s="4">
        <f>(VLOOKUP(' 6.0.00'!K17,' 6.0.00'!$AM$4:$AO$55,3,FALSE))</f>
        <v>0</v>
      </c>
      <c r="D17" s="4">
        <f>(VLOOKUP(' 6.0.00'!L17,' 6.0.00'!$AM$4:$AO$55,3,FALSE))</f>
        <v>0</v>
      </c>
      <c r="E17" s="4">
        <f>(VLOOKUP(' 6.0.00'!M17,' 6.0.00'!$AM$4:$AO$55,3,FALSE))</f>
        <v>0</v>
      </c>
      <c r="F17" s="4">
        <f>(VLOOKUP(' 6.0.00'!N17,' 6.0.00'!$AM$4:$AO$55,3,FALSE))</f>
        <v>0</v>
      </c>
      <c r="G17" s="5">
        <f>(VLOOKUP(' 6.0.00'!O17,' 6.0.00'!$AM$4:$AO$55,3,FALSE))</f>
        <v>0</v>
      </c>
      <c r="H17" s="5">
        <f>(VLOOKUP(' 6.0.00'!P17,' 6.0.00'!$AM$4:$AO$55,3,FALSE))</f>
        <v>0</v>
      </c>
      <c r="I17" s="4">
        <f>(VLOOKUP(' 6.0.00'!Q17,' 6.0.00'!$AM$4:$AO$55,3,FALSE))</f>
        <v>0</v>
      </c>
      <c r="J17" s="4">
        <f>(VLOOKUP(' 6.0.00'!R17,' 6.0.00'!$AM$4:$AO$55,3,FALSE))</f>
        <v>0</v>
      </c>
      <c r="K17" s="4">
        <f>(VLOOKUP(' 6.0.00'!S17,' 6.0.00'!$AM$4:$AO$55,3,FALSE))</f>
        <v>0</v>
      </c>
      <c r="L17" s="4">
        <f>(VLOOKUP(' 6.0.00'!T17,' 6.0.00'!$AM$4:$AO$55,3,FALSE))</f>
        <v>0</v>
      </c>
      <c r="M17" s="4">
        <f>(VLOOKUP(' 6.0.00'!U17,' 6.0.00'!$AM$4:$AO$55,3,FALSE))</f>
        <v>0</v>
      </c>
      <c r="N17" s="4">
        <f>(VLOOKUP(' 6.0.00'!V17,' 6.0.00'!$AM$4:$AO$55,3,FALSE))</f>
        <v>0</v>
      </c>
      <c r="O17" s="5">
        <f>(VLOOKUP(' 6.0.00'!W17,' 6.0.00'!$AM$4:$AO$55,3,FALSE))</f>
        <v>0</v>
      </c>
      <c r="P17" s="5">
        <f>(VLOOKUP(' 6.0.00'!X17,' 6.0.00'!$AM$4:$AO$55,3,FALSE))</f>
        <v>0</v>
      </c>
      <c r="Q17" s="4">
        <f>(VLOOKUP(' 6.0.00'!Y17,' 6.0.00'!$AM$4:$AO$55,3,FALSE))</f>
        <v>0</v>
      </c>
      <c r="R17" s="4">
        <f>(VLOOKUP(' 6.0.00'!Z17,' 6.0.00'!$AM$4:$AO$55,3,FALSE))</f>
        <v>0</v>
      </c>
      <c r="S17" s="4">
        <f>(VLOOKUP(' 6.0.00'!AA17,' 6.0.00'!$AM$4:$AO$55,3,FALSE))</f>
        <v>0</v>
      </c>
      <c r="T17" s="4">
        <f>(VLOOKUP(' 6.0.00'!AB17,' 6.0.00'!$AM$4:$AO$55,3,FALSE))</f>
        <v>0</v>
      </c>
      <c r="U17" s="4">
        <f>(VLOOKUP(' 6.0.00'!AC17,' 6.0.00'!$AM$4:$AO$55,3,FALSE))</f>
        <v>0</v>
      </c>
      <c r="V17" s="4">
        <f>(VLOOKUP(' 6.0.00'!AD17,' 6.0.00'!$AM$4:$AO$55,3,FALSE))</f>
        <v>0</v>
      </c>
      <c r="W17" s="5">
        <f>(VLOOKUP(' 6.0.00'!AE17,' 6.0.00'!$AM$4:$AO$55,3,FALSE))</f>
        <v>0</v>
      </c>
      <c r="X17" s="5">
        <f>(VLOOKUP(' 6.0.00'!AF17,' 6.0.00'!$AM$4:$AO$55,3,FALSE))</f>
        <v>0</v>
      </c>
    </row>
    <row r="18" spans="1:24">
      <c r="A18" s="4">
        <f>(VLOOKUP(' 6.0.00'!I18,' 6.0.00'!$AM$4:$AO$55,3,FALSE))</f>
        <v>0</v>
      </c>
      <c r="B18" s="4">
        <f>(VLOOKUP(' 6.0.00'!J18,' 6.0.00'!$AM$4:$AO$55,3,FALSE))</f>
        <v>0</v>
      </c>
      <c r="C18" s="4">
        <f>(VLOOKUP(' 6.0.00'!K18,' 6.0.00'!$AM$4:$AO$55,3,FALSE))</f>
        <v>0</v>
      </c>
      <c r="D18" s="4">
        <f>(VLOOKUP(' 6.0.00'!L18,' 6.0.00'!$AM$4:$AO$55,3,FALSE))</f>
        <v>0</v>
      </c>
      <c r="E18" s="4">
        <f>(VLOOKUP(' 6.0.00'!M18,' 6.0.00'!$AM$4:$AO$55,3,FALSE))</f>
        <v>0</v>
      </c>
      <c r="F18" s="4">
        <f>(VLOOKUP(' 6.0.00'!N18,' 6.0.00'!$AM$4:$AO$55,3,FALSE))</f>
        <v>0</v>
      </c>
      <c r="G18" s="5">
        <f>(VLOOKUP(' 6.0.00'!O18,' 6.0.00'!$AM$4:$AO$55,3,FALSE))</f>
        <v>0</v>
      </c>
      <c r="H18" s="5">
        <f>(VLOOKUP(' 6.0.00'!P18,' 6.0.00'!$AM$4:$AO$55,3,FALSE))</f>
        <v>0</v>
      </c>
      <c r="I18" s="4">
        <f>(VLOOKUP(' 6.0.00'!Q18,' 6.0.00'!$AM$4:$AO$55,3,FALSE))</f>
        <v>0</v>
      </c>
      <c r="J18" s="4">
        <f>(VLOOKUP(' 6.0.00'!R18,' 6.0.00'!$AM$4:$AO$55,3,FALSE))</f>
        <v>0</v>
      </c>
      <c r="K18" s="4">
        <f>(VLOOKUP(' 6.0.00'!S18,' 6.0.00'!$AM$4:$AO$55,3,FALSE))</f>
        <v>0</v>
      </c>
      <c r="L18" s="4">
        <f>(VLOOKUP(' 6.0.00'!T18,' 6.0.00'!$AM$4:$AO$55,3,FALSE))</f>
        <v>0</v>
      </c>
      <c r="M18" s="4">
        <f>(VLOOKUP(' 6.0.00'!U18,' 6.0.00'!$AM$4:$AO$55,3,FALSE))</f>
        <v>0</v>
      </c>
      <c r="N18" s="4">
        <f>(VLOOKUP(' 6.0.00'!V18,' 6.0.00'!$AM$4:$AO$55,3,FALSE))</f>
        <v>0</v>
      </c>
      <c r="O18" s="5">
        <f>(VLOOKUP(' 6.0.00'!W18,' 6.0.00'!$AM$4:$AO$55,3,FALSE))</f>
        <v>0</v>
      </c>
      <c r="P18" s="5">
        <f>(VLOOKUP(' 6.0.00'!X18,' 6.0.00'!$AM$4:$AO$55,3,FALSE))</f>
        <v>0</v>
      </c>
      <c r="Q18" s="4">
        <f>(VLOOKUP(' 6.0.00'!Y18,' 6.0.00'!$AM$4:$AO$55,3,FALSE))</f>
        <v>0</v>
      </c>
      <c r="R18" s="4">
        <f>(VLOOKUP(' 6.0.00'!Z18,' 6.0.00'!$AM$4:$AO$55,3,FALSE))</f>
        <v>0</v>
      </c>
      <c r="S18" s="4">
        <f>(VLOOKUP(' 6.0.00'!AA18,' 6.0.00'!$AM$4:$AO$55,3,FALSE))</f>
        <v>0</v>
      </c>
      <c r="T18" s="4">
        <f>(VLOOKUP(' 6.0.00'!AB18,' 6.0.00'!$AM$4:$AO$55,3,FALSE))</f>
        <v>0</v>
      </c>
      <c r="U18" s="4">
        <f>(VLOOKUP(' 6.0.00'!AC18,' 6.0.00'!$AM$4:$AO$55,3,FALSE))</f>
        <v>0</v>
      </c>
      <c r="V18" s="4">
        <f>(VLOOKUP(' 6.0.00'!AD18,' 6.0.00'!$AM$4:$AO$55,3,FALSE))</f>
        <v>0</v>
      </c>
      <c r="W18" s="5">
        <f>(VLOOKUP(' 6.0.00'!AE18,' 6.0.00'!$AM$4:$AO$55,3,FALSE))</f>
        <v>0</v>
      </c>
      <c r="X18" s="5">
        <f>(VLOOKUP(' 6.0.00'!AF18,' 6.0.00'!$AM$4:$AO$55,3,FALSE))</f>
        <v>0</v>
      </c>
    </row>
    <row r="19" spans="1:24">
      <c r="A19" s="4">
        <f>(VLOOKUP(' 6.0.00'!I19,' 6.0.00'!$AM$4:$AO$55,3,FALSE))</f>
        <v>0</v>
      </c>
      <c r="B19" s="4">
        <f>(VLOOKUP(' 6.0.00'!J19,' 6.0.00'!$AM$4:$AO$55,3,FALSE))</f>
        <v>0</v>
      </c>
      <c r="C19" s="4">
        <f>(VLOOKUP(' 6.0.00'!K19,' 6.0.00'!$AM$4:$AO$55,3,FALSE))</f>
        <v>0</v>
      </c>
      <c r="D19" s="4">
        <f>(VLOOKUP(' 6.0.00'!L19,' 6.0.00'!$AM$4:$AO$55,3,FALSE))</f>
        <v>0</v>
      </c>
      <c r="E19" s="4">
        <f>(VLOOKUP(' 6.0.00'!M19,' 6.0.00'!$AM$4:$AO$55,3,FALSE))</f>
        <v>0</v>
      </c>
      <c r="F19" s="4">
        <f>(VLOOKUP(' 6.0.00'!N19,' 6.0.00'!$AM$4:$AO$55,3,FALSE))</f>
        <v>0</v>
      </c>
      <c r="G19" s="5">
        <f>(VLOOKUP(' 6.0.00'!O19,' 6.0.00'!$AM$4:$AO$55,3,FALSE))</f>
        <v>0</v>
      </c>
      <c r="H19" s="5">
        <f>(VLOOKUP(' 6.0.00'!P19,' 6.0.00'!$AM$4:$AO$55,3,FALSE))</f>
        <v>0</v>
      </c>
      <c r="I19" s="4">
        <f>(VLOOKUP(' 6.0.00'!Q19,' 6.0.00'!$AM$4:$AO$55,3,FALSE))</f>
        <v>0</v>
      </c>
      <c r="J19" s="4">
        <f>(VLOOKUP(' 6.0.00'!R19,' 6.0.00'!$AM$4:$AO$55,3,FALSE))</f>
        <v>0</v>
      </c>
      <c r="K19" s="4">
        <f>(VLOOKUP(' 6.0.00'!S19,' 6.0.00'!$AM$4:$AO$55,3,FALSE))</f>
        <v>0</v>
      </c>
      <c r="L19" s="4">
        <f>(VLOOKUP(' 6.0.00'!T19,' 6.0.00'!$AM$4:$AO$55,3,FALSE))</f>
        <v>0</v>
      </c>
      <c r="M19" s="4">
        <f>(VLOOKUP(' 6.0.00'!U19,' 6.0.00'!$AM$4:$AO$55,3,FALSE))</f>
        <v>0</v>
      </c>
      <c r="N19" s="4">
        <f>(VLOOKUP(' 6.0.00'!V19,' 6.0.00'!$AM$4:$AO$55,3,FALSE))</f>
        <v>0</v>
      </c>
      <c r="O19" s="5">
        <f>(VLOOKUP(' 6.0.00'!W19,' 6.0.00'!$AM$4:$AO$55,3,FALSE))</f>
        <v>0</v>
      </c>
      <c r="P19" s="5">
        <f>(VLOOKUP(' 6.0.00'!X19,' 6.0.00'!$AM$4:$AO$55,3,FALSE))</f>
        <v>0</v>
      </c>
      <c r="Q19" s="4">
        <f>(VLOOKUP(' 6.0.00'!Y19,' 6.0.00'!$AM$4:$AO$55,3,FALSE))</f>
        <v>0</v>
      </c>
      <c r="R19" s="4">
        <f>(VLOOKUP(' 6.0.00'!Z19,' 6.0.00'!$AM$4:$AO$55,3,FALSE))</f>
        <v>0</v>
      </c>
      <c r="S19" s="4">
        <f>(VLOOKUP(' 6.0.00'!AA19,' 6.0.00'!$AM$4:$AO$55,3,FALSE))</f>
        <v>0</v>
      </c>
      <c r="T19" s="4">
        <f>(VLOOKUP(' 6.0.00'!AB19,' 6.0.00'!$AM$4:$AO$55,3,FALSE))</f>
        <v>0</v>
      </c>
      <c r="U19" s="4">
        <f>(VLOOKUP(' 6.0.00'!AC19,' 6.0.00'!$AM$4:$AO$55,3,FALSE))</f>
        <v>0</v>
      </c>
      <c r="V19" s="4">
        <f>(VLOOKUP(' 6.0.00'!AD19,' 6.0.00'!$AM$4:$AO$55,3,FALSE))</f>
        <v>0</v>
      </c>
      <c r="W19" s="5">
        <f>(VLOOKUP(' 6.0.00'!AE19,' 6.0.00'!$AM$4:$AO$55,3,FALSE))</f>
        <v>0</v>
      </c>
      <c r="X19" s="5">
        <f>(VLOOKUP(' 6.0.00'!AF19,' 6.0.00'!$AM$4:$AO$55,3,FALSE))</f>
        <v>0</v>
      </c>
    </row>
    <row r="20" spans="1:24">
      <c r="A20" s="4">
        <f>(VLOOKUP(' 6.0.00'!I20,' 6.0.00'!$AM$4:$AO$55,3,FALSE))</f>
        <v>0</v>
      </c>
      <c r="B20" s="4">
        <f>(VLOOKUP(' 6.0.00'!J20,' 6.0.00'!$AM$4:$AO$55,3,FALSE))</f>
        <v>0</v>
      </c>
      <c r="C20" s="4">
        <f>(VLOOKUP(' 6.0.00'!K20,' 6.0.00'!$AM$4:$AO$55,3,FALSE))</f>
        <v>0</v>
      </c>
      <c r="D20" s="4">
        <f>(VLOOKUP(' 6.0.00'!L20,' 6.0.00'!$AM$4:$AO$55,3,FALSE))</f>
        <v>0</v>
      </c>
      <c r="E20" s="4">
        <f>(VLOOKUP(' 6.0.00'!M20,' 6.0.00'!$AM$4:$AO$55,3,FALSE))</f>
        <v>0</v>
      </c>
      <c r="F20" s="4">
        <f>(VLOOKUP(' 6.0.00'!N20,' 6.0.00'!$AM$4:$AO$55,3,FALSE))</f>
        <v>0</v>
      </c>
      <c r="G20" s="5">
        <f>(VLOOKUP(' 6.0.00'!O20,' 6.0.00'!$AM$4:$AO$55,3,FALSE))</f>
        <v>0</v>
      </c>
      <c r="H20" s="5">
        <f>(VLOOKUP(' 6.0.00'!P20,' 6.0.00'!$AM$4:$AO$55,3,FALSE))</f>
        <v>0</v>
      </c>
      <c r="I20" s="4">
        <f>(VLOOKUP(' 6.0.00'!Q20,' 6.0.00'!$AM$4:$AO$55,3,FALSE))</f>
        <v>0</v>
      </c>
      <c r="J20" s="4">
        <f>(VLOOKUP(' 6.0.00'!R20,' 6.0.00'!$AM$4:$AO$55,3,FALSE))</f>
        <v>0</v>
      </c>
      <c r="K20" s="4">
        <f>(VLOOKUP(' 6.0.00'!S20,' 6.0.00'!$AM$4:$AO$55,3,FALSE))</f>
        <v>0</v>
      </c>
      <c r="L20" s="4">
        <f>(VLOOKUP(' 6.0.00'!T20,' 6.0.00'!$AM$4:$AO$55,3,FALSE))</f>
        <v>0</v>
      </c>
      <c r="M20" s="4">
        <f>(VLOOKUP(' 6.0.00'!U20,' 6.0.00'!$AM$4:$AO$55,3,FALSE))</f>
        <v>0</v>
      </c>
      <c r="N20" s="4">
        <f>(VLOOKUP(' 6.0.00'!V20,' 6.0.00'!$AM$4:$AO$55,3,FALSE))</f>
        <v>0</v>
      </c>
      <c r="O20" s="5">
        <f>(VLOOKUP(' 6.0.00'!W20,' 6.0.00'!$AM$4:$AO$55,3,FALSE))</f>
        <v>0</v>
      </c>
      <c r="P20" s="5">
        <f>(VLOOKUP(' 6.0.00'!X20,' 6.0.00'!$AM$4:$AO$55,3,FALSE))</f>
        <v>0</v>
      </c>
      <c r="Q20" s="4">
        <f>(VLOOKUP(' 6.0.00'!Y20,' 6.0.00'!$AM$4:$AO$55,3,FALSE))</f>
        <v>0</v>
      </c>
      <c r="R20" s="4">
        <f>(VLOOKUP(' 6.0.00'!Z20,' 6.0.00'!$AM$4:$AO$55,3,FALSE))</f>
        <v>0</v>
      </c>
      <c r="S20" s="4">
        <f>(VLOOKUP(' 6.0.00'!AA20,' 6.0.00'!$AM$4:$AO$55,3,FALSE))</f>
        <v>0</v>
      </c>
      <c r="T20" s="4">
        <f>(VLOOKUP(' 6.0.00'!AB20,' 6.0.00'!$AM$4:$AO$55,3,FALSE))</f>
        <v>0</v>
      </c>
      <c r="U20" s="4">
        <f>(VLOOKUP(' 6.0.00'!AC20,' 6.0.00'!$AM$4:$AO$55,3,FALSE))</f>
        <v>0</v>
      </c>
      <c r="V20" s="4">
        <f>(VLOOKUP(' 6.0.00'!AD20,' 6.0.00'!$AM$4:$AO$55,3,FALSE))</f>
        <v>0</v>
      </c>
      <c r="W20" s="5">
        <f>(VLOOKUP(' 6.0.00'!AE20,' 6.0.00'!$AM$4:$AO$55,3,FALSE))</f>
        <v>0</v>
      </c>
      <c r="X20" s="5">
        <f>(VLOOKUP(' 6.0.00'!AF20,' 6.0.00'!$AM$4:$AO$55,3,FALSE))</f>
        <v>0</v>
      </c>
    </row>
    <row r="21" spans="1:24">
      <c r="A21" s="4">
        <f>(VLOOKUP(' 6.0.00'!I21,' 6.0.00'!$AM$4:$AO$55,3,FALSE))</f>
        <v>0</v>
      </c>
      <c r="B21" s="4">
        <f>(VLOOKUP(' 6.0.00'!J21,' 6.0.00'!$AM$4:$AO$55,3,FALSE))</f>
        <v>0</v>
      </c>
      <c r="C21" s="4">
        <f>(VLOOKUP(' 6.0.00'!K21,' 6.0.00'!$AM$4:$AO$55,3,FALSE))</f>
        <v>0</v>
      </c>
      <c r="D21" s="4">
        <f>(VLOOKUP(' 6.0.00'!L21,' 6.0.00'!$AM$4:$AO$55,3,FALSE))</f>
        <v>0</v>
      </c>
      <c r="E21" s="4">
        <f>(VLOOKUP(' 6.0.00'!M21,' 6.0.00'!$AM$4:$AO$55,3,FALSE))</f>
        <v>0</v>
      </c>
      <c r="F21" s="4">
        <f>(VLOOKUP(' 6.0.00'!N21,' 6.0.00'!$AM$4:$AO$55,3,FALSE))</f>
        <v>0</v>
      </c>
      <c r="G21" s="5">
        <f>(VLOOKUP(' 6.0.00'!O21,' 6.0.00'!$AM$4:$AO$55,3,FALSE))</f>
        <v>0</v>
      </c>
      <c r="H21" s="5">
        <f>(VLOOKUP(' 6.0.00'!P21,' 6.0.00'!$AM$4:$AO$55,3,FALSE))</f>
        <v>0</v>
      </c>
      <c r="I21" s="4">
        <f>(VLOOKUP(' 6.0.00'!Q21,' 6.0.00'!$AM$4:$AO$55,3,FALSE))</f>
        <v>0</v>
      </c>
      <c r="J21" s="4">
        <f>(VLOOKUP(' 6.0.00'!R21,' 6.0.00'!$AM$4:$AO$55,3,FALSE))</f>
        <v>0</v>
      </c>
      <c r="K21" s="4">
        <f>(VLOOKUP(' 6.0.00'!S21,' 6.0.00'!$AM$4:$AO$55,3,FALSE))</f>
        <v>0</v>
      </c>
      <c r="L21" s="4">
        <f>(VLOOKUP(' 6.0.00'!T21,' 6.0.00'!$AM$4:$AO$55,3,FALSE))</f>
        <v>0</v>
      </c>
      <c r="M21" s="4">
        <f>(VLOOKUP(' 6.0.00'!U21,' 6.0.00'!$AM$4:$AO$55,3,FALSE))</f>
        <v>0</v>
      </c>
      <c r="N21" s="4">
        <f>(VLOOKUP(' 6.0.00'!V21,' 6.0.00'!$AM$4:$AO$55,3,FALSE))</f>
        <v>0</v>
      </c>
      <c r="O21" s="5">
        <f>(VLOOKUP(' 6.0.00'!W21,' 6.0.00'!$AM$4:$AO$55,3,FALSE))</f>
        <v>0</v>
      </c>
      <c r="P21" s="5">
        <f>(VLOOKUP(' 6.0.00'!X21,' 6.0.00'!$AM$4:$AO$55,3,FALSE))</f>
        <v>0</v>
      </c>
      <c r="Q21" s="4">
        <f>(VLOOKUP(' 6.0.00'!Y21,' 6.0.00'!$AM$4:$AO$55,3,FALSE))</f>
        <v>0</v>
      </c>
      <c r="R21" s="4">
        <f>(VLOOKUP(' 6.0.00'!Z21,' 6.0.00'!$AM$4:$AO$55,3,FALSE))</f>
        <v>0</v>
      </c>
      <c r="S21" s="4">
        <f>(VLOOKUP(' 6.0.00'!AA21,' 6.0.00'!$AM$4:$AO$55,3,FALSE))</f>
        <v>0</v>
      </c>
      <c r="T21" s="4">
        <f>(VLOOKUP(' 6.0.00'!AB21,' 6.0.00'!$AM$4:$AO$55,3,FALSE))</f>
        <v>0</v>
      </c>
      <c r="U21" s="4">
        <f>(VLOOKUP(' 6.0.00'!AC21,' 6.0.00'!$AM$4:$AO$55,3,FALSE))</f>
        <v>0</v>
      </c>
      <c r="V21" s="4">
        <f>(VLOOKUP(' 6.0.00'!AD21,' 6.0.00'!$AM$4:$AO$55,3,FALSE))</f>
        <v>0</v>
      </c>
      <c r="W21" s="5">
        <f>(VLOOKUP(' 6.0.00'!AE21,' 6.0.00'!$AM$4:$AO$55,3,FALSE))</f>
        <v>0</v>
      </c>
      <c r="X21" s="5">
        <f>(VLOOKUP(' 6.0.00'!AF21,' 6.0.00'!$AM$4:$AO$55,3,FALSE))</f>
        <v>0</v>
      </c>
    </row>
    <row r="22" spans="1:24">
      <c r="A22" s="4">
        <f>(VLOOKUP(' 6.0.00'!I22,' 6.0.00'!$AM$4:$AO$55,3,FALSE))</f>
        <v>0</v>
      </c>
      <c r="B22" s="4">
        <f>(VLOOKUP(' 6.0.00'!J22,' 6.0.00'!$AM$4:$AO$55,3,FALSE))</f>
        <v>0</v>
      </c>
      <c r="C22" s="4">
        <f>(VLOOKUP(' 6.0.00'!K22,' 6.0.00'!$AM$4:$AO$55,3,FALSE))</f>
        <v>0</v>
      </c>
      <c r="D22" s="4">
        <f>(VLOOKUP(' 6.0.00'!L22,' 6.0.00'!$AM$4:$AO$55,3,FALSE))</f>
        <v>0</v>
      </c>
      <c r="E22" s="4">
        <f>(VLOOKUP(' 6.0.00'!M22,' 6.0.00'!$AM$4:$AO$55,3,FALSE))</f>
        <v>0</v>
      </c>
      <c r="F22" s="4">
        <f>(VLOOKUP(' 6.0.00'!N22,' 6.0.00'!$AM$4:$AO$55,3,FALSE))</f>
        <v>0</v>
      </c>
      <c r="G22" s="5">
        <f>(VLOOKUP(' 6.0.00'!O22,' 6.0.00'!$AM$4:$AO$55,3,FALSE))</f>
        <v>0</v>
      </c>
      <c r="H22" s="5">
        <f>(VLOOKUP(' 6.0.00'!P22,' 6.0.00'!$AM$4:$AO$55,3,FALSE))</f>
        <v>0</v>
      </c>
      <c r="I22" s="4">
        <f>(VLOOKUP(' 6.0.00'!Q22,' 6.0.00'!$AM$4:$AO$55,3,FALSE))</f>
        <v>0</v>
      </c>
      <c r="J22" s="4">
        <f>(VLOOKUP(' 6.0.00'!R22,' 6.0.00'!$AM$4:$AO$55,3,FALSE))</f>
        <v>0</v>
      </c>
      <c r="K22" s="4">
        <f>(VLOOKUP(' 6.0.00'!S22,' 6.0.00'!$AM$4:$AO$55,3,FALSE))</f>
        <v>0</v>
      </c>
      <c r="L22" s="4">
        <f>(VLOOKUP(' 6.0.00'!T22,' 6.0.00'!$AM$4:$AO$55,3,FALSE))</f>
        <v>0</v>
      </c>
      <c r="M22" s="4">
        <f>(VLOOKUP(' 6.0.00'!U22,' 6.0.00'!$AM$4:$AO$55,3,FALSE))</f>
        <v>0</v>
      </c>
      <c r="N22" s="4">
        <f>(VLOOKUP(' 6.0.00'!V22,' 6.0.00'!$AM$4:$AO$55,3,FALSE))</f>
        <v>0</v>
      </c>
      <c r="O22" s="5">
        <f>(VLOOKUP(' 6.0.00'!W22,' 6.0.00'!$AM$4:$AO$55,3,FALSE))</f>
        <v>0</v>
      </c>
      <c r="P22" s="5">
        <f>(VLOOKUP(' 6.0.00'!X22,' 6.0.00'!$AM$4:$AO$55,3,FALSE))</f>
        <v>0</v>
      </c>
      <c r="Q22" s="4">
        <f>(VLOOKUP(' 6.0.00'!Y22,' 6.0.00'!$AM$4:$AO$55,3,FALSE))</f>
        <v>0</v>
      </c>
      <c r="R22" s="4">
        <f>(VLOOKUP(' 6.0.00'!Z22,' 6.0.00'!$AM$4:$AO$55,3,FALSE))</f>
        <v>0</v>
      </c>
      <c r="S22" s="4">
        <f>(VLOOKUP(' 6.0.00'!AA22,' 6.0.00'!$AM$4:$AO$55,3,FALSE))</f>
        <v>0</v>
      </c>
      <c r="T22" s="4">
        <f>(VLOOKUP(' 6.0.00'!AB22,' 6.0.00'!$AM$4:$AO$55,3,FALSE))</f>
        <v>0</v>
      </c>
      <c r="U22" s="4">
        <f>(VLOOKUP(' 6.0.00'!AC22,' 6.0.00'!$AM$4:$AO$55,3,FALSE))</f>
        <v>0</v>
      </c>
      <c r="V22" s="4">
        <f>(VLOOKUP(' 6.0.00'!AD22,' 6.0.00'!$AM$4:$AO$55,3,FALSE))</f>
        <v>0</v>
      </c>
      <c r="W22" s="5">
        <f>(VLOOKUP(' 6.0.00'!AE22,' 6.0.00'!$AM$4:$AO$55,3,FALSE))</f>
        <v>0</v>
      </c>
      <c r="X22" s="5">
        <f>(VLOOKUP(' 6.0.00'!AF22,' 6.0.00'!$AM$4:$AO$55,3,FALSE))</f>
        <v>0</v>
      </c>
    </row>
    <row r="23" spans="1:24">
      <c r="A23" s="4">
        <f>(VLOOKUP(' 6.0.00'!I23,' 6.0.00'!$AM$4:$AO$55,3,FALSE))</f>
        <v>0</v>
      </c>
      <c r="B23" s="4">
        <f>(VLOOKUP(' 6.0.00'!J23,' 6.0.00'!$AM$4:$AO$55,3,FALSE))</f>
        <v>0</v>
      </c>
      <c r="C23" s="4">
        <f>(VLOOKUP(' 6.0.00'!K23,' 6.0.00'!$AM$4:$AO$55,3,FALSE))</f>
        <v>0</v>
      </c>
      <c r="D23" s="4">
        <f>(VLOOKUP(' 6.0.00'!L23,' 6.0.00'!$AM$4:$AO$55,3,FALSE))</f>
        <v>0</v>
      </c>
      <c r="E23" s="4">
        <f>(VLOOKUP(' 6.0.00'!M23,' 6.0.00'!$AM$4:$AO$55,3,FALSE))</f>
        <v>0</v>
      </c>
      <c r="F23" s="4">
        <f>(VLOOKUP(' 6.0.00'!N23,' 6.0.00'!$AM$4:$AO$55,3,FALSE))</f>
        <v>0</v>
      </c>
      <c r="G23" s="5">
        <f>(VLOOKUP(' 6.0.00'!O23,' 6.0.00'!$AM$4:$AO$55,3,FALSE))</f>
        <v>0</v>
      </c>
      <c r="H23" s="5">
        <f>(VLOOKUP(' 6.0.00'!P23,' 6.0.00'!$AM$4:$AO$55,3,FALSE))</f>
        <v>0</v>
      </c>
      <c r="I23" s="4">
        <f>(VLOOKUP(' 6.0.00'!Q23,' 6.0.00'!$AM$4:$AO$55,3,FALSE))</f>
        <v>0</v>
      </c>
      <c r="J23" s="4">
        <f>(VLOOKUP(' 6.0.00'!R23,' 6.0.00'!$AM$4:$AO$55,3,FALSE))</f>
        <v>0</v>
      </c>
      <c r="K23" s="4">
        <f>(VLOOKUP(' 6.0.00'!S23,' 6.0.00'!$AM$4:$AO$55,3,FALSE))</f>
        <v>0</v>
      </c>
      <c r="L23" s="4">
        <f>(VLOOKUP(' 6.0.00'!T23,' 6.0.00'!$AM$4:$AO$55,3,FALSE))</f>
        <v>0</v>
      </c>
      <c r="M23" s="4">
        <f>(VLOOKUP(' 6.0.00'!U23,' 6.0.00'!$AM$4:$AO$55,3,FALSE))</f>
        <v>0</v>
      </c>
      <c r="N23" s="4">
        <f>(VLOOKUP(' 6.0.00'!V23,' 6.0.00'!$AM$4:$AO$55,3,FALSE))</f>
        <v>0</v>
      </c>
      <c r="O23" s="5">
        <f>(VLOOKUP(' 6.0.00'!W23,' 6.0.00'!$AM$4:$AO$55,3,FALSE))</f>
        <v>0</v>
      </c>
      <c r="P23" s="5">
        <f>(VLOOKUP(' 6.0.00'!X23,' 6.0.00'!$AM$4:$AO$55,3,FALSE))</f>
        <v>0</v>
      </c>
      <c r="Q23" s="4">
        <f>(VLOOKUP(' 6.0.00'!Y23,' 6.0.00'!$AM$4:$AO$55,3,FALSE))</f>
        <v>0</v>
      </c>
      <c r="R23" s="4">
        <f>(VLOOKUP(' 6.0.00'!Z23,' 6.0.00'!$AM$4:$AO$55,3,FALSE))</f>
        <v>0</v>
      </c>
      <c r="S23" s="4">
        <f>(VLOOKUP(' 6.0.00'!AA23,' 6.0.00'!$AM$4:$AO$55,3,FALSE))</f>
        <v>0</v>
      </c>
      <c r="T23" s="4">
        <f>(VLOOKUP(' 6.0.00'!AB23,' 6.0.00'!$AM$4:$AO$55,3,FALSE))</f>
        <v>0</v>
      </c>
      <c r="U23" s="4">
        <f>(VLOOKUP(' 6.0.00'!AC23,' 6.0.00'!$AM$4:$AO$55,3,FALSE))</f>
        <v>0</v>
      </c>
      <c r="V23" s="4">
        <f>(VLOOKUP(' 6.0.00'!AD23,' 6.0.00'!$AM$4:$AO$55,3,FALSE))</f>
        <v>0</v>
      </c>
      <c r="W23" s="5">
        <f>(VLOOKUP(' 6.0.00'!AE23,' 6.0.00'!$AM$4:$AO$55,3,FALSE))</f>
        <v>0</v>
      </c>
      <c r="X23" s="5">
        <f>(VLOOKUP(' 6.0.00'!AF23,' 6.0.00'!$AM$4:$AO$55,3,FALSE))</f>
        <v>0</v>
      </c>
    </row>
    <row r="24" spans="1:24">
      <c r="A24" s="4">
        <f>(VLOOKUP(' 6.0.00'!I24,' 6.0.00'!$AM$4:$AO$55,3,FALSE))</f>
        <v>0</v>
      </c>
      <c r="B24" s="4">
        <f>(VLOOKUP(' 6.0.00'!J24,' 6.0.00'!$AM$4:$AO$55,3,FALSE))</f>
        <v>0</v>
      </c>
      <c r="C24" s="4">
        <f>(VLOOKUP(' 6.0.00'!K24,' 6.0.00'!$AM$4:$AO$55,3,FALSE))</f>
        <v>0</v>
      </c>
      <c r="D24" s="4">
        <f>(VLOOKUP(' 6.0.00'!L24,' 6.0.00'!$AM$4:$AO$55,3,FALSE))</f>
        <v>0</v>
      </c>
      <c r="E24" s="4">
        <f>(VLOOKUP(' 6.0.00'!M24,' 6.0.00'!$AM$4:$AO$55,3,FALSE))</f>
        <v>0</v>
      </c>
      <c r="F24" s="4">
        <f>(VLOOKUP(' 6.0.00'!N24,' 6.0.00'!$AM$4:$AO$55,3,FALSE))</f>
        <v>0</v>
      </c>
      <c r="G24" s="5">
        <f>(VLOOKUP(' 6.0.00'!O24,' 6.0.00'!$AM$4:$AO$55,3,FALSE))</f>
        <v>0</v>
      </c>
      <c r="H24" s="5">
        <f>(VLOOKUP(' 6.0.00'!P24,' 6.0.00'!$AM$4:$AO$55,3,FALSE))</f>
        <v>0</v>
      </c>
      <c r="I24" s="4">
        <f>(VLOOKUP(' 6.0.00'!Q24,' 6.0.00'!$AM$4:$AO$55,3,FALSE))</f>
        <v>0</v>
      </c>
      <c r="J24" s="4">
        <f>(VLOOKUP(' 6.0.00'!R24,' 6.0.00'!$AM$4:$AO$55,3,FALSE))</f>
        <v>0</v>
      </c>
      <c r="K24" s="4">
        <f>(VLOOKUP(' 6.0.00'!S24,' 6.0.00'!$AM$4:$AO$55,3,FALSE))</f>
        <v>0</v>
      </c>
      <c r="L24" s="4">
        <f>(VLOOKUP(' 6.0.00'!T24,' 6.0.00'!$AM$4:$AO$55,3,FALSE))</f>
        <v>0</v>
      </c>
      <c r="M24" s="4">
        <f>(VLOOKUP(' 6.0.00'!U24,' 6.0.00'!$AM$4:$AO$55,3,FALSE))</f>
        <v>0</v>
      </c>
      <c r="N24" s="4">
        <f>(VLOOKUP(' 6.0.00'!V24,' 6.0.00'!$AM$4:$AO$55,3,FALSE))</f>
        <v>0</v>
      </c>
      <c r="O24" s="5">
        <f>(VLOOKUP(' 6.0.00'!W24,' 6.0.00'!$AM$4:$AO$55,3,FALSE))</f>
        <v>0</v>
      </c>
      <c r="P24" s="5">
        <f>(VLOOKUP(' 6.0.00'!X24,' 6.0.00'!$AM$4:$AO$55,3,FALSE))</f>
        <v>0</v>
      </c>
      <c r="Q24" s="4">
        <f>(VLOOKUP(' 6.0.00'!Y24,' 6.0.00'!$AM$4:$AO$55,3,FALSE))</f>
        <v>0</v>
      </c>
      <c r="R24" s="4">
        <f>(VLOOKUP(' 6.0.00'!Z24,' 6.0.00'!$AM$4:$AO$55,3,FALSE))</f>
        <v>0</v>
      </c>
      <c r="S24" s="4">
        <f>(VLOOKUP(' 6.0.00'!AA24,' 6.0.00'!$AM$4:$AO$55,3,FALSE))</f>
        <v>0</v>
      </c>
      <c r="T24" s="4">
        <f>(VLOOKUP(' 6.0.00'!AB24,' 6.0.00'!$AM$4:$AO$55,3,FALSE))</f>
        <v>0</v>
      </c>
      <c r="U24" s="4">
        <f>(VLOOKUP(' 6.0.00'!AC24,' 6.0.00'!$AM$4:$AO$55,3,FALSE))</f>
        <v>0</v>
      </c>
      <c r="V24" s="4">
        <f>(VLOOKUP(' 6.0.00'!AD24,' 6.0.00'!$AM$4:$AO$55,3,FALSE))</f>
        <v>0</v>
      </c>
      <c r="W24" s="5">
        <f>(VLOOKUP(' 6.0.00'!AE24,' 6.0.00'!$AM$4:$AO$55,3,FALSE))</f>
        <v>0</v>
      </c>
      <c r="X24" s="5">
        <f>(VLOOKUP(' 6.0.00'!AF24,' 6.0.00'!$AM$4:$AO$55,3,FALSE))</f>
        <v>0</v>
      </c>
    </row>
    <row r="25" spans="1:24">
      <c r="A25" s="4">
        <f>(VLOOKUP(' 6.0.00'!I25,' 6.0.00'!$AM$4:$AO$55,3,FALSE))</f>
        <v>0</v>
      </c>
      <c r="B25" s="4">
        <f>(VLOOKUP(' 6.0.00'!J25,' 6.0.00'!$AM$4:$AO$55,3,FALSE))</f>
        <v>0</v>
      </c>
      <c r="C25" s="4">
        <f>(VLOOKUP(' 6.0.00'!K25,' 6.0.00'!$AM$4:$AO$55,3,FALSE))</f>
        <v>0</v>
      </c>
      <c r="D25" s="4">
        <f>(VLOOKUP(' 6.0.00'!L25,' 6.0.00'!$AM$4:$AO$55,3,FALSE))</f>
        <v>0</v>
      </c>
      <c r="E25" s="4">
        <f>(VLOOKUP(' 6.0.00'!M25,' 6.0.00'!$AM$4:$AO$55,3,FALSE))</f>
        <v>0</v>
      </c>
      <c r="F25" s="4">
        <f>(VLOOKUP(' 6.0.00'!N25,' 6.0.00'!$AM$4:$AO$55,3,FALSE))</f>
        <v>0</v>
      </c>
      <c r="G25" s="5">
        <f>(VLOOKUP(' 6.0.00'!O25,' 6.0.00'!$AM$4:$AO$55,3,FALSE))</f>
        <v>0</v>
      </c>
      <c r="H25" s="5">
        <f>(VLOOKUP(' 6.0.00'!P25,' 6.0.00'!$AM$4:$AO$55,3,FALSE))</f>
        <v>0</v>
      </c>
      <c r="I25" s="4">
        <f>(VLOOKUP(' 6.0.00'!Q25,' 6.0.00'!$AM$4:$AO$55,3,FALSE))</f>
        <v>0</v>
      </c>
      <c r="J25" s="4">
        <f>(VLOOKUP(' 6.0.00'!R25,' 6.0.00'!$AM$4:$AO$55,3,FALSE))</f>
        <v>0</v>
      </c>
      <c r="K25" s="4">
        <f>(VLOOKUP(' 6.0.00'!S25,' 6.0.00'!$AM$4:$AO$55,3,FALSE))</f>
        <v>0</v>
      </c>
      <c r="L25" s="4">
        <f>(VLOOKUP(' 6.0.00'!T25,' 6.0.00'!$AM$4:$AO$55,3,FALSE))</f>
        <v>0</v>
      </c>
      <c r="M25" s="4">
        <f>(VLOOKUP(' 6.0.00'!U25,' 6.0.00'!$AM$4:$AO$55,3,FALSE))</f>
        <v>0</v>
      </c>
      <c r="N25" s="4">
        <f>(VLOOKUP(' 6.0.00'!V25,' 6.0.00'!$AM$4:$AO$55,3,FALSE))</f>
        <v>0</v>
      </c>
      <c r="O25" s="5">
        <f>(VLOOKUP(' 6.0.00'!W25,' 6.0.00'!$AM$4:$AO$55,3,FALSE))</f>
        <v>0</v>
      </c>
      <c r="P25" s="5">
        <f>(VLOOKUP(' 6.0.00'!X25,' 6.0.00'!$AM$4:$AO$55,3,FALSE))</f>
        <v>0</v>
      </c>
      <c r="Q25" s="4">
        <f>(VLOOKUP(' 6.0.00'!Y25,' 6.0.00'!$AM$4:$AO$55,3,FALSE))</f>
        <v>0</v>
      </c>
      <c r="R25" s="4">
        <f>(VLOOKUP(' 6.0.00'!Z25,' 6.0.00'!$AM$4:$AO$55,3,FALSE))</f>
        <v>0</v>
      </c>
      <c r="S25" s="4">
        <f>(VLOOKUP(' 6.0.00'!AA25,' 6.0.00'!$AM$4:$AO$55,3,FALSE))</f>
        <v>0</v>
      </c>
      <c r="T25" s="4">
        <f>(VLOOKUP(' 6.0.00'!AB25,' 6.0.00'!$AM$4:$AO$55,3,FALSE))</f>
        <v>0</v>
      </c>
      <c r="U25" s="4">
        <f>(VLOOKUP(' 6.0.00'!AC25,' 6.0.00'!$AM$4:$AO$55,3,FALSE))</f>
        <v>0</v>
      </c>
      <c r="V25" s="4">
        <f>(VLOOKUP(' 6.0.00'!AD25,' 6.0.00'!$AM$4:$AO$55,3,FALSE))</f>
        <v>0</v>
      </c>
      <c r="W25" s="5">
        <f>(VLOOKUP(' 6.0.00'!AE25,' 6.0.00'!$AM$4:$AO$55,3,FALSE))</f>
        <v>0</v>
      </c>
      <c r="X25" s="5">
        <f>(VLOOKUP(' 6.0.00'!AF25,' 6.0.00'!$AM$4:$AO$55,3,FALSE))</f>
        <v>0</v>
      </c>
    </row>
    <row r="26" spans="1:24">
      <c r="A26" s="4">
        <f>(VLOOKUP(' 6.0.00'!I26,' 6.0.00'!$AM$4:$AO$55,3,FALSE))</f>
        <v>0</v>
      </c>
      <c r="B26" s="4">
        <f>(VLOOKUP(' 6.0.00'!J26,' 6.0.00'!$AM$4:$AO$55,3,FALSE))</f>
        <v>0</v>
      </c>
      <c r="C26" s="4">
        <f>(VLOOKUP(' 6.0.00'!K26,' 6.0.00'!$AM$4:$AO$55,3,FALSE))</f>
        <v>0</v>
      </c>
      <c r="D26" s="4">
        <f>(VLOOKUP(' 6.0.00'!L26,' 6.0.00'!$AM$4:$AO$55,3,FALSE))</f>
        <v>0</v>
      </c>
      <c r="E26" s="4">
        <f>(VLOOKUP(' 6.0.00'!M26,' 6.0.00'!$AM$4:$AO$55,3,FALSE))</f>
        <v>0</v>
      </c>
      <c r="F26" s="4">
        <f>(VLOOKUP(' 6.0.00'!N26,' 6.0.00'!$AM$4:$AO$55,3,FALSE))</f>
        <v>0</v>
      </c>
      <c r="G26" s="5">
        <f>(VLOOKUP(' 6.0.00'!O26,' 6.0.00'!$AM$4:$AO$55,3,FALSE))</f>
        <v>0</v>
      </c>
      <c r="H26" s="5">
        <f>(VLOOKUP(' 6.0.00'!P26,' 6.0.00'!$AM$4:$AO$55,3,FALSE))</f>
        <v>0</v>
      </c>
      <c r="I26" s="4">
        <f>(VLOOKUP(' 6.0.00'!Q26,' 6.0.00'!$AM$4:$AO$55,3,FALSE))</f>
        <v>0</v>
      </c>
      <c r="J26" s="4">
        <f>(VLOOKUP(' 6.0.00'!R26,' 6.0.00'!$AM$4:$AO$55,3,FALSE))</f>
        <v>0</v>
      </c>
      <c r="K26" s="4">
        <f>(VLOOKUP(' 6.0.00'!S26,' 6.0.00'!$AM$4:$AO$55,3,FALSE))</f>
        <v>0</v>
      </c>
      <c r="L26" s="4">
        <f>(VLOOKUP(' 6.0.00'!T26,' 6.0.00'!$AM$4:$AO$55,3,FALSE))</f>
        <v>0</v>
      </c>
      <c r="M26" s="4">
        <f>(VLOOKUP(' 6.0.00'!U26,' 6.0.00'!$AM$4:$AO$55,3,FALSE))</f>
        <v>0</v>
      </c>
      <c r="N26" s="4">
        <f>(VLOOKUP(' 6.0.00'!V26,' 6.0.00'!$AM$4:$AO$55,3,FALSE))</f>
        <v>0</v>
      </c>
      <c r="O26" s="5">
        <f>(VLOOKUP(' 6.0.00'!W26,' 6.0.00'!$AM$4:$AO$55,3,FALSE))</f>
        <v>0</v>
      </c>
      <c r="P26" s="5">
        <f>(VLOOKUP(' 6.0.00'!X26,' 6.0.00'!$AM$4:$AO$55,3,FALSE))</f>
        <v>0</v>
      </c>
      <c r="Q26" s="4">
        <f>(VLOOKUP(' 6.0.00'!Y26,' 6.0.00'!$AM$4:$AO$55,3,FALSE))</f>
        <v>0</v>
      </c>
      <c r="R26" s="4">
        <f>(VLOOKUP(' 6.0.00'!Z26,' 6.0.00'!$AM$4:$AO$55,3,FALSE))</f>
        <v>0</v>
      </c>
      <c r="S26" s="4">
        <f>(VLOOKUP(' 6.0.00'!AA26,' 6.0.00'!$AM$4:$AO$55,3,FALSE))</f>
        <v>0</v>
      </c>
      <c r="T26" s="4">
        <f>(VLOOKUP(' 6.0.00'!AB26,' 6.0.00'!$AM$4:$AO$55,3,FALSE))</f>
        <v>0</v>
      </c>
      <c r="U26" s="4">
        <f>(VLOOKUP(' 6.0.00'!AC26,' 6.0.00'!$AM$4:$AO$55,3,FALSE))</f>
        <v>0</v>
      </c>
      <c r="V26" s="4">
        <f>(VLOOKUP(' 6.0.00'!AD26,' 6.0.00'!$AM$4:$AO$55,3,FALSE))</f>
        <v>0</v>
      </c>
      <c r="W26" s="5">
        <f>(VLOOKUP(' 6.0.00'!AE26,' 6.0.00'!$AM$4:$AO$55,3,FALSE))</f>
        <v>0</v>
      </c>
      <c r="X26" s="5">
        <f>(VLOOKUP(' 6.0.00'!AF26,' 6.0.00'!$AM$4:$AO$55,3,FALSE))</f>
        <v>0</v>
      </c>
    </row>
    <row r="27" spans="1:24">
      <c r="A27" s="4">
        <f>(VLOOKUP(' 6.0.00'!I27,' 6.0.00'!$AM$4:$AO$55,3,FALSE))</f>
        <v>0</v>
      </c>
      <c r="B27" s="4">
        <f>(VLOOKUP(' 6.0.00'!J27,' 6.0.00'!$AM$4:$AO$55,3,FALSE))</f>
        <v>0</v>
      </c>
      <c r="C27" s="4">
        <f>(VLOOKUP(' 6.0.00'!K27,' 6.0.00'!$AM$4:$AO$55,3,FALSE))</f>
        <v>0</v>
      </c>
      <c r="D27" s="4">
        <f>(VLOOKUP(' 6.0.00'!L27,' 6.0.00'!$AM$4:$AO$55,3,FALSE))</f>
        <v>0</v>
      </c>
      <c r="E27" s="4">
        <f>(VLOOKUP(' 6.0.00'!M27,' 6.0.00'!$AM$4:$AO$55,3,FALSE))</f>
        <v>0</v>
      </c>
      <c r="F27" s="4">
        <f>(VLOOKUP(' 6.0.00'!N27,' 6.0.00'!$AM$4:$AO$55,3,FALSE))</f>
        <v>0</v>
      </c>
      <c r="G27" s="5">
        <f>(VLOOKUP(' 6.0.00'!O27,' 6.0.00'!$AM$4:$AO$55,3,FALSE))</f>
        <v>0</v>
      </c>
      <c r="H27" s="5">
        <f>(VLOOKUP(' 6.0.00'!P27,' 6.0.00'!$AM$4:$AO$55,3,FALSE))</f>
        <v>0</v>
      </c>
      <c r="I27" s="4">
        <f>(VLOOKUP(' 6.0.00'!Q27,' 6.0.00'!$AM$4:$AO$55,3,FALSE))</f>
        <v>0</v>
      </c>
      <c r="J27" s="4">
        <f>(VLOOKUP(' 6.0.00'!R27,' 6.0.00'!$AM$4:$AO$55,3,FALSE))</f>
        <v>0</v>
      </c>
      <c r="K27" s="4">
        <f>(VLOOKUP(' 6.0.00'!S27,' 6.0.00'!$AM$4:$AO$55,3,FALSE))</f>
        <v>0</v>
      </c>
      <c r="L27" s="4">
        <f>(VLOOKUP(' 6.0.00'!T27,' 6.0.00'!$AM$4:$AO$55,3,FALSE))</f>
        <v>0</v>
      </c>
      <c r="M27" s="4">
        <f>(VLOOKUP(' 6.0.00'!U27,' 6.0.00'!$AM$4:$AO$55,3,FALSE))</f>
        <v>0</v>
      </c>
      <c r="N27" s="4">
        <f>(VLOOKUP(' 6.0.00'!V27,' 6.0.00'!$AM$4:$AO$55,3,FALSE))</f>
        <v>0</v>
      </c>
      <c r="O27" s="5">
        <f>(VLOOKUP(' 6.0.00'!W27,' 6.0.00'!$AM$4:$AO$55,3,FALSE))</f>
        <v>0</v>
      </c>
      <c r="P27" s="5">
        <f>(VLOOKUP(' 6.0.00'!X27,' 6.0.00'!$AM$4:$AO$55,3,FALSE))</f>
        <v>0</v>
      </c>
      <c r="Q27" s="4">
        <f>(VLOOKUP(' 6.0.00'!Y27,' 6.0.00'!$AM$4:$AO$55,3,FALSE))</f>
        <v>0</v>
      </c>
      <c r="R27" s="4">
        <f>(VLOOKUP(' 6.0.00'!Z27,' 6.0.00'!$AM$4:$AO$55,3,FALSE))</f>
        <v>0</v>
      </c>
      <c r="S27" s="4">
        <f>(VLOOKUP(' 6.0.00'!AA27,' 6.0.00'!$AM$4:$AO$55,3,FALSE))</f>
        <v>0</v>
      </c>
      <c r="T27" s="4">
        <f>(VLOOKUP(' 6.0.00'!AB27,' 6.0.00'!$AM$4:$AO$55,3,FALSE))</f>
        <v>0</v>
      </c>
      <c r="U27" s="4">
        <f>(VLOOKUP(' 6.0.00'!AC27,' 6.0.00'!$AM$4:$AO$55,3,FALSE))</f>
        <v>0</v>
      </c>
      <c r="V27" s="4">
        <f>(VLOOKUP(' 6.0.00'!AD27,' 6.0.00'!$AM$4:$AO$55,3,FALSE))</f>
        <v>0</v>
      </c>
      <c r="W27" s="5">
        <f>(VLOOKUP(' 6.0.00'!AE27,' 6.0.00'!$AM$4:$AO$55,3,FALSE))</f>
        <v>0</v>
      </c>
      <c r="X27" s="5">
        <f>(VLOOKUP(' 6.0.00'!AF27,' 6.0.00'!$AM$4:$AO$55,3,FALSE))</f>
        <v>0</v>
      </c>
    </row>
    <row r="28" spans="1:24">
      <c r="A28" s="4">
        <f>(VLOOKUP(' 6.0.00'!I28,' 6.0.00'!$AM$4:$AO$55,3,FALSE))</f>
        <v>0</v>
      </c>
      <c r="B28" s="4">
        <f>(VLOOKUP(' 6.0.00'!J28,' 6.0.00'!$AM$4:$AO$55,3,FALSE))</f>
        <v>0</v>
      </c>
      <c r="C28" s="4">
        <f>(VLOOKUP(' 6.0.00'!K28,' 6.0.00'!$AM$4:$AO$55,3,FALSE))</f>
        <v>0</v>
      </c>
      <c r="D28" s="4">
        <f>(VLOOKUP(' 6.0.00'!L28,' 6.0.00'!$AM$4:$AO$55,3,FALSE))</f>
        <v>0</v>
      </c>
      <c r="E28" s="4">
        <f>(VLOOKUP(' 6.0.00'!M28,' 6.0.00'!$AM$4:$AO$55,3,FALSE))</f>
        <v>0</v>
      </c>
      <c r="F28" s="4">
        <f>(VLOOKUP(' 6.0.00'!N28,' 6.0.00'!$AM$4:$AO$55,3,FALSE))</f>
        <v>0</v>
      </c>
      <c r="G28" s="5">
        <f>(VLOOKUP(' 6.0.00'!O28,' 6.0.00'!$AM$4:$AO$55,3,FALSE))</f>
        <v>0</v>
      </c>
      <c r="H28" s="5">
        <f>(VLOOKUP(' 6.0.00'!P28,' 6.0.00'!$AM$4:$AO$55,3,FALSE))</f>
        <v>0</v>
      </c>
      <c r="I28" s="4">
        <f>(VLOOKUP(' 6.0.00'!Q28,' 6.0.00'!$AM$4:$AO$55,3,FALSE))</f>
        <v>0</v>
      </c>
      <c r="J28" s="4">
        <f>(VLOOKUP(' 6.0.00'!R28,' 6.0.00'!$AM$4:$AO$55,3,FALSE))</f>
        <v>0</v>
      </c>
      <c r="K28" s="4">
        <f>(VLOOKUP(' 6.0.00'!S28,' 6.0.00'!$AM$4:$AO$55,3,FALSE))</f>
        <v>0</v>
      </c>
      <c r="L28" s="4">
        <f>(VLOOKUP(' 6.0.00'!T28,' 6.0.00'!$AM$4:$AO$55,3,FALSE))</f>
        <v>0</v>
      </c>
      <c r="M28" s="4">
        <f>(VLOOKUP(' 6.0.00'!U28,' 6.0.00'!$AM$4:$AO$55,3,FALSE))</f>
        <v>0</v>
      </c>
      <c r="N28" s="4">
        <f>(VLOOKUP(' 6.0.00'!V28,' 6.0.00'!$AM$4:$AO$55,3,FALSE))</f>
        <v>0</v>
      </c>
      <c r="O28" s="5">
        <f>(VLOOKUP(' 6.0.00'!W28,' 6.0.00'!$AM$4:$AO$55,3,FALSE))</f>
        <v>0</v>
      </c>
      <c r="P28" s="5">
        <f>(VLOOKUP(' 6.0.00'!X28,' 6.0.00'!$AM$4:$AO$55,3,FALSE))</f>
        <v>0</v>
      </c>
      <c r="Q28" s="4">
        <f>(VLOOKUP(' 6.0.00'!Y28,' 6.0.00'!$AM$4:$AO$55,3,FALSE))</f>
        <v>0</v>
      </c>
      <c r="R28" s="4">
        <f>(VLOOKUP(' 6.0.00'!Z28,' 6.0.00'!$AM$4:$AO$55,3,FALSE))</f>
        <v>0</v>
      </c>
      <c r="S28" s="4">
        <f>(VLOOKUP(' 6.0.00'!AA28,' 6.0.00'!$AM$4:$AO$55,3,FALSE))</f>
        <v>0</v>
      </c>
      <c r="T28" s="4">
        <f>(VLOOKUP(' 6.0.00'!AB28,' 6.0.00'!$AM$4:$AO$55,3,FALSE))</f>
        <v>0</v>
      </c>
      <c r="U28" s="4">
        <f>(VLOOKUP(' 6.0.00'!AC28,' 6.0.00'!$AM$4:$AO$55,3,FALSE))</f>
        <v>0</v>
      </c>
      <c r="V28" s="4">
        <f>(VLOOKUP(' 6.0.00'!AD28,' 6.0.00'!$AM$4:$AO$55,3,FALSE))</f>
        <v>0</v>
      </c>
      <c r="W28" s="5">
        <f>(VLOOKUP(' 6.0.00'!AE28,' 6.0.00'!$AM$4:$AO$55,3,FALSE))</f>
        <v>0</v>
      </c>
      <c r="X28" s="5">
        <f>(VLOOKUP(' 6.0.00'!AF28,' 6.0.00'!$AM$4:$AO$55,3,FALSE))</f>
        <v>0</v>
      </c>
    </row>
    <row r="29" spans="1:24">
      <c r="A29" s="4">
        <f>(VLOOKUP(' 6.0.00'!I29,' 6.0.00'!$AM$4:$AO$55,3,FALSE))</f>
        <v>0</v>
      </c>
      <c r="B29" s="4">
        <f>(VLOOKUP(' 6.0.00'!J29,' 6.0.00'!$AM$4:$AO$55,3,FALSE))</f>
        <v>0</v>
      </c>
      <c r="C29" s="4">
        <f>(VLOOKUP(' 6.0.00'!K29,' 6.0.00'!$AM$4:$AO$55,3,FALSE))</f>
        <v>0</v>
      </c>
      <c r="D29" s="4">
        <f>(VLOOKUP(' 6.0.00'!L29,' 6.0.00'!$AM$4:$AO$55,3,FALSE))</f>
        <v>0</v>
      </c>
      <c r="E29" s="4">
        <f>(VLOOKUP(' 6.0.00'!M29,' 6.0.00'!$AM$4:$AO$55,3,FALSE))</f>
        <v>0</v>
      </c>
      <c r="F29" s="4">
        <f>(VLOOKUP(' 6.0.00'!N29,' 6.0.00'!$AM$4:$AO$55,3,FALSE))</f>
        <v>0</v>
      </c>
      <c r="G29" s="5">
        <f>(VLOOKUP(' 6.0.00'!O29,' 6.0.00'!$AM$4:$AO$55,3,FALSE))</f>
        <v>0</v>
      </c>
      <c r="H29" s="5">
        <f>(VLOOKUP(' 6.0.00'!P29,' 6.0.00'!$AM$4:$AO$55,3,FALSE))</f>
        <v>0</v>
      </c>
      <c r="I29" s="4">
        <f>(VLOOKUP(' 6.0.00'!Q29,' 6.0.00'!$AM$4:$AO$55,3,FALSE))</f>
        <v>0</v>
      </c>
      <c r="J29" s="4">
        <f>(VLOOKUP(' 6.0.00'!R29,' 6.0.00'!$AM$4:$AO$55,3,FALSE))</f>
        <v>0</v>
      </c>
      <c r="K29" s="4">
        <f>(VLOOKUP(' 6.0.00'!S29,' 6.0.00'!$AM$4:$AO$55,3,FALSE))</f>
        <v>0</v>
      </c>
      <c r="L29" s="4">
        <f>(VLOOKUP(' 6.0.00'!T29,' 6.0.00'!$AM$4:$AO$55,3,FALSE))</f>
        <v>0</v>
      </c>
      <c r="M29" s="4">
        <f>(VLOOKUP(' 6.0.00'!U29,' 6.0.00'!$AM$4:$AO$55,3,FALSE))</f>
        <v>0</v>
      </c>
      <c r="N29" s="4">
        <f>(VLOOKUP(' 6.0.00'!V29,' 6.0.00'!$AM$4:$AO$55,3,FALSE))</f>
        <v>0</v>
      </c>
      <c r="O29" s="5">
        <f>(VLOOKUP(' 6.0.00'!W29,' 6.0.00'!$AM$4:$AO$55,3,FALSE))</f>
        <v>0</v>
      </c>
      <c r="P29" s="5">
        <f>(VLOOKUP(' 6.0.00'!X29,' 6.0.00'!$AM$4:$AO$55,3,FALSE))</f>
        <v>0</v>
      </c>
      <c r="Q29" s="4">
        <f>(VLOOKUP(' 6.0.00'!Y29,' 6.0.00'!$AM$4:$AO$55,3,FALSE))</f>
        <v>0</v>
      </c>
      <c r="R29" s="4">
        <f>(VLOOKUP(' 6.0.00'!Z29,' 6.0.00'!$AM$4:$AO$55,3,FALSE))</f>
        <v>0</v>
      </c>
      <c r="S29" s="4">
        <f>(VLOOKUP(' 6.0.00'!AA29,' 6.0.00'!$AM$4:$AO$55,3,FALSE))</f>
        <v>0</v>
      </c>
      <c r="T29" s="4">
        <f>(VLOOKUP(' 6.0.00'!AB29,' 6.0.00'!$AM$4:$AO$55,3,FALSE))</f>
        <v>0</v>
      </c>
      <c r="U29" s="4">
        <f>(VLOOKUP(' 6.0.00'!AC29,' 6.0.00'!$AM$4:$AO$55,3,FALSE))</f>
        <v>0</v>
      </c>
      <c r="V29" s="4">
        <f>(VLOOKUP(' 6.0.00'!AD29,' 6.0.00'!$AM$4:$AO$55,3,FALSE))</f>
        <v>0</v>
      </c>
      <c r="W29" s="5">
        <f>(VLOOKUP(' 6.0.00'!AE29,' 6.0.00'!$AM$4:$AO$55,3,FALSE))</f>
        <v>0</v>
      </c>
      <c r="X29" s="5">
        <f>(VLOOKUP(' 6.0.00'!AF29,' 6.0.00'!$AM$4:$AO$55,3,FALSE))</f>
        <v>0</v>
      </c>
    </row>
    <row r="30" spans="1:24">
      <c r="A30" s="4">
        <f>(VLOOKUP(' 6.0.00'!I30,' 6.0.00'!$AM$4:$AO$55,3,FALSE))</f>
        <v>0</v>
      </c>
      <c r="B30" s="4">
        <f>(VLOOKUP(' 6.0.00'!J30,' 6.0.00'!$AM$4:$AO$55,3,FALSE))</f>
        <v>0</v>
      </c>
      <c r="C30" s="4">
        <f>(VLOOKUP(' 6.0.00'!K30,' 6.0.00'!$AM$4:$AO$55,3,FALSE))</f>
        <v>0</v>
      </c>
      <c r="D30" s="4">
        <f>(VLOOKUP(' 6.0.00'!L30,' 6.0.00'!$AM$4:$AO$55,3,FALSE))</f>
        <v>0</v>
      </c>
      <c r="E30" s="4">
        <f>(VLOOKUP(' 6.0.00'!M30,' 6.0.00'!$AM$4:$AO$55,3,FALSE))</f>
        <v>0</v>
      </c>
      <c r="F30" s="4">
        <f>(VLOOKUP(' 6.0.00'!N30,' 6.0.00'!$AM$4:$AO$55,3,FALSE))</f>
        <v>0</v>
      </c>
      <c r="G30" s="5">
        <f>(VLOOKUP(' 6.0.00'!O30,' 6.0.00'!$AM$4:$AO$55,3,FALSE))</f>
        <v>0</v>
      </c>
      <c r="H30" s="5">
        <f>(VLOOKUP(' 6.0.00'!P30,' 6.0.00'!$AM$4:$AO$55,3,FALSE))</f>
        <v>0</v>
      </c>
      <c r="I30" s="4">
        <f>(VLOOKUP(' 6.0.00'!Q30,' 6.0.00'!$AM$4:$AO$55,3,FALSE))</f>
        <v>0</v>
      </c>
      <c r="J30" s="4">
        <f>(VLOOKUP(' 6.0.00'!R30,' 6.0.00'!$AM$4:$AO$55,3,FALSE))</f>
        <v>0</v>
      </c>
      <c r="K30" s="4">
        <f>(VLOOKUP(' 6.0.00'!S30,' 6.0.00'!$AM$4:$AO$55,3,FALSE))</f>
        <v>0</v>
      </c>
      <c r="L30" s="4">
        <f>(VLOOKUP(' 6.0.00'!T30,' 6.0.00'!$AM$4:$AO$55,3,FALSE))</f>
        <v>0</v>
      </c>
      <c r="M30" s="4">
        <f>(VLOOKUP(' 6.0.00'!U30,' 6.0.00'!$AM$4:$AO$55,3,FALSE))</f>
        <v>0</v>
      </c>
      <c r="N30" s="4">
        <f>(VLOOKUP(' 6.0.00'!V30,' 6.0.00'!$AM$4:$AO$55,3,FALSE))</f>
        <v>0</v>
      </c>
      <c r="O30" s="5">
        <f>(VLOOKUP(' 6.0.00'!W30,' 6.0.00'!$AM$4:$AO$55,3,FALSE))</f>
        <v>0</v>
      </c>
      <c r="P30" s="5">
        <f>(VLOOKUP(' 6.0.00'!X30,' 6.0.00'!$AM$4:$AO$55,3,FALSE))</f>
        <v>0</v>
      </c>
      <c r="Q30" s="4">
        <f>(VLOOKUP(' 6.0.00'!Y30,' 6.0.00'!$AM$4:$AO$55,3,FALSE))</f>
        <v>0</v>
      </c>
      <c r="R30" s="4">
        <f>(VLOOKUP(' 6.0.00'!Z30,' 6.0.00'!$AM$4:$AO$55,3,FALSE))</f>
        <v>0</v>
      </c>
      <c r="S30" s="4">
        <f>(VLOOKUP(' 6.0.00'!AA30,' 6.0.00'!$AM$4:$AO$55,3,FALSE))</f>
        <v>0</v>
      </c>
      <c r="T30" s="4">
        <f>(VLOOKUP(' 6.0.00'!AB30,' 6.0.00'!$AM$4:$AO$55,3,FALSE))</f>
        <v>0</v>
      </c>
      <c r="U30" s="4">
        <f>(VLOOKUP(' 6.0.00'!AC30,' 6.0.00'!$AM$4:$AO$55,3,FALSE))</f>
        <v>0</v>
      </c>
      <c r="V30" s="4">
        <f>(VLOOKUP(' 6.0.00'!AD30,' 6.0.00'!$AM$4:$AO$55,3,FALSE))</f>
        <v>0</v>
      </c>
      <c r="W30" s="5">
        <f>(VLOOKUP(' 6.0.00'!AE30,' 6.0.00'!$AM$4:$AO$55,3,FALSE))</f>
        <v>0</v>
      </c>
      <c r="X30" s="5">
        <f>(VLOOKUP(' 6.0.00'!AF30,' 6.0.00'!$AM$4:$AO$55,3,FALSE))</f>
        <v>0</v>
      </c>
    </row>
    <row r="31" spans="1:24">
      <c r="A31" s="4">
        <f>(VLOOKUP(' 6.0.00'!I31,' 6.0.00'!$AM$4:$AO$55,3,FALSE))</f>
        <v>0</v>
      </c>
      <c r="B31" s="4">
        <f>(VLOOKUP(' 6.0.00'!J31,' 6.0.00'!$AM$4:$AO$55,3,FALSE))</f>
        <v>0</v>
      </c>
      <c r="C31" s="4">
        <f>(VLOOKUP(' 6.0.00'!K31,' 6.0.00'!$AM$4:$AO$55,3,FALSE))</f>
        <v>0</v>
      </c>
      <c r="D31" s="4">
        <f>(VLOOKUP(' 6.0.00'!L31,' 6.0.00'!$AM$4:$AO$55,3,FALSE))</f>
        <v>0</v>
      </c>
      <c r="E31" s="4">
        <f>(VLOOKUP(' 6.0.00'!M31,' 6.0.00'!$AM$4:$AO$55,3,FALSE))</f>
        <v>0</v>
      </c>
      <c r="F31" s="4">
        <f>(VLOOKUP(' 6.0.00'!N31,' 6.0.00'!$AM$4:$AO$55,3,FALSE))</f>
        <v>0</v>
      </c>
      <c r="G31" s="5">
        <f>(VLOOKUP(' 6.0.00'!O31,' 6.0.00'!$AM$4:$AO$55,3,FALSE))</f>
        <v>0</v>
      </c>
      <c r="H31" s="5">
        <f>(VLOOKUP(' 6.0.00'!P31,' 6.0.00'!$AM$4:$AO$55,3,FALSE))</f>
        <v>0</v>
      </c>
      <c r="I31" s="4">
        <f>(VLOOKUP(' 6.0.00'!Q31,' 6.0.00'!$AM$4:$AO$55,3,FALSE))</f>
        <v>0</v>
      </c>
      <c r="J31" s="4">
        <f>(VLOOKUP(' 6.0.00'!R31,' 6.0.00'!$AM$4:$AO$55,3,FALSE))</f>
        <v>0</v>
      </c>
      <c r="K31" s="4">
        <f>(VLOOKUP(' 6.0.00'!S31,' 6.0.00'!$AM$4:$AO$55,3,FALSE))</f>
        <v>0</v>
      </c>
      <c r="L31" s="4">
        <f>(VLOOKUP(' 6.0.00'!T31,' 6.0.00'!$AM$4:$AO$55,3,FALSE))</f>
        <v>0</v>
      </c>
      <c r="M31" s="4">
        <f>(VLOOKUP(' 6.0.00'!U31,' 6.0.00'!$AM$4:$AO$55,3,FALSE))</f>
        <v>0</v>
      </c>
      <c r="N31" s="4">
        <f>(VLOOKUP(' 6.0.00'!V31,' 6.0.00'!$AM$4:$AO$55,3,FALSE))</f>
        <v>0</v>
      </c>
      <c r="O31" s="5">
        <f>(VLOOKUP(' 6.0.00'!W31,' 6.0.00'!$AM$4:$AO$55,3,FALSE))</f>
        <v>0</v>
      </c>
      <c r="P31" s="5">
        <f>(VLOOKUP(' 6.0.00'!X31,' 6.0.00'!$AM$4:$AO$55,3,FALSE))</f>
        <v>0</v>
      </c>
      <c r="Q31" s="4">
        <f>(VLOOKUP(' 6.0.00'!Y31,' 6.0.00'!$AM$4:$AO$55,3,FALSE))</f>
        <v>0</v>
      </c>
      <c r="R31" s="4">
        <f>(VLOOKUP(' 6.0.00'!Z31,' 6.0.00'!$AM$4:$AO$55,3,FALSE))</f>
        <v>0</v>
      </c>
      <c r="S31" s="4">
        <f>(VLOOKUP(' 6.0.00'!AA31,' 6.0.00'!$AM$4:$AO$55,3,FALSE))</f>
        <v>0</v>
      </c>
      <c r="T31" s="4">
        <f>(VLOOKUP(' 6.0.00'!AB31,' 6.0.00'!$AM$4:$AO$55,3,FALSE))</f>
        <v>0</v>
      </c>
      <c r="U31" s="4">
        <f>(VLOOKUP(' 6.0.00'!AC31,' 6.0.00'!$AM$4:$AO$55,3,FALSE))</f>
        <v>0</v>
      </c>
      <c r="V31" s="4">
        <f>(VLOOKUP(' 6.0.00'!AD31,' 6.0.00'!$AM$4:$AO$55,3,FALSE))</f>
        <v>0</v>
      </c>
      <c r="W31" s="5">
        <f>(VLOOKUP(' 6.0.00'!AE31,' 6.0.00'!$AM$4:$AO$55,3,FALSE))</f>
        <v>0</v>
      </c>
      <c r="X31" s="5">
        <f>(VLOOKUP(' 6.0.00'!AF31,' 6.0.00'!$AM$4:$AO$55,3,FALSE))</f>
        <v>0</v>
      </c>
    </row>
    <row r="32" spans="1:24">
      <c r="A32" s="4">
        <f>(VLOOKUP(' 6.0.00'!I32,' 6.0.00'!$AM$4:$AO$55,3,FALSE))</f>
        <v>0</v>
      </c>
      <c r="B32" s="4">
        <f>(VLOOKUP(' 6.0.00'!J32,' 6.0.00'!$AM$4:$AO$55,3,FALSE))</f>
        <v>0</v>
      </c>
      <c r="C32" s="4">
        <f>(VLOOKUP(' 6.0.00'!K32,' 6.0.00'!$AM$4:$AO$55,3,FALSE))</f>
        <v>0</v>
      </c>
      <c r="D32" s="4">
        <f>(VLOOKUP(' 6.0.00'!L32,' 6.0.00'!$AM$4:$AO$55,3,FALSE))</f>
        <v>0</v>
      </c>
      <c r="E32" s="4">
        <f>(VLOOKUP(' 6.0.00'!M32,' 6.0.00'!$AM$4:$AO$55,3,FALSE))</f>
        <v>0</v>
      </c>
      <c r="F32" s="4">
        <f>(VLOOKUP(' 6.0.00'!N32,' 6.0.00'!$AM$4:$AO$55,3,FALSE))</f>
        <v>0</v>
      </c>
      <c r="G32" s="5">
        <f>(VLOOKUP(' 6.0.00'!O32,' 6.0.00'!$AM$4:$AO$55,3,FALSE))</f>
        <v>0</v>
      </c>
      <c r="H32" s="5">
        <f>(VLOOKUP(' 6.0.00'!P32,' 6.0.00'!$AM$4:$AO$55,3,FALSE))</f>
        <v>0</v>
      </c>
      <c r="I32" s="4">
        <f>(VLOOKUP(' 6.0.00'!Q32,' 6.0.00'!$AM$4:$AO$55,3,FALSE))</f>
        <v>0</v>
      </c>
      <c r="J32" s="4">
        <f>(VLOOKUP(' 6.0.00'!R32,' 6.0.00'!$AM$4:$AO$55,3,FALSE))</f>
        <v>0</v>
      </c>
      <c r="K32" s="4">
        <f>(VLOOKUP(' 6.0.00'!S32,' 6.0.00'!$AM$4:$AO$55,3,FALSE))</f>
        <v>0</v>
      </c>
      <c r="L32" s="4">
        <f>(VLOOKUP(' 6.0.00'!T32,' 6.0.00'!$AM$4:$AO$55,3,FALSE))</f>
        <v>0</v>
      </c>
      <c r="M32" s="4">
        <f>(VLOOKUP(' 6.0.00'!U32,' 6.0.00'!$AM$4:$AO$55,3,FALSE))</f>
        <v>0</v>
      </c>
      <c r="N32" s="4">
        <f>(VLOOKUP(' 6.0.00'!V32,' 6.0.00'!$AM$4:$AO$55,3,FALSE))</f>
        <v>0</v>
      </c>
      <c r="O32" s="5">
        <f>(VLOOKUP(' 6.0.00'!W32,' 6.0.00'!$AM$4:$AO$55,3,FALSE))</f>
        <v>0</v>
      </c>
      <c r="P32" s="5">
        <f>(VLOOKUP(' 6.0.00'!X32,' 6.0.00'!$AM$4:$AO$55,3,FALSE))</f>
        <v>0</v>
      </c>
      <c r="Q32" s="4">
        <f>(VLOOKUP(' 6.0.00'!Y32,' 6.0.00'!$AM$4:$AO$55,3,FALSE))</f>
        <v>0</v>
      </c>
      <c r="R32" s="4">
        <f>(VLOOKUP(' 6.0.00'!Z32,' 6.0.00'!$AM$4:$AO$55,3,FALSE))</f>
        <v>0</v>
      </c>
      <c r="S32" s="4">
        <f>(VLOOKUP(' 6.0.00'!AA32,' 6.0.00'!$AM$4:$AO$55,3,FALSE))</f>
        <v>0</v>
      </c>
      <c r="T32" s="4">
        <f>(VLOOKUP(' 6.0.00'!AB32,' 6.0.00'!$AM$4:$AO$55,3,FALSE))</f>
        <v>0</v>
      </c>
      <c r="U32" s="4">
        <f>(VLOOKUP(' 6.0.00'!AC32,' 6.0.00'!$AM$4:$AO$55,3,FALSE))</f>
        <v>0</v>
      </c>
      <c r="V32" s="4">
        <f>(VLOOKUP(' 6.0.00'!AD32,' 6.0.00'!$AM$4:$AO$55,3,FALSE))</f>
        <v>0</v>
      </c>
      <c r="W32" s="5">
        <f>(VLOOKUP(' 6.0.00'!AE32,' 6.0.00'!$AM$4:$AO$55,3,FALSE))</f>
        <v>0</v>
      </c>
      <c r="X32" s="5">
        <f>(VLOOKUP(' 6.0.00'!AF32,' 6.0.00'!$AM$4:$AO$55,3,FALSE))</f>
        <v>0</v>
      </c>
    </row>
    <row r="33" spans="1:24">
      <c r="A33" s="4">
        <f>(VLOOKUP(' 6.0.00'!I33,' 6.0.00'!$AM$4:$AO$55,3,FALSE))</f>
        <v>0</v>
      </c>
      <c r="B33" s="4">
        <f>(VLOOKUP(' 6.0.00'!J33,' 6.0.00'!$AM$4:$AO$55,3,FALSE))</f>
        <v>0</v>
      </c>
      <c r="C33" s="4">
        <f>(VLOOKUP(' 6.0.00'!K33,' 6.0.00'!$AM$4:$AO$55,3,FALSE))</f>
        <v>0</v>
      </c>
      <c r="D33" s="4">
        <f>(VLOOKUP(' 6.0.00'!L33,' 6.0.00'!$AM$4:$AO$55,3,FALSE))</f>
        <v>0</v>
      </c>
      <c r="E33" s="4">
        <f>(VLOOKUP(' 6.0.00'!M33,' 6.0.00'!$AM$4:$AO$55,3,FALSE))</f>
        <v>0</v>
      </c>
      <c r="F33" s="4">
        <f>(VLOOKUP(' 6.0.00'!N33,' 6.0.00'!$AM$4:$AO$55,3,FALSE))</f>
        <v>0</v>
      </c>
      <c r="G33" s="5">
        <f>(VLOOKUP(' 6.0.00'!O33,' 6.0.00'!$AM$4:$AO$55,3,FALSE))</f>
        <v>0</v>
      </c>
      <c r="H33" s="5">
        <f>(VLOOKUP(' 6.0.00'!P33,' 6.0.00'!$AM$4:$AO$55,3,FALSE))</f>
        <v>0</v>
      </c>
      <c r="I33" s="4">
        <f>(VLOOKUP(' 6.0.00'!Q33,' 6.0.00'!$AM$4:$AO$55,3,FALSE))</f>
        <v>0</v>
      </c>
      <c r="J33" s="4">
        <f>(VLOOKUP(' 6.0.00'!R33,' 6.0.00'!$AM$4:$AO$55,3,FALSE))</f>
        <v>0</v>
      </c>
      <c r="K33" s="4">
        <f>(VLOOKUP(' 6.0.00'!S33,' 6.0.00'!$AM$4:$AO$55,3,FALSE))</f>
        <v>0</v>
      </c>
      <c r="L33" s="4">
        <f>(VLOOKUP(' 6.0.00'!T33,' 6.0.00'!$AM$4:$AO$55,3,FALSE))</f>
        <v>0</v>
      </c>
      <c r="M33" s="4">
        <f>(VLOOKUP(' 6.0.00'!U33,' 6.0.00'!$AM$4:$AO$55,3,FALSE))</f>
        <v>0</v>
      </c>
      <c r="N33" s="4">
        <f>(VLOOKUP(' 6.0.00'!V33,' 6.0.00'!$AM$4:$AO$55,3,FALSE))</f>
        <v>0</v>
      </c>
      <c r="O33" s="5">
        <f>(VLOOKUP(' 6.0.00'!W33,' 6.0.00'!$AM$4:$AO$55,3,FALSE))</f>
        <v>0</v>
      </c>
      <c r="P33" s="5">
        <f>(VLOOKUP(' 6.0.00'!X33,' 6.0.00'!$AM$4:$AO$55,3,FALSE))</f>
        <v>0</v>
      </c>
      <c r="Q33" s="4">
        <f>(VLOOKUP(' 6.0.00'!Y33,' 6.0.00'!$AM$4:$AO$55,3,FALSE))</f>
        <v>0</v>
      </c>
      <c r="R33" s="4">
        <f>(VLOOKUP(' 6.0.00'!Z33,' 6.0.00'!$AM$4:$AO$55,3,FALSE))</f>
        <v>0</v>
      </c>
      <c r="S33" s="4">
        <f>(VLOOKUP(' 6.0.00'!AA33,' 6.0.00'!$AM$4:$AO$55,3,FALSE))</f>
        <v>0</v>
      </c>
      <c r="T33" s="4">
        <f>(VLOOKUP(' 6.0.00'!AB33,' 6.0.00'!$AM$4:$AO$55,3,FALSE))</f>
        <v>0</v>
      </c>
      <c r="U33" s="4">
        <f>(VLOOKUP(' 6.0.00'!AC33,' 6.0.00'!$AM$4:$AO$55,3,FALSE))</f>
        <v>0</v>
      </c>
      <c r="V33" s="4">
        <f>(VLOOKUP(' 6.0.00'!AD33,' 6.0.00'!$AM$4:$AO$55,3,FALSE))</f>
        <v>0</v>
      </c>
      <c r="W33" s="5">
        <f>(VLOOKUP(' 6.0.00'!AE33,' 6.0.00'!$AM$4:$AO$55,3,FALSE))</f>
        <v>0</v>
      </c>
      <c r="X33" s="5">
        <f>(VLOOKUP(' 6.0.00'!AF33,' 6.0.00'!$AM$4:$AO$55,3,FALSE))</f>
        <v>0</v>
      </c>
    </row>
    <row r="34" spans="1:24">
      <c r="A34" s="4">
        <f>(VLOOKUP(' 6.0.00'!I34,' 6.0.00'!$AM$4:$AO$55,3,FALSE))</f>
        <v>0</v>
      </c>
      <c r="B34" s="4">
        <f>(VLOOKUP(' 6.0.00'!J34,' 6.0.00'!$AM$4:$AO$55,3,FALSE))</f>
        <v>0</v>
      </c>
      <c r="C34" s="4">
        <f>(VLOOKUP(' 6.0.00'!K34,' 6.0.00'!$AM$4:$AO$55,3,FALSE))</f>
        <v>0</v>
      </c>
      <c r="D34" s="4">
        <f>(VLOOKUP(' 6.0.00'!L34,' 6.0.00'!$AM$4:$AO$55,3,FALSE))</f>
        <v>0</v>
      </c>
      <c r="E34" s="4">
        <f>(VLOOKUP(' 6.0.00'!M34,' 6.0.00'!$AM$4:$AO$55,3,FALSE))</f>
        <v>0</v>
      </c>
      <c r="F34" s="4">
        <f>(VLOOKUP(' 6.0.00'!N34,' 6.0.00'!$AM$4:$AO$55,3,FALSE))</f>
        <v>0</v>
      </c>
      <c r="G34" s="5">
        <f>(VLOOKUP(' 6.0.00'!O34,' 6.0.00'!$AM$4:$AO$55,3,FALSE))</f>
        <v>0</v>
      </c>
      <c r="H34" s="5">
        <f>(VLOOKUP(' 6.0.00'!P34,' 6.0.00'!$AM$4:$AO$55,3,FALSE))</f>
        <v>0</v>
      </c>
      <c r="I34" s="4">
        <f>(VLOOKUP(' 6.0.00'!Q34,' 6.0.00'!$AM$4:$AO$55,3,FALSE))</f>
        <v>0</v>
      </c>
      <c r="J34" s="4">
        <f>(VLOOKUP(' 6.0.00'!R34,' 6.0.00'!$AM$4:$AO$55,3,FALSE))</f>
        <v>0</v>
      </c>
      <c r="K34" s="4">
        <f>(VLOOKUP(' 6.0.00'!S34,' 6.0.00'!$AM$4:$AO$55,3,FALSE))</f>
        <v>0</v>
      </c>
      <c r="L34" s="4">
        <f>(VLOOKUP(' 6.0.00'!T34,' 6.0.00'!$AM$4:$AO$55,3,FALSE))</f>
        <v>0</v>
      </c>
      <c r="M34" s="4">
        <f>(VLOOKUP(' 6.0.00'!U34,' 6.0.00'!$AM$4:$AO$55,3,FALSE))</f>
        <v>0</v>
      </c>
      <c r="N34" s="4">
        <f>(VLOOKUP(' 6.0.00'!V34,' 6.0.00'!$AM$4:$AO$55,3,FALSE))</f>
        <v>0</v>
      </c>
      <c r="O34" s="5">
        <f>(VLOOKUP(' 6.0.00'!W34,' 6.0.00'!$AM$4:$AO$55,3,FALSE))</f>
        <v>0</v>
      </c>
      <c r="P34" s="5">
        <f>(VLOOKUP(' 6.0.00'!X34,' 6.0.00'!$AM$4:$AO$55,3,FALSE))</f>
        <v>0</v>
      </c>
      <c r="Q34" s="4">
        <f>(VLOOKUP(' 6.0.00'!Y34,' 6.0.00'!$AM$4:$AO$55,3,FALSE))</f>
        <v>0</v>
      </c>
      <c r="R34" s="4">
        <f>(VLOOKUP(' 6.0.00'!Z34,' 6.0.00'!$AM$4:$AO$55,3,FALSE))</f>
        <v>0</v>
      </c>
      <c r="S34" s="4">
        <f>(VLOOKUP(' 6.0.00'!AA34,' 6.0.00'!$AM$4:$AO$55,3,FALSE))</f>
        <v>0</v>
      </c>
      <c r="T34" s="4">
        <f>(VLOOKUP(' 6.0.00'!AB34,' 6.0.00'!$AM$4:$AO$55,3,FALSE))</f>
        <v>0</v>
      </c>
      <c r="U34" s="4">
        <f>(VLOOKUP(' 6.0.00'!AC34,' 6.0.00'!$AM$4:$AO$55,3,FALSE))</f>
        <v>0</v>
      </c>
      <c r="V34" s="4">
        <f>(VLOOKUP(' 6.0.00'!AD34,' 6.0.00'!$AM$4:$AO$55,3,FALSE))</f>
        <v>0</v>
      </c>
      <c r="W34" s="5">
        <f>(VLOOKUP(' 6.0.00'!AE34,' 6.0.00'!$AM$4:$AO$55,3,FALSE))</f>
        <v>0</v>
      </c>
      <c r="X34" s="5">
        <f>(VLOOKUP(' 6.0.00'!AF34,' 6.0.00'!$AM$4:$AO$55,3,FALSE))</f>
        <v>0</v>
      </c>
    </row>
    <row r="35" spans="1:24">
      <c r="A35" s="4">
        <f>(VLOOKUP(' 6.0.00'!I35,' 6.0.00'!$AM$4:$AO$55,3,FALSE))</f>
        <v>0</v>
      </c>
      <c r="B35" s="4">
        <f>(VLOOKUP(' 6.0.00'!J35,' 6.0.00'!$AM$4:$AO$55,3,FALSE))</f>
        <v>0</v>
      </c>
      <c r="C35" s="4">
        <f>(VLOOKUP(' 6.0.00'!K35,' 6.0.00'!$AM$4:$AO$55,3,FALSE))</f>
        <v>0</v>
      </c>
      <c r="D35" s="4">
        <f>(VLOOKUP(' 6.0.00'!L35,' 6.0.00'!$AM$4:$AO$55,3,FALSE))</f>
        <v>0</v>
      </c>
      <c r="E35" s="4">
        <f>(VLOOKUP(' 6.0.00'!M35,' 6.0.00'!$AM$4:$AO$55,3,FALSE))</f>
        <v>0</v>
      </c>
      <c r="F35" s="4">
        <f>(VLOOKUP(' 6.0.00'!N35,' 6.0.00'!$AM$4:$AO$55,3,FALSE))</f>
        <v>0</v>
      </c>
      <c r="G35" s="5">
        <f>(VLOOKUP(' 6.0.00'!O35,' 6.0.00'!$AM$4:$AO$55,3,FALSE))</f>
        <v>0</v>
      </c>
      <c r="H35" s="5">
        <f>(VLOOKUP(' 6.0.00'!P35,' 6.0.00'!$AM$4:$AO$55,3,FALSE))</f>
        <v>0</v>
      </c>
      <c r="I35" s="4">
        <f>(VLOOKUP(' 6.0.00'!Q35,' 6.0.00'!$AM$4:$AO$55,3,FALSE))</f>
        <v>0</v>
      </c>
      <c r="J35" s="4">
        <f>(VLOOKUP(' 6.0.00'!R35,' 6.0.00'!$AM$4:$AO$55,3,FALSE))</f>
        <v>0</v>
      </c>
      <c r="K35" s="4">
        <f>(VLOOKUP(' 6.0.00'!S35,' 6.0.00'!$AM$4:$AO$55,3,FALSE))</f>
        <v>0</v>
      </c>
      <c r="L35" s="4">
        <f>(VLOOKUP(' 6.0.00'!T35,' 6.0.00'!$AM$4:$AO$55,3,FALSE))</f>
        <v>0</v>
      </c>
      <c r="M35" s="4">
        <f>(VLOOKUP(' 6.0.00'!U35,' 6.0.00'!$AM$4:$AO$55,3,FALSE))</f>
        <v>0</v>
      </c>
      <c r="N35" s="4">
        <f>(VLOOKUP(' 6.0.00'!V35,' 6.0.00'!$AM$4:$AO$55,3,FALSE))</f>
        <v>0</v>
      </c>
      <c r="O35" s="5">
        <f>(VLOOKUP(' 6.0.00'!W35,' 6.0.00'!$AM$4:$AO$55,3,FALSE))</f>
        <v>0</v>
      </c>
      <c r="P35" s="5">
        <f>(VLOOKUP(' 6.0.00'!X35,' 6.0.00'!$AM$4:$AO$55,3,FALSE))</f>
        <v>0</v>
      </c>
      <c r="Q35" s="4">
        <f>(VLOOKUP(' 6.0.00'!Y35,' 6.0.00'!$AM$4:$AO$55,3,FALSE))</f>
        <v>0</v>
      </c>
      <c r="R35" s="4">
        <f>(VLOOKUP(' 6.0.00'!Z35,' 6.0.00'!$AM$4:$AO$55,3,FALSE))</f>
        <v>0</v>
      </c>
      <c r="S35" s="4">
        <f>(VLOOKUP(' 6.0.00'!AA35,' 6.0.00'!$AM$4:$AO$55,3,FALSE))</f>
        <v>0</v>
      </c>
      <c r="T35" s="4">
        <f>(VLOOKUP(' 6.0.00'!AB35,' 6.0.00'!$AM$4:$AO$55,3,FALSE))</f>
        <v>0</v>
      </c>
      <c r="U35" s="4">
        <f>(VLOOKUP(' 6.0.00'!AC35,' 6.0.00'!$AM$4:$AO$55,3,FALSE))</f>
        <v>0</v>
      </c>
      <c r="V35" s="4">
        <f>(VLOOKUP(' 6.0.00'!AD35,' 6.0.00'!$AM$4:$AO$55,3,FALSE))</f>
        <v>0</v>
      </c>
      <c r="W35" s="5">
        <f>(VLOOKUP(' 6.0.00'!AE35,' 6.0.00'!$AM$4:$AO$55,3,FALSE))</f>
        <v>0</v>
      </c>
      <c r="X35" s="5">
        <f>(VLOOKUP(' 6.0.00'!AF35,' 6.0.00'!$AM$4:$AO$55,3,FALSE))</f>
        <v>0</v>
      </c>
    </row>
    <row r="36" spans="1:24">
      <c r="A36" s="4">
        <f>(VLOOKUP(' 6.0.00'!I36,' 6.0.00'!$AM$4:$AO$55,3,FALSE))</f>
        <v>0</v>
      </c>
      <c r="B36" s="4">
        <f>(VLOOKUP(' 6.0.00'!J36,' 6.0.00'!$AM$4:$AO$55,3,FALSE))</f>
        <v>0</v>
      </c>
      <c r="C36" s="4">
        <f>(VLOOKUP(' 6.0.00'!K36,' 6.0.00'!$AM$4:$AO$55,3,FALSE))</f>
        <v>0</v>
      </c>
      <c r="D36" s="4">
        <f>(VLOOKUP(' 6.0.00'!L36,' 6.0.00'!$AM$4:$AO$55,3,FALSE))</f>
        <v>0</v>
      </c>
      <c r="E36" s="4">
        <f>(VLOOKUP(' 6.0.00'!M36,' 6.0.00'!$AM$4:$AO$55,3,FALSE))</f>
        <v>0</v>
      </c>
      <c r="F36" s="4">
        <f>(VLOOKUP(' 6.0.00'!N36,' 6.0.00'!$AM$4:$AO$55,3,FALSE))</f>
        <v>0</v>
      </c>
      <c r="G36" s="5">
        <f>(VLOOKUP(' 6.0.00'!O36,' 6.0.00'!$AM$4:$AO$55,3,FALSE))</f>
        <v>0</v>
      </c>
      <c r="H36" s="5">
        <f>(VLOOKUP(' 6.0.00'!P36,' 6.0.00'!$AM$4:$AO$55,3,FALSE))</f>
        <v>0</v>
      </c>
      <c r="I36" s="4">
        <f>(VLOOKUP(' 6.0.00'!Q36,' 6.0.00'!$AM$4:$AO$55,3,FALSE))</f>
        <v>0</v>
      </c>
      <c r="J36" s="4">
        <f>(VLOOKUP(' 6.0.00'!R36,' 6.0.00'!$AM$4:$AO$55,3,FALSE))</f>
        <v>0</v>
      </c>
      <c r="K36" s="4">
        <f>(VLOOKUP(' 6.0.00'!S36,' 6.0.00'!$AM$4:$AO$55,3,FALSE))</f>
        <v>0</v>
      </c>
      <c r="L36" s="4">
        <f>(VLOOKUP(' 6.0.00'!T36,' 6.0.00'!$AM$4:$AO$55,3,FALSE))</f>
        <v>0</v>
      </c>
      <c r="M36" s="4">
        <f>(VLOOKUP(' 6.0.00'!U36,' 6.0.00'!$AM$4:$AO$55,3,FALSE))</f>
        <v>0</v>
      </c>
      <c r="N36" s="4">
        <f>(VLOOKUP(' 6.0.00'!V36,' 6.0.00'!$AM$4:$AO$55,3,FALSE))</f>
        <v>0</v>
      </c>
      <c r="O36" s="5">
        <f>(VLOOKUP(' 6.0.00'!W36,' 6.0.00'!$AM$4:$AO$55,3,FALSE))</f>
        <v>0</v>
      </c>
      <c r="P36" s="5">
        <f>(VLOOKUP(' 6.0.00'!X36,' 6.0.00'!$AM$4:$AO$55,3,FALSE))</f>
        <v>0</v>
      </c>
      <c r="Q36" s="4">
        <f>(VLOOKUP(' 6.0.00'!Y36,' 6.0.00'!$AM$4:$AO$55,3,FALSE))</f>
        <v>0</v>
      </c>
      <c r="R36" s="4">
        <f>(VLOOKUP(' 6.0.00'!Z36,' 6.0.00'!$AM$4:$AO$55,3,FALSE))</f>
        <v>0</v>
      </c>
      <c r="S36" s="4">
        <f>(VLOOKUP(' 6.0.00'!AA36,' 6.0.00'!$AM$4:$AO$55,3,FALSE))</f>
        <v>0</v>
      </c>
      <c r="T36" s="4">
        <f>(VLOOKUP(' 6.0.00'!AB36,' 6.0.00'!$AM$4:$AO$55,3,FALSE))</f>
        <v>0</v>
      </c>
      <c r="U36" s="4">
        <f>(VLOOKUP(' 6.0.00'!AC36,' 6.0.00'!$AM$4:$AO$55,3,FALSE))</f>
        <v>0</v>
      </c>
      <c r="V36" s="4">
        <f>(VLOOKUP(' 6.0.00'!AD36,' 6.0.00'!$AM$4:$AO$55,3,FALSE))</f>
        <v>0</v>
      </c>
      <c r="W36" s="5">
        <f>(VLOOKUP(' 6.0.00'!AE36,' 6.0.00'!$AM$4:$AO$55,3,FALSE))</f>
        <v>0</v>
      </c>
      <c r="X36" s="5">
        <f>(VLOOKUP(' 6.0.00'!AF36,' 6.0.00'!$AM$4:$AO$55,3,FALSE))</f>
        <v>0</v>
      </c>
    </row>
    <row r="37" spans="1:24">
      <c r="A37" s="4">
        <f>(VLOOKUP(' 6.0.00'!I37,' 6.0.00'!$AM$4:$AO$55,3,FALSE))</f>
        <v>0</v>
      </c>
      <c r="B37" s="4">
        <f>(VLOOKUP(' 6.0.00'!J37,' 6.0.00'!$AM$4:$AO$55,3,FALSE))</f>
        <v>0</v>
      </c>
      <c r="C37" s="4">
        <f>(VLOOKUP(' 6.0.00'!K37,' 6.0.00'!$AM$4:$AO$55,3,FALSE))</f>
        <v>0</v>
      </c>
      <c r="D37" s="4">
        <f>(VLOOKUP(' 6.0.00'!L37,' 6.0.00'!$AM$4:$AO$55,3,FALSE))</f>
        <v>0</v>
      </c>
      <c r="E37" s="4">
        <f>(VLOOKUP(' 6.0.00'!M37,' 6.0.00'!$AM$4:$AO$55,3,FALSE))</f>
        <v>0</v>
      </c>
      <c r="F37" s="4">
        <f>(VLOOKUP(' 6.0.00'!N37,' 6.0.00'!$AM$4:$AO$55,3,FALSE))</f>
        <v>0</v>
      </c>
      <c r="G37" s="5">
        <f>(VLOOKUP(' 6.0.00'!O37,' 6.0.00'!$AM$4:$AO$55,3,FALSE))</f>
        <v>0</v>
      </c>
      <c r="H37" s="5">
        <f>(VLOOKUP(' 6.0.00'!P37,' 6.0.00'!$AM$4:$AO$55,3,FALSE))</f>
        <v>0</v>
      </c>
      <c r="I37" s="4">
        <f>(VLOOKUP(' 6.0.00'!Q37,' 6.0.00'!$AM$4:$AO$55,3,FALSE))</f>
        <v>0</v>
      </c>
      <c r="J37" s="4">
        <f>(VLOOKUP(' 6.0.00'!R37,' 6.0.00'!$AM$4:$AO$55,3,FALSE))</f>
        <v>0</v>
      </c>
      <c r="K37" s="4">
        <f>(VLOOKUP(' 6.0.00'!S37,' 6.0.00'!$AM$4:$AO$55,3,FALSE))</f>
        <v>0</v>
      </c>
      <c r="L37" s="4">
        <f>(VLOOKUP(' 6.0.00'!T37,' 6.0.00'!$AM$4:$AO$55,3,FALSE))</f>
        <v>0</v>
      </c>
      <c r="M37" s="4">
        <f>(VLOOKUP(' 6.0.00'!U37,' 6.0.00'!$AM$4:$AO$55,3,FALSE))</f>
        <v>0</v>
      </c>
      <c r="N37" s="4">
        <f>(VLOOKUP(' 6.0.00'!V37,' 6.0.00'!$AM$4:$AO$55,3,FALSE))</f>
        <v>0</v>
      </c>
      <c r="O37" s="5">
        <f>(VLOOKUP(' 6.0.00'!W37,' 6.0.00'!$AM$4:$AO$55,3,FALSE))</f>
        <v>0</v>
      </c>
      <c r="P37" s="5">
        <f>(VLOOKUP(' 6.0.00'!X37,' 6.0.00'!$AM$4:$AO$55,3,FALSE))</f>
        <v>0</v>
      </c>
      <c r="Q37" s="4">
        <f>(VLOOKUP(' 6.0.00'!Y37,' 6.0.00'!$AM$4:$AO$55,3,FALSE))</f>
        <v>0</v>
      </c>
      <c r="R37" s="4">
        <f>(VLOOKUP(' 6.0.00'!Z37,' 6.0.00'!$AM$4:$AO$55,3,FALSE))</f>
        <v>0</v>
      </c>
      <c r="S37" s="4">
        <f>(VLOOKUP(' 6.0.00'!AA37,' 6.0.00'!$AM$4:$AO$55,3,FALSE))</f>
        <v>0</v>
      </c>
      <c r="T37" s="4">
        <f>(VLOOKUP(' 6.0.00'!AB37,' 6.0.00'!$AM$4:$AO$55,3,FALSE))</f>
        <v>0</v>
      </c>
      <c r="U37" s="4">
        <f>(VLOOKUP(' 6.0.00'!AC37,' 6.0.00'!$AM$4:$AO$55,3,FALSE))</f>
        <v>0</v>
      </c>
      <c r="V37" s="4">
        <f>(VLOOKUP(' 6.0.00'!AD37,' 6.0.00'!$AM$4:$AO$55,3,FALSE))</f>
        <v>0</v>
      </c>
      <c r="W37" s="5">
        <f>(VLOOKUP(' 6.0.00'!AE37,' 6.0.00'!$AM$4:$AO$55,3,FALSE))</f>
        <v>0</v>
      </c>
      <c r="X37" s="5">
        <f>(VLOOKUP(' 6.0.00'!AF37,' 6.0.00'!$AM$4:$AO$55,3,FALSE))</f>
        <v>0</v>
      </c>
    </row>
    <row r="38" spans="1:24">
      <c r="A38" s="4">
        <f>(VLOOKUP(' 6.0.00'!I38,' 6.0.00'!$AM$4:$AO$55,3,FALSE))</f>
        <v>0</v>
      </c>
      <c r="B38" s="4">
        <f>(VLOOKUP(' 6.0.00'!J38,' 6.0.00'!$AM$4:$AO$55,3,FALSE))</f>
        <v>0</v>
      </c>
      <c r="C38" s="4">
        <f>(VLOOKUP(' 6.0.00'!K38,' 6.0.00'!$AM$4:$AO$55,3,FALSE))</f>
        <v>0</v>
      </c>
      <c r="D38" s="4">
        <f>(VLOOKUP(' 6.0.00'!L38,' 6.0.00'!$AM$4:$AO$55,3,FALSE))</f>
        <v>0</v>
      </c>
      <c r="E38" s="4">
        <f>(VLOOKUP(' 6.0.00'!M38,' 6.0.00'!$AM$4:$AO$55,3,FALSE))</f>
        <v>0</v>
      </c>
      <c r="F38" s="4">
        <f>(VLOOKUP(' 6.0.00'!N38,' 6.0.00'!$AM$4:$AO$55,3,FALSE))</f>
        <v>0</v>
      </c>
      <c r="G38" s="5">
        <f>(VLOOKUP(' 6.0.00'!O38,' 6.0.00'!$AM$4:$AO$55,3,FALSE))</f>
        <v>0</v>
      </c>
      <c r="H38" s="5">
        <f>(VLOOKUP(' 6.0.00'!P38,' 6.0.00'!$AM$4:$AO$55,3,FALSE))</f>
        <v>0</v>
      </c>
      <c r="I38" s="4">
        <f>(VLOOKUP(' 6.0.00'!Q38,' 6.0.00'!$AM$4:$AO$55,3,FALSE))</f>
        <v>0</v>
      </c>
      <c r="J38" s="4">
        <f>(VLOOKUP(' 6.0.00'!R38,' 6.0.00'!$AM$4:$AO$55,3,FALSE))</f>
        <v>0</v>
      </c>
      <c r="K38" s="4">
        <f>(VLOOKUP(' 6.0.00'!S38,' 6.0.00'!$AM$4:$AO$55,3,FALSE))</f>
        <v>0</v>
      </c>
      <c r="L38" s="4">
        <f>(VLOOKUP(' 6.0.00'!T38,' 6.0.00'!$AM$4:$AO$55,3,FALSE))</f>
        <v>0</v>
      </c>
      <c r="M38" s="4">
        <f>(VLOOKUP(' 6.0.00'!U38,' 6.0.00'!$AM$4:$AO$55,3,FALSE))</f>
        <v>0</v>
      </c>
      <c r="N38" s="4">
        <f>(VLOOKUP(' 6.0.00'!V38,' 6.0.00'!$AM$4:$AO$55,3,FALSE))</f>
        <v>0</v>
      </c>
      <c r="O38" s="5">
        <f>(VLOOKUP(' 6.0.00'!W38,' 6.0.00'!$AM$4:$AO$55,3,FALSE))</f>
        <v>0</v>
      </c>
      <c r="P38" s="5">
        <f>(VLOOKUP(' 6.0.00'!X38,' 6.0.00'!$AM$4:$AO$55,3,FALSE))</f>
        <v>0</v>
      </c>
      <c r="Q38" s="4">
        <f>(VLOOKUP(' 6.0.00'!Y38,' 6.0.00'!$AM$4:$AO$55,3,FALSE))</f>
        <v>0</v>
      </c>
      <c r="R38" s="4">
        <f>(VLOOKUP(' 6.0.00'!Z38,' 6.0.00'!$AM$4:$AO$55,3,FALSE))</f>
        <v>0</v>
      </c>
      <c r="S38" s="4">
        <f>(VLOOKUP(' 6.0.00'!AA38,' 6.0.00'!$AM$4:$AO$55,3,FALSE))</f>
        <v>0</v>
      </c>
      <c r="T38" s="4">
        <f>(VLOOKUP(' 6.0.00'!AB38,' 6.0.00'!$AM$4:$AO$55,3,FALSE))</f>
        <v>0</v>
      </c>
      <c r="U38" s="4">
        <f>(VLOOKUP(' 6.0.00'!AC38,' 6.0.00'!$AM$4:$AO$55,3,FALSE))</f>
        <v>0</v>
      </c>
      <c r="V38" s="4">
        <f>(VLOOKUP(' 6.0.00'!AD38,' 6.0.00'!$AM$4:$AO$55,3,FALSE))</f>
        <v>0</v>
      </c>
      <c r="W38" s="5">
        <f>(VLOOKUP(' 6.0.00'!AE38,' 6.0.00'!$AM$4:$AO$55,3,FALSE))</f>
        <v>0</v>
      </c>
      <c r="X38" s="5">
        <f>(VLOOKUP(' 6.0.00'!AF38,' 6.0.00'!$AM$4:$AO$55,3,FALSE))</f>
        <v>0</v>
      </c>
    </row>
    <row r="39" spans="1:24">
      <c r="A39" s="4">
        <f>(VLOOKUP(' 6.0.00'!I39,' 6.0.00'!$AM$4:$AO$55,3,FALSE))</f>
        <v>0</v>
      </c>
      <c r="B39" s="4">
        <f>(VLOOKUP(' 6.0.00'!J39,' 6.0.00'!$AM$4:$AO$55,3,FALSE))</f>
        <v>0</v>
      </c>
      <c r="C39" s="4">
        <f>(VLOOKUP(' 6.0.00'!K39,' 6.0.00'!$AM$4:$AO$55,3,FALSE))</f>
        <v>0</v>
      </c>
      <c r="D39" s="4">
        <f>(VLOOKUP(' 6.0.00'!L39,' 6.0.00'!$AM$4:$AO$55,3,FALSE))</f>
        <v>0</v>
      </c>
      <c r="E39" s="4">
        <f>(VLOOKUP(' 6.0.00'!M39,' 6.0.00'!$AM$4:$AO$55,3,FALSE))</f>
        <v>0</v>
      </c>
      <c r="F39" s="4">
        <f>(VLOOKUP(' 6.0.00'!N39,' 6.0.00'!$AM$4:$AO$55,3,FALSE))</f>
        <v>0</v>
      </c>
      <c r="G39" s="5">
        <f>(VLOOKUP(' 6.0.00'!O39,' 6.0.00'!$AM$4:$AO$55,3,FALSE))</f>
        <v>0</v>
      </c>
      <c r="H39" s="5">
        <f>(VLOOKUP(' 6.0.00'!P39,' 6.0.00'!$AM$4:$AO$55,3,FALSE))</f>
        <v>0</v>
      </c>
      <c r="I39" s="4">
        <f>(VLOOKUP(' 6.0.00'!Q39,' 6.0.00'!$AM$4:$AO$55,3,FALSE))</f>
        <v>0</v>
      </c>
      <c r="J39" s="4">
        <f>(VLOOKUP(' 6.0.00'!R39,' 6.0.00'!$AM$4:$AO$55,3,FALSE))</f>
        <v>0</v>
      </c>
      <c r="K39" s="4">
        <f>(VLOOKUP(' 6.0.00'!S39,' 6.0.00'!$AM$4:$AO$55,3,FALSE))</f>
        <v>0</v>
      </c>
      <c r="L39" s="4">
        <f>(VLOOKUP(' 6.0.00'!T39,' 6.0.00'!$AM$4:$AO$55,3,FALSE))</f>
        <v>0</v>
      </c>
      <c r="M39" s="4">
        <f>(VLOOKUP(' 6.0.00'!U39,' 6.0.00'!$AM$4:$AO$55,3,FALSE))</f>
        <v>0</v>
      </c>
      <c r="N39" s="4">
        <f>(VLOOKUP(' 6.0.00'!V39,' 6.0.00'!$AM$4:$AO$55,3,FALSE))</f>
        <v>0</v>
      </c>
      <c r="O39" s="5">
        <f>(VLOOKUP(' 6.0.00'!W39,' 6.0.00'!$AM$4:$AO$55,3,FALSE))</f>
        <v>0</v>
      </c>
      <c r="P39" s="5">
        <f>(VLOOKUP(' 6.0.00'!X39,' 6.0.00'!$AM$4:$AO$55,3,FALSE))</f>
        <v>0</v>
      </c>
      <c r="Q39" s="4">
        <f>(VLOOKUP(' 6.0.00'!Y39,' 6.0.00'!$AM$4:$AO$55,3,FALSE))</f>
        <v>0</v>
      </c>
      <c r="R39" s="4">
        <f>(VLOOKUP(' 6.0.00'!Z39,' 6.0.00'!$AM$4:$AO$55,3,FALSE))</f>
        <v>0</v>
      </c>
      <c r="S39" s="4">
        <f>(VLOOKUP(' 6.0.00'!AA39,' 6.0.00'!$AM$4:$AO$55,3,FALSE))</f>
        <v>0</v>
      </c>
      <c r="T39" s="4">
        <f>(VLOOKUP(' 6.0.00'!AB39,' 6.0.00'!$AM$4:$AO$55,3,FALSE))</f>
        <v>0</v>
      </c>
      <c r="U39" s="4">
        <f>(VLOOKUP(' 6.0.00'!AC39,' 6.0.00'!$AM$4:$AO$55,3,FALSE))</f>
        <v>0</v>
      </c>
      <c r="V39" s="4">
        <f>(VLOOKUP(' 6.0.00'!AD39,' 6.0.00'!$AM$4:$AO$55,3,FALSE))</f>
        <v>0</v>
      </c>
      <c r="W39" s="5">
        <f>(VLOOKUP(' 6.0.00'!AE39,' 6.0.00'!$AM$4:$AO$55,3,FALSE))</f>
        <v>0</v>
      </c>
      <c r="X39" s="5">
        <f>(VLOOKUP(' 6.0.00'!AF39,' 6.0.00'!$AM$4:$AO$55,3,FALSE))</f>
        <v>0</v>
      </c>
    </row>
    <row r="40" spans="1:24">
      <c r="A40" s="4">
        <f>(VLOOKUP(' 6.0.00'!I40,' 6.0.00'!$AM$4:$AO$55,3,FALSE))</f>
        <v>0</v>
      </c>
      <c r="B40" s="4">
        <f>(VLOOKUP(' 6.0.00'!J40,' 6.0.00'!$AM$4:$AO$55,3,FALSE))</f>
        <v>0</v>
      </c>
      <c r="C40" s="4">
        <f>(VLOOKUP(' 6.0.00'!K40,' 6.0.00'!$AM$4:$AO$55,3,FALSE))</f>
        <v>0</v>
      </c>
      <c r="D40" s="4">
        <f>(VLOOKUP(' 6.0.00'!L40,' 6.0.00'!$AM$4:$AO$55,3,FALSE))</f>
        <v>0</v>
      </c>
      <c r="E40" s="4">
        <f>(VLOOKUP(' 6.0.00'!M40,' 6.0.00'!$AM$4:$AO$55,3,FALSE))</f>
        <v>0</v>
      </c>
      <c r="F40" s="4">
        <f>(VLOOKUP(' 6.0.00'!N40,' 6.0.00'!$AM$4:$AO$55,3,FALSE))</f>
        <v>0</v>
      </c>
      <c r="G40" s="5">
        <f>(VLOOKUP(' 6.0.00'!O40,' 6.0.00'!$AM$4:$AO$55,3,FALSE))</f>
        <v>0</v>
      </c>
      <c r="H40" s="5">
        <f>(VLOOKUP(' 6.0.00'!P40,' 6.0.00'!$AM$4:$AO$55,3,FALSE))</f>
        <v>0</v>
      </c>
      <c r="I40" s="4">
        <f>(VLOOKUP(' 6.0.00'!Q40,' 6.0.00'!$AM$4:$AO$55,3,FALSE))</f>
        <v>0</v>
      </c>
      <c r="J40" s="4">
        <f>(VLOOKUP(' 6.0.00'!R40,' 6.0.00'!$AM$4:$AO$55,3,FALSE))</f>
        <v>0</v>
      </c>
      <c r="K40" s="4">
        <f>(VLOOKUP(' 6.0.00'!S40,' 6.0.00'!$AM$4:$AO$55,3,FALSE))</f>
        <v>0</v>
      </c>
      <c r="L40" s="4">
        <f>(VLOOKUP(' 6.0.00'!T40,' 6.0.00'!$AM$4:$AO$55,3,FALSE))</f>
        <v>0</v>
      </c>
      <c r="M40" s="4">
        <f>(VLOOKUP(' 6.0.00'!U40,' 6.0.00'!$AM$4:$AO$55,3,FALSE))</f>
        <v>0</v>
      </c>
      <c r="N40" s="4">
        <f>(VLOOKUP(' 6.0.00'!V40,' 6.0.00'!$AM$4:$AO$55,3,FALSE))</f>
        <v>0</v>
      </c>
      <c r="O40" s="5">
        <f>(VLOOKUP(' 6.0.00'!W40,' 6.0.00'!$AM$4:$AO$55,3,FALSE))</f>
        <v>0</v>
      </c>
      <c r="P40" s="5">
        <f>(VLOOKUP(' 6.0.00'!X40,' 6.0.00'!$AM$4:$AO$55,3,FALSE))</f>
        <v>0</v>
      </c>
      <c r="Q40" s="4">
        <f>(VLOOKUP(' 6.0.00'!Y40,' 6.0.00'!$AM$4:$AO$55,3,FALSE))</f>
        <v>0</v>
      </c>
      <c r="R40" s="4">
        <f>(VLOOKUP(' 6.0.00'!Z40,' 6.0.00'!$AM$4:$AO$55,3,FALSE))</f>
        <v>0</v>
      </c>
      <c r="S40" s="4">
        <f>(VLOOKUP(' 6.0.00'!AA40,' 6.0.00'!$AM$4:$AO$55,3,FALSE))</f>
        <v>0</v>
      </c>
      <c r="T40" s="4">
        <f>(VLOOKUP(' 6.0.00'!AB40,' 6.0.00'!$AM$4:$AO$55,3,FALSE))</f>
        <v>0</v>
      </c>
      <c r="U40" s="4">
        <f>(VLOOKUP(' 6.0.00'!AC40,' 6.0.00'!$AM$4:$AO$55,3,FALSE))</f>
        <v>0</v>
      </c>
      <c r="V40" s="4">
        <f>(VLOOKUP(' 6.0.00'!AD40,' 6.0.00'!$AM$4:$AO$55,3,FALSE))</f>
        <v>0</v>
      </c>
      <c r="W40" s="5">
        <f>(VLOOKUP(' 6.0.00'!AE40,' 6.0.00'!$AM$4:$AO$55,3,FALSE))</f>
        <v>0</v>
      </c>
      <c r="X40" s="5">
        <f>(VLOOKUP(' 6.0.00'!AF40,' 6.0.00'!$AM$4:$AO$55,3,FALSE))</f>
        <v>0</v>
      </c>
    </row>
    <row r="41" spans="1:24">
      <c r="A41" s="4">
        <f>(VLOOKUP(' 6.0.00'!I41,' 6.0.00'!$AM$4:$AO$55,3,FALSE))</f>
        <v>0</v>
      </c>
      <c r="B41" s="4">
        <f>(VLOOKUP(' 6.0.00'!J41,' 6.0.00'!$AM$4:$AO$55,3,FALSE))</f>
        <v>0</v>
      </c>
      <c r="C41" s="4">
        <f>(VLOOKUP(' 6.0.00'!K41,' 6.0.00'!$AM$4:$AO$55,3,FALSE))</f>
        <v>0</v>
      </c>
      <c r="D41" s="4">
        <f>(VLOOKUP(' 6.0.00'!L41,' 6.0.00'!$AM$4:$AO$55,3,FALSE))</f>
        <v>0</v>
      </c>
      <c r="E41" s="4">
        <f>(VLOOKUP(' 6.0.00'!M41,' 6.0.00'!$AM$4:$AO$55,3,FALSE))</f>
        <v>0</v>
      </c>
      <c r="F41" s="4">
        <f>(VLOOKUP(' 6.0.00'!N41,' 6.0.00'!$AM$4:$AO$55,3,FALSE))</f>
        <v>0</v>
      </c>
      <c r="G41" s="5">
        <f>(VLOOKUP(' 6.0.00'!O41,' 6.0.00'!$AM$4:$AO$55,3,FALSE))</f>
        <v>0</v>
      </c>
      <c r="H41" s="5">
        <f>(VLOOKUP(' 6.0.00'!P41,' 6.0.00'!$AM$4:$AO$55,3,FALSE))</f>
        <v>0</v>
      </c>
      <c r="I41" s="4">
        <f>(VLOOKUP(' 6.0.00'!Q41,' 6.0.00'!$AM$4:$AO$55,3,FALSE))</f>
        <v>0</v>
      </c>
      <c r="J41" s="4">
        <f>(VLOOKUP(' 6.0.00'!R41,' 6.0.00'!$AM$4:$AO$55,3,FALSE))</f>
        <v>0</v>
      </c>
      <c r="K41" s="4">
        <f>(VLOOKUP(' 6.0.00'!S41,' 6.0.00'!$AM$4:$AO$55,3,FALSE))</f>
        <v>0</v>
      </c>
      <c r="L41" s="4">
        <f>(VLOOKUP(' 6.0.00'!T41,' 6.0.00'!$AM$4:$AO$55,3,FALSE))</f>
        <v>0</v>
      </c>
      <c r="M41" s="4">
        <f>(VLOOKUP(' 6.0.00'!U41,' 6.0.00'!$AM$4:$AO$55,3,FALSE))</f>
        <v>0</v>
      </c>
      <c r="N41" s="4">
        <f>(VLOOKUP(' 6.0.00'!V41,' 6.0.00'!$AM$4:$AO$55,3,FALSE))</f>
        <v>0</v>
      </c>
      <c r="O41" s="5">
        <f>(VLOOKUP(' 6.0.00'!W41,' 6.0.00'!$AM$4:$AO$55,3,FALSE))</f>
        <v>0</v>
      </c>
      <c r="P41" s="5">
        <f>(VLOOKUP(' 6.0.00'!X41,' 6.0.00'!$AM$4:$AO$55,3,FALSE))</f>
        <v>0</v>
      </c>
      <c r="Q41" s="4">
        <f>(VLOOKUP(' 6.0.00'!Y41,' 6.0.00'!$AM$4:$AO$55,3,FALSE))</f>
        <v>0</v>
      </c>
      <c r="R41" s="4">
        <f>(VLOOKUP(' 6.0.00'!Z41,' 6.0.00'!$AM$4:$AO$55,3,FALSE))</f>
        <v>0</v>
      </c>
      <c r="S41" s="4">
        <f>(VLOOKUP(' 6.0.00'!AA41,' 6.0.00'!$AM$4:$AO$55,3,FALSE))</f>
        <v>0</v>
      </c>
      <c r="T41" s="4">
        <f>(VLOOKUP(' 6.0.00'!AB41,' 6.0.00'!$AM$4:$AO$55,3,FALSE))</f>
        <v>0</v>
      </c>
      <c r="U41" s="4">
        <f>(VLOOKUP(' 6.0.00'!AC41,' 6.0.00'!$AM$4:$AO$55,3,FALSE))</f>
        <v>0</v>
      </c>
      <c r="V41" s="4">
        <f>(VLOOKUP(' 6.0.00'!AD41,' 6.0.00'!$AM$4:$AO$55,3,FALSE))</f>
        <v>0</v>
      </c>
      <c r="W41" s="5">
        <f>(VLOOKUP(' 6.0.00'!AE41,' 6.0.00'!$AM$4:$AO$55,3,FALSE))</f>
        <v>0</v>
      </c>
      <c r="X41" s="5">
        <f>(VLOOKUP(' 6.0.00'!AF41,' 6.0.00'!$AM$4:$AO$55,3,FALSE))</f>
        <v>0</v>
      </c>
    </row>
    <row r="42" spans="1:24">
      <c r="A42" s="4">
        <f>(VLOOKUP(' 6.0.00'!I42,' 6.0.00'!$AM$4:$AO$55,3,FALSE))</f>
        <v>0</v>
      </c>
      <c r="B42" s="4">
        <f>(VLOOKUP(' 6.0.00'!J42,' 6.0.00'!$AM$4:$AO$55,3,FALSE))</f>
        <v>0</v>
      </c>
      <c r="C42" s="4">
        <f>(VLOOKUP(' 6.0.00'!K42,' 6.0.00'!$AM$4:$AO$55,3,FALSE))</f>
        <v>0</v>
      </c>
      <c r="D42" s="4">
        <f>(VLOOKUP(' 6.0.00'!L42,' 6.0.00'!$AM$4:$AO$55,3,FALSE))</f>
        <v>0</v>
      </c>
      <c r="E42" s="4">
        <f>(VLOOKUP(' 6.0.00'!M42,' 6.0.00'!$AM$4:$AO$55,3,FALSE))</f>
        <v>0</v>
      </c>
      <c r="F42" s="4">
        <f>(VLOOKUP(' 6.0.00'!N42,' 6.0.00'!$AM$4:$AO$55,3,FALSE))</f>
        <v>0</v>
      </c>
      <c r="G42" s="5">
        <f>(VLOOKUP(' 6.0.00'!O42,' 6.0.00'!$AM$4:$AO$55,3,FALSE))</f>
        <v>0</v>
      </c>
      <c r="H42" s="5">
        <f>(VLOOKUP(' 6.0.00'!P42,' 6.0.00'!$AM$4:$AO$55,3,FALSE))</f>
        <v>0</v>
      </c>
      <c r="I42" s="4">
        <f>(VLOOKUP(' 6.0.00'!Q42,' 6.0.00'!$AM$4:$AO$55,3,FALSE))</f>
        <v>0</v>
      </c>
      <c r="J42" s="4">
        <f>(VLOOKUP(' 6.0.00'!R42,' 6.0.00'!$AM$4:$AO$55,3,FALSE))</f>
        <v>0</v>
      </c>
      <c r="K42" s="4">
        <f>(VLOOKUP(' 6.0.00'!S42,' 6.0.00'!$AM$4:$AO$55,3,FALSE))</f>
        <v>0</v>
      </c>
      <c r="L42" s="4">
        <f>(VLOOKUP(' 6.0.00'!T42,' 6.0.00'!$AM$4:$AO$55,3,FALSE))</f>
        <v>0</v>
      </c>
      <c r="M42" s="4">
        <f>(VLOOKUP(' 6.0.00'!U42,' 6.0.00'!$AM$4:$AO$55,3,FALSE))</f>
        <v>0</v>
      </c>
      <c r="N42" s="4">
        <f>(VLOOKUP(' 6.0.00'!V42,' 6.0.00'!$AM$4:$AO$55,3,FALSE))</f>
        <v>0</v>
      </c>
      <c r="O42" s="5">
        <f>(VLOOKUP(' 6.0.00'!W42,' 6.0.00'!$AM$4:$AO$55,3,FALSE))</f>
        <v>0</v>
      </c>
      <c r="P42" s="5">
        <f>(VLOOKUP(' 6.0.00'!X42,' 6.0.00'!$AM$4:$AO$55,3,FALSE))</f>
        <v>0</v>
      </c>
      <c r="Q42" s="4">
        <f>(VLOOKUP(' 6.0.00'!Y42,' 6.0.00'!$AM$4:$AO$55,3,FALSE))</f>
        <v>0</v>
      </c>
      <c r="R42" s="4">
        <f>(VLOOKUP(' 6.0.00'!Z42,' 6.0.00'!$AM$4:$AO$55,3,FALSE))</f>
        <v>0</v>
      </c>
      <c r="S42" s="4">
        <f>(VLOOKUP(' 6.0.00'!AA42,' 6.0.00'!$AM$4:$AO$55,3,FALSE))</f>
        <v>0</v>
      </c>
      <c r="T42" s="4">
        <f>(VLOOKUP(' 6.0.00'!AB42,' 6.0.00'!$AM$4:$AO$55,3,FALSE))</f>
        <v>0</v>
      </c>
      <c r="U42" s="4">
        <f>(VLOOKUP(' 6.0.00'!AC42,' 6.0.00'!$AM$4:$AO$55,3,FALSE))</f>
        <v>0</v>
      </c>
      <c r="V42" s="4">
        <f>(VLOOKUP(' 6.0.00'!AD42,' 6.0.00'!$AM$4:$AO$55,3,FALSE))</f>
        <v>0</v>
      </c>
      <c r="W42" s="5">
        <f>(VLOOKUP(' 6.0.00'!AE42,' 6.0.00'!$AM$4:$AO$55,3,FALSE))</f>
        <v>0</v>
      </c>
      <c r="X42" s="5">
        <f>(VLOOKUP(' 6.0.00'!AF42,' 6.0.00'!$AM$4:$AO$55,3,FALSE))</f>
        <v>0</v>
      </c>
    </row>
    <row r="43" spans="1:24">
      <c r="A43" s="4">
        <f>(VLOOKUP(' 6.0.00'!I43,' 6.0.00'!$AM$4:$AO$55,3,FALSE))</f>
        <v>0</v>
      </c>
      <c r="B43" s="4">
        <f>(VLOOKUP(' 6.0.00'!J43,' 6.0.00'!$AM$4:$AO$55,3,FALSE))</f>
        <v>0</v>
      </c>
      <c r="C43" s="4">
        <f>(VLOOKUP(' 6.0.00'!K43,' 6.0.00'!$AM$4:$AO$55,3,FALSE))</f>
        <v>0</v>
      </c>
      <c r="D43" s="4">
        <f>(VLOOKUP(' 6.0.00'!L43,' 6.0.00'!$AM$4:$AO$55,3,FALSE))</f>
        <v>0</v>
      </c>
      <c r="E43" s="4">
        <f>(VLOOKUP(' 6.0.00'!M43,' 6.0.00'!$AM$4:$AO$55,3,FALSE))</f>
        <v>0</v>
      </c>
      <c r="F43" s="4">
        <f>(VLOOKUP(' 6.0.00'!N43,' 6.0.00'!$AM$4:$AO$55,3,FALSE))</f>
        <v>0</v>
      </c>
      <c r="G43" s="5">
        <f>(VLOOKUP(' 6.0.00'!O43,' 6.0.00'!$AM$4:$AO$55,3,FALSE))</f>
        <v>0</v>
      </c>
      <c r="H43" s="5">
        <f>(VLOOKUP(' 6.0.00'!P43,' 6.0.00'!$AM$4:$AO$55,3,FALSE))</f>
        <v>0</v>
      </c>
      <c r="I43" s="4">
        <f>(VLOOKUP(' 6.0.00'!Q43,' 6.0.00'!$AM$4:$AO$55,3,FALSE))</f>
        <v>0</v>
      </c>
      <c r="J43" s="4">
        <f>(VLOOKUP(' 6.0.00'!R43,' 6.0.00'!$AM$4:$AO$55,3,FALSE))</f>
        <v>0</v>
      </c>
      <c r="K43" s="4">
        <f>(VLOOKUP(' 6.0.00'!S43,' 6.0.00'!$AM$4:$AO$55,3,FALSE))</f>
        <v>0</v>
      </c>
      <c r="L43" s="4">
        <f>(VLOOKUP(' 6.0.00'!T43,' 6.0.00'!$AM$4:$AO$55,3,FALSE))</f>
        <v>0</v>
      </c>
      <c r="M43" s="4">
        <f>(VLOOKUP(' 6.0.00'!U43,' 6.0.00'!$AM$4:$AO$55,3,FALSE))</f>
        <v>0</v>
      </c>
      <c r="N43" s="4">
        <f>(VLOOKUP(' 6.0.00'!V43,' 6.0.00'!$AM$4:$AO$55,3,FALSE))</f>
        <v>0</v>
      </c>
      <c r="O43" s="5">
        <f>(VLOOKUP(' 6.0.00'!W43,' 6.0.00'!$AM$4:$AO$55,3,FALSE))</f>
        <v>0</v>
      </c>
      <c r="P43" s="5">
        <f>(VLOOKUP(' 6.0.00'!X43,' 6.0.00'!$AM$4:$AO$55,3,FALSE))</f>
        <v>0</v>
      </c>
      <c r="Q43" s="4">
        <f>(VLOOKUP(' 6.0.00'!Y43,' 6.0.00'!$AM$4:$AO$55,3,FALSE))</f>
        <v>0</v>
      </c>
      <c r="R43" s="4">
        <f>(VLOOKUP(' 6.0.00'!Z43,' 6.0.00'!$AM$4:$AO$55,3,FALSE))</f>
        <v>0</v>
      </c>
      <c r="S43" s="4">
        <f>(VLOOKUP(' 6.0.00'!AA43,' 6.0.00'!$AM$4:$AO$55,3,FALSE))</f>
        <v>0</v>
      </c>
      <c r="T43" s="4">
        <f>(VLOOKUP(' 6.0.00'!AB43,' 6.0.00'!$AM$4:$AO$55,3,FALSE))</f>
        <v>0</v>
      </c>
      <c r="U43" s="4">
        <f>(VLOOKUP(' 6.0.00'!AC43,' 6.0.00'!$AM$4:$AO$55,3,FALSE))</f>
        <v>0</v>
      </c>
      <c r="V43" s="4">
        <f>(VLOOKUP(' 6.0.00'!AD43,' 6.0.00'!$AM$4:$AO$55,3,FALSE))</f>
        <v>0</v>
      </c>
      <c r="W43" s="5">
        <f>(VLOOKUP(' 6.0.00'!AE43,' 6.0.00'!$AM$4:$AO$55,3,FALSE))</f>
        <v>0</v>
      </c>
      <c r="X43" s="5">
        <f>(VLOOKUP(' 6.0.00'!AF43,' 6.0.00'!$AM$4:$AO$55,3,FALSE))</f>
        <v>0</v>
      </c>
    </row>
    <row r="44" spans="1:24">
      <c r="A44" s="4">
        <f>(VLOOKUP(' 6.0.00'!I44,' 6.0.00'!$AM$4:$AO$55,3,FALSE))</f>
        <v>0</v>
      </c>
      <c r="B44" s="4">
        <f>(VLOOKUP(' 6.0.00'!J44,' 6.0.00'!$AM$4:$AO$55,3,FALSE))</f>
        <v>0</v>
      </c>
      <c r="C44" s="4">
        <f>(VLOOKUP(' 6.0.00'!K44,' 6.0.00'!$AM$4:$AO$55,3,FALSE))</f>
        <v>0</v>
      </c>
      <c r="D44" s="4">
        <f>(VLOOKUP(' 6.0.00'!L44,' 6.0.00'!$AM$4:$AO$55,3,FALSE))</f>
        <v>0</v>
      </c>
      <c r="E44" s="4">
        <f>(VLOOKUP(' 6.0.00'!M44,' 6.0.00'!$AM$4:$AO$55,3,FALSE))</f>
        <v>0</v>
      </c>
      <c r="F44" s="4">
        <f>(VLOOKUP(' 6.0.00'!N44,' 6.0.00'!$AM$4:$AO$55,3,FALSE))</f>
        <v>0</v>
      </c>
      <c r="G44" s="5">
        <f>(VLOOKUP(' 6.0.00'!O44,' 6.0.00'!$AM$4:$AO$55,3,FALSE))</f>
        <v>0</v>
      </c>
      <c r="H44" s="5">
        <f>(VLOOKUP(' 6.0.00'!P44,' 6.0.00'!$AM$4:$AO$55,3,FALSE))</f>
        <v>0</v>
      </c>
      <c r="I44" s="4">
        <f>(VLOOKUP(' 6.0.00'!Q44,' 6.0.00'!$AM$4:$AO$55,3,FALSE))</f>
        <v>0</v>
      </c>
      <c r="J44" s="4">
        <f>(VLOOKUP(' 6.0.00'!R44,' 6.0.00'!$AM$4:$AO$55,3,FALSE))</f>
        <v>0</v>
      </c>
      <c r="K44" s="4">
        <f>(VLOOKUP(' 6.0.00'!S44,' 6.0.00'!$AM$4:$AO$55,3,FALSE))</f>
        <v>0</v>
      </c>
      <c r="L44" s="4">
        <f>(VLOOKUP(' 6.0.00'!T44,' 6.0.00'!$AM$4:$AO$55,3,FALSE))</f>
        <v>0</v>
      </c>
      <c r="M44" s="4">
        <f>(VLOOKUP(' 6.0.00'!U44,' 6.0.00'!$AM$4:$AO$55,3,FALSE))</f>
        <v>0</v>
      </c>
      <c r="N44" s="4">
        <f>(VLOOKUP(' 6.0.00'!V44,' 6.0.00'!$AM$4:$AO$55,3,FALSE))</f>
        <v>0</v>
      </c>
      <c r="O44" s="5">
        <f>(VLOOKUP(' 6.0.00'!W44,' 6.0.00'!$AM$4:$AO$55,3,FALSE))</f>
        <v>0</v>
      </c>
      <c r="P44" s="5">
        <f>(VLOOKUP(' 6.0.00'!X44,' 6.0.00'!$AM$4:$AO$55,3,FALSE))</f>
        <v>0</v>
      </c>
      <c r="Q44" s="4">
        <f>(VLOOKUP(' 6.0.00'!Y44,' 6.0.00'!$AM$4:$AO$55,3,FALSE))</f>
        <v>0</v>
      </c>
      <c r="R44" s="4">
        <f>(VLOOKUP(' 6.0.00'!Z44,' 6.0.00'!$AM$4:$AO$55,3,FALSE))</f>
        <v>0</v>
      </c>
      <c r="S44" s="4">
        <f>(VLOOKUP(' 6.0.00'!AA44,' 6.0.00'!$AM$4:$AO$55,3,FALSE))</f>
        <v>0</v>
      </c>
      <c r="T44" s="4">
        <f>(VLOOKUP(' 6.0.00'!AB44,' 6.0.00'!$AM$4:$AO$55,3,FALSE))</f>
        <v>0</v>
      </c>
      <c r="U44" s="4">
        <f>(VLOOKUP(' 6.0.00'!AC44,' 6.0.00'!$AM$4:$AO$55,3,FALSE))</f>
        <v>0</v>
      </c>
      <c r="V44" s="4">
        <f>(VLOOKUP(' 6.0.00'!AD44,' 6.0.00'!$AM$4:$AO$55,3,FALSE))</f>
        <v>0</v>
      </c>
      <c r="W44" s="5">
        <f>(VLOOKUP(' 6.0.00'!AE44,' 6.0.00'!$AM$4:$AO$55,3,FALSE))</f>
        <v>0</v>
      </c>
      <c r="X44" s="5">
        <f>(VLOOKUP(' 6.0.00'!AF44,' 6.0.00'!$AM$4:$AO$55,3,FALSE))</f>
        <v>0</v>
      </c>
    </row>
    <row r="45" spans="1:24">
      <c r="A45" s="4">
        <f>(VLOOKUP(' 6.0.00'!I45,' 6.0.00'!$AM$4:$AO$55,3,FALSE))</f>
        <v>0</v>
      </c>
      <c r="B45" s="4">
        <f>(VLOOKUP(' 6.0.00'!J45,' 6.0.00'!$AM$4:$AO$55,3,FALSE))</f>
        <v>0</v>
      </c>
      <c r="C45" s="4">
        <f>(VLOOKUP(' 6.0.00'!K45,' 6.0.00'!$AM$4:$AO$55,3,FALSE))</f>
        <v>0</v>
      </c>
      <c r="D45" s="4">
        <f>(VLOOKUP(' 6.0.00'!L45,' 6.0.00'!$AM$4:$AO$55,3,FALSE))</f>
        <v>0</v>
      </c>
      <c r="E45" s="4">
        <f>(VLOOKUP(' 6.0.00'!M45,' 6.0.00'!$AM$4:$AO$55,3,FALSE))</f>
        <v>0</v>
      </c>
      <c r="F45" s="4">
        <f>(VLOOKUP(' 6.0.00'!N45,' 6.0.00'!$AM$4:$AO$55,3,FALSE))</f>
        <v>0</v>
      </c>
      <c r="G45" s="5">
        <f>(VLOOKUP(' 6.0.00'!O45,' 6.0.00'!$AM$4:$AO$55,3,FALSE))</f>
        <v>0</v>
      </c>
      <c r="H45" s="5">
        <f>(VLOOKUP(' 6.0.00'!P45,' 6.0.00'!$AM$4:$AO$55,3,FALSE))</f>
        <v>0</v>
      </c>
      <c r="I45" s="4">
        <f>(VLOOKUP(' 6.0.00'!Q45,' 6.0.00'!$AM$4:$AO$55,3,FALSE))</f>
        <v>0</v>
      </c>
      <c r="J45" s="4">
        <f>(VLOOKUP(' 6.0.00'!R45,' 6.0.00'!$AM$4:$AO$55,3,FALSE))</f>
        <v>0</v>
      </c>
      <c r="K45" s="4">
        <f>(VLOOKUP(' 6.0.00'!S45,' 6.0.00'!$AM$4:$AO$55,3,FALSE))</f>
        <v>0</v>
      </c>
      <c r="L45" s="4">
        <f>(VLOOKUP(' 6.0.00'!T45,' 6.0.00'!$AM$4:$AO$55,3,FALSE))</f>
        <v>0</v>
      </c>
      <c r="M45" s="4">
        <f>(VLOOKUP(' 6.0.00'!U45,' 6.0.00'!$AM$4:$AO$55,3,FALSE))</f>
        <v>0</v>
      </c>
      <c r="N45" s="4">
        <f>(VLOOKUP(' 6.0.00'!V45,' 6.0.00'!$AM$4:$AO$55,3,FALSE))</f>
        <v>0</v>
      </c>
      <c r="O45" s="5">
        <f>(VLOOKUP(' 6.0.00'!W45,' 6.0.00'!$AM$4:$AO$55,3,FALSE))</f>
        <v>0</v>
      </c>
      <c r="P45" s="5">
        <f>(VLOOKUP(' 6.0.00'!X45,' 6.0.00'!$AM$4:$AO$55,3,FALSE))</f>
        <v>0</v>
      </c>
      <c r="Q45" s="4">
        <f>(VLOOKUP(' 6.0.00'!Y45,' 6.0.00'!$AM$4:$AO$55,3,FALSE))</f>
        <v>0</v>
      </c>
      <c r="R45" s="4">
        <f>(VLOOKUP(' 6.0.00'!Z45,' 6.0.00'!$AM$4:$AO$55,3,FALSE))</f>
        <v>0</v>
      </c>
      <c r="S45" s="4">
        <f>(VLOOKUP(' 6.0.00'!AA45,' 6.0.00'!$AM$4:$AO$55,3,FALSE))</f>
        <v>0</v>
      </c>
      <c r="T45" s="4">
        <f>(VLOOKUP(' 6.0.00'!AB45,' 6.0.00'!$AM$4:$AO$55,3,FALSE))</f>
        <v>0</v>
      </c>
      <c r="U45" s="4">
        <f>(VLOOKUP(' 6.0.00'!AC45,' 6.0.00'!$AM$4:$AO$55,3,FALSE))</f>
        <v>0</v>
      </c>
      <c r="V45" s="4">
        <f>(VLOOKUP(' 6.0.00'!AD45,' 6.0.00'!$AM$4:$AO$55,3,FALSE))</f>
        <v>0</v>
      </c>
      <c r="W45" s="5">
        <f>(VLOOKUP(' 6.0.00'!AE45,' 6.0.00'!$AM$4:$AO$55,3,FALSE))</f>
        <v>0</v>
      </c>
      <c r="X45" s="5">
        <f>(VLOOKUP(' 6.0.00'!AF45,' 6.0.00'!$AM$4:$AO$55,3,FALSE))</f>
        <v>0</v>
      </c>
    </row>
    <row r="46" spans="1:24">
      <c r="A46" s="4">
        <f>(VLOOKUP(' 6.0.00'!I46,' 6.0.00'!$AM$4:$AO$55,3,FALSE))</f>
        <v>0</v>
      </c>
      <c r="B46" s="4">
        <f>(VLOOKUP(' 6.0.00'!J46,' 6.0.00'!$AM$4:$AO$55,3,FALSE))</f>
        <v>0</v>
      </c>
      <c r="C46" s="4">
        <f>(VLOOKUP(' 6.0.00'!K46,' 6.0.00'!$AM$4:$AO$55,3,FALSE))</f>
        <v>0</v>
      </c>
      <c r="D46" s="4">
        <f>(VLOOKUP(' 6.0.00'!L46,' 6.0.00'!$AM$4:$AO$55,3,FALSE))</f>
        <v>0</v>
      </c>
      <c r="E46" s="4">
        <f>(VLOOKUP(' 6.0.00'!M46,' 6.0.00'!$AM$4:$AO$55,3,FALSE))</f>
        <v>0</v>
      </c>
      <c r="F46" s="4">
        <f>(VLOOKUP(' 6.0.00'!N46,' 6.0.00'!$AM$4:$AO$55,3,FALSE))</f>
        <v>0</v>
      </c>
      <c r="G46" s="5">
        <f>(VLOOKUP(' 6.0.00'!O46,' 6.0.00'!$AM$4:$AO$55,3,FALSE))</f>
        <v>0</v>
      </c>
      <c r="H46" s="5">
        <f>(VLOOKUP(' 6.0.00'!P46,' 6.0.00'!$AM$4:$AO$55,3,FALSE))</f>
        <v>0</v>
      </c>
      <c r="I46" s="4">
        <f>(VLOOKUP(' 6.0.00'!Q46,' 6.0.00'!$AM$4:$AO$55,3,FALSE))</f>
        <v>0</v>
      </c>
      <c r="J46" s="4">
        <f>(VLOOKUP(' 6.0.00'!R46,' 6.0.00'!$AM$4:$AO$55,3,FALSE))</f>
        <v>0</v>
      </c>
      <c r="K46" s="4">
        <f>(VLOOKUP(' 6.0.00'!S46,' 6.0.00'!$AM$4:$AO$55,3,FALSE))</f>
        <v>0</v>
      </c>
      <c r="L46" s="4">
        <f>(VLOOKUP(' 6.0.00'!T46,' 6.0.00'!$AM$4:$AO$55,3,FALSE))</f>
        <v>0</v>
      </c>
      <c r="M46" s="4">
        <f>(VLOOKUP(' 6.0.00'!U46,' 6.0.00'!$AM$4:$AO$55,3,FALSE))</f>
        <v>0</v>
      </c>
      <c r="N46" s="4">
        <f>(VLOOKUP(' 6.0.00'!V46,' 6.0.00'!$AM$4:$AO$55,3,FALSE))</f>
        <v>0</v>
      </c>
      <c r="O46" s="5">
        <f>(VLOOKUP(' 6.0.00'!W46,' 6.0.00'!$AM$4:$AO$55,3,FALSE))</f>
        <v>0</v>
      </c>
      <c r="P46" s="5">
        <f>(VLOOKUP(' 6.0.00'!X46,' 6.0.00'!$AM$4:$AO$55,3,FALSE))</f>
        <v>0</v>
      </c>
      <c r="Q46" s="4">
        <f>(VLOOKUP(' 6.0.00'!Y46,' 6.0.00'!$AM$4:$AO$55,3,FALSE))</f>
        <v>0</v>
      </c>
      <c r="R46" s="4">
        <f>(VLOOKUP(' 6.0.00'!Z46,' 6.0.00'!$AM$4:$AO$55,3,FALSE))</f>
        <v>0</v>
      </c>
      <c r="S46" s="4">
        <f>(VLOOKUP(' 6.0.00'!AA46,' 6.0.00'!$AM$4:$AO$55,3,FALSE))</f>
        <v>0</v>
      </c>
      <c r="T46" s="4">
        <f>(VLOOKUP(' 6.0.00'!AB46,' 6.0.00'!$AM$4:$AO$55,3,FALSE))</f>
        <v>0</v>
      </c>
      <c r="U46" s="4">
        <f>(VLOOKUP(' 6.0.00'!AC46,' 6.0.00'!$AM$4:$AO$55,3,FALSE))</f>
        <v>0</v>
      </c>
      <c r="V46" s="4">
        <f>(VLOOKUP(' 6.0.00'!AD46,' 6.0.00'!$AM$4:$AO$55,3,FALSE))</f>
        <v>0</v>
      </c>
      <c r="W46" s="5">
        <f>(VLOOKUP(' 6.0.00'!AE46,' 6.0.00'!$AM$4:$AO$55,3,FALSE))</f>
        <v>0</v>
      </c>
      <c r="X46" s="5">
        <f>(VLOOKUP(' 6.0.00'!AF46,' 6.0.00'!$AM$4:$AO$55,3,FALSE))</f>
        <v>0</v>
      </c>
    </row>
    <row r="47" spans="1:24">
      <c r="A47" s="4">
        <f>(VLOOKUP(' 6.0.00'!I47,' 6.0.00'!$AM$4:$AO$55,3,FALSE))</f>
        <v>0</v>
      </c>
      <c r="B47" s="4">
        <f>(VLOOKUP(' 6.0.00'!J47,' 6.0.00'!$AM$4:$AO$55,3,FALSE))</f>
        <v>0</v>
      </c>
      <c r="C47" s="4">
        <f>(VLOOKUP(' 6.0.00'!K47,' 6.0.00'!$AM$4:$AO$55,3,FALSE))</f>
        <v>0</v>
      </c>
      <c r="D47" s="4">
        <f>(VLOOKUP(' 6.0.00'!L47,' 6.0.00'!$AM$4:$AO$55,3,FALSE))</f>
        <v>0</v>
      </c>
      <c r="E47" s="4">
        <f>(VLOOKUP(' 6.0.00'!M47,' 6.0.00'!$AM$4:$AO$55,3,FALSE))</f>
        <v>0</v>
      </c>
      <c r="F47" s="4">
        <f>(VLOOKUP(' 6.0.00'!N47,' 6.0.00'!$AM$4:$AO$55,3,FALSE))</f>
        <v>0</v>
      </c>
      <c r="G47" s="5">
        <f>(VLOOKUP(' 6.0.00'!O47,' 6.0.00'!$AM$4:$AO$55,3,FALSE))</f>
        <v>0</v>
      </c>
      <c r="H47" s="5">
        <f>(VLOOKUP(' 6.0.00'!P47,' 6.0.00'!$AM$4:$AO$55,3,FALSE))</f>
        <v>0</v>
      </c>
      <c r="I47" s="4">
        <f>(VLOOKUP(' 6.0.00'!Q47,' 6.0.00'!$AM$4:$AO$55,3,FALSE))</f>
        <v>0</v>
      </c>
      <c r="J47" s="4">
        <f>(VLOOKUP(' 6.0.00'!R47,' 6.0.00'!$AM$4:$AO$55,3,FALSE))</f>
        <v>0</v>
      </c>
      <c r="K47" s="4">
        <f>(VLOOKUP(' 6.0.00'!S47,' 6.0.00'!$AM$4:$AO$55,3,FALSE))</f>
        <v>0</v>
      </c>
      <c r="L47" s="4">
        <f>(VLOOKUP(' 6.0.00'!T47,' 6.0.00'!$AM$4:$AO$55,3,FALSE))</f>
        <v>0</v>
      </c>
      <c r="M47" s="4">
        <f>(VLOOKUP(' 6.0.00'!U47,' 6.0.00'!$AM$4:$AO$55,3,FALSE))</f>
        <v>0</v>
      </c>
      <c r="N47" s="4">
        <f>(VLOOKUP(' 6.0.00'!V47,' 6.0.00'!$AM$4:$AO$55,3,FALSE))</f>
        <v>0</v>
      </c>
      <c r="O47" s="5">
        <f>(VLOOKUP(' 6.0.00'!W47,' 6.0.00'!$AM$4:$AO$55,3,FALSE))</f>
        <v>0</v>
      </c>
      <c r="P47" s="5">
        <f>(VLOOKUP(' 6.0.00'!X47,' 6.0.00'!$AM$4:$AO$55,3,FALSE))</f>
        <v>0</v>
      </c>
      <c r="Q47" s="4">
        <f>(VLOOKUP(' 6.0.00'!Y47,' 6.0.00'!$AM$4:$AO$55,3,FALSE))</f>
        <v>0</v>
      </c>
      <c r="R47" s="4">
        <f>(VLOOKUP(' 6.0.00'!Z47,' 6.0.00'!$AM$4:$AO$55,3,FALSE))</f>
        <v>0</v>
      </c>
      <c r="S47" s="4">
        <f>(VLOOKUP(' 6.0.00'!AA47,' 6.0.00'!$AM$4:$AO$55,3,FALSE))</f>
        <v>0</v>
      </c>
      <c r="T47" s="4">
        <f>(VLOOKUP(' 6.0.00'!AB47,' 6.0.00'!$AM$4:$AO$55,3,FALSE))</f>
        <v>0</v>
      </c>
      <c r="U47" s="4">
        <f>(VLOOKUP(' 6.0.00'!AC47,' 6.0.00'!$AM$4:$AO$55,3,FALSE))</f>
        <v>0</v>
      </c>
      <c r="V47" s="4">
        <f>(VLOOKUP(' 6.0.00'!AD47,' 6.0.00'!$AM$4:$AO$55,3,FALSE))</f>
        <v>0</v>
      </c>
      <c r="W47" s="5">
        <f>(VLOOKUP(' 6.0.00'!AE47,' 6.0.00'!$AM$4:$AO$55,3,FALSE))</f>
        <v>0</v>
      </c>
      <c r="X47" s="5">
        <f>(VLOOKUP(' 6.0.00'!AF47,' 6.0.00'!$AM$4:$AO$55,3,FALSE))</f>
        <v>0</v>
      </c>
    </row>
    <row r="48" spans="1:24">
      <c r="A48" s="4">
        <f>(VLOOKUP(' 6.0.00'!I48,' 6.0.00'!$AM$4:$AO$55,3,FALSE))</f>
        <v>0</v>
      </c>
      <c r="B48" s="4">
        <f>(VLOOKUP(' 6.0.00'!J48,' 6.0.00'!$AM$4:$AO$55,3,FALSE))</f>
        <v>0</v>
      </c>
      <c r="C48" s="4">
        <f>(VLOOKUP(' 6.0.00'!K48,' 6.0.00'!$AM$4:$AO$55,3,FALSE))</f>
        <v>0</v>
      </c>
      <c r="D48" s="4">
        <f>(VLOOKUP(' 6.0.00'!L48,' 6.0.00'!$AM$4:$AO$55,3,FALSE))</f>
        <v>0</v>
      </c>
      <c r="E48" s="4">
        <f>(VLOOKUP(' 6.0.00'!M48,' 6.0.00'!$AM$4:$AO$55,3,FALSE))</f>
        <v>0</v>
      </c>
      <c r="F48" s="4">
        <f>(VLOOKUP(' 6.0.00'!N48,' 6.0.00'!$AM$4:$AO$55,3,FALSE))</f>
        <v>0</v>
      </c>
      <c r="G48" s="5">
        <f>(VLOOKUP(' 6.0.00'!O48,' 6.0.00'!$AM$4:$AO$55,3,FALSE))</f>
        <v>0</v>
      </c>
      <c r="H48" s="5">
        <f>(VLOOKUP(' 6.0.00'!P48,' 6.0.00'!$AM$4:$AO$55,3,FALSE))</f>
        <v>0</v>
      </c>
      <c r="I48" s="4">
        <f>(VLOOKUP(' 6.0.00'!Q48,' 6.0.00'!$AM$4:$AO$55,3,FALSE))</f>
        <v>0</v>
      </c>
      <c r="J48" s="4">
        <f>(VLOOKUP(' 6.0.00'!R48,' 6.0.00'!$AM$4:$AO$55,3,FALSE))</f>
        <v>0</v>
      </c>
      <c r="K48" s="4">
        <f>(VLOOKUP(' 6.0.00'!S48,' 6.0.00'!$AM$4:$AO$55,3,FALSE))</f>
        <v>0</v>
      </c>
      <c r="L48" s="4">
        <f>(VLOOKUP(' 6.0.00'!T48,' 6.0.00'!$AM$4:$AO$55,3,FALSE))</f>
        <v>0</v>
      </c>
      <c r="M48" s="4">
        <f>(VLOOKUP(' 6.0.00'!U48,' 6.0.00'!$AM$4:$AO$55,3,FALSE))</f>
        <v>0</v>
      </c>
      <c r="N48" s="4">
        <f>(VLOOKUP(' 6.0.00'!V48,' 6.0.00'!$AM$4:$AO$55,3,FALSE))</f>
        <v>0</v>
      </c>
      <c r="O48" s="5">
        <f>(VLOOKUP(' 6.0.00'!W48,' 6.0.00'!$AM$4:$AO$55,3,FALSE))</f>
        <v>0</v>
      </c>
      <c r="P48" s="5">
        <f>(VLOOKUP(' 6.0.00'!X48,' 6.0.00'!$AM$4:$AO$55,3,FALSE))</f>
        <v>0</v>
      </c>
      <c r="Q48" s="4">
        <f>(VLOOKUP(' 6.0.00'!Y48,' 6.0.00'!$AM$4:$AO$55,3,FALSE))</f>
        <v>0</v>
      </c>
      <c r="R48" s="4">
        <f>(VLOOKUP(' 6.0.00'!Z48,' 6.0.00'!$AM$4:$AO$55,3,FALSE))</f>
        <v>0</v>
      </c>
      <c r="S48" s="4">
        <f>(VLOOKUP(' 6.0.00'!AA48,' 6.0.00'!$AM$4:$AO$55,3,FALSE))</f>
        <v>0</v>
      </c>
      <c r="T48" s="4">
        <f>(VLOOKUP(' 6.0.00'!AB48,' 6.0.00'!$AM$4:$AO$55,3,FALSE))</f>
        <v>0</v>
      </c>
      <c r="U48" s="4">
        <f>(VLOOKUP(' 6.0.00'!AC48,' 6.0.00'!$AM$4:$AO$55,3,FALSE))</f>
        <v>0</v>
      </c>
      <c r="V48" s="4">
        <f>(VLOOKUP(' 6.0.00'!AD48,' 6.0.00'!$AM$4:$AO$55,3,FALSE))</f>
        <v>0</v>
      </c>
      <c r="W48" s="5">
        <f>(VLOOKUP(' 6.0.00'!AE48,' 6.0.00'!$AM$4:$AO$55,3,FALSE))</f>
        <v>0</v>
      </c>
      <c r="X48" s="5">
        <f>(VLOOKUP(' 6.0.00'!AF48,' 6.0.00'!$AM$4:$AO$55,3,FALSE))</f>
        <v>0</v>
      </c>
    </row>
    <row r="49" spans="1:24">
      <c r="A49" s="4">
        <f>(VLOOKUP(' 6.0.00'!I49,' 6.0.00'!$AM$4:$AO$55,3,FALSE))</f>
        <v>0</v>
      </c>
      <c r="B49" s="4">
        <f>(VLOOKUP(' 6.0.00'!J49,' 6.0.00'!$AM$4:$AO$55,3,FALSE))</f>
        <v>0</v>
      </c>
      <c r="C49" s="4">
        <f>(VLOOKUP(' 6.0.00'!K49,' 6.0.00'!$AM$4:$AO$55,3,FALSE))</f>
        <v>0</v>
      </c>
      <c r="D49" s="4">
        <f>(VLOOKUP(' 6.0.00'!L49,' 6.0.00'!$AM$4:$AO$55,3,FALSE))</f>
        <v>0</v>
      </c>
      <c r="E49" s="4">
        <f>(VLOOKUP(' 6.0.00'!M49,' 6.0.00'!$AM$4:$AO$55,3,FALSE))</f>
        <v>0</v>
      </c>
      <c r="F49" s="4">
        <f>(VLOOKUP(' 6.0.00'!N49,' 6.0.00'!$AM$4:$AO$55,3,FALSE))</f>
        <v>0</v>
      </c>
      <c r="G49" s="5">
        <f>(VLOOKUP(' 6.0.00'!O49,' 6.0.00'!$AM$4:$AO$55,3,FALSE))</f>
        <v>0</v>
      </c>
      <c r="H49" s="5">
        <f>(VLOOKUP(' 6.0.00'!P49,' 6.0.00'!$AM$4:$AO$55,3,FALSE))</f>
        <v>0</v>
      </c>
      <c r="I49" s="4">
        <f>(VLOOKUP(' 6.0.00'!Q49,' 6.0.00'!$AM$4:$AO$55,3,FALSE))</f>
        <v>0</v>
      </c>
      <c r="J49" s="4">
        <f>(VLOOKUP(' 6.0.00'!R49,' 6.0.00'!$AM$4:$AO$55,3,FALSE))</f>
        <v>0</v>
      </c>
      <c r="K49" s="4">
        <f>(VLOOKUP(' 6.0.00'!S49,' 6.0.00'!$AM$4:$AO$55,3,FALSE))</f>
        <v>0</v>
      </c>
      <c r="L49" s="4">
        <f>(VLOOKUP(' 6.0.00'!T49,' 6.0.00'!$AM$4:$AO$55,3,FALSE))</f>
        <v>0</v>
      </c>
      <c r="M49" s="4">
        <f>(VLOOKUP(' 6.0.00'!U49,' 6.0.00'!$AM$4:$AO$55,3,FALSE))</f>
        <v>0</v>
      </c>
      <c r="N49" s="4">
        <f>(VLOOKUP(' 6.0.00'!V49,' 6.0.00'!$AM$4:$AO$55,3,FALSE))</f>
        <v>0</v>
      </c>
      <c r="O49" s="5">
        <f>(VLOOKUP(' 6.0.00'!W49,' 6.0.00'!$AM$4:$AO$55,3,FALSE))</f>
        <v>0</v>
      </c>
      <c r="P49" s="5">
        <f>(VLOOKUP(' 6.0.00'!X49,' 6.0.00'!$AM$4:$AO$55,3,FALSE))</f>
        <v>0</v>
      </c>
      <c r="Q49" s="4">
        <f>(VLOOKUP(' 6.0.00'!Y49,' 6.0.00'!$AM$4:$AO$55,3,FALSE))</f>
        <v>0</v>
      </c>
      <c r="R49" s="4">
        <f>(VLOOKUP(' 6.0.00'!Z49,' 6.0.00'!$AM$4:$AO$55,3,FALSE))</f>
        <v>0</v>
      </c>
      <c r="S49" s="4">
        <f>(VLOOKUP(' 6.0.00'!AA49,' 6.0.00'!$AM$4:$AO$55,3,FALSE))</f>
        <v>0</v>
      </c>
      <c r="T49" s="4">
        <f>(VLOOKUP(' 6.0.00'!AB49,' 6.0.00'!$AM$4:$AO$55,3,FALSE))</f>
        <v>0</v>
      </c>
      <c r="U49" s="4">
        <f>(VLOOKUP(' 6.0.00'!AC49,' 6.0.00'!$AM$4:$AO$55,3,FALSE))</f>
        <v>0</v>
      </c>
      <c r="V49" s="4">
        <f>(VLOOKUP(' 6.0.00'!AD49,' 6.0.00'!$AM$4:$AO$55,3,FALSE))</f>
        <v>0</v>
      </c>
      <c r="W49" s="5">
        <f>(VLOOKUP(' 6.0.00'!AE49,' 6.0.00'!$AM$4:$AO$55,3,FALSE))</f>
        <v>0</v>
      </c>
      <c r="X49" s="5">
        <f>(VLOOKUP(' 6.0.00'!AF49,' 6.0.00'!$AM$4:$AO$55,3,FALSE))</f>
        <v>0</v>
      </c>
    </row>
    <row r="50" spans="1:24">
      <c r="A50" s="4">
        <f>(VLOOKUP(' 6.0.00'!I50,' 6.0.00'!$AM$4:$AO$55,3,FALSE))</f>
        <v>0</v>
      </c>
      <c r="B50" s="4">
        <f>(VLOOKUP(' 6.0.00'!J50,' 6.0.00'!$AM$4:$AO$55,3,FALSE))</f>
        <v>0</v>
      </c>
      <c r="C50" s="4">
        <f>(VLOOKUP(' 6.0.00'!K50,' 6.0.00'!$AM$4:$AO$55,3,FALSE))</f>
        <v>0</v>
      </c>
      <c r="D50" s="4">
        <f>(VLOOKUP(' 6.0.00'!L50,' 6.0.00'!$AM$4:$AO$55,3,FALSE))</f>
        <v>0</v>
      </c>
      <c r="E50" s="4">
        <f>(VLOOKUP(' 6.0.00'!M50,' 6.0.00'!$AM$4:$AO$55,3,FALSE))</f>
        <v>0</v>
      </c>
      <c r="F50" s="4">
        <f>(VLOOKUP(' 6.0.00'!N50,' 6.0.00'!$AM$4:$AO$55,3,FALSE))</f>
        <v>0</v>
      </c>
      <c r="G50" s="5">
        <f>(VLOOKUP(' 6.0.00'!O50,' 6.0.00'!$AM$4:$AO$55,3,FALSE))</f>
        <v>0</v>
      </c>
      <c r="H50" s="5">
        <f>(VLOOKUP(' 6.0.00'!P50,' 6.0.00'!$AM$4:$AO$55,3,FALSE))</f>
        <v>0</v>
      </c>
      <c r="I50" s="4">
        <f>(VLOOKUP(' 6.0.00'!Q50,' 6.0.00'!$AM$4:$AO$55,3,FALSE))</f>
        <v>0</v>
      </c>
      <c r="J50" s="4">
        <f>(VLOOKUP(' 6.0.00'!R50,' 6.0.00'!$AM$4:$AO$55,3,FALSE))</f>
        <v>0</v>
      </c>
      <c r="K50" s="4">
        <f>(VLOOKUP(' 6.0.00'!S50,' 6.0.00'!$AM$4:$AO$55,3,FALSE))</f>
        <v>0</v>
      </c>
      <c r="L50" s="4">
        <f>(VLOOKUP(' 6.0.00'!T50,' 6.0.00'!$AM$4:$AO$55,3,FALSE))</f>
        <v>0</v>
      </c>
      <c r="M50" s="4">
        <f>(VLOOKUP(' 6.0.00'!U50,' 6.0.00'!$AM$4:$AO$55,3,FALSE))</f>
        <v>0</v>
      </c>
      <c r="N50" s="4">
        <f>(VLOOKUP(' 6.0.00'!V50,' 6.0.00'!$AM$4:$AO$55,3,FALSE))</f>
        <v>0</v>
      </c>
      <c r="O50" s="5">
        <f>(VLOOKUP(' 6.0.00'!W50,' 6.0.00'!$AM$4:$AO$55,3,FALSE))</f>
        <v>0</v>
      </c>
      <c r="P50" s="5">
        <f>(VLOOKUP(' 6.0.00'!X50,' 6.0.00'!$AM$4:$AO$55,3,FALSE))</f>
        <v>0</v>
      </c>
      <c r="Q50" s="4">
        <f>(VLOOKUP(' 6.0.00'!Y50,' 6.0.00'!$AM$4:$AO$55,3,FALSE))</f>
        <v>0</v>
      </c>
      <c r="R50" s="4">
        <f>(VLOOKUP(' 6.0.00'!Z50,' 6.0.00'!$AM$4:$AO$55,3,FALSE))</f>
        <v>0</v>
      </c>
      <c r="S50" s="4">
        <f>(VLOOKUP(' 6.0.00'!AA50,' 6.0.00'!$AM$4:$AO$55,3,FALSE))</f>
        <v>0</v>
      </c>
      <c r="T50" s="4">
        <f>(VLOOKUP(' 6.0.00'!AB50,' 6.0.00'!$AM$4:$AO$55,3,FALSE))</f>
        <v>0</v>
      </c>
      <c r="U50" s="4">
        <f>(VLOOKUP(' 6.0.00'!AC50,' 6.0.00'!$AM$4:$AO$55,3,FALSE))</f>
        <v>0</v>
      </c>
      <c r="V50" s="4">
        <f>(VLOOKUP(' 6.0.00'!AD50,' 6.0.00'!$AM$4:$AO$55,3,FALSE))</f>
        <v>0</v>
      </c>
      <c r="W50" s="5">
        <f>(VLOOKUP(' 6.0.00'!AE50,' 6.0.00'!$AM$4:$AO$55,3,FALSE))</f>
        <v>0</v>
      </c>
      <c r="X50" s="5">
        <f>(VLOOKUP(' 6.0.00'!AF50,' 6.0.00'!$AM$4:$AO$55,3,FALSE))</f>
        <v>0</v>
      </c>
    </row>
    <row r="51" spans="1:24">
      <c r="A51" s="4">
        <f>(VLOOKUP(' 6.0.00'!I51,' 6.0.00'!$AM$4:$AO$55,3,FALSE))</f>
        <v>0</v>
      </c>
      <c r="B51" s="4">
        <f>(VLOOKUP(' 6.0.00'!J51,' 6.0.00'!$AM$4:$AO$55,3,FALSE))</f>
        <v>0</v>
      </c>
      <c r="C51" s="4">
        <f>(VLOOKUP(' 6.0.00'!K51,' 6.0.00'!$AM$4:$AO$55,3,FALSE))</f>
        <v>0</v>
      </c>
      <c r="D51" s="4">
        <f>(VLOOKUP(' 6.0.00'!L51,' 6.0.00'!$AM$4:$AO$55,3,FALSE))</f>
        <v>0</v>
      </c>
      <c r="E51" s="4">
        <f>(VLOOKUP(' 6.0.00'!M51,' 6.0.00'!$AM$4:$AO$55,3,FALSE))</f>
        <v>0</v>
      </c>
      <c r="F51" s="4">
        <f>(VLOOKUP(' 6.0.00'!N51,' 6.0.00'!$AM$4:$AO$55,3,FALSE))</f>
        <v>0</v>
      </c>
      <c r="G51" s="5">
        <f>(VLOOKUP(' 6.0.00'!O51,' 6.0.00'!$AM$4:$AO$55,3,FALSE))</f>
        <v>0</v>
      </c>
      <c r="H51" s="5">
        <f>(VLOOKUP(' 6.0.00'!P51,' 6.0.00'!$AM$4:$AO$55,3,FALSE))</f>
        <v>0</v>
      </c>
      <c r="I51" s="4">
        <f>(VLOOKUP(' 6.0.00'!Q51,' 6.0.00'!$AM$4:$AO$55,3,FALSE))</f>
        <v>0</v>
      </c>
      <c r="J51" s="4">
        <f>(VLOOKUP(' 6.0.00'!R51,' 6.0.00'!$AM$4:$AO$55,3,FALSE))</f>
        <v>0</v>
      </c>
      <c r="K51" s="4">
        <f>(VLOOKUP(' 6.0.00'!S51,' 6.0.00'!$AM$4:$AO$55,3,FALSE))</f>
        <v>0</v>
      </c>
      <c r="L51" s="4">
        <f>(VLOOKUP(' 6.0.00'!T51,' 6.0.00'!$AM$4:$AO$55,3,FALSE))</f>
        <v>0</v>
      </c>
      <c r="M51" s="4">
        <f>(VLOOKUP(' 6.0.00'!U51,' 6.0.00'!$AM$4:$AO$55,3,FALSE))</f>
        <v>0</v>
      </c>
      <c r="N51" s="4">
        <f>(VLOOKUP(' 6.0.00'!V51,' 6.0.00'!$AM$4:$AO$55,3,FALSE))</f>
        <v>0</v>
      </c>
      <c r="O51" s="5">
        <f>(VLOOKUP(' 6.0.00'!W51,' 6.0.00'!$AM$4:$AO$55,3,FALSE))</f>
        <v>0</v>
      </c>
      <c r="P51" s="5">
        <f>(VLOOKUP(' 6.0.00'!X51,' 6.0.00'!$AM$4:$AO$55,3,FALSE))</f>
        <v>0</v>
      </c>
      <c r="Q51" s="4">
        <f>(VLOOKUP(' 6.0.00'!Y51,' 6.0.00'!$AM$4:$AO$55,3,FALSE))</f>
        <v>0</v>
      </c>
      <c r="R51" s="4">
        <f>(VLOOKUP(' 6.0.00'!Z51,' 6.0.00'!$AM$4:$AO$55,3,FALSE))</f>
        <v>0</v>
      </c>
      <c r="S51" s="4">
        <f>(VLOOKUP(' 6.0.00'!AA51,' 6.0.00'!$AM$4:$AO$55,3,FALSE))</f>
        <v>0</v>
      </c>
      <c r="T51" s="4">
        <f>(VLOOKUP(' 6.0.00'!AB51,' 6.0.00'!$AM$4:$AO$55,3,FALSE))</f>
        <v>0</v>
      </c>
      <c r="U51" s="4">
        <f>(VLOOKUP(' 6.0.00'!AC51,' 6.0.00'!$AM$4:$AO$55,3,FALSE))</f>
        <v>0</v>
      </c>
      <c r="V51" s="4">
        <f>(VLOOKUP(' 6.0.00'!AD51,' 6.0.00'!$AM$4:$AO$55,3,FALSE))</f>
        <v>0</v>
      </c>
      <c r="W51" s="5">
        <f>(VLOOKUP(' 6.0.00'!AE51,' 6.0.00'!$AM$4:$AO$55,3,FALSE))</f>
        <v>0</v>
      </c>
      <c r="X51" s="5">
        <f>(VLOOKUP(' 6.0.00'!AF51,' 6.0.00'!$AM$4:$AO$55,3,FALSE))</f>
        <v>0</v>
      </c>
    </row>
    <row r="52" spans="1:24">
      <c r="A52" s="4">
        <f>(VLOOKUP(' 6.0.00'!I52,' 6.0.00'!$AM$4:$AO$55,3,FALSE))</f>
        <v>0</v>
      </c>
      <c r="B52" s="4">
        <f>(VLOOKUP(' 6.0.00'!J52,' 6.0.00'!$AM$4:$AO$55,3,FALSE))</f>
        <v>0</v>
      </c>
      <c r="C52" s="4">
        <f>(VLOOKUP(' 6.0.00'!K52,' 6.0.00'!$AM$4:$AO$55,3,FALSE))</f>
        <v>0</v>
      </c>
      <c r="D52" s="4">
        <f>(VLOOKUP(' 6.0.00'!L52,' 6.0.00'!$AM$4:$AO$55,3,FALSE))</f>
        <v>0</v>
      </c>
      <c r="E52" s="4">
        <f>(VLOOKUP(' 6.0.00'!M52,' 6.0.00'!$AM$4:$AO$55,3,FALSE))</f>
        <v>0</v>
      </c>
      <c r="F52" s="4">
        <f>(VLOOKUP(' 6.0.00'!N52,' 6.0.00'!$AM$4:$AO$55,3,FALSE))</f>
        <v>0</v>
      </c>
      <c r="G52" s="5">
        <f>(VLOOKUP(' 6.0.00'!O52,' 6.0.00'!$AM$4:$AO$55,3,FALSE))</f>
        <v>0</v>
      </c>
      <c r="H52" s="5">
        <f>(VLOOKUP(' 6.0.00'!P52,' 6.0.00'!$AM$4:$AO$55,3,FALSE))</f>
        <v>0</v>
      </c>
      <c r="I52" s="4">
        <f>(VLOOKUP(' 6.0.00'!Q52,' 6.0.00'!$AM$4:$AO$55,3,FALSE))</f>
        <v>0</v>
      </c>
      <c r="J52" s="4">
        <f>(VLOOKUP(' 6.0.00'!R52,' 6.0.00'!$AM$4:$AO$55,3,FALSE))</f>
        <v>0</v>
      </c>
      <c r="K52" s="4">
        <f>(VLOOKUP(' 6.0.00'!S52,' 6.0.00'!$AM$4:$AO$55,3,FALSE))</f>
        <v>0</v>
      </c>
      <c r="L52" s="4">
        <f>(VLOOKUP(' 6.0.00'!T52,' 6.0.00'!$AM$4:$AO$55,3,FALSE))</f>
        <v>0</v>
      </c>
      <c r="M52" s="4">
        <f>(VLOOKUP(' 6.0.00'!U52,' 6.0.00'!$AM$4:$AO$55,3,FALSE))</f>
        <v>0</v>
      </c>
      <c r="N52" s="4">
        <f>(VLOOKUP(' 6.0.00'!V52,' 6.0.00'!$AM$4:$AO$55,3,FALSE))</f>
        <v>0</v>
      </c>
      <c r="O52" s="5">
        <f>(VLOOKUP(' 6.0.00'!W52,' 6.0.00'!$AM$4:$AO$55,3,FALSE))</f>
        <v>0</v>
      </c>
      <c r="P52" s="5">
        <f>(VLOOKUP(' 6.0.00'!X52,' 6.0.00'!$AM$4:$AO$55,3,FALSE))</f>
        <v>0</v>
      </c>
      <c r="Q52" s="4">
        <f>(VLOOKUP(' 6.0.00'!Y52,' 6.0.00'!$AM$4:$AO$55,3,FALSE))</f>
        <v>0</v>
      </c>
      <c r="R52" s="4">
        <f>(VLOOKUP(' 6.0.00'!Z52,' 6.0.00'!$AM$4:$AO$55,3,FALSE))</f>
        <v>0</v>
      </c>
      <c r="S52" s="4">
        <f>(VLOOKUP(' 6.0.00'!AA52,' 6.0.00'!$AM$4:$AO$55,3,FALSE))</f>
        <v>0</v>
      </c>
      <c r="T52" s="4">
        <f>(VLOOKUP(' 6.0.00'!AB52,' 6.0.00'!$AM$4:$AO$55,3,FALSE))</f>
        <v>0</v>
      </c>
      <c r="U52" s="4">
        <f>(VLOOKUP(' 6.0.00'!AC52,' 6.0.00'!$AM$4:$AO$55,3,FALSE))</f>
        <v>0</v>
      </c>
      <c r="V52" s="4">
        <f>(VLOOKUP(' 6.0.00'!AD52,' 6.0.00'!$AM$4:$AO$55,3,FALSE))</f>
        <v>0</v>
      </c>
      <c r="W52" s="5">
        <f>(VLOOKUP(' 6.0.00'!AE52,' 6.0.00'!$AM$4:$AO$55,3,FALSE))</f>
        <v>0</v>
      </c>
      <c r="X52" s="5">
        <f>(VLOOKUP(' 6.0.00'!AF52,' 6.0.00'!$AM$4:$AO$55,3,FALSE))</f>
        <v>0</v>
      </c>
    </row>
    <row r="53" spans="1:24">
      <c r="A53" s="4">
        <f>(VLOOKUP(' 6.0.00'!I53,' 6.0.00'!$AM$4:$AO$55,3,FALSE))</f>
        <v>0</v>
      </c>
      <c r="B53" s="4">
        <f>(VLOOKUP(' 6.0.00'!J53,' 6.0.00'!$AM$4:$AO$55,3,FALSE))</f>
        <v>0</v>
      </c>
      <c r="C53" s="4">
        <f>(VLOOKUP(' 6.0.00'!K53,' 6.0.00'!$AM$4:$AO$55,3,FALSE))</f>
        <v>0</v>
      </c>
      <c r="D53" s="4">
        <f>(VLOOKUP(' 6.0.00'!L53,' 6.0.00'!$AM$4:$AO$55,3,FALSE))</f>
        <v>0</v>
      </c>
      <c r="E53" s="4">
        <f>(VLOOKUP(' 6.0.00'!M53,' 6.0.00'!$AM$4:$AO$55,3,FALSE))</f>
        <v>0</v>
      </c>
      <c r="F53" s="4">
        <f>(VLOOKUP(' 6.0.00'!N53,' 6.0.00'!$AM$4:$AO$55,3,FALSE))</f>
        <v>0</v>
      </c>
      <c r="G53" s="5">
        <f>(VLOOKUP(' 6.0.00'!O53,' 6.0.00'!$AM$4:$AO$55,3,FALSE))</f>
        <v>0</v>
      </c>
      <c r="H53" s="5">
        <f>(VLOOKUP(' 6.0.00'!P53,' 6.0.00'!$AM$4:$AO$55,3,FALSE))</f>
        <v>0</v>
      </c>
      <c r="I53" s="4">
        <f>(VLOOKUP(' 6.0.00'!Q53,' 6.0.00'!$AM$4:$AO$55,3,FALSE))</f>
        <v>0</v>
      </c>
      <c r="J53" s="4">
        <f>(VLOOKUP(' 6.0.00'!R53,' 6.0.00'!$AM$4:$AO$55,3,FALSE))</f>
        <v>0</v>
      </c>
      <c r="K53" s="4">
        <f>(VLOOKUP(' 6.0.00'!S53,' 6.0.00'!$AM$4:$AO$55,3,FALSE))</f>
        <v>0</v>
      </c>
      <c r="L53" s="4">
        <f>(VLOOKUP(' 6.0.00'!T53,' 6.0.00'!$AM$4:$AO$55,3,FALSE))</f>
        <v>0</v>
      </c>
      <c r="M53" s="4">
        <f>(VLOOKUP(' 6.0.00'!U53,' 6.0.00'!$AM$4:$AO$55,3,FALSE))</f>
        <v>0</v>
      </c>
      <c r="N53" s="4">
        <f>(VLOOKUP(' 6.0.00'!V53,' 6.0.00'!$AM$4:$AO$55,3,FALSE))</f>
        <v>0</v>
      </c>
      <c r="O53" s="5">
        <f>(VLOOKUP(' 6.0.00'!W53,' 6.0.00'!$AM$4:$AO$55,3,FALSE))</f>
        <v>0</v>
      </c>
      <c r="P53" s="5">
        <f>(VLOOKUP(' 6.0.00'!X53,' 6.0.00'!$AM$4:$AO$55,3,FALSE))</f>
        <v>0</v>
      </c>
      <c r="Q53" s="4">
        <f>(VLOOKUP(' 6.0.00'!Y53,' 6.0.00'!$AM$4:$AO$55,3,FALSE))</f>
        <v>0</v>
      </c>
      <c r="R53" s="4">
        <f>(VLOOKUP(' 6.0.00'!Z53,' 6.0.00'!$AM$4:$AO$55,3,FALSE))</f>
        <v>0</v>
      </c>
      <c r="S53" s="4">
        <f>(VLOOKUP(' 6.0.00'!AA53,' 6.0.00'!$AM$4:$AO$55,3,FALSE))</f>
        <v>0</v>
      </c>
      <c r="T53" s="4">
        <f>(VLOOKUP(' 6.0.00'!AB53,' 6.0.00'!$AM$4:$AO$55,3,FALSE))</f>
        <v>0</v>
      </c>
      <c r="U53" s="4">
        <f>(VLOOKUP(' 6.0.00'!AC53,' 6.0.00'!$AM$4:$AO$55,3,FALSE))</f>
        <v>0</v>
      </c>
      <c r="V53" s="4">
        <f>(VLOOKUP(' 6.0.00'!AD53,' 6.0.00'!$AM$4:$AO$55,3,FALSE))</f>
        <v>0</v>
      </c>
      <c r="W53" s="5">
        <f>(VLOOKUP(' 6.0.00'!AE53,' 6.0.00'!$AM$4:$AO$55,3,FALSE))</f>
        <v>0</v>
      </c>
      <c r="X53" s="5">
        <f>(VLOOKUP(' 6.0.00'!AF53,' 6.0.00'!$AM$4:$AO$55,3,FALSE))</f>
        <v>0</v>
      </c>
    </row>
    <row r="54" spans="1:24">
      <c r="A54" s="4">
        <f>(VLOOKUP(' 6.0.00'!I54,' 6.0.00'!$AM$4:$AO$55,3,FALSE))</f>
        <v>0</v>
      </c>
      <c r="B54" s="4">
        <f>(VLOOKUP(' 6.0.00'!J54,' 6.0.00'!$AM$4:$AO$55,3,FALSE))</f>
        <v>0</v>
      </c>
      <c r="C54" s="4">
        <f>(VLOOKUP(' 6.0.00'!K54,' 6.0.00'!$AM$4:$AO$55,3,FALSE))</f>
        <v>0</v>
      </c>
      <c r="D54" s="4">
        <f>(VLOOKUP(' 6.0.00'!L54,' 6.0.00'!$AM$4:$AO$55,3,FALSE))</f>
        <v>0</v>
      </c>
      <c r="E54" s="4">
        <f>(VLOOKUP(' 6.0.00'!M54,' 6.0.00'!$AM$4:$AO$55,3,FALSE))</f>
        <v>0</v>
      </c>
      <c r="F54" s="4">
        <f>(VLOOKUP(' 6.0.00'!N54,' 6.0.00'!$AM$4:$AO$55,3,FALSE))</f>
        <v>0</v>
      </c>
      <c r="G54" s="5">
        <f>(VLOOKUP(' 6.0.00'!O54,' 6.0.00'!$AM$4:$AO$55,3,FALSE))</f>
        <v>0</v>
      </c>
      <c r="H54" s="5">
        <f>(VLOOKUP(' 6.0.00'!P54,' 6.0.00'!$AM$4:$AO$55,3,FALSE))</f>
        <v>0</v>
      </c>
      <c r="I54" s="4">
        <f>(VLOOKUP(' 6.0.00'!Q54,' 6.0.00'!$AM$4:$AO$55,3,FALSE))</f>
        <v>0</v>
      </c>
      <c r="J54" s="4">
        <f>(VLOOKUP(' 6.0.00'!R54,' 6.0.00'!$AM$4:$AO$55,3,FALSE))</f>
        <v>0</v>
      </c>
      <c r="K54" s="4">
        <f>(VLOOKUP(' 6.0.00'!S54,' 6.0.00'!$AM$4:$AO$55,3,FALSE))</f>
        <v>0</v>
      </c>
      <c r="L54" s="4">
        <f>(VLOOKUP(' 6.0.00'!T54,' 6.0.00'!$AM$4:$AO$55,3,FALSE))</f>
        <v>0</v>
      </c>
      <c r="M54" s="4">
        <f>(VLOOKUP(' 6.0.00'!U54,' 6.0.00'!$AM$4:$AO$55,3,FALSE))</f>
        <v>0</v>
      </c>
      <c r="N54" s="4">
        <f>(VLOOKUP(' 6.0.00'!V54,' 6.0.00'!$AM$4:$AO$55,3,FALSE))</f>
        <v>0</v>
      </c>
      <c r="O54" s="5">
        <f>(VLOOKUP(' 6.0.00'!W54,' 6.0.00'!$AM$4:$AO$55,3,FALSE))</f>
        <v>0</v>
      </c>
      <c r="P54" s="5">
        <f>(VLOOKUP(' 6.0.00'!X54,' 6.0.00'!$AM$4:$AO$55,3,FALSE))</f>
        <v>0</v>
      </c>
      <c r="Q54" s="4">
        <f>(VLOOKUP(' 6.0.00'!Y54,' 6.0.00'!$AM$4:$AO$55,3,FALSE))</f>
        <v>0</v>
      </c>
      <c r="R54" s="4">
        <f>(VLOOKUP(' 6.0.00'!Z54,' 6.0.00'!$AM$4:$AO$55,3,FALSE))</f>
        <v>0</v>
      </c>
      <c r="S54" s="4">
        <f>(VLOOKUP(' 6.0.00'!AA54,' 6.0.00'!$AM$4:$AO$55,3,FALSE))</f>
        <v>0</v>
      </c>
      <c r="T54" s="4">
        <f>(VLOOKUP(' 6.0.00'!AB54,' 6.0.00'!$AM$4:$AO$55,3,FALSE))</f>
        <v>0</v>
      </c>
      <c r="U54" s="4">
        <f>(VLOOKUP(' 6.0.00'!AC54,' 6.0.00'!$AM$4:$AO$55,3,FALSE))</f>
        <v>0</v>
      </c>
      <c r="V54" s="4">
        <f>(VLOOKUP(' 6.0.00'!AD54,' 6.0.00'!$AM$4:$AO$55,3,FALSE))</f>
        <v>0</v>
      </c>
      <c r="W54" s="5">
        <f>(VLOOKUP(' 6.0.00'!AE54,' 6.0.00'!$AM$4:$AO$55,3,FALSE))</f>
        <v>0</v>
      </c>
      <c r="X54" s="5">
        <f>(VLOOKUP(' 6.0.00'!AF54,' 6.0.00'!$AM$4:$AO$55,3,FALSE))</f>
        <v>0</v>
      </c>
    </row>
    <row r="55" spans="1:24">
      <c r="A55" s="4">
        <f>(VLOOKUP(' 6.0.00'!I55,' 6.0.00'!$AM$4:$AO$55,3,FALSE))</f>
        <v>0</v>
      </c>
      <c r="B55" s="4">
        <f>(VLOOKUP(' 6.0.00'!J55,' 6.0.00'!$AM$4:$AO$55,3,FALSE))</f>
        <v>0</v>
      </c>
      <c r="C55" s="4">
        <f>(VLOOKUP(' 6.0.00'!K55,' 6.0.00'!$AM$4:$AO$55,3,FALSE))</f>
        <v>0</v>
      </c>
      <c r="D55" s="4">
        <f>(VLOOKUP(' 6.0.00'!L55,' 6.0.00'!$AM$4:$AO$55,3,FALSE))</f>
        <v>0</v>
      </c>
      <c r="E55" s="4">
        <f>(VLOOKUP(' 6.0.00'!M55,' 6.0.00'!$AM$4:$AO$55,3,FALSE))</f>
        <v>0</v>
      </c>
      <c r="F55" s="4">
        <f>(VLOOKUP(' 6.0.00'!N55,' 6.0.00'!$AM$4:$AO$55,3,FALSE))</f>
        <v>0</v>
      </c>
      <c r="G55" s="5">
        <f>(VLOOKUP(' 6.0.00'!O55,' 6.0.00'!$AM$4:$AO$55,3,FALSE))</f>
        <v>0</v>
      </c>
      <c r="H55" s="5">
        <f>(VLOOKUP(' 6.0.00'!P55,' 6.0.00'!$AM$4:$AO$55,3,FALSE))</f>
        <v>0</v>
      </c>
      <c r="I55" s="4">
        <f>(VLOOKUP(' 6.0.00'!Q55,' 6.0.00'!$AM$4:$AO$55,3,FALSE))</f>
        <v>0</v>
      </c>
      <c r="J55" s="4">
        <f>(VLOOKUP(' 6.0.00'!R55,' 6.0.00'!$AM$4:$AO$55,3,FALSE))</f>
        <v>0</v>
      </c>
      <c r="K55" s="4">
        <f>(VLOOKUP(' 6.0.00'!S55,' 6.0.00'!$AM$4:$AO$55,3,FALSE))</f>
        <v>0</v>
      </c>
      <c r="L55" s="4">
        <f>(VLOOKUP(' 6.0.00'!T55,' 6.0.00'!$AM$4:$AO$55,3,FALSE))</f>
        <v>0</v>
      </c>
      <c r="M55" s="4">
        <f>(VLOOKUP(' 6.0.00'!U55,' 6.0.00'!$AM$4:$AO$55,3,FALSE))</f>
        <v>0</v>
      </c>
      <c r="N55" s="4">
        <f>(VLOOKUP(' 6.0.00'!V55,' 6.0.00'!$AM$4:$AO$55,3,FALSE))</f>
        <v>0</v>
      </c>
      <c r="O55" s="5">
        <f>(VLOOKUP(' 6.0.00'!W55,' 6.0.00'!$AM$4:$AO$55,3,FALSE))</f>
        <v>0</v>
      </c>
      <c r="P55" s="5">
        <f>(VLOOKUP(' 6.0.00'!X55,' 6.0.00'!$AM$4:$AO$55,3,FALSE))</f>
        <v>0</v>
      </c>
      <c r="Q55" s="4">
        <f>(VLOOKUP(' 6.0.00'!Y55,' 6.0.00'!$AM$4:$AO$55,3,FALSE))</f>
        <v>0</v>
      </c>
      <c r="R55" s="4">
        <f>(VLOOKUP(' 6.0.00'!Z55,' 6.0.00'!$AM$4:$AO$55,3,FALSE))</f>
        <v>0</v>
      </c>
      <c r="S55" s="4">
        <f>(VLOOKUP(' 6.0.00'!AA55,' 6.0.00'!$AM$4:$AO$55,3,FALSE))</f>
        <v>0</v>
      </c>
      <c r="T55" s="4">
        <f>(VLOOKUP(' 6.0.00'!AB55,' 6.0.00'!$AM$4:$AO$55,3,FALSE))</f>
        <v>0</v>
      </c>
      <c r="U55" s="4">
        <f>(VLOOKUP(' 6.0.00'!AC55,' 6.0.00'!$AM$4:$AO$55,3,FALSE))</f>
        <v>0</v>
      </c>
      <c r="V55" s="4">
        <f>(VLOOKUP(' 6.0.00'!AD55,' 6.0.00'!$AM$4:$AO$55,3,FALSE))</f>
        <v>0</v>
      </c>
      <c r="W55" s="5">
        <f>(VLOOKUP(' 6.0.00'!AE55,' 6.0.00'!$AM$4:$AO$55,3,FALSE))</f>
        <v>0</v>
      </c>
      <c r="X55" s="5">
        <f>(VLOOKUP(' 6.0.00'!AF55,' 6.0.00'!$AM$4:$AO$55,3,FALSE))</f>
        <v>0</v>
      </c>
    </row>
    <row r="56" spans="1:24">
      <c r="A56" s="4">
        <f>(VLOOKUP(' 6.0.00'!I56,' 6.0.00'!$AM$4:$AO$55,3,FALSE))</f>
        <v>0</v>
      </c>
      <c r="B56" s="4">
        <f>(VLOOKUP(' 6.0.00'!J56,' 6.0.00'!$AM$4:$AO$55,3,FALSE))</f>
        <v>0</v>
      </c>
      <c r="C56" s="4">
        <f>(VLOOKUP(' 6.0.00'!K56,' 6.0.00'!$AM$4:$AO$55,3,FALSE))</f>
        <v>0</v>
      </c>
      <c r="D56" s="4">
        <f>(VLOOKUP(' 6.0.00'!L56,' 6.0.00'!$AM$4:$AO$55,3,FALSE))</f>
        <v>0</v>
      </c>
      <c r="E56" s="4">
        <f>(VLOOKUP(' 6.0.00'!M56,' 6.0.00'!$AM$4:$AO$55,3,FALSE))</f>
        <v>0</v>
      </c>
      <c r="F56" s="4">
        <f>(VLOOKUP(' 6.0.00'!N56,' 6.0.00'!$AM$4:$AO$55,3,FALSE))</f>
        <v>0</v>
      </c>
      <c r="G56" s="5">
        <f>(VLOOKUP(' 6.0.00'!O56,' 6.0.00'!$AM$4:$AO$55,3,FALSE))</f>
        <v>0</v>
      </c>
      <c r="H56" s="5">
        <f>(VLOOKUP(' 6.0.00'!P56,' 6.0.00'!$AM$4:$AO$55,3,FALSE))</f>
        <v>0</v>
      </c>
      <c r="I56" s="4">
        <f>(VLOOKUP(' 6.0.00'!Q56,' 6.0.00'!$AM$4:$AO$55,3,FALSE))</f>
        <v>0</v>
      </c>
      <c r="J56" s="4">
        <f>(VLOOKUP(' 6.0.00'!R56,' 6.0.00'!$AM$4:$AO$55,3,FALSE))</f>
        <v>0</v>
      </c>
      <c r="K56" s="4">
        <f>(VLOOKUP(' 6.0.00'!S56,' 6.0.00'!$AM$4:$AO$55,3,FALSE))</f>
        <v>0</v>
      </c>
      <c r="L56" s="4">
        <f>(VLOOKUP(' 6.0.00'!T56,' 6.0.00'!$AM$4:$AO$55,3,FALSE))</f>
        <v>0</v>
      </c>
      <c r="M56" s="4">
        <f>(VLOOKUP(' 6.0.00'!U56,' 6.0.00'!$AM$4:$AO$55,3,FALSE))</f>
        <v>0</v>
      </c>
      <c r="N56" s="4">
        <f>(VLOOKUP(' 6.0.00'!V56,' 6.0.00'!$AM$4:$AO$55,3,FALSE))</f>
        <v>0</v>
      </c>
      <c r="O56" s="5">
        <f>(VLOOKUP(' 6.0.00'!W56,' 6.0.00'!$AM$4:$AO$55,3,FALSE))</f>
        <v>0</v>
      </c>
      <c r="P56" s="5">
        <f>(VLOOKUP(' 6.0.00'!X56,' 6.0.00'!$AM$4:$AO$55,3,FALSE))</f>
        <v>0</v>
      </c>
      <c r="Q56" s="4">
        <f>(VLOOKUP(' 6.0.00'!Y56,' 6.0.00'!$AM$4:$AO$55,3,FALSE))</f>
        <v>0</v>
      </c>
      <c r="R56" s="4">
        <f>(VLOOKUP(' 6.0.00'!Z56,' 6.0.00'!$AM$4:$AO$55,3,FALSE))</f>
        <v>0</v>
      </c>
      <c r="S56" s="4">
        <f>(VLOOKUP(' 6.0.00'!AA56,' 6.0.00'!$AM$4:$AO$55,3,FALSE))</f>
        <v>0</v>
      </c>
      <c r="T56" s="4">
        <f>(VLOOKUP(' 6.0.00'!AB56,' 6.0.00'!$AM$4:$AO$55,3,FALSE))</f>
        <v>0</v>
      </c>
      <c r="U56" s="4">
        <f>(VLOOKUP(' 6.0.00'!AC56,' 6.0.00'!$AM$4:$AO$55,3,FALSE))</f>
        <v>0</v>
      </c>
      <c r="V56" s="4">
        <f>(VLOOKUP(' 6.0.00'!AD56,' 6.0.00'!$AM$4:$AO$55,3,FALSE))</f>
        <v>0</v>
      </c>
      <c r="W56" s="5">
        <f>(VLOOKUP(' 6.0.00'!AE56,' 6.0.00'!$AM$4:$AO$55,3,FALSE))</f>
        <v>0</v>
      </c>
      <c r="X56" s="5">
        <f>(VLOOKUP(' 6.0.00'!AF56,' 6.0.00'!$AM$4:$AO$55,3,FALSE))</f>
        <v>0</v>
      </c>
    </row>
    <row r="57" spans="1:24">
      <c r="A57" s="4">
        <f>(VLOOKUP(' 6.0.00'!I57,' 6.0.00'!$AM$4:$AO$55,3,FALSE))</f>
        <v>0</v>
      </c>
      <c r="B57" s="4">
        <f>(VLOOKUP(' 6.0.00'!J57,' 6.0.00'!$AM$4:$AO$55,3,FALSE))</f>
        <v>0</v>
      </c>
      <c r="C57" s="4">
        <f>(VLOOKUP(' 6.0.00'!K57,' 6.0.00'!$AM$4:$AO$55,3,FALSE))</f>
        <v>0</v>
      </c>
      <c r="D57" s="4">
        <f>(VLOOKUP(' 6.0.00'!L57,' 6.0.00'!$AM$4:$AO$55,3,FALSE))</f>
        <v>0</v>
      </c>
      <c r="E57" s="4">
        <f>(VLOOKUP(' 6.0.00'!M57,' 6.0.00'!$AM$4:$AO$55,3,FALSE))</f>
        <v>0</v>
      </c>
      <c r="F57" s="4">
        <f>(VLOOKUP(' 6.0.00'!N57,' 6.0.00'!$AM$4:$AO$55,3,FALSE))</f>
        <v>0</v>
      </c>
      <c r="G57" s="5">
        <f>(VLOOKUP(' 6.0.00'!O57,' 6.0.00'!$AM$4:$AO$55,3,FALSE))</f>
        <v>0</v>
      </c>
      <c r="H57" s="5">
        <f>(VLOOKUP(' 6.0.00'!P57,' 6.0.00'!$AM$4:$AO$55,3,FALSE))</f>
        <v>0</v>
      </c>
      <c r="I57" s="4">
        <f>(VLOOKUP(' 6.0.00'!Q57,' 6.0.00'!$AM$4:$AO$55,3,FALSE))</f>
        <v>0</v>
      </c>
      <c r="J57" s="4">
        <f>(VLOOKUP(' 6.0.00'!R57,' 6.0.00'!$AM$4:$AO$55,3,FALSE))</f>
        <v>0</v>
      </c>
      <c r="K57" s="4">
        <f>(VLOOKUP(' 6.0.00'!S57,' 6.0.00'!$AM$4:$AO$55,3,FALSE))</f>
        <v>0</v>
      </c>
      <c r="L57" s="4">
        <f>(VLOOKUP(' 6.0.00'!T57,' 6.0.00'!$AM$4:$AO$55,3,FALSE))</f>
        <v>0</v>
      </c>
      <c r="M57" s="4">
        <f>(VLOOKUP(' 6.0.00'!U57,' 6.0.00'!$AM$4:$AO$55,3,FALSE))</f>
        <v>0</v>
      </c>
      <c r="N57" s="4">
        <f>(VLOOKUP(' 6.0.00'!V57,' 6.0.00'!$AM$4:$AO$55,3,FALSE))</f>
        <v>0</v>
      </c>
      <c r="O57" s="5">
        <f>(VLOOKUP(' 6.0.00'!W57,' 6.0.00'!$AM$4:$AO$55,3,FALSE))</f>
        <v>0</v>
      </c>
      <c r="P57" s="5">
        <f>(VLOOKUP(' 6.0.00'!X57,' 6.0.00'!$AM$4:$AO$55,3,FALSE))</f>
        <v>0</v>
      </c>
      <c r="Q57" s="4">
        <f>(VLOOKUP(' 6.0.00'!Y57,' 6.0.00'!$AM$4:$AO$55,3,FALSE))</f>
        <v>0</v>
      </c>
      <c r="R57" s="4">
        <f>(VLOOKUP(' 6.0.00'!Z57,' 6.0.00'!$AM$4:$AO$55,3,FALSE))</f>
        <v>0</v>
      </c>
      <c r="S57" s="4">
        <f>(VLOOKUP(' 6.0.00'!AA57,' 6.0.00'!$AM$4:$AO$55,3,FALSE))</f>
        <v>0</v>
      </c>
      <c r="T57" s="4">
        <f>(VLOOKUP(' 6.0.00'!AB57,' 6.0.00'!$AM$4:$AO$55,3,FALSE))</f>
        <v>0</v>
      </c>
      <c r="U57" s="4">
        <f>(VLOOKUP(' 6.0.00'!AC57,' 6.0.00'!$AM$4:$AO$55,3,FALSE))</f>
        <v>0</v>
      </c>
      <c r="V57" s="4">
        <f>(VLOOKUP(' 6.0.00'!AD57,' 6.0.00'!$AM$4:$AO$55,3,FALSE))</f>
        <v>0</v>
      </c>
      <c r="W57" s="5">
        <f>(VLOOKUP(' 6.0.00'!AE57,' 6.0.00'!$AM$4:$AO$55,3,FALSE))</f>
        <v>0</v>
      </c>
      <c r="X57" s="5">
        <f>(VLOOKUP(' 6.0.00'!AF57,' 6.0.00'!$AM$4:$AO$55,3,FALSE))</f>
        <v>0</v>
      </c>
    </row>
    <row r="58" spans="1:24">
      <c r="A58" s="4">
        <f>(VLOOKUP(' 6.0.00'!I58,' 6.0.00'!$AM$4:$AO$55,3,FALSE))</f>
        <v>0</v>
      </c>
      <c r="B58" s="4">
        <f>(VLOOKUP(' 6.0.00'!J58,' 6.0.00'!$AM$4:$AO$55,3,FALSE))</f>
        <v>0</v>
      </c>
      <c r="C58" s="4">
        <f>(VLOOKUP(' 6.0.00'!K58,' 6.0.00'!$AM$4:$AO$55,3,FALSE))</f>
        <v>0</v>
      </c>
      <c r="D58" s="4">
        <f>(VLOOKUP(' 6.0.00'!L58,' 6.0.00'!$AM$4:$AO$55,3,FALSE))</f>
        <v>0</v>
      </c>
      <c r="E58" s="4">
        <f>(VLOOKUP(' 6.0.00'!M58,' 6.0.00'!$AM$4:$AO$55,3,FALSE))</f>
        <v>0</v>
      </c>
      <c r="F58" s="4">
        <f>(VLOOKUP(' 6.0.00'!N58,' 6.0.00'!$AM$4:$AO$55,3,FALSE))</f>
        <v>0</v>
      </c>
      <c r="G58" s="5">
        <f>(VLOOKUP(' 6.0.00'!O58,' 6.0.00'!$AM$4:$AO$55,3,FALSE))</f>
        <v>0</v>
      </c>
      <c r="H58" s="5">
        <f>(VLOOKUP(' 6.0.00'!P58,' 6.0.00'!$AM$4:$AO$55,3,FALSE))</f>
        <v>0</v>
      </c>
      <c r="I58" s="4">
        <f>(VLOOKUP(' 6.0.00'!Q58,' 6.0.00'!$AM$4:$AO$55,3,FALSE))</f>
        <v>0</v>
      </c>
      <c r="J58" s="4">
        <f>(VLOOKUP(' 6.0.00'!R58,' 6.0.00'!$AM$4:$AO$55,3,FALSE))</f>
        <v>0</v>
      </c>
      <c r="K58" s="4">
        <f>(VLOOKUP(' 6.0.00'!S58,' 6.0.00'!$AM$4:$AO$55,3,FALSE))</f>
        <v>0</v>
      </c>
      <c r="L58" s="4">
        <f>(VLOOKUP(' 6.0.00'!T58,' 6.0.00'!$AM$4:$AO$55,3,FALSE))</f>
        <v>0</v>
      </c>
      <c r="M58" s="4">
        <f>(VLOOKUP(' 6.0.00'!U58,' 6.0.00'!$AM$4:$AO$55,3,FALSE))</f>
        <v>0</v>
      </c>
      <c r="N58" s="4">
        <f>(VLOOKUP(' 6.0.00'!V58,' 6.0.00'!$AM$4:$AO$55,3,FALSE))</f>
        <v>0</v>
      </c>
      <c r="O58" s="5">
        <f>(VLOOKUP(' 6.0.00'!W58,' 6.0.00'!$AM$4:$AO$55,3,FALSE))</f>
        <v>0</v>
      </c>
      <c r="P58" s="5">
        <f>(VLOOKUP(' 6.0.00'!X58,' 6.0.00'!$AM$4:$AO$55,3,FALSE))</f>
        <v>0</v>
      </c>
      <c r="Q58" s="4">
        <f>(VLOOKUP(' 6.0.00'!Y58,' 6.0.00'!$AM$4:$AO$55,3,FALSE))</f>
        <v>0</v>
      </c>
      <c r="R58" s="4">
        <f>(VLOOKUP(' 6.0.00'!Z58,' 6.0.00'!$AM$4:$AO$55,3,FALSE))</f>
        <v>0</v>
      </c>
      <c r="S58" s="4">
        <f>(VLOOKUP(' 6.0.00'!AA58,' 6.0.00'!$AM$4:$AO$55,3,FALSE))</f>
        <v>0</v>
      </c>
      <c r="T58" s="4">
        <f>(VLOOKUP(' 6.0.00'!AB58,' 6.0.00'!$AM$4:$AO$55,3,FALSE))</f>
        <v>0</v>
      </c>
      <c r="U58" s="4">
        <f>(VLOOKUP(' 6.0.00'!AC58,' 6.0.00'!$AM$4:$AO$55,3,FALSE))</f>
        <v>0</v>
      </c>
      <c r="V58" s="4">
        <f>(VLOOKUP(' 6.0.00'!AD58,' 6.0.00'!$AM$4:$AO$55,3,FALSE))</f>
        <v>0</v>
      </c>
      <c r="W58" s="5">
        <f>(VLOOKUP(' 6.0.00'!AE58,' 6.0.00'!$AM$4:$AO$55,3,FALSE))</f>
        <v>0</v>
      </c>
      <c r="X58" s="5">
        <f>(VLOOKUP(' 6.0.00'!AF58,' 6.0.00'!$AM$4:$AO$55,3,FALSE))</f>
        <v>0</v>
      </c>
    </row>
    <row r="59" spans="1:24">
      <c r="A59" s="4">
        <f>(VLOOKUP(' 6.0.00'!I59,' 6.0.00'!$AM$4:$AO$55,3,FALSE))</f>
        <v>0</v>
      </c>
      <c r="B59" s="4">
        <f>(VLOOKUP(' 6.0.00'!J59,' 6.0.00'!$AM$4:$AO$55,3,FALSE))</f>
        <v>0</v>
      </c>
      <c r="C59" s="4">
        <f>(VLOOKUP(' 6.0.00'!K59,' 6.0.00'!$AM$4:$AO$55,3,FALSE))</f>
        <v>0</v>
      </c>
      <c r="D59" s="4">
        <f>(VLOOKUP(' 6.0.00'!L59,' 6.0.00'!$AM$4:$AO$55,3,FALSE))</f>
        <v>0</v>
      </c>
      <c r="E59" s="4">
        <f>(VLOOKUP(' 6.0.00'!M59,' 6.0.00'!$AM$4:$AO$55,3,FALSE))</f>
        <v>0</v>
      </c>
      <c r="F59" s="4">
        <f>(VLOOKUP(' 6.0.00'!N59,' 6.0.00'!$AM$4:$AO$55,3,FALSE))</f>
        <v>0</v>
      </c>
      <c r="G59" s="5">
        <f>(VLOOKUP(' 6.0.00'!O59,' 6.0.00'!$AM$4:$AO$55,3,FALSE))</f>
        <v>0</v>
      </c>
      <c r="H59" s="5">
        <f>(VLOOKUP(' 6.0.00'!P59,' 6.0.00'!$AM$4:$AO$55,3,FALSE))</f>
        <v>0</v>
      </c>
      <c r="I59" s="4">
        <f>(VLOOKUP(' 6.0.00'!Q59,' 6.0.00'!$AM$4:$AO$55,3,FALSE))</f>
        <v>0</v>
      </c>
      <c r="J59" s="4">
        <f>(VLOOKUP(' 6.0.00'!R59,' 6.0.00'!$AM$4:$AO$55,3,FALSE))</f>
        <v>0</v>
      </c>
      <c r="K59" s="4">
        <f>(VLOOKUP(' 6.0.00'!S59,' 6.0.00'!$AM$4:$AO$55,3,FALSE))</f>
        <v>0</v>
      </c>
      <c r="L59" s="4">
        <f>(VLOOKUP(' 6.0.00'!T59,' 6.0.00'!$AM$4:$AO$55,3,FALSE))</f>
        <v>0</v>
      </c>
      <c r="M59" s="4">
        <f>(VLOOKUP(' 6.0.00'!U59,' 6.0.00'!$AM$4:$AO$55,3,FALSE))</f>
        <v>0</v>
      </c>
      <c r="N59" s="4">
        <f>(VLOOKUP(' 6.0.00'!V59,' 6.0.00'!$AM$4:$AO$55,3,FALSE))</f>
        <v>0</v>
      </c>
      <c r="O59" s="5">
        <f>(VLOOKUP(' 6.0.00'!W59,' 6.0.00'!$AM$4:$AO$55,3,FALSE))</f>
        <v>0</v>
      </c>
      <c r="P59" s="5">
        <f>(VLOOKUP(' 6.0.00'!X59,' 6.0.00'!$AM$4:$AO$55,3,FALSE))</f>
        <v>0</v>
      </c>
      <c r="Q59" s="4">
        <f>(VLOOKUP(' 6.0.00'!Y59,' 6.0.00'!$AM$4:$AO$55,3,FALSE))</f>
        <v>0</v>
      </c>
      <c r="R59" s="4">
        <f>(VLOOKUP(' 6.0.00'!Z59,' 6.0.00'!$AM$4:$AO$55,3,FALSE))</f>
        <v>0</v>
      </c>
      <c r="S59" s="4">
        <f>(VLOOKUP(' 6.0.00'!AA59,' 6.0.00'!$AM$4:$AO$55,3,FALSE))</f>
        <v>0</v>
      </c>
      <c r="T59" s="4">
        <f>(VLOOKUP(' 6.0.00'!AB59,' 6.0.00'!$AM$4:$AO$55,3,FALSE))</f>
        <v>0</v>
      </c>
      <c r="U59" s="4">
        <f>(VLOOKUP(' 6.0.00'!AC59,' 6.0.00'!$AM$4:$AO$55,3,FALSE))</f>
        <v>0</v>
      </c>
      <c r="V59" s="4">
        <f>(VLOOKUP(' 6.0.00'!AD59,' 6.0.00'!$AM$4:$AO$55,3,FALSE))</f>
        <v>0</v>
      </c>
      <c r="W59" s="5">
        <f>(VLOOKUP(' 6.0.00'!AE59,' 6.0.00'!$AM$4:$AO$55,3,FALSE))</f>
        <v>0</v>
      </c>
      <c r="X59" s="5">
        <f>(VLOOKUP(' 6.0.00'!AF59,' 6.0.00'!$AM$4:$AO$55,3,FALSE))</f>
        <v>0</v>
      </c>
    </row>
    <row r="60" spans="1:24">
      <c r="A60" s="4">
        <f>(VLOOKUP(' 6.0.00'!I60,' 6.0.00'!$AM$4:$AO$55,3,FALSE))</f>
        <v>0</v>
      </c>
      <c r="B60" s="4">
        <f>(VLOOKUP(' 6.0.00'!J60,' 6.0.00'!$AM$4:$AO$55,3,FALSE))</f>
        <v>0</v>
      </c>
      <c r="C60" s="4">
        <f>(VLOOKUP(' 6.0.00'!K60,' 6.0.00'!$AM$4:$AO$55,3,FALSE))</f>
        <v>0</v>
      </c>
      <c r="D60" s="4">
        <f>(VLOOKUP(' 6.0.00'!L60,' 6.0.00'!$AM$4:$AO$55,3,FALSE))</f>
        <v>0</v>
      </c>
      <c r="E60" s="4">
        <f>(VLOOKUP(' 6.0.00'!M60,' 6.0.00'!$AM$4:$AO$55,3,FALSE))</f>
        <v>0</v>
      </c>
      <c r="F60" s="4">
        <f>(VLOOKUP(' 6.0.00'!N60,' 6.0.00'!$AM$4:$AO$55,3,FALSE))</f>
        <v>0</v>
      </c>
      <c r="G60" s="5">
        <f>(VLOOKUP(' 6.0.00'!O60,' 6.0.00'!$AM$4:$AO$55,3,FALSE))</f>
        <v>0</v>
      </c>
      <c r="H60" s="5">
        <f>(VLOOKUP(' 6.0.00'!P60,' 6.0.00'!$AM$4:$AO$55,3,FALSE))</f>
        <v>0</v>
      </c>
      <c r="I60" s="4">
        <f>(VLOOKUP(' 6.0.00'!Q60,' 6.0.00'!$AM$4:$AO$55,3,FALSE))</f>
        <v>0</v>
      </c>
      <c r="J60" s="4">
        <f>(VLOOKUP(' 6.0.00'!R60,' 6.0.00'!$AM$4:$AO$55,3,FALSE))</f>
        <v>0</v>
      </c>
      <c r="K60" s="4">
        <f>(VLOOKUP(' 6.0.00'!S60,' 6.0.00'!$AM$4:$AO$55,3,FALSE))</f>
        <v>0</v>
      </c>
      <c r="L60" s="4">
        <f>(VLOOKUP(' 6.0.00'!T60,' 6.0.00'!$AM$4:$AO$55,3,FALSE))</f>
        <v>0</v>
      </c>
      <c r="M60" s="4">
        <f>(VLOOKUP(' 6.0.00'!U60,' 6.0.00'!$AM$4:$AO$55,3,FALSE))</f>
        <v>0</v>
      </c>
      <c r="N60" s="4">
        <f>(VLOOKUP(' 6.0.00'!V60,' 6.0.00'!$AM$4:$AO$55,3,FALSE))</f>
        <v>0</v>
      </c>
      <c r="O60" s="5">
        <f>(VLOOKUP(' 6.0.00'!W60,' 6.0.00'!$AM$4:$AO$55,3,FALSE))</f>
        <v>0</v>
      </c>
      <c r="P60" s="5">
        <f>(VLOOKUP(' 6.0.00'!X60,' 6.0.00'!$AM$4:$AO$55,3,FALSE))</f>
        <v>0</v>
      </c>
      <c r="Q60" s="4">
        <f>(VLOOKUP(' 6.0.00'!Y60,' 6.0.00'!$AM$4:$AO$55,3,FALSE))</f>
        <v>0</v>
      </c>
      <c r="R60" s="4">
        <f>(VLOOKUP(' 6.0.00'!Z60,' 6.0.00'!$AM$4:$AO$55,3,FALSE))</f>
        <v>0</v>
      </c>
      <c r="S60" s="4">
        <f>(VLOOKUP(' 6.0.00'!AA60,' 6.0.00'!$AM$4:$AO$55,3,FALSE))</f>
        <v>0</v>
      </c>
      <c r="T60" s="4">
        <f>(VLOOKUP(' 6.0.00'!AB60,' 6.0.00'!$AM$4:$AO$55,3,FALSE))</f>
        <v>0</v>
      </c>
      <c r="U60" s="4">
        <f>(VLOOKUP(' 6.0.00'!AC60,' 6.0.00'!$AM$4:$AO$55,3,FALSE))</f>
        <v>0</v>
      </c>
      <c r="V60" s="4">
        <f>(VLOOKUP(' 6.0.00'!AD60,' 6.0.00'!$AM$4:$AO$55,3,FALSE))</f>
        <v>0</v>
      </c>
      <c r="W60" s="5">
        <f>(VLOOKUP(' 6.0.00'!AE60,' 6.0.00'!$AM$4:$AO$55,3,FALSE))</f>
        <v>0</v>
      </c>
      <c r="X60" s="5">
        <f>(VLOOKUP(' 6.0.00'!AF60,' 6.0.00'!$AM$4:$AO$55,3,FALSE))</f>
        <v>0</v>
      </c>
    </row>
    <row r="61" spans="1:24">
      <c r="A61" s="4">
        <f>(VLOOKUP(' 6.0.00'!I61,' 6.0.00'!$AM$4:$AO$55,3,FALSE))</f>
        <v>0</v>
      </c>
      <c r="B61" s="4">
        <f>(VLOOKUP(' 6.0.00'!J61,' 6.0.00'!$AM$4:$AO$55,3,FALSE))</f>
        <v>0</v>
      </c>
      <c r="C61" s="4">
        <f>(VLOOKUP(' 6.0.00'!K61,' 6.0.00'!$AM$4:$AO$55,3,FALSE))</f>
        <v>0</v>
      </c>
      <c r="D61" s="4">
        <f>(VLOOKUP(' 6.0.00'!L61,' 6.0.00'!$AM$4:$AO$55,3,FALSE))</f>
        <v>0</v>
      </c>
      <c r="E61" s="4">
        <f>(VLOOKUP(' 6.0.00'!M61,' 6.0.00'!$AM$4:$AO$55,3,FALSE))</f>
        <v>0</v>
      </c>
      <c r="F61" s="4">
        <f>(VLOOKUP(' 6.0.00'!N61,' 6.0.00'!$AM$4:$AO$55,3,FALSE))</f>
        <v>0</v>
      </c>
      <c r="G61" s="5">
        <f>(VLOOKUP(' 6.0.00'!O61,' 6.0.00'!$AM$4:$AO$55,3,FALSE))</f>
        <v>0</v>
      </c>
      <c r="H61" s="5">
        <f>(VLOOKUP(' 6.0.00'!P61,' 6.0.00'!$AM$4:$AO$55,3,FALSE))</f>
        <v>0</v>
      </c>
      <c r="I61" s="4">
        <f>(VLOOKUP(' 6.0.00'!Q61,' 6.0.00'!$AM$4:$AO$55,3,FALSE))</f>
        <v>0</v>
      </c>
      <c r="J61" s="4">
        <f>(VLOOKUP(' 6.0.00'!R61,' 6.0.00'!$AM$4:$AO$55,3,FALSE))</f>
        <v>0</v>
      </c>
      <c r="K61" s="4">
        <f>(VLOOKUP(' 6.0.00'!S61,' 6.0.00'!$AM$4:$AO$55,3,FALSE))</f>
        <v>0</v>
      </c>
      <c r="L61" s="4">
        <f>(VLOOKUP(' 6.0.00'!T61,' 6.0.00'!$AM$4:$AO$55,3,FALSE))</f>
        <v>0</v>
      </c>
      <c r="M61" s="4">
        <f>(VLOOKUP(' 6.0.00'!U61,' 6.0.00'!$AM$4:$AO$55,3,FALSE))</f>
        <v>0</v>
      </c>
      <c r="N61" s="4">
        <f>(VLOOKUP(' 6.0.00'!V61,' 6.0.00'!$AM$4:$AO$55,3,FALSE))</f>
        <v>0</v>
      </c>
      <c r="O61" s="5">
        <f>(VLOOKUP(' 6.0.00'!W61,' 6.0.00'!$AM$4:$AO$55,3,FALSE))</f>
        <v>0</v>
      </c>
      <c r="P61" s="5">
        <f>(VLOOKUP(' 6.0.00'!X61,' 6.0.00'!$AM$4:$AO$55,3,FALSE))</f>
        <v>0</v>
      </c>
      <c r="Q61" s="4">
        <f>(VLOOKUP(' 6.0.00'!Y61,' 6.0.00'!$AM$4:$AO$55,3,FALSE))</f>
        <v>0</v>
      </c>
      <c r="R61" s="4">
        <f>(VLOOKUP(' 6.0.00'!Z61,' 6.0.00'!$AM$4:$AO$55,3,FALSE))</f>
        <v>0</v>
      </c>
      <c r="S61" s="4">
        <f>(VLOOKUP(' 6.0.00'!AA61,' 6.0.00'!$AM$4:$AO$55,3,FALSE))</f>
        <v>0</v>
      </c>
      <c r="T61" s="4">
        <f>(VLOOKUP(' 6.0.00'!AB61,' 6.0.00'!$AM$4:$AO$55,3,FALSE))</f>
        <v>0</v>
      </c>
      <c r="U61" s="4">
        <f>(VLOOKUP(' 6.0.00'!AC61,' 6.0.00'!$AM$4:$AO$55,3,FALSE))</f>
        <v>0</v>
      </c>
      <c r="V61" s="4">
        <f>(VLOOKUP(' 6.0.00'!AD61,' 6.0.00'!$AM$4:$AO$55,3,FALSE))</f>
        <v>0</v>
      </c>
      <c r="W61" s="5">
        <f>(VLOOKUP(' 6.0.00'!AE61,' 6.0.00'!$AM$4:$AO$55,3,FALSE))</f>
        <v>0</v>
      </c>
      <c r="X61" s="5">
        <f>(VLOOKUP(' 6.0.00'!AF61,' 6.0.00'!$AM$4:$AO$55,3,FALSE))</f>
        <v>0</v>
      </c>
    </row>
    <row r="62" spans="1:24">
      <c r="A62" s="4">
        <f>(VLOOKUP(' 6.0.00'!I62,' 6.0.00'!$AM$4:$AO$55,3,FALSE))</f>
        <v>0</v>
      </c>
      <c r="B62" s="4">
        <f>(VLOOKUP(' 6.0.00'!J62,' 6.0.00'!$AM$4:$AO$55,3,FALSE))</f>
        <v>0</v>
      </c>
      <c r="C62" s="4">
        <f>(VLOOKUP(' 6.0.00'!K62,' 6.0.00'!$AM$4:$AO$55,3,FALSE))</f>
        <v>0</v>
      </c>
      <c r="D62" s="4">
        <f>(VLOOKUP(' 6.0.00'!L62,' 6.0.00'!$AM$4:$AO$55,3,FALSE))</f>
        <v>0</v>
      </c>
      <c r="E62" s="4">
        <f>(VLOOKUP(' 6.0.00'!M62,' 6.0.00'!$AM$4:$AO$55,3,FALSE))</f>
        <v>0</v>
      </c>
      <c r="F62" s="4">
        <f>(VLOOKUP(' 6.0.00'!N62,' 6.0.00'!$AM$4:$AO$55,3,FALSE))</f>
        <v>0</v>
      </c>
      <c r="G62" s="5">
        <f>(VLOOKUP(' 6.0.00'!O62,' 6.0.00'!$AM$4:$AO$55,3,FALSE))</f>
        <v>0</v>
      </c>
      <c r="H62" s="5">
        <f>(VLOOKUP(' 6.0.00'!P62,' 6.0.00'!$AM$4:$AO$55,3,FALSE))</f>
        <v>0</v>
      </c>
      <c r="I62" s="4">
        <f>(VLOOKUP(' 6.0.00'!Q62,' 6.0.00'!$AM$4:$AO$55,3,FALSE))</f>
        <v>0</v>
      </c>
      <c r="J62" s="4">
        <f>(VLOOKUP(' 6.0.00'!R62,' 6.0.00'!$AM$4:$AO$55,3,FALSE))</f>
        <v>0</v>
      </c>
      <c r="K62" s="4">
        <f>(VLOOKUP(' 6.0.00'!S62,' 6.0.00'!$AM$4:$AO$55,3,FALSE))</f>
        <v>0</v>
      </c>
      <c r="L62" s="4">
        <f>(VLOOKUP(' 6.0.00'!T62,' 6.0.00'!$AM$4:$AO$55,3,FALSE))</f>
        <v>0</v>
      </c>
      <c r="M62" s="4">
        <f>(VLOOKUP(' 6.0.00'!U62,' 6.0.00'!$AM$4:$AO$55,3,FALSE))</f>
        <v>0</v>
      </c>
      <c r="N62" s="4">
        <f>(VLOOKUP(' 6.0.00'!V62,' 6.0.00'!$AM$4:$AO$55,3,FALSE))</f>
        <v>0</v>
      </c>
      <c r="O62" s="5">
        <f>(VLOOKUP(' 6.0.00'!W62,' 6.0.00'!$AM$4:$AO$55,3,FALSE))</f>
        <v>0</v>
      </c>
      <c r="P62" s="5">
        <f>(VLOOKUP(' 6.0.00'!X62,' 6.0.00'!$AM$4:$AO$55,3,FALSE))</f>
        <v>0</v>
      </c>
      <c r="Q62" s="4">
        <f>(VLOOKUP(' 6.0.00'!Y62,' 6.0.00'!$AM$4:$AO$55,3,FALSE))</f>
        <v>0</v>
      </c>
      <c r="R62" s="4">
        <f>(VLOOKUP(' 6.0.00'!Z62,' 6.0.00'!$AM$4:$AO$55,3,FALSE))</f>
        <v>0</v>
      </c>
      <c r="S62" s="4">
        <f>(VLOOKUP(' 6.0.00'!AA62,' 6.0.00'!$AM$4:$AO$55,3,FALSE))</f>
        <v>0</v>
      </c>
      <c r="T62" s="4">
        <f>(VLOOKUP(' 6.0.00'!AB62,' 6.0.00'!$AM$4:$AO$55,3,FALSE))</f>
        <v>0</v>
      </c>
      <c r="U62" s="4">
        <f>(VLOOKUP(' 6.0.00'!AC62,' 6.0.00'!$AM$4:$AO$55,3,FALSE))</f>
        <v>0</v>
      </c>
      <c r="V62" s="4">
        <f>(VLOOKUP(' 6.0.00'!AD62,' 6.0.00'!$AM$4:$AO$55,3,FALSE))</f>
        <v>0</v>
      </c>
      <c r="W62" s="5">
        <f>(VLOOKUP(' 6.0.00'!AE62,' 6.0.00'!$AM$4:$AO$55,3,FALSE))</f>
        <v>0</v>
      </c>
      <c r="X62" s="5">
        <f>(VLOOKUP(' 6.0.00'!AF62,' 6.0.00'!$AM$4:$AO$55,3,FALSE))</f>
        <v>0</v>
      </c>
    </row>
    <row r="63" spans="1:24">
      <c r="A63" s="4">
        <f>(VLOOKUP(' 6.0.00'!I63,' 6.0.00'!$AM$4:$AO$55,3,FALSE))</f>
        <v>0</v>
      </c>
      <c r="B63" s="4">
        <f>(VLOOKUP(' 6.0.00'!J63,' 6.0.00'!$AM$4:$AO$55,3,FALSE))</f>
        <v>0</v>
      </c>
      <c r="C63" s="4">
        <f>(VLOOKUP(' 6.0.00'!K63,' 6.0.00'!$AM$4:$AO$55,3,FALSE))</f>
        <v>0</v>
      </c>
      <c r="D63" s="4">
        <f>(VLOOKUP(' 6.0.00'!L63,' 6.0.00'!$AM$4:$AO$55,3,FALSE))</f>
        <v>0</v>
      </c>
      <c r="E63" s="4">
        <f>(VLOOKUP(' 6.0.00'!M63,' 6.0.00'!$AM$4:$AO$55,3,FALSE))</f>
        <v>0</v>
      </c>
      <c r="F63" s="4">
        <f>(VLOOKUP(' 6.0.00'!N63,' 6.0.00'!$AM$4:$AO$55,3,FALSE))</f>
        <v>0</v>
      </c>
      <c r="G63" s="5">
        <f>(VLOOKUP(' 6.0.00'!O63,' 6.0.00'!$AM$4:$AO$55,3,FALSE))</f>
        <v>0</v>
      </c>
      <c r="H63" s="5">
        <f>(VLOOKUP(' 6.0.00'!P63,' 6.0.00'!$AM$4:$AO$55,3,FALSE))</f>
        <v>0</v>
      </c>
      <c r="I63" s="4">
        <f>(VLOOKUP(' 6.0.00'!Q63,' 6.0.00'!$AM$4:$AO$55,3,FALSE))</f>
        <v>0</v>
      </c>
      <c r="J63" s="4">
        <f>(VLOOKUP(' 6.0.00'!R63,' 6.0.00'!$AM$4:$AO$55,3,FALSE))</f>
        <v>0</v>
      </c>
      <c r="K63" s="4">
        <f>(VLOOKUP(' 6.0.00'!S63,' 6.0.00'!$AM$4:$AO$55,3,FALSE))</f>
        <v>0</v>
      </c>
      <c r="L63" s="4">
        <f>(VLOOKUP(' 6.0.00'!T63,' 6.0.00'!$AM$4:$AO$55,3,FALSE))</f>
        <v>0</v>
      </c>
      <c r="M63" s="4">
        <f>(VLOOKUP(' 6.0.00'!U63,' 6.0.00'!$AM$4:$AO$55,3,FALSE))</f>
        <v>0</v>
      </c>
      <c r="N63" s="4">
        <f>(VLOOKUP(' 6.0.00'!V63,' 6.0.00'!$AM$4:$AO$55,3,FALSE))</f>
        <v>0</v>
      </c>
      <c r="O63" s="5">
        <f>(VLOOKUP(' 6.0.00'!W63,' 6.0.00'!$AM$4:$AO$55,3,FALSE))</f>
        <v>0</v>
      </c>
      <c r="P63" s="5">
        <f>(VLOOKUP(' 6.0.00'!X63,' 6.0.00'!$AM$4:$AO$55,3,FALSE))</f>
        <v>0</v>
      </c>
      <c r="Q63" s="4">
        <f>(VLOOKUP(' 6.0.00'!Y63,' 6.0.00'!$AM$4:$AO$55,3,FALSE))</f>
        <v>0</v>
      </c>
      <c r="R63" s="4">
        <f>(VLOOKUP(' 6.0.00'!Z63,' 6.0.00'!$AM$4:$AO$55,3,FALSE))</f>
        <v>0</v>
      </c>
      <c r="S63" s="4">
        <f>(VLOOKUP(' 6.0.00'!AA63,' 6.0.00'!$AM$4:$AO$55,3,FALSE))</f>
        <v>0</v>
      </c>
      <c r="T63" s="4">
        <f>(VLOOKUP(' 6.0.00'!AB63,' 6.0.00'!$AM$4:$AO$55,3,FALSE))</f>
        <v>0</v>
      </c>
      <c r="U63" s="4">
        <f>(VLOOKUP(' 6.0.00'!AC63,' 6.0.00'!$AM$4:$AO$55,3,FALSE))</f>
        <v>0</v>
      </c>
      <c r="V63" s="4">
        <f>(VLOOKUP(' 6.0.00'!AD63,' 6.0.00'!$AM$4:$AO$55,3,FALSE))</f>
        <v>0</v>
      </c>
      <c r="W63" s="5">
        <f>(VLOOKUP(' 6.0.00'!AE63,' 6.0.00'!$AM$4:$AO$55,3,FALSE))</f>
        <v>0</v>
      </c>
      <c r="X63" s="5">
        <f>(VLOOKUP(' 6.0.00'!AF63,' 6.0.00'!$AM$4:$AO$55,3,FALSE))</f>
        <v>0</v>
      </c>
    </row>
    <row r="64" spans="1:24">
      <c r="A64" s="4">
        <f>(VLOOKUP(' 6.0.00'!I64,' 6.0.00'!$AM$4:$AO$55,3,FALSE))</f>
        <v>0</v>
      </c>
      <c r="B64" s="4">
        <f>(VLOOKUP(' 6.0.00'!J64,' 6.0.00'!$AM$4:$AO$55,3,FALSE))</f>
        <v>0</v>
      </c>
      <c r="C64" s="4">
        <f>(VLOOKUP(' 6.0.00'!K64,' 6.0.00'!$AM$4:$AO$55,3,FALSE))</f>
        <v>0</v>
      </c>
      <c r="D64" s="4">
        <f>(VLOOKUP(' 6.0.00'!L64,' 6.0.00'!$AM$4:$AO$55,3,FALSE))</f>
        <v>0</v>
      </c>
      <c r="E64" s="4">
        <f>(VLOOKUP(' 6.0.00'!M64,' 6.0.00'!$AM$4:$AO$55,3,FALSE))</f>
        <v>0</v>
      </c>
      <c r="F64" s="4">
        <f>(VLOOKUP(' 6.0.00'!N64,' 6.0.00'!$AM$4:$AO$55,3,FALSE))</f>
        <v>0</v>
      </c>
      <c r="G64" s="5">
        <f>(VLOOKUP(' 6.0.00'!O64,' 6.0.00'!$AM$4:$AO$55,3,FALSE))</f>
        <v>0</v>
      </c>
      <c r="H64" s="5">
        <f>(VLOOKUP(' 6.0.00'!P64,' 6.0.00'!$AM$4:$AO$55,3,FALSE))</f>
        <v>0</v>
      </c>
      <c r="I64" s="4">
        <f>(VLOOKUP(' 6.0.00'!Q64,' 6.0.00'!$AM$4:$AO$55,3,FALSE))</f>
        <v>0</v>
      </c>
      <c r="J64" s="4">
        <f>(VLOOKUP(' 6.0.00'!R64,' 6.0.00'!$AM$4:$AO$55,3,FALSE))</f>
        <v>0</v>
      </c>
      <c r="K64" s="4">
        <f>(VLOOKUP(' 6.0.00'!S64,' 6.0.00'!$AM$4:$AO$55,3,FALSE))</f>
        <v>0</v>
      </c>
      <c r="L64" s="4">
        <f>(VLOOKUP(' 6.0.00'!T64,' 6.0.00'!$AM$4:$AO$55,3,FALSE))</f>
        <v>0</v>
      </c>
      <c r="M64" s="4">
        <f>(VLOOKUP(' 6.0.00'!U64,' 6.0.00'!$AM$4:$AO$55,3,FALSE))</f>
        <v>0</v>
      </c>
      <c r="N64" s="4">
        <f>(VLOOKUP(' 6.0.00'!V64,' 6.0.00'!$AM$4:$AO$55,3,FALSE))</f>
        <v>0</v>
      </c>
      <c r="O64" s="5">
        <f>(VLOOKUP(' 6.0.00'!W64,' 6.0.00'!$AM$4:$AO$55,3,FALSE))</f>
        <v>0</v>
      </c>
      <c r="P64" s="5">
        <f>(VLOOKUP(' 6.0.00'!X64,' 6.0.00'!$AM$4:$AO$55,3,FALSE))</f>
        <v>0</v>
      </c>
      <c r="Q64" s="4">
        <f>(VLOOKUP(' 6.0.00'!Y64,' 6.0.00'!$AM$4:$AO$55,3,FALSE))</f>
        <v>0</v>
      </c>
      <c r="R64" s="4">
        <f>(VLOOKUP(' 6.0.00'!Z64,' 6.0.00'!$AM$4:$AO$55,3,FALSE))</f>
        <v>0</v>
      </c>
      <c r="S64" s="4">
        <f>(VLOOKUP(' 6.0.00'!AA64,' 6.0.00'!$AM$4:$AO$55,3,FALSE))</f>
        <v>0</v>
      </c>
      <c r="T64" s="4">
        <f>(VLOOKUP(' 6.0.00'!AB64,' 6.0.00'!$AM$4:$AO$55,3,FALSE))</f>
        <v>0</v>
      </c>
      <c r="U64" s="4">
        <f>(VLOOKUP(' 6.0.00'!AC64,' 6.0.00'!$AM$4:$AO$55,3,FALSE))</f>
        <v>0</v>
      </c>
      <c r="V64" s="4">
        <f>(VLOOKUP(' 6.0.00'!AD64,' 6.0.00'!$AM$4:$AO$55,3,FALSE))</f>
        <v>0</v>
      </c>
      <c r="W64" s="5">
        <f>(VLOOKUP(' 6.0.00'!AE64,' 6.0.00'!$AM$4:$AO$55,3,FALSE))</f>
        <v>0</v>
      </c>
      <c r="X64" s="5">
        <f>(VLOOKUP(' 6.0.00'!AF64,' 6.0.00'!$AM$4:$AO$55,3,FALSE))</f>
        <v>0</v>
      </c>
    </row>
    <row r="65" spans="1:24">
      <c r="A65" s="4">
        <f>(VLOOKUP(' 6.0.00'!I65,' 6.0.00'!$AM$4:$AO$55,3,FALSE))</f>
        <v>0</v>
      </c>
      <c r="B65" s="4">
        <f>(VLOOKUP(' 6.0.00'!J65,' 6.0.00'!$AM$4:$AO$55,3,FALSE))</f>
        <v>0</v>
      </c>
      <c r="C65" s="4">
        <f>(VLOOKUP(' 6.0.00'!K65,' 6.0.00'!$AM$4:$AO$55,3,FALSE))</f>
        <v>0</v>
      </c>
      <c r="D65" s="4">
        <f>(VLOOKUP(' 6.0.00'!L65,' 6.0.00'!$AM$4:$AO$55,3,FALSE))</f>
        <v>0</v>
      </c>
      <c r="E65" s="4">
        <f>(VLOOKUP(' 6.0.00'!M65,' 6.0.00'!$AM$4:$AO$55,3,FALSE))</f>
        <v>0</v>
      </c>
      <c r="F65" s="4">
        <f>(VLOOKUP(' 6.0.00'!N65,' 6.0.00'!$AM$4:$AO$55,3,FALSE))</f>
        <v>0</v>
      </c>
      <c r="G65" s="5">
        <f>(VLOOKUP(' 6.0.00'!O65,' 6.0.00'!$AM$4:$AO$55,3,FALSE))</f>
        <v>0</v>
      </c>
      <c r="H65" s="5">
        <f>(VLOOKUP(' 6.0.00'!P65,' 6.0.00'!$AM$4:$AO$55,3,FALSE))</f>
        <v>0</v>
      </c>
      <c r="I65" s="4">
        <f>(VLOOKUP(' 6.0.00'!Q65,' 6.0.00'!$AM$4:$AO$55,3,FALSE))</f>
        <v>0</v>
      </c>
      <c r="J65" s="4">
        <f>(VLOOKUP(' 6.0.00'!R65,' 6.0.00'!$AM$4:$AO$55,3,FALSE))</f>
        <v>0</v>
      </c>
      <c r="K65" s="4">
        <f>(VLOOKUP(' 6.0.00'!S65,' 6.0.00'!$AM$4:$AO$55,3,FALSE))</f>
        <v>0</v>
      </c>
      <c r="L65" s="4">
        <f>(VLOOKUP(' 6.0.00'!T65,' 6.0.00'!$AM$4:$AO$55,3,FALSE))</f>
        <v>0</v>
      </c>
      <c r="M65" s="4">
        <f>(VLOOKUP(' 6.0.00'!U65,' 6.0.00'!$AM$4:$AO$55,3,FALSE))</f>
        <v>0</v>
      </c>
      <c r="N65" s="4">
        <f>(VLOOKUP(' 6.0.00'!V65,' 6.0.00'!$AM$4:$AO$55,3,FALSE))</f>
        <v>0</v>
      </c>
      <c r="O65" s="5">
        <f>(VLOOKUP(' 6.0.00'!W65,' 6.0.00'!$AM$4:$AO$55,3,FALSE))</f>
        <v>0</v>
      </c>
      <c r="P65" s="5">
        <f>(VLOOKUP(' 6.0.00'!X65,' 6.0.00'!$AM$4:$AO$55,3,FALSE))</f>
        <v>0</v>
      </c>
      <c r="Q65" s="4">
        <f>(VLOOKUP(' 6.0.00'!Y65,' 6.0.00'!$AM$4:$AO$55,3,FALSE))</f>
        <v>0</v>
      </c>
      <c r="R65" s="4">
        <f>(VLOOKUP(' 6.0.00'!Z65,' 6.0.00'!$AM$4:$AO$55,3,FALSE))</f>
        <v>0</v>
      </c>
      <c r="S65" s="4">
        <f>(VLOOKUP(' 6.0.00'!AA65,' 6.0.00'!$AM$4:$AO$55,3,FALSE))</f>
        <v>0</v>
      </c>
      <c r="T65" s="4">
        <f>(VLOOKUP(' 6.0.00'!AB65,' 6.0.00'!$AM$4:$AO$55,3,FALSE))</f>
        <v>0</v>
      </c>
      <c r="U65" s="4">
        <f>(VLOOKUP(' 6.0.00'!AC65,' 6.0.00'!$AM$4:$AO$55,3,FALSE))</f>
        <v>0</v>
      </c>
      <c r="V65" s="4">
        <f>(VLOOKUP(' 6.0.00'!AD65,' 6.0.00'!$AM$4:$AO$55,3,FALSE))</f>
        <v>0</v>
      </c>
      <c r="W65" s="5">
        <f>(VLOOKUP(' 6.0.00'!AE65,' 6.0.00'!$AM$4:$AO$55,3,FALSE))</f>
        <v>0</v>
      </c>
      <c r="X65" s="5">
        <f>(VLOOKUP(' 6.0.00'!AF65,' 6.0.00'!$AM$4:$AO$55,3,FALSE))</f>
        <v>0</v>
      </c>
    </row>
    <row r="66" spans="1:24">
      <c r="A66" s="4">
        <f>(VLOOKUP(' 6.0.00'!I66,' 6.0.00'!$AM$4:$AO$55,3,FALSE))</f>
        <v>0</v>
      </c>
      <c r="B66" s="4">
        <f>(VLOOKUP(' 6.0.00'!J66,' 6.0.00'!$AM$4:$AO$55,3,FALSE))</f>
        <v>0</v>
      </c>
      <c r="C66" s="4">
        <f>(VLOOKUP(' 6.0.00'!K66,' 6.0.00'!$AM$4:$AO$55,3,FALSE))</f>
        <v>0</v>
      </c>
      <c r="D66" s="4">
        <f>(VLOOKUP(' 6.0.00'!L66,' 6.0.00'!$AM$4:$AO$55,3,FALSE))</f>
        <v>0</v>
      </c>
      <c r="E66" s="4">
        <f>(VLOOKUP(' 6.0.00'!M66,' 6.0.00'!$AM$4:$AO$55,3,FALSE))</f>
        <v>0</v>
      </c>
      <c r="F66" s="4">
        <f>(VLOOKUP(' 6.0.00'!N66,' 6.0.00'!$AM$4:$AO$55,3,FALSE))</f>
        <v>0</v>
      </c>
      <c r="G66" s="5">
        <f>(VLOOKUP(' 6.0.00'!O66,' 6.0.00'!$AM$4:$AO$55,3,FALSE))</f>
        <v>0</v>
      </c>
      <c r="H66" s="5">
        <f>(VLOOKUP(' 6.0.00'!P66,' 6.0.00'!$AM$4:$AO$55,3,FALSE))</f>
        <v>0</v>
      </c>
      <c r="I66" s="4">
        <f>(VLOOKUP(' 6.0.00'!Q66,' 6.0.00'!$AM$4:$AO$55,3,FALSE))</f>
        <v>0</v>
      </c>
      <c r="J66" s="4">
        <f>(VLOOKUP(' 6.0.00'!R66,' 6.0.00'!$AM$4:$AO$55,3,FALSE))</f>
        <v>0</v>
      </c>
      <c r="K66" s="4">
        <f>(VLOOKUP(' 6.0.00'!S66,' 6.0.00'!$AM$4:$AO$55,3,FALSE))</f>
        <v>0</v>
      </c>
      <c r="L66" s="4">
        <f>(VLOOKUP(' 6.0.00'!T66,' 6.0.00'!$AM$4:$AO$55,3,FALSE))</f>
        <v>0</v>
      </c>
      <c r="M66" s="4">
        <f>(VLOOKUP(' 6.0.00'!U66,' 6.0.00'!$AM$4:$AO$55,3,FALSE))</f>
        <v>0</v>
      </c>
      <c r="N66" s="4">
        <f>(VLOOKUP(' 6.0.00'!V66,' 6.0.00'!$AM$4:$AO$55,3,FALSE))</f>
        <v>0</v>
      </c>
      <c r="O66" s="5">
        <f>(VLOOKUP(' 6.0.00'!W66,' 6.0.00'!$AM$4:$AO$55,3,FALSE))</f>
        <v>0</v>
      </c>
      <c r="P66" s="5">
        <f>(VLOOKUP(' 6.0.00'!X66,' 6.0.00'!$AM$4:$AO$55,3,FALSE))</f>
        <v>0</v>
      </c>
      <c r="Q66" s="4">
        <f>(VLOOKUP(' 6.0.00'!Y66,' 6.0.00'!$AM$4:$AO$55,3,FALSE))</f>
        <v>0</v>
      </c>
      <c r="R66" s="4">
        <f>(VLOOKUP(' 6.0.00'!Z66,' 6.0.00'!$AM$4:$AO$55,3,FALSE))</f>
        <v>0</v>
      </c>
      <c r="S66" s="4">
        <f>(VLOOKUP(' 6.0.00'!AA66,' 6.0.00'!$AM$4:$AO$55,3,FALSE))</f>
        <v>0</v>
      </c>
      <c r="T66" s="4">
        <f>(VLOOKUP(' 6.0.00'!AB66,' 6.0.00'!$AM$4:$AO$55,3,FALSE))</f>
        <v>0</v>
      </c>
      <c r="U66" s="4">
        <f>(VLOOKUP(' 6.0.00'!AC66,' 6.0.00'!$AM$4:$AO$55,3,FALSE))</f>
        <v>0</v>
      </c>
      <c r="V66" s="4">
        <f>(VLOOKUP(' 6.0.00'!AD66,' 6.0.00'!$AM$4:$AO$55,3,FALSE))</f>
        <v>0</v>
      </c>
      <c r="W66" s="5">
        <f>(VLOOKUP(' 6.0.00'!AE66,' 6.0.00'!$AM$4:$AO$55,3,FALSE))</f>
        <v>0</v>
      </c>
      <c r="X66" s="5">
        <f>(VLOOKUP(' 6.0.00'!AF66,' 6.0.00'!$AM$4:$AO$55,3,FALSE))</f>
        <v>0</v>
      </c>
    </row>
    <row r="67" spans="1:24">
      <c r="A67" s="4">
        <f>(VLOOKUP(' 6.0.00'!I67,' 6.0.00'!$AM$4:$AO$55,3,FALSE))</f>
        <v>0</v>
      </c>
      <c r="B67" s="4">
        <f>(VLOOKUP(' 6.0.00'!J67,' 6.0.00'!$AM$4:$AO$55,3,FALSE))</f>
        <v>0</v>
      </c>
      <c r="C67" s="4">
        <f>(VLOOKUP(' 6.0.00'!K67,' 6.0.00'!$AM$4:$AO$55,3,FALSE))</f>
        <v>0</v>
      </c>
      <c r="D67" s="4">
        <f>(VLOOKUP(' 6.0.00'!L67,' 6.0.00'!$AM$4:$AO$55,3,FALSE))</f>
        <v>0</v>
      </c>
      <c r="E67" s="4">
        <f>(VLOOKUP(' 6.0.00'!M67,' 6.0.00'!$AM$4:$AO$55,3,FALSE))</f>
        <v>0</v>
      </c>
      <c r="F67" s="4">
        <f>(VLOOKUP(' 6.0.00'!N67,' 6.0.00'!$AM$4:$AO$55,3,FALSE))</f>
        <v>0</v>
      </c>
      <c r="G67" s="5">
        <f>(VLOOKUP(' 6.0.00'!O67,' 6.0.00'!$AM$4:$AO$55,3,FALSE))</f>
        <v>0</v>
      </c>
      <c r="H67" s="5">
        <f>(VLOOKUP(' 6.0.00'!P67,' 6.0.00'!$AM$4:$AO$55,3,FALSE))</f>
        <v>0</v>
      </c>
      <c r="I67" s="4">
        <f>(VLOOKUP(' 6.0.00'!Q67,' 6.0.00'!$AM$4:$AO$55,3,FALSE))</f>
        <v>0</v>
      </c>
      <c r="J67" s="4">
        <f>(VLOOKUP(' 6.0.00'!R67,' 6.0.00'!$AM$4:$AO$55,3,FALSE))</f>
        <v>0</v>
      </c>
      <c r="K67" s="4">
        <f>(VLOOKUP(' 6.0.00'!S67,' 6.0.00'!$AM$4:$AO$55,3,FALSE))</f>
        <v>0</v>
      </c>
      <c r="L67" s="4">
        <f>(VLOOKUP(' 6.0.00'!T67,' 6.0.00'!$AM$4:$AO$55,3,FALSE))</f>
        <v>0</v>
      </c>
      <c r="M67" s="4">
        <f>(VLOOKUP(' 6.0.00'!U67,' 6.0.00'!$AM$4:$AO$55,3,FALSE))</f>
        <v>0</v>
      </c>
      <c r="N67" s="4">
        <f>(VLOOKUP(' 6.0.00'!V67,' 6.0.00'!$AM$4:$AO$55,3,FALSE))</f>
        <v>0</v>
      </c>
      <c r="O67" s="5">
        <f>(VLOOKUP(' 6.0.00'!W67,' 6.0.00'!$AM$4:$AO$55,3,FALSE))</f>
        <v>0</v>
      </c>
      <c r="P67" s="5">
        <f>(VLOOKUP(' 6.0.00'!X67,' 6.0.00'!$AM$4:$AO$55,3,FALSE))</f>
        <v>0</v>
      </c>
      <c r="Q67" s="4">
        <f>(VLOOKUP(' 6.0.00'!Y67,' 6.0.00'!$AM$4:$AO$55,3,FALSE))</f>
        <v>0</v>
      </c>
      <c r="R67" s="4">
        <f>(VLOOKUP(' 6.0.00'!Z67,' 6.0.00'!$AM$4:$AO$55,3,FALSE))</f>
        <v>0</v>
      </c>
      <c r="S67" s="4">
        <f>(VLOOKUP(' 6.0.00'!AA67,' 6.0.00'!$AM$4:$AO$55,3,FALSE))</f>
        <v>0</v>
      </c>
      <c r="T67" s="4">
        <f>(VLOOKUP(' 6.0.00'!AB67,' 6.0.00'!$AM$4:$AO$55,3,FALSE))</f>
        <v>0</v>
      </c>
      <c r="U67" s="4">
        <f>(VLOOKUP(' 6.0.00'!AC67,' 6.0.00'!$AM$4:$AO$55,3,FALSE))</f>
        <v>0</v>
      </c>
      <c r="V67" s="4">
        <f>(VLOOKUP(' 6.0.00'!AD67,' 6.0.00'!$AM$4:$AO$55,3,FALSE))</f>
        <v>0</v>
      </c>
      <c r="W67" s="5">
        <f>(VLOOKUP(' 6.0.00'!AE67,' 6.0.00'!$AM$4:$AO$55,3,FALSE))</f>
        <v>0</v>
      </c>
      <c r="X67" s="5">
        <f>(VLOOKUP(' 6.0.00'!AF67,' 6.0.00'!$AM$4:$AO$55,3,FALSE))</f>
        <v>0</v>
      </c>
    </row>
    <row r="68" spans="1:24">
      <c r="A68" s="4">
        <f>(VLOOKUP(' 6.0.00'!I68,' 6.0.00'!$AM$4:$AO$55,3,FALSE))</f>
        <v>0</v>
      </c>
      <c r="B68" s="4">
        <f>(VLOOKUP(' 6.0.00'!J68,' 6.0.00'!$AM$4:$AO$55,3,FALSE))</f>
        <v>0</v>
      </c>
      <c r="C68" s="4">
        <f>(VLOOKUP(' 6.0.00'!K68,' 6.0.00'!$AM$4:$AO$55,3,FALSE))</f>
        <v>0</v>
      </c>
      <c r="D68" s="4">
        <f>(VLOOKUP(' 6.0.00'!L68,' 6.0.00'!$AM$4:$AO$55,3,FALSE))</f>
        <v>0</v>
      </c>
      <c r="E68" s="4">
        <f>(VLOOKUP(' 6.0.00'!M68,' 6.0.00'!$AM$4:$AO$55,3,FALSE))</f>
        <v>0</v>
      </c>
      <c r="F68" s="4">
        <f>(VLOOKUP(' 6.0.00'!N68,' 6.0.00'!$AM$4:$AO$55,3,FALSE))</f>
        <v>0</v>
      </c>
      <c r="G68" s="5">
        <f>(VLOOKUP(' 6.0.00'!O68,' 6.0.00'!$AM$4:$AO$55,3,FALSE))</f>
        <v>0</v>
      </c>
      <c r="H68" s="5">
        <f>(VLOOKUP(' 6.0.00'!P68,' 6.0.00'!$AM$4:$AO$55,3,FALSE))</f>
        <v>0</v>
      </c>
      <c r="I68" s="4">
        <f>(VLOOKUP(' 6.0.00'!Q68,' 6.0.00'!$AM$4:$AO$55,3,FALSE))</f>
        <v>0</v>
      </c>
      <c r="J68" s="4">
        <f>(VLOOKUP(' 6.0.00'!R68,' 6.0.00'!$AM$4:$AO$55,3,FALSE))</f>
        <v>0</v>
      </c>
      <c r="K68" s="4">
        <f>(VLOOKUP(' 6.0.00'!S68,' 6.0.00'!$AM$4:$AO$55,3,FALSE))</f>
        <v>0</v>
      </c>
      <c r="L68" s="4">
        <f>(VLOOKUP(' 6.0.00'!T68,' 6.0.00'!$AM$4:$AO$55,3,FALSE))</f>
        <v>0</v>
      </c>
      <c r="M68" s="4">
        <f>(VLOOKUP(' 6.0.00'!U68,' 6.0.00'!$AM$4:$AO$55,3,FALSE))</f>
        <v>0</v>
      </c>
      <c r="N68" s="4">
        <f>(VLOOKUP(' 6.0.00'!V68,' 6.0.00'!$AM$4:$AO$55,3,FALSE))</f>
        <v>0</v>
      </c>
      <c r="O68" s="5">
        <f>(VLOOKUP(' 6.0.00'!W68,' 6.0.00'!$AM$4:$AO$55,3,FALSE))</f>
        <v>0</v>
      </c>
      <c r="P68" s="5">
        <f>(VLOOKUP(' 6.0.00'!X68,' 6.0.00'!$AM$4:$AO$55,3,FALSE))</f>
        <v>0</v>
      </c>
      <c r="Q68" s="4">
        <f>(VLOOKUP(' 6.0.00'!Y68,' 6.0.00'!$AM$4:$AO$55,3,FALSE))</f>
        <v>0</v>
      </c>
      <c r="R68" s="4">
        <f>(VLOOKUP(' 6.0.00'!Z68,' 6.0.00'!$AM$4:$AO$55,3,FALSE))</f>
        <v>0</v>
      </c>
      <c r="S68" s="4">
        <f>(VLOOKUP(' 6.0.00'!AA68,' 6.0.00'!$AM$4:$AO$55,3,FALSE))</f>
        <v>0</v>
      </c>
      <c r="T68" s="4">
        <f>(VLOOKUP(' 6.0.00'!AB68,' 6.0.00'!$AM$4:$AO$55,3,FALSE))</f>
        <v>0</v>
      </c>
      <c r="U68" s="4">
        <f>(VLOOKUP(' 6.0.00'!AC68,' 6.0.00'!$AM$4:$AO$55,3,FALSE))</f>
        <v>0</v>
      </c>
      <c r="V68" s="4">
        <f>(VLOOKUP(' 6.0.00'!AD68,' 6.0.00'!$AM$4:$AO$55,3,FALSE))</f>
        <v>0</v>
      </c>
      <c r="W68" s="5">
        <f>(VLOOKUP(' 6.0.00'!AE68,' 6.0.00'!$AM$4:$AO$55,3,FALSE))</f>
        <v>0</v>
      </c>
      <c r="X68" s="5">
        <f>(VLOOKUP(' 6.0.00'!AF68,' 6.0.00'!$AM$4:$AO$55,3,FALSE))</f>
        <v>0</v>
      </c>
    </row>
    <row r="69" spans="1:24">
      <c r="A69" s="4">
        <f>(VLOOKUP(' 6.0.00'!I69,' 6.0.00'!$AM$4:$AO$55,3,FALSE))</f>
        <v>0</v>
      </c>
      <c r="B69" s="4">
        <f>(VLOOKUP(' 6.0.00'!J69,' 6.0.00'!$AM$4:$AO$55,3,FALSE))</f>
        <v>0</v>
      </c>
      <c r="C69" s="4">
        <f>(VLOOKUP(' 6.0.00'!K69,' 6.0.00'!$AM$4:$AO$55,3,FALSE))</f>
        <v>0</v>
      </c>
      <c r="D69" s="4">
        <f>(VLOOKUP(' 6.0.00'!L69,' 6.0.00'!$AM$4:$AO$55,3,FALSE))</f>
        <v>0</v>
      </c>
      <c r="E69" s="4">
        <f>(VLOOKUP(' 6.0.00'!M69,' 6.0.00'!$AM$4:$AO$55,3,FALSE))</f>
        <v>0</v>
      </c>
      <c r="F69" s="4">
        <f>(VLOOKUP(' 6.0.00'!N69,' 6.0.00'!$AM$4:$AO$55,3,FALSE))</f>
        <v>0</v>
      </c>
      <c r="G69" s="5">
        <f>(VLOOKUP(' 6.0.00'!O69,' 6.0.00'!$AM$4:$AO$55,3,FALSE))</f>
        <v>0</v>
      </c>
      <c r="H69" s="5">
        <f>(VLOOKUP(' 6.0.00'!P69,' 6.0.00'!$AM$4:$AO$55,3,FALSE))</f>
        <v>0</v>
      </c>
      <c r="I69" s="4">
        <f>(VLOOKUP(' 6.0.00'!Q69,' 6.0.00'!$AM$4:$AO$55,3,FALSE))</f>
        <v>0</v>
      </c>
      <c r="J69" s="4">
        <f>(VLOOKUP(' 6.0.00'!R69,' 6.0.00'!$AM$4:$AO$55,3,FALSE))</f>
        <v>0</v>
      </c>
      <c r="K69" s="4">
        <f>(VLOOKUP(' 6.0.00'!S69,' 6.0.00'!$AM$4:$AO$55,3,FALSE))</f>
        <v>0</v>
      </c>
      <c r="L69" s="4">
        <f>(VLOOKUP(' 6.0.00'!T69,' 6.0.00'!$AM$4:$AO$55,3,FALSE))</f>
        <v>0</v>
      </c>
      <c r="M69" s="4">
        <f>(VLOOKUP(' 6.0.00'!U69,' 6.0.00'!$AM$4:$AO$55,3,FALSE))</f>
        <v>0</v>
      </c>
      <c r="N69" s="4">
        <f>(VLOOKUP(' 6.0.00'!V69,' 6.0.00'!$AM$4:$AO$55,3,FALSE))</f>
        <v>0</v>
      </c>
      <c r="O69" s="5">
        <f>(VLOOKUP(' 6.0.00'!W69,' 6.0.00'!$AM$4:$AO$55,3,FALSE))</f>
        <v>0</v>
      </c>
      <c r="P69" s="5">
        <f>(VLOOKUP(' 6.0.00'!X69,' 6.0.00'!$AM$4:$AO$55,3,FALSE))</f>
        <v>0</v>
      </c>
      <c r="Q69" s="4">
        <f>(VLOOKUP(' 6.0.00'!Y69,' 6.0.00'!$AM$4:$AO$55,3,FALSE))</f>
        <v>0</v>
      </c>
      <c r="R69" s="4">
        <f>(VLOOKUP(' 6.0.00'!Z69,' 6.0.00'!$AM$4:$AO$55,3,FALSE))</f>
        <v>0</v>
      </c>
      <c r="S69" s="4">
        <f>(VLOOKUP(' 6.0.00'!AA69,' 6.0.00'!$AM$4:$AO$55,3,FALSE))</f>
        <v>0</v>
      </c>
      <c r="T69" s="4">
        <f>(VLOOKUP(' 6.0.00'!AB69,' 6.0.00'!$AM$4:$AO$55,3,FALSE))</f>
        <v>0</v>
      </c>
      <c r="U69" s="4">
        <f>(VLOOKUP(' 6.0.00'!AC69,' 6.0.00'!$AM$4:$AO$55,3,FALSE))</f>
        <v>0</v>
      </c>
      <c r="V69" s="4">
        <f>(VLOOKUP(' 6.0.00'!AD69,' 6.0.00'!$AM$4:$AO$55,3,FALSE))</f>
        <v>0</v>
      </c>
      <c r="W69" s="5">
        <f>(VLOOKUP(' 6.0.00'!AE69,' 6.0.00'!$AM$4:$AO$55,3,FALSE))</f>
        <v>0</v>
      </c>
      <c r="X69" s="5">
        <f>(VLOOKUP(' 6.0.00'!AF69,' 6.0.00'!$AM$4:$AO$55,3,FALSE))</f>
        <v>0</v>
      </c>
    </row>
    <row r="70" spans="1:24">
      <c r="A70" s="4">
        <f>(VLOOKUP(' 6.0.00'!I70,' 6.0.00'!$AM$4:$AO$55,3,FALSE))</f>
        <v>0</v>
      </c>
      <c r="B70" s="4">
        <f>(VLOOKUP(' 6.0.00'!J70,' 6.0.00'!$AM$4:$AO$55,3,FALSE))</f>
        <v>0</v>
      </c>
      <c r="C70" s="4">
        <f>(VLOOKUP(' 6.0.00'!K70,' 6.0.00'!$AM$4:$AO$55,3,FALSE))</f>
        <v>0</v>
      </c>
      <c r="D70" s="4">
        <f>(VLOOKUP(' 6.0.00'!L70,' 6.0.00'!$AM$4:$AO$55,3,FALSE))</f>
        <v>0</v>
      </c>
      <c r="E70" s="4">
        <f>(VLOOKUP(' 6.0.00'!M70,' 6.0.00'!$AM$4:$AO$55,3,FALSE))</f>
        <v>0</v>
      </c>
      <c r="F70" s="4">
        <f>(VLOOKUP(' 6.0.00'!N70,' 6.0.00'!$AM$4:$AO$55,3,FALSE))</f>
        <v>0</v>
      </c>
      <c r="G70" s="5">
        <f>(VLOOKUP(' 6.0.00'!O70,' 6.0.00'!$AM$4:$AO$55,3,FALSE))</f>
        <v>0</v>
      </c>
      <c r="H70" s="5">
        <f>(VLOOKUP(' 6.0.00'!P70,' 6.0.00'!$AM$4:$AO$55,3,FALSE))</f>
        <v>0</v>
      </c>
      <c r="I70" s="4">
        <f>(VLOOKUP(' 6.0.00'!Q70,' 6.0.00'!$AM$4:$AO$55,3,FALSE))</f>
        <v>0</v>
      </c>
      <c r="J70" s="4">
        <f>(VLOOKUP(' 6.0.00'!R70,' 6.0.00'!$AM$4:$AO$55,3,FALSE))</f>
        <v>0</v>
      </c>
      <c r="K70" s="4">
        <f>(VLOOKUP(' 6.0.00'!S70,' 6.0.00'!$AM$4:$AO$55,3,FALSE))</f>
        <v>0</v>
      </c>
      <c r="L70" s="4">
        <f>(VLOOKUP(' 6.0.00'!T70,' 6.0.00'!$AM$4:$AO$55,3,FALSE))</f>
        <v>0</v>
      </c>
      <c r="M70" s="4">
        <f>(VLOOKUP(' 6.0.00'!U70,' 6.0.00'!$AM$4:$AO$55,3,FALSE))</f>
        <v>0</v>
      </c>
      <c r="N70" s="4">
        <f>(VLOOKUP(' 6.0.00'!V70,' 6.0.00'!$AM$4:$AO$55,3,FALSE))</f>
        <v>0</v>
      </c>
      <c r="O70" s="5">
        <f>(VLOOKUP(' 6.0.00'!W70,' 6.0.00'!$AM$4:$AO$55,3,FALSE))</f>
        <v>0</v>
      </c>
      <c r="P70" s="5">
        <f>(VLOOKUP(' 6.0.00'!X70,' 6.0.00'!$AM$4:$AO$55,3,FALSE))</f>
        <v>0</v>
      </c>
      <c r="Q70" s="4">
        <f>(VLOOKUP(' 6.0.00'!Y70,' 6.0.00'!$AM$4:$AO$55,3,FALSE))</f>
        <v>0</v>
      </c>
      <c r="R70" s="4">
        <f>(VLOOKUP(' 6.0.00'!Z70,' 6.0.00'!$AM$4:$AO$55,3,FALSE))</f>
        <v>0</v>
      </c>
      <c r="S70" s="4">
        <f>(VLOOKUP(' 6.0.00'!AA70,' 6.0.00'!$AM$4:$AO$55,3,FALSE))</f>
        <v>0</v>
      </c>
      <c r="T70" s="4">
        <f>(VLOOKUP(' 6.0.00'!AB70,' 6.0.00'!$AM$4:$AO$55,3,FALSE))</f>
        <v>0</v>
      </c>
      <c r="U70" s="4">
        <f>(VLOOKUP(' 6.0.00'!AC70,' 6.0.00'!$AM$4:$AO$55,3,FALSE))</f>
        <v>0</v>
      </c>
      <c r="V70" s="4">
        <f>(VLOOKUP(' 6.0.00'!AD70,' 6.0.00'!$AM$4:$AO$55,3,FALSE))</f>
        <v>0</v>
      </c>
      <c r="W70" s="5">
        <f>(VLOOKUP(' 6.0.00'!AE70,' 6.0.00'!$AM$4:$AO$55,3,FALSE))</f>
        <v>0</v>
      </c>
      <c r="X70" s="5">
        <f>(VLOOKUP(' 6.0.00'!AF70,' 6.0.00'!$AM$4:$AO$55,3,FALSE))</f>
        <v>0</v>
      </c>
    </row>
    <row r="71" spans="1:24">
      <c r="A71" s="4">
        <f>(VLOOKUP(' 6.0.00'!I71,' 6.0.00'!$AM$4:$AO$55,3,FALSE))</f>
        <v>0</v>
      </c>
      <c r="B71" s="4">
        <f>(VLOOKUP(' 6.0.00'!J71,' 6.0.00'!$AM$4:$AO$55,3,FALSE))</f>
        <v>0</v>
      </c>
      <c r="C71" s="4">
        <f>(VLOOKUP(' 6.0.00'!K71,' 6.0.00'!$AM$4:$AO$55,3,FALSE))</f>
        <v>0</v>
      </c>
      <c r="D71" s="4">
        <f>(VLOOKUP(' 6.0.00'!L71,' 6.0.00'!$AM$4:$AO$55,3,FALSE))</f>
        <v>0</v>
      </c>
      <c r="E71" s="4">
        <f>(VLOOKUP(' 6.0.00'!M71,' 6.0.00'!$AM$4:$AO$55,3,FALSE))</f>
        <v>0</v>
      </c>
      <c r="F71" s="4">
        <f>(VLOOKUP(' 6.0.00'!N71,' 6.0.00'!$AM$4:$AO$55,3,FALSE))</f>
        <v>0</v>
      </c>
      <c r="G71" s="5">
        <f>(VLOOKUP(' 6.0.00'!O71,' 6.0.00'!$AM$4:$AO$55,3,FALSE))</f>
        <v>0</v>
      </c>
      <c r="H71" s="5">
        <f>(VLOOKUP(' 6.0.00'!P71,' 6.0.00'!$AM$4:$AO$55,3,FALSE))</f>
        <v>0</v>
      </c>
      <c r="I71" s="4">
        <f>(VLOOKUP(' 6.0.00'!Q71,' 6.0.00'!$AM$4:$AO$55,3,FALSE))</f>
        <v>0</v>
      </c>
      <c r="J71" s="4">
        <f>(VLOOKUP(' 6.0.00'!R71,' 6.0.00'!$AM$4:$AO$55,3,FALSE))</f>
        <v>0</v>
      </c>
      <c r="K71" s="4">
        <f>(VLOOKUP(' 6.0.00'!S71,' 6.0.00'!$AM$4:$AO$55,3,FALSE))</f>
        <v>0</v>
      </c>
      <c r="L71" s="4">
        <f>(VLOOKUP(' 6.0.00'!T71,' 6.0.00'!$AM$4:$AO$55,3,FALSE))</f>
        <v>0</v>
      </c>
      <c r="M71" s="4">
        <f>(VLOOKUP(' 6.0.00'!U71,' 6.0.00'!$AM$4:$AO$55,3,FALSE))</f>
        <v>0</v>
      </c>
      <c r="N71" s="4">
        <f>(VLOOKUP(' 6.0.00'!V71,' 6.0.00'!$AM$4:$AO$55,3,FALSE))</f>
        <v>0</v>
      </c>
      <c r="O71" s="5">
        <f>(VLOOKUP(' 6.0.00'!W71,' 6.0.00'!$AM$4:$AO$55,3,FALSE))</f>
        <v>0</v>
      </c>
      <c r="P71" s="5">
        <f>(VLOOKUP(' 6.0.00'!X71,' 6.0.00'!$AM$4:$AO$55,3,FALSE))</f>
        <v>0</v>
      </c>
      <c r="Q71" s="4">
        <f>(VLOOKUP(' 6.0.00'!Y71,' 6.0.00'!$AM$4:$AO$55,3,FALSE))</f>
        <v>0</v>
      </c>
      <c r="R71" s="4">
        <f>(VLOOKUP(' 6.0.00'!Z71,' 6.0.00'!$AM$4:$AO$55,3,FALSE))</f>
        <v>0</v>
      </c>
      <c r="S71" s="4">
        <f>(VLOOKUP(' 6.0.00'!AA71,' 6.0.00'!$AM$4:$AO$55,3,FALSE))</f>
        <v>0</v>
      </c>
      <c r="T71" s="4">
        <f>(VLOOKUP(' 6.0.00'!AB71,' 6.0.00'!$AM$4:$AO$55,3,FALSE))</f>
        <v>0</v>
      </c>
      <c r="U71" s="4">
        <f>(VLOOKUP(' 6.0.00'!AC71,' 6.0.00'!$AM$4:$AO$55,3,FALSE))</f>
        <v>0</v>
      </c>
      <c r="V71" s="4">
        <f>(VLOOKUP(' 6.0.00'!AD71,' 6.0.00'!$AM$4:$AO$55,3,FALSE))</f>
        <v>0</v>
      </c>
      <c r="W71" s="5">
        <f>(VLOOKUP(' 6.0.00'!AE71,' 6.0.00'!$AM$4:$AO$55,3,FALSE))</f>
        <v>0</v>
      </c>
      <c r="X71" s="5">
        <f>(VLOOKUP(' 6.0.00'!AF71,' 6.0.00'!$AM$4:$AO$55,3,FALSE))</f>
        <v>0</v>
      </c>
    </row>
    <row r="72" spans="1:24">
      <c r="A72" s="4">
        <f>(VLOOKUP(' 6.0.00'!I72,' 6.0.00'!$AM$4:$AO$55,3,FALSE))</f>
        <v>0</v>
      </c>
      <c r="B72" s="4">
        <f>(VLOOKUP(' 6.0.00'!J72,' 6.0.00'!$AM$4:$AO$55,3,FALSE))</f>
        <v>0</v>
      </c>
      <c r="C72" s="4">
        <f>(VLOOKUP(' 6.0.00'!K72,' 6.0.00'!$AM$4:$AO$55,3,FALSE))</f>
        <v>0</v>
      </c>
      <c r="D72" s="4">
        <f>(VLOOKUP(' 6.0.00'!L72,' 6.0.00'!$AM$4:$AO$55,3,FALSE))</f>
        <v>0</v>
      </c>
      <c r="E72" s="4">
        <f>(VLOOKUP(' 6.0.00'!M72,' 6.0.00'!$AM$4:$AO$55,3,FALSE))</f>
        <v>0</v>
      </c>
      <c r="F72" s="4">
        <f>(VLOOKUP(' 6.0.00'!N72,' 6.0.00'!$AM$4:$AO$55,3,FALSE))</f>
        <v>0</v>
      </c>
      <c r="G72" s="5">
        <f>(VLOOKUP(' 6.0.00'!O72,' 6.0.00'!$AM$4:$AO$55,3,FALSE))</f>
        <v>0</v>
      </c>
      <c r="H72" s="5">
        <f>(VLOOKUP(' 6.0.00'!P72,' 6.0.00'!$AM$4:$AO$55,3,FALSE))</f>
        <v>0</v>
      </c>
      <c r="I72" s="4">
        <f>(VLOOKUP(' 6.0.00'!Q72,' 6.0.00'!$AM$4:$AO$55,3,FALSE))</f>
        <v>0</v>
      </c>
      <c r="J72" s="4">
        <f>(VLOOKUP(' 6.0.00'!R72,' 6.0.00'!$AM$4:$AO$55,3,FALSE))</f>
        <v>0</v>
      </c>
      <c r="K72" s="4">
        <f>(VLOOKUP(' 6.0.00'!S72,' 6.0.00'!$AM$4:$AO$55,3,FALSE))</f>
        <v>0</v>
      </c>
      <c r="L72" s="4">
        <f>(VLOOKUP(' 6.0.00'!T72,' 6.0.00'!$AM$4:$AO$55,3,FALSE))</f>
        <v>0</v>
      </c>
      <c r="M72" s="4">
        <f>(VLOOKUP(' 6.0.00'!U72,' 6.0.00'!$AM$4:$AO$55,3,FALSE))</f>
        <v>0</v>
      </c>
      <c r="N72" s="4">
        <f>(VLOOKUP(' 6.0.00'!V72,' 6.0.00'!$AM$4:$AO$55,3,FALSE))</f>
        <v>0</v>
      </c>
      <c r="O72" s="5">
        <f>(VLOOKUP(' 6.0.00'!W72,' 6.0.00'!$AM$4:$AO$55,3,FALSE))</f>
        <v>0</v>
      </c>
      <c r="P72" s="5">
        <f>(VLOOKUP(' 6.0.00'!X72,' 6.0.00'!$AM$4:$AO$55,3,FALSE))</f>
        <v>0</v>
      </c>
      <c r="Q72" s="4">
        <f>(VLOOKUP(' 6.0.00'!Y72,' 6.0.00'!$AM$4:$AO$55,3,FALSE))</f>
        <v>0</v>
      </c>
      <c r="R72" s="4">
        <f>(VLOOKUP(' 6.0.00'!Z72,' 6.0.00'!$AM$4:$AO$55,3,FALSE))</f>
        <v>0</v>
      </c>
      <c r="S72" s="4">
        <f>(VLOOKUP(' 6.0.00'!AA72,' 6.0.00'!$AM$4:$AO$55,3,FALSE))</f>
        <v>0</v>
      </c>
      <c r="T72" s="4">
        <f>(VLOOKUP(' 6.0.00'!AB72,' 6.0.00'!$AM$4:$AO$55,3,FALSE))</f>
        <v>0</v>
      </c>
      <c r="U72" s="4">
        <f>(VLOOKUP(' 6.0.00'!AC72,' 6.0.00'!$AM$4:$AO$55,3,FALSE))</f>
        <v>0</v>
      </c>
      <c r="V72" s="4">
        <f>(VLOOKUP(' 6.0.00'!AD72,' 6.0.00'!$AM$4:$AO$55,3,FALSE))</f>
        <v>0</v>
      </c>
      <c r="W72" s="5">
        <f>(VLOOKUP(' 6.0.00'!AE72,' 6.0.00'!$AM$4:$AO$55,3,FALSE))</f>
        <v>0</v>
      </c>
      <c r="X72" s="5">
        <f>(VLOOKUP(' 6.0.00'!AF72,' 6.0.00'!$AM$4:$AO$55,3,FALSE))</f>
        <v>0</v>
      </c>
    </row>
    <row r="73" spans="1:24">
      <c r="A73" s="4">
        <f>(VLOOKUP(' 6.0.00'!I73,' 6.0.00'!$AM$4:$AO$55,3,FALSE))</f>
        <v>0</v>
      </c>
      <c r="B73" s="4">
        <f>(VLOOKUP(' 6.0.00'!J73,' 6.0.00'!$AM$4:$AO$55,3,FALSE))</f>
        <v>0</v>
      </c>
      <c r="C73" s="4">
        <f>(VLOOKUP(' 6.0.00'!K73,' 6.0.00'!$AM$4:$AO$55,3,FALSE))</f>
        <v>0</v>
      </c>
      <c r="D73" s="4">
        <f>(VLOOKUP(' 6.0.00'!L73,' 6.0.00'!$AM$4:$AO$55,3,FALSE))</f>
        <v>0</v>
      </c>
      <c r="E73" s="4">
        <f>(VLOOKUP(' 6.0.00'!M73,' 6.0.00'!$AM$4:$AO$55,3,FALSE))</f>
        <v>0</v>
      </c>
      <c r="F73" s="4">
        <f>(VLOOKUP(' 6.0.00'!N73,' 6.0.00'!$AM$4:$AO$55,3,FALSE))</f>
        <v>0</v>
      </c>
      <c r="G73" s="5">
        <f>(VLOOKUP(' 6.0.00'!O73,' 6.0.00'!$AM$4:$AO$55,3,FALSE))</f>
        <v>0</v>
      </c>
      <c r="H73" s="5">
        <f>(VLOOKUP(' 6.0.00'!P73,' 6.0.00'!$AM$4:$AO$55,3,FALSE))</f>
        <v>0</v>
      </c>
      <c r="I73" s="4">
        <f>(VLOOKUP(' 6.0.00'!Q73,' 6.0.00'!$AM$4:$AO$55,3,FALSE))</f>
        <v>0</v>
      </c>
      <c r="J73" s="4">
        <f>(VLOOKUP(' 6.0.00'!R73,' 6.0.00'!$AM$4:$AO$55,3,FALSE))</f>
        <v>0</v>
      </c>
      <c r="K73" s="4">
        <f>(VLOOKUP(' 6.0.00'!S73,' 6.0.00'!$AM$4:$AO$55,3,FALSE))</f>
        <v>0</v>
      </c>
      <c r="L73" s="4">
        <f>(VLOOKUP(' 6.0.00'!T73,' 6.0.00'!$AM$4:$AO$55,3,FALSE))</f>
        <v>0</v>
      </c>
      <c r="M73" s="4">
        <f>(VLOOKUP(' 6.0.00'!U73,' 6.0.00'!$AM$4:$AO$55,3,FALSE))</f>
        <v>0</v>
      </c>
      <c r="N73" s="4">
        <f>(VLOOKUP(' 6.0.00'!V73,' 6.0.00'!$AM$4:$AO$55,3,FALSE))</f>
        <v>0</v>
      </c>
      <c r="O73" s="5">
        <f>(VLOOKUP(' 6.0.00'!W73,' 6.0.00'!$AM$4:$AO$55,3,FALSE))</f>
        <v>0</v>
      </c>
      <c r="P73" s="5">
        <f>(VLOOKUP(' 6.0.00'!X73,' 6.0.00'!$AM$4:$AO$55,3,FALSE))</f>
        <v>0</v>
      </c>
      <c r="Q73" s="4">
        <f>(VLOOKUP(' 6.0.00'!Y73,' 6.0.00'!$AM$4:$AO$55,3,FALSE))</f>
        <v>0</v>
      </c>
      <c r="R73" s="4">
        <f>(VLOOKUP(' 6.0.00'!Z73,' 6.0.00'!$AM$4:$AO$55,3,FALSE))</f>
        <v>0</v>
      </c>
      <c r="S73" s="4">
        <f>(VLOOKUP(' 6.0.00'!AA73,' 6.0.00'!$AM$4:$AO$55,3,FALSE))</f>
        <v>0</v>
      </c>
      <c r="T73" s="4">
        <f>(VLOOKUP(' 6.0.00'!AB73,' 6.0.00'!$AM$4:$AO$55,3,FALSE))</f>
        <v>0</v>
      </c>
      <c r="U73" s="4">
        <f>(VLOOKUP(' 6.0.00'!AC73,' 6.0.00'!$AM$4:$AO$55,3,FALSE))</f>
        <v>0</v>
      </c>
      <c r="V73" s="4">
        <f>(VLOOKUP(' 6.0.00'!AD73,' 6.0.00'!$AM$4:$AO$55,3,FALSE))</f>
        <v>0</v>
      </c>
      <c r="W73" s="5">
        <f>(VLOOKUP(' 6.0.00'!AE73,' 6.0.00'!$AM$4:$AO$55,3,FALSE))</f>
        <v>0</v>
      </c>
      <c r="X73" s="5">
        <f>(VLOOKUP(' 6.0.00'!AF73,' 6.0.00'!$AM$4:$AO$55,3,FALSE))</f>
        <v>0</v>
      </c>
    </row>
    <row r="74" spans="1:24">
      <c r="A74" s="4">
        <f>(VLOOKUP(' 6.0.00'!I74,' 6.0.00'!$AM$4:$AO$55,3,FALSE))</f>
        <v>0</v>
      </c>
      <c r="B74" s="4">
        <f>(VLOOKUP(' 6.0.00'!J74,' 6.0.00'!$AM$4:$AO$55,3,FALSE))</f>
        <v>0</v>
      </c>
      <c r="C74" s="4">
        <f>(VLOOKUP(' 6.0.00'!K74,' 6.0.00'!$AM$4:$AO$55,3,FALSE))</f>
        <v>0</v>
      </c>
      <c r="D74" s="4">
        <f>(VLOOKUP(' 6.0.00'!L74,' 6.0.00'!$AM$4:$AO$55,3,FALSE))</f>
        <v>0</v>
      </c>
      <c r="E74" s="4">
        <f>(VLOOKUP(' 6.0.00'!M74,' 6.0.00'!$AM$4:$AO$55,3,FALSE))</f>
        <v>0</v>
      </c>
      <c r="F74" s="4">
        <f>(VLOOKUP(' 6.0.00'!N74,' 6.0.00'!$AM$4:$AO$55,3,FALSE))</f>
        <v>0</v>
      </c>
      <c r="G74" s="5">
        <f>(VLOOKUP(' 6.0.00'!O74,' 6.0.00'!$AM$4:$AO$55,3,FALSE))</f>
        <v>0</v>
      </c>
      <c r="H74" s="5">
        <f>(VLOOKUP(' 6.0.00'!P74,' 6.0.00'!$AM$4:$AO$55,3,FALSE))</f>
        <v>0</v>
      </c>
      <c r="I74" s="4">
        <f>(VLOOKUP(' 6.0.00'!Q74,' 6.0.00'!$AM$4:$AO$55,3,FALSE))</f>
        <v>0</v>
      </c>
      <c r="J74" s="4">
        <f>(VLOOKUP(' 6.0.00'!R74,' 6.0.00'!$AM$4:$AO$55,3,FALSE))</f>
        <v>0</v>
      </c>
      <c r="K74" s="4">
        <f>(VLOOKUP(' 6.0.00'!S74,' 6.0.00'!$AM$4:$AO$55,3,FALSE))</f>
        <v>0</v>
      </c>
      <c r="L74" s="4">
        <f>(VLOOKUP(' 6.0.00'!T74,' 6.0.00'!$AM$4:$AO$55,3,FALSE))</f>
        <v>0</v>
      </c>
      <c r="M74" s="4">
        <f>(VLOOKUP(' 6.0.00'!U74,' 6.0.00'!$AM$4:$AO$55,3,FALSE))</f>
        <v>0</v>
      </c>
      <c r="N74" s="4">
        <f>(VLOOKUP(' 6.0.00'!V74,' 6.0.00'!$AM$4:$AO$55,3,FALSE))</f>
        <v>0</v>
      </c>
      <c r="O74" s="5">
        <f>(VLOOKUP(' 6.0.00'!W74,' 6.0.00'!$AM$4:$AO$55,3,FALSE))</f>
        <v>0</v>
      </c>
      <c r="P74" s="5">
        <f>(VLOOKUP(' 6.0.00'!X74,' 6.0.00'!$AM$4:$AO$55,3,FALSE))</f>
        <v>0</v>
      </c>
      <c r="Q74" s="4">
        <f>(VLOOKUP(' 6.0.00'!Y74,' 6.0.00'!$AM$4:$AO$55,3,FALSE))</f>
        <v>0</v>
      </c>
      <c r="R74" s="4">
        <f>(VLOOKUP(' 6.0.00'!Z74,' 6.0.00'!$AM$4:$AO$55,3,FALSE))</f>
        <v>0</v>
      </c>
      <c r="S74" s="4">
        <f>(VLOOKUP(' 6.0.00'!AA74,' 6.0.00'!$AM$4:$AO$55,3,FALSE))</f>
        <v>0</v>
      </c>
      <c r="T74" s="4">
        <f>(VLOOKUP(' 6.0.00'!AB74,' 6.0.00'!$AM$4:$AO$55,3,FALSE))</f>
        <v>0</v>
      </c>
      <c r="U74" s="4">
        <f>(VLOOKUP(' 6.0.00'!AC74,' 6.0.00'!$AM$4:$AO$55,3,FALSE))</f>
        <v>0</v>
      </c>
      <c r="V74" s="4">
        <f>(VLOOKUP(' 6.0.00'!AD74,' 6.0.00'!$AM$4:$AO$55,3,FALSE))</f>
        <v>0</v>
      </c>
      <c r="W74" s="5">
        <f>(VLOOKUP(' 6.0.00'!AE74,' 6.0.00'!$AM$4:$AO$55,3,FALSE))</f>
        <v>0</v>
      </c>
      <c r="X74" s="5">
        <f>(VLOOKUP(' 6.0.00'!AF74,' 6.0.00'!$AM$4:$AO$55,3,FALSE))</f>
        <v>0</v>
      </c>
    </row>
    <row r="75" spans="1:24">
      <c r="A75" s="4">
        <f>(VLOOKUP(' 6.0.00'!I75,' 6.0.00'!$AM$4:$AO$55,3,FALSE))</f>
        <v>0</v>
      </c>
      <c r="B75" s="4">
        <f>(VLOOKUP(' 6.0.00'!J75,' 6.0.00'!$AM$4:$AO$55,3,FALSE))</f>
        <v>0</v>
      </c>
      <c r="C75" s="4">
        <f>(VLOOKUP(' 6.0.00'!K75,' 6.0.00'!$AM$4:$AO$55,3,FALSE))</f>
        <v>0</v>
      </c>
      <c r="D75" s="4">
        <f>(VLOOKUP(' 6.0.00'!L75,' 6.0.00'!$AM$4:$AO$55,3,FALSE))</f>
        <v>0</v>
      </c>
      <c r="E75" s="4">
        <f>(VLOOKUP(' 6.0.00'!M75,' 6.0.00'!$AM$4:$AO$55,3,FALSE))</f>
        <v>0</v>
      </c>
      <c r="F75" s="4">
        <f>(VLOOKUP(' 6.0.00'!N75,' 6.0.00'!$AM$4:$AO$55,3,FALSE))</f>
        <v>0</v>
      </c>
      <c r="G75" s="5">
        <f>(VLOOKUP(' 6.0.00'!O75,' 6.0.00'!$AM$4:$AO$55,3,FALSE))</f>
        <v>0</v>
      </c>
      <c r="H75" s="5">
        <f>(VLOOKUP(' 6.0.00'!P75,' 6.0.00'!$AM$4:$AO$55,3,FALSE))</f>
        <v>0</v>
      </c>
      <c r="I75" s="4">
        <f>(VLOOKUP(' 6.0.00'!Q75,' 6.0.00'!$AM$4:$AO$55,3,FALSE))</f>
        <v>0</v>
      </c>
      <c r="J75" s="4">
        <f>(VLOOKUP(' 6.0.00'!R75,' 6.0.00'!$AM$4:$AO$55,3,FALSE))</f>
        <v>0</v>
      </c>
      <c r="K75" s="4">
        <f>(VLOOKUP(' 6.0.00'!S75,' 6.0.00'!$AM$4:$AO$55,3,FALSE))</f>
        <v>0</v>
      </c>
      <c r="L75" s="4">
        <f>(VLOOKUP(' 6.0.00'!T75,' 6.0.00'!$AM$4:$AO$55,3,FALSE))</f>
        <v>0</v>
      </c>
      <c r="M75" s="4">
        <f>(VLOOKUP(' 6.0.00'!U75,' 6.0.00'!$AM$4:$AO$55,3,FALSE))</f>
        <v>0</v>
      </c>
      <c r="N75" s="4">
        <f>(VLOOKUP(' 6.0.00'!V75,' 6.0.00'!$AM$4:$AO$55,3,FALSE))</f>
        <v>0</v>
      </c>
      <c r="O75" s="5">
        <f>(VLOOKUP(' 6.0.00'!W75,' 6.0.00'!$AM$4:$AO$55,3,FALSE))</f>
        <v>0</v>
      </c>
      <c r="P75" s="5">
        <f>(VLOOKUP(' 6.0.00'!X75,' 6.0.00'!$AM$4:$AO$55,3,FALSE))</f>
        <v>0</v>
      </c>
      <c r="Q75" s="4">
        <f>(VLOOKUP(' 6.0.00'!Y75,' 6.0.00'!$AM$4:$AO$55,3,FALSE))</f>
        <v>0</v>
      </c>
      <c r="R75" s="4">
        <f>(VLOOKUP(' 6.0.00'!Z75,' 6.0.00'!$AM$4:$AO$55,3,FALSE))</f>
        <v>0</v>
      </c>
      <c r="S75" s="4">
        <f>(VLOOKUP(' 6.0.00'!AA75,' 6.0.00'!$AM$4:$AO$55,3,FALSE))</f>
        <v>0</v>
      </c>
      <c r="T75" s="4">
        <f>(VLOOKUP(' 6.0.00'!AB75,' 6.0.00'!$AM$4:$AO$55,3,FALSE))</f>
        <v>0</v>
      </c>
      <c r="U75" s="4">
        <f>(VLOOKUP(' 6.0.00'!AC75,' 6.0.00'!$AM$4:$AO$55,3,FALSE))</f>
        <v>0</v>
      </c>
      <c r="V75" s="4">
        <f>(VLOOKUP(' 6.0.00'!AD75,' 6.0.00'!$AM$4:$AO$55,3,FALSE))</f>
        <v>0</v>
      </c>
      <c r="W75" s="5">
        <f>(VLOOKUP(' 6.0.00'!AE75,' 6.0.00'!$AM$4:$AO$55,3,FALSE))</f>
        <v>0</v>
      </c>
      <c r="X75" s="5">
        <f>(VLOOKUP(' 6.0.00'!AF75,' 6.0.00'!$AM$4:$AO$55,3,FALSE))</f>
        <v>0</v>
      </c>
    </row>
    <row r="76" spans="1:24">
      <c r="A76" s="4">
        <f>(VLOOKUP(' 6.0.00'!I76,' 6.0.00'!$AM$4:$AO$55,3,FALSE))</f>
        <v>0</v>
      </c>
      <c r="B76" s="4">
        <f>(VLOOKUP(' 6.0.00'!J76,' 6.0.00'!$AM$4:$AO$55,3,FALSE))</f>
        <v>0</v>
      </c>
      <c r="C76" s="4">
        <f>(VLOOKUP(' 6.0.00'!K76,' 6.0.00'!$AM$4:$AO$55,3,FALSE))</f>
        <v>0</v>
      </c>
      <c r="D76" s="4">
        <f>(VLOOKUP(' 6.0.00'!L76,' 6.0.00'!$AM$4:$AO$55,3,FALSE))</f>
        <v>0</v>
      </c>
      <c r="E76" s="4">
        <f>(VLOOKUP(' 6.0.00'!M76,' 6.0.00'!$AM$4:$AO$55,3,FALSE))</f>
        <v>0</v>
      </c>
      <c r="F76" s="4">
        <f>(VLOOKUP(' 6.0.00'!N76,' 6.0.00'!$AM$4:$AO$55,3,FALSE))</f>
        <v>0</v>
      </c>
      <c r="G76" s="5">
        <f>(VLOOKUP(' 6.0.00'!O76,' 6.0.00'!$AM$4:$AO$55,3,FALSE))</f>
        <v>0</v>
      </c>
      <c r="H76" s="5">
        <f>(VLOOKUP(' 6.0.00'!P76,' 6.0.00'!$AM$4:$AO$55,3,FALSE))</f>
        <v>0</v>
      </c>
      <c r="I76" s="4">
        <f>(VLOOKUP(' 6.0.00'!Q76,' 6.0.00'!$AM$4:$AO$55,3,FALSE))</f>
        <v>0</v>
      </c>
      <c r="J76" s="4">
        <f>(VLOOKUP(' 6.0.00'!R76,' 6.0.00'!$AM$4:$AO$55,3,FALSE))</f>
        <v>0</v>
      </c>
      <c r="K76" s="4">
        <f>(VLOOKUP(' 6.0.00'!S76,' 6.0.00'!$AM$4:$AO$55,3,FALSE))</f>
        <v>0</v>
      </c>
      <c r="L76" s="4">
        <f>(VLOOKUP(' 6.0.00'!T76,' 6.0.00'!$AM$4:$AO$55,3,FALSE))</f>
        <v>0</v>
      </c>
      <c r="M76" s="4">
        <f>(VLOOKUP(' 6.0.00'!U76,' 6.0.00'!$AM$4:$AO$55,3,FALSE))</f>
        <v>0</v>
      </c>
      <c r="N76" s="4">
        <f>(VLOOKUP(' 6.0.00'!V76,' 6.0.00'!$AM$4:$AO$55,3,FALSE))</f>
        <v>0</v>
      </c>
      <c r="O76" s="5">
        <f>(VLOOKUP(' 6.0.00'!W76,' 6.0.00'!$AM$4:$AO$55,3,FALSE))</f>
        <v>0</v>
      </c>
      <c r="P76" s="5">
        <f>(VLOOKUP(' 6.0.00'!X76,' 6.0.00'!$AM$4:$AO$55,3,FALSE))</f>
        <v>0</v>
      </c>
      <c r="Q76" s="4">
        <f>(VLOOKUP(' 6.0.00'!Y76,' 6.0.00'!$AM$4:$AO$55,3,FALSE))</f>
        <v>0</v>
      </c>
      <c r="R76" s="4">
        <f>(VLOOKUP(' 6.0.00'!Z76,' 6.0.00'!$AM$4:$AO$55,3,FALSE))</f>
        <v>0</v>
      </c>
      <c r="S76" s="4">
        <f>(VLOOKUP(' 6.0.00'!AA76,' 6.0.00'!$AM$4:$AO$55,3,FALSE))</f>
        <v>0</v>
      </c>
      <c r="T76" s="4">
        <f>(VLOOKUP(' 6.0.00'!AB76,' 6.0.00'!$AM$4:$AO$55,3,FALSE))</f>
        <v>0</v>
      </c>
      <c r="U76" s="4">
        <f>(VLOOKUP(' 6.0.00'!AC76,' 6.0.00'!$AM$4:$AO$55,3,FALSE))</f>
        <v>0</v>
      </c>
      <c r="V76" s="4">
        <f>(VLOOKUP(' 6.0.00'!AD76,' 6.0.00'!$AM$4:$AO$55,3,FALSE))</f>
        <v>0</v>
      </c>
      <c r="W76" s="5">
        <f>(VLOOKUP(' 6.0.00'!AE76,' 6.0.00'!$AM$4:$AO$55,3,FALSE))</f>
        <v>0</v>
      </c>
      <c r="X76" s="5">
        <f>(VLOOKUP(' 6.0.00'!AF76,' 6.0.00'!$AM$4:$AO$55,3,FALSE))</f>
        <v>0</v>
      </c>
    </row>
    <row r="77" spans="1:24">
      <c r="A77" s="4">
        <f>(VLOOKUP(' 6.0.00'!I77,' 6.0.00'!$AM$4:$AO$55,3,FALSE))</f>
        <v>0</v>
      </c>
      <c r="B77" s="4">
        <f>(VLOOKUP(' 6.0.00'!J77,' 6.0.00'!$AM$4:$AO$55,3,FALSE))</f>
        <v>0</v>
      </c>
      <c r="C77" s="4">
        <f>(VLOOKUP(' 6.0.00'!K77,' 6.0.00'!$AM$4:$AO$55,3,FALSE))</f>
        <v>0</v>
      </c>
      <c r="D77" s="4">
        <f>(VLOOKUP(' 6.0.00'!L77,' 6.0.00'!$AM$4:$AO$55,3,FALSE))</f>
        <v>0</v>
      </c>
      <c r="E77" s="4">
        <f>(VLOOKUP(' 6.0.00'!M77,' 6.0.00'!$AM$4:$AO$55,3,FALSE))</f>
        <v>0</v>
      </c>
      <c r="F77" s="4">
        <f>(VLOOKUP(' 6.0.00'!N77,' 6.0.00'!$AM$4:$AO$55,3,FALSE))</f>
        <v>0</v>
      </c>
      <c r="G77" s="5">
        <f>(VLOOKUP(' 6.0.00'!O77,' 6.0.00'!$AM$4:$AO$55,3,FALSE))</f>
        <v>0</v>
      </c>
      <c r="H77" s="5">
        <f>(VLOOKUP(' 6.0.00'!P77,' 6.0.00'!$AM$4:$AO$55,3,FALSE))</f>
        <v>0</v>
      </c>
      <c r="I77" s="4">
        <f>(VLOOKUP(' 6.0.00'!Q77,' 6.0.00'!$AM$4:$AO$55,3,FALSE))</f>
        <v>0</v>
      </c>
      <c r="J77" s="4">
        <f>(VLOOKUP(' 6.0.00'!R77,' 6.0.00'!$AM$4:$AO$55,3,FALSE))</f>
        <v>0</v>
      </c>
      <c r="K77" s="4">
        <f>(VLOOKUP(' 6.0.00'!S77,' 6.0.00'!$AM$4:$AO$55,3,FALSE))</f>
        <v>0</v>
      </c>
      <c r="L77" s="4">
        <f>(VLOOKUP(' 6.0.00'!T77,' 6.0.00'!$AM$4:$AO$55,3,FALSE))</f>
        <v>0</v>
      </c>
      <c r="M77" s="4">
        <f>(VLOOKUP(' 6.0.00'!U77,' 6.0.00'!$AM$4:$AO$55,3,FALSE))</f>
        <v>0</v>
      </c>
      <c r="N77" s="4">
        <f>(VLOOKUP(' 6.0.00'!V77,' 6.0.00'!$AM$4:$AO$55,3,FALSE))</f>
        <v>0</v>
      </c>
      <c r="O77" s="5">
        <f>(VLOOKUP(' 6.0.00'!W77,' 6.0.00'!$AM$4:$AO$55,3,FALSE))</f>
        <v>0</v>
      </c>
      <c r="P77" s="5">
        <f>(VLOOKUP(' 6.0.00'!X77,' 6.0.00'!$AM$4:$AO$55,3,FALSE))</f>
        <v>0</v>
      </c>
      <c r="Q77" s="4">
        <f>(VLOOKUP(' 6.0.00'!Y77,' 6.0.00'!$AM$4:$AO$55,3,FALSE))</f>
        <v>0</v>
      </c>
      <c r="R77" s="4">
        <f>(VLOOKUP(' 6.0.00'!Z77,' 6.0.00'!$AM$4:$AO$55,3,FALSE))</f>
        <v>0</v>
      </c>
      <c r="S77" s="4">
        <f>(VLOOKUP(' 6.0.00'!AA77,' 6.0.00'!$AM$4:$AO$55,3,FALSE))</f>
        <v>0</v>
      </c>
      <c r="T77" s="4">
        <f>(VLOOKUP(' 6.0.00'!AB77,' 6.0.00'!$AM$4:$AO$55,3,FALSE))</f>
        <v>0</v>
      </c>
      <c r="U77" s="4">
        <f>(VLOOKUP(' 6.0.00'!AC77,' 6.0.00'!$AM$4:$AO$55,3,FALSE))</f>
        <v>0</v>
      </c>
      <c r="V77" s="4">
        <f>(VLOOKUP(' 6.0.00'!AD77,' 6.0.00'!$AM$4:$AO$55,3,FALSE))</f>
        <v>0</v>
      </c>
      <c r="W77" s="5">
        <f>(VLOOKUP(' 6.0.00'!AE77,' 6.0.00'!$AM$4:$AO$55,3,FALSE))</f>
        <v>0</v>
      </c>
      <c r="X77" s="5">
        <f>(VLOOKUP(' 6.0.00'!AF77,' 6.0.00'!$AM$4:$AO$55,3,FALSE))</f>
        <v>0</v>
      </c>
    </row>
    <row r="78" spans="1:24">
      <c r="A78" s="4">
        <f>(VLOOKUP(' 6.0.00'!I78,' 6.0.00'!$AM$4:$AO$55,3,FALSE))</f>
        <v>0</v>
      </c>
      <c r="B78" s="4">
        <f>(VLOOKUP(' 6.0.00'!J78,' 6.0.00'!$AM$4:$AO$55,3,FALSE))</f>
        <v>0</v>
      </c>
      <c r="C78" s="4">
        <f>(VLOOKUP(' 6.0.00'!K78,' 6.0.00'!$AM$4:$AO$55,3,FALSE))</f>
        <v>0</v>
      </c>
      <c r="D78" s="4">
        <f>(VLOOKUP(' 6.0.00'!L78,' 6.0.00'!$AM$4:$AO$55,3,FALSE))</f>
        <v>0</v>
      </c>
      <c r="E78" s="4">
        <f>(VLOOKUP(' 6.0.00'!M78,' 6.0.00'!$AM$4:$AO$55,3,FALSE))</f>
        <v>0</v>
      </c>
      <c r="F78" s="4">
        <f>(VLOOKUP(' 6.0.00'!N78,' 6.0.00'!$AM$4:$AO$55,3,FALSE))</f>
        <v>0</v>
      </c>
      <c r="G78" s="5">
        <f>(VLOOKUP(' 6.0.00'!O78,' 6.0.00'!$AM$4:$AO$55,3,FALSE))</f>
        <v>0</v>
      </c>
      <c r="H78" s="5">
        <f>(VLOOKUP(' 6.0.00'!P78,' 6.0.00'!$AM$4:$AO$55,3,FALSE))</f>
        <v>0</v>
      </c>
      <c r="I78" s="4">
        <f>(VLOOKUP(' 6.0.00'!Q78,' 6.0.00'!$AM$4:$AO$55,3,FALSE))</f>
        <v>0</v>
      </c>
      <c r="J78" s="4">
        <f>(VLOOKUP(' 6.0.00'!R78,' 6.0.00'!$AM$4:$AO$55,3,FALSE))</f>
        <v>0</v>
      </c>
      <c r="K78" s="4">
        <f>(VLOOKUP(' 6.0.00'!S78,' 6.0.00'!$AM$4:$AO$55,3,FALSE))</f>
        <v>0</v>
      </c>
      <c r="L78" s="4">
        <f>(VLOOKUP(' 6.0.00'!T78,' 6.0.00'!$AM$4:$AO$55,3,FALSE))</f>
        <v>0</v>
      </c>
      <c r="M78" s="4">
        <f>(VLOOKUP(' 6.0.00'!U78,' 6.0.00'!$AM$4:$AO$55,3,FALSE))</f>
        <v>0</v>
      </c>
      <c r="N78" s="4">
        <f>(VLOOKUP(' 6.0.00'!V78,' 6.0.00'!$AM$4:$AO$55,3,FALSE))</f>
        <v>0</v>
      </c>
      <c r="O78" s="5">
        <f>(VLOOKUP(' 6.0.00'!W78,' 6.0.00'!$AM$4:$AO$55,3,FALSE))</f>
        <v>0</v>
      </c>
      <c r="P78" s="5">
        <f>(VLOOKUP(' 6.0.00'!X78,' 6.0.00'!$AM$4:$AO$55,3,FALSE))</f>
        <v>0</v>
      </c>
      <c r="Q78" s="4">
        <f>(VLOOKUP(' 6.0.00'!Y78,' 6.0.00'!$AM$4:$AO$55,3,FALSE))</f>
        <v>0</v>
      </c>
      <c r="R78" s="4">
        <f>(VLOOKUP(' 6.0.00'!Z78,' 6.0.00'!$AM$4:$AO$55,3,FALSE))</f>
        <v>0</v>
      </c>
      <c r="S78" s="4">
        <f>(VLOOKUP(' 6.0.00'!AA78,' 6.0.00'!$AM$4:$AO$55,3,FALSE))</f>
        <v>0</v>
      </c>
      <c r="T78" s="4">
        <f>(VLOOKUP(' 6.0.00'!AB78,' 6.0.00'!$AM$4:$AO$55,3,FALSE))</f>
        <v>0</v>
      </c>
      <c r="U78" s="4">
        <f>(VLOOKUP(' 6.0.00'!AC78,' 6.0.00'!$AM$4:$AO$55,3,FALSE))</f>
        <v>0</v>
      </c>
      <c r="V78" s="4">
        <f>(VLOOKUP(' 6.0.00'!AD78,' 6.0.00'!$AM$4:$AO$55,3,FALSE))</f>
        <v>0</v>
      </c>
      <c r="W78" s="5">
        <f>(VLOOKUP(' 6.0.00'!AE78,' 6.0.00'!$AM$4:$AO$55,3,FALSE))</f>
        <v>0</v>
      </c>
      <c r="X78" s="5">
        <f>(VLOOKUP(' 6.0.00'!AF78,' 6.0.00'!$AM$4:$AO$55,3,FALSE))</f>
        <v>0</v>
      </c>
    </row>
    <row r="79" spans="1:24">
      <c r="A79" s="4">
        <f>(VLOOKUP(' 6.0.00'!I79,' 6.0.00'!$AM$4:$AO$55,3,FALSE))</f>
        <v>0</v>
      </c>
      <c r="B79" s="4">
        <f>(VLOOKUP(' 6.0.00'!J79,' 6.0.00'!$AM$4:$AO$55,3,FALSE))</f>
        <v>0</v>
      </c>
      <c r="C79" s="4">
        <f>(VLOOKUP(' 6.0.00'!K79,' 6.0.00'!$AM$4:$AO$55,3,FALSE))</f>
        <v>0</v>
      </c>
      <c r="D79" s="4">
        <f>(VLOOKUP(' 6.0.00'!L79,' 6.0.00'!$AM$4:$AO$55,3,FALSE))</f>
        <v>0</v>
      </c>
      <c r="E79" s="4">
        <f>(VLOOKUP(' 6.0.00'!M79,' 6.0.00'!$AM$4:$AO$55,3,FALSE))</f>
        <v>0</v>
      </c>
      <c r="F79" s="4">
        <f>(VLOOKUP(' 6.0.00'!N79,' 6.0.00'!$AM$4:$AO$55,3,FALSE))</f>
        <v>0</v>
      </c>
      <c r="G79" s="5">
        <f>(VLOOKUP(' 6.0.00'!O79,' 6.0.00'!$AM$4:$AO$55,3,FALSE))</f>
        <v>0</v>
      </c>
      <c r="H79" s="5">
        <f>(VLOOKUP(' 6.0.00'!P79,' 6.0.00'!$AM$4:$AO$55,3,FALSE))</f>
        <v>0</v>
      </c>
      <c r="I79" s="4">
        <f>(VLOOKUP(' 6.0.00'!Q79,' 6.0.00'!$AM$4:$AO$55,3,FALSE))</f>
        <v>0</v>
      </c>
      <c r="J79" s="4">
        <f>(VLOOKUP(' 6.0.00'!R79,' 6.0.00'!$AM$4:$AO$55,3,FALSE))</f>
        <v>0</v>
      </c>
      <c r="K79" s="4">
        <f>(VLOOKUP(' 6.0.00'!S79,' 6.0.00'!$AM$4:$AO$55,3,FALSE))</f>
        <v>0</v>
      </c>
      <c r="L79" s="4">
        <f>(VLOOKUP(' 6.0.00'!T79,' 6.0.00'!$AM$4:$AO$55,3,FALSE))</f>
        <v>0</v>
      </c>
      <c r="M79" s="4">
        <f>(VLOOKUP(' 6.0.00'!U79,' 6.0.00'!$AM$4:$AO$55,3,FALSE))</f>
        <v>0</v>
      </c>
      <c r="N79" s="4">
        <f>(VLOOKUP(' 6.0.00'!V79,' 6.0.00'!$AM$4:$AO$55,3,FALSE))</f>
        <v>0</v>
      </c>
      <c r="O79" s="5">
        <f>(VLOOKUP(' 6.0.00'!W79,' 6.0.00'!$AM$4:$AO$55,3,FALSE))</f>
        <v>0</v>
      </c>
      <c r="P79" s="5">
        <f>(VLOOKUP(' 6.0.00'!X79,' 6.0.00'!$AM$4:$AO$55,3,FALSE))</f>
        <v>0</v>
      </c>
      <c r="Q79" s="4">
        <f>(VLOOKUP(' 6.0.00'!Y79,' 6.0.00'!$AM$4:$AO$55,3,FALSE))</f>
        <v>0</v>
      </c>
      <c r="R79" s="4">
        <f>(VLOOKUP(' 6.0.00'!Z79,' 6.0.00'!$AM$4:$AO$55,3,FALSE))</f>
        <v>0</v>
      </c>
      <c r="S79" s="4">
        <f>(VLOOKUP(' 6.0.00'!AA79,' 6.0.00'!$AM$4:$AO$55,3,FALSE))</f>
        <v>0</v>
      </c>
      <c r="T79" s="4">
        <f>(VLOOKUP(' 6.0.00'!AB79,' 6.0.00'!$AM$4:$AO$55,3,FALSE))</f>
        <v>0</v>
      </c>
      <c r="U79" s="4">
        <f>(VLOOKUP(' 6.0.00'!AC79,' 6.0.00'!$AM$4:$AO$55,3,FALSE))</f>
        <v>0</v>
      </c>
      <c r="V79" s="4">
        <f>(VLOOKUP(' 6.0.00'!AD79,' 6.0.00'!$AM$4:$AO$55,3,FALSE))</f>
        <v>0</v>
      </c>
      <c r="W79" s="5">
        <f>(VLOOKUP(' 6.0.00'!AE79,' 6.0.00'!$AM$4:$AO$55,3,FALSE))</f>
        <v>0</v>
      </c>
      <c r="X79" s="5">
        <f>(VLOOKUP(' 6.0.00'!AF79,' 6.0.00'!$AM$4:$AO$55,3,FALSE))</f>
        <v>0</v>
      </c>
    </row>
    <row r="80" spans="1:24">
      <c r="A80" s="4">
        <f>(VLOOKUP(' 6.0.00'!I80,' 6.0.00'!$AM$4:$AO$55,3,FALSE))</f>
        <v>0</v>
      </c>
      <c r="B80" s="4">
        <f>(VLOOKUP(' 6.0.00'!J80,' 6.0.00'!$AM$4:$AO$55,3,FALSE))</f>
        <v>0</v>
      </c>
      <c r="C80" s="4">
        <f>(VLOOKUP(' 6.0.00'!K80,' 6.0.00'!$AM$4:$AO$55,3,FALSE))</f>
        <v>0</v>
      </c>
      <c r="D80" s="4">
        <f>(VLOOKUP(' 6.0.00'!L80,' 6.0.00'!$AM$4:$AO$55,3,FALSE))</f>
        <v>0</v>
      </c>
      <c r="E80" s="4">
        <f>(VLOOKUP(' 6.0.00'!M80,' 6.0.00'!$AM$4:$AO$55,3,FALSE))</f>
        <v>0</v>
      </c>
      <c r="F80" s="4">
        <f>(VLOOKUP(' 6.0.00'!N80,' 6.0.00'!$AM$4:$AO$55,3,FALSE))</f>
        <v>0</v>
      </c>
      <c r="G80" s="5">
        <f>(VLOOKUP(' 6.0.00'!O80,' 6.0.00'!$AM$4:$AO$55,3,FALSE))</f>
        <v>0</v>
      </c>
      <c r="H80" s="5">
        <f>(VLOOKUP(' 6.0.00'!P80,' 6.0.00'!$AM$4:$AO$55,3,FALSE))</f>
        <v>0</v>
      </c>
      <c r="I80" s="4">
        <f>(VLOOKUP(' 6.0.00'!Q80,' 6.0.00'!$AM$4:$AO$55,3,FALSE))</f>
        <v>0</v>
      </c>
      <c r="J80" s="4">
        <f>(VLOOKUP(' 6.0.00'!R80,' 6.0.00'!$AM$4:$AO$55,3,FALSE))</f>
        <v>0</v>
      </c>
      <c r="K80" s="4">
        <f>(VLOOKUP(' 6.0.00'!S80,' 6.0.00'!$AM$4:$AO$55,3,FALSE))</f>
        <v>0</v>
      </c>
      <c r="L80" s="4">
        <f>(VLOOKUP(' 6.0.00'!T80,' 6.0.00'!$AM$4:$AO$55,3,FALSE))</f>
        <v>0</v>
      </c>
      <c r="M80" s="4">
        <f>(VLOOKUP(' 6.0.00'!U80,' 6.0.00'!$AM$4:$AO$55,3,FALSE))</f>
        <v>0</v>
      </c>
      <c r="N80" s="4">
        <f>(VLOOKUP(' 6.0.00'!V80,' 6.0.00'!$AM$4:$AO$55,3,FALSE))</f>
        <v>0</v>
      </c>
      <c r="O80" s="5">
        <f>(VLOOKUP(' 6.0.00'!W80,' 6.0.00'!$AM$4:$AO$55,3,FALSE))</f>
        <v>0</v>
      </c>
      <c r="P80" s="5">
        <f>(VLOOKUP(' 6.0.00'!X80,' 6.0.00'!$AM$4:$AO$55,3,FALSE))</f>
        <v>0</v>
      </c>
      <c r="Q80" s="4">
        <f>(VLOOKUP(' 6.0.00'!Y80,' 6.0.00'!$AM$4:$AO$55,3,FALSE))</f>
        <v>0</v>
      </c>
      <c r="R80" s="4">
        <f>(VLOOKUP(' 6.0.00'!Z80,' 6.0.00'!$AM$4:$AO$55,3,FALSE))</f>
        <v>0</v>
      </c>
      <c r="S80" s="4">
        <f>(VLOOKUP(' 6.0.00'!AA80,' 6.0.00'!$AM$4:$AO$55,3,FALSE))</f>
        <v>0</v>
      </c>
      <c r="T80" s="4">
        <f>(VLOOKUP(' 6.0.00'!AB80,' 6.0.00'!$AM$4:$AO$55,3,FALSE))</f>
        <v>0</v>
      </c>
      <c r="U80" s="4">
        <f>(VLOOKUP(' 6.0.00'!AC80,' 6.0.00'!$AM$4:$AO$55,3,FALSE))</f>
        <v>0</v>
      </c>
      <c r="V80" s="4">
        <f>(VLOOKUP(' 6.0.00'!AD80,' 6.0.00'!$AM$4:$AO$55,3,FALSE))</f>
        <v>0</v>
      </c>
      <c r="W80" s="5">
        <f>(VLOOKUP(' 6.0.00'!AE80,' 6.0.00'!$AM$4:$AO$55,3,FALSE))</f>
        <v>0</v>
      </c>
      <c r="X80" s="5">
        <f>(VLOOKUP(' 6.0.00'!AF80,' 6.0.00'!$AM$4:$AO$55,3,FALSE))</f>
        <v>0</v>
      </c>
    </row>
    <row r="81" spans="1:24">
      <c r="A81" s="4">
        <f>(VLOOKUP(' 6.0.00'!I81,' 6.0.00'!$AM$4:$AO$55,3,FALSE))</f>
        <v>0</v>
      </c>
      <c r="B81" s="4">
        <f>(VLOOKUP(' 6.0.00'!J81,' 6.0.00'!$AM$4:$AO$55,3,FALSE))</f>
        <v>0</v>
      </c>
      <c r="C81" s="4">
        <f>(VLOOKUP(' 6.0.00'!K81,' 6.0.00'!$AM$4:$AO$55,3,FALSE))</f>
        <v>0</v>
      </c>
      <c r="D81" s="4">
        <f>(VLOOKUP(' 6.0.00'!L81,' 6.0.00'!$AM$4:$AO$55,3,FALSE))</f>
        <v>0</v>
      </c>
      <c r="E81" s="4">
        <f>(VLOOKUP(' 6.0.00'!M81,' 6.0.00'!$AM$4:$AO$55,3,FALSE))</f>
        <v>0</v>
      </c>
      <c r="F81" s="4">
        <f>(VLOOKUP(' 6.0.00'!N81,' 6.0.00'!$AM$4:$AO$55,3,FALSE))</f>
        <v>0</v>
      </c>
      <c r="G81" s="5">
        <f>(VLOOKUP(' 6.0.00'!O81,' 6.0.00'!$AM$4:$AO$55,3,FALSE))</f>
        <v>0</v>
      </c>
      <c r="H81" s="5">
        <f>(VLOOKUP(' 6.0.00'!P81,' 6.0.00'!$AM$4:$AO$55,3,FALSE))</f>
        <v>0</v>
      </c>
      <c r="I81" s="4">
        <f>(VLOOKUP(' 6.0.00'!Q81,' 6.0.00'!$AM$4:$AO$55,3,FALSE))</f>
        <v>0</v>
      </c>
      <c r="J81" s="4">
        <f>(VLOOKUP(' 6.0.00'!R81,' 6.0.00'!$AM$4:$AO$55,3,FALSE))</f>
        <v>0</v>
      </c>
      <c r="K81" s="4">
        <f>(VLOOKUP(' 6.0.00'!S81,' 6.0.00'!$AM$4:$AO$55,3,FALSE))</f>
        <v>0</v>
      </c>
      <c r="L81" s="4">
        <f>(VLOOKUP(' 6.0.00'!T81,' 6.0.00'!$AM$4:$AO$55,3,FALSE))</f>
        <v>0</v>
      </c>
      <c r="M81" s="4">
        <f>(VLOOKUP(' 6.0.00'!U81,' 6.0.00'!$AM$4:$AO$55,3,FALSE))</f>
        <v>0</v>
      </c>
      <c r="N81" s="4">
        <f>(VLOOKUP(' 6.0.00'!V81,' 6.0.00'!$AM$4:$AO$55,3,FALSE))</f>
        <v>0</v>
      </c>
      <c r="O81" s="5">
        <f>(VLOOKUP(' 6.0.00'!W81,' 6.0.00'!$AM$4:$AO$55,3,FALSE))</f>
        <v>0</v>
      </c>
      <c r="P81" s="5">
        <f>(VLOOKUP(' 6.0.00'!X81,' 6.0.00'!$AM$4:$AO$55,3,FALSE))</f>
        <v>0</v>
      </c>
      <c r="Q81" s="4">
        <f>(VLOOKUP(' 6.0.00'!Y81,' 6.0.00'!$AM$4:$AO$55,3,FALSE))</f>
        <v>0</v>
      </c>
      <c r="R81" s="4">
        <f>(VLOOKUP(' 6.0.00'!Z81,' 6.0.00'!$AM$4:$AO$55,3,FALSE))</f>
        <v>0</v>
      </c>
      <c r="S81" s="4">
        <f>(VLOOKUP(' 6.0.00'!AA81,' 6.0.00'!$AM$4:$AO$55,3,FALSE))</f>
        <v>0</v>
      </c>
      <c r="T81" s="4">
        <f>(VLOOKUP(' 6.0.00'!AB81,' 6.0.00'!$AM$4:$AO$55,3,FALSE))</f>
        <v>0</v>
      </c>
      <c r="U81" s="4">
        <f>(VLOOKUP(' 6.0.00'!AC81,' 6.0.00'!$AM$4:$AO$55,3,FALSE))</f>
        <v>0</v>
      </c>
      <c r="V81" s="4">
        <f>(VLOOKUP(' 6.0.00'!AD81,' 6.0.00'!$AM$4:$AO$55,3,FALSE))</f>
        <v>0</v>
      </c>
      <c r="W81" s="5">
        <f>(VLOOKUP(' 6.0.00'!AE81,' 6.0.00'!$AM$4:$AO$55,3,FALSE))</f>
        <v>0</v>
      </c>
      <c r="X81" s="5">
        <f>(VLOOKUP(' 6.0.00'!AF81,' 6.0.00'!$AM$4:$AO$55,3,FALSE))</f>
        <v>0</v>
      </c>
    </row>
    <row r="82" spans="1:24">
      <c r="A82" s="4">
        <f>(VLOOKUP(' 6.0.00'!I82,' 6.0.00'!$AM$4:$AO$55,3,FALSE))</f>
        <v>0</v>
      </c>
      <c r="B82" s="4">
        <f>(VLOOKUP(' 6.0.00'!J82,' 6.0.00'!$AM$4:$AO$55,3,FALSE))</f>
        <v>0</v>
      </c>
      <c r="C82" s="4">
        <f>(VLOOKUP(' 6.0.00'!K82,' 6.0.00'!$AM$4:$AO$55,3,FALSE))</f>
        <v>0</v>
      </c>
      <c r="D82" s="4">
        <f>(VLOOKUP(' 6.0.00'!L82,' 6.0.00'!$AM$4:$AO$55,3,FALSE))</f>
        <v>0</v>
      </c>
      <c r="E82" s="4">
        <f>(VLOOKUP(' 6.0.00'!M82,' 6.0.00'!$AM$4:$AO$55,3,FALSE))</f>
        <v>0</v>
      </c>
      <c r="F82" s="4">
        <f>(VLOOKUP(' 6.0.00'!N82,' 6.0.00'!$AM$4:$AO$55,3,FALSE))</f>
        <v>0</v>
      </c>
      <c r="G82" s="5">
        <f>(VLOOKUP(' 6.0.00'!O82,' 6.0.00'!$AM$4:$AO$55,3,FALSE))</f>
        <v>0</v>
      </c>
      <c r="H82" s="5">
        <f>(VLOOKUP(' 6.0.00'!P82,' 6.0.00'!$AM$4:$AO$55,3,FALSE))</f>
        <v>0</v>
      </c>
      <c r="I82" s="4">
        <f>(VLOOKUP(' 6.0.00'!Q82,' 6.0.00'!$AM$4:$AO$55,3,FALSE))</f>
        <v>0</v>
      </c>
      <c r="J82" s="4">
        <f>(VLOOKUP(' 6.0.00'!R82,' 6.0.00'!$AM$4:$AO$55,3,FALSE))</f>
        <v>0</v>
      </c>
      <c r="K82" s="4">
        <f>(VLOOKUP(' 6.0.00'!S82,' 6.0.00'!$AM$4:$AO$55,3,FALSE))</f>
        <v>0</v>
      </c>
      <c r="L82" s="4">
        <f>(VLOOKUP(' 6.0.00'!T82,' 6.0.00'!$AM$4:$AO$55,3,FALSE))</f>
        <v>0</v>
      </c>
      <c r="M82" s="4">
        <f>(VLOOKUP(' 6.0.00'!U82,' 6.0.00'!$AM$4:$AO$55,3,FALSE))</f>
        <v>0</v>
      </c>
      <c r="N82" s="4">
        <f>(VLOOKUP(' 6.0.00'!V82,' 6.0.00'!$AM$4:$AO$55,3,FALSE))</f>
        <v>0</v>
      </c>
      <c r="O82" s="5">
        <f>(VLOOKUP(' 6.0.00'!W82,' 6.0.00'!$AM$4:$AO$55,3,FALSE))</f>
        <v>0</v>
      </c>
      <c r="P82" s="5">
        <f>(VLOOKUP(' 6.0.00'!X82,' 6.0.00'!$AM$4:$AO$55,3,FALSE))</f>
        <v>0</v>
      </c>
      <c r="Q82" s="4">
        <f>(VLOOKUP(' 6.0.00'!Y82,' 6.0.00'!$AM$4:$AO$55,3,FALSE))</f>
        <v>0</v>
      </c>
      <c r="R82" s="4">
        <f>(VLOOKUP(' 6.0.00'!Z82,' 6.0.00'!$AM$4:$AO$55,3,FALSE))</f>
        <v>0</v>
      </c>
      <c r="S82" s="4">
        <f>(VLOOKUP(' 6.0.00'!AA82,' 6.0.00'!$AM$4:$AO$55,3,FALSE))</f>
        <v>0</v>
      </c>
      <c r="T82" s="4">
        <f>(VLOOKUP(' 6.0.00'!AB82,' 6.0.00'!$AM$4:$AO$55,3,FALSE))</f>
        <v>0</v>
      </c>
      <c r="U82" s="4">
        <f>(VLOOKUP(' 6.0.00'!AC82,' 6.0.00'!$AM$4:$AO$55,3,FALSE))</f>
        <v>0</v>
      </c>
      <c r="V82" s="4">
        <f>(VLOOKUP(' 6.0.00'!AD82,' 6.0.00'!$AM$4:$AO$55,3,FALSE))</f>
        <v>0</v>
      </c>
      <c r="W82" s="5">
        <f>(VLOOKUP(' 6.0.00'!AE82,' 6.0.00'!$AM$4:$AO$55,3,FALSE))</f>
        <v>0</v>
      </c>
      <c r="X82" s="5">
        <f>(VLOOKUP(' 6.0.00'!AF82,' 6.0.00'!$AM$4:$AO$55,3,FALSE))</f>
        <v>0</v>
      </c>
    </row>
    <row r="83" spans="1:24">
      <c r="A83" s="4">
        <f>(VLOOKUP(' 6.0.00'!I83,' 6.0.00'!$AM$4:$AO$55,3,FALSE))</f>
        <v>0</v>
      </c>
      <c r="B83" s="4">
        <f>(VLOOKUP(' 6.0.00'!J83,' 6.0.00'!$AM$4:$AO$55,3,FALSE))</f>
        <v>0</v>
      </c>
      <c r="C83" s="4">
        <f>(VLOOKUP(' 6.0.00'!K83,' 6.0.00'!$AM$4:$AO$55,3,FALSE))</f>
        <v>0</v>
      </c>
      <c r="D83" s="4">
        <f>(VLOOKUP(' 6.0.00'!L83,' 6.0.00'!$AM$4:$AO$55,3,FALSE))</f>
        <v>0</v>
      </c>
      <c r="E83" s="4">
        <f>(VLOOKUP(' 6.0.00'!M83,' 6.0.00'!$AM$4:$AO$55,3,FALSE))</f>
        <v>0</v>
      </c>
      <c r="F83" s="4">
        <f>(VLOOKUP(' 6.0.00'!N83,' 6.0.00'!$AM$4:$AO$55,3,FALSE))</f>
        <v>0</v>
      </c>
      <c r="G83" s="5">
        <f>(VLOOKUP(' 6.0.00'!O83,' 6.0.00'!$AM$4:$AO$55,3,FALSE))</f>
        <v>0</v>
      </c>
      <c r="H83" s="5">
        <f>(VLOOKUP(' 6.0.00'!P83,' 6.0.00'!$AM$4:$AO$55,3,FALSE))</f>
        <v>0</v>
      </c>
      <c r="I83" s="4">
        <f>(VLOOKUP(' 6.0.00'!Q83,' 6.0.00'!$AM$4:$AO$55,3,FALSE))</f>
        <v>0</v>
      </c>
      <c r="J83" s="4">
        <f>(VLOOKUP(' 6.0.00'!R83,' 6.0.00'!$AM$4:$AO$55,3,FALSE))</f>
        <v>0</v>
      </c>
      <c r="K83" s="4">
        <f>(VLOOKUP(' 6.0.00'!S83,' 6.0.00'!$AM$4:$AO$55,3,FALSE))</f>
        <v>0</v>
      </c>
      <c r="L83" s="4">
        <f>(VLOOKUP(' 6.0.00'!T83,' 6.0.00'!$AM$4:$AO$55,3,FALSE))</f>
        <v>0</v>
      </c>
      <c r="M83" s="4">
        <f>(VLOOKUP(' 6.0.00'!U83,' 6.0.00'!$AM$4:$AO$55,3,FALSE))</f>
        <v>0</v>
      </c>
      <c r="N83" s="4">
        <f>(VLOOKUP(' 6.0.00'!V83,' 6.0.00'!$AM$4:$AO$55,3,FALSE))</f>
        <v>0</v>
      </c>
      <c r="O83" s="5">
        <f>(VLOOKUP(' 6.0.00'!W83,' 6.0.00'!$AM$4:$AO$55,3,FALSE))</f>
        <v>0</v>
      </c>
      <c r="P83" s="5">
        <f>(VLOOKUP(' 6.0.00'!X83,' 6.0.00'!$AM$4:$AO$55,3,FALSE))</f>
        <v>0</v>
      </c>
      <c r="Q83" s="4">
        <f>(VLOOKUP(' 6.0.00'!Y83,' 6.0.00'!$AM$4:$AO$55,3,FALSE))</f>
        <v>0</v>
      </c>
      <c r="R83" s="4">
        <f>(VLOOKUP(' 6.0.00'!Z83,' 6.0.00'!$AM$4:$AO$55,3,FALSE))</f>
        <v>0</v>
      </c>
      <c r="S83" s="4">
        <f>(VLOOKUP(' 6.0.00'!AA83,' 6.0.00'!$AM$4:$AO$55,3,FALSE))</f>
        <v>0</v>
      </c>
      <c r="T83" s="4">
        <f>(VLOOKUP(' 6.0.00'!AB83,' 6.0.00'!$AM$4:$AO$55,3,FALSE))</f>
        <v>0</v>
      </c>
      <c r="U83" s="4">
        <f>(VLOOKUP(' 6.0.00'!AC83,' 6.0.00'!$AM$4:$AO$55,3,FALSE))</f>
        <v>0</v>
      </c>
      <c r="V83" s="4">
        <f>(VLOOKUP(' 6.0.00'!AD83,' 6.0.00'!$AM$4:$AO$55,3,FALSE))</f>
        <v>0</v>
      </c>
      <c r="W83" s="5">
        <f>(VLOOKUP(' 6.0.00'!AE83,' 6.0.00'!$AM$4:$AO$55,3,FALSE))</f>
        <v>0</v>
      </c>
      <c r="X83" s="5">
        <f>(VLOOKUP(' 6.0.00'!AF83,' 6.0.00'!$AM$4:$AO$55,3,FALSE))</f>
        <v>0</v>
      </c>
    </row>
    <row r="84" spans="1:24">
      <c r="A84" s="4">
        <f>(VLOOKUP(' 6.0.00'!I84,' 6.0.00'!$AM$4:$AO$55,3,FALSE))</f>
        <v>0</v>
      </c>
      <c r="B84" s="4">
        <f>(VLOOKUP(' 6.0.00'!J84,' 6.0.00'!$AM$4:$AO$55,3,FALSE))</f>
        <v>0</v>
      </c>
      <c r="C84" s="4">
        <f>(VLOOKUP(' 6.0.00'!K84,' 6.0.00'!$AM$4:$AO$55,3,FALSE))</f>
        <v>0</v>
      </c>
      <c r="D84" s="4">
        <f>(VLOOKUP(' 6.0.00'!L84,' 6.0.00'!$AM$4:$AO$55,3,FALSE))</f>
        <v>0</v>
      </c>
      <c r="E84" s="4">
        <f>(VLOOKUP(' 6.0.00'!M84,' 6.0.00'!$AM$4:$AO$55,3,FALSE))</f>
        <v>0</v>
      </c>
      <c r="F84" s="4">
        <f>(VLOOKUP(' 6.0.00'!N84,' 6.0.00'!$AM$4:$AO$55,3,FALSE))</f>
        <v>0</v>
      </c>
      <c r="G84" s="5">
        <f>(VLOOKUP(' 6.0.00'!O84,' 6.0.00'!$AM$4:$AO$55,3,FALSE))</f>
        <v>0</v>
      </c>
      <c r="H84" s="5">
        <f>(VLOOKUP(' 6.0.00'!P84,' 6.0.00'!$AM$4:$AO$55,3,FALSE))</f>
        <v>0</v>
      </c>
      <c r="I84" s="4">
        <f>(VLOOKUP(' 6.0.00'!Q84,' 6.0.00'!$AM$4:$AO$55,3,FALSE))</f>
        <v>0</v>
      </c>
      <c r="J84" s="4">
        <f>(VLOOKUP(' 6.0.00'!R84,' 6.0.00'!$AM$4:$AO$55,3,FALSE))</f>
        <v>0</v>
      </c>
      <c r="K84" s="4">
        <f>(VLOOKUP(' 6.0.00'!S84,' 6.0.00'!$AM$4:$AO$55,3,FALSE))</f>
        <v>0</v>
      </c>
      <c r="L84" s="4">
        <f>(VLOOKUP(' 6.0.00'!T84,' 6.0.00'!$AM$4:$AO$55,3,FALSE))</f>
        <v>0</v>
      </c>
      <c r="M84" s="4">
        <f>(VLOOKUP(' 6.0.00'!U84,' 6.0.00'!$AM$4:$AO$55,3,FALSE))</f>
        <v>0</v>
      </c>
      <c r="N84" s="4">
        <f>(VLOOKUP(' 6.0.00'!V84,' 6.0.00'!$AM$4:$AO$55,3,FALSE))</f>
        <v>0</v>
      </c>
      <c r="O84" s="5">
        <f>(VLOOKUP(' 6.0.00'!W84,' 6.0.00'!$AM$4:$AO$55,3,FALSE))</f>
        <v>0</v>
      </c>
      <c r="P84" s="5">
        <f>(VLOOKUP(' 6.0.00'!X84,' 6.0.00'!$AM$4:$AO$55,3,FALSE))</f>
        <v>0</v>
      </c>
      <c r="Q84" s="4">
        <f>(VLOOKUP(' 6.0.00'!Y84,' 6.0.00'!$AM$4:$AO$55,3,FALSE))</f>
        <v>0</v>
      </c>
      <c r="R84" s="4">
        <f>(VLOOKUP(' 6.0.00'!Z84,' 6.0.00'!$AM$4:$AO$55,3,FALSE))</f>
        <v>0</v>
      </c>
      <c r="S84" s="4">
        <f>(VLOOKUP(' 6.0.00'!AA84,' 6.0.00'!$AM$4:$AO$55,3,FALSE))</f>
        <v>0</v>
      </c>
      <c r="T84" s="4">
        <f>(VLOOKUP(' 6.0.00'!AB84,' 6.0.00'!$AM$4:$AO$55,3,FALSE))</f>
        <v>0</v>
      </c>
      <c r="U84" s="4">
        <f>(VLOOKUP(' 6.0.00'!AC84,' 6.0.00'!$AM$4:$AO$55,3,FALSE))</f>
        <v>0</v>
      </c>
      <c r="V84" s="4">
        <f>(VLOOKUP(' 6.0.00'!AD84,' 6.0.00'!$AM$4:$AO$55,3,FALSE))</f>
        <v>0</v>
      </c>
      <c r="W84" s="5">
        <f>(VLOOKUP(' 6.0.00'!AE84,' 6.0.00'!$AM$4:$AO$55,3,FALSE))</f>
        <v>0</v>
      </c>
      <c r="X84" s="5">
        <f>(VLOOKUP(' 6.0.00'!AF84,' 6.0.00'!$AM$4:$AO$55,3,FALSE))</f>
        <v>0</v>
      </c>
    </row>
    <row r="85" spans="1:24">
      <c r="A85" s="4">
        <f>(VLOOKUP(' 6.0.00'!I85,' 6.0.00'!$AM$4:$AO$55,3,FALSE))</f>
        <v>0</v>
      </c>
      <c r="B85" s="4">
        <f>(VLOOKUP(' 6.0.00'!J85,' 6.0.00'!$AM$4:$AO$55,3,FALSE))</f>
        <v>0</v>
      </c>
      <c r="C85" s="4">
        <f>(VLOOKUP(' 6.0.00'!K85,' 6.0.00'!$AM$4:$AO$55,3,FALSE))</f>
        <v>0</v>
      </c>
      <c r="D85" s="4">
        <f>(VLOOKUP(' 6.0.00'!L85,' 6.0.00'!$AM$4:$AO$55,3,FALSE))</f>
        <v>0</v>
      </c>
      <c r="E85" s="4">
        <f>(VLOOKUP(' 6.0.00'!M85,' 6.0.00'!$AM$4:$AO$55,3,FALSE))</f>
        <v>0</v>
      </c>
      <c r="F85" s="4">
        <f>(VLOOKUP(' 6.0.00'!N85,' 6.0.00'!$AM$4:$AO$55,3,FALSE))</f>
        <v>0</v>
      </c>
      <c r="G85" s="5">
        <f>(VLOOKUP(' 6.0.00'!O85,' 6.0.00'!$AM$4:$AO$55,3,FALSE))</f>
        <v>0</v>
      </c>
      <c r="H85" s="5">
        <f>(VLOOKUP(' 6.0.00'!P85,' 6.0.00'!$AM$4:$AO$55,3,FALSE))</f>
        <v>0</v>
      </c>
      <c r="I85" s="4">
        <f>(VLOOKUP(' 6.0.00'!Q85,' 6.0.00'!$AM$4:$AO$55,3,FALSE))</f>
        <v>0</v>
      </c>
      <c r="J85" s="4">
        <f>(VLOOKUP(' 6.0.00'!R85,' 6.0.00'!$AM$4:$AO$55,3,FALSE))</f>
        <v>0</v>
      </c>
      <c r="K85" s="4">
        <f>(VLOOKUP(' 6.0.00'!S85,' 6.0.00'!$AM$4:$AO$55,3,FALSE))</f>
        <v>0</v>
      </c>
      <c r="L85" s="4">
        <f>(VLOOKUP(' 6.0.00'!T85,' 6.0.00'!$AM$4:$AO$55,3,FALSE))</f>
        <v>0</v>
      </c>
      <c r="M85" s="4">
        <f>(VLOOKUP(' 6.0.00'!U85,' 6.0.00'!$AM$4:$AO$55,3,FALSE))</f>
        <v>0</v>
      </c>
      <c r="N85" s="4">
        <f>(VLOOKUP(' 6.0.00'!V85,' 6.0.00'!$AM$4:$AO$55,3,FALSE))</f>
        <v>0</v>
      </c>
      <c r="O85" s="5">
        <f>(VLOOKUP(' 6.0.00'!W85,' 6.0.00'!$AM$4:$AO$55,3,FALSE))</f>
        <v>0</v>
      </c>
      <c r="P85" s="5">
        <f>(VLOOKUP(' 6.0.00'!X85,' 6.0.00'!$AM$4:$AO$55,3,FALSE))</f>
        <v>0</v>
      </c>
      <c r="Q85" s="4">
        <f>(VLOOKUP(' 6.0.00'!Y85,' 6.0.00'!$AM$4:$AO$55,3,FALSE))</f>
        <v>0</v>
      </c>
      <c r="R85" s="4">
        <f>(VLOOKUP(' 6.0.00'!Z85,' 6.0.00'!$AM$4:$AO$55,3,FALSE))</f>
        <v>0</v>
      </c>
      <c r="S85" s="4">
        <f>(VLOOKUP(' 6.0.00'!AA85,' 6.0.00'!$AM$4:$AO$55,3,FALSE))</f>
        <v>0</v>
      </c>
      <c r="T85" s="4">
        <f>(VLOOKUP(' 6.0.00'!AB85,' 6.0.00'!$AM$4:$AO$55,3,FALSE))</f>
        <v>0</v>
      </c>
      <c r="U85" s="4">
        <f>(VLOOKUP(' 6.0.00'!AC85,' 6.0.00'!$AM$4:$AO$55,3,FALSE))</f>
        <v>0</v>
      </c>
      <c r="V85" s="4">
        <f>(VLOOKUP(' 6.0.00'!AD85,' 6.0.00'!$AM$4:$AO$55,3,FALSE))</f>
        <v>0</v>
      </c>
      <c r="W85" s="5">
        <f>(VLOOKUP(' 6.0.00'!AE85,' 6.0.00'!$AM$4:$AO$55,3,FALSE))</f>
        <v>0</v>
      </c>
      <c r="X85" s="5">
        <f>(VLOOKUP(' 6.0.00'!AF85,' 6.0.00'!$AM$4:$AO$55,3,FALSE))</f>
        <v>0</v>
      </c>
    </row>
    <row r="86" spans="1:24">
      <c r="A86" s="4">
        <f>(VLOOKUP(' 6.0.00'!I86,' 6.0.00'!$AM$4:$AO$55,3,FALSE))</f>
        <v>0</v>
      </c>
      <c r="B86" s="4">
        <f>(VLOOKUP(' 6.0.00'!J86,' 6.0.00'!$AM$4:$AO$55,3,FALSE))</f>
        <v>0</v>
      </c>
      <c r="C86" s="4">
        <f>(VLOOKUP(' 6.0.00'!K86,' 6.0.00'!$AM$4:$AO$55,3,FALSE))</f>
        <v>0</v>
      </c>
      <c r="D86" s="4">
        <f>(VLOOKUP(' 6.0.00'!L86,' 6.0.00'!$AM$4:$AO$55,3,FALSE))</f>
        <v>0</v>
      </c>
      <c r="E86" s="4">
        <f>(VLOOKUP(' 6.0.00'!M86,' 6.0.00'!$AM$4:$AO$55,3,FALSE))</f>
        <v>0</v>
      </c>
      <c r="F86" s="4">
        <f>(VLOOKUP(' 6.0.00'!N86,' 6.0.00'!$AM$4:$AO$55,3,FALSE))</f>
        <v>0</v>
      </c>
      <c r="G86" s="5">
        <f>(VLOOKUP(' 6.0.00'!O86,' 6.0.00'!$AM$4:$AO$55,3,FALSE))</f>
        <v>0</v>
      </c>
      <c r="H86" s="5">
        <f>(VLOOKUP(' 6.0.00'!P86,' 6.0.00'!$AM$4:$AO$55,3,FALSE))</f>
        <v>0</v>
      </c>
      <c r="I86" s="4">
        <f>(VLOOKUP(' 6.0.00'!Q86,' 6.0.00'!$AM$4:$AO$55,3,FALSE))</f>
        <v>0</v>
      </c>
      <c r="J86" s="4">
        <f>(VLOOKUP(' 6.0.00'!R86,' 6.0.00'!$AM$4:$AO$55,3,FALSE))</f>
        <v>0</v>
      </c>
      <c r="K86" s="4">
        <f>(VLOOKUP(' 6.0.00'!S86,' 6.0.00'!$AM$4:$AO$55,3,FALSE))</f>
        <v>0</v>
      </c>
      <c r="L86" s="4">
        <f>(VLOOKUP(' 6.0.00'!T86,' 6.0.00'!$AM$4:$AO$55,3,FALSE))</f>
        <v>0</v>
      </c>
      <c r="M86" s="4">
        <f>(VLOOKUP(' 6.0.00'!U86,' 6.0.00'!$AM$4:$AO$55,3,FALSE))</f>
        <v>0</v>
      </c>
      <c r="N86" s="4">
        <f>(VLOOKUP(' 6.0.00'!V86,' 6.0.00'!$AM$4:$AO$55,3,FALSE))</f>
        <v>0</v>
      </c>
      <c r="O86" s="5">
        <f>(VLOOKUP(' 6.0.00'!W86,' 6.0.00'!$AM$4:$AO$55,3,FALSE))</f>
        <v>0</v>
      </c>
      <c r="P86" s="5">
        <f>(VLOOKUP(' 6.0.00'!X86,' 6.0.00'!$AM$4:$AO$55,3,FALSE))</f>
        <v>0</v>
      </c>
      <c r="Q86" s="4">
        <f>(VLOOKUP(' 6.0.00'!Y86,' 6.0.00'!$AM$4:$AO$55,3,FALSE))</f>
        <v>0</v>
      </c>
      <c r="R86" s="4">
        <f>(VLOOKUP(' 6.0.00'!Z86,' 6.0.00'!$AM$4:$AO$55,3,FALSE))</f>
        <v>0</v>
      </c>
      <c r="S86" s="4">
        <f>(VLOOKUP(' 6.0.00'!AA86,' 6.0.00'!$AM$4:$AO$55,3,FALSE))</f>
        <v>0</v>
      </c>
      <c r="T86" s="4">
        <f>(VLOOKUP(' 6.0.00'!AB86,' 6.0.00'!$AM$4:$AO$55,3,FALSE))</f>
        <v>0</v>
      </c>
      <c r="U86" s="4">
        <f>(VLOOKUP(' 6.0.00'!AC86,' 6.0.00'!$AM$4:$AO$55,3,FALSE))</f>
        <v>0</v>
      </c>
      <c r="V86" s="4">
        <f>(VLOOKUP(' 6.0.00'!AD86,' 6.0.00'!$AM$4:$AO$55,3,FALSE))</f>
        <v>0</v>
      </c>
      <c r="W86" s="5">
        <f>(VLOOKUP(' 6.0.00'!AE86,' 6.0.00'!$AM$4:$AO$55,3,FALSE))</f>
        <v>0</v>
      </c>
      <c r="X86" s="5">
        <f>(VLOOKUP(' 6.0.00'!AF86,' 6.0.00'!$AM$4:$AO$55,3,FALSE))</f>
        <v>0</v>
      </c>
    </row>
    <row r="87" spans="1:24">
      <c r="A87" s="4">
        <f>(VLOOKUP(' 6.0.00'!I87,' 6.0.00'!$AM$4:$AO$55,3,FALSE))</f>
        <v>0</v>
      </c>
      <c r="B87" s="4">
        <f>(VLOOKUP(' 6.0.00'!J87,' 6.0.00'!$AM$4:$AO$55,3,FALSE))</f>
        <v>0</v>
      </c>
      <c r="C87" s="4">
        <f>(VLOOKUP(' 6.0.00'!K87,' 6.0.00'!$AM$4:$AO$55,3,FALSE))</f>
        <v>0</v>
      </c>
      <c r="D87" s="4">
        <f>(VLOOKUP(' 6.0.00'!L87,' 6.0.00'!$AM$4:$AO$55,3,FALSE))</f>
        <v>0</v>
      </c>
      <c r="E87" s="4">
        <f>(VLOOKUP(' 6.0.00'!M87,' 6.0.00'!$AM$4:$AO$55,3,FALSE))</f>
        <v>0</v>
      </c>
      <c r="F87" s="4">
        <f>(VLOOKUP(' 6.0.00'!N87,' 6.0.00'!$AM$4:$AO$55,3,FALSE))</f>
        <v>0</v>
      </c>
      <c r="G87" s="5">
        <f>(VLOOKUP(' 6.0.00'!O87,' 6.0.00'!$AM$4:$AO$55,3,FALSE))</f>
        <v>0</v>
      </c>
      <c r="H87" s="5">
        <f>(VLOOKUP(' 6.0.00'!P87,' 6.0.00'!$AM$4:$AO$55,3,FALSE))</f>
        <v>0</v>
      </c>
      <c r="I87" s="4">
        <f>(VLOOKUP(' 6.0.00'!Q87,' 6.0.00'!$AM$4:$AO$55,3,FALSE))</f>
        <v>0</v>
      </c>
      <c r="J87" s="4">
        <f>(VLOOKUP(' 6.0.00'!R87,' 6.0.00'!$AM$4:$AO$55,3,FALSE))</f>
        <v>0</v>
      </c>
      <c r="K87" s="4">
        <f>(VLOOKUP(' 6.0.00'!S87,' 6.0.00'!$AM$4:$AO$55,3,FALSE))</f>
        <v>0</v>
      </c>
      <c r="L87" s="4">
        <f>(VLOOKUP(' 6.0.00'!T87,' 6.0.00'!$AM$4:$AO$55,3,FALSE))</f>
        <v>0</v>
      </c>
      <c r="M87" s="4">
        <f>(VLOOKUP(' 6.0.00'!U87,' 6.0.00'!$AM$4:$AO$55,3,FALSE))</f>
        <v>0</v>
      </c>
      <c r="N87" s="4">
        <f>(VLOOKUP(' 6.0.00'!V87,' 6.0.00'!$AM$4:$AO$55,3,FALSE))</f>
        <v>0</v>
      </c>
      <c r="O87" s="5">
        <f>(VLOOKUP(' 6.0.00'!W87,' 6.0.00'!$AM$4:$AO$55,3,FALSE))</f>
        <v>0</v>
      </c>
      <c r="P87" s="5">
        <f>(VLOOKUP(' 6.0.00'!X87,' 6.0.00'!$AM$4:$AO$55,3,FALSE))</f>
        <v>0</v>
      </c>
      <c r="Q87" s="4">
        <f>(VLOOKUP(' 6.0.00'!Y87,' 6.0.00'!$AM$4:$AO$55,3,FALSE))</f>
        <v>0</v>
      </c>
      <c r="R87" s="4">
        <f>(VLOOKUP(' 6.0.00'!Z87,' 6.0.00'!$AM$4:$AO$55,3,FALSE))</f>
        <v>0</v>
      </c>
      <c r="S87" s="4">
        <f>(VLOOKUP(' 6.0.00'!AA87,' 6.0.00'!$AM$4:$AO$55,3,FALSE))</f>
        <v>0</v>
      </c>
      <c r="T87" s="4">
        <f>(VLOOKUP(' 6.0.00'!AB87,' 6.0.00'!$AM$4:$AO$55,3,FALSE))</f>
        <v>0</v>
      </c>
      <c r="U87" s="4">
        <f>(VLOOKUP(' 6.0.00'!AC87,' 6.0.00'!$AM$4:$AO$55,3,FALSE))</f>
        <v>0</v>
      </c>
      <c r="V87" s="4">
        <f>(VLOOKUP(' 6.0.00'!AD87,' 6.0.00'!$AM$4:$AO$55,3,FALSE))</f>
        <v>0</v>
      </c>
      <c r="W87" s="5">
        <f>(VLOOKUP(' 6.0.00'!AE87,' 6.0.00'!$AM$4:$AO$55,3,FALSE))</f>
        <v>0</v>
      </c>
      <c r="X87" s="5">
        <f>(VLOOKUP(' 6.0.00'!AF87,' 6.0.00'!$AM$4:$AO$55,3,FALSE))</f>
        <v>0</v>
      </c>
    </row>
    <row r="88" spans="1:24">
      <c r="A88" s="4">
        <f>(VLOOKUP(' 6.0.00'!I88,' 6.0.00'!$AM$4:$AO$55,3,FALSE))</f>
        <v>0</v>
      </c>
      <c r="B88" s="4">
        <f>(VLOOKUP(' 6.0.00'!J88,' 6.0.00'!$AM$4:$AO$55,3,FALSE))</f>
        <v>0</v>
      </c>
      <c r="C88" s="4">
        <f>(VLOOKUP(' 6.0.00'!K88,' 6.0.00'!$AM$4:$AO$55,3,FALSE))</f>
        <v>0</v>
      </c>
      <c r="D88" s="4">
        <f>(VLOOKUP(' 6.0.00'!L88,' 6.0.00'!$AM$4:$AO$55,3,FALSE))</f>
        <v>0</v>
      </c>
      <c r="E88" s="4">
        <f>(VLOOKUP(' 6.0.00'!M88,' 6.0.00'!$AM$4:$AO$55,3,FALSE))</f>
        <v>0</v>
      </c>
      <c r="F88" s="4">
        <f>(VLOOKUP(' 6.0.00'!N88,' 6.0.00'!$AM$4:$AO$55,3,FALSE))</f>
        <v>0</v>
      </c>
      <c r="G88" s="5">
        <f>(VLOOKUP(' 6.0.00'!O88,' 6.0.00'!$AM$4:$AO$55,3,FALSE))</f>
        <v>0</v>
      </c>
      <c r="H88" s="5">
        <f>(VLOOKUP(' 6.0.00'!P88,' 6.0.00'!$AM$4:$AO$55,3,FALSE))</f>
        <v>0</v>
      </c>
      <c r="I88" s="4">
        <f>(VLOOKUP(' 6.0.00'!Q88,' 6.0.00'!$AM$4:$AO$55,3,FALSE))</f>
        <v>0</v>
      </c>
      <c r="J88" s="4">
        <f>(VLOOKUP(' 6.0.00'!R88,' 6.0.00'!$AM$4:$AO$55,3,FALSE))</f>
        <v>0</v>
      </c>
      <c r="K88" s="4">
        <f>(VLOOKUP(' 6.0.00'!S88,' 6.0.00'!$AM$4:$AO$55,3,FALSE))</f>
        <v>0</v>
      </c>
      <c r="L88" s="4">
        <f>(VLOOKUP(' 6.0.00'!T88,' 6.0.00'!$AM$4:$AO$55,3,FALSE))</f>
        <v>0</v>
      </c>
      <c r="M88" s="4">
        <f>(VLOOKUP(' 6.0.00'!U88,' 6.0.00'!$AM$4:$AO$55,3,FALSE))</f>
        <v>0</v>
      </c>
      <c r="N88" s="4">
        <f>(VLOOKUP(' 6.0.00'!V88,' 6.0.00'!$AM$4:$AO$55,3,FALSE))</f>
        <v>0</v>
      </c>
      <c r="O88" s="5">
        <f>(VLOOKUP(' 6.0.00'!W88,' 6.0.00'!$AM$4:$AO$55,3,FALSE))</f>
        <v>0</v>
      </c>
      <c r="P88" s="5">
        <f>(VLOOKUP(' 6.0.00'!X88,' 6.0.00'!$AM$4:$AO$55,3,FALSE))</f>
        <v>0</v>
      </c>
      <c r="Q88" s="4">
        <f>(VLOOKUP(' 6.0.00'!Y88,' 6.0.00'!$AM$4:$AO$55,3,FALSE))</f>
        <v>0</v>
      </c>
      <c r="R88" s="4">
        <f>(VLOOKUP(' 6.0.00'!Z88,' 6.0.00'!$AM$4:$AO$55,3,FALSE))</f>
        <v>0</v>
      </c>
      <c r="S88" s="4">
        <f>(VLOOKUP(' 6.0.00'!AA88,' 6.0.00'!$AM$4:$AO$55,3,FALSE))</f>
        <v>0</v>
      </c>
      <c r="T88" s="4">
        <f>(VLOOKUP(' 6.0.00'!AB88,' 6.0.00'!$AM$4:$AO$55,3,FALSE))</f>
        <v>0</v>
      </c>
      <c r="U88" s="4">
        <f>(VLOOKUP(' 6.0.00'!AC88,' 6.0.00'!$AM$4:$AO$55,3,FALSE))</f>
        <v>0</v>
      </c>
      <c r="V88" s="4">
        <f>(VLOOKUP(' 6.0.00'!AD88,' 6.0.00'!$AM$4:$AO$55,3,FALSE))</f>
        <v>0</v>
      </c>
      <c r="W88" s="5">
        <f>(VLOOKUP(' 6.0.00'!AE88,' 6.0.00'!$AM$4:$AO$55,3,FALSE))</f>
        <v>0</v>
      </c>
      <c r="X88" s="5">
        <f>(VLOOKUP(' 6.0.00'!AF88,' 6.0.00'!$AM$4:$AO$55,3,FALSE))</f>
        <v>0</v>
      </c>
    </row>
    <row r="89" spans="1:24">
      <c r="A89" s="4">
        <f>(VLOOKUP(' 6.0.00'!I89,' 6.0.00'!$AM$4:$AO$55,3,FALSE))</f>
        <v>0</v>
      </c>
      <c r="B89" s="4">
        <f>(VLOOKUP(' 6.0.00'!J89,' 6.0.00'!$AM$4:$AO$55,3,FALSE))</f>
        <v>0</v>
      </c>
      <c r="C89" s="4">
        <f>(VLOOKUP(' 6.0.00'!K89,' 6.0.00'!$AM$4:$AO$55,3,FALSE))</f>
        <v>0</v>
      </c>
      <c r="D89" s="4">
        <f>(VLOOKUP(' 6.0.00'!L89,' 6.0.00'!$AM$4:$AO$55,3,FALSE))</f>
        <v>0</v>
      </c>
      <c r="E89" s="4">
        <f>(VLOOKUP(' 6.0.00'!M89,' 6.0.00'!$AM$4:$AO$55,3,FALSE))</f>
        <v>0</v>
      </c>
      <c r="F89" s="4">
        <f>(VLOOKUP(' 6.0.00'!N89,' 6.0.00'!$AM$4:$AO$55,3,FALSE))</f>
        <v>0</v>
      </c>
      <c r="G89" s="5">
        <f>(VLOOKUP(' 6.0.00'!O89,' 6.0.00'!$AM$4:$AO$55,3,FALSE))</f>
        <v>0</v>
      </c>
      <c r="H89" s="5">
        <f>(VLOOKUP(' 6.0.00'!P89,' 6.0.00'!$AM$4:$AO$55,3,FALSE))</f>
        <v>0</v>
      </c>
      <c r="I89" s="4">
        <f>(VLOOKUP(' 6.0.00'!Q89,' 6.0.00'!$AM$4:$AO$55,3,FALSE))</f>
        <v>0</v>
      </c>
      <c r="J89" s="4">
        <f>(VLOOKUP(' 6.0.00'!R89,' 6.0.00'!$AM$4:$AO$55,3,FALSE))</f>
        <v>0</v>
      </c>
      <c r="K89" s="4">
        <f>(VLOOKUP(' 6.0.00'!S89,' 6.0.00'!$AM$4:$AO$55,3,FALSE))</f>
        <v>0</v>
      </c>
      <c r="L89" s="4">
        <f>(VLOOKUP(' 6.0.00'!T89,' 6.0.00'!$AM$4:$AO$55,3,FALSE))</f>
        <v>0</v>
      </c>
      <c r="M89" s="4">
        <f>(VLOOKUP(' 6.0.00'!U89,' 6.0.00'!$AM$4:$AO$55,3,FALSE))</f>
        <v>0</v>
      </c>
      <c r="N89" s="4">
        <f>(VLOOKUP(' 6.0.00'!V89,' 6.0.00'!$AM$4:$AO$55,3,FALSE))</f>
        <v>0</v>
      </c>
      <c r="O89" s="5">
        <f>(VLOOKUP(' 6.0.00'!W89,' 6.0.00'!$AM$4:$AO$55,3,FALSE))</f>
        <v>0</v>
      </c>
      <c r="P89" s="5">
        <f>(VLOOKUP(' 6.0.00'!X89,' 6.0.00'!$AM$4:$AO$55,3,FALSE))</f>
        <v>0</v>
      </c>
      <c r="Q89" s="4">
        <f>(VLOOKUP(' 6.0.00'!Y89,' 6.0.00'!$AM$4:$AO$55,3,FALSE))</f>
        <v>0</v>
      </c>
      <c r="R89" s="4">
        <f>(VLOOKUP(' 6.0.00'!Z89,' 6.0.00'!$AM$4:$AO$55,3,FALSE))</f>
        <v>0</v>
      </c>
      <c r="S89" s="4">
        <f>(VLOOKUP(' 6.0.00'!AA89,' 6.0.00'!$AM$4:$AO$55,3,FALSE))</f>
        <v>0</v>
      </c>
      <c r="T89" s="4">
        <f>(VLOOKUP(' 6.0.00'!AB89,' 6.0.00'!$AM$4:$AO$55,3,FALSE))</f>
        <v>0</v>
      </c>
      <c r="U89" s="4">
        <f>(VLOOKUP(' 6.0.00'!AC89,' 6.0.00'!$AM$4:$AO$55,3,FALSE))</f>
        <v>0</v>
      </c>
      <c r="V89" s="4">
        <f>(VLOOKUP(' 6.0.00'!AD89,' 6.0.00'!$AM$4:$AO$55,3,FALSE))</f>
        <v>0</v>
      </c>
      <c r="W89" s="5">
        <f>(VLOOKUP(' 6.0.00'!AE89,' 6.0.00'!$AM$4:$AO$55,3,FALSE))</f>
        <v>0</v>
      </c>
      <c r="X89" s="5">
        <f>(VLOOKUP(' 6.0.00'!AF89,' 6.0.00'!$AM$4:$AO$55,3,FALSE))</f>
        <v>0</v>
      </c>
    </row>
    <row r="90" spans="1:24">
      <c r="A90" s="4">
        <f>(VLOOKUP(' 6.0.00'!I90,' 6.0.00'!$AM$4:$AO$55,3,FALSE))</f>
        <v>0</v>
      </c>
      <c r="B90" s="4">
        <f>(VLOOKUP(' 6.0.00'!J90,' 6.0.00'!$AM$4:$AO$55,3,FALSE))</f>
        <v>0</v>
      </c>
      <c r="C90" s="4">
        <f>(VLOOKUP(' 6.0.00'!K90,' 6.0.00'!$AM$4:$AO$55,3,FALSE))</f>
        <v>0</v>
      </c>
      <c r="D90" s="4">
        <f>(VLOOKUP(' 6.0.00'!L90,' 6.0.00'!$AM$4:$AO$55,3,FALSE))</f>
        <v>0</v>
      </c>
      <c r="E90" s="4">
        <f>(VLOOKUP(' 6.0.00'!M90,' 6.0.00'!$AM$4:$AO$55,3,FALSE))</f>
        <v>0</v>
      </c>
      <c r="F90" s="4">
        <f>(VLOOKUP(' 6.0.00'!N90,' 6.0.00'!$AM$4:$AO$55,3,FALSE))</f>
        <v>0</v>
      </c>
      <c r="G90" s="5">
        <f>(VLOOKUP(' 6.0.00'!O90,' 6.0.00'!$AM$4:$AO$55,3,FALSE))</f>
        <v>0</v>
      </c>
      <c r="H90" s="5">
        <f>(VLOOKUP(' 6.0.00'!P90,' 6.0.00'!$AM$4:$AO$55,3,FALSE))</f>
        <v>0</v>
      </c>
      <c r="I90" s="4">
        <f>(VLOOKUP(' 6.0.00'!Q90,' 6.0.00'!$AM$4:$AO$55,3,FALSE))</f>
        <v>0</v>
      </c>
      <c r="J90" s="4">
        <f>(VLOOKUP(' 6.0.00'!R90,' 6.0.00'!$AM$4:$AO$55,3,FALSE))</f>
        <v>0</v>
      </c>
      <c r="K90" s="4">
        <f>(VLOOKUP(' 6.0.00'!S90,' 6.0.00'!$AM$4:$AO$55,3,FALSE))</f>
        <v>0</v>
      </c>
      <c r="L90" s="4">
        <f>(VLOOKUP(' 6.0.00'!T90,' 6.0.00'!$AM$4:$AO$55,3,FALSE))</f>
        <v>0</v>
      </c>
      <c r="M90" s="4">
        <f>(VLOOKUP(' 6.0.00'!U90,' 6.0.00'!$AM$4:$AO$55,3,FALSE))</f>
        <v>0</v>
      </c>
      <c r="N90" s="4">
        <f>(VLOOKUP(' 6.0.00'!V90,' 6.0.00'!$AM$4:$AO$55,3,FALSE))</f>
        <v>0</v>
      </c>
      <c r="O90" s="5">
        <f>(VLOOKUP(' 6.0.00'!W90,' 6.0.00'!$AM$4:$AO$55,3,FALSE))</f>
        <v>0</v>
      </c>
      <c r="P90" s="5">
        <f>(VLOOKUP(' 6.0.00'!X90,' 6.0.00'!$AM$4:$AO$55,3,FALSE))</f>
        <v>0</v>
      </c>
      <c r="Q90" s="4">
        <f>(VLOOKUP(' 6.0.00'!Y90,' 6.0.00'!$AM$4:$AO$55,3,FALSE))</f>
        <v>0</v>
      </c>
      <c r="R90" s="4">
        <f>(VLOOKUP(' 6.0.00'!Z90,' 6.0.00'!$AM$4:$AO$55,3,FALSE))</f>
        <v>0</v>
      </c>
      <c r="S90" s="4">
        <f>(VLOOKUP(' 6.0.00'!AA90,' 6.0.00'!$AM$4:$AO$55,3,FALSE))</f>
        <v>0</v>
      </c>
      <c r="T90" s="4">
        <f>(VLOOKUP(' 6.0.00'!AB90,' 6.0.00'!$AM$4:$AO$55,3,FALSE))</f>
        <v>0</v>
      </c>
      <c r="U90" s="4">
        <f>(VLOOKUP(' 6.0.00'!AC90,' 6.0.00'!$AM$4:$AO$55,3,FALSE))</f>
        <v>0</v>
      </c>
      <c r="V90" s="4">
        <f>(VLOOKUP(' 6.0.00'!AD90,' 6.0.00'!$AM$4:$AO$55,3,FALSE))</f>
        <v>0</v>
      </c>
      <c r="W90" s="5">
        <f>(VLOOKUP(' 6.0.00'!AE90,' 6.0.00'!$AM$4:$AO$55,3,FALSE))</f>
        <v>0</v>
      </c>
      <c r="X90" s="5">
        <f>(VLOOKUP(' 6.0.00'!AF90,' 6.0.00'!$AM$4:$AO$55,3,FALSE))</f>
        <v>0</v>
      </c>
    </row>
    <row r="91" spans="1:24">
      <c r="A91" s="4">
        <f>(VLOOKUP(' 6.0.00'!I91,' 6.0.00'!$AM$4:$AO$55,3,FALSE))</f>
        <v>0</v>
      </c>
      <c r="B91" s="4">
        <f>(VLOOKUP(' 6.0.00'!J91,' 6.0.00'!$AM$4:$AO$55,3,FALSE))</f>
        <v>0</v>
      </c>
      <c r="C91" s="4">
        <f>(VLOOKUP(' 6.0.00'!K91,' 6.0.00'!$AM$4:$AO$55,3,FALSE))</f>
        <v>0</v>
      </c>
      <c r="D91" s="4">
        <f>(VLOOKUP(' 6.0.00'!L91,' 6.0.00'!$AM$4:$AO$55,3,FALSE))</f>
        <v>0</v>
      </c>
      <c r="E91" s="4">
        <f>(VLOOKUP(' 6.0.00'!M91,' 6.0.00'!$AM$4:$AO$55,3,FALSE))</f>
        <v>0</v>
      </c>
      <c r="F91" s="4">
        <f>(VLOOKUP(' 6.0.00'!N91,' 6.0.00'!$AM$4:$AO$55,3,FALSE))</f>
        <v>0</v>
      </c>
      <c r="G91" s="5">
        <f>(VLOOKUP(' 6.0.00'!O91,' 6.0.00'!$AM$4:$AO$55,3,FALSE))</f>
        <v>0</v>
      </c>
      <c r="H91" s="5">
        <f>(VLOOKUP(' 6.0.00'!P91,' 6.0.00'!$AM$4:$AO$55,3,FALSE))</f>
        <v>0</v>
      </c>
      <c r="I91" s="4">
        <f>(VLOOKUP(' 6.0.00'!Q91,' 6.0.00'!$AM$4:$AO$55,3,FALSE))</f>
        <v>0</v>
      </c>
      <c r="J91" s="4">
        <f>(VLOOKUP(' 6.0.00'!R91,' 6.0.00'!$AM$4:$AO$55,3,FALSE))</f>
        <v>0</v>
      </c>
      <c r="K91" s="4">
        <f>(VLOOKUP(' 6.0.00'!S91,' 6.0.00'!$AM$4:$AO$55,3,FALSE))</f>
        <v>0</v>
      </c>
      <c r="L91" s="4">
        <f>(VLOOKUP(' 6.0.00'!T91,' 6.0.00'!$AM$4:$AO$55,3,FALSE))</f>
        <v>0</v>
      </c>
      <c r="M91" s="4">
        <f>(VLOOKUP(' 6.0.00'!U91,' 6.0.00'!$AM$4:$AO$55,3,FALSE))</f>
        <v>0</v>
      </c>
      <c r="N91" s="4">
        <f>(VLOOKUP(' 6.0.00'!V91,' 6.0.00'!$AM$4:$AO$55,3,FALSE))</f>
        <v>0</v>
      </c>
      <c r="O91" s="5">
        <f>(VLOOKUP(' 6.0.00'!W91,' 6.0.00'!$AM$4:$AO$55,3,FALSE))</f>
        <v>0</v>
      </c>
      <c r="P91" s="5">
        <f>(VLOOKUP(' 6.0.00'!X91,' 6.0.00'!$AM$4:$AO$55,3,FALSE))</f>
        <v>0</v>
      </c>
      <c r="Q91" s="4">
        <f>(VLOOKUP(' 6.0.00'!Y91,' 6.0.00'!$AM$4:$AO$55,3,FALSE))</f>
        <v>0</v>
      </c>
      <c r="R91" s="4">
        <f>(VLOOKUP(' 6.0.00'!Z91,' 6.0.00'!$AM$4:$AO$55,3,FALSE))</f>
        <v>0</v>
      </c>
      <c r="S91" s="4">
        <f>(VLOOKUP(' 6.0.00'!AA91,' 6.0.00'!$AM$4:$AO$55,3,FALSE))</f>
        <v>0</v>
      </c>
      <c r="T91" s="4">
        <f>(VLOOKUP(' 6.0.00'!AB91,' 6.0.00'!$AM$4:$AO$55,3,FALSE))</f>
        <v>0</v>
      </c>
      <c r="U91" s="4">
        <f>(VLOOKUP(' 6.0.00'!AC91,' 6.0.00'!$AM$4:$AO$55,3,FALSE))</f>
        <v>0</v>
      </c>
      <c r="V91" s="4">
        <f>(VLOOKUP(' 6.0.00'!AD91,' 6.0.00'!$AM$4:$AO$55,3,FALSE))</f>
        <v>0</v>
      </c>
      <c r="W91" s="5">
        <f>(VLOOKUP(' 6.0.00'!AE91,' 6.0.00'!$AM$4:$AO$55,3,FALSE))</f>
        <v>0</v>
      </c>
      <c r="X91" s="5">
        <f>(VLOOKUP(' 6.0.00'!AF91,' 6.0.00'!$AM$4:$AO$55,3,FALSE))</f>
        <v>0</v>
      </c>
    </row>
    <row r="92" spans="1:24">
      <c r="A92" s="4">
        <f>(VLOOKUP(' 6.0.00'!I92,' 6.0.00'!$AM$4:$AO$55,3,FALSE))</f>
        <v>0</v>
      </c>
      <c r="B92" s="4">
        <f>(VLOOKUP(' 6.0.00'!J92,' 6.0.00'!$AM$4:$AO$55,3,FALSE))</f>
        <v>0</v>
      </c>
      <c r="C92" s="4">
        <f>(VLOOKUP(' 6.0.00'!K92,' 6.0.00'!$AM$4:$AO$55,3,FALSE))</f>
        <v>0</v>
      </c>
      <c r="D92" s="4">
        <f>(VLOOKUP(' 6.0.00'!L92,' 6.0.00'!$AM$4:$AO$55,3,FALSE))</f>
        <v>0</v>
      </c>
      <c r="E92" s="4">
        <f>(VLOOKUP(' 6.0.00'!M92,' 6.0.00'!$AM$4:$AO$55,3,FALSE))</f>
        <v>0</v>
      </c>
      <c r="F92" s="4">
        <f>(VLOOKUP(' 6.0.00'!N92,' 6.0.00'!$AM$4:$AO$55,3,FALSE))</f>
        <v>0</v>
      </c>
      <c r="G92" s="5">
        <f>(VLOOKUP(' 6.0.00'!O92,' 6.0.00'!$AM$4:$AO$55,3,FALSE))</f>
        <v>0</v>
      </c>
      <c r="H92" s="5">
        <f>(VLOOKUP(' 6.0.00'!P92,' 6.0.00'!$AM$4:$AO$55,3,FALSE))</f>
        <v>0</v>
      </c>
      <c r="I92" s="4">
        <f>(VLOOKUP(' 6.0.00'!Q92,' 6.0.00'!$AM$4:$AO$55,3,FALSE))</f>
        <v>0</v>
      </c>
      <c r="J92" s="4">
        <f>(VLOOKUP(' 6.0.00'!R92,' 6.0.00'!$AM$4:$AO$55,3,FALSE))</f>
        <v>0</v>
      </c>
      <c r="K92" s="4">
        <f>(VLOOKUP(' 6.0.00'!S92,' 6.0.00'!$AM$4:$AO$55,3,FALSE))</f>
        <v>0</v>
      </c>
      <c r="L92" s="4">
        <f>(VLOOKUP(' 6.0.00'!T92,' 6.0.00'!$AM$4:$AO$55,3,FALSE))</f>
        <v>0</v>
      </c>
      <c r="M92" s="4">
        <f>(VLOOKUP(' 6.0.00'!U92,' 6.0.00'!$AM$4:$AO$55,3,FALSE))</f>
        <v>0</v>
      </c>
      <c r="N92" s="4">
        <f>(VLOOKUP(' 6.0.00'!V92,' 6.0.00'!$AM$4:$AO$55,3,FALSE))</f>
        <v>0</v>
      </c>
      <c r="O92" s="5">
        <f>(VLOOKUP(' 6.0.00'!W92,' 6.0.00'!$AM$4:$AO$55,3,FALSE))</f>
        <v>0</v>
      </c>
      <c r="P92" s="5">
        <f>(VLOOKUP(' 6.0.00'!X92,' 6.0.00'!$AM$4:$AO$55,3,FALSE))</f>
        <v>0</v>
      </c>
      <c r="Q92" s="4">
        <f>(VLOOKUP(' 6.0.00'!Y92,' 6.0.00'!$AM$4:$AO$55,3,FALSE))</f>
        <v>0</v>
      </c>
      <c r="R92" s="4">
        <f>(VLOOKUP(' 6.0.00'!Z92,' 6.0.00'!$AM$4:$AO$55,3,FALSE))</f>
        <v>0</v>
      </c>
      <c r="S92" s="4">
        <f>(VLOOKUP(' 6.0.00'!AA92,' 6.0.00'!$AM$4:$AO$55,3,FALSE))</f>
        <v>0</v>
      </c>
      <c r="T92" s="4">
        <f>(VLOOKUP(' 6.0.00'!AB92,' 6.0.00'!$AM$4:$AO$55,3,FALSE))</f>
        <v>0</v>
      </c>
      <c r="U92" s="4">
        <f>(VLOOKUP(' 6.0.00'!AC92,' 6.0.00'!$AM$4:$AO$55,3,FALSE))</f>
        <v>0</v>
      </c>
      <c r="V92" s="4">
        <f>(VLOOKUP(' 6.0.00'!AD92,' 6.0.00'!$AM$4:$AO$55,3,FALSE))</f>
        <v>0</v>
      </c>
      <c r="W92" s="5">
        <f>(VLOOKUP(' 6.0.00'!AE92,' 6.0.00'!$AM$4:$AO$55,3,FALSE))</f>
        <v>0</v>
      </c>
      <c r="X92" s="5">
        <f>(VLOOKUP(' 6.0.00'!AF92,' 6.0.00'!$AM$4:$AO$55,3,FALSE))</f>
        <v>0</v>
      </c>
    </row>
    <row r="93" spans="1:24">
      <c r="A93" s="4">
        <f>(VLOOKUP(' 6.0.00'!I93,' 6.0.00'!$AM$4:$AO$55,3,FALSE))</f>
        <v>0</v>
      </c>
      <c r="B93" s="4">
        <f>(VLOOKUP(' 6.0.00'!J93,' 6.0.00'!$AM$4:$AO$55,3,FALSE))</f>
        <v>0</v>
      </c>
      <c r="C93" s="4">
        <f>(VLOOKUP(' 6.0.00'!K93,' 6.0.00'!$AM$4:$AO$55,3,FALSE))</f>
        <v>0</v>
      </c>
      <c r="D93" s="4">
        <f>(VLOOKUP(' 6.0.00'!L93,' 6.0.00'!$AM$4:$AO$55,3,FALSE))</f>
        <v>0</v>
      </c>
      <c r="E93" s="4">
        <f>(VLOOKUP(' 6.0.00'!M93,' 6.0.00'!$AM$4:$AO$55,3,FALSE))</f>
        <v>0</v>
      </c>
      <c r="F93" s="4">
        <f>(VLOOKUP(' 6.0.00'!N93,' 6.0.00'!$AM$4:$AO$55,3,FALSE))</f>
        <v>0</v>
      </c>
      <c r="G93" s="5">
        <f>(VLOOKUP(' 6.0.00'!O93,' 6.0.00'!$AM$4:$AO$55,3,FALSE))</f>
        <v>0</v>
      </c>
      <c r="H93" s="5">
        <f>(VLOOKUP(' 6.0.00'!P93,' 6.0.00'!$AM$4:$AO$55,3,FALSE))</f>
        <v>0</v>
      </c>
      <c r="I93" s="4">
        <f>(VLOOKUP(' 6.0.00'!Q93,' 6.0.00'!$AM$4:$AO$55,3,FALSE))</f>
        <v>0</v>
      </c>
      <c r="J93" s="4">
        <f>(VLOOKUP(' 6.0.00'!R93,' 6.0.00'!$AM$4:$AO$55,3,FALSE))</f>
        <v>0</v>
      </c>
      <c r="K93" s="4">
        <f>(VLOOKUP(' 6.0.00'!S93,' 6.0.00'!$AM$4:$AO$55,3,FALSE))</f>
        <v>0</v>
      </c>
      <c r="L93" s="4">
        <f>(VLOOKUP(' 6.0.00'!T93,' 6.0.00'!$AM$4:$AO$55,3,FALSE))</f>
        <v>0</v>
      </c>
      <c r="M93" s="4">
        <f>(VLOOKUP(' 6.0.00'!U93,' 6.0.00'!$AM$4:$AO$55,3,FALSE))</f>
        <v>0</v>
      </c>
      <c r="N93" s="4">
        <f>(VLOOKUP(' 6.0.00'!V93,' 6.0.00'!$AM$4:$AO$55,3,FALSE))</f>
        <v>0</v>
      </c>
      <c r="O93" s="5">
        <f>(VLOOKUP(' 6.0.00'!W93,' 6.0.00'!$AM$4:$AO$55,3,FALSE))</f>
        <v>0</v>
      </c>
      <c r="P93" s="5">
        <f>(VLOOKUP(' 6.0.00'!X93,' 6.0.00'!$AM$4:$AO$55,3,FALSE))</f>
        <v>0</v>
      </c>
      <c r="Q93" s="4">
        <f>(VLOOKUP(' 6.0.00'!Y93,' 6.0.00'!$AM$4:$AO$55,3,FALSE))</f>
        <v>0</v>
      </c>
      <c r="R93" s="4">
        <f>(VLOOKUP(' 6.0.00'!Z93,' 6.0.00'!$AM$4:$AO$55,3,FALSE))</f>
        <v>0</v>
      </c>
      <c r="S93" s="4">
        <f>(VLOOKUP(' 6.0.00'!AA93,' 6.0.00'!$AM$4:$AO$55,3,FALSE))</f>
        <v>0</v>
      </c>
      <c r="T93" s="4">
        <f>(VLOOKUP(' 6.0.00'!AB93,' 6.0.00'!$AM$4:$AO$55,3,FALSE))</f>
        <v>0</v>
      </c>
      <c r="U93" s="4">
        <f>(VLOOKUP(' 6.0.00'!AC93,' 6.0.00'!$AM$4:$AO$55,3,FALSE))</f>
        <v>0</v>
      </c>
      <c r="V93" s="4">
        <f>(VLOOKUP(' 6.0.00'!AD93,' 6.0.00'!$AM$4:$AO$55,3,FALSE))</f>
        <v>0</v>
      </c>
      <c r="W93" s="5">
        <f>(VLOOKUP(' 6.0.00'!AE93,' 6.0.00'!$AM$4:$AO$55,3,FALSE))</f>
        <v>0</v>
      </c>
      <c r="X93" s="5">
        <f>(VLOOKUP(' 6.0.00'!AF93,' 6.0.00'!$AM$4:$AO$55,3,FALSE))</f>
        <v>0</v>
      </c>
    </row>
    <row r="94" spans="1:24">
      <c r="A94" s="4">
        <f>(VLOOKUP(' 6.0.00'!I94,' 6.0.00'!$AM$4:$AO$55,3,FALSE))</f>
        <v>0</v>
      </c>
      <c r="B94" s="4">
        <f>(VLOOKUP(' 6.0.00'!J94,' 6.0.00'!$AM$4:$AO$55,3,FALSE))</f>
        <v>0</v>
      </c>
      <c r="C94" s="4">
        <f>(VLOOKUP(' 6.0.00'!K94,' 6.0.00'!$AM$4:$AO$55,3,FALSE))</f>
        <v>0</v>
      </c>
      <c r="D94" s="4">
        <f>(VLOOKUP(' 6.0.00'!L94,' 6.0.00'!$AM$4:$AO$55,3,FALSE))</f>
        <v>0</v>
      </c>
      <c r="E94" s="4">
        <f>(VLOOKUP(' 6.0.00'!M94,' 6.0.00'!$AM$4:$AO$55,3,FALSE))</f>
        <v>0</v>
      </c>
      <c r="F94" s="4">
        <f>(VLOOKUP(' 6.0.00'!N94,' 6.0.00'!$AM$4:$AO$55,3,FALSE))</f>
        <v>0</v>
      </c>
      <c r="G94" s="5">
        <f>(VLOOKUP(' 6.0.00'!O94,' 6.0.00'!$AM$4:$AO$55,3,FALSE))</f>
        <v>0</v>
      </c>
      <c r="H94" s="5">
        <f>(VLOOKUP(' 6.0.00'!P94,' 6.0.00'!$AM$4:$AO$55,3,FALSE))</f>
        <v>0</v>
      </c>
      <c r="I94" s="4">
        <f>(VLOOKUP(' 6.0.00'!Q94,' 6.0.00'!$AM$4:$AO$55,3,FALSE))</f>
        <v>0</v>
      </c>
      <c r="J94" s="4">
        <f>(VLOOKUP(' 6.0.00'!R94,' 6.0.00'!$AM$4:$AO$55,3,FALSE))</f>
        <v>0</v>
      </c>
      <c r="K94" s="4">
        <f>(VLOOKUP(' 6.0.00'!S94,' 6.0.00'!$AM$4:$AO$55,3,FALSE))</f>
        <v>0</v>
      </c>
      <c r="L94" s="4">
        <f>(VLOOKUP(' 6.0.00'!T94,' 6.0.00'!$AM$4:$AO$55,3,FALSE))</f>
        <v>0</v>
      </c>
      <c r="M94" s="4">
        <f>(VLOOKUP(' 6.0.00'!U94,' 6.0.00'!$AM$4:$AO$55,3,FALSE))</f>
        <v>0</v>
      </c>
      <c r="N94" s="4">
        <f>(VLOOKUP(' 6.0.00'!V94,' 6.0.00'!$AM$4:$AO$55,3,FALSE))</f>
        <v>0</v>
      </c>
      <c r="O94" s="5">
        <f>(VLOOKUP(' 6.0.00'!W94,' 6.0.00'!$AM$4:$AO$55,3,FALSE))</f>
        <v>0</v>
      </c>
      <c r="P94" s="5">
        <f>(VLOOKUP(' 6.0.00'!X94,' 6.0.00'!$AM$4:$AO$55,3,FALSE))</f>
        <v>0</v>
      </c>
      <c r="Q94" s="4">
        <f>(VLOOKUP(' 6.0.00'!Y94,' 6.0.00'!$AM$4:$AO$55,3,FALSE))</f>
        <v>0</v>
      </c>
      <c r="R94" s="4">
        <f>(VLOOKUP(' 6.0.00'!Z94,' 6.0.00'!$AM$4:$AO$55,3,FALSE))</f>
        <v>0</v>
      </c>
      <c r="S94" s="4">
        <f>(VLOOKUP(' 6.0.00'!AA94,' 6.0.00'!$AM$4:$AO$55,3,FALSE))</f>
        <v>0</v>
      </c>
      <c r="T94" s="4">
        <f>(VLOOKUP(' 6.0.00'!AB94,' 6.0.00'!$AM$4:$AO$55,3,FALSE))</f>
        <v>0</v>
      </c>
      <c r="U94" s="4">
        <f>(VLOOKUP(' 6.0.00'!AC94,' 6.0.00'!$AM$4:$AO$55,3,FALSE))</f>
        <v>0</v>
      </c>
      <c r="V94" s="4">
        <f>(VLOOKUP(' 6.0.00'!AD94,' 6.0.00'!$AM$4:$AO$55,3,FALSE))</f>
        <v>0</v>
      </c>
      <c r="W94" s="5">
        <f>(VLOOKUP(' 6.0.00'!AE94,' 6.0.00'!$AM$4:$AO$55,3,FALSE))</f>
        <v>0</v>
      </c>
      <c r="X94" s="5">
        <f>(VLOOKUP(' 6.0.00'!AF94,' 6.0.00'!$AM$4:$AO$55,3,FALSE))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6.0.00</vt:lpstr>
      <vt:lpstr>粮草</vt:lpstr>
      <vt:lpstr>经验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2021-06-17T16:09:00Z</dcterms:created>
  <dcterms:modified xsi:type="dcterms:W3CDTF">2022-06-17T03:57:43Z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