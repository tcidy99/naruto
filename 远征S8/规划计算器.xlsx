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856944FF-1708-413D-8A1D-309723CF4294}" xr6:coauthVersionLast="47" xr6:coauthVersionMax="47" xr10:uidLastSave="{00000000-0000-0000-0000-000000000000}"/>
  <bookViews>
    <workbookView xWindow="-108" yWindow="-108" windowWidth="23256" windowHeight="12576" activeTab="8" xr2:uid="{ECD4D7EE-2D5D-4083-A820-495883BB0745}"/>
  </bookViews>
  <sheets>
    <sheet name="test1" sheetId="2" r:id="rId1"/>
    <sheet name="test2" sheetId="4" r:id="rId2"/>
    <sheet name="8.0.0" sheetId="6" r:id="rId3"/>
    <sheet name="test4" sheetId="7" r:id="rId4"/>
    <sheet name="test4.1" sheetId="9" r:id="rId5"/>
    <sheet name="test4.2" sheetId="11" r:id="rId6"/>
    <sheet name="test4.3" sheetId="13" r:id="rId7"/>
    <sheet name="test4.4" sheetId="17" r:id="rId8"/>
    <sheet name="test4.4 (2)" sheetId="19" r:id="rId9"/>
    <sheet name="yifang" sheetId="18" r:id="rId10"/>
    <sheet name="test4.5" sheetId="15" r:id="rId11"/>
    <sheet name="test4.6" sheetId="16" r:id="rId12"/>
    <sheet name="S7.08" sheetId="1" r:id="rId13"/>
    <sheet name="Sheet2" sheetId="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9" l="1" a="1"/>
  <c r="E5" i="19" s="1"/>
  <c r="H5" i="19" s="1"/>
  <c r="Y31" i="19"/>
  <c r="AA28" i="19"/>
  <c r="Z28" i="19"/>
  <c r="AA27" i="19"/>
  <c r="Z27" i="19"/>
  <c r="W26" i="19"/>
  <c r="AA25" i="19"/>
  <c r="Z25" i="19"/>
  <c r="W25" i="19"/>
  <c r="AA24" i="19"/>
  <c r="Z24" i="19"/>
  <c r="W24" i="19"/>
  <c r="AA23" i="19"/>
  <c r="Z23" i="19"/>
  <c r="AB23" i="19" s="1"/>
  <c r="W23" i="19"/>
  <c r="AA22" i="19"/>
  <c r="Z22" i="19"/>
  <c r="AA21" i="19"/>
  <c r="Z21" i="19"/>
  <c r="AA20" i="19"/>
  <c r="Z20" i="19"/>
  <c r="AA19" i="19"/>
  <c r="Z19" i="19"/>
  <c r="AA18" i="19"/>
  <c r="Z18" i="19"/>
  <c r="AB18" i="19" s="1"/>
  <c r="AA17" i="19"/>
  <c r="Z17" i="19"/>
  <c r="AA16" i="19"/>
  <c r="Z16" i="19"/>
  <c r="AA15" i="19"/>
  <c r="Z15" i="19"/>
  <c r="W15" i="19"/>
  <c r="AA14" i="19"/>
  <c r="Z14" i="19"/>
  <c r="AA13" i="19"/>
  <c r="Z13" i="19"/>
  <c r="AB13" i="19" s="1"/>
  <c r="AA12" i="19"/>
  <c r="Z12" i="19"/>
  <c r="AA11" i="19"/>
  <c r="Z11" i="19"/>
  <c r="AB11" i="19" s="1"/>
  <c r="W11" i="19"/>
  <c r="AA10" i="19"/>
  <c r="Z10" i="19"/>
  <c r="W10" i="19"/>
  <c r="AA9" i="19"/>
  <c r="Z9" i="19"/>
  <c r="W9" i="19"/>
  <c r="AA8" i="19"/>
  <c r="Z8" i="19"/>
  <c r="P8" i="19"/>
  <c r="H8" i="19"/>
  <c r="AA7" i="19"/>
  <c r="Z7" i="19"/>
  <c r="P7" i="19"/>
  <c r="O7" i="19"/>
  <c r="N7" i="19"/>
  <c r="M7" i="19"/>
  <c r="G7" i="19"/>
  <c r="F7" i="19"/>
  <c r="E7" i="19"/>
  <c r="H7" i="19" s="1"/>
  <c r="AA6" i="19"/>
  <c r="Z6" i="19"/>
  <c r="R6" i="19"/>
  <c r="O6" i="19" a="1"/>
  <c r="O6" i="19" s="1"/>
  <c r="O9" i="19" s="1"/>
  <c r="N6" i="19" a="1"/>
  <c r="N6" i="19" s="1"/>
  <c r="M6" i="19" a="1"/>
  <c r="M6" i="19" s="1"/>
  <c r="G6" i="19" a="1"/>
  <c r="G6" i="19" s="1"/>
  <c r="F6" i="19" a="1"/>
  <c r="F6" i="19" s="1"/>
  <c r="E6" i="19" a="1"/>
  <c r="E6" i="19" s="1"/>
  <c r="AA5" i="19"/>
  <c r="Z5" i="19"/>
  <c r="O5" i="19" a="1"/>
  <c r="O5" i="19" s="1"/>
  <c r="N5" i="19" a="1"/>
  <c r="N5" i="19" s="1"/>
  <c r="M5" i="19" a="1"/>
  <c r="M5" i="19" s="1"/>
  <c r="G5" i="19" a="1"/>
  <c r="G5" i="19" s="1"/>
  <c r="F5" i="19" a="1"/>
  <c r="F5" i="19" s="1"/>
  <c r="AA4" i="19"/>
  <c r="Z4" i="19"/>
  <c r="W4" i="19"/>
  <c r="P4" i="19"/>
  <c r="H4" i="19"/>
  <c r="AA3" i="19"/>
  <c r="Z3" i="19"/>
  <c r="W3" i="19"/>
  <c r="H1" i="19" s="1" a="1"/>
  <c r="H1" i="19" s="1"/>
  <c r="Y31" i="18"/>
  <c r="AA28" i="18"/>
  <c r="Z28" i="18"/>
  <c r="AA27" i="18"/>
  <c r="Z27" i="18"/>
  <c r="W26" i="18"/>
  <c r="AA25" i="18"/>
  <c r="Z25" i="18"/>
  <c r="W25" i="18"/>
  <c r="AA24" i="18"/>
  <c r="Z24" i="18"/>
  <c r="W24" i="18"/>
  <c r="AA23" i="18"/>
  <c r="Z23" i="18"/>
  <c r="W23" i="18"/>
  <c r="AA22" i="18"/>
  <c r="Z22" i="18"/>
  <c r="AA21" i="18"/>
  <c r="Z21" i="18"/>
  <c r="AA20" i="18"/>
  <c r="AB20" i="18" s="1"/>
  <c r="Z20" i="18"/>
  <c r="AA19" i="18"/>
  <c r="AB19" i="18" s="1"/>
  <c r="Z19" i="18"/>
  <c r="AA18" i="18"/>
  <c r="Z18" i="18"/>
  <c r="AA17" i="18"/>
  <c r="Z17" i="18"/>
  <c r="AA16" i="18"/>
  <c r="Z16" i="18"/>
  <c r="AA15" i="18"/>
  <c r="AB15" i="18" s="1"/>
  <c r="Z15" i="18"/>
  <c r="W15" i="18"/>
  <c r="AA14" i="18"/>
  <c r="AB14" i="18" s="1"/>
  <c r="Z14" i="18"/>
  <c r="AA13" i="18"/>
  <c r="Z13" i="18"/>
  <c r="AA12" i="18"/>
  <c r="Z12" i="18"/>
  <c r="AA11" i="18"/>
  <c r="Z11" i="18"/>
  <c r="AB11" i="18" s="1"/>
  <c r="W11" i="18"/>
  <c r="AA10" i="18"/>
  <c r="Z10" i="18"/>
  <c r="W10" i="18"/>
  <c r="AA9" i="18"/>
  <c r="Z9" i="18"/>
  <c r="W9" i="18"/>
  <c r="AA8" i="18"/>
  <c r="Z8" i="18"/>
  <c r="P8" i="18"/>
  <c r="H8" i="18"/>
  <c r="AA7" i="18"/>
  <c r="Z7" i="18"/>
  <c r="O7" i="18"/>
  <c r="N7" i="18"/>
  <c r="P7" i="18" s="1"/>
  <c r="M7" i="18"/>
  <c r="H7" i="18"/>
  <c r="G7" i="18"/>
  <c r="F7" i="18"/>
  <c r="E7" i="18"/>
  <c r="AA6" i="18"/>
  <c r="AB6" i="18" s="1"/>
  <c r="Z6" i="18"/>
  <c r="R6" i="18"/>
  <c r="O6" i="18" a="1"/>
  <c r="O6" i="18" s="1"/>
  <c r="O9" i="18" s="1"/>
  <c r="N6" i="18" a="1"/>
  <c r="N6" i="18" s="1"/>
  <c r="M6" i="18" a="1"/>
  <c r="M6" i="18" s="1"/>
  <c r="G6" i="18" a="1"/>
  <c r="G6" i="18" s="1"/>
  <c r="F6" i="18" a="1"/>
  <c r="F6" i="18" s="1"/>
  <c r="E6" i="18"/>
  <c r="H6" i="18" s="1"/>
  <c r="E6" i="18" a="1"/>
  <c r="AA5" i="18"/>
  <c r="AB5" i="18" s="1"/>
  <c r="Z5" i="18"/>
  <c r="O5" i="18" a="1"/>
  <c r="O5" i="18" s="1"/>
  <c r="N5" i="18" a="1"/>
  <c r="N5" i="18" s="1"/>
  <c r="M5" i="18" a="1"/>
  <c r="M5" i="18" s="1"/>
  <c r="G5" i="18" a="1"/>
  <c r="G5" i="18" s="1"/>
  <c r="F5" i="18" a="1"/>
  <c r="F5" i="18" s="1"/>
  <c r="E5" i="18" a="1"/>
  <c r="E5" i="18" s="1"/>
  <c r="H5" i="18" s="1"/>
  <c r="AA4" i="18"/>
  <c r="Z4" i="18"/>
  <c r="W4" i="18"/>
  <c r="P4" i="18"/>
  <c r="H4" i="18"/>
  <c r="AA3" i="18"/>
  <c r="AB3" i="18" s="1"/>
  <c r="Z3" i="18"/>
  <c r="W3" i="18"/>
  <c r="H1" i="18" s="1" a="1"/>
  <c r="H1" i="18" s="1"/>
  <c r="AB9" i="19" l="1"/>
  <c r="AB12" i="19"/>
  <c r="AB6" i="19"/>
  <c r="AB5" i="19"/>
  <c r="AB24" i="19"/>
  <c r="AB20" i="19"/>
  <c r="AB25" i="19"/>
  <c r="AB4" i="19"/>
  <c r="AB10" i="19"/>
  <c r="AB15" i="19"/>
  <c r="AB21" i="19"/>
  <c r="N9" i="19"/>
  <c r="AB7" i="19"/>
  <c r="AB22" i="19"/>
  <c r="AB27" i="19"/>
  <c r="AB17" i="19"/>
  <c r="AB28" i="19"/>
  <c r="AB8" i="19"/>
  <c r="AB16" i="19"/>
  <c r="AB14" i="19"/>
  <c r="AB19" i="19"/>
  <c r="AB3" i="19"/>
  <c r="P6" i="19"/>
  <c r="M9" i="19"/>
  <c r="P5" i="19"/>
  <c r="P11" i="19" s="1"/>
  <c r="H6" i="19"/>
  <c r="AB24" i="18"/>
  <c r="AB21" i="18"/>
  <c r="AB23" i="18"/>
  <c r="N9" i="18"/>
  <c r="AB12" i="18"/>
  <c r="AB13" i="18"/>
  <c r="AB4" i="18"/>
  <c r="AB9" i="18"/>
  <c r="AB25" i="18"/>
  <c r="AB10" i="18"/>
  <c r="AB7" i="18"/>
  <c r="AB16" i="18"/>
  <c r="AB22" i="18"/>
  <c r="AB27" i="18"/>
  <c r="P5" i="18"/>
  <c r="P11" i="18" s="1"/>
  <c r="AB17" i="18"/>
  <c r="AB28" i="18"/>
  <c r="AB8" i="18"/>
  <c r="AB18" i="18"/>
  <c r="P6" i="18"/>
  <c r="M9" i="18"/>
  <c r="R2" i="19" l="1" a="1"/>
  <c r="R2" i="19" s="1"/>
  <c r="R8" i="19" a="1"/>
  <c r="R8" i="19" s="1"/>
  <c r="P9" i="19"/>
  <c r="P12" i="19"/>
  <c r="P9" i="18"/>
  <c r="R2" i="18" a="1"/>
  <c r="R2" i="18" s="1"/>
  <c r="R8" i="18" a="1"/>
  <c r="R8" i="18" s="1"/>
  <c r="P12" i="18"/>
  <c r="Y31" i="17" l="1"/>
  <c r="AA28" i="17"/>
  <c r="Z28" i="17"/>
  <c r="AA27" i="17"/>
  <c r="Z27" i="17"/>
  <c r="W26" i="17"/>
  <c r="AA25" i="17"/>
  <c r="Z25" i="17"/>
  <c r="W25" i="17"/>
  <c r="AA24" i="17"/>
  <c r="Z24" i="17"/>
  <c r="W24" i="17"/>
  <c r="AA23" i="17"/>
  <c r="Z23" i="17"/>
  <c r="W23" i="17"/>
  <c r="AA22" i="17"/>
  <c r="Z22" i="17"/>
  <c r="AA21" i="17"/>
  <c r="Z21" i="17"/>
  <c r="AA20" i="17"/>
  <c r="Z20" i="17"/>
  <c r="AA19" i="17"/>
  <c r="Z19" i="17"/>
  <c r="AA18" i="17"/>
  <c r="Z18" i="17"/>
  <c r="AA17" i="17"/>
  <c r="Z17" i="17"/>
  <c r="AA16" i="17"/>
  <c r="Z16" i="17"/>
  <c r="AA15" i="17"/>
  <c r="Z15" i="17"/>
  <c r="W15" i="17"/>
  <c r="AA14" i="17"/>
  <c r="AB14" i="17" s="1"/>
  <c r="Z14" i="17"/>
  <c r="AA13" i="17"/>
  <c r="Z13" i="17"/>
  <c r="AA12" i="17"/>
  <c r="Z12" i="17"/>
  <c r="AA11" i="17"/>
  <c r="Z11" i="17"/>
  <c r="AB11" i="17" s="1"/>
  <c r="W11" i="17"/>
  <c r="AA10" i="17"/>
  <c r="Z10" i="17"/>
  <c r="W10" i="17"/>
  <c r="AA9" i="17"/>
  <c r="Z9" i="17"/>
  <c r="W9" i="17"/>
  <c r="AA8" i="17"/>
  <c r="Z8" i="17"/>
  <c r="P8" i="17"/>
  <c r="H8" i="17"/>
  <c r="AA7" i="17"/>
  <c r="Z7" i="17"/>
  <c r="O7" i="17"/>
  <c r="N7" i="17"/>
  <c r="P7" i="17" s="1"/>
  <c r="M7" i="17"/>
  <c r="G7" i="17"/>
  <c r="F7" i="17"/>
  <c r="H7" i="17" s="1"/>
  <c r="E7" i="17"/>
  <c r="AA6" i="17"/>
  <c r="Z6" i="17"/>
  <c r="R6" i="17"/>
  <c r="O6" i="17" a="1"/>
  <c r="O6" i="17" s="1"/>
  <c r="O9" i="17" s="1"/>
  <c r="N6" i="17" a="1"/>
  <c r="N6" i="17" s="1"/>
  <c r="M6" i="17" a="1"/>
  <c r="M6" i="17" s="1"/>
  <c r="G6" i="17" a="1"/>
  <c r="G6" i="17" s="1"/>
  <c r="F6" i="17" a="1"/>
  <c r="F6" i="17" s="1"/>
  <c r="E6" i="17" a="1"/>
  <c r="E6" i="17" s="1"/>
  <c r="AA5" i="17"/>
  <c r="Z5" i="17"/>
  <c r="O5" i="17" a="1"/>
  <c r="O5" i="17" s="1"/>
  <c r="N5" i="17" a="1"/>
  <c r="N5" i="17" s="1"/>
  <c r="M5" i="17" a="1"/>
  <c r="M5" i="17" s="1"/>
  <c r="G5" i="17" a="1"/>
  <c r="G5" i="17" s="1"/>
  <c r="F5" i="17" a="1"/>
  <c r="F5" i="17" s="1"/>
  <c r="E5" i="17" a="1"/>
  <c r="E5" i="17" s="1"/>
  <c r="AA4" i="17"/>
  <c r="Z4" i="17"/>
  <c r="W4" i="17"/>
  <c r="P4" i="17"/>
  <c r="H4" i="17"/>
  <c r="AA3" i="17"/>
  <c r="Z3" i="17"/>
  <c r="W3" i="17"/>
  <c r="H1" i="17" s="1" a="1"/>
  <c r="H1" i="17" s="1"/>
  <c r="Y31" i="16"/>
  <c r="AA28" i="16"/>
  <c r="Z28" i="16"/>
  <c r="AA27" i="16"/>
  <c r="Z27" i="16"/>
  <c r="W26" i="16"/>
  <c r="AA25" i="16"/>
  <c r="Z25" i="16"/>
  <c r="W25" i="16"/>
  <c r="AA24" i="16"/>
  <c r="Z24" i="16"/>
  <c r="W24" i="16"/>
  <c r="AA23" i="16"/>
  <c r="Z23" i="16"/>
  <c r="W23" i="16"/>
  <c r="AA22" i="16"/>
  <c r="Z22" i="16"/>
  <c r="AA21" i="16"/>
  <c r="AB21" i="16" s="1"/>
  <c r="Z21" i="16"/>
  <c r="AA20" i="16"/>
  <c r="AB20" i="16" s="1"/>
  <c r="Z20" i="16"/>
  <c r="AA19" i="16"/>
  <c r="AB19" i="16" s="1"/>
  <c r="Z19" i="16"/>
  <c r="AA18" i="16"/>
  <c r="Z18" i="16"/>
  <c r="AA17" i="16"/>
  <c r="AB17" i="16" s="1"/>
  <c r="Z17" i="16"/>
  <c r="AA16" i="16"/>
  <c r="AB16" i="16" s="1"/>
  <c r="Z16" i="16"/>
  <c r="AA15" i="16"/>
  <c r="Z15" i="16"/>
  <c r="W15" i="16"/>
  <c r="AA14" i="16"/>
  <c r="Z14" i="16"/>
  <c r="AA13" i="16"/>
  <c r="Z13" i="16"/>
  <c r="AA12" i="16"/>
  <c r="AB12" i="16" s="1"/>
  <c r="Z12" i="16"/>
  <c r="AA11" i="16"/>
  <c r="Z11" i="16"/>
  <c r="W11" i="16"/>
  <c r="AA10" i="16"/>
  <c r="Z10" i="16"/>
  <c r="W10" i="16"/>
  <c r="AA9" i="16"/>
  <c r="Z9" i="16"/>
  <c r="W9" i="16"/>
  <c r="AA8" i="16"/>
  <c r="Z8" i="16"/>
  <c r="P8" i="16"/>
  <c r="H8" i="16"/>
  <c r="AA7" i="16"/>
  <c r="Z7" i="16"/>
  <c r="O7" i="16"/>
  <c r="N7" i="16"/>
  <c r="M7" i="16"/>
  <c r="H7" i="16"/>
  <c r="G7" i="16"/>
  <c r="F7" i="16"/>
  <c r="E7" i="16"/>
  <c r="AA6" i="16"/>
  <c r="AB6" i="16" s="1"/>
  <c r="Z6" i="16"/>
  <c r="R6" i="16"/>
  <c r="O6" i="16" a="1"/>
  <c r="O6" i="16" s="1"/>
  <c r="N6" i="16" a="1"/>
  <c r="N6" i="16" s="1"/>
  <c r="M6" i="16" a="1"/>
  <c r="M6" i="16" s="1"/>
  <c r="G6" i="16" a="1"/>
  <c r="G6" i="16" s="1"/>
  <c r="F6" i="16" a="1"/>
  <c r="F6" i="16" s="1"/>
  <c r="E6" i="16" a="1"/>
  <c r="E6" i="16" s="1"/>
  <c r="AA5" i="16"/>
  <c r="Z5" i="16"/>
  <c r="O5" i="16" a="1"/>
  <c r="O5" i="16" s="1"/>
  <c r="N5" i="16" a="1"/>
  <c r="N5" i="16" s="1"/>
  <c r="M5" i="16" a="1"/>
  <c r="M5" i="16" s="1"/>
  <c r="G5" i="16" a="1"/>
  <c r="G5" i="16" s="1"/>
  <c r="F5" i="16" a="1"/>
  <c r="F5" i="16" s="1"/>
  <c r="E5" i="16" a="1"/>
  <c r="E5" i="16" s="1"/>
  <c r="H5" i="16" s="1"/>
  <c r="AA4" i="16"/>
  <c r="Z4" i="16"/>
  <c r="W4" i="16"/>
  <c r="P4" i="16"/>
  <c r="H4" i="16"/>
  <c r="AA3" i="16"/>
  <c r="AB3" i="16" s="1"/>
  <c r="Z3" i="16"/>
  <c r="W3" i="16"/>
  <c r="H1" i="16" s="1" a="1"/>
  <c r="H1" i="16" s="1"/>
  <c r="P4" i="15"/>
  <c r="Y31" i="15"/>
  <c r="AA28" i="15"/>
  <c r="Z28" i="15"/>
  <c r="AA27" i="15"/>
  <c r="Z27" i="15"/>
  <c r="W26" i="15"/>
  <c r="AA25" i="15"/>
  <c r="Z25" i="15"/>
  <c r="W25" i="15"/>
  <c r="AA24" i="15"/>
  <c r="Z24" i="15"/>
  <c r="W24" i="15"/>
  <c r="AA23" i="15"/>
  <c r="Z23" i="15"/>
  <c r="W23" i="15"/>
  <c r="AA22" i="15"/>
  <c r="Z22" i="15"/>
  <c r="AA21" i="15"/>
  <c r="Z21" i="15"/>
  <c r="AA20" i="15"/>
  <c r="AB20" i="15" s="1"/>
  <c r="Z20" i="15"/>
  <c r="AA19" i="15"/>
  <c r="Z19" i="15"/>
  <c r="AA18" i="15"/>
  <c r="Z18" i="15"/>
  <c r="AA17" i="15"/>
  <c r="Z17" i="15"/>
  <c r="AA16" i="15"/>
  <c r="Z16" i="15"/>
  <c r="AA15" i="15"/>
  <c r="Z15" i="15"/>
  <c r="W15" i="15"/>
  <c r="AA14" i="15"/>
  <c r="Z14" i="15"/>
  <c r="AA13" i="15"/>
  <c r="Z13" i="15"/>
  <c r="AA12" i="15"/>
  <c r="Z12" i="15"/>
  <c r="AA11" i="15"/>
  <c r="Z11" i="15"/>
  <c r="AB11" i="15" s="1"/>
  <c r="W11" i="15"/>
  <c r="AA10" i="15"/>
  <c r="Z10" i="15"/>
  <c r="W10" i="15"/>
  <c r="AA9" i="15"/>
  <c r="Z9" i="15"/>
  <c r="W9" i="15"/>
  <c r="AA8" i="15"/>
  <c r="Z8" i="15"/>
  <c r="P8" i="15"/>
  <c r="H8" i="15"/>
  <c r="AA7" i="15"/>
  <c r="Z7" i="15"/>
  <c r="O7" i="15"/>
  <c r="N7" i="15"/>
  <c r="M7" i="15"/>
  <c r="G7" i="15"/>
  <c r="F7" i="15"/>
  <c r="E7" i="15"/>
  <c r="AA6" i="15"/>
  <c r="Z6" i="15"/>
  <c r="R6" i="15"/>
  <c r="O6" i="15" a="1"/>
  <c r="O6" i="15" s="1"/>
  <c r="N6" i="15" a="1"/>
  <c r="N6" i="15" s="1"/>
  <c r="M6" i="15" a="1"/>
  <c r="M6" i="15" s="1"/>
  <c r="G6" i="15" a="1"/>
  <c r="G6" i="15" s="1"/>
  <c r="F6" i="15" a="1"/>
  <c r="F6" i="15" s="1"/>
  <c r="E6" i="15" a="1"/>
  <c r="E6" i="15" s="1"/>
  <c r="AA5" i="15"/>
  <c r="Z5" i="15"/>
  <c r="O5" i="15" a="1"/>
  <c r="O5" i="15" s="1"/>
  <c r="N5" i="15" a="1"/>
  <c r="N5" i="15" s="1"/>
  <c r="M5" i="15" a="1"/>
  <c r="M5" i="15" s="1"/>
  <c r="G5" i="15" a="1"/>
  <c r="G5" i="15" s="1"/>
  <c r="F5" i="15" a="1"/>
  <c r="F5" i="15" s="1"/>
  <c r="E5" i="15" a="1"/>
  <c r="E5" i="15" s="1"/>
  <c r="AA4" i="15"/>
  <c r="Z4" i="15"/>
  <c r="W4" i="15"/>
  <c r="H4" i="15"/>
  <c r="AA3" i="15"/>
  <c r="Z3" i="15"/>
  <c r="W3" i="15"/>
  <c r="H1" i="15" s="1" a="1"/>
  <c r="H1" i="15" s="1"/>
  <c r="Y31" i="1"/>
  <c r="Y31" i="13"/>
  <c r="AA28" i="13"/>
  <c r="Z28" i="13"/>
  <c r="AA27" i="13"/>
  <c r="Z27" i="13"/>
  <c r="W26" i="13"/>
  <c r="AA25" i="13"/>
  <c r="Z25" i="13"/>
  <c r="W25" i="13"/>
  <c r="AA24" i="13"/>
  <c r="Z24" i="13"/>
  <c r="W24" i="13"/>
  <c r="AA23" i="13"/>
  <c r="Z23" i="13"/>
  <c r="W23" i="13"/>
  <c r="AA22" i="13"/>
  <c r="Z22" i="13"/>
  <c r="AA21" i="13"/>
  <c r="AB21" i="13" s="1"/>
  <c r="Z21" i="13"/>
  <c r="AA20" i="13"/>
  <c r="AB20" i="13" s="1"/>
  <c r="Z20" i="13"/>
  <c r="AA19" i="13"/>
  <c r="Z19" i="13"/>
  <c r="AA18" i="13"/>
  <c r="Z18" i="13"/>
  <c r="AA17" i="13"/>
  <c r="Z17" i="13"/>
  <c r="AA16" i="13"/>
  <c r="AB16" i="13" s="1"/>
  <c r="Z16" i="13"/>
  <c r="AA15" i="13"/>
  <c r="AB15" i="13" s="1"/>
  <c r="Z15" i="13"/>
  <c r="W15" i="13"/>
  <c r="AA14" i="13"/>
  <c r="Z14" i="13"/>
  <c r="AA13" i="13"/>
  <c r="Z13" i="13"/>
  <c r="AB13" i="13" s="1"/>
  <c r="AA12" i="13"/>
  <c r="Z12" i="13"/>
  <c r="AA11" i="13"/>
  <c r="AB11" i="13" s="1"/>
  <c r="Z11" i="13"/>
  <c r="W11" i="13"/>
  <c r="AA10" i="13"/>
  <c r="Z10" i="13"/>
  <c r="W10" i="13"/>
  <c r="AA9" i="13"/>
  <c r="Z9" i="13"/>
  <c r="W9" i="13"/>
  <c r="AA8" i="13"/>
  <c r="Z8" i="13"/>
  <c r="P8" i="13"/>
  <c r="H8" i="13"/>
  <c r="AA7" i="13"/>
  <c r="AB7" i="13" s="1"/>
  <c r="Z7" i="13"/>
  <c r="O7" i="13"/>
  <c r="N7" i="13"/>
  <c r="P7" i="13" s="1"/>
  <c r="M7" i="13"/>
  <c r="G7" i="13"/>
  <c r="H7" i="13" s="1"/>
  <c r="F7" i="13"/>
  <c r="E7" i="13"/>
  <c r="AA6" i="13"/>
  <c r="AB6" i="13" s="1"/>
  <c r="Z6" i="13"/>
  <c r="R6" i="13"/>
  <c r="O6" i="13"/>
  <c r="O6" i="13" a="1"/>
  <c r="N6" i="13" a="1"/>
  <c r="N6" i="13" s="1"/>
  <c r="M6" i="13" a="1"/>
  <c r="M6" i="13" s="1"/>
  <c r="G6" i="13" a="1"/>
  <c r="G6" i="13" s="1"/>
  <c r="F6" i="13" a="1"/>
  <c r="F6" i="13" s="1"/>
  <c r="E6" i="13"/>
  <c r="H6" i="13" s="1"/>
  <c r="E6" i="13" a="1"/>
  <c r="AA5" i="13"/>
  <c r="Z5" i="13"/>
  <c r="O5" i="13" a="1"/>
  <c r="O5" i="13" s="1"/>
  <c r="N5" i="13" a="1"/>
  <c r="N5" i="13" s="1"/>
  <c r="M5" i="13" a="1"/>
  <c r="M5" i="13" s="1"/>
  <c r="G5" i="13"/>
  <c r="G5" i="13" a="1"/>
  <c r="F5" i="13" a="1"/>
  <c r="F5" i="13" s="1"/>
  <c r="E5" i="13" a="1"/>
  <c r="E5" i="13" s="1"/>
  <c r="H5" i="13" s="1"/>
  <c r="AA4" i="13"/>
  <c r="Z4" i="13"/>
  <c r="W4" i="13"/>
  <c r="P4" i="13"/>
  <c r="H4" i="13"/>
  <c r="AA3" i="13"/>
  <c r="Z3" i="13"/>
  <c r="W3" i="13"/>
  <c r="H1" i="13" a="1"/>
  <c r="H1" i="13" s="1"/>
  <c r="Y31" i="11"/>
  <c r="AA28" i="11"/>
  <c r="Z28" i="11"/>
  <c r="AA27" i="11"/>
  <c r="Z27" i="11"/>
  <c r="W26" i="11"/>
  <c r="AA25" i="11"/>
  <c r="Z25" i="11"/>
  <c r="W25" i="11"/>
  <c r="AA24" i="11"/>
  <c r="Z24" i="11"/>
  <c r="W24" i="11"/>
  <c r="AA23" i="11"/>
  <c r="Z23" i="11"/>
  <c r="W23" i="11"/>
  <c r="AA22" i="11"/>
  <c r="Z22" i="11"/>
  <c r="AA21" i="11"/>
  <c r="Z21" i="11"/>
  <c r="AA20" i="11"/>
  <c r="AB20" i="11" s="1"/>
  <c r="Z20" i="11"/>
  <c r="AA19" i="11"/>
  <c r="AB19" i="11" s="1"/>
  <c r="Z19" i="11"/>
  <c r="AA18" i="11"/>
  <c r="Z18" i="11"/>
  <c r="AA17" i="11"/>
  <c r="Z17" i="11"/>
  <c r="AA16" i="11"/>
  <c r="Z16" i="11"/>
  <c r="AA15" i="11"/>
  <c r="Z15" i="11"/>
  <c r="W15" i="11"/>
  <c r="AA14" i="11"/>
  <c r="Z14" i="11"/>
  <c r="AA13" i="11"/>
  <c r="Z13" i="11"/>
  <c r="AA12" i="11"/>
  <c r="Z12" i="11"/>
  <c r="AA11" i="11"/>
  <c r="Z11" i="11"/>
  <c r="W11" i="11"/>
  <c r="AA10" i="11"/>
  <c r="Z10" i="11"/>
  <c r="W10" i="11"/>
  <c r="AA9" i="11"/>
  <c r="Z9" i="11"/>
  <c r="W9" i="11"/>
  <c r="AA8" i="11"/>
  <c r="Z8" i="11"/>
  <c r="P8" i="11"/>
  <c r="H8" i="11"/>
  <c r="AA7" i="11"/>
  <c r="Z7" i="11"/>
  <c r="O7" i="11"/>
  <c r="N7" i="11"/>
  <c r="P7" i="11" s="1"/>
  <c r="M7" i="11"/>
  <c r="G7" i="11"/>
  <c r="F7" i="11"/>
  <c r="E7" i="11"/>
  <c r="AA6" i="11"/>
  <c r="AB6" i="11" s="1"/>
  <c r="Z6" i="11"/>
  <c r="R6" i="11"/>
  <c r="O6" i="11" a="1"/>
  <c r="O6" i="11" s="1"/>
  <c r="N6" i="11" a="1"/>
  <c r="N6" i="11" s="1"/>
  <c r="M6" i="11" a="1"/>
  <c r="M6" i="11" s="1"/>
  <c r="G6" i="11" a="1"/>
  <c r="G6" i="11" s="1"/>
  <c r="F6" i="11" a="1"/>
  <c r="F6" i="11" s="1"/>
  <c r="E6" i="11" a="1"/>
  <c r="E6" i="11" s="1"/>
  <c r="AA5" i="11"/>
  <c r="Z5" i="11"/>
  <c r="O5" i="11" a="1"/>
  <c r="O5" i="11" s="1"/>
  <c r="N5" i="11" a="1"/>
  <c r="N5" i="11" s="1"/>
  <c r="M5" i="11" a="1"/>
  <c r="M5" i="11" s="1"/>
  <c r="G5" i="11" a="1"/>
  <c r="G5" i="11" s="1"/>
  <c r="F5" i="11" a="1"/>
  <c r="F5" i="11" s="1"/>
  <c r="E5" i="11" a="1"/>
  <c r="E5" i="11" s="1"/>
  <c r="H5" i="11" s="1"/>
  <c r="AA4" i="11"/>
  <c r="Z4" i="11"/>
  <c r="W4" i="11"/>
  <c r="P4" i="11"/>
  <c r="H4" i="11"/>
  <c r="AA3" i="11"/>
  <c r="Z3" i="11"/>
  <c r="W3" i="11"/>
  <c r="H1" i="11" s="1" a="1"/>
  <c r="H1" i="11" s="1"/>
  <c r="Y31" i="9"/>
  <c r="AA28" i="9"/>
  <c r="Z28" i="9"/>
  <c r="AA27" i="9"/>
  <c r="Z27" i="9"/>
  <c r="W26" i="9"/>
  <c r="AA25" i="9"/>
  <c r="Z25" i="9"/>
  <c r="W25" i="9"/>
  <c r="AA24" i="9"/>
  <c r="Z24" i="9"/>
  <c r="W24" i="9"/>
  <c r="AA23" i="9"/>
  <c r="Z23" i="9"/>
  <c r="W23" i="9"/>
  <c r="AA22" i="9"/>
  <c r="Z22" i="9"/>
  <c r="AA21" i="9"/>
  <c r="Z21" i="9"/>
  <c r="AA20" i="9"/>
  <c r="Z20" i="9"/>
  <c r="AA19" i="9"/>
  <c r="Z19" i="9"/>
  <c r="AA18" i="9"/>
  <c r="Z18" i="9"/>
  <c r="AA17" i="9"/>
  <c r="Z17" i="9"/>
  <c r="AA16" i="9"/>
  <c r="Z16" i="9"/>
  <c r="AA15" i="9"/>
  <c r="Z15" i="9"/>
  <c r="W15" i="9"/>
  <c r="AA14" i="9"/>
  <c r="Z14" i="9"/>
  <c r="AA13" i="9"/>
  <c r="Z13" i="9"/>
  <c r="AA12" i="9"/>
  <c r="Z12" i="9"/>
  <c r="AA11" i="9"/>
  <c r="Z11" i="9"/>
  <c r="W11" i="9"/>
  <c r="AA10" i="9"/>
  <c r="Z10" i="9"/>
  <c r="W10" i="9"/>
  <c r="AA9" i="9"/>
  <c r="Z9" i="9"/>
  <c r="W9" i="9"/>
  <c r="AA8" i="9"/>
  <c r="Z8" i="9"/>
  <c r="P8" i="9"/>
  <c r="H8" i="9"/>
  <c r="AA7" i="9"/>
  <c r="Z7" i="9"/>
  <c r="O7" i="9"/>
  <c r="N7" i="9"/>
  <c r="M7" i="9"/>
  <c r="G7" i="9"/>
  <c r="F7" i="9"/>
  <c r="E7" i="9"/>
  <c r="AA6" i="9"/>
  <c r="Z6" i="9"/>
  <c r="R6" i="9"/>
  <c r="O6" i="9" a="1"/>
  <c r="O6" i="9" s="1"/>
  <c r="N6" i="9" a="1"/>
  <c r="N6" i="9" s="1"/>
  <c r="M6" i="9" a="1"/>
  <c r="M6" i="9" s="1"/>
  <c r="G6" i="9" a="1"/>
  <c r="G6" i="9" s="1"/>
  <c r="F6" i="9" a="1"/>
  <c r="F6" i="9" s="1"/>
  <c r="E6" i="9" a="1"/>
  <c r="E6" i="9" s="1"/>
  <c r="AA5" i="9"/>
  <c r="Z5" i="9"/>
  <c r="O5" i="9" a="1"/>
  <c r="O5" i="9" s="1"/>
  <c r="N5" i="9" a="1"/>
  <c r="N5" i="9" s="1"/>
  <c r="M5" i="9" a="1"/>
  <c r="M5" i="9" s="1"/>
  <c r="G5" i="9" a="1"/>
  <c r="G5" i="9" s="1"/>
  <c r="F5" i="9" a="1"/>
  <c r="F5" i="9" s="1"/>
  <c r="E5" i="9" a="1"/>
  <c r="E5" i="9" s="1"/>
  <c r="AA4" i="9"/>
  <c r="Z4" i="9"/>
  <c r="W4" i="9"/>
  <c r="P4" i="9"/>
  <c r="H4" i="9"/>
  <c r="AA3" i="9"/>
  <c r="Z3" i="9"/>
  <c r="W3" i="9"/>
  <c r="H1" i="9" s="1" a="1"/>
  <c r="H1" i="9" s="1"/>
  <c r="Y31" i="7"/>
  <c r="Y31" i="6"/>
  <c r="AB9" i="17" l="1"/>
  <c r="AB15" i="17"/>
  <c r="AB6" i="17"/>
  <c r="AB19" i="17"/>
  <c r="AB25" i="17"/>
  <c r="AB21" i="17"/>
  <c r="AB7" i="17"/>
  <c r="AB12" i="17"/>
  <c r="AB23" i="17"/>
  <c r="AB10" i="17"/>
  <c r="AB13" i="17"/>
  <c r="AB4" i="17"/>
  <c r="AB16" i="17"/>
  <c r="AB22" i="17"/>
  <c r="AB27" i="17"/>
  <c r="AB24" i="17"/>
  <c r="AB17" i="17"/>
  <c r="AB28" i="17"/>
  <c r="AB20" i="17"/>
  <c r="AB3" i="17"/>
  <c r="AB8" i="17"/>
  <c r="AB5" i="17"/>
  <c r="AB18" i="17"/>
  <c r="N9" i="17"/>
  <c r="P5" i="17"/>
  <c r="H6" i="17"/>
  <c r="P6" i="17"/>
  <c r="M9" i="17"/>
  <c r="H5" i="17"/>
  <c r="AB24" i="16"/>
  <c r="AB9" i="16"/>
  <c r="AB10" i="16"/>
  <c r="AB15" i="16"/>
  <c r="AB5" i="16"/>
  <c r="AB4" i="16"/>
  <c r="P7" i="16"/>
  <c r="AB7" i="16"/>
  <c r="AB11" i="16"/>
  <c r="AB25" i="16"/>
  <c r="AB8" i="16"/>
  <c r="AB22" i="16"/>
  <c r="AB27" i="16"/>
  <c r="AB13" i="16"/>
  <c r="AB18" i="16"/>
  <c r="AB28" i="16"/>
  <c r="AB23" i="16"/>
  <c r="AB14" i="16"/>
  <c r="P6" i="16"/>
  <c r="M9" i="16"/>
  <c r="N9" i="16"/>
  <c r="O9" i="16"/>
  <c r="P5" i="16"/>
  <c r="P11" i="16" s="1"/>
  <c r="H6" i="16"/>
  <c r="AB14" i="15"/>
  <c r="AB18" i="15"/>
  <c r="AB21" i="15"/>
  <c r="AB19" i="15"/>
  <c r="AB24" i="15"/>
  <c r="AB9" i="15"/>
  <c r="P7" i="15"/>
  <c r="AB25" i="15"/>
  <c r="AB4" i="15"/>
  <c r="AB15" i="15"/>
  <c r="AB7" i="15"/>
  <c r="AB16" i="15"/>
  <c r="AB22" i="15"/>
  <c r="AB27" i="15"/>
  <c r="AB6" i="15"/>
  <c r="AB3" i="15"/>
  <c r="AB5" i="15"/>
  <c r="AB17" i="15"/>
  <c r="AB28" i="15"/>
  <c r="P5" i="15"/>
  <c r="P11" i="15" s="1"/>
  <c r="AB12" i="15"/>
  <c r="AB23" i="15"/>
  <c r="AB13" i="15"/>
  <c r="H5" i="15"/>
  <c r="AB10" i="15"/>
  <c r="AB8" i="15"/>
  <c r="H7" i="15"/>
  <c r="H6" i="15"/>
  <c r="P6" i="15"/>
  <c r="M9" i="15"/>
  <c r="N9" i="15"/>
  <c r="O9" i="15"/>
  <c r="AB12" i="13"/>
  <c r="AB23" i="13"/>
  <c r="AB10" i="13"/>
  <c r="AB25" i="13"/>
  <c r="AB17" i="13"/>
  <c r="AB27" i="13"/>
  <c r="AB3" i="13"/>
  <c r="AB8" i="13"/>
  <c r="R2" i="13" s="1" a="1"/>
  <c r="R2" i="13" s="1"/>
  <c r="AB14" i="13"/>
  <c r="AB4" i="13"/>
  <c r="AB18" i="13"/>
  <c r="AB24" i="13"/>
  <c r="AB28" i="13"/>
  <c r="AB5" i="13"/>
  <c r="AB9" i="13"/>
  <c r="AB19" i="13"/>
  <c r="AB22" i="13"/>
  <c r="N9" i="13"/>
  <c r="O9" i="13"/>
  <c r="M9" i="13"/>
  <c r="P6" i="13"/>
  <c r="P5" i="13"/>
  <c r="P11" i="13" s="1"/>
  <c r="AB24" i="11"/>
  <c r="H7" i="11"/>
  <c r="AB14" i="11"/>
  <c r="AB15" i="11"/>
  <c r="AB5" i="11"/>
  <c r="AB8" i="11"/>
  <c r="AB10" i="11"/>
  <c r="AB4" i="11"/>
  <c r="AB7" i="11"/>
  <c r="AB25" i="11"/>
  <c r="P5" i="11"/>
  <c r="P11" i="11" s="1"/>
  <c r="AB11" i="11"/>
  <c r="AB16" i="11"/>
  <c r="AB21" i="11"/>
  <c r="AB3" i="11"/>
  <c r="AB12" i="11"/>
  <c r="AB17" i="11"/>
  <c r="AB22" i="11"/>
  <c r="AB27" i="11"/>
  <c r="AB13" i="11"/>
  <c r="AB18" i="11"/>
  <c r="AB28" i="11"/>
  <c r="AB23" i="11"/>
  <c r="AB9" i="11"/>
  <c r="H6" i="11"/>
  <c r="P6" i="11"/>
  <c r="M9" i="11"/>
  <c r="N9" i="11"/>
  <c r="O9" i="11"/>
  <c r="AB11" i="9"/>
  <c r="AB24" i="9"/>
  <c r="AB23" i="9"/>
  <c r="AB18" i="9"/>
  <c r="AB14" i="9"/>
  <c r="H6" i="9"/>
  <c r="H5" i="9"/>
  <c r="AB13" i="9"/>
  <c r="AB19" i="9"/>
  <c r="AB6" i="9"/>
  <c r="H7" i="9"/>
  <c r="AB9" i="9"/>
  <c r="AB12" i="9"/>
  <c r="AB3" i="9"/>
  <c r="AB21" i="9"/>
  <c r="AB7" i="9"/>
  <c r="AB5" i="9"/>
  <c r="P7" i="9"/>
  <c r="AB20" i="9"/>
  <c r="AB4" i="9"/>
  <c r="AB25" i="9"/>
  <c r="AB10" i="9"/>
  <c r="AB15" i="9"/>
  <c r="AB16" i="9"/>
  <c r="AB22" i="9"/>
  <c r="AB27" i="9"/>
  <c r="P5" i="9"/>
  <c r="AB17" i="9"/>
  <c r="AB28" i="9"/>
  <c r="AB8" i="9"/>
  <c r="P6" i="9"/>
  <c r="M9" i="9"/>
  <c r="N9" i="9"/>
  <c r="O9" i="9"/>
  <c r="R8" i="17" l="1" a="1"/>
  <c r="R8" i="17" s="1"/>
  <c r="P11" i="17"/>
  <c r="R2" i="17" a="1"/>
  <c r="R2" i="17" s="1"/>
  <c r="P12" i="17"/>
  <c r="P9" i="17"/>
  <c r="P12" i="16"/>
  <c r="R8" i="16" a="1"/>
  <c r="R8" i="16" s="1"/>
  <c r="P9" i="16"/>
  <c r="R2" i="16" a="1"/>
  <c r="R2" i="16" s="1"/>
  <c r="R2" i="15" a="1"/>
  <c r="R2" i="15" s="1"/>
  <c r="R8" i="15" a="1"/>
  <c r="R8" i="15" s="1"/>
  <c r="P9" i="15"/>
  <c r="P12" i="15"/>
  <c r="R8" i="13" a="1"/>
  <c r="R8" i="13" s="1"/>
  <c r="P9" i="13"/>
  <c r="P12" i="13"/>
  <c r="P9" i="11"/>
  <c r="R2" i="11" a="1"/>
  <c r="R2" i="11" s="1"/>
  <c r="R8" i="11" a="1"/>
  <c r="R8" i="11" s="1"/>
  <c r="P12" i="11"/>
  <c r="R2" i="9" a="1"/>
  <c r="R2" i="9" s="1"/>
  <c r="P9" i="9"/>
  <c r="R8" i="9" a="1"/>
  <c r="R8" i="9" s="1"/>
  <c r="P11" i="9"/>
  <c r="P12" i="9"/>
  <c r="AA28" i="7" l="1"/>
  <c r="Z28" i="7"/>
  <c r="AA27" i="7"/>
  <c r="Z27" i="7"/>
  <c r="W26" i="7"/>
  <c r="AA25" i="7"/>
  <c r="Z25" i="7"/>
  <c r="W25" i="7"/>
  <c r="AA24" i="7"/>
  <c r="Z24" i="7"/>
  <c r="W24" i="7"/>
  <c r="AA23" i="7"/>
  <c r="Z23" i="7"/>
  <c r="W23" i="7"/>
  <c r="AA22" i="7"/>
  <c r="Z22" i="7"/>
  <c r="AA21" i="7"/>
  <c r="Z21" i="7"/>
  <c r="AA20" i="7"/>
  <c r="Z20" i="7"/>
  <c r="AA19" i="7"/>
  <c r="Z19" i="7"/>
  <c r="AA18" i="7"/>
  <c r="AB18" i="7" s="1"/>
  <c r="Z18" i="7"/>
  <c r="AA17" i="7"/>
  <c r="Z17" i="7"/>
  <c r="AA16" i="7"/>
  <c r="Z16" i="7"/>
  <c r="AA15" i="7"/>
  <c r="Z15" i="7"/>
  <c r="W15" i="7"/>
  <c r="AA14" i="7"/>
  <c r="Z14" i="7"/>
  <c r="AA13" i="7"/>
  <c r="Z13" i="7"/>
  <c r="AA12" i="7"/>
  <c r="Z12" i="7"/>
  <c r="AA11" i="7"/>
  <c r="Z11" i="7"/>
  <c r="W11" i="7"/>
  <c r="AA10" i="7"/>
  <c r="Z10" i="7"/>
  <c r="W10" i="7"/>
  <c r="AA9" i="7"/>
  <c r="Z9" i="7"/>
  <c r="W9" i="7"/>
  <c r="AA8" i="7"/>
  <c r="Z8" i="7"/>
  <c r="P8" i="7"/>
  <c r="H8" i="7"/>
  <c r="AA7" i="7"/>
  <c r="Z7" i="7"/>
  <c r="O7" i="7"/>
  <c r="N7" i="7"/>
  <c r="M7" i="7"/>
  <c r="G7" i="7"/>
  <c r="F7" i="7"/>
  <c r="E7" i="7"/>
  <c r="AA6" i="7"/>
  <c r="Z6" i="7"/>
  <c r="R6" i="7"/>
  <c r="O6" i="7"/>
  <c r="O6" i="7" a="1"/>
  <c r="N6" i="7" a="1"/>
  <c r="N6" i="7" s="1"/>
  <c r="M6" i="7" a="1"/>
  <c r="M6" i="7" s="1"/>
  <c r="G6" i="7" a="1"/>
  <c r="G6" i="7" s="1"/>
  <c r="F6" i="7" a="1"/>
  <c r="F6" i="7" s="1"/>
  <c r="E6" i="7" a="1"/>
  <c r="E6" i="7" s="1"/>
  <c r="AA5" i="7"/>
  <c r="Z5" i="7"/>
  <c r="O5" i="7" a="1"/>
  <c r="O5" i="7" s="1"/>
  <c r="N5" i="7" a="1"/>
  <c r="N5" i="7" s="1"/>
  <c r="M5" i="7" a="1"/>
  <c r="M5" i="7" s="1"/>
  <c r="G5" i="7" a="1"/>
  <c r="G5" i="7" s="1"/>
  <c r="F5" i="7" a="1"/>
  <c r="F5" i="7" s="1"/>
  <c r="E5" i="7" a="1"/>
  <c r="E5" i="7" s="1"/>
  <c r="AA4" i="7"/>
  <c r="Z4" i="7"/>
  <c r="W4" i="7"/>
  <c r="P4" i="7"/>
  <c r="H4" i="7"/>
  <c r="AA3" i="7"/>
  <c r="Z3" i="7"/>
  <c r="W3" i="7"/>
  <c r="H1" i="7" a="1"/>
  <c r="H1" i="7" s="1"/>
  <c r="AA28" i="6"/>
  <c r="Z28" i="6"/>
  <c r="AB28" i="6" s="1"/>
  <c r="AB27" i="6"/>
  <c r="AA27" i="6"/>
  <c r="Z27" i="6"/>
  <c r="W26" i="6"/>
  <c r="AB25" i="6"/>
  <c r="AA25" i="6"/>
  <c r="Z25" i="6"/>
  <c r="W25" i="6"/>
  <c r="AB24" i="6"/>
  <c r="AA24" i="6"/>
  <c r="Z24" i="6"/>
  <c r="W24" i="6"/>
  <c r="AB23" i="6"/>
  <c r="AA23" i="6"/>
  <c r="Z23" i="6"/>
  <c r="W23" i="6"/>
  <c r="AB22" i="6"/>
  <c r="AA22" i="6"/>
  <c r="Z22" i="6"/>
  <c r="AA21" i="6"/>
  <c r="AB21" i="6" s="1"/>
  <c r="Z21" i="6"/>
  <c r="AA20" i="6"/>
  <c r="Z20" i="6"/>
  <c r="AB20" i="6" s="1"/>
  <c r="AA19" i="6"/>
  <c r="Z19" i="6"/>
  <c r="AB19" i="6" s="1"/>
  <c r="AB18" i="6"/>
  <c r="AA18" i="6"/>
  <c r="Z18" i="6"/>
  <c r="AA17" i="6"/>
  <c r="Z17" i="6"/>
  <c r="AB17" i="6" s="1"/>
  <c r="AB16" i="6"/>
  <c r="AA16" i="6"/>
  <c r="Z16" i="6"/>
  <c r="AA15" i="6"/>
  <c r="AB15" i="6" s="1"/>
  <c r="Z15" i="6"/>
  <c r="W15" i="6"/>
  <c r="AA14" i="6"/>
  <c r="Z14" i="6"/>
  <c r="AB14" i="6" s="1"/>
  <c r="AB13" i="6"/>
  <c r="AA13" i="6"/>
  <c r="Z13" i="6"/>
  <c r="AA12" i="6"/>
  <c r="Z12" i="6"/>
  <c r="AB12" i="6" s="1"/>
  <c r="AA11" i="6"/>
  <c r="AB11" i="6" s="1"/>
  <c r="Z11" i="6"/>
  <c r="W11" i="6"/>
  <c r="AA10" i="6"/>
  <c r="Z10" i="6"/>
  <c r="AB10" i="6" s="1"/>
  <c r="W10" i="6"/>
  <c r="AB9" i="6"/>
  <c r="AA9" i="6"/>
  <c r="Z9" i="6"/>
  <c r="W9" i="6"/>
  <c r="AB8" i="6"/>
  <c r="AA8" i="6"/>
  <c r="Z8" i="6"/>
  <c r="P8" i="6"/>
  <c r="H8" i="6"/>
  <c r="AA7" i="6"/>
  <c r="AB7" i="6" s="1"/>
  <c r="Z7" i="6"/>
  <c r="O7" i="6"/>
  <c r="N7" i="6"/>
  <c r="P7" i="6" s="1"/>
  <c r="M7" i="6"/>
  <c r="H7" i="6"/>
  <c r="G7" i="6"/>
  <c r="F7" i="6"/>
  <c r="E7" i="6"/>
  <c r="AA6" i="6"/>
  <c r="Z6" i="6"/>
  <c r="AB6" i="6" s="1"/>
  <c r="R6" i="6"/>
  <c r="O6" i="6" a="1"/>
  <c r="O6" i="6" s="1"/>
  <c r="N6" i="6" a="1"/>
  <c r="N6" i="6" s="1"/>
  <c r="M6" i="6" a="1"/>
  <c r="M6" i="6" s="1"/>
  <c r="G6" i="6" a="1"/>
  <c r="G6" i="6" s="1"/>
  <c r="F6" i="6"/>
  <c r="F6" i="6" a="1"/>
  <c r="E6" i="6"/>
  <c r="H6" i="6" s="1"/>
  <c r="E6" i="6" a="1"/>
  <c r="AA5" i="6"/>
  <c r="Z5" i="6"/>
  <c r="AB5" i="6" s="1"/>
  <c r="O5" i="6" a="1"/>
  <c r="O5" i="6" s="1"/>
  <c r="N5" i="6" a="1"/>
  <c r="N5" i="6" s="1"/>
  <c r="M5" i="6" a="1"/>
  <c r="M5" i="6" s="1"/>
  <c r="P5" i="6" s="1"/>
  <c r="G5" i="6" a="1"/>
  <c r="G5" i="6" s="1"/>
  <c r="F5" i="6" a="1"/>
  <c r="F5" i="6" s="1"/>
  <c r="E5" i="6" a="1"/>
  <c r="E5" i="6" s="1"/>
  <c r="H5" i="6" s="1"/>
  <c r="P11" i="6" s="1"/>
  <c r="AA4" i="6"/>
  <c r="Z4" i="6"/>
  <c r="AB4" i="6" s="1"/>
  <c r="W4" i="6"/>
  <c r="P4" i="6"/>
  <c r="H4" i="6"/>
  <c r="AA3" i="6"/>
  <c r="Z3" i="6"/>
  <c r="AB3" i="6" s="1"/>
  <c r="W3" i="6"/>
  <c r="H1" i="6" a="1"/>
  <c r="H1" i="6" s="1"/>
  <c r="H7" i="7" l="1"/>
  <c r="AB9" i="7"/>
  <c r="AB19" i="7"/>
  <c r="AB12" i="7"/>
  <c r="AB25" i="7"/>
  <c r="AB15" i="7"/>
  <c r="AB3" i="7"/>
  <c r="AB10" i="7"/>
  <c r="AB17" i="7"/>
  <c r="AB4" i="7"/>
  <c r="AB22" i="7"/>
  <c r="AB7" i="7"/>
  <c r="AB11" i="7"/>
  <c r="AB23" i="7"/>
  <c r="P7" i="7"/>
  <c r="AB5" i="7"/>
  <c r="AB13" i="7"/>
  <c r="AB27" i="7"/>
  <c r="P5" i="7"/>
  <c r="N9" i="7"/>
  <c r="AB8" i="7"/>
  <c r="AB14" i="7"/>
  <c r="AB21" i="7"/>
  <c r="AB24" i="7"/>
  <c r="AB28" i="7"/>
  <c r="AB6" i="7"/>
  <c r="H5" i="7"/>
  <c r="AB16" i="7"/>
  <c r="AB20" i="7"/>
  <c r="P6" i="7"/>
  <c r="M9" i="7"/>
  <c r="H6" i="7"/>
  <c r="O9" i="7"/>
  <c r="R8" i="6" a="1"/>
  <c r="R8" i="6" s="1"/>
  <c r="P6" i="6"/>
  <c r="P9" i="6" s="1"/>
  <c r="M9" i="6"/>
  <c r="P12" i="6"/>
  <c r="N9" i="6"/>
  <c r="O9" i="6"/>
  <c r="P11" i="7" l="1"/>
  <c r="R2" i="7" a="1"/>
  <c r="R2" i="7" s="1"/>
  <c r="P9" i="7"/>
  <c r="R8" i="7" a="1"/>
  <c r="R8" i="7" s="1"/>
  <c r="P12" i="7"/>
  <c r="R2" i="6" a="1"/>
  <c r="R2" i="6" s="1"/>
  <c r="D4" i="5" l="1"/>
  <c r="D3" i="5"/>
  <c r="D2" i="5"/>
  <c r="P12" i="4"/>
  <c r="P11" i="4"/>
  <c r="P12" i="2"/>
  <c r="P11" i="2"/>
  <c r="AA28" i="4"/>
  <c r="Z28" i="4"/>
  <c r="AA27" i="4"/>
  <c r="Z27" i="4"/>
  <c r="W26" i="4"/>
  <c r="AA25" i="4"/>
  <c r="Z25" i="4"/>
  <c r="AB25" i="4" s="1"/>
  <c r="W25" i="4"/>
  <c r="AA24" i="4"/>
  <c r="Z24" i="4"/>
  <c r="W24" i="4"/>
  <c r="AA23" i="4"/>
  <c r="Z23" i="4"/>
  <c r="W23" i="4"/>
  <c r="AA22" i="4"/>
  <c r="Z22" i="4"/>
  <c r="AA21" i="4"/>
  <c r="Z21" i="4"/>
  <c r="AA20" i="4"/>
  <c r="AB20" i="4" s="1"/>
  <c r="Z20" i="4"/>
  <c r="AA19" i="4"/>
  <c r="Z19" i="4"/>
  <c r="AA18" i="4"/>
  <c r="Z18" i="4"/>
  <c r="AA17" i="4"/>
  <c r="Z17" i="4"/>
  <c r="AA16" i="4"/>
  <c r="Z16" i="4"/>
  <c r="AA15" i="4"/>
  <c r="AB15" i="4" s="1"/>
  <c r="Z15" i="4"/>
  <c r="W15" i="4"/>
  <c r="AA14" i="4"/>
  <c r="Z14" i="4"/>
  <c r="AA13" i="4"/>
  <c r="Z13" i="4"/>
  <c r="AA12" i="4"/>
  <c r="Z12" i="4"/>
  <c r="AB12" i="4" s="1"/>
  <c r="AA11" i="4"/>
  <c r="Z11" i="4"/>
  <c r="W11" i="4"/>
  <c r="AA10" i="4"/>
  <c r="Z10" i="4"/>
  <c r="W10" i="4"/>
  <c r="AA9" i="4"/>
  <c r="AB9" i="4" s="1"/>
  <c r="Z9" i="4"/>
  <c r="W9" i="4"/>
  <c r="AA8" i="4"/>
  <c r="Z8" i="4"/>
  <c r="P8" i="4"/>
  <c r="H8" i="4"/>
  <c r="AA7" i="4"/>
  <c r="Z7" i="4"/>
  <c r="AB7" i="4" s="1"/>
  <c r="O7" i="4"/>
  <c r="N7" i="4"/>
  <c r="P7" i="4" s="1"/>
  <c r="M7" i="4"/>
  <c r="G7" i="4"/>
  <c r="F7" i="4"/>
  <c r="E7" i="4"/>
  <c r="H7" i="4" s="1"/>
  <c r="AA6" i="4"/>
  <c r="Z6" i="4"/>
  <c r="AB6" i="4" s="1"/>
  <c r="R6" i="4"/>
  <c r="O6" i="4" a="1"/>
  <c r="O6" i="4" s="1"/>
  <c r="O9" i="4" s="1"/>
  <c r="N6" i="4" a="1"/>
  <c r="N6" i="4" s="1"/>
  <c r="M6" i="4" a="1"/>
  <c r="M6" i="4" s="1"/>
  <c r="G6" i="4" a="1"/>
  <c r="G6" i="4" s="1"/>
  <c r="F6" i="4" a="1"/>
  <c r="F6" i="4" s="1"/>
  <c r="E6" i="4" a="1"/>
  <c r="E6" i="4" s="1"/>
  <c r="AA5" i="4"/>
  <c r="Z5" i="4"/>
  <c r="O5" i="4" a="1"/>
  <c r="O5" i="4" s="1"/>
  <c r="N5" i="4" a="1"/>
  <c r="N5" i="4" s="1"/>
  <c r="M5" i="4"/>
  <c r="M5" i="4" a="1"/>
  <c r="G5" i="4" a="1"/>
  <c r="G5" i="4" s="1"/>
  <c r="F5" i="4" a="1"/>
  <c r="F5" i="4" s="1"/>
  <c r="E5" i="4" a="1"/>
  <c r="E5" i="4" s="1"/>
  <c r="AA4" i="4"/>
  <c r="Z4" i="4"/>
  <c r="W4" i="4"/>
  <c r="P4" i="4"/>
  <c r="H4" i="4"/>
  <c r="AA3" i="4"/>
  <c r="Z3" i="4"/>
  <c r="W3" i="4"/>
  <c r="H1" i="4" a="1"/>
  <c r="H1" i="4" s="1"/>
  <c r="AB4" i="4" l="1"/>
  <c r="AB18" i="4"/>
  <c r="AB19" i="4"/>
  <c r="AB10" i="4"/>
  <c r="AB5" i="4"/>
  <c r="AB22" i="4"/>
  <c r="AB13" i="4"/>
  <c r="AB23" i="4"/>
  <c r="AB27" i="4"/>
  <c r="P5" i="4"/>
  <c r="AB14" i="4"/>
  <c r="AB17" i="4"/>
  <c r="AB8" i="4"/>
  <c r="AB21" i="4"/>
  <c r="AB24" i="4"/>
  <c r="AB28" i="4"/>
  <c r="AB3" i="4"/>
  <c r="H6" i="4"/>
  <c r="AB16" i="4"/>
  <c r="H5" i="4"/>
  <c r="AB11" i="4"/>
  <c r="P6" i="4"/>
  <c r="M9" i="4"/>
  <c r="N9" i="4"/>
  <c r="R8" i="4" l="1" a="1"/>
  <c r="R8" i="4" s="1"/>
  <c r="R2" i="4" a="1"/>
  <c r="R2" i="4" s="1"/>
  <c r="P9" i="4"/>
  <c r="AA28" i="2" l="1"/>
  <c r="Z28" i="2"/>
  <c r="AA27" i="2"/>
  <c r="Z27" i="2"/>
  <c r="W26" i="2"/>
  <c r="AA25" i="2"/>
  <c r="Z25" i="2"/>
  <c r="W25" i="2"/>
  <c r="AA24" i="2"/>
  <c r="Z24" i="2"/>
  <c r="W24" i="2"/>
  <c r="AA23" i="2"/>
  <c r="Z23" i="2"/>
  <c r="W23" i="2"/>
  <c r="AA22" i="2"/>
  <c r="Z22" i="2"/>
  <c r="AA21" i="2"/>
  <c r="Z21" i="2"/>
  <c r="AA20" i="2"/>
  <c r="Z20" i="2"/>
  <c r="AA19" i="2"/>
  <c r="Z19" i="2"/>
  <c r="AA18" i="2"/>
  <c r="Z18" i="2"/>
  <c r="AA17" i="2"/>
  <c r="Z17" i="2"/>
  <c r="AA16" i="2"/>
  <c r="Z16" i="2"/>
  <c r="AA15" i="2"/>
  <c r="Z15" i="2"/>
  <c r="W15" i="2"/>
  <c r="AA14" i="2"/>
  <c r="Z14" i="2"/>
  <c r="AA13" i="2"/>
  <c r="Z13" i="2"/>
  <c r="AA12" i="2"/>
  <c r="Z12" i="2"/>
  <c r="AA11" i="2"/>
  <c r="Z11" i="2"/>
  <c r="W11" i="2"/>
  <c r="AA10" i="2"/>
  <c r="Z10" i="2"/>
  <c r="W10" i="2"/>
  <c r="AA9" i="2"/>
  <c r="Z9" i="2"/>
  <c r="W9" i="2"/>
  <c r="AA8" i="2"/>
  <c r="Z8" i="2"/>
  <c r="P8" i="2"/>
  <c r="H8" i="2"/>
  <c r="AA7" i="2"/>
  <c r="Z7" i="2"/>
  <c r="O7" i="2"/>
  <c r="N7" i="2"/>
  <c r="M7" i="2"/>
  <c r="G7" i="2"/>
  <c r="F7" i="2"/>
  <c r="E7" i="2"/>
  <c r="AA6" i="2"/>
  <c r="Z6" i="2"/>
  <c r="R6" i="2"/>
  <c r="O6" i="2" a="1"/>
  <c r="O6" i="2" s="1"/>
  <c r="O9" i="2" s="1"/>
  <c r="N6" i="2" a="1"/>
  <c r="N6" i="2" s="1"/>
  <c r="M6" i="2" a="1"/>
  <c r="M6" i="2" s="1"/>
  <c r="G6" i="2" a="1"/>
  <c r="G6" i="2" s="1"/>
  <c r="F6" i="2" a="1"/>
  <c r="F6" i="2" s="1"/>
  <c r="E6" i="2" a="1"/>
  <c r="E6" i="2" s="1"/>
  <c r="AA5" i="2"/>
  <c r="Z5" i="2"/>
  <c r="O5" i="2" a="1"/>
  <c r="O5" i="2" s="1"/>
  <c r="N5" i="2" a="1"/>
  <c r="N5" i="2" s="1"/>
  <c r="M5" i="2" a="1"/>
  <c r="M5" i="2" s="1"/>
  <c r="G5" i="2" a="1"/>
  <c r="G5" i="2" s="1"/>
  <c r="F5" i="2" a="1"/>
  <c r="F5" i="2" s="1"/>
  <c r="E5" i="2" a="1"/>
  <c r="E5" i="2" s="1"/>
  <c r="AA4" i="2"/>
  <c r="Z4" i="2"/>
  <c r="W4" i="2"/>
  <c r="P4" i="2"/>
  <c r="H4" i="2"/>
  <c r="AA3" i="2"/>
  <c r="Z3" i="2"/>
  <c r="W3" i="2"/>
  <c r="H1" i="2" s="1" a="1"/>
  <c r="H1" i="2" s="1"/>
  <c r="O5" i="1" a="1"/>
  <c r="O5" i="1" s="1"/>
  <c r="N5" i="1" a="1"/>
  <c r="N5" i="1" s="1"/>
  <c r="M5" i="1" a="1"/>
  <c r="M5" i="1" s="1"/>
  <c r="P8" i="1"/>
  <c r="G5" i="1" a="1"/>
  <c r="G5" i="1" s="1"/>
  <c r="F5" i="1" a="1"/>
  <c r="F5" i="1" s="1"/>
  <c r="E5" i="1" a="1"/>
  <c r="E5" i="1" s="1"/>
  <c r="H8" i="1"/>
  <c r="R6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3" i="1"/>
  <c r="Z4" i="1"/>
  <c r="AB4" i="1" s="1"/>
  <c r="Z5" i="1"/>
  <c r="AB5" i="1" s="1"/>
  <c r="Z6" i="1"/>
  <c r="AB6" i="1" s="1"/>
  <c r="Z7" i="1"/>
  <c r="AB7" i="1" s="1"/>
  <c r="Z8" i="1"/>
  <c r="AB8" i="1" s="1"/>
  <c r="Z9" i="1"/>
  <c r="AB9" i="1" s="1"/>
  <c r="Z10" i="1"/>
  <c r="AB10" i="1" s="1"/>
  <c r="Z11" i="1"/>
  <c r="AB11" i="1" s="1"/>
  <c r="Z12" i="1"/>
  <c r="AB12" i="1" s="1"/>
  <c r="Z13" i="1"/>
  <c r="AB13" i="1" s="1"/>
  <c r="Z14" i="1"/>
  <c r="AB14" i="1" s="1"/>
  <c r="Z15" i="1"/>
  <c r="AB15" i="1" s="1"/>
  <c r="Z16" i="1"/>
  <c r="AB16" i="1" s="1"/>
  <c r="Z17" i="1"/>
  <c r="AB17" i="1" s="1"/>
  <c r="Z18" i="1"/>
  <c r="AB18" i="1" s="1"/>
  <c r="Z19" i="1"/>
  <c r="AB19" i="1" s="1"/>
  <c r="Z20" i="1"/>
  <c r="AB20" i="1" s="1"/>
  <c r="Z21" i="1"/>
  <c r="AB21" i="1" s="1"/>
  <c r="Z22" i="1"/>
  <c r="AB22" i="1" s="1"/>
  <c r="Z23" i="1"/>
  <c r="AB23" i="1" s="1"/>
  <c r="Z24" i="1"/>
  <c r="AB24" i="1" s="1"/>
  <c r="Z25" i="1"/>
  <c r="AB25" i="1" s="1"/>
  <c r="Z26" i="1"/>
  <c r="AB26" i="1" s="1"/>
  <c r="Z27" i="1"/>
  <c r="AB27" i="1" s="1"/>
  <c r="Z28" i="1"/>
  <c r="AB28" i="1" s="1"/>
  <c r="Z3" i="1"/>
  <c r="AB3" i="1" s="1"/>
  <c r="AB19" i="2" l="1"/>
  <c r="AB4" i="2"/>
  <c r="AB3" i="2"/>
  <c r="AB17" i="2"/>
  <c r="AB21" i="2"/>
  <c r="AB16" i="2"/>
  <c r="AB20" i="2"/>
  <c r="AB5" i="2"/>
  <c r="AB9" i="2"/>
  <c r="AB24" i="2"/>
  <c r="P7" i="2"/>
  <c r="AB10" i="2"/>
  <c r="AB15" i="2"/>
  <c r="AB25" i="2"/>
  <c r="AB7" i="2"/>
  <c r="AB11" i="2"/>
  <c r="AB22" i="2"/>
  <c r="N9" i="2"/>
  <c r="AB12" i="2"/>
  <c r="AB27" i="2"/>
  <c r="P5" i="2"/>
  <c r="AB6" i="2"/>
  <c r="AB8" i="2"/>
  <c r="AB18" i="2"/>
  <c r="AB23" i="2"/>
  <c r="AB13" i="2"/>
  <c r="AB28" i="2"/>
  <c r="AB14" i="2"/>
  <c r="H5" i="2"/>
  <c r="H7" i="2"/>
  <c r="P6" i="2"/>
  <c r="M9" i="2"/>
  <c r="H6" i="2"/>
  <c r="N6" i="1" a="1"/>
  <c r="N6" i="1" s="1"/>
  <c r="O6" i="1" a="1"/>
  <c r="O6" i="1" s="1"/>
  <c r="O9" i="1" s="1"/>
  <c r="M6" i="1" a="1"/>
  <c r="M6" i="1" s="1"/>
  <c r="F6" i="1" a="1"/>
  <c r="F6" i="1" s="1"/>
  <c r="G6" i="1" a="1"/>
  <c r="G6" i="1" s="1"/>
  <c r="E6" i="1" a="1"/>
  <c r="E6" i="1" s="1"/>
  <c r="O7" i="1"/>
  <c r="N7" i="1"/>
  <c r="M7" i="1"/>
  <c r="P4" i="1"/>
  <c r="H4" i="1"/>
  <c r="F7" i="1"/>
  <c r="G7" i="1"/>
  <c r="E7" i="1"/>
  <c r="H7" i="1" s="1"/>
  <c r="W26" i="1"/>
  <c r="W25" i="1"/>
  <c r="W24" i="1"/>
  <c r="W23" i="1"/>
  <c r="W15" i="1"/>
  <c r="W11" i="1"/>
  <c r="W10" i="1"/>
  <c r="W9" i="1"/>
  <c r="W4" i="1"/>
  <c r="W3" i="1"/>
  <c r="R2" i="2" l="1" a="1"/>
  <c r="R2" i="2" s="1"/>
  <c r="P9" i="2"/>
  <c r="R8" i="2" a="1"/>
  <c r="R8" i="2" s="1"/>
  <c r="H1" i="1" a="1"/>
  <c r="H1" i="1" s="1"/>
  <c r="M9" i="1"/>
  <c r="P7" i="1"/>
  <c r="N9" i="1"/>
  <c r="P5" i="1"/>
  <c r="P6" i="1"/>
  <c r="H6" i="1"/>
  <c r="H5" i="1"/>
  <c r="R8" i="1" l="1" a="1"/>
  <c r="R8" i="1" s="1"/>
  <c r="R2" i="1" a="1"/>
  <c r="R2" i="1" s="1"/>
  <c r="P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<sst xmlns="http://schemas.openxmlformats.org/spreadsheetml/2006/main" count="8653" uniqueCount="70">
  <si>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</si>
  <si>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</si>
  <si>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</si>
  <si>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</si>
  <si>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</si>
  <si>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</si>
  <si>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</si>
  <si>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</si>
  <si>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</si>
  <si>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</si>
  <si>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</si>
  <si>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</si>
  <si>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</si>
  <si>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</si>
  <si>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</si>
  <si>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</si>
  <si>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</si>
  <si>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</si>
  <si>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</si>
  <si>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</si>
  <si>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小卦</t>
  </si>
  <si>
    <t>小boss</t>
  </si>
  <si>
    <t>大boss</t>
  </si>
  <si>
    <t>中boss</t>
  </si>
  <si>
    <t>奈良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</si>
  <si>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</si>
  <si>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</si>
  <si>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</si>
  <si>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</si>
  <si>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</si>
  <si>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</si>
  <si>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</si>
  <si>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</si>
  <si>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</si>
  <si>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</si>
  <si>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</si>
  <si>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</si>
  <si>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</si>
  <si>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</si>
  <si>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</si>
  <si>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</si>
  <si>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</si>
  <si>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</si>
  <si>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</si>
  <si>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</si>
  <si>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</si>
  <si>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</si>
  <si>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</si>
  <si>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</si>
  <si>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</si>
  <si>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</si>
  <si>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</si>
  <si>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</si>
  <si>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传送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</si>
  <si>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</si>
  <si>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</si>
  <si>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</si>
  <si>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</si>
  <si>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</si>
  <si>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</si>
  <si>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</si>
  <si>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</si>
  <si>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</si>
  <si>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</si>
  <si>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根据剩余粮草，调整占领的三级地个数，直至粮草小于144</t>
  </si>
  <si>
    <t>对路线进行最终微调</t>
  </si>
  <si>
    <t>粮草</t>
    <phoneticPr fontId="9" type="noConversion"/>
  </si>
  <si>
    <t>经验</t>
    <phoneticPr fontId="9" type="noConversion"/>
  </si>
  <si>
    <t>test1</t>
    <phoneticPr fontId="9" type="noConversion"/>
  </si>
  <si>
    <t>test2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</si>
</sst>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name val="Calibri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0" borderId="1" xfId="0" applyFont="1" applyBorder="1"/>
    <xf numFmtId="0" fontId="1" fillId="16" borderId="1" xfId="0" applyFont="1" applyFill="1" applyBorder="1"/>
    <xf numFmtId="0" fontId="0" fillId="3" borderId="2" xfId="0" applyFill="1" applyBorder="1" applyAlignment="1">
      <alignment vertical="top"/>
    </xf>
    <xf numFmtId="0" fontId="1" fillId="16" borderId="2" xfId="0" applyFont="1" applyFill="1" applyBorder="1"/>
    <xf numFmtId="0" fontId="1" fillId="4" borderId="1" xfId="0" applyFont="1" applyFill="1" applyBorder="1"/>
    <xf numFmtId="0" fontId="3" fillId="17" borderId="5" xfId="0" applyFont="1" applyFill="1" applyBorder="1"/>
    <xf numFmtId="0" fontId="1" fillId="18" borderId="6" xfId="0" applyFont="1" applyFill="1" applyBorder="1"/>
    <xf numFmtId="0" fontId="0" fillId="2" borderId="6" xfId="0" applyFill="1" applyBorder="1" applyAlignment="1">
      <alignment vertical="top"/>
    </xf>
    <xf numFmtId="0" fontId="0" fillId="2" borderId="8" xfId="0" applyFill="1" applyBorder="1" applyAlignment="1">
      <alignment vertical="top"/>
    </xf>
    <xf numFmtId="0" fontId="0" fillId="0" borderId="0" xfId="0" applyBorder="1"/>
    <xf numFmtId="0" fontId="0" fillId="0" borderId="9" xfId="0" applyBorder="1"/>
    <xf numFmtId="0" fontId="1" fillId="9" borderId="6" xfId="0" applyFont="1" applyFill="1" applyBorder="1"/>
    <xf numFmtId="0" fontId="0" fillId="3" borderId="6" xfId="0" applyFill="1" applyBorder="1" applyAlignment="1">
      <alignment vertical="top"/>
    </xf>
    <xf numFmtId="0" fontId="0" fillId="4" borderId="6" xfId="0" applyFill="1" applyBorder="1" applyAlignment="1">
      <alignment vertical="top"/>
    </xf>
    <xf numFmtId="0" fontId="1" fillId="11" borderId="6" xfId="0" applyFont="1" applyFill="1" applyBorder="1"/>
    <xf numFmtId="0" fontId="2" fillId="4" borderId="6" xfId="0" applyFont="1" applyFill="1" applyBorder="1" applyAlignment="1">
      <alignment vertical="top"/>
    </xf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4" fillId="19" borderId="1" xfId="0" applyFont="1" applyFill="1" applyBorder="1"/>
    <xf numFmtId="0" fontId="4" fillId="19" borderId="7" xfId="0" applyFont="1" applyFill="1" applyBorder="1"/>
    <xf numFmtId="0" fontId="5" fillId="19" borderId="1" xfId="0" applyFont="1" applyFill="1" applyBorder="1"/>
    <xf numFmtId="0" fontId="5" fillId="19" borderId="7" xfId="0" applyFont="1" applyFill="1" applyBorder="1"/>
    <xf numFmtId="0" fontId="0" fillId="19" borderId="1" xfId="0" applyFill="1" applyBorder="1"/>
    <xf numFmtId="0" fontId="0" fillId="19" borderId="7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9" borderId="23" xfId="0" applyFont="1" applyFill="1" applyBorder="1"/>
    <xf numFmtId="0" fontId="4" fillId="20" borderId="23" xfId="0" applyFont="1" applyFill="1" applyBorder="1"/>
    <xf numFmtId="0" fontId="4" fillId="20" borderId="1" xfId="0" applyFont="1" applyFill="1" applyBorder="1"/>
    <xf numFmtId="0" fontId="0" fillId="0" borderId="16" xfId="0" applyBorder="1" applyAlignment="1">
      <alignment wrapText="1"/>
    </xf>
    <xf numFmtId="0" fontId="0" fillId="0" borderId="16" xfId="0" applyBorder="1"/>
    <xf numFmtId="0" fontId="0" fillId="20" borderId="1" xfId="0" applyFill="1" applyBorder="1"/>
    <xf numFmtId="0" fontId="0" fillId="0" borderId="1" xfId="0" applyFill="1" applyBorder="1"/>
    <xf numFmtId="0" fontId="6" fillId="20" borderId="1" xfId="0" applyFont="1" applyFill="1" applyBorder="1"/>
    <xf numFmtId="0" fontId="8" fillId="19" borderId="7" xfId="0" applyFont="1" applyFill="1" applyBorder="1"/>
    <xf numFmtId="0" fontId="0" fillId="0" borderId="19" xfId="0" applyBorder="1"/>
    <xf numFmtId="0" fontId="7" fillId="0" borderId="0" xfId="0" applyFont="1" applyBorder="1"/>
    <xf numFmtId="0" fontId="0" fillId="0" borderId="7" xfId="0" applyFill="1" applyBorder="1"/>
    <xf numFmtId="0" fontId="0" fillId="20" borderId="19" xfId="0" applyFill="1" applyBorder="1"/>
    <xf numFmtId="0" fontId="0" fillId="0" borderId="7" xfId="0" applyBorder="1"/>
    <xf numFmtId="0" fontId="6" fillId="0" borderId="0" xfId="0" applyFont="1" applyBorder="1"/>
    <xf numFmtId="0" fontId="0" fillId="0" borderId="24" xfId="0" applyBorder="1"/>
    <xf numFmtId="0" fontId="0" fillId="0" borderId="25" xfId="0" applyBorder="1"/>
    <xf numFmtId="0" fontId="1" fillId="17" borderId="1" xfId="0" applyFont="1" applyFill="1" applyBorder="1"/>
    <xf numFmtId="0" fontId="6" fillId="19" borderId="7" xfId="0" applyFont="1" applyFill="1" applyBorder="1"/>
    <xf numFmtId="0" fontId="1" fillId="11" borderId="3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7" borderId="4" xfId="0" applyFont="1" applyFill="1" applyBorder="1" applyAlignment="1">
      <alignment horizontal="center" wrapText="1"/>
    </xf>
    <xf numFmtId="0" fontId="1" fillId="11" borderId="20" xfId="0" applyFont="1" applyFill="1" applyBorder="1" applyAlignment="1">
      <alignment horizontal="center"/>
    </xf>
    <xf numFmtId="0" fontId="1" fillId="11" borderId="21" xfId="0" applyFont="1" applyFill="1" applyBorder="1" applyAlignment="1">
      <alignment horizontal="center"/>
    </xf>
    <xf numFmtId="0" fontId="1" fillId="11" borderId="22" xfId="0" applyFont="1" applyFill="1" applyBorder="1" applyAlignment="1">
      <alignment horizontal="center"/>
    </xf>
    <xf numFmtId="0" fontId="1" fillId="20" borderId="6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4" fillId="19" borderId="17" xfId="0" applyFont="1" applyFill="1" applyBorder="1" applyAlignment="1">
      <alignment horizontal="center"/>
    </xf>
    <xf numFmtId="0" fontId="4" fillId="19" borderId="18" xfId="0" applyFont="1" applyFill="1" applyBorder="1" applyAlignment="1">
      <alignment horizontal="center"/>
    </xf>
    <xf numFmtId="0" fontId="1" fillId="20" borderId="14" xfId="0" applyFont="1" applyFill="1" applyBorder="1" applyAlignment="1">
      <alignment horizontal="center"/>
    </xf>
    <xf numFmtId="0" fontId="1" fillId="20" borderId="15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19" borderId="7" xfId="0" applyFont="1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2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93A9-21A0-43D7-801F-B5E4544CAA21}">
  <dimension ref="A1:AB100"/>
  <sheetViews>
    <sheetView workbookViewId="0">
      <selection activeCell="Z8" sqref="Z8"/>
    </sheetView>
  </sheetViews>
  <sheetFormatPr defaultRowHeight="14.4"/>
  <sheetData>
    <row r="1" spans="1:28" ht="15.6">
      <c r="A1" s="70" t="s">
        <v>30</v>
      </c>
      <c r="B1" s="71"/>
      <c r="C1" s="71"/>
      <c r="D1" s="71"/>
      <c r="E1" s="71"/>
      <c r="F1" s="72" t="s">
        <v>3</v>
      </c>
      <c r="G1" s="72"/>
      <c r="H1" s="27" cm="1">
        <f t="array" ref="H1">SUM(VLOOKUP(A4:C100,$T$3:$W$36,4,FALSE))+H4*10-H8*50</f>
        <v>2489.7752794047424</v>
      </c>
      <c r="I1" s="73" t="s">
        <v>41</v>
      </c>
      <c r="J1" s="74"/>
      <c r="K1" s="74"/>
      <c r="L1" s="74"/>
      <c r="M1" s="74"/>
      <c r="N1" s="74"/>
      <c r="O1" s="74"/>
      <c r="P1" s="75"/>
      <c r="Q1" s="73" t="s">
        <v>48</v>
      </c>
      <c r="R1" s="74"/>
      <c r="S1" s="74"/>
      <c r="T1" s="74"/>
      <c r="U1" s="74"/>
      <c r="V1" s="74"/>
      <c r="W1" s="74"/>
      <c r="X1" s="74"/>
      <c r="Y1" s="74"/>
      <c r="Z1" s="74"/>
      <c r="AA1" s="74"/>
      <c r="AB1" s="75"/>
    </row>
    <row r="2" spans="1:28" ht="28.8">
      <c r="A2" s="76" t="s">
        <v>35</v>
      </c>
      <c r="B2" s="77"/>
      <c r="C2" s="77"/>
      <c r="D2" s="78" t="s">
        <v>37</v>
      </c>
      <c r="E2" s="79"/>
      <c r="F2" s="79"/>
      <c r="G2" s="79"/>
      <c r="H2" s="80"/>
      <c r="I2" s="81" t="s">
        <v>35</v>
      </c>
      <c r="J2" s="82"/>
      <c r="K2" s="82"/>
      <c r="L2" s="83" t="s">
        <v>37</v>
      </c>
      <c r="M2" s="83"/>
      <c r="N2" s="83"/>
      <c r="O2" s="83"/>
      <c r="P2" s="84"/>
      <c r="Q2" s="60" t="s">
        <v>43</v>
      </c>
      <c r="R2" s="61" cm="1">
        <f t="array" ref="R2">SUM(V3:V28*AB3:AB28)+H6+P6+R4*500</f>
        <v>65125</v>
      </c>
      <c r="S2" s="31"/>
      <c r="T2" s="1" t="s">
        <v>0</v>
      </c>
      <c r="U2" s="1" t="s">
        <v>1</v>
      </c>
      <c r="V2" s="1" t="s">
        <v>2</v>
      </c>
      <c r="W2" s="54" t="s">
        <v>3</v>
      </c>
      <c r="X2" s="56" t="s">
        <v>44</v>
      </c>
      <c r="Y2" s="56" t="s">
        <v>56</v>
      </c>
      <c r="Z2" s="57" t="s">
        <v>45</v>
      </c>
      <c r="AA2" s="57" t="s">
        <v>46</v>
      </c>
      <c r="AB2" s="62" t="s">
        <v>47</v>
      </c>
    </row>
    <row r="3" spans="1:28">
      <c r="A3" s="28" t="s">
        <v>31</v>
      </c>
      <c r="B3" s="68" t="s">
        <v>32</v>
      </c>
      <c r="C3" s="20" t="s">
        <v>33</v>
      </c>
      <c r="D3" s="43"/>
      <c r="E3" s="28" t="s">
        <v>31</v>
      </c>
      <c r="F3" s="68" t="s">
        <v>32</v>
      </c>
      <c r="G3" s="20" t="s">
        <v>33</v>
      </c>
      <c r="H3" s="44" t="s">
        <v>36</v>
      </c>
      <c r="I3" s="28" t="s">
        <v>31</v>
      </c>
      <c r="J3" s="68" t="s">
        <v>32</v>
      </c>
      <c r="K3" s="20" t="s">
        <v>33</v>
      </c>
      <c r="L3" s="43"/>
      <c r="M3" s="28" t="s">
        <v>31</v>
      </c>
      <c r="N3" s="68" t="s">
        <v>32</v>
      </c>
      <c r="O3" s="20" t="s">
        <v>33</v>
      </c>
      <c r="P3" s="44" t="s">
        <v>36</v>
      </c>
      <c r="Q3" s="63" t="s">
        <v>49</v>
      </c>
      <c r="R3" s="31">
        <v>91</v>
      </c>
      <c r="S3" s="31"/>
      <c r="T3" s="2" t="s">
        <v>4</v>
      </c>
      <c r="U3" s="1">
        <v>150</v>
      </c>
      <c r="V3" s="1">
        <v>35</v>
      </c>
      <c r="W3" s="55">
        <f>U3-V3/0.330882</f>
        <v>44.222109392472248</v>
      </c>
      <c r="X3" s="56"/>
      <c r="Y3" s="56">
        <v>10</v>
      </c>
      <c r="Z3" s="1">
        <f>COUNTIF($A$4:$C$100,T3)</f>
        <v>6</v>
      </c>
      <c r="AA3" s="1">
        <f>COUNTIF($I$4:$K$100,T3)</f>
        <v>4</v>
      </c>
      <c r="AB3" s="64">
        <f>Y3-Z3-AA3</f>
        <v>0</v>
      </c>
    </row>
    <row r="4" spans="1:28">
      <c r="A4" s="2" t="s">
        <v>4</v>
      </c>
      <c r="B4" s="15" t="s">
        <v>17</v>
      </c>
      <c r="C4" s="3" t="s">
        <v>5</v>
      </c>
      <c r="D4" s="53" t="s">
        <v>34</v>
      </c>
      <c r="E4" s="49">
        <v>5</v>
      </c>
      <c r="F4" s="49">
        <v>0</v>
      </c>
      <c r="G4" s="49">
        <v>2</v>
      </c>
      <c r="H4" s="46">
        <f>SUM(E4:G4)</f>
        <v>7</v>
      </c>
      <c r="I4" s="1" t="s">
        <v>27</v>
      </c>
      <c r="J4" s="15" t="s">
        <v>17</v>
      </c>
      <c r="K4" s="1" t="s">
        <v>27</v>
      </c>
      <c r="L4" s="53" t="s">
        <v>34</v>
      </c>
      <c r="M4" s="49">
        <v>0</v>
      </c>
      <c r="N4" s="49">
        <v>9</v>
      </c>
      <c r="O4" s="49">
        <v>0</v>
      </c>
      <c r="P4" s="46">
        <f>SUM(M4:O4)</f>
        <v>9</v>
      </c>
      <c r="Q4" s="63" t="s">
        <v>50</v>
      </c>
      <c r="R4" s="50">
        <v>14</v>
      </c>
      <c r="S4" s="31"/>
      <c r="T4" s="3" t="s">
        <v>5</v>
      </c>
      <c r="U4" s="1">
        <v>160</v>
      </c>
      <c r="V4" s="1">
        <v>40</v>
      </c>
      <c r="W4" s="55">
        <f t="shared" ref="W4" si="0">U4-V4/0.330882</f>
        <v>39.110982162825422</v>
      </c>
      <c r="X4" s="56"/>
      <c r="Y4" s="56">
        <v>54</v>
      </c>
      <c r="Z4" s="1">
        <f t="shared" ref="Z4:Z28" si="1">COUNTIF($A$4:$C$100,T4)</f>
        <v>13</v>
      </c>
      <c r="AA4" s="1">
        <f t="shared" ref="AA4:AA28" si="2">COUNTIF($I$4:$K$100,T4)</f>
        <v>41</v>
      </c>
      <c r="AB4" s="64">
        <f t="shared" ref="AB4:AB28" si="3">Y4-Z4-AA4</f>
        <v>0</v>
      </c>
    </row>
    <row r="5" spans="1:28">
      <c r="A5" s="2" t="s">
        <v>4</v>
      </c>
      <c r="B5" s="3" t="s">
        <v>5</v>
      </c>
      <c r="C5" s="16" t="s">
        <v>18</v>
      </c>
      <c r="D5" s="43" t="s">
        <v>38</v>
      </c>
      <c r="E5" s="45" cm="1">
        <f t="array" ref="E5">(SUM(VLOOKUP(A4:A100,$T$3:$W$41,2,FALSE))+E4*10)-E8*50</f>
        <v>5830</v>
      </c>
      <c r="F5" s="45" cm="1">
        <f t="array" ref="F5">(SUM(VLOOKUP(B4:B100,$T$3:$W$41,2,FALSE))+F4*10)-F8*50</f>
        <v>850</v>
      </c>
      <c r="G5" s="45" cm="1">
        <f t="array" ref="G5">(SUM(VLOOKUP(C4:C100,$T$3:$W$41,2,FALSE))+G4*10)-G8*50</f>
        <v>5930</v>
      </c>
      <c r="H5" s="69">
        <f t="shared" ref="H5:H8" si="4">SUM(E5:G5)</f>
        <v>12610</v>
      </c>
      <c r="I5" s="1" t="s">
        <v>27</v>
      </c>
      <c r="J5" s="3" t="s">
        <v>5</v>
      </c>
      <c r="K5" s="1" t="s">
        <v>27</v>
      </c>
      <c r="L5" s="43" t="s">
        <v>38</v>
      </c>
      <c r="M5" s="45" cm="1">
        <f t="array" ref="M5">(SUM(VLOOKUP(I4:I100,$T$3:$W$41,2,FALSE))+M4*10)*0.8-M8*40</f>
        <v>0</v>
      </c>
      <c r="N5" s="45" cm="1">
        <f t="array" ref="N5">(SUM(VLOOKUP(J4:J100,$T$3:$W$41,2,FALSE))+N4*10)*0.8-N8*40</f>
        <v>6280</v>
      </c>
      <c r="O5" s="45" cm="1">
        <f t="array" ref="O5">(SUM(VLOOKUP(K4:K100,$T$3:$W$41,2,FALSE))+O4*10)*0.8-O8*40</f>
        <v>0</v>
      </c>
      <c r="P5" s="69">
        <f t="shared" ref="P5:P8" si="5">SUM(M5:O5)</f>
        <v>6280</v>
      </c>
      <c r="Q5" s="63" t="s">
        <v>51</v>
      </c>
      <c r="R5" s="31">
        <v>6000</v>
      </c>
      <c r="S5" s="31"/>
      <c r="T5" s="4" t="s">
        <v>6</v>
      </c>
      <c r="U5" s="1">
        <v>170</v>
      </c>
      <c r="V5" s="1">
        <v>45</v>
      </c>
      <c r="W5" s="55">
        <v>34</v>
      </c>
      <c r="X5" s="58"/>
      <c r="Y5" s="56">
        <v>233</v>
      </c>
      <c r="Z5" s="1">
        <f t="shared" si="1"/>
        <v>48</v>
      </c>
      <c r="AA5" s="1">
        <f t="shared" si="2"/>
        <v>0</v>
      </c>
      <c r="AB5" s="64">
        <f t="shared" si="3"/>
        <v>185</v>
      </c>
    </row>
    <row r="6" spans="1:28">
      <c r="A6" s="2" t="s">
        <v>4</v>
      </c>
      <c r="B6" s="3" t="s">
        <v>5</v>
      </c>
      <c r="C6" s="3" t="s">
        <v>5</v>
      </c>
      <c r="D6" s="43" t="s">
        <v>39</v>
      </c>
      <c r="E6" s="45" cm="1">
        <f t="array" ref="E6">(SUM(VLOOKUP(A4:A100,$T$3:$W$41,3,FALSE)))</f>
        <v>1820</v>
      </c>
      <c r="F6" s="45" cm="1">
        <f t="array" ref="F6">(SUM(VLOOKUP(B4:B100,$T$3:$W$41,3,FALSE)))</f>
        <v>230</v>
      </c>
      <c r="G6" s="45" cm="1">
        <f t="array" ref="G6">(SUM(VLOOKUP(C4:C100,$T$3:$W$41,3,FALSE)))</f>
        <v>2290</v>
      </c>
      <c r="H6" s="59">
        <f t="shared" si="4"/>
        <v>4340</v>
      </c>
      <c r="I6" s="1" t="s">
        <v>27</v>
      </c>
      <c r="J6" s="3" t="s">
        <v>5</v>
      </c>
      <c r="K6" s="1" t="s">
        <v>27</v>
      </c>
      <c r="L6" s="43" t="s">
        <v>39</v>
      </c>
      <c r="M6" s="45" cm="1">
        <f t="array" ref="M6">(SUM(VLOOKUP(I4:I100,$T$3:$W$41,3,FALSE)))</f>
        <v>0</v>
      </c>
      <c r="N6" s="45" cm="1">
        <f t="array" ref="N6">(SUM(VLOOKUP(J4:J100,$T$3:$W$41,3,FALSE)))</f>
        <v>2290</v>
      </c>
      <c r="O6" s="45" cm="1">
        <f t="array" ref="O6">(SUM(VLOOKUP(K4:K100,$T$3:$W$41,3,FALSE)))</f>
        <v>0</v>
      </c>
      <c r="P6" s="59">
        <f t="shared" si="5"/>
        <v>2290</v>
      </c>
      <c r="Q6" s="60" t="s">
        <v>52</v>
      </c>
      <c r="R6" s="31">
        <f>R3*1600-800+R5</f>
        <v>150800</v>
      </c>
      <c r="S6" s="31"/>
      <c r="T6" s="5" t="s">
        <v>7</v>
      </c>
      <c r="U6" s="1">
        <v>180</v>
      </c>
      <c r="V6" s="1">
        <v>50</v>
      </c>
      <c r="W6" s="55">
        <v>36</v>
      </c>
      <c r="X6" s="56">
        <v>265</v>
      </c>
      <c r="Y6" s="56">
        <v>265</v>
      </c>
      <c r="Z6" s="1">
        <f t="shared" si="1"/>
        <v>0</v>
      </c>
      <c r="AA6" s="1">
        <f t="shared" si="2"/>
        <v>0</v>
      </c>
      <c r="AB6" s="64">
        <f t="shared" si="3"/>
        <v>265</v>
      </c>
    </row>
    <row r="7" spans="1:28">
      <c r="A7" s="2" t="s">
        <v>4</v>
      </c>
      <c r="B7" s="3" t="s">
        <v>5</v>
      </c>
      <c r="C7" s="23" t="s">
        <v>29</v>
      </c>
      <c r="D7" s="43" t="s">
        <v>40</v>
      </c>
      <c r="E7" s="45">
        <f>COUNTIF(A4:A100,"&lt;&gt;空")</f>
        <v>36</v>
      </c>
      <c r="F7" s="45">
        <f>COUNTIF(B4:B100,"&lt;&gt;空")</f>
        <v>6</v>
      </c>
      <c r="G7" s="45">
        <f>COUNTIF(C4:C100,"&lt;&gt;空")</f>
        <v>40</v>
      </c>
      <c r="H7" s="46">
        <f t="shared" si="4"/>
        <v>82</v>
      </c>
      <c r="I7" s="1" t="s">
        <v>27</v>
      </c>
      <c r="J7" s="3" t="s">
        <v>5</v>
      </c>
      <c r="K7" s="1" t="s">
        <v>27</v>
      </c>
      <c r="L7" s="43" t="s">
        <v>40</v>
      </c>
      <c r="M7" s="45">
        <f>COUNTIF(I4:I100,"&lt;&gt;空")</f>
        <v>0</v>
      </c>
      <c r="N7" s="45">
        <f>COUNTIF(J4:J100,"&lt;&gt;空")</f>
        <v>63</v>
      </c>
      <c r="O7" s="45">
        <f>COUNTIF(K4:K100,"&lt;&gt;空")</f>
        <v>0</v>
      </c>
      <c r="P7" s="46">
        <f t="shared" si="5"/>
        <v>63</v>
      </c>
      <c r="Q7" s="63" t="s">
        <v>55</v>
      </c>
      <c r="R7" s="31">
        <v>15</v>
      </c>
      <c r="S7" s="31"/>
      <c r="T7" s="6" t="s">
        <v>8</v>
      </c>
      <c r="U7" s="1">
        <v>190</v>
      </c>
      <c r="V7" s="1">
        <v>55</v>
      </c>
      <c r="W7" s="55">
        <v>38</v>
      </c>
      <c r="X7" s="56">
        <v>234</v>
      </c>
      <c r="Y7" s="56">
        <v>234</v>
      </c>
      <c r="Z7" s="1">
        <f t="shared" si="1"/>
        <v>0</v>
      </c>
      <c r="AA7" s="1">
        <f t="shared" si="2"/>
        <v>0</v>
      </c>
      <c r="AB7" s="64">
        <f t="shared" si="3"/>
        <v>234</v>
      </c>
    </row>
    <row r="8" spans="1:28">
      <c r="A8" s="2" t="s">
        <v>4</v>
      </c>
      <c r="B8" s="3" t="s">
        <v>5</v>
      </c>
      <c r="C8" s="3" t="s">
        <v>5</v>
      </c>
      <c r="D8" s="52" t="s">
        <v>53</v>
      </c>
      <c r="E8" s="51">
        <v>1</v>
      </c>
      <c r="F8" s="51">
        <v>0</v>
      </c>
      <c r="G8" s="51">
        <v>0</v>
      </c>
      <c r="H8" s="46">
        <f t="shared" si="4"/>
        <v>1</v>
      </c>
      <c r="I8" s="1" t="s">
        <v>27</v>
      </c>
      <c r="J8" s="3" t="s">
        <v>5</v>
      </c>
      <c r="K8" s="1" t="s">
        <v>27</v>
      </c>
      <c r="L8" s="52" t="s">
        <v>53</v>
      </c>
      <c r="M8" s="51">
        <v>0</v>
      </c>
      <c r="N8" s="51">
        <v>2</v>
      </c>
      <c r="O8" s="51">
        <v>0</v>
      </c>
      <c r="P8" s="46">
        <f t="shared" si="5"/>
        <v>2</v>
      </c>
      <c r="Q8" s="60" t="s">
        <v>54</v>
      </c>
      <c r="R8" s="65" cm="1">
        <f t="array" ref="R8">R6-P5-H5-SUM(U3:U28*AB3:AB28)*0.8-R7*8</f>
        <v>62</v>
      </c>
      <c r="S8" s="31"/>
      <c r="T8" s="7" t="s">
        <v>9</v>
      </c>
      <c r="U8" s="1">
        <v>200</v>
      </c>
      <c r="V8" s="1">
        <v>60</v>
      </c>
      <c r="W8" s="55"/>
      <c r="X8" s="56">
        <v>194</v>
      </c>
      <c r="Y8" s="56">
        <v>194</v>
      </c>
      <c r="Z8" s="1">
        <f t="shared" si="1"/>
        <v>0</v>
      </c>
      <c r="AA8" s="1">
        <f t="shared" si="2"/>
        <v>0</v>
      </c>
      <c r="AB8" s="64">
        <f t="shared" si="3"/>
        <v>194</v>
      </c>
    </row>
    <row r="9" spans="1:28">
      <c r="A9" s="2" t="s">
        <v>4</v>
      </c>
      <c r="B9" s="3" t="s">
        <v>5</v>
      </c>
      <c r="C9" s="3" t="s">
        <v>5</v>
      </c>
      <c r="D9" s="31"/>
      <c r="E9" s="31"/>
      <c r="F9" s="31"/>
      <c r="G9" s="31"/>
      <c r="H9" s="32"/>
      <c r="I9" s="1" t="s">
        <v>27</v>
      </c>
      <c r="J9" s="15" t="s">
        <v>17</v>
      </c>
      <c r="K9" s="1" t="s">
        <v>27</v>
      </c>
      <c r="L9" s="43" t="s">
        <v>42</v>
      </c>
      <c r="M9" s="47" t="e">
        <f>M6/M5</f>
        <v>#DIV/0!</v>
      </c>
      <c r="N9" s="47">
        <f>N6/N5</f>
        <v>0.36464968152866239</v>
      </c>
      <c r="O9" s="47" t="e">
        <f>O6/O5</f>
        <v>#DIV/0!</v>
      </c>
      <c r="P9" s="48">
        <f>P6/P5</f>
        <v>0.36464968152866239</v>
      </c>
      <c r="Q9" s="60"/>
      <c r="R9" s="31"/>
      <c r="S9" s="31"/>
      <c r="T9" s="8" t="s">
        <v>10</v>
      </c>
      <c r="U9" s="1">
        <v>150</v>
      </c>
      <c r="V9" s="1">
        <v>35</v>
      </c>
      <c r="W9" s="55">
        <f t="shared" ref="W9:W11" si="6">U9-V9/0.330882</f>
        <v>44.222109392472248</v>
      </c>
      <c r="X9" s="56">
        <v>3</v>
      </c>
      <c r="Y9" s="56">
        <v>0</v>
      </c>
      <c r="Z9" s="1">
        <f t="shared" si="1"/>
        <v>0</v>
      </c>
      <c r="AA9" s="1">
        <f t="shared" si="2"/>
        <v>0</v>
      </c>
      <c r="AB9" s="64">
        <f t="shared" si="3"/>
        <v>0</v>
      </c>
    </row>
    <row r="10" spans="1:28">
      <c r="A10" s="1" t="s">
        <v>27</v>
      </c>
      <c r="B10" s="1" t="s">
        <v>27</v>
      </c>
      <c r="C10" s="3" t="s">
        <v>5</v>
      </c>
      <c r="D10" s="31"/>
      <c r="E10" s="31"/>
      <c r="F10" s="31"/>
      <c r="G10" s="31"/>
      <c r="H10" s="32"/>
      <c r="I10" s="1" t="s">
        <v>27</v>
      </c>
      <c r="J10" s="3" t="s">
        <v>5</v>
      </c>
      <c r="K10" s="1" t="s">
        <v>27</v>
      </c>
      <c r="L10" s="31"/>
      <c r="M10" s="31"/>
      <c r="N10" s="31"/>
      <c r="O10" s="31"/>
      <c r="P10" s="32"/>
      <c r="Q10" s="60"/>
      <c r="R10" s="31"/>
      <c r="S10" s="31"/>
      <c r="T10" s="9" t="s">
        <v>11</v>
      </c>
      <c r="U10" s="1">
        <v>150</v>
      </c>
      <c r="V10" s="1">
        <v>40</v>
      </c>
      <c r="W10" s="55">
        <f t="shared" si="6"/>
        <v>29.110982162825422</v>
      </c>
      <c r="X10" s="56">
        <v>7</v>
      </c>
      <c r="Y10" s="56">
        <v>3</v>
      </c>
      <c r="Z10" s="1">
        <f t="shared" si="1"/>
        <v>0</v>
      </c>
      <c r="AA10" s="1">
        <f t="shared" si="2"/>
        <v>3</v>
      </c>
      <c r="AB10" s="64">
        <f t="shared" si="3"/>
        <v>0</v>
      </c>
    </row>
    <row r="11" spans="1:28">
      <c r="A11" s="1" t="s">
        <v>27</v>
      </c>
      <c r="B11" s="1" t="s">
        <v>27</v>
      </c>
      <c r="C11" s="3" t="s">
        <v>5</v>
      </c>
      <c r="D11" s="31"/>
      <c r="E11" s="31"/>
      <c r="F11" s="31"/>
      <c r="G11" s="31"/>
      <c r="H11" s="32"/>
      <c r="I11" s="1" t="s">
        <v>27</v>
      </c>
      <c r="J11" s="16" t="s">
        <v>28</v>
      </c>
      <c r="K11" s="1" t="s">
        <v>27</v>
      </c>
      <c r="L11" s="31"/>
      <c r="M11" s="31"/>
      <c r="N11" s="31"/>
      <c r="O11" s="31"/>
      <c r="P11" s="32">
        <f>H5+P5</f>
        <v>18890</v>
      </c>
      <c r="Q11" s="60"/>
      <c r="R11" s="31"/>
      <c r="S11" s="31"/>
      <c r="T11" s="10" t="s">
        <v>12</v>
      </c>
      <c r="U11" s="1">
        <v>150</v>
      </c>
      <c r="V11" s="1">
        <v>45</v>
      </c>
      <c r="W11" s="55">
        <f t="shared" si="6"/>
        <v>13.999854933178597</v>
      </c>
      <c r="X11" s="56">
        <v>6</v>
      </c>
      <c r="Y11" s="56">
        <v>6</v>
      </c>
      <c r="Z11" s="1">
        <f t="shared" si="1"/>
        <v>1</v>
      </c>
      <c r="AA11" s="1">
        <f t="shared" si="2"/>
        <v>0</v>
      </c>
      <c r="AB11" s="64">
        <f t="shared" si="3"/>
        <v>5</v>
      </c>
    </row>
    <row r="12" spans="1:28">
      <c r="A12" s="1" t="s">
        <v>27</v>
      </c>
      <c r="B12" s="1" t="s">
        <v>27</v>
      </c>
      <c r="C12" s="3" t="s">
        <v>5</v>
      </c>
      <c r="D12" s="31"/>
      <c r="E12" s="31"/>
      <c r="F12" s="31"/>
      <c r="G12" s="31"/>
      <c r="H12" s="32"/>
      <c r="I12" s="1" t="s">
        <v>27</v>
      </c>
      <c r="J12" s="3" t="s">
        <v>5</v>
      </c>
      <c r="K12" s="1" t="s">
        <v>27</v>
      </c>
      <c r="L12" s="31"/>
      <c r="M12" s="31"/>
      <c r="N12" s="31"/>
      <c r="O12" s="31"/>
      <c r="P12" s="32">
        <f>H6+P6</f>
        <v>6630</v>
      </c>
      <c r="Q12" s="60"/>
      <c r="R12" s="31"/>
      <c r="S12" s="31"/>
      <c r="T12" s="11" t="s">
        <v>13</v>
      </c>
      <c r="U12" s="1">
        <v>150</v>
      </c>
      <c r="V12" s="1">
        <v>50</v>
      </c>
      <c r="W12" s="55"/>
      <c r="X12" s="56">
        <v>4</v>
      </c>
      <c r="Y12" s="56">
        <v>4</v>
      </c>
      <c r="Z12" s="1">
        <f t="shared" si="1"/>
        <v>0</v>
      </c>
      <c r="AA12" s="1">
        <f t="shared" si="2"/>
        <v>0</v>
      </c>
      <c r="AB12" s="64">
        <f t="shared" si="3"/>
        <v>4</v>
      </c>
    </row>
    <row r="13" spans="1:28">
      <c r="A13" s="1" t="s">
        <v>27</v>
      </c>
      <c r="B13" s="1" t="s">
        <v>27</v>
      </c>
      <c r="C13" s="1" t="s">
        <v>27</v>
      </c>
      <c r="D13" s="31"/>
      <c r="E13" s="31"/>
      <c r="F13" s="31"/>
      <c r="G13" s="31"/>
      <c r="H13" s="32"/>
      <c r="I13" s="1" t="s">
        <v>27</v>
      </c>
      <c r="J13" s="3" t="s">
        <v>5</v>
      </c>
      <c r="K13" s="1" t="s">
        <v>27</v>
      </c>
      <c r="L13" s="31"/>
      <c r="M13" s="31"/>
      <c r="N13" s="31"/>
      <c r="O13" s="31"/>
      <c r="P13" s="32"/>
      <c r="Q13" s="60"/>
      <c r="R13" s="31"/>
      <c r="S13" s="31"/>
      <c r="T13" s="12" t="s">
        <v>14</v>
      </c>
      <c r="U13" s="1">
        <v>150</v>
      </c>
      <c r="V13" s="1">
        <v>55</v>
      </c>
      <c r="W13" s="55"/>
      <c r="X13" s="56">
        <v>3</v>
      </c>
      <c r="Y13" s="56">
        <v>3</v>
      </c>
      <c r="Z13" s="1">
        <f t="shared" si="1"/>
        <v>0</v>
      </c>
      <c r="AA13" s="1">
        <f t="shared" si="2"/>
        <v>0</v>
      </c>
      <c r="AB13" s="64">
        <f t="shared" si="3"/>
        <v>3</v>
      </c>
    </row>
    <row r="14" spans="1:28">
      <c r="A14" s="3" t="s">
        <v>5</v>
      </c>
      <c r="B14" s="1" t="s">
        <v>27</v>
      </c>
      <c r="C14" s="4" t="s">
        <v>6</v>
      </c>
      <c r="D14" s="31"/>
      <c r="E14" s="31"/>
      <c r="F14" s="31"/>
      <c r="G14" s="31"/>
      <c r="H14" s="32"/>
      <c r="I14" s="1" t="s">
        <v>27</v>
      </c>
      <c r="J14" s="3" t="s">
        <v>5</v>
      </c>
      <c r="K14" s="1" t="s">
        <v>27</v>
      </c>
      <c r="L14" s="31"/>
      <c r="M14" s="31"/>
      <c r="N14" s="31"/>
      <c r="O14" s="31"/>
      <c r="P14" s="32"/>
      <c r="Q14" s="60"/>
      <c r="R14" s="31"/>
      <c r="S14" s="31"/>
      <c r="T14" s="13" t="s">
        <v>15</v>
      </c>
      <c r="U14" s="1">
        <v>150</v>
      </c>
      <c r="V14" s="1">
        <v>60</v>
      </c>
      <c r="W14" s="55"/>
      <c r="X14" s="56">
        <v>1</v>
      </c>
      <c r="Y14" s="56">
        <v>1</v>
      </c>
      <c r="Z14" s="1">
        <f t="shared" si="1"/>
        <v>0</v>
      </c>
      <c r="AA14" s="1">
        <f t="shared" si="2"/>
        <v>0</v>
      </c>
      <c r="AB14" s="64">
        <f t="shared" si="3"/>
        <v>1</v>
      </c>
    </row>
    <row r="15" spans="1:28">
      <c r="A15" s="4" t="s">
        <v>6</v>
      </c>
      <c r="B15" s="1" t="s">
        <v>27</v>
      </c>
      <c r="C15" s="4" t="s">
        <v>6</v>
      </c>
      <c r="D15" s="31"/>
      <c r="E15" s="31"/>
      <c r="F15" s="31"/>
      <c r="G15" s="31"/>
      <c r="H15" s="32"/>
      <c r="I15" s="1" t="s">
        <v>27</v>
      </c>
      <c r="J15" s="3" t="s">
        <v>5</v>
      </c>
      <c r="K15" s="1" t="s">
        <v>27</v>
      </c>
      <c r="L15" s="31"/>
      <c r="M15" s="31"/>
      <c r="N15" s="31"/>
      <c r="O15" s="31"/>
      <c r="P15" s="32"/>
      <c r="Q15" s="60"/>
      <c r="R15" s="31"/>
      <c r="S15" s="31"/>
      <c r="T15" s="14" t="s">
        <v>16</v>
      </c>
      <c r="U15" s="1">
        <v>150</v>
      </c>
      <c r="V15" s="1">
        <v>35</v>
      </c>
      <c r="W15" s="55">
        <f t="shared" ref="W15" si="7">U15-V15/0.330882</f>
        <v>44.222109392472248</v>
      </c>
      <c r="X15" s="56"/>
      <c r="Y15" s="56">
        <v>0</v>
      </c>
      <c r="Z15" s="1">
        <f t="shared" si="1"/>
        <v>0</v>
      </c>
      <c r="AA15" s="1">
        <f t="shared" si="2"/>
        <v>0</v>
      </c>
      <c r="AB15" s="64">
        <f t="shared" si="3"/>
        <v>0</v>
      </c>
    </row>
    <row r="16" spans="1:28">
      <c r="A16" s="4" t="s">
        <v>6</v>
      </c>
      <c r="B16" s="1" t="s">
        <v>27</v>
      </c>
      <c r="C16" s="15" t="s">
        <v>17</v>
      </c>
      <c r="D16" s="31"/>
      <c r="E16" s="31"/>
      <c r="F16" s="31"/>
      <c r="G16" s="31"/>
      <c r="H16" s="32"/>
      <c r="I16" s="1" t="s">
        <v>27</v>
      </c>
      <c r="J16" s="2" t="s">
        <v>4</v>
      </c>
      <c r="K16" s="1" t="s">
        <v>27</v>
      </c>
      <c r="L16" s="31"/>
      <c r="M16" s="31"/>
      <c r="N16" s="31"/>
      <c r="O16" s="31"/>
      <c r="P16" s="32"/>
      <c r="Q16" s="60"/>
      <c r="R16" s="31"/>
      <c r="S16" s="31"/>
      <c r="T16" s="15" t="s">
        <v>17</v>
      </c>
      <c r="U16" s="1">
        <v>50</v>
      </c>
      <c r="V16" s="1">
        <v>30</v>
      </c>
      <c r="W16" s="55">
        <v>10</v>
      </c>
      <c r="X16" s="56">
        <v>40</v>
      </c>
      <c r="Y16" s="56">
        <v>39</v>
      </c>
      <c r="Z16" s="1">
        <f t="shared" si="1"/>
        <v>2</v>
      </c>
      <c r="AA16" s="1">
        <f t="shared" si="2"/>
        <v>13</v>
      </c>
      <c r="AB16" s="64">
        <f t="shared" si="3"/>
        <v>24</v>
      </c>
    </row>
    <row r="17" spans="1:28">
      <c r="A17" s="4" t="s">
        <v>6</v>
      </c>
      <c r="B17" s="1" t="s">
        <v>27</v>
      </c>
      <c r="C17" s="4" t="s">
        <v>6</v>
      </c>
      <c r="D17" s="31"/>
      <c r="E17" s="31"/>
      <c r="F17" s="31"/>
      <c r="G17" s="31"/>
      <c r="H17" s="32"/>
      <c r="I17" s="1" t="s">
        <v>27</v>
      </c>
      <c r="J17" s="15" t="s">
        <v>17</v>
      </c>
      <c r="K17" s="1" t="s">
        <v>27</v>
      </c>
      <c r="L17" s="31"/>
      <c r="M17" s="31"/>
      <c r="N17" s="31"/>
      <c r="O17" s="31"/>
      <c r="P17" s="32"/>
      <c r="Q17" s="60"/>
      <c r="R17" s="31"/>
      <c r="S17" s="31"/>
      <c r="T17" s="16" t="s">
        <v>18</v>
      </c>
      <c r="U17" s="1">
        <v>-150</v>
      </c>
      <c r="V17" s="1">
        <v>0</v>
      </c>
      <c r="W17" s="55">
        <v>10</v>
      </c>
      <c r="X17" s="56">
        <v>3</v>
      </c>
      <c r="Y17" s="56">
        <v>3</v>
      </c>
      <c r="Z17" s="1">
        <f t="shared" si="1"/>
        <v>3</v>
      </c>
      <c r="AA17" s="1">
        <f t="shared" si="2"/>
        <v>0</v>
      </c>
      <c r="AB17" s="64">
        <f t="shared" si="3"/>
        <v>0</v>
      </c>
    </row>
    <row r="18" spans="1:28">
      <c r="A18" s="17" t="s">
        <v>19</v>
      </c>
      <c r="B18" s="1" t="s">
        <v>27</v>
      </c>
      <c r="C18" s="4" t="s">
        <v>6</v>
      </c>
      <c r="D18" s="31"/>
      <c r="E18" s="31"/>
      <c r="F18" s="31"/>
      <c r="G18" s="31"/>
      <c r="H18" s="32"/>
      <c r="I18" s="1" t="s">
        <v>27</v>
      </c>
      <c r="J18" s="2" t="s">
        <v>4</v>
      </c>
      <c r="K18" s="1" t="s">
        <v>27</v>
      </c>
      <c r="L18" s="31"/>
      <c r="M18" s="31"/>
      <c r="N18" s="31"/>
      <c r="O18" s="31"/>
      <c r="P18" s="32"/>
      <c r="Q18" s="60"/>
      <c r="R18" s="31"/>
      <c r="S18" s="31"/>
      <c r="T18" s="17" t="s">
        <v>19</v>
      </c>
      <c r="U18" s="1">
        <v>250</v>
      </c>
      <c r="V18" s="1">
        <v>200</v>
      </c>
      <c r="W18" s="55"/>
      <c r="X18" s="56">
        <v>3</v>
      </c>
      <c r="Y18" s="56">
        <v>3</v>
      </c>
      <c r="Z18" s="1">
        <f t="shared" si="1"/>
        <v>3</v>
      </c>
      <c r="AA18" s="1">
        <f t="shared" si="2"/>
        <v>0</v>
      </c>
      <c r="AB18" s="64">
        <f t="shared" si="3"/>
        <v>0</v>
      </c>
    </row>
    <row r="19" spans="1:28">
      <c r="A19" s="4" t="s">
        <v>6</v>
      </c>
      <c r="B19" s="1" t="s">
        <v>27</v>
      </c>
      <c r="C19" s="4" t="s">
        <v>6</v>
      </c>
      <c r="D19" s="31"/>
      <c r="E19" s="31"/>
      <c r="F19" s="31"/>
      <c r="G19" s="31"/>
      <c r="H19" s="32"/>
      <c r="I19" s="1" t="s">
        <v>27</v>
      </c>
      <c r="J19" s="2" t="s">
        <v>4</v>
      </c>
      <c r="K19" s="1" t="s">
        <v>27</v>
      </c>
      <c r="L19" s="31"/>
      <c r="M19" s="31"/>
      <c r="N19" s="31"/>
      <c r="O19" s="31"/>
      <c r="P19" s="32"/>
      <c r="Q19" s="60"/>
      <c r="R19" s="31"/>
      <c r="S19" s="31"/>
      <c r="T19" s="17" t="s">
        <v>20</v>
      </c>
      <c r="U19" s="1">
        <v>170</v>
      </c>
      <c r="V19" s="1">
        <v>45</v>
      </c>
      <c r="W19" s="55"/>
      <c r="X19" s="56">
        <v>5</v>
      </c>
      <c r="Y19" s="56">
        <v>5</v>
      </c>
      <c r="Z19" s="1">
        <f t="shared" si="1"/>
        <v>5</v>
      </c>
      <c r="AA19" s="1">
        <f t="shared" si="2"/>
        <v>0</v>
      </c>
      <c r="AB19" s="64">
        <f t="shared" si="3"/>
        <v>0</v>
      </c>
    </row>
    <row r="20" spans="1:28">
      <c r="A20" s="4" t="s">
        <v>6</v>
      </c>
      <c r="B20" s="1" t="s">
        <v>27</v>
      </c>
      <c r="C20" s="17" t="s">
        <v>20</v>
      </c>
      <c r="D20" s="31"/>
      <c r="E20" s="31"/>
      <c r="F20" s="31"/>
      <c r="G20" s="31"/>
      <c r="H20" s="32"/>
      <c r="I20" s="1" t="s">
        <v>27</v>
      </c>
      <c r="J20" s="2" t="s">
        <v>4</v>
      </c>
      <c r="K20" s="1" t="s">
        <v>27</v>
      </c>
      <c r="L20" s="31"/>
      <c r="M20" s="31"/>
      <c r="N20" s="31"/>
      <c r="O20" s="31"/>
      <c r="P20" s="32"/>
      <c r="Q20" s="60"/>
      <c r="R20" s="31"/>
      <c r="S20" s="31"/>
      <c r="T20" s="18" t="s">
        <v>21</v>
      </c>
      <c r="U20" s="1">
        <v>250</v>
      </c>
      <c r="V20" s="1">
        <v>200</v>
      </c>
      <c r="W20" s="55"/>
      <c r="X20" s="56">
        <v>0</v>
      </c>
      <c r="Y20" s="56">
        <v>0</v>
      </c>
      <c r="Z20" s="1">
        <f t="shared" si="1"/>
        <v>0</v>
      </c>
      <c r="AA20" s="1">
        <f t="shared" si="2"/>
        <v>0</v>
      </c>
      <c r="AB20" s="64">
        <f t="shared" si="3"/>
        <v>0</v>
      </c>
    </row>
    <row r="21" spans="1:28">
      <c r="A21" s="4" t="s">
        <v>6</v>
      </c>
      <c r="B21" s="1" t="s">
        <v>27</v>
      </c>
      <c r="C21" s="4" t="s">
        <v>6</v>
      </c>
      <c r="D21" s="31"/>
      <c r="E21" s="31"/>
      <c r="F21" s="31"/>
      <c r="G21" s="31"/>
      <c r="H21" s="32"/>
      <c r="I21" s="1" t="s">
        <v>27</v>
      </c>
      <c r="J21" s="15" t="s">
        <v>17</v>
      </c>
      <c r="K21" s="1" t="s">
        <v>27</v>
      </c>
      <c r="L21" s="31"/>
      <c r="M21" s="31"/>
      <c r="N21" s="31"/>
      <c r="O21" s="31"/>
      <c r="P21" s="32"/>
      <c r="Q21" s="60"/>
      <c r="R21" s="31"/>
      <c r="S21" s="31"/>
      <c r="T21" s="19" t="s">
        <v>22</v>
      </c>
      <c r="U21" s="1">
        <v>250</v>
      </c>
      <c r="V21" s="1">
        <v>1000</v>
      </c>
      <c r="W21" s="55"/>
      <c r="X21" s="56">
        <v>2</v>
      </c>
      <c r="Y21" s="56">
        <v>2</v>
      </c>
      <c r="Z21" s="1">
        <f t="shared" si="1"/>
        <v>0</v>
      </c>
      <c r="AA21" s="1">
        <f t="shared" si="2"/>
        <v>0</v>
      </c>
      <c r="AB21" s="64">
        <f t="shared" si="3"/>
        <v>2</v>
      </c>
    </row>
    <row r="22" spans="1:28">
      <c r="A22" s="16" t="s">
        <v>18</v>
      </c>
      <c r="B22" s="1" t="s">
        <v>27</v>
      </c>
      <c r="C22" s="4" t="s">
        <v>6</v>
      </c>
      <c r="D22" s="31"/>
      <c r="E22" s="31"/>
      <c r="F22" s="31"/>
      <c r="G22" s="31"/>
      <c r="H22" s="32"/>
      <c r="I22" s="1" t="s">
        <v>27</v>
      </c>
      <c r="J22" s="1" t="s">
        <v>27</v>
      </c>
      <c r="K22" s="1" t="s">
        <v>27</v>
      </c>
      <c r="L22" s="31"/>
      <c r="M22" s="31"/>
      <c r="N22" s="31"/>
      <c r="O22" s="31"/>
      <c r="P22" s="32"/>
      <c r="Q22" s="60"/>
      <c r="R22" s="31"/>
      <c r="S22" s="31"/>
      <c r="T22" s="20" t="s">
        <v>23</v>
      </c>
      <c r="U22" s="1">
        <v>250</v>
      </c>
      <c r="V22" s="1">
        <v>500</v>
      </c>
      <c r="W22" s="55"/>
      <c r="X22" s="56">
        <v>2</v>
      </c>
      <c r="Y22" s="56">
        <v>2</v>
      </c>
      <c r="Z22" s="1">
        <f t="shared" si="1"/>
        <v>0</v>
      </c>
      <c r="AA22" s="1">
        <f t="shared" si="2"/>
        <v>0</v>
      </c>
      <c r="AB22" s="64">
        <f t="shared" si="3"/>
        <v>2</v>
      </c>
    </row>
    <row r="23" spans="1:28">
      <c r="A23" s="4" t="s">
        <v>6</v>
      </c>
      <c r="B23" s="1" t="s">
        <v>27</v>
      </c>
      <c r="C23" s="4" t="s">
        <v>6</v>
      </c>
      <c r="D23" s="31"/>
      <c r="E23" s="31"/>
      <c r="F23" s="31"/>
      <c r="G23" s="31"/>
      <c r="H23" s="32"/>
      <c r="I23" s="1" t="s">
        <v>27</v>
      </c>
      <c r="J23" s="15" t="s">
        <v>17</v>
      </c>
      <c r="K23" s="1" t="s">
        <v>27</v>
      </c>
      <c r="L23" s="31"/>
      <c r="M23" s="31"/>
      <c r="N23" s="31"/>
      <c r="O23" s="31"/>
      <c r="P23" s="32"/>
      <c r="Q23" s="60"/>
      <c r="R23" s="31"/>
      <c r="S23" s="31"/>
      <c r="T23" s="21" t="s">
        <v>24</v>
      </c>
      <c r="U23" s="1">
        <v>160</v>
      </c>
      <c r="V23" s="1">
        <v>40</v>
      </c>
      <c r="W23" s="55">
        <f t="shared" ref="W23:W26" si="8">U23-V23/0.330882</f>
        <v>39.110982162825422</v>
      </c>
      <c r="X23" s="56">
        <v>0</v>
      </c>
      <c r="Y23" s="56">
        <v>0</v>
      </c>
      <c r="Z23" s="1">
        <f t="shared" si="1"/>
        <v>0</v>
      </c>
      <c r="AA23" s="1">
        <f t="shared" si="2"/>
        <v>0</v>
      </c>
      <c r="AB23" s="64">
        <f t="shared" si="3"/>
        <v>0</v>
      </c>
    </row>
    <row r="24" spans="1:28">
      <c r="A24" s="4" t="s">
        <v>6</v>
      </c>
      <c r="B24" s="1" t="s">
        <v>27</v>
      </c>
      <c r="C24" s="4" t="s">
        <v>6</v>
      </c>
      <c r="D24" s="31"/>
      <c r="E24" s="31"/>
      <c r="F24" s="31"/>
      <c r="G24" s="31"/>
      <c r="H24" s="32"/>
      <c r="I24" s="1" t="s">
        <v>27</v>
      </c>
      <c r="J24" s="3" t="s">
        <v>5</v>
      </c>
      <c r="K24" s="1" t="s">
        <v>27</v>
      </c>
      <c r="L24" s="31"/>
      <c r="M24" s="31"/>
      <c r="N24" s="31"/>
      <c r="O24" s="31"/>
      <c r="P24" s="32"/>
      <c r="Q24" s="60"/>
      <c r="R24" s="31"/>
      <c r="S24" s="31"/>
      <c r="T24" s="21" t="s">
        <v>25</v>
      </c>
      <c r="U24" s="1">
        <v>160</v>
      </c>
      <c r="V24" s="1">
        <v>40</v>
      </c>
      <c r="W24" s="55">
        <f t="shared" si="8"/>
        <v>39.110982162825422</v>
      </c>
      <c r="X24" s="56">
        <v>0</v>
      </c>
      <c r="Y24" s="56">
        <v>0</v>
      </c>
      <c r="Z24" s="1">
        <f t="shared" si="1"/>
        <v>0</v>
      </c>
      <c r="AA24" s="1">
        <f t="shared" si="2"/>
        <v>0</v>
      </c>
      <c r="AB24" s="64">
        <f t="shared" si="3"/>
        <v>0</v>
      </c>
    </row>
    <row r="25" spans="1:28">
      <c r="A25" s="4" t="s">
        <v>6</v>
      </c>
      <c r="B25" s="1" t="s">
        <v>27</v>
      </c>
      <c r="C25" s="4" t="s">
        <v>6</v>
      </c>
      <c r="D25" s="31"/>
      <c r="E25" s="31"/>
      <c r="F25" s="31"/>
      <c r="G25" s="31"/>
      <c r="H25" s="32"/>
      <c r="I25" s="1" t="s">
        <v>27</v>
      </c>
      <c r="J25" s="3" t="s">
        <v>5</v>
      </c>
      <c r="K25" s="1" t="s">
        <v>27</v>
      </c>
      <c r="L25" s="31"/>
      <c r="M25" s="31"/>
      <c r="N25" s="31"/>
      <c r="O25" s="31"/>
      <c r="P25" s="32"/>
      <c r="Q25" s="60"/>
      <c r="R25" s="31"/>
      <c r="S25" s="31"/>
      <c r="T25" s="21" t="s">
        <v>26</v>
      </c>
      <c r="U25" s="1">
        <v>150</v>
      </c>
      <c r="V25" s="1">
        <v>35</v>
      </c>
      <c r="W25" s="55">
        <f t="shared" si="8"/>
        <v>44.222109392472248</v>
      </c>
      <c r="X25" s="56">
        <v>0</v>
      </c>
      <c r="Y25" s="56">
        <v>0</v>
      </c>
      <c r="Z25" s="1">
        <f t="shared" si="1"/>
        <v>0</v>
      </c>
      <c r="AA25" s="1">
        <f t="shared" si="2"/>
        <v>0</v>
      </c>
      <c r="AB25" s="64">
        <f t="shared" si="3"/>
        <v>0</v>
      </c>
    </row>
    <row r="26" spans="1:28">
      <c r="A26" s="17" t="s">
        <v>20</v>
      </c>
      <c r="B26" s="1" t="s">
        <v>27</v>
      </c>
      <c r="C26" s="4" t="s">
        <v>6</v>
      </c>
      <c r="D26" s="31"/>
      <c r="E26" s="31"/>
      <c r="F26" s="31"/>
      <c r="G26" s="31"/>
      <c r="H26" s="32"/>
      <c r="I26" s="1" t="s">
        <v>27</v>
      </c>
      <c r="J26" s="9" t="s">
        <v>11</v>
      </c>
      <c r="K26" s="1" t="s">
        <v>27</v>
      </c>
      <c r="L26" s="31"/>
      <c r="M26" s="31"/>
      <c r="N26" s="31"/>
      <c r="O26" s="31"/>
      <c r="P26" s="32"/>
      <c r="Q26" s="60"/>
      <c r="R26" s="31"/>
      <c r="S26" s="31"/>
      <c r="T26" s="22" t="s">
        <v>27</v>
      </c>
      <c r="U26" s="1">
        <v>0</v>
      </c>
      <c r="V26" s="1">
        <v>0</v>
      </c>
      <c r="W26" s="55">
        <f t="shared" si="8"/>
        <v>0</v>
      </c>
      <c r="X26" s="56">
        <v>0</v>
      </c>
      <c r="Y26" s="56">
        <v>0</v>
      </c>
      <c r="Z26" s="1"/>
      <c r="AA26" s="1"/>
      <c r="AB26" s="64"/>
    </row>
    <row r="27" spans="1:28">
      <c r="A27" s="4" t="s">
        <v>6</v>
      </c>
      <c r="B27" s="1" t="s">
        <v>27</v>
      </c>
      <c r="C27" s="4" t="s">
        <v>6</v>
      </c>
      <c r="D27" s="31"/>
      <c r="E27" s="31"/>
      <c r="F27" s="31"/>
      <c r="G27" s="31"/>
      <c r="H27" s="32"/>
      <c r="I27" s="1" t="s">
        <v>27</v>
      </c>
      <c r="J27" s="3" t="s">
        <v>5</v>
      </c>
      <c r="K27" s="1" t="s">
        <v>27</v>
      </c>
      <c r="L27" s="31"/>
      <c r="M27" s="31"/>
      <c r="N27" s="31"/>
      <c r="O27" s="31"/>
      <c r="P27" s="32"/>
      <c r="Q27" s="60"/>
      <c r="R27" s="31"/>
      <c r="S27" s="31"/>
      <c r="T27" s="16" t="s">
        <v>28</v>
      </c>
      <c r="U27" s="1">
        <v>-200</v>
      </c>
      <c r="V27" s="1">
        <v>0</v>
      </c>
      <c r="W27" s="55"/>
      <c r="X27" s="56">
        <v>12</v>
      </c>
      <c r="Y27" s="56">
        <v>12</v>
      </c>
      <c r="Z27" s="1">
        <f t="shared" si="1"/>
        <v>0</v>
      </c>
      <c r="AA27" s="1">
        <f t="shared" si="2"/>
        <v>2</v>
      </c>
      <c r="AB27" s="64">
        <f t="shared" si="3"/>
        <v>10</v>
      </c>
    </row>
    <row r="28" spans="1:28">
      <c r="A28" s="4" t="s">
        <v>6</v>
      </c>
      <c r="B28" s="1" t="s">
        <v>27</v>
      </c>
      <c r="C28" s="17" t="s">
        <v>20</v>
      </c>
      <c r="D28" s="31"/>
      <c r="E28" s="31"/>
      <c r="F28" s="31"/>
      <c r="G28" s="31"/>
      <c r="H28" s="32"/>
      <c r="I28" s="1" t="s">
        <v>27</v>
      </c>
      <c r="J28" s="3" t="s">
        <v>5</v>
      </c>
      <c r="K28" s="1" t="s">
        <v>27</v>
      </c>
      <c r="L28" s="31"/>
      <c r="M28" s="31"/>
      <c r="N28" s="31"/>
      <c r="O28" s="31"/>
      <c r="P28" s="32"/>
      <c r="Q28" s="60"/>
      <c r="R28" s="31"/>
      <c r="S28" s="31"/>
      <c r="T28" s="23" t="s">
        <v>29</v>
      </c>
      <c r="U28" s="1">
        <v>50</v>
      </c>
      <c r="V28" s="1">
        <v>520</v>
      </c>
      <c r="W28" s="55"/>
      <c r="X28" s="56">
        <v>3</v>
      </c>
      <c r="Y28" s="56">
        <v>3</v>
      </c>
      <c r="Z28" s="1">
        <f t="shared" si="1"/>
        <v>1</v>
      </c>
      <c r="AA28" s="1">
        <f t="shared" si="2"/>
        <v>0</v>
      </c>
      <c r="AB28" s="64">
        <f t="shared" si="3"/>
        <v>2</v>
      </c>
    </row>
    <row r="29" spans="1:28" ht="15" thickBot="1">
      <c r="A29" s="4" t="s">
        <v>6</v>
      </c>
      <c r="B29" s="1" t="s">
        <v>27</v>
      </c>
      <c r="C29" s="4" t="s">
        <v>6</v>
      </c>
      <c r="D29" s="31"/>
      <c r="E29" s="31"/>
      <c r="F29" s="31"/>
      <c r="G29" s="31"/>
      <c r="H29" s="32"/>
      <c r="I29" s="1" t="s">
        <v>27</v>
      </c>
      <c r="J29" s="15" t="s">
        <v>17</v>
      </c>
      <c r="K29" s="1" t="s">
        <v>27</v>
      </c>
      <c r="L29" s="31"/>
      <c r="M29" s="31"/>
      <c r="N29" s="31"/>
      <c r="O29" s="31"/>
      <c r="P29" s="32"/>
      <c r="Q29" s="66"/>
      <c r="R29" s="41"/>
      <c r="S29" s="41"/>
      <c r="T29" s="40"/>
      <c r="U29" s="40"/>
      <c r="V29" s="40"/>
      <c r="W29" s="40"/>
      <c r="X29" s="40"/>
      <c r="Y29" s="40"/>
      <c r="Z29" s="40"/>
      <c r="AA29" s="40"/>
      <c r="AB29" s="67"/>
    </row>
    <row r="30" spans="1:28">
      <c r="A30" s="4" t="s">
        <v>6</v>
      </c>
      <c r="B30" s="1" t="s">
        <v>27</v>
      </c>
      <c r="C30" s="4" t="s">
        <v>6</v>
      </c>
      <c r="D30" s="31"/>
      <c r="E30" s="31"/>
      <c r="F30" s="31"/>
      <c r="G30" s="31"/>
      <c r="H30" s="32"/>
      <c r="I30" s="1" t="s">
        <v>27</v>
      </c>
      <c r="J30" s="3" t="s">
        <v>5</v>
      </c>
      <c r="K30" s="1" t="s">
        <v>27</v>
      </c>
      <c r="L30" s="31"/>
      <c r="M30" s="31"/>
      <c r="N30" s="31"/>
      <c r="O30" s="31"/>
      <c r="P30" s="32"/>
    </row>
    <row r="31" spans="1:28">
      <c r="A31" s="4" t="s">
        <v>6</v>
      </c>
      <c r="B31" s="1" t="s">
        <v>27</v>
      </c>
      <c r="C31" s="4" t="s">
        <v>6</v>
      </c>
      <c r="D31" s="31"/>
      <c r="E31" s="31"/>
      <c r="F31" s="31"/>
      <c r="G31" s="31"/>
      <c r="H31" s="32"/>
      <c r="I31" s="1" t="s">
        <v>27</v>
      </c>
      <c r="J31" s="3" t="s">
        <v>5</v>
      </c>
      <c r="K31" s="1" t="s">
        <v>27</v>
      </c>
      <c r="L31" s="31"/>
      <c r="M31" s="31"/>
      <c r="N31" s="31"/>
      <c r="O31" s="31"/>
      <c r="P31" s="32"/>
    </row>
    <row r="32" spans="1:28">
      <c r="A32" s="4" t="s">
        <v>6</v>
      </c>
      <c r="B32" s="1" t="s">
        <v>27</v>
      </c>
      <c r="C32" s="4" t="s">
        <v>6</v>
      </c>
      <c r="D32" s="31"/>
      <c r="E32" s="31"/>
      <c r="F32" s="31"/>
      <c r="G32" s="31"/>
      <c r="H32" s="32"/>
      <c r="I32" s="1" t="s">
        <v>27</v>
      </c>
      <c r="J32" s="3" t="s">
        <v>5</v>
      </c>
      <c r="K32" s="1" t="s">
        <v>27</v>
      </c>
      <c r="L32" s="31"/>
      <c r="M32" s="31"/>
      <c r="N32" s="31"/>
      <c r="O32" s="31"/>
      <c r="P32" s="32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10" t="s">
        <v>12</v>
      </c>
      <c r="D33" s="31"/>
      <c r="E33" s="31"/>
      <c r="F33" s="31"/>
      <c r="G33" s="31"/>
      <c r="H33" s="32"/>
      <c r="I33" s="1" t="s">
        <v>27</v>
      </c>
      <c r="J33" s="9" t="s">
        <v>11</v>
      </c>
      <c r="K33" s="1" t="s">
        <v>27</v>
      </c>
      <c r="L33" s="31"/>
      <c r="M33" s="31"/>
      <c r="N33" s="31"/>
      <c r="O33" s="31"/>
      <c r="P33" s="32"/>
      <c r="R33">
        <v>2</v>
      </c>
      <c r="S33" t="s">
        <v>60</v>
      </c>
    </row>
    <row r="34" spans="1:19">
      <c r="A34" s="17" t="s">
        <v>19</v>
      </c>
      <c r="B34" s="1" t="s">
        <v>27</v>
      </c>
      <c r="C34" s="4" t="s">
        <v>6</v>
      </c>
      <c r="D34" s="31"/>
      <c r="E34" s="31"/>
      <c r="F34" s="31"/>
      <c r="G34" s="31"/>
      <c r="H34" s="32"/>
      <c r="I34" s="38" t="s">
        <v>27</v>
      </c>
      <c r="J34" s="3" t="s">
        <v>5</v>
      </c>
      <c r="K34" s="1" t="s">
        <v>27</v>
      </c>
      <c r="L34" s="31"/>
      <c r="M34" s="31"/>
      <c r="N34" s="31"/>
      <c r="O34" s="31"/>
      <c r="P34" s="32"/>
      <c r="R34">
        <v>3</v>
      </c>
      <c r="S34" t="s">
        <v>58</v>
      </c>
    </row>
    <row r="35" spans="1:19">
      <c r="A35" s="4" t="s">
        <v>6</v>
      </c>
      <c r="B35" s="1" t="s">
        <v>27</v>
      </c>
      <c r="C35" s="17" t="s">
        <v>19</v>
      </c>
      <c r="D35" s="31"/>
      <c r="E35" s="31"/>
      <c r="F35" s="31"/>
      <c r="G35" s="31"/>
      <c r="H35" s="32"/>
      <c r="I35" s="38" t="s">
        <v>27</v>
      </c>
      <c r="J35" s="3" t="s">
        <v>5</v>
      </c>
      <c r="K35" s="1" t="s">
        <v>27</v>
      </c>
      <c r="L35" s="31"/>
      <c r="M35" s="31"/>
      <c r="N35" s="31"/>
      <c r="O35" s="31"/>
      <c r="P35" s="32"/>
      <c r="R35">
        <v>4</v>
      </c>
      <c r="S35" t="s">
        <v>61</v>
      </c>
    </row>
    <row r="36" spans="1:19">
      <c r="A36" s="4" t="s">
        <v>6</v>
      </c>
      <c r="B36" s="1" t="s">
        <v>27</v>
      </c>
      <c r="C36" s="4" t="s">
        <v>6</v>
      </c>
      <c r="D36" s="31"/>
      <c r="E36" s="31"/>
      <c r="F36" s="31"/>
      <c r="G36" s="31"/>
      <c r="H36" s="32"/>
      <c r="I36" s="38" t="s">
        <v>27</v>
      </c>
      <c r="J36" s="15" t="s">
        <v>17</v>
      </c>
      <c r="K36" s="1" t="s">
        <v>27</v>
      </c>
      <c r="L36" s="31"/>
      <c r="M36" s="31"/>
      <c r="N36" s="31"/>
      <c r="O36" s="31"/>
      <c r="P36" s="32"/>
      <c r="S36" t="s">
        <v>62</v>
      </c>
    </row>
    <row r="37" spans="1:19">
      <c r="A37" s="4" t="s">
        <v>6</v>
      </c>
      <c r="B37" s="1" t="s">
        <v>27</v>
      </c>
      <c r="C37" s="4" t="s">
        <v>6</v>
      </c>
      <c r="D37" s="31"/>
      <c r="E37" s="31"/>
      <c r="F37" s="31"/>
      <c r="G37" s="31"/>
      <c r="H37" s="32"/>
      <c r="I37" s="38" t="s">
        <v>27</v>
      </c>
      <c r="J37" s="3" t="s">
        <v>5</v>
      </c>
      <c r="K37" s="1" t="s">
        <v>27</v>
      </c>
      <c r="L37" s="31"/>
      <c r="M37" s="31"/>
      <c r="N37" s="31"/>
      <c r="O37" s="31"/>
      <c r="P37" s="32"/>
      <c r="R37">
        <v>5</v>
      </c>
      <c r="S37" t="s">
        <v>63</v>
      </c>
    </row>
    <row r="38" spans="1:19">
      <c r="A38" s="4" t="s">
        <v>6</v>
      </c>
      <c r="B38" s="1" t="s">
        <v>27</v>
      </c>
      <c r="C38" s="16" t="s">
        <v>18</v>
      </c>
      <c r="D38" s="31"/>
      <c r="E38" s="31"/>
      <c r="F38" s="31"/>
      <c r="G38" s="31"/>
      <c r="H38" s="32"/>
      <c r="I38" s="38" t="s">
        <v>27</v>
      </c>
      <c r="J38" s="3" t="s">
        <v>5</v>
      </c>
      <c r="K38" s="1" t="s">
        <v>27</v>
      </c>
      <c r="L38" s="31"/>
      <c r="M38" s="31"/>
      <c r="N38" s="31"/>
      <c r="O38" s="31"/>
      <c r="P38" s="32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4" t="s">
        <v>6</v>
      </c>
      <c r="D39" s="31"/>
      <c r="E39" s="31"/>
      <c r="F39" s="31"/>
      <c r="G39" s="31"/>
      <c r="H39" s="32"/>
      <c r="I39" s="38" t="s">
        <v>27</v>
      </c>
      <c r="J39" s="3" t="s">
        <v>5</v>
      </c>
      <c r="K39" s="1" t="s">
        <v>27</v>
      </c>
      <c r="L39" s="31"/>
      <c r="M39" s="31"/>
      <c r="N39" s="31"/>
      <c r="O39" s="31"/>
      <c r="P39" s="32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4" t="s">
        <v>6</v>
      </c>
      <c r="D40" s="31"/>
      <c r="E40" s="31"/>
      <c r="F40" s="31"/>
      <c r="G40" s="31"/>
      <c r="H40" s="32"/>
      <c r="I40" s="38" t="s">
        <v>27</v>
      </c>
      <c r="J40" s="3" t="s">
        <v>5</v>
      </c>
      <c r="K40" s="1" t="s">
        <v>27</v>
      </c>
      <c r="L40" s="31"/>
      <c r="M40" s="31"/>
      <c r="N40" s="31"/>
      <c r="O40" s="31"/>
      <c r="P40" s="32"/>
    </row>
    <row r="41" spans="1:19">
      <c r="A41" s="4" t="s">
        <v>6</v>
      </c>
      <c r="B41" s="1" t="s">
        <v>27</v>
      </c>
      <c r="C41" s="4" t="s">
        <v>6</v>
      </c>
      <c r="D41" s="31"/>
      <c r="E41" s="31"/>
      <c r="F41" s="31"/>
      <c r="G41" s="31"/>
      <c r="H41" s="32"/>
      <c r="I41" s="38" t="s">
        <v>27</v>
      </c>
      <c r="J41" s="3" t="s">
        <v>5</v>
      </c>
      <c r="K41" s="1" t="s">
        <v>27</v>
      </c>
      <c r="L41" s="31"/>
      <c r="M41" s="31"/>
      <c r="N41" s="31"/>
      <c r="O41" s="31"/>
      <c r="P41" s="32"/>
    </row>
    <row r="42" spans="1:19">
      <c r="A42" s="4" t="s">
        <v>6</v>
      </c>
      <c r="B42" s="1" t="s">
        <v>27</v>
      </c>
      <c r="C42" s="4" t="s">
        <v>6</v>
      </c>
      <c r="D42" s="31"/>
      <c r="E42" s="31"/>
      <c r="F42" s="31"/>
      <c r="G42" s="31"/>
      <c r="H42" s="32"/>
      <c r="I42" s="38" t="s">
        <v>27</v>
      </c>
      <c r="J42" s="15" t="s">
        <v>17</v>
      </c>
      <c r="K42" s="1" t="s">
        <v>27</v>
      </c>
      <c r="L42" s="31"/>
      <c r="M42" s="31"/>
      <c r="N42" s="31"/>
      <c r="O42" s="31"/>
      <c r="P42" s="32"/>
    </row>
    <row r="43" spans="1:19">
      <c r="A43" s="17" t="s">
        <v>20</v>
      </c>
      <c r="B43" s="1" t="s">
        <v>27</v>
      </c>
      <c r="C43" s="4" t="s">
        <v>6</v>
      </c>
      <c r="D43" s="31"/>
      <c r="E43" s="31"/>
      <c r="F43" s="31"/>
      <c r="G43" s="31"/>
      <c r="H43" s="32"/>
      <c r="I43" s="38" t="s">
        <v>27</v>
      </c>
      <c r="J43" s="1" t="s">
        <v>27</v>
      </c>
      <c r="K43" s="1" t="s">
        <v>27</v>
      </c>
      <c r="L43" s="31"/>
      <c r="M43" s="31"/>
      <c r="N43" s="31"/>
      <c r="O43" s="31"/>
      <c r="P43" s="32"/>
    </row>
    <row r="44" spans="1:19">
      <c r="A44" s="38" t="s">
        <v>27</v>
      </c>
      <c r="B44" s="1" t="s">
        <v>27</v>
      </c>
      <c r="C44" s="17" t="s">
        <v>20</v>
      </c>
      <c r="D44" s="31"/>
      <c r="E44" s="31"/>
      <c r="F44" s="31"/>
      <c r="G44" s="31"/>
      <c r="H44" s="32"/>
      <c r="I44" s="38" t="s">
        <v>27</v>
      </c>
      <c r="J44" s="3" t="s">
        <v>5</v>
      </c>
      <c r="K44" s="1" t="s">
        <v>27</v>
      </c>
      <c r="L44" s="31"/>
      <c r="M44" s="31"/>
      <c r="N44" s="31"/>
      <c r="O44" s="31"/>
      <c r="P44" s="32"/>
    </row>
    <row r="45" spans="1:19">
      <c r="A45" s="38" t="s">
        <v>27</v>
      </c>
      <c r="B45" s="1" t="s">
        <v>27</v>
      </c>
      <c r="C45" s="1" t="s">
        <v>27</v>
      </c>
      <c r="D45" s="31"/>
      <c r="E45" s="31"/>
      <c r="F45" s="31"/>
      <c r="G45" s="31"/>
      <c r="H45" s="32"/>
      <c r="I45" s="38" t="s">
        <v>27</v>
      </c>
      <c r="J45" s="15" t="s">
        <v>17</v>
      </c>
      <c r="K45" s="1" t="s">
        <v>27</v>
      </c>
      <c r="L45" s="31"/>
      <c r="M45" s="31"/>
      <c r="N45" s="31"/>
      <c r="O45" s="31"/>
      <c r="P45" s="32"/>
    </row>
    <row r="46" spans="1:19">
      <c r="A46" s="38" t="s">
        <v>27</v>
      </c>
      <c r="B46" s="1" t="s">
        <v>27</v>
      </c>
      <c r="C46" s="1" t="s">
        <v>27</v>
      </c>
      <c r="D46" s="31"/>
      <c r="E46" s="31"/>
      <c r="F46" s="31"/>
      <c r="G46" s="31"/>
      <c r="H46" s="32"/>
      <c r="I46" s="38" t="s">
        <v>27</v>
      </c>
      <c r="J46" s="3" t="s">
        <v>5</v>
      </c>
      <c r="K46" s="1" t="s">
        <v>27</v>
      </c>
      <c r="L46" s="31"/>
      <c r="M46" s="31"/>
      <c r="N46" s="31"/>
      <c r="O46" s="31"/>
      <c r="P46" s="32"/>
    </row>
    <row r="47" spans="1:19">
      <c r="A47" s="38" t="s">
        <v>27</v>
      </c>
      <c r="B47" s="1" t="s">
        <v>27</v>
      </c>
      <c r="C47" s="1" t="s">
        <v>27</v>
      </c>
      <c r="D47" s="31"/>
      <c r="E47" s="31"/>
      <c r="F47" s="31"/>
      <c r="G47" s="31"/>
      <c r="H47" s="32"/>
      <c r="I47" s="38" t="s">
        <v>27</v>
      </c>
      <c r="J47" s="3" t="s">
        <v>5</v>
      </c>
      <c r="K47" s="1" t="s">
        <v>27</v>
      </c>
      <c r="L47" s="31"/>
      <c r="M47" s="31"/>
      <c r="N47" s="31"/>
      <c r="O47" s="31"/>
      <c r="P47" s="32"/>
    </row>
    <row r="48" spans="1:19">
      <c r="A48" s="38" t="s">
        <v>27</v>
      </c>
      <c r="B48" s="1" t="s">
        <v>27</v>
      </c>
      <c r="C48" s="1" t="s">
        <v>27</v>
      </c>
      <c r="D48" s="31"/>
      <c r="E48" s="31"/>
      <c r="F48" s="31"/>
      <c r="G48" s="31"/>
      <c r="H48" s="32"/>
      <c r="I48" s="38" t="s">
        <v>27</v>
      </c>
      <c r="J48" s="3" t="s">
        <v>5</v>
      </c>
      <c r="K48" s="1" t="s">
        <v>27</v>
      </c>
      <c r="L48" s="31"/>
      <c r="M48" s="31"/>
      <c r="N48" s="31"/>
      <c r="O48" s="31"/>
      <c r="P48" s="32"/>
    </row>
    <row r="49" spans="1:16">
      <c r="A49" s="38" t="s">
        <v>27</v>
      </c>
      <c r="B49" s="1" t="s">
        <v>27</v>
      </c>
      <c r="C49" s="1" t="s">
        <v>27</v>
      </c>
      <c r="D49" s="31"/>
      <c r="E49" s="31"/>
      <c r="F49" s="31"/>
      <c r="G49" s="31"/>
      <c r="H49" s="32"/>
      <c r="I49" s="38" t="s">
        <v>27</v>
      </c>
      <c r="J49" s="15" t="s">
        <v>17</v>
      </c>
      <c r="K49" s="1" t="s">
        <v>27</v>
      </c>
      <c r="L49" s="31"/>
      <c r="M49" s="31"/>
      <c r="N49" s="31"/>
      <c r="O49" s="31"/>
      <c r="P49" s="32"/>
    </row>
    <row r="50" spans="1:16">
      <c r="A50" s="38" t="s">
        <v>27</v>
      </c>
      <c r="B50" s="1" t="s">
        <v>27</v>
      </c>
      <c r="C50" s="1" t="s">
        <v>27</v>
      </c>
      <c r="D50" s="31"/>
      <c r="E50" s="31"/>
      <c r="F50" s="31"/>
      <c r="G50" s="31"/>
      <c r="H50" s="32"/>
      <c r="I50" s="38" t="s">
        <v>27</v>
      </c>
      <c r="J50" s="3" t="s">
        <v>5</v>
      </c>
      <c r="K50" s="1" t="s">
        <v>27</v>
      </c>
      <c r="L50" s="31"/>
      <c r="M50" s="31"/>
      <c r="N50" s="31"/>
      <c r="O50" s="31"/>
      <c r="P50" s="32"/>
    </row>
    <row r="51" spans="1:16">
      <c r="A51" s="38" t="s">
        <v>27</v>
      </c>
      <c r="B51" s="1" t="s">
        <v>27</v>
      </c>
      <c r="C51" s="1" t="s">
        <v>27</v>
      </c>
      <c r="D51" s="31"/>
      <c r="E51" s="31"/>
      <c r="F51" s="31"/>
      <c r="G51" s="31"/>
      <c r="H51" s="32"/>
      <c r="I51" s="38" t="s">
        <v>27</v>
      </c>
      <c r="J51" s="3" t="s">
        <v>5</v>
      </c>
      <c r="K51" s="1" t="s">
        <v>27</v>
      </c>
      <c r="L51" s="31"/>
      <c r="M51" s="31"/>
      <c r="N51" s="31"/>
      <c r="O51" s="31"/>
      <c r="P51" s="32"/>
    </row>
    <row r="52" spans="1:16">
      <c r="A52" s="38" t="s">
        <v>27</v>
      </c>
      <c r="B52" s="1" t="s">
        <v>27</v>
      </c>
      <c r="C52" s="1" t="s">
        <v>27</v>
      </c>
      <c r="D52" s="31"/>
      <c r="E52" s="31"/>
      <c r="F52" s="31"/>
      <c r="G52" s="31"/>
      <c r="H52" s="32"/>
      <c r="I52" s="38" t="s">
        <v>27</v>
      </c>
      <c r="J52" s="3" t="s">
        <v>5</v>
      </c>
      <c r="K52" s="1" t="s">
        <v>27</v>
      </c>
      <c r="L52" s="31"/>
      <c r="M52" s="31"/>
      <c r="N52" s="31"/>
      <c r="O52" s="31"/>
      <c r="P52" s="32"/>
    </row>
    <row r="53" spans="1:16">
      <c r="A53" s="38" t="s">
        <v>27</v>
      </c>
      <c r="B53" s="1" t="s">
        <v>27</v>
      </c>
      <c r="C53" s="1" t="s">
        <v>27</v>
      </c>
      <c r="D53" s="31"/>
      <c r="E53" s="31"/>
      <c r="F53" s="31"/>
      <c r="G53" s="31"/>
      <c r="H53" s="32"/>
      <c r="I53" s="38" t="s">
        <v>27</v>
      </c>
      <c r="J53" s="3" t="s">
        <v>5</v>
      </c>
      <c r="K53" s="1" t="s">
        <v>27</v>
      </c>
      <c r="L53" s="31"/>
      <c r="M53" s="31"/>
      <c r="N53" s="31"/>
      <c r="O53" s="31"/>
      <c r="P53" s="32"/>
    </row>
    <row r="54" spans="1:16">
      <c r="A54" s="38" t="s">
        <v>27</v>
      </c>
      <c r="B54" s="1" t="s">
        <v>27</v>
      </c>
      <c r="C54" s="1" t="s">
        <v>27</v>
      </c>
      <c r="D54" s="31"/>
      <c r="E54" s="31"/>
      <c r="F54" s="31"/>
      <c r="G54" s="31"/>
      <c r="H54" s="32"/>
      <c r="I54" s="38" t="s">
        <v>27</v>
      </c>
      <c r="J54" s="16" t="s">
        <v>28</v>
      </c>
      <c r="K54" s="1" t="s">
        <v>27</v>
      </c>
      <c r="L54" s="31"/>
      <c r="M54" s="31"/>
      <c r="N54" s="31"/>
      <c r="O54" s="31"/>
      <c r="P54" s="32"/>
    </row>
    <row r="55" spans="1:16">
      <c r="A55" s="38" t="s">
        <v>27</v>
      </c>
      <c r="B55" s="1" t="s">
        <v>27</v>
      </c>
      <c r="C55" s="1" t="s">
        <v>27</v>
      </c>
      <c r="D55" s="31"/>
      <c r="E55" s="31"/>
      <c r="F55" s="31"/>
      <c r="G55" s="31"/>
      <c r="H55" s="32"/>
      <c r="I55" s="38" t="s">
        <v>27</v>
      </c>
      <c r="J55" s="3" t="s">
        <v>5</v>
      </c>
      <c r="K55" s="1" t="s">
        <v>27</v>
      </c>
      <c r="L55" s="31"/>
      <c r="M55" s="31"/>
      <c r="N55" s="31"/>
      <c r="O55" s="31"/>
      <c r="P55" s="32"/>
    </row>
    <row r="56" spans="1:16">
      <c r="A56" s="38" t="s">
        <v>27</v>
      </c>
      <c r="B56" s="1" t="s">
        <v>27</v>
      </c>
      <c r="C56" s="1" t="s">
        <v>27</v>
      </c>
      <c r="D56" s="31"/>
      <c r="E56" s="31"/>
      <c r="F56" s="31"/>
      <c r="G56" s="31"/>
      <c r="H56" s="32"/>
      <c r="I56" s="38" t="s">
        <v>27</v>
      </c>
      <c r="J56" s="3" t="s">
        <v>5</v>
      </c>
      <c r="K56" s="1" t="s">
        <v>27</v>
      </c>
      <c r="L56" s="31"/>
      <c r="M56" s="31"/>
      <c r="N56" s="31"/>
      <c r="O56" s="31"/>
      <c r="P56" s="32"/>
    </row>
    <row r="57" spans="1:16">
      <c r="A57" s="38" t="s">
        <v>27</v>
      </c>
      <c r="B57" s="1" t="s">
        <v>27</v>
      </c>
      <c r="C57" s="1" t="s">
        <v>27</v>
      </c>
      <c r="D57" s="31"/>
      <c r="E57" s="31"/>
      <c r="F57" s="31"/>
      <c r="G57" s="31"/>
      <c r="H57" s="32"/>
      <c r="I57" s="38" t="s">
        <v>27</v>
      </c>
      <c r="J57" s="15" t="s">
        <v>17</v>
      </c>
      <c r="K57" s="1" t="s">
        <v>27</v>
      </c>
      <c r="L57" s="31"/>
      <c r="M57" s="31"/>
      <c r="N57" s="31"/>
      <c r="O57" s="31"/>
      <c r="P57" s="32"/>
    </row>
    <row r="58" spans="1:16">
      <c r="A58" s="38" t="s">
        <v>27</v>
      </c>
      <c r="B58" s="1" t="s">
        <v>27</v>
      </c>
      <c r="C58" s="1" t="s">
        <v>27</v>
      </c>
      <c r="D58" s="31"/>
      <c r="E58" s="31"/>
      <c r="F58" s="31"/>
      <c r="G58" s="31"/>
      <c r="H58" s="32"/>
      <c r="I58" s="38" t="s">
        <v>27</v>
      </c>
      <c r="J58" s="3" t="s">
        <v>5</v>
      </c>
      <c r="K58" s="1" t="s">
        <v>27</v>
      </c>
      <c r="L58" s="31"/>
      <c r="M58" s="31"/>
      <c r="N58" s="31"/>
      <c r="O58" s="31"/>
      <c r="P58" s="32"/>
    </row>
    <row r="59" spans="1:16">
      <c r="A59" s="38" t="s">
        <v>27</v>
      </c>
      <c r="B59" s="1" t="s">
        <v>27</v>
      </c>
      <c r="C59" s="1" t="s">
        <v>27</v>
      </c>
      <c r="D59" s="31"/>
      <c r="E59" s="31"/>
      <c r="F59" s="31"/>
      <c r="G59" s="31"/>
      <c r="H59" s="32"/>
      <c r="I59" s="38" t="s">
        <v>27</v>
      </c>
      <c r="J59" s="3" t="s">
        <v>5</v>
      </c>
      <c r="K59" s="1" t="s">
        <v>27</v>
      </c>
      <c r="L59" s="31"/>
      <c r="M59" s="31"/>
      <c r="N59" s="31"/>
      <c r="O59" s="31"/>
      <c r="P59" s="32"/>
    </row>
    <row r="60" spans="1:16">
      <c r="A60" s="38" t="s">
        <v>27</v>
      </c>
      <c r="B60" s="1" t="s">
        <v>27</v>
      </c>
      <c r="C60" s="1" t="s">
        <v>27</v>
      </c>
      <c r="D60" s="31"/>
      <c r="E60" s="31"/>
      <c r="F60" s="31"/>
      <c r="G60" s="31"/>
      <c r="H60" s="32"/>
      <c r="I60" s="38" t="s">
        <v>27</v>
      </c>
      <c r="J60" s="3" t="s">
        <v>5</v>
      </c>
      <c r="K60" s="1" t="s">
        <v>27</v>
      </c>
      <c r="L60" s="31"/>
      <c r="M60" s="31"/>
      <c r="N60" s="31"/>
      <c r="O60" s="31"/>
      <c r="P60" s="32"/>
    </row>
    <row r="61" spans="1:16">
      <c r="A61" s="38" t="s">
        <v>27</v>
      </c>
      <c r="B61" s="1" t="s">
        <v>27</v>
      </c>
      <c r="C61" s="1" t="s">
        <v>27</v>
      </c>
      <c r="D61" s="31"/>
      <c r="E61" s="31"/>
      <c r="F61" s="31"/>
      <c r="G61" s="31"/>
      <c r="H61" s="32"/>
      <c r="I61" s="38" t="s">
        <v>27</v>
      </c>
      <c r="J61" s="3" t="s">
        <v>5</v>
      </c>
      <c r="K61" s="1" t="s">
        <v>27</v>
      </c>
      <c r="L61" s="31"/>
      <c r="M61" s="31"/>
      <c r="N61" s="31"/>
      <c r="O61" s="31"/>
      <c r="P61" s="32"/>
    </row>
    <row r="62" spans="1:16">
      <c r="A62" s="38" t="s">
        <v>27</v>
      </c>
      <c r="B62" s="1" t="s">
        <v>27</v>
      </c>
      <c r="C62" s="1" t="s">
        <v>27</v>
      </c>
      <c r="D62" s="31"/>
      <c r="E62" s="31"/>
      <c r="F62" s="31"/>
      <c r="G62" s="31"/>
      <c r="H62" s="32"/>
      <c r="I62" s="38" t="s">
        <v>27</v>
      </c>
      <c r="J62" s="15" t="s">
        <v>17</v>
      </c>
      <c r="K62" s="1" t="s">
        <v>27</v>
      </c>
      <c r="L62" s="31"/>
      <c r="M62" s="31"/>
      <c r="N62" s="31"/>
      <c r="O62" s="31"/>
      <c r="P62" s="32"/>
    </row>
    <row r="63" spans="1:16">
      <c r="A63" s="38" t="s">
        <v>27</v>
      </c>
      <c r="B63" s="1" t="s">
        <v>27</v>
      </c>
      <c r="C63" s="1" t="s">
        <v>27</v>
      </c>
      <c r="D63" s="31"/>
      <c r="E63" s="31"/>
      <c r="F63" s="31"/>
      <c r="G63" s="31"/>
      <c r="H63" s="32"/>
      <c r="I63" s="38" t="s">
        <v>27</v>
      </c>
      <c r="J63" s="3" t="s">
        <v>5</v>
      </c>
      <c r="K63" s="1" t="s">
        <v>27</v>
      </c>
      <c r="L63" s="31"/>
      <c r="M63" s="31"/>
      <c r="N63" s="31"/>
      <c r="O63" s="31"/>
      <c r="P63" s="32"/>
    </row>
    <row r="64" spans="1:16">
      <c r="A64" s="38" t="s">
        <v>27</v>
      </c>
      <c r="B64" s="1" t="s">
        <v>27</v>
      </c>
      <c r="C64" s="1" t="s">
        <v>27</v>
      </c>
      <c r="D64" s="31"/>
      <c r="E64" s="31"/>
      <c r="F64" s="31"/>
      <c r="G64" s="31"/>
      <c r="H64" s="32"/>
      <c r="I64" s="38" t="s">
        <v>27</v>
      </c>
      <c r="J64" s="3" t="s">
        <v>5</v>
      </c>
      <c r="K64" s="1" t="s">
        <v>27</v>
      </c>
      <c r="L64" s="31"/>
      <c r="M64" s="31"/>
      <c r="N64" s="31"/>
      <c r="O64" s="31"/>
      <c r="P64" s="32"/>
    </row>
    <row r="65" spans="1:16">
      <c r="A65" s="38" t="s">
        <v>27</v>
      </c>
      <c r="B65" s="1" t="s">
        <v>27</v>
      </c>
      <c r="C65" s="1" t="s">
        <v>27</v>
      </c>
      <c r="D65" s="31"/>
      <c r="E65" s="31"/>
      <c r="F65" s="31"/>
      <c r="G65" s="31"/>
      <c r="H65" s="32"/>
      <c r="I65" s="38" t="s">
        <v>27</v>
      </c>
      <c r="J65" s="9" t="s">
        <v>11</v>
      </c>
      <c r="K65" s="1" t="s">
        <v>27</v>
      </c>
      <c r="L65" s="31"/>
      <c r="M65" s="31"/>
      <c r="N65" s="31"/>
      <c r="O65" s="31"/>
      <c r="P65" s="32"/>
    </row>
    <row r="66" spans="1:16">
      <c r="A66" s="38" t="s">
        <v>27</v>
      </c>
      <c r="B66" s="1" t="s">
        <v>27</v>
      </c>
      <c r="C66" s="1" t="s">
        <v>27</v>
      </c>
      <c r="D66" s="31"/>
      <c r="E66" s="31"/>
      <c r="F66" s="31"/>
      <c r="G66" s="31"/>
      <c r="H66" s="32"/>
      <c r="I66" s="38" t="s">
        <v>27</v>
      </c>
      <c r="J66" s="3" t="s">
        <v>5</v>
      </c>
      <c r="K66" s="1" t="s">
        <v>27</v>
      </c>
      <c r="L66" s="31"/>
      <c r="M66" s="31"/>
      <c r="N66" s="31"/>
      <c r="O66" s="31"/>
      <c r="P66" s="32"/>
    </row>
    <row r="67" spans="1:16">
      <c r="A67" s="38" t="s">
        <v>27</v>
      </c>
      <c r="B67" s="1" t="s">
        <v>27</v>
      </c>
      <c r="C67" s="1" t="s">
        <v>27</v>
      </c>
      <c r="D67" s="31"/>
      <c r="E67" s="31"/>
      <c r="F67" s="31"/>
      <c r="G67" s="31"/>
      <c r="H67" s="32"/>
      <c r="I67" s="38" t="s">
        <v>27</v>
      </c>
      <c r="J67" s="3" t="s">
        <v>5</v>
      </c>
      <c r="K67" s="1" t="s">
        <v>27</v>
      </c>
      <c r="L67" s="31"/>
      <c r="M67" s="31"/>
      <c r="N67" s="31"/>
      <c r="O67" s="31"/>
      <c r="P67" s="32"/>
    </row>
    <row r="68" spans="1:16">
      <c r="A68" s="38" t="s">
        <v>27</v>
      </c>
      <c r="B68" s="1" t="s">
        <v>27</v>
      </c>
      <c r="C68" s="1" t="s">
        <v>27</v>
      </c>
      <c r="D68" s="31"/>
      <c r="E68" s="31"/>
      <c r="F68" s="31"/>
      <c r="G68" s="31"/>
      <c r="H68" s="32"/>
      <c r="I68" s="38" t="s">
        <v>27</v>
      </c>
      <c r="J68" s="15" t="s">
        <v>17</v>
      </c>
      <c r="K68" s="1" t="s">
        <v>27</v>
      </c>
      <c r="L68" s="31"/>
      <c r="M68" s="31"/>
      <c r="N68" s="31"/>
      <c r="O68" s="31"/>
      <c r="P68" s="32"/>
    </row>
    <row r="69" spans="1:16">
      <c r="A69" s="38" t="s">
        <v>27</v>
      </c>
      <c r="B69" s="1" t="s">
        <v>27</v>
      </c>
      <c r="C69" s="1" t="s">
        <v>27</v>
      </c>
      <c r="D69" s="31"/>
      <c r="E69" s="31"/>
      <c r="F69" s="31"/>
      <c r="G69" s="31"/>
      <c r="H69" s="32"/>
      <c r="I69" s="38" t="s">
        <v>27</v>
      </c>
      <c r="J69" s="1" t="s">
        <v>27</v>
      </c>
      <c r="K69" s="1" t="s">
        <v>27</v>
      </c>
      <c r="L69" s="31"/>
      <c r="M69" s="31"/>
      <c r="N69" s="31"/>
      <c r="O69" s="31"/>
      <c r="P69" s="32"/>
    </row>
    <row r="70" spans="1:16">
      <c r="A70" s="38" t="s">
        <v>27</v>
      </c>
      <c r="B70" s="1" t="s">
        <v>27</v>
      </c>
      <c r="C70" s="1" t="s">
        <v>27</v>
      </c>
      <c r="D70" s="31"/>
      <c r="E70" s="31"/>
      <c r="F70" s="31"/>
      <c r="G70" s="31"/>
      <c r="H70" s="32"/>
      <c r="I70" s="38" t="s">
        <v>27</v>
      </c>
      <c r="J70" s="1" t="s">
        <v>27</v>
      </c>
      <c r="K70" s="1" t="s">
        <v>27</v>
      </c>
      <c r="L70" s="31"/>
      <c r="M70" s="31"/>
      <c r="N70" s="31"/>
      <c r="O70" s="31"/>
      <c r="P70" s="32"/>
    </row>
    <row r="71" spans="1:16">
      <c r="A71" s="38" t="s">
        <v>27</v>
      </c>
      <c r="B71" s="1" t="s">
        <v>27</v>
      </c>
      <c r="C71" s="1" t="s">
        <v>27</v>
      </c>
      <c r="D71" s="31"/>
      <c r="E71" s="31"/>
      <c r="F71" s="31"/>
      <c r="G71" s="31"/>
      <c r="H71" s="32"/>
      <c r="I71" s="38" t="s">
        <v>27</v>
      </c>
      <c r="J71" s="1" t="s">
        <v>27</v>
      </c>
      <c r="K71" s="1" t="s">
        <v>27</v>
      </c>
      <c r="L71" s="31"/>
      <c r="M71" s="31"/>
      <c r="N71" s="31"/>
      <c r="O71" s="31"/>
      <c r="P71" s="32"/>
    </row>
    <row r="72" spans="1:16">
      <c r="A72" s="38" t="s">
        <v>27</v>
      </c>
      <c r="B72" s="1" t="s">
        <v>27</v>
      </c>
      <c r="C72" s="1" t="s">
        <v>27</v>
      </c>
      <c r="D72" s="31"/>
      <c r="E72" s="31"/>
      <c r="F72" s="31"/>
      <c r="G72" s="31"/>
      <c r="H72" s="32"/>
      <c r="I72" s="38" t="s">
        <v>27</v>
      </c>
      <c r="J72" s="1" t="s">
        <v>27</v>
      </c>
      <c r="K72" s="1" t="s">
        <v>27</v>
      </c>
      <c r="L72" s="31"/>
      <c r="M72" s="31"/>
      <c r="N72" s="31"/>
      <c r="O72" s="31"/>
      <c r="P72" s="32"/>
    </row>
    <row r="73" spans="1:16">
      <c r="A73" s="38" t="s">
        <v>27</v>
      </c>
      <c r="B73" s="1" t="s">
        <v>27</v>
      </c>
      <c r="C73" s="1" t="s">
        <v>27</v>
      </c>
      <c r="D73" s="31"/>
      <c r="E73" s="31"/>
      <c r="F73" s="31"/>
      <c r="G73" s="31"/>
      <c r="H73" s="32"/>
      <c r="I73" s="38" t="s">
        <v>27</v>
      </c>
      <c r="J73" s="1" t="s">
        <v>27</v>
      </c>
      <c r="K73" s="1" t="s">
        <v>27</v>
      </c>
      <c r="L73" s="31"/>
      <c r="M73" s="31"/>
      <c r="N73" s="31"/>
      <c r="O73" s="31"/>
      <c r="P73" s="32"/>
    </row>
    <row r="74" spans="1:16">
      <c r="A74" s="38" t="s">
        <v>27</v>
      </c>
      <c r="B74" s="1" t="s">
        <v>27</v>
      </c>
      <c r="C74" s="1" t="s">
        <v>27</v>
      </c>
      <c r="D74" s="31"/>
      <c r="E74" s="31"/>
      <c r="F74" s="31"/>
      <c r="G74" s="31"/>
      <c r="H74" s="32"/>
      <c r="I74" s="38" t="s">
        <v>27</v>
      </c>
      <c r="J74" s="1" t="s">
        <v>27</v>
      </c>
      <c r="K74" s="1" t="s">
        <v>27</v>
      </c>
      <c r="L74" s="31"/>
      <c r="M74" s="31"/>
      <c r="N74" s="31"/>
      <c r="O74" s="31"/>
      <c r="P74" s="32"/>
    </row>
    <row r="75" spans="1:16">
      <c r="A75" s="38" t="s">
        <v>27</v>
      </c>
      <c r="B75" s="1" t="s">
        <v>27</v>
      </c>
      <c r="C75" s="1" t="s">
        <v>27</v>
      </c>
      <c r="D75" s="31"/>
      <c r="E75" s="31"/>
      <c r="F75" s="31"/>
      <c r="G75" s="31"/>
      <c r="H75" s="32"/>
      <c r="I75" s="38" t="s">
        <v>27</v>
      </c>
      <c r="J75" s="1" t="s">
        <v>27</v>
      </c>
      <c r="K75" s="1" t="s">
        <v>27</v>
      </c>
      <c r="L75" s="31"/>
      <c r="M75" s="31"/>
      <c r="N75" s="31"/>
      <c r="O75" s="31"/>
      <c r="P75" s="32"/>
    </row>
    <row r="76" spans="1:16">
      <c r="A76" s="38" t="s">
        <v>27</v>
      </c>
      <c r="B76" s="1" t="s">
        <v>27</v>
      </c>
      <c r="C76" s="1" t="s">
        <v>27</v>
      </c>
      <c r="D76" s="31"/>
      <c r="E76" s="31"/>
      <c r="F76" s="31"/>
      <c r="G76" s="31"/>
      <c r="H76" s="32"/>
      <c r="I76" s="38" t="s">
        <v>27</v>
      </c>
      <c r="J76" s="1" t="s">
        <v>27</v>
      </c>
      <c r="K76" s="1" t="s">
        <v>27</v>
      </c>
      <c r="L76" s="31"/>
      <c r="M76" s="31"/>
      <c r="N76" s="31"/>
      <c r="O76" s="31"/>
      <c r="P76" s="32"/>
    </row>
    <row r="77" spans="1:16">
      <c r="A77" s="38" t="s">
        <v>27</v>
      </c>
      <c r="B77" s="1" t="s">
        <v>27</v>
      </c>
      <c r="C77" s="1" t="s">
        <v>27</v>
      </c>
      <c r="D77" s="31"/>
      <c r="E77" s="31"/>
      <c r="F77" s="31"/>
      <c r="G77" s="31"/>
      <c r="H77" s="32"/>
      <c r="I77" s="38" t="s">
        <v>27</v>
      </c>
      <c r="J77" s="1" t="s">
        <v>27</v>
      </c>
      <c r="K77" s="1" t="s">
        <v>27</v>
      </c>
      <c r="L77" s="31"/>
      <c r="M77" s="31"/>
      <c r="N77" s="31"/>
      <c r="O77" s="31"/>
      <c r="P77" s="32"/>
    </row>
    <row r="78" spans="1:16">
      <c r="A78" s="38" t="s">
        <v>27</v>
      </c>
      <c r="B78" s="1" t="s">
        <v>27</v>
      </c>
      <c r="C78" s="1" t="s">
        <v>27</v>
      </c>
      <c r="D78" s="31"/>
      <c r="E78" s="31"/>
      <c r="F78" s="31"/>
      <c r="G78" s="31"/>
      <c r="H78" s="32"/>
      <c r="I78" s="38" t="s">
        <v>27</v>
      </c>
      <c r="J78" s="1" t="s">
        <v>27</v>
      </c>
      <c r="K78" s="1" t="s">
        <v>27</v>
      </c>
      <c r="L78" s="31"/>
      <c r="M78" s="31"/>
      <c r="N78" s="31"/>
      <c r="O78" s="31"/>
      <c r="P78" s="32"/>
    </row>
    <row r="79" spans="1:16">
      <c r="A79" s="38" t="s">
        <v>27</v>
      </c>
      <c r="B79" s="1" t="s">
        <v>27</v>
      </c>
      <c r="C79" s="1" t="s">
        <v>27</v>
      </c>
      <c r="D79" s="31"/>
      <c r="E79" s="31"/>
      <c r="F79" s="31"/>
      <c r="G79" s="31"/>
      <c r="H79" s="32"/>
      <c r="I79" s="38" t="s">
        <v>27</v>
      </c>
      <c r="J79" s="1" t="s">
        <v>27</v>
      </c>
      <c r="K79" s="1" t="s">
        <v>27</v>
      </c>
      <c r="L79" s="31"/>
      <c r="M79" s="31"/>
      <c r="N79" s="31"/>
      <c r="O79" s="31"/>
      <c r="P79" s="32"/>
    </row>
    <row r="80" spans="1:16">
      <c r="A80" s="38" t="s">
        <v>27</v>
      </c>
      <c r="B80" s="1" t="s">
        <v>27</v>
      </c>
      <c r="C80" s="1" t="s">
        <v>27</v>
      </c>
      <c r="D80" s="31"/>
      <c r="E80" s="31"/>
      <c r="F80" s="31"/>
      <c r="G80" s="31"/>
      <c r="H80" s="32"/>
      <c r="I80" s="38" t="s">
        <v>27</v>
      </c>
      <c r="J80" s="1" t="s">
        <v>27</v>
      </c>
      <c r="K80" s="1" t="s">
        <v>27</v>
      </c>
      <c r="L80" s="31"/>
      <c r="M80" s="31"/>
      <c r="N80" s="31"/>
      <c r="O80" s="31"/>
      <c r="P80" s="32"/>
    </row>
    <row r="81" spans="1:16">
      <c r="A81" s="38" t="s">
        <v>27</v>
      </c>
      <c r="B81" s="1" t="s">
        <v>27</v>
      </c>
      <c r="C81" s="1" t="s">
        <v>27</v>
      </c>
      <c r="D81" s="31"/>
      <c r="E81" s="31"/>
      <c r="F81" s="31"/>
      <c r="G81" s="31"/>
      <c r="H81" s="32"/>
      <c r="I81" s="38" t="s">
        <v>27</v>
      </c>
      <c r="J81" s="1" t="s">
        <v>27</v>
      </c>
      <c r="K81" s="1" t="s">
        <v>27</v>
      </c>
      <c r="L81" s="31"/>
      <c r="M81" s="31"/>
      <c r="N81" s="31"/>
      <c r="O81" s="31"/>
      <c r="P81" s="32"/>
    </row>
    <row r="82" spans="1:16">
      <c r="A82" s="38" t="s">
        <v>27</v>
      </c>
      <c r="B82" s="1" t="s">
        <v>27</v>
      </c>
      <c r="C82" s="1" t="s">
        <v>27</v>
      </c>
      <c r="D82" s="31"/>
      <c r="E82" s="31"/>
      <c r="F82" s="31"/>
      <c r="G82" s="31"/>
      <c r="H82" s="32"/>
      <c r="I82" s="38" t="s">
        <v>27</v>
      </c>
      <c r="J82" s="1" t="s">
        <v>27</v>
      </c>
      <c r="K82" s="1" t="s">
        <v>27</v>
      </c>
      <c r="L82" s="31"/>
      <c r="M82" s="31"/>
      <c r="N82" s="31"/>
      <c r="O82" s="31"/>
      <c r="P82" s="32"/>
    </row>
    <row r="83" spans="1:16">
      <c r="A83" s="38" t="s">
        <v>27</v>
      </c>
      <c r="B83" s="1" t="s">
        <v>27</v>
      </c>
      <c r="C83" s="1" t="s">
        <v>27</v>
      </c>
      <c r="D83" s="31"/>
      <c r="E83" s="31"/>
      <c r="F83" s="31"/>
      <c r="G83" s="31"/>
      <c r="H83" s="32"/>
      <c r="I83" s="38" t="s">
        <v>27</v>
      </c>
      <c r="J83" s="1" t="s">
        <v>27</v>
      </c>
      <c r="K83" s="1" t="s">
        <v>27</v>
      </c>
      <c r="L83" s="31"/>
      <c r="M83" s="31"/>
      <c r="N83" s="31"/>
      <c r="O83" s="31"/>
      <c r="P83" s="32"/>
    </row>
    <row r="84" spans="1:16">
      <c r="A84" s="38" t="s">
        <v>27</v>
      </c>
      <c r="B84" s="1" t="s">
        <v>27</v>
      </c>
      <c r="C84" s="1" t="s">
        <v>27</v>
      </c>
      <c r="D84" s="31"/>
      <c r="E84" s="31"/>
      <c r="F84" s="31"/>
      <c r="G84" s="31"/>
      <c r="H84" s="32"/>
      <c r="I84" s="38" t="s">
        <v>27</v>
      </c>
      <c r="J84" s="1" t="s">
        <v>27</v>
      </c>
      <c r="K84" s="1" t="s">
        <v>27</v>
      </c>
      <c r="L84" s="31"/>
      <c r="M84" s="31"/>
      <c r="N84" s="31"/>
      <c r="O84" s="31"/>
      <c r="P84" s="32"/>
    </row>
    <row r="85" spans="1:16">
      <c r="A85" s="38" t="s">
        <v>27</v>
      </c>
      <c r="B85" s="1" t="s">
        <v>27</v>
      </c>
      <c r="C85" s="1" t="s">
        <v>27</v>
      </c>
      <c r="D85" s="31"/>
      <c r="E85" s="31"/>
      <c r="F85" s="31"/>
      <c r="G85" s="31"/>
      <c r="H85" s="32"/>
      <c r="I85" s="38" t="s">
        <v>27</v>
      </c>
      <c r="J85" s="1" t="s">
        <v>27</v>
      </c>
      <c r="K85" s="1" t="s">
        <v>27</v>
      </c>
      <c r="L85" s="31"/>
      <c r="M85" s="31"/>
      <c r="N85" s="31"/>
      <c r="O85" s="31"/>
      <c r="P85" s="32"/>
    </row>
    <row r="86" spans="1:16">
      <c r="A86" s="38" t="s">
        <v>27</v>
      </c>
      <c r="B86" s="1" t="s">
        <v>27</v>
      </c>
      <c r="C86" s="1" t="s">
        <v>27</v>
      </c>
      <c r="D86" s="31"/>
      <c r="E86" s="31"/>
      <c r="F86" s="31"/>
      <c r="G86" s="31"/>
      <c r="H86" s="32"/>
      <c r="I86" s="38" t="s">
        <v>27</v>
      </c>
      <c r="J86" s="1" t="s">
        <v>27</v>
      </c>
      <c r="K86" s="1" t="s">
        <v>27</v>
      </c>
      <c r="L86" s="31"/>
      <c r="M86" s="31"/>
      <c r="N86" s="31"/>
      <c r="O86" s="31"/>
      <c r="P86" s="32"/>
    </row>
    <row r="87" spans="1:16">
      <c r="A87" s="38" t="s">
        <v>27</v>
      </c>
      <c r="B87" s="1" t="s">
        <v>27</v>
      </c>
      <c r="C87" s="1" t="s">
        <v>27</v>
      </c>
      <c r="D87" s="31"/>
      <c r="E87" s="31"/>
      <c r="F87" s="31"/>
      <c r="G87" s="31"/>
      <c r="H87" s="32"/>
      <c r="I87" s="38" t="s">
        <v>27</v>
      </c>
      <c r="J87" s="1" t="s">
        <v>27</v>
      </c>
      <c r="K87" s="1" t="s">
        <v>27</v>
      </c>
      <c r="L87" s="31"/>
      <c r="M87" s="31"/>
      <c r="N87" s="31"/>
      <c r="O87" s="31"/>
      <c r="P87" s="32"/>
    </row>
    <row r="88" spans="1:16">
      <c r="A88" s="38" t="s">
        <v>27</v>
      </c>
      <c r="B88" s="1" t="s">
        <v>27</v>
      </c>
      <c r="C88" s="1" t="s">
        <v>27</v>
      </c>
      <c r="D88" s="31"/>
      <c r="E88" s="31"/>
      <c r="F88" s="31"/>
      <c r="G88" s="31"/>
      <c r="H88" s="32"/>
      <c r="I88" s="38" t="s">
        <v>27</v>
      </c>
      <c r="J88" s="1" t="s">
        <v>27</v>
      </c>
      <c r="K88" s="1" t="s">
        <v>27</v>
      </c>
      <c r="L88" s="31"/>
      <c r="M88" s="31"/>
      <c r="N88" s="31"/>
      <c r="O88" s="31"/>
      <c r="P88" s="32"/>
    </row>
    <row r="89" spans="1:16">
      <c r="A89" s="38" t="s">
        <v>27</v>
      </c>
      <c r="B89" s="1" t="s">
        <v>27</v>
      </c>
      <c r="C89" s="1" t="s">
        <v>27</v>
      </c>
      <c r="D89" s="31"/>
      <c r="E89" s="31"/>
      <c r="F89" s="31"/>
      <c r="G89" s="31"/>
      <c r="H89" s="32"/>
      <c r="I89" s="38" t="s">
        <v>27</v>
      </c>
      <c r="J89" s="1" t="s">
        <v>27</v>
      </c>
      <c r="K89" s="1" t="s">
        <v>27</v>
      </c>
      <c r="L89" s="31"/>
      <c r="M89" s="31"/>
      <c r="N89" s="31"/>
      <c r="O89" s="31"/>
      <c r="P89" s="32"/>
    </row>
    <row r="90" spans="1:16">
      <c r="A90" s="38" t="s">
        <v>27</v>
      </c>
      <c r="B90" s="1" t="s">
        <v>27</v>
      </c>
      <c r="C90" s="1" t="s">
        <v>27</v>
      </c>
      <c r="D90" s="31"/>
      <c r="E90" s="31"/>
      <c r="F90" s="31"/>
      <c r="G90" s="31"/>
      <c r="H90" s="32"/>
      <c r="I90" s="38" t="s">
        <v>27</v>
      </c>
      <c r="J90" s="1" t="s">
        <v>27</v>
      </c>
      <c r="K90" s="1" t="s">
        <v>27</v>
      </c>
      <c r="L90" s="31"/>
      <c r="M90" s="31"/>
      <c r="N90" s="31"/>
      <c r="O90" s="31"/>
      <c r="P90" s="32"/>
    </row>
    <row r="91" spans="1:16">
      <c r="A91" s="38" t="s">
        <v>27</v>
      </c>
      <c r="B91" s="1" t="s">
        <v>27</v>
      </c>
      <c r="C91" s="1" t="s">
        <v>27</v>
      </c>
      <c r="D91" s="31"/>
      <c r="E91" s="31"/>
      <c r="F91" s="31"/>
      <c r="G91" s="31"/>
      <c r="H91" s="32"/>
      <c r="I91" s="38" t="s">
        <v>27</v>
      </c>
      <c r="J91" s="1" t="s">
        <v>27</v>
      </c>
      <c r="K91" s="1" t="s">
        <v>27</v>
      </c>
      <c r="L91" s="31"/>
      <c r="M91" s="31"/>
      <c r="N91" s="31"/>
      <c r="O91" s="31"/>
      <c r="P91" s="32"/>
    </row>
    <row r="92" spans="1:16">
      <c r="A92" s="38" t="s">
        <v>27</v>
      </c>
      <c r="B92" s="1" t="s">
        <v>27</v>
      </c>
      <c r="C92" s="1" t="s">
        <v>27</v>
      </c>
      <c r="D92" s="31"/>
      <c r="E92" s="31"/>
      <c r="F92" s="31"/>
      <c r="G92" s="31"/>
      <c r="H92" s="32"/>
      <c r="I92" s="38" t="s">
        <v>27</v>
      </c>
      <c r="J92" s="1" t="s">
        <v>27</v>
      </c>
      <c r="K92" s="1" t="s">
        <v>27</v>
      </c>
      <c r="L92" s="31"/>
      <c r="M92" s="31"/>
      <c r="N92" s="31"/>
      <c r="O92" s="31"/>
      <c r="P92" s="32"/>
    </row>
    <row r="93" spans="1:16">
      <c r="A93" s="38" t="s">
        <v>27</v>
      </c>
      <c r="B93" s="1" t="s">
        <v>27</v>
      </c>
      <c r="C93" s="1" t="s">
        <v>27</v>
      </c>
      <c r="D93" s="31"/>
      <c r="E93" s="31"/>
      <c r="F93" s="31"/>
      <c r="G93" s="31"/>
      <c r="H93" s="32"/>
      <c r="I93" s="38" t="s">
        <v>27</v>
      </c>
      <c r="J93" s="1" t="s">
        <v>27</v>
      </c>
      <c r="K93" s="1" t="s">
        <v>27</v>
      </c>
      <c r="L93" s="31"/>
      <c r="M93" s="31"/>
      <c r="N93" s="31"/>
      <c r="O93" s="31"/>
      <c r="P93" s="32"/>
    </row>
    <row r="94" spans="1:16">
      <c r="A94" s="38" t="s">
        <v>27</v>
      </c>
      <c r="B94" s="1" t="s">
        <v>27</v>
      </c>
      <c r="C94" s="1" t="s">
        <v>27</v>
      </c>
      <c r="D94" s="31"/>
      <c r="E94" s="31"/>
      <c r="F94" s="31"/>
      <c r="G94" s="31"/>
      <c r="H94" s="32"/>
      <c r="I94" s="38" t="s">
        <v>27</v>
      </c>
      <c r="J94" s="1" t="s">
        <v>27</v>
      </c>
      <c r="K94" s="1" t="s">
        <v>27</v>
      </c>
      <c r="L94" s="31"/>
      <c r="M94" s="31"/>
      <c r="N94" s="31"/>
      <c r="O94" s="31"/>
      <c r="P94" s="32"/>
    </row>
    <row r="95" spans="1:16">
      <c r="A95" s="38" t="s">
        <v>27</v>
      </c>
      <c r="B95" s="1" t="s">
        <v>27</v>
      </c>
      <c r="C95" s="1" t="s">
        <v>27</v>
      </c>
      <c r="D95" s="31"/>
      <c r="E95" s="31"/>
      <c r="F95" s="31"/>
      <c r="G95" s="31"/>
      <c r="H95" s="32"/>
      <c r="I95" s="38" t="s">
        <v>27</v>
      </c>
      <c r="J95" s="1" t="s">
        <v>27</v>
      </c>
      <c r="K95" s="1" t="s">
        <v>27</v>
      </c>
      <c r="L95" s="31"/>
      <c r="M95" s="31"/>
      <c r="N95" s="31"/>
      <c r="O95" s="31"/>
      <c r="P95" s="32"/>
    </row>
    <row r="96" spans="1:16">
      <c r="A96" s="38" t="s">
        <v>27</v>
      </c>
      <c r="B96" s="1" t="s">
        <v>27</v>
      </c>
      <c r="C96" s="1" t="s">
        <v>27</v>
      </c>
      <c r="D96" s="31"/>
      <c r="E96" s="31"/>
      <c r="F96" s="31"/>
      <c r="G96" s="31"/>
      <c r="H96" s="32"/>
      <c r="I96" s="38" t="s">
        <v>27</v>
      </c>
      <c r="J96" s="1" t="s">
        <v>27</v>
      </c>
      <c r="K96" s="1" t="s">
        <v>27</v>
      </c>
      <c r="L96" s="31"/>
      <c r="M96" s="31"/>
      <c r="N96" s="31"/>
      <c r="O96" s="31"/>
      <c r="P96" s="32"/>
    </row>
    <row r="97" spans="1:16">
      <c r="A97" s="38" t="s">
        <v>27</v>
      </c>
      <c r="B97" s="1" t="s">
        <v>27</v>
      </c>
      <c r="C97" s="1" t="s">
        <v>27</v>
      </c>
      <c r="D97" s="31"/>
      <c r="E97" s="31"/>
      <c r="F97" s="31"/>
      <c r="G97" s="31"/>
      <c r="H97" s="32"/>
      <c r="I97" s="38" t="s">
        <v>27</v>
      </c>
      <c r="J97" s="1" t="s">
        <v>27</v>
      </c>
      <c r="K97" s="1" t="s">
        <v>27</v>
      </c>
      <c r="L97" s="31"/>
      <c r="M97" s="31"/>
      <c r="N97" s="31"/>
      <c r="O97" s="31"/>
      <c r="P97" s="32"/>
    </row>
    <row r="98" spans="1:16">
      <c r="A98" s="38" t="s">
        <v>27</v>
      </c>
      <c r="B98" s="1" t="s">
        <v>27</v>
      </c>
      <c r="C98" s="1" t="s">
        <v>27</v>
      </c>
      <c r="D98" s="31"/>
      <c r="E98" s="31"/>
      <c r="F98" s="31"/>
      <c r="G98" s="31"/>
      <c r="H98" s="32"/>
      <c r="I98" s="38" t="s">
        <v>27</v>
      </c>
      <c r="J98" s="1" t="s">
        <v>27</v>
      </c>
      <c r="K98" s="1" t="s">
        <v>27</v>
      </c>
      <c r="L98" s="31"/>
      <c r="M98" s="31"/>
      <c r="N98" s="31"/>
      <c r="O98" s="31"/>
      <c r="P98" s="32"/>
    </row>
    <row r="99" spans="1:16">
      <c r="A99" s="38" t="s">
        <v>27</v>
      </c>
      <c r="B99" s="1" t="s">
        <v>27</v>
      </c>
      <c r="C99" s="1" t="s">
        <v>27</v>
      </c>
      <c r="D99" s="31"/>
      <c r="E99" s="31"/>
      <c r="F99" s="31"/>
      <c r="G99" s="31"/>
      <c r="H99" s="32"/>
      <c r="I99" s="38" t="s">
        <v>27</v>
      </c>
      <c r="J99" s="1" t="s">
        <v>27</v>
      </c>
      <c r="K99" s="1" t="s">
        <v>27</v>
      </c>
      <c r="L99" s="31"/>
      <c r="M99" s="31"/>
      <c r="N99" s="31"/>
      <c r="O99" s="31"/>
      <c r="P99" s="32"/>
    </row>
    <row r="100" spans="1:16" ht="15" thickBot="1">
      <c r="A100" s="39" t="s">
        <v>27</v>
      </c>
      <c r="B100" s="40" t="s">
        <v>27</v>
      </c>
      <c r="C100" s="40" t="s">
        <v>27</v>
      </c>
      <c r="D100" s="41"/>
      <c r="E100" s="41"/>
      <c r="F100" s="41"/>
      <c r="G100" s="41"/>
      <c r="H100" s="42"/>
      <c r="I100" s="39" t="s">
        <v>27</v>
      </c>
      <c r="J100" s="40" t="s">
        <v>27</v>
      </c>
      <c r="K100" s="40" t="s">
        <v>27</v>
      </c>
      <c r="L100" s="41"/>
      <c r="M100" s="41"/>
      <c r="N100" s="41"/>
      <c r="O100" s="41"/>
      <c r="P100" s="4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4CDD-71C4-4535-B75B-FEE5A219C0B2}">
  <dimension ref="A1:AB100"/>
  <sheetViews>
    <sheetView topLeftCell="C1" workbookViewId="0">
      <selection activeCell="U18" sqref="U18"/>
    </sheetView>
  </sheetViews>
  <sheetFormatPr defaultRowHeight="14.4"/>
  <sheetData>
    <row r="1" spans="1:28" ht="15.6">
      <c r="A1" s="70" t="s">
        <v>30</v>
      </c>
      <c r="B1" s="71"/>
      <c r="C1" s="71"/>
      <c r="D1" s="71"/>
      <c r="E1" s="71"/>
      <c r="F1" s="72" t="s">
        <v>3</v>
      </c>
      <c r="G1" s="72"/>
      <c r="H1" s="27" cm="1">
        <f t="array" ref="H1">SUM(VLOOKUP(A4:C100,$T$3:$W$36,4,FALSE))+H4*10-H8*50</f>
        <v>2499.7752794047424</v>
      </c>
      <c r="I1" s="73" t="s">
        <v>41</v>
      </c>
      <c r="J1" s="74"/>
      <c r="K1" s="74"/>
      <c r="L1" s="74"/>
      <c r="M1" s="74"/>
      <c r="N1" s="74"/>
      <c r="O1" s="74"/>
      <c r="P1" s="75"/>
      <c r="Q1" s="73" t="s">
        <v>48</v>
      </c>
      <c r="R1" s="74"/>
      <c r="S1" s="74"/>
      <c r="T1" s="74"/>
      <c r="U1" s="74"/>
      <c r="V1" s="74"/>
      <c r="W1" s="74"/>
      <c r="X1" s="74"/>
      <c r="Y1" s="74"/>
      <c r="Z1" s="74"/>
      <c r="AA1" s="74"/>
      <c r="AB1" s="75"/>
    </row>
    <row r="2" spans="1:28" ht="28.8">
      <c r="A2" s="76" t="s">
        <v>35</v>
      </c>
      <c r="B2" s="77"/>
      <c r="C2" s="77"/>
      <c r="D2" s="78" t="s">
        <v>37</v>
      </c>
      <c r="E2" s="79"/>
      <c r="F2" s="79"/>
      <c r="G2" s="79"/>
      <c r="H2" s="80"/>
      <c r="I2" s="81" t="s">
        <v>35</v>
      </c>
      <c r="J2" s="82"/>
      <c r="K2" s="82"/>
      <c r="L2" s="83" t="s">
        <v>37</v>
      </c>
      <c r="M2" s="83"/>
      <c r="N2" s="83"/>
      <c r="O2" s="83"/>
      <c r="P2" s="84"/>
      <c r="Q2" s="60" t="s">
        <v>43</v>
      </c>
      <c r="R2" s="61" cm="1">
        <f t="array" ref="R2">SUM(V3:V28*AB3:AB28)+H6+P6+R4*500</f>
        <v>65115</v>
      </c>
      <c r="S2" s="31"/>
      <c r="T2" s="1" t="s">
        <v>0</v>
      </c>
      <c r="U2" s="1" t="s">
        <v>1</v>
      </c>
      <c r="V2" s="1" t="s">
        <v>2</v>
      </c>
      <c r="W2" s="54" t="s">
        <v>3</v>
      </c>
      <c r="X2" s="56" t="s">
        <v>44</v>
      </c>
      <c r="Y2" s="56" t="s">
        <v>56</v>
      </c>
      <c r="Z2" s="57" t="s">
        <v>45</v>
      </c>
      <c r="AA2" s="57" t="s">
        <v>46</v>
      </c>
      <c r="AB2" s="62" t="s">
        <v>47</v>
      </c>
    </row>
    <row r="3" spans="1:28">
      <c r="A3" s="28" t="s">
        <v>31</v>
      </c>
      <c r="B3" s="68" t="s">
        <v>32</v>
      </c>
      <c r="C3" s="20" t="s">
        <v>33</v>
      </c>
      <c r="D3" s="43"/>
      <c r="E3" s="28" t="s">
        <v>31</v>
      </c>
      <c r="F3" s="68" t="s">
        <v>32</v>
      </c>
      <c r="G3" s="20" t="s">
        <v>33</v>
      </c>
      <c r="H3" s="44" t="s">
        <v>36</v>
      </c>
      <c r="I3" s="28" t="s">
        <v>31</v>
      </c>
      <c r="J3" s="68" t="s">
        <v>32</v>
      </c>
      <c r="K3" s="20" t="s">
        <v>33</v>
      </c>
      <c r="L3" s="43"/>
      <c r="M3" s="28" t="s">
        <v>31</v>
      </c>
      <c r="N3" s="68" t="s">
        <v>32</v>
      </c>
      <c r="O3" s="20" t="s">
        <v>33</v>
      </c>
      <c r="P3" s="44" t="s">
        <v>36</v>
      </c>
      <c r="Q3" s="63" t="s">
        <v>49</v>
      </c>
      <c r="R3" s="31">
        <v>91</v>
      </c>
      <c r="S3" s="31"/>
      <c r="T3" s="2" t="s">
        <v>4</v>
      </c>
      <c r="U3" s="1">
        <v>150</v>
      </c>
      <c r="V3" s="1">
        <v>35</v>
      </c>
      <c r="W3" s="55">
        <f>U3-V3/0.330882</f>
        <v>44.222109392472248</v>
      </c>
      <c r="X3" s="56"/>
      <c r="Y3" s="56">
        <v>10</v>
      </c>
      <c r="Z3" s="1">
        <f>COUNTIF($A$4:$C$100,T3)</f>
        <v>6</v>
      </c>
      <c r="AA3" s="1">
        <f>COUNTIF($I$4:$K$100,T3)</f>
        <v>4</v>
      </c>
      <c r="AB3" s="64">
        <f>Y3-Z3-AA3</f>
        <v>0</v>
      </c>
    </row>
    <row r="4" spans="1:28">
      <c r="A4" s="2" t="s">
        <v>4</v>
      </c>
      <c r="B4" s="15" t="s">
        <v>17</v>
      </c>
      <c r="C4" s="3" t="s">
        <v>5</v>
      </c>
      <c r="D4" s="53" t="s">
        <v>34</v>
      </c>
      <c r="E4" s="49">
        <v>5</v>
      </c>
      <c r="F4" s="49">
        <v>0</v>
      </c>
      <c r="G4" s="49">
        <v>2</v>
      </c>
      <c r="H4" s="46">
        <f>SUM(E4:G4)</f>
        <v>7</v>
      </c>
      <c r="I4" s="1" t="s">
        <v>27</v>
      </c>
      <c r="J4" s="1" t="s">
        <v>27</v>
      </c>
      <c r="K4" s="1" t="s">
        <v>27</v>
      </c>
      <c r="L4" s="53" t="s">
        <v>34</v>
      </c>
      <c r="M4" s="49">
        <v>0</v>
      </c>
      <c r="N4" s="49">
        <v>3</v>
      </c>
      <c r="O4" s="49">
        <v>0</v>
      </c>
      <c r="P4" s="46">
        <f>SUM(M4:O4)</f>
        <v>3</v>
      </c>
      <c r="Q4" s="63" t="s">
        <v>50</v>
      </c>
      <c r="R4" s="50">
        <v>14</v>
      </c>
      <c r="S4" s="31"/>
      <c r="T4" s="3" t="s">
        <v>5</v>
      </c>
      <c r="U4" s="1">
        <v>160</v>
      </c>
      <c r="V4" s="1">
        <v>40</v>
      </c>
      <c r="W4" s="55">
        <f t="shared" ref="W4" si="0">U4-V4/0.330882</f>
        <v>39.110982162825422</v>
      </c>
      <c r="X4" s="56"/>
      <c r="Y4" s="56">
        <v>50</v>
      </c>
      <c r="Z4" s="1">
        <f t="shared" ref="Z4:Z28" si="1">COUNTIF($A$4:$C$100,T4)</f>
        <v>13</v>
      </c>
      <c r="AA4" s="1">
        <f t="shared" ref="AA4:AA28" si="2">COUNTIF($I$4:$K$100,T4)</f>
        <v>37</v>
      </c>
      <c r="AB4" s="64">
        <f t="shared" ref="AB4:AB28" si="3">Y4-Z4-AA4</f>
        <v>0</v>
      </c>
    </row>
    <row r="5" spans="1:28">
      <c r="A5" s="2" t="s">
        <v>4</v>
      </c>
      <c r="B5" s="3" t="s">
        <v>5</v>
      </c>
      <c r="C5" s="16" t="s">
        <v>18</v>
      </c>
      <c r="D5" s="43" t="s">
        <v>38</v>
      </c>
      <c r="E5" s="45" cm="1">
        <f t="array" ref="E5">(SUM(VLOOKUP(A4:A100,$T$3:$W$41,2,FALSE))+E4*10)-E8*50</f>
        <v>5830</v>
      </c>
      <c r="F5" s="45" cm="1">
        <f t="array" ref="F5">(SUM(VLOOKUP(B4:B100,$T$3:$W$41,2,FALSE))+F4*10)-F8*50</f>
        <v>900</v>
      </c>
      <c r="G5" s="45" cm="1">
        <f t="array" ref="G5">(SUM(VLOOKUP(C4:C100,$T$3:$W$41,2,FALSE))+G4*10)-G8*50</f>
        <v>5930</v>
      </c>
      <c r="H5" s="69">
        <f t="shared" ref="H5:H8" si="4">SUM(E5:G5)</f>
        <v>12660</v>
      </c>
      <c r="I5" s="1" t="s">
        <v>27</v>
      </c>
      <c r="J5" s="1" t="s">
        <v>27</v>
      </c>
      <c r="K5" s="1" t="s">
        <v>27</v>
      </c>
      <c r="L5" s="43" t="s">
        <v>38</v>
      </c>
      <c r="M5" s="45" cm="1">
        <f t="array" ref="M5">(SUM(VLOOKUP(I4:I100,$T$3:$W$41,2,FALSE))+M4*10)*0.8-M8*40</f>
        <v>0</v>
      </c>
      <c r="N5" s="45" cm="1">
        <f t="array" ref="N5">(SUM(VLOOKUP(J4:J100,$T$3:$W$41,2,FALSE))+N4*10)*0.8-N8*40</f>
        <v>5640</v>
      </c>
      <c r="O5" s="45" cm="1">
        <f t="array" ref="O5">(SUM(VLOOKUP(K4:K100,$T$3:$W$41,2,FALSE))+O4*10)*0.8-O8*40</f>
        <v>0</v>
      </c>
      <c r="P5" s="69">
        <f t="shared" ref="P5:P8" si="5">SUM(M5:O5)</f>
        <v>5640</v>
      </c>
      <c r="Q5" s="63" t="s">
        <v>51</v>
      </c>
      <c r="R5" s="31">
        <v>6000</v>
      </c>
      <c r="S5" s="31"/>
      <c r="T5" s="4" t="s">
        <v>6</v>
      </c>
      <c r="U5" s="1">
        <v>170</v>
      </c>
      <c r="V5" s="1">
        <v>45</v>
      </c>
      <c r="W5" s="55">
        <v>34</v>
      </c>
      <c r="X5" s="58"/>
      <c r="Y5" s="56">
        <v>237</v>
      </c>
      <c r="Z5" s="1">
        <f t="shared" si="1"/>
        <v>48</v>
      </c>
      <c r="AA5" s="1">
        <f t="shared" si="2"/>
        <v>0</v>
      </c>
      <c r="AB5" s="64">
        <f t="shared" si="3"/>
        <v>189</v>
      </c>
    </row>
    <row r="6" spans="1:28">
      <c r="A6" s="2" t="s">
        <v>4</v>
      </c>
      <c r="B6" s="3" t="s">
        <v>5</v>
      </c>
      <c r="C6" s="3" t="s">
        <v>5</v>
      </c>
      <c r="D6" s="43" t="s">
        <v>39</v>
      </c>
      <c r="E6" s="45" cm="1">
        <f t="array" ref="E6">(SUM(VLOOKUP(A4:A100,$T$3:$W$41,3,FALSE)))</f>
        <v>1820</v>
      </c>
      <c r="F6" s="45" cm="1">
        <f t="array" ref="F6">(SUM(VLOOKUP(B4:B100,$T$3:$W$41,3,FALSE)))</f>
        <v>260</v>
      </c>
      <c r="G6" s="45" cm="1">
        <f t="array" ref="G6">(SUM(VLOOKUP(C4:C100,$T$3:$W$41,3,FALSE)))</f>
        <v>2290</v>
      </c>
      <c r="H6" s="59">
        <f t="shared" si="4"/>
        <v>4370</v>
      </c>
      <c r="I6" s="1" t="s">
        <v>27</v>
      </c>
      <c r="J6" s="1" t="s">
        <v>27</v>
      </c>
      <c r="K6" s="1" t="s">
        <v>27</v>
      </c>
      <c r="L6" s="43" t="s">
        <v>39</v>
      </c>
      <c r="M6" s="45" cm="1">
        <f t="array" ref="M6">(SUM(VLOOKUP(I4:I100,$T$3:$W$41,3,FALSE)))</f>
        <v>0</v>
      </c>
      <c r="N6" s="45" cm="1">
        <f t="array" ref="N6">(SUM(VLOOKUP(J4:J100,$T$3:$W$41,3,FALSE)))</f>
        <v>2070</v>
      </c>
      <c r="O6" s="45" cm="1">
        <f t="array" ref="O6">(SUM(VLOOKUP(K4:K100,$T$3:$W$41,3,FALSE)))</f>
        <v>0</v>
      </c>
      <c r="P6" s="59">
        <f t="shared" si="5"/>
        <v>2070</v>
      </c>
      <c r="Q6" s="60" t="s">
        <v>52</v>
      </c>
      <c r="R6" s="31">
        <f>R3*1600-800+R5</f>
        <v>150800</v>
      </c>
      <c r="S6" s="31"/>
      <c r="T6" s="5" t="s">
        <v>7</v>
      </c>
      <c r="U6" s="1">
        <v>180</v>
      </c>
      <c r="V6" s="1">
        <v>50</v>
      </c>
      <c r="W6" s="55">
        <v>36</v>
      </c>
      <c r="X6" s="56">
        <v>265</v>
      </c>
      <c r="Y6" s="56">
        <v>265</v>
      </c>
      <c r="Z6" s="1">
        <f t="shared" si="1"/>
        <v>0</v>
      </c>
      <c r="AA6" s="1">
        <f t="shared" si="2"/>
        <v>0</v>
      </c>
      <c r="AB6" s="64">
        <f t="shared" si="3"/>
        <v>265</v>
      </c>
    </row>
    <row r="7" spans="1:28">
      <c r="A7" s="2" t="s">
        <v>4</v>
      </c>
      <c r="B7" s="3" t="s">
        <v>5</v>
      </c>
      <c r="C7" s="23" t="s">
        <v>29</v>
      </c>
      <c r="D7" s="43" t="s">
        <v>40</v>
      </c>
      <c r="E7" s="45">
        <f>COUNTIF(A4:A100,"&lt;&gt;空")</f>
        <v>36</v>
      </c>
      <c r="F7" s="45">
        <f>COUNTIF(B4:B100,"&lt;&gt;空")</f>
        <v>7</v>
      </c>
      <c r="G7" s="45">
        <f>COUNTIF(C4:C100,"&lt;&gt;空")</f>
        <v>40</v>
      </c>
      <c r="H7" s="46">
        <f t="shared" si="4"/>
        <v>83</v>
      </c>
      <c r="I7" s="1" t="s">
        <v>27</v>
      </c>
      <c r="J7" s="1" t="s">
        <v>27</v>
      </c>
      <c r="K7" s="1" t="s">
        <v>27</v>
      </c>
      <c r="L7" s="43" t="s">
        <v>40</v>
      </c>
      <c r="M7" s="45">
        <f>COUNTIF(I4:I100,"&lt;&gt;空")</f>
        <v>0</v>
      </c>
      <c r="N7" s="45">
        <f>COUNTIF(J4:J100,"&lt;&gt;空")</f>
        <v>57</v>
      </c>
      <c r="O7" s="45">
        <f>COUNTIF(K4:K100,"&lt;&gt;空")</f>
        <v>0</v>
      </c>
      <c r="P7" s="46">
        <f t="shared" si="5"/>
        <v>57</v>
      </c>
      <c r="Q7" s="63" t="s">
        <v>55</v>
      </c>
      <c r="R7" s="31">
        <v>15</v>
      </c>
      <c r="S7" s="31"/>
      <c r="T7" s="6" t="s">
        <v>8</v>
      </c>
      <c r="U7" s="1">
        <v>190</v>
      </c>
      <c r="V7" s="1">
        <v>55</v>
      </c>
      <c r="W7" s="55">
        <v>38</v>
      </c>
      <c r="X7" s="56">
        <v>234</v>
      </c>
      <c r="Y7" s="56">
        <v>234</v>
      </c>
      <c r="Z7" s="1">
        <f t="shared" si="1"/>
        <v>0</v>
      </c>
      <c r="AA7" s="1">
        <f t="shared" si="2"/>
        <v>0</v>
      </c>
      <c r="AB7" s="64">
        <f t="shared" si="3"/>
        <v>234</v>
      </c>
    </row>
    <row r="8" spans="1:28">
      <c r="A8" s="2" t="s">
        <v>4</v>
      </c>
      <c r="B8" s="3" t="s">
        <v>5</v>
      </c>
      <c r="C8" s="3" t="s">
        <v>5</v>
      </c>
      <c r="D8" s="52" t="s">
        <v>53</v>
      </c>
      <c r="E8" s="51">
        <v>1</v>
      </c>
      <c r="F8" s="51">
        <v>0</v>
      </c>
      <c r="G8" s="51">
        <v>0</v>
      </c>
      <c r="H8" s="46">
        <f t="shared" si="4"/>
        <v>1</v>
      </c>
      <c r="I8" s="1" t="s">
        <v>27</v>
      </c>
      <c r="J8" s="1" t="s">
        <v>27</v>
      </c>
      <c r="K8" s="1" t="s">
        <v>27</v>
      </c>
      <c r="L8" s="52" t="s">
        <v>53</v>
      </c>
      <c r="M8" s="51">
        <v>0</v>
      </c>
      <c r="N8" s="51">
        <v>2</v>
      </c>
      <c r="O8" s="51">
        <v>0</v>
      </c>
      <c r="P8" s="46">
        <f t="shared" si="5"/>
        <v>2</v>
      </c>
      <c r="Q8" s="60" t="s">
        <v>54</v>
      </c>
      <c r="R8" s="65" cm="1">
        <f t="array" ref="R8">R6-P5-H5-SUM(U3:U28*AB3:AB28)*0.8-R7*8</f>
        <v>108</v>
      </c>
      <c r="S8" s="31"/>
      <c r="T8" s="7" t="s">
        <v>9</v>
      </c>
      <c r="U8" s="1">
        <v>200</v>
      </c>
      <c r="V8" s="1">
        <v>60</v>
      </c>
      <c r="W8" s="55"/>
      <c r="X8" s="56">
        <v>194</v>
      </c>
      <c r="Y8" s="56">
        <v>194</v>
      </c>
      <c r="Z8" s="1">
        <f t="shared" si="1"/>
        <v>0</v>
      </c>
      <c r="AA8" s="1">
        <f t="shared" si="2"/>
        <v>0</v>
      </c>
      <c r="AB8" s="64">
        <f t="shared" si="3"/>
        <v>194</v>
      </c>
    </row>
    <row r="9" spans="1:28">
      <c r="A9" s="2" t="s">
        <v>4</v>
      </c>
      <c r="B9" s="3" t="s">
        <v>5</v>
      </c>
      <c r="C9" s="3" t="s">
        <v>5</v>
      </c>
      <c r="D9" s="31"/>
      <c r="E9" s="31"/>
      <c r="F9" s="31"/>
      <c r="G9" s="31"/>
      <c r="H9" s="32"/>
      <c r="I9" s="1" t="s">
        <v>27</v>
      </c>
      <c r="J9" s="1" t="s">
        <v>27</v>
      </c>
      <c r="K9" s="1" t="s">
        <v>27</v>
      </c>
      <c r="L9" s="43" t="s">
        <v>42</v>
      </c>
      <c r="M9" s="47" t="e">
        <f>M6/M5</f>
        <v>#DIV/0!</v>
      </c>
      <c r="N9" s="47">
        <f>N6/N5</f>
        <v>0.36702127659574468</v>
      </c>
      <c r="O9" s="47" t="e">
        <f>O6/O5</f>
        <v>#DIV/0!</v>
      </c>
      <c r="P9" s="48">
        <f>P6/P5</f>
        <v>0.36702127659574468</v>
      </c>
      <c r="Q9" s="60"/>
      <c r="R9" s="31"/>
      <c r="S9" s="31"/>
      <c r="T9" s="8" t="s">
        <v>10</v>
      </c>
      <c r="U9" s="1">
        <v>150</v>
      </c>
      <c r="V9" s="1">
        <v>35</v>
      </c>
      <c r="W9" s="55">
        <f t="shared" ref="W9:W11" si="6">U9-V9/0.330882</f>
        <v>44.222109392472248</v>
      </c>
      <c r="X9" s="56">
        <v>3</v>
      </c>
      <c r="Y9" s="56">
        <v>0</v>
      </c>
      <c r="Z9" s="1">
        <f t="shared" si="1"/>
        <v>0</v>
      </c>
      <c r="AA9" s="1">
        <f t="shared" si="2"/>
        <v>0</v>
      </c>
      <c r="AB9" s="64">
        <f t="shared" si="3"/>
        <v>0</v>
      </c>
    </row>
    <row r="10" spans="1:28">
      <c r="A10" s="1" t="s">
        <v>27</v>
      </c>
      <c r="B10" s="1" t="s">
        <v>27</v>
      </c>
      <c r="C10" s="3" t="s">
        <v>5</v>
      </c>
      <c r="D10" s="31"/>
      <c r="E10" s="31"/>
      <c r="F10" s="31"/>
      <c r="G10" s="31"/>
      <c r="H10" s="32"/>
      <c r="I10" s="1" t="s">
        <v>27</v>
      </c>
      <c r="J10" s="3" t="s">
        <v>5</v>
      </c>
      <c r="K10" s="1" t="s">
        <v>27</v>
      </c>
      <c r="L10" s="31"/>
      <c r="M10" s="31"/>
      <c r="N10" s="31"/>
      <c r="O10" s="31"/>
      <c r="P10" s="32"/>
      <c r="Q10" s="60"/>
      <c r="R10" s="31"/>
      <c r="S10" s="31"/>
      <c r="T10" s="9" t="s">
        <v>11</v>
      </c>
      <c r="U10" s="1">
        <v>150</v>
      </c>
      <c r="V10" s="1">
        <v>40</v>
      </c>
      <c r="W10" s="55">
        <f t="shared" si="6"/>
        <v>29.110982162825422</v>
      </c>
      <c r="X10" s="56">
        <v>7</v>
      </c>
      <c r="Y10" s="56">
        <v>3</v>
      </c>
      <c r="Z10" s="1">
        <f t="shared" si="1"/>
        <v>0</v>
      </c>
      <c r="AA10" s="1">
        <f t="shared" si="2"/>
        <v>3</v>
      </c>
      <c r="AB10" s="64">
        <f t="shared" si="3"/>
        <v>0</v>
      </c>
    </row>
    <row r="11" spans="1:28">
      <c r="A11" s="1" t="s">
        <v>27</v>
      </c>
      <c r="B11" s="1" t="s">
        <v>27</v>
      </c>
      <c r="C11" s="3" t="s">
        <v>5</v>
      </c>
      <c r="D11" s="31"/>
      <c r="E11" s="31"/>
      <c r="F11" s="31"/>
      <c r="G11" s="31"/>
      <c r="H11" s="32"/>
      <c r="I11" s="1" t="s">
        <v>27</v>
      </c>
      <c r="J11" s="16" t="s">
        <v>28</v>
      </c>
      <c r="K11" s="1" t="s">
        <v>27</v>
      </c>
      <c r="L11" s="31"/>
      <c r="M11" s="31"/>
      <c r="N11" s="31"/>
      <c r="O11" s="31"/>
      <c r="P11" s="32">
        <f>H5+P5</f>
        <v>18300</v>
      </c>
      <c r="Q11" s="60"/>
      <c r="R11" s="31"/>
      <c r="S11" s="31"/>
      <c r="T11" s="10" t="s">
        <v>12</v>
      </c>
      <c r="U11" s="1">
        <v>150</v>
      </c>
      <c r="V11" s="1">
        <v>45</v>
      </c>
      <c r="W11" s="55">
        <f t="shared" si="6"/>
        <v>13.999854933178597</v>
      </c>
      <c r="X11" s="56">
        <v>6</v>
      </c>
      <c r="Y11" s="56">
        <v>6</v>
      </c>
      <c r="Z11" s="1">
        <f t="shared" si="1"/>
        <v>1</v>
      </c>
      <c r="AA11" s="1">
        <f t="shared" si="2"/>
        <v>0</v>
      </c>
      <c r="AB11" s="64">
        <f t="shared" si="3"/>
        <v>5</v>
      </c>
    </row>
    <row r="12" spans="1:28">
      <c r="A12" s="1" t="s">
        <v>27</v>
      </c>
      <c r="B12" s="1" t="s">
        <v>27</v>
      </c>
      <c r="C12" s="3" t="s">
        <v>5</v>
      </c>
      <c r="D12" s="31"/>
      <c r="E12" s="31"/>
      <c r="F12" s="31"/>
      <c r="G12" s="31"/>
      <c r="H12" s="32"/>
      <c r="I12" s="1" t="s">
        <v>27</v>
      </c>
      <c r="J12" s="3" t="s">
        <v>5</v>
      </c>
      <c r="K12" s="1" t="s">
        <v>27</v>
      </c>
      <c r="L12" s="31"/>
      <c r="M12" s="31"/>
      <c r="N12" s="31"/>
      <c r="O12" s="31"/>
      <c r="P12" s="32">
        <f>H6+P6</f>
        <v>6440</v>
      </c>
      <c r="Q12" s="60"/>
      <c r="R12" s="31"/>
      <c r="S12" s="31"/>
      <c r="T12" s="11" t="s">
        <v>13</v>
      </c>
      <c r="U12" s="1">
        <v>150</v>
      </c>
      <c r="V12" s="1">
        <v>50</v>
      </c>
      <c r="W12" s="55"/>
      <c r="X12" s="56">
        <v>4</v>
      </c>
      <c r="Y12" s="56">
        <v>4</v>
      </c>
      <c r="Z12" s="1">
        <f t="shared" si="1"/>
        <v>0</v>
      </c>
      <c r="AA12" s="1">
        <f t="shared" si="2"/>
        <v>0</v>
      </c>
      <c r="AB12" s="64">
        <f t="shared" si="3"/>
        <v>4</v>
      </c>
    </row>
    <row r="13" spans="1:28">
      <c r="A13" s="1" t="s">
        <v>27</v>
      </c>
      <c r="B13" s="1" t="s">
        <v>27</v>
      </c>
      <c r="C13" s="1" t="s">
        <v>27</v>
      </c>
      <c r="D13" s="31"/>
      <c r="E13" s="31"/>
      <c r="F13" s="31"/>
      <c r="G13" s="31"/>
      <c r="H13" s="32"/>
      <c r="I13" s="1" t="s">
        <v>27</v>
      </c>
      <c r="J13" s="3" t="s">
        <v>5</v>
      </c>
      <c r="K13" s="1" t="s">
        <v>27</v>
      </c>
      <c r="L13" s="31"/>
      <c r="M13" s="31"/>
      <c r="N13" s="31"/>
      <c r="O13" s="31"/>
      <c r="P13" s="32"/>
      <c r="Q13" s="60"/>
      <c r="R13" s="31"/>
      <c r="S13" s="31"/>
      <c r="T13" s="12" t="s">
        <v>14</v>
      </c>
      <c r="U13" s="1">
        <v>150</v>
      </c>
      <c r="V13" s="1">
        <v>55</v>
      </c>
      <c r="W13" s="55"/>
      <c r="X13" s="56">
        <v>3</v>
      </c>
      <c r="Y13" s="56">
        <v>3</v>
      </c>
      <c r="Z13" s="1">
        <f t="shared" si="1"/>
        <v>0</v>
      </c>
      <c r="AA13" s="1">
        <f t="shared" si="2"/>
        <v>0</v>
      </c>
      <c r="AB13" s="64">
        <f t="shared" si="3"/>
        <v>3</v>
      </c>
    </row>
    <row r="14" spans="1:28">
      <c r="A14" s="3" t="s">
        <v>5</v>
      </c>
      <c r="B14" s="15" t="s">
        <v>17</v>
      </c>
      <c r="C14" s="4" t="s">
        <v>6</v>
      </c>
      <c r="D14" s="31"/>
      <c r="E14" s="31"/>
      <c r="F14" s="31"/>
      <c r="G14" s="31"/>
      <c r="H14" s="32"/>
      <c r="I14" s="1" t="s">
        <v>27</v>
      </c>
      <c r="J14" s="3" t="s">
        <v>5</v>
      </c>
      <c r="K14" s="1" t="s">
        <v>27</v>
      </c>
      <c r="L14" s="31"/>
      <c r="M14" s="31"/>
      <c r="N14" s="31"/>
      <c r="O14" s="31"/>
      <c r="P14" s="32"/>
      <c r="Q14" s="60"/>
      <c r="R14" s="31"/>
      <c r="S14" s="31"/>
      <c r="T14" s="13" t="s">
        <v>15</v>
      </c>
      <c r="U14" s="1">
        <v>150</v>
      </c>
      <c r="V14" s="1">
        <v>60</v>
      </c>
      <c r="W14" s="55"/>
      <c r="X14" s="56">
        <v>1</v>
      </c>
      <c r="Y14" s="56">
        <v>1</v>
      </c>
      <c r="Z14" s="1">
        <f t="shared" si="1"/>
        <v>0</v>
      </c>
      <c r="AA14" s="1">
        <f t="shared" si="2"/>
        <v>0</v>
      </c>
      <c r="AB14" s="64">
        <f t="shared" si="3"/>
        <v>1</v>
      </c>
    </row>
    <row r="15" spans="1:28">
      <c r="A15" s="4" t="s">
        <v>6</v>
      </c>
      <c r="B15" s="1" t="s">
        <v>27</v>
      </c>
      <c r="C15" s="4" t="s">
        <v>6</v>
      </c>
      <c r="D15" s="31"/>
      <c r="E15" s="31"/>
      <c r="F15" s="31"/>
      <c r="G15" s="31"/>
      <c r="H15" s="32"/>
      <c r="I15" s="1" t="s">
        <v>27</v>
      </c>
      <c r="J15" s="3" t="s">
        <v>5</v>
      </c>
      <c r="K15" s="1" t="s">
        <v>27</v>
      </c>
      <c r="L15" s="31"/>
      <c r="M15" s="31"/>
      <c r="N15" s="31"/>
      <c r="O15" s="31"/>
      <c r="P15" s="32"/>
      <c r="Q15" s="60"/>
      <c r="R15" s="31"/>
      <c r="S15" s="31"/>
      <c r="T15" s="14" t="s">
        <v>16</v>
      </c>
      <c r="U15" s="1">
        <v>150</v>
      </c>
      <c r="V15" s="1">
        <v>35</v>
      </c>
      <c r="W15" s="55">
        <f t="shared" ref="W15" si="7">U15-V15/0.330882</f>
        <v>44.222109392472248</v>
      </c>
      <c r="X15" s="56"/>
      <c r="Y15" s="56">
        <v>0</v>
      </c>
      <c r="Z15" s="1">
        <f t="shared" si="1"/>
        <v>0</v>
      </c>
      <c r="AA15" s="1">
        <f t="shared" si="2"/>
        <v>0</v>
      </c>
      <c r="AB15" s="64">
        <f t="shared" si="3"/>
        <v>0</v>
      </c>
    </row>
    <row r="16" spans="1:28">
      <c r="A16" s="4" t="s">
        <v>6</v>
      </c>
      <c r="B16" s="1" t="s">
        <v>27</v>
      </c>
      <c r="C16" s="15" t="s">
        <v>17</v>
      </c>
      <c r="D16" s="31"/>
      <c r="E16" s="31"/>
      <c r="F16" s="31"/>
      <c r="G16" s="31"/>
      <c r="H16" s="32"/>
      <c r="I16" s="1" t="s">
        <v>27</v>
      </c>
      <c r="J16" s="2" t="s">
        <v>4</v>
      </c>
      <c r="K16" s="1" t="s">
        <v>27</v>
      </c>
      <c r="L16" s="31"/>
      <c r="M16" s="31"/>
      <c r="N16" s="31"/>
      <c r="O16" s="31"/>
      <c r="P16" s="32"/>
      <c r="Q16" s="60"/>
      <c r="R16" s="31"/>
      <c r="S16" s="31"/>
      <c r="T16" s="15" t="s">
        <v>17</v>
      </c>
      <c r="U16" s="1">
        <v>50</v>
      </c>
      <c r="V16" s="1">
        <v>30</v>
      </c>
      <c r="W16" s="55">
        <v>10</v>
      </c>
      <c r="X16" s="56">
        <v>40</v>
      </c>
      <c r="Y16" s="56">
        <v>38</v>
      </c>
      <c r="Z16" s="1">
        <f t="shared" si="1"/>
        <v>3</v>
      </c>
      <c r="AA16" s="1">
        <f t="shared" si="2"/>
        <v>11</v>
      </c>
      <c r="AB16" s="64">
        <f t="shared" si="3"/>
        <v>24</v>
      </c>
    </row>
    <row r="17" spans="1:28">
      <c r="A17" s="4" t="s">
        <v>6</v>
      </c>
      <c r="B17" s="1" t="s">
        <v>27</v>
      </c>
      <c r="C17" s="4" t="s">
        <v>6</v>
      </c>
      <c r="D17" s="31"/>
      <c r="E17" s="31"/>
      <c r="F17" s="31"/>
      <c r="G17" s="31"/>
      <c r="H17" s="32"/>
      <c r="I17" s="1" t="s">
        <v>27</v>
      </c>
      <c r="J17" s="15" t="s">
        <v>17</v>
      </c>
      <c r="K17" s="1" t="s">
        <v>27</v>
      </c>
      <c r="L17" s="31"/>
      <c r="M17" s="31"/>
      <c r="N17" s="31"/>
      <c r="O17" s="31"/>
      <c r="P17" s="32"/>
      <c r="Q17" s="60"/>
      <c r="R17" s="31"/>
      <c r="S17" s="31"/>
      <c r="T17" s="16" t="s">
        <v>18</v>
      </c>
      <c r="U17" s="1">
        <v>-150</v>
      </c>
      <c r="V17" s="1">
        <v>0</v>
      </c>
      <c r="W17" s="55">
        <v>10</v>
      </c>
      <c r="X17" s="56">
        <v>3</v>
      </c>
      <c r="Y17" s="56">
        <v>3</v>
      </c>
      <c r="Z17" s="1">
        <f t="shared" si="1"/>
        <v>3</v>
      </c>
      <c r="AA17" s="1">
        <f t="shared" si="2"/>
        <v>0</v>
      </c>
      <c r="AB17" s="64">
        <f t="shared" si="3"/>
        <v>0</v>
      </c>
    </row>
    <row r="18" spans="1:28">
      <c r="A18" s="17" t="s">
        <v>19</v>
      </c>
      <c r="B18" s="1" t="s">
        <v>27</v>
      </c>
      <c r="C18" s="4" t="s">
        <v>6</v>
      </c>
      <c r="D18" s="31"/>
      <c r="E18" s="31"/>
      <c r="F18" s="31"/>
      <c r="G18" s="31"/>
      <c r="H18" s="32"/>
      <c r="I18" s="1" t="s">
        <v>27</v>
      </c>
      <c r="J18" s="2" t="s">
        <v>4</v>
      </c>
      <c r="K18" s="1" t="s">
        <v>27</v>
      </c>
      <c r="L18" s="31"/>
      <c r="M18" s="31"/>
      <c r="N18" s="31"/>
      <c r="O18" s="31"/>
      <c r="P18" s="32"/>
      <c r="Q18" s="60"/>
      <c r="R18" s="31"/>
      <c r="S18" s="31"/>
      <c r="T18" s="17" t="s">
        <v>19</v>
      </c>
      <c r="U18" s="1">
        <v>250</v>
      </c>
      <c r="V18" s="1">
        <v>200</v>
      </c>
      <c r="W18" s="55"/>
      <c r="X18" s="56">
        <v>3</v>
      </c>
      <c r="Y18" s="56">
        <v>3</v>
      </c>
      <c r="Z18" s="1">
        <f t="shared" si="1"/>
        <v>3</v>
      </c>
      <c r="AA18" s="1">
        <f t="shared" si="2"/>
        <v>0</v>
      </c>
      <c r="AB18" s="64">
        <f t="shared" si="3"/>
        <v>0</v>
      </c>
    </row>
    <row r="19" spans="1:28">
      <c r="A19" s="4" t="s">
        <v>6</v>
      </c>
      <c r="B19" s="1" t="s">
        <v>27</v>
      </c>
      <c r="C19" s="4" t="s">
        <v>6</v>
      </c>
      <c r="D19" s="31"/>
      <c r="E19" s="31"/>
      <c r="F19" s="31"/>
      <c r="G19" s="31"/>
      <c r="H19" s="32"/>
      <c r="I19" s="1" t="s">
        <v>27</v>
      </c>
      <c r="J19" s="2" t="s">
        <v>4</v>
      </c>
      <c r="K19" s="1" t="s">
        <v>27</v>
      </c>
      <c r="L19" s="31"/>
      <c r="M19" s="31"/>
      <c r="N19" s="31"/>
      <c r="O19" s="31"/>
      <c r="P19" s="32"/>
      <c r="Q19" s="60"/>
      <c r="R19" s="31"/>
      <c r="S19" s="31"/>
      <c r="T19" s="17" t="s">
        <v>20</v>
      </c>
      <c r="U19" s="1">
        <v>170</v>
      </c>
      <c r="V19" s="1">
        <v>45</v>
      </c>
      <c r="W19" s="55"/>
      <c r="X19" s="56">
        <v>5</v>
      </c>
      <c r="Y19" s="56">
        <v>5</v>
      </c>
      <c r="Z19" s="1">
        <f t="shared" si="1"/>
        <v>5</v>
      </c>
      <c r="AA19" s="1">
        <f t="shared" si="2"/>
        <v>0</v>
      </c>
      <c r="AB19" s="64">
        <f t="shared" si="3"/>
        <v>0</v>
      </c>
    </row>
    <row r="20" spans="1:28">
      <c r="A20" s="4" t="s">
        <v>6</v>
      </c>
      <c r="B20" s="1" t="s">
        <v>27</v>
      </c>
      <c r="C20" s="17" t="s">
        <v>20</v>
      </c>
      <c r="D20" s="31"/>
      <c r="E20" s="31"/>
      <c r="F20" s="31"/>
      <c r="G20" s="31"/>
      <c r="H20" s="32"/>
      <c r="I20" s="1" t="s">
        <v>27</v>
      </c>
      <c r="J20" s="2" t="s">
        <v>4</v>
      </c>
      <c r="K20" s="1" t="s">
        <v>27</v>
      </c>
      <c r="L20" s="31"/>
      <c r="M20" s="31"/>
      <c r="N20" s="31"/>
      <c r="O20" s="31"/>
      <c r="P20" s="32"/>
      <c r="Q20" s="60"/>
      <c r="R20" s="31"/>
      <c r="S20" s="31"/>
      <c r="T20" s="18" t="s">
        <v>21</v>
      </c>
      <c r="U20" s="1">
        <v>250</v>
      </c>
      <c r="V20" s="1">
        <v>200</v>
      </c>
      <c r="W20" s="55"/>
      <c r="X20" s="56">
        <v>0</v>
      </c>
      <c r="Y20" s="56">
        <v>0</v>
      </c>
      <c r="Z20" s="1">
        <f t="shared" si="1"/>
        <v>0</v>
      </c>
      <c r="AA20" s="1">
        <f t="shared" si="2"/>
        <v>0</v>
      </c>
      <c r="AB20" s="64">
        <f t="shared" si="3"/>
        <v>0</v>
      </c>
    </row>
    <row r="21" spans="1:28">
      <c r="A21" s="4" t="s">
        <v>6</v>
      </c>
      <c r="B21" s="1" t="s">
        <v>27</v>
      </c>
      <c r="C21" s="4" t="s">
        <v>6</v>
      </c>
      <c r="D21" s="31"/>
      <c r="E21" s="31"/>
      <c r="F21" s="31"/>
      <c r="G21" s="31"/>
      <c r="H21" s="32"/>
      <c r="I21" s="1" t="s">
        <v>27</v>
      </c>
      <c r="J21" s="15" t="s">
        <v>17</v>
      </c>
      <c r="K21" s="1" t="s">
        <v>27</v>
      </c>
      <c r="L21" s="31"/>
      <c r="M21" s="31"/>
      <c r="N21" s="31"/>
      <c r="O21" s="31"/>
      <c r="P21" s="32"/>
      <c r="Q21" s="60"/>
      <c r="R21" s="31"/>
      <c r="S21" s="31"/>
      <c r="T21" s="19" t="s">
        <v>22</v>
      </c>
      <c r="U21" s="1">
        <v>250</v>
      </c>
      <c r="V21" s="1">
        <v>1000</v>
      </c>
      <c r="W21" s="55"/>
      <c r="X21" s="56">
        <v>2</v>
      </c>
      <c r="Y21" s="56">
        <v>2</v>
      </c>
      <c r="Z21" s="1">
        <f t="shared" si="1"/>
        <v>0</v>
      </c>
      <c r="AA21" s="1">
        <f t="shared" si="2"/>
        <v>0</v>
      </c>
      <c r="AB21" s="64">
        <f t="shared" si="3"/>
        <v>2</v>
      </c>
    </row>
    <row r="22" spans="1:28">
      <c r="A22" s="16" t="s">
        <v>18</v>
      </c>
      <c r="B22" s="1" t="s">
        <v>27</v>
      </c>
      <c r="C22" s="4" t="s">
        <v>6</v>
      </c>
      <c r="D22" s="31"/>
      <c r="E22" s="31"/>
      <c r="F22" s="31"/>
      <c r="G22" s="31"/>
      <c r="H22" s="32"/>
      <c r="I22" s="1" t="s">
        <v>27</v>
      </c>
      <c r="J22" s="1" t="s">
        <v>27</v>
      </c>
      <c r="K22" s="1" t="s">
        <v>27</v>
      </c>
      <c r="L22" s="31"/>
      <c r="M22" s="31"/>
      <c r="N22" s="31"/>
      <c r="O22" s="31"/>
      <c r="P22" s="32"/>
      <c r="Q22" s="60"/>
      <c r="R22" s="31"/>
      <c r="S22" s="31"/>
      <c r="T22" s="20" t="s">
        <v>23</v>
      </c>
      <c r="U22" s="1">
        <v>250</v>
      </c>
      <c r="V22" s="1">
        <v>500</v>
      </c>
      <c r="W22" s="55"/>
      <c r="X22" s="56">
        <v>2</v>
      </c>
      <c r="Y22" s="56">
        <v>2</v>
      </c>
      <c r="Z22" s="1">
        <f t="shared" si="1"/>
        <v>0</v>
      </c>
      <c r="AA22" s="1">
        <f t="shared" si="2"/>
        <v>0</v>
      </c>
      <c r="AB22" s="64">
        <f t="shared" si="3"/>
        <v>2</v>
      </c>
    </row>
    <row r="23" spans="1:28">
      <c r="A23" s="4" t="s">
        <v>6</v>
      </c>
      <c r="B23" s="1" t="s">
        <v>27</v>
      </c>
      <c r="C23" s="4" t="s">
        <v>6</v>
      </c>
      <c r="D23" s="31"/>
      <c r="E23" s="31"/>
      <c r="F23" s="31"/>
      <c r="G23" s="31"/>
      <c r="H23" s="32"/>
      <c r="I23" s="1" t="s">
        <v>27</v>
      </c>
      <c r="J23" s="15" t="s">
        <v>17</v>
      </c>
      <c r="K23" s="1" t="s">
        <v>27</v>
      </c>
      <c r="L23" s="31"/>
      <c r="M23" s="31"/>
      <c r="N23" s="31"/>
      <c r="O23" s="31"/>
      <c r="P23" s="32"/>
      <c r="Q23" s="60"/>
      <c r="R23" s="31"/>
      <c r="S23" s="31"/>
      <c r="T23" s="21" t="s">
        <v>24</v>
      </c>
      <c r="U23" s="1">
        <v>160</v>
      </c>
      <c r="V23" s="1">
        <v>40</v>
      </c>
      <c r="W23" s="55">
        <f t="shared" ref="W23:W26" si="8">U23-V23/0.330882</f>
        <v>39.110982162825422</v>
      </c>
      <c r="X23" s="56">
        <v>0</v>
      </c>
      <c r="Y23" s="56">
        <v>0</v>
      </c>
      <c r="Z23" s="1">
        <f t="shared" si="1"/>
        <v>0</v>
      </c>
      <c r="AA23" s="1">
        <f t="shared" si="2"/>
        <v>0</v>
      </c>
      <c r="AB23" s="64">
        <f t="shared" si="3"/>
        <v>0</v>
      </c>
    </row>
    <row r="24" spans="1:28">
      <c r="A24" s="4" t="s">
        <v>6</v>
      </c>
      <c r="B24" s="1" t="s">
        <v>27</v>
      </c>
      <c r="C24" s="4" t="s">
        <v>6</v>
      </c>
      <c r="D24" s="31"/>
      <c r="E24" s="31"/>
      <c r="F24" s="31"/>
      <c r="G24" s="31"/>
      <c r="H24" s="32"/>
      <c r="I24" s="1" t="s">
        <v>27</v>
      </c>
      <c r="J24" s="3" t="s">
        <v>5</v>
      </c>
      <c r="K24" s="1" t="s">
        <v>27</v>
      </c>
      <c r="L24" s="31"/>
      <c r="M24" s="31"/>
      <c r="N24" s="31"/>
      <c r="O24" s="31"/>
      <c r="P24" s="32"/>
      <c r="Q24" s="60"/>
      <c r="R24" s="31"/>
      <c r="S24" s="31"/>
      <c r="T24" s="21" t="s">
        <v>25</v>
      </c>
      <c r="U24" s="1">
        <v>160</v>
      </c>
      <c r="V24" s="1">
        <v>40</v>
      </c>
      <c r="W24" s="55">
        <f t="shared" si="8"/>
        <v>39.110982162825422</v>
      </c>
      <c r="X24" s="56">
        <v>0</v>
      </c>
      <c r="Y24" s="56">
        <v>0</v>
      </c>
      <c r="Z24" s="1">
        <f t="shared" si="1"/>
        <v>0</v>
      </c>
      <c r="AA24" s="1">
        <f t="shared" si="2"/>
        <v>0</v>
      </c>
      <c r="AB24" s="64">
        <f t="shared" si="3"/>
        <v>0</v>
      </c>
    </row>
    <row r="25" spans="1:28">
      <c r="A25" s="4" t="s">
        <v>6</v>
      </c>
      <c r="B25" s="1" t="s">
        <v>27</v>
      </c>
      <c r="C25" s="4" t="s">
        <v>6</v>
      </c>
      <c r="D25" s="31"/>
      <c r="E25" s="31"/>
      <c r="F25" s="31"/>
      <c r="G25" s="31"/>
      <c r="H25" s="32"/>
      <c r="I25" s="1" t="s">
        <v>27</v>
      </c>
      <c r="J25" s="3" t="s">
        <v>5</v>
      </c>
      <c r="K25" s="1" t="s">
        <v>27</v>
      </c>
      <c r="L25" s="31"/>
      <c r="M25" s="31"/>
      <c r="N25" s="31"/>
      <c r="O25" s="31"/>
      <c r="P25" s="32"/>
      <c r="Q25" s="60"/>
      <c r="R25" s="31"/>
      <c r="S25" s="31"/>
      <c r="T25" s="21" t="s">
        <v>26</v>
      </c>
      <c r="U25" s="1">
        <v>150</v>
      </c>
      <c r="V25" s="1">
        <v>35</v>
      </c>
      <c r="W25" s="55">
        <f t="shared" si="8"/>
        <v>44.222109392472248</v>
      </c>
      <c r="X25" s="56">
        <v>0</v>
      </c>
      <c r="Y25" s="56">
        <v>0</v>
      </c>
      <c r="Z25" s="1">
        <f t="shared" si="1"/>
        <v>0</v>
      </c>
      <c r="AA25" s="1">
        <f t="shared" si="2"/>
        <v>0</v>
      </c>
      <c r="AB25" s="64">
        <f t="shared" si="3"/>
        <v>0</v>
      </c>
    </row>
    <row r="26" spans="1:28">
      <c r="A26" s="17" t="s">
        <v>20</v>
      </c>
      <c r="B26" s="1" t="s">
        <v>27</v>
      </c>
      <c r="C26" s="4" t="s">
        <v>6</v>
      </c>
      <c r="D26" s="31"/>
      <c r="E26" s="31"/>
      <c r="F26" s="31"/>
      <c r="G26" s="31"/>
      <c r="H26" s="32"/>
      <c r="I26" s="1" t="s">
        <v>27</v>
      </c>
      <c r="J26" s="9" t="s">
        <v>11</v>
      </c>
      <c r="K26" s="1" t="s">
        <v>27</v>
      </c>
      <c r="L26" s="31"/>
      <c r="M26" s="31"/>
      <c r="N26" s="31"/>
      <c r="O26" s="31"/>
      <c r="P26" s="32"/>
      <c r="Q26" s="60"/>
      <c r="R26" s="31"/>
      <c r="S26" s="31"/>
      <c r="T26" s="22" t="s">
        <v>27</v>
      </c>
      <c r="U26" s="1">
        <v>0</v>
      </c>
      <c r="V26" s="1">
        <v>0</v>
      </c>
      <c r="W26" s="55">
        <f t="shared" si="8"/>
        <v>0</v>
      </c>
      <c r="X26" s="56">
        <v>0</v>
      </c>
      <c r="Y26" s="56">
        <v>0</v>
      </c>
      <c r="Z26" s="1"/>
      <c r="AA26" s="1"/>
      <c r="AB26" s="64"/>
    </row>
    <row r="27" spans="1:28">
      <c r="A27" s="4" t="s">
        <v>6</v>
      </c>
      <c r="B27" s="1" t="s">
        <v>27</v>
      </c>
      <c r="C27" s="4" t="s">
        <v>6</v>
      </c>
      <c r="D27" s="31"/>
      <c r="E27" s="31"/>
      <c r="F27" s="31"/>
      <c r="G27" s="31"/>
      <c r="H27" s="32"/>
      <c r="I27" s="1" t="s">
        <v>27</v>
      </c>
      <c r="J27" s="3" t="s">
        <v>5</v>
      </c>
      <c r="K27" s="1" t="s">
        <v>27</v>
      </c>
      <c r="L27" s="31"/>
      <c r="M27" s="31"/>
      <c r="N27" s="31"/>
      <c r="O27" s="31"/>
      <c r="P27" s="32"/>
      <c r="Q27" s="60"/>
      <c r="R27" s="31"/>
      <c r="S27" s="31"/>
      <c r="T27" s="16" t="s">
        <v>28</v>
      </c>
      <c r="U27" s="1">
        <v>-200</v>
      </c>
      <c r="V27" s="1">
        <v>0</v>
      </c>
      <c r="W27" s="55"/>
      <c r="X27" s="56">
        <v>12</v>
      </c>
      <c r="Y27" s="56">
        <v>12</v>
      </c>
      <c r="Z27" s="1">
        <f t="shared" si="1"/>
        <v>0</v>
      </c>
      <c r="AA27" s="1">
        <f t="shared" si="2"/>
        <v>2</v>
      </c>
      <c r="AB27" s="64">
        <f t="shared" si="3"/>
        <v>10</v>
      </c>
    </row>
    <row r="28" spans="1:28">
      <c r="A28" s="4" t="s">
        <v>6</v>
      </c>
      <c r="B28" s="1" t="s">
        <v>27</v>
      </c>
      <c r="C28" s="17" t="s">
        <v>20</v>
      </c>
      <c r="D28" s="31"/>
      <c r="E28" s="31"/>
      <c r="F28" s="31"/>
      <c r="G28" s="31"/>
      <c r="H28" s="32"/>
      <c r="I28" s="1" t="s">
        <v>27</v>
      </c>
      <c r="J28" s="3" t="s">
        <v>5</v>
      </c>
      <c r="K28" s="1" t="s">
        <v>27</v>
      </c>
      <c r="L28" s="31"/>
      <c r="M28" s="31"/>
      <c r="N28" s="31"/>
      <c r="O28" s="31"/>
      <c r="P28" s="32"/>
      <c r="Q28" s="60"/>
      <c r="R28" s="31"/>
      <c r="S28" s="31"/>
      <c r="T28" s="23" t="s">
        <v>29</v>
      </c>
      <c r="U28" s="1">
        <v>50</v>
      </c>
      <c r="V28" s="1">
        <v>520</v>
      </c>
      <c r="W28" s="55"/>
      <c r="X28" s="56">
        <v>3</v>
      </c>
      <c r="Y28" s="56">
        <v>3</v>
      </c>
      <c r="Z28" s="1">
        <f t="shared" si="1"/>
        <v>1</v>
      </c>
      <c r="AA28" s="1">
        <f t="shared" si="2"/>
        <v>0</v>
      </c>
      <c r="AB28" s="64">
        <f t="shared" si="3"/>
        <v>2</v>
      </c>
    </row>
    <row r="29" spans="1:28" ht="15" thickBot="1">
      <c r="A29" s="4" t="s">
        <v>6</v>
      </c>
      <c r="B29" s="1" t="s">
        <v>27</v>
      </c>
      <c r="C29" s="4" t="s">
        <v>6</v>
      </c>
      <c r="D29" s="31"/>
      <c r="E29" s="31"/>
      <c r="F29" s="31"/>
      <c r="G29" s="31"/>
      <c r="H29" s="32"/>
      <c r="I29" s="1" t="s">
        <v>27</v>
      </c>
      <c r="J29" s="15" t="s">
        <v>17</v>
      </c>
      <c r="K29" s="1" t="s">
        <v>27</v>
      </c>
      <c r="L29" s="31"/>
      <c r="M29" s="31"/>
      <c r="N29" s="31"/>
      <c r="O29" s="31"/>
      <c r="P29" s="32"/>
      <c r="Q29" s="66"/>
      <c r="R29" s="41"/>
      <c r="S29" s="41"/>
      <c r="T29" s="40"/>
      <c r="U29" s="40"/>
      <c r="V29" s="40"/>
      <c r="W29" s="40"/>
      <c r="X29" s="40"/>
      <c r="Y29" s="40"/>
      <c r="Z29" s="40"/>
      <c r="AA29" s="40"/>
      <c r="AB29" s="67"/>
    </row>
    <row r="30" spans="1:28">
      <c r="A30" s="4" t="s">
        <v>6</v>
      </c>
      <c r="B30" s="1" t="s">
        <v>27</v>
      </c>
      <c r="C30" s="4" t="s">
        <v>6</v>
      </c>
      <c r="D30" s="31"/>
      <c r="E30" s="31"/>
      <c r="F30" s="31"/>
      <c r="G30" s="31"/>
      <c r="H30" s="32"/>
      <c r="I30" s="1" t="s">
        <v>27</v>
      </c>
      <c r="J30" s="3" t="s">
        <v>5</v>
      </c>
      <c r="K30" s="1" t="s">
        <v>27</v>
      </c>
      <c r="L30" s="31"/>
      <c r="M30" s="31"/>
      <c r="N30" s="31"/>
      <c r="O30" s="31"/>
      <c r="P30" s="32"/>
    </row>
    <row r="31" spans="1:28">
      <c r="A31" s="4" t="s">
        <v>6</v>
      </c>
      <c r="B31" s="1" t="s">
        <v>27</v>
      </c>
      <c r="C31" s="4" t="s">
        <v>6</v>
      </c>
      <c r="D31" s="31"/>
      <c r="E31" s="31"/>
      <c r="F31" s="31"/>
      <c r="G31" s="31"/>
      <c r="H31" s="32"/>
      <c r="I31" s="1" t="s">
        <v>27</v>
      </c>
      <c r="J31" s="3" t="s">
        <v>5</v>
      </c>
      <c r="K31" s="1" t="s">
        <v>27</v>
      </c>
      <c r="L31" s="31"/>
      <c r="M31" s="31"/>
      <c r="N31" s="31"/>
      <c r="O31" s="31"/>
      <c r="P31" s="32"/>
    </row>
    <row r="32" spans="1:28">
      <c r="A32" s="4" t="s">
        <v>6</v>
      </c>
      <c r="B32" s="1" t="s">
        <v>27</v>
      </c>
      <c r="C32" s="4" t="s">
        <v>6</v>
      </c>
      <c r="D32" s="31"/>
      <c r="E32" s="31"/>
      <c r="F32" s="31"/>
      <c r="G32" s="31"/>
      <c r="H32" s="32"/>
      <c r="I32" s="1" t="s">
        <v>27</v>
      </c>
      <c r="J32" s="3" t="s">
        <v>5</v>
      </c>
      <c r="K32" s="1" t="s">
        <v>27</v>
      </c>
      <c r="L32" s="31"/>
      <c r="M32" s="31"/>
      <c r="N32" s="31"/>
      <c r="O32" s="31"/>
      <c r="P32" s="32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10" t="s">
        <v>12</v>
      </c>
      <c r="D33" s="31"/>
      <c r="E33" s="31"/>
      <c r="F33" s="31"/>
      <c r="G33" s="31"/>
      <c r="H33" s="32"/>
      <c r="I33" s="1" t="s">
        <v>27</v>
      </c>
      <c r="J33" s="9" t="s">
        <v>11</v>
      </c>
      <c r="K33" s="1" t="s">
        <v>27</v>
      </c>
      <c r="L33" s="31"/>
      <c r="M33" s="31"/>
      <c r="N33" s="31"/>
      <c r="O33" s="31"/>
      <c r="P33" s="32"/>
      <c r="R33">
        <v>2</v>
      </c>
      <c r="S33" t="s">
        <v>60</v>
      </c>
    </row>
    <row r="34" spans="1:19">
      <c r="A34" s="17" t="s">
        <v>19</v>
      </c>
      <c r="B34" s="1" t="s">
        <v>27</v>
      </c>
      <c r="C34" s="4" t="s">
        <v>6</v>
      </c>
      <c r="D34" s="31"/>
      <c r="E34" s="31"/>
      <c r="F34" s="31"/>
      <c r="G34" s="31"/>
      <c r="H34" s="32"/>
      <c r="I34" s="38" t="s">
        <v>27</v>
      </c>
      <c r="J34" s="3" t="s">
        <v>5</v>
      </c>
      <c r="K34" s="1" t="s">
        <v>27</v>
      </c>
      <c r="L34" s="31"/>
      <c r="M34" s="31"/>
      <c r="N34" s="31"/>
      <c r="O34" s="31"/>
      <c r="P34" s="32"/>
      <c r="R34">
        <v>3</v>
      </c>
      <c r="S34" t="s">
        <v>58</v>
      </c>
    </row>
    <row r="35" spans="1:19">
      <c r="A35" s="4" t="s">
        <v>6</v>
      </c>
      <c r="B35" s="1" t="s">
        <v>27</v>
      </c>
      <c r="C35" s="17" t="s">
        <v>19</v>
      </c>
      <c r="D35" s="31"/>
      <c r="E35" s="31"/>
      <c r="F35" s="31"/>
      <c r="G35" s="31"/>
      <c r="H35" s="32"/>
      <c r="I35" s="38" t="s">
        <v>27</v>
      </c>
      <c r="J35" s="3" t="s">
        <v>5</v>
      </c>
      <c r="K35" s="1" t="s">
        <v>27</v>
      </c>
      <c r="L35" s="31"/>
      <c r="M35" s="31"/>
      <c r="N35" s="31"/>
      <c r="O35" s="31"/>
      <c r="P35" s="32"/>
      <c r="R35">
        <v>4</v>
      </c>
      <c r="S35" t="s">
        <v>61</v>
      </c>
    </row>
    <row r="36" spans="1:19">
      <c r="A36" s="4" t="s">
        <v>6</v>
      </c>
      <c r="B36" s="1" t="s">
        <v>27</v>
      </c>
      <c r="C36" s="4" t="s">
        <v>6</v>
      </c>
      <c r="D36" s="31"/>
      <c r="E36" s="31"/>
      <c r="F36" s="31"/>
      <c r="G36" s="31"/>
      <c r="H36" s="32"/>
      <c r="I36" s="38" t="s">
        <v>27</v>
      </c>
      <c r="J36" s="15" t="s">
        <v>17</v>
      </c>
      <c r="K36" s="1" t="s">
        <v>27</v>
      </c>
      <c r="L36" s="31"/>
      <c r="M36" s="31"/>
      <c r="N36" s="31"/>
      <c r="O36" s="31"/>
      <c r="P36" s="32"/>
      <c r="S36" t="s">
        <v>62</v>
      </c>
    </row>
    <row r="37" spans="1:19">
      <c r="A37" s="4" t="s">
        <v>6</v>
      </c>
      <c r="B37" s="1" t="s">
        <v>27</v>
      </c>
      <c r="C37" s="4" t="s">
        <v>6</v>
      </c>
      <c r="D37" s="31"/>
      <c r="E37" s="31"/>
      <c r="F37" s="31"/>
      <c r="G37" s="31"/>
      <c r="H37" s="32"/>
      <c r="I37" s="38" t="s">
        <v>27</v>
      </c>
      <c r="J37" s="3" t="s">
        <v>5</v>
      </c>
      <c r="K37" s="1" t="s">
        <v>27</v>
      </c>
      <c r="L37" s="31"/>
      <c r="M37" s="31"/>
      <c r="N37" s="31"/>
      <c r="O37" s="31"/>
      <c r="P37" s="32"/>
      <c r="R37">
        <v>5</v>
      </c>
      <c r="S37" t="s">
        <v>63</v>
      </c>
    </row>
    <row r="38" spans="1:19">
      <c r="A38" s="4" t="s">
        <v>6</v>
      </c>
      <c r="B38" s="1" t="s">
        <v>27</v>
      </c>
      <c r="C38" s="16" t="s">
        <v>18</v>
      </c>
      <c r="D38" s="31"/>
      <c r="E38" s="31"/>
      <c r="F38" s="31"/>
      <c r="G38" s="31"/>
      <c r="H38" s="32"/>
      <c r="I38" s="38" t="s">
        <v>27</v>
      </c>
      <c r="J38" s="3" t="s">
        <v>5</v>
      </c>
      <c r="K38" s="1" t="s">
        <v>27</v>
      </c>
      <c r="L38" s="31"/>
      <c r="M38" s="31"/>
      <c r="N38" s="31"/>
      <c r="O38" s="31"/>
      <c r="P38" s="32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4" t="s">
        <v>6</v>
      </c>
      <c r="D39" s="31"/>
      <c r="E39" s="31"/>
      <c r="F39" s="31"/>
      <c r="G39" s="31"/>
      <c r="H39" s="32"/>
      <c r="I39" s="38" t="s">
        <v>27</v>
      </c>
      <c r="J39" s="3" t="s">
        <v>5</v>
      </c>
      <c r="K39" s="1" t="s">
        <v>27</v>
      </c>
      <c r="L39" s="31"/>
      <c r="M39" s="31"/>
      <c r="N39" s="31"/>
      <c r="O39" s="31"/>
      <c r="P39" s="32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4" t="s">
        <v>6</v>
      </c>
      <c r="D40" s="31"/>
      <c r="E40" s="31"/>
      <c r="F40" s="31"/>
      <c r="G40" s="31"/>
      <c r="H40" s="32"/>
      <c r="I40" s="38" t="s">
        <v>27</v>
      </c>
      <c r="J40" s="3" t="s">
        <v>5</v>
      </c>
      <c r="K40" s="1" t="s">
        <v>27</v>
      </c>
      <c r="L40" s="31"/>
      <c r="M40" s="31"/>
      <c r="N40" s="31"/>
      <c r="O40" s="31"/>
      <c r="P40" s="32"/>
    </row>
    <row r="41" spans="1:19">
      <c r="A41" s="4" t="s">
        <v>6</v>
      </c>
      <c r="B41" s="1" t="s">
        <v>27</v>
      </c>
      <c r="C41" s="4" t="s">
        <v>6</v>
      </c>
      <c r="D41" s="31"/>
      <c r="E41" s="31"/>
      <c r="F41" s="31"/>
      <c r="G41" s="31"/>
      <c r="H41" s="32"/>
      <c r="I41" s="38" t="s">
        <v>27</v>
      </c>
      <c r="J41" s="3" t="s">
        <v>5</v>
      </c>
      <c r="K41" s="1" t="s">
        <v>27</v>
      </c>
      <c r="L41" s="31"/>
      <c r="M41" s="31"/>
      <c r="N41" s="31"/>
      <c r="O41" s="31"/>
      <c r="P41" s="32"/>
    </row>
    <row r="42" spans="1:19">
      <c r="A42" s="4" t="s">
        <v>6</v>
      </c>
      <c r="B42" s="1" t="s">
        <v>27</v>
      </c>
      <c r="C42" s="4" t="s">
        <v>6</v>
      </c>
      <c r="D42" s="31"/>
      <c r="E42" s="31"/>
      <c r="F42" s="31"/>
      <c r="G42" s="31"/>
      <c r="H42" s="32"/>
      <c r="I42" s="38" t="s">
        <v>27</v>
      </c>
      <c r="J42" s="15" t="s">
        <v>17</v>
      </c>
      <c r="K42" s="1" t="s">
        <v>27</v>
      </c>
      <c r="L42" s="31"/>
      <c r="M42" s="31"/>
      <c r="N42" s="31"/>
      <c r="O42" s="31"/>
      <c r="P42" s="32"/>
    </row>
    <row r="43" spans="1:19">
      <c r="A43" s="17" t="s">
        <v>20</v>
      </c>
      <c r="B43" s="1" t="s">
        <v>27</v>
      </c>
      <c r="C43" s="4" t="s">
        <v>6</v>
      </c>
      <c r="D43" s="31"/>
      <c r="E43" s="31"/>
      <c r="F43" s="31"/>
      <c r="G43" s="31"/>
      <c r="H43" s="32"/>
      <c r="I43" s="38" t="s">
        <v>27</v>
      </c>
      <c r="J43" s="1" t="s">
        <v>27</v>
      </c>
      <c r="K43" s="1" t="s">
        <v>27</v>
      </c>
      <c r="L43" s="31"/>
      <c r="M43" s="31"/>
      <c r="N43" s="31"/>
      <c r="O43" s="31"/>
      <c r="P43" s="32"/>
    </row>
    <row r="44" spans="1:19">
      <c r="A44" s="38" t="s">
        <v>27</v>
      </c>
      <c r="B44" s="1" t="s">
        <v>27</v>
      </c>
      <c r="C44" s="17" t="s">
        <v>20</v>
      </c>
      <c r="D44" s="31"/>
      <c r="E44" s="31"/>
      <c r="F44" s="31"/>
      <c r="G44" s="31"/>
      <c r="H44" s="32"/>
      <c r="I44" s="38" t="s">
        <v>27</v>
      </c>
      <c r="J44" s="3" t="s">
        <v>5</v>
      </c>
      <c r="K44" s="1" t="s">
        <v>27</v>
      </c>
      <c r="L44" s="31"/>
      <c r="M44" s="31"/>
      <c r="N44" s="31"/>
      <c r="O44" s="31"/>
      <c r="P44" s="32"/>
    </row>
    <row r="45" spans="1:19">
      <c r="A45" s="38" t="s">
        <v>27</v>
      </c>
      <c r="B45" s="1" t="s">
        <v>27</v>
      </c>
      <c r="C45" s="1" t="s">
        <v>27</v>
      </c>
      <c r="D45" s="31"/>
      <c r="E45" s="31"/>
      <c r="F45" s="31"/>
      <c r="G45" s="31"/>
      <c r="H45" s="32"/>
      <c r="I45" s="38" t="s">
        <v>27</v>
      </c>
      <c r="J45" s="15" t="s">
        <v>17</v>
      </c>
      <c r="K45" s="1" t="s">
        <v>27</v>
      </c>
      <c r="L45" s="31"/>
      <c r="M45" s="31"/>
      <c r="N45" s="31"/>
      <c r="O45" s="31"/>
      <c r="P45" s="32"/>
    </row>
    <row r="46" spans="1:19">
      <c r="A46" s="38" t="s">
        <v>27</v>
      </c>
      <c r="B46" s="1" t="s">
        <v>27</v>
      </c>
      <c r="C46" s="1" t="s">
        <v>27</v>
      </c>
      <c r="D46" s="31"/>
      <c r="E46" s="31"/>
      <c r="F46" s="31"/>
      <c r="G46" s="31"/>
      <c r="H46" s="32"/>
      <c r="I46" s="38" t="s">
        <v>27</v>
      </c>
      <c r="J46" s="3" t="s">
        <v>5</v>
      </c>
      <c r="K46" s="1" t="s">
        <v>27</v>
      </c>
      <c r="L46" s="31"/>
      <c r="M46" s="31"/>
      <c r="N46" s="31"/>
      <c r="O46" s="31"/>
      <c r="P46" s="32"/>
    </row>
    <row r="47" spans="1:19">
      <c r="A47" s="38" t="s">
        <v>27</v>
      </c>
      <c r="B47" s="1" t="s">
        <v>27</v>
      </c>
      <c r="C47" s="1" t="s">
        <v>27</v>
      </c>
      <c r="D47" s="31"/>
      <c r="E47" s="31"/>
      <c r="F47" s="31"/>
      <c r="G47" s="31"/>
      <c r="H47" s="32"/>
      <c r="I47" s="38" t="s">
        <v>27</v>
      </c>
      <c r="J47" s="3" t="s">
        <v>5</v>
      </c>
      <c r="K47" s="1" t="s">
        <v>27</v>
      </c>
      <c r="L47" s="31"/>
      <c r="M47" s="31"/>
      <c r="N47" s="31"/>
      <c r="O47" s="31"/>
      <c r="P47" s="32"/>
    </row>
    <row r="48" spans="1:19">
      <c r="A48" s="38" t="s">
        <v>27</v>
      </c>
      <c r="B48" s="1" t="s">
        <v>27</v>
      </c>
      <c r="C48" s="1" t="s">
        <v>27</v>
      </c>
      <c r="D48" s="31"/>
      <c r="E48" s="31"/>
      <c r="F48" s="31"/>
      <c r="G48" s="31"/>
      <c r="H48" s="32"/>
      <c r="I48" s="38" t="s">
        <v>27</v>
      </c>
      <c r="J48" s="3" t="s">
        <v>5</v>
      </c>
      <c r="K48" s="1" t="s">
        <v>27</v>
      </c>
      <c r="L48" s="31"/>
      <c r="M48" s="31"/>
      <c r="N48" s="31"/>
      <c r="O48" s="31"/>
      <c r="P48" s="32"/>
    </row>
    <row r="49" spans="1:16">
      <c r="A49" s="38" t="s">
        <v>27</v>
      </c>
      <c r="B49" s="1" t="s">
        <v>27</v>
      </c>
      <c r="C49" s="1" t="s">
        <v>27</v>
      </c>
      <c r="D49" s="31"/>
      <c r="E49" s="31"/>
      <c r="F49" s="31"/>
      <c r="G49" s="31"/>
      <c r="H49" s="32"/>
      <c r="I49" s="38" t="s">
        <v>27</v>
      </c>
      <c r="J49" s="15" t="s">
        <v>17</v>
      </c>
      <c r="K49" s="1" t="s">
        <v>27</v>
      </c>
      <c r="L49" s="31"/>
      <c r="M49" s="31"/>
      <c r="N49" s="31"/>
      <c r="O49" s="31"/>
      <c r="P49" s="32"/>
    </row>
    <row r="50" spans="1:16">
      <c r="A50" s="38" t="s">
        <v>27</v>
      </c>
      <c r="B50" s="1" t="s">
        <v>27</v>
      </c>
      <c r="C50" s="1" t="s">
        <v>27</v>
      </c>
      <c r="D50" s="31"/>
      <c r="E50" s="31"/>
      <c r="F50" s="31"/>
      <c r="G50" s="31"/>
      <c r="H50" s="32"/>
      <c r="I50" s="38" t="s">
        <v>27</v>
      </c>
      <c r="J50" s="3" t="s">
        <v>5</v>
      </c>
      <c r="K50" s="1" t="s">
        <v>27</v>
      </c>
      <c r="L50" s="31"/>
      <c r="M50" s="31"/>
      <c r="N50" s="31"/>
      <c r="O50" s="31"/>
      <c r="P50" s="32"/>
    </row>
    <row r="51" spans="1:16">
      <c r="A51" s="38" t="s">
        <v>27</v>
      </c>
      <c r="B51" s="1" t="s">
        <v>27</v>
      </c>
      <c r="C51" s="1" t="s">
        <v>27</v>
      </c>
      <c r="D51" s="31"/>
      <c r="E51" s="31"/>
      <c r="F51" s="31"/>
      <c r="G51" s="31"/>
      <c r="H51" s="32"/>
      <c r="I51" s="38" t="s">
        <v>27</v>
      </c>
      <c r="J51" s="3" t="s">
        <v>5</v>
      </c>
      <c r="K51" s="1" t="s">
        <v>27</v>
      </c>
      <c r="L51" s="31"/>
      <c r="M51" s="31"/>
      <c r="N51" s="31"/>
      <c r="O51" s="31"/>
      <c r="P51" s="32"/>
    </row>
    <row r="52" spans="1:16">
      <c r="A52" s="38" t="s">
        <v>27</v>
      </c>
      <c r="B52" s="1" t="s">
        <v>27</v>
      </c>
      <c r="C52" s="1" t="s">
        <v>27</v>
      </c>
      <c r="D52" s="31"/>
      <c r="E52" s="31"/>
      <c r="F52" s="31"/>
      <c r="G52" s="31"/>
      <c r="H52" s="32"/>
      <c r="I52" s="38" t="s">
        <v>27</v>
      </c>
      <c r="J52" s="3" t="s">
        <v>5</v>
      </c>
      <c r="K52" s="1" t="s">
        <v>27</v>
      </c>
      <c r="L52" s="31"/>
      <c r="M52" s="31"/>
      <c r="N52" s="31"/>
      <c r="O52" s="31"/>
      <c r="P52" s="32"/>
    </row>
    <row r="53" spans="1:16">
      <c r="A53" s="38" t="s">
        <v>27</v>
      </c>
      <c r="B53" s="1" t="s">
        <v>27</v>
      </c>
      <c r="C53" s="1" t="s">
        <v>27</v>
      </c>
      <c r="D53" s="31"/>
      <c r="E53" s="31"/>
      <c r="F53" s="31"/>
      <c r="G53" s="31"/>
      <c r="H53" s="32"/>
      <c r="I53" s="38" t="s">
        <v>27</v>
      </c>
      <c r="J53" s="3" t="s">
        <v>5</v>
      </c>
      <c r="K53" s="1" t="s">
        <v>27</v>
      </c>
      <c r="L53" s="31"/>
      <c r="M53" s="31"/>
      <c r="N53" s="31"/>
      <c r="O53" s="31"/>
      <c r="P53" s="32"/>
    </row>
    <row r="54" spans="1:16">
      <c r="A54" s="38" t="s">
        <v>27</v>
      </c>
      <c r="B54" s="1" t="s">
        <v>27</v>
      </c>
      <c r="C54" s="1" t="s">
        <v>27</v>
      </c>
      <c r="D54" s="31"/>
      <c r="E54" s="31"/>
      <c r="F54" s="31"/>
      <c r="G54" s="31"/>
      <c r="H54" s="32"/>
      <c r="I54" s="38" t="s">
        <v>27</v>
      </c>
      <c r="J54" s="16" t="s">
        <v>28</v>
      </c>
      <c r="K54" s="1" t="s">
        <v>27</v>
      </c>
      <c r="L54" s="31"/>
      <c r="M54" s="31"/>
      <c r="N54" s="31"/>
      <c r="O54" s="31"/>
      <c r="P54" s="32"/>
    </row>
    <row r="55" spans="1:16">
      <c r="A55" s="38" t="s">
        <v>27</v>
      </c>
      <c r="B55" s="1" t="s">
        <v>27</v>
      </c>
      <c r="C55" s="1" t="s">
        <v>27</v>
      </c>
      <c r="D55" s="31"/>
      <c r="E55" s="31"/>
      <c r="F55" s="31"/>
      <c r="G55" s="31"/>
      <c r="H55" s="32"/>
      <c r="I55" s="38" t="s">
        <v>27</v>
      </c>
      <c r="J55" s="3" t="s">
        <v>5</v>
      </c>
      <c r="K55" s="1" t="s">
        <v>27</v>
      </c>
      <c r="L55" s="31"/>
      <c r="M55" s="31"/>
      <c r="N55" s="31"/>
      <c r="O55" s="31"/>
      <c r="P55" s="32"/>
    </row>
    <row r="56" spans="1:16">
      <c r="A56" s="38" t="s">
        <v>27</v>
      </c>
      <c r="B56" s="1" t="s">
        <v>27</v>
      </c>
      <c r="C56" s="1" t="s">
        <v>27</v>
      </c>
      <c r="D56" s="31"/>
      <c r="E56" s="31"/>
      <c r="F56" s="31"/>
      <c r="G56" s="31"/>
      <c r="H56" s="32"/>
      <c r="I56" s="38" t="s">
        <v>27</v>
      </c>
      <c r="J56" s="3" t="s">
        <v>5</v>
      </c>
      <c r="K56" s="1" t="s">
        <v>27</v>
      </c>
      <c r="L56" s="31"/>
      <c r="M56" s="31"/>
      <c r="N56" s="31"/>
      <c r="O56" s="31"/>
      <c r="P56" s="32"/>
    </row>
    <row r="57" spans="1:16">
      <c r="A57" s="38" t="s">
        <v>27</v>
      </c>
      <c r="B57" s="1" t="s">
        <v>27</v>
      </c>
      <c r="C57" s="1" t="s">
        <v>27</v>
      </c>
      <c r="D57" s="31"/>
      <c r="E57" s="31"/>
      <c r="F57" s="31"/>
      <c r="G57" s="31"/>
      <c r="H57" s="32"/>
      <c r="I57" s="38" t="s">
        <v>27</v>
      </c>
      <c r="J57" s="15" t="s">
        <v>17</v>
      </c>
      <c r="K57" s="1" t="s">
        <v>27</v>
      </c>
      <c r="L57" s="31"/>
      <c r="M57" s="31"/>
      <c r="N57" s="31"/>
      <c r="O57" s="31"/>
      <c r="P57" s="32"/>
    </row>
    <row r="58" spans="1:16">
      <c r="A58" s="38" t="s">
        <v>27</v>
      </c>
      <c r="B58" s="1" t="s">
        <v>27</v>
      </c>
      <c r="C58" s="1" t="s">
        <v>27</v>
      </c>
      <c r="D58" s="31"/>
      <c r="E58" s="31"/>
      <c r="F58" s="31"/>
      <c r="G58" s="31"/>
      <c r="H58" s="32"/>
      <c r="I58" s="38" t="s">
        <v>27</v>
      </c>
      <c r="J58" s="3" t="s">
        <v>5</v>
      </c>
      <c r="K58" s="1" t="s">
        <v>27</v>
      </c>
      <c r="L58" s="31"/>
      <c r="M58" s="31"/>
      <c r="N58" s="31"/>
      <c r="O58" s="31"/>
      <c r="P58" s="32"/>
    </row>
    <row r="59" spans="1:16">
      <c r="A59" s="38" t="s">
        <v>27</v>
      </c>
      <c r="B59" s="1" t="s">
        <v>27</v>
      </c>
      <c r="C59" s="1" t="s">
        <v>27</v>
      </c>
      <c r="D59" s="31"/>
      <c r="E59" s="31"/>
      <c r="F59" s="31"/>
      <c r="G59" s="31"/>
      <c r="H59" s="32"/>
      <c r="I59" s="38" t="s">
        <v>27</v>
      </c>
      <c r="J59" s="3" t="s">
        <v>5</v>
      </c>
      <c r="K59" s="1" t="s">
        <v>27</v>
      </c>
      <c r="L59" s="31"/>
      <c r="M59" s="31"/>
      <c r="N59" s="31"/>
      <c r="O59" s="31"/>
      <c r="P59" s="32"/>
    </row>
    <row r="60" spans="1:16">
      <c r="A60" s="38" t="s">
        <v>27</v>
      </c>
      <c r="B60" s="1" t="s">
        <v>27</v>
      </c>
      <c r="C60" s="1" t="s">
        <v>27</v>
      </c>
      <c r="D60" s="31"/>
      <c r="E60" s="31"/>
      <c r="F60" s="31"/>
      <c r="G60" s="31"/>
      <c r="H60" s="32"/>
      <c r="I60" s="38" t="s">
        <v>27</v>
      </c>
      <c r="J60" s="3" t="s">
        <v>5</v>
      </c>
      <c r="K60" s="1" t="s">
        <v>27</v>
      </c>
      <c r="L60" s="31"/>
      <c r="M60" s="31"/>
      <c r="N60" s="31"/>
      <c r="O60" s="31"/>
      <c r="P60" s="32"/>
    </row>
    <row r="61" spans="1:16">
      <c r="A61" s="38" t="s">
        <v>27</v>
      </c>
      <c r="B61" s="1" t="s">
        <v>27</v>
      </c>
      <c r="C61" s="1" t="s">
        <v>27</v>
      </c>
      <c r="D61" s="31"/>
      <c r="E61" s="31"/>
      <c r="F61" s="31"/>
      <c r="G61" s="31"/>
      <c r="H61" s="32"/>
      <c r="I61" s="38" t="s">
        <v>27</v>
      </c>
      <c r="J61" s="3" t="s">
        <v>5</v>
      </c>
      <c r="K61" s="1" t="s">
        <v>27</v>
      </c>
      <c r="L61" s="31"/>
      <c r="M61" s="31"/>
      <c r="N61" s="31"/>
      <c r="O61" s="31"/>
      <c r="P61" s="32"/>
    </row>
    <row r="62" spans="1:16">
      <c r="A62" s="38" t="s">
        <v>27</v>
      </c>
      <c r="B62" s="1" t="s">
        <v>27</v>
      </c>
      <c r="C62" s="1" t="s">
        <v>27</v>
      </c>
      <c r="D62" s="31"/>
      <c r="E62" s="31"/>
      <c r="F62" s="31"/>
      <c r="G62" s="31"/>
      <c r="H62" s="32"/>
      <c r="I62" s="38" t="s">
        <v>27</v>
      </c>
      <c r="J62" s="15" t="s">
        <v>17</v>
      </c>
      <c r="K62" s="1" t="s">
        <v>27</v>
      </c>
      <c r="L62" s="31"/>
      <c r="M62" s="31"/>
      <c r="N62" s="31"/>
      <c r="O62" s="31"/>
      <c r="P62" s="32"/>
    </row>
    <row r="63" spans="1:16">
      <c r="A63" s="38" t="s">
        <v>27</v>
      </c>
      <c r="B63" s="1" t="s">
        <v>27</v>
      </c>
      <c r="C63" s="1" t="s">
        <v>27</v>
      </c>
      <c r="D63" s="31"/>
      <c r="E63" s="31"/>
      <c r="F63" s="31"/>
      <c r="G63" s="31"/>
      <c r="H63" s="32"/>
      <c r="I63" s="38" t="s">
        <v>27</v>
      </c>
      <c r="J63" s="3" t="s">
        <v>5</v>
      </c>
      <c r="K63" s="1" t="s">
        <v>27</v>
      </c>
      <c r="L63" s="31"/>
      <c r="M63" s="31"/>
      <c r="N63" s="31"/>
      <c r="O63" s="31"/>
      <c r="P63" s="32"/>
    </row>
    <row r="64" spans="1:16">
      <c r="A64" s="38" t="s">
        <v>27</v>
      </c>
      <c r="B64" s="1" t="s">
        <v>27</v>
      </c>
      <c r="C64" s="1" t="s">
        <v>27</v>
      </c>
      <c r="D64" s="31"/>
      <c r="E64" s="31"/>
      <c r="F64" s="31"/>
      <c r="G64" s="31"/>
      <c r="H64" s="32"/>
      <c r="I64" s="38" t="s">
        <v>27</v>
      </c>
      <c r="J64" s="3" t="s">
        <v>5</v>
      </c>
      <c r="K64" s="1" t="s">
        <v>27</v>
      </c>
      <c r="L64" s="31"/>
      <c r="M64" s="31"/>
      <c r="N64" s="31"/>
      <c r="O64" s="31"/>
      <c r="P64" s="32"/>
    </row>
    <row r="65" spans="1:16">
      <c r="A65" s="38" t="s">
        <v>27</v>
      </c>
      <c r="B65" s="1" t="s">
        <v>27</v>
      </c>
      <c r="C65" s="1" t="s">
        <v>27</v>
      </c>
      <c r="D65" s="31"/>
      <c r="E65" s="31"/>
      <c r="F65" s="31"/>
      <c r="G65" s="31"/>
      <c r="H65" s="32"/>
      <c r="I65" s="38" t="s">
        <v>27</v>
      </c>
      <c r="J65" s="9" t="s">
        <v>11</v>
      </c>
      <c r="K65" s="1" t="s">
        <v>27</v>
      </c>
      <c r="L65" s="31"/>
      <c r="M65" s="31"/>
      <c r="N65" s="31"/>
      <c r="O65" s="31"/>
      <c r="P65" s="32"/>
    </row>
    <row r="66" spans="1:16">
      <c r="A66" s="38" t="s">
        <v>27</v>
      </c>
      <c r="B66" s="1" t="s">
        <v>27</v>
      </c>
      <c r="C66" s="1" t="s">
        <v>27</v>
      </c>
      <c r="D66" s="31"/>
      <c r="E66" s="31"/>
      <c r="F66" s="31"/>
      <c r="G66" s="31"/>
      <c r="H66" s="32"/>
      <c r="I66" s="38" t="s">
        <v>27</v>
      </c>
      <c r="J66" s="3" t="s">
        <v>5</v>
      </c>
      <c r="K66" s="1" t="s">
        <v>27</v>
      </c>
      <c r="L66" s="31"/>
      <c r="M66" s="31"/>
      <c r="N66" s="31"/>
      <c r="O66" s="31"/>
      <c r="P66" s="32"/>
    </row>
    <row r="67" spans="1:16">
      <c r="A67" s="38" t="s">
        <v>27</v>
      </c>
      <c r="B67" s="1" t="s">
        <v>27</v>
      </c>
      <c r="C67" s="1" t="s">
        <v>27</v>
      </c>
      <c r="D67" s="31"/>
      <c r="E67" s="31"/>
      <c r="F67" s="31"/>
      <c r="G67" s="31"/>
      <c r="H67" s="32"/>
      <c r="I67" s="38" t="s">
        <v>27</v>
      </c>
      <c r="J67" s="3" t="s">
        <v>5</v>
      </c>
      <c r="K67" s="1" t="s">
        <v>27</v>
      </c>
      <c r="L67" s="31"/>
      <c r="M67" s="31"/>
      <c r="N67" s="31"/>
      <c r="O67" s="31"/>
      <c r="P67" s="32"/>
    </row>
    <row r="68" spans="1:16">
      <c r="A68" s="38" t="s">
        <v>27</v>
      </c>
      <c r="B68" s="1" t="s">
        <v>27</v>
      </c>
      <c r="C68" s="1" t="s">
        <v>27</v>
      </c>
      <c r="D68" s="31"/>
      <c r="E68" s="31"/>
      <c r="F68" s="31"/>
      <c r="G68" s="31"/>
      <c r="H68" s="32"/>
      <c r="I68" s="38" t="s">
        <v>27</v>
      </c>
      <c r="J68" s="15" t="s">
        <v>17</v>
      </c>
      <c r="K68" s="1" t="s">
        <v>27</v>
      </c>
      <c r="L68" s="31"/>
      <c r="M68" s="31"/>
      <c r="N68" s="31"/>
      <c r="O68" s="31"/>
      <c r="P68" s="32"/>
    </row>
    <row r="69" spans="1:16">
      <c r="A69" s="38" t="s">
        <v>27</v>
      </c>
      <c r="B69" s="1" t="s">
        <v>27</v>
      </c>
      <c r="C69" s="1" t="s">
        <v>27</v>
      </c>
      <c r="D69" s="31"/>
      <c r="E69" s="31"/>
      <c r="F69" s="31"/>
      <c r="G69" s="31"/>
      <c r="H69" s="32"/>
      <c r="I69" s="38" t="s">
        <v>27</v>
      </c>
      <c r="J69" s="1" t="s">
        <v>27</v>
      </c>
      <c r="K69" s="1" t="s">
        <v>27</v>
      </c>
      <c r="L69" s="31"/>
      <c r="M69" s="31"/>
      <c r="N69" s="31"/>
      <c r="O69" s="31"/>
      <c r="P69" s="32"/>
    </row>
    <row r="70" spans="1:16">
      <c r="A70" s="38" t="s">
        <v>27</v>
      </c>
      <c r="B70" s="1" t="s">
        <v>27</v>
      </c>
      <c r="C70" s="1" t="s">
        <v>27</v>
      </c>
      <c r="D70" s="31"/>
      <c r="E70" s="31"/>
      <c r="F70" s="31"/>
      <c r="G70" s="31"/>
      <c r="H70" s="32"/>
      <c r="I70" s="38" t="s">
        <v>27</v>
      </c>
      <c r="J70" s="1" t="s">
        <v>27</v>
      </c>
      <c r="K70" s="1" t="s">
        <v>27</v>
      </c>
      <c r="L70" s="31"/>
      <c r="M70" s="31"/>
      <c r="N70" s="31"/>
      <c r="O70" s="31"/>
      <c r="P70" s="32"/>
    </row>
    <row r="71" spans="1:16">
      <c r="A71" s="38" t="s">
        <v>27</v>
      </c>
      <c r="B71" s="1" t="s">
        <v>27</v>
      </c>
      <c r="C71" s="1" t="s">
        <v>27</v>
      </c>
      <c r="D71" s="31"/>
      <c r="E71" s="31"/>
      <c r="F71" s="31"/>
      <c r="G71" s="31"/>
      <c r="H71" s="32"/>
      <c r="I71" s="38" t="s">
        <v>27</v>
      </c>
      <c r="J71" s="1" t="s">
        <v>27</v>
      </c>
      <c r="K71" s="1" t="s">
        <v>27</v>
      </c>
      <c r="L71" s="31"/>
      <c r="M71" s="31"/>
      <c r="N71" s="31"/>
      <c r="O71" s="31"/>
      <c r="P71" s="32"/>
    </row>
    <row r="72" spans="1:16">
      <c r="A72" s="38" t="s">
        <v>27</v>
      </c>
      <c r="B72" s="1" t="s">
        <v>27</v>
      </c>
      <c r="C72" s="1" t="s">
        <v>27</v>
      </c>
      <c r="D72" s="31"/>
      <c r="E72" s="31"/>
      <c r="F72" s="31"/>
      <c r="G72" s="31"/>
      <c r="H72" s="32"/>
      <c r="I72" s="38" t="s">
        <v>27</v>
      </c>
      <c r="J72" s="1" t="s">
        <v>27</v>
      </c>
      <c r="K72" s="1" t="s">
        <v>27</v>
      </c>
      <c r="L72" s="31"/>
      <c r="M72" s="31"/>
      <c r="N72" s="31"/>
      <c r="O72" s="31"/>
      <c r="P72" s="32"/>
    </row>
    <row r="73" spans="1:16">
      <c r="A73" s="38" t="s">
        <v>27</v>
      </c>
      <c r="B73" s="1" t="s">
        <v>27</v>
      </c>
      <c r="C73" s="1" t="s">
        <v>27</v>
      </c>
      <c r="D73" s="31"/>
      <c r="E73" s="31"/>
      <c r="F73" s="31"/>
      <c r="G73" s="31"/>
      <c r="H73" s="32"/>
      <c r="I73" s="38" t="s">
        <v>27</v>
      </c>
      <c r="J73" s="1" t="s">
        <v>27</v>
      </c>
      <c r="K73" s="1" t="s">
        <v>27</v>
      </c>
      <c r="L73" s="31"/>
      <c r="M73" s="31"/>
      <c r="N73" s="31"/>
      <c r="O73" s="31"/>
      <c r="P73" s="32"/>
    </row>
    <row r="74" spans="1:16">
      <c r="A74" s="38" t="s">
        <v>27</v>
      </c>
      <c r="B74" s="1" t="s">
        <v>27</v>
      </c>
      <c r="C74" s="1" t="s">
        <v>27</v>
      </c>
      <c r="D74" s="31"/>
      <c r="E74" s="31"/>
      <c r="F74" s="31"/>
      <c r="G74" s="31"/>
      <c r="H74" s="32"/>
      <c r="I74" s="38" t="s">
        <v>27</v>
      </c>
      <c r="J74" s="1" t="s">
        <v>27</v>
      </c>
      <c r="K74" s="1" t="s">
        <v>27</v>
      </c>
      <c r="L74" s="31"/>
      <c r="M74" s="31"/>
      <c r="N74" s="31"/>
      <c r="O74" s="31"/>
      <c r="P74" s="32"/>
    </row>
    <row r="75" spans="1:16">
      <c r="A75" s="38" t="s">
        <v>27</v>
      </c>
      <c r="B75" s="1" t="s">
        <v>27</v>
      </c>
      <c r="C75" s="1" t="s">
        <v>27</v>
      </c>
      <c r="D75" s="31"/>
      <c r="E75" s="31"/>
      <c r="F75" s="31"/>
      <c r="G75" s="31"/>
      <c r="H75" s="32"/>
      <c r="I75" s="38" t="s">
        <v>27</v>
      </c>
      <c r="J75" s="1" t="s">
        <v>27</v>
      </c>
      <c r="K75" s="1" t="s">
        <v>27</v>
      </c>
      <c r="L75" s="31"/>
      <c r="M75" s="31"/>
      <c r="N75" s="31"/>
      <c r="O75" s="31"/>
      <c r="P75" s="32"/>
    </row>
    <row r="76" spans="1:16">
      <c r="A76" s="38" t="s">
        <v>27</v>
      </c>
      <c r="B76" s="1" t="s">
        <v>27</v>
      </c>
      <c r="C76" s="1" t="s">
        <v>27</v>
      </c>
      <c r="D76" s="31"/>
      <c r="E76" s="31"/>
      <c r="F76" s="31"/>
      <c r="G76" s="31"/>
      <c r="H76" s="32"/>
      <c r="I76" s="38" t="s">
        <v>27</v>
      </c>
      <c r="J76" s="1" t="s">
        <v>27</v>
      </c>
      <c r="K76" s="1" t="s">
        <v>27</v>
      </c>
      <c r="L76" s="31"/>
      <c r="M76" s="31"/>
      <c r="N76" s="31"/>
      <c r="O76" s="31"/>
      <c r="P76" s="32"/>
    </row>
    <row r="77" spans="1:16">
      <c r="A77" s="38" t="s">
        <v>27</v>
      </c>
      <c r="B77" s="1" t="s">
        <v>27</v>
      </c>
      <c r="C77" s="1" t="s">
        <v>27</v>
      </c>
      <c r="D77" s="31"/>
      <c r="E77" s="31"/>
      <c r="F77" s="31"/>
      <c r="G77" s="31"/>
      <c r="H77" s="32"/>
      <c r="I77" s="38" t="s">
        <v>27</v>
      </c>
      <c r="J77" s="1" t="s">
        <v>27</v>
      </c>
      <c r="K77" s="1" t="s">
        <v>27</v>
      </c>
      <c r="L77" s="31"/>
      <c r="M77" s="31"/>
      <c r="N77" s="31"/>
      <c r="O77" s="31"/>
      <c r="P77" s="32"/>
    </row>
    <row r="78" spans="1:16">
      <c r="A78" s="38" t="s">
        <v>27</v>
      </c>
      <c r="B78" s="1" t="s">
        <v>27</v>
      </c>
      <c r="C78" s="1" t="s">
        <v>27</v>
      </c>
      <c r="D78" s="31"/>
      <c r="E78" s="31"/>
      <c r="F78" s="31"/>
      <c r="G78" s="31"/>
      <c r="H78" s="32"/>
      <c r="I78" s="38" t="s">
        <v>27</v>
      </c>
      <c r="J78" s="1" t="s">
        <v>27</v>
      </c>
      <c r="K78" s="1" t="s">
        <v>27</v>
      </c>
      <c r="L78" s="31"/>
      <c r="M78" s="31"/>
      <c r="N78" s="31"/>
      <c r="O78" s="31"/>
      <c r="P78" s="32"/>
    </row>
    <row r="79" spans="1:16">
      <c r="A79" s="38" t="s">
        <v>27</v>
      </c>
      <c r="B79" s="1" t="s">
        <v>27</v>
      </c>
      <c r="C79" s="1" t="s">
        <v>27</v>
      </c>
      <c r="D79" s="31"/>
      <c r="E79" s="31"/>
      <c r="F79" s="31"/>
      <c r="G79" s="31"/>
      <c r="H79" s="32"/>
      <c r="I79" s="38" t="s">
        <v>27</v>
      </c>
      <c r="J79" s="1" t="s">
        <v>27</v>
      </c>
      <c r="K79" s="1" t="s">
        <v>27</v>
      </c>
      <c r="L79" s="31"/>
      <c r="M79" s="31"/>
      <c r="N79" s="31"/>
      <c r="O79" s="31"/>
      <c r="P79" s="32"/>
    </row>
    <row r="80" spans="1:16">
      <c r="A80" s="38" t="s">
        <v>27</v>
      </c>
      <c r="B80" s="1" t="s">
        <v>27</v>
      </c>
      <c r="C80" s="1" t="s">
        <v>27</v>
      </c>
      <c r="D80" s="31"/>
      <c r="E80" s="31"/>
      <c r="F80" s="31"/>
      <c r="G80" s="31"/>
      <c r="H80" s="32"/>
      <c r="I80" s="38" t="s">
        <v>27</v>
      </c>
      <c r="J80" s="1" t="s">
        <v>27</v>
      </c>
      <c r="K80" s="1" t="s">
        <v>27</v>
      </c>
      <c r="L80" s="31"/>
      <c r="M80" s="31"/>
      <c r="N80" s="31"/>
      <c r="O80" s="31"/>
      <c r="P80" s="32"/>
    </row>
    <row r="81" spans="1:16">
      <c r="A81" s="38" t="s">
        <v>27</v>
      </c>
      <c r="B81" s="1" t="s">
        <v>27</v>
      </c>
      <c r="C81" s="1" t="s">
        <v>27</v>
      </c>
      <c r="D81" s="31"/>
      <c r="E81" s="31"/>
      <c r="F81" s="31"/>
      <c r="G81" s="31"/>
      <c r="H81" s="32"/>
      <c r="I81" s="38" t="s">
        <v>27</v>
      </c>
      <c r="J81" s="1" t="s">
        <v>27</v>
      </c>
      <c r="K81" s="1" t="s">
        <v>27</v>
      </c>
      <c r="L81" s="31"/>
      <c r="M81" s="31"/>
      <c r="N81" s="31"/>
      <c r="O81" s="31"/>
      <c r="P81" s="32"/>
    </row>
    <row r="82" spans="1:16">
      <c r="A82" s="38" t="s">
        <v>27</v>
      </c>
      <c r="B82" s="1" t="s">
        <v>27</v>
      </c>
      <c r="C82" s="1" t="s">
        <v>27</v>
      </c>
      <c r="D82" s="31"/>
      <c r="E82" s="31"/>
      <c r="F82" s="31"/>
      <c r="G82" s="31"/>
      <c r="H82" s="32"/>
      <c r="I82" s="38" t="s">
        <v>27</v>
      </c>
      <c r="J82" s="1" t="s">
        <v>27</v>
      </c>
      <c r="K82" s="1" t="s">
        <v>27</v>
      </c>
      <c r="L82" s="31"/>
      <c r="M82" s="31"/>
      <c r="N82" s="31"/>
      <c r="O82" s="31"/>
      <c r="P82" s="32"/>
    </row>
    <row r="83" spans="1:16">
      <c r="A83" s="38" t="s">
        <v>27</v>
      </c>
      <c r="B83" s="1" t="s">
        <v>27</v>
      </c>
      <c r="C83" s="1" t="s">
        <v>27</v>
      </c>
      <c r="D83" s="31"/>
      <c r="E83" s="31"/>
      <c r="F83" s="31"/>
      <c r="G83" s="31"/>
      <c r="H83" s="32"/>
      <c r="I83" s="38" t="s">
        <v>27</v>
      </c>
      <c r="J83" s="1" t="s">
        <v>27</v>
      </c>
      <c r="K83" s="1" t="s">
        <v>27</v>
      </c>
      <c r="L83" s="31"/>
      <c r="M83" s="31"/>
      <c r="N83" s="31"/>
      <c r="O83" s="31"/>
      <c r="P83" s="32"/>
    </row>
    <row r="84" spans="1:16">
      <c r="A84" s="38" t="s">
        <v>27</v>
      </c>
      <c r="B84" s="1" t="s">
        <v>27</v>
      </c>
      <c r="C84" s="1" t="s">
        <v>27</v>
      </c>
      <c r="D84" s="31"/>
      <c r="E84" s="31"/>
      <c r="F84" s="31"/>
      <c r="G84" s="31"/>
      <c r="H84" s="32"/>
      <c r="I84" s="38" t="s">
        <v>27</v>
      </c>
      <c r="J84" s="1" t="s">
        <v>27</v>
      </c>
      <c r="K84" s="1" t="s">
        <v>27</v>
      </c>
      <c r="L84" s="31"/>
      <c r="M84" s="31"/>
      <c r="N84" s="31"/>
      <c r="O84" s="31"/>
      <c r="P84" s="32"/>
    </row>
    <row r="85" spans="1:16">
      <c r="A85" s="38" t="s">
        <v>27</v>
      </c>
      <c r="B85" s="1" t="s">
        <v>27</v>
      </c>
      <c r="C85" s="1" t="s">
        <v>27</v>
      </c>
      <c r="D85" s="31"/>
      <c r="E85" s="31"/>
      <c r="F85" s="31"/>
      <c r="G85" s="31"/>
      <c r="H85" s="32"/>
      <c r="I85" s="38" t="s">
        <v>27</v>
      </c>
      <c r="J85" s="1" t="s">
        <v>27</v>
      </c>
      <c r="K85" s="1" t="s">
        <v>27</v>
      </c>
      <c r="L85" s="31"/>
      <c r="M85" s="31"/>
      <c r="N85" s="31"/>
      <c r="O85" s="31"/>
      <c r="P85" s="32"/>
    </row>
    <row r="86" spans="1:16">
      <c r="A86" s="38" t="s">
        <v>27</v>
      </c>
      <c r="B86" s="1" t="s">
        <v>27</v>
      </c>
      <c r="C86" s="1" t="s">
        <v>27</v>
      </c>
      <c r="D86" s="31"/>
      <c r="E86" s="31"/>
      <c r="F86" s="31"/>
      <c r="G86" s="31"/>
      <c r="H86" s="32"/>
      <c r="I86" s="38" t="s">
        <v>27</v>
      </c>
      <c r="J86" s="1" t="s">
        <v>27</v>
      </c>
      <c r="K86" s="1" t="s">
        <v>27</v>
      </c>
      <c r="L86" s="31"/>
      <c r="M86" s="31"/>
      <c r="N86" s="31"/>
      <c r="O86" s="31"/>
      <c r="P86" s="32"/>
    </row>
    <row r="87" spans="1:16">
      <c r="A87" s="38" t="s">
        <v>27</v>
      </c>
      <c r="B87" s="1" t="s">
        <v>27</v>
      </c>
      <c r="C87" s="1" t="s">
        <v>27</v>
      </c>
      <c r="D87" s="31"/>
      <c r="E87" s="31"/>
      <c r="F87" s="31"/>
      <c r="G87" s="31"/>
      <c r="H87" s="32"/>
      <c r="I87" s="38" t="s">
        <v>27</v>
      </c>
      <c r="J87" s="1" t="s">
        <v>27</v>
      </c>
      <c r="K87" s="1" t="s">
        <v>27</v>
      </c>
      <c r="L87" s="31"/>
      <c r="M87" s="31"/>
      <c r="N87" s="31"/>
      <c r="O87" s="31"/>
      <c r="P87" s="32"/>
    </row>
    <row r="88" spans="1:16">
      <c r="A88" s="38" t="s">
        <v>27</v>
      </c>
      <c r="B88" s="1" t="s">
        <v>27</v>
      </c>
      <c r="C88" s="1" t="s">
        <v>27</v>
      </c>
      <c r="D88" s="31"/>
      <c r="E88" s="31"/>
      <c r="F88" s="31"/>
      <c r="G88" s="31"/>
      <c r="H88" s="32"/>
      <c r="I88" s="38" t="s">
        <v>27</v>
      </c>
      <c r="J88" s="1" t="s">
        <v>27</v>
      </c>
      <c r="K88" s="1" t="s">
        <v>27</v>
      </c>
      <c r="L88" s="31"/>
      <c r="M88" s="31"/>
      <c r="N88" s="31"/>
      <c r="O88" s="31"/>
      <c r="P88" s="32"/>
    </row>
    <row r="89" spans="1:16">
      <c r="A89" s="38" t="s">
        <v>27</v>
      </c>
      <c r="B89" s="1" t="s">
        <v>27</v>
      </c>
      <c r="C89" s="1" t="s">
        <v>27</v>
      </c>
      <c r="D89" s="31"/>
      <c r="E89" s="31"/>
      <c r="F89" s="31"/>
      <c r="G89" s="31"/>
      <c r="H89" s="32"/>
      <c r="I89" s="38" t="s">
        <v>27</v>
      </c>
      <c r="J89" s="1" t="s">
        <v>27</v>
      </c>
      <c r="K89" s="1" t="s">
        <v>27</v>
      </c>
      <c r="L89" s="31"/>
      <c r="M89" s="31"/>
      <c r="N89" s="31"/>
      <c r="O89" s="31"/>
      <c r="P89" s="32"/>
    </row>
    <row r="90" spans="1:16">
      <c r="A90" s="38" t="s">
        <v>27</v>
      </c>
      <c r="B90" s="1" t="s">
        <v>27</v>
      </c>
      <c r="C90" s="1" t="s">
        <v>27</v>
      </c>
      <c r="D90" s="31"/>
      <c r="E90" s="31"/>
      <c r="F90" s="31"/>
      <c r="G90" s="31"/>
      <c r="H90" s="32"/>
      <c r="I90" s="38" t="s">
        <v>27</v>
      </c>
      <c r="J90" s="1" t="s">
        <v>27</v>
      </c>
      <c r="K90" s="1" t="s">
        <v>27</v>
      </c>
      <c r="L90" s="31"/>
      <c r="M90" s="31"/>
      <c r="N90" s="31"/>
      <c r="O90" s="31"/>
      <c r="P90" s="32"/>
    </row>
    <row r="91" spans="1:16">
      <c r="A91" s="38" t="s">
        <v>27</v>
      </c>
      <c r="B91" s="1" t="s">
        <v>27</v>
      </c>
      <c r="C91" s="1" t="s">
        <v>27</v>
      </c>
      <c r="D91" s="31"/>
      <c r="E91" s="31"/>
      <c r="F91" s="31"/>
      <c r="G91" s="31"/>
      <c r="H91" s="32"/>
      <c r="I91" s="38" t="s">
        <v>27</v>
      </c>
      <c r="J91" s="1" t="s">
        <v>27</v>
      </c>
      <c r="K91" s="1" t="s">
        <v>27</v>
      </c>
      <c r="L91" s="31"/>
      <c r="M91" s="31"/>
      <c r="N91" s="31"/>
      <c r="O91" s="31"/>
      <c r="P91" s="32"/>
    </row>
    <row r="92" spans="1:16">
      <c r="A92" s="38" t="s">
        <v>27</v>
      </c>
      <c r="B92" s="1" t="s">
        <v>27</v>
      </c>
      <c r="C92" s="1" t="s">
        <v>27</v>
      </c>
      <c r="D92" s="31"/>
      <c r="E92" s="31"/>
      <c r="F92" s="31"/>
      <c r="G92" s="31"/>
      <c r="H92" s="32"/>
      <c r="I92" s="38" t="s">
        <v>27</v>
      </c>
      <c r="J92" s="1" t="s">
        <v>27</v>
      </c>
      <c r="K92" s="1" t="s">
        <v>27</v>
      </c>
      <c r="L92" s="31"/>
      <c r="M92" s="31"/>
      <c r="N92" s="31"/>
      <c r="O92" s="31"/>
      <c r="P92" s="32"/>
    </row>
    <row r="93" spans="1:16">
      <c r="A93" s="38" t="s">
        <v>27</v>
      </c>
      <c r="B93" s="1" t="s">
        <v>27</v>
      </c>
      <c r="C93" s="1" t="s">
        <v>27</v>
      </c>
      <c r="D93" s="31"/>
      <c r="E93" s="31"/>
      <c r="F93" s="31"/>
      <c r="G93" s="31"/>
      <c r="H93" s="32"/>
      <c r="I93" s="38" t="s">
        <v>27</v>
      </c>
      <c r="J93" s="1" t="s">
        <v>27</v>
      </c>
      <c r="K93" s="1" t="s">
        <v>27</v>
      </c>
      <c r="L93" s="31"/>
      <c r="M93" s="31"/>
      <c r="N93" s="31"/>
      <c r="O93" s="31"/>
      <c r="P93" s="32"/>
    </row>
    <row r="94" spans="1:16">
      <c r="A94" s="38" t="s">
        <v>27</v>
      </c>
      <c r="B94" s="1" t="s">
        <v>27</v>
      </c>
      <c r="C94" s="1" t="s">
        <v>27</v>
      </c>
      <c r="D94" s="31"/>
      <c r="E94" s="31"/>
      <c r="F94" s="31"/>
      <c r="G94" s="31"/>
      <c r="H94" s="32"/>
      <c r="I94" s="38" t="s">
        <v>27</v>
      </c>
      <c r="J94" s="1" t="s">
        <v>27</v>
      </c>
      <c r="K94" s="1" t="s">
        <v>27</v>
      </c>
      <c r="L94" s="31"/>
      <c r="M94" s="31"/>
      <c r="N94" s="31"/>
      <c r="O94" s="31"/>
      <c r="P94" s="32"/>
    </row>
    <row r="95" spans="1:16">
      <c r="A95" s="38" t="s">
        <v>27</v>
      </c>
      <c r="B95" s="1" t="s">
        <v>27</v>
      </c>
      <c r="C95" s="1" t="s">
        <v>27</v>
      </c>
      <c r="D95" s="31"/>
      <c r="E95" s="31"/>
      <c r="F95" s="31"/>
      <c r="G95" s="31"/>
      <c r="H95" s="32"/>
      <c r="I95" s="38" t="s">
        <v>27</v>
      </c>
      <c r="J95" s="1" t="s">
        <v>27</v>
      </c>
      <c r="K95" s="1" t="s">
        <v>27</v>
      </c>
      <c r="L95" s="31"/>
      <c r="M95" s="31"/>
      <c r="N95" s="31"/>
      <c r="O95" s="31"/>
      <c r="P95" s="32"/>
    </row>
    <row r="96" spans="1:16">
      <c r="A96" s="38" t="s">
        <v>27</v>
      </c>
      <c r="B96" s="1" t="s">
        <v>27</v>
      </c>
      <c r="C96" s="1" t="s">
        <v>27</v>
      </c>
      <c r="D96" s="31"/>
      <c r="E96" s="31"/>
      <c r="F96" s="31"/>
      <c r="G96" s="31"/>
      <c r="H96" s="32"/>
      <c r="I96" s="38" t="s">
        <v>27</v>
      </c>
      <c r="J96" s="1" t="s">
        <v>27</v>
      </c>
      <c r="K96" s="1" t="s">
        <v>27</v>
      </c>
      <c r="L96" s="31"/>
      <c r="M96" s="31"/>
      <c r="N96" s="31"/>
      <c r="O96" s="31"/>
      <c r="P96" s="32"/>
    </row>
    <row r="97" spans="1:16">
      <c r="A97" s="38" t="s">
        <v>27</v>
      </c>
      <c r="B97" s="1" t="s">
        <v>27</v>
      </c>
      <c r="C97" s="1" t="s">
        <v>27</v>
      </c>
      <c r="D97" s="31"/>
      <c r="E97" s="31"/>
      <c r="F97" s="31"/>
      <c r="G97" s="31"/>
      <c r="H97" s="32"/>
      <c r="I97" s="38" t="s">
        <v>27</v>
      </c>
      <c r="J97" s="1" t="s">
        <v>27</v>
      </c>
      <c r="K97" s="1" t="s">
        <v>27</v>
      </c>
      <c r="L97" s="31"/>
      <c r="M97" s="31"/>
      <c r="N97" s="31"/>
      <c r="O97" s="31"/>
      <c r="P97" s="32"/>
    </row>
    <row r="98" spans="1:16">
      <c r="A98" s="38" t="s">
        <v>27</v>
      </c>
      <c r="B98" s="1" t="s">
        <v>27</v>
      </c>
      <c r="C98" s="1" t="s">
        <v>27</v>
      </c>
      <c r="D98" s="31"/>
      <c r="E98" s="31"/>
      <c r="F98" s="31"/>
      <c r="G98" s="31"/>
      <c r="H98" s="32"/>
      <c r="I98" s="38" t="s">
        <v>27</v>
      </c>
      <c r="J98" s="1" t="s">
        <v>27</v>
      </c>
      <c r="K98" s="1" t="s">
        <v>27</v>
      </c>
      <c r="L98" s="31"/>
      <c r="M98" s="31"/>
      <c r="N98" s="31"/>
      <c r="O98" s="31"/>
      <c r="P98" s="32"/>
    </row>
    <row r="99" spans="1:16">
      <c r="A99" s="38" t="s">
        <v>27</v>
      </c>
      <c r="B99" s="1" t="s">
        <v>27</v>
      </c>
      <c r="C99" s="1" t="s">
        <v>27</v>
      </c>
      <c r="D99" s="31"/>
      <c r="E99" s="31"/>
      <c r="F99" s="31"/>
      <c r="G99" s="31"/>
      <c r="H99" s="32"/>
      <c r="I99" s="38" t="s">
        <v>27</v>
      </c>
      <c r="J99" s="1" t="s">
        <v>27</v>
      </c>
      <c r="K99" s="1" t="s">
        <v>27</v>
      </c>
      <c r="L99" s="31"/>
      <c r="M99" s="31"/>
      <c r="N99" s="31"/>
      <c r="O99" s="31"/>
      <c r="P99" s="32"/>
    </row>
    <row r="100" spans="1:16" ht="15" thickBot="1">
      <c r="A100" s="39" t="s">
        <v>27</v>
      </c>
      <c r="B100" s="40" t="s">
        <v>27</v>
      </c>
      <c r="C100" s="40" t="s">
        <v>27</v>
      </c>
      <c r="D100" s="41"/>
      <c r="E100" s="41"/>
      <c r="F100" s="41"/>
      <c r="G100" s="41"/>
      <c r="H100" s="42"/>
      <c r="I100" s="39" t="s">
        <v>27</v>
      </c>
      <c r="J100" s="40" t="s">
        <v>27</v>
      </c>
      <c r="K100" s="40" t="s">
        <v>27</v>
      </c>
      <c r="L100" s="41"/>
      <c r="M100" s="41"/>
      <c r="N100" s="41"/>
      <c r="O100" s="41"/>
      <c r="P100" s="4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BA9F-F99A-4E14-BB51-3CC6D425817B}">
  <dimension ref="A1:AB100"/>
  <sheetViews>
    <sheetView topLeftCell="B55" workbookViewId="0">
      <selection activeCell="J10" sqref="J10:J68"/>
    </sheetView>
  </sheetViews>
  <sheetFormatPr defaultRowHeight="14.4"/>
  <sheetData>
    <row r="1" spans="1:28" ht="15.6">
      <c r="A1" s="70" t="s">
        <v>30</v>
      </c>
      <c r="B1" s="71"/>
      <c r="C1" s="71"/>
      <c r="D1" s="71"/>
      <c r="E1" s="71"/>
      <c r="F1" s="72" t="s">
        <v>3</v>
      </c>
      <c r="G1" s="72"/>
      <c r="H1" s="27" cm="1">
        <f t="array" ref="H1">SUM(VLOOKUP(A4:C100,$T$3:$W$36,4,FALSE))+H4*10-H8*50</f>
        <v>2499.7752794047424</v>
      </c>
      <c r="I1" s="73" t="s">
        <v>41</v>
      </c>
      <c r="J1" s="74"/>
      <c r="K1" s="74"/>
      <c r="L1" s="74"/>
      <c r="M1" s="74"/>
      <c r="N1" s="74"/>
      <c r="O1" s="74"/>
      <c r="P1" s="75"/>
      <c r="Q1" s="73" t="s">
        <v>48</v>
      </c>
      <c r="R1" s="74"/>
      <c r="S1" s="74"/>
      <c r="T1" s="74"/>
      <c r="U1" s="74"/>
      <c r="V1" s="74"/>
      <c r="W1" s="74"/>
      <c r="X1" s="74"/>
      <c r="Y1" s="74"/>
      <c r="Z1" s="74"/>
      <c r="AA1" s="74"/>
      <c r="AB1" s="75"/>
    </row>
    <row r="2" spans="1:28" ht="28.8">
      <c r="A2" s="76" t="s">
        <v>35</v>
      </c>
      <c r="B2" s="77"/>
      <c r="C2" s="77"/>
      <c r="D2" s="78" t="s">
        <v>37</v>
      </c>
      <c r="E2" s="79"/>
      <c r="F2" s="79"/>
      <c r="G2" s="79"/>
      <c r="H2" s="80"/>
      <c r="I2" s="81" t="s">
        <v>35</v>
      </c>
      <c r="J2" s="82"/>
      <c r="K2" s="82"/>
      <c r="L2" s="83" t="s">
        <v>37</v>
      </c>
      <c r="M2" s="83"/>
      <c r="N2" s="83"/>
      <c r="O2" s="83"/>
      <c r="P2" s="84"/>
      <c r="Q2" s="60" t="s">
        <v>43</v>
      </c>
      <c r="R2" s="61" cm="1">
        <f t="array" ref="R2">SUM(V3:V28*AB3:AB28)+H6+P6+R4*500</f>
        <v>65150</v>
      </c>
      <c r="S2" s="31"/>
      <c r="T2" s="1" t="s">
        <v>0</v>
      </c>
      <c r="U2" s="1" t="s">
        <v>1</v>
      </c>
      <c r="V2" s="1" t="s">
        <v>2</v>
      </c>
      <c r="W2" s="54" t="s">
        <v>3</v>
      </c>
      <c r="X2" s="56" t="s">
        <v>44</v>
      </c>
      <c r="Y2" s="56" t="s">
        <v>56</v>
      </c>
      <c r="Z2" s="57" t="s">
        <v>45</v>
      </c>
      <c r="AA2" s="57" t="s">
        <v>46</v>
      </c>
      <c r="AB2" s="62" t="s">
        <v>47</v>
      </c>
    </row>
    <row r="3" spans="1:28">
      <c r="A3" s="28" t="s">
        <v>31</v>
      </c>
      <c r="B3" s="68" t="s">
        <v>32</v>
      </c>
      <c r="C3" s="20" t="s">
        <v>33</v>
      </c>
      <c r="D3" s="43"/>
      <c r="E3" s="28" t="s">
        <v>31</v>
      </c>
      <c r="F3" s="68" t="s">
        <v>32</v>
      </c>
      <c r="G3" s="20" t="s">
        <v>33</v>
      </c>
      <c r="H3" s="44" t="s">
        <v>36</v>
      </c>
      <c r="I3" s="28" t="s">
        <v>31</v>
      </c>
      <c r="J3" s="68" t="s">
        <v>32</v>
      </c>
      <c r="K3" s="20" t="s">
        <v>33</v>
      </c>
      <c r="L3" s="43"/>
      <c r="M3" s="28" t="s">
        <v>31</v>
      </c>
      <c r="N3" s="68" t="s">
        <v>32</v>
      </c>
      <c r="O3" s="20" t="s">
        <v>33</v>
      </c>
      <c r="P3" s="44" t="s">
        <v>36</v>
      </c>
      <c r="Q3" s="63" t="s">
        <v>49</v>
      </c>
      <c r="R3" s="31">
        <v>91</v>
      </c>
      <c r="S3" s="31"/>
      <c r="T3" s="2" t="s">
        <v>4</v>
      </c>
      <c r="U3" s="1">
        <v>150</v>
      </c>
      <c r="V3" s="1">
        <v>35</v>
      </c>
      <c r="W3" s="55">
        <f>U3-V3/0.330882</f>
        <v>44.222109392472248</v>
      </c>
      <c r="X3" s="56"/>
      <c r="Y3" s="56">
        <v>10</v>
      </c>
      <c r="Z3" s="1">
        <f>COUNTIF($A$4:$C$100,T3)</f>
        <v>6</v>
      </c>
      <c r="AA3" s="1">
        <f>COUNTIF($I$4:$K$100,T3)</f>
        <v>4</v>
      </c>
      <c r="AB3" s="64">
        <f>Y3-Z3-AA3</f>
        <v>0</v>
      </c>
    </row>
    <row r="4" spans="1:28">
      <c r="A4" s="2" t="s">
        <v>4</v>
      </c>
      <c r="B4" s="15" t="s">
        <v>17</v>
      </c>
      <c r="C4" s="3" t="s">
        <v>5</v>
      </c>
      <c r="D4" s="53" t="s">
        <v>34</v>
      </c>
      <c r="E4" s="49">
        <v>5</v>
      </c>
      <c r="F4" s="49">
        <v>0</v>
      </c>
      <c r="G4" s="49">
        <v>2</v>
      </c>
      <c r="H4" s="46">
        <f>SUM(E4:G4)</f>
        <v>7</v>
      </c>
      <c r="I4" s="1" t="s">
        <v>27</v>
      </c>
      <c r="J4" s="1" t="s">
        <v>27</v>
      </c>
      <c r="K4" s="1" t="s">
        <v>27</v>
      </c>
      <c r="L4" s="53" t="s">
        <v>34</v>
      </c>
      <c r="M4" s="49">
        <v>0</v>
      </c>
      <c r="N4" s="49">
        <v>3</v>
      </c>
      <c r="O4" s="49">
        <v>0</v>
      </c>
      <c r="P4" s="46">
        <f>SUM(M4:O4)</f>
        <v>3</v>
      </c>
      <c r="Q4" s="63" t="s">
        <v>50</v>
      </c>
      <c r="R4" s="50">
        <v>14</v>
      </c>
      <c r="S4" s="31"/>
      <c r="T4" s="3" t="s">
        <v>5</v>
      </c>
      <c r="U4" s="1">
        <v>160</v>
      </c>
      <c r="V4" s="1">
        <v>40</v>
      </c>
      <c r="W4" s="55">
        <f t="shared" ref="W4" si="0">U4-V4/0.330882</f>
        <v>39.110982162825422</v>
      </c>
      <c r="X4" s="56"/>
      <c r="Y4" s="56">
        <v>50</v>
      </c>
      <c r="Z4" s="1">
        <f t="shared" ref="Z4:Z28" si="1">COUNTIF($A$4:$C$100,T4)</f>
        <v>13</v>
      </c>
      <c r="AA4" s="1">
        <f t="shared" ref="AA4:AA28" si="2">COUNTIF($I$4:$K$100,T4)</f>
        <v>37</v>
      </c>
      <c r="AB4" s="64">
        <f t="shared" ref="AB4:AB28" si="3">Y4-Z4-AA4</f>
        <v>0</v>
      </c>
    </row>
    <row r="5" spans="1:28">
      <c r="A5" s="2" t="s">
        <v>4</v>
      </c>
      <c r="B5" s="3" t="s">
        <v>5</v>
      </c>
      <c r="C5" s="16" t="s">
        <v>18</v>
      </c>
      <c r="D5" s="43" t="s">
        <v>38</v>
      </c>
      <c r="E5" s="45" cm="1">
        <f t="array" ref="E5">(SUM(VLOOKUP(A4:A100,$T$3:$W$41,2,FALSE))+E4*10)-E8*50</f>
        <v>5830</v>
      </c>
      <c r="F5" s="45" cm="1">
        <f t="array" ref="F5">(SUM(VLOOKUP(B4:B100,$T$3:$W$41,2,FALSE))+F4*10)-F8*50</f>
        <v>900</v>
      </c>
      <c r="G5" s="45" cm="1">
        <f t="array" ref="G5">(SUM(VLOOKUP(C4:C100,$T$3:$W$41,2,FALSE))+G4*10)-G8*50</f>
        <v>5930</v>
      </c>
      <c r="H5" s="69">
        <f t="shared" ref="H5:H8" si="4">SUM(E5:G5)</f>
        <v>12660</v>
      </c>
      <c r="I5" s="1" t="s">
        <v>27</v>
      </c>
      <c r="J5" s="1" t="s">
        <v>27</v>
      </c>
      <c r="K5" s="1" t="s">
        <v>27</v>
      </c>
      <c r="L5" s="43" t="s">
        <v>38</v>
      </c>
      <c r="M5" s="45" cm="1">
        <f t="array" ref="M5">(SUM(VLOOKUP(I4:I100,$T$3:$W$41,2,FALSE))+M4*10)*0.8-M8*40</f>
        <v>0</v>
      </c>
      <c r="N5" s="45" cm="1">
        <f t="array" ref="N5">(SUM(VLOOKUP(J4:J100,$T$3:$W$41,2,FALSE))+N4*10)*0.8-N8*40</f>
        <v>5640</v>
      </c>
      <c r="O5" s="45" cm="1">
        <f t="array" ref="O5">(SUM(VLOOKUP(K4:K100,$T$3:$W$41,2,FALSE))+O4*10)*0.8-O8*40</f>
        <v>0</v>
      </c>
      <c r="P5" s="69">
        <f t="shared" ref="P5:P8" si="5">SUM(M5:O5)</f>
        <v>5640</v>
      </c>
      <c r="Q5" s="63" t="s">
        <v>51</v>
      </c>
      <c r="R5" s="31">
        <v>6000</v>
      </c>
      <c r="S5" s="31"/>
      <c r="T5" s="4" t="s">
        <v>6</v>
      </c>
      <c r="U5" s="1">
        <v>170</v>
      </c>
      <c r="V5" s="1">
        <v>45</v>
      </c>
      <c r="W5" s="55">
        <v>34</v>
      </c>
      <c r="X5" s="58"/>
      <c r="Y5" s="56">
        <v>237</v>
      </c>
      <c r="Z5" s="1">
        <f t="shared" si="1"/>
        <v>48</v>
      </c>
      <c r="AA5" s="1">
        <f t="shared" si="2"/>
        <v>0</v>
      </c>
      <c r="AB5" s="64">
        <f t="shared" si="3"/>
        <v>189</v>
      </c>
    </row>
    <row r="6" spans="1:28">
      <c r="A6" s="2" t="s">
        <v>4</v>
      </c>
      <c r="B6" s="3" t="s">
        <v>5</v>
      </c>
      <c r="C6" s="3" t="s">
        <v>5</v>
      </c>
      <c r="D6" s="43" t="s">
        <v>39</v>
      </c>
      <c r="E6" s="45" cm="1">
        <f t="array" ref="E6">(SUM(VLOOKUP(A4:A100,$T$3:$W$41,3,FALSE)))</f>
        <v>1820</v>
      </c>
      <c r="F6" s="45" cm="1">
        <f t="array" ref="F6">(SUM(VLOOKUP(B4:B100,$T$3:$W$41,3,FALSE)))</f>
        <v>260</v>
      </c>
      <c r="G6" s="45" cm="1">
        <f t="array" ref="G6">(SUM(VLOOKUP(C4:C100,$T$3:$W$41,3,FALSE)))</f>
        <v>2290</v>
      </c>
      <c r="H6" s="59">
        <f t="shared" si="4"/>
        <v>4370</v>
      </c>
      <c r="I6" s="1" t="s">
        <v>27</v>
      </c>
      <c r="J6" s="1" t="s">
        <v>27</v>
      </c>
      <c r="K6" s="1" t="s">
        <v>27</v>
      </c>
      <c r="L6" s="43" t="s">
        <v>39</v>
      </c>
      <c r="M6" s="45" cm="1">
        <f t="array" ref="M6">(SUM(VLOOKUP(I4:I100,$T$3:$W$41,3,FALSE)))</f>
        <v>0</v>
      </c>
      <c r="N6" s="45" cm="1">
        <f t="array" ref="N6">(SUM(VLOOKUP(J4:J100,$T$3:$W$41,3,FALSE)))</f>
        <v>2070</v>
      </c>
      <c r="O6" s="45" cm="1">
        <f t="array" ref="O6">(SUM(VLOOKUP(K4:K100,$T$3:$W$41,3,FALSE)))</f>
        <v>0</v>
      </c>
      <c r="P6" s="59">
        <f t="shared" si="5"/>
        <v>2070</v>
      </c>
      <c r="Q6" s="60" t="s">
        <v>52</v>
      </c>
      <c r="R6" s="31">
        <f>R3*1600-800+R5</f>
        <v>150800</v>
      </c>
      <c r="S6" s="31"/>
      <c r="T6" s="5" t="s">
        <v>7</v>
      </c>
      <c r="U6" s="1">
        <v>180</v>
      </c>
      <c r="V6" s="1">
        <v>50</v>
      </c>
      <c r="W6" s="55">
        <v>36</v>
      </c>
      <c r="X6" s="56">
        <v>265</v>
      </c>
      <c r="Y6" s="56">
        <v>265</v>
      </c>
      <c r="Z6" s="1">
        <f t="shared" si="1"/>
        <v>0</v>
      </c>
      <c r="AA6" s="1">
        <f t="shared" si="2"/>
        <v>0</v>
      </c>
      <c r="AB6" s="64">
        <f t="shared" si="3"/>
        <v>265</v>
      </c>
    </row>
    <row r="7" spans="1:28">
      <c r="A7" s="2" t="s">
        <v>4</v>
      </c>
      <c r="B7" s="3" t="s">
        <v>5</v>
      </c>
      <c r="C7" s="23" t="s">
        <v>29</v>
      </c>
      <c r="D7" s="43" t="s">
        <v>40</v>
      </c>
      <c r="E7" s="45">
        <f>COUNTIF(A4:A100,"&lt;&gt;空")</f>
        <v>36</v>
      </c>
      <c r="F7" s="45">
        <f>COUNTIF(B4:B100,"&lt;&gt;空")</f>
        <v>7</v>
      </c>
      <c r="G7" s="45">
        <f>COUNTIF(C4:C100,"&lt;&gt;空")</f>
        <v>40</v>
      </c>
      <c r="H7" s="46">
        <f t="shared" si="4"/>
        <v>83</v>
      </c>
      <c r="I7" s="1" t="s">
        <v>27</v>
      </c>
      <c r="J7" s="1" t="s">
        <v>27</v>
      </c>
      <c r="K7" s="1" t="s">
        <v>27</v>
      </c>
      <c r="L7" s="43" t="s">
        <v>40</v>
      </c>
      <c r="M7" s="45">
        <f>COUNTIF(I4:I100,"&lt;&gt;空")</f>
        <v>0</v>
      </c>
      <c r="N7" s="45">
        <f>COUNTIF(J4:J100,"&lt;&gt;空")</f>
        <v>57</v>
      </c>
      <c r="O7" s="45">
        <f>COUNTIF(K4:K100,"&lt;&gt;空")</f>
        <v>0</v>
      </c>
      <c r="P7" s="46">
        <f t="shared" si="5"/>
        <v>57</v>
      </c>
      <c r="Q7" s="63" t="s">
        <v>55</v>
      </c>
      <c r="R7" s="31">
        <v>13</v>
      </c>
      <c r="S7" s="31"/>
      <c r="T7" s="6" t="s">
        <v>8</v>
      </c>
      <c r="U7" s="1">
        <v>190</v>
      </c>
      <c r="V7" s="1">
        <v>55</v>
      </c>
      <c r="W7" s="55">
        <v>38</v>
      </c>
      <c r="X7" s="56">
        <v>234</v>
      </c>
      <c r="Y7" s="56">
        <v>234</v>
      </c>
      <c r="Z7" s="1">
        <f t="shared" si="1"/>
        <v>0</v>
      </c>
      <c r="AA7" s="1">
        <f t="shared" si="2"/>
        <v>0</v>
      </c>
      <c r="AB7" s="64">
        <f t="shared" si="3"/>
        <v>234</v>
      </c>
    </row>
    <row r="8" spans="1:28">
      <c r="A8" s="2" t="s">
        <v>4</v>
      </c>
      <c r="B8" s="3" t="s">
        <v>5</v>
      </c>
      <c r="C8" s="3" t="s">
        <v>5</v>
      </c>
      <c r="D8" s="52" t="s">
        <v>53</v>
      </c>
      <c r="E8" s="51">
        <v>1</v>
      </c>
      <c r="F8" s="51">
        <v>0</v>
      </c>
      <c r="G8" s="51">
        <v>0</v>
      </c>
      <c r="H8" s="46">
        <f t="shared" si="4"/>
        <v>1</v>
      </c>
      <c r="I8" s="1" t="s">
        <v>27</v>
      </c>
      <c r="J8" s="1" t="s">
        <v>27</v>
      </c>
      <c r="K8" s="1" t="s">
        <v>27</v>
      </c>
      <c r="L8" s="52" t="s">
        <v>53</v>
      </c>
      <c r="M8" s="51">
        <v>0</v>
      </c>
      <c r="N8" s="51">
        <v>2</v>
      </c>
      <c r="O8" s="51">
        <v>0</v>
      </c>
      <c r="P8" s="46">
        <f t="shared" si="5"/>
        <v>2</v>
      </c>
      <c r="Q8" s="60" t="s">
        <v>54</v>
      </c>
      <c r="R8" s="65" cm="1">
        <f t="array" ref="R8">R6-P5-H5-SUM(U3:U28*AB3:AB28)*0.8-R7*8</f>
        <v>4</v>
      </c>
      <c r="S8" s="31"/>
      <c r="T8" s="7" t="s">
        <v>9</v>
      </c>
      <c r="U8" s="1">
        <v>200</v>
      </c>
      <c r="V8" s="1">
        <v>60</v>
      </c>
      <c r="W8" s="55"/>
      <c r="X8" s="56">
        <v>194</v>
      </c>
      <c r="Y8" s="56">
        <v>194</v>
      </c>
      <c r="Z8" s="1">
        <f t="shared" si="1"/>
        <v>0</v>
      </c>
      <c r="AA8" s="1">
        <f t="shared" si="2"/>
        <v>0</v>
      </c>
      <c r="AB8" s="64">
        <f t="shared" si="3"/>
        <v>194</v>
      </c>
    </row>
    <row r="9" spans="1:28">
      <c r="A9" s="2" t="s">
        <v>4</v>
      </c>
      <c r="B9" s="3" t="s">
        <v>5</v>
      </c>
      <c r="C9" s="3" t="s">
        <v>5</v>
      </c>
      <c r="D9" s="31"/>
      <c r="E9" s="31"/>
      <c r="F9" s="31"/>
      <c r="G9" s="31"/>
      <c r="H9" s="32"/>
      <c r="I9" s="1" t="s">
        <v>27</v>
      </c>
      <c r="J9" s="1" t="s">
        <v>27</v>
      </c>
      <c r="K9" s="1" t="s">
        <v>27</v>
      </c>
      <c r="L9" s="43" t="s">
        <v>42</v>
      </c>
      <c r="M9" s="47" t="e">
        <f>M6/M5</f>
        <v>#DIV/0!</v>
      </c>
      <c r="N9" s="47">
        <f>N6/N5</f>
        <v>0.36702127659574468</v>
      </c>
      <c r="O9" s="47" t="e">
        <f>O6/O5</f>
        <v>#DIV/0!</v>
      </c>
      <c r="P9" s="48">
        <f>P6/P5</f>
        <v>0.36702127659574468</v>
      </c>
      <c r="Q9" s="60"/>
      <c r="R9" s="31"/>
      <c r="S9" s="31"/>
      <c r="T9" s="8" t="s">
        <v>10</v>
      </c>
      <c r="U9" s="1">
        <v>150</v>
      </c>
      <c r="V9" s="1">
        <v>35</v>
      </c>
      <c r="W9" s="55">
        <f t="shared" ref="W9:W11" si="6">U9-V9/0.330882</f>
        <v>44.222109392472248</v>
      </c>
      <c r="X9" s="56">
        <v>3</v>
      </c>
      <c r="Y9" s="56">
        <v>0</v>
      </c>
      <c r="Z9" s="1">
        <f t="shared" si="1"/>
        <v>0</v>
      </c>
      <c r="AA9" s="1">
        <f t="shared" si="2"/>
        <v>0</v>
      </c>
      <c r="AB9" s="64">
        <f t="shared" si="3"/>
        <v>0</v>
      </c>
    </row>
    <row r="10" spans="1:28">
      <c r="A10" s="1" t="s">
        <v>27</v>
      </c>
      <c r="B10" s="1" t="s">
        <v>27</v>
      </c>
      <c r="C10" s="3" t="s">
        <v>5</v>
      </c>
      <c r="D10" s="31"/>
      <c r="E10" s="31"/>
      <c r="F10" s="31"/>
      <c r="G10" s="31"/>
      <c r="H10" s="32"/>
      <c r="I10" s="1" t="s">
        <v>27</v>
      </c>
      <c r="J10" s="3" t="s">
        <v>5</v>
      </c>
      <c r="K10" s="1" t="s">
        <v>27</v>
      </c>
      <c r="L10" s="31"/>
      <c r="M10" s="31"/>
      <c r="N10" s="31"/>
      <c r="O10" s="31"/>
      <c r="P10" s="32"/>
      <c r="Q10" s="60"/>
      <c r="R10" s="31"/>
      <c r="S10" s="31"/>
      <c r="T10" s="9" t="s">
        <v>11</v>
      </c>
      <c r="U10" s="1">
        <v>150</v>
      </c>
      <c r="V10" s="1">
        <v>40</v>
      </c>
      <c r="W10" s="55">
        <f t="shared" si="6"/>
        <v>29.110982162825422</v>
      </c>
      <c r="X10" s="56">
        <v>7</v>
      </c>
      <c r="Y10" s="56">
        <v>3</v>
      </c>
      <c r="Z10" s="1">
        <f t="shared" si="1"/>
        <v>0</v>
      </c>
      <c r="AA10" s="1">
        <f t="shared" si="2"/>
        <v>3</v>
      </c>
      <c r="AB10" s="64">
        <f t="shared" si="3"/>
        <v>0</v>
      </c>
    </row>
    <row r="11" spans="1:28">
      <c r="A11" s="1" t="s">
        <v>27</v>
      </c>
      <c r="B11" s="1" t="s">
        <v>27</v>
      </c>
      <c r="C11" s="3" t="s">
        <v>5</v>
      </c>
      <c r="D11" s="31"/>
      <c r="E11" s="31"/>
      <c r="F11" s="31"/>
      <c r="G11" s="31"/>
      <c r="H11" s="32"/>
      <c r="I11" s="1" t="s">
        <v>27</v>
      </c>
      <c r="J11" s="16" t="s">
        <v>28</v>
      </c>
      <c r="K11" s="1" t="s">
        <v>27</v>
      </c>
      <c r="L11" s="31"/>
      <c r="M11" s="31"/>
      <c r="N11" s="31"/>
      <c r="O11" s="31"/>
      <c r="P11" s="32">
        <f>H5+P5</f>
        <v>18300</v>
      </c>
      <c r="Q11" s="60"/>
      <c r="R11" s="31"/>
      <c r="S11" s="31"/>
      <c r="T11" s="10" t="s">
        <v>12</v>
      </c>
      <c r="U11" s="1">
        <v>150</v>
      </c>
      <c r="V11" s="1">
        <v>45</v>
      </c>
      <c r="W11" s="55">
        <f t="shared" si="6"/>
        <v>13.999854933178597</v>
      </c>
      <c r="X11" s="56">
        <v>6</v>
      </c>
      <c r="Y11" s="56">
        <v>6</v>
      </c>
      <c r="Z11" s="1">
        <f t="shared" si="1"/>
        <v>1</v>
      </c>
      <c r="AA11" s="1">
        <f t="shared" si="2"/>
        <v>0</v>
      </c>
      <c r="AB11" s="64">
        <f t="shared" si="3"/>
        <v>5</v>
      </c>
    </row>
    <row r="12" spans="1:28">
      <c r="A12" s="1" t="s">
        <v>27</v>
      </c>
      <c r="B12" s="1" t="s">
        <v>27</v>
      </c>
      <c r="C12" s="3" t="s">
        <v>5</v>
      </c>
      <c r="D12" s="31"/>
      <c r="E12" s="31"/>
      <c r="F12" s="31"/>
      <c r="G12" s="31"/>
      <c r="H12" s="32"/>
      <c r="I12" s="1" t="s">
        <v>27</v>
      </c>
      <c r="J12" s="3" t="s">
        <v>5</v>
      </c>
      <c r="K12" s="1" t="s">
        <v>27</v>
      </c>
      <c r="L12" s="31"/>
      <c r="M12" s="31"/>
      <c r="N12" s="31"/>
      <c r="O12" s="31"/>
      <c r="P12" s="32">
        <f>H6+P6</f>
        <v>6440</v>
      </c>
      <c r="Q12" s="60"/>
      <c r="R12" s="31"/>
      <c r="S12" s="31"/>
      <c r="T12" s="11" t="s">
        <v>13</v>
      </c>
      <c r="U12" s="1">
        <v>150</v>
      </c>
      <c r="V12" s="1">
        <v>50</v>
      </c>
      <c r="W12" s="55"/>
      <c r="X12" s="56">
        <v>4</v>
      </c>
      <c r="Y12" s="56">
        <v>4</v>
      </c>
      <c r="Z12" s="1">
        <f t="shared" si="1"/>
        <v>0</v>
      </c>
      <c r="AA12" s="1">
        <f t="shared" si="2"/>
        <v>0</v>
      </c>
      <c r="AB12" s="64">
        <f t="shared" si="3"/>
        <v>4</v>
      </c>
    </row>
    <row r="13" spans="1:28">
      <c r="A13" s="1" t="s">
        <v>27</v>
      </c>
      <c r="B13" s="1" t="s">
        <v>27</v>
      </c>
      <c r="C13" s="1" t="s">
        <v>27</v>
      </c>
      <c r="D13" s="31"/>
      <c r="E13" s="31"/>
      <c r="F13" s="31"/>
      <c r="G13" s="31"/>
      <c r="H13" s="32"/>
      <c r="I13" s="1" t="s">
        <v>27</v>
      </c>
      <c r="J13" s="3" t="s">
        <v>5</v>
      </c>
      <c r="K13" s="1" t="s">
        <v>27</v>
      </c>
      <c r="L13" s="31"/>
      <c r="M13" s="31"/>
      <c r="N13" s="31"/>
      <c r="O13" s="31"/>
      <c r="P13" s="32"/>
      <c r="Q13" s="60"/>
      <c r="R13" s="31"/>
      <c r="S13" s="31"/>
      <c r="T13" s="12" t="s">
        <v>14</v>
      </c>
      <c r="U13" s="1">
        <v>150</v>
      </c>
      <c r="V13" s="1">
        <v>55</v>
      </c>
      <c r="W13" s="55"/>
      <c r="X13" s="56">
        <v>3</v>
      </c>
      <c r="Y13" s="56">
        <v>3</v>
      </c>
      <c r="Z13" s="1">
        <f t="shared" si="1"/>
        <v>0</v>
      </c>
      <c r="AA13" s="1">
        <f t="shared" si="2"/>
        <v>0</v>
      </c>
      <c r="AB13" s="64">
        <f t="shared" si="3"/>
        <v>3</v>
      </c>
    </row>
    <row r="14" spans="1:28">
      <c r="A14" s="3" t="s">
        <v>5</v>
      </c>
      <c r="B14" s="15" t="s">
        <v>17</v>
      </c>
      <c r="C14" s="4" t="s">
        <v>6</v>
      </c>
      <c r="D14" s="31"/>
      <c r="E14" s="31"/>
      <c r="F14" s="31"/>
      <c r="G14" s="31"/>
      <c r="H14" s="32"/>
      <c r="I14" s="1" t="s">
        <v>27</v>
      </c>
      <c r="J14" s="3" t="s">
        <v>5</v>
      </c>
      <c r="K14" s="1" t="s">
        <v>27</v>
      </c>
      <c r="L14" s="31"/>
      <c r="M14" s="31"/>
      <c r="N14" s="31"/>
      <c r="O14" s="31"/>
      <c r="P14" s="32"/>
      <c r="Q14" s="60"/>
      <c r="R14" s="31"/>
      <c r="S14" s="31"/>
      <c r="T14" s="13" t="s">
        <v>15</v>
      </c>
      <c r="U14" s="1">
        <v>150</v>
      </c>
      <c r="V14" s="1">
        <v>60</v>
      </c>
      <c r="W14" s="55"/>
      <c r="X14" s="56">
        <v>1</v>
      </c>
      <c r="Y14" s="56">
        <v>1</v>
      </c>
      <c r="Z14" s="1">
        <f t="shared" si="1"/>
        <v>0</v>
      </c>
      <c r="AA14" s="1">
        <f t="shared" si="2"/>
        <v>0</v>
      </c>
      <c r="AB14" s="64">
        <f t="shared" si="3"/>
        <v>1</v>
      </c>
    </row>
    <row r="15" spans="1:28">
      <c r="A15" s="4" t="s">
        <v>6</v>
      </c>
      <c r="B15" s="1" t="s">
        <v>27</v>
      </c>
      <c r="C15" s="4" t="s">
        <v>6</v>
      </c>
      <c r="D15" s="31"/>
      <c r="E15" s="31"/>
      <c r="F15" s="31"/>
      <c r="G15" s="31"/>
      <c r="H15" s="32"/>
      <c r="I15" s="1" t="s">
        <v>27</v>
      </c>
      <c r="J15" s="3" t="s">
        <v>5</v>
      </c>
      <c r="K15" s="1" t="s">
        <v>27</v>
      </c>
      <c r="L15" s="31"/>
      <c r="M15" s="31"/>
      <c r="N15" s="31"/>
      <c r="O15" s="31"/>
      <c r="P15" s="32"/>
      <c r="Q15" s="60"/>
      <c r="R15" s="31"/>
      <c r="S15" s="31"/>
      <c r="T15" s="14" t="s">
        <v>16</v>
      </c>
      <c r="U15" s="1">
        <v>150</v>
      </c>
      <c r="V15" s="1">
        <v>35</v>
      </c>
      <c r="W15" s="55">
        <f t="shared" ref="W15" si="7">U15-V15/0.330882</f>
        <v>44.222109392472248</v>
      </c>
      <c r="X15" s="56"/>
      <c r="Y15" s="56">
        <v>1</v>
      </c>
      <c r="Z15" s="1">
        <f t="shared" si="1"/>
        <v>0</v>
      </c>
      <c r="AA15" s="1">
        <f t="shared" si="2"/>
        <v>0</v>
      </c>
      <c r="AB15" s="64">
        <f t="shared" si="3"/>
        <v>1</v>
      </c>
    </row>
    <row r="16" spans="1:28">
      <c r="A16" s="4" t="s">
        <v>6</v>
      </c>
      <c r="B16" s="1" t="s">
        <v>27</v>
      </c>
      <c r="C16" s="15" t="s">
        <v>17</v>
      </c>
      <c r="D16" s="31"/>
      <c r="E16" s="31"/>
      <c r="F16" s="31"/>
      <c r="G16" s="31"/>
      <c r="H16" s="32"/>
      <c r="I16" s="1" t="s">
        <v>27</v>
      </c>
      <c r="J16" s="2" t="s">
        <v>4</v>
      </c>
      <c r="K16" s="1" t="s">
        <v>27</v>
      </c>
      <c r="L16" s="31"/>
      <c r="M16" s="31"/>
      <c r="N16" s="31"/>
      <c r="O16" s="31"/>
      <c r="P16" s="32"/>
      <c r="Q16" s="60"/>
      <c r="R16" s="31"/>
      <c r="S16" s="31"/>
      <c r="T16" s="15" t="s">
        <v>17</v>
      </c>
      <c r="U16" s="1">
        <v>50</v>
      </c>
      <c r="V16" s="1">
        <v>30</v>
      </c>
      <c r="W16" s="55">
        <v>10</v>
      </c>
      <c r="X16" s="56">
        <v>40</v>
      </c>
      <c r="Y16" s="56">
        <v>38</v>
      </c>
      <c r="Z16" s="1">
        <f t="shared" si="1"/>
        <v>3</v>
      </c>
      <c r="AA16" s="1">
        <f t="shared" si="2"/>
        <v>11</v>
      </c>
      <c r="AB16" s="64">
        <f t="shared" si="3"/>
        <v>24</v>
      </c>
    </row>
    <row r="17" spans="1:28">
      <c r="A17" s="4" t="s">
        <v>6</v>
      </c>
      <c r="B17" s="1" t="s">
        <v>27</v>
      </c>
      <c r="C17" s="4" t="s">
        <v>6</v>
      </c>
      <c r="D17" s="31"/>
      <c r="E17" s="31"/>
      <c r="F17" s="31"/>
      <c r="G17" s="31"/>
      <c r="H17" s="32"/>
      <c r="I17" s="1" t="s">
        <v>27</v>
      </c>
      <c r="J17" s="15" t="s">
        <v>17</v>
      </c>
      <c r="K17" s="1" t="s">
        <v>27</v>
      </c>
      <c r="L17" s="31"/>
      <c r="M17" s="31"/>
      <c r="N17" s="31"/>
      <c r="O17" s="31"/>
      <c r="P17" s="32"/>
      <c r="Q17" s="60"/>
      <c r="R17" s="31"/>
      <c r="S17" s="31"/>
      <c r="T17" s="16" t="s">
        <v>18</v>
      </c>
      <c r="U17" s="1">
        <v>-150</v>
      </c>
      <c r="V17" s="1">
        <v>0</v>
      </c>
      <c r="W17" s="55">
        <v>10</v>
      </c>
      <c r="X17" s="56">
        <v>3</v>
      </c>
      <c r="Y17" s="56">
        <v>3</v>
      </c>
      <c r="Z17" s="1">
        <f t="shared" si="1"/>
        <v>3</v>
      </c>
      <c r="AA17" s="1">
        <f t="shared" si="2"/>
        <v>0</v>
      </c>
      <c r="AB17" s="64">
        <f t="shared" si="3"/>
        <v>0</v>
      </c>
    </row>
    <row r="18" spans="1:28">
      <c r="A18" s="17" t="s">
        <v>19</v>
      </c>
      <c r="B18" s="1" t="s">
        <v>27</v>
      </c>
      <c r="C18" s="4" t="s">
        <v>6</v>
      </c>
      <c r="D18" s="31"/>
      <c r="E18" s="31"/>
      <c r="F18" s="31"/>
      <c r="G18" s="31"/>
      <c r="H18" s="32"/>
      <c r="I18" s="1" t="s">
        <v>27</v>
      </c>
      <c r="J18" s="2" t="s">
        <v>4</v>
      </c>
      <c r="K18" s="1" t="s">
        <v>27</v>
      </c>
      <c r="L18" s="31"/>
      <c r="M18" s="31"/>
      <c r="N18" s="31"/>
      <c r="O18" s="31"/>
      <c r="P18" s="32"/>
      <c r="Q18" s="60"/>
      <c r="R18" s="31"/>
      <c r="S18" s="31"/>
      <c r="T18" s="17" t="s">
        <v>19</v>
      </c>
      <c r="U18" s="1">
        <v>250</v>
      </c>
      <c r="V18" s="1">
        <v>200</v>
      </c>
      <c r="W18" s="55"/>
      <c r="X18" s="56">
        <v>3</v>
      </c>
      <c r="Y18" s="56">
        <v>3</v>
      </c>
      <c r="Z18" s="1">
        <f t="shared" si="1"/>
        <v>3</v>
      </c>
      <c r="AA18" s="1">
        <f t="shared" si="2"/>
        <v>0</v>
      </c>
      <c r="AB18" s="64">
        <f t="shared" si="3"/>
        <v>0</v>
      </c>
    </row>
    <row r="19" spans="1:28">
      <c r="A19" s="4" t="s">
        <v>6</v>
      </c>
      <c r="B19" s="1" t="s">
        <v>27</v>
      </c>
      <c r="C19" s="4" t="s">
        <v>6</v>
      </c>
      <c r="D19" s="31"/>
      <c r="E19" s="31"/>
      <c r="F19" s="31"/>
      <c r="G19" s="31"/>
      <c r="H19" s="32"/>
      <c r="I19" s="1" t="s">
        <v>27</v>
      </c>
      <c r="J19" s="2" t="s">
        <v>4</v>
      </c>
      <c r="K19" s="1" t="s">
        <v>27</v>
      </c>
      <c r="L19" s="31"/>
      <c r="M19" s="31"/>
      <c r="N19" s="31"/>
      <c r="O19" s="31"/>
      <c r="P19" s="32"/>
      <c r="Q19" s="60"/>
      <c r="R19" s="31"/>
      <c r="S19" s="31"/>
      <c r="T19" s="17" t="s">
        <v>20</v>
      </c>
      <c r="U19" s="1">
        <v>170</v>
      </c>
      <c r="V19" s="1">
        <v>45</v>
      </c>
      <c r="W19" s="55"/>
      <c r="X19" s="56">
        <v>5</v>
      </c>
      <c r="Y19" s="56">
        <v>5</v>
      </c>
      <c r="Z19" s="1">
        <f t="shared" si="1"/>
        <v>5</v>
      </c>
      <c r="AA19" s="1">
        <f t="shared" si="2"/>
        <v>0</v>
      </c>
      <c r="AB19" s="64">
        <f t="shared" si="3"/>
        <v>0</v>
      </c>
    </row>
    <row r="20" spans="1:28">
      <c r="A20" s="4" t="s">
        <v>6</v>
      </c>
      <c r="B20" s="1" t="s">
        <v>27</v>
      </c>
      <c r="C20" s="17" t="s">
        <v>20</v>
      </c>
      <c r="D20" s="31"/>
      <c r="E20" s="31"/>
      <c r="F20" s="31"/>
      <c r="G20" s="31"/>
      <c r="H20" s="32"/>
      <c r="I20" s="1" t="s">
        <v>27</v>
      </c>
      <c r="J20" s="2" t="s">
        <v>4</v>
      </c>
      <c r="K20" s="1" t="s">
        <v>27</v>
      </c>
      <c r="L20" s="31"/>
      <c r="M20" s="31"/>
      <c r="N20" s="31"/>
      <c r="O20" s="31"/>
      <c r="P20" s="32"/>
      <c r="Q20" s="60"/>
      <c r="R20" s="31"/>
      <c r="S20" s="31"/>
      <c r="T20" s="18" t="s">
        <v>21</v>
      </c>
      <c r="U20" s="1">
        <v>250</v>
      </c>
      <c r="V20" s="1">
        <v>200</v>
      </c>
      <c r="W20" s="55"/>
      <c r="X20" s="56">
        <v>0</v>
      </c>
      <c r="Y20" s="56">
        <v>0</v>
      </c>
      <c r="Z20" s="1">
        <f t="shared" si="1"/>
        <v>0</v>
      </c>
      <c r="AA20" s="1">
        <f t="shared" si="2"/>
        <v>0</v>
      </c>
      <c r="AB20" s="64">
        <f t="shared" si="3"/>
        <v>0</v>
      </c>
    </row>
    <row r="21" spans="1:28">
      <c r="A21" s="4" t="s">
        <v>6</v>
      </c>
      <c r="B21" s="1" t="s">
        <v>27</v>
      </c>
      <c r="C21" s="4" t="s">
        <v>6</v>
      </c>
      <c r="D21" s="31"/>
      <c r="E21" s="31"/>
      <c r="F21" s="31"/>
      <c r="G21" s="31"/>
      <c r="H21" s="32"/>
      <c r="I21" s="1" t="s">
        <v>27</v>
      </c>
      <c r="J21" s="15" t="s">
        <v>17</v>
      </c>
      <c r="K21" s="1" t="s">
        <v>27</v>
      </c>
      <c r="L21" s="31"/>
      <c r="M21" s="31"/>
      <c r="N21" s="31"/>
      <c r="O21" s="31"/>
      <c r="P21" s="32"/>
      <c r="Q21" s="60"/>
      <c r="R21" s="31"/>
      <c r="S21" s="31"/>
      <c r="T21" s="19" t="s">
        <v>22</v>
      </c>
      <c r="U21" s="1">
        <v>250</v>
      </c>
      <c r="V21" s="1">
        <v>1000</v>
      </c>
      <c r="W21" s="55"/>
      <c r="X21" s="56">
        <v>2</v>
      </c>
      <c r="Y21" s="56">
        <v>2</v>
      </c>
      <c r="Z21" s="1">
        <f t="shared" si="1"/>
        <v>0</v>
      </c>
      <c r="AA21" s="1">
        <f t="shared" si="2"/>
        <v>0</v>
      </c>
      <c r="AB21" s="64">
        <f t="shared" si="3"/>
        <v>2</v>
      </c>
    </row>
    <row r="22" spans="1:28">
      <c r="A22" s="16" t="s">
        <v>18</v>
      </c>
      <c r="B22" s="1" t="s">
        <v>27</v>
      </c>
      <c r="C22" s="4" t="s">
        <v>6</v>
      </c>
      <c r="D22" s="31"/>
      <c r="E22" s="31"/>
      <c r="F22" s="31"/>
      <c r="G22" s="31"/>
      <c r="H22" s="32"/>
      <c r="I22" s="1" t="s">
        <v>27</v>
      </c>
      <c r="J22" s="1" t="s">
        <v>27</v>
      </c>
      <c r="K22" s="1" t="s">
        <v>27</v>
      </c>
      <c r="L22" s="31"/>
      <c r="M22" s="31"/>
      <c r="N22" s="31"/>
      <c r="O22" s="31"/>
      <c r="P22" s="32"/>
      <c r="Q22" s="60"/>
      <c r="R22" s="31"/>
      <c r="S22" s="31"/>
      <c r="T22" s="20" t="s">
        <v>23</v>
      </c>
      <c r="U22" s="1">
        <v>250</v>
      </c>
      <c r="V22" s="1">
        <v>500</v>
      </c>
      <c r="W22" s="55"/>
      <c r="X22" s="56">
        <v>2</v>
      </c>
      <c r="Y22" s="56">
        <v>2</v>
      </c>
      <c r="Z22" s="1">
        <f t="shared" si="1"/>
        <v>0</v>
      </c>
      <c r="AA22" s="1">
        <f t="shared" si="2"/>
        <v>0</v>
      </c>
      <c r="AB22" s="64">
        <f t="shared" si="3"/>
        <v>2</v>
      </c>
    </row>
    <row r="23" spans="1:28">
      <c r="A23" s="4" t="s">
        <v>6</v>
      </c>
      <c r="B23" s="1" t="s">
        <v>27</v>
      </c>
      <c r="C23" s="4" t="s">
        <v>6</v>
      </c>
      <c r="D23" s="31"/>
      <c r="E23" s="31"/>
      <c r="F23" s="31"/>
      <c r="G23" s="31"/>
      <c r="H23" s="32"/>
      <c r="I23" s="1" t="s">
        <v>27</v>
      </c>
      <c r="J23" s="15" t="s">
        <v>17</v>
      </c>
      <c r="K23" s="1" t="s">
        <v>27</v>
      </c>
      <c r="L23" s="31"/>
      <c r="M23" s="31"/>
      <c r="N23" s="31"/>
      <c r="O23" s="31"/>
      <c r="P23" s="32"/>
      <c r="Q23" s="60"/>
      <c r="R23" s="31"/>
      <c r="S23" s="31"/>
      <c r="T23" s="21" t="s">
        <v>24</v>
      </c>
      <c r="U23" s="1">
        <v>160</v>
      </c>
      <c r="V23" s="1">
        <v>40</v>
      </c>
      <c r="W23" s="55">
        <f t="shared" ref="W23:W26" si="8">U23-V23/0.330882</f>
        <v>39.110982162825422</v>
      </c>
      <c r="X23" s="56">
        <v>0</v>
      </c>
      <c r="Y23" s="56">
        <v>0</v>
      </c>
      <c r="Z23" s="1">
        <f t="shared" si="1"/>
        <v>0</v>
      </c>
      <c r="AA23" s="1">
        <f t="shared" si="2"/>
        <v>0</v>
      </c>
      <c r="AB23" s="64">
        <f t="shared" si="3"/>
        <v>0</v>
      </c>
    </row>
    <row r="24" spans="1:28">
      <c r="A24" s="4" t="s">
        <v>6</v>
      </c>
      <c r="B24" s="1" t="s">
        <v>27</v>
      </c>
      <c r="C24" s="4" t="s">
        <v>6</v>
      </c>
      <c r="D24" s="31"/>
      <c r="E24" s="31"/>
      <c r="F24" s="31"/>
      <c r="G24" s="31"/>
      <c r="H24" s="32"/>
      <c r="I24" s="1" t="s">
        <v>27</v>
      </c>
      <c r="J24" s="3" t="s">
        <v>5</v>
      </c>
      <c r="K24" s="1" t="s">
        <v>27</v>
      </c>
      <c r="L24" s="31"/>
      <c r="M24" s="31"/>
      <c r="N24" s="31"/>
      <c r="O24" s="31"/>
      <c r="P24" s="32"/>
      <c r="Q24" s="60"/>
      <c r="R24" s="31"/>
      <c r="S24" s="31"/>
      <c r="T24" s="21" t="s">
        <v>25</v>
      </c>
      <c r="U24" s="1">
        <v>160</v>
      </c>
      <c r="V24" s="1">
        <v>40</v>
      </c>
      <c r="W24" s="55">
        <f t="shared" si="8"/>
        <v>39.110982162825422</v>
      </c>
      <c r="X24" s="56">
        <v>0</v>
      </c>
      <c r="Y24" s="56">
        <v>0</v>
      </c>
      <c r="Z24" s="1">
        <f t="shared" si="1"/>
        <v>0</v>
      </c>
      <c r="AA24" s="1">
        <f t="shared" si="2"/>
        <v>0</v>
      </c>
      <c r="AB24" s="64">
        <f t="shared" si="3"/>
        <v>0</v>
      </c>
    </row>
    <row r="25" spans="1:28">
      <c r="A25" s="4" t="s">
        <v>6</v>
      </c>
      <c r="B25" s="1" t="s">
        <v>27</v>
      </c>
      <c r="C25" s="4" t="s">
        <v>6</v>
      </c>
      <c r="D25" s="31"/>
      <c r="E25" s="31"/>
      <c r="F25" s="31"/>
      <c r="G25" s="31"/>
      <c r="H25" s="32"/>
      <c r="I25" s="1" t="s">
        <v>27</v>
      </c>
      <c r="J25" s="3" t="s">
        <v>5</v>
      </c>
      <c r="K25" s="1" t="s">
        <v>27</v>
      </c>
      <c r="L25" s="31"/>
      <c r="M25" s="31"/>
      <c r="N25" s="31"/>
      <c r="O25" s="31"/>
      <c r="P25" s="32"/>
      <c r="Q25" s="60"/>
      <c r="R25" s="31"/>
      <c r="S25" s="31"/>
      <c r="T25" s="21" t="s">
        <v>26</v>
      </c>
      <c r="U25" s="1">
        <v>150</v>
      </c>
      <c r="V25" s="1">
        <v>35</v>
      </c>
      <c r="W25" s="55">
        <f t="shared" si="8"/>
        <v>44.222109392472248</v>
      </c>
      <c r="X25" s="56">
        <v>0</v>
      </c>
      <c r="Y25" s="56">
        <v>0</v>
      </c>
      <c r="Z25" s="1">
        <f t="shared" si="1"/>
        <v>0</v>
      </c>
      <c r="AA25" s="1">
        <f t="shared" si="2"/>
        <v>0</v>
      </c>
      <c r="AB25" s="64">
        <f t="shared" si="3"/>
        <v>0</v>
      </c>
    </row>
    <row r="26" spans="1:28">
      <c r="A26" s="17" t="s">
        <v>20</v>
      </c>
      <c r="B26" s="1" t="s">
        <v>27</v>
      </c>
      <c r="C26" s="4" t="s">
        <v>6</v>
      </c>
      <c r="D26" s="31"/>
      <c r="E26" s="31"/>
      <c r="F26" s="31"/>
      <c r="G26" s="31"/>
      <c r="H26" s="32"/>
      <c r="I26" s="1" t="s">
        <v>27</v>
      </c>
      <c r="J26" s="9" t="s">
        <v>11</v>
      </c>
      <c r="K26" s="1" t="s">
        <v>27</v>
      </c>
      <c r="L26" s="31"/>
      <c r="M26" s="31"/>
      <c r="N26" s="31"/>
      <c r="O26" s="31"/>
      <c r="P26" s="32"/>
      <c r="Q26" s="60"/>
      <c r="R26" s="31"/>
      <c r="S26" s="31"/>
      <c r="T26" s="22" t="s">
        <v>27</v>
      </c>
      <c r="U26" s="1">
        <v>0</v>
      </c>
      <c r="V26" s="1">
        <v>0</v>
      </c>
      <c r="W26" s="55">
        <f t="shared" si="8"/>
        <v>0</v>
      </c>
      <c r="X26" s="56">
        <v>0</v>
      </c>
      <c r="Y26" s="56">
        <v>0</v>
      </c>
      <c r="Z26" s="1"/>
      <c r="AA26" s="1"/>
      <c r="AB26" s="64"/>
    </row>
    <row r="27" spans="1:28">
      <c r="A27" s="4" t="s">
        <v>6</v>
      </c>
      <c r="B27" s="1" t="s">
        <v>27</v>
      </c>
      <c r="C27" s="4" t="s">
        <v>6</v>
      </c>
      <c r="D27" s="31"/>
      <c r="E27" s="31"/>
      <c r="F27" s="31"/>
      <c r="G27" s="31"/>
      <c r="H27" s="32"/>
      <c r="I27" s="1" t="s">
        <v>27</v>
      </c>
      <c r="J27" s="3" t="s">
        <v>5</v>
      </c>
      <c r="K27" s="1" t="s">
        <v>27</v>
      </c>
      <c r="L27" s="31"/>
      <c r="M27" s="31"/>
      <c r="N27" s="31"/>
      <c r="O27" s="31"/>
      <c r="P27" s="32"/>
      <c r="Q27" s="60"/>
      <c r="R27" s="31"/>
      <c r="S27" s="31"/>
      <c r="T27" s="16" t="s">
        <v>28</v>
      </c>
      <c r="U27" s="1">
        <v>-200</v>
      </c>
      <c r="V27" s="1">
        <v>0</v>
      </c>
      <c r="W27" s="55"/>
      <c r="X27" s="56">
        <v>12</v>
      </c>
      <c r="Y27" s="56">
        <v>12</v>
      </c>
      <c r="Z27" s="1">
        <f t="shared" si="1"/>
        <v>0</v>
      </c>
      <c r="AA27" s="1">
        <f t="shared" si="2"/>
        <v>2</v>
      </c>
      <c r="AB27" s="64">
        <f t="shared" si="3"/>
        <v>10</v>
      </c>
    </row>
    <row r="28" spans="1:28">
      <c r="A28" s="4" t="s">
        <v>6</v>
      </c>
      <c r="B28" s="1" t="s">
        <v>27</v>
      </c>
      <c r="C28" s="17" t="s">
        <v>20</v>
      </c>
      <c r="D28" s="31"/>
      <c r="E28" s="31"/>
      <c r="F28" s="31"/>
      <c r="G28" s="31"/>
      <c r="H28" s="32"/>
      <c r="I28" s="1" t="s">
        <v>27</v>
      </c>
      <c r="J28" s="3" t="s">
        <v>5</v>
      </c>
      <c r="K28" s="1" t="s">
        <v>27</v>
      </c>
      <c r="L28" s="31"/>
      <c r="M28" s="31"/>
      <c r="N28" s="31"/>
      <c r="O28" s="31"/>
      <c r="P28" s="32"/>
      <c r="Q28" s="60"/>
      <c r="R28" s="31"/>
      <c r="S28" s="31"/>
      <c r="T28" s="23" t="s">
        <v>29</v>
      </c>
      <c r="U28" s="1">
        <v>50</v>
      </c>
      <c r="V28" s="1">
        <v>520</v>
      </c>
      <c r="W28" s="55"/>
      <c r="X28" s="56">
        <v>3</v>
      </c>
      <c r="Y28" s="56">
        <v>3</v>
      </c>
      <c r="Z28" s="1">
        <f t="shared" si="1"/>
        <v>1</v>
      </c>
      <c r="AA28" s="1">
        <f t="shared" si="2"/>
        <v>0</v>
      </c>
      <c r="AB28" s="64">
        <f t="shared" si="3"/>
        <v>2</v>
      </c>
    </row>
    <row r="29" spans="1:28" ht="15" thickBot="1">
      <c r="A29" s="4" t="s">
        <v>6</v>
      </c>
      <c r="B29" s="1" t="s">
        <v>27</v>
      </c>
      <c r="C29" s="4" t="s">
        <v>6</v>
      </c>
      <c r="D29" s="31"/>
      <c r="E29" s="31"/>
      <c r="F29" s="31"/>
      <c r="G29" s="31"/>
      <c r="H29" s="32"/>
      <c r="I29" s="1" t="s">
        <v>27</v>
      </c>
      <c r="J29" s="15" t="s">
        <v>17</v>
      </c>
      <c r="K29" s="1" t="s">
        <v>27</v>
      </c>
      <c r="L29" s="31"/>
      <c r="M29" s="31"/>
      <c r="N29" s="31"/>
      <c r="O29" s="31"/>
      <c r="P29" s="32"/>
      <c r="Q29" s="66"/>
      <c r="R29" s="41"/>
      <c r="S29" s="41"/>
      <c r="T29" s="40"/>
      <c r="U29" s="40"/>
      <c r="V29" s="40"/>
      <c r="W29" s="40"/>
      <c r="X29" s="40"/>
      <c r="Y29" s="40"/>
      <c r="Z29" s="40"/>
      <c r="AA29" s="40"/>
      <c r="AB29" s="67"/>
    </row>
    <row r="30" spans="1:28">
      <c r="A30" s="4" t="s">
        <v>6</v>
      </c>
      <c r="B30" s="1" t="s">
        <v>27</v>
      </c>
      <c r="C30" s="4" t="s">
        <v>6</v>
      </c>
      <c r="D30" s="31"/>
      <c r="E30" s="31"/>
      <c r="F30" s="31"/>
      <c r="G30" s="31"/>
      <c r="H30" s="32"/>
      <c r="I30" s="1" t="s">
        <v>27</v>
      </c>
      <c r="J30" s="3" t="s">
        <v>5</v>
      </c>
      <c r="K30" s="1" t="s">
        <v>27</v>
      </c>
      <c r="L30" s="31"/>
      <c r="M30" s="31"/>
      <c r="N30" s="31"/>
      <c r="O30" s="31"/>
      <c r="P30" s="32"/>
    </row>
    <row r="31" spans="1:28">
      <c r="A31" s="4" t="s">
        <v>6</v>
      </c>
      <c r="B31" s="1" t="s">
        <v>27</v>
      </c>
      <c r="C31" s="4" t="s">
        <v>6</v>
      </c>
      <c r="D31" s="31"/>
      <c r="E31" s="31"/>
      <c r="F31" s="31"/>
      <c r="G31" s="31"/>
      <c r="H31" s="32"/>
      <c r="I31" s="1" t="s">
        <v>27</v>
      </c>
      <c r="J31" s="3" t="s">
        <v>5</v>
      </c>
      <c r="K31" s="1" t="s">
        <v>27</v>
      </c>
      <c r="L31" s="31"/>
      <c r="M31" s="31"/>
      <c r="N31" s="31"/>
      <c r="O31" s="31"/>
      <c r="P31" s="32"/>
      <c r="Y31">
        <f>SUM(Y3:Y28)</f>
        <v>1076</v>
      </c>
    </row>
    <row r="32" spans="1:28">
      <c r="A32" s="4" t="s">
        <v>6</v>
      </c>
      <c r="B32" s="1" t="s">
        <v>27</v>
      </c>
      <c r="C32" s="4" t="s">
        <v>6</v>
      </c>
      <c r="D32" s="31"/>
      <c r="E32" s="31"/>
      <c r="F32" s="31"/>
      <c r="G32" s="31"/>
      <c r="H32" s="32"/>
      <c r="I32" s="1" t="s">
        <v>27</v>
      </c>
      <c r="J32" s="3" t="s">
        <v>5</v>
      </c>
      <c r="K32" s="1" t="s">
        <v>27</v>
      </c>
      <c r="L32" s="31"/>
      <c r="M32" s="31"/>
      <c r="N32" s="31"/>
      <c r="O32" s="31"/>
      <c r="P32" s="32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10" t="s">
        <v>12</v>
      </c>
      <c r="D33" s="31"/>
      <c r="E33" s="31"/>
      <c r="F33" s="31"/>
      <c r="G33" s="31"/>
      <c r="H33" s="32"/>
      <c r="I33" s="1" t="s">
        <v>27</v>
      </c>
      <c r="J33" s="9" t="s">
        <v>11</v>
      </c>
      <c r="K33" s="1" t="s">
        <v>27</v>
      </c>
      <c r="L33" s="31"/>
      <c r="M33" s="31"/>
      <c r="N33" s="31"/>
      <c r="O33" s="31"/>
      <c r="P33" s="32"/>
      <c r="R33">
        <v>2</v>
      </c>
      <c r="S33" t="s">
        <v>60</v>
      </c>
    </row>
    <row r="34" spans="1:19">
      <c r="A34" s="17" t="s">
        <v>19</v>
      </c>
      <c r="B34" s="1" t="s">
        <v>27</v>
      </c>
      <c r="C34" s="4" t="s">
        <v>6</v>
      </c>
      <c r="D34" s="31"/>
      <c r="E34" s="31"/>
      <c r="F34" s="31"/>
      <c r="G34" s="31"/>
      <c r="H34" s="32"/>
      <c r="I34" s="38" t="s">
        <v>27</v>
      </c>
      <c r="J34" s="3" t="s">
        <v>5</v>
      </c>
      <c r="K34" s="1" t="s">
        <v>27</v>
      </c>
      <c r="L34" s="31"/>
      <c r="M34" s="31"/>
      <c r="N34" s="31"/>
      <c r="O34" s="31"/>
      <c r="P34" s="32"/>
      <c r="R34">
        <v>3</v>
      </c>
      <c r="S34" t="s">
        <v>58</v>
      </c>
    </row>
    <row r="35" spans="1:19">
      <c r="A35" s="4" t="s">
        <v>6</v>
      </c>
      <c r="B35" s="1" t="s">
        <v>27</v>
      </c>
      <c r="C35" s="17" t="s">
        <v>19</v>
      </c>
      <c r="D35" s="31"/>
      <c r="E35" s="31"/>
      <c r="F35" s="31"/>
      <c r="G35" s="31"/>
      <c r="H35" s="32"/>
      <c r="I35" s="38" t="s">
        <v>27</v>
      </c>
      <c r="J35" s="3" t="s">
        <v>5</v>
      </c>
      <c r="K35" s="1" t="s">
        <v>27</v>
      </c>
      <c r="L35" s="31"/>
      <c r="M35" s="31"/>
      <c r="N35" s="31"/>
      <c r="O35" s="31"/>
      <c r="P35" s="32"/>
      <c r="R35">
        <v>4</v>
      </c>
      <c r="S35" t="s">
        <v>61</v>
      </c>
    </row>
    <row r="36" spans="1:19">
      <c r="A36" s="4" t="s">
        <v>6</v>
      </c>
      <c r="B36" s="1" t="s">
        <v>27</v>
      </c>
      <c r="C36" s="4" t="s">
        <v>6</v>
      </c>
      <c r="D36" s="31"/>
      <c r="E36" s="31"/>
      <c r="F36" s="31"/>
      <c r="G36" s="31"/>
      <c r="H36" s="32"/>
      <c r="I36" s="38" t="s">
        <v>27</v>
      </c>
      <c r="J36" s="15" t="s">
        <v>17</v>
      </c>
      <c r="K36" s="1" t="s">
        <v>27</v>
      </c>
      <c r="L36" s="31"/>
      <c r="M36" s="31"/>
      <c r="N36" s="31"/>
      <c r="O36" s="31"/>
      <c r="P36" s="32"/>
      <c r="S36" t="s">
        <v>62</v>
      </c>
    </row>
    <row r="37" spans="1:19">
      <c r="A37" s="4" t="s">
        <v>6</v>
      </c>
      <c r="B37" s="1" t="s">
        <v>27</v>
      </c>
      <c r="C37" s="4" t="s">
        <v>6</v>
      </c>
      <c r="D37" s="31"/>
      <c r="E37" s="31"/>
      <c r="F37" s="31"/>
      <c r="G37" s="31"/>
      <c r="H37" s="32"/>
      <c r="I37" s="38" t="s">
        <v>27</v>
      </c>
      <c r="J37" s="3" t="s">
        <v>5</v>
      </c>
      <c r="K37" s="1" t="s">
        <v>27</v>
      </c>
      <c r="L37" s="31"/>
      <c r="M37" s="31"/>
      <c r="N37" s="31"/>
      <c r="O37" s="31"/>
      <c r="P37" s="32"/>
      <c r="R37">
        <v>5</v>
      </c>
      <c r="S37" t="s">
        <v>63</v>
      </c>
    </row>
    <row r="38" spans="1:19">
      <c r="A38" s="4" t="s">
        <v>6</v>
      </c>
      <c r="B38" s="1" t="s">
        <v>27</v>
      </c>
      <c r="C38" s="16" t="s">
        <v>18</v>
      </c>
      <c r="D38" s="31"/>
      <c r="E38" s="31"/>
      <c r="F38" s="31"/>
      <c r="G38" s="31"/>
      <c r="H38" s="32"/>
      <c r="I38" s="38" t="s">
        <v>27</v>
      </c>
      <c r="J38" s="3" t="s">
        <v>5</v>
      </c>
      <c r="K38" s="1" t="s">
        <v>27</v>
      </c>
      <c r="L38" s="31"/>
      <c r="M38" s="31"/>
      <c r="N38" s="31"/>
      <c r="O38" s="31"/>
      <c r="P38" s="32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4" t="s">
        <v>6</v>
      </c>
      <c r="D39" s="31"/>
      <c r="E39" s="31"/>
      <c r="F39" s="31"/>
      <c r="G39" s="31"/>
      <c r="H39" s="32"/>
      <c r="I39" s="38" t="s">
        <v>27</v>
      </c>
      <c r="J39" s="3" t="s">
        <v>5</v>
      </c>
      <c r="K39" s="1" t="s">
        <v>27</v>
      </c>
      <c r="L39" s="31"/>
      <c r="M39" s="31"/>
      <c r="N39" s="31"/>
      <c r="O39" s="31"/>
      <c r="P39" s="32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4" t="s">
        <v>6</v>
      </c>
      <c r="D40" s="31"/>
      <c r="E40" s="31"/>
      <c r="F40" s="31"/>
      <c r="G40" s="31"/>
      <c r="H40" s="32"/>
      <c r="I40" s="38" t="s">
        <v>27</v>
      </c>
      <c r="J40" s="3" t="s">
        <v>5</v>
      </c>
      <c r="K40" s="1" t="s">
        <v>27</v>
      </c>
      <c r="L40" s="31"/>
      <c r="M40" s="31"/>
      <c r="N40" s="31"/>
      <c r="O40" s="31"/>
      <c r="P40" s="32"/>
    </row>
    <row r="41" spans="1:19">
      <c r="A41" s="4" t="s">
        <v>6</v>
      </c>
      <c r="B41" s="1" t="s">
        <v>27</v>
      </c>
      <c r="C41" s="4" t="s">
        <v>6</v>
      </c>
      <c r="D41" s="31"/>
      <c r="E41" s="31"/>
      <c r="F41" s="31"/>
      <c r="G41" s="31"/>
      <c r="H41" s="32"/>
      <c r="I41" s="38" t="s">
        <v>27</v>
      </c>
      <c r="J41" s="3" t="s">
        <v>5</v>
      </c>
      <c r="K41" s="1" t="s">
        <v>27</v>
      </c>
      <c r="L41" s="31"/>
      <c r="M41" s="31"/>
      <c r="N41" s="31"/>
      <c r="O41" s="31"/>
      <c r="P41" s="32"/>
    </row>
    <row r="42" spans="1:19">
      <c r="A42" s="4" t="s">
        <v>6</v>
      </c>
      <c r="B42" s="1" t="s">
        <v>27</v>
      </c>
      <c r="C42" s="4" t="s">
        <v>6</v>
      </c>
      <c r="D42" s="31"/>
      <c r="E42" s="31"/>
      <c r="F42" s="31"/>
      <c r="G42" s="31"/>
      <c r="H42" s="32"/>
      <c r="I42" s="38" t="s">
        <v>27</v>
      </c>
      <c r="J42" s="15" t="s">
        <v>17</v>
      </c>
      <c r="K42" s="1" t="s">
        <v>27</v>
      </c>
      <c r="L42" s="31"/>
      <c r="M42" s="31"/>
      <c r="N42" s="31"/>
      <c r="O42" s="31"/>
      <c r="P42" s="32"/>
    </row>
    <row r="43" spans="1:19">
      <c r="A43" s="17" t="s">
        <v>20</v>
      </c>
      <c r="B43" s="1" t="s">
        <v>27</v>
      </c>
      <c r="C43" s="4" t="s">
        <v>6</v>
      </c>
      <c r="D43" s="31"/>
      <c r="E43" s="31"/>
      <c r="F43" s="31"/>
      <c r="G43" s="31"/>
      <c r="H43" s="32"/>
      <c r="I43" s="38" t="s">
        <v>27</v>
      </c>
      <c r="J43" s="1" t="s">
        <v>27</v>
      </c>
      <c r="K43" s="1" t="s">
        <v>27</v>
      </c>
      <c r="L43" s="31"/>
      <c r="M43" s="31"/>
      <c r="N43" s="31"/>
      <c r="O43" s="31"/>
      <c r="P43" s="32"/>
    </row>
    <row r="44" spans="1:19">
      <c r="A44" s="38" t="s">
        <v>27</v>
      </c>
      <c r="B44" s="1" t="s">
        <v>27</v>
      </c>
      <c r="C44" s="17" t="s">
        <v>20</v>
      </c>
      <c r="D44" s="31"/>
      <c r="E44" s="31"/>
      <c r="F44" s="31"/>
      <c r="G44" s="31"/>
      <c r="H44" s="32"/>
      <c r="I44" s="38" t="s">
        <v>27</v>
      </c>
      <c r="J44" s="3" t="s">
        <v>5</v>
      </c>
      <c r="K44" s="1" t="s">
        <v>27</v>
      </c>
      <c r="L44" s="31"/>
      <c r="M44" s="31"/>
      <c r="N44" s="31"/>
      <c r="O44" s="31"/>
      <c r="P44" s="32"/>
    </row>
    <row r="45" spans="1:19">
      <c r="A45" s="38" t="s">
        <v>27</v>
      </c>
      <c r="B45" s="1" t="s">
        <v>27</v>
      </c>
      <c r="C45" s="1" t="s">
        <v>27</v>
      </c>
      <c r="D45" s="31"/>
      <c r="E45" s="31"/>
      <c r="F45" s="31"/>
      <c r="G45" s="31"/>
      <c r="H45" s="32"/>
      <c r="I45" s="38" t="s">
        <v>27</v>
      </c>
      <c r="J45" s="15" t="s">
        <v>17</v>
      </c>
      <c r="K45" s="1" t="s">
        <v>27</v>
      </c>
      <c r="L45" s="31"/>
      <c r="M45" s="31"/>
      <c r="N45" s="31"/>
      <c r="O45" s="31"/>
      <c r="P45" s="32"/>
    </row>
    <row r="46" spans="1:19">
      <c r="A46" s="38" t="s">
        <v>27</v>
      </c>
      <c r="B46" s="1" t="s">
        <v>27</v>
      </c>
      <c r="C46" s="1" t="s">
        <v>27</v>
      </c>
      <c r="D46" s="31"/>
      <c r="E46" s="31"/>
      <c r="F46" s="31"/>
      <c r="G46" s="31"/>
      <c r="H46" s="32"/>
      <c r="I46" s="38" t="s">
        <v>27</v>
      </c>
      <c r="J46" s="3" t="s">
        <v>5</v>
      </c>
      <c r="K46" s="1" t="s">
        <v>27</v>
      </c>
      <c r="L46" s="31"/>
      <c r="M46" s="31"/>
      <c r="N46" s="31"/>
      <c r="O46" s="31"/>
      <c r="P46" s="32"/>
    </row>
    <row r="47" spans="1:19">
      <c r="A47" s="38" t="s">
        <v>27</v>
      </c>
      <c r="B47" s="1" t="s">
        <v>27</v>
      </c>
      <c r="C47" s="1" t="s">
        <v>27</v>
      </c>
      <c r="D47" s="31"/>
      <c r="E47" s="31"/>
      <c r="F47" s="31"/>
      <c r="G47" s="31"/>
      <c r="H47" s="32"/>
      <c r="I47" s="38" t="s">
        <v>27</v>
      </c>
      <c r="J47" s="3" t="s">
        <v>5</v>
      </c>
      <c r="K47" s="1" t="s">
        <v>27</v>
      </c>
      <c r="L47" s="31"/>
      <c r="M47" s="31"/>
      <c r="N47" s="31"/>
      <c r="O47" s="31"/>
      <c r="P47" s="32"/>
    </row>
    <row r="48" spans="1:19">
      <c r="A48" s="38" t="s">
        <v>27</v>
      </c>
      <c r="B48" s="1" t="s">
        <v>27</v>
      </c>
      <c r="C48" s="1" t="s">
        <v>27</v>
      </c>
      <c r="D48" s="31"/>
      <c r="E48" s="31"/>
      <c r="F48" s="31"/>
      <c r="G48" s="31"/>
      <c r="H48" s="32"/>
      <c r="I48" s="38" t="s">
        <v>27</v>
      </c>
      <c r="J48" s="3" t="s">
        <v>5</v>
      </c>
      <c r="K48" s="1" t="s">
        <v>27</v>
      </c>
      <c r="L48" s="31"/>
      <c r="M48" s="31"/>
      <c r="N48" s="31"/>
      <c r="O48" s="31"/>
      <c r="P48" s="32"/>
    </row>
    <row r="49" spans="1:16">
      <c r="A49" s="38" t="s">
        <v>27</v>
      </c>
      <c r="B49" s="1" t="s">
        <v>27</v>
      </c>
      <c r="C49" s="1" t="s">
        <v>27</v>
      </c>
      <c r="D49" s="31"/>
      <c r="E49" s="31"/>
      <c r="F49" s="31"/>
      <c r="G49" s="31"/>
      <c r="H49" s="32"/>
      <c r="I49" s="38" t="s">
        <v>27</v>
      </c>
      <c r="J49" s="15" t="s">
        <v>17</v>
      </c>
      <c r="K49" s="1" t="s">
        <v>27</v>
      </c>
      <c r="L49" s="31"/>
      <c r="M49" s="31"/>
      <c r="N49" s="31"/>
      <c r="O49" s="31"/>
      <c r="P49" s="32"/>
    </row>
    <row r="50" spans="1:16">
      <c r="A50" s="38" t="s">
        <v>27</v>
      </c>
      <c r="B50" s="1" t="s">
        <v>27</v>
      </c>
      <c r="C50" s="1" t="s">
        <v>27</v>
      </c>
      <c r="D50" s="31"/>
      <c r="E50" s="31"/>
      <c r="F50" s="31"/>
      <c r="G50" s="31"/>
      <c r="H50" s="32"/>
      <c r="I50" s="38" t="s">
        <v>27</v>
      </c>
      <c r="J50" s="3" t="s">
        <v>5</v>
      </c>
      <c r="K50" s="1" t="s">
        <v>27</v>
      </c>
      <c r="L50" s="31"/>
      <c r="M50" s="31"/>
      <c r="N50" s="31"/>
      <c r="O50" s="31"/>
      <c r="P50" s="32"/>
    </row>
    <row r="51" spans="1:16">
      <c r="A51" s="38" t="s">
        <v>27</v>
      </c>
      <c r="B51" s="1" t="s">
        <v>27</v>
      </c>
      <c r="C51" s="1" t="s">
        <v>27</v>
      </c>
      <c r="D51" s="31"/>
      <c r="E51" s="31"/>
      <c r="F51" s="31"/>
      <c r="G51" s="31"/>
      <c r="H51" s="32"/>
      <c r="I51" s="38" t="s">
        <v>27</v>
      </c>
      <c r="J51" s="3" t="s">
        <v>5</v>
      </c>
      <c r="K51" s="1" t="s">
        <v>27</v>
      </c>
      <c r="L51" s="31"/>
      <c r="M51" s="31"/>
      <c r="N51" s="31"/>
      <c r="O51" s="31"/>
      <c r="P51" s="32"/>
    </row>
    <row r="52" spans="1:16">
      <c r="A52" s="38" t="s">
        <v>27</v>
      </c>
      <c r="B52" s="1" t="s">
        <v>27</v>
      </c>
      <c r="C52" s="1" t="s">
        <v>27</v>
      </c>
      <c r="D52" s="31"/>
      <c r="E52" s="31"/>
      <c r="F52" s="31"/>
      <c r="G52" s="31"/>
      <c r="H52" s="32"/>
      <c r="I52" s="38" t="s">
        <v>27</v>
      </c>
      <c r="J52" s="3" t="s">
        <v>5</v>
      </c>
      <c r="K52" s="1" t="s">
        <v>27</v>
      </c>
      <c r="L52" s="31"/>
      <c r="M52" s="31"/>
      <c r="N52" s="31"/>
      <c r="O52" s="31"/>
      <c r="P52" s="32"/>
    </row>
    <row r="53" spans="1:16">
      <c r="A53" s="38" t="s">
        <v>27</v>
      </c>
      <c r="B53" s="1" t="s">
        <v>27</v>
      </c>
      <c r="C53" s="1" t="s">
        <v>27</v>
      </c>
      <c r="D53" s="31"/>
      <c r="E53" s="31"/>
      <c r="F53" s="31"/>
      <c r="G53" s="31"/>
      <c r="H53" s="32"/>
      <c r="I53" s="38" t="s">
        <v>27</v>
      </c>
      <c r="J53" s="3" t="s">
        <v>5</v>
      </c>
      <c r="K53" s="1" t="s">
        <v>27</v>
      </c>
      <c r="L53" s="31"/>
      <c r="M53" s="31"/>
      <c r="N53" s="31"/>
      <c r="O53" s="31"/>
      <c r="P53" s="32"/>
    </row>
    <row r="54" spans="1:16">
      <c r="A54" s="38" t="s">
        <v>27</v>
      </c>
      <c r="B54" s="1" t="s">
        <v>27</v>
      </c>
      <c r="C54" s="1" t="s">
        <v>27</v>
      </c>
      <c r="D54" s="31"/>
      <c r="E54" s="31"/>
      <c r="F54" s="31"/>
      <c r="G54" s="31"/>
      <c r="H54" s="32"/>
      <c r="I54" s="38" t="s">
        <v>27</v>
      </c>
      <c r="J54" s="16" t="s">
        <v>28</v>
      </c>
      <c r="K54" s="1" t="s">
        <v>27</v>
      </c>
      <c r="L54" s="31"/>
      <c r="M54" s="31"/>
      <c r="N54" s="31"/>
      <c r="O54" s="31"/>
      <c r="P54" s="32"/>
    </row>
    <row r="55" spans="1:16">
      <c r="A55" s="38" t="s">
        <v>27</v>
      </c>
      <c r="B55" s="1" t="s">
        <v>27</v>
      </c>
      <c r="C55" s="1" t="s">
        <v>27</v>
      </c>
      <c r="D55" s="31"/>
      <c r="E55" s="31"/>
      <c r="F55" s="31"/>
      <c r="G55" s="31"/>
      <c r="H55" s="32"/>
      <c r="I55" s="38" t="s">
        <v>27</v>
      </c>
      <c r="J55" s="3" t="s">
        <v>5</v>
      </c>
      <c r="K55" s="1" t="s">
        <v>27</v>
      </c>
      <c r="L55" s="31"/>
      <c r="M55" s="31"/>
      <c r="N55" s="31"/>
      <c r="O55" s="31"/>
      <c r="P55" s="32"/>
    </row>
    <row r="56" spans="1:16">
      <c r="A56" s="38" t="s">
        <v>27</v>
      </c>
      <c r="B56" s="1" t="s">
        <v>27</v>
      </c>
      <c r="C56" s="1" t="s">
        <v>27</v>
      </c>
      <c r="D56" s="31"/>
      <c r="E56" s="31"/>
      <c r="F56" s="31"/>
      <c r="G56" s="31"/>
      <c r="H56" s="32"/>
      <c r="I56" s="38" t="s">
        <v>27</v>
      </c>
      <c r="J56" s="3" t="s">
        <v>5</v>
      </c>
      <c r="K56" s="1" t="s">
        <v>27</v>
      </c>
      <c r="L56" s="31"/>
      <c r="M56" s="31"/>
      <c r="N56" s="31"/>
      <c r="O56" s="31"/>
      <c r="P56" s="32"/>
    </row>
    <row r="57" spans="1:16">
      <c r="A57" s="38" t="s">
        <v>27</v>
      </c>
      <c r="B57" s="1" t="s">
        <v>27</v>
      </c>
      <c r="C57" s="1" t="s">
        <v>27</v>
      </c>
      <c r="D57" s="31"/>
      <c r="E57" s="31"/>
      <c r="F57" s="31"/>
      <c r="G57" s="31"/>
      <c r="H57" s="32"/>
      <c r="I57" s="38" t="s">
        <v>27</v>
      </c>
      <c r="J57" s="15" t="s">
        <v>17</v>
      </c>
      <c r="K57" s="1" t="s">
        <v>27</v>
      </c>
      <c r="L57" s="31"/>
      <c r="M57" s="31"/>
      <c r="N57" s="31"/>
      <c r="O57" s="31"/>
      <c r="P57" s="32"/>
    </row>
    <row r="58" spans="1:16">
      <c r="A58" s="38" t="s">
        <v>27</v>
      </c>
      <c r="B58" s="1" t="s">
        <v>27</v>
      </c>
      <c r="C58" s="1" t="s">
        <v>27</v>
      </c>
      <c r="D58" s="31"/>
      <c r="E58" s="31"/>
      <c r="F58" s="31"/>
      <c r="G58" s="31"/>
      <c r="H58" s="32"/>
      <c r="I58" s="38" t="s">
        <v>27</v>
      </c>
      <c r="J58" s="3" t="s">
        <v>5</v>
      </c>
      <c r="K58" s="1" t="s">
        <v>27</v>
      </c>
      <c r="L58" s="31"/>
      <c r="M58" s="31"/>
      <c r="N58" s="31"/>
      <c r="O58" s="31"/>
      <c r="P58" s="32"/>
    </row>
    <row r="59" spans="1:16">
      <c r="A59" s="38" t="s">
        <v>27</v>
      </c>
      <c r="B59" s="1" t="s">
        <v>27</v>
      </c>
      <c r="C59" s="1" t="s">
        <v>27</v>
      </c>
      <c r="D59" s="31"/>
      <c r="E59" s="31"/>
      <c r="F59" s="31"/>
      <c r="G59" s="31"/>
      <c r="H59" s="32"/>
      <c r="I59" s="38" t="s">
        <v>27</v>
      </c>
      <c r="J59" s="3" t="s">
        <v>5</v>
      </c>
      <c r="K59" s="1" t="s">
        <v>27</v>
      </c>
      <c r="L59" s="31"/>
      <c r="M59" s="31"/>
      <c r="N59" s="31"/>
      <c r="O59" s="31"/>
      <c r="P59" s="32"/>
    </row>
    <row r="60" spans="1:16">
      <c r="A60" s="38" t="s">
        <v>27</v>
      </c>
      <c r="B60" s="1" t="s">
        <v>27</v>
      </c>
      <c r="C60" s="1" t="s">
        <v>27</v>
      </c>
      <c r="D60" s="31"/>
      <c r="E60" s="31"/>
      <c r="F60" s="31"/>
      <c r="G60" s="31"/>
      <c r="H60" s="32"/>
      <c r="I60" s="38" t="s">
        <v>27</v>
      </c>
      <c r="J60" s="3" t="s">
        <v>5</v>
      </c>
      <c r="K60" s="1" t="s">
        <v>27</v>
      </c>
      <c r="L60" s="31"/>
      <c r="M60" s="31"/>
      <c r="N60" s="31"/>
      <c r="O60" s="31"/>
      <c r="P60" s="32"/>
    </row>
    <row r="61" spans="1:16">
      <c r="A61" s="38" t="s">
        <v>27</v>
      </c>
      <c r="B61" s="1" t="s">
        <v>27</v>
      </c>
      <c r="C61" s="1" t="s">
        <v>27</v>
      </c>
      <c r="D61" s="31"/>
      <c r="E61" s="31"/>
      <c r="F61" s="31"/>
      <c r="G61" s="31"/>
      <c r="H61" s="32"/>
      <c r="I61" s="38" t="s">
        <v>27</v>
      </c>
      <c r="J61" s="3" t="s">
        <v>5</v>
      </c>
      <c r="K61" s="1" t="s">
        <v>27</v>
      </c>
      <c r="L61" s="31"/>
      <c r="M61" s="31"/>
      <c r="N61" s="31"/>
      <c r="O61" s="31"/>
      <c r="P61" s="32"/>
    </row>
    <row r="62" spans="1:16">
      <c r="A62" s="38" t="s">
        <v>27</v>
      </c>
      <c r="B62" s="1" t="s">
        <v>27</v>
      </c>
      <c r="C62" s="1" t="s">
        <v>27</v>
      </c>
      <c r="D62" s="31"/>
      <c r="E62" s="31"/>
      <c r="F62" s="31"/>
      <c r="G62" s="31"/>
      <c r="H62" s="32"/>
      <c r="I62" s="38" t="s">
        <v>27</v>
      </c>
      <c r="J62" s="15" t="s">
        <v>17</v>
      </c>
      <c r="K62" s="1" t="s">
        <v>27</v>
      </c>
      <c r="L62" s="31"/>
      <c r="M62" s="31"/>
      <c r="N62" s="31"/>
      <c r="O62" s="31"/>
      <c r="P62" s="32"/>
    </row>
    <row r="63" spans="1:16">
      <c r="A63" s="38" t="s">
        <v>27</v>
      </c>
      <c r="B63" s="1" t="s">
        <v>27</v>
      </c>
      <c r="C63" s="1" t="s">
        <v>27</v>
      </c>
      <c r="D63" s="31"/>
      <c r="E63" s="31"/>
      <c r="F63" s="31"/>
      <c r="G63" s="31"/>
      <c r="H63" s="32"/>
      <c r="I63" s="38" t="s">
        <v>27</v>
      </c>
      <c r="J63" s="3" t="s">
        <v>5</v>
      </c>
      <c r="K63" s="1" t="s">
        <v>27</v>
      </c>
      <c r="L63" s="31"/>
      <c r="M63" s="31"/>
      <c r="N63" s="31"/>
      <c r="O63" s="31"/>
      <c r="P63" s="32"/>
    </row>
    <row r="64" spans="1:16">
      <c r="A64" s="38" t="s">
        <v>27</v>
      </c>
      <c r="B64" s="1" t="s">
        <v>27</v>
      </c>
      <c r="C64" s="1" t="s">
        <v>27</v>
      </c>
      <c r="D64" s="31"/>
      <c r="E64" s="31"/>
      <c r="F64" s="31"/>
      <c r="G64" s="31"/>
      <c r="H64" s="32"/>
      <c r="I64" s="38" t="s">
        <v>27</v>
      </c>
      <c r="J64" s="3" t="s">
        <v>5</v>
      </c>
      <c r="K64" s="1" t="s">
        <v>27</v>
      </c>
      <c r="L64" s="31"/>
      <c r="M64" s="31"/>
      <c r="N64" s="31"/>
      <c r="O64" s="31"/>
      <c r="P64" s="32"/>
    </row>
    <row r="65" spans="1:16">
      <c r="A65" s="38" t="s">
        <v>27</v>
      </c>
      <c r="B65" s="1" t="s">
        <v>27</v>
      </c>
      <c r="C65" s="1" t="s">
        <v>27</v>
      </c>
      <c r="D65" s="31"/>
      <c r="E65" s="31"/>
      <c r="F65" s="31"/>
      <c r="G65" s="31"/>
      <c r="H65" s="32"/>
      <c r="I65" s="38" t="s">
        <v>27</v>
      </c>
      <c r="J65" s="9" t="s">
        <v>11</v>
      </c>
      <c r="K65" s="1" t="s">
        <v>27</v>
      </c>
      <c r="L65" s="31"/>
      <c r="M65" s="31"/>
      <c r="N65" s="31"/>
      <c r="O65" s="31"/>
      <c r="P65" s="32"/>
    </row>
    <row r="66" spans="1:16">
      <c r="A66" s="38" t="s">
        <v>27</v>
      </c>
      <c r="B66" s="1" t="s">
        <v>27</v>
      </c>
      <c r="C66" s="1" t="s">
        <v>27</v>
      </c>
      <c r="D66" s="31"/>
      <c r="E66" s="31"/>
      <c r="F66" s="31"/>
      <c r="G66" s="31"/>
      <c r="H66" s="32"/>
      <c r="I66" s="38" t="s">
        <v>27</v>
      </c>
      <c r="J66" s="3" t="s">
        <v>5</v>
      </c>
      <c r="K66" s="1" t="s">
        <v>27</v>
      </c>
      <c r="L66" s="31"/>
      <c r="M66" s="31"/>
      <c r="N66" s="31"/>
      <c r="O66" s="31"/>
      <c r="P66" s="32"/>
    </row>
    <row r="67" spans="1:16">
      <c r="A67" s="38" t="s">
        <v>27</v>
      </c>
      <c r="B67" s="1" t="s">
        <v>27</v>
      </c>
      <c r="C67" s="1" t="s">
        <v>27</v>
      </c>
      <c r="D67" s="31"/>
      <c r="E67" s="31"/>
      <c r="F67" s="31"/>
      <c r="G67" s="31"/>
      <c r="H67" s="32"/>
      <c r="I67" s="38" t="s">
        <v>27</v>
      </c>
      <c r="J67" s="3" t="s">
        <v>5</v>
      </c>
      <c r="K67" s="1" t="s">
        <v>27</v>
      </c>
      <c r="L67" s="31"/>
      <c r="M67" s="31"/>
      <c r="N67" s="31"/>
      <c r="O67" s="31"/>
      <c r="P67" s="32"/>
    </row>
    <row r="68" spans="1:16">
      <c r="A68" s="38" t="s">
        <v>27</v>
      </c>
      <c r="B68" s="1" t="s">
        <v>27</v>
      </c>
      <c r="C68" s="1" t="s">
        <v>27</v>
      </c>
      <c r="D68" s="31"/>
      <c r="E68" s="31"/>
      <c r="F68" s="31"/>
      <c r="G68" s="31"/>
      <c r="H68" s="32"/>
      <c r="I68" s="38" t="s">
        <v>27</v>
      </c>
      <c r="J68" s="15" t="s">
        <v>17</v>
      </c>
      <c r="K68" s="1" t="s">
        <v>27</v>
      </c>
      <c r="L68" s="31"/>
      <c r="M68" s="31"/>
      <c r="N68" s="31"/>
      <c r="O68" s="31"/>
      <c r="P68" s="32"/>
    </row>
    <row r="69" spans="1:16">
      <c r="A69" s="38" t="s">
        <v>27</v>
      </c>
      <c r="B69" s="1" t="s">
        <v>27</v>
      </c>
      <c r="C69" s="1" t="s">
        <v>27</v>
      </c>
      <c r="D69" s="31"/>
      <c r="E69" s="31"/>
      <c r="F69" s="31"/>
      <c r="G69" s="31"/>
      <c r="H69" s="32"/>
      <c r="I69" s="38" t="s">
        <v>27</v>
      </c>
      <c r="J69" s="1" t="s">
        <v>27</v>
      </c>
      <c r="K69" s="1" t="s">
        <v>27</v>
      </c>
      <c r="L69" s="31"/>
      <c r="M69" s="31"/>
      <c r="N69" s="31"/>
      <c r="O69" s="31"/>
      <c r="P69" s="32"/>
    </row>
    <row r="70" spans="1:16">
      <c r="A70" s="38" t="s">
        <v>27</v>
      </c>
      <c r="B70" s="1" t="s">
        <v>27</v>
      </c>
      <c r="C70" s="1" t="s">
        <v>27</v>
      </c>
      <c r="D70" s="31"/>
      <c r="E70" s="31"/>
      <c r="F70" s="31"/>
      <c r="G70" s="31"/>
      <c r="H70" s="32"/>
      <c r="I70" s="38" t="s">
        <v>27</v>
      </c>
      <c r="J70" s="1" t="s">
        <v>27</v>
      </c>
      <c r="K70" s="1" t="s">
        <v>27</v>
      </c>
      <c r="L70" s="31"/>
      <c r="M70" s="31"/>
      <c r="N70" s="31"/>
      <c r="O70" s="31"/>
      <c r="P70" s="32"/>
    </row>
    <row r="71" spans="1:16">
      <c r="A71" s="38" t="s">
        <v>27</v>
      </c>
      <c r="B71" s="1" t="s">
        <v>27</v>
      </c>
      <c r="C71" s="1" t="s">
        <v>27</v>
      </c>
      <c r="D71" s="31"/>
      <c r="E71" s="31"/>
      <c r="F71" s="31"/>
      <c r="G71" s="31"/>
      <c r="H71" s="32"/>
      <c r="I71" s="38" t="s">
        <v>27</v>
      </c>
      <c r="J71" s="1" t="s">
        <v>27</v>
      </c>
      <c r="K71" s="1" t="s">
        <v>27</v>
      </c>
      <c r="L71" s="31"/>
      <c r="M71" s="31"/>
      <c r="N71" s="31"/>
      <c r="O71" s="31"/>
      <c r="P71" s="32"/>
    </row>
    <row r="72" spans="1:16">
      <c r="A72" s="38" t="s">
        <v>27</v>
      </c>
      <c r="B72" s="1" t="s">
        <v>27</v>
      </c>
      <c r="C72" s="1" t="s">
        <v>27</v>
      </c>
      <c r="D72" s="31"/>
      <c r="E72" s="31"/>
      <c r="F72" s="31"/>
      <c r="G72" s="31"/>
      <c r="H72" s="32"/>
      <c r="I72" s="38" t="s">
        <v>27</v>
      </c>
      <c r="J72" s="1" t="s">
        <v>27</v>
      </c>
      <c r="K72" s="1" t="s">
        <v>27</v>
      </c>
      <c r="L72" s="31"/>
      <c r="M72" s="31"/>
      <c r="N72" s="31"/>
      <c r="O72" s="31"/>
      <c r="P72" s="32"/>
    </row>
    <row r="73" spans="1:16">
      <c r="A73" s="38" t="s">
        <v>27</v>
      </c>
      <c r="B73" s="1" t="s">
        <v>27</v>
      </c>
      <c r="C73" s="1" t="s">
        <v>27</v>
      </c>
      <c r="D73" s="31"/>
      <c r="E73" s="31"/>
      <c r="F73" s="31"/>
      <c r="G73" s="31"/>
      <c r="H73" s="32"/>
      <c r="I73" s="38" t="s">
        <v>27</v>
      </c>
      <c r="J73" s="1" t="s">
        <v>27</v>
      </c>
      <c r="K73" s="1" t="s">
        <v>27</v>
      </c>
      <c r="L73" s="31"/>
      <c r="M73" s="31"/>
      <c r="N73" s="31"/>
      <c r="O73" s="31"/>
      <c r="P73" s="32"/>
    </row>
    <row r="74" spans="1:16">
      <c r="A74" s="38" t="s">
        <v>27</v>
      </c>
      <c r="B74" s="1" t="s">
        <v>27</v>
      </c>
      <c r="C74" s="1" t="s">
        <v>27</v>
      </c>
      <c r="D74" s="31"/>
      <c r="E74" s="31"/>
      <c r="F74" s="31"/>
      <c r="G74" s="31"/>
      <c r="H74" s="32"/>
      <c r="I74" s="38" t="s">
        <v>27</v>
      </c>
      <c r="J74" s="1" t="s">
        <v>27</v>
      </c>
      <c r="K74" s="1" t="s">
        <v>27</v>
      </c>
      <c r="L74" s="31"/>
      <c r="M74" s="31"/>
      <c r="N74" s="31"/>
      <c r="O74" s="31"/>
      <c r="P74" s="32"/>
    </row>
    <row r="75" spans="1:16">
      <c r="A75" s="38" t="s">
        <v>27</v>
      </c>
      <c r="B75" s="1" t="s">
        <v>27</v>
      </c>
      <c r="C75" s="1" t="s">
        <v>27</v>
      </c>
      <c r="D75" s="31"/>
      <c r="E75" s="31"/>
      <c r="F75" s="31"/>
      <c r="G75" s="31"/>
      <c r="H75" s="32"/>
      <c r="I75" s="38" t="s">
        <v>27</v>
      </c>
      <c r="J75" s="1" t="s">
        <v>27</v>
      </c>
      <c r="K75" s="1" t="s">
        <v>27</v>
      </c>
      <c r="L75" s="31"/>
      <c r="M75" s="31"/>
      <c r="N75" s="31"/>
      <c r="O75" s="31"/>
      <c r="P75" s="32"/>
    </row>
    <row r="76" spans="1:16">
      <c r="A76" s="38" t="s">
        <v>27</v>
      </c>
      <c r="B76" s="1" t="s">
        <v>27</v>
      </c>
      <c r="C76" s="1" t="s">
        <v>27</v>
      </c>
      <c r="D76" s="31"/>
      <c r="E76" s="31"/>
      <c r="F76" s="31"/>
      <c r="G76" s="31"/>
      <c r="H76" s="32"/>
      <c r="I76" s="38" t="s">
        <v>27</v>
      </c>
      <c r="J76" s="1" t="s">
        <v>27</v>
      </c>
      <c r="K76" s="1" t="s">
        <v>27</v>
      </c>
      <c r="L76" s="31"/>
      <c r="M76" s="31"/>
      <c r="N76" s="31"/>
      <c r="O76" s="31"/>
      <c r="P76" s="32"/>
    </row>
    <row r="77" spans="1:16">
      <c r="A77" s="38" t="s">
        <v>27</v>
      </c>
      <c r="B77" s="1" t="s">
        <v>27</v>
      </c>
      <c r="C77" s="1" t="s">
        <v>27</v>
      </c>
      <c r="D77" s="31"/>
      <c r="E77" s="31"/>
      <c r="F77" s="31"/>
      <c r="G77" s="31"/>
      <c r="H77" s="32"/>
      <c r="I77" s="38" t="s">
        <v>27</v>
      </c>
      <c r="J77" s="1" t="s">
        <v>27</v>
      </c>
      <c r="K77" s="1" t="s">
        <v>27</v>
      </c>
      <c r="L77" s="31"/>
      <c r="M77" s="31"/>
      <c r="N77" s="31"/>
      <c r="O77" s="31"/>
      <c r="P77" s="32"/>
    </row>
    <row r="78" spans="1:16">
      <c r="A78" s="38" t="s">
        <v>27</v>
      </c>
      <c r="B78" s="1" t="s">
        <v>27</v>
      </c>
      <c r="C78" s="1" t="s">
        <v>27</v>
      </c>
      <c r="D78" s="31"/>
      <c r="E78" s="31"/>
      <c r="F78" s="31"/>
      <c r="G78" s="31"/>
      <c r="H78" s="32"/>
      <c r="I78" s="38" t="s">
        <v>27</v>
      </c>
      <c r="J78" s="1" t="s">
        <v>27</v>
      </c>
      <c r="K78" s="1" t="s">
        <v>27</v>
      </c>
      <c r="L78" s="31"/>
      <c r="M78" s="31"/>
      <c r="N78" s="31"/>
      <c r="O78" s="31"/>
      <c r="P78" s="32"/>
    </row>
    <row r="79" spans="1:16">
      <c r="A79" s="38" t="s">
        <v>27</v>
      </c>
      <c r="B79" s="1" t="s">
        <v>27</v>
      </c>
      <c r="C79" s="1" t="s">
        <v>27</v>
      </c>
      <c r="D79" s="31"/>
      <c r="E79" s="31"/>
      <c r="F79" s="31"/>
      <c r="G79" s="31"/>
      <c r="H79" s="32"/>
      <c r="I79" s="38" t="s">
        <v>27</v>
      </c>
      <c r="J79" s="1" t="s">
        <v>27</v>
      </c>
      <c r="K79" s="1" t="s">
        <v>27</v>
      </c>
      <c r="L79" s="31"/>
      <c r="M79" s="31"/>
      <c r="N79" s="31"/>
      <c r="O79" s="31"/>
      <c r="P79" s="32"/>
    </row>
    <row r="80" spans="1:16">
      <c r="A80" s="38" t="s">
        <v>27</v>
      </c>
      <c r="B80" s="1" t="s">
        <v>27</v>
      </c>
      <c r="C80" s="1" t="s">
        <v>27</v>
      </c>
      <c r="D80" s="31"/>
      <c r="E80" s="31"/>
      <c r="F80" s="31"/>
      <c r="G80" s="31"/>
      <c r="H80" s="32"/>
      <c r="I80" s="38" t="s">
        <v>27</v>
      </c>
      <c r="J80" s="1" t="s">
        <v>27</v>
      </c>
      <c r="K80" s="1" t="s">
        <v>27</v>
      </c>
      <c r="L80" s="31"/>
      <c r="M80" s="31"/>
      <c r="N80" s="31"/>
      <c r="O80" s="31"/>
      <c r="P80" s="32"/>
    </row>
    <row r="81" spans="1:16">
      <c r="A81" s="38" t="s">
        <v>27</v>
      </c>
      <c r="B81" s="1" t="s">
        <v>27</v>
      </c>
      <c r="C81" s="1" t="s">
        <v>27</v>
      </c>
      <c r="D81" s="31"/>
      <c r="E81" s="31"/>
      <c r="F81" s="31"/>
      <c r="G81" s="31"/>
      <c r="H81" s="32"/>
      <c r="I81" s="38" t="s">
        <v>27</v>
      </c>
      <c r="J81" s="1" t="s">
        <v>27</v>
      </c>
      <c r="K81" s="1" t="s">
        <v>27</v>
      </c>
      <c r="L81" s="31"/>
      <c r="M81" s="31"/>
      <c r="N81" s="31"/>
      <c r="O81" s="31"/>
      <c r="P81" s="32"/>
    </row>
    <row r="82" spans="1:16">
      <c r="A82" s="38" t="s">
        <v>27</v>
      </c>
      <c r="B82" s="1" t="s">
        <v>27</v>
      </c>
      <c r="C82" s="1" t="s">
        <v>27</v>
      </c>
      <c r="D82" s="31"/>
      <c r="E82" s="31"/>
      <c r="F82" s="31"/>
      <c r="G82" s="31"/>
      <c r="H82" s="32"/>
      <c r="I82" s="38" t="s">
        <v>27</v>
      </c>
      <c r="J82" s="1" t="s">
        <v>27</v>
      </c>
      <c r="K82" s="1" t="s">
        <v>27</v>
      </c>
      <c r="L82" s="31"/>
      <c r="M82" s="31"/>
      <c r="N82" s="31"/>
      <c r="O82" s="31"/>
      <c r="P82" s="32"/>
    </row>
    <row r="83" spans="1:16">
      <c r="A83" s="38" t="s">
        <v>27</v>
      </c>
      <c r="B83" s="1" t="s">
        <v>27</v>
      </c>
      <c r="C83" s="1" t="s">
        <v>27</v>
      </c>
      <c r="D83" s="31"/>
      <c r="E83" s="31"/>
      <c r="F83" s="31"/>
      <c r="G83" s="31"/>
      <c r="H83" s="32"/>
      <c r="I83" s="38" t="s">
        <v>27</v>
      </c>
      <c r="J83" s="1" t="s">
        <v>27</v>
      </c>
      <c r="K83" s="1" t="s">
        <v>27</v>
      </c>
      <c r="L83" s="31"/>
      <c r="M83" s="31"/>
      <c r="N83" s="31"/>
      <c r="O83" s="31"/>
      <c r="P83" s="32"/>
    </row>
    <row r="84" spans="1:16">
      <c r="A84" s="38" t="s">
        <v>27</v>
      </c>
      <c r="B84" s="1" t="s">
        <v>27</v>
      </c>
      <c r="C84" s="1" t="s">
        <v>27</v>
      </c>
      <c r="D84" s="31"/>
      <c r="E84" s="31"/>
      <c r="F84" s="31"/>
      <c r="G84" s="31"/>
      <c r="H84" s="32"/>
      <c r="I84" s="38" t="s">
        <v>27</v>
      </c>
      <c r="J84" s="1" t="s">
        <v>27</v>
      </c>
      <c r="K84" s="1" t="s">
        <v>27</v>
      </c>
      <c r="L84" s="31"/>
      <c r="M84" s="31"/>
      <c r="N84" s="31"/>
      <c r="O84" s="31"/>
      <c r="P84" s="32"/>
    </row>
    <row r="85" spans="1:16">
      <c r="A85" s="38" t="s">
        <v>27</v>
      </c>
      <c r="B85" s="1" t="s">
        <v>27</v>
      </c>
      <c r="C85" s="1" t="s">
        <v>27</v>
      </c>
      <c r="D85" s="31"/>
      <c r="E85" s="31"/>
      <c r="F85" s="31"/>
      <c r="G85" s="31"/>
      <c r="H85" s="32"/>
      <c r="I85" s="38" t="s">
        <v>27</v>
      </c>
      <c r="J85" s="1" t="s">
        <v>27</v>
      </c>
      <c r="K85" s="1" t="s">
        <v>27</v>
      </c>
      <c r="L85" s="31"/>
      <c r="M85" s="31"/>
      <c r="N85" s="31"/>
      <c r="O85" s="31"/>
      <c r="P85" s="32"/>
    </row>
    <row r="86" spans="1:16">
      <c r="A86" s="38" t="s">
        <v>27</v>
      </c>
      <c r="B86" s="1" t="s">
        <v>27</v>
      </c>
      <c r="C86" s="1" t="s">
        <v>27</v>
      </c>
      <c r="D86" s="31"/>
      <c r="E86" s="31"/>
      <c r="F86" s="31"/>
      <c r="G86" s="31"/>
      <c r="H86" s="32"/>
      <c r="I86" s="38" t="s">
        <v>27</v>
      </c>
      <c r="J86" s="1" t="s">
        <v>27</v>
      </c>
      <c r="K86" s="1" t="s">
        <v>27</v>
      </c>
      <c r="L86" s="31"/>
      <c r="M86" s="31"/>
      <c r="N86" s="31"/>
      <c r="O86" s="31"/>
      <c r="P86" s="32"/>
    </row>
    <row r="87" spans="1:16">
      <c r="A87" s="38" t="s">
        <v>27</v>
      </c>
      <c r="B87" s="1" t="s">
        <v>27</v>
      </c>
      <c r="C87" s="1" t="s">
        <v>27</v>
      </c>
      <c r="D87" s="31"/>
      <c r="E87" s="31"/>
      <c r="F87" s="31"/>
      <c r="G87" s="31"/>
      <c r="H87" s="32"/>
      <c r="I87" s="38" t="s">
        <v>27</v>
      </c>
      <c r="J87" s="1" t="s">
        <v>27</v>
      </c>
      <c r="K87" s="1" t="s">
        <v>27</v>
      </c>
      <c r="L87" s="31"/>
      <c r="M87" s="31"/>
      <c r="N87" s="31"/>
      <c r="O87" s="31"/>
      <c r="P87" s="32"/>
    </row>
    <row r="88" spans="1:16">
      <c r="A88" s="38" t="s">
        <v>27</v>
      </c>
      <c r="B88" s="1" t="s">
        <v>27</v>
      </c>
      <c r="C88" s="1" t="s">
        <v>27</v>
      </c>
      <c r="D88" s="31"/>
      <c r="E88" s="31"/>
      <c r="F88" s="31"/>
      <c r="G88" s="31"/>
      <c r="H88" s="32"/>
      <c r="I88" s="38" t="s">
        <v>27</v>
      </c>
      <c r="J88" s="1" t="s">
        <v>27</v>
      </c>
      <c r="K88" s="1" t="s">
        <v>27</v>
      </c>
      <c r="L88" s="31"/>
      <c r="M88" s="31"/>
      <c r="N88" s="31"/>
      <c r="O88" s="31"/>
      <c r="P88" s="32"/>
    </row>
    <row r="89" spans="1:16">
      <c r="A89" s="38" t="s">
        <v>27</v>
      </c>
      <c r="B89" s="1" t="s">
        <v>27</v>
      </c>
      <c r="C89" s="1" t="s">
        <v>27</v>
      </c>
      <c r="D89" s="31"/>
      <c r="E89" s="31"/>
      <c r="F89" s="31"/>
      <c r="G89" s="31"/>
      <c r="H89" s="32"/>
      <c r="I89" s="38" t="s">
        <v>27</v>
      </c>
      <c r="J89" s="1" t="s">
        <v>27</v>
      </c>
      <c r="K89" s="1" t="s">
        <v>27</v>
      </c>
      <c r="L89" s="31"/>
      <c r="M89" s="31"/>
      <c r="N89" s="31"/>
      <c r="O89" s="31"/>
      <c r="P89" s="32"/>
    </row>
    <row r="90" spans="1:16">
      <c r="A90" s="38" t="s">
        <v>27</v>
      </c>
      <c r="B90" s="1" t="s">
        <v>27</v>
      </c>
      <c r="C90" s="1" t="s">
        <v>27</v>
      </c>
      <c r="D90" s="31"/>
      <c r="E90" s="31"/>
      <c r="F90" s="31"/>
      <c r="G90" s="31"/>
      <c r="H90" s="32"/>
      <c r="I90" s="38" t="s">
        <v>27</v>
      </c>
      <c r="J90" s="1" t="s">
        <v>27</v>
      </c>
      <c r="K90" s="1" t="s">
        <v>27</v>
      </c>
      <c r="L90" s="31"/>
      <c r="M90" s="31"/>
      <c r="N90" s="31"/>
      <c r="O90" s="31"/>
      <c r="P90" s="32"/>
    </row>
    <row r="91" spans="1:16">
      <c r="A91" s="38" t="s">
        <v>27</v>
      </c>
      <c r="B91" s="1" t="s">
        <v>27</v>
      </c>
      <c r="C91" s="1" t="s">
        <v>27</v>
      </c>
      <c r="D91" s="31"/>
      <c r="E91" s="31"/>
      <c r="F91" s="31"/>
      <c r="G91" s="31"/>
      <c r="H91" s="32"/>
      <c r="I91" s="38" t="s">
        <v>27</v>
      </c>
      <c r="J91" s="1" t="s">
        <v>27</v>
      </c>
      <c r="K91" s="1" t="s">
        <v>27</v>
      </c>
      <c r="L91" s="31"/>
      <c r="M91" s="31"/>
      <c r="N91" s="31"/>
      <c r="O91" s="31"/>
      <c r="P91" s="32"/>
    </row>
    <row r="92" spans="1:16">
      <c r="A92" s="38" t="s">
        <v>27</v>
      </c>
      <c r="B92" s="1" t="s">
        <v>27</v>
      </c>
      <c r="C92" s="1" t="s">
        <v>27</v>
      </c>
      <c r="D92" s="31"/>
      <c r="E92" s="31"/>
      <c r="F92" s="31"/>
      <c r="G92" s="31"/>
      <c r="H92" s="32"/>
      <c r="I92" s="38" t="s">
        <v>27</v>
      </c>
      <c r="J92" s="1" t="s">
        <v>27</v>
      </c>
      <c r="K92" s="1" t="s">
        <v>27</v>
      </c>
      <c r="L92" s="31"/>
      <c r="M92" s="31"/>
      <c r="N92" s="31"/>
      <c r="O92" s="31"/>
      <c r="P92" s="32"/>
    </row>
    <row r="93" spans="1:16">
      <c r="A93" s="38" t="s">
        <v>27</v>
      </c>
      <c r="B93" s="1" t="s">
        <v>27</v>
      </c>
      <c r="C93" s="1" t="s">
        <v>27</v>
      </c>
      <c r="D93" s="31"/>
      <c r="E93" s="31"/>
      <c r="F93" s="31"/>
      <c r="G93" s="31"/>
      <c r="H93" s="32"/>
      <c r="I93" s="38" t="s">
        <v>27</v>
      </c>
      <c r="J93" s="1" t="s">
        <v>27</v>
      </c>
      <c r="K93" s="1" t="s">
        <v>27</v>
      </c>
      <c r="L93" s="31"/>
      <c r="M93" s="31"/>
      <c r="N93" s="31"/>
      <c r="O93" s="31"/>
      <c r="P93" s="32"/>
    </row>
    <row r="94" spans="1:16">
      <c r="A94" s="38" t="s">
        <v>27</v>
      </c>
      <c r="B94" s="1" t="s">
        <v>27</v>
      </c>
      <c r="C94" s="1" t="s">
        <v>27</v>
      </c>
      <c r="D94" s="31"/>
      <c r="E94" s="31"/>
      <c r="F94" s="31"/>
      <c r="G94" s="31"/>
      <c r="H94" s="32"/>
      <c r="I94" s="38" t="s">
        <v>27</v>
      </c>
      <c r="J94" s="1" t="s">
        <v>27</v>
      </c>
      <c r="K94" s="1" t="s">
        <v>27</v>
      </c>
      <c r="L94" s="31"/>
      <c r="M94" s="31"/>
      <c r="N94" s="31"/>
      <c r="O94" s="31"/>
      <c r="P94" s="32"/>
    </row>
    <row r="95" spans="1:16">
      <c r="A95" s="38" t="s">
        <v>27</v>
      </c>
      <c r="B95" s="1" t="s">
        <v>27</v>
      </c>
      <c r="C95" s="1" t="s">
        <v>27</v>
      </c>
      <c r="D95" s="31"/>
      <c r="E95" s="31"/>
      <c r="F95" s="31"/>
      <c r="G95" s="31"/>
      <c r="H95" s="32"/>
      <c r="I95" s="38" t="s">
        <v>27</v>
      </c>
      <c r="J95" s="1" t="s">
        <v>27</v>
      </c>
      <c r="K95" s="1" t="s">
        <v>27</v>
      </c>
      <c r="L95" s="31"/>
      <c r="M95" s="31"/>
      <c r="N95" s="31"/>
      <c r="O95" s="31"/>
      <c r="P95" s="32"/>
    </row>
    <row r="96" spans="1:16">
      <c r="A96" s="38" t="s">
        <v>27</v>
      </c>
      <c r="B96" s="1" t="s">
        <v>27</v>
      </c>
      <c r="C96" s="1" t="s">
        <v>27</v>
      </c>
      <c r="D96" s="31"/>
      <c r="E96" s="31"/>
      <c r="F96" s="31"/>
      <c r="G96" s="31"/>
      <c r="H96" s="32"/>
      <c r="I96" s="38" t="s">
        <v>27</v>
      </c>
      <c r="J96" s="1" t="s">
        <v>27</v>
      </c>
      <c r="K96" s="1" t="s">
        <v>27</v>
      </c>
      <c r="L96" s="31"/>
      <c r="M96" s="31"/>
      <c r="N96" s="31"/>
      <c r="O96" s="31"/>
      <c r="P96" s="32"/>
    </row>
    <row r="97" spans="1:16">
      <c r="A97" s="38" t="s">
        <v>27</v>
      </c>
      <c r="B97" s="1" t="s">
        <v>27</v>
      </c>
      <c r="C97" s="1" t="s">
        <v>27</v>
      </c>
      <c r="D97" s="31"/>
      <c r="E97" s="31"/>
      <c r="F97" s="31"/>
      <c r="G97" s="31"/>
      <c r="H97" s="32"/>
      <c r="I97" s="38" t="s">
        <v>27</v>
      </c>
      <c r="J97" s="1" t="s">
        <v>27</v>
      </c>
      <c r="K97" s="1" t="s">
        <v>27</v>
      </c>
      <c r="L97" s="31"/>
      <c r="M97" s="31"/>
      <c r="N97" s="31"/>
      <c r="O97" s="31"/>
      <c r="P97" s="32"/>
    </row>
    <row r="98" spans="1:16">
      <c r="A98" s="38" t="s">
        <v>27</v>
      </c>
      <c r="B98" s="1" t="s">
        <v>27</v>
      </c>
      <c r="C98" s="1" t="s">
        <v>27</v>
      </c>
      <c r="D98" s="31"/>
      <c r="E98" s="31"/>
      <c r="F98" s="31"/>
      <c r="G98" s="31"/>
      <c r="H98" s="32"/>
      <c r="I98" s="38" t="s">
        <v>27</v>
      </c>
      <c r="J98" s="1" t="s">
        <v>27</v>
      </c>
      <c r="K98" s="1" t="s">
        <v>27</v>
      </c>
      <c r="L98" s="31"/>
      <c r="M98" s="31"/>
      <c r="N98" s="31"/>
      <c r="O98" s="31"/>
      <c r="P98" s="32"/>
    </row>
    <row r="99" spans="1:16">
      <c r="A99" s="38" t="s">
        <v>27</v>
      </c>
      <c r="B99" s="1" t="s">
        <v>27</v>
      </c>
      <c r="C99" s="1" t="s">
        <v>27</v>
      </c>
      <c r="D99" s="31"/>
      <c r="E99" s="31"/>
      <c r="F99" s="31"/>
      <c r="G99" s="31"/>
      <c r="H99" s="32"/>
      <c r="I99" s="38" t="s">
        <v>27</v>
      </c>
      <c r="J99" s="1" t="s">
        <v>27</v>
      </c>
      <c r="K99" s="1" t="s">
        <v>27</v>
      </c>
      <c r="L99" s="31"/>
      <c r="M99" s="31"/>
      <c r="N99" s="31"/>
      <c r="O99" s="31"/>
      <c r="P99" s="32"/>
    </row>
    <row r="100" spans="1:16" ht="15" thickBot="1">
      <c r="A100" s="39" t="s">
        <v>27</v>
      </c>
      <c r="B100" s="40" t="s">
        <v>27</v>
      </c>
      <c r="C100" s="40" t="s">
        <v>27</v>
      </c>
      <c r="D100" s="41"/>
      <c r="E100" s="41"/>
      <c r="F100" s="41"/>
      <c r="G100" s="41"/>
      <c r="H100" s="42"/>
      <c r="I100" s="39" t="s">
        <v>27</v>
      </c>
      <c r="J100" s="40" t="s">
        <v>27</v>
      </c>
      <c r="K100" s="40" t="s">
        <v>27</v>
      </c>
      <c r="L100" s="41"/>
      <c r="M100" s="41"/>
      <c r="N100" s="41"/>
      <c r="O100" s="41"/>
      <c r="P100" s="4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119A-A7F2-4A72-88E1-1DC19CC60CC4}">
  <dimension ref="A1:AB100"/>
  <sheetViews>
    <sheetView workbookViewId="0">
      <selection activeCell="J33" sqref="J33:J34"/>
    </sheetView>
  </sheetViews>
  <sheetFormatPr defaultRowHeight="14.4"/>
  <sheetData>
    <row r="1" spans="1:28" ht="15.6">
      <c r="A1" s="70" t="s">
        <v>30</v>
      </c>
      <c r="B1" s="71"/>
      <c r="C1" s="71"/>
      <c r="D1" s="71"/>
      <c r="E1" s="71"/>
      <c r="F1" s="72" t="s">
        <v>3</v>
      </c>
      <c r="G1" s="72"/>
      <c r="H1" s="27" cm="1">
        <f t="array" ref="H1">SUM(VLOOKUP(A4:C100,$T$3:$W$36,4,FALSE))+H4*10-H8*50</f>
        <v>2479.7752794047424</v>
      </c>
      <c r="I1" s="73" t="s">
        <v>41</v>
      </c>
      <c r="J1" s="74"/>
      <c r="K1" s="74"/>
      <c r="L1" s="74"/>
      <c r="M1" s="74"/>
      <c r="N1" s="74"/>
      <c r="O1" s="74"/>
      <c r="P1" s="75"/>
      <c r="Q1" s="73" t="s">
        <v>48</v>
      </c>
      <c r="R1" s="74"/>
      <c r="S1" s="74"/>
      <c r="T1" s="74"/>
      <c r="U1" s="74"/>
      <c r="V1" s="74"/>
      <c r="W1" s="74"/>
      <c r="X1" s="74"/>
      <c r="Y1" s="74"/>
      <c r="Z1" s="74"/>
      <c r="AA1" s="74"/>
      <c r="AB1" s="75"/>
    </row>
    <row r="2" spans="1:28" ht="28.8">
      <c r="A2" s="76" t="s">
        <v>35</v>
      </c>
      <c r="B2" s="77"/>
      <c r="C2" s="77"/>
      <c r="D2" s="78" t="s">
        <v>37</v>
      </c>
      <c r="E2" s="79"/>
      <c r="F2" s="79"/>
      <c r="G2" s="79"/>
      <c r="H2" s="80"/>
      <c r="I2" s="81" t="s">
        <v>35</v>
      </c>
      <c r="J2" s="82"/>
      <c r="K2" s="82"/>
      <c r="L2" s="83" t="s">
        <v>37</v>
      </c>
      <c r="M2" s="83"/>
      <c r="N2" s="83"/>
      <c r="O2" s="83"/>
      <c r="P2" s="84"/>
      <c r="Q2" s="60" t="s">
        <v>43</v>
      </c>
      <c r="R2" s="61" cm="1">
        <f t="array" ref="R2">SUM(V3:V28*AB3:AB28)+H6+P6+R4*500</f>
        <v>65130</v>
      </c>
      <c r="S2" s="31"/>
      <c r="T2" s="1" t="s">
        <v>0</v>
      </c>
      <c r="U2" s="1" t="s">
        <v>1</v>
      </c>
      <c r="V2" s="1" t="s">
        <v>2</v>
      </c>
      <c r="W2" s="54" t="s">
        <v>3</v>
      </c>
      <c r="X2" s="56" t="s">
        <v>44</v>
      </c>
      <c r="Y2" s="56" t="s">
        <v>56</v>
      </c>
      <c r="Z2" s="57" t="s">
        <v>45</v>
      </c>
      <c r="AA2" s="57" t="s">
        <v>46</v>
      </c>
      <c r="AB2" s="62" t="s">
        <v>47</v>
      </c>
    </row>
    <row r="3" spans="1:28">
      <c r="A3" s="28" t="s">
        <v>31</v>
      </c>
      <c r="B3" s="68" t="s">
        <v>32</v>
      </c>
      <c r="C3" s="20" t="s">
        <v>33</v>
      </c>
      <c r="D3" s="43"/>
      <c r="E3" s="28" t="s">
        <v>31</v>
      </c>
      <c r="F3" s="68" t="s">
        <v>32</v>
      </c>
      <c r="G3" s="20" t="s">
        <v>33</v>
      </c>
      <c r="H3" s="44" t="s">
        <v>36</v>
      </c>
      <c r="I3" s="28" t="s">
        <v>31</v>
      </c>
      <c r="J3" s="68" t="s">
        <v>32</v>
      </c>
      <c r="K3" s="20" t="s">
        <v>33</v>
      </c>
      <c r="L3" s="43"/>
      <c r="M3" s="28" t="s">
        <v>31</v>
      </c>
      <c r="N3" s="68" t="s">
        <v>32</v>
      </c>
      <c r="O3" s="20" t="s">
        <v>33</v>
      </c>
      <c r="P3" s="44" t="s">
        <v>36</v>
      </c>
      <c r="Q3" s="63" t="s">
        <v>49</v>
      </c>
      <c r="R3" s="31">
        <v>91</v>
      </c>
      <c r="S3" s="31"/>
      <c r="T3" s="2" t="s">
        <v>4</v>
      </c>
      <c r="U3" s="1">
        <v>150</v>
      </c>
      <c r="V3" s="1">
        <v>35</v>
      </c>
      <c r="W3" s="55">
        <f>U3-V3/0.330882</f>
        <v>44.222109392472248</v>
      </c>
      <c r="X3" s="56"/>
      <c r="Y3" s="56">
        <v>10</v>
      </c>
      <c r="Z3" s="1">
        <f>COUNTIF($A$4:$C$100,T3)</f>
        <v>6</v>
      </c>
      <c r="AA3" s="1">
        <f>COUNTIF($I$4:$K$100,T3)</f>
        <v>4</v>
      </c>
      <c r="AB3" s="64">
        <f>Y3-Z3-AA3</f>
        <v>0</v>
      </c>
    </row>
    <row r="4" spans="1:28">
      <c r="A4" s="2" t="s">
        <v>4</v>
      </c>
      <c r="B4" s="15" t="s">
        <v>17</v>
      </c>
      <c r="C4" s="3" t="s">
        <v>5</v>
      </c>
      <c r="D4" s="53" t="s">
        <v>34</v>
      </c>
      <c r="E4" s="49">
        <v>5</v>
      </c>
      <c r="F4" s="49">
        <v>0</v>
      </c>
      <c r="G4" s="49">
        <v>1</v>
      </c>
      <c r="H4" s="46">
        <f>SUM(E4:G4)</f>
        <v>6</v>
      </c>
      <c r="I4" s="1" t="s">
        <v>27</v>
      </c>
      <c r="J4" s="15" t="s">
        <v>17</v>
      </c>
      <c r="K4" s="1" t="s">
        <v>27</v>
      </c>
      <c r="L4" s="53" t="s">
        <v>34</v>
      </c>
      <c r="M4" s="49">
        <v>0</v>
      </c>
      <c r="N4" s="49">
        <v>5</v>
      </c>
      <c r="O4" s="49">
        <v>0</v>
      </c>
      <c r="P4" s="46">
        <f>SUM(M4:O4)</f>
        <v>5</v>
      </c>
      <c r="Q4" s="63" t="s">
        <v>50</v>
      </c>
      <c r="R4" s="50">
        <v>14</v>
      </c>
      <c r="S4" s="31"/>
      <c r="T4" s="3" t="s">
        <v>5</v>
      </c>
      <c r="U4" s="1">
        <v>160</v>
      </c>
      <c r="V4" s="1">
        <v>40</v>
      </c>
      <c r="W4" s="55">
        <f t="shared" ref="W4" si="0">U4-V4/0.330882</f>
        <v>39.110982162825422</v>
      </c>
      <c r="X4" s="56"/>
      <c r="Y4" s="56">
        <v>54</v>
      </c>
      <c r="Z4" s="1">
        <f t="shared" ref="Z4:Z28" si="1">COUNTIF($A$4:$C$100,T4)</f>
        <v>13</v>
      </c>
      <c r="AA4" s="1">
        <f t="shared" ref="AA4:AA28" si="2">COUNTIF($I$4:$K$100,T4)</f>
        <v>41</v>
      </c>
      <c r="AB4" s="64">
        <f t="shared" ref="AB4:AB28" si="3">Y4-Z4-AA4</f>
        <v>0</v>
      </c>
    </row>
    <row r="5" spans="1:28">
      <c r="A5" s="2" t="s">
        <v>4</v>
      </c>
      <c r="B5" s="3" t="s">
        <v>5</v>
      </c>
      <c r="C5" s="16" t="s">
        <v>18</v>
      </c>
      <c r="D5" s="43" t="s">
        <v>38</v>
      </c>
      <c r="E5" s="45" cm="1">
        <f t="array" ref="E5">(SUM(VLOOKUP(A4:A100,$T$3:$W$41,2,FALSE))+E4*10)-E8*50</f>
        <v>5670</v>
      </c>
      <c r="F5" s="45" cm="1">
        <f t="array" ref="F5">(SUM(VLOOKUP(B4:B100,$T$3:$W$41,2,FALSE))+F4*10)-F8*50</f>
        <v>850</v>
      </c>
      <c r="G5" s="45" cm="1">
        <f t="array" ref="G5">(SUM(VLOOKUP(C4:C100,$T$3:$W$41,2,FALSE))+G4*10)-G8*50</f>
        <v>6080</v>
      </c>
      <c r="H5" s="69">
        <f t="shared" ref="H5:H8" si="4">SUM(E5:G5)</f>
        <v>12600</v>
      </c>
      <c r="I5" s="1" t="s">
        <v>27</v>
      </c>
      <c r="J5" s="3" t="s">
        <v>5</v>
      </c>
      <c r="K5" s="1" t="s">
        <v>27</v>
      </c>
      <c r="L5" s="43" t="s">
        <v>38</v>
      </c>
      <c r="M5" s="45" cm="1">
        <f t="array" ref="M5">(SUM(VLOOKUP(I4:I100,$T$3:$W$41,2,FALSE))+M4*10)*0.8-M8*40</f>
        <v>0</v>
      </c>
      <c r="N5" s="45" cm="1">
        <f t="array" ref="N5">(SUM(VLOOKUP(J4:J100,$T$3:$W$41,2,FALSE))+N4*10)*0.8-N8*40</f>
        <v>6128</v>
      </c>
      <c r="O5" s="45" cm="1">
        <f t="array" ref="O5">(SUM(VLOOKUP(K4:K100,$T$3:$W$41,2,FALSE))+O4*10)*0.8-O8*40</f>
        <v>0</v>
      </c>
      <c r="P5" s="69">
        <f t="shared" ref="P5:P8" si="5">SUM(M5:O5)</f>
        <v>6128</v>
      </c>
      <c r="Q5" s="63" t="s">
        <v>51</v>
      </c>
      <c r="R5" s="31">
        <v>6000</v>
      </c>
      <c r="S5" s="31"/>
      <c r="T5" s="4" t="s">
        <v>6</v>
      </c>
      <c r="U5" s="1">
        <v>170</v>
      </c>
      <c r="V5" s="1">
        <v>45</v>
      </c>
      <c r="W5" s="55">
        <v>34</v>
      </c>
      <c r="X5" s="58"/>
      <c r="Y5" s="56">
        <v>234</v>
      </c>
      <c r="Z5" s="1">
        <f t="shared" si="1"/>
        <v>48</v>
      </c>
      <c r="AA5" s="1">
        <f t="shared" si="2"/>
        <v>0</v>
      </c>
      <c r="AB5" s="64">
        <f t="shared" si="3"/>
        <v>186</v>
      </c>
    </row>
    <row r="6" spans="1:28">
      <c r="A6" s="2" t="s">
        <v>4</v>
      </c>
      <c r="B6" s="3" t="s">
        <v>5</v>
      </c>
      <c r="C6" s="3" t="s">
        <v>5</v>
      </c>
      <c r="D6" s="43" t="s">
        <v>39</v>
      </c>
      <c r="E6" s="45" cm="1">
        <f t="array" ref="E6">(SUM(VLOOKUP(A4:A100,$T$3:$W$41,3,FALSE)))</f>
        <v>1780</v>
      </c>
      <c r="F6" s="45" cm="1">
        <f t="array" ref="F6">(SUM(VLOOKUP(B4:B100,$T$3:$W$41,3,FALSE)))</f>
        <v>230</v>
      </c>
      <c r="G6" s="45" cm="1">
        <f t="array" ref="G6">(SUM(VLOOKUP(C4:C100,$T$3:$W$41,3,FALSE)))</f>
        <v>2330</v>
      </c>
      <c r="H6" s="59">
        <f t="shared" si="4"/>
        <v>4340</v>
      </c>
      <c r="I6" s="1" t="s">
        <v>27</v>
      </c>
      <c r="J6" s="3" t="s">
        <v>5</v>
      </c>
      <c r="K6" s="1" t="s">
        <v>27</v>
      </c>
      <c r="L6" s="43" t="s">
        <v>39</v>
      </c>
      <c r="M6" s="45" cm="1">
        <f t="array" ref="M6">(SUM(VLOOKUP(I4:I100,$T$3:$W$41,3,FALSE)))</f>
        <v>0</v>
      </c>
      <c r="N6" s="45" cm="1">
        <f t="array" ref="N6">(SUM(VLOOKUP(J4:J100,$T$3:$W$41,3,FALSE)))</f>
        <v>2250</v>
      </c>
      <c r="O6" s="45" cm="1">
        <f t="array" ref="O6">(SUM(VLOOKUP(K4:K100,$T$3:$W$41,3,FALSE)))</f>
        <v>0</v>
      </c>
      <c r="P6" s="59">
        <f t="shared" si="5"/>
        <v>2250</v>
      </c>
      <c r="Q6" s="60" t="s">
        <v>52</v>
      </c>
      <c r="R6" s="31">
        <f>R3*1600-800+R5</f>
        <v>150800</v>
      </c>
      <c r="S6" s="31"/>
      <c r="T6" s="5" t="s">
        <v>7</v>
      </c>
      <c r="U6" s="1">
        <v>180</v>
      </c>
      <c r="V6" s="1">
        <v>50</v>
      </c>
      <c r="W6" s="55">
        <v>36</v>
      </c>
      <c r="X6" s="56">
        <v>265</v>
      </c>
      <c r="Y6" s="56">
        <v>265</v>
      </c>
      <c r="Z6" s="1">
        <f t="shared" si="1"/>
        <v>0</v>
      </c>
      <c r="AA6" s="1">
        <f t="shared" si="2"/>
        <v>0</v>
      </c>
      <c r="AB6" s="64">
        <f t="shared" si="3"/>
        <v>265</v>
      </c>
    </row>
    <row r="7" spans="1:28">
      <c r="A7" s="2" t="s">
        <v>4</v>
      </c>
      <c r="B7" s="3" t="s">
        <v>5</v>
      </c>
      <c r="C7" s="23" t="s">
        <v>29</v>
      </c>
      <c r="D7" s="43" t="s">
        <v>40</v>
      </c>
      <c r="E7" s="45">
        <f>COUNTIF(A4:A100,"&lt;&gt;空")</f>
        <v>35</v>
      </c>
      <c r="F7" s="45">
        <f>COUNTIF(B4:B100,"&lt;&gt;空")</f>
        <v>6</v>
      </c>
      <c r="G7" s="45">
        <f>COUNTIF(C4:C100,"&lt;&gt;空")</f>
        <v>41</v>
      </c>
      <c r="H7" s="46">
        <f t="shared" si="4"/>
        <v>82</v>
      </c>
      <c r="I7" s="1" t="s">
        <v>27</v>
      </c>
      <c r="J7" s="3" t="s">
        <v>5</v>
      </c>
      <c r="K7" s="1" t="s">
        <v>27</v>
      </c>
      <c r="L7" s="43" t="s">
        <v>40</v>
      </c>
      <c r="M7" s="45">
        <f>COUNTIF(I4:I100,"&lt;&gt;空")</f>
        <v>0</v>
      </c>
      <c r="N7" s="45">
        <f>COUNTIF(J4:J100,"&lt;&gt;空")</f>
        <v>62</v>
      </c>
      <c r="O7" s="45">
        <f>COUNTIF(K4:K100,"&lt;&gt;空")</f>
        <v>0</v>
      </c>
      <c r="P7" s="46">
        <f t="shared" si="5"/>
        <v>62</v>
      </c>
      <c r="Q7" s="63" t="s">
        <v>55</v>
      </c>
      <c r="R7" s="31">
        <v>15</v>
      </c>
      <c r="S7" s="31"/>
      <c r="T7" s="6" t="s">
        <v>8</v>
      </c>
      <c r="U7" s="1">
        <v>190</v>
      </c>
      <c r="V7" s="1">
        <v>55</v>
      </c>
      <c r="W7" s="55">
        <v>38</v>
      </c>
      <c r="X7" s="56">
        <v>234</v>
      </c>
      <c r="Y7" s="56">
        <v>234</v>
      </c>
      <c r="Z7" s="1">
        <f t="shared" si="1"/>
        <v>0</v>
      </c>
      <c r="AA7" s="1">
        <f t="shared" si="2"/>
        <v>0</v>
      </c>
      <c r="AB7" s="64">
        <f t="shared" si="3"/>
        <v>234</v>
      </c>
    </row>
    <row r="8" spans="1:28">
      <c r="A8" s="2" t="s">
        <v>4</v>
      </c>
      <c r="B8" s="3" t="s">
        <v>5</v>
      </c>
      <c r="C8" s="3" t="s">
        <v>5</v>
      </c>
      <c r="D8" s="52" t="s">
        <v>53</v>
      </c>
      <c r="E8" s="51">
        <v>1</v>
      </c>
      <c r="F8" s="51">
        <v>0</v>
      </c>
      <c r="G8" s="51">
        <v>0</v>
      </c>
      <c r="H8" s="46">
        <f t="shared" si="4"/>
        <v>1</v>
      </c>
      <c r="I8" s="1" t="s">
        <v>27</v>
      </c>
      <c r="J8" s="3" t="s">
        <v>5</v>
      </c>
      <c r="K8" s="1" t="s">
        <v>27</v>
      </c>
      <c r="L8" s="52" t="s">
        <v>53</v>
      </c>
      <c r="M8" s="51">
        <v>0</v>
      </c>
      <c r="N8" s="51">
        <v>2</v>
      </c>
      <c r="O8" s="51">
        <v>0</v>
      </c>
      <c r="P8" s="46">
        <f t="shared" si="5"/>
        <v>2</v>
      </c>
      <c r="Q8" s="60" t="s">
        <v>54</v>
      </c>
      <c r="R8" s="65" cm="1">
        <f t="array" ref="R8">R6-P5-H5-SUM(U3:U28*AB3:AB28)*0.8-R7*8</f>
        <v>88</v>
      </c>
      <c r="S8" s="31"/>
      <c r="T8" s="7" t="s">
        <v>9</v>
      </c>
      <c r="U8" s="1">
        <v>200</v>
      </c>
      <c r="V8" s="1">
        <v>60</v>
      </c>
      <c r="W8" s="55"/>
      <c r="X8" s="56">
        <v>194</v>
      </c>
      <c r="Y8" s="56">
        <v>194</v>
      </c>
      <c r="Z8" s="1">
        <f t="shared" si="1"/>
        <v>0</v>
      </c>
      <c r="AA8" s="1">
        <f t="shared" si="2"/>
        <v>0</v>
      </c>
      <c r="AB8" s="64">
        <f t="shared" si="3"/>
        <v>194</v>
      </c>
    </row>
    <row r="9" spans="1:28">
      <c r="A9" s="2" t="s">
        <v>4</v>
      </c>
      <c r="B9" s="3" t="s">
        <v>5</v>
      </c>
      <c r="C9" s="3" t="s">
        <v>5</v>
      </c>
      <c r="D9" s="31"/>
      <c r="E9" s="31"/>
      <c r="F9" s="31"/>
      <c r="G9" s="31"/>
      <c r="H9" s="32"/>
      <c r="I9" s="1" t="s">
        <v>27</v>
      </c>
      <c r="J9" s="15" t="s">
        <v>17</v>
      </c>
      <c r="K9" s="1" t="s">
        <v>27</v>
      </c>
      <c r="L9" s="43" t="s">
        <v>42</v>
      </c>
      <c r="M9" s="47" t="e">
        <f>M6/M5</f>
        <v>#DIV/0!</v>
      </c>
      <c r="N9" s="47">
        <f>N6/N5</f>
        <v>0.36716710182767626</v>
      </c>
      <c r="O9" s="47" t="e">
        <f>O6/O5</f>
        <v>#DIV/0!</v>
      </c>
      <c r="P9" s="48">
        <f>P6/P5</f>
        <v>0.36716710182767626</v>
      </c>
      <c r="Q9" s="60"/>
      <c r="R9" s="31"/>
      <c r="S9" s="31"/>
      <c r="T9" s="8" t="s">
        <v>10</v>
      </c>
      <c r="U9" s="1">
        <v>150</v>
      </c>
      <c r="V9" s="1">
        <v>35</v>
      </c>
      <c r="W9" s="55">
        <f t="shared" ref="W9:W11" si="6">U9-V9/0.330882</f>
        <v>44.222109392472248</v>
      </c>
      <c r="X9" s="56">
        <v>3</v>
      </c>
      <c r="Y9" s="56">
        <v>0</v>
      </c>
      <c r="Z9" s="1">
        <f t="shared" si="1"/>
        <v>0</v>
      </c>
      <c r="AA9" s="1">
        <f t="shared" si="2"/>
        <v>0</v>
      </c>
      <c r="AB9" s="64">
        <f t="shared" si="3"/>
        <v>0</v>
      </c>
    </row>
    <row r="10" spans="1:28">
      <c r="A10" s="1" t="s">
        <v>27</v>
      </c>
      <c r="B10" s="1" t="s">
        <v>27</v>
      </c>
      <c r="C10" s="3" t="s">
        <v>5</v>
      </c>
      <c r="D10" s="31"/>
      <c r="E10" s="31"/>
      <c r="F10" s="31"/>
      <c r="G10" s="31"/>
      <c r="H10" s="32"/>
      <c r="I10" s="1" t="s">
        <v>27</v>
      </c>
      <c r="J10" s="1" t="s">
        <v>27</v>
      </c>
      <c r="K10" s="1" t="s">
        <v>27</v>
      </c>
      <c r="L10" s="31"/>
      <c r="M10" s="31"/>
      <c r="N10" s="31"/>
      <c r="O10" s="31"/>
      <c r="P10" s="32"/>
      <c r="Q10" s="60"/>
      <c r="R10" s="31"/>
      <c r="S10" s="31"/>
      <c r="T10" s="9" t="s">
        <v>11</v>
      </c>
      <c r="U10" s="1">
        <v>150</v>
      </c>
      <c r="V10" s="1">
        <v>40</v>
      </c>
      <c r="W10" s="55">
        <f t="shared" si="6"/>
        <v>29.110982162825422</v>
      </c>
      <c r="X10" s="56">
        <v>7</v>
      </c>
      <c r="Y10" s="56">
        <v>2</v>
      </c>
      <c r="Z10" s="1">
        <f t="shared" si="1"/>
        <v>0</v>
      </c>
      <c r="AA10" s="1">
        <f t="shared" si="2"/>
        <v>2</v>
      </c>
      <c r="AB10" s="64">
        <f t="shared" si="3"/>
        <v>0</v>
      </c>
    </row>
    <row r="11" spans="1:28">
      <c r="A11" s="1" t="s">
        <v>27</v>
      </c>
      <c r="B11" s="1" t="s">
        <v>27</v>
      </c>
      <c r="C11" s="3" t="s">
        <v>5</v>
      </c>
      <c r="D11" s="31"/>
      <c r="E11" s="31"/>
      <c r="F11" s="31"/>
      <c r="G11" s="31"/>
      <c r="H11" s="32"/>
      <c r="I11" s="1" t="s">
        <v>27</v>
      </c>
      <c r="J11" s="3" t="s">
        <v>5</v>
      </c>
      <c r="K11" s="1" t="s">
        <v>27</v>
      </c>
      <c r="L11" s="31"/>
      <c r="M11" s="31"/>
      <c r="N11" s="31"/>
      <c r="O11" s="31"/>
      <c r="P11" s="32">
        <f>H5+P5</f>
        <v>18728</v>
      </c>
      <c r="Q11" s="60"/>
      <c r="R11" s="31"/>
      <c r="S11" s="31"/>
      <c r="T11" s="10" t="s">
        <v>12</v>
      </c>
      <c r="U11" s="1">
        <v>150</v>
      </c>
      <c r="V11" s="1">
        <v>45</v>
      </c>
      <c r="W11" s="55">
        <f t="shared" si="6"/>
        <v>13.999854933178597</v>
      </c>
      <c r="X11" s="56">
        <v>6</v>
      </c>
      <c r="Y11" s="56">
        <v>6</v>
      </c>
      <c r="Z11" s="1">
        <f t="shared" si="1"/>
        <v>1</v>
      </c>
      <c r="AA11" s="1">
        <f t="shared" si="2"/>
        <v>0</v>
      </c>
      <c r="AB11" s="64">
        <f t="shared" si="3"/>
        <v>5</v>
      </c>
    </row>
    <row r="12" spans="1:28">
      <c r="A12" s="1" t="s">
        <v>27</v>
      </c>
      <c r="B12" s="1" t="s">
        <v>27</v>
      </c>
      <c r="C12" s="3" t="s">
        <v>5</v>
      </c>
      <c r="D12" s="31"/>
      <c r="E12" s="31"/>
      <c r="F12" s="31"/>
      <c r="G12" s="31"/>
      <c r="H12" s="32"/>
      <c r="I12" s="1" t="s">
        <v>27</v>
      </c>
      <c r="J12" s="16" t="s">
        <v>28</v>
      </c>
      <c r="K12" s="1" t="s">
        <v>27</v>
      </c>
      <c r="L12" s="31"/>
      <c r="M12" s="31"/>
      <c r="N12" s="31"/>
      <c r="O12" s="31"/>
      <c r="P12" s="32">
        <f>H6+P6</f>
        <v>6590</v>
      </c>
      <c r="Q12" s="60"/>
      <c r="R12" s="31"/>
      <c r="S12" s="31"/>
      <c r="T12" s="11" t="s">
        <v>13</v>
      </c>
      <c r="U12" s="1">
        <v>150</v>
      </c>
      <c r="V12" s="1">
        <v>50</v>
      </c>
      <c r="W12" s="55"/>
      <c r="X12" s="56">
        <v>4</v>
      </c>
      <c r="Y12" s="56">
        <v>4</v>
      </c>
      <c r="Z12" s="1">
        <f t="shared" si="1"/>
        <v>0</v>
      </c>
      <c r="AA12" s="1">
        <f t="shared" si="2"/>
        <v>0</v>
      </c>
      <c r="AB12" s="64">
        <f t="shared" si="3"/>
        <v>4</v>
      </c>
    </row>
    <row r="13" spans="1:28">
      <c r="A13" s="1" t="s">
        <v>27</v>
      </c>
      <c r="B13" s="1" t="s">
        <v>27</v>
      </c>
      <c r="C13" s="3" t="s">
        <v>5</v>
      </c>
      <c r="D13" s="31"/>
      <c r="E13" s="31"/>
      <c r="F13" s="31"/>
      <c r="G13" s="31"/>
      <c r="H13" s="32"/>
      <c r="I13" s="1" t="s">
        <v>27</v>
      </c>
      <c r="J13" s="3" t="s">
        <v>5</v>
      </c>
      <c r="K13" s="1" t="s">
        <v>27</v>
      </c>
      <c r="L13" s="31"/>
      <c r="M13" s="31"/>
      <c r="N13" s="31"/>
      <c r="O13" s="31"/>
      <c r="P13" s="32"/>
      <c r="Q13" s="60"/>
      <c r="R13" s="31"/>
      <c r="S13" s="31"/>
      <c r="T13" s="12" t="s">
        <v>14</v>
      </c>
      <c r="U13" s="1">
        <v>150</v>
      </c>
      <c r="V13" s="1">
        <v>55</v>
      </c>
      <c r="W13" s="55"/>
      <c r="X13" s="56">
        <v>3</v>
      </c>
      <c r="Y13" s="56">
        <v>3</v>
      </c>
      <c r="Z13" s="1">
        <f t="shared" si="1"/>
        <v>0</v>
      </c>
      <c r="AA13" s="1">
        <f t="shared" si="2"/>
        <v>0</v>
      </c>
      <c r="AB13" s="64">
        <f t="shared" si="3"/>
        <v>3</v>
      </c>
    </row>
    <row r="14" spans="1:28">
      <c r="A14" s="1" t="s">
        <v>27</v>
      </c>
      <c r="B14" s="1" t="s">
        <v>27</v>
      </c>
      <c r="C14" s="4" t="s">
        <v>6</v>
      </c>
      <c r="D14" s="31"/>
      <c r="E14" s="31"/>
      <c r="F14" s="31"/>
      <c r="G14" s="31"/>
      <c r="H14" s="32"/>
      <c r="I14" s="1" t="s">
        <v>27</v>
      </c>
      <c r="J14" s="3" t="s">
        <v>5</v>
      </c>
      <c r="K14" s="1" t="s">
        <v>27</v>
      </c>
      <c r="L14" s="31"/>
      <c r="M14" s="31"/>
      <c r="N14" s="31"/>
      <c r="O14" s="31"/>
      <c r="P14" s="32"/>
      <c r="Q14" s="60"/>
      <c r="R14" s="31"/>
      <c r="S14" s="31"/>
      <c r="T14" s="13" t="s">
        <v>15</v>
      </c>
      <c r="U14" s="1">
        <v>150</v>
      </c>
      <c r="V14" s="1">
        <v>60</v>
      </c>
      <c r="W14" s="55"/>
      <c r="X14" s="56">
        <v>1</v>
      </c>
      <c r="Y14" s="56">
        <v>1</v>
      </c>
      <c r="Z14" s="1">
        <f t="shared" si="1"/>
        <v>0</v>
      </c>
      <c r="AA14" s="1">
        <f t="shared" si="2"/>
        <v>0</v>
      </c>
      <c r="AB14" s="64">
        <f t="shared" si="3"/>
        <v>1</v>
      </c>
    </row>
    <row r="15" spans="1:28">
      <c r="A15" s="4" t="s">
        <v>6</v>
      </c>
      <c r="B15" s="1" t="s">
        <v>27</v>
      </c>
      <c r="C15" s="4" t="s">
        <v>6</v>
      </c>
      <c r="D15" s="31"/>
      <c r="E15" s="31"/>
      <c r="F15" s="31"/>
      <c r="G15" s="31"/>
      <c r="H15" s="32"/>
      <c r="I15" s="1" t="s">
        <v>27</v>
      </c>
      <c r="J15" s="15" t="s">
        <v>17</v>
      </c>
      <c r="K15" s="1" t="s">
        <v>27</v>
      </c>
      <c r="L15" s="31"/>
      <c r="M15" s="31"/>
      <c r="N15" s="31"/>
      <c r="O15" s="31"/>
      <c r="P15" s="32"/>
      <c r="Q15" s="60"/>
      <c r="R15" s="31"/>
      <c r="S15" s="31"/>
      <c r="T15" s="14" t="s">
        <v>16</v>
      </c>
      <c r="U15" s="1">
        <v>150</v>
      </c>
      <c r="V15" s="1">
        <v>35</v>
      </c>
      <c r="W15" s="55">
        <f t="shared" ref="W15" si="7">U15-V15/0.330882</f>
        <v>44.222109392472248</v>
      </c>
      <c r="X15" s="56"/>
      <c r="Y15" s="56">
        <v>0</v>
      </c>
      <c r="Z15" s="1">
        <f t="shared" si="1"/>
        <v>0</v>
      </c>
      <c r="AA15" s="1">
        <f t="shared" si="2"/>
        <v>0</v>
      </c>
      <c r="AB15" s="64">
        <f t="shared" si="3"/>
        <v>0</v>
      </c>
    </row>
    <row r="16" spans="1:28">
      <c r="A16" s="4" t="s">
        <v>6</v>
      </c>
      <c r="B16" s="1" t="s">
        <v>27</v>
      </c>
      <c r="C16" s="15" t="s">
        <v>17</v>
      </c>
      <c r="D16" s="31"/>
      <c r="E16" s="31"/>
      <c r="F16" s="31"/>
      <c r="G16" s="31"/>
      <c r="H16" s="32"/>
      <c r="I16" s="1" t="s">
        <v>27</v>
      </c>
      <c r="J16" s="3" t="s">
        <v>5</v>
      </c>
      <c r="K16" s="1" t="s">
        <v>27</v>
      </c>
      <c r="L16" s="31"/>
      <c r="M16" s="31"/>
      <c r="N16" s="31"/>
      <c r="O16" s="31"/>
      <c r="P16" s="32"/>
      <c r="Q16" s="60"/>
      <c r="R16" s="31"/>
      <c r="S16" s="31"/>
      <c r="T16" s="15" t="s">
        <v>17</v>
      </c>
      <c r="U16" s="1">
        <v>50</v>
      </c>
      <c r="V16" s="1">
        <v>30</v>
      </c>
      <c r="W16" s="55">
        <v>10</v>
      </c>
      <c r="X16" s="56">
        <v>40</v>
      </c>
      <c r="Y16" s="56">
        <v>39</v>
      </c>
      <c r="Z16" s="1">
        <f t="shared" si="1"/>
        <v>2</v>
      </c>
      <c r="AA16" s="1">
        <f t="shared" si="2"/>
        <v>13</v>
      </c>
      <c r="AB16" s="64">
        <f t="shared" si="3"/>
        <v>24</v>
      </c>
    </row>
    <row r="17" spans="1:28">
      <c r="A17" s="4" t="s">
        <v>6</v>
      </c>
      <c r="B17" s="1" t="s">
        <v>27</v>
      </c>
      <c r="C17" s="4" t="s">
        <v>6</v>
      </c>
      <c r="D17" s="31"/>
      <c r="E17" s="31"/>
      <c r="F17" s="31"/>
      <c r="G17" s="31"/>
      <c r="H17" s="32"/>
      <c r="I17" s="1" t="s">
        <v>27</v>
      </c>
      <c r="J17" s="3" t="s">
        <v>5</v>
      </c>
      <c r="K17" s="1" t="s">
        <v>27</v>
      </c>
      <c r="L17" s="31"/>
      <c r="M17" s="31"/>
      <c r="N17" s="31"/>
      <c r="O17" s="31"/>
      <c r="P17" s="32"/>
      <c r="Q17" s="60"/>
      <c r="R17" s="31"/>
      <c r="S17" s="31"/>
      <c r="T17" s="16" t="s">
        <v>18</v>
      </c>
      <c r="U17" s="1">
        <v>-150</v>
      </c>
      <c r="V17" s="1">
        <v>0</v>
      </c>
      <c r="W17" s="55">
        <v>10</v>
      </c>
      <c r="X17" s="56">
        <v>3</v>
      </c>
      <c r="Y17" s="56">
        <v>3</v>
      </c>
      <c r="Z17" s="1">
        <f t="shared" si="1"/>
        <v>3</v>
      </c>
      <c r="AA17" s="1">
        <f t="shared" si="2"/>
        <v>0</v>
      </c>
      <c r="AB17" s="64">
        <f t="shared" si="3"/>
        <v>0</v>
      </c>
    </row>
    <row r="18" spans="1:28">
      <c r="A18" s="17" t="s">
        <v>19</v>
      </c>
      <c r="B18" s="1" t="s">
        <v>27</v>
      </c>
      <c r="C18" s="4" t="s">
        <v>6</v>
      </c>
      <c r="D18" s="31"/>
      <c r="E18" s="31"/>
      <c r="F18" s="31"/>
      <c r="G18" s="31"/>
      <c r="H18" s="32"/>
      <c r="I18" s="1" t="s">
        <v>27</v>
      </c>
      <c r="J18" s="2" t="s">
        <v>4</v>
      </c>
      <c r="K18" s="1" t="s">
        <v>27</v>
      </c>
      <c r="L18" s="31"/>
      <c r="M18" s="31"/>
      <c r="N18" s="31"/>
      <c r="O18" s="31"/>
      <c r="P18" s="32"/>
      <c r="Q18" s="60"/>
      <c r="R18" s="31"/>
      <c r="S18" s="31"/>
      <c r="T18" s="17" t="s">
        <v>19</v>
      </c>
      <c r="U18" s="1">
        <v>250</v>
      </c>
      <c r="V18" s="1">
        <v>200</v>
      </c>
      <c r="W18" s="55"/>
      <c r="X18" s="56">
        <v>3</v>
      </c>
      <c r="Y18" s="56">
        <v>3</v>
      </c>
      <c r="Z18" s="1">
        <f t="shared" si="1"/>
        <v>3</v>
      </c>
      <c r="AA18" s="1">
        <f t="shared" si="2"/>
        <v>0</v>
      </c>
      <c r="AB18" s="64">
        <f t="shared" si="3"/>
        <v>0</v>
      </c>
    </row>
    <row r="19" spans="1:28">
      <c r="A19" s="4" t="s">
        <v>6</v>
      </c>
      <c r="B19" s="1" t="s">
        <v>27</v>
      </c>
      <c r="C19" s="4" t="s">
        <v>6</v>
      </c>
      <c r="D19" s="31"/>
      <c r="E19" s="31"/>
      <c r="F19" s="31"/>
      <c r="G19" s="31"/>
      <c r="H19" s="32"/>
      <c r="I19" s="1" t="s">
        <v>27</v>
      </c>
      <c r="J19" s="15" t="s">
        <v>17</v>
      </c>
      <c r="K19" s="1" t="s">
        <v>27</v>
      </c>
      <c r="L19" s="31"/>
      <c r="M19" s="31"/>
      <c r="N19" s="31"/>
      <c r="O19" s="31"/>
      <c r="P19" s="32"/>
      <c r="Q19" s="60"/>
      <c r="R19" s="31"/>
      <c r="S19" s="31"/>
      <c r="T19" s="17" t="s">
        <v>20</v>
      </c>
      <c r="U19" s="1">
        <v>170</v>
      </c>
      <c r="V19" s="1">
        <v>45</v>
      </c>
      <c r="W19" s="55"/>
      <c r="X19" s="56">
        <v>5</v>
      </c>
      <c r="Y19" s="56">
        <v>5</v>
      </c>
      <c r="Z19" s="1">
        <f t="shared" si="1"/>
        <v>5</v>
      </c>
      <c r="AA19" s="1">
        <f t="shared" si="2"/>
        <v>0</v>
      </c>
      <c r="AB19" s="64">
        <f t="shared" si="3"/>
        <v>0</v>
      </c>
    </row>
    <row r="20" spans="1:28">
      <c r="A20" s="4" t="s">
        <v>6</v>
      </c>
      <c r="B20" s="1" t="s">
        <v>27</v>
      </c>
      <c r="C20" s="17" t="s">
        <v>20</v>
      </c>
      <c r="D20" s="31"/>
      <c r="E20" s="31"/>
      <c r="F20" s="31"/>
      <c r="G20" s="31"/>
      <c r="H20" s="32"/>
      <c r="I20" s="1" t="s">
        <v>27</v>
      </c>
      <c r="J20" s="2" t="s">
        <v>4</v>
      </c>
      <c r="K20" s="1" t="s">
        <v>27</v>
      </c>
      <c r="L20" s="31"/>
      <c r="M20" s="31"/>
      <c r="N20" s="31"/>
      <c r="O20" s="31"/>
      <c r="P20" s="32"/>
      <c r="Q20" s="60"/>
      <c r="R20" s="31"/>
      <c r="S20" s="31"/>
      <c r="T20" s="18" t="s">
        <v>21</v>
      </c>
      <c r="U20" s="1">
        <v>250</v>
      </c>
      <c r="V20" s="1">
        <v>200</v>
      </c>
      <c r="W20" s="55"/>
      <c r="X20" s="56">
        <v>0</v>
      </c>
      <c r="Y20" s="56">
        <v>0</v>
      </c>
      <c r="Z20" s="1">
        <f t="shared" si="1"/>
        <v>0</v>
      </c>
      <c r="AA20" s="1">
        <f t="shared" si="2"/>
        <v>0</v>
      </c>
      <c r="AB20" s="64">
        <f t="shared" si="3"/>
        <v>0</v>
      </c>
    </row>
    <row r="21" spans="1:28">
      <c r="A21" s="4" t="s">
        <v>6</v>
      </c>
      <c r="B21" s="1" t="s">
        <v>27</v>
      </c>
      <c r="C21" s="4" t="s">
        <v>6</v>
      </c>
      <c r="D21" s="31"/>
      <c r="E21" s="31"/>
      <c r="F21" s="31"/>
      <c r="G21" s="31"/>
      <c r="H21" s="32"/>
      <c r="I21" s="1" t="s">
        <v>27</v>
      </c>
      <c r="J21" s="2" t="s">
        <v>4</v>
      </c>
      <c r="K21" s="1" t="s">
        <v>27</v>
      </c>
      <c r="L21" s="31"/>
      <c r="M21" s="31"/>
      <c r="N21" s="31"/>
      <c r="O21" s="31"/>
      <c r="P21" s="32"/>
      <c r="Q21" s="60"/>
      <c r="R21" s="31"/>
      <c r="S21" s="31"/>
      <c r="T21" s="19" t="s">
        <v>22</v>
      </c>
      <c r="U21" s="1">
        <v>250</v>
      </c>
      <c r="V21" s="1">
        <v>1000</v>
      </c>
      <c r="W21" s="55"/>
      <c r="X21" s="56">
        <v>2</v>
      </c>
      <c r="Y21" s="56">
        <v>2</v>
      </c>
      <c r="Z21" s="1">
        <f t="shared" si="1"/>
        <v>0</v>
      </c>
      <c r="AA21" s="1">
        <f t="shared" si="2"/>
        <v>0</v>
      </c>
      <c r="AB21" s="64">
        <f t="shared" si="3"/>
        <v>2</v>
      </c>
    </row>
    <row r="22" spans="1:28">
      <c r="A22" s="16" t="s">
        <v>18</v>
      </c>
      <c r="B22" s="1" t="s">
        <v>27</v>
      </c>
      <c r="C22" s="4" t="s">
        <v>6</v>
      </c>
      <c r="D22" s="31"/>
      <c r="E22" s="31"/>
      <c r="F22" s="31"/>
      <c r="G22" s="31"/>
      <c r="H22" s="32"/>
      <c r="I22" s="1" t="s">
        <v>27</v>
      </c>
      <c r="J22" s="2" t="s">
        <v>4</v>
      </c>
      <c r="K22" s="1" t="s">
        <v>27</v>
      </c>
      <c r="L22" s="31"/>
      <c r="M22" s="31"/>
      <c r="N22" s="31"/>
      <c r="O22" s="31"/>
      <c r="P22" s="32"/>
      <c r="Q22" s="60"/>
      <c r="R22" s="31"/>
      <c r="S22" s="31"/>
      <c r="T22" s="20" t="s">
        <v>23</v>
      </c>
      <c r="U22" s="1">
        <v>250</v>
      </c>
      <c r="V22" s="1">
        <v>500</v>
      </c>
      <c r="W22" s="55"/>
      <c r="X22" s="56">
        <v>2</v>
      </c>
      <c r="Y22" s="56">
        <v>2</v>
      </c>
      <c r="Z22" s="1">
        <f t="shared" si="1"/>
        <v>0</v>
      </c>
      <c r="AA22" s="1">
        <f t="shared" si="2"/>
        <v>0</v>
      </c>
      <c r="AB22" s="64">
        <f t="shared" si="3"/>
        <v>2</v>
      </c>
    </row>
    <row r="23" spans="1:28">
      <c r="A23" s="4" t="s">
        <v>6</v>
      </c>
      <c r="B23" s="1" t="s">
        <v>27</v>
      </c>
      <c r="C23" s="4" t="s">
        <v>6</v>
      </c>
      <c r="D23" s="31"/>
      <c r="E23" s="31"/>
      <c r="F23" s="31"/>
      <c r="G23" s="31"/>
      <c r="H23" s="32"/>
      <c r="I23" s="1" t="s">
        <v>27</v>
      </c>
      <c r="J23" s="15" t="s">
        <v>17</v>
      </c>
      <c r="K23" s="1" t="s">
        <v>27</v>
      </c>
      <c r="L23" s="31"/>
      <c r="M23" s="31"/>
      <c r="N23" s="31"/>
      <c r="O23" s="31"/>
      <c r="P23" s="32"/>
      <c r="Q23" s="60"/>
      <c r="R23" s="31"/>
      <c r="S23" s="31"/>
      <c r="T23" s="21" t="s">
        <v>24</v>
      </c>
      <c r="U23" s="1">
        <v>160</v>
      </c>
      <c r="V23" s="1">
        <v>40</v>
      </c>
      <c r="W23" s="55">
        <f t="shared" ref="W23:W26" si="8">U23-V23/0.330882</f>
        <v>39.110982162825422</v>
      </c>
      <c r="X23" s="56">
        <v>0</v>
      </c>
      <c r="Y23" s="56">
        <v>0</v>
      </c>
      <c r="Z23" s="1">
        <f t="shared" si="1"/>
        <v>0</v>
      </c>
      <c r="AA23" s="1">
        <f t="shared" si="2"/>
        <v>0</v>
      </c>
      <c r="AB23" s="64">
        <f t="shared" si="3"/>
        <v>0</v>
      </c>
    </row>
    <row r="24" spans="1:28">
      <c r="A24" s="4" t="s">
        <v>6</v>
      </c>
      <c r="B24" s="1" t="s">
        <v>27</v>
      </c>
      <c r="C24" s="4" t="s">
        <v>6</v>
      </c>
      <c r="D24" s="31"/>
      <c r="E24" s="31"/>
      <c r="F24" s="31"/>
      <c r="G24" s="31"/>
      <c r="H24" s="32"/>
      <c r="I24" s="1" t="s">
        <v>27</v>
      </c>
      <c r="J24" s="1" t="s">
        <v>27</v>
      </c>
      <c r="K24" s="1" t="s">
        <v>27</v>
      </c>
      <c r="L24" s="31"/>
      <c r="M24" s="31"/>
      <c r="N24" s="31"/>
      <c r="O24" s="31"/>
      <c r="P24" s="32"/>
      <c r="Q24" s="60"/>
      <c r="R24" s="31"/>
      <c r="S24" s="31"/>
      <c r="T24" s="21" t="s">
        <v>25</v>
      </c>
      <c r="U24" s="1">
        <v>160</v>
      </c>
      <c r="V24" s="1">
        <v>40</v>
      </c>
      <c r="W24" s="55">
        <f t="shared" si="8"/>
        <v>39.110982162825422</v>
      </c>
      <c r="X24" s="56">
        <v>0</v>
      </c>
      <c r="Y24" s="56">
        <v>0</v>
      </c>
      <c r="Z24" s="1">
        <f t="shared" si="1"/>
        <v>0</v>
      </c>
      <c r="AA24" s="1">
        <f t="shared" si="2"/>
        <v>0</v>
      </c>
      <c r="AB24" s="64">
        <f t="shared" si="3"/>
        <v>0</v>
      </c>
    </row>
    <row r="25" spans="1:28">
      <c r="A25" s="4" t="s">
        <v>6</v>
      </c>
      <c r="B25" s="1" t="s">
        <v>27</v>
      </c>
      <c r="C25" s="4" t="s">
        <v>6</v>
      </c>
      <c r="D25" s="31"/>
      <c r="E25" s="31"/>
      <c r="F25" s="31"/>
      <c r="G25" s="31"/>
      <c r="H25" s="32"/>
      <c r="I25" s="1" t="s">
        <v>27</v>
      </c>
      <c r="J25" s="3" t="s">
        <v>5</v>
      </c>
      <c r="K25" s="1" t="s">
        <v>27</v>
      </c>
      <c r="L25" s="31"/>
      <c r="M25" s="31"/>
      <c r="N25" s="31"/>
      <c r="O25" s="31"/>
      <c r="P25" s="32"/>
      <c r="Q25" s="60"/>
      <c r="R25" s="31"/>
      <c r="S25" s="31"/>
      <c r="T25" s="21" t="s">
        <v>26</v>
      </c>
      <c r="U25" s="1">
        <v>150</v>
      </c>
      <c r="V25" s="1">
        <v>35</v>
      </c>
      <c r="W25" s="55">
        <f t="shared" si="8"/>
        <v>44.222109392472248</v>
      </c>
      <c r="X25" s="56">
        <v>0</v>
      </c>
      <c r="Y25" s="56">
        <v>0</v>
      </c>
      <c r="Z25" s="1">
        <f t="shared" si="1"/>
        <v>0</v>
      </c>
      <c r="AA25" s="1">
        <f t="shared" si="2"/>
        <v>0</v>
      </c>
      <c r="AB25" s="64">
        <f t="shared" si="3"/>
        <v>0</v>
      </c>
    </row>
    <row r="26" spans="1:28">
      <c r="A26" s="17" t="s">
        <v>20</v>
      </c>
      <c r="B26" s="1" t="s">
        <v>27</v>
      </c>
      <c r="C26" s="4" t="s">
        <v>6</v>
      </c>
      <c r="D26" s="31"/>
      <c r="E26" s="31"/>
      <c r="F26" s="31"/>
      <c r="G26" s="31"/>
      <c r="H26" s="32"/>
      <c r="I26" s="1" t="s">
        <v>27</v>
      </c>
      <c r="J26" s="15" t="s">
        <v>17</v>
      </c>
      <c r="K26" s="1" t="s">
        <v>27</v>
      </c>
      <c r="L26" s="31"/>
      <c r="M26" s="31"/>
      <c r="N26" s="31"/>
      <c r="O26" s="31"/>
      <c r="P26" s="32"/>
      <c r="Q26" s="60"/>
      <c r="R26" s="31"/>
      <c r="S26" s="31"/>
      <c r="T26" s="22" t="s">
        <v>27</v>
      </c>
      <c r="U26" s="1">
        <v>0</v>
      </c>
      <c r="V26" s="1">
        <v>0</v>
      </c>
      <c r="W26" s="55">
        <f t="shared" si="8"/>
        <v>0</v>
      </c>
      <c r="X26" s="56">
        <v>0</v>
      </c>
      <c r="Y26" s="56">
        <v>0</v>
      </c>
      <c r="Z26" s="1"/>
      <c r="AA26" s="1"/>
      <c r="AB26" s="64"/>
    </row>
    <row r="27" spans="1:28">
      <c r="A27" s="4" t="s">
        <v>6</v>
      </c>
      <c r="B27" s="1" t="s">
        <v>27</v>
      </c>
      <c r="C27" s="4" t="s">
        <v>6</v>
      </c>
      <c r="D27" s="31"/>
      <c r="E27" s="31"/>
      <c r="F27" s="31"/>
      <c r="G27" s="31"/>
      <c r="H27" s="32"/>
      <c r="I27" s="1" t="s">
        <v>27</v>
      </c>
      <c r="J27" s="3" t="s">
        <v>5</v>
      </c>
      <c r="K27" s="1" t="s">
        <v>27</v>
      </c>
      <c r="L27" s="31"/>
      <c r="M27" s="31"/>
      <c r="N27" s="31"/>
      <c r="O27" s="31"/>
      <c r="P27" s="32"/>
      <c r="Q27" s="60"/>
      <c r="R27" s="31"/>
      <c r="S27" s="31"/>
      <c r="T27" s="16" t="s">
        <v>28</v>
      </c>
      <c r="U27" s="1">
        <v>-200</v>
      </c>
      <c r="V27" s="1">
        <v>0</v>
      </c>
      <c r="W27" s="55"/>
      <c r="X27" s="56">
        <v>12</v>
      </c>
      <c r="Y27" s="56">
        <v>12</v>
      </c>
      <c r="Z27" s="1">
        <f t="shared" si="1"/>
        <v>0</v>
      </c>
      <c r="AA27" s="1">
        <f t="shared" si="2"/>
        <v>2</v>
      </c>
      <c r="AB27" s="64">
        <f t="shared" si="3"/>
        <v>10</v>
      </c>
    </row>
    <row r="28" spans="1:28">
      <c r="A28" s="4" t="s">
        <v>6</v>
      </c>
      <c r="B28" s="1" t="s">
        <v>27</v>
      </c>
      <c r="C28" s="17" t="s">
        <v>20</v>
      </c>
      <c r="D28" s="31"/>
      <c r="E28" s="31"/>
      <c r="F28" s="31"/>
      <c r="G28" s="31"/>
      <c r="H28" s="32"/>
      <c r="I28" s="1" t="s">
        <v>27</v>
      </c>
      <c r="J28" s="3" t="s">
        <v>5</v>
      </c>
      <c r="K28" s="1" t="s">
        <v>27</v>
      </c>
      <c r="L28" s="31"/>
      <c r="M28" s="31"/>
      <c r="N28" s="31"/>
      <c r="O28" s="31"/>
      <c r="P28" s="32"/>
      <c r="Q28" s="60"/>
      <c r="R28" s="31"/>
      <c r="S28" s="31"/>
      <c r="T28" s="23" t="s">
        <v>29</v>
      </c>
      <c r="U28" s="1">
        <v>50</v>
      </c>
      <c r="V28" s="1">
        <v>520</v>
      </c>
      <c r="W28" s="55"/>
      <c r="X28" s="56">
        <v>3</v>
      </c>
      <c r="Y28" s="56">
        <v>3</v>
      </c>
      <c r="Z28" s="1">
        <f t="shared" si="1"/>
        <v>1</v>
      </c>
      <c r="AA28" s="1">
        <f t="shared" si="2"/>
        <v>0</v>
      </c>
      <c r="AB28" s="64">
        <f t="shared" si="3"/>
        <v>2</v>
      </c>
    </row>
    <row r="29" spans="1:28" ht="15" thickBot="1">
      <c r="A29" s="4" t="s">
        <v>6</v>
      </c>
      <c r="B29" s="1" t="s">
        <v>27</v>
      </c>
      <c r="C29" s="4" t="s">
        <v>6</v>
      </c>
      <c r="D29" s="31"/>
      <c r="E29" s="31"/>
      <c r="F29" s="31"/>
      <c r="G29" s="31"/>
      <c r="H29" s="32"/>
      <c r="I29" s="1" t="s">
        <v>27</v>
      </c>
      <c r="J29" s="3" t="s">
        <v>5</v>
      </c>
      <c r="K29" s="1" t="s">
        <v>27</v>
      </c>
      <c r="L29" s="31"/>
      <c r="M29" s="31"/>
      <c r="N29" s="31"/>
      <c r="O29" s="31"/>
      <c r="P29" s="32"/>
      <c r="Q29" s="66"/>
      <c r="R29" s="41"/>
      <c r="S29" s="41"/>
      <c r="T29" s="40"/>
      <c r="U29" s="40"/>
      <c r="V29" s="40"/>
      <c r="W29" s="40"/>
      <c r="X29" s="40"/>
      <c r="Y29" s="40"/>
      <c r="Z29" s="40"/>
      <c r="AA29" s="40"/>
      <c r="AB29" s="67"/>
    </row>
    <row r="30" spans="1:28">
      <c r="A30" s="4" t="s">
        <v>6</v>
      </c>
      <c r="B30" s="1" t="s">
        <v>27</v>
      </c>
      <c r="C30" s="4" t="s">
        <v>6</v>
      </c>
      <c r="D30" s="31"/>
      <c r="E30" s="31"/>
      <c r="F30" s="31"/>
      <c r="G30" s="31"/>
      <c r="H30" s="32"/>
      <c r="I30" s="1" t="s">
        <v>27</v>
      </c>
      <c r="J30" s="15" t="s">
        <v>17</v>
      </c>
      <c r="K30" s="1" t="s">
        <v>27</v>
      </c>
      <c r="L30" s="31"/>
      <c r="M30" s="31"/>
      <c r="N30" s="31"/>
      <c r="O30" s="31"/>
      <c r="P30" s="32"/>
    </row>
    <row r="31" spans="1:28">
      <c r="A31" s="4" t="s">
        <v>6</v>
      </c>
      <c r="B31" s="1" t="s">
        <v>27</v>
      </c>
      <c r="C31" s="4" t="s">
        <v>6</v>
      </c>
      <c r="D31" s="31"/>
      <c r="E31" s="31"/>
      <c r="F31" s="31"/>
      <c r="G31" s="31"/>
      <c r="H31" s="32"/>
      <c r="I31" s="1" t="s">
        <v>27</v>
      </c>
      <c r="J31" s="3" t="s">
        <v>5</v>
      </c>
      <c r="K31" s="1" t="s">
        <v>27</v>
      </c>
      <c r="L31" s="31"/>
      <c r="M31" s="31"/>
      <c r="N31" s="31"/>
      <c r="O31" s="31"/>
      <c r="P31" s="32"/>
      <c r="Y31">
        <f>SUM(Y3:Y28)</f>
        <v>1076</v>
      </c>
    </row>
    <row r="32" spans="1:28">
      <c r="A32" s="4" t="s">
        <v>6</v>
      </c>
      <c r="B32" s="1" t="s">
        <v>27</v>
      </c>
      <c r="C32" s="4" t="s">
        <v>6</v>
      </c>
      <c r="D32" s="31"/>
      <c r="E32" s="31"/>
      <c r="F32" s="31"/>
      <c r="G32" s="31"/>
      <c r="H32" s="32"/>
      <c r="I32" s="1" t="s">
        <v>27</v>
      </c>
      <c r="J32" s="3" t="s">
        <v>5</v>
      </c>
      <c r="K32" s="1" t="s">
        <v>27</v>
      </c>
      <c r="L32" s="31"/>
      <c r="M32" s="31"/>
      <c r="N32" s="31"/>
      <c r="O32" s="31"/>
      <c r="P32" s="32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10" t="s">
        <v>12</v>
      </c>
      <c r="D33" s="31"/>
      <c r="E33" s="31"/>
      <c r="F33" s="31"/>
      <c r="G33" s="31"/>
      <c r="H33" s="32"/>
      <c r="I33" s="1" t="s">
        <v>27</v>
      </c>
      <c r="J33" s="3" t="s">
        <v>5</v>
      </c>
      <c r="K33" s="1" t="s">
        <v>27</v>
      </c>
      <c r="L33" s="31"/>
      <c r="M33" s="31"/>
      <c r="N33" s="31"/>
      <c r="O33" s="31"/>
      <c r="P33" s="32"/>
      <c r="R33">
        <v>2</v>
      </c>
      <c r="S33" t="s">
        <v>60</v>
      </c>
    </row>
    <row r="34" spans="1:19">
      <c r="A34" s="17" t="s">
        <v>19</v>
      </c>
      <c r="B34" s="1" t="s">
        <v>27</v>
      </c>
      <c r="C34" s="4" t="s">
        <v>6</v>
      </c>
      <c r="D34" s="31"/>
      <c r="E34" s="31"/>
      <c r="F34" s="31"/>
      <c r="G34" s="31"/>
      <c r="H34" s="32"/>
      <c r="I34" s="38" t="s">
        <v>27</v>
      </c>
      <c r="J34" s="3" t="s">
        <v>5</v>
      </c>
      <c r="K34" s="1" t="s">
        <v>27</v>
      </c>
      <c r="L34" s="31"/>
      <c r="M34" s="31"/>
      <c r="N34" s="31"/>
      <c r="O34" s="31"/>
      <c r="P34" s="32"/>
      <c r="R34">
        <v>3</v>
      </c>
      <c r="S34" t="s">
        <v>58</v>
      </c>
    </row>
    <row r="35" spans="1:19">
      <c r="A35" s="4" t="s">
        <v>6</v>
      </c>
      <c r="B35" s="1" t="s">
        <v>27</v>
      </c>
      <c r="C35" s="17" t="s">
        <v>19</v>
      </c>
      <c r="D35" s="31"/>
      <c r="E35" s="31"/>
      <c r="F35" s="31"/>
      <c r="G35" s="31"/>
      <c r="H35" s="32"/>
      <c r="I35" s="38" t="s">
        <v>27</v>
      </c>
      <c r="J35" s="16" t="s">
        <v>28</v>
      </c>
      <c r="K35" s="1" t="s">
        <v>27</v>
      </c>
      <c r="L35" s="31"/>
      <c r="M35" s="31"/>
      <c r="N35" s="31"/>
      <c r="O35" s="31"/>
      <c r="P35" s="32"/>
      <c r="R35">
        <v>4</v>
      </c>
      <c r="S35" t="s">
        <v>61</v>
      </c>
    </row>
    <row r="36" spans="1:19">
      <c r="A36" s="4" t="s">
        <v>6</v>
      </c>
      <c r="B36" s="1" t="s">
        <v>27</v>
      </c>
      <c r="C36" s="4" t="s">
        <v>6</v>
      </c>
      <c r="D36" s="31"/>
      <c r="E36" s="31"/>
      <c r="F36" s="31"/>
      <c r="G36" s="31"/>
      <c r="H36" s="32"/>
      <c r="I36" s="38" t="s">
        <v>27</v>
      </c>
      <c r="J36" s="3" t="s">
        <v>5</v>
      </c>
      <c r="K36" s="1" t="s">
        <v>27</v>
      </c>
      <c r="L36" s="31"/>
      <c r="M36" s="31"/>
      <c r="N36" s="31"/>
      <c r="O36" s="31"/>
      <c r="P36" s="32"/>
      <c r="S36" t="s">
        <v>62</v>
      </c>
    </row>
    <row r="37" spans="1:19">
      <c r="A37" s="4" t="s">
        <v>6</v>
      </c>
      <c r="B37" s="1" t="s">
        <v>27</v>
      </c>
      <c r="C37" s="4" t="s">
        <v>6</v>
      </c>
      <c r="D37" s="31"/>
      <c r="E37" s="31"/>
      <c r="F37" s="31"/>
      <c r="G37" s="31"/>
      <c r="H37" s="32"/>
      <c r="I37" s="38" t="s">
        <v>27</v>
      </c>
      <c r="J37" s="3" t="s">
        <v>5</v>
      </c>
      <c r="K37" s="1" t="s">
        <v>27</v>
      </c>
      <c r="L37" s="31"/>
      <c r="M37" s="31"/>
      <c r="N37" s="31"/>
      <c r="O37" s="31"/>
      <c r="P37" s="32"/>
      <c r="R37">
        <v>5</v>
      </c>
      <c r="S37" t="s">
        <v>63</v>
      </c>
    </row>
    <row r="38" spans="1:19">
      <c r="A38" s="4" t="s">
        <v>6</v>
      </c>
      <c r="B38" s="1" t="s">
        <v>27</v>
      </c>
      <c r="C38" s="16" t="s">
        <v>18</v>
      </c>
      <c r="D38" s="31"/>
      <c r="E38" s="31"/>
      <c r="F38" s="31"/>
      <c r="G38" s="31"/>
      <c r="H38" s="32"/>
      <c r="I38" s="38" t="s">
        <v>27</v>
      </c>
      <c r="J38" s="15" t="s">
        <v>17</v>
      </c>
      <c r="K38" s="1" t="s">
        <v>27</v>
      </c>
      <c r="L38" s="31"/>
      <c r="M38" s="31"/>
      <c r="N38" s="31"/>
      <c r="O38" s="31"/>
      <c r="P38" s="32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4" t="s">
        <v>6</v>
      </c>
      <c r="D39" s="31"/>
      <c r="E39" s="31"/>
      <c r="F39" s="31"/>
      <c r="G39" s="31"/>
      <c r="H39" s="32"/>
      <c r="I39" s="38" t="s">
        <v>27</v>
      </c>
      <c r="J39" s="3" t="s">
        <v>5</v>
      </c>
      <c r="K39" s="1" t="s">
        <v>27</v>
      </c>
      <c r="L39" s="31"/>
      <c r="M39" s="31"/>
      <c r="N39" s="31"/>
      <c r="O39" s="31"/>
      <c r="P39" s="32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4" t="s">
        <v>6</v>
      </c>
      <c r="D40" s="31"/>
      <c r="E40" s="31"/>
      <c r="F40" s="31"/>
      <c r="G40" s="31"/>
      <c r="H40" s="32"/>
      <c r="I40" s="38" t="s">
        <v>27</v>
      </c>
      <c r="J40" s="3" t="s">
        <v>5</v>
      </c>
      <c r="K40" s="1" t="s">
        <v>27</v>
      </c>
      <c r="L40" s="31"/>
      <c r="M40" s="31"/>
      <c r="N40" s="31"/>
      <c r="O40" s="31"/>
      <c r="P40" s="32"/>
    </row>
    <row r="41" spans="1:19">
      <c r="A41" s="4" t="s">
        <v>6</v>
      </c>
      <c r="B41" s="1" t="s">
        <v>27</v>
      </c>
      <c r="C41" s="4" t="s">
        <v>6</v>
      </c>
      <c r="D41" s="31"/>
      <c r="E41" s="31"/>
      <c r="F41" s="31"/>
      <c r="G41" s="31"/>
      <c r="H41" s="32"/>
      <c r="I41" s="38" t="s">
        <v>27</v>
      </c>
      <c r="J41" s="3" t="s">
        <v>5</v>
      </c>
      <c r="K41" s="1" t="s">
        <v>27</v>
      </c>
      <c r="L41" s="31"/>
      <c r="M41" s="31"/>
      <c r="N41" s="31"/>
      <c r="O41" s="31"/>
      <c r="P41" s="32"/>
    </row>
    <row r="42" spans="1:19">
      <c r="A42" s="4" t="s">
        <v>6</v>
      </c>
      <c r="B42" s="1" t="s">
        <v>27</v>
      </c>
      <c r="C42" s="4" t="s">
        <v>6</v>
      </c>
      <c r="D42" s="31"/>
      <c r="E42" s="31"/>
      <c r="F42" s="31"/>
      <c r="G42" s="31"/>
      <c r="H42" s="32"/>
      <c r="I42" s="38" t="s">
        <v>27</v>
      </c>
      <c r="J42" s="3" t="s">
        <v>5</v>
      </c>
      <c r="K42" s="1" t="s">
        <v>27</v>
      </c>
      <c r="L42" s="31"/>
      <c r="M42" s="31"/>
      <c r="N42" s="31"/>
      <c r="O42" s="31"/>
      <c r="P42" s="32"/>
    </row>
    <row r="43" spans="1:19">
      <c r="A43" s="17" t="s">
        <v>20</v>
      </c>
      <c r="B43" s="1" t="s">
        <v>27</v>
      </c>
      <c r="C43" s="4" t="s">
        <v>6</v>
      </c>
      <c r="D43" s="31"/>
      <c r="E43" s="31"/>
      <c r="F43" s="31"/>
      <c r="G43" s="31"/>
      <c r="H43" s="32"/>
      <c r="I43" s="38" t="s">
        <v>27</v>
      </c>
      <c r="J43" s="15" t="s">
        <v>17</v>
      </c>
      <c r="K43" s="1" t="s">
        <v>27</v>
      </c>
      <c r="L43" s="31"/>
      <c r="M43" s="31"/>
      <c r="N43" s="31"/>
      <c r="O43" s="31"/>
      <c r="P43" s="32"/>
    </row>
    <row r="44" spans="1:19">
      <c r="A44" s="38" t="s">
        <v>27</v>
      </c>
      <c r="B44" s="1" t="s">
        <v>27</v>
      </c>
      <c r="C44" s="17" t="s">
        <v>20</v>
      </c>
      <c r="D44" s="31"/>
      <c r="E44" s="31"/>
      <c r="F44" s="31"/>
      <c r="G44" s="31"/>
      <c r="H44" s="32"/>
      <c r="I44" s="38" t="s">
        <v>27</v>
      </c>
      <c r="J44" s="3" t="s">
        <v>5</v>
      </c>
      <c r="K44" s="1" t="s">
        <v>27</v>
      </c>
      <c r="L44" s="31"/>
      <c r="M44" s="31"/>
      <c r="N44" s="31"/>
      <c r="O44" s="31"/>
      <c r="P44" s="32"/>
    </row>
    <row r="45" spans="1:19">
      <c r="A45" s="38" t="s">
        <v>27</v>
      </c>
      <c r="B45" s="1" t="s">
        <v>27</v>
      </c>
      <c r="C45" s="1" t="s">
        <v>27</v>
      </c>
      <c r="D45" s="31"/>
      <c r="E45" s="31"/>
      <c r="F45" s="31"/>
      <c r="G45" s="31"/>
      <c r="H45" s="32"/>
      <c r="I45" s="38" t="s">
        <v>27</v>
      </c>
      <c r="J45" s="3" t="s">
        <v>5</v>
      </c>
      <c r="K45" s="1" t="s">
        <v>27</v>
      </c>
      <c r="L45" s="31"/>
      <c r="M45" s="31"/>
      <c r="N45" s="31"/>
      <c r="O45" s="31"/>
      <c r="P45" s="32"/>
    </row>
    <row r="46" spans="1:19">
      <c r="A46" s="38" t="s">
        <v>27</v>
      </c>
      <c r="B46" s="1" t="s">
        <v>27</v>
      </c>
      <c r="C46" s="1" t="s">
        <v>27</v>
      </c>
      <c r="D46" s="31"/>
      <c r="E46" s="31"/>
      <c r="F46" s="31"/>
      <c r="G46" s="31"/>
      <c r="H46" s="32"/>
      <c r="I46" s="38" t="s">
        <v>27</v>
      </c>
      <c r="J46" s="9" t="s">
        <v>11</v>
      </c>
      <c r="K46" s="1" t="s">
        <v>27</v>
      </c>
      <c r="L46" s="31"/>
      <c r="M46" s="31"/>
      <c r="N46" s="31"/>
      <c r="O46" s="31"/>
      <c r="P46" s="32"/>
    </row>
    <row r="47" spans="1:19">
      <c r="A47" s="38" t="s">
        <v>27</v>
      </c>
      <c r="B47" s="1" t="s">
        <v>27</v>
      </c>
      <c r="C47" s="1" t="s">
        <v>27</v>
      </c>
      <c r="D47" s="31"/>
      <c r="E47" s="31"/>
      <c r="F47" s="31"/>
      <c r="G47" s="31"/>
      <c r="H47" s="32"/>
      <c r="I47" s="38" t="s">
        <v>27</v>
      </c>
      <c r="J47" s="3" t="s">
        <v>5</v>
      </c>
      <c r="K47" s="1" t="s">
        <v>27</v>
      </c>
      <c r="L47" s="31"/>
      <c r="M47" s="31"/>
      <c r="N47" s="31"/>
      <c r="O47" s="31"/>
      <c r="P47" s="32"/>
    </row>
    <row r="48" spans="1:19">
      <c r="A48" s="38" t="s">
        <v>27</v>
      </c>
      <c r="B48" s="1" t="s">
        <v>27</v>
      </c>
      <c r="C48" s="1" t="s">
        <v>27</v>
      </c>
      <c r="D48" s="31"/>
      <c r="E48" s="31"/>
      <c r="F48" s="31"/>
      <c r="G48" s="31"/>
      <c r="H48" s="32"/>
      <c r="I48" s="38" t="s">
        <v>27</v>
      </c>
      <c r="J48" s="3" t="s">
        <v>5</v>
      </c>
      <c r="K48" s="1" t="s">
        <v>27</v>
      </c>
      <c r="L48" s="31"/>
      <c r="M48" s="31"/>
      <c r="N48" s="31"/>
      <c r="O48" s="31"/>
      <c r="P48" s="32"/>
    </row>
    <row r="49" spans="1:16">
      <c r="A49" s="38" t="s">
        <v>27</v>
      </c>
      <c r="B49" s="1" t="s">
        <v>27</v>
      </c>
      <c r="C49" s="1" t="s">
        <v>27</v>
      </c>
      <c r="D49" s="31"/>
      <c r="E49" s="31"/>
      <c r="F49" s="31"/>
      <c r="G49" s="31"/>
      <c r="H49" s="32"/>
      <c r="I49" s="38" t="s">
        <v>27</v>
      </c>
      <c r="J49" s="15" t="s">
        <v>17</v>
      </c>
      <c r="K49" s="1" t="s">
        <v>27</v>
      </c>
      <c r="L49" s="31"/>
      <c r="M49" s="31"/>
      <c r="N49" s="31"/>
      <c r="O49" s="31"/>
      <c r="P49" s="32"/>
    </row>
    <row r="50" spans="1:16">
      <c r="A50" s="38" t="s">
        <v>27</v>
      </c>
      <c r="B50" s="1" t="s">
        <v>27</v>
      </c>
      <c r="C50" s="1" t="s">
        <v>27</v>
      </c>
      <c r="D50" s="31"/>
      <c r="E50" s="31"/>
      <c r="F50" s="31"/>
      <c r="G50" s="31"/>
      <c r="H50" s="32"/>
      <c r="I50" s="38" t="s">
        <v>27</v>
      </c>
      <c r="J50" s="3" t="s">
        <v>5</v>
      </c>
      <c r="K50" s="1" t="s">
        <v>27</v>
      </c>
      <c r="L50" s="31"/>
      <c r="M50" s="31"/>
      <c r="N50" s="31"/>
      <c r="O50" s="31"/>
      <c r="P50" s="32"/>
    </row>
    <row r="51" spans="1:16">
      <c r="A51" s="38" t="s">
        <v>27</v>
      </c>
      <c r="B51" s="1" t="s">
        <v>27</v>
      </c>
      <c r="C51" s="1" t="s">
        <v>27</v>
      </c>
      <c r="D51" s="31"/>
      <c r="E51" s="31"/>
      <c r="F51" s="31"/>
      <c r="G51" s="31"/>
      <c r="H51" s="32"/>
      <c r="I51" s="38" t="s">
        <v>27</v>
      </c>
      <c r="J51" s="3" t="s">
        <v>5</v>
      </c>
      <c r="K51" s="1" t="s">
        <v>27</v>
      </c>
      <c r="L51" s="31"/>
      <c r="M51" s="31"/>
      <c r="N51" s="31"/>
      <c r="O51" s="31"/>
      <c r="P51" s="32"/>
    </row>
    <row r="52" spans="1:16">
      <c r="A52" s="38" t="s">
        <v>27</v>
      </c>
      <c r="B52" s="1" t="s">
        <v>27</v>
      </c>
      <c r="C52" s="1" t="s">
        <v>27</v>
      </c>
      <c r="D52" s="31"/>
      <c r="E52" s="31"/>
      <c r="F52" s="31"/>
      <c r="G52" s="31"/>
      <c r="H52" s="32"/>
      <c r="I52" s="38" t="s">
        <v>27</v>
      </c>
      <c r="J52" s="3" t="s">
        <v>5</v>
      </c>
      <c r="K52" s="1" t="s">
        <v>27</v>
      </c>
      <c r="L52" s="31"/>
      <c r="M52" s="31"/>
      <c r="N52" s="31"/>
      <c r="O52" s="31"/>
      <c r="P52" s="32"/>
    </row>
    <row r="53" spans="1:16">
      <c r="A53" s="38" t="s">
        <v>27</v>
      </c>
      <c r="B53" s="1" t="s">
        <v>27</v>
      </c>
      <c r="C53" s="1" t="s">
        <v>27</v>
      </c>
      <c r="D53" s="31"/>
      <c r="E53" s="31"/>
      <c r="F53" s="31"/>
      <c r="G53" s="31"/>
      <c r="H53" s="32"/>
      <c r="I53" s="38" t="s">
        <v>27</v>
      </c>
      <c r="J53" s="3" t="s">
        <v>5</v>
      </c>
      <c r="K53" s="1" t="s">
        <v>27</v>
      </c>
      <c r="L53" s="31"/>
      <c r="M53" s="31"/>
      <c r="N53" s="31"/>
      <c r="O53" s="31"/>
      <c r="P53" s="32"/>
    </row>
    <row r="54" spans="1:16">
      <c r="A54" s="38" t="s">
        <v>27</v>
      </c>
      <c r="B54" s="1" t="s">
        <v>27</v>
      </c>
      <c r="C54" s="1" t="s">
        <v>27</v>
      </c>
      <c r="D54" s="31"/>
      <c r="E54" s="31"/>
      <c r="F54" s="31"/>
      <c r="G54" s="31"/>
      <c r="H54" s="32"/>
      <c r="I54" s="38" t="s">
        <v>27</v>
      </c>
      <c r="J54" s="3" t="s">
        <v>5</v>
      </c>
      <c r="K54" s="1" t="s">
        <v>27</v>
      </c>
      <c r="L54" s="31"/>
      <c r="M54" s="31"/>
      <c r="N54" s="31"/>
      <c r="O54" s="31"/>
      <c r="P54" s="32"/>
    </row>
    <row r="55" spans="1:16">
      <c r="A55" s="38" t="s">
        <v>27</v>
      </c>
      <c r="B55" s="1" t="s">
        <v>27</v>
      </c>
      <c r="C55" s="1" t="s">
        <v>27</v>
      </c>
      <c r="D55" s="31"/>
      <c r="E55" s="31"/>
      <c r="F55" s="31"/>
      <c r="G55" s="31"/>
      <c r="H55" s="32"/>
      <c r="I55" s="38" t="s">
        <v>27</v>
      </c>
      <c r="J55" s="15" t="s">
        <v>17</v>
      </c>
      <c r="K55" s="1" t="s">
        <v>27</v>
      </c>
      <c r="L55" s="31"/>
      <c r="M55" s="31"/>
      <c r="N55" s="31"/>
      <c r="O55" s="31"/>
      <c r="P55" s="32"/>
    </row>
    <row r="56" spans="1:16">
      <c r="A56" s="38" t="s">
        <v>27</v>
      </c>
      <c r="B56" s="1" t="s">
        <v>27</v>
      </c>
      <c r="C56" s="1" t="s">
        <v>27</v>
      </c>
      <c r="D56" s="31"/>
      <c r="E56" s="31"/>
      <c r="F56" s="31"/>
      <c r="G56" s="31"/>
      <c r="H56" s="32"/>
      <c r="I56" s="38" t="s">
        <v>27</v>
      </c>
      <c r="J56" s="3" t="s">
        <v>5</v>
      </c>
      <c r="K56" s="1" t="s">
        <v>27</v>
      </c>
      <c r="L56" s="31"/>
      <c r="M56" s="31"/>
      <c r="N56" s="31"/>
      <c r="O56" s="31"/>
      <c r="P56" s="32"/>
    </row>
    <row r="57" spans="1:16">
      <c r="A57" s="38" t="s">
        <v>27</v>
      </c>
      <c r="B57" s="1" t="s">
        <v>27</v>
      </c>
      <c r="C57" s="1" t="s">
        <v>27</v>
      </c>
      <c r="D57" s="31"/>
      <c r="E57" s="31"/>
      <c r="F57" s="31"/>
      <c r="G57" s="31"/>
      <c r="H57" s="32"/>
      <c r="I57" s="38" t="s">
        <v>27</v>
      </c>
      <c r="J57" s="3" t="s">
        <v>5</v>
      </c>
      <c r="K57" s="1" t="s">
        <v>27</v>
      </c>
      <c r="L57" s="31"/>
      <c r="M57" s="31"/>
      <c r="N57" s="31"/>
      <c r="O57" s="31"/>
      <c r="P57" s="32"/>
    </row>
    <row r="58" spans="1:16">
      <c r="A58" s="38" t="s">
        <v>27</v>
      </c>
      <c r="B58" s="1" t="s">
        <v>27</v>
      </c>
      <c r="C58" s="1" t="s">
        <v>27</v>
      </c>
      <c r="D58" s="31"/>
      <c r="E58" s="31"/>
      <c r="F58" s="31"/>
      <c r="G58" s="31"/>
      <c r="H58" s="32"/>
      <c r="I58" s="38" t="s">
        <v>27</v>
      </c>
      <c r="J58" s="9" t="s">
        <v>11</v>
      </c>
      <c r="K58" s="1" t="s">
        <v>27</v>
      </c>
      <c r="L58" s="31"/>
      <c r="M58" s="31"/>
      <c r="N58" s="31"/>
      <c r="O58" s="31"/>
      <c r="P58" s="32"/>
    </row>
    <row r="59" spans="1:16">
      <c r="A59" s="38" t="s">
        <v>27</v>
      </c>
      <c r="B59" s="1" t="s">
        <v>27</v>
      </c>
      <c r="C59" s="1" t="s">
        <v>27</v>
      </c>
      <c r="D59" s="31"/>
      <c r="E59" s="31"/>
      <c r="F59" s="31"/>
      <c r="G59" s="31"/>
      <c r="H59" s="32"/>
      <c r="I59" s="38" t="s">
        <v>27</v>
      </c>
      <c r="J59" s="3" t="s">
        <v>5</v>
      </c>
      <c r="K59" s="1" t="s">
        <v>27</v>
      </c>
      <c r="L59" s="31"/>
      <c r="M59" s="31"/>
      <c r="N59" s="31"/>
      <c r="O59" s="31"/>
      <c r="P59" s="32"/>
    </row>
    <row r="60" spans="1:16">
      <c r="A60" s="38" t="s">
        <v>27</v>
      </c>
      <c r="B60" s="1" t="s">
        <v>27</v>
      </c>
      <c r="C60" s="1" t="s">
        <v>27</v>
      </c>
      <c r="D60" s="31"/>
      <c r="E60" s="31"/>
      <c r="F60" s="31"/>
      <c r="G60" s="31"/>
      <c r="H60" s="32"/>
      <c r="I60" s="38" t="s">
        <v>27</v>
      </c>
      <c r="J60" s="3" t="s">
        <v>5</v>
      </c>
      <c r="K60" s="1" t="s">
        <v>27</v>
      </c>
      <c r="L60" s="31"/>
      <c r="M60" s="31"/>
      <c r="N60" s="31"/>
      <c r="O60" s="31"/>
      <c r="P60" s="32"/>
    </row>
    <row r="61" spans="1:16">
      <c r="A61" s="38" t="s">
        <v>27</v>
      </c>
      <c r="B61" s="1" t="s">
        <v>27</v>
      </c>
      <c r="C61" s="1" t="s">
        <v>27</v>
      </c>
      <c r="D61" s="31"/>
      <c r="E61" s="31"/>
      <c r="F61" s="31"/>
      <c r="G61" s="31"/>
      <c r="H61" s="32"/>
      <c r="I61" s="38" t="s">
        <v>27</v>
      </c>
      <c r="J61" s="15" t="s">
        <v>17</v>
      </c>
      <c r="K61" s="1" t="s">
        <v>27</v>
      </c>
      <c r="L61" s="31"/>
      <c r="M61" s="31"/>
      <c r="N61" s="31"/>
      <c r="O61" s="31"/>
      <c r="P61" s="32"/>
    </row>
    <row r="62" spans="1:16">
      <c r="A62" s="38" t="s">
        <v>27</v>
      </c>
      <c r="B62" s="1" t="s">
        <v>27</v>
      </c>
      <c r="C62" s="1" t="s">
        <v>27</v>
      </c>
      <c r="D62" s="31"/>
      <c r="E62" s="31"/>
      <c r="F62" s="31"/>
      <c r="G62" s="31"/>
      <c r="H62" s="32"/>
      <c r="I62" s="38" t="s">
        <v>27</v>
      </c>
      <c r="J62" s="3" t="s">
        <v>5</v>
      </c>
      <c r="K62" s="1" t="s">
        <v>27</v>
      </c>
      <c r="L62" s="31"/>
      <c r="M62" s="31"/>
      <c r="N62" s="31"/>
      <c r="O62" s="31"/>
      <c r="P62" s="32"/>
    </row>
    <row r="63" spans="1:16">
      <c r="A63" s="38" t="s">
        <v>27</v>
      </c>
      <c r="B63" s="1" t="s">
        <v>27</v>
      </c>
      <c r="C63" s="1" t="s">
        <v>27</v>
      </c>
      <c r="D63" s="31"/>
      <c r="E63" s="31"/>
      <c r="F63" s="31"/>
      <c r="G63" s="31"/>
      <c r="H63" s="32"/>
      <c r="I63" s="38" t="s">
        <v>27</v>
      </c>
      <c r="J63" s="3" t="s">
        <v>5</v>
      </c>
      <c r="K63" s="1" t="s">
        <v>27</v>
      </c>
      <c r="L63" s="31"/>
      <c r="M63" s="31"/>
      <c r="N63" s="31"/>
      <c r="O63" s="31"/>
      <c r="P63" s="32"/>
    </row>
    <row r="64" spans="1:16">
      <c r="A64" s="38" t="s">
        <v>27</v>
      </c>
      <c r="B64" s="1" t="s">
        <v>27</v>
      </c>
      <c r="C64" s="1" t="s">
        <v>27</v>
      </c>
      <c r="D64" s="31"/>
      <c r="E64" s="31"/>
      <c r="F64" s="31"/>
      <c r="G64" s="31"/>
      <c r="H64" s="32"/>
      <c r="I64" s="38" t="s">
        <v>27</v>
      </c>
      <c r="J64" s="3" t="s">
        <v>5</v>
      </c>
      <c r="K64" s="1" t="s">
        <v>27</v>
      </c>
      <c r="L64" s="31"/>
      <c r="M64" s="31"/>
      <c r="N64" s="31"/>
      <c r="O64" s="31"/>
      <c r="P64" s="32"/>
    </row>
    <row r="65" spans="1:16">
      <c r="A65" s="38" t="s">
        <v>27</v>
      </c>
      <c r="B65" s="1" t="s">
        <v>27</v>
      </c>
      <c r="C65" s="1" t="s">
        <v>27</v>
      </c>
      <c r="D65" s="31"/>
      <c r="E65" s="31"/>
      <c r="F65" s="31"/>
      <c r="G65" s="31"/>
      <c r="H65" s="32"/>
      <c r="I65" s="38" t="s">
        <v>27</v>
      </c>
      <c r="J65" s="3" t="s">
        <v>5</v>
      </c>
      <c r="K65" s="1" t="s">
        <v>27</v>
      </c>
      <c r="L65" s="31"/>
      <c r="M65" s="31"/>
      <c r="N65" s="31"/>
      <c r="O65" s="31"/>
      <c r="P65" s="32"/>
    </row>
    <row r="66" spans="1:16">
      <c r="A66" s="38" t="s">
        <v>27</v>
      </c>
      <c r="B66" s="1" t="s">
        <v>27</v>
      </c>
      <c r="C66" s="1" t="s">
        <v>27</v>
      </c>
      <c r="D66" s="31"/>
      <c r="E66" s="31"/>
      <c r="F66" s="31"/>
      <c r="G66" s="31"/>
      <c r="H66" s="32"/>
      <c r="I66" s="38" t="s">
        <v>27</v>
      </c>
      <c r="J66" s="3" t="s">
        <v>5</v>
      </c>
      <c r="K66" s="1" t="s">
        <v>27</v>
      </c>
      <c r="L66" s="31"/>
      <c r="M66" s="31"/>
      <c r="N66" s="31"/>
      <c r="O66" s="31"/>
      <c r="P66" s="32"/>
    </row>
    <row r="67" spans="1:16">
      <c r="A67" s="38" t="s">
        <v>27</v>
      </c>
      <c r="B67" s="1" t="s">
        <v>27</v>
      </c>
      <c r="C67" s="1" t="s">
        <v>27</v>
      </c>
      <c r="D67" s="31"/>
      <c r="E67" s="31"/>
      <c r="F67" s="31"/>
      <c r="G67" s="31"/>
      <c r="H67" s="32"/>
      <c r="I67" s="38" t="s">
        <v>27</v>
      </c>
      <c r="J67" s="15" t="s">
        <v>17</v>
      </c>
      <c r="K67" s="1" t="s">
        <v>27</v>
      </c>
      <c r="L67" s="31"/>
      <c r="M67" s="31"/>
      <c r="N67" s="31"/>
      <c r="O67" s="31"/>
      <c r="P67" s="32"/>
    </row>
    <row r="68" spans="1:16">
      <c r="A68" s="38" t="s">
        <v>27</v>
      </c>
      <c r="B68" s="1" t="s">
        <v>27</v>
      </c>
      <c r="C68" s="1" t="s">
        <v>27</v>
      </c>
      <c r="D68" s="31"/>
      <c r="E68" s="31"/>
      <c r="F68" s="31"/>
      <c r="G68" s="31"/>
      <c r="H68" s="32"/>
      <c r="I68" s="38" t="s">
        <v>27</v>
      </c>
      <c r="J68" s="1" t="s">
        <v>27</v>
      </c>
      <c r="K68" s="1" t="s">
        <v>27</v>
      </c>
      <c r="L68" s="31"/>
      <c r="M68" s="31"/>
      <c r="N68" s="31"/>
      <c r="O68" s="31"/>
      <c r="P68" s="32"/>
    </row>
    <row r="69" spans="1:16">
      <c r="A69" s="38" t="s">
        <v>27</v>
      </c>
      <c r="B69" s="1" t="s">
        <v>27</v>
      </c>
      <c r="C69" s="1" t="s">
        <v>27</v>
      </c>
      <c r="D69" s="31"/>
      <c r="E69" s="31"/>
      <c r="F69" s="31"/>
      <c r="G69" s="31"/>
      <c r="H69" s="32"/>
      <c r="I69" s="38" t="s">
        <v>27</v>
      </c>
      <c r="J69" s="1" t="s">
        <v>27</v>
      </c>
      <c r="K69" s="1" t="s">
        <v>27</v>
      </c>
      <c r="L69" s="31"/>
      <c r="M69" s="31"/>
      <c r="N69" s="31"/>
      <c r="O69" s="31"/>
      <c r="P69" s="32"/>
    </row>
    <row r="70" spans="1:16">
      <c r="A70" s="38" t="s">
        <v>27</v>
      </c>
      <c r="B70" s="1" t="s">
        <v>27</v>
      </c>
      <c r="C70" s="1" t="s">
        <v>27</v>
      </c>
      <c r="D70" s="31"/>
      <c r="E70" s="31"/>
      <c r="F70" s="31"/>
      <c r="G70" s="31"/>
      <c r="H70" s="32"/>
      <c r="I70" s="38" t="s">
        <v>27</v>
      </c>
      <c r="J70" s="1" t="s">
        <v>27</v>
      </c>
      <c r="K70" s="1" t="s">
        <v>27</v>
      </c>
      <c r="L70" s="31"/>
      <c r="M70" s="31"/>
      <c r="N70" s="31"/>
      <c r="O70" s="31"/>
      <c r="P70" s="32"/>
    </row>
    <row r="71" spans="1:16">
      <c r="A71" s="38" t="s">
        <v>27</v>
      </c>
      <c r="B71" s="1" t="s">
        <v>27</v>
      </c>
      <c r="C71" s="1" t="s">
        <v>27</v>
      </c>
      <c r="D71" s="31"/>
      <c r="E71" s="31"/>
      <c r="F71" s="31"/>
      <c r="G71" s="31"/>
      <c r="H71" s="32"/>
      <c r="I71" s="38" t="s">
        <v>27</v>
      </c>
      <c r="J71" s="1" t="s">
        <v>27</v>
      </c>
      <c r="K71" s="1" t="s">
        <v>27</v>
      </c>
      <c r="L71" s="31"/>
      <c r="M71" s="31"/>
      <c r="N71" s="31"/>
      <c r="O71" s="31"/>
      <c r="P71" s="32"/>
    </row>
    <row r="72" spans="1:16">
      <c r="A72" s="38" t="s">
        <v>27</v>
      </c>
      <c r="B72" s="1" t="s">
        <v>27</v>
      </c>
      <c r="C72" s="1" t="s">
        <v>27</v>
      </c>
      <c r="D72" s="31"/>
      <c r="E72" s="31"/>
      <c r="F72" s="31"/>
      <c r="G72" s="31"/>
      <c r="H72" s="32"/>
      <c r="I72" s="38" t="s">
        <v>27</v>
      </c>
      <c r="J72" s="1" t="s">
        <v>27</v>
      </c>
      <c r="K72" s="1" t="s">
        <v>27</v>
      </c>
      <c r="L72" s="31"/>
      <c r="M72" s="31"/>
      <c r="N72" s="31"/>
      <c r="O72" s="31"/>
      <c r="P72" s="32"/>
    </row>
    <row r="73" spans="1:16">
      <c r="A73" s="38" t="s">
        <v>27</v>
      </c>
      <c r="B73" s="1" t="s">
        <v>27</v>
      </c>
      <c r="C73" s="1" t="s">
        <v>27</v>
      </c>
      <c r="D73" s="31"/>
      <c r="E73" s="31"/>
      <c r="F73" s="31"/>
      <c r="G73" s="31"/>
      <c r="H73" s="32"/>
      <c r="I73" s="38" t="s">
        <v>27</v>
      </c>
      <c r="J73" s="1" t="s">
        <v>27</v>
      </c>
      <c r="K73" s="1" t="s">
        <v>27</v>
      </c>
      <c r="L73" s="31"/>
      <c r="M73" s="31"/>
      <c r="N73" s="31"/>
      <c r="O73" s="31"/>
      <c r="P73" s="32"/>
    </row>
    <row r="74" spans="1:16">
      <c r="A74" s="38" t="s">
        <v>27</v>
      </c>
      <c r="B74" s="1" t="s">
        <v>27</v>
      </c>
      <c r="C74" s="1" t="s">
        <v>27</v>
      </c>
      <c r="D74" s="31"/>
      <c r="E74" s="31"/>
      <c r="F74" s="31"/>
      <c r="G74" s="31"/>
      <c r="H74" s="32"/>
      <c r="I74" s="38" t="s">
        <v>27</v>
      </c>
      <c r="J74" s="1" t="s">
        <v>27</v>
      </c>
      <c r="K74" s="1" t="s">
        <v>27</v>
      </c>
      <c r="L74" s="31"/>
      <c r="M74" s="31"/>
      <c r="N74" s="31"/>
      <c r="O74" s="31"/>
      <c r="P74" s="32"/>
    </row>
    <row r="75" spans="1:16">
      <c r="A75" s="38" t="s">
        <v>27</v>
      </c>
      <c r="B75" s="1" t="s">
        <v>27</v>
      </c>
      <c r="C75" s="1" t="s">
        <v>27</v>
      </c>
      <c r="D75" s="31"/>
      <c r="E75" s="31"/>
      <c r="F75" s="31"/>
      <c r="G75" s="31"/>
      <c r="H75" s="32"/>
      <c r="I75" s="38" t="s">
        <v>27</v>
      </c>
      <c r="J75" s="1" t="s">
        <v>27</v>
      </c>
      <c r="K75" s="1" t="s">
        <v>27</v>
      </c>
      <c r="L75" s="31"/>
      <c r="M75" s="31"/>
      <c r="N75" s="31"/>
      <c r="O75" s="31"/>
      <c r="P75" s="32"/>
    </row>
    <row r="76" spans="1:16">
      <c r="A76" s="38" t="s">
        <v>27</v>
      </c>
      <c r="B76" s="1" t="s">
        <v>27</v>
      </c>
      <c r="C76" s="1" t="s">
        <v>27</v>
      </c>
      <c r="D76" s="31"/>
      <c r="E76" s="31"/>
      <c r="F76" s="31"/>
      <c r="G76" s="31"/>
      <c r="H76" s="32"/>
      <c r="I76" s="38" t="s">
        <v>27</v>
      </c>
      <c r="J76" s="1" t="s">
        <v>27</v>
      </c>
      <c r="K76" s="1" t="s">
        <v>27</v>
      </c>
      <c r="L76" s="31"/>
      <c r="M76" s="31"/>
      <c r="N76" s="31"/>
      <c r="O76" s="31"/>
      <c r="P76" s="32"/>
    </row>
    <row r="77" spans="1:16">
      <c r="A77" s="38" t="s">
        <v>27</v>
      </c>
      <c r="B77" s="1" t="s">
        <v>27</v>
      </c>
      <c r="C77" s="1" t="s">
        <v>27</v>
      </c>
      <c r="D77" s="31"/>
      <c r="E77" s="31"/>
      <c r="F77" s="31"/>
      <c r="G77" s="31"/>
      <c r="H77" s="32"/>
      <c r="I77" s="38" t="s">
        <v>27</v>
      </c>
      <c r="J77" s="1" t="s">
        <v>27</v>
      </c>
      <c r="K77" s="1" t="s">
        <v>27</v>
      </c>
      <c r="L77" s="31"/>
      <c r="M77" s="31"/>
      <c r="N77" s="31"/>
      <c r="O77" s="31"/>
      <c r="P77" s="32"/>
    </row>
    <row r="78" spans="1:16">
      <c r="A78" s="38" t="s">
        <v>27</v>
      </c>
      <c r="B78" s="1" t="s">
        <v>27</v>
      </c>
      <c r="C78" s="1" t="s">
        <v>27</v>
      </c>
      <c r="D78" s="31"/>
      <c r="E78" s="31"/>
      <c r="F78" s="31"/>
      <c r="G78" s="31"/>
      <c r="H78" s="32"/>
      <c r="I78" s="38" t="s">
        <v>27</v>
      </c>
      <c r="J78" s="1" t="s">
        <v>27</v>
      </c>
      <c r="K78" s="1" t="s">
        <v>27</v>
      </c>
      <c r="L78" s="31"/>
      <c r="M78" s="31"/>
      <c r="N78" s="31"/>
      <c r="O78" s="31"/>
      <c r="P78" s="32"/>
    </row>
    <row r="79" spans="1:16">
      <c r="A79" s="38" t="s">
        <v>27</v>
      </c>
      <c r="B79" s="1" t="s">
        <v>27</v>
      </c>
      <c r="C79" s="1" t="s">
        <v>27</v>
      </c>
      <c r="D79" s="31"/>
      <c r="E79" s="31"/>
      <c r="F79" s="31"/>
      <c r="G79" s="31"/>
      <c r="H79" s="32"/>
      <c r="I79" s="38" t="s">
        <v>27</v>
      </c>
      <c r="J79" s="1" t="s">
        <v>27</v>
      </c>
      <c r="K79" s="1" t="s">
        <v>27</v>
      </c>
      <c r="L79" s="31"/>
      <c r="M79" s="31"/>
      <c r="N79" s="31"/>
      <c r="O79" s="31"/>
      <c r="P79" s="32"/>
    </row>
    <row r="80" spans="1:16">
      <c r="A80" s="38" t="s">
        <v>27</v>
      </c>
      <c r="B80" s="1" t="s">
        <v>27</v>
      </c>
      <c r="C80" s="1" t="s">
        <v>27</v>
      </c>
      <c r="D80" s="31"/>
      <c r="E80" s="31"/>
      <c r="F80" s="31"/>
      <c r="G80" s="31"/>
      <c r="H80" s="32"/>
      <c r="I80" s="38" t="s">
        <v>27</v>
      </c>
      <c r="J80" s="1" t="s">
        <v>27</v>
      </c>
      <c r="K80" s="1" t="s">
        <v>27</v>
      </c>
      <c r="L80" s="31"/>
      <c r="M80" s="31"/>
      <c r="N80" s="31"/>
      <c r="O80" s="31"/>
      <c r="P80" s="32"/>
    </row>
    <row r="81" spans="1:16">
      <c r="A81" s="38" t="s">
        <v>27</v>
      </c>
      <c r="B81" s="1" t="s">
        <v>27</v>
      </c>
      <c r="C81" s="1" t="s">
        <v>27</v>
      </c>
      <c r="D81" s="31"/>
      <c r="E81" s="31"/>
      <c r="F81" s="31"/>
      <c r="G81" s="31"/>
      <c r="H81" s="32"/>
      <c r="I81" s="38" t="s">
        <v>27</v>
      </c>
      <c r="J81" s="1" t="s">
        <v>27</v>
      </c>
      <c r="K81" s="1" t="s">
        <v>27</v>
      </c>
      <c r="L81" s="31"/>
      <c r="M81" s="31"/>
      <c r="N81" s="31"/>
      <c r="O81" s="31"/>
      <c r="P81" s="32"/>
    </row>
    <row r="82" spans="1:16">
      <c r="A82" s="38" t="s">
        <v>27</v>
      </c>
      <c r="B82" s="1" t="s">
        <v>27</v>
      </c>
      <c r="C82" s="1" t="s">
        <v>27</v>
      </c>
      <c r="D82" s="31"/>
      <c r="E82" s="31"/>
      <c r="F82" s="31"/>
      <c r="G82" s="31"/>
      <c r="H82" s="32"/>
      <c r="I82" s="38" t="s">
        <v>27</v>
      </c>
      <c r="J82" s="1" t="s">
        <v>27</v>
      </c>
      <c r="K82" s="1" t="s">
        <v>27</v>
      </c>
      <c r="L82" s="31"/>
      <c r="M82" s="31"/>
      <c r="N82" s="31"/>
      <c r="O82" s="31"/>
      <c r="P82" s="32"/>
    </row>
    <row r="83" spans="1:16">
      <c r="A83" s="38" t="s">
        <v>27</v>
      </c>
      <c r="B83" s="1" t="s">
        <v>27</v>
      </c>
      <c r="C83" s="1" t="s">
        <v>27</v>
      </c>
      <c r="D83" s="31"/>
      <c r="E83" s="31"/>
      <c r="F83" s="31"/>
      <c r="G83" s="31"/>
      <c r="H83" s="32"/>
      <c r="I83" s="38" t="s">
        <v>27</v>
      </c>
      <c r="J83" s="1" t="s">
        <v>27</v>
      </c>
      <c r="K83" s="1" t="s">
        <v>27</v>
      </c>
      <c r="L83" s="31"/>
      <c r="M83" s="31"/>
      <c r="N83" s="31"/>
      <c r="O83" s="31"/>
      <c r="P83" s="32"/>
    </row>
    <row r="84" spans="1:16">
      <c r="A84" s="38" t="s">
        <v>27</v>
      </c>
      <c r="B84" s="1" t="s">
        <v>27</v>
      </c>
      <c r="C84" s="1" t="s">
        <v>27</v>
      </c>
      <c r="D84" s="31"/>
      <c r="E84" s="31"/>
      <c r="F84" s="31"/>
      <c r="G84" s="31"/>
      <c r="H84" s="32"/>
      <c r="I84" s="38" t="s">
        <v>27</v>
      </c>
      <c r="J84" s="1" t="s">
        <v>27</v>
      </c>
      <c r="K84" s="1" t="s">
        <v>27</v>
      </c>
      <c r="L84" s="31"/>
      <c r="M84" s="31"/>
      <c r="N84" s="31"/>
      <c r="O84" s="31"/>
      <c r="P84" s="32"/>
    </row>
    <row r="85" spans="1:16">
      <c r="A85" s="38" t="s">
        <v>27</v>
      </c>
      <c r="B85" s="1" t="s">
        <v>27</v>
      </c>
      <c r="C85" s="1" t="s">
        <v>27</v>
      </c>
      <c r="D85" s="31"/>
      <c r="E85" s="31"/>
      <c r="F85" s="31"/>
      <c r="G85" s="31"/>
      <c r="H85" s="32"/>
      <c r="I85" s="38" t="s">
        <v>27</v>
      </c>
      <c r="J85" s="1" t="s">
        <v>27</v>
      </c>
      <c r="K85" s="1" t="s">
        <v>27</v>
      </c>
      <c r="L85" s="31"/>
      <c r="M85" s="31"/>
      <c r="N85" s="31"/>
      <c r="O85" s="31"/>
      <c r="P85" s="32"/>
    </row>
    <row r="86" spans="1:16">
      <c r="A86" s="38" t="s">
        <v>27</v>
      </c>
      <c r="B86" s="1" t="s">
        <v>27</v>
      </c>
      <c r="C86" s="1" t="s">
        <v>27</v>
      </c>
      <c r="D86" s="31"/>
      <c r="E86" s="31"/>
      <c r="F86" s="31"/>
      <c r="G86" s="31"/>
      <c r="H86" s="32"/>
      <c r="I86" s="38" t="s">
        <v>27</v>
      </c>
      <c r="J86" s="1" t="s">
        <v>27</v>
      </c>
      <c r="K86" s="1" t="s">
        <v>27</v>
      </c>
      <c r="L86" s="31"/>
      <c r="M86" s="31"/>
      <c r="N86" s="31"/>
      <c r="O86" s="31"/>
      <c r="P86" s="32"/>
    </row>
    <row r="87" spans="1:16">
      <c r="A87" s="38" t="s">
        <v>27</v>
      </c>
      <c r="B87" s="1" t="s">
        <v>27</v>
      </c>
      <c r="C87" s="1" t="s">
        <v>27</v>
      </c>
      <c r="D87" s="31"/>
      <c r="E87" s="31"/>
      <c r="F87" s="31"/>
      <c r="G87" s="31"/>
      <c r="H87" s="32"/>
      <c r="I87" s="38" t="s">
        <v>27</v>
      </c>
      <c r="J87" s="1" t="s">
        <v>27</v>
      </c>
      <c r="K87" s="1" t="s">
        <v>27</v>
      </c>
      <c r="L87" s="31"/>
      <c r="M87" s="31"/>
      <c r="N87" s="31"/>
      <c r="O87" s="31"/>
      <c r="P87" s="32"/>
    </row>
    <row r="88" spans="1:16">
      <c r="A88" s="38" t="s">
        <v>27</v>
      </c>
      <c r="B88" s="1" t="s">
        <v>27</v>
      </c>
      <c r="C88" s="1" t="s">
        <v>27</v>
      </c>
      <c r="D88" s="31"/>
      <c r="E88" s="31"/>
      <c r="F88" s="31"/>
      <c r="G88" s="31"/>
      <c r="H88" s="32"/>
      <c r="I88" s="38" t="s">
        <v>27</v>
      </c>
      <c r="J88" s="1" t="s">
        <v>27</v>
      </c>
      <c r="K88" s="1" t="s">
        <v>27</v>
      </c>
      <c r="L88" s="31"/>
      <c r="M88" s="31"/>
      <c r="N88" s="31"/>
      <c r="O88" s="31"/>
      <c r="P88" s="32"/>
    </row>
    <row r="89" spans="1:16">
      <c r="A89" s="38" t="s">
        <v>27</v>
      </c>
      <c r="B89" s="1" t="s">
        <v>27</v>
      </c>
      <c r="C89" s="1" t="s">
        <v>27</v>
      </c>
      <c r="D89" s="31"/>
      <c r="E89" s="31"/>
      <c r="F89" s="31"/>
      <c r="G89" s="31"/>
      <c r="H89" s="32"/>
      <c r="I89" s="38" t="s">
        <v>27</v>
      </c>
      <c r="J89" s="1" t="s">
        <v>27</v>
      </c>
      <c r="K89" s="1" t="s">
        <v>27</v>
      </c>
      <c r="L89" s="31"/>
      <c r="M89" s="31"/>
      <c r="N89" s="31"/>
      <c r="O89" s="31"/>
      <c r="P89" s="32"/>
    </row>
    <row r="90" spans="1:16">
      <c r="A90" s="38" t="s">
        <v>27</v>
      </c>
      <c r="B90" s="1" t="s">
        <v>27</v>
      </c>
      <c r="C90" s="1" t="s">
        <v>27</v>
      </c>
      <c r="D90" s="31"/>
      <c r="E90" s="31"/>
      <c r="F90" s="31"/>
      <c r="G90" s="31"/>
      <c r="H90" s="32"/>
      <c r="I90" s="38" t="s">
        <v>27</v>
      </c>
      <c r="J90" s="1" t="s">
        <v>27</v>
      </c>
      <c r="K90" s="1" t="s">
        <v>27</v>
      </c>
      <c r="L90" s="31"/>
      <c r="M90" s="31"/>
      <c r="N90" s="31"/>
      <c r="O90" s="31"/>
      <c r="P90" s="32"/>
    </row>
    <row r="91" spans="1:16">
      <c r="A91" s="38" t="s">
        <v>27</v>
      </c>
      <c r="B91" s="1" t="s">
        <v>27</v>
      </c>
      <c r="C91" s="1" t="s">
        <v>27</v>
      </c>
      <c r="D91" s="31"/>
      <c r="E91" s="31"/>
      <c r="F91" s="31"/>
      <c r="G91" s="31"/>
      <c r="H91" s="32"/>
      <c r="I91" s="38" t="s">
        <v>27</v>
      </c>
      <c r="J91" s="1" t="s">
        <v>27</v>
      </c>
      <c r="K91" s="1" t="s">
        <v>27</v>
      </c>
      <c r="L91" s="31"/>
      <c r="M91" s="31"/>
      <c r="N91" s="31"/>
      <c r="O91" s="31"/>
      <c r="P91" s="32"/>
    </row>
    <row r="92" spans="1:16">
      <c r="A92" s="38" t="s">
        <v>27</v>
      </c>
      <c r="B92" s="1" t="s">
        <v>27</v>
      </c>
      <c r="C92" s="1" t="s">
        <v>27</v>
      </c>
      <c r="D92" s="31"/>
      <c r="E92" s="31"/>
      <c r="F92" s="31"/>
      <c r="G92" s="31"/>
      <c r="H92" s="32"/>
      <c r="I92" s="38" t="s">
        <v>27</v>
      </c>
      <c r="J92" s="1" t="s">
        <v>27</v>
      </c>
      <c r="K92" s="1" t="s">
        <v>27</v>
      </c>
      <c r="L92" s="31"/>
      <c r="M92" s="31"/>
      <c r="N92" s="31"/>
      <c r="O92" s="31"/>
      <c r="P92" s="32"/>
    </row>
    <row r="93" spans="1:16">
      <c r="A93" s="38" t="s">
        <v>27</v>
      </c>
      <c r="B93" s="1" t="s">
        <v>27</v>
      </c>
      <c r="C93" s="1" t="s">
        <v>27</v>
      </c>
      <c r="D93" s="31"/>
      <c r="E93" s="31"/>
      <c r="F93" s="31"/>
      <c r="G93" s="31"/>
      <c r="H93" s="32"/>
      <c r="I93" s="38" t="s">
        <v>27</v>
      </c>
      <c r="J93" s="1" t="s">
        <v>27</v>
      </c>
      <c r="K93" s="1" t="s">
        <v>27</v>
      </c>
      <c r="L93" s="31"/>
      <c r="M93" s="31"/>
      <c r="N93" s="31"/>
      <c r="O93" s="31"/>
      <c r="P93" s="32"/>
    </row>
    <row r="94" spans="1:16">
      <c r="A94" s="38" t="s">
        <v>27</v>
      </c>
      <c r="B94" s="1" t="s">
        <v>27</v>
      </c>
      <c r="C94" s="1" t="s">
        <v>27</v>
      </c>
      <c r="D94" s="31"/>
      <c r="E94" s="31"/>
      <c r="F94" s="31"/>
      <c r="G94" s="31"/>
      <c r="H94" s="32"/>
      <c r="I94" s="38" t="s">
        <v>27</v>
      </c>
      <c r="J94" s="1" t="s">
        <v>27</v>
      </c>
      <c r="K94" s="1" t="s">
        <v>27</v>
      </c>
      <c r="L94" s="31"/>
      <c r="M94" s="31"/>
      <c r="N94" s="31"/>
      <c r="O94" s="31"/>
      <c r="P94" s="32"/>
    </row>
    <row r="95" spans="1:16">
      <c r="A95" s="38" t="s">
        <v>27</v>
      </c>
      <c r="B95" s="1" t="s">
        <v>27</v>
      </c>
      <c r="C95" s="1" t="s">
        <v>27</v>
      </c>
      <c r="D95" s="31"/>
      <c r="E95" s="31"/>
      <c r="F95" s="31"/>
      <c r="G95" s="31"/>
      <c r="H95" s="32"/>
      <c r="I95" s="38" t="s">
        <v>27</v>
      </c>
      <c r="J95" s="1" t="s">
        <v>27</v>
      </c>
      <c r="K95" s="1" t="s">
        <v>27</v>
      </c>
      <c r="L95" s="31"/>
      <c r="M95" s="31"/>
      <c r="N95" s="31"/>
      <c r="O95" s="31"/>
      <c r="P95" s="32"/>
    </row>
    <row r="96" spans="1:16">
      <c r="A96" s="38" t="s">
        <v>27</v>
      </c>
      <c r="B96" s="1" t="s">
        <v>27</v>
      </c>
      <c r="C96" s="1" t="s">
        <v>27</v>
      </c>
      <c r="D96" s="31"/>
      <c r="E96" s="31"/>
      <c r="F96" s="31"/>
      <c r="G96" s="31"/>
      <c r="H96" s="32"/>
      <c r="I96" s="38" t="s">
        <v>27</v>
      </c>
      <c r="J96" s="1" t="s">
        <v>27</v>
      </c>
      <c r="K96" s="1" t="s">
        <v>27</v>
      </c>
      <c r="L96" s="31"/>
      <c r="M96" s="31"/>
      <c r="N96" s="31"/>
      <c r="O96" s="31"/>
      <c r="P96" s="32"/>
    </row>
    <row r="97" spans="1:16">
      <c r="A97" s="38" t="s">
        <v>27</v>
      </c>
      <c r="B97" s="1" t="s">
        <v>27</v>
      </c>
      <c r="C97" s="1" t="s">
        <v>27</v>
      </c>
      <c r="D97" s="31"/>
      <c r="E97" s="31"/>
      <c r="F97" s="31"/>
      <c r="G97" s="31"/>
      <c r="H97" s="32"/>
      <c r="I97" s="38" t="s">
        <v>27</v>
      </c>
      <c r="J97" s="1" t="s">
        <v>27</v>
      </c>
      <c r="K97" s="1" t="s">
        <v>27</v>
      </c>
      <c r="L97" s="31"/>
      <c r="M97" s="31"/>
      <c r="N97" s="31"/>
      <c r="O97" s="31"/>
      <c r="P97" s="32"/>
    </row>
    <row r="98" spans="1:16">
      <c r="A98" s="38" t="s">
        <v>27</v>
      </c>
      <c r="B98" s="1" t="s">
        <v>27</v>
      </c>
      <c r="C98" s="1" t="s">
        <v>27</v>
      </c>
      <c r="D98" s="31"/>
      <c r="E98" s="31"/>
      <c r="F98" s="31"/>
      <c r="G98" s="31"/>
      <c r="H98" s="32"/>
      <c r="I98" s="38" t="s">
        <v>27</v>
      </c>
      <c r="J98" s="1" t="s">
        <v>27</v>
      </c>
      <c r="K98" s="1" t="s">
        <v>27</v>
      </c>
      <c r="L98" s="31"/>
      <c r="M98" s="31"/>
      <c r="N98" s="31"/>
      <c r="O98" s="31"/>
      <c r="P98" s="32"/>
    </row>
    <row r="99" spans="1:16">
      <c r="A99" s="38" t="s">
        <v>27</v>
      </c>
      <c r="B99" s="1" t="s">
        <v>27</v>
      </c>
      <c r="C99" s="1" t="s">
        <v>27</v>
      </c>
      <c r="D99" s="31"/>
      <c r="E99" s="31"/>
      <c r="F99" s="31"/>
      <c r="G99" s="31"/>
      <c r="H99" s="32"/>
      <c r="I99" s="38" t="s">
        <v>27</v>
      </c>
      <c r="J99" s="1" t="s">
        <v>27</v>
      </c>
      <c r="K99" s="1" t="s">
        <v>27</v>
      </c>
      <c r="L99" s="31"/>
      <c r="M99" s="31"/>
      <c r="N99" s="31"/>
      <c r="O99" s="31"/>
      <c r="P99" s="32"/>
    </row>
    <row r="100" spans="1:16" ht="15" thickBot="1">
      <c r="A100" s="39" t="s">
        <v>27</v>
      </c>
      <c r="B100" s="40" t="s">
        <v>27</v>
      </c>
      <c r="C100" s="40" t="s">
        <v>27</v>
      </c>
      <c r="D100" s="41"/>
      <c r="E100" s="41"/>
      <c r="F100" s="41"/>
      <c r="G100" s="41"/>
      <c r="H100" s="42"/>
      <c r="I100" s="39" t="s">
        <v>27</v>
      </c>
      <c r="J100" s="40" t="s">
        <v>27</v>
      </c>
      <c r="K100" s="40" t="s">
        <v>27</v>
      </c>
      <c r="L100" s="41"/>
      <c r="M100" s="41"/>
      <c r="N100" s="41"/>
      <c r="O100" s="41"/>
      <c r="P100" s="4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E4F1-05EA-4B1C-A499-4C431479E4C3}">
  <dimension ref="A1:AB100"/>
  <sheetViews>
    <sheetView workbookViewId="0">
      <selection activeCell="W4" sqref="W4"/>
    </sheetView>
  </sheetViews>
  <sheetFormatPr defaultRowHeight="14.4"/>
  <sheetData>
    <row r="1" spans="1:28" ht="15.6">
      <c r="A1" s="70" t="s">
        <v>30</v>
      </c>
      <c r="B1" s="71"/>
      <c r="C1" s="71"/>
      <c r="D1" s="71"/>
      <c r="E1" s="71"/>
      <c r="F1" s="72" t="s">
        <v>3</v>
      </c>
      <c r="G1" s="72"/>
      <c r="H1" s="27" cm="1">
        <f t="array" ref="H1">SUM(VLOOKUP(A4:C100,$T$3:$W$36,4,FALSE))+H4*10-H8*50</f>
        <v>2479.7752794047424</v>
      </c>
      <c r="I1" s="73" t="s">
        <v>41</v>
      </c>
      <c r="J1" s="74"/>
      <c r="K1" s="74"/>
      <c r="L1" s="74"/>
      <c r="M1" s="74"/>
      <c r="N1" s="74"/>
      <c r="O1" s="74"/>
      <c r="P1" s="75"/>
      <c r="Q1" s="73" t="s">
        <v>48</v>
      </c>
      <c r="R1" s="74"/>
      <c r="S1" s="74"/>
      <c r="T1" s="74"/>
      <c r="U1" s="74"/>
      <c r="V1" s="74"/>
      <c r="W1" s="74"/>
      <c r="X1" s="74"/>
      <c r="Y1" s="74"/>
      <c r="Z1" s="74"/>
      <c r="AA1" s="74"/>
      <c r="AB1" s="75"/>
    </row>
    <row r="2" spans="1:28" ht="28.8">
      <c r="A2" s="76" t="s">
        <v>35</v>
      </c>
      <c r="B2" s="77"/>
      <c r="C2" s="77"/>
      <c r="D2" s="78" t="s">
        <v>37</v>
      </c>
      <c r="E2" s="79"/>
      <c r="F2" s="79"/>
      <c r="G2" s="79"/>
      <c r="H2" s="80"/>
      <c r="I2" s="81" t="s">
        <v>35</v>
      </c>
      <c r="J2" s="82"/>
      <c r="K2" s="82"/>
      <c r="L2" s="83" t="s">
        <v>37</v>
      </c>
      <c r="M2" s="83"/>
      <c r="N2" s="83"/>
      <c r="O2" s="83"/>
      <c r="P2" s="84"/>
      <c r="Q2" s="60" t="s">
        <v>43</v>
      </c>
      <c r="R2" s="61" cm="1">
        <f t="array" ref="R2">SUM(V3:V28*AB3:AB28)+H6+P6+R4*500</f>
        <v>65150</v>
      </c>
      <c r="S2" s="31"/>
      <c r="T2" s="1" t="s">
        <v>0</v>
      </c>
      <c r="U2" s="1" t="s">
        <v>1</v>
      </c>
      <c r="V2" s="1" t="s">
        <v>2</v>
      </c>
      <c r="W2" s="54" t="s">
        <v>3</v>
      </c>
      <c r="X2" s="56" t="s">
        <v>44</v>
      </c>
      <c r="Y2" s="56" t="s">
        <v>56</v>
      </c>
      <c r="Z2" s="57" t="s">
        <v>45</v>
      </c>
      <c r="AA2" s="57" t="s">
        <v>46</v>
      </c>
      <c r="AB2" s="62" t="s">
        <v>47</v>
      </c>
    </row>
    <row r="3" spans="1:28">
      <c r="A3" s="28" t="s">
        <v>31</v>
      </c>
      <c r="B3" s="68" t="s">
        <v>32</v>
      </c>
      <c r="C3" s="20" t="s">
        <v>33</v>
      </c>
      <c r="D3" s="43"/>
      <c r="E3" s="28" t="s">
        <v>31</v>
      </c>
      <c r="F3" s="68" t="s">
        <v>32</v>
      </c>
      <c r="G3" s="20" t="s">
        <v>33</v>
      </c>
      <c r="H3" s="44" t="s">
        <v>36</v>
      </c>
      <c r="I3" s="28" t="s">
        <v>31</v>
      </c>
      <c r="J3" s="68" t="s">
        <v>32</v>
      </c>
      <c r="K3" s="20" t="s">
        <v>33</v>
      </c>
      <c r="L3" s="43"/>
      <c r="M3" s="28" t="s">
        <v>31</v>
      </c>
      <c r="N3" s="68" t="s">
        <v>32</v>
      </c>
      <c r="O3" s="20" t="s">
        <v>33</v>
      </c>
      <c r="P3" s="44" t="s">
        <v>36</v>
      </c>
      <c r="Q3" s="63" t="s">
        <v>49</v>
      </c>
      <c r="R3" s="31">
        <v>91</v>
      </c>
      <c r="S3" s="31"/>
      <c r="T3" s="2" t="s">
        <v>4</v>
      </c>
      <c r="U3" s="1">
        <v>150</v>
      </c>
      <c r="V3" s="1">
        <v>35</v>
      </c>
      <c r="W3" s="55">
        <f>U3-V3/0.330882</f>
        <v>44.222109392472248</v>
      </c>
      <c r="X3" s="56"/>
      <c r="Y3" s="56">
        <v>10</v>
      </c>
      <c r="Z3" s="1">
        <f>COUNTIF($A$4:$C$100,T3)</f>
        <v>6</v>
      </c>
      <c r="AA3" s="1">
        <f>COUNTIF($I$4:$K$100,T3)</f>
        <v>4</v>
      </c>
      <c r="AB3" s="64">
        <f>Y3-Z3-AA3</f>
        <v>0</v>
      </c>
    </row>
    <row r="4" spans="1:28">
      <c r="A4" s="2" t="s">
        <v>4</v>
      </c>
      <c r="B4" s="15" t="s">
        <v>17</v>
      </c>
      <c r="C4" s="3" t="s">
        <v>5</v>
      </c>
      <c r="D4" s="53" t="s">
        <v>34</v>
      </c>
      <c r="E4" s="49">
        <v>5</v>
      </c>
      <c r="F4" s="49">
        <v>0</v>
      </c>
      <c r="G4" s="49">
        <v>1</v>
      </c>
      <c r="H4" s="46">
        <f>SUM(E4:G4)</f>
        <v>6</v>
      </c>
      <c r="I4" s="1" t="s">
        <v>27</v>
      </c>
      <c r="J4" s="15" t="s">
        <v>17</v>
      </c>
      <c r="K4" s="1" t="s">
        <v>27</v>
      </c>
      <c r="L4" s="53" t="s">
        <v>34</v>
      </c>
      <c r="M4" s="49">
        <v>0</v>
      </c>
      <c r="N4" s="49">
        <v>4</v>
      </c>
      <c r="O4" s="49">
        <v>0</v>
      </c>
      <c r="P4" s="46">
        <f>SUM(M4:O4)</f>
        <v>4</v>
      </c>
      <c r="Q4" s="63" t="s">
        <v>50</v>
      </c>
      <c r="R4" s="50">
        <v>14</v>
      </c>
      <c r="S4" s="31"/>
      <c r="T4" s="3" t="s">
        <v>5</v>
      </c>
      <c r="U4" s="1">
        <v>160</v>
      </c>
      <c r="V4" s="1">
        <v>40</v>
      </c>
      <c r="W4" s="55">
        <f t="shared" ref="W4" si="0">U4-V4/0.330882</f>
        <v>39.110982162825422</v>
      </c>
      <c r="X4" s="56"/>
      <c r="Y4" s="56">
        <v>50</v>
      </c>
      <c r="Z4" s="1">
        <f t="shared" ref="Z4:Z28" si="1">COUNTIF($A$4:$C$100,T4)</f>
        <v>13</v>
      </c>
      <c r="AA4" s="1">
        <f t="shared" ref="AA4:AA28" si="2">COUNTIF($I$4:$K$100,T4)</f>
        <v>37</v>
      </c>
      <c r="AB4" s="64">
        <f t="shared" ref="AB4:AB28" si="3">Y4-Z4-AA4</f>
        <v>0</v>
      </c>
    </row>
    <row r="5" spans="1:28">
      <c r="A5" s="2" t="s">
        <v>4</v>
      </c>
      <c r="B5" s="3" t="s">
        <v>5</v>
      </c>
      <c r="C5" s="16" t="s">
        <v>18</v>
      </c>
      <c r="D5" s="43" t="s">
        <v>38</v>
      </c>
      <c r="E5" s="45" cm="1">
        <f t="array" ref="E5">(SUM(VLOOKUP(A4:A100,$T$3:$W$41,2,FALSE))+E4*10)-E8*50</f>
        <v>5670</v>
      </c>
      <c r="F5" s="45" cm="1">
        <f t="array" ref="F5">(SUM(VLOOKUP(B4:B100,$T$3:$W$41,2,FALSE))+F4*10)-F8*50</f>
        <v>850</v>
      </c>
      <c r="G5" s="45" cm="1">
        <f t="array" ref="G5">(SUM(VLOOKUP(C4:C100,$T$3:$W$41,2,FALSE))+G4*10)-G8*50</f>
        <v>6080</v>
      </c>
      <c r="H5" s="69">
        <f t="shared" ref="H5:H8" si="4">SUM(E5:G5)</f>
        <v>12600</v>
      </c>
      <c r="I5" s="1" t="s">
        <v>27</v>
      </c>
      <c r="J5" s="1" t="s">
        <v>27</v>
      </c>
      <c r="K5" s="1" t="s">
        <v>27</v>
      </c>
      <c r="L5" s="43" t="s">
        <v>38</v>
      </c>
      <c r="M5" s="45" cm="1">
        <f t="array" ref="M5">(SUM(VLOOKUP(I4:I100,$T$3:$W$41,2,FALSE))+M4*10)*0.8-M8*40</f>
        <v>0</v>
      </c>
      <c r="N5" s="45" cm="1">
        <f t="array" ref="N5">(SUM(VLOOKUP(J4:J100,$T$3:$W$41,2,FALSE))+N4*10)*0.8-N8*40</f>
        <v>5688</v>
      </c>
      <c r="O5" s="45" cm="1">
        <f t="array" ref="O5">(SUM(VLOOKUP(K4:K100,$T$3:$W$41,2,FALSE))+O4*10)*0.8-O8*40</f>
        <v>0</v>
      </c>
      <c r="P5" s="69">
        <f t="shared" ref="P5:P8" si="5">SUM(M5:O5)</f>
        <v>5688</v>
      </c>
      <c r="Q5" s="63" t="s">
        <v>51</v>
      </c>
      <c r="R5" s="31">
        <v>6000</v>
      </c>
      <c r="S5" s="31"/>
      <c r="T5" s="4" t="s">
        <v>6</v>
      </c>
      <c r="U5" s="1">
        <v>170</v>
      </c>
      <c r="V5" s="1">
        <v>45</v>
      </c>
      <c r="W5" s="55">
        <v>34</v>
      </c>
      <c r="X5" s="58"/>
      <c r="Y5" s="56">
        <v>237</v>
      </c>
      <c r="Z5" s="1">
        <f t="shared" si="1"/>
        <v>48</v>
      </c>
      <c r="AA5" s="1">
        <f t="shared" si="2"/>
        <v>0</v>
      </c>
      <c r="AB5" s="64">
        <f t="shared" si="3"/>
        <v>189</v>
      </c>
    </row>
    <row r="6" spans="1:28">
      <c r="A6" s="2" t="s">
        <v>4</v>
      </c>
      <c r="B6" s="3" t="s">
        <v>5</v>
      </c>
      <c r="C6" s="3" t="s">
        <v>5</v>
      </c>
      <c r="D6" s="43" t="s">
        <v>39</v>
      </c>
      <c r="E6" s="45" cm="1">
        <f t="array" ref="E6">(SUM(VLOOKUP(A4:A100,$T$3:$W$41,3,FALSE)))</f>
        <v>1780</v>
      </c>
      <c r="F6" s="45" cm="1">
        <f t="array" ref="F6">(SUM(VLOOKUP(B4:B100,$T$3:$W$41,3,FALSE)))</f>
        <v>230</v>
      </c>
      <c r="G6" s="45" cm="1">
        <f t="array" ref="G6">(SUM(VLOOKUP(C4:C100,$T$3:$W$41,3,FALSE)))</f>
        <v>2330</v>
      </c>
      <c r="H6" s="59">
        <f t="shared" si="4"/>
        <v>4340</v>
      </c>
      <c r="I6" s="1" t="s">
        <v>27</v>
      </c>
      <c r="J6" s="1" t="s">
        <v>27</v>
      </c>
      <c r="K6" s="1" t="s">
        <v>27</v>
      </c>
      <c r="L6" s="43" t="s">
        <v>39</v>
      </c>
      <c r="M6" s="45" cm="1">
        <f t="array" ref="M6">(SUM(VLOOKUP(I4:I100,$T$3:$W$41,3,FALSE)))</f>
        <v>0</v>
      </c>
      <c r="N6" s="45" cm="1">
        <f t="array" ref="N6">(SUM(VLOOKUP(J4:J100,$T$3:$W$41,3,FALSE)))</f>
        <v>2100</v>
      </c>
      <c r="O6" s="45" cm="1">
        <f t="array" ref="O6">(SUM(VLOOKUP(K4:K100,$T$3:$W$41,3,FALSE)))</f>
        <v>0</v>
      </c>
      <c r="P6" s="59">
        <f t="shared" si="5"/>
        <v>2100</v>
      </c>
      <c r="Q6" s="60" t="s">
        <v>52</v>
      </c>
      <c r="R6" s="31">
        <f>R3*1600-800+R5</f>
        <v>150800</v>
      </c>
      <c r="S6" s="31"/>
      <c r="T6" s="5" t="s">
        <v>7</v>
      </c>
      <c r="U6" s="1">
        <v>180</v>
      </c>
      <c r="V6" s="1">
        <v>50</v>
      </c>
      <c r="W6" s="55">
        <v>36</v>
      </c>
      <c r="X6" s="56">
        <v>265</v>
      </c>
      <c r="Y6" s="56">
        <v>265</v>
      </c>
      <c r="Z6" s="1">
        <f t="shared" si="1"/>
        <v>0</v>
      </c>
      <c r="AA6" s="1">
        <f t="shared" si="2"/>
        <v>0</v>
      </c>
      <c r="AB6" s="64">
        <f t="shared" si="3"/>
        <v>265</v>
      </c>
    </row>
    <row r="7" spans="1:28">
      <c r="A7" s="2" t="s">
        <v>4</v>
      </c>
      <c r="B7" s="3" t="s">
        <v>5</v>
      </c>
      <c r="C7" s="23" t="s">
        <v>29</v>
      </c>
      <c r="D7" s="43" t="s">
        <v>40</v>
      </c>
      <c r="E7" s="45">
        <f>COUNTIF(A4:A100,"&lt;&gt;空")</f>
        <v>35</v>
      </c>
      <c r="F7" s="45">
        <f>COUNTIF(B4:B100,"&lt;&gt;空")</f>
        <v>6</v>
      </c>
      <c r="G7" s="45">
        <f>COUNTIF(C4:C100,"&lt;&gt;空")</f>
        <v>41</v>
      </c>
      <c r="H7" s="46">
        <f t="shared" si="4"/>
        <v>82</v>
      </c>
      <c r="I7" s="1" t="s">
        <v>27</v>
      </c>
      <c r="J7" s="1" t="s">
        <v>27</v>
      </c>
      <c r="K7" s="1" t="s">
        <v>27</v>
      </c>
      <c r="L7" s="43" t="s">
        <v>40</v>
      </c>
      <c r="M7" s="45">
        <f>COUNTIF(I4:I100,"&lt;&gt;空")</f>
        <v>0</v>
      </c>
      <c r="N7" s="45">
        <f>COUNTIF(J4:J100,"&lt;&gt;空")</f>
        <v>58</v>
      </c>
      <c r="O7" s="45">
        <f>COUNTIF(K4:K100,"&lt;&gt;空")</f>
        <v>0</v>
      </c>
      <c r="P7" s="46">
        <f t="shared" si="5"/>
        <v>58</v>
      </c>
      <c r="Q7" s="63" t="s">
        <v>55</v>
      </c>
      <c r="R7" s="31">
        <v>13</v>
      </c>
      <c r="S7" s="31"/>
      <c r="T7" s="6" t="s">
        <v>8</v>
      </c>
      <c r="U7" s="1">
        <v>190</v>
      </c>
      <c r="V7" s="1">
        <v>55</v>
      </c>
      <c r="W7" s="55">
        <v>38</v>
      </c>
      <c r="X7" s="56">
        <v>234</v>
      </c>
      <c r="Y7" s="56">
        <v>234</v>
      </c>
      <c r="Z7" s="1">
        <f t="shared" si="1"/>
        <v>0</v>
      </c>
      <c r="AA7" s="1">
        <f t="shared" si="2"/>
        <v>0</v>
      </c>
      <c r="AB7" s="64">
        <f t="shared" si="3"/>
        <v>234</v>
      </c>
    </row>
    <row r="8" spans="1:28">
      <c r="A8" s="2" t="s">
        <v>4</v>
      </c>
      <c r="B8" s="3" t="s">
        <v>5</v>
      </c>
      <c r="C8" s="3" t="s">
        <v>5</v>
      </c>
      <c r="D8" s="52" t="s">
        <v>53</v>
      </c>
      <c r="E8" s="51">
        <v>1</v>
      </c>
      <c r="F8" s="51">
        <v>0</v>
      </c>
      <c r="G8" s="51">
        <v>0</v>
      </c>
      <c r="H8" s="46">
        <f t="shared" si="4"/>
        <v>1</v>
      </c>
      <c r="I8" s="1" t="s">
        <v>27</v>
      </c>
      <c r="J8" s="1" t="s">
        <v>27</v>
      </c>
      <c r="K8" s="1" t="s">
        <v>27</v>
      </c>
      <c r="L8" s="52" t="s">
        <v>53</v>
      </c>
      <c r="M8" s="51">
        <v>0</v>
      </c>
      <c r="N8" s="51">
        <v>2</v>
      </c>
      <c r="O8" s="51">
        <v>0</v>
      </c>
      <c r="P8" s="46">
        <f t="shared" si="5"/>
        <v>2</v>
      </c>
      <c r="Q8" s="60" t="s">
        <v>54</v>
      </c>
      <c r="R8" s="65" cm="1">
        <f t="array" ref="R8">R6-P5-H5-SUM(U3:U28*AB3:AB28)*0.8-R7*8</f>
        <v>16</v>
      </c>
      <c r="S8" s="31"/>
      <c r="T8" s="7" t="s">
        <v>9</v>
      </c>
      <c r="U8" s="1">
        <v>200</v>
      </c>
      <c r="V8" s="1">
        <v>60</v>
      </c>
      <c r="W8" s="55"/>
      <c r="X8" s="56">
        <v>194</v>
      </c>
      <c r="Y8" s="56">
        <v>194</v>
      </c>
      <c r="Z8" s="1">
        <f t="shared" si="1"/>
        <v>0</v>
      </c>
      <c r="AA8" s="1">
        <f t="shared" si="2"/>
        <v>0</v>
      </c>
      <c r="AB8" s="64">
        <f t="shared" si="3"/>
        <v>194</v>
      </c>
    </row>
    <row r="9" spans="1:28">
      <c r="A9" s="2" t="s">
        <v>4</v>
      </c>
      <c r="B9" s="3" t="s">
        <v>5</v>
      </c>
      <c r="C9" s="3" t="s">
        <v>5</v>
      </c>
      <c r="D9" s="31"/>
      <c r="E9" s="31"/>
      <c r="F9" s="31"/>
      <c r="G9" s="31"/>
      <c r="H9" s="32"/>
      <c r="I9" s="1" t="s">
        <v>27</v>
      </c>
      <c r="J9" s="1" t="s">
        <v>27</v>
      </c>
      <c r="K9" s="1" t="s">
        <v>27</v>
      </c>
      <c r="L9" s="43" t="s">
        <v>42</v>
      </c>
      <c r="M9" s="47" t="e">
        <f>M6/M5</f>
        <v>#DIV/0!</v>
      </c>
      <c r="N9" s="47">
        <f>N6/N5</f>
        <v>0.36919831223628691</v>
      </c>
      <c r="O9" s="47" t="e">
        <f>O6/O5</f>
        <v>#DIV/0!</v>
      </c>
      <c r="P9" s="48">
        <f>P6/P5</f>
        <v>0.36919831223628691</v>
      </c>
      <c r="Q9" s="60"/>
      <c r="R9" s="31"/>
      <c r="S9" s="31"/>
      <c r="T9" s="8" t="s">
        <v>10</v>
      </c>
      <c r="U9" s="1">
        <v>150</v>
      </c>
      <c r="V9" s="1">
        <v>35</v>
      </c>
      <c r="W9" s="55">
        <f t="shared" ref="W9:W11" si="6">U9-V9/0.330882</f>
        <v>44.222109392472248</v>
      </c>
      <c r="X9" s="56">
        <v>3</v>
      </c>
      <c r="Y9" s="56">
        <v>0</v>
      </c>
      <c r="Z9" s="1">
        <f t="shared" si="1"/>
        <v>0</v>
      </c>
      <c r="AA9" s="1">
        <f t="shared" si="2"/>
        <v>0</v>
      </c>
      <c r="AB9" s="64">
        <f t="shared" si="3"/>
        <v>0</v>
      </c>
    </row>
    <row r="10" spans="1:28">
      <c r="A10" s="1" t="s">
        <v>27</v>
      </c>
      <c r="B10" s="1" t="s">
        <v>27</v>
      </c>
      <c r="C10" s="3" t="s">
        <v>5</v>
      </c>
      <c r="D10" s="31"/>
      <c r="E10" s="31"/>
      <c r="F10" s="31"/>
      <c r="G10" s="31"/>
      <c r="H10" s="32"/>
      <c r="I10" s="1" t="s">
        <v>27</v>
      </c>
      <c r="J10" s="1" t="s">
        <v>27</v>
      </c>
      <c r="K10" s="1" t="s">
        <v>27</v>
      </c>
      <c r="L10" s="31"/>
      <c r="M10" s="31"/>
      <c r="N10" s="31"/>
      <c r="O10" s="31"/>
      <c r="P10" s="32"/>
      <c r="Q10" s="60"/>
      <c r="R10" s="31"/>
      <c r="S10" s="31"/>
      <c r="T10" s="9" t="s">
        <v>11</v>
      </c>
      <c r="U10" s="1">
        <v>150</v>
      </c>
      <c r="V10" s="1">
        <v>40</v>
      </c>
      <c r="W10" s="55">
        <f t="shared" si="6"/>
        <v>29.110982162825422</v>
      </c>
      <c r="X10" s="56">
        <v>7</v>
      </c>
      <c r="Y10" s="56">
        <v>3</v>
      </c>
      <c r="Z10" s="1">
        <f t="shared" si="1"/>
        <v>0</v>
      </c>
      <c r="AA10" s="1">
        <f t="shared" si="2"/>
        <v>3</v>
      </c>
      <c r="AB10" s="64">
        <f t="shared" si="3"/>
        <v>0</v>
      </c>
    </row>
    <row r="11" spans="1:28">
      <c r="A11" s="1" t="s">
        <v>27</v>
      </c>
      <c r="B11" s="1" t="s">
        <v>27</v>
      </c>
      <c r="C11" s="3" t="s">
        <v>5</v>
      </c>
      <c r="D11" s="31"/>
      <c r="E11" s="31"/>
      <c r="F11" s="31"/>
      <c r="G11" s="31"/>
      <c r="H11" s="32"/>
      <c r="I11" s="1" t="s">
        <v>27</v>
      </c>
      <c r="J11" s="3" t="s">
        <v>5</v>
      </c>
      <c r="K11" s="1" t="s">
        <v>27</v>
      </c>
      <c r="L11" s="31"/>
      <c r="M11" s="31"/>
      <c r="N11" s="31"/>
      <c r="O11" s="31"/>
      <c r="P11" s="32">
        <f>H5+P5</f>
        <v>18288</v>
      </c>
      <c r="Q11" s="60"/>
      <c r="R11" s="31"/>
      <c r="S11" s="31"/>
      <c r="T11" s="10" t="s">
        <v>12</v>
      </c>
      <c r="U11" s="1">
        <v>150</v>
      </c>
      <c r="V11" s="1">
        <v>45</v>
      </c>
      <c r="W11" s="55">
        <f t="shared" si="6"/>
        <v>13.999854933178597</v>
      </c>
      <c r="X11" s="56">
        <v>6</v>
      </c>
      <c r="Y11" s="56">
        <v>6</v>
      </c>
      <c r="Z11" s="1">
        <f t="shared" si="1"/>
        <v>1</v>
      </c>
      <c r="AA11" s="1">
        <f t="shared" si="2"/>
        <v>0</v>
      </c>
      <c r="AB11" s="64">
        <f t="shared" si="3"/>
        <v>5</v>
      </c>
    </row>
    <row r="12" spans="1:28">
      <c r="A12" s="1" t="s">
        <v>27</v>
      </c>
      <c r="B12" s="1" t="s">
        <v>27</v>
      </c>
      <c r="C12" s="3" t="s">
        <v>5</v>
      </c>
      <c r="D12" s="31"/>
      <c r="E12" s="31"/>
      <c r="F12" s="31"/>
      <c r="G12" s="31"/>
      <c r="H12" s="32"/>
      <c r="I12" s="1" t="s">
        <v>27</v>
      </c>
      <c r="J12" s="16" t="s">
        <v>28</v>
      </c>
      <c r="K12" s="1" t="s">
        <v>27</v>
      </c>
      <c r="L12" s="31"/>
      <c r="M12" s="31"/>
      <c r="N12" s="31"/>
      <c r="O12" s="31"/>
      <c r="P12" s="32">
        <f>H6+P6</f>
        <v>6440</v>
      </c>
      <c r="Q12" s="60"/>
      <c r="R12" s="31"/>
      <c r="S12" s="31"/>
      <c r="T12" s="11" t="s">
        <v>13</v>
      </c>
      <c r="U12" s="1">
        <v>150</v>
      </c>
      <c r="V12" s="1">
        <v>50</v>
      </c>
      <c r="W12" s="55"/>
      <c r="X12" s="56">
        <v>4</v>
      </c>
      <c r="Y12" s="56">
        <v>4</v>
      </c>
      <c r="Z12" s="1">
        <f t="shared" si="1"/>
        <v>0</v>
      </c>
      <c r="AA12" s="1">
        <f t="shared" si="2"/>
        <v>0</v>
      </c>
      <c r="AB12" s="64">
        <f t="shared" si="3"/>
        <v>4</v>
      </c>
    </row>
    <row r="13" spans="1:28">
      <c r="A13" s="1" t="s">
        <v>27</v>
      </c>
      <c r="B13" s="1" t="s">
        <v>27</v>
      </c>
      <c r="C13" s="3" t="s">
        <v>5</v>
      </c>
      <c r="D13" s="31"/>
      <c r="E13" s="31"/>
      <c r="F13" s="31"/>
      <c r="G13" s="31"/>
      <c r="H13" s="32"/>
      <c r="I13" s="1" t="s">
        <v>27</v>
      </c>
      <c r="J13" s="3" t="s">
        <v>5</v>
      </c>
      <c r="K13" s="1" t="s">
        <v>27</v>
      </c>
      <c r="L13" s="31"/>
      <c r="M13" s="31"/>
      <c r="N13" s="31"/>
      <c r="O13" s="31"/>
      <c r="P13" s="32"/>
      <c r="Q13" s="60"/>
      <c r="R13" s="31"/>
      <c r="S13" s="31"/>
      <c r="T13" s="12" t="s">
        <v>14</v>
      </c>
      <c r="U13" s="1">
        <v>150</v>
      </c>
      <c r="V13" s="1">
        <v>55</v>
      </c>
      <c r="W13" s="55"/>
      <c r="X13" s="56">
        <v>3</v>
      </c>
      <c r="Y13" s="56">
        <v>3</v>
      </c>
      <c r="Z13" s="1">
        <f t="shared" si="1"/>
        <v>0</v>
      </c>
      <c r="AA13" s="1">
        <f t="shared" si="2"/>
        <v>0</v>
      </c>
      <c r="AB13" s="64">
        <f t="shared" si="3"/>
        <v>3</v>
      </c>
    </row>
    <row r="14" spans="1:28">
      <c r="A14" s="1" t="s">
        <v>27</v>
      </c>
      <c r="B14" s="1" t="s">
        <v>27</v>
      </c>
      <c r="C14" s="4" t="s">
        <v>6</v>
      </c>
      <c r="D14" s="31"/>
      <c r="E14" s="31"/>
      <c r="F14" s="31"/>
      <c r="G14" s="31"/>
      <c r="H14" s="32"/>
      <c r="I14" s="1" t="s">
        <v>27</v>
      </c>
      <c r="J14" s="3" t="s">
        <v>5</v>
      </c>
      <c r="K14" s="1" t="s">
        <v>27</v>
      </c>
      <c r="L14" s="31"/>
      <c r="M14" s="31"/>
      <c r="N14" s="31"/>
      <c r="O14" s="31"/>
      <c r="P14" s="32"/>
      <c r="Q14" s="60"/>
      <c r="R14" s="31"/>
      <c r="S14" s="31"/>
      <c r="T14" s="13" t="s">
        <v>15</v>
      </c>
      <c r="U14" s="1">
        <v>150</v>
      </c>
      <c r="V14" s="1">
        <v>60</v>
      </c>
      <c r="W14" s="55"/>
      <c r="X14" s="56">
        <v>1</v>
      </c>
      <c r="Y14" s="56">
        <v>1</v>
      </c>
      <c r="Z14" s="1">
        <f t="shared" si="1"/>
        <v>0</v>
      </c>
      <c r="AA14" s="1">
        <f t="shared" si="2"/>
        <v>0</v>
      </c>
      <c r="AB14" s="64">
        <f t="shared" si="3"/>
        <v>1</v>
      </c>
    </row>
    <row r="15" spans="1:28">
      <c r="A15" s="4" t="s">
        <v>6</v>
      </c>
      <c r="B15" s="1" t="s">
        <v>27</v>
      </c>
      <c r="C15" s="4" t="s">
        <v>6</v>
      </c>
      <c r="D15" s="31"/>
      <c r="E15" s="31"/>
      <c r="F15" s="31"/>
      <c r="G15" s="31"/>
      <c r="H15" s="32"/>
      <c r="I15" s="1" t="s">
        <v>27</v>
      </c>
      <c r="J15" s="3" t="s">
        <v>5</v>
      </c>
      <c r="K15" s="1" t="s">
        <v>27</v>
      </c>
      <c r="L15" s="31"/>
      <c r="M15" s="31"/>
      <c r="N15" s="31"/>
      <c r="O15" s="31"/>
      <c r="P15" s="32"/>
      <c r="Q15" s="60"/>
      <c r="R15" s="31"/>
      <c r="S15" s="31"/>
      <c r="T15" s="14" t="s">
        <v>16</v>
      </c>
      <c r="U15" s="1">
        <v>150</v>
      </c>
      <c r="V15" s="1">
        <v>35</v>
      </c>
      <c r="W15" s="55">
        <f t="shared" ref="W15" si="7">U15-V15/0.330882</f>
        <v>44.222109392472248</v>
      </c>
      <c r="X15" s="56"/>
      <c r="Y15" s="56">
        <v>1</v>
      </c>
      <c r="Z15" s="1">
        <f t="shared" si="1"/>
        <v>0</v>
      </c>
      <c r="AA15" s="1">
        <f t="shared" si="2"/>
        <v>0</v>
      </c>
      <c r="AB15" s="64">
        <f t="shared" si="3"/>
        <v>1</v>
      </c>
    </row>
    <row r="16" spans="1:28">
      <c r="A16" s="4" t="s">
        <v>6</v>
      </c>
      <c r="B16" s="1" t="s">
        <v>27</v>
      </c>
      <c r="C16" s="15" t="s">
        <v>17</v>
      </c>
      <c r="D16" s="31"/>
      <c r="E16" s="31"/>
      <c r="F16" s="31"/>
      <c r="G16" s="31"/>
      <c r="H16" s="32"/>
      <c r="I16" s="1" t="s">
        <v>27</v>
      </c>
      <c r="J16" s="3" t="s">
        <v>5</v>
      </c>
      <c r="K16" s="1" t="s">
        <v>27</v>
      </c>
      <c r="L16" s="31"/>
      <c r="M16" s="31"/>
      <c r="N16" s="31"/>
      <c r="O16" s="31"/>
      <c r="P16" s="32"/>
      <c r="Q16" s="60"/>
      <c r="R16" s="31"/>
      <c r="S16" s="31"/>
      <c r="T16" s="15" t="s">
        <v>17</v>
      </c>
      <c r="U16" s="1">
        <v>50</v>
      </c>
      <c r="V16" s="1">
        <v>30</v>
      </c>
      <c r="W16" s="55">
        <v>10</v>
      </c>
      <c r="X16" s="56">
        <v>40</v>
      </c>
      <c r="Y16" s="56">
        <v>38</v>
      </c>
      <c r="Z16" s="1">
        <f t="shared" si="1"/>
        <v>2</v>
      </c>
      <c r="AA16" s="1">
        <f t="shared" si="2"/>
        <v>12</v>
      </c>
      <c r="AB16" s="64">
        <f t="shared" si="3"/>
        <v>24</v>
      </c>
    </row>
    <row r="17" spans="1:28">
      <c r="A17" s="4" t="s">
        <v>6</v>
      </c>
      <c r="B17" s="1" t="s">
        <v>27</v>
      </c>
      <c r="C17" s="4" t="s">
        <v>6</v>
      </c>
      <c r="D17" s="31"/>
      <c r="E17" s="31"/>
      <c r="F17" s="31"/>
      <c r="G17" s="31"/>
      <c r="H17" s="32"/>
      <c r="I17" s="1" t="s">
        <v>27</v>
      </c>
      <c r="J17" s="2" t="s">
        <v>4</v>
      </c>
      <c r="K17" s="1" t="s">
        <v>27</v>
      </c>
      <c r="L17" s="31"/>
      <c r="M17" s="31"/>
      <c r="N17" s="31"/>
      <c r="O17" s="31"/>
      <c r="P17" s="32"/>
      <c r="Q17" s="60"/>
      <c r="R17" s="31"/>
      <c r="S17" s="31"/>
      <c r="T17" s="16" t="s">
        <v>18</v>
      </c>
      <c r="U17" s="1">
        <v>-150</v>
      </c>
      <c r="V17" s="1">
        <v>0</v>
      </c>
      <c r="W17" s="55">
        <v>10</v>
      </c>
      <c r="X17" s="56">
        <v>3</v>
      </c>
      <c r="Y17" s="56">
        <v>3</v>
      </c>
      <c r="Z17" s="1">
        <f t="shared" si="1"/>
        <v>3</v>
      </c>
      <c r="AA17" s="1">
        <f t="shared" si="2"/>
        <v>0</v>
      </c>
      <c r="AB17" s="64">
        <f t="shared" si="3"/>
        <v>0</v>
      </c>
    </row>
    <row r="18" spans="1:28">
      <c r="A18" s="17" t="s">
        <v>19</v>
      </c>
      <c r="B18" s="1" t="s">
        <v>27</v>
      </c>
      <c r="C18" s="4" t="s">
        <v>6</v>
      </c>
      <c r="D18" s="31"/>
      <c r="E18" s="31"/>
      <c r="F18" s="31"/>
      <c r="G18" s="31"/>
      <c r="H18" s="32"/>
      <c r="I18" s="1" t="s">
        <v>27</v>
      </c>
      <c r="J18" s="15" t="s">
        <v>17</v>
      </c>
      <c r="K18" s="1" t="s">
        <v>27</v>
      </c>
      <c r="L18" s="31"/>
      <c r="M18" s="31"/>
      <c r="N18" s="31"/>
      <c r="O18" s="31"/>
      <c r="P18" s="32"/>
      <c r="Q18" s="60"/>
      <c r="R18" s="31"/>
      <c r="S18" s="31"/>
      <c r="T18" s="17" t="s">
        <v>19</v>
      </c>
      <c r="U18" s="1">
        <v>250</v>
      </c>
      <c r="V18" s="1">
        <v>200</v>
      </c>
      <c r="W18" s="55"/>
      <c r="X18" s="56">
        <v>3</v>
      </c>
      <c r="Y18" s="56">
        <v>3</v>
      </c>
      <c r="Z18" s="1">
        <f t="shared" si="1"/>
        <v>3</v>
      </c>
      <c r="AA18" s="1">
        <f t="shared" si="2"/>
        <v>0</v>
      </c>
      <c r="AB18" s="64">
        <f t="shared" si="3"/>
        <v>0</v>
      </c>
    </row>
    <row r="19" spans="1:28">
      <c r="A19" s="4" t="s">
        <v>6</v>
      </c>
      <c r="B19" s="1" t="s">
        <v>27</v>
      </c>
      <c r="C19" s="4" t="s">
        <v>6</v>
      </c>
      <c r="D19" s="31"/>
      <c r="E19" s="31"/>
      <c r="F19" s="31"/>
      <c r="G19" s="31"/>
      <c r="H19" s="32"/>
      <c r="I19" s="1" t="s">
        <v>27</v>
      </c>
      <c r="J19" s="2" t="s">
        <v>4</v>
      </c>
      <c r="K19" s="1" t="s">
        <v>27</v>
      </c>
      <c r="L19" s="31"/>
      <c r="M19" s="31"/>
      <c r="N19" s="31"/>
      <c r="O19" s="31"/>
      <c r="P19" s="32"/>
      <c r="Q19" s="60"/>
      <c r="R19" s="31"/>
      <c r="S19" s="31"/>
      <c r="T19" s="17" t="s">
        <v>20</v>
      </c>
      <c r="U19" s="1">
        <v>170</v>
      </c>
      <c r="V19" s="1">
        <v>45</v>
      </c>
      <c r="W19" s="55"/>
      <c r="X19" s="56">
        <v>5</v>
      </c>
      <c r="Y19" s="56">
        <v>5</v>
      </c>
      <c r="Z19" s="1">
        <f t="shared" si="1"/>
        <v>5</v>
      </c>
      <c r="AA19" s="1">
        <f t="shared" si="2"/>
        <v>0</v>
      </c>
      <c r="AB19" s="64">
        <f t="shared" si="3"/>
        <v>0</v>
      </c>
    </row>
    <row r="20" spans="1:28">
      <c r="A20" s="4" t="s">
        <v>6</v>
      </c>
      <c r="B20" s="1" t="s">
        <v>27</v>
      </c>
      <c r="C20" s="17" t="s">
        <v>20</v>
      </c>
      <c r="D20" s="31"/>
      <c r="E20" s="31"/>
      <c r="F20" s="31"/>
      <c r="G20" s="31"/>
      <c r="H20" s="32"/>
      <c r="I20" s="1" t="s">
        <v>27</v>
      </c>
      <c r="J20" s="2" t="s">
        <v>4</v>
      </c>
      <c r="K20" s="1" t="s">
        <v>27</v>
      </c>
      <c r="L20" s="31"/>
      <c r="M20" s="31"/>
      <c r="N20" s="31"/>
      <c r="O20" s="31"/>
      <c r="P20" s="32"/>
      <c r="Q20" s="60"/>
      <c r="R20" s="31"/>
      <c r="S20" s="31"/>
      <c r="T20" s="18" t="s">
        <v>21</v>
      </c>
      <c r="U20" s="1">
        <v>250</v>
      </c>
      <c r="V20" s="1">
        <v>200</v>
      </c>
      <c r="W20" s="55"/>
      <c r="X20" s="56">
        <v>0</v>
      </c>
      <c r="Y20" s="56">
        <v>0</v>
      </c>
      <c r="Z20" s="1">
        <f t="shared" si="1"/>
        <v>0</v>
      </c>
      <c r="AA20" s="1">
        <f t="shared" si="2"/>
        <v>0</v>
      </c>
      <c r="AB20" s="64">
        <f t="shared" si="3"/>
        <v>0</v>
      </c>
    </row>
    <row r="21" spans="1:28">
      <c r="A21" s="4" t="s">
        <v>6</v>
      </c>
      <c r="B21" s="1" t="s">
        <v>27</v>
      </c>
      <c r="C21" s="4" t="s">
        <v>6</v>
      </c>
      <c r="D21" s="31"/>
      <c r="E21" s="31"/>
      <c r="F21" s="31"/>
      <c r="G21" s="31"/>
      <c r="H21" s="32"/>
      <c r="I21" s="1" t="s">
        <v>27</v>
      </c>
      <c r="J21" s="2" t="s">
        <v>4</v>
      </c>
      <c r="K21" s="1" t="s">
        <v>27</v>
      </c>
      <c r="L21" s="31"/>
      <c r="M21" s="31"/>
      <c r="N21" s="31"/>
      <c r="O21" s="31"/>
      <c r="P21" s="32"/>
      <c r="Q21" s="60"/>
      <c r="R21" s="31"/>
      <c r="S21" s="31"/>
      <c r="T21" s="19" t="s">
        <v>22</v>
      </c>
      <c r="U21" s="1">
        <v>250</v>
      </c>
      <c r="V21" s="1">
        <v>1000</v>
      </c>
      <c r="W21" s="55"/>
      <c r="X21" s="56">
        <v>2</v>
      </c>
      <c r="Y21" s="56">
        <v>2</v>
      </c>
      <c r="Z21" s="1">
        <f t="shared" si="1"/>
        <v>0</v>
      </c>
      <c r="AA21" s="1">
        <f t="shared" si="2"/>
        <v>0</v>
      </c>
      <c r="AB21" s="64">
        <f t="shared" si="3"/>
        <v>2</v>
      </c>
    </row>
    <row r="22" spans="1:28">
      <c r="A22" s="16" t="s">
        <v>18</v>
      </c>
      <c r="B22" s="1" t="s">
        <v>27</v>
      </c>
      <c r="C22" s="4" t="s">
        <v>6</v>
      </c>
      <c r="D22" s="31"/>
      <c r="E22" s="31"/>
      <c r="F22" s="31"/>
      <c r="G22" s="31"/>
      <c r="H22" s="32"/>
      <c r="I22" s="1" t="s">
        <v>27</v>
      </c>
      <c r="J22" s="15" t="s">
        <v>17</v>
      </c>
      <c r="K22" s="1" t="s">
        <v>27</v>
      </c>
      <c r="L22" s="31"/>
      <c r="M22" s="31"/>
      <c r="N22" s="31"/>
      <c r="O22" s="31"/>
      <c r="P22" s="32"/>
      <c r="Q22" s="60"/>
      <c r="R22" s="31"/>
      <c r="S22" s="31"/>
      <c r="T22" s="20" t="s">
        <v>23</v>
      </c>
      <c r="U22" s="1">
        <v>250</v>
      </c>
      <c r="V22" s="1">
        <v>500</v>
      </c>
      <c r="W22" s="55"/>
      <c r="X22" s="56">
        <v>2</v>
      </c>
      <c r="Y22" s="56">
        <v>2</v>
      </c>
      <c r="Z22" s="1">
        <f t="shared" si="1"/>
        <v>0</v>
      </c>
      <c r="AA22" s="1">
        <f t="shared" si="2"/>
        <v>0</v>
      </c>
      <c r="AB22" s="64">
        <f t="shared" si="3"/>
        <v>2</v>
      </c>
    </row>
    <row r="23" spans="1:28">
      <c r="A23" s="4" t="s">
        <v>6</v>
      </c>
      <c r="B23" s="1" t="s">
        <v>27</v>
      </c>
      <c r="C23" s="4" t="s">
        <v>6</v>
      </c>
      <c r="D23" s="31"/>
      <c r="E23" s="31"/>
      <c r="F23" s="31"/>
      <c r="G23" s="31"/>
      <c r="H23" s="32"/>
      <c r="I23" s="1" t="s">
        <v>27</v>
      </c>
      <c r="J23" s="1" t="s">
        <v>27</v>
      </c>
      <c r="K23" s="1" t="s">
        <v>27</v>
      </c>
      <c r="L23" s="31"/>
      <c r="M23" s="31"/>
      <c r="N23" s="31"/>
      <c r="O23" s="31"/>
      <c r="P23" s="32"/>
      <c r="Q23" s="60"/>
      <c r="R23" s="31"/>
      <c r="S23" s="31"/>
      <c r="T23" s="21" t="s">
        <v>24</v>
      </c>
      <c r="U23" s="1">
        <v>160</v>
      </c>
      <c r="V23" s="1">
        <v>40</v>
      </c>
      <c r="W23" s="55">
        <f t="shared" ref="W23:W26" si="8">U23-V23/0.330882</f>
        <v>39.110982162825422</v>
      </c>
      <c r="X23" s="56">
        <v>0</v>
      </c>
      <c r="Y23" s="56">
        <v>0</v>
      </c>
      <c r="Z23" s="1">
        <f t="shared" si="1"/>
        <v>0</v>
      </c>
      <c r="AA23" s="1">
        <f t="shared" si="2"/>
        <v>0</v>
      </c>
      <c r="AB23" s="64">
        <f t="shared" si="3"/>
        <v>0</v>
      </c>
    </row>
    <row r="24" spans="1:28">
      <c r="A24" s="4" t="s">
        <v>6</v>
      </c>
      <c r="B24" s="1" t="s">
        <v>27</v>
      </c>
      <c r="C24" s="4" t="s">
        <v>6</v>
      </c>
      <c r="D24" s="31"/>
      <c r="E24" s="31"/>
      <c r="F24" s="31"/>
      <c r="G24" s="31"/>
      <c r="H24" s="32"/>
      <c r="I24" s="1" t="s">
        <v>27</v>
      </c>
      <c r="J24" s="15" t="s">
        <v>17</v>
      </c>
      <c r="K24" s="1" t="s">
        <v>27</v>
      </c>
      <c r="L24" s="31"/>
      <c r="M24" s="31"/>
      <c r="N24" s="31"/>
      <c r="O24" s="31"/>
      <c r="P24" s="32"/>
      <c r="Q24" s="60"/>
      <c r="R24" s="31"/>
      <c r="S24" s="31"/>
      <c r="T24" s="21" t="s">
        <v>25</v>
      </c>
      <c r="U24" s="1">
        <v>160</v>
      </c>
      <c r="V24" s="1">
        <v>40</v>
      </c>
      <c r="W24" s="55">
        <f t="shared" si="8"/>
        <v>39.110982162825422</v>
      </c>
      <c r="X24" s="56">
        <v>0</v>
      </c>
      <c r="Y24" s="56">
        <v>0</v>
      </c>
      <c r="Z24" s="1">
        <f t="shared" si="1"/>
        <v>0</v>
      </c>
      <c r="AA24" s="1">
        <f t="shared" si="2"/>
        <v>0</v>
      </c>
      <c r="AB24" s="64">
        <f t="shared" si="3"/>
        <v>0</v>
      </c>
    </row>
    <row r="25" spans="1:28">
      <c r="A25" s="4" t="s">
        <v>6</v>
      </c>
      <c r="B25" s="1" t="s">
        <v>27</v>
      </c>
      <c r="C25" s="4" t="s">
        <v>6</v>
      </c>
      <c r="D25" s="31"/>
      <c r="E25" s="31"/>
      <c r="F25" s="31"/>
      <c r="G25" s="31"/>
      <c r="H25" s="32"/>
      <c r="I25" s="1" t="s">
        <v>27</v>
      </c>
      <c r="J25" s="3" t="s">
        <v>5</v>
      </c>
      <c r="K25" s="1" t="s">
        <v>27</v>
      </c>
      <c r="L25" s="31"/>
      <c r="M25" s="31"/>
      <c r="N25" s="31"/>
      <c r="O25" s="31"/>
      <c r="P25" s="32"/>
      <c r="Q25" s="60"/>
      <c r="R25" s="31"/>
      <c r="S25" s="31"/>
      <c r="T25" s="21" t="s">
        <v>26</v>
      </c>
      <c r="U25" s="1">
        <v>150</v>
      </c>
      <c r="V25" s="1">
        <v>35</v>
      </c>
      <c r="W25" s="55">
        <f t="shared" si="8"/>
        <v>44.222109392472248</v>
      </c>
      <c r="X25" s="56">
        <v>0</v>
      </c>
      <c r="Y25" s="56">
        <v>0</v>
      </c>
      <c r="Z25" s="1">
        <f t="shared" si="1"/>
        <v>0</v>
      </c>
      <c r="AA25" s="1">
        <f t="shared" si="2"/>
        <v>0</v>
      </c>
      <c r="AB25" s="64">
        <f t="shared" si="3"/>
        <v>0</v>
      </c>
    </row>
    <row r="26" spans="1:28">
      <c r="A26" s="17" t="s">
        <v>20</v>
      </c>
      <c r="B26" s="1" t="s">
        <v>27</v>
      </c>
      <c r="C26" s="4" t="s">
        <v>6</v>
      </c>
      <c r="D26" s="31"/>
      <c r="E26" s="31"/>
      <c r="F26" s="31"/>
      <c r="G26" s="31"/>
      <c r="H26" s="32"/>
      <c r="I26" s="1" t="s">
        <v>27</v>
      </c>
      <c r="J26" s="3" t="s">
        <v>5</v>
      </c>
      <c r="K26" s="1" t="s">
        <v>27</v>
      </c>
      <c r="L26" s="31"/>
      <c r="M26" s="31"/>
      <c r="N26" s="31"/>
      <c r="O26" s="31"/>
      <c r="P26" s="32"/>
      <c r="Q26" s="60"/>
      <c r="R26" s="31"/>
      <c r="S26" s="31"/>
      <c r="T26" s="22" t="s">
        <v>27</v>
      </c>
      <c r="U26" s="1">
        <v>0</v>
      </c>
      <c r="V26" s="1">
        <v>0</v>
      </c>
      <c r="W26" s="55">
        <f t="shared" si="8"/>
        <v>0</v>
      </c>
      <c r="X26" s="56">
        <v>0</v>
      </c>
      <c r="Y26" s="56">
        <v>0</v>
      </c>
      <c r="Z26" s="1"/>
      <c r="AA26" s="1"/>
      <c r="AB26" s="64"/>
    </row>
    <row r="27" spans="1:28">
      <c r="A27" s="4" t="s">
        <v>6</v>
      </c>
      <c r="B27" s="1" t="s">
        <v>27</v>
      </c>
      <c r="C27" s="4" t="s">
        <v>6</v>
      </c>
      <c r="D27" s="31"/>
      <c r="E27" s="31"/>
      <c r="F27" s="31"/>
      <c r="G27" s="31"/>
      <c r="H27" s="32"/>
      <c r="I27" s="1" t="s">
        <v>27</v>
      </c>
      <c r="J27" s="9" t="s">
        <v>11</v>
      </c>
      <c r="K27" s="1" t="s">
        <v>27</v>
      </c>
      <c r="L27" s="31"/>
      <c r="M27" s="31"/>
      <c r="N27" s="31"/>
      <c r="O27" s="31"/>
      <c r="P27" s="32"/>
      <c r="Q27" s="60"/>
      <c r="R27" s="31"/>
      <c r="S27" s="31"/>
      <c r="T27" s="16" t="s">
        <v>28</v>
      </c>
      <c r="U27" s="1">
        <v>-200</v>
      </c>
      <c r="V27" s="1">
        <v>0</v>
      </c>
      <c r="W27" s="55"/>
      <c r="X27" s="56">
        <v>12</v>
      </c>
      <c r="Y27" s="56">
        <v>12</v>
      </c>
      <c r="Z27" s="1">
        <f t="shared" si="1"/>
        <v>0</v>
      </c>
      <c r="AA27" s="1">
        <f t="shared" si="2"/>
        <v>2</v>
      </c>
      <c r="AB27" s="64">
        <f t="shared" si="3"/>
        <v>10</v>
      </c>
    </row>
    <row r="28" spans="1:28">
      <c r="A28" s="4" t="s">
        <v>6</v>
      </c>
      <c r="B28" s="1" t="s">
        <v>27</v>
      </c>
      <c r="C28" s="17" t="s">
        <v>20</v>
      </c>
      <c r="D28" s="31"/>
      <c r="E28" s="31"/>
      <c r="F28" s="31"/>
      <c r="G28" s="31"/>
      <c r="H28" s="32"/>
      <c r="I28" s="1" t="s">
        <v>27</v>
      </c>
      <c r="J28" s="3" t="s">
        <v>5</v>
      </c>
      <c r="K28" s="1" t="s">
        <v>27</v>
      </c>
      <c r="L28" s="31"/>
      <c r="M28" s="31"/>
      <c r="N28" s="31"/>
      <c r="O28" s="31"/>
      <c r="P28" s="32"/>
      <c r="Q28" s="60"/>
      <c r="R28" s="31"/>
      <c r="S28" s="31"/>
      <c r="T28" s="23" t="s">
        <v>29</v>
      </c>
      <c r="U28" s="1">
        <v>50</v>
      </c>
      <c r="V28" s="1">
        <v>520</v>
      </c>
      <c r="W28" s="55"/>
      <c r="X28" s="56">
        <v>3</v>
      </c>
      <c r="Y28" s="56">
        <v>3</v>
      </c>
      <c r="Z28" s="1">
        <f t="shared" si="1"/>
        <v>1</v>
      </c>
      <c r="AA28" s="1">
        <f t="shared" si="2"/>
        <v>0</v>
      </c>
      <c r="AB28" s="64">
        <f t="shared" si="3"/>
        <v>2</v>
      </c>
    </row>
    <row r="29" spans="1:28" ht="15" thickBot="1">
      <c r="A29" s="4" t="s">
        <v>6</v>
      </c>
      <c r="B29" s="1" t="s">
        <v>27</v>
      </c>
      <c r="C29" s="4" t="s">
        <v>6</v>
      </c>
      <c r="D29" s="31"/>
      <c r="E29" s="31"/>
      <c r="F29" s="31"/>
      <c r="G29" s="31"/>
      <c r="H29" s="32"/>
      <c r="I29" s="1" t="s">
        <v>27</v>
      </c>
      <c r="J29" s="3" t="s">
        <v>5</v>
      </c>
      <c r="K29" s="1" t="s">
        <v>27</v>
      </c>
      <c r="L29" s="31"/>
      <c r="M29" s="31"/>
      <c r="N29" s="31"/>
      <c r="O29" s="31"/>
      <c r="P29" s="32"/>
      <c r="Q29" s="66"/>
      <c r="R29" s="41"/>
      <c r="S29" s="41"/>
      <c r="T29" s="40"/>
      <c r="U29" s="40"/>
      <c r="V29" s="40"/>
      <c r="W29" s="40"/>
      <c r="X29" s="40"/>
      <c r="Y29" s="40"/>
      <c r="Z29" s="40"/>
      <c r="AA29" s="40"/>
      <c r="AB29" s="67"/>
    </row>
    <row r="30" spans="1:28">
      <c r="A30" s="4" t="s">
        <v>6</v>
      </c>
      <c r="B30" s="1" t="s">
        <v>27</v>
      </c>
      <c r="C30" s="4" t="s">
        <v>6</v>
      </c>
      <c r="D30" s="31"/>
      <c r="E30" s="31"/>
      <c r="F30" s="31"/>
      <c r="G30" s="31"/>
      <c r="H30" s="32"/>
      <c r="I30" s="1" t="s">
        <v>27</v>
      </c>
      <c r="J30" s="15" t="s">
        <v>17</v>
      </c>
      <c r="K30" s="1" t="s">
        <v>27</v>
      </c>
      <c r="L30" s="31"/>
      <c r="M30" s="31"/>
      <c r="N30" s="31"/>
      <c r="O30" s="31"/>
      <c r="P30" s="32"/>
    </row>
    <row r="31" spans="1:28">
      <c r="A31" s="4" t="s">
        <v>6</v>
      </c>
      <c r="B31" s="1" t="s">
        <v>27</v>
      </c>
      <c r="C31" s="4" t="s">
        <v>6</v>
      </c>
      <c r="D31" s="31"/>
      <c r="E31" s="31"/>
      <c r="F31" s="31"/>
      <c r="G31" s="31"/>
      <c r="H31" s="32"/>
      <c r="I31" s="1" t="s">
        <v>27</v>
      </c>
      <c r="J31" s="3" t="s">
        <v>5</v>
      </c>
      <c r="K31" s="1" t="s">
        <v>27</v>
      </c>
      <c r="L31" s="31"/>
      <c r="M31" s="31"/>
      <c r="N31" s="31"/>
      <c r="O31" s="31"/>
      <c r="P31" s="32"/>
      <c r="Y31">
        <f>SUM(Y3:Y28)</f>
        <v>1076</v>
      </c>
    </row>
    <row r="32" spans="1:28">
      <c r="A32" s="4" t="s">
        <v>6</v>
      </c>
      <c r="B32" s="1" t="s">
        <v>27</v>
      </c>
      <c r="C32" s="4" t="s">
        <v>6</v>
      </c>
      <c r="D32" s="31"/>
      <c r="E32" s="31"/>
      <c r="F32" s="31"/>
      <c r="G32" s="31"/>
      <c r="H32" s="32"/>
      <c r="I32" s="1" t="s">
        <v>27</v>
      </c>
      <c r="J32" s="3" t="s">
        <v>5</v>
      </c>
      <c r="K32" s="1" t="s">
        <v>27</v>
      </c>
      <c r="L32" s="31"/>
      <c r="M32" s="31"/>
      <c r="N32" s="31"/>
      <c r="O32" s="31"/>
      <c r="P32" s="32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10" t="s">
        <v>12</v>
      </c>
      <c r="D33" s="31"/>
      <c r="E33" s="31"/>
      <c r="F33" s="31"/>
      <c r="G33" s="31"/>
      <c r="H33" s="32"/>
      <c r="I33" s="1" t="s">
        <v>27</v>
      </c>
      <c r="J33" s="3" t="s">
        <v>5</v>
      </c>
      <c r="K33" s="1" t="s">
        <v>27</v>
      </c>
      <c r="L33" s="31"/>
      <c r="M33" s="31"/>
      <c r="N33" s="31"/>
      <c r="O33" s="31"/>
      <c r="P33" s="32"/>
      <c r="R33">
        <v>2</v>
      </c>
      <c r="S33" t="s">
        <v>60</v>
      </c>
    </row>
    <row r="34" spans="1:19">
      <c r="A34" s="17" t="s">
        <v>19</v>
      </c>
      <c r="B34" s="1" t="s">
        <v>27</v>
      </c>
      <c r="C34" s="4" t="s">
        <v>6</v>
      </c>
      <c r="D34" s="31"/>
      <c r="E34" s="31"/>
      <c r="F34" s="31"/>
      <c r="G34" s="31"/>
      <c r="H34" s="32"/>
      <c r="I34" s="38" t="s">
        <v>27</v>
      </c>
      <c r="J34" s="9" t="s">
        <v>11</v>
      </c>
      <c r="K34" s="1" t="s">
        <v>27</v>
      </c>
      <c r="L34" s="31"/>
      <c r="M34" s="31"/>
      <c r="N34" s="31"/>
      <c r="O34" s="31"/>
      <c r="P34" s="32"/>
      <c r="R34">
        <v>3</v>
      </c>
      <c r="S34" t="s">
        <v>58</v>
      </c>
    </row>
    <row r="35" spans="1:19">
      <c r="A35" s="4" t="s">
        <v>6</v>
      </c>
      <c r="B35" s="1" t="s">
        <v>27</v>
      </c>
      <c r="C35" s="17" t="s">
        <v>19</v>
      </c>
      <c r="D35" s="31"/>
      <c r="E35" s="31"/>
      <c r="F35" s="31"/>
      <c r="G35" s="31"/>
      <c r="H35" s="32"/>
      <c r="I35" s="38" t="s">
        <v>27</v>
      </c>
      <c r="J35" s="3" t="s">
        <v>5</v>
      </c>
      <c r="K35" s="1" t="s">
        <v>27</v>
      </c>
      <c r="L35" s="31"/>
      <c r="M35" s="31"/>
      <c r="N35" s="31"/>
      <c r="O35" s="31"/>
      <c r="P35" s="32"/>
      <c r="R35">
        <v>4</v>
      </c>
      <c r="S35" t="s">
        <v>61</v>
      </c>
    </row>
    <row r="36" spans="1:19">
      <c r="A36" s="4" t="s">
        <v>6</v>
      </c>
      <c r="B36" s="1" t="s">
        <v>27</v>
      </c>
      <c r="C36" s="4" t="s">
        <v>6</v>
      </c>
      <c r="D36" s="31"/>
      <c r="E36" s="31"/>
      <c r="F36" s="31"/>
      <c r="G36" s="31"/>
      <c r="H36" s="32"/>
      <c r="I36" s="38" t="s">
        <v>27</v>
      </c>
      <c r="J36" s="3" t="s">
        <v>5</v>
      </c>
      <c r="K36" s="1" t="s">
        <v>27</v>
      </c>
      <c r="L36" s="31"/>
      <c r="M36" s="31"/>
      <c r="N36" s="31"/>
      <c r="O36" s="31"/>
      <c r="P36" s="32"/>
      <c r="S36" t="s">
        <v>62</v>
      </c>
    </row>
    <row r="37" spans="1:19">
      <c r="A37" s="4" t="s">
        <v>6</v>
      </c>
      <c r="B37" s="1" t="s">
        <v>27</v>
      </c>
      <c r="C37" s="4" t="s">
        <v>6</v>
      </c>
      <c r="D37" s="31"/>
      <c r="E37" s="31"/>
      <c r="F37" s="31"/>
      <c r="G37" s="31"/>
      <c r="H37" s="32"/>
      <c r="I37" s="38" t="s">
        <v>27</v>
      </c>
      <c r="J37" s="15" t="s">
        <v>17</v>
      </c>
      <c r="K37" s="1" t="s">
        <v>27</v>
      </c>
      <c r="L37" s="31"/>
      <c r="M37" s="31"/>
      <c r="N37" s="31"/>
      <c r="O37" s="31"/>
      <c r="P37" s="32"/>
      <c r="R37">
        <v>5</v>
      </c>
      <c r="S37" t="s">
        <v>63</v>
      </c>
    </row>
    <row r="38" spans="1:19">
      <c r="A38" s="4" t="s">
        <v>6</v>
      </c>
      <c r="B38" s="1" t="s">
        <v>27</v>
      </c>
      <c r="C38" s="16" t="s">
        <v>18</v>
      </c>
      <c r="D38" s="31"/>
      <c r="E38" s="31"/>
      <c r="F38" s="31"/>
      <c r="G38" s="31"/>
      <c r="H38" s="32"/>
      <c r="I38" s="38" t="s">
        <v>27</v>
      </c>
      <c r="J38" s="3" t="s">
        <v>5</v>
      </c>
      <c r="K38" s="1" t="s">
        <v>27</v>
      </c>
      <c r="L38" s="31"/>
      <c r="M38" s="31"/>
      <c r="N38" s="31"/>
      <c r="O38" s="31"/>
      <c r="P38" s="32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4" t="s">
        <v>6</v>
      </c>
      <c r="D39" s="31"/>
      <c r="E39" s="31"/>
      <c r="F39" s="31"/>
      <c r="G39" s="31"/>
      <c r="H39" s="32"/>
      <c r="I39" s="38" t="s">
        <v>27</v>
      </c>
      <c r="J39" s="3" t="s">
        <v>5</v>
      </c>
      <c r="K39" s="1" t="s">
        <v>27</v>
      </c>
      <c r="L39" s="31"/>
      <c r="M39" s="31"/>
      <c r="N39" s="31"/>
      <c r="O39" s="31"/>
      <c r="P39" s="32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4" t="s">
        <v>6</v>
      </c>
      <c r="D40" s="31"/>
      <c r="E40" s="31"/>
      <c r="F40" s="31"/>
      <c r="G40" s="31"/>
      <c r="H40" s="32"/>
      <c r="I40" s="38" t="s">
        <v>27</v>
      </c>
      <c r="J40" s="3" t="s">
        <v>5</v>
      </c>
      <c r="K40" s="1" t="s">
        <v>27</v>
      </c>
      <c r="L40" s="31"/>
      <c r="M40" s="31"/>
      <c r="N40" s="31"/>
      <c r="O40" s="31"/>
      <c r="P40" s="32"/>
    </row>
    <row r="41" spans="1:19">
      <c r="A41" s="4" t="s">
        <v>6</v>
      </c>
      <c r="B41" s="1" t="s">
        <v>27</v>
      </c>
      <c r="C41" s="4" t="s">
        <v>6</v>
      </c>
      <c r="D41" s="31"/>
      <c r="E41" s="31"/>
      <c r="F41" s="31"/>
      <c r="G41" s="31"/>
      <c r="H41" s="32"/>
      <c r="I41" s="38" t="s">
        <v>27</v>
      </c>
      <c r="J41" s="3" t="s">
        <v>5</v>
      </c>
      <c r="K41" s="1" t="s">
        <v>27</v>
      </c>
      <c r="L41" s="31"/>
      <c r="M41" s="31"/>
      <c r="N41" s="31"/>
      <c r="O41" s="31"/>
      <c r="P41" s="32"/>
    </row>
    <row r="42" spans="1:19">
      <c r="A42" s="4" t="s">
        <v>6</v>
      </c>
      <c r="B42" s="1" t="s">
        <v>27</v>
      </c>
      <c r="C42" s="4" t="s">
        <v>6</v>
      </c>
      <c r="D42" s="31"/>
      <c r="E42" s="31"/>
      <c r="F42" s="31"/>
      <c r="G42" s="31"/>
      <c r="H42" s="32"/>
      <c r="I42" s="38" t="s">
        <v>27</v>
      </c>
      <c r="J42" s="3" t="s">
        <v>5</v>
      </c>
      <c r="K42" s="1" t="s">
        <v>27</v>
      </c>
      <c r="L42" s="31"/>
      <c r="M42" s="31"/>
      <c r="N42" s="31"/>
      <c r="O42" s="31"/>
      <c r="P42" s="32"/>
    </row>
    <row r="43" spans="1:19">
      <c r="A43" s="17" t="s">
        <v>20</v>
      </c>
      <c r="B43" s="1" t="s">
        <v>27</v>
      </c>
      <c r="C43" s="4" t="s">
        <v>6</v>
      </c>
      <c r="D43" s="31"/>
      <c r="E43" s="31"/>
      <c r="F43" s="31"/>
      <c r="G43" s="31"/>
      <c r="H43" s="32"/>
      <c r="I43" s="38" t="s">
        <v>27</v>
      </c>
      <c r="J43" s="15" t="s">
        <v>17</v>
      </c>
      <c r="K43" s="1" t="s">
        <v>27</v>
      </c>
      <c r="L43" s="31"/>
      <c r="M43" s="31"/>
      <c r="N43" s="31"/>
      <c r="O43" s="31"/>
      <c r="P43" s="32"/>
    </row>
    <row r="44" spans="1:19">
      <c r="A44" s="38" t="s">
        <v>27</v>
      </c>
      <c r="B44" s="1" t="s">
        <v>27</v>
      </c>
      <c r="C44" s="17" t="s">
        <v>20</v>
      </c>
      <c r="D44" s="31"/>
      <c r="E44" s="31"/>
      <c r="F44" s="31"/>
      <c r="G44" s="31"/>
      <c r="H44" s="32"/>
      <c r="I44" s="38" t="s">
        <v>27</v>
      </c>
      <c r="J44" s="1" t="s">
        <v>27</v>
      </c>
      <c r="K44" s="1" t="s">
        <v>27</v>
      </c>
      <c r="L44" s="31"/>
      <c r="M44" s="31"/>
      <c r="N44" s="31"/>
      <c r="O44" s="31"/>
      <c r="P44" s="32"/>
    </row>
    <row r="45" spans="1:19">
      <c r="A45" s="38" t="s">
        <v>27</v>
      </c>
      <c r="B45" s="1" t="s">
        <v>27</v>
      </c>
      <c r="C45" s="1" t="s">
        <v>27</v>
      </c>
      <c r="D45" s="31"/>
      <c r="E45" s="31"/>
      <c r="F45" s="31"/>
      <c r="G45" s="31"/>
      <c r="H45" s="32"/>
      <c r="I45" s="38" t="s">
        <v>27</v>
      </c>
      <c r="J45" s="3" t="s">
        <v>5</v>
      </c>
      <c r="K45" s="1" t="s">
        <v>27</v>
      </c>
      <c r="L45" s="31"/>
      <c r="M45" s="31"/>
      <c r="N45" s="31"/>
      <c r="O45" s="31"/>
      <c r="P45" s="32"/>
    </row>
    <row r="46" spans="1:19">
      <c r="A46" s="38" t="s">
        <v>27</v>
      </c>
      <c r="B46" s="1" t="s">
        <v>27</v>
      </c>
      <c r="C46" s="1" t="s">
        <v>27</v>
      </c>
      <c r="D46" s="31"/>
      <c r="E46" s="31"/>
      <c r="F46" s="31"/>
      <c r="G46" s="31"/>
      <c r="H46" s="32"/>
      <c r="I46" s="38" t="s">
        <v>27</v>
      </c>
      <c r="J46" s="15" t="s">
        <v>17</v>
      </c>
      <c r="K46" s="1" t="s">
        <v>27</v>
      </c>
      <c r="L46" s="31"/>
      <c r="M46" s="31"/>
      <c r="N46" s="31"/>
      <c r="O46" s="31"/>
      <c r="P46" s="32"/>
    </row>
    <row r="47" spans="1:19">
      <c r="A47" s="38" t="s">
        <v>27</v>
      </c>
      <c r="B47" s="1" t="s">
        <v>27</v>
      </c>
      <c r="C47" s="1" t="s">
        <v>27</v>
      </c>
      <c r="D47" s="31"/>
      <c r="E47" s="31"/>
      <c r="F47" s="31"/>
      <c r="G47" s="31"/>
      <c r="H47" s="32"/>
      <c r="I47" s="38" t="s">
        <v>27</v>
      </c>
      <c r="J47" s="3" t="s">
        <v>5</v>
      </c>
      <c r="K47" s="1" t="s">
        <v>27</v>
      </c>
      <c r="L47" s="31"/>
      <c r="M47" s="31"/>
      <c r="N47" s="31"/>
      <c r="O47" s="31"/>
      <c r="P47" s="32"/>
    </row>
    <row r="48" spans="1:19">
      <c r="A48" s="38" t="s">
        <v>27</v>
      </c>
      <c r="B48" s="1" t="s">
        <v>27</v>
      </c>
      <c r="C48" s="1" t="s">
        <v>27</v>
      </c>
      <c r="D48" s="31"/>
      <c r="E48" s="31"/>
      <c r="F48" s="31"/>
      <c r="G48" s="31"/>
      <c r="H48" s="32"/>
      <c r="I48" s="38" t="s">
        <v>27</v>
      </c>
      <c r="J48" s="3" t="s">
        <v>5</v>
      </c>
      <c r="K48" s="1" t="s">
        <v>27</v>
      </c>
      <c r="L48" s="31"/>
      <c r="M48" s="31"/>
      <c r="N48" s="31"/>
      <c r="O48" s="31"/>
      <c r="P48" s="32"/>
    </row>
    <row r="49" spans="1:16">
      <c r="A49" s="38" t="s">
        <v>27</v>
      </c>
      <c r="B49" s="1" t="s">
        <v>27</v>
      </c>
      <c r="C49" s="1" t="s">
        <v>27</v>
      </c>
      <c r="D49" s="31"/>
      <c r="E49" s="31"/>
      <c r="F49" s="31"/>
      <c r="G49" s="31"/>
      <c r="H49" s="32"/>
      <c r="I49" s="38" t="s">
        <v>27</v>
      </c>
      <c r="J49" s="3" t="s">
        <v>5</v>
      </c>
      <c r="K49" s="1" t="s">
        <v>27</v>
      </c>
      <c r="L49" s="31"/>
      <c r="M49" s="31"/>
      <c r="N49" s="31"/>
      <c r="O49" s="31"/>
      <c r="P49" s="32"/>
    </row>
    <row r="50" spans="1:16">
      <c r="A50" s="38" t="s">
        <v>27</v>
      </c>
      <c r="B50" s="1" t="s">
        <v>27</v>
      </c>
      <c r="C50" s="1" t="s">
        <v>27</v>
      </c>
      <c r="D50" s="31"/>
      <c r="E50" s="31"/>
      <c r="F50" s="31"/>
      <c r="G50" s="31"/>
      <c r="H50" s="32"/>
      <c r="I50" s="38" t="s">
        <v>27</v>
      </c>
      <c r="J50" s="15" t="s">
        <v>17</v>
      </c>
      <c r="K50" s="1" t="s">
        <v>27</v>
      </c>
      <c r="L50" s="31"/>
      <c r="M50" s="31"/>
      <c r="N50" s="31"/>
      <c r="O50" s="31"/>
      <c r="P50" s="32"/>
    </row>
    <row r="51" spans="1:16">
      <c r="A51" s="38" t="s">
        <v>27</v>
      </c>
      <c r="B51" s="1" t="s">
        <v>27</v>
      </c>
      <c r="C51" s="1" t="s">
        <v>27</v>
      </c>
      <c r="D51" s="31"/>
      <c r="E51" s="31"/>
      <c r="F51" s="31"/>
      <c r="G51" s="31"/>
      <c r="H51" s="32"/>
      <c r="I51" s="38" t="s">
        <v>27</v>
      </c>
      <c r="J51" s="3" t="s">
        <v>5</v>
      </c>
      <c r="K51" s="1" t="s">
        <v>27</v>
      </c>
      <c r="L51" s="31"/>
      <c r="M51" s="31"/>
      <c r="N51" s="31"/>
      <c r="O51" s="31"/>
      <c r="P51" s="32"/>
    </row>
    <row r="52" spans="1:16">
      <c r="A52" s="38" t="s">
        <v>27</v>
      </c>
      <c r="B52" s="1" t="s">
        <v>27</v>
      </c>
      <c r="C52" s="1" t="s">
        <v>27</v>
      </c>
      <c r="D52" s="31"/>
      <c r="E52" s="31"/>
      <c r="F52" s="31"/>
      <c r="G52" s="31"/>
      <c r="H52" s="32"/>
      <c r="I52" s="38" t="s">
        <v>27</v>
      </c>
      <c r="J52" s="3" t="s">
        <v>5</v>
      </c>
      <c r="K52" s="1" t="s">
        <v>27</v>
      </c>
      <c r="L52" s="31"/>
      <c r="M52" s="31"/>
      <c r="N52" s="31"/>
      <c r="O52" s="31"/>
      <c r="P52" s="32"/>
    </row>
    <row r="53" spans="1:16">
      <c r="A53" s="38" t="s">
        <v>27</v>
      </c>
      <c r="B53" s="1" t="s">
        <v>27</v>
      </c>
      <c r="C53" s="1" t="s">
        <v>27</v>
      </c>
      <c r="D53" s="31"/>
      <c r="E53" s="31"/>
      <c r="F53" s="31"/>
      <c r="G53" s="31"/>
      <c r="H53" s="32"/>
      <c r="I53" s="38" t="s">
        <v>27</v>
      </c>
      <c r="J53" s="3" t="s">
        <v>5</v>
      </c>
      <c r="K53" s="1" t="s">
        <v>27</v>
      </c>
      <c r="L53" s="31"/>
      <c r="M53" s="31"/>
      <c r="N53" s="31"/>
      <c r="O53" s="31"/>
      <c r="P53" s="32"/>
    </row>
    <row r="54" spans="1:16">
      <c r="A54" s="38" t="s">
        <v>27</v>
      </c>
      <c r="B54" s="1" t="s">
        <v>27</v>
      </c>
      <c r="C54" s="1" t="s">
        <v>27</v>
      </c>
      <c r="D54" s="31"/>
      <c r="E54" s="31"/>
      <c r="F54" s="31"/>
      <c r="G54" s="31"/>
      <c r="H54" s="32"/>
      <c r="I54" s="38" t="s">
        <v>27</v>
      </c>
      <c r="J54" s="3" t="s">
        <v>5</v>
      </c>
      <c r="K54" s="1" t="s">
        <v>27</v>
      </c>
      <c r="L54" s="31"/>
      <c r="M54" s="31"/>
      <c r="N54" s="31"/>
      <c r="O54" s="31"/>
      <c r="P54" s="32"/>
    </row>
    <row r="55" spans="1:16">
      <c r="A55" s="38" t="s">
        <v>27</v>
      </c>
      <c r="B55" s="1" t="s">
        <v>27</v>
      </c>
      <c r="C55" s="1" t="s">
        <v>27</v>
      </c>
      <c r="D55" s="31"/>
      <c r="E55" s="31"/>
      <c r="F55" s="31"/>
      <c r="G55" s="31"/>
      <c r="H55" s="32"/>
      <c r="I55" s="38" t="s">
        <v>27</v>
      </c>
      <c r="J55" s="16" t="s">
        <v>28</v>
      </c>
      <c r="K55" s="1" t="s">
        <v>27</v>
      </c>
      <c r="L55" s="31"/>
      <c r="M55" s="31"/>
      <c r="N55" s="31"/>
      <c r="O55" s="31"/>
      <c r="P55" s="32"/>
    </row>
    <row r="56" spans="1:16">
      <c r="A56" s="38" t="s">
        <v>27</v>
      </c>
      <c r="B56" s="1" t="s">
        <v>27</v>
      </c>
      <c r="C56" s="1" t="s">
        <v>27</v>
      </c>
      <c r="D56" s="31"/>
      <c r="E56" s="31"/>
      <c r="F56" s="31"/>
      <c r="G56" s="31"/>
      <c r="H56" s="32"/>
      <c r="I56" s="38" t="s">
        <v>27</v>
      </c>
      <c r="J56" s="3" t="s">
        <v>5</v>
      </c>
      <c r="K56" s="1" t="s">
        <v>27</v>
      </c>
      <c r="L56" s="31"/>
      <c r="M56" s="31"/>
      <c r="N56" s="31"/>
      <c r="O56" s="31"/>
      <c r="P56" s="32"/>
    </row>
    <row r="57" spans="1:16">
      <c r="A57" s="38" t="s">
        <v>27</v>
      </c>
      <c r="B57" s="1" t="s">
        <v>27</v>
      </c>
      <c r="C57" s="1" t="s">
        <v>27</v>
      </c>
      <c r="D57" s="31"/>
      <c r="E57" s="31"/>
      <c r="F57" s="31"/>
      <c r="G57" s="31"/>
      <c r="H57" s="32"/>
      <c r="I57" s="38" t="s">
        <v>27</v>
      </c>
      <c r="J57" s="3" t="s">
        <v>5</v>
      </c>
      <c r="K57" s="1" t="s">
        <v>27</v>
      </c>
      <c r="L57" s="31"/>
      <c r="M57" s="31"/>
      <c r="N57" s="31"/>
      <c r="O57" s="31"/>
      <c r="P57" s="32"/>
    </row>
    <row r="58" spans="1:16">
      <c r="A58" s="38" t="s">
        <v>27</v>
      </c>
      <c r="B58" s="1" t="s">
        <v>27</v>
      </c>
      <c r="C58" s="1" t="s">
        <v>27</v>
      </c>
      <c r="D58" s="31"/>
      <c r="E58" s="31"/>
      <c r="F58" s="31"/>
      <c r="G58" s="31"/>
      <c r="H58" s="32"/>
      <c r="I58" s="38" t="s">
        <v>27</v>
      </c>
      <c r="J58" s="15" t="s">
        <v>17</v>
      </c>
      <c r="K58" s="1" t="s">
        <v>27</v>
      </c>
      <c r="L58" s="31"/>
      <c r="M58" s="31"/>
      <c r="N58" s="31"/>
      <c r="O58" s="31"/>
      <c r="P58" s="32"/>
    </row>
    <row r="59" spans="1:16">
      <c r="A59" s="38" t="s">
        <v>27</v>
      </c>
      <c r="B59" s="1" t="s">
        <v>27</v>
      </c>
      <c r="C59" s="1" t="s">
        <v>27</v>
      </c>
      <c r="D59" s="31"/>
      <c r="E59" s="31"/>
      <c r="F59" s="31"/>
      <c r="G59" s="31"/>
      <c r="H59" s="32"/>
      <c r="I59" s="38" t="s">
        <v>27</v>
      </c>
      <c r="J59" s="3" t="s">
        <v>5</v>
      </c>
      <c r="K59" s="1" t="s">
        <v>27</v>
      </c>
      <c r="L59" s="31"/>
      <c r="M59" s="31"/>
      <c r="N59" s="31"/>
      <c r="O59" s="31"/>
      <c r="P59" s="32"/>
    </row>
    <row r="60" spans="1:16">
      <c r="A60" s="38" t="s">
        <v>27</v>
      </c>
      <c r="B60" s="1" t="s">
        <v>27</v>
      </c>
      <c r="C60" s="1" t="s">
        <v>27</v>
      </c>
      <c r="D60" s="31"/>
      <c r="E60" s="31"/>
      <c r="F60" s="31"/>
      <c r="G60" s="31"/>
      <c r="H60" s="32"/>
      <c r="I60" s="38" t="s">
        <v>27</v>
      </c>
      <c r="J60" s="3" t="s">
        <v>5</v>
      </c>
      <c r="K60" s="1" t="s">
        <v>27</v>
      </c>
      <c r="L60" s="31"/>
      <c r="M60" s="31"/>
      <c r="N60" s="31"/>
      <c r="O60" s="31"/>
      <c r="P60" s="32"/>
    </row>
    <row r="61" spans="1:16">
      <c r="A61" s="38" t="s">
        <v>27</v>
      </c>
      <c r="B61" s="1" t="s">
        <v>27</v>
      </c>
      <c r="C61" s="1" t="s">
        <v>27</v>
      </c>
      <c r="D61" s="31"/>
      <c r="E61" s="31"/>
      <c r="F61" s="31"/>
      <c r="G61" s="31"/>
      <c r="H61" s="32"/>
      <c r="I61" s="38" t="s">
        <v>27</v>
      </c>
      <c r="J61" s="3" t="s">
        <v>5</v>
      </c>
      <c r="K61" s="1" t="s">
        <v>27</v>
      </c>
      <c r="L61" s="31"/>
      <c r="M61" s="31"/>
      <c r="N61" s="31"/>
      <c r="O61" s="31"/>
      <c r="P61" s="32"/>
    </row>
    <row r="62" spans="1:16">
      <c r="A62" s="38" t="s">
        <v>27</v>
      </c>
      <c r="B62" s="1" t="s">
        <v>27</v>
      </c>
      <c r="C62" s="1" t="s">
        <v>27</v>
      </c>
      <c r="D62" s="31"/>
      <c r="E62" s="31"/>
      <c r="F62" s="31"/>
      <c r="G62" s="31"/>
      <c r="H62" s="32"/>
      <c r="I62" s="38" t="s">
        <v>27</v>
      </c>
      <c r="J62" s="3" t="s">
        <v>5</v>
      </c>
      <c r="K62" s="1" t="s">
        <v>27</v>
      </c>
      <c r="L62" s="31"/>
      <c r="M62" s="31"/>
      <c r="N62" s="31"/>
      <c r="O62" s="31"/>
      <c r="P62" s="32"/>
    </row>
    <row r="63" spans="1:16">
      <c r="A63" s="38" t="s">
        <v>27</v>
      </c>
      <c r="B63" s="1" t="s">
        <v>27</v>
      </c>
      <c r="C63" s="1" t="s">
        <v>27</v>
      </c>
      <c r="D63" s="31"/>
      <c r="E63" s="31"/>
      <c r="F63" s="31"/>
      <c r="G63" s="31"/>
      <c r="H63" s="32"/>
      <c r="I63" s="38" t="s">
        <v>27</v>
      </c>
      <c r="J63" s="15" t="s">
        <v>17</v>
      </c>
      <c r="K63" s="1" t="s">
        <v>27</v>
      </c>
      <c r="L63" s="31"/>
      <c r="M63" s="31"/>
      <c r="N63" s="31"/>
      <c r="O63" s="31"/>
      <c r="P63" s="32"/>
    </row>
    <row r="64" spans="1:16">
      <c r="A64" s="38" t="s">
        <v>27</v>
      </c>
      <c r="B64" s="1" t="s">
        <v>27</v>
      </c>
      <c r="C64" s="1" t="s">
        <v>27</v>
      </c>
      <c r="D64" s="31"/>
      <c r="E64" s="31"/>
      <c r="F64" s="31"/>
      <c r="G64" s="31"/>
      <c r="H64" s="32"/>
      <c r="I64" s="38" t="s">
        <v>27</v>
      </c>
      <c r="J64" s="3" t="s">
        <v>5</v>
      </c>
      <c r="K64" s="1" t="s">
        <v>27</v>
      </c>
      <c r="L64" s="31"/>
      <c r="M64" s="31"/>
      <c r="N64" s="31"/>
      <c r="O64" s="31"/>
      <c r="P64" s="32"/>
    </row>
    <row r="65" spans="1:16">
      <c r="A65" s="38" t="s">
        <v>27</v>
      </c>
      <c r="B65" s="1" t="s">
        <v>27</v>
      </c>
      <c r="C65" s="1" t="s">
        <v>27</v>
      </c>
      <c r="D65" s="31"/>
      <c r="E65" s="31"/>
      <c r="F65" s="31"/>
      <c r="G65" s="31"/>
      <c r="H65" s="32"/>
      <c r="I65" s="38" t="s">
        <v>27</v>
      </c>
      <c r="J65" s="3" t="s">
        <v>5</v>
      </c>
      <c r="K65" s="1" t="s">
        <v>27</v>
      </c>
      <c r="L65" s="31"/>
      <c r="M65" s="31"/>
      <c r="N65" s="31"/>
      <c r="O65" s="31"/>
      <c r="P65" s="32"/>
    </row>
    <row r="66" spans="1:16">
      <c r="A66" s="38" t="s">
        <v>27</v>
      </c>
      <c r="B66" s="1" t="s">
        <v>27</v>
      </c>
      <c r="C66" s="1" t="s">
        <v>27</v>
      </c>
      <c r="D66" s="31"/>
      <c r="E66" s="31"/>
      <c r="F66" s="31"/>
      <c r="G66" s="31"/>
      <c r="H66" s="32"/>
      <c r="I66" s="38" t="s">
        <v>27</v>
      </c>
      <c r="J66" s="9" t="s">
        <v>11</v>
      </c>
      <c r="K66" s="1" t="s">
        <v>27</v>
      </c>
      <c r="L66" s="31"/>
      <c r="M66" s="31"/>
      <c r="N66" s="31"/>
      <c r="O66" s="31"/>
      <c r="P66" s="32"/>
    </row>
    <row r="67" spans="1:16">
      <c r="A67" s="38" t="s">
        <v>27</v>
      </c>
      <c r="B67" s="1" t="s">
        <v>27</v>
      </c>
      <c r="C67" s="1" t="s">
        <v>27</v>
      </c>
      <c r="D67" s="31"/>
      <c r="E67" s="31"/>
      <c r="F67" s="31"/>
      <c r="G67" s="31"/>
      <c r="H67" s="32"/>
      <c r="I67" s="38" t="s">
        <v>27</v>
      </c>
      <c r="J67" s="3" t="s">
        <v>5</v>
      </c>
      <c r="K67" s="1" t="s">
        <v>27</v>
      </c>
      <c r="L67" s="31"/>
      <c r="M67" s="31"/>
      <c r="N67" s="31"/>
      <c r="O67" s="31"/>
      <c r="P67" s="32"/>
    </row>
    <row r="68" spans="1:16">
      <c r="A68" s="38" t="s">
        <v>27</v>
      </c>
      <c r="B68" s="1" t="s">
        <v>27</v>
      </c>
      <c r="C68" s="1" t="s">
        <v>27</v>
      </c>
      <c r="D68" s="31"/>
      <c r="E68" s="31"/>
      <c r="F68" s="31"/>
      <c r="G68" s="31"/>
      <c r="H68" s="32"/>
      <c r="I68" s="38" t="s">
        <v>27</v>
      </c>
      <c r="J68" s="3" t="s">
        <v>5</v>
      </c>
      <c r="K68" s="1" t="s">
        <v>27</v>
      </c>
      <c r="L68" s="31"/>
      <c r="M68" s="31"/>
      <c r="N68" s="31"/>
      <c r="O68" s="31"/>
      <c r="P68" s="32"/>
    </row>
    <row r="69" spans="1:16">
      <c r="A69" s="38" t="s">
        <v>27</v>
      </c>
      <c r="B69" s="1" t="s">
        <v>27</v>
      </c>
      <c r="C69" s="1" t="s">
        <v>27</v>
      </c>
      <c r="D69" s="31"/>
      <c r="E69" s="31"/>
      <c r="F69" s="31"/>
      <c r="G69" s="31"/>
      <c r="H69" s="32"/>
      <c r="I69" s="38" t="s">
        <v>27</v>
      </c>
      <c r="J69" s="15" t="s">
        <v>17</v>
      </c>
      <c r="K69" s="1" t="s">
        <v>27</v>
      </c>
      <c r="L69" s="31"/>
      <c r="M69" s="31"/>
      <c r="N69" s="31"/>
      <c r="O69" s="31"/>
      <c r="P69" s="32"/>
    </row>
    <row r="70" spans="1:16">
      <c r="A70" s="38" t="s">
        <v>27</v>
      </c>
      <c r="B70" s="1" t="s">
        <v>27</v>
      </c>
      <c r="C70" s="1" t="s">
        <v>27</v>
      </c>
      <c r="D70" s="31"/>
      <c r="E70" s="31"/>
      <c r="F70" s="31"/>
      <c r="G70" s="31"/>
      <c r="H70" s="32"/>
      <c r="I70" s="38" t="s">
        <v>27</v>
      </c>
      <c r="J70" s="1" t="s">
        <v>27</v>
      </c>
      <c r="K70" s="1" t="s">
        <v>27</v>
      </c>
      <c r="L70" s="31"/>
      <c r="M70" s="31"/>
      <c r="N70" s="31"/>
      <c r="O70" s="31"/>
      <c r="P70" s="32"/>
    </row>
    <row r="71" spans="1:16">
      <c r="A71" s="38" t="s">
        <v>27</v>
      </c>
      <c r="B71" s="1" t="s">
        <v>27</v>
      </c>
      <c r="C71" s="1" t="s">
        <v>27</v>
      </c>
      <c r="D71" s="31"/>
      <c r="E71" s="31"/>
      <c r="F71" s="31"/>
      <c r="G71" s="31"/>
      <c r="H71" s="32"/>
      <c r="I71" s="38" t="s">
        <v>27</v>
      </c>
      <c r="J71" s="1" t="s">
        <v>27</v>
      </c>
      <c r="K71" s="1" t="s">
        <v>27</v>
      </c>
      <c r="L71" s="31"/>
      <c r="M71" s="31"/>
      <c r="N71" s="31"/>
      <c r="O71" s="31"/>
      <c r="P71" s="32"/>
    </row>
    <row r="72" spans="1:16">
      <c r="A72" s="38" t="s">
        <v>27</v>
      </c>
      <c r="B72" s="1" t="s">
        <v>27</v>
      </c>
      <c r="C72" s="1" t="s">
        <v>27</v>
      </c>
      <c r="D72" s="31"/>
      <c r="E72" s="31"/>
      <c r="F72" s="31"/>
      <c r="G72" s="31"/>
      <c r="H72" s="32"/>
      <c r="I72" s="38" t="s">
        <v>27</v>
      </c>
      <c r="J72" s="1" t="s">
        <v>27</v>
      </c>
      <c r="K72" s="1" t="s">
        <v>27</v>
      </c>
      <c r="L72" s="31"/>
      <c r="M72" s="31"/>
      <c r="N72" s="31"/>
      <c r="O72" s="31"/>
      <c r="P72" s="32"/>
    </row>
    <row r="73" spans="1:16">
      <c r="A73" s="38" t="s">
        <v>27</v>
      </c>
      <c r="B73" s="1" t="s">
        <v>27</v>
      </c>
      <c r="C73" s="1" t="s">
        <v>27</v>
      </c>
      <c r="D73" s="31"/>
      <c r="E73" s="31"/>
      <c r="F73" s="31"/>
      <c r="G73" s="31"/>
      <c r="H73" s="32"/>
      <c r="I73" s="38" t="s">
        <v>27</v>
      </c>
      <c r="J73" s="1" t="s">
        <v>27</v>
      </c>
      <c r="K73" s="1" t="s">
        <v>27</v>
      </c>
      <c r="L73" s="31"/>
      <c r="M73" s="31"/>
      <c r="N73" s="31"/>
      <c r="O73" s="31"/>
      <c r="P73" s="32"/>
    </row>
    <row r="74" spans="1:16">
      <c r="A74" s="38" t="s">
        <v>27</v>
      </c>
      <c r="B74" s="1" t="s">
        <v>27</v>
      </c>
      <c r="C74" s="1" t="s">
        <v>27</v>
      </c>
      <c r="D74" s="31"/>
      <c r="E74" s="31"/>
      <c r="F74" s="31"/>
      <c r="G74" s="31"/>
      <c r="H74" s="32"/>
      <c r="I74" s="38" t="s">
        <v>27</v>
      </c>
      <c r="J74" s="1" t="s">
        <v>27</v>
      </c>
      <c r="K74" s="1" t="s">
        <v>27</v>
      </c>
      <c r="L74" s="31"/>
      <c r="M74" s="31"/>
      <c r="N74" s="31"/>
      <c r="O74" s="31"/>
      <c r="P74" s="32"/>
    </row>
    <row r="75" spans="1:16">
      <c r="A75" s="38" t="s">
        <v>27</v>
      </c>
      <c r="B75" s="1" t="s">
        <v>27</v>
      </c>
      <c r="C75" s="1" t="s">
        <v>27</v>
      </c>
      <c r="D75" s="31"/>
      <c r="E75" s="31"/>
      <c r="F75" s="31"/>
      <c r="G75" s="31"/>
      <c r="H75" s="32"/>
      <c r="I75" s="38" t="s">
        <v>27</v>
      </c>
      <c r="J75" s="1" t="s">
        <v>27</v>
      </c>
      <c r="K75" s="1" t="s">
        <v>27</v>
      </c>
      <c r="L75" s="31"/>
      <c r="M75" s="31"/>
      <c r="N75" s="31"/>
      <c r="O75" s="31"/>
      <c r="P75" s="32"/>
    </row>
    <row r="76" spans="1:16">
      <c r="A76" s="38" t="s">
        <v>27</v>
      </c>
      <c r="B76" s="1" t="s">
        <v>27</v>
      </c>
      <c r="C76" s="1" t="s">
        <v>27</v>
      </c>
      <c r="D76" s="31"/>
      <c r="E76" s="31"/>
      <c r="F76" s="31"/>
      <c r="G76" s="31"/>
      <c r="H76" s="32"/>
      <c r="I76" s="38" t="s">
        <v>27</v>
      </c>
      <c r="J76" s="1" t="s">
        <v>27</v>
      </c>
      <c r="K76" s="1" t="s">
        <v>27</v>
      </c>
      <c r="L76" s="31"/>
      <c r="M76" s="31"/>
      <c r="N76" s="31"/>
      <c r="O76" s="31"/>
      <c r="P76" s="32"/>
    </row>
    <row r="77" spans="1:16">
      <c r="A77" s="38" t="s">
        <v>27</v>
      </c>
      <c r="B77" s="1" t="s">
        <v>27</v>
      </c>
      <c r="C77" s="1" t="s">
        <v>27</v>
      </c>
      <c r="D77" s="31"/>
      <c r="E77" s="31"/>
      <c r="F77" s="31"/>
      <c r="G77" s="31"/>
      <c r="H77" s="32"/>
      <c r="I77" s="38" t="s">
        <v>27</v>
      </c>
      <c r="J77" s="1" t="s">
        <v>27</v>
      </c>
      <c r="K77" s="1" t="s">
        <v>27</v>
      </c>
      <c r="L77" s="31"/>
      <c r="M77" s="31"/>
      <c r="N77" s="31"/>
      <c r="O77" s="31"/>
      <c r="P77" s="32"/>
    </row>
    <row r="78" spans="1:16">
      <c r="A78" s="38" t="s">
        <v>27</v>
      </c>
      <c r="B78" s="1" t="s">
        <v>27</v>
      </c>
      <c r="C78" s="1" t="s">
        <v>27</v>
      </c>
      <c r="D78" s="31"/>
      <c r="E78" s="31"/>
      <c r="F78" s="31"/>
      <c r="G78" s="31"/>
      <c r="H78" s="32"/>
      <c r="I78" s="38" t="s">
        <v>27</v>
      </c>
      <c r="J78" s="1" t="s">
        <v>27</v>
      </c>
      <c r="K78" s="1" t="s">
        <v>27</v>
      </c>
      <c r="L78" s="31"/>
      <c r="M78" s="31"/>
      <c r="N78" s="31"/>
      <c r="O78" s="31"/>
      <c r="P78" s="32"/>
    </row>
    <row r="79" spans="1:16">
      <c r="A79" s="38" t="s">
        <v>27</v>
      </c>
      <c r="B79" s="1" t="s">
        <v>27</v>
      </c>
      <c r="C79" s="1" t="s">
        <v>27</v>
      </c>
      <c r="D79" s="31"/>
      <c r="E79" s="31"/>
      <c r="F79" s="31"/>
      <c r="G79" s="31"/>
      <c r="H79" s="32"/>
      <c r="I79" s="38" t="s">
        <v>27</v>
      </c>
      <c r="J79" s="1" t="s">
        <v>27</v>
      </c>
      <c r="K79" s="1" t="s">
        <v>27</v>
      </c>
      <c r="L79" s="31"/>
      <c r="M79" s="31"/>
      <c r="N79" s="31"/>
      <c r="O79" s="31"/>
      <c r="P79" s="32"/>
    </row>
    <row r="80" spans="1:16">
      <c r="A80" s="38" t="s">
        <v>27</v>
      </c>
      <c r="B80" s="1" t="s">
        <v>27</v>
      </c>
      <c r="C80" s="1" t="s">
        <v>27</v>
      </c>
      <c r="D80" s="31"/>
      <c r="E80" s="31"/>
      <c r="F80" s="31"/>
      <c r="G80" s="31"/>
      <c r="H80" s="32"/>
      <c r="I80" s="38" t="s">
        <v>27</v>
      </c>
      <c r="J80" s="1" t="s">
        <v>27</v>
      </c>
      <c r="K80" s="1" t="s">
        <v>27</v>
      </c>
      <c r="L80" s="31"/>
      <c r="M80" s="31"/>
      <c r="N80" s="31"/>
      <c r="O80" s="31"/>
      <c r="P80" s="32"/>
    </row>
    <row r="81" spans="1:16">
      <c r="A81" s="38" t="s">
        <v>27</v>
      </c>
      <c r="B81" s="1" t="s">
        <v>27</v>
      </c>
      <c r="C81" s="1" t="s">
        <v>27</v>
      </c>
      <c r="D81" s="31"/>
      <c r="E81" s="31"/>
      <c r="F81" s="31"/>
      <c r="G81" s="31"/>
      <c r="H81" s="32"/>
      <c r="I81" s="38" t="s">
        <v>27</v>
      </c>
      <c r="J81" s="1" t="s">
        <v>27</v>
      </c>
      <c r="K81" s="1" t="s">
        <v>27</v>
      </c>
      <c r="L81" s="31"/>
      <c r="M81" s="31"/>
      <c r="N81" s="31"/>
      <c r="O81" s="31"/>
      <c r="P81" s="32"/>
    </row>
    <row r="82" spans="1:16">
      <c r="A82" s="38" t="s">
        <v>27</v>
      </c>
      <c r="B82" s="1" t="s">
        <v>27</v>
      </c>
      <c r="C82" s="1" t="s">
        <v>27</v>
      </c>
      <c r="D82" s="31"/>
      <c r="E82" s="31"/>
      <c r="F82" s="31"/>
      <c r="G82" s="31"/>
      <c r="H82" s="32"/>
      <c r="I82" s="38" t="s">
        <v>27</v>
      </c>
      <c r="J82" s="1" t="s">
        <v>27</v>
      </c>
      <c r="K82" s="1" t="s">
        <v>27</v>
      </c>
      <c r="L82" s="31"/>
      <c r="M82" s="31"/>
      <c r="N82" s="31"/>
      <c r="O82" s="31"/>
      <c r="P82" s="32"/>
    </row>
    <row r="83" spans="1:16">
      <c r="A83" s="38" t="s">
        <v>27</v>
      </c>
      <c r="B83" s="1" t="s">
        <v>27</v>
      </c>
      <c r="C83" s="1" t="s">
        <v>27</v>
      </c>
      <c r="D83" s="31"/>
      <c r="E83" s="31"/>
      <c r="F83" s="31"/>
      <c r="G83" s="31"/>
      <c r="H83" s="32"/>
      <c r="I83" s="38" t="s">
        <v>27</v>
      </c>
      <c r="J83" s="1" t="s">
        <v>27</v>
      </c>
      <c r="K83" s="1" t="s">
        <v>27</v>
      </c>
      <c r="L83" s="31"/>
      <c r="M83" s="31"/>
      <c r="N83" s="31"/>
      <c r="O83" s="31"/>
      <c r="P83" s="32"/>
    </row>
    <row r="84" spans="1:16">
      <c r="A84" s="38" t="s">
        <v>27</v>
      </c>
      <c r="B84" s="1" t="s">
        <v>27</v>
      </c>
      <c r="C84" s="1" t="s">
        <v>27</v>
      </c>
      <c r="D84" s="31"/>
      <c r="E84" s="31"/>
      <c r="F84" s="31"/>
      <c r="G84" s="31"/>
      <c r="H84" s="32"/>
      <c r="I84" s="38" t="s">
        <v>27</v>
      </c>
      <c r="J84" s="1" t="s">
        <v>27</v>
      </c>
      <c r="K84" s="1" t="s">
        <v>27</v>
      </c>
      <c r="L84" s="31"/>
      <c r="M84" s="31"/>
      <c r="N84" s="31"/>
      <c r="O84" s="31"/>
      <c r="P84" s="32"/>
    </row>
    <row r="85" spans="1:16">
      <c r="A85" s="38" t="s">
        <v>27</v>
      </c>
      <c r="B85" s="1" t="s">
        <v>27</v>
      </c>
      <c r="C85" s="1" t="s">
        <v>27</v>
      </c>
      <c r="D85" s="31"/>
      <c r="E85" s="31"/>
      <c r="F85" s="31"/>
      <c r="G85" s="31"/>
      <c r="H85" s="32"/>
      <c r="I85" s="38" t="s">
        <v>27</v>
      </c>
      <c r="J85" s="1" t="s">
        <v>27</v>
      </c>
      <c r="K85" s="1" t="s">
        <v>27</v>
      </c>
      <c r="L85" s="31"/>
      <c r="M85" s="31"/>
      <c r="N85" s="31"/>
      <c r="O85" s="31"/>
      <c r="P85" s="32"/>
    </row>
    <row r="86" spans="1:16">
      <c r="A86" s="38" t="s">
        <v>27</v>
      </c>
      <c r="B86" s="1" t="s">
        <v>27</v>
      </c>
      <c r="C86" s="1" t="s">
        <v>27</v>
      </c>
      <c r="D86" s="31"/>
      <c r="E86" s="31"/>
      <c r="F86" s="31"/>
      <c r="G86" s="31"/>
      <c r="H86" s="32"/>
      <c r="I86" s="38" t="s">
        <v>27</v>
      </c>
      <c r="J86" s="1" t="s">
        <v>27</v>
      </c>
      <c r="K86" s="1" t="s">
        <v>27</v>
      </c>
      <c r="L86" s="31"/>
      <c r="M86" s="31"/>
      <c r="N86" s="31"/>
      <c r="O86" s="31"/>
      <c r="P86" s="32"/>
    </row>
    <row r="87" spans="1:16">
      <c r="A87" s="38" t="s">
        <v>27</v>
      </c>
      <c r="B87" s="1" t="s">
        <v>27</v>
      </c>
      <c r="C87" s="1" t="s">
        <v>27</v>
      </c>
      <c r="D87" s="31"/>
      <c r="E87" s="31"/>
      <c r="F87" s="31"/>
      <c r="G87" s="31"/>
      <c r="H87" s="32"/>
      <c r="I87" s="38" t="s">
        <v>27</v>
      </c>
      <c r="J87" s="1" t="s">
        <v>27</v>
      </c>
      <c r="K87" s="1" t="s">
        <v>27</v>
      </c>
      <c r="L87" s="31"/>
      <c r="M87" s="31"/>
      <c r="N87" s="31"/>
      <c r="O87" s="31"/>
      <c r="P87" s="32"/>
    </row>
    <row r="88" spans="1:16">
      <c r="A88" s="38" t="s">
        <v>27</v>
      </c>
      <c r="B88" s="1" t="s">
        <v>27</v>
      </c>
      <c r="C88" s="1" t="s">
        <v>27</v>
      </c>
      <c r="D88" s="31"/>
      <c r="E88" s="31"/>
      <c r="F88" s="31"/>
      <c r="G88" s="31"/>
      <c r="H88" s="32"/>
      <c r="I88" s="38" t="s">
        <v>27</v>
      </c>
      <c r="J88" s="1" t="s">
        <v>27</v>
      </c>
      <c r="K88" s="1" t="s">
        <v>27</v>
      </c>
      <c r="L88" s="31"/>
      <c r="M88" s="31"/>
      <c r="N88" s="31"/>
      <c r="O88" s="31"/>
      <c r="P88" s="32"/>
    </row>
    <row r="89" spans="1:16">
      <c r="A89" s="38" t="s">
        <v>27</v>
      </c>
      <c r="B89" s="1" t="s">
        <v>27</v>
      </c>
      <c r="C89" s="1" t="s">
        <v>27</v>
      </c>
      <c r="D89" s="31"/>
      <c r="E89" s="31"/>
      <c r="F89" s="31"/>
      <c r="G89" s="31"/>
      <c r="H89" s="32"/>
      <c r="I89" s="38" t="s">
        <v>27</v>
      </c>
      <c r="J89" s="1" t="s">
        <v>27</v>
      </c>
      <c r="K89" s="1" t="s">
        <v>27</v>
      </c>
      <c r="L89" s="31"/>
      <c r="M89" s="31"/>
      <c r="N89" s="31"/>
      <c r="O89" s="31"/>
      <c r="P89" s="32"/>
    </row>
    <row r="90" spans="1:16">
      <c r="A90" s="38" t="s">
        <v>27</v>
      </c>
      <c r="B90" s="1" t="s">
        <v>27</v>
      </c>
      <c r="C90" s="1" t="s">
        <v>27</v>
      </c>
      <c r="D90" s="31"/>
      <c r="E90" s="31"/>
      <c r="F90" s="31"/>
      <c r="G90" s="31"/>
      <c r="H90" s="32"/>
      <c r="I90" s="38" t="s">
        <v>27</v>
      </c>
      <c r="J90" s="1" t="s">
        <v>27</v>
      </c>
      <c r="K90" s="1" t="s">
        <v>27</v>
      </c>
      <c r="L90" s="31"/>
      <c r="M90" s="31"/>
      <c r="N90" s="31"/>
      <c r="O90" s="31"/>
      <c r="P90" s="32"/>
    </row>
    <row r="91" spans="1:16">
      <c r="A91" s="38" t="s">
        <v>27</v>
      </c>
      <c r="B91" s="1" t="s">
        <v>27</v>
      </c>
      <c r="C91" s="1" t="s">
        <v>27</v>
      </c>
      <c r="D91" s="31"/>
      <c r="E91" s="31"/>
      <c r="F91" s="31"/>
      <c r="G91" s="31"/>
      <c r="H91" s="32"/>
      <c r="I91" s="38" t="s">
        <v>27</v>
      </c>
      <c r="J91" s="1" t="s">
        <v>27</v>
      </c>
      <c r="K91" s="1" t="s">
        <v>27</v>
      </c>
      <c r="L91" s="31"/>
      <c r="M91" s="31"/>
      <c r="N91" s="31"/>
      <c r="O91" s="31"/>
      <c r="P91" s="32"/>
    </row>
    <row r="92" spans="1:16">
      <c r="A92" s="38" t="s">
        <v>27</v>
      </c>
      <c r="B92" s="1" t="s">
        <v>27</v>
      </c>
      <c r="C92" s="1" t="s">
        <v>27</v>
      </c>
      <c r="D92" s="31"/>
      <c r="E92" s="31"/>
      <c r="F92" s="31"/>
      <c r="G92" s="31"/>
      <c r="H92" s="32"/>
      <c r="I92" s="38" t="s">
        <v>27</v>
      </c>
      <c r="J92" s="1" t="s">
        <v>27</v>
      </c>
      <c r="K92" s="1" t="s">
        <v>27</v>
      </c>
      <c r="L92" s="31"/>
      <c r="M92" s="31"/>
      <c r="N92" s="31"/>
      <c r="O92" s="31"/>
      <c r="P92" s="32"/>
    </row>
    <row r="93" spans="1:16">
      <c r="A93" s="38" t="s">
        <v>27</v>
      </c>
      <c r="B93" s="1" t="s">
        <v>27</v>
      </c>
      <c r="C93" s="1" t="s">
        <v>27</v>
      </c>
      <c r="D93" s="31"/>
      <c r="E93" s="31"/>
      <c r="F93" s="31"/>
      <c r="G93" s="31"/>
      <c r="H93" s="32"/>
      <c r="I93" s="38" t="s">
        <v>27</v>
      </c>
      <c r="J93" s="1" t="s">
        <v>27</v>
      </c>
      <c r="K93" s="1" t="s">
        <v>27</v>
      </c>
      <c r="L93" s="31"/>
      <c r="M93" s="31"/>
      <c r="N93" s="31"/>
      <c r="O93" s="31"/>
      <c r="P93" s="32"/>
    </row>
    <row r="94" spans="1:16">
      <c r="A94" s="38" t="s">
        <v>27</v>
      </c>
      <c r="B94" s="1" t="s">
        <v>27</v>
      </c>
      <c r="C94" s="1" t="s">
        <v>27</v>
      </c>
      <c r="D94" s="31"/>
      <c r="E94" s="31"/>
      <c r="F94" s="31"/>
      <c r="G94" s="31"/>
      <c r="H94" s="32"/>
      <c r="I94" s="38" t="s">
        <v>27</v>
      </c>
      <c r="J94" s="1" t="s">
        <v>27</v>
      </c>
      <c r="K94" s="1" t="s">
        <v>27</v>
      </c>
      <c r="L94" s="31"/>
      <c r="M94" s="31"/>
      <c r="N94" s="31"/>
      <c r="O94" s="31"/>
      <c r="P94" s="32"/>
    </row>
    <row r="95" spans="1:16">
      <c r="A95" s="38" t="s">
        <v>27</v>
      </c>
      <c r="B95" s="1" t="s">
        <v>27</v>
      </c>
      <c r="C95" s="1" t="s">
        <v>27</v>
      </c>
      <c r="D95" s="31"/>
      <c r="E95" s="31"/>
      <c r="F95" s="31"/>
      <c r="G95" s="31"/>
      <c r="H95" s="32"/>
      <c r="I95" s="38" t="s">
        <v>27</v>
      </c>
      <c r="J95" s="1" t="s">
        <v>27</v>
      </c>
      <c r="K95" s="1" t="s">
        <v>27</v>
      </c>
      <c r="L95" s="31"/>
      <c r="M95" s="31"/>
      <c r="N95" s="31"/>
      <c r="O95" s="31"/>
      <c r="P95" s="32"/>
    </row>
    <row r="96" spans="1:16">
      <c r="A96" s="38" t="s">
        <v>27</v>
      </c>
      <c r="B96" s="1" t="s">
        <v>27</v>
      </c>
      <c r="C96" s="1" t="s">
        <v>27</v>
      </c>
      <c r="D96" s="31"/>
      <c r="E96" s="31"/>
      <c r="F96" s="31"/>
      <c r="G96" s="31"/>
      <c r="H96" s="32"/>
      <c r="I96" s="38" t="s">
        <v>27</v>
      </c>
      <c r="J96" s="1" t="s">
        <v>27</v>
      </c>
      <c r="K96" s="1" t="s">
        <v>27</v>
      </c>
      <c r="L96" s="31"/>
      <c r="M96" s="31"/>
      <c r="N96" s="31"/>
      <c r="O96" s="31"/>
      <c r="P96" s="32"/>
    </row>
    <row r="97" spans="1:16">
      <c r="A97" s="38" t="s">
        <v>27</v>
      </c>
      <c r="B97" s="1" t="s">
        <v>27</v>
      </c>
      <c r="C97" s="1" t="s">
        <v>27</v>
      </c>
      <c r="D97" s="31"/>
      <c r="E97" s="31"/>
      <c r="F97" s="31"/>
      <c r="G97" s="31"/>
      <c r="H97" s="32"/>
      <c r="I97" s="38" t="s">
        <v>27</v>
      </c>
      <c r="J97" s="1" t="s">
        <v>27</v>
      </c>
      <c r="K97" s="1" t="s">
        <v>27</v>
      </c>
      <c r="L97" s="31"/>
      <c r="M97" s="31"/>
      <c r="N97" s="31"/>
      <c r="O97" s="31"/>
      <c r="P97" s="32"/>
    </row>
    <row r="98" spans="1:16">
      <c r="A98" s="38" t="s">
        <v>27</v>
      </c>
      <c r="B98" s="1" t="s">
        <v>27</v>
      </c>
      <c r="C98" s="1" t="s">
        <v>27</v>
      </c>
      <c r="D98" s="31"/>
      <c r="E98" s="31"/>
      <c r="F98" s="31"/>
      <c r="G98" s="31"/>
      <c r="H98" s="32"/>
      <c r="I98" s="38" t="s">
        <v>27</v>
      </c>
      <c r="J98" s="1" t="s">
        <v>27</v>
      </c>
      <c r="K98" s="1" t="s">
        <v>27</v>
      </c>
      <c r="L98" s="31"/>
      <c r="M98" s="31"/>
      <c r="N98" s="31"/>
      <c r="O98" s="31"/>
      <c r="P98" s="32"/>
    </row>
    <row r="99" spans="1:16">
      <c r="A99" s="38" t="s">
        <v>27</v>
      </c>
      <c r="B99" s="1" t="s">
        <v>27</v>
      </c>
      <c r="C99" s="1" t="s">
        <v>27</v>
      </c>
      <c r="D99" s="31"/>
      <c r="E99" s="31"/>
      <c r="F99" s="31"/>
      <c r="G99" s="31"/>
      <c r="H99" s="32"/>
      <c r="I99" s="38" t="s">
        <v>27</v>
      </c>
      <c r="J99" s="1" t="s">
        <v>27</v>
      </c>
      <c r="K99" s="1" t="s">
        <v>27</v>
      </c>
      <c r="L99" s="31"/>
      <c r="M99" s="31"/>
      <c r="N99" s="31"/>
      <c r="O99" s="31"/>
      <c r="P99" s="32"/>
    </row>
    <row r="100" spans="1:16" ht="15" thickBot="1">
      <c r="A100" s="39" t="s">
        <v>27</v>
      </c>
      <c r="B100" s="40" t="s">
        <v>27</v>
      </c>
      <c r="C100" s="40" t="s">
        <v>27</v>
      </c>
      <c r="D100" s="41"/>
      <c r="E100" s="41"/>
      <c r="F100" s="41"/>
      <c r="G100" s="41"/>
      <c r="H100" s="42"/>
      <c r="I100" s="39" t="s">
        <v>27</v>
      </c>
      <c r="J100" s="40" t="s">
        <v>27</v>
      </c>
      <c r="K100" s="40" t="s">
        <v>27</v>
      </c>
      <c r="L100" s="41"/>
      <c r="M100" s="41"/>
      <c r="N100" s="41"/>
      <c r="O100" s="41"/>
      <c r="P100" s="4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5163-E26A-4211-B65F-7EBC82BE5402}">
  <dimension ref="A1:AB100"/>
  <sheetViews>
    <sheetView topLeftCell="D1" workbookViewId="0">
      <selection activeCell="T2" sqref="T2:Y28"/>
    </sheetView>
  </sheetViews>
  <sheetFormatPr defaultRowHeight="14.4"/>
  <sheetData>
    <row r="1" spans="1:28" ht="15.6">
      <c r="A1" s="70" t="s">
        <v>30</v>
      </c>
      <c r="B1" s="71"/>
      <c r="C1" s="71"/>
      <c r="D1" s="71"/>
      <c r="E1" s="71"/>
      <c r="F1" s="72" t="s">
        <v>3</v>
      </c>
      <c r="G1" s="72"/>
      <c r="H1" s="27" cm="1">
        <f t="array" ref="H1">SUM(VLOOKUP(A4:C100,$T$3:$W$36,4,FALSE))+H4*10-H8*50</f>
        <v>2479.7752794047424</v>
      </c>
      <c r="I1" s="73" t="s">
        <v>41</v>
      </c>
      <c r="J1" s="74"/>
      <c r="K1" s="74"/>
      <c r="L1" s="74"/>
      <c r="M1" s="74"/>
      <c r="N1" s="74"/>
      <c r="O1" s="74"/>
      <c r="P1" s="75"/>
      <c r="Q1" s="73" t="s">
        <v>48</v>
      </c>
      <c r="R1" s="74"/>
      <c r="S1" s="74"/>
      <c r="T1" s="74"/>
      <c r="U1" s="74"/>
      <c r="V1" s="74"/>
      <c r="W1" s="74"/>
      <c r="X1" s="74"/>
      <c r="Y1" s="74"/>
      <c r="Z1" s="74"/>
      <c r="AA1" s="74"/>
      <c r="AB1" s="75"/>
    </row>
    <row r="2" spans="1:28" ht="28.8">
      <c r="A2" s="76" t="s">
        <v>35</v>
      </c>
      <c r="B2" s="77"/>
      <c r="C2" s="77"/>
      <c r="D2" s="78" t="s">
        <v>37</v>
      </c>
      <c r="E2" s="79"/>
      <c r="F2" s="79"/>
      <c r="G2" s="79"/>
      <c r="H2" s="80"/>
      <c r="I2" s="81" t="s">
        <v>35</v>
      </c>
      <c r="J2" s="82"/>
      <c r="K2" s="82"/>
      <c r="L2" s="83" t="s">
        <v>37</v>
      </c>
      <c r="M2" s="83"/>
      <c r="N2" s="83"/>
      <c r="O2" s="83"/>
      <c r="P2" s="84"/>
      <c r="Q2" s="60" t="s">
        <v>43</v>
      </c>
      <c r="R2" s="61" cm="1">
        <f t="array" ref="R2">SUM(V3:V28*AB3:AB28)+H6+P6+R4*500</f>
        <v>65155</v>
      </c>
      <c r="S2" s="31"/>
      <c r="T2" s="1" t="s">
        <v>0</v>
      </c>
      <c r="U2" s="1" t="s">
        <v>1</v>
      </c>
      <c r="V2" s="1" t="s">
        <v>2</v>
      </c>
      <c r="W2" s="54" t="s">
        <v>3</v>
      </c>
      <c r="X2" s="56" t="s">
        <v>44</v>
      </c>
      <c r="Y2" s="56" t="s">
        <v>56</v>
      </c>
      <c r="Z2" s="57" t="s">
        <v>45</v>
      </c>
      <c r="AA2" s="57" t="s">
        <v>46</v>
      </c>
      <c r="AB2" s="62" t="s">
        <v>47</v>
      </c>
    </row>
    <row r="3" spans="1:28">
      <c r="A3" s="28" t="s">
        <v>31</v>
      </c>
      <c r="B3" s="68" t="s">
        <v>32</v>
      </c>
      <c r="C3" s="20" t="s">
        <v>33</v>
      </c>
      <c r="D3" s="43"/>
      <c r="E3" s="28" t="s">
        <v>31</v>
      </c>
      <c r="F3" s="68" t="s">
        <v>32</v>
      </c>
      <c r="G3" s="20" t="s">
        <v>33</v>
      </c>
      <c r="H3" s="44" t="s">
        <v>36</v>
      </c>
      <c r="I3" s="28" t="s">
        <v>31</v>
      </c>
      <c r="J3" s="68" t="s">
        <v>32</v>
      </c>
      <c r="K3" s="20" t="s">
        <v>33</v>
      </c>
      <c r="L3" s="43"/>
      <c r="M3" s="28" t="s">
        <v>31</v>
      </c>
      <c r="N3" s="68" t="s">
        <v>32</v>
      </c>
      <c r="O3" s="20" t="s">
        <v>33</v>
      </c>
      <c r="P3" s="44" t="s">
        <v>36</v>
      </c>
      <c r="Q3" s="63" t="s">
        <v>49</v>
      </c>
      <c r="R3" s="31">
        <v>91</v>
      </c>
      <c r="S3" s="31"/>
      <c r="T3" s="2" t="s">
        <v>4</v>
      </c>
      <c r="U3" s="1">
        <v>150</v>
      </c>
      <c r="V3" s="1">
        <v>35</v>
      </c>
      <c r="W3" s="55">
        <f>U3-V3/0.330882</f>
        <v>44.222109392472248</v>
      </c>
      <c r="X3" s="56"/>
      <c r="Y3" s="56">
        <v>10</v>
      </c>
      <c r="Z3" s="1">
        <f>COUNTIF($A$4:$C$100,T3)</f>
        <v>6</v>
      </c>
      <c r="AA3" s="1">
        <f>COUNTIF($I$4:$K$100,T3)</f>
        <v>4</v>
      </c>
      <c r="AB3" s="64">
        <f>Y3-Z3-AA3</f>
        <v>0</v>
      </c>
    </row>
    <row r="4" spans="1:28">
      <c r="A4" s="2" t="s">
        <v>4</v>
      </c>
      <c r="B4" s="15" t="s">
        <v>17</v>
      </c>
      <c r="C4" s="3" t="s">
        <v>5</v>
      </c>
      <c r="D4" s="53" t="s">
        <v>34</v>
      </c>
      <c r="E4" s="49">
        <v>5</v>
      </c>
      <c r="F4" s="49">
        <v>0</v>
      </c>
      <c r="G4" s="49">
        <v>1</v>
      </c>
      <c r="H4" s="46">
        <f>SUM(E4:G4)</f>
        <v>6</v>
      </c>
      <c r="I4" s="1" t="s">
        <v>27</v>
      </c>
      <c r="J4" s="15" t="s">
        <v>17</v>
      </c>
      <c r="K4" s="1" t="s">
        <v>27</v>
      </c>
      <c r="L4" s="53" t="s">
        <v>34</v>
      </c>
      <c r="M4" s="49">
        <v>0</v>
      </c>
      <c r="N4" s="49">
        <v>4</v>
      </c>
      <c r="O4" s="49">
        <v>0</v>
      </c>
      <c r="P4" s="46">
        <f>SUM(M4:O4)</f>
        <v>4</v>
      </c>
      <c r="Q4" s="63" t="s">
        <v>50</v>
      </c>
      <c r="R4" s="50">
        <v>14</v>
      </c>
      <c r="S4" s="31"/>
      <c r="T4" s="3" t="s">
        <v>5</v>
      </c>
      <c r="U4" s="1">
        <v>160</v>
      </c>
      <c r="V4" s="1">
        <v>40</v>
      </c>
      <c r="W4" s="55">
        <f t="shared" ref="W4" si="0">U4-V4/0.330882</f>
        <v>39.110982162825422</v>
      </c>
      <c r="X4" s="56"/>
      <c r="Y4" s="56">
        <v>48</v>
      </c>
      <c r="Z4" s="1">
        <f t="shared" ref="Z4:Z28" si="1">COUNTIF($A$4:$C$100,T4)</f>
        <v>13</v>
      </c>
      <c r="AA4" s="1">
        <f t="shared" ref="AA4:AA28" si="2">COUNTIF($I$4:$K$100,T4)</f>
        <v>35</v>
      </c>
      <c r="AB4" s="64">
        <f t="shared" ref="AB4:AB28" si="3">Y4-Z4-AA4</f>
        <v>0</v>
      </c>
    </row>
    <row r="5" spans="1:28">
      <c r="A5" s="2" t="s">
        <v>4</v>
      </c>
      <c r="B5" s="3" t="s">
        <v>5</v>
      </c>
      <c r="C5" s="16" t="s">
        <v>18</v>
      </c>
      <c r="D5" s="43" t="s">
        <v>38</v>
      </c>
      <c r="E5" s="45" cm="1">
        <f t="array" ref="E5">(SUM(VLOOKUP(A4:A100,$T$3:$W$41,2,FALSE))+E4*10)-E8*50</f>
        <v>5670</v>
      </c>
      <c r="F5" s="45" cm="1">
        <f t="array" ref="F5">(SUM(VLOOKUP(B4:B100,$T$3:$W$41,2,FALSE))+F4*10)-F8*50</f>
        <v>850</v>
      </c>
      <c r="G5" s="45" cm="1">
        <f t="array" ref="G5">(SUM(VLOOKUP(C4:C100,$T$3:$W$41,2,FALSE))+G4*10)-G8*50</f>
        <v>6080</v>
      </c>
      <c r="H5" s="69">
        <f t="shared" ref="H5:H8" si="4">SUM(E5:G5)</f>
        <v>12600</v>
      </c>
      <c r="I5" s="1" t="s">
        <v>27</v>
      </c>
      <c r="J5" s="3" t="s">
        <v>5</v>
      </c>
      <c r="K5" s="1" t="s">
        <v>27</v>
      </c>
      <c r="L5" s="43" t="s">
        <v>38</v>
      </c>
      <c r="M5" s="45" cm="1">
        <f t="array" ref="M5">(SUM(VLOOKUP(I4:I100,$T$3:$W$41,2,FALSE))+M4*10)*0.8-M8*40</f>
        <v>0</v>
      </c>
      <c r="N5" s="45" cm="1">
        <f t="array" ref="N5">(SUM(VLOOKUP(J4:J100,$T$3:$W$41,2,FALSE))+N4*10)*0.8-N8*40</f>
        <v>5432</v>
      </c>
      <c r="O5" s="45" cm="1">
        <f t="array" ref="O5">(SUM(VLOOKUP(K4:K100,$T$3:$W$41,2,FALSE))+O4*10)*0.8-O8*40</f>
        <v>0</v>
      </c>
      <c r="P5" s="69">
        <f t="shared" ref="P5:P8" si="5">SUM(M5:O5)</f>
        <v>5432</v>
      </c>
      <c r="Q5" s="63" t="s">
        <v>51</v>
      </c>
      <c r="R5" s="31">
        <v>6000</v>
      </c>
      <c r="S5" s="31"/>
      <c r="T5" s="4" t="s">
        <v>6</v>
      </c>
      <c r="U5" s="1">
        <v>170</v>
      </c>
      <c r="V5" s="1">
        <v>45</v>
      </c>
      <c r="W5" s="55">
        <v>34</v>
      </c>
      <c r="X5" s="58"/>
      <c r="Y5" s="56">
        <v>239</v>
      </c>
      <c r="Z5" s="1">
        <f t="shared" si="1"/>
        <v>48</v>
      </c>
      <c r="AA5" s="1">
        <f t="shared" si="2"/>
        <v>0</v>
      </c>
      <c r="AB5" s="64">
        <f t="shared" si="3"/>
        <v>191</v>
      </c>
    </row>
    <row r="6" spans="1:28">
      <c r="A6" s="2" t="s">
        <v>4</v>
      </c>
      <c r="B6" s="3" t="s">
        <v>5</v>
      </c>
      <c r="C6" s="3" t="s">
        <v>5</v>
      </c>
      <c r="D6" s="43" t="s">
        <v>39</v>
      </c>
      <c r="E6" s="45" cm="1">
        <f t="array" ref="E6">(SUM(VLOOKUP(A4:A100,$T$3:$W$41,3,FALSE)))</f>
        <v>1780</v>
      </c>
      <c r="F6" s="45" cm="1">
        <f t="array" ref="F6">(SUM(VLOOKUP(B4:B100,$T$3:$W$41,3,FALSE)))</f>
        <v>230</v>
      </c>
      <c r="G6" s="45" cm="1">
        <f t="array" ref="G6">(SUM(VLOOKUP(C4:C100,$T$3:$W$41,3,FALSE)))</f>
        <v>2330</v>
      </c>
      <c r="H6" s="59">
        <f t="shared" si="4"/>
        <v>4340</v>
      </c>
      <c r="I6" s="1" t="s">
        <v>27</v>
      </c>
      <c r="J6" s="16" t="s">
        <v>28</v>
      </c>
      <c r="K6" s="1" t="s">
        <v>27</v>
      </c>
      <c r="L6" s="43" t="s">
        <v>39</v>
      </c>
      <c r="M6" s="45" cm="1">
        <f t="array" ref="M6">(SUM(VLOOKUP(I4:I100,$T$3:$W$41,3,FALSE)))</f>
        <v>0</v>
      </c>
      <c r="N6" s="45" cm="1">
        <f t="array" ref="N6">(SUM(VLOOKUP(J4:J100,$T$3:$W$41,3,FALSE)))</f>
        <v>2015</v>
      </c>
      <c r="O6" s="45" cm="1">
        <f t="array" ref="O6">(SUM(VLOOKUP(K4:K100,$T$3:$W$41,3,FALSE)))</f>
        <v>0</v>
      </c>
      <c r="P6" s="59">
        <f t="shared" si="5"/>
        <v>2015</v>
      </c>
      <c r="Q6" s="60" t="s">
        <v>52</v>
      </c>
      <c r="R6" s="31">
        <f>R3*1600-800+R5</f>
        <v>150800</v>
      </c>
      <c r="S6" s="31"/>
      <c r="T6" s="5" t="s">
        <v>7</v>
      </c>
      <c r="U6" s="1">
        <v>180</v>
      </c>
      <c r="V6" s="1">
        <v>50</v>
      </c>
      <c r="W6" s="55">
        <v>36</v>
      </c>
      <c r="X6" s="56">
        <v>265</v>
      </c>
      <c r="Y6" s="56">
        <v>265</v>
      </c>
      <c r="Z6" s="1">
        <f t="shared" si="1"/>
        <v>0</v>
      </c>
      <c r="AA6" s="1">
        <f t="shared" si="2"/>
        <v>0</v>
      </c>
      <c r="AB6" s="64">
        <f t="shared" si="3"/>
        <v>265</v>
      </c>
    </row>
    <row r="7" spans="1:28">
      <c r="A7" s="2" t="s">
        <v>4</v>
      </c>
      <c r="B7" s="3" t="s">
        <v>5</v>
      </c>
      <c r="C7" s="23" t="s">
        <v>29</v>
      </c>
      <c r="D7" s="43" t="s">
        <v>40</v>
      </c>
      <c r="E7" s="45">
        <f>COUNTIF(A4:A100,"&lt;&gt;空")</f>
        <v>35</v>
      </c>
      <c r="F7" s="45">
        <f>COUNTIF(B4:B100,"&lt;&gt;空")</f>
        <v>6</v>
      </c>
      <c r="G7" s="45">
        <f>COUNTIF(C4:C100,"&lt;&gt;空")</f>
        <v>41</v>
      </c>
      <c r="H7" s="46">
        <f t="shared" si="4"/>
        <v>82</v>
      </c>
      <c r="I7" s="1" t="s">
        <v>27</v>
      </c>
      <c r="J7" s="3" t="s">
        <v>5</v>
      </c>
      <c r="K7" s="1" t="s">
        <v>27</v>
      </c>
      <c r="L7" s="43" t="s">
        <v>40</v>
      </c>
      <c r="M7" s="45">
        <f>COUNTIF(I4:I100,"&lt;&gt;空")</f>
        <v>0</v>
      </c>
      <c r="N7" s="45">
        <f>COUNTIF(J4:J100,"&lt;&gt;空")</f>
        <v>56</v>
      </c>
      <c r="O7" s="45">
        <f>COUNTIF(K4:K100,"&lt;&gt;空")</f>
        <v>0</v>
      </c>
      <c r="P7" s="46">
        <f t="shared" si="5"/>
        <v>56</v>
      </c>
      <c r="Q7" s="63" t="s">
        <v>55</v>
      </c>
      <c r="R7" s="31">
        <v>13</v>
      </c>
      <c r="S7" s="31"/>
      <c r="T7" s="6" t="s">
        <v>8</v>
      </c>
      <c r="U7" s="1">
        <v>190</v>
      </c>
      <c r="V7" s="1">
        <v>55</v>
      </c>
      <c r="W7" s="55">
        <v>38</v>
      </c>
      <c r="X7" s="56">
        <v>234</v>
      </c>
      <c r="Y7" s="56">
        <v>234</v>
      </c>
      <c r="Z7" s="1">
        <f t="shared" si="1"/>
        <v>0</v>
      </c>
      <c r="AA7" s="1">
        <f t="shared" si="2"/>
        <v>0</v>
      </c>
      <c r="AB7" s="64">
        <f t="shared" si="3"/>
        <v>234</v>
      </c>
    </row>
    <row r="8" spans="1:28">
      <c r="A8" s="2" t="s">
        <v>4</v>
      </c>
      <c r="B8" s="3" t="s">
        <v>5</v>
      </c>
      <c r="C8" s="3" t="s">
        <v>5</v>
      </c>
      <c r="D8" s="52" t="s">
        <v>53</v>
      </c>
      <c r="E8" s="51">
        <v>1</v>
      </c>
      <c r="F8" s="51">
        <v>0</v>
      </c>
      <c r="G8" s="51">
        <v>0</v>
      </c>
      <c r="H8" s="46">
        <f t="shared" si="4"/>
        <v>1</v>
      </c>
      <c r="I8" s="1" t="s">
        <v>27</v>
      </c>
      <c r="J8" s="3" t="s">
        <v>5</v>
      </c>
      <c r="K8" s="1" t="s">
        <v>27</v>
      </c>
      <c r="L8" s="52" t="s">
        <v>53</v>
      </c>
      <c r="M8" s="51">
        <v>0</v>
      </c>
      <c r="N8" s="51">
        <v>2</v>
      </c>
      <c r="O8" s="51">
        <v>0</v>
      </c>
      <c r="P8" s="46">
        <f t="shared" si="5"/>
        <v>2</v>
      </c>
      <c r="Q8" s="60" t="s">
        <v>54</v>
      </c>
      <c r="R8" s="65" cm="1">
        <f t="array" ref="R8">R6-P5-H5-SUM(U3:U28*AB3:AB28)*0.8-R7*8</f>
        <v>0</v>
      </c>
      <c r="S8" s="31"/>
      <c r="T8" s="7" t="s">
        <v>9</v>
      </c>
      <c r="U8" s="1">
        <v>200</v>
      </c>
      <c r="V8" s="1">
        <v>60</v>
      </c>
      <c r="W8" s="55"/>
      <c r="X8" s="56">
        <v>194</v>
      </c>
      <c r="Y8" s="56">
        <v>194</v>
      </c>
      <c r="Z8" s="1">
        <f t="shared" si="1"/>
        <v>0</v>
      </c>
      <c r="AA8" s="1">
        <f t="shared" si="2"/>
        <v>0</v>
      </c>
      <c r="AB8" s="64">
        <f t="shared" si="3"/>
        <v>194</v>
      </c>
    </row>
    <row r="9" spans="1:28">
      <c r="A9" s="2" t="s">
        <v>4</v>
      </c>
      <c r="B9" s="3" t="s">
        <v>5</v>
      </c>
      <c r="C9" s="3" t="s">
        <v>5</v>
      </c>
      <c r="D9" s="31"/>
      <c r="E9" s="31"/>
      <c r="F9" s="31"/>
      <c r="G9" s="31"/>
      <c r="H9" s="32"/>
      <c r="I9" s="1" t="s">
        <v>27</v>
      </c>
      <c r="J9" s="3" t="s">
        <v>5</v>
      </c>
      <c r="K9" s="1" t="s">
        <v>27</v>
      </c>
      <c r="L9" s="43" t="s">
        <v>42</v>
      </c>
      <c r="M9" s="47" t="e">
        <f>M6/M5</f>
        <v>#DIV/0!</v>
      </c>
      <c r="N9" s="47">
        <f>N6/N5</f>
        <v>0.37094992636229751</v>
      </c>
      <c r="O9" s="47" t="e">
        <f>O6/O5</f>
        <v>#DIV/0!</v>
      </c>
      <c r="P9" s="48">
        <f>P6/P5</f>
        <v>0.37094992636229751</v>
      </c>
      <c r="Q9" s="60"/>
      <c r="R9" s="31"/>
      <c r="S9" s="31"/>
      <c r="T9" s="8" t="s">
        <v>10</v>
      </c>
      <c r="U9" s="1">
        <v>150</v>
      </c>
      <c r="V9" s="1">
        <v>35</v>
      </c>
      <c r="W9" s="55">
        <f t="shared" ref="W9:W11" si="6">U9-V9/0.330882</f>
        <v>44.222109392472248</v>
      </c>
      <c r="X9" s="56">
        <v>3</v>
      </c>
      <c r="Y9" s="56">
        <v>0</v>
      </c>
      <c r="Z9" s="1">
        <f t="shared" si="1"/>
        <v>0</v>
      </c>
      <c r="AA9" s="1">
        <f t="shared" si="2"/>
        <v>0</v>
      </c>
      <c r="AB9" s="64">
        <f t="shared" si="3"/>
        <v>0</v>
      </c>
    </row>
    <row r="10" spans="1:28">
      <c r="A10" s="1" t="s">
        <v>27</v>
      </c>
      <c r="B10" s="1" t="s">
        <v>27</v>
      </c>
      <c r="C10" s="3" t="s">
        <v>5</v>
      </c>
      <c r="D10" s="31"/>
      <c r="E10" s="31"/>
      <c r="F10" s="31"/>
      <c r="G10" s="31"/>
      <c r="H10" s="32"/>
      <c r="I10" s="1" t="s">
        <v>27</v>
      </c>
      <c r="J10" s="3" t="s">
        <v>5</v>
      </c>
      <c r="K10" s="1" t="s">
        <v>27</v>
      </c>
      <c r="L10" s="31"/>
      <c r="M10" s="31"/>
      <c r="N10" s="31"/>
      <c r="O10" s="31"/>
      <c r="P10" s="32"/>
      <c r="Q10" s="60"/>
      <c r="R10" s="31"/>
      <c r="S10" s="31"/>
      <c r="T10" s="9" t="s">
        <v>11</v>
      </c>
      <c r="U10" s="1">
        <v>150</v>
      </c>
      <c r="V10" s="1">
        <v>40</v>
      </c>
      <c r="W10" s="55">
        <f t="shared" si="6"/>
        <v>29.110982162825422</v>
      </c>
      <c r="X10" s="56">
        <v>7</v>
      </c>
      <c r="Y10" s="56">
        <v>2</v>
      </c>
      <c r="Z10" s="1">
        <f t="shared" si="1"/>
        <v>0</v>
      </c>
      <c r="AA10" s="1">
        <f t="shared" si="2"/>
        <v>2</v>
      </c>
      <c r="AB10" s="64">
        <f t="shared" si="3"/>
        <v>0</v>
      </c>
    </row>
    <row r="11" spans="1:28">
      <c r="A11" s="1" t="s">
        <v>27</v>
      </c>
      <c r="B11" s="1" t="s">
        <v>27</v>
      </c>
      <c r="C11" s="3" t="s">
        <v>5</v>
      </c>
      <c r="D11" s="31"/>
      <c r="E11" s="31"/>
      <c r="F11" s="31"/>
      <c r="G11" s="31"/>
      <c r="H11" s="32"/>
      <c r="I11" s="1" t="s">
        <v>27</v>
      </c>
      <c r="J11" s="2" t="s">
        <v>4</v>
      </c>
      <c r="K11" s="1" t="s">
        <v>27</v>
      </c>
      <c r="L11" s="31"/>
      <c r="M11" s="31"/>
      <c r="N11" s="31"/>
      <c r="O11" s="31"/>
      <c r="P11" s="32">
        <f>H5+P5</f>
        <v>18032</v>
      </c>
      <c r="Q11" s="60"/>
      <c r="R11" s="31"/>
      <c r="S11" s="31"/>
      <c r="T11" s="10" t="s">
        <v>12</v>
      </c>
      <c r="U11" s="1">
        <v>150</v>
      </c>
      <c r="V11" s="1">
        <v>45</v>
      </c>
      <c r="W11" s="55">
        <f t="shared" si="6"/>
        <v>13.999854933178597</v>
      </c>
      <c r="X11" s="56">
        <v>6</v>
      </c>
      <c r="Y11" s="56">
        <v>6</v>
      </c>
      <c r="Z11" s="1">
        <f t="shared" si="1"/>
        <v>1</v>
      </c>
      <c r="AA11" s="1">
        <f t="shared" si="2"/>
        <v>0</v>
      </c>
      <c r="AB11" s="64">
        <f t="shared" si="3"/>
        <v>5</v>
      </c>
    </row>
    <row r="12" spans="1:28">
      <c r="A12" s="1" t="s">
        <v>27</v>
      </c>
      <c r="B12" s="1" t="s">
        <v>27</v>
      </c>
      <c r="C12" s="3" t="s">
        <v>5</v>
      </c>
      <c r="D12" s="31"/>
      <c r="E12" s="31"/>
      <c r="F12" s="31"/>
      <c r="G12" s="31"/>
      <c r="H12" s="32"/>
      <c r="I12" s="1" t="s">
        <v>27</v>
      </c>
      <c r="J12" s="15" t="s">
        <v>17</v>
      </c>
      <c r="K12" s="1" t="s">
        <v>27</v>
      </c>
      <c r="L12" s="31"/>
      <c r="M12" s="31"/>
      <c r="N12" s="31"/>
      <c r="O12" s="31"/>
      <c r="P12" s="32">
        <f>H6+P6</f>
        <v>6355</v>
      </c>
      <c r="Q12" s="60"/>
      <c r="R12" s="31"/>
      <c r="S12" s="31"/>
      <c r="T12" s="11" t="s">
        <v>13</v>
      </c>
      <c r="U12" s="1">
        <v>150</v>
      </c>
      <c r="V12" s="1">
        <v>50</v>
      </c>
      <c r="W12" s="55"/>
      <c r="X12" s="56">
        <v>4</v>
      </c>
      <c r="Y12" s="56">
        <v>4</v>
      </c>
      <c r="Z12" s="1">
        <f t="shared" si="1"/>
        <v>0</v>
      </c>
      <c r="AA12" s="1">
        <f t="shared" si="2"/>
        <v>0</v>
      </c>
      <c r="AB12" s="64">
        <f t="shared" si="3"/>
        <v>4</v>
      </c>
    </row>
    <row r="13" spans="1:28">
      <c r="A13" s="1" t="s">
        <v>27</v>
      </c>
      <c r="B13" s="1" t="s">
        <v>27</v>
      </c>
      <c r="C13" s="3" t="s">
        <v>5</v>
      </c>
      <c r="D13" s="31"/>
      <c r="E13" s="31"/>
      <c r="F13" s="31"/>
      <c r="G13" s="31"/>
      <c r="H13" s="32"/>
      <c r="I13" s="1" t="s">
        <v>27</v>
      </c>
      <c r="J13" s="2" t="s">
        <v>4</v>
      </c>
      <c r="K13" s="1" t="s">
        <v>27</v>
      </c>
      <c r="L13" s="31"/>
      <c r="M13" s="31"/>
      <c r="N13" s="31"/>
      <c r="O13" s="31"/>
      <c r="P13" s="32"/>
      <c r="Q13" s="60"/>
      <c r="R13" s="31"/>
      <c r="S13" s="31"/>
      <c r="T13" s="12" t="s">
        <v>14</v>
      </c>
      <c r="U13" s="1">
        <v>150</v>
      </c>
      <c r="V13" s="1">
        <v>55</v>
      </c>
      <c r="W13" s="55"/>
      <c r="X13" s="56">
        <v>3</v>
      </c>
      <c r="Y13" s="56">
        <v>3</v>
      </c>
      <c r="Z13" s="1">
        <f t="shared" si="1"/>
        <v>0</v>
      </c>
      <c r="AA13" s="1">
        <f t="shared" si="2"/>
        <v>0</v>
      </c>
      <c r="AB13" s="64">
        <f t="shared" si="3"/>
        <v>3</v>
      </c>
    </row>
    <row r="14" spans="1:28">
      <c r="A14" s="1" t="s">
        <v>27</v>
      </c>
      <c r="B14" s="1" t="s">
        <v>27</v>
      </c>
      <c r="C14" s="4" t="s">
        <v>6</v>
      </c>
      <c r="D14" s="31"/>
      <c r="E14" s="31"/>
      <c r="F14" s="31"/>
      <c r="G14" s="31"/>
      <c r="H14" s="32"/>
      <c r="I14" s="1" t="s">
        <v>27</v>
      </c>
      <c r="J14" s="2" t="s">
        <v>4</v>
      </c>
      <c r="K14" s="1" t="s">
        <v>27</v>
      </c>
      <c r="L14" s="31"/>
      <c r="M14" s="31"/>
      <c r="N14" s="31"/>
      <c r="O14" s="31"/>
      <c r="P14" s="32"/>
      <c r="Q14" s="60"/>
      <c r="R14" s="31"/>
      <c r="S14" s="31"/>
      <c r="T14" s="13" t="s">
        <v>15</v>
      </c>
      <c r="U14" s="1">
        <v>150</v>
      </c>
      <c r="V14" s="1">
        <v>60</v>
      </c>
      <c r="W14" s="55"/>
      <c r="X14" s="56">
        <v>1</v>
      </c>
      <c r="Y14" s="56">
        <v>1</v>
      </c>
      <c r="Z14" s="1">
        <f t="shared" si="1"/>
        <v>0</v>
      </c>
      <c r="AA14" s="1">
        <f t="shared" si="2"/>
        <v>0</v>
      </c>
      <c r="AB14" s="64">
        <f t="shared" si="3"/>
        <v>1</v>
      </c>
    </row>
    <row r="15" spans="1:28">
      <c r="A15" s="4" t="s">
        <v>6</v>
      </c>
      <c r="B15" s="1" t="s">
        <v>27</v>
      </c>
      <c r="C15" s="4" t="s">
        <v>6</v>
      </c>
      <c r="D15" s="31"/>
      <c r="E15" s="31"/>
      <c r="F15" s="31"/>
      <c r="G15" s="31"/>
      <c r="H15" s="32"/>
      <c r="I15" s="1" t="s">
        <v>27</v>
      </c>
      <c r="J15" s="2" t="s">
        <v>4</v>
      </c>
      <c r="K15" s="1" t="s">
        <v>27</v>
      </c>
      <c r="L15" s="31"/>
      <c r="M15" s="31"/>
      <c r="N15" s="31"/>
      <c r="O15" s="31"/>
      <c r="P15" s="32"/>
      <c r="Q15" s="60"/>
      <c r="R15" s="31"/>
      <c r="S15" s="31"/>
      <c r="T15" s="14" t="s">
        <v>16</v>
      </c>
      <c r="U15" s="1">
        <v>150</v>
      </c>
      <c r="V15" s="1">
        <v>35</v>
      </c>
      <c r="W15" s="55">
        <f t="shared" ref="W15" si="7">U15-V15/0.330882</f>
        <v>44.222109392472248</v>
      </c>
      <c r="X15" s="56"/>
      <c r="Y15" s="56">
        <v>2</v>
      </c>
      <c r="Z15" s="1">
        <f t="shared" si="1"/>
        <v>0</v>
      </c>
      <c r="AA15" s="1">
        <f t="shared" si="2"/>
        <v>1</v>
      </c>
      <c r="AB15" s="64">
        <f t="shared" si="3"/>
        <v>1</v>
      </c>
    </row>
    <row r="16" spans="1:28">
      <c r="A16" s="4" t="s">
        <v>6</v>
      </c>
      <c r="B16" s="1" t="s">
        <v>27</v>
      </c>
      <c r="C16" s="15" t="s">
        <v>17</v>
      </c>
      <c r="D16" s="31"/>
      <c r="E16" s="31"/>
      <c r="F16" s="31"/>
      <c r="G16" s="31"/>
      <c r="H16" s="32"/>
      <c r="I16" s="1" t="s">
        <v>27</v>
      </c>
      <c r="J16" s="15" t="s">
        <v>17</v>
      </c>
      <c r="K16" s="1" t="s">
        <v>27</v>
      </c>
      <c r="L16" s="31"/>
      <c r="M16" s="31"/>
      <c r="N16" s="31"/>
      <c r="O16" s="31"/>
      <c r="P16" s="32"/>
      <c r="Q16" s="60"/>
      <c r="R16" s="31"/>
      <c r="S16" s="31"/>
      <c r="T16" s="15" t="s">
        <v>17</v>
      </c>
      <c r="U16" s="1">
        <v>50</v>
      </c>
      <c r="V16" s="1">
        <v>30</v>
      </c>
      <c r="W16" s="55">
        <v>10</v>
      </c>
      <c r="X16" s="56">
        <v>40</v>
      </c>
      <c r="Y16" s="56">
        <v>38</v>
      </c>
      <c r="Z16" s="1">
        <f t="shared" si="1"/>
        <v>2</v>
      </c>
      <c r="AA16" s="1">
        <f t="shared" si="2"/>
        <v>12</v>
      </c>
      <c r="AB16" s="64">
        <f t="shared" si="3"/>
        <v>24</v>
      </c>
    </row>
    <row r="17" spans="1:28">
      <c r="A17" s="4" t="s">
        <v>6</v>
      </c>
      <c r="B17" s="1" t="s">
        <v>27</v>
      </c>
      <c r="C17" s="4" t="s">
        <v>6</v>
      </c>
      <c r="D17" s="31"/>
      <c r="E17" s="31"/>
      <c r="F17" s="31"/>
      <c r="G17" s="31"/>
      <c r="H17" s="32"/>
      <c r="I17" s="1" t="s">
        <v>27</v>
      </c>
      <c r="J17" s="1" t="s">
        <v>27</v>
      </c>
      <c r="K17" s="1" t="s">
        <v>27</v>
      </c>
      <c r="L17" s="31"/>
      <c r="M17" s="31"/>
      <c r="N17" s="31"/>
      <c r="O17" s="31"/>
      <c r="P17" s="32"/>
      <c r="Q17" s="60"/>
      <c r="R17" s="31"/>
      <c r="S17" s="31"/>
      <c r="T17" s="16" t="s">
        <v>18</v>
      </c>
      <c r="U17" s="1">
        <v>-150</v>
      </c>
      <c r="V17" s="1">
        <v>0</v>
      </c>
      <c r="W17" s="55">
        <v>10</v>
      </c>
      <c r="X17" s="56">
        <v>3</v>
      </c>
      <c r="Y17" s="56">
        <v>3</v>
      </c>
      <c r="Z17" s="1">
        <f t="shared" si="1"/>
        <v>3</v>
      </c>
      <c r="AA17" s="1">
        <f t="shared" si="2"/>
        <v>0</v>
      </c>
      <c r="AB17" s="64">
        <f t="shared" si="3"/>
        <v>0</v>
      </c>
    </row>
    <row r="18" spans="1:28">
      <c r="A18" s="17" t="s">
        <v>19</v>
      </c>
      <c r="B18" s="1" t="s">
        <v>27</v>
      </c>
      <c r="C18" s="4" t="s">
        <v>6</v>
      </c>
      <c r="D18" s="31"/>
      <c r="E18" s="31"/>
      <c r="F18" s="31"/>
      <c r="G18" s="31"/>
      <c r="H18" s="32"/>
      <c r="I18" s="1" t="s">
        <v>27</v>
      </c>
      <c r="J18" s="15" t="s">
        <v>17</v>
      </c>
      <c r="K18" s="1" t="s">
        <v>27</v>
      </c>
      <c r="L18" s="31"/>
      <c r="M18" s="31"/>
      <c r="N18" s="31"/>
      <c r="O18" s="31"/>
      <c r="P18" s="32"/>
      <c r="Q18" s="60"/>
      <c r="R18" s="31"/>
      <c r="S18" s="31"/>
      <c r="T18" s="17" t="s">
        <v>19</v>
      </c>
      <c r="U18" s="1">
        <v>250</v>
      </c>
      <c r="V18" s="1">
        <v>200</v>
      </c>
      <c r="W18" s="55"/>
      <c r="X18" s="56">
        <v>3</v>
      </c>
      <c r="Y18" s="56">
        <v>3</v>
      </c>
      <c r="Z18" s="1">
        <f t="shared" si="1"/>
        <v>3</v>
      </c>
      <c r="AA18" s="1">
        <f t="shared" si="2"/>
        <v>0</v>
      </c>
      <c r="AB18" s="64">
        <f t="shared" si="3"/>
        <v>0</v>
      </c>
    </row>
    <row r="19" spans="1:28">
      <c r="A19" s="4" t="s">
        <v>6</v>
      </c>
      <c r="B19" s="1" t="s">
        <v>27</v>
      </c>
      <c r="C19" s="4" t="s">
        <v>6</v>
      </c>
      <c r="D19" s="31"/>
      <c r="E19" s="31"/>
      <c r="F19" s="31"/>
      <c r="G19" s="31"/>
      <c r="H19" s="32"/>
      <c r="I19" s="1" t="s">
        <v>27</v>
      </c>
      <c r="J19" s="3" t="s">
        <v>5</v>
      </c>
      <c r="K19" s="1" t="s">
        <v>27</v>
      </c>
      <c r="L19" s="31"/>
      <c r="M19" s="31"/>
      <c r="N19" s="31"/>
      <c r="O19" s="31"/>
      <c r="P19" s="32"/>
      <c r="Q19" s="60"/>
      <c r="R19" s="31"/>
      <c r="S19" s="31"/>
      <c r="T19" s="17" t="s">
        <v>20</v>
      </c>
      <c r="U19" s="1">
        <v>170</v>
      </c>
      <c r="V19" s="1">
        <v>45</v>
      </c>
      <c r="W19" s="55"/>
      <c r="X19" s="56">
        <v>5</v>
      </c>
      <c r="Y19" s="56">
        <v>5</v>
      </c>
      <c r="Z19" s="1">
        <f t="shared" si="1"/>
        <v>5</v>
      </c>
      <c r="AA19" s="1">
        <f t="shared" si="2"/>
        <v>0</v>
      </c>
      <c r="AB19" s="64">
        <f t="shared" si="3"/>
        <v>0</v>
      </c>
    </row>
    <row r="20" spans="1:28">
      <c r="A20" s="4" t="s">
        <v>6</v>
      </c>
      <c r="B20" s="1" t="s">
        <v>27</v>
      </c>
      <c r="C20" s="17" t="s">
        <v>20</v>
      </c>
      <c r="D20" s="31"/>
      <c r="E20" s="31"/>
      <c r="F20" s="31"/>
      <c r="G20" s="31"/>
      <c r="H20" s="32"/>
      <c r="I20" s="1" t="s">
        <v>27</v>
      </c>
      <c r="J20" s="3" t="s">
        <v>5</v>
      </c>
      <c r="K20" s="1" t="s">
        <v>27</v>
      </c>
      <c r="L20" s="31"/>
      <c r="M20" s="31"/>
      <c r="N20" s="31"/>
      <c r="O20" s="31"/>
      <c r="P20" s="32"/>
      <c r="Q20" s="60"/>
      <c r="R20" s="31"/>
      <c r="S20" s="31"/>
      <c r="T20" s="18" t="s">
        <v>21</v>
      </c>
      <c r="U20" s="1">
        <v>250</v>
      </c>
      <c r="V20" s="1">
        <v>200</v>
      </c>
      <c r="W20" s="55"/>
      <c r="X20" s="56">
        <v>0</v>
      </c>
      <c r="Y20" s="56">
        <v>0</v>
      </c>
      <c r="Z20" s="1">
        <f t="shared" si="1"/>
        <v>0</v>
      </c>
      <c r="AA20" s="1">
        <f t="shared" si="2"/>
        <v>0</v>
      </c>
      <c r="AB20" s="64">
        <f t="shared" si="3"/>
        <v>0</v>
      </c>
    </row>
    <row r="21" spans="1:28">
      <c r="A21" s="4" t="s">
        <v>6</v>
      </c>
      <c r="B21" s="1" t="s">
        <v>27</v>
      </c>
      <c r="C21" s="4" t="s">
        <v>6</v>
      </c>
      <c r="D21" s="31"/>
      <c r="E21" s="31"/>
      <c r="F21" s="31"/>
      <c r="G21" s="31"/>
      <c r="H21" s="32"/>
      <c r="I21" s="1" t="s">
        <v>27</v>
      </c>
      <c r="J21" s="9" t="s">
        <v>11</v>
      </c>
      <c r="K21" s="1" t="s">
        <v>27</v>
      </c>
      <c r="L21" s="31"/>
      <c r="M21" s="31"/>
      <c r="N21" s="31"/>
      <c r="O21" s="31"/>
      <c r="P21" s="32"/>
      <c r="Q21" s="60"/>
      <c r="R21" s="31"/>
      <c r="S21" s="31"/>
      <c r="T21" s="19" t="s">
        <v>22</v>
      </c>
      <c r="U21" s="1">
        <v>250</v>
      </c>
      <c r="V21" s="1">
        <v>1000</v>
      </c>
      <c r="W21" s="55"/>
      <c r="X21" s="56">
        <v>2</v>
      </c>
      <c r="Y21" s="56">
        <v>2</v>
      </c>
      <c r="Z21" s="1">
        <f t="shared" si="1"/>
        <v>0</v>
      </c>
      <c r="AA21" s="1">
        <f t="shared" si="2"/>
        <v>0</v>
      </c>
      <c r="AB21" s="64">
        <f t="shared" si="3"/>
        <v>2</v>
      </c>
    </row>
    <row r="22" spans="1:28">
      <c r="A22" s="16" t="s">
        <v>18</v>
      </c>
      <c r="B22" s="1" t="s">
        <v>27</v>
      </c>
      <c r="C22" s="4" t="s">
        <v>6</v>
      </c>
      <c r="D22" s="31"/>
      <c r="E22" s="31"/>
      <c r="F22" s="31"/>
      <c r="G22" s="31"/>
      <c r="H22" s="32"/>
      <c r="I22" s="1" t="s">
        <v>27</v>
      </c>
      <c r="J22" s="3" t="s">
        <v>5</v>
      </c>
      <c r="K22" s="1" t="s">
        <v>27</v>
      </c>
      <c r="L22" s="31"/>
      <c r="M22" s="31"/>
      <c r="N22" s="31"/>
      <c r="O22" s="31"/>
      <c r="P22" s="32"/>
      <c r="Q22" s="60"/>
      <c r="R22" s="31"/>
      <c r="S22" s="31"/>
      <c r="T22" s="20" t="s">
        <v>23</v>
      </c>
      <c r="U22" s="1">
        <v>250</v>
      </c>
      <c r="V22" s="1">
        <v>500</v>
      </c>
      <c r="W22" s="55"/>
      <c r="X22" s="56">
        <v>2</v>
      </c>
      <c r="Y22" s="56">
        <v>2</v>
      </c>
      <c r="Z22" s="1">
        <f t="shared" si="1"/>
        <v>0</v>
      </c>
      <c r="AA22" s="1">
        <f t="shared" si="2"/>
        <v>0</v>
      </c>
      <c r="AB22" s="64">
        <f t="shared" si="3"/>
        <v>2</v>
      </c>
    </row>
    <row r="23" spans="1:28">
      <c r="A23" s="4" t="s">
        <v>6</v>
      </c>
      <c r="B23" s="1" t="s">
        <v>27</v>
      </c>
      <c r="C23" s="4" t="s">
        <v>6</v>
      </c>
      <c r="D23" s="31"/>
      <c r="E23" s="31"/>
      <c r="F23" s="31"/>
      <c r="G23" s="31"/>
      <c r="H23" s="32"/>
      <c r="I23" s="1" t="s">
        <v>27</v>
      </c>
      <c r="J23" s="3" t="s">
        <v>5</v>
      </c>
      <c r="K23" s="1" t="s">
        <v>27</v>
      </c>
      <c r="L23" s="31"/>
      <c r="M23" s="31"/>
      <c r="N23" s="31"/>
      <c r="O23" s="31"/>
      <c r="P23" s="32"/>
      <c r="Q23" s="60"/>
      <c r="R23" s="31"/>
      <c r="S23" s="31"/>
      <c r="T23" s="21" t="s">
        <v>24</v>
      </c>
      <c r="U23" s="1">
        <v>160</v>
      </c>
      <c r="V23" s="1">
        <v>40</v>
      </c>
      <c r="W23" s="55">
        <f t="shared" ref="W23:W26" si="8">U23-V23/0.330882</f>
        <v>39.110982162825422</v>
      </c>
      <c r="X23" s="56">
        <v>0</v>
      </c>
      <c r="Y23" s="56">
        <v>0</v>
      </c>
      <c r="Z23" s="1">
        <f t="shared" si="1"/>
        <v>0</v>
      </c>
      <c r="AA23" s="1">
        <f t="shared" si="2"/>
        <v>0</v>
      </c>
      <c r="AB23" s="64">
        <f t="shared" si="3"/>
        <v>0</v>
      </c>
    </row>
    <row r="24" spans="1:28">
      <c r="A24" s="4" t="s">
        <v>6</v>
      </c>
      <c r="B24" s="1" t="s">
        <v>27</v>
      </c>
      <c r="C24" s="4" t="s">
        <v>6</v>
      </c>
      <c r="D24" s="31"/>
      <c r="E24" s="31"/>
      <c r="F24" s="31"/>
      <c r="G24" s="31"/>
      <c r="H24" s="32"/>
      <c r="I24" s="1" t="s">
        <v>27</v>
      </c>
      <c r="J24" s="15" t="s">
        <v>17</v>
      </c>
      <c r="K24" s="1" t="s">
        <v>27</v>
      </c>
      <c r="L24" s="31"/>
      <c r="M24" s="31"/>
      <c r="N24" s="31"/>
      <c r="O24" s="31"/>
      <c r="P24" s="32"/>
      <c r="Q24" s="60"/>
      <c r="R24" s="31"/>
      <c r="S24" s="31"/>
      <c r="T24" s="21" t="s">
        <v>25</v>
      </c>
      <c r="U24" s="1">
        <v>160</v>
      </c>
      <c r="V24" s="1">
        <v>40</v>
      </c>
      <c r="W24" s="55">
        <f t="shared" si="8"/>
        <v>39.110982162825422</v>
      </c>
      <c r="X24" s="56">
        <v>0</v>
      </c>
      <c r="Y24" s="56">
        <v>0</v>
      </c>
      <c r="Z24" s="1">
        <f t="shared" si="1"/>
        <v>0</v>
      </c>
      <c r="AA24" s="1">
        <f t="shared" si="2"/>
        <v>0</v>
      </c>
      <c r="AB24" s="64">
        <f t="shared" si="3"/>
        <v>0</v>
      </c>
    </row>
    <row r="25" spans="1:28">
      <c r="A25" s="4" t="s">
        <v>6</v>
      </c>
      <c r="B25" s="1" t="s">
        <v>27</v>
      </c>
      <c r="C25" s="4" t="s">
        <v>6</v>
      </c>
      <c r="D25" s="31"/>
      <c r="E25" s="31"/>
      <c r="F25" s="31"/>
      <c r="G25" s="31"/>
      <c r="H25" s="32"/>
      <c r="I25" s="1" t="s">
        <v>27</v>
      </c>
      <c r="J25" s="1" t="s">
        <v>27</v>
      </c>
      <c r="K25" s="1" t="s">
        <v>27</v>
      </c>
      <c r="L25" s="31"/>
      <c r="M25" s="31"/>
      <c r="N25" s="31"/>
      <c r="O25" s="31"/>
      <c r="P25" s="32"/>
      <c r="Q25" s="60"/>
      <c r="R25" s="31"/>
      <c r="S25" s="31"/>
      <c r="T25" s="21" t="s">
        <v>26</v>
      </c>
      <c r="U25" s="1">
        <v>150</v>
      </c>
      <c r="V25" s="1">
        <v>35</v>
      </c>
      <c r="W25" s="55">
        <f t="shared" si="8"/>
        <v>44.222109392472248</v>
      </c>
      <c r="X25" s="56">
        <v>0</v>
      </c>
      <c r="Y25" s="56">
        <v>0</v>
      </c>
      <c r="Z25" s="1">
        <f t="shared" si="1"/>
        <v>0</v>
      </c>
      <c r="AA25" s="1">
        <f t="shared" si="2"/>
        <v>0</v>
      </c>
      <c r="AB25" s="64">
        <f t="shared" si="3"/>
        <v>0</v>
      </c>
    </row>
    <row r="26" spans="1:28">
      <c r="A26" s="17" t="s">
        <v>20</v>
      </c>
      <c r="B26" s="1" t="s">
        <v>27</v>
      </c>
      <c r="C26" s="4" t="s">
        <v>6</v>
      </c>
      <c r="D26" s="31"/>
      <c r="E26" s="31"/>
      <c r="F26" s="31"/>
      <c r="G26" s="31"/>
      <c r="H26" s="32"/>
      <c r="I26" s="1" t="s">
        <v>27</v>
      </c>
      <c r="J26" s="3" t="s">
        <v>5</v>
      </c>
      <c r="K26" s="1" t="s">
        <v>27</v>
      </c>
      <c r="L26" s="31"/>
      <c r="M26" s="31"/>
      <c r="N26" s="31"/>
      <c r="O26" s="31"/>
      <c r="P26" s="32"/>
      <c r="Q26" s="60"/>
      <c r="R26" s="31"/>
      <c r="S26" s="31"/>
      <c r="T26" s="22" t="s">
        <v>27</v>
      </c>
      <c r="U26" s="1">
        <v>0</v>
      </c>
      <c r="V26" s="1">
        <v>0</v>
      </c>
      <c r="W26" s="55">
        <f t="shared" si="8"/>
        <v>0</v>
      </c>
      <c r="X26" s="56">
        <v>0</v>
      </c>
      <c r="Y26" s="56">
        <v>0</v>
      </c>
      <c r="Z26" s="1"/>
      <c r="AA26" s="1"/>
      <c r="AB26" s="64"/>
    </row>
    <row r="27" spans="1:28">
      <c r="A27" s="4" t="s">
        <v>6</v>
      </c>
      <c r="B27" s="1" t="s">
        <v>27</v>
      </c>
      <c r="C27" s="4" t="s">
        <v>6</v>
      </c>
      <c r="D27" s="31"/>
      <c r="E27" s="31"/>
      <c r="F27" s="31"/>
      <c r="G27" s="31"/>
      <c r="H27" s="32"/>
      <c r="I27" s="1" t="s">
        <v>27</v>
      </c>
      <c r="J27" s="15" t="s">
        <v>17</v>
      </c>
      <c r="K27" s="1" t="s">
        <v>27</v>
      </c>
      <c r="L27" s="31"/>
      <c r="M27" s="31"/>
      <c r="N27" s="31"/>
      <c r="O27" s="31"/>
      <c r="P27" s="32"/>
      <c r="Q27" s="60"/>
      <c r="R27" s="31"/>
      <c r="S27" s="31"/>
      <c r="T27" s="16" t="s">
        <v>28</v>
      </c>
      <c r="U27" s="1">
        <v>-200</v>
      </c>
      <c r="V27" s="1">
        <v>0</v>
      </c>
      <c r="W27" s="55"/>
      <c r="X27" s="56">
        <v>12</v>
      </c>
      <c r="Y27" s="56">
        <v>12</v>
      </c>
      <c r="Z27" s="1">
        <f t="shared" si="1"/>
        <v>0</v>
      </c>
      <c r="AA27" s="1">
        <f t="shared" si="2"/>
        <v>2</v>
      </c>
      <c r="AB27" s="64">
        <f t="shared" si="3"/>
        <v>10</v>
      </c>
    </row>
    <row r="28" spans="1:28">
      <c r="A28" s="4" t="s">
        <v>6</v>
      </c>
      <c r="B28" s="1" t="s">
        <v>27</v>
      </c>
      <c r="C28" s="17" t="s">
        <v>20</v>
      </c>
      <c r="D28" s="31"/>
      <c r="E28" s="31"/>
      <c r="F28" s="31"/>
      <c r="G28" s="31"/>
      <c r="H28" s="32"/>
      <c r="I28" s="1" t="s">
        <v>27</v>
      </c>
      <c r="J28" s="3" t="s">
        <v>5</v>
      </c>
      <c r="K28" s="1" t="s">
        <v>27</v>
      </c>
      <c r="L28" s="31"/>
      <c r="M28" s="31"/>
      <c r="N28" s="31"/>
      <c r="O28" s="31"/>
      <c r="P28" s="32"/>
      <c r="Q28" s="60"/>
      <c r="R28" s="31"/>
      <c r="S28" s="31"/>
      <c r="T28" s="23" t="s">
        <v>29</v>
      </c>
      <c r="U28" s="1">
        <v>50</v>
      </c>
      <c r="V28" s="1">
        <v>520</v>
      </c>
      <c r="W28" s="55"/>
      <c r="X28" s="56">
        <v>3</v>
      </c>
      <c r="Y28" s="56">
        <v>3</v>
      </c>
      <c r="Z28" s="1">
        <f t="shared" si="1"/>
        <v>1</v>
      </c>
      <c r="AA28" s="1">
        <f t="shared" si="2"/>
        <v>0</v>
      </c>
      <c r="AB28" s="64">
        <f t="shared" si="3"/>
        <v>2</v>
      </c>
    </row>
    <row r="29" spans="1:28" ht="15" thickBot="1">
      <c r="A29" s="4" t="s">
        <v>6</v>
      </c>
      <c r="B29" s="1" t="s">
        <v>27</v>
      </c>
      <c r="C29" s="4" t="s">
        <v>6</v>
      </c>
      <c r="D29" s="31"/>
      <c r="E29" s="31"/>
      <c r="F29" s="31"/>
      <c r="G29" s="31"/>
      <c r="H29" s="32"/>
      <c r="I29" s="1" t="s">
        <v>27</v>
      </c>
      <c r="J29" s="3" t="s">
        <v>5</v>
      </c>
      <c r="K29" s="1" t="s">
        <v>27</v>
      </c>
      <c r="L29" s="31"/>
      <c r="M29" s="31"/>
      <c r="N29" s="31"/>
      <c r="O29" s="31"/>
      <c r="P29" s="32"/>
      <c r="Q29" s="66"/>
      <c r="R29" s="41"/>
      <c r="S29" s="41"/>
      <c r="T29" s="40"/>
      <c r="U29" s="40"/>
      <c r="V29" s="40"/>
      <c r="W29" s="40"/>
      <c r="X29" s="40"/>
      <c r="Y29" s="40"/>
      <c r="Z29" s="40"/>
      <c r="AA29" s="40"/>
      <c r="AB29" s="67"/>
    </row>
    <row r="30" spans="1:28">
      <c r="A30" s="4" t="s">
        <v>6</v>
      </c>
      <c r="B30" s="1" t="s">
        <v>27</v>
      </c>
      <c r="C30" s="4" t="s">
        <v>6</v>
      </c>
      <c r="D30" s="31"/>
      <c r="E30" s="31"/>
      <c r="F30" s="31"/>
      <c r="G30" s="31"/>
      <c r="H30" s="32"/>
      <c r="I30" s="1" t="s">
        <v>27</v>
      </c>
      <c r="J30" s="3" t="s">
        <v>5</v>
      </c>
      <c r="K30" s="1" t="s">
        <v>27</v>
      </c>
      <c r="L30" s="31"/>
      <c r="M30" s="31"/>
      <c r="N30" s="31"/>
      <c r="O30" s="31"/>
      <c r="P30" s="32"/>
    </row>
    <row r="31" spans="1:28">
      <c r="A31" s="4" t="s">
        <v>6</v>
      </c>
      <c r="B31" s="1" t="s">
        <v>27</v>
      </c>
      <c r="C31" s="4" t="s">
        <v>6</v>
      </c>
      <c r="D31" s="31"/>
      <c r="E31" s="31"/>
      <c r="F31" s="31"/>
      <c r="G31" s="31"/>
      <c r="H31" s="32"/>
      <c r="I31" s="1" t="s">
        <v>27</v>
      </c>
      <c r="J31" s="15" t="s">
        <v>17</v>
      </c>
      <c r="K31" s="1" t="s">
        <v>27</v>
      </c>
      <c r="L31" s="31"/>
      <c r="M31" s="31"/>
      <c r="N31" s="31"/>
      <c r="O31" s="31"/>
      <c r="P31" s="32"/>
      <c r="Y31">
        <f>SUM(Y3:Y28)</f>
        <v>1076</v>
      </c>
    </row>
    <row r="32" spans="1:28">
      <c r="A32" s="4" t="s">
        <v>6</v>
      </c>
      <c r="B32" s="1" t="s">
        <v>27</v>
      </c>
      <c r="C32" s="4" t="s">
        <v>6</v>
      </c>
      <c r="D32" s="31"/>
      <c r="E32" s="31"/>
      <c r="F32" s="31"/>
      <c r="G32" s="31"/>
      <c r="H32" s="32"/>
      <c r="I32" s="1" t="s">
        <v>27</v>
      </c>
      <c r="J32" s="3" t="s">
        <v>5</v>
      </c>
      <c r="K32" s="1" t="s">
        <v>27</v>
      </c>
      <c r="L32" s="31"/>
      <c r="M32" s="31"/>
      <c r="N32" s="31"/>
      <c r="O32" s="31"/>
      <c r="P32" s="32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10" t="s">
        <v>12</v>
      </c>
      <c r="D33" s="31"/>
      <c r="E33" s="31"/>
      <c r="F33" s="31"/>
      <c r="G33" s="31"/>
      <c r="H33" s="32"/>
      <c r="I33" s="1" t="s">
        <v>27</v>
      </c>
      <c r="J33" s="14" t="s">
        <v>16</v>
      </c>
      <c r="K33" s="1" t="s">
        <v>27</v>
      </c>
      <c r="L33" s="31"/>
      <c r="M33" s="31"/>
      <c r="N33" s="31"/>
      <c r="O33" s="31"/>
      <c r="P33" s="32"/>
      <c r="R33">
        <v>2</v>
      </c>
      <c r="S33" t="s">
        <v>60</v>
      </c>
    </row>
    <row r="34" spans="1:19">
      <c r="A34" s="17" t="s">
        <v>19</v>
      </c>
      <c r="B34" s="1" t="s">
        <v>27</v>
      </c>
      <c r="C34" s="4" t="s">
        <v>6</v>
      </c>
      <c r="D34" s="31"/>
      <c r="E34" s="31"/>
      <c r="F34" s="31"/>
      <c r="G34" s="31"/>
      <c r="H34" s="32"/>
      <c r="I34" s="38" t="s">
        <v>27</v>
      </c>
      <c r="J34" s="3" t="s">
        <v>5</v>
      </c>
      <c r="K34" s="1" t="s">
        <v>27</v>
      </c>
      <c r="L34" s="31"/>
      <c r="M34" s="31"/>
      <c r="N34" s="31"/>
      <c r="O34" s="31"/>
      <c r="P34" s="32"/>
      <c r="R34">
        <v>3</v>
      </c>
      <c r="S34" t="s">
        <v>58</v>
      </c>
    </row>
    <row r="35" spans="1:19">
      <c r="A35" s="4" t="s">
        <v>6</v>
      </c>
      <c r="B35" s="1" t="s">
        <v>27</v>
      </c>
      <c r="C35" s="17" t="s">
        <v>19</v>
      </c>
      <c r="D35" s="31"/>
      <c r="E35" s="31"/>
      <c r="F35" s="31"/>
      <c r="G35" s="31"/>
      <c r="H35" s="32"/>
      <c r="I35" s="38" t="s">
        <v>27</v>
      </c>
      <c r="J35" s="16" t="s">
        <v>28</v>
      </c>
      <c r="K35" s="1" t="s">
        <v>27</v>
      </c>
      <c r="L35" s="31"/>
      <c r="M35" s="31"/>
      <c r="N35" s="31"/>
      <c r="O35" s="31"/>
      <c r="P35" s="32"/>
      <c r="R35">
        <v>4</v>
      </c>
      <c r="S35" t="s">
        <v>61</v>
      </c>
    </row>
    <row r="36" spans="1:19">
      <c r="A36" s="4" t="s">
        <v>6</v>
      </c>
      <c r="B36" s="1" t="s">
        <v>27</v>
      </c>
      <c r="C36" s="4" t="s">
        <v>6</v>
      </c>
      <c r="D36" s="31"/>
      <c r="E36" s="31"/>
      <c r="F36" s="31"/>
      <c r="G36" s="31"/>
      <c r="H36" s="32"/>
      <c r="I36" s="38" t="s">
        <v>27</v>
      </c>
      <c r="J36" s="3" t="s">
        <v>5</v>
      </c>
      <c r="K36" s="1" t="s">
        <v>27</v>
      </c>
      <c r="L36" s="31"/>
      <c r="M36" s="31"/>
      <c r="N36" s="31"/>
      <c r="O36" s="31"/>
      <c r="P36" s="32"/>
      <c r="S36" t="s">
        <v>62</v>
      </c>
    </row>
    <row r="37" spans="1:19">
      <c r="A37" s="4" t="s">
        <v>6</v>
      </c>
      <c r="B37" s="1" t="s">
        <v>27</v>
      </c>
      <c r="C37" s="4" t="s">
        <v>6</v>
      </c>
      <c r="D37" s="31"/>
      <c r="E37" s="31"/>
      <c r="F37" s="31"/>
      <c r="G37" s="31"/>
      <c r="H37" s="32"/>
      <c r="I37" s="38" t="s">
        <v>27</v>
      </c>
      <c r="J37" s="3" t="s">
        <v>5</v>
      </c>
      <c r="K37" s="1" t="s">
        <v>27</v>
      </c>
      <c r="L37" s="31"/>
      <c r="M37" s="31"/>
      <c r="N37" s="31"/>
      <c r="O37" s="31"/>
      <c r="P37" s="32"/>
      <c r="R37">
        <v>5</v>
      </c>
      <c r="S37" t="s">
        <v>63</v>
      </c>
    </row>
    <row r="38" spans="1:19">
      <c r="A38" s="4" t="s">
        <v>6</v>
      </c>
      <c r="B38" s="1" t="s">
        <v>27</v>
      </c>
      <c r="C38" s="16" t="s">
        <v>18</v>
      </c>
      <c r="D38" s="31"/>
      <c r="E38" s="31"/>
      <c r="F38" s="31"/>
      <c r="G38" s="31"/>
      <c r="H38" s="32"/>
      <c r="I38" s="38" t="s">
        <v>27</v>
      </c>
      <c r="J38" s="15" t="s">
        <v>17</v>
      </c>
      <c r="K38" s="1" t="s">
        <v>27</v>
      </c>
      <c r="L38" s="31"/>
      <c r="M38" s="31"/>
      <c r="N38" s="31"/>
      <c r="O38" s="31"/>
      <c r="P38" s="32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4" t="s">
        <v>6</v>
      </c>
      <c r="D39" s="31"/>
      <c r="E39" s="31"/>
      <c r="F39" s="31"/>
      <c r="G39" s="31"/>
      <c r="H39" s="32"/>
      <c r="I39" s="38" t="s">
        <v>27</v>
      </c>
      <c r="J39" s="3" t="s">
        <v>5</v>
      </c>
      <c r="K39" s="1" t="s">
        <v>27</v>
      </c>
      <c r="L39" s="31"/>
      <c r="M39" s="31"/>
      <c r="N39" s="31"/>
      <c r="O39" s="31"/>
      <c r="P39" s="32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4" t="s">
        <v>6</v>
      </c>
      <c r="D40" s="31"/>
      <c r="E40" s="31"/>
      <c r="F40" s="31"/>
      <c r="G40" s="31"/>
      <c r="H40" s="32"/>
      <c r="I40" s="38" t="s">
        <v>27</v>
      </c>
      <c r="J40" s="3" t="s">
        <v>5</v>
      </c>
      <c r="K40" s="1" t="s">
        <v>27</v>
      </c>
      <c r="L40" s="31"/>
      <c r="M40" s="31"/>
      <c r="N40" s="31"/>
      <c r="O40" s="31"/>
      <c r="P40" s="32"/>
    </row>
    <row r="41" spans="1:19">
      <c r="A41" s="4" t="s">
        <v>6</v>
      </c>
      <c r="B41" s="1" t="s">
        <v>27</v>
      </c>
      <c r="C41" s="4" t="s">
        <v>6</v>
      </c>
      <c r="D41" s="31"/>
      <c r="E41" s="31"/>
      <c r="F41" s="31"/>
      <c r="G41" s="31"/>
      <c r="H41" s="32"/>
      <c r="I41" s="38" t="s">
        <v>27</v>
      </c>
      <c r="J41" s="3" t="s">
        <v>5</v>
      </c>
      <c r="K41" s="1" t="s">
        <v>27</v>
      </c>
      <c r="L41" s="31"/>
      <c r="M41" s="31"/>
      <c r="N41" s="31"/>
      <c r="O41" s="31"/>
      <c r="P41" s="32"/>
    </row>
    <row r="42" spans="1:19">
      <c r="A42" s="4" t="s">
        <v>6</v>
      </c>
      <c r="B42" s="1" t="s">
        <v>27</v>
      </c>
      <c r="C42" s="4" t="s">
        <v>6</v>
      </c>
      <c r="D42" s="31"/>
      <c r="E42" s="31"/>
      <c r="F42" s="31"/>
      <c r="G42" s="31"/>
      <c r="H42" s="32"/>
      <c r="I42" s="38" t="s">
        <v>27</v>
      </c>
      <c r="J42" s="3" t="s">
        <v>5</v>
      </c>
      <c r="K42" s="1" t="s">
        <v>27</v>
      </c>
      <c r="L42" s="31"/>
      <c r="M42" s="31"/>
      <c r="N42" s="31"/>
      <c r="O42" s="31"/>
      <c r="P42" s="32"/>
    </row>
    <row r="43" spans="1:19">
      <c r="A43" s="17" t="s">
        <v>20</v>
      </c>
      <c r="B43" s="1" t="s">
        <v>27</v>
      </c>
      <c r="C43" s="4" t="s">
        <v>6</v>
      </c>
      <c r="D43" s="31"/>
      <c r="E43" s="31"/>
      <c r="F43" s="31"/>
      <c r="G43" s="31"/>
      <c r="H43" s="32"/>
      <c r="I43" s="38" t="s">
        <v>27</v>
      </c>
      <c r="J43" s="15" t="s">
        <v>17</v>
      </c>
      <c r="K43" s="1" t="s">
        <v>27</v>
      </c>
      <c r="L43" s="31"/>
      <c r="M43" s="31"/>
      <c r="N43" s="31"/>
      <c r="O43" s="31"/>
      <c r="P43" s="32"/>
    </row>
    <row r="44" spans="1:19">
      <c r="A44" s="38" t="s">
        <v>27</v>
      </c>
      <c r="B44" s="1" t="s">
        <v>27</v>
      </c>
      <c r="C44" s="17" t="s">
        <v>20</v>
      </c>
      <c r="D44" s="31"/>
      <c r="E44" s="31"/>
      <c r="F44" s="31"/>
      <c r="G44" s="31"/>
      <c r="H44" s="32"/>
      <c r="I44" s="38" t="s">
        <v>27</v>
      </c>
      <c r="J44" s="3" t="s">
        <v>5</v>
      </c>
      <c r="K44" s="1" t="s">
        <v>27</v>
      </c>
      <c r="L44" s="31"/>
      <c r="M44" s="31"/>
      <c r="N44" s="31"/>
      <c r="O44" s="31"/>
      <c r="P44" s="32"/>
    </row>
    <row r="45" spans="1:19">
      <c r="A45" s="38" t="s">
        <v>27</v>
      </c>
      <c r="B45" s="1" t="s">
        <v>27</v>
      </c>
      <c r="C45" s="1" t="s">
        <v>27</v>
      </c>
      <c r="D45" s="31"/>
      <c r="E45" s="31"/>
      <c r="F45" s="31"/>
      <c r="G45" s="31"/>
      <c r="H45" s="32"/>
      <c r="I45" s="38" t="s">
        <v>27</v>
      </c>
      <c r="J45" s="3" t="s">
        <v>5</v>
      </c>
      <c r="K45" s="1" t="s">
        <v>27</v>
      </c>
      <c r="L45" s="31"/>
      <c r="M45" s="31"/>
      <c r="N45" s="31"/>
      <c r="O45" s="31"/>
      <c r="P45" s="32"/>
    </row>
    <row r="46" spans="1:19">
      <c r="A46" s="38" t="s">
        <v>27</v>
      </c>
      <c r="B46" s="1" t="s">
        <v>27</v>
      </c>
      <c r="C46" s="1" t="s">
        <v>27</v>
      </c>
      <c r="D46" s="31"/>
      <c r="E46" s="31"/>
      <c r="F46" s="31"/>
      <c r="G46" s="31"/>
      <c r="H46" s="32"/>
      <c r="I46" s="38" t="s">
        <v>27</v>
      </c>
      <c r="J46" s="9" t="s">
        <v>11</v>
      </c>
      <c r="K46" s="1" t="s">
        <v>27</v>
      </c>
      <c r="L46" s="31"/>
      <c r="M46" s="31"/>
      <c r="N46" s="31"/>
      <c r="O46" s="31"/>
      <c r="P46" s="32"/>
    </row>
    <row r="47" spans="1:19">
      <c r="A47" s="38" t="s">
        <v>27</v>
      </c>
      <c r="B47" s="1" t="s">
        <v>27</v>
      </c>
      <c r="C47" s="1" t="s">
        <v>27</v>
      </c>
      <c r="D47" s="31"/>
      <c r="E47" s="31"/>
      <c r="F47" s="31"/>
      <c r="G47" s="31"/>
      <c r="H47" s="32"/>
      <c r="I47" s="38" t="s">
        <v>27</v>
      </c>
      <c r="J47" s="3" t="s">
        <v>5</v>
      </c>
      <c r="K47" s="1" t="s">
        <v>27</v>
      </c>
      <c r="L47" s="31"/>
      <c r="M47" s="31"/>
      <c r="N47" s="31"/>
      <c r="O47" s="31"/>
      <c r="P47" s="32"/>
    </row>
    <row r="48" spans="1:19">
      <c r="A48" s="38" t="s">
        <v>27</v>
      </c>
      <c r="B48" s="1" t="s">
        <v>27</v>
      </c>
      <c r="C48" s="1" t="s">
        <v>27</v>
      </c>
      <c r="D48" s="31"/>
      <c r="E48" s="31"/>
      <c r="F48" s="31"/>
      <c r="G48" s="31"/>
      <c r="H48" s="32"/>
      <c r="I48" s="38" t="s">
        <v>27</v>
      </c>
      <c r="J48" s="3" t="s">
        <v>5</v>
      </c>
      <c r="K48" s="1" t="s">
        <v>27</v>
      </c>
      <c r="L48" s="31"/>
      <c r="M48" s="31"/>
      <c r="N48" s="31"/>
      <c r="O48" s="31"/>
      <c r="P48" s="32"/>
    </row>
    <row r="49" spans="1:16">
      <c r="A49" s="38" t="s">
        <v>27</v>
      </c>
      <c r="B49" s="1" t="s">
        <v>27</v>
      </c>
      <c r="C49" s="1" t="s">
        <v>27</v>
      </c>
      <c r="D49" s="31"/>
      <c r="E49" s="31"/>
      <c r="F49" s="31"/>
      <c r="G49" s="31"/>
      <c r="H49" s="32"/>
      <c r="I49" s="38" t="s">
        <v>27</v>
      </c>
      <c r="J49" s="15" t="s">
        <v>17</v>
      </c>
      <c r="K49" s="1" t="s">
        <v>27</v>
      </c>
      <c r="L49" s="31"/>
      <c r="M49" s="31"/>
      <c r="N49" s="31"/>
      <c r="O49" s="31"/>
      <c r="P49" s="32"/>
    </row>
    <row r="50" spans="1:16">
      <c r="A50" s="38" t="s">
        <v>27</v>
      </c>
      <c r="B50" s="1" t="s">
        <v>27</v>
      </c>
      <c r="C50" s="1" t="s">
        <v>27</v>
      </c>
      <c r="D50" s="31"/>
      <c r="E50" s="31"/>
      <c r="F50" s="31"/>
      <c r="G50" s="31"/>
      <c r="H50" s="32"/>
      <c r="I50" s="38" t="s">
        <v>27</v>
      </c>
      <c r="J50" s="3" t="s">
        <v>5</v>
      </c>
      <c r="K50" s="1" t="s">
        <v>27</v>
      </c>
      <c r="L50" s="31"/>
      <c r="M50" s="31"/>
      <c r="N50" s="31"/>
      <c r="O50" s="31"/>
      <c r="P50" s="32"/>
    </row>
    <row r="51" spans="1:16">
      <c r="A51" s="38" t="s">
        <v>27</v>
      </c>
      <c r="B51" s="1" t="s">
        <v>27</v>
      </c>
      <c r="C51" s="1" t="s">
        <v>27</v>
      </c>
      <c r="D51" s="31"/>
      <c r="E51" s="31"/>
      <c r="F51" s="31"/>
      <c r="G51" s="31"/>
      <c r="H51" s="32"/>
      <c r="I51" s="38" t="s">
        <v>27</v>
      </c>
      <c r="J51" s="3" t="s">
        <v>5</v>
      </c>
      <c r="K51" s="1" t="s">
        <v>27</v>
      </c>
      <c r="L51" s="31"/>
      <c r="M51" s="31"/>
      <c r="N51" s="31"/>
      <c r="O51" s="31"/>
      <c r="P51" s="32"/>
    </row>
    <row r="52" spans="1:16">
      <c r="A52" s="38" t="s">
        <v>27</v>
      </c>
      <c r="B52" s="1" t="s">
        <v>27</v>
      </c>
      <c r="C52" s="1" t="s">
        <v>27</v>
      </c>
      <c r="D52" s="31"/>
      <c r="E52" s="31"/>
      <c r="F52" s="31"/>
      <c r="G52" s="31"/>
      <c r="H52" s="32"/>
      <c r="I52" s="38" t="s">
        <v>27</v>
      </c>
      <c r="J52" s="3" t="s">
        <v>5</v>
      </c>
      <c r="K52" s="1" t="s">
        <v>27</v>
      </c>
      <c r="L52" s="31"/>
      <c r="M52" s="31"/>
      <c r="N52" s="31"/>
      <c r="O52" s="31"/>
      <c r="P52" s="32"/>
    </row>
    <row r="53" spans="1:16">
      <c r="A53" s="38" t="s">
        <v>27</v>
      </c>
      <c r="B53" s="1" t="s">
        <v>27</v>
      </c>
      <c r="C53" s="1" t="s">
        <v>27</v>
      </c>
      <c r="D53" s="31"/>
      <c r="E53" s="31"/>
      <c r="F53" s="31"/>
      <c r="G53" s="31"/>
      <c r="H53" s="32"/>
      <c r="I53" s="38" t="s">
        <v>27</v>
      </c>
      <c r="J53" s="3" t="s">
        <v>5</v>
      </c>
      <c r="K53" s="1" t="s">
        <v>27</v>
      </c>
      <c r="L53" s="31"/>
      <c r="M53" s="31"/>
      <c r="N53" s="31"/>
      <c r="O53" s="31"/>
      <c r="P53" s="32"/>
    </row>
    <row r="54" spans="1:16">
      <c r="A54" s="38" t="s">
        <v>27</v>
      </c>
      <c r="B54" s="1" t="s">
        <v>27</v>
      </c>
      <c r="C54" s="1" t="s">
        <v>27</v>
      </c>
      <c r="D54" s="31"/>
      <c r="E54" s="31"/>
      <c r="F54" s="31"/>
      <c r="G54" s="31"/>
      <c r="H54" s="32"/>
      <c r="I54" s="38" t="s">
        <v>27</v>
      </c>
      <c r="J54" s="3" t="s">
        <v>5</v>
      </c>
      <c r="K54" s="1" t="s">
        <v>27</v>
      </c>
      <c r="L54" s="31"/>
      <c r="M54" s="31"/>
      <c r="N54" s="31"/>
      <c r="O54" s="31"/>
      <c r="P54" s="32"/>
    </row>
    <row r="55" spans="1:16">
      <c r="A55" s="38" t="s">
        <v>27</v>
      </c>
      <c r="B55" s="1" t="s">
        <v>27</v>
      </c>
      <c r="C55" s="1" t="s">
        <v>27</v>
      </c>
      <c r="D55" s="31"/>
      <c r="E55" s="31"/>
      <c r="F55" s="31"/>
      <c r="G55" s="31"/>
      <c r="H55" s="32"/>
      <c r="I55" s="38" t="s">
        <v>27</v>
      </c>
      <c r="J55" s="15" t="s">
        <v>17</v>
      </c>
      <c r="K55" s="1" t="s">
        <v>27</v>
      </c>
      <c r="L55" s="31"/>
      <c r="M55" s="31"/>
      <c r="N55" s="31"/>
      <c r="O55" s="31"/>
      <c r="P55" s="32"/>
    </row>
    <row r="56" spans="1:16">
      <c r="A56" s="38" t="s">
        <v>27</v>
      </c>
      <c r="B56" s="1" t="s">
        <v>27</v>
      </c>
      <c r="C56" s="1" t="s">
        <v>27</v>
      </c>
      <c r="D56" s="31"/>
      <c r="E56" s="31"/>
      <c r="F56" s="31"/>
      <c r="G56" s="31"/>
      <c r="H56" s="32"/>
      <c r="I56" s="38" t="s">
        <v>27</v>
      </c>
      <c r="J56" s="3" t="s">
        <v>5</v>
      </c>
      <c r="K56" s="1" t="s">
        <v>27</v>
      </c>
      <c r="L56" s="31"/>
      <c r="M56" s="31"/>
      <c r="N56" s="31"/>
      <c r="O56" s="31"/>
      <c r="P56" s="32"/>
    </row>
    <row r="57" spans="1:16">
      <c r="A57" s="38" t="s">
        <v>27</v>
      </c>
      <c r="B57" s="1" t="s">
        <v>27</v>
      </c>
      <c r="C57" s="1" t="s">
        <v>27</v>
      </c>
      <c r="D57" s="31"/>
      <c r="E57" s="31"/>
      <c r="F57" s="31"/>
      <c r="G57" s="31"/>
      <c r="H57" s="32"/>
      <c r="I57" s="38" t="s">
        <v>27</v>
      </c>
      <c r="J57" s="3" t="s">
        <v>5</v>
      </c>
      <c r="K57" s="1" t="s">
        <v>27</v>
      </c>
      <c r="L57" s="31"/>
      <c r="M57" s="31"/>
      <c r="N57" s="31"/>
      <c r="O57" s="31"/>
      <c r="P57" s="32"/>
    </row>
    <row r="58" spans="1:16">
      <c r="A58" s="38" t="s">
        <v>27</v>
      </c>
      <c r="B58" s="1" t="s">
        <v>27</v>
      </c>
      <c r="C58" s="1" t="s">
        <v>27</v>
      </c>
      <c r="D58" s="31"/>
      <c r="E58" s="31"/>
      <c r="F58" s="31"/>
      <c r="G58" s="31"/>
      <c r="H58" s="32"/>
      <c r="I58" s="38" t="s">
        <v>27</v>
      </c>
      <c r="J58" s="3" t="s">
        <v>5</v>
      </c>
      <c r="K58" s="1" t="s">
        <v>27</v>
      </c>
      <c r="L58" s="31"/>
      <c r="M58" s="31"/>
      <c r="N58" s="31"/>
      <c r="O58" s="31"/>
      <c r="P58" s="32"/>
    </row>
    <row r="59" spans="1:16">
      <c r="A59" s="38" t="s">
        <v>27</v>
      </c>
      <c r="B59" s="1" t="s">
        <v>27</v>
      </c>
      <c r="C59" s="1" t="s">
        <v>27</v>
      </c>
      <c r="D59" s="31"/>
      <c r="E59" s="31"/>
      <c r="F59" s="31"/>
      <c r="G59" s="31"/>
      <c r="H59" s="32"/>
      <c r="I59" s="38" t="s">
        <v>27</v>
      </c>
      <c r="J59" s="3" t="s">
        <v>5</v>
      </c>
      <c r="K59" s="1" t="s">
        <v>27</v>
      </c>
      <c r="L59" s="31"/>
      <c r="M59" s="31"/>
      <c r="N59" s="31"/>
      <c r="O59" s="31"/>
      <c r="P59" s="32"/>
    </row>
    <row r="60" spans="1:16">
      <c r="A60" s="38" t="s">
        <v>27</v>
      </c>
      <c r="B60" s="1" t="s">
        <v>27</v>
      </c>
      <c r="C60" s="1" t="s">
        <v>27</v>
      </c>
      <c r="D60" s="31"/>
      <c r="E60" s="31"/>
      <c r="F60" s="31"/>
      <c r="G60" s="31"/>
      <c r="H60" s="32"/>
      <c r="I60" s="38" t="s">
        <v>27</v>
      </c>
      <c r="J60" s="3" t="s">
        <v>5</v>
      </c>
      <c r="K60" s="1" t="s">
        <v>27</v>
      </c>
      <c r="L60" s="31"/>
      <c r="M60" s="31"/>
      <c r="N60" s="31"/>
      <c r="O60" s="31"/>
      <c r="P60" s="32"/>
    </row>
    <row r="61" spans="1:16">
      <c r="A61" s="38" t="s">
        <v>27</v>
      </c>
      <c r="B61" s="1" t="s">
        <v>27</v>
      </c>
      <c r="C61" s="1" t="s">
        <v>27</v>
      </c>
      <c r="D61" s="31"/>
      <c r="E61" s="31"/>
      <c r="F61" s="31"/>
      <c r="G61" s="31"/>
      <c r="H61" s="32"/>
      <c r="I61" s="38" t="s">
        <v>27</v>
      </c>
      <c r="J61" s="15" t="s">
        <v>17</v>
      </c>
      <c r="K61" s="1" t="s">
        <v>27</v>
      </c>
      <c r="L61" s="31"/>
      <c r="M61" s="31"/>
      <c r="N61" s="31"/>
      <c r="O61" s="31"/>
      <c r="P61" s="32"/>
    </row>
    <row r="62" spans="1:16">
      <c r="A62" s="38" t="s">
        <v>27</v>
      </c>
      <c r="B62" s="1" t="s">
        <v>27</v>
      </c>
      <c r="C62" s="1" t="s">
        <v>27</v>
      </c>
      <c r="D62" s="31"/>
      <c r="E62" s="31"/>
      <c r="F62" s="31"/>
      <c r="G62" s="31"/>
      <c r="H62" s="32"/>
      <c r="I62" s="38" t="s">
        <v>27</v>
      </c>
      <c r="J62" s="1" t="s">
        <v>27</v>
      </c>
      <c r="K62" s="1" t="s">
        <v>27</v>
      </c>
      <c r="L62" s="31"/>
      <c r="M62" s="31"/>
      <c r="N62" s="31"/>
      <c r="O62" s="31"/>
      <c r="P62" s="32"/>
    </row>
    <row r="63" spans="1:16">
      <c r="A63" s="38" t="s">
        <v>27</v>
      </c>
      <c r="B63" s="1" t="s">
        <v>27</v>
      </c>
      <c r="C63" s="1" t="s">
        <v>27</v>
      </c>
      <c r="D63" s="31"/>
      <c r="E63" s="31"/>
      <c r="F63" s="31"/>
      <c r="G63" s="31"/>
      <c r="H63" s="32"/>
      <c r="I63" s="38" t="s">
        <v>27</v>
      </c>
      <c r="J63" s="1" t="s">
        <v>27</v>
      </c>
      <c r="K63" s="1" t="s">
        <v>27</v>
      </c>
      <c r="L63" s="31"/>
      <c r="M63" s="31"/>
      <c r="N63" s="31"/>
      <c r="O63" s="31"/>
      <c r="P63" s="32"/>
    </row>
    <row r="64" spans="1:16">
      <c r="A64" s="38" t="s">
        <v>27</v>
      </c>
      <c r="B64" s="1" t="s">
        <v>27</v>
      </c>
      <c r="C64" s="1" t="s">
        <v>27</v>
      </c>
      <c r="D64" s="31"/>
      <c r="E64" s="31"/>
      <c r="F64" s="31"/>
      <c r="G64" s="31"/>
      <c r="H64" s="32"/>
      <c r="I64" s="38" t="s">
        <v>27</v>
      </c>
      <c r="J64" s="1" t="s">
        <v>27</v>
      </c>
      <c r="K64" s="1" t="s">
        <v>27</v>
      </c>
      <c r="L64" s="31"/>
      <c r="M64" s="31"/>
      <c r="N64" s="31"/>
      <c r="O64" s="31"/>
      <c r="P64" s="32"/>
    </row>
    <row r="65" spans="1:16">
      <c r="A65" s="38" t="s">
        <v>27</v>
      </c>
      <c r="B65" s="1" t="s">
        <v>27</v>
      </c>
      <c r="C65" s="1" t="s">
        <v>27</v>
      </c>
      <c r="D65" s="31"/>
      <c r="E65" s="31"/>
      <c r="F65" s="31"/>
      <c r="G65" s="31"/>
      <c r="H65" s="32"/>
      <c r="I65" s="38" t="s">
        <v>27</v>
      </c>
      <c r="J65" s="1" t="s">
        <v>27</v>
      </c>
      <c r="K65" s="1" t="s">
        <v>27</v>
      </c>
      <c r="L65" s="31"/>
      <c r="M65" s="31"/>
      <c r="N65" s="31"/>
      <c r="O65" s="31"/>
      <c r="P65" s="32"/>
    </row>
    <row r="66" spans="1:16">
      <c r="A66" s="38" t="s">
        <v>27</v>
      </c>
      <c r="B66" s="1" t="s">
        <v>27</v>
      </c>
      <c r="C66" s="1" t="s">
        <v>27</v>
      </c>
      <c r="D66" s="31"/>
      <c r="E66" s="31"/>
      <c r="F66" s="31"/>
      <c r="G66" s="31"/>
      <c r="H66" s="32"/>
      <c r="I66" s="38" t="s">
        <v>27</v>
      </c>
      <c r="J66" s="1" t="s">
        <v>27</v>
      </c>
      <c r="K66" s="1" t="s">
        <v>27</v>
      </c>
      <c r="L66" s="31"/>
      <c r="M66" s="31"/>
      <c r="N66" s="31"/>
      <c r="O66" s="31"/>
      <c r="P66" s="32"/>
    </row>
    <row r="67" spans="1:16">
      <c r="A67" s="38" t="s">
        <v>27</v>
      </c>
      <c r="B67" s="1" t="s">
        <v>27</v>
      </c>
      <c r="C67" s="1" t="s">
        <v>27</v>
      </c>
      <c r="D67" s="31"/>
      <c r="E67" s="31"/>
      <c r="F67" s="31"/>
      <c r="G67" s="31"/>
      <c r="H67" s="32"/>
      <c r="I67" s="38" t="s">
        <v>27</v>
      </c>
      <c r="J67" s="1" t="s">
        <v>27</v>
      </c>
      <c r="K67" s="1" t="s">
        <v>27</v>
      </c>
      <c r="L67" s="31"/>
      <c r="M67" s="31"/>
      <c r="N67" s="31"/>
      <c r="O67" s="31"/>
      <c r="P67" s="32"/>
    </row>
    <row r="68" spans="1:16">
      <c r="A68" s="38" t="s">
        <v>27</v>
      </c>
      <c r="B68" s="1" t="s">
        <v>27</v>
      </c>
      <c r="C68" s="1" t="s">
        <v>27</v>
      </c>
      <c r="D68" s="31"/>
      <c r="E68" s="31"/>
      <c r="F68" s="31"/>
      <c r="G68" s="31"/>
      <c r="H68" s="32"/>
      <c r="I68" s="38" t="s">
        <v>27</v>
      </c>
      <c r="J68" s="1" t="s">
        <v>27</v>
      </c>
      <c r="K68" s="1" t="s">
        <v>27</v>
      </c>
      <c r="L68" s="31"/>
      <c r="M68" s="31"/>
      <c r="N68" s="31"/>
      <c r="O68" s="31"/>
      <c r="P68" s="32"/>
    </row>
    <row r="69" spans="1:16">
      <c r="A69" s="38" t="s">
        <v>27</v>
      </c>
      <c r="B69" s="1" t="s">
        <v>27</v>
      </c>
      <c r="C69" s="1" t="s">
        <v>27</v>
      </c>
      <c r="D69" s="31"/>
      <c r="E69" s="31"/>
      <c r="F69" s="31"/>
      <c r="G69" s="31"/>
      <c r="H69" s="32"/>
      <c r="I69" s="38" t="s">
        <v>27</v>
      </c>
      <c r="J69" s="1" t="s">
        <v>27</v>
      </c>
      <c r="K69" s="1" t="s">
        <v>27</v>
      </c>
      <c r="L69" s="31"/>
      <c r="M69" s="31"/>
      <c r="N69" s="31"/>
      <c r="O69" s="31"/>
      <c r="P69" s="32"/>
    </row>
    <row r="70" spans="1:16">
      <c r="A70" s="38" t="s">
        <v>27</v>
      </c>
      <c r="B70" s="1" t="s">
        <v>27</v>
      </c>
      <c r="C70" s="1" t="s">
        <v>27</v>
      </c>
      <c r="D70" s="31"/>
      <c r="E70" s="31"/>
      <c r="F70" s="31"/>
      <c r="G70" s="31"/>
      <c r="H70" s="32"/>
      <c r="I70" s="38" t="s">
        <v>27</v>
      </c>
      <c r="J70" s="1" t="s">
        <v>27</v>
      </c>
      <c r="K70" s="1" t="s">
        <v>27</v>
      </c>
      <c r="L70" s="31"/>
      <c r="M70" s="31"/>
      <c r="N70" s="31"/>
      <c r="O70" s="31"/>
      <c r="P70" s="32"/>
    </row>
    <row r="71" spans="1:16">
      <c r="A71" s="38" t="s">
        <v>27</v>
      </c>
      <c r="B71" s="1" t="s">
        <v>27</v>
      </c>
      <c r="C71" s="1" t="s">
        <v>27</v>
      </c>
      <c r="D71" s="31"/>
      <c r="E71" s="31"/>
      <c r="F71" s="31"/>
      <c r="G71" s="31"/>
      <c r="H71" s="32"/>
      <c r="I71" s="38" t="s">
        <v>27</v>
      </c>
      <c r="J71" s="1" t="s">
        <v>27</v>
      </c>
      <c r="K71" s="1" t="s">
        <v>27</v>
      </c>
      <c r="L71" s="31"/>
      <c r="M71" s="31"/>
      <c r="N71" s="31"/>
      <c r="O71" s="31"/>
      <c r="P71" s="32"/>
    </row>
    <row r="72" spans="1:16">
      <c r="A72" s="38" t="s">
        <v>27</v>
      </c>
      <c r="B72" s="1" t="s">
        <v>27</v>
      </c>
      <c r="C72" s="1" t="s">
        <v>27</v>
      </c>
      <c r="D72" s="31"/>
      <c r="E72" s="31"/>
      <c r="F72" s="31"/>
      <c r="G72" s="31"/>
      <c r="H72" s="32"/>
      <c r="I72" s="38" t="s">
        <v>27</v>
      </c>
      <c r="J72" s="1" t="s">
        <v>27</v>
      </c>
      <c r="K72" s="1" t="s">
        <v>27</v>
      </c>
      <c r="L72" s="31"/>
      <c r="M72" s="31"/>
      <c r="N72" s="31"/>
      <c r="O72" s="31"/>
      <c r="P72" s="32"/>
    </row>
    <row r="73" spans="1:16">
      <c r="A73" s="38" t="s">
        <v>27</v>
      </c>
      <c r="B73" s="1" t="s">
        <v>27</v>
      </c>
      <c r="C73" s="1" t="s">
        <v>27</v>
      </c>
      <c r="D73" s="31"/>
      <c r="E73" s="31"/>
      <c r="F73" s="31"/>
      <c r="G73" s="31"/>
      <c r="H73" s="32"/>
      <c r="I73" s="38" t="s">
        <v>27</v>
      </c>
      <c r="J73" s="1" t="s">
        <v>27</v>
      </c>
      <c r="K73" s="1" t="s">
        <v>27</v>
      </c>
      <c r="L73" s="31"/>
      <c r="M73" s="31"/>
      <c r="N73" s="31"/>
      <c r="O73" s="31"/>
      <c r="P73" s="32"/>
    </row>
    <row r="74" spans="1:16">
      <c r="A74" s="38" t="s">
        <v>27</v>
      </c>
      <c r="B74" s="1" t="s">
        <v>27</v>
      </c>
      <c r="C74" s="1" t="s">
        <v>27</v>
      </c>
      <c r="D74" s="31"/>
      <c r="E74" s="31"/>
      <c r="F74" s="31"/>
      <c r="G74" s="31"/>
      <c r="H74" s="32"/>
      <c r="I74" s="38" t="s">
        <v>27</v>
      </c>
      <c r="J74" s="1" t="s">
        <v>27</v>
      </c>
      <c r="K74" s="1" t="s">
        <v>27</v>
      </c>
      <c r="L74" s="31"/>
      <c r="M74" s="31"/>
      <c r="N74" s="31"/>
      <c r="O74" s="31"/>
      <c r="P74" s="32"/>
    </row>
    <row r="75" spans="1:16">
      <c r="A75" s="38" t="s">
        <v>27</v>
      </c>
      <c r="B75" s="1" t="s">
        <v>27</v>
      </c>
      <c r="C75" s="1" t="s">
        <v>27</v>
      </c>
      <c r="D75" s="31"/>
      <c r="E75" s="31"/>
      <c r="F75" s="31"/>
      <c r="G75" s="31"/>
      <c r="H75" s="32"/>
      <c r="I75" s="38" t="s">
        <v>27</v>
      </c>
      <c r="J75" s="1" t="s">
        <v>27</v>
      </c>
      <c r="K75" s="1" t="s">
        <v>27</v>
      </c>
      <c r="L75" s="31"/>
      <c r="M75" s="31"/>
      <c r="N75" s="31"/>
      <c r="O75" s="31"/>
      <c r="P75" s="32"/>
    </row>
    <row r="76" spans="1:16">
      <c r="A76" s="38" t="s">
        <v>27</v>
      </c>
      <c r="B76" s="1" t="s">
        <v>27</v>
      </c>
      <c r="C76" s="1" t="s">
        <v>27</v>
      </c>
      <c r="D76" s="31"/>
      <c r="E76" s="31"/>
      <c r="F76" s="31"/>
      <c r="G76" s="31"/>
      <c r="H76" s="32"/>
      <c r="I76" s="38" t="s">
        <v>27</v>
      </c>
      <c r="J76" s="1" t="s">
        <v>27</v>
      </c>
      <c r="K76" s="1" t="s">
        <v>27</v>
      </c>
      <c r="L76" s="31"/>
      <c r="M76" s="31"/>
      <c r="N76" s="31"/>
      <c r="O76" s="31"/>
      <c r="P76" s="32"/>
    </row>
    <row r="77" spans="1:16">
      <c r="A77" s="38" t="s">
        <v>27</v>
      </c>
      <c r="B77" s="1" t="s">
        <v>27</v>
      </c>
      <c r="C77" s="1" t="s">
        <v>27</v>
      </c>
      <c r="D77" s="31"/>
      <c r="E77" s="31"/>
      <c r="F77" s="31"/>
      <c r="G77" s="31"/>
      <c r="H77" s="32"/>
      <c r="I77" s="38" t="s">
        <v>27</v>
      </c>
      <c r="J77" s="1" t="s">
        <v>27</v>
      </c>
      <c r="K77" s="1" t="s">
        <v>27</v>
      </c>
      <c r="L77" s="31"/>
      <c r="M77" s="31"/>
      <c r="N77" s="31"/>
      <c r="O77" s="31"/>
      <c r="P77" s="32"/>
    </row>
    <row r="78" spans="1:16">
      <c r="A78" s="38" t="s">
        <v>27</v>
      </c>
      <c r="B78" s="1" t="s">
        <v>27</v>
      </c>
      <c r="C78" s="1" t="s">
        <v>27</v>
      </c>
      <c r="D78" s="31"/>
      <c r="E78" s="31"/>
      <c r="F78" s="31"/>
      <c r="G78" s="31"/>
      <c r="H78" s="32"/>
      <c r="I78" s="38" t="s">
        <v>27</v>
      </c>
      <c r="J78" s="1" t="s">
        <v>27</v>
      </c>
      <c r="K78" s="1" t="s">
        <v>27</v>
      </c>
      <c r="L78" s="31"/>
      <c r="M78" s="31"/>
      <c r="N78" s="31"/>
      <c r="O78" s="31"/>
      <c r="P78" s="32"/>
    </row>
    <row r="79" spans="1:16">
      <c r="A79" s="38" t="s">
        <v>27</v>
      </c>
      <c r="B79" s="1" t="s">
        <v>27</v>
      </c>
      <c r="C79" s="1" t="s">
        <v>27</v>
      </c>
      <c r="D79" s="31"/>
      <c r="E79" s="31"/>
      <c r="F79" s="31"/>
      <c r="G79" s="31"/>
      <c r="H79" s="32"/>
      <c r="I79" s="38" t="s">
        <v>27</v>
      </c>
      <c r="J79" s="1" t="s">
        <v>27</v>
      </c>
      <c r="K79" s="1" t="s">
        <v>27</v>
      </c>
      <c r="L79" s="31"/>
      <c r="M79" s="31"/>
      <c r="N79" s="31"/>
      <c r="O79" s="31"/>
      <c r="P79" s="32"/>
    </row>
    <row r="80" spans="1:16">
      <c r="A80" s="38" t="s">
        <v>27</v>
      </c>
      <c r="B80" s="1" t="s">
        <v>27</v>
      </c>
      <c r="C80" s="1" t="s">
        <v>27</v>
      </c>
      <c r="D80" s="31"/>
      <c r="E80" s="31"/>
      <c r="F80" s="31"/>
      <c r="G80" s="31"/>
      <c r="H80" s="32"/>
      <c r="I80" s="38" t="s">
        <v>27</v>
      </c>
      <c r="J80" s="1" t="s">
        <v>27</v>
      </c>
      <c r="K80" s="1" t="s">
        <v>27</v>
      </c>
      <c r="L80" s="31"/>
      <c r="M80" s="31"/>
      <c r="N80" s="31"/>
      <c r="O80" s="31"/>
      <c r="P80" s="32"/>
    </row>
    <row r="81" spans="1:16">
      <c r="A81" s="38" t="s">
        <v>27</v>
      </c>
      <c r="B81" s="1" t="s">
        <v>27</v>
      </c>
      <c r="C81" s="1" t="s">
        <v>27</v>
      </c>
      <c r="D81" s="31"/>
      <c r="E81" s="31"/>
      <c r="F81" s="31"/>
      <c r="G81" s="31"/>
      <c r="H81" s="32"/>
      <c r="I81" s="38" t="s">
        <v>27</v>
      </c>
      <c r="J81" s="1" t="s">
        <v>27</v>
      </c>
      <c r="K81" s="1" t="s">
        <v>27</v>
      </c>
      <c r="L81" s="31"/>
      <c r="M81" s="31"/>
      <c r="N81" s="31"/>
      <c r="O81" s="31"/>
      <c r="P81" s="32"/>
    </row>
    <row r="82" spans="1:16">
      <c r="A82" s="38" t="s">
        <v>27</v>
      </c>
      <c r="B82" s="1" t="s">
        <v>27</v>
      </c>
      <c r="C82" s="1" t="s">
        <v>27</v>
      </c>
      <c r="D82" s="31"/>
      <c r="E82" s="31"/>
      <c r="F82" s="31"/>
      <c r="G82" s="31"/>
      <c r="H82" s="32"/>
      <c r="I82" s="38" t="s">
        <v>27</v>
      </c>
      <c r="J82" s="1" t="s">
        <v>27</v>
      </c>
      <c r="K82" s="1" t="s">
        <v>27</v>
      </c>
      <c r="L82" s="31"/>
      <c r="M82" s="31"/>
      <c r="N82" s="31"/>
      <c r="O82" s="31"/>
      <c r="P82" s="32"/>
    </row>
    <row r="83" spans="1:16">
      <c r="A83" s="38" t="s">
        <v>27</v>
      </c>
      <c r="B83" s="1" t="s">
        <v>27</v>
      </c>
      <c r="C83" s="1" t="s">
        <v>27</v>
      </c>
      <c r="D83" s="31"/>
      <c r="E83" s="31"/>
      <c r="F83" s="31"/>
      <c r="G83" s="31"/>
      <c r="H83" s="32"/>
      <c r="I83" s="38" t="s">
        <v>27</v>
      </c>
      <c r="J83" s="1" t="s">
        <v>27</v>
      </c>
      <c r="K83" s="1" t="s">
        <v>27</v>
      </c>
      <c r="L83" s="31"/>
      <c r="M83" s="31"/>
      <c r="N83" s="31"/>
      <c r="O83" s="31"/>
      <c r="P83" s="32"/>
    </row>
    <row r="84" spans="1:16">
      <c r="A84" s="38" t="s">
        <v>27</v>
      </c>
      <c r="B84" s="1" t="s">
        <v>27</v>
      </c>
      <c r="C84" s="1" t="s">
        <v>27</v>
      </c>
      <c r="D84" s="31"/>
      <c r="E84" s="31"/>
      <c r="F84" s="31"/>
      <c r="G84" s="31"/>
      <c r="H84" s="32"/>
      <c r="I84" s="38" t="s">
        <v>27</v>
      </c>
      <c r="J84" s="1" t="s">
        <v>27</v>
      </c>
      <c r="K84" s="1" t="s">
        <v>27</v>
      </c>
      <c r="L84" s="31"/>
      <c r="M84" s="31"/>
      <c r="N84" s="31"/>
      <c r="O84" s="31"/>
      <c r="P84" s="32"/>
    </row>
    <row r="85" spans="1:16">
      <c r="A85" s="38" t="s">
        <v>27</v>
      </c>
      <c r="B85" s="1" t="s">
        <v>27</v>
      </c>
      <c r="C85" s="1" t="s">
        <v>27</v>
      </c>
      <c r="D85" s="31"/>
      <c r="E85" s="31"/>
      <c r="F85" s="31"/>
      <c r="G85" s="31"/>
      <c r="H85" s="32"/>
      <c r="I85" s="38" t="s">
        <v>27</v>
      </c>
      <c r="J85" s="1" t="s">
        <v>27</v>
      </c>
      <c r="K85" s="1" t="s">
        <v>27</v>
      </c>
      <c r="L85" s="31"/>
      <c r="M85" s="31"/>
      <c r="N85" s="31"/>
      <c r="O85" s="31"/>
      <c r="P85" s="32"/>
    </row>
    <row r="86" spans="1:16">
      <c r="A86" s="38" t="s">
        <v>27</v>
      </c>
      <c r="B86" s="1" t="s">
        <v>27</v>
      </c>
      <c r="C86" s="1" t="s">
        <v>27</v>
      </c>
      <c r="D86" s="31"/>
      <c r="E86" s="31"/>
      <c r="F86" s="31"/>
      <c r="G86" s="31"/>
      <c r="H86" s="32"/>
      <c r="I86" s="38" t="s">
        <v>27</v>
      </c>
      <c r="J86" s="1" t="s">
        <v>27</v>
      </c>
      <c r="K86" s="1" t="s">
        <v>27</v>
      </c>
      <c r="L86" s="31"/>
      <c r="M86" s="31"/>
      <c r="N86" s="31"/>
      <c r="O86" s="31"/>
      <c r="P86" s="32"/>
    </row>
    <row r="87" spans="1:16">
      <c r="A87" s="38" t="s">
        <v>27</v>
      </c>
      <c r="B87" s="1" t="s">
        <v>27</v>
      </c>
      <c r="C87" s="1" t="s">
        <v>27</v>
      </c>
      <c r="D87" s="31"/>
      <c r="E87" s="31"/>
      <c r="F87" s="31"/>
      <c r="G87" s="31"/>
      <c r="H87" s="32"/>
      <c r="I87" s="38" t="s">
        <v>27</v>
      </c>
      <c r="J87" s="1" t="s">
        <v>27</v>
      </c>
      <c r="K87" s="1" t="s">
        <v>27</v>
      </c>
      <c r="L87" s="31"/>
      <c r="M87" s="31"/>
      <c r="N87" s="31"/>
      <c r="O87" s="31"/>
      <c r="P87" s="32"/>
    </row>
    <row r="88" spans="1:16">
      <c r="A88" s="38" t="s">
        <v>27</v>
      </c>
      <c r="B88" s="1" t="s">
        <v>27</v>
      </c>
      <c r="C88" s="1" t="s">
        <v>27</v>
      </c>
      <c r="D88" s="31"/>
      <c r="E88" s="31"/>
      <c r="F88" s="31"/>
      <c r="G88" s="31"/>
      <c r="H88" s="32"/>
      <c r="I88" s="38" t="s">
        <v>27</v>
      </c>
      <c r="J88" s="1" t="s">
        <v>27</v>
      </c>
      <c r="K88" s="1" t="s">
        <v>27</v>
      </c>
      <c r="L88" s="31"/>
      <c r="M88" s="31"/>
      <c r="N88" s="31"/>
      <c r="O88" s="31"/>
      <c r="P88" s="32"/>
    </row>
    <row r="89" spans="1:16">
      <c r="A89" s="38" t="s">
        <v>27</v>
      </c>
      <c r="B89" s="1" t="s">
        <v>27</v>
      </c>
      <c r="C89" s="1" t="s">
        <v>27</v>
      </c>
      <c r="D89" s="31"/>
      <c r="E89" s="31"/>
      <c r="F89" s="31"/>
      <c r="G89" s="31"/>
      <c r="H89" s="32"/>
      <c r="I89" s="38" t="s">
        <v>27</v>
      </c>
      <c r="J89" s="1" t="s">
        <v>27</v>
      </c>
      <c r="K89" s="1" t="s">
        <v>27</v>
      </c>
      <c r="L89" s="31"/>
      <c r="M89" s="31"/>
      <c r="N89" s="31"/>
      <c r="O89" s="31"/>
      <c r="P89" s="32"/>
    </row>
    <row r="90" spans="1:16">
      <c r="A90" s="38" t="s">
        <v>27</v>
      </c>
      <c r="B90" s="1" t="s">
        <v>27</v>
      </c>
      <c r="C90" s="1" t="s">
        <v>27</v>
      </c>
      <c r="D90" s="31"/>
      <c r="E90" s="31"/>
      <c r="F90" s="31"/>
      <c r="G90" s="31"/>
      <c r="H90" s="32"/>
      <c r="I90" s="38" t="s">
        <v>27</v>
      </c>
      <c r="J90" s="1" t="s">
        <v>27</v>
      </c>
      <c r="K90" s="1" t="s">
        <v>27</v>
      </c>
      <c r="L90" s="31"/>
      <c r="M90" s="31"/>
      <c r="N90" s="31"/>
      <c r="O90" s="31"/>
      <c r="P90" s="32"/>
    </row>
    <row r="91" spans="1:16">
      <c r="A91" s="38" t="s">
        <v>27</v>
      </c>
      <c r="B91" s="1" t="s">
        <v>27</v>
      </c>
      <c r="C91" s="1" t="s">
        <v>27</v>
      </c>
      <c r="D91" s="31"/>
      <c r="E91" s="31"/>
      <c r="F91" s="31"/>
      <c r="G91" s="31"/>
      <c r="H91" s="32"/>
      <c r="I91" s="38" t="s">
        <v>27</v>
      </c>
      <c r="J91" s="1" t="s">
        <v>27</v>
      </c>
      <c r="K91" s="1" t="s">
        <v>27</v>
      </c>
      <c r="L91" s="31"/>
      <c r="M91" s="31"/>
      <c r="N91" s="31"/>
      <c r="O91" s="31"/>
      <c r="P91" s="32"/>
    </row>
    <row r="92" spans="1:16">
      <c r="A92" s="38" t="s">
        <v>27</v>
      </c>
      <c r="B92" s="1" t="s">
        <v>27</v>
      </c>
      <c r="C92" s="1" t="s">
        <v>27</v>
      </c>
      <c r="D92" s="31"/>
      <c r="E92" s="31"/>
      <c r="F92" s="31"/>
      <c r="G92" s="31"/>
      <c r="H92" s="32"/>
      <c r="I92" s="38" t="s">
        <v>27</v>
      </c>
      <c r="J92" s="1" t="s">
        <v>27</v>
      </c>
      <c r="K92" s="1" t="s">
        <v>27</v>
      </c>
      <c r="L92" s="31"/>
      <c r="M92" s="31"/>
      <c r="N92" s="31"/>
      <c r="O92" s="31"/>
      <c r="P92" s="32"/>
    </row>
    <row r="93" spans="1:16">
      <c r="A93" s="38" t="s">
        <v>27</v>
      </c>
      <c r="B93" s="1" t="s">
        <v>27</v>
      </c>
      <c r="C93" s="1" t="s">
        <v>27</v>
      </c>
      <c r="D93" s="31"/>
      <c r="E93" s="31"/>
      <c r="F93" s="31"/>
      <c r="G93" s="31"/>
      <c r="H93" s="32"/>
      <c r="I93" s="38" t="s">
        <v>27</v>
      </c>
      <c r="J93" s="1" t="s">
        <v>27</v>
      </c>
      <c r="K93" s="1" t="s">
        <v>27</v>
      </c>
      <c r="L93" s="31"/>
      <c r="M93" s="31"/>
      <c r="N93" s="31"/>
      <c r="O93" s="31"/>
      <c r="P93" s="32"/>
    </row>
    <row r="94" spans="1:16">
      <c r="A94" s="38" t="s">
        <v>27</v>
      </c>
      <c r="B94" s="1" t="s">
        <v>27</v>
      </c>
      <c r="C94" s="1" t="s">
        <v>27</v>
      </c>
      <c r="D94" s="31"/>
      <c r="E94" s="31"/>
      <c r="F94" s="31"/>
      <c r="G94" s="31"/>
      <c r="H94" s="32"/>
      <c r="I94" s="38" t="s">
        <v>27</v>
      </c>
      <c r="J94" s="1" t="s">
        <v>27</v>
      </c>
      <c r="K94" s="1" t="s">
        <v>27</v>
      </c>
      <c r="L94" s="31"/>
      <c r="M94" s="31"/>
      <c r="N94" s="31"/>
      <c r="O94" s="31"/>
      <c r="P94" s="32"/>
    </row>
    <row r="95" spans="1:16">
      <c r="A95" s="38" t="s">
        <v>27</v>
      </c>
      <c r="B95" s="1" t="s">
        <v>27</v>
      </c>
      <c r="C95" s="1" t="s">
        <v>27</v>
      </c>
      <c r="D95" s="31"/>
      <c r="E95" s="31"/>
      <c r="F95" s="31"/>
      <c r="G95" s="31"/>
      <c r="H95" s="32"/>
      <c r="I95" s="38" t="s">
        <v>27</v>
      </c>
      <c r="J95" s="1" t="s">
        <v>27</v>
      </c>
      <c r="K95" s="1" t="s">
        <v>27</v>
      </c>
      <c r="L95" s="31"/>
      <c r="M95" s="31"/>
      <c r="N95" s="31"/>
      <c r="O95" s="31"/>
      <c r="P95" s="32"/>
    </row>
    <row r="96" spans="1:16">
      <c r="A96" s="38" t="s">
        <v>27</v>
      </c>
      <c r="B96" s="1" t="s">
        <v>27</v>
      </c>
      <c r="C96" s="1" t="s">
        <v>27</v>
      </c>
      <c r="D96" s="31"/>
      <c r="E96" s="31"/>
      <c r="F96" s="31"/>
      <c r="G96" s="31"/>
      <c r="H96" s="32"/>
      <c r="I96" s="38" t="s">
        <v>27</v>
      </c>
      <c r="J96" s="1" t="s">
        <v>27</v>
      </c>
      <c r="K96" s="1" t="s">
        <v>27</v>
      </c>
      <c r="L96" s="31"/>
      <c r="M96" s="31"/>
      <c r="N96" s="31"/>
      <c r="O96" s="31"/>
      <c r="P96" s="32"/>
    </row>
    <row r="97" spans="1:16">
      <c r="A97" s="38" t="s">
        <v>27</v>
      </c>
      <c r="B97" s="1" t="s">
        <v>27</v>
      </c>
      <c r="C97" s="1" t="s">
        <v>27</v>
      </c>
      <c r="D97" s="31"/>
      <c r="E97" s="31"/>
      <c r="F97" s="31"/>
      <c r="G97" s="31"/>
      <c r="H97" s="32"/>
      <c r="I97" s="38" t="s">
        <v>27</v>
      </c>
      <c r="J97" s="1" t="s">
        <v>27</v>
      </c>
      <c r="K97" s="1" t="s">
        <v>27</v>
      </c>
      <c r="L97" s="31"/>
      <c r="M97" s="31"/>
      <c r="N97" s="31"/>
      <c r="O97" s="31"/>
      <c r="P97" s="32"/>
    </row>
    <row r="98" spans="1:16">
      <c r="A98" s="38" t="s">
        <v>27</v>
      </c>
      <c r="B98" s="1" t="s">
        <v>27</v>
      </c>
      <c r="C98" s="1" t="s">
        <v>27</v>
      </c>
      <c r="D98" s="31"/>
      <c r="E98" s="31"/>
      <c r="F98" s="31"/>
      <c r="G98" s="31"/>
      <c r="H98" s="32"/>
      <c r="I98" s="38" t="s">
        <v>27</v>
      </c>
      <c r="J98" s="1" t="s">
        <v>27</v>
      </c>
      <c r="K98" s="1" t="s">
        <v>27</v>
      </c>
      <c r="L98" s="31"/>
      <c r="M98" s="31"/>
      <c r="N98" s="31"/>
      <c r="O98" s="31"/>
      <c r="P98" s="32"/>
    </row>
    <row r="99" spans="1:16">
      <c r="A99" s="38" t="s">
        <v>27</v>
      </c>
      <c r="B99" s="1" t="s">
        <v>27</v>
      </c>
      <c r="C99" s="1" t="s">
        <v>27</v>
      </c>
      <c r="D99" s="31"/>
      <c r="E99" s="31"/>
      <c r="F99" s="31"/>
      <c r="G99" s="31"/>
      <c r="H99" s="32"/>
      <c r="I99" s="38" t="s">
        <v>27</v>
      </c>
      <c r="J99" s="1" t="s">
        <v>27</v>
      </c>
      <c r="K99" s="1" t="s">
        <v>27</v>
      </c>
      <c r="L99" s="31"/>
      <c r="M99" s="31"/>
      <c r="N99" s="31"/>
      <c r="O99" s="31"/>
      <c r="P99" s="32"/>
    </row>
    <row r="100" spans="1:16" ht="15" thickBot="1">
      <c r="A100" s="39" t="s">
        <v>27</v>
      </c>
      <c r="B100" s="40" t="s">
        <v>27</v>
      </c>
      <c r="C100" s="40" t="s">
        <v>27</v>
      </c>
      <c r="D100" s="41"/>
      <c r="E100" s="41"/>
      <c r="F100" s="41"/>
      <c r="G100" s="41"/>
      <c r="H100" s="42"/>
      <c r="I100" s="39" t="s">
        <v>27</v>
      </c>
      <c r="J100" s="40" t="s">
        <v>27</v>
      </c>
      <c r="K100" s="40" t="s">
        <v>27</v>
      </c>
      <c r="L100" s="41"/>
      <c r="M100" s="41"/>
      <c r="N100" s="41"/>
      <c r="O100" s="41"/>
      <c r="P100" s="4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F15A-FFAF-4304-A424-A1D956F52851}">
  <dimension ref="A1:AB100"/>
  <sheetViews>
    <sheetView topLeftCell="F1" workbookViewId="0">
      <selection activeCell="K28" sqref="K28"/>
    </sheetView>
  </sheetViews>
  <sheetFormatPr defaultRowHeight="14.4"/>
  <sheetData>
    <row r="1" spans="1:28" ht="15.6">
      <c r="A1" s="70" t="s">
        <v>30</v>
      </c>
      <c r="B1" s="71"/>
      <c r="C1" s="71"/>
      <c r="D1" s="71"/>
      <c r="E1" s="71"/>
      <c r="F1" s="72" t="s">
        <v>3</v>
      </c>
      <c r="G1" s="72"/>
      <c r="H1" s="27" cm="1">
        <f t="array" ref="H1">SUM(VLOOKUP(A4:C100,$T$3:$W$36,4,FALSE))+H4*10-H8*50</f>
        <v>2479.7752794047424</v>
      </c>
      <c r="I1" s="73" t="s">
        <v>41</v>
      </c>
      <c r="J1" s="74"/>
      <c r="K1" s="74"/>
      <c r="L1" s="74"/>
      <c r="M1" s="74"/>
      <c r="N1" s="74"/>
      <c r="O1" s="74"/>
      <c r="P1" s="75"/>
      <c r="Q1" s="73" t="s">
        <v>48</v>
      </c>
      <c r="R1" s="74"/>
      <c r="S1" s="74"/>
      <c r="T1" s="74"/>
      <c r="U1" s="74"/>
      <c r="V1" s="74"/>
      <c r="W1" s="74"/>
      <c r="X1" s="74"/>
      <c r="Y1" s="74"/>
      <c r="Z1" s="74"/>
      <c r="AA1" s="74"/>
      <c r="AB1" s="75"/>
    </row>
    <row r="2" spans="1:28" ht="28.8">
      <c r="A2" s="76" t="s">
        <v>35</v>
      </c>
      <c r="B2" s="77"/>
      <c r="C2" s="77"/>
      <c r="D2" s="78" t="s">
        <v>37</v>
      </c>
      <c r="E2" s="79"/>
      <c r="F2" s="79"/>
      <c r="G2" s="79"/>
      <c r="H2" s="80"/>
      <c r="I2" s="81" t="s">
        <v>35</v>
      </c>
      <c r="J2" s="82"/>
      <c r="K2" s="82"/>
      <c r="L2" s="83" t="s">
        <v>37</v>
      </c>
      <c r="M2" s="83"/>
      <c r="N2" s="83"/>
      <c r="O2" s="83"/>
      <c r="P2" s="84"/>
      <c r="Q2" s="60" t="s">
        <v>43</v>
      </c>
      <c r="R2" s="61" cm="1">
        <f t="array" ref="R2">SUM(V3:V28*AB3:AB28)+H6+P6+R4*500</f>
        <v>65160</v>
      </c>
      <c r="S2" s="31"/>
      <c r="T2" s="1" t="s">
        <v>0</v>
      </c>
      <c r="U2" s="1" t="s">
        <v>1</v>
      </c>
      <c r="V2" s="1" t="s">
        <v>2</v>
      </c>
      <c r="W2" s="54" t="s">
        <v>3</v>
      </c>
      <c r="X2" s="56" t="s">
        <v>44</v>
      </c>
      <c r="Y2" s="56" t="s">
        <v>56</v>
      </c>
      <c r="Z2" s="57" t="s">
        <v>45</v>
      </c>
      <c r="AA2" s="57" t="s">
        <v>46</v>
      </c>
      <c r="AB2" s="62" t="s">
        <v>47</v>
      </c>
    </row>
    <row r="3" spans="1:28">
      <c r="A3" s="28" t="s">
        <v>31</v>
      </c>
      <c r="B3" s="68" t="s">
        <v>32</v>
      </c>
      <c r="C3" s="20" t="s">
        <v>33</v>
      </c>
      <c r="D3" s="43"/>
      <c r="E3" s="28" t="s">
        <v>31</v>
      </c>
      <c r="F3" s="68" t="s">
        <v>32</v>
      </c>
      <c r="G3" s="20" t="s">
        <v>33</v>
      </c>
      <c r="H3" s="44" t="s">
        <v>36</v>
      </c>
      <c r="I3" s="28" t="s">
        <v>31</v>
      </c>
      <c r="J3" s="68" t="s">
        <v>32</v>
      </c>
      <c r="K3" s="20" t="s">
        <v>33</v>
      </c>
      <c r="L3" s="43"/>
      <c r="M3" s="28" t="s">
        <v>31</v>
      </c>
      <c r="N3" s="68" t="s">
        <v>32</v>
      </c>
      <c r="O3" s="20" t="s">
        <v>33</v>
      </c>
      <c r="P3" s="44" t="s">
        <v>36</v>
      </c>
      <c r="Q3" s="63" t="s">
        <v>49</v>
      </c>
      <c r="R3" s="31">
        <v>91</v>
      </c>
      <c r="S3" s="31"/>
      <c r="T3" s="2" t="s">
        <v>4</v>
      </c>
      <c r="U3" s="1">
        <v>150</v>
      </c>
      <c r="V3" s="1">
        <v>35</v>
      </c>
      <c r="W3" s="55">
        <f>U3-V3/0.330882</f>
        <v>44.222109392472248</v>
      </c>
      <c r="X3" s="56"/>
      <c r="Y3" s="56">
        <v>10</v>
      </c>
      <c r="Z3" s="1">
        <f>COUNTIF($A$4:$C$100,T3)</f>
        <v>6</v>
      </c>
      <c r="AA3" s="1">
        <f>COUNTIF($I$4:$K$100,T3)</f>
        <v>4</v>
      </c>
      <c r="AB3" s="64">
        <f>Y3-Z3-AA3</f>
        <v>0</v>
      </c>
    </row>
    <row r="4" spans="1:28">
      <c r="A4" s="2" t="s">
        <v>4</v>
      </c>
      <c r="B4" s="15" t="s">
        <v>17</v>
      </c>
      <c r="C4" s="3" t="s">
        <v>5</v>
      </c>
      <c r="D4" s="53" t="s">
        <v>34</v>
      </c>
      <c r="E4" s="49">
        <v>5</v>
      </c>
      <c r="F4" s="49">
        <v>0</v>
      </c>
      <c r="G4" s="49">
        <v>1</v>
      </c>
      <c r="H4" s="46">
        <f>SUM(E4:G4)</f>
        <v>6</v>
      </c>
      <c r="I4" s="1" t="s">
        <v>27</v>
      </c>
      <c r="J4" s="15" t="s">
        <v>17</v>
      </c>
      <c r="K4" s="1" t="s">
        <v>27</v>
      </c>
      <c r="L4" s="53" t="s">
        <v>34</v>
      </c>
      <c r="M4" s="49">
        <v>0</v>
      </c>
      <c r="N4" s="49">
        <v>4</v>
      </c>
      <c r="O4" s="49">
        <v>0</v>
      </c>
      <c r="P4" s="46">
        <f>SUM(M4:O4)</f>
        <v>4</v>
      </c>
      <c r="Q4" s="63" t="s">
        <v>50</v>
      </c>
      <c r="R4" s="50">
        <v>14</v>
      </c>
      <c r="S4" s="31"/>
      <c r="T4" s="3" t="s">
        <v>5</v>
      </c>
      <c r="U4" s="1">
        <v>160</v>
      </c>
      <c r="V4" s="1">
        <v>40</v>
      </c>
      <c r="W4" s="55">
        <f t="shared" ref="W4" si="0">U4-V4/0.330882</f>
        <v>39.110982162825422</v>
      </c>
      <c r="X4" s="56"/>
      <c r="Y4" s="56">
        <v>53</v>
      </c>
      <c r="Z4" s="1">
        <f t="shared" ref="Z4:Z28" si="1">COUNTIF($A$4:$C$100,T4)</f>
        <v>13</v>
      </c>
      <c r="AA4" s="1">
        <f t="shared" ref="AA4:AA28" si="2">COUNTIF($I$4:$K$100,T4)</f>
        <v>40</v>
      </c>
      <c r="AB4" s="64">
        <f t="shared" ref="AB4:AB28" si="3">Y4-Z4-AA4</f>
        <v>0</v>
      </c>
    </row>
    <row r="5" spans="1:28">
      <c r="A5" s="2" t="s">
        <v>4</v>
      </c>
      <c r="B5" s="3" t="s">
        <v>5</v>
      </c>
      <c r="C5" s="16" t="s">
        <v>18</v>
      </c>
      <c r="D5" s="43" t="s">
        <v>38</v>
      </c>
      <c r="E5" s="45" cm="1">
        <f t="array" ref="E5">(SUM(VLOOKUP(A4:A100,$T$3:$W$41,2,FALSE))+E4*10)-E8*50</f>
        <v>5670</v>
      </c>
      <c r="F5" s="45" cm="1">
        <f t="array" ref="F5">(SUM(VLOOKUP(B4:B100,$T$3:$W$41,2,FALSE))+F4*10)-F8*50</f>
        <v>850</v>
      </c>
      <c r="G5" s="45" cm="1">
        <f t="array" ref="G5">(SUM(VLOOKUP(C4:C100,$T$3:$W$41,2,FALSE))+G4*10)-G8*50</f>
        <v>6080</v>
      </c>
      <c r="H5" s="69">
        <f t="shared" ref="H5:H8" si="4">SUM(E5:G5)</f>
        <v>12600</v>
      </c>
      <c r="I5" s="1" t="s">
        <v>27</v>
      </c>
      <c r="J5" s="3" t="s">
        <v>5</v>
      </c>
      <c r="K5" s="1" t="s">
        <v>27</v>
      </c>
      <c r="L5" s="43" t="s">
        <v>38</v>
      </c>
      <c r="M5" s="45" cm="1">
        <f t="array" ref="M5">(SUM(VLOOKUP(I4:I100,$T$3:$W$41,2,FALSE))+M4*10)*0.8-M8*40</f>
        <v>0</v>
      </c>
      <c r="N5" s="45" cm="1">
        <f t="array" ref="N5">(SUM(VLOOKUP(J4:J100,$T$3:$W$41,2,FALSE))+N4*10)*0.8-N8*40</f>
        <v>6112</v>
      </c>
      <c r="O5" s="45" cm="1">
        <f t="array" ref="O5">(SUM(VLOOKUP(K4:K100,$T$3:$W$41,2,FALSE))+O4*10)*0.8-O8*40</f>
        <v>0</v>
      </c>
      <c r="P5" s="69">
        <f t="shared" ref="P5:P8" si="5">SUM(M5:O5)</f>
        <v>6112</v>
      </c>
      <c r="Q5" s="63" t="s">
        <v>51</v>
      </c>
      <c r="R5" s="31">
        <v>6000</v>
      </c>
      <c r="S5" s="31"/>
      <c r="T5" s="4" t="s">
        <v>6</v>
      </c>
      <c r="U5" s="1">
        <v>170</v>
      </c>
      <c r="V5" s="1">
        <v>45</v>
      </c>
      <c r="W5" s="55">
        <v>34</v>
      </c>
      <c r="X5" s="58"/>
      <c r="Y5" s="56">
        <v>234</v>
      </c>
      <c r="Z5" s="1">
        <f t="shared" si="1"/>
        <v>48</v>
      </c>
      <c r="AA5" s="1">
        <f t="shared" si="2"/>
        <v>0</v>
      </c>
      <c r="AB5" s="64">
        <f t="shared" si="3"/>
        <v>186</v>
      </c>
    </row>
    <row r="6" spans="1:28">
      <c r="A6" s="2" t="s">
        <v>4</v>
      </c>
      <c r="B6" s="3" t="s">
        <v>5</v>
      </c>
      <c r="C6" s="3" t="s">
        <v>5</v>
      </c>
      <c r="D6" s="43" t="s">
        <v>39</v>
      </c>
      <c r="E6" s="45" cm="1">
        <f t="array" ref="E6">(SUM(VLOOKUP(A4:A100,$T$3:$W$41,3,FALSE)))</f>
        <v>1780</v>
      </c>
      <c r="F6" s="45" cm="1">
        <f t="array" ref="F6">(SUM(VLOOKUP(B4:B100,$T$3:$W$41,3,FALSE)))</f>
        <v>230</v>
      </c>
      <c r="G6" s="45" cm="1">
        <f t="array" ref="G6">(SUM(VLOOKUP(C4:C100,$T$3:$W$41,3,FALSE)))</f>
        <v>2330</v>
      </c>
      <c r="H6" s="59">
        <f t="shared" si="4"/>
        <v>4340</v>
      </c>
      <c r="I6" s="1" t="s">
        <v>27</v>
      </c>
      <c r="J6" s="3" t="s">
        <v>5</v>
      </c>
      <c r="K6" s="1" t="s">
        <v>27</v>
      </c>
      <c r="L6" s="43" t="s">
        <v>39</v>
      </c>
      <c r="M6" s="45" cm="1">
        <f t="array" ref="M6">(SUM(VLOOKUP(I4:I100,$T$3:$W$41,3,FALSE)))</f>
        <v>0</v>
      </c>
      <c r="N6" s="45" cm="1">
        <f t="array" ref="N6">(SUM(VLOOKUP(J4:J100,$T$3:$W$41,3,FALSE)))</f>
        <v>2245</v>
      </c>
      <c r="O6" s="45" cm="1">
        <f t="array" ref="O6">(SUM(VLOOKUP(K4:K100,$T$3:$W$41,3,FALSE)))</f>
        <v>0</v>
      </c>
      <c r="P6" s="59">
        <f t="shared" si="5"/>
        <v>2245</v>
      </c>
      <c r="Q6" s="60" t="s">
        <v>52</v>
      </c>
      <c r="R6" s="31">
        <f>R3*1600-800+R5</f>
        <v>150800</v>
      </c>
      <c r="S6" s="31"/>
      <c r="T6" s="5" t="s">
        <v>7</v>
      </c>
      <c r="U6" s="1">
        <v>180</v>
      </c>
      <c r="V6" s="1">
        <v>50</v>
      </c>
      <c r="W6" s="55">
        <v>36</v>
      </c>
      <c r="X6" s="56">
        <v>265</v>
      </c>
      <c r="Y6" s="56">
        <v>265</v>
      </c>
      <c r="Z6" s="1">
        <f t="shared" si="1"/>
        <v>0</v>
      </c>
      <c r="AA6" s="1">
        <f t="shared" si="2"/>
        <v>0</v>
      </c>
      <c r="AB6" s="64">
        <f t="shared" si="3"/>
        <v>265</v>
      </c>
    </row>
    <row r="7" spans="1:28">
      <c r="A7" s="2" t="s">
        <v>4</v>
      </c>
      <c r="B7" s="3" t="s">
        <v>5</v>
      </c>
      <c r="C7" s="23" t="s">
        <v>29</v>
      </c>
      <c r="D7" s="43" t="s">
        <v>40</v>
      </c>
      <c r="E7" s="45">
        <f>COUNTIF(A4:A100,"&lt;&gt;空")</f>
        <v>35</v>
      </c>
      <c r="F7" s="45">
        <f>COUNTIF(B4:B100,"&lt;&gt;空")</f>
        <v>6</v>
      </c>
      <c r="G7" s="45">
        <f>COUNTIF(C4:C100,"&lt;&gt;空")</f>
        <v>41</v>
      </c>
      <c r="H7" s="46">
        <f t="shared" si="4"/>
        <v>82</v>
      </c>
      <c r="I7" s="1" t="s">
        <v>27</v>
      </c>
      <c r="J7" s="3" t="s">
        <v>5</v>
      </c>
      <c r="K7" s="1" t="s">
        <v>27</v>
      </c>
      <c r="L7" s="43" t="s">
        <v>40</v>
      </c>
      <c r="M7" s="45">
        <f>COUNTIF(I4:I100,"&lt;&gt;空")</f>
        <v>0</v>
      </c>
      <c r="N7" s="45">
        <f>COUNTIF(J4:J100,"&lt;&gt;空")</f>
        <v>62</v>
      </c>
      <c r="O7" s="45">
        <f>COUNTIF(K4:K100,"&lt;&gt;空")</f>
        <v>0</v>
      </c>
      <c r="P7" s="46">
        <f t="shared" si="5"/>
        <v>62</v>
      </c>
      <c r="Q7" s="63" t="s">
        <v>55</v>
      </c>
      <c r="R7" s="31">
        <v>13</v>
      </c>
      <c r="S7" s="31"/>
      <c r="T7" s="6" t="s">
        <v>8</v>
      </c>
      <c r="U7" s="1">
        <v>190</v>
      </c>
      <c r="V7" s="1">
        <v>55</v>
      </c>
      <c r="W7" s="55">
        <v>38</v>
      </c>
      <c r="X7" s="56">
        <v>234</v>
      </c>
      <c r="Y7" s="56">
        <v>234</v>
      </c>
      <c r="Z7" s="1">
        <f t="shared" si="1"/>
        <v>0</v>
      </c>
      <c r="AA7" s="1">
        <f t="shared" si="2"/>
        <v>0</v>
      </c>
      <c r="AB7" s="64">
        <f t="shared" si="3"/>
        <v>234</v>
      </c>
    </row>
    <row r="8" spans="1:28">
      <c r="A8" s="2" t="s">
        <v>4</v>
      </c>
      <c r="B8" s="3" t="s">
        <v>5</v>
      </c>
      <c r="C8" s="3" t="s">
        <v>5</v>
      </c>
      <c r="D8" s="52" t="s">
        <v>53</v>
      </c>
      <c r="E8" s="51">
        <v>1</v>
      </c>
      <c r="F8" s="51">
        <v>0</v>
      </c>
      <c r="G8" s="51">
        <v>0</v>
      </c>
      <c r="H8" s="46">
        <f t="shared" si="4"/>
        <v>1</v>
      </c>
      <c r="I8" s="1" t="s">
        <v>27</v>
      </c>
      <c r="J8" s="3" t="s">
        <v>5</v>
      </c>
      <c r="K8" s="1" t="s">
        <v>27</v>
      </c>
      <c r="L8" s="52" t="s">
        <v>53</v>
      </c>
      <c r="M8" s="51">
        <v>0</v>
      </c>
      <c r="N8" s="51">
        <v>2</v>
      </c>
      <c r="O8" s="51">
        <v>0</v>
      </c>
      <c r="P8" s="46">
        <f t="shared" si="5"/>
        <v>2</v>
      </c>
      <c r="Q8" s="60" t="s">
        <v>54</v>
      </c>
      <c r="R8" s="65" cm="1">
        <f t="array" ref="R8">R6-P5-H5-SUM(U3:U28*AB3:AB28)*0.8-R7*8</f>
        <v>0</v>
      </c>
      <c r="S8" s="31"/>
      <c r="T8" s="7" t="s">
        <v>9</v>
      </c>
      <c r="U8" s="1">
        <v>200</v>
      </c>
      <c r="V8" s="1">
        <v>60</v>
      </c>
      <c r="W8" s="55"/>
      <c r="X8" s="56">
        <v>194</v>
      </c>
      <c r="Y8" s="56">
        <v>194</v>
      </c>
      <c r="Z8" s="1">
        <f t="shared" si="1"/>
        <v>0</v>
      </c>
      <c r="AA8" s="1">
        <f t="shared" si="2"/>
        <v>0</v>
      </c>
      <c r="AB8" s="64">
        <f t="shared" si="3"/>
        <v>194</v>
      </c>
    </row>
    <row r="9" spans="1:28">
      <c r="A9" s="2" t="s">
        <v>4</v>
      </c>
      <c r="B9" s="3" t="s">
        <v>5</v>
      </c>
      <c r="C9" s="3" t="s">
        <v>5</v>
      </c>
      <c r="D9" s="31"/>
      <c r="E9" s="31"/>
      <c r="F9" s="31"/>
      <c r="G9" s="31"/>
      <c r="H9" s="32"/>
      <c r="I9" s="1" t="s">
        <v>27</v>
      </c>
      <c r="J9" s="15" t="s">
        <v>17</v>
      </c>
      <c r="K9" s="1" t="s">
        <v>27</v>
      </c>
      <c r="L9" s="43" t="s">
        <v>42</v>
      </c>
      <c r="M9" s="47" t="e">
        <f>M6/M5</f>
        <v>#DIV/0!</v>
      </c>
      <c r="N9" s="47">
        <f>N6/N5</f>
        <v>0.36731020942408377</v>
      </c>
      <c r="O9" s="47" t="e">
        <f>O6/O5</f>
        <v>#DIV/0!</v>
      </c>
      <c r="P9" s="48">
        <f>P6/P5</f>
        <v>0.36731020942408377</v>
      </c>
      <c r="Q9" s="60"/>
      <c r="R9" s="31"/>
      <c r="S9" s="31"/>
      <c r="T9" s="8" t="s">
        <v>10</v>
      </c>
      <c r="U9" s="1">
        <v>150</v>
      </c>
      <c r="V9" s="1">
        <v>35</v>
      </c>
      <c r="W9" s="55">
        <f t="shared" ref="W9:W11" si="6">U9-V9/0.330882</f>
        <v>44.222109392472248</v>
      </c>
      <c r="X9" s="56">
        <v>3</v>
      </c>
      <c r="Y9" s="56">
        <v>0</v>
      </c>
      <c r="Z9" s="1">
        <f t="shared" si="1"/>
        <v>0</v>
      </c>
      <c r="AA9" s="1">
        <f t="shared" si="2"/>
        <v>0</v>
      </c>
      <c r="AB9" s="64">
        <f t="shared" si="3"/>
        <v>0</v>
      </c>
    </row>
    <row r="10" spans="1:28">
      <c r="A10" s="1" t="s">
        <v>27</v>
      </c>
      <c r="B10" s="1" t="s">
        <v>27</v>
      </c>
      <c r="C10" s="3" t="s">
        <v>5</v>
      </c>
      <c r="D10" s="31"/>
      <c r="E10" s="31"/>
      <c r="F10" s="31"/>
      <c r="G10" s="31"/>
      <c r="H10" s="32"/>
      <c r="I10" s="1" t="s">
        <v>27</v>
      </c>
      <c r="J10" s="1" t="s">
        <v>27</v>
      </c>
      <c r="K10" s="1" t="s">
        <v>27</v>
      </c>
      <c r="L10" s="31"/>
      <c r="M10" s="31"/>
      <c r="N10" s="31"/>
      <c r="O10" s="31"/>
      <c r="P10" s="32"/>
      <c r="Q10" s="60"/>
      <c r="R10" s="31"/>
      <c r="S10" s="31"/>
      <c r="T10" s="9" t="s">
        <v>11</v>
      </c>
      <c r="U10" s="1">
        <v>150</v>
      </c>
      <c r="V10" s="1">
        <v>40</v>
      </c>
      <c r="W10" s="55">
        <f t="shared" si="6"/>
        <v>29.110982162825422</v>
      </c>
      <c r="X10" s="56">
        <v>7</v>
      </c>
      <c r="Y10" s="56">
        <v>2</v>
      </c>
      <c r="Z10" s="1">
        <f t="shared" si="1"/>
        <v>0</v>
      </c>
      <c r="AA10" s="1">
        <f t="shared" si="2"/>
        <v>2</v>
      </c>
      <c r="AB10" s="64">
        <f t="shared" si="3"/>
        <v>0</v>
      </c>
    </row>
    <row r="11" spans="1:28">
      <c r="A11" s="1" t="s">
        <v>27</v>
      </c>
      <c r="B11" s="1" t="s">
        <v>27</v>
      </c>
      <c r="C11" s="3" t="s">
        <v>5</v>
      </c>
      <c r="D11" s="31"/>
      <c r="E11" s="31"/>
      <c r="F11" s="31"/>
      <c r="G11" s="31"/>
      <c r="H11" s="32"/>
      <c r="I11" s="1" t="s">
        <v>27</v>
      </c>
      <c r="J11" s="3" t="s">
        <v>5</v>
      </c>
      <c r="K11" s="1" t="s">
        <v>27</v>
      </c>
      <c r="L11" s="31"/>
      <c r="M11" s="31"/>
      <c r="N11" s="31"/>
      <c r="O11" s="31"/>
      <c r="P11" s="32">
        <f>H5+P5</f>
        <v>18712</v>
      </c>
      <c r="Q11" s="60"/>
      <c r="R11" s="31"/>
      <c r="S11" s="31"/>
      <c r="T11" s="10" t="s">
        <v>12</v>
      </c>
      <c r="U11" s="1">
        <v>150</v>
      </c>
      <c r="V11" s="1">
        <v>45</v>
      </c>
      <c r="W11" s="55">
        <f t="shared" si="6"/>
        <v>13.999854933178597</v>
      </c>
      <c r="X11" s="56">
        <v>6</v>
      </c>
      <c r="Y11" s="56">
        <v>6</v>
      </c>
      <c r="Z11" s="1">
        <f t="shared" si="1"/>
        <v>1</v>
      </c>
      <c r="AA11" s="1">
        <f t="shared" si="2"/>
        <v>0</v>
      </c>
      <c r="AB11" s="64">
        <f t="shared" si="3"/>
        <v>5</v>
      </c>
    </row>
    <row r="12" spans="1:28">
      <c r="A12" s="1" t="s">
        <v>27</v>
      </c>
      <c r="B12" s="1" t="s">
        <v>27</v>
      </c>
      <c r="C12" s="3" t="s">
        <v>5</v>
      </c>
      <c r="D12" s="31"/>
      <c r="E12" s="31"/>
      <c r="F12" s="31"/>
      <c r="G12" s="31"/>
      <c r="H12" s="32"/>
      <c r="I12" s="1" t="s">
        <v>27</v>
      </c>
      <c r="J12" s="16" t="s">
        <v>28</v>
      </c>
      <c r="K12" s="1" t="s">
        <v>27</v>
      </c>
      <c r="L12" s="31"/>
      <c r="M12" s="31"/>
      <c r="N12" s="31"/>
      <c r="O12" s="31"/>
      <c r="P12" s="32">
        <f>H6+P6</f>
        <v>6585</v>
      </c>
      <c r="Q12" s="60"/>
      <c r="R12" s="31"/>
      <c r="S12" s="31"/>
      <c r="T12" s="11" t="s">
        <v>13</v>
      </c>
      <c r="U12" s="1">
        <v>150</v>
      </c>
      <c r="V12" s="1">
        <v>50</v>
      </c>
      <c r="W12" s="55"/>
      <c r="X12" s="56">
        <v>4</v>
      </c>
      <c r="Y12" s="56">
        <v>4</v>
      </c>
      <c r="Z12" s="1">
        <f t="shared" si="1"/>
        <v>0</v>
      </c>
      <c r="AA12" s="1">
        <f t="shared" si="2"/>
        <v>0</v>
      </c>
      <c r="AB12" s="64">
        <f t="shared" si="3"/>
        <v>4</v>
      </c>
    </row>
    <row r="13" spans="1:28">
      <c r="A13" s="1" t="s">
        <v>27</v>
      </c>
      <c r="B13" s="1" t="s">
        <v>27</v>
      </c>
      <c r="C13" s="3" t="s">
        <v>5</v>
      </c>
      <c r="D13" s="31"/>
      <c r="E13" s="31"/>
      <c r="F13" s="31"/>
      <c r="G13" s="31"/>
      <c r="H13" s="32"/>
      <c r="I13" s="1" t="s">
        <v>27</v>
      </c>
      <c r="J13" s="3" t="s">
        <v>5</v>
      </c>
      <c r="K13" s="1" t="s">
        <v>27</v>
      </c>
      <c r="L13" s="31"/>
      <c r="M13" s="31"/>
      <c r="N13" s="31"/>
      <c r="O13" s="31"/>
      <c r="P13" s="32"/>
      <c r="Q13" s="60"/>
      <c r="R13" s="31"/>
      <c r="S13" s="31"/>
      <c r="T13" s="12" t="s">
        <v>14</v>
      </c>
      <c r="U13" s="1">
        <v>150</v>
      </c>
      <c r="V13" s="1">
        <v>55</v>
      </c>
      <c r="W13" s="55"/>
      <c r="X13" s="56">
        <v>3</v>
      </c>
      <c r="Y13" s="56">
        <v>3</v>
      </c>
      <c r="Z13" s="1">
        <f t="shared" si="1"/>
        <v>0</v>
      </c>
      <c r="AA13" s="1">
        <f t="shared" si="2"/>
        <v>0</v>
      </c>
      <c r="AB13" s="64">
        <f t="shared" si="3"/>
        <v>3</v>
      </c>
    </row>
    <row r="14" spans="1:28">
      <c r="A14" s="1" t="s">
        <v>27</v>
      </c>
      <c r="B14" s="1" t="s">
        <v>27</v>
      </c>
      <c r="C14" s="4" t="s">
        <v>6</v>
      </c>
      <c r="D14" s="31"/>
      <c r="E14" s="31"/>
      <c r="F14" s="31"/>
      <c r="G14" s="31"/>
      <c r="H14" s="32"/>
      <c r="I14" s="1" t="s">
        <v>27</v>
      </c>
      <c r="J14" s="3" t="s">
        <v>5</v>
      </c>
      <c r="K14" s="1" t="s">
        <v>27</v>
      </c>
      <c r="L14" s="31"/>
      <c r="M14" s="31"/>
      <c r="N14" s="31"/>
      <c r="O14" s="31"/>
      <c r="P14" s="32"/>
      <c r="Q14" s="60"/>
      <c r="R14" s="31"/>
      <c r="S14" s="31"/>
      <c r="T14" s="13" t="s">
        <v>15</v>
      </c>
      <c r="U14" s="1">
        <v>150</v>
      </c>
      <c r="V14" s="1">
        <v>60</v>
      </c>
      <c r="W14" s="55"/>
      <c r="X14" s="56">
        <v>1</v>
      </c>
      <c r="Y14" s="56">
        <v>1</v>
      </c>
      <c r="Z14" s="1">
        <f t="shared" si="1"/>
        <v>0</v>
      </c>
      <c r="AA14" s="1">
        <f t="shared" si="2"/>
        <v>0</v>
      </c>
      <c r="AB14" s="64">
        <f t="shared" si="3"/>
        <v>1</v>
      </c>
    </row>
    <row r="15" spans="1:28">
      <c r="A15" s="4" t="s">
        <v>6</v>
      </c>
      <c r="B15" s="1" t="s">
        <v>27</v>
      </c>
      <c r="C15" s="4" t="s">
        <v>6</v>
      </c>
      <c r="D15" s="31"/>
      <c r="E15" s="31"/>
      <c r="F15" s="31"/>
      <c r="G15" s="31"/>
      <c r="H15" s="32"/>
      <c r="I15" s="1" t="s">
        <v>27</v>
      </c>
      <c r="J15" s="15" t="s">
        <v>17</v>
      </c>
      <c r="K15" s="1" t="s">
        <v>27</v>
      </c>
      <c r="L15" s="31"/>
      <c r="M15" s="31"/>
      <c r="N15" s="31"/>
      <c r="O15" s="31"/>
      <c r="P15" s="32"/>
      <c r="Q15" s="60"/>
      <c r="R15" s="31"/>
      <c r="S15" s="31"/>
      <c r="T15" s="14" t="s">
        <v>16</v>
      </c>
      <c r="U15" s="1">
        <v>150</v>
      </c>
      <c r="V15" s="1">
        <v>35</v>
      </c>
      <c r="W15" s="55">
        <f t="shared" ref="W15" si="7">U15-V15/0.330882</f>
        <v>44.222109392472248</v>
      </c>
      <c r="X15" s="56"/>
      <c r="Y15" s="56">
        <v>2</v>
      </c>
      <c r="Z15" s="1">
        <f t="shared" si="1"/>
        <v>0</v>
      </c>
      <c r="AA15" s="1">
        <f t="shared" si="2"/>
        <v>1</v>
      </c>
      <c r="AB15" s="64">
        <f t="shared" si="3"/>
        <v>1</v>
      </c>
    </row>
    <row r="16" spans="1:28">
      <c r="A16" s="4" t="s">
        <v>6</v>
      </c>
      <c r="B16" s="1" t="s">
        <v>27</v>
      </c>
      <c r="C16" s="15" t="s">
        <v>17</v>
      </c>
      <c r="D16" s="31"/>
      <c r="E16" s="31"/>
      <c r="F16" s="31"/>
      <c r="G16" s="31"/>
      <c r="H16" s="32"/>
      <c r="I16" s="1" t="s">
        <v>27</v>
      </c>
      <c r="J16" s="3" t="s">
        <v>5</v>
      </c>
      <c r="K16" s="1" t="s">
        <v>27</v>
      </c>
      <c r="L16" s="31"/>
      <c r="M16" s="31"/>
      <c r="N16" s="31"/>
      <c r="O16" s="31"/>
      <c r="P16" s="32"/>
      <c r="Q16" s="60"/>
      <c r="R16" s="31"/>
      <c r="S16" s="31"/>
      <c r="T16" s="15" t="s">
        <v>17</v>
      </c>
      <c r="U16" s="1">
        <v>50</v>
      </c>
      <c r="V16" s="1">
        <v>30</v>
      </c>
      <c r="W16" s="55">
        <v>10</v>
      </c>
      <c r="X16" s="56">
        <v>40</v>
      </c>
      <c r="Y16" s="56">
        <v>39</v>
      </c>
      <c r="Z16" s="1">
        <f t="shared" si="1"/>
        <v>2</v>
      </c>
      <c r="AA16" s="1">
        <f t="shared" si="2"/>
        <v>13</v>
      </c>
      <c r="AB16" s="64">
        <f t="shared" si="3"/>
        <v>24</v>
      </c>
    </row>
    <row r="17" spans="1:28">
      <c r="A17" s="4" t="s">
        <v>6</v>
      </c>
      <c r="B17" s="1" t="s">
        <v>27</v>
      </c>
      <c r="C17" s="4" t="s">
        <v>6</v>
      </c>
      <c r="D17" s="31"/>
      <c r="E17" s="31"/>
      <c r="F17" s="31"/>
      <c r="G17" s="31"/>
      <c r="H17" s="32"/>
      <c r="I17" s="1" t="s">
        <v>27</v>
      </c>
      <c r="J17" s="3" t="s">
        <v>5</v>
      </c>
      <c r="K17" s="1" t="s">
        <v>27</v>
      </c>
      <c r="L17" s="31"/>
      <c r="M17" s="31"/>
      <c r="N17" s="31"/>
      <c r="O17" s="31"/>
      <c r="P17" s="32"/>
      <c r="Q17" s="60"/>
      <c r="R17" s="31"/>
      <c r="S17" s="31"/>
      <c r="T17" s="16" t="s">
        <v>18</v>
      </c>
      <c r="U17" s="1">
        <v>-150</v>
      </c>
      <c r="V17" s="1">
        <v>0</v>
      </c>
      <c r="W17" s="55">
        <v>10</v>
      </c>
      <c r="X17" s="56">
        <v>3</v>
      </c>
      <c r="Y17" s="56">
        <v>3</v>
      </c>
      <c r="Z17" s="1">
        <f t="shared" si="1"/>
        <v>3</v>
      </c>
      <c r="AA17" s="1">
        <f t="shared" si="2"/>
        <v>0</v>
      </c>
      <c r="AB17" s="64">
        <f t="shared" si="3"/>
        <v>0</v>
      </c>
    </row>
    <row r="18" spans="1:28">
      <c r="A18" s="17" t="s">
        <v>19</v>
      </c>
      <c r="B18" s="1" t="s">
        <v>27</v>
      </c>
      <c r="C18" s="4" t="s">
        <v>6</v>
      </c>
      <c r="D18" s="31"/>
      <c r="E18" s="31"/>
      <c r="F18" s="31"/>
      <c r="G18" s="31"/>
      <c r="H18" s="32"/>
      <c r="I18" s="1" t="s">
        <v>27</v>
      </c>
      <c r="J18" s="2" t="s">
        <v>4</v>
      </c>
      <c r="K18" s="1" t="s">
        <v>27</v>
      </c>
      <c r="L18" s="31"/>
      <c r="M18" s="31"/>
      <c r="N18" s="31"/>
      <c r="O18" s="31"/>
      <c r="P18" s="32"/>
      <c r="Q18" s="60"/>
      <c r="R18" s="31"/>
      <c r="S18" s="31"/>
      <c r="T18" s="17" t="s">
        <v>19</v>
      </c>
      <c r="U18" s="1">
        <v>250</v>
      </c>
      <c r="V18" s="1">
        <v>200</v>
      </c>
      <c r="W18" s="55"/>
      <c r="X18" s="56">
        <v>3</v>
      </c>
      <c r="Y18" s="56">
        <v>3</v>
      </c>
      <c r="Z18" s="1">
        <f t="shared" si="1"/>
        <v>3</v>
      </c>
      <c r="AA18" s="1">
        <f t="shared" si="2"/>
        <v>0</v>
      </c>
      <c r="AB18" s="64">
        <f t="shared" si="3"/>
        <v>0</v>
      </c>
    </row>
    <row r="19" spans="1:28">
      <c r="A19" s="4" t="s">
        <v>6</v>
      </c>
      <c r="B19" s="1" t="s">
        <v>27</v>
      </c>
      <c r="C19" s="4" t="s">
        <v>6</v>
      </c>
      <c r="D19" s="31"/>
      <c r="E19" s="31"/>
      <c r="F19" s="31"/>
      <c r="G19" s="31"/>
      <c r="H19" s="32"/>
      <c r="I19" s="1" t="s">
        <v>27</v>
      </c>
      <c r="J19" s="15" t="s">
        <v>17</v>
      </c>
      <c r="K19" s="1" t="s">
        <v>27</v>
      </c>
      <c r="L19" s="31"/>
      <c r="M19" s="31"/>
      <c r="N19" s="31"/>
      <c r="O19" s="31"/>
      <c r="P19" s="32"/>
      <c r="Q19" s="60"/>
      <c r="R19" s="31"/>
      <c r="S19" s="31"/>
      <c r="T19" s="17" t="s">
        <v>20</v>
      </c>
      <c r="U19" s="1">
        <v>170</v>
      </c>
      <c r="V19" s="1">
        <v>45</v>
      </c>
      <c r="W19" s="55"/>
      <c r="X19" s="56">
        <v>5</v>
      </c>
      <c r="Y19" s="56">
        <v>5</v>
      </c>
      <c r="Z19" s="1">
        <f t="shared" si="1"/>
        <v>5</v>
      </c>
      <c r="AA19" s="1">
        <f t="shared" si="2"/>
        <v>0</v>
      </c>
      <c r="AB19" s="64">
        <f t="shared" si="3"/>
        <v>0</v>
      </c>
    </row>
    <row r="20" spans="1:28">
      <c r="A20" s="4" t="s">
        <v>6</v>
      </c>
      <c r="B20" s="1" t="s">
        <v>27</v>
      </c>
      <c r="C20" s="17" t="s">
        <v>20</v>
      </c>
      <c r="D20" s="31"/>
      <c r="E20" s="31"/>
      <c r="F20" s="31"/>
      <c r="G20" s="31"/>
      <c r="H20" s="32"/>
      <c r="I20" s="1" t="s">
        <v>27</v>
      </c>
      <c r="J20" s="2" t="s">
        <v>4</v>
      </c>
      <c r="K20" s="1" t="s">
        <v>27</v>
      </c>
      <c r="L20" s="31"/>
      <c r="M20" s="31"/>
      <c r="N20" s="31"/>
      <c r="O20" s="31"/>
      <c r="P20" s="32"/>
      <c r="Q20" s="60"/>
      <c r="R20" s="31"/>
      <c r="S20" s="31"/>
      <c r="T20" s="18" t="s">
        <v>21</v>
      </c>
      <c r="U20" s="1">
        <v>250</v>
      </c>
      <c r="V20" s="1">
        <v>200</v>
      </c>
      <c r="W20" s="55"/>
      <c r="X20" s="56">
        <v>0</v>
      </c>
      <c r="Y20" s="56">
        <v>0</v>
      </c>
      <c r="Z20" s="1">
        <f t="shared" si="1"/>
        <v>0</v>
      </c>
      <c r="AA20" s="1">
        <f t="shared" si="2"/>
        <v>0</v>
      </c>
      <c r="AB20" s="64">
        <f t="shared" si="3"/>
        <v>0</v>
      </c>
    </row>
    <row r="21" spans="1:28">
      <c r="A21" s="4" t="s">
        <v>6</v>
      </c>
      <c r="B21" s="1" t="s">
        <v>27</v>
      </c>
      <c r="C21" s="4" t="s">
        <v>6</v>
      </c>
      <c r="D21" s="31"/>
      <c r="E21" s="31"/>
      <c r="F21" s="31"/>
      <c r="G21" s="31"/>
      <c r="H21" s="32"/>
      <c r="I21" s="1" t="s">
        <v>27</v>
      </c>
      <c r="J21" s="2" t="s">
        <v>4</v>
      </c>
      <c r="K21" s="1" t="s">
        <v>27</v>
      </c>
      <c r="L21" s="31"/>
      <c r="M21" s="31"/>
      <c r="N21" s="31"/>
      <c r="O21" s="31"/>
      <c r="P21" s="32"/>
      <c r="Q21" s="60"/>
      <c r="R21" s="31"/>
      <c r="S21" s="31"/>
      <c r="T21" s="19" t="s">
        <v>22</v>
      </c>
      <c r="U21" s="1">
        <v>250</v>
      </c>
      <c r="V21" s="1">
        <v>1000</v>
      </c>
      <c r="W21" s="55"/>
      <c r="X21" s="56">
        <v>2</v>
      </c>
      <c r="Y21" s="56">
        <v>2</v>
      </c>
      <c r="Z21" s="1">
        <f t="shared" si="1"/>
        <v>0</v>
      </c>
      <c r="AA21" s="1">
        <f t="shared" si="2"/>
        <v>0</v>
      </c>
      <c r="AB21" s="64">
        <f t="shared" si="3"/>
        <v>2</v>
      </c>
    </row>
    <row r="22" spans="1:28">
      <c r="A22" s="16" t="s">
        <v>18</v>
      </c>
      <c r="B22" s="1" t="s">
        <v>27</v>
      </c>
      <c r="C22" s="4" t="s">
        <v>6</v>
      </c>
      <c r="D22" s="31"/>
      <c r="E22" s="31"/>
      <c r="F22" s="31"/>
      <c r="G22" s="31"/>
      <c r="H22" s="32"/>
      <c r="I22" s="1" t="s">
        <v>27</v>
      </c>
      <c r="J22" s="2" t="s">
        <v>4</v>
      </c>
      <c r="K22" s="1" t="s">
        <v>27</v>
      </c>
      <c r="L22" s="31"/>
      <c r="M22" s="31"/>
      <c r="N22" s="31"/>
      <c r="O22" s="31"/>
      <c r="P22" s="32"/>
      <c r="Q22" s="60"/>
      <c r="R22" s="31"/>
      <c r="S22" s="31"/>
      <c r="T22" s="20" t="s">
        <v>23</v>
      </c>
      <c r="U22" s="1">
        <v>250</v>
      </c>
      <c r="V22" s="1">
        <v>500</v>
      </c>
      <c r="W22" s="55"/>
      <c r="X22" s="56">
        <v>2</v>
      </c>
      <c r="Y22" s="56">
        <v>2</v>
      </c>
      <c r="Z22" s="1">
        <f t="shared" si="1"/>
        <v>0</v>
      </c>
      <c r="AA22" s="1">
        <f t="shared" si="2"/>
        <v>0</v>
      </c>
      <c r="AB22" s="64">
        <f t="shared" si="3"/>
        <v>2</v>
      </c>
    </row>
    <row r="23" spans="1:28">
      <c r="A23" s="4" t="s">
        <v>6</v>
      </c>
      <c r="B23" s="1" t="s">
        <v>27</v>
      </c>
      <c r="C23" s="4" t="s">
        <v>6</v>
      </c>
      <c r="D23" s="31"/>
      <c r="E23" s="31"/>
      <c r="F23" s="31"/>
      <c r="G23" s="31"/>
      <c r="H23" s="32"/>
      <c r="I23" s="1" t="s">
        <v>27</v>
      </c>
      <c r="J23" s="15" t="s">
        <v>17</v>
      </c>
      <c r="K23" s="1" t="s">
        <v>27</v>
      </c>
      <c r="L23" s="31"/>
      <c r="M23" s="31"/>
      <c r="N23" s="31"/>
      <c r="O23" s="31"/>
      <c r="P23" s="32"/>
      <c r="Q23" s="60"/>
      <c r="R23" s="31"/>
      <c r="S23" s="31"/>
      <c r="T23" s="21" t="s">
        <v>24</v>
      </c>
      <c r="U23" s="1">
        <v>160</v>
      </c>
      <c r="V23" s="1">
        <v>40</v>
      </c>
      <c r="W23" s="55">
        <f t="shared" ref="W23:W26" si="8">U23-V23/0.330882</f>
        <v>39.110982162825422</v>
      </c>
      <c r="X23" s="56">
        <v>0</v>
      </c>
      <c r="Y23" s="56">
        <v>0</v>
      </c>
      <c r="Z23" s="1">
        <f t="shared" si="1"/>
        <v>0</v>
      </c>
      <c r="AA23" s="1">
        <f t="shared" si="2"/>
        <v>0</v>
      </c>
      <c r="AB23" s="64">
        <f t="shared" si="3"/>
        <v>0</v>
      </c>
    </row>
    <row r="24" spans="1:28">
      <c r="A24" s="4" t="s">
        <v>6</v>
      </c>
      <c r="B24" s="1" t="s">
        <v>27</v>
      </c>
      <c r="C24" s="4" t="s">
        <v>6</v>
      </c>
      <c r="D24" s="31"/>
      <c r="E24" s="31"/>
      <c r="F24" s="31"/>
      <c r="G24" s="31"/>
      <c r="H24" s="32"/>
      <c r="I24" s="1" t="s">
        <v>27</v>
      </c>
      <c r="J24" s="1" t="s">
        <v>27</v>
      </c>
      <c r="K24" s="1" t="s">
        <v>27</v>
      </c>
      <c r="L24" s="31"/>
      <c r="M24" s="31"/>
      <c r="N24" s="31"/>
      <c r="O24" s="31"/>
      <c r="P24" s="32"/>
      <c r="Q24" s="60"/>
      <c r="R24" s="31"/>
      <c r="S24" s="31"/>
      <c r="T24" s="21" t="s">
        <v>25</v>
      </c>
      <c r="U24" s="1">
        <v>160</v>
      </c>
      <c r="V24" s="1">
        <v>40</v>
      </c>
      <c r="W24" s="55">
        <f t="shared" si="8"/>
        <v>39.110982162825422</v>
      </c>
      <c r="X24" s="56">
        <v>0</v>
      </c>
      <c r="Y24" s="56">
        <v>0</v>
      </c>
      <c r="Z24" s="1">
        <f t="shared" si="1"/>
        <v>0</v>
      </c>
      <c r="AA24" s="1">
        <f t="shared" si="2"/>
        <v>0</v>
      </c>
      <c r="AB24" s="64">
        <f t="shared" si="3"/>
        <v>0</v>
      </c>
    </row>
    <row r="25" spans="1:28">
      <c r="A25" s="4" t="s">
        <v>6</v>
      </c>
      <c r="B25" s="1" t="s">
        <v>27</v>
      </c>
      <c r="C25" s="4" t="s">
        <v>6</v>
      </c>
      <c r="D25" s="31"/>
      <c r="E25" s="31"/>
      <c r="F25" s="31"/>
      <c r="G25" s="31"/>
      <c r="H25" s="32"/>
      <c r="I25" s="1" t="s">
        <v>27</v>
      </c>
      <c r="J25" s="3" t="s">
        <v>5</v>
      </c>
      <c r="K25" s="1" t="s">
        <v>27</v>
      </c>
      <c r="L25" s="31"/>
      <c r="M25" s="31"/>
      <c r="N25" s="31"/>
      <c r="O25" s="31"/>
      <c r="P25" s="32"/>
      <c r="Q25" s="60"/>
      <c r="R25" s="31"/>
      <c r="S25" s="31"/>
      <c r="T25" s="21" t="s">
        <v>26</v>
      </c>
      <c r="U25" s="1">
        <v>150</v>
      </c>
      <c r="V25" s="1">
        <v>35</v>
      </c>
      <c r="W25" s="55">
        <f t="shared" si="8"/>
        <v>44.222109392472248</v>
      </c>
      <c r="X25" s="56">
        <v>0</v>
      </c>
      <c r="Y25" s="56">
        <v>0</v>
      </c>
      <c r="Z25" s="1">
        <f t="shared" si="1"/>
        <v>0</v>
      </c>
      <c r="AA25" s="1">
        <f t="shared" si="2"/>
        <v>0</v>
      </c>
      <c r="AB25" s="64">
        <f t="shared" si="3"/>
        <v>0</v>
      </c>
    </row>
    <row r="26" spans="1:28">
      <c r="A26" s="17" t="s">
        <v>20</v>
      </c>
      <c r="B26" s="1" t="s">
        <v>27</v>
      </c>
      <c r="C26" s="4" t="s">
        <v>6</v>
      </c>
      <c r="D26" s="31"/>
      <c r="E26" s="31"/>
      <c r="F26" s="31"/>
      <c r="G26" s="31"/>
      <c r="H26" s="32"/>
      <c r="I26" s="1" t="s">
        <v>27</v>
      </c>
      <c r="J26" s="15" t="s">
        <v>17</v>
      </c>
      <c r="K26" s="1" t="s">
        <v>27</v>
      </c>
      <c r="L26" s="31"/>
      <c r="M26" s="31"/>
      <c r="N26" s="31"/>
      <c r="O26" s="31"/>
      <c r="P26" s="32"/>
      <c r="Q26" s="60"/>
      <c r="R26" s="31"/>
      <c r="S26" s="31"/>
      <c r="T26" s="22" t="s">
        <v>27</v>
      </c>
      <c r="U26" s="1">
        <v>0</v>
      </c>
      <c r="V26" s="1">
        <v>0</v>
      </c>
      <c r="W26" s="55">
        <f t="shared" si="8"/>
        <v>0</v>
      </c>
      <c r="X26" s="56">
        <v>0</v>
      </c>
      <c r="Y26" s="56">
        <v>0</v>
      </c>
      <c r="Z26" s="1"/>
      <c r="AA26" s="1"/>
      <c r="AB26" s="64"/>
    </row>
    <row r="27" spans="1:28">
      <c r="A27" s="4" t="s">
        <v>6</v>
      </c>
      <c r="B27" s="1" t="s">
        <v>27</v>
      </c>
      <c r="C27" s="4" t="s">
        <v>6</v>
      </c>
      <c r="D27" s="31"/>
      <c r="E27" s="31"/>
      <c r="F27" s="31"/>
      <c r="G27" s="31"/>
      <c r="H27" s="32"/>
      <c r="I27" s="1" t="s">
        <v>27</v>
      </c>
      <c r="J27" s="3" t="s">
        <v>5</v>
      </c>
      <c r="K27" s="1" t="s">
        <v>27</v>
      </c>
      <c r="L27" s="31"/>
      <c r="M27" s="31"/>
      <c r="N27" s="31"/>
      <c r="O27" s="31"/>
      <c r="P27" s="32"/>
      <c r="Q27" s="60"/>
      <c r="R27" s="31"/>
      <c r="S27" s="31"/>
      <c r="T27" s="16" t="s">
        <v>28</v>
      </c>
      <c r="U27" s="1">
        <v>-200</v>
      </c>
      <c r="V27" s="1">
        <v>0</v>
      </c>
      <c r="W27" s="55"/>
      <c r="X27" s="56">
        <v>12</v>
      </c>
      <c r="Y27" s="56">
        <v>12</v>
      </c>
      <c r="Z27" s="1">
        <f t="shared" si="1"/>
        <v>0</v>
      </c>
      <c r="AA27" s="1">
        <f t="shared" si="2"/>
        <v>2</v>
      </c>
      <c r="AB27" s="64">
        <f t="shared" si="3"/>
        <v>10</v>
      </c>
    </row>
    <row r="28" spans="1:28">
      <c r="A28" s="4" t="s">
        <v>6</v>
      </c>
      <c r="B28" s="1" t="s">
        <v>27</v>
      </c>
      <c r="C28" s="17" t="s">
        <v>20</v>
      </c>
      <c r="D28" s="31"/>
      <c r="E28" s="31"/>
      <c r="F28" s="31"/>
      <c r="G28" s="31"/>
      <c r="H28" s="32"/>
      <c r="I28" s="1" t="s">
        <v>27</v>
      </c>
      <c r="J28" s="3" t="s">
        <v>5</v>
      </c>
      <c r="K28" s="1" t="s">
        <v>27</v>
      </c>
      <c r="L28" s="31"/>
      <c r="M28" s="31"/>
      <c r="N28" s="31"/>
      <c r="O28" s="31"/>
      <c r="P28" s="32"/>
      <c r="Q28" s="60"/>
      <c r="R28" s="31"/>
      <c r="S28" s="31"/>
      <c r="T28" s="23" t="s">
        <v>29</v>
      </c>
      <c r="U28" s="1">
        <v>50</v>
      </c>
      <c r="V28" s="1">
        <v>520</v>
      </c>
      <c r="W28" s="55"/>
      <c r="X28" s="56">
        <v>3</v>
      </c>
      <c r="Y28" s="56">
        <v>3</v>
      </c>
      <c r="Z28" s="1">
        <f t="shared" si="1"/>
        <v>1</v>
      </c>
      <c r="AA28" s="1">
        <f t="shared" si="2"/>
        <v>0</v>
      </c>
      <c r="AB28" s="64">
        <f t="shared" si="3"/>
        <v>2</v>
      </c>
    </row>
    <row r="29" spans="1:28" ht="15" thickBot="1">
      <c r="A29" s="4" t="s">
        <v>6</v>
      </c>
      <c r="B29" s="1" t="s">
        <v>27</v>
      </c>
      <c r="C29" s="4" t="s">
        <v>6</v>
      </c>
      <c r="D29" s="31"/>
      <c r="E29" s="31"/>
      <c r="F29" s="31"/>
      <c r="G29" s="31"/>
      <c r="H29" s="32"/>
      <c r="I29" s="1" t="s">
        <v>27</v>
      </c>
      <c r="J29" s="3" t="s">
        <v>5</v>
      </c>
      <c r="K29" s="1" t="s">
        <v>27</v>
      </c>
      <c r="L29" s="31"/>
      <c r="M29" s="31"/>
      <c r="N29" s="31"/>
      <c r="O29" s="31"/>
      <c r="P29" s="32"/>
      <c r="Q29" s="66"/>
      <c r="R29" s="41"/>
      <c r="S29" s="41"/>
      <c r="T29" s="40"/>
      <c r="U29" s="40"/>
      <c r="V29" s="40"/>
      <c r="W29" s="40"/>
      <c r="X29" s="40"/>
      <c r="Y29" s="40"/>
      <c r="Z29" s="40"/>
      <c r="AA29" s="40"/>
      <c r="AB29" s="67"/>
    </row>
    <row r="30" spans="1:28">
      <c r="A30" s="4" t="s">
        <v>6</v>
      </c>
      <c r="B30" s="1" t="s">
        <v>27</v>
      </c>
      <c r="C30" s="4" t="s">
        <v>6</v>
      </c>
      <c r="D30" s="31"/>
      <c r="E30" s="31"/>
      <c r="F30" s="31"/>
      <c r="G30" s="31"/>
      <c r="H30" s="32"/>
      <c r="I30" s="1" t="s">
        <v>27</v>
      </c>
      <c r="J30" s="15" t="s">
        <v>17</v>
      </c>
      <c r="K30" s="1" t="s">
        <v>27</v>
      </c>
      <c r="L30" s="31"/>
      <c r="M30" s="31"/>
      <c r="N30" s="31"/>
      <c r="O30" s="31"/>
      <c r="P30" s="32"/>
    </row>
    <row r="31" spans="1:28">
      <c r="A31" s="4" t="s">
        <v>6</v>
      </c>
      <c r="B31" s="1" t="s">
        <v>27</v>
      </c>
      <c r="C31" s="4" t="s">
        <v>6</v>
      </c>
      <c r="D31" s="31"/>
      <c r="E31" s="31"/>
      <c r="F31" s="31"/>
      <c r="G31" s="31"/>
      <c r="H31" s="32"/>
      <c r="I31" s="1" t="s">
        <v>27</v>
      </c>
      <c r="J31" s="3" t="s">
        <v>5</v>
      </c>
      <c r="K31" s="1" t="s">
        <v>27</v>
      </c>
      <c r="L31" s="31"/>
      <c r="M31" s="31"/>
      <c r="N31" s="31"/>
      <c r="O31" s="31"/>
      <c r="P31" s="32"/>
      <c r="Y31">
        <f>SUM(Y3:Y28)</f>
        <v>1077</v>
      </c>
    </row>
    <row r="32" spans="1:28">
      <c r="A32" s="4" t="s">
        <v>6</v>
      </c>
      <c r="B32" s="1" t="s">
        <v>27</v>
      </c>
      <c r="C32" s="4" t="s">
        <v>6</v>
      </c>
      <c r="D32" s="31"/>
      <c r="E32" s="31"/>
      <c r="F32" s="31"/>
      <c r="G32" s="31"/>
      <c r="H32" s="32"/>
      <c r="I32" s="1" t="s">
        <v>27</v>
      </c>
      <c r="J32" s="3" t="s">
        <v>5</v>
      </c>
      <c r="K32" s="1" t="s">
        <v>27</v>
      </c>
      <c r="L32" s="31"/>
      <c r="M32" s="31"/>
      <c r="N32" s="31"/>
      <c r="O32" s="31"/>
      <c r="P32" s="32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10" t="s">
        <v>12</v>
      </c>
      <c r="D33" s="31"/>
      <c r="E33" s="31"/>
      <c r="F33" s="31"/>
      <c r="G33" s="31"/>
      <c r="H33" s="32"/>
      <c r="I33" s="1" t="s">
        <v>27</v>
      </c>
      <c r="J33" s="14" t="s">
        <v>16</v>
      </c>
      <c r="K33" s="1" t="s">
        <v>27</v>
      </c>
      <c r="L33" s="31"/>
      <c r="M33" s="31"/>
      <c r="N33" s="31"/>
      <c r="O33" s="31"/>
      <c r="P33" s="32"/>
      <c r="R33">
        <v>2</v>
      </c>
      <c r="S33" t="s">
        <v>60</v>
      </c>
    </row>
    <row r="34" spans="1:19">
      <c r="A34" s="17" t="s">
        <v>19</v>
      </c>
      <c r="B34" s="1" t="s">
        <v>27</v>
      </c>
      <c r="C34" s="4" t="s">
        <v>6</v>
      </c>
      <c r="D34" s="31"/>
      <c r="E34" s="31"/>
      <c r="F34" s="31"/>
      <c r="G34" s="31"/>
      <c r="H34" s="32"/>
      <c r="I34" s="38" t="s">
        <v>27</v>
      </c>
      <c r="J34" s="1" t="s">
        <v>27</v>
      </c>
      <c r="K34" s="1" t="s">
        <v>27</v>
      </c>
      <c r="L34" s="31"/>
      <c r="M34" s="31"/>
      <c r="N34" s="31"/>
      <c r="O34" s="31"/>
      <c r="P34" s="32"/>
      <c r="R34">
        <v>3</v>
      </c>
      <c r="S34" t="s">
        <v>58</v>
      </c>
    </row>
    <row r="35" spans="1:19">
      <c r="A35" s="4" t="s">
        <v>6</v>
      </c>
      <c r="B35" s="1" t="s">
        <v>27</v>
      </c>
      <c r="C35" s="17" t="s">
        <v>19</v>
      </c>
      <c r="D35" s="31"/>
      <c r="E35" s="31"/>
      <c r="F35" s="31"/>
      <c r="G35" s="31"/>
      <c r="H35" s="32"/>
      <c r="I35" s="38" t="s">
        <v>27</v>
      </c>
      <c r="J35" s="16" t="s">
        <v>28</v>
      </c>
      <c r="K35" s="1" t="s">
        <v>27</v>
      </c>
      <c r="L35" s="31"/>
      <c r="M35" s="31"/>
      <c r="N35" s="31"/>
      <c r="O35" s="31"/>
      <c r="P35" s="32"/>
      <c r="R35">
        <v>4</v>
      </c>
      <c r="S35" t="s">
        <v>61</v>
      </c>
    </row>
    <row r="36" spans="1:19">
      <c r="A36" s="4" t="s">
        <v>6</v>
      </c>
      <c r="B36" s="1" t="s">
        <v>27</v>
      </c>
      <c r="C36" s="4" t="s">
        <v>6</v>
      </c>
      <c r="D36" s="31"/>
      <c r="E36" s="31"/>
      <c r="F36" s="31"/>
      <c r="G36" s="31"/>
      <c r="H36" s="32"/>
      <c r="I36" s="38" t="s">
        <v>27</v>
      </c>
      <c r="J36" s="3" t="s">
        <v>5</v>
      </c>
      <c r="K36" s="1" t="s">
        <v>27</v>
      </c>
      <c r="L36" s="31"/>
      <c r="M36" s="31"/>
      <c r="N36" s="31"/>
      <c r="O36" s="31"/>
      <c r="P36" s="32"/>
      <c r="S36" t="s">
        <v>62</v>
      </c>
    </row>
    <row r="37" spans="1:19">
      <c r="A37" s="4" t="s">
        <v>6</v>
      </c>
      <c r="B37" s="1" t="s">
        <v>27</v>
      </c>
      <c r="C37" s="4" t="s">
        <v>6</v>
      </c>
      <c r="D37" s="31"/>
      <c r="E37" s="31"/>
      <c r="F37" s="31"/>
      <c r="G37" s="31"/>
      <c r="H37" s="32"/>
      <c r="I37" s="38" t="s">
        <v>27</v>
      </c>
      <c r="J37" s="3" t="s">
        <v>5</v>
      </c>
      <c r="K37" s="1" t="s">
        <v>27</v>
      </c>
      <c r="L37" s="31"/>
      <c r="M37" s="31"/>
      <c r="N37" s="31"/>
      <c r="O37" s="31"/>
      <c r="P37" s="32"/>
      <c r="R37">
        <v>5</v>
      </c>
      <c r="S37" t="s">
        <v>63</v>
      </c>
    </row>
    <row r="38" spans="1:19">
      <c r="A38" s="4" t="s">
        <v>6</v>
      </c>
      <c r="B38" s="1" t="s">
        <v>27</v>
      </c>
      <c r="C38" s="16" t="s">
        <v>18</v>
      </c>
      <c r="D38" s="31"/>
      <c r="E38" s="31"/>
      <c r="F38" s="31"/>
      <c r="G38" s="31"/>
      <c r="H38" s="32"/>
      <c r="I38" s="38" t="s">
        <v>27</v>
      </c>
      <c r="J38" s="15" t="s">
        <v>17</v>
      </c>
      <c r="K38" s="1" t="s">
        <v>27</v>
      </c>
      <c r="L38" s="31"/>
      <c r="M38" s="31"/>
      <c r="N38" s="31"/>
      <c r="O38" s="31"/>
      <c r="P38" s="32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4" t="s">
        <v>6</v>
      </c>
      <c r="D39" s="31"/>
      <c r="E39" s="31"/>
      <c r="F39" s="31"/>
      <c r="G39" s="31"/>
      <c r="H39" s="32"/>
      <c r="I39" s="38" t="s">
        <v>27</v>
      </c>
      <c r="J39" s="3" t="s">
        <v>5</v>
      </c>
      <c r="K39" s="1" t="s">
        <v>27</v>
      </c>
      <c r="L39" s="31"/>
      <c r="M39" s="31"/>
      <c r="N39" s="31"/>
      <c r="O39" s="31"/>
      <c r="P39" s="32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4" t="s">
        <v>6</v>
      </c>
      <c r="D40" s="31"/>
      <c r="E40" s="31"/>
      <c r="F40" s="31"/>
      <c r="G40" s="31"/>
      <c r="H40" s="32"/>
      <c r="I40" s="38" t="s">
        <v>27</v>
      </c>
      <c r="J40" s="3" t="s">
        <v>5</v>
      </c>
      <c r="K40" s="1" t="s">
        <v>27</v>
      </c>
      <c r="L40" s="31"/>
      <c r="M40" s="31"/>
      <c r="N40" s="31"/>
      <c r="O40" s="31"/>
      <c r="P40" s="32"/>
    </row>
    <row r="41" spans="1:19">
      <c r="A41" s="4" t="s">
        <v>6</v>
      </c>
      <c r="B41" s="1" t="s">
        <v>27</v>
      </c>
      <c r="C41" s="4" t="s">
        <v>6</v>
      </c>
      <c r="D41" s="31"/>
      <c r="E41" s="31"/>
      <c r="F41" s="31"/>
      <c r="G41" s="31"/>
      <c r="H41" s="32"/>
      <c r="I41" s="38" t="s">
        <v>27</v>
      </c>
      <c r="J41" s="3" t="s">
        <v>5</v>
      </c>
      <c r="K41" s="1" t="s">
        <v>27</v>
      </c>
      <c r="L41" s="31"/>
      <c r="M41" s="31"/>
      <c r="N41" s="31"/>
      <c r="O41" s="31"/>
      <c r="P41" s="32"/>
    </row>
    <row r="42" spans="1:19">
      <c r="A42" s="4" t="s">
        <v>6</v>
      </c>
      <c r="B42" s="1" t="s">
        <v>27</v>
      </c>
      <c r="C42" s="4" t="s">
        <v>6</v>
      </c>
      <c r="D42" s="31"/>
      <c r="E42" s="31"/>
      <c r="F42" s="31"/>
      <c r="G42" s="31"/>
      <c r="H42" s="32"/>
      <c r="I42" s="38" t="s">
        <v>27</v>
      </c>
      <c r="J42" s="3" t="s">
        <v>5</v>
      </c>
      <c r="K42" s="1" t="s">
        <v>27</v>
      </c>
      <c r="L42" s="31"/>
      <c r="M42" s="31"/>
      <c r="N42" s="31"/>
      <c r="O42" s="31"/>
      <c r="P42" s="32"/>
    </row>
    <row r="43" spans="1:19">
      <c r="A43" s="17" t="s">
        <v>20</v>
      </c>
      <c r="B43" s="1" t="s">
        <v>27</v>
      </c>
      <c r="C43" s="4" t="s">
        <v>6</v>
      </c>
      <c r="D43" s="31"/>
      <c r="E43" s="31"/>
      <c r="F43" s="31"/>
      <c r="G43" s="31"/>
      <c r="H43" s="32"/>
      <c r="I43" s="38" t="s">
        <v>27</v>
      </c>
      <c r="J43" s="15" t="s">
        <v>17</v>
      </c>
      <c r="K43" s="1" t="s">
        <v>27</v>
      </c>
      <c r="L43" s="31"/>
      <c r="M43" s="31"/>
      <c r="N43" s="31"/>
      <c r="O43" s="31"/>
      <c r="P43" s="32"/>
    </row>
    <row r="44" spans="1:19">
      <c r="A44" s="38" t="s">
        <v>27</v>
      </c>
      <c r="B44" s="1" t="s">
        <v>27</v>
      </c>
      <c r="C44" s="17" t="s">
        <v>20</v>
      </c>
      <c r="D44" s="31"/>
      <c r="E44" s="31"/>
      <c r="F44" s="31"/>
      <c r="G44" s="31"/>
      <c r="H44" s="32"/>
      <c r="I44" s="38" t="s">
        <v>27</v>
      </c>
      <c r="J44" s="3" t="s">
        <v>5</v>
      </c>
      <c r="K44" s="1" t="s">
        <v>27</v>
      </c>
      <c r="L44" s="31"/>
      <c r="M44" s="31"/>
      <c r="N44" s="31"/>
      <c r="O44" s="31"/>
      <c r="P44" s="32"/>
    </row>
    <row r="45" spans="1:19">
      <c r="A45" s="38" t="s">
        <v>27</v>
      </c>
      <c r="B45" s="1" t="s">
        <v>27</v>
      </c>
      <c r="C45" s="1" t="s">
        <v>27</v>
      </c>
      <c r="D45" s="31"/>
      <c r="E45" s="31"/>
      <c r="F45" s="31"/>
      <c r="G45" s="31"/>
      <c r="H45" s="32"/>
      <c r="I45" s="38" t="s">
        <v>27</v>
      </c>
      <c r="J45" s="3" t="s">
        <v>5</v>
      </c>
      <c r="K45" s="1" t="s">
        <v>27</v>
      </c>
      <c r="L45" s="31"/>
      <c r="M45" s="31"/>
      <c r="N45" s="31"/>
      <c r="O45" s="31"/>
      <c r="P45" s="32"/>
    </row>
    <row r="46" spans="1:19">
      <c r="A46" s="38" t="s">
        <v>27</v>
      </c>
      <c r="B46" s="1" t="s">
        <v>27</v>
      </c>
      <c r="C46" s="1" t="s">
        <v>27</v>
      </c>
      <c r="D46" s="31"/>
      <c r="E46" s="31"/>
      <c r="F46" s="31"/>
      <c r="G46" s="31"/>
      <c r="H46" s="32"/>
      <c r="I46" s="38" t="s">
        <v>27</v>
      </c>
      <c r="J46" s="9" t="s">
        <v>11</v>
      </c>
      <c r="K46" s="1" t="s">
        <v>27</v>
      </c>
      <c r="L46" s="31"/>
      <c r="M46" s="31"/>
      <c r="N46" s="31"/>
      <c r="O46" s="31"/>
      <c r="P46" s="32"/>
    </row>
    <row r="47" spans="1:19">
      <c r="A47" s="38" t="s">
        <v>27</v>
      </c>
      <c r="B47" s="1" t="s">
        <v>27</v>
      </c>
      <c r="C47" s="1" t="s">
        <v>27</v>
      </c>
      <c r="D47" s="31"/>
      <c r="E47" s="31"/>
      <c r="F47" s="31"/>
      <c r="G47" s="31"/>
      <c r="H47" s="32"/>
      <c r="I47" s="38" t="s">
        <v>27</v>
      </c>
      <c r="J47" s="3" t="s">
        <v>5</v>
      </c>
      <c r="K47" s="1" t="s">
        <v>27</v>
      </c>
      <c r="L47" s="31"/>
      <c r="M47" s="31"/>
      <c r="N47" s="31"/>
      <c r="O47" s="31"/>
      <c r="P47" s="32"/>
    </row>
    <row r="48" spans="1:19">
      <c r="A48" s="38" t="s">
        <v>27</v>
      </c>
      <c r="B48" s="1" t="s">
        <v>27</v>
      </c>
      <c r="C48" s="1" t="s">
        <v>27</v>
      </c>
      <c r="D48" s="31"/>
      <c r="E48" s="31"/>
      <c r="F48" s="31"/>
      <c r="G48" s="31"/>
      <c r="H48" s="32"/>
      <c r="I48" s="38" t="s">
        <v>27</v>
      </c>
      <c r="J48" s="3" t="s">
        <v>5</v>
      </c>
      <c r="K48" s="1" t="s">
        <v>27</v>
      </c>
      <c r="L48" s="31"/>
      <c r="M48" s="31"/>
      <c r="N48" s="31"/>
      <c r="O48" s="31"/>
      <c r="P48" s="32"/>
    </row>
    <row r="49" spans="1:16">
      <c r="A49" s="38" t="s">
        <v>27</v>
      </c>
      <c r="B49" s="1" t="s">
        <v>27</v>
      </c>
      <c r="C49" s="1" t="s">
        <v>27</v>
      </c>
      <c r="D49" s="31"/>
      <c r="E49" s="31"/>
      <c r="F49" s="31"/>
      <c r="G49" s="31"/>
      <c r="H49" s="32"/>
      <c r="I49" s="38" t="s">
        <v>27</v>
      </c>
      <c r="J49" s="15" t="s">
        <v>17</v>
      </c>
      <c r="K49" s="1" t="s">
        <v>27</v>
      </c>
      <c r="L49" s="31"/>
      <c r="M49" s="31"/>
      <c r="N49" s="31"/>
      <c r="O49" s="31"/>
      <c r="P49" s="32"/>
    </row>
    <row r="50" spans="1:16">
      <c r="A50" s="38" t="s">
        <v>27</v>
      </c>
      <c r="B50" s="1" t="s">
        <v>27</v>
      </c>
      <c r="C50" s="1" t="s">
        <v>27</v>
      </c>
      <c r="D50" s="31"/>
      <c r="E50" s="31"/>
      <c r="F50" s="31"/>
      <c r="G50" s="31"/>
      <c r="H50" s="32"/>
      <c r="I50" s="38" t="s">
        <v>27</v>
      </c>
      <c r="J50" s="3" t="s">
        <v>5</v>
      </c>
      <c r="K50" s="1" t="s">
        <v>27</v>
      </c>
      <c r="L50" s="31"/>
      <c r="M50" s="31"/>
      <c r="N50" s="31"/>
      <c r="O50" s="31"/>
      <c r="P50" s="32"/>
    </row>
    <row r="51" spans="1:16">
      <c r="A51" s="38" t="s">
        <v>27</v>
      </c>
      <c r="B51" s="1" t="s">
        <v>27</v>
      </c>
      <c r="C51" s="1" t="s">
        <v>27</v>
      </c>
      <c r="D51" s="31"/>
      <c r="E51" s="31"/>
      <c r="F51" s="31"/>
      <c r="G51" s="31"/>
      <c r="H51" s="32"/>
      <c r="I51" s="38" t="s">
        <v>27</v>
      </c>
      <c r="J51" s="3" t="s">
        <v>5</v>
      </c>
      <c r="K51" s="1" t="s">
        <v>27</v>
      </c>
      <c r="L51" s="31"/>
      <c r="M51" s="31"/>
      <c r="N51" s="31"/>
      <c r="O51" s="31"/>
      <c r="P51" s="32"/>
    </row>
    <row r="52" spans="1:16">
      <c r="A52" s="38" t="s">
        <v>27</v>
      </c>
      <c r="B52" s="1" t="s">
        <v>27</v>
      </c>
      <c r="C52" s="1" t="s">
        <v>27</v>
      </c>
      <c r="D52" s="31"/>
      <c r="E52" s="31"/>
      <c r="F52" s="31"/>
      <c r="G52" s="31"/>
      <c r="H52" s="32"/>
      <c r="I52" s="38" t="s">
        <v>27</v>
      </c>
      <c r="J52" s="3" t="s">
        <v>5</v>
      </c>
      <c r="K52" s="1" t="s">
        <v>27</v>
      </c>
      <c r="L52" s="31"/>
      <c r="M52" s="31"/>
      <c r="N52" s="31"/>
      <c r="O52" s="31"/>
      <c r="P52" s="32"/>
    </row>
    <row r="53" spans="1:16">
      <c r="A53" s="38" t="s">
        <v>27</v>
      </c>
      <c r="B53" s="1" t="s">
        <v>27</v>
      </c>
      <c r="C53" s="1" t="s">
        <v>27</v>
      </c>
      <c r="D53" s="31"/>
      <c r="E53" s="31"/>
      <c r="F53" s="31"/>
      <c r="G53" s="31"/>
      <c r="H53" s="32"/>
      <c r="I53" s="38" t="s">
        <v>27</v>
      </c>
      <c r="J53" s="3" t="s">
        <v>5</v>
      </c>
      <c r="K53" s="1" t="s">
        <v>27</v>
      </c>
      <c r="L53" s="31"/>
      <c r="M53" s="31"/>
      <c r="N53" s="31"/>
      <c r="O53" s="31"/>
      <c r="P53" s="32"/>
    </row>
    <row r="54" spans="1:16">
      <c r="A54" s="38" t="s">
        <v>27</v>
      </c>
      <c r="B54" s="1" t="s">
        <v>27</v>
      </c>
      <c r="C54" s="1" t="s">
        <v>27</v>
      </c>
      <c r="D54" s="31"/>
      <c r="E54" s="31"/>
      <c r="F54" s="31"/>
      <c r="G54" s="31"/>
      <c r="H54" s="32"/>
      <c r="I54" s="38" t="s">
        <v>27</v>
      </c>
      <c r="J54" s="3" t="s">
        <v>5</v>
      </c>
      <c r="K54" s="1" t="s">
        <v>27</v>
      </c>
      <c r="L54" s="31"/>
      <c r="M54" s="31"/>
      <c r="N54" s="31"/>
      <c r="O54" s="31"/>
      <c r="P54" s="32"/>
    </row>
    <row r="55" spans="1:16">
      <c r="A55" s="38" t="s">
        <v>27</v>
      </c>
      <c r="B55" s="1" t="s">
        <v>27</v>
      </c>
      <c r="C55" s="1" t="s">
        <v>27</v>
      </c>
      <c r="D55" s="31"/>
      <c r="E55" s="31"/>
      <c r="F55" s="31"/>
      <c r="G55" s="31"/>
      <c r="H55" s="32"/>
      <c r="I55" s="38" t="s">
        <v>27</v>
      </c>
      <c r="J55" s="15" t="s">
        <v>17</v>
      </c>
      <c r="K55" s="1" t="s">
        <v>27</v>
      </c>
      <c r="L55" s="31"/>
      <c r="M55" s="31"/>
      <c r="N55" s="31"/>
      <c r="O55" s="31"/>
      <c r="P55" s="32"/>
    </row>
    <row r="56" spans="1:16">
      <c r="A56" s="38" t="s">
        <v>27</v>
      </c>
      <c r="B56" s="1" t="s">
        <v>27</v>
      </c>
      <c r="C56" s="1" t="s">
        <v>27</v>
      </c>
      <c r="D56" s="31"/>
      <c r="E56" s="31"/>
      <c r="F56" s="31"/>
      <c r="G56" s="31"/>
      <c r="H56" s="32"/>
      <c r="I56" s="38" t="s">
        <v>27</v>
      </c>
      <c r="J56" s="3" t="s">
        <v>5</v>
      </c>
      <c r="K56" s="1" t="s">
        <v>27</v>
      </c>
      <c r="L56" s="31"/>
      <c r="M56" s="31"/>
      <c r="N56" s="31"/>
      <c r="O56" s="31"/>
      <c r="P56" s="32"/>
    </row>
    <row r="57" spans="1:16">
      <c r="A57" s="38" t="s">
        <v>27</v>
      </c>
      <c r="B57" s="1" t="s">
        <v>27</v>
      </c>
      <c r="C57" s="1" t="s">
        <v>27</v>
      </c>
      <c r="D57" s="31"/>
      <c r="E57" s="31"/>
      <c r="F57" s="31"/>
      <c r="G57" s="31"/>
      <c r="H57" s="32"/>
      <c r="I57" s="38" t="s">
        <v>27</v>
      </c>
      <c r="J57" s="3" t="s">
        <v>5</v>
      </c>
      <c r="K57" s="1" t="s">
        <v>27</v>
      </c>
      <c r="L57" s="31"/>
      <c r="M57" s="31"/>
      <c r="N57" s="31"/>
      <c r="O57" s="31"/>
      <c r="P57" s="32"/>
    </row>
    <row r="58" spans="1:16">
      <c r="A58" s="38" t="s">
        <v>27</v>
      </c>
      <c r="B58" s="1" t="s">
        <v>27</v>
      </c>
      <c r="C58" s="1" t="s">
        <v>27</v>
      </c>
      <c r="D58" s="31"/>
      <c r="E58" s="31"/>
      <c r="F58" s="31"/>
      <c r="G58" s="31"/>
      <c r="H58" s="32"/>
      <c r="I58" s="38" t="s">
        <v>27</v>
      </c>
      <c r="J58" s="3" t="s">
        <v>5</v>
      </c>
      <c r="K58" s="1" t="s">
        <v>27</v>
      </c>
      <c r="L58" s="31"/>
      <c r="M58" s="31"/>
      <c r="N58" s="31"/>
      <c r="O58" s="31"/>
      <c r="P58" s="32"/>
    </row>
    <row r="59" spans="1:16">
      <c r="A59" s="38" t="s">
        <v>27</v>
      </c>
      <c r="B59" s="1" t="s">
        <v>27</v>
      </c>
      <c r="C59" s="1" t="s">
        <v>27</v>
      </c>
      <c r="D59" s="31"/>
      <c r="E59" s="31"/>
      <c r="F59" s="31"/>
      <c r="G59" s="31"/>
      <c r="H59" s="32"/>
      <c r="I59" s="38" t="s">
        <v>27</v>
      </c>
      <c r="J59" s="9" t="s">
        <v>11</v>
      </c>
      <c r="K59" s="1" t="s">
        <v>27</v>
      </c>
      <c r="L59" s="31"/>
      <c r="M59" s="31"/>
      <c r="N59" s="31"/>
      <c r="O59" s="31"/>
      <c r="P59" s="32"/>
    </row>
    <row r="60" spans="1:16">
      <c r="A60" s="38" t="s">
        <v>27</v>
      </c>
      <c r="B60" s="1" t="s">
        <v>27</v>
      </c>
      <c r="C60" s="1" t="s">
        <v>27</v>
      </c>
      <c r="D60" s="31"/>
      <c r="E60" s="31"/>
      <c r="F60" s="31"/>
      <c r="G60" s="31"/>
      <c r="H60" s="32"/>
      <c r="I60" s="38" t="s">
        <v>27</v>
      </c>
      <c r="J60" s="3" t="s">
        <v>5</v>
      </c>
      <c r="K60" s="1" t="s">
        <v>27</v>
      </c>
      <c r="L60" s="31"/>
      <c r="M60" s="31"/>
      <c r="N60" s="31"/>
      <c r="O60" s="31"/>
      <c r="P60" s="32"/>
    </row>
    <row r="61" spans="1:16">
      <c r="A61" s="38" t="s">
        <v>27</v>
      </c>
      <c r="B61" s="1" t="s">
        <v>27</v>
      </c>
      <c r="C61" s="1" t="s">
        <v>27</v>
      </c>
      <c r="D61" s="31"/>
      <c r="E61" s="31"/>
      <c r="F61" s="31"/>
      <c r="G61" s="31"/>
      <c r="H61" s="32"/>
      <c r="I61" s="38" t="s">
        <v>27</v>
      </c>
      <c r="J61" s="3" t="s">
        <v>5</v>
      </c>
      <c r="K61" s="1" t="s">
        <v>27</v>
      </c>
      <c r="L61" s="31"/>
      <c r="M61" s="31"/>
      <c r="N61" s="31"/>
      <c r="O61" s="31"/>
      <c r="P61" s="32"/>
    </row>
    <row r="62" spans="1:16">
      <c r="A62" s="38" t="s">
        <v>27</v>
      </c>
      <c r="B62" s="1" t="s">
        <v>27</v>
      </c>
      <c r="C62" s="1" t="s">
        <v>27</v>
      </c>
      <c r="D62" s="31"/>
      <c r="E62" s="31"/>
      <c r="F62" s="31"/>
      <c r="G62" s="31"/>
      <c r="H62" s="32"/>
      <c r="I62" s="38" t="s">
        <v>27</v>
      </c>
      <c r="J62" s="15" t="s">
        <v>17</v>
      </c>
      <c r="K62" s="1" t="s">
        <v>27</v>
      </c>
      <c r="L62" s="31"/>
      <c r="M62" s="31"/>
      <c r="N62" s="31"/>
      <c r="O62" s="31"/>
      <c r="P62" s="32"/>
    </row>
    <row r="63" spans="1:16">
      <c r="A63" s="38" t="s">
        <v>27</v>
      </c>
      <c r="B63" s="1" t="s">
        <v>27</v>
      </c>
      <c r="C63" s="1" t="s">
        <v>27</v>
      </c>
      <c r="D63" s="31"/>
      <c r="E63" s="31"/>
      <c r="F63" s="31"/>
      <c r="G63" s="31"/>
      <c r="H63" s="32"/>
      <c r="I63" s="38" t="s">
        <v>27</v>
      </c>
      <c r="J63" s="3" t="s">
        <v>5</v>
      </c>
      <c r="K63" s="1" t="s">
        <v>27</v>
      </c>
      <c r="L63" s="31"/>
      <c r="M63" s="31"/>
      <c r="N63" s="31"/>
      <c r="O63" s="31"/>
      <c r="P63" s="32"/>
    </row>
    <row r="64" spans="1:16">
      <c r="A64" s="38" t="s">
        <v>27</v>
      </c>
      <c r="B64" s="1" t="s">
        <v>27</v>
      </c>
      <c r="C64" s="1" t="s">
        <v>27</v>
      </c>
      <c r="D64" s="31"/>
      <c r="E64" s="31"/>
      <c r="F64" s="31"/>
      <c r="G64" s="31"/>
      <c r="H64" s="32"/>
      <c r="I64" s="38" t="s">
        <v>27</v>
      </c>
      <c r="J64" s="3" t="s">
        <v>5</v>
      </c>
      <c r="K64" s="1" t="s">
        <v>27</v>
      </c>
      <c r="L64" s="31"/>
      <c r="M64" s="31"/>
      <c r="N64" s="31"/>
      <c r="O64" s="31"/>
      <c r="P64" s="32"/>
    </row>
    <row r="65" spans="1:16">
      <c r="A65" s="38" t="s">
        <v>27</v>
      </c>
      <c r="B65" s="1" t="s">
        <v>27</v>
      </c>
      <c r="C65" s="1" t="s">
        <v>27</v>
      </c>
      <c r="D65" s="31"/>
      <c r="E65" s="31"/>
      <c r="F65" s="31"/>
      <c r="G65" s="31"/>
      <c r="H65" s="32"/>
      <c r="I65" s="38" t="s">
        <v>27</v>
      </c>
      <c r="J65" s="3" t="s">
        <v>5</v>
      </c>
      <c r="K65" s="1" t="s">
        <v>27</v>
      </c>
      <c r="L65" s="31"/>
      <c r="M65" s="31"/>
      <c r="N65" s="31"/>
      <c r="O65" s="31"/>
      <c r="P65" s="32"/>
    </row>
    <row r="66" spans="1:16">
      <c r="A66" s="38" t="s">
        <v>27</v>
      </c>
      <c r="B66" s="1" t="s">
        <v>27</v>
      </c>
      <c r="C66" s="1" t="s">
        <v>27</v>
      </c>
      <c r="D66" s="31"/>
      <c r="E66" s="31"/>
      <c r="F66" s="31"/>
      <c r="G66" s="31"/>
      <c r="H66" s="32"/>
      <c r="I66" s="38" t="s">
        <v>27</v>
      </c>
      <c r="J66" s="3" t="s">
        <v>5</v>
      </c>
      <c r="K66" s="1" t="s">
        <v>27</v>
      </c>
      <c r="L66" s="31"/>
      <c r="M66" s="31"/>
      <c r="N66" s="31"/>
      <c r="O66" s="31"/>
      <c r="P66" s="32"/>
    </row>
    <row r="67" spans="1:16">
      <c r="A67" s="38" t="s">
        <v>27</v>
      </c>
      <c r="B67" s="1" t="s">
        <v>27</v>
      </c>
      <c r="C67" s="1" t="s">
        <v>27</v>
      </c>
      <c r="D67" s="31"/>
      <c r="E67" s="31"/>
      <c r="F67" s="31"/>
      <c r="G67" s="31"/>
      <c r="H67" s="32"/>
      <c r="I67" s="38" t="s">
        <v>27</v>
      </c>
      <c r="J67" s="3" t="s">
        <v>5</v>
      </c>
      <c r="K67" s="1" t="s">
        <v>27</v>
      </c>
      <c r="L67" s="31"/>
      <c r="M67" s="31"/>
      <c r="N67" s="31"/>
      <c r="O67" s="31"/>
      <c r="P67" s="32"/>
    </row>
    <row r="68" spans="1:16">
      <c r="A68" s="38" t="s">
        <v>27</v>
      </c>
      <c r="B68" s="1" t="s">
        <v>27</v>
      </c>
      <c r="C68" s="1" t="s">
        <v>27</v>
      </c>
      <c r="D68" s="31"/>
      <c r="E68" s="31"/>
      <c r="F68" s="31"/>
      <c r="G68" s="31"/>
      <c r="H68" s="32"/>
      <c r="I68" s="38" t="s">
        <v>27</v>
      </c>
      <c r="J68" s="15" t="s">
        <v>17</v>
      </c>
      <c r="K68" s="1" t="s">
        <v>27</v>
      </c>
      <c r="L68" s="31"/>
      <c r="M68" s="31"/>
      <c r="N68" s="31"/>
      <c r="O68" s="31"/>
      <c r="P68" s="32"/>
    </row>
    <row r="69" spans="1:16">
      <c r="A69" s="38" t="s">
        <v>27</v>
      </c>
      <c r="B69" s="1" t="s">
        <v>27</v>
      </c>
      <c r="C69" s="1" t="s">
        <v>27</v>
      </c>
      <c r="D69" s="31"/>
      <c r="E69" s="31"/>
      <c r="F69" s="31"/>
      <c r="G69" s="31"/>
      <c r="H69" s="32"/>
      <c r="I69" s="38" t="s">
        <v>27</v>
      </c>
      <c r="J69" s="1" t="s">
        <v>27</v>
      </c>
      <c r="K69" s="1" t="s">
        <v>27</v>
      </c>
      <c r="L69" s="31"/>
      <c r="M69" s="31"/>
      <c r="N69" s="31"/>
      <c r="O69" s="31"/>
      <c r="P69" s="32"/>
    </row>
    <row r="70" spans="1:16">
      <c r="A70" s="38" t="s">
        <v>27</v>
      </c>
      <c r="B70" s="1" t="s">
        <v>27</v>
      </c>
      <c r="C70" s="1" t="s">
        <v>27</v>
      </c>
      <c r="D70" s="31"/>
      <c r="E70" s="31"/>
      <c r="F70" s="31"/>
      <c r="G70" s="31"/>
      <c r="H70" s="32"/>
      <c r="I70" s="38" t="s">
        <v>27</v>
      </c>
      <c r="J70" s="1" t="s">
        <v>27</v>
      </c>
      <c r="K70" s="1" t="s">
        <v>27</v>
      </c>
      <c r="L70" s="31"/>
      <c r="M70" s="31"/>
      <c r="N70" s="31"/>
      <c r="O70" s="31"/>
      <c r="P70" s="32"/>
    </row>
    <row r="71" spans="1:16">
      <c r="A71" s="38" t="s">
        <v>27</v>
      </c>
      <c r="B71" s="1" t="s">
        <v>27</v>
      </c>
      <c r="C71" s="1" t="s">
        <v>27</v>
      </c>
      <c r="D71" s="31"/>
      <c r="E71" s="31"/>
      <c r="F71" s="31"/>
      <c r="G71" s="31"/>
      <c r="H71" s="32"/>
      <c r="I71" s="38" t="s">
        <v>27</v>
      </c>
      <c r="J71" s="1" t="s">
        <v>27</v>
      </c>
      <c r="K71" s="1" t="s">
        <v>27</v>
      </c>
      <c r="L71" s="31"/>
      <c r="M71" s="31"/>
      <c r="N71" s="31"/>
      <c r="O71" s="31"/>
      <c r="P71" s="32"/>
    </row>
    <row r="72" spans="1:16">
      <c r="A72" s="38" t="s">
        <v>27</v>
      </c>
      <c r="B72" s="1" t="s">
        <v>27</v>
      </c>
      <c r="C72" s="1" t="s">
        <v>27</v>
      </c>
      <c r="D72" s="31"/>
      <c r="E72" s="31"/>
      <c r="F72" s="31"/>
      <c r="G72" s="31"/>
      <c r="H72" s="32"/>
      <c r="I72" s="38" t="s">
        <v>27</v>
      </c>
      <c r="J72" s="1" t="s">
        <v>27</v>
      </c>
      <c r="K72" s="1" t="s">
        <v>27</v>
      </c>
      <c r="L72" s="31"/>
      <c r="M72" s="31"/>
      <c r="N72" s="31"/>
      <c r="O72" s="31"/>
      <c r="P72" s="32"/>
    </row>
    <row r="73" spans="1:16">
      <c r="A73" s="38" t="s">
        <v>27</v>
      </c>
      <c r="B73" s="1" t="s">
        <v>27</v>
      </c>
      <c r="C73" s="1" t="s">
        <v>27</v>
      </c>
      <c r="D73" s="31"/>
      <c r="E73" s="31"/>
      <c r="F73" s="31"/>
      <c r="G73" s="31"/>
      <c r="H73" s="32"/>
      <c r="I73" s="38" t="s">
        <v>27</v>
      </c>
      <c r="J73" s="1" t="s">
        <v>27</v>
      </c>
      <c r="K73" s="1" t="s">
        <v>27</v>
      </c>
      <c r="L73" s="31"/>
      <c r="M73" s="31"/>
      <c r="N73" s="31"/>
      <c r="O73" s="31"/>
      <c r="P73" s="32"/>
    </row>
    <row r="74" spans="1:16">
      <c r="A74" s="38" t="s">
        <v>27</v>
      </c>
      <c r="B74" s="1" t="s">
        <v>27</v>
      </c>
      <c r="C74" s="1" t="s">
        <v>27</v>
      </c>
      <c r="D74" s="31"/>
      <c r="E74" s="31"/>
      <c r="F74" s="31"/>
      <c r="G74" s="31"/>
      <c r="H74" s="32"/>
      <c r="I74" s="38" t="s">
        <v>27</v>
      </c>
      <c r="J74" s="1" t="s">
        <v>27</v>
      </c>
      <c r="K74" s="1" t="s">
        <v>27</v>
      </c>
      <c r="L74" s="31"/>
      <c r="M74" s="31"/>
      <c r="N74" s="31"/>
      <c r="O74" s="31"/>
      <c r="P74" s="32"/>
    </row>
    <row r="75" spans="1:16">
      <c r="A75" s="38" t="s">
        <v>27</v>
      </c>
      <c r="B75" s="1" t="s">
        <v>27</v>
      </c>
      <c r="C75" s="1" t="s">
        <v>27</v>
      </c>
      <c r="D75" s="31"/>
      <c r="E75" s="31"/>
      <c r="F75" s="31"/>
      <c r="G75" s="31"/>
      <c r="H75" s="32"/>
      <c r="I75" s="38" t="s">
        <v>27</v>
      </c>
      <c r="J75" s="1" t="s">
        <v>27</v>
      </c>
      <c r="K75" s="1" t="s">
        <v>27</v>
      </c>
      <c r="L75" s="31"/>
      <c r="M75" s="31"/>
      <c r="N75" s="31"/>
      <c r="O75" s="31"/>
      <c r="P75" s="32"/>
    </row>
    <row r="76" spans="1:16">
      <c r="A76" s="38" t="s">
        <v>27</v>
      </c>
      <c r="B76" s="1" t="s">
        <v>27</v>
      </c>
      <c r="C76" s="1" t="s">
        <v>27</v>
      </c>
      <c r="D76" s="31"/>
      <c r="E76" s="31"/>
      <c r="F76" s="31"/>
      <c r="G76" s="31"/>
      <c r="H76" s="32"/>
      <c r="I76" s="38" t="s">
        <v>27</v>
      </c>
      <c r="J76" s="1" t="s">
        <v>27</v>
      </c>
      <c r="K76" s="1" t="s">
        <v>27</v>
      </c>
      <c r="L76" s="31"/>
      <c r="M76" s="31"/>
      <c r="N76" s="31"/>
      <c r="O76" s="31"/>
      <c r="P76" s="32"/>
    </row>
    <row r="77" spans="1:16">
      <c r="A77" s="38" t="s">
        <v>27</v>
      </c>
      <c r="B77" s="1" t="s">
        <v>27</v>
      </c>
      <c r="C77" s="1" t="s">
        <v>27</v>
      </c>
      <c r="D77" s="31"/>
      <c r="E77" s="31"/>
      <c r="F77" s="31"/>
      <c r="G77" s="31"/>
      <c r="H77" s="32"/>
      <c r="I77" s="38" t="s">
        <v>27</v>
      </c>
      <c r="J77" s="1" t="s">
        <v>27</v>
      </c>
      <c r="K77" s="1" t="s">
        <v>27</v>
      </c>
      <c r="L77" s="31"/>
      <c r="M77" s="31"/>
      <c r="N77" s="31"/>
      <c r="O77" s="31"/>
      <c r="P77" s="32"/>
    </row>
    <row r="78" spans="1:16">
      <c r="A78" s="38" t="s">
        <v>27</v>
      </c>
      <c r="B78" s="1" t="s">
        <v>27</v>
      </c>
      <c r="C78" s="1" t="s">
        <v>27</v>
      </c>
      <c r="D78" s="31"/>
      <c r="E78" s="31"/>
      <c r="F78" s="31"/>
      <c r="G78" s="31"/>
      <c r="H78" s="32"/>
      <c r="I78" s="38" t="s">
        <v>27</v>
      </c>
      <c r="J78" s="1" t="s">
        <v>27</v>
      </c>
      <c r="K78" s="1" t="s">
        <v>27</v>
      </c>
      <c r="L78" s="31"/>
      <c r="M78" s="31"/>
      <c r="N78" s="31"/>
      <c r="O78" s="31"/>
      <c r="P78" s="32"/>
    </row>
    <row r="79" spans="1:16">
      <c r="A79" s="38" t="s">
        <v>27</v>
      </c>
      <c r="B79" s="1" t="s">
        <v>27</v>
      </c>
      <c r="C79" s="1" t="s">
        <v>27</v>
      </c>
      <c r="D79" s="31"/>
      <c r="E79" s="31"/>
      <c r="F79" s="31"/>
      <c r="G79" s="31"/>
      <c r="H79" s="32"/>
      <c r="I79" s="38" t="s">
        <v>27</v>
      </c>
      <c r="J79" s="1" t="s">
        <v>27</v>
      </c>
      <c r="K79" s="1" t="s">
        <v>27</v>
      </c>
      <c r="L79" s="31"/>
      <c r="M79" s="31"/>
      <c r="N79" s="31"/>
      <c r="O79" s="31"/>
      <c r="P79" s="32"/>
    </row>
    <row r="80" spans="1:16">
      <c r="A80" s="38" t="s">
        <v>27</v>
      </c>
      <c r="B80" s="1" t="s">
        <v>27</v>
      </c>
      <c r="C80" s="1" t="s">
        <v>27</v>
      </c>
      <c r="D80" s="31"/>
      <c r="E80" s="31"/>
      <c r="F80" s="31"/>
      <c r="G80" s="31"/>
      <c r="H80" s="32"/>
      <c r="I80" s="38" t="s">
        <v>27</v>
      </c>
      <c r="J80" s="1" t="s">
        <v>27</v>
      </c>
      <c r="K80" s="1" t="s">
        <v>27</v>
      </c>
      <c r="L80" s="31"/>
      <c r="M80" s="31"/>
      <c r="N80" s="31"/>
      <c r="O80" s="31"/>
      <c r="P80" s="32"/>
    </row>
    <row r="81" spans="1:16">
      <c r="A81" s="38" t="s">
        <v>27</v>
      </c>
      <c r="B81" s="1" t="s">
        <v>27</v>
      </c>
      <c r="C81" s="1" t="s">
        <v>27</v>
      </c>
      <c r="D81" s="31"/>
      <c r="E81" s="31"/>
      <c r="F81" s="31"/>
      <c r="G81" s="31"/>
      <c r="H81" s="32"/>
      <c r="I81" s="38" t="s">
        <v>27</v>
      </c>
      <c r="J81" s="1" t="s">
        <v>27</v>
      </c>
      <c r="K81" s="1" t="s">
        <v>27</v>
      </c>
      <c r="L81" s="31"/>
      <c r="M81" s="31"/>
      <c r="N81" s="31"/>
      <c r="O81" s="31"/>
      <c r="P81" s="32"/>
    </row>
    <row r="82" spans="1:16">
      <c r="A82" s="38" t="s">
        <v>27</v>
      </c>
      <c r="B82" s="1" t="s">
        <v>27</v>
      </c>
      <c r="C82" s="1" t="s">
        <v>27</v>
      </c>
      <c r="D82" s="31"/>
      <c r="E82" s="31"/>
      <c r="F82" s="31"/>
      <c r="G82" s="31"/>
      <c r="H82" s="32"/>
      <c r="I82" s="38" t="s">
        <v>27</v>
      </c>
      <c r="J82" s="1" t="s">
        <v>27</v>
      </c>
      <c r="K82" s="1" t="s">
        <v>27</v>
      </c>
      <c r="L82" s="31"/>
      <c r="M82" s="31"/>
      <c r="N82" s="31"/>
      <c r="O82" s="31"/>
      <c r="P82" s="32"/>
    </row>
    <row r="83" spans="1:16">
      <c r="A83" s="38" t="s">
        <v>27</v>
      </c>
      <c r="B83" s="1" t="s">
        <v>27</v>
      </c>
      <c r="C83" s="1" t="s">
        <v>27</v>
      </c>
      <c r="D83" s="31"/>
      <c r="E83" s="31"/>
      <c r="F83" s="31"/>
      <c r="G83" s="31"/>
      <c r="H83" s="32"/>
      <c r="I83" s="38" t="s">
        <v>27</v>
      </c>
      <c r="J83" s="1" t="s">
        <v>27</v>
      </c>
      <c r="K83" s="1" t="s">
        <v>27</v>
      </c>
      <c r="L83" s="31"/>
      <c r="M83" s="31"/>
      <c r="N83" s="31"/>
      <c r="O83" s="31"/>
      <c r="P83" s="32"/>
    </row>
    <row r="84" spans="1:16">
      <c r="A84" s="38" t="s">
        <v>27</v>
      </c>
      <c r="B84" s="1" t="s">
        <v>27</v>
      </c>
      <c r="C84" s="1" t="s">
        <v>27</v>
      </c>
      <c r="D84" s="31"/>
      <c r="E84" s="31"/>
      <c r="F84" s="31"/>
      <c r="G84" s="31"/>
      <c r="H84" s="32"/>
      <c r="I84" s="38" t="s">
        <v>27</v>
      </c>
      <c r="J84" s="1" t="s">
        <v>27</v>
      </c>
      <c r="K84" s="1" t="s">
        <v>27</v>
      </c>
      <c r="L84" s="31"/>
      <c r="M84" s="31"/>
      <c r="N84" s="31"/>
      <c r="O84" s="31"/>
      <c r="P84" s="32"/>
    </row>
    <row r="85" spans="1:16">
      <c r="A85" s="38" t="s">
        <v>27</v>
      </c>
      <c r="B85" s="1" t="s">
        <v>27</v>
      </c>
      <c r="C85" s="1" t="s">
        <v>27</v>
      </c>
      <c r="D85" s="31"/>
      <c r="E85" s="31"/>
      <c r="F85" s="31"/>
      <c r="G85" s="31"/>
      <c r="H85" s="32"/>
      <c r="I85" s="38" t="s">
        <v>27</v>
      </c>
      <c r="J85" s="1" t="s">
        <v>27</v>
      </c>
      <c r="K85" s="1" t="s">
        <v>27</v>
      </c>
      <c r="L85" s="31"/>
      <c r="M85" s="31"/>
      <c r="N85" s="31"/>
      <c r="O85" s="31"/>
      <c r="P85" s="32"/>
    </row>
    <row r="86" spans="1:16">
      <c r="A86" s="38" t="s">
        <v>27</v>
      </c>
      <c r="B86" s="1" t="s">
        <v>27</v>
      </c>
      <c r="C86" s="1" t="s">
        <v>27</v>
      </c>
      <c r="D86" s="31"/>
      <c r="E86" s="31"/>
      <c r="F86" s="31"/>
      <c r="G86" s="31"/>
      <c r="H86" s="32"/>
      <c r="I86" s="38" t="s">
        <v>27</v>
      </c>
      <c r="J86" s="1" t="s">
        <v>27</v>
      </c>
      <c r="K86" s="1" t="s">
        <v>27</v>
      </c>
      <c r="L86" s="31"/>
      <c r="M86" s="31"/>
      <c r="N86" s="31"/>
      <c r="O86" s="31"/>
      <c r="P86" s="32"/>
    </row>
    <row r="87" spans="1:16">
      <c r="A87" s="38" t="s">
        <v>27</v>
      </c>
      <c r="B87" s="1" t="s">
        <v>27</v>
      </c>
      <c r="C87" s="1" t="s">
        <v>27</v>
      </c>
      <c r="D87" s="31"/>
      <c r="E87" s="31"/>
      <c r="F87" s="31"/>
      <c r="G87" s="31"/>
      <c r="H87" s="32"/>
      <c r="I87" s="38" t="s">
        <v>27</v>
      </c>
      <c r="J87" s="1" t="s">
        <v>27</v>
      </c>
      <c r="K87" s="1" t="s">
        <v>27</v>
      </c>
      <c r="L87" s="31"/>
      <c r="M87" s="31"/>
      <c r="N87" s="31"/>
      <c r="O87" s="31"/>
      <c r="P87" s="32"/>
    </row>
    <row r="88" spans="1:16">
      <c r="A88" s="38" t="s">
        <v>27</v>
      </c>
      <c r="B88" s="1" t="s">
        <v>27</v>
      </c>
      <c r="C88" s="1" t="s">
        <v>27</v>
      </c>
      <c r="D88" s="31"/>
      <c r="E88" s="31"/>
      <c r="F88" s="31"/>
      <c r="G88" s="31"/>
      <c r="H88" s="32"/>
      <c r="I88" s="38" t="s">
        <v>27</v>
      </c>
      <c r="J88" s="1" t="s">
        <v>27</v>
      </c>
      <c r="K88" s="1" t="s">
        <v>27</v>
      </c>
      <c r="L88" s="31"/>
      <c r="M88" s="31"/>
      <c r="N88" s="31"/>
      <c r="O88" s="31"/>
      <c r="P88" s="32"/>
    </row>
    <row r="89" spans="1:16">
      <c r="A89" s="38" t="s">
        <v>27</v>
      </c>
      <c r="B89" s="1" t="s">
        <v>27</v>
      </c>
      <c r="C89" s="1" t="s">
        <v>27</v>
      </c>
      <c r="D89" s="31"/>
      <c r="E89" s="31"/>
      <c r="F89" s="31"/>
      <c r="G89" s="31"/>
      <c r="H89" s="32"/>
      <c r="I89" s="38" t="s">
        <v>27</v>
      </c>
      <c r="J89" s="1" t="s">
        <v>27</v>
      </c>
      <c r="K89" s="1" t="s">
        <v>27</v>
      </c>
      <c r="L89" s="31"/>
      <c r="M89" s="31"/>
      <c r="N89" s="31"/>
      <c r="O89" s="31"/>
      <c r="P89" s="32"/>
    </row>
    <row r="90" spans="1:16">
      <c r="A90" s="38" t="s">
        <v>27</v>
      </c>
      <c r="B90" s="1" t="s">
        <v>27</v>
      </c>
      <c r="C90" s="1" t="s">
        <v>27</v>
      </c>
      <c r="D90" s="31"/>
      <c r="E90" s="31"/>
      <c r="F90" s="31"/>
      <c r="G90" s="31"/>
      <c r="H90" s="32"/>
      <c r="I90" s="38" t="s">
        <v>27</v>
      </c>
      <c r="J90" s="1" t="s">
        <v>27</v>
      </c>
      <c r="K90" s="1" t="s">
        <v>27</v>
      </c>
      <c r="L90" s="31"/>
      <c r="M90" s="31"/>
      <c r="N90" s="31"/>
      <c r="O90" s="31"/>
      <c r="P90" s="32"/>
    </row>
    <row r="91" spans="1:16">
      <c r="A91" s="38" t="s">
        <v>27</v>
      </c>
      <c r="B91" s="1" t="s">
        <v>27</v>
      </c>
      <c r="C91" s="1" t="s">
        <v>27</v>
      </c>
      <c r="D91" s="31"/>
      <c r="E91" s="31"/>
      <c r="F91" s="31"/>
      <c r="G91" s="31"/>
      <c r="H91" s="32"/>
      <c r="I91" s="38" t="s">
        <v>27</v>
      </c>
      <c r="J91" s="1" t="s">
        <v>27</v>
      </c>
      <c r="K91" s="1" t="s">
        <v>27</v>
      </c>
      <c r="L91" s="31"/>
      <c r="M91" s="31"/>
      <c r="N91" s="31"/>
      <c r="O91" s="31"/>
      <c r="P91" s="32"/>
    </row>
    <row r="92" spans="1:16">
      <c r="A92" s="38" t="s">
        <v>27</v>
      </c>
      <c r="B92" s="1" t="s">
        <v>27</v>
      </c>
      <c r="C92" s="1" t="s">
        <v>27</v>
      </c>
      <c r="D92" s="31"/>
      <c r="E92" s="31"/>
      <c r="F92" s="31"/>
      <c r="G92" s="31"/>
      <c r="H92" s="32"/>
      <c r="I92" s="38" t="s">
        <v>27</v>
      </c>
      <c r="J92" s="1" t="s">
        <v>27</v>
      </c>
      <c r="K92" s="1" t="s">
        <v>27</v>
      </c>
      <c r="L92" s="31"/>
      <c r="M92" s="31"/>
      <c r="N92" s="31"/>
      <c r="O92" s="31"/>
      <c r="P92" s="32"/>
    </row>
    <row r="93" spans="1:16">
      <c r="A93" s="38" t="s">
        <v>27</v>
      </c>
      <c r="B93" s="1" t="s">
        <v>27</v>
      </c>
      <c r="C93" s="1" t="s">
        <v>27</v>
      </c>
      <c r="D93" s="31"/>
      <c r="E93" s="31"/>
      <c r="F93" s="31"/>
      <c r="G93" s="31"/>
      <c r="H93" s="32"/>
      <c r="I93" s="38" t="s">
        <v>27</v>
      </c>
      <c r="J93" s="1" t="s">
        <v>27</v>
      </c>
      <c r="K93" s="1" t="s">
        <v>27</v>
      </c>
      <c r="L93" s="31"/>
      <c r="M93" s="31"/>
      <c r="N93" s="31"/>
      <c r="O93" s="31"/>
      <c r="P93" s="32"/>
    </row>
    <row r="94" spans="1:16">
      <c r="A94" s="38" t="s">
        <v>27</v>
      </c>
      <c r="B94" s="1" t="s">
        <v>27</v>
      </c>
      <c r="C94" s="1" t="s">
        <v>27</v>
      </c>
      <c r="D94" s="31"/>
      <c r="E94" s="31"/>
      <c r="F94" s="31"/>
      <c r="G94" s="31"/>
      <c r="H94" s="32"/>
      <c r="I94" s="38" t="s">
        <v>27</v>
      </c>
      <c r="J94" s="1" t="s">
        <v>27</v>
      </c>
      <c r="K94" s="1" t="s">
        <v>27</v>
      </c>
      <c r="L94" s="31"/>
      <c r="M94" s="31"/>
      <c r="N94" s="31"/>
      <c r="O94" s="31"/>
      <c r="P94" s="32"/>
    </row>
    <row r="95" spans="1:16">
      <c r="A95" s="38" t="s">
        <v>27</v>
      </c>
      <c r="B95" s="1" t="s">
        <v>27</v>
      </c>
      <c r="C95" s="1" t="s">
        <v>27</v>
      </c>
      <c r="D95" s="31"/>
      <c r="E95" s="31"/>
      <c r="F95" s="31"/>
      <c r="G95" s="31"/>
      <c r="H95" s="32"/>
      <c r="I95" s="38" t="s">
        <v>27</v>
      </c>
      <c r="J95" s="1" t="s">
        <v>27</v>
      </c>
      <c r="K95" s="1" t="s">
        <v>27</v>
      </c>
      <c r="L95" s="31"/>
      <c r="M95" s="31"/>
      <c r="N95" s="31"/>
      <c r="O95" s="31"/>
      <c r="P95" s="32"/>
    </row>
    <row r="96" spans="1:16">
      <c r="A96" s="38" t="s">
        <v>27</v>
      </c>
      <c r="B96" s="1" t="s">
        <v>27</v>
      </c>
      <c r="C96" s="1" t="s">
        <v>27</v>
      </c>
      <c r="D96" s="31"/>
      <c r="E96" s="31"/>
      <c r="F96" s="31"/>
      <c r="G96" s="31"/>
      <c r="H96" s="32"/>
      <c r="I96" s="38" t="s">
        <v>27</v>
      </c>
      <c r="J96" s="1" t="s">
        <v>27</v>
      </c>
      <c r="K96" s="1" t="s">
        <v>27</v>
      </c>
      <c r="L96" s="31"/>
      <c r="M96" s="31"/>
      <c r="N96" s="31"/>
      <c r="O96" s="31"/>
      <c r="P96" s="32"/>
    </row>
    <row r="97" spans="1:16">
      <c r="A97" s="38" t="s">
        <v>27</v>
      </c>
      <c r="B97" s="1" t="s">
        <v>27</v>
      </c>
      <c r="C97" s="1" t="s">
        <v>27</v>
      </c>
      <c r="D97" s="31"/>
      <c r="E97" s="31"/>
      <c r="F97" s="31"/>
      <c r="G97" s="31"/>
      <c r="H97" s="32"/>
      <c r="I97" s="38" t="s">
        <v>27</v>
      </c>
      <c r="J97" s="1" t="s">
        <v>27</v>
      </c>
      <c r="K97" s="1" t="s">
        <v>27</v>
      </c>
      <c r="L97" s="31"/>
      <c r="M97" s="31"/>
      <c r="N97" s="31"/>
      <c r="O97" s="31"/>
      <c r="P97" s="32"/>
    </row>
    <row r="98" spans="1:16">
      <c r="A98" s="38" t="s">
        <v>27</v>
      </c>
      <c r="B98" s="1" t="s">
        <v>27</v>
      </c>
      <c r="C98" s="1" t="s">
        <v>27</v>
      </c>
      <c r="D98" s="31"/>
      <c r="E98" s="31"/>
      <c r="F98" s="31"/>
      <c r="G98" s="31"/>
      <c r="H98" s="32"/>
      <c r="I98" s="38" t="s">
        <v>27</v>
      </c>
      <c r="J98" s="1" t="s">
        <v>27</v>
      </c>
      <c r="K98" s="1" t="s">
        <v>27</v>
      </c>
      <c r="L98" s="31"/>
      <c r="M98" s="31"/>
      <c r="N98" s="31"/>
      <c r="O98" s="31"/>
      <c r="P98" s="32"/>
    </row>
    <row r="99" spans="1:16">
      <c r="A99" s="38" t="s">
        <v>27</v>
      </c>
      <c r="B99" s="1" t="s">
        <v>27</v>
      </c>
      <c r="C99" s="1" t="s">
        <v>27</v>
      </c>
      <c r="D99" s="31"/>
      <c r="E99" s="31"/>
      <c r="F99" s="31"/>
      <c r="G99" s="31"/>
      <c r="H99" s="32"/>
      <c r="I99" s="38" t="s">
        <v>27</v>
      </c>
      <c r="J99" s="1" t="s">
        <v>27</v>
      </c>
      <c r="K99" s="1" t="s">
        <v>27</v>
      </c>
      <c r="L99" s="31"/>
      <c r="M99" s="31"/>
      <c r="N99" s="31"/>
      <c r="O99" s="31"/>
      <c r="P99" s="32"/>
    </row>
    <row r="100" spans="1:16" ht="15" thickBot="1">
      <c r="A100" s="39" t="s">
        <v>27</v>
      </c>
      <c r="B100" s="40" t="s">
        <v>27</v>
      </c>
      <c r="C100" s="40" t="s">
        <v>27</v>
      </c>
      <c r="D100" s="41"/>
      <c r="E100" s="41"/>
      <c r="F100" s="41"/>
      <c r="G100" s="41"/>
      <c r="H100" s="42"/>
      <c r="I100" s="39" t="s">
        <v>27</v>
      </c>
      <c r="J100" s="40" t="s">
        <v>27</v>
      </c>
      <c r="K100" s="40" t="s">
        <v>27</v>
      </c>
      <c r="L100" s="41"/>
      <c r="M100" s="41"/>
      <c r="N100" s="41"/>
      <c r="O100" s="41"/>
      <c r="P100" s="4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1ED2-2BFB-4479-B6B2-0A5C328F6F1B}">
  <dimension ref="A1:AB100"/>
  <sheetViews>
    <sheetView topLeftCell="F1" workbookViewId="0">
      <selection activeCell="T16" sqref="T16"/>
    </sheetView>
  </sheetViews>
  <sheetFormatPr defaultRowHeight="14.4"/>
  <sheetData>
    <row r="1" spans="1:28" ht="15.6">
      <c r="A1" s="70" t="s">
        <v>30</v>
      </c>
      <c r="B1" s="71"/>
      <c r="C1" s="71"/>
      <c r="D1" s="71"/>
      <c r="E1" s="71"/>
      <c r="F1" s="72" t="s">
        <v>3</v>
      </c>
      <c r="G1" s="72"/>
      <c r="H1" s="27" cm="1">
        <f t="array" ref="H1">SUM(VLOOKUP(A4:C100,$T$3:$W$36,4,FALSE))+H4*10-H8*50</f>
        <v>2489.7752794047424</v>
      </c>
      <c r="I1" s="73" t="s">
        <v>41</v>
      </c>
      <c r="J1" s="74"/>
      <c r="K1" s="74"/>
      <c r="L1" s="74"/>
      <c r="M1" s="74"/>
      <c r="N1" s="74"/>
      <c r="O1" s="74"/>
      <c r="P1" s="75"/>
      <c r="Q1" s="73" t="s">
        <v>48</v>
      </c>
      <c r="R1" s="74"/>
      <c r="S1" s="74"/>
      <c r="T1" s="74"/>
      <c r="U1" s="74"/>
      <c r="V1" s="74"/>
      <c r="W1" s="74"/>
      <c r="X1" s="74"/>
      <c r="Y1" s="74"/>
      <c r="Z1" s="74"/>
      <c r="AA1" s="74"/>
      <c r="AB1" s="75"/>
    </row>
    <row r="2" spans="1:28" ht="28.8">
      <c r="A2" s="76" t="s">
        <v>35</v>
      </c>
      <c r="B2" s="77"/>
      <c r="C2" s="77"/>
      <c r="D2" s="78" t="s">
        <v>37</v>
      </c>
      <c r="E2" s="79"/>
      <c r="F2" s="79"/>
      <c r="G2" s="79"/>
      <c r="H2" s="80"/>
      <c r="I2" s="81" t="s">
        <v>35</v>
      </c>
      <c r="J2" s="82"/>
      <c r="K2" s="82"/>
      <c r="L2" s="83" t="s">
        <v>37</v>
      </c>
      <c r="M2" s="83"/>
      <c r="N2" s="83"/>
      <c r="O2" s="83"/>
      <c r="P2" s="84"/>
      <c r="Q2" s="60" t="s">
        <v>43</v>
      </c>
      <c r="R2" s="61" cm="1">
        <f t="array" ref="R2">SUM(V3:V28*AB3:AB28)+H6+P6+R4*500</f>
        <v>65160</v>
      </c>
      <c r="S2" s="31"/>
      <c r="T2" s="1" t="s">
        <v>0</v>
      </c>
      <c r="U2" s="1" t="s">
        <v>1</v>
      </c>
      <c r="V2" s="1" t="s">
        <v>2</v>
      </c>
      <c r="W2" s="54" t="s">
        <v>3</v>
      </c>
      <c r="X2" s="56" t="s">
        <v>44</v>
      </c>
      <c r="Y2" s="56" t="s">
        <v>56</v>
      </c>
      <c r="Z2" s="57" t="s">
        <v>45</v>
      </c>
      <c r="AA2" s="57" t="s">
        <v>46</v>
      </c>
      <c r="AB2" s="62" t="s">
        <v>47</v>
      </c>
    </row>
    <row r="3" spans="1:28">
      <c r="A3" s="28" t="s">
        <v>31</v>
      </c>
      <c r="B3" s="68" t="s">
        <v>32</v>
      </c>
      <c r="C3" s="20" t="s">
        <v>33</v>
      </c>
      <c r="D3" s="43"/>
      <c r="E3" s="28" t="s">
        <v>31</v>
      </c>
      <c r="F3" s="68" t="s">
        <v>32</v>
      </c>
      <c r="G3" s="20" t="s">
        <v>33</v>
      </c>
      <c r="H3" s="44" t="s">
        <v>36</v>
      </c>
      <c r="I3" s="28" t="s">
        <v>31</v>
      </c>
      <c r="J3" s="68" t="s">
        <v>32</v>
      </c>
      <c r="K3" s="20" t="s">
        <v>33</v>
      </c>
      <c r="L3" s="43"/>
      <c r="M3" s="28" t="s">
        <v>31</v>
      </c>
      <c r="N3" s="68" t="s">
        <v>32</v>
      </c>
      <c r="O3" s="20" t="s">
        <v>33</v>
      </c>
      <c r="P3" s="44" t="s">
        <v>36</v>
      </c>
      <c r="Q3" s="63" t="s">
        <v>49</v>
      </c>
      <c r="R3" s="31">
        <v>91</v>
      </c>
      <c r="S3" s="31"/>
      <c r="T3" s="2" t="s">
        <v>4</v>
      </c>
      <c r="U3" s="1">
        <v>150</v>
      </c>
      <c r="V3" s="1">
        <v>35</v>
      </c>
      <c r="W3" s="55">
        <f>U3-V3/0.330882</f>
        <v>44.222109392472248</v>
      </c>
      <c r="X3" s="56"/>
      <c r="Y3" s="56">
        <v>11</v>
      </c>
      <c r="Z3" s="1">
        <f>COUNTIF($A$4:$C$100,T3)</f>
        <v>6</v>
      </c>
      <c r="AA3" s="1">
        <f>COUNTIF($I$4:$K$100,T3)</f>
        <v>5</v>
      </c>
      <c r="AB3" s="64">
        <f>Y3-Z3-AA3</f>
        <v>0</v>
      </c>
    </row>
    <row r="4" spans="1:28">
      <c r="A4" s="2" t="s">
        <v>4</v>
      </c>
      <c r="B4" s="15" t="s">
        <v>17</v>
      </c>
      <c r="C4" s="3" t="s">
        <v>5</v>
      </c>
      <c r="D4" s="53" t="s">
        <v>34</v>
      </c>
      <c r="E4" s="49">
        <v>5</v>
      </c>
      <c r="F4" s="49">
        <v>0</v>
      </c>
      <c r="G4" s="49">
        <v>1</v>
      </c>
      <c r="H4" s="46">
        <f>SUM(E4:G4)</f>
        <v>6</v>
      </c>
      <c r="I4" s="1" t="s">
        <v>27</v>
      </c>
      <c r="J4" s="15" t="s">
        <v>17</v>
      </c>
      <c r="K4" s="1" t="s">
        <v>27</v>
      </c>
      <c r="L4" s="53" t="s">
        <v>34</v>
      </c>
      <c r="M4" s="49">
        <v>0</v>
      </c>
      <c r="N4" s="49">
        <v>2</v>
      </c>
      <c r="O4" s="49">
        <v>0</v>
      </c>
      <c r="P4" s="46">
        <f>SUM(M4:O4)</f>
        <v>2</v>
      </c>
      <c r="Q4" s="63" t="s">
        <v>50</v>
      </c>
      <c r="R4" s="50">
        <v>14</v>
      </c>
      <c r="S4" s="31"/>
      <c r="T4" s="3" t="s">
        <v>5</v>
      </c>
      <c r="U4" s="1">
        <v>160</v>
      </c>
      <c r="V4" s="1">
        <v>40</v>
      </c>
      <c r="W4" s="55">
        <f t="shared" ref="W4" si="0">U4-V4/0.330882</f>
        <v>39.110982162825422</v>
      </c>
      <c r="X4" s="56"/>
      <c r="Y4" s="56">
        <v>55</v>
      </c>
      <c r="Z4" s="1">
        <f t="shared" ref="Z4:Z28" si="1">COUNTIF($A$4:$C$100,T4)</f>
        <v>13</v>
      </c>
      <c r="AA4" s="1">
        <f t="shared" ref="AA4:AA28" si="2">COUNTIF($I$4:$K$100,T4)</f>
        <v>42</v>
      </c>
      <c r="AB4" s="64">
        <f t="shared" ref="AB4:AB28" si="3">Y4-Z4-AA4</f>
        <v>0</v>
      </c>
    </row>
    <row r="5" spans="1:28">
      <c r="A5" s="2" t="s">
        <v>4</v>
      </c>
      <c r="B5" s="3" t="s">
        <v>5</v>
      </c>
      <c r="C5" s="16" t="s">
        <v>18</v>
      </c>
      <c r="D5" s="43" t="s">
        <v>38</v>
      </c>
      <c r="E5" s="45" cm="1">
        <f t="array" ref="E5">(SUM(VLOOKUP(A4:A100,$T$3:$W$41,2,FALSE))+E4*10)-E8*50</f>
        <v>5670</v>
      </c>
      <c r="F5" s="45" cm="1">
        <f t="array" ref="F5">(SUM(VLOOKUP(B4:B100,$T$3:$W$41,2,FALSE))+F4*10)-F8*50</f>
        <v>850</v>
      </c>
      <c r="G5" s="45" cm="1">
        <f t="array" ref="G5">(SUM(VLOOKUP(C4:C100,$T$3:$W$41,2,FALSE))+G4*10)-G8*50</f>
        <v>6130</v>
      </c>
      <c r="H5" s="69">
        <f t="shared" ref="H5:H8" si="4">SUM(E5:G5)</f>
        <v>12650</v>
      </c>
      <c r="I5" s="1" t="s">
        <v>27</v>
      </c>
      <c r="J5" s="3" t="s">
        <v>5</v>
      </c>
      <c r="K5" s="1" t="s">
        <v>27</v>
      </c>
      <c r="L5" s="43" t="s">
        <v>38</v>
      </c>
      <c r="M5" s="45" cm="1">
        <f t="array" ref="M5">(SUM(VLOOKUP(I4:I100,$T$3:$W$41,2,FALSE))+M4*10)*0.8-M8*40</f>
        <v>0</v>
      </c>
      <c r="N5" s="45" cm="1">
        <f t="array" ref="N5">(SUM(VLOOKUP(J4:J100,$T$3:$W$41,2,FALSE))+N4*10)*0.8-N8*40</f>
        <v>6352</v>
      </c>
      <c r="O5" s="45" cm="1">
        <f t="array" ref="O5">(SUM(VLOOKUP(K4:K100,$T$3:$W$41,2,FALSE))+O4*10)*0.8-O8*40</f>
        <v>0</v>
      </c>
      <c r="P5" s="69">
        <f t="shared" ref="P5:P8" si="5">SUM(M5:O5)</f>
        <v>6352</v>
      </c>
      <c r="Q5" s="63" t="s">
        <v>51</v>
      </c>
      <c r="R5" s="31">
        <v>6000</v>
      </c>
      <c r="S5" s="31"/>
      <c r="T5" s="4" t="s">
        <v>6</v>
      </c>
      <c r="U5" s="1">
        <v>170</v>
      </c>
      <c r="V5" s="1">
        <v>45</v>
      </c>
      <c r="W5" s="55">
        <v>34</v>
      </c>
      <c r="X5" s="58"/>
      <c r="Y5" s="56">
        <v>233</v>
      </c>
      <c r="Z5" s="1">
        <f t="shared" si="1"/>
        <v>48</v>
      </c>
      <c r="AA5" s="1">
        <f t="shared" si="2"/>
        <v>0</v>
      </c>
      <c r="AB5" s="64">
        <f t="shared" si="3"/>
        <v>185</v>
      </c>
    </row>
    <row r="6" spans="1:28">
      <c r="A6" s="2" t="s">
        <v>4</v>
      </c>
      <c r="B6" s="3" t="s">
        <v>5</v>
      </c>
      <c r="C6" s="3" t="s">
        <v>5</v>
      </c>
      <c r="D6" s="43" t="s">
        <v>39</v>
      </c>
      <c r="E6" s="45" cm="1">
        <f t="array" ref="E6">(SUM(VLOOKUP(A4:A100,$T$3:$W$41,3,FALSE)))</f>
        <v>1780</v>
      </c>
      <c r="F6" s="45" cm="1">
        <f t="array" ref="F6">(SUM(VLOOKUP(B4:B100,$T$3:$W$41,3,FALSE)))</f>
        <v>230</v>
      </c>
      <c r="G6" s="45" cm="1">
        <f t="array" ref="G6">(SUM(VLOOKUP(C4:C100,$T$3:$W$41,3,FALSE)))</f>
        <v>2360</v>
      </c>
      <c r="H6" s="59">
        <f t="shared" si="4"/>
        <v>4370</v>
      </c>
      <c r="I6" s="1" t="s">
        <v>27</v>
      </c>
      <c r="J6" s="3" t="s">
        <v>5</v>
      </c>
      <c r="K6" s="1" t="s">
        <v>27</v>
      </c>
      <c r="L6" s="43" t="s">
        <v>39</v>
      </c>
      <c r="M6" s="45" cm="1">
        <f t="array" ref="M6">(SUM(VLOOKUP(I4:I100,$T$3:$W$41,3,FALSE)))</f>
        <v>0</v>
      </c>
      <c r="N6" s="45" cm="1">
        <f t="array" ref="N6">(SUM(VLOOKUP(J4:J100,$T$3:$W$41,3,FALSE)))</f>
        <v>2325</v>
      </c>
      <c r="O6" s="45" cm="1">
        <f t="array" ref="O6">(SUM(VLOOKUP(K4:K100,$T$3:$W$41,3,FALSE)))</f>
        <v>0</v>
      </c>
      <c r="P6" s="59">
        <f t="shared" si="5"/>
        <v>2325</v>
      </c>
      <c r="Q6" s="60" t="s">
        <v>52</v>
      </c>
      <c r="R6" s="31">
        <f>R3*1600-800+R5</f>
        <v>150800</v>
      </c>
      <c r="S6" s="31"/>
      <c r="T6" s="5" t="s">
        <v>7</v>
      </c>
      <c r="U6" s="1">
        <v>180</v>
      </c>
      <c r="V6" s="1">
        <v>50</v>
      </c>
      <c r="W6" s="55">
        <v>36</v>
      </c>
      <c r="X6" s="56">
        <v>265</v>
      </c>
      <c r="Y6" s="56">
        <v>265</v>
      </c>
      <c r="Z6" s="1">
        <f t="shared" si="1"/>
        <v>0</v>
      </c>
      <c r="AA6" s="1">
        <f t="shared" si="2"/>
        <v>0</v>
      </c>
      <c r="AB6" s="64">
        <f t="shared" si="3"/>
        <v>265</v>
      </c>
    </row>
    <row r="7" spans="1:28">
      <c r="A7" s="2" t="s">
        <v>4</v>
      </c>
      <c r="B7" s="3" t="s">
        <v>5</v>
      </c>
      <c r="C7" s="23" t="s">
        <v>29</v>
      </c>
      <c r="D7" s="43" t="s">
        <v>40</v>
      </c>
      <c r="E7" s="45">
        <f>COUNTIF(A4:A100,"&lt;&gt;空")</f>
        <v>35</v>
      </c>
      <c r="F7" s="45">
        <f>COUNTIF(B4:B100,"&lt;&gt;空")</f>
        <v>6</v>
      </c>
      <c r="G7" s="45">
        <f>COUNTIF(C4:C100,"&lt;&gt;空")</f>
        <v>42</v>
      </c>
      <c r="H7" s="46">
        <f t="shared" si="4"/>
        <v>83</v>
      </c>
      <c r="I7" s="1" t="s">
        <v>27</v>
      </c>
      <c r="J7" s="3" t="s">
        <v>5</v>
      </c>
      <c r="K7" s="1" t="s">
        <v>27</v>
      </c>
      <c r="L7" s="43" t="s">
        <v>40</v>
      </c>
      <c r="M7" s="45">
        <f>COUNTIF(I4:I100,"&lt;&gt;空")</f>
        <v>0</v>
      </c>
      <c r="N7" s="45">
        <f>COUNTIF(J4:J100,"&lt;&gt;空")</f>
        <v>64</v>
      </c>
      <c r="O7" s="45">
        <f>COUNTIF(K4:K100,"&lt;&gt;空")</f>
        <v>0</v>
      </c>
      <c r="P7" s="46">
        <f t="shared" si="5"/>
        <v>64</v>
      </c>
      <c r="Q7" s="63" t="s">
        <v>55</v>
      </c>
      <c r="R7" s="31">
        <v>13</v>
      </c>
      <c r="S7" s="31"/>
      <c r="T7" s="6" t="s">
        <v>8</v>
      </c>
      <c r="U7" s="1">
        <v>190</v>
      </c>
      <c r="V7" s="1">
        <v>55</v>
      </c>
      <c r="W7" s="55">
        <v>38</v>
      </c>
      <c r="X7" s="56">
        <v>234</v>
      </c>
      <c r="Y7" s="56">
        <v>234</v>
      </c>
      <c r="Z7" s="1">
        <f t="shared" si="1"/>
        <v>0</v>
      </c>
      <c r="AA7" s="1">
        <f t="shared" si="2"/>
        <v>0</v>
      </c>
      <c r="AB7" s="64">
        <f t="shared" si="3"/>
        <v>234</v>
      </c>
    </row>
    <row r="8" spans="1:28">
      <c r="A8" s="2" t="s">
        <v>4</v>
      </c>
      <c r="B8" s="3" t="s">
        <v>5</v>
      </c>
      <c r="C8" s="3" t="s">
        <v>5</v>
      </c>
      <c r="D8" s="52" t="s">
        <v>53</v>
      </c>
      <c r="E8" s="51">
        <v>1</v>
      </c>
      <c r="F8" s="51">
        <v>0</v>
      </c>
      <c r="G8" s="51">
        <v>0</v>
      </c>
      <c r="H8" s="46">
        <f t="shared" si="4"/>
        <v>1</v>
      </c>
      <c r="I8" s="1" t="s">
        <v>27</v>
      </c>
      <c r="J8" s="3" t="s">
        <v>5</v>
      </c>
      <c r="K8" s="1" t="s">
        <v>27</v>
      </c>
      <c r="L8" s="52" t="s">
        <v>53</v>
      </c>
      <c r="M8" s="51">
        <v>0</v>
      </c>
      <c r="N8" s="51">
        <v>2</v>
      </c>
      <c r="O8" s="51">
        <v>0</v>
      </c>
      <c r="P8" s="46">
        <f t="shared" si="5"/>
        <v>2</v>
      </c>
      <c r="Q8" s="60" t="s">
        <v>54</v>
      </c>
      <c r="R8" s="65" cm="1">
        <f t="array" ref="R8">R6-P5-H5-SUM(U3:U28*AB3:AB28)*0.8-R7*8</f>
        <v>6</v>
      </c>
      <c r="S8" s="31"/>
      <c r="T8" s="7" t="s">
        <v>9</v>
      </c>
      <c r="U8" s="1">
        <v>200</v>
      </c>
      <c r="V8" s="1">
        <v>60</v>
      </c>
      <c r="W8" s="55"/>
      <c r="X8" s="56">
        <v>194</v>
      </c>
      <c r="Y8" s="56">
        <v>194</v>
      </c>
      <c r="Z8" s="1">
        <f t="shared" si="1"/>
        <v>0</v>
      </c>
      <c r="AA8" s="1">
        <f t="shared" si="2"/>
        <v>0</v>
      </c>
      <c r="AB8" s="64">
        <f t="shared" si="3"/>
        <v>194</v>
      </c>
    </row>
    <row r="9" spans="1:28">
      <c r="A9" s="2" t="s">
        <v>4</v>
      </c>
      <c r="B9" s="3" t="s">
        <v>5</v>
      </c>
      <c r="C9" s="3" t="s">
        <v>5</v>
      </c>
      <c r="D9" s="31"/>
      <c r="E9" s="31"/>
      <c r="F9" s="31"/>
      <c r="G9" s="31"/>
      <c r="H9" s="32"/>
      <c r="I9" s="1" t="s">
        <v>27</v>
      </c>
      <c r="J9" s="15" t="s">
        <v>17</v>
      </c>
      <c r="K9" s="1" t="s">
        <v>27</v>
      </c>
      <c r="L9" s="43" t="s">
        <v>42</v>
      </c>
      <c r="M9" s="47" t="e">
        <f>M6/M5</f>
        <v>#DIV/0!</v>
      </c>
      <c r="N9" s="47">
        <f>N6/N5</f>
        <v>0.36602644836272041</v>
      </c>
      <c r="O9" s="47" t="e">
        <f>O6/O5</f>
        <v>#DIV/0!</v>
      </c>
      <c r="P9" s="48">
        <f>P6/P5</f>
        <v>0.36602644836272041</v>
      </c>
      <c r="Q9" s="60"/>
      <c r="R9" s="31"/>
      <c r="S9" s="31"/>
      <c r="T9" s="8" t="s">
        <v>10</v>
      </c>
      <c r="U9" s="1">
        <v>150</v>
      </c>
      <c r="V9" s="1">
        <v>35</v>
      </c>
      <c r="W9" s="55">
        <f t="shared" ref="W9:W11" si="6">U9-V9/0.330882</f>
        <v>44.222109392472248</v>
      </c>
      <c r="X9" s="56">
        <v>3</v>
      </c>
      <c r="Y9" s="56">
        <v>0</v>
      </c>
      <c r="Z9" s="1">
        <f t="shared" si="1"/>
        <v>0</v>
      </c>
      <c r="AA9" s="1">
        <f t="shared" si="2"/>
        <v>0</v>
      </c>
      <c r="AB9" s="64">
        <f t="shared" si="3"/>
        <v>0</v>
      </c>
    </row>
    <row r="10" spans="1:28">
      <c r="A10" s="1" t="s">
        <v>27</v>
      </c>
      <c r="B10" s="1" t="s">
        <v>27</v>
      </c>
      <c r="C10" s="3" t="s">
        <v>5</v>
      </c>
      <c r="D10" s="31"/>
      <c r="E10" s="31"/>
      <c r="F10" s="31"/>
      <c r="G10" s="31"/>
      <c r="H10" s="32"/>
      <c r="I10" s="1" t="s">
        <v>27</v>
      </c>
      <c r="J10" s="1" t="s">
        <v>27</v>
      </c>
      <c r="K10" s="1" t="s">
        <v>27</v>
      </c>
      <c r="L10" s="31"/>
      <c r="M10" s="31"/>
      <c r="N10" s="31"/>
      <c r="O10" s="31"/>
      <c r="P10" s="32"/>
      <c r="Q10" s="60"/>
      <c r="R10" s="31"/>
      <c r="S10" s="31"/>
      <c r="T10" s="9" t="s">
        <v>11</v>
      </c>
      <c r="U10" s="1">
        <v>150</v>
      </c>
      <c r="V10" s="1">
        <v>40</v>
      </c>
      <c r="W10" s="55">
        <f t="shared" si="6"/>
        <v>29.110982162825422</v>
      </c>
      <c r="X10" s="56">
        <v>7</v>
      </c>
      <c r="Y10" s="56">
        <v>2</v>
      </c>
      <c r="Z10" s="1">
        <f t="shared" si="1"/>
        <v>0</v>
      </c>
      <c r="AA10" s="1">
        <f t="shared" si="2"/>
        <v>2</v>
      </c>
      <c r="AB10" s="64">
        <f t="shared" si="3"/>
        <v>0</v>
      </c>
    </row>
    <row r="11" spans="1:28">
      <c r="A11" s="1" t="s">
        <v>27</v>
      </c>
      <c r="B11" s="1" t="s">
        <v>27</v>
      </c>
      <c r="C11" s="3" t="s">
        <v>5</v>
      </c>
      <c r="D11" s="31"/>
      <c r="E11" s="31"/>
      <c r="F11" s="31"/>
      <c r="G11" s="31"/>
      <c r="H11" s="32"/>
      <c r="I11" s="1" t="s">
        <v>27</v>
      </c>
      <c r="J11" s="3" t="s">
        <v>5</v>
      </c>
      <c r="K11" s="1" t="s">
        <v>27</v>
      </c>
      <c r="L11" s="31"/>
      <c r="M11" s="31"/>
      <c r="N11" s="31"/>
      <c r="O11" s="31"/>
      <c r="P11" s="32">
        <f>H5+P5</f>
        <v>19002</v>
      </c>
      <c r="Q11" s="60"/>
      <c r="R11" s="31"/>
      <c r="S11" s="31"/>
      <c r="T11" s="10" t="s">
        <v>12</v>
      </c>
      <c r="U11" s="1">
        <v>150</v>
      </c>
      <c r="V11" s="1">
        <v>45</v>
      </c>
      <c r="W11" s="55">
        <f t="shared" si="6"/>
        <v>13.999854933178597</v>
      </c>
      <c r="X11" s="56">
        <v>6</v>
      </c>
      <c r="Y11" s="56">
        <v>6</v>
      </c>
      <c r="Z11" s="1">
        <f t="shared" si="1"/>
        <v>1</v>
      </c>
      <c r="AA11" s="1">
        <f t="shared" si="2"/>
        <v>0</v>
      </c>
      <c r="AB11" s="64">
        <f t="shared" si="3"/>
        <v>5</v>
      </c>
    </row>
    <row r="12" spans="1:28">
      <c r="A12" s="1" t="s">
        <v>27</v>
      </c>
      <c r="B12" s="1" t="s">
        <v>27</v>
      </c>
      <c r="C12" s="3" t="s">
        <v>5</v>
      </c>
      <c r="D12" s="31"/>
      <c r="E12" s="31"/>
      <c r="F12" s="31"/>
      <c r="G12" s="31"/>
      <c r="H12" s="32"/>
      <c r="I12" s="1" t="s">
        <v>27</v>
      </c>
      <c r="J12" s="16" t="s">
        <v>28</v>
      </c>
      <c r="K12" s="1" t="s">
        <v>27</v>
      </c>
      <c r="L12" s="31"/>
      <c r="M12" s="31"/>
      <c r="N12" s="31"/>
      <c r="O12" s="31"/>
      <c r="P12" s="32">
        <f>H6+P6</f>
        <v>6695</v>
      </c>
      <c r="Q12" s="60"/>
      <c r="R12" s="31"/>
      <c r="S12" s="31"/>
      <c r="T12" s="11" t="s">
        <v>13</v>
      </c>
      <c r="U12" s="1">
        <v>150</v>
      </c>
      <c r="V12" s="1">
        <v>50</v>
      </c>
      <c r="W12" s="55"/>
      <c r="X12" s="56">
        <v>4</v>
      </c>
      <c r="Y12" s="56">
        <v>4</v>
      </c>
      <c r="Z12" s="1">
        <f t="shared" si="1"/>
        <v>0</v>
      </c>
      <c r="AA12" s="1">
        <f t="shared" si="2"/>
        <v>0</v>
      </c>
      <c r="AB12" s="64">
        <f t="shared" si="3"/>
        <v>4</v>
      </c>
    </row>
    <row r="13" spans="1:28">
      <c r="A13" s="1" t="s">
        <v>27</v>
      </c>
      <c r="B13" s="1" t="s">
        <v>27</v>
      </c>
      <c r="C13" s="3" t="s">
        <v>5</v>
      </c>
      <c r="D13" s="31"/>
      <c r="E13" s="31"/>
      <c r="F13" s="31"/>
      <c r="G13" s="31"/>
      <c r="H13" s="32"/>
      <c r="I13" s="1" t="s">
        <v>27</v>
      </c>
      <c r="J13" s="3" t="s">
        <v>5</v>
      </c>
      <c r="K13" s="1" t="s">
        <v>27</v>
      </c>
      <c r="L13" s="31"/>
      <c r="M13" s="31"/>
      <c r="N13" s="31"/>
      <c r="O13" s="31"/>
      <c r="P13" s="32"/>
      <c r="Q13" s="60"/>
      <c r="R13" s="31"/>
      <c r="S13" s="31"/>
      <c r="T13" s="12" t="s">
        <v>14</v>
      </c>
      <c r="U13" s="1">
        <v>150</v>
      </c>
      <c r="V13" s="1">
        <v>55</v>
      </c>
      <c r="W13" s="55"/>
      <c r="X13" s="56">
        <v>3</v>
      </c>
      <c r="Y13" s="56">
        <v>3</v>
      </c>
      <c r="Z13" s="1">
        <f t="shared" si="1"/>
        <v>0</v>
      </c>
      <c r="AA13" s="1">
        <f t="shared" si="2"/>
        <v>0</v>
      </c>
      <c r="AB13" s="64">
        <f t="shared" si="3"/>
        <v>3</v>
      </c>
    </row>
    <row r="14" spans="1:28">
      <c r="A14" s="1" t="s">
        <v>27</v>
      </c>
      <c r="B14" s="1" t="s">
        <v>27</v>
      </c>
      <c r="C14" s="4" t="s">
        <v>6</v>
      </c>
      <c r="D14" s="31"/>
      <c r="E14" s="31"/>
      <c r="F14" s="31"/>
      <c r="G14" s="31"/>
      <c r="H14" s="32"/>
      <c r="I14" s="1" t="s">
        <v>27</v>
      </c>
      <c r="J14" s="3" t="s">
        <v>5</v>
      </c>
      <c r="K14" s="1" t="s">
        <v>27</v>
      </c>
      <c r="L14" s="31"/>
      <c r="M14" s="31"/>
      <c r="N14" s="31"/>
      <c r="O14" s="31"/>
      <c r="P14" s="32"/>
      <c r="Q14" s="60"/>
      <c r="R14" s="31"/>
      <c r="S14" s="31"/>
      <c r="T14" s="13" t="s">
        <v>15</v>
      </c>
      <c r="U14" s="1">
        <v>150</v>
      </c>
      <c r="V14" s="1">
        <v>60</v>
      </c>
      <c r="W14" s="55"/>
      <c r="X14" s="56">
        <v>1</v>
      </c>
      <c r="Y14" s="56">
        <v>1</v>
      </c>
      <c r="Z14" s="1">
        <f t="shared" si="1"/>
        <v>0</v>
      </c>
      <c r="AA14" s="1">
        <f t="shared" si="2"/>
        <v>0</v>
      </c>
      <c r="AB14" s="64">
        <f t="shared" si="3"/>
        <v>1</v>
      </c>
    </row>
    <row r="15" spans="1:28">
      <c r="A15" s="4" t="s">
        <v>6</v>
      </c>
      <c r="B15" s="1" t="s">
        <v>27</v>
      </c>
      <c r="C15" s="4" t="s">
        <v>6</v>
      </c>
      <c r="D15" s="31"/>
      <c r="E15" s="31"/>
      <c r="F15" s="31"/>
      <c r="G15" s="31"/>
      <c r="H15" s="32"/>
      <c r="I15" s="1" t="s">
        <v>27</v>
      </c>
      <c r="J15" s="15" t="s">
        <v>17</v>
      </c>
      <c r="K15" s="1" t="s">
        <v>27</v>
      </c>
      <c r="L15" s="31"/>
      <c r="M15" s="31"/>
      <c r="N15" s="31"/>
      <c r="O15" s="31"/>
      <c r="P15" s="32"/>
      <c r="Q15" s="60"/>
      <c r="R15" s="31"/>
      <c r="S15" s="31"/>
      <c r="T15" s="14" t="s">
        <v>16</v>
      </c>
      <c r="U15" s="1">
        <v>150</v>
      </c>
      <c r="V15" s="1">
        <v>35</v>
      </c>
      <c r="W15" s="55">
        <f t="shared" ref="W15" si="7">U15-V15/0.330882</f>
        <v>44.222109392472248</v>
      </c>
      <c r="X15" s="56"/>
      <c r="Y15" s="56">
        <v>0</v>
      </c>
      <c r="Z15" s="1">
        <f t="shared" si="1"/>
        <v>0</v>
      </c>
      <c r="AA15" s="1">
        <f t="shared" si="2"/>
        <v>0</v>
      </c>
      <c r="AB15" s="64">
        <f t="shared" si="3"/>
        <v>0</v>
      </c>
    </row>
    <row r="16" spans="1:28">
      <c r="A16" s="4" t="s">
        <v>6</v>
      </c>
      <c r="B16" s="1" t="s">
        <v>27</v>
      </c>
      <c r="C16" s="15" t="s">
        <v>17</v>
      </c>
      <c r="D16" s="31"/>
      <c r="E16" s="31"/>
      <c r="F16" s="31"/>
      <c r="G16" s="31"/>
      <c r="H16" s="32"/>
      <c r="I16" s="1" t="s">
        <v>27</v>
      </c>
      <c r="J16" s="3" t="s">
        <v>5</v>
      </c>
      <c r="K16" s="1" t="s">
        <v>27</v>
      </c>
      <c r="L16" s="31"/>
      <c r="M16" s="31"/>
      <c r="N16" s="31"/>
      <c r="O16" s="31"/>
      <c r="P16" s="32"/>
      <c r="Q16" s="60"/>
      <c r="R16" s="31"/>
      <c r="S16" s="31"/>
      <c r="T16" s="15" t="s">
        <v>17</v>
      </c>
      <c r="U16" s="1">
        <v>50</v>
      </c>
      <c r="V16" s="1">
        <v>30</v>
      </c>
      <c r="W16" s="55">
        <v>10</v>
      </c>
      <c r="X16" s="56">
        <v>40</v>
      </c>
      <c r="Y16" s="56">
        <v>39</v>
      </c>
      <c r="Z16" s="1">
        <f t="shared" si="1"/>
        <v>3</v>
      </c>
      <c r="AA16" s="1">
        <f t="shared" si="2"/>
        <v>13</v>
      </c>
      <c r="AB16" s="64">
        <f t="shared" si="3"/>
        <v>23</v>
      </c>
    </row>
    <row r="17" spans="1:28">
      <c r="A17" s="4" t="s">
        <v>6</v>
      </c>
      <c r="B17" s="1" t="s">
        <v>27</v>
      </c>
      <c r="C17" s="4" t="s">
        <v>6</v>
      </c>
      <c r="D17" s="31"/>
      <c r="E17" s="31"/>
      <c r="F17" s="31"/>
      <c r="G17" s="31"/>
      <c r="H17" s="32"/>
      <c r="I17" s="1" t="s">
        <v>27</v>
      </c>
      <c r="J17" s="2" t="s">
        <v>4</v>
      </c>
      <c r="K17" s="1" t="s">
        <v>27</v>
      </c>
      <c r="L17" s="31"/>
      <c r="M17" s="31"/>
      <c r="N17" s="31"/>
      <c r="O17" s="31"/>
      <c r="P17" s="32"/>
      <c r="Q17" s="60"/>
      <c r="R17" s="31"/>
      <c r="S17" s="31"/>
      <c r="T17" s="16" t="s">
        <v>18</v>
      </c>
      <c r="U17" s="1">
        <v>-150</v>
      </c>
      <c r="V17" s="1">
        <v>0</v>
      </c>
      <c r="W17" s="55">
        <v>10</v>
      </c>
      <c r="X17" s="56">
        <v>3</v>
      </c>
      <c r="Y17" s="56">
        <v>3</v>
      </c>
      <c r="Z17" s="1">
        <f t="shared" si="1"/>
        <v>3</v>
      </c>
      <c r="AA17" s="1">
        <f t="shared" si="2"/>
        <v>0</v>
      </c>
      <c r="AB17" s="64">
        <f t="shared" si="3"/>
        <v>0</v>
      </c>
    </row>
    <row r="18" spans="1:28">
      <c r="A18" s="17" t="s">
        <v>19</v>
      </c>
      <c r="B18" s="1" t="s">
        <v>27</v>
      </c>
      <c r="C18" s="4" t="s">
        <v>6</v>
      </c>
      <c r="D18" s="31"/>
      <c r="E18" s="31"/>
      <c r="F18" s="31"/>
      <c r="G18" s="31"/>
      <c r="H18" s="32"/>
      <c r="I18" s="1" t="s">
        <v>27</v>
      </c>
      <c r="J18" s="2" t="s">
        <v>4</v>
      </c>
      <c r="K18" s="1" t="s">
        <v>27</v>
      </c>
      <c r="L18" s="31"/>
      <c r="M18" s="31"/>
      <c r="N18" s="31"/>
      <c r="O18" s="31"/>
      <c r="P18" s="32"/>
      <c r="Q18" s="60"/>
      <c r="R18" s="31"/>
      <c r="S18" s="31"/>
      <c r="T18" s="17" t="s">
        <v>19</v>
      </c>
      <c r="U18" s="1">
        <v>250</v>
      </c>
      <c r="V18" s="1">
        <v>200</v>
      </c>
      <c r="W18" s="55"/>
      <c r="X18" s="56">
        <v>3</v>
      </c>
      <c r="Y18" s="56">
        <v>3</v>
      </c>
      <c r="Z18" s="1">
        <f t="shared" si="1"/>
        <v>3</v>
      </c>
      <c r="AA18" s="1">
        <f t="shared" si="2"/>
        <v>0</v>
      </c>
      <c r="AB18" s="64">
        <f t="shared" si="3"/>
        <v>0</v>
      </c>
    </row>
    <row r="19" spans="1:28">
      <c r="A19" s="4" t="s">
        <v>6</v>
      </c>
      <c r="B19" s="1" t="s">
        <v>27</v>
      </c>
      <c r="C19" s="4" t="s">
        <v>6</v>
      </c>
      <c r="D19" s="31"/>
      <c r="E19" s="31"/>
      <c r="F19" s="31"/>
      <c r="G19" s="31"/>
      <c r="H19" s="32"/>
      <c r="I19" s="1" t="s">
        <v>27</v>
      </c>
      <c r="J19" s="15" t="s">
        <v>17</v>
      </c>
      <c r="K19" s="1" t="s">
        <v>27</v>
      </c>
      <c r="L19" s="31"/>
      <c r="M19" s="31"/>
      <c r="N19" s="31"/>
      <c r="O19" s="31"/>
      <c r="P19" s="32"/>
      <c r="Q19" s="60"/>
      <c r="R19" s="31"/>
      <c r="S19" s="31"/>
      <c r="T19" s="17" t="s">
        <v>20</v>
      </c>
      <c r="U19" s="1">
        <v>170</v>
      </c>
      <c r="V19" s="1">
        <v>45</v>
      </c>
      <c r="W19" s="55"/>
      <c r="X19" s="56">
        <v>5</v>
      </c>
      <c r="Y19" s="56">
        <v>5</v>
      </c>
      <c r="Z19" s="1">
        <f t="shared" si="1"/>
        <v>5</v>
      </c>
      <c r="AA19" s="1">
        <f t="shared" si="2"/>
        <v>0</v>
      </c>
      <c r="AB19" s="64">
        <f t="shared" si="3"/>
        <v>0</v>
      </c>
    </row>
    <row r="20" spans="1:28">
      <c r="A20" s="4" t="s">
        <v>6</v>
      </c>
      <c r="B20" s="1" t="s">
        <v>27</v>
      </c>
      <c r="C20" s="17" t="s">
        <v>20</v>
      </c>
      <c r="D20" s="31"/>
      <c r="E20" s="31"/>
      <c r="F20" s="31"/>
      <c r="G20" s="31"/>
      <c r="H20" s="32"/>
      <c r="I20" s="1" t="s">
        <v>27</v>
      </c>
      <c r="J20" s="2" t="s">
        <v>4</v>
      </c>
      <c r="K20" s="1" t="s">
        <v>27</v>
      </c>
      <c r="L20" s="31"/>
      <c r="M20" s="31"/>
      <c r="N20" s="31"/>
      <c r="O20" s="31"/>
      <c r="P20" s="32"/>
      <c r="Q20" s="60"/>
      <c r="R20" s="31"/>
      <c r="S20" s="31"/>
      <c r="T20" s="18" t="s">
        <v>21</v>
      </c>
      <c r="U20" s="1">
        <v>250</v>
      </c>
      <c r="V20" s="1">
        <v>200</v>
      </c>
      <c r="W20" s="55"/>
      <c r="X20" s="56">
        <v>0</v>
      </c>
      <c r="Y20" s="56">
        <v>0</v>
      </c>
      <c r="Z20" s="1">
        <f t="shared" si="1"/>
        <v>0</v>
      </c>
      <c r="AA20" s="1">
        <f t="shared" si="2"/>
        <v>0</v>
      </c>
      <c r="AB20" s="64">
        <f t="shared" si="3"/>
        <v>0</v>
      </c>
    </row>
    <row r="21" spans="1:28">
      <c r="A21" s="4" t="s">
        <v>6</v>
      </c>
      <c r="B21" s="1" t="s">
        <v>27</v>
      </c>
      <c r="C21" s="4" t="s">
        <v>6</v>
      </c>
      <c r="D21" s="31"/>
      <c r="E21" s="31"/>
      <c r="F21" s="31"/>
      <c r="G21" s="31"/>
      <c r="H21" s="32"/>
      <c r="I21" s="1" t="s">
        <v>27</v>
      </c>
      <c r="J21" s="2" t="s">
        <v>4</v>
      </c>
      <c r="K21" s="1" t="s">
        <v>27</v>
      </c>
      <c r="L21" s="31"/>
      <c r="M21" s="31"/>
      <c r="N21" s="31"/>
      <c r="O21" s="31"/>
      <c r="P21" s="32"/>
      <c r="Q21" s="60"/>
      <c r="R21" s="31"/>
      <c r="S21" s="31"/>
      <c r="T21" s="19" t="s">
        <v>22</v>
      </c>
      <c r="U21" s="1">
        <v>250</v>
      </c>
      <c r="V21" s="1">
        <v>1000</v>
      </c>
      <c r="W21" s="55"/>
      <c r="X21" s="56">
        <v>2</v>
      </c>
      <c r="Y21" s="56">
        <v>2</v>
      </c>
      <c r="Z21" s="1">
        <f t="shared" si="1"/>
        <v>0</v>
      </c>
      <c r="AA21" s="1">
        <f t="shared" si="2"/>
        <v>0</v>
      </c>
      <c r="AB21" s="64">
        <f t="shared" si="3"/>
        <v>2</v>
      </c>
    </row>
    <row r="22" spans="1:28">
      <c r="A22" s="16" t="s">
        <v>18</v>
      </c>
      <c r="B22" s="1" t="s">
        <v>27</v>
      </c>
      <c r="C22" s="4" t="s">
        <v>6</v>
      </c>
      <c r="D22" s="31"/>
      <c r="E22" s="31"/>
      <c r="F22" s="31"/>
      <c r="G22" s="31"/>
      <c r="H22" s="32"/>
      <c r="I22" s="1" t="s">
        <v>27</v>
      </c>
      <c r="J22" s="2" t="s">
        <v>4</v>
      </c>
      <c r="K22" s="1" t="s">
        <v>27</v>
      </c>
      <c r="L22" s="31"/>
      <c r="M22" s="31"/>
      <c r="N22" s="31"/>
      <c r="O22" s="31"/>
      <c r="P22" s="32"/>
      <c r="Q22" s="60"/>
      <c r="R22" s="31"/>
      <c r="S22" s="31"/>
      <c r="T22" s="20" t="s">
        <v>23</v>
      </c>
      <c r="U22" s="1">
        <v>250</v>
      </c>
      <c r="V22" s="1">
        <v>500</v>
      </c>
      <c r="W22" s="55"/>
      <c r="X22" s="56">
        <v>2</v>
      </c>
      <c r="Y22" s="56">
        <v>2</v>
      </c>
      <c r="Z22" s="1">
        <f t="shared" si="1"/>
        <v>0</v>
      </c>
      <c r="AA22" s="1">
        <f t="shared" si="2"/>
        <v>0</v>
      </c>
      <c r="AB22" s="64">
        <f t="shared" si="3"/>
        <v>2</v>
      </c>
    </row>
    <row r="23" spans="1:28">
      <c r="A23" s="4" t="s">
        <v>6</v>
      </c>
      <c r="B23" s="1" t="s">
        <v>27</v>
      </c>
      <c r="C23" s="4" t="s">
        <v>6</v>
      </c>
      <c r="D23" s="31"/>
      <c r="E23" s="31"/>
      <c r="F23" s="31"/>
      <c r="G23" s="31"/>
      <c r="H23" s="32"/>
      <c r="I23" s="1" t="s">
        <v>27</v>
      </c>
      <c r="J23" s="15" t="s">
        <v>17</v>
      </c>
      <c r="K23" s="1" t="s">
        <v>27</v>
      </c>
      <c r="L23" s="31"/>
      <c r="M23" s="31"/>
      <c r="N23" s="31"/>
      <c r="O23" s="31"/>
      <c r="P23" s="32"/>
      <c r="Q23" s="60"/>
      <c r="R23" s="31"/>
      <c r="S23" s="31"/>
      <c r="T23" s="21" t="s">
        <v>24</v>
      </c>
      <c r="U23" s="1">
        <v>160</v>
      </c>
      <c r="V23" s="1">
        <v>40</v>
      </c>
      <c r="W23" s="55">
        <f t="shared" ref="W23:W26" si="8">U23-V23/0.330882</f>
        <v>39.110982162825422</v>
      </c>
      <c r="X23" s="56">
        <v>0</v>
      </c>
      <c r="Y23" s="56">
        <v>0</v>
      </c>
      <c r="Z23" s="1">
        <f t="shared" si="1"/>
        <v>0</v>
      </c>
      <c r="AA23" s="1">
        <f t="shared" si="2"/>
        <v>0</v>
      </c>
      <c r="AB23" s="64">
        <f t="shared" si="3"/>
        <v>0</v>
      </c>
    </row>
    <row r="24" spans="1:28">
      <c r="A24" s="4" t="s">
        <v>6</v>
      </c>
      <c r="B24" s="1" t="s">
        <v>27</v>
      </c>
      <c r="C24" s="4" t="s">
        <v>6</v>
      </c>
      <c r="D24" s="31"/>
      <c r="E24" s="31"/>
      <c r="F24" s="31"/>
      <c r="G24" s="31"/>
      <c r="H24" s="32"/>
      <c r="I24" s="1" t="s">
        <v>27</v>
      </c>
      <c r="J24" s="1" t="s">
        <v>27</v>
      </c>
      <c r="K24" s="1" t="s">
        <v>27</v>
      </c>
      <c r="L24" s="31"/>
      <c r="M24" s="31"/>
      <c r="N24" s="31"/>
      <c r="O24" s="31"/>
      <c r="P24" s="32"/>
      <c r="Q24" s="60"/>
      <c r="R24" s="31"/>
      <c r="S24" s="31"/>
      <c r="T24" s="21" t="s">
        <v>25</v>
      </c>
      <c r="U24" s="1">
        <v>160</v>
      </c>
      <c r="V24" s="1">
        <v>40</v>
      </c>
      <c r="W24" s="55">
        <f t="shared" si="8"/>
        <v>39.110982162825422</v>
      </c>
      <c r="X24" s="56">
        <v>0</v>
      </c>
      <c r="Y24" s="56">
        <v>0</v>
      </c>
      <c r="Z24" s="1">
        <f t="shared" si="1"/>
        <v>0</v>
      </c>
      <c r="AA24" s="1">
        <f t="shared" si="2"/>
        <v>0</v>
      </c>
      <c r="AB24" s="64">
        <f t="shared" si="3"/>
        <v>0</v>
      </c>
    </row>
    <row r="25" spans="1:28">
      <c r="A25" s="4" t="s">
        <v>6</v>
      </c>
      <c r="B25" s="1" t="s">
        <v>27</v>
      </c>
      <c r="C25" s="4" t="s">
        <v>6</v>
      </c>
      <c r="D25" s="31"/>
      <c r="E25" s="31"/>
      <c r="F25" s="31"/>
      <c r="G25" s="31"/>
      <c r="H25" s="32"/>
      <c r="I25" s="1" t="s">
        <v>27</v>
      </c>
      <c r="J25" s="3" t="s">
        <v>5</v>
      </c>
      <c r="K25" s="1" t="s">
        <v>27</v>
      </c>
      <c r="L25" s="31"/>
      <c r="M25" s="31"/>
      <c r="N25" s="31"/>
      <c r="O25" s="31"/>
      <c r="P25" s="32"/>
      <c r="Q25" s="60"/>
      <c r="R25" s="31"/>
      <c r="S25" s="31"/>
      <c r="T25" s="21" t="s">
        <v>26</v>
      </c>
      <c r="U25" s="1">
        <v>150</v>
      </c>
      <c r="V25" s="1">
        <v>35</v>
      </c>
      <c r="W25" s="55">
        <f t="shared" si="8"/>
        <v>44.222109392472248</v>
      </c>
      <c r="X25" s="56">
        <v>0</v>
      </c>
      <c r="Y25" s="56">
        <v>0</v>
      </c>
      <c r="Z25" s="1">
        <f t="shared" si="1"/>
        <v>0</v>
      </c>
      <c r="AA25" s="1">
        <f t="shared" si="2"/>
        <v>0</v>
      </c>
      <c r="AB25" s="64">
        <f t="shared" si="3"/>
        <v>0</v>
      </c>
    </row>
    <row r="26" spans="1:28">
      <c r="A26" s="17" t="s">
        <v>20</v>
      </c>
      <c r="B26" s="1" t="s">
        <v>27</v>
      </c>
      <c r="C26" s="4" t="s">
        <v>6</v>
      </c>
      <c r="D26" s="31"/>
      <c r="E26" s="31"/>
      <c r="F26" s="31"/>
      <c r="G26" s="31"/>
      <c r="H26" s="32"/>
      <c r="I26" s="1" t="s">
        <v>27</v>
      </c>
      <c r="J26" s="15" t="s">
        <v>17</v>
      </c>
      <c r="K26" s="1" t="s">
        <v>27</v>
      </c>
      <c r="L26" s="31"/>
      <c r="M26" s="31"/>
      <c r="N26" s="31"/>
      <c r="O26" s="31"/>
      <c r="P26" s="32"/>
      <c r="Q26" s="60"/>
      <c r="R26" s="31"/>
      <c r="S26" s="31"/>
      <c r="T26" s="22" t="s">
        <v>27</v>
      </c>
      <c r="U26" s="1">
        <v>0</v>
      </c>
      <c r="V26" s="1">
        <v>0</v>
      </c>
      <c r="W26" s="55">
        <f t="shared" si="8"/>
        <v>0</v>
      </c>
      <c r="X26" s="56">
        <v>0</v>
      </c>
      <c r="Y26" s="56">
        <v>0</v>
      </c>
      <c r="Z26" s="1"/>
      <c r="AA26" s="1"/>
      <c r="AB26" s="64"/>
    </row>
    <row r="27" spans="1:28">
      <c r="A27" s="4" t="s">
        <v>6</v>
      </c>
      <c r="B27" s="1" t="s">
        <v>27</v>
      </c>
      <c r="C27" s="4" t="s">
        <v>6</v>
      </c>
      <c r="D27" s="31"/>
      <c r="E27" s="31"/>
      <c r="F27" s="31"/>
      <c r="G27" s="31"/>
      <c r="H27" s="32"/>
      <c r="I27" s="1" t="s">
        <v>27</v>
      </c>
      <c r="J27" s="3" t="s">
        <v>5</v>
      </c>
      <c r="K27" s="1" t="s">
        <v>27</v>
      </c>
      <c r="L27" s="31"/>
      <c r="M27" s="31"/>
      <c r="N27" s="31"/>
      <c r="O27" s="31"/>
      <c r="P27" s="32"/>
      <c r="Q27" s="60"/>
      <c r="R27" s="31"/>
      <c r="S27" s="31"/>
      <c r="T27" s="16" t="s">
        <v>28</v>
      </c>
      <c r="U27" s="1">
        <v>-200</v>
      </c>
      <c r="V27" s="1">
        <v>0</v>
      </c>
      <c r="W27" s="55"/>
      <c r="X27" s="56">
        <v>12</v>
      </c>
      <c r="Y27" s="56">
        <v>12</v>
      </c>
      <c r="Z27" s="1">
        <f t="shared" si="1"/>
        <v>0</v>
      </c>
      <c r="AA27" s="1">
        <f t="shared" si="2"/>
        <v>2</v>
      </c>
      <c r="AB27" s="64">
        <f t="shared" si="3"/>
        <v>10</v>
      </c>
    </row>
    <row r="28" spans="1:28">
      <c r="A28" s="4" t="s">
        <v>6</v>
      </c>
      <c r="B28" s="1" t="s">
        <v>27</v>
      </c>
      <c r="C28" s="17" t="s">
        <v>20</v>
      </c>
      <c r="D28" s="31"/>
      <c r="E28" s="31"/>
      <c r="F28" s="31"/>
      <c r="G28" s="31"/>
      <c r="H28" s="32"/>
      <c r="I28" s="1" t="s">
        <v>27</v>
      </c>
      <c r="J28" s="3" t="s">
        <v>5</v>
      </c>
      <c r="K28" s="1" t="s">
        <v>27</v>
      </c>
      <c r="L28" s="31"/>
      <c r="M28" s="31"/>
      <c r="N28" s="31"/>
      <c r="O28" s="31"/>
      <c r="P28" s="32"/>
      <c r="Q28" s="60"/>
      <c r="R28" s="31"/>
      <c r="S28" s="31"/>
      <c r="T28" s="23" t="s">
        <v>29</v>
      </c>
      <c r="U28" s="1">
        <v>50</v>
      </c>
      <c r="V28" s="1">
        <v>520</v>
      </c>
      <c r="W28" s="55"/>
      <c r="X28" s="56">
        <v>3</v>
      </c>
      <c r="Y28" s="56">
        <v>3</v>
      </c>
      <c r="Z28" s="1">
        <f t="shared" si="1"/>
        <v>1</v>
      </c>
      <c r="AA28" s="1">
        <f t="shared" si="2"/>
        <v>0</v>
      </c>
      <c r="AB28" s="64">
        <f t="shared" si="3"/>
        <v>2</v>
      </c>
    </row>
    <row r="29" spans="1:28" ht="15" thickBot="1">
      <c r="A29" s="4" t="s">
        <v>6</v>
      </c>
      <c r="B29" s="1" t="s">
        <v>27</v>
      </c>
      <c r="C29" s="4" t="s">
        <v>6</v>
      </c>
      <c r="D29" s="31"/>
      <c r="E29" s="31"/>
      <c r="F29" s="31"/>
      <c r="G29" s="31"/>
      <c r="H29" s="32"/>
      <c r="I29" s="1" t="s">
        <v>27</v>
      </c>
      <c r="J29" s="3" t="s">
        <v>5</v>
      </c>
      <c r="K29" s="1" t="s">
        <v>27</v>
      </c>
      <c r="L29" s="31"/>
      <c r="M29" s="31"/>
      <c r="N29" s="31"/>
      <c r="O29" s="31"/>
      <c r="P29" s="32"/>
      <c r="Q29" s="66"/>
      <c r="R29" s="41"/>
      <c r="S29" s="41"/>
      <c r="T29" s="40"/>
      <c r="U29" s="40"/>
      <c r="V29" s="40"/>
      <c r="W29" s="40"/>
      <c r="X29" s="40"/>
      <c r="Y29" s="40"/>
      <c r="Z29" s="40"/>
      <c r="AA29" s="40"/>
      <c r="AB29" s="67"/>
    </row>
    <row r="30" spans="1:28">
      <c r="A30" s="4" t="s">
        <v>6</v>
      </c>
      <c r="B30" s="1" t="s">
        <v>27</v>
      </c>
      <c r="C30" s="4" t="s">
        <v>6</v>
      </c>
      <c r="D30" s="31"/>
      <c r="E30" s="31"/>
      <c r="F30" s="31"/>
      <c r="G30" s="31"/>
      <c r="H30" s="32"/>
      <c r="I30" s="1" t="s">
        <v>27</v>
      </c>
      <c r="J30" s="15" t="s">
        <v>17</v>
      </c>
      <c r="K30" s="1" t="s">
        <v>27</v>
      </c>
      <c r="L30" s="31"/>
      <c r="M30" s="31"/>
      <c r="N30" s="31"/>
      <c r="O30" s="31"/>
      <c r="P30" s="32"/>
    </row>
    <row r="31" spans="1:28">
      <c r="A31" s="4" t="s">
        <v>6</v>
      </c>
      <c r="B31" s="1" t="s">
        <v>27</v>
      </c>
      <c r="C31" s="4" t="s">
        <v>6</v>
      </c>
      <c r="D31" s="31"/>
      <c r="E31" s="31"/>
      <c r="F31" s="31"/>
      <c r="G31" s="31"/>
      <c r="H31" s="32"/>
      <c r="I31" s="1" t="s">
        <v>27</v>
      </c>
      <c r="J31" s="3" t="s">
        <v>5</v>
      </c>
      <c r="K31" s="1" t="s">
        <v>27</v>
      </c>
      <c r="L31" s="31"/>
      <c r="M31" s="31"/>
      <c r="N31" s="31"/>
      <c r="O31" s="31"/>
      <c r="P31" s="32"/>
      <c r="Y31">
        <f>SUM(Y3:Y28)</f>
        <v>1077</v>
      </c>
    </row>
    <row r="32" spans="1:28">
      <c r="A32" s="4" t="s">
        <v>6</v>
      </c>
      <c r="B32" s="1" t="s">
        <v>27</v>
      </c>
      <c r="C32" s="4" t="s">
        <v>6</v>
      </c>
      <c r="D32" s="31"/>
      <c r="E32" s="31"/>
      <c r="F32" s="31"/>
      <c r="G32" s="31"/>
      <c r="H32" s="32"/>
      <c r="I32" s="1" t="s">
        <v>27</v>
      </c>
      <c r="J32" s="3" t="s">
        <v>5</v>
      </c>
      <c r="K32" s="1" t="s">
        <v>27</v>
      </c>
      <c r="L32" s="31"/>
      <c r="M32" s="31"/>
      <c r="N32" s="31"/>
      <c r="O32" s="31"/>
      <c r="P32" s="32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10" t="s">
        <v>12</v>
      </c>
      <c r="D33" s="31"/>
      <c r="E33" s="31"/>
      <c r="F33" s="31"/>
      <c r="G33" s="31"/>
      <c r="H33" s="32"/>
      <c r="I33" s="1" t="s">
        <v>27</v>
      </c>
      <c r="J33" s="3" t="s">
        <v>5</v>
      </c>
      <c r="K33" s="1" t="s">
        <v>27</v>
      </c>
      <c r="L33" s="31"/>
      <c r="M33" s="31"/>
      <c r="N33" s="31"/>
      <c r="O33" s="31"/>
      <c r="P33" s="32"/>
      <c r="R33">
        <v>2</v>
      </c>
      <c r="S33" t="s">
        <v>60</v>
      </c>
    </row>
    <row r="34" spans="1:19">
      <c r="A34" s="17" t="s">
        <v>19</v>
      </c>
      <c r="B34" s="1" t="s">
        <v>27</v>
      </c>
      <c r="C34" s="4" t="s">
        <v>6</v>
      </c>
      <c r="D34" s="31"/>
      <c r="E34" s="31"/>
      <c r="F34" s="31"/>
      <c r="G34" s="31"/>
      <c r="H34" s="32"/>
      <c r="I34" s="38" t="s">
        <v>27</v>
      </c>
      <c r="J34" s="3" t="s">
        <v>5</v>
      </c>
      <c r="K34" s="1" t="s">
        <v>27</v>
      </c>
      <c r="L34" s="31"/>
      <c r="M34" s="31"/>
      <c r="N34" s="31"/>
      <c r="O34" s="31"/>
      <c r="P34" s="32"/>
      <c r="R34">
        <v>3</v>
      </c>
      <c r="S34" t="s">
        <v>58</v>
      </c>
    </row>
    <row r="35" spans="1:19">
      <c r="A35" s="4" t="s">
        <v>6</v>
      </c>
      <c r="B35" s="1" t="s">
        <v>27</v>
      </c>
      <c r="C35" s="17" t="s">
        <v>19</v>
      </c>
      <c r="D35" s="31"/>
      <c r="E35" s="31"/>
      <c r="F35" s="31"/>
      <c r="G35" s="31"/>
      <c r="H35" s="32"/>
      <c r="I35" s="38" t="s">
        <v>27</v>
      </c>
      <c r="J35" s="16" t="s">
        <v>28</v>
      </c>
      <c r="K35" s="1" t="s">
        <v>27</v>
      </c>
      <c r="L35" s="31"/>
      <c r="M35" s="31"/>
      <c r="N35" s="31"/>
      <c r="O35" s="31"/>
      <c r="P35" s="32"/>
      <c r="R35">
        <v>4</v>
      </c>
      <c r="S35" t="s">
        <v>61</v>
      </c>
    </row>
    <row r="36" spans="1:19">
      <c r="A36" s="4" t="s">
        <v>6</v>
      </c>
      <c r="B36" s="1" t="s">
        <v>27</v>
      </c>
      <c r="C36" s="4" t="s">
        <v>6</v>
      </c>
      <c r="D36" s="31"/>
      <c r="E36" s="31"/>
      <c r="F36" s="31"/>
      <c r="G36" s="31"/>
      <c r="H36" s="32"/>
      <c r="I36" s="38" t="s">
        <v>27</v>
      </c>
      <c r="J36" s="3" t="s">
        <v>5</v>
      </c>
      <c r="K36" s="1" t="s">
        <v>27</v>
      </c>
      <c r="L36" s="31"/>
      <c r="M36" s="31"/>
      <c r="N36" s="31"/>
      <c r="O36" s="31"/>
      <c r="P36" s="32"/>
      <c r="S36" t="s">
        <v>62</v>
      </c>
    </row>
    <row r="37" spans="1:19">
      <c r="A37" s="4" t="s">
        <v>6</v>
      </c>
      <c r="B37" s="1" t="s">
        <v>27</v>
      </c>
      <c r="C37" s="4" t="s">
        <v>6</v>
      </c>
      <c r="D37" s="31"/>
      <c r="E37" s="31"/>
      <c r="F37" s="31"/>
      <c r="G37" s="31"/>
      <c r="H37" s="32"/>
      <c r="I37" s="38" t="s">
        <v>27</v>
      </c>
      <c r="J37" s="3" t="s">
        <v>5</v>
      </c>
      <c r="K37" s="1" t="s">
        <v>27</v>
      </c>
      <c r="L37" s="31"/>
      <c r="M37" s="31"/>
      <c r="N37" s="31"/>
      <c r="O37" s="31"/>
      <c r="P37" s="32"/>
      <c r="R37">
        <v>5</v>
      </c>
      <c r="S37" t="s">
        <v>63</v>
      </c>
    </row>
    <row r="38" spans="1:19">
      <c r="A38" s="4" t="s">
        <v>6</v>
      </c>
      <c r="B38" s="1" t="s">
        <v>27</v>
      </c>
      <c r="C38" s="16" t="s">
        <v>18</v>
      </c>
      <c r="D38" s="31"/>
      <c r="E38" s="31"/>
      <c r="F38" s="31"/>
      <c r="G38" s="31"/>
      <c r="H38" s="32"/>
      <c r="I38" s="38" t="s">
        <v>27</v>
      </c>
      <c r="J38" s="15" t="s">
        <v>17</v>
      </c>
      <c r="K38" s="1" t="s">
        <v>27</v>
      </c>
      <c r="L38" s="31"/>
      <c r="M38" s="31"/>
      <c r="N38" s="31"/>
      <c r="O38" s="31"/>
      <c r="P38" s="32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4" t="s">
        <v>6</v>
      </c>
      <c r="D39" s="31"/>
      <c r="E39" s="31"/>
      <c r="F39" s="31"/>
      <c r="G39" s="31"/>
      <c r="H39" s="32"/>
      <c r="I39" s="38" t="s">
        <v>27</v>
      </c>
      <c r="J39" s="3" t="s">
        <v>5</v>
      </c>
      <c r="K39" s="1" t="s">
        <v>27</v>
      </c>
      <c r="L39" s="31"/>
      <c r="M39" s="31"/>
      <c r="N39" s="31"/>
      <c r="O39" s="31"/>
      <c r="P39" s="32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4" t="s">
        <v>6</v>
      </c>
      <c r="D40" s="31"/>
      <c r="E40" s="31"/>
      <c r="F40" s="31"/>
      <c r="G40" s="31"/>
      <c r="H40" s="32"/>
      <c r="I40" s="38" t="s">
        <v>27</v>
      </c>
      <c r="J40" s="3" t="s">
        <v>5</v>
      </c>
      <c r="K40" s="1" t="s">
        <v>27</v>
      </c>
      <c r="L40" s="31"/>
      <c r="M40" s="31"/>
      <c r="N40" s="31"/>
      <c r="O40" s="31"/>
      <c r="P40" s="32"/>
    </row>
    <row r="41" spans="1:19">
      <c r="A41" s="4" t="s">
        <v>6</v>
      </c>
      <c r="B41" s="1" t="s">
        <v>27</v>
      </c>
      <c r="C41" s="4" t="s">
        <v>6</v>
      </c>
      <c r="D41" s="31"/>
      <c r="E41" s="31"/>
      <c r="F41" s="31"/>
      <c r="G41" s="31"/>
      <c r="H41" s="32"/>
      <c r="I41" s="38" t="s">
        <v>27</v>
      </c>
      <c r="J41" s="3" t="s">
        <v>5</v>
      </c>
      <c r="K41" s="1" t="s">
        <v>27</v>
      </c>
      <c r="L41" s="31"/>
      <c r="M41" s="31"/>
      <c r="N41" s="31"/>
      <c r="O41" s="31"/>
      <c r="P41" s="32"/>
    </row>
    <row r="42" spans="1:19">
      <c r="A42" s="4" t="s">
        <v>6</v>
      </c>
      <c r="B42" s="1" t="s">
        <v>27</v>
      </c>
      <c r="C42" s="4" t="s">
        <v>6</v>
      </c>
      <c r="D42" s="31"/>
      <c r="E42" s="31"/>
      <c r="F42" s="31"/>
      <c r="G42" s="31"/>
      <c r="H42" s="32"/>
      <c r="I42" s="38" t="s">
        <v>27</v>
      </c>
      <c r="J42" s="3" t="s">
        <v>5</v>
      </c>
      <c r="K42" s="1" t="s">
        <v>27</v>
      </c>
      <c r="L42" s="31"/>
      <c r="M42" s="31"/>
      <c r="N42" s="31"/>
      <c r="O42" s="31"/>
      <c r="P42" s="32"/>
    </row>
    <row r="43" spans="1:19">
      <c r="A43" s="17" t="s">
        <v>20</v>
      </c>
      <c r="B43" s="1" t="s">
        <v>27</v>
      </c>
      <c r="C43" s="4" t="s">
        <v>6</v>
      </c>
      <c r="D43" s="31"/>
      <c r="E43" s="31"/>
      <c r="F43" s="31"/>
      <c r="G43" s="31"/>
      <c r="H43" s="32"/>
      <c r="I43" s="38" t="s">
        <v>27</v>
      </c>
      <c r="J43" s="15" t="s">
        <v>17</v>
      </c>
      <c r="K43" s="1" t="s">
        <v>27</v>
      </c>
      <c r="L43" s="31"/>
      <c r="M43" s="31"/>
      <c r="N43" s="31"/>
      <c r="O43" s="31"/>
      <c r="P43" s="32"/>
    </row>
    <row r="44" spans="1:19">
      <c r="A44" s="38" t="s">
        <v>27</v>
      </c>
      <c r="B44" s="1" t="s">
        <v>27</v>
      </c>
      <c r="C44" s="17" t="s">
        <v>20</v>
      </c>
      <c r="D44" s="31"/>
      <c r="E44" s="31"/>
      <c r="F44" s="31"/>
      <c r="G44" s="31"/>
      <c r="H44" s="32"/>
      <c r="I44" s="38" t="s">
        <v>27</v>
      </c>
      <c r="J44" s="3" t="s">
        <v>5</v>
      </c>
      <c r="K44" s="1" t="s">
        <v>27</v>
      </c>
      <c r="L44" s="31"/>
      <c r="M44" s="31"/>
      <c r="N44" s="31"/>
      <c r="O44" s="31"/>
      <c r="P44" s="32"/>
    </row>
    <row r="45" spans="1:19">
      <c r="A45" s="38" t="s">
        <v>27</v>
      </c>
      <c r="B45" s="1" t="s">
        <v>27</v>
      </c>
      <c r="C45" s="15" t="s">
        <v>17</v>
      </c>
      <c r="D45" s="31"/>
      <c r="E45" s="31"/>
      <c r="F45" s="31"/>
      <c r="G45" s="31"/>
      <c r="H45" s="32"/>
      <c r="I45" s="38" t="s">
        <v>27</v>
      </c>
      <c r="J45" s="3" t="s">
        <v>5</v>
      </c>
      <c r="K45" s="1" t="s">
        <v>27</v>
      </c>
      <c r="L45" s="31"/>
      <c r="M45" s="31"/>
      <c r="N45" s="31"/>
      <c r="O45" s="31"/>
      <c r="P45" s="32"/>
    </row>
    <row r="46" spans="1:19">
      <c r="A46" s="38" t="s">
        <v>27</v>
      </c>
      <c r="B46" s="1" t="s">
        <v>27</v>
      </c>
      <c r="C46" s="1" t="s">
        <v>27</v>
      </c>
      <c r="D46" s="31"/>
      <c r="E46" s="31"/>
      <c r="F46" s="31"/>
      <c r="G46" s="31"/>
      <c r="H46" s="32"/>
      <c r="I46" s="38" t="s">
        <v>27</v>
      </c>
      <c r="J46" s="9" t="s">
        <v>11</v>
      </c>
      <c r="K46" s="1" t="s">
        <v>27</v>
      </c>
      <c r="L46" s="31"/>
      <c r="M46" s="31"/>
      <c r="N46" s="31"/>
      <c r="O46" s="31"/>
      <c r="P46" s="32"/>
    </row>
    <row r="47" spans="1:19">
      <c r="A47" s="38" t="s">
        <v>27</v>
      </c>
      <c r="B47" s="1" t="s">
        <v>27</v>
      </c>
      <c r="C47" s="1" t="s">
        <v>27</v>
      </c>
      <c r="D47" s="31"/>
      <c r="E47" s="31"/>
      <c r="F47" s="31"/>
      <c r="G47" s="31"/>
      <c r="H47" s="32"/>
      <c r="I47" s="38" t="s">
        <v>27</v>
      </c>
      <c r="J47" s="3" t="s">
        <v>5</v>
      </c>
      <c r="K47" s="1" t="s">
        <v>27</v>
      </c>
      <c r="L47" s="31"/>
      <c r="M47" s="31"/>
      <c r="N47" s="31"/>
      <c r="O47" s="31"/>
      <c r="P47" s="32"/>
    </row>
    <row r="48" spans="1:19">
      <c r="A48" s="38" t="s">
        <v>27</v>
      </c>
      <c r="B48" s="1" t="s">
        <v>27</v>
      </c>
      <c r="C48" s="1" t="s">
        <v>27</v>
      </c>
      <c r="D48" s="31"/>
      <c r="E48" s="31"/>
      <c r="F48" s="31"/>
      <c r="G48" s="31"/>
      <c r="H48" s="32"/>
      <c r="I48" s="38" t="s">
        <v>27</v>
      </c>
      <c r="J48" s="3" t="s">
        <v>5</v>
      </c>
      <c r="K48" s="1" t="s">
        <v>27</v>
      </c>
      <c r="L48" s="31"/>
      <c r="M48" s="31"/>
      <c r="N48" s="31"/>
      <c r="O48" s="31"/>
      <c r="P48" s="32"/>
    </row>
    <row r="49" spans="1:16">
      <c r="A49" s="38" t="s">
        <v>27</v>
      </c>
      <c r="B49" s="1" t="s">
        <v>27</v>
      </c>
      <c r="C49" s="1" t="s">
        <v>27</v>
      </c>
      <c r="D49" s="31"/>
      <c r="E49" s="31"/>
      <c r="F49" s="31"/>
      <c r="G49" s="31"/>
      <c r="H49" s="32"/>
      <c r="I49" s="38" t="s">
        <v>27</v>
      </c>
      <c r="J49" s="15" t="s">
        <v>17</v>
      </c>
      <c r="K49" s="1" t="s">
        <v>27</v>
      </c>
      <c r="L49" s="31"/>
      <c r="M49" s="31"/>
      <c r="N49" s="31"/>
      <c r="O49" s="31"/>
      <c r="P49" s="32"/>
    </row>
    <row r="50" spans="1:16">
      <c r="A50" s="38" t="s">
        <v>27</v>
      </c>
      <c r="B50" s="1" t="s">
        <v>27</v>
      </c>
      <c r="C50" s="1" t="s">
        <v>27</v>
      </c>
      <c r="D50" s="31"/>
      <c r="E50" s="31"/>
      <c r="F50" s="31"/>
      <c r="G50" s="31"/>
      <c r="H50" s="32"/>
      <c r="I50" s="38" t="s">
        <v>27</v>
      </c>
      <c r="J50" s="3" t="s">
        <v>5</v>
      </c>
      <c r="K50" s="1" t="s">
        <v>27</v>
      </c>
      <c r="L50" s="31"/>
      <c r="M50" s="31"/>
      <c r="N50" s="31"/>
      <c r="O50" s="31"/>
      <c r="P50" s="32"/>
    </row>
    <row r="51" spans="1:16">
      <c r="A51" s="38" t="s">
        <v>27</v>
      </c>
      <c r="B51" s="1" t="s">
        <v>27</v>
      </c>
      <c r="C51" s="1" t="s">
        <v>27</v>
      </c>
      <c r="D51" s="31"/>
      <c r="E51" s="31"/>
      <c r="F51" s="31"/>
      <c r="G51" s="31"/>
      <c r="H51" s="32"/>
      <c r="I51" s="38" t="s">
        <v>27</v>
      </c>
      <c r="J51" s="3" t="s">
        <v>5</v>
      </c>
      <c r="K51" s="1" t="s">
        <v>27</v>
      </c>
      <c r="L51" s="31"/>
      <c r="M51" s="31"/>
      <c r="N51" s="31"/>
      <c r="O51" s="31"/>
      <c r="P51" s="32"/>
    </row>
    <row r="52" spans="1:16">
      <c r="A52" s="38" t="s">
        <v>27</v>
      </c>
      <c r="B52" s="1" t="s">
        <v>27</v>
      </c>
      <c r="C52" s="1" t="s">
        <v>27</v>
      </c>
      <c r="D52" s="31"/>
      <c r="E52" s="31"/>
      <c r="F52" s="31"/>
      <c r="G52" s="31"/>
      <c r="H52" s="32"/>
      <c r="I52" s="38" t="s">
        <v>27</v>
      </c>
      <c r="J52" s="3" t="s">
        <v>5</v>
      </c>
      <c r="K52" s="1" t="s">
        <v>27</v>
      </c>
      <c r="L52" s="31"/>
      <c r="M52" s="31"/>
      <c r="N52" s="31"/>
      <c r="O52" s="31"/>
      <c r="P52" s="32"/>
    </row>
    <row r="53" spans="1:16">
      <c r="A53" s="38" t="s">
        <v>27</v>
      </c>
      <c r="B53" s="1" t="s">
        <v>27</v>
      </c>
      <c r="C53" s="1" t="s">
        <v>27</v>
      </c>
      <c r="D53" s="31"/>
      <c r="E53" s="31"/>
      <c r="F53" s="31"/>
      <c r="G53" s="31"/>
      <c r="H53" s="32"/>
      <c r="I53" s="38" t="s">
        <v>27</v>
      </c>
      <c r="J53" s="3" t="s">
        <v>5</v>
      </c>
      <c r="K53" s="1" t="s">
        <v>27</v>
      </c>
      <c r="L53" s="31"/>
      <c r="M53" s="31"/>
      <c r="N53" s="31"/>
      <c r="O53" s="31"/>
      <c r="P53" s="32"/>
    </row>
    <row r="54" spans="1:16">
      <c r="A54" s="38" t="s">
        <v>27</v>
      </c>
      <c r="B54" s="1" t="s">
        <v>27</v>
      </c>
      <c r="C54" s="1" t="s">
        <v>27</v>
      </c>
      <c r="D54" s="31"/>
      <c r="E54" s="31"/>
      <c r="F54" s="31"/>
      <c r="G54" s="31"/>
      <c r="H54" s="32"/>
      <c r="I54" s="38" t="s">
        <v>27</v>
      </c>
      <c r="J54" s="3" t="s">
        <v>5</v>
      </c>
      <c r="K54" s="1" t="s">
        <v>27</v>
      </c>
      <c r="L54" s="31"/>
      <c r="M54" s="31"/>
      <c r="N54" s="31"/>
      <c r="O54" s="31"/>
      <c r="P54" s="32"/>
    </row>
    <row r="55" spans="1:16">
      <c r="A55" s="38" t="s">
        <v>27</v>
      </c>
      <c r="B55" s="1" t="s">
        <v>27</v>
      </c>
      <c r="C55" s="1" t="s">
        <v>27</v>
      </c>
      <c r="D55" s="31"/>
      <c r="E55" s="31"/>
      <c r="F55" s="31"/>
      <c r="G55" s="31"/>
      <c r="H55" s="32"/>
      <c r="I55" s="38" t="s">
        <v>27</v>
      </c>
      <c r="J55" s="15" t="s">
        <v>17</v>
      </c>
      <c r="K55" s="1" t="s">
        <v>27</v>
      </c>
      <c r="L55" s="31"/>
      <c r="M55" s="31"/>
      <c r="N55" s="31"/>
      <c r="O55" s="31"/>
      <c r="P55" s="32"/>
    </row>
    <row r="56" spans="1:16">
      <c r="A56" s="38" t="s">
        <v>27</v>
      </c>
      <c r="B56" s="1" t="s">
        <v>27</v>
      </c>
      <c r="C56" s="1" t="s">
        <v>27</v>
      </c>
      <c r="D56" s="31"/>
      <c r="E56" s="31"/>
      <c r="F56" s="31"/>
      <c r="G56" s="31"/>
      <c r="H56" s="32"/>
      <c r="I56" s="38" t="s">
        <v>27</v>
      </c>
      <c r="J56" s="3" t="s">
        <v>5</v>
      </c>
      <c r="K56" s="1" t="s">
        <v>27</v>
      </c>
      <c r="L56" s="31"/>
      <c r="M56" s="31"/>
      <c r="N56" s="31"/>
      <c r="O56" s="31"/>
      <c r="P56" s="32"/>
    </row>
    <row r="57" spans="1:16">
      <c r="A57" s="38" t="s">
        <v>27</v>
      </c>
      <c r="B57" s="1" t="s">
        <v>27</v>
      </c>
      <c r="C57" s="1" t="s">
        <v>27</v>
      </c>
      <c r="D57" s="31"/>
      <c r="E57" s="31"/>
      <c r="F57" s="31"/>
      <c r="G57" s="31"/>
      <c r="H57" s="32"/>
      <c r="I57" s="38" t="s">
        <v>27</v>
      </c>
      <c r="J57" s="3" t="s">
        <v>5</v>
      </c>
      <c r="K57" s="1" t="s">
        <v>27</v>
      </c>
      <c r="L57" s="31"/>
      <c r="M57" s="31"/>
      <c r="N57" s="31"/>
      <c r="O57" s="31"/>
      <c r="P57" s="32"/>
    </row>
    <row r="58" spans="1:16">
      <c r="A58" s="38" t="s">
        <v>27</v>
      </c>
      <c r="B58" s="1" t="s">
        <v>27</v>
      </c>
      <c r="C58" s="1" t="s">
        <v>27</v>
      </c>
      <c r="D58" s="31"/>
      <c r="E58" s="31"/>
      <c r="F58" s="31"/>
      <c r="G58" s="31"/>
      <c r="H58" s="32"/>
      <c r="I58" s="38" t="s">
        <v>27</v>
      </c>
      <c r="J58" s="3" t="s">
        <v>5</v>
      </c>
      <c r="K58" s="1" t="s">
        <v>27</v>
      </c>
      <c r="L58" s="31"/>
      <c r="M58" s="31"/>
      <c r="N58" s="31"/>
      <c r="O58" s="31"/>
      <c r="P58" s="32"/>
    </row>
    <row r="59" spans="1:16">
      <c r="A59" s="38" t="s">
        <v>27</v>
      </c>
      <c r="B59" s="1" t="s">
        <v>27</v>
      </c>
      <c r="C59" s="1" t="s">
        <v>27</v>
      </c>
      <c r="D59" s="31"/>
      <c r="E59" s="31"/>
      <c r="F59" s="31"/>
      <c r="G59" s="31"/>
      <c r="H59" s="32"/>
      <c r="I59" s="38" t="s">
        <v>27</v>
      </c>
      <c r="J59" s="9" t="s">
        <v>11</v>
      </c>
      <c r="K59" s="1" t="s">
        <v>27</v>
      </c>
      <c r="L59" s="31"/>
      <c r="M59" s="31"/>
      <c r="N59" s="31"/>
      <c r="O59" s="31"/>
      <c r="P59" s="32"/>
    </row>
    <row r="60" spans="1:16">
      <c r="A60" s="38" t="s">
        <v>27</v>
      </c>
      <c r="B60" s="1" t="s">
        <v>27</v>
      </c>
      <c r="C60" s="1" t="s">
        <v>27</v>
      </c>
      <c r="D60" s="31"/>
      <c r="E60" s="31"/>
      <c r="F60" s="31"/>
      <c r="G60" s="31"/>
      <c r="H60" s="32"/>
      <c r="I60" s="38" t="s">
        <v>27</v>
      </c>
      <c r="J60" s="3" t="s">
        <v>5</v>
      </c>
      <c r="K60" s="1" t="s">
        <v>27</v>
      </c>
      <c r="L60" s="31"/>
      <c r="M60" s="31"/>
      <c r="N60" s="31"/>
      <c r="O60" s="31"/>
      <c r="P60" s="32"/>
    </row>
    <row r="61" spans="1:16">
      <c r="A61" s="38" t="s">
        <v>27</v>
      </c>
      <c r="B61" s="1" t="s">
        <v>27</v>
      </c>
      <c r="C61" s="1" t="s">
        <v>27</v>
      </c>
      <c r="D61" s="31"/>
      <c r="E61" s="31"/>
      <c r="F61" s="31"/>
      <c r="G61" s="31"/>
      <c r="H61" s="32"/>
      <c r="I61" s="38" t="s">
        <v>27</v>
      </c>
      <c r="J61" s="3" t="s">
        <v>5</v>
      </c>
      <c r="K61" s="1" t="s">
        <v>27</v>
      </c>
      <c r="L61" s="31"/>
      <c r="M61" s="31"/>
      <c r="N61" s="31"/>
      <c r="O61" s="31"/>
      <c r="P61" s="32"/>
    </row>
    <row r="62" spans="1:16">
      <c r="A62" s="38" t="s">
        <v>27</v>
      </c>
      <c r="B62" s="1" t="s">
        <v>27</v>
      </c>
      <c r="C62" s="1" t="s">
        <v>27</v>
      </c>
      <c r="D62" s="31"/>
      <c r="E62" s="31"/>
      <c r="F62" s="31"/>
      <c r="G62" s="31"/>
      <c r="H62" s="32"/>
      <c r="I62" s="38" t="s">
        <v>27</v>
      </c>
      <c r="J62" s="15" t="s">
        <v>17</v>
      </c>
      <c r="K62" s="1" t="s">
        <v>27</v>
      </c>
      <c r="L62" s="31"/>
      <c r="M62" s="31"/>
      <c r="N62" s="31"/>
      <c r="O62" s="31"/>
      <c r="P62" s="32"/>
    </row>
    <row r="63" spans="1:16">
      <c r="A63" s="38" t="s">
        <v>27</v>
      </c>
      <c r="B63" s="1" t="s">
        <v>27</v>
      </c>
      <c r="C63" s="1" t="s">
        <v>27</v>
      </c>
      <c r="D63" s="31"/>
      <c r="E63" s="31"/>
      <c r="F63" s="31"/>
      <c r="G63" s="31"/>
      <c r="H63" s="32"/>
      <c r="I63" s="38" t="s">
        <v>27</v>
      </c>
      <c r="J63" s="3" t="s">
        <v>5</v>
      </c>
      <c r="K63" s="1" t="s">
        <v>27</v>
      </c>
      <c r="L63" s="31"/>
      <c r="M63" s="31"/>
      <c r="N63" s="31"/>
      <c r="O63" s="31"/>
      <c r="P63" s="32"/>
    </row>
    <row r="64" spans="1:16">
      <c r="A64" s="38" t="s">
        <v>27</v>
      </c>
      <c r="B64" s="1" t="s">
        <v>27</v>
      </c>
      <c r="C64" s="1" t="s">
        <v>27</v>
      </c>
      <c r="D64" s="31"/>
      <c r="E64" s="31"/>
      <c r="F64" s="31"/>
      <c r="G64" s="31"/>
      <c r="H64" s="32"/>
      <c r="I64" s="38" t="s">
        <v>27</v>
      </c>
      <c r="J64" s="3" t="s">
        <v>5</v>
      </c>
      <c r="K64" s="1" t="s">
        <v>27</v>
      </c>
      <c r="L64" s="31"/>
      <c r="M64" s="31"/>
      <c r="N64" s="31"/>
      <c r="O64" s="31"/>
      <c r="P64" s="32"/>
    </row>
    <row r="65" spans="1:16">
      <c r="A65" s="38" t="s">
        <v>27</v>
      </c>
      <c r="B65" s="1" t="s">
        <v>27</v>
      </c>
      <c r="C65" s="1" t="s">
        <v>27</v>
      </c>
      <c r="D65" s="31"/>
      <c r="E65" s="31"/>
      <c r="F65" s="31"/>
      <c r="G65" s="31"/>
      <c r="H65" s="32"/>
      <c r="I65" s="38" t="s">
        <v>27</v>
      </c>
      <c r="J65" s="3" t="s">
        <v>5</v>
      </c>
      <c r="K65" s="1" t="s">
        <v>27</v>
      </c>
      <c r="L65" s="31"/>
      <c r="M65" s="31"/>
      <c r="N65" s="31"/>
      <c r="O65" s="31"/>
      <c r="P65" s="32"/>
    </row>
    <row r="66" spans="1:16">
      <c r="A66" s="38" t="s">
        <v>27</v>
      </c>
      <c r="B66" s="1" t="s">
        <v>27</v>
      </c>
      <c r="C66" s="1" t="s">
        <v>27</v>
      </c>
      <c r="D66" s="31"/>
      <c r="E66" s="31"/>
      <c r="F66" s="31"/>
      <c r="G66" s="31"/>
      <c r="H66" s="32"/>
      <c r="I66" s="38" t="s">
        <v>27</v>
      </c>
      <c r="J66" s="3" t="s">
        <v>5</v>
      </c>
      <c r="K66" s="1" t="s">
        <v>27</v>
      </c>
      <c r="L66" s="31"/>
      <c r="M66" s="31"/>
      <c r="N66" s="31"/>
      <c r="O66" s="31"/>
      <c r="P66" s="32"/>
    </row>
    <row r="67" spans="1:16">
      <c r="A67" s="38" t="s">
        <v>27</v>
      </c>
      <c r="B67" s="1" t="s">
        <v>27</v>
      </c>
      <c r="C67" s="1" t="s">
        <v>27</v>
      </c>
      <c r="D67" s="31"/>
      <c r="E67" s="31"/>
      <c r="F67" s="31"/>
      <c r="G67" s="31"/>
      <c r="H67" s="32"/>
      <c r="I67" s="38" t="s">
        <v>27</v>
      </c>
      <c r="J67" s="3" t="s">
        <v>5</v>
      </c>
      <c r="K67" s="1" t="s">
        <v>27</v>
      </c>
      <c r="L67" s="31"/>
      <c r="M67" s="31"/>
      <c r="N67" s="31"/>
      <c r="O67" s="31"/>
      <c r="P67" s="32"/>
    </row>
    <row r="68" spans="1:16">
      <c r="A68" s="38" t="s">
        <v>27</v>
      </c>
      <c r="B68" s="1" t="s">
        <v>27</v>
      </c>
      <c r="C68" s="1" t="s">
        <v>27</v>
      </c>
      <c r="D68" s="31"/>
      <c r="E68" s="31"/>
      <c r="F68" s="31"/>
      <c r="G68" s="31"/>
      <c r="H68" s="32"/>
      <c r="I68" s="38" t="s">
        <v>27</v>
      </c>
      <c r="J68" s="15" t="s">
        <v>17</v>
      </c>
      <c r="K68" s="1" t="s">
        <v>27</v>
      </c>
      <c r="L68" s="31"/>
      <c r="M68" s="31"/>
      <c r="N68" s="31"/>
      <c r="O68" s="31"/>
      <c r="P68" s="32"/>
    </row>
    <row r="69" spans="1:16">
      <c r="A69" s="38" t="s">
        <v>27</v>
      </c>
      <c r="B69" s="1" t="s">
        <v>27</v>
      </c>
      <c r="C69" s="1" t="s">
        <v>27</v>
      </c>
      <c r="D69" s="31"/>
      <c r="E69" s="31"/>
      <c r="F69" s="31"/>
      <c r="G69" s="31"/>
      <c r="H69" s="32"/>
      <c r="I69" s="38" t="s">
        <v>27</v>
      </c>
      <c r="J69" s="3" t="s">
        <v>5</v>
      </c>
      <c r="K69" s="1" t="s">
        <v>27</v>
      </c>
      <c r="L69" s="31"/>
      <c r="M69" s="31"/>
      <c r="N69" s="31"/>
      <c r="O69" s="31"/>
      <c r="P69" s="32"/>
    </row>
    <row r="70" spans="1:16">
      <c r="A70" s="38" t="s">
        <v>27</v>
      </c>
      <c r="B70" s="1" t="s">
        <v>27</v>
      </c>
      <c r="C70" s="1" t="s">
        <v>27</v>
      </c>
      <c r="D70" s="31"/>
      <c r="E70" s="31"/>
      <c r="F70" s="31"/>
      <c r="G70" s="31"/>
      <c r="H70" s="32"/>
      <c r="I70" s="38" t="s">
        <v>27</v>
      </c>
      <c r="J70" s="1" t="s">
        <v>27</v>
      </c>
      <c r="K70" s="1" t="s">
        <v>27</v>
      </c>
      <c r="L70" s="31"/>
      <c r="M70" s="31"/>
      <c r="N70" s="31"/>
      <c r="O70" s="31"/>
      <c r="P70" s="32"/>
    </row>
    <row r="71" spans="1:16">
      <c r="A71" s="38" t="s">
        <v>27</v>
      </c>
      <c r="B71" s="1" t="s">
        <v>27</v>
      </c>
      <c r="C71" s="1" t="s">
        <v>27</v>
      </c>
      <c r="D71" s="31"/>
      <c r="E71" s="31"/>
      <c r="F71" s="31"/>
      <c r="G71" s="31"/>
      <c r="H71" s="32"/>
      <c r="I71" s="38" t="s">
        <v>27</v>
      </c>
      <c r="J71" s="1" t="s">
        <v>27</v>
      </c>
      <c r="K71" s="1" t="s">
        <v>27</v>
      </c>
      <c r="L71" s="31"/>
      <c r="M71" s="31"/>
      <c r="N71" s="31"/>
      <c r="O71" s="31"/>
      <c r="P71" s="32"/>
    </row>
    <row r="72" spans="1:16">
      <c r="A72" s="38" t="s">
        <v>27</v>
      </c>
      <c r="B72" s="1" t="s">
        <v>27</v>
      </c>
      <c r="C72" s="1" t="s">
        <v>27</v>
      </c>
      <c r="D72" s="31"/>
      <c r="E72" s="31"/>
      <c r="F72" s="31"/>
      <c r="G72" s="31"/>
      <c r="H72" s="32"/>
      <c r="I72" s="38" t="s">
        <v>27</v>
      </c>
      <c r="J72" s="1" t="s">
        <v>27</v>
      </c>
      <c r="K72" s="1" t="s">
        <v>27</v>
      </c>
      <c r="L72" s="31"/>
      <c r="M72" s="31"/>
      <c r="N72" s="31"/>
      <c r="O72" s="31"/>
      <c r="P72" s="32"/>
    </row>
    <row r="73" spans="1:16">
      <c r="A73" s="38" t="s">
        <v>27</v>
      </c>
      <c r="B73" s="1" t="s">
        <v>27</v>
      </c>
      <c r="C73" s="1" t="s">
        <v>27</v>
      </c>
      <c r="D73" s="31"/>
      <c r="E73" s="31"/>
      <c r="F73" s="31"/>
      <c r="G73" s="31"/>
      <c r="H73" s="32"/>
      <c r="I73" s="38" t="s">
        <v>27</v>
      </c>
      <c r="J73" s="1" t="s">
        <v>27</v>
      </c>
      <c r="K73" s="1" t="s">
        <v>27</v>
      </c>
      <c r="L73" s="31"/>
      <c r="M73" s="31"/>
      <c r="N73" s="31"/>
      <c r="O73" s="31"/>
      <c r="P73" s="32"/>
    </row>
    <row r="74" spans="1:16">
      <c r="A74" s="38" t="s">
        <v>27</v>
      </c>
      <c r="B74" s="1" t="s">
        <v>27</v>
      </c>
      <c r="C74" s="1" t="s">
        <v>27</v>
      </c>
      <c r="D74" s="31"/>
      <c r="E74" s="31"/>
      <c r="F74" s="31"/>
      <c r="G74" s="31"/>
      <c r="H74" s="32"/>
      <c r="I74" s="38" t="s">
        <v>27</v>
      </c>
      <c r="J74" s="1" t="s">
        <v>27</v>
      </c>
      <c r="K74" s="1" t="s">
        <v>27</v>
      </c>
      <c r="L74" s="31"/>
      <c r="M74" s="31"/>
      <c r="N74" s="31"/>
      <c r="O74" s="31"/>
      <c r="P74" s="32"/>
    </row>
    <row r="75" spans="1:16">
      <c r="A75" s="38" t="s">
        <v>27</v>
      </c>
      <c r="B75" s="1" t="s">
        <v>27</v>
      </c>
      <c r="C75" s="1" t="s">
        <v>27</v>
      </c>
      <c r="D75" s="31"/>
      <c r="E75" s="31"/>
      <c r="F75" s="31"/>
      <c r="G75" s="31"/>
      <c r="H75" s="32"/>
      <c r="I75" s="38" t="s">
        <v>27</v>
      </c>
      <c r="J75" s="1" t="s">
        <v>27</v>
      </c>
      <c r="K75" s="1" t="s">
        <v>27</v>
      </c>
      <c r="L75" s="31"/>
      <c r="M75" s="31"/>
      <c r="N75" s="31"/>
      <c r="O75" s="31"/>
      <c r="P75" s="32"/>
    </row>
    <row r="76" spans="1:16">
      <c r="A76" s="38" t="s">
        <v>27</v>
      </c>
      <c r="B76" s="1" t="s">
        <v>27</v>
      </c>
      <c r="C76" s="1" t="s">
        <v>27</v>
      </c>
      <c r="D76" s="31"/>
      <c r="E76" s="31"/>
      <c r="F76" s="31"/>
      <c r="G76" s="31"/>
      <c r="H76" s="32"/>
      <c r="I76" s="38" t="s">
        <v>27</v>
      </c>
      <c r="J76" s="1" t="s">
        <v>27</v>
      </c>
      <c r="K76" s="1" t="s">
        <v>27</v>
      </c>
      <c r="L76" s="31"/>
      <c r="M76" s="31"/>
      <c r="N76" s="31"/>
      <c r="O76" s="31"/>
      <c r="P76" s="32"/>
    </row>
    <row r="77" spans="1:16">
      <c r="A77" s="38" t="s">
        <v>27</v>
      </c>
      <c r="B77" s="1" t="s">
        <v>27</v>
      </c>
      <c r="C77" s="1" t="s">
        <v>27</v>
      </c>
      <c r="D77" s="31"/>
      <c r="E77" s="31"/>
      <c r="F77" s="31"/>
      <c r="G77" s="31"/>
      <c r="H77" s="32"/>
      <c r="I77" s="38" t="s">
        <v>27</v>
      </c>
      <c r="J77" s="1" t="s">
        <v>27</v>
      </c>
      <c r="K77" s="1" t="s">
        <v>27</v>
      </c>
      <c r="L77" s="31"/>
      <c r="M77" s="31"/>
      <c r="N77" s="31"/>
      <c r="O77" s="31"/>
      <c r="P77" s="32"/>
    </row>
    <row r="78" spans="1:16">
      <c r="A78" s="38" t="s">
        <v>27</v>
      </c>
      <c r="B78" s="1" t="s">
        <v>27</v>
      </c>
      <c r="C78" s="1" t="s">
        <v>27</v>
      </c>
      <c r="D78" s="31"/>
      <c r="E78" s="31"/>
      <c r="F78" s="31"/>
      <c r="G78" s="31"/>
      <c r="H78" s="32"/>
      <c r="I78" s="38" t="s">
        <v>27</v>
      </c>
      <c r="J78" s="1" t="s">
        <v>27</v>
      </c>
      <c r="K78" s="1" t="s">
        <v>27</v>
      </c>
      <c r="L78" s="31"/>
      <c r="M78" s="31"/>
      <c r="N78" s="31"/>
      <c r="O78" s="31"/>
      <c r="P78" s="32"/>
    </row>
    <row r="79" spans="1:16">
      <c r="A79" s="38" t="s">
        <v>27</v>
      </c>
      <c r="B79" s="1" t="s">
        <v>27</v>
      </c>
      <c r="C79" s="1" t="s">
        <v>27</v>
      </c>
      <c r="D79" s="31"/>
      <c r="E79" s="31"/>
      <c r="F79" s="31"/>
      <c r="G79" s="31"/>
      <c r="H79" s="32"/>
      <c r="I79" s="38" t="s">
        <v>27</v>
      </c>
      <c r="J79" s="1" t="s">
        <v>27</v>
      </c>
      <c r="K79" s="1" t="s">
        <v>27</v>
      </c>
      <c r="L79" s="31"/>
      <c r="M79" s="31"/>
      <c r="N79" s="31"/>
      <c r="O79" s="31"/>
      <c r="P79" s="32"/>
    </row>
    <row r="80" spans="1:16">
      <c r="A80" s="38" t="s">
        <v>27</v>
      </c>
      <c r="B80" s="1" t="s">
        <v>27</v>
      </c>
      <c r="C80" s="1" t="s">
        <v>27</v>
      </c>
      <c r="D80" s="31"/>
      <c r="E80" s="31"/>
      <c r="F80" s="31"/>
      <c r="G80" s="31"/>
      <c r="H80" s="32"/>
      <c r="I80" s="38" t="s">
        <v>27</v>
      </c>
      <c r="J80" s="1" t="s">
        <v>27</v>
      </c>
      <c r="K80" s="1" t="s">
        <v>27</v>
      </c>
      <c r="L80" s="31"/>
      <c r="M80" s="31"/>
      <c r="N80" s="31"/>
      <c r="O80" s="31"/>
      <c r="P80" s="32"/>
    </row>
    <row r="81" spans="1:16">
      <c r="A81" s="38" t="s">
        <v>27</v>
      </c>
      <c r="B81" s="1" t="s">
        <v>27</v>
      </c>
      <c r="C81" s="1" t="s">
        <v>27</v>
      </c>
      <c r="D81" s="31"/>
      <c r="E81" s="31"/>
      <c r="F81" s="31"/>
      <c r="G81" s="31"/>
      <c r="H81" s="32"/>
      <c r="I81" s="38" t="s">
        <v>27</v>
      </c>
      <c r="J81" s="1" t="s">
        <v>27</v>
      </c>
      <c r="K81" s="1" t="s">
        <v>27</v>
      </c>
      <c r="L81" s="31"/>
      <c r="M81" s="31"/>
      <c r="N81" s="31"/>
      <c r="O81" s="31"/>
      <c r="P81" s="32"/>
    </row>
    <row r="82" spans="1:16">
      <c r="A82" s="38" t="s">
        <v>27</v>
      </c>
      <c r="B82" s="1" t="s">
        <v>27</v>
      </c>
      <c r="C82" s="1" t="s">
        <v>27</v>
      </c>
      <c r="D82" s="31"/>
      <c r="E82" s="31"/>
      <c r="F82" s="31"/>
      <c r="G82" s="31"/>
      <c r="H82" s="32"/>
      <c r="I82" s="38" t="s">
        <v>27</v>
      </c>
      <c r="J82" s="1" t="s">
        <v>27</v>
      </c>
      <c r="K82" s="1" t="s">
        <v>27</v>
      </c>
      <c r="L82" s="31"/>
      <c r="M82" s="31"/>
      <c r="N82" s="31"/>
      <c r="O82" s="31"/>
      <c r="P82" s="32"/>
    </row>
    <row r="83" spans="1:16">
      <c r="A83" s="38" t="s">
        <v>27</v>
      </c>
      <c r="B83" s="1" t="s">
        <v>27</v>
      </c>
      <c r="C83" s="1" t="s">
        <v>27</v>
      </c>
      <c r="D83" s="31"/>
      <c r="E83" s="31"/>
      <c r="F83" s="31"/>
      <c r="G83" s="31"/>
      <c r="H83" s="32"/>
      <c r="I83" s="38" t="s">
        <v>27</v>
      </c>
      <c r="J83" s="1" t="s">
        <v>27</v>
      </c>
      <c r="K83" s="1" t="s">
        <v>27</v>
      </c>
      <c r="L83" s="31"/>
      <c r="M83" s="31"/>
      <c r="N83" s="31"/>
      <c r="O83" s="31"/>
      <c r="P83" s="32"/>
    </row>
    <row r="84" spans="1:16">
      <c r="A84" s="38" t="s">
        <v>27</v>
      </c>
      <c r="B84" s="1" t="s">
        <v>27</v>
      </c>
      <c r="C84" s="1" t="s">
        <v>27</v>
      </c>
      <c r="D84" s="31"/>
      <c r="E84" s="31"/>
      <c r="F84" s="31"/>
      <c r="G84" s="31"/>
      <c r="H84" s="32"/>
      <c r="I84" s="38" t="s">
        <v>27</v>
      </c>
      <c r="J84" s="1" t="s">
        <v>27</v>
      </c>
      <c r="K84" s="1" t="s">
        <v>27</v>
      </c>
      <c r="L84" s="31"/>
      <c r="M84" s="31"/>
      <c r="N84" s="31"/>
      <c r="O84" s="31"/>
      <c r="P84" s="32"/>
    </row>
    <row r="85" spans="1:16">
      <c r="A85" s="38" t="s">
        <v>27</v>
      </c>
      <c r="B85" s="1" t="s">
        <v>27</v>
      </c>
      <c r="C85" s="1" t="s">
        <v>27</v>
      </c>
      <c r="D85" s="31"/>
      <c r="E85" s="31"/>
      <c r="F85" s="31"/>
      <c r="G85" s="31"/>
      <c r="H85" s="32"/>
      <c r="I85" s="38" t="s">
        <v>27</v>
      </c>
      <c r="J85" s="1" t="s">
        <v>27</v>
      </c>
      <c r="K85" s="1" t="s">
        <v>27</v>
      </c>
      <c r="L85" s="31"/>
      <c r="M85" s="31"/>
      <c r="N85" s="31"/>
      <c r="O85" s="31"/>
      <c r="P85" s="32"/>
    </row>
    <row r="86" spans="1:16">
      <c r="A86" s="38" t="s">
        <v>27</v>
      </c>
      <c r="B86" s="1" t="s">
        <v>27</v>
      </c>
      <c r="C86" s="1" t="s">
        <v>27</v>
      </c>
      <c r="D86" s="31"/>
      <c r="E86" s="31"/>
      <c r="F86" s="31"/>
      <c r="G86" s="31"/>
      <c r="H86" s="32"/>
      <c r="I86" s="38" t="s">
        <v>27</v>
      </c>
      <c r="J86" s="1" t="s">
        <v>27</v>
      </c>
      <c r="K86" s="1" t="s">
        <v>27</v>
      </c>
      <c r="L86" s="31"/>
      <c r="M86" s="31"/>
      <c r="N86" s="31"/>
      <c r="O86" s="31"/>
      <c r="P86" s="32"/>
    </row>
    <row r="87" spans="1:16">
      <c r="A87" s="38" t="s">
        <v>27</v>
      </c>
      <c r="B87" s="1" t="s">
        <v>27</v>
      </c>
      <c r="C87" s="1" t="s">
        <v>27</v>
      </c>
      <c r="D87" s="31"/>
      <c r="E87" s="31"/>
      <c r="F87" s="31"/>
      <c r="G87" s="31"/>
      <c r="H87" s="32"/>
      <c r="I87" s="38" t="s">
        <v>27</v>
      </c>
      <c r="J87" s="1" t="s">
        <v>27</v>
      </c>
      <c r="K87" s="1" t="s">
        <v>27</v>
      </c>
      <c r="L87" s="31"/>
      <c r="M87" s="31"/>
      <c r="N87" s="31"/>
      <c r="O87" s="31"/>
      <c r="P87" s="32"/>
    </row>
    <row r="88" spans="1:16">
      <c r="A88" s="38" t="s">
        <v>27</v>
      </c>
      <c r="B88" s="1" t="s">
        <v>27</v>
      </c>
      <c r="C88" s="1" t="s">
        <v>27</v>
      </c>
      <c r="D88" s="31"/>
      <c r="E88" s="31"/>
      <c r="F88" s="31"/>
      <c r="G88" s="31"/>
      <c r="H88" s="32"/>
      <c r="I88" s="38" t="s">
        <v>27</v>
      </c>
      <c r="J88" s="1" t="s">
        <v>27</v>
      </c>
      <c r="K88" s="1" t="s">
        <v>27</v>
      </c>
      <c r="L88" s="31"/>
      <c r="M88" s="31"/>
      <c r="N88" s="31"/>
      <c r="O88" s="31"/>
      <c r="P88" s="32"/>
    </row>
    <row r="89" spans="1:16">
      <c r="A89" s="38" t="s">
        <v>27</v>
      </c>
      <c r="B89" s="1" t="s">
        <v>27</v>
      </c>
      <c r="C89" s="1" t="s">
        <v>27</v>
      </c>
      <c r="D89" s="31"/>
      <c r="E89" s="31"/>
      <c r="F89" s="31"/>
      <c r="G89" s="31"/>
      <c r="H89" s="32"/>
      <c r="I89" s="38" t="s">
        <v>27</v>
      </c>
      <c r="J89" s="1" t="s">
        <v>27</v>
      </c>
      <c r="K89" s="1" t="s">
        <v>27</v>
      </c>
      <c r="L89" s="31"/>
      <c r="M89" s="31"/>
      <c r="N89" s="31"/>
      <c r="O89" s="31"/>
      <c r="P89" s="32"/>
    </row>
    <row r="90" spans="1:16">
      <c r="A90" s="38" t="s">
        <v>27</v>
      </c>
      <c r="B90" s="1" t="s">
        <v>27</v>
      </c>
      <c r="C90" s="1" t="s">
        <v>27</v>
      </c>
      <c r="D90" s="31"/>
      <c r="E90" s="31"/>
      <c r="F90" s="31"/>
      <c r="G90" s="31"/>
      <c r="H90" s="32"/>
      <c r="I90" s="38" t="s">
        <v>27</v>
      </c>
      <c r="J90" s="1" t="s">
        <v>27</v>
      </c>
      <c r="K90" s="1" t="s">
        <v>27</v>
      </c>
      <c r="L90" s="31"/>
      <c r="M90" s="31"/>
      <c r="N90" s="31"/>
      <c r="O90" s="31"/>
      <c r="P90" s="32"/>
    </row>
    <row r="91" spans="1:16">
      <c r="A91" s="38" t="s">
        <v>27</v>
      </c>
      <c r="B91" s="1" t="s">
        <v>27</v>
      </c>
      <c r="C91" s="1" t="s">
        <v>27</v>
      </c>
      <c r="D91" s="31"/>
      <c r="E91" s="31"/>
      <c r="F91" s="31"/>
      <c r="G91" s="31"/>
      <c r="H91" s="32"/>
      <c r="I91" s="38" t="s">
        <v>27</v>
      </c>
      <c r="J91" s="1" t="s">
        <v>27</v>
      </c>
      <c r="K91" s="1" t="s">
        <v>27</v>
      </c>
      <c r="L91" s="31"/>
      <c r="M91" s="31"/>
      <c r="N91" s="31"/>
      <c r="O91" s="31"/>
      <c r="P91" s="32"/>
    </row>
    <row r="92" spans="1:16">
      <c r="A92" s="38" t="s">
        <v>27</v>
      </c>
      <c r="B92" s="1" t="s">
        <v>27</v>
      </c>
      <c r="C92" s="1" t="s">
        <v>27</v>
      </c>
      <c r="D92" s="31"/>
      <c r="E92" s="31"/>
      <c r="F92" s="31"/>
      <c r="G92" s="31"/>
      <c r="H92" s="32"/>
      <c r="I92" s="38" t="s">
        <v>27</v>
      </c>
      <c r="J92" s="1" t="s">
        <v>27</v>
      </c>
      <c r="K92" s="1" t="s">
        <v>27</v>
      </c>
      <c r="L92" s="31"/>
      <c r="M92" s="31"/>
      <c r="N92" s="31"/>
      <c r="O92" s="31"/>
      <c r="P92" s="32"/>
    </row>
    <row r="93" spans="1:16">
      <c r="A93" s="38" t="s">
        <v>27</v>
      </c>
      <c r="B93" s="1" t="s">
        <v>27</v>
      </c>
      <c r="C93" s="1" t="s">
        <v>27</v>
      </c>
      <c r="D93" s="31"/>
      <c r="E93" s="31"/>
      <c r="F93" s="31"/>
      <c r="G93" s="31"/>
      <c r="H93" s="32"/>
      <c r="I93" s="38" t="s">
        <v>27</v>
      </c>
      <c r="J93" s="1" t="s">
        <v>27</v>
      </c>
      <c r="K93" s="1" t="s">
        <v>27</v>
      </c>
      <c r="L93" s="31"/>
      <c r="M93" s="31"/>
      <c r="N93" s="31"/>
      <c r="O93" s="31"/>
      <c r="P93" s="32"/>
    </row>
    <row r="94" spans="1:16">
      <c r="A94" s="38" t="s">
        <v>27</v>
      </c>
      <c r="B94" s="1" t="s">
        <v>27</v>
      </c>
      <c r="C94" s="1" t="s">
        <v>27</v>
      </c>
      <c r="D94" s="31"/>
      <c r="E94" s="31"/>
      <c r="F94" s="31"/>
      <c r="G94" s="31"/>
      <c r="H94" s="32"/>
      <c r="I94" s="38" t="s">
        <v>27</v>
      </c>
      <c r="J94" s="1" t="s">
        <v>27</v>
      </c>
      <c r="K94" s="1" t="s">
        <v>27</v>
      </c>
      <c r="L94" s="31"/>
      <c r="M94" s="31"/>
      <c r="N94" s="31"/>
      <c r="O94" s="31"/>
      <c r="P94" s="32"/>
    </row>
    <row r="95" spans="1:16">
      <c r="A95" s="38" t="s">
        <v>27</v>
      </c>
      <c r="B95" s="1" t="s">
        <v>27</v>
      </c>
      <c r="C95" s="1" t="s">
        <v>27</v>
      </c>
      <c r="D95" s="31"/>
      <c r="E95" s="31"/>
      <c r="F95" s="31"/>
      <c r="G95" s="31"/>
      <c r="H95" s="32"/>
      <c r="I95" s="38" t="s">
        <v>27</v>
      </c>
      <c r="J95" s="1" t="s">
        <v>27</v>
      </c>
      <c r="K95" s="1" t="s">
        <v>27</v>
      </c>
      <c r="L95" s="31"/>
      <c r="M95" s="31"/>
      <c r="N95" s="31"/>
      <c r="O95" s="31"/>
      <c r="P95" s="32"/>
    </row>
    <row r="96" spans="1:16">
      <c r="A96" s="38" t="s">
        <v>27</v>
      </c>
      <c r="B96" s="1" t="s">
        <v>27</v>
      </c>
      <c r="C96" s="1" t="s">
        <v>27</v>
      </c>
      <c r="D96" s="31"/>
      <c r="E96" s="31"/>
      <c r="F96" s="31"/>
      <c r="G96" s="31"/>
      <c r="H96" s="32"/>
      <c r="I96" s="38" t="s">
        <v>27</v>
      </c>
      <c r="J96" s="1" t="s">
        <v>27</v>
      </c>
      <c r="K96" s="1" t="s">
        <v>27</v>
      </c>
      <c r="L96" s="31"/>
      <c r="M96" s="31"/>
      <c r="N96" s="31"/>
      <c r="O96" s="31"/>
      <c r="P96" s="32"/>
    </row>
    <row r="97" spans="1:16">
      <c r="A97" s="38" t="s">
        <v>27</v>
      </c>
      <c r="B97" s="1" t="s">
        <v>27</v>
      </c>
      <c r="C97" s="1" t="s">
        <v>27</v>
      </c>
      <c r="D97" s="31"/>
      <c r="E97" s="31"/>
      <c r="F97" s="31"/>
      <c r="G97" s="31"/>
      <c r="H97" s="32"/>
      <c r="I97" s="38" t="s">
        <v>27</v>
      </c>
      <c r="J97" s="1" t="s">
        <v>27</v>
      </c>
      <c r="K97" s="1" t="s">
        <v>27</v>
      </c>
      <c r="L97" s="31"/>
      <c r="M97" s="31"/>
      <c r="N97" s="31"/>
      <c r="O97" s="31"/>
      <c r="P97" s="32"/>
    </row>
    <row r="98" spans="1:16">
      <c r="A98" s="38" t="s">
        <v>27</v>
      </c>
      <c r="B98" s="1" t="s">
        <v>27</v>
      </c>
      <c r="C98" s="1" t="s">
        <v>27</v>
      </c>
      <c r="D98" s="31"/>
      <c r="E98" s="31"/>
      <c r="F98" s="31"/>
      <c r="G98" s="31"/>
      <c r="H98" s="32"/>
      <c r="I98" s="38" t="s">
        <v>27</v>
      </c>
      <c r="J98" s="1" t="s">
        <v>27</v>
      </c>
      <c r="K98" s="1" t="s">
        <v>27</v>
      </c>
      <c r="L98" s="31"/>
      <c r="M98" s="31"/>
      <c r="N98" s="31"/>
      <c r="O98" s="31"/>
      <c r="P98" s="32"/>
    </row>
    <row r="99" spans="1:16">
      <c r="A99" s="38" t="s">
        <v>27</v>
      </c>
      <c r="B99" s="1" t="s">
        <v>27</v>
      </c>
      <c r="C99" s="1" t="s">
        <v>27</v>
      </c>
      <c r="D99" s="31"/>
      <c r="E99" s="31"/>
      <c r="F99" s="31"/>
      <c r="G99" s="31"/>
      <c r="H99" s="32"/>
      <c r="I99" s="38" t="s">
        <v>27</v>
      </c>
      <c r="J99" s="1" t="s">
        <v>27</v>
      </c>
      <c r="K99" s="1" t="s">
        <v>27</v>
      </c>
      <c r="L99" s="31"/>
      <c r="M99" s="31"/>
      <c r="N99" s="31"/>
      <c r="O99" s="31"/>
      <c r="P99" s="32"/>
    </row>
    <row r="100" spans="1:16" ht="15" thickBot="1">
      <c r="A100" s="39" t="s">
        <v>27</v>
      </c>
      <c r="B100" s="40" t="s">
        <v>27</v>
      </c>
      <c r="C100" s="40" t="s">
        <v>27</v>
      </c>
      <c r="D100" s="41"/>
      <c r="E100" s="41"/>
      <c r="F100" s="41"/>
      <c r="G100" s="41"/>
      <c r="H100" s="42"/>
      <c r="I100" s="39" t="s">
        <v>27</v>
      </c>
      <c r="J100" s="40" t="s">
        <v>27</v>
      </c>
      <c r="K100" s="40" t="s">
        <v>27</v>
      </c>
      <c r="L100" s="41"/>
      <c r="M100" s="41"/>
      <c r="N100" s="41"/>
      <c r="O100" s="41"/>
      <c r="P100" s="4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091B-F089-4116-A7D0-5749B935A1F0}">
  <dimension ref="A1:AB100"/>
  <sheetViews>
    <sheetView tabSelected="1" workbookViewId="0">
      <selection activeCell="Z11" sqref="Z11"/>
    </sheetView>
  </sheetViews>
  <sheetFormatPr defaultRowHeight="14.4"/>
  <sheetData>
    <row r="1" spans="1:28" ht="15.6">
      <c r="A1" s="70" t="s">
        <v>30</v>
      </c>
      <c r="B1" s="71"/>
      <c r="C1" s="71"/>
      <c r="D1" s="71"/>
      <c r="E1" s="71"/>
      <c r="F1" s="72" t="s">
        <v>3</v>
      </c>
      <c r="G1" s="72"/>
      <c r="H1" s="27" cm="1">
        <f t="array" ref="H1">SUM(VLOOKUP(A4:C100,$T$3:$W$36,4,FALSE))+H4*10-H8*50</f>
        <v>2513.9972437303932</v>
      </c>
      <c r="I1" s="73" t="s">
        <v>41</v>
      </c>
      <c r="J1" s="74"/>
      <c r="K1" s="74"/>
      <c r="L1" s="74"/>
      <c r="M1" s="74"/>
      <c r="N1" s="74"/>
      <c r="O1" s="74"/>
      <c r="P1" s="75"/>
      <c r="Q1" s="73" t="s">
        <v>48</v>
      </c>
      <c r="R1" s="74"/>
      <c r="S1" s="74"/>
      <c r="T1" s="74"/>
      <c r="U1" s="74"/>
      <c r="V1" s="74"/>
      <c r="W1" s="74"/>
      <c r="X1" s="74"/>
      <c r="Y1" s="74"/>
      <c r="Z1" s="74"/>
      <c r="AA1" s="74"/>
      <c r="AB1" s="75"/>
    </row>
    <row r="2" spans="1:28" ht="28.8">
      <c r="A2" s="76" t="s">
        <v>35</v>
      </c>
      <c r="B2" s="77"/>
      <c r="C2" s="77"/>
      <c r="D2" s="78" t="s">
        <v>37</v>
      </c>
      <c r="E2" s="79"/>
      <c r="F2" s="79"/>
      <c r="G2" s="79"/>
      <c r="H2" s="80"/>
      <c r="I2" s="81" t="s">
        <v>35</v>
      </c>
      <c r="J2" s="82"/>
      <c r="K2" s="82"/>
      <c r="L2" s="83" t="s">
        <v>37</v>
      </c>
      <c r="M2" s="83"/>
      <c r="N2" s="83"/>
      <c r="O2" s="83"/>
      <c r="P2" s="84"/>
      <c r="Q2" s="60" t="s">
        <v>43</v>
      </c>
      <c r="R2" s="61" cm="1">
        <f t="array" ref="R2">SUM(V3:V28*AB3:AB28)+H6+P6+R4*500</f>
        <v>65150</v>
      </c>
      <c r="S2" s="31"/>
      <c r="T2" s="1" t="s">
        <v>0</v>
      </c>
      <c r="U2" s="1" t="s">
        <v>1</v>
      </c>
      <c r="V2" s="1" t="s">
        <v>2</v>
      </c>
      <c r="W2" s="54" t="s">
        <v>3</v>
      </c>
      <c r="X2" s="56" t="s">
        <v>44</v>
      </c>
      <c r="Y2" s="56" t="s">
        <v>56</v>
      </c>
      <c r="Z2" s="57" t="s">
        <v>45</v>
      </c>
      <c r="AA2" s="57" t="s">
        <v>46</v>
      </c>
      <c r="AB2" s="62" t="s">
        <v>47</v>
      </c>
    </row>
    <row r="3" spans="1:28">
      <c r="A3" s="28" t="s">
        <v>31</v>
      </c>
      <c r="B3" s="68" t="s">
        <v>32</v>
      </c>
      <c r="C3" s="20" t="s">
        <v>33</v>
      </c>
      <c r="D3" s="43"/>
      <c r="E3" s="28" t="s">
        <v>31</v>
      </c>
      <c r="F3" s="68" t="s">
        <v>32</v>
      </c>
      <c r="G3" s="20" t="s">
        <v>33</v>
      </c>
      <c r="H3" s="44" t="s">
        <v>36</v>
      </c>
      <c r="I3" s="28" t="s">
        <v>31</v>
      </c>
      <c r="J3" s="68" t="s">
        <v>32</v>
      </c>
      <c r="K3" s="20" t="s">
        <v>33</v>
      </c>
      <c r="L3" s="43"/>
      <c r="M3" s="28" t="s">
        <v>31</v>
      </c>
      <c r="N3" s="68" t="s">
        <v>32</v>
      </c>
      <c r="O3" s="20" t="s">
        <v>33</v>
      </c>
      <c r="P3" s="44" t="s">
        <v>36</v>
      </c>
      <c r="Q3" s="63" t="s">
        <v>49</v>
      </c>
      <c r="R3" s="31">
        <v>91</v>
      </c>
      <c r="S3" s="31"/>
      <c r="T3" s="2" t="s">
        <v>4</v>
      </c>
      <c r="U3" s="1">
        <v>150</v>
      </c>
      <c r="V3" s="1">
        <v>35</v>
      </c>
      <c r="W3" s="55">
        <f>U3-V3/0.330882</f>
        <v>44.222109392472248</v>
      </c>
      <c r="X3" s="56"/>
      <c r="Y3" s="56">
        <v>11</v>
      </c>
      <c r="Z3" s="1">
        <f>COUNTIF($A$4:$C$100,T3)</f>
        <v>6</v>
      </c>
      <c r="AA3" s="1">
        <f>COUNTIF($I$4:$K$100,T3)</f>
        <v>5</v>
      </c>
      <c r="AB3" s="64">
        <f>Y3-Z3-AA3</f>
        <v>0</v>
      </c>
    </row>
    <row r="4" spans="1:28">
      <c r="A4" s="2" t="s">
        <v>4</v>
      </c>
      <c r="B4" s="15" t="s">
        <v>17</v>
      </c>
      <c r="C4" s="3" t="s">
        <v>5</v>
      </c>
      <c r="D4" s="53" t="s">
        <v>34</v>
      </c>
      <c r="E4" s="49">
        <v>5</v>
      </c>
      <c r="F4" s="49">
        <v>0</v>
      </c>
      <c r="G4" s="49">
        <v>1</v>
      </c>
      <c r="H4" s="46">
        <f>SUM(E4:G4)</f>
        <v>6</v>
      </c>
      <c r="I4" s="1" t="s">
        <v>27</v>
      </c>
      <c r="J4" s="15" t="s">
        <v>17</v>
      </c>
      <c r="K4" s="1" t="s">
        <v>27</v>
      </c>
      <c r="L4" s="53" t="s">
        <v>34</v>
      </c>
      <c r="M4" s="49">
        <v>0</v>
      </c>
      <c r="N4" s="49">
        <v>3</v>
      </c>
      <c r="O4" s="49">
        <v>0</v>
      </c>
      <c r="P4" s="46">
        <f>SUM(M4:O4)</f>
        <v>3</v>
      </c>
      <c r="Q4" s="63" t="s">
        <v>50</v>
      </c>
      <c r="R4" s="50">
        <v>14</v>
      </c>
      <c r="S4" s="31"/>
      <c r="T4" s="3" t="s">
        <v>5</v>
      </c>
      <c r="U4" s="1">
        <v>160</v>
      </c>
      <c r="V4" s="1">
        <v>40</v>
      </c>
      <c r="W4" s="55">
        <f t="shared" ref="W4" si="0">U4-V4/0.330882</f>
        <v>39.110982162825422</v>
      </c>
      <c r="X4" s="56"/>
      <c r="Y4" s="56">
        <v>46</v>
      </c>
      <c r="Z4" s="1">
        <f t="shared" ref="Z4:Z28" si="1">COUNTIF($A$4:$C$100,T4)</f>
        <v>13</v>
      </c>
      <c r="AA4" s="1">
        <f t="shared" ref="AA4:AA28" si="2">COUNTIF($I$4:$K$100,T4)</f>
        <v>33</v>
      </c>
      <c r="AB4" s="64">
        <f t="shared" ref="AB4:AB28" si="3">Y4-Z4-AA4</f>
        <v>0</v>
      </c>
    </row>
    <row r="5" spans="1:28">
      <c r="A5" s="2" t="s">
        <v>4</v>
      </c>
      <c r="B5" s="3" t="s">
        <v>5</v>
      </c>
      <c r="C5" s="16" t="s">
        <v>18</v>
      </c>
      <c r="D5" s="43" t="s">
        <v>38</v>
      </c>
      <c r="E5" s="45" cm="1">
        <f t="array" ref="E5">(SUM(VLOOKUP(A4:A100,$T$3:$W$41,2,FALSE))+E4*10)-E8*50</f>
        <v>5800</v>
      </c>
      <c r="F5" s="45" cm="1">
        <f t="array" ref="F5">(SUM(VLOOKUP(B4:B100,$T$3:$W$41,2,FALSE))+F4*10)-F8*50</f>
        <v>850</v>
      </c>
      <c r="G5" s="45" cm="1">
        <f t="array" ref="G5">(SUM(VLOOKUP(C4:C100,$T$3:$W$41,2,FALSE))+G4*10)-G8*50</f>
        <v>6130</v>
      </c>
      <c r="H5" s="69">
        <f>SUM(E5:G5)</f>
        <v>12780</v>
      </c>
      <c r="I5" s="1" t="s">
        <v>27</v>
      </c>
      <c r="J5" s="3" t="s">
        <v>5</v>
      </c>
      <c r="K5" s="1" t="s">
        <v>27</v>
      </c>
      <c r="L5" s="43" t="s">
        <v>38</v>
      </c>
      <c r="M5" s="45" cm="1">
        <f t="array" ref="M5">(SUM(VLOOKUP(I4:I100,$T$3:$W$41,2,FALSE))+M4*10)*0.8-M8*40</f>
        <v>0</v>
      </c>
      <c r="N5" s="45" cm="1">
        <f t="array" ref="N5">(SUM(VLOOKUP(J4:J100,$T$3:$W$41,2,FALSE))+N4*10)*0.8-N8*40</f>
        <v>5168</v>
      </c>
      <c r="O5" s="45" cm="1">
        <f t="array" ref="O5">(SUM(VLOOKUP(K4:K100,$T$3:$W$41,2,FALSE))+O4*10)*0.8-O8*40</f>
        <v>0</v>
      </c>
      <c r="P5" s="69">
        <f t="shared" ref="P5:P8" si="4">SUM(M5:O5)</f>
        <v>5168</v>
      </c>
      <c r="Q5" s="63" t="s">
        <v>51</v>
      </c>
      <c r="R5" s="31">
        <v>6000</v>
      </c>
      <c r="S5" s="31"/>
      <c r="T5" s="4" t="s">
        <v>6</v>
      </c>
      <c r="U5" s="1">
        <v>170</v>
      </c>
      <c r="V5" s="1">
        <v>45</v>
      </c>
      <c r="W5" s="55">
        <v>34</v>
      </c>
      <c r="X5" s="58"/>
      <c r="Y5" s="56">
        <v>240</v>
      </c>
      <c r="Z5" s="1">
        <f t="shared" si="1"/>
        <v>47</v>
      </c>
      <c r="AA5" s="1">
        <f t="shared" si="2"/>
        <v>0</v>
      </c>
      <c r="AB5" s="64">
        <f t="shared" si="3"/>
        <v>193</v>
      </c>
    </row>
    <row r="6" spans="1:28">
      <c r="A6" s="2" t="s">
        <v>4</v>
      </c>
      <c r="B6" s="3" t="s">
        <v>5</v>
      </c>
      <c r="C6" s="3" t="s">
        <v>5</v>
      </c>
      <c r="D6" s="43" t="s">
        <v>39</v>
      </c>
      <c r="E6" s="45" cm="1">
        <f t="array" ref="E6">(SUM(VLOOKUP(A4:A100,$T$3:$W$41,3,FALSE)))</f>
        <v>1815</v>
      </c>
      <c r="F6" s="45" cm="1">
        <f t="array" ref="F6">(SUM(VLOOKUP(B4:B100,$T$3:$W$41,3,FALSE)))</f>
        <v>230</v>
      </c>
      <c r="G6" s="45" cm="1">
        <f t="array" ref="G6">(SUM(VLOOKUP(C4:C100,$T$3:$W$41,3,FALSE)))</f>
        <v>2360</v>
      </c>
      <c r="H6" s="59">
        <f t="shared" ref="H5:H8" si="5">SUM(E6:G6)</f>
        <v>4405</v>
      </c>
      <c r="I6" s="1" t="s">
        <v>27</v>
      </c>
      <c r="J6" s="3" t="s">
        <v>5</v>
      </c>
      <c r="K6" s="1" t="s">
        <v>27</v>
      </c>
      <c r="L6" s="43" t="s">
        <v>39</v>
      </c>
      <c r="M6" s="45" cm="1">
        <f t="array" ref="M6">(SUM(VLOOKUP(I4:I100,$T$3:$W$41,3,FALSE)))</f>
        <v>0</v>
      </c>
      <c r="N6" s="45" cm="1">
        <f t="array" ref="N6">(SUM(VLOOKUP(J4:J100,$T$3:$W$41,3,FALSE)))</f>
        <v>1935</v>
      </c>
      <c r="O6" s="45" cm="1">
        <f t="array" ref="O6">(SUM(VLOOKUP(K4:K100,$T$3:$W$41,3,FALSE)))</f>
        <v>0</v>
      </c>
      <c r="P6" s="59">
        <f t="shared" si="4"/>
        <v>1935</v>
      </c>
      <c r="Q6" s="60" t="s">
        <v>52</v>
      </c>
      <c r="R6" s="31">
        <f>R3*1600-800+R5</f>
        <v>150800</v>
      </c>
      <c r="S6" s="31"/>
      <c r="T6" s="5" t="s">
        <v>7</v>
      </c>
      <c r="U6" s="1">
        <v>180</v>
      </c>
      <c r="V6" s="1">
        <v>50</v>
      </c>
      <c r="W6" s="55">
        <v>36</v>
      </c>
      <c r="X6" s="56">
        <v>265</v>
      </c>
      <c r="Y6" s="56">
        <v>265</v>
      </c>
      <c r="Z6" s="1">
        <f t="shared" si="1"/>
        <v>0</v>
      </c>
      <c r="AA6" s="1">
        <f t="shared" si="2"/>
        <v>0</v>
      </c>
      <c r="AB6" s="64">
        <f t="shared" si="3"/>
        <v>265</v>
      </c>
    </row>
    <row r="7" spans="1:28">
      <c r="A7" s="2" t="s">
        <v>4</v>
      </c>
      <c r="B7" s="3" t="s">
        <v>5</v>
      </c>
      <c r="C7" s="23" t="s">
        <v>29</v>
      </c>
      <c r="D7" s="43" t="s">
        <v>40</v>
      </c>
      <c r="E7" s="45">
        <f>COUNTIF(A4:A100,"&lt;&gt;空")</f>
        <v>36</v>
      </c>
      <c r="F7" s="45">
        <f>COUNTIF(B4:B100,"&lt;&gt;空")</f>
        <v>6</v>
      </c>
      <c r="G7" s="45">
        <f>COUNTIF(C4:C100,"&lt;&gt;空")</f>
        <v>42</v>
      </c>
      <c r="H7" s="46">
        <f t="shared" si="5"/>
        <v>84</v>
      </c>
      <c r="I7" s="1" t="s">
        <v>27</v>
      </c>
      <c r="J7" s="3" t="s">
        <v>5</v>
      </c>
      <c r="K7" s="1" t="s">
        <v>27</v>
      </c>
      <c r="L7" s="43" t="s">
        <v>40</v>
      </c>
      <c r="M7" s="45">
        <f>COUNTIF(I4:I100,"&lt;&gt;空")</f>
        <v>0</v>
      </c>
      <c r="N7" s="45">
        <f>COUNTIF(J4:J100,"&lt;&gt;空")</f>
        <v>54</v>
      </c>
      <c r="O7" s="45">
        <f>COUNTIF(K4:K100,"&lt;&gt;空")</f>
        <v>0</v>
      </c>
      <c r="P7" s="46">
        <f t="shared" si="4"/>
        <v>54</v>
      </c>
      <c r="Q7" s="63" t="s">
        <v>55</v>
      </c>
      <c r="R7" s="31">
        <v>12</v>
      </c>
      <c r="S7" s="31"/>
      <c r="T7" s="6" t="s">
        <v>8</v>
      </c>
      <c r="U7" s="1">
        <v>190</v>
      </c>
      <c r="V7" s="1">
        <v>55</v>
      </c>
      <c r="W7" s="55">
        <v>38</v>
      </c>
      <c r="X7" s="56">
        <v>234</v>
      </c>
      <c r="Y7" s="56">
        <v>234</v>
      </c>
      <c r="Z7" s="1">
        <f t="shared" si="1"/>
        <v>0</v>
      </c>
      <c r="AA7" s="1">
        <f t="shared" si="2"/>
        <v>0</v>
      </c>
      <c r="AB7" s="64">
        <f t="shared" si="3"/>
        <v>234</v>
      </c>
    </row>
    <row r="8" spans="1:28">
      <c r="A8" s="2" t="s">
        <v>4</v>
      </c>
      <c r="B8" s="3" t="s">
        <v>5</v>
      </c>
      <c r="C8" s="3" t="s">
        <v>5</v>
      </c>
      <c r="D8" s="52" t="s">
        <v>53</v>
      </c>
      <c r="E8" s="51">
        <v>1</v>
      </c>
      <c r="F8" s="51">
        <v>0</v>
      </c>
      <c r="G8" s="51">
        <v>0</v>
      </c>
      <c r="H8" s="46">
        <f t="shared" si="5"/>
        <v>1</v>
      </c>
      <c r="I8" s="1" t="s">
        <v>27</v>
      </c>
      <c r="J8" s="3" t="s">
        <v>5</v>
      </c>
      <c r="K8" s="1" t="s">
        <v>27</v>
      </c>
      <c r="L8" s="52" t="s">
        <v>53</v>
      </c>
      <c r="M8" s="51">
        <v>0</v>
      </c>
      <c r="N8" s="51">
        <v>2</v>
      </c>
      <c r="O8" s="51">
        <v>0</v>
      </c>
      <c r="P8" s="46">
        <f t="shared" si="4"/>
        <v>2</v>
      </c>
      <c r="Q8" s="60" t="s">
        <v>54</v>
      </c>
      <c r="R8" s="65" cm="1">
        <f t="array" ref="R8">R6-P5-H5-SUM(U3:U28*AB3:AB28)*0.8-R7*8</f>
        <v>60</v>
      </c>
      <c r="S8" s="31"/>
      <c r="T8" s="7" t="s">
        <v>9</v>
      </c>
      <c r="U8" s="1">
        <v>200</v>
      </c>
      <c r="V8" s="1">
        <v>60</v>
      </c>
      <c r="W8" s="55"/>
      <c r="X8" s="56">
        <v>194</v>
      </c>
      <c r="Y8" s="56">
        <v>194</v>
      </c>
      <c r="Z8" s="1">
        <f t="shared" si="1"/>
        <v>0</v>
      </c>
      <c r="AA8" s="1">
        <f t="shared" si="2"/>
        <v>0</v>
      </c>
      <c r="AB8" s="64">
        <f t="shared" si="3"/>
        <v>194</v>
      </c>
    </row>
    <row r="9" spans="1:28">
      <c r="A9" s="2" t="s">
        <v>4</v>
      </c>
      <c r="B9" s="3" t="s">
        <v>5</v>
      </c>
      <c r="C9" s="3" t="s">
        <v>5</v>
      </c>
      <c r="D9" s="31"/>
      <c r="E9" s="31"/>
      <c r="F9" s="31"/>
      <c r="G9" s="31"/>
      <c r="H9" s="32"/>
      <c r="I9" s="1" t="s">
        <v>27</v>
      </c>
      <c r="J9" s="15" t="s">
        <v>17</v>
      </c>
      <c r="K9" s="1" t="s">
        <v>27</v>
      </c>
      <c r="L9" s="43" t="s">
        <v>42</v>
      </c>
      <c r="M9" s="47" t="e">
        <f>M6/M5</f>
        <v>#DIV/0!</v>
      </c>
      <c r="N9" s="47">
        <f>N6/N5</f>
        <v>0.37441950464396284</v>
      </c>
      <c r="O9" s="47" t="e">
        <f>O6/O5</f>
        <v>#DIV/0!</v>
      </c>
      <c r="P9" s="48">
        <f>P6/P5</f>
        <v>0.37441950464396284</v>
      </c>
      <c r="Q9" s="60"/>
      <c r="R9" s="31"/>
      <c r="S9" s="31"/>
      <c r="T9" s="8" t="s">
        <v>10</v>
      </c>
      <c r="U9" s="1">
        <v>150</v>
      </c>
      <c r="V9" s="1">
        <v>35</v>
      </c>
      <c r="W9" s="55">
        <f t="shared" ref="W9:W11" si="6">U9-V9/0.330882</f>
        <v>44.222109392472248</v>
      </c>
      <c r="X9" s="56">
        <v>3</v>
      </c>
      <c r="Y9" s="56">
        <v>0</v>
      </c>
      <c r="Z9" s="1">
        <f t="shared" si="1"/>
        <v>0</v>
      </c>
      <c r="AA9" s="1">
        <f t="shared" si="2"/>
        <v>0</v>
      </c>
      <c r="AB9" s="64">
        <f t="shared" si="3"/>
        <v>0</v>
      </c>
    </row>
    <row r="10" spans="1:28">
      <c r="A10" s="1" t="s">
        <v>27</v>
      </c>
      <c r="B10" s="1" t="s">
        <v>27</v>
      </c>
      <c r="C10" s="3" t="s">
        <v>5</v>
      </c>
      <c r="D10" s="31"/>
      <c r="E10" s="31"/>
      <c r="F10" s="31"/>
      <c r="G10" s="31"/>
      <c r="H10" s="32"/>
      <c r="I10" s="1" t="s">
        <v>27</v>
      </c>
      <c r="J10" s="1" t="s">
        <v>27</v>
      </c>
      <c r="K10" s="1" t="s">
        <v>27</v>
      </c>
      <c r="L10" s="31"/>
      <c r="M10" s="31"/>
      <c r="N10" s="31"/>
      <c r="O10" s="31"/>
      <c r="P10" s="32"/>
      <c r="Q10" s="60"/>
      <c r="R10" s="31"/>
      <c r="S10" s="31"/>
      <c r="T10" s="9" t="s">
        <v>11</v>
      </c>
      <c r="U10" s="1">
        <v>150</v>
      </c>
      <c r="V10" s="1">
        <v>40</v>
      </c>
      <c r="W10" s="55">
        <f t="shared" si="6"/>
        <v>29.110982162825422</v>
      </c>
      <c r="X10" s="56">
        <v>7</v>
      </c>
      <c r="Y10" s="56">
        <v>2</v>
      </c>
      <c r="Z10" s="1">
        <f t="shared" si="1"/>
        <v>0</v>
      </c>
      <c r="AA10" s="1">
        <f t="shared" si="2"/>
        <v>2</v>
      </c>
      <c r="AB10" s="64">
        <f t="shared" si="3"/>
        <v>0</v>
      </c>
    </row>
    <row r="11" spans="1:28">
      <c r="A11" s="1" t="s">
        <v>27</v>
      </c>
      <c r="B11" s="1" t="s">
        <v>27</v>
      </c>
      <c r="C11" s="3" t="s">
        <v>5</v>
      </c>
      <c r="D11" s="31"/>
      <c r="E11" s="31"/>
      <c r="F11" s="31"/>
      <c r="G11" s="31"/>
      <c r="H11" s="32"/>
      <c r="I11" s="1" t="s">
        <v>27</v>
      </c>
      <c r="J11" s="3" t="s">
        <v>5</v>
      </c>
      <c r="K11" s="1" t="s">
        <v>27</v>
      </c>
      <c r="L11" s="31"/>
      <c r="M11" s="31"/>
      <c r="N11" s="31"/>
      <c r="O11" s="31"/>
      <c r="P11" s="32">
        <f>H5+P5</f>
        <v>17948</v>
      </c>
      <c r="Q11" s="60"/>
      <c r="R11" s="31"/>
      <c r="S11" s="31"/>
      <c r="T11" s="10" t="s">
        <v>12</v>
      </c>
      <c r="U11" s="1">
        <v>150</v>
      </c>
      <c r="V11" s="1">
        <v>45</v>
      </c>
      <c r="W11" s="55">
        <f t="shared" si="6"/>
        <v>13.999854933178597</v>
      </c>
      <c r="X11" s="56">
        <v>6</v>
      </c>
      <c r="Y11" s="56">
        <v>6</v>
      </c>
      <c r="Z11" s="1">
        <f t="shared" si="1"/>
        <v>2</v>
      </c>
      <c r="AA11" s="1">
        <f t="shared" si="2"/>
        <v>0</v>
      </c>
      <c r="AB11" s="64">
        <f t="shared" si="3"/>
        <v>4</v>
      </c>
    </row>
    <row r="12" spans="1:28">
      <c r="A12" s="1" t="s">
        <v>27</v>
      </c>
      <c r="B12" s="1" t="s">
        <v>27</v>
      </c>
      <c r="C12" s="3" t="s">
        <v>5</v>
      </c>
      <c r="D12" s="31"/>
      <c r="E12" s="31"/>
      <c r="F12" s="31"/>
      <c r="G12" s="31"/>
      <c r="H12" s="32"/>
      <c r="I12" s="1" t="s">
        <v>27</v>
      </c>
      <c r="J12" s="16" t="s">
        <v>28</v>
      </c>
      <c r="K12" s="1" t="s">
        <v>27</v>
      </c>
      <c r="L12" s="31"/>
      <c r="M12" s="31"/>
      <c r="N12" s="31"/>
      <c r="O12" s="31"/>
      <c r="P12" s="32">
        <f>H6+P6</f>
        <v>6340</v>
      </c>
      <c r="Q12" s="60"/>
      <c r="R12" s="31"/>
      <c r="S12" s="31"/>
      <c r="T12" s="11" t="s">
        <v>13</v>
      </c>
      <c r="U12" s="1">
        <v>150</v>
      </c>
      <c r="V12" s="1">
        <v>50</v>
      </c>
      <c r="W12" s="55"/>
      <c r="X12" s="56">
        <v>4</v>
      </c>
      <c r="Y12" s="56">
        <v>4</v>
      </c>
      <c r="Z12" s="1">
        <f t="shared" si="1"/>
        <v>0</v>
      </c>
      <c r="AA12" s="1">
        <f t="shared" si="2"/>
        <v>0</v>
      </c>
      <c r="AB12" s="64">
        <f t="shared" si="3"/>
        <v>4</v>
      </c>
    </row>
    <row r="13" spans="1:28">
      <c r="A13" s="1" t="s">
        <v>27</v>
      </c>
      <c r="B13" s="1" t="s">
        <v>27</v>
      </c>
      <c r="C13" s="3" t="s">
        <v>5</v>
      </c>
      <c r="D13" s="31"/>
      <c r="E13" s="31"/>
      <c r="F13" s="31"/>
      <c r="G13" s="31"/>
      <c r="H13" s="32"/>
      <c r="I13" s="1" t="s">
        <v>27</v>
      </c>
      <c r="J13" s="3" t="s">
        <v>5</v>
      </c>
      <c r="K13" s="1" t="s">
        <v>27</v>
      </c>
      <c r="L13" s="31"/>
      <c r="M13" s="31"/>
      <c r="N13" s="31"/>
      <c r="O13" s="31"/>
      <c r="P13" s="32"/>
      <c r="Q13" s="60"/>
      <c r="R13" s="31"/>
      <c r="S13" s="31"/>
      <c r="T13" s="12" t="s">
        <v>14</v>
      </c>
      <c r="U13" s="1">
        <v>150</v>
      </c>
      <c r="V13" s="1">
        <v>55</v>
      </c>
      <c r="W13" s="55"/>
      <c r="X13" s="56">
        <v>3</v>
      </c>
      <c r="Y13" s="56">
        <v>3</v>
      </c>
      <c r="Z13" s="1">
        <f t="shared" si="1"/>
        <v>0</v>
      </c>
      <c r="AA13" s="1">
        <f t="shared" si="2"/>
        <v>0</v>
      </c>
      <c r="AB13" s="64">
        <f t="shared" si="3"/>
        <v>3</v>
      </c>
    </row>
    <row r="14" spans="1:28">
      <c r="A14" s="1" t="s">
        <v>27</v>
      </c>
      <c r="B14" s="1" t="s">
        <v>27</v>
      </c>
      <c r="C14" s="4" t="s">
        <v>6</v>
      </c>
      <c r="D14" s="31"/>
      <c r="E14" s="31"/>
      <c r="F14" s="31"/>
      <c r="G14" s="31"/>
      <c r="H14" s="32"/>
      <c r="I14" s="1" t="s">
        <v>27</v>
      </c>
      <c r="J14" s="3" t="s">
        <v>5</v>
      </c>
      <c r="K14" s="1" t="s">
        <v>27</v>
      </c>
      <c r="L14" s="31"/>
      <c r="M14" s="31"/>
      <c r="N14" s="31"/>
      <c r="O14" s="31"/>
      <c r="P14" s="32"/>
      <c r="Q14" s="60"/>
      <c r="R14" s="31"/>
      <c r="S14" s="31"/>
      <c r="T14" s="13" t="s">
        <v>15</v>
      </c>
      <c r="U14" s="1">
        <v>150</v>
      </c>
      <c r="V14" s="1">
        <v>60</v>
      </c>
      <c r="W14" s="55"/>
      <c r="X14" s="56">
        <v>1</v>
      </c>
      <c r="Y14" s="56">
        <v>1</v>
      </c>
      <c r="Z14" s="1">
        <f t="shared" si="1"/>
        <v>0</v>
      </c>
      <c r="AA14" s="1">
        <f t="shared" si="2"/>
        <v>0</v>
      </c>
      <c r="AB14" s="64">
        <f t="shared" si="3"/>
        <v>1</v>
      </c>
    </row>
    <row r="15" spans="1:28">
      <c r="A15" s="4" t="s">
        <v>6</v>
      </c>
      <c r="B15" s="1" t="s">
        <v>27</v>
      </c>
      <c r="C15" s="4" t="s">
        <v>6</v>
      </c>
      <c r="D15" s="31"/>
      <c r="E15" s="31"/>
      <c r="F15" s="31"/>
      <c r="G15" s="31"/>
      <c r="H15" s="32"/>
      <c r="I15" s="1" t="s">
        <v>27</v>
      </c>
      <c r="J15" s="15" t="s">
        <v>17</v>
      </c>
      <c r="K15" s="1" t="s">
        <v>27</v>
      </c>
      <c r="L15" s="31"/>
      <c r="M15" s="31"/>
      <c r="N15" s="31"/>
      <c r="O15" s="31"/>
      <c r="P15" s="32"/>
      <c r="Q15" s="60"/>
      <c r="R15" s="31"/>
      <c r="S15" s="31"/>
      <c r="T15" s="14" t="s">
        <v>16</v>
      </c>
      <c r="U15" s="1">
        <v>150</v>
      </c>
      <c r="V15" s="1">
        <v>35</v>
      </c>
      <c r="W15" s="55">
        <f t="shared" ref="W15" si="7">U15-V15/0.330882</f>
        <v>44.222109392472248</v>
      </c>
      <c r="X15" s="56"/>
      <c r="Y15" s="56">
        <v>1</v>
      </c>
      <c r="Z15" s="1">
        <f t="shared" si="1"/>
        <v>1</v>
      </c>
      <c r="AA15" s="1">
        <f t="shared" si="2"/>
        <v>0</v>
      </c>
      <c r="AB15" s="64">
        <f t="shared" si="3"/>
        <v>0</v>
      </c>
    </row>
    <row r="16" spans="1:28">
      <c r="A16" s="4" t="s">
        <v>6</v>
      </c>
      <c r="B16" s="1" t="s">
        <v>27</v>
      </c>
      <c r="C16" s="15" t="s">
        <v>17</v>
      </c>
      <c r="D16" s="31"/>
      <c r="E16" s="31"/>
      <c r="F16" s="31"/>
      <c r="G16" s="31"/>
      <c r="H16" s="32"/>
      <c r="I16" s="1" t="s">
        <v>27</v>
      </c>
      <c r="J16" s="3" t="s">
        <v>5</v>
      </c>
      <c r="K16" s="1" t="s">
        <v>27</v>
      </c>
      <c r="L16" s="31"/>
      <c r="M16" s="31"/>
      <c r="N16" s="31"/>
      <c r="O16" s="31"/>
      <c r="P16" s="32"/>
      <c r="Q16" s="60"/>
      <c r="R16" s="31"/>
      <c r="S16" s="31"/>
      <c r="T16" s="15" t="s">
        <v>17</v>
      </c>
      <c r="U16" s="1">
        <v>50</v>
      </c>
      <c r="V16" s="1">
        <v>30</v>
      </c>
      <c r="W16" s="55">
        <v>10</v>
      </c>
      <c r="X16" s="56">
        <v>40</v>
      </c>
      <c r="Y16" s="56">
        <v>39</v>
      </c>
      <c r="Z16" s="1">
        <f t="shared" si="1"/>
        <v>3</v>
      </c>
      <c r="AA16" s="1">
        <f t="shared" si="2"/>
        <v>12</v>
      </c>
      <c r="AB16" s="64">
        <f t="shared" si="3"/>
        <v>24</v>
      </c>
    </row>
    <row r="17" spans="1:28">
      <c r="A17" s="4" t="s">
        <v>6</v>
      </c>
      <c r="B17" s="1" t="s">
        <v>27</v>
      </c>
      <c r="C17" s="4" t="s">
        <v>6</v>
      </c>
      <c r="D17" s="31"/>
      <c r="E17" s="31"/>
      <c r="F17" s="31"/>
      <c r="G17" s="31"/>
      <c r="H17" s="32"/>
      <c r="I17" s="1" t="s">
        <v>27</v>
      </c>
      <c r="J17" s="2" t="s">
        <v>4</v>
      </c>
      <c r="K17" s="1" t="s">
        <v>27</v>
      </c>
      <c r="L17" s="31"/>
      <c r="M17" s="31"/>
      <c r="N17" s="31"/>
      <c r="O17" s="31"/>
      <c r="P17" s="32"/>
      <c r="Q17" s="60"/>
      <c r="R17" s="31"/>
      <c r="S17" s="31"/>
      <c r="T17" s="16" t="s">
        <v>18</v>
      </c>
      <c r="U17" s="1">
        <v>-150</v>
      </c>
      <c r="V17" s="1">
        <v>0</v>
      </c>
      <c r="W17" s="55">
        <v>10</v>
      </c>
      <c r="X17" s="56">
        <v>3</v>
      </c>
      <c r="Y17" s="56">
        <v>3</v>
      </c>
      <c r="Z17" s="1">
        <f t="shared" si="1"/>
        <v>3</v>
      </c>
      <c r="AA17" s="1">
        <f t="shared" si="2"/>
        <v>0</v>
      </c>
      <c r="AB17" s="64">
        <f t="shared" si="3"/>
        <v>0</v>
      </c>
    </row>
    <row r="18" spans="1:28">
      <c r="A18" s="17" t="s">
        <v>19</v>
      </c>
      <c r="B18" s="1" t="s">
        <v>27</v>
      </c>
      <c r="C18" s="4" t="s">
        <v>6</v>
      </c>
      <c r="D18" s="31"/>
      <c r="E18" s="31"/>
      <c r="F18" s="31"/>
      <c r="G18" s="31"/>
      <c r="H18" s="32"/>
      <c r="I18" s="1" t="s">
        <v>27</v>
      </c>
      <c r="J18" s="2" t="s">
        <v>4</v>
      </c>
      <c r="K18" s="1" t="s">
        <v>27</v>
      </c>
      <c r="L18" s="31"/>
      <c r="M18" s="31"/>
      <c r="N18" s="31"/>
      <c r="O18" s="31"/>
      <c r="P18" s="32"/>
      <c r="Q18" s="60"/>
      <c r="R18" s="31"/>
      <c r="S18" s="31"/>
      <c r="T18" s="17" t="s">
        <v>19</v>
      </c>
      <c r="U18" s="1">
        <v>250</v>
      </c>
      <c r="V18" s="1">
        <v>200</v>
      </c>
      <c r="W18" s="55"/>
      <c r="X18" s="56">
        <v>3</v>
      </c>
      <c r="Y18" s="56">
        <v>3</v>
      </c>
      <c r="Z18" s="1">
        <f t="shared" si="1"/>
        <v>3</v>
      </c>
      <c r="AA18" s="1">
        <f t="shared" si="2"/>
        <v>0</v>
      </c>
      <c r="AB18" s="64">
        <f t="shared" si="3"/>
        <v>0</v>
      </c>
    </row>
    <row r="19" spans="1:28">
      <c r="A19" s="4" t="s">
        <v>6</v>
      </c>
      <c r="B19" s="1" t="s">
        <v>27</v>
      </c>
      <c r="C19" s="4" t="s">
        <v>6</v>
      </c>
      <c r="D19" s="31"/>
      <c r="E19" s="31"/>
      <c r="F19" s="31"/>
      <c r="G19" s="31"/>
      <c r="H19" s="32"/>
      <c r="I19" s="1" t="s">
        <v>27</v>
      </c>
      <c r="J19" s="15" t="s">
        <v>17</v>
      </c>
      <c r="K19" s="1" t="s">
        <v>27</v>
      </c>
      <c r="L19" s="31"/>
      <c r="M19" s="31"/>
      <c r="N19" s="31"/>
      <c r="O19" s="31"/>
      <c r="P19" s="32"/>
      <c r="Q19" s="60"/>
      <c r="R19" s="31"/>
      <c r="S19" s="31"/>
      <c r="T19" s="17" t="s">
        <v>20</v>
      </c>
      <c r="U19" s="1">
        <v>170</v>
      </c>
      <c r="V19" s="1">
        <v>45</v>
      </c>
      <c r="W19" s="55"/>
      <c r="X19" s="56">
        <v>5</v>
      </c>
      <c r="Y19" s="56">
        <v>5</v>
      </c>
      <c r="Z19" s="1">
        <f t="shared" si="1"/>
        <v>5</v>
      </c>
      <c r="AA19" s="1">
        <f t="shared" si="2"/>
        <v>0</v>
      </c>
      <c r="AB19" s="64">
        <f t="shared" si="3"/>
        <v>0</v>
      </c>
    </row>
    <row r="20" spans="1:28">
      <c r="A20" s="4" t="s">
        <v>6</v>
      </c>
      <c r="B20" s="1" t="s">
        <v>27</v>
      </c>
      <c r="C20" s="17" t="s">
        <v>20</v>
      </c>
      <c r="D20" s="31"/>
      <c r="E20" s="31"/>
      <c r="F20" s="31"/>
      <c r="G20" s="31"/>
      <c r="H20" s="32"/>
      <c r="I20" s="1" t="s">
        <v>27</v>
      </c>
      <c r="J20" s="2" t="s">
        <v>4</v>
      </c>
      <c r="K20" s="1" t="s">
        <v>27</v>
      </c>
      <c r="L20" s="31"/>
      <c r="M20" s="31"/>
      <c r="N20" s="31"/>
      <c r="O20" s="31"/>
      <c r="P20" s="32"/>
      <c r="Q20" s="60"/>
      <c r="R20" s="31"/>
      <c r="S20" s="31"/>
      <c r="T20" s="18" t="s">
        <v>21</v>
      </c>
      <c r="U20" s="1">
        <v>250</v>
      </c>
      <c r="V20" s="1">
        <v>200</v>
      </c>
      <c r="W20" s="55"/>
      <c r="X20" s="56">
        <v>0</v>
      </c>
      <c r="Y20" s="56">
        <v>0</v>
      </c>
      <c r="Z20" s="1">
        <f t="shared" si="1"/>
        <v>0</v>
      </c>
      <c r="AA20" s="1">
        <f t="shared" si="2"/>
        <v>0</v>
      </c>
      <c r="AB20" s="64">
        <f t="shared" si="3"/>
        <v>0</v>
      </c>
    </row>
    <row r="21" spans="1:28">
      <c r="A21" s="4" t="s">
        <v>6</v>
      </c>
      <c r="B21" s="1" t="s">
        <v>27</v>
      </c>
      <c r="C21" s="4" t="s">
        <v>6</v>
      </c>
      <c r="D21" s="31"/>
      <c r="E21" s="31"/>
      <c r="F21" s="31"/>
      <c r="G21" s="31"/>
      <c r="H21" s="32"/>
      <c r="I21" s="1" t="s">
        <v>27</v>
      </c>
      <c r="J21" s="2" t="s">
        <v>4</v>
      </c>
      <c r="K21" s="1" t="s">
        <v>27</v>
      </c>
      <c r="L21" s="31"/>
      <c r="M21" s="31"/>
      <c r="N21" s="31"/>
      <c r="O21" s="31"/>
      <c r="P21" s="32"/>
      <c r="Q21" s="60"/>
      <c r="R21" s="31"/>
      <c r="S21" s="31"/>
      <c r="T21" s="19" t="s">
        <v>22</v>
      </c>
      <c r="U21" s="1">
        <v>250</v>
      </c>
      <c r="V21" s="1">
        <v>1000</v>
      </c>
      <c r="W21" s="55"/>
      <c r="X21" s="56">
        <v>2</v>
      </c>
      <c r="Y21" s="56">
        <v>2</v>
      </c>
      <c r="Z21" s="1">
        <f t="shared" si="1"/>
        <v>0</v>
      </c>
      <c r="AA21" s="1">
        <f t="shared" si="2"/>
        <v>0</v>
      </c>
      <c r="AB21" s="64">
        <f t="shared" si="3"/>
        <v>2</v>
      </c>
    </row>
    <row r="22" spans="1:28">
      <c r="A22" s="16" t="s">
        <v>18</v>
      </c>
      <c r="B22" s="1" t="s">
        <v>27</v>
      </c>
      <c r="C22" s="4" t="s">
        <v>6</v>
      </c>
      <c r="D22" s="31"/>
      <c r="E22" s="31"/>
      <c r="F22" s="31"/>
      <c r="G22" s="31"/>
      <c r="H22" s="32"/>
      <c r="I22" s="1" t="s">
        <v>27</v>
      </c>
      <c r="J22" s="2" t="s">
        <v>4</v>
      </c>
      <c r="K22" s="1" t="s">
        <v>27</v>
      </c>
      <c r="L22" s="31"/>
      <c r="M22" s="31"/>
      <c r="N22" s="31"/>
      <c r="O22" s="31"/>
      <c r="P22" s="32"/>
      <c r="Q22" s="60"/>
      <c r="R22" s="31"/>
      <c r="S22" s="31"/>
      <c r="T22" s="20" t="s">
        <v>23</v>
      </c>
      <c r="U22" s="1">
        <v>250</v>
      </c>
      <c r="V22" s="1">
        <v>500</v>
      </c>
      <c r="W22" s="55"/>
      <c r="X22" s="56">
        <v>2</v>
      </c>
      <c r="Y22" s="56">
        <v>2</v>
      </c>
      <c r="Z22" s="1">
        <f t="shared" si="1"/>
        <v>0</v>
      </c>
      <c r="AA22" s="1">
        <f t="shared" si="2"/>
        <v>0</v>
      </c>
      <c r="AB22" s="64">
        <f t="shared" si="3"/>
        <v>2</v>
      </c>
    </row>
    <row r="23" spans="1:28">
      <c r="A23" s="4" t="s">
        <v>6</v>
      </c>
      <c r="B23" s="1" t="s">
        <v>27</v>
      </c>
      <c r="C23" s="4" t="s">
        <v>6</v>
      </c>
      <c r="D23" s="31"/>
      <c r="E23" s="31"/>
      <c r="F23" s="31"/>
      <c r="G23" s="31"/>
      <c r="H23" s="32"/>
      <c r="I23" s="1" t="s">
        <v>27</v>
      </c>
      <c r="J23" s="15" t="s">
        <v>17</v>
      </c>
      <c r="K23" s="1" t="s">
        <v>27</v>
      </c>
      <c r="L23" s="31"/>
      <c r="M23" s="31"/>
      <c r="N23" s="31"/>
      <c r="O23" s="31"/>
      <c r="P23" s="32"/>
      <c r="Q23" s="60"/>
      <c r="R23" s="31"/>
      <c r="S23" s="31"/>
      <c r="T23" s="21" t="s">
        <v>24</v>
      </c>
      <c r="U23" s="1">
        <v>160</v>
      </c>
      <c r="V23" s="1">
        <v>40</v>
      </c>
      <c r="W23" s="55">
        <f t="shared" ref="W23:W26" si="8">U23-V23/0.330882</f>
        <v>39.110982162825422</v>
      </c>
      <c r="X23" s="56">
        <v>0</v>
      </c>
      <c r="Y23" s="56">
        <v>0</v>
      </c>
      <c r="Z23" s="1">
        <f t="shared" si="1"/>
        <v>0</v>
      </c>
      <c r="AA23" s="1">
        <f t="shared" si="2"/>
        <v>0</v>
      </c>
      <c r="AB23" s="64">
        <f t="shared" si="3"/>
        <v>0</v>
      </c>
    </row>
    <row r="24" spans="1:28">
      <c r="A24" s="4" t="s">
        <v>6</v>
      </c>
      <c r="B24" s="1" t="s">
        <v>27</v>
      </c>
      <c r="C24" s="4" t="s">
        <v>6</v>
      </c>
      <c r="D24" s="31"/>
      <c r="E24" s="31"/>
      <c r="F24" s="31"/>
      <c r="G24" s="31"/>
      <c r="H24" s="32"/>
      <c r="I24" s="1" t="s">
        <v>27</v>
      </c>
      <c r="J24" s="1" t="s">
        <v>27</v>
      </c>
      <c r="K24" s="1" t="s">
        <v>27</v>
      </c>
      <c r="L24" s="31"/>
      <c r="M24" s="31"/>
      <c r="N24" s="31"/>
      <c r="O24" s="31"/>
      <c r="P24" s="32"/>
      <c r="Q24" s="60"/>
      <c r="R24" s="31"/>
      <c r="S24" s="31"/>
      <c r="T24" s="21" t="s">
        <v>25</v>
      </c>
      <c r="U24" s="1">
        <v>160</v>
      </c>
      <c r="V24" s="1">
        <v>40</v>
      </c>
      <c r="W24" s="55">
        <f t="shared" si="8"/>
        <v>39.110982162825422</v>
      </c>
      <c r="X24" s="56">
        <v>0</v>
      </c>
      <c r="Y24" s="56">
        <v>0</v>
      </c>
      <c r="Z24" s="1">
        <f t="shared" si="1"/>
        <v>0</v>
      </c>
      <c r="AA24" s="1">
        <f t="shared" si="2"/>
        <v>0</v>
      </c>
      <c r="AB24" s="64">
        <f t="shared" si="3"/>
        <v>0</v>
      </c>
    </row>
    <row r="25" spans="1:28">
      <c r="A25" s="4" t="s">
        <v>6</v>
      </c>
      <c r="B25" s="1" t="s">
        <v>27</v>
      </c>
      <c r="C25" s="4" t="s">
        <v>6</v>
      </c>
      <c r="D25" s="31"/>
      <c r="E25" s="31"/>
      <c r="F25" s="31"/>
      <c r="G25" s="31"/>
      <c r="H25" s="32"/>
      <c r="I25" s="1" t="s">
        <v>27</v>
      </c>
      <c r="J25" s="3" t="s">
        <v>5</v>
      </c>
      <c r="K25" s="1" t="s">
        <v>27</v>
      </c>
      <c r="L25" s="31"/>
      <c r="M25" s="31"/>
      <c r="N25" s="31"/>
      <c r="O25" s="31"/>
      <c r="P25" s="32"/>
      <c r="Q25" s="60"/>
      <c r="R25" s="31"/>
      <c r="S25" s="31"/>
      <c r="T25" s="21" t="s">
        <v>26</v>
      </c>
      <c r="U25" s="1">
        <v>150</v>
      </c>
      <c r="V25" s="1">
        <v>35</v>
      </c>
      <c r="W25" s="55">
        <f t="shared" si="8"/>
        <v>44.222109392472248</v>
      </c>
      <c r="X25" s="56">
        <v>0</v>
      </c>
      <c r="Y25" s="56">
        <v>0</v>
      </c>
      <c r="Z25" s="1">
        <f t="shared" si="1"/>
        <v>0</v>
      </c>
      <c r="AA25" s="1">
        <f t="shared" si="2"/>
        <v>0</v>
      </c>
      <c r="AB25" s="64">
        <f t="shared" si="3"/>
        <v>0</v>
      </c>
    </row>
    <row r="26" spans="1:28">
      <c r="A26" s="17" t="s">
        <v>20</v>
      </c>
      <c r="B26" s="1" t="s">
        <v>27</v>
      </c>
      <c r="C26" s="4" t="s">
        <v>6</v>
      </c>
      <c r="D26" s="31"/>
      <c r="E26" s="31"/>
      <c r="F26" s="31"/>
      <c r="G26" s="31"/>
      <c r="H26" s="32"/>
      <c r="I26" s="1" t="s">
        <v>27</v>
      </c>
      <c r="J26" s="15" t="s">
        <v>17</v>
      </c>
      <c r="K26" s="1" t="s">
        <v>27</v>
      </c>
      <c r="L26" s="31"/>
      <c r="M26" s="31"/>
      <c r="N26" s="31"/>
      <c r="O26" s="31"/>
      <c r="P26" s="32"/>
      <c r="Q26" s="60"/>
      <c r="R26" s="31"/>
      <c r="S26" s="31"/>
      <c r="T26" s="22" t="s">
        <v>27</v>
      </c>
      <c r="U26" s="1">
        <v>0</v>
      </c>
      <c r="V26" s="1">
        <v>0</v>
      </c>
      <c r="W26" s="55">
        <f t="shared" si="8"/>
        <v>0</v>
      </c>
      <c r="X26" s="56">
        <v>0</v>
      </c>
      <c r="Y26" s="56">
        <v>0</v>
      </c>
      <c r="Z26" s="1"/>
      <c r="AA26" s="1"/>
      <c r="AB26" s="64"/>
    </row>
    <row r="27" spans="1:28">
      <c r="A27" s="4" t="s">
        <v>6</v>
      </c>
      <c r="B27" s="1" t="s">
        <v>27</v>
      </c>
      <c r="C27" s="4" t="s">
        <v>6</v>
      </c>
      <c r="D27" s="31"/>
      <c r="E27" s="31"/>
      <c r="F27" s="31"/>
      <c r="G27" s="31"/>
      <c r="H27" s="32"/>
      <c r="I27" s="1" t="s">
        <v>27</v>
      </c>
      <c r="J27" s="3" t="s">
        <v>5</v>
      </c>
      <c r="K27" s="1" t="s">
        <v>27</v>
      </c>
      <c r="L27" s="31"/>
      <c r="M27" s="31"/>
      <c r="N27" s="31"/>
      <c r="O27" s="31"/>
      <c r="P27" s="32"/>
      <c r="Q27" s="60"/>
      <c r="R27" s="31"/>
      <c r="S27" s="31"/>
      <c r="T27" s="16" t="s">
        <v>28</v>
      </c>
      <c r="U27" s="1">
        <v>-200</v>
      </c>
      <c r="V27" s="1">
        <v>0</v>
      </c>
      <c r="W27" s="55"/>
      <c r="X27" s="56">
        <v>12</v>
      </c>
      <c r="Y27" s="56">
        <v>12</v>
      </c>
      <c r="Z27" s="1">
        <f t="shared" si="1"/>
        <v>0</v>
      </c>
      <c r="AA27" s="1">
        <f t="shared" si="2"/>
        <v>2</v>
      </c>
      <c r="AB27" s="64">
        <f t="shared" si="3"/>
        <v>10</v>
      </c>
    </row>
    <row r="28" spans="1:28">
      <c r="A28" s="4" t="s">
        <v>6</v>
      </c>
      <c r="B28" s="1" t="s">
        <v>27</v>
      </c>
      <c r="C28" s="17" t="s">
        <v>20</v>
      </c>
      <c r="D28" s="31"/>
      <c r="E28" s="31"/>
      <c r="F28" s="31"/>
      <c r="G28" s="31"/>
      <c r="H28" s="32"/>
      <c r="I28" s="1" t="s">
        <v>27</v>
      </c>
      <c r="J28" s="3" t="s">
        <v>5</v>
      </c>
      <c r="K28" s="1" t="s">
        <v>27</v>
      </c>
      <c r="L28" s="31"/>
      <c r="M28" s="31"/>
      <c r="N28" s="31"/>
      <c r="O28" s="31"/>
      <c r="P28" s="32"/>
      <c r="Q28" s="60"/>
      <c r="R28" s="31"/>
      <c r="S28" s="31"/>
      <c r="T28" s="23" t="s">
        <v>29</v>
      </c>
      <c r="U28" s="1">
        <v>50</v>
      </c>
      <c r="V28" s="1">
        <v>520</v>
      </c>
      <c r="W28" s="55"/>
      <c r="X28" s="56">
        <v>3</v>
      </c>
      <c r="Y28" s="56">
        <v>3</v>
      </c>
      <c r="Z28" s="1">
        <f t="shared" si="1"/>
        <v>1</v>
      </c>
      <c r="AA28" s="1">
        <f t="shared" si="2"/>
        <v>0</v>
      </c>
      <c r="AB28" s="64">
        <f t="shared" si="3"/>
        <v>2</v>
      </c>
    </row>
    <row r="29" spans="1:28" ht="15" thickBot="1">
      <c r="A29" s="4" t="s">
        <v>6</v>
      </c>
      <c r="B29" s="1" t="s">
        <v>27</v>
      </c>
      <c r="C29" s="4" t="s">
        <v>6</v>
      </c>
      <c r="D29" s="31"/>
      <c r="E29" s="31"/>
      <c r="F29" s="31"/>
      <c r="G29" s="31"/>
      <c r="H29" s="32"/>
      <c r="I29" s="1" t="s">
        <v>27</v>
      </c>
      <c r="J29" s="3" t="s">
        <v>5</v>
      </c>
      <c r="K29" s="1" t="s">
        <v>27</v>
      </c>
      <c r="L29" s="31"/>
      <c r="M29" s="31"/>
      <c r="N29" s="31"/>
      <c r="O29" s="31"/>
      <c r="P29" s="32"/>
      <c r="Q29" s="66"/>
      <c r="R29" s="41"/>
      <c r="S29" s="41"/>
      <c r="T29" s="40"/>
      <c r="U29" s="40"/>
      <c r="V29" s="40"/>
      <c r="W29" s="40"/>
      <c r="X29" s="40"/>
      <c r="Y29" s="40"/>
      <c r="Z29" s="40"/>
      <c r="AA29" s="40"/>
      <c r="AB29" s="67"/>
    </row>
    <row r="30" spans="1:28">
      <c r="A30" s="4" t="s">
        <v>6</v>
      </c>
      <c r="B30" s="1" t="s">
        <v>27</v>
      </c>
      <c r="C30" s="4" t="s">
        <v>6</v>
      </c>
      <c r="D30" s="31"/>
      <c r="E30" s="31"/>
      <c r="F30" s="31"/>
      <c r="G30" s="31"/>
      <c r="H30" s="32"/>
      <c r="I30" s="1" t="s">
        <v>27</v>
      </c>
      <c r="J30" s="15" t="s">
        <v>17</v>
      </c>
      <c r="K30" s="1" t="s">
        <v>27</v>
      </c>
      <c r="L30" s="31"/>
      <c r="M30" s="31"/>
      <c r="N30" s="31"/>
      <c r="O30" s="31"/>
      <c r="P30" s="32"/>
    </row>
    <row r="31" spans="1:28">
      <c r="A31" s="4" t="s">
        <v>6</v>
      </c>
      <c r="B31" s="1" t="s">
        <v>27</v>
      </c>
      <c r="C31" s="4" t="s">
        <v>6</v>
      </c>
      <c r="D31" s="31"/>
      <c r="E31" s="31"/>
      <c r="F31" s="31"/>
      <c r="G31" s="31"/>
      <c r="H31" s="32"/>
      <c r="I31" s="1" t="s">
        <v>27</v>
      </c>
      <c r="J31" s="3" t="s">
        <v>5</v>
      </c>
      <c r="K31" s="1" t="s">
        <v>27</v>
      </c>
      <c r="L31" s="31"/>
      <c r="M31" s="31"/>
      <c r="N31" s="31"/>
      <c r="O31" s="31"/>
      <c r="P31" s="32"/>
      <c r="Y31">
        <f>SUM(Y3:Y28)</f>
        <v>1076</v>
      </c>
    </row>
    <row r="32" spans="1:28">
      <c r="A32" s="4" t="s">
        <v>6</v>
      </c>
      <c r="B32" s="1" t="s">
        <v>27</v>
      </c>
      <c r="C32" s="4" t="s">
        <v>6</v>
      </c>
      <c r="D32" s="31"/>
      <c r="E32" s="31"/>
      <c r="F32" s="31"/>
      <c r="G32" s="31"/>
      <c r="H32" s="32"/>
      <c r="I32" s="1" t="s">
        <v>27</v>
      </c>
      <c r="J32" s="3" t="s">
        <v>5</v>
      </c>
      <c r="K32" s="1" t="s">
        <v>27</v>
      </c>
      <c r="L32" s="31"/>
      <c r="M32" s="31"/>
      <c r="N32" s="31"/>
      <c r="O32" s="31"/>
      <c r="P32" s="32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10" t="s">
        <v>12</v>
      </c>
      <c r="D33" s="31"/>
      <c r="E33" s="31"/>
      <c r="F33" s="31"/>
      <c r="G33" s="31"/>
      <c r="H33" s="32"/>
      <c r="I33" s="1" t="s">
        <v>27</v>
      </c>
      <c r="J33" s="3" t="s">
        <v>5</v>
      </c>
      <c r="K33" s="1" t="s">
        <v>27</v>
      </c>
      <c r="L33" s="31"/>
      <c r="M33" s="31"/>
      <c r="N33" s="31"/>
      <c r="O33" s="31"/>
      <c r="P33" s="32"/>
      <c r="R33">
        <v>2</v>
      </c>
      <c r="S33" t="s">
        <v>60</v>
      </c>
    </row>
    <row r="34" spans="1:19">
      <c r="A34" s="17" t="s">
        <v>19</v>
      </c>
      <c r="B34" s="1" t="s">
        <v>27</v>
      </c>
      <c r="C34" s="4" t="s">
        <v>6</v>
      </c>
      <c r="D34" s="31"/>
      <c r="E34" s="31"/>
      <c r="F34" s="31"/>
      <c r="G34" s="31"/>
      <c r="H34" s="32"/>
      <c r="I34" s="38" t="s">
        <v>27</v>
      </c>
      <c r="J34" s="3" t="s">
        <v>5</v>
      </c>
      <c r="K34" s="1" t="s">
        <v>27</v>
      </c>
      <c r="L34" s="31"/>
      <c r="M34" s="31"/>
      <c r="N34" s="31"/>
      <c r="O34" s="31"/>
      <c r="P34" s="32"/>
      <c r="R34">
        <v>3</v>
      </c>
      <c r="S34" t="s">
        <v>58</v>
      </c>
    </row>
    <row r="35" spans="1:19">
      <c r="A35" s="4" t="s">
        <v>6</v>
      </c>
      <c r="B35" s="1" t="s">
        <v>27</v>
      </c>
      <c r="C35" s="17" t="s">
        <v>19</v>
      </c>
      <c r="D35" s="31"/>
      <c r="E35" s="31"/>
      <c r="F35" s="31"/>
      <c r="G35" s="31"/>
      <c r="H35" s="32"/>
      <c r="I35" s="38" t="s">
        <v>27</v>
      </c>
      <c r="J35" s="16" t="s">
        <v>28</v>
      </c>
      <c r="K35" s="1" t="s">
        <v>27</v>
      </c>
      <c r="L35" s="31"/>
      <c r="M35" s="31"/>
      <c r="N35" s="31"/>
      <c r="O35" s="31"/>
      <c r="P35" s="32"/>
      <c r="R35">
        <v>4</v>
      </c>
      <c r="S35" t="s">
        <v>61</v>
      </c>
    </row>
    <row r="36" spans="1:19">
      <c r="A36" s="4" t="s">
        <v>6</v>
      </c>
      <c r="B36" s="1" t="s">
        <v>27</v>
      </c>
      <c r="C36" s="4" t="s">
        <v>6</v>
      </c>
      <c r="D36" s="31"/>
      <c r="E36" s="31"/>
      <c r="F36" s="31"/>
      <c r="G36" s="31"/>
      <c r="H36" s="32"/>
      <c r="I36" s="38" t="s">
        <v>27</v>
      </c>
      <c r="J36" s="3" t="s">
        <v>5</v>
      </c>
      <c r="K36" s="1" t="s">
        <v>27</v>
      </c>
      <c r="L36" s="31"/>
      <c r="M36" s="31"/>
      <c r="N36" s="31"/>
      <c r="O36" s="31"/>
      <c r="P36" s="32"/>
      <c r="S36" t="s">
        <v>62</v>
      </c>
    </row>
    <row r="37" spans="1:19">
      <c r="A37" s="4" t="s">
        <v>6</v>
      </c>
      <c r="B37" s="1" t="s">
        <v>27</v>
      </c>
      <c r="C37" s="4" t="s">
        <v>6</v>
      </c>
      <c r="D37" s="31"/>
      <c r="E37" s="31"/>
      <c r="F37" s="31"/>
      <c r="G37" s="31"/>
      <c r="H37" s="32"/>
      <c r="I37" s="38" t="s">
        <v>27</v>
      </c>
      <c r="J37" s="3" t="s">
        <v>5</v>
      </c>
      <c r="K37" s="1" t="s">
        <v>27</v>
      </c>
      <c r="L37" s="31"/>
      <c r="M37" s="31"/>
      <c r="N37" s="31"/>
      <c r="O37" s="31"/>
      <c r="P37" s="32"/>
      <c r="R37">
        <v>5</v>
      </c>
      <c r="S37" t="s">
        <v>63</v>
      </c>
    </row>
    <row r="38" spans="1:19">
      <c r="A38" s="4" t="s">
        <v>6</v>
      </c>
      <c r="B38" s="1" t="s">
        <v>27</v>
      </c>
      <c r="C38" s="16" t="s">
        <v>18</v>
      </c>
      <c r="D38" s="31"/>
      <c r="E38" s="31"/>
      <c r="F38" s="31"/>
      <c r="G38" s="31"/>
      <c r="H38" s="32"/>
      <c r="I38" s="38" t="s">
        <v>27</v>
      </c>
      <c r="J38" s="15" t="s">
        <v>17</v>
      </c>
      <c r="K38" s="1" t="s">
        <v>27</v>
      </c>
      <c r="L38" s="31"/>
      <c r="M38" s="31"/>
      <c r="N38" s="31"/>
      <c r="O38" s="31"/>
      <c r="P38" s="32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4" t="s">
        <v>6</v>
      </c>
      <c r="D39" s="31"/>
      <c r="E39" s="31"/>
      <c r="F39" s="31"/>
      <c r="G39" s="31"/>
      <c r="H39" s="32"/>
      <c r="I39" s="38" t="s">
        <v>27</v>
      </c>
      <c r="J39" s="3" t="s">
        <v>5</v>
      </c>
      <c r="K39" s="1" t="s">
        <v>27</v>
      </c>
      <c r="L39" s="31"/>
      <c r="M39" s="31"/>
      <c r="N39" s="31"/>
      <c r="O39" s="31"/>
      <c r="P39" s="32"/>
      <c r="R39">
        <v>7</v>
      </c>
      <c r="S39" t="s">
        <v>65</v>
      </c>
    </row>
    <row r="40" spans="1:19">
      <c r="A40" s="10" t="s">
        <v>12</v>
      </c>
      <c r="B40" s="1" t="s">
        <v>27</v>
      </c>
      <c r="C40" s="4" t="s">
        <v>6</v>
      </c>
      <c r="D40" s="31"/>
      <c r="E40" s="31"/>
      <c r="F40" s="31"/>
      <c r="G40" s="31"/>
      <c r="H40" s="32"/>
      <c r="I40" s="38" t="s">
        <v>27</v>
      </c>
      <c r="J40" s="3" t="s">
        <v>5</v>
      </c>
      <c r="K40" s="1" t="s">
        <v>27</v>
      </c>
      <c r="L40" s="31"/>
      <c r="M40" s="31"/>
      <c r="N40" s="31"/>
      <c r="O40" s="31"/>
      <c r="P40" s="32"/>
    </row>
    <row r="41" spans="1:19">
      <c r="A41" s="4" t="s">
        <v>6</v>
      </c>
      <c r="B41" s="1" t="s">
        <v>27</v>
      </c>
      <c r="C41" s="4" t="s">
        <v>6</v>
      </c>
      <c r="D41" s="31"/>
      <c r="E41" s="31"/>
      <c r="F41" s="31"/>
      <c r="G41" s="31"/>
      <c r="H41" s="32"/>
      <c r="I41" s="38" t="s">
        <v>27</v>
      </c>
      <c r="J41" s="3" t="s">
        <v>5</v>
      </c>
      <c r="K41" s="1" t="s">
        <v>27</v>
      </c>
      <c r="L41" s="31"/>
      <c r="M41" s="31"/>
      <c r="N41" s="31"/>
      <c r="O41" s="31"/>
      <c r="P41" s="32"/>
    </row>
    <row r="42" spans="1:19">
      <c r="A42" s="14" t="s">
        <v>16</v>
      </c>
      <c r="B42" s="1" t="s">
        <v>27</v>
      </c>
      <c r="C42" s="4" t="s">
        <v>6</v>
      </c>
      <c r="D42" s="31"/>
      <c r="E42" s="31"/>
      <c r="F42" s="31"/>
      <c r="G42" s="31"/>
      <c r="H42" s="32"/>
      <c r="I42" s="38" t="s">
        <v>27</v>
      </c>
      <c r="J42" s="3" t="s">
        <v>5</v>
      </c>
      <c r="K42" s="1" t="s">
        <v>27</v>
      </c>
      <c r="L42" s="31"/>
      <c r="M42" s="31"/>
      <c r="N42" s="31"/>
      <c r="O42" s="31"/>
      <c r="P42" s="32"/>
    </row>
    <row r="43" spans="1:19">
      <c r="A43" s="4" t="s">
        <v>6</v>
      </c>
      <c r="B43" s="1" t="s">
        <v>27</v>
      </c>
      <c r="C43" s="4" t="s">
        <v>6</v>
      </c>
      <c r="D43" s="31"/>
      <c r="E43" s="31"/>
      <c r="F43" s="31"/>
      <c r="G43" s="31"/>
      <c r="H43" s="32"/>
      <c r="I43" s="38" t="s">
        <v>27</v>
      </c>
      <c r="J43" s="15" t="s">
        <v>17</v>
      </c>
      <c r="K43" s="1" t="s">
        <v>27</v>
      </c>
      <c r="L43" s="31"/>
      <c r="M43" s="31"/>
      <c r="N43" s="31"/>
      <c r="O43" s="31"/>
      <c r="P43" s="32"/>
    </row>
    <row r="44" spans="1:19">
      <c r="A44" s="17" t="s">
        <v>20</v>
      </c>
      <c r="B44" s="1" t="s">
        <v>27</v>
      </c>
      <c r="C44" s="17" t="s">
        <v>20</v>
      </c>
      <c r="D44" s="31"/>
      <c r="E44" s="31"/>
      <c r="F44" s="31"/>
      <c r="G44" s="31"/>
      <c r="H44" s="32"/>
      <c r="I44" s="38" t="s">
        <v>27</v>
      </c>
      <c r="J44" s="3" t="s">
        <v>5</v>
      </c>
      <c r="K44" s="1" t="s">
        <v>27</v>
      </c>
      <c r="L44" s="31"/>
      <c r="M44" s="31"/>
      <c r="N44" s="31"/>
      <c r="O44" s="31"/>
      <c r="P44" s="32"/>
    </row>
    <row r="45" spans="1:19">
      <c r="A45" s="38" t="s">
        <v>27</v>
      </c>
      <c r="B45" s="1" t="s">
        <v>27</v>
      </c>
      <c r="C45" s="15" t="s">
        <v>17</v>
      </c>
      <c r="D45" s="31"/>
      <c r="E45" s="31"/>
      <c r="F45" s="31"/>
      <c r="G45" s="31"/>
      <c r="H45" s="32"/>
      <c r="I45" s="38" t="s">
        <v>27</v>
      </c>
      <c r="J45" s="3" t="s">
        <v>5</v>
      </c>
      <c r="K45" s="1" t="s">
        <v>27</v>
      </c>
      <c r="L45" s="31"/>
      <c r="M45" s="31"/>
      <c r="N45" s="31"/>
      <c r="O45" s="31"/>
      <c r="P45" s="32"/>
    </row>
    <row r="46" spans="1:19">
      <c r="A46" s="38" t="s">
        <v>27</v>
      </c>
      <c r="B46" s="1" t="s">
        <v>27</v>
      </c>
      <c r="C46" s="1" t="s">
        <v>27</v>
      </c>
      <c r="D46" s="31"/>
      <c r="E46" s="31"/>
      <c r="F46" s="31"/>
      <c r="G46" s="31"/>
      <c r="H46" s="32"/>
      <c r="I46" s="38" t="s">
        <v>27</v>
      </c>
      <c r="J46" s="9" t="s">
        <v>11</v>
      </c>
      <c r="K46" s="1" t="s">
        <v>27</v>
      </c>
      <c r="L46" s="31"/>
      <c r="M46" s="31"/>
      <c r="N46" s="31"/>
      <c r="O46" s="31"/>
      <c r="P46" s="32"/>
    </row>
    <row r="47" spans="1:19">
      <c r="A47" s="38" t="s">
        <v>27</v>
      </c>
      <c r="B47" s="1" t="s">
        <v>27</v>
      </c>
      <c r="C47" s="1" t="s">
        <v>27</v>
      </c>
      <c r="D47" s="31"/>
      <c r="E47" s="31"/>
      <c r="F47" s="31"/>
      <c r="G47" s="31"/>
      <c r="H47" s="32"/>
      <c r="I47" s="38" t="s">
        <v>27</v>
      </c>
      <c r="J47" s="3" t="s">
        <v>5</v>
      </c>
      <c r="K47" s="1" t="s">
        <v>27</v>
      </c>
      <c r="L47" s="31"/>
      <c r="M47" s="31"/>
      <c r="N47" s="31"/>
      <c r="O47" s="31"/>
      <c r="P47" s="32"/>
    </row>
    <row r="48" spans="1:19">
      <c r="A48" s="38" t="s">
        <v>27</v>
      </c>
      <c r="B48" s="1" t="s">
        <v>27</v>
      </c>
      <c r="C48" s="1" t="s">
        <v>27</v>
      </c>
      <c r="D48" s="31"/>
      <c r="E48" s="31"/>
      <c r="F48" s="31"/>
      <c r="G48" s="31"/>
      <c r="H48" s="32"/>
      <c r="I48" s="38" t="s">
        <v>27</v>
      </c>
      <c r="J48" s="3" t="s">
        <v>5</v>
      </c>
      <c r="K48" s="1" t="s">
        <v>27</v>
      </c>
      <c r="L48" s="31"/>
      <c r="M48" s="31"/>
      <c r="N48" s="31"/>
      <c r="O48" s="31"/>
      <c r="P48" s="32"/>
    </row>
    <row r="49" spans="1:16">
      <c r="A49" s="38" t="s">
        <v>27</v>
      </c>
      <c r="B49" s="1" t="s">
        <v>27</v>
      </c>
      <c r="C49" s="1" t="s">
        <v>27</v>
      </c>
      <c r="D49" s="31"/>
      <c r="E49" s="31"/>
      <c r="F49" s="31"/>
      <c r="G49" s="31"/>
      <c r="H49" s="32"/>
      <c r="I49" s="38" t="s">
        <v>27</v>
      </c>
      <c r="J49" s="15" t="s">
        <v>17</v>
      </c>
      <c r="K49" s="1" t="s">
        <v>27</v>
      </c>
      <c r="L49" s="31"/>
      <c r="M49" s="31"/>
      <c r="N49" s="31"/>
      <c r="O49" s="31"/>
      <c r="P49" s="32"/>
    </row>
    <row r="50" spans="1:16">
      <c r="A50" s="38" t="s">
        <v>27</v>
      </c>
      <c r="B50" s="1" t="s">
        <v>27</v>
      </c>
      <c r="C50" s="1" t="s">
        <v>27</v>
      </c>
      <c r="D50" s="31"/>
      <c r="E50" s="31"/>
      <c r="F50" s="31"/>
      <c r="G50" s="31"/>
      <c r="H50" s="32"/>
      <c r="I50" s="38" t="s">
        <v>27</v>
      </c>
      <c r="J50" s="3" t="s">
        <v>5</v>
      </c>
      <c r="K50" s="1" t="s">
        <v>27</v>
      </c>
      <c r="L50" s="31"/>
      <c r="M50" s="31"/>
      <c r="N50" s="31"/>
      <c r="O50" s="31"/>
      <c r="P50" s="32"/>
    </row>
    <row r="51" spans="1:16">
      <c r="A51" s="38" t="s">
        <v>27</v>
      </c>
      <c r="B51" s="1" t="s">
        <v>27</v>
      </c>
      <c r="C51" s="1" t="s">
        <v>27</v>
      </c>
      <c r="D51" s="31"/>
      <c r="E51" s="31"/>
      <c r="F51" s="31"/>
      <c r="G51" s="31"/>
      <c r="H51" s="32"/>
      <c r="I51" s="38" t="s">
        <v>27</v>
      </c>
      <c r="J51" s="3" t="s">
        <v>5</v>
      </c>
      <c r="K51" s="1" t="s">
        <v>27</v>
      </c>
      <c r="L51" s="31"/>
      <c r="M51" s="31"/>
      <c r="N51" s="31"/>
      <c r="O51" s="31"/>
      <c r="P51" s="32"/>
    </row>
    <row r="52" spans="1:16">
      <c r="A52" s="38" t="s">
        <v>27</v>
      </c>
      <c r="B52" s="1" t="s">
        <v>27</v>
      </c>
      <c r="C52" s="1" t="s">
        <v>27</v>
      </c>
      <c r="D52" s="31"/>
      <c r="E52" s="31"/>
      <c r="F52" s="31"/>
      <c r="G52" s="31"/>
      <c r="H52" s="32"/>
      <c r="I52" s="38" t="s">
        <v>27</v>
      </c>
      <c r="J52" s="3" t="s">
        <v>5</v>
      </c>
      <c r="K52" s="1" t="s">
        <v>27</v>
      </c>
      <c r="L52" s="31"/>
      <c r="M52" s="31"/>
      <c r="N52" s="31"/>
      <c r="O52" s="31"/>
      <c r="P52" s="32"/>
    </row>
    <row r="53" spans="1:16">
      <c r="A53" s="38" t="s">
        <v>27</v>
      </c>
      <c r="B53" s="1" t="s">
        <v>27</v>
      </c>
      <c r="C53" s="1" t="s">
        <v>27</v>
      </c>
      <c r="D53" s="31"/>
      <c r="E53" s="31"/>
      <c r="F53" s="31"/>
      <c r="G53" s="31"/>
      <c r="H53" s="32"/>
      <c r="I53" s="38" t="s">
        <v>27</v>
      </c>
      <c r="J53" s="3" t="s">
        <v>5</v>
      </c>
      <c r="K53" s="1" t="s">
        <v>27</v>
      </c>
      <c r="L53" s="31"/>
      <c r="M53" s="31"/>
      <c r="N53" s="31"/>
      <c r="O53" s="31"/>
      <c r="P53" s="32"/>
    </row>
    <row r="54" spans="1:16">
      <c r="A54" s="38" t="s">
        <v>27</v>
      </c>
      <c r="B54" s="1" t="s">
        <v>27</v>
      </c>
      <c r="C54" s="1" t="s">
        <v>27</v>
      </c>
      <c r="D54" s="31"/>
      <c r="E54" s="31"/>
      <c r="F54" s="31"/>
      <c r="G54" s="31"/>
      <c r="H54" s="32"/>
      <c r="I54" s="38" t="s">
        <v>27</v>
      </c>
      <c r="J54" s="3" t="s">
        <v>5</v>
      </c>
      <c r="K54" s="1" t="s">
        <v>27</v>
      </c>
      <c r="L54" s="31"/>
      <c r="M54" s="31"/>
      <c r="N54" s="31"/>
      <c r="O54" s="31"/>
      <c r="P54" s="32"/>
    </row>
    <row r="55" spans="1:16">
      <c r="A55" s="38" t="s">
        <v>27</v>
      </c>
      <c r="B55" s="1" t="s">
        <v>27</v>
      </c>
      <c r="C55" s="1" t="s">
        <v>27</v>
      </c>
      <c r="D55" s="31"/>
      <c r="E55" s="31"/>
      <c r="F55" s="31"/>
      <c r="G55" s="31"/>
      <c r="H55" s="32"/>
      <c r="I55" s="38" t="s">
        <v>27</v>
      </c>
      <c r="J55" s="15" t="s">
        <v>17</v>
      </c>
      <c r="K55" s="1" t="s">
        <v>27</v>
      </c>
      <c r="L55" s="31"/>
      <c r="M55" s="31"/>
      <c r="N55" s="31"/>
      <c r="O55" s="31"/>
      <c r="P55" s="32"/>
    </row>
    <row r="56" spans="1:16">
      <c r="A56" s="38" t="s">
        <v>27</v>
      </c>
      <c r="B56" s="1" t="s">
        <v>27</v>
      </c>
      <c r="C56" s="1" t="s">
        <v>27</v>
      </c>
      <c r="D56" s="31"/>
      <c r="E56" s="31"/>
      <c r="F56" s="31"/>
      <c r="G56" s="31"/>
      <c r="H56" s="32"/>
      <c r="I56" s="38" t="s">
        <v>27</v>
      </c>
      <c r="J56" s="3" t="s">
        <v>5</v>
      </c>
      <c r="K56" s="1" t="s">
        <v>27</v>
      </c>
      <c r="L56" s="31"/>
      <c r="M56" s="31"/>
      <c r="N56" s="31"/>
      <c r="O56" s="31"/>
      <c r="P56" s="32"/>
    </row>
    <row r="57" spans="1:16">
      <c r="A57" s="38" t="s">
        <v>27</v>
      </c>
      <c r="B57" s="1" t="s">
        <v>27</v>
      </c>
      <c r="C57" s="1" t="s">
        <v>27</v>
      </c>
      <c r="D57" s="31"/>
      <c r="E57" s="31"/>
      <c r="F57" s="31"/>
      <c r="G57" s="31"/>
      <c r="H57" s="32"/>
      <c r="I57" s="38" t="s">
        <v>27</v>
      </c>
      <c r="J57" s="3" t="s">
        <v>5</v>
      </c>
      <c r="K57" s="1" t="s">
        <v>27</v>
      </c>
      <c r="L57" s="31"/>
      <c r="M57" s="31"/>
      <c r="N57" s="31"/>
      <c r="O57" s="31"/>
      <c r="P57" s="32"/>
    </row>
    <row r="58" spans="1:16">
      <c r="A58" s="38" t="s">
        <v>27</v>
      </c>
      <c r="B58" s="1" t="s">
        <v>27</v>
      </c>
      <c r="C58" s="1" t="s">
        <v>27</v>
      </c>
      <c r="D58" s="31"/>
      <c r="E58" s="31"/>
      <c r="F58" s="31"/>
      <c r="G58" s="31"/>
      <c r="H58" s="32"/>
      <c r="I58" s="38" t="s">
        <v>27</v>
      </c>
      <c r="J58" s="1" t="s">
        <v>27</v>
      </c>
      <c r="K58" s="1" t="s">
        <v>27</v>
      </c>
      <c r="L58" s="31"/>
      <c r="M58" s="31"/>
      <c r="N58" s="31"/>
      <c r="O58" s="31"/>
      <c r="P58" s="32"/>
    </row>
    <row r="59" spans="1:16">
      <c r="A59" s="38" t="s">
        <v>27</v>
      </c>
      <c r="B59" s="1" t="s">
        <v>27</v>
      </c>
      <c r="C59" s="1" t="s">
        <v>27</v>
      </c>
      <c r="D59" s="31"/>
      <c r="E59" s="31"/>
      <c r="F59" s="31"/>
      <c r="G59" s="31"/>
      <c r="H59" s="32"/>
      <c r="I59" s="38" t="s">
        <v>27</v>
      </c>
      <c r="J59" s="9" t="s">
        <v>11</v>
      </c>
      <c r="K59" s="1" t="s">
        <v>27</v>
      </c>
      <c r="L59" s="31"/>
      <c r="M59" s="31"/>
      <c r="N59" s="31"/>
      <c r="O59" s="31"/>
      <c r="P59" s="32"/>
    </row>
    <row r="60" spans="1:16">
      <c r="A60" s="38" t="s">
        <v>27</v>
      </c>
      <c r="B60" s="1" t="s">
        <v>27</v>
      </c>
      <c r="C60" s="1" t="s">
        <v>27</v>
      </c>
      <c r="D60" s="31"/>
      <c r="E60" s="31"/>
      <c r="F60" s="31"/>
      <c r="G60" s="31"/>
      <c r="H60" s="32"/>
      <c r="I60" s="38" t="s">
        <v>27</v>
      </c>
      <c r="J60" s="1" t="s">
        <v>27</v>
      </c>
      <c r="K60" s="1" t="s">
        <v>27</v>
      </c>
      <c r="L60" s="31"/>
      <c r="M60" s="31"/>
      <c r="N60" s="31"/>
      <c r="O60" s="31"/>
      <c r="P60" s="32"/>
    </row>
    <row r="61" spans="1:16">
      <c r="A61" s="38" t="s">
        <v>27</v>
      </c>
      <c r="B61" s="1" t="s">
        <v>27</v>
      </c>
      <c r="C61" s="1" t="s">
        <v>27</v>
      </c>
      <c r="D61" s="31"/>
      <c r="E61" s="31"/>
      <c r="F61" s="31"/>
      <c r="G61" s="31"/>
      <c r="H61" s="32"/>
      <c r="I61" s="38" t="s">
        <v>27</v>
      </c>
      <c r="J61" s="1" t="s">
        <v>27</v>
      </c>
      <c r="K61" s="1" t="s">
        <v>27</v>
      </c>
      <c r="L61" s="31"/>
      <c r="M61" s="31"/>
      <c r="N61" s="31"/>
      <c r="O61" s="31"/>
      <c r="P61" s="32"/>
    </row>
    <row r="62" spans="1:16">
      <c r="A62" s="38" t="s">
        <v>27</v>
      </c>
      <c r="B62" s="1" t="s">
        <v>27</v>
      </c>
      <c r="C62" s="1" t="s">
        <v>27</v>
      </c>
      <c r="D62" s="31"/>
      <c r="E62" s="31"/>
      <c r="F62" s="31"/>
      <c r="G62" s="31"/>
      <c r="H62" s="32"/>
      <c r="I62" s="38" t="s">
        <v>27</v>
      </c>
      <c r="J62" s="15" t="s">
        <v>17</v>
      </c>
      <c r="K62" s="1" t="s">
        <v>27</v>
      </c>
      <c r="L62" s="31"/>
      <c r="M62" s="31"/>
      <c r="N62" s="31"/>
      <c r="O62" s="31"/>
      <c r="P62" s="32"/>
    </row>
    <row r="63" spans="1:16">
      <c r="A63" s="38" t="s">
        <v>27</v>
      </c>
      <c r="B63" s="1" t="s">
        <v>27</v>
      </c>
      <c r="C63" s="1" t="s">
        <v>27</v>
      </c>
      <c r="D63" s="31"/>
      <c r="E63" s="31"/>
      <c r="F63" s="31"/>
      <c r="G63" s="31"/>
      <c r="H63" s="32"/>
      <c r="I63" s="38" t="s">
        <v>27</v>
      </c>
      <c r="J63" s="1" t="s">
        <v>27</v>
      </c>
      <c r="K63" s="1" t="s">
        <v>27</v>
      </c>
      <c r="L63" s="31"/>
      <c r="M63" s="31"/>
      <c r="N63" s="31"/>
      <c r="O63" s="31"/>
      <c r="P63" s="32"/>
    </row>
    <row r="64" spans="1:16">
      <c r="A64" s="38" t="s">
        <v>27</v>
      </c>
      <c r="B64" s="1" t="s">
        <v>27</v>
      </c>
      <c r="C64" s="1" t="s">
        <v>27</v>
      </c>
      <c r="D64" s="31"/>
      <c r="E64" s="31"/>
      <c r="F64" s="31"/>
      <c r="G64" s="31"/>
      <c r="H64" s="32"/>
      <c r="I64" s="38" t="s">
        <v>27</v>
      </c>
      <c r="J64" s="1" t="s">
        <v>27</v>
      </c>
      <c r="K64" s="1" t="s">
        <v>27</v>
      </c>
      <c r="L64" s="31"/>
      <c r="M64" s="31"/>
      <c r="N64" s="31"/>
      <c r="O64" s="31"/>
      <c r="P64" s="32"/>
    </row>
    <row r="65" spans="1:16">
      <c r="A65" s="38" t="s">
        <v>27</v>
      </c>
      <c r="B65" s="1" t="s">
        <v>27</v>
      </c>
      <c r="C65" s="1" t="s">
        <v>27</v>
      </c>
      <c r="D65" s="31"/>
      <c r="E65" s="31"/>
      <c r="F65" s="31"/>
      <c r="G65" s="31"/>
      <c r="H65" s="32"/>
      <c r="I65" s="38" t="s">
        <v>27</v>
      </c>
      <c r="J65" s="1" t="s">
        <v>27</v>
      </c>
      <c r="K65" s="1" t="s">
        <v>27</v>
      </c>
      <c r="L65" s="31"/>
      <c r="M65" s="31"/>
      <c r="N65" s="31"/>
      <c r="O65" s="31"/>
      <c r="P65" s="32"/>
    </row>
    <row r="66" spans="1:16">
      <c r="A66" s="38" t="s">
        <v>27</v>
      </c>
      <c r="B66" s="1" t="s">
        <v>27</v>
      </c>
      <c r="C66" s="1" t="s">
        <v>27</v>
      </c>
      <c r="D66" s="31"/>
      <c r="E66" s="31"/>
      <c r="F66" s="31"/>
      <c r="G66" s="31"/>
      <c r="H66" s="32"/>
      <c r="I66" s="38" t="s">
        <v>27</v>
      </c>
      <c r="J66" s="1" t="s">
        <v>27</v>
      </c>
      <c r="K66" s="1" t="s">
        <v>27</v>
      </c>
      <c r="L66" s="31"/>
      <c r="M66" s="31"/>
      <c r="N66" s="31"/>
      <c r="O66" s="31"/>
      <c r="P66" s="32"/>
    </row>
    <row r="67" spans="1:16">
      <c r="A67" s="38" t="s">
        <v>27</v>
      </c>
      <c r="B67" s="1" t="s">
        <v>27</v>
      </c>
      <c r="C67" s="1" t="s">
        <v>27</v>
      </c>
      <c r="D67" s="31"/>
      <c r="E67" s="31"/>
      <c r="F67" s="31"/>
      <c r="G67" s="31"/>
      <c r="H67" s="32"/>
      <c r="I67" s="38" t="s">
        <v>27</v>
      </c>
      <c r="J67" s="1" t="s">
        <v>27</v>
      </c>
      <c r="K67" s="1" t="s">
        <v>27</v>
      </c>
      <c r="L67" s="31"/>
      <c r="M67" s="31"/>
      <c r="N67" s="31"/>
      <c r="O67" s="31"/>
      <c r="P67" s="32"/>
    </row>
    <row r="68" spans="1:16">
      <c r="A68" s="38" t="s">
        <v>27</v>
      </c>
      <c r="B68" s="1" t="s">
        <v>27</v>
      </c>
      <c r="C68" s="1" t="s">
        <v>27</v>
      </c>
      <c r="D68" s="31"/>
      <c r="E68" s="31"/>
      <c r="F68" s="31"/>
      <c r="G68" s="31"/>
      <c r="H68" s="32"/>
      <c r="I68" s="38" t="s">
        <v>27</v>
      </c>
      <c r="J68" s="1" t="s">
        <v>27</v>
      </c>
      <c r="K68" s="1" t="s">
        <v>27</v>
      </c>
      <c r="L68" s="31"/>
      <c r="M68" s="31"/>
      <c r="N68" s="31"/>
      <c r="O68" s="31"/>
      <c r="P68" s="32"/>
    </row>
    <row r="69" spans="1:16">
      <c r="A69" s="38" t="s">
        <v>27</v>
      </c>
      <c r="B69" s="1" t="s">
        <v>27</v>
      </c>
      <c r="C69" s="1" t="s">
        <v>27</v>
      </c>
      <c r="D69" s="31"/>
      <c r="E69" s="31"/>
      <c r="F69" s="31"/>
      <c r="G69" s="31"/>
      <c r="H69" s="32"/>
      <c r="I69" s="38" t="s">
        <v>27</v>
      </c>
      <c r="J69" s="1" t="s">
        <v>27</v>
      </c>
      <c r="K69" s="1" t="s">
        <v>27</v>
      </c>
      <c r="L69" s="31"/>
      <c r="M69" s="31"/>
      <c r="N69" s="31"/>
      <c r="O69" s="31"/>
      <c r="P69" s="32"/>
    </row>
    <row r="70" spans="1:16">
      <c r="A70" s="38" t="s">
        <v>27</v>
      </c>
      <c r="B70" s="1" t="s">
        <v>27</v>
      </c>
      <c r="C70" s="1" t="s">
        <v>27</v>
      </c>
      <c r="D70" s="31"/>
      <c r="E70" s="31"/>
      <c r="F70" s="31"/>
      <c r="G70" s="31"/>
      <c r="H70" s="32"/>
      <c r="I70" s="38" t="s">
        <v>27</v>
      </c>
      <c r="J70" s="1" t="s">
        <v>27</v>
      </c>
      <c r="K70" s="1" t="s">
        <v>27</v>
      </c>
      <c r="L70" s="31"/>
      <c r="M70" s="31"/>
      <c r="N70" s="31"/>
      <c r="O70" s="31"/>
      <c r="P70" s="32"/>
    </row>
    <row r="71" spans="1:16">
      <c r="A71" s="38" t="s">
        <v>27</v>
      </c>
      <c r="B71" s="1" t="s">
        <v>27</v>
      </c>
      <c r="C71" s="1" t="s">
        <v>27</v>
      </c>
      <c r="D71" s="31"/>
      <c r="E71" s="31"/>
      <c r="F71" s="31"/>
      <c r="G71" s="31"/>
      <c r="H71" s="32"/>
      <c r="I71" s="38" t="s">
        <v>27</v>
      </c>
      <c r="J71" s="1" t="s">
        <v>27</v>
      </c>
      <c r="K71" s="1" t="s">
        <v>27</v>
      </c>
      <c r="L71" s="31"/>
      <c r="M71" s="31"/>
      <c r="N71" s="31"/>
      <c r="O71" s="31"/>
      <c r="P71" s="32"/>
    </row>
    <row r="72" spans="1:16">
      <c r="A72" s="38" t="s">
        <v>27</v>
      </c>
      <c r="B72" s="1" t="s">
        <v>27</v>
      </c>
      <c r="C72" s="1" t="s">
        <v>27</v>
      </c>
      <c r="D72" s="31"/>
      <c r="E72" s="31"/>
      <c r="F72" s="31"/>
      <c r="G72" s="31"/>
      <c r="H72" s="32"/>
      <c r="I72" s="38" t="s">
        <v>27</v>
      </c>
      <c r="J72" s="1" t="s">
        <v>27</v>
      </c>
      <c r="K72" s="1" t="s">
        <v>27</v>
      </c>
      <c r="L72" s="31"/>
      <c r="M72" s="31"/>
      <c r="N72" s="31"/>
      <c r="O72" s="31"/>
      <c r="P72" s="32"/>
    </row>
    <row r="73" spans="1:16">
      <c r="A73" s="38" t="s">
        <v>27</v>
      </c>
      <c r="B73" s="1" t="s">
        <v>27</v>
      </c>
      <c r="C73" s="1" t="s">
        <v>27</v>
      </c>
      <c r="D73" s="31"/>
      <c r="E73" s="31"/>
      <c r="F73" s="31"/>
      <c r="G73" s="31"/>
      <c r="H73" s="32"/>
      <c r="I73" s="38" t="s">
        <v>27</v>
      </c>
      <c r="J73" s="1" t="s">
        <v>27</v>
      </c>
      <c r="K73" s="1" t="s">
        <v>27</v>
      </c>
      <c r="L73" s="31"/>
      <c r="M73" s="31"/>
      <c r="N73" s="31"/>
      <c r="O73" s="31"/>
      <c r="P73" s="32"/>
    </row>
    <row r="74" spans="1:16">
      <c r="A74" s="38" t="s">
        <v>27</v>
      </c>
      <c r="B74" s="1" t="s">
        <v>27</v>
      </c>
      <c r="C74" s="1" t="s">
        <v>27</v>
      </c>
      <c r="D74" s="31"/>
      <c r="E74" s="31"/>
      <c r="F74" s="31"/>
      <c r="G74" s="31"/>
      <c r="H74" s="32"/>
      <c r="I74" s="38" t="s">
        <v>27</v>
      </c>
      <c r="J74" s="1" t="s">
        <v>27</v>
      </c>
      <c r="K74" s="1" t="s">
        <v>27</v>
      </c>
      <c r="L74" s="31"/>
      <c r="M74" s="31"/>
      <c r="N74" s="31"/>
      <c r="O74" s="31"/>
      <c r="P74" s="32"/>
    </row>
    <row r="75" spans="1:16">
      <c r="A75" s="38" t="s">
        <v>27</v>
      </c>
      <c r="B75" s="1" t="s">
        <v>27</v>
      </c>
      <c r="C75" s="1" t="s">
        <v>27</v>
      </c>
      <c r="D75" s="31"/>
      <c r="E75" s="31"/>
      <c r="F75" s="31"/>
      <c r="G75" s="31"/>
      <c r="H75" s="32"/>
      <c r="I75" s="38" t="s">
        <v>27</v>
      </c>
      <c r="J75" s="1" t="s">
        <v>27</v>
      </c>
      <c r="K75" s="1" t="s">
        <v>27</v>
      </c>
      <c r="L75" s="31"/>
      <c r="M75" s="31"/>
      <c r="N75" s="31"/>
      <c r="O75" s="31"/>
      <c r="P75" s="32"/>
    </row>
    <row r="76" spans="1:16">
      <c r="A76" s="38" t="s">
        <v>27</v>
      </c>
      <c r="B76" s="1" t="s">
        <v>27</v>
      </c>
      <c r="C76" s="1" t="s">
        <v>27</v>
      </c>
      <c r="D76" s="31"/>
      <c r="E76" s="31"/>
      <c r="F76" s="31"/>
      <c r="G76" s="31"/>
      <c r="H76" s="32"/>
      <c r="I76" s="38" t="s">
        <v>27</v>
      </c>
      <c r="J76" s="1" t="s">
        <v>27</v>
      </c>
      <c r="K76" s="1" t="s">
        <v>27</v>
      </c>
      <c r="L76" s="31"/>
      <c r="M76" s="31"/>
      <c r="N76" s="31"/>
      <c r="O76" s="31"/>
      <c r="P76" s="32"/>
    </row>
    <row r="77" spans="1:16">
      <c r="A77" s="38" t="s">
        <v>27</v>
      </c>
      <c r="B77" s="1" t="s">
        <v>27</v>
      </c>
      <c r="C77" s="1" t="s">
        <v>27</v>
      </c>
      <c r="D77" s="31"/>
      <c r="E77" s="31"/>
      <c r="F77" s="31"/>
      <c r="G77" s="31"/>
      <c r="H77" s="32"/>
      <c r="I77" s="38" t="s">
        <v>27</v>
      </c>
      <c r="J77" s="1" t="s">
        <v>27</v>
      </c>
      <c r="K77" s="1" t="s">
        <v>27</v>
      </c>
      <c r="L77" s="31"/>
      <c r="M77" s="31"/>
      <c r="N77" s="31"/>
      <c r="O77" s="31"/>
      <c r="P77" s="32"/>
    </row>
    <row r="78" spans="1:16">
      <c r="A78" s="38" t="s">
        <v>27</v>
      </c>
      <c r="B78" s="1" t="s">
        <v>27</v>
      </c>
      <c r="C78" s="1" t="s">
        <v>27</v>
      </c>
      <c r="D78" s="31"/>
      <c r="E78" s="31"/>
      <c r="F78" s="31"/>
      <c r="G78" s="31"/>
      <c r="H78" s="32"/>
      <c r="I78" s="38" t="s">
        <v>27</v>
      </c>
      <c r="J78" s="1" t="s">
        <v>27</v>
      </c>
      <c r="K78" s="1" t="s">
        <v>27</v>
      </c>
      <c r="L78" s="31"/>
      <c r="M78" s="31"/>
      <c r="N78" s="31"/>
      <c r="O78" s="31"/>
      <c r="P78" s="32"/>
    </row>
    <row r="79" spans="1:16">
      <c r="A79" s="38" t="s">
        <v>27</v>
      </c>
      <c r="B79" s="1" t="s">
        <v>27</v>
      </c>
      <c r="C79" s="1" t="s">
        <v>27</v>
      </c>
      <c r="D79" s="31"/>
      <c r="E79" s="31"/>
      <c r="F79" s="31"/>
      <c r="G79" s="31"/>
      <c r="H79" s="32"/>
      <c r="I79" s="38" t="s">
        <v>27</v>
      </c>
      <c r="J79" s="1" t="s">
        <v>27</v>
      </c>
      <c r="K79" s="1" t="s">
        <v>27</v>
      </c>
      <c r="L79" s="31"/>
      <c r="M79" s="31"/>
      <c r="N79" s="31"/>
      <c r="O79" s="31"/>
      <c r="P79" s="32"/>
    </row>
    <row r="80" spans="1:16">
      <c r="A80" s="38" t="s">
        <v>27</v>
      </c>
      <c r="B80" s="1" t="s">
        <v>27</v>
      </c>
      <c r="C80" s="1" t="s">
        <v>27</v>
      </c>
      <c r="D80" s="31"/>
      <c r="E80" s="31"/>
      <c r="F80" s="31"/>
      <c r="G80" s="31"/>
      <c r="H80" s="32"/>
      <c r="I80" s="38" t="s">
        <v>27</v>
      </c>
      <c r="J80" s="1" t="s">
        <v>27</v>
      </c>
      <c r="K80" s="1" t="s">
        <v>27</v>
      </c>
      <c r="L80" s="31"/>
      <c r="M80" s="31"/>
      <c r="N80" s="31"/>
      <c r="O80" s="31"/>
      <c r="P80" s="32"/>
    </row>
    <row r="81" spans="1:16">
      <c r="A81" s="38" t="s">
        <v>27</v>
      </c>
      <c r="B81" s="1" t="s">
        <v>27</v>
      </c>
      <c r="C81" s="1" t="s">
        <v>27</v>
      </c>
      <c r="D81" s="31"/>
      <c r="E81" s="31"/>
      <c r="F81" s="31"/>
      <c r="G81" s="31"/>
      <c r="H81" s="32"/>
      <c r="I81" s="38" t="s">
        <v>27</v>
      </c>
      <c r="J81" s="1" t="s">
        <v>27</v>
      </c>
      <c r="K81" s="1" t="s">
        <v>27</v>
      </c>
      <c r="L81" s="31"/>
      <c r="M81" s="31"/>
      <c r="N81" s="31"/>
      <c r="O81" s="31"/>
      <c r="P81" s="32"/>
    </row>
    <row r="82" spans="1:16">
      <c r="A82" s="38" t="s">
        <v>27</v>
      </c>
      <c r="B82" s="1" t="s">
        <v>27</v>
      </c>
      <c r="C82" s="1" t="s">
        <v>27</v>
      </c>
      <c r="D82" s="31"/>
      <c r="E82" s="31"/>
      <c r="F82" s="31"/>
      <c r="G82" s="31"/>
      <c r="H82" s="32"/>
      <c r="I82" s="38" t="s">
        <v>27</v>
      </c>
      <c r="J82" s="1" t="s">
        <v>27</v>
      </c>
      <c r="K82" s="1" t="s">
        <v>27</v>
      </c>
      <c r="L82" s="31"/>
      <c r="M82" s="31"/>
      <c r="N82" s="31"/>
      <c r="O82" s="31"/>
      <c r="P82" s="32"/>
    </row>
    <row r="83" spans="1:16">
      <c r="A83" s="38" t="s">
        <v>27</v>
      </c>
      <c r="B83" s="1" t="s">
        <v>27</v>
      </c>
      <c r="C83" s="1" t="s">
        <v>27</v>
      </c>
      <c r="D83" s="31"/>
      <c r="E83" s="31"/>
      <c r="F83" s="31"/>
      <c r="G83" s="31"/>
      <c r="H83" s="32"/>
      <c r="I83" s="38" t="s">
        <v>27</v>
      </c>
      <c r="J83" s="1" t="s">
        <v>27</v>
      </c>
      <c r="K83" s="1" t="s">
        <v>27</v>
      </c>
      <c r="L83" s="31"/>
      <c r="M83" s="31"/>
      <c r="N83" s="31"/>
      <c r="O83" s="31"/>
      <c r="P83" s="32"/>
    </row>
    <row r="84" spans="1:16">
      <c r="A84" s="38" t="s">
        <v>27</v>
      </c>
      <c r="B84" s="1" t="s">
        <v>27</v>
      </c>
      <c r="C84" s="1" t="s">
        <v>27</v>
      </c>
      <c r="D84" s="31"/>
      <c r="E84" s="31"/>
      <c r="F84" s="31"/>
      <c r="G84" s="31"/>
      <c r="H84" s="32"/>
      <c r="I84" s="38" t="s">
        <v>27</v>
      </c>
      <c r="J84" s="1" t="s">
        <v>27</v>
      </c>
      <c r="K84" s="1" t="s">
        <v>27</v>
      </c>
      <c r="L84" s="31"/>
      <c r="M84" s="31"/>
      <c r="N84" s="31"/>
      <c r="O84" s="31"/>
      <c r="P84" s="32"/>
    </row>
    <row r="85" spans="1:16">
      <c r="A85" s="38" t="s">
        <v>27</v>
      </c>
      <c r="B85" s="1" t="s">
        <v>27</v>
      </c>
      <c r="C85" s="1" t="s">
        <v>27</v>
      </c>
      <c r="D85" s="31"/>
      <c r="E85" s="31"/>
      <c r="F85" s="31"/>
      <c r="G85" s="31"/>
      <c r="H85" s="32"/>
      <c r="I85" s="38" t="s">
        <v>27</v>
      </c>
      <c r="J85" s="1" t="s">
        <v>27</v>
      </c>
      <c r="K85" s="1" t="s">
        <v>27</v>
      </c>
      <c r="L85" s="31"/>
      <c r="M85" s="31"/>
      <c r="N85" s="31"/>
      <c r="O85" s="31"/>
      <c r="P85" s="32"/>
    </row>
    <row r="86" spans="1:16">
      <c r="A86" s="38" t="s">
        <v>27</v>
      </c>
      <c r="B86" s="1" t="s">
        <v>27</v>
      </c>
      <c r="C86" s="1" t="s">
        <v>27</v>
      </c>
      <c r="D86" s="31"/>
      <c r="E86" s="31"/>
      <c r="F86" s="31"/>
      <c r="G86" s="31"/>
      <c r="H86" s="32"/>
      <c r="I86" s="38" t="s">
        <v>27</v>
      </c>
      <c r="J86" s="1" t="s">
        <v>27</v>
      </c>
      <c r="K86" s="1" t="s">
        <v>27</v>
      </c>
      <c r="L86" s="31"/>
      <c r="M86" s="31"/>
      <c r="N86" s="31"/>
      <c r="O86" s="31"/>
      <c r="P86" s="32"/>
    </row>
    <row r="87" spans="1:16">
      <c r="A87" s="38" t="s">
        <v>27</v>
      </c>
      <c r="B87" s="1" t="s">
        <v>27</v>
      </c>
      <c r="C87" s="1" t="s">
        <v>27</v>
      </c>
      <c r="D87" s="31"/>
      <c r="E87" s="31"/>
      <c r="F87" s="31"/>
      <c r="G87" s="31"/>
      <c r="H87" s="32"/>
      <c r="I87" s="38" t="s">
        <v>27</v>
      </c>
      <c r="J87" s="1" t="s">
        <v>27</v>
      </c>
      <c r="K87" s="1" t="s">
        <v>27</v>
      </c>
      <c r="L87" s="31"/>
      <c r="M87" s="31"/>
      <c r="N87" s="31"/>
      <c r="O87" s="31"/>
      <c r="P87" s="32"/>
    </row>
    <row r="88" spans="1:16">
      <c r="A88" s="38" t="s">
        <v>27</v>
      </c>
      <c r="B88" s="1" t="s">
        <v>27</v>
      </c>
      <c r="C88" s="1" t="s">
        <v>27</v>
      </c>
      <c r="D88" s="31"/>
      <c r="E88" s="31"/>
      <c r="F88" s="31"/>
      <c r="G88" s="31"/>
      <c r="H88" s="32"/>
      <c r="I88" s="38" t="s">
        <v>27</v>
      </c>
      <c r="J88" s="1" t="s">
        <v>27</v>
      </c>
      <c r="K88" s="1" t="s">
        <v>27</v>
      </c>
      <c r="L88" s="31"/>
      <c r="M88" s="31"/>
      <c r="N88" s="31"/>
      <c r="O88" s="31"/>
      <c r="P88" s="32"/>
    </row>
    <row r="89" spans="1:16">
      <c r="A89" s="38" t="s">
        <v>27</v>
      </c>
      <c r="B89" s="1" t="s">
        <v>27</v>
      </c>
      <c r="C89" s="1" t="s">
        <v>27</v>
      </c>
      <c r="D89" s="31"/>
      <c r="E89" s="31"/>
      <c r="F89" s="31"/>
      <c r="G89" s="31"/>
      <c r="H89" s="32"/>
      <c r="I89" s="38" t="s">
        <v>27</v>
      </c>
      <c r="J89" s="1" t="s">
        <v>27</v>
      </c>
      <c r="K89" s="1" t="s">
        <v>27</v>
      </c>
      <c r="L89" s="31"/>
      <c r="M89" s="31"/>
      <c r="N89" s="31"/>
      <c r="O89" s="31"/>
      <c r="P89" s="32"/>
    </row>
    <row r="90" spans="1:16">
      <c r="A90" s="38" t="s">
        <v>27</v>
      </c>
      <c r="B90" s="1" t="s">
        <v>27</v>
      </c>
      <c r="C90" s="1" t="s">
        <v>27</v>
      </c>
      <c r="D90" s="31"/>
      <c r="E90" s="31"/>
      <c r="F90" s="31"/>
      <c r="G90" s="31"/>
      <c r="H90" s="32"/>
      <c r="I90" s="38" t="s">
        <v>27</v>
      </c>
      <c r="J90" s="1" t="s">
        <v>27</v>
      </c>
      <c r="K90" s="1" t="s">
        <v>27</v>
      </c>
      <c r="L90" s="31"/>
      <c r="M90" s="31"/>
      <c r="N90" s="31"/>
      <c r="O90" s="31"/>
      <c r="P90" s="32"/>
    </row>
    <row r="91" spans="1:16">
      <c r="A91" s="38" t="s">
        <v>27</v>
      </c>
      <c r="B91" s="1" t="s">
        <v>27</v>
      </c>
      <c r="C91" s="1" t="s">
        <v>27</v>
      </c>
      <c r="D91" s="31"/>
      <c r="E91" s="31"/>
      <c r="F91" s="31"/>
      <c r="G91" s="31"/>
      <c r="H91" s="32"/>
      <c r="I91" s="38" t="s">
        <v>27</v>
      </c>
      <c r="J91" s="1" t="s">
        <v>27</v>
      </c>
      <c r="K91" s="1" t="s">
        <v>27</v>
      </c>
      <c r="L91" s="31"/>
      <c r="M91" s="31"/>
      <c r="N91" s="31"/>
      <c r="O91" s="31"/>
      <c r="P91" s="32"/>
    </row>
    <row r="92" spans="1:16">
      <c r="A92" s="38" t="s">
        <v>27</v>
      </c>
      <c r="B92" s="1" t="s">
        <v>27</v>
      </c>
      <c r="C92" s="1" t="s">
        <v>27</v>
      </c>
      <c r="D92" s="31"/>
      <c r="E92" s="31"/>
      <c r="F92" s="31"/>
      <c r="G92" s="31"/>
      <c r="H92" s="32"/>
      <c r="I92" s="38" t="s">
        <v>27</v>
      </c>
      <c r="J92" s="1" t="s">
        <v>27</v>
      </c>
      <c r="K92" s="1" t="s">
        <v>27</v>
      </c>
      <c r="L92" s="31"/>
      <c r="M92" s="31"/>
      <c r="N92" s="31"/>
      <c r="O92" s="31"/>
      <c r="P92" s="32"/>
    </row>
    <row r="93" spans="1:16">
      <c r="A93" s="38" t="s">
        <v>27</v>
      </c>
      <c r="B93" s="1" t="s">
        <v>27</v>
      </c>
      <c r="C93" s="1" t="s">
        <v>27</v>
      </c>
      <c r="D93" s="31"/>
      <c r="E93" s="31"/>
      <c r="F93" s="31"/>
      <c r="G93" s="31"/>
      <c r="H93" s="32"/>
      <c r="I93" s="38" t="s">
        <v>27</v>
      </c>
      <c r="J93" s="1" t="s">
        <v>27</v>
      </c>
      <c r="K93" s="1" t="s">
        <v>27</v>
      </c>
      <c r="L93" s="31"/>
      <c r="M93" s="31"/>
      <c r="N93" s="31"/>
      <c r="O93" s="31"/>
      <c r="P93" s="32"/>
    </row>
    <row r="94" spans="1:16">
      <c r="A94" s="38" t="s">
        <v>27</v>
      </c>
      <c r="B94" s="1" t="s">
        <v>27</v>
      </c>
      <c r="C94" s="1" t="s">
        <v>27</v>
      </c>
      <c r="D94" s="31"/>
      <c r="E94" s="31"/>
      <c r="F94" s="31"/>
      <c r="G94" s="31"/>
      <c r="H94" s="32"/>
      <c r="I94" s="38" t="s">
        <v>27</v>
      </c>
      <c r="J94" s="1" t="s">
        <v>27</v>
      </c>
      <c r="K94" s="1" t="s">
        <v>27</v>
      </c>
      <c r="L94" s="31"/>
      <c r="M94" s="31"/>
      <c r="N94" s="31"/>
      <c r="O94" s="31"/>
      <c r="P94" s="32"/>
    </row>
    <row r="95" spans="1:16">
      <c r="A95" s="38" t="s">
        <v>27</v>
      </c>
      <c r="B95" s="1" t="s">
        <v>27</v>
      </c>
      <c r="C95" s="1" t="s">
        <v>27</v>
      </c>
      <c r="D95" s="31"/>
      <c r="E95" s="31"/>
      <c r="F95" s="31"/>
      <c r="G95" s="31"/>
      <c r="H95" s="32"/>
      <c r="I95" s="38" t="s">
        <v>27</v>
      </c>
      <c r="J95" s="1" t="s">
        <v>27</v>
      </c>
      <c r="K95" s="1" t="s">
        <v>27</v>
      </c>
      <c r="L95" s="31"/>
      <c r="M95" s="31"/>
      <c r="N95" s="31"/>
      <c r="O95" s="31"/>
      <c r="P95" s="32"/>
    </row>
    <row r="96" spans="1:16">
      <c r="A96" s="38" t="s">
        <v>27</v>
      </c>
      <c r="B96" s="1" t="s">
        <v>27</v>
      </c>
      <c r="C96" s="1" t="s">
        <v>27</v>
      </c>
      <c r="D96" s="31"/>
      <c r="E96" s="31"/>
      <c r="F96" s="31"/>
      <c r="G96" s="31"/>
      <c r="H96" s="32"/>
      <c r="I96" s="38" t="s">
        <v>27</v>
      </c>
      <c r="J96" s="1" t="s">
        <v>27</v>
      </c>
      <c r="K96" s="1" t="s">
        <v>27</v>
      </c>
      <c r="L96" s="31"/>
      <c r="M96" s="31"/>
      <c r="N96" s="31"/>
      <c r="O96" s="31"/>
      <c r="P96" s="32"/>
    </row>
    <row r="97" spans="1:16">
      <c r="A97" s="38" t="s">
        <v>27</v>
      </c>
      <c r="B97" s="1" t="s">
        <v>27</v>
      </c>
      <c r="C97" s="1" t="s">
        <v>27</v>
      </c>
      <c r="D97" s="31"/>
      <c r="E97" s="31"/>
      <c r="F97" s="31"/>
      <c r="G97" s="31"/>
      <c r="H97" s="32"/>
      <c r="I97" s="38" t="s">
        <v>27</v>
      </c>
      <c r="J97" s="1" t="s">
        <v>27</v>
      </c>
      <c r="K97" s="1" t="s">
        <v>27</v>
      </c>
      <c r="L97" s="31"/>
      <c r="M97" s="31"/>
      <c r="N97" s="31"/>
      <c r="O97" s="31"/>
      <c r="P97" s="32"/>
    </row>
    <row r="98" spans="1:16">
      <c r="A98" s="38" t="s">
        <v>27</v>
      </c>
      <c r="B98" s="1" t="s">
        <v>27</v>
      </c>
      <c r="C98" s="1" t="s">
        <v>27</v>
      </c>
      <c r="D98" s="31"/>
      <c r="E98" s="31"/>
      <c r="F98" s="31"/>
      <c r="G98" s="31"/>
      <c r="H98" s="32"/>
      <c r="I98" s="38" t="s">
        <v>27</v>
      </c>
      <c r="J98" s="1" t="s">
        <v>27</v>
      </c>
      <c r="K98" s="1" t="s">
        <v>27</v>
      </c>
      <c r="L98" s="31"/>
      <c r="M98" s="31"/>
      <c r="N98" s="31"/>
      <c r="O98" s="31"/>
      <c r="P98" s="32"/>
    </row>
    <row r="99" spans="1:16">
      <c r="A99" s="38" t="s">
        <v>27</v>
      </c>
      <c r="B99" s="1" t="s">
        <v>27</v>
      </c>
      <c r="C99" s="1" t="s">
        <v>27</v>
      </c>
      <c r="D99" s="31"/>
      <c r="E99" s="31"/>
      <c r="F99" s="31"/>
      <c r="G99" s="31"/>
      <c r="H99" s="32"/>
      <c r="I99" s="38" t="s">
        <v>27</v>
      </c>
      <c r="J99" s="1" t="s">
        <v>27</v>
      </c>
      <c r="K99" s="1" t="s">
        <v>27</v>
      </c>
      <c r="L99" s="31"/>
      <c r="M99" s="31"/>
      <c r="N99" s="31"/>
      <c r="O99" s="31"/>
      <c r="P99" s="32"/>
    </row>
    <row r="100" spans="1:16" ht="15" thickBot="1">
      <c r="A100" s="39" t="s">
        <v>27</v>
      </c>
      <c r="B100" s="40" t="s">
        <v>27</v>
      </c>
      <c r="C100" s="40" t="s">
        <v>27</v>
      </c>
      <c r="D100" s="41"/>
      <c r="E100" s="41"/>
      <c r="F100" s="41"/>
      <c r="G100" s="41"/>
      <c r="H100" s="42"/>
      <c r="I100" s="39" t="s">
        <v>27</v>
      </c>
      <c r="J100" s="40" t="s">
        <v>27</v>
      </c>
      <c r="K100" s="40" t="s">
        <v>27</v>
      </c>
      <c r="L100" s="41"/>
      <c r="M100" s="41"/>
      <c r="N100" s="41"/>
      <c r="O100" s="41"/>
      <c r="P100" s="4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159D-BC4F-470C-BF3C-60E1DB08B52C}">
  <dimension ref="A1:AB100"/>
  <sheetViews>
    <sheetView topLeftCell="A7" workbookViewId="0">
      <selection activeCell="Y5" sqref="Y5"/>
    </sheetView>
  </sheetViews>
  <sheetFormatPr defaultRowHeight="14.4"/>
  <sheetData>
    <row r="1" spans="1:28" ht="15.6">
      <c r="A1" s="70" t="s">
        <v>30</v>
      </c>
      <c r="B1" s="71"/>
      <c r="C1" s="71"/>
      <c r="D1" s="71"/>
      <c r="E1" s="71"/>
      <c r="F1" s="72" t="s">
        <v>3</v>
      </c>
      <c r="G1" s="72"/>
      <c r="H1" s="27" cm="1">
        <f t="array" ref="H1">SUM(VLOOKUP(A4:C100,$T$3:$W$36,4,FALSE))+H4*10-H8*50</f>
        <v>2489.7752794047424</v>
      </c>
      <c r="I1" s="73" t="s">
        <v>41</v>
      </c>
      <c r="J1" s="74"/>
      <c r="K1" s="74"/>
      <c r="L1" s="74"/>
      <c r="M1" s="74"/>
      <c r="N1" s="74"/>
      <c r="O1" s="74"/>
      <c r="P1" s="75"/>
      <c r="Q1" s="73" t="s">
        <v>48</v>
      </c>
      <c r="R1" s="74"/>
      <c r="S1" s="74"/>
      <c r="T1" s="74"/>
      <c r="U1" s="74"/>
      <c r="V1" s="74"/>
      <c r="W1" s="74"/>
      <c r="X1" s="74"/>
      <c r="Y1" s="74"/>
      <c r="Z1" s="74"/>
      <c r="AA1" s="74"/>
      <c r="AB1" s="75"/>
    </row>
    <row r="2" spans="1:28" ht="28.8">
      <c r="A2" s="76" t="s">
        <v>35</v>
      </c>
      <c r="B2" s="77"/>
      <c r="C2" s="77"/>
      <c r="D2" s="78" t="s">
        <v>37</v>
      </c>
      <c r="E2" s="79"/>
      <c r="F2" s="79"/>
      <c r="G2" s="79"/>
      <c r="H2" s="80"/>
      <c r="I2" s="81" t="s">
        <v>35</v>
      </c>
      <c r="J2" s="82"/>
      <c r="K2" s="82"/>
      <c r="L2" s="83" t="s">
        <v>37</v>
      </c>
      <c r="M2" s="83"/>
      <c r="N2" s="83"/>
      <c r="O2" s="83"/>
      <c r="P2" s="84"/>
      <c r="Q2" s="60" t="s">
        <v>43</v>
      </c>
      <c r="R2" s="61" cm="1">
        <f t="array" ref="R2">SUM(V3:V28*AB3:AB28)+H6+P6+R4*500</f>
        <v>65085</v>
      </c>
      <c r="S2" s="31"/>
      <c r="T2" s="1" t="s">
        <v>0</v>
      </c>
      <c r="U2" s="1" t="s">
        <v>1</v>
      </c>
      <c r="V2" s="1" t="s">
        <v>2</v>
      </c>
      <c r="W2" s="54" t="s">
        <v>3</v>
      </c>
      <c r="X2" s="56" t="s">
        <v>44</v>
      </c>
      <c r="Y2" s="56" t="s">
        <v>56</v>
      </c>
      <c r="Z2" s="57" t="s">
        <v>45</v>
      </c>
      <c r="AA2" s="57" t="s">
        <v>46</v>
      </c>
      <c r="AB2" s="62" t="s">
        <v>47</v>
      </c>
    </row>
    <row r="3" spans="1:28">
      <c r="A3" s="28" t="s">
        <v>31</v>
      </c>
      <c r="B3" s="68" t="s">
        <v>32</v>
      </c>
      <c r="C3" s="20" t="s">
        <v>33</v>
      </c>
      <c r="D3" s="43"/>
      <c r="E3" s="28" t="s">
        <v>31</v>
      </c>
      <c r="F3" s="68" t="s">
        <v>32</v>
      </c>
      <c r="G3" s="20" t="s">
        <v>33</v>
      </c>
      <c r="H3" s="44" t="s">
        <v>36</v>
      </c>
      <c r="I3" s="28" t="s">
        <v>31</v>
      </c>
      <c r="J3" s="68" t="s">
        <v>32</v>
      </c>
      <c r="K3" s="20" t="s">
        <v>33</v>
      </c>
      <c r="L3" s="43"/>
      <c r="M3" s="28" t="s">
        <v>31</v>
      </c>
      <c r="N3" s="68" t="s">
        <v>32</v>
      </c>
      <c r="O3" s="20" t="s">
        <v>33</v>
      </c>
      <c r="P3" s="44" t="s">
        <v>36</v>
      </c>
      <c r="Q3" s="63" t="s">
        <v>49</v>
      </c>
      <c r="R3" s="31">
        <v>91</v>
      </c>
      <c r="S3" s="31"/>
      <c r="T3" s="2" t="s">
        <v>4</v>
      </c>
      <c r="U3" s="1">
        <v>150</v>
      </c>
      <c r="V3" s="1">
        <v>35</v>
      </c>
      <c r="W3" s="55">
        <f>U3-V3/0.330882</f>
        <v>44.222109392472248</v>
      </c>
      <c r="X3" s="56"/>
      <c r="Y3" s="56">
        <v>11</v>
      </c>
      <c r="Z3" s="1">
        <f>COUNTIF($A$4:$C$100,T3)</f>
        <v>6</v>
      </c>
      <c r="AA3" s="1">
        <f>COUNTIF($I$4:$K$100,T3)</f>
        <v>5</v>
      </c>
      <c r="AB3" s="64">
        <f>Y3-Z3-AA3</f>
        <v>0</v>
      </c>
    </row>
    <row r="4" spans="1:28">
      <c r="A4" s="2" t="s">
        <v>4</v>
      </c>
      <c r="B4" s="15" t="s">
        <v>17</v>
      </c>
      <c r="C4" s="3" t="s">
        <v>5</v>
      </c>
      <c r="D4" s="53" t="s">
        <v>34</v>
      </c>
      <c r="E4" s="49">
        <v>5</v>
      </c>
      <c r="F4" s="49">
        <v>0</v>
      </c>
      <c r="G4" s="49">
        <v>1</v>
      </c>
      <c r="H4" s="46">
        <f>SUM(E4:G4)</f>
        <v>6</v>
      </c>
      <c r="I4" s="1" t="s">
        <v>27</v>
      </c>
      <c r="J4" s="15" t="s">
        <v>17</v>
      </c>
      <c r="K4" s="1" t="s">
        <v>27</v>
      </c>
      <c r="L4" s="53" t="s">
        <v>34</v>
      </c>
      <c r="M4" s="49">
        <v>0</v>
      </c>
      <c r="N4" s="49">
        <v>3</v>
      </c>
      <c r="O4" s="49">
        <v>0</v>
      </c>
      <c r="P4" s="46">
        <f>SUM(M4:O4)</f>
        <v>3</v>
      </c>
      <c r="Q4" s="63" t="s">
        <v>50</v>
      </c>
      <c r="R4" s="50">
        <v>14</v>
      </c>
      <c r="S4" s="31"/>
      <c r="T4" s="3" t="s">
        <v>5</v>
      </c>
      <c r="U4" s="1">
        <v>160</v>
      </c>
      <c r="V4" s="1">
        <v>40</v>
      </c>
      <c r="W4" s="55">
        <f t="shared" ref="W4" si="0">U4-V4/0.330882</f>
        <v>39.110982162825422</v>
      </c>
      <c r="X4" s="56"/>
      <c r="Y4" s="56">
        <v>46</v>
      </c>
      <c r="Z4" s="1">
        <f t="shared" ref="Z4:Z28" si="1">COUNTIF($A$4:$C$100,T4)</f>
        <v>13</v>
      </c>
      <c r="AA4" s="1">
        <f t="shared" ref="AA4:AA28" si="2">COUNTIF($I$4:$K$100,T4)</f>
        <v>33</v>
      </c>
      <c r="AB4" s="64">
        <f t="shared" ref="AB4:AB28" si="3">Y4-Z4-AA4</f>
        <v>0</v>
      </c>
    </row>
    <row r="5" spans="1:28">
      <c r="A5" s="2" t="s">
        <v>4</v>
      </c>
      <c r="B5" s="3" t="s">
        <v>5</v>
      </c>
      <c r="C5" s="16" t="s">
        <v>18</v>
      </c>
      <c r="D5" s="43" t="s">
        <v>38</v>
      </c>
      <c r="E5" s="45" cm="1">
        <f t="array" ref="E5">(SUM(VLOOKUP(A4:A100,$T$3:$W$41,2,FALSE))+E4*10)-E8*50</f>
        <v>5670</v>
      </c>
      <c r="F5" s="45" cm="1">
        <f t="array" ref="F5">(SUM(VLOOKUP(B4:B100,$T$3:$W$41,2,FALSE))+F4*10)-F8*50</f>
        <v>850</v>
      </c>
      <c r="G5" s="45" cm="1">
        <f t="array" ref="G5">(SUM(VLOOKUP(C4:C100,$T$3:$W$41,2,FALSE))+G4*10)-G8*50</f>
        <v>6130</v>
      </c>
      <c r="H5" s="69">
        <f t="shared" ref="H5:H8" si="4">SUM(E5:G5)</f>
        <v>12650</v>
      </c>
      <c r="I5" s="1" t="s">
        <v>27</v>
      </c>
      <c r="J5" s="3" t="s">
        <v>5</v>
      </c>
      <c r="K5" s="1" t="s">
        <v>27</v>
      </c>
      <c r="L5" s="43" t="s">
        <v>38</v>
      </c>
      <c r="M5" s="45" cm="1">
        <f t="array" ref="M5">(SUM(VLOOKUP(I4:I100,$T$3:$W$41,2,FALSE))+M4*10)*0.8-M8*40</f>
        <v>0</v>
      </c>
      <c r="N5" s="45" cm="1">
        <f t="array" ref="N5">(SUM(VLOOKUP(J4:J100,$T$3:$W$41,2,FALSE))+N4*10)*0.8-N8*40</f>
        <v>5168</v>
      </c>
      <c r="O5" s="45" cm="1">
        <f t="array" ref="O5">(SUM(VLOOKUP(K4:K100,$T$3:$W$41,2,FALSE))+O4*10)*0.8-O8*40</f>
        <v>0</v>
      </c>
      <c r="P5" s="69">
        <f t="shared" ref="P5:P8" si="5">SUM(M5:O5)</f>
        <v>5168</v>
      </c>
      <c r="Q5" s="63" t="s">
        <v>51</v>
      </c>
      <c r="R5" s="31">
        <v>6000</v>
      </c>
      <c r="S5" s="31"/>
      <c r="T5" s="4" t="s">
        <v>6</v>
      </c>
      <c r="U5" s="1">
        <v>170</v>
      </c>
      <c r="V5" s="1">
        <v>45</v>
      </c>
      <c r="W5" s="55">
        <v>34</v>
      </c>
      <c r="X5" s="58"/>
      <c r="Y5" s="56">
        <v>240</v>
      </c>
      <c r="Z5" s="1">
        <f t="shared" si="1"/>
        <v>48</v>
      </c>
      <c r="AA5" s="1">
        <f t="shared" si="2"/>
        <v>0</v>
      </c>
      <c r="AB5" s="64">
        <f t="shared" si="3"/>
        <v>192</v>
      </c>
    </row>
    <row r="6" spans="1:28">
      <c r="A6" s="2" t="s">
        <v>4</v>
      </c>
      <c r="B6" s="3" t="s">
        <v>5</v>
      </c>
      <c r="C6" s="3" t="s">
        <v>5</v>
      </c>
      <c r="D6" s="43" t="s">
        <v>39</v>
      </c>
      <c r="E6" s="45" cm="1">
        <f t="array" ref="E6">(SUM(VLOOKUP(A4:A100,$T$3:$W$41,3,FALSE)))</f>
        <v>1780</v>
      </c>
      <c r="F6" s="45" cm="1">
        <f t="array" ref="F6">(SUM(VLOOKUP(B4:B100,$T$3:$W$41,3,FALSE)))</f>
        <v>230</v>
      </c>
      <c r="G6" s="45" cm="1">
        <f t="array" ref="G6">(SUM(VLOOKUP(C4:C100,$T$3:$W$41,3,FALSE)))</f>
        <v>2360</v>
      </c>
      <c r="H6" s="59">
        <f t="shared" si="4"/>
        <v>4370</v>
      </c>
      <c r="I6" s="1" t="s">
        <v>27</v>
      </c>
      <c r="J6" s="16" t="s">
        <v>28</v>
      </c>
      <c r="K6" s="1" t="s">
        <v>27</v>
      </c>
      <c r="L6" s="43" t="s">
        <v>39</v>
      </c>
      <c r="M6" s="45" cm="1">
        <f t="array" ref="M6">(SUM(VLOOKUP(I4:I100,$T$3:$W$41,3,FALSE)))</f>
        <v>0</v>
      </c>
      <c r="N6" s="45" cm="1">
        <f t="array" ref="N6">(SUM(VLOOKUP(J4:J100,$T$3:$W$41,3,FALSE)))</f>
        <v>1935</v>
      </c>
      <c r="O6" s="45" cm="1">
        <f t="array" ref="O6">(SUM(VLOOKUP(K4:K100,$T$3:$W$41,3,FALSE)))</f>
        <v>0</v>
      </c>
      <c r="P6" s="59">
        <f t="shared" si="5"/>
        <v>1935</v>
      </c>
      <c r="Q6" s="60" t="s">
        <v>52</v>
      </c>
      <c r="R6" s="31">
        <f>R3*1600-800+R5</f>
        <v>150800</v>
      </c>
      <c r="S6" s="31"/>
      <c r="T6" s="5" t="s">
        <v>7</v>
      </c>
      <c r="U6" s="1">
        <v>180</v>
      </c>
      <c r="V6" s="1">
        <v>50</v>
      </c>
      <c r="W6" s="55">
        <v>36</v>
      </c>
      <c r="X6" s="56">
        <v>265</v>
      </c>
      <c r="Y6" s="56">
        <v>265</v>
      </c>
      <c r="Z6" s="1">
        <f t="shared" si="1"/>
        <v>0</v>
      </c>
      <c r="AA6" s="1">
        <f t="shared" si="2"/>
        <v>0</v>
      </c>
      <c r="AB6" s="64">
        <f t="shared" si="3"/>
        <v>265</v>
      </c>
    </row>
    <row r="7" spans="1:28">
      <c r="A7" s="2" t="s">
        <v>4</v>
      </c>
      <c r="B7" s="3" t="s">
        <v>5</v>
      </c>
      <c r="C7" s="23" t="s">
        <v>29</v>
      </c>
      <c r="D7" s="43" t="s">
        <v>40</v>
      </c>
      <c r="E7" s="45">
        <f>COUNTIF(A4:A100,"&lt;&gt;空")</f>
        <v>35</v>
      </c>
      <c r="F7" s="45">
        <f>COUNTIF(B4:B100,"&lt;&gt;空")</f>
        <v>6</v>
      </c>
      <c r="G7" s="45">
        <f>COUNTIF(C4:C100,"&lt;&gt;空")</f>
        <v>42</v>
      </c>
      <c r="H7" s="46">
        <f t="shared" si="4"/>
        <v>83</v>
      </c>
      <c r="I7" s="1" t="s">
        <v>27</v>
      </c>
      <c r="J7" s="3" t="s">
        <v>5</v>
      </c>
      <c r="K7" s="1" t="s">
        <v>27</v>
      </c>
      <c r="L7" s="43" t="s">
        <v>40</v>
      </c>
      <c r="M7" s="45">
        <f>COUNTIF(I4:I100,"&lt;&gt;空")</f>
        <v>0</v>
      </c>
      <c r="N7" s="45">
        <f>COUNTIF(J4:J100,"&lt;&gt;空")</f>
        <v>54</v>
      </c>
      <c r="O7" s="45">
        <f>COUNTIF(K4:K100,"&lt;&gt;空")</f>
        <v>0</v>
      </c>
      <c r="P7" s="46">
        <f t="shared" si="5"/>
        <v>54</v>
      </c>
      <c r="Q7" s="63" t="s">
        <v>55</v>
      </c>
      <c r="R7" s="31">
        <v>13</v>
      </c>
      <c r="S7" s="31"/>
      <c r="T7" s="6" t="s">
        <v>8</v>
      </c>
      <c r="U7" s="1">
        <v>190</v>
      </c>
      <c r="V7" s="1">
        <v>55</v>
      </c>
      <c r="W7" s="55">
        <v>38</v>
      </c>
      <c r="X7" s="56">
        <v>234</v>
      </c>
      <c r="Y7" s="56">
        <v>234</v>
      </c>
      <c r="Z7" s="1">
        <f t="shared" si="1"/>
        <v>0</v>
      </c>
      <c r="AA7" s="1">
        <f t="shared" si="2"/>
        <v>0</v>
      </c>
      <c r="AB7" s="64">
        <f t="shared" si="3"/>
        <v>234</v>
      </c>
    </row>
    <row r="8" spans="1:28">
      <c r="A8" s="2" t="s">
        <v>4</v>
      </c>
      <c r="B8" s="3" t="s">
        <v>5</v>
      </c>
      <c r="C8" s="3" t="s">
        <v>5</v>
      </c>
      <c r="D8" s="52" t="s">
        <v>53</v>
      </c>
      <c r="E8" s="51">
        <v>1</v>
      </c>
      <c r="F8" s="51">
        <v>0</v>
      </c>
      <c r="G8" s="51">
        <v>0</v>
      </c>
      <c r="H8" s="46">
        <f t="shared" si="4"/>
        <v>1</v>
      </c>
      <c r="I8" s="1" t="s">
        <v>27</v>
      </c>
      <c r="J8" s="3" t="s">
        <v>5</v>
      </c>
      <c r="K8" s="1" t="s">
        <v>27</v>
      </c>
      <c r="L8" s="52" t="s">
        <v>53</v>
      </c>
      <c r="M8" s="51">
        <v>0</v>
      </c>
      <c r="N8" s="51">
        <v>2</v>
      </c>
      <c r="O8" s="51">
        <v>0</v>
      </c>
      <c r="P8" s="46">
        <f t="shared" si="5"/>
        <v>2</v>
      </c>
      <c r="Q8" s="60" t="s">
        <v>54</v>
      </c>
      <c r="R8" s="65" cm="1">
        <f t="array" ref="R8">R6-P5-H5-SUM(U3:U28*AB3:AB28)*0.8-R7*8</f>
        <v>238</v>
      </c>
      <c r="S8" s="31"/>
      <c r="T8" s="7" t="s">
        <v>9</v>
      </c>
      <c r="U8" s="1">
        <v>200</v>
      </c>
      <c r="V8" s="1">
        <v>60</v>
      </c>
      <c r="W8" s="55"/>
      <c r="X8" s="56">
        <v>194</v>
      </c>
      <c r="Y8" s="56">
        <v>194</v>
      </c>
      <c r="Z8" s="1">
        <f t="shared" si="1"/>
        <v>0</v>
      </c>
      <c r="AA8" s="1">
        <f t="shared" si="2"/>
        <v>0</v>
      </c>
      <c r="AB8" s="64">
        <f t="shared" si="3"/>
        <v>194</v>
      </c>
    </row>
    <row r="9" spans="1:28">
      <c r="A9" s="2" t="s">
        <v>4</v>
      </c>
      <c r="B9" s="3" t="s">
        <v>5</v>
      </c>
      <c r="C9" s="3" t="s">
        <v>5</v>
      </c>
      <c r="D9" s="31"/>
      <c r="E9" s="31"/>
      <c r="F9" s="31"/>
      <c r="G9" s="31"/>
      <c r="H9" s="32"/>
      <c r="I9" s="1" t="s">
        <v>27</v>
      </c>
      <c r="J9" s="15" t="s">
        <v>17</v>
      </c>
      <c r="K9" s="1" t="s">
        <v>27</v>
      </c>
      <c r="L9" s="43" t="s">
        <v>42</v>
      </c>
      <c r="M9" s="47" t="e">
        <f>M6/M5</f>
        <v>#DIV/0!</v>
      </c>
      <c r="N9" s="47">
        <f>N6/N5</f>
        <v>0.37441950464396284</v>
      </c>
      <c r="O9" s="47" t="e">
        <f>O6/O5</f>
        <v>#DIV/0!</v>
      </c>
      <c r="P9" s="48">
        <f>P6/P5</f>
        <v>0.37441950464396284</v>
      </c>
      <c r="Q9" s="60"/>
      <c r="R9" s="31"/>
      <c r="S9" s="31"/>
      <c r="T9" s="8" t="s">
        <v>10</v>
      </c>
      <c r="U9" s="1">
        <v>150</v>
      </c>
      <c r="V9" s="1">
        <v>35</v>
      </c>
      <c r="W9" s="55">
        <f t="shared" ref="W9:W11" si="6">U9-V9/0.330882</f>
        <v>44.222109392472248</v>
      </c>
      <c r="X9" s="56">
        <v>3</v>
      </c>
      <c r="Y9" s="56">
        <v>0</v>
      </c>
      <c r="Z9" s="1">
        <f t="shared" si="1"/>
        <v>0</v>
      </c>
      <c r="AA9" s="1">
        <f t="shared" si="2"/>
        <v>0</v>
      </c>
      <c r="AB9" s="64">
        <f t="shared" si="3"/>
        <v>0</v>
      </c>
    </row>
    <row r="10" spans="1:28">
      <c r="A10" s="1" t="s">
        <v>27</v>
      </c>
      <c r="B10" s="1" t="s">
        <v>27</v>
      </c>
      <c r="C10" s="3" t="s">
        <v>5</v>
      </c>
      <c r="D10" s="31"/>
      <c r="E10" s="31"/>
      <c r="F10" s="31"/>
      <c r="G10" s="31"/>
      <c r="H10" s="32"/>
      <c r="I10" s="1" t="s">
        <v>27</v>
      </c>
      <c r="J10" s="3" t="s">
        <v>5</v>
      </c>
      <c r="K10" s="1" t="s">
        <v>27</v>
      </c>
      <c r="L10" s="31"/>
      <c r="M10" s="31"/>
      <c r="N10" s="31"/>
      <c r="O10" s="31"/>
      <c r="P10" s="32"/>
      <c r="Q10" s="60"/>
      <c r="R10" s="31"/>
      <c r="S10" s="31"/>
      <c r="T10" s="9" t="s">
        <v>11</v>
      </c>
      <c r="U10" s="1">
        <v>150</v>
      </c>
      <c r="V10" s="1">
        <v>40</v>
      </c>
      <c r="W10" s="55">
        <f t="shared" si="6"/>
        <v>29.110982162825422</v>
      </c>
      <c r="X10" s="56">
        <v>7</v>
      </c>
      <c r="Y10" s="56">
        <v>2</v>
      </c>
      <c r="Z10" s="1">
        <f t="shared" si="1"/>
        <v>0</v>
      </c>
      <c r="AA10" s="1">
        <f t="shared" si="2"/>
        <v>2</v>
      </c>
      <c r="AB10" s="64">
        <f t="shared" si="3"/>
        <v>0</v>
      </c>
    </row>
    <row r="11" spans="1:28">
      <c r="A11" s="1" t="s">
        <v>27</v>
      </c>
      <c r="B11" s="1" t="s">
        <v>27</v>
      </c>
      <c r="C11" s="3" t="s">
        <v>5</v>
      </c>
      <c r="D11" s="31"/>
      <c r="E11" s="31"/>
      <c r="F11" s="31"/>
      <c r="G11" s="31"/>
      <c r="H11" s="32"/>
      <c r="I11" s="1" t="s">
        <v>27</v>
      </c>
      <c r="J11" s="2" t="s">
        <v>4</v>
      </c>
      <c r="K11" s="1" t="s">
        <v>27</v>
      </c>
      <c r="L11" s="31"/>
      <c r="M11" s="31"/>
      <c r="N11" s="31"/>
      <c r="O11" s="31"/>
      <c r="P11" s="32">
        <f>H5+P5</f>
        <v>17818</v>
      </c>
      <c r="Q11" s="60"/>
      <c r="R11" s="31"/>
      <c r="S11" s="31"/>
      <c r="T11" s="10" t="s">
        <v>12</v>
      </c>
      <c r="U11" s="1">
        <v>150</v>
      </c>
      <c r="V11" s="1">
        <v>45</v>
      </c>
      <c r="W11" s="55">
        <f t="shared" si="6"/>
        <v>13.999854933178597</v>
      </c>
      <c r="X11" s="56">
        <v>6</v>
      </c>
      <c r="Y11" s="56">
        <v>6</v>
      </c>
      <c r="Z11" s="1">
        <f t="shared" si="1"/>
        <v>1</v>
      </c>
      <c r="AA11" s="1">
        <f t="shared" si="2"/>
        <v>0</v>
      </c>
      <c r="AB11" s="64">
        <f t="shared" si="3"/>
        <v>5</v>
      </c>
    </row>
    <row r="12" spans="1:28">
      <c r="A12" s="1" t="s">
        <v>27</v>
      </c>
      <c r="B12" s="1" t="s">
        <v>27</v>
      </c>
      <c r="C12" s="3" t="s">
        <v>5</v>
      </c>
      <c r="D12" s="31"/>
      <c r="E12" s="31"/>
      <c r="F12" s="31"/>
      <c r="G12" s="31"/>
      <c r="H12" s="32"/>
      <c r="I12" s="1" t="s">
        <v>27</v>
      </c>
      <c r="J12" s="2" t="s">
        <v>4</v>
      </c>
      <c r="K12" s="1" t="s">
        <v>27</v>
      </c>
      <c r="L12" s="31"/>
      <c r="M12" s="31"/>
      <c r="N12" s="31"/>
      <c r="O12" s="31"/>
      <c r="P12" s="32">
        <f>H6+P6</f>
        <v>6305</v>
      </c>
      <c r="Q12" s="60"/>
      <c r="R12" s="31"/>
      <c r="S12" s="31"/>
      <c r="T12" s="11" t="s">
        <v>13</v>
      </c>
      <c r="U12" s="1">
        <v>150</v>
      </c>
      <c r="V12" s="1">
        <v>50</v>
      </c>
      <c r="W12" s="55"/>
      <c r="X12" s="56">
        <v>4</v>
      </c>
      <c r="Y12" s="56">
        <v>4</v>
      </c>
      <c r="Z12" s="1">
        <f t="shared" si="1"/>
        <v>0</v>
      </c>
      <c r="AA12" s="1">
        <f t="shared" si="2"/>
        <v>0</v>
      </c>
      <c r="AB12" s="64">
        <f t="shared" si="3"/>
        <v>4</v>
      </c>
    </row>
    <row r="13" spans="1:28">
      <c r="A13" s="1" t="s">
        <v>27</v>
      </c>
      <c r="B13" s="1" t="s">
        <v>27</v>
      </c>
      <c r="C13" s="3" t="s">
        <v>5</v>
      </c>
      <c r="D13" s="31"/>
      <c r="E13" s="31"/>
      <c r="F13" s="31"/>
      <c r="G13" s="31"/>
      <c r="H13" s="32"/>
      <c r="I13" s="1" t="s">
        <v>27</v>
      </c>
      <c r="J13" s="15" t="s">
        <v>17</v>
      </c>
      <c r="K13" s="1" t="s">
        <v>27</v>
      </c>
      <c r="L13" s="31"/>
      <c r="M13" s="31"/>
      <c r="N13" s="31"/>
      <c r="O13" s="31"/>
      <c r="P13" s="32"/>
      <c r="Q13" s="60"/>
      <c r="R13" s="31"/>
      <c r="S13" s="31"/>
      <c r="T13" s="12" t="s">
        <v>14</v>
      </c>
      <c r="U13" s="1">
        <v>150</v>
      </c>
      <c r="V13" s="1">
        <v>55</v>
      </c>
      <c r="W13" s="55"/>
      <c r="X13" s="56">
        <v>3</v>
      </c>
      <c r="Y13" s="56">
        <v>3</v>
      </c>
      <c r="Z13" s="1">
        <f t="shared" si="1"/>
        <v>0</v>
      </c>
      <c r="AA13" s="1">
        <f t="shared" si="2"/>
        <v>0</v>
      </c>
      <c r="AB13" s="64">
        <f t="shared" si="3"/>
        <v>3</v>
      </c>
    </row>
    <row r="14" spans="1:28">
      <c r="A14" s="1" t="s">
        <v>27</v>
      </c>
      <c r="B14" s="1" t="s">
        <v>27</v>
      </c>
      <c r="C14" s="4" t="s">
        <v>6</v>
      </c>
      <c r="D14" s="31"/>
      <c r="E14" s="31"/>
      <c r="F14" s="31"/>
      <c r="G14" s="31"/>
      <c r="H14" s="32"/>
      <c r="I14" s="1" t="s">
        <v>27</v>
      </c>
      <c r="J14" s="2" t="s">
        <v>4</v>
      </c>
      <c r="K14" s="1" t="s">
        <v>27</v>
      </c>
      <c r="L14" s="31"/>
      <c r="M14" s="31"/>
      <c r="N14" s="31"/>
      <c r="O14" s="31"/>
      <c r="P14" s="32"/>
      <c r="Q14" s="60"/>
      <c r="R14" s="31"/>
      <c r="S14" s="31"/>
      <c r="T14" s="13" t="s">
        <v>15</v>
      </c>
      <c r="U14" s="1">
        <v>150</v>
      </c>
      <c r="V14" s="1">
        <v>60</v>
      </c>
      <c r="W14" s="55"/>
      <c r="X14" s="56">
        <v>1</v>
      </c>
      <c r="Y14" s="56">
        <v>1</v>
      </c>
      <c r="Z14" s="1">
        <f t="shared" si="1"/>
        <v>0</v>
      </c>
      <c r="AA14" s="1">
        <f t="shared" si="2"/>
        <v>0</v>
      </c>
      <c r="AB14" s="64">
        <f t="shared" si="3"/>
        <v>1</v>
      </c>
    </row>
    <row r="15" spans="1:28">
      <c r="A15" s="4" t="s">
        <v>6</v>
      </c>
      <c r="B15" s="1" t="s">
        <v>27</v>
      </c>
      <c r="C15" s="4" t="s">
        <v>6</v>
      </c>
      <c r="D15" s="31"/>
      <c r="E15" s="31"/>
      <c r="F15" s="31"/>
      <c r="G15" s="31"/>
      <c r="H15" s="32"/>
      <c r="I15" s="1" t="s">
        <v>27</v>
      </c>
      <c r="J15" s="2" t="s">
        <v>4</v>
      </c>
      <c r="K15" s="1" t="s">
        <v>27</v>
      </c>
      <c r="L15" s="31"/>
      <c r="M15" s="31"/>
      <c r="N15" s="31"/>
      <c r="O15" s="31"/>
      <c r="P15" s="32"/>
      <c r="Q15" s="60"/>
      <c r="R15" s="31"/>
      <c r="S15" s="31"/>
      <c r="T15" s="14" t="s">
        <v>16</v>
      </c>
      <c r="U15" s="1">
        <v>150</v>
      </c>
      <c r="V15" s="1">
        <v>35</v>
      </c>
      <c r="W15" s="55">
        <f t="shared" ref="W15" si="7">U15-V15/0.330882</f>
        <v>44.222109392472248</v>
      </c>
      <c r="X15" s="56"/>
      <c r="Y15" s="56">
        <v>0</v>
      </c>
      <c r="Z15" s="1">
        <f t="shared" si="1"/>
        <v>0</v>
      </c>
      <c r="AA15" s="1">
        <f t="shared" si="2"/>
        <v>0</v>
      </c>
      <c r="AB15" s="64">
        <f t="shared" si="3"/>
        <v>0</v>
      </c>
    </row>
    <row r="16" spans="1:28">
      <c r="A16" s="4" t="s">
        <v>6</v>
      </c>
      <c r="B16" s="1" t="s">
        <v>27</v>
      </c>
      <c r="C16" s="15" t="s">
        <v>17</v>
      </c>
      <c r="D16" s="31"/>
      <c r="E16" s="31"/>
      <c r="F16" s="31"/>
      <c r="G16" s="31"/>
      <c r="H16" s="32"/>
      <c r="I16" s="1" t="s">
        <v>27</v>
      </c>
      <c r="J16" s="2" t="s">
        <v>4</v>
      </c>
      <c r="K16" s="1" t="s">
        <v>27</v>
      </c>
      <c r="L16" s="31"/>
      <c r="M16" s="31"/>
      <c r="N16" s="31"/>
      <c r="O16" s="31"/>
      <c r="P16" s="32"/>
      <c r="Q16" s="60"/>
      <c r="R16" s="31"/>
      <c r="S16" s="31"/>
      <c r="T16" s="15" t="s">
        <v>17</v>
      </c>
      <c r="U16" s="1">
        <v>50</v>
      </c>
      <c r="V16" s="1">
        <v>30</v>
      </c>
      <c r="W16" s="55">
        <v>10</v>
      </c>
      <c r="X16" s="56">
        <v>40</v>
      </c>
      <c r="Y16" s="56">
        <v>38</v>
      </c>
      <c r="Z16" s="1">
        <f t="shared" si="1"/>
        <v>3</v>
      </c>
      <c r="AA16" s="1">
        <f t="shared" si="2"/>
        <v>12</v>
      </c>
      <c r="AB16" s="64">
        <f t="shared" si="3"/>
        <v>23</v>
      </c>
    </row>
    <row r="17" spans="1:28">
      <c r="A17" s="4" t="s">
        <v>6</v>
      </c>
      <c r="B17" s="1" t="s">
        <v>27</v>
      </c>
      <c r="C17" s="4" t="s">
        <v>6</v>
      </c>
      <c r="D17" s="31"/>
      <c r="E17" s="31"/>
      <c r="F17" s="31"/>
      <c r="G17" s="31"/>
      <c r="H17" s="32"/>
      <c r="I17" s="1" t="s">
        <v>27</v>
      </c>
      <c r="J17" s="15" t="s">
        <v>17</v>
      </c>
      <c r="K17" s="1" t="s">
        <v>27</v>
      </c>
      <c r="L17" s="31"/>
      <c r="M17" s="31"/>
      <c r="N17" s="31"/>
      <c r="O17" s="31"/>
      <c r="P17" s="32"/>
      <c r="Q17" s="60"/>
      <c r="R17" s="31"/>
      <c r="S17" s="31"/>
      <c r="T17" s="16" t="s">
        <v>18</v>
      </c>
      <c r="U17" s="1">
        <v>-150</v>
      </c>
      <c r="V17" s="1">
        <v>0</v>
      </c>
      <c r="W17" s="55">
        <v>10</v>
      </c>
      <c r="X17" s="56">
        <v>3</v>
      </c>
      <c r="Y17" s="56">
        <v>3</v>
      </c>
      <c r="Z17" s="1">
        <f t="shared" si="1"/>
        <v>3</v>
      </c>
      <c r="AA17" s="1">
        <f t="shared" si="2"/>
        <v>0</v>
      </c>
      <c r="AB17" s="64">
        <f t="shared" si="3"/>
        <v>0</v>
      </c>
    </row>
    <row r="18" spans="1:28">
      <c r="A18" s="17" t="s">
        <v>19</v>
      </c>
      <c r="B18" s="1" t="s">
        <v>27</v>
      </c>
      <c r="C18" s="4" t="s">
        <v>6</v>
      </c>
      <c r="D18" s="31"/>
      <c r="E18" s="31"/>
      <c r="F18" s="31"/>
      <c r="G18" s="31"/>
      <c r="H18" s="32"/>
      <c r="I18" s="1" t="s">
        <v>27</v>
      </c>
      <c r="J18" s="1" t="s">
        <v>27</v>
      </c>
      <c r="K18" s="1" t="s">
        <v>27</v>
      </c>
      <c r="L18" s="31"/>
      <c r="M18" s="31"/>
      <c r="N18" s="31"/>
      <c r="O18" s="31"/>
      <c r="P18" s="32"/>
      <c r="Q18" s="60"/>
      <c r="R18" s="31"/>
      <c r="S18" s="31"/>
      <c r="T18" s="17" t="s">
        <v>19</v>
      </c>
      <c r="U18" s="1">
        <v>250</v>
      </c>
      <c r="V18" s="1">
        <v>200</v>
      </c>
      <c r="W18" s="55"/>
      <c r="X18" s="56">
        <v>3</v>
      </c>
      <c r="Y18" s="56">
        <v>3</v>
      </c>
      <c r="Z18" s="1">
        <f t="shared" si="1"/>
        <v>3</v>
      </c>
      <c r="AA18" s="1">
        <f t="shared" si="2"/>
        <v>0</v>
      </c>
      <c r="AB18" s="64">
        <f t="shared" si="3"/>
        <v>0</v>
      </c>
    </row>
    <row r="19" spans="1:28">
      <c r="A19" s="4" t="s">
        <v>6</v>
      </c>
      <c r="B19" s="1" t="s">
        <v>27</v>
      </c>
      <c r="C19" s="4" t="s">
        <v>6</v>
      </c>
      <c r="D19" s="31"/>
      <c r="E19" s="31"/>
      <c r="F19" s="31"/>
      <c r="G19" s="31"/>
      <c r="H19" s="32"/>
      <c r="I19" s="1" t="s">
        <v>27</v>
      </c>
      <c r="J19" s="9" t="s">
        <v>11</v>
      </c>
      <c r="K19" s="1" t="s">
        <v>27</v>
      </c>
      <c r="L19" s="31"/>
      <c r="M19" s="31"/>
      <c r="N19" s="31"/>
      <c r="O19" s="31"/>
      <c r="P19" s="32"/>
      <c r="Q19" s="60"/>
      <c r="R19" s="31"/>
      <c r="S19" s="31"/>
      <c r="T19" s="17" t="s">
        <v>20</v>
      </c>
      <c r="U19" s="1">
        <v>170</v>
      </c>
      <c r="V19" s="1">
        <v>45</v>
      </c>
      <c r="W19" s="55"/>
      <c r="X19" s="56">
        <v>5</v>
      </c>
      <c r="Y19" s="56">
        <v>5</v>
      </c>
      <c r="Z19" s="1">
        <f t="shared" si="1"/>
        <v>5</v>
      </c>
      <c r="AA19" s="1">
        <f t="shared" si="2"/>
        <v>0</v>
      </c>
      <c r="AB19" s="64">
        <f t="shared" si="3"/>
        <v>0</v>
      </c>
    </row>
    <row r="20" spans="1:28">
      <c r="A20" s="4" t="s">
        <v>6</v>
      </c>
      <c r="B20" s="1" t="s">
        <v>27</v>
      </c>
      <c r="C20" s="17" t="s">
        <v>20</v>
      </c>
      <c r="D20" s="31"/>
      <c r="E20" s="31"/>
      <c r="F20" s="31"/>
      <c r="G20" s="31"/>
      <c r="H20" s="32"/>
      <c r="I20" s="1" t="s">
        <v>27</v>
      </c>
      <c r="J20" s="3" t="s">
        <v>5</v>
      </c>
      <c r="K20" s="1" t="s">
        <v>27</v>
      </c>
      <c r="L20" s="31"/>
      <c r="M20" s="31"/>
      <c r="N20" s="31"/>
      <c r="O20" s="31"/>
      <c r="P20" s="32"/>
      <c r="Q20" s="60"/>
      <c r="R20" s="31"/>
      <c r="S20" s="31"/>
      <c r="T20" s="18" t="s">
        <v>21</v>
      </c>
      <c r="U20" s="1">
        <v>250</v>
      </c>
      <c r="V20" s="1">
        <v>200</v>
      </c>
      <c r="W20" s="55"/>
      <c r="X20" s="56">
        <v>0</v>
      </c>
      <c r="Y20" s="56">
        <v>0</v>
      </c>
      <c r="Z20" s="1">
        <f t="shared" si="1"/>
        <v>0</v>
      </c>
      <c r="AA20" s="1">
        <f t="shared" si="2"/>
        <v>0</v>
      </c>
      <c r="AB20" s="64">
        <f t="shared" si="3"/>
        <v>0</v>
      </c>
    </row>
    <row r="21" spans="1:28">
      <c r="A21" s="4" t="s">
        <v>6</v>
      </c>
      <c r="B21" s="1" t="s">
        <v>27</v>
      </c>
      <c r="C21" s="4" t="s">
        <v>6</v>
      </c>
      <c r="D21" s="31"/>
      <c r="E21" s="31"/>
      <c r="F21" s="31"/>
      <c r="G21" s="31"/>
      <c r="H21" s="32"/>
      <c r="I21" s="1" t="s">
        <v>27</v>
      </c>
      <c r="J21" s="3" t="s">
        <v>5</v>
      </c>
      <c r="K21" s="1" t="s">
        <v>27</v>
      </c>
      <c r="L21" s="31"/>
      <c r="M21" s="31"/>
      <c r="N21" s="31"/>
      <c r="O21" s="31"/>
      <c r="P21" s="32"/>
      <c r="Q21" s="60"/>
      <c r="R21" s="31"/>
      <c r="S21" s="31"/>
      <c r="T21" s="19" t="s">
        <v>22</v>
      </c>
      <c r="U21" s="1">
        <v>250</v>
      </c>
      <c r="V21" s="1">
        <v>1000</v>
      </c>
      <c r="W21" s="55"/>
      <c r="X21" s="56">
        <v>2</v>
      </c>
      <c r="Y21" s="56">
        <v>2</v>
      </c>
      <c r="Z21" s="1">
        <f t="shared" si="1"/>
        <v>0</v>
      </c>
      <c r="AA21" s="1">
        <f t="shared" si="2"/>
        <v>0</v>
      </c>
      <c r="AB21" s="64">
        <f t="shared" si="3"/>
        <v>2</v>
      </c>
    </row>
    <row r="22" spans="1:28">
      <c r="A22" s="16" t="s">
        <v>18</v>
      </c>
      <c r="B22" s="1" t="s">
        <v>27</v>
      </c>
      <c r="C22" s="4" t="s">
        <v>6</v>
      </c>
      <c r="D22" s="31"/>
      <c r="E22" s="31"/>
      <c r="F22" s="31"/>
      <c r="G22" s="31"/>
      <c r="H22" s="32"/>
      <c r="I22" s="1" t="s">
        <v>27</v>
      </c>
      <c r="J22" s="15" t="s">
        <v>17</v>
      </c>
      <c r="K22" s="1" t="s">
        <v>27</v>
      </c>
      <c r="L22" s="31"/>
      <c r="M22" s="31"/>
      <c r="N22" s="31"/>
      <c r="O22" s="31"/>
      <c r="P22" s="32"/>
      <c r="Q22" s="60"/>
      <c r="R22" s="31"/>
      <c r="S22" s="31"/>
      <c r="T22" s="20" t="s">
        <v>23</v>
      </c>
      <c r="U22" s="1">
        <v>250</v>
      </c>
      <c r="V22" s="1">
        <v>500</v>
      </c>
      <c r="W22" s="55"/>
      <c r="X22" s="56">
        <v>2</v>
      </c>
      <c r="Y22" s="56">
        <v>2</v>
      </c>
      <c r="Z22" s="1">
        <f t="shared" si="1"/>
        <v>0</v>
      </c>
      <c r="AA22" s="1">
        <f t="shared" si="2"/>
        <v>0</v>
      </c>
      <c r="AB22" s="64">
        <f t="shared" si="3"/>
        <v>2</v>
      </c>
    </row>
    <row r="23" spans="1:28">
      <c r="A23" s="4" t="s">
        <v>6</v>
      </c>
      <c r="B23" s="1" t="s">
        <v>27</v>
      </c>
      <c r="C23" s="4" t="s">
        <v>6</v>
      </c>
      <c r="D23" s="31"/>
      <c r="E23" s="31"/>
      <c r="F23" s="31"/>
      <c r="G23" s="31"/>
      <c r="H23" s="32"/>
      <c r="I23" s="1" t="s">
        <v>27</v>
      </c>
      <c r="J23" s="3" t="s">
        <v>5</v>
      </c>
      <c r="K23" s="1" t="s">
        <v>27</v>
      </c>
      <c r="L23" s="31"/>
      <c r="M23" s="31"/>
      <c r="N23" s="31"/>
      <c r="O23" s="31"/>
      <c r="P23" s="32"/>
      <c r="Q23" s="60"/>
      <c r="R23" s="31"/>
      <c r="S23" s="31"/>
      <c r="T23" s="21" t="s">
        <v>24</v>
      </c>
      <c r="U23" s="1">
        <v>160</v>
      </c>
      <c r="V23" s="1">
        <v>40</v>
      </c>
      <c r="W23" s="55">
        <f t="shared" ref="W23:W26" si="8">U23-V23/0.330882</f>
        <v>39.110982162825422</v>
      </c>
      <c r="X23" s="56">
        <v>0</v>
      </c>
      <c r="Y23" s="56">
        <v>0</v>
      </c>
      <c r="Z23" s="1">
        <f t="shared" si="1"/>
        <v>0</v>
      </c>
      <c r="AA23" s="1">
        <f t="shared" si="2"/>
        <v>0</v>
      </c>
      <c r="AB23" s="64">
        <f t="shared" si="3"/>
        <v>0</v>
      </c>
    </row>
    <row r="24" spans="1:28">
      <c r="A24" s="4" t="s">
        <v>6</v>
      </c>
      <c r="B24" s="1" t="s">
        <v>27</v>
      </c>
      <c r="C24" s="4" t="s">
        <v>6</v>
      </c>
      <c r="D24" s="31"/>
      <c r="E24" s="31"/>
      <c r="F24" s="31"/>
      <c r="G24" s="31"/>
      <c r="H24" s="32"/>
      <c r="I24" s="1" t="s">
        <v>27</v>
      </c>
      <c r="J24" s="3" t="s">
        <v>5</v>
      </c>
      <c r="K24" s="1" t="s">
        <v>27</v>
      </c>
      <c r="L24" s="31"/>
      <c r="M24" s="31"/>
      <c r="N24" s="31"/>
      <c r="O24" s="31"/>
      <c r="P24" s="32"/>
      <c r="Q24" s="60"/>
      <c r="R24" s="31"/>
      <c r="S24" s="31"/>
      <c r="T24" s="21" t="s">
        <v>25</v>
      </c>
      <c r="U24" s="1">
        <v>160</v>
      </c>
      <c r="V24" s="1">
        <v>40</v>
      </c>
      <c r="W24" s="55">
        <f t="shared" si="8"/>
        <v>39.110982162825422</v>
      </c>
      <c r="X24" s="56">
        <v>0</v>
      </c>
      <c r="Y24" s="56">
        <v>0</v>
      </c>
      <c r="Z24" s="1">
        <f t="shared" si="1"/>
        <v>0</v>
      </c>
      <c r="AA24" s="1">
        <f t="shared" si="2"/>
        <v>0</v>
      </c>
      <c r="AB24" s="64">
        <f t="shared" si="3"/>
        <v>0</v>
      </c>
    </row>
    <row r="25" spans="1:28">
      <c r="A25" s="4" t="s">
        <v>6</v>
      </c>
      <c r="B25" s="1" t="s">
        <v>27</v>
      </c>
      <c r="C25" s="4" t="s">
        <v>6</v>
      </c>
      <c r="D25" s="31"/>
      <c r="E25" s="31"/>
      <c r="F25" s="31"/>
      <c r="G25" s="31"/>
      <c r="H25" s="32"/>
      <c r="I25" s="1" t="s">
        <v>27</v>
      </c>
      <c r="J25" s="3" t="s">
        <v>5</v>
      </c>
      <c r="K25" s="1" t="s">
        <v>27</v>
      </c>
      <c r="L25" s="31"/>
      <c r="M25" s="31"/>
      <c r="N25" s="31"/>
      <c r="O25" s="31"/>
      <c r="P25" s="32"/>
      <c r="Q25" s="60"/>
      <c r="R25" s="31"/>
      <c r="S25" s="31"/>
      <c r="T25" s="21" t="s">
        <v>26</v>
      </c>
      <c r="U25" s="1">
        <v>150</v>
      </c>
      <c r="V25" s="1">
        <v>35</v>
      </c>
      <c r="W25" s="55">
        <f t="shared" si="8"/>
        <v>44.222109392472248</v>
      </c>
      <c r="X25" s="56">
        <v>0</v>
      </c>
      <c r="Y25" s="56">
        <v>0</v>
      </c>
      <c r="Z25" s="1">
        <f t="shared" si="1"/>
        <v>0</v>
      </c>
      <c r="AA25" s="1">
        <f t="shared" si="2"/>
        <v>0</v>
      </c>
      <c r="AB25" s="64">
        <f t="shared" si="3"/>
        <v>0</v>
      </c>
    </row>
    <row r="26" spans="1:28">
      <c r="A26" s="17" t="s">
        <v>20</v>
      </c>
      <c r="B26" s="1" t="s">
        <v>27</v>
      </c>
      <c r="C26" s="4" t="s">
        <v>6</v>
      </c>
      <c r="D26" s="31"/>
      <c r="E26" s="31"/>
      <c r="F26" s="31"/>
      <c r="G26" s="31"/>
      <c r="H26" s="32"/>
      <c r="I26" s="1" t="s">
        <v>27</v>
      </c>
      <c r="J26" s="9" t="s">
        <v>11</v>
      </c>
      <c r="K26" s="1" t="s">
        <v>27</v>
      </c>
      <c r="L26" s="31"/>
      <c r="M26" s="31"/>
      <c r="N26" s="31"/>
      <c r="O26" s="31"/>
      <c r="P26" s="32"/>
      <c r="Q26" s="60"/>
      <c r="R26" s="31"/>
      <c r="S26" s="31"/>
      <c r="T26" s="22" t="s">
        <v>27</v>
      </c>
      <c r="U26" s="1">
        <v>0</v>
      </c>
      <c r="V26" s="1">
        <v>0</v>
      </c>
      <c r="W26" s="55">
        <f t="shared" si="8"/>
        <v>0</v>
      </c>
      <c r="X26" s="56">
        <v>0</v>
      </c>
      <c r="Y26" s="56">
        <v>0</v>
      </c>
      <c r="Z26" s="1"/>
      <c r="AA26" s="1"/>
      <c r="AB26" s="64"/>
    </row>
    <row r="27" spans="1:28">
      <c r="A27" s="4" t="s">
        <v>6</v>
      </c>
      <c r="B27" s="1" t="s">
        <v>27</v>
      </c>
      <c r="C27" s="4" t="s">
        <v>6</v>
      </c>
      <c r="D27" s="31"/>
      <c r="E27" s="31"/>
      <c r="F27" s="31"/>
      <c r="G27" s="31"/>
      <c r="H27" s="32"/>
      <c r="I27" s="1" t="s">
        <v>27</v>
      </c>
      <c r="J27" s="3" t="s">
        <v>5</v>
      </c>
      <c r="K27" s="1" t="s">
        <v>27</v>
      </c>
      <c r="L27" s="31"/>
      <c r="M27" s="31"/>
      <c r="N27" s="31"/>
      <c r="O27" s="31"/>
      <c r="P27" s="32"/>
      <c r="Q27" s="60"/>
      <c r="R27" s="31"/>
      <c r="S27" s="31"/>
      <c r="T27" s="16" t="s">
        <v>28</v>
      </c>
      <c r="U27" s="1">
        <v>-200</v>
      </c>
      <c r="V27" s="1">
        <v>0</v>
      </c>
      <c r="W27" s="55"/>
      <c r="X27" s="56">
        <v>12</v>
      </c>
      <c r="Y27" s="56">
        <v>12</v>
      </c>
      <c r="Z27" s="1">
        <f t="shared" si="1"/>
        <v>0</v>
      </c>
      <c r="AA27" s="1">
        <f t="shared" si="2"/>
        <v>2</v>
      </c>
      <c r="AB27" s="64">
        <f t="shared" si="3"/>
        <v>10</v>
      </c>
    </row>
    <row r="28" spans="1:28">
      <c r="A28" s="4" t="s">
        <v>6</v>
      </c>
      <c r="B28" s="1" t="s">
        <v>27</v>
      </c>
      <c r="C28" s="17" t="s">
        <v>20</v>
      </c>
      <c r="D28" s="31"/>
      <c r="E28" s="31"/>
      <c r="F28" s="31"/>
      <c r="G28" s="31"/>
      <c r="H28" s="32"/>
      <c r="I28" s="1" t="s">
        <v>27</v>
      </c>
      <c r="J28" s="3" t="s">
        <v>5</v>
      </c>
      <c r="K28" s="1" t="s">
        <v>27</v>
      </c>
      <c r="L28" s="31"/>
      <c r="M28" s="31"/>
      <c r="N28" s="31"/>
      <c r="O28" s="31"/>
      <c r="P28" s="32"/>
      <c r="Q28" s="60"/>
      <c r="R28" s="31"/>
      <c r="S28" s="31"/>
      <c r="T28" s="23" t="s">
        <v>29</v>
      </c>
      <c r="U28" s="1">
        <v>50</v>
      </c>
      <c r="V28" s="1">
        <v>520</v>
      </c>
      <c r="W28" s="55"/>
      <c r="X28" s="56">
        <v>3</v>
      </c>
      <c r="Y28" s="56">
        <v>3</v>
      </c>
      <c r="Z28" s="1">
        <f t="shared" si="1"/>
        <v>1</v>
      </c>
      <c r="AA28" s="1">
        <f t="shared" si="2"/>
        <v>0</v>
      </c>
      <c r="AB28" s="64">
        <f t="shared" si="3"/>
        <v>2</v>
      </c>
    </row>
    <row r="29" spans="1:28" ht="15" thickBot="1">
      <c r="A29" s="4" t="s">
        <v>6</v>
      </c>
      <c r="B29" s="1" t="s">
        <v>27</v>
      </c>
      <c r="C29" s="4" t="s">
        <v>6</v>
      </c>
      <c r="D29" s="31"/>
      <c r="E29" s="31"/>
      <c r="F29" s="31"/>
      <c r="G29" s="31"/>
      <c r="H29" s="32"/>
      <c r="I29" s="1" t="s">
        <v>27</v>
      </c>
      <c r="J29" s="15" t="s">
        <v>17</v>
      </c>
      <c r="K29" s="1" t="s">
        <v>27</v>
      </c>
      <c r="L29" s="31"/>
      <c r="M29" s="31"/>
      <c r="N29" s="31"/>
      <c r="O29" s="31"/>
      <c r="P29" s="32"/>
      <c r="Q29" s="66"/>
      <c r="R29" s="41"/>
      <c r="S29" s="41"/>
      <c r="T29" s="40"/>
      <c r="U29" s="40"/>
      <c r="V29" s="40"/>
      <c r="W29" s="40"/>
      <c r="X29" s="40"/>
      <c r="Y29" s="40"/>
      <c r="Z29" s="40"/>
      <c r="AA29" s="40"/>
      <c r="AB29" s="67"/>
    </row>
    <row r="30" spans="1:28">
      <c r="A30" s="4" t="s">
        <v>6</v>
      </c>
      <c r="B30" s="1" t="s">
        <v>27</v>
      </c>
      <c r="C30" s="4" t="s">
        <v>6</v>
      </c>
      <c r="D30" s="31"/>
      <c r="E30" s="31"/>
      <c r="F30" s="31"/>
      <c r="G30" s="31"/>
      <c r="H30" s="32"/>
      <c r="I30" s="1" t="s">
        <v>27</v>
      </c>
      <c r="J30" s="3" t="s">
        <v>5</v>
      </c>
      <c r="K30" s="1" t="s">
        <v>27</v>
      </c>
      <c r="L30" s="31"/>
      <c r="M30" s="31"/>
      <c r="N30" s="31"/>
      <c r="O30" s="31"/>
      <c r="P30" s="32"/>
    </row>
    <row r="31" spans="1:28">
      <c r="A31" s="4" t="s">
        <v>6</v>
      </c>
      <c r="B31" s="1" t="s">
        <v>27</v>
      </c>
      <c r="C31" s="4" t="s">
        <v>6</v>
      </c>
      <c r="D31" s="31"/>
      <c r="E31" s="31"/>
      <c r="F31" s="31"/>
      <c r="G31" s="31"/>
      <c r="H31" s="32"/>
      <c r="I31" s="1" t="s">
        <v>27</v>
      </c>
      <c r="J31" s="3" t="s">
        <v>5</v>
      </c>
      <c r="K31" s="1" t="s">
        <v>27</v>
      </c>
      <c r="L31" s="31"/>
      <c r="M31" s="31"/>
      <c r="N31" s="31"/>
      <c r="O31" s="31"/>
      <c r="P31" s="32"/>
      <c r="Y31">
        <f>SUM(Y3:Y28)</f>
        <v>1074</v>
      </c>
    </row>
    <row r="32" spans="1:28">
      <c r="A32" s="4" t="s">
        <v>6</v>
      </c>
      <c r="B32" s="1" t="s">
        <v>27</v>
      </c>
      <c r="C32" s="4" t="s">
        <v>6</v>
      </c>
      <c r="D32" s="31"/>
      <c r="E32" s="31"/>
      <c r="F32" s="31"/>
      <c r="G32" s="31"/>
      <c r="H32" s="32"/>
      <c r="I32" s="1" t="s">
        <v>27</v>
      </c>
      <c r="J32" s="3" t="s">
        <v>5</v>
      </c>
      <c r="K32" s="1" t="s">
        <v>27</v>
      </c>
      <c r="L32" s="31"/>
      <c r="M32" s="31"/>
      <c r="N32" s="31"/>
      <c r="O32" s="31"/>
      <c r="P32" s="32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10" t="s">
        <v>12</v>
      </c>
      <c r="D33" s="31"/>
      <c r="E33" s="31"/>
      <c r="F33" s="31"/>
      <c r="G33" s="31"/>
      <c r="H33" s="32"/>
      <c r="I33" s="1" t="s">
        <v>27</v>
      </c>
      <c r="J33" s="3" t="s">
        <v>5</v>
      </c>
      <c r="K33" s="1" t="s">
        <v>27</v>
      </c>
      <c r="L33" s="31"/>
      <c r="M33" s="31"/>
      <c r="N33" s="31"/>
      <c r="O33" s="31"/>
      <c r="P33" s="32"/>
      <c r="R33">
        <v>2</v>
      </c>
      <c r="S33" t="s">
        <v>60</v>
      </c>
    </row>
    <row r="34" spans="1:19">
      <c r="A34" s="17" t="s">
        <v>19</v>
      </c>
      <c r="B34" s="1" t="s">
        <v>27</v>
      </c>
      <c r="C34" s="4" t="s">
        <v>6</v>
      </c>
      <c r="D34" s="31"/>
      <c r="E34" s="31"/>
      <c r="F34" s="31"/>
      <c r="G34" s="31"/>
      <c r="H34" s="32"/>
      <c r="I34" s="38" t="s">
        <v>27</v>
      </c>
      <c r="J34" s="3" t="s">
        <v>5</v>
      </c>
      <c r="K34" s="1" t="s">
        <v>27</v>
      </c>
      <c r="L34" s="31"/>
      <c r="M34" s="31"/>
      <c r="N34" s="31"/>
      <c r="O34" s="31"/>
      <c r="P34" s="32"/>
      <c r="R34">
        <v>3</v>
      </c>
      <c r="S34" t="s">
        <v>58</v>
      </c>
    </row>
    <row r="35" spans="1:19">
      <c r="A35" s="4" t="s">
        <v>6</v>
      </c>
      <c r="B35" s="1" t="s">
        <v>27</v>
      </c>
      <c r="C35" s="17" t="s">
        <v>19</v>
      </c>
      <c r="D35" s="31"/>
      <c r="E35" s="31"/>
      <c r="F35" s="31"/>
      <c r="G35" s="31"/>
      <c r="H35" s="32"/>
      <c r="I35" s="38" t="s">
        <v>27</v>
      </c>
      <c r="J35" s="15" t="s">
        <v>17</v>
      </c>
      <c r="K35" s="1" t="s">
        <v>27</v>
      </c>
      <c r="L35" s="31"/>
      <c r="M35" s="31"/>
      <c r="N35" s="31"/>
      <c r="O35" s="31"/>
      <c r="P35" s="32"/>
      <c r="R35">
        <v>4</v>
      </c>
      <c r="S35" t="s">
        <v>61</v>
      </c>
    </row>
    <row r="36" spans="1:19">
      <c r="A36" s="4" t="s">
        <v>6</v>
      </c>
      <c r="B36" s="1" t="s">
        <v>27</v>
      </c>
      <c r="C36" s="4" t="s">
        <v>6</v>
      </c>
      <c r="D36" s="31"/>
      <c r="E36" s="31"/>
      <c r="F36" s="31"/>
      <c r="G36" s="31"/>
      <c r="H36" s="32"/>
      <c r="I36" s="38" t="s">
        <v>27</v>
      </c>
      <c r="J36" s="1" t="s">
        <v>27</v>
      </c>
      <c r="K36" s="1" t="s">
        <v>27</v>
      </c>
      <c r="L36" s="31"/>
      <c r="M36" s="31"/>
      <c r="N36" s="31"/>
      <c r="O36" s="31"/>
      <c r="P36" s="32"/>
      <c r="S36" t="s">
        <v>62</v>
      </c>
    </row>
    <row r="37" spans="1:19">
      <c r="A37" s="4" t="s">
        <v>6</v>
      </c>
      <c r="B37" s="1" t="s">
        <v>27</v>
      </c>
      <c r="C37" s="4" t="s">
        <v>6</v>
      </c>
      <c r="D37" s="31"/>
      <c r="E37" s="31"/>
      <c r="F37" s="31"/>
      <c r="G37" s="31"/>
      <c r="H37" s="32"/>
      <c r="I37" s="38" t="s">
        <v>27</v>
      </c>
      <c r="J37" s="3" t="s">
        <v>5</v>
      </c>
      <c r="K37" s="1" t="s">
        <v>27</v>
      </c>
      <c r="L37" s="31"/>
      <c r="M37" s="31"/>
      <c r="N37" s="31"/>
      <c r="O37" s="31"/>
      <c r="P37" s="32"/>
      <c r="R37">
        <v>5</v>
      </c>
      <c r="S37" t="s">
        <v>63</v>
      </c>
    </row>
    <row r="38" spans="1:19">
      <c r="A38" s="4" t="s">
        <v>6</v>
      </c>
      <c r="B38" s="1" t="s">
        <v>27</v>
      </c>
      <c r="C38" s="16" t="s">
        <v>18</v>
      </c>
      <c r="D38" s="31"/>
      <c r="E38" s="31"/>
      <c r="F38" s="31"/>
      <c r="G38" s="31"/>
      <c r="H38" s="32"/>
      <c r="I38" s="38" t="s">
        <v>27</v>
      </c>
      <c r="J38" s="15" t="s">
        <v>17</v>
      </c>
      <c r="K38" s="1" t="s">
        <v>27</v>
      </c>
      <c r="L38" s="31"/>
      <c r="M38" s="31"/>
      <c r="N38" s="31"/>
      <c r="O38" s="31"/>
      <c r="P38" s="32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4" t="s">
        <v>6</v>
      </c>
      <c r="D39" s="31"/>
      <c r="E39" s="31"/>
      <c r="F39" s="31"/>
      <c r="G39" s="31"/>
      <c r="H39" s="32"/>
      <c r="I39" s="38" t="s">
        <v>27</v>
      </c>
      <c r="J39" s="3" t="s">
        <v>5</v>
      </c>
      <c r="K39" s="1" t="s">
        <v>27</v>
      </c>
      <c r="L39" s="31"/>
      <c r="M39" s="31"/>
      <c r="N39" s="31"/>
      <c r="O39" s="31"/>
      <c r="P39" s="32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4" t="s">
        <v>6</v>
      </c>
      <c r="D40" s="31"/>
      <c r="E40" s="31"/>
      <c r="F40" s="31"/>
      <c r="G40" s="31"/>
      <c r="H40" s="32"/>
      <c r="I40" s="38" t="s">
        <v>27</v>
      </c>
      <c r="J40" s="3" t="s">
        <v>5</v>
      </c>
      <c r="K40" s="1" t="s">
        <v>27</v>
      </c>
      <c r="L40" s="31"/>
      <c r="M40" s="31"/>
      <c r="N40" s="31"/>
      <c r="O40" s="31"/>
      <c r="P40" s="32"/>
    </row>
    <row r="41" spans="1:19">
      <c r="A41" s="4" t="s">
        <v>6</v>
      </c>
      <c r="B41" s="1" t="s">
        <v>27</v>
      </c>
      <c r="C41" s="4" t="s">
        <v>6</v>
      </c>
      <c r="D41" s="31"/>
      <c r="E41" s="31"/>
      <c r="F41" s="31"/>
      <c r="G41" s="31"/>
      <c r="H41" s="32"/>
      <c r="I41" s="38" t="s">
        <v>27</v>
      </c>
      <c r="J41" s="3" t="s">
        <v>5</v>
      </c>
      <c r="K41" s="1" t="s">
        <v>27</v>
      </c>
      <c r="L41" s="31"/>
      <c r="M41" s="31"/>
      <c r="N41" s="31"/>
      <c r="O41" s="31"/>
      <c r="P41" s="32"/>
    </row>
    <row r="42" spans="1:19">
      <c r="A42" s="4" t="s">
        <v>6</v>
      </c>
      <c r="B42" s="1" t="s">
        <v>27</v>
      </c>
      <c r="C42" s="4" t="s">
        <v>6</v>
      </c>
      <c r="D42" s="31"/>
      <c r="E42" s="31"/>
      <c r="F42" s="31"/>
      <c r="G42" s="31"/>
      <c r="H42" s="32"/>
      <c r="I42" s="38" t="s">
        <v>27</v>
      </c>
      <c r="J42" s="15" t="s">
        <v>17</v>
      </c>
      <c r="K42" s="1" t="s">
        <v>27</v>
      </c>
      <c r="L42" s="31"/>
      <c r="M42" s="31"/>
      <c r="N42" s="31"/>
      <c r="O42" s="31"/>
      <c r="P42" s="32"/>
    </row>
    <row r="43" spans="1:19">
      <c r="A43" s="17" t="s">
        <v>20</v>
      </c>
      <c r="B43" s="1" t="s">
        <v>27</v>
      </c>
      <c r="C43" s="4" t="s">
        <v>6</v>
      </c>
      <c r="D43" s="31"/>
      <c r="E43" s="31"/>
      <c r="F43" s="31"/>
      <c r="G43" s="31"/>
      <c r="H43" s="32"/>
      <c r="I43" s="38" t="s">
        <v>27</v>
      </c>
      <c r="J43" s="3" t="s">
        <v>5</v>
      </c>
      <c r="K43" s="1" t="s">
        <v>27</v>
      </c>
      <c r="L43" s="31"/>
      <c r="M43" s="31"/>
      <c r="N43" s="31"/>
      <c r="O43" s="31"/>
      <c r="P43" s="32"/>
    </row>
    <row r="44" spans="1:19">
      <c r="A44" s="38" t="s">
        <v>27</v>
      </c>
      <c r="B44" s="1" t="s">
        <v>27</v>
      </c>
      <c r="C44" s="17" t="s">
        <v>20</v>
      </c>
      <c r="D44" s="31"/>
      <c r="E44" s="31"/>
      <c r="F44" s="31"/>
      <c r="G44" s="31"/>
      <c r="H44" s="32"/>
      <c r="I44" s="38" t="s">
        <v>27</v>
      </c>
      <c r="J44" s="3" t="s">
        <v>5</v>
      </c>
      <c r="K44" s="1" t="s">
        <v>27</v>
      </c>
      <c r="L44" s="31"/>
      <c r="M44" s="31"/>
      <c r="N44" s="31"/>
      <c r="O44" s="31"/>
      <c r="P44" s="32"/>
    </row>
    <row r="45" spans="1:19">
      <c r="A45" s="38" t="s">
        <v>27</v>
      </c>
      <c r="B45" s="1" t="s">
        <v>27</v>
      </c>
      <c r="C45" s="15" t="s">
        <v>17</v>
      </c>
      <c r="D45" s="31"/>
      <c r="E45" s="31"/>
      <c r="F45" s="31"/>
      <c r="G45" s="31"/>
      <c r="H45" s="32"/>
      <c r="I45" s="38" t="s">
        <v>27</v>
      </c>
      <c r="J45" s="3" t="s">
        <v>5</v>
      </c>
      <c r="K45" s="1" t="s">
        <v>27</v>
      </c>
      <c r="L45" s="31"/>
      <c r="M45" s="31"/>
      <c r="N45" s="31"/>
      <c r="O45" s="31"/>
      <c r="P45" s="32"/>
    </row>
    <row r="46" spans="1:19">
      <c r="A46" s="38" t="s">
        <v>27</v>
      </c>
      <c r="B46" s="1" t="s">
        <v>27</v>
      </c>
      <c r="C46" s="1" t="s">
        <v>27</v>
      </c>
      <c r="D46" s="31"/>
      <c r="E46" s="31"/>
      <c r="F46" s="31"/>
      <c r="G46" s="31"/>
      <c r="H46" s="32"/>
      <c r="I46" s="38" t="s">
        <v>27</v>
      </c>
      <c r="J46" s="3" t="s">
        <v>5</v>
      </c>
      <c r="K46" s="1" t="s">
        <v>27</v>
      </c>
      <c r="L46" s="31"/>
      <c r="M46" s="31"/>
      <c r="N46" s="31"/>
      <c r="O46" s="31"/>
      <c r="P46" s="32"/>
    </row>
    <row r="47" spans="1:19">
      <c r="A47" s="38" t="s">
        <v>27</v>
      </c>
      <c r="B47" s="1" t="s">
        <v>27</v>
      </c>
      <c r="C47" s="1" t="s">
        <v>27</v>
      </c>
      <c r="D47" s="31"/>
      <c r="E47" s="31"/>
      <c r="F47" s="31"/>
      <c r="G47" s="31"/>
      <c r="H47" s="32"/>
      <c r="I47" s="38" t="s">
        <v>27</v>
      </c>
      <c r="J47" s="15" t="s">
        <v>17</v>
      </c>
      <c r="K47" s="1" t="s">
        <v>27</v>
      </c>
      <c r="L47" s="31"/>
      <c r="M47" s="31"/>
      <c r="N47" s="31"/>
      <c r="O47" s="31"/>
      <c r="P47" s="32"/>
    </row>
    <row r="48" spans="1:19">
      <c r="A48" s="38" t="s">
        <v>27</v>
      </c>
      <c r="B48" s="1" t="s">
        <v>27</v>
      </c>
      <c r="C48" s="1" t="s">
        <v>27</v>
      </c>
      <c r="D48" s="31"/>
      <c r="E48" s="31"/>
      <c r="F48" s="31"/>
      <c r="G48" s="31"/>
      <c r="H48" s="32"/>
      <c r="I48" s="38" t="s">
        <v>27</v>
      </c>
      <c r="J48" s="3" t="s">
        <v>5</v>
      </c>
      <c r="K48" s="1" t="s">
        <v>27</v>
      </c>
      <c r="L48" s="31"/>
      <c r="M48" s="31"/>
      <c r="N48" s="31"/>
      <c r="O48" s="31"/>
      <c r="P48" s="32"/>
    </row>
    <row r="49" spans="1:16">
      <c r="A49" s="38" t="s">
        <v>27</v>
      </c>
      <c r="B49" s="1" t="s">
        <v>27</v>
      </c>
      <c r="C49" s="1" t="s">
        <v>27</v>
      </c>
      <c r="D49" s="31"/>
      <c r="E49" s="31"/>
      <c r="F49" s="31"/>
      <c r="G49" s="31"/>
      <c r="H49" s="32"/>
      <c r="I49" s="38" t="s">
        <v>27</v>
      </c>
      <c r="J49" s="3" t="s">
        <v>5</v>
      </c>
      <c r="K49" s="1" t="s">
        <v>27</v>
      </c>
      <c r="L49" s="31"/>
      <c r="M49" s="31"/>
      <c r="N49" s="31"/>
      <c r="O49" s="31"/>
      <c r="P49" s="32"/>
    </row>
    <row r="50" spans="1:16">
      <c r="A50" s="38" t="s">
        <v>27</v>
      </c>
      <c r="B50" s="1" t="s">
        <v>27</v>
      </c>
      <c r="C50" s="1" t="s">
        <v>27</v>
      </c>
      <c r="D50" s="31"/>
      <c r="E50" s="31"/>
      <c r="F50" s="31"/>
      <c r="G50" s="31"/>
      <c r="H50" s="32"/>
      <c r="I50" s="38" t="s">
        <v>27</v>
      </c>
      <c r="J50" s="3" t="s">
        <v>5</v>
      </c>
      <c r="K50" s="1" t="s">
        <v>27</v>
      </c>
      <c r="L50" s="31"/>
      <c r="M50" s="31"/>
      <c r="N50" s="31"/>
      <c r="O50" s="31"/>
      <c r="P50" s="32"/>
    </row>
    <row r="51" spans="1:16">
      <c r="A51" s="38" t="s">
        <v>27</v>
      </c>
      <c r="B51" s="1" t="s">
        <v>27</v>
      </c>
      <c r="C51" s="1" t="s">
        <v>27</v>
      </c>
      <c r="D51" s="31"/>
      <c r="E51" s="31"/>
      <c r="F51" s="31"/>
      <c r="G51" s="31"/>
      <c r="H51" s="32"/>
      <c r="I51" s="38" t="s">
        <v>27</v>
      </c>
      <c r="J51" s="16" t="s">
        <v>28</v>
      </c>
      <c r="K51" s="1" t="s">
        <v>27</v>
      </c>
      <c r="L51" s="31"/>
      <c r="M51" s="31"/>
      <c r="N51" s="31"/>
      <c r="O51" s="31"/>
      <c r="P51" s="32"/>
    </row>
    <row r="52" spans="1:16">
      <c r="A52" s="38" t="s">
        <v>27</v>
      </c>
      <c r="B52" s="1" t="s">
        <v>27</v>
      </c>
      <c r="C52" s="1" t="s">
        <v>27</v>
      </c>
      <c r="D52" s="31"/>
      <c r="E52" s="31"/>
      <c r="F52" s="31"/>
      <c r="G52" s="31"/>
      <c r="H52" s="32"/>
      <c r="I52" s="38" t="s">
        <v>27</v>
      </c>
      <c r="J52" s="3" t="s">
        <v>5</v>
      </c>
      <c r="K52" s="1" t="s">
        <v>27</v>
      </c>
      <c r="L52" s="31"/>
      <c r="M52" s="31"/>
      <c r="N52" s="31"/>
      <c r="O52" s="31"/>
      <c r="P52" s="32"/>
    </row>
    <row r="53" spans="1:16">
      <c r="A53" s="38" t="s">
        <v>27</v>
      </c>
      <c r="B53" s="1" t="s">
        <v>27</v>
      </c>
      <c r="C53" s="1" t="s">
        <v>27</v>
      </c>
      <c r="D53" s="31"/>
      <c r="E53" s="31"/>
      <c r="F53" s="31"/>
      <c r="G53" s="31"/>
      <c r="H53" s="32"/>
      <c r="I53" s="38" t="s">
        <v>27</v>
      </c>
      <c r="J53" s="3" t="s">
        <v>5</v>
      </c>
      <c r="K53" s="1" t="s">
        <v>27</v>
      </c>
      <c r="L53" s="31"/>
      <c r="M53" s="31"/>
      <c r="N53" s="31"/>
      <c r="O53" s="31"/>
      <c r="P53" s="32"/>
    </row>
    <row r="54" spans="1:16">
      <c r="A54" s="38" t="s">
        <v>27</v>
      </c>
      <c r="B54" s="1" t="s">
        <v>27</v>
      </c>
      <c r="C54" s="1" t="s">
        <v>27</v>
      </c>
      <c r="D54" s="31"/>
      <c r="E54" s="31"/>
      <c r="F54" s="31"/>
      <c r="G54" s="31"/>
      <c r="H54" s="32"/>
      <c r="I54" s="38" t="s">
        <v>27</v>
      </c>
      <c r="J54" s="15" t="s">
        <v>17</v>
      </c>
      <c r="K54" s="1" t="s">
        <v>27</v>
      </c>
      <c r="L54" s="31"/>
      <c r="M54" s="31"/>
      <c r="N54" s="31"/>
      <c r="O54" s="31"/>
      <c r="P54" s="32"/>
    </row>
    <row r="55" spans="1:16">
      <c r="A55" s="38" t="s">
        <v>27</v>
      </c>
      <c r="B55" s="1" t="s">
        <v>27</v>
      </c>
      <c r="C55" s="1" t="s">
        <v>27</v>
      </c>
      <c r="D55" s="31"/>
      <c r="E55" s="31"/>
      <c r="F55" s="31"/>
      <c r="G55" s="31"/>
      <c r="H55" s="32"/>
      <c r="I55" s="38" t="s">
        <v>27</v>
      </c>
      <c r="J55" s="3" t="s">
        <v>5</v>
      </c>
      <c r="K55" s="1" t="s">
        <v>27</v>
      </c>
      <c r="L55" s="31"/>
      <c r="M55" s="31"/>
      <c r="N55" s="31"/>
      <c r="O55" s="31"/>
      <c r="P55" s="32"/>
    </row>
    <row r="56" spans="1:16">
      <c r="A56" s="38" t="s">
        <v>27</v>
      </c>
      <c r="B56" s="1" t="s">
        <v>27</v>
      </c>
      <c r="C56" s="1" t="s">
        <v>27</v>
      </c>
      <c r="D56" s="31"/>
      <c r="E56" s="31"/>
      <c r="F56" s="31"/>
      <c r="G56" s="31"/>
      <c r="H56" s="32"/>
      <c r="I56" s="38" t="s">
        <v>27</v>
      </c>
      <c r="J56" s="3" t="s">
        <v>5</v>
      </c>
      <c r="K56" s="1" t="s">
        <v>27</v>
      </c>
      <c r="L56" s="31"/>
      <c r="M56" s="31"/>
      <c r="N56" s="31"/>
      <c r="O56" s="31"/>
      <c r="P56" s="32"/>
    </row>
    <row r="57" spans="1:16">
      <c r="A57" s="38" t="s">
        <v>27</v>
      </c>
      <c r="B57" s="1" t="s">
        <v>27</v>
      </c>
      <c r="C57" s="1" t="s">
        <v>27</v>
      </c>
      <c r="D57" s="31"/>
      <c r="E57" s="31"/>
      <c r="F57" s="31"/>
      <c r="G57" s="31"/>
      <c r="H57" s="32"/>
      <c r="I57" s="38" t="s">
        <v>27</v>
      </c>
      <c r="J57" s="3" t="s">
        <v>5</v>
      </c>
      <c r="K57" s="1" t="s">
        <v>27</v>
      </c>
      <c r="L57" s="31"/>
      <c r="M57" s="31"/>
      <c r="N57" s="31"/>
      <c r="O57" s="31"/>
      <c r="P57" s="32"/>
    </row>
    <row r="58" spans="1:16">
      <c r="A58" s="38" t="s">
        <v>27</v>
      </c>
      <c r="B58" s="1" t="s">
        <v>27</v>
      </c>
      <c r="C58" s="1" t="s">
        <v>27</v>
      </c>
      <c r="D58" s="31"/>
      <c r="E58" s="31"/>
      <c r="F58" s="31"/>
      <c r="G58" s="31"/>
      <c r="H58" s="32"/>
      <c r="I58" s="38" t="s">
        <v>27</v>
      </c>
      <c r="J58" s="3" t="s">
        <v>5</v>
      </c>
      <c r="K58" s="1" t="s">
        <v>27</v>
      </c>
      <c r="L58" s="31"/>
      <c r="M58" s="31"/>
      <c r="N58" s="31"/>
      <c r="O58" s="31"/>
      <c r="P58" s="32"/>
    </row>
    <row r="59" spans="1:16">
      <c r="A59" s="38" t="s">
        <v>27</v>
      </c>
      <c r="B59" s="1" t="s">
        <v>27</v>
      </c>
      <c r="C59" s="1" t="s">
        <v>27</v>
      </c>
      <c r="D59" s="31"/>
      <c r="E59" s="31"/>
      <c r="F59" s="31"/>
      <c r="G59" s="31"/>
      <c r="H59" s="32"/>
      <c r="I59" s="38" t="s">
        <v>27</v>
      </c>
      <c r="J59" s="15" t="s">
        <v>17</v>
      </c>
      <c r="K59" s="1" t="s">
        <v>27</v>
      </c>
      <c r="L59" s="31"/>
      <c r="M59" s="31"/>
      <c r="N59" s="31"/>
      <c r="O59" s="31"/>
      <c r="P59" s="32"/>
    </row>
    <row r="60" spans="1:16">
      <c r="A60" s="38" t="s">
        <v>27</v>
      </c>
      <c r="B60" s="1" t="s">
        <v>27</v>
      </c>
      <c r="C60" s="1" t="s">
        <v>27</v>
      </c>
      <c r="D60" s="31"/>
      <c r="E60" s="31"/>
      <c r="F60" s="31"/>
      <c r="G60" s="31"/>
      <c r="H60" s="32"/>
      <c r="I60" s="38" t="s">
        <v>27</v>
      </c>
      <c r="J60" s="1" t="s">
        <v>27</v>
      </c>
      <c r="K60" s="1" t="s">
        <v>27</v>
      </c>
      <c r="L60" s="31"/>
      <c r="M60" s="31"/>
      <c r="N60" s="31"/>
      <c r="O60" s="31"/>
      <c r="P60" s="32"/>
    </row>
    <row r="61" spans="1:16">
      <c r="A61" s="38" t="s">
        <v>27</v>
      </c>
      <c r="B61" s="1" t="s">
        <v>27</v>
      </c>
      <c r="C61" s="1" t="s">
        <v>27</v>
      </c>
      <c r="D61" s="31"/>
      <c r="E61" s="31"/>
      <c r="F61" s="31"/>
      <c r="G61" s="31"/>
      <c r="H61" s="32"/>
      <c r="I61" s="38" t="s">
        <v>27</v>
      </c>
      <c r="J61" s="1" t="s">
        <v>27</v>
      </c>
      <c r="K61" s="1" t="s">
        <v>27</v>
      </c>
      <c r="L61" s="31"/>
      <c r="M61" s="31"/>
      <c r="N61" s="31"/>
      <c r="O61" s="31"/>
      <c r="P61" s="32"/>
    </row>
    <row r="62" spans="1:16">
      <c r="A62" s="38" t="s">
        <v>27</v>
      </c>
      <c r="B62" s="1" t="s">
        <v>27</v>
      </c>
      <c r="C62" s="1" t="s">
        <v>27</v>
      </c>
      <c r="D62" s="31"/>
      <c r="E62" s="31"/>
      <c r="F62" s="31"/>
      <c r="G62" s="31"/>
      <c r="H62" s="32"/>
      <c r="I62" s="38" t="s">
        <v>27</v>
      </c>
      <c r="J62" s="1" t="s">
        <v>27</v>
      </c>
      <c r="K62" s="1" t="s">
        <v>27</v>
      </c>
      <c r="L62" s="31"/>
      <c r="M62" s="31"/>
      <c r="N62" s="31"/>
      <c r="O62" s="31"/>
      <c r="P62" s="32"/>
    </row>
    <row r="63" spans="1:16">
      <c r="A63" s="38" t="s">
        <v>27</v>
      </c>
      <c r="B63" s="1" t="s">
        <v>27</v>
      </c>
      <c r="C63" s="1" t="s">
        <v>27</v>
      </c>
      <c r="D63" s="31"/>
      <c r="E63" s="31"/>
      <c r="F63" s="31"/>
      <c r="G63" s="31"/>
      <c r="H63" s="32"/>
      <c r="I63" s="38" t="s">
        <v>27</v>
      </c>
      <c r="J63" s="1" t="s">
        <v>27</v>
      </c>
      <c r="K63" s="1" t="s">
        <v>27</v>
      </c>
      <c r="L63" s="31"/>
      <c r="M63" s="31"/>
      <c r="N63" s="31"/>
      <c r="O63" s="31"/>
      <c r="P63" s="32"/>
    </row>
    <row r="64" spans="1:16">
      <c r="A64" s="38" t="s">
        <v>27</v>
      </c>
      <c r="B64" s="1" t="s">
        <v>27</v>
      </c>
      <c r="C64" s="1" t="s">
        <v>27</v>
      </c>
      <c r="D64" s="31"/>
      <c r="E64" s="31"/>
      <c r="F64" s="31"/>
      <c r="G64" s="31"/>
      <c r="H64" s="32"/>
      <c r="I64" s="38" t="s">
        <v>27</v>
      </c>
      <c r="J64" s="1" t="s">
        <v>27</v>
      </c>
      <c r="K64" s="1" t="s">
        <v>27</v>
      </c>
      <c r="L64" s="31"/>
      <c r="M64" s="31"/>
      <c r="N64" s="31"/>
      <c r="O64" s="31"/>
      <c r="P64" s="32"/>
    </row>
    <row r="65" spans="1:16">
      <c r="A65" s="38" t="s">
        <v>27</v>
      </c>
      <c r="B65" s="1" t="s">
        <v>27</v>
      </c>
      <c r="C65" s="1" t="s">
        <v>27</v>
      </c>
      <c r="D65" s="31"/>
      <c r="E65" s="31"/>
      <c r="F65" s="31"/>
      <c r="G65" s="31"/>
      <c r="H65" s="32"/>
      <c r="I65" s="38" t="s">
        <v>27</v>
      </c>
      <c r="J65" s="1" t="s">
        <v>27</v>
      </c>
      <c r="K65" s="1" t="s">
        <v>27</v>
      </c>
      <c r="L65" s="31"/>
      <c r="M65" s="31"/>
      <c r="N65" s="31"/>
      <c r="O65" s="31"/>
      <c r="P65" s="32"/>
    </row>
    <row r="66" spans="1:16">
      <c r="A66" s="38" t="s">
        <v>27</v>
      </c>
      <c r="B66" s="1" t="s">
        <v>27</v>
      </c>
      <c r="C66" s="1" t="s">
        <v>27</v>
      </c>
      <c r="D66" s="31"/>
      <c r="E66" s="31"/>
      <c r="F66" s="31"/>
      <c r="G66" s="31"/>
      <c r="H66" s="32"/>
      <c r="I66" s="38" t="s">
        <v>27</v>
      </c>
      <c r="J66" s="1" t="s">
        <v>27</v>
      </c>
      <c r="K66" s="1" t="s">
        <v>27</v>
      </c>
      <c r="L66" s="31"/>
      <c r="M66" s="31"/>
      <c r="N66" s="31"/>
      <c r="O66" s="31"/>
      <c r="P66" s="32"/>
    </row>
    <row r="67" spans="1:16">
      <c r="A67" s="38" t="s">
        <v>27</v>
      </c>
      <c r="B67" s="1" t="s">
        <v>27</v>
      </c>
      <c r="C67" s="1" t="s">
        <v>27</v>
      </c>
      <c r="D67" s="31"/>
      <c r="E67" s="31"/>
      <c r="F67" s="31"/>
      <c r="G67" s="31"/>
      <c r="H67" s="32"/>
      <c r="I67" s="38" t="s">
        <v>27</v>
      </c>
      <c r="J67" s="1" t="s">
        <v>27</v>
      </c>
      <c r="K67" s="1" t="s">
        <v>27</v>
      </c>
      <c r="L67" s="31"/>
      <c r="M67" s="31"/>
      <c r="N67" s="31"/>
      <c r="O67" s="31"/>
      <c r="P67" s="32"/>
    </row>
    <row r="68" spans="1:16">
      <c r="A68" s="38" t="s">
        <v>27</v>
      </c>
      <c r="B68" s="1" t="s">
        <v>27</v>
      </c>
      <c r="C68" s="1" t="s">
        <v>27</v>
      </c>
      <c r="D68" s="31"/>
      <c r="E68" s="31"/>
      <c r="F68" s="31"/>
      <c r="G68" s="31"/>
      <c r="H68" s="32"/>
      <c r="I68" s="38" t="s">
        <v>27</v>
      </c>
      <c r="J68" s="1" t="s">
        <v>27</v>
      </c>
      <c r="K68" s="1" t="s">
        <v>27</v>
      </c>
      <c r="L68" s="31"/>
      <c r="M68" s="31"/>
      <c r="N68" s="31"/>
      <c r="O68" s="31"/>
      <c r="P68" s="32"/>
    </row>
    <row r="69" spans="1:16">
      <c r="A69" s="38" t="s">
        <v>27</v>
      </c>
      <c r="B69" s="1" t="s">
        <v>27</v>
      </c>
      <c r="C69" s="1" t="s">
        <v>27</v>
      </c>
      <c r="D69" s="31"/>
      <c r="E69" s="31"/>
      <c r="F69" s="31"/>
      <c r="G69" s="31"/>
      <c r="H69" s="32"/>
      <c r="I69" s="38" t="s">
        <v>27</v>
      </c>
      <c r="J69" s="1" t="s">
        <v>27</v>
      </c>
      <c r="K69" s="1" t="s">
        <v>27</v>
      </c>
      <c r="L69" s="31"/>
      <c r="M69" s="31"/>
      <c r="N69" s="31"/>
      <c r="O69" s="31"/>
      <c r="P69" s="32"/>
    </row>
    <row r="70" spans="1:16">
      <c r="A70" s="38" t="s">
        <v>27</v>
      </c>
      <c r="B70" s="1" t="s">
        <v>27</v>
      </c>
      <c r="C70" s="1" t="s">
        <v>27</v>
      </c>
      <c r="D70" s="31"/>
      <c r="E70" s="31"/>
      <c r="F70" s="31"/>
      <c r="G70" s="31"/>
      <c r="H70" s="32"/>
      <c r="I70" s="38" t="s">
        <v>27</v>
      </c>
      <c r="J70" s="1" t="s">
        <v>27</v>
      </c>
      <c r="K70" s="1" t="s">
        <v>27</v>
      </c>
      <c r="L70" s="31"/>
      <c r="M70" s="31"/>
      <c r="N70" s="31"/>
      <c r="O70" s="31"/>
      <c r="P70" s="32"/>
    </row>
    <row r="71" spans="1:16">
      <c r="A71" s="38" t="s">
        <v>27</v>
      </c>
      <c r="B71" s="1" t="s">
        <v>27</v>
      </c>
      <c r="C71" s="1" t="s">
        <v>27</v>
      </c>
      <c r="D71" s="31"/>
      <c r="E71" s="31"/>
      <c r="F71" s="31"/>
      <c r="G71" s="31"/>
      <c r="H71" s="32"/>
      <c r="I71" s="38" t="s">
        <v>27</v>
      </c>
      <c r="J71" s="1" t="s">
        <v>27</v>
      </c>
      <c r="K71" s="1" t="s">
        <v>27</v>
      </c>
      <c r="L71" s="31"/>
      <c r="M71" s="31"/>
      <c r="N71" s="31"/>
      <c r="O71" s="31"/>
      <c r="P71" s="32"/>
    </row>
    <row r="72" spans="1:16">
      <c r="A72" s="38" t="s">
        <v>27</v>
      </c>
      <c r="B72" s="1" t="s">
        <v>27</v>
      </c>
      <c r="C72" s="1" t="s">
        <v>27</v>
      </c>
      <c r="D72" s="31"/>
      <c r="E72" s="31"/>
      <c r="F72" s="31"/>
      <c r="G72" s="31"/>
      <c r="H72" s="32"/>
      <c r="I72" s="38" t="s">
        <v>27</v>
      </c>
      <c r="J72" s="1" t="s">
        <v>27</v>
      </c>
      <c r="K72" s="1" t="s">
        <v>27</v>
      </c>
      <c r="L72" s="31"/>
      <c r="M72" s="31"/>
      <c r="N72" s="31"/>
      <c r="O72" s="31"/>
      <c r="P72" s="32"/>
    </row>
    <row r="73" spans="1:16">
      <c r="A73" s="38" t="s">
        <v>27</v>
      </c>
      <c r="B73" s="1" t="s">
        <v>27</v>
      </c>
      <c r="C73" s="1" t="s">
        <v>27</v>
      </c>
      <c r="D73" s="31"/>
      <c r="E73" s="31"/>
      <c r="F73" s="31"/>
      <c r="G73" s="31"/>
      <c r="H73" s="32"/>
      <c r="I73" s="38" t="s">
        <v>27</v>
      </c>
      <c r="J73" s="1" t="s">
        <v>27</v>
      </c>
      <c r="K73" s="1" t="s">
        <v>27</v>
      </c>
      <c r="L73" s="31"/>
      <c r="M73" s="31"/>
      <c r="N73" s="31"/>
      <c r="O73" s="31"/>
      <c r="P73" s="32"/>
    </row>
    <row r="74" spans="1:16">
      <c r="A74" s="38" t="s">
        <v>27</v>
      </c>
      <c r="B74" s="1" t="s">
        <v>27</v>
      </c>
      <c r="C74" s="1" t="s">
        <v>27</v>
      </c>
      <c r="D74" s="31"/>
      <c r="E74" s="31"/>
      <c r="F74" s="31"/>
      <c r="G74" s="31"/>
      <c r="H74" s="32"/>
      <c r="I74" s="38" t="s">
        <v>27</v>
      </c>
      <c r="J74" s="1" t="s">
        <v>27</v>
      </c>
      <c r="K74" s="1" t="s">
        <v>27</v>
      </c>
      <c r="L74" s="31"/>
      <c r="M74" s="31"/>
      <c r="N74" s="31"/>
      <c r="O74" s="31"/>
      <c r="P74" s="32"/>
    </row>
    <row r="75" spans="1:16">
      <c r="A75" s="38" t="s">
        <v>27</v>
      </c>
      <c r="B75" s="1" t="s">
        <v>27</v>
      </c>
      <c r="C75" s="1" t="s">
        <v>27</v>
      </c>
      <c r="D75" s="31"/>
      <c r="E75" s="31"/>
      <c r="F75" s="31"/>
      <c r="G75" s="31"/>
      <c r="H75" s="32"/>
      <c r="I75" s="38" t="s">
        <v>27</v>
      </c>
      <c r="J75" s="1" t="s">
        <v>27</v>
      </c>
      <c r="K75" s="1" t="s">
        <v>27</v>
      </c>
      <c r="L75" s="31"/>
      <c r="M75" s="31"/>
      <c r="N75" s="31"/>
      <c r="O75" s="31"/>
      <c r="P75" s="32"/>
    </row>
    <row r="76" spans="1:16">
      <c r="A76" s="38" t="s">
        <v>27</v>
      </c>
      <c r="B76" s="1" t="s">
        <v>27</v>
      </c>
      <c r="C76" s="1" t="s">
        <v>27</v>
      </c>
      <c r="D76" s="31"/>
      <c r="E76" s="31"/>
      <c r="F76" s="31"/>
      <c r="G76" s="31"/>
      <c r="H76" s="32"/>
      <c r="I76" s="38" t="s">
        <v>27</v>
      </c>
      <c r="J76" s="1" t="s">
        <v>27</v>
      </c>
      <c r="K76" s="1" t="s">
        <v>27</v>
      </c>
      <c r="L76" s="31"/>
      <c r="M76" s="31"/>
      <c r="N76" s="31"/>
      <c r="O76" s="31"/>
      <c r="P76" s="32"/>
    </row>
    <row r="77" spans="1:16">
      <c r="A77" s="38" t="s">
        <v>27</v>
      </c>
      <c r="B77" s="1" t="s">
        <v>27</v>
      </c>
      <c r="C77" s="1" t="s">
        <v>27</v>
      </c>
      <c r="D77" s="31"/>
      <c r="E77" s="31"/>
      <c r="F77" s="31"/>
      <c r="G77" s="31"/>
      <c r="H77" s="32"/>
      <c r="I77" s="38" t="s">
        <v>27</v>
      </c>
      <c r="J77" s="1" t="s">
        <v>27</v>
      </c>
      <c r="K77" s="1" t="s">
        <v>27</v>
      </c>
      <c r="L77" s="31"/>
      <c r="M77" s="31"/>
      <c r="N77" s="31"/>
      <c r="O77" s="31"/>
      <c r="P77" s="32"/>
    </row>
    <row r="78" spans="1:16">
      <c r="A78" s="38" t="s">
        <v>27</v>
      </c>
      <c r="B78" s="1" t="s">
        <v>27</v>
      </c>
      <c r="C78" s="1" t="s">
        <v>27</v>
      </c>
      <c r="D78" s="31"/>
      <c r="E78" s="31"/>
      <c r="F78" s="31"/>
      <c r="G78" s="31"/>
      <c r="H78" s="32"/>
      <c r="I78" s="38" t="s">
        <v>27</v>
      </c>
      <c r="J78" s="1" t="s">
        <v>27</v>
      </c>
      <c r="K78" s="1" t="s">
        <v>27</v>
      </c>
      <c r="L78" s="31"/>
      <c r="M78" s="31"/>
      <c r="N78" s="31"/>
      <c r="O78" s="31"/>
      <c r="P78" s="32"/>
    </row>
    <row r="79" spans="1:16">
      <c r="A79" s="38" t="s">
        <v>27</v>
      </c>
      <c r="B79" s="1" t="s">
        <v>27</v>
      </c>
      <c r="C79" s="1" t="s">
        <v>27</v>
      </c>
      <c r="D79" s="31"/>
      <c r="E79" s="31"/>
      <c r="F79" s="31"/>
      <c r="G79" s="31"/>
      <c r="H79" s="32"/>
      <c r="I79" s="38" t="s">
        <v>27</v>
      </c>
      <c r="J79" s="1" t="s">
        <v>27</v>
      </c>
      <c r="K79" s="1" t="s">
        <v>27</v>
      </c>
      <c r="L79" s="31"/>
      <c r="M79" s="31"/>
      <c r="N79" s="31"/>
      <c r="O79" s="31"/>
      <c r="P79" s="32"/>
    </row>
    <row r="80" spans="1:16">
      <c r="A80" s="38" t="s">
        <v>27</v>
      </c>
      <c r="B80" s="1" t="s">
        <v>27</v>
      </c>
      <c r="C80" s="1" t="s">
        <v>27</v>
      </c>
      <c r="D80" s="31"/>
      <c r="E80" s="31"/>
      <c r="F80" s="31"/>
      <c r="G80" s="31"/>
      <c r="H80" s="32"/>
      <c r="I80" s="38" t="s">
        <v>27</v>
      </c>
      <c r="J80" s="1" t="s">
        <v>27</v>
      </c>
      <c r="K80" s="1" t="s">
        <v>27</v>
      </c>
      <c r="L80" s="31"/>
      <c r="M80" s="31"/>
      <c r="N80" s="31"/>
      <c r="O80" s="31"/>
      <c r="P80" s="32"/>
    </row>
    <row r="81" spans="1:16">
      <c r="A81" s="38" t="s">
        <v>27</v>
      </c>
      <c r="B81" s="1" t="s">
        <v>27</v>
      </c>
      <c r="C81" s="1" t="s">
        <v>27</v>
      </c>
      <c r="D81" s="31"/>
      <c r="E81" s="31"/>
      <c r="F81" s="31"/>
      <c r="G81" s="31"/>
      <c r="H81" s="32"/>
      <c r="I81" s="38" t="s">
        <v>27</v>
      </c>
      <c r="J81" s="1" t="s">
        <v>27</v>
      </c>
      <c r="K81" s="1" t="s">
        <v>27</v>
      </c>
      <c r="L81" s="31"/>
      <c r="M81" s="31"/>
      <c r="N81" s="31"/>
      <c r="O81" s="31"/>
      <c r="P81" s="32"/>
    </row>
    <row r="82" spans="1:16">
      <c r="A82" s="38" t="s">
        <v>27</v>
      </c>
      <c r="B82" s="1" t="s">
        <v>27</v>
      </c>
      <c r="C82" s="1" t="s">
        <v>27</v>
      </c>
      <c r="D82" s="31"/>
      <c r="E82" s="31"/>
      <c r="F82" s="31"/>
      <c r="G82" s="31"/>
      <c r="H82" s="32"/>
      <c r="I82" s="38" t="s">
        <v>27</v>
      </c>
      <c r="J82" s="1" t="s">
        <v>27</v>
      </c>
      <c r="K82" s="1" t="s">
        <v>27</v>
      </c>
      <c r="L82" s="31"/>
      <c r="M82" s="31"/>
      <c r="N82" s="31"/>
      <c r="O82" s="31"/>
      <c r="P82" s="32"/>
    </row>
    <row r="83" spans="1:16">
      <c r="A83" s="38" t="s">
        <v>27</v>
      </c>
      <c r="B83" s="1" t="s">
        <v>27</v>
      </c>
      <c r="C83" s="1" t="s">
        <v>27</v>
      </c>
      <c r="D83" s="31"/>
      <c r="E83" s="31"/>
      <c r="F83" s="31"/>
      <c r="G83" s="31"/>
      <c r="H83" s="32"/>
      <c r="I83" s="38" t="s">
        <v>27</v>
      </c>
      <c r="J83" s="1" t="s">
        <v>27</v>
      </c>
      <c r="K83" s="1" t="s">
        <v>27</v>
      </c>
      <c r="L83" s="31"/>
      <c r="M83" s="31"/>
      <c r="N83" s="31"/>
      <c r="O83" s="31"/>
      <c r="P83" s="32"/>
    </row>
    <row r="84" spans="1:16">
      <c r="A84" s="38" t="s">
        <v>27</v>
      </c>
      <c r="B84" s="1" t="s">
        <v>27</v>
      </c>
      <c r="C84" s="1" t="s">
        <v>27</v>
      </c>
      <c r="D84" s="31"/>
      <c r="E84" s="31"/>
      <c r="F84" s="31"/>
      <c r="G84" s="31"/>
      <c r="H84" s="32"/>
      <c r="I84" s="38" t="s">
        <v>27</v>
      </c>
      <c r="J84" s="1" t="s">
        <v>27</v>
      </c>
      <c r="K84" s="1" t="s">
        <v>27</v>
      </c>
      <c r="L84" s="31"/>
      <c r="M84" s="31"/>
      <c r="N84" s="31"/>
      <c r="O84" s="31"/>
      <c r="P84" s="32"/>
    </row>
    <row r="85" spans="1:16">
      <c r="A85" s="38" t="s">
        <v>27</v>
      </c>
      <c r="B85" s="1" t="s">
        <v>27</v>
      </c>
      <c r="C85" s="1" t="s">
        <v>27</v>
      </c>
      <c r="D85" s="31"/>
      <c r="E85" s="31"/>
      <c r="F85" s="31"/>
      <c r="G85" s="31"/>
      <c r="H85" s="32"/>
      <c r="I85" s="38" t="s">
        <v>27</v>
      </c>
      <c r="J85" s="1" t="s">
        <v>27</v>
      </c>
      <c r="K85" s="1" t="s">
        <v>27</v>
      </c>
      <c r="L85" s="31"/>
      <c r="M85" s="31"/>
      <c r="N85" s="31"/>
      <c r="O85" s="31"/>
      <c r="P85" s="32"/>
    </row>
    <row r="86" spans="1:16">
      <c r="A86" s="38" t="s">
        <v>27</v>
      </c>
      <c r="B86" s="1" t="s">
        <v>27</v>
      </c>
      <c r="C86" s="1" t="s">
        <v>27</v>
      </c>
      <c r="D86" s="31"/>
      <c r="E86" s="31"/>
      <c r="F86" s="31"/>
      <c r="G86" s="31"/>
      <c r="H86" s="32"/>
      <c r="I86" s="38" t="s">
        <v>27</v>
      </c>
      <c r="J86" s="1" t="s">
        <v>27</v>
      </c>
      <c r="K86" s="1" t="s">
        <v>27</v>
      </c>
      <c r="L86" s="31"/>
      <c r="M86" s="31"/>
      <c r="N86" s="31"/>
      <c r="O86" s="31"/>
      <c r="P86" s="32"/>
    </row>
    <row r="87" spans="1:16">
      <c r="A87" s="38" t="s">
        <v>27</v>
      </c>
      <c r="B87" s="1" t="s">
        <v>27</v>
      </c>
      <c r="C87" s="1" t="s">
        <v>27</v>
      </c>
      <c r="D87" s="31"/>
      <c r="E87" s="31"/>
      <c r="F87" s="31"/>
      <c r="G87" s="31"/>
      <c r="H87" s="32"/>
      <c r="I87" s="38" t="s">
        <v>27</v>
      </c>
      <c r="J87" s="1" t="s">
        <v>27</v>
      </c>
      <c r="K87" s="1" t="s">
        <v>27</v>
      </c>
      <c r="L87" s="31"/>
      <c r="M87" s="31"/>
      <c r="N87" s="31"/>
      <c r="O87" s="31"/>
      <c r="P87" s="32"/>
    </row>
    <row r="88" spans="1:16">
      <c r="A88" s="38" t="s">
        <v>27</v>
      </c>
      <c r="B88" s="1" t="s">
        <v>27</v>
      </c>
      <c r="C88" s="1" t="s">
        <v>27</v>
      </c>
      <c r="D88" s="31"/>
      <c r="E88" s="31"/>
      <c r="F88" s="31"/>
      <c r="G88" s="31"/>
      <c r="H88" s="32"/>
      <c r="I88" s="38" t="s">
        <v>27</v>
      </c>
      <c r="J88" s="1" t="s">
        <v>27</v>
      </c>
      <c r="K88" s="1" t="s">
        <v>27</v>
      </c>
      <c r="L88" s="31"/>
      <c r="M88" s="31"/>
      <c r="N88" s="31"/>
      <c r="O88" s="31"/>
      <c r="P88" s="32"/>
    </row>
    <row r="89" spans="1:16">
      <c r="A89" s="38" t="s">
        <v>27</v>
      </c>
      <c r="B89" s="1" t="s">
        <v>27</v>
      </c>
      <c r="C89" s="1" t="s">
        <v>27</v>
      </c>
      <c r="D89" s="31"/>
      <c r="E89" s="31"/>
      <c r="F89" s="31"/>
      <c r="G89" s="31"/>
      <c r="H89" s="32"/>
      <c r="I89" s="38" t="s">
        <v>27</v>
      </c>
      <c r="J89" s="1" t="s">
        <v>27</v>
      </c>
      <c r="K89" s="1" t="s">
        <v>27</v>
      </c>
      <c r="L89" s="31"/>
      <c r="M89" s="31"/>
      <c r="N89" s="31"/>
      <c r="O89" s="31"/>
      <c r="P89" s="32"/>
    </row>
    <row r="90" spans="1:16">
      <c r="A90" s="38" t="s">
        <v>27</v>
      </c>
      <c r="B90" s="1" t="s">
        <v>27</v>
      </c>
      <c r="C90" s="1" t="s">
        <v>27</v>
      </c>
      <c r="D90" s="31"/>
      <c r="E90" s="31"/>
      <c r="F90" s="31"/>
      <c r="G90" s="31"/>
      <c r="H90" s="32"/>
      <c r="I90" s="38" t="s">
        <v>27</v>
      </c>
      <c r="J90" s="1" t="s">
        <v>27</v>
      </c>
      <c r="K90" s="1" t="s">
        <v>27</v>
      </c>
      <c r="L90" s="31"/>
      <c r="M90" s="31"/>
      <c r="N90" s="31"/>
      <c r="O90" s="31"/>
      <c r="P90" s="32"/>
    </row>
    <row r="91" spans="1:16">
      <c r="A91" s="38" t="s">
        <v>27</v>
      </c>
      <c r="B91" s="1" t="s">
        <v>27</v>
      </c>
      <c r="C91" s="1" t="s">
        <v>27</v>
      </c>
      <c r="D91" s="31"/>
      <c r="E91" s="31"/>
      <c r="F91" s="31"/>
      <c r="G91" s="31"/>
      <c r="H91" s="32"/>
      <c r="I91" s="38" t="s">
        <v>27</v>
      </c>
      <c r="J91" s="1" t="s">
        <v>27</v>
      </c>
      <c r="K91" s="1" t="s">
        <v>27</v>
      </c>
      <c r="L91" s="31"/>
      <c r="M91" s="31"/>
      <c r="N91" s="31"/>
      <c r="O91" s="31"/>
      <c r="P91" s="32"/>
    </row>
    <row r="92" spans="1:16">
      <c r="A92" s="38" t="s">
        <v>27</v>
      </c>
      <c r="B92" s="1" t="s">
        <v>27</v>
      </c>
      <c r="C92" s="1" t="s">
        <v>27</v>
      </c>
      <c r="D92" s="31"/>
      <c r="E92" s="31"/>
      <c r="F92" s="31"/>
      <c r="G92" s="31"/>
      <c r="H92" s="32"/>
      <c r="I92" s="38" t="s">
        <v>27</v>
      </c>
      <c r="J92" s="1" t="s">
        <v>27</v>
      </c>
      <c r="K92" s="1" t="s">
        <v>27</v>
      </c>
      <c r="L92" s="31"/>
      <c r="M92" s="31"/>
      <c r="N92" s="31"/>
      <c r="O92" s="31"/>
      <c r="P92" s="32"/>
    </row>
    <row r="93" spans="1:16">
      <c r="A93" s="38" t="s">
        <v>27</v>
      </c>
      <c r="B93" s="1" t="s">
        <v>27</v>
      </c>
      <c r="C93" s="1" t="s">
        <v>27</v>
      </c>
      <c r="D93" s="31"/>
      <c r="E93" s="31"/>
      <c r="F93" s="31"/>
      <c r="G93" s="31"/>
      <c r="H93" s="32"/>
      <c r="I93" s="38" t="s">
        <v>27</v>
      </c>
      <c r="J93" s="1" t="s">
        <v>27</v>
      </c>
      <c r="K93" s="1" t="s">
        <v>27</v>
      </c>
      <c r="L93" s="31"/>
      <c r="M93" s="31"/>
      <c r="N93" s="31"/>
      <c r="O93" s="31"/>
      <c r="P93" s="32"/>
    </row>
    <row r="94" spans="1:16">
      <c r="A94" s="38" t="s">
        <v>27</v>
      </c>
      <c r="B94" s="1" t="s">
        <v>27</v>
      </c>
      <c r="C94" s="1" t="s">
        <v>27</v>
      </c>
      <c r="D94" s="31"/>
      <c r="E94" s="31"/>
      <c r="F94" s="31"/>
      <c r="G94" s="31"/>
      <c r="H94" s="32"/>
      <c r="I94" s="38" t="s">
        <v>27</v>
      </c>
      <c r="J94" s="1" t="s">
        <v>27</v>
      </c>
      <c r="K94" s="1" t="s">
        <v>27</v>
      </c>
      <c r="L94" s="31"/>
      <c r="M94" s="31"/>
      <c r="N94" s="31"/>
      <c r="O94" s="31"/>
      <c r="P94" s="32"/>
    </row>
    <row r="95" spans="1:16">
      <c r="A95" s="38" t="s">
        <v>27</v>
      </c>
      <c r="B95" s="1" t="s">
        <v>27</v>
      </c>
      <c r="C95" s="1" t="s">
        <v>27</v>
      </c>
      <c r="D95" s="31"/>
      <c r="E95" s="31"/>
      <c r="F95" s="31"/>
      <c r="G95" s="31"/>
      <c r="H95" s="32"/>
      <c r="I95" s="38" t="s">
        <v>27</v>
      </c>
      <c r="J95" s="1" t="s">
        <v>27</v>
      </c>
      <c r="K95" s="1" t="s">
        <v>27</v>
      </c>
      <c r="L95" s="31"/>
      <c r="M95" s="31"/>
      <c r="N95" s="31"/>
      <c r="O95" s="31"/>
      <c r="P95" s="32"/>
    </row>
    <row r="96" spans="1:16">
      <c r="A96" s="38" t="s">
        <v>27</v>
      </c>
      <c r="B96" s="1" t="s">
        <v>27</v>
      </c>
      <c r="C96" s="1" t="s">
        <v>27</v>
      </c>
      <c r="D96" s="31"/>
      <c r="E96" s="31"/>
      <c r="F96" s="31"/>
      <c r="G96" s="31"/>
      <c r="H96" s="32"/>
      <c r="I96" s="38" t="s">
        <v>27</v>
      </c>
      <c r="J96" s="1" t="s">
        <v>27</v>
      </c>
      <c r="K96" s="1" t="s">
        <v>27</v>
      </c>
      <c r="L96" s="31"/>
      <c r="M96" s="31"/>
      <c r="N96" s="31"/>
      <c r="O96" s="31"/>
      <c r="P96" s="32"/>
    </row>
    <row r="97" spans="1:16">
      <c r="A97" s="38" t="s">
        <v>27</v>
      </c>
      <c r="B97" s="1" t="s">
        <v>27</v>
      </c>
      <c r="C97" s="1" t="s">
        <v>27</v>
      </c>
      <c r="D97" s="31"/>
      <c r="E97" s="31"/>
      <c r="F97" s="31"/>
      <c r="G97" s="31"/>
      <c r="H97" s="32"/>
      <c r="I97" s="38" t="s">
        <v>27</v>
      </c>
      <c r="J97" s="1" t="s">
        <v>27</v>
      </c>
      <c r="K97" s="1" t="s">
        <v>27</v>
      </c>
      <c r="L97" s="31"/>
      <c r="M97" s="31"/>
      <c r="N97" s="31"/>
      <c r="O97" s="31"/>
      <c r="P97" s="32"/>
    </row>
    <row r="98" spans="1:16">
      <c r="A98" s="38" t="s">
        <v>27</v>
      </c>
      <c r="B98" s="1" t="s">
        <v>27</v>
      </c>
      <c r="C98" s="1" t="s">
        <v>27</v>
      </c>
      <c r="D98" s="31"/>
      <c r="E98" s="31"/>
      <c r="F98" s="31"/>
      <c r="G98" s="31"/>
      <c r="H98" s="32"/>
      <c r="I98" s="38" t="s">
        <v>27</v>
      </c>
      <c r="J98" s="1" t="s">
        <v>27</v>
      </c>
      <c r="K98" s="1" t="s">
        <v>27</v>
      </c>
      <c r="L98" s="31"/>
      <c r="M98" s="31"/>
      <c r="N98" s="31"/>
      <c r="O98" s="31"/>
      <c r="P98" s="32"/>
    </row>
    <row r="99" spans="1:16">
      <c r="A99" s="38" t="s">
        <v>27</v>
      </c>
      <c r="B99" s="1" t="s">
        <v>27</v>
      </c>
      <c r="C99" s="1" t="s">
        <v>27</v>
      </c>
      <c r="D99" s="31"/>
      <c r="E99" s="31"/>
      <c r="F99" s="31"/>
      <c r="G99" s="31"/>
      <c r="H99" s="32"/>
      <c r="I99" s="38" t="s">
        <v>27</v>
      </c>
      <c r="J99" s="1" t="s">
        <v>27</v>
      </c>
      <c r="K99" s="1" t="s">
        <v>27</v>
      </c>
      <c r="L99" s="31"/>
      <c r="M99" s="31"/>
      <c r="N99" s="31"/>
      <c r="O99" s="31"/>
      <c r="P99" s="32"/>
    </row>
    <row r="100" spans="1:16" ht="15" thickBot="1">
      <c r="A100" s="39" t="s">
        <v>27</v>
      </c>
      <c r="B100" s="40" t="s">
        <v>27</v>
      </c>
      <c r="C100" s="40" t="s">
        <v>27</v>
      </c>
      <c r="D100" s="41"/>
      <c r="E100" s="41"/>
      <c r="F100" s="41"/>
      <c r="G100" s="41"/>
      <c r="H100" s="42"/>
      <c r="I100" s="39" t="s">
        <v>27</v>
      </c>
      <c r="J100" s="40" t="s">
        <v>27</v>
      </c>
      <c r="K100" s="40" t="s">
        <v>27</v>
      </c>
      <c r="L100" s="41"/>
      <c r="M100" s="41"/>
      <c r="N100" s="41"/>
      <c r="O100" s="41"/>
      <c r="P100" s="4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1EA5-3BCE-45B2-8FE9-4F7F483E7C01}">
  <dimension ref="A1:AB100"/>
  <sheetViews>
    <sheetView workbookViewId="0">
      <selection activeCell="V17" sqref="V17"/>
    </sheetView>
  </sheetViews>
  <sheetFormatPr defaultRowHeight="14.4"/>
  <sheetData>
    <row r="1" spans="1:28" ht="15.6">
      <c r="A1" s="70" t="s">
        <v>30</v>
      </c>
      <c r="B1" s="71"/>
      <c r="C1" s="71"/>
      <c r="D1" s="71"/>
      <c r="E1" s="71"/>
      <c r="F1" s="72" t="s">
        <v>3</v>
      </c>
      <c r="G1" s="72"/>
      <c r="H1" s="27" cm="1">
        <f t="array" ref="H1">SUM(VLOOKUP(A4:C100,$T$3:$W$36,4,FALSE))+H4*10-H8*50</f>
        <v>2489.7752794047424</v>
      </c>
      <c r="I1" s="73" t="s">
        <v>41</v>
      </c>
      <c r="J1" s="74"/>
      <c r="K1" s="74"/>
      <c r="L1" s="74"/>
      <c r="M1" s="74"/>
      <c r="N1" s="74"/>
      <c r="O1" s="74"/>
      <c r="P1" s="75"/>
      <c r="Q1" s="73" t="s">
        <v>48</v>
      </c>
      <c r="R1" s="74"/>
      <c r="S1" s="74"/>
      <c r="T1" s="74"/>
      <c r="U1" s="74"/>
      <c r="V1" s="74"/>
      <c r="W1" s="74"/>
      <c r="X1" s="74"/>
      <c r="Y1" s="74"/>
      <c r="Z1" s="74"/>
      <c r="AA1" s="74"/>
      <c r="AB1" s="75"/>
    </row>
    <row r="2" spans="1:28" ht="28.8">
      <c r="A2" s="76" t="s">
        <v>35</v>
      </c>
      <c r="B2" s="77"/>
      <c r="C2" s="77"/>
      <c r="D2" s="78" t="s">
        <v>37</v>
      </c>
      <c r="E2" s="79"/>
      <c r="F2" s="79"/>
      <c r="G2" s="79"/>
      <c r="H2" s="80"/>
      <c r="I2" s="81" t="s">
        <v>35</v>
      </c>
      <c r="J2" s="82"/>
      <c r="K2" s="82"/>
      <c r="L2" s="83" t="s">
        <v>37</v>
      </c>
      <c r="M2" s="83"/>
      <c r="N2" s="83"/>
      <c r="O2" s="83"/>
      <c r="P2" s="84"/>
      <c r="Q2" s="60" t="s">
        <v>43</v>
      </c>
      <c r="R2" s="61" cm="1">
        <f t="array" ref="R2">SUM(V3:V28*AB3:AB28)+H6+P6+R4*500</f>
        <v>65150</v>
      </c>
      <c r="S2" s="31"/>
      <c r="T2" s="1" t="s">
        <v>0</v>
      </c>
      <c r="U2" s="1" t="s">
        <v>1</v>
      </c>
      <c r="V2" s="1" t="s">
        <v>2</v>
      </c>
      <c r="W2" s="54" t="s">
        <v>3</v>
      </c>
      <c r="X2" s="56" t="s">
        <v>44</v>
      </c>
      <c r="Y2" s="56" t="s">
        <v>56</v>
      </c>
      <c r="Z2" s="57" t="s">
        <v>45</v>
      </c>
      <c r="AA2" s="57" t="s">
        <v>46</v>
      </c>
      <c r="AB2" s="62" t="s">
        <v>47</v>
      </c>
    </row>
    <row r="3" spans="1:28">
      <c r="A3" s="28" t="s">
        <v>31</v>
      </c>
      <c r="B3" s="68" t="s">
        <v>32</v>
      </c>
      <c r="C3" s="20" t="s">
        <v>33</v>
      </c>
      <c r="D3" s="43"/>
      <c r="E3" s="28" t="s">
        <v>31</v>
      </c>
      <c r="F3" s="68" t="s">
        <v>32</v>
      </c>
      <c r="G3" s="20" t="s">
        <v>33</v>
      </c>
      <c r="H3" s="44" t="s">
        <v>36</v>
      </c>
      <c r="I3" s="28" t="s">
        <v>31</v>
      </c>
      <c r="J3" s="68" t="s">
        <v>32</v>
      </c>
      <c r="K3" s="20" t="s">
        <v>33</v>
      </c>
      <c r="L3" s="43"/>
      <c r="M3" s="28" t="s">
        <v>31</v>
      </c>
      <c r="N3" s="68" t="s">
        <v>32</v>
      </c>
      <c r="O3" s="20" t="s">
        <v>33</v>
      </c>
      <c r="P3" s="44" t="s">
        <v>36</v>
      </c>
      <c r="Q3" s="63" t="s">
        <v>49</v>
      </c>
      <c r="R3" s="31">
        <v>91</v>
      </c>
      <c r="S3" s="31"/>
      <c r="T3" s="2" t="s">
        <v>4</v>
      </c>
      <c r="U3" s="1">
        <v>150</v>
      </c>
      <c r="V3" s="1">
        <v>35</v>
      </c>
      <c r="W3" s="55">
        <f>U3-V3/0.330882</f>
        <v>44.222109392472248</v>
      </c>
      <c r="X3" s="56"/>
      <c r="Y3" s="56">
        <v>10</v>
      </c>
      <c r="Z3" s="1">
        <f>COUNTIF($A$4:$C$100,T3)</f>
        <v>6</v>
      </c>
      <c r="AA3" s="1">
        <f>COUNTIF($I$4:$K$100,T3)</f>
        <v>4</v>
      </c>
      <c r="AB3" s="64">
        <f>Y3-Z3-AA3</f>
        <v>0</v>
      </c>
    </row>
    <row r="4" spans="1:28">
      <c r="A4" s="2" t="s">
        <v>4</v>
      </c>
      <c r="B4" s="15" t="s">
        <v>17</v>
      </c>
      <c r="C4" s="3" t="s">
        <v>5</v>
      </c>
      <c r="D4" s="53" t="s">
        <v>34</v>
      </c>
      <c r="E4" s="49">
        <v>5</v>
      </c>
      <c r="F4" s="49">
        <v>0</v>
      </c>
      <c r="G4" s="49">
        <v>1</v>
      </c>
      <c r="H4" s="46">
        <f>SUM(E4:G4)</f>
        <v>6</v>
      </c>
      <c r="I4" s="1" t="s">
        <v>27</v>
      </c>
      <c r="J4" s="15" t="s">
        <v>17</v>
      </c>
      <c r="K4" s="1" t="s">
        <v>27</v>
      </c>
      <c r="L4" s="53" t="s">
        <v>34</v>
      </c>
      <c r="M4" s="49">
        <v>0</v>
      </c>
      <c r="N4" s="49">
        <v>2</v>
      </c>
      <c r="O4" s="49">
        <v>0</v>
      </c>
      <c r="P4" s="46">
        <f>SUM(M4:O4)</f>
        <v>2</v>
      </c>
      <c r="Q4" s="63" t="s">
        <v>50</v>
      </c>
      <c r="R4" s="50">
        <v>14</v>
      </c>
      <c r="S4" s="31"/>
      <c r="T4" s="3" t="s">
        <v>5</v>
      </c>
      <c r="U4" s="1">
        <v>160</v>
      </c>
      <c r="V4" s="1">
        <v>40</v>
      </c>
      <c r="W4" s="55">
        <f t="shared" ref="W4" si="0">U4-V4/0.330882</f>
        <v>39.110982162825422</v>
      </c>
      <c r="X4" s="56"/>
      <c r="Y4" s="56">
        <v>59</v>
      </c>
      <c r="Z4" s="1">
        <f t="shared" ref="Z4:Z28" si="1">COUNTIF($A$4:$C$100,T4)</f>
        <v>13</v>
      </c>
      <c r="AA4" s="1">
        <f t="shared" ref="AA4:AA28" si="2">COUNTIF($I$4:$K$100,T4)</f>
        <v>46</v>
      </c>
      <c r="AB4" s="64">
        <f t="shared" ref="AB4:AB28" si="3">Y4-Z4-AA4</f>
        <v>0</v>
      </c>
    </row>
    <row r="5" spans="1:28">
      <c r="A5" s="2" t="s">
        <v>4</v>
      </c>
      <c r="B5" s="3" t="s">
        <v>5</v>
      </c>
      <c r="C5" s="16" t="s">
        <v>18</v>
      </c>
      <c r="D5" s="43" t="s">
        <v>38</v>
      </c>
      <c r="E5" s="45" cm="1">
        <f t="array" ref="E5">(SUM(VLOOKUP(A4:A100,$T$3:$W$41,2,FALSE))+E4*10)-E8*50</f>
        <v>5670</v>
      </c>
      <c r="F5" s="45" cm="1">
        <f t="array" ref="F5">(SUM(VLOOKUP(B4:B100,$T$3:$W$41,2,FALSE))+F4*10)-F8*50</f>
        <v>850</v>
      </c>
      <c r="G5" s="45" cm="1">
        <f t="array" ref="G5">(SUM(VLOOKUP(C4:C100,$T$3:$W$41,2,FALSE))+G4*10)-G8*50</f>
        <v>6130</v>
      </c>
      <c r="H5" s="69">
        <f t="shared" ref="H5:H8" si="4">SUM(E5:G5)</f>
        <v>12650</v>
      </c>
      <c r="I5" s="1" t="s">
        <v>27</v>
      </c>
      <c r="J5" s="3" t="s">
        <v>5</v>
      </c>
      <c r="K5" s="1" t="s">
        <v>27</v>
      </c>
      <c r="L5" s="43" t="s">
        <v>38</v>
      </c>
      <c r="M5" s="45" cm="1">
        <f t="array" ref="M5">(SUM(VLOOKUP(I4:I100,$T$3:$W$41,2,FALSE))+M4*10)*0.8-M8*40</f>
        <v>0</v>
      </c>
      <c r="N5" s="45" cm="1">
        <f t="array" ref="N5">(SUM(VLOOKUP(J4:J100,$T$3:$W$41,2,FALSE))+N4*10)*0.8-N8*40</f>
        <v>6744</v>
      </c>
      <c r="O5" s="45" cm="1">
        <f t="array" ref="O5">(SUM(VLOOKUP(K4:K100,$T$3:$W$41,2,FALSE))+O4*10)*0.8-O8*40</f>
        <v>0</v>
      </c>
      <c r="P5" s="69">
        <f t="shared" ref="P5:P8" si="5">SUM(M5:O5)</f>
        <v>6744</v>
      </c>
      <c r="Q5" s="63" t="s">
        <v>51</v>
      </c>
      <c r="R5" s="31">
        <v>6000</v>
      </c>
      <c r="S5" s="31"/>
      <c r="T5" s="4" t="s">
        <v>6</v>
      </c>
      <c r="U5" s="1">
        <v>170</v>
      </c>
      <c r="V5" s="1">
        <v>45</v>
      </c>
      <c r="W5" s="55">
        <v>34</v>
      </c>
      <c r="X5" s="58"/>
      <c r="Y5" s="56">
        <v>230</v>
      </c>
      <c r="Z5" s="1">
        <f t="shared" si="1"/>
        <v>48</v>
      </c>
      <c r="AA5" s="1">
        <f t="shared" si="2"/>
        <v>0</v>
      </c>
      <c r="AB5" s="64">
        <f t="shared" si="3"/>
        <v>182</v>
      </c>
    </row>
    <row r="6" spans="1:28">
      <c r="A6" s="2" t="s">
        <v>4</v>
      </c>
      <c r="B6" s="3" t="s">
        <v>5</v>
      </c>
      <c r="C6" s="3" t="s">
        <v>5</v>
      </c>
      <c r="D6" s="43" t="s">
        <v>39</v>
      </c>
      <c r="E6" s="45" cm="1">
        <f t="array" ref="E6">(SUM(VLOOKUP(A4:A100,$T$3:$W$41,3,FALSE)))</f>
        <v>1780</v>
      </c>
      <c r="F6" s="45" cm="1">
        <f t="array" ref="F6">(SUM(VLOOKUP(B4:B100,$T$3:$W$41,3,FALSE)))</f>
        <v>230</v>
      </c>
      <c r="G6" s="45" cm="1">
        <f t="array" ref="G6">(SUM(VLOOKUP(C4:C100,$T$3:$W$41,3,FALSE)))</f>
        <v>2360</v>
      </c>
      <c r="H6" s="59">
        <f t="shared" si="4"/>
        <v>4370</v>
      </c>
      <c r="I6" s="1" t="s">
        <v>27</v>
      </c>
      <c r="J6" s="3" t="s">
        <v>5</v>
      </c>
      <c r="K6" s="1" t="s">
        <v>27</v>
      </c>
      <c r="L6" s="43" t="s">
        <v>39</v>
      </c>
      <c r="M6" s="45" cm="1">
        <f t="array" ref="M6">(SUM(VLOOKUP(I4:I100,$T$3:$W$41,3,FALSE)))</f>
        <v>0</v>
      </c>
      <c r="N6" s="45" cm="1">
        <f t="array" ref="N6">(SUM(VLOOKUP(J4:J100,$T$3:$W$41,3,FALSE)))</f>
        <v>2450</v>
      </c>
      <c r="O6" s="45" cm="1">
        <f t="array" ref="O6">(SUM(VLOOKUP(K4:K100,$T$3:$W$41,3,FALSE)))</f>
        <v>0</v>
      </c>
      <c r="P6" s="59">
        <f t="shared" si="5"/>
        <v>2450</v>
      </c>
      <c r="Q6" s="60" t="s">
        <v>52</v>
      </c>
      <c r="R6" s="31">
        <f>R3*1600-800+R5</f>
        <v>150800</v>
      </c>
      <c r="S6" s="31"/>
      <c r="T6" s="5" t="s">
        <v>7</v>
      </c>
      <c r="U6" s="1">
        <v>180</v>
      </c>
      <c r="V6" s="1">
        <v>50</v>
      </c>
      <c r="W6" s="55">
        <v>36</v>
      </c>
      <c r="X6" s="56">
        <v>265</v>
      </c>
      <c r="Y6" s="56">
        <v>265</v>
      </c>
      <c r="Z6" s="1">
        <f t="shared" si="1"/>
        <v>0</v>
      </c>
      <c r="AA6" s="1">
        <f t="shared" si="2"/>
        <v>0</v>
      </c>
      <c r="AB6" s="64">
        <f t="shared" si="3"/>
        <v>265</v>
      </c>
    </row>
    <row r="7" spans="1:28">
      <c r="A7" s="2" t="s">
        <v>4</v>
      </c>
      <c r="B7" s="3" t="s">
        <v>5</v>
      </c>
      <c r="C7" s="23" t="s">
        <v>29</v>
      </c>
      <c r="D7" s="43" t="s">
        <v>40</v>
      </c>
      <c r="E7" s="45">
        <f>COUNTIF(A4:A100,"&lt;&gt;空")</f>
        <v>35</v>
      </c>
      <c r="F7" s="45">
        <f>COUNTIF(B4:B100,"&lt;&gt;空")</f>
        <v>6</v>
      </c>
      <c r="G7" s="45">
        <f>COUNTIF(C4:C100,"&lt;&gt;空")</f>
        <v>42</v>
      </c>
      <c r="H7" s="46">
        <f t="shared" si="4"/>
        <v>83</v>
      </c>
      <c r="I7" s="1" t="s">
        <v>27</v>
      </c>
      <c r="J7" s="3" t="s">
        <v>5</v>
      </c>
      <c r="K7" s="1" t="s">
        <v>27</v>
      </c>
      <c r="L7" s="43" t="s">
        <v>40</v>
      </c>
      <c r="M7" s="45">
        <f>COUNTIF(I4:I100,"&lt;&gt;空")</f>
        <v>0</v>
      </c>
      <c r="N7" s="45">
        <f>COUNTIF(J4:J100,"&lt;&gt;空")</f>
        <v>67</v>
      </c>
      <c r="O7" s="45">
        <f>COUNTIF(K4:K100,"&lt;&gt;空")</f>
        <v>0</v>
      </c>
      <c r="P7" s="46">
        <f t="shared" si="5"/>
        <v>67</v>
      </c>
      <c r="Q7" s="63" t="s">
        <v>55</v>
      </c>
      <c r="R7" s="31">
        <v>13</v>
      </c>
      <c r="S7" s="31"/>
      <c r="T7" s="6" t="s">
        <v>8</v>
      </c>
      <c r="U7" s="1">
        <v>190</v>
      </c>
      <c r="V7" s="1">
        <v>55</v>
      </c>
      <c r="W7" s="55">
        <v>38</v>
      </c>
      <c r="X7" s="56">
        <v>234</v>
      </c>
      <c r="Y7" s="56">
        <v>234</v>
      </c>
      <c r="Z7" s="1">
        <f t="shared" si="1"/>
        <v>0</v>
      </c>
      <c r="AA7" s="1">
        <f t="shared" si="2"/>
        <v>0</v>
      </c>
      <c r="AB7" s="64">
        <f t="shared" si="3"/>
        <v>234</v>
      </c>
    </row>
    <row r="8" spans="1:28">
      <c r="A8" s="2" t="s">
        <v>4</v>
      </c>
      <c r="B8" s="3" t="s">
        <v>5</v>
      </c>
      <c r="C8" s="3" t="s">
        <v>5</v>
      </c>
      <c r="D8" s="52" t="s">
        <v>53</v>
      </c>
      <c r="E8" s="51">
        <v>1</v>
      </c>
      <c r="F8" s="51">
        <v>0</v>
      </c>
      <c r="G8" s="51">
        <v>0</v>
      </c>
      <c r="H8" s="46">
        <f t="shared" si="4"/>
        <v>1</v>
      </c>
      <c r="I8" s="1" t="s">
        <v>27</v>
      </c>
      <c r="J8" s="3" t="s">
        <v>5</v>
      </c>
      <c r="K8" s="1" t="s">
        <v>27</v>
      </c>
      <c r="L8" s="52" t="s">
        <v>53</v>
      </c>
      <c r="M8" s="51">
        <v>0</v>
      </c>
      <c r="N8" s="51">
        <v>2</v>
      </c>
      <c r="O8" s="51">
        <v>0</v>
      </c>
      <c r="P8" s="46">
        <f t="shared" si="5"/>
        <v>2</v>
      </c>
      <c r="Q8" s="60" t="s">
        <v>54</v>
      </c>
      <c r="R8" s="65" cm="1">
        <f t="array" ref="R8">R6-P5-H5-SUM(U3:U28*AB3:AB28)*0.8-R7*8</f>
        <v>22</v>
      </c>
      <c r="S8" s="31"/>
      <c r="T8" s="7" t="s">
        <v>9</v>
      </c>
      <c r="U8" s="1">
        <v>200</v>
      </c>
      <c r="V8" s="1">
        <v>60</v>
      </c>
      <c r="W8" s="55"/>
      <c r="X8" s="56">
        <v>194</v>
      </c>
      <c r="Y8" s="56">
        <v>194</v>
      </c>
      <c r="Z8" s="1">
        <f t="shared" si="1"/>
        <v>0</v>
      </c>
      <c r="AA8" s="1">
        <f t="shared" si="2"/>
        <v>0</v>
      </c>
      <c r="AB8" s="64">
        <f t="shared" si="3"/>
        <v>194</v>
      </c>
    </row>
    <row r="9" spans="1:28">
      <c r="A9" s="2" t="s">
        <v>4</v>
      </c>
      <c r="B9" s="3" t="s">
        <v>5</v>
      </c>
      <c r="C9" s="3" t="s">
        <v>5</v>
      </c>
      <c r="D9" s="31"/>
      <c r="E9" s="31"/>
      <c r="F9" s="31"/>
      <c r="G9" s="31"/>
      <c r="H9" s="32"/>
      <c r="I9" s="1" t="s">
        <v>27</v>
      </c>
      <c r="J9" s="15" t="s">
        <v>17</v>
      </c>
      <c r="K9" s="1" t="s">
        <v>27</v>
      </c>
      <c r="L9" s="43" t="s">
        <v>42</v>
      </c>
      <c r="M9" s="47" t="e">
        <f>M6/M5</f>
        <v>#DIV/0!</v>
      </c>
      <c r="N9" s="47">
        <f>N6/N5</f>
        <v>0.36328588374851722</v>
      </c>
      <c r="O9" s="47" t="e">
        <f>O6/O5</f>
        <v>#DIV/0!</v>
      </c>
      <c r="P9" s="48">
        <f>P6/P5</f>
        <v>0.36328588374851722</v>
      </c>
      <c r="Q9" s="60"/>
      <c r="R9" s="31"/>
      <c r="S9" s="31"/>
      <c r="T9" s="8" t="s">
        <v>10</v>
      </c>
      <c r="U9" s="1">
        <v>150</v>
      </c>
      <c r="V9" s="1">
        <v>35</v>
      </c>
      <c r="W9" s="55">
        <f t="shared" ref="W9:W11" si="6">U9-V9/0.330882</f>
        <v>44.222109392472248</v>
      </c>
      <c r="X9" s="56">
        <v>3</v>
      </c>
      <c r="Y9" s="56">
        <v>0</v>
      </c>
      <c r="Z9" s="1">
        <f t="shared" si="1"/>
        <v>0</v>
      </c>
      <c r="AA9" s="1">
        <f t="shared" si="2"/>
        <v>0</v>
      </c>
      <c r="AB9" s="64">
        <f t="shared" si="3"/>
        <v>0</v>
      </c>
    </row>
    <row r="10" spans="1:28">
      <c r="A10" s="1" t="s">
        <v>27</v>
      </c>
      <c r="B10" s="1" t="s">
        <v>27</v>
      </c>
      <c r="C10" s="3" t="s">
        <v>5</v>
      </c>
      <c r="D10" s="31"/>
      <c r="E10" s="31"/>
      <c r="F10" s="31"/>
      <c r="G10" s="31"/>
      <c r="H10" s="32"/>
      <c r="I10" s="1" t="s">
        <v>27</v>
      </c>
      <c r="J10" s="1" t="s">
        <v>27</v>
      </c>
      <c r="K10" s="1" t="s">
        <v>27</v>
      </c>
      <c r="L10" s="31"/>
      <c r="M10" s="31"/>
      <c r="N10" s="31"/>
      <c r="O10" s="31"/>
      <c r="P10" s="32"/>
      <c r="Q10" s="60"/>
      <c r="R10" s="31"/>
      <c r="S10" s="31"/>
      <c r="T10" s="9" t="s">
        <v>11</v>
      </c>
      <c r="U10" s="1">
        <v>150</v>
      </c>
      <c r="V10" s="1">
        <v>40</v>
      </c>
      <c r="W10" s="55">
        <f t="shared" si="6"/>
        <v>29.110982162825422</v>
      </c>
      <c r="X10" s="56">
        <v>7</v>
      </c>
      <c r="Y10" s="56">
        <v>2</v>
      </c>
      <c r="Z10" s="1">
        <f t="shared" si="1"/>
        <v>0</v>
      </c>
      <c r="AA10" s="1">
        <f t="shared" si="2"/>
        <v>2</v>
      </c>
      <c r="AB10" s="64">
        <f t="shared" si="3"/>
        <v>0</v>
      </c>
    </row>
    <row r="11" spans="1:28">
      <c r="A11" s="1" t="s">
        <v>27</v>
      </c>
      <c r="B11" s="1" t="s">
        <v>27</v>
      </c>
      <c r="C11" s="3" t="s">
        <v>5</v>
      </c>
      <c r="D11" s="31"/>
      <c r="E11" s="31"/>
      <c r="F11" s="31"/>
      <c r="G11" s="31"/>
      <c r="H11" s="32"/>
      <c r="I11" s="1" t="s">
        <v>27</v>
      </c>
      <c r="J11" s="3" t="s">
        <v>5</v>
      </c>
      <c r="K11" s="1" t="s">
        <v>27</v>
      </c>
      <c r="L11" s="31"/>
      <c r="M11" s="31"/>
      <c r="N11" s="31"/>
      <c r="O11" s="31"/>
      <c r="P11" s="32">
        <f>H5+P5</f>
        <v>19394</v>
      </c>
      <c r="Q11" s="60"/>
      <c r="R11" s="31"/>
      <c r="S11" s="31"/>
      <c r="T11" s="10" t="s">
        <v>12</v>
      </c>
      <c r="U11" s="1">
        <v>150</v>
      </c>
      <c r="V11" s="1">
        <v>45</v>
      </c>
      <c r="W11" s="55">
        <f t="shared" si="6"/>
        <v>13.999854933178597</v>
      </c>
      <c r="X11" s="56">
        <v>6</v>
      </c>
      <c r="Y11" s="56">
        <v>6</v>
      </c>
      <c r="Z11" s="1">
        <f t="shared" si="1"/>
        <v>1</v>
      </c>
      <c r="AA11" s="1">
        <f t="shared" si="2"/>
        <v>0</v>
      </c>
      <c r="AB11" s="64">
        <f t="shared" si="3"/>
        <v>5</v>
      </c>
    </row>
    <row r="12" spans="1:28">
      <c r="A12" s="1" t="s">
        <v>27</v>
      </c>
      <c r="B12" s="1" t="s">
        <v>27</v>
      </c>
      <c r="C12" s="3" t="s">
        <v>5</v>
      </c>
      <c r="D12" s="31"/>
      <c r="E12" s="31"/>
      <c r="F12" s="31"/>
      <c r="G12" s="31"/>
      <c r="H12" s="32"/>
      <c r="I12" s="1" t="s">
        <v>27</v>
      </c>
      <c r="J12" s="16" t="s">
        <v>28</v>
      </c>
      <c r="K12" s="1" t="s">
        <v>27</v>
      </c>
      <c r="L12" s="31"/>
      <c r="M12" s="31"/>
      <c r="N12" s="31"/>
      <c r="O12" s="31"/>
      <c r="P12" s="32">
        <f>H6+P6</f>
        <v>6820</v>
      </c>
      <c r="Q12" s="60"/>
      <c r="R12" s="31"/>
      <c r="S12" s="31"/>
      <c r="T12" s="11" t="s">
        <v>13</v>
      </c>
      <c r="U12" s="1">
        <v>150</v>
      </c>
      <c r="V12" s="1">
        <v>50</v>
      </c>
      <c r="W12" s="55"/>
      <c r="X12" s="56">
        <v>4</v>
      </c>
      <c r="Y12" s="56">
        <v>4</v>
      </c>
      <c r="Z12" s="1">
        <f t="shared" si="1"/>
        <v>0</v>
      </c>
      <c r="AA12" s="1">
        <f t="shared" si="2"/>
        <v>0</v>
      </c>
      <c r="AB12" s="64">
        <f t="shared" si="3"/>
        <v>4</v>
      </c>
    </row>
    <row r="13" spans="1:28">
      <c r="A13" s="1" t="s">
        <v>27</v>
      </c>
      <c r="B13" s="1" t="s">
        <v>27</v>
      </c>
      <c r="C13" s="3" t="s">
        <v>5</v>
      </c>
      <c r="D13" s="31"/>
      <c r="E13" s="31"/>
      <c r="F13" s="31"/>
      <c r="G13" s="31"/>
      <c r="H13" s="32"/>
      <c r="I13" s="1" t="s">
        <v>27</v>
      </c>
      <c r="J13" s="3" t="s">
        <v>5</v>
      </c>
      <c r="K13" s="1" t="s">
        <v>27</v>
      </c>
      <c r="L13" s="31"/>
      <c r="M13" s="31"/>
      <c r="N13" s="31"/>
      <c r="O13" s="31"/>
      <c r="P13" s="32"/>
      <c r="Q13" s="60"/>
      <c r="R13" s="31"/>
      <c r="S13" s="31"/>
      <c r="T13" s="12" t="s">
        <v>14</v>
      </c>
      <c r="U13" s="1">
        <v>150</v>
      </c>
      <c r="V13" s="1">
        <v>55</v>
      </c>
      <c r="W13" s="55"/>
      <c r="X13" s="56">
        <v>3</v>
      </c>
      <c r="Y13" s="56">
        <v>3</v>
      </c>
      <c r="Z13" s="1">
        <f t="shared" si="1"/>
        <v>0</v>
      </c>
      <c r="AA13" s="1">
        <f t="shared" si="2"/>
        <v>0</v>
      </c>
      <c r="AB13" s="64">
        <f t="shared" si="3"/>
        <v>3</v>
      </c>
    </row>
    <row r="14" spans="1:28">
      <c r="A14" s="1" t="s">
        <v>27</v>
      </c>
      <c r="B14" s="1" t="s">
        <v>27</v>
      </c>
      <c r="C14" s="4" t="s">
        <v>6</v>
      </c>
      <c r="D14" s="31"/>
      <c r="E14" s="31"/>
      <c r="F14" s="31"/>
      <c r="G14" s="31"/>
      <c r="H14" s="32"/>
      <c r="I14" s="1" t="s">
        <v>27</v>
      </c>
      <c r="J14" s="3" t="s">
        <v>5</v>
      </c>
      <c r="K14" s="1" t="s">
        <v>27</v>
      </c>
      <c r="L14" s="31"/>
      <c r="M14" s="31"/>
      <c r="N14" s="31"/>
      <c r="O14" s="31"/>
      <c r="P14" s="32"/>
      <c r="Q14" s="60"/>
      <c r="R14" s="31"/>
      <c r="S14" s="31"/>
      <c r="T14" s="13" t="s">
        <v>15</v>
      </c>
      <c r="U14" s="1">
        <v>150</v>
      </c>
      <c r="V14" s="1">
        <v>60</v>
      </c>
      <c r="W14" s="55"/>
      <c r="X14" s="56">
        <v>1</v>
      </c>
      <c r="Y14" s="56">
        <v>1</v>
      </c>
      <c r="Z14" s="1">
        <f t="shared" si="1"/>
        <v>0</v>
      </c>
      <c r="AA14" s="1">
        <f t="shared" si="2"/>
        <v>0</v>
      </c>
      <c r="AB14" s="64">
        <f t="shared" si="3"/>
        <v>1</v>
      </c>
    </row>
    <row r="15" spans="1:28">
      <c r="A15" s="4" t="s">
        <v>6</v>
      </c>
      <c r="B15" s="1" t="s">
        <v>27</v>
      </c>
      <c r="C15" s="4" t="s">
        <v>6</v>
      </c>
      <c r="D15" s="31"/>
      <c r="E15" s="31"/>
      <c r="F15" s="31"/>
      <c r="G15" s="31"/>
      <c r="H15" s="32"/>
      <c r="I15" s="1" t="s">
        <v>27</v>
      </c>
      <c r="J15" s="3" t="s">
        <v>5</v>
      </c>
      <c r="K15" s="1" t="s">
        <v>27</v>
      </c>
      <c r="L15" s="31"/>
      <c r="M15" s="31"/>
      <c r="N15" s="31"/>
      <c r="O15" s="31"/>
      <c r="P15" s="32"/>
      <c r="Q15" s="60"/>
      <c r="R15" s="31"/>
      <c r="S15" s="31"/>
      <c r="T15" s="14" t="s">
        <v>16</v>
      </c>
      <c r="U15" s="1">
        <v>150</v>
      </c>
      <c r="V15" s="1">
        <v>35</v>
      </c>
      <c r="W15" s="55">
        <f t="shared" ref="W15" si="7">U15-V15/0.330882</f>
        <v>44.222109392472248</v>
      </c>
      <c r="X15" s="56"/>
      <c r="Y15" s="56">
        <v>0</v>
      </c>
      <c r="Z15" s="1">
        <f t="shared" si="1"/>
        <v>0</v>
      </c>
      <c r="AA15" s="1">
        <f t="shared" si="2"/>
        <v>0</v>
      </c>
      <c r="AB15" s="64">
        <f t="shared" si="3"/>
        <v>0</v>
      </c>
    </row>
    <row r="16" spans="1:28">
      <c r="A16" s="4" t="s">
        <v>6</v>
      </c>
      <c r="B16" s="1" t="s">
        <v>27</v>
      </c>
      <c r="C16" s="15" t="s">
        <v>17</v>
      </c>
      <c r="D16" s="31"/>
      <c r="E16" s="31"/>
      <c r="F16" s="31"/>
      <c r="G16" s="31"/>
      <c r="H16" s="32"/>
      <c r="I16" s="1" t="s">
        <v>27</v>
      </c>
      <c r="J16" s="3" t="s">
        <v>5</v>
      </c>
      <c r="K16" s="1" t="s">
        <v>27</v>
      </c>
      <c r="L16" s="31"/>
      <c r="M16" s="31"/>
      <c r="N16" s="31"/>
      <c r="O16" s="31"/>
      <c r="P16" s="32"/>
      <c r="Q16" s="60"/>
      <c r="R16" s="31"/>
      <c r="S16" s="31"/>
      <c r="T16" s="15" t="s">
        <v>17</v>
      </c>
      <c r="U16" s="1">
        <v>50</v>
      </c>
      <c r="V16" s="1">
        <v>30</v>
      </c>
      <c r="W16" s="55">
        <v>10</v>
      </c>
      <c r="X16" s="56">
        <v>40</v>
      </c>
      <c r="Y16" s="56">
        <v>39</v>
      </c>
      <c r="Z16" s="1">
        <f t="shared" si="1"/>
        <v>3</v>
      </c>
      <c r="AA16" s="1">
        <f t="shared" si="2"/>
        <v>13</v>
      </c>
      <c r="AB16" s="64">
        <f t="shared" si="3"/>
        <v>23</v>
      </c>
    </row>
    <row r="17" spans="1:28">
      <c r="A17" s="4" t="s">
        <v>6</v>
      </c>
      <c r="B17" s="1" t="s">
        <v>27</v>
      </c>
      <c r="C17" s="4" t="s">
        <v>6</v>
      </c>
      <c r="D17" s="31"/>
      <c r="E17" s="31"/>
      <c r="F17" s="31"/>
      <c r="G17" s="31"/>
      <c r="H17" s="32"/>
      <c r="I17" s="1" t="s">
        <v>27</v>
      </c>
      <c r="J17" s="2" t="s">
        <v>4</v>
      </c>
      <c r="K17" s="1" t="s">
        <v>27</v>
      </c>
      <c r="L17" s="31"/>
      <c r="M17" s="31"/>
      <c r="N17" s="31"/>
      <c r="O17" s="31"/>
      <c r="P17" s="32"/>
      <c r="Q17" s="60"/>
      <c r="R17" s="31"/>
      <c r="S17" s="31"/>
      <c r="T17" s="16" t="s">
        <v>18</v>
      </c>
      <c r="U17" s="1">
        <v>-150</v>
      </c>
      <c r="V17" s="1">
        <v>0</v>
      </c>
      <c r="W17" s="55">
        <v>10</v>
      </c>
      <c r="X17" s="56">
        <v>3</v>
      </c>
      <c r="Y17" s="56">
        <v>3</v>
      </c>
      <c r="Z17" s="1">
        <f t="shared" si="1"/>
        <v>3</v>
      </c>
      <c r="AA17" s="1">
        <f t="shared" si="2"/>
        <v>0</v>
      </c>
      <c r="AB17" s="64">
        <f t="shared" si="3"/>
        <v>0</v>
      </c>
    </row>
    <row r="18" spans="1:28">
      <c r="A18" s="17" t="s">
        <v>19</v>
      </c>
      <c r="B18" s="1" t="s">
        <v>27</v>
      </c>
      <c r="C18" s="4" t="s">
        <v>6</v>
      </c>
      <c r="D18" s="31"/>
      <c r="E18" s="31"/>
      <c r="F18" s="31"/>
      <c r="G18" s="31"/>
      <c r="H18" s="32"/>
      <c r="I18" s="1" t="s">
        <v>27</v>
      </c>
      <c r="J18" s="15" t="s">
        <v>17</v>
      </c>
      <c r="K18" s="1" t="s">
        <v>27</v>
      </c>
      <c r="L18" s="31"/>
      <c r="M18" s="31"/>
      <c r="N18" s="31"/>
      <c r="O18" s="31"/>
      <c r="P18" s="32"/>
      <c r="Q18" s="60"/>
      <c r="R18" s="31"/>
      <c r="S18" s="31"/>
      <c r="T18" s="17" t="s">
        <v>19</v>
      </c>
      <c r="U18" s="1">
        <v>250</v>
      </c>
      <c r="V18" s="1">
        <v>200</v>
      </c>
      <c r="W18" s="55"/>
      <c r="X18" s="56">
        <v>3</v>
      </c>
      <c r="Y18" s="56">
        <v>3</v>
      </c>
      <c r="Z18" s="1">
        <f t="shared" si="1"/>
        <v>3</v>
      </c>
      <c r="AA18" s="1">
        <f t="shared" si="2"/>
        <v>0</v>
      </c>
      <c r="AB18" s="64">
        <f t="shared" si="3"/>
        <v>0</v>
      </c>
    </row>
    <row r="19" spans="1:28">
      <c r="A19" s="4" t="s">
        <v>6</v>
      </c>
      <c r="B19" s="1" t="s">
        <v>27</v>
      </c>
      <c r="C19" s="4" t="s">
        <v>6</v>
      </c>
      <c r="D19" s="31"/>
      <c r="E19" s="31"/>
      <c r="F19" s="31"/>
      <c r="G19" s="31"/>
      <c r="H19" s="32"/>
      <c r="I19" s="1" t="s">
        <v>27</v>
      </c>
      <c r="J19" s="2" t="s">
        <v>4</v>
      </c>
      <c r="K19" s="1" t="s">
        <v>27</v>
      </c>
      <c r="L19" s="31"/>
      <c r="M19" s="31"/>
      <c r="N19" s="31"/>
      <c r="O19" s="31"/>
      <c r="P19" s="32"/>
      <c r="Q19" s="60"/>
      <c r="R19" s="31"/>
      <c r="S19" s="31"/>
      <c r="T19" s="17" t="s">
        <v>20</v>
      </c>
      <c r="U19" s="1">
        <v>170</v>
      </c>
      <c r="V19" s="1">
        <v>45</v>
      </c>
      <c r="W19" s="55"/>
      <c r="X19" s="56">
        <v>5</v>
      </c>
      <c r="Y19" s="56">
        <v>5</v>
      </c>
      <c r="Z19" s="1">
        <f t="shared" si="1"/>
        <v>5</v>
      </c>
      <c r="AA19" s="1">
        <f t="shared" si="2"/>
        <v>0</v>
      </c>
      <c r="AB19" s="64">
        <f t="shared" si="3"/>
        <v>0</v>
      </c>
    </row>
    <row r="20" spans="1:28">
      <c r="A20" s="4" t="s">
        <v>6</v>
      </c>
      <c r="B20" s="1" t="s">
        <v>27</v>
      </c>
      <c r="C20" s="17" t="s">
        <v>20</v>
      </c>
      <c r="D20" s="31"/>
      <c r="E20" s="31"/>
      <c r="F20" s="31"/>
      <c r="G20" s="31"/>
      <c r="H20" s="32"/>
      <c r="I20" s="1" t="s">
        <v>27</v>
      </c>
      <c r="J20" s="2" t="s">
        <v>4</v>
      </c>
      <c r="K20" s="1" t="s">
        <v>27</v>
      </c>
      <c r="L20" s="31"/>
      <c r="M20" s="31"/>
      <c r="N20" s="31"/>
      <c r="O20" s="31"/>
      <c r="P20" s="32"/>
      <c r="Q20" s="60"/>
      <c r="R20" s="31"/>
      <c r="S20" s="31"/>
      <c r="T20" s="18" t="s">
        <v>21</v>
      </c>
      <c r="U20" s="1">
        <v>250</v>
      </c>
      <c r="V20" s="1">
        <v>200</v>
      </c>
      <c r="W20" s="55"/>
      <c r="X20" s="56">
        <v>0</v>
      </c>
      <c r="Y20" s="56">
        <v>0</v>
      </c>
      <c r="Z20" s="1">
        <f t="shared" si="1"/>
        <v>0</v>
      </c>
      <c r="AA20" s="1">
        <f t="shared" si="2"/>
        <v>0</v>
      </c>
      <c r="AB20" s="64">
        <f t="shared" si="3"/>
        <v>0</v>
      </c>
    </row>
    <row r="21" spans="1:28">
      <c r="A21" s="4" t="s">
        <v>6</v>
      </c>
      <c r="B21" s="1" t="s">
        <v>27</v>
      </c>
      <c r="C21" s="4" t="s">
        <v>6</v>
      </c>
      <c r="D21" s="31"/>
      <c r="E21" s="31"/>
      <c r="F21" s="31"/>
      <c r="G21" s="31"/>
      <c r="H21" s="32"/>
      <c r="I21" s="1" t="s">
        <v>27</v>
      </c>
      <c r="J21" s="2" t="s">
        <v>4</v>
      </c>
      <c r="K21" s="1" t="s">
        <v>27</v>
      </c>
      <c r="L21" s="31"/>
      <c r="M21" s="31"/>
      <c r="N21" s="31"/>
      <c r="O21" s="31"/>
      <c r="P21" s="32"/>
      <c r="Q21" s="60"/>
      <c r="R21" s="31"/>
      <c r="S21" s="31"/>
      <c r="T21" s="19" t="s">
        <v>22</v>
      </c>
      <c r="U21" s="1">
        <v>250</v>
      </c>
      <c r="V21" s="1">
        <v>1000</v>
      </c>
      <c r="W21" s="55"/>
      <c r="X21" s="56">
        <v>2</v>
      </c>
      <c r="Y21" s="56">
        <v>2</v>
      </c>
      <c r="Z21" s="1">
        <f t="shared" si="1"/>
        <v>0</v>
      </c>
      <c r="AA21" s="1">
        <f t="shared" si="2"/>
        <v>0</v>
      </c>
      <c r="AB21" s="64">
        <f t="shared" si="3"/>
        <v>2</v>
      </c>
    </row>
    <row r="22" spans="1:28">
      <c r="A22" s="16" t="s">
        <v>18</v>
      </c>
      <c r="B22" s="1" t="s">
        <v>27</v>
      </c>
      <c r="C22" s="4" t="s">
        <v>6</v>
      </c>
      <c r="D22" s="31"/>
      <c r="E22" s="31"/>
      <c r="F22" s="31"/>
      <c r="G22" s="31"/>
      <c r="H22" s="32"/>
      <c r="I22" s="1" t="s">
        <v>27</v>
      </c>
      <c r="J22" s="15" t="s">
        <v>17</v>
      </c>
      <c r="K22" s="1" t="s">
        <v>27</v>
      </c>
      <c r="L22" s="31"/>
      <c r="M22" s="31"/>
      <c r="N22" s="31"/>
      <c r="O22" s="31"/>
      <c r="P22" s="32"/>
      <c r="Q22" s="60"/>
      <c r="R22" s="31"/>
      <c r="S22" s="31"/>
      <c r="T22" s="20" t="s">
        <v>23</v>
      </c>
      <c r="U22" s="1">
        <v>250</v>
      </c>
      <c r="V22" s="1">
        <v>500</v>
      </c>
      <c r="W22" s="55"/>
      <c r="X22" s="56">
        <v>2</v>
      </c>
      <c r="Y22" s="56">
        <v>2</v>
      </c>
      <c r="Z22" s="1">
        <f t="shared" si="1"/>
        <v>0</v>
      </c>
      <c r="AA22" s="1">
        <f t="shared" si="2"/>
        <v>0</v>
      </c>
      <c r="AB22" s="64">
        <f t="shared" si="3"/>
        <v>2</v>
      </c>
    </row>
    <row r="23" spans="1:28">
      <c r="A23" s="4" t="s">
        <v>6</v>
      </c>
      <c r="B23" s="1" t="s">
        <v>27</v>
      </c>
      <c r="C23" s="4" t="s">
        <v>6</v>
      </c>
      <c r="D23" s="31"/>
      <c r="E23" s="31"/>
      <c r="F23" s="31"/>
      <c r="G23" s="31"/>
      <c r="H23" s="32"/>
      <c r="I23" s="1" t="s">
        <v>27</v>
      </c>
      <c r="J23" s="1" t="s">
        <v>27</v>
      </c>
      <c r="K23" s="1" t="s">
        <v>27</v>
      </c>
      <c r="L23" s="31"/>
      <c r="M23" s="31"/>
      <c r="N23" s="31"/>
      <c r="O23" s="31"/>
      <c r="P23" s="32"/>
      <c r="Q23" s="60"/>
      <c r="R23" s="31"/>
      <c r="S23" s="31"/>
      <c r="T23" s="21" t="s">
        <v>24</v>
      </c>
      <c r="U23" s="1">
        <v>160</v>
      </c>
      <c r="V23" s="1">
        <v>40</v>
      </c>
      <c r="W23" s="55">
        <f t="shared" ref="W23:W26" si="8">U23-V23/0.330882</f>
        <v>39.110982162825422</v>
      </c>
      <c r="X23" s="56">
        <v>0</v>
      </c>
      <c r="Y23" s="56">
        <v>0</v>
      </c>
      <c r="Z23" s="1">
        <f t="shared" si="1"/>
        <v>0</v>
      </c>
      <c r="AA23" s="1">
        <f t="shared" si="2"/>
        <v>0</v>
      </c>
      <c r="AB23" s="64">
        <f t="shared" si="3"/>
        <v>0</v>
      </c>
    </row>
    <row r="24" spans="1:28">
      <c r="A24" s="4" t="s">
        <v>6</v>
      </c>
      <c r="B24" s="1" t="s">
        <v>27</v>
      </c>
      <c r="C24" s="4" t="s">
        <v>6</v>
      </c>
      <c r="D24" s="31"/>
      <c r="E24" s="31"/>
      <c r="F24" s="31"/>
      <c r="G24" s="31"/>
      <c r="H24" s="32"/>
      <c r="I24" s="1" t="s">
        <v>27</v>
      </c>
      <c r="J24" s="15" t="s">
        <v>17</v>
      </c>
      <c r="K24" s="1" t="s">
        <v>27</v>
      </c>
      <c r="L24" s="31"/>
      <c r="M24" s="31"/>
      <c r="N24" s="31"/>
      <c r="O24" s="31"/>
      <c r="P24" s="32"/>
      <c r="Q24" s="60"/>
      <c r="R24" s="31"/>
      <c r="S24" s="31"/>
      <c r="T24" s="21" t="s">
        <v>25</v>
      </c>
      <c r="U24" s="1">
        <v>160</v>
      </c>
      <c r="V24" s="1">
        <v>40</v>
      </c>
      <c r="W24" s="55">
        <f t="shared" si="8"/>
        <v>39.110982162825422</v>
      </c>
      <c r="X24" s="56">
        <v>0</v>
      </c>
      <c r="Y24" s="56">
        <v>0</v>
      </c>
      <c r="Z24" s="1">
        <f t="shared" si="1"/>
        <v>0</v>
      </c>
      <c r="AA24" s="1">
        <f t="shared" si="2"/>
        <v>0</v>
      </c>
      <c r="AB24" s="64">
        <f t="shared" si="3"/>
        <v>0</v>
      </c>
    </row>
    <row r="25" spans="1:28">
      <c r="A25" s="4" t="s">
        <v>6</v>
      </c>
      <c r="B25" s="1" t="s">
        <v>27</v>
      </c>
      <c r="C25" s="4" t="s">
        <v>6</v>
      </c>
      <c r="D25" s="31"/>
      <c r="E25" s="31"/>
      <c r="F25" s="31"/>
      <c r="G25" s="31"/>
      <c r="H25" s="32"/>
      <c r="I25" s="1" t="s">
        <v>27</v>
      </c>
      <c r="J25" s="3" t="s">
        <v>5</v>
      </c>
      <c r="K25" s="1" t="s">
        <v>27</v>
      </c>
      <c r="L25" s="31"/>
      <c r="M25" s="31"/>
      <c r="N25" s="31"/>
      <c r="O25" s="31"/>
      <c r="P25" s="32"/>
      <c r="Q25" s="60"/>
      <c r="R25" s="31"/>
      <c r="S25" s="31"/>
      <c r="T25" s="21" t="s">
        <v>26</v>
      </c>
      <c r="U25" s="1">
        <v>150</v>
      </c>
      <c r="V25" s="1">
        <v>35</v>
      </c>
      <c r="W25" s="55">
        <f t="shared" si="8"/>
        <v>44.222109392472248</v>
      </c>
      <c r="X25" s="56">
        <v>0</v>
      </c>
      <c r="Y25" s="56">
        <v>0</v>
      </c>
      <c r="Z25" s="1">
        <f t="shared" si="1"/>
        <v>0</v>
      </c>
      <c r="AA25" s="1">
        <f t="shared" si="2"/>
        <v>0</v>
      </c>
      <c r="AB25" s="64">
        <f t="shared" si="3"/>
        <v>0</v>
      </c>
    </row>
    <row r="26" spans="1:28">
      <c r="A26" s="17" t="s">
        <v>20</v>
      </c>
      <c r="B26" s="1" t="s">
        <v>27</v>
      </c>
      <c r="C26" s="4" t="s">
        <v>6</v>
      </c>
      <c r="D26" s="31"/>
      <c r="E26" s="31"/>
      <c r="F26" s="31"/>
      <c r="G26" s="31"/>
      <c r="H26" s="32"/>
      <c r="I26" s="1" t="s">
        <v>27</v>
      </c>
      <c r="J26" s="3" t="s">
        <v>5</v>
      </c>
      <c r="K26" s="1" t="s">
        <v>27</v>
      </c>
      <c r="L26" s="31"/>
      <c r="M26" s="31"/>
      <c r="N26" s="31"/>
      <c r="O26" s="31"/>
      <c r="P26" s="32"/>
      <c r="Q26" s="60"/>
      <c r="R26" s="31"/>
      <c r="S26" s="31"/>
      <c r="T26" s="22" t="s">
        <v>27</v>
      </c>
      <c r="U26" s="1">
        <v>0</v>
      </c>
      <c r="V26" s="1">
        <v>0</v>
      </c>
      <c r="W26" s="55">
        <f t="shared" si="8"/>
        <v>0</v>
      </c>
      <c r="X26" s="56">
        <v>0</v>
      </c>
      <c r="Y26" s="56">
        <v>0</v>
      </c>
      <c r="Z26" s="1"/>
      <c r="AA26" s="1"/>
      <c r="AB26" s="64"/>
    </row>
    <row r="27" spans="1:28">
      <c r="A27" s="4" t="s">
        <v>6</v>
      </c>
      <c r="B27" s="1" t="s">
        <v>27</v>
      </c>
      <c r="C27" s="4" t="s">
        <v>6</v>
      </c>
      <c r="D27" s="31"/>
      <c r="E27" s="31"/>
      <c r="F27" s="31"/>
      <c r="G27" s="31"/>
      <c r="H27" s="32"/>
      <c r="I27" s="1" t="s">
        <v>27</v>
      </c>
      <c r="J27" s="9" t="s">
        <v>11</v>
      </c>
      <c r="K27" s="1" t="s">
        <v>27</v>
      </c>
      <c r="L27" s="31"/>
      <c r="M27" s="31"/>
      <c r="N27" s="31"/>
      <c r="O27" s="31"/>
      <c r="P27" s="32"/>
      <c r="Q27" s="60"/>
      <c r="R27" s="31"/>
      <c r="S27" s="31"/>
      <c r="T27" s="16" t="s">
        <v>28</v>
      </c>
      <c r="U27" s="1">
        <v>-200</v>
      </c>
      <c r="V27" s="1">
        <v>0</v>
      </c>
      <c r="W27" s="55"/>
      <c r="X27" s="56">
        <v>12</v>
      </c>
      <c r="Y27" s="56">
        <v>12</v>
      </c>
      <c r="Z27" s="1">
        <f t="shared" si="1"/>
        <v>0</v>
      </c>
      <c r="AA27" s="1">
        <f t="shared" si="2"/>
        <v>2</v>
      </c>
      <c r="AB27" s="64">
        <f t="shared" si="3"/>
        <v>10</v>
      </c>
    </row>
    <row r="28" spans="1:28">
      <c r="A28" s="4" t="s">
        <v>6</v>
      </c>
      <c r="B28" s="1" t="s">
        <v>27</v>
      </c>
      <c r="C28" s="17" t="s">
        <v>20</v>
      </c>
      <c r="D28" s="31"/>
      <c r="E28" s="31"/>
      <c r="F28" s="31"/>
      <c r="G28" s="31"/>
      <c r="H28" s="32"/>
      <c r="I28" s="1" t="s">
        <v>27</v>
      </c>
      <c r="J28" s="3" t="s">
        <v>5</v>
      </c>
      <c r="K28" s="1" t="s">
        <v>27</v>
      </c>
      <c r="L28" s="31"/>
      <c r="M28" s="31"/>
      <c r="N28" s="31"/>
      <c r="O28" s="31"/>
      <c r="P28" s="32"/>
      <c r="Q28" s="60"/>
      <c r="R28" s="31"/>
      <c r="S28" s="31"/>
      <c r="T28" s="23" t="s">
        <v>29</v>
      </c>
      <c r="U28" s="1">
        <v>50</v>
      </c>
      <c r="V28" s="1">
        <v>520</v>
      </c>
      <c r="W28" s="55"/>
      <c r="X28" s="56">
        <v>3</v>
      </c>
      <c r="Y28" s="56">
        <v>3</v>
      </c>
      <c r="Z28" s="1">
        <f t="shared" si="1"/>
        <v>1</v>
      </c>
      <c r="AA28" s="1">
        <f t="shared" si="2"/>
        <v>0</v>
      </c>
      <c r="AB28" s="64">
        <f t="shared" si="3"/>
        <v>2</v>
      </c>
    </row>
    <row r="29" spans="1:28" ht="15" thickBot="1">
      <c r="A29" s="4" t="s">
        <v>6</v>
      </c>
      <c r="B29" s="1" t="s">
        <v>27</v>
      </c>
      <c r="C29" s="4" t="s">
        <v>6</v>
      </c>
      <c r="D29" s="31"/>
      <c r="E29" s="31"/>
      <c r="F29" s="31"/>
      <c r="G29" s="31"/>
      <c r="H29" s="32"/>
      <c r="I29" s="1" t="s">
        <v>27</v>
      </c>
      <c r="J29" s="3" t="s">
        <v>5</v>
      </c>
      <c r="K29" s="1" t="s">
        <v>27</v>
      </c>
      <c r="L29" s="31"/>
      <c r="M29" s="31"/>
      <c r="N29" s="31"/>
      <c r="O29" s="31"/>
      <c r="P29" s="32"/>
      <c r="Q29" s="66"/>
      <c r="R29" s="41"/>
      <c r="S29" s="41"/>
      <c r="T29" s="40"/>
      <c r="U29" s="40"/>
      <c r="V29" s="40"/>
      <c r="W29" s="40"/>
      <c r="X29" s="40"/>
      <c r="Y29" s="40"/>
      <c r="Z29" s="40"/>
      <c r="AA29" s="40"/>
      <c r="AB29" s="67"/>
    </row>
    <row r="30" spans="1:28">
      <c r="A30" s="4" t="s">
        <v>6</v>
      </c>
      <c r="B30" s="1" t="s">
        <v>27</v>
      </c>
      <c r="C30" s="4" t="s">
        <v>6</v>
      </c>
      <c r="D30" s="31"/>
      <c r="E30" s="31"/>
      <c r="F30" s="31"/>
      <c r="G30" s="31"/>
      <c r="H30" s="32"/>
      <c r="I30" s="1" t="s">
        <v>27</v>
      </c>
      <c r="J30" s="15" t="s">
        <v>17</v>
      </c>
      <c r="K30" s="1" t="s">
        <v>27</v>
      </c>
      <c r="L30" s="31"/>
      <c r="M30" s="31"/>
      <c r="N30" s="31"/>
      <c r="O30" s="31"/>
      <c r="P30" s="32"/>
    </row>
    <row r="31" spans="1:28">
      <c r="A31" s="4" t="s">
        <v>6</v>
      </c>
      <c r="B31" s="1" t="s">
        <v>27</v>
      </c>
      <c r="C31" s="4" t="s">
        <v>6</v>
      </c>
      <c r="D31" s="31"/>
      <c r="E31" s="31"/>
      <c r="F31" s="31"/>
      <c r="G31" s="31"/>
      <c r="H31" s="32"/>
      <c r="I31" s="1" t="s">
        <v>27</v>
      </c>
      <c r="J31" s="3" t="s">
        <v>5</v>
      </c>
      <c r="K31" s="1" t="s">
        <v>27</v>
      </c>
      <c r="L31" s="31"/>
      <c r="M31" s="31"/>
      <c r="N31" s="31"/>
      <c r="O31" s="31"/>
      <c r="P31" s="32"/>
      <c r="Y31">
        <f>SUM(Y3:Y28)</f>
        <v>1077</v>
      </c>
    </row>
    <row r="32" spans="1:28">
      <c r="A32" s="4" t="s">
        <v>6</v>
      </c>
      <c r="B32" s="1" t="s">
        <v>27</v>
      </c>
      <c r="C32" s="4" t="s">
        <v>6</v>
      </c>
      <c r="D32" s="31"/>
      <c r="E32" s="31"/>
      <c r="F32" s="31"/>
      <c r="G32" s="31"/>
      <c r="H32" s="32"/>
      <c r="I32" s="1" t="s">
        <v>27</v>
      </c>
      <c r="J32" s="3" t="s">
        <v>5</v>
      </c>
      <c r="K32" s="1" t="s">
        <v>27</v>
      </c>
      <c r="L32" s="31"/>
      <c r="M32" s="31"/>
      <c r="N32" s="31"/>
      <c r="O32" s="31"/>
      <c r="P32" s="32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10" t="s">
        <v>12</v>
      </c>
      <c r="D33" s="31"/>
      <c r="E33" s="31"/>
      <c r="F33" s="31"/>
      <c r="G33" s="31"/>
      <c r="H33" s="32"/>
      <c r="I33" s="1" t="s">
        <v>27</v>
      </c>
      <c r="J33" s="3" t="s">
        <v>5</v>
      </c>
      <c r="K33" s="1" t="s">
        <v>27</v>
      </c>
      <c r="L33" s="31"/>
      <c r="M33" s="31"/>
      <c r="N33" s="31"/>
      <c r="O33" s="31"/>
      <c r="P33" s="32"/>
      <c r="R33">
        <v>2</v>
      </c>
      <c r="S33" t="s">
        <v>60</v>
      </c>
    </row>
    <row r="34" spans="1:19">
      <c r="A34" s="17" t="s">
        <v>19</v>
      </c>
      <c r="B34" s="1" t="s">
        <v>27</v>
      </c>
      <c r="C34" s="4" t="s">
        <v>6</v>
      </c>
      <c r="D34" s="31"/>
      <c r="E34" s="31"/>
      <c r="F34" s="31"/>
      <c r="G34" s="31"/>
      <c r="H34" s="32"/>
      <c r="I34" s="38" t="s">
        <v>27</v>
      </c>
      <c r="J34" s="3" t="s">
        <v>5</v>
      </c>
      <c r="K34" s="1" t="s">
        <v>27</v>
      </c>
      <c r="L34" s="31"/>
      <c r="M34" s="31"/>
      <c r="N34" s="31"/>
      <c r="O34" s="31"/>
      <c r="P34" s="32"/>
      <c r="R34">
        <v>3</v>
      </c>
      <c r="S34" t="s">
        <v>58</v>
      </c>
    </row>
    <row r="35" spans="1:19">
      <c r="A35" s="4" t="s">
        <v>6</v>
      </c>
      <c r="B35" s="1" t="s">
        <v>27</v>
      </c>
      <c r="C35" s="17" t="s">
        <v>19</v>
      </c>
      <c r="D35" s="31"/>
      <c r="E35" s="31"/>
      <c r="F35" s="31"/>
      <c r="G35" s="31"/>
      <c r="H35" s="32"/>
      <c r="I35" s="38" t="s">
        <v>27</v>
      </c>
      <c r="J35" s="15" t="s">
        <v>17</v>
      </c>
      <c r="K35" s="1" t="s">
        <v>27</v>
      </c>
      <c r="L35" s="31"/>
      <c r="M35" s="31"/>
      <c r="N35" s="31"/>
      <c r="O35" s="31"/>
      <c r="P35" s="32"/>
      <c r="R35">
        <v>4</v>
      </c>
      <c r="S35" t="s">
        <v>61</v>
      </c>
    </row>
    <row r="36" spans="1:19">
      <c r="A36" s="4" t="s">
        <v>6</v>
      </c>
      <c r="B36" s="1" t="s">
        <v>27</v>
      </c>
      <c r="C36" s="4" t="s">
        <v>6</v>
      </c>
      <c r="D36" s="31"/>
      <c r="E36" s="31"/>
      <c r="F36" s="31"/>
      <c r="G36" s="31"/>
      <c r="H36" s="32"/>
      <c r="I36" s="38" t="s">
        <v>27</v>
      </c>
      <c r="J36" s="3" t="s">
        <v>5</v>
      </c>
      <c r="K36" s="1" t="s">
        <v>27</v>
      </c>
      <c r="L36" s="31"/>
      <c r="M36" s="31"/>
      <c r="N36" s="31"/>
      <c r="O36" s="31"/>
      <c r="P36" s="32"/>
      <c r="S36" t="s">
        <v>62</v>
      </c>
    </row>
    <row r="37" spans="1:19">
      <c r="A37" s="4" t="s">
        <v>6</v>
      </c>
      <c r="B37" s="1" t="s">
        <v>27</v>
      </c>
      <c r="C37" s="4" t="s">
        <v>6</v>
      </c>
      <c r="D37" s="31"/>
      <c r="E37" s="31"/>
      <c r="F37" s="31"/>
      <c r="G37" s="31"/>
      <c r="H37" s="32"/>
      <c r="I37" s="38" t="s">
        <v>27</v>
      </c>
      <c r="J37" s="3" t="s">
        <v>5</v>
      </c>
      <c r="K37" s="1" t="s">
        <v>27</v>
      </c>
      <c r="L37" s="31"/>
      <c r="M37" s="31"/>
      <c r="N37" s="31"/>
      <c r="O37" s="31"/>
      <c r="P37" s="32"/>
      <c r="R37">
        <v>5</v>
      </c>
      <c r="S37" t="s">
        <v>63</v>
      </c>
    </row>
    <row r="38" spans="1:19">
      <c r="A38" s="4" t="s">
        <v>6</v>
      </c>
      <c r="B38" s="1" t="s">
        <v>27</v>
      </c>
      <c r="C38" s="16" t="s">
        <v>18</v>
      </c>
      <c r="D38" s="31"/>
      <c r="E38" s="31"/>
      <c r="F38" s="31"/>
      <c r="G38" s="31"/>
      <c r="H38" s="32"/>
      <c r="I38" s="38" t="s">
        <v>27</v>
      </c>
      <c r="J38" s="3" t="s">
        <v>5</v>
      </c>
      <c r="K38" s="1" t="s">
        <v>27</v>
      </c>
      <c r="L38" s="31"/>
      <c r="M38" s="31"/>
      <c r="N38" s="31"/>
      <c r="O38" s="31"/>
      <c r="P38" s="32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4" t="s">
        <v>6</v>
      </c>
      <c r="D39" s="31"/>
      <c r="E39" s="31"/>
      <c r="F39" s="31"/>
      <c r="G39" s="31"/>
      <c r="H39" s="32"/>
      <c r="I39" s="38" t="s">
        <v>27</v>
      </c>
      <c r="J39" s="3" t="s">
        <v>5</v>
      </c>
      <c r="K39" s="1" t="s">
        <v>27</v>
      </c>
      <c r="L39" s="31"/>
      <c r="M39" s="31"/>
      <c r="N39" s="31"/>
      <c r="O39" s="31"/>
      <c r="P39" s="32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4" t="s">
        <v>6</v>
      </c>
      <c r="D40" s="31"/>
      <c r="E40" s="31"/>
      <c r="F40" s="31"/>
      <c r="G40" s="31"/>
      <c r="H40" s="32"/>
      <c r="I40" s="38" t="s">
        <v>27</v>
      </c>
      <c r="J40" s="15" t="s">
        <v>17</v>
      </c>
      <c r="K40" s="1" t="s">
        <v>27</v>
      </c>
      <c r="L40" s="31"/>
      <c r="M40" s="31"/>
      <c r="N40" s="31"/>
      <c r="O40" s="31"/>
      <c r="P40" s="32"/>
    </row>
    <row r="41" spans="1:19">
      <c r="A41" s="4" t="s">
        <v>6</v>
      </c>
      <c r="B41" s="1" t="s">
        <v>27</v>
      </c>
      <c r="C41" s="4" t="s">
        <v>6</v>
      </c>
      <c r="D41" s="31"/>
      <c r="E41" s="31"/>
      <c r="F41" s="31"/>
      <c r="G41" s="31"/>
      <c r="H41" s="32"/>
      <c r="I41" s="38" t="s">
        <v>27</v>
      </c>
      <c r="J41" s="3" t="s">
        <v>5</v>
      </c>
      <c r="K41" s="1" t="s">
        <v>27</v>
      </c>
      <c r="L41" s="31"/>
      <c r="M41" s="31"/>
      <c r="N41" s="31"/>
      <c r="O41" s="31"/>
      <c r="P41" s="32"/>
    </row>
    <row r="42" spans="1:19">
      <c r="A42" s="4" t="s">
        <v>6</v>
      </c>
      <c r="B42" s="1" t="s">
        <v>27</v>
      </c>
      <c r="C42" s="4" t="s">
        <v>6</v>
      </c>
      <c r="D42" s="31"/>
      <c r="E42" s="31"/>
      <c r="F42" s="31"/>
      <c r="G42" s="31"/>
      <c r="H42" s="32"/>
      <c r="I42" s="38" t="s">
        <v>27</v>
      </c>
      <c r="J42" s="3" t="s">
        <v>5</v>
      </c>
      <c r="K42" s="1" t="s">
        <v>27</v>
      </c>
      <c r="L42" s="31"/>
      <c r="M42" s="31"/>
      <c r="N42" s="31"/>
      <c r="O42" s="31"/>
      <c r="P42" s="32"/>
    </row>
    <row r="43" spans="1:19">
      <c r="A43" s="17" t="s">
        <v>20</v>
      </c>
      <c r="B43" s="1" t="s">
        <v>27</v>
      </c>
      <c r="C43" s="4" t="s">
        <v>6</v>
      </c>
      <c r="D43" s="31"/>
      <c r="E43" s="31"/>
      <c r="F43" s="31"/>
      <c r="G43" s="31"/>
      <c r="H43" s="32"/>
      <c r="I43" s="38" t="s">
        <v>27</v>
      </c>
      <c r="J43" s="3" t="s">
        <v>5</v>
      </c>
      <c r="K43" s="1" t="s">
        <v>27</v>
      </c>
      <c r="L43" s="31"/>
      <c r="M43" s="31"/>
      <c r="N43" s="31"/>
      <c r="O43" s="31"/>
      <c r="P43" s="32"/>
    </row>
    <row r="44" spans="1:19">
      <c r="A44" s="38" t="s">
        <v>27</v>
      </c>
      <c r="B44" s="1" t="s">
        <v>27</v>
      </c>
      <c r="C44" s="17" t="s">
        <v>20</v>
      </c>
      <c r="D44" s="31"/>
      <c r="E44" s="31"/>
      <c r="F44" s="31"/>
      <c r="G44" s="31"/>
      <c r="H44" s="32"/>
      <c r="I44" s="38" t="s">
        <v>27</v>
      </c>
      <c r="J44" s="3" t="s">
        <v>5</v>
      </c>
      <c r="K44" s="1" t="s">
        <v>27</v>
      </c>
      <c r="L44" s="31"/>
      <c r="M44" s="31"/>
      <c r="N44" s="31"/>
      <c r="O44" s="31"/>
      <c r="P44" s="32"/>
    </row>
    <row r="45" spans="1:19">
      <c r="A45" s="38" t="s">
        <v>27</v>
      </c>
      <c r="B45" s="1" t="s">
        <v>27</v>
      </c>
      <c r="C45" s="1" t="s">
        <v>27</v>
      </c>
      <c r="D45" s="31"/>
      <c r="E45" s="31"/>
      <c r="F45" s="31"/>
      <c r="G45" s="31"/>
      <c r="H45" s="32"/>
      <c r="I45" s="38" t="s">
        <v>27</v>
      </c>
      <c r="J45" s="16" t="s">
        <v>28</v>
      </c>
      <c r="K45" s="1" t="s">
        <v>27</v>
      </c>
      <c r="L45" s="31"/>
      <c r="M45" s="31"/>
      <c r="N45" s="31"/>
      <c r="O45" s="31"/>
      <c r="P45" s="32"/>
    </row>
    <row r="46" spans="1:19">
      <c r="A46" s="38" t="s">
        <v>27</v>
      </c>
      <c r="B46" s="1" t="s">
        <v>27</v>
      </c>
      <c r="C46" s="15" t="s">
        <v>17</v>
      </c>
      <c r="D46" s="31"/>
      <c r="E46" s="31"/>
      <c r="F46" s="31"/>
      <c r="G46" s="31"/>
      <c r="H46" s="32"/>
      <c r="I46" s="38" t="s">
        <v>27</v>
      </c>
      <c r="J46" s="3" t="s">
        <v>5</v>
      </c>
      <c r="K46" s="1" t="s">
        <v>27</v>
      </c>
      <c r="L46" s="31"/>
      <c r="M46" s="31"/>
      <c r="N46" s="31"/>
      <c r="O46" s="31"/>
      <c r="P46" s="32"/>
    </row>
    <row r="47" spans="1:19">
      <c r="A47" s="38" t="s">
        <v>27</v>
      </c>
      <c r="B47" s="1" t="s">
        <v>27</v>
      </c>
      <c r="C47" s="1" t="s">
        <v>27</v>
      </c>
      <c r="D47" s="31"/>
      <c r="E47" s="31"/>
      <c r="F47" s="31"/>
      <c r="G47" s="31"/>
      <c r="H47" s="32"/>
      <c r="I47" s="38" t="s">
        <v>27</v>
      </c>
      <c r="J47" s="3" t="s">
        <v>5</v>
      </c>
      <c r="K47" s="1" t="s">
        <v>27</v>
      </c>
      <c r="L47" s="31"/>
      <c r="M47" s="31"/>
      <c r="N47" s="31"/>
      <c r="O47" s="31"/>
      <c r="P47" s="32"/>
    </row>
    <row r="48" spans="1:19">
      <c r="A48" s="38" t="s">
        <v>27</v>
      </c>
      <c r="B48" s="1" t="s">
        <v>27</v>
      </c>
      <c r="C48" s="1" t="s">
        <v>27</v>
      </c>
      <c r="D48" s="31"/>
      <c r="E48" s="31"/>
      <c r="F48" s="31"/>
      <c r="G48" s="31"/>
      <c r="H48" s="32"/>
      <c r="I48" s="38" t="s">
        <v>27</v>
      </c>
      <c r="J48" s="15" t="s">
        <v>17</v>
      </c>
      <c r="K48" s="1" t="s">
        <v>27</v>
      </c>
      <c r="L48" s="31"/>
      <c r="M48" s="31"/>
      <c r="N48" s="31"/>
      <c r="O48" s="31"/>
      <c r="P48" s="32"/>
    </row>
    <row r="49" spans="1:16">
      <c r="A49" s="38" t="s">
        <v>27</v>
      </c>
      <c r="B49" s="1" t="s">
        <v>27</v>
      </c>
      <c r="C49" s="1" t="s">
        <v>27</v>
      </c>
      <c r="D49" s="31"/>
      <c r="E49" s="31"/>
      <c r="F49" s="31"/>
      <c r="G49" s="31"/>
      <c r="H49" s="32"/>
      <c r="I49" s="38" t="s">
        <v>27</v>
      </c>
      <c r="J49" s="3" t="s">
        <v>5</v>
      </c>
      <c r="K49" s="1" t="s">
        <v>27</v>
      </c>
      <c r="L49" s="31"/>
      <c r="M49" s="31"/>
      <c r="N49" s="31"/>
      <c r="O49" s="31"/>
      <c r="P49" s="32"/>
    </row>
    <row r="50" spans="1:16">
      <c r="A50" s="38" t="s">
        <v>27</v>
      </c>
      <c r="B50" s="1" t="s">
        <v>27</v>
      </c>
      <c r="C50" s="1" t="s">
        <v>27</v>
      </c>
      <c r="D50" s="31"/>
      <c r="E50" s="31"/>
      <c r="F50" s="31"/>
      <c r="G50" s="31"/>
      <c r="H50" s="32"/>
      <c r="I50" s="38" t="s">
        <v>27</v>
      </c>
      <c r="J50" s="3" t="s">
        <v>5</v>
      </c>
      <c r="K50" s="1" t="s">
        <v>27</v>
      </c>
      <c r="L50" s="31"/>
      <c r="M50" s="31"/>
      <c r="N50" s="31"/>
      <c r="O50" s="31"/>
      <c r="P50" s="32"/>
    </row>
    <row r="51" spans="1:16">
      <c r="A51" s="38" t="s">
        <v>27</v>
      </c>
      <c r="B51" s="1" t="s">
        <v>27</v>
      </c>
      <c r="C51" s="1" t="s">
        <v>27</v>
      </c>
      <c r="D51" s="31"/>
      <c r="E51" s="31"/>
      <c r="F51" s="31"/>
      <c r="G51" s="31"/>
      <c r="H51" s="32"/>
      <c r="I51" s="38" t="s">
        <v>27</v>
      </c>
      <c r="J51" s="3" t="s">
        <v>5</v>
      </c>
      <c r="K51" s="1" t="s">
        <v>27</v>
      </c>
      <c r="L51" s="31"/>
      <c r="M51" s="31"/>
      <c r="N51" s="31"/>
      <c r="O51" s="31"/>
      <c r="P51" s="32"/>
    </row>
    <row r="52" spans="1:16">
      <c r="A52" s="38" t="s">
        <v>27</v>
      </c>
      <c r="B52" s="1" t="s">
        <v>27</v>
      </c>
      <c r="C52" s="1" t="s">
        <v>27</v>
      </c>
      <c r="D52" s="31"/>
      <c r="E52" s="31"/>
      <c r="F52" s="31"/>
      <c r="G52" s="31"/>
      <c r="H52" s="32"/>
      <c r="I52" s="38" t="s">
        <v>27</v>
      </c>
      <c r="J52" s="3" t="s">
        <v>5</v>
      </c>
      <c r="K52" s="1" t="s">
        <v>27</v>
      </c>
      <c r="L52" s="31"/>
      <c r="M52" s="31"/>
      <c r="N52" s="31"/>
      <c r="O52" s="31"/>
      <c r="P52" s="32"/>
    </row>
    <row r="53" spans="1:16">
      <c r="A53" s="38" t="s">
        <v>27</v>
      </c>
      <c r="B53" s="1" t="s">
        <v>27</v>
      </c>
      <c r="C53" s="1" t="s">
        <v>27</v>
      </c>
      <c r="D53" s="31"/>
      <c r="E53" s="31"/>
      <c r="F53" s="31"/>
      <c r="G53" s="31"/>
      <c r="H53" s="32"/>
      <c r="I53" s="38" t="s">
        <v>27</v>
      </c>
      <c r="J53" s="15" t="s">
        <v>17</v>
      </c>
      <c r="K53" s="1" t="s">
        <v>27</v>
      </c>
      <c r="L53" s="31"/>
      <c r="M53" s="31"/>
      <c r="N53" s="31"/>
      <c r="O53" s="31"/>
      <c r="P53" s="32"/>
    </row>
    <row r="54" spans="1:16">
      <c r="A54" s="38" t="s">
        <v>27</v>
      </c>
      <c r="B54" s="1" t="s">
        <v>27</v>
      </c>
      <c r="C54" s="1" t="s">
        <v>27</v>
      </c>
      <c r="D54" s="31"/>
      <c r="E54" s="31"/>
      <c r="F54" s="31"/>
      <c r="G54" s="31"/>
      <c r="H54" s="32"/>
      <c r="I54" s="38" t="s">
        <v>27</v>
      </c>
      <c r="J54" s="3" t="s">
        <v>5</v>
      </c>
      <c r="K54" s="1" t="s">
        <v>27</v>
      </c>
      <c r="L54" s="31"/>
      <c r="M54" s="31"/>
      <c r="N54" s="31"/>
      <c r="O54" s="31"/>
      <c r="P54" s="32"/>
    </row>
    <row r="55" spans="1:16">
      <c r="A55" s="38" t="s">
        <v>27</v>
      </c>
      <c r="B55" s="1" t="s">
        <v>27</v>
      </c>
      <c r="C55" s="1" t="s">
        <v>27</v>
      </c>
      <c r="D55" s="31"/>
      <c r="E55" s="31"/>
      <c r="F55" s="31"/>
      <c r="G55" s="31"/>
      <c r="H55" s="32"/>
      <c r="I55" s="38" t="s">
        <v>27</v>
      </c>
      <c r="J55" s="3" t="s">
        <v>5</v>
      </c>
      <c r="K55" s="1" t="s">
        <v>27</v>
      </c>
      <c r="L55" s="31"/>
      <c r="M55" s="31"/>
      <c r="N55" s="31"/>
      <c r="O55" s="31"/>
      <c r="P55" s="32"/>
    </row>
    <row r="56" spans="1:16">
      <c r="A56" s="38" t="s">
        <v>27</v>
      </c>
      <c r="B56" s="1" t="s">
        <v>27</v>
      </c>
      <c r="C56" s="1" t="s">
        <v>27</v>
      </c>
      <c r="D56" s="31"/>
      <c r="E56" s="31"/>
      <c r="F56" s="31"/>
      <c r="G56" s="31"/>
      <c r="H56" s="32"/>
      <c r="I56" s="38" t="s">
        <v>27</v>
      </c>
      <c r="J56" s="3" t="s">
        <v>5</v>
      </c>
      <c r="K56" s="1" t="s">
        <v>27</v>
      </c>
      <c r="L56" s="31"/>
      <c r="M56" s="31"/>
      <c r="N56" s="31"/>
      <c r="O56" s="31"/>
      <c r="P56" s="32"/>
    </row>
    <row r="57" spans="1:16">
      <c r="A57" s="38" t="s">
        <v>27</v>
      </c>
      <c r="B57" s="1" t="s">
        <v>27</v>
      </c>
      <c r="C57" s="1" t="s">
        <v>27</v>
      </c>
      <c r="D57" s="31"/>
      <c r="E57" s="31"/>
      <c r="F57" s="31"/>
      <c r="G57" s="31"/>
      <c r="H57" s="32"/>
      <c r="I57" s="38" t="s">
        <v>27</v>
      </c>
      <c r="J57" s="9" t="s">
        <v>11</v>
      </c>
      <c r="K57" s="1" t="s">
        <v>27</v>
      </c>
      <c r="L57" s="31"/>
      <c r="M57" s="31"/>
      <c r="N57" s="31"/>
      <c r="O57" s="31"/>
      <c r="P57" s="32"/>
    </row>
    <row r="58" spans="1:16">
      <c r="A58" s="38" t="s">
        <v>27</v>
      </c>
      <c r="B58" s="1" t="s">
        <v>27</v>
      </c>
      <c r="C58" s="1" t="s">
        <v>27</v>
      </c>
      <c r="D58" s="31"/>
      <c r="E58" s="31"/>
      <c r="F58" s="31"/>
      <c r="G58" s="31"/>
      <c r="H58" s="32"/>
      <c r="I58" s="38" t="s">
        <v>27</v>
      </c>
      <c r="J58" s="3" t="s">
        <v>5</v>
      </c>
      <c r="K58" s="1" t="s">
        <v>27</v>
      </c>
      <c r="L58" s="31"/>
      <c r="M58" s="31"/>
      <c r="N58" s="31"/>
      <c r="O58" s="31"/>
      <c r="P58" s="32"/>
    </row>
    <row r="59" spans="1:16">
      <c r="A59" s="38" t="s">
        <v>27</v>
      </c>
      <c r="B59" s="1" t="s">
        <v>27</v>
      </c>
      <c r="C59" s="1" t="s">
        <v>27</v>
      </c>
      <c r="D59" s="31"/>
      <c r="E59" s="31"/>
      <c r="F59" s="31"/>
      <c r="G59" s="31"/>
      <c r="H59" s="32"/>
      <c r="I59" s="38" t="s">
        <v>27</v>
      </c>
      <c r="J59" s="3" t="s">
        <v>5</v>
      </c>
      <c r="K59" s="1" t="s">
        <v>27</v>
      </c>
      <c r="L59" s="31"/>
      <c r="M59" s="31"/>
      <c r="N59" s="31"/>
      <c r="O59" s="31"/>
      <c r="P59" s="32"/>
    </row>
    <row r="60" spans="1:16">
      <c r="A60" s="38" t="s">
        <v>27</v>
      </c>
      <c r="B60" s="1" t="s">
        <v>27</v>
      </c>
      <c r="C60" s="1" t="s">
        <v>27</v>
      </c>
      <c r="D60" s="31"/>
      <c r="E60" s="31"/>
      <c r="F60" s="31"/>
      <c r="G60" s="31"/>
      <c r="H60" s="32"/>
      <c r="I60" s="38" t="s">
        <v>27</v>
      </c>
      <c r="J60" s="15" t="s">
        <v>17</v>
      </c>
      <c r="K60" s="1" t="s">
        <v>27</v>
      </c>
      <c r="L60" s="31"/>
      <c r="M60" s="31"/>
      <c r="N60" s="31"/>
      <c r="O60" s="31"/>
      <c r="P60" s="32"/>
    </row>
    <row r="61" spans="1:16">
      <c r="A61" s="38" t="s">
        <v>27</v>
      </c>
      <c r="B61" s="1" t="s">
        <v>27</v>
      </c>
      <c r="C61" s="1" t="s">
        <v>27</v>
      </c>
      <c r="D61" s="31"/>
      <c r="E61" s="31"/>
      <c r="F61" s="31"/>
      <c r="G61" s="31"/>
      <c r="H61" s="32"/>
      <c r="I61" s="38" t="s">
        <v>27</v>
      </c>
      <c r="J61" s="3" t="s">
        <v>5</v>
      </c>
      <c r="K61" s="1" t="s">
        <v>27</v>
      </c>
      <c r="L61" s="31"/>
      <c r="M61" s="31"/>
      <c r="N61" s="31"/>
      <c r="O61" s="31"/>
      <c r="P61" s="32"/>
    </row>
    <row r="62" spans="1:16">
      <c r="A62" s="38" t="s">
        <v>27</v>
      </c>
      <c r="B62" s="1" t="s">
        <v>27</v>
      </c>
      <c r="C62" s="1" t="s">
        <v>27</v>
      </c>
      <c r="D62" s="31"/>
      <c r="E62" s="31"/>
      <c r="F62" s="31"/>
      <c r="G62" s="31"/>
      <c r="H62" s="32"/>
      <c r="I62" s="38" t="s">
        <v>27</v>
      </c>
      <c r="J62" s="3" t="s">
        <v>5</v>
      </c>
      <c r="K62" s="1" t="s">
        <v>27</v>
      </c>
      <c r="L62" s="31"/>
      <c r="M62" s="31"/>
      <c r="N62" s="31"/>
      <c r="O62" s="31"/>
      <c r="P62" s="32"/>
    </row>
    <row r="63" spans="1:16">
      <c r="A63" s="38" t="s">
        <v>27</v>
      </c>
      <c r="B63" s="1" t="s">
        <v>27</v>
      </c>
      <c r="C63" s="1" t="s">
        <v>27</v>
      </c>
      <c r="D63" s="31"/>
      <c r="E63" s="31"/>
      <c r="F63" s="31"/>
      <c r="G63" s="31"/>
      <c r="H63" s="32"/>
      <c r="I63" s="38" t="s">
        <v>27</v>
      </c>
      <c r="J63" s="3" t="s">
        <v>5</v>
      </c>
      <c r="K63" s="1" t="s">
        <v>27</v>
      </c>
      <c r="L63" s="31"/>
      <c r="M63" s="31"/>
      <c r="N63" s="31"/>
      <c r="O63" s="31"/>
      <c r="P63" s="32"/>
    </row>
    <row r="64" spans="1:16">
      <c r="A64" s="38" t="s">
        <v>27</v>
      </c>
      <c r="B64" s="1" t="s">
        <v>27</v>
      </c>
      <c r="C64" s="1" t="s">
        <v>27</v>
      </c>
      <c r="D64" s="31"/>
      <c r="E64" s="31"/>
      <c r="F64" s="31"/>
      <c r="G64" s="31"/>
      <c r="H64" s="32"/>
      <c r="I64" s="38" t="s">
        <v>27</v>
      </c>
      <c r="J64" s="3" t="s">
        <v>5</v>
      </c>
      <c r="K64" s="1" t="s">
        <v>27</v>
      </c>
      <c r="L64" s="31"/>
      <c r="M64" s="31"/>
      <c r="N64" s="31"/>
      <c r="O64" s="31"/>
      <c r="P64" s="32"/>
    </row>
    <row r="65" spans="1:16">
      <c r="A65" s="38" t="s">
        <v>27</v>
      </c>
      <c r="B65" s="1" t="s">
        <v>27</v>
      </c>
      <c r="C65" s="1" t="s">
        <v>27</v>
      </c>
      <c r="D65" s="31"/>
      <c r="E65" s="31"/>
      <c r="F65" s="31"/>
      <c r="G65" s="31"/>
      <c r="H65" s="32"/>
      <c r="I65" s="38" t="s">
        <v>27</v>
      </c>
      <c r="J65" s="3" t="s">
        <v>5</v>
      </c>
      <c r="K65" s="1" t="s">
        <v>27</v>
      </c>
      <c r="L65" s="31"/>
      <c r="M65" s="31"/>
      <c r="N65" s="31"/>
      <c r="O65" s="31"/>
      <c r="P65" s="32"/>
    </row>
    <row r="66" spans="1:16">
      <c r="A66" s="38" t="s">
        <v>27</v>
      </c>
      <c r="B66" s="1" t="s">
        <v>27</v>
      </c>
      <c r="C66" s="1" t="s">
        <v>27</v>
      </c>
      <c r="D66" s="31"/>
      <c r="E66" s="31"/>
      <c r="F66" s="31"/>
      <c r="G66" s="31"/>
      <c r="H66" s="32"/>
      <c r="I66" s="38" t="s">
        <v>27</v>
      </c>
      <c r="J66" s="15" t="s">
        <v>17</v>
      </c>
      <c r="K66" s="1" t="s">
        <v>27</v>
      </c>
      <c r="L66" s="31"/>
      <c r="M66" s="31"/>
      <c r="N66" s="31"/>
      <c r="O66" s="31"/>
      <c r="P66" s="32"/>
    </row>
    <row r="67" spans="1:16">
      <c r="A67" s="38" t="s">
        <v>27</v>
      </c>
      <c r="B67" s="1" t="s">
        <v>27</v>
      </c>
      <c r="C67" s="1" t="s">
        <v>27</v>
      </c>
      <c r="D67" s="31"/>
      <c r="E67" s="31"/>
      <c r="F67" s="31"/>
      <c r="G67" s="31"/>
      <c r="H67" s="32"/>
      <c r="I67" s="38" t="s">
        <v>27</v>
      </c>
      <c r="J67" s="3" t="s">
        <v>5</v>
      </c>
      <c r="K67" s="1" t="s">
        <v>27</v>
      </c>
      <c r="L67" s="31"/>
      <c r="M67" s="31"/>
      <c r="N67" s="31"/>
      <c r="O67" s="31"/>
      <c r="P67" s="32"/>
    </row>
    <row r="68" spans="1:16">
      <c r="A68" s="38" t="s">
        <v>27</v>
      </c>
      <c r="B68" s="1" t="s">
        <v>27</v>
      </c>
      <c r="C68" s="1" t="s">
        <v>27</v>
      </c>
      <c r="D68" s="31"/>
      <c r="E68" s="31"/>
      <c r="F68" s="31"/>
      <c r="G68" s="31"/>
      <c r="H68" s="32"/>
      <c r="I68" s="38" t="s">
        <v>27</v>
      </c>
      <c r="J68" s="3" t="s">
        <v>5</v>
      </c>
      <c r="K68" s="1" t="s">
        <v>27</v>
      </c>
      <c r="L68" s="31"/>
      <c r="M68" s="31"/>
      <c r="N68" s="31"/>
      <c r="O68" s="31"/>
      <c r="P68" s="32"/>
    </row>
    <row r="69" spans="1:16">
      <c r="A69" s="38" t="s">
        <v>27</v>
      </c>
      <c r="B69" s="1" t="s">
        <v>27</v>
      </c>
      <c r="C69" s="1" t="s">
        <v>27</v>
      </c>
      <c r="D69" s="31"/>
      <c r="E69" s="31"/>
      <c r="F69" s="31"/>
      <c r="G69" s="31"/>
      <c r="H69" s="32"/>
      <c r="I69" s="38" t="s">
        <v>27</v>
      </c>
      <c r="J69" s="3" t="s">
        <v>5</v>
      </c>
      <c r="K69" s="1" t="s">
        <v>27</v>
      </c>
      <c r="L69" s="31"/>
      <c r="M69" s="31"/>
      <c r="N69" s="31"/>
      <c r="O69" s="31"/>
      <c r="P69" s="32"/>
    </row>
    <row r="70" spans="1:16">
      <c r="A70" s="38" t="s">
        <v>27</v>
      </c>
      <c r="B70" s="1" t="s">
        <v>27</v>
      </c>
      <c r="C70" s="1" t="s">
        <v>27</v>
      </c>
      <c r="D70" s="31"/>
      <c r="E70" s="31"/>
      <c r="F70" s="31"/>
      <c r="G70" s="31"/>
      <c r="H70" s="32"/>
      <c r="I70" s="38" t="s">
        <v>27</v>
      </c>
      <c r="J70" s="3" t="s">
        <v>5</v>
      </c>
      <c r="K70" s="1" t="s">
        <v>27</v>
      </c>
      <c r="L70" s="31"/>
      <c r="M70" s="31"/>
      <c r="N70" s="31"/>
      <c r="O70" s="31"/>
      <c r="P70" s="32"/>
    </row>
    <row r="71" spans="1:16">
      <c r="A71" s="38" t="s">
        <v>27</v>
      </c>
      <c r="B71" s="1" t="s">
        <v>27</v>
      </c>
      <c r="C71" s="1" t="s">
        <v>27</v>
      </c>
      <c r="D71" s="31"/>
      <c r="E71" s="31"/>
      <c r="F71" s="31"/>
      <c r="G71" s="31"/>
      <c r="H71" s="32"/>
      <c r="I71" s="38" t="s">
        <v>27</v>
      </c>
      <c r="J71" s="3" t="s">
        <v>5</v>
      </c>
      <c r="K71" s="1" t="s">
        <v>27</v>
      </c>
      <c r="L71" s="31"/>
      <c r="M71" s="31"/>
      <c r="N71" s="31"/>
      <c r="O71" s="31"/>
      <c r="P71" s="32"/>
    </row>
    <row r="72" spans="1:16">
      <c r="A72" s="38" t="s">
        <v>27</v>
      </c>
      <c r="B72" s="1" t="s">
        <v>27</v>
      </c>
      <c r="C72" s="1" t="s">
        <v>27</v>
      </c>
      <c r="D72" s="31"/>
      <c r="E72" s="31"/>
      <c r="F72" s="31"/>
      <c r="G72" s="31"/>
      <c r="H72" s="32"/>
      <c r="I72" s="38" t="s">
        <v>27</v>
      </c>
      <c r="J72" s="15" t="s">
        <v>17</v>
      </c>
      <c r="K72" s="1" t="s">
        <v>27</v>
      </c>
      <c r="L72" s="31"/>
      <c r="M72" s="31"/>
      <c r="N72" s="31"/>
      <c r="O72" s="31"/>
      <c r="P72" s="32"/>
    </row>
    <row r="73" spans="1:16">
      <c r="A73" s="38" t="s">
        <v>27</v>
      </c>
      <c r="B73" s="1" t="s">
        <v>27</v>
      </c>
      <c r="C73" s="1" t="s">
        <v>27</v>
      </c>
      <c r="D73" s="31"/>
      <c r="E73" s="31"/>
      <c r="F73" s="31"/>
      <c r="G73" s="31"/>
      <c r="H73" s="32"/>
      <c r="I73" s="38" t="s">
        <v>27</v>
      </c>
      <c r="J73" s="1" t="s">
        <v>27</v>
      </c>
      <c r="K73" s="1" t="s">
        <v>27</v>
      </c>
      <c r="L73" s="31"/>
      <c r="M73" s="31"/>
      <c r="N73" s="31"/>
      <c r="O73" s="31"/>
      <c r="P73" s="32"/>
    </row>
    <row r="74" spans="1:16">
      <c r="A74" s="38" t="s">
        <v>27</v>
      </c>
      <c r="B74" s="1" t="s">
        <v>27</v>
      </c>
      <c r="C74" s="1" t="s">
        <v>27</v>
      </c>
      <c r="D74" s="31"/>
      <c r="E74" s="31"/>
      <c r="F74" s="31"/>
      <c r="G74" s="31"/>
      <c r="H74" s="32"/>
      <c r="I74" s="38" t="s">
        <v>27</v>
      </c>
      <c r="J74" s="1" t="s">
        <v>27</v>
      </c>
      <c r="K74" s="1" t="s">
        <v>27</v>
      </c>
      <c r="L74" s="31"/>
      <c r="M74" s="31"/>
      <c r="N74" s="31"/>
      <c r="O74" s="31"/>
      <c r="P74" s="32"/>
    </row>
    <row r="75" spans="1:16">
      <c r="A75" s="38" t="s">
        <v>27</v>
      </c>
      <c r="B75" s="1" t="s">
        <v>27</v>
      </c>
      <c r="C75" s="1" t="s">
        <v>27</v>
      </c>
      <c r="D75" s="31"/>
      <c r="E75" s="31"/>
      <c r="F75" s="31"/>
      <c r="G75" s="31"/>
      <c r="H75" s="32"/>
      <c r="I75" s="38" t="s">
        <v>27</v>
      </c>
      <c r="J75" s="1" t="s">
        <v>27</v>
      </c>
      <c r="K75" s="1" t="s">
        <v>27</v>
      </c>
      <c r="L75" s="31"/>
      <c r="M75" s="31"/>
      <c r="N75" s="31"/>
      <c r="O75" s="31"/>
      <c r="P75" s="32"/>
    </row>
    <row r="76" spans="1:16">
      <c r="A76" s="38" t="s">
        <v>27</v>
      </c>
      <c r="B76" s="1" t="s">
        <v>27</v>
      </c>
      <c r="C76" s="1" t="s">
        <v>27</v>
      </c>
      <c r="D76" s="31"/>
      <c r="E76" s="31"/>
      <c r="F76" s="31"/>
      <c r="G76" s="31"/>
      <c r="H76" s="32"/>
      <c r="I76" s="38" t="s">
        <v>27</v>
      </c>
      <c r="J76" s="1" t="s">
        <v>27</v>
      </c>
      <c r="K76" s="1" t="s">
        <v>27</v>
      </c>
      <c r="L76" s="31"/>
      <c r="M76" s="31"/>
      <c r="N76" s="31"/>
      <c r="O76" s="31"/>
      <c r="P76" s="32"/>
    </row>
    <row r="77" spans="1:16">
      <c r="A77" s="38" t="s">
        <v>27</v>
      </c>
      <c r="B77" s="1" t="s">
        <v>27</v>
      </c>
      <c r="C77" s="1" t="s">
        <v>27</v>
      </c>
      <c r="D77" s="31"/>
      <c r="E77" s="31"/>
      <c r="F77" s="31"/>
      <c r="G77" s="31"/>
      <c r="H77" s="32"/>
      <c r="I77" s="38" t="s">
        <v>27</v>
      </c>
      <c r="J77" s="1" t="s">
        <v>27</v>
      </c>
      <c r="K77" s="1" t="s">
        <v>27</v>
      </c>
      <c r="L77" s="31"/>
      <c r="M77" s="31"/>
      <c r="N77" s="31"/>
      <c r="O77" s="31"/>
      <c r="P77" s="32"/>
    </row>
    <row r="78" spans="1:16">
      <c r="A78" s="38" t="s">
        <v>27</v>
      </c>
      <c r="B78" s="1" t="s">
        <v>27</v>
      </c>
      <c r="C78" s="1" t="s">
        <v>27</v>
      </c>
      <c r="D78" s="31"/>
      <c r="E78" s="31"/>
      <c r="F78" s="31"/>
      <c r="G78" s="31"/>
      <c r="H78" s="32"/>
      <c r="I78" s="38" t="s">
        <v>27</v>
      </c>
      <c r="J78" s="1" t="s">
        <v>27</v>
      </c>
      <c r="K78" s="1" t="s">
        <v>27</v>
      </c>
      <c r="L78" s="31"/>
      <c r="M78" s="31"/>
      <c r="N78" s="31"/>
      <c r="O78" s="31"/>
      <c r="P78" s="32"/>
    </row>
    <row r="79" spans="1:16">
      <c r="A79" s="38" t="s">
        <v>27</v>
      </c>
      <c r="B79" s="1" t="s">
        <v>27</v>
      </c>
      <c r="C79" s="1" t="s">
        <v>27</v>
      </c>
      <c r="D79" s="31"/>
      <c r="E79" s="31"/>
      <c r="F79" s="31"/>
      <c r="G79" s="31"/>
      <c r="H79" s="32"/>
      <c r="I79" s="38" t="s">
        <v>27</v>
      </c>
      <c r="J79" s="1" t="s">
        <v>27</v>
      </c>
      <c r="K79" s="1" t="s">
        <v>27</v>
      </c>
      <c r="L79" s="31"/>
      <c r="M79" s="31"/>
      <c r="N79" s="31"/>
      <c r="O79" s="31"/>
      <c r="P79" s="32"/>
    </row>
    <row r="80" spans="1:16">
      <c r="A80" s="38" t="s">
        <v>27</v>
      </c>
      <c r="B80" s="1" t="s">
        <v>27</v>
      </c>
      <c r="C80" s="1" t="s">
        <v>27</v>
      </c>
      <c r="D80" s="31"/>
      <c r="E80" s="31"/>
      <c r="F80" s="31"/>
      <c r="G80" s="31"/>
      <c r="H80" s="32"/>
      <c r="I80" s="38" t="s">
        <v>27</v>
      </c>
      <c r="J80" s="1" t="s">
        <v>27</v>
      </c>
      <c r="K80" s="1" t="s">
        <v>27</v>
      </c>
      <c r="L80" s="31"/>
      <c r="M80" s="31"/>
      <c r="N80" s="31"/>
      <c r="O80" s="31"/>
      <c r="P80" s="32"/>
    </row>
    <row r="81" spans="1:16">
      <c r="A81" s="38" t="s">
        <v>27</v>
      </c>
      <c r="B81" s="1" t="s">
        <v>27</v>
      </c>
      <c r="C81" s="1" t="s">
        <v>27</v>
      </c>
      <c r="D81" s="31"/>
      <c r="E81" s="31"/>
      <c r="F81" s="31"/>
      <c r="G81" s="31"/>
      <c r="H81" s="32"/>
      <c r="I81" s="38" t="s">
        <v>27</v>
      </c>
      <c r="J81" s="1" t="s">
        <v>27</v>
      </c>
      <c r="K81" s="1" t="s">
        <v>27</v>
      </c>
      <c r="L81" s="31"/>
      <c r="M81" s="31"/>
      <c r="N81" s="31"/>
      <c r="O81" s="31"/>
      <c r="P81" s="32"/>
    </row>
    <row r="82" spans="1:16">
      <c r="A82" s="38" t="s">
        <v>27</v>
      </c>
      <c r="B82" s="1" t="s">
        <v>27</v>
      </c>
      <c r="C82" s="1" t="s">
        <v>27</v>
      </c>
      <c r="D82" s="31"/>
      <c r="E82" s="31"/>
      <c r="F82" s="31"/>
      <c r="G82" s="31"/>
      <c r="H82" s="32"/>
      <c r="I82" s="38" t="s">
        <v>27</v>
      </c>
      <c r="J82" s="1" t="s">
        <v>27</v>
      </c>
      <c r="K82" s="1" t="s">
        <v>27</v>
      </c>
      <c r="L82" s="31"/>
      <c r="M82" s="31"/>
      <c r="N82" s="31"/>
      <c r="O82" s="31"/>
      <c r="P82" s="32"/>
    </row>
    <row r="83" spans="1:16">
      <c r="A83" s="38" t="s">
        <v>27</v>
      </c>
      <c r="B83" s="1" t="s">
        <v>27</v>
      </c>
      <c r="C83" s="1" t="s">
        <v>27</v>
      </c>
      <c r="D83" s="31"/>
      <c r="E83" s="31"/>
      <c r="F83" s="31"/>
      <c r="G83" s="31"/>
      <c r="H83" s="32"/>
      <c r="I83" s="38" t="s">
        <v>27</v>
      </c>
      <c r="J83" s="1" t="s">
        <v>27</v>
      </c>
      <c r="K83" s="1" t="s">
        <v>27</v>
      </c>
      <c r="L83" s="31"/>
      <c r="M83" s="31"/>
      <c r="N83" s="31"/>
      <c r="O83" s="31"/>
      <c r="P83" s="32"/>
    </row>
    <row r="84" spans="1:16">
      <c r="A84" s="38" t="s">
        <v>27</v>
      </c>
      <c r="B84" s="1" t="s">
        <v>27</v>
      </c>
      <c r="C84" s="1" t="s">
        <v>27</v>
      </c>
      <c r="D84" s="31"/>
      <c r="E84" s="31"/>
      <c r="F84" s="31"/>
      <c r="G84" s="31"/>
      <c r="H84" s="32"/>
      <c r="I84" s="38" t="s">
        <v>27</v>
      </c>
      <c r="J84" s="1" t="s">
        <v>27</v>
      </c>
      <c r="K84" s="1" t="s">
        <v>27</v>
      </c>
      <c r="L84" s="31"/>
      <c r="M84" s="31"/>
      <c r="N84" s="31"/>
      <c r="O84" s="31"/>
      <c r="P84" s="32"/>
    </row>
    <row r="85" spans="1:16">
      <c r="A85" s="38" t="s">
        <v>27</v>
      </c>
      <c r="B85" s="1" t="s">
        <v>27</v>
      </c>
      <c r="C85" s="1" t="s">
        <v>27</v>
      </c>
      <c r="D85" s="31"/>
      <c r="E85" s="31"/>
      <c r="F85" s="31"/>
      <c r="G85" s="31"/>
      <c r="H85" s="32"/>
      <c r="I85" s="38" t="s">
        <v>27</v>
      </c>
      <c r="J85" s="1" t="s">
        <v>27</v>
      </c>
      <c r="K85" s="1" t="s">
        <v>27</v>
      </c>
      <c r="L85" s="31"/>
      <c r="M85" s="31"/>
      <c r="N85" s="31"/>
      <c r="O85" s="31"/>
      <c r="P85" s="32"/>
    </row>
    <row r="86" spans="1:16">
      <c r="A86" s="38" t="s">
        <v>27</v>
      </c>
      <c r="B86" s="1" t="s">
        <v>27</v>
      </c>
      <c r="C86" s="1" t="s">
        <v>27</v>
      </c>
      <c r="D86" s="31"/>
      <c r="E86" s="31"/>
      <c r="F86" s="31"/>
      <c r="G86" s="31"/>
      <c r="H86" s="32"/>
      <c r="I86" s="38" t="s">
        <v>27</v>
      </c>
      <c r="J86" s="1" t="s">
        <v>27</v>
      </c>
      <c r="K86" s="1" t="s">
        <v>27</v>
      </c>
      <c r="L86" s="31"/>
      <c r="M86" s="31"/>
      <c r="N86" s="31"/>
      <c r="O86" s="31"/>
      <c r="P86" s="32"/>
    </row>
    <row r="87" spans="1:16">
      <c r="A87" s="38" t="s">
        <v>27</v>
      </c>
      <c r="B87" s="1" t="s">
        <v>27</v>
      </c>
      <c r="C87" s="1" t="s">
        <v>27</v>
      </c>
      <c r="D87" s="31"/>
      <c r="E87" s="31"/>
      <c r="F87" s="31"/>
      <c r="G87" s="31"/>
      <c r="H87" s="32"/>
      <c r="I87" s="38" t="s">
        <v>27</v>
      </c>
      <c r="J87" s="1" t="s">
        <v>27</v>
      </c>
      <c r="K87" s="1" t="s">
        <v>27</v>
      </c>
      <c r="L87" s="31"/>
      <c r="M87" s="31"/>
      <c r="N87" s="31"/>
      <c r="O87" s="31"/>
      <c r="P87" s="32"/>
    </row>
    <row r="88" spans="1:16">
      <c r="A88" s="38" t="s">
        <v>27</v>
      </c>
      <c r="B88" s="1" t="s">
        <v>27</v>
      </c>
      <c r="C88" s="1" t="s">
        <v>27</v>
      </c>
      <c r="D88" s="31"/>
      <c r="E88" s="31"/>
      <c r="F88" s="31"/>
      <c r="G88" s="31"/>
      <c r="H88" s="32"/>
      <c r="I88" s="38" t="s">
        <v>27</v>
      </c>
      <c r="J88" s="1" t="s">
        <v>27</v>
      </c>
      <c r="K88" s="1" t="s">
        <v>27</v>
      </c>
      <c r="L88" s="31"/>
      <c r="M88" s="31"/>
      <c r="N88" s="31"/>
      <c r="O88" s="31"/>
      <c r="P88" s="32"/>
    </row>
    <row r="89" spans="1:16">
      <c r="A89" s="38" t="s">
        <v>27</v>
      </c>
      <c r="B89" s="1" t="s">
        <v>27</v>
      </c>
      <c r="C89" s="1" t="s">
        <v>27</v>
      </c>
      <c r="D89" s="31"/>
      <c r="E89" s="31"/>
      <c r="F89" s="31"/>
      <c r="G89" s="31"/>
      <c r="H89" s="32"/>
      <c r="I89" s="38" t="s">
        <v>27</v>
      </c>
      <c r="J89" s="1" t="s">
        <v>27</v>
      </c>
      <c r="K89" s="1" t="s">
        <v>27</v>
      </c>
      <c r="L89" s="31"/>
      <c r="M89" s="31"/>
      <c r="N89" s="31"/>
      <c r="O89" s="31"/>
      <c r="P89" s="32"/>
    </row>
    <row r="90" spans="1:16">
      <c r="A90" s="38" t="s">
        <v>27</v>
      </c>
      <c r="B90" s="1" t="s">
        <v>27</v>
      </c>
      <c r="C90" s="1" t="s">
        <v>27</v>
      </c>
      <c r="D90" s="31"/>
      <c r="E90" s="31"/>
      <c r="F90" s="31"/>
      <c r="G90" s="31"/>
      <c r="H90" s="32"/>
      <c r="I90" s="38" t="s">
        <v>27</v>
      </c>
      <c r="J90" s="1" t="s">
        <v>27</v>
      </c>
      <c r="K90" s="1" t="s">
        <v>27</v>
      </c>
      <c r="L90" s="31"/>
      <c r="M90" s="31"/>
      <c r="N90" s="31"/>
      <c r="O90" s="31"/>
      <c r="P90" s="32"/>
    </row>
    <row r="91" spans="1:16">
      <c r="A91" s="38" t="s">
        <v>27</v>
      </c>
      <c r="B91" s="1" t="s">
        <v>27</v>
      </c>
      <c r="C91" s="1" t="s">
        <v>27</v>
      </c>
      <c r="D91" s="31"/>
      <c r="E91" s="31"/>
      <c r="F91" s="31"/>
      <c r="G91" s="31"/>
      <c r="H91" s="32"/>
      <c r="I91" s="38" t="s">
        <v>27</v>
      </c>
      <c r="J91" s="1" t="s">
        <v>27</v>
      </c>
      <c r="K91" s="1" t="s">
        <v>27</v>
      </c>
      <c r="L91" s="31"/>
      <c r="M91" s="31"/>
      <c r="N91" s="31"/>
      <c r="O91" s="31"/>
      <c r="P91" s="32"/>
    </row>
    <row r="92" spans="1:16">
      <c r="A92" s="38" t="s">
        <v>27</v>
      </c>
      <c r="B92" s="1" t="s">
        <v>27</v>
      </c>
      <c r="C92" s="1" t="s">
        <v>27</v>
      </c>
      <c r="D92" s="31"/>
      <c r="E92" s="31"/>
      <c r="F92" s="31"/>
      <c r="G92" s="31"/>
      <c r="H92" s="32"/>
      <c r="I92" s="38" t="s">
        <v>27</v>
      </c>
      <c r="J92" s="1" t="s">
        <v>27</v>
      </c>
      <c r="K92" s="1" t="s">
        <v>27</v>
      </c>
      <c r="L92" s="31"/>
      <c r="M92" s="31"/>
      <c r="N92" s="31"/>
      <c r="O92" s="31"/>
      <c r="P92" s="32"/>
    </row>
    <row r="93" spans="1:16">
      <c r="A93" s="38" t="s">
        <v>27</v>
      </c>
      <c r="B93" s="1" t="s">
        <v>27</v>
      </c>
      <c r="C93" s="1" t="s">
        <v>27</v>
      </c>
      <c r="D93" s="31"/>
      <c r="E93" s="31"/>
      <c r="F93" s="31"/>
      <c r="G93" s="31"/>
      <c r="H93" s="32"/>
      <c r="I93" s="38" t="s">
        <v>27</v>
      </c>
      <c r="J93" s="1" t="s">
        <v>27</v>
      </c>
      <c r="K93" s="1" t="s">
        <v>27</v>
      </c>
      <c r="L93" s="31"/>
      <c r="M93" s="31"/>
      <c r="N93" s="31"/>
      <c r="O93" s="31"/>
      <c r="P93" s="32"/>
    </row>
    <row r="94" spans="1:16">
      <c r="A94" s="38" t="s">
        <v>27</v>
      </c>
      <c r="B94" s="1" t="s">
        <v>27</v>
      </c>
      <c r="C94" s="1" t="s">
        <v>27</v>
      </c>
      <c r="D94" s="31"/>
      <c r="E94" s="31"/>
      <c r="F94" s="31"/>
      <c r="G94" s="31"/>
      <c r="H94" s="32"/>
      <c r="I94" s="38" t="s">
        <v>27</v>
      </c>
      <c r="J94" s="1" t="s">
        <v>27</v>
      </c>
      <c r="K94" s="1" t="s">
        <v>27</v>
      </c>
      <c r="L94" s="31"/>
      <c r="M94" s="31"/>
      <c r="N94" s="31"/>
      <c r="O94" s="31"/>
      <c r="P94" s="32"/>
    </row>
    <row r="95" spans="1:16">
      <c r="A95" s="38" t="s">
        <v>27</v>
      </c>
      <c r="B95" s="1" t="s">
        <v>27</v>
      </c>
      <c r="C95" s="1" t="s">
        <v>27</v>
      </c>
      <c r="D95" s="31"/>
      <c r="E95" s="31"/>
      <c r="F95" s="31"/>
      <c r="G95" s="31"/>
      <c r="H95" s="32"/>
      <c r="I95" s="38" t="s">
        <v>27</v>
      </c>
      <c r="J95" s="1" t="s">
        <v>27</v>
      </c>
      <c r="K95" s="1" t="s">
        <v>27</v>
      </c>
      <c r="L95" s="31"/>
      <c r="M95" s="31"/>
      <c r="N95" s="31"/>
      <c r="O95" s="31"/>
      <c r="P95" s="32"/>
    </row>
    <row r="96" spans="1:16">
      <c r="A96" s="38" t="s">
        <v>27</v>
      </c>
      <c r="B96" s="1" t="s">
        <v>27</v>
      </c>
      <c r="C96" s="1" t="s">
        <v>27</v>
      </c>
      <c r="D96" s="31"/>
      <c r="E96" s="31"/>
      <c r="F96" s="31"/>
      <c r="G96" s="31"/>
      <c r="H96" s="32"/>
      <c r="I96" s="38" t="s">
        <v>27</v>
      </c>
      <c r="J96" s="1" t="s">
        <v>27</v>
      </c>
      <c r="K96" s="1" t="s">
        <v>27</v>
      </c>
      <c r="L96" s="31"/>
      <c r="M96" s="31"/>
      <c r="N96" s="31"/>
      <c r="O96" s="31"/>
      <c r="P96" s="32"/>
    </row>
    <row r="97" spans="1:16">
      <c r="A97" s="38" t="s">
        <v>27</v>
      </c>
      <c r="B97" s="1" t="s">
        <v>27</v>
      </c>
      <c r="C97" s="1" t="s">
        <v>27</v>
      </c>
      <c r="D97" s="31"/>
      <c r="E97" s="31"/>
      <c r="F97" s="31"/>
      <c r="G97" s="31"/>
      <c r="H97" s="32"/>
      <c r="I97" s="38" t="s">
        <v>27</v>
      </c>
      <c r="J97" s="1" t="s">
        <v>27</v>
      </c>
      <c r="K97" s="1" t="s">
        <v>27</v>
      </c>
      <c r="L97" s="31"/>
      <c r="M97" s="31"/>
      <c r="N97" s="31"/>
      <c r="O97" s="31"/>
      <c r="P97" s="32"/>
    </row>
    <row r="98" spans="1:16">
      <c r="A98" s="38" t="s">
        <v>27</v>
      </c>
      <c r="B98" s="1" t="s">
        <v>27</v>
      </c>
      <c r="C98" s="1" t="s">
        <v>27</v>
      </c>
      <c r="D98" s="31"/>
      <c r="E98" s="31"/>
      <c r="F98" s="31"/>
      <c r="G98" s="31"/>
      <c r="H98" s="32"/>
      <c r="I98" s="38" t="s">
        <v>27</v>
      </c>
      <c r="J98" s="1" t="s">
        <v>27</v>
      </c>
      <c r="K98" s="1" t="s">
        <v>27</v>
      </c>
      <c r="L98" s="31"/>
      <c r="M98" s="31"/>
      <c r="N98" s="31"/>
      <c r="O98" s="31"/>
      <c r="P98" s="32"/>
    </row>
    <row r="99" spans="1:16">
      <c r="A99" s="38" t="s">
        <v>27</v>
      </c>
      <c r="B99" s="1" t="s">
        <v>27</v>
      </c>
      <c r="C99" s="1" t="s">
        <v>27</v>
      </c>
      <c r="D99" s="31"/>
      <c r="E99" s="31"/>
      <c r="F99" s="31"/>
      <c r="G99" s="31"/>
      <c r="H99" s="32"/>
      <c r="I99" s="38" t="s">
        <v>27</v>
      </c>
      <c r="J99" s="1" t="s">
        <v>27</v>
      </c>
      <c r="K99" s="1" t="s">
        <v>27</v>
      </c>
      <c r="L99" s="31"/>
      <c r="M99" s="31"/>
      <c r="N99" s="31"/>
      <c r="O99" s="31"/>
      <c r="P99" s="32"/>
    </row>
    <row r="100" spans="1:16" ht="15" thickBot="1">
      <c r="A100" s="39" t="s">
        <v>27</v>
      </c>
      <c r="B100" s="40" t="s">
        <v>27</v>
      </c>
      <c r="C100" s="40" t="s">
        <v>27</v>
      </c>
      <c r="D100" s="41"/>
      <c r="E100" s="41"/>
      <c r="F100" s="41"/>
      <c r="G100" s="41"/>
      <c r="H100" s="42"/>
      <c r="I100" s="39" t="s">
        <v>27</v>
      </c>
      <c r="J100" s="40" t="s">
        <v>27</v>
      </c>
      <c r="K100" s="40" t="s">
        <v>27</v>
      </c>
      <c r="L100" s="41"/>
      <c r="M100" s="41"/>
      <c r="N100" s="41"/>
      <c r="O100" s="41"/>
      <c r="P100" s="4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2B37-449A-4BDF-AC33-4F2380AE4DBF}">
  <dimension ref="A1:AB100"/>
  <sheetViews>
    <sheetView workbookViewId="0">
      <selection activeCell="Z10" sqref="Z10"/>
    </sheetView>
  </sheetViews>
  <sheetFormatPr defaultRowHeight="14.4"/>
  <sheetData>
    <row r="1" spans="1:28" ht="15.6">
      <c r="A1" s="70" t="s">
        <v>30</v>
      </c>
      <c r="B1" s="71"/>
      <c r="C1" s="71"/>
      <c r="D1" s="71"/>
      <c r="E1" s="71"/>
      <c r="F1" s="72" t="s">
        <v>3</v>
      </c>
      <c r="G1" s="72"/>
      <c r="H1" s="27" cm="1">
        <f t="array" ref="H1">SUM(VLOOKUP(A4:C100,$T$3:$W$36,4,FALSE))+H4*10-H8*50</f>
        <v>2489.7752794047424</v>
      </c>
      <c r="I1" s="73" t="s">
        <v>41</v>
      </c>
      <c r="J1" s="74"/>
      <c r="K1" s="74"/>
      <c r="L1" s="74"/>
      <c r="M1" s="74"/>
      <c r="N1" s="74"/>
      <c r="O1" s="74"/>
      <c r="P1" s="75"/>
      <c r="Q1" s="73" t="s">
        <v>48</v>
      </c>
      <c r="R1" s="74"/>
      <c r="S1" s="74"/>
      <c r="T1" s="74"/>
      <c r="U1" s="74"/>
      <c r="V1" s="74"/>
      <c r="W1" s="74"/>
      <c r="X1" s="74"/>
      <c r="Y1" s="74"/>
      <c r="Z1" s="74"/>
      <c r="AA1" s="74"/>
      <c r="AB1" s="75"/>
    </row>
    <row r="2" spans="1:28" ht="28.8">
      <c r="A2" s="76" t="s">
        <v>35</v>
      </c>
      <c r="B2" s="77"/>
      <c r="C2" s="77"/>
      <c r="D2" s="78" t="s">
        <v>37</v>
      </c>
      <c r="E2" s="79"/>
      <c r="F2" s="79"/>
      <c r="G2" s="79"/>
      <c r="H2" s="80"/>
      <c r="I2" s="81" t="s">
        <v>35</v>
      </c>
      <c r="J2" s="82"/>
      <c r="K2" s="82"/>
      <c r="L2" s="83" t="s">
        <v>37</v>
      </c>
      <c r="M2" s="83"/>
      <c r="N2" s="83"/>
      <c r="O2" s="83"/>
      <c r="P2" s="84"/>
      <c r="Q2" s="60" t="s">
        <v>43</v>
      </c>
      <c r="R2" s="61" cm="1">
        <f t="array" ref="R2">SUM(V3:V28*AB3:AB28)+H6+P6+R4*500</f>
        <v>65160</v>
      </c>
      <c r="S2" s="31"/>
      <c r="T2" s="1" t="s">
        <v>0</v>
      </c>
      <c r="U2" s="1" t="s">
        <v>1</v>
      </c>
      <c r="V2" s="1" t="s">
        <v>2</v>
      </c>
      <c r="W2" s="54" t="s">
        <v>3</v>
      </c>
      <c r="X2" s="56" t="s">
        <v>44</v>
      </c>
      <c r="Y2" s="56" t="s">
        <v>56</v>
      </c>
      <c r="Z2" s="57" t="s">
        <v>45</v>
      </c>
      <c r="AA2" s="57" t="s">
        <v>46</v>
      </c>
      <c r="AB2" s="62" t="s">
        <v>47</v>
      </c>
    </row>
    <row r="3" spans="1:28">
      <c r="A3" s="28" t="s">
        <v>31</v>
      </c>
      <c r="B3" s="68" t="s">
        <v>32</v>
      </c>
      <c r="C3" s="20" t="s">
        <v>33</v>
      </c>
      <c r="D3" s="43"/>
      <c r="E3" s="28" t="s">
        <v>31</v>
      </c>
      <c r="F3" s="68" t="s">
        <v>32</v>
      </c>
      <c r="G3" s="20" t="s">
        <v>33</v>
      </c>
      <c r="H3" s="44" t="s">
        <v>36</v>
      </c>
      <c r="I3" s="28" t="s">
        <v>31</v>
      </c>
      <c r="J3" s="68" t="s">
        <v>32</v>
      </c>
      <c r="K3" s="20" t="s">
        <v>33</v>
      </c>
      <c r="L3" s="43"/>
      <c r="M3" s="28" t="s">
        <v>31</v>
      </c>
      <c r="N3" s="68" t="s">
        <v>32</v>
      </c>
      <c r="O3" s="20" t="s">
        <v>33</v>
      </c>
      <c r="P3" s="44" t="s">
        <v>36</v>
      </c>
      <c r="Q3" s="63" t="s">
        <v>49</v>
      </c>
      <c r="R3" s="31">
        <v>91</v>
      </c>
      <c r="S3" s="31"/>
      <c r="T3" s="2" t="s">
        <v>4</v>
      </c>
      <c r="U3" s="1">
        <v>150</v>
      </c>
      <c r="V3" s="1">
        <v>35</v>
      </c>
      <c r="W3" s="55">
        <f>U3-V3/0.330882</f>
        <v>44.222109392472248</v>
      </c>
      <c r="X3" s="56"/>
      <c r="Y3" s="56">
        <v>10</v>
      </c>
      <c r="Z3" s="1">
        <f>COUNTIF($A$4:$C$100,T3)</f>
        <v>6</v>
      </c>
      <c r="AA3" s="1">
        <f>COUNTIF($I$4:$K$100,T3)</f>
        <v>4</v>
      </c>
      <c r="AB3" s="64">
        <f>Y3-Z3-AA3</f>
        <v>0</v>
      </c>
    </row>
    <row r="4" spans="1:28">
      <c r="A4" s="2" t="s">
        <v>4</v>
      </c>
      <c r="B4" s="15" t="s">
        <v>17</v>
      </c>
      <c r="C4" s="3" t="s">
        <v>5</v>
      </c>
      <c r="D4" s="53" t="s">
        <v>34</v>
      </c>
      <c r="E4" s="49">
        <v>5</v>
      </c>
      <c r="F4" s="49">
        <v>0</v>
      </c>
      <c r="G4" s="49">
        <v>1</v>
      </c>
      <c r="H4" s="46">
        <f>SUM(E4:G4)</f>
        <v>6</v>
      </c>
      <c r="I4" s="1" t="s">
        <v>27</v>
      </c>
      <c r="J4" s="15" t="s">
        <v>17</v>
      </c>
      <c r="K4" s="1" t="s">
        <v>27</v>
      </c>
      <c r="L4" s="53" t="s">
        <v>34</v>
      </c>
      <c r="M4" s="49">
        <v>0</v>
      </c>
      <c r="N4" s="49">
        <v>4</v>
      </c>
      <c r="O4" s="49">
        <v>0</v>
      </c>
      <c r="P4" s="46">
        <f>SUM(M4:O4)</f>
        <v>4</v>
      </c>
      <c r="Q4" s="63" t="s">
        <v>50</v>
      </c>
      <c r="R4" s="50">
        <v>14</v>
      </c>
      <c r="S4" s="31"/>
      <c r="T4" s="3" t="s">
        <v>5</v>
      </c>
      <c r="U4" s="1">
        <v>160</v>
      </c>
      <c r="V4" s="1">
        <v>40</v>
      </c>
      <c r="W4" s="55">
        <f t="shared" ref="W4" si="0">U4-V4/0.330882</f>
        <v>39.110982162825422</v>
      </c>
      <c r="X4" s="56"/>
      <c r="Y4" s="56">
        <v>56</v>
      </c>
      <c r="Z4" s="1">
        <f t="shared" ref="Z4:Z28" si="1">COUNTIF($A$4:$C$100,T4)</f>
        <v>13</v>
      </c>
      <c r="AA4" s="1">
        <f t="shared" ref="AA4:AA28" si="2">COUNTIF($I$4:$K$100,T4)</f>
        <v>43</v>
      </c>
      <c r="AB4" s="64">
        <f t="shared" ref="AB4:AB28" si="3">Y4-Z4-AA4</f>
        <v>0</v>
      </c>
    </row>
    <row r="5" spans="1:28">
      <c r="A5" s="2" t="s">
        <v>4</v>
      </c>
      <c r="B5" s="3" t="s">
        <v>5</v>
      </c>
      <c r="C5" s="16" t="s">
        <v>18</v>
      </c>
      <c r="D5" s="43" t="s">
        <v>38</v>
      </c>
      <c r="E5" s="45" cm="1">
        <f t="array" ref="E5">(SUM(VLOOKUP(A4:A100,$T$3:$W$41,2,FALSE))+E4*10)-E8*50</f>
        <v>5670</v>
      </c>
      <c r="F5" s="45" cm="1">
        <f t="array" ref="F5">(SUM(VLOOKUP(B4:B100,$T$3:$W$41,2,FALSE))+F4*10)-F8*50</f>
        <v>850</v>
      </c>
      <c r="G5" s="45" cm="1">
        <f t="array" ref="G5">(SUM(VLOOKUP(C4:C100,$T$3:$W$41,2,FALSE))+G4*10)-G8*50</f>
        <v>6130</v>
      </c>
      <c r="H5" s="69">
        <f t="shared" ref="H5:H8" si="4">SUM(E5:G5)</f>
        <v>12650</v>
      </c>
      <c r="I5" s="1" t="s">
        <v>27</v>
      </c>
      <c r="J5" s="3" t="s">
        <v>5</v>
      </c>
      <c r="K5" s="1" t="s">
        <v>27</v>
      </c>
      <c r="L5" s="43" t="s">
        <v>38</v>
      </c>
      <c r="M5" s="45" cm="1">
        <f t="array" ref="M5">(SUM(VLOOKUP(I4:I100,$T$3:$W$41,2,FALSE))+M4*10)*0.8-M8*40</f>
        <v>0</v>
      </c>
      <c r="N5" s="45" cm="1">
        <f t="array" ref="N5">(SUM(VLOOKUP(J4:J100,$T$3:$W$41,2,FALSE))+N4*10)*0.8-N8*40</f>
        <v>6496</v>
      </c>
      <c r="O5" s="45" cm="1">
        <f t="array" ref="O5">(SUM(VLOOKUP(K4:K100,$T$3:$W$41,2,FALSE))+O4*10)*0.8-O8*40</f>
        <v>0</v>
      </c>
      <c r="P5" s="69">
        <f t="shared" ref="P5:P8" si="5">SUM(M5:O5)</f>
        <v>6496</v>
      </c>
      <c r="Q5" s="63" t="s">
        <v>51</v>
      </c>
      <c r="R5" s="31">
        <v>6000</v>
      </c>
      <c r="S5" s="31"/>
      <c r="T5" s="4" t="s">
        <v>6</v>
      </c>
      <c r="U5" s="1">
        <v>170</v>
      </c>
      <c r="V5" s="1">
        <v>45</v>
      </c>
      <c r="W5" s="55">
        <v>34</v>
      </c>
      <c r="X5" s="58"/>
      <c r="Y5" s="56">
        <v>232</v>
      </c>
      <c r="Z5" s="1">
        <f t="shared" si="1"/>
        <v>48</v>
      </c>
      <c r="AA5" s="1">
        <f t="shared" si="2"/>
        <v>0</v>
      </c>
      <c r="AB5" s="64">
        <f t="shared" si="3"/>
        <v>184</v>
      </c>
    </row>
    <row r="6" spans="1:28">
      <c r="A6" s="2" t="s">
        <v>4</v>
      </c>
      <c r="B6" s="3" t="s">
        <v>5</v>
      </c>
      <c r="C6" s="3" t="s">
        <v>5</v>
      </c>
      <c r="D6" s="43" t="s">
        <v>39</v>
      </c>
      <c r="E6" s="45" cm="1">
        <f t="array" ref="E6">(SUM(VLOOKUP(A4:A100,$T$3:$W$41,3,FALSE)))</f>
        <v>1780</v>
      </c>
      <c r="F6" s="45" cm="1">
        <f t="array" ref="F6">(SUM(VLOOKUP(B4:B100,$T$3:$W$41,3,FALSE)))</f>
        <v>230</v>
      </c>
      <c r="G6" s="45" cm="1">
        <f t="array" ref="G6">(SUM(VLOOKUP(C4:C100,$T$3:$W$41,3,FALSE)))</f>
        <v>2360</v>
      </c>
      <c r="H6" s="59">
        <f t="shared" si="4"/>
        <v>4370</v>
      </c>
      <c r="I6" s="1" t="s">
        <v>27</v>
      </c>
      <c r="J6" s="3" t="s">
        <v>5</v>
      </c>
      <c r="K6" s="1" t="s">
        <v>27</v>
      </c>
      <c r="L6" s="43" t="s">
        <v>39</v>
      </c>
      <c r="M6" s="45" cm="1">
        <f t="array" ref="M6">(SUM(VLOOKUP(I4:I100,$T$3:$W$41,3,FALSE)))</f>
        <v>0</v>
      </c>
      <c r="N6" s="45" cm="1">
        <f t="array" ref="N6">(SUM(VLOOKUP(J4:J100,$T$3:$W$41,3,FALSE)))</f>
        <v>2370</v>
      </c>
      <c r="O6" s="45" cm="1">
        <f t="array" ref="O6">(SUM(VLOOKUP(K4:K100,$T$3:$W$41,3,FALSE)))</f>
        <v>0</v>
      </c>
      <c r="P6" s="59">
        <f t="shared" si="5"/>
        <v>2370</v>
      </c>
      <c r="Q6" s="60" t="s">
        <v>52</v>
      </c>
      <c r="R6" s="31">
        <f>R3*1600-800+R5</f>
        <v>150800</v>
      </c>
      <c r="S6" s="31"/>
      <c r="T6" s="5" t="s">
        <v>7</v>
      </c>
      <c r="U6" s="1">
        <v>180</v>
      </c>
      <c r="V6" s="1">
        <v>50</v>
      </c>
      <c r="W6" s="55">
        <v>36</v>
      </c>
      <c r="X6" s="56">
        <v>265</v>
      </c>
      <c r="Y6" s="56">
        <v>265</v>
      </c>
      <c r="Z6" s="1">
        <f t="shared" si="1"/>
        <v>0</v>
      </c>
      <c r="AA6" s="1">
        <f t="shared" si="2"/>
        <v>0</v>
      </c>
      <c r="AB6" s="64">
        <f t="shared" si="3"/>
        <v>265</v>
      </c>
    </row>
    <row r="7" spans="1:28">
      <c r="A7" s="2" t="s">
        <v>4</v>
      </c>
      <c r="B7" s="3" t="s">
        <v>5</v>
      </c>
      <c r="C7" s="23" t="s">
        <v>29</v>
      </c>
      <c r="D7" s="43" t="s">
        <v>40</v>
      </c>
      <c r="E7" s="45">
        <f>COUNTIF(A4:A100,"&lt;&gt;空")</f>
        <v>35</v>
      </c>
      <c r="F7" s="45">
        <f>COUNTIF(B4:B100,"&lt;&gt;空")</f>
        <v>6</v>
      </c>
      <c r="G7" s="45">
        <f>COUNTIF(C4:C100,"&lt;&gt;空")</f>
        <v>42</v>
      </c>
      <c r="H7" s="46">
        <f t="shared" si="4"/>
        <v>83</v>
      </c>
      <c r="I7" s="1" t="s">
        <v>27</v>
      </c>
      <c r="J7" s="3" t="s">
        <v>5</v>
      </c>
      <c r="K7" s="1" t="s">
        <v>27</v>
      </c>
      <c r="L7" s="43" t="s">
        <v>40</v>
      </c>
      <c r="M7" s="45">
        <f>COUNTIF(I4:I100,"&lt;&gt;空")</f>
        <v>0</v>
      </c>
      <c r="N7" s="45">
        <f>COUNTIF(J4:J100,"&lt;&gt;空")</f>
        <v>65</v>
      </c>
      <c r="O7" s="45">
        <f>COUNTIF(K4:K100,"&lt;&gt;空")</f>
        <v>0</v>
      </c>
      <c r="P7" s="46">
        <f t="shared" si="5"/>
        <v>65</v>
      </c>
      <c r="Q7" s="63" t="s">
        <v>55</v>
      </c>
      <c r="R7" s="31">
        <v>13</v>
      </c>
      <c r="S7" s="31"/>
      <c r="T7" s="6" t="s">
        <v>8</v>
      </c>
      <c r="U7" s="1">
        <v>190</v>
      </c>
      <c r="V7" s="1">
        <v>55</v>
      </c>
      <c r="W7" s="55">
        <v>38</v>
      </c>
      <c r="X7" s="56">
        <v>234</v>
      </c>
      <c r="Y7" s="56">
        <v>234</v>
      </c>
      <c r="Z7" s="1">
        <f t="shared" si="1"/>
        <v>0</v>
      </c>
      <c r="AA7" s="1">
        <f t="shared" si="2"/>
        <v>0</v>
      </c>
      <c r="AB7" s="64">
        <f t="shared" si="3"/>
        <v>234</v>
      </c>
    </row>
    <row r="8" spans="1:28">
      <c r="A8" s="2" t="s">
        <v>4</v>
      </c>
      <c r="B8" s="3" t="s">
        <v>5</v>
      </c>
      <c r="C8" s="3" t="s">
        <v>5</v>
      </c>
      <c r="D8" s="52" t="s">
        <v>53</v>
      </c>
      <c r="E8" s="51">
        <v>1</v>
      </c>
      <c r="F8" s="51">
        <v>0</v>
      </c>
      <c r="G8" s="51">
        <v>0</v>
      </c>
      <c r="H8" s="46">
        <f t="shared" si="4"/>
        <v>1</v>
      </c>
      <c r="I8" s="1" t="s">
        <v>27</v>
      </c>
      <c r="J8" s="3" t="s">
        <v>5</v>
      </c>
      <c r="K8" s="1" t="s">
        <v>27</v>
      </c>
      <c r="L8" s="52" t="s">
        <v>53</v>
      </c>
      <c r="M8" s="51">
        <v>0</v>
      </c>
      <c r="N8" s="51">
        <v>2</v>
      </c>
      <c r="O8" s="51">
        <v>0</v>
      </c>
      <c r="P8" s="46">
        <f t="shared" si="5"/>
        <v>2</v>
      </c>
      <c r="Q8" s="60" t="s">
        <v>54</v>
      </c>
      <c r="R8" s="65" cm="1">
        <f t="array" ref="R8">R6-P5-H5-SUM(U3:U28*AB3:AB28)*0.8-R7*8</f>
        <v>-2</v>
      </c>
      <c r="S8" s="31"/>
      <c r="T8" s="7" t="s">
        <v>9</v>
      </c>
      <c r="U8" s="1">
        <v>200</v>
      </c>
      <c r="V8" s="1">
        <v>60</v>
      </c>
      <c r="W8" s="55"/>
      <c r="X8" s="56">
        <v>194</v>
      </c>
      <c r="Y8" s="56">
        <v>194</v>
      </c>
      <c r="Z8" s="1">
        <f t="shared" si="1"/>
        <v>0</v>
      </c>
      <c r="AA8" s="1">
        <f t="shared" si="2"/>
        <v>0</v>
      </c>
      <c r="AB8" s="64">
        <f t="shared" si="3"/>
        <v>194</v>
      </c>
    </row>
    <row r="9" spans="1:28">
      <c r="A9" s="2" t="s">
        <v>4</v>
      </c>
      <c r="B9" s="3" t="s">
        <v>5</v>
      </c>
      <c r="C9" s="3" t="s">
        <v>5</v>
      </c>
      <c r="D9" s="31"/>
      <c r="E9" s="31"/>
      <c r="F9" s="31"/>
      <c r="G9" s="31"/>
      <c r="H9" s="32"/>
      <c r="I9" s="1" t="s">
        <v>27</v>
      </c>
      <c r="J9" s="15" t="s">
        <v>17</v>
      </c>
      <c r="K9" s="1" t="s">
        <v>27</v>
      </c>
      <c r="L9" s="43" t="s">
        <v>42</v>
      </c>
      <c r="M9" s="47" t="e">
        <f>M6/M5</f>
        <v>#DIV/0!</v>
      </c>
      <c r="N9" s="47">
        <f>N6/N5</f>
        <v>0.36483990147783252</v>
      </c>
      <c r="O9" s="47" t="e">
        <f>O6/O5</f>
        <v>#DIV/0!</v>
      </c>
      <c r="P9" s="48">
        <f>P6/P5</f>
        <v>0.36483990147783252</v>
      </c>
      <c r="Q9" s="60"/>
      <c r="R9" s="31"/>
      <c r="S9" s="31"/>
      <c r="T9" s="8" t="s">
        <v>10</v>
      </c>
      <c r="U9" s="1">
        <v>150</v>
      </c>
      <c r="V9" s="1">
        <v>35</v>
      </c>
      <c r="W9" s="55">
        <f t="shared" ref="W9:W11" si="6">U9-V9/0.330882</f>
        <v>44.222109392472248</v>
      </c>
      <c r="X9" s="56">
        <v>3</v>
      </c>
      <c r="Y9" s="56">
        <v>0</v>
      </c>
      <c r="Z9" s="1">
        <f t="shared" si="1"/>
        <v>0</v>
      </c>
      <c r="AA9" s="1">
        <f t="shared" si="2"/>
        <v>0</v>
      </c>
      <c r="AB9" s="64">
        <f t="shared" si="3"/>
        <v>0</v>
      </c>
    </row>
    <row r="10" spans="1:28">
      <c r="A10" s="1" t="s">
        <v>27</v>
      </c>
      <c r="B10" s="1" t="s">
        <v>27</v>
      </c>
      <c r="C10" s="3" t="s">
        <v>5</v>
      </c>
      <c r="D10" s="31"/>
      <c r="E10" s="31"/>
      <c r="F10" s="31"/>
      <c r="G10" s="31"/>
      <c r="H10" s="32"/>
      <c r="I10" s="1" t="s">
        <v>27</v>
      </c>
      <c r="J10" s="1" t="s">
        <v>27</v>
      </c>
      <c r="K10" s="1" t="s">
        <v>27</v>
      </c>
      <c r="L10" s="31"/>
      <c r="M10" s="31"/>
      <c r="N10" s="31"/>
      <c r="O10" s="31"/>
      <c r="P10" s="32"/>
      <c r="Q10" s="60"/>
      <c r="R10" s="31"/>
      <c r="S10" s="31"/>
      <c r="T10" s="9" t="s">
        <v>11</v>
      </c>
      <c r="U10" s="1">
        <v>150</v>
      </c>
      <c r="V10" s="1">
        <v>40</v>
      </c>
      <c r="W10" s="55">
        <f t="shared" si="6"/>
        <v>29.110982162825422</v>
      </c>
      <c r="X10" s="56">
        <v>7</v>
      </c>
      <c r="Y10" s="56">
        <v>3</v>
      </c>
      <c r="Z10" s="1">
        <f t="shared" si="1"/>
        <v>0</v>
      </c>
      <c r="AA10" s="1">
        <f t="shared" si="2"/>
        <v>3</v>
      </c>
      <c r="AB10" s="64">
        <f t="shared" si="3"/>
        <v>0</v>
      </c>
    </row>
    <row r="11" spans="1:28">
      <c r="A11" s="1" t="s">
        <v>27</v>
      </c>
      <c r="B11" s="1" t="s">
        <v>27</v>
      </c>
      <c r="C11" s="3" t="s">
        <v>5</v>
      </c>
      <c r="D11" s="31"/>
      <c r="E11" s="31"/>
      <c r="F11" s="31"/>
      <c r="G11" s="31"/>
      <c r="H11" s="32"/>
      <c r="I11" s="1" t="s">
        <v>27</v>
      </c>
      <c r="J11" s="9" t="s">
        <v>11</v>
      </c>
      <c r="K11" s="1" t="s">
        <v>27</v>
      </c>
      <c r="L11" s="31"/>
      <c r="M11" s="31"/>
      <c r="N11" s="31"/>
      <c r="O11" s="31"/>
      <c r="P11" s="32">
        <f>H5+P5</f>
        <v>19146</v>
      </c>
      <c r="Q11" s="60"/>
      <c r="R11" s="31"/>
      <c r="S11" s="31"/>
      <c r="T11" s="10" t="s">
        <v>12</v>
      </c>
      <c r="U11" s="1">
        <v>150</v>
      </c>
      <c r="V11" s="1">
        <v>45</v>
      </c>
      <c r="W11" s="55">
        <f t="shared" si="6"/>
        <v>13.999854933178597</v>
      </c>
      <c r="X11" s="56">
        <v>6</v>
      </c>
      <c r="Y11" s="56">
        <v>6</v>
      </c>
      <c r="Z11" s="1">
        <f t="shared" si="1"/>
        <v>1</v>
      </c>
      <c r="AA11" s="1">
        <f t="shared" si="2"/>
        <v>0</v>
      </c>
      <c r="AB11" s="64">
        <f t="shared" si="3"/>
        <v>5</v>
      </c>
    </row>
    <row r="12" spans="1:28">
      <c r="A12" s="1" t="s">
        <v>27</v>
      </c>
      <c r="B12" s="1" t="s">
        <v>27</v>
      </c>
      <c r="C12" s="3" t="s">
        <v>5</v>
      </c>
      <c r="D12" s="31"/>
      <c r="E12" s="31"/>
      <c r="F12" s="31"/>
      <c r="G12" s="31"/>
      <c r="H12" s="32"/>
      <c r="I12" s="1" t="s">
        <v>27</v>
      </c>
      <c r="J12" s="3" t="s">
        <v>5</v>
      </c>
      <c r="K12" s="1" t="s">
        <v>27</v>
      </c>
      <c r="L12" s="31"/>
      <c r="M12" s="31"/>
      <c r="N12" s="31"/>
      <c r="O12" s="31"/>
      <c r="P12" s="32">
        <f>H6+P6</f>
        <v>6740</v>
      </c>
      <c r="Q12" s="60"/>
      <c r="R12" s="31"/>
      <c r="S12" s="31"/>
      <c r="T12" s="11" t="s">
        <v>13</v>
      </c>
      <c r="U12" s="1">
        <v>150</v>
      </c>
      <c r="V12" s="1">
        <v>50</v>
      </c>
      <c r="W12" s="55"/>
      <c r="X12" s="56">
        <v>4</v>
      </c>
      <c r="Y12" s="56">
        <v>4</v>
      </c>
      <c r="Z12" s="1">
        <f t="shared" si="1"/>
        <v>0</v>
      </c>
      <c r="AA12" s="1">
        <f t="shared" si="2"/>
        <v>0</v>
      </c>
      <c r="AB12" s="64">
        <f t="shared" si="3"/>
        <v>4</v>
      </c>
    </row>
    <row r="13" spans="1:28">
      <c r="A13" s="1" t="s">
        <v>27</v>
      </c>
      <c r="B13" s="1" t="s">
        <v>27</v>
      </c>
      <c r="C13" s="3" t="s">
        <v>5</v>
      </c>
      <c r="D13" s="31"/>
      <c r="E13" s="31"/>
      <c r="F13" s="31"/>
      <c r="G13" s="31"/>
      <c r="H13" s="32"/>
      <c r="I13" s="1" t="s">
        <v>27</v>
      </c>
      <c r="J13" s="3" t="s">
        <v>5</v>
      </c>
      <c r="K13" s="1" t="s">
        <v>27</v>
      </c>
      <c r="L13" s="31"/>
      <c r="M13" s="31"/>
      <c r="N13" s="31"/>
      <c r="O13" s="31"/>
      <c r="P13" s="32"/>
      <c r="Q13" s="60"/>
      <c r="R13" s="31"/>
      <c r="S13" s="31"/>
      <c r="T13" s="12" t="s">
        <v>14</v>
      </c>
      <c r="U13" s="1">
        <v>150</v>
      </c>
      <c r="V13" s="1">
        <v>55</v>
      </c>
      <c r="W13" s="55"/>
      <c r="X13" s="56">
        <v>3</v>
      </c>
      <c r="Y13" s="56">
        <v>3</v>
      </c>
      <c r="Z13" s="1">
        <f t="shared" si="1"/>
        <v>0</v>
      </c>
      <c r="AA13" s="1">
        <f t="shared" si="2"/>
        <v>0</v>
      </c>
      <c r="AB13" s="64">
        <f t="shared" si="3"/>
        <v>3</v>
      </c>
    </row>
    <row r="14" spans="1:28">
      <c r="A14" s="1" t="s">
        <v>27</v>
      </c>
      <c r="B14" s="1" t="s">
        <v>27</v>
      </c>
      <c r="C14" s="4" t="s">
        <v>6</v>
      </c>
      <c r="D14" s="31"/>
      <c r="E14" s="31"/>
      <c r="F14" s="31"/>
      <c r="G14" s="31"/>
      <c r="H14" s="32"/>
      <c r="I14" s="1" t="s">
        <v>27</v>
      </c>
      <c r="J14" s="15" t="s">
        <v>17</v>
      </c>
      <c r="K14" s="1" t="s">
        <v>27</v>
      </c>
      <c r="L14" s="31"/>
      <c r="M14" s="31"/>
      <c r="N14" s="31"/>
      <c r="O14" s="31"/>
      <c r="P14" s="32"/>
      <c r="Q14" s="60"/>
      <c r="R14" s="31"/>
      <c r="S14" s="31"/>
      <c r="T14" s="13" t="s">
        <v>15</v>
      </c>
      <c r="U14" s="1">
        <v>150</v>
      </c>
      <c r="V14" s="1">
        <v>60</v>
      </c>
      <c r="W14" s="55"/>
      <c r="X14" s="56">
        <v>1</v>
      </c>
      <c r="Y14" s="56">
        <v>1</v>
      </c>
      <c r="Z14" s="1">
        <f t="shared" si="1"/>
        <v>0</v>
      </c>
      <c r="AA14" s="1">
        <f t="shared" si="2"/>
        <v>0</v>
      </c>
      <c r="AB14" s="64">
        <f t="shared" si="3"/>
        <v>1</v>
      </c>
    </row>
    <row r="15" spans="1:28">
      <c r="A15" s="4" t="s">
        <v>6</v>
      </c>
      <c r="B15" s="1" t="s">
        <v>27</v>
      </c>
      <c r="C15" s="4" t="s">
        <v>6</v>
      </c>
      <c r="D15" s="31"/>
      <c r="E15" s="31"/>
      <c r="F15" s="31"/>
      <c r="G15" s="31"/>
      <c r="H15" s="32"/>
      <c r="I15" s="1" t="s">
        <v>27</v>
      </c>
      <c r="J15" s="3" t="s">
        <v>5</v>
      </c>
      <c r="K15" s="1" t="s">
        <v>27</v>
      </c>
      <c r="L15" s="31"/>
      <c r="M15" s="31"/>
      <c r="N15" s="31"/>
      <c r="O15" s="31"/>
      <c r="P15" s="32"/>
      <c r="Q15" s="60"/>
      <c r="R15" s="31"/>
      <c r="S15" s="31"/>
      <c r="T15" s="14" t="s">
        <v>16</v>
      </c>
      <c r="U15" s="1">
        <v>150</v>
      </c>
      <c r="V15" s="1">
        <v>35</v>
      </c>
      <c r="W15" s="55">
        <f t="shared" ref="W15" si="7">U15-V15/0.330882</f>
        <v>44.222109392472248</v>
      </c>
      <c r="X15" s="56"/>
      <c r="Y15" s="56">
        <v>0</v>
      </c>
      <c r="Z15" s="1">
        <f t="shared" si="1"/>
        <v>0</v>
      </c>
      <c r="AA15" s="1">
        <f t="shared" si="2"/>
        <v>0</v>
      </c>
      <c r="AB15" s="64">
        <f t="shared" si="3"/>
        <v>0</v>
      </c>
    </row>
    <row r="16" spans="1:28">
      <c r="A16" s="4" t="s">
        <v>6</v>
      </c>
      <c r="B16" s="1" t="s">
        <v>27</v>
      </c>
      <c r="C16" s="15" t="s">
        <v>17</v>
      </c>
      <c r="D16" s="31"/>
      <c r="E16" s="31"/>
      <c r="F16" s="31"/>
      <c r="G16" s="31"/>
      <c r="H16" s="32"/>
      <c r="I16" s="1" t="s">
        <v>27</v>
      </c>
      <c r="J16" s="3" t="s">
        <v>5</v>
      </c>
      <c r="K16" s="1" t="s">
        <v>27</v>
      </c>
      <c r="L16" s="31"/>
      <c r="M16" s="31"/>
      <c r="N16" s="31"/>
      <c r="O16" s="31"/>
      <c r="P16" s="32"/>
      <c r="Q16" s="60"/>
      <c r="R16" s="31"/>
      <c r="S16" s="31"/>
      <c r="T16" s="15" t="s">
        <v>17</v>
      </c>
      <c r="U16" s="1">
        <v>50</v>
      </c>
      <c r="V16" s="1">
        <v>30</v>
      </c>
      <c r="W16" s="55">
        <v>10</v>
      </c>
      <c r="X16" s="56">
        <v>40</v>
      </c>
      <c r="Y16" s="56">
        <v>39</v>
      </c>
      <c r="Z16" s="1">
        <f t="shared" si="1"/>
        <v>3</v>
      </c>
      <c r="AA16" s="1">
        <f t="shared" si="2"/>
        <v>13</v>
      </c>
      <c r="AB16" s="64">
        <f t="shared" si="3"/>
        <v>23</v>
      </c>
    </row>
    <row r="17" spans="1:28">
      <c r="A17" s="4" t="s">
        <v>6</v>
      </c>
      <c r="B17" s="1" t="s">
        <v>27</v>
      </c>
      <c r="C17" s="4" t="s">
        <v>6</v>
      </c>
      <c r="D17" s="31"/>
      <c r="E17" s="31"/>
      <c r="F17" s="31"/>
      <c r="G17" s="31"/>
      <c r="H17" s="32"/>
      <c r="I17" s="1" t="s">
        <v>27</v>
      </c>
      <c r="J17" s="9" t="s">
        <v>11</v>
      </c>
      <c r="K17" s="1" t="s">
        <v>27</v>
      </c>
      <c r="L17" s="31"/>
      <c r="M17" s="31"/>
      <c r="N17" s="31"/>
      <c r="O17" s="31"/>
      <c r="P17" s="32"/>
      <c r="Q17" s="60"/>
      <c r="R17" s="31"/>
      <c r="S17" s="31"/>
      <c r="T17" s="16" t="s">
        <v>18</v>
      </c>
      <c r="U17" s="1">
        <v>-150</v>
      </c>
      <c r="V17" s="1">
        <v>0</v>
      </c>
      <c r="W17" s="55">
        <v>10</v>
      </c>
      <c r="X17" s="56">
        <v>3</v>
      </c>
      <c r="Y17" s="56">
        <v>3</v>
      </c>
      <c r="Z17" s="1">
        <f t="shared" si="1"/>
        <v>3</v>
      </c>
      <c r="AA17" s="1">
        <f t="shared" si="2"/>
        <v>0</v>
      </c>
      <c r="AB17" s="64">
        <f t="shared" si="3"/>
        <v>0</v>
      </c>
    </row>
    <row r="18" spans="1:28">
      <c r="A18" s="17" t="s">
        <v>19</v>
      </c>
      <c r="B18" s="1" t="s">
        <v>27</v>
      </c>
      <c r="C18" s="4" t="s">
        <v>6</v>
      </c>
      <c r="D18" s="31"/>
      <c r="E18" s="31"/>
      <c r="F18" s="31"/>
      <c r="G18" s="31"/>
      <c r="H18" s="32"/>
      <c r="I18" s="1" t="s">
        <v>27</v>
      </c>
      <c r="J18" s="3" t="s">
        <v>5</v>
      </c>
      <c r="K18" s="1" t="s">
        <v>27</v>
      </c>
      <c r="L18" s="31"/>
      <c r="M18" s="31"/>
      <c r="N18" s="31"/>
      <c r="O18" s="31"/>
      <c r="P18" s="32"/>
      <c r="Q18" s="60"/>
      <c r="R18" s="31"/>
      <c r="S18" s="31"/>
      <c r="T18" s="17" t="s">
        <v>19</v>
      </c>
      <c r="U18" s="1">
        <v>250</v>
      </c>
      <c r="V18" s="1">
        <v>200</v>
      </c>
      <c r="W18" s="55"/>
      <c r="X18" s="56">
        <v>3</v>
      </c>
      <c r="Y18" s="56">
        <v>3</v>
      </c>
      <c r="Z18" s="1">
        <f t="shared" si="1"/>
        <v>3</v>
      </c>
      <c r="AA18" s="1">
        <f t="shared" si="2"/>
        <v>0</v>
      </c>
      <c r="AB18" s="64">
        <f t="shared" si="3"/>
        <v>0</v>
      </c>
    </row>
    <row r="19" spans="1:28">
      <c r="A19" s="4" t="s">
        <v>6</v>
      </c>
      <c r="B19" s="1" t="s">
        <v>27</v>
      </c>
      <c r="C19" s="4" t="s">
        <v>6</v>
      </c>
      <c r="D19" s="31"/>
      <c r="E19" s="31"/>
      <c r="F19" s="31"/>
      <c r="G19" s="31"/>
      <c r="H19" s="32"/>
      <c r="I19" s="1" t="s">
        <v>27</v>
      </c>
      <c r="J19" s="3" t="s">
        <v>5</v>
      </c>
      <c r="K19" s="1" t="s">
        <v>27</v>
      </c>
      <c r="L19" s="31"/>
      <c r="M19" s="31"/>
      <c r="N19" s="31"/>
      <c r="O19" s="31"/>
      <c r="P19" s="32"/>
      <c r="Q19" s="60"/>
      <c r="R19" s="31"/>
      <c r="S19" s="31"/>
      <c r="T19" s="17" t="s">
        <v>20</v>
      </c>
      <c r="U19" s="1">
        <v>170</v>
      </c>
      <c r="V19" s="1">
        <v>45</v>
      </c>
      <c r="W19" s="55"/>
      <c r="X19" s="56">
        <v>5</v>
      </c>
      <c r="Y19" s="56">
        <v>5</v>
      </c>
      <c r="Z19" s="1">
        <f t="shared" si="1"/>
        <v>5</v>
      </c>
      <c r="AA19" s="1">
        <f t="shared" si="2"/>
        <v>0</v>
      </c>
      <c r="AB19" s="64">
        <f t="shared" si="3"/>
        <v>0</v>
      </c>
    </row>
    <row r="20" spans="1:28">
      <c r="A20" s="4" t="s">
        <v>6</v>
      </c>
      <c r="B20" s="1" t="s">
        <v>27</v>
      </c>
      <c r="C20" s="17" t="s">
        <v>20</v>
      </c>
      <c r="D20" s="31"/>
      <c r="E20" s="31"/>
      <c r="F20" s="31"/>
      <c r="G20" s="31"/>
      <c r="H20" s="32"/>
      <c r="I20" s="1" t="s">
        <v>27</v>
      </c>
      <c r="J20" s="15" t="s">
        <v>17</v>
      </c>
      <c r="K20" s="1" t="s">
        <v>27</v>
      </c>
      <c r="L20" s="31"/>
      <c r="M20" s="31"/>
      <c r="N20" s="31"/>
      <c r="O20" s="31"/>
      <c r="P20" s="32"/>
      <c r="Q20" s="60"/>
      <c r="R20" s="31"/>
      <c r="S20" s="31"/>
      <c r="T20" s="18" t="s">
        <v>21</v>
      </c>
      <c r="U20" s="1">
        <v>250</v>
      </c>
      <c r="V20" s="1">
        <v>200</v>
      </c>
      <c r="W20" s="55"/>
      <c r="X20" s="56">
        <v>0</v>
      </c>
      <c r="Y20" s="56">
        <v>0</v>
      </c>
      <c r="Z20" s="1">
        <f t="shared" si="1"/>
        <v>0</v>
      </c>
      <c r="AA20" s="1">
        <f t="shared" si="2"/>
        <v>0</v>
      </c>
      <c r="AB20" s="64">
        <f t="shared" si="3"/>
        <v>0</v>
      </c>
    </row>
    <row r="21" spans="1:28">
      <c r="A21" s="4" t="s">
        <v>6</v>
      </c>
      <c r="B21" s="1" t="s">
        <v>27</v>
      </c>
      <c r="C21" s="4" t="s">
        <v>6</v>
      </c>
      <c r="D21" s="31"/>
      <c r="E21" s="31"/>
      <c r="F21" s="31"/>
      <c r="G21" s="31"/>
      <c r="H21" s="32"/>
      <c r="I21" s="1" t="s">
        <v>27</v>
      </c>
      <c r="J21" s="3" t="s">
        <v>5</v>
      </c>
      <c r="K21" s="1" t="s">
        <v>27</v>
      </c>
      <c r="L21" s="31"/>
      <c r="M21" s="31"/>
      <c r="N21" s="31"/>
      <c r="O21" s="31"/>
      <c r="P21" s="32"/>
      <c r="Q21" s="60"/>
      <c r="R21" s="31"/>
      <c r="S21" s="31"/>
      <c r="T21" s="19" t="s">
        <v>22</v>
      </c>
      <c r="U21" s="1">
        <v>250</v>
      </c>
      <c r="V21" s="1">
        <v>1000</v>
      </c>
      <c r="W21" s="55"/>
      <c r="X21" s="56">
        <v>2</v>
      </c>
      <c r="Y21" s="56">
        <v>2</v>
      </c>
      <c r="Z21" s="1">
        <f t="shared" si="1"/>
        <v>0</v>
      </c>
      <c r="AA21" s="1">
        <f t="shared" si="2"/>
        <v>0</v>
      </c>
      <c r="AB21" s="64">
        <f t="shared" si="3"/>
        <v>2</v>
      </c>
    </row>
    <row r="22" spans="1:28">
      <c r="A22" s="16" t="s">
        <v>18</v>
      </c>
      <c r="B22" s="1" t="s">
        <v>27</v>
      </c>
      <c r="C22" s="4" t="s">
        <v>6</v>
      </c>
      <c r="D22" s="31"/>
      <c r="E22" s="31"/>
      <c r="F22" s="31"/>
      <c r="G22" s="31"/>
      <c r="H22" s="32"/>
      <c r="I22" s="1" t="s">
        <v>27</v>
      </c>
      <c r="J22" s="3" t="s">
        <v>5</v>
      </c>
      <c r="K22" s="1" t="s">
        <v>27</v>
      </c>
      <c r="L22" s="31"/>
      <c r="M22" s="31"/>
      <c r="N22" s="31"/>
      <c r="O22" s="31"/>
      <c r="P22" s="32"/>
      <c r="Q22" s="60"/>
      <c r="R22" s="31"/>
      <c r="S22" s="31"/>
      <c r="T22" s="20" t="s">
        <v>23</v>
      </c>
      <c r="U22" s="1">
        <v>250</v>
      </c>
      <c r="V22" s="1">
        <v>500</v>
      </c>
      <c r="W22" s="55"/>
      <c r="X22" s="56">
        <v>2</v>
      </c>
      <c r="Y22" s="56">
        <v>2</v>
      </c>
      <c r="Z22" s="1">
        <f t="shared" si="1"/>
        <v>0</v>
      </c>
      <c r="AA22" s="1">
        <f t="shared" si="2"/>
        <v>0</v>
      </c>
      <c r="AB22" s="64">
        <f t="shared" si="3"/>
        <v>2</v>
      </c>
    </row>
    <row r="23" spans="1:28">
      <c r="A23" s="4" t="s">
        <v>6</v>
      </c>
      <c r="B23" s="1" t="s">
        <v>27</v>
      </c>
      <c r="C23" s="4" t="s">
        <v>6</v>
      </c>
      <c r="D23" s="31"/>
      <c r="E23" s="31"/>
      <c r="F23" s="31"/>
      <c r="G23" s="31"/>
      <c r="H23" s="32"/>
      <c r="I23" s="1" t="s">
        <v>27</v>
      </c>
      <c r="J23" s="16" t="s">
        <v>28</v>
      </c>
      <c r="K23" s="1" t="s">
        <v>27</v>
      </c>
      <c r="L23" s="31"/>
      <c r="M23" s="31"/>
      <c r="N23" s="31"/>
      <c r="O23" s="31"/>
      <c r="P23" s="32"/>
      <c r="Q23" s="60"/>
      <c r="R23" s="31"/>
      <c r="S23" s="31"/>
      <c r="T23" s="21" t="s">
        <v>24</v>
      </c>
      <c r="U23" s="1">
        <v>160</v>
      </c>
      <c r="V23" s="1">
        <v>40</v>
      </c>
      <c r="W23" s="55">
        <f t="shared" ref="W23:W26" si="8">U23-V23/0.330882</f>
        <v>39.110982162825422</v>
      </c>
      <c r="X23" s="56">
        <v>0</v>
      </c>
      <c r="Y23" s="56">
        <v>0</v>
      </c>
      <c r="Z23" s="1">
        <f t="shared" si="1"/>
        <v>0</v>
      </c>
      <c r="AA23" s="1">
        <f t="shared" si="2"/>
        <v>0</v>
      </c>
      <c r="AB23" s="64">
        <f t="shared" si="3"/>
        <v>0</v>
      </c>
    </row>
    <row r="24" spans="1:28">
      <c r="A24" s="4" t="s">
        <v>6</v>
      </c>
      <c r="B24" s="1" t="s">
        <v>27</v>
      </c>
      <c r="C24" s="4" t="s">
        <v>6</v>
      </c>
      <c r="D24" s="31"/>
      <c r="E24" s="31"/>
      <c r="F24" s="31"/>
      <c r="G24" s="31"/>
      <c r="H24" s="32"/>
      <c r="I24" s="1" t="s">
        <v>27</v>
      </c>
      <c r="J24" s="3" t="s">
        <v>5</v>
      </c>
      <c r="K24" s="1" t="s">
        <v>27</v>
      </c>
      <c r="L24" s="31"/>
      <c r="M24" s="31"/>
      <c r="N24" s="31"/>
      <c r="O24" s="31"/>
      <c r="P24" s="32"/>
      <c r="Q24" s="60"/>
      <c r="R24" s="31"/>
      <c r="S24" s="31"/>
      <c r="T24" s="21" t="s">
        <v>25</v>
      </c>
      <c r="U24" s="1">
        <v>160</v>
      </c>
      <c r="V24" s="1">
        <v>40</v>
      </c>
      <c r="W24" s="55">
        <f t="shared" si="8"/>
        <v>39.110982162825422</v>
      </c>
      <c r="X24" s="56">
        <v>0</v>
      </c>
      <c r="Y24" s="56">
        <v>0</v>
      </c>
      <c r="Z24" s="1">
        <f t="shared" si="1"/>
        <v>0</v>
      </c>
      <c r="AA24" s="1">
        <f t="shared" si="2"/>
        <v>0</v>
      </c>
      <c r="AB24" s="64">
        <f t="shared" si="3"/>
        <v>0</v>
      </c>
    </row>
    <row r="25" spans="1:28">
      <c r="A25" s="4" t="s">
        <v>6</v>
      </c>
      <c r="B25" s="1" t="s">
        <v>27</v>
      </c>
      <c r="C25" s="4" t="s">
        <v>6</v>
      </c>
      <c r="D25" s="31"/>
      <c r="E25" s="31"/>
      <c r="F25" s="31"/>
      <c r="G25" s="31"/>
      <c r="H25" s="32"/>
      <c r="I25" s="1" t="s">
        <v>27</v>
      </c>
      <c r="J25" s="3" t="s">
        <v>5</v>
      </c>
      <c r="K25" s="1" t="s">
        <v>27</v>
      </c>
      <c r="L25" s="31"/>
      <c r="M25" s="31"/>
      <c r="N25" s="31"/>
      <c r="O25" s="31"/>
      <c r="P25" s="32"/>
      <c r="Q25" s="60"/>
      <c r="R25" s="31"/>
      <c r="S25" s="31"/>
      <c r="T25" s="21" t="s">
        <v>26</v>
      </c>
      <c r="U25" s="1">
        <v>150</v>
      </c>
      <c r="V25" s="1">
        <v>35</v>
      </c>
      <c r="W25" s="55">
        <f t="shared" si="8"/>
        <v>44.222109392472248</v>
      </c>
      <c r="X25" s="56">
        <v>0</v>
      </c>
      <c r="Y25" s="56">
        <v>0</v>
      </c>
      <c r="Z25" s="1">
        <f t="shared" si="1"/>
        <v>0</v>
      </c>
      <c r="AA25" s="1">
        <f t="shared" si="2"/>
        <v>0</v>
      </c>
      <c r="AB25" s="64">
        <f t="shared" si="3"/>
        <v>0</v>
      </c>
    </row>
    <row r="26" spans="1:28">
      <c r="A26" s="17" t="s">
        <v>20</v>
      </c>
      <c r="B26" s="1" t="s">
        <v>27</v>
      </c>
      <c r="C26" s="4" t="s">
        <v>6</v>
      </c>
      <c r="D26" s="31"/>
      <c r="E26" s="31"/>
      <c r="F26" s="31"/>
      <c r="G26" s="31"/>
      <c r="H26" s="32"/>
      <c r="I26" s="1" t="s">
        <v>27</v>
      </c>
      <c r="J26" s="2" t="s">
        <v>4</v>
      </c>
      <c r="K26" s="1" t="s">
        <v>27</v>
      </c>
      <c r="L26" s="31"/>
      <c r="M26" s="31"/>
      <c r="N26" s="31"/>
      <c r="O26" s="31"/>
      <c r="P26" s="32"/>
      <c r="Q26" s="60"/>
      <c r="R26" s="31"/>
      <c r="S26" s="31"/>
      <c r="T26" s="22" t="s">
        <v>27</v>
      </c>
      <c r="U26" s="1">
        <v>0</v>
      </c>
      <c r="V26" s="1">
        <v>0</v>
      </c>
      <c r="W26" s="55">
        <f t="shared" si="8"/>
        <v>0</v>
      </c>
      <c r="X26" s="56">
        <v>0</v>
      </c>
      <c r="Y26" s="56">
        <v>0</v>
      </c>
      <c r="Z26" s="1"/>
      <c r="AA26" s="1"/>
      <c r="AB26" s="64"/>
    </row>
    <row r="27" spans="1:28">
      <c r="A27" s="4" t="s">
        <v>6</v>
      </c>
      <c r="B27" s="1" t="s">
        <v>27</v>
      </c>
      <c r="C27" s="4" t="s">
        <v>6</v>
      </c>
      <c r="D27" s="31"/>
      <c r="E27" s="31"/>
      <c r="F27" s="31"/>
      <c r="G27" s="31"/>
      <c r="H27" s="32"/>
      <c r="I27" s="1" t="s">
        <v>27</v>
      </c>
      <c r="J27" s="15" t="s">
        <v>17</v>
      </c>
      <c r="K27" s="1" t="s">
        <v>27</v>
      </c>
      <c r="L27" s="31"/>
      <c r="M27" s="31"/>
      <c r="N27" s="31"/>
      <c r="O27" s="31"/>
      <c r="P27" s="32"/>
      <c r="Q27" s="60"/>
      <c r="R27" s="31"/>
      <c r="S27" s="31"/>
      <c r="T27" s="16" t="s">
        <v>28</v>
      </c>
      <c r="U27" s="1">
        <v>-200</v>
      </c>
      <c r="V27" s="1">
        <v>0</v>
      </c>
      <c r="W27" s="55"/>
      <c r="X27" s="56">
        <v>12</v>
      </c>
      <c r="Y27" s="56">
        <v>12</v>
      </c>
      <c r="Z27" s="1">
        <f t="shared" si="1"/>
        <v>0</v>
      </c>
      <c r="AA27" s="1">
        <f t="shared" si="2"/>
        <v>2</v>
      </c>
      <c r="AB27" s="64">
        <f t="shared" si="3"/>
        <v>10</v>
      </c>
    </row>
    <row r="28" spans="1:28">
      <c r="A28" s="4" t="s">
        <v>6</v>
      </c>
      <c r="B28" s="1" t="s">
        <v>27</v>
      </c>
      <c r="C28" s="17" t="s">
        <v>20</v>
      </c>
      <c r="D28" s="31"/>
      <c r="E28" s="31"/>
      <c r="F28" s="31"/>
      <c r="G28" s="31"/>
      <c r="H28" s="32"/>
      <c r="I28" s="1" t="s">
        <v>27</v>
      </c>
      <c r="J28" s="2" t="s">
        <v>4</v>
      </c>
      <c r="K28" s="1" t="s">
        <v>27</v>
      </c>
      <c r="L28" s="31"/>
      <c r="M28" s="31"/>
      <c r="N28" s="31"/>
      <c r="O28" s="31"/>
      <c r="P28" s="32"/>
      <c r="Q28" s="60"/>
      <c r="R28" s="31"/>
      <c r="S28" s="31"/>
      <c r="T28" s="23" t="s">
        <v>29</v>
      </c>
      <c r="U28" s="1">
        <v>50</v>
      </c>
      <c r="V28" s="1">
        <v>520</v>
      </c>
      <c r="W28" s="55"/>
      <c r="X28" s="56">
        <v>3</v>
      </c>
      <c r="Y28" s="56">
        <v>3</v>
      </c>
      <c r="Z28" s="1">
        <f t="shared" si="1"/>
        <v>1</v>
      </c>
      <c r="AA28" s="1">
        <f t="shared" si="2"/>
        <v>0</v>
      </c>
      <c r="AB28" s="64">
        <f t="shared" si="3"/>
        <v>2</v>
      </c>
    </row>
    <row r="29" spans="1:28" ht="15" thickBot="1">
      <c r="A29" s="4" t="s">
        <v>6</v>
      </c>
      <c r="B29" s="1" t="s">
        <v>27</v>
      </c>
      <c r="C29" s="4" t="s">
        <v>6</v>
      </c>
      <c r="D29" s="31"/>
      <c r="E29" s="31"/>
      <c r="F29" s="31"/>
      <c r="G29" s="31"/>
      <c r="H29" s="32"/>
      <c r="I29" s="1" t="s">
        <v>27</v>
      </c>
      <c r="J29" s="2" t="s">
        <v>4</v>
      </c>
      <c r="K29" s="1" t="s">
        <v>27</v>
      </c>
      <c r="L29" s="31"/>
      <c r="M29" s="31"/>
      <c r="N29" s="31"/>
      <c r="O29" s="31"/>
      <c r="P29" s="32"/>
      <c r="Q29" s="66"/>
      <c r="R29" s="41"/>
      <c r="S29" s="41"/>
      <c r="T29" s="40"/>
      <c r="U29" s="40"/>
      <c r="V29" s="40"/>
      <c r="W29" s="40"/>
      <c r="X29" s="40"/>
      <c r="Y29" s="40"/>
      <c r="Z29" s="40"/>
      <c r="AA29" s="40"/>
      <c r="AB29" s="67"/>
    </row>
    <row r="30" spans="1:28">
      <c r="A30" s="4" t="s">
        <v>6</v>
      </c>
      <c r="B30" s="1" t="s">
        <v>27</v>
      </c>
      <c r="C30" s="4" t="s">
        <v>6</v>
      </c>
      <c r="D30" s="31"/>
      <c r="E30" s="31"/>
      <c r="F30" s="31"/>
      <c r="G30" s="31"/>
      <c r="H30" s="32"/>
      <c r="I30" s="1" t="s">
        <v>27</v>
      </c>
      <c r="J30" s="2" t="s">
        <v>4</v>
      </c>
      <c r="K30" s="1" t="s">
        <v>27</v>
      </c>
      <c r="L30" s="31"/>
      <c r="M30" s="31"/>
      <c r="N30" s="31"/>
      <c r="O30" s="31"/>
      <c r="P30" s="32"/>
    </row>
    <row r="31" spans="1:28">
      <c r="A31" s="4" t="s">
        <v>6</v>
      </c>
      <c r="B31" s="1" t="s">
        <v>27</v>
      </c>
      <c r="C31" s="4" t="s">
        <v>6</v>
      </c>
      <c r="D31" s="31"/>
      <c r="E31" s="31"/>
      <c r="F31" s="31"/>
      <c r="G31" s="31"/>
      <c r="H31" s="32"/>
      <c r="I31" s="1" t="s">
        <v>27</v>
      </c>
      <c r="J31" s="15" t="s">
        <v>17</v>
      </c>
      <c r="K31" s="1" t="s">
        <v>27</v>
      </c>
      <c r="L31" s="31"/>
      <c r="M31" s="31"/>
      <c r="N31" s="31"/>
      <c r="O31" s="31"/>
      <c r="P31" s="32"/>
      <c r="Y31">
        <f>SUM(Y3:Y28)</f>
        <v>1077</v>
      </c>
    </row>
    <row r="32" spans="1:28">
      <c r="A32" s="4" t="s">
        <v>6</v>
      </c>
      <c r="B32" s="1" t="s">
        <v>27</v>
      </c>
      <c r="C32" s="4" t="s">
        <v>6</v>
      </c>
      <c r="D32" s="31"/>
      <c r="E32" s="31"/>
      <c r="F32" s="31"/>
      <c r="G32" s="31"/>
      <c r="H32" s="32"/>
      <c r="I32" s="1" t="s">
        <v>27</v>
      </c>
      <c r="J32" s="1" t="s">
        <v>27</v>
      </c>
      <c r="K32" s="1" t="s">
        <v>27</v>
      </c>
      <c r="L32" s="31"/>
      <c r="M32" s="31"/>
      <c r="N32" s="31"/>
      <c r="O32" s="31"/>
      <c r="P32" s="32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10" t="s">
        <v>12</v>
      </c>
      <c r="D33" s="31"/>
      <c r="E33" s="31"/>
      <c r="F33" s="31"/>
      <c r="G33" s="31"/>
      <c r="H33" s="32"/>
      <c r="I33" s="1" t="s">
        <v>27</v>
      </c>
      <c r="J33" s="3" t="s">
        <v>5</v>
      </c>
      <c r="K33" s="1" t="s">
        <v>27</v>
      </c>
      <c r="L33" s="31"/>
      <c r="M33" s="31"/>
      <c r="N33" s="31"/>
      <c r="O33" s="31"/>
      <c r="P33" s="32"/>
      <c r="R33">
        <v>2</v>
      </c>
      <c r="S33" t="s">
        <v>60</v>
      </c>
    </row>
    <row r="34" spans="1:19">
      <c r="A34" s="17" t="s">
        <v>19</v>
      </c>
      <c r="B34" s="1" t="s">
        <v>27</v>
      </c>
      <c r="C34" s="4" t="s">
        <v>6</v>
      </c>
      <c r="D34" s="31"/>
      <c r="E34" s="31"/>
      <c r="F34" s="31"/>
      <c r="G34" s="31"/>
      <c r="H34" s="32"/>
      <c r="I34" s="38" t="s">
        <v>27</v>
      </c>
      <c r="J34" s="15" t="s">
        <v>17</v>
      </c>
      <c r="K34" s="1" t="s">
        <v>27</v>
      </c>
      <c r="L34" s="31"/>
      <c r="M34" s="31"/>
      <c r="N34" s="31"/>
      <c r="O34" s="31"/>
      <c r="P34" s="32"/>
      <c r="R34">
        <v>3</v>
      </c>
      <c r="S34" t="s">
        <v>58</v>
      </c>
    </row>
    <row r="35" spans="1:19">
      <c r="A35" s="4" t="s">
        <v>6</v>
      </c>
      <c r="B35" s="1" t="s">
        <v>27</v>
      </c>
      <c r="C35" s="17" t="s">
        <v>19</v>
      </c>
      <c r="D35" s="31"/>
      <c r="E35" s="31"/>
      <c r="F35" s="31"/>
      <c r="G35" s="31"/>
      <c r="H35" s="32"/>
      <c r="I35" s="38" t="s">
        <v>27</v>
      </c>
      <c r="J35" s="3" t="s">
        <v>5</v>
      </c>
      <c r="K35" s="1" t="s">
        <v>27</v>
      </c>
      <c r="L35" s="31"/>
      <c r="M35" s="31"/>
      <c r="N35" s="31"/>
      <c r="O35" s="31"/>
      <c r="P35" s="32"/>
      <c r="R35">
        <v>4</v>
      </c>
      <c r="S35" t="s">
        <v>61</v>
      </c>
    </row>
    <row r="36" spans="1:19">
      <c r="A36" s="4" t="s">
        <v>6</v>
      </c>
      <c r="B36" s="1" t="s">
        <v>27</v>
      </c>
      <c r="C36" s="4" t="s">
        <v>6</v>
      </c>
      <c r="D36" s="31"/>
      <c r="E36" s="31"/>
      <c r="F36" s="31"/>
      <c r="G36" s="31"/>
      <c r="H36" s="32"/>
      <c r="I36" s="38" t="s">
        <v>27</v>
      </c>
      <c r="J36" s="3" t="s">
        <v>5</v>
      </c>
      <c r="K36" s="1" t="s">
        <v>27</v>
      </c>
      <c r="L36" s="31"/>
      <c r="M36" s="31"/>
      <c r="N36" s="31"/>
      <c r="O36" s="31"/>
      <c r="P36" s="32"/>
      <c r="S36" t="s">
        <v>62</v>
      </c>
    </row>
    <row r="37" spans="1:19">
      <c r="A37" s="4" t="s">
        <v>6</v>
      </c>
      <c r="B37" s="1" t="s">
        <v>27</v>
      </c>
      <c r="C37" s="4" t="s">
        <v>6</v>
      </c>
      <c r="D37" s="31"/>
      <c r="E37" s="31"/>
      <c r="F37" s="31"/>
      <c r="G37" s="31"/>
      <c r="H37" s="32"/>
      <c r="I37" s="38" t="s">
        <v>27</v>
      </c>
      <c r="J37" s="3" t="s">
        <v>5</v>
      </c>
      <c r="K37" s="1" t="s">
        <v>27</v>
      </c>
      <c r="L37" s="31"/>
      <c r="M37" s="31"/>
      <c r="N37" s="31"/>
      <c r="O37" s="31"/>
      <c r="P37" s="32"/>
      <c r="R37">
        <v>5</v>
      </c>
      <c r="S37" t="s">
        <v>63</v>
      </c>
    </row>
    <row r="38" spans="1:19">
      <c r="A38" s="4" t="s">
        <v>6</v>
      </c>
      <c r="B38" s="1" t="s">
        <v>27</v>
      </c>
      <c r="C38" s="16" t="s">
        <v>18</v>
      </c>
      <c r="D38" s="31"/>
      <c r="E38" s="31"/>
      <c r="F38" s="31"/>
      <c r="G38" s="31"/>
      <c r="H38" s="32"/>
      <c r="I38" s="38" t="s">
        <v>27</v>
      </c>
      <c r="J38" s="15" t="s">
        <v>17</v>
      </c>
      <c r="K38" s="1" t="s">
        <v>27</v>
      </c>
      <c r="L38" s="31"/>
      <c r="M38" s="31"/>
      <c r="N38" s="31"/>
      <c r="O38" s="31"/>
      <c r="P38" s="32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4" t="s">
        <v>6</v>
      </c>
      <c r="D39" s="31"/>
      <c r="E39" s="31"/>
      <c r="F39" s="31"/>
      <c r="G39" s="31"/>
      <c r="H39" s="32"/>
      <c r="I39" s="38" t="s">
        <v>27</v>
      </c>
      <c r="J39" s="3" t="s">
        <v>5</v>
      </c>
      <c r="K39" s="1" t="s">
        <v>27</v>
      </c>
      <c r="L39" s="31"/>
      <c r="M39" s="31"/>
      <c r="N39" s="31"/>
      <c r="O39" s="31"/>
      <c r="P39" s="32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4" t="s">
        <v>6</v>
      </c>
      <c r="D40" s="31"/>
      <c r="E40" s="31"/>
      <c r="F40" s="31"/>
      <c r="G40" s="31"/>
      <c r="H40" s="32"/>
      <c r="I40" s="38" t="s">
        <v>27</v>
      </c>
      <c r="J40" s="3" t="s">
        <v>5</v>
      </c>
      <c r="K40" s="1" t="s">
        <v>27</v>
      </c>
      <c r="L40" s="31"/>
      <c r="M40" s="31"/>
      <c r="N40" s="31"/>
      <c r="O40" s="31"/>
      <c r="P40" s="32"/>
    </row>
    <row r="41" spans="1:19">
      <c r="A41" s="4" t="s">
        <v>6</v>
      </c>
      <c r="B41" s="1" t="s">
        <v>27</v>
      </c>
      <c r="C41" s="4" t="s">
        <v>6</v>
      </c>
      <c r="D41" s="31"/>
      <c r="E41" s="31"/>
      <c r="F41" s="31"/>
      <c r="G41" s="31"/>
      <c r="H41" s="32"/>
      <c r="I41" s="38" t="s">
        <v>27</v>
      </c>
      <c r="J41" s="3" t="s">
        <v>5</v>
      </c>
      <c r="K41" s="1" t="s">
        <v>27</v>
      </c>
      <c r="L41" s="31"/>
      <c r="M41" s="31"/>
      <c r="N41" s="31"/>
      <c r="O41" s="31"/>
      <c r="P41" s="32"/>
    </row>
    <row r="42" spans="1:19">
      <c r="A42" s="4" t="s">
        <v>6</v>
      </c>
      <c r="B42" s="1" t="s">
        <v>27</v>
      </c>
      <c r="C42" s="4" t="s">
        <v>6</v>
      </c>
      <c r="D42" s="31"/>
      <c r="E42" s="31"/>
      <c r="F42" s="31"/>
      <c r="G42" s="31"/>
      <c r="H42" s="32"/>
      <c r="I42" s="38" t="s">
        <v>27</v>
      </c>
      <c r="J42" s="3" t="s">
        <v>5</v>
      </c>
      <c r="K42" s="1" t="s">
        <v>27</v>
      </c>
      <c r="L42" s="31"/>
      <c r="M42" s="31"/>
      <c r="N42" s="31"/>
      <c r="O42" s="31"/>
      <c r="P42" s="32"/>
    </row>
    <row r="43" spans="1:19">
      <c r="A43" s="17" t="s">
        <v>20</v>
      </c>
      <c r="B43" s="1" t="s">
        <v>27</v>
      </c>
      <c r="C43" s="4" t="s">
        <v>6</v>
      </c>
      <c r="D43" s="31"/>
      <c r="E43" s="31"/>
      <c r="F43" s="31"/>
      <c r="G43" s="31"/>
      <c r="H43" s="32"/>
      <c r="I43" s="38" t="s">
        <v>27</v>
      </c>
      <c r="J43" s="16" t="s">
        <v>28</v>
      </c>
      <c r="K43" s="1" t="s">
        <v>27</v>
      </c>
      <c r="L43" s="31"/>
      <c r="M43" s="31"/>
      <c r="N43" s="31"/>
      <c r="O43" s="31"/>
      <c r="P43" s="32"/>
    </row>
    <row r="44" spans="1:19">
      <c r="A44" s="38" t="s">
        <v>27</v>
      </c>
      <c r="B44" s="1" t="s">
        <v>27</v>
      </c>
      <c r="C44" s="17" t="s">
        <v>20</v>
      </c>
      <c r="D44" s="31"/>
      <c r="E44" s="31"/>
      <c r="F44" s="31"/>
      <c r="G44" s="31"/>
      <c r="H44" s="32"/>
      <c r="I44" s="38" t="s">
        <v>27</v>
      </c>
      <c r="J44" s="3" t="s">
        <v>5</v>
      </c>
      <c r="K44" s="1" t="s">
        <v>27</v>
      </c>
      <c r="L44" s="31"/>
      <c r="M44" s="31"/>
      <c r="N44" s="31"/>
      <c r="O44" s="31"/>
      <c r="P44" s="32"/>
    </row>
    <row r="45" spans="1:19">
      <c r="A45" s="38" t="s">
        <v>27</v>
      </c>
      <c r="B45" s="1" t="s">
        <v>27</v>
      </c>
      <c r="C45" s="1" t="s">
        <v>27</v>
      </c>
      <c r="D45" s="31"/>
      <c r="E45" s="31"/>
      <c r="F45" s="31"/>
      <c r="G45" s="31"/>
      <c r="H45" s="32"/>
      <c r="I45" s="38" t="s">
        <v>27</v>
      </c>
      <c r="J45" s="3" t="s">
        <v>5</v>
      </c>
      <c r="K45" s="1" t="s">
        <v>27</v>
      </c>
      <c r="L45" s="31"/>
      <c r="M45" s="31"/>
      <c r="N45" s="31"/>
      <c r="O45" s="31"/>
      <c r="P45" s="32"/>
    </row>
    <row r="46" spans="1:19">
      <c r="A46" s="38" t="s">
        <v>27</v>
      </c>
      <c r="B46" s="1" t="s">
        <v>27</v>
      </c>
      <c r="C46" s="15" t="s">
        <v>17</v>
      </c>
      <c r="D46" s="31"/>
      <c r="E46" s="31"/>
      <c r="F46" s="31"/>
      <c r="G46" s="31"/>
      <c r="H46" s="32"/>
      <c r="I46" s="38" t="s">
        <v>27</v>
      </c>
      <c r="J46" s="15" t="s">
        <v>17</v>
      </c>
      <c r="K46" s="1" t="s">
        <v>27</v>
      </c>
      <c r="L46" s="31"/>
      <c r="M46" s="31"/>
      <c r="N46" s="31"/>
      <c r="O46" s="31"/>
      <c r="P46" s="32"/>
    </row>
    <row r="47" spans="1:19">
      <c r="A47" s="38" t="s">
        <v>27</v>
      </c>
      <c r="B47" s="1" t="s">
        <v>27</v>
      </c>
      <c r="C47" s="1" t="s">
        <v>27</v>
      </c>
      <c r="D47" s="31"/>
      <c r="E47" s="31"/>
      <c r="F47" s="31"/>
      <c r="G47" s="31"/>
      <c r="H47" s="32"/>
      <c r="I47" s="38" t="s">
        <v>27</v>
      </c>
      <c r="J47" s="3" t="s">
        <v>5</v>
      </c>
      <c r="K47" s="1" t="s">
        <v>27</v>
      </c>
      <c r="L47" s="31"/>
      <c r="M47" s="31"/>
      <c r="N47" s="31"/>
      <c r="O47" s="31"/>
      <c r="P47" s="32"/>
    </row>
    <row r="48" spans="1:19">
      <c r="A48" s="38" t="s">
        <v>27</v>
      </c>
      <c r="B48" s="1" t="s">
        <v>27</v>
      </c>
      <c r="C48" s="1" t="s">
        <v>27</v>
      </c>
      <c r="D48" s="31"/>
      <c r="E48" s="31"/>
      <c r="F48" s="31"/>
      <c r="G48" s="31"/>
      <c r="H48" s="32"/>
      <c r="I48" s="38" t="s">
        <v>27</v>
      </c>
      <c r="J48" s="3" t="s">
        <v>5</v>
      </c>
      <c r="K48" s="1" t="s">
        <v>27</v>
      </c>
      <c r="L48" s="31"/>
      <c r="M48" s="31"/>
      <c r="N48" s="31"/>
      <c r="O48" s="31"/>
      <c r="P48" s="32"/>
    </row>
    <row r="49" spans="1:16">
      <c r="A49" s="38" t="s">
        <v>27</v>
      </c>
      <c r="B49" s="1" t="s">
        <v>27</v>
      </c>
      <c r="C49" s="1" t="s">
        <v>27</v>
      </c>
      <c r="D49" s="31"/>
      <c r="E49" s="31"/>
      <c r="F49" s="31"/>
      <c r="G49" s="31"/>
      <c r="H49" s="32"/>
      <c r="I49" s="38" t="s">
        <v>27</v>
      </c>
      <c r="J49" s="3" t="s">
        <v>5</v>
      </c>
      <c r="K49" s="1" t="s">
        <v>27</v>
      </c>
      <c r="L49" s="31"/>
      <c r="M49" s="31"/>
      <c r="N49" s="31"/>
      <c r="O49" s="31"/>
      <c r="P49" s="32"/>
    </row>
    <row r="50" spans="1:16">
      <c r="A50" s="38" t="s">
        <v>27</v>
      </c>
      <c r="B50" s="1" t="s">
        <v>27</v>
      </c>
      <c r="C50" s="1" t="s">
        <v>27</v>
      </c>
      <c r="D50" s="31"/>
      <c r="E50" s="31"/>
      <c r="F50" s="31"/>
      <c r="G50" s="31"/>
      <c r="H50" s="32"/>
      <c r="I50" s="38" t="s">
        <v>27</v>
      </c>
      <c r="J50" s="3" t="s">
        <v>5</v>
      </c>
      <c r="K50" s="1" t="s">
        <v>27</v>
      </c>
      <c r="L50" s="31"/>
      <c r="M50" s="31"/>
      <c r="N50" s="31"/>
      <c r="O50" s="31"/>
      <c r="P50" s="32"/>
    </row>
    <row r="51" spans="1:16">
      <c r="A51" s="38" t="s">
        <v>27</v>
      </c>
      <c r="B51" s="1" t="s">
        <v>27</v>
      </c>
      <c r="C51" s="1" t="s">
        <v>27</v>
      </c>
      <c r="D51" s="31"/>
      <c r="E51" s="31"/>
      <c r="F51" s="31"/>
      <c r="G51" s="31"/>
      <c r="H51" s="32"/>
      <c r="I51" s="38" t="s">
        <v>27</v>
      </c>
      <c r="J51" s="15" t="s">
        <v>17</v>
      </c>
      <c r="K51" s="1" t="s">
        <v>27</v>
      </c>
      <c r="L51" s="31"/>
      <c r="M51" s="31"/>
      <c r="N51" s="31"/>
      <c r="O51" s="31"/>
      <c r="P51" s="32"/>
    </row>
    <row r="52" spans="1:16">
      <c r="A52" s="38" t="s">
        <v>27</v>
      </c>
      <c r="B52" s="1" t="s">
        <v>27</v>
      </c>
      <c r="C52" s="1" t="s">
        <v>27</v>
      </c>
      <c r="D52" s="31"/>
      <c r="E52" s="31"/>
      <c r="F52" s="31"/>
      <c r="G52" s="31"/>
      <c r="H52" s="32"/>
      <c r="I52" s="38" t="s">
        <v>27</v>
      </c>
      <c r="J52" s="3" t="s">
        <v>5</v>
      </c>
      <c r="K52" s="1" t="s">
        <v>27</v>
      </c>
      <c r="L52" s="31"/>
      <c r="M52" s="31"/>
      <c r="N52" s="31"/>
      <c r="O52" s="31"/>
      <c r="P52" s="32"/>
    </row>
    <row r="53" spans="1:16">
      <c r="A53" s="38" t="s">
        <v>27</v>
      </c>
      <c r="B53" s="1" t="s">
        <v>27</v>
      </c>
      <c r="C53" s="1" t="s">
        <v>27</v>
      </c>
      <c r="D53" s="31"/>
      <c r="E53" s="31"/>
      <c r="F53" s="31"/>
      <c r="G53" s="31"/>
      <c r="H53" s="32"/>
      <c r="I53" s="38" t="s">
        <v>27</v>
      </c>
      <c r="J53" s="3" t="s">
        <v>5</v>
      </c>
      <c r="K53" s="1" t="s">
        <v>27</v>
      </c>
      <c r="L53" s="31"/>
      <c r="M53" s="31"/>
      <c r="N53" s="31"/>
      <c r="O53" s="31"/>
      <c r="P53" s="32"/>
    </row>
    <row r="54" spans="1:16">
      <c r="A54" s="38" t="s">
        <v>27</v>
      </c>
      <c r="B54" s="1" t="s">
        <v>27</v>
      </c>
      <c r="C54" s="1" t="s">
        <v>27</v>
      </c>
      <c r="D54" s="31"/>
      <c r="E54" s="31"/>
      <c r="F54" s="31"/>
      <c r="G54" s="31"/>
      <c r="H54" s="32"/>
      <c r="I54" s="38" t="s">
        <v>27</v>
      </c>
      <c r="J54" s="3" t="s">
        <v>5</v>
      </c>
      <c r="K54" s="1" t="s">
        <v>27</v>
      </c>
      <c r="L54" s="31"/>
      <c r="M54" s="31"/>
      <c r="N54" s="31"/>
      <c r="O54" s="31"/>
      <c r="P54" s="32"/>
    </row>
    <row r="55" spans="1:16">
      <c r="A55" s="38" t="s">
        <v>27</v>
      </c>
      <c r="B55" s="1" t="s">
        <v>27</v>
      </c>
      <c r="C55" s="1" t="s">
        <v>27</v>
      </c>
      <c r="D55" s="31"/>
      <c r="E55" s="31"/>
      <c r="F55" s="31"/>
      <c r="G55" s="31"/>
      <c r="H55" s="32"/>
      <c r="I55" s="38" t="s">
        <v>27</v>
      </c>
      <c r="J55" s="9" t="s">
        <v>11</v>
      </c>
      <c r="K55" s="1" t="s">
        <v>27</v>
      </c>
      <c r="L55" s="31"/>
      <c r="M55" s="31"/>
      <c r="N55" s="31"/>
      <c r="O55" s="31"/>
      <c r="P55" s="32"/>
    </row>
    <row r="56" spans="1:16">
      <c r="A56" s="38" t="s">
        <v>27</v>
      </c>
      <c r="B56" s="1" t="s">
        <v>27</v>
      </c>
      <c r="C56" s="1" t="s">
        <v>27</v>
      </c>
      <c r="D56" s="31"/>
      <c r="E56" s="31"/>
      <c r="F56" s="31"/>
      <c r="G56" s="31"/>
      <c r="H56" s="32"/>
      <c r="I56" s="38" t="s">
        <v>27</v>
      </c>
      <c r="J56" s="3" t="s">
        <v>5</v>
      </c>
      <c r="K56" s="1" t="s">
        <v>27</v>
      </c>
      <c r="L56" s="31"/>
      <c r="M56" s="31"/>
      <c r="N56" s="31"/>
      <c r="O56" s="31"/>
      <c r="P56" s="32"/>
    </row>
    <row r="57" spans="1:16">
      <c r="A57" s="38" t="s">
        <v>27</v>
      </c>
      <c r="B57" s="1" t="s">
        <v>27</v>
      </c>
      <c r="C57" s="1" t="s">
        <v>27</v>
      </c>
      <c r="D57" s="31"/>
      <c r="E57" s="31"/>
      <c r="F57" s="31"/>
      <c r="G57" s="31"/>
      <c r="H57" s="32"/>
      <c r="I57" s="38" t="s">
        <v>27</v>
      </c>
      <c r="J57" s="3" t="s">
        <v>5</v>
      </c>
      <c r="K57" s="1" t="s">
        <v>27</v>
      </c>
      <c r="L57" s="31"/>
      <c r="M57" s="31"/>
      <c r="N57" s="31"/>
      <c r="O57" s="31"/>
      <c r="P57" s="32"/>
    </row>
    <row r="58" spans="1:16">
      <c r="A58" s="38" t="s">
        <v>27</v>
      </c>
      <c r="B58" s="1" t="s">
        <v>27</v>
      </c>
      <c r="C58" s="1" t="s">
        <v>27</v>
      </c>
      <c r="D58" s="31"/>
      <c r="E58" s="31"/>
      <c r="F58" s="31"/>
      <c r="G58" s="31"/>
      <c r="H58" s="32"/>
      <c r="I58" s="38" t="s">
        <v>27</v>
      </c>
      <c r="J58" s="15" t="s">
        <v>17</v>
      </c>
      <c r="K58" s="1" t="s">
        <v>27</v>
      </c>
      <c r="L58" s="31"/>
      <c r="M58" s="31"/>
      <c r="N58" s="31"/>
      <c r="O58" s="31"/>
      <c r="P58" s="32"/>
    </row>
    <row r="59" spans="1:16">
      <c r="A59" s="38" t="s">
        <v>27</v>
      </c>
      <c r="B59" s="1" t="s">
        <v>27</v>
      </c>
      <c r="C59" s="1" t="s">
        <v>27</v>
      </c>
      <c r="D59" s="31"/>
      <c r="E59" s="31"/>
      <c r="F59" s="31"/>
      <c r="G59" s="31"/>
      <c r="H59" s="32"/>
      <c r="I59" s="38" t="s">
        <v>27</v>
      </c>
      <c r="J59" s="3" t="s">
        <v>5</v>
      </c>
      <c r="K59" s="1" t="s">
        <v>27</v>
      </c>
      <c r="L59" s="31"/>
      <c r="M59" s="31"/>
      <c r="N59" s="31"/>
      <c r="O59" s="31"/>
      <c r="P59" s="32"/>
    </row>
    <row r="60" spans="1:16">
      <c r="A60" s="38" t="s">
        <v>27</v>
      </c>
      <c r="B60" s="1" t="s">
        <v>27</v>
      </c>
      <c r="C60" s="1" t="s">
        <v>27</v>
      </c>
      <c r="D60" s="31"/>
      <c r="E60" s="31"/>
      <c r="F60" s="31"/>
      <c r="G60" s="31"/>
      <c r="H60" s="32"/>
      <c r="I60" s="38" t="s">
        <v>27</v>
      </c>
      <c r="J60" s="3" t="s">
        <v>5</v>
      </c>
      <c r="K60" s="1" t="s">
        <v>27</v>
      </c>
      <c r="L60" s="31"/>
      <c r="M60" s="31"/>
      <c r="N60" s="31"/>
      <c r="O60" s="31"/>
      <c r="P60" s="32"/>
    </row>
    <row r="61" spans="1:16">
      <c r="A61" s="38" t="s">
        <v>27</v>
      </c>
      <c r="B61" s="1" t="s">
        <v>27</v>
      </c>
      <c r="C61" s="1" t="s">
        <v>27</v>
      </c>
      <c r="D61" s="31"/>
      <c r="E61" s="31"/>
      <c r="F61" s="31"/>
      <c r="G61" s="31"/>
      <c r="H61" s="32"/>
      <c r="I61" s="38" t="s">
        <v>27</v>
      </c>
      <c r="J61" s="3" t="s">
        <v>5</v>
      </c>
      <c r="K61" s="1" t="s">
        <v>27</v>
      </c>
      <c r="L61" s="31"/>
      <c r="M61" s="31"/>
      <c r="N61" s="31"/>
      <c r="O61" s="31"/>
      <c r="P61" s="32"/>
    </row>
    <row r="62" spans="1:16">
      <c r="A62" s="38" t="s">
        <v>27</v>
      </c>
      <c r="B62" s="1" t="s">
        <v>27</v>
      </c>
      <c r="C62" s="1" t="s">
        <v>27</v>
      </c>
      <c r="D62" s="31"/>
      <c r="E62" s="31"/>
      <c r="F62" s="31"/>
      <c r="G62" s="31"/>
      <c r="H62" s="32"/>
      <c r="I62" s="38" t="s">
        <v>27</v>
      </c>
      <c r="J62" s="3" t="s">
        <v>5</v>
      </c>
      <c r="K62" s="1" t="s">
        <v>27</v>
      </c>
      <c r="L62" s="31"/>
      <c r="M62" s="31"/>
      <c r="N62" s="31"/>
      <c r="O62" s="31"/>
      <c r="P62" s="32"/>
    </row>
    <row r="63" spans="1:16">
      <c r="A63" s="38" t="s">
        <v>27</v>
      </c>
      <c r="B63" s="1" t="s">
        <v>27</v>
      </c>
      <c r="C63" s="1" t="s">
        <v>27</v>
      </c>
      <c r="D63" s="31"/>
      <c r="E63" s="31"/>
      <c r="F63" s="31"/>
      <c r="G63" s="31"/>
      <c r="H63" s="32"/>
      <c r="I63" s="38" t="s">
        <v>27</v>
      </c>
      <c r="J63" s="3" t="s">
        <v>5</v>
      </c>
      <c r="K63" s="1" t="s">
        <v>27</v>
      </c>
      <c r="L63" s="31"/>
      <c r="M63" s="31"/>
      <c r="N63" s="31"/>
      <c r="O63" s="31"/>
      <c r="P63" s="32"/>
    </row>
    <row r="64" spans="1:16">
      <c r="A64" s="38" t="s">
        <v>27</v>
      </c>
      <c r="B64" s="1" t="s">
        <v>27</v>
      </c>
      <c r="C64" s="1" t="s">
        <v>27</v>
      </c>
      <c r="D64" s="31"/>
      <c r="E64" s="31"/>
      <c r="F64" s="31"/>
      <c r="G64" s="31"/>
      <c r="H64" s="32"/>
      <c r="I64" s="38" t="s">
        <v>27</v>
      </c>
      <c r="J64" s="15" t="s">
        <v>17</v>
      </c>
      <c r="K64" s="1" t="s">
        <v>27</v>
      </c>
      <c r="L64" s="31"/>
      <c r="M64" s="31"/>
      <c r="N64" s="31"/>
      <c r="O64" s="31"/>
      <c r="P64" s="32"/>
    </row>
    <row r="65" spans="1:16">
      <c r="A65" s="38" t="s">
        <v>27</v>
      </c>
      <c r="B65" s="1" t="s">
        <v>27</v>
      </c>
      <c r="C65" s="1" t="s">
        <v>27</v>
      </c>
      <c r="D65" s="31"/>
      <c r="E65" s="31"/>
      <c r="F65" s="31"/>
      <c r="G65" s="31"/>
      <c r="H65" s="32"/>
      <c r="I65" s="38" t="s">
        <v>27</v>
      </c>
      <c r="J65" s="3" t="s">
        <v>5</v>
      </c>
      <c r="K65" s="1" t="s">
        <v>27</v>
      </c>
      <c r="L65" s="31"/>
      <c r="M65" s="31"/>
      <c r="N65" s="31"/>
      <c r="O65" s="31"/>
      <c r="P65" s="32"/>
    </row>
    <row r="66" spans="1:16">
      <c r="A66" s="38" t="s">
        <v>27</v>
      </c>
      <c r="B66" s="1" t="s">
        <v>27</v>
      </c>
      <c r="C66" s="1" t="s">
        <v>27</v>
      </c>
      <c r="D66" s="31"/>
      <c r="E66" s="31"/>
      <c r="F66" s="31"/>
      <c r="G66" s="31"/>
      <c r="H66" s="32"/>
      <c r="I66" s="38" t="s">
        <v>27</v>
      </c>
      <c r="J66" s="3" t="s">
        <v>5</v>
      </c>
      <c r="K66" s="1" t="s">
        <v>27</v>
      </c>
      <c r="L66" s="31"/>
      <c r="M66" s="31"/>
      <c r="N66" s="31"/>
      <c r="O66" s="31"/>
      <c r="P66" s="32"/>
    </row>
    <row r="67" spans="1:16">
      <c r="A67" s="38" t="s">
        <v>27</v>
      </c>
      <c r="B67" s="1" t="s">
        <v>27</v>
      </c>
      <c r="C67" s="1" t="s">
        <v>27</v>
      </c>
      <c r="D67" s="31"/>
      <c r="E67" s="31"/>
      <c r="F67" s="31"/>
      <c r="G67" s="31"/>
      <c r="H67" s="32"/>
      <c r="I67" s="38" t="s">
        <v>27</v>
      </c>
      <c r="J67" s="3" t="s">
        <v>5</v>
      </c>
      <c r="K67" s="1" t="s">
        <v>27</v>
      </c>
      <c r="L67" s="31"/>
      <c r="M67" s="31"/>
      <c r="N67" s="31"/>
      <c r="O67" s="31"/>
      <c r="P67" s="32"/>
    </row>
    <row r="68" spans="1:16">
      <c r="A68" s="38" t="s">
        <v>27</v>
      </c>
      <c r="B68" s="1" t="s">
        <v>27</v>
      </c>
      <c r="C68" s="1" t="s">
        <v>27</v>
      </c>
      <c r="D68" s="31"/>
      <c r="E68" s="31"/>
      <c r="F68" s="31"/>
      <c r="G68" s="31"/>
      <c r="H68" s="32"/>
      <c r="I68" s="38" t="s">
        <v>27</v>
      </c>
      <c r="J68" s="3" t="s">
        <v>5</v>
      </c>
      <c r="K68" s="1" t="s">
        <v>27</v>
      </c>
      <c r="L68" s="31"/>
      <c r="M68" s="31"/>
      <c r="N68" s="31"/>
      <c r="O68" s="31"/>
      <c r="P68" s="32"/>
    </row>
    <row r="69" spans="1:16">
      <c r="A69" s="38" t="s">
        <v>27</v>
      </c>
      <c r="B69" s="1" t="s">
        <v>27</v>
      </c>
      <c r="C69" s="1" t="s">
        <v>27</v>
      </c>
      <c r="D69" s="31"/>
      <c r="E69" s="31"/>
      <c r="F69" s="31"/>
      <c r="G69" s="31"/>
      <c r="H69" s="32"/>
      <c r="I69" s="38" t="s">
        <v>27</v>
      </c>
      <c r="J69" s="3" t="s">
        <v>5</v>
      </c>
      <c r="K69" s="1" t="s">
        <v>27</v>
      </c>
      <c r="L69" s="31"/>
      <c r="M69" s="31"/>
      <c r="N69" s="31"/>
      <c r="O69" s="31"/>
      <c r="P69" s="32"/>
    </row>
    <row r="70" spans="1:16">
      <c r="A70" s="38" t="s">
        <v>27</v>
      </c>
      <c r="B70" s="1" t="s">
        <v>27</v>
      </c>
      <c r="C70" s="1" t="s">
        <v>27</v>
      </c>
      <c r="D70" s="31"/>
      <c r="E70" s="31"/>
      <c r="F70" s="31"/>
      <c r="G70" s="31"/>
      <c r="H70" s="32"/>
      <c r="I70" s="38" t="s">
        <v>27</v>
      </c>
      <c r="J70" s="15" t="s">
        <v>17</v>
      </c>
      <c r="K70" s="1" t="s">
        <v>27</v>
      </c>
      <c r="L70" s="31"/>
      <c r="M70" s="31"/>
      <c r="N70" s="31"/>
      <c r="O70" s="31"/>
      <c r="P70" s="32"/>
    </row>
    <row r="71" spans="1:16">
      <c r="A71" s="38" t="s">
        <v>27</v>
      </c>
      <c r="B71" s="1" t="s">
        <v>27</v>
      </c>
      <c r="C71" s="1" t="s">
        <v>27</v>
      </c>
      <c r="D71" s="31"/>
      <c r="E71" s="31"/>
      <c r="F71" s="31"/>
      <c r="G71" s="31"/>
      <c r="H71" s="32"/>
      <c r="I71" s="38" t="s">
        <v>27</v>
      </c>
      <c r="J71" s="1" t="s">
        <v>27</v>
      </c>
      <c r="K71" s="1" t="s">
        <v>27</v>
      </c>
      <c r="L71" s="31"/>
      <c r="M71" s="31"/>
      <c r="N71" s="31"/>
      <c r="O71" s="31"/>
      <c r="P71" s="32"/>
    </row>
    <row r="72" spans="1:16">
      <c r="A72" s="38" t="s">
        <v>27</v>
      </c>
      <c r="B72" s="1" t="s">
        <v>27</v>
      </c>
      <c r="C72" s="1" t="s">
        <v>27</v>
      </c>
      <c r="D72" s="31"/>
      <c r="E72" s="31"/>
      <c r="F72" s="31"/>
      <c r="G72" s="31"/>
      <c r="H72" s="32"/>
      <c r="I72" s="38" t="s">
        <v>27</v>
      </c>
      <c r="J72" s="1" t="s">
        <v>27</v>
      </c>
      <c r="K72" s="1" t="s">
        <v>27</v>
      </c>
      <c r="L72" s="31"/>
      <c r="M72" s="31"/>
      <c r="N72" s="31"/>
      <c r="O72" s="31"/>
      <c r="P72" s="32"/>
    </row>
    <row r="73" spans="1:16">
      <c r="A73" s="38" t="s">
        <v>27</v>
      </c>
      <c r="B73" s="1" t="s">
        <v>27</v>
      </c>
      <c r="C73" s="1" t="s">
        <v>27</v>
      </c>
      <c r="D73" s="31"/>
      <c r="E73" s="31"/>
      <c r="F73" s="31"/>
      <c r="G73" s="31"/>
      <c r="H73" s="32"/>
      <c r="I73" s="38" t="s">
        <v>27</v>
      </c>
      <c r="J73" s="1" t="s">
        <v>27</v>
      </c>
      <c r="K73" s="1" t="s">
        <v>27</v>
      </c>
      <c r="L73" s="31"/>
      <c r="M73" s="31"/>
      <c r="N73" s="31"/>
      <c r="O73" s="31"/>
      <c r="P73" s="32"/>
    </row>
    <row r="74" spans="1:16">
      <c r="A74" s="38" t="s">
        <v>27</v>
      </c>
      <c r="B74" s="1" t="s">
        <v>27</v>
      </c>
      <c r="C74" s="1" t="s">
        <v>27</v>
      </c>
      <c r="D74" s="31"/>
      <c r="E74" s="31"/>
      <c r="F74" s="31"/>
      <c r="G74" s="31"/>
      <c r="H74" s="32"/>
      <c r="I74" s="38" t="s">
        <v>27</v>
      </c>
      <c r="J74" s="1" t="s">
        <v>27</v>
      </c>
      <c r="K74" s="1" t="s">
        <v>27</v>
      </c>
      <c r="L74" s="31"/>
      <c r="M74" s="31"/>
      <c r="N74" s="31"/>
      <c r="O74" s="31"/>
      <c r="P74" s="32"/>
    </row>
    <row r="75" spans="1:16">
      <c r="A75" s="38" t="s">
        <v>27</v>
      </c>
      <c r="B75" s="1" t="s">
        <v>27</v>
      </c>
      <c r="C75" s="1" t="s">
        <v>27</v>
      </c>
      <c r="D75" s="31"/>
      <c r="E75" s="31"/>
      <c r="F75" s="31"/>
      <c r="G75" s="31"/>
      <c r="H75" s="32"/>
      <c r="I75" s="38" t="s">
        <v>27</v>
      </c>
      <c r="J75" s="1" t="s">
        <v>27</v>
      </c>
      <c r="K75" s="1" t="s">
        <v>27</v>
      </c>
      <c r="L75" s="31"/>
      <c r="M75" s="31"/>
      <c r="N75" s="31"/>
      <c r="O75" s="31"/>
      <c r="P75" s="32"/>
    </row>
    <row r="76" spans="1:16">
      <c r="A76" s="38" t="s">
        <v>27</v>
      </c>
      <c r="B76" s="1" t="s">
        <v>27</v>
      </c>
      <c r="C76" s="1" t="s">
        <v>27</v>
      </c>
      <c r="D76" s="31"/>
      <c r="E76" s="31"/>
      <c r="F76" s="31"/>
      <c r="G76" s="31"/>
      <c r="H76" s="32"/>
      <c r="I76" s="38" t="s">
        <v>27</v>
      </c>
      <c r="J76" s="1" t="s">
        <v>27</v>
      </c>
      <c r="K76" s="1" t="s">
        <v>27</v>
      </c>
      <c r="L76" s="31"/>
      <c r="M76" s="31"/>
      <c r="N76" s="31"/>
      <c r="O76" s="31"/>
      <c r="P76" s="32"/>
    </row>
    <row r="77" spans="1:16">
      <c r="A77" s="38" t="s">
        <v>27</v>
      </c>
      <c r="B77" s="1" t="s">
        <v>27</v>
      </c>
      <c r="C77" s="1" t="s">
        <v>27</v>
      </c>
      <c r="D77" s="31"/>
      <c r="E77" s="31"/>
      <c r="F77" s="31"/>
      <c r="G77" s="31"/>
      <c r="H77" s="32"/>
      <c r="I77" s="38" t="s">
        <v>27</v>
      </c>
      <c r="J77" s="1" t="s">
        <v>27</v>
      </c>
      <c r="K77" s="1" t="s">
        <v>27</v>
      </c>
      <c r="L77" s="31"/>
      <c r="M77" s="31"/>
      <c r="N77" s="31"/>
      <c r="O77" s="31"/>
      <c r="P77" s="32"/>
    </row>
    <row r="78" spans="1:16">
      <c r="A78" s="38" t="s">
        <v>27</v>
      </c>
      <c r="B78" s="1" t="s">
        <v>27</v>
      </c>
      <c r="C78" s="1" t="s">
        <v>27</v>
      </c>
      <c r="D78" s="31"/>
      <c r="E78" s="31"/>
      <c r="F78" s="31"/>
      <c r="G78" s="31"/>
      <c r="H78" s="32"/>
      <c r="I78" s="38" t="s">
        <v>27</v>
      </c>
      <c r="J78" s="1" t="s">
        <v>27</v>
      </c>
      <c r="K78" s="1" t="s">
        <v>27</v>
      </c>
      <c r="L78" s="31"/>
      <c r="M78" s="31"/>
      <c r="N78" s="31"/>
      <c r="O78" s="31"/>
      <c r="P78" s="32"/>
    </row>
    <row r="79" spans="1:16">
      <c r="A79" s="38" t="s">
        <v>27</v>
      </c>
      <c r="B79" s="1" t="s">
        <v>27</v>
      </c>
      <c r="C79" s="1" t="s">
        <v>27</v>
      </c>
      <c r="D79" s="31"/>
      <c r="E79" s="31"/>
      <c r="F79" s="31"/>
      <c r="G79" s="31"/>
      <c r="H79" s="32"/>
      <c r="I79" s="38" t="s">
        <v>27</v>
      </c>
      <c r="J79" s="1" t="s">
        <v>27</v>
      </c>
      <c r="K79" s="1" t="s">
        <v>27</v>
      </c>
      <c r="L79" s="31"/>
      <c r="M79" s="31"/>
      <c r="N79" s="31"/>
      <c r="O79" s="31"/>
      <c r="P79" s="32"/>
    </row>
    <row r="80" spans="1:16">
      <c r="A80" s="38" t="s">
        <v>27</v>
      </c>
      <c r="B80" s="1" t="s">
        <v>27</v>
      </c>
      <c r="C80" s="1" t="s">
        <v>27</v>
      </c>
      <c r="D80" s="31"/>
      <c r="E80" s="31"/>
      <c r="F80" s="31"/>
      <c r="G80" s="31"/>
      <c r="H80" s="32"/>
      <c r="I80" s="38" t="s">
        <v>27</v>
      </c>
      <c r="J80" s="1" t="s">
        <v>27</v>
      </c>
      <c r="K80" s="1" t="s">
        <v>27</v>
      </c>
      <c r="L80" s="31"/>
      <c r="M80" s="31"/>
      <c r="N80" s="31"/>
      <c r="O80" s="31"/>
      <c r="P80" s="32"/>
    </row>
    <row r="81" spans="1:16">
      <c r="A81" s="38" t="s">
        <v>27</v>
      </c>
      <c r="B81" s="1" t="s">
        <v>27</v>
      </c>
      <c r="C81" s="1" t="s">
        <v>27</v>
      </c>
      <c r="D81" s="31"/>
      <c r="E81" s="31"/>
      <c r="F81" s="31"/>
      <c r="G81" s="31"/>
      <c r="H81" s="32"/>
      <c r="I81" s="38" t="s">
        <v>27</v>
      </c>
      <c r="J81" s="1" t="s">
        <v>27</v>
      </c>
      <c r="K81" s="1" t="s">
        <v>27</v>
      </c>
      <c r="L81" s="31"/>
      <c r="M81" s="31"/>
      <c r="N81" s="31"/>
      <c r="O81" s="31"/>
      <c r="P81" s="32"/>
    </row>
    <row r="82" spans="1:16">
      <c r="A82" s="38" t="s">
        <v>27</v>
      </c>
      <c r="B82" s="1" t="s">
        <v>27</v>
      </c>
      <c r="C82" s="1" t="s">
        <v>27</v>
      </c>
      <c r="D82" s="31"/>
      <c r="E82" s="31"/>
      <c r="F82" s="31"/>
      <c r="G82" s="31"/>
      <c r="H82" s="32"/>
      <c r="I82" s="38" t="s">
        <v>27</v>
      </c>
      <c r="J82" s="1" t="s">
        <v>27</v>
      </c>
      <c r="K82" s="1" t="s">
        <v>27</v>
      </c>
      <c r="L82" s="31"/>
      <c r="M82" s="31"/>
      <c r="N82" s="31"/>
      <c r="O82" s="31"/>
      <c r="P82" s="32"/>
    </row>
    <row r="83" spans="1:16">
      <c r="A83" s="38" t="s">
        <v>27</v>
      </c>
      <c r="B83" s="1" t="s">
        <v>27</v>
      </c>
      <c r="C83" s="1" t="s">
        <v>27</v>
      </c>
      <c r="D83" s="31"/>
      <c r="E83" s="31"/>
      <c r="F83" s="31"/>
      <c r="G83" s="31"/>
      <c r="H83" s="32"/>
      <c r="I83" s="38" t="s">
        <v>27</v>
      </c>
      <c r="J83" s="1" t="s">
        <v>27</v>
      </c>
      <c r="K83" s="1" t="s">
        <v>27</v>
      </c>
      <c r="L83" s="31"/>
      <c r="M83" s="31"/>
      <c r="N83" s="31"/>
      <c r="O83" s="31"/>
      <c r="P83" s="32"/>
    </row>
    <row r="84" spans="1:16">
      <c r="A84" s="38" t="s">
        <v>27</v>
      </c>
      <c r="B84" s="1" t="s">
        <v>27</v>
      </c>
      <c r="C84" s="1" t="s">
        <v>27</v>
      </c>
      <c r="D84" s="31"/>
      <c r="E84" s="31"/>
      <c r="F84" s="31"/>
      <c r="G84" s="31"/>
      <c r="H84" s="32"/>
      <c r="I84" s="38" t="s">
        <v>27</v>
      </c>
      <c r="J84" s="1" t="s">
        <v>27</v>
      </c>
      <c r="K84" s="1" t="s">
        <v>27</v>
      </c>
      <c r="L84" s="31"/>
      <c r="M84" s="31"/>
      <c r="N84" s="31"/>
      <c r="O84" s="31"/>
      <c r="P84" s="32"/>
    </row>
    <row r="85" spans="1:16">
      <c r="A85" s="38" t="s">
        <v>27</v>
      </c>
      <c r="B85" s="1" t="s">
        <v>27</v>
      </c>
      <c r="C85" s="1" t="s">
        <v>27</v>
      </c>
      <c r="D85" s="31"/>
      <c r="E85" s="31"/>
      <c r="F85" s="31"/>
      <c r="G85" s="31"/>
      <c r="H85" s="32"/>
      <c r="I85" s="38" t="s">
        <v>27</v>
      </c>
      <c r="J85" s="1" t="s">
        <v>27</v>
      </c>
      <c r="K85" s="1" t="s">
        <v>27</v>
      </c>
      <c r="L85" s="31"/>
      <c r="M85" s="31"/>
      <c r="N85" s="31"/>
      <c r="O85" s="31"/>
      <c r="P85" s="32"/>
    </row>
    <row r="86" spans="1:16">
      <c r="A86" s="38" t="s">
        <v>27</v>
      </c>
      <c r="B86" s="1" t="s">
        <v>27</v>
      </c>
      <c r="C86" s="1" t="s">
        <v>27</v>
      </c>
      <c r="D86" s="31"/>
      <c r="E86" s="31"/>
      <c r="F86" s="31"/>
      <c r="G86" s="31"/>
      <c r="H86" s="32"/>
      <c r="I86" s="38" t="s">
        <v>27</v>
      </c>
      <c r="J86" s="1" t="s">
        <v>27</v>
      </c>
      <c r="K86" s="1" t="s">
        <v>27</v>
      </c>
      <c r="L86" s="31"/>
      <c r="M86" s="31"/>
      <c r="N86" s="31"/>
      <c r="O86" s="31"/>
      <c r="P86" s="32"/>
    </row>
    <row r="87" spans="1:16">
      <c r="A87" s="38" t="s">
        <v>27</v>
      </c>
      <c r="B87" s="1" t="s">
        <v>27</v>
      </c>
      <c r="C87" s="1" t="s">
        <v>27</v>
      </c>
      <c r="D87" s="31"/>
      <c r="E87" s="31"/>
      <c r="F87" s="31"/>
      <c r="G87" s="31"/>
      <c r="H87" s="32"/>
      <c r="I87" s="38" t="s">
        <v>27</v>
      </c>
      <c r="J87" s="1" t="s">
        <v>27</v>
      </c>
      <c r="K87" s="1" t="s">
        <v>27</v>
      </c>
      <c r="L87" s="31"/>
      <c r="M87" s="31"/>
      <c r="N87" s="31"/>
      <c r="O87" s="31"/>
      <c r="P87" s="32"/>
    </row>
    <row r="88" spans="1:16">
      <c r="A88" s="38" t="s">
        <v>27</v>
      </c>
      <c r="B88" s="1" t="s">
        <v>27</v>
      </c>
      <c r="C88" s="1" t="s">
        <v>27</v>
      </c>
      <c r="D88" s="31"/>
      <c r="E88" s="31"/>
      <c r="F88" s="31"/>
      <c r="G88" s="31"/>
      <c r="H88" s="32"/>
      <c r="I88" s="38" t="s">
        <v>27</v>
      </c>
      <c r="J88" s="1" t="s">
        <v>27</v>
      </c>
      <c r="K88" s="1" t="s">
        <v>27</v>
      </c>
      <c r="L88" s="31"/>
      <c r="M88" s="31"/>
      <c r="N88" s="31"/>
      <c r="O88" s="31"/>
      <c r="P88" s="32"/>
    </row>
    <row r="89" spans="1:16">
      <c r="A89" s="38" t="s">
        <v>27</v>
      </c>
      <c r="B89" s="1" t="s">
        <v>27</v>
      </c>
      <c r="C89" s="1" t="s">
        <v>27</v>
      </c>
      <c r="D89" s="31"/>
      <c r="E89" s="31"/>
      <c r="F89" s="31"/>
      <c r="G89" s="31"/>
      <c r="H89" s="32"/>
      <c r="I89" s="38" t="s">
        <v>27</v>
      </c>
      <c r="J89" s="1" t="s">
        <v>27</v>
      </c>
      <c r="K89" s="1" t="s">
        <v>27</v>
      </c>
      <c r="L89" s="31"/>
      <c r="M89" s="31"/>
      <c r="N89" s="31"/>
      <c r="O89" s="31"/>
      <c r="P89" s="32"/>
    </row>
    <row r="90" spans="1:16">
      <c r="A90" s="38" t="s">
        <v>27</v>
      </c>
      <c r="B90" s="1" t="s">
        <v>27</v>
      </c>
      <c r="C90" s="1" t="s">
        <v>27</v>
      </c>
      <c r="D90" s="31"/>
      <c r="E90" s="31"/>
      <c r="F90" s="31"/>
      <c r="G90" s="31"/>
      <c r="H90" s="32"/>
      <c r="I90" s="38" t="s">
        <v>27</v>
      </c>
      <c r="J90" s="1" t="s">
        <v>27</v>
      </c>
      <c r="K90" s="1" t="s">
        <v>27</v>
      </c>
      <c r="L90" s="31"/>
      <c r="M90" s="31"/>
      <c r="N90" s="31"/>
      <c r="O90" s="31"/>
      <c r="P90" s="32"/>
    </row>
    <row r="91" spans="1:16">
      <c r="A91" s="38" t="s">
        <v>27</v>
      </c>
      <c r="B91" s="1" t="s">
        <v>27</v>
      </c>
      <c r="C91" s="1" t="s">
        <v>27</v>
      </c>
      <c r="D91" s="31"/>
      <c r="E91" s="31"/>
      <c r="F91" s="31"/>
      <c r="G91" s="31"/>
      <c r="H91" s="32"/>
      <c r="I91" s="38" t="s">
        <v>27</v>
      </c>
      <c r="J91" s="1" t="s">
        <v>27</v>
      </c>
      <c r="K91" s="1" t="s">
        <v>27</v>
      </c>
      <c r="L91" s="31"/>
      <c r="M91" s="31"/>
      <c r="N91" s="31"/>
      <c r="O91" s="31"/>
      <c r="P91" s="32"/>
    </row>
    <row r="92" spans="1:16">
      <c r="A92" s="38" t="s">
        <v>27</v>
      </c>
      <c r="B92" s="1" t="s">
        <v>27</v>
      </c>
      <c r="C92" s="1" t="s">
        <v>27</v>
      </c>
      <c r="D92" s="31"/>
      <c r="E92" s="31"/>
      <c r="F92" s="31"/>
      <c r="G92" s="31"/>
      <c r="H92" s="32"/>
      <c r="I92" s="38" t="s">
        <v>27</v>
      </c>
      <c r="J92" s="1" t="s">
        <v>27</v>
      </c>
      <c r="K92" s="1" t="s">
        <v>27</v>
      </c>
      <c r="L92" s="31"/>
      <c r="M92" s="31"/>
      <c r="N92" s="31"/>
      <c r="O92" s="31"/>
      <c r="P92" s="32"/>
    </row>
    <row r="93" spans="1:16">
      <c r="A93" s="38" t="s">
        <v>27</v>
      </c>
      <c r="B93" s="1" t="s">
        <v>27</v>
      </c>
      <c r="C93" s="1" t="s">
        <v>27</v>
      </c>
      <c r="D93" s="31"/>
      <c r="E93" s="31"/>
      <c r="F93" s="31"/>
      <c r="G93" s="31"/>
      <c r="H93" s="32"/>
      <c r="I93" s="38" t="s">
        <v>27</v>
      </c>
      <c r="J93" s="1" t="s">
        <v>27</v>
      </c>
      <c r="K93" s="1" t="s">
        <v>27</v>
      </c>
      <c r="L93" s="31"/>
      <c r="M93" s="31"/>
      <c r="N93" s="31"/>
      <c r="O93" s="31"/>
      <c r="P93" s="32"/>
    </row>
    <row r="94" spans="1:16">
      <c r="A94" s="38" t="s">
        <v>27</v>
      </c>
      <c r="B94" s="1" t="s">
        <v>27</v>
      </c>
      <c r="C94" s="1" t="s">
        <v>27</v>
      </c>
      <c r="D94" s="31"/>
      <c r="E94" s="31"/>
      <c r="F94" s="31"/>
      <c r="G94" s="31"/>
      <c r="H94" s="32"/>
      <c r="I94" s="38" t="s">
        <v>27</v>
      </c>
      <c r="J94" s="1" t="s">
        <v>27</v>
      </c>
      <c r="K94" s="1" t="s">
        <v>27</v>
      </c>
      <c r="L94" s="31"/>
      <c r="M94" s="31"/>
      <c r="N94" s="31"/>
      <c r="O94" s="31"/>
      <c r="P94" s="32"/>
    </row>
    <row r="95" spans="1:16">
      <c r="A95" s="38" t="s">
        <v>27</v>
      </c>
      <c r="B95" s="1" t="s">
        <v>27</v>
      </c>
      <c r="C95" s="1" t="s">
        <v>27</v>
      </c>
      <c r="D95" s="31"/>
      <c r="E95" s="31"/>
      <c r="F95" s="31"/>
      <c r="G95" s="31"/>
      <c r="H95" s="32"/>
      <c r="I95" s="38" t="s">
        <v>27</v>
      </c>
      <c r="J95" s="1" t="s">
        <v>27</v>
      </c>
      <c r="K95" s="1" t="s">
        <v>27</v>
      </c>
      <c r="L95" s="31"/>
      <c r="M95" s="31"/>
      <c r="N95" s="31"/>
      <c r="O95" s="31"/>
      <c r="P95" s="32"/>
    </row>
    <row r="96" spans="1:16">
      <c r="A96" s="38" t="s">
        <v>27</v>
      </c>
      <c r="B96" s="1" t="s">
        <v>27</v>
      </c>
      <c r="C96" s="1" t="s">
        <v>27</v>
      </c>
      <c r="D96" s="31"/>
      <c r="E96" s="31"/>
      <c r="F96" s="31"/>
      <c r="G96" s="31"/>
      <c r="H96" s="32"/>
      <c r="I96" s="38" t="s">
        <v>27</v>
      </c>
      <c r="J96" s="1" t="s">
        <v>27</v>
      </c>
      <c r="K96" s="1" t="s">
        <v>27</v>
      </c>
      <c r="L96" s="31"/>
      <c r="M96" s="31"/>
      <c r="N96" s="31"/>
      <c r="O96" s="31"/>
      <c r="P96" s="32"/>
    </row>
    <row r="97" spans="1:16">
      <c r="A97" s="38" t="s">
        <v>27</v>
      </c>
      <c r="B97" s="1" t="s">
        <v>27</v>
      </c>
      <c r="C97" s="1" t="s">
        <v>27</v>
      </c>
      <c r="D97" s="31"/>
      <c r="E97" s="31"/>
      <c r="F97" s="31"/>
      <c r="G97" s="31"/>
      <c r="H97" s="32"/>
      <c r="I97" s="38" t="s">
        <v>27</v>
      </c>
      <c r="J97" s="1" t="s">
        <v>27</v>
      </c>
      <c r="K97" s="1" t="s">
        <v>27</v>
      </c>
      <c r="L97" s="31"/>
      <c r="M97" s="31"/>
      <c r="N97" s="31"/>
      <c r="O97" s="31"/>
      <c r="P97" s="32"/>
    </row>
    <row r="98" spans="1:16">
      <c r="A98" s="38" t="s">
        <v>27</v>
      </c>
      <c r="B98" s="1" t="s">
        <v>27</v>
      </c>
      <c r="C98" s="1" t="s">
        <v>27</v>
      </c>
      <c r="D98" s="31"/>
      <c r="E98" s="31"/>
      <c r="F98" s="31"/>
      <c r="G98" s="31"/>
      <c r="H98" s="32"/>
      <c r="I98" s="38" t="s">
        <v>27</v>
      </c>
      <c r="J98" s="1" t="s">
        <v>27</v>
      </c>
      <c r="K98" s="1" t="s">
        <v>27</v>
      </c>
      <c r="L98" s="31"/>
      <c r="M98" s="31"/>
      <c r="N98" s="31"/>
      <c r="O98" s="31"/>
      <c r="P98" s="32"/>
    </row>
    <row r="99" spans="1:16">
      <c r="A99" s="38" t="s">
        <v>27</v>
      </c>
      <c r="B99" s="1" t="s">
        <v>27</v>
      </c>
      <c r="C99" s="1" t="s">
        <v>27</v>
      </c>
      <c r="D99" s="31"/>
      <c r="E99" s="31"/>
      <c r="F99" s="31"/>
      <c r="G99" s="31"/>
      <c r="H99" s="32"/>
      <c r="I99" s="38" t="s">
        <v>27</v>
      </c>
      <c r="J99" s="1" t="s">
        <v>27</v>
      </c>
      <c r="K99" s="1" t="s">
        <v>27</v>
      </c>
      <c r="L99" s="31"/>
      <c r="M99" s="31"/>
      <c r="N99" s="31"/>
      <c r="O99" s="31"/>
      <c r="P99" s="32"/>
    </row>
    <row r="100" spans="1:16" ht="15" thickBot="1">
      <c r="A100" s="39" t="s">
        <v>27</v>
      </c>
      <c r="B100" s="40" t="s">
        <v>27</v>
      </c>
      <c r="C100" s="40" t="s">
        <v>27</v>
      </c>
      <c r="D100" s="41"/>
      <c r="E100" s="41"/>
      <c r="F100" s="41"/>
      <c r="G100" s="41"/>
      <c r="H100" s="42"/>
      <c r="I100" s="39" t="s">
        <v>27</v>
      </c>
      <c r="J100" s="40" t="s">
        <v>27</v>
      </c>
      <c r="K100" s="40" t="s">
        <v>27</v>
      </c>
      <c r="L100" s="41"/>
      <c r="M100" s="41"/>
      <c r="N100" s="41"/>
      <c r="O100" s="41"/>
      <c r="P100" s="4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05736-35FC-4EF4-AF88-B80EBE952B6D}">
  <dimension ref="A1:AB100"/>
  <sheetViews>
    <sheetView topLeftCell="D10" workbookViewId="0">
      <selection activeCell="N35" sqref="N35"/>
    </sheetView>
  </sheetViews>
  <sheetFormatPr defaultRowHeight="14.4"/>
  <sheetData>
    <row r="1" spans="1:28" ht="15.6">
      <c r="A1" s="70" t="s">
        <v>30</v>
      </c>
      <c r="B1" s="71"/>
      <c r="C1" s="71"/>
      <c r="D1" s="71"/>
      <c r="E1" s="71"/>
      <c r="F1" s="72" t="s">
        <v>3</v>
      </c>
      <c r="G1" s="72"/>
      <c r="H1" s="27" cm="1">
        <f t="array" ref="H1">SUM(VLOOKUP(A4:C100,$T$3:$W$36,4,FALSE))+H4*10-H8*50</f>
        <v>2843.7733935360634</v>
      </c>
      <c r="I1" s="73" t="s">
        <v>41</v>
      </c>
      <c r="J1" s="74"/>
      <c r="K1" s="74"/>
      <c r="L1" s="74"/>
      <c r="M1" s="74"/>
      <c r="N1" s="74"/>
      <c r="O1" s="74"/>
      <c r="P1" s="75"/>
      <c r="Q1" s="85" t="s">
        <v>48</v>
      </c>
      <c r="R1" s="86"/>
      <c r="S1" s="86"/>
      <c r="T1" s="86"/>
      <c r="U1" s="86"/>
      <c r="V1" s="86"/>
      <c r="W1" s="86"/>
      <c r="X1" s="86"/>
      <c r="Y1" s="86"/>
      <c r="Z1" s="86"/>
      <c r="AA1" s="86"/>
      <c r="AB1" s="87"/>
    </row>
    <row r="2" spans="1:28" ht="28.8">
      <c r="A2" s="76" t="s">
        <v>35</v>
      </c>
      <c r="B2" s="77"/>
      <c r="C2" s="77"/>
      <c r="D2" s="78" t="s">
        <v>37</v>
      </c>
      <c r="E2" s="79"/>
      <c r="F2" s="79"/>
      <c r="G2" s="79"/>
      <c r="H2" s="80"/>
      <c r="I2" s="81" t="s">
        <v>35</v>
      </c>
      <c r="J2" s="82"/>
      <c r="K2" s="82"/>
      <c r="L2" s="83" t="s">
        <v>37</v>
      </c>
      <c r="M2" s="83"/>
      <c r="N2" s="83"/>
      <c r="O2" s="83"/>
      <c r="P2" s="84"/>
      <c r="Q2" s="60" t="s">
        <v>43</v>
      </c>
      <c r="R2" s="61" cm="1">
        <f t="array" ref="R2">SUM(V3:V28*AB3:AB28)+H6+P6+R4*500</f>
        <v>65115</v>
      </c>
      <c r="S2" s="31"/>
      <c r="T2" s="1" t="s">
        <v>0</v>
      </c>
      <c r="U2" s="1" t="s">
        <v>1</v>
      </c>
      <c r="V2" s="1" t="s">
        <v>2</v>
      </c>
      <c r="W2" s="54" t="s">
        <v>3</v>
      </c>
      <c r="X2" s="56" t="s">
        <v>44</v>
      </c>
      <c r="Y2" s="56" t="s">
        <v>56</v>
      </c>
      <c r="Z2" s="57" t="s">
        <v>45</v>
      </c>
      <c r="AA2" s="57" t="s">
        <v>46</v>
      </c>
      <c r="AB2" s="62" t="s">
        <v>47</v>
      </c>
    </row>
    <row r="3" spans="1:28">
      <c r="A3" s="28" t="s">
        <v>31</v>
      </c>
      <c r="B3" s="20" t="s">
        <v>32</v>
      </c>
      <c r="C3" s="26" t="s">
        <v>33</v>
      </c>
      <c r="D3" s="43"/>
      <c r="E3" s="28" t="s">
        <v>31</v>
      </c>
      <c r="F3" s="20" t="s">
        <v>32</v>
      </c>
      <c r="G3" s="26" t="s">
        <v>33</v>
      </c>
      <c r="H3" s="44" t="s">
        <v>36</v>
      </c>
      <c r="I3" s="28" t="s">
        <v>31</v>
      </c>
      <c r="J3" s="20" t="s">
        <v>32</v>
      </c>
      <c r="K3" s="26" t="s">
        <v>33</v>
      </c>
      <c r="L3" s="43"/>
      <c r="M3" s="28" t="s">
        <v>31</v>
      </c>
      <c r="N3" s="20" t="s">
        <v>32</v>
      </c>
      <c r="O3" s="26" t="s">
        <v>33</v>
      </c>
      <c r="P3" s="44" t="s">
        <v>36</v>
      </c>
      <c r="Q3" s="63" t="s">
        <v>49</v>
      </c>
      <c r="R3" s="31">
        <v>91</v>
      </c>
      <c r="S3" s="31"/>
      <c r="T3" s="2" t="s">
        <v>4</v>
      </c>
      <c r="U3" s="1">
        <v>150</v>
      </c>
      <c r="V3" s="1">
        <v>35</v>
      </c>
      <c r="W3" s="55">
        <f>U3-V3/0.330882</f>
        <v>44.222109392472248</v>
      </c>
      <c r="X3" s="56"/>
      <c r="Y3" s="56">
        <v>8</v>
      </c>
      <c r="Z3" s="1">
        <f>COUNTIF($A$4:$C$100,T3)</f>
        <v>7</v>
      </c>
      <c r="AA3" s="1">
        <f>COUNTIF($I$4:$K$100,T3)</f>
        <v>1</v>
      </c>
      <c r="AB3" s="64">
        <f>Y3-Z3-AA3</f>
        <v>0</v>
      </c>
    </row>
    <row r="4" spans="1:28">
      <c r="A4" s="29" t="s">
        <v>4</v>
      </c>
      <c r="B4" s="2" t="s">
        <v>4</v>
      </c>
      <c r="C4" s="3" t="s">
        <v>5</v>
      </c>
      <c r="D4" s="53" t="s">
        <v>34</v>
      </c>
      <c r="E4" s="49">
        <v>0</v>
      </c>
      <c r="F4" s="49">
        <v>6</v>
      </c>
      <c r="G4" s="49">
        <v>5</v>
      </c>
      <c r="H4" s="46">
        <f>SUM(E4:G4)</f>
        <v>11</v>
      </c>
      <c r="I4" s="3" t="s">
        <v>5</v>
      </c>
      <c r="J4" s="3" t="s">
        <v>5</v>
      </c>
      <c r="K4" s="1" t="s">
        <v>27</v>
      </c>
      <c r="L4" s="53" t="s">
        <v>34</v>
      </c>
      <c r="M4" s="49">
        <v>3</v>
      </c>
      <c r="N4" s="49">
        <v>2</v>
      </c>
      <c r="O4" s="49">
        <v>0</v>
      </c>
      <c r="P4" s="46">
        <f>SUM(M4:O4)</f>
        <v>5</v>
      </c>
      <c r="Q4" s="63" t="s">
        <v>50</v>
      </c>
      <c r="R4" s="50">
        <v>14</v>
      </c>
      <c r="S4" s="31"/>
      <c r="T4" s="3" t="s">
        <v>5</v>
      </c>
      <c r="U4" s="1">
        <v>160</v>
      </c>
      <c r="V4" s="1">
        <v>40</v>
      </c>
      <c r="W4" s="55">
        <f t="shared" ref="W4" si="0">U4-V4/0.330882</f>
        <v>39.110982162825422</v>
      </c>
      <c r="X4" s="56"/>
      <c r="Y4" s="56">
        <v>45</v>
      </c>
      <c r="Z4" s="1">
        <f t="shared" ref="Z4:Z28" si="1">COUNTIF($A$4:$C$100,T4)</f>
        <v>23</v>
      </c>
      <c r="AA4" s="1">
        <f t="shared" ref="AA4:AA28" si="2">COUNTIF($I$4:$K$100,T4)</f>
        <v>22</v>
      </c>
      <c r="AB4" s="64">
        <f t="shared" ref="AB4:AB28" si="3">Y4-Z4-AA4</f>
        <v>0</v>
      </c>
    </row>
    <row r="5" spans="1:28">
      <c r="A5" s="29" t="s">
        <v>4</v>
      </c>
      <c r="B5" s="2" t="s">
        <v>4</v>
      </c>
      <c r="C5" s="14" t="s">
        <v>16</v>
      </c>
      <c r="D5" s="43" t="s">
        <v>38</v>
      </c>
      <c r="E5" s="45" cm="1">
        <f t="array" ref="E5">(SUM(VLOOKUP(A4:A100,$T$3:$W$41,2,FALSE))+E4*10)-E8*50</f>
        <v>5430</v>
      </c>
      <c r="F5" s="45" cm="1">
        <f t="array" ref="F5">(SUM(VLOOKUP(B4:B100,$T$3:$W$41,2,FALSE))+F4*10)-F8*50</f>
        <v>5920</v>
      </c>
      <c r="G5" s="45" cm="1">
        <f t="array" ref="G5">(SUM(VLOOKUP(C4:C100,$T$3:$W$41,2,FALSE))+G4*10)-G8*50</f>
        <v>2510</v>
      </c>
      <c r="H5" s="46">
        <f t="shared" ref="H5:H8" si="4">SUM(E5:G5)</f>
        <v>13860</v>
      </c>
      <c r="I5" s="15" t="s">
        <v>17</v>
      </c>
      <c r="J5" s="3" t="s">
        <v>5</v>
      </c>
      <c r="K5" s="1" t="s">
        <v>27</v>
      </c>
      <c r="L5" s="43" t="s">
        <v>38</v>
      </c>
      <c r="M5" s="45" cm="1">
        <f t="array" ref="M5">(SUM(VLOOKUP(I4:I100,$T$3:$W$41,2,FALSE))+M4*10)*0.8-M8*40</f>
        <v>1688</v>
      </c>
      <c r="N5" s="45" cm="1">
        <f t="array" ref="N5">(SUM(VLOOKUP(J4:J100,$T$3:$W$41,2,FALSE))+N4*10)*0.8-N8*40</f>
        <v>1208</v>
      </c>
      <c r="O5" s="45" cm="1">
        <f t="array" ref="O5">(SUM(VLOOKUP(K4:K100,$T$3:$W$41,2,FALSE))+O4*10)*0.8-O8*40</f>
        <v>0</v>
      </c>
      <c r="P5" s="46">
        <f t="shared" ref="P5:P8" si="5">SUM(M5:O5)</f>
        <v>2896</v>
      </c>
      <c r="Q5" s="63" t="s">
        <v>51</v>
      </c>
      <c r="R5" s="31">
        <v>6000</v>
      </c>
      <c r="S5" s="31"/>
      <c r="T5" s="4" t="s">
        <v>6</v>
      </c>
      <c r="U5" s="1">
        <v>170</v>
      </c>
      <c r="V5" s="1">
        <v>45</v>
      </c>
      <c r="W5" s="55">
        <v>34</v>
      </c>
      <c r="X5" s="58"/>
      <c r="Y5" s="58">
        <v>244</v>
      </c>
      <c r="Z5" s="1">
        <f t="shared" si="1"/>
        <v>38</v>
      </c>
      <c r="AA5" s="1">
        <f t="shared" si="2"/>
        <v>0</v>
      </c>
      <c r="AB5" s="64">
        <f t="shared" si="3"/>
        <v>206</v>
      </c>
    </row>
    <row r="6" spans="1:28">
      <c r="A6" s="29" t="s">
        <v>4</v>
      </c>
      <c r="B6" s="16" t="s">
        <v>18</v>
      </c>
      <c r="C6" s="3" t="s">
        <v>5</v>
      </c>
      <c r="D6" s="43" t="s">
        <v>39</v>
      </c>
      <c r="E6" s="45" cm="1">
        <f t="array" ref="E6">(SUM(VLOOKUP(A4:A100,$T$3:$W$41,3,FALSE)))</f>
        <v>1600</v>
      </c>
      <c r="F6" s="45" cm="1">
        <f t="array" ref="F6">(SUM(VLOOKUP(B4:B100,$T$3:$W$41,3,FALSE)))</f>
        <v>1690</v>
      </c>
      <c r="G6" s="45" cm="1">
        <f t="array" ref="G6">(SUM(VLOOKUP(C4:C100,$T$3:$W$41,3,FALSE)))</f>
        <v>1315</v>
      </c>
      <c r="H6" s="59">
        <f t="shared" si="4"/>
        <v>4605</v>
      </c>
      <c r="I6" s="3" t="s">
        <v>5</v>
      </c>
      <c r="J6" s="3" t="s">
        <v>5</v>
      </c>
      <c r="K6" s="1" t="s">
        <v>27</v>
      </c>
      <c r="L6" s="43" t="s">
        <v>39</v>
      </c>
      <c r="M6" s="45" cm="1">
        <f t="array" ref="M6">(SUM(VLOOKUP(I4:I100,$T$3:$W$41,3,FALSE)))</f>
        <v>670</v>
      </c>
      <c r="N6" s="45" cm="1">
        <f t="array" ref="N6">(SUM(VLOOKUP(J4:J100,$T$3:$W$41,3,FALSE)))</f>
        <v>485</v>
      </c>
      <c r="O6" s="45" cm="1">
        <f t="array" ref="O6">(SUM(VLOOKUP(K4:K100,$T$3:$W$41,3,FALSE)))</f>
        <v>0</v>
      </c>
      <c r="P6" s="59">
        <f t="shared" si="5"/>
        <v>1155</v>
      </c>
      <c r="Q6" s="60" t="s">
        <v>52</v>
      </c>
      <c r="R6" s="31">
        <f>R3*1600-800+R5</f>
        <v>150800</v>
      </c>
      <c r="S6" s="31"/>
      <c r="T6" s="5" t="s">
        <v>7</v>
      </c>
      <c r="U6" s="1">
        <v>180</v>
      </c>
      <c r="V6" s="1">
        <v>50</v>
      </c>
      <c r="W6" s="55">
        <v>36</v>
      </c>
      <c r="X6" s="56">
        <v>260</v>
      </c>
      <c r="Y6" s="56">
        <v>260</v>
      </c>
      <c r="Z6" s="1">
        <f t="shared" si="1"/>
        <v>2</v>
      </c>
      <c r="AA6" s="1">
        <f t="shared" si="2"/>
        <v>0</v>
      </c>
      <c r="AB6" s="64">
        <f t="shared" si="3"/>
        <v>258</v>
      </c>
    </row>
    <row r="7" spans="1:28">
      <c r="A7" s="29" t="s">
        <v>4</v>
      </c>
      <c r="B7" s="3" t="s">
        <v>5</v>
      </c>
      <c r="C7" s="3" t="s">
        <v>5</v>
      </c>
      <c r="D7" s="43" t="s">
        <v>40</v>
      </c>
      <c r="E7" s="45">
        <f>COUNTIF(A4:A100,"&lt;&gt;空")</f>
        <v>35</v>
      </c>
      <c r="F7" s="45">
        <f>COUNTIF(B4:B100,"&lt;&gt;空")</f>
        <v>37</v>
      </c>
      <c r="G7" s="45">
        <f>COUNTIF(C4:C100,"&lt;&gt;空")</f>
        <v>17</v>
      </c>
      <c r="H7" s="46">
        <f t="shared" si="4"/>
        <v>89</v>
      </c>
      <c r="I7" s="15" t="s">
        <v>17</v>
      </c>
      <c r="J7" s="3" t="s">
        <v>5</v>
      </c>
      <c r="K7" s="1" t="s">
        <v>27</v>
      </c>
      <c r="L7" s="43" t="s">
        <v>40</v>
      </c>
      <c r="M7" s="45">
        <f>COUNTIF(I4:I100,"&lt;&gt;空")</f>
        <v>19</v>
      </c>
      <c r="N7" s="45">
        <f>COUNTIF(J4:J100,"&lt;&gt;空")</f>
        <v>14</v>
      </c>
      <c r="O7" s="45">
        <f>COUNTIF(K4:K100,"&lt;&gt;空")</f>
        <v>0</v>
      </c>
      <c r="P7" s="46">
        <f t="shared" si="5"/>
        <v>33</v>
      </c>
      <c r="Q7" s="63" t="s">
        <v>55</v>
      </c>
      <c r="R7" s="31">
        <v>1</v>
      </c>
      <c r="S7" s="31"/>
      <c r="T7" s="6" t="s">
        <v>8</v>
      </c>
      <c r="U7" s="1">
        <v>190</v>
      </c>
      <c r="V7" s="1">
        <v>55</v>
      </c>
      <c r="W7" s="55">
        <v>38</v>
      </c>
      <c r="X7" s="56">
        <v>238</v>
      </c>
      <c r="Y7" s="56">
        <v>238</v>
      </c>
      <c r="Z7" s="1">
        <f t="shared" si="1"/>
        <v>0</v>
      </c>
      <c r="AA7" s="1">
        <f t="shared" si="2"/>
        <v>0</v>
      </c>
      <c r="AB7" s="64">
        <f t="shared" si="3"/>
        <v>238</v>
      </c>
    </row>
    <row r="8" spans="1:28">
      <c r="A8" s="30" t="s">
        <v>4</v>
      </c>
      <c r="B8" s="24" t="s">
        <v>5</v>
      </c>
      <c r="C8" s="25" t="s">
        <v>29</v>
      </c>
      <c r="D8" s="52" t="s">
        <v>53</v>
      </c>
      <c r="E8" s="51">
        <v>1</v>
      </c>
      <c r="F8" s="51">
        <v>0</v>
      </c>
      <c r="G8" s="51">
        <v>0</v>
      </c>
      <c r="H8" s="46">
        <f t="shared" si="4"/>
        <v>1</v>
      </c>
      <c r="I8" s="3" t="s">
        <v>5</v>
      </c>
      <c r="J8" s="16" t="s">
        <v>28</v>
      </c>
      <c r="K8" s="1" t="s">
        <v>27</v>
      </c>
      <c r="L8" s="52" t="s">
        <v>53</v>
      </c>
      <c r="M8" s="51">
        <v>1</v>
      </c>
      <c r="N8" s="51">
        <v>1</v>
      </c>
      <c r="O8" s="51">
        <v>0</v>
      </c>
      <c r="P8" s="46">
        <f t="shared" si="5"/>
        <v>2</v>
      </c>
      <c r="Q8" s="60" t="s">
        <v>54</v>
      </c>
      <c r="R8" s="65" cm="1">
        <f t="array" ref="R8">R6-P5-H5-SUM(U3:U28*AB3:AB28)*0.8-R7*8</f>
        <v>12</v>
      </c>
      <c r="S8" s="31"/>
      <c r="T8" s="7" t="s">
        <v>9</v>
      </c>
      <c r="U8" s="1">
        <v>200</v>
      </c>
      <c r="V8" s="1">
        <v>60</v>
      </c>
      <c r="W8" s="55"/>
      <c r="X8" s="56">
        <v>194</v>
      </c>
      <c r="Y8" s="56">
        <v>194</v>
      </c>
      <c r="Z8" s="1">
        <f t="shared" si="1"/>
        <v>0</v>
      </c>
      <c r="AA8" s="1">
        <f t="shared" si="2"/>
        <v>0</v>
      </c>
      <c r="AB8" s="64">
        <f t="shared" si="3"/>
        <v>194</v>
      </c>
    </row>
    <row r="9" spans="1:28">
      <c r="A9" s="33" t="s">
        <v>17</v>
      </c>
      <c r="B9" s="3" t="s">
        <v>5</v>
      </c>
      <c r="C9" s="3" t="s">
        <v>5</v>
      </c>
      <c r="D9" s="31"/>
      <c r="E9" s="31"/>
      <c r="F9" s="31"/>
      <c r="G9" s="31"/>
      <c r="H9" s="32"/>
      <c r="I9" s="3" t="s">
        <v>5</v>
      </c>
      <c r="J9" s="1" t="s">
        <v>27</v>
      </c>
      <c r="K9" s="1" t="s">
        <v>27</v>
      </c>
      <c r="L9" s="43" t="s">
        <v>42</v>
      </c>
      <c r="M9" s="47">
        <f>M6/M5</f>
        <v>0.39691943127962087</v>
      </c>
      <c r="N9" s="47">
        <f>N6/N5</f>
        <v>0.40149006622516559</v>
      </c>
      <c r="O9" s="47" t="e">
        <f>O6/O5</f>
        <v>#DIV/0!</v>
      </c>
      <c r="P9" s="48">
        <f>P6/P5</f>
        <v>0.39882596685082872</v>
      </c>
      <c r="Q9" s="60"/>
      <c r="R9" s="31"/>
      <c r="S9" s="31"/>
      <c r="T9" s="8" t="s">
        <v>10</v>
      </c>
      <c r="U9" s="1">
        <v>150</v>
      </c>
      <c r="V9" s="1">
        <v>35</v>
      </c>
      <c r="W9" s="55">
        <f t="shared" ref="W9:W11" si="6">U9-V9/0.330882</f>
        <v>44.222109392472248</v>
      </c>
      <c r="X9" s="56"/>
      <c r="Y9" s="56">
        <v>0</v>
      </c>
      <c r="Z9" s="1">
        <f t="shared" si="1"/>
        <v>0</v>
      </c>
      <c r="AA9" s="1">
        <f t="shared" si="2"/>
        <v>0</v>
      </c>
      <c r="AB9" s="64">
        <f t="shared" si="3"/>
        <v>0</v>
      </c>
    </row>
    <row r="10" spans="1:28">
      <c r="A10" s="34" t="s">
        <v>5</v>
      </c>
      <c r="B10" s="3" t="s">
        <v>5</v>
      </c>
      <c r="C10" s="3" t="s">
        <v>5</v>
      </c>
      <c r="D10" s="31"/>
      <c r="E10" s="31"/>
      <c r="F10" s="31"/>
      <c r="G10" s="31"/>
      <c r="H10" s="32"/>
      <c r="I10" s="3" t="s">
        <v>5</v>
      </c>
      <c r="J10" s="15" t="s">
        <v>17</v>
      </c>
      <c r="K10" s="1" t="s">
        <v>27</v>
      </c>
      <c r="L10" s="31"/>
      <c r="M10" s="31"/>
      <c r="N10" s="31"/>
      <c r="O10" s="31"/>
      <c r="P10" s="32"/>
      <c r="Q10" s="60"/>
      <c r="R10" s="31"/>
      <c r="S10" s="31"/>
      <c r="T10" s="9" t="s">
        <v>11</v>
      </c>
      <c r="U10" s="1">
        <v>150</v>
      </c>
      <c r="V10" s="1">
        <v>40</v>
      </c>
      <c r="W10" s="55">
        <f t="shared" si="6"/>
        <v>29.110982162825422</v>
      </c>
      <c r="X10" s="56"/>
      <c r="Y10" s="56">
        <v>0</v>
      </c>
      <c r="Z10" s="1">
        <f t="shared" si="1"/>
        <v>0</v>
      </c>
      <c r="AA10" s="1">
        <f t="shared" si="2"/>
        <v>0</v>
      </c>
      <c r="AB10" s="64">
        <f t="shared" si="3"/>
        <v>0</v>
      </c>
    </row>
    <row r="11" spans="1:28">
      <c r="A11" s="34" t="s">
        <v>5</v>
      </c>
      <c r="B11" s="3" t="s">
        <v>5</v>
      </c>
      <c r="C11" s="5" t="s">
        <v>7</v>
      </c>
      <c r="D11" s="31"/>
      <c r="E11" s="31"/>
      <c r="F11" s="31"/>
      <c r="G11" s="31"/>
      <c r="H11" s="32"/>
      <c r="I11" s="16" t="s">
        <v>28</v>
      </c>
      <c r="J11" s="3" t="s">
        <v>5</v>
      </c>
      <c r="K11" s="1" t="s">
        <v>27</v>
      </c>
      <c r="L11" s="31"/>
      <c r="M11" s="31"/>
      <c r="N11" s="31"/>
      <c r="O11" s="31"/>
      <c r="P11" s="32"/>
      <c r="Q11" s="60"/>
      <c r="R11" s="31"/>
      <c r="S11" s="31"/>
      <c r="T11" s="10" t="s">
        <v>12</v>
      </c>
      <c r="U11" s="1">
        <v>150</v>
      </c>
      <c r="V11" s="1">
        <v>45</v>
      </c>
      <c r="W11" s="55">
        <f t="shared" si="6"/>
        <v>13.999854933178597</v>
      </c>
      <c r="X11" s="56">
        <v>6</v>
      </c>
      <c r="Y11" s="56">
        <v>6</v>
      </c>
      <c r="Z11" s="1">
        <f t="shared" si="1"/>
        <v>2</v>
      </c>
      <c r="AA11" s="1">
        <f t="shared" si="2"/>
        <v>0</v>
      </c>
      <c r="AB11" s="64">
        <f t="shared" si="3"/>
        <v>4</v>
      </c>
    </row>
    <row r="12" spans="1:28">
      <c r="A12" s="34" t="s">
        <v>5</v>
      </c>
      <c r="B12" s="3" t="s">
        <v>5</v>
      </c>
      <c r="C12" s="14" t="s">
        <v>16</v>
      </c>
      <c r="D12" s="31"/>
      <c r="E12" s="31"/>
      <c r="F12" s="31"/>
      <c r="G12" s="31"/>
      <c r="H12" s="32"/>
      <c r="I12" s="3" t="s">
        <v>5</v>
      </c>
      <c r="J12" s="3" t="s">
        <v>5</v>
      </c>
      <c r="K12" s="1" t="s">
        <v>27</v>
      </c>
      <c r="L12" s="31"/>
      <c r="M12" s="31"/>
      <c r="N12" s="31"/>
      <c r="O12" s="31"/>
      <c r="P12" s="32"/>
      <c r="Q12" s="60"/>
      <c r="R12" s="31"/>
      <c r="S12" s="31"/>
      <c r="T12" s="11" t="s">
        <v>13</v>
      </c>
      <c r="U12" s="1">
        <v>150</v>
      </c>
      <c r="V12" s="1">
        <v>50</v>
      </c>
      <c r="W12" s="55"/>
      <c r="X12" s="56">
        <v>4</v>
      </c>
      <c r="Y12" s="56">
        <v>4</v>
      </c>
      <c r="Z12" s="1">
        <f t="shared" si="1"/>
        <v>0</v>
      </c>
      <c r="AA12" s="1">
        <f t="shared" si="2"/>
        <v>0</v>
      </c>
      <c r="AB12" s="64">
        <f t="shared" si="3"/>
        <v>4</v>
      </c>
    </row>
    <row r="13" spans="1:28">
      <c r="A13" s="34" t="s">
        <v>5</v>
      </c>
      <c r="B13" s="3" t="s">
        <v>5</v>
      </c>
      <c r="C13" s="5" t="s">
        <v>7</v>
      </c>
      <c r="D13" s="31"/>
      <c r="E13" s="31"/>
      <c r="F13" s="31"/>
      <c r="G13" s="31"/>
      <c r="H13" s="32"/>
      <c r="I13" s="3" t="s">
        <v>5</v>
      </c>
      <c r="J13" s="3" t="s">
        <v>5</v>
      </c>
      <c r="K13" s="1" t="s">
        <v>27</v>
      </c>
      <c r="L13" s="31"/>
      <c r="M13" s="31"/>
      <c r="N13" s="31"/>
      <c r="O13" s="31"/>
      <c r="P13" s="32"/>
      <c r="Q13" s="60"/>
      <c r="R13" s="31"/>
      <c r="S13" s="31"/>
      <c r="T13" s="12" t="s">
        <v>14</v>
      </c>
      <c r="U13" s="1">
        <v>150</v>
      </c>
      <c r="V13" s="1">
        <v>55</v>
      </c>
      <c r="W13" s="55"/>
      <c r="X13" s="56">
        <v>3</v>
      </c>
      <c r="Y13" s="56">
        <v>3</v>
      </c>
      <c r="Z13" s="1">
        <f t="shared" si="1"/>
        <v>0</v>
      </c>
      <c r="AA13" s="1">
        <f t="shared" si="2"/>
        <v>0</v>
      </c>
      <c r="AB13" s="64">
        <f t="shared" si="3"/>
        <v>3</v>
      </c>
    </row>
    <row r="14" spans="1:28">
      <c r="A14" s="34" t="s">
        <v>5</v>
      </c>
      <c r="B14" s="3" t="s">
        <v>5</v>
      </c>
      <c r="C14" s="17" t="s">
        <v>19</v>
      </c>
      <c r="D14" s="31"/>
      <c r="E14" s="31"/>
      <c r="F14" s="31"/>
      <c r="G14" s="31"/>
      <c r="H14" s="32"/>
      <c r="I14" s="15" t="s">
        <v>17</v>
      </c>
      <c r="J14" s="15" t="s">
        <v>17</v>
      </c>
      <c r="K14" s="1" t="s">
        <v>27</v>
      </c>
      <c r="L14" s="31"/>
      <c r="M14" s="31"/>
      <c r="N14" s="31"/>
      <c r="O14" s="31"/>
      <c r="P14" s="32"/>
      <c r="Q14" s="60"/>
      <c r="R14" s="31"/>
      <c r="S14" s="31"/>
      <c r="T14" s="13" t="s">
        <v>15</v>
      </c>
      <c r="U14" s="1">
        <v>150</v>
      </c>
      <c r="V14" s="1">
        <v>60</v>
      </c>
      <c r="W14" s="55"/>
      <c r="X14" s="56">
        <v>1</v>
      </c>
      <c r="Y14" s="56">
        <v>1</v>
      </c>
      <c r="Z14" s="1">
        <f t="shared" si="1"/>
        <v>0</v>
      </c>
      <c r="AA14" s="1">
        <f t="shared" si="2"/>
        <v>0</v>
      </c>
      <c r="AB14" s="64">
        <f t="shared" si="3"/>
        <v>1</v>
      </c>
    </row>
    <row r="15" spans="1:28">
      <c r="A15" s="33" t="s">
        <v>17</v>
      </c>
      <c r="B15" s="3" t="s">
        <v>5</v>
      </c>
      <c r="C15" s="4" t="s">
        <v>6</v>
      </c>
      <c r="D15" s="31"/>
      <c r="E15" s="31"/>
      <c r="F15" s="31"/>
      <c r="G15" s="31"/>
      <c r="H15" s="32"/>
      <c r="I15" s="3" t="s">
        <v>5</v>
      </c>
      <c r="J15" s="3" t="s">
        <v>5</v>
      </c>
      <c r="K15" s="1" t="s">
        <v>27</v>
      </c>
      <c r="L15" s="31"/>
      <c r="M15" s="31"/>
      <c r="N15" s="31"/>
      <c r="O15" s="31"/>
      <c r="P15" s="32"/>
      <c r="Q15" s="60"/>
      <c r="R15" s="31"/>
      <c r="S15" s="31"/>
      <c r="T15" s="14" t="s">
        <v>16</v>
      </c>
      <c r="U15" s="1">
        <v>150</v>
      </c>
      <c r="V15" s="1">
        <v>35</v>
      </c>
      <c r="W15" s="55">
        <f t="shared" ref="W15" si="7">U15-V15/0.330882</f>
        <v>44.222109392472248</v>
      </c>
      <c r="X15" s="56"/>
      <c r="Y15" s="56">
        <v>3</v>
      </c>
      <c r="Z15" s="1">
        <f t="shared" si="1"/>
        <v>3</v>
      </c>
      <c r="AA15" s="1">
        <f t="shared" si="2"/>
        <v>0</v>
      </c>
      <c r="AB15" s="64">
        <f t="shared" si="3"/>
        <v>0</v>
      </c>
    </row>
    <row r="16" spans="1:28">
      <c r="A16" s="34" t="s">
        <v>5</v>
      </c>
      <c r="B16" s="3" t="s">
        <v>5</v>
      </c>
      <c r="C16" s="4" t="s">
        <v>6</v>
      </c>
      <c r="D16" s="31"/>
      <c r="E16" s="31"/>
      <c r="F16" s="31"/>
      <c r="G16" s="31"/>
      <c r="H16" s="32"/>
      <c r="I16" s="3" t="s">
        <v>5</v>
      </c>
      <c r="J16" s="3" t="s">
        <v>5</v>
      </c>
      <c r="K16" s="1" t="s">
        <v>27</v>
      </c>
      <c r="L16" s="31"/>
      <c r="M16" s="31"/>
      <c r="N16" s="31"/>
      <c r="O16" s="31"/>
      <c r="P16" s="32"/>
      <c r="Q16" s="60"/>
      <c r="R16" s="31"/>
      <c r="S16" s="31"/>
      <c r="T16" s="15" t="s">
        <v>17</v>
      </c>
      <c r="U16" s="1">
        <v>50</v>
      </c>
      <c r="V16" s="1">
        <v>30</v>
      </c>
      <c r="W16" s="55">
        <v>10</v>
      </c>
      <c r="X16" s="56">
        <v>40</v>
      </c>
      <c r="Y16" s="56">
        <v>38</v>
      </c>
      <c r="Z16" s="1">
        <f t="shared" si="1"/>
        <v>3</v>
      </c>
      <c r="AA16" s="1">
        <f t="shared" si="2"/>
        <v>8</v>
      </c>
      <c r="AB16" s="64">
        <f t="shared" si="3"/>
        <v>27</v>
      </c>
    </row>
    <row r="17" spans="1:28">
      <c r="A17" s="34" t="s">
        <v>5</v>
      </c>
      <c r="B17" s="3" t="s">
        <v>5</v>
      </c>
      <c r="C17" s="4" t="s">
        <v>6</v>
      </c>
      <c r="D17" s="31"/>
      <c r="E17" s="31"/>
      <c r="F17" s="31"/>
      <c r="G17" s="31"/>
      <c r="H17" s="32"/>
      <c r="I17" s="3" t="s">
        <v>5</v>
      </c>
      <c r="J17" s="2" t="s">
        <v>4</v>
      </c>
      <c r="K17" s="1" t="s">
        <v>27</v>
      </c>
      <c r="L17" s="31"/>
      <c r="M17" s="31"/>
      <c r="N17" s="31"/>
      <c r="O17" s="31"/>
      <c r="P17" s="32"/>
      <c r="Q17" s="60"/>
      <c r="R17" s="31"/>
      <c r="S17" s="31"/>
      <c r="T17" s="16" t="s">
        <v>18</v>
      </c>
      <c r="U17" s="1">
        <v>-150</v>
      </c>
      <c r="V17" s="1">
        <v>0</v>
      </c>
      <c r="W17" s="55">
        <v>10</v>
      </c>
      <c r="X17" s="56">
        <v>2</v>
      </c>
      <c r="Y17" s="56">
        <v>2</v>
      </c>
      <c r="Z17" s="1">
        <f t="shared" si="1"/>
        <v>2</v>
      </c>
      <c r="AA17" s="1">
        <f t="shared" si="2"/>
        <v>0</v>
      </c>
      <c r="AB17" s="64">
        <f t="shared" si="3"/>
        <v>0</v>
      </c>
    </row>
    <row r="18" spans="1:28">
      <c r="A18" s="35" t="s">
        <v>6</v>
      </c>
      <c r="B18" s="4" t="s">
        <v>6</v>
      </c>
      <c r="C18" s="16" t="s">
        <v>18</v>
      </c>
      <c r="D18" s="31"/>
      <c r="E18" s="31"/>
      <c r="F18" s="31"/>
      <c r="G18" s="31"/>
      <c r="H18" s="32"/>
      <c r="I18" s="15" t="s">
        <v>17</v>
      </c>
      <c r="J18" s="15" t="s">
        <v>17</v>
      </c>
      <c r="K18" s="1" t="s">
        <v>27</v>
      </c>
      <c r="L18" s="31"/>
      <c r="M18" s="31"/>
      <c r="N18" s="31"/>
      <c r="O18" s="31"/>
      <c r="P18" s="32"/>
      <c r="Q18" s="60"/>
      <c r="R18" s="31"/>
      <c r="S18" s="31"/>
      <c r="T18" s="17" t="s">
        <v>19</v>
      </c>
      <c r="U18" s="1">
        <v>250</v>
      </c>
      <c r="V18" s="1">
        <v>200</v>
      </c>
      <c r="W18" s="55"/>
      <c r="X18" s="56">
        <v>3</v>
      </c>
      <c r="Y18" s="56">
        <v>3</v>
      </c>
      <c r="Z18" s="1">
        <f t="shared" si="1"/>
        <v>3</v>
      </c>
      <c r="AA18" s="1">
        <f t="shared" si="2"/>
        <v>0</v>
      </c>
      <c r="AB18" s="64">
        <f t="shared" si="3"/>
        <v>0</v>
      </c>
    </row>
    <row r="19" spans="1:28">
      <c r="A19" s="35" t="s">
        <v>6</v>
      </c>
      <c r="B19" s="4" t="s">
        <v>6</v>
      </c>
      <c r="C19" s="4" t="s">
        <v>6</v>
      </c>
      <c r="D19" s="31"/>
      <c r="E19" s="31"/>
      <c r="F19" s="31"/>
      <c r="G19" s="31"/>
      <c r="H19" s="32"/>
      <c r="I19" s="3" t="s">
        <v>5</v>
      </c>
      <c r="J19" s="1" t="s">
        <v>27</v>
      </c>
      <c r="K19" s="1" t="s">
        <v>27</v>
      </c>
      <c r="L19" s="31"/>
      <c r="M19" s="31"/>
      <c r="N19" s="31"/>
      <c r="O19" s="31"/>
      <c r="P19" s="32"/>
      <c r="Q19" s="60"/>
      <c r="R19" s="31"/>
      <c r="S19" s="31"/>
      <c r="T19" s="17" t="s">
        <v>20</v>
      </c>
      <c r="U19" s="1">
        <v>170</v>
      </c>
      <c r="V19" s="1">
        <v>45</v>
      </c>
      <c r="W19" s="55"/>
      <c r="X19" s="56">
        <v>5</v>
      </c>
      <c r="Y19" s="56">
        <v>5</v>
      </c>
      <c r="Z19" s="1">
        <f t="shared" si="1"/>
        <v>5</v>
      </c>
      <c r="AA19" s="1">
        <f t="shared" si="2"/>
        <v>0</v>
      </c>
      <c r="AB19" s="64">
        <f t="shared" si="3"/>
        <v>0</v>
      </c>
    </row>
    <row r="20" spans="1:28">
      <c r="A20" s="35" t="s">
        <v>6</v>
      </c>
      <c r="B20" s="17" t="s">
        <v>20</v>
      </c>
      <c r="C20" s="17" t="s">
        <v>20</v>
      </c>
      <c r="D20" s="31"/>
      <c r="E20" s="31"/>
      <c r="F20" s="31"/>
      <c r="G20" s="31"/>
      <c r="H20" s="32"/>
      <c r="I20" s="3" t="s">
        <v>5</v>
      </c>
      <c r="J20" s="1" t="s">
        <v>27</v>
      </c>
      <c r="K20" s="1" t="s">
        <v>27</v>
      </c>
      <c r="L20" s="31"/>
      <c r="M20" s="31"/>
      <c r="N20" s="31"/>
      <c r="O20" s="31"/>
      <c r="P20" s="32"/>
      <c r="Q20" s="60"/>
      <c r="R20" s="31"/>
      <c r="S20" s="31"/>
      <c r="T20" s="18" t="s">
        <v>21</v>
      </c>
      <c r="U20" s="1">
        <v>250</v>
      </c>
      <c r="V20" s="1">
        <v>200</v>
      </c>
      <c r="W20" s="55"/>
      <c r="X20" s="56">
        <v>0</v>
      </c>
      <c r="Y20" s="56">
        <v>0</v>
      </c>
      <c r="Z20" s="1">
        <f t="shared" si="1"/>
        <v>0</v>
      </c>
      <c r="AA20" s="1">
        <f t="shared" si="2"/>
        <v>0</v>
      </c>
      <c r="AB20" s="64">
        <f t="shared" si="3"/>
        <v>0</v>
      </c>
    </row>
    <row r="21" spans="1:28">
      <c r="A21" s="35" t="s">
        <v>6</v>
      </c>
      <c r="B21" s="4" t="s">
        <v>6</v>
      </c>
      <c r="C21" s="1" t="s">
        <v>27</v>
      </c>
      <c r="D21" s="31"/>
      <c r="E21" s="31"/>
      <c r="F21" s="31"/>
      <c r="G21" s="31"/>
      <c r="H21" s="32"/>
      <c r="I21" s="15" t="s">
        <v>17</v>
      </c>
      <c r="J21" s="1" t="s">
        <v>27</v>
      </c>
      <c r="K21" s="1" t="s">
        <v>27</v>
      </c>
      <c r="L21" s="31"/>
      <c r="M21" s="31"/>
      <c r="N21" s="31"/>
      <c r="O21" s="31"/>
      <c r="P21" s="32"/>
      <c r="Q21" s="60"/>
      <c r="R21" s="31"/>
      <c r="S21" s="31"/>
      <c r="T21" s="19" t="s">
        <v>22</v>
      </c>
      <c r="U21" s="1">
        <v>250</v>
      </c>
      <c r="V21" s="1">
        <v>1000</v>
      </c>
      <c r="W21" s="55"/>
      <c r="X21" s="56">
        <v>2</v>
      </c>
      <c r="Y21" s="56">
        <v>2</v>
      </c>
      <c r="Z21" s="1">
        <f t="shared" si="1"/>
        <v>0</v>
      </c>
      <c r="AA21" s="1">
        <f t="shared" si="2"/>
        <v>0</v>
      </c>
      <c r="AB21" s="64">
        <f t="shared" si="3"/>
        <v>2</v>
      </c>
    </row>
    <row r="22" spans="1:28">
      <c r="A22" s="36" t="s">
        <v>20</v>
      </c>
      <c r="B22" s="4" t="s">
        <v>6</v>
      </c>
      <c r="C22" s="1" t="s">
        <v>27</v>
      </c>
      <c r="D22" s="31"/>
      <c r="E22" s="31"/>
      <c r="F22" s="31"/>
      <c r="G22" s="31"/>
      <c r="H22" s="32"/>
      <c r="I22" s="3" t="s">
        <v>5</v>
      </c>
      <c r="J22" s="1" t="s">
        <v>27</v>
      </c>
      <c r="K22" s="1" t="s">
        <v>27</v>
      </c>
      <c r="L22" s="31"/>
      <c r="M22" s="31"/>
      <c r="N22" s="31"/>
      <c r="O22" s="31"/>
      <c r="P22" s="32"/>
      <c r="Q22" s="60"/>
      <c r="R22" s="31"/>
      <c r="S22" s="31"/>
      <c r="T22" s="20" t="s">
        <v>23</v>
      </c>
      <c r="U22" s="1">
        <v>250</v>
      </c>
      <c r="V22" s="1">
        <v>500</v>
      </c>
      <c r="W22" s="55"/>
      <c r="X22" s="56">
        <v>2</v>
      </c>
      <c r="Y22" s="56">
        <v>2</v>
      </c>
      <c r="Z22" s="1">
        <f t="shared" si="1"/>
        <v>0</v>
      </c>
      <c r="AA22" s="1">
        <f t="shared" si="2"/>
        <v>0</v>
      </c>
      <c r="AB22" s="64">
        <f t="shared" si="3"/>
        <v>2</v>
      </c>
    </row>
    <row r="23" spans="1:28">
      <c r="A23" s="35" t="s">
        <v>6</v>
      </c>
      <c r="B23" s="4" t="s">
        <v>6</v>
      </c>
      <c r="C23" s="1" t="s">
        <v>27</v>
      </c>
      <c r="D23" s="31"/>
      <c r="E23" s="31"/>
      <c r="F23" s="31"/>
      <c r="G23" s="31"/>
      <c r="H23" s="32"/>
      <c r="I23" s="1" t="s">
        <v>27</v>
      </c>
      <c r="J23" s="1" t="s">
        <v>27</v>
      </c>
      <c r="K23" s="1" t="s">
        <v>27</v>
      </c>
      <c r="L23" s="31"/>
      <c r="M23" s="31"/>
      <c r="N23" s="31"/>
      <c r="O23" s="31"/>
      <c r="P23" s="32"/>
      <c r="Q23" s="60"/>
      <c r="R23" s="31"/>
      <c r="S23" s="31"/>
      <c r="T23" s="21" t="s">
        <v>24</v>
      </c>
      <c r="U23" s="1">
        <v>160</v>
      </c>
      <c r="V23" s="1">
        <v>40</v>
      </c>
      <c r="W23" s="55">
        <f t="shared" ref="W23:W26" si="8">U23-V23/0.330882</f>
        <v>39.110982162825422</v>
      </c>
      <c r="X23" s="56">
        <v>0</v>
      </c>
      <c r="Y23" s="56">
        <v>0</v>
      </c>
      <c r="Z23" s="1">
        <f t="shared" si="1"/>
        <v>0</v>
      </c>
      <c r="AA23" s="1">
        <f t="shared" si="2"/>
        <v>0</v>
      </c>
      <c r="AB23" s="64">
        <f t="shared" si="3"/>
        <v>0</v>
      </c>
    </row>
    <row r="24" spans="1:28">
      <c r="A24" s="35" t="s">
        <v>6</v>
      </c>
      <c r="B24" s="4" t="s">
        <v>6</v>
      </c>
      <c r="C24" s="1" t="s">
        <v>27</v>
      </c>
      <c r="D24" s="31"/>
      <c r="E24" s="31"/>
      <c r="F24" s="31"/>
      <c r="G24" s="31"/>
      <c r="H24" s="32"/>
      <c r="I24" s="1" t="s">
        <v>27</v>
      </c>
      <c r="J24" s="1" t="s">
        <v>27</v>
      </c>
      <c r="K24" s="1" t="s">
        <v>27</v>
      </c>
      <c r="L24" s="31"/>
      <c r="M24" s="31"/>
      <c r="N24" s="31"/>
      <c r="O24" s="31"/>
      <c r="P24" s="32"/>
      <c r="Q24" s="60"/>
      <c r="R24" s="31"/>
      <c r="S24" s="31"/>
      <c r="T24" s="21" t="s">
        <v>25</v>
      </c>
      <c r="U24" s="1">
        <v>160</v>
      </c>
      <c r="V24" s="1">
        <v>40</v>
      </c>
      <c r="W24" s="55">
        <f t="shared" si="8"/>
        <v>39.110982162825422</v>
      </c>
      <c r="X24" s="56">
        <v>0</v>
      </c>
      <c r="Y24" s="56">
        <v>0</v>
      </c>
      <c r="Z24" s="1">
        <f t="shared" si="1"/>
        <v>0</v>
      </c>
      <c r="AA24" s="1">
        <f t="shared" si="2"/>
        <v>0</v>
      </c>
      <c r="AB24" s="64">
        <f t="shared" si="3"/>
        <v>0</v>
      </c>
    </row>
    <row r="25" spans="1:28">
      <c r="A25" s="35" t="s">
        <v>6</v>
      </c>
      <c r="B25" s="4" t="s">
        <v>6</v>
      </c>
      <c r="C25" s="1" t="s">
        <v>27</v>
      </c>
      <c r="D25" s="31"/>
      <c r="E25" s="31"/>
      <c r="F25" s="31"/>
      <c r="G25" s="31"/>
      <c r="H25" s="32"/>
      <c r="I25" s="1" t="s">
        <v>27</v>
      </c>
      <c r="J25" s="1" t="s">
        <v>27</v>
      </c>
      <c r="K25" s="1" t="s">
        <v>27</v>
      </c>
      <c r="L25" s="31"/>
      <c r="M25" s="31"/>
      <c r="N25" s="31"/>
      <c r="O25" s="31"/>
      <c r="P25" s="32"/>
      <c r="Q25" s="60"/>
      <c r="R25" s="31"/>
      <c r="S25" s="31"/>
      <c r="T25" s="21" t="s">
        <v>26</v>
      </c>
      <c r="U25" s="1">
        <v>150</v>
      </c>
      <c r="V25" s="1">
        <v>35</v>
      </c>
      <c r="W25" s="55">
        <f t="shared" si="8"/>
        <v>44.222109392472248</v>
      </c>
      <c r="X25" s="56">
        <v>0</v>
      </c>
      <c r="Y25" s="56">
        <v>0</v>
      </c>
      <c r="Z25" s="1">
        <f t="shared" si="1"/>
        <v>0</v>
      </c>
      <c r="AA25" s="1">
        <f t="shared" si="2"/>
        <v>0</v>
      </c>
      <c r="AB25" s="64">
        <f t="shared" si="3"/>
        <v>0</v>
      </c>
    </row>
    <row r="26" spans="1:28">
      <c r="A26" s="35" t="s">
        <v>6</v>
      </c>
      <c r="B26" s="4" t="s">
        <v>6</v>
      </c>
      <c r="C26" s="1" t="s">
        <v>27</v>
      </c>
      <c r="D26" s="31"/>
      <c r="E26" s="31"/>
      <c r="F26" s="31"/>
      <c r="G26" s="31"/>
      <c r="H26" s="32"/>
      <c r="I26" s="1" t="s">
        <v>27</v>
      </c>
      <c r="J26" s="1" t="s">
        <v>27</v>
      </c>
      <c r="K26" s="1" t="s">
        <v>27</v>
      </c>
      <c r="L26" s="31"/>
      <c r="M26" s="31"/>
      <c r="N26" s="31"/>
      <c r="O26" s="31"/>
      <c r="P26" s="32"/>
      <c r="Q26" s="60"/>
      <c r="R26" s="31"/>
      <c r="S26" s="31"/>
      <c r="T26" s="22" t="s">
        <v>27</v>
      </c>
      <c r="U26" s="1">
        <v>0</v>
      </c>
      <c r="V26" s="1">
        <v>0</v>
      </c>
      <c r="W26" s="55">
        <f t="shared" si="8"/>
        <v>0</v>
      </c>
      <c r="X26" s="56">
        <v>0</v>
      </c>
      <c r="Y26" s="56">
        <v>0</v>
      </c>
      <c r="Z26" s="1">
        <f t="shared" si="1"/>
        <v>202</v>
      </c>
      <c r="AA26" s="1">
        <f t="shared" si="2"/>
        <v>258</v>
      </c>
      <c r="AB26" s="64">
        <f t="shared" si="3"/>
        <v>-460</v>
      </c>
    </row>
    <row r="27" spans="1:28">
      <c r="A27" s="37" t="s">
        <v>12</v>
      </c>
      <c r="B27" s="4" t="s">
        <v>6</v>
      </c>
      <c r="C27" s="1" t="s">
        <v>27</v>
      </c>
      <c r="D27" s="31"/>
      <c r="E27" s="31"/>
      <c r="F27" s="31"/>
      <c r="G27" s="31"/>
      <c r="H27" s="32"/>
      <c r="I27" s="1" t="s">
        <v>27</v>
      </c>
      <c r="J27" s="1" t="s">
        <v>27</v>
      </c>
      <c r="K27" s="1" t="s">
        <v>27</v>
      </c>
      <c r="L27" s="31"/>
      <c r="M27" s="31"/>
      <c r="N27" s="31"/>
      <c r="O27" s="31"/>
      <c r="P27" s="32"/>
      <c r="Q27" s="60"/>
      <c r="R27" s="31"/>
      <c r="S27" s="31"/>
      <c r="T27" s="16" t="s">
        <v>28</v>
      </c>
      <c r="U27" s="1">
        <v>-200</v>
      </c>
      <c r="V27" s="1">
        <v>0</v>
      </c>
      <c r="W27" s="55"/>
      <c r="X27" s="56">
        <v>13</v>
      </c>
      <c r="Y27" s="56">
        <v>13</v>
      </c>
      <c r="Z27" s="1">
        <f t="shared" si="1"/>
        <v>0</v>
      </c>
      <c r="AA27" s="1">
        <f t="shared" si="2"/>
        <v>2</v>
      </c>
      <c r="AB27" s="64">
        <f t="shared" si="3"/>
        <v>11</v>
      </c>
    </row>
    <row r="28" spans="1:28">
      <c r="A28" s="35" t="s">
        <v>6</v>
      </c>
      <c r="B28" s="4" t="s">
        <v>6</v>
      </c>
      <c r="C28" s="1" t="s">
        <v>27</v>
      </c>
      <c r="D28" s="31"/>
      <c r="E28" s="31"/>
      <c r="F28" s="31"/>
      <c r="G28" s="31"/>
      <c r="H28" s="32"/>
      <c r="I28" s="1" t="s">
        <v>27</v>
      </c>
      <c r="J28" s="1" t="s">
        <v>27</v>
      </c>
      <c r="K28" s="1" t="s">
        <v>27</v>
      </c>
      <c r="L28" s="31"/>
      <c r="M28" s="31"/>
      <c r="N28" s="31"/>
      <c r="O28" s="31"/>
      <c r="P28" s="32"/>
      <c r="Q28" s="60"/>
      <c r="R28" s="31"/>
      <c r="S28" s="31"/>
      <c r="T28" s="23" t="s">
        <v>29</v>
      </c>
      <c r="U28" s="1">
        <v>50</v>
      </c>
      <c r="V28" s="1">
        <v>520</v>
      </c>
      <c r="W28" s="55"/>
      <c r="X28" s="56">
        <v>3</v>
      </c>
      <c r="Y28" s="56">
        <v>3</v>
      </c>
      <c r="Z28" s="1">
        <f t="shared" si="1"/>
        <v>1</v>
      </c>
      <c r="AA28" s="1">
        <f t="shared" si="2"/>
        <v>0</v>
      </c>
      <c r="AB28" s="64">
        <f t="shared" si="3"/>
        <v>2</v>
      </c>
    </row>
    <row r="29" spans="1:28" ht="15" thickBot="1">
      <c r="A29" s="35" t="s">
        <v>6</v>
      </c>
      <c r="B29" s="17" t="s">
        <v>19</v>
      </c>
      <c r="C29" s="1" t="s">
        <v>27</v>
      </c>
      <c r="D29" s="31"/>
      <c r="E29" s="31"/>
      <c r="F29" s="31"/>
      <c r="G29" s="31"/>
      <c r="H29" s="32"/>
      <c r="I29" s="1" t="s">
        <v>27</v>
      </c>
      <c r="J29" s="1" t="s">
        <v>27</v>
      </c>
      <c r="K29" s="1" t="s">
        <v>27</v>
      </c>
      <c r="L29" s="31"/>
      <c r="M29" s="31"/>
      <c r="N29" s="31"/>
      <c r="O29" s="31"/>
      <c r="P29" s="32"/>
      <c r="Q29" s="66"/>
      <c r="R29" s="41"/>
      <c r="S29" s="41"/>
      <c r="T29" s="40"/>
      <c r="U29" s="40"/>
      <c r="V29" s="40"/>
      <c r="W29" s="40"/>
      <c r="X29" s="40"/>
      <c r="Y29" s="40"/>
      <c r="Z29" s="40"/>
      <c r="AA29" s="40"/>
      <c r="AB29" s="67"/>
    </row>
    <row r="30" spans="1:28">
      <c r="A30" s="36" t="s">
        <v>19</v>
      </c>
      <c r="B30" s="4" t="s">
        <v>6</v>
      </c>
      <c r="C30" s="1" t="s">
        <v>27</v>
      </c>
      <c r="D30" s="31"/>
      <c r="E30" s="31"/>
      <c r="F30" s="31"/>
      <c r="G30" s="31"/>
      <c r="H30" s="32"/>
      <c r="I30" s="1" t="s">
        <v>27</v>
      </c>
      <c r="J30" s="1" t="s">
        <v>27</v>
      </c>
      <c r="K30" s="1" t="s">
        <v>27</v>
      </c>
      <c r="L30" s="31"/>
      <c r="M30" s="31"/>
      <c r="N30" s="31"/>
      <c r="O30" s="31"/>
      <c r="P30" s="32"/>
    </row>
    <row r="31" spans="1:28">
      <c r="A31" s="35" t="s">
        <v>6</v>
      </c>
      <c r="B31" s="14" t="s">
        <v>16</v>
      </c>
      <c r="C31" s="1" t="s">
        <v>27</v>
      </c>
      <c r="D31" s="31"/>
      <c r="E31" s="31"/>
      <c r="F31" s="31"/>
      <c r="G31" s="31"/>
      <c r="H31" s="32"/>
      <c r="I31" s="1" t="s">
        <v>27</v>
      </c>
      <c r="J31" s="1" t="s">
        <v>27</v>
      </c>
      <c r="K31" s="1" t="s">
        <v>27</v>
      </c>
      <c r="L31" s="31"/>
      <c r="M31" s="31"/>
      <c r="N31" s="31"/>
      <c r="O31" s="31"/>
      <c r="P31" s="32"/>
      <c r="Y31">
        <f>SUM(Y3:Y28)</f>
        <v>1074</v>
      </c>
    </row>
    <row r="32" spans="1:28">
      <c r="A32" s="35" t="s">
        <v>6</v>
      </c>
      <c r="B32" s="4" t="s">
        <v>6</v>
      </c>
      <c r="C32" s="1" t="s">
        <v>27</v>
      </c>
      <c r="D32" s="31"/>
      <c r="E32" s="31"/>
      <c r="F32" s="31"/>
      <c r="G32" s="31"/>
      <c r="H32" s="32"/>
      <c r="I32" s="1" t="s">
        <v>27</v>
      </c>
      <c r="J32" s="1" t="s">
        <v>27</v>
      </c>
      <c r="K32" s="1" t="s">
        <v>27</v>
      </c>
      <c r="L32" s="31"/>
      <c r="M32" s="31"/>
      <c r="N32" s="31"/>
      <c r="O32" s="31"/>
      <c r="P32" s="32"/>
    </row>
    <row r="33" spans="1:16">
      <c r="A33" s="33" t="s">
        <v>17</v>
      </c>
      <c r="B33" s="4" t="s">
        <v>6</v>
      </c>
      <c r="C33" s="1" t="s">
        <v>27</v>
      </c>
      <c r="D33" s="31"/>
      <c r="E33" s="31"/>
      <c r="F33" s="31"/>
      <c r="G33" s="31"/>
      <c r="H33" s="32"/>
      <c r="I33" s="1" t="s">
        <v>27</v>
      </c>
      <c r="J33" s="1" t="s">
        <v>27</v>
      </c>
      <c r="K33" s="1" t="s">
        <v>27</v>
      </c>
      <c r="L33" s="31"/>
      <c r="M33" s="31"/>
      <c r="N33" s="31"/>
      <c r="O33" s="31"/>
      <c r="P33" s="32"/>
    </row>
    <row r="34" spans="1:16">
      <c r="A34" s="35" t="s">
        <v>6</v>
      </c>
      <c r="B34" s="4" t="s">
        <v>6</v>
      </c>
      <c r="C34" s="1" t="s">
        <v>27</v>
      </c>
      <c r="D34" s="31"/>
      <c r="E34" s="31"/>
      <c r="F34" s="31"/>
      <c r="G34" s="31"/>
      <c r="H34" s="32"/>
      <c r="I34" s="38" t="s">
        <v>27</v>
      </c>
      <c r="J34" s="1" t="s">
        <v>27</v>
      </c>
      <c r="K34" s="1" t="s">
        <v>27</v>
      </c>
      <c r="L34" s="31"/>
      <c r="M34" s="31"/>
      <c r="N34" s="31"/>
      <c r="O34" s="31"/>
      <c r="P34" s="32"/>
    </row>
    <row r="35" spans="1:16">
      <c r="A35" s="35" t="s">
        <v>6</v>
      </c>
      <c r="B35" s="10" t="s">
        <v>12</v>
      </c>
      <c r="C35" s="1" t="s">
        <v>27</v>
      </c>
      <c r="D35" s="31"/>
      <c r="E35" s="31"/>
      <c r="F35" s="31"/>
      <c r="G35" s="31"/>
      <c r="H35" s="32"/>
      <c r="I35" s="38" t="s">
        <v>27</v>
      </c>
      <c r="J35" s="1" t="s">
        <v>27</v>
      </c>
      <c r="K35" s="1" t="s">
        <v>27</v>
      </c>
      <c r="L35" s="31"/>
      <c r="M35" s="31"/>
      <c r="N35" s="31"/>
      <c r="O35" s="31"/>
      <c r="P35" s="32"/>
    </row>
    <row r="36" spans="1:16">
      <c r="A36" s="35" t="s">
        <v>6</v>
      </c>
      <c r="B36" s="4" t="s">
        <v>6</v>
      </c>
      <c r="C36" s="1" t="s">
        <v>27</v>
      </c>
      <c r="D36" s="31"/>
      <c r="E36" s="31"/>
      <c r="F36" s="31"/>
      <c r="G36" s="31"/>
      <c r="H36" s="32"/>
      <c r="I36" s="38" t="s">
        <v>27</v>
      </c>
      <c r="J36" s="1" t="s">
        <v>27</v>
      </c>
      <c r="K36" s="1" t="s">
        <v>27</v>
      </c>
      <c r="L36" s="31"/>
      <c r="M36" s="31"/>
      <c r="N36" s="31"/>
      <c r="O36" s="31"/>
      <c r="P36" s="32"/>
    </row>
    <row r="37" spans="1:16">
      <c r="A37" s="35" t="s">
        <v>6</v>
      </c>
      <c r="B37" s="4" t="s">
        <v>6</v>
      </c>
      <c r="C37" s="1" t="s">
        <v>27</v>
      </c>
      <c r="D37" s="31"/>
      <c r="E37" s="31"/>
      <c r="F37" s="31"/>
      <c r="G37" s="31"/>
      <c r="H37" s="32"/>
      <c r="I37" s="38" t="s">
        <v>27</v>
      </c>
      <c r="J37" s="1" t="s">
        <v>27</v>
      </c>
      <c r="K37" s="1" t="s">
        <v>27</v>
      </c>
      <c r="L37" s="31"/>
      <c r="M37" s="31"/>
      <c r="N37" s="31"/>
      <c r="O37" s="31"/>
      <c r="P37" s="32"/>
    </row>
    <row r="38" spans="1:16">
      <c r="A38" s="36" t="s">
        <v>20</v>
      </c>
      <c r="B38" s="4" t="s">
        <v>6</v>
      </c>
      <c r="C38" s="1" t="s">
        <v>27</v>
      </c>
      <c r="D38" s="31"/>
      <c r="E38" s="31"/>
      <c r="F38" s="31"/>
      <c r="G38" s="31"/>
      <c r="H38" s="32"/>
      <c r="I38" s="38" t="s">
        <v>27</v>
      </c>
      <c r="J38" s="1" t="s">
        <v>27</v>
      </c>
      <c r="K38" s="1" t="s">
        <v>27</v>
      </c>
      <c r="L38" s="31"/>
      <c r="M38" s="31"/>
      <c r="N38" s="31"/>
      <c r="O38" s="31"/>
      <c r="P38" s="32"/>
    </row>
    <row r="39" spans="1:16">
      <c r="A39" s="38" t="s">
        <v>27</v>
      </c>
      <c r="B39" s="4" t="s">
        <v>6</v>
      </c>
      <c r="C39" s="1" t="s">
        <v>27</v>
      </c>
      <c r="D39" s="31"/>
      <c r="E39" s="31"/>
      <c r="F39" s="31"/>
      <c r="G39" s="31"/>
      <c r="H39" s="32"/>
      <c r="I39" s="38" t="s">
        <v>27</v>
      </c>
      <c r="J39" s="1" t="s">
        <v>27</v>
      </c>
      <c r="K39" s="1" t="s">
        <v>27</v>
      </c>
      <c r="L39" s="31"/>
      <c r="M39" s="31"/>
      <c r="N39" s="31"/>
      <c r="O39" s="31"/>
      <c r="P39" s="32"/>
    </row>
    <row r="40" spans="1:16">
      <c r="A40" s="38" t="s">
        <v>27</v>
      </c>
      <c r="B40" s="17" t="s">
        <v>20</v>
      </c>
      <c r="C40" s="1" t="s">
        <v>27</v>
      </c>
      <c r="D40" s="31"/>
      <c r="E40" s="31"/>
      <c r="F40" s="31"/>
      <c r="G40" s="31"/>
      <c r="H40" s="32"/>
      <c r="I40" s="38" t="s">
        <v>27</v>
      </c>
      <c r="J40" s="1" t="s">
        <v>27</v>
      </c>
      <c r="K40" s="1" t="s">
        <v>27</v>
      </c>
      <c r="L40" s="31"/>
      <c r="M40" s="31"/>
      <c r="N40" s="31"/>
      <c r="O40" s="31"/>
      <c r="P40" s="32"/>
    </row>
    <row r="41" spans="1:16">
      <c r="A41" s="38" t="s">
        <v>27</v>
      </c>
      <c r="B41" s="1" t="s">
        <v>27</v>
      </c>
      <c r="C41" s="1" t="s">
        <v>27</v>
      </c>
      <c r="D41" s="31"/>
      <c r="E41" s="31"/>
      <c r="F41" s="31"/>
      <c r="G41" s="31"/>
      <c r="H41" s="32"/>
      <c r="I41" s="38" t="s">
        <v>27</v>
      </c>
      <c r="J41" s="1" t="s">
        <v>27</v>
      </c>
      <c r="K41" s="1" t="s">
        <v>27</v>
      </c>
      <c r="L41" s="31"/>
      <c r="M41" s="31"/>
      <c r="N41" s="31"/>
      <c r="O41" s="31"/>
      <c r="P41" s="32"/>
    </row>
    <row r="42" spans="1:16">
      <c r="A42" s="38" t="s">
        <v>27</v>
      </c>
      <c r="B42" s="1" t="s">
        <v>27</v>
      </c>
      <c r="C42" s="1" t="s">
        <v>27</v>
      </c>
      <c r="D42" s="31"/>
      <c r="E42" s="31"/>
      <c r="F42" s="31"/>
      <c r="G42" s="31"/>
      <c r="H42" s="32"/>
      <c r="I42" s="38" t="s">
        <v>27</v>
      </c>
      <c r="J42" s="1" t="s">
        <v>27</v>
      </c>
      <c r="K42" s="1" t="s">
        <v>27</v>
      </c>
      <c r="L42" s="31"/>
      <c r="M42" s="31"/>
      <c r="N42" s="31"/>
      <c r="O42" s="31"/>
      <c r="P42" s="32"/>
    </row>
    <row r="43" spans="1:16">
      <c r="A43" s="38" t="s">
        <v>27</v>
      </c>
      <c r="B43" s="1" t="s">
        <v>27</v>
      </c>
      <c r="C43" s="1" t="s">
        <v>27</v>
      </c>
      <c r="D43" s="31"/>
      <c r="E43" s="31"/>
      <c r="F43" s="31"/>
      <c r="G43" s="31"/>
      <c r="H43" s="32"/>
      <c r="I43" s="38" t="s">
        <v>27</v>
      </c>
      <c r="J43" s="1" t="s">
        <v>27</v>
      </c>
      <c r="K43" s="1" t="s">
        <v>27</v>
      </c>
      <c r="L43" s="31"/>
      <c r="M43" s="31"/>
      <c r="N43" s="31"/>
      <c r="O43" s="31"/>
      <c r="P43" s="32"/>
    </row>
    <row r="44" spans="1:16">
      <c r="A44" s="38" t="s">
        <v>27</v>
      </c>
      <c r="B44" s="1" t="s">
        <v>27</v>
      </c>
      <c r="C44" s="1" t="s">
        <v>27</v>
      </c>
      <c r="D44" s="31"/>
      <c r="E44" s="31"/>
      <c r="F44" s="31"/>
      <c r="G44" s="31"/>
      <c r="H44" s="32"/>
      <c r="I44" s="38" t="s">
        <v>27</v>
      </c>
      <c r="J44" s="1" t="s">
        <v>27</v>
      </c>
      <c r="K44" s="1" t="s">
        <v>27</v>
      </c>
      <c r="L44" s="31"/>
      <c r="M44" s="31"/>
      <c r="N44" s="31"/>
      <c r="O44" s="31"/>
      <c r="P44" s="32"/>
    </row>
    <row r="45" spans="1:16">
      <c r="A45" s="38" t="s">
        <v>27</v>
      </c>
      <c r="B45" s="1" t="s">
        <v>27</v>
      </c>
      <c r="C45" s="1" t="s">
        <v>27</v>
      </c>
      <c r="D45" s="31"/>
      <c r="E45" s="31"/>
      <c r="F45" s="31"/>
      <c r="G45" s="31"/>
      <c r="H45" s="32"/>
      <c r="I45" s="38" t="s">
        <v>27</v>
      </c>
      <c r="J45" s="1" t="s">
        <v>27</v>
      </c>
      <c r="K45" s="1" t="s">
        <v>27</v>
      </c>
      <c r="L45" s="31"/>
      <c r="M45" s="31"/>
      <c r="N45" s="31"/>
      <c r="O45" s="31"/>
      <c r="P45" s="32"/>
    </row>
    <row r="46" spans="1:16">
      <c r="A46" s="38" t="s">
        <v>27</v>
      </c>
      <c r="B46" s="1" t="s">
        <v>27</v>
      </c>
      <c r="C46" s="1" t="s">
        <v>27</v>
      </c>
      <c r="D46" s="31"/>
      <c r="E46" s="31"/>
      <c r="F46" s="31"/>
      <c r="G46" s="31"/>
      <c r="H46" s="32"/>
      <c r="I46" s="38" t="s">
        <v>27</v>
      </c>
      <c r="J46" s="1" t="s">
        <v>27</v>
      </c>
      <c r="K46" s="1" t="s">
        <v>27</v>
      </c>
      <c r="L46" s="31"/>
      <c r="M46" s="31"/>
      <c r="N46" s="31"/>
      <c r="O46" s="31"/>
      <c r="P46" s="32"/>
    </row>
    <row r="47" spans="1:16">
      <c r="A47" s="38" t="s">
        <v>27</v>
      </c>
      <c r="B47" s="1" t="s">
        <v>27</v>
      </c>
      <c r="C47" s="1" t="s">
        <v>27</v>
      </c>
      <c r="D47" s="31"/>
      <c r="E47" s="31"/>
      <c r="F47" s="31"/>
      <c r="G47" s="31"/>
      <c r="H47" s="32"/>
      <c r="I47" s="38" t="s">
        <v>27</v>
      </c>
      <c r="J47" s="1" t="s">
        <v>27</v>
      </c>
      <c r="K47" s="1" t="s">
        <v>27</v>
      </c>
      <c r="L47" s="31"/>
      <c r="M47" s="31"/>
      <c r="N47" s="31"/>
      <c r="O47" s="31"/>
      <c r="P47" s="32"/>
    </row>
    <row r="48" spans="1:16">
      <c r="A48" s="38" t="s">
        <v>27</v>
      </c>
      <c r="B48" s="1" t="s">
        <v>27</v>
      </c>
      <c r="C48" s="1" t="s">
        <v>27</v>
      </c>
      <c r="D48" s="31"/>
      <c r="E48" s="31"/>
      <c r="F48" s="31"/>
      <c r="G48" s="31"/>
      <c r="H48" s="32"/>
      <c r="I48" s="38" t="s">
        <v>27</v>
      </c>
      <c r="J48" s="1" t="s">
        <v>27</v>
      </c>
      <c r="K48" s="1" t="s">
        <v>27</v>
      </c>
      <c r="L48" s="31"/>
      <c r="M48" s="31"/>
      <c r="N48" s="31"/>
      <c r="O48" s="31"/>
      <c r="P48" s="32"/>
    </row>
    <row r="49" spans="1:16">
      <c r="A49" s="38" t="s">
        <v>27</v>
      </c>
      <c r="B49" s="1" t="s">
        <v>27</v>
      </c>
      <c r="C49" s="1" t="s">
        <v>27</v>
      </c>
      <c r="D49" s="31"/>
      <c r="E49" s="31"/>
      <c r="F49" s="31"/>
      <c r="G49" s="31"/>
      <c r="H49" s="32"/>
      <c r="I49" s="38" t="s">
        <v>27</v>
      </c>
      <c r="J49" s="1" t="s">
        <v>27</v>
      </c>
      <c r="K49" s="1" t="s">
        <v>27</v>
      </c>
      <c r="L49" s="31"/>
      <c r="M49" s="31"/>
      <c r="N49" s="31"/>
      <c r="O49" s="31"/>
      <c r="P49" s="32"/>
    </row>
    <row r="50" spans="1:16">
      <c r="A50" s="38" t="s">
        <v>27</v>
      </c>
      <c r="B50" s="1" t="s">
        <v>27</v>
      </c>
      <c r="C50" s="1" t="s">
        <v>27</v>
      </c>
      <c r="D50" s="31"/>
      <c r="E50" s="31"/>
      <c r="F50" s="31"/>
      <c r="G50" s="31"/>
      <c r="H50" s="32"/>
      <c r="I50" s="38" t="s">
        <v>27</v>
      </c>
      <c r="J50" s="1" t="s">
        <v>27</v>
      </c>
      <c r="K50" s="1" t="s">
        <v>27</v>
      </c>
      <c r="L50" s="31"/>
      <c r="M50" s="31"/>
      <c r="N50" s="31"/>
      <c r="O50" s="31"/>
      <c r="P50" s="32"/>
    </row>
    <row r="51" spans="1:16">
      <c r="A51" s="38" t="s">
        <v>27</v>
      </c>
      <c r="B51" s="1" t="s">
        <v>27</v>
      </c>
      <c r="C51" s="1" t="s">
        <v>27</v>
      </c>
      <c r="D51" s="31"/>
      <c r="E51" s="31"/>
      <c r="F51" s="31"/>
      <c r="G51" s="31"/>
      <c r="H51" s="32"/>
      <c r="I51" s="38" t="s">
        <v>27</v>
      </c>
      <c r="J51" s="1" t="s">
        <v>27</v>
      </c>
      <c r="K51" s="1" t="s">
        <v>27</v>
      </c>
      <c r="L51" s="31"/>
      <c r="M51" s="31"/>
      <c r="N51" s="31"/>
      <c r="O51" s="31"/>
      <c r="P51" s="32"/>
    </row>
    <row r="52" spans="1:16">
      <c r="A52" s="38" t="s">
        <v>27</v>
      </c>
      <c r="B52" s="1" t="s">
        <v>27</v>
      </c>
      <c r="C52" s="1" t="s">
        <v>27</v>
      </c>
      <c r="D52" s="31"/>
      <c r="E52" s="31"/>
      <c r="F52" s="31"/>
      <c r="G52" s="31"/>
      <c r="H52" s="32"/>
      <c r="I52" s="38" t="s">
        <v>27</v>
      </c>
      <c r="J52" s="1" t="s">
        <v>27</v>
      </c>
      <c r="K52" s="1" t="s">
        <v>27</v>
      </c>
      <c r="L52" s="31"/>
      <c r="M52" s="31"/>
      <c r="N52" s="31"/>
      <c r="O52" s="31"/>
      <c r="P52" s="32"/>
    </row>
    <row r="53" spans="1:16">
      <c r="A53" s="38" t="s">
        <v>27</v>
      </c>
      <c r="B53" s="1" t="s">
        <v>27</v>
      </c>
      <c r="C53" s="1" t="s">
        <v>27</v>
      </c>
      <c r="D53" s="31"/>
      <c r="E53" s="31"/>
      <c r="F53" s="31"/>
      <c r="G53" s="31"/>
      <c r="H53" s="32"/>
      <c r="I53" s="38" t="s">
        <v>27</v>
      </c>
      <c r="J53" s="1" t="s">
        <v>27</v>
      </c>
      <c r="K53" s="1" t="s">
        <v>27</v>
      </c>
      <c r="L53" s="31"/>
      <c r="M53" s="31"/>
      <c r="N53" s="31"/>
      <c r="O53" s="31"/>
      <c r="P53" s="32"/>
    </row>
    <row r="54" spans="1:16">
      <c r="A54" s="38" t="s">
        <v>27</v>
      </c>
      <c r="B54" s="1" t="s">
        <v>27</v>
      </c>
      <c r="C54" s="1" t="s">
        <v>27</v>
      </c>
      <c r="D54" s="31"/>
      <c r="E54" s="31"/>
      <c r="F54" s="31"/>
      <c r="G54" s="31"/>
      <c r="H54" s="32"/>
      <c r="I54" s="38" t="s">
        <v>27</v>
      </c>
      <c r="J54" s="1" t="s">
        <v>27</v>
      </c>
      <c r="K54" s="1" t="s">
        <v>27</v>
      </c>
      <c r="L54" s="31"/>
      <c r="M54" s="31"/>
      <c r="N54" s="31"/>
      <c r="O54" s="31"/>
      <c r="P54" s="32"/>
    </row>
    <row r="55" spans="1:16">
      <c r="A55" s="38" t="s">
        <v>27</v>
      </c>
      <c r="B55" s="1" t="s">
        <v>27</v>
      </c>
      <c r="C55" s="1" t="s">
        <v>27</v>
      </c>
      <c r="D55" s="31"/>
      <c r="E55" s="31"/>
      <c r="F55" s="31"/>
      <c r="G55" s="31"/>
      <c r="H55" s="32"/>
      <c r="I55" s="38" t="s">
        <v>27</v>
      </c>
      <c r="J55" s="1" t="s">
        <v>27</v>
      </c>
      <c r="K55" s="1" t="s">
        <v>27</v>
      </c>
      <c r="L55" s="31"/>
      <c r="M55" s="31"/>
      <c r="N55" s="31"/>
      <c r="O55" s="31"/>
      <c r="P55" s="32"/>
    </row>
    <row r="56" spans="1:16">
      <c r="A56" s="38" t="s">
        <v>27</v>
      </c>
      <c r="B56" s="1" t="s">
        <v>27</v>
      </c>
      <c r="C56" s="1" t="s">
        <v>27</v>
      </c>
      <c r="D56" s="31"/>
      <c r="E56" s="31"/>
      <c r="F56" s="31"/>
      <c r="G56" s="31"/>
      <c r="H56" s="32"/>
      <c r="I56" s="38" t="s">
        <v>27</v>
      </c>
      <c r="J56" s="1" t="s">
        <v>27</v>
      </c>
      <c r="K56" s="1" t="s">
        <v>27</v>
      </c>
      <c r="L56" s="31"/>
      <c r="M56" s="31"/>
      <c r="N56" s="31"/>
      <c r="O56" s="31"/>
      <c r="P56" s="32"/>
    </row>
    <row r="57" spans="1:16">
      <c r="A57" s="38" t="s">
        <v>27</v>
      </c>
      <c r="B57" s="1" t="s">
        <v>27</v>
      </c>
      <c r="C57" s="1" t="s">
        <v>27</v>
      </c>
      <c r="D57" s="31"/>
      <c r="E57" s="31"/>
      <c r="F57" s="31"/>
      <c r="G57" s="31"/>
      <c r="H57" s="32"/>
      <c r="I57" s="38" t="s">
        <v>27</v>
      </c>
      <c r="J57" s="1" t="s">
        <v>27</v>
      </c>
      <c r="K57" s="1" t="s">
        <v>27</v>
      </c>
      <c r="L57" s="31"/>
      <c r="M57" s="31"/>
      <c r="N57" s="31"/>
      <c r="O57" s="31"/>
      <c r="P57" s="32"/>
    </row>
    <row r="58" spans="1:16">
      <c r="A58" s="38" t="s">
        <v>27</v>
      </c>
      <c r="B58" s="1" t="s">
        <v>27</v>
      </c>
      <c r="C58" s="1" t="s">
        <v>27</v>
      </c>
      <c r="D58" s="31"/>
      <c r="E58" s="31"/>
      <c r="F58" s="31"/>
      <c r="G58" s="31"/>
      <c r="H58" s="32"/>
      <c r="I58" s="38" t="s">
        <v>27</v>
      </c>
      <c r="J58" s="1" t="s">
        <v>27</v>
      </c>
      <c r="K58" s="1" t="s">
        <v>27</v>
      </c>
      <c r="L58" s="31"/>
      <c r="M58" s="31"/>
      <c r="N58" s="31"/>
      <c r="O58" s="31"/>
      <c r="P58" s="32"/>
    </row>
    <row r="59" spans="1:16">
      <c r="A59" s="38" t="s">
        <v>27</v>
      </c>
      <c r="B59" s="1" t="s">
        <v>27</v>
      </c>
      <c r="C59" s="1" t="s">
        <v>27</v>
      </c>
      <c r="D59" s="31"/>
      <c r="E59" s="31"/>
      <c r="F59" s="31"/>
      <c r="G59" s="31"/>
      <c r="H59" s="32"/>
      <c r="I59" s="38" t="s">
        <v>27</v>
      </c>
      <c r="J59" s="1" t="s">
        <v>27</v>
      </c>
      <c r="K59" s="1" t="s">
        <v>27</v>
      </c>
      <c r="L59" s="31"/>
      <c r="M59" s="31"/>
      <c r="N59" s="31"/>
      <c r="O59" s="31"/>
      <c r="P59" s="32"/>
    </row>
    <row r="60" spans="1:16">
      <c r="A60" s="38" t="s">
        <v>27</v>
      </c>
      <c r="B60" s="1" t="s">
        <v>27</v>
      </c>
      <c r="C60" s="1" t="s">
        <v>27</v>
      </c>
      <c r="D60" s="31"/>
      <c r="E60" s="31"/>
      <c r="F60" s="31"/>
      <c r="G60" s="31"/>
      <c r="H60" s="32"/>
      <c r="I60" s="38" t="s">
        <v>27</v>
      </c>
      <c r="J60" s="1" t="s">
        <v>27</v>
      </c>
      <c r="K60" s="1" t="s">
        <v>27</v>
      </c>
      <c r="L60" s="31"/>
      <c r="M60" s="31"/>
      <c r="N60" s="31"/>
      <c r="O60" s="31"/>
      <c r="P60" s="32"/>
    </row>
    <row r="61" spans="1:16">
      <c r="A61" s="38" t="s">
        <v>27</v>
      </c>
      <c r="B61" s="1" t="s">
        <v>27</v>
      </c>
      <c r="C61" s="1" t="s">
        <v>27</v>
      </c>
      <c r="D61" s="31"/>
      <c r="E61" s="31"/>
      <c r="F61" s="31"/>
      <c r="G61" s="31"/>
      <c r="H61" s="32"/>
      <c r="I61" s="38" t="s">
        <v>27</v>
      </c>
      <c r="J61" s="1" t="s">
        <v>27</v>
      </c>
      <c r="K61" s="1" t="s">
        <v>27</v>
      </c>
      <c r="L61" s="31"/>
      <c r="M61" s="31"/>
      <c r="N61" s="31"/>
      <c r="O61" s="31"/>
      <c r="P61" s="32"/>
    </row>
    <row r="62" spans="1:16">
      <c r="A62" s="38" t="s">
        <v>27</v>
      </c>
      <c r="B62" s="1" t="s">
        <v>27</v>
      </c>
      <c r="C62" s="1" t="s">
        <v>27</v>
      </c>
      <c r="D62" s="31"/>
      <c r="E62" s="31"/>
      <c r="F62" s="31"/>
      <c r="G62" s="31"/>
      <c r="H62" s="32"/>
      <c r="I62" s="38" t="s">
        <v>27</v>
      </c>
      <c r="J62" s="1" t="s">
        <v>27</v>
      </c>
      <c r="K62" s="1" t="s">
        <v>27</v>
      </c>
      <c r="L62" s="31"/>
      <c r="M62" s="31"/>
      <c r="N62" s="31"/>
      <c r="O62" s="31"/>
      <c r="P62" s="32"/>
    </row>
    <row r="63" spans="1:16">
      <c r="A63" s="38" t="s">
        <v>27</v>
      </c>
      <c r="B63" s="1" t="s">
        <v>27</v>
      </c>
      <c r="C63" s="1" t="s">
        <v>27</v>
      </c>
      <c r="D63" s="31"/>
      <c r="E63" s="31"/>
      <c r="F63" s="31"/>
      <c r="G63" s="31"/>
      <c r="H63" s="32"/>
      <c r="I63" s="38" t="s">
        <v>27</v>
      </c>
      <c r="J63" s="1" t="s">
        <v>27</v>
      </c>
      <c r="K63" s="1" t="s">
        <v>27</v>
      </c>
      <c r="L63" s="31"/>
      <c r="M63" s="31"/>
      <c r="N63" s="31"/>
      <c r="O63" s="31"/>
      <c r="P63" s="32"/>
    </row>
    <row r="64" spans="1:16">
      <c r="A64" s="38" t="s">
        <v>27</v>
      </c>
      <c r="B64" s="1" t="s">
        <v>27</v>
      </c>
      <c r="C64" s="1" t="s">
        <v>27</v>
      </c>
      <c r="D64" s="31"/>
      <c r="E64" s="31"/>
      <c r="F64" s="31"/>
      <c r="G64" s="31"/>
      <c r="H64" s="32"/>
      <c r="I64" s="38" t="s">
        <v>27</v>
      </c>
      <c r="J64" s="1" t="s">
        <v>27</v>
      </c>
      <c r="K64" s="1" t="s">
        <v>27</v>
      </c>
      <c r="L64" s="31"/>
      <c r="M64" s="31"/>
      <c r="N64" s="31"/>
      <c r="O64" s="31"/>
      <c r="P64" s="32"/>
    </row>
    <row r="65" spans="1:16">
      <c r="A65" s="38" t="s">
        <v>27</v>
      </c>
      <c r="B65" s="1" t="s">
        <v>27</v>
      </c>
      <c r="C65" s="1" t="s">
        <v>27</v>
      </c>
      <c r="D65" s="31"/>
      <c r="E65" s="31"/>
      <c r="F65" s="31"/>
      <c r="G65" s="31"/>
      <c r="H65" s="32"/>
      <c r="I65" s="38" t="s">
        <v>27</v>
      </c>
      <c r="J65" s="1" t="s">
        <v>27</v>
      </c>
      <c r="K65" s="1" t="s">
        <v>27</v>
      </c>
      <c r="L65" s="31"/>
      <c r="M65" s="31"/>
      <c r="N65" s="31"/>
      <c r="O65" s="31"/>
      <c r="P65" s="32"/>
    </row>
    <row r="66" spans="1:16">
      <c r="A66" s="38" t="s">
        <v>27</v>
      </c>
      <c r="B66" s="1" t="s">
        <v>27</v>
      </c>
      <c r="C66" s="1" t="s">
        <v>27</v>
      </c>
      <c r="D66" s="31"/>
      <c r="E66" s="31"/>
      <c r="F66" s="31"/>
      <c r="G66" s="31"/>
      <c r="H66" s="32"/>
      <c r="I66" s="38" t="s">
        <v>27</v>
      </c>
      <c r="J66" s="1" t="s">
        <v>27</v>
      </c>
      <c r="K66" s="1" t="s">
        <v>27</v>
      </c>
      <c r="L66" s="31"/>
      <c r="M66" s="31"/>
      <c r="N66" s="31"/>
      <c r="O66" s="31"/>
      <c r="P66" s="32"/>
    </row>
    <row r="67" spans="1:16">
      <c r="A67" s="38" t="s">
        <v>27</v>
      </c>
      <c r="B67" s="1" t="s">
        <v>27</v>
      </c>
      <c r="C67" s="1" t="s">
        <v>27</v>
      </c>
      <c r="D67" s="31"/>
      <c r="E67" s="31"/>
      <c r="F67" s="31"/>
      <c r="G67" s="31"/>
      <c r="H67" s="32"/>
      <c r="I67" s="38" t="s">
        <v>27</v>
      </c>
      <c r="J67" s="1" t="s">
        <v>27</v>
      </c>
      <c r="K67" s="1" t="s">
        <v>27</v>
      </c>
      <c r="L67" s="31"/>
      <c r="M67" s="31"/>
      <c r="N67" s="31"/>
      <c r="O67" s="31"/>
      <c r="P67" s="32"/>
    </row>
    <row r="68" spans="1:16">
      <c r="A68" s="38" t="s">
        <v>27</v>
      </c>
      <c r="B68" s="1" t="s">
        <v>27</v>
      </c>
      <c r="C68" s="1" t="s">
        <v>27</v>
      </c>
      <c r="D68" s="31"/>
      <c r="E68" s="31"/>
      <c r="F68" s="31"/>
      <c r="G68" s="31"/>
      <c r="H68" s="32"/>
      <c r="I68" s="38" t="s">
        <v>27</v>
      </c>
      <c r="J68" s="1" t="s">
        <v>27</v>
      </c>
      <c r="K68" s="1" t="s">
        <v>27</v>
      </c>
      <c r="L68" s="31"/>
      <c r="M68" s="31"/>
      <c r="N68" s="31"/>
      <c r="O68" s="31"/>
      <c r="P68" s="32"/>
    </row>
    <row r="69" spans="1:16">
      <c r="A69" s="38" t="s">
        <v>27</v>
      </c>
      <c r="B69" s="1" t="s">
        <v>27</v>
      </c>
      <c r="C69" s="1" t="s">
        <v>27</v>
      </c>
      <c r="D69" s="31"/>
      <c r="E69" s="31"/>
      <c r="F69" s="31"/>
      <c r="G69" s="31"/>
      <c r="H69" s="32"/>
      <c r="I69" s="38" t="s">
        <v>27</v>
      </c>
      <c r="J69" s="1" t="s">
        <v>27</v>
      </c>
      <c r="K69" s="1" t="s">
        <v>27</v>
      </c>
      <c r="L69" s="31"/>
      <c r="M69" s="31"/>
      <c r="N69" s="31"/>
      <c r="O69" s="31"/>
      <c r="P69" s="32"/>
    </row>
    <row r="70" spans="1:16">
      <c r="A70" s="38" t="s">
        <v>27</v>
      </c>
      <c r="B70" s="1" t="s">
        <v>27</v>
      </c>
      <c r="C70" s="1" t="s">
        <v>27</v>
      </c>
      <c r="D70" s="31"/>
      <c r="E70" s="31"/>
      <c r="F70" s="31"/>
      <c r="G70" s="31"/>
      <c r="H70" s="32"/>
      <c r="I70" s="38" t="s">
        <v>27</v>
      </c>
      <c r="J70" s="1" t="s">
        <v>27</v>
      </c>
      <c r="K70" s="1" t="s">
        <v>27</v>
      </c>
      <c r="L70" s="31"/>
      <c r="M70" s="31"/>
      <c r="N70" s="31"/>
      <c r="O70" s="31"/>
      <c r="P70" s="32"/>
    </row>
    <row r="71" spans="1:16">
      <c r="A71" s="38" t="s">
        <v>27</v>
      </c>
      <c r="B71" s="1" t="s">
        <v>27</v>
      </c>
      <c r="C71" s="1" t="s">
        <v>27</v>
      </c>
      <c r="D71" s="31"/>
      <c r="E71" s="31"/>
      <c r="F71" s="31"/>
      <c r="G71" s="31"/>
      <c r="H71" s="32"/>
      <c r="I71" s="38" t="s">
        <v>27</v>
      </c>
      <c r="J71" s="1" t="s">
        <v>27</v>
      </c>
      <c r="K71" s="1" t="s">
        <v>27</v>
      </c>
      <c r="L71" s="31"/>
      <c r="M71" s="31"/>
      <c r="N71" s="31"/>
      <c r="O71" s="31"/>
      <c r="P71" s="32"/>
    </row>
    <row r="72" spans="1:16">
      <c r="A72" s="38" t="s">
        <v>27</v>
      </c>
      <c r="B72" s="1" t="s">
        <v>27</v>
      </c>
      <c r="C72" s="1" t="s">
        <v>27</v>
      </c>
      <c r="D72" s="31"/>
      <c r="E72" s="31"/>
      <c r="F72" s="31"/>
      <c r="G72" s="31"/>
      <c r="H72" s="32"/>
      <c r="I72" s="38" t="s">
        <v>27</v>
      </c>
      <c r="J72" s="1" t="s">
        <v>27</v>
      </c>
      <c r="K72" s="1" t="s">
        <v>27</v>
      </c>
      <c r="L72" s="31"/>
      <c r="M72" s="31"/>
      <c r="N72" s="31"/>
      <c r="O72" s="31"/>
      <c r="P72" s="32"/>
    </row>
    <row r="73" spans="1:16">
      <c r="A73" s="38" t="s">
        <v>27</v>
      </c>
      <c r="B73" s="1" t="s">
        <v>27</v>
      </c>
      <c r="C73" s="1" t="s">
        <v>27</v>
      </c>
      <c r="D73" s="31"/>
      <c r="E73" s="31"/>
      <c r="F73" s="31"/>
      <c r="G73" s="31"/>
      <c r="H73" s="32"/>
      <c r="I73" s="38" t="s">
        <v>27</v>
      </c>
      <c r="J73" s="1" t="s">
        <v>27</v>
      </c>
      <c r="K73" s="1" t="s">
        <v>27</v>
      </c>
      <c r="L73" s="31"/>
      <c r="M73" s="31"/>
      <c r="N73" s="31"/>
      <c r="O73" s="31"/>
      <c r="P73" s="32"/>
    </row>
    <row r="74" spans="1:16">
      <c r="A74" s="38" t="s">
        <v>27</v>
      </c>
      <c r="B74" s="1" t="s">
        <v>27</v>
      </c>
      <c r="C74" s="1" t="s">
        <v>27</v>
      </c>
      <c r="D74" s="31"/>
      <c r="E74" s="31"/>
      <c r="F74" s="31"/>
      <c r="G74" s="31"/>
      <c r="H74" s="32"/>
      <c r="I74" s="38" t="s">
        <v>27</v>
      </c>
      <c r="J74" s="1" t="s">
        <v>27</v>
      </c>
      <c r="K74" s="1" t="s">
        <v>27</v>
      </c>
      <c r="L74" s="31"/>
      <c r="M74" s="31"/>
      <c r="N74" s="31"/>
      <c r="O74" s="31"/>
      <c r="P74" s="32"/>
    </row>
    <row r="75" spans="1:16">
      <c r="A75" s="38" t="s">
        <v>27</v>
      </c>
      <c r="B75" s="1" t="s">
        <v>27</v>
      </c>
      <c r="C75" s="1" t="s">
        <v>27</v>
      </c>
      <c r="D75" s="31"/>
      <c r="E75" s="31"/>
      <c r="F75" s="31"/>
      <c r="G75" s="31"/>
      <c r="H75" s="32"/>
      <c r="I75" s="38" t="s">
        <v>27</v>
      </c>
      <c r="J75" s="1" t="s">
        <v>27</v>
      </c>
      <c r="K75" s="1" t="s">
        <v>27</v>
      </c>
      <c r="L75" s="31"/>
      <c r="M75" s="31"/>
      <c r="N75" s="31"/>
      <c r="O75" s="31"/>
      <c r="P75" s="32"/>
    </row>
    <row r="76" spans="1:16">
      <c r="A76" s="38" t="s">
        <v>27</v>
      </c>
      <c r="B76" s="1" t="s">
        <v>27</v>
      </c>
      <c r="C76" s="1" t="s">
        <v>27</v>
      </c>
      <c r="D76" s="31"/>
      <c r="E76" s="31"/>
      <c r="F76" s="31"/>
      <c r="G76" s="31"/>
      <c r="H76" s="32"/>
      <c r="I76" s="38" t="s">
        <v>27</v>
      </c>
      <c r="J76" s="1" t="s">
        <v>27</v>
      </c>
      <c r="K76" s="1" t="s">
        <v>27</v>
      </c>
      <c r="L76" s="31"/>
      <c r="M76" s="31"/>
      <c r="N76" s="31"/>
      <c r="O76" s="31"/>
      <c r="P76" s="32"/>
    </row>
    <row r="77" spans="1:16">
      <c r="A77" s="38" t="s">
        <v>27</v>
      </c>
      <c r="B77" s="1" t="s">
        <v>27</v>
      </c>
      <c r="C77" s="1" t="s">
        <v>27</v>
      </c>
      <c r="D77" s="31"/>
      <c r="E77" s="31"/>
      <c r="F77" s="31"/>
      <c r="G77" s="31"/>
      <c r="H77" s="32"/>
      <c r="I77" s="38" t="s">
        <v>27</v>
      </c>
      <c r="J77" s="1" t="s">
        <v>27</v>
      </c>
      <c r="K77" s="1" t="s">
        <v>27</v>
      </c>
      <c r="L77" s="31"/>
      <c r="M77" s="31"/>
      <c r="N77" s="31"/>
      <c r="O77" s="31"/>
      <c r="P77" s="32"/>
    </row>
    <row r="78" spans="1:16">
      <c r="A78" s="38" t="s">
        <v>27</v>
      </c>
      <c r="B78" s="1" t="s">
        <v>27</v>
      </c>
      <c r="C78" s="1" t="s">
        <v>27</v>
      </c>
      <c r="D78" s="31"/>
      <c r="E78" s="31"/>
      <c r="F78" s="31"/>
      <c r="G78" s="31"/>
      <c r="H78" s="32"/>
      <c r="I78" s="38" t="s">
        <v>27</v>
      </c>
      <c r="J78" s="1" t="s">
        <v>27</v>
      </c>
      <c r="K78" s="1" t="s">
        <v>27</v>
      </c>
      <c r="L78" s="31"/>
      <c r="M78" s="31"/>
      <c r="N78" s="31"/>
      <c r="O78" s="31"/>
      <c r="P78" s="32"/>
    </row>
    <row r="79" spans="1:16">
      <c r="A79" s="38" t="s">
        <v>27</v>
      </c>
      <c r="B79" s="1" t="s">
        <v>27</v>
      </c>
      <c r="C79" s="1" t="s">
        <v>27</v>
      </c>
      <c r="D79" s="31"/>
      <c r="E79" s="31"/>
      <c r="F79" s="31"/>
      <c r="G79" s="31"/>
      <c r="H79" s="32"/>
      <c r="I79" s="38" t="s">
        <v>27</v>
      </c>
      <c r="J79" s="1" t="s">
        <v>27</v>
      </c>
      <c r="K79" s="1" t="s">
        <v>27</v>
      </c>
      <c r="L79" s="31"/>
      <c r="M79" s="31"/>
      <c r="N79" s="31"/>
      <c r="O79" s="31"/>
      <c r="P79" s="32"/>
    </row>
    <row r="80" spans="1:16">
      <c r="A80" s="38" t="s">
        <v>27</v>
      </c>
      <c r="B80" s="1" t="s">
        <v>27</v>
      </c>
      <c r="C80" s="1" t="s">
        <v>27</v>
      </c>
      <c r="D80" s="31"/>
      <c r="E80" s="31"/>
      <c r="F80" s="31"/>
      <c r="G80" s="31"/>
      <c r="H80" s="32"/>
      <c r="I80" s="38" t="s">
        <v>27</v>
      </c>
      <c r="J80" s="1" t="s">
        <v>27</v>
      </c>
      <c r="K80" s="1" t="s">
        <v>27</v>
      </c>
      <c r="L80" s="31"/>
      <c r="M80" s="31"/>
      <c r="N80" s="31"/>
      <c r="O80" s="31"/>
      <c r="P80" s="32"/>
    </row>
    <row r="81" spans="1:16">
      <c r="A81" s="38" t="s">
        <v>27</v>
      </c>
      <c r="B81" s="1" t="s">
        <v>27</v>
      </c>
      <c r="C81" s="1" t="s">
        <v>27</v>
      </c>
      <c r="D81" s="31"/>
      <c r="E81" s="31"/>
      <c r="F81" s="31"/>
      <c r="G81" s="31"/>
      <c r="H81" s="32"/>
      <c r="I81" s="38" t="s">
        <v>27</v>
      </c>
      <c r="J81" s="1" t="s">
        <v>27</v>
      </c>
      <c r="K81" s="1" t="s">
        <v>27</v>
      </c>
      <c r="L81" s="31"/>
      <c r="M81" s="31"/>
      <c r="N81" s="31"/>
      <c r="O81" s="31"/>
      <c r="P81" s="32"/>
    </row>
    <row r="82" spans="1:16">
      <c r="A82" s="38" t="s">
        <v>27</v>
      </c>
      <c r="B82" s="1" t="s">
        <v>27</v>
      </c>
      <c r="C82" s="1" t="s">
        <v>27</v>
      </c>
      <c r="D82" s="31"/>
      <c r="E82" s="31"/>
      <c r="F82" s="31"/>
      <c r="G82" s="31"/>
      <c r="H82" s="32"/>
      <c r="I82" s="38" t="s">
        <v>27</v>
      </c>
      <c r="J82" s="1" t="s">
        <v>27</v>
      </c>
      <c r="K82" s="1" t="s">
        <v>27</v>
      </c>
      <c r="L82" s="31"/>
      <c r="M82" s="31"/>
      <c r="N82" s="31"/>
      <c r="O82" s="31"/>
      <c r="P82" s="32"/>
    </row>
    <row r="83" spans="1:16">
      <c r="A83" s="38" t="s">
        <v>27</v>
      </c>
      <c r="B83" s="1" t="s">
        <v>27</v>
      </c>
      <c r="C83" s="1" t="s">
        <v>27</v>
      </c>
      <c r="D83" s="31"/>
      <c r="E83" s="31"/>
      <c r="F83" s="31"/>
      <c r="G83" s="31"/>
      <c r="H83" s="32"/>
      <c r="I83" s="38" t="s">
        <v>27</v>
      </c>
      <c r="J83" s="1" t="s">
        <v>27</v>
      </c>
      <c r="K83" s="1" t="s">
        <v>27</v>
      </c>
      <c r="L83" s="31"/>
      <c r="M83" s="31"/>
      <c r="N83" s="31"/>
      <c r="O83" s="31"/>
      <c r="P83" s="32"/>
    </row>
    <row r="84" spans="1:16">
      <c r="A84" s="38" t="s">
        <v>27</v>
      </c>
      <c r="B84" s="1" t="s">
        <v>27</v>
      </c>
      <c r="C84" s="1" t="s">
        <v>27</v>
      </c>
      <c r="D84" s="31"/>
      <c r="E84" s="31"/>
      <c r="F84" s="31"/>
      <c r="G84" s="31"/>
      <c r="H84" s="32"/>
      <c r="I84" s="38" t="s">
        <v>27</v>
      </c>
      <c r="J84" s="1" t="s">
        <v>27</v>
      </c>
      <c r="K84" s="1" t="s">
        <v>27</v>
      </c>
      <c r="L84" s="31"/>
      <c r="M84" s="31"/>
      <c r="N84" s="31"/>
      <c r="O84" s="31"/>
      <c r="P84" s="32"/>
    </row>
    <row r="85" spans="1:16">
      <c r="A85" s="38" t="s">
        <v>27</v>
      </c>
      <c r="B85" s="1" t="s">
        <v>27</v>
      </c>
      <c r="C85" s="1" t="s">
        <v>27</v>
      </c>
      <c r="D85" s="31"/>
      <c r="E85" s="31"/>
      <c r="F85" s="31"/>
      <c r="G85" s="31"/>
      <c r="H85" s="32"/>
      <c r="I85" s="38" t="s">
        <v>27</v>
      </c>
      <c r="J85" s="1" t="s">
        <v>27</v>
      </c>
      <c r="K85" s="1" t="s">
        <v>27</v>
      </c>
      <c r="L85" s="31"/>
      <c r="M85" s="31"/>
      <c r="N85" s="31"/>
      <c r="O85" s="31"/>
      <c r="P85" s="32"/>
    </row>
    <row r="86" spans="1:16">
      <c r="A86" s="38" t="s">
        <v>27</v>
      </c>
      <c r="B86" s="1" t="s">
        <v>27</v>
      </c>
      <c r="C86" s="1" t="s">
        <v>27</v>
      </c>
      <c r="D86" s="31"/>
      <c r="E86" s="31"/>
      <c r="F86" s="31"/>
      <c r="G86" s="31"/>
      <c r="H86" s="32"/>
      <c r="I86" s="38" t="s">
        <v>27</v>
      </c>
      <c r="J86" s="1" t="s">
        <v>27</v>
      </c>
      <c r="K86" s="1" t="s">
        <v>27</v>
      </c>
      <c r="L86" s="31"/>
      <c r="M86" s="31"/>
      <c r="N86" s="31"/>
      <c r="O86" s="31"/>
      <c r="P86" s="32"/>
    </row>
    <row r="87" spans="1:16">
      <c r="A87" s="38" t="s">
        <v>27</v>
      </c>
      <c r="B87" s="1" t="s">
        <v>27</v>
      </c>
      <c r="C87" s="1" t="s">
        <v>27</v>
      </c>
      <c r="D87" s="31"/>
      <c r="E87" s="31"/>
      <c r="F87" s="31"/>
      <c r="G87" s="31"/>
      <c r="H87" s="32"/>
      <c r="I87" s="38" t="s">
        <v>27</v>
      </c>
      <c r="J87" s="1" t="s">
        <v>27</v>
      </c>
      <c r="K87" s="1" t="s">
        <v>27</v>
      </c>
      <c r="L87" s="31"/>
      <c r="M87" s="31"/>
      <c r="N87" s="31"/>
      <c r="O87" s="31"/>
      <c r="P87" s="32"/>
    </row>
    <row r="88" spans="1:16">
      <c r="A88" s="38" t="s">
        <v>27</v>
      </c>
      <c r="B88" s="1" t="s">
        <v>27</v>
      </c>
      <c r="C88" s="1" t="s">
        <v>27</v>
      </c>
      <c r="D88" s="31"/>
      <c r="E88" s="31"/>
      <c r="F88" s="31"/>
      <c r="G88" s="31"/>
      <c r="H88" s="32"/>
      <c r="I88" s="38" t="s">
        <v>27</v>
      </c>
      <c r="J88" s="1" t="s">
        <v>27</v>
      </c>
      <c r="K88" s="1" t="s">
        <v>27</v>
      </c>
      <c r="L88" s="31"/>
      <c r="M88" s="31"/>
      <c r="N88" s="31"/>
      <c r="O88" s="31"/>
      <c r="P88" s="32"/>
    </row>
    <row r="89" spans="1:16">
      <c r="A89" s="38" t="s">
        <v>27</v>
      </c>
      <c r="B89" s="1" t="s">
        <v>27</v>
      </c>
      <c r="C89" s="1" t="s">
        <v>27</v>
      </c>
      <c r="D89" s="31"/>
      <c r="E89" s="31"/>
      <c r="F89" s="31"/>
      <c r="G89" s="31"/>
      <c r="H89" s="32"/>
      <c r="I89" s="38" t="s">
        <v>27</v>
      </c>
      <c r="J89" s="1" t="s">
        <v>27</v>
      </c>
      <c r="K89" s="1" t="s">
        <v>27</v>
      </c>
      <c r="L89" s="31"/>
      <c r="M89" s="31"/>
      <c r="N89" s="31"/>
      <c r="O89" s="31"/>
      <c r="P89" s="32"/>
    </row>
    <row r="90" spans="1:16">
      <c r="A90" s="38" t="s">
        <v>27</v>
      </c>
      <c r="B90" s="1" t="s">
        <v>27</v>
      </c>
      <c r="C90" s="1" t="s">
        <v>27</v>
      </c>
      <c r="D90" s="31"/>
      <c r="E90" s="31"/>
      <c r="F90" s="31"/>
      <c r="G90" s="31"/>
      <c r="H90" s="32"/>
      <c r="I90" s="38" t="s">
        <v>27</v>
      </c>
      <c r="J90" s="1" t="s">
        <v>27</v>
      </c>
      <c r="K90" s="1" t="s">
        <v>27</v>
      </c>
      <c r="L90" s="31"/>
      <c r="M90" s="31"/>
      <c r="N90" s="31"/>
      <c r="O90" s="31"/>
      <c r="P90" s="32"/>
    </row>
    <row r="91" spans="1:16">
      <c r="A91" s="38" t="s">
        <v>27</v>
      </c>
      <c r="B91" s="1" t="s">
        <v>27</v>
      </c>
      <c r="C91" s="1" t="s">
        <v>27</v>
      </c>
      <c r="D91" s="31"/>
      <c r="E91" s="31"/>
      <c r="F91" s="31"/>
      <c r="G91" s="31"/>
      <c r="H91" s="32"/>
      <c r="I91" s="38" t="s">
        <v>27</v>
      </c>
      <c r="J91" s="1" t="s">
        <v>27</v>
      </c>
      <c r="K91" s="1" t="s">
        <v>27</v>
      </c>
      <c r="L91" s="31"/>
      <c r="M91" s="31"/>
      <c r="N91" s="31"/>
      <c r="O91" s="31"/>
      <c r="P91" s="32"/>
    </row>
    <row r="92" spans="1:16">
      <c r="A92" s="38" t="s">
        <v>27</v>
      </c>
      <c r="B92" s="1" t="s">
        <v>27</v>
      </c>
      <c r="C92" s="1" t="s">
        <v>27</v>
      </c>
      <c r="D92" s="31"/>
      <c r="E92" s="31"/>
      <c r="F92" s="31"/>
      <c r="G92" s="31"/>
      <c r="H92" s="32"/>
      <c r="I92" s="38" t="s">
        <v>27</v>
      </c>
      <c r="J92" s="1" t="s">
        <v>27</v>
      </c>
      <c r="K92" s="1" t="s">
        <v>27</v>
      </c>
      <c r="L92" s="31"/>
      <c r="M92" s="31"/>
      <c r="N92" s="31"/>
      <c r="O92" s="31"/>
      <c r="P92" s="32"/>
    </row>
    <row r="93" spans="1:16">
      <c r="A93" s="38" t="s">
        <v>27</v>
      </c>
      <c r="B93" s="1" t="s">
        <v>27</v>
      </c>
      <c r="C93" s="1" t="s">
        <v>27</v>
      </c>
      <c r="D93" s="31"/>
      <c r="E93" s="31"/>
      <c r="F93" s="31"/>
      <c r="G93" s="31"/>
      <c r="H93" s="32"/>
      <c r="I93" s="38" t="s">
        <v>27</v>
      </c>
      <c r="J93" s="1" t="s">
        <v>27</v>
      </c>
      <c r="K93" s="1" t="s">
        <v>27</v>
      </c>
      <c r="L93" s="31"/>
      <c r="M93" s="31"/>
      <c r="N93" s="31"/>
      <c r="O93" s="31"/>
      <c r="P93" s="32"/>
    </row>
    <row r="94" spans="1:16">
      <c r="A94" s="38" t="s">
        <v>27</v>
      </c>
      <c r="B94" s="1" t="s">
        <v>27</v>
      </c>
      <c r="C94" s="1" t="s">
        <v>27</v>
      </c>
      <c r="D94" s="31"/>
      <c r="E94" s="31"/>
      <c r="F94" s="31"/>
      <c r="G94" s="31"/>
      <c r="H94" s="32"/>
      <c r="I94" s="38" t="s">
        <v>27</v>
      </c>
      <c r="J94" s="1" t="s">
        <v>27</v>
      </c>
      <c r="K94" s="1" t="s">
        <v>27</v>
      </c>
      <c r="L94" s="31"/>
      <c r="M94" s="31"/>
      <c r="N94" s="31"/>
      <c r="O94" s="31"/>
      <c r="P94" s="32"/>
    </row>
    <row r="95" spans="1:16">
      <c r="A95" s="38" t="s">
        <v>27</v>
      </c>
      <c r="B95" s="1" t="s">
        <v>27</v>
      </c>
      <c r="C95" s="1" t="s">
        <v>27</v>
      </c>
      <c r="D95" s="31"/>
      <c r="E95" s="31"/>
      <c r="F95" s="31"/>
      <c r="G95" s="31"/>
      <c r="H95" s="32"/>
      <c r="I95" s="38" t="s">
        <v>27</v>
      </c>
      <c r="J95" s="1" t="s">
        <v>27</v>
      </c>
      <c r="K95" s="1" t="s">
        <v>27</v>
      </c>
      <c r="L95" s="31"/>
      <c r="M95" s="31"/>
      <c r="N95" s="31"/>
      <c r="O95" s="31"/>
      <c r="P95" s="32"/>
    </row>
    <row r="96" spans="1:16">
      <c r="A96" s="38" t="s">
        <v>27</v>
      </c>
      <c r="B96" s="1" t="s">
        <v>27</v>
      </c>
      <c r="C96" s="1" t="s">
        <v>27</v>
      </c>
      <c r="D96" s="31"/>
      <c r="E96" s="31"/>
      <c r="F96" s="31"/>
      <c r="G96" s="31"/>
      <c r="H96" s="32"/>
      <c r="I96" s="38" t="s">
        <v>27</v>
      </c>
      <c r="J96" s="1" t="s">
        <v>27</v>
      </c>
      <c r="K96" s="1" t="s">
        <v>27</v>
      </c>
      <c r="L96" s="31"/>
      <c r="M96" s="31"/>
      <c r="N96" s="31"/>
      <c r="O96" s="31"/>
      <c r="P96" s="32"/>
    </row>
    <row r="97" spans="1:16">
      <c r="A97" s="38" t="s">
        <v>27</v>
      </c>
      <c r="B97" s="1" t="s">
        <v>27</v>
      </c>
      <c r="C97" s="1" t="s">
        <v>27</v>
      </c>
      <c r="D97" s="31"/>
      <c r="E97" s="31"/>
      <c r="F97" s="31"/>
      <c r="G97" s="31"/>
      <c r="H97" s="32"/>
      <c r="I97" s="38" t="s">
        <v>27</v>
      </c>
      <c r="J97" s="1" t="s">
        <v>27</v>
      </c>
      <c r="K97" s="1" t="s">
        <v>27</v>
      </c>
      <c r="L97" s="31"/>
      <c r="M97" s="31"/>
      <c r="N97" s="31"/>
      <c r="O97" s="31"/>
      <c r="P97" s="32"/>
    </row>
    <row r="98" spans="1:16">
      <c r="A98" s="38" t="s">
        <v>27</v>
      </c>
      <c r="B98" s="1" t="s">
        <v>27</v>
      </c>
      <c r="C98" s="1" t="s">
        <v>27</v>
      </c>
      <c r="D98" s="31"/>
      <c r="E98" s="31"/>
      <c r="F98" s="31"/>
      <c r="G98" s="31"/>
      <c r="H98" s="32"/>
      <c r="I98" s="38" t="s">
        <v>27</v>
      </c>
      <c r="J98" s="1" t="s">
        <v>27</v>
      </c>
      <c r="K98" s="1" t="s">
        <v>27</v>
      </c>
      <c r="L98" s="31"/>
      <c r="M98" s="31"/>
      <c r="N98" s="31"/>
      <c r="O98" s="31"/>
      <c r="P98" s="32"/>
    </row>
    <row r="99" spans="1:16">
      <c r="A99" s="38" t="s">
        <v>27</v>
      </c>
      <c r="B99" s="1" t="s">
        <v>27</v>
      </c>
      <c r="C99" s="1" t="s">
        <v>27</v>
      </c>
      <c r="D99" s="31"/>
      <c r="E99" s="31"/>
      <c r="F99" s="31"/>
      <c r="G99" s="31"/>
      <c r="H99" s="32"/>
      <c r="I99" s="38" t="s">
        <v>27</v>
      </c>
      <c r="J99" s="1" t="s">
        <v>27</v>
      </c>
      <c r="K99" s="1" t="s">
        <v>27</v>
      </c>
      <c r="L99" s="31"/>
      <c r="M99" s="31"/>
      <c r="N99" s="31"/>
      <c r="O99" s="31"/>
      <c r="P99" s="32"/>
    </row>
    <row r="100" spans="1:16" ht="15" thickBot="1">
      <c r="A100" s="39" t="s">
        <v>27</v>
      </c>
      <c r="B100" s="40" t="s">
        <v>27</v>
      </c>
      <c r="C100" s="40" t="s">
        <v>27</v>
      </c>
      <c r="D100" s="41"/>
      <c r="E100" s="41"/>
      <c r="F100" s="41"/>
      <c r="G100" s="41"/>
      <c r="H100" s="42"/>
      <c r="I100" s="39" t="s">
        <v>27</v>
      </c>
      <c r="J100" s="40" t="s">
        <v>27</v>
      </c>
      <c r="K100" s="40" t="s">
        <v>27</v>
      </c>
      <c r="L100" s="41"/>
      <c r="M100" s="41"/>
      <c r="N100" s="41"/>
      <c r="O100" s="41"/>
      <c r="P100" s="42"/>
    </row>
  </sheetData>
  <mergeCells count="8">
    <mergeCell ref="A2:C2"/>
    <mergeCell ref="A1:E1"/>
    <mergeCell ref="F1:G1"/>
    <mergeCell ref="Q1:AB1"/>
    <mergeCell ref="I2:K2"/>
    <mergeCell ref="D2:H2"/>
    <mergeCell ref="L2:P2"/>
    <mergeCell ref="I1:P1"/>
  </mergeCells>
  <phoneticPr fontId="9" type="noConversion"/>
  <pageMargins left="0.7" right="0.7" top="0.75" bottom="0.75" header="0.3" footer="0.3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5F6D-B013-41B4-95AB-8A095EAA2BAA}">
  <dimension ref="A1:D4"/>
  <sheetViews>
    <sheetView workbookViewId="0">
      <selection activeCell="D8" sqref="D8"/>
    </sheetView>
  </sheetViews>
  <sheetFormatPr defaultRowHeight="14.4"/>
  <sheetData>
    <row r="1" spans="1:4">
      <c r="B1" t="s">
        <v>68</v>
      </c>
      <c r="C1" t="s">
        <v>69</v>
      </c>
    </row>
    <row r="2" spans="1:4">
      <c r="A2" t="s">
        <v>66</v>
      </c>
      <c r="B2">
        <v>18890</v>
      </c>
      <c r="C2">
        <v>18300</v>
      </c>
      <c r="D2">
        <f>B2-C2</f>
        <v>590</v>
      </c>
    </row>
    <row r="3" spans="1:4">
      <c r="A3" t="s">
        <v>67</v>
      </c>
      <c r="B3">
        <v>6630</v>
      </c>
      <c r="C3">
        <v>6440</v>
      </c>
      <c r="D3">
        <f>B3-C3</f>
        <v>190</v>
      </c>
    </row>
    <row r="4" spans="1:4">
      <c r="D4">
        <f>D3/D2</f>
        <v>0.32203389830508472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test1</vt:lpstr>
      <vt:lpstr>test2</vt:lpstr>
      <vt:lpstr>8.0.0</vt:lpstr>
      <vt:lpstr>test4</vt:lpstr>
      <vt:lpstr>test4.1</vt:lpstr>
      <vt:lpstr>test4.2</vt:lpstr>
      <vt:lpstr>test4.3</vt:lpstr>
      <vt:lpstr>test4.4</vt:lpstr>
      <vt:lpstr>test4.4 (2)</vt:lpstr>
      <vt:lpstr>yifang</vt:lpstr>
      <vt:lpstr>test4.5</vt:lpstr>
      <vt:lpstr>test4.6</vt:lpstr>
      <vt:lpstr>S7.08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2022-03-21T23:53:23Z</dcterms:created>
  <dcterms:modified xsi:type="dcterms:W3CDTF">2022-09-15T08:39:23Z</dcterms:modified>
</cp:coreProperties>
</file>