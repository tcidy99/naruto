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tility\naruto\远征S15\"/>
    </mc:Choice>
  </mc:AlternateContent>
  <xr:revisionPtr revIDLastSave="0" documentId="8_{64E26CA1-ABBD-4E9D-86FF-971C17747A21}" xr6:coauthVersionLast="47" xr6:coauthVersionMax="47" xr10:uidLastSave="{00000000-0000-0000-0000-000000000000}"/>
  <bookViews>
    <workbookView xWindow="-28920" yWindow="-120" windowWidth="29040" windowHeight="15840" tabRatio="934" xr2:uid="{00000000-000D-0000-FFFF-FFFF00000000}"/>
  </bookViews>
  <sheets>
    <sheet name="一原" sheetId="54" r:id="rId1"/>
    <sheet name="二" sheetId="5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7" i="54" l="1"/>
  <c r="X5" i="54"/>
  <c r="Y5" i="54"/>
  <c r="X72" i="54"/>
  <c r="X58" i="54"/>
  <c r="X25" i="54"/>
  <c r="Z73" i="55"/>
  <c r="Y73" i="55"/>
  <c r="Y72" i="55"/>
  <c r="X72" i="55"/>
  <c r="Y71" i="55"/>
  <c r="X71" i="55"/>
  <c r="Z70" i="55"/>
  <c r="Y70" i="55"/>
  <c r="X70" i="55"/>
  <c r="Y69" i="55"/>
  <c r="X69" i="55"/>
  <c r="Y68" i="55"/>
  <c r="X68" i="55"/>
  <c r="AC67" i="55"/>
  <c r="Z67" i="55"/>
  <c r="Y67" i="55"/>
  <c r="X67" i="55"/>
  <c r="Z66" i="55"/>
  <c r="Y66" i="55"/>
  <c r="X66" i="55"/>
  <c r="Z65" i="55"/>
  <c r="Y65" i="55"/>
  <c r="X65" i="55"/>
  <c r="Z64" i="55"/>
  <c r="Y64" i="55"/>
  <c r="X64" i="55"/>
  <c r="Z63" i="55"/>
  <c r="Y63" i="55"/>
  <c r="X63" i="55"/>
  <c r="Z62" i="55"/>
  <c r="Y62" i="55"/>
  <c r="X62" i="55"/>
  <c r="AC61" i="55"/>
  <c r="Z61" i="55"/>
  <c r="Y61" i="55"/>
  <c r="X61" i="55"/>
  <c r="Z60" i="55"/>
  <c r="Y60" i="55"/>
  <c r="X60" i="55"/>
  <c r="Z59" i="55"/>
  <c r="Y59" i="55"/>
  <c r="X59" i="55"/>
  <c r="Z58" i="55"/>
  <c r="Y58" i="55"/>
  <c r="X58" i="55"/>
  <c r="Z55" i="55"/>
  <c r="Y55" i="55"/>
  <c r="Y54" i="55"/>
  <c r="X54" i="55"/>
  <c r="Z53" i="55"/>
  <c r="Y53" i="55"/>
  <c r="X53" i="55"/>
  <c r="AM52" i="55"/>
  <c r="Z52" i="55"/>
  <c r="Y52" i="55"/>
  <c r="X52" i="55"/>
  <c r="AM51" i="55"/>
  <c r="Z51" i="55"/>
  <c r="Y51" i="55"/>
  <c r="X51" i="55"/>
  <c r="AM50" i="55"/>
  <c r="Y50" i="55"/>
  <c r="X50" i="55"/>
  <c r="AM49" i="55"/>
  <c r="Y49" i="55"/>
  <c r="X49" i="55"/>
  <c r="AM48" i="55"/>
  <c r="Z48" i="55"/>
  <c r="Y48" i="55"/>
  <c r="X48" i="55"/>
  <c r="AM47" i="55"/>
  <c r="Z47" i="55"/>
  <c r="Y47" i="55"/>
  <c r="X47" i="55"/>
  <c r="X45" i="55"/>
  <c r="Z44" i="55"/>
  <c r="Y44" i="55"/>
  <c r="X44" i="55"/>
  <c r="Y43" i="55"/>
  <c r="X43" i="55"/>
  <c r="Y42" i="55"/>
  <c r="X42" i="55"/>
  <c r="Z41" i="55"/>
  <c r="Y41" i="55"/>
  <c r="X41" i="55"/>
  <c r="Y40" i="55"/>
  <c r="X40" i="55"/>
  <c r="Z39" i="55"/>
  <c r="Y39" i="55"/>
  <c r="X39" i="55"/>
  <c r="Z38" i="55"/>
  <c r="Y38" i="55"/>
  <c r="X38" i="55"/>
  <c r="Z37" i="55"/>
  <c r="Y37" i="55"/>
  <c r="X37" i="55"/>
  <c r="Z36" i="55"/>
  <c r="Y36" i="55"/>
  <c r="X36" i="55"/>
  <c r="Z35" i="55"/>
  <c r="Y35" i="55"/>
  <c r="X35" i="55"/>
  <c r="X33" i="55"/>
  <c r="Z32" i="55"/>
  <c r="Y32" i="55"/>
  <c r="X32" i="55"/>
  <c r="Y31" i="55"/>
  <c r="X31" i="55"/>
  <c r="Z30" i="55"/>
  <c r="Y30" i="55"/>
  <c r="X30" i="55"/>
  <c r="Y29" i="55"/>
  <c r="X29" i="55"/>
  <c r="Z28" i="55"/>
  <c r="Y28" i="55"/>
  <c r="X28" i="55"/>
  <c r="Z27" i="55"/>
  <c r="Y27" i="55"/>
  <c r="X27" i="55"/>
  <c r="Z26" i="55"/>
  <c r="Y26" i="55"/>
  <c r="X26" i="55"/>
  <c r="Z25" i="55"/>
  <c r="Y25" i="55"/>
  <c r="X25" i="55"/>
  <c r="X23" i="55"/>
  <c r="Z22" i="55"/>
  <c r="Y22" i="55"/>
  <c r="X22" i="55"/>
  <c r="X21" i="55"/>
  <c r="Y20" i="55"/>
  <c r="X20" i="55"/>
  <c r="Y19" i="55"/>
  <c r="X19" i="55"/>
  <c r="Z18" i="55"/>
  <c r="Y18" i="55"/>
  <c r="X18" i="55"/>
  <c r="Z17" i="55"/>
  <c r="Y17" i="55"/>
  <c r="X17" i="55"/>
  <c r="Z16" i="55"/>
  <c r="Y16" i="55"/>
  <c r="X16" i="55"/>
  <c r="Z15" i="55"/>
  <c r="Y15" i="55"/>
  <c r="X15" i="55"/>
  <c r="Z14" i="55"/>
  <c r="Y14" i="55"/>
  <c r="X14" i="55"/>
  <c r="X12" i="55"/>
  <c r="Z11" i="55"/>
  <c r="Y11" i="55"/>
  <c r="X11" i="55"/>
  <c r="X10" i="55"/>
  <c r="Z9" i="55"/>
  <c r="Y9" i="55"/>
  <c r="X9" i="55"/>
  <c r="Z8" i="55"/>
  <c r="Y8" i="55"/>
  <c r="X8" i="55"/>
  <c r="Y7" i="55"/>
  <c r="X7" i="55"/>
  <c r="Z6" i="55"/>
  <c r="Y6" i="55"/>
  <c r="X6" i="55"/>
  <c r="Z5" i="55"/>
  <c r="Y5" i="55"/>
  <c r="X5" i="55"/>
  <c r="Q2" i="55"/>
  <c r="Q1" i="55"/>
  <c r="Y72" i="54"/>
  <c r="Y71" i="54"/>
  <c r="X71" i="54"/>
  <c r="Z70" i="54"/>
  <c r="Y70" i="54"/>
  <c r="X70" i="54"/>
  <c r="Y69" i="54"/>
  <c r="X69" i="54"/>
  <c r="Y68" i="54"/>
  <c r="X68" i="54"/>
  <c r="Z67" i="54"/>
  <c r="Y67" i="54"/>
  <c r="X67" i="54"/>
  <c r="Z66" i="54"/>
  <c r="Y66" i="54"/>
  <c r="X66" i="54"/>
  <c r="Z65" i="54"/>
  <c r="Y65" i="54"/>
  <c r="X65" i="54"/>
  <c r="Z64" i="54"/>
  <c r="Y64" i="54"/>
  <c r="X64" i="54"/>
  <c r="Z63" i="54"/>
  <c r="Y63" i="54"/>
  <c r="X63" i="54"/>
  <c r="Z62" i="54"/>
  <c r="Y62" i="54"/>
  <c r="X62" i="54"/>
  <c r="Z61" i="54"/>
  <c r="Y61" i="54"/>
  <c r="X61" i="54"/>
  <c r="Z60" i="54"/>
  <c r="Y60" i="54"/>
  <c r="X60" i="54"/>
  <c r="Z59" i="54"/>
  <c r="Y59" i="54"/>
  <c r="X59" i="54"/>
  <c r="Z58" i="54"/>
  <c r="Z73" i="54" s="1"/>
  <c r="AC67" i="54" s="1"/>
  <c r="Y58" i="54"/>
  <c r="Z55" i="54"/>
  <c r="Y55" i="54"/>
  <c r="Y54" i="54"/>
  <c r="X54" i="54"/>
  <c r="Z53" i="54"/>
  <c r="Y53" i="54"/>
  <c r="X53" i="54"/>
  <c r="AM52" i="54"/>
  <c r="Z52" i="54"/>
  <c r="Y52" i="54"/>
  <c r="X52" i="54"/>
  <c r="AM51" i="54"/>
  <c r="Z51" i="54"/>
  <c r="Y51" i="54"/>
  <c r="X51" i="54"/>
  <c r="AM50" i="54"/>
  <c r="Y50" i="54"/>
  <c r="X50" i="54"/>
  <c r="AM49" i="54"/>
  <c r="Y49" i="54"/>
  <c r="X49" i="54"/>
  <c r="AM48" i="54"/>
  <c r="Z48" i="54"/>
  <c r="Y48" i="54"/>
  <c r="X48" i="54"/>
  <c r="AM47" i="54"/>
  <c r="Z47" i="54"/>
  <c r="Y47" i="54"/>
  <c r="X45" i="54"/>
  <c r="Z44" i="54"/>
  <c r="Y44" i="54"/>
  <c r="X44" i="54"/>
  <c r="Y43" i="54"/>
  <c r="X43" i="54"/>
  <c r="Y42" i="54"/>
  <c r="X42" i="54"/>
  <c r="Z41" i="54"/>
  <c r="Y41" i="54"/>
  <c r="X41" i="54"/>
  <c r="Y40" i="54"/>
  <c r="X40" i="54"/>
  <c r="Z39" i="54"/>
  <c r="Y39" i="54"/>
  <c r="X39" i="54"/>
  <c r="Z38" i="54"/>
  <c r="Y38" i="54"/>
  <c r="X38" i="54"/>
  <c r="Z37" i="54"/>
  <c r="Y37" i="54"/>
  <c r="X37" i="54"/>
  <c r="Z36" i="54"/>
  <c r="Y36" i="54"/>
  <c r="X36" i="54"/>
  <c r="Z35" i="54"/>
  <c r="Y35" i="54"/>
  <c r="X35" i="54"/>
  <c r="X33" i="54"/>
  <c r="Z32" i="54"/>
  <c r="Y32" i="54"/>
  <c r="X32" i="54"/>
  <c r="Y31" i="54"/>
  <c r="X31" i="54"/>
  <c r="Z30" i="54"/>
  <c r="Y30" i="54"/>
  <c r="X30" i="54"/>
  <c r="Y29" i="54"/>
  <c r="X29" i="54"/>
  <c r="Z28" i="54"/>
  <c r="Y28" i="54"/>
  <c r="X28" i="54"/>
  <c r="Z27" i="54"/>
  <c r="Y27" i="54"/>
  <c r="X27" i="54"/>
  <c r="Z26" i="54"/>
  <c r="Y26" i="54"/>
  <c r="X26" i="54"/>
  <c r="Z25" i="54"/>
  <c r="Y25" i="54"/>
  <c r="X23" i="54"/>
  <c r="Z22" i="54"/>
  <c r="Y22" i="54"/>
  <c r="X22" i="54"/>
  <c r="X21" i="54"/>
  <c r="Y20" i="54"/>
  <c r="X20" i="54"/>
  <c r="Y19" i="54"/>
  <c r="X19" i="54"/>
  <c r="Z18" i="54"/>
  <c r="Y18" i="54"/>
  <c r="X18" i="54"/>
  <c r="Z17" i="54"/>
  <c r="Y17" i="54"/>
  <c r="X17" i="54"/>
  <c r="Z16" i="54"/>
  <c r="Y16" i="54"/>
  <c r="X16" i="54"/>
  <c r="Z15" i="54"/>
  <c r="Y15" i="54"/>
  <c r="X15" i="54"/>
  <c r="Z14" i="54"/>
  <c r="Y14" i="54"/>
  <c r="X14" i="54"/>
  <c r="X12" i="54"/>
  <c r="Z11" i="54"/>
  <c r="Y11" i="54"/>
  <c r="X11" i="54"/>
  <c r="Y10" i="54"/>
  <c r="X10" i="54"/>
  <c r="Z9" i="54"/>
  <c r="Y9" i="54"/>
  <c r="X9" i="54"/>
  <c r="Z8" i="54"/>
  <c r="Y8" i="54"/>
  <c r="X8" i="54"/>
  <c r="Y7" i="54"/>
  <c r="X7" i="54"/>
  <c r="Z6" i="54"/>
  <c r="Y6" i="54"/>
  <c r="X6" i="54"/>
  <c r="Z5" i="54"/>
  <c r="Q2" i="54"/>
  <c r="Q1" i="54"/>
  <c r="Y73" i="54" l="1"/>
  <c r="AC61" i="54" s="1"/>
</calcChain>
</file>

<file path=xl/sharedStrings.xml><?xml version="1.0" encoding="utf-8"?>
<sst xmlns="http://schemas.openxmlformats.org/spreadsheetml/2006/main" count="880" uniqueCount="55">
  <si>
    <t>天数</t>
  </si>
  <si>
    <t>试炼场</t>
  </si>
  <si>
    <t>6级地</t>
  </si>
  <si>
    <t>总粮草</t>
  </si>
  <si>
    <t>5级地</t>
  </si>
  <si>
    <t>左</t>
  </si>
  <si>
    <t>中</t>
  </si>
  <si>
    <t>右</t>
  </si>
  <si>
    <t>右中</t>
  </si>
  <si>
    <t>右下</t>
  </si>
  <si>
    <t>右上</t>
  </si>
  <si>
    <t>4级地</t>
  </si>
  <si>
    <t>6级</t>
  </si>
  <si>
    <t>数量</t>
  </si>
  <si>
    <t>消耗</t>
  </si>
  <si>
    <t>总消耗</t>
  </si>
  <si>
    <t>远征经验</t>
  </si>
  <si>
    <t>3级地</t>
  </si>
  <si>
    <t>2级地</t>
  </si>
  <si>
    <t>大领主</t>
  </si>
  <si>
    <t>1级地</t>
  </si>
  <si>
    <t>营地</t>
  </si>
  <si>
    <t>商人</t>
  </si>
  <si>
    <t>中大首领</t>
  </si>
  <si>
    <t>小首领</t>
  </si>
  <si>
    <t>跳步</t>
  </si>
  <si>
    <t>历练地</t>
  </si>
  <si>
    <t>中首领</t>
  </si>
  <si>
    <t>左5级</t>
  </si>
  <si>
    <t>右5级</t>
  </si>
  <si>
    <t>黑箱子</t>
  </si>
  <si>
    <t>左4级</t>
  </si>
  <si>
    <t>中4级</t>
  </si>
  <si>
    <t>右4级</t>
  </si>
  <si>
    <t>瞭望塔</t>
  </si>
  <si>
    <t>徽章</t>
  </si>
  <si>
    <t>左3级</t>
  </si>
  <si>
    <t>中3级</t>
  </si>
  <si>
    <t>右3级</t>
  </si>
  <si>
    <t>跨地块</t>
  </si>
  <si>
    <t>收尾</t>
  </si>
  <si>
    <t>左2级</t>
  </si>
  <si>
    <t>中2级</t>
  </si>
  <si>
    <t>右2级</t>
  </si>
  <si>
    <t>2级瞭望塔</t>
  </si>
  <si>
    <t>飞雷神</t>
  </si>
  <si>
    <t>拿粮草徽章步数</t>
  </si>
  <si>
    <t>左下</t>
  </si>
  <si>
    <t>剩余粮草</t>
  </si>
  <si>
    <t>2级试练场</t>
  </si>
  <si>
    <t>3级地徽章</t>
  </si>
  <si>
    <t>现积分</t>
  </si>
  <si>
    <t>3级试练场</t>
  </si>
  <si>
    <t>预计积分</t>
  </si>
  <si>
    <t>传送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</si>
</sst>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_ "/>
  </numFmts>
  <fonts count="9">
    <font>
      <sz val="11"/>
      <color theme="1"/>
      <name val="Calibri"/>
      <charset val="134"/>
      <scheme val="minor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11"/>
      <color rgb="FFFF0000"/>
      <name val="等线"/>
      <charset val="134"/>
    </font>
    <font>
      <sz val="11"/>
      <name val="等线"/>
      <charset val="134"/>
    </font>
    <font>
      <b/>
      <sz val="18"/>
      <color theme="1"/>
      <name val="等线"/>
      <charset val="134"/>
    </font>
    <font>
      <b/>
      <sz val="11"/>
      <color rgb="FFFF0000"/>
      <name val="等线"/>
      <charset val="134"/>
    </font>
    <font>
      <sz val="11"/>
      <color rgb="FFFF0000"/>
      <name val="Calibri"/>
      <charset val="134"/>
      <scheme val="minor"/>
    </font>
    <font>
      <b/>
      <sz val="11"/>
      <name val="等线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0" fillId="0" borderId="0" xfId="0" applyFill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2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1" fillId="3" borderId="1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6" fillId="0" borderId="1" xfId="0" applyFont="1" applyBorder="1">
      <alignment vertical="center"/>
    </xf>
    <xf numFmtId="0" fontId="6" fillId="4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4" fillId="0" borderId="0" xfId="0" applyFont="1">
      <alignment vertical="center"/>
    </xf>
    <xf numFmtId="0" fontId="4" fillId="0" borderId="1" xfId="0" applyFont="1" applyFill="1" applyBorder="1">
      <alignment vertical="center"/>
    </xf>
    <xf numFmtId="0" fontId="4" fillId="4" borderId="1" xfId="0" applyFont="1" applyFill="1" applyBorder="1">
      <alignment vertical="center"/>
    </xf>
    <xf numFmtId="0" fontId="2" fillId="0" borderId="0" xfId="0" applyFont="1" applyFill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0" borderId="6" xfId="0" applyFont="1" applyBorder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7" fillId="0" borderId="0" xfId="0" applyFont="1" applyFill="1">
      <alignment vertical="center"/>
    </xf>
    <xf numFmtId="0" fontId="1" fillId="0" borderId="0" xfId="0" applyFont="1" applyBorder="1">
      <alignment vertical="center"/>
    </xf>
    <xf numFmtId="0" fontId="4" fillId="0" borderId="0" xfId="0" applyFont="1" applyFill="1" applyBorder="1">
      <alignment vertical="center"/>
    </xf>
    <xf numFmtId="0" fontId="2" fillId="2" borderId="0" xfId="0" applyFont="1" applyFill="1" applyBorder="1">
      <alignment vertical="center"/>
    </xf>
    <xf numFmtId="0" fontId="1" fillId="0" borderId="7" xfId="0" applyFont="1" applyFill="1" applyBorder="1">
      <alignment vertical="center"/>
    </xf>
    <xf numFmtId="0" fontId="4" fillId="0" borderId="7" xfId="0" applyFont="1" applyFill="1" applyBorder="1">
      <alignment vertical="center"/>
    </xf>
    <xf numFmtId="168" fontId="6" fillId="5" borderId="0" xfId="0" applyNumberFormat="1" applyFont="1" applyFill="1">
      <alignment vertical="center"/>
    </xf>
    <xf numFmtId="0" fontId="1" fillId="3" borderId="0" xfId="0" applyFont="1" applyFill="1">
      <alignment vertical="center"/>
    </xf>
    <xf numFmtId="0" fontId="4" fillId="0" borderId="0" xfId="0" applyFont="1" applyBorder="1">
      <alignment vertical="center"/>
    </xf>
    <xf numFmtId="0" fontId="1" fillId="0" borderId="0" xfId="0" applyFont="1" applyFill="1">
      <alignment vertical="center"/>
    </xf>
    <xf numFmtId="0" fontId="6" fillId="2" borderId="0" xfId="0" applyFont="1" applyFill="1">
      <alignment vertical="center"/>
    </xf>
    <xf numFmtId="0" fontId="6" fillId="0" borderId="0" xfId="0" applyFont="1">
      <alignment vertical="center"/>
    </xf>
    <xf numFmtId="0" fontId="6" fillId="0" borderId="0" xfId="0" applyFont="1" applyFill="1">
      <alignment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1" fillId="0" borderId="0" xfId="0" applyFont="1" applyFill="1" applyAlignment="1">
      <alignment horizontal="right" vertical="center"/>
    </xf>
    <xf numFmtId="0" fontId="4" fillId="0" borderId="0" xfId="0" applyFont="1" applyFill="1" applyAlignment="1">
      <alignment horizontal="right" vertical="center"/>
    </xf>
    <xf numFmtId="0" fontId="3" fillId="0" borderId="0" xfId="0" applyFont="1" applyFill="1">
      <alignment vertical="center"/>
    </xf>
    <xf numFmtId="0" fontId="8" fillId="0" borderId="0" xfId="0" applyFont="1" applyFill="1">
      <alignment vertical="center"/>
    </xf>
    <xf numFmtId="0" fontId="4" fillId="5" borderId="0" xfId="0" applyFont="1" applyFill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M73"/>
  <sheetViews>
    <sheetView tabSelected="1" zoomScaleNormal="100" workbookViewId="0">
      <pane ySplit="3" topLeftCell="A39" activePane="bottomLeft" state="frozen"/>
      <selection pane="bottomLeft" activeCell="AC53" sqref="AC53"/>
    </sheetView>
  </sheetViews>
  <sheetFormatPr defaultColWidth="9" defaultRowHeight="14.25"/>
  <cols>
    <col min="1" max="3" width="9.140625" style="1" customWidth="1"/>
    <col min="4" max="4" width="4.28515625" style="1" customWidth="1"/>
    <col min="5" max="7" width="9.140625" style="1" customWidth="1"/>
    <col min="8" max="8" width="4.5703125" style="1" customWidth="1"/>
    <col min="9" max="11" width="9.140625" style="1" customWidth="1"/>
    <col min="12" max="12" width="4.42578125" style="1" customWidth="1"/>
    <col min="13" max="19" width="9.140625" style="1" customWidth="1"/>
    <col min="20" max="20" width="4" style="1" customWidth="1"/>
    <col min="21" max="23" width="9.140625" style="1" customWidth="1"/>
    <col min="24" max="24" width="5.85546875" style="1" customWidth="1"/>
    <col min="25" max="25" width="10.42578125" style="1" customWidth="1"/>
    <col min="26" max="26" width="10.42578125" style="8" customWidth="1"/>
    <col min="27" max="27" width="11.85546875" style="1" hidden="1" customWidth="1"/>
    <col min="28" max="28" width="9" style="1"/>
    <col min="29" max="29" width="10" style="1" customWidth="1"/>
    <col min="30" max="30" width="9.42578125" style="1" customWidth="1"/>
    <col min="31" max="32" width="9" style="1"/>
    <col min="33" max="33" width="9.42578125" style="1" customWidth="1"/>
    <col min="34" max="16384" width="9" style="1"/>
  </cols>
  <sheetData>
    <row r="1" spans="1:30">
      <c r="O1" s="1" t="s">
        <v>0</v>
      </c>
      <c r="P1" s="1">
        <v>89</v>
      </c>
      <c r="Q1" s="1">
        <f>P1*1600</f>
        <v>142400</v>
      </c>
      <c r="AB1" s="1" t="s">
        <v>1</v>
      </c>
      <c r="AC1" s="1" t="s">
        <v>2</v>
      </c>
      <c r="AD1" s="1">
        <v>60</v>
      </c>
    </row>
    <row r="2" spans="1:30">
      <c r="P2" s="1" t="s">
        <v>3</v>
      </c>
      <c r="Q2" s="34">
        <f>Q1+800+6000</f>
        <v>149200</v>
      </c>
      <c r="AC2" s="1" t="s">
        <v>4</v>
      </c>
      <c r="AD2" s="1">
        <v>55</v>
      </c>
    </row>
    <row r="3" spans="1:30" ht="23.25">
      <c r="A3" s="50" t="s">
        <v>5</v>
      </c>
      <c r="B3" s="50"/>
      <c r="C3" s="50"/>
      <c r="D3" s="9"/>
      <c r="E3" s="50" t="s">
        <v>6</v>
      </c>
      <c r="F3" s="50"/>
      <c r="G3" s="50"/>
      <c r="H3" s="9"/>
      <c r="I3" s="50" t="s">
        <v>7</v>
      </c>
      <c r="J3" s="50"/>
      <c r="K3" s="50"/>
      <c r="L3" s="9"/>
      <c r="M3" s="50" t="s">
        <v>8</v>
      </c>
      <c r="N3" s="50"/>
      <c r="O3" s="50"/>
      <c r="P3" s="9"/>
      <c r="Q3" s="50" t="s">
        <v>9</v>
      </c>
      <c r="R3" s="50"/>
      <c r="S3" s="50"/>
      <c r="T3" s="9"/>
      <c r="U3" s="50" t="s">
        <v>10</v>
      </c>
      <c r="V3" s="50"/>
      <c r="W3" s="50"/>
      <c r="AC3" s="1" t="s">
        <v>11</v>
      </c>
      <c r="AD3" s="1">
        <v>50</v>
      </c>
    </row>
    <row r="4" spans="1:30">
      <c r="A4" s="10" t="s">
        <v>12</v>
      </c>
      <c r="B4" s="10" t="s">
        <v>13</v>
      </c>
      <c r="C4" s="10" t="s">
        <v>14</v>
      </c>
      <c r="E4" s="10" t="s">
        <v>12</v>
      </c>
      <c r="F4" s="10" t="s">
        <v>13</v>
      </c>
      <c r="G4" s="10" t="s">
        <v>14</v>
      </c>
      <c r="I4" s="10" t="s">
        <v>12</v>
      </c>
      <c r="J4" s="10" t="s">
        <v>13</v>
      </c>
      <c r="K4" s="10" t="s">
        <v>14</v>
      </c>
      <c r="M4" s="10" t="s">
        <v>12</v>
      </c>
      <c r="N4" s="10" t="s">
        <v>13</v>
      </c>
      <c r="O4" s="10" t="s">
        <v>14</v>
      </c>
      <c r="Q4" s="10" t="s">
        <v>12</v>
      </c>
      <c r="R4" s="10" t="s">
        <v>13</v>
      </c>
      <c r="S4" s="10" t="s">
        <v>14</v>
      </c>
      <c r="U4" s="10" t="s">
        <v>12</v>
      </c>
      <c r="V4" s="10" t="s">
        <v>13</v>
      </c>
      <c r="W4" s="10" t="s">
        <v>14</v>
      </c>
      <c r="Y4" s="1" t="s">
        <v>15</v>
      </c>
      <c r="Z4" s="8" t="s">
        <v>16</v>
      </c>
      <c r="AC4" s="1" t="s">
        <v>17</v>
      </c>
      <c r="AD4" s="1">
        <v>45</v>
      </c>
    </row>
    <row r="5" spans="1:30">
      <c r="A5" s="11" t="s">
        <v>2</v>
      </c>
      <c r="B5" s="11">
        <v>64</v>
      </c>
      <c r="C5" s="11">
        <v>-160</v>
      </c>
      <c r="E5" s="11" t="s">
        <v>2</v>
      </c>
      <c r="F5" s="11">
        <v>52</v>
      </c>
      <c r="G5" s="11">
        <v>-160</v>
      </c>
      <c r="I5" s="11" t="s">
        <v>2</v>
      </c>
      <c r="J5" s="11">
        <v>41</v>
      </c>
      <c r="K5" s="11">
        <v>-160</v>
      </c>
      <c r="M5" s="11" t="s">
        <v>2</v>
      </c>
      <c r="N5" s="11">
        <v>34</v>
      </c>
      <c r="O5" s="11">
        <v>-160</v>
      </c>
      <c r="Q5" s="11" t="s">
        <v>2</v>
      </c>
      <c r="R5" s="11"/>
      <c r="S5" s="11">
        <v>-160</v>
      </c>
      <c r="U5" s="11" t="s">
        <v>2</v>
      </c>
      <c r="V5" s="11"/>
      <c r="W5" s="11">
        <v>-160</v>
      </c>
      <c r="X5" s="1">
        <f>B5+F5+J5+N5+R5+V5</f>
        <v>191</v>
      </c>
      <c r="Y5" s="1">
        <f>(B5+F5+J5+N5+R5+V5)*W5</f>
        <v>-30560</v>
      </c>
      <c r="Z5" s="8">
        <f>(B5+F5+J5+N5+R5+V5)*AD1</f>
        <v>11460</v>
      </c>
      <c r="AC5" s="1" t="s">
        <v>18</v>
      </c>
      <c r="AD5" s="1">
        <v>40</v>
      </c>
    </row>
    <row r="6" spans="1:30">
      <c r="A6" s="11" t="s">
        <v>19</v>
      </c>
      <c r="B6" s="11"/>
      <c r="C6" s="11">
        <v>-200</v>
      </c>
      <c r="E6" s="11" t="s">
        <v>19</v>
      </c>
      <c r="F6" s="11">
        <v>1</v>
      </c>
      <c r="G6" s="11">
        <v>-200</v>
      </c>
      <c r="I6" s="11" t="s">
        <v>19</v>
      </c>
      <c r="J6" s="11"/>
      <c r="K6" s="11">
        <v>-200</v>
      </c>
      <c r="M6" s="11" t="s">
        <v>19</v>
      </c>
      <c r="N6" s="11">
        <v>1</v>
      </c>
      <c r="O6" s="11">
        <v>-200</v>
      </c>
      <c r="Q6" s="11" t="s">
        <v>19</v>
      </c>
      <c r="R6" s="11"/>
      <c r="S6" s="11">
        <v>-200</v>
      </c>
      <c r="U6" s="11" t="s">
        <v>19</v>
      </c>
      <c r="V6" s="11"/>
      <c r="W6" s="11">
        <v>-200</v>
      </c>
      <c r="X6" s="1">
        <f t="shared" ref="X5:X12" si="0">B6+F6+J6+N6+R6+V6</f>
        <v>2</v>
      </c>
      <c r="Y6" s="1">
        <f t="shared" ref="Y5:Y9" si="1">(B6+F6+J6+N6+R6+V6)*W6</f>
        <v>-400</v>
      </c>
      <c r="Z6" s="8">
        <f>(N6+B6+F6+J6+R6+V6)*AD7</f>
        <v>2000</v>
      </c>
      <c r="AC6" s="1" t="s">
        <v>20</v>
      </c>
      <c r="AD6" s="1">
        <v>35</v>
      </c>
    </row>
    <row r="7" spans="1:30">
      <c r="A7" s="12" t="s">
        <v>21</v>
      </c>
      <c r="B7" s="13">
        <v>1</v>
      </c>
      <c r="C7" s="11">
        <v>160</v>
      </c>
      <c r="E7" s="12" t="s">
        <v>21</v>
      </c>
      <c r="F7" s="13"/>
      <c r="G7" s="11">
        <v>160</v>
      </c>
      <c r="I7" s="12" t="s">
        <v>21</v>
      </c>
      <c r="J7" s="13">
        <v>1</v>
      </c>
      <c r="K7" s="11">
        <v>160</v>
      </c>
      <c r="M7" s="12" t="s">
        <v>21</v>
      </c>
      <c r="N7" s="13">
        <v>1</v>
      </c>
      <c r="O7" s="11">
        <v>160</v>
      </c>
      <c r="Q7" s="12" t="s">
        <v>21</v>
      </c>
      <c r="R7" s="13"/>
      <c r="S7" s="11">
        <v>160</v>
      </c>
      <c r="U7" s="12" t="s">
        <v>21</v>
      </c>
      <c r="V7" s="13"/>
      <c r="W7" s="11">
        <v>160</v>
      </c>
      <c r="X7" s="35">
        <f t="shared" si="0"/>
        <v>3</v>
      </c>
      <c r="Y7" s="1">
        <f t="shared" si="1"/>
        <v>480</v>
      </c>
      <c r="AC7" s="1" t="s">
        <v>19</v>
      </c>
      <c r="AD7" s="1">
        <v>1000</v>
      </c>
    </row>
    <row r="8" spans="1:30">
      <c r="A8" s="13" t="s">
        <v>22</v>
      </c>
      <c r="B8" s="11">
        <v>1</v>
      </c>
      <c r="C8" s="11">
        <v>-40</v>
      </c>
      <c r="E8" s="13" t="s">
        <v>22</v>
      </c>
      <c r="F8" s="11"/>
      <c r="G8" s="11">
        <v>-40</v>
      </c>
      <c r="I8" s="13" t="s">
        <v>22</v>
      </c>
      <c r="J8" s="11"/>
      <c r="K8" s="11">
        <v>-40</v>
      </c>
      <c r="M8" s="13" t="s">
        <v>22</v>
      </c>
      <c r="N8" s="11"/>
      <c r="O8" s="11">
        <v>-40</v>
      </c>
      <c r="Q8" s="13" t="s">
        <v>22</v>
      </c>
      <c r="R8" s="11"/>
      <c r="S8" s="11">
        <v>-40</v>
      </c>
      <c r="U8" s="13" t="s">
        <v>22</v>
      </c>
      <c r="V8" s="11"/>
      <c r="W8" s="11">
        <v>-40</v>
      </c>
      <c r="X8" s="1">
        <f t="shared" si="0"/>
        <v>1</v>
      </c>
      <c r="Y8" s="1">
        <f t="shared" si="1"/>
        <v>-40</v>
      </c>
      <c r="Z8" s="8">
        <f>(N8+B8+F8+J8+R8+V8)*AD11</f>
        <v>30</v>
      </c>
      <c r="AC8" s="1" t="s">
        <v>23</v>
      </c>
      <c r="AD8" s="1">
        <v>400</v>
      </c>
    </row>
    <row r="9" spans="1:30">
      <c r="A9" s="11" t="s">
        <v>1</v>
      </c>
      <c r="B9" s="14"/>
      <c r="C9" s="11">
        <v>-120</v>
      </c>
      <c r="E9" s="11" t="s">
        <v>1</v>
      </c>
      <c r="F9" s="14"/>
      <c r="G9" s="11">
        <v>-120</v>
      </c>
      <c r="I9" s="11" t="s">
        <v>1</v>
      </c>
      <c r="J9" s="14">
        <v>1</v>
      </c>
      <c r="K9" s="11">
        <v>-120</v>
      </c>
      <c r="M9" s="11" t="s">
        <v>1</v>
      </c>
      <c r="N9" s="14"/>
      <c r="O9" s="11">
        <v>-120</v>
      </c>
      <c r="Q9" s="11" t="s">
        <v>1</v>
      </c>
      <c r="R9" s="14"/>
      <c r="S9" s="11">
        <v>-120</v>
      </c>
      <c r="U9" s="11" t="s">
        <v>1</v>
      </c>
      <c r="V9" s="14"/>
      <c r="W9" s="11">
        <v>-120</v>
      </c>
      <c r="X9" s="1">
        <f t="shared" si="0"/>
        <v>1</v>
      </c>
      <c r="Y9" s="1">
        <f t="shared" si="1"/>
        <v>-120</v>
      </c>
      <c r="Z9" s="8">
        <f>(N9+B9+F9+J9+R9+V9)*AD1</f>
        <v>60</v>
      </c>
      <c r="AC9" s="1" t="s">
        <v>24</v>
      </c>
      <c r="AD9" s="1">
        <v>300</v>
      </c>
    </row>
    <row r="10" spans="1:30">
      <c r="A10" s="11" t="s">
        <v>25</v>
      </c>
      <c r="B10" s="11">
        <v>10</v>
      </c>
      <c r="C10" s="11">
        <v>-8</v>
      </c>
      <c r="E10" s="11" t="s">
        <v>25</v>
      </c>
      <c r="F10" s="11">
        <v>1</v>
      </c>
      <c r="G10" s="11">
        <v>-8</v>
      </c>
      <c r="I10" s="11" t="s">
        <v>25</v>
      </c>
      <c r="J10" s="11">
        <v>5</v>
      </c>
      <c r="K10" s="11">
        <v>-8</v>
      </c>
      <c r="M10" s="11" t="s">
        <v>25</v>
      </c>
      <c r="N10" s="11">
        <v>1</v>
      </c>
      <c r="O10" s="11">
        <v>-8</v>
      </c>
      <c r="Q10" s="11" t="s">
        <v>25</v>
      </c>
      <c r="R10" s="11"/>
      <c r="S10" s="11">
        <v>-8</v>
      </c>
      <c r="U10" s="11" t="s">
        <v>25</v>
      </c>
      <c r="V10" s="11"/>
      <c r="W10" s="11">
        <v>-8</v>
      </c>
      <c r="X10" s="1">
        <f t="shared" si="0"/>
        <v>17</v>
      </c>
      <c r="Y10" s="1">
        <f>(B10+F10+J10+N10+R10+V10)*W10</f>
        <v>-136</v>
      </c>
      <c r="AC10" s="1" t="s">
        <v>26</v>
      </c>
      <c r="AD10" s="1">
        <v>520</v>
      </c>
    </row>
    <row r="11" spans="1:30" s="2" customFormat="1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  <c r="Q11" s="51"/>
      <c r="R11" s="51"/>
      <c r="S11" s="51"/>
      <c r="U11" s="51"/>
      <c r="V11" s="51"/>
      <c r="W11" s="51"/>
      <c r="X11" s="1">
        <f t="shared" si="0"/>
        <v>0</v>
      </c>
      <c r="Y11" s="38">
        <f>SUM(Y5:Y10)</f>
        <v>-30776</v>
      </c>
      <c r="Z11" s="4">
        <f>SUM(Z5:Z10)</f>
        <v>13550</v>
      </c>
      <c r="AC11" s="2" t="s">
        <v>22</v>
      </c>
      <c r="AD11" s="2">
        <v>30</v>
      </c>
    </row>
    <row r="12" spans="1:30">
      <c r="M12" s="8"/>
      <c r="N12" s="8"/>
      <c r="O12" s="8"/>
      <c r="X12" s="1">
        <f t="shared" si="0"/>
        <v>0</v>
      </c>
      <c r="Y12" s="39"/>
      <c r="AC12" s="1" t="s">
        <v>27</v>
      </c>
      <c r="AD12" s="1">
        <v>500</v>
      </c>
    </row>
    <row r="13" spans="1:30" ht="18" customHeight="1">
      <c r="A13" s="10" t="s">
        <v>28</v>
      </c>
      <c r="B13" s="10" t="s">
        <v>13</v>
      </c>
      <c r="C13" s="10" t="s">
        <v>14</v>
      </c>
      <c r="E13" s="10" t="s">
        <v>28</v>
      </c>
      <c r="F13" s="10" t="s">
        <v>13</v>
      </c>
      <c r="G13" s="10" t="s">
        <v>14</v>
      </c>
      <c r="I13" s="10" t="s">
        <v>28</v>
      </c>
      <c r="J13" s="10" t="s">
        <v>13</v>
      </c>
      <c r="K13" s="10" t="s">
        <v>14</v>
      </c>
      <c r="M13" s="10" t="s">
        <v>28</v>
      </c>
      <c r="N13" s="10" t="s">
        <v>13</v>
      </c>
      <c r="O13" s="10" t="s">
        <v>14</v>
      </c>
      <c r="Q13" s="10" t="s">
        <v>29</v>
      </c>
      <c r="R13" s="10" t="s">
        <v>13</v>
      </c>
      <c r="S13" s="10" t="s">
        <v>14</v>
      </c>
      <c r="U13" s="10" t="s">
        <v>28</v>
      </c>
      <c r="V13" s="10" t="s">
        <v>13</v>
      </c>
      <c r="W13" s="10" t="s">
        <v>14</v>
      </c>
      <c r="AC13" s="1" t="s">
        <v>30</v>
      </c>
      <c r="AD13" s="1">
        <v>35</v>
      </c>
    </row>
    <row r="14" spans="1:30">
      <c r="A14" s="11" t="s">
        <v>4</v>
      </c>
      <c r="B14" s="11"/>
      <c r="C14" s="11">
        <v>-152</v>
      </c>
      <c r="E14" s="11" t="s">
        <v>4</v>
      </c>
      <c r="F14" s="11">
        <v>169</v>
      </c>
      <c r="G14" s="11">
        <v>-152</v>
      </c>
      <c r="I14" s="11" t="s">
        <v>4</v>
      </c>
      <c r="J14" s="11"/>
      <c r="K14" s="11">
        <v>-152</v>
      </c>
      <c r="M14" s="11" t="s">
        <v>4</v>
      </c>
      <c r="N14" s="11"/>
      <c r="O14" s="11">
        <v>-152</v>
      </c>
      <c r="Q14" s="11" t="s">
        <v>4</v>
      </c>
      <c r="R14" s="11"/>
      <c r="S14" s="11">
        <v>-152</v>
      </c>
      <c r="U14" s="11" t="s">
        <v>4</v>
      </c>
      <c r="V14" s="11">
        <v>66</v>
      </c>
      <c r="W14" s="11">
        <v>-152</v>
      </c>
      <c r="X14" s="1">
        <f t="shared" ref="X14:X23" si="2">B14+F14+J14+N14+R14+V14</f>
        <v>235</v>
      </c>
      <c r="Y14" s="1">
        <f t="shared" ref="Y14:Y20" si="3">(B14+F14+J14+N14+R14+V14)*W14</f>
        <v>-35720</v>
      </c>
      <c r="Z14" s="8">
        <f>(B14+F14+J14+N14+R14+V14)*AD2</f>
        <v>12925</v>
      </c>
    </row>
    <row r="15" spans="1:30">
      <c r="A15" s="11" t="s">
        <v>27</v>
      </c>
      <c r="B15" s="11"/>
      <c r="C15" s="11">
        <v>-200</v>
      </c>
      <c r="E15" s="11" t="s">
        <v>27</v>
      </c>
      <c r="F15" s="11">
        <v>2</v>
      </c>
      <c r="G15" s="11">
        <v>-200</v>
      </c>
      <c r="I15" s="11" t="s">
        <v>27</v>
      </c>
      <c r="J15" s="11"/>
      <c r="K15" s="11">
        <v>-200</v>
      </c>
      <c r="M15" s="11" t="s">
        <v>27</v>
      </c>
      <c r="N15" s="11"/>
      <c r="O15" s="11">
        <v>-200</v>
      </c>
      <c r="Q15" s="11" t="s">
        <v>27</v>
      </c>
      <c r="R15" s="11"/>
      <c r="S15" s="11">
        <v>-200</v>
      </c>
      <c r="U15" s="11" t="s">
        <v>27</v>
      </c>
      <c r="V15" s="11"/>
      <c r="W15" s="11">
        <v>-200</v>
      </c>
      <c r="X15" s="1">
        <f t="shared" si="2"/>
        <v>2</v>
      </c>
      <c r="Y15" s="1">
        <f t="shared" si="3"/>
        <v>-400</v>
      </c>
      <c r="Z15" s="8">
        <f>(B15+F15+J15+N15+R15+V15)*AD12</f>
        <v>1000</v>
      </c>
    </row>
    <row r="16" spans="1:30">
      <c r="A16" s="11" t="s">
        <v>26</v>
      </c>
      <c r="B16" s="11"/>
      <c r="C16" s="11">
        <v>-40</v>
      </c>
      <c r="E16" s="11" t="s">
        <v>26</v>
      </c>
      <c r="F16" s="11">
        <v>2</v>
      </c>
      <c r="G16" s="11">
        <v>-40</v>
      </c>
      <c r="I16" s="11" t="s">
        <v>26</v>
      </c>
      <c r="J16" s="11"/>
      <c r="K16" s="11">
        <v>-40</v>
      </c>
      <c r="M16" s="11" t="s">
        <v>26</v>
      </c>
      <c r="N16" s="11"/>
      <c r="O16" s="11">
        <v>-40</v>
      </c>
      <c r="Q16" s="11" t="s">
        <v>26</v>
      </c>
      <c r="R16" s="11"/>
      <c r="S16" s="11">
        <v>-40</v>
      </c>
      <c r="U16" s="11" t="s">
        <v>26</v>
      </c>
      <c r="V16" s="11"/>
      <c r="W16" s="11">
        <v>-40</v>
      </c>
      <c r="X16" s="1">
        <f t="shared" si="2"/>
        <v>2</v>
      </c>
      <c r="Y16" s="1">
        <f t="shared" si="3"/>
        <v>-80</v>
      </c>
      <c r="Z16" s="8">
        <f>(B16+F16+J16+N16+R16+V16)*AD10</f>
        <v>1040</v>
      </c>
    </row>
    <row r="17" spans="1:34">
      <c r="A17" s="11" t="s">
        <v>22</v>
      </c>
      <c r="B17" s="11"/>
      <c r="C17" s="11">
        <v>-40</v>
      </c>
      <c r="E17" s="11" t="s">
        <v>22</v>
      </c>
      <c r="F17" s="11">
        <v>2</v>
      </c>
      <c r="G17" s="11">
        <v>-40</v>
      </c>
      <c r="I17" s="11" t="s">
        <v>22</v>
      </c>
      <c r="J17" s="11"/>
      <c r="K17" s="11">
        <v>-40</v>
      </c>
      <c r="M17" s="11" t="s">
        <v>22</v>
      </c>
      <c r="N17" s="11"/>
      <c r="O17" s="11">
        <v>-40</v>
      </c>
      <c r="Q17" s="11" t="s">
        <v>22</v>
      </c>
      <c r="R17" s="11"/>
      <c r="S17" s="11">
        <v>-40</v>
      </c>
      <c r="U17" s="11" t="s">
        <v>22</v>
      </c>
      <c r="V17" s="11">
        <v>1</v>
      </c>
      <c r="W17" s="11">
        <v>-40</v>
      </c>
      <c r="X17" s="1">
        <f t="shared" si="2"/>
        <v>3</v>
      </c>
      <c r="Y17" s="1">
        <f t="shared" si="3"/>
        <v>-120</v>
      </c>
      <c r="Z17" s="8">
        <f>(B17+F17+J17+N17+R17+V17)*AD11</f>
        <v>90</v>
      </c>
    </row>
    <row r="18" spans="1:34">
      <c r="A18" s="11" t="s">
        <v>1</v>
      </c>
      <c r="B18" s="14"/>
      <c r="C18" s="11">
        <v>-120</v>
      </c>
      <c r="E18" s="11" t="s">
        <v>1</v>
      </c>
      <c r="F18" s="14">
        <v>3</v>
      </c>
      <c r="G18" s="11">
        <v>-120</v>
      </c>
      <c r="I18" s="11" t="s">
        <v>1</v>
      </c>
      <c r="J18" s="14"/>
      <c r="K18" s="11">
        <v>-120</v>
      </c>
      <c r="M18" s="11" t="s">
        <v>1</v>
      </c>
      <c r="N18" s="14"/>
      <c r="O18" s="11">
        <v>-120</v>
      </c>
      <c r="Q18" s="11" t="s">
        <v>1</v>
      </c>
      <c r="R18" s="14"/>
      <c r="S18" s="11">
        <v>-120</v>
      </c>
      <c r="U18" s="11" t="s">
        <v>1</v>
      </c>
      <c r="V18" s="14"/>
      <c r="W18" s="11">
        <v>-120</v>
      </c>
      <c r="X18" s="1">
        <f t="shared" si="2"/>
        <v>3</v>
      </c>
      <c r="Y18" s="1">
        <f t="shared" si="3"/>
        <v>-360</v>
      </c>
      <c r="Z18" s="8">
        <f>(B18+F18+J18+N18+R18+V18)*AD2</f>
        <v>165</v>
      </c>
    </row>
    <row r="19" spans="1:34">
      <c r="A19" s="12" t="s">
        <v>21</v>
      </c>
      <c r="B19" s="11"/>
      <c r="C19" s="11">
        <v>160</v>
      </c>
      <c r="E19" s="12" t="s">
        <v>21</v>
      </c>
      <c r="F19" s="11">
        <v>3</v>
      </c>
      <c r="G19" s="11">
        <v>160</v>
      </c>
      <c r="I19" s="12" t="s">
        <v>21</v>
      </c>
      <c r="J19" s="11"/>
      <c r="K19" s="11">
        <v>160</v>
      </c>
      <c r="M19" s="12" t="s">
        <v>21</v>
      </c>
      <c r="N19" s="11"/>
      <c r="O19" s="11">
        <v>160</v>
      </c>
      <c r="Q19" s="12" t="s">
        <v>21</v>
      </c>
      <c r="R19" s="11"/>
      <c r="S19" s="11">
        <v>160</v>
      </c>
      <c r="U19" s="12" t="s">
        <v>21</v>
      </c>
      <c r="V19" s="11"/>
      <c r="W19" s="11">
        <v>160</v>
      </c>
      <c r="X19" s="35">
        <f t="shared" si="2"/>
        <v>3</v>
      </c>
      <c r="Y19" s="1">
        <f t="shared" si="3"/>
        <v>480</v>
      </c>
    </row>
    <row r="20" spans="1:34" s="3" customFormat="1" ht="15">
      <c r="A20" s="15"/>
      <c r="B20" s="15"/>
      <c r="C20" s="15"/>
      <c r="E20" s="15"/>
      <c r="F20" s="15"/>
      <c r="G20" s="15"/>
      <c r="I20" s="15"/>
      <c r="J20" s="15"/>
      <c r="K20" s="15"/>
      <c r="M20" s="15"/>
      <c r="N20" s="15"/>
      <c r="O20" s="15"/>
      <c r="P20" s="28"/>
      <c r="Q20" s="15" t="s">
        <v>25</v>
      </c>
      <c r="R20" s="15"/>
      <c r="S20" s="15">
        <v>-8</v>
      </c>
      <c r="T20" s="28"/>
      <c r="U20" s="15"/>
      <c r="V20" s="15"/>
      <c r="W20" s="15"/>
      <c r="X20" s="1">
        <f t="shared" si="2"/>
        <v>0</v>
      </c>
      <c r="Y20" s="1">
        <f t="shared" si="3"/>
        <v>0</v>
      </c>
      <c r="Z20" s="40"/>
    </row>
    <row r="21" spans="1:34">
      <c r="A21" s="11"/>
      <c r="B21" s="11"/>
      <c r="C21" s="11"/>
      <c r="E21" s="11"/>
      <c r="F21" s="11"/>
      <c r="G21" s="11"/>
      <c r="I21" s="11"/>
      <c r="J21" s="11"/>
      <c r="K21" s="11"/>
      <c r="M21" s="11"/>
      <c r="N21" s="11"/>
      <c r="O21" s="11"/>
      <c r="Q21" s="11"/>
      <c r="R21" s="11"/>
      <c r="S21" s="11"/>
      <c r="U21" s="11"/>
      <c r="V21" s="11"/>
      <c r="W21" s="11"/>
      <c r="X21" s="1">
        <f t="shared" si="2"/>
        <v>0</v>
      </c>
    </row>
    <row r="22" spans="1:34" s="2" customFormat="1">
      <c r="A22" s="52"/>
      <c r="B22" s="53"/>
      <c r="C22" s="54"/>
      <c r="E22" s="52"/>
      <c r="F22" s="53"/>
      <c r="G22" s="54"/>
      <c r="I22" s="52"/>
      <c r="J22" s="53"/>
      <c r="K22" s="54"/>
      <c r="M22" s="52"/>
      <c r="N22" s="53"/>
      <c r="O22" s="54"/>
      <c r="Q22" s="52"/>
      <c r="R22" s="53"/>
      <c r="S22" s="54"/>
      <c r="U22" s="52"/>
      <c r="V22" s="53"/>
      <c r="W22" s="54"/>
      <c r="X22" s="1">
        <f t="shared" si="2"/>
        <v>0</v>
      </c>
      <c r="Y22" s="38">
        <f>SUM(Y14:Y20)</f>
        <v>-36200</v>
      </c>
      <c r="Z22" s="4">
        <f>SUM(Z14:Z21)</f>
        <v>15220</v>
      </c>
    </row>
    <row r="23" spans="1:34">
      <c r="X23" s="1">
        <f t="shared" si="2"/>
        <v>0</v>
      </c>
      <c r="Y23" s="39"/>
    </row>
    <row r="24" spans="1:34">
      <c r="A24" s="10" t="s">
        <v>31</v>
      </c>
      <c r="B24" s="10" t="s">
        <v>13</v>
      </c>
      <c r="C24" s="10" t="s">
        <v>14</v>
      </c>
      <c r="E24" s="10" t="s">
        <v>31</v>
      </c>
      <c r="F24" s="10" t="s">
        <v>13</v>
      </c>
      <c r="G24" s="10" t="s">
        <v>14</v>
      </c>
      <c r="I24" s="10" t="s">
        <v>31</v>
      </c>
      <c r="J24" s="10" t="s">
        <v>13</v>
      </c>
      <c r="K24" s="10" t="s">
        <v>14</v>
      </c>
      <c r="M24" s="10" t="s">
        <v>31</v>
      </c>
      <c r="N24" s="10" t="s">
        <v>13</v>
      </c>
      <c r="O24" s="10" t="s">
        <v>14</v>
      </c>
      <c r="Q24" s="10" t="s">
        <v>32</v>
      </c>
      <c r="R24" s="10" t="s">
        <v>13</v>
      </c>
      <c r="S24" s="10" t="s">
        <v>14</v>
      </c>
      <c r="U24" s="10" t="s">
        <v>33</v>
      </c>
      <c r="V24" s="10" t="s">
        <v>13</v>
      </c>
      <c r="W24" s="10" t="s">
        <v>14</v>
      </c>
    </row>
    <row r="25" spans="1:34">
      <c r="A25" s="11" t="s">
        <v>11</v>
      </c>
      <c r="B25" s="11"/>
      <c r="C25" s="11">
        <v>-144</v>
      </c>
      <c r="E25" s="11" t="s">
        <v>11</v>
      </c>
      <c r="F25" s="11">
        <v>42</v>
      </c>
      <c r="G25" s="11">
        <v>-144</v>
      </c>
      <c r="I25" s="11" t="s">
        <v>11</v>
      </c>
      <c r="J25" s="11"/>
      <c r="K25" s="11">
        <v>-144</v>
      </c>
      <c r="M25" s="11" t="s">
        <v>11</v>
      </c>
      <c r="N25" s="11"/>
      <c r="O25" s="11">
        <v>-144</v>
      </c>
      <c r="Q25" s="11" t="s">
        <v>11</v>
      </c>
      <c r="R25" s="11">
        <v>112</v>
      </c>
      <c r="S25" s="11">
        <v>-144</v>
      </c>
      <c r="U25" s="11" t="s">
        <v>11</v>
      </c>
      <c r="V25" s="11">
        <v>106</v>
      </c>
      <c r="W25" s="11">
        <v>-144</v>
      </c>
      <c r="X25" s="1">
        <f>B25+F25+J25+N25+R25+V25</f>
        <v>260</v>
      </c>
      <c r="Y25" s="1">
        <f t="shared" ref="Y25:Y31" si="4">(B25+F25+J25+N25+R25+V25)*W25</f>
        <v>-37440</v>
      </c>
      <c r="Z25" s="8">
        <f>(B25+F25+J25+N25+R25+V25)*AD3</f>
        <v>13000</v>
      </c>
      <c r="AH25" s="37"/>
    </row>
    <row r="26" spans="1:34">
      <c r="A26" s="11" t="s">
        <v>22</v>
      </c>
      <c r="B26" s="11"/>
      <c r="C26" s="11">
        <v>-40</v>
      </c>
      <c r="E26" s="11" t="s">
        <v>22</v>
      </c>
      <c r="F26" s="11">
        <v>2</v>
      </c>
      <c r="G26" s="11">
        <v>-40</v>
      </c>
      <c r="I26" s="11" t="s">
        <v>22</v>
      </c>
      <c r="J26" s="11"/>
      <c r="K26" s="11">
        <v>-40</v>
      </c>
      <c r="M26" s="11" t="s">
        <v>22</v>
      </c>
      <c r="N26" s="11"/>
      <c r="O26" s="11">
        <v>-40</v>
      </c>
      <c r="Q26" s="11" t="s">
        <v>22</v>
      </c>
      <c r="R26" s="11">
        <v>4</v>
      </c>
      <c r="S26" s="11">
        <v>-40</v>
      </c>
      <c r="U26" s="11" t="s">
        <v>22</v>
      </c>
      <c r="V26" s="11">
        <v>2</v>
      </c>
      <c r="W26" s="11">
        <v>-40</v>
      </c>
      <c r="X26" s="1">
        <f t="shared" ref="X25:X33" si="5">B26+F26+J26+N26+R26+V26</f>
        <v>8</v>
      </c>
      <c r="Y26" s="1">
        <f t="shared" si="4"/>
        <v>-320</v>
      </c>
      <c r="Z26" s="8">
        <f>(B26+F26+J26+N26+R26+V26)*AD11</f>
        <v>240</v>
      </c>
    </row>
    <row r="27" spans="1:34">
      <c r="A27" s="11" t="s">
        <v>1</v>
      </c>
      <c r="B27" s="14"/>
      <c r="C27" s="11">
        <v>-120</v>
      </c>
      <c r="E27" s="11" t="s">
        <v>1</v>
      </c>
      <c r="F27" s="14"/>
      <c r="G27" s="11">
        <v>-120</v>
      </c>
      <c r="I27" s="11" t="s">
        <v>1</v>
      </c>
      <c r="J27" s="14"/>
      <c r="K27" s="11">
        <v>-120</v>
      </c>
      <c r="M27" s="11" t="s">
        <v>1</v>
      </c>
      <c r="N27" s="14"/>
      <c r="O27" s="11">
        <v>-120</v>
      </c>
      <c r="Q27" s="11" t="s">
        <v>1</v>
      </c>
      <c r="R27" s="14">
        <v>2</v>
      </c>
      <c r="S27" s="11">
        <v>-120</v>
      </c>
      <c r="U27" s="11" t="s">
        <v>1</v>
      </c>
      <c r="V27" s="14">
        <v>1</v>
      </c>
      <c r="W27" s="11">
        <v>-120</v>
      </c>
      <c r="X27" s="1">
        <f t="shared" si="5"/>
        <v>3</v>
      </c>
      <c r="Y27" s="1">
        <f t="shared" si="4"/>
        <v>-360</v>
      </c>
      <c r="Z27" s="8">
        <f>(B27+F27+J27+N27+R27+V27)*AD3</f>
        <v>150</v>
      </c>
    </row>
    <row r="28" spans="1:34">
      <c r="A28" s="11" t="s">
        <v>34</v>
      </c>
      <c r="B28" s="11"/>
      <c r="C28" s="11">
        <v>-120</v>
      </c>
      <c r="E28" s="11" t="s">
        <v>34</v>
      </c>
      <c r="F28" s="11"/>
      <c r="G28" s="11">
        <v>-120</v>
      </c>
      <c r="I28" s="11" t="s">
        <v>34</v>
      </c>
      <c r="J28" s="11"/>
      <c r="K28" s="11">
        <v>-120</v>
      </c>
      <c r="M28" s="11" t="s">
        <v>34</v>
      </c>
      <c r="N28" s="11"/>
      <c r="O28" s="11">
        <v>-120</v>
      </c>
      <c r="Q28" s="11" t="s">
        <v>34</v>
      </c>
      <c r="R28" s="11"/>
      <c r="S28" s="11">
        <v>-120</v>
      </c>
      <c r="U28" s="11" t="s">
        <v>34</v>
      </c>
      <c r="V28" s="11"/>
      <c r="W28" s="11">
        <v>-120</v>
      </c>
      <c r="X28" s="1">
        <f t="shared" si="5"/>
        <v>0</v>
      </c>
      <c r="Y28" s="1">
        <f t="shared" si="4"/>
        <v>0</v>
      </c>
      <c r="Z28" s="8">
        <f>(B28+F28+J28+N28+R28+V28)*AD3</f>
        <v>0</v>
      </c>
    </row>
    <row r="29" spans="1:34">
      <c r="A29" s="12" t="s">
        <v>21</v>
      </c>
      <c r="B29" s="11"/>
      <c r="C29" s="11">
        <v>160</v>
      </c>
      <c r="E29" s="12" t="s">
        <v>21</v>
      </c>
      <c r="F29" s="11">
        <v>1</v>
      </c>
      <c r="G29" s="11">
        <v>160</v>
      </c>
      <c r="I29" s="12" t="s">
        <v>21</v>
      </c>
      <c r="J29" s="11"/>
      <c r="K29" s="11">
        <v>160</v>
      </c>
      <c r="M29" s="12" t="s">
        <v>21</v>
      </c>
      <c r="N29" s="11"/>
      <c r="O29" s="11">
        <v>160</v>
      </c>
      <c r="Q29" s="12" t="s">
        <v>21</v>
      </c>
      <c r="R29" s="11">
        <v>1</v>
      </c>
      <c r="S29" s="11">
        <v>160</v>
      </c>
      <c r="U29" s="12" t="s">
        <v>21</v>
      </c>
      <c r="V29" s="11">
        <v>1</v>
      </c>
      <c r="W29" s="11">
        <v>160</v>
      </c>
      <c r="X29" s="35">
        <f t="shared" si="5"/>
        <v>3</v>
      </c>
      <c r="Y29" s="1">
        <f t="shared" si="4"/>
        <v>480</v>
      </c>
    </row>
    <row r="30" spans="1:34">
      <c r="A30" s="11" t="s">
        <v>35</v>
      </c>
      <c r="B30" s="11"/>
      <c r="C30" s="11">
        <v>-144</v>
      </c>
      <c r="E30" s="11" t="s">
        <v>35</v>
      </c>
      <c r="F30" s="11">
        <v>0</v>
      </c>
      <c r="G30" s="11">
        <v>-144</v>
      </c>
      <c r="I30" s="11" t="s">
        <v>35</v>
      </c>
      <c r="J30" s="11"/>
      <c r="K30" s="11">
        <v>-144</v>
      </c>
      <c r="M30" s="11" t="s">
        <v>35</v>
      </c>
      <c r="N30" s="11"/>
      <c r="O30" s="11">
        <v>-144</v>
      </c>
      <c r="Q30" s="11" t="s">
        <v>35</v>
      </c>
      <c r="R30" s="11">
        <v>2</v>
      </c>
      <c r="S30" s="11">
        <v>-144</v>
      </c>
      <c r="U30" s="11" t="s">
        <v>35</v>
      </c>
      <c r="V30" s="11">
        <v>2</v>
      </c>
      <c r="W30" s="11">
        <v>-144</v>
      </c>
      <c r="X30" s="1">
        <f t="shared" si="5"/>
        <v>4</v>
      </c>
      <c r="Y30" s="1">
        <f t="shared" si="4"/>
        <v>-576</v>
      </c>
      <c r="Z30" s="8">
        <f>(B30+F30+J30+N30+R30+V30)*AD3</f>
        <v>200</v>
      </c>
    </row>
    <row r="31" spans="1:34">
      <c r="A31" s="11" t="s">
        <v>25</v>
      </c>
      <c r="B31" s="11"/>
      <c r="C31" s="11">
        <v>-8</v>
      </c>
      <c r="E31" s="11" t="s">
        <v>25</v>
      </c>
      <c r="F31" s="11"/>
      <c r="G31" s="11">
        <v>-8</v>
      </c>
      <c r="I31" s="11" t="s">
        <v>25</v>
      </c>
      <c r="J31" s="11"/>
      <c r="K31" s="11">
        <v>-8</v>
      </c>
      <c r="M31" s="11" t="s">
        <v>25</v>
      </c>
      <c r="N31" s="11"/>
      <c r="O31" s="11">
        <v>-8</v>
      </c>
      <c r="Q31" s="11" t="s">
        <v>25</v>
      </c>
      <c r="R31" s="11"/>
      <c r="S31" s="11">
        <v>-8</v>
      </c>
      <c r="U31" s="11" t="s">
        <v>25</v>
      </c>
      <c r="V31" s="11">
        <v>4</v>
      </c>
      <c r="W31" s="11">
        <v>-8</v>
      </c>
      <c r="X31" s="1">
        <f t="shared" si="5"/>
        <v>4</v>
      </c>
      <c r="Y31" s="1">
        <f t="shared" si="4"/>
        <v>-32</v>
      </c>
    </row>
    <row r="32" spans="1:34" s="4" customFormat="1">
      <c r="A32" s="51"/>
      <c r="B32" s="51"/>
      <c r="C32" s="51"/>
      <c r="E32" s="51"/>
      <c r="F32" s="51"/>
      <c r="G32" s="51"/>
      <c r="I32" s="51"/>
      <c r="J32" s="51"/>
      <c r="K32" s="51"/>
      <c r="M32" s="51"/>
      <c r="N32" s="51"/>
      <c r="O32" s="51"/>
      <c r="Q32" s="55"/>
      <c r="R32" s="56"/>
      <c r="S32" s="57"/>
      <c r="U32" s="58"/>
      <c r="V32" s="58"/>
      <c r="W32" s="58"/>
      <c r="X32" s="1">
        <f t="shared" si="5"/>
        <v>0</v>
      </c>
      <c r="Y32" s="38">
        <f>SUM(Y25:Y31)</f>
        <v>-38248</v>
      </c>
      <c r="Z32" s="4">
        <f>SUM(Z25:Z31)</f>
        <v>13590</v>
      </c>
    </row>
    <row r="33" spans="1:39">
      <c r="X33" s="1">
        <f t="shared" si="5"/>
        <v>0</v>
      </c>
      <c r="Y33" s="39"/>
    </row>
    <row r="34" spans="1:39">
      <c r="A34" s="10" t="s">
        <v>36</v>
      </c>
      <c r="B34" s="10" t="s">
        <v>13</v>
      </c>
      <c r="C34" s="10" t="s">
        <v>14</v>
      </c>
      <c r="E34" s="10" t="s">
        <v>36</v>
      </c>
      <c r="F34" s="10" t="s">
        <v>13</v>
      </c>
      <c r="G34" s="10" t="s">
        <v>14</v>
      </c>
      <c r="I34" s="10" t="s">
        <v>36</v>
      </c>
      <c r="J34" s="10" t="s">
        <v>13</v>
      </c>
      <c r="K34" s="10" t="s">
        <v>14</v>
      </c>
      <c r="M34" s="10" t="s">
        <v>36</v>
      </c>
      <c r="N34" s="10" t="s">
        <v>13</v>
      </c>
      <c r="O34" s="10" t="s">
        <v>14</v>
      </c>
      <c r="Q34" s="10" t="s">
        <v>37</v>
      </c>
      <c r="R34" s="10" t="s">
        <v>13</v>
      </c>
      <c r="S34" s="10" t="s">
        <v>14</v>
      </c>
      <c r="T34" s="29"/>
      <c r="U34" s="10" t="s">
        <v>38</v>
      </c>
      <c r="V34" s="10" t="s">
        <v>13</v>
      </c>
      <c r="W34" s="10" t="s">
        <v>14</v>
      </c>
    </row>
    <row r="35" spans="1:39">
      <c r="A35" s="11" t="s">
        <v>17</v>
      </c>
      <c r="B35" s="11"/>
      <c r="C35" s="11">
        <v>-136</v>
      </c>
      <c r="E35" s="11" t="s">
        <v>17</v>
      </c>
      <c r="F35" s="11"/>
      <c r="G35" s="11">
        <v>-136</v>
      </c>
      <c r="I35" s="11" t="s">
        <v>17</v>
      </c>
      <c r="J35" s="11"/>
      <c r="K35" s="11">
        <v>-136</v>
      </c>
      <c r="M35" s="11" t="s">
        <v>17</v>
      </c>
      <c r="N35" s="11"/>
      <c r="O35" s="11">
        <v>-136</v>
      </c>
      <c r="Q35" s="11" t="s">
        <v>17</v>
      </c>
      <c r="R35" s="11"/>
      <c r="S35" s="11">
        <v>-136</v>
      </c>
      <c r="T35" s="29"/>
      <c r="U35" s="11" t="s">
        <v>17</v>
      </c>
      <c r="V35" s="11">
        <v>155</v>
      </c>
      <c r="W35" s="11">
        <v>-136</v>
      </c>
      <c r="X35" s="1">
        <f t="shared" ref="X35:X45" si="6">B35+F35+J35+N35+R35+V35</f>
        <v>155</v>
      </c>
      <c r="Y35" s="1">
        <f t="shared" ref="Y35:Y43" si="7">(B35+F35+J35+N35+R35+V35)*W35</f>
        <v>-21080</v>
      </c>
      <c r="Z35" s="8">
        <f>(B35+F35+J35+N35+R35+V35)*AD4</f>
        <v>6975</v>
      </c>
      <c r="AA35" s="41"/>
      <c r="AB35" s="37"/>
    </row>
    <row r="36" spans="1:39">
      <c r="A36" s="11" t="s">
        <v>22</v>
      </c>
      <c r="B36" s="16">
        <v>5</v>
      </c>
      <c r="C36" s="11">
        <v>-40</v>
      </c>
      <c r="E36" s="11" t="s">
        <v>22</v>
      </c>
      <c r="F36" s="16">
        <v>1</v>
      </c>
      <c r="G36" s="11">
        <v>-40</v>
      </c>
      <c r="I36" s="11" t="s">
        <v>22</v>
      </c>
      <c r="J36" s="16"/>
      <c r="K36" s="11">
        <v>-40</v>
      </c>
      <c r="M36" s="11" t="s">
        <v>22</v>
      </c>
      <c r="N36" s="16">
        <v>1</v>
      </c>
      <c r="O36" s="11">
        <v>-40</v>
      </c>
      <c r="Q36" s="11" t="s">
        <v>22</v>
      </c>
      <c r="R36" s="16">
        <v>1</v>
      </c>
      <c r="S36" s="11">
        <v>-40</v>
      </c>
      <c r="T36" s="29"/>
      <c r="U36" s="11" t="s">
        <v>22</v>
      </c>
      <c r="V36" s="16">
        <v>1</v>
      </c>
      <c r="W36" s="11">
        <v>-40</v>
      </c>
      <c r="X36" s="1">
        <f t="shared" si="6"/>
        <v>9</v>
      </c>
      <c r="Y36" s="1">
        <f t="shared" si="7"/>
        <v>-360</v>
      </c>
      <c r="Z36" s="8">
        <f>(B36+F36+J36+N36+R36+V36)*AD11</f>
        <v>270</v>
      </c>
      <c r="AA36" s="41"/>
      <c r="AB36" s="37"/>
    </row>
    <row r="37" spans="1:39">
      <c r="A37" s="11" t="s">
        <v>1</v>
      </c>
      <c r="B37" s="17">
        <v>0</v>
      </c>
      <c r="C37" s="11">
        <v>-120</v>
      </c>
      <c r="E37" s="11" t="s">
        <v>1</v>
      </c>
      <c r="F37" s="17"/>
      <c r="G37" s="11">
        <v>-120</v>
      </c>
      <c r="I37" s="11" t="s">
        <v>1</v>
      </c>
      <c r="J37" s="17"/>
      <c r="K37" s="11">
        <v>-120</v>
      </c>
      <c r="M37" s="11" t="s">
        <v>1</v>
      </c>
      <c r="N37" s="17">
        <v>1</v>
      </c>
      <c r="O37" s="11">
        <v>-120</v>
      </c>
      <c r="Q37" s="11" t="s">
        <v>1</v>
      </c>
      <c r="R37" s="17">
        <v>1</v>
      </c>
      <c r="S37" s="11">
        <v>-120</v>
      </c>
      <c r="T37" s="29"/>
      <c r="U37" s="11" t="s">
        <v>1</v>
      </c>
      <c r="V37" s="17"/>
      <c r="W37" s="11">
        <v>-120</v>
      </c>
      <c r="X37" s="1">
        <f t="shared" si="6"/>
        <v>2</v>
      </c>
      <c r="Y37" s="1">
        <f t="shared" si="7"/>
        <v>-240</v>
      </c>
      <c r="Z37" s="8">
        <f>(B37+F37+J37+N37+R37+V37)*AD4</f>
        <v>90</v>
      </c>
      <c r="AA37" s="41"/>
      <c r="AB37" s="37"/>
    </row>
    <row r="38" spans="1:39">
      <c r="A38" s="11" t="s">
        <v>35</v>
      </c>
      <c r="B38" s="11"/>
      <c r="C38" s="11">
        <v>-136</v>
      </c>
      <c r="E38" s="11" t="s">
        <v>35</v>
      </c>
      <c r="F38" s="11"/>
      <c r="G38" s="11">
        <v>-136</v>
      </c>
      <c r="I38" s="11" t="s">
        <v>35</v>
      </c>
      <c r="J38" s="11"/>
      <c r="K38" s="11">
        <v>-136</v>
      </c>
      <c r="M38" s="11" t="s">
        <v>35</v>
      </c>
      <c r="N38" s="11"/>
      <c r="O38" s="11">
        <v>-136</v>
      </c>
      <c r="Q38" s="11" t="s">
        <v>35</v>
      </c>
      <c r="R38" s="11"/>
      <c r="S38" s="11">
        <v>-136</v>
      </c>
      <c r="T38" s="29"/>
      <c r="U38" s="11" t="s">
        <v>35</v>
      </c>
      <c r="V38" s="11"/>
      <c r="W38" s="11">
        <v>-136</v>
      </c>
      <c r="X38" s="1">
        <f t="shared" si="6"/>
        <v>0</v>
      </c>
      <c r="Y38" s="1">
        <f t="shared" si="7"/>
        <v>0</v>
      </c>
      <c r="Z38" s="8">
        <f>(B38+F38+J38+N38+R38+V38)*AD4</f>
        <v>0</v>
      </c>
      <c r="AA38" s="41"/>
      <c r="AB38" s="37"/>
    </row>
    <row r="39" spans="1:39">
      <c r="A39" s="11" t="s">
        <v>34</v>
      </c>
      <c r="B39" s="17"/>
      <c r="C39" s="11">
        <v>-120</v>
      </c>
      <c r="E39" s="11" t="s">
        <v>34</v>
      </c>
      <c r="F39" s="17">
        <v>1</v>
      </c>
      <c r="G39" s="11">
        <v>-120</v>
      </c>
      <c r="I39" s="11" t="s">
        <v>34</v>
      </c>
      <c r="J39" s="17"/>
      <c r="K39" s="11">
        <v>-120</v>
      </c>
      <c r="M39" s="11" t="s">
        <v>34</v>
      </c>
      <c r="N39" s="17"/>
      <c r="O39" s="11">
        <v>-120</v>
      </c>
      <c r="Q39" s="11" t="s">
        <v>34</v>
      </c>
      <c r="R39" s="14">
        <v>1</v>
      </c>
      <c r="S39" s="11">
        <v>-120</v>
      </c>
      <c r="T39" s="29"/>
      <c r="U39" s="11" t="s">
        <v>34</v>
      </c>
      <c r="V39" s="14"/>
      <c r="W39" s="11">
        <v>-120</v>
      </c>
      <c r="X39" s="1">
        <f t="shared" si="6"/>
        <v>2</v>
      </c>
      <c r="Y39" s="1">
        <f t="shared" si="7"/>
        <v>-240</v>
      </c>
      <c r="Z39" s="8">
        <f>(B39+F39+J39+N39+R39+V39)*AD4</f>
        <v>90</v>
      </c>
      <c r="AA39" s="41"/>
    </row>
    <row r="40" spans="1:39">
      <c r="A40" s="12" t="s">
        <v>21</v>
      </c>
      <c r="B40" s="11">
        <v>1</v>
      </c>
      <c r="C40" s="11">
        <v>160</v>
      </c>
      <c r="E40" s="12" t="s">
        <v>21</v>
      </c>
      <c r="F40" s="11">
        <v>1</v>
      </c>
      <c r="G40" s="11">
        <v>160</v>
      </c>
      <c r="I40" s="12" t="s">
        <v>21</v>
      </c>
      <c r="J40" s="11"/>
      <c r="K40" s="11">
        <v>160</v>
      </c>
      <c r="M40" s="12" t="s">
        <v>21</v>
      </c>
      <c r="N40" s="11"/>
      <c r="O40" s="11">
        <v>160</v>
      </c>
      <c r="Q40" s="12" t="s">
        <v>21</v>
      </c>
      <c r="R40" s="16"/>
      <c r="S40" s="11">
        <v>160</v>
      </c>
      <c r="T40" s="29"/>
      <c r="U40" s="12" t="s">
        <v>21</v>
      </c>
      <c r="V40" s="16">
        <v>1</v>
      </c>
      <c r="W40" s="11">
        <v>160</v>
      </c>
      <c r="X40" s="35">
        <f t="shared" si="6"/>
        <v>3</v>
      </c>
      <c r="Y40" s="1">
        <f t="shared" si="7"/>
        <v>480</v>
      </c>
      <c r="AA40" s="41"/>
    </row>
    <row r="41" spans="1:39">
      <c r="A41" s="11" t="s">
        <v>24</v>
      </c>
      <c r="B41" s="11"/>
      <c r="C41" s="11">
        <v>-200</v>
      </c>
      <c r="E41" s="11" t="s">
        <v>24</v>
      </c>
      <c r="F41" s="11"/>
      <c r="G41" s="11">
        <v>-200</v>
      </c>
      <c r="I41" s="11" t="s">
        <v>24</v>
      </c>
      <c r="J41" s="11"/>
      <c r="K41" s="11">
        <v>-200</v>
      </c>
      <c r="M41" s="11" t="s">
        <v>24</v>
      </c>
      <c r="N41" s="11"/>
      <c r="O41" s="11">
        <v>-200</v>
      </c>
      <c r="Q41" s="11" t="s">
        <v>24</v>
      </c>
      <c r="R41" s="11"/>
      <c r="S41" s="11">
        <v>-200</v>
      </c>
      <c r="T41" s="29"/>
      <c r="U41" s="11" t="s">
        <v>24</v>
      </c>
      <c r="V41" s="11"/>
      <c r="W41" s="11">
        <v>-200</v>
      </c>
      <c r="X41" s="1">
        <f t="shared" si="6"/>
        <v>0</v>
      </c>
      <c r="Y41" s="1">
        <f t="shared" si="7"/>
        <v>0</v>
      </c>
      <c r="Z41" s="8">
        <f>(B41+F41+J41+N41+R41+V41)*AD9</f>
        <v>0</v>
      </c>
      <c r="AA41" s="41"/>
    </row>
    <row r="42" spans="1:39" s="5" customFormat="1">
      <c r="A42" s="18" t="s">
        <v>25</v>
      </c>
      <c r="B42" s="18">
        <v>6</v>
      </c>
      <c r="C42" s="18">
        <v>-8</v>
      </c>
      <c r="D42" s="19"/>
      <c r="E42" s="18" t="s">
        <v>25</v>
      </c>
      <c r="F42" s="18"/>
      <c r="G42" s="18">
        <v>-8</v>
      </c>
      <c r="H42" s="19"/>
      <c r="I42" s="18" t="s">
        <v>25</v>
      </c>
      <c r="J42" s="18"/>
      <c r="K42" s="18">
        <v>-8</v>
      </c>
      <c r="L42" s="19"/>
      <c r="M42" s="18" t="s">
        <v>25</v>
      </c>
      <c r="N42" s="18"/>
      <c r="O42" s="18">
        <v>-8</v>
      </c>
      <c r="P42" s="19"/>
      <c r="Q42" s="18" t="s">
        <v>25</v>
      </c>
      <c r="R42" s="18"/>
      <c r="S42" s="18">
        <v>-8</v>
      </c>
      <c r="T42" s="36"/>
      <c r="U42" s="18" t="s">
        <v>25</v>
      </c>
      <c r="V42" s="18"/>
      <c r="W42" s="18">
        <v>-8</v>
      </c>
      <c r="X42" s="1">
        <f t="shared" si="6"/>
        <v>6</v>
      </c>
      <c r="Y42" s="1">
        <f t="shared" si="7"/>
        <v>-48</v>
      </c>
      <c r="Z42" s="39"/>
      <c r="AA42" s="42"/>
      <c r="AB42" s="1"/>
    </row>
    <row r="43" spans="1:39">
      <c r="A43" s="11"/>
      <c r="B43" s="11"/>
      <c r="C43" s="11"/>
      <c r="E43" s="11"/>
      <c r="F43" s="11"/>
      <c r="G43" s="11"/>
      <c r="I43" s="11"/>
      <c r="J43" s="11"/>
      <c r="K43" s="11"/>
      <c r="M43" s="11"/>
      <c r="N43" s="11"/>
      <c r="O43" s="11"/>
      <c r="Q43" s="11"/>
      <c r="R43" s="11"/>
      <c r="S43" s="11"/>
      <c r="T43" s="29"/>
      <c r="U43" s="11" t="s">
        <v>39</v>
      </c>
      <c r="V43" s="11"/>
      <c r="W43" s="11">
        <v>-40</v>
      </c>
      <c r="X43" s="1">
        <f t="shared" si="6"/>
        <v>0</v>
      </c>
      <c r="Y43" s="1">
        <f t="shared" si="7"/>
        <v>0</v>
      </c>
      <c r="Z43" s="7"/>
      <c r="AA43" s="43"/>
    </row>
    <row r="44" spans="1:39" s="4" customFormat="1">
      <c r="A44" s="51"/>
      <c r="B44" s="51"/>
      <c r="C44" s="51"/>
      <c r="E44" s="51"/>
      <c r="F44" s="51"/>
      <c r="G44" s="51"/>
      <c r="I44" s="51"/>
      <c r="J44" s="51"/>
      <c r="K44" s="51"/>
      <c r="M44" s="51"/>
      <c r="N44" s="51"/>
      <c r="O44" s="51"/>
      <c r="Q44" s="51"/>
      <c r="R44" s="51"/>
      <c r="S44" s="51"/>
      <c r="T44" s="31"/>
      <c r="U44" s="51"/>
      <c r="V44" s="51"/>
      <c r="W44" s="51"/>
      <c r="X44" s="1">
        <f t="shared" si="6"/>
        <v>0</v>
      </c>
      <c r="Y44" s="38">
        <f>SUM(Y35:Y43)</f>
        <v>-21488</v>
      </c>
      <c r="Z44" s="4">
        <f>SUM(Z35:Z43)</f>
        <v>7425</v>
      </c>
    </row>
    <row r="45" spans="1:39">
      <c r="A45" s="59" t="s">
        <v>40</v>
      </c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1">
        <f t="shared" si="6"/>
        <v>0</v>
      </c>
    </row>
    <row r="46" spans="1:39">
      <c r="A46" s="10" t="s">
        <v>41</v>
      </c>
      <c r="B46" s="10" t="s">
        <v>13</v>
      </c>
      <c r="C46" s="10" t="s">
        <v>14</v>
      </c>
      <c r="E46" s="10" t="s">
        <v>41</v>
      </c>
      <c r="F46" s="10" t="s">
        <v>13</v>
      </c>
      <c r="G46" s="10" t="s">
        <v>14</v>
      </c>
      <c r="I46" s="10" t="s">
        <v>41</v>
      </c>
      <c r="J46" s="10" t="s">
        <v>13</v>
      </c>
      <c r="K46" s="10" t="s">
        <v>14</v>
      </c>
      <c r="M46" s="10" t="s">
        <v>41</v>
      </c>
      <c r="N46" s="10" t="s">
        <v>13</v>
      </c>
      <c r="O46" s="10" t="s">
        <v>14</v>
      </c>
      <c r="P46" s="29"/>
      <c r="Q46" s="10" t="s">
        <v>42</v>
      </c>
      <c r="R46" s="10" t="s">
        <v>13</v>
      </c>
      <c r="S46" s="10" t="s">
        <v>14</v>
      </c>
      <c r="T46" s="29"/>
      <c r="U46" s="10" t="s">
        <v>43</v>
      </c>
      <c r="V46" s="10" t="s">
        <v>13</v>
      </c>
      <c r="W46" s="10" t="s">
        <v>14</v>
      </c>
      <c r="Y46" s="39"/>
    </row>
    <row r="47" spans="1:39" s="6" customFormat="1">
      <c r="A47" s="20" t="s">
        <v>18</v>
      </c>
      <c r="B47" s="20">
        <v>9</v>
      </c>
      <c r="C47" s="20">
        <v>-128</v>
      </c>
      <c r="E47" s="20" t="s">
        <v>18</v>
      </c>
      <c r="F47" s="20">
        <v>7</v>
      </c>
      <c r="G47" s="20">
        <v>-128</v>
      </c>
      <c r="I47" s="20" t="s">
        <v>18</v>
      </c>
      <c r="J47" s="20">
        <v>8</v>
      </c>
      <c r="K47" s="20">
        <v>-128</v>
      </c>
      <c r="M47" s="20" t="s">
        <v>18</v>
      </c>
      <c r="N47" s="20">
        <v>4</v>
      </c>
      <c r="O47" s="20">
        <v>-128</v>
      </c>
      <c r="P47" s="30"/>
      <c r="Q47" s="20" t="s">
        <v>18</v>
      </c>
      <c r="R47" s="20"/>
      <c r="S47" s="20">
        <v>-128</v>
      </c>
      <c r="T47" s="30"/>
      <c r="U47" s="20" t="s">
        <v>18</v>
      </c>
      <c r="V47" s="20">
        <v>6</v>
      </c>
      <c r="W47" s="20">
        <v>-128</v>
      </c>
      <c r="X47" s="1">
        <f>B47+F47+J47+N47+R47+V47</f>
        <v>34</v>
      </c>
      <c r="Y47" s="1">
        <f t="shared" ref="Y47:Y54" si="8">(B47+F47+J47+N47+R47+V47)*W47</f>
        <v>-4352</v>
      </c>
      <c r="Z47" s="8">
        <f>(B47+F47+J47+N47+R47+V47)*AD5</f>
        <v>1360</v>
      </c>
      <c r="AA47" s="44"/>
      <c r="AB47" s="45"/>
      <c r="AC47" s="45"/>
      <c r="AD47" s="45"/>
      <c r="AE47" s="45"/>
      <c r="AF47" s="45"/>
      <c r="AG47" s="45"/>
      <c r="AJ47" s="47"/>
      <c r="AK47" s="47"/>
      <c r="AM47" s="6">
        <f t="shared" ref="AM47:AM52" si="9">SUM(AB47:AK47)</f>
        <v>0</v>
      </c>
    </row>
    <row r="48" spans="1:39" s="6" customFormat="1">
      <c r="A48" s="20" t="s">
        <v>22</v>
      </c>
      <c r="B48" s="20">
        <v>3</v>
      </c>
      <c r="C48" s="20">
        <v>-40</v>
      </c>
      <c r="E48" s="20" t="s">
        <v>22</v>
      </c>
      <c r="F48" s="20">
        <v>3</v>
      </c>
      <c r="G48" s="20">
        <v>-40</v>
      </c>
      <c r="I48" s="20" t="s">
        <v>22</v>
      </c>
      <c r="J48" s="20">
        <v>2</v>
      </c>
      <c r="K48" s="20">
        <v>-40</v>
      </c>
      <c r="M48" s="20" t="s">
        <v>22</v>
      </c>
      <c r="N48" s="20">
        <v>1</v>
      </c>
      <c r="O48" s="20">
        <v>-40</v>
      </c>
      <c r="P48" s="30"/>
      <c r="Q48" s="20" t="s">
        <v>22</v>
      </c>
      <c r="R48" s="20"/>
      <c r="S48" s="20">
        <v>-40</v>
      </c>
      <c r="T48" s="30"/>
      <c r="U48" s="20" t="s">
        <v>22</v>
      </c>
      <c r="V48" s="20"/>
      <c r="W48" s="20">
        <v>-40</v>
      </c>
      <c r="X48" s="1">
        <f t="shared" ref="X47:X54" si="10">B48+F48+J48+N48+R48+V48</f>
        <v>9</v>
      </c>
      <c r="Y48" s="1">
        <f t="shared" si="8"/>
        <v>-360</v>
      </c>
      <c r="Z48" s="8">
        <f>(B48+F48+J48+N48+R48+V48)*AD11</f>
        <v>270</v>
      </c>
      <c r="AA48" s="44"/>
      <c r="AB48" s="45"/>
      <c r="AC48" s="45"/>
      <c r="AD48" s="45"/>
      <c r="AE48" s="45"/>
      <c r="AF48" s="45"/>
      <c r="AG48" s="45"/>
      <c r="AJ48" s="47"/>
      <c r="AK48" s="47"/>
      <c r="AM48" s="6">
        <f t="shared" si="9"/>
        <v>0</v>
      </c>
    </row>
    <row r="49" spans="1:39" s="6" customFormat="1">
      <c r="A49" s="12" t="s">
        <v>21</v>
      </c>
      <c r="B49" s="20"/>
      <c r="C49" s="20">
        <v>160</v>
      </c>
      <c r="E49" s="12" t="s">
        <v>21</v>
      </c>
      <c r="F49" s="20">
        <v>1</v>
      </c>
      <c r="G49" s="20">
        <v>160</v>
      </c>
      <c r="I49" s="12" t="s">
        <v>21</v>
      </c>
      <c r="J49" s="20"/>
      <c r="K49" s="20">
        <v>160</v>
      </c>
      <c r="M49" s="12" t="s">
        <v>21</v>
      </c>
      <c r="N49" s="20"/>
      <c r="O49" s="20">
        <v>160</v>
      </c>
      <c r="P49" s="30"/>
      <c r="Q49" s="12" t="s">
        <v>21</v>
      </c>
      <c r="R49" s="20"/>
      <c r="S49" s="20">
        <v>160</v>
      </c>
      <c r="T49" s="30"/>
      <c r="U49" s="12" t="s">
        <v>21</v>
      </c>
      <c r="V49" s="20">
        <v>1</v>
      </c>
      <c r="W49" s="20">
        <v>160</v>
      </c>
      <c r="X49" s="35">
        <f t="shared" si="10"/>
        <v>2</v>
      </c>
      <c r="Y49" s="1">
        <f t="shared" si="8"/>
        <v>320</v>
      </c>
      <c r="Z49" s="46"/>
      <c r="AA49" s="44"/>
      <c r="AB49" s="45"/>
      <c r="AC49" s="45"/>
      <c r="AD49" s="45"/>
      <c r="AE49" s="45"/>
      <c r="AF49" s="45"/>
      <c r="AG49" s="45"/>
      <c r="AJ49" s="47"/>
      <c r="AK49" s="47"/>
      <c r="AM49" s="6">
        <f t="shared" si="9"/>
        <v>0</v>
      </c>
    </row>
    <row r="50" spans="1:39" s="6" customFormat="1">
      <c r="A50" s="20" t="s">
        <v>25</v>
      </c>
      <c r="B50" s="20">
        <v>2</v>
      </c>
      <c r="C50" s="20">
        <v>-8</v>
      </c>
      <c r="E50" s="20" t="s">
        <v>25</v>
      </c>
      <c r="F50" s="20">
        <v>1</v>
      </c>
      <c r="G50" s="20">
        <v>-8</v>
      </c>
      <c r="I50" s="20" t="s">
        <v>25</v>
      </c>
      <c r="J50" s="20"/>
      <c r="K50" s="20">
        <v>-8</v>
      </c>
      <c r="M50" s="20" t="s">
        <v>25</v>
      </c>
      <c r="N50" s="20"/>
      <c r="O50" s="20">
        <v>-8</v>
      </c>
      <c r="P50" s="30"/>
      <c r="Q50" s="20" t="s">
        <v>25</v>
      </c>
      <c r="R50" s="20"/>
      <c r="S50" s="20">
        <v>-8</v>
      </c>
      <c r="T50" s="30"/>
      <c r="U50" s="20" t="s">
        <v>25</v>
      </c>
      <c r="V50" s="20"/>
      <c r="W50" s="20">
        <v>-8</v>
      </c>
      <c r="X50" s="1">
        <f t="shared" si="10"/>
        <v>3</v>
      </c>
      <c r="Y50" s="1">
        <f t="shared" si="8"/>
        <v>-24</v>
      </c>
      <c r="Z50" s="46"/>
      <c r="AA50" s="44"/>
      <c r="AB50" s="45"/>
      <c r="AC50" s="45"/>
      <c r="AD50" s="45"/>
      <c r="AE50" s="45"/>
      <c r="AF50" s="45"/>
      <c r="AG50" s="45"/>
      <c r="AJ50" s="47"/>
      <c r="AK50" s="47"/>
      <c r="AM50" s="6">
        <f t="shared" si="9"/>
        <v>0</v>
      </c>
    </row>
    <row r="51" spans="1:39" s="6" customFormat="1">
      <c r="A51" s="20" t="s">
        <v>20</v>
      </c>
      <c r="B51" s="21"/>
      <c r="C51" s="20">
        <v>-120</v>
      </c>
      <c r="E51" s="20" t="s">
        <v>20</v>
      </c>
      <c r="F51" s="21">
        <v>3</v>
      </c>
      <c r="G51" s="20">
        <v>-120</v>
      </c>
      <c r="I51" s="20" t="s">
        <v>20</v>
      </c>
      <c r="J51" s="21"/>
      <c r="K51" s="20">
        <v>-120</v>
      </c>
      <c r="M51" s="20" t="s">
        <v>20</v>
      </c>
      <c r="N51" s="21"/>
      <c r="O51" s="20">
        <v>-120</v>
      </c>
      <c r="P51" s="30"/>
      <c r="Q51" s="20" t="s">
        <v>20</v>
      </c>
      <c r="R51" s="21"/>
      <c r="S51" s="20">
        <v>-120</v>
      </c>
      <c r="T51" s="30"/>
      <c r="U51" s="20" t="s">
        <v>20</v>
      </c>
      <c r="V51" s="21"/>
      <c r="W51" s="20">
        <v>-120</v>
      </c>
      <c r="X51" s="1">
        <f t="shared" si="10"/>
        <v>3</v>
      </c>
      <c r="Y51" s="1">
        <f t="shared" si="8"/>
        <v>-360</v>
      </c>
      <c r="Z51" s="8">
        <f>(B51+F51+J51+N51+R51+V51)*AD6</f>
        <v>105</v>
      </c>
      <c r="AA51" s="44"/>
      <c r="AB51" s="45"/>
      <c r="AC51" s="45"/>
      <c r="AD51" s="45"/>
      <c r="AJ51" s="47"/>
      <c r="AK51" s="47"/>
      <c r="AM51" s="6">
        <f t="shared" si="9"/>
        <v>0</v>
      </c>
    </row>
    <row r="52" spans="1:39" s="6" customFormat="1">
      <c r="A52" s="20" t="s">
        <v>44</v>
      </c>
      <c r="B52" s="21"/>
      <c r="C52" s="20">
        <v>-120</v>
      </c>
      <c r="E52" s="20" t="s">
        <v>44</v>
      </c>
      <c r="F52" s="21"/>
      <c r="G52" s="20">
        <v>-120</v>
      </c>
      <c r="I52" s="20" t="s">
        <v>44</v>
      </c>
      <c r="J52" s="21"/>
      <c r="K52" s="20">
        <v>-120</v>
      </c>
      <c r="M52" s="20" t="s">
        <v>44</v>
      </c>
      <c r="N52" s="21">
        <v>1</v>
      </c>
      <c r="O52" s="20">
        <v>-120</v>
      </c>
      <c r="P52" s="30"/>
      <c r="Q52" s="20" t="s">
        <v>44</v>
      </c>
      <c r="R52" s="21"/>
      <c r="S52" s="20">
        <v>-120</v>
      </c>
      <c r="T52" s="30"/>
      <c r="U52" s="20" t="s">
        <v>44</v>
      </c>
      <c r="V52" s="21"/>
      <c r="W52" s="20">
        <v>-120</v>
      </c>
      <c r="X52" s="1">
        <f t="shared" si="10"/>
        <v>1</v>
      </c>
      <c r="Y52" s="1">
        <f t="shared" si="8"/>
        <v>-120</v>
      </c>
      <c r="Z52" s="8">
        <f>(B52+F52+J52+N52+R52+V52)*AD5</f>
        <v>40</v>
      </c>
      <c r="AA52" s="44"/>
      <c r="AB52" s="45"/>
      <c r="AJ52" s="47"/>
      <c r="AK52" s="47"/>
      <c r="AM52" s="6">
        <f t="shared" si="9"/>
        <v>0</v>
      </c>
    </row>
    <row r="53" spans="1:39" s="6" customFormat="1">
      <c r="A53" s="20" t="s">
        <v>26</v>
      </c>
      <c r="B53" s="20"/>
      <c r="C53" s="20">
        <v>-40</v>
      </c>
      <c r="E53" s="20" t="s">
        <v>26</v>
      </c>
      <c r="F53" s="20">
        <v>1</v>
      </c>
      <c r="G53" s="20">
        <v>-40</v>
      </c>
      <c r="I53" s="20" t="s">
        <v>26</v>
      </c>
      <c r="J53" s="20"/>
      <c r="K53" s="20">
        <v>-40</v>
      </c>
      <c r="M53" s="20" t="s">
        <v>26</v>
      </c>
      <c r="N53" s="20"/>
      <c r="O53" s="20">
        <v>-40</v>
      </c>
      <c r="P53" s="30"/>
      <c r="Q53" s="20" t="s">
        <v>26</v>
      </c>
      <c r="R53" s="20"/>
      <c r="S53" s="20">
        <v>-40</v>
      </c>
      <c r="T53" s="30"/>
      <c r="U53" s="20" t="s">
        <v>26</v>
      </c>
      <c r="V53" s="20"/>
      <c r="W53" s="20">
        <v>-40</v>
      </c>
      <c r="X53" s="1">
        <f t="shared" si="10"/>
        <v>1</v>
      </c>
      <c r="Y53" s="1">
        <f t="shared" si="8"/>
        <v>-40</v>
      </c>
      <c r="Z53" s="8">
        <f>(B53+F53+J53+N53+R53+V53)*AD10</f>
        <v>520</v>
      </c>
      <c r="AA53" s="44"/>
      <c r="AB53" s="45"/>
      <c r="AJ53" s="47"/>
      <c r="AK53" s="47"/>
    </row>
    <row r="54" spans="1:39" s="6" customFormat="1">
      <c r="A54" s="20" t="s">
        <v>45</v>
      </c>
      <c r="B54" s="20">
        <v>1</v>
      </c>
      <c r="C54" s="20">
        <v>40</v>
      </c>
      <c r="E54" s="20" t="s">
        <v>45</v>
      </c>
      <c r="F54" s="20"/>
      <c r="G54" s="20">
        <v>40</v>
      </c>
      <c r="I54" s="20" t="s">
        <v>45</v>
      </c>
      <c r="J54" s="20">
        <v>1</v>
      </c>
      <c r="K54" s="20">
        <v>40</v>
      </c>
      <c r="M54" s="20" t="s">
        <v>45</v>
      </c>
      <c r="N54" s="20"/>
      <c r="O54" s="20">
        <v>40</v>
      </c>
      <c r="P54" s="30"/>
      <c r="Q54" s="20" t="s">
        <v>45</v>
      </c>
      <c r="R54" s="20"/>
      <c r="S54" s="20">
        <v>40</v>
      </c>
      <c r="T54" s="30"/>
      <c r="U54" s="20" t="s">
        <v>45</v>
      </c>
      <c r="V54" s="20"/>
      <c r="W54" s="20">
        <v>40</v>
      </c>
      <c r="X54" s="1">
        <f t="shared" si="10"/>
        <v>2</v>
      </c>
      <c r="Y54" s="1">
        <f t="shared" si="8"/>
        <v>80</v>
      </c>
      <c r="Z54" s="46"/>
      <c r="AA54" s="44"/>
      <c r="AB54" s="45"/>
    </row>
    <row r="55" spans="1:39" s="4" customFormat="1">
      <c r="A55" s="60"/>
      <c r="B55" s="60"/>
      <c r="C55" s="60"/>
      <c r="E55" s="60"/>
      <c r="F55" s="60"/>
      <c r="G55" s="60"/>
      <c r="I55" s="60"/>
      <c r="J55" s="60"/>
      <c r="K55" s="60"/>
      <c r="M55" s="60"/>
      <c r="N55" s="60"/>
      <c r="O55" s="60"/>
      <c r="P55" s="31"/>
      <c r="Q55" s="60"/>
      <c r="R55" s="60"/>
      <c r="S55" s="60"/>
      <c r="T55" s="31"/>
      <c r="U55" s="60"/>
      <c r="V55" s="60"/>
      <c r="W55" s="60"/>
      <c r="Y55" s="38">
        <f>SUM(Y47:Y54)</f>
        <v>-4856</v>
      </c>
      <c r="Z55" s="4">
        <f>SUM(Z47:Z54)</f>
        <v>2295</v>
      </c>
    </row>
    <row r="56" spans="1:39" s="7" customFormat="1" ht="27" customHeight="1">
      <c r="A56" s="61" t="s">
        <v>46</v>
      </c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Y56" s="40"/>
    </row>
    <row r="57" spans="1:39" s="7" customFormat="1">
      <c r="A57" s="23" t="s">
        <v>47</v>
      </c>
      <c r="B57" s="24" t="s">
        <v>13</v>
      </c>
      <c r="C57" s="24" t="s">
        <v>14</v>
      </c>
      <c r="E57" s="23" t="s">
        <v>47</v>
      </c>
      <c r="F57" s="24" t="s">
        <v>13</v>
      </c>
      <c r="G57" s="24" t="s">
        <v>14</v>
      </c>
      <c r="I57" s="23" t="s">
        <v>47</v>
      </c>
      <c r="J57" s="24" t="s">
        <v>13</v>
      </c>
      <c r="K57" s="24" t="s">
        <v>14</v>
      </c>
      <c r="M57" s="23" t="s">
        <v>47</v>
      </c>
      <c r="N57" s="24" t="s">
        <v>13</v>
      </c>
      <c r="O57" s="24" t="s">
        <v>14</v>
      </c>
      <c r="P57" s="32"/>
      <c r="Q57" s="23" t="s">
        <v>47</v>
      </c>
      <c r="R57" s="24" t="s">
        <v>13</v>
      </c>
      <c r="S57" s="24" t="s">
        <v>14</v>
      </c>
      <c r="U57" s="23" t="s">
        <v>47</v>
      </c>
      <c r="V57" s="24" t="s">
        <v>13</v>
      </c>
      <c r="W57" s="24" t="s">
        <v>14</v>
      </c>
      <c r="Y57" s="40"/>
      <c r="AE57" s="7" t="s">
        <v>20</v>
      </c>
      <c r="AF57" s="7">
        <v>120</v>
      </c>
      <c r="AG57" s="7">
        <v>35</v>
      </c>
    </row>
    <row r="58" spans="1:39" s="7" customFormat="1">
      <c r="A58" s="25" t="s">
        <v>20</v>
      </c>
      <c r="B58" s="26">
        <v>23</v>
      </c>
      <c r="C58" s="25">
        <v>150</v>
      </c>
      <c r="E58" s="25" t="s">
        <v>20</v>
      </c>
      <c r="F58" s="26"/>
      <c r="G58" s="25">
        <v>150</v>
      </c>
      <c r="I58" s="25" t="s">
        <v>20</v>
      </c>
      <c r="J58" s="26"/>
      <c r="K58" s="25">
        <v>150</v>
      </c>
      <c r="M58" s="25" t="s">
        <v>20</v>
      </c>
      <c r="N58" s="26"/>
      <c r="O58" s="25">
        <v>150</v>
      </c>
      <c r="P58" s="33"/>
      <c r="Q58" s="25" t="s">
        <v>20</v>
      </c>
      <c r="R58" s="26"/>
      <c r="S58" s="25">
        <v>150</v>
      </c>
      <c r="T58" s="22"/>
      <c r="U58" s="25" t="s">
        <v>20</v>
      </c>
      <c r="V58" s="26"/>
      <c r="W58" s="25">
        <v>150</v>
      </c>
      <c r="X58" s="37">
        <f t="shared" ref="X58:X64" si="11">B58+F58+J58+N58+R58+V58</f>
        <v>23</v>
      </c>
      <c r="Y58" s="1">
        <f t="shared" ref="Y58:Y64" si="12">(B58+F58+J58+N58+R58+V58)*W58</f>
        <v>3450</v>
      </c>
      <c r="Z58" s="8">
        <f>(B58+F58+J58+N58+R58+V58)*AD6</f>
        <v>805</v>
      </c>
      <c r="AE58" s="7" t="s">
        <v>18</v>
      </c>
      <c r="AF58" s="7">
        <v>128</v>
      </c>
      <c r="AG58" s="7">
        <v>40</v>
      </c>
    </row>
    <row r="59" spans="1:39" s="7" customFormat="1">
      <c r="A59" s="25" t="s">
        <v>22</v>
      </c>
      <c r="B59" s="25">
        <v>4</v>
      </c>
      <c r="C59" s="25">
        <v>50</v>
      </c>
      <c r="E59" s="25" t="s">
        <v>22</v>
      </c>
      <c r="F59" s="25">
        <v>3</v>
      </c>
      <c r="G59" s="25">
        <v>50</v>
      </c>
      <c r="I59" s="25" t="s">
        <v>22</v>
      </c>
      <c r="J59" s="25">
        <v>2</v>
      </c>
      <c r="K59" s="25">
        <v>50</v>
      </c>
      <c r="M59" s="25" t="s">
        <v>22</v>
      </c>
      <c r="N59" s="25"/>
      <c r="O59" s="25">
        <v>50</v>
      </c>
      <c r="P59" s="33"/>
      <c r="Q59" s="25" t="s">
        <v>22</v>
      </c>
      <c r="R59" s="25"/>
      <c r="S59" s="25">
        <v>50</v>
      </c>
      <c r="T59" s="22"/>
      <c r="U59" s="25" t="s">
        <v>22</v>
      </c>
      <c r="V59" s="25">
        <v>1</v>
      </c>
      <c r="W59" s="25">
        <v>50</v>
      </c>
      <c r="X59" s="37">
        <f t="shared" si="11"/>
        <v>10</v>
      </c>
      <c r="Y59" s="1">
        <f t="shared" si="12"/>
        <v>500</v>
      </c>
      <c r="Z59" s="8">
        <f>(B59+F59+J59+N59+R59+V59)*AD11</f>
        <v>300</v>
      </c>
      <c r="AE59" s="7" t="s">
        <v>17</v>
      </c>
      <c r="AF59" s="7">
        <v>136</v>
      </c>
      <c r="AG59" s="7">
        <v>45</v>
      </c>
    </row>
    <row r="60" spans="1:39" s="7" customFormat="1">
      <c r="A60" s="25" t="s">
        <v>18</v>
      </c>
      <c r="B60" s="25"/>
      <c r="C60" s="25">
        <v>160</v>
      </c>
      <c r="E60" s="25" t="s">
        <v>18</v>
      </c>
      <c r="F60" s="25">
        <v>15</v>
      </c>
      <c r="G60" s="25">
        <v>160</v>
      </c>
      <c r="I60" s="25" t="s">
        <v>18</v>
      </c>
      <c r="J60" s="25"/>
      <c r="K60" s="25">
        <v>160</v>
      </c>
      <c r="M60" s="25" t="s">
        <v>18</v>
      </c>
      <c r="N60" s="25"/>
      <c r="O60" s="25">
        <v>160</v>
      </c>
      <c r="P60" s="33"/>
      <c r="Q60" s="25" t="s">
        <v>18</v>
      </c>
      <c r="R60" s="25"/>
      <c r="S60" s="25">
        <v>160</v>
      </c>
      <c r="T60" s="22"/>
      <c r="U60" s="25" t="s">
        <v>18</v>
      </c>
      <c r="V60" s="25"/>
      <c r="W60" s="25">
        <v>160</v>
      </c>
      <c r="X60" s="37">
        <f t="shared" si="11"/>
        <v>15</v>
      </c>
      <c r="Y60" s="1">
        <f t="shared" si="12"/>
        <v>2400</v>
      </c>
      <c r="Z60" s="8">
        <f>(B60+F60+J60+N60+R60+V60)*AD5</f>
        <v>600</v>
      </c>
      <c r="AC60" s="7" t="s">
        <v>48</v>
      </c>
      <c r="AE60" s="7" t="s">
        <v>11</v>
      </c>
      <c r="AF60" s="7">
        <v>144</v>
      </c>
      <c r="AG60" s="7">
        <v>50</v>
      </c>
    </row>
    <row r="61" spans="1:39" s="7" customFormat="1">
      <c r="A61" s="25" t="s">
        <v>17</v>
      </c>
      <c r="B61" s="27"/>
      <c r="C61" s="25">
        <v>170</v>
      </c>
      <c r="E61" s="25" t="s">
        <v>17</v>
      </c>
      <c r="F61" s="27"/>
      <c r="G61" s="25">
        <v>170</v>
      </c>
      <c r="I61" s="25" t="s">
        <v>17</v>
      </c>
      <c r="J61" s="27">
        <v>49</v>
      </c>
      <c r="K61" s="25">
        <v>170</v>
      </c>
      <c r="M61" s="25" t="s">
        <v>17</v>
      </c>
      <c r="N61" s="27"/>
      <c r="O61" s="25">
        <v>170</v>
      </c>
      <c r="P61" s="33"/>
      <c r="Q61" s="25" t="s">
        <v>17</v>
      </c>
      <c r="R61" s="27"/>
      <c r="S61" s="25">
        <v>170</v>
      </c>
      <c r="T61" s="22"/>
      <c r="U61" s="25" t="s">
        <v>17</v>
      </c>
      <c r="V61" s="27">
        <v>1</v>
      </c>
      <c r="W61" s="25">
        <v>170</v>
      </c>
      <c r="X61" s="37">
        <f t="shared" si="11"/>
        <v>50</v>
      </c>
      <c r="Y61" s="1">
        <f t="shared" si="12"/>
        <v>8500</v>
      </c>
      <c r="Z61" s="8">
        <f>(B61+F61+J61+N61+R61+V61)*AD4</f>
        <v>2250</v>
      </c>
      <c r="AC61" s="7">
        <f>Q2+Y11+Y22+Y32-Y73+Y55+Y44</f>
        <v>-168</v>
      </c>
    </row>
    <row r="62" spans="1:39" s="7" customFormat="1">
      <c r="A62" s="25" t="s">
        <v>49</v>
      </c>
      <c r="B62" s="27"/>
      <c r="C62" s="25">
        <v>150</v>
      </c>
      <c r="E62" s="25" t="s">
        <v>49</v>
      </c>
      <c r="F62" s="27">
        <v>1</v>
      </c>
      <c r="G62" s="25">
        <v>150</v>
      </c>
      <c r="I62" s="25" t="s">
        <v>49</v>
      </c>
      <c r="J62" s="27"/>
      <c r="K62" s="25">
        <v>150</v>
      </c>
      <c r="M62" s="25" t="s">
        <v>49</v>
      </c>
      <c r="N62" s="27"/>
      <c r="O62" s="25">
        <v>150</v>
      </c>
      <c r="P62" s="33"/>
      <c r="Q62" s="25" t="s">
        <v>49</v>
      </c>
      <c r="R62" s="27"/>
      <c r="S62" s="25">
        <v>150</v>
      </c>
      <c r="T62" s="22"/>
      <c r="U62" s="25" t="s">
        <v>49</v>
      </c>
      <c r="V62" s="27"/>
      <c r="W62" s="25">
        <v>150</v>
      </c>
      <c r="X62" s="37">
        <f t="shared" si="11"/>
        <v>1</v>
      </c>
      <c r="Y62" s="1">
        <f t="shared" si="12"/>
        <v>150</v>
      </c>
      <c r="Z62" s="8">
        <f>(B62+F62+J62+N62+R62+V62)*AD5</f>
        <v>40</v>
      </c>
    </row>
    <row r="63" spans="1:39" s="7" customFormat="1">
      <c r="A63" s="25" t="s">
        <v>50</v>
      </c>
      <c r="B63" s="27"/>
      <c r="C63" s="25">
        <v>170</v>
      </c>
      <c r="E63" s="25" t="s">
        <v>50</v>
      </c>
      <c r="F63" s="27"/>
      <c r="G63" s="25">
        <v>170</v>
      </c>
      <c r="I63" s="25" t="s">
        <v>50</v>
      </c>
      <c r="J63" s="27">
        <v>4</v>
      </c>
      <c r="K63" s="25">
        <v>170</v>
      </c>
      <c r="M63" s="25" t="s">
        <v>50</v>
      </c>
      <c r="N63" s="27"/>
      <c r="O63" s="25">
        <v>170</v>
      </c>
      <c r="P63" s="33"/>
      <c r="Q63" s="25" t="s">
        <v>50</v>
      </c>
      <c r="R63" s="27"/>
      <c r="S63" s="25">
        <v>170</v>
      </c>
      <c r="T63" s="22"/>
      <c r="U63" s="25" t="s">
        <v>50</v>
      </c>
      <c r="V63" s="27"/>
      <c r="W63" s="25">
        <v>170</v>
      </c>
      <c r="X63" s="37">
        <f t="shared" si="11"/>
        <v>4</v>
      </c>
      <c r="Y63" s="1">
        <f t="shared" si="12"/>
        <v>680</v>
      </c>
      <c r="Z63" s="8">
        <f>(B63+F63+J63+N63+R63+V63)*AD4</f>
        <v>180</v>
      </c>
      <c r="AC63" s="7" t="s">
        <v>51</v>
      </c>
    </row>
    <row r="64" spans="1:39" s="7" customFormat="1">
      <c r="A64" s="25" t="s">
        <v>52</v>
      </c>
      <c r="B64" s="26"/>
      <c r="C64" s="25">
        <v>150</v>
      </c>
      <c r="E64" s="25" t="s">
        <v>52</v>
      </c>
      <c r="F64" s="26"/>
      <c r="G64" s="25">
        <v>150</v>
      </c>
      <c r="I64" s="25" t="s">
        <v>52</v>
      </c>
      <c r="J64" s="26">
        <v>2</v>
      </c>
      <c r="K64" s="25">
        <v>150</v>
      </c>
      <c r="M64" s="25" t="s">
        <v>52</v>
      </c>
      <c r="N64" s="26"/>
      <c r="O64" s="25">
        <v>150</v>
      </c>
      <c r="P64" s="33"/>
      <c r="Q64" s="25" t="s">
        <v>52</v>
      </c>
      <c r="R64" s="26"/>
      <c r="S64" s="25">
        <v>150</v>
      </c>
      <c r="T64" s="22"/>
      <c r="U64" s="25" t="s">
        <v>52</v>
      </c>
      <c r="V64" s="26"/>
      <c r="W64" s="25">
        <v>150</v>
      </c>
      <c r="X64" s="37">
        <f t="shared" si="11"/>
        <v>2</v>
      </c>
      <c r="Y64" s="1">
        <f t="shared" si="12"/>
        <v>300</v>
      </c>
      <c r="Z64" s="8">
        <f>(B64+F64+J64+N64+R64+V64)*AD4</f>
        <v>90</v>
      </c>
      <c r="AC64" s="7">
        <v>0</v>
      </c>
    </row>
    <row r="65" spans="1:29" s="7" customFormat="1">
      <c r="A65" s="25" t="s">
        <v>11</v>
      </c>
      <c r="B65" s="26"/>
      <c r="C65" s="25">
        <v>180</v>
      </c>
      <c r="D65" s="1"/>
      <c r="E65" s="25" t="s">
        <v>11</v>
      </c>
      <c r="F65" s="26">
        <v>4</v>
      </c>
      <c r="G65" s="25">
        <v>180</v>
      </c>
      <c r="H65" s="1"/>
      <c r="I65" s="25" t="s">
        <v>11</v>
      </c>
      <c r="J65" s="26">
        <v>2</v>
      </c>
      <c r="K65" s="25">
        <v>180</v>
      </c>
      <c r="L65" s="1"/>
      <c r="M65" s="25" t="s">
        <v>11</v>
      </c>
      <c r="N65" s="26"/>
      <c r="O65" s="25">
        <v>180</v>
      </c>
      <c r="P65" s="33"/>
      <c r="Q65" s="25" t="s">
        <v>11</v>
      </c>
      <c r="R65" s="26"/>
      <c r="S65" s="25">
        <v>180</v>
      </c>
      <c r="T65" s="22"/>
      <c r="U65" s="25" t="s">
        <v>11</v>
      </c>
      <c r="V65" s="26"/>
      <c r="W65" s="25">
        <v>180</v>
      </c>
      <c r="X65" s="37">
        <f t="shared" ref="X65:X72" si="13">B65+F65+J65+N65+R65+V65</f>
        <v>6</v>
      </c>
      <c r="Y65" s="1">
        <f t="shared" ref="Y65:Y72" si="14">(B65+F65+J65+N65+R65+V65)*W65</f>
        <v>1080</v>
      </c>
      <c r="Z65" s="8">
        <f>(B65+F65+J65+N65+R65+V65)*AD3</f>
        <v>300</v>
      </c>
    </row>
    <row r="66" spans="1:29" s="7" customFormat="1">
      <c r="A66" s="25" t="s">
        <v>23</v>
      </c>
      <c r="B66" s="26"/>
      <c r="C66" s="25">
        <v>250</v>
      </c>
      <c r="D66" s="1"/>
      <c r="E66" s="25" t="s">
        <v>23</v>
      </c>
      <c r="F66" s="26">
        <v>1</v>
      </c>
      <c r="G66" s="25">
        <v>250</v>
      </c>
      <c r="H66" s="1"/>
      <c r="I66" s="25" t="s">
        <v>23</v>
      </c>
      <c r="J66" s="26"/>
      <c r="K66" s="25">
        <v>250</v>
      </c>
      <c r="L66" s="1"/>
      <c r="M66" s="25" t="s">
        <v>23</v>
      </c>
      <c r="N66" s="26"/>
      <c r="O66" s="25">
        <v>250</v>
      </c>
      <c r="P66" s="33"/>
      <c r="Q66" s="25" t="s">
        <v>23</v>
      </c>
      <c r="R66" s="26"/>
      <c r="S66" s="25">
        <v>250</v>
      </c>
      <c r="T66" s="22"/>
      <c r="U66" s="25" t="s">
        <v>23</v>
      </c>
      <c r="V66" s="26"/>
      <c r="W66" s="25">
        <v>250</v>
      </c>
      <c r="X66" s="37">
        <f t="shared" si="13"/>
        <v>1</v>
      </c>
      <c r="Y66" s="1">
        <f t="shared" si="14"/>
        <v>250</v>
      </c>
      <c r="Z66" s="8">
        <f>(B66+F66+J66+N66+R66+V66)*AD8</f>
        <v>400</v>
      </c>
      <c r="AC66" s="7" t="s">
        <v>53</v>
      </c>
    </row>
    <row r="67" spans="1:29" s="7" customFormat="1">
      <c r="A67" s="25" t="s">
        <v>24</v>
      </c>
      <c r="B67" s="25"/>
      <c r="C67" s="25">
        <v>250</v>
      </c>
      <c r="E67" s="25" t="s">
        <v>24</v>
      </c>
      <c r="F67" s="25"/>
      <c r="G67" s="25">
        <v>250</v>
      </c>
      <c r="I67" s="25" t="s">
        <v>24</v>
      </c>
      <c r="J67" s="25">
        <v>2</v>
      </c>
      <c r="K67" s="25">
        <v>250</v>
      </c>
      <c r="M67" s="25" t="s">
        <v>24</v>
      </c>
      <c r="N67" s="25"/>
      <c r="O67" s="25">
        <v>250</v>
      </c>
      <c r="P67" s="33"/>
      <c r="Q67" s="25" t="s">
        <v>24</v>
      </c>
      <c r="R67" s="25"/>
      <c r="S67" s="25">
        <v>250</v>
      </c>
      <c r="T67" s="22"/>
      <c r="U67" s="25" t="s">
        <v>24</v>
      </c>
      <c r="V67" s="25"/>
      <c r="W67" s="25">
        <v>250</v>
      </c>
      <c r="X67" s="37">
        <f t="shared" si="13"/>
        <v>2</v>
      </c>
      <c r="Y67" s="1">
        <f t="shared" si="14"/>
        <v>500</v>
      </c>
      <c r="Z67" s="8">
        <f>(B67+F67+J67+N67+R67+V67)*AD9</f>
        <v>600</v>
      </c>
      <c r="AC67" s="7">
        <f>Z11+Z22+Z32+Z44+Z55+7000+AC64+Z73</f>
        <v>64645</v>
      </c>
    </row>
    <row r="68" spans="1:29" s="7" customFormat="1">
      <c r="A68" s="48" t="s">
        <v>21</v>
      </c>
      <c r="B68" s="25"/>
      <c r="C68" s="25">
        <v>-150</v>
      </c>
      <c r="E68" s="48" t="s">
        <v>21</v>
      </c>
      <c r="F68" s="25">
        <v>1</v>
      </c>
      <c r="G68" s="25">
        <v>-150</v>
      </c>
      <c r="I68" s="48" t="s">
        <v>21</v>
      </c>
      <c r="J68" s="25"/>
      <c r="K68" s="25">
        <v>-150</v>
      </c>
      <c r="M68" s="48" t="s">
        <v>21</v>
      </c>
      <c r="N68" s="25"/>
      <c r="O68" s="25">
        <v>-150</v>
      </c>
      <c r="P68" s="33"/>
      <c r="Q68" s="48" t="s">
        <v>21</v>
      </c>
      <c r="R68" s="25"/>
      <c r="S68" s="25">
        <v>-150</v>
      </c>
      <c r="T68" s="22"/>
      <c r="U68" s="48" t="s">
        <v>21</v>
      </c>
      <c r="V68" s="25"/>
      <c r="W68" s="25">
        <v>-150</v>
      </c>
      <c r="X68" s="35">
        <f t="shared" si="13"/>
        <v>1</v>
      </c>
      <c r="Y68" s="1">
        <f t="shared" si="14"/>
        <v>-150</v>
      </c>
      <c r="Z68" s="8"/>
    </row>
    <row r="69" spans="1:29" s="7" customFormat="1">
      <c r="A69" s="49" t="s">
        <v>25</v>
      </c>
      <c r="B69" s="25"/>
      <c r="C69" s="25">
        <v>10</v>
      </c>
      <c r="E69" s="49" t="s">
        <v>25</v>
      </c>
      <c r="F69" s="25"/>
      <c r="G69" s="25">
        <v>10</v>
      </c>
      <c r="I69" s="49" t="s">
        <v>25</v>
      </c>
      <c r="J69" s="25">
        <v>4</v>
      </c>
      <c r="K69" s="25">
        <v>10</v>
      </c>
      <c r="M69" s="49" t="s">
        <v>25</v>
      </c>
      <c r="N69" s="25"/>
      <c r="O69" s="25">
        <v>10</v>
      </c>
      <c r="P69" s="33"/>
      <c r="Q69" s="49" t="s">
        <v>25</v>
      </c>
      <c r="R69" s="25"/>
      <c r="S69" s="25">
        <v>10</v>
      </c>
      <c r="T69" s="22"/>
      <c r="U69" s="49" t="s">
        <v>25</v>
      </c>
      <c r="V69" s="25"/>
      <c r="W69" s="25">
        <v>10</v>
      </c>
      <c r="X69" s="37">
        <f t="shared" si="13"/>
        <v>4</v>
      </c>
      <c r="Y69" s="1">
        <f t="shared" si="14"/>
        <v>40</v>
      </c>
      <c r="Z69" s="8"/>
    </row>
    <row r="70" spans="1:29">
      <c r="A70" s="49" t="s">
        <v>30</v>
      </c>
      <c r="B70" s="26"/>
      <c r="C70" s="25">
        <v>150</v>
      </c>
      <c r="D70" s="7"/>
      <c r="E70" s="49" t="s">
        <v>30</v>
      </c>
      <c r="F70" s="26"/>
      <c r="G70" s="25">
        <v>150</v>
      </c>
      <c r="H70" s="7"/>
      <c r="I70" s="49" t="s">
        <v>30</v>
      </c>
      <c r="J70" s="26"/>
      <c r="K70" s="25">
        <v>150</v>
      </c>
      <c r="L70" s="7"/>
      <c r="M70" s="49" t="s">
        <v>30</v>
      </c>
      <c r="N70" s="26"/>
      <c r="O70" s="25">
        <v>150</v>
      </c>
      <c r="P70" s="33"/>
      <c r="Q70" s="49" t="s">
        <v>30</v>
      </c>
      <c r="R70" s="26"/>
      <c r="S70" s="25">
        <v>150</v>
      </c>
      <c r="T70" s="22"/>
      <c r="U70" s="49" t="s">
        <v>30</v>
      </c>
      <c r="V70" s="26"/>
      <c r="W70" s="25">
        <v>150</v>
      </c>
      <c r="X70" s="37">
        <f t="shared" si="13"/>
        <v>0</v>
      </c>
      <c r="Y70" s="1">
        <f t="shared" si="14"/>
        <v>0</v>
      </c>
      <c r="Z70" s="8">
        <f>(B70+F70+J70+N70+R70+V70)*AD13</f>
        <v>0</v>
      </c>
    </row>
    <row r="71" spans="1:29">
      <c r="A71" s="49" t="s">
        <v>45</v>
      </c>
      <c r="B71" s="26"/>
      <c r="C71" s="25">
        <v>-50</v>
      </c>
      <c r="D71" s="7"/>
      <c r="E71" s="49" t="s">
        <v>45</v>
      </c>
      <c r="F71" s="26"/>
      <c r="G71" s="25">
        <v>-50</v>
      </c>
      <c r="H71" s="7"/>
      <c r="I71" s="49" t="s">
        <v>45</v>
      </c>
      <c r="J71" s="26">
        <v>1</v>
      </c>
      <c r="K71" s="25">
        <v>-50</v>
      </c>
      <c r="L71" s="7"/>
      <c r="M71" s="49" t="s">
        <v>45</v>
      </c>
      <c r="N71" s="26"/>
      <c r="O71" s="25">
        <v>-50</v>
      </c>
      <c r="P71" s="33"/>
      <c r="Q71" s="49" t="s">
        <v>45</v>
      </c>
      <c r="R71" s="26"/>
      <c r="S71" s="25">
        <v>-50</v>
      </c>
      <c r="T71" s="22"/>
      <c r="U71" s="49" t="s">
        <v>45</v>
      </c>
      <c r="V71" s="26"/>
      <c r="W71" s="25">
        <v>-50</v>
      </c>
      <c r="X71" s="37">
        <f t="shared" si="13"/>
        <v>1</v>
      </c>
      <c r="Y71" s="1">
        <f t="shared" si="14"/>
        <v>-50</v>
      </c>
    </row>
    <row r="72" spans="1:29">
      <c r="A72" s="49" t="s">
        <v>54</v>
      </c>
      <c r="B72" s="25"/>
      <c r="C72" s="25">
        <v>50</v>
      </c>
      <c r="D72" s="7"/>
      <c r="E72" s="49" t="s">
        <v>54</v>
      </c>
      <c r="F72" s="25"/>
      <c r="G72" s="25">
        <v>50</v>
      </c>
      <c r="H72" s="7"/>
      <c r="I72" s="49" t="s">
        <v>54</v>
      </c>
      <c r="J72" s="25">
        <v>3</v>
      </c>
      <c r="K72" s="25">
        <v>50</v>
      </c>
      <c r="L72" s="7"/>
      <c r="M72" s="49" t="s">
        <v>54</v>
      </c>
      <c r="N72" s="25"/>
      <c r="O72" s="25">
        <v>50</v>
      </c>
      <c r="P72" s="33"/>
      <c r="Q72" s="49" t="s">
        <v>54</v>
      </c>
      <c r="R72" s="25"/>
      <c r="S72" s="25">
        <v>50</v>
      </c>
      <c r="T72" s="22"/>
      <c r="U72" s="49" t="s">
        <v>54</v>
      </c>
      <c r="V72" s="25"/>
      <c r="W72" s="25">
        <v>50</v>
      </c>
      <c r="X72" s="37">
        <f t="shared" si="13"/>
        <v>3</v>
      </c>
      <c r="Y72" s="1">
        <f t="shared" si="14"/>
        <v>150</v>
      </c>
      <c r="Z72" s="7"/>
    </row>
    <row r="73" spans="1:29">
      <c r="Y73" s="38">
        <f>SUM(Y58:Y72)</f>
        <v>17800</v>
      </c>
      <c r="Z73" s="38">
        <f>SUM(Z58:Z72)</f>
        <v>5565</v>
      </c>
    </row>
  </sheetData>
  <mergeCells count="38">
    <mergeCell ref="A56:W56"/>
    <mergeCell ref="U44:W44"/>
    <mergeCell ref="A45:W45"/>
    <mergeCell ref="A55:C55"/>
    <mergeCell ref="E55:G55"/>
    <mergeCell ref="I55:K55"/>
    <mergeCell ref="M55:O55"/>
    <mergeCell ref="Q55:S55"/>
    <mergeCell ref="U55:W55"/>
    <mergeCell ref="A44:C44"/>
    <mergeCell ref="E44:G44"/>
    <mergeCell ref="I44:K44"/>
    <mergeCell ref="M44:O44"/>
    <mergeCell ref="Q44:S44"/>
    <mergeCell ref="U22:W22"/>
    <mergeCell ref="A32:C32"/>
    <mergeCell ref="E32:G32"/>
    <mergeCell ref="I32:K32"/>
    <mergeCell ref="M32:O32"/>
    <mergeCell ref="Q32:S32"/>
    <mergeCell ref="U32:W32"/>
    <mergeCell ref="A22:C22"/>
    <mergeCell ref="E22:G22"/>
    <mergeCell ref="I22:K22"/>
    <mergeCell ref="M22:O22"/>
    <mergeCell ref="Q22:S22"/>
    <mergeCell ref="U3:W3"/>
    <mergeCell ref="A11:C11"/>
    <mergeCell ref="E11:G11"/>
    <mergeCell ref="I11:K11"/>
    <mergeCell ref="M11:O11"/>
    <mergeCell ref="Q11:S11"/>
    <mergeCell ref="U11:W11"/>
    <mergeCell ref="A3:C3"/>
    <mergeCell ref="E3:G3"/>
    <mergeCell ref="I3:K3"/>
    <mergeCell ref="M3:O3"/>
    <mergeCell ref="Q3:S3"/>
  </mergeCell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M73"/>
  <sheetViews>
    <sheetView zoomScale="85" zoomScaleNormal="85" workbookViewId="0">
      <pane ySplit="3" topLeftCell="A4" activePane="bottomLeft" state="frozen"/>
      <selection pane="bottomLeft" activeCell="X68" sqref="X7 X19 X29 X40 X49 X68"/>
    </sheetView>
  </sheetViews>
  <sheetFormatPr defaultColWidth="9" defaultRowHeight="14.25"/>
  <cols>
    <col min="1" max="3" width="9.140625" style="1" customWidth="1"/>
    <col min="4" max="4" width="4.28515625" style="1" customWidth="1"/>
    <col min="5" max="7" width="9.140625" style="1" customWidth="1"/>
    <col min="8" max="8" width="4.5703125" style="1" customWidth="1"/>
    <col min="9" max="11" width="9.140625" style="1" customWidth="1"/>
    <col min="12" max="12" width="4.42578125" style="1" customWidth="1"/>
    <col min="13" max="19" width="9.140625" style="1" customWidth="1"/>
    <col min="20" max="20" width="4" style="1" customWidth="1"/>
    <col min="21" max="23" width="9.140625" style="1" customWidth="1"/>
    <col min="24" max="24" width="5.85546875" style="1" customWidth="1"/>
    <col min="25" max="25" width="10.42578125" style="1" customWidth="1"/>
    <col min="26" max="26" width="10.42578125" style="8" customWidth="1"/>
    <col min="27" max="27" width="11.85546875" style="1" hidden="1" customWidth="1"/>
    <col min="28" max="28" width="9" style="1"/>
    <col min="29" max="29" width="10" style="1" customWidth="1"/>
    <col min="30" max="30" width="9.42578125" style="1" customWidth="1"/>
    <col min="31" max="32" width="9" style="1"/>
    <col min="33" max="33" width="9.42578125" style="1" customWidth="1"/>
    <col min="34" max="16384" width="9" style="1"/>
  </cols>
  <sheetData>
    <row r="1" spans="1:30">
      <c r="O1" s="1" t="s">
        <v>0</v>
      </c>
      <c r="P1" s="1">
        <v>89</v>
      </c>
      <c r="Q1" s="1">
        <f>P1*1600</f>
        <v>142400</v>
      </c>
      <c r="AB1" s="1" t="s">
        <v>1</v>
      </c>
      <c r="AC1" s="1" t="s">
        <v>2</v>
      </c>
      <c r="AD1" s="1">
        <v>60</v>
      </c>
    </row>
    <row r="2" spans="1:30">
      <c r="P2" s="1" t="s">
        <v>3</v>
      </c>
      <c r="Q2" s="34">
        <f>Q1+800+6000</f>
        <v>149200</v>
      </c>
      <c r="AC2" s="1" t="s">
        <v>4</v>
      </c>
      <c r="AD2" s="1">
        <v>55</v>
      </c>
    </row>
    <row r="3" spans="1:30" ht="23.25">
      <c r="A3" s="50" t="s">
        <v>5</v>
      </c>
      <c r="B3" s="50"/>
      <c r="C3" s="50"/>
      <c r="D3" s="9"/>
      <c r="E3" s="50" t="s">
        <v>6</v>
      </c>
      <c r="F3" s="50"/>
      <c r="G3" s="50"/>
      <c r="H3" s="9"/>
      <c r="I3" s="50" t="s">
        <v>7</v>
      </c>
      <c r="J3" s="50"/>
      <c r="K3" s="50"/>
      <c r="L3" s="9"/>
      <c r="M3" s="50" t="s">
        <v>8</v>
      </c>
      <c r="N3" s="50"/>
      <c r="O3" s="50"/>
      <c r="P3" s="9"/>
      <c r="Q3" s="50" t="s">
        <v>9</v>
      </c>
      <c r="R3" s="50"/>
      <c r="S3" s="50"/>
      <c r="T3" s="9"/>
      <c r="U3" s="50" t="s">
        <v>10</v>
      </c>
      <c r="V3" s="50"/>
      <c r="W3" s="50"/>
      <c r="AC3" s="1" t="s">
        <v>11</v>
      </c>
      <c r="AD3" s="1">
        <v>50</v>
      </c>
    </row>
    <row r="4" spans="1:30">
      <c r="A4" s="10" t="s">
        <v>12</v>
      </c>
      <c r="B4" s="10" t="s">
        <v>13</v>
      </c>
      <c r="C4" s="10" t="s">
        <v>14</v>
      </c>
      <c r="E4" s="10" t="s">
        <v>12</v>
      </c>
      <c r="F4" s="10" t="s">
        <v>13</v>
      </c>
      <c r="G4" s="10" t="s">
        <v>14</v>
      </c>
      <c r="I4" s="10" t="s">
        <v>12</v>
      </c>
      <c r="J4" s="10" t="s">
        <v>13</v>
      </c>
      <c r="K4" s="10" t="s">
        <v>14</v>
      </c>
      <c r="M4" s="10" t="s">
        <v>12</v>
      </c>
      <c r="N4" s="10" t="s">
        <v>13</v>
      </c>
      <c r="O4" s="10" t="s">
        <v>14</v>
      </c>
      <c r="Q4" s="10" t="s">
        <v>12</v>
      </c>
      <c r="R4" s="10" t="s">
        <v>13</v>
      </c>
      <c r="S4" s="10" t="s">
        <v>14</v>
      </c>
      <c r="U4" s="10" t="s">
        <v>12</v>
      </c>
      <c r="V4" s="10" t="s">
        <v>13</v>
      </c>
      <c r="W4" s="10" t="s">
        <v>14</v>
      </c>
      <c r="Y4" s="1" t="s">
        <v>15</v>
      </c>
      <c r="Z4" s="8" t="s">
        <v>16</v>
      </c>
      <c r="AC4" s="1" t="s">
        <v>17</v>
      </c>
      <c r="AD4" s="1">
        <v>45</v>
      </c>
    </row>
    <row r="5" spans="1:30">
      <c r="A5" s="11" t="s">
        <v>2</v>
      </c>
      <c r="B5" s="11">
        <v>64</v>
      </c>
      <c r="C5" s="11">
        <v>-160</v>
      </c>
      <c r="E5" s="11" t="s">
        <v>2</v>
      </c>
      <c r="F5" s="11">
        <v>52</v>
      </c>
      <c r="G5" s="11">
        <v>-160</v>
      </c>
      <c r="I5" s="11" t="s">
        <v>2</v>
      </c>
      <c r="J5" s="11">
        <v>41</v>
      </c>
      <c r="K5" s="11">
        <v>-160</v>
      </c>
      <c r="M5" s="11" t="s">
        <v>2</v>
      </c>
      <c r="N5" s="11">
        <v>34</v>
      </c>
      <c r="O5" s="11">
        <v>-160</v>
      </c>
      <c r="Q5" s="11" t="s">
        <v>2</v>
      </c>
      <c r="R5" s="11"/>
      <c r="S5" s="11">
        <v>-160</v>
      </c>
      <c r="U5" s="11" t="s">
        <v>2</v>
      </c>
      <c r="V5" s="11"/>
      <c r="W5" s="11">
        <v>-160</v>
      </c>
      <c r="X5" s="1">
        <f t="shared" ref="X5:X12" si="0">B5+F5+J5+N5+R5+V5</f>
        <v>191</v>
      </c>
      <c r="Y5" s="1">
        <f t="shared" ref="Y5:Y9" si="1">(B5+F5+J5+N5+R5+V5)*W5</f>
        <v>-30560</v>
      </c>
      <c r="Z5" s="8">
        <f>(B5+F5+J5+N5+R5+V5)*AD1</f>
        <v>11460</v>
      </c>
      <c r="AC5" s="1" t="s">
        <v>18</v>
      </c>
      <c r="AD5" s="1">
        <v>40</v>
      </c>
    </row>
    <row r="6" spans="1:30">
      <c r="A6" s="11" t="s">
        <v>19</v>
      </c>
      <c r="B6" s="11"/>
      <c r="C6" s="11">
        <v>-200</v>
      </c>
      <c r="E6" s="11" t="s">
        <v>19</v>
      </c>
      <c r="F6" s="11">
        <v>1</v>
      </c>
      <c r="G6" s="11">
        <v>-200</v>
      </c>
      <c r="I6" s="11" t="s">
        <v>19</v>
      </c>
      <c r="J6" s="11"/>
      <c r="K6" s="11">
        <v>-200</v>
      </c>
      <c r="M6" s="11" t="s">
        <v>19</v>
      </c>
      <c r="N6" s="11">
        <v>1</v>
      </c>
      <c r="O6" s="11">
        <v>-200</v>
      </c>
      <c r="Q6" s="11" t="s">
        <v>19</v>
      </c>
      <c r="R6" s="11"/>
      <c r="S6" s="11">
        <v>-200</v>
      </c>
      <c r="U6" s="11" t="s">
        <v>19</v>
      </c>
      <c r="V6" s="11"/>
      <c r="W6" s="11">
        <v>-200</v>
      </c>
      <c r="X6" s="1">
        <f t="shared" si="0"/>
        <v>2</v>
      </c>
      <c r="Y6" s="1">
        <f t="shared" si="1"/>
        <v>-400</v>
      </c>
      <c r="Z6" s="8">
        <f>(N6+B6+F6+J6+R6+V6)*AD7</f>
        <v>2000</v>
      </c>
      <c r="AC6" s="1" t="s">
        <v>20</v>
      </c>
      <c r="AD6" s="1">
        <v>35</v>
      </c>
    </row>
    <row r="7" spans="1:30">
      <c r="A7" s="12" t="s">
        <v>21</v>
      </c>
      <c r="B7" s="13">
        <v>1</v>
      </c>
      <c r="C7" s="11">
        <v>160</v>
      </c>
      <c r="E7" s="12" t="s">
        <v>21</v>
      </c>
      <c r="F7" s="13"/>
      <c r="G7" s="11">
        <v>160</v>
      </c>
      <c r="I7" s="12" t="s">
        <v>21</v>
      </c>
      <c r="J7" s="13">
        <v>1</v>
      </c>
      <c r="K7" s="11">
        <v>160</v>
      </c>
      <c r="M7" s="12" t="s">
        <v>21</v>
      </c>
      <c r="N7" s="13">
        <v>1</v>
      </c>
      <c r="O7" s="11">
        <v>160</v>
      </c>
      <c r="Q7" s="12" t="s">
        <v>21</v>
      </c>
      <c r="R7" s="13"/>
      <c r="S7" s="11">
        <v>160</v>
      </c>
      <c r="U7" s="12" t="s">
        <v>21</v>
      </c>
      <c r="V7" s="13"/>
      <c r="W7" s="11">
        <v>160</v>
      </c>
      <c r="X7" s="35">
        <f t="shared" si="0"/>
        <v>3</v>
      </c>
      <c r="Y7" s="1">
        <f t="shared" si="1"/>
        <v>480</v>
      </c>
      <c r="AC7" s="1" t="s">
        <v>19</v>
      </c>
      <c r="AD7" s="1">
        <v>1000</v>
      </c>
    </row>
    <row r="8" spans="1:30">
      <c r="A8" s="13" t="s">
        <v>22</v>
      </c>
      <c r="B8" s="11">
        <v>1</v>
      </c>
      <c r="C8" s="11">
        <v>-40</v>
      </c>
      <c r="E8" s="13" t="s">
        <v>22</v>
      </c>
      <c r="F8" s="11"/>
      <c r="G8" s="11">
        <v>-40</v>
      </c>
      <c r="I8" s="13" t="s">
        <v>22</v>
      </c>
      <c r="J8" s="11"/>
      <c r="K8" s="11">
        <v>-40</v>
      </c>
      <c r="M8" s="13" t="s">
        <v>22</v>
      </c>
      <c r="N8" s="11"/>
      <c r="O8" s="11">
        <v>-40</v>
      </c>
      <c r="Q8" s="13" t="s">
        <v>22</v>
      </c>
      <c r="R8" s="11"/>
      <c r="S8" s="11">
        <v>-40</v>
      </c>
      <c r="U8" s="13" t="s">
        <v>22</v>
      </c>
      <c r="V8" s="11"/>
      <c r="W8" s="11">
        <v>-40</v>
      </c>
      <c r="X8" s="1">
        <f t="shared" si="0"/>
        <v>1</v>
      </c>
      <c r="Y8" s="1">
        <f t="shared" si="1"/>
        <v>-40</v>
      </c>
      <c r="Z8" s="8">
        <f>(N8+B8+F8+J8+R8+V8)*AD11</f>
        <v>30</v>
      </c>
      <c r="AC8" s="1" t="s">
        <v>23</v>
      </c>
      <c r="AD8" s="1">
        <v>400</v>
      </c>
    </row>
    <row r="9" spans="1:30">
      <c r="A9" s="11" t="s">
        <v>1</v>
      </c>
      <c r="B9" s="14"/>
      <c r="C9" s="11">
        <v>-120</v>
      </c>
      <c r="E9" s="11" t="s">
        <v>1</v>
      </c>
      <c r="F9" s="14"/>
      <c r="G9" s="11">
        <v>-120</v>
      </c>
      <c r="I9" s="11" t="s">
        <v>1</v>
      </c>
      <c r="J9" s="14">
        <v>1</v>
      </c>
      <c r="K9" s="11">
        <v>-120</v>
      </c>
      <c r="M9" s="11" t="s">
        <v>1</v>
      </c>
      <c r="N9" s="14"/>
      <c r="O9" s="11">
        <v>-120</v>
      </c>
      <c r="Q9" s="11" t="s">
        <v>1</v>
      </c>
      <c r="R9" s="14"/>
      <c r="S9" s="11">
        <v>-120</v>
      </c>
      <c r="U9" s="11" t="s">
        <v>1</v>
      </c>
      <c r="V9" s="14"/>
      <c r="W9" s="11">
        <v>-120</v>
      </c>
      <c r="X9" s="1">
        <f t="shared" si="0"/>
        <v>1</v>
      </c>
      <c r="Y9" s="1">
        <f t="shared" si="1"/>
        <v>-120</v>
      </c>
      <c r="Z9" s="8">
        <f>(N9+B9+F9+J9+R9+V9)*AD1</f>
        <v>60</v>
      </c>
      <c r="AC9" s="1" t="s">
        <v>24</v>
      </c>
      <c r="AD9" s="1">
        <v>300</v>
      </c>
    </row>
    <row r="10" spans="1:30">
      <c r="A10" s="11"/>
      <c r="B10" s="11"/>
      <c r="C10" s="11"/>
      <c r="E10" s="11"/>
      <c r="F10" s="11"/>
      <c r="G10" s="11"/>
      <c r="I10" s="11"/>
      <c r="J10" s="11"/>
      <c r="K10" s="11"/>
      <c r="M10" s="11"/>
      <c r="N10" s="11"/>
      <c r="O10" s="11"/>
      <c r="Q10" s="11"/>
      <c r="R10" s="11"/>
      <c r="S10" s="11"/>
      <c r="U10" s="11"/>
      <c r="V10" s="11"/>
      <c r="W10" s="11"/>
      <c r="X10" s="1">
        <f t="shared" si="0"/>
        <v>0</v>
      </c>
      <c r="AC10" s="1" t="s">
        <v>26</v>
      </c>
      <c r="AD10" s="1">
        <v>520</v>
      </c>
    </row>
    <row r="11" spans="1:30" s="2" customFormat="1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  <c r="Q11" s="51"/>
      <c r="R11" s="51"/>
      <c r="S11" s="51"/>
      <c r="U11" s="51"/>
      <c r="V11" s="51"/>
      <c r="W11" s="51"/>
      <c r="X11" s="1">
        <f t="shared" si="0"/>
        <v>0</v>
      </c>
      <c r="Y11" s="38">
        <f>SUM(Y5:Y9)</f>
        <v>-30640</v>
      </c>
      <c r="Z11" s="4">
        <f>SUM(Z5:Z10)</f>
        <v>13550</v>
      </c>
      <c r="AC11" s="2" t="s">
        <v>22</v>
      </c>
      <c r="AD11" s="2">
        <v>30</v>
      </c>
    </row>
    <row r="12" spans="1:30">
      <c r="M12" s="8"/>
      <c r="N12" s="8"/>
      <c r="O12" s="8"/>
      <c r="X12" s="1">
        <f t="shared" si="0"/>
        <v>0</v>
      </c>
      <c r="Y12" s="39"/>
      <c r="AC12" s="1" t="s">
        <v>27</v>
      </c>
      <c r="AD12" s="1">
        <v>500</v>
      </c>
    </row>
    <row r="13" spans="1:30" ht="18" customHeight="1">
      <c r="A13" s="10" t="s">
        <v>28</v>
      </c>
      <c r="B13" s="10" t="s">
        <v>13</v>
      </c>
      <c r="C13" s="10" t="s">
        <v>14</v>
      </c>
      <c r="E13" s="10" t="s">
        <v>28</v>
      </c>
      <c r="F13" s="10" t="s">
        <v>13</v>
      </c>
      <c r="G13" s="10" t="s">
        <v>14</v>
      </c>
      <c r="I13" s="10" t="s">
        <v>28</v>
      </c>
      <c r="J13" s="10" t="s">
        <v>13</v>
      </c>
      <c r="K13" s="10" t="s">
        <v>14</v>
      </c>
      <c r="M13" s="10" t="s">
        <v>28</v>
      </c>
      <c r="N13" s="10" t="s">
        <v>13</v>
      </c>
      <c r="O13" s="10" t="s">
        <v>14</v>
      </c>
      <c r="Q13" s="10" t="s">
        <v>29</v>
      </c>
      <c r="R13" s="10" t="s">
        <v>13</v>
      </c>
      <c r="S13" s="10" t="s">
        <v>14</v>
      </c>
      <c r="U13" s="10" t="s">
        <v>28</v>
      </c>
      <c r="V13" s="10" t="s">
        <v>13</v>
      </c>
      <c r="W13" s="10" t="s">
        <v>14</v>
      </c>
      <c r="AC13" s="1" t="s">
        <v>30</v>
      </c>
      <c r="AD13" s="1">
        <v>35</v>
      </c>
    </row>
    <row r="14" spans="1:30">
      <c r="A14" s="11" t="s">
        <v>4</v>
      </c>
      <c r="B14" s="11"/>
      <c r="C14" s="11">
        <v>-152</v>
      </c>
      <c r="E14" s="11" t="s">
        <v>4</v>
      </c>
      <c r="F14" s="11">
        <v>169</v>
      </c>
      <c r="G14" s="11">
        <v>-152</v>
      </c>
      <c r="I14" s="11" t="s">
        <v>4</v>
      </c>
      <c r="J14" s="11"/>
      <c r="K14" s="11">
        <v>-152</v>
      </c>
      <c r="M14" s="11" t="s">
        <v>4</v>
      </c>
      <c r="N14" s="11"/>
      <c r="O14" s="11">
        <v>-152</v>
      </c>
      <c r="Q14" s="11" t="s">
        <v>4</v>
      </c>
      <c r="R14" s="11"/>
      <c r="S14" s="11">
        <v>-152</v>
      </c>
      <c r="U14" s="11" t="s">
        <v>4</v>
      </c>
      <c r="V14" s="11">
        <v>66</v>
      </c>
      <c r="W14" s="11">
        <v>-152</v>
      </c>
      <c r="X14" s="1">
        <f t="shared" ref="X14:X23" si="2">B14+F14+J14+N14+R14+V14</f>
        <v>235</v>
      </c>
      <c r="Y14" s="1">
        <f t="shared" ref="Y14:Y20" si="3">(B14+F14+J14+N14+R14+V14)*W14</f>
        <v>-35720</v>
      </c>
      <c r="Z14" s="8">
        <f>(B14+F14+J14+N14+R14+V14)*AD2</f>
        <v>12925</v>
      </c>
    </row>
    <row r="15" spans="1:30">
      <c r="A15" s="11" t="s">
        <v>27</v>
      </c>
      <c r="B15" s="11"/>
      <c r="C15" s="11">
        <v>-200</v>
      </c>
      <c r="E15" s="11" t="s">
        <v>27</v>
      </c>
      <c r="F15" s="11">
        <v>2</v>
      </c>
      <c r="G15" s="11">
        <v>-200</v>
      </c>
      <c r="I15" s="11" t="s">
        <v>27</v>
      </c>
      <c r="J15" s="11"/>
      <c r="K15" s="11">
        <v>-200</v>
      </c>
      <c r="M15" s="11" t="s">
        <v>27</v>
      </c>
      <c r="N15" s="11"/>
      <c r="O15" s="11">
        <v>-200</v>
      </c>
      <c r="Q15" s="11" t="s">
        <v>27</v>
      </c>
      <c r="R15" s="11"/>
      <c r="S15" s="11">
        <v>-200</v>
      </c>
      <c r="U15" s="11" t="s">
        <v>27</v>
      </c>
      <c r="V15" s="11"/>
      <c r="W15" s="11">
        <v>-200</v>
      </c>
      <c r="X15" s="1">
        <f t="shared" si="2"/>
        <v>2</v>
      </c>
      <c r="Y15" s="1">
        <f t="shared" si="3"/>
        <v>-400</v>
      </c>
      <c r="Z15" s="8">
        <f>(B15+F15+J15+N15+R15+V15)*AD12</f>
        <v>1000</v>
      </c>
    </row>
    <row r="16" spans="1:30">
      <c r="A16" s="11" t="s">
        <v>26</v>
      </c>
      <c r="B16" s="11"/>
      <c r="C16" s="11">
        <v>-40</v>
      </c>
      <c r="E16" s="11" t="s">
        <v>26</v>
      </c>
      <c r="F16" s="11">
        <v>2</v>
      </c>
      <c r="G16" s="11">
        <v>-40</v>
      </c>
      <c r="I16" s="11" t="s">
        <v>26</v>
      </c>
      <c r="J16" s="11"/>
      <c r="K16" s="11">
        <v>-40</v>
      </c>
      <c r="M16" s="11" t="s">
        <v>26</v>
      </c>
      <c r="N16" s="11"/>
      <c r="O16" s="11">
        <v>-40</v>
      </c>
      <c r="Q16" s="11" t="s">
        <v>26</v>
      </c>
      <c r="R16" s="11"/>
      <c r="S16" s="11">
        <v>-40</v>
      </c>
      <c r="U16" s="11" t="s">
        <v>26</v>
      </c>
      <c r="V16" s="11"/>
      <c r="W16" s="11">
        <v>-40</v>
      </c>
      <c r="X16" s="1">
        <f t="shared" si="2"/>
        <v>2</v>
      </c>
      <c r="Y16" s="1">
        <f t="shared" si="3"/>
        <v>-80</v>
      </c>
      <c r="Z16" s="8">
        <f>(B16+F16+J16+N16+R16+V16)*AD10</f>
        <v>1040</v>
      </c>
    </row>
    <row r="17" spans="1:34">
      <c r="A17" s="11" t="s">
        <v>22</v>
      </c>
      <c r="B17" s="11"/>
      <c r="C17" s="11">
        <v>-40</v>
      </c>
      <c r="E17" s="11" t="s">
        <v>22</v>
      </c>
      <c r="F17" s="11">
        <v>2</v>
      </c>
      <c r="G17" s="11">
        <v>-40</v>
      </c>
      <c r="I17" s="11" t="s">
        <v>22</v>
      </c>
      <c r="J17" s="11"/>
      <c r="K17" s="11">
        <v>-40</v>
      </c>
      <c r="M17" s="11" t="s">
        <v>22</v>
      </c>
      <c r="N17" s="11"/>
      <c r="O17" s="11">
        <v>-40</v>
      </c>
      <c r="Q17" s="11" t="s">
        <v>22</v>
      </c>
      <c r="R17" s="11"/>
      <c r="S17" s="11">
        <v>-40</v>
      </c>
      <c r="U17" s="11" t="s">
        <v>22</v>
      </c>
      <c r="V17" s="11">
        <v>1</v>
      </c>
      <c r="W17" s="11">
        <v>-40</v>
      </c>
      <c r="X17" s="1">
        <f t="shared" si="2"/>
        <v>3</v>
      </c>
      <c r="Y17" s="1">
        <f t="shared" si="3"/>
        <v>-120</v>
      </c>
      <c r="Z17" s="8">
        <f>(B17+F17+J17+N17+R17+V17)*AD11</f>
        <v>90</v>
      </c>
    </row>
    <row r="18" spans="1:34">
      <c r="A18" s="11" t="s">
        <v>1</v>
      </c>
      <c r="B18" s="14"/>
      <c r="C18" s="11">
        <v>-120</v>
      </c>
      <c r="E18" s="11" t="s">
        <v>1</v>
      </c>
      <c r="F18" s="14">
        <v>3</v>
      </c>
      <c r="G18" s="11">
        <v>-120</v>
      </c>
      <c r="I18" s="11" t="s">
        <v>1</v>
      </c>
      <c r="J18" s="14"/>
      <c r="K18" s="11">
        <v>-120</v>
      </c>
      <c r="M18" s="11" t="s">
        <v>1</v>
      </c>
      <c r="N18" s="14"/>
      <c r="O18" s="11">
        <v>-120</v>
      </c>
      <c r="Q18" s="11" t="s">
        <v>1</v>
      </c>
      <c r="R18" s="14"/>
      <c r="S18" s="11">
        <v>-120</v>
      </c>
      <c r="U18" s="11" t="s">
        <v>1</v>
      </c>
      <c r="V18" s="14"/>
      <c r="W18" s="11">
        <v>-120</v>
      </c>
      <c r="X18" s="1">
        <f t="shared" si="2"/>
        <v>3</v>
      </c>
      <c r="Y18" s="1">
        <f t="shared" si="3"/>
        <v>-360</v>
      </c>
      <c r="Z18" s="8">
        <f>(B18+F18+J18+N18+R18+V18)*AD2</f>
        <v>165</v>
      </c>
    </row>
    <row r="19" spans="1:34">
      <c r="A19" s="12" t="s">
        <v>21</v>
      </c>
      <c r="B19" s="11"/>
      <c r="C19" s="11">
        <v>160</v>
      </c>
      <c r="E19" s="12" t="s">
        <v>21</v>
      </c>
      <c r="F19" s="11">
        <v>3</v>
      </c>
      <c r="G19" s="11">
        <v>160</v>
      </c>
      <c r="I19" s="12" t="s">
        <v>21</v>
      </c>
      <c r="J19" s="11"/>
      <c r="K19" s="11">
        <v>160</v>
      </c>
      <c r="M19" s="12" t="s">
        <v>21</v>
      </c>
      <c r="N19" s="11"/>
      <c r="O19" s="11">
        <v>160</v>
      </c>
      <c r="Q19" s="12" t="s">
        <v>21</v>
      </c>
      <c r="R19" s="11"/>
      <c r="S19" s="11">
        <v>160</v>
      </c>
      <c r="U19" s="12" t="s">
        <v>21</v>
      </c>
      <c r="V19" s="11"/>
      <c r="W19" s="11">
        <v>160</v>
      </c>
      <c r="X19" s="35">
        <f t="shared" si="2"/>
        <v>3</v>
      </c>
      <c r="Y19" s="1">
        <f t="shared" si="3"/>
        <v>480</v>
      </c>
    </row>
    <row r="20" spans="1:34" s="3" customFormat="1" ht="15">
      <c r="A20" s="15"/>
      <c r="B20" s="15"/>
      <c r="C20" s="15"/>
      <c r="E20" s="15"/>
      <c r="F20" s="15"/>
      <c r="G20" s="15"/>
      <c r="I20" s="15"/>
      <c r="J20" s="15"/>
      <c r="K20" s="15"/>
      <c r="M20" s="15"/>
      <c r="N20" s="15"/>
      <c r="O20" s="15"/>
      <c r="P20" s="28"/>
      <c r="Q20" s="15" t="s">
        <v>25</v>
      </c>
      <c r="R20" s="15"/>
      <c r="S20" s="15">
        <v>-8</v>
      </c>
      <c r="T20" s="28"/>
      <c r="U20" s="15"/>
      <c r="V20" s="15"/>
      <c r="W20" s="15"/>
      <c r="X20" s="1">
        <f t="shared" si="2"/>
        <v>0</v>
      </c>
      <c r="Y20" s="1">
        <f t="shared" si="3"/>
        <v>0</v>
      </c>
      <c r="Z20" s="40"/>
    </row>
    <row r="21" spans="1:34">
      <c r="A21" s="11"/>
      <c r="B21" s="11"/>
      <c r="C21" s="11"/>
      <c r="E21" s="11"/>
      <c r="F21" s="11"/>
      <c r="G21" s="11"/>
      <c r="I21" s="11"/>
      <c r="J21" s="11"/>
      <c r="K21" s="11"/>
      <c r="M21" s="11"/>
      <c r="N21" s="11"/>
      <c r="O21" s="11"/>
      <c r="Q21" s="11"/>
      <c r="R21" s="11"/>
      <c r="S21" s="11"/>
      <c r="U21" s="11"/>
      <c r="V21" s="11"/>
      <c r="W21" s="11"/>
      <c r="X21" s="1">
        <f t="shared" si="2"/>
        <v>0</v>
      </c>
    </row>
    <row r="22" spans="1:34" s="2" customFormat="1">
      <c r="A22" s="52"/>
      <c r="B22" s="53"/>
      <c r="C22" s="54"/>
      <c r="E22" s="52"/>
      <c r="F22" s="53"/>
      <c r="G22" s="54"/>
      <c r="I22" s="52"/>
      <c r="J22" s="53"/>
      <c r="K22" s="54"/>
      <c r="M22" s="52"/>
      <c r="N22" s="53"/>
      <c r="O22" s="54"/>
      <c r="Q22" s="52"/>
      <c r="R22" s="53"/>
      <c r="S22" s="54"/>
      <c r="U22" s="52"/>
      <c r="V22" s="53"/>
      <c r="W22" s="54"/>
      <c r="X22" s="1">
        <f t="shared" si="2"/>
        <v>0</v>
      </c>
      <c r="Y22" s="38">
        <f>SUM(Y14:Y20)</f>
        <v>-36200</v>
      </c>
      <c r="Z22" s="4">
        <f>SUM(Z14:Z21)</f>
        <v>15220</v>
      </c>
    </row>
    <row r="23" spans="1:34">
      <c r="X23" s="1">
        <f t="shared" si="2"/>
        <v>0</v>
      </c>
      <c r="Y23" s="39"/>
    </row>
    <row r="24" spans="1:34">
      <c r="A24" s="10" t="s">
        <v>31</v>
      </c>
      <c r="B24" s="10" t="s">
        <v>13</v>
      </c>
      <c r="C24" s="10" t="s">
        <v>14</v>
      </c>
      <c r="E24" s="10" t="s">
        <v>31</v>
      </c>
      <c r="F24" s="10" t="s">
        <v>13</v>
      </c>
      <c r="G24" s="10" t="s">
        <v>14</v>
      </c>
      <c r="I24" s="10" t="s">
        <v>31</v>
      </c>
      <c r="J24" s="10" t="s">
        <v>13</v>
      </c>
      <c r="K24" s="10" t="s">
        <v>14</v>
      </c>
      <c r="M24" s="10" t="s">
        <v>31</v>
      </c>
      <c r="N24" s="10" t="s">
        <v>13</v>
      </c>
      <c r="O24" s="10" t="s">
        <v>14</v>
      </c>
      <c r="Q24" s="10" t="s">
        <v>32</v>
      </c>
      <c r="R24" s="10" t="s">
        <v>13</v>
      </c>
      <c r="S24" s="10" t="s">
        <v>14</v>
      </c>
      <c r="U24" s="10" t="s">
        <v>33</v>
      </c>
      <c r="V24" s="10" t="s">
        <v>13</v>
      </c>
      <c r="W24" s="10" t="s">
        <v>14</v>
      </c>
    </row>
    <row r="25" spans="1:34">
      <c r="A25" s="11" t="s">
        <v>11</v>
      </c>
      <c r="B25" s="11"/>
      <c r="C25" s="11">
        <v>-144</v>
      </c>
      <c r="E25" s="11" t="s">
        <v>11</v>
      </c>
      <c r="F25" s="11">
        <v>43</v>
      </c>
      <c r="G25" s="11">
        <v>-144</v>
      </c>
      <c r="I25" s="11" t="s">
        <v>11</v>
      </c>
      <c r="J25" s="11"/>
      <c r="K25" s="11">
        <v>-144</v>
      </c>
      <c r="M25" s="11" t="s">
        <v>11</v>
      </c>
      <c r="N25" s="11"/>
      <c r="O25" s="11">
        <v>-144</v>
      </c>
      <c r="Q25" s="11" t="s">
        <v>11</v>
      </c>
      <c r="R25" s="11">
        <v>112</v>
      </c>
      <c r="S25" s="11">
        <v>-144</v>
      </c>
      <c r="U25" s="11" t="s">
        <v>11</v>
      </c>
      <c r="V25" s="11">
        <v>110</v>
      </c>
      <c r="W25" s="11">
        <v>-144</v>
      </c>
      <c r="X25" s="1">
        <f t="shared" ref="X25:X33" si="4">B25+F25+J25+N25+R25+V25</f>
        <v>265</v>
      </c>
      <c r="Y25" s="1">
        <f t="shared" ref="Y25:Y31" si="5">(B25+F25+J25+N25+R25+V25)*W25</f>
        <v>-38160</v>
      </c>
      <c r="Z25" s="8">
        <f>(B25+F25+J25+N25+R25+V25)*AD3</f>
        <v>13250</v>
      </c>
      <c r="AH25" s="37"/>
    </row>
    <row r="26" spans="1:34">
      <c r="A26" s="11" t="s">
        <v>22</v>
      </c>
      <c r="B26" s="11"/>
      <c r="C26" s="11">
        <v>-40</v>
      </c>
      <c r="E26" s="11" t="s">
        <v>22</v>
      </c>
      <c r="F26" s="11">
        <v>2</v>
      </c>
      <c r="G26" s="11">
        <v>-40</v>
      </c>
      <c r="I26" s="11" t="s">
        <v>22</v>
      </c>
      <c r="J26" s="11"/>
      <c r="K26" s="11">
        <v>-40</v>
      </c>
      <c r="M26" s="11" t="s">
        <v>22</v>
      </c>
      <c r="N26" s="11"/>
      <c r="O26" s="11">
        <v>-40</v>
      </c>
      <c r="Q26" s="11" t="s">
        <v>22</v>
      </c>
      <c r="R26" s="11">
        <v>4</v>
      </c>
      <c r="S26" s="11">
        <v>-40</v>
      </c>
      <c r="U26" s="11" t="s">
        <v>22</v>
      </c>
      <c r="V26" s="11">
        <v>2</v>
      </c>
      <c r="W26" s="11">
        <v>-40</v>
      </c>
      <c r="X26" s="1">
        <f t="shared" si="4"/>
        <v>8</v>
      </c>
      <c r="Y26" s="1">
        <f t="shared" si="5"/>
        <v>-320</v>
      </c>
      <c r="Z26" s="8">
        <f>(B26+F26+J26+N26+R26+V26)*AD11</f>
        <v>240</v>
      </c>
    </row>
    <row r="27" spans="1:34">
      <c r="A27" s="11" t="s">
        <v>1</v>
      </c>
      <c r="B27" s="14"/>
      <c r="C27" s="11">
        <v>-120</v>
      </c>
      <c r="E27" s="11" t="s">
        <v>1</v>
      </c>
      <c r="F27" s="14"/>
      <c r="G27" s="11">
        <v>-120</v>
      </c>
      <c r="I27" s="11" t="s">
        <v>1</v>
      </c>
      <c r="J27" s="14"/>
      <c r="K27" s="11">
        <v>-120</v>
      </c>
      <c r="M27" s="11" t="s">
        <v>1</v>
      </c>
      <c r="N27" s="14"/>
      <c r="O27" s="11">
        <v>-120</v>
      </c>
      <c r="Q27" s="11" t="s">
        <v>1</v>
      </c>
      <c r="R27" s="14">
        <v>2</v>
      </c>
      <c r="S27" s="11">
        <v>-120</v>
      </c>
      <c r="U27" s="11" t="s">
        <v>1</v>
      </c>
      <c r="V27" s="14">
        <v>1</v>
      </c>
      <c r="W27" s="11">
        <v>-120</v>
      </c>
      <c r="X27" s="1">
        <f t="shared" si="4"/>
        <v>3</v>
      </c>
      <c r="Y27" s="1">
        <f t="shared" si="5"/>
        <v>-360</v>
      </c>
      <c r="Z27" s="8">
        <f>(B27+F27+J27+N27+R27+V27)*AD3</f>
        <v>150</v>
      </c>
    </row>
    <row r="28" spans="1:34">
      <c r="A28" s="11" t="s">
        <v>34</v>
      </c>
      <c r="B28" s="11"/>
      <c r="C28" s="11">
        <v>-120</v>
      </c>
      <c r="E28" s="11" t="s">
        <v>34</v>
      </c>
      <c r="F28" s="11"/>
      <c r="G28" s="11">
        <v>-120</v>
      </c>
      <c r="I28" s="11" t="s">
        <v>34</v>
      </c>
      <c r="J28" s="11"/>
      <c r="K28" s="11">
        <v>-120</v>
      </c>
      <c r="M28" s="11" t="s">
        <v>34</v>
      </c>
      <c r="N28" s="11"/>
      <c r="O28" s="11">
        <v>-120</v>
      </c>
      <c r="Q28" s="11" t="s">
        <v>34</v>
      </c>
      <c r="R28" s="11"/>
      <c r="S28" s="11">
        <v>-120</v>
      </c>
      <c r="U28" s="11" t="s">
        <v>34</v>
      </c>
      <c r="V28" s="11"/>
      <c r="W28" s="11">
        <v>-120</v>
      </c>
      <c r="X28" s="1">
        <f t="shared" si="4"/>
        <v>0</v>
      </c>
      <c r="Y28" s="1">
        <f t="shared" si="5"/>
        <v>0</v>
      </c>
      <c r="Z28" s="8">
        <f>(B28+F28+J28+N28+R28+V28)*AD3</f>
        <v>0</v>
      </c>
    </row>
    <row r="29" spans="1:34">
      <c r="A29" s="12" t="s">
        <v>21</v>
      </c>
      <c r="B29" s="11"/>
      <c r="C29" s="11">
        <v>160</v>
      </c>
      <c r="E29" s="12" t="s">
        <v>21</v>
      </c>
      <c r="F29" s="11">
        <v>1</v>
      </c>
      <c r="G29" s="11">
        <v>160</v>
      </c>
      <c r="I29" s="12" t="s">
        <v>21</v>
      </c>
      <c r="J29" s="11"/>
      <c r="K29" s="11">
        <v>160</v>
      </c>
      <c r="M29" s="12" t="s">
        <v>21</v>
      </c>
      <c r="N29" s="11"/>
      <c r="O29" s="11">
        <v>160</v>
      </c>
      <c r="Q29" s="12" t="s">
        <v>21</v>
      </c>
      <c r="R29" s="11">
        <v>1</v>
      </c>
      <c r="S29" s="11">
        <v>160</v>
      </c>
      <c r="U29" s="12" t="s">
        <v>21</v>
      </c>
      <c r="V29" s="11">
        <v>1</v>
      </c>
      <c r="W29" s="11">
        <v>160</v>
      </c>
      <c r="X29" s="35">
        <f t="shared" si="4"/>
        <v>3</v>
      </c>
      <c r="Y29" s="1">
        <f t="shared" si="5"/>
        <v>480</v>
      </c>
    </row>
    <row r="30" spans="1:34">
      <c r="A30" s="11" t="s">
        <v>35</v>
      </c>
      <c r="B30" s="11"/>
      <c r="C30" s="11">
        <v>-144</v>
      </c>
      <c r="E30" s="11" t="s">
        <v>35</v>
      </c>
      <c r="F30" s="11"/>
      <c r="G30" s="11">
        <v>-144</v>
      </c>
      <c r="I30" s="11" t="s">
        <v>35</v>
      </c>
      <c r="J30" s="11"/>
      <c r="K30" s="11">
        <v>-144</v>
      </c>
      <c r="M30" s="11" t="s">
        <v>35</v>
      </c>
      <c r="N30" s="11"/>
      <c r="O30" s="11">
        <v>-144</v>
      </c>
      <c r="Q30" s="11" t="s">
        <v>35</v>
      </c>
      <c r="R30" s="11">
        <v>2</v>
      </c>
      <c r="S30" s="11">
        <v>-144</v>
      </c>
      <c r="U30" s="11" t="s">
        <v>35</v>
      </c>
      <c r="V30" s="11">
        <v>1</v>
      </c>
      <c r="W30" s="11">
        <v>-144</v>
      </c>
      <c r="X30" s="1">
        <f t="shared" si="4"/>
        <v>3</v>
      </c>
      <c r="Y30" s="1">
        <f t="shared" si="5"/>
        <v>-432</v>
      </c>
      <c r="Z30" s="8">
        <f>(B30+F30+J30+N30+R30+V30)*AD3</f>
        <v>150</v>
      </c>
    </row>
    <row r="31" spans="1:34">
      <c r="A31" s="11" t="s">
        <v>25</v>
      </c>
      <c r="B31" s="11"/>
      <c r="C31" s="11">
        <v>-8</v>
      </c>
      <c r="E31" s="11" t="s">
        <v>25</v>
      </c>
      <c r="F31" s="11"/>
      <c r="G31" s="11">
        <v>-8</v>
      </c>
      <c r="I31" s="11" t="s">
        <v>25</v>
      </c>
      <c r="J31" s="11"/>
      <c r="K31" s="11">
        <v>-8</v>
      </c>
      <c r="M31" s="11" t="s">
        <v>25</v>
      </c>
      <c r="N31" s="11"/>
      <c r="O31" s="11">
        <v>-8</v>
      </c>
      <c r="Q31" s="11" t="s">
        <v>25</v>
      </c>
      <c r="R31" s="11"/>
      <c r="S31" s="11">
        <v>-8</v>
      </c>
      <c r="U31" s="11" t="s">
        <v>25</v>
      </c>
      <c r="V31" s="11"/>
      <c r="W31" s="11">
        <v>-8</v>
      </c>
      <c r="X31" s="1">
        <f t="shared" si="4"/>
        <v>0</v>
      </c>
      <c r="Y31" s="1">
        <f t="shared" si="5"/>
        <v>0</v>
      </c>
    </row>
    <row r="32" spans="1:34" s="4" customFormat="1">
      <c r="A32" s="51"/>
      <c r="B32" s="51"/>
      <c r="C32" s="51"/>
      <c r="E32" s="51"/>
      <c r="F32" s="51"/>
      <c r="G32" s="51"/>
      <c r="I32" s="51"/>
      <c r="J32" s="51"/>
      <c r="K32" s="51"/>
      <c r="M32" s="51"/>
      <c r="N32" s="51"/>
      <c r="O32" s="51"/>
      <c r="Q32" s="55"/>
      <c r="R32" s="56"/>
      <c r="S32" s="57"/>
      <c r="U32" s="58"/>
      <c r="V32" s="58"/>
      <c r="W32" s="58"/>
      <c r="X32" s="1">
        <f t="shared" si="4"/>
        <v>0</v>
      </c>
      <c r="Y32" s="38">
        <f>SUM(Y25:Y31)</f>
        <v>-38792</v>
      </c>
      <c r="Z32" s="4">
        <f>SUM(Z25:Z31)</f>
        <v>13790</v>
      </c>
    </row>
    <row r="33" spans="1:39">
      <c r="X33" s="1">
        <f t="shared" si="4"/>
        <v>0</v>
      </c>
      <c r="Y33" s="39"/>
    </row>
    <row r="34" spans="1:39">
      <c r="A34" s="10" t="s">
        <v>36</v>
      </c>
      <c r="B34" s="10" t="s">
        <v>13</v>
      </c>
      <c r="C34" s="10" t="s">
        <v>14</v>
      </c>
      <c r="E34" s="10" t="s">
        <v>36</v>
      </c>
      <c r="F34" s="10" t="s">
        <v>13</v>
      </c>
      <c r="G34" s="10" t="s">
        <v>14</v>
      </c>
      <c r="I34" s="10" t="s">
        <v>36</v>
      </c>
      <c r="J34" s="10" t="s">
        <v>13</v>
      </c>
      <c r="K34" s="10" t="s">
        <v>14</v>
      </c>
      <c r="M34" s="10" t="s">
        <v>36</v>
      </c>
      <c r="N34" s="10" t="s">
        <v>13</v>
      </c>
      <c r="O34" s="10" t="s">
        <v>14</v>
      </c>
      <c r="Q34" s="10" t="s">
        <v>37</v>
      </c>
      <c r="R34" s="10" t="s">
        <v>13</v>
      </c>
      <c r="S34" s="10" t="s">
        <v>14</v>
      </c>
      <c r="T34" s="29"/>
      <c r="U34" s="10" t="s">
        <v>38</v>
      </c>
      <c r="V34" s="10" t="s">
        <v>13</v>
      </c>
      <c r="W34" s="10" t="s">
        <v>14</v>
      </c>
    </row>
    <row r="35" spans="1:39">
      <c r="A35" s="11" t="s">
        <v>17</v>
      </c>
      <c r="B35" s="11"/>
      <c r="C35" s="11">
        <v>-136</v>
      </c>
      <c r="E35" s="11" t="s">
        <v>17</v>
      </c>
      <c r="F35" s="11"/>
      <c r="G35" s="11">
        <v>-136</v>
      </c>
      <c r="I35" s="11" t="s">
        <v>17</v>
      </c>
      <c r="J35" s="11"/>
      <c r="K35" s="11">
        <v>-136</v>
      </c>
      <c r="M35" s="11" t="s">
        <v>17</v>
      </c>
      <c r="N35" s="11"/>
      <c r="O35" s="11">
        <v>-136</v>
      </c>
      <c r="Q35" s="11" t="s">
        <v>17</v>
      </c>
      <c r="R35" s="11"/>
      <c r="S35" s="11">
        <v>-136</v>
      </c>
      <c r="T35" s="29"/>
      <c r="U35" s="11" t="s">
        <v>17</v>
      </c>
      <c r="V35" s="11"/>
      <c r="W35" s="11">
        <v>-136</v>
      </c>
      <c r="X35" s="1">
        <f t="shared" ref="X35:X45" si="6">B35+F35+J35+N35+R35+V35</f>
        <v>0</v>
      </c>
      <c r="Y35" s="1">
        <f t="shared" ref="Y35:Y43" si="7">(B35+F35+J35+N35+R35+V35)*W35</f>
        <v>0</v>
      </c>
      <c r="Z35" s="8">
        <f>(B35+F35+J35+N35+R35+V35)*AD4</f>
        <v>0</v>
      </c>
      <c r="AA35" s="41"/>
      <c r="AB35" s="37"/>
    </row>
    <row r="36" spans="1:39">
      <c r="A36" s="11" t="s">
        <v>22</v>
      </c>
      <c r="B36" s="16">
        <v>8</v>
      </c>
      <c r="C36" s="11">
        <v>-40</v>
      </c>
      <c r="E36" s="11" t="s">
        <v>22</v>
      </c>
      <c r="F36" s="16">
        <v>1</v>
      </c>
      <c r="G36" s="11">
        <v>-40</v>
      </c>
      <c r="I36" s="11" t="s">
        <v>22</v>
      </c>
      <c r="J36" s="16"/>
      <c r="K36" s="11">
        <v>-40</v>
      </c>
      <c r="M36" s="11" t="s">
        <v>22</v>
      </c>
      <c r="N36" s="16">
        <v>1</v>
      </c>
      <c r="O36" s="11">
        <v>-40</v>
      </c>
      <c r="Q36" s="11" t="s">
        <v>22</v>
      </c>
      <c r="R36" s="16">
        <v>1</v>
      </c>
      <c r="S36" s="11">
        <v>-40</v>
      </c>
      <c r="T36" s="29"/>
      <c r="U36" s="11" t="s">
        <v>22</v>
      </c>
      <c r="V36" s="16">
        <v>1</v>
      </c>
      <c r="W36" s="11">
        <v>-40</v>
      </c>
      <c r="X36" s="1">
        <f t="shared" si="6"/>
        <v>12</v>
      </c>
      <c r="Y36" s="1">
        <f t="shared" si="7"/>
        <v>-480</v>
      </c>
      <c r="Z36" s="8">
        <f>(B36+F36+J36+N36+R36+V36)*AD11</f>
        <v>360</v>
      </c>
      <c r="AA36" s="41"/>
      <c r="AB36" s="37"/>
    </row>
    <row r="37" spans="1:39">
      <c r="A37" s="11" t="s">
        <v>1</v>
      </c>
      <c r="B37" s="17">
        <v>2</v>
      </c>
      <c r="C37" s="11">
        <v>-120</v>
      </c>
      <c r="E37" s="11" t="s">
        <v>1</v>
      </c>
      <c r="F37" s="17"/>
      <c r="G37" s="11">
        <v>-120</v>
      </c>
      <c r="I37" s="11" t="s">
        <v>1</v>
      </c>
      <c r="J37" s="17"/>
      <c r="K37" s="11">
        <v>-120</v>
      </c>
      <c r="M37" s="11" t="s">
        <v>1</v>
      </c>
      <c r="N37" s="17">
        <v>1</v>
      </c>
      <c r="O37" s="11">
        <v>-120</v>
      </c>
      <c r="Q37" s="11" t="s">
        <v>1</v>
      </c>
      <c r="R37" s="17">
        <v>1</v>
      </c>
      <c r="S37" s="11">
        <v>-120</v>
      </c>
      <c r="T37" s="29"/>
      <c r="U37" s="11" t="s">
        <v>1</v>
      </c>
      <c r="V37" s="17"/>
      <c r="W37" s="11">
        <v>-120</v>
      </c>
      <c r="X37" s="1">
        <f t="shared" si="6"/>
        <v>4</v>
      </c>
      <c r="Y37" s="1">
        <f t="shared" si="7"/>
        <v>-480</v>
      </c>
      <c r="Z37" s="8">
        <f>(B37+F37+J37+N37+R37+V37)*AD4</f>
        <v>180</v>
      </c>
      <c r="AA37" s="41"/>
      <c r="AB37" s="37"/>
    </row>
    <row r="38" spans="1:39">
      <c r="A38" s="11" t="s">
        <v>35</v>
      </c>
      <c r="B38" s="11"/>
      <c r="C38" s="11">
        <v>-136</v>
      </c>
      <c r="E38" s="11" t="s">
        <v>35</v>
      </c>
      <c r="F38" s="11"/>
      <c r="G38" s="11">
        <v>-136</v>
      </c>
      <c r="I38" s="11" t="s">
        <v>35</v>
      </c>
      <c r="J38" s="11"/>
      <c r="K38" s="11">
        <v>-136</v>
      </c>
      <c r="M38" s="11" t="s">
        <v>35</v>
      </c>
      <c r="N38" s="11"/>
      <c r="O38" s="11">
        <v>-136</v>
      </c>
      <c r="Q38" s="11" t="s">
        <v>35</v>
      </c>
      <c r="R38" s="11"/>
      <c r="S38" s="11">
        <v>-136</v>
      </c>
      <c r="T38" s="29"/>
      <c r="U38" s="11" t="s">
        <v>35</v>
      </c>
      <c r="V38" s="11"/>
      <c r="W38" s="11">
        <v>-136</v>
      </c>
      <c r="X38" s="1">
        <f t="shared" si="6"/>
        <v>0</v>
      </c>
      <c r="Y38" s="1">
        <f t="shared" si="7"/>
        <v>0</v>
      </c>
      <c r="Z38" s="8">
        <f>(B38+F38+J38+N38+R38+V38)*AD4</f>
        <v>0</v>
      </c>
      <c r="AA38" s="41"/>
      <c r="AB38" s="37"/>
    </row>
    <row r="39" spans="1:39">
      <c r="A39" s="11" t="s">
        <v>34</v>
      </c>
      <c r="B39" s="17"/>
      <c r="C39" s="11">
        <v>-120</v>
      </c>
      <c r="E39" s="11" t="s">
        <v>34</v>
      </c>
      <c r="F39" s="17">
        <v>1</v>
      </c>
      <c r="G39" s="11">
        <v>-120</v>
      </c>
      <c r="I39" s="11" t="s">
        <v>34</v>
      </c>
      <c r="J39" s="17"/>
      <c r="K39" s="11">
        <v>-120</v>
      </c>
      <c r="M39" s="11" t="s">
        <v>34</v>
      </c>
      <c r="N39" s="17"/>
      <c r="O39" s="11">
        <v>-120</v>
      </c>
      <c r="Q39" s="11" t="s">
        <v>34</v>
      </c>
      <c r="R39" s="14">
        <v>1</v>
      </c>
      <c r="S39" s="11">
        <v>-120</v>
      </c>
      <c r="T39" s="29"/>
      <c r="U39" s="11" t="s">
        <v>34</v>
      </c>
      <c r="V39" s="14"/>
      <c r="W39" s="11">
        <v>-120</v>
      </c>
      <c r="X39" s="1">
        <f t="shared" si="6"/>
        <v>2</v>
      </c>
      <c r="Y39" s="1">
        <f t="shared" si="7"/>
        <v>-240</v>
      </c>
      <c r="Z39" s="8">
        <f>(B39+F39+J39+N39+R39+V39)*AD4</f>
        <v>90</v>
      </c>
      <c r="AA39" s="41"/>
    </row>
    <row r="40" spans="1:39">
      <c r="A40" s="12" t="s">
        <v>21</v>
      </c>
      <c r="B40" s="11">
        <v>1</v>
      </c>
      <c r="C40" s="11">
        <v>160</v>
      </c>
      <c r="E40" s="12" t="s">
        <v>21</v>
      </c>
      <c r="F40" s="11">
        <v>1</v>
      </c>
      <c r="G40" s="11">
        <v>160</v>
      </c>
      <c r="I40" s="12" t="s">
        <v>21</v>
      </c>
      <c r="J40" s="11"/>
      <c r="K40" s="11">
        <v>160</v>
      </c>
      <c r="M40" s="12" t="s">
        <v>21</v>
      </c>
      <c r="N40" s="11"/>
      <c r="O40" s="11">
        <v>160</v>
      </c>
      <c r="Q40" s="12" t="s">
        <v>21</v>
      </c>
      <c r="R40" s="16"/>
      <c r="S40" s="11">
        <v>160</v>
      </c>
      <c r="T40" s="29"/>
      <c r="U40" s="12" t="s">
        <v>21</v>
      </c>
      <c r="V40" s="16">
        <v>1</v>
      </c>
      <c r="W40" s="11">
        <v>160</v>
      </c>
      <c r="X40" s="35">
        <f t="shared" si="6"/>
        <v>3</v>
      </c>
      <c r="Y40" s="1">
        <f t="shared" si="7"/>
        <v>480</v>
      </c>
      <c r="AA40" s="41"/>
    </row>
    <row r="41" spans="1:39">
      <c r="A41" s="11" t="s">
        <v>24</v>
      </c>
      <c r="B41" s="11"/>
      <c r="C41" s="11">
        <v>-200</v>
      </c>
      <c r="E41" s="11" t="s">
        <v>24</v>
      </c>
      <c r="F41" s="11"/>
      <c r="G41" s="11">
        <v>-200</v>
      </c>
      <c r="I41" s="11" t="s">
        <v>24</v>
      </c>
      <c r="J41" s="11"/>
      <c r="K41" s="11">
        <v>-200</v>
      </c>
      <c r="M41" s="11" t="s">
        <v>24</v>
      </c>
      <c r="N41" s="11"/>
      <c r="O41" s="11">
        <v>-200</v>
      </c>
      <c r="Q41" s="11" t="s">
        <v>24</v>
      </c>
      <c r="R41" s="11"/>
      <c r="S41" s="11">
        <v>-200</v>
      </c>
      <c r="T41" s="29"/>
      <c r="U41" s="11" t="s">
        <v>24</v>
      </c>
      <c r="V41" s="11"/>
      <c r="W41" s="11">
        <v>-200</v>
      </c>
      <c r="X41" s="1">
        <f t="shared" si="6"/>
        <v>0</v>
      </c>
      <c r="Y41" s="1">
        <f t="shared" si="7"/>
        <v>0</v>
      </c>
      <c r="Z41" s="8">
        <f>(B41+F41+J41+N41+R41+V41)*AD9</f>
        <v>0</v>
      </c>
      <c r="AA41" s="41"/>
    </row>
    <row r="42" spans="1:39" s="5" customFormat="1">
      <c r="A42" s="18" t="s">
        <v>25</v>
      </c>
      <c r="B42" s="18"/>
      <c r="C42" s="18">
        <v>-8</v>
      </c>
      <c r="D42" s="19"/>
      <c r="E42" s="18" t="s">
        <v>25</v>
      </c>
      <c r="F42" s="18"/>
      <c r="G42" s="18">
        <v>-8</v>
      </c>
      <c r="H42" s="19"/>
      <c r="I42" s="18" t="s">
        <v>25</v>
      </c>
      <c r="J42" s="18"/>
      <c r="K42" s="18">
        <v>-8</v>
      </c>
      <c r="L42" s="19"/>
      <c r="M42" s="18" t="s">
        <v>25</v>
      </c>
      <c r="N42" s="18"/>
      <c r="O42" s="18">
        <v>-8</v>
      </c>
      <c r="P42" s="19"/>
      <c r="Q42" s="18" t="s">
        <v>25</v>
      </c>
      <c r="R42" s="18"/>
      <c r="S42" s="18">
        <v>-8</v>
      </c>
      <c r="T42" s="36"/>
      <c r="U42" s="18" t="s">
        <v>25</v>
      </c>
      <c r="V42" s="18"/>
      <c r="W42" s="18">
        <v>-8</v>
      </c>
      <c r="X42" s="1">
        <f t="shared" si="6"/>
        <v>0</v>
      </c>
      <c r="Y42" s="1">
        <f t="shared" si="7"/>
        <v>0</v>
      </c>
      <c r="Z42" s="39"/>
      <c r="AA42" s="42"/>
      <c r="AB42" s="1"/>
    </row>
    <row r="43" spans="1:39">
      <c r="A43" s="11"/>
      <c r="B43" s="11"/>
      <c r="C43" s="11"/>
      <c r="E43" s="11"/>
      <c r="F43" s="11"/>
      <c r="G43" s="11"/>
      <c r="I43" s="11"/>
      <c r="J43" s="11"/>
      <c r="K43" s="11"/>
      <c r="M43" s="11"/>
      <c r="N43" s="11"/>
      <c r="O43" s="11"/>
      <c r="Q43" s="11"/>
      <c r="R43" s="11"/>
      <c r="S43" s="11"/>
      <c r="T43" s="29"/>
      <c r="U43" s="11" t="s">
        <v>39</v>
      </c>
      <c r="V43" s="11"/>
      <c r="W43" s="11">
        <v>-40</v>
      </c>
      <c r="X43" s="1">
        <f t="shared" si="6"/>
        <v>0</v>
      </c>
      <c r="Y43" s="1">
        <f t="shared" si="7"/>
        <v>0</v>
      </c>
      <c r="Z43" s="7"/>
      <c r="AA43" s="43"/>
    </row>
    <row r="44" spans="1:39" s="4" customFormat="1">
      <c r="A44" s="51"/>
      <c r="B44" s="51"/>
      <c r="C44" s="51"/>
      <c r="E44" s="51"/>
      <c r="F44" s="51"/>
      <c r="G44" s="51"/>
      <c r="I44" s="51"/>
      <c r="J44" s="51"/>
      <c r="K44" s="51"/>
      <c r="M44" s="51"/>
      <c r="N44" s="51"/>
      <c r="O44" s="51"/>
      <c r="Q44" s="51"/>
      <c r="R44" s="51"/>
      <c r="S44" s="51"/>
      <c r="T44" s="31"/>
      <c r="U44" s="51"/>
      <c r="V44" s="51"/>
      <c r="W44" s="51"/>
      <c r="X44" s="1">
        <f t="shared" si="6"/>
        <v>0</v>
      </c>
      <c r="Y44" s="38">
        <f>SUM(Y35:Y43)</f>
        <v>-720</v>
      </c>
      <c r="Z44" s="4">
        <f>SUM(Z35:Z43)</f>
        <v>630</v>
      </c>
    </row>
    <row r="45" spans="1:39">
      <c r="A45" s="59" t="s">
        <v>40</v>
      </c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1">
        <f t="shared" si="6"/>
        <v>0</v>
      </c>
    </row>
    <row r="46" spans="1:39">
      <c r="A46" s="10" t="s">
        <v>41</v>
      </c>
      <c r="B46" s="10" t="s">
        <v>13</v>
      </c>
      <c r="C46" s="10" t="s">
        <v>14</v>
      </c>
      <c r="E46" s="10" t="s">
        <v>41</v>
      </c>
      <c r="F46" s="10" t="s">
        <v>13</v>
      </c>
      <c r="G46" s="10" t="s">
        <v>14</v>
      </c>
      <c r="I46" s="10" t="s">
        <v>41</v>
      </c>
      <c r="J46" s="10" t="s">
        <v>13</v>
      </c>
      <c r="K46" s="10" t="s">
        <v>14</v>
      </c>
      <c r="M46" s="10" t="s">
        <v>41</v>
      </c>
      <c r="N46" s="10" t="s">
        <v>13</v>
      </c>
      <c r="O46" s="10" t="s">
        <v>14</v>
      </c>
      <c r="P46" s="29"/>
      <c r="Q46" s="10" t="s">
        <v>42</v>
      </c>
      <c r="R46" s="10" t="s">
        <v>13</v>
      </c>
      <c r="S46" s="10" t="s">
        <v>14</v>
      </c>
      <c r="T46" s="29"/>
      <c r="U46" s="10" t="s">
        <v>43</v>
      </c>
      <c r="V46" s="10" t="s">
        <v>13</v>
      </c>
      <c r="W46" s="10" t="s">
        <v>14</v>
      </c>
      <c r="Y46" s="39"/>
    </row>
    <row r="47" spans="1:39" s="6" customFormat="1">
      <c r="A47" s="20" t="s">
        <v>18</v>
      </c>
      <c r="B47" s="20"/>
      <c r="C47" s="20">
        <v>-128</v>
      </c>
      <c r="E47" s="20" t="s">
        <v>18</v>
      </c>
      <c r="F47" s="20"/>
      <c r="G47" s="20">
        <v>-128</v>
      </c>
      <c r="I47" s="20" t="s">
        <v>18</v>
      </c>
      <c r="J47" s="20"/>
      <c r="K47" s="20">
        <v>-128</v>
      </c>
      <c r="M47" s="20" t="s">
        <v>18</v>
      </c>
      <c r="N47" s="20"/>
      <c r="O47" s="20">
        <v>-128</v>
      </c>
      <c r="P47" s="30"/>
      <c r="Q47" s="20" t="s">
        <v>18</v>
      </c>
      <c r="R47" s="20"/>
      <c r="S47" s="20">
        <v>-128</v>
      </c>
      <c r="T47" s="30"/>
      <c r="U47" s="20" t="s">
        <v>18</v>
      </c>
      <c r="V47" s="20"/>
      <c r="W47" s="20">
        <v>-128</v>
      </c>
      <c r="X47" s="1">
        <f t="shared" ref="X47:X54" si="8">B47+F47+J47+N47+R47+V47</f>
        <v>0</v>
      </c>
      <c r="Y47" s="1">
        <f t="shared" ref="Y47:Y54" si="9">(B47+F47+J47+N47+R47+V47)*W47</f>
        <v>0</v>
      </c>
      <c r="Z47" s="8">
        <f>(B47+F47+J47+N47+R47+V47)*AD5</f>
        <v>0</v>
      </c>
      <c r="AA47" s="44"/>
      <c r="AB47" s="45"/>
      <c r="AC47" s="45"/>
      <c r="AD47" s="45"/>
      <c r="AE47" s="45"/>
      <c r="AF47" s="45"/>
      <c r="AG47" s="45"/>
      <c r="AJ47" s="47"/>
      <c r="AK47" s="47"/>
      <c r="AM47" s="6">
        <f t="shared" ref="AM47:AM52" si="10">SUM(AB47:AK47)</f>
        <v>0</v>
      </c>
    </row>
    <row r="48" spans="1:39" s="6" customFormat="1">
      <c r="A48" s="20" t="s">
        <v>22</v>
      </c>
      <c r="B48" s="20"/>
      <c r="C48" s="20">
        <v>-40</v>
      </c>
      <c r="E48" s="20" t="s">
        <v>22</v>
      </c>
      <c r="F48" s="20"/>
      <c r="G48" s="20">
        <v>-40</v>
      </c>
      <c r="I48" s="20" t="s">
        <v>22</v>
      </c>
      <c r="J48" s="20"/>
      <c r="K48" s="20">
        <v>-40</v>
      </c>
      <c r="M48" s="20" t="s">
        <v>22</v>
      </c>
      <c r="N48" s="20"/>
      <c r="O48" s="20">
        <v>-40</v>
      </c>
      <c r="P48" s="30"/>
      <c r="Q48" s="20" t="s">
        <v>22</v>
      </c>
      <c r="R48" s="20"/>
      <c r="S48" s="20">
        <v>-40</v>
      </c>
      <c r="T48" s="30"/>
      <c r="U48" s="20" t="s">
        <v>22</v>
      </c>
      <c r="V48" s="20"/>
      <c r="W48" s="20">
        <v>-40</v>
      </c>
      <c r="X48" s="1">
        <f t="shared" si="8"/>
        <v>0</v>
      </c>
      <c r="Y48" s="1">
        <f t="shared" si="9"/>
        <v>0</v>
      </c>
      <c r="Z48" s="8">
        <f>(B48+F48+J48+N48+R48+V48)*AD11</f>
        <v>0</v>
      </c>
      <c r="AA48" s="44"/>
      <c r="AB48" s="45"/>
      <c r="AC48" s="45"/>
      <c r="AD48" s="45"/>
      <c r="AE48" s="45"/>
      <c r="AF48" s="45"/>
      <c r="AG48" s="45"/>
      <c r="AJ48" s="47"/>
      <c r="AK48" s="47"/>
      <c r="AM48" s="6">
        <f t="shared" si="10"/>
        <v>0</v>
      </c>
    </row>
    <row r="49" spans="1:39" s="6" customFormat="1">
      <c r="A49" s="12" t="s">
        <v>21</v>
      </c>
      <c r="B49" s="20"/>
      <c r="C49" s="20">
        <v>160</v>
      </c>
      <c r="E49" s="12" t="s">
        <v>21</v>
      </c>
      <c r="F49" s="20"/>
      <c r="G49" s="20">
        <v>160</v>
      </c>
      <c r="I49" s="12" t="s">
        <v>21</v>
      </c>
      <c r="J49" s="20"/>
      <c r="K49" s="20">
        <v>160</v>
      </c>
      <c r="M49" s="12" t="s">
        <v>21</v>
      </c>
      <c r="N49" s="20"/>
      <c r="O49" s="20">
        <v>160</v>
      </c>
      <c r="P49" s="30"/>
      <c r="Q49" s="12" t="s">
        <v>21</v>
      </c>
      <c r="R49" s="20"/>
      <c r="S49" s="20">
        <v>160</v>
      </c>
      <c r="T49" s="30"/>
      <c r="U49" s="12" t="s">
        <v>21</v>
      </c>
      <c r="V49" s="20"/>
      <c r="W49" s="20">
        <v>160</v>
      </c>
      <c r="X49" s="35">
        <f t="shared" si="8"/>
        <v>0</v>
      </c>
      <c r="Y49" s="1">
        <f t="shared" si="9"/>
        <v>0</v>
      </c>
      <c r="Z49" s="46"/>
      <c r="AA49" s="44"/>
      <c r="AB49" s="45"/>
      <c r="AC49" s="45"/>
      <c r="AD49" s="45"/>
      <c r="AE49" s="45"/>
      <c r="AF49" s="45"/>
      <c r="AG49" s="45"/>
      <c r="AJ49" s="47"/>
      <c r="AK49" s="47"/>
      <c r="AM49" s="6">
        <f t="shared" si="10"/>
        <v>0</v>
      </c>
    </row>
    <row r="50" spans="1:39" s="6" customFormat="1">
      <c r="A50" s="20" t="s">
        <v>25</v>
      </c>
      <c r="B50" s="20"/>
      <c r="C50" s="20">
        <v>-8</v>
      </c>
      <c r="E50" s="20" t="s">
        <v>25</v>
      </c>
      <c r="F50" s="20"/>
      <c r="G50" s="20">
        <v>-8</v>
      </c>
      <c r="I50" s="20" t="s">
        <v>25</v>
      </c>
      <c r="J50" s="20"/>
      <c r="K50" s="20">
        <v>-8</v>
      </c>
      <c r="M50" s="20" t="s">
        <v>25</v>
      </c>
      <c r="N50" s="20"/>
      <c r="O50" s="20">
        <v>-8</v>
      </c>
      <c r="P50" s="30"/>
      <c r="Q50" s="20" t="s">
        <v>25</v>
      </c>
      <c r="R50" s="20"/>
      <c r="S50" s="20">
        <v>-8</v>
      </c>
      <c r="T50" s="30"/>
      <c r="U50" s="20" t="s">
        <v>25</v>
      </c>
      <c r="V50" s="20"/>
      <c r="W50" s="20">
        <v>-8</v>
      </c>
      <c r="X50" s="1">
        <f t="shared" si="8"/>
        <v>0</v>
      </c>
      <c r="Y50" s="1">
        <f t="shared" si="9"/>
        <v>0</v>
      </c>
      <c r="Z50" s="46"/>
      <c r="AA50" s="44"/>
      <c r="AB50" s="45"/>
      <c r="AC50" s="45"/>
      <c r="AD50" s="45"/>
      <c r="AE50" s="45"/>
      <c r="AF50" s="45"/>
      <c r="AG50" s="45"/>
      <c r="AJ50" s="47"/>
      <c r="AK50" s="47"/>
      <c r="AM50" s="6">
        <f t="shared" si="10"/>
        <v>0</v>
      </c>
    </row>
    <row r="51" spans="1:39" s="6" customFormat="1">
      <c r="A51" s="20" t="s">
        <v>20</v>
      </c>
      <c r="B51" s="21"/>
      <c r="C51" s="20">
        <v>-120</v>
      </c>
      <c r="E51" s="20" t="s">
        <v>20</v>
      </c>
      <c r="F51" s="21"/>
      <c r="G51" s="20">
        <v>-120</v>
      </c>
      <c r="I51" s="20" t="s">
        <v>20</v>
      </c>
      <c r="J51" s="21"/>
      <c r="K51" s="20">
        <v>-120</v>
      </c>
      <c r="M51" s="20" t="s">
        <v>20</v>
      </c>
      <c r="N51" s="21"/>
      <c r="O51" s="20">
        <v>-120</v>
      </c>
      <c r="P51" s="30"/>
      <c r="Q51" s="20" t="s">
        <v>20</v>
      </c>
      <c r="R51" s="21"/>
      <c r="S51" s="20">
        <v>-120</v>
      </c>
      <c r="T51" s="30"/>
      <c r="U51" s="20" t="s">
        <v>20</v>
      </c>
      <c r="V51" s="21"/>
      <c r="W51" s="20">
        <v>-120</v>
      </c>
      <c r="X51" s="1">
        <f t="shared" si="8"/>
        <v>0</v>
      </c>
      <c r="Y51" s="1">
        <f t="shared" si="9"/>
        <v>0</v>
      </c>
      <c r="Z51" s="8">
        <f>(B51+F51+J51+N51+R51+V51)*AD6</f>
        <v>0</v>
      </c>
      <c r="AA51" s="44"/>
      <c r="AB51" s="45"/>
      <c r="AC51" s="45"/>
      <c r="AD51" s="45"/>
      <c r="AJ51" s="47"/>
      <c r="AK51" s="47"/>
      <c r="AM51" s="6">
        <f t="shared" si="10"/>
        <v>0</v>
      </c>
    </row>
    <row r="52" spans="1:39" s="6" customFormat="1">
      <c r="A52" s="20" t="s">
        <v>44</v>
      </c>
      <c r="B52" s="21"/>
      <c r="C52" s="20">
        <v>-120</v>
      </c>
      <c r="E52" s="20" t="s">
        <v>44</v>
      </c>
      <c r="F52" s="21"/>
      <c r="G52" s="20">
        <v>-120</v>
      </c>
      <c r="I52" s="20" t="s">
        <v>44</v>
      </c>
      <c r="J52" s="21"/>
      <c r="K52" s="20">
        <v>-120</v>
      </c>
      <c r="M52" s="20" t="s">
        <v>44</v>
      </c>
      <c r="N52" s="21"/>
      <c r="O52" s="20">
        <v>-120</v>
      </c>
      <c r="P52" s="30"/>
      <c r="Q52" s="20" t="s">
        <v>44</v>
      </c>
      <c r="R52" s="21"/>
      <c r="S52" s="20">
        <v>-120</v>
      </c>
      <c r="T52" s="30"/>
      <c r="U52" s="20" t="s">
        <v>44</v>
      </c>
      <c r="V52" s="21"/>
      <c r="W52" s="20">
        <v>-120</v>
      </c>
      <c r="X52" s="1">
        <f t="shared" si="8"/>
        <v>0</v>
      </c>
      <c r="Y52" s="1">
        <f t="shared" si="9"/>
        <v>0</v>
      </c>
      <c r="Z52" s="8">
        <f>(B52+F52+J52+N52+R52+V52)*AD5</f>
        <v>0</v>
      </c>
      <c r="AA52" s="44"/>
      <c r="AB52" s="45"/>
      <c r="AJ52" s="47"/>
      <c r="AK52" s="47"/>
      <c r="AM52" s="6">
        <f t="shared" si="10"/>
        <v>0</v>
      </c>
    </row>
    <row r="53" spans="1:39" s="6" customFormat="1">
      <c r="A53" s="20" t="s">
        <v>26</v>
      </c>
      <c r="B53" s="20"/>
      <c r="C53" s="20">
        <v>-40</v>
      </c>
      <c r="E53" s="20" t="s">
        <v>26</v>
      </c>
      <c r="F53" s="20"/>
      <c r="G53" s="20">
        <v>-40</v>
      </c>
      <c r="I53" s="20" t="s">
        <v>26</v>
      </c>
      <c r="J53" s="20"/>
      <c r="K53" s="20">
        <v>-40</v>
      </c>
      <c r="M53" s="20" t="s">
        <v>26</v>
      </c>
      <c r="N53" s="20"/>
      <c r="O53" s="20">
        <v>-40</v>
      </c>
      <c r="P53" s="30"/>
      <c r="Q53" s="20" t="s">
        <v>26</v>
      </c>
      <c r="R53" s="20"/>
      <c r="S53" s="20">
        <v>-40</v>
      </c>
      <c r="T53" s="30"/>
      <c r="U53" s="20" t="s">
        <v>26</v>
      </c>
      <c r="V53" s="20"/>
      <c r="W53" s="20">
        <v>-40</v>
      </c>
      <c r="X53" s="1">
        <f t="shared" si="8"/>
        <v>0</v>
      </c>
      <c r="Y53" s="1">
        <f t="shared" si="9"/>
        <v>0</v>
      </c>
      <c r="Z53" s="8">
        <f>(B53+F53+J53+N53+R53+V53)*AD10</f>
        <v>0</v>
      </c>
      <c r="AA53" s="44"/>
      <c r="AB53" s="45"/>
      <c r="AJ53" s="47"/>
      <c r="AK53" s="47"/>
    </row>
    <row r="54" spans="1:39" s="6" customFormat="1">
      <c r="A54" s="20" t="s">
        <v>45</v>
      </c>
      <c r="B54" s="20"/>
      <c r="C54" s="20">
        <v>40</v>
      </c>
      <c r="E54" s="20" t="s">
        <v>45</v>
      </c>
      <c r="F54" s="20"/>
      <c r="G54" s="20">
        <v>40</v>
      </c>
      <c r="I54" s="20" t="s">
        <v>45</v>
      </c>
      <c r="J54" s="20"/>
      <c r="K54" s="20">
        <v>40</v>
      </c>
      <c r="M54" s="20" t="s">
        <v>45</v>
      </c>
      <c r="N54" s="20"/>
      <c r="O54" s="20">
        <v>40</v>
      </c>
      <c r="P54" s="30"/>
      <c r="Q54" s="20" t="s">
        <v>45</v>
      </c>
      <c r="R54" s="20"/>
      <c r="S54" s="20">
        <v>40</v>
      </c>
      <c r="T54" s="30"/>
      <c r="U54" s="20" t="s">
        <v>45</v>
      </c>
      <c r="V54" s="20"/>
      <c r="W54" s="20">
        <v>40</v>
      </c>
      <c r="X54" s="1">
        <f t="shared" si="8"/>
        <v>0</v>
      </c>
      <c r="Y54" s="1">
        <f t="shared" si="9"/>
        <v>0</v>
      </c>
      <c r="Z54" s="46"/>
      <c r="AA54" s="44"/>
      <c r="AB54" s="45"/>
    </row>
    <row r="55" spans="1:39" s="4" customFormat="1">
      <c r="A55" s="60"/>
      <c r="B55" s="60"/>
      <c r="C55" s="60"/>
      <c r="E55" s="60"/>
      <c r="F55" s="60"/>
      <c r="G55" s="60"/>
      <c r="I55" s="60"/>
      <c r="J55" s="60"/>
      <c r="K55" s="60"/>
      <c r="M55" s="60"/>
      <c r="N55" s="60"/>
      <c r="O55" s="60"/>
      <c r="P55" s="31"/>
      <c r="Q55" s="60"/>
      <c r="R55" s="60"/>
      <c r="S55" s="60"/>
      <c r="T55" s="31"/>
      <c r="U55" s="60"/>
      <c r="V55" s="60"/>
      <c r="W55" s="60"/>
      <c r="Y55" s="38">
        <f>SUM(Y47:Y54)</f>
        <v>0</v>
      </c>
      <c r="Z55" s="4">
        <f>SUM(Z47:Z54)</f>
        <v>0</v>
      </c>
    </row>
    <row r="56" spans="1:39" s="7" customFormat="1" ht="27" customHeight="1">
      <c r="A56" s="61" t="s">
        <v>46</v>
      </c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Y56" s="40"/>
    </row>
    <row r="57" spans="1:39" s="7" customFormat="1">
      <c r="A57" s="23" t="s">
        <v>47</v>
      </c>
      <c r="B57" s="24" t="s">
        <v>13</v>
      </c>
      <c r="C57" s="24" t="s">
        <v>14</v>
      </c>
      <c r="E57" s="23" t="s">
        <v>47</v>
      </c>
      <c r="F57" s="24" t="s">
        <v>13</v>
      </c>
      <c r="G57" s="24" t="s">
        <v>14</v>
      </c>
      <c r="I57" s="23" t="s">
        <v>47</v>
      </c>
      <c r="J57" s="24" t="s">
        <v>13</v>
      </c>
      <c r="K57" s="24" t="s">
        <v>14</v>
      </c>
      <c r="M57" s="23" t="s">
        <v>47</v>
      </c>
      <c r="N57" s="24" t="s">
        <v>13</v>
      </c>
      <c r="O57" s="24" t="s">
        <v>14</v>
      </c>
      <c r="P57" s="32"/>
      <c r="Q57" s="23" t="s">
        <v>47</v>
      </c>
      <c r="R57" s="24" t="s">
        <v>13</v>
      </c>
      <c r="S57" s="24" t="s">
        <v>14</v>
      </c>
      <c r="U57" s="23" t="s">
        <v>47</v>
      </c>
      <c r="V57" s="24" t="s">
        <v>13</v>
      </c>
      <c r="W57" s="24" t="s">
        <v>14</v>
      </c>
      <c r="Y57" s="40"/>
      <c r="AE57" s="7" t="s">
        <v>20</v>
      </c>
      <c r="AF57" s="7">
        <v>120</v>
      </c>
      <c r="AG57" s="7">
        <v>35</v>
      </c>
    </row>
    <row r="58" spans="1:39" s="7" customFormat="1">
      <c r="A58" s="25" t="s">
        <v>20</v>
      </c>
      <c r="B58" s="26">
        <v>24</v>
      </c>
      <c r="C58" s="25">
        <v>150</v>
      </c>
      <c r="E58" s="25" t="s">
        <v>20</v>
      </c>
      <c r="F58" s="26"/>
      <c r="G58" s="25">
        <v>150</v>
      </c>
      <c r="I58" s="25" t="s">
        <v>20</v>
      </c>
      <c r="J58" s="26"/>
      <c r="K58" s="25">
        <v>150</v>
      </c>
      <c r="M58" s="25" t="s">
        <v>20</v>
      </c>
      <c r="N58" s="26"/>
      <c r="O58" s="25">
        <v>150</v>
      </c>
      <c r="P58" s="33"/>
      <c r="Q58" s="25" t="s">
        <v>20</v>
      </c>
      <c r="R58" s="26"/>
      <c r="S58" s="25">
        <v>150</v>
      </c>
      <c r="T58" s="22"/>
      <c r="U58" s="25" t="s">
        <v>20</v>
      </c>
      <c r="V58" s="26"/>
      <c r="W58" s="25">
        <v>150</v>
      </c>
      <c r="X58" s="37">
        <f t="shared" ref="X58:X72" si="11">B58+F58+J58+N58+R58+V58</f>
        <v>24</v>
      </c>
      <c r="Y58" s="1">
        <f t="shared" ref="Y58:Y72" si="12">(B58+F58+J58+N58+R58+V58)*W58</f>
        <v>3600</v>
      </c>
      <c r="Z58" s="8">
        <f>(B58+F58+J58+N58+R58+V58)*AD6</f>
        <v>840</v>
      </c>
      <c r="AE58" s="7" t="s">
        <v>18</v>
      </c>
      <c r="AF58" s="7">
        <v>128</v>
      </c>
      <c r="AG58" s="7">
        <v>40</v>
      </c>
    </row>
    <row r="59" spans="1:39" s="7" customFormat="1">
      <c r="A59" s="25" t="s">
        <v>22</v>
      </c>
      <c r="B59" s="25">
        <v>4</v>
      </c>
      <c r="C59" s="25">
        <v>50</v>
      </c>
      <c r="E59" s="25" t="s">
        <v>22</v>
      </c>
      <c r="F59" s="25">
        <v>3</v>
      </c>
      <c r="G59" s="25">
        <v>50</v>
      </c>
      <c r="I59" s="25" t="s">
        <v>22</v>
      </c>
      <c r="J59" s="25">
        <v>2</v>
      </c>
      <c r="K59" s="25">
        <v>50</v>
      </c>
      <c r="M59" s="25" t="s">
        <v>22</v>
      </c>
      <c r="N59" s="25"/>
      <c r="O59" s="25">
        <v>50</v>
      </c>
      <c r="P59" s="33"/>
      <c r="Q59" s="25" t="s">
        <v>22</v>
      </c>
      <c r="R59" s="25"/>
      <c r="S59" s="25">
        <v>50</v>
      </c>
      <c r="T59" s="22"/>
      <c r="U59" s="25" t="s">
        <v>22</v>
      </c>
      <c r="V59" s="25"/>
      <c r="W59" s="25">
        <v>50</v>
      </c>
      <c r="X59" s="37">
        <f t="shared" si="11"/>
        <v>9</v>
      </c>
      <c r="Y59" s="1">
        <f t="shared" si="12"/>
        <v>450</v>
      </c>
      <c r="Z59" s="8">
        <f>(B59+F59+J59+N59+R59+V59)*AD11</f>
        <v>270</v>
      </c>
      <c r="AE59" s="7" t="s">
        <v>17</v>
      </c>
      <c r="AF59" s="7">
        <v>136</v>
      </c>
      <c r="AG59" s="7">
        <v>45</v>
      </c>
    </row>
    <row r="60" spans="1:39" s="7" customFormat="1">
      <c r="A60" s="25" t="s">
        <v>18</v>
      </c>
      <c r="B60" s="25"/>
      <c r="C60" s="25">
        <v>160</v>
      </c>
      <c r="E60" s="25" t="s">
        <v>18</v>
      </c>
      <c r="F60" s="25">
        <v>16</v>
      </c>
      <c r="G60" s="25">
        <v>160</v>
      </c>
      <c r="I60" s="25" t="s">
        <v>18</v>
      </c>
      <c r="J60" s="25"/>
      <c r="K60" s="25">
        <v>160</v>
      </c>
      <c r="M60" s="25" t="s">
        <v>18</v>
      </c>
      <c r="N60" s="25"/>
      <c r="O60" s="25">
        <v>160</v>
      </c>
      <c r="P60" s="33"/>
      <c r="Q60" s="25" t="s">
        <v>18</v>
      </c>
      <c r="R60" s="25"/>
      <c r="S60" s="25">
        <v>160</v>
      </c>
      <c r="T60" s="22"/>
      <c r="U60" s="25" t="s">
        <v>18</v>
      </c>
      <c r="V60" s="25"/>
      <c r="W60" s="25">
        <v>160</v>
      </c>
      <c r="X60" s="37">
        <f t="shared" si="11"/>
        <v>16</v>
      </c>
      <c r="Y60" s="1">
        <f t="shared" si="12"/>
        <v>2560</v>
      </c>
      <c r="Z60" s="8">
        <f>(B60+F60+J60+N60+R60+V60)*AD5</f>
        <v>640</v>
      </c>
      <c r="AC60" s="7" t="s">
        <v>48</v>
      </c>
      <c r="AE60" s="7" t="s">
        <v>11</v>
      </c>
      <c r="AF60" s="7">
        <v>144</v>
      </c>
      <c r="AG60" s="7">
        <v>50</v>
      </c>
    </row>
    <row r="61" spans="1:39" s="7" customFormat="1">
      <c r="A61" s="25" t="s">
        <v>17</v>
      </c>
      <c r="B61" s="27"/>
      <c r="C61" s="25">
        <v>170</v>
      </c>
      <c r="E61" s="25" t="s">
        <v>17</v>
      </c>
      <c r="F61" s="27"/>
      <c r="G61" s="25">
        <v>170</v>
      </c>
      <c r="I61" s="25" t="s">
        <v>17</v>
      </c>
      <c r="J61" s="27">
        <v>48</v>
      </c>
      <c r="K61" s="25">
        <v>170</v>
      </c>
      <c r="M61" s="25" t="s">
        <v>17</v>
      </c>
      <c r="N61" s="27"/>
      <c r="O61" s="25">
        <v>170</v>
      </c>
      <c r="P61" s="33"/>
      <c r="Q61" s="25" t="s">
        <v>17</v>
      </c>
      <c r="R61" s="27"/>
      <c r="S61" s="25">
        <v>170</v>
      </c>
      <c r="T61" s="22"/>
      <c r="U61" s="25" t="s">
        <v>17</v>
      </c>
      <c r="V61" s="27"/>
      <c r="W61" s="25">
        <v>170</v>
      </c>
      <c r="X61" s="37">
        <f t="shared" si="11"/>
        <v>48</v>
      </c>
      <c r="Y61" s="1">
        <f t="shared" si="12"/>
        <v>8160</v>
      </c>
      <c r="Z61" s="8">
        <f>(B61+F61+J61+N61+R61+V61)*AD4</f>
        <v>2160</v>
      </c>
      <c r="AC61" s="7">
        <f>Q2+Y11+Y22+Y32-Y73+Y55+Y44</f>
        <v>25038</v>
      </c>
    </row>
    <row r="62" spans="1:39" s="7" customFormat="1">
      <c r="A62" s="25" t="s">
        <v>49</v>
      </c>
      <c r="B62" s="27"/>
      <c r="C62" s="25">
        <v>150</v>
      </c>
      <c r="E62" s="25" t="s">
        <v>49</v>
      </c>
      <c r="F62" s="27">
        <v>2</v>
      </c>
      <c r="G62" s="25">
        <v>150</v>
      </c>
      <c r="I62" s="25" t="s">
        <v>49</v>
      </c>
      <c r="J62" s="27"/>
      <c r="K62" s="25">
        <v>150</v>
      </c>
      <c r="M62" s="25" t="s">
        <v>49</v>
      </c>
      <c r="N62" s="27"/>
      <c r="O62" s="25">
        <v>150</v>
      </c>
      <c r="P62" s="33"/>
      <c r="Q62" s="25" t="s">
        <v>49</v>
      </c>
      <c r="R62" s="27"/>
      <c r="S62" s="25">
        <v>150</v>
      </c>
      <c r="T62" s="22"/>
      <c r="U62" s="25" t="s">
        <v>49</v>
      </c>
      <c r="V62" s="27"/>
      <c r="W62" s="25">
        <v>150</v>
      </c>
      <c r="X62" s="37">
        <f t="shared" si="11"/>
        <v>2</v>
      </c>
      <c r="Y62" s="1">
        <f t="shared" si="12"/>
        <v>300</v>
      </c>
      <c r="Z62" s="8">
        <f>(B62+F62+J62+N62+R62+V62)*AD5</f>
        <v>80</v>
      </c>
    </row>
    <row r="63" spans="1:39" s="7" customFormat="1">
      <c r="A63" s="25" t="s">
        <v>50</v>
      </c>
      <c r="B63" s="27"/>
      <c r="C63" s="25">
        <v>170</v>
      </c>
      <c r="E63" s="25" t="s">
        <v>50</v>
      </c>
      <c r="F63" s="27"/>
      <c r="G63" s="25">
        <v>170</v>
      </c>
      <c r="I63" s="25" t="s">
        <v>50</v>
      </c>
      <c r="J63" s="27">
        <v>4</v>
      </c>
      <c r="K63" s="25">
        <v>170</v>
      </c>
      <c r="M63" s="25" t="s">
        <v>50</v>
      </c>
      <c r="N63" s="27"/>
      <c r="O63" s="25">
        <v>170</v>
      </c>
      <c r="P63" s="33"/>
      <c r="Q63" s="25" t="s">
        <v>50</v>
      </c>
      <c r="R63" s="27"/>
      <c r="S63" s="25">
        <v>170</v>
      </c>
      <c r="T63" s="22"/>
      <c r="U63" s="25" t="s">
        <v>50</v>
      </c>
      <c r="V63" s="27"/>
      <c r="W63" s="25">
        <v>170</v>
      </c>
      <c r="X63" s="37">
        <f t="shared" si="11"/>
        <v>4</v>
      </c>
      <c r="Y63" s="1">
        <f t="shared" si="12"/>
        <v>680</v>
      </c>
      <c r="Z63" s="8">
        <f>(B63+F63+J63+N63+R63+V63)*AD4</f>
        <v>180</v>
      </c>
      <c r="AC63" s="7" t="s">
        <v>51</v>
      </c>
    </row>
    <row r="64" spans="1:39" s="7" customFormat="1">
      <c r="A64" s="25" t="s">
        <v>52</v>
      </c>
      <c r="B64" s="26"/>
      <c r="C64" s="25">
        <v>150</v>
      </c>
      <c r="E64" s="25" t="s">
        <v>52</v>
      </c>
      <c r="F64" s="26"/>
      <c r="G64" s="25">
        <v>150</v>
      </c>
      <c r="I64" s="25" t="s">
        <v>52</v>
      </c>
      <c r="J64" s="26">
        <v>2</v>
      </c>
      <c r="K64" s="25">
        <v>150</v>
      </c>
      <c r="M64" s="25" t="s">
        <v>52</v>
      </c>
      <c r="N64" s="26"/>
      <c r="O64" s="25">
        <v>150</v>
      </c>
      <c r="P64" s="33"/>
      <c r="Q64" s="25" t="s">
        <v>52</v>
      </c>
      <c r="R64" s="26"/>
      <c r="S64" s="25">
        <v>150</v>
      </c>
      <c r="T64" s="22"/>
      <c r="U64" s="25" t="s">
        <v>52</v>
      </c>
      <c r="V64" s="26"/>
      <c r="W64" s="25">
        <v>150</v>
      </c>
      <c r="X64" s="37">
        <f t="shared" si="11"/>
        <v>2</v>
      </c>
      <c r="Y64" s="1">
        <f t="shared" si="12"/>
        <v>300</v>
      </c>
      <c r="Z64" s="8">
        <f>(B64+F64+J64+N64+R64+V64)*AD4</f>
        <v>90</v>
      </c>
      <c r="AC64" s="7">
        <v>0</v>
      </c>
    </row>
    <row r="65" spans="1:29" s="7" customFormat="1">
      <c r="A65" s="25" t="s">
        <v>11</v>
      </c>
      <c r="B65" s="26"/>
      <c r="C65" s="25">
        <v>180</v>
      </c>
      <c r="D65" s="1"/>
      <c r="E65" s="25" t="s">
        <v>11</v>
      </c>
      <c r="F65" s="26">
        <v>4</v>
      </c>
      <c r="G65" s="25">
        <v>180</v>
      </c>
      <c r="H65" s="1"/>
      <c r="I65" s="25" t="s">
        <v>11</v>
      </c>
      <c r="J65" s="26">
        <v>2</v>
      </c>
      <c r="K65" s="25">
        <v>180</v>
      </c>
      <c r="L65" s="1"/>
      <c r="M65" s="25" t="s">
        <v>11</v>
      </c>
      <c r="N65" s="26"/>
      <c r="O65" s="25">
        <v>180</v>
      </c>
      <c r="P65" s="33"/>
      <c r="Q65" s="25" t="s">
        <v>11</v>
      </c>
      <c r="R65" s="26"/>
      <c r="S65" s="25">
        <v>180</v>
      </c>
      <c r="T65" s="22"/>
      <c r="U65" s="25" t="s">
        <v>11</v>
      </c>
      <c r="V65" s="26"/>
      <c r="W65" s="25">
        <v>180</v>
      </c>
      <c r="X65" s="37">
        <f t="shared" si="11"/>
        <v>6</v>
      </c>
      <c r="Y65" s="1">
        <f t="shared" si="12"/>
        <v>1080</v>
      </c>
      <c r="Z65" s="8">
        <f>(B65+F65+J65+N65+R65+V65)*AD3</f>
        <v>300</v>
      </c>
    </row>
    <row r="66" spans="1:29" s="7" customFormat="1">
      <c r="A66" s="25" t="s">
        <v>23</v>
      </c>
      <c r="B66" s="26"/>
      <c r="C66" s="25">
        <v>250</v>
      </c>
      <c r="D66" s="1"/>
      <c r="E66" s="25" t="s">
        <v>23</v>
      </c>
      <c r="F66" s="26">
        <v>1</v>
      </c>
      <c r="G66" s="25">
        <v>250</v>
      </c>
      <c r="H66" s="1"/>
      <c r="I66" s="25" t="s">
        <v>23</v>
      </c>
      <c r="J66" s="26"/>
      <c r="K66" s="25">
        <v>250</v>
      </c>
      <c r="L66" s="1"/>
      <c r="M66" s="25" t="s">
        <v>23</v>
      </c>
      <c r="N66" s="26"/>
      <c r="O66" s="25">
        <v>250</v>
      </c>
      <c r="P66" s="33"/>
      <c r="Q66" s="25" t="s">
        <v>23</v>
      </c>
      <c r="R66" s="26"/>
      <c r="S66" s="25">
        <v>250</v>
      </c>
      <c r="T66" s="22"/>
      <c r="U66" s="25" t="s">
        <v>23</v>
      </c>
      <c r="V66" s="26"/>
      <c r="W66" s="25">
        <v>250</v>
      </c>
      <c r="X66" s="37">
        <f t="shared" si="11"/>
        <v>1</v>
      </c>
      <c r="Y66" s="1">
        <f t="shared" si="12"/>
        <v>250</v>
      </c>
      <c r="Z66" s="8">
        <f>(B66+F66+J66+N66+R66+V66)*AD8</f>
        <v>400</v>
      </c>
      <c r="AC66" s="7" t="s">
        <v>53</v>
      </c>
    </row>
    <row r="67" spans="1:29" s="7" customFormat="1">
      <c r="A67" s="25" t="s">
        <v>24</v>
      </c>
      <c r="B67" s="25"/>
      <c r="C67" s="25">
        <v>250</v>
      </c>
      <c r="E67" s="25" t="s">
        <v>24</v>
      </c>
      <c r="F67" s="25"/>
      <c r="G67" s="25">
        <v>250</v>
      </c>
      <c r="I67" s="25" t="s">
        <v>24</v>
      </c>
      <c r="J67" s="25">
        <v>2</v>
      </c>
      <c r="K67" s="25">
        <v>250</v>
      </c>
      <c r="M67" s="25" t="s">
        <v>24</v>
      </c>
      <c r="N67" s="25"/>
      <c r="O67" s="25">
        <v>250</v>
      </c>
      <c r="P67" s="33"/>
      <c r="Q67" s="25" t="s">
        <v>24</v>
      </c>
      <c r="R67" s="25"/>
      <c r="S67" s="25">
        <v>250</v>
      </c>
      <c r="T67" s="22"/>
      <c r="U67" s="25" t="s">
        <v>24</v>
      </c>
      <c r="V67" s="25"/>
      <c r="W67" s="25">
        <v>250</v>
      </c>
      <c r="X67" s="37">
        <f t="shared" si="11"/>
        <v>2</v>
      </c>
      <c r="Y67" s="1">
        <f t="shared" si="12"/>
        <v>500</v>
      </c>
      <c r="Z67" s="8">
        <f>(B67+F67+J67+N67+R67+V67)*AD9</f>
        <v>600</v>
      </c>
      <c r="AC67" s="7">
        <f>Z11+Z22+Z32+Z44+Z55+7000+AC64+Z73</f>
        <v>55750</v>
      </c>
    </row>
    <row r="68" spans="1:29" s="7" customFormat="1">
      <c r="A68" s="48" t="s">
        <v>21</v>
      </c>
      <c r="B68" s="25"/>
      <c r="C68" s="25">
        <v>-150</v>
      </c>
      <c r="E68" s="48" t="s">
        <v>21</v>
      </c>
      <c r="F68" s="25">
        <v>1</v>
      </c>
      <c r="G68" s="25">
        <v>-150</v>
      </c>
      <c r="I68" s="48" t="s">
        <v>21</v>
      </c>
      <c r="J68" s="25"/>
      <c r="K68" s="25">
        <v>-150</v>
      </c>
      <c r="M68" s="48" t="s">
        <v>21</v>
      </c>
      <c r="N68" s="25"/>
      <c r="O68" s="25">
        <v>-150</v>
      </c>
      <c r="P68" s="33"/>
      <c r="Q68" s="48" t="s">
        <v>21</v>
      </c>
      <c r="R68" s="25"/>
      <c r="S68" s="25">
        <v>-150</v>
      </c>
      <c r="T68" s="22"/>
      <c r="U68" s="48" t="s">
        <v>21</v>
      </c>
      <c r="V68" s="25"/>
      <c r="W68" s="25">
        <v>-150</v>
      </c>
      <c r="X68" s="35">
        <f t="shared" si="11"/>
        <v>1</v>
      </c>
      <c r="Y68" s="1">
        <f t="shared" si="12"/>
        <v>-150</v>
      </c>
      <c r="Z68" s="8"/>
    </row>
    <row r="69" spans="1:29" s="7" customFormat="1">
      <c r="A69" s="49" t="s">
        <v>25</v>
      </c>
      <c r="B69" s="25"/>
      <c r="C69" s="25">
        <v>10</v>
      </c>
      <c r="E69" s="49" t="s">
        <v>25</v>
      </c>
      <c r="F69" s="25"/>
      <c r="G69" s="25">
        <v>10</v>
      </c>
      <c r="I69" s="49" t="s">
        <v>25</v>
      </c>
      <c r="J69" s="25">
        <v>3</v>
      </c>
      <c r="K69" s="25">
        <v>10</v>
      </c>
      <c r="M69" s="49" t="s">
        <v>25</v>
      </c>
      <c r="N69" s="25"/>
      <c r="O69" s="25">
        <v>10</v>
      </c>
      <c r="P69" s="33"/>
      <c r="Q69" s="49" t="s">
        <v>25</v>
      </c>
      <c r="R69" s="25"/>
      <c r="S69" s="25">
        <v>10</v>
      </c>
      <c r="T69" s="22"/>
      <c r="U69" s="49" t="s">
        <v>25</v>
      </c>
      <c r="V69" s="25"/>
      <c r="W69" s="25">
        <v>10</v>
      </c>
      <c r="X69" s="37">
        <f t="shared" si="11"/>
        <v>3</v>
      </c>
      <c r="Y69" s="1">
        <f t="shared" si="12"/>
        <v>30</v>
      </c>
      <c r="Z69" s="8"/>
    </row>
    <row r="70" spans="1:29">
      <c r="A70" s="49" t="s">
        <v>30</v>
      </c>
      <c r="B70" s="26"/>
      <c r="C70" s="25">
        <v>150</v>
      </c>
      <c r="D70" s="7"/>
      <c r="E70" s="49" t="s">
        <v>30</v>
      </c>
      <c r="F70" s="26"/>
      <c r="G70" s="25">
        <v>150</v>
      </c>
      <c r="H70" s="7"/>
      <c r="I70" s="49" t="s">
        <v>30</v>
      </c>
      <c r="J70" s="26"/>
      <c r="K70" s="25">
        <v>150</v>
      </c>
      <c r="L70" s="7"/>
      <c r="M70" s="49" t="s">
        <v>30</v>
      </c>
      <c r="N70" s="26"/>
      <c r="O70" s="25">
        <v>150</v>
      </c>
      <c r="P70" s="33"/>
      <c r="Q70" s="49" t="s">
        <v>30</v>
      </c>
      <c r="R70" s="26"/>
      <c r="S70" s="25">
        <v>150</v>
      </c>
      <c r="T70" s="22"/>
      <c r="U70" s="49" t="s">
        <v>30</v>
      </c>
      <c r="V70" s="26"/>
      <c r="W70" s="25">
        <v>150</v>
      </c>
      <c r="X70" s="37">
        <f t="shared" si="11"/>
        <v>0</v>
      </c>
      <c r="Y70" s="1">
        <f t="shared" si="12"/>
        <v>0</v>
      </c>
      <c r="Z70" s="8">
        <f>(B70+F70+J70+N70+R70+V70)*AD13</f>
        <v>0</v>
      </c>
    </row>
    <row r="71" spans="1:29">
      <c r="A71" s="49" t="s">
        <v>45</v>
      </c>
      <c r="B71" s="26"/>
      <c r="C71" s="25">
        <v>-50</v>
      </c>
      <c r="D71" s="7"/>
      <c r="E71" s="49" t="s">
        <v>45</v>
      </c>
      <c r="F71" s="26"/>
      <c r="G71" s="25">
        <v>-50</v>
      </c>
      <c r="H71" s="7"/>
      <c r="I71" s="49" t="s">
        <v>45</v>
      </c>
      <c r="J71" s="26">
        <v>1</v>
      </c>
      <c r="K71" s="25">
        <v>-50</v>
      </c>
      <c r="L71" s="7"/>
      <c r="M71" s="49" t="s">
        <v>45</v>
      </c>
      <c r="N71" s="26"/>
      <c r="O71" s="25">
        <v>-50</v>
      </c>
      <c r="P71" s="33"/>
      <c r="Q71" s="49" t="s">
        <v>45</v>
      </c>
      <c r="R71" s="26"/>
      <c r="S71" s="25">
        <v>-50</v>
      </c>
      <c r="T71" s="22"/>
      <c r="U71" s="49" t="s">
        <v>45</v>
      </c>
      <c r="V71" s="26"/>
      <c r="W71" s="25">
        <v>-50</v>
      </c>
      <c r="X71" s="37">
        <f t="shared" si="11"/>
        <v>1</v>
      </c>
      <c r="Y71" s="1">
        <f t="shared" si="12"/>
        <v>-50</v>
      </c>
    </row>
    <row r="72" spans="1:29">
      <c r="A72" s="49" t="s">
        <v>54</v>
      </c>
      <c r="B72" s="25"/>
      <c r="C72" s="25">
        <v>50</v>
      </c>
      <c r="D72" s="7"/>
      <c r="E72" s="49" t="s">
        <v>54</v>
      </c>
      <c r="F72" s="25"/>
      <c r="G72" s="25">
        <v>50</v>
      </c>
      <c r="H72" s="7"/>
      <c r="I72" s="49" t="s">
        <v>54</v>
      </c>
      <c r="J72" s="25">
        <v>2</v>
      </c>
      <c r="K72" s="25">
        <v>50</v>
      </c>
      <c r="L72" s="7"/>
      <c r="M72" s="49" t="s">
        <v>54</v>
      </c>
      <c r="N72" s="25"/>
      <c r="O72" s="25">
        <v>50</v>
      </c>
      <c r="P72" s="33"/>
      <c r="Q72" s="49" t="s">
        <v>54</v>
      </c>
      <c r="R72" s="25"/>
      <c r="S72" s="25">
        <v>50</v>
      </c>
      <c r="T72" s="22"/>
      <c r="U72" s="49" t="s">
        <v>54</v>
      </c>
      <c r="V72" s="25"/>
      <c r="W72" s="25">
        <v>50</v>
      </c>
      <c r="X72" s="37">
        <f t="shared" si="11"/>
        <v>2</v>
      </c>
      <c r="Y72" s="1">
        <f t="shared" si="12"/>
        <v>100</v>
      </c>
      <c r="Z72" s="7"/>
    </row>
    <row r="73" spans="1:29">
      <c r="Y73" s="38">
        <f>SUM(Y58:Y72)</f>
        <v>17810</v>
      </c>
      <c r="Z73" s="38">
        <f>SUM(Z58:Z72)</f>
        <v>5560</v>
      </c>
    </row>
  </sheetData>
  <mergeCells count="38">
    <mergeCell ref="A56:W56"/>
    <mergeCell ref="U44:W44"/>
    <mergeCell ref="A45:W45"/>
    <mergeCell ref="A55:C55"/>
    <mergeCell ref="E55:G55"/>
    <mergeCell ref="I55:K55"/>
    <mergeCell ref="M55:O55"/>
    <mergeCell ref="Q55:S55"/>
    <mergeCell ref="U55:W55"/>
    <mergeCell ref="A44:C44"/>
    <mergeCell ref="E44:G44"/>
    <mergeCell ref="I44:K44"/>
    <mergeCell ref="M44:O44"/>
    <mergeCell ref="Q44:S44"/>
    <mergeCell ref="U22:W22"/>
    <mergeCell ref="A32:C32"/>
    <mergeCell ref="E32:G32"/>
    <mergeCell ref="I32:K32"/>
    <mergeCell ref="M32:O32"/>
    <mergeCell ref="Q32:S32"/>
    <mergeCell ref="U32:W32"/>
    <mergeCell ref="A22:C22"/>
    <mergeCell ref="E22:G22"/>
    <mergeCell ref="I22:K22"/>
    <mergeCell ref="M22:O22"/>
    <mergeCell ref="Q22:S22"/>
    <mergeCell ref="U3:W3"/>
    <mergeCell ref="A11:C11"/>
    <mergeCell ref="E11:G11"/>
    <mergeCell ref="I11:K11"/>
    <mergeCell ref="M11:O11"/>
    <mergeCell ref="Q11:S11"/>
    <mergeCell ref="U11:W11"/>
    <mergeCell ref="A3:C3"/>
    <mergeCell ref="E3:G3"/>
    <mergeCell ref="I3:K3"/>
    <mergeCell ref="M3:O3"/>
    <mergeCell ref="Q3:S3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一原</vt:lpstr>
      <vt:lpstr>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Jiang, Ruoli</cp:lastModifiedBy>
  <dcterms:created xsi:type="dcterms:W3CDTF">2022-03-18T06:02:00Z</dcterms:created>
  <dcterms:modified xsi:type="dcterms:W3CDTF">2024-03-15T16:23:46Z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FC0E5AA73A8047868E1EBE7200DC26C0_13</vt:lpwstr>
  </property>
  <property fmtid="{D5CDD505-2E9C-101B-9397-08002B2CF9AE}" pid="3" name="KSOProductBuildVer">
    <vt:lpwstr>2052-12.1.0.16399</vt:lpwstr>
  </property>
</Properties>
</file>