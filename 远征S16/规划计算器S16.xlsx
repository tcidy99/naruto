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16\"/>
    </mc:Choice>
  </mc:AlternateContent>
  <xr:revisionPtr revIDLastSave="0" documentId="13_ncr:1_{A4B21E4F-B8A4-4585-90A3-DC3569FC0BB2}" xr6:coauthVersionLast="47" xr6:coauthVersionMax="47" xr10:uidLastSave="{00000000-0000-0000-0000-000000000000}"/>
  <bookViews>
    <workbookView xWindow="-108" yWindow="-108" windowWidth="23256" windowHeight="12456" activeTab="2" xr2:uid="{ECD4D7EE-2D5D-4083-A820-495883BB0745}"/>
  </bookViews>
  <sheets>
    <sheet name="16.06" sheetId="107" r:id="rId1"/>
    <sheet name="16.07" sheetId="108" r:id="rId2"/>
    <sheet name="16.02" sheetId="103" r:id="rId3"/>
    <sheet name="16.05" sheetId="106" r:id="rId4"/>
    <sheet name="16.04" sheetId="105" r:id="rId5"/>
    <sheet name="16.03" sheetId="104" r:id="rId6"/>
    <sheet name="16.01" sheetId="102" r:id="rId7"/>
    <sheet name="16.00" sheetId="9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1" i="108" l="1"/>
  <c r="AA28" i="108"/>
  <c r="Z28" i="108"/>
  <c r="AB28" i="108" s="1"/>
  <c r="AA27" i="108"/>
  <c r="Z27" i="108"/>
  <c r="AB27" i="108" s="1"/>
  <c r="W26" i="108"/>
  <c r="AA25" i="108"/>
  <c r="Z25" i="108"/>
  <c r="AB25" i="108" s="1"/>
  <c r="W25" i="108"/>
  <c r="AA24" i="108"/>
  <c r="Z24" i="108"/>
  <c r="AB24" i="108" s="1"/>
  <c r="W24" i="108"/>
  <c r="AA23" i="108"/>
  <c r="Z23" i="108"/>
  <c r="AB23" i="108" s="1"/>
  <c r="W23" i="108"/>
  <c r="AA22" i="108"/>
  <c r="Z22" i="108"/>
  <c r="AB22" i="108" s="1"/>
  <c r="AA21" i="108"/>
  <c r="Z21" i="108"/>
  <c r="AB21" i="108" s="1"/>
  <c r="AA20" i="108"/>
  <c r="Z20" i="108"/>
  <c r="AB20" i="108" s="1"/>
  <c r="AA19" i="108"/>
  <c r="Z19" i="108"/>
  <c r="AA18" i="108"/>
  <c r="Z18" i="108"/>
  <c r="AB18" i="108" s="1"/>
  <c r="AA17" i="108"/>
  <c r="Z17" i="108"/>
  <c r="AB17" i="108" s="1"/>
  <c r="AA16" i="108"/>
  <c r="Z16" i="108"/>
  <c r="AA15" i="108"/>
  <c r="Z15" i="108"/>
  <c r="AB15" i="108" s="1"/>
  <c r="W15" i="108"/>
  <c r="R15" i="108"/>
  <c r="AA14" i="108"/>
  <c r="Z14" i="108"/>
  <c r="AB14" i="108" s="1"/>
  <c r="R14" i="108"/>
  <c r="AA13" i="108"/>
  <c r="Z13" i="108"/>
  <c r="AB13" i="108" s="1"/>
  <c r="AA12" i="108"/>
  <c r="Z12" i="108"/>
  <c r="AB12" i="108" s="1"/>
  <c r="AA11" i="108"/>
  <c r="Z11" i="108"/>
  <c r="W11" i="108"/>
  <c r="AA10" i="108"/>
  <c r="Z10" i="108"/>
  <c r="AB10" i="108" s="1"/>
  <c r="W10" i="108"/>
  <c r="AA9" i="108"/>
  <c r="Z9" i="108"/>
  <c r="W9" i="108"/>
  <c r="AA8" i="108"/>
  <c r="Z8" i="108"/>
  <c r="AB8" i="108" s="1"/>
  <c r="P8" i="108"/>
  <c r="H8" i="108"/>
  <c r="AA7" i="108"/>
  <c r="Z7" i="108"/>
  <c r="O7" i="108"/>
  <c r="N7" i="108"/>
  <c r="M7" i="108"/>
  <c r="P7" i="108" s="1"/>
  <c r="G7" i="108"/>
  <c r="F7" i="108"/>
  <c r="H7" i="108" s="1"/>
  <c r="E7" i="108"/>
  <c r="AA6" i="108"/>
  <c r="Z6" i="108"/>
  <c r="AB6" i="108" s="1"/>
  <c r="R6" i="108"/>
  <c r="O6" i="108" a="1"/>
  <c r="O6" i="108" s="1"/>
  <c r="O9" i="108" s="1"/>
  <c r="N6" i="108" a="1"/>
  <c r="N6" i="108" s="1"/>
  <c r="M6" i="108" a="1"/>
  <c r="M6" i="108" s="1"/>
  <c r="G6" i="108" a="1"/>
  <c r="G6" i="108" s="1"/>
  <c r="F6" i="108" a="1"/>
  <c r="F6" i="108" s="1"/>
  <c r="E6" i="108" a="1"/>
  <c r="E6" i="108" s="1"/>
  <c r="AA5" i="108"/>
  <c r="Z5" i="108"/>
  <c r="AB5" i="108" s="1"/>
  <c r="O5" i="108" a="1"/>
  <c r="O5" i="108" s="1"/>
  <c r="N5" i="108" a="1"/>
  <c r="N5" i="108" s="1"/>
  <c r="M5" i="108" a="1"/>
  <c r="M5" i="108" s="1"/>
  <c r="G5" i="108" a="1"/>
  <c r="G5" i="108" s="1"/>
  <c r="F5" i="108" a="1"/>
  <c r="F5" i="108" s="1"/>
  <c r="E5" i="108" a="1"/>
  <c r="E5" i="108" s="1"/>
  <c r="AA4" i="108"/>
  <c r="Z4" i="108"/>
  <c r="AB4" i="108" s="1"/>
  <c r="W4" i="108"/>
  <c r="P4" i="108"/>
  <c r="H4" i="108"/>
  <c r="AA3" i="108"/>
  <c r="Z3" i="108"/>
  <c r="AB3" i="108" s="1"/>
  <c r="W3" i="108"/>
  <c r="H1" i="108" s="1" a="1"/>
  <c r="H1" i="108" s="1"/>
  <c r="AB19" i="108" l="1"/>
  <c r="AB16" i="108"/>
  <c r="AB7" i="108"/>
  <c r="H5" i="108"/>
  <c r="AB11" i="108"/>
  <c r="AB9" i="108"/>
  <c r="P6" i="108"/>
  <c r="M9" i="108"/>
  <c r="N9" i="108"/>
  <c r="P5" i="108"/>
  <c r="H6" i="108"/>
  <c r="P12" i="108" s="1"/>
  <c r="AB31" i="108" l="1"/>
  <c r="R2" i="108" a="1"/>
  <c r="R2" i="108" s="1"/>
  <c r="R8" i="108" a="1"/>
  <c r="R8" i="108" s="1"/>
  <c r="P9" i="108"/>
  <c r="P11" i="108"/>
  <c r="Y31" i="107" l="1"/>
  <c r="AA28" i="107"/>
  <c r="Z28" i="107"/>
  <c r="AB28" i="107" s="1"/>
  <c r="AA27" i="107"/>
  <c r="Z27" i="107"/>
  <c r="AB27" i="107" s="1"/>
  <c r="W26" i="107"/>
  <c r="AA25" i="107"/>
  <c r="Z25" i="107"/>
  <c r="AB25" i="107" s="1"/>
  <c r="W25" i="107"/>
  <c r="AA24" i="107"/>
  <c r="Z24" i="107"/>
  <c r="AB24" i="107" s="1"/>
  <c r="W24" i="107"/>
  <c r="AA23" i="107"/>
  <c r="Z23" i="107"/>
  <c r="AB23" i="107" s="1"/>
  <c r="W23" i="107"/>
  <c r="AA22" i="107"/>
  <c r="Z22" i="107"/>
  <c r="AB22" i="107" s="1"/>
  <c r="AA21" i="107"/>
  <c r="Z21" i="107"/>
  <c r="AB21" i="107" s="1"/>
  <c r="AA20" i="107"/>
  <c r="Z20" i="107"/>
  <c r="AB20" i="107" s="1"/>
  <c r="AA19" i="107"/>
  <c r="Z19" i="107"/>
  <c r="AB19" i="107" s="1"/>
  <c r="AA18" i="107"/>
  <c r="Z18" i="107"/>
  <c r="AB18" i="107" s="1"/>
  <c r="AA17" i="107"/>
  <c r="Z17" i="107"/>
  <c r="AB17" i="107" s="1"/>
  <c r="AA16" i="107"/>
  <c r="Z16" i="107"/>
  <c r="AA15" i="107"/>
  <c r="Z15" i="107"/>
  <c r="AB15" i="107" s="1"/>
  <c r="W15" i="107"/>
  <c r="AA14" i="107"/>
  <c r="Z14" i="107"/>
  <c r="AB14" i="107" s="1"/>
  <c r="AA13" i="107"/>
  <c r="Z13" i="107"/>
  <c r="AB13" i="107" s="1"/>
  <c r="AA12" i="107"/>
  <c r="Z12" i="107"/>
  <c r="AB12" i="107" s="1"/>
  <c r="AA11" i="107"/>
  <c r="AB11" i="107" s="1"/>
  <c r="Z11" i="107"/>
  <c r="W11" i="107"/>
  <c r="AA10" i="107"/>
  <c r="Z10" i="107"/>
  <c r="AB10" i="107" s="1"/>
  <c r="W10" i="107"/>
  <c r="AA9" i="107"/>
  <c r="Z9" i="107"/>
  <c r="AB9" i="107" s="1"/>
  <c r="W9" i="107"/>
  <c r="AA8" i="107"/>
  <c r="Z8" i="107"/>
  <c r="AB8" i="107" s="1"/>
  <c r="P8" i="107"/>
  <c r="H8" i="107"/>
  <c r="AA7" i="107"/>
  <c r="Z7" i="107"/>
  <c r="O7" i="107"/>
  <c r="N7" i="107"/>
  <c r="M7" i="107"/>
  <c r="P7" i="107" s="1"/>
  <c r="G7" i="107"/>
  <c r="F7" i="107"/>
  <c r="E7" i="107"/>
  <c r="AA6" i="107"/>
  <c r="Z6" i="107"/>
  <c r="AB6" i="107" s="1"/>
  <c r="R6" i="107"/>
  <c r="R14" i="107" s="1"/>
  <c r="R15" i="107" s="1"/>
  <c r="O6" i="107" a="1"/>
  <c r="O6" i="107" s="1"/>
  <c r="N6" i="107" a="1"/>
  <c r="N6" i="107" s="1"/>
  <c r="N9" i="107" s="1"/>
  <c r="M6" i="107" a="1"/>
  <c r="M6" i="107" s="1"/>
  <c r="G6" i="107" a="1"/>
  <c r="G6" i="107" s="1"/>
  <c r="F6" i="107" a="1"/>
  <c r="F6" i="107" s="1"/>
  <c r="E6" i="107" a="1"/>
  <c r="E6" i="107" s="1"/>
  <c r="AA5" i="107"/>
  <c r="Z5" i="107"/>
  <c r="AB5" i="107" s="1"/>
  <c r="O5" i="107" a="1"/>
  <c r="O5" i="107" s="1"/>
  <c r="N5" i="107" a="1"/>
  <c r="N5" i="107" s="1"/>
  <c r="M5" i="107" a="1"/>
  <c r="M5" i="107" s="1"/>
  <c r="G5" i="107" a="1"/>
  <c r="G5" i="107" s="1"/>
  <c r="F5" i="107" a="1"/>
  <c r="F5" i="107" s="1"/>
  <c r="E5" i="107" a="1"/>
  <c r="E5" i="107" s="1"/>
  <c r="AA4" i="107"/>
  <c r="Z4" i="107"/>
  <c r="AB4" i="107" s="1"/>
  <c r="W4" i="107"/>
  <c r="P4" i="107"/>
  <c r="H4" i="107"/>
  <c r="AA3" i="107"/>
  <c r="Z3" i="107"/>
  <c r="AB3" i="107" s="1"/>
  <c r="W3" i="107"/>
  <c r="H1" i="107" s="1" a="1"/>
  <c r="H1" i="107" s="1"/>
  <c r="P5" i="107" l="1"/>
  <c r="O9" i="107"/>
  <c r="AB16" i="107"/>
  <c r="H6" i="107"/>
  <c r="P12" i="107" s="1"/>
  <c r="AB7" i="107"/>
  <c r="AB31" i="107" s="1"/>
  <c r="H7" i="107"/>
  <c r="P6" i="107"/>
  <c r="M9" i="107"/>
  <c r="H5" i="107"/>
  <c r="Y31" i="106"/>
  <c r="AA28" i="106"/>
  <c r="Z28" i="106"/>
  <c r="AA27" i="106"/>
  <c r="Z27" i="106"/>
  <c r="W26" i="106"/>
  <c r="AA25" i="106"/>
  <c r="Z25" i="106"/>
  <c r="W25" i="106"/>
  <c r="AA24" i="106"/>
  <c r="Z24" i="106"/>
  <c r="AB24" i="106" s="1"/>
  <c r="W24" i="106"/>
  <c r="AA23" i="106"/>
  <c r="Z23" i="106"/>
  <c r="AB23" i="106" s="1"/>
  <c r="W23" i="106"/>
  <c r="AA22" i="106"/>
  <c r="Z22" i="106"/>
  <c r="AA21" i="106"/>
  <c r="Z21" i="106"/>
  <c r="AA20" i="106"/>
  <c r="Z20" i="106"/>
  <c r="AA19" i="106"/>
  <c r="Z19" i="106"/>
  <c r="AB19" i="106" s="1"/>
  <c r="AA18" i="106"/>
  <c r="Z18" i="106"/>
  <c r="AA17" i="106"/>
  <c r="Z17" i="106"/>
  <c r="AA16" i="106"/>
  <c r="Z16" i="106"/>
  <c r="AA15" i="106"/>
  <c r="Z15" i="106"/>
  <c r="W15" i="106"/>
  <c r="R15" i="106"/>
  <c r="AA14" i="106"/>
  <c r="Z14" i="106"/>
  <c r="R14" i="106"/>
  <c r="AA13" i="106"/>
  <c r="Z13" i="106"/>
  <c r="AA12" i="106"/>
  <c r="Z12" i="106"/>
  <c r="AB12" i="106" s="1"/>
  <c r="AA11" i="106"/>
  <c r="Z11" i="106"/>
  <c r="W11" i="106"/>
  <c r="AA10" i="106"/>
  <c r="Z10" i="106"/>
  <c r="W10" i="106"/>
  <c r="AA9" i="106"/>
  <c r="Z9" i="106"/>
  <c r="W9" i="106"/>
  <c r="AA8" i="106"/>
  <c r="Z8" i="106"/>
  <c r="P8" i="106"/>
  <c r="H8" i="106"/>
  <c r="AA7" i="106"/>
  <c r="Z7" i="106"/>
  <c r="O7" i="106"/>
  <c r="N7" i="106"/>
  <c r="M7" i="106"/>
  <c r="P7" i="106" s="1"/>
  <c r="G7" i="106"/>
  <c r="F7" i="106"/>
  <c r="H7" i="106" s="1"/>
  <c r="E7" i="106"/>
  <c r="AA6" i="106"/>
  <c r="Z6" i="106"/>
  <c r="R6" i="106"/>
  <c r="O6" i="106" a="1"/>
  <c r="O6" i="106" s="1"/>
  <c r="O9" i="106" s="1"/>
  <c r="N6" i="106" a="1"/>
  <c r="N6" i="106" s="1"/>
  <c r="M6" i="106" a="1"/>
  <c r="M6" i="106" s="1"/>
  <c r="G6" i="106" a="1"/>
  <c r="G6" i="106" s="1"/>
  <c r="F6" i="106" a="1"/>
  <c r="F6" i="106" s="1"/>
  <c r="E6" i="106" a="1"/>
  <c r="E6" i="106" s="1"/>
  <c r="AA5" i="106"/>
  <c r="Z5" i="106"/>
  <c r="O5" i="106" a="1"/>
  <c r="O5" i="106" s="1"/>
  <c r="N5" i="106" a="1"/>
  <c r="N5" i="106" s="1"/>
  <c r="M5" i="106" a="1"/>
  <c r="M5" i="106" s="1"/>
  <c r="G5" i="106" a="1"/>
  <c r="G5" i="106" s="1"/>
  <c r="F5" i="106" a="1"/>
  <c r="F5" i="106" s="1"/>
  <c r="E5" i="106" a="1"/>
  <c r="E5" i="106" s="1"/>
  <c r="AA4" i="106"/>
  <c r="Z4" i="106"/>
  <c r="W4" i="106"/>
  <c r="P4" i="106"/>
  <c r="H4" i="106"/>
  <c r="AA3" i="106"/>
  <c r="Z3" i="106"/>
  <c r="W3" i="106"/>
  <c r="H1" i="106" s="1" a="1"/>
  <c r="H1" i="106" s="1"/>
  <c r="Y31" i="105"/>
  <c r="AA28" i="105"/>
  <c r="Z28" i="105"/>
  <c r="AB28" i="105" s="1"/>
  <c r="AA27" i="105"/>
  <c r="Z27" i="105"/>
  <c r="AB27" i="105" s="1"/>
  <c r="W26" i="105"/>
  <c r="AA25" i="105"/>
  <c r="Z25" i="105"/>
  <c r="AB25" i="105" s="1"/>
  <c r="W25" i="105"/>
  <c r="AA24" i="105"/>
  <c r="Z24" i="105"/>
  <c r="AB24" i="105" s="1"/>
  <c r="W24" i="105"/>
  <c r="AA23" i="105"/>
  <c r="Z23" i="105"/>
  <c r="AB23" i="105" s="1"/>
  <c r="W23" i="105"/>
  <c r="AA22" i="105"/>
  <c r="Z22" i="105"/>
  <c r="AB22" i="105" s="1"/>
  <c r="AA21" i="105"/>
  <c r="Z21" i="105"/>
  <c r="AB21" i="105" s="1"/>
  <c r="AA20" i="105"/>
  <c r="Z20" i="105"/>
  <c r="AB20" i="105" s="1"/>
  <c r="AA19" i="105"/>
  <c r="Z19" i="105"/>
  <c r="AA18" i="105"/>
  <c r="Z18" i="105"/>
  <c r="AB18" i="105" s="1"/>
  <c r="AA17" i="105"/>
  <c r="Z17" i="105"/>
  <c r="AB17" i="105" s="1"/>
  <c r="AA16" i="105"/>
  <c r="Z16" i="105"/>
  <c r="AA15" i="105"/>
  <c r="Z15" i="105"/>
  <c r="AB15" i="105" s="1"/>
  <c r="W15" i="105"/>
  <c r="AA14" i="105"/>
  <c r="Z14" i="105"/>
  <c r="AB14" i="105" s="1"/>
  <c r="R14" i="105"/>
  <c r="R15" i="105" s="1"/>
  <c r="AA13" i="105"/>
  <c r="Z13" i="105"/>
  <c r="AB13" i="105" s="1"/>
  <c r="AA12" i="105"/>
  <c r="Z12" i="105"/>
  <c r="AB12" i="105" s="1"/>
  <c r="AA11" i="105"/>
  <c r="Z11" i="105"/>
  <c r="W11" i="105"/>
  <c r="AA10" i="105"/>
  <c r="Z10" i="105"/>
  <c r="AB10" i="105" s="1"/>
  <c r="W10" i="105"/>
  <c r="AA9" i="105"/>
  <c r="Z9" i="105"/>
  <c r="W9" i="105"/>
  <c r="AA8" i="105"/>
  <c r="Z8" i="105"/>
  <c r="AB8" i="105" s="1"/>
  <c r="P8" i="105"/>
  <c r="H8" i="105"/>
  <c r="AA7" i="105"/>
  <c r="Z7" i="105"/>
  <c r="O7" i="105"/>
  <c r="N7" i="105"/>
  <c r="M7" i="105"/>
  <c r="P7" i="105" s="1"/>
  <c r="G7" i="105"/>
  <c r="F7" i="105"/>
  <c r="E7" i="105"/>
  <c r="AA6" i="105"/>
  <c r="Z6" i="105"/>
  <c r="AB6" i="105" s="1"/>
  <c r="R6" i="105"/>
  <c r="O6" i="105" a="1"/>
  <c r="O6" i="105" s="1"/>
  <c r="N6" i="105" a="1"/>
  <c r="N6" i="105" s="1"/>
  <c r="M6" i="105" a="1"/>
  <c r="M6" i="105" s="1"/>
  <c r="G6" i="105" a="1"/>
  <c r="G6" i="105" s="1"/>
  <c r="F6" i="105" a="1"/>
  <c r="F6" i="105" s="1"/>
  <c r="E6" i="105" a="1"/>
  <c r="E6" i="105" s="1"/>
  <c r="AA5" i="105"/>
  <c r="Z5" i="105"/>
  <c r="AB5" i="105" s="1"/>
  <c r="O5" i="105" a="1"/>
  <c r="O5" i="105" s="1"/>
  <c r="N5" i="105" a="1"/>
  <c r="N5" i="105" s="1"/>
  <c r="M5" i="105" a="1"/>
  <c r="M5" i="105" s="1"/>
  <c r="G5" i="105" a="1"/>
  <c r="G5" i="105" s="1"/>
  <c r="F5" i="105" a="1"/>
  <c r="F5" i="105" s="1"/>
  <c r="E5" i="105" a="1"/>
  <c r="E5" i="105" s="1"/>
  <c r="AA4" i="105"/>
  <c r="Z4" i="105"/>
  <c r="AB4" i="105" s="1"/>
  <c r="W4" i="105"/>
  <c r="P4" i="105"/>
  <c r="H4" i="105"/>
  <c r="AA3" i="105"/>
  <c r="Z3" i="105"/>
  <c r="AB3" i="105" s="1"/>
  <c r="W3" i="105"/>
  <c r="H1" i="105" s="1" a="1"/>
  <c r="H1" i="105" s="1"/>
  <c r="Y31" i="104"/>
  <c r="AA28" i="104"/>
  <c r="Z28" i="104"/>
  <c r="AB28" i="104" s="1"/>
  <c r="AA27" i="104"/>
  <c r="Z27" i="104"/>
  <c r="AB27" i="104" s="1"/>
  <c r="W26" i="104"/>
  <c r="AA25" i="104"/>
  <c r="Z25" i="104"/>
  <c r="AB25" i="104" s="1"/>
  <c r="W25" i="104"/>
  <c r="AA24" i="104"/>
  <c r="Z24" i="104"/>
  <c r="AB24" i="104" s="1"/>
  <c r="W24" i="104"/>
  <c r="AA23" i="104"/>
  <c r="Z23" i="104"/>
  <c r="AB23" i="104" s="1"/>
  <c r="W23" i="104"/>
  <c r="AA22" i="104"/>
  <c r="Z22" i="104"/>
  <c r="AB22" i="104" s="1"/>
  <c r="AA21" i="104"/>
  <c r="Z21" i="104"/>
  <c r="AB21" i="104" s="1"/>
  <c r="AA20" i="104"/>
  <c r="Z20" i="104"/>
  <c r="AA19" i="104"/>
  <c r="Z19" i="104"/>
  <c r="AB19" i="104" s="1"/>
  <c r="AA18" i="104"/>
  <c r="Z18" i="104"/>
  <c r="AB18" i="104" s="1"/>
  <c r="AA17" i="104"/>
  <c r="Z17" i="104"/>
  <c r="AB17" i="104" s="1"/>
  <c r="AA16" i="104"/>
  <c r="Z16" i="104"/>
  <c r="AA15" i="104"/>
  <c r="Z15" i="104"/>
  <c r="AB15" i="104" s="1"/>
  <c r="W15" i="104"/>
  <c r="AA14" i="104"/>
  <c r="Z14" i="104"/>
  <c r="AB14" i="104" s="1"/>
  <c r="AA13" i="104"/>
  <c r="Z13" i="104"/>
  <c r="AB13" i="104" s="1"/>
  <c r="AA12" i="104"/>
  <c r="Z12" i="104"/>
  <c r="AB12" i="104" s="1"/>
  <c r="AA11" i="104"/>
  <c r="Z11" i="104"/>
  <c r="W11" i="104"/>
  <c r="AA10" i="104"/>
  <c r="Z10" i="104"/>
  <c r="AB10" i="104" s="1"/>
  <c r="W10" i="104"/>
  <c r="AA9" i="104"/>
  <c r="Z9" i="104"/>
  <c r="W9" i="104"/>
  <c r="AA8" i="104"/>
  <c r="Z8" i="104"/>
  <c r="AB8" i="104" s="1"/>
  <c r="P8" i="104"/>
  <c r="H8" i="104"/>
  <c r="AA7" i="104"/>
  <c r="Z7" i="104"/>
  <c r="O7" i="104"/>
  <c r="N7" i="104"/>
  <c r="M7" i="104"/>
  <c r="P7" i="104" s="1"/>
  <c r="G7" i="104"/>
  <c r="F7" i="104"/>
  <c r="E7" i="104"/>
  <c r="H7" i="104" s="1"/>
  <c r="AA6" i="104"/>
  <c r="Z6" i="104"/>
  <c r="AB6" i="104" s="1"/>
  <c r="R6" i="104"/>
  <c r="R14" i="104" s="1"/>
  <c r="R15" i="104" s="1"/>
  <c r="O6" i="104" a="1"/>
  <c r="O6" i="104" s="1"/>
  <c r="O9" i="104" s="1"/>
  <c r="N6" i="104" a="1"/>
  <c r="N6" i="104" s="1"/>
  <c r="N9" i="104" s="1"/>
  <c r="M6" i="104" a="1"/>
  <c r="M6" i="104" s="1"/>
  <c r="G6" i="104" a="1"/>
  <c r="G6" i="104" s="1"/>
  <c r="F6" i="104"/>
  <c r="F6" i="104" a="1"/>
  <c r="E6" i="104" a="1"/>
  <c r="E6" i="104" s="1"/>
  <c r="AA5" i="104"/>
  <c r="Z5" i="104"/>
  <c r="AB5" i="104" s="1"/>
  <c r="O5" i="104" a="1"/>
  <c r="O5" i="104" s="1"/>
  <c r="N5" i="104" a="1"/>
  <c r="N5" i="104" s="1"/>
  <c r="M5" i="104" a="1"/>
  <c r="M5" i="104" s="1"/>
  <c r="G5" i="104" a="1"/>
  <c r="G5" i="104" s="1"/>
  <c r="F5" i="104" a="1"/>
  <c r="F5" i="104" s="1"/>
  <c r="E5" i="104" a="1"/>
  <c r="E5" i="104" s="1"/>
  <c r="H5" i="104" s="1"/>
  <c r="AA4" i="104"/>
  <c r="Z4" i="104"/>
  <c r="AB4" i="104" s="1"/>
  <c r="W4" i="104"/>
  <c r="P4" i="104"/>
  <c r="H4" i="104"/>
  <c r="AA3" i="104"/>
  <c r="Z3" i="104"/>
  <c r="AB3" i="104" s="1"/>
  <c r="W3" i="104"/>
  <c r="H1" i="104" s="1" a="1"/>
  <c r="H1" i="104" s="1"/>
  <c r="Y31" i="103"/>
  <c r="AA28" i="103"/>
  <c r="Z28" i="103"/>
  <c r="AA27" i="103"/>
  <c r="Z27" i="103"/>
  <c r="W26" i="103"/>
  <c r="AA25" i="103"/>
  <c r="Z25" i="103"/>
  <c r="W25" i="103"/>
  <c r="AA24" i="103"/>
  <c r="Z24" i="103"/>
  <c r="W24" i="103"/>
  <c r="AA23" i="103"/>
  <c r="Z23" i="103"/>
  <c r="W23" i="103"/>
  <c r="AA22" i="103"/>
  <c r="Z22" i="103"/>
  <c r="AA21" i="103"/>
  <c r="Z21" i="103"/>
  <c r="AB21" i="103" s="1"/>
  <c r="AA20" i="103"/>
  <c r="Z20" i="103"/>
  <c r="AA19" i="103"/>
  <c r="Z19" i="103"/>
  <c r="AA18" i="103"/>
  <c r="Z18" i="103"/>
  <c r="AA17" i="103"/>
  <c r="Z17" i="103"/>
  <c r="AA16" i="103"/>
  <c r="Z16" i="103"/>
  <c r="AA15" i="103"/>
  <c r="Z15" i="103"/>
  <c r="W15" i="103"/>
  <c r="R15" i="103"/>
  <c r="AA14" i="103"/>
  <c r="Z14" i="103"/>
  <c r="R14" i="103"/>
  <c r="AA13" i="103"/>
  <c r="Z13" i="103"/>
  <c r="AA12" i="103"/>
  <c r="Z12" i="103"/>
  <c r="AB12" i="103" s="1"/>
  <c r="AA11" i="103"/>
  <c r="Z11" i="103"/>
  <c r="W11" i="103"/>
  <c r="AA10" i="103"/>
  <c r="Z10" i="103"/>
  <c r="W10" i="103"/>
  <c r="AA9" i="103"/>
  <c r="Z9" i="103"/>
  <c r="W9" i="103"/>
  <c r="AA8" i="103"/>
  <c r="Z8" i="103"/>
  <c r="P8" i="103"/>
  <c r="H8" i="103"/>
  <c r="AA7" i="103"/>
  <c r="Z7" i="103"/>
  <c r="O7" i="103"/>
  <c r="N7" i="103"/>
  <c r="M7" i="103"/>
  <c r="P7" i="103" s="1"/>
  <c r="G7" i="103"/>
  <c r="F7" i="103"/>
  <c r="E7" i="103"/>
  <c r="H7" i="103" s="1"/>
  <c r="AA6" i="103"/>
  <c r="Z6" i="103"/>
  <c r="R6" i="103"/>
  <c r="O6" i="103" a="1"/>
  <c r="O6" i="103" s="1"/>
  <c r="O9" i="103" s="1"/>
  <c r="N6" i="103" a="1"/>
  <c r="N6" i="103" s="1"/>
  <c r="M6" i="103" a="1"/>
  <c r="M6" i="103" s="1"/>
  <c r="G6" i="103" a="1"/>
  <c r="G6" i="103" s="1"/>
  <c r="F6" i="103" a="1"/>
  <c r="F6" i="103" s="1"/>
  <c r="E6" i="103" a="1"/>
  <c r="E6" i="103" s="1"/>
  <c r="H6" i="103" s="1"/>
  <c r="AA5" i="103"/>
  <c r="Z5" i="103"/>
  <c r="O5" i="103" a="1"/>
  <c r="O5" i="103" s="1"/>
  <c r="N5" i="103" a="1"/>
  <c r="N5" i="103" s="1"/>
  <c r="M5" i="103" a="1"/>
  <c r="M5" i="103" s="1"/>
  <c r="G5" i="103" a="1"/>
  <c r="G5" i="103" s="1"/>
  <c r="F5" i="103" a="1"/>
  <c r="F5" i="103" s="1"/>
  <c r="E5" i="103" a="1"/>
  <c r="E5" i="103" s="1"/>
  <c r="H5" i="103" s="1"/>
  <c r="AA4" i="103"/>
  <c r="Z4" i="103"/>
  <c r="W4" i="103"/>
  <c r="P4" i="103"/>
  <c r="H4" i="103"/>
  <c r="AA3" i="103"/>
  <c r="Z3" i="103"/>
  <c r="W3" i="103"/>
  <c r="H1" i="103" a="1"/>
  <c r="H1" i="103" s="1"/>
  <c r="P9" i="107" l="1"/>
  <c r="P11" i="107"/>
  <c r="R8" i="107" a="1"/>
  <c r="R8" i="107" s="1"/>
  <c r="R2" i="107" a="1"/>
  <c r="R2" i="107" s="1"/>
  <c r="AB13" i="106"/>
  <c r="P5" i="103"/>
  <c r="N9" i="103"/>
  <c r="AB11" i="103"/>
  <c r="AB14" i="106"/>
  <c r="AB10" i="106"/>
  <c r="AB4" i="106"/>
  <c r="AB25" i="106"/>
  <c r="AB5" i="106"/>
  <c r="AB9" i="106"/>
  <c r="AB15" i="106"/>
  <c r="AB21" i="106"/>
  <c r="AB16" i="106"/>
  <c r="AB22" i="106"/>
  <c r="AB27" i="106"/>
  <c r="N9" i="106"/>
  <c r="AB6" i="106"/>
  <c r="AB8" i="106"/>
  <c r="AB17" i="106"/>
  <c r="AB28" i="106"/>
  <c r="AB3" i="106"/>
  <c r="AB18" i="106"/>
  <c r="AB11" i="106"/>
  <c r="AB7" i="106"/>
  <c r="H5" i="106"/>
  <c r="AB20" i="106"/>
  <c r="H6" i="106"/>
  <c r="P5" i="106"/>
  <c r="P6" i="106"/>
  <c r="M9" i="106"/>
  <c r="AB19" i="105"/>
  <c r="AB16" i="105"/>
  <c r="AB9" i="105"/>
  <c r="H7" i="105"/>
  <c r="H6" i="105"/>
  <c r="AB7" i="105"/>
  <c r="AB11" i="105"/>
  <c r="H5" i="105"/>
  <c r="P11" i="105"/>
  <c r="N9" i="105"/>
  <c r="P6" i="105"/>
  <c r="P9" i="105" s="1"/>
  <c r="M9" i="105"/>
  <c r="O9" i="105"/>
  <c r="P5" i="105"/>
  <c r="AB7" i="103"/>
  <c r="AB14" i="103"/>
  <c r="AB24" i="103"/>
  <c r="P11" i="103"/>
  <c r="AB10" i="103"/>
  <c r="AB20" i="103"/>
  <c r="AB27" i="103"/>
  <c r="AB4" i="103"/>
  <c r="AB8" i="103"/>
  <c r="AB17" i="103"/>
  <c r="AB28" i="103"/>
  <c r="AB13" i="103"/>
  <c r="AB23" i="103"/>
  <c r="AB3" i="103"/>
  <c r="AB5" i="103"/>
  <c r="AB9" i="103"/>
  <c r="AB16" i="104"/>
  <c r="AB9" i="104"/>
  <c r="AB7" i="104"/>
  <c r="AB20" i="104"/>
  <c r="AB11" i="104"/>
  <c r="P11" i="104"/>
  <c r="P6" i="104"/>
  <c r="M9" i="104"/>
  <c r="P5" i="104"/>
  <c r="H6" i="104"/>
  <c r="P12" i="104" s="1"/>
  <c r="AB19" i="103"/>
  <c r="AB16" i="103"/>
  <c r="AB6" i="103"/>
  <c r="AB15" i="103"/>
  <c r="AB25" i="103"/>
  <c r="AB22" i="103"/>
  <c r="AB18" i="103"/>
  <c r="P6" i="103"/>
  <c r="P9" i="103" s="1"/>
  <c r="M9" i="103"/>
  <c r="P12" i="106" l="1"/>
  <c r="P11" i="106"/>
  <c r="P9" i="106"/>
  <c r="AB31" i="106"/>
  <c r="R2" i="106" a="1"/>
  <c r="R2" i="106" s="1"/>
  <c r="R8" i="106" a="1"/>
  <c r="R8" i="106" s="1"/>
  <c r="AB31" i="105"/>
  <c r="R8" i="105" a="1"/>
  <c r="R8" i="105" s="1"/>
  <c r="P12" i="105"/>
  <c r="R2" i="105" a="1"/>
  <c r="R2" i="105" s="1"/>
  <c r="P12" i="103"/>
  <c r="AB31" i="104"/>
  <c r="R8" i="104" a="1"/>
  <c r="R8" i="104" s="1"/>
  <c r="R2" i="104" a="1"/>
  <c r="R2" i="104" s="1"/>
  <c r="P9" i="104"/>
  <c r="AB31" i="103"/>
  <c r="R2" i="103" a="1"/>
  <c r="R2" i="103" s="1"/>
  <c r="R8" i="103" a="1"/>
  <c r="R8" i="103" s="1"/>
  <c r="Y31" i="102" l="1"/>
  <c r="AA28" i="102"/>
  <c r="Z28" i="102"/>
  <c r="AA27" i="102"/>
  <c r="Z27" i="102"/>
  <c r="W26" i="102"/>
  <c r="AA25" i="102"/>
  <c r="Z25" i="102"/>
  <c r="W25" i="102"/>
  <c r="AA24" i="102"/>
  <c r="Z24" i="102"/>
  <c r="W24" i="102"/>
  <c r="AA23" i="102"/>
  <c r="Z23" i="102"/>
  <c r="W23" i="102"/>
  <c r="AA22" i="102"/>
  <c r="Z22" i="102"/>
  <c r="AA21" i="102"/>
  <c r="Z21" i="102"/>
  <c r="AA20" i="102"/>
  <c r="Z20" i="102"/>
  <c r="AA19" i="102"/>
  <c r="Z19" i="102"/>
  <c r="AA18" i="102"/>
  <c r="Z18" i="102"/>
  <c r="AA17" i="102"/>
  <c r="Z17" i="102"/>
  <c r="AA16" i="102"/>
  <c r="Z16" i="102"/>
  <c r="AA15" i="102"/>
  <c r="Z15" i="102"/>
  <c r="W15" i="102"/>
  <c r="AA14" i="102"/>
  <c r="Z14" i="102"/>
  <c r="AA13" i="102"/>
  <c r="Z13" i="102"/>
  <c r="AA12" i="102"/>
  <c r="Z12" i="102"/>
  <c r="AA11" i="102"/>
  <c r="Z11" i="102"/>
  <c r="W11" i="102"/>
  <c r="AA10" i="102"/>
  <c r="Z10" i="102"/>
  <c r="W10" i="102"/>
  <c r="AA9" i="102"/>
  <c r="Z9" i="102"/>
  <c r="W9" i="102"/>
  <c r="AA8" i="102"/>
  <c r="Z8" i="102"/>
  <c r="P8" i="102"/>
  <c r="H8" i="102"/>
  <c r="AA7" i="102"/>
  <c r="Z7" i="102"/>
  <c r="O7" i="102"/>
  <c r="N7" i="102"/>
  <c r="M7" i="102"/>
  <c r="G7" i="102"/>
  <c r="F7" i="102"/>
  <c r="E7" i="102"/>
  <c r="AA6" i="102"/>
  <c r="Z6" i="102"/>
  <c r="R6" i="102"/>
  <c r="R14" i="102" s="1"/>
  <c r="R15" i="102" s="1"/>
  <c r="O6" i="102" a="1"/>
  <c r="O6" i="102" s="1"/>
  <c r="N6" i="102" a="1"/>
  <c r="N6" i="102" s="1"/>
  <c r="M6" i="102" a="1"/>
  <c r="M6" i="102" s="1"/>
  <c r="G6" i="102" a="1"/>
  <c r="G6" i="102" s="1"/>
  <c r="F6" i="102" a="1"/>
  <c r="F6" i="102" s="1"/>
  <c r="E6" i="102" a="1"/>
  <c r="E6" i="102" s="1"/>
  <c r="AA5" i="102"/>
  <c r="Z5" i="102"/>
  <c r="O5" i="102" a="1"/>
  <c r="O5" i="102" s="1"/>
  <c r="N5" i="102" a="1"/>
  <c r="N5" i="102" s="1"/>
  <c r="M5" i="102" a="1"/>
  <c r="M5" i="102" s="1"/>
  <c r="G5" i="102" a="1"/>
  <c r="G5" i="102" s="1"/>
  <c r="F5" i="102" a="1"/>
  <c r="F5" i="102" s="1"/>
  <c r="E5" i="102" a="1"/>
  <c r="E5" i="102" s="1"/>
  <c r="AA4" i="102"/>
  <c r="Z4" i="102"/>
  <c r="W4" i="102"/>
  <c r="P4" i="102"/>
  <c r="H4" i="102"/>
  <c r="AA3" i="102"/>
  <c r="Z3" i="102"/>
  <c r="W3" i="102"/>
  <c r="AB5" i="102" l="1"/>
  <c r="H1" i="102" a="1"/>
  <c r="H1" i="102" s="1"/>
  <c r="AB8" i="102"/>
  <c r="AB18" i="102"/>
  <c r="AB14" i="102"/>
  <c r="P7" i="102"/>
  <c r="N9" i="102"/>
  <c r="P5" i="102"/>
  <c r="AB23" i="102"/>
  <c r="AB20" i="102"/>
  <c r="AB4" i="102"/>
  <c r="AB10" i="102"/>
  <c r="AB25" i="102"/>
  <c r="AB15" i="102"/>
  <c r="AB21" i="102"/>
  <c r="AB16" i="102"/>
  <c r="AB22" i="102"/>
  <c r="AB27" i="102"/>
  <c r="AB12" i="102"/>
  <c r="AB17" i="102"/>
  <c r="AB28" i="102"/>
  <c r="AB13" i="102"/>
  <c r="AB6" i="102"/>
  <c r="AB9" i="102"/>
  <c r="AB19" i="102"/>
  <c r="AB24" i="102"/>
  <c r="AB3" i="102"/>
  <c r="H7" i="102"/>
  <c r="AB7" i="102"/>
  <c r="AB11" i="102"/>
  <c r="H5" i="102"/>
  <c r="P6" i="102"/>
  <c r="P9" i="102" s="1"/>
  <c r="M9" i="102"/>
  <c r="O9" i="102"/>
  <c r="H6" i="102"/>
  <c r="P11" i="102" l="1"/>
  <c r="AB31" i="102"/>
  <c r="R8" i="102" a="1"/>
  <c r="R8" i="102" s="1"/>
  <c r="P12" i="102"/>
  <c r="R2" i="102" a="1"/>
  <c r="R2" i="102" s="1"/>
  <c r="AA4" i="97" l="1"/>
  <c r="Y31" i="97"/>
  <c r="AA28" i="97"/>
  <c r="Z28" i="97"/>
  <c r="AA27" i="97"/>
  <c r="Z27" i="97"/>
  <c r="W26" i="97"/>
  <c r="AA25" i="97"/>
  <c r="Z25" i="97"/>
  <c r="W25" i="97"/>
  <c r="AA24" i="97"/>
  <c r="Z24" i="97"/>
  <c r="W24" i="97"/>
  <c r="AA23" i="97"/>
  <c r="Z23" i="97"/>
  <c r="W23" i="97"/>
  <c r="AA22" i="97"/>
  <c r="Z22" i="97"/>
  <c r="AA21" i="97"/>
  <c r="Z21" i="97"/>
  <c r="AA20" i="97"/>
  <c r="Z20" i="97"/>
  <c r="AA19" i="97"/>
  <c r="Z19" i="97"/>
  <c r="AA18" i="97"/>
  <c r="Z18" i="97"/>
  <c r="AA17" i="97"/>
  <c r="Z17" i="97"/>
  <c r="AA16" i="97"/>
  <c r="Z16" i="97"/>
  <c r="AA15" i="97"/>
  <c r="Z15" i="97"/>
  <c r="W15" i="97"/>
  <c r="AA14" i="97"/>
  <c r="Z14" i="97"/>
  <c r="R14" i="97"/>
  <c r="R15" i="97" s="1"/>
  <c r="AA13" i="97"/>
  <c r="Z13" i="97"/>
  <c r="AA12" i="97"/>
  <c r="Z12" i="97"/>
  <c r="AA11" i="97"/>
  <c r="Z11" i="97"/>
  <c r="W11" i="97"/>
  <c r="AA10" i="97"/>
  <c r="Z10" i="97"/>
  <c r="W10" i="97"/>
  <c r="AA9" i="97"/>
  <c r="Z9" i="97"/>
  <c r="W9" i="97"/>
  <c r="AA8" i="97"/>
  <c r="Z8" i="97"/>
  <c r="P8" i="97"/>
  <c r="H8" i="97"/>
  <c r="AA7" i="97"/>
  <c r="Z7" i="97"/>
  <c r="O7" i="97"/>
  <c r="N7" i="97"/>
  <c r="M7" i="97"/>
  <c r="G7" i="97"/>
  <c r="F7" i="97"/>
  <c r="E7" i="97"/>
  <c r="AA6" i="97"/>
  <c r="Z6" i="97"/>
  <c r="R6" i="97"/>
  <c r="O6" i="97" a="1"/>
  <c r="O6" i="97" s="1"/>
  <c r="N6" i="97" a="1"/>
  <c r="N6" i="97" s="1"/>
  <c r="M6" i="97" a="1"/>
  <c r="M6" i="97" s="1"/>
  <c r="G6" i="97" a="1"/>
  <c r="G6" i="97" s="1"/>
  <c r="F6" i="97" a="1"/>
  <c r="F6" i="97" s="1"/>
  <c r="E6" i="97" a="1"/>
  <c r="E6" i="97" s="1"/>
  <c r="AA5" i="97"/>
  <c r="Z5" i="97"/>
  <c r="O5" i="97" a="1"/>
  <c r="O5" i="97" s="1"/>
  <c r="N5" i="97" a="1"/>
  <c r="N5" i="97" s="1"/>
  <c r="M5" i="97" a="1"/>
  <c r="M5" i="97" s="1"/>
  <c r="G5" i="97" a="1"/>
  <c r="G5" i="97" s="1"/>
  <c r="F5" i="97" a="1"/>
  <c r="F5" i="97" s="1"/>
  <c r="E5" i="97" a="1"/>
  <c r="E5" i="97" s="1"/>
  <c r="Z4" i="97"/>
  <c r="W4" i="97"/>
  <c r="P4" i="97"/>
  <c r="H4" i="97"/>
  <c r="AA3" i="97"/>
  <c r="Z3" i="97"/>
  <c r="W3" i="97"/>
  <c r="H1" i="97" s="1" a="1"/>
  <c r="H1" i="97" s="1"/>
  <c r="AB7" i="97" l="1"/>
  <c r="AB14" i="97"/>
  <c r="P7" i="97"/>
  <c r="P5" i="97"/>
  <c r="AB8" i="97"/>
  <c r="AB5" i="97"/>
  <c r="AB23" i="97"/>
  <c r="AB24" i="97"/>
  <c r="AB4" i="97"/>
  <c r="AB10" i="97"/>
  <c r="AB25" i="97"/>
  <c r="AB21" i="97"/>
  <c r="AB22" i="97"/>
  <c r="AB27" i="97"/>
  <c r="AB6" i="97"/>
  <c r="AB12" i="97"/>
  <c r="AB17" i="97"/>
  <c r="AB28" i="97"/>
  <c r="AB13" i="97"/>
  <c r="AB18" i="97"/>
  <c r="AB20" i="97"/>
  <c r="H7" i="97"/>
  <c r="H5" i="97"/>
  <c r="AB9" i="97"/>
  <c r="AB19" i="97"/>
  <c r="AB15" i="97"/>
  <c r="AB11" i="97"/>
  <c r="AB16" i="97"/>
  <c r="AB3" i="97"/>
  <c r="H6" i="97"/>
  <c r="P6" i="97"/>
  <c r="M9" i="97"/>
  <c r="N9" i="97"/>
  <c r="O9" i="97"/>
  <c r="P9" i="97" l="1"/>
  <c r="P11" i="97"/>
  <c r="AB31" i="97"/>
  <c r="R8" i="97" a="1"/>
  <c r="R8" i="97" s="1"/>
  <c r="P12" i="97"/>
  <c r="R2" i="97" a="1"/>
  <c r="R2" i="9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<sst xmlns="http://schemas.openxmlformats.org/spreadsheetml/2006/main" count="5328" uniqueCount="66">
  <si>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</si>
  <si>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</si>
  <si>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</si>
  <si>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</si>
  <si>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</si>
  <si>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</si>
  <si>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</si>
  <si>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</si>
  <si>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</si>
  <si>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</si>
  <si>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</si>
  <si>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</si>
  <si>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</si>
  <si>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</si>
  <si>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</si>
  <si>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</si>
  <si>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</si>
  <si>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</si>
  <si>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</si>
  <si>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</si>
  <si>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大boss</t>
  </si>
  <si>
    <t>中boss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</si>
  <si>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</si>
  <si>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</si>
  <si>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</si>
  <si>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</si>
  <si>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</si>
  <si>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</si>
  <si>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</si>
  <si>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</si>
  <si>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</si>
  <si>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</si>
  <si>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</si>
  <si>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</si>
  <si>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</si>
  <si>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</si>
  <si>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</si>
  <si>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</si>
  <si>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</si>
  <si>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</si>
  <si>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</si>
  <si>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</si>
  <si>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</si>
  <si>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</si>
  <si>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</si>
  <si>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</si>
  <si>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</si>
  <si>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</si>
  <si>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</si>
  <si>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</si>
  <si>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</si>
  <si>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</si>
  <si>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</si>
  <si>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</si>
  <si>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</si>
  <si>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</si>
  <si>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</si>
  <si>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</si>
  <si>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</si>
  <si>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</si>
  <si>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对路线进行最终微调</t>
  </si>
  <si>
    <t>飞雷神</t>
  </si>
  <si>
    <t>根据剩余粮草，调整占领的三级地个数，直至粮草小于136</t>
  </si>
  <si>
    <t>巨卦</t>
  </si>
  <si>
    <t>3级卦</t>
  </si>
  <si>
    <t>4级卦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</si>
</sst>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CC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0" borderId="1" xfId="0" applyFont="1" applyBorder="1"/>
    <xf numFmtId="0" fontId="1" fillId="15" borderId="1" xfId="0" applyFont="1" applyFill="1" applyBorder="1"/>
    <xf numFmtId="0" fontId="3" fillId="16" borderId="4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7" borderId="1" xfId="0" applyFont="1" applyFill="1" applyBorder="1"/>
    <xf numFmtId="0" fontId="4" fillId="17" borderId="6" xfId="0" applyFont="1" applyFill="1" applyBorder="1"/>
    <xf numFmtId="0" fontId="5" fillId="17" borderId="1" xfId="0" applyFont="1" applyFill="1" applyBorder="1"/>
    <xf numFmtId="0" fontId="5" fillId="17" borderId="6" xfId="0" applyFont="1" applyFill="1" applyBorder="1"/>
    <xf numFmtId="0" fontId="0" fillId="17" borderId="1" xfId="0" applyFill="1" applyBorder="1"/>
    <xf numFmtId="0" fontId="0" fillId="17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7" borderId="21" xfId="0" applyFont="1" applyFill="1" applyBorder="1"/>
    <xf numFmtId="0" fontId="4" fillId="18" borderId="21" xfId="0" applyFont="1" applyFill="1" applyBorder="1"/>
    <xf numFmtId="0" fontId="4" fillId="18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18" borderId="1" xfId="0" applyFill="1" applyBorder="1"/>
    <xf numFmtId="0" fontId="0" fillId="0" borderId="1" xfId="0" applyFill="1" applyBorder="1"/>
    <xf numFmtId="0" fontId="8" fillId="17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18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6" fillId="17" borderId="6" xfId="0" applyFont="1" applyFill="1" applyBorder="1"/>
    <xf numFmtId="0" fontId="9" fillId="14" borderId="1" xfId="0" applyFont="1" applyFill="1" applyBorder="1"/>
    <xf numFmtId="0" fontId="0" fillId="0" borderId="0" xfId="0" applyFill="1" applyBorder="1"/>
    <xf numFmtId="0" fontId="1" fillId="19" borderId="5" xfId="0" applyFont="1" applyFill="1" applyBorder="1"/>
    <xf numFmtId="0" fontId="1" fillId="20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6" fillId="3" borderId="1" xfId="0" applyFont="1" applyFill="1" applyBorder="1"/>
    <xf numFmtId="0" fontId="1" fillId="21" borderId="1" xfId="0" applyFont="1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18" borderId="5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4" fillId="17" borderId="14" xfId="0" applyFont="1" applyFill="1" applyBorder="1" applyAlignment="1">
      <alignment horizontal="center"/>
    </xf>
    <xf numFmtId="0" fontId="4" fillId="17" borderId="15" xfId="0" applyFont="1" applyFill="1" applyBorder="1" applyAlignment="1">
      <alignment horizontal="center"/>
    </xf>
    <xf numFmtId="0" fontId="4" fillId="17" borderId="16" xfId="0" applyFont="1" applyFill="1" applyBorder="1" applyAlignment="1">
      <alignment horizontal="center"/>
    </xf>
    <xf numFmtId="0" fontId="1" fillId="18" borderId="12" xfId="0" applyFont="1" applyFill="1" applyBorder="1" applyAlignment="1">
      <alignment horizontal="center"/>
    </xf>
    <xf numFmtId="0" fontId="1" fillId="18" borderId="13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17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ADD619-48AC-4B28-BD8A-D3CA01FED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77899" y="253812"/>
          <a:ext cx="6536716" cy="59599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07A20-C0D6-425B-A079-F9D60F896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77899" y="253812"/>
          <a:ext cx="6536716" cy="59599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1F9DAC-A08B-4AFA-B05C-95C0F9D7E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77899" y="253812"/>
          <a:ext cx="6536716" cy="59599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E30BDD-5245-4617-9303-A4CF93C90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77899" y="253812"/>
          <a:ext cx="6536716" cy="59599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88B5F2-1137-4237-8AB5-86ECBFFB5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96949" y="251907"/>
          <a:ext cx="6536716" cy="5721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E5BE-0E99-49B9-BC00-B7051F70D168}">
  <dimension ref="A1:AE100"/>
  <sheetViews>
    <sheetView zoomScaleNormal="100" workbookViewId="0">
      <selection activeCell="C4" sqref="C4:C27"/>
    </sheetView>
  </sheetViews>
  <sheetFormatPr defaultRowHeight="14.4" x14ac:dyDescent="0.3"/>
  <cols>
    <col min="23" max="23" width="8.88671875" customWidth="1"/>
  </cols>
  <sheetData>
    <row r="1" spans="1:31" ht="15.6" x14ac:dyDescent="0.3">
      <c r="A1" s="63" t="s">
        <v>27</v>
      </c>
      <c r="B1" s="64"/>
      <c r="C1" s="64"/>
      <c r="D1" s="64"/>
      <c r="E1" s="64"/>
      <c r="F1" s="65" t="s">
        <v>3</v>
      </c>
      <c r="G1" s="65"/>
      <c r="H1" s="22" cm="1">
        <f t="array" ref="H1">SUM(VLOOKUP(A4:C100,$T$3:$W$36,4,FALSE))+H4*10-H8*50</f>
        <v>3478.2160165859759</v>
      </c>
      <c r="I1" s="66" t="s">
        <v>38</v>
      </c>
      <c r="J1" s="67"/>
      <c r="K1" s="67"/>
      <c r="L1" s="67"/>
      <c r="M1" s="67"/>
      <c r="N1" s="67"/>
      <c r="O1" s="67"/>
      <c r="P1" s="68"/>
      <c r="Q1" s="66" t="s">
        <v>45</v>
      </c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</row>
    <row r="2" spans="1:31" ht="28.8" x14ac:dyDescent="0.3">
      <c r="A2" s="69" t="s">
        <v>32</v>
      </c>
      <c r="B2" s="70"/>
      <c r="C2" s="70"/>
      <c r="D2" s="71" t="s">
        <v>34</v>
      </c>
      <c r="E2" s="72"/>
      <c r="F2" s="72"/>
      <c r="G2" s="72"/>
      <c r="H2" s="73"/>
      <c r="I2" s="74" t="s">
        <v>32</v>
      </c>
      <c r="J2" s="75"/>
      <c r="K2" s="75"/>
      <c r="L2" s="76" t="s">
        <v>34</v>
      </c>
      <c r="M2" s="76"/>
      <c r="N2" s="76"/>
      <c r="O2" s="76"/>
      <c r="P2" s="77"/>
      <c r="Q2" s="46" t="s">
        <v>40</v>
      </c>
      <c r="R2" s="47" cm="1">
        <f t="array" ref="R2">SUM(V3:V28*AB3:AB28)+H6+P6+R4*500</f>
        <v>64700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60" t="s">
        <v>41</v>
      </c>
      <c r="Y2" s="43" t="s">
        <v>52</v>
      </c>
      <c r="Z2" s="44" t="s">
        <v>42</v>
      </c>
      <c r="AA2" s="44" t="s">
        <v>43</v>
      </c>
      <c r="AB2" s="48" t="s">
        <v>44</v>
      </c>
      <c r="AD2" s="23"/>
    </row>
    <row r="3" spans="1:31" x14ac:dyDescent="0.3">
      <c r="A3" s="57" t="s">
        <v>28</v>
      </c>
      <c r="B3" s="62" t="s">
        <v>29</v>
      </c>
      <c r="C3" s="19" t="s">
        <v>30</v>
      </c>
      <c r="D3" s="30"/>
      <c r="E3" s="57" t="s">
        <v>28</v>
      </c>
      <c r="F3" s="62" t="s">
        <v>29</v>
      </c>
      <c r="G3" s="19" t="s">
        <v>30</v>
      </c>
      <c r="H3" s="31" t="s">
        <v>33</v>
      </c>
      <c r="I3" s="57" t="s">
        <v>28</v>
      </c>
      <c r="J3" s="62" t="s">
        <v>29</v>
      </c>
      <c r="K3" s="19" t="s">
        <v>30</v>
      </c>
      <c r="L3" s="30"/>
      <c r="M3" s="57" t="s">
        <v>28</v>
      </c>
      <c r="N3" s="62" t="s">
        <v>29</v>
      </c>
      <c r="O3" s="19" t="s">
        <v>30</v>
      </c>
      <c r="P3" s="31" t="s">
        <v>33</v>
      </c>
      <c r="Q3" s="49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60"/>
      <c r="Y3" s="43">
        <v>33</v>
      </c>
      <c r="Z3" s="1">
        <f>COUNTIF($A$4:$C$100,T3)</f>
        <v>32</v>
      </c>
      <c r="AA3" s="1">
        <f>COUNTIF($I$4:$K$100,T3)</f>
        <v>1</v>
      </c>
      <c r="AB3" s="50">
        <f>Y3-Z3-AA3</f>
        <v>0</v>
      </c>
      <c r="AD3" s="56"/>
    </row>
    <row r="4" spans="1:31" x14ac:dyDescent="0.3">
      <c r="A4" s="2" t="s">
        <v>4</v>
      </c>
      <c r="B4" s="15" t="s">
        <v>17</v>
      </c>
      <c r="C4" s="2" t="s">
        <v>4</v>
      </c>
      <c r="D4" s="40" t="s">
        <v>31</v>
      </c>
      <c r="E4" s="36">
        <v>6</v>
      </c>
      <c r="F4" s="36">
        <v>0</v>
      </c>
      <c r="G4" s="36">
        <v>3</v>
      </c>
      <c r="H4" s="33">
        <f>SUM(E4:G4)</f>
        <v>9</v>
      </c>
      <c r="I4" s="3" t="s">
        <v>5</v>
      </c>
      <c r="J4" s="15" t="s">
        <v>17</v>
      </c>
      <c r="K4" s="3" t="s">
        <v>5</v>
      </c>
      <c r="L4" s="40" t="s">
        <v>31</v>
      </c>
      <c r="M4" s="36">
        <v>0</v>
      </c>
      <c r="N4" s="36">
        <v>5</v>
      </c>
      <c r="O4" s="36">
        <v>1</v>
      </c>
      <c r="P4" s="33">
        <f>SUM(M4:O4)</f>
        <v>6</v>
      </c>
      <c r="Q4" s="49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60"/>
      <c r="Y4" s="43">
        <v>34</v>
      </c>
      <c r="Z4" s="1">
        <f t="shared" ref="Z4:Z28" si="1">COUNTIF($A$4:$C$100,T4)</f>
        <v>16</v>
      </c>
      <c r="AA4" s="1">
        <f>COUNTIF($I$4:$K$100,T4)</f>
        <v>18</v>
      </c>
      <c r="AB4" s="50">
        <f t="shared" ref="AB4:AB28" si="2">Y4-Z4-AA4</f>
        <v>0</v>
      </c>
      <c r="AD4" s="56"/>
    </row>
    <row r="5" spans="1:31" x14ac:dyDescent="0.3">
      <c r="A5" s="2" t="s">
        <v>4</v>
      </c>
      <c r="B5" s="2" t="s">
        <v>4</v>
      </c>
      <c r="C5" s="2" t="s">
        <v>4</v>
      </c>
      <c r="D5" s="30" t="s">
        <v>35</v>
      </c>
      <c r="E5" s="32" cm="1">
        <f t="array" ref="E5">(SUM(VLOOKUP(A4:A100,$T$3:$W$41,2,FALSE))+E4*10)-E8*50</f>
        <v>7980</v>
      </c>
      <c r="F5" s="32" cm="1">
        <f t="array" ref="F5">(SUM(VLOOKUP(B4:B100,$T$3:$W$41,2,FALSE))+F4*10)-F8*50</f>
        <v>4280</v>
      </c>
      <c r="G5" s="32" cm="1">
        <f t="array" ref="G5">(SUM(VLOOKUP(C4:C100,$T$3:$W$41,2,FALSE))+G4*10)-G8*50</f>
        <v>3420</v>
      </c>
      <c r="H5" s="54">
        <f t="shared" ref="H5:H8" si="3">SUM(E5:G5)</f>
        <v>15680</v>
      </c>
      <c r="I5" s="15" t="s">
        <v>17</v>
      </c>
      <c r="J5" s="3" t="s">
        <v>5</v>
      </c>
      <c r="K5" s="15" t="s">
        <v>17</v>
      </c>
      <c r="L5" s="30" t="s">
        <v>35</v>
      </c>
      <c r="M5" s="32" cm="1">
        <f t="array" ref="M5">(SUM(VLOOKUP(I4:I100,$T$3:$W$41,2,FALSE))+M4*10)*0.8-M8*40</f>
        <v>592</v>
      </c>
      <c r="N5" s="32" cm="1">
        <f t="array" ref="N5">(SUM(VLOOKUP(J4:J100,$T$3:$W$41,2,FALSE))+N4*10)*0.8-N8*40</f>
        <v>1600</v>
      </c>
      <c r="O5" s="32" cm="1">
        <f t="array" ref="O5">(SUM(VLOOKUP(K4:K100,$T$3:$W$41,2,FALSE))+O4*10)*0.8-O8*40</f>
        <v>600</v>
      </c>
      <c r="P5" s="54">
        <f>SUM(M5:O5)</f>
        <v>2792</v>
      </c>
      <c r="Q5" s="49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61"/>
      <c r="Y5" s="43">
        <v>208</v>
      </c>
      <c r="Z5" s="1">
        <f t="shared" si="1"/>
        <v>34</v>
      </c>
      <c r="AA5" s="1">
        <f t="shared" ref="AA5:AA28" si="4">COUNTIF($I$4:$K$100,T5)</f>
        <v>0</v>
      </c>
      <c r="AB5" s="50">
        <f t="shared" si="2"/>
        <v>174</v>
      </c>
      <c r="AD5" s="56"/>
    </row>
    <row r="6" spans="1:31" x14ac:dyDescent="0.3">
      <c r="A6" s="2" t="s">
        <v>4</v>
      </c>
      <c r="B6" s="2" t="s">
        <v>4</v>
      </c>
      <c r="C6" s="2" t="s">
        <v>4</v>
      </c>
      <c r="D6" s="30" t="s">
        <v>36</v>
      </c>
      <c r="E6" s="32" cm="1">
        <f t="array" ref="E6">(SUM(VLOOKUP(A4:A100,$T$3:$W$41,3,FALSE)))</f>
        <v>2620</v>
      </c>
      <c r="F6" s="32" cm="1">
        <f t="array" ref="F6">(SUM(VLOOKUP(B4:B100,$T$3:$W$41,3,FALSE)))</f>
        <v>1415</v>
      </c>
      <c r="G6" s="32" cm="1">
        <f t="array" ref="G6">(SUM(VLOOKUP(C4:C100,$T$3:$W$41,3,FALSE)))</f>
        <v>905</v>
      </c>
      <c r="H6" s="45">
        <f t="shared" si="3"/>
        <v>4940</v>
      </c>
      <c r="I6" s="3" t="s">
        <v>5</v>
      </c>
      <c r="J6" s="3" t="s">
        <v>5</v>
      </c>
      <c r="K6" s="3" t="s">
        <v>5</v>
      </c>
      <c r="L6" s="30" t="s">
        <v>36</v>
      </c>
      <c r="M6" s="32" cm="1">
        <f t="array" ref="M6">(SUM(VLOOKUP(I4:I100,$T$3:$W$41,3,FALSE)))</f>
        <v>250</v>
      </c>
      <c r="N6" s="32" cm="1">
        <f t="array" ref="N6">(SUM(VLOOKUP(J4:J100,$T$3:$W$41,3,FALSE)))</f>
        <v>1075</v>
      </c>
      <c r="O6" s="32" cm="1">
        <f t="array" ref="O6">(SUM(VLOOKUP(K4:K100,$T$3:$W$41,3,FALSE)))</f>
        <v>220</v>
      </c>
      <c r="P6" s="45">
        <f t="shared" ref="P6:P8" si="5">SUM(M6:O6)</f>
        <v>1545</v>
      </c>
      <c r="Q6" s="46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60">
        <v>276</v>
      </c>
      <c r="Y6" s="43">
        <v>276</v>
      </c>
      <c r="Z6" s="1">
        <f t="shared" si="1"/>
        <v>0</v>
      </c>
      <c r="AA6" s="1">
        <f t="shared" si="4"/>
        <v>0</v>
      </c>
      <c r="AB6" s="50">
        <f t="shared" si="2"/>
        <v>276</v>
      </c>
      <c r="AD6" s="56"/>
    </row>
    <row r="7" spans="1:31" x14ac:dyDescent="0.3">
      <c r="A7" s="2" t="s">
        <v>4</v>
      </c>
      <c r="B7" s="2" t="s">
        <v>4</v>
      </c>
      <c r="C7" s="3" t="s">
        <v>5</v>
      </c>
      <c r="D7" s="30" t="s">
        <v>37</v>
      </c>
      <c r="E7" s="32">
        <f>COUNTIF(A4:A100,"&lt;&gt;空")</f>
        <v>55</v>
      </c>
      <c r="F7" s="32">
        <f>COUNTIF(B4:B100,"&lt;&gt;空")</f>
        <v>31</v>
      </c>
      <c r="G7" s="32">
        <f>COUNTIF(C4:C100,"&lt;&gt;空")</f>
        <v>22</v>
      </c>
      <c r="H7" s="33">
        <f t="shared" si="3"/>
        <v>108</v>
      </c>
      <c r="I7" s="3" t="s">
        <v>5</v>
      </c>
      <c r="J7" s="15" t="s">
        <v>17</v>
      </c>
      <c r="K7" s="3" t="s">
        <v>5</v>
      </c>
      <c r="L7" s="30" t="s">
        <v>37</v>
      </c>
      <c r="M7" s="32">
        <f>COUNTIF(I4:I100,"&lt;&gt;空")</f>
        <v>7</v>
      </c>
      <c r="N7" s="32">
        <f>COUNTIF(J4:J100,"&lt;&gt;空")</f>
        <v>16</v>
      </c>
      <c r="O7" s="32">
        <f>COUNTIF(K4:K100,"&lt;&gt;空")</f>
        <v>6</v>
      </c>
      <c r="P7" s="33">
        <f t="shared" si="5"/>
        <v>29</v>
      </c>
      <c r="Q7" s="49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60">
        <v>237</v>
      </c>
      <c r="Y7" s="43">
        <v>237</v>
      </c>
      <c r="Z7" s="1">
        <f t="shared" si="1"/>
        <v>0</v>
      </c>
      <c r="AA7" s="1">
        <f t="shared" si="4"/>
        <v>0</v>
      </c>
      <c r="AB7" s="50">
        <f t="shared" si="2"/>
        <v>237</v>
      </c>
      <c r="AD7" s="56"/>
    </row>
    <row r="8" spans="1:31" x14ac:dyDescent="0.3">
      <c r="A8" s="2" t="s">
        <v>4</v>
      </c>
      <c r="B8" s="2" t="s">
        <v>4</v>
      </c>
      <c r="C8" s="15" t="s">
        <v>17</v>
      </c>
      <c r="D8" s="39" t="s">
        <v>61</v>
      </c>
      <c r="E8" s="38">
        <v>1</v>
      </c>
      <c r="F8" s="38">
        <v>0</v>
      </c>
      <c r="G8" s="38">
        <v>0</v>
      </c>
      <c r="H8" s="33">
        <f t="shared" si="3"/>
        <v>1</v>
      </c>
      <c r="I8" s="15" t="s">
        <v>17</v>
      </c>
      <c r="J8" s="1" t="s">
        <v>24</v>
      </c>
      <c r="K8" s="3" t="s">
        <v>5</v>
      </c>
      <c r="L8" s="39" t="s">
        <v>61</v>
      </c>
      <c r="M8" s="38">
        <v>1</v>
      </c>
      <c r="N8" s="38">
        <v>1</v>
      </c>
      <c r="O8" s="38">
        <v>0</v>
      </c>
      <c r="P8" s="33">
        <f t="shared" si="5"/>
        <v>2</v>
      </c>
      <c r="Q8" s="46" t="s">
        <v>50</v>
      </c>
      <c r="R8" s="51" cm="1">
        <f t="array" ref="R8">R6-P5-H5-SUM(U3:U28*AB3:AB28)*0.8-R7*8</f>
        <v>56</v>
      </c>
      <c r="S8" s="23"/>
      <c r="T8" s="7" t="s">
        <v>9</v>
      </c>
      <c r="U8" s="1">
        <v>200</v>
      </c>
      <c r="V8" s="1">
        <v>60</v>
      </c>
      <c r="W8" s="42"/>
      <c r="X8" s="60">
        <v>189</v>
      </c>
      <c r="Y8" s="43">
        <v>189</v>
      </c>
      <c r="Z8" s="1">
        <f t="shared" si="1"/>
        <v>0</v>
      </c>
      <c r="AA8" s="1">
        <f t="shared" si="4"/>
        <v>0</v>
      </c>
      <c r="AB8" s="50">
        <f t="shared" si="2"/>
        <v>189</v>
      </c>
      <c r="AD8" s="56"/>
    </row>
    <row r="9" spans="1:31" x14ac:dyDescent="0.3">
      <c r="A9" s="15" t="s">
        <v>17</v>
      </c>
      <c r="B9" s="2" t="s">
        <v>4</v>
      </c>
      <c r="C9" s="3" t="s">
        <v>5</v>
      </c>
      <c r="D9" s="23"/>
      <c r="E9" s="23"/>
      <c r="F9" s="23"/>
      <c r="G9" s="23"/>
      <c r="H9" s="24"/>
      <c r="I9" s="1" t="s">
        <v>24</v>
      </c>
      <c r="J9" s="3" t="s">
        <v>5</v>
      </c>
      <c r="K9" s="15" t="s">
        <v>17</v>
      </c>
      <c r="L9" s="30" t="s">
        <v>39</v>
      </c>
      <c r="M9" s="34">
        <f>M6/M5</f>
        <v>0.42229729729729731</v>
      </c>
      <c r="N9" s="34">
        <f>N6/N5</f>
        <v>0.671875</v>
      </c>
      <c r="O9" s="34">
        <f>O6/O5</f>
        <v>0.36666666666666664</v>
      </c>
      <c r="P9" s="35">
        <f>P6/P5</f>
        <v>0.55336676217765046</v>
      </c>
      <c r="Q9" s="46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60">
        <v>5</v>
      </c>
      <c r="Y9" s="43">
        <v>0</v>
      </c>
      <c r="Z9" s="1">
        <f t="shared" si="1"/>
        <v>0</v>
      </c>
      <c r="AA9" s="1">
        <f t="shared" si="4"/>
        <v>0</v>
      </c>
      <c r="AB9" s="50">
        <f t="shared" si="2"/>
        <v>0</v>
      </c>
      <c r="AD9" s="56">
        <v>3</v>
      </c>
      <c r="AE9">
        <v>2</v>
      </c>
    </row>
    <row r="10" spans="1:31" x14ac:dyDescent="0.3">
      <c r="A10" s="2" t="s">
        <v>4</v>
      </c>
      <c r="B10" s="2" t="s">
        <v>4</v>
      </c>
      <c r="C10" s="3" t="s">
        <v>5</v>
      </c>
      <c r="D10" s="23"/>
      <c r="E10" s="23"/>
      <c r="F10" s="23"/>
      <c r="G10" s="23"/>
      <c r="H10" s="24"/>
      <c r="I10" s="3" t="s">
        <v>5</v>
      </c>
      <c r="J10" s="3" t="s">
        <v>5</v>
      </c>
      <c r="K10" s="1" t="s">
        <v>24</v>
      </c>
      <c r="L10" s="23"/>
      <c r="M10" s="23"/>
      <c r="N10" s="23"/>
      <c r="O10" s="23"/>
      <c r="P10" s="24"/>
      <c r="Q10" s="46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60">
        <v>6</v>
      </c>
      <c r="Y10" s="43">
        <v>3</v>
      </c>
      <c r="Z10" s="1">
        <f t="shared" si="1"/>
        <v>3</v>
      </c>
      <c r="AA10" s="1">
        <f t="shared" si="4"/>
        <v>0</v>
      </c>
      <c r="AB10" s="50">
        <f t="shared" si="2"/>
        <v>0</v>
      </c>
      <c r="AD10" s="56">
        <v>4</v>
      </c>
      <c r="AE10">
        <v>2</v>
      </c>
    </row>
    <row r="11" spans="1:31" x14ac:dyDescent="0.3">
      <c r="A11" s="2" t="s">
        <v>4</v>
      </c>
      <c r="B11" s="2" t="s">
        <v>4</v>
      </c>
      <c r="C11" s="2" t="s">
        <v>4</v>
      </c>
      <c r="D11" s="23"/>
      <c r="E11" s="23"/>
      <c r="F11" s="23"/>
      <c r="G11" s="23"/>
      <c r="H11" s="24"/>
      <c r="I11" s="15" t="s">
        <v>17</v>
      </c>
      <c r="J11" s="21" t="s">
        <v>26</v>
      </c>
      <c r="K11" s="1" t="s">
        <v>24</v>
      </c>
      <c r="L11" s="23"/>
      <c r="M11" s="23"/>
      <c r="N11" s="23"/>
      <c r="O11" s="23"/>
      <c r="P11" s="24">
        <f>H5+P5</f>
        <v>18472</v>
      </c>
      <c r="Q11" s="46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60">
        <v>6</v>
      </c>
      <c r="Y11" s="43">
        <v>6</v>
      </c>
      <c r="Z11" s="1">
        <f t="shared" si="1"/>
        <v>1</v>
      </c>
      <c r="AA11" s="1">
        <f t="shared" si="4"/>
        <v>0</v>
      </c>
      <c r="AB11" s="50">
        <f t="shared" si="2"/>
        <v>5</v>
      </c>
      <c r="AD11" s="56">
        <v>4</v>
      </c>
      <c r="AE11">
        <v>2</v>
      </c>
    </row>
    <row r="12" spans="1:31" x14ac:dyDescent="0.3">
      <c r="A12" s="2" t="s">
        <v>4</v>
      </c>
      <c r="B12" s="15" t="s">
        <v>17</v>
      </c>
      <c r="C12" s="4" t="s">
        <v>6</v>
      </c>
      <c r="D12" s="23"/>
      <c r="E12" s="23"/>
      <c r="F12" s="23"/>
      <c r="G12" s="23"/>
      <c r="H12" s="24"/>
      <c r="I12" s="1" t="s">
        <v>24</v>
      </c>
      <c r="J12" s="3" t="s">
        <v>5</v>
      </c>
      <c r="K12" s="1" t="s">
        <v>24</v>
      </c>
      <c r="L12" s="23"/>
      <c r="M12" s="23"/>
      <c r="N12" s="23"/>
      <c r="O12" s="23"/>
      <c r="P12" s="24">
        <f>H6+P6</f>
        <v>6485</v>
      </c>
      <c r="Q12" s="46"/>
      <c r="R12" s="23"/>
      <c r="S12" s="23"/>
      <c r="T12" s="11" t="s">
        <v>13</v>
      </c>
      <c r="U12" s="1">
        <v>150</v>
      </c>
      <c r="V12" s="1">
        <v>50</v>
      </c>
      <c r="W12" s="42"/>
      <c r="X12" s="60">
        <v>3</v>
      </c>
      <c r="Y12" s="43">
        <v>3</v>
      </c>
      <c r="Z12" s="1">
        <f t="shared" si="1"/>
        <v>0</v>
      </c>
      <c r="AA12" s="1">
        <f t="shared" si="4"/>
        <v>0</v>
      </c>
      <c r="AB12" s="50">
        <f t="shared" si="2"/>
        <v>3</v>
      </c>
      <c r="AD12" s="56">
        <v>3</v>
      </c>
    </row>
    <row r="13" spans="1:31" x14ac:dyDescent="0.3">
      <c r="A13" s="2" t="s">
        <v>4</v>
      </c>
      <c r="B13" s="2" t="s">
        <v>4</v>
      </c>
      <c r="C13" s="4" t="s">
        <v>6</v>
      </c>
      <c r="D13" s="23"/>
      <c r="E13" s="23"/>
      <c r="F13" s="23"/>
      <c r="G13" s="23"/>
      <c r="H13" s="24"/>
      <c r="I13" s="1" t="s">
        <v>24</v>
      </c>
      <c r="J13" s="3" t="s">
        <v>5</v>
      </c>
      <c r="K13" s="1" t="s">
        <v>24</v>
      </c>
      <c r="L13" s="23"/>
      <c r="M13" s="23"/>
      <c r="N13" s="23"/>
      <c r="O13" s="23"/>
      <c r="P13" s="24"/>
      <c r="Q13" s="46"/>
      <c r="R13" s="23"/>
      <c r="S13" s="23"/>
      <c r="T13" s="12" t="s">
        <v>14</v>
      </c>
      <c r="U13" s="1">
        <v>150</v>
      </c>
      <c r="V13" s="1">
        <v>55</v>
      </c>
      <c r="W13" s="42"/>
      <c r="X13" s="60">
        <v>3</v>
      </c>
      <c r="Y13" s="43">
        <v>3</v>
      </c>
      <c r="Z13" s="1">
        <f t="shared" si="1"/>
        <v>0</v>
      </c>
      <c r="AA13" s="1">
        <f t="shared" si="4"/>
        <v>0</v>
      </c>
      <c r="AB13" s="50">
        <f t="shared" si="2"/>
        <v>3</v>
      </c>
      <c r="AD13" s="56">
        <v>3</v>
      </c>
    </row>
    <row r="14" spans="1:31" x14ac:dyDescent="0.3">
      <c r="A14" s="2" t="s">
        <v>4</v>
      </c>
      <c r="B14" s="2" t="s">
        <v>4</v>
      </c>
      <c r="C14" s="4" t="s">
        <v>6</v>
      </c>
      <c r="D14" s="23"/>
      <c r="E14" s="23"/>
      <c r="F14" s="23"/>
      <c r="G14" s="23"/>
      <c r="H14" s="24"/>
      <c r="I14" s="1" t="s">
        <v>24</v>
      </c>
      <c r="J14" s="15" t="s">
        <v>17</v>
      </c>
      <c r="K14" s="1" t="s">
        <v>24</v>
      </c>
      <c r="L14" s="23"/>
      <c r="M14" s="23"/>
      <c r="N14" s="23"/>
      <c r="O14" s="23"/>
      <c r="P14" s="24"/>
      <c r="Q14" s="46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60">
        <v>1</v>
      </c>
      <c r="Y14" s="43">
        <v>1</v>
      </c>
      <c r="Z14" s="1">
        <f t="shared" si="1"/>
        <v>0</v>
      </c>
      <c r="AA14" s="1">
        <f t="shared" si="4"/>
        <v>0</v>
      </c>
      <c r="AB14" s="50">
        <f t="shared" si="2"/>
        <v>1</v>
      </c>
      <c r="AD14" s="56">
        <v>1</v>
      </c>
    </row>
    <row r="15" spans="1:31" x14ac:dyDescent="0.3">
      <c r="A15" s="2" t="s">
        <v>4</v>
      </c>
      <c r="B15" s="3" t="s">
        <v>5</v>
      </c>
      <c r="C15" s="17" t="s">
        <v>64</v>
      </c>
      <c r="D15" s="23"/>
      <c r="E15" s="23"/>
      <c r="F15" s="23"/>
      <c r="G15" s="23"/>
      <c r="H15" s="24"/>
      <c r="I15" s="1" t="s">
        <v>24</v>
      </c>
      <c r="J15" s="3" t="s">
        <v>5</v>
      </c>
      <c r="K15" s="1" t="s">
        <v>24</v>
      </c>
      <c r="L15" s="23"/>
      <c r="M15" s="23"/>
      <c r="N15" s="23"/>
      <c r="O15" s="23"/>
      <c r="P15" s="24"/>
      <c r="Q15" s="46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60"/>
      <c r="Y15" s="43">
        <v>0</v>
      </c>
      <c r="Z15" s="1">
        <f t="shared" si="1"/>
        <v>0</v>
      </c>
      <c r="AA15" s="1">
        <f t="shared" si="4"/>
        <v>0</v>
      </c>
      <c r="AB15" s="50">
        <f t="shared" si="2"/>
        <v>0</v>
      </c>
      <c r="AD15" s="56"/>
    </row>
    <row r="16" spans="1:31" x14ac:dyDescent="0.3">
      <c r="A16" s="2" t="s">
        <v>4</v>
      </c>
      <c r="B16" s="15" t="s">
        <v>17</v>
      </c>
      <c r="C16" s="4" t="s">
        <v>6</v>
      </c>
      <c r="D16" s="23"/>
      <c r="E16" s="23"/>
      <c r="F16" s="23"/>
      <c r="G16" s="23"/>
      <c r="H16" s="24"/>
      <c r="I16" s="1" t="s">
        <v>24</v>
      </c>
      <c r="J16" s="3" t="s">
        <v>5</v>
      </c>
      <c r="K16" s="1" t="s">
        <v>24</v>
      </c>
      <c r="L16" s="23"/>
      <c r="M16" s="23"/>
      <c r="N16" s="23"/>
      <c r="O16" s="23"/>
      <c r="P16" s="24"/>
      <c r="Q16" s="46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60">
        <v>40</v>
      </c>
      <c r="Y16" s="43">
        <v>40</v>
      </c>
      <c r="Z16" s="1">
        <f t="shared" si="1"/>
        <v>12</v>
      </c>
      <c r="AA16" s="1">
        <f t="shared" si="4"/>
        <v>9</v>
      </c>
      <c r="AB16" s="50">
        <f t="shared" si="2"/>
        <v>19</v>
      </c>
      <c r="AD16" s="56"/>
    </row>
    <row r="17" spans="1:30" x14ac:dyDescent="0.3">
      <c r="A17" s="15" t="s">
        <v>17</v>
      </c>
      <c r="B17" s="3" t="s">
        <v>5</v>
      </c>
      <c r="C17" s="1" t="s">
        <v>24</v>
      </c>
      <c r="D17" s="23"/>
      <c r="E17" s="23"/>
      <c r="F17" s="23"/>
      <c r="G17" s="23"/>
      <c r="H17" s="24"/>
      <c r="I17" s="1" t="s">
        <v>24</v>
      </c>
      <c r="J17" s="2" t="s">
        <v>4</v>
      </c>
      <c r="K17" s="1" t="s">
        <v>24</v>
      </c>
      <c r="L17" s="23"/>
      <c r="M17" s="23"/>
      <c r="N17" s="23"/>
      <c r="O17" s="23"/>
      <c r="P17" s="24"/>
      <c r="Q17" s="46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60">
        <v>2</v>
      </c>
      <c r="Y17" s="43">
        <v>2</v>
      </c>
      <c r="Z17" s="1">
        <f t="shared" si="1"/>
        <v>2</v>
      </c>
      <c r="AA17" s="1">
        <f t="shared" si="4"/>
        <v>0</v>
      </c>
      <c r="AB17" s="50">
        <f t="shared" si="2"/>
        <v>0</v>
      </c>
      <c r="AD17" s="56"/>
    </row>
    <row r="18" spans="1:30" x14ac:dyDescent="0.3">
      <c r="A18" s="2" t="s">
        <v>4</v>
      </c>
      <c r="B18" s="4" t="s">
        <v>6</v>
      </c>
      <c r="C18" s="1" t="s">
        <v>24</v>
      </c>
      <c r="D18" s="23"/>
      <c r="E18" s="23"/>
      <c r="F18" s="23"/>
      <c r="G18" s="23"/>
      <c r="H18" s="24"/>
      <c r="I18" s="1" t="s">
        <v>24</v>
      </c>
      <c r="J18" s="3" t="s">
        <v>5</v>
      </c>
      <c r="K18" s="1" t="s">
        <v>24</v>
      </c>
      <c r="L18" s="23"/>
      <c r="M18" s="23"/>
      <c r="N18" s="23"/>
      <c r="O18" s="23"/>
      <c r="P18" s="24"/>
      <c r="Q18" s="46"/>
      <c r="R18" s="23"/>
      <c r="S18" s="23"/>
      <c r="T18" s="17" t="s">
        <v>19</v>
      </c>
      <c r="U18" s="1">
        <v>250</v>
      </c>
      <c r="V18" s="1">
        <v>300</v>
      </c>
      <c r="W18" s="42"/>
      <c r="X18" s="60">
        <v>3</v>
      </c>
      <c r="Y18" s="43">
        <v>3</v>
      </c>
      <c r="Z18" s="1">
        <f t="shared" si="1"/>
        <v>3</v>
      </c>
      <c r="AA18" s="1">
        <f t="shared" si="4"/>
        <v>0</v>
      </c>
      <c r="AB18" s="50">
        <f t="shared" si="2"/>
        <v>0</v>
      </c>
      <c r="AD18" s="56"/>
    </row>
    <row r="19" spans="1:30" x14ac:dyDescent="0.3">
      <c r="A19" s="2" t="s">
        <v>4</v>
      </c>
      <c r="B19" s="4" t="s">
        <v>6</v>
      </c>
      <c r="C19" s="15" t="s">
        <v>17</v>
      </c>
      <c r="D19" s="23"/>
      <c r="E19" s="23"/>
      <c r="F19" s="23"/>
      <c r="G19" s="23"/>
      <c r="H19" s="24"/>
      <c r="I19" s="1" t="s">
        <v>24</v>
      </c>
      <c r="J19" s="3" t="s">
        <v>5</v>
      </c>
      <c r="K19" s="1" t="s">
        <v>24</v>
      </c>
      <c r="L19" s="23"/>
      <c r="M19" s="23"/>
      <c r="N19" s="23"/>
      <c r="O19" s="23"/>
      <c r="P19" s="24"/>
      <c r="Q19" s="46"/>
      <c r="R19" s="23"/>
      <c r="S19" s="23"/>
      <c r="T19" s="17" t="s">
        <v>64</v>
      </c>
      <c r="U19" s="1">
        <v>170</v>
      </c>
      <c r="V19" s="1">
        <v>45</v>
      </c>
      <c r="W19" s="42"/>
      <c r="X19" s="60">
        <v>5</v>
      </c>
      <c r="Y19" s="43">
        <v>5</v>
      </c>
      <c r="Z19" s="1">
        <f t="shared" si="1"/>
        <v>5</v>
      </c>
      <c r="AA19" s="1">
        <f t="shared" si="4"/>
        <v>0</v>
      </c>
      <c r="AB19" s="50">
        <f t="shared" si="2"/>
        <v>0</v>
      </c>
      <c r="AD19" s="56"/>
    </row>
    <row r="20" spans="1:30" x14ac:dyDescent="0.3">
      <c r="A20" s="2" t="s">
        <v>4</v>
      </c>
      <c r="B20" s="16" t="s">
        <v>18</v>
      </c>
      <c r="C20" s="4" t="s">
        <v>6</v>
      </c>
      <c r="D20" s="23"/>
      <c r="E20" s="23"/>
      <c r="F20" s="23"/>
      <c r="G20" s="23"/>
      <c r="H20" s="24"/>
      <c r="I20" s="1" t="s">
        <v>24</v>
      </c>
      <c r="J20" s="15" t="s">
        <v>17</v>
      </c>
      <c r="K20" s="1" t="s">
        <v>24</v>
      </c>
      <c r="L20" s="23"/>
      <c r="M20" s="23"/>
      <c r="N20" s="23"/>
      <c r="O20" s="23"/>
      <c r="P20" s="24"/>
      <c r="Q20" s="46"/>
      <c r="R20" s="23"/>
      <c r="S20" s="23"/>
      <c r="T20" s="17" t="s">
        <v>63</v>
      </c>
      <c r="U20" s="1">
        <v>250</v>
      </c>
      <c r="V20" s="1">
        <v>400</v>
      </c>
      <c r="W20" s="42"/>
      <c r="X20" s="60">
        <v>0</v>
      </c>
      <c r="Y20" s="43">
        <v>0</v>
      </c>
      <c r="Z20" s="1">
        <f t="shared" si="1"/>
        <v>0</v>
      </c>
      <c r="AA20" s="1">
        <f t="shared" si="4"/>
        <v>0</v>
      </c>
      <c r="AB20" s="50">
        <f t="shared" si="2"/>
        <v>0</v>
      </c>
      <c r="AD20" s="56"/>
    </row>
    <row r="21" spans="1:30" x14ac:dyDescent="0.3">
      <c r="A21" s="4" t="s">
        <v>6</v>
      </c>
      <c r="B21" s="4" t="s">
        <v>6</v>
      </c>
      <c r="C21" s="4" t="s">
        <v>6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6"/>
      <c r="R21" s="23"/>
      <c r="S21" s="23"/>
      <c r="T21" s="18" t="s">
        <v>20</v>
      </c>
      <c r="U21" s="1">
        <v>250</v>
      </c>
      <c r="V21" s="1">
        <v>1000</v>
      </c>
      <c r="W21" s="42"/>
      <c r="X21" s="60">
        <v>2</v>
      </c>
      <c r="Y21" s="43">
        <v>2</v>
      </c>
      <c r="Z21" s="1">
        <f t="shared" si="1"/>
        <v>0</v>
      </c>
      <c r="AA21" s="1">
        <f t="shared" si="4"/>
        <v>0</v>
      </c>
      <c r="AB21" s="50">
        <f t="shared" si="2"/>
        <v>2</v>
      </c>
      <c r="AD21" s="56"/>
    </row>
    <row r="22" spans="1:30" x14ac:dyDescent="0.3">
      <c r="A22" s="4" t="s">
        <v>6</v>
      </c>
      <c r="B22" s="17" t="s">
        <v>19</v>
      </c>
      <c r="C22" s="4" t="s">
        <v>6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6"/>
      <c r="R22" s="23"/>
      <c r="S22" s="23"/>
      <c r="T22" s="19" t="s">
        <v>21</v>
      </c>
      <c r="U22" s="1">
        <v>250</v>
      </c>
      <c r="V22" s="1">
        <v>500</v>
      </c>
      <c r="W22" s="42"/>
      <c r="X22" s="60">
        <v>2</v>
      </c>
      <c r="Y22" s="43">
        <v>2</v>
      </c>
      <c r="Z22" s="1">
        <f t="shared" si="1"/>
        <v>0</v>
      </c>
      <c r="AA22" s="1">
        <f t="shared" si="4"/>
        <v>0</v>
      </c>
      <c r="AB22" s="50">
        <f t="shared" si="2"/>
        <v>2</v>
      </c>
      <c r="AD22" s="56"/>
    </row>
    <row r="23" spans="1:30" x14ac:dyDescent="0.3">
      <c r="A23" s="4" t="s">
        <v>6</v>
      </c>
      <c r="B23" s="4" t="s">
        <v>6</v>
      </c>
      <c r="C23" s="4" t="s">
        <v>6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6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60">
        <v>0</v>
      </c>
      <c r="Y23" s="43">
        <v>0</v>
      </c>
      <c r="Z23" s="1">
        <f t="shared" si="1"/>
        <v>0</v>
      </c>
      <c r="AA23" s="1">
        <f t="shared" si="4"/>
        <v>0</v>
      </c>
      <c r="AB23" s="50">
        <f t="shared" si="2"/>
        <v>0</v>
      </c>
      <c r="AD23" s="56"/>
    </row>
    <row r="24" spans="1:30" x14ac:dyDescent="0.3">
      <c r="A24" s="17" t="s">
        <v>64</v>
      </c>
      <c r="B24" s="4" t="s">
        <v>6</v>
      </c>
      <c r="C24" s="4" t="s">
        <v>6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6"/>
      <c r="R24" s="23"/>
      <c r="S24" s="23"/>
      <c r="T24" s="55" t="s">
        <v>22</v>
      </c>
      <c r="U24" s="1">
        <v>160</v>
      </c>
      <c r="V24" s="1">
        <v>40</v>
      </c>
      <c r="W24" s="42">
        <f t="shared" si="8"/>
        <v>39.110982162825422</v>
      </c>
      <c r="X24" s="60">
        <v>0</v>
      </c>
      <c r="Y24" s="43">
        <v>0</v>
      </c>
      <c r="Z24" s="1">
        <f t="shared" si="1"/>
        <v>0</v>
      </c>
      <c r="AA24" s="1">
        <f t="shared" si="4"/>
        <v>0</v>
      </c>
      <c r="AB24" s="50">
        <f t="shared" si="2"/>
        <v>0</v>
      </c>
      <c r="AD24" s="56"/>
    </row>
    <row r="25" spans="1:30" x14ac:dyDescent="0.3">
      <c r="A25" s="3" t="s">
        <v>5</v>
      </c>
      <c r="B25" s="3" t="s">
        <v>5</v>
      </c>
      <c r="C25" s="4" t="s">
        <v>6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6"/>
      <c r="R25" s="23"/>
      <c r="S25" s="23"/>
      <c r="T25" s="55" t="s">
        <v>23</v>
      </c>
      <c r="U25" s="1">
        <v>150</v>
      </c>
      <c r="V25" s="1">
        <v>35</v>
      </c>
      <c r="W25" s="42">
        <f t="shared" si="8"/>
        <v>44.222109392472248</v>
      </c>
      <c r="X25" s="60">
        <v>0</v>
      </c>
      <c r="Y25" s="43">
        <v>0</v>
      </c>
      <c r="Z25" s="1">
        <f t="shared" si="1"/>
        <v>0</v>
      </c>
      <c r="AA25" s="1">
        <f t="shared" si="4"/>
        <v>0</v>
      </c>
      <c r="AB25" s="50">
        <f t="shared" si="2"/>
        <v>0</v>
      </c>
      <c r="AD25" s="56"/>
    </row>
    <row r="26" spans="1:30" x14ac:dyDescent="0.3">
      <c r="A26" s="3" t="s">
        <v>5</v>
      </c>
      <c r="B26" s="3" t="s">
        <v>5</v>
      </c>
      <c r="C26" s="4" t="s">
        <v>6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6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60">
        <v>0</v>
      </c>
      <c r="Y26" s="43">
        <v>0</v>
      </c>
      <c r="Z26" s="1"/>
      <c r="AA26" s="1"/>
      <c r="AB26" s="50"/>
      <c r="AD26" s="56"/>
    </row>
    <row r="27" spans="1:30" x14ac:dyDescent="0.3">
      <c r="A27" s="3" t="s">
        <v>5</v>
      </c>
      <c r="B27" s="15" t="s">
        <v>17</v>
      </c>
      <c r="C27" s="17" t="s">
        <v>64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6"/>
      <c r="R27" s="23"/>
      <c r="S27" s="23"/>
      <c r="T27" s="16" t="s">
        <v>25</v>
      </c>
      <c r="U27" s="1">
        <v>-200</v>
      </c>
      <c r="V27" s="1">
        <v>0</v>
      </c>
      <c r="W27" s="42"/>
      <c r="X27" s="60">
        <v>13</v>
      </c>
      <c r="Y27" s="43">
        <v>13</v>
      </c>
      <c r="Z27" s="1">
        <f t="shared" si="1"/>
        <v>0</v>
      </c>
      <c r="AA27" s="1">
        <f t="shared" si="4"/>
        <v>0</v>
      </c>
      <c r="AB27" s="50">
        <f t="shared" si="2"/>
        <v>13</v>
      </c>
      <c r="AD27" s="56"/>
    </row>
    <row r="28" spans="1:30" x14ac:dyDescent="0.3">
      <c r="A28" s="9" t="s">
        <v>11</v>
      </c>
      <c r="B28" s="3" t="s">
        <v>5</v>
      </c>
      <c r="C28" s="1" t="s">
        <v>24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6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60">
        <v>3</v>
      </c>
      <c r="Y28" s="43">
        <v>3</v>
      </c>
      <c r="Z28" s="1">
        <f t="shared" si="1"/>
        <v>0</v>
      </c>
      <c r="AA28" s="1">
        <f t="shared" si="4"/>
        <v>1</v>
      </c>
      <c r="AB28" s="50">
        <f t="shared" si="2"/>
        <v>2</v>
      </c>
      <c r="AD28" s="56"/>
    </row>
    <row r="29" spans="1:30" ht="15" thickBot="1" x14ac:dyDescent="0.35">
      <c r="A29" s="3" t="s">
        <v>5</v>
      </c>
      <c r="B29" s="2" t="s">
        <v>4</v>
      </c>
      <c r="C29" s="1" t="s">
        <v>24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2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3"/>
      <c r="AD29" s="56"/>
    </row>
    <row r="30" spans="1:30" x14ac:dyDescent="0.3">
      <c r="A30" s="15" t="s">
        <v>17</v>
      </c>
      <c r="B30" s="4" t="s">
        <v>6</v>
      </c>
      <c r="C30" s="1" t="s">
        <v>24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3">
      <c r="A31" s="3" t="s">
        <v>5</v>
      </c>
      <c r="B31" s="9" t="s">
        <v>11</v>
      </c>
      <c r="C31" s="1" t="s">
        <v>24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1063</v>
      </c>
      <c r="AB31">
        <f>SUM(AB3:AB28)</f>
        <v>926</v>
      </c>
    </row>
    <row r="32" spans="1:30" x14ac:dyDescent="0.3">
      <c r="A32" s="9" t="s">
        <v>11</v>
      </c>
      <c r="B32" s="4" t="s">
        <v>6</v>
      </c>
      <c r="C32" s="1" t="s">
        <v>24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3">
      <c r="A33" s="4" t="s">
        <v>6</v>
      </c>
      <c r="B33" s="4" t="s">
        <v>6</v>
      </c>
      <c r="C33" s="1" t="s">
        <v>24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3">
      <c r="A34" s="4" t="s">
        <v>6</v>
      </c>
      <c r="B34" s="17" t="s">
        <v>64</v>
      </c>
      <c r="C34" s="1" t="s">
        <v>24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3">
      <c r="A35" s="17" t="s">
        <v>19</v>
      </c>
      <c r="B35" s="1" t="s">
        <v>24</v>
      </c>
      <c r="C35" s="1" t="s">
        <v>24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3">
      <c r="A36" s="1" t="s">
        <v>24</v>
      </c>
      <c r="B36" s="1" t="s">
        <v>24</v>
      </c>
      <c r="C36" s="1" t="s">
        <v>24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3">
      <c r="A37" s="2" t="s">
        <v>4</v>
      </c>
      <c r="B37" s="1" t="s">
        <v>24</v>
      </c>
      <c r="C37" s="1" t="s">
        <v>24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3">
      <c r="A38" s="2" t="s">
        <v>4</v>
      </c>
      <c r="B38" s="1" t="s">
        <v>24</v>
      </c>
      <c r="C38" s="1" t="s">
        <v>24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3">
      <c r="A39" s="2" t="s">
        <v>4</v>
      </c>
      <c r="B39" s="1" t="s">
        <v>24</v>
      </c>
      <c r="C39" s="1" t="s">
        <v>24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3">
      <c r="A40" s="3" t="s">
        <v>5</v>
      </c>
      <c r="B40" s="1" t="s">
        <v>24</v>
      </c>
      <c r="C40" s="1" t="s">
        <v>24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3">
      <c r="A41" s="15" t="s">
        <v>17</v>
      </c>
      <c r="B41" s="1" t="s">
        <v>24</v>
      </c>
      <c r="C41" s="1" t="s">
        <v>24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3">
      <c r="A42" s="3" t="s">
        <v>5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3">
      <c r="A43" s="3" t="s">
        <v>5</v>
      </c>
      <c r="B43" s="1" t="s">
        <v>24</v>
      </c>
      <c r="C43" s="1" t="s">
        <v>24</v>
      </c>
      <c r="D43" s="23"/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3">
      <c r="A44" s="4" t="s">
        <v>6</v>
      </c>
      <c r="B44" s="1" t="s">
        <v>24</v>
      </c>
      <c r="C44" s="1" t="s">
        <v>24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3">
      <c r="A45" s="4" t="s">
        <v>6</v>
      </c>
      <c r="B45" s="1" t="s">
        <v>24</v>
      </c>
      <c r="C45" s="1" t="s">
        <v>24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3">
      <c r="A46" s="15" t="s">
        <v>17</v>
      </c>
      <c r="B46" s="1" t="s">
        <v>24</v>
      </c>
      <c r="C46" s="1" t="s">
        <v>24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3">
      <c r="A47" s="4" t="s">
        <v>6</v>
      </c>
      <c r="B47" s="1" t="s">
        <v>24</v>
      </c>
      <c r="C47" s="1" t="s">
        <v>24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3">
      <c r="A48" s="17" t="s">
        <v>19</v>
      </c>
      <c r="B48" s="1" t="s">
        <v>24</v>
      </c>
      <c r="C48" s="1" t="s">
        <v>24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3">
      <c r="A49" s="4" t="s">
        <v>6</v>
      </c>
      <c r="B49" s="1" t="s">
        <v>24</v>
      </c>
      <c r="C49" s="1" t="s">
        <v>24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3">
      <c r="A50" s="4" t="s">
        <v>6</v>
      </c>
      <c r="B50" s="1" t="s">
        <v>24</v>
      </c>
      <c r="C50" s="1" t="s">
        <v>24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3">
      <c r="A51" s="16" t="s">
        <v>18</v>
      </c>
      <c r="B51" s="1" t="s">
        <v>24</v>
      </c>
      <c r="C51" s="1" t="s">
        <v>24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3">
      <c r="A52" s="4" t="s">
        <v>6</v>
      </c>
      <c r="B52" s="1" t="s">
        <v>24</v>
      </c>
      <c r="C52" s="1" t="s">
        <v>24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3">
      <c r="A53" s="4" t="s">
        <v>6</v>
      </c>
      <c r="B53" s="1" t="s">
        <v>24</v>
      </c>
      <c r="C53" s="1" t="s">
        <v>24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3">
      <c r="A54" s="15" t="s">
        <v>17</v>
      </c>
      <c r="B54" s="1" t="s">
        <v>24</v>
      </c>
      <c r="C54" s="1" t="s">
        <v>24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3">
      <c r="A55" s="4" t="s">
        <v>6</v>
      </c>
      <c r="B55" s="1" t="s">
        <v>24</v>
      </c>
      <c r="C55" s="1" t="s">
        <v>24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3">
      <c r="A56" s="4" t="s">
        <v>6</v>
      </c>
      <c r="B56" s="1" t="s">
        <v>24</v>
      </c>
      <c r="C56" s="1" t="s">
        <v>24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3">
      <c r="A57" s="10" t="s">
        <v>12</v>
      </c>
      <c r="B57" s="1" t="s">
        <v>24</v>
      </c>
      <c r="C57" s="1" t="s">
        <v>24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3">
      <c r="A58" s="4" t="s">
        <v>6</v>
      </c>
      <c r="B58" s="1" t="s">
        <v>24</v>
      </c>
      <c r="C58" s="1" t="s">
        <v>24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3">
      <c r="A59" s="17" t="s">
        <v>64</v>
      </c>
      <c r="B59" s="1" t="s">
        <v>24</v>
      </c>
      <c r="C59" s="1" t="s">
        <v>24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3">
      <c r="A60" s="1" t="s">
        <v>24</v>
      </c>
      <c r="B60" s="1" t="s">
        <v>24</v>
      </c>
      <c r="C60" s="1" t="s">
        <v>24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3">
      <c r="A61" s="1" t="s">
        <v>24</v>
      </c>
      <c r="B61" s="1" t="s">
        <v>24</v>
      </c>
      <c r="C61" s="1" t="s">
        <v>24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3">
      <c r="A62" s="1" t="s">
        <v>24</v>
      </c>
      <c r="B62" s="1" t="s">
        <v>24</v>
      </c>
      <c r="C62" s="1" t="s">
        <v>24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3">
      <c r="A63" s="1" t="s">
        <v>24</v>
      </c>
      <c r="B63" s="1" t="s">
        <v>24</v>
      </c>
      <c r="C63" s="1" t="s">
        <v>24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3">
      <c r="A64" s="1" t="s">
        <v>24</v>
      </c>
      <c r="B64" s="1" t="s">
        <v>24</v>
      </c>
      <c r="C64" s="1" t="s">
        <v>24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3">
      <c r="A65" s="1" t="s">
        <v>24</v>
      </c>
      <c r="B65" s="1" t="s">
        <v>24</v>
      </c>
      <c r="C65" s="1" t="s">
        <v>24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3">
      <c r="A66" s="1" t="s">
        <v>24</v>
      </c>
      <c r="B66" s="1" t="s">
        <v>24</v>
      </c>
      <c r="C66" s="1" t="s">
        <v>24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3">
      <c r="A67" s="1" t="s">
        <v>24</v>
      </c>
      <c r="B67" s="1" t="s">
        <v>24</v>
      </c>
      <c r="C67" s="1" t="s">
        <v>24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3">
      <c r="A68" s="1" t="s">
        <v>24</v>
      </c>
      <c r="B68" s="1" t="s">
        <v>24</v>
      </c>
      <c r="C68" s="1" t="s">
        <v>24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3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3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3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3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3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3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3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3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3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3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3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3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3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3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3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3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3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3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3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3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3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3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3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3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3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3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3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3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3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3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3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" thickBot="1" x14ac:dyDescent="0.35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CD46-6754-4A5B-B012-0370B06FAACE}">
  <dimension ref="A1:AE100"/>
  <sheetViews>
    <sheetView topLeftCell="H1" zoomScaleNormal="100" workbookViewId="0">
      <selection activeCell="Y14" sqref="Y14"/>
    </sheetView>
  </sheetViews>
  <sheetFormatPr defaultRowHeight="14.4" x14ac:dyDescent="0.3"/>
  <cols>
    <col min="23" max="23" width="8.88671875" customWidth="1"/>
  </cols>
  <sheetData>
    <row r="1" spans="1:31" ht="15.6" x14ac:dyDescent="0.3">
      <c r="A1" s="63" t="s">
        <v>27</v>
      </c>
      <c r="B1" s="64"/>
      <c r="C1" s="64"/>
      <c r="D1" s="64"/>
      <c r="E1" s="64"/>
      <c r="F1" s="65" t="s">
        <v>3</v>
      </c>
      <c r="G1" s="65"/>
      <c r="H1" s="22" cm="1">
        <f t="array" ref="H1">SUM(VLOOKUP(A4:C100,$T$3:$W$36,4,FALSE))+H4*10-H8*50</f>
        <v>3483.1048893563293</v>
      </c>
      <c r="I1" s="66" t="s">
        <v>38</v>
      </c>
      <c r="J1" s="67"/>
      <c r="K1" s="67"/>
      <c r="L1" s="67"/>
      <c r="M1" s="67"/>
      <c r="N1" s="67"/>
      <c r="O1" s="67"/>
      <c r="P1" s="68"/>
      <c r="Q1" s="66" t="s">
        <v>45</v>
      </c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</row>
    <row r="2" spans="1:31" ht="28.8" x14ac:dyDescent="0.3">
      <c r="A2" s="69" t="s">
        <v>32</v>
      </c>
      <c r="B2" s="70"/>
      <c r="C2" s="70"/>
      <c r="D2" s="71" t="s">
        <v>34</v>
      </c>
      <c r="E2" s="72"/>
      <c r="F2" s="72"/>
      <c r="G2" s="72"/>
      <c r="H2" s="73"/>
      <c r="I2" s="74" t="s">
        <v>32</v>
      </c>
      <c r="J2" s="75"/>
      <c r="K2" s="75"/>
      <c r="L2" s="76" t="s">
        <v>34</v>
      </c>
      <c r="M2" s="76"/>
      <c r="N2" s="76"/>
      <c r="O2" s="76"/>
      <c r="P2" s="77"/>
      <c r="Q2" s="46" t="s">
        <v>40</v>
      </c>
      <c r="R2" s="47" cm="1">
        <f t="array" ref="R2">SUM(V3:V28*AB3:AB28)+H6+P6+R4*500</f>
        <v>64705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60" t="s">
        <v>41</v>
      </c>
      <c r="Y2" s="43" t="s">
        <v>52</v>
      </c>
      <c r="Z2" s="44" t="s">
        <v>42</v>
      </c>
      <c r="AA2" s="44" t="s">
        <v>43</v>
      </c>
      <c r="AB2" s="48" t="s">
        <v>44</v>
      </c>
      <c r="AD2" s="23"/>
    </row>
    <row r="3" spans="1:31" x14ac:dyDescent="0.3">
      <c r="A3" s="57" t="s">
        <v>28</v>
      </c>
      <c r="B3" s="62" t="s">
        <v>29</v>
      </c>
      <c r="C3" s="19" t="s">
        <v>30</v>
      </c>
      <c r="D3" s="30"/>
      <c r="E3" s="57" t="s">
        <v>28</v>
      </c>
      <c r="F3" s="62" t="s">
        <v>29</v>
      </c>
      <c r="G3" s="19" t="s">
        <v>30</v>
      </c>
      <c r="H3" s="31" t="s">
        <v>33</v>
      </c>
      <c r="I3" s="57" t="s">
        <v>28</v>
      </c>
      <c r="J3" s="62" t="s">
        <v>29</v>
      </c>
      <c r="K3" s="19" t="s">
        <v>30</v>
      </c>
      <c r="L3" s="30"/>
      <c r="M3" s="57" t="s">
        <v>28</v>
      </c>
      <c r="N3" s="62" t="s">
        <v>29</v>
      </c>
      <c r="O3" s="19" t="s">
        <v>30</v>
      </c>
      <c r="P3" s="31" t="s">
        <v>33</v>
      </c>
      <c r="Q3" s="49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60"/>
      <c r="Y3" s="43">
        <v>32</v>
      </c>
      <c r="Z3" s="1">
        <f>COUNTIF($A$4:$C$100,T3)</f>
        <v>31</v>
      </c>
      <c r="AA3" s="1">
        <f>COUNTIF($I$4:$K$100,T3)</f>
        <v>1</v>
      </c>
      <c r="AB3" s="50">
        <f>Y3-Z3-AA3</f>
        <v>0</v>
      </c>
      <c r="AD3" s="56"/>
    </row>
    <row r="4" spans="1:31" x14ac:dyDescent="0.3">
      <c r="A4" s="2" t="s">
        <v>4</v>
      </c>
      <c r="B4" s="15" t="s">
        <v>17</v>
      </c>
      <c r="C4" s="2" t="s">
        <v>4</v>
      </c>
      <c r="D4" s="40" t="s">
        <v>31</v>
      </c>
      <c r="E4" s="36">
        <v>6</v>
      </c>
      <c r="F4" s="36">
        <v>0</v>
      </c>
      <c r="G4" s="36">
        <v>3</v>
      </c>
      <c r="H4" s="33">
        <f>SUM(E4:G4)</f>
        <v>9</v>
      </c>
      <c r="I4" s="3" t="s">
        <v>5</v>
      </c>
      <c r="J4" s="15" t="s">
        <v>17</v>
      </c>
      <c r="K4" s="3" t="s">
        <v>5</v>
      </c>
      <c r="L4" s="40" t="s">
        <v>31</v>
      </c>
      <c r="M4" s="36">
        <v>0</v>
      </c>
      <c r="N4" s="36">
        <v>5</v>
      </c>
      <c r="O4" s="36">
        <v>1</v>
      </c>
      <c r="P4" s="33">
        <f>SUM(M4:O4)</f>
        <v>6</v>
      </c>
      <c r="Q4" s="49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60"/>
      <c r="Y4" s="43">
        <v>36</v>
      </c>
      <c r="Z4" s="1">
        <f t="shared" ref="Z4:Z28" si="1">COUNTIF($A$4:$C$100,T4)</f>
        <v>18</v>
      </c>
      <c r="AA4" s="1">
        <f>COUNTIF($I$4:$K$100,T4)</f>
        <v>18</v>
      </c>
      <c r="AB4" s="50">
        <f t="shared" ref="AB4:AB28" si="2">Y4-Z4-AA4</f>
        <v>0</v>
      </c>
      <c r="AD4" s="56"/>
    </row>
    <row r="5" spans="1:31" x14ac:dyDescent="0.3">
      <c r="A5" s="2" t="s">
        <v>4</v>
      </c>
      <c r="B5" s="2" t="s">
        <v>4</v>
      </c>
      <c r="C5" s="2" t="s">
        <v>4</v>
      </c>
      <c r="D5" s="30" t="s">
        <v>35</v>
      </c>
      <c r="E5" s="32" cm="1">
        <f t="array" ref="E5">(SUM(VLOOKUP(A4:A100,$T$3:$W$41,2,FALSE))+E4*10)-E8*50</f>
        <v>7980</v>
      </c>
      <c r="F5" s="32" cm="1">
        <f t="array" ref="F5">(SUM(VLOOKUP(B4:B100,$T$3:$W$41,2,FALSE))+F4*10)-F8*50</f>
        <v>4300</v>
      </c>
      <c r="G5" s="32" cm="1">
        <f t="array" ref="G5">(SUM(VLOOKUP(C4:C100,$T$3:$W$41,2,FALSE))+G4*10)-G8*50</f>
        <v>3420</v>
      </c>
      <c r="H5" s="54">
        <f t="shared" ref="H5:H8" si="3">SUM(E5:G5)</f>
        <v>15700</v>
      </c>
      <c r="I5" s="15" t="s">
        <v>17</v>
      </c>
      <c r="J5" s="3" t="s">
        <v>5</v>
      </c>
      <c r="K5" s="15" t="s">
        <v>17</v>
      </c>
      <c r="L5" s="30" t="s">
        <v>35</v>
      </c>
      <c r="M5" s="32" cm="1">
        <f t="array" ref="M5">(SUM(VLOOKUP(I4:I100,$T$3:$W$41,2,FALSE))+M4*10)*0.8-M8*40</f>
        <v>592</v>
      </c>
      <c r="N5" s="32" cm="1">
        <f t="array" ref="N5">(SUM(VLOOKUP(J4:J100,$T$3:$W$41,2,FALSE))+N4*10)*0.8-N8*40</f>
        <v>1600</v>
      </c>
      <c r="O5" s="32" cm="1">
        <f t="array" ref="O5">(SUM(VLOOKUP(K4:K100,$T$3:$W$41,2,FALSE))+O4*10)*0.8-O8*40</f>
        <v>600</v>
      </c>
      <c r="P5" s="54">
        <f>SUM(M5:O5)</f>
        <v>2792</v>
      </c>
      <c r="Q5" s="49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61"/>
      <c r="Y5" s="43">
        <v>208</v>
      </c>
      <c r="Z5" s="1">
        <f t="shared" si="1"/>
        <v>34</v>
      </c>
      <c r="AA5" s="1">
        <f t="shared" ref="AA5:AA28" si="4">COUNTIF($I$4:$K$100,T5)</f>
        <v>0</v>
      </c>
      <c r="AB5" s="50">
        <f t="shared" si="2"/>
        <v>174</v>
      </c>
      <c r="AD5" s="56"/>
    </row>
    <row r="6" spans="1:31" x14ac:dyDescent="0.3">
      <c r="A6" s="2" t="s">
        <v>4</v>
      </c>
      <c r="B6" s="2" t="s">
        <v>4</v>
      </c>
      <c r="C6" s="2" t="s">
        <v>4</v>
      </c>
      <c r="D6" s="30" t="s">
        <v>36</v>
      </c>
      <c r="E6" s="32" cm="1">
        <f t="array" ref="E6">(SUM(VLOOKUP(A4:A100,$T$3:$W$41,3,FALSE)))</f>
        <v>2620</v>
      </c>
      <c r="F6" s="32" cm="1">
        <f t="array" ref="F6">(SUM(VLOOKUP(B4:B100,$T$3:$W$41,3,FALSE)))</f>
        <v>1420</v>
      </c>
      <c r="G6" s="32" cm="1">
        <f t="array" ref="G6">(SUM(VLOOKUP(C4:C100,$T$3:$W$41,3,FALSE)))</f>
        <v>905</v>
      </c>
      <c r="H6" s="45">
        <f t="shared" si="3"/>
        <v>4945</v>
      </c>
      <c r="I6" s="3" t="s">
        <v>5</v>
      </c>
      <c r="J6" s="3" t="s">
        <v>5</v>
      </c>
      <c r="K6" s="3" t="s">
        <v>5</v>
      </c>
      <c r="L6" s="30" t="s">
        <v>36</v>
      </c>
      <c r="M6" s="32" cm="1">
        <f t="array" ref="M6">(SUM(VLOOKUP(I4:I100,$T$3:$W$41,3,FALSE)))</f>
        <v>250</v>
      </c>
      <c r="N6" s="32" cm="1">
        <f t="array" ref="N6">(SUM(VLOOKUP(J4:J100,$T$3:$W$41,3,FALSE)))</f>
        <v>1075</v>
      </c>
      <c r="O6" s="32" cm="1">
        <f t="array" ref="O6">(SUM(VLOOKUP(K4:K100,$T$3:$W$41,3,FALSE)))</f>
        <v>220</v>
      </c>
      <c r="P6" s="45">
        <f t="shared" ref="P6:P8" si="5">SUM(M6:O6)</f>
        <v>1545</v>
      </c>
      <c r="Q6" s="46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60">
        <v>276</v>
      </c>
      <c r="Y6" s="43">
        <v>276</v>
      </c>
      <c r="Z6" s="1">
        <f t="shared" si="1"/>
        <v>0</v>
      </c>
      <c r="AA6" s="1">
        <f t="shared" si="4"/>
        <v>0</v>
      </c>
      <c r="AB6" s="50">
        <f t="shared" si="2"/>
        <v>276</v>
      </c>
      <c r="AD6" s="56"/>
    </row>
    <row r="7" spans="1:31" x14ac:dyDescent="0.3">
      <c r="A7" s="2" t="s">
        <v>4</v>
      </c>
      <c r="B7" s="2" t="s">
        <v>4</v>
      </c>
      <c r="C7" s="3" t="s">
        <v>5</v>
      </c>
      <c r="D7" s="30" t="s">
        <v>37</v>
      </c>
      <c r="E7" s="32">
        <f>COUNTIF(A4:A100,"&lt;&gt;空")</f>
        <v>55</v>
      </c>
      <c r="F7" s="32">
        <f>COUNTIF(B4:B100,"&lt;&gt;空")</f>
        <v>31</v>
      </c>
      <c r="G7" s="32">
        <f>COUNTIF(C4:C100,"&lt;&gt;空")</f>
        <v>22</v>
      </c>
      <c r="H7" s="33">
        <f t="shared" si="3"/>
        <v>108</v>
      </c>
      <c r="I7" s="3" t="s">
        <v>5</v>
      </c>
      <c r="J7" s="15" t="s">
        <v>17</v>
      </c>
      <c r="K7" s="3" t="s">
        <v>5</v>
      </c>
      <c r="L7" s="30" t="s">
        <v>37</v>
      </c>
      <c r="M7" s="32">
        <f>COUNTIF(I4:I100,"&lt;&gt;空")</f>
        <v>7</v>
      </c>
      <c r="N7" s="32">
        <f>COUNTIF(J4:J100,"&lt;&gt;空")</f>
        <v>16</v>
      </c>
      <c r="O7" s="32">
        <f>COUNTIF(K4:K100,"&lt;&gt;空")</f>
        <v>6</v>
      </c>
      <c r="P7" s="33">
        <f t="shared" si="5"/>
        <v>29</v>
      </c>
      <c r="Q7" s="49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60">
        <v>237</v>
      </c>
      <c r="Y7" s="43">
        <v>237</v>
      </c>
      <c r="Z7" s="1">
        <f t="shared" si="1"/>
        <v>0</v>
      </c>
      <c r="AA7" s="1">
        <f t="shared" si="4"/>
        <v>0</v>
      </c>
      <c r="AB7" s="50">
        <f t="shared" si="2"/>
        <v>237</v>
      </c>
      <c r="AD7" s="56"/>
    </row>
    <row r="8" spans="1:31" x14ac:dyDescent="0.3">
      <c r="A8" s="2" t="s">
        <v>4</v>
      </c>
      <c r="B8" s="2" t="s">
        <v>4</v>
      </c>
      <c r="C8" s="15" t="s">
        <v>17</v>
      </c>
      <c r="D8" s="39" t="s">
        <v>61</v>
      </c>
      <c r="E8" s="38">
        <v>1</v>
      </c>
      <c r="F8" s="38">
        <v>0</v>
      </c>
      <c r="G8" s="38">
        <v>0</v>
      </c>
      <c r="H8" s="33">
        <f t="shared" si="3"/>
        <v>1</v>
      </c>
      <c r="I8" s="15" t="s">
        <v>17</v>
      </c>
      <c r="J8" s="1" t="s">
        <v>24</v>
      </c>
      <c r="K8" s="3" t="s">
        <v>5</v>
      </c>
      <c r="L8" s="39" t="s">
        <v>61</v>
      </c>
      <c r="M8" s="38">
        <v>1</v>
      </c>
      <c r="N8" s="38">
        <v>1</v>
      </c>
      <c r="O8" s="38">
        <v>0</v>
      </c>
      <c r="P8" s="33">
        <f t="shared" si="5"/>
        <v>2</v>
      </c>
      <c r="Q8" s="46" t="s">
        <v>50</v>
      </c>
      <c r="R8" s="51" cm="1">
        <f t="array" ref="R8">R6-P5-H5-SUM(U3:U28*AB3:AB28)*0.8-R7*8</f>
        <v>36</v>
      </c>
      <c r="S8" s="23"/>
      <c r="T8" s="7" t="s">
        <v>9</v>
      </c>
      <c r="U8" s="1">
        <v>200</v>
      </c>
      <c r="V8" s="1">
        <v>60</v>
      </c>
      <c r="W8" s="42"/>
      <c r="X8" s="60">
        <v>189</v>
      </c>
      <c r="Y8" s="43">
        <v>189</v>
      </c>
      <c r="Z8" s="1">
        <f t="shared" si="1"/>
        <v>0</v>
      </c>
      <c r="AA8" s="1">
        <f t="shared" si="4"/>
        <v>0</v>
      </c>
      <c r="AB8" s="50">
        <f t="shared" si="2"/>
        <v>189</v>
      </c>
      <c r="AD8" s="56"/>
    </row>
    <row r="9" spans="1:31" x14ac:dyDescent="0.3">
      <c r="A9" s="15" t="s">
        <v>17</v>
      </c>
      <c r="B9" s="2" t="s">
        <v>4</v>
      </c>
      <c r="C9" s="3" t="s">
        <v>5</v>
      </c>
      <c r="D9" s="23"/>
      <c r="E9" s="23"/>
      <c r="F9" s="23"/>
      <c r="G9" s="23"/>
      <c r="H9" s="24"/>
      <c r="I9" s="1" t="s">
        <v>24</v>
      </c>
      <c r="J9" s="3" t="s">
        <v>5</v>
      </c>
      <c r="K9" s="15" t="s">
        <v>17</v>
      </c>
      <c r="L9" s="30" t="s">
        <v>39</v>
      </c>
      <c r="M9" s="34">
        <f>M6/M5</f>
        <v>0.42229729729729731</v>
      </c>
      <c r="N9" s="34">
        <f>N6/N5</f>
        <v>0.671875</v>
      </c>
      <c r="O9" s="34">
        <f>O6/O5</f>
        <v>0.36666666666666664</v>
      </c>
      <c r="P9" s="35">
        <f>P6/P5</f>
        <v>0.55336676217765046</v>
      </c>
      <c r="Q9" s="46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60">
        <v>5</v>
      </c>
      <c r="Y9" s="43">
        <v>0</v>
      </c>
      <c r="Z9" s="1">
        <f t="shared" si="1"/>
        <v>0</v>
      </c>
      <c r="AA9" s="1">
        <f t="shared" si="4"/>
        <v>0</v>
      </c>
      <c r="AB9" s="50">
        <f t="shared" si="2"/>
        <v>0</v>
      </c>
      <c r="AD9" s="56">
        <v>3</v>
      </c>
      <c r="AE9">
        <v>2</v>
      </c>
    </row>
    <row r="10" spans="1:31" x14ac:dyDescent="0.3">
      <c r="A10" s="2" t="s">
        <v>4</v>
      </c>
      <c r="B10" s="2" t="s">
        <v>4</v>
      </c>
      <c r="C10" s="3" t="s">
        <v>5</v>
      </c>
      <c r="D10" s="23"/>
      <c r="E10" s="23"/>
      <c r="F10" s="23"/>
      <c r="G10" s="23"/>
      <c r="H10" s="24"/>
      <c r="I10" s="3" t="s">
        <v>5</v>
      </c>
      <c r="J10" s="3" t="s">
        <v>5</v>
      </c>
      <c r="K10" s="1" t="s">
        <v>24</v>
      </c>
      <c r="L10" s="23"/>
      <c r="M10" s="23"/>
      <c r="N10" s="23"/>
      <c r="O10" s="23"/>
      <c r="P10" s="24"/>
      <c r="Q10" s="46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60">
        <v>6</v>
      </c>
      <c r="Y10" s="43">
        <v>2</v>
      </c>
      <c r="Z10" s="1">
        <f t="shared" si="1"/>
        <v>2</v>
      </c>
      <c r="AA10" s="1">
        <f t="shared" si="4"/>
        <v>0</v>
      </c>
      <c r="AB10" s="50">
        <f t="shared" si="2"/>
        <v>0</v>
      </c>
      <c r="AD10" s="56">
        <v>4</v>
      </c>
      <c r="AE10">
        <v>2</v>
      </c>
    </row>
    <row r="11" spans="1:31" x14ac:dyDescent="0.3">
      <c r="A11" s="2" t="s">
        <v>4</v>
      </c>
      <c r="B11" s="2" t="s">
        <v>4</v>
      </c>
      <c r="C11" s="2" t="s">
        <v>4</v>
      </c>
      <c r="D11" s="23"/>
      <c r="E11" s="23"/>
      <c r="F11" s="23"/>
      <c r="G11" s="23"/>
      <c r="H11" s="24"/>
      <c r="I11" s="15" t="s">
        <v>17</v>
      </c>
      <c r="J11" s="21" t="s">
        <v>26</v>
      </c>
      <c r="K11" s="1" t="s">
        <v>24</v>
      </c>
      <c r="L11" s="23"/>
      <c r="M11" s="23"/>
      <c r="N11" s="23"/>
      <c r="O11" s="23"/>
      <c r="P11" s="24">
        <f>H5+P5</f>
        <v>18492</v>
      </c>
      <c r="Q11" s="46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60">
        <v>6</v>
      </c>
      <c r="Y11" s="43">
        <v>6</v>
      </c>
      <c r="Z11" s="1">
        <f t="shared" si="1"/>
        <v>1</v>
      </c>
      <c r="AA11" s="1">
        <f t="shared" si="4"/>
        <v>0</v>
      </c>
      <c r="AB11" s="50">
        <f t="shared" si="2"/>
        <v>5</v>
      </c>
      <c r="AD11" s="56">
        <v>4</v>
      </c>
      <c r="AE11">
        <v>2</v>
      </c>
    </row>
    <row r="12" spans="1:31" x14ac:dyDescent="0.3">
      <c r="A12" s="2" t="s">
        <v>4</v>
      </c>
      <c r="B12" s="15" t="s">
        <v>17</v>
      </c>
      <c r="C12" s="4" t="s">
        <v>6</v>
      </c>
      <c r="D12" s="23"/>
      <c r="E12" s="23"/>
      <c r="F12" s="23"/>
      <c r="G12" s="23"/>
      <c r="H12" s="24"/>
      <c r="I12" s="1" t="s">
        <v>24</v>
      </c>
      <c r="J12" s="3" t="s">
        <v>5</v>
      </c>
      <c r="K12" s="1" t="s">
        <v>24</v>
      </c>
      <c r="L12" s="23"/>
      <c r="M12" s="23"/>
      <c r="N12" s="23"/>
      <c r="O12" s="23"/>
      <c r="P12" s="24">
        <f>H6+P6</f>
        <v>6490</v>
      </c>
      <c r="Q12" s="46"/>
      <c r="R12" s="23"/>
      <c r="S12" s="23"/>
      <c r="T12" s="11" t="s">
        <v>13</v>
      </c>
      <c r="U12" s="1">
        <v>150</v>
      </c>
      <c r="V12" s="1">
        <v>50</v>
      </c>
      <c r="W12" s="42"/>
      <c r="X12" s="60">
        <v>3</v>
      </c>
      <c r="Y12" s="43">
        <v>3</v>
      </c>
      <c r="Z12" s="1">
        <f t="shared" si="1"/>
        <v>0</v>
      </c>
      <c r="AA12" s="1">
        <f t="shared" si="4"/>
        <v>0</v>
      </c>
      <c r="AB12" s="50">
        <f t="shared" si="2"/>
        <v>3</v>
      </c>
      <c r="AD12" s="56">
        <v>3</v>
      </c>
    </row>
    <row r="13" spans="1:31" x14ac:dyDescent="0.3">
      <c r="A13" s="2" t="s">
        <v>4</v>
      </c>
      <c r="B13" s="2" t="s">
        <v>4</v>
      </c>
      <c r="C13" s="4" t="s">
        <v>6</v>
      </c>
      <c r="D13" s="23"/>
      <c r="E13" s="23"/>
      <c r="F13" s="23"/>
      <c r="G13" s="23"/>
      <c r="H13" s="24"/>
      <c r="I13" s="1" t="s">
        <v>24</v>
      </c>
      <c r="J13" s="3" t="s">
        <v>5</v>
      </c>
      <c r="K13" s="1" t="s">
        <v>24</v>
      </c>
      <c r="L13" s="23"/>
      <c r="M13" s="23"/>
      <c r="N13" s="23"/>
      <c r="O13" s="23"/>
      <c r="P13" s="24"/>
      <c r="Q13" s="46"/>
      <c r="R13" s="23"/>
      <c r="S13" s="23"/>
      <c r="T13" s="12" t="s">
        <v>14</v>
      </c>
      <c r="U13" s="1">
        <v>150</v>
      </c>
      <c r="V13" s="1">
        <v>55</v>
      </c>
      <c r="W13" s="42"/>
      <c r="X13" s="60">
        <v>3</v>
      </c>
      <c r="Y13" s="43">
        <v>3</v>
      </c>
      <c r="Z13" s="1">
        <f t="shared" si="1"/>
        <v>0</v>
      </c>
      <c r="AA13" s="1">
        <f t="shared" si="4"/>
        <v>0</v>
      </c>
      <c r="AB13" s="50">
        <f t="shared" si="2"/>
        <v>3</v>
      </c>
      <c r="AD13" s="56">
        <v>3</v>
      </c>
    </row>
    <row r="14" spans="1:31" x14ac:dyDescent="0.3">
      <c r="A14" s="2" t="s">
        <v>4</v>
      </c>
      <c r="B14" s="2" t="s">
        <v>4</v>
      </c>
      <c r="C14" s="4" t="s">
        <v>6</v>
      </c>
      <c r="D14" s="23"/>
      <c r="E14" s="23"/>
      <c r="F14" s="23"/>
      <c r="G14" s="23"/>
      <c r="H14" s="24"/>
      <c r="I14" s="1" t="s">
        <v>24</v>
      </c>
      <c r="J14" s="15" t="s">
        <v>17</v>
      </c>
      <c r="K14" s="1" t="s">
        <v>24</v>
      </c>
      <c r="L14" s="23"/>
      <c r="M14" s="23"/>
      <c r="N14" s="23"/>
      <c r="O14" s="23"/>
      <c r="P14" s="24"/>
      <c r="Q14" s="46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60">
        <v>1</v>
      </c>
      <c r="Y14" s="43">
        <v>1</v>
      </c>
      <c r="Z14" s="1">
        <f t="shared" si="1"/>
        <v>0</v>
      </c>
      <c r="AA14" s="1">
        <f t="shared" si="4"/>
        <v>0</v>
      </c>
      <c r="AB14" s="50">
        <f t="shared" si="2"/>
        <v>1</v>
      </c>
      <c r="AD14" s="56">
        <v>1</v>
      </c>
    </row>
    <row r="15" spans="1:31" x14ac:dyDescent="0.3">
      <c r="A15" s="2" t="s">
        <v>4</v>
      </c>
      <c r="B15" s="3" t="s">
        <v>5</v>
      </c>
      <c r="C15" s="17" t="s">
        <v>64</v>
      </c>
      <c r="D15" s="23"/>
      <c r="E15" s="23"/>
      <c r="F15" s="23"/>
      <c r="G15" s="23"/>
      <c r="H15" s="24"/>
      <c r="I15" s="1" t="s">
        <v>24</v>
      </c>
      <c r="J15" s="3" t="s">
        <v>5</v>
      </c>
      <c r="K15" s="1" t="s">
        <v>24</v>
      </c>
      <c r="L15" s="23"/>
      <c r="M15" s="23"/>
      <c r="N15" s="23"/>
      <c r="O15" s="23"/>
      <c r="P15" s="24"/>
      <c r="Q15" s="46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60"/>
      <c r="Y15" s="43">
        <v>0</v>
      </c>
      <c r="Z15" s="1">
        <f t="shared" si="1"/>
        <v>0</v>
      </c>
      <c r="AA15" s="1">
        <f t="shared" si="4"/>
        <v>0</v>
      </c>
      <c r="AB15" s="50">
        <f t="shared" si="2"/>
        <v>0</v>
      </c>
      <c r="AD15" s="56"/>
    </row>
    <row r="16" spans="1:31" x14ac:dyDescent="0.3">
      <c r="A16" s="2" t="s">
        <v>4</v>
      </c>
      <c r="B16" s="15" t="s">
        <v>17</v>
      </c>
      <c r="C16" s="4" t="s">
        <v>6</v>
      </c>
      <c r="D16" s="23"/>
      <c r="E16" s="23"/>
      <c r="F16" s="23"/>
      <c r="G16" s="23"/>
      <c r="H16" s="24"/>
      <c r="I16" s="1" t="s">
        <v>24</v>
      </c>
      <c r="J16" s="3" t="s">
        <v>5</v>
      </c>
      <c r="K16" s="1" t="s">
        <v>24</v>
      </c>
      <c r="L16" s="23"/>
      <c r="M16" s="23"/>
      <c r="N16" s="23"/>
      <c r="O16" s="23"/>
      <c r="P16" s="24"/>
      <c r="Q16" s="46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60">
        <v>40</v>
      </c>
      <c r="Y16" s="43">
        <v>40</v>
      </c>
      <c r="Z16" s="1">
        <f t="shared" si="1"/>
        <v>12</v>
      </c>
      <c r="AA16" s="1">
        <f t="shared" si="4"/>
        <v>9</v>
      </c>
      <c r="AB16" s="50">
        <f t="shared" si="2"/>
        <v>19</v>
      </c>
      <c r="AD16" s="56"/>
    </row>
    <row r="17" spans="1:30" x14ac:dyDescent="0.3">
      <c r="A17" s="15" t="s">
        <v>17</v>
      </c>
      <c r="B17" s="3" t="s">
        <v>5</v>
      </c>
      <c r="C17" s="1" t="s">
        <v>24</v>
      </c>
      <c r="D17" s="23"/>
      <c r="E17" s="23"/>
      <c r="F17" s="23"/>
      <c r="G17" s="23"/>
      <c r="H17" s="24"/>
      <c r="I17" s="1" t="s">
        <v>24</v>
      </c>
      <c r="J17" s="2" t="s">
        <v>4</v>
      </c>
      <c r="K17" s="1" t="s">
        <v>24</v>
      </c>
      <c r="L17" s="23"/>
      <c r="M17" s="23"/>
      <c r="N17" s="23"/>
      <c r="O17" s="23"/>
      <c r="P17" s="24"/>
      <c r="Q17" s="46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60">
        <v>2</v>
      </c>
      <c r="Y17" s="43">
        <v>2</v>
      </c>
      <c r="Z17" s="1">
        <f t="shared" si="1"/>
        <v>2</v>
      </c>
      <c r="AA17" s="1">
        <f t="shared" si="4"/>
        <v>0</v>
      </c>
      <c r="AB17" s="50">
        <f t="shared" si="2"/>
        <v>0</v>
      </c>
      <c r="AD17" s="56"/>
    </row>
    <row r="18" spans="1:30" x14ac:dyDescent="0.3">
      <c r="A18" s="2" t="s">
        <v>4</v>
      </c>
      <c r="B18" s="4" t="s">
        <v>6</v>
      </c>
      <c r="C18" s="1" t="s">
        <v>24</v>
      </c>
      <c r="D18" s="23"/>
      <c r="E18" s="23"/>
      <c r="F18" s="23"/>
      <c r="G18" s="23"/>
      <c r="H18" s="24"/>
      <c r="I18" s="1" t="s">
        <v>24</v>
      </c>
      <c r="J18" s="3" t="s">
        <v>5</v>
      </c>
      <c r="K18" s="1" t="s">
        <v>24</v>
      </c>
      <c r="L18" s="23"/>
      <c r="M18" s="23"/>
      <c r="N18" s="23"/>
      <c r="O18" s="23"/>
      <c r="P18" s="24"/>
      <c r="Q18" s="46"/>
      <c r="R18" s="23"/>
      <c r="S18" s="23"/>
      <c r="T18" s="17" t="s">
        <v>19</v>
      </c>
      <c r="U18" s="1">
        <v>250</v>
      </c>
      <c r="V18" s="1">
        <v>300</v>
      </c>
      <c r="W18" s="42"/>
      <c r="X18" s="60">
        <v>3</v>
      </c>
      <c r="Y18" s="43">
        <v>3</v>
      </c>
      <c r="Z18" s="1">
        <f t="shared" si="1"/>
        <v>3</v>
      </c>
      <c r="AA18" s="1">
        <f t="shared" si="4"/>
        <v>0</v>
      </c>
      <c r="AB18" s="50">
        <f t="shared" si="2"/>
        <v>0</v>
      </c>
      <c r="AD18" s="56"/>
    </row>
    <row r="19" spans="1:30" x14ac:dyDescent="0.3">
      <c r="A19" s="2" t="s">
        <v>4</v>
      </c>
      <c r="B19" s="4" t="s">
        <v>6</v>
      </c>
      <c r="C19" s="15" t="s">
        <v>17</v>
      </c>
      <c r="D19" s="23"/>
      <c r="E19" s="23"/>
      <c r="F19" s="23"/>
      <c r="G19" s="23"/>
      <c r="H19" s="24"/>
      <c r="I19" s="1" t="s">
        <v>24</v>
      </c>
      <c r="J19" s="3" t="s">
        <v>5</v>
      </c>
      <c r="K19" s="1" t="s">
        <v>24</v>
      </c>
      <c r="L19" s="23"/>
      <c r="M19" s="23"/>
      <c r="N19" s="23"/>
      <c r="O19" s="23"/>
      <c r="P19" s="24"/>
      <c r="Q19" s="46"/>
      <c r="R19" s="23"/>
      <c r="S19" s="23"/>
      <c r="T19" s="17" t="s">
        <v>64</v>
      </c>
      <c r="U19" s="1">
        <v>170</v>
      </c>
      <c r="V19" s="1">
        <v>45</v>
      </c>
      <c r="W19" s="42"/>
      <c r="X19" s="60">
        <v>5</v>
      </c>
      <c r="Y19" s="43">
        <v>5</v>
      </c>
      <c r="Z19" s="1">
        <f t="shared" si="1"/>
        <v>5</v>
      </c>
      <c r="AA19" s="1">
        <f t="shared" si="4"/>
        <v>0</v>
      </c>
      <c r="AB19" s="50">
        <f t="shared" si="2"/>
        <v>0</v>
      </c>
      <c r="AD19" s="56"/>
    </row>
    <row r="20" spans="1:30" x14ac:dyDescent="0.3">
      <c r="A20" s="2" t="s">
        <v>4</v>
      </c>
      <c r="B20" s="16" t="s">
        <v>18</v>
      </c>
      <c r="C20" s="4" t="s">
        <v>6</v>
      </c>
      <c r="D20" s="23"/>
      <c r="E20" s="23"/>
      <c r="F20" s="23"/>
      <c r="G20" s="23"/>
      <c r="H20" s="24"/>
      <c r="I20" s="1" t="s">
        <v>24</v>
      </c>
      <c r="J20" s="15" t="s">
        <v>17</v>
      </c>
      <c r="K20" s="1" t="s">
        <v>24</v>
      </c>
      <c r="L20" s="23"/>
      <c r="M20" s="23"/>
      <c r="N20" s="23"/>
      <c r="O20" s="23"/>
      <c r="P20" s="24"/>
      <c r="Q20" s="46"/>
      <c r="R20" s="23"/>
      <c r="S20" s="23"/>
      <c r="T20" s="17" t="s">
        <v>63</v>
      </c>
      <c r="U20" s="1">
        <v>250</v>
      </c>
      <c r="V20" s="1">
        <v>400</v>
      </c>
      <c r="W20" s="42"/>
      <c r="X20" s="60">
        <v>0</v>
      </c>
      <c r="Y20" s="43">
        <v>0</v>
      </c>
      <c r="Z20" s="1">
        <f t="shared" si="1"/>
        <v>0</v>
      </c>
      <c r="AA20" s="1">
        <f t="shared" si="4"/>
        <v>0</v>
      </c>
      <c r="AB20" s="50">
        <f t="shared" si="2"/>
        <v>0</v>
      </c>
      <c r="AD20" s="56"/>
    </row>
    <row r="21" spans="1:30" x14ac:dyDescent="0.3">
      <c r="A21" s="4" t="s">
        <v>6</v>
      </c>
      <c r="B21" s="4" t="s">
        <v>6</v>
      </c>
      <c r="C21" s="4" t="s">
        <v>6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6"/>
      <c r="R21" s="23"/>
      <c r="S21" s="23"/>
      <c r="T21" s="18" t="s">
        <v>20</v>
      </c>
      <c r="U21" s="1">
        <v>250</v>
      </c>
      <c r="V21" s="1">
        <v>1000</v>
      </c>
      <c r="W21" s="42"/>
      <c r="X21" s="60">
        <v>2</v>
      </c>
      <c r="Y21" s="43">
        <v>2</v>
      </c>
      <c r="Z21" s="1">
        <f t="shared" si="1"/>
        <v>0</v>
      </c>
      <c r="AA21" s="1">
        <f t="shared" si="4"/>
        <v>0</v>
      </c>
      <c r="AB21" s="50">
        <f t="shared" si="2"/>
        <v>2</v>
      </c>
      <c r="AD21" s="56"/>
    </row>
    <row r="22" spans="1:30" x14ac:dyDescent="0.3">
      <c r="A22" s="4" t="s">
        <v>6</v>
      </c>
      <c r="B22" s="17" t="s">
        <v>19</v>
      </c>
      <c r="C22" s="4" t="s">
        <v>6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6"/>
      <c r="R22" s="23"/>
      <c r="S22" s="23"/>
      <c r="T22" s="19" t="s">
        <v>21</v>
      </c>
      <c r="U22" s="1">
        <v>250</v>
      </c>
      <c r="V22" s="1">
        <v>500</v>
      </c>
      <c r="W22" s="42"/>
      <c r="X22" s="60">
        <v>2</v>
      </c>
      <c r="Y22" s="43">
        <v>2</v>
      </c>
      <c r="Z22" s="1">
        <f t="shared" si="1"/>
        <v>0</v>
      </c>
      <c r="AA22" s="1">
        <f t="shared" si="4"/>
        <v>0</v>
      </c>
      <c r="AB22" s="50">
        <f t="shared" si="2"/>
        <v>2</v>
      </c>
      <c r="AD22" s="56"/>
    </row>
    <row r="23" spans="1:30" x14ac:dyDescent="0.3">
      <c r="A23" s="4" t="s">
        <v>6</v>
      </c>
      <c r="B23" s="4" t="s">
        <v>6</v>
      </c>
      <c r="C23" s="4" t="s">
        <v>6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6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60">
        <v>0</v>
      </c>
      <c r="Y23" s="43">
        <v>0</v>
      </c>
      <c r="Z23" s="1">
        <f t="shared" si="1"/>
        <v>0</v>
      </c>
      <c r="AA23" s="1">
        <f t="shared" si="4"/>
        <v>0</v>
      </c>
      <c r="AB23" s="50">
        <f t="shared" si="2"/>
        <v>0</v>
      </c>
      <c r="AD23" s="56"/>
    </row>
    <row r="24" spans="1:30" x14ac:dyDescent="0.3">
      <c r="A24" s="17" t="s">
        <v>64</v>
      </c>
      <c r="B24" s="4" t="s">
        <v>6</v>
      </c>
      <c r="C24" s="4" t="s">
        <v>6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6"/>
      <c r="R24" s="23"/>
      <c r="S24" s="23"/>
      <c r="T24" s="55" t="s">
        <v>22</v>
      </c>
      <c r="U24" s="1">
        <v>160</v>
      </c>
      <c r="V24" s="1">
        <v>40</v>
      </c>
      <c r="W24" s="42">
        <f t="shared" si="8"/>
        <v>39.110982162825422</v>
      </c>
      <c r="X24" s="60">
        <v>0</v>
      </c>
      <c r="Y24" s="43">
        <v>0</v>
      </c>
      <c r="Z24" s="1">
        <f t="shared" si="1"/>
        <v>0</v>
      </c>
      <c r="AA24" s="1">
        <f t="shared" si="4"/>
        <v>0</v>
      </c>
      <c r="AB24" s="50">
        <f t="shared" si="2"/>
        <v>0</v>
      </c>
      <c r="AD24" s="56"/>
    </row>
    <row r="25" spans="1:30" x14ac:dyDescent="0.3">
      <c r="A25" s="3" t="s">
        <v>5</v>
      </c>
      <c r="B25" s="3" t="s">
        <v>5</v>
      </c>
      <c r="C25" s="4" t="s">
        <v>6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6"/>
      <c r="R25" s="23"/>
      <c r="S25" s="23"/>
      <c r="T25" s="55" t="s">
        <v>23</v>
      </c>
      <c r="U25" s="1">
        <v>150</v>
      </c>
      <c r="V25" s="1">
        <v>35</v>
      </c>
      <c r="W25" s="42">
        <f t="shared" si="8"/>
        <v>44.222109392472248</v>
      </c>
      <c r="X25" s="60">
        <v>0</v>
      </c>
      <c r="Y25" s="43">
        <v>0</v>
      </c>
      <c r="Z25" s="1">
        <f t="shared" si="1"/>
        <v>0</v>
      </c>
      <c r="AA25" s="1">
        <f t="shared" si="4"/>
        <v>0</v>
      </c>
      <c r="AB25" s="50">
        <f t="shared" si="2"/>
        <v>0</v>
      </c>
      <c r="AD25" s="56"/>
    </row>
    <row r="26" spans="1:30" x14ac:dyDescent="0.3">
      <c r="A26" s="3" t="s">
        <v>5</v>
      </c>
      <c r="B26" s="3" t="s">
        <v>5</v>
      </c>
      <c r="C26" s="4" t="s">
        <v>6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6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60">
        <v>0</v>
      </c>
      <c r="Y26" s="43">
        <v>0</v>
      </c>
      <c r="Z26" s="1"/>
      <c r="AA26" s="1"/>
      <c r="AB26" s="50"/>
      <c r="AD26" s="56"/>
    </row>
    <row r="27" spans="1:30" x14ac:dyDescent="0.3">
      <c r="A27" s="3" t="s">
        <v>5</v>
      </c>
      <c r="B27" s="15" t="s">
        <v>17</v>
      </c>
      <c r="C27" s="17" t="s">
        <v>64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6"/>
      <c r="R27" s="23"/>
      <c r="S27" s="23"/>
      <c r="T27" s="16" t="s">
        <v>25</v>
      </c>
      <c r="U27" s="1">
        <v>-200</v>
      </c>
      <c r="V27" s="1">
        <v>0</v>
      </c>
      <c r="W27" s="42"/>
      <c r="X27" s="60">
        <v>13</v>
      </c>
      <c r="Y27" s="43">
        <v>13</v>
      </c>
      <c r="Z27" s="1">
        <f t="shared" si="1"/>
        <v>0</v>
      </c>
      <c r="AA27" s="1">
        <f t="shared" si="4"/>
        <v>0</v>
      </c>
      <c r="AB27" s="50">
        <f t="shared" si="2"/>
        <v>13</v>
      </c>
      <c r="AD27" s="56"/>
    </row>
    <row r="28" spans="1:30" x14ac:dyDescent="0.3">
      <c r="A28" s="9" t="s">
        <v>11</v>
      </c>
      <c r="B28" s="4" t="s">
        <v>6</v>
      </c>
      <c r="C28" s="1" t="s">
        <v>24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6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60">
        <v>3</v>
      </c>
      <c r="Y28" s="43">
        <v>3</v>
      </c>
      <c r="Z28" s="1">
        <f t="shared" si="1"/>
        <v>0</v>
      </c>
      <c r="AA28" s="1">
        <f t="shared" si="4"/>
        <v>1</v>
      </c>
      <c r="AB28" s="50">
        <f t="shared" si="2"/>
        <v>2</v>
      </c>
      <c r="AD28" s="56"/>
    </row>
    <row r="29" spans="1:30" ht="15" thickBot="1" x14ac:dyDescent="0.35">
      <c r="A29" s="3" t="s">
        <v>5</v>
      </c>
      <c r="B29" s="3" t="s">
        <v>5</v>
      </c>
      <c r="C29" s="1" t="s">
        <v>24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2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3"/>
      <c r="AD29" s="56"/>
    </row>
    <row r="30" spans="1:30" x14ac:dyDescent="0.3">
      <c r="A30" s="15" t="s">
        <v>17</v>
      </c>
      <c r="B30" s="3" t="s">
        <v>5</v>
      </c>
      <c r="C30" s="1" t="s">
        <v>24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3">
      <c r="A31" s="3" t="s">
        <v>5</v>
      </c>
      <c r="B31" s="3" t="s">
        <v>5</v>
      </c>
      <c r="C31" s="1" t="s">
        <v>24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1063</v>
      </c>
      <c r="AB31">
        <f>SUM(AB3:AB28)</f>
        <v>926</v>
      </c>
    </row>
    <row r="32" spans="1:30" x14ac:dyDescent="0.3">
      <c r="A32" s="9" t="s">
        <v>11</v>
      </c>
      <c r="B32" s="4" t="s">
        <v>6</v>
      </c>
      <c r="C32" s="1" t="s">
        <v>24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3">
      <c r="A33" s="4" t="s">
        <v>6</v>
      </c>
      <c r="B33" s="4" t="s">
        <v>6</v>
      </c>
      <c r="C33" s="1" t="s">
        <v>24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3">
      <c r="A34" s="4" t="s">
        <v>6</v>
      </c>
      <c r="B34" s="17" t="s">
        <v>64</v>
      </c>
      <c r="C34" s="1" t="s">
        <v>24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3">
      <c r="A35" s="17" t="s">
        <v>19</v>
      </c>
      <c r="B35" s="1" t="s">
        <v>24</v>
      </c>
      <c r="C35" s="1" t="s">
        <v>24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3">
      <c r="A36" s="1" t="s">
        <v>24</v>
      </c>
      <c r="B36" s="1" t="s">
        <v>24</v>
      </c>
      <c r="C36" s="1" t="s">
        <v>24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3">
      <c r="A37" s="2" t="s">
        <v>4</v>
      </c>
      <c r="B37" s="1" t="s">
        <v>24</v>
      </c>
      <c r="C37" s="1" t="s">
        <v>24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3">
      <c r="A38" s="2" t="s">
        <v>4</v>
      </c>
      <c r="B38" s="1" t="s">
        <v>24</v>
      </c>
      <c r="C38" s="1" t="s">
        <v>24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3">
      <c r="A39" s="2" t="s">
        <v>4</v>
      </c>
      <c r="B39" s="1" t="s">
        <v>24</v>
      </c>
      <c r="C39" s="1" t="s">
        <v>24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3">
      <c r="A40" s="3" t="s">
        <v>5</v>
      </c>
      <c r="B40" s="1" t="s">
        <v>24</v>
      </c>
      <c r="C40" s="1" t="s">
        <v>24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3">
      <c r="A41" s="15" t="s">
        <v>17</v>
      </c>
      <c r="B41" s="1" t="s">
        <v>24</v>
      </c>
      <c r="C41" s="1" t="s">
        <v>24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3">
      <c r="A42" s="3" t="s">
        <v>5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3">
      <c r="A43" s="3" t="s">
        <v>5</v>
      </c>
      <c r="B43" s="1" t="s">
        <v>24</v>
      </c>
      <c r="C43" s="1" t="s">
        <v>24</v>
      </c>
      <c r="D43" s="23"/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3">
      <c r="A44" s="4" t="s">
        <v>6</v>
      </c>
      <c r="B44" s="1" t="s">
        <v>24</v>
      </c>
      <c r="C44" s="1" t="s">
        <v>24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3">
      <c r="A45" s="4" t="s">
        <v>6</v>
      </c>
      <c r="B45" s="1" t="s">
        <v>24</v>
      </c>
      <c r="C45" s="1" t="s">
        <v>24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3">
      <c r="A46" s="15" t="s">
        <v>17</v>
      </c>
      <c r="B46" s="1" t="s">
        <v>24</v>
      </c>
      <c r="C46" s="1" t="s">
        <v>24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3">
      <c r="A47" s="4" t="s">
        <v>6</v>
      </c>
      <c r="B47" s="1" t="s">
        <v>24</v>
      </c>
      <c r="C47" s="1" t="s">
        <v>24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3">
      <c r="A48" s="17" t="s">
        <v>19</v>
      </c>
      <c r="B48" s="1" t="s">
        <v>24</v>
      </c>
      <c r="C48" s="1" t="s">
        <v>24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3">
      <c r="A49" s="4" t="s">
        <v>6</v>
      </c>
      <c r="B49" s="1" t="s">
        <v>24</v>
      </c>
      <c r="C49" s="1" t="s">
        <v>24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3">
      <c r="A50" s="4" t="s">
        <v>6</v>
      </c>
      <c r="B50" s="1" t="s">
        <v>24</v>
      </c>
      <c r="C50" s="1" t="s">
        <v>24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3">
      <c r="A51" s="16" t="s">
        <v>18</v>
      </c>
      <c r="B51" s="1" t="s">
        <v>24</v>
      </c>
      <c r="C51" s="1" t="s">
        <v>24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3">
      <c r="A52" s="4" t="s">
        <v>6</v>
      </c>
      <c r="B52" s="1" t="s">
        <v>24</v>
      </c>
      <c r="C52" s="1" t="s">
        <v>24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3">
      <c r="A53" s="4" t="s">
        <v>6</v>
      </c>
      <c r="B53" s="1" t="s">
        <v>24</v>
      </c>
      <c r="C53" s="1" t="s">
        <v>24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3">
      <c r="A54" s="15" t="s">
        <v>17</v>
      </c>
      <c r="B54" s="1" t="s">
        <v>24</v>
      </c>
      <c r="C54" s="1" t="s">
        <v>24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3">
      <c r="A55" s="4" t="s">
        <v>6</v>
      </c>
      <c r="B55" s="1" t="s">
        <v>24</v>
      </c>
      <c r="C55" s="1" t="s">
        <v>24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3">
      <c r="A56" s="4" t="s">
        <v>6</v>
      </c>
      <c r="B56" s="1" t="s">
        <v>24</v>
      </c>
      <c r="C56" s="1" t="s">
        <v>24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3">
      <c r="A57" s="10" t="s">
        <v>12</v>
      </c>
      <c r="B57" s="1" t="s">
        <v>24</v>
      </c>
      <c r="C57" s="1" t="s">
        <v>24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3">
      <c r="A58" s="4" t="s">
        <v>6</v>
      </c>
      <c r="B58" s="1" t="s">
        <v>24</v>
      </c>
      <c r="C58" s="1" t="s">
        <v>24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3">
      <c r="A59" s="17" t="s">
        <v>64</v>
      </c>
      <c r="B59" s="1" t="s">
        <v>24</v>
      </c>
      <c r="C59" s="1" t="s">
        <v>24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3">
      <c r="A60" s="1" t="s">
        <v>24</v>
      </c>
      <c r="B60" s="1" t="s">
        <v>24</v>
      </c>
      <c r="C60" s="1" t="s">
        <v>24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3">
      <c r="A61" s="1" t="s">
        <v>24</v>
      </c>
      <c r="B61" s="1" t="s">
        <v>24</v>
      </c>
      <c r="C61" s="1" t="s">
        <v>24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3">
      <c r="A62" s="1" t="s">
        <v>24</v>
      </c>
      <c r="B62" s="1" t="s">
        <v>24</v>
      </c>
      <c r="C62" s="1" t="s">
        <v>24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3">
      <c r="A63" s="1" t="s">
        <v>24</v>
      </c>
      <c r="B63" s="1" t="s">
        <v>24</v>
      </c>
      <c r="C63" s="1" t="s">
        <v>24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3">
      <c r="A64" s="1" t="s">
        <v>24</v>
      </c>
      <c r="B64" s="1" t="s">
        <v>24</v>
      </c>
      <c r="C64" s="1" t="s">
        <v>24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3">
      <c r="A65" s="1" t="s">
        <v>24</v>
      </c>
      <c r="B65" s="1" t="s">
        <v>24</v>
      </c>
      <c r="C65" s="1" t="s">
        <v>24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3">
      <c r="A66" s="1" t="s">
        <v>24</v>
      </c>
      <c r="B66" s="1" t="s">
        <v>24</v>
      </c>
      <c r="C66" s="1" t="s">
        <v>24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3">
      <c r="A67" s="1" t="s">
        <v>24</v>
      </c>
      <c r="B67" s="1" t="s">
        <v>24</v>
      </c>
      <c r="C67" s="1" t="s">
        <v>24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3">
      <c r="A68" s="1" t="s">
        <v>24</v>
      </c>
      <c r="B68" s="1" t="s">
        <v>24</v>
      </c>
      <c r="C68" s="1" t="s">
        <v>24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3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3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3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3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3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3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3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3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3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3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3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3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3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3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3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3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3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3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3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3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3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3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3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3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3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3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3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3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3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3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3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" thickBot="1" x14ac:dyDescent="0.35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5FA6-7635-494D-9CD7-6F562309FE02}">
  <dimension ref="A1:AE100"/>
  <sheetViews>
    <sheetView tabSelected="1" zoomScaleNormal="100" workbookViewId="0">
      <selection activeCell="AK22" sqref="AK22"/>
    </sheetView>
  </sheetViews>
  <sheetFormatPr defaultRowHeight="14.4" x14ac:dyDescent="0.3"/>
  <cols>
    <col min="23" max="23" width="8.88671875" customWidth="1"/>
  </cols>
  <sheetData>
    <row r="1" spans="1:31" ht="15.6" x14ac:dyDescent="0.3">
      <c r="A1" s="63" t="s">
        <v>27</v>
      </c>
      <c r="B1" s="64"/>
      <c r="C1" s="64"/>
      <c r="D1" s="64"/>
      <c r="E1" s="64"/>
      <c r="F1" s="65" t="s">
        <v>3</v>
      </c>
      <c r="G1" s="65"/>
      <c r="H1" s="22" cm="1">
        <f t="array" ref="H1">SUM(VLOOKUP(A4:C100,$T$3:$W$36,4,FALSE))+H4*10-H8*50</f>
        <v>3486.8829250306785</v>
      </c>
      <c r="I1" s="66" t="s">
        <v>38</v>
      </c>
      <c r="J1" s="67"/>
      <c r="K1" s="67"/>
      <c r="L1" s="67"/>
      <c r="M1" s="67"/>
      <c r="N1" s="67"/>
      <c r="O1" s="67"/>
      <c r="P1" s="68"/>
      <c r="Q1" s="66" t="s">
        <v>45</v>
      </c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</row>
    <row r="2" spans="1:31" ht="28.8" x14ac:dyDescent="0.3">
      <c r="A2" s="69" t="s">
        <v>32</v>
      </c>
      <c r="B2" s="70"/>
      <c r="C2" s="70"/>
      <c r="D2" s="71" t="s">
        <v>34</v>
      </c>
      <c r="E2" s="72"/>
      <c r="F2" s="72"/>
      <c r="G2" s="72"/>
      <c r="H2" s="73"/>
      <c r="I2" s="74" t="s">
        <v>32</v>
      </c>
      <c r="J2" s="75"/>
      <c r="K2" s="75"/>
      <c r="L2" s="76" t="s">
        <v>34</v>
      </c>
      <c r="M2" s="76"/>
      <c r="N2" s="76"/>
      <c r="O2" s="76"/>
      <c r="P2" s="77"/>
      <c r="Q2" s="46" t="s">
        <v>40</v>
      </c>
      <c r="R2" s="47" cm="1">
        <f t="array" ref="R2">SUM(V3:V28*AB3:AB28)+H6+P6+R4*500</f>
        <v>64715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60" t="s">
        <v>41</v>
      </c>
      <c r="Y2" s="43" t="s">
        <v>52</v>
      </c>
      <c r="Z2" s="44" t="s">
        <v>42</v>
      </c>
      <c r="AA2" s="44" t="s">
        <v>43</v>
      </c>
      <c r="AB2" s="48" t="s">
        <v>44</v>
      </c>
      <c r="AD2" s="23"/>
    </row>
    <row r="3" spans="1:31" x14ac:dyDescent="0.3">
      <c r="A3" s="57" t="s">
        <v>28</v>
      </c>
      <c r="B3" s="62" t="s">
        <v>29</v>
      </c>
      <c r="C3" s="19" t="s">
        <v>30</v>
      </c>
      <c r="D3" s="30"/>
      <c r="E3" s="57" t="s">
        <v>28</v>
      </c>
      <c r="F3" s="62" t="s">
        <v>29</v>
      </c>
      <c r="G3" s="19" t="s">
        <v>30</v>
      </c>
      <c r="H3" s="31" t="s">
        <v>33</v>
      </c>
      <c r="I3" s="57" t="s">
        <v>28</v>
      </c>
      <c r="J3" s="62" t="s">
        <v>29</v>
      </c>
      <c r="K3" s="19" t="s">
        <v>30</v>
      </c>
      <c r="L3" s="30"/>
      <c r="M3" s="57" t="s">
        <v>28</v>
      </c>
      <c r="N3" s="62" t="s">
        <v>29</v>
      </c>
      <c r="O3" s="19" t="s">
        <v>30</v>
      </c>
      <c r="P3" s="31" t="s">
        <v>33</v>
      </c>
      <c r="Q3" s="49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60"/>
      <c r="Y3" s="43">
        <v>32</v>
      </c>
      <c r="Z3" s="1">
        <f>COUNTIF($A$4:$C$100,T3)</f>
        <v>31</v>
      </c>
      <c r="AA3" s="1">
        <f>COUNTIF($I$4:$K$100,T3)</f>
        <v>1</v>
      </c>
      <c r="AB3" s="50">
        <f>Y3-Z3-AA3</f>
        <v>0</v>
      </c>
      <c r="AD3" s="56"/>
    </row>
    <row r="4" spans="1:31" x14ac:dyDescent="0.3">
      <c r="A4" s="2" t="s">
        <v>4</v>
      </c>
      <c r="B4" s="15" t="s">
        <v>17</v>
      </c>
      <c r="C4" s="2" t="s">
        <v>4</v>
      </c>
      <c r="D4" s="40" t="s">
        <v>31</v>
      </c>
      <c r="E4" s="36">
        <v>6</v>
      </c>
      <c r="F4" s="36">
        <v>0</v>
      </c>
      <c r="G4" s="36">
        <v>1</v>
      </c>
      <c r="H4" s="33">
        <f>SUM(E4:G4)</f>
        <v>7</v>
      </c>
      <c r="I4" s="3" t="s">
        <v>5</v>
      </c>
      <c r="J4" s="15" t="s">
        <v>17</v>
      </c>
      <c r="K4" s="3" t="s">
        <v>5</v>
      </c>
      <c r="L4" s="40" t="s">
        <v>31</v>
      </c>
      <c r="M4" s="36">
        <v>0</v>
      </c>
      <c r="N4" s="36">
        <v>5</v>
      </c>
      <c r="O4" s="36">
        <v>0</v>
      </c>
      <c r="P4" s="33">
        <f>SUM(M4:O4)</f>
        <v>5</v>
      </c>
      <c r="Q4" s="49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60"/>
      <c r="Y4" s="43">
        <v>33</v>
      </c>
      <c r="Z4" s="1">
        <f t="shared" ref="Z4:Z28" si="1">COUNTIF($A$4:$C$100,T4)</f>
        <v>15</v>
      </c>
      <c r="AA4" s="1">
        <f>COUNTIF($I$4:$K$100,T4)</f>
        <v>18</v>
      </c>
      <c r="AB4" s="50">
        <f t="shared" ref="AB4:AB28" si="2">Y4-Z4-AA4</f>
        <v>0</v>
      </c>
      <c r="AD4" s="56"/>
    </row>
    <row r="5" spans="1:31" x14ac:dyDescent="0.3">
      <c r="A5" s="2" t="s">
        <v>4</v>
      </c>
      <c r="B5" s="2" t="s">
        <v>4</v>
      </c>
      <c r="C5" s="2" t="s">
        <v>4</v>
      </c>
      <c r="D5" s="30" t="s">
        <v>35</v>
      </c>
      <c r="E5" s="32" cm="1">
        <f t="array" ref="E5">(SUM(VLOOKUP(A4:A100,$T$3:$W$41,2,FALSE))+E4*10)-E8*50</f>
        <v>7980</v>
      </c>
      <c r="F5" s="32" cm="1">
        <f t="array" ref="F5">(SUM(VLOOKUP(B4:B100,$T$3:$W$41,2,FALSE))+F4*10)-F8*50</f>
        <v>4280</v>
      </c>
      <c r="G5" s="32" cm="1">
        <f t="array" ref="G5">(SUM(VLOOKUP(C4:C100,$T$3:$W$41,2,FALSE))+G4*10)-G8*50</f>
        <v>3450</v>
      </c>
      <c r="H5" s="54">
        <f t="shared" ref="H5:H8" si="3">SUM(E5:G5)</f>
        <v>15710</v>
      </c>
      <c r="I5" s="15" t="s">
        <v>17</v>
      </c>
      <c r="J5" s="3" t="s">
        <v>5</v>
      </c>
      <c r="K5" s="15" t="s">
        <v>17</v>
      </c>
      <c r="L5" s="30" t="s">
        <v>35</v>
      </c>
      <c r="M5" s="32" cm="1">
        <f t="array" ref="M5">(SUM(VLOOKUP(I4:I100,$T$3:$W$41,2,FALSE))+M4*10)*0.8-M8*40</f>
        <v>592</v>
      </c>
      <c r="N5" s="32" cm="1">
        <f t="array" ref="N5">(SUM(VLOOKUP(J4:J100,$T$3:$W$41,2,FALSE))+N4*10)*0.8-N8*40</f>
        <v>1600</v>
      </c>
      <c r="O5" s="32" cm="1">
        <f t="array" ref="O5">(SUM(VLOOKUP(K4:K100,$T$3:$W$41,2,FALSE))+O4*10)*0.8-O8*40</f>
        <v>592</v>
      </c>
      <c r="P5" s="54">
        <f>SUM(M5:O5)</f>
        <v>2784</v>
      </c>
      <c r="Q5" s="49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61"/>
      <c r="Y5" s="43">
        <v>210</v>
      </c>
      <c r="Z5" s="1">
        <f t="shared" si="1"/>
        <v>37</v>
      </c>
      <c r="AA5" s="1">
        <f t="shared" ref="AA5:AA28" si="4">COUNTIF($I$4:$K$100,T5)</f>
        <v>0</v>
      </c>
      <c r="AB5" s="50">
        <f t="shared" si="2"/>
        <v>173</v>
      </c>
      <c r="AD5" s="56"/>
    </row>
    <row r="6" spans="1:31" x14ac:dyDescent="0.3">
      <c r="A6" s="2" t="s">
        <v>4</v>
      </c>
      <c r="B6" s="2" t="s">
        <v>4</v>
      </c>
      <c r="C6" s="2" t="s">
        <v>4</v>
      </c>
      <c r="D6" s="30" t="s">
        <v>36</v>
      </c>
      <c r="E6" s="32" cm="1">
        <f t="array" ref="E6">(SUM(VLOOKUP(A4:A100,$T$3:$W$41,3,FALSE)))</f>
        <v>2620</v>
      </c>
      <c r="F6" s="32" cm="1">
        <f t="array" ref="F6">(SUM(VLOOKUP(B4:B100,$T$3:$W$41,3,FALSE)))</f>
        <v>1415</v>
      </c>
      <c r="G6" s="32" cm="1">
        <f t="array" ref="G6">(SUM(VLOOKUP(C4:C100,$T$3:$W$41,3,FALSE)))</f>
        <v>965</v>
      </c>
      <c r="H6" s="45">
        <f t="shared" si="3"/>
        <v>5000</v>
      </c>
      <c r="I6" s="3" t="s">
        <v>5</v>
      </c>
      <c r="J6" s="3" t="s">
        <v>5</v>
      </c>
      <c r="K6" s="3" t="s">
        <v>5</v>
      </c>
      <c r="L6" s="30" t="s">
        <v>36</v>
      </c>
      <c r="M6" s="32" cm="1">
        <f t="array" ref="M6">(SUM(VLOOKUP(I4:I100,$T$3:$W$41,3,FALSE)))</f>
        <v>250</v>
      </c>
      <c r="N6" s="32" cm="1">
        <f t="array" ref="N6">(SUM(VLOOKUP(J4:J100,$T$3:$W$41,3,FALSE)))</f>
        <v>1075</v>
      </c>
      <c r="O6" s="32" cm="1">
        <f t="array" ref="O6">(SUM(VLOOKUP(K4:K100,$T$3:$W$41,3,FALSE)))</f>
        <v>220</v>
      </c>
      <c r="P6" s="45">
        <f t="shared" ref="P6:P8" si="5">SUM(M6:O6)</f>
        <v>1545</v>
      </c>
      <c r="Q6" s="46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60">
        <v>276</v>
      </c>
      <c r="Y6" s="43">
        <v>276</v>
      </c>
      <c r="Z6" s="1">
        <f t="shared" si="1"/>
        <v>0</v>
      </c>
      <c r="AA6" s="1">
        <f t="shared" si="4"/>
        <v>0</v>
      </c>
      <c r="AB6" s="50">
        <f t="shared" si="2"/>
        <v>276</v>
      </c>
      <c r="AD6" s="56"/>
    </row>
    <row r="7" spans="1:31" x14ac:dyDescent="0.3">
      <c r="A7" s="2" t="s">
        <v>4</v>
      </c>
      <c r="B7" s="2" t="s">
        <v>4</v>
      </c>
      <c r="C7" s="3" t="s">
        <v>5</v>
      </c>
      <c r="D7" s="30" t="s">
        <v>37</v>
      </c>
      <c r="E7" s="32">
        <f>COUNTIF(A4:A100,"&lt;&gt;空")</f>
        <v>55</v>
      </c>
      <c r="F7" s="32">
        <f>COUNTIF(B4:B100,"&lt;&gt;空")</f>
        <v>31</v>
      </c>
      <c r="G7" s="32">
        <f>COUNTIF(C4:C100,"&lt;&gt;空")</f>
        <v>24</v>
      </c>
      <c r="H7" s="33">
        <f t="shared" si="3"/>
        <v>110</v>
      </c>
      <c r="I7" s="3" t="s">
        <v>5</v>
      </c>
      <c r="J7" s="15" t="s">
        <v>17</v>
      </c>
      <c r="K7" s="3" t="s">
        <v>5</v>
      </c>
      <c r="L7" s="30" t="s">
        <v>37</v>
      </c>
      <c r="M7" s="32">
        <f>COUNTIF(I4:I100,"&lt;&gt;空")</f>
        <v>7</v>
      </c>
      <c r="N7" s="32">
        <f>COUNTIF(J4:J100,"&lt;&gt;空")</f>
        <v>16</v>
      </c>
      <c r="O7" s="32">
        <f>COUNTIF(K4:K100,"&lt;&gt;空")</f>
        <v>6</v>
      </c>
      <c r="P7" s="33">
        <f t="shared" si="5"/>
        <v>29</v>
      </c>
      <c r="Q7" s="49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60">
        <v>237</v>
      </c>
      <c r="Y7" s="43">
        <v>237</v>
      </c>
      <c r="Z7" s="1">
        <f t="shared" si="1"/>
        <v>0</v>
      </c>
      <c r="AA7" s="1">
        <f t="shared" si="4"/>
        <v>0</v>
      </c>
      <c r="AB7" s="50">
        <f t="shared" si="2"/>
        <v>237</v>
      </c>
      <c r="AD7" s="56"/>
    </row>
    <row r="8" spans="1:31" x14ac:dyDescent="0.3">
      <c r="A8" s="2" t="s">
        <v>4</v>
      </c>
      <c r="B8" s="2" t="s">
        <v>4</v>
      </c>
      <c r="C8" s="15" t="s">
        <v>17</v>
      </c>
      <c r="D8" s="39" t="s">
        <v>61</v>
      </c>
      <c r="E8" s="38">
        <v>1</v>
      </c>
      <c r="F8" s="38">
        <v>0</v>
      </c>
      <c r="G8" s="38">
        <v>0</v>
      </c>
      <c r="H8" s="33">
        <f t="shared" si="3"/>
        <v>1</v>
      </c>
      <c r="I8" s="15" t="s">
        <v>17</v>
      </c>
      <c r="J8" s="1" t="s">
        <v>24</v>
      </c>
      <c r="K8" s="3" t="s">
        <v>5</v>
      </c>
      <c r="L8" s="39" t="s">
        <v>61</v>
      </c>
      <c r="M8" s="38">
        <v>1</v>
      </c>
      <c r="N8" s="38">
        <v>1</v>
      </c>
      <c r="O8" s="38">
        <v>0</v>
      </c>
      <c r="P8" s="33">
        <f t="shared" si="5"/>
        <v>2</v>
      </c>
      <c r="Q8" s="46" t="s">
        <v>50</v>
      </c>
      <c r="R8" s="51" cm="1">
        <f t="array" ref="R8">R6-P5-H5-SUM(U3:U28*AB3:AB28)*0.8-R7*8</f>
        <v>10</v>
      </c>
      <c r="S8" s="23"/>
      <c r="T8" s="7" t="s">
        <v>9</v>
      </c>
      <c r="U8" s="1">
        <v>200</v>
      </c>
      <c r="V8" s="1">
        <v>60</v>
      </c>
      <c r="W8" s="42"/>
      <c r="X8" s="60">
        <v>189</v>
      </c>
      <c r="Y8" s="43">
        <v>189</v>
      </c>
      <c r="Z8" s="1">
        <f t="shared" si="1"/>
        <v>0</v>
      </c>
      <c r="AA8" s="1">
        <f t="shared" si="4"/>
        <v>0</v>
      </c>
      <c r="AB8" s="50">
        <f t="shared" si="2"/>
        <v>189</v>
      </c>
      <c r="AD8" s="56"/>
    </row>
    <row r="9" spans="1:31" x14ac:dyDescent="0.3">
      <c r="A9" s="15" t="s">
        <v>17</v>
      </c>
      <c r="B9" s="2" t="s">
        <v>4</v>
      </c>
      <c r="C9" s="3" t="s">
        <v>5</v>
      </c>
      <c r="D9" s="23"/>
      <c r="E9" s="23"/>
      <c r="F9" s="23"/>
      <c r="G9" s="23"/>
      <c r="H9" s="24"/>
      <c r="I9" s="1" t="s">
        <v>24</v>
      </c>
      <c r="J9" s="3" t="s">
        <v>5</v>
      </c>
      <c r="K9" s="15" t="s">
        <v>17</v>
      </c>
      <c r="L9" s="30" t="s">
        <v>39</v>
      </c>
      <c r="M9" s="34">
        <f>M6/M5</f>
        <v>0.42229729729729731</v>
      </c>
      <c r="N9" s="34">
        <f>N6/N5</f>
        <v>0.671875</v>
      </c>
      <c r="O9" s="34">
        <f>O6/O5</f>
        <v>0.3716216216216216</v>
      </c>
      <c r="P9" s="35">
        <f>P6/P5</f>
        <v>0.55495689655172409</v>
      </c>
      <c r="Q9" s="46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60">
        <v>5</v>
      </c>
      <c r="Y9" s="43">
        <v>0</v>
      </c>
      <c r="Z9" s="1">
        <f t="shared" si="1"/>
        <v>0</v>
      </c>
      <c r="AA9" s="1">
        <f t="shared" si="4"/>
        <v>0</v>
      </c>
      <c r="AB9" s="50">
        <f t="shared" si="2"/>
        <v>0</v>
      </c>
      <c r="AD9" s="56">
        <v>3</v>
      </c>
      <c r="AE9">
        <v>2</v>
      </c>
    </row>
    <row r="10" spans="1:31" x14ac:dyDescent="0.3">
      <c r="A10" s="2" t="s">
        <v>4</v>
      </c>
      <c r="B10" s="2" t="s">
        <v>4</v>
      </c>
      <c r="C10" s="4" t="s">
        <v>6</v>
      </c>
      <c r="D10" s="23"/>
      <c r="E10" s="23"/>
      <c r="F10" s="23"/>
      <c r="G10" s="23"/>
      <c r="H10" s="24"/>
      <c r="I10" s="3" t="s">
        <v>5</v>
      </c>
      <c r="J10" s="3" t="s">
        <v>5</v>
      </c>
      <c r="K10" s="1" t="s">
        <v>24</v>
      </c>
      <c r="L10" s="23"/>
      <c r="M10" s="23"/>
      <c r="N10" s="23"/>
      <c r="O10" s="23"/>
      <c r="P10" s="24"/>
      <c r="Q10" s="46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60">
        <v>6</v>
      </c>
      <c r="Y10" s="43">
        <v>3</v>
      </c>
      <c r="Z10" s="1">
        <f t="shared" si="1"/>
        <v>3</v>
      </c>
      <c r="AA10" s="1">
        <f t="shared" si="4"/>
        <v>0</v>
      </c>
      <c r="AB10" s="50">
        <f t="shared" si="2"/>
        <v>0</v>
      </c>
      <c r="AD10" s="56">
        <v>4</v>
      </c>
      <c r="AE10">
        <v>2</v>
      </c>
    </row>
    <row r="11" spans="1:31" x14ac:dyDescent="0.3">
      <c r="A11" s="2" t="s">
        <v>4</v>
      </c>
      <c r="B11" s="2" t="s">
        <v>4</v>
      </c>
      <c r="C11" s="16" t="s">
        <v>18</v>
      </c>
      <c r="D11" s="23"/>
      <c r="E11" s="23"/>
      <c r="F11" s="23"/>
      <c r="G11" s="23"/>
      <c r="H11" s="24"/>
      <c r="I11" s="15" t="s">
        <v>17</v>
      </c>
      <c r="J11" s="21" t="s">
        <v>26</v>
      </c>
      <c r="K11" s="1" t="s">
        <v>24</v>
      </c>
      <c r="L11" s="23"/>
      <c r="M11" s="23"/>
      <c r="N11" s="23"/>
      <c r="O11" s="23"/>
      <c r="P11" s="24">
        <f>H5+P5</f>
        <v>18494</v>
      </c>
      <c r="Q11" s="46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60">
        <v>6</v>
      </c>
      <c r="Y11" s="43">
        <v>6</v>
      </c>
      <c r="Z11" s="1">
        <f t="shared" si="1"/>
        <v>1</v>
      </c>
      <c r="AA11" s="1">
        <f t="shared" si="4"/>
        <v>0</v>
      </c>
      <c r="AB11" s="50">
        <f t="shared" si="2"/>
        <v>5</v>
      </c>
      <c r="AD11" s="56">
        <v>4</v>
      </c>
      <c r="AE11">
        <v>2</v>
      </c>
    </row>
    <row r="12" spans="1:31" x14ac:dyDescent="0.3">
      <c r="A12" s="2" t="s">
        <v>4</v>
      </c>
      <c r="B12" s="15" t="s">
        <v>17</v>
      </c>
      <c r="C12" s="4" t="s">
        <v>6</v>
      </c>
      <c r="D12" s="23"/>
      <c r="E12" s="23"/>
      <c r="F12" s="23"/>
      <c r="G12" s="23"/>
      <c r="H12" s="24"/>
      <c r="I12" s="1" t="s">
        <v>24</v>
      </c>
      <c r="J12" s="3" t="s">
        <v>5</v>
      </c>
      <c r="K12" s="1" t="s">
        <v>24</v>
      </c>
      <c r="L12" s="23"/>
      <c r="M12" s="23"/>
      <c r="N12" s="23"/>
      <c r="O12" s="23"/>
      <c r="P12" s="24">
        <f>H6+P6</f>
        <v>6545</v>
      </c>
      <c r="Q12" s="46"/>
      <c r="R12" s="23"/>
      <c r="S12" s="23"/>
      <c r="T12" s="11" t="s">
        <v>13</v>
      </c>
      <c r="U12" s="1">
        <v>150</v>
      </c>
      <c r="V12" s="1">
        <v>50</v>
      </c>
      <c r="W12" s="42"/>
      <c r="X12" s="60">
        <v>3</v>
      </c>
      <c r="Y12" s="43">
        <v>3</v>
      </c>
      <c r="Z12" s="1">
        <f t="shared" si="1"/>
        <v>0</v>
      </c>
      <c r="AA12" s="1">
        <f t="shared" si="4"/>
        <v>0</v>
      </c>
      <c r="AB12" s="50">
        <f t="shared" si="2"/>
        <v>3</v>
      </c>
      <c r="AD12" s="56">
        <v>3</v>
      </c>
    </row>
    <row r="13" spans="1:31" x14ac:dyDescent="0.3">
      <c r="A13" s="2" t="s">
        <v>4</v>
      </c>
      <c r="B13" s="2" t="s">
        <v>4</v>
      </c>
      <c r="C13" s="4" t="s">
        <v>6</v>
      </c>
      <c r="D13" s="23"/>
      <c r="E13" s="23"/>
      <c r="F13" s="23"/>
      <c r="G13" s="23"/>
      <c r="H13" s="24"/>
      <c r="I13" s="1" t="s">
        <v>24</v>
      </c>
      <c r="J13" s="3" t="s">
        <v>5</v>
      </c>
      <c r="K13" s="1" t="s">
        <v>24</v>
      </c>
      <c r="L13" s="23"/>
      <c r="M13" s="23"/>
      <c r="N13" s="23"/>
      <c r="O13" s="23"/>
      <c r="P13" s="24"/>
      <c r="Q13" s="46"/>
      <c r="R13" s="23"/>
      <c r="S13" s="23"/>
      <c r="T13" s="12" t="s">
        <v>14</v>
      </c>
      <c r="U13" s="1">
        <v>150</v>
      </c>
      <c r="V13" s="1">
        <v>55</v>
      </c>
      <c r="W13" s="42"/>
      <c r="X13" s="60">
        <v>3</v>
      </c>
      <c r="Y13" s="43">
        <v>3</v>
      </c>
      <c r="Z13" s="1">
        <f t="shared" si="1"/>
        <v>0</v>
      </c>
      <c r="AA13" s="1">
        <f t="shared" si="4"/>
        <v>0</v>
      </c>
      <c r="AB13" s="50">
        <f t="shared" si="2"/>
        <v>3</v>
      </c>
      <c r="AD13" s="56">
        <v>3</v>
      </c>
    </row>
    <row r="14" spans="1:31" x14ac:dyDescent="0.3">
      <c r="A14" s="2" t="s">
        <v>4</v>
      </c>
      <c r="B14" s="2" t="s">
        <v>4</v>
      </c>
      <c r="C14" s="4" t="s">
        <v>6</v>
      </c>
      <c r="D14" s="23"/>
      <c r="E14" s="23"/>
      <c r="F14" s="23"/>
      <c r="G14" s="23"/>
      <c r="H14" s="24"/>
      <c r="I14" s="1" t="s">
        <v>24</v>
      </c>
      <c r="J14" s="15" t="s">
        <v>17</v>
      </c>
      <c r="K14" s="1" t="s">
        <v>24</v>
      </c>
      <c r="L14" s="23"/>
      <c r="M14" s="23"/>
      <c r="N14" s="23"/>
      <c r="O14" s="23"/>
      <c r="P14" s="24"/>
      <c r="Q14" s="46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60">
        <v>1</v>
      </c>
      <c r="Y14" s="43">
        <v>1</v>
      </c>
      <c r="Z14" s="1">
        <f t="shared" si="1"/>
        <v>0</v>
      </c>
      <c r="AA14" s="1">
        <f t="shared" si="4"/>
        <v>0</v>
      </c>
      <c r="AB14" s="50">
        <f t="shared" si="2"/>
        <v>1</v>
      </c>
      <c r="AD14" s="56">
        <v>1</v>
      </c>
    </row>
    <row r="15" spans="1:31" x14ac:dyDescent="0.3">
      <c r="A15" s="2" t="s">
        <v>4</v>
      </c>
      <c r="B15" s="3" t="s">
        <v>5</v>
      </c>
      <c r="C15" s="17" t="s">
        <v>64</v>
      </c>
      <c r="D15" s="23"/>
      <c r="E15" s="23"/>
      <c r="F15" s="23"/>
      <c r="G15" s="23"/>
      <c r="H15" s="24"/>
      <c r="I15" s="1" t="s">
        <v>24</v>
      </c>
      <c r="J15" s="3" t="s">
        <v>5</v>
      </c>
      <c r="K15" s="1" t="s">
        <v>24</v>
      </c>
      <c r="L15" s="23"/>
      <c r="M15" s="23"/>
      <c r="N15" s="23"/>
      <c r="O15" s="23"/>
      <c r="P15" s="24"/>
      <c r="Q15" s="46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60"/>
      <c r="Y15" s="43">
        <v>0</v>
      </c>
      <c r="Z15" s="1">
        <f t="shared" si="1"/>
        <v>0</v>
      </c>
      <c r="AA15" s="1">
        <f t="shared" si="4"/>
        <v>0</v>
      </c>
      <c r="AB15" s="50">
        <f t="shared" si="2"/>
        <v>0</v>
      </c>
      <c r="AD15" s="56"/>
    </row>
    <row r="16" spans="1:31" x14ac:dyDescent="0.3">
      <c r="A16" s="2" t="s">
        <v>4</v>
      </c>
      <c r="B16" s="15" t="s">
        <v>17</v>
      </c>
      <c r="C16" s="4" t="s">
        <v>6</v>
      </c>
      <c r="D16" s="23"/>
      <c r="E16" s="23"/>
      <c r="F16" s="23"/>
      <c r="G16" s="23"/>
      <c r="H16" s="24"/>
      <c r="I16" s="1" t="s">
        <v>24</v>
      </c>
      <c r="J16" s="3" t="s">
        <v>5</v>
      </c>
      <c r="K16" s="1" t="s">
        <v>24</v>
      </c>
      <c r="L16" s="23"/>
      <c r="M16" s="23"/>
      <c r="N16" s="23"/>
      <c r="O16" s="23"/>
      <c r="P16" s="24"/>
      <c r="Q16" s="46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60">
        <v>40</v>
      </c>
      <c r="Y16" s="43">
        <v>40</v>
      </c>
      <c r="Z16" s="1">
        <f t="shared" si="1"/>
        <v>12</v>
      </c>
      <c r="AA16" s="1">
        <f t="shared" si="4"/>
        <v>9</v>
      </c>
      <c r="AB16" s="50">
        <f t="shared" si="2"/>
        <v>19</v>
      </c>
      <c r="AD16" s="56"/>
    </row>
    <row r="17" spans="1:30" x14ac:dyDescent="0.3">
      <c r="A17" s="15" t="s">
        <v>17</v>
      </c>
      <c r="B17" s="3" t="s">
        <v>5</v>
      </c>
      <c r="C17" s="4" t="s">
        <v>6</v>
      </c>
      <c r="D17" s="23"/>
      <c r="E17" s="23"/>
      <c r="F17" s="23"/>
      <c r="G17" s="23"/>
      <c r="H17" s="24"/>
      <c r="I17" s="1" t="s">
        <v>24</v>
      </c>
      <c r="J17" s="2" t="s">
        <v>4</v>
      </c>
      <c r="K17" s="1" t="s">
        <v>24</v>
      </c>
      <c r="L17" s="23"/>
      <c r="M17" s="23"/>
      <c r="N17" s="23"/>
      <c r="O17" s="23"/>
      <c r="P17" s="24"/>
      <c r="Q17" s="46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60">
        <v>3</v>
      </c>
      <c r="Y17" s="43">
        <v>3</v>
      </c>
      <c r="Z17" s="1">
        <f t="shared" si="1"/>
        <v>3</v>
      </c>
      <c r="AA17" s="1">
        <f t="shared" si="4"/>
        <v>0</v>
      </c>
      <c r="AB17" s="50">
        <f t="shared" si="2"/>
        <v>0</v>
      </c>
      <c r="AD17" s="56"/>
    </row>
    <row r="18" spans="1:30" x14ac:dyDescent="0.3">
      <c r="A18" s="2" t="s">
        <v>4</v>
      </c>
      <c r="B18" s="4" t="s">
        <v>6</v>
      </c>
      <c r="C18" s="4" t="s">
        <v>6</v>
      </c>
      <c r="D18" s="23"/>
      <c r="E18" s="23"/>
      <c r="F18" s="23"/>
      <c r="G18" s="23"/>
      <c r="H18" s="24"/>
      <c r="I18" s="1" t="s">
        <v>24</v>
      </c>
      <c r="J18" s="3" t="s">
        <v>5</v>
      </c>
      <c r="K18" s="1" t="s">
        <v>24</v>
      </c>
      <c r="L18" s="23"/>
      <c r="M18" s="23"/>
      <c r="N18" s="23"/>
      <c r="O18" s="23"/>
      <c r="P18" s="24"/>
      <c r="Q18" s="46"/>
      <c r="R18" s="23"/>
      <c r="S18" s="23"/>
      <c r="T18" s="17" t="s">
        <v>19</v>
      </c>
      <c r="U18" s="1">
        <v>250</v>
      </c>
      <c r="V18" s="1">
        <v>300</v>
      </c>
      <c r="W18" s="42"/>
      <c r="X18" s="60">
        <v>3</v>
      </c>
      <c r="Y18" s="43">
        <v>3</v>
      </c>
      <c r="Z18" s="1">
        <f t="shared" si="1"/>
        <v>3</v>
      </c>
      <c r="AA18" s="1">
        <f t="shared" si="4"/>
        <v>0</v>
      </c>
      <c r="AB18" s="50">
        <f t="shared" si="2"/>
        <v>0</v>
      </c>
      <c r="AD18" s="56"/>
    </row>
    <row r="19" spans="1:30" x14ac:dyDescent="0.3">
      <c r="A19" s="2" t="s">
        <v>4</v>
      </c>
      <c r="B19" s="4" t="s">
        <v>6</v>
      </c>
      <c r="C19" s="15" t="s">
        <v>17</v>
      </c>
      <c r="D19" s="23"/>
      <c r="E19" s="23"/>
      <c r="F19" s="23"/>
      <c r="G19" s="23"/>
      <c r="H19" s="24"/>
      <c r="I19" s="1" t="s">
        <v>24</v>
      </c>
      <c r="J19" s="3" t="s">
        <v>5</v>
      </c>
      <c r="K19" s="1" t="s">
        <v>24</v>
      </c>
      <c r="L19" s="23"/>
      <c r="M19" s="23"/>
      <c r="N19" s="23"/>
      <c r="O19" s="23"/>
      <c r="P19" s="24"/>
      <c r="Q19" s="46"/>
      <c r="R19" s="23"/>
      <c r="S19" s="23"/>
      <c r="T19" s="17" t="s">
        <v>64</v>
      </c>
      <c r="U19" s="1">
        <v>170</v>
      </c>
      <c r="V19" s="1">
        <v>45</v>
      </c>
      <c r="W19" s="42"/>
      <c r="X19" s="60">
        <v>5</v>
      </c>
      <c r="Y19" s="43">
        <v>5</v>
      </c>
      <c r="Z19" s="1">
        <f t="shared" si="1"/>
        <v>5</v>
      </c>
      <c r="AA19" s="1">
        <f t="shared" si="4"/>
        <v>0</v>
      </c>
      <c r="AB19" s="50">
        <f t="shared" si="2"/>
        <v>0</v>
      </c>
      <c r="AD19" s="56"/>
    </row>
    <row r="20" spans="1:30" x14ac:dyDescent="0.3">
      <c r="A20" s="2" t="s">
        <v>4</v>
      </c>
      <c r="B20" s="16" t="s">
        <v>18</v>
      </c>
      <c r="C20" s="4" t="s">
        <v>6</v>
      </c>
      <c r="D20" s="23"/>
      <c r="E20" s="23"/>
      <c r="F20" s="23"/>
      <c r="G20" s="23"/>
      <c r="H20" s="24"/>
      <c r="I20" s="1" t="s">
        <v>24</v>
      </c>
      <c r="J20" s="15" t="s">
        <v>17</v>
      </c>
      <c r="K20" s="1" t="s">
        <v>24</v>
      </c>
      <c r="L20" s="23"/>
      <c r="M20" s="23"/>
      <c r="N20" s="23"/>
      <c r="O20" s="23"/>
      <c r="P20" s="24"/>
      <c r="Q20" s="46"/>
      <c r="R20" s="23"/>
      <c r="S20" s="23"/>
      <c r="T20" s="17" t="s">
        <v>63</v>
      </c>
      <c r="U20" s="1">
        <v>250</v>
      </c>
      <c r="V20" s="1">
        <v>400</v>
      </c>
      <c r="W20" s="42"/>
      <c r="X20" s="60">
        <v>0</v>
      </c>
      <c r="Y20" s="43">
        <v>0</v>
      </c>
      <c r="Z20" s="1">
        <f t="shared" si="1"/>
        <v>0</v>
      </c>
      <c r="AA20" s="1">
        <f t="shared" si="4"/>
        <v>0</v>
      </c>
      <c r="AB20" s="50">
        <f t="shared" si="2"/>
        <v>0</v>
      </c>
      <c r="AD20" s="56"/>
    </row>
    <row r="21" spans="1:30" x14ac:dyDescent="0.3">
      <c r="A21" s="4" t="s">
        <v>6</v>
      </c>
      <c r="B21" s="4" t="s">
        <v>6</v>
      </c>
      <c r="C21" s="4" t="s">
        <v>6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6"/>
      <c r="R21" s="23"/>
      <c r="S21" s="23"/>
      <c r="T21" s="18" t="s">
        <v>20</v>
      </c>
      <c r="U21" s="1">
        <v>250</v>
      </c>
      <c r="V21" s="1">
        <v>1000</v>
      </c>
      <c r="W21" s="42"/>
      <c r="X21" s="60">
        <v>2</v>
      </c>
      <c r="Y21" s="43">
        <v>2</v>
      </c>
      <c r="Z21" s="1">
        <f t="shared" si="1"/>
        <v>0</v>
      </c>
      <c r="AA21" s="1">
        <f t="shared" si="4"/>
        <v>0</v>
      </c>
      <c r="AB21" s="50">
        <f t="shared" si="2"/>
        <v>2</v>
      </c>
      <c r="AD21" s="56"/>
    </row>
    <row r="22" spans="1:30" x14ac:dyDescent="0.3">
      <c r="A22" s="4" t="s">
        <v>6</v>
      </c>
      <c r="B22" s="17" t="s">
        <v>19</v>
      </c>
      <c r="C22" s="4" t="s">
        <v>6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6"/>
      <c r="R22" s="23"/>
      <c r="S22" s="23"/>
      <c r="T22" s="19" t="s">
        <v>21</v>
      </c>
      <c r="U22" s="1">
        <v>250</v>
      </c>
      <c r="V22" s="1">
        <v>500</v>
      </c>
      <c r="W22" s="42"/>
      <c r="X22" s="60">
        <v>2</v>
      </c>
      <c r="Y22" s="43">
        <v>2</v>
      </c>
      <c r="Z22" s="1">
        <f t="shared" si="1"/>
        <v>0</v>
      </c>
      <c r="AA22" s="1">
        <f t="shared" si="4"/>
        <v>0</v>
      </c>
      <c r="AB22" s="50">
        <f t="shared" si="2"/>
        <v>2</v>
      </c>
      <c r="AD22" s="56"/>
    </row>
    <row r="23" spans="1:30" x14ac:dyDescent="0.3">
      <c r="A23" s="4" t="s">
        <v>6</v>
      </c>
      <c r="B23" s="4" t="s">
        <v>6</v>
      </c>
      <c r="C23" s="4" t="s">
        <v>6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6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60">
        <v>0</v>
      </c>
      <c r="Y23" s="43">
        <v>0</v>
      </c>
      <c r="Z23" s="1">
        <f t="shared" si="1"/>
        <v>0</v>
      </c>
      <c r="AA23" s="1">
        <f t="shared" si="4"/>
        <v>0</v>
      </c>
      <c r="AB23" s="50">
        <f t="shared" si="2"/>
        <v>0</v>
      </c>
      <c r="AD23" s="56"/>
    </row>
    <row r="24" spans="1:30" x14ac:dyDescent="0.3">
      <c r="A24" s="17" t="s">
        <v>64</v>
      </c>
      <c r="B24" s="4" t="s">
        <v>6</v>
      </c>
      <c r="C24" s="4" t="s">
        <v>6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6"/>
      <c r="R24" s="23"/>
      <c r="S24" s="23"/>
      <c r="T24" s="55" t="s">
        <v>22</v>
      </c>
      <c r="U24" s="1">
        <v>160</v>
      </c>
      <c r="V24" s="1">
        <v>40</v>
      </c>
      <c r="W24" s="42">
        <f t="shared" si="8"/>
        <v>39.110982162825422</v>
      </c>
      <c r="X24" s="60">
        <v>0</v>
      </c>
      <c r="Y24" s="43">
        <v>0</v>
      </c>
      <c r="Z24" s="1">
        <f t="shared" si="1"/>
        <v>0</v>
      </c>
      <c r="AA24" s="1">
        <f t="shared" si="4"/>
        <v>0</v>
      </c>
      <c r="AB24" s="50">
        <f t="shared" si="2"/>
        <v>0</v>
      </c>
      <c r="AD24" s="56"/>
    </row>
    <row r="25" spans="1:30" x14ac:dyDescent="0.3">
      <c r="A25" s="3" t="s">
        <v>5</v>
      </c>
      <c r="B25" s="3" t="s">
        <v>5</v>
      </c>
      <c r="C25" s="4" t="s">
        <v>6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6"/>
      <c r="R25" s="23"/>
      <c r="S25" s="23"/>
      <c r="T25" s="55" t="s">
        <v>23</v>
      </c>
      <c r="U25" s="1">
        <v>150</v>
      </c>
      <c r="V25" s="1">
        <v>35</v>
      </c>
      <c r="W25" s="42">
        <f t="shared" si="8"/>
        <v>44.222109392472248</v>
      </c>
      <c r="X25" s="60">
        <v>0</v>
      </c>
      <c r="Y25" s="43">
        <v>0</v>
      </c>
      <c r="Z25" s="1">
        <f t="shared" si="1"/>
        <v>0</v>
      </c>
      <c r="AA25" s="1">
        <f t="shared" si="4"/>
        <v>0</v>
      </c>
      <c r="AB25" s="50">
        <f t="shared" si="2"/>
        <v>0</v>
      </c>
      <c r="AD25" s="56"/>
    </row>
    <row r="26" spans="1:30" x14ac:dyDescent="0.3">
      <c r="A26" s="3" t="s">
        <v>5</v>
      </c>
      <c r="B26" s="3" t="s">
        <v>5</v>
      </c>
      <c r="C26" s="4" t="s">
        <v>6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6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60">
        <v>0</v>
      </c>
      <c r="Y26" s="43">
        <v>0</v>
      </c>
      <c r="Z26" s="1"/>
      <c r="AA26" s="1"/>
      <c r="AB26" s="50"/>
      <c r="AD26" s="56"/>
    </row>
    <row r="27" spans="1:30" x14ac:dyDescent="0.3">
      <c r="A27" s="3" t="s">
        <v>5</v>
      </c>
      <c r="B27" s="15" t="s">
        <v>17</v>
      </c>
      <c r="C27" s="17" t="s">
        <v>64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6"/>
      <c r="R27" s="23"/>
      <c r="S27" s="23"/>
      <c r="T27" s="16" t="s">
        <v>25</v>
      </c>
      <c r="U27" s="1">
        <v>-200</v>
      </c>
      <c r="V27" s="1">
        <v>0</v>
      </c>
      <c r="W27" s="42"/>
      <c r="X27" s="60">
        <v>12</v>
      </c>
      <c r="Y27" s="43">
        <v>12</v>
      </c>
      <c r="Z27" s="1">
        <f t="shared" si="1"/>
        <v>0</v>
      </c>
      <c r="AA27" s="1">
        <f t="shared" si="4"/>
        <v>0</v>
      </c>
      <c r="AB27" s="50">
        <f t="shared" si="2"/>
        <v>12</v>
      </c>
      <c r="AD27" s="56"/>
    </row>
    <row r="28" spans="1:30" x14ac:dyDescent="0.3">
      <c r="A28" s="9" t="s">
        <v>11</v>
      </c>
      <c r="B28" s="3" t="s">
        <v>5</v>
      </c>
      <c r="C28" s="1" t="s">
        <v>24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6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60">
        <v>3</v>
      </c>
      <c r="Y28" s="43">
        <v>3</v>
      </c>
      <c r="Z28" s="1">
        <f t="shared" si="1"/>
        <v>0</v>
      </c>
      <c r="AA28" s="1">
        <f t="shared" si="4"/>
        <v>1</v>
      </c>
      <c r="AB28" s="50">
        <f t="shared" si="2"/>
        <v>2</v>
      </c>
      <c r="AD28" s="56"/>
    </row>
    <row r="29" spans="1:30" ht="15" thickBot="1" x14ac:dyDescent="0.35">
      <c r="A29" s="3" t="s">
        <v>5</v>
      </c>
      <c r="B29" s="2" t="s">
        <v>4</v>
      </c>
      <c r="C29" s="1" t="s">
        <v>24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2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3"/>
      <c r="AD29" s="56"/>
    </row>
    <row r="30" spans="1:30" x14ac:dyDescent="0.3">
      <c r="A30" s="15" t="s">
        <v>17</v>
      </c>
      <c r="B30" s="4" t="s">
        <v>6</v>
      </c>
      <c r="C30" s="1" t="s">
        <v>24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3">
      <c r="A31" s="3" t="s">
        <v>5</v>
      </c>
      <c r="B31" s="9" t="s">
        <v>11</v>
      </c>
      <c r="C31" s="1" t="s">
        <v>24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1063</v>
      </c>
      <c r="AB31">
        <f>SUM(AB3:AB28)</f>
        <v>924</v>
      </c>
    </row>
    <row r="32" spans="1:30" x14ac:dyDescent="0.3">
      <c r="A32" s="9" t="s">
        <v>11</v>
      </c>
      <c r="B32" s="4" t="s">
        <v>6</v>
      </c>
      <c r="C32" s="1" t="s">
        <v>24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3">
      <c r="A33" s="4" t="s">
        <v>6</v>
      </c>
      <c r="B33" s="4" t="s">
        <v>6</v>
      </c>
      <c r="C33" s="1" t="s">
        <v>24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3">
      <c r="A34" s="4" t="s">
        <v>6</v>
      </c>
      <c r="B34" s="17" t="s">
        <v>64</v>
      </c>
      <c r="C34" s="1" t="s">
        <v>24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3">
      <c r="A35" s="17" t="s">
        <v>19</v>
      </c>
      <c r="B35" s="1" t="s">
        <v>24</v>
      </c>
      <c r="C35" s="1" t="s">
        <v>24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3">
      <c r="A36" s="1" t="s">
        <v>24</v>
      </c>
      <c r="B36" s="1" t="s">
        <v>24</v>
      </c>
      <c r="C36" s="1" t="s">
        <v>24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3">
      <c r="A37" s="2" t="s">
        <v>4</v>
      </c>
      <c r="B37" s="1" t="s">
        <v>24</v>
      </c>
      <c r="C37" s="1" t="s">
        <v>24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3">
      <c r="A38" s="2" t="s">
        <v>4</v>
      </c>
      <c r="B38" s="1" t="s">
        <v>24</v>
      </c>
      <c r="C38" s="1" t="s">
        <v>24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3">
      <c r="A39" s="2" t="s">
        <v>4</v>
      </c>
      <c r="B39" s="1" t="s">
        <v>24</v>
      </c>
      <c r="C39" s="1" t="s">
        <v>24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3">
      <c r="A40" s="3" t="s">
        <v>5</v>
      </c>
      <c r="B40" s="1" t="s">
        <v>24</v>
      </c>
      <c r="C40" s="1" t="s">
        <v>24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3">
      <c r="A41" s="15" t="s">
        <v>17</v>
      </c>
      <c r="B41" s="1" t="s">
        <v>24</v>
      </c>
      <c r="C41" s="1" t="s">
        <v>24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3">
      <c r="A42" s="3" t="s">
        <v>5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3">
      <c r="A43" s="3" t="s">
        <v>5</v>
      </c>
      <c r="B43" s="1" t="s">
        <v>24</v>
      </c>
      <c r="C43" s="1" t="s">
        <v>24</v>
      </c>
      <c r="D43" s="23"/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3">
      <c r="A44" s="4" t="s">
        <v>6</v>
      </c>
      <c r="B44" s="1" t="s">
        <v>24</v>
      </c>
      <c r="C44" s="1" t="s">
        <v>24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3">
      <c r="A45" s="4" t="s">
        <v>6</v>
      </c>
      <c r="B45" s="1" t="s">
        <v>24</v>
      </c>
      <c r="C45" s="1" t="s">
        <v>24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3">
      <c r="A46" s="15" t="s">
        <v>17</v>
      </c>
      <c r="B46" s="1" t="s">
        <v>24</v>
      </c>
      <c r="C46" s="1" t="s">
        <v>24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3">
      <c r="A47" s="4" t="s">
        <v>6</v>
      </c>
      <c r="B47" s="1" t="s">
        <v>24</v>
      </c>
      <c r="C47" s="1" t="s">
        <v>24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3">
      <c r="A48" s="17" t="s">
        <v>19</v>
      </c>
      <c r="B48" s="1" t="s">
        <v>24</v>
      </c>
      <c r="C48" s="1" t="s">
        <v>24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3">
      <c r="A49" s="4" t="s">
        <v>6</v>
      </c>
      <c r="B49" s="1" t="s">
        <v>24</v>
      </c>
      <c r="C49" s="1" t="s">
        <v>24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3">
      <c r="A50" s="4" t="s">
        <v>6</v>
      </c>
      <c r="B50" s="1" t="s">
        <v>24</v>
      </c>
      <c r="C50" s="1" t="s">
        <v>24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3">
      <c r="A51" s="16" t="s">
        <v>18</v>
      </c>
      <c r="B51" s="1" t="s">
        <v>24</v>
      </c>
      <c r="C51" s="1" t="s">
        <v>24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3">
      <c r="A52" s="4" t="s">
        <v>6</v>
      </c>
      <c r="B52" s="1" t="s">
        <v>24</v>
      </c>
      <c r="C52" s="1" t="s">
        <v>24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3">
      <c r="A53" s="4" t="s">
        <v>6</v>
      </c>
      <c r="B53" s="1" t="s">
        <v>24</v>
      </c>
      <c r="C53" s="1" t="s">
        <v>24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3">
      <c r="A54" s="15" t="s">
        <v>17</v>
      </c>
      <c r="B54" s="1" t="s">
        <v>24</v>
      </c>
      <c r="C54" s="1" t="s">
        <v>24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3">
      <c r="A55" s="4" t="s">
        <v>6</v>
      </c>
      <c r="B55" s="1" t="s">
        <v>24</v>
      </c>
      <c r="C55" s="1" t="s">
        <v>24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3">
      <c r="A56" s="4" t="s">
        <v>6</v>
      </c>
      <c r="B56" s="1" t="s">
        <v>24</v>
      </c>
      <c r="C56" s="1" t="s">
        <v>24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3">
      <c r="A57" s="10" t="s">
        <v>12</v>
      </c>
      <c r="B57" s="1" t="s">
        <v>24</v>
      </c>
      <c r="C57" s="1" t="s">
        <v>24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3">
      <c r="A58" s="4" t="s">
        <v>6</v>
      </c>
      <c r="B58" s="1" t="s">
        <v>24</v>
      </c>
      <c r="C58" s="1" t="s">
        <v>24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3">
      <c r="A59" s="17" t="s">
        <v>64</v>
      </c>
      <c r="B59" s="1" t="s">
        <v>24</v>
      </c>
      <c r="C59" s="1" t="s">
        <v>24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3">
      <c r="A60" s="1" t="s">
        <v>24</v>
      </c>
      <c r="B60" s="1" t="s">
        <v>24</v>
      </c>
      <c r="C60" s="1" t="s">
        <v>24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3">
      <c r="A61" s="1" t="s">
        <v>24</v>
      </c>
      <c r="B61" s="1" t="s">
        <v>24</v>
      </c>
      <c r="C61" s="1" t="s">
        <v>24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3">
      <c r="A62" s="1" t="s">
        <v>24</v>
      </c>
      <c r="B62" s="1" t="s">
        <v>24</v>
      </c>
      <c r="C62" s="1" t="s">
        <v>24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3">
      <c r="A63" s="1" t="s">
        <v>24</v>
      </c>
      <c r="B63" s="1" t="s">
        <v>24</v>
      </c>
      <c r="C63" s="1" t="s">
        <v>24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3">
      <c r="A64" s="1" t="s">
        <v>24</v>
      </c>
      <c r="B64" s="1" t="s">
        <v>24</v>
      </c>
      <c r="C64" s="1" t="s">
        <v>24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3">
      <c r="A65" s="1" t="s">
        <v>24</v>
      </c>
      <c r="B65" s="1" t="s">
        <v>24</v>
      </c>
      <c r="C65" s="1" t="s">
        <v>24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3">
      <c r="A66" s="1" t="s">
        <v>24</v>
      </c>
      <c r="B66" s="1" t="s">
        <v>24</v>
      </c>
      <c r="C66" s="1" t="s">
        <v>24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3">
      <c r="A67" s="1" t="s">
        <v>24</v>
      </c>
      <c r="B67" s="1" t="s">
        <v>24</v>
      </c>
      <c r="C67" s="1" t="s">
        <v>24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3">
      <c r="A68" s="1" t="s">
        <v>24</v>
      </c>
      <c r="B68" s="1" t="s">
        <v>24</v>
      </c>
      <c r="C68" s="1" t="s">
        <v>24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3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3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3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3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3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3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3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3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3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3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3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3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3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3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3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3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3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3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3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3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3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3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3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3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3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3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3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3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3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3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3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" thickBot="1" x14ac:dyDescent="0.35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46B4-1A3E-447C-9054-DD7D93C727E2}">
  <dimension ref="A1:AE100"/>
  <sheetViews>
    <sheetView topLeftCell="A4" zoomScale="85" zoomScaleNormal="85" workbookViewId="0">
      <selection activeCell="Z15" sqref="Z15"/>
    </sheetView>
  </sheetViews>
  <sheetFormatPr defaultRowHeight="14.4" x14ac:dyDescent="0.3"/>
  <cols>
    <col min="23" max="23" width="8.88671875" customWidth="1"/>
  </cols>
  <sheetData>
    <row r="1" spans="1:31" ht="15.6" x14ac:dyDescent="0.3">
      <c r="A1" s="63" t="s">
        <v>27</v>
      </c>
      <c r="B1" s="64"/>
      <c r="C1" s="64"/>
      <c r="D1" s="64"/>
      <c r="E1" s="64"/>
      <c r="F1" s="65" t="s">
        <v>3</v>
      </c>
      <c r="G1" s="65"/>
      <c r="H1" s="22" cm="1">
        <f t="array" ref="H1">SUM(VLOOKUP(A4:C100,$T$3:$W$36,4,FALSE))+H4*10-H8*50</f>
        <v>3513.3268536819805</v>
      </c>
      <c r="I1" s="66" t="s">
        <v>38</v>
      </c>
      <c r="J1" s="67"/>
      <c r="K1" s="67"/>
      <c r="L1" s="67"/>
      <c r="M1" s="67"/>
      <c r="N1" s="67"/>
      <c r="O1" s="67"/>
      <c r="P1" s="68"/>
      <c r="Q1" s="66" t="s">
        <v>45</v>
      </c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</row>
    <row r="2" spans="1:31" ht="28.8" x14ac:dyDescent="0.3">
      <c r="A2" s="69" t="s">
        <v>32</v>
      </c>
      <c r="B2" s="70"/>
      <c r="C2" s="70"/>
      <c r="D2" s="71" t="s">
        <v>34</v>
      </c>
      <c r="E2" s="72"/>
      <c r="F2" s="72"/>
      <c r="G2" s="72"/>
      <c r="H2" s="73"/>
      <c r="I2" s="74" t="s">
        <v>32</v>
      </c>
      <c r="J2" s="75"/>
      <c r="K2" s="75"/>
      <c r="L2" s="76" t="s">
        <v>34</v>
      </c>
      <c r="M2" s="76"/>
      <c r="N2" s="76"/>
      <c r="O2" s="76"/>
      <c r="P2" s="77"/>
      <c r="Q2" s="46" t="s">
        <v>40</v>
      </c>
      <c r="R2" s="47" cm="1">
        <f t="array" ref="R2">SUM(V3:V28*AB3:AB28)+H6+P6+R4*500</f>
        <v>64705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60" t="s">
        <v>41</v>
      </c>
      <c r="Y2" s="43" t="s">
        <v>52</v>
      </c>
      <c r="Z2" s="44" t="s">
        <v>42</v>
      </c>
      <c r="AA2" s="44" t="s">
        <v>43</v>
      </c>
      <c r="AB2" s="48" t="s">
        <v>44</v>
      </c>
      <c r="AD2" s="23"/>
    </row>
    <row r="3" spans="1:31" x14ac:dyDescent="0.3">
      <c r="A3" s="57" t="s">
        <v>28</v>
      </c>
      <c r="B3" s="62" t="s">
        <v>29</v>
      </c>
      <c r="C3" s="19" t="s">
        <v>30</v>
      </c>
      <c r="D3" s="30"/>
      <c r="E3" s="57" t="s">
        <v>28</v>
      </c>
      <c r="F3" s="62" t="s">
        <v>29</v>
      </c>
      <c r="G3" s="19" t="s">
        <v>30</v>
      </c>
      <c r="H3" s="31" t="s">
        <v>33</v>
      </c>
      <c r="I3" s="57" t="s">
        <v>28</v>
      </c>
      <c r="J3" s="62" t="s">
        <v>29</v>
      </c>
      <c r="K3" s="19" t="s">
        <v>30</v>
      </c>
      <c r="L3" s="30"/>
      <c r="M3" s="57" t="s">
        <v>28</v>
      </c>
      <c r="N3" s="62" t="s">
        <v>29</v>
      </c>
      <c r="O3" s="19" t="s">
        <v>30</v>
      </c>
      <c r="P3" s="31" t="s">
        <v>33</v>
      </c>
      <c r="Q3" s="49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60"/>
      <c r="Y3" s="43">
        <v>32</v>
      </c>
      <c r="Z3" s="1">
        <f>COUNTIF($A$4:$C$100,T3)</f>
        <v>31</v>
      </c>
      <c r="AA3" s="1">
        <f>COUNTIF($I$4:$K$100,T3)</f>
        <v>1</v>
      </c>
      <c r="AB3" s="50">
        <f>Y3-Z3-AA3</f>
        <v>0</v>
      </c>
      <c r="AD3" s="56"/>
    </row>
    <row r="4" spans="1:31" x14ac:dyDescent="0.3">
      <c r="A4" s="2" t="s">
        <v>4</v>
      </c>
      <c r="B4" s="15" t="s">
        <v>17</v>
      </c>
      <c r="C4" s="2" t="s">
        <v>4</v>
      </c>
      <c r="D4" s="40" t="s">
        <v>31</v>
      </c>
      <c r="E4" s="36">
        <v>6</v>
      </c>
      <c r="F4" s="36">
        <v>3</v>
      </c>
      <c r="G4" s="36">
        <v>3</v>
      </c>
      <c r="H4" s="33">
        <f>SUM(E4:G4)</f>
        <v>12</v>
      </c>
      <c r="I4" s="3" t="s">
        <v>5</v>
      </c>
      <c r="J4" s="1" t="s">
        <v>24</v>
      </c>
      <c r="K4" s="3" t="s">
        <v>5</v>
      </c>
      <c r="L4" s="40" t="s">
        <v>31</v>
      </c>
      <c r="M4" s="36">
        <v>0</v>
      </c>
      <c r="N4" s="36">
        <v>5</v>
      </c>
      <c r="O4" s="36">
        <v>0</v>
      </c>
      <c r="P4" s="33">
        <f>SUM(M4:O4)</f>
        <v>5</v>
      </c>
      <c r="Q4" s="49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60"/>
      <c r="Y4" s="43">
        <v>35</v>
      </c>
      <c r="Z4" s="1">
        <f t="shared" ref="Z4:Z28" si="1">COUNTIF($A$4:$C$100,T4)</f>
        <v>19</v>
      </c>
      <c r="AA4" s="1">
        <f>COUNTIF($I$4:$K$100,T4)</f>
        <v>16</v>
      </c>
      <c r="AB4" s="50">
        <f t="shared" ref="AB4:AB28" si="2">Y4-Z4-AA4</f>
        <v>0</v>
      </c>
      <c r="AD4" s="56"/>
    </row>
    <row r="5" spans="1:31" x14ac:dyDescent="0.3">
      <c r="A5" s="2" t="s">
        <v>4</v>
      </c>
      <c r="B5" s="2" t="s">
        <v>4</v>
      </c>
      <c r="C5" s="2" t="s">
        <v>4</v>
      </c>
      <c r="D5" s="30" t="s">
        <v>35</v>
      </c>
      <c r="E5" s="32" cm="1">
        <f t="array" ref="E5">(SUM(VLOOKUP(A4:A100,$T$3:$W$41,2,FALSE))+E4*10)-E8*50</f>
        <v>7980</v>
      </c>
      <c r="F5" s="32" cm="1">
        <f t="array" ref="F5">(SUM(VLOOKUP(B4:B100,$T$3:$W$41,2,FALSE))+F4*10)-F8*50</f>
        <v>4300</v>
      </c>
      <c r="G5" s="32" cm="1">
        <f t="array" ref="G5">(SUM(VLOOKUP(C4:C100,$T$3:$W$41,2,FALSE))+G4*10)-G8*50</f>
        <v>3420</v>
      </c>
      <c r="H5" s="54">
        <f t="shared" ref="H5:H8" si="3">SUM(E5:G5)</f>
        <v>15700</v>
      </c>
      <c r="I5" s="15" t="s">
        <v>17</v>
      </c>
      <c r="J5" s="1" t="s">
        <v>24</v>
      </c>
      <c r="K5" s="15" t="s">
        <v>17</v>
      </c>
      <c r="L5" s="30" t="s">
        <v>35</v>
      </c>
      <c r="M5" s="32" cm="1">
        <f t="array" ref="M5">(SUM(VLOOKUP(I4:I100,$T$3:$W$41,2,FALSE))+M4*10)*0.8-M8*40</f>
        <v>592</v>
      </c>
      <c r="N5" s="32" cm="1">
        <f t="array" ref="N5">(SUM(VLOOKUP(J4:J100,$T$3:$W$41,2,FALSE))+N4*10)*0.8-N8*40</f>
        <v>1304</v>
      </c>
      <c r="O5" s="32" cm="1">
        <f t="array" ref="O5">(SUM(VLOOKUP(K4:K100,$T$3:$W$41,2,FALSE))+O4*10)*0.8-O8*40</f>
        <v>592</v>
      </c>
      <c r="P5" s="54">
        <f>SUM(M5:O5)</f>
        <v>2488</v>
      </c>
      <c r="Q5" s="49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61"/>
      <c r="Y5" s="43">
        <v>208</v>
      </c>
      <c r="Z5" s="1">
        <f t="shared" si="1"/>
        <v>32</v>
      </c>
      <c r="AA5" s="1">
        <f t="shared" ref="AA5:AA28" si="4">COUNTIF($I$4:$K$100,T5)</f>
        <v>0</v>
      </c>
      <c r="AB5" s="50">
        <f t="shared" si="2"/>
        <v>176</v>
      </c>
      <c r="AD5" s="56"/>
    </row>
    <row r="6" spans="1:31" x14ac:dyDescent="0.3">
      <c r="A6" s="2" t="s">
        <v>4</v>
      </c>
      <c r="B6" s="2" t="s">
        <v>4</v>
      </c>
      <c r="C6" s="2" t="s">
        <v>4</v>
      </c>
      <c r="D6" s="30" t="s">
        <v>36</v>
      </c>
      <c r="E6" s="32" cm="1">
        <f t="array" ref="E6">(SUM(VLOOKUP(A4:A100,$T$3:$W$41,3,FALSE)))</f>
        <v>2620</v>
      </c>
      <c r="F6" s="32" cm="1">
        <f t="array" ref="F6">(SUM(VLOOKUP(B4:B100,$T$3:$W$41,3,FALSE)))</f>
        <v>1410</v>
      </c>
      <c r="G6" s="32" cm="1">
        <f t="array" ref="G6">(SUM(VLOOKUP(C4:C100,$T$3:$W$41,3,FALSE)))</f>
        <v>905</v>
      </c>
      <c r="H6" s="45">
        <f t="shared" si="3"/>
        <v>4935</v>
      </c>
      <c r="I6" s="3" t="s">
        <v>5</v>
      </c>
      <c r="J6" s="1" t="s">
        <v>24</v>
      </c>
      <c r="K6" s="3" t="s">
        <v>5</v>
      </c>
      <c r="L6" s="30" t="s">
        <v>36</v>
      </c>
      <c r="M6" s="32" cm="1">
        <f t="array" ref="M6">(SUM(VLOOKUP(I4:I100,$T$3:$W$41,3,FALSE)))</f>
        <v>250</v>
      </c>
      <c r="N6" s="32" cm="1">
        <f t="array" ref="N6">(SUM(VLOOKUP(J4:J100,$T$3:$W$41,3,FALSE)))</f>
        <v>965</v>
      </c>
      <c r="O6" s="32" cm="1">
        <f t="array" ref="O6">(SUM(VLOOKUP(K4:K100,$T$3:$W$41,3,FALSE)))</f>
        <v>220</v>
      </c>
      <c r="P6" s="45">
        <f t="shared" ref="P6:P8" si="5">SUM(M6:O6)</f>
        <v>1435</v>
      </c>
      <c r="Q6" s="46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60">
        <v>276</v>
      </c>
      <c r="Y6" s="43">
        <v>276</v>
      </c>
      <c r="Z6" s="1">
        <f t="shared" si="1"/>
        <v>0</v>
      </c>
      <c r="AA6" s="1">
        <f t="shared" si="4"/>
        <v>0</v>
      </c>
      <c r="AB6" s="50">
        <f t="shared" si="2"/>
        <v>276</v>
      </c>
      <c r="AD6" s="56"/>
    </row>
    <row r="7" spans="1:31" x14ac:dyDescent="0.3">
      <c r="A7" s="2" t="s">
        <v>4</v>
      </c>
      <c r="B7" s="2" t="s">
        <v>4</v>
      </c>
      <c r="C7" s="3" t="s">
        <v>5</v>
      </c>
      <c r="D7" s="30" t="s">
        <v>37</v>
      </c>
      <c r="E7" s="32">
        <f>COUNTIF(A4:A100,"&lt;&gt;空")</f>
        <v>55</v>
      </c>
      <c r="F7" s="32">
        <f>COUNTIF(B4:B100,"&lt;&gt;空")</f>
        <v>31</v>
      </c>
      <c r="G7" s="32">
        <f>COUNTIF(C4:C100,"&lt;&gt;空")</f>
        <v>22</v>
      </c>
      <c r="H7" s="33">
        <f t="shared" si="3"/>
        <v>108</v>
      </c>
      <c r="I7" s="3" t="s">
        <v>5</v>
      </c>
      <c r="J7" s="15" t="s">
        <v>17</v>
      </c>
      <c r="K7" s="3" t="s">
        <v>5</v>
      </c>
      <c r="L7" s="30" t="s">
        <v>37</v>
      </c>
      <c r="M7" s="32">
        <f>COUNTIF(I4:I100,"&lt;&gt;空")</f>
        <v>7</v>
      </c>
      <c r="N7" s="32">
        <f>COUNTIF(J4:J100,"&lt;&gt;空")</f>
        <v>13</v>
      </c>
      <c r="O7" s="32">
        <f>COUNTIF(K4:K100,"&lt;&gt;空")</f>
        <v>6</v>
      </c>
      <c r="P7" s="33">
        <f t="shared" si="5"/>
        <v>26</v>
      </c>
      <c r="Q7" s="49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60">
        <v>237</v>
      </c>
      <c r="Y7" s="43">
        <v>237</v>
      </c>
      <c r="Z7" s="1">
        <f t="shared" si="1"/>
        <v>0</v>
      </c>
      <c r="AA7" s="1">
        <f t="shared" si="4"/>
        <v>0</v>
      </c>
      <c r="AB7" s="50">
        <f t="shared" si="2"/>
        <v>237</v>
      </c>
      <c r="AD7" s="56"/>
    </row>
    <row r="8" spans="1:31" x14ac:dyDescent="0.3">
      <c r="A8" s="2" t="s">
        <v>4</v>
      </c>
      <c r="B8" s="2" t="s">
        <v>4</v>
      </c>
      <c r="C8" s="15" t="s">
        <v>17</v>
      </c>
      <c r="D8" s="39" t="s">
        <v>61</v>
      </c>
      <c r="E8" s="38">
        <v>1</v>
      </c>
      <c r="F8" s="38">
        <v>0</v>
      </c>
      <c r="G8" s="38">
        <v>0</v>
      </c>
      <c r="H8" s="33">
        <f t="shared" si="3"/>
        <v>1</v>
      </c>
      <c r="I8" s="15" t="s">
        <v>17</v>
      </c>
      <c r="J8" s="1" t="s">
        <v>24</v>
      </c>
      <c r="K8" s="3" t="s">
        <v>5</v>
      </c>
      <c r="L8" s="39" t="s">
        <v>61</v>
      </c>
      <c r="M8" s="38">
        <v>1</v>
      </c>
      <c r="N8" s="38">
        <v>1</v>
      </c>
      <c r="O8" s="38">
        <v>0</v>
      </c>
      <c r="P8" s="33">
        <f t="shared" si="5"/>
        <v>2</v>
      </c>
      <c r="Q8" s="46" t="s">
        <v>50</v>
      </c>
      <c r="R8" s="51" cm="1">
        <f t="array" ref="R8">R6-P5-H5-SUM(U3:U28*AB3:AB28)*0.8-R7*8</f>
        <v>-12</v>
      </c>
      <c r="S8" s="23"/>
      <c r="T8" s="7" t="s">
        <v>9</v>
      </c>
      <c r="U8" s="1">
        <v>200</v>
      </c>
      <c r="V8" s="1">
        <v>60</v>
      </c>
      <c r="W8" s="42"/>
      <c r="X8" s="60">
        <v>189</v>
      </c>
      <c r="Y8" s="43">
        <v>189</v>
      </c>
      <c r="Z8" s="1">
        <f t="shared" si="1"/>
        <v>0</v>
      </c>
      <c r="AA8" s="1">
        <f t="shared" si="4"/>
        <v>0</v>
      </c>
      <c r="AB8" s="50">
        <f t="shared" si="2"/>
        <v>189</v>
      </c>
      <c r="AD8" s="56"/>
    </row>
    <row r="9" spans="1:31" x14ac:dyDescent="0.3">
      <c r="A9" s="15" t="s">
        <v>17</v>
      </c>
      <c r="B9" s="2" t="s">
        <v>4</v>
      </c>
      <c r="C9" s="3" t="s">
        <v>5</v>
      </c>
      <c r="D9" s="23"/>
      <c r="E9" s="23"/>
      <c r="F9" s="23"/>
      <c r="G9" s="23"/>
      <c r="H9" s="24"/>
      <c r="I9" s="1" t="s">
        <v>24</v>
      </c>
      <c r="J9" s="3" t="s">
        <v>5</v>
      </c>
      <c r="K9" s="15" t="s">
        <v>17</v>
      </c>
      <c r="L9" s="30" t="s">
        <v>39</v>
      </c>
      <c r="M9" s="34">
        <f>M6/M5</f>
        <v>0.42229729729729731</v>
      </c>
      <c r="N9" s="34">
        <f>N6/N5</f>
        <v>0.74003067484662577</v>
      </c>
      <c r="O9" s="34">
        <f>O6/O5</f>
        <v>0.3716216216216216</v>
      </c>
      <c r="P9" s="35">
        <f>P6/P5</f>
        <v>0.57676848874598075</v>
      </c>
      <c r="Q9" s="46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60">
        <v>5</v>
      </c>
      <c r="Y9" s="43">
        <v>0</v>
      </c>
      <c r="Z9" s="1">
        <f t="shared" si="1"/>
        <v>0</v>
      </c>
      <c r="AA9" s="1">
        <f t="shared" si="4"/>
        <v>0</v>
      </c>
      <c r="AB9" s="50">
        <f t="shared" si="2"/>
        <v>0</v>
      </c>
      <c r="AD9" s="56">
        <v>3</v>
      </c>
      <c r="AE9">
        <v>2</v>
      </c>
    </row>
    <row r="10" spans="1:31" x14ac:dyDescent="0.3">
      <c r="A10" s="2" t="s">
        <v>4</v>
      </c>
      <c r="B10" s="2" t="s">
        <v>4</v>
      </c>
      <c r="C10" s="3" t="s">
        <v>5</v>
      </c>
      <c r="D10" s="23"/>
      <c r="E10" s="23"/>
      <c r="F10" s="23"/>
      <c r="G10" s="23"/>
      <c r="H10" s="24"/>
      <c r="I10" s="3" t="s">
        <v>5</v>
      </c>
      <c r="J10" s="3" t="s">
        <v>5</v>
      </c>
      <c r="K10" s="1" t="s">
        <v>24</v>
      </c>
      <c r="L10" s="23"/>
      <c r="M10" s="23"/>
      <c r="N10" s="23"/>
      <c r="O10" s="23"/>
      <c r="P10" s="24"/>
      <c r="Q10" s="46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60">
        <v>6</v>
      </c>
      <c r="Y10" s="43">
        <v>3</v>
      </c>
      <c r="Z10" s="1">
        <f t="shared" si="1"/>
        <v>3</v>
      </c>
      <c r="AA10" s="1">
        <f t="shared" si="4"/>
        <v>0</v>
      </c>
      <c r="AB10" s="50">
        <f t="shared" si="2"/>
        <v>0</v>
      </c>
      <c r="AD10" s="56">
        <v>4</v>
      </c>
      <c r="AE10">
        <v>2</v>
      </c>
    </row>
    <row r="11" spans="1:31" x14ac:dyDescent="0.3">
      <c r="A11" s="2" t="s">
        <v>4</v>
      </c>
      <c r="B11" s="2" t="s">
        <v>4</v>
      </c>
      <c r="C11" s="2" t="s">
        <v>4</v>
      </c>
      <c r="D11" s="23"/>
      <c r="E11" s="23"/>
      <c r="F11" s="23"/>
      <c r="G11" s="23"/>
      <c r="H11" s="24"/>
      <c r="I11" s="15" t="s">
        <v>17</v>
      </c>
      <c r="J11" s="21" t="s">
        <v>26</v>
      </c>
      <c r="K11" s="1" t="s">
        <v>24</v>
      </c>
      <c r="L11" s="23"/>
      <c r="M11" s="23"/>
      <c r="N11" s="23"/>
      <c r="O11" s="23"/>
      <c r="P11" s="24">
        <f>H5+P5</f>
        <v>18188</v>
      </c>
      <c r="Q11" s="46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60">
        <v>6</v>
      </c>
      <c r="Y11" s="43">
        <v>6</v>
      </c>
      <c r="Z11" s="1">
        <f t="shared" si="1"/>
        <v>1</v>
      </c>
      <c r="AA11" s="1">
        <f t="shared" si="4"/>
        <v>0</v>
      </c>
      <c r="AB11" s="50">
        <f t="shared" si="2"/>
        <v>5</v>
      </c>
      <c r="AD11" s="56">
        <v>4</v>
      </c>
      <c r="AE11">
        <v>2</v>
      </c>
    </row>
    <row r="12" spans="1:31" x14ac:dyDescent="0.3">
      <c r="A12" s="2" t="s">
        <v>4</v>
      </c>
      <c r="B12" s="15" t="s">
        <v>17</v>
      </c>
      <c r="C12" s="4" t="s">
        <v>6</v>
      </c>
      <c r="D12" s="23"/>
      <c r="E12" s="23"/>
      <c r="F12" s="23"/>
      <c r="G12" s="23"/>
      <c r="H12" s="24"/>
      <c r="I12" s="1" t="s">
        <v>24</v>
      </c>
      <c r="J12" s="3" t="s">
        <v>5</v>
      </c>
      <c r="K12" s="1" t="s">
        <v>24</v>
      </c>
      <c r="L12" s="23"/>
      <c r="M12" s="23"/>
      <c r="N12" s="23"/>
      <c r="O12" s="23"/>
      <c r="P12" s="24">
        <f>H6+P6</f>
        <v>6370</v>
      </c>
      <c r="Q12" s="46"/>
      <c r="R12" s="23"/>
      <c r="S12" s="23"/>
      <c r="T12" s="11" t="s">
        <v>13</v>
      </c>
      <c r="U12" s="1">
        <v>150</v>
      </c>
      <c r="V12" s="1">
        <v>50</v>
      </c>
      <c r="W12" s="42"/>
      <c r="X12" s="60">
        <v>3</v>
      </c>
      <c r="Y12" s="43">
        <v>3</v>
      </c>
      <c r="Z12" s="1">
        <f t="shared" si="1"/>
        <v>0</v>
      </c>
      <c r="AA12" s="1">
        <f t="shared" si="4"/>
        <v>0</v>
      </c>
      <c r="AB12" s="50">
        <f t="shared" si="2"/>
        <v>3</v>
      </c>
      <c r="AD12" s="56">
        <v>3</v>
      </c>
    </row>
    <row r="13" spans="1:31" x14ac:dyDescent="0.3">
      <c r="A13" s="2" t="s">
        <v>4</v>
      </c>
      <c r="B13" s="2" t="s">
        <v>4</v>
      </c>
      <c r="C13" s="4" t="s">
        <v>6</v>
      </c>
      <c r="D13" s="23"/>
      <c r="E13" s="23"/>
      <c r="F13" s="23"/>
      <c r="G13" s="23"/>
      <c r="H13" s="24"/>
      <c r="I13" s="1" t="s">
        <v>24</v>
      </c>
      <c r="J13" s="3" t="s">
        <v>5</v>
      </c>
      <c r="K13" s="1" t="s">
        <v>24</v>
      </c>
      <c r="L13" s="23"/>
      <c r="M13" s="23"/>
      <c r="N13" s="23"/>
      <c r="O13" s="23"/>
      <c r="P13" s="24"/>
      <c r="Q13" s="46"/>
      <c r="R13" s="23"/>
      <c r="S13" s="23"/>
      <c r="T13" s="12" t="s">
        <v>14</v>
      </c>
      <c r="U13" s="1">
        <v>150</v>
      </c>
      <c r="V13" s="1">
        <v>55</v>
      </c>
      <c r="W13" s="42"/>
      <c r="X13" s="60">
        <v>3</v>
      </c>
      <c r="Y13" s="43">
        <v>3</v>
      </c>
      <c r="Z13" s="1">
        <f t="shared" si="1"/>
        <v>0</v>
      </c>
      <c r="AA13" s="1">
        <f t="shared" si="4"/>
        <v>0</v>
      </c>
      <c r="AB13" s="50">
        <f t="shared" si="2"/>
        <v>3</v>
      </c>
      <c r="AD13" s="56">
        <v>3</v>
      </c>
    </row>
    <row r="14" spans="1:31" x14ac:dyDescent="0.3">
      <c r="A14" s="2" t="s">
        <v>4</v>
      </c>
      <c r="B14" s="2" t="s">
        <v>4</v>
      </c>
      <c r="C14" s="4" t="s">
        <v>6</v>
      </c>
      <c r="D14" s="23"/>
      <c r="E14" s="23"/>
      <c r="F14" s="23"/>
      <c r="G14" s="23"/>
      <c r="H14" s="24"/>
      <c r="I14" s="1" t="s">
        <v>24</v>
      </c>
      <c r="J14" s="15" t="s">
        <v>17</v>
      </c>
      <c r="K14" s="1" t="s">
        <v>24</v>
      </c>
      <c r="L14" s="23"/>
      <c r="M14" s="23"/>
      <c r="N14" s="23"/>
      <c r="O14" s="23"/>
      <c r="P14" s="24"/>
      <c r="Q14" s="46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60">
        <v>1</v>
      </c>
      <c r="Y14" s="43">
        <v>1</v>
      </c>
      <c r="Z14" s="1">
        <f t="shared" si="1"/>
        <v>0</v>
      </c>
      <c r="AA14" s="1">
        <f t="shared" si="4"/>
        <v>0</v>
      </c>
      <c r="AB14" s="50">
        <f t="shared" si="2"/>
        <v>1</v>
      </c>
      <c r="AD14" s="56">
        <v>1</v>
      </c>
    </row>
    <row r="15" spans="1:31" x14ac:dyDescent="0.3">
      <c r="A15" s="2" t="s">
        <v>4</v>
      </c>
      <c r="B15" s="3" t="s">
        <v>5</v>
      </c>
      <c r="C15" s="17" t="s">
        <v>64</v>
      </c>
      <c r="D15" s="23"/>
      <c r="E15" s="23"/>
      <c r="F15" s="23"/>
      <c r="G15" s="23"/>
      <c r="H15" s="24"/>
      <c r="I15" s="1" t="s">
        <v>24</v>
      </c>
      <c r="J15" s="3" t="s">
        <v>5</v>
      </c>
      <c r="K15" s="1" t="s">
        <v>24</v>
      </c>
      <c r="L15" s="23"/>
      <c r="M15" s="23"/>
      <c r="N15" s="23"/>
      <c r="O15" s="23"/>
      <c r="P15" s="24"/>
      <c r="Q15" s="46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60"/>
      <c r="Y15" s="43">
        <v>0</v>
      </c>
      <c r="Z15" s="1">
        <f t="shared" si="1"/>
        <v>0</v>
      </c>
      <c r="AA15" s="1">
        <f t="shared" si="4"/>
        <v>0</v>
      </c>
      <c r="AB15" s="50">
        <f t="shared" si="2"/>
        <v>0</v>
      </c>
      <c r="AD15" s="56"/>
    </row>
    <row r="16" spans="1:31" x14ac:dyDescent="0.3">
      <c r="A16" s="2" t="s">
        <v>4</v>
      </c>
      <c r="B16" s="15" t="s">
        <v>17</v>
      </c>
      <c r="C16" s="4" t="s">
        <v>6</v>
      </c>
      <c r="D16" s="23"/>
      <c r="E16" s="23"/>
      <c r="F16" s="23"/>
      <c r="G16" s="23"/>
      <c r="H16" s="24"/>
      <c r="I16" s="1" t="s">
        <v>24</v>
      </c>
      <c r="J16" s="3" t="s">
        <v>5</v>
      </c>
      <c r="K16" s="1" t="s">
        <v>24</v>
      </c>
      <c r="L16" s="23"/>
      <c r="M16" s="23"/>
      <c r="N16" s="23"/>
      <c r="O16" s="23"/>
      <c r="P16" s="24"/>
      <c r="Q16" s="46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60">
        <v>40</v>
      </c>
      <c r="Y16" s="43">
        <v>40</v>
      </c>
      <c r="Z16" s="1">
        <f t="shared" si="1"/>
        <v>12</v>
      </c>
      <c r="AA16" s="1">
        <f t="shared" si="4"/>
        <v>8</v>
      </c>
      <c r="AB16" s="50">
        <f t="shared" si="2"/>
        <v>20</v>
      </c>
      <c r="AD16" s="56"/>
    </row>
    <row r="17" spans="1:30" x14ac:dyDescent="0.3">
      <c r="A17" s="15" t="s">
        <v>17</v>
      </c>
      <c r="B17" s="3" t="s">
        <v>5</v>
      </c>
      <c r="C17" s="1" t="s">
        <v>24</v>
      </c>
      <c r="D17" s="23"/>
      <c r="E17" s="23"/>
      <c r="F17" s="23"/>
      <c r="G17" s="23"/>
      <c r="H17" s="24"/>
      <c r="I17" s="1" t="s">
        <v>24</v>
      </c>
      <c r="J17" s="2" t="s">
        <v>4</v>
      </c>
      <c r="K17" s="1" t="s">
        <v>24</v>
      </c>
      <c r="L17" s="23"/>
      <c r="M17" s="23"/>
      <c r="N17" s="23"/>
      <c r="O17" s="23"/>
      <c r="P17" s="24"/>
      <c r="Q17" s="46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60">
        <v>3</v>
      </c>
      <c r="Y17" s="43">
        <v>3</v>
      </c>
      <c r="Z17" s="1">
        <f t="shared" si="1"/>
        <v>2</v>
      </c>
      <c r="AA17" s="1">
        <f t="shared" si="4"/>
        <v>0</v>
      </c>
      <c r="AB17" s="50">
        <f t="shared" si="2"/>
        <v>1</v>
      </c>
      <c r="AD17" s="56"/>
    </row>
    <row r="18" spans="1:30" x14ac:dyDescent="0.3">
      <c r="A18" s="2" t="s">
        <v>4</v>
      </c>
      <c r="B18" s="4" t="s">
        <v>6</v>
      </c>
      <c r="C18" s="1" t="s">
        <v>24</v>
      </c>
      <c r="D18" s="23"/>
      <c r="E18" s="23"/>
      <c r="F18" s="23"/>
      <c r="G18" s="23"/>
      <c r="H18" s="24"/>
      <c r="I18" s="1" t="s">
        <v>24</v>
      </c>
      <c r="J18" s="3" t="s">
        <v>5</v>
      </c>
      <c r="K18" s="1" t="s">
        <v>24</v>
      </c>
      <c r="L18" s="23"/>
      <c r="M18" s="23"/>
      <c r="N18" s="23"/>
      <c r="O18" s="23"/>
      <c r="P18" s="24"/>
      <c r="Q18" s="46"/>
      <c r="R18" s="23"/>
      <c r="S18" s="23"/>
      <c r="T18" s="17" t="s">
        <v>19</v>
      </c>
      <c r="U18" s="1">
        <v>250</v>
      </c>
      <c r="V18" s="1">
        <v>300</v>
      </c>
      <c r="W18" s="42"/>
      <c r="X18" s="60">
        <v>3</v>
      </c>
      <c r="Y18" s="43">
        <v>3</v>
      </c>
      <c r="Z18" s="1">
        <f t="shared" si="1"/>
        <v>3</v>
      </c>
      <c r="AA18" s="1">
        <f t="shared" si="4"/>
        <v>0</v>
      </c>
      <c r="AB18" s="50">
        <f t="shared" si="2"/>
        <v>0</v>
      </c>
      <c r="AD18" s="56"/>
    </row>
    <row r="19" spans="1:30" x14ac:dyDescent="0.3">
      <c r="A19" s="2" t="s">
        <v>4</v>
      </c>
      <c r="B19" s="4" t="s">
        <v>6</v>
      </c>
      <c r="C19" s="15" t="s">
        <v>17</v>
      </c>
      <c r="D19" s="23"/>
      <c r="E19" s="23"/>
      <c r="F19" s="23"/>
      <c r="G19" s="23"/>
      <c r="H19" s="24"/>
      <c r="I19" s="1" t="s">
        <v>24</v>
      </c>
      <c r="J19" s="3" t="s">
        <v>5</v>
      </c>
      <c r="K19" s="1" t="s">
        <v>24</v>
      </c>
      <c r="L19" s="23"/>
      <c r="M19" s="23"/>
      <c r="N19" s="23"/>
      <c r="O19" s="23"/>
      <c r="P19" s="24"/>
      <c r="Q19" s="46"/>
      <c r="R19" s="23"/>
      <c r="S19" s="23"/>
      <c r="T19" s="17" t="s">
        <v>64</v>
      </c>
      <c r="U19" s="1">
        <v>170</v>
      </c>
      <c r="V19" s="1">
        <v>45</v>
      </c>
      <c r="W19" s="42"/>
      <c r="X19" s="60">
        <v>5</v>
      </c>
      <c r="Y19" s="43">
        <v>5</v>
      </c>
      <c r="Z19" s="1">
        <f t="shared" si="1"/>
        <v>5</v>
      </c>
      <c r="AA19" s="1">
        <f t="shared" si="4"/>
        <v>0</v>
      </c>
      <c r="AB19" s="50">
        <f t="shared" si="2"/>
        <v>0</v>
      </c>
      <c r="AD19" s="56"/>
    </row>
    <row r="20" spans="1:30" x14ac:dyDescent="0.3">
      <c r="A20" s="2" t="s">
        <v>4</v>
      </c>
      <c r="B20" s="16" t="s">
        <v>18</v>
      </c>
      <c r="C20" s="4" t="s">
        <v>6</v>
      </c>
      <c r="D20" s="23"/>
      <c r="E20" s="23"/>
      <c r="F20" s="23"/>
      <c r="G20" s="23"/>
      <c r="H20" s="24"/>
      <c r="I20" s="1" t="s">
        <v>24</v>
      </c>
      <c r="J20" s="15" t="s">
        <v>17</v>
      </c>
      <c r="K20" s="1" t="s">
        <v>24</v>
      </c>
      <c r="L20" s="23"/>
      <c r="M20" s="23"/>
      <c r="N20" s="23"/>
      <c r="O20" s="23"/>
      <c r="P20" s="24"/>
      <c r="Q20" s="46"/>
      <c r="R20" s="23"/>
      <c r="S20" s="23"/>
      <c r="T20" s="17" t="s">
        <v>63</v>
      </c>
      <c r="U20" s="1">
        <v>250</v>
      </c>
      <c r="V20" s="1">
        <v>400</v>
      </c>
      <c r="W20" s="42"/>
      <c r="X20" s="60">
        <v>0</v>
      </c>
      <c r="Y20" s="43">
        <v>0</v>
      </c>
      <c r="Z20" s="1">
        <f t="shared" si="1"/>
        <v>0</v>
      </c>
      <c r="AA20" s="1">
        <f t="shared" si="4"/>
        <v>0</v>
      </c>
      <c r="AB20" s="50">
        <f t="shared" si="2"/>
        <v>0</v>
      </c>
      <c r="AD20" s="56"/>
    </row>
    <row r="21" spans="1:30" x14ac:dyDescent="0.3">
      <c r="A21" s="4" t="s">
        <v>6</v>
      </c>
      <c r="B21" s="4" t="s">
        <v>6</v>
      </c>
      <c r="C21" s="4" t="s">
        <v>6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6"/>
      <c r="R21" s="23"/>
      <c r="S21" s="23"/>
      <c r="T21" s="18" t="s">
        <v>20</v>
      </c>
      <c r="U21" s="1">
        <v>250</v>
      </c>
      <c r="V21" s="1">
        <v>1000</v>
      </c>
      <c r="W21" s="42"/>
      <c r="X21" s="60">
        <v>2</v>
      </c>
      <c r="Y21" s="43">
        <v>2</v>
      </c>
      <c r="Z21" s="1">
        <f t="shared" si="1"/>
        <v>0</v>
      </c>
      <c r="AA21" s="1">
        <f t="shared" si="4"/>
        <v>0</v>
      </c>
      <c r="AB21" s="50">
        <f t="shared" si="2"/>
        <v>2</v>
      </c>
      <c r="AD21" s="56"/>
    </row>
    <row r="22" spans="1:30" x14ac:dyDescent="0.3">
      <c r="A22" s="4" t="s">
        <v>6</v>
      </c>
      <c r="B22" s="17" t="s">
        <v>19</v>
      </c>
      <c r="C22" s="4" t="s">
        <v>6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6"/>
      <c r="R22" s="23"/>
      <c r="S22" s="23"/>
      <c r="T22" s="19" t="s">
        <v>21</v>
      </c>
      <c r="U22" s="1">
        <v>250</v>
      </c>
      <c r="V22" s="1">
        <v>500</v>
      </c>
      <c r="W22" s="42"/>
      <c r="X22" s="60">
        <v>2</v>
      </c>
      <c r="Y22" s="43">
        <v>2</v>
      </c>
      <c r="Z22" s="1">
        <f t="shared" si="1"/>
        <v>0</v>
      </c>
      <c r="AA22" s="1">
        <f t="shared" si="4"/>
        <v>0</v>
      </c>
      <c r="AB22" s="50">
        <f t="shared" si="2"/>
        <v>2</v>
      </c>
      <c r="AD22" s="56"/>
    </row>
    <row r="23" spans="1:30" x14ac:dyDescent="0.3">
      <c r="A23" s="4" t="s">
        <v>6</v>
      </c>
      <c r="B23" s="3" t="s">
        <v>5</v>
      </c>
      <c r="C23" s="4" t="s">
        <v>6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6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60">
        <v>0</v>
      </c>
      <c r="Y23" s="43">
        <v>0</v>
      </c>
      <c r="Z23" s="1">
        <f t="shared" si="1"/>
        <v>0</v>
      </c>
      <c r="AA23" s="1">
        <f t="shared" si="4"/>
        <v>0</v>
      </c>
      <c r="AB23" s="50">
        <f t="shared" si="2"/>
        <v>0</v>
      </c>
      <c r="AD23" s="56"/>
    </row>
    <row r="24" spans="1:30" x14ac:dyDescent="0.3">
      <c r="A24" s="17" t="s">
        <v>64</v>
      </c>
      <c r="B24" s="9" t="s">
        <v>11</v>
      </c>
      <c r="C24" s="4" t="s">
        <v>6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6"/>
      <c r="R24" s="23"/>
      <c r="S24" s="23"/>
      <c r="T24" s="55" t="s">
        <v>22</v>
      </c>
      <c r="U24" s="1">
        <v>160</v>
      </c>
      <c r="V24" s="1">
        <v>40</v>
      </c>
      <c r="W24" s="42">
        <f t="shared" si="8"/>
        <v>39.110982162825422</v>
      </c>
      <c r="X24" s="60">
        <v>0</v>
      </c>
      <c r="Y24" s="43">
        <v>0</v>
      </c>
      <c r="Z24" s="1">
        <f t="shared" si="1"/>
        <v>0</v>
      </c>
      <c r="AA24" s="1">
        <f t="shared" si="4"/>
        <v>0</v>
      </c>
      <c r="AB24" s="50">
        <f t="shared" si="2"/>
        <v>0</v>
      </c>
      <c r="AD24" s="56"/>
    </row>
    <row r="25" spans="1:30" x14ac:dyDescent="0.3">
      <c r="A25" s="3" t="s">
        <v>5</v>
      </c>
      <c r="B25" s="3" t="s">
        <v>5</v>
      </c>
      <c r="C25" s="4" t="s">
        <v>6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6"/>
      <c r="R25" s="23"/>
      <c r="S25" s="23"/>
      <c r="T25" s="55" t="s">
        <v>23</v>
      </c>
      <c r="U25" s="1">
        <v>150</v>
      </c>
      <c r="V25" s="1">
        <v>35</v>
      </c>
      <c r="W25" s="42">
        <f t="shared" si="8"/>
        <v>44.222109392472248</v>
      </c>
      <c r="X25" s="60">
        <v>0</v>
      </c>
      <c r="Y25" s="43">
        <v>0</v>
      </c>
      <c r="Z25" s="1">
        <f t="shared" si="1"/>
        <v>0</v>
      </c>
      <c r="AA25" s="1">
        <f t="shared" si="4"/>
        <v>0</v>
      </c>
      <c r="AB25" s="50">
        <f t="shared" si="2"/>
        <v>0</v>
      </c>
      <c r="AD25" s="56"/>
    </row>
    <row r="26" spans="1:30" x14ac:dyDescent="0.3">
      <c r="A26" s="3" t="s">
        <v>5</v>
      </c>
      <c r="B26" s="3" t="s">
        <v>5</v>
      </c>
      <c r="C26" s="4" t="s">
        <v>6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6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60">
        <v>0</v>
      </c>
      <c r="Y26" s="43">
        <v>0</v>
      </c>
      <c r="Z26" s="1"/>
      <c r="AA26" s="1"/>
      <c r="AB26" s="50"/>
      <c r="AD26" s="56"/>
    </row>
    <row r="27" spans="1:30" x14ac:dyDescent="0.3">
      <c r="A27" s="3" t="s">
        <v>5</v>
      </c>
      <c r="B27" s="3" t="s">
        <v>5</v>
      </c>
      <c r="C27" s="17" t="s">
        <v>64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6"/>
      <c r="R27" s="23"/>
      <c r="S27" s="23"/>
      <c r="T27" s="16" t="s">
        <v>25</v>
      </c>
      <c r="U27" s="1">
        <v>-200</v>
      </c>
      <c r="V27" s="1">
        <v>0</v>
      </c>
      <c r="W27" s="42"/>
      <c r="X27" s="60">
        <v>12</v>
      </c>
      <c r="Y27" s="43">
        <v>12</v>
      </c>
      <c r="Z27" s="1">
        <f t="shared" si="1"/>
        <v>0</v>
      </c>
      <c r="AA27" s="1">
        <f t="shared" si="4"/>
        <v>0</v>
      </c>
      <c r="AB27" s="50">
        <f t="shared" si="2"/>
        <v>12</v>
      </c>
      <c r="AD27" s="56"/>
    </row>
    <row r="28" spans="1:30" x14ac:dyDescent="0.3">
      <c r="A28" s="9" t="s">
        <v>11</v>
      </c>
      <c r="B28" s="15" t="s">
        <v>17</v>
      </c>
      <c r="C28" s="1" t="s">
        <v>24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6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60">
        <v>3</v>
      </c>
      <c r="Y28" s="43">
        <v>3</v>
      </c>
      <c r="Z28" s="1">
        <f t="shared" si="1"/>
        <v>0</v>
      </c>
      <c r="AA28" s="1">
        <f t="shared" si="4"/>
        <v>1</v>
      </c>
      <c r="AB28" s="50">
        <f t="shared" si="2"/>
        <v>2</v>
      </c>
      <c r="AD28" s="56"/>
    </row>
    <row r="29" spans="1:30" ht="15" thickBot="1" x14ac:dyDescent="0.35">
      <c r="A29" s="3" t="s">
        <v>5</v>
      </c>
      <c r="B29" s="3" t="s">
        <v>5</v>
      </c>
      <c r="C29" s="1" t="s">
        <v>24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2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3"/>
      <c r="AD29" s="56"/>
    </row>
    <row r="30" spans="1:30" x14ac:dyDescent="0.3">
      <c r="A30" s="15" t="s">
        <v>17</v>
      </c>
      <c r="B30" s="3" t="s">
        <v>5</v>
      </c>
      <c r="C30" s="1" t="s">
        <v>24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3">
      <c r="A31" s="3" t="s">
        <v>5</v>
      </c>
      <c r="B31" s="4" t="s">
        <v>6</v>
      </c>
      <c r="C31" s="1" t="s">
        <v>24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1063</v>
      </c>
      <c r="AB31">
        <f>SUM(AB3:AB28)</f>
        <v>929</v>
      </c>
    </row>
    <row r="32" spans="1:30" x14ac:dyDescent="0.3">
      <c r="A32" s="9" t="s">
        <v>11</v>
      </c>
      <c r="B32" s="4" t="s">
        <v>6</v>
      </c>
      <c r="C32" s="1" t="s">
        <v>24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3">
      <c r="A33" s="4" t="s">
        <v>6</v>
      </c>
      <c r="B33" s="4" t="s">
        <v>6</v>
      </c>
      <c r="C33" s="1" t="s">
        <v>24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3">
      <c r="A34" s="4" t="s">
        <v>6</v>
      </c>
      <c r="B34" s="17" t="s">
        <v>64</v>
      </c>
      <c r="C34" s="1" t="s">
        <v>24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3">
      <c r="A35" s="17" t="s">
        <v>19</v>
      </c>
      <c r="B35" s="1" t="s">
        <v>24</v>
      </c>
      <c r="C35" s="1" t="s">
        <v>24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3">
      <c r="A36" s="1" t="s">
        <v>24</v>
      </c>
      <c r="B36" s="1" t="s">
        <v>24</v>
      </c>
      <c r="C36" s="1" t="s">
        <v>24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3">
      <c r="A37" s="2" t="s">
        <v>4</v>
      </c>
      <c r="B37" s="1" t="s">
        <v>24</v>
      </c>
      <c r="C37" s="1" t="s">
        <v>24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3">
      <c r="A38" s="2" t="s">
        <v>4</v>
      </c>
      <c r="B38" s="1" t="s">
        <v>24</v>
      </c>
      <c r="C38" s="1" t="s">
        <v>24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3">
      <c r="A39" s="2" t="s">
        <v>4</v>
      </c>
      <c r="B39" s="1" t="s">
        <v>24</v>
      </c>
      <c r="C39" s="1" t="s">
        <v>24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3">
      <c r="A40" s="3" t="s">
        <v>5</v>
      </c>
      <c r="B40" s="1" t="s">
        <v>24</v>
      </c>
      <c r="C40" s="1" t="s">
        <v>24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3">
      <c r="A41" s="15" t="s">
        <v>17</v>
      </c>
      <c r="B41" s="1" t="s">
        <v>24</v>
      </c>
      <c r="C41" s="1" t="s">
        <v>24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3">
      <c r="A42" s="3" t="s">
        <v>5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3">
      <c r="A43" s="3" t="s">
        <v>5</v>
      </c>
      <c r="B43" s="1" t="s">
        <v>24</v>
      </c>
      <c r="C43" s="1" t="s">
        <v>24</v>
      </c>
      <c r="D43" s="23"/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3">
      <c r="A44" s="4" t="s">
        <v>6</v>
      </c>
      <c r="B44" s="1" t="s">
        <v>24</v>
      </c>
      <c r="C44" s="1" t="s">
        <v>24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3">
      <c r="A45" s="4" t="s">
        <v>6</v>
      </c>
      <c r="B45" s="1" t="s">
        <v>24</v>
      </c>
      <c r="C45" s="1" t="s">
        <v>24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3">
      <c r="A46" s="15" t="s">
        <v>17</v>
      </c>
      <c r="B46" s="1" t="s">
        <v>24</v>
      </c>
      <c r="C46" s="1" t="s">
        <v>24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3">
      <c r="A47" s="4" t="s">
        <v>6</v>
      </c>
      <c r="B47" s="1" t="s">
        <v>24</v>
      </c>
      <c r="C47" s="1" t="s">
        <v>24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3">
      <c r="A48" s="17" t="s">
        <v>19</v>
      </c>
      <c r="B48" s="1" t="s">
        <v>24</v>
      </c>
      <c r="C48" s="1" t="s">
        <v>24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3">
      <c r="A49" s="4" t="s">
        <v>6</v>
      </c>
      <c r="B49" s="1" t="s">
        <v>24</v>
      </c>
      <c r="C49" s="1" t="s">
        <v>24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3">
      <c r="A50" s="4" t="s">
        <v>6</v>
      </c>
      <c r="B50" s="1" t="s">
        <v>24</v>
      </c>
      <c r="C50" s="1" t="s">
        <v>24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3">
      <c r="A51" s="16" t="s">
        <v>18</v>
      </c>
      <c r="B51" s="1" t="s">
        <v>24</v>
      </c>
      <c r="C51" s="1" t="s">
        <v>24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3">
      <c r="A52" s="4" t="s">
        <v>6</v>
      </c>
      <c r="B52" s="1" t="s">
        <v>24</v>
      </c>
      <c r="C52" s="1" t="s">
        <v>24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3">
      <c r="A53" s="4" t="s">
        <v>6</v>
      </c>
      <c r="B53" s="1" t="s">
        <v>24</v>
      </c>
      <c r="C53" s="1" t="s">
        <v>24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3">
      <c r="A54" s="15" t="s">
        <v>17</v>
      </c>
      <c r="B54" s="1" t="s">
        <v>24</v>
      </c>
      <c r="C54" s="1" t="s">
        <v>24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3">
      <c r="A55" s="4" t="s">
        <v>6</v>
      </c>
      <c r="B55" s="1" t="s">
        <v>24</v>
      </c>
      <c r="C55" s="1" t="s">
        <v>24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3">
      <c r="A56" s="4" t="s">
        <v>6</v>
      </c>
      <c r="B56" s="1" t="s">
        <v>24</v>
      </c>
      <c r="C56" s="1" t="s">
        <v>24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3">
      <c r="A57" s="10" t="s">
        <v>12</v>
      </c>
      <c r="B57" s="1" t="s">
        <v>24</v>
      </c>
      <c r="C57" s="1" t="s">
        <v>24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3">
      <c r="A58" s="4" t="s">
        <v>6</v>
      </c>
      <c r="B58" s="1" t="s">
        <v>24</v>
      </c>
      <c r="C58" s="1" t="s">
        <v>24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3">
      <c r="A59" s="17" t="s">
        <v>64</v>
      </c>
      <c r="B59" s="1" t="s">
        <v>24</v>
      </c>
      <c r="C59" s="1" t="s">
        <v>24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3">
      <c r="A60" s="1" t="s">
        <v>24</v>
      </c>
      <c r="B60" s="1" t="s">
        <v>24</v>
      </c>
      <c r="C60" s="1" t="s">
        <v>24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3">
      <c r="A61" s="1" t="s">
        <v>24</v>
      </c>
      <c r="B61" s="1" t="s">
        <v>24</v>
      </c>
      <c r="C61" s="1" t="s">
        <v>24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3">
      <c r="A62" s="1" t="s">
        <v>24</v>
      </c>
      <c r="B62" s="1" t="s">
        <v>24</v>
      </c>
      <c r="C62" s="1" t="s">
        <v>24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3">
      <c r="A63" s="1" t="s">
        <v>24</v>
      </c>
      <c r="B63" s="1" t="s">
        <v>24</v>
      </c>
      <c r="C63" s="1" t="s">
        <v>24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3">
      <c r="A64" s="1" t="s">
        <v>24</v>
      </c>
      <c r="B64" s="1" t="s">
        <v>24</v>
      </c>
      <c r="C64" s="1" t="s">
        <v>24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3">
      <c r="A65" s="1" t="s">
        <v>24</v>
      </c>
      <c r="B65" s="1" t="s">
        <v>24</v>
      </c>
      <c r="C65" s="1" t="s">
        <v>24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3">
      <c r="A66" s="1" t="s">
        <v>24</v>
      </c>
      <c r="B66" s="1" t="s">
        <v>24</v>
      </c>
      <c r="C66" s="1" t="s">
        <v>24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3">
      <c r="A67" s="1" t="s">
        <v>24</v>
      </c>
      <c r="B67" s="1" t="s">
        <v>24</v>
      </c>
      <c r="C67" s="1" t="s">
        <v>24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3">
      <c r="A68" s="1" t="s">
        <v>24</v>
      </c>
      <c r="B68" s="1" t="s">
        <v>24</v>
      </c>
      <c r="C68" s="1" t="s">
        <v>24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3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3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3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3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3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3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3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3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3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3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3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3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3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3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3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3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3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3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3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3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3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3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3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3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3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3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3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3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3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3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3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" thickBot="1" x14ac:dyDescent="0.35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B7A0-16C6-4B31-9B75-BE9341ED76C6}">
  <dimension ref="A1:AE100"/>
  <sheetViews>
    <sheetView zoomScaleNormal="100" workbookViewId="0">
      <selection activeCell="G28" sqref="G28"/>
    </sheetView>
  </sheetViews>
  <sheetFormatPr defaultRowHeight="14.4" x14ac:dyDescent="0.3"/>
  <cols>
    <col min="23" max="23" width="8.88671875" customWidth="1"/>
  </cols>
  <sheetData>
    <row r="1" spans="1:31" ht="15.6" x14ac:dyDescent="0.3">
      <c r="A1" s="63" t="s">
        <v>27</v>
      </c>
      <c r="B1" s="64"/>
      <c r="C1" s="64"/>
      <c r="D1" s="64"/>
      <c r="E1" s="64"/>
      <c r="F1" s="65" t="s">
        <v>3</v>
      </c>
      <c r="G1" s="65"/>
      <c r="H1" s="22" cm="1">
        <f t="array" ref="H1">SUM(VLOOKUP(A4:C100,$T$3:$W$36,4,FALSE))+H4*10-H8*50</f>
        <v>3491.7717978010319</v>
      </c>
      <c r="I1" s="66" t="s">
        <v>38</v>
      </c>
      <c r="J1" s="67"/>
      <c r="K1" s="67"/>
      <c r="L1" s="67"/>
      <c r="M1" s="67"/>
      <c r="N1" s="67"/>
      <c r="O1" s="67"/>
      <c r="P1" s="68"/>
      <c r="Q1" s="66" t="s">
        <v>45</v>
      </c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</row>
    <row r="2" spans="1:31" ht="28.8" x14ac:dyDescent="0.3">
      <c r="A2" s="69" t="s">
        <v>32</v>
      </c>
      <c r="B2" s="70"/>
      <c r="C2" s="70"/>
      <c r="D2" s="71" t="s">
        <v>34</v>
      </c>
      <c r="E2" s="72"/>
      <c r="F2" s="72"/>
      <c r="G2" s="72"/>
      <c r="H2" s="73"/>
      <c r="I2" s="74" t="s">
        <v>32</v>
      </c>
      <c r="J2" s="75"/>
      <c r="K2" s="75"/>
      <c r="L2" s="76" t="s">
        <v>34</v>
      </c>
      <c r="M2" s="76"/>
      <c r="N2" s="76"/>
      <c r="O2" s="76"/>
      <c r="P2" s="77"/>
      <c r="Q2" s="46" t="s">
        <v>40</v>
      </c>
      <c r="R2" s="47" cm="1">
        <f t="array" ref="R2">SUM(V3:V28*AB3:AB28)+H6+P6+R4*500</f>
        <v>64715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60" t="s">
        <v>41</v>
      </c>
      <c r="Y2" s="43" t="s">
        <v>52</v>
      </c>
      <c r="Z2" s="44" t="s">
        <v>42</v>
      </c>
      <c r="AA2" s="44" t="s">
        <v>43</v>
      </c>
      <c r="AB2" s="48" t="s">
        <v>44</v>
      </c>
      <c r="AD2" s="23"/>
    </row>
    <row r="3" spans="1:31" x14ac:dyDescent="0.3">
      <c r="A3" s="57" t="s">
        <v>28</v>
      </c>
      <c r="B3" s="62" t="s">
        <v>29</v>
      </c>
      <c r="C3" s="19" t="s">
        <v>30</v>
      </c>
      <c r="D3" s="30"/>
      <c r="E3" s="57" t="s">
        <v>28</v>
      </c>
      <c r="F3" s="62" t="s">
        <v>29</v>
      </c>
      <c r="G3" s="19" t="s">
        <v>30</v>
      </c>
      <c r="H3" s="31" t="s">
        <v>33</v>
      </c>
      <c r="I3" s="57" t="s">
        <v>28</v>
      </c>
      <c r="J3" s="62" t="s">
        <v>29</v>
      </c>
      <c r="K3" s="19" t="s">
        <v>30</v>
      </c>
      <c r="L3" s="30"/>
      <c r="M3" s="57" t="s">
        <v>28</v>
      </c>
      <c r="N3" s="62" t="s">
        <v>29</v>
      </c>
      <c r="O3" s="19" t="s">
        <v>30</v>
      </c>
      <c r="P3" s="31" t="s">
        <v>33</v>
      </c>
      <c r="Q3" s="49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60"/>
      <c r="Y3" s="43">
        <v>31</v>
      </c>
      <c r="Z3" s="1">
        <f>COUNTIF($A$4:$C$100,T3)</f>
        <v>30</v>
      </c>
      <c r="AA3" s="1">
        <f>COUNTIF($I$4:$K$100,T3)</f>
        <v>1</v>
      </c>
      <c r="AB3" s="50">
        <f>Y3-Z3-AA3</f>
        <v>0</v>
      </c>
      <c r="AD3" s="56"/>
    </row>
    <row r="4" spans="1:31" x14ac:dyDescent="0.3">
      <c r="A4" s="2" t="s">
        <v>4</v>
      </c>
      <c r="B4" s="15" t="s">
        <v>17</v>
      </c>
      <c r="C4" s="2" t="s">
        <v>4</v>
      </c>
      <c r="D4" s="40" t="s">
        <v>31</v>
      </c>
      <c r="E4" s="36">
        <v>6</v>
      </c>
      <c r="F4" s="36">
        <v>0</v>
      </c>
      <c r="G4" s="36">
        <v>1</v>
      </c>
      <c r="H4" s="33">
        <f>SUM(E4:G4)</f>
        <v>7</v>
      </c>
      <c r="I4" s="3" t="s">
        <v>5</v>
      </c>
      <c r="J4" s="15" t="s">
        <v>17</v>
      </c>
      <c r="K4" s="3" t="s">
        <v>5</v>
      </c>
      <c r="L4" s="40" t="s">
        <v>31</v>
      </c>
      <c r="M4" s="36">
        <v>0</v>
      </c>
      <c r="N4" s="36">
        <v>5</v>
      </c>
      <c r="O4" s="36">
        <v>0</v>
      </c>
      <c r="P4" s="33">
        <f>SUM(M4:O4)</f>
        <v>5</v>
      </c>
      <c r="Q4" s="49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60"/>
      <c r="Y4" s="43">
        <v>35</v>
      </c>
      <c r="Z4" s="1">
        <f t="shared" ref="Z4:Z28" si="1">COUNTIF($A$4:$C$100,T4)</f>
        <v>17</v>
      </c>
      <c r="AA4" s="1">
        <f>COUNTIF($I$4:$K$100,T4)</f>
        <v>18</v>
      </c>
      <c r="AB4" s="50">
        <f t="shared" ref="AB4:AB28" si="2">Y4-Z4-AA4</f>
        <v>0</v>
      </c>
      <c r="AD4" s="56"/>
    </row>
    <row r="5" spans="1:31" x14ac:dyDescent="0.3">
      <c r="A5" s="2" t="s">
        <v>4</v>
      </c>
      <c r="B5" s="2" t="s">
        <v>4</v>
      </c>
      <c r="C5" s="2" t="s">
        <v>4</v>
      </c>
      <c r="D5" s="30" t="s">
        <v>35</v>
      </c>
      <c r="E5" s="32" cm="1">
        <f t="array" ref="E5">(SUM(VLOOKUP(A4:A100,$T$3:$W$41,2,FALSE))+E4*10)-E8*50</f>
        <v>7980</v>
      </c>
      <c r="F5" s="32" cm="1">
        <f t="array" ref="F5">(SUM(VLOOKUP(B4:B100,$T$3:$W$41,2,FALSE))+F4*10)-F8*50</f>
        <v>4300</v>
      </c>
      <c r="G5" s="32" cm="1">
        <f t="array" ref="G5">(SUM(VLOOKUP(C4:C100,$T$3:$W$41,2,FALSE))+G4*10)-G8*50</f>
        <v>3450</v>
      </c>
      <c r="H5" s="54">
        <f t="shared" ref="H5:H8" si="3">SUM(E5:G5)</f>
        <v>15730</v>
      </c>
      <c r="I5" s="15" t="s">
        <v>17</v>
      </c>
      <c r="J5" s="3" t="s">
        <v>5</v>
      </c>
      <c r="K5" s="15" t="s">
        <v>17</v>
      </c>
      <c r="L5" s="30" t="s">
        <v>35</v>
      </c>
      <c r="M5" s="32" cm="1">
        <f t="array" ref="M5">(SUM(VLOOKUP(I4:I100,$T$3:$W$41,2,FALSE))+M4*10)*0.8-M8*40</f>
        <v>720</v>
      </c>
      <c r="N5" s="32" cm="1">
        <f t="array" ref="N5">(SUM(VLOOKUP(J4:J100,$T$3:$W$41,2,FALSE))+N4*10)*0.8-N8*40</f>
        <v>1472</v>
      </c>
      <c r="O5" s="32" cm="1">
        <f t="array" ref="O5">(SUM(VLOOKUP(K4:K100,$T$3:$W$41,2,FALSE))+O4*10)*0.8-O8*40</f>
        <v>592</v>
      </c>
      <c r="P5" s="54">
        <f>SUM(M5:O5)</f>
        <v>2784</v>
      </c>
      <c r="Q5" s="49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61"/>
      <c r="Y5" s="43">
        <v>209</v>
      </c>
      <c r="Z5" s="1">
        <f t="shared" si="1"/>
        <v>37</v>
      </c>
      <c r="AA5" s="1">
        <f t="shared" ref="AA5:AA28" si="4">COUNTIF($I$4:$K$100,T5)</f>
        <v>0</v>
      </c>
      <c r="AB5" s="50">
        <f t="shared" si="2"/>
        <v>172</v>
      </c>
      <c r="AD5" s="56"/>
    </row>
    <row r="6" spans="1:31" x14ac:dyDescent="0.3">
      <c r="A6" s="2" t="s">
        <v>4</v>
      </c>
      <c r="B6" s="2" t="s">
        <v>4</v>
      </c>
      <c r="C6" s="2" t="s">
        <v>4</v>
      </c>
      <c r="D6" s="30" t="s">
        <v>36</v>
      </c>
      <c r="E6" s="32" cm="1">
        <f t="array" ref="E6">(SUM(VLOOKUP(A4:A100,$T$3:$W$41,3,FALSE)))</f>
        <v>2620</v>
      </c>
      <c r="F6" s="32" cm="1">
        <f t="array" ref="F6">(SUM(VLOOKUP(B4:B100,$T$3:$W$41,3,FALSE)))</f>
        <v>1420</v>
      </c>
      <c r="G6" s="32" cm="1">
        <f t="array" ref="G6">(SUM(VLOOKUP(C4:C100,$T$3:$W$41,3,FALSE)))</f>
        <v>965</v>
      </c>
      <c r="H6" s="45">
        <f t="shared" si="3"/>
        <v>5005</v>
      </c>
      <c r="I6" s="3" t="s">
        <v>5</v>
      </c>
      <c r="J6" s="1" t="s">
        <v>24</v>
      </c>
      <c r="K6" s="3" t="s">
        <v>5</v>
      </c>
      <c r="L6" s="30" t="s">
        <v>36</v>
      </c>
      <c r="M6" s="32" cm="1">
        <f t="array" ref="M6">(SUM(VLOOKUP(I4:I100,$T$3:$W$41,3,FALSE)))</f>
        <v>290</v>
      </c>
      <c r="N6" s="32" cm="1">
        <f t="array" ref="N6">(SUM(VLOOKUP(J4:J100,$T$3:$W$41,3,FALSE)))</f>
        <v>1035</v>
      </c>
      <c r="O6" s="32" cm="1">
        <f t="array" ref="O6">(SUM(VLOOKUP(K4:K100,$T$3:$W$41,3,FALSE)))</f>
        <v>220</v>
      </c>
      <c r="P6" s="45">
        <f t="shared" ref="P6:P8" si="5">SUM(M6:O6)</f>
        <v>1545</v>
      </c>
      <c r="Q6" s="46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60">
        <v>276</v>
      </c>
      <c r="Y6" s="43">
        <v>276</v>
      </c>
      <c r="Z6" s="1">
        <f t="shared" si="1"/>
        <v>0</v>
      </c>
      <c r="AA6" s="1">
        <f t="shared" si="4"/>
        <v>0</v>
      </c>
      <c r="AB6" s="50">
        <f t="shared" si="2"/>
        <v>276</v>
      </c>
      <c r="AD6" s="56"/>
    </row>
    <row r="7" spans="1:31" x14ac:dyDescent="0.3">
      <c r="A7" s="2" t="s">
        <v>4</v>
      </c>
      <c r="B7" s="2" t="s">
        <v>4</v>
      </c>
      <c r="C7" s="3" t="s">
        <v>5</v>
      </c>
      <c r="D7" s="30" t="s">
        <v>37</v>
      </c>
      <c r="E7" s="32">
        <f>COUNTIF(A4:A100,"&lt;&gt;空")</f>
        <v>55</v>
      </c>
      <c r="F7" s="32">
        <f>COUNTIF(B4:B100,"&lt;&gt;空")</f>
        <v>31</v>
      </c>
      <c r="G7" s="32">
        <f>COUNTIF(C4:C100,"&lt;&gt;空")</f>
        <v>24</v>
      </c>
      <c r="H7" s="33">
        <f t="shared" si="3"/>
        <v>110</v>
      </c>
      <c r="I7" s="3" t="s">
        <v>5</v>
      </c>
      <c r="J7" s="15" t="s">
        <v>17</v>
      </c>
      <c r="K7" s="3" t="s">
        <v>5</v>
      </c>
      <c r="L7" s="30" t="s">
        <v>37</v>
      </c>
      <c r="M7" s="32">
        <f>COUNTIF(I4:I100,"&lt;&gt;空")</f>
        <v>8</v>
      </c>
      <c r="N7" s="32">
        <f>COUNTIF(J4:J100,"&lt;&gt;空")</f>
        <v>15</v>
      </c>
      <c r="O7" s="32">
        <f>COUNTIF(K4:K100,"&lt;&gt;空")</f>
        <v>6</v>
      </c>
      <c r="P7" s="33">
        <f t="shared" si="5"/>
        <v>29</v>
      </c>
      <c r="Q7" s="49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60">
        <v>237</v>
      </c>
      <c r="Y7" s="43">
        <v>237</v>
      </c>
      <c r="Z7" s="1">
        <f t="shared" si="1"/>
        <v>0</v>
      </c>
      <c r="AA7" s="1">
        <f t="shared" si="4"/>
        <v>0</v>
      </c>
      <c r="AB7" s="50">
        <f t="shared" si="2"/>
        <v>237</v>
      </c>
      <c r="AD7" s="56"/>
    </row>
    <row r="8" spans="1:31" x14ac:dyDescent="0.3">
      <c r="A8" s="2" t="s">
        <v>4</v>
      </c>
      <c r="B8" s="2" t="s">
        <v>4</v>
      </c>
      <c r="C8" s="15" t="s">
        <v>17</v>
      </c>
      <c r="D8" s="39" t="s">
        <v>61</v>
      </c>
      <c r="E8" s="38">
        <v>1</v>
      </c>
      <c r="F8" s="38">
        <v>0</v>
      </c>
      <c r="G8" s="38">
        <v>0</v>
      </c>
      <c r="H8" s="33">
        <f t="shared" si="3"/>
        <v>1</v>
      </c>
      <c r="I8" s="15" t="s">
        <v>17</v>
      </c>
      <c r="J8" s="1" t="s">
        <v>24</v>
      </c>
      <c r="K8" s="3" t="s">
        <v>5</v>
      </c>
      <c r="L8" s="39" t="s">
        <v>61</v>
      </c>
      <c r="M8" s="38">
        <v>1</v>
      </c>
      <c r="N8" s="38">
        <v>1</v>
      </c>
      <c r="O8" s="38">
        <v>0</v>
      </c>
      <c r="P8" s="33">
        <f t="shared" si="5"/>
        <v>2</v>
      </c>
      <c r="Q8" s="46" t="s">
        <v>50</v>
      </c>
      <c r="R8" s="51" cm="1">
        <f t="array" ref="R8">R6-P5-H5-SUM(U3:U28*AB3:AB28)*0.8-R7*8</f>
        <v>6</v>
      </c>
      <c r="S8" s="23"/>
      <c r="T8" s="7" t="s">
        <v>9</v>
      </c>
      <c r="U8" s="1">
        <v>200</v>
      </c>
      <c r="V8" s="1">
        <v>60</v>
      </c>
      <c r="W8" s="42"/>
      <c r="X8" s="60">
        <v>189</v>
      </c>
      <c r="Y8" s="43">
        <v>189</v>
      </c>
      <c r="Z8" s="1">
        <f t="shared" si="1"/>
        <v>0</v>
      </c>
      <c r="AA8" s="1">
        <f t="shared" si="4"/>
        <v>0</v>
      </c>
      <c r="AB8" s="50">
        <f t="shared" si="2"/>
        <v>189</v>
      </c>
      <c r="AD8" s="56"/>
    </row>
    <row r="9" spans="1:31" x14ac:dyDescent="0.3">
      <c r="A9" s="15" t="s">
        <v>17</v>
      </c>
      <c r="B9" s="2" t="s">
        <v>4</v>
      </c>
      <c r="C9" s="3" t="s">
        <v>5</v>
      </c>
      <c r="D9" s="23"/>
      <c r="E9" s="23"/>
      <c r="F9" s="23"/>
      <c r="G9" s="23"/>
      <c r="H9" s="24"/>
      <c r="I9" s="3" t="s">
        <v>5</v>
      </c>
      <c r="J9" s="3" t="s">
        <v>5</v>
      </c>
      <c r="K9" s="15" t="s">
        <v>17</v>
      </c>
      <c r="L9" s="30" t="s">
        <v>39</v>
      </c>
      <c r="M9" s="34">
        <f>M6/M5</f>
        <v>0.40277777777777779</v>
      </c>
      <c r="N9" s="34">
        <f>N6/N5</f>
        <v>0.703125</v>
      </c>
      <c r="O9" s="34">
        <f>O6/O5</f>
        <v>0.3716216216216216</v>
      </c>
      <c r="P9" s="35">
        <f>P6/P5</f>
        <v>0.55495689655172409</v>
      </c>
      <c r="Q9" s="46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60">
        <v>5</v>
      </c>
      <c r="Y9" s="43">
        <v>0</v>
      </c>
      <c r="Z9" s="1">
        <f t="shared" si="1"/>
        <v>0</v>
      </c>
      <c r="AA9" s="1">
        <f t="shared" si="4"/>
        <v>0</v>
      </c>
      <c r="AB9" s="50">
        <f t="shared" si="2"/>
        <v>0</v>
      </c>
      <c r="AD9" s="56">
        <v>3</v>
      </c>
      <c r="AE9">
        <v>2</v>
      </c>
    </row>
    <row r="10" spans="1:31" x14ac:dyDescent="0.3">
      <c r="A10" s="2" t="s">
        <v>4</v>
      </c>
      <c r="B10" s="2" t="s">
        <v>4</v>
      </c>
      <c r="C10" s="4" t="s">
        <v>6</v>
      </c>
      <c r="D10" s="23"/>
      <c r="E10" s="23"/>
      <c r="F10" s="23"/>
      <c r="G10" s="23"/>
      <c r="H10" s="24"/>
      <c r="I10" s="3" t="s">
        <v>5</v>
      </c>
      <c r="J10" s="3" t="s">
        <v>5</v>
      </c>
      <c r="K10" s="1" t="s">
        <v>24</v>
      </c>
      <c r="L10" s="23"/>
      <c r="M10" s="23"/>
      <c r="N10" s="23"/>
      <c r="O10" s="23"/>
      <c r="P10" s="24"/>
      <c r="Q10" s="46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60">
        <v>6</v>
      </c>
      <c r="Y10" s="43">
        <v>3</v>
      </c>
      <c r="Z10" s="1">
        <f t="shared" si="1"/>
        <v>2</v>
      </c>
      <c r="AA10" s="1">
        <f t="shared" si="4"/>
        <v>0</v>
      </c>
      <c r="AB10" s="50">
        <f t="shared" si="2"/>
        <v>1</v>
      </c>
      <c r="AD10" s="56">
        <v>4</v>
      </c>
      <c r="AE10">
        <v>2</v>
      </c>
    </row>
    <row r="11" spans="1:31" x14ac:dyDescent="0.3">
      <c r="A11" s="2" t="s">
        <v>4</v>
      </c>
      <c r="B11" s="2" t="s">
        <v>4</v>
      </c>
      <c r="C11" s="16" t="s">
        <v>18</v>
      </c>
      <c r="D11" s="23"/>
      <c r="E11" s="23"/>
      <c r="F11" s="23"/>
      <c r="G11" s="23"/>
      <c r="H11" s="24"/>
      <c r="I11" s="15" t="s">
        <v>17</v>
      </c>
      <c r="J11" s="21" t="s">
        <v>26</v>
      </c>
      <c r="K11" s="1" t="s">
        <v>24</v>
      </c>
      <c r="L11" s="23"/>
      <c r="M11" s="23"/>
      <c r="N11" s="23"/>
      <c r="O11" s="23"/>
      <c r="P11" s="24">
        <f>H5+P5</f>
        <v>18514</v>
      </c>
      <c r="Q11" s="46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60">
        <v>6</v>
      </c>
      <c r="Y11" s="43">
        <v>6</v>
      </c>
      <c r="Z11" s="1">
        <f t="shared" si="1"/>
        <v>1</v>
      </c>
      <c r="AA11" s="1">
        <f t="shared" si="4"/>
        <v>0</v>
      </c>
      <c r="AB11" s="50">
        <f t="shared" si="2"/>
        <v>5</v>
      </c>
      <c r="AD11" s="56">
        <v>4</v>
      </c>
      <c r="AE11">
        <v>2</v>
      </c>
    </row>
    <row r="12" spans="1:31" x14ac:dyDescent="0.3">
      <c r="A12" s="2" t="s">
        <v>4</v>
      </c>
      <c r="B12" s="15" t="s">
        <v>17</v>
      </c>
      <c r="C12" s="4" t="s">
        <v>6</v>
      </c>
      <c r="D12" s="23"/>
      <c r="E12" s="23"/>
      <c r="F12" s="23"/>
      <c r="G12" s="23"/>
      <c r="H12" s="24"/>
      <c r="I12" s="1" t="s">
        <v>24</v>
      </c>
      <c r="J12" s="3" t="s">
        <v>5</v>
      </c>
      <c r="K12" s="1" t="s">
        <v>24</v>
      </c>
      <c r="L12" s="23"/>
      <c r="M12" s="23"/>
      <c r="N12" s="23"/>
      <c r="O12" s="23"/>
      <c r="P12" s="24">
        <f>H6+P6</f>
        <v>6550</v>
      </c>
      <c r="Q12" s="46"/>
      <c r="R12" s="23"/>
      <c r="S12" s="23"/>
      <c r="T12" s="11" t="s">
        <v>13</v>
      </c>
      <c r="U12" s="1">
        <v>150</v>
      </c>
      <c r="V12" s="1">
        <v>50</v>
      </c>
      <c r="W12" s="42"/>
      <c r="X12" s="60">
        <v>3</v>
      </c>
      <c r="Y12" s="43">
        <v>3</v>
      </c>
      <c r="Z12" s="1">
        <f t="shared" si="1"/>
        <v>0</v>
      </c>
      <c r="AA12" s="1">
        <f t="shared" si="4"/>
        <v>0</v>
      </c>
      <c r="AB12" s="50">
        <f t="shared" si="2"/>
        <v>3</v>
      </c>
      <c r="AD12" s="56">
        <v>3</v>
      </c>
    </row>
    <row r="13" spans="1:31" x14ac:dyDescent="0.3">
      <c r="A13" s="2" t="s">
        <v>4</v>
      </c>
      <c r="B13" s="2" t="s">
        <v>4</v>
      </c>
      <c r="C13" s="4" t="s">
        <v>6</v>
      </c>
      <c r="D13" s="23"/>
      <c r="E13" s="23"/>
      <c r="F13" s="23"/>
      <c r="G13" s="23"/>
      <c r="H13" s="24"/>
      <c r="I13" s="1" t="s">
        <v>24</v>
      </c>
      <c r="J13" s="3" t="s">
        <v>5</v>
      </c>
      <c r="K13" s="1" t="s">
        <v>24</v>
      </c>
      <c r="L13" s="23"/>
      <c r="M13" s="23"/>
      <c r="N13" s="23"/>
      <c r="O13" s="23"/>
      <c r="P13" s="24"/>
      <c r="Q13" s="46"/>
      <c r="R13" s="23"/>
      <c r="S13" s="23"/>
      <c r="T13" s="12" t="s">
        <v>14</v>
      </c>
      <c r="U13" s="1">
        <v>150</v>
      </c>
      <c r="V13" s="1">
        <v>55</v>
      </c>
      <c r="W13" s="42"/>
      <c r="X13" s="60">
        <v>3</v>
      </c>
      <c r="Y13" s="43">
        <v>3</v>
      </c>
      <c r="Z13" s="1">
        <f t="shared" si="1"/>
        <v>0</v>
      </c>
      <c r="AA13" s="1">
        <f t="shared" si="4"/>
        <v>0</v>
      </c>
      <c r="AB13" s="50">
        <f t="shared" si="2"/>
        <v>3</v>
      </c>
      <c r="AD13" s="56">
        <v>3</v>
      </c>
    </row>
    <row r="14" spans="1:31" x14ac:dyDescent="0.3">
      <c r="A14" s="2" t="s">
        <v>4</v>
      </c>
      <c r="B14" s="2" t="s">
        <v>4</v>
      </c>
      <c r="C14" s="4" t="s">
        <v>6</v>
      </c>
      <c r="D14" s="23"/>
      <c r="E14" s="23"/>
      <c r="F14" s="23"/>
      <c r="G14" s="23"/>
      <c r="H14" s="24"/>
      <c r="I14" s="1" t="s">
        <v>24</v>
      </c>
      <c r="J14" s="15" t="s">
        <v>17</v>
      </c>
      <c r="K14" s="1" t="s">
        <v>24</v>
      </c>
      <c r="L14" s="23"/>
      <c r="M14" s="23"/>
      <c r="N14" s="23"/>
      <c r="O14" s="23"/>
      <c r="P14" s="24"/>
      <c r="Q14" s="46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60">
        <v>1</v>
      </c>
      <c r="Y14" s="43">
        <v>1</v>
      </c>
      <c r="Z14" s="1">
        <f t="shared" si="1"/>
        <v>0</v>
      </c>
      <c r="AA14" s="1">
        <f t="shared" si="4"/>
        <v>0</v>
      </c>
      <c r="AB14" s="50">
        <f t="shared" si="2"/>
        <v>1</v>
      </c>
      <c r="AD14" s="56">
        <v>1</v>
      </c>
    </row>
    <row r="15" spans="1:31" x14ac:dyDescent="0.3">
      <c r="A15" s="2" t="s">
        <v>4</v>
      </c>
      <c r="B15" s="3" t="s">
        <v>5</v>
      </c>
      <c r="C15" s="17" t="s">
        <v>64</v>
      </c>
      <c r="D15" s="23"/>
      <c r="E15" s="23"/>
      <c r="F15" s="23"/>
      <c r="G15" s="23"/>
      <c r="H15" s="24"/>
      <c r="I15" s="1" t="s">
        <v>24</v>
      </c>
      <c r="J15" s="3" t="s">
        <v>5</v>
      </c>
      <c r="K15" s="1" t="s">
        <v>24</v>
      </c>
      <c r="L15" s="23"/>
      <c r="M15" s="23"/>
      <c r="N15" s="23"/>
      <c r="O15" s="23"/>
      <c r="P15" s="24"/>
      <c r="Q15" s="46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60"/>
      <c r="Y15" s="43">
        <v>0</v>
      </c>
      <c r="Z15" s="1">
        <f t="shared" si="1"/>
        <v>0</v>
      </c>
      <c r="AA15" s="1">
        <f t="shared" si="4"/>
        <v>0</v>
      </c>
      <c r="AB15" s="50">
        <f t="shared" si="2"/>
        <v>0</v>
      </c>
      <c r="AD15" s="56"/>
    </row>
    <row r="16" spans="1:31" x14ac:dyDescent="0.3">
      <c r="A16" s="2" t="s">
        <v>4</v>
      </c>
      <c r="B16" s="15" t="s">
        <v>17</v>
      </c>
      <c r="C16" s="4" t="s">
        <v>6</v>
      </c>
      <c r="D16" s="23"/>
      <c r="E16" s="23"/>
      <c r="F16" s="23"/>
      <c r="G16" s="23"/>
      <c r="H16" s="24"/>
      <c r="I16" s="1" t="s">
        <v>24</v>
      </c>
      <c r="J16" s="3" t="s">
        <v>5</v>
      </c>
      <c r="K16" s="1" t="s">
        <v>24</v>
      </c>
      <c r="L16" s="23"/>
      <c r="M16" s="23"/>
      <c r="N16" s="23"/>
      <c r="O16" s="23"/>
      <c r="P16" s="24"/>
      <c r="Q16" s="46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60">
        <v>40</v>
      </c>
      <c r="Y16" s="43">
        <v>40</v>
      </c>
      <c r="Z16" s="1">
        <f t="shared" si="1"/>
        <v>12</v>
      </c>
      <c r="AA16" s="1">
        <f t="shared" si="4"/>
        <v>9</v>
      </c>
      <c r="AB16" s="50">
        <f t="shared" si="2"/>
        <v>19</v>
      </c>
      <c r="AD16" s="56"/>
    </row>
    <row r="17" spans="1:30" x14ac:dyDescent="0.3">
      <c r="A17" s="15" t="s">
        <v>17</v>
      </c>
      <c r="B17" s="3" t="s">
        <v>5</v>
      </c>
      <c r="C17" s="4" t="s">
        <v>6</v>
      </c>
      <c r="D17" s="23"/>
      <c r="E17" s="23"/>
      <c r="F17" s="23"/>
      <c r="G17" s="23"/>
      <c r="H17" s="24"/>
      <c r="I17" s="1" t="s">
        <v>24</v>
      </c>
      <c r="J17" s="2" t="s">
        <v>4</v>
      </c>
      <c r="K17" s="1" t="s">
        <v>24</v>
      </c>
      <c r="L17" s="23"/>
      <c r="M17" s="23"/>
      <c r="N17" s="23"/>
      <c r="O17" s="23"/>
      <c r="P17" s="24"/>
      <c r="Q17" s="46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60">
        <v>3</v>
      </c>
      <c r="Y17" s="43">
        <v>3</v>
      </c>
      <c r="Z17" s="1">
        <f t="shared" si="1"/>
        <v>3</v>
      </c>
      <c r="AA17" s="1">
        <f t="shared" si="4"/>
        <v>0</v>
      </c>
      <c r="AB17" s="50">
        <f t="shared" si="2"/>
        <v>0</v>
      </c>
      <c r="AD17" s="56"/>
    </row>
    <row r="18" spans="1:30" x14ac:dyDescent="0.3">
      <c r="A18" s="2" t="s">
        <v>4</v>
      </c>
      <c r="B18" s="4" t="s">
        <v>6</v>
      </c>
      <c r="C18" s="4" t="s">
        <v>6</v>
      </c>
      <c r="D18" s="23"/>
      <c r="E18" s="23"/>
      <c r="F18" s="23"/>
      <c r="G18" s="23"/>
      <c r="H18" s="24"/>
      <c r="I18" s="1" t="s">
        <v>24</v>
      </c>
      <c r="J18" s="3" t="s">
        <v>5</v>
      </c>
      <c r="K18" s="1" t="s">
        <v>24</v>
      </c>
      <c r="L18" s="23"/>
      <c r="M18" s="23"/>
      <c r="N18" s="23"/>
      <c r="O18" s="23"/>
      <c r="P18" s="24"/>
      <c r="Q18" s="46"/>
      <c r="R18" s="23"/>
      <c r="S18" s="23"/>
      <c r="T18" s="17" t="s">
        <v>19</v>
      </c>
      <c r="U18" s="1">
        <v>250</v>
      </c>
      <c r="V18" s="1">
        <v>300</v>
      </c>
      <c r="W18" s="42"/>
      <c r="X18" s="60">
        <v>3</v>
      </c>
      <c r="Y18" s="43">
        <v>3</v>
      </c>
      <c r="Z18" s="1">
        <f t="shared" si="1"/>
        <v>3</v>
      </c>
      <c r="AA18" s="1">
        <f t="shared" si="4"/>
        <v>0</v>
      </c>
      <c r="AB18" s="50">
        <f t="shared" si="2"/>
        <v>0</v>
      </c>
      <c r="AD18" s="56"/>
    </row>
    <row r="19" spans="1:30" x14ac:dyDescent="0.3">
      <c r="A19" s="2" t="s">
        <v>4</v>
      </c>
      <c r="B19" s="4" t="s">
        <v>6</v>
      </c>
      <c r="C19" s="15" t="s">
        <v>17</v>
      </c>
      <c r="D19" s="23"/>
      <c r="E19" s="23"/>
      <c r="F19" s="23"/>
      <c r="G19" s="23"/>
      <c r="H19" s="24"/>
      <c r="I19" s="1" t="s">
        <v>24</v>
      </c>
      <c r="J19" s="3" t="s">
        <v>5</v>
      </c>
      <c r="K19" s="1" t="s">
        <v>24</v>
      </c>
      <c r="L19" s="23"/>
      <c r="M19" s="23"/>
      <c r="N19" s="23"/>
      <c r="O19" s="23"/>
      <c r="P19" s="24"/>
      <c r="Q19" s="46"/>
      <c r="R19" s="23"/>
      <c r="S19" s="23"/>
      <c r="T19" s="17" t="s">
        <v>64</v>
      </c>
      <c r="U19" s="1">
        <v>170</v>
      </c>
      <c r="V19" s="1">
        <v>45</v>
      </c>
      <c r="W19" s="42"/>
      <c r="X19" s="60">
        <v>5</v>
      </c>
      <c r="Y19" s="43">
        <v>5</v>
      </c>
      <c r="Z19" s="1">
        <f t="shared" si="1"/>
        <v>5</v>
      </c>
      <c r="AA19" s="1">
        <f t="shared" si="4"/>
        <v>0</v>
      </c>
      <c r="AB19" s="50">
        <f t="shared" si="2"/>
        <v>0</v>
      </c>
      <c r="AD19" s="56"/>
    </row>
    <row r="20" spans="1:30" x14ac:dyDescent="0.3">
      <c r="A20" s="2" t="s">
        <v>4</v>
      </c>
      <c r="B20" s="16" t="s">
        <v>18</v>
      </c>
      <c r="C20" s="4" t="s">
        <v>6</v>
      </c>
      <c r="D20" s="23"/>
      <c r="E20" s="23"/>
      <c r="F20" s="23"/>
      <c r="G20" s="23"/>
      <c r="H20" s="24"/>
      <c r="I20" s="1" t="s">
        <v>24</v>
      </c>
      <c r="J20" s="15" t="s">
        <v>17</v>
      </c>
      <c r="K20" s="1" t="s">
        <v>24</v>
      </c>
      <c r="L20" s="23"/>
      <c r="M20" s="23"/>
      <c r="N20" s="23"/>
      <c r="O20" s="23"/>
      <c r="P20" s="24"/>
      <c r="Q20" s="46"/>
      <c r="R20" s="23"/>
      <c r="S20" s="23"/>
      <c r="T20" s="17" t="s">
        <v>63</v>
      </c>
      <c r="U20" s="1">
        <v>250</v>
      </c>
      <c r="V20" s="1">
        <v>400</v>
      </c>
      <c r="W20" s="42"/>
      <c r="X20" s="60">
        <v>0</v>
      </c>
      <c r="Y20" s="43">
        <v>0</v>
      </c>
      <c r="Z20" s="1">
        <f t="shared" si="1"/>
        <v>0</v>
      </c>
      <c r="AA20" s="1">
        <f t="shared" si="4"/>
        <v>0</v>
      </c>
      <c r="AB20" s="50">
        <f t="shared" si="2"/>
        <v>0</v>
      </c>
      <c r="AD20" s="56"/>
    </row>
    <row r="21" spans="1:30" x14ac:dyDescent="0.3">
      <c r="A21" s="4" t="s">
        <v>6</v>
      </c>
      <c r="B21" s="4" t="s">
        <v>6</v>
      </c>
      <c r="C21" s="4" t="s">
        <v>6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6"/>
      <c r="R21" s="23"/>
      <c r="S21" s="23"/>
      <c r="T21" s="18" t="s">
        <v>20</v>
      </c>
      <c r="U21" s="1">
        <v>250</v>
      </c>
      <c r="V21" s="1">
        <v>1000</v>
      </c>
      <c r="W21" s="42"/>
      <c r="X21" s="60">
        <v>2</v>
      </c>
      <c r="Y21" s="43">
        <v>2</v>
      </c>
      <c r="Z21" s="1">
        <f t="shared" si="1"/>
        <v>0</v>
      </c>
      <c r="AA21" s="1">
        <f t="shared" si="4"/>
        <v>0</v>
      </c>
      <c r="AB21" s="50">
        <f t="shared" si="2"/>
        <v>2</v>
      </c>
      <c r="AD21" s="56"/>
    </row>
    <row r="22" spans="1:30" x14ac:dyDescent="0.3">
      <c r="A22" s="4" t="s">
        <v>6</v>
      </c>
      <c r="B22" s="17" t="s">
        <v>19</v>
      </c>
      <c r="C22" s="4" t="s">
        <v>6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6"/>
      <c r="R22" s="23"/>
      <c r="S22" s="23"/>
      <c r="T22" s="19" t="s">
        <v>21</v>
      </c>
      <c r="U22" s="1">
        <v>250</v>
      </c>
      <c r="V22" s="1">
        <v>500</v>
      </c>
      <c r="W22" s="42"/>
      <c r="X22" s="60">
        <v>2</v>
      </c>
      <c r="Y22" s="43">
        <v>2</v>
      </c>
      <c r="Z22" s="1">
        <f t="shared" si="1"/>
        <v>0</v>
      </c>
      <c r="AA22" s="1">
        <f t="shared" si="4"/>
        <v>0</v>
      </c>
      <c r="AB22" s="50">
        <f t="shared" si="2"/>
        <v>2</v>
      </c>
      <c r="AD22" s="56"/>
    </row>
    <row r="23" spans="1:30" x14ac:dyDescent="0.3">
      <c r="A23" s="4" t="s">
        <v>6</v>
      </c>
      <c r="B23" s="4" t="s">
        <v>6</v>
      </c>
      <c r="C23" s="4" t="s">
        <v>6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6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60">
        <v>0</v>
      </c>
      <c r="Y23" s="43">
        <v>0</v>
      </c>
      <c r="Z23" s="1">
        <f t="shared" si="1"/>
        <v>0</v>
      </c>
      <c r="AA23" s="1">
        <f t="shared" si="4"/>
        <v>0</v>
      </c>
      <c r="AB23" s="50">
        <f t="shared" si="2"/>
        <v>0</v>
      </c>
      <c r="AD23" s="56"/>
    </row>
    <row r="24" spans="1:30" x14ac:dyDescent="0.3">
      <c r="A24" s="17" t="s">
        <v>64</v>
      </c>
      <c r="B24" s="4" t="s">
        <v>6</v>
      </c>
      <c r="C24" s="4" t="s">
        <v>6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6"/>
      <c r="R24" s="23"/>
      <c r="S24" s="23"/>
      <c r="T24" s="55" t="s">
        <v>22</v>
      </c>
      <c r="U24" s="1">
        <v>160</v>
      </c>
      <c r="V24" s="1">
        <v>40</v>
      </c>
      <c r="W24" s="42">
        <f t="shared" si="8"/>
        <v>39.110982162825422</v>
      </c>
      <c r="X24" s="60">
        <v>0</v>
      </c>
      <c r="Y24" s="43">
        <v>0</v>
      </c>
      <c r="Z24" s="1">
        <f t="shared" si="1"/>
        <v>0</v>
      </c>
      <c r="AA24" s="1">
        <f t="shared" si="4"/>
        <v>0</v>
      </c>
      <c r="AB24" s="50">
        <f t="shared" si="2"/>
        <v>0</v>
      </c>
      <c r="AD24" s="56"/>
    </row>
    <row r="25" spans="1:30" x14ac:dyDescent="0.3">
      <c r="A25" s="3" t="s">
        <v>5</v>
      </c>
      <c r="B25" s="3" t="s">
        <v>5</v>
      </c>
      <c r="C25" s="4" t="s">
        <v>6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6"/>
      <c r="R25" s="23"/>
      <c r="S25" s="23"/>
      <c r="T25" s="55" t="s">
        <v>23</v>
      </c>
      <c r="U25" s="1">
        <v>150</v>
      </c>
      <c r="V25" s="1">
        <v>35</v>
      </c>
      <c r="W25" s="42">
        <f t="shared" si="8"/>
        <v>44.222109392472248</v>
      </c>
      <c r="X25" s="60">
        <v>0</v>
      </c>
      <c r="Y25" s="43">
        <v>0</v>
      </c>
      <c r="Z25" s="1">
        <f t="shared" si="1"/>
        <v>0</v>
      </c>
      <c r="AA25" s="1">
        <f t="shared" si="4"/>
        <v>0</v>
      </c>
      <c r="AB25" s="50">
        <f t="shared" si="2"/>
        <v>0</v>
      </c>
      <c r="AD25" s="56"/>
    </row>
    <row r="26" spans="1:30" x14ac:dyDescent="0.3">
      <c r="A26" s="3" t="s">
        <v>5</v>
      </c>
      <c r="B26" s="3" t="s">
        <v>5</v>
      </c>
      <c r="C26" s="4" t="s">
        <v>6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6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60">
        <v>0</v>
      </c>
      <c r="Y26" s="43">
        <v>0</v>
      </c>
      <c r="Z26" s="1"/>
      <c r="AA26" s="1"/>
      <c r="AB26" s="50"/>
      <c r="AD26" s="56"/>
    </row>
    <row r="27" spans="1:30" x14ac:dyDescent="0.3">
      <c r="A27" s="3" t="s">
        <v>5</v>
      </c>
      <c r="B27" s="15" t="s">
        <v>17</v>
      </c>
      <c r="C27" s="17" t="s">
        <v>64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6"/>
      <c r="R27" s="23"/>
      <c r="S27" s="23"/>
      <c r="T27" s="16" t="s">
        <v>25</v>
      </c>
      <c r="U27" s="1">
        <v>-200</v>
      </c>
      <c r="V27" s="1">
        <v>0</v>
      </c>
      <c r="W27" s="42"/>
      <c r="X27" s="60">
        <v>12</v>
      </c>
      <c r="Y27" s="43">
        <v>12</v>
      </c>
      <c r="Z27" s="1">
        <f t="shared" si="1"/>
        <v>0</v>
      </c>
      <c r="AA27" s="1">
        <f t="shared" si="4"/>
        <v>0</v>
      </c>
      <c r="AB27" s="50">
        <f t="shared" si="2"/>
        <v>12</v>
      </c>
      <c r="AD27" s="56"/>
    </row>
    <row r="28" spans="1:30" x14ac:dyDescent="0.3">
      <c r="A28" s="9" t="s">
        <v>11</v>
      </c>
      <c r="B28" s="4" t="s">
        <v>6</v>
      </c>
      <c r="C28" s="1" t="s">
        <v>24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6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60">
        <v>3</v>
      </c>
      <c r="Y28" s="43">
        <v>3</v>
      </c>
      <c r="Z28" s="1">
        <f t="shared" si="1"/>
        <v>0</v>
      </c>
      <c r="AA28" s="1">
        <f t="shared" si="4"/>
        <v>1</v>
      </c>
      <c r="AB28" s="50">
        <f t="shared" si="2"/>
        <v>2</v>
      </c>
      <c r="AD28" s="56"/>
    </row>
    <row r="29" spans="1:30" ht="15" thickBot="1" x14ac:dyDescent="0.35">
      <c r="A29" s="3" t="s">
        <v>5</v>
      </c>
      <c r="B29" s="3" t="s">
        <v>5</v>
      </c>
      <c r="C29" s="1" t="s">
        <v>24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2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3"/>
      <c r="AD29" s="56"/>
    </row>
    <row r="30" spans="1:30" x14ac:dyDescent="0.3">
      <c r="A30" s="15" t="s">
        <v>17</v>
      </c>
      <c r="B30" s="3" t="s">
        <v>5</v>
      </c>
      <c r="C30" s="1" t="s">
        <v>24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3">
      <c r="A31" s="3" t="s">
        <v>5</v>
      </c>
      <c r="B31" s="3" t="s">
        <v>5</v>
      </c>
      <c r="C31" s="1" t="s">
        <v>24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1063</v>
      </c>
      <c r="AB31">
        <f>SUM(AB3:AB28)</f>
        <v>924</v>
      </c>
    </row>
    <row r="32" spans="1:30" x14ac:dyDescent="0.3">
      <c r="A32" s="9" t="s">
        <v>11</v>
      </c>
      <c r="B32" s="4" t="s">
        <v>6</v>
      </c>
      <c r="C32" s="1" t="s">
        <v>24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3">
      <c r="A33" s="4" t="s">
        <v>6</v>
      </c>
      <c r="B33" s="4" t="s">
        <v>6</v>
      </c>
      <c r="C33" s="1" t="s">
        <v>24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3">
      <c r="A34" s="4" t="s">
        <v>6</v>
      </c>
      <c r="B34" s="17" t="s">
        <v>64</v>
      </c>
      <c r="C34" s="1" t="s">
        <v>24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3">
      <c r="A35" s="17" t="s">
        <v>19</v>
      </c>
      <c r="B35" s="1" t="s">
        <v>24</v>
      </c>
      <c r="C35" s="1" t="s">
        <v>24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3">
      <c r="A36" s="1" t="s">
        <v>24</v>
      </c>
      <c r="B36" s="1" t="s">
        <v>24</v>
      </c>
      <c r="C36" s="1" t="s">
        <v>24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3">
      <c r="A37" s="2" t="s">
        <v>4</v>
      </c>
      <c r="B37" s="1" t="s">
        <v>24</v>
      </c>
      <c r="C37" s="1" t="s">
        <v>24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3">
      <c r="A38" s="2" t="s">
        <v>4</v>
      </c>
      <c r="B38" s="1" t="s">
        <v>24</v>
      </c>
      <c r="C38" s="1" t="s">
        <v>24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3">
      <c r="A39" s="2" t="s">
        <v>4</v>
      </c>
      <c r="B39" s="1" t="s">
        <v>24</v>
      </c>
      <c r="C39" s="1" t="s">
        <v>24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3">
      <c r="A40" s="3" t="s">
        <v>5</v>
      </c>
      <c r="B40" s="1" t="s">
        <v>24</v>
      </c>
      <c r="C40" s="1" t="s">
        <v>24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3">
      <c r="A41" s="15" t="s">
        <v>17</v>
      </c>
      <c r="B41" s="1" t="s">
        <v>24</v>
      </c>
      <c r="C41" s="1" t="s">
        <v>24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3">
      <c r="A42" s="3" t="s">
        <v>5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3">
      <c r="A43" s="3" t="s">
        <v>5</v>
      </c>
      <c r="B43" s="1" t="s">
        <v>24</v>
      </c>
      <c r="C43" s="1" t="s">
        <v>24</v>
      </c>
      <c r="D43" s="23"/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3">
      <c r="A44" s="4" t="s">
        <v>6</v>
      </c>
      <c r="B44" s="1" t="s">
        <v>24</v>
      </c>
      <c r="C44" s="1" t="s">
        <v>24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3">
      <c r="A45" s="4" t="s">
        <v>6</v>
      </c>
      <c r="B45" s="1" t="s">
        <v>24</v>
      </c>
      <c r="C45" s="1" t="s">
        <v>24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3">
      <c r="A46" s="15" t="s">
        <v>17</v>
      </c>
      <c r="B46" s="1" t="s">
        <v>24</v>
      </c>
      <c r="C46" s="1" t="s">
        <v>24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3">
      <c r="A47" s="4" t="s">
        <v>6</v>
      </c>
      <c r="B47" s="1" t="s">
        <v>24</v>
      </c>
      <c r="C47" s="1" t="s">
        <v>24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3">
      <c r="A48" s="17" t="s">
        <v>19</v>
      </c>
      <c r="B48" s="1" t="s">
        <v>24</v>
      </c>
      <c r="C48" s="1" t="s">
        <v>24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3">
      <c r="A49" s="4" t="s">
        <v>6</v>
      </c>
      <c r="B49" s="1" t="s">
        <v>24</v>
      </c>
      <c r="C49" s="1" t="s">
        <v>24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3">
      <c r="A50" s="4" t="s">
        <v>6</v>
      </c>
      <c r="B50" s="1" t="s">
        <v>24</v>
      </c>
      <c r="C50" s="1" t="s">
        <v>24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3">
      <c r="A51" s="16" t="s">
        <v>18</v>
      </c>
      <c r="B51" s="1" t="s">
        <v>24</v>
      </c>
      <c r="C51" s="1" t="s">
        <v>24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3">
      <c r="A52" s="4" t="s">
        <v>6</v>
      </c>
      <c r="B52" s="1" t="s">
        <v>24</v>
      </c>
      <c r="C52" s="1" t="s">
        <v>24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3">
      <c r="A53" s="4" t="s">
        <v>6</v>
      </c>
      <c r="B53" s="1" t="s">
        <v>24</v>
      </c>
      <c r="C53" s="1" t="s">
        <v>24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3">
      <c r="A54" s="15" t="s">
        <v>17</v>
      </c>
      <c r="B54" s="1" t="s">
        <v>24</v>
      </c>
      <c r="C54" s="1" t="s">
        <v>24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3">
      <c r="A55" s="4" t="s">
        <v>6</v>
      </c>
      <c r="B55" s="1" t="s">
        <v>24</v>
      </c>
      <c r="C55" s="1" t="s">
        <v>24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3">
      <c r="A56" s="4" t="s">
        <v>6</v>
      </c>
      <c r="B56" s="1" t="s">
        <v>24</v>
      </c>
      <c r="C56" s="1" t="s">
        <v>24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3">
      <c r="A57" s="10" t="s">
        <v>12</v>
      </c>
      <c r="B57" s="1" t="s">
        <v>24</v>
      </c>
      <c r="C57" s="1" t="s">
        <v>24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3">
      <c r="A58" s="4" t="s">
        <v>6</v>
      </c>
      <c r="B58" s="1" t="s">
        <v>24</v>
      </c>
      <c r="C58" s="1" t="s">
        <v>24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3">
      <c r="A59" s="17" t="s">
        <v>64</v>
      </c>
      <c r="B59" s="1" t="s">
        <v>24</v>
      </c>
      <c r="C59" s="1" t="s">
        <v>24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3">
      <c r="A60" s="1" t="s">
        <v>24</v>
      </c>
      <c r="B60" s="1" t="s">
        <v>24</v>
      </c>
      <c r="C60" s="1" t="s">
        <v>24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3">
      <c r="A61" s="1" t="s">
        <v>24</v>
      </c>
      <c r="B61" s="1" t="s">
        <v>24</v>
      </c>
      <c r="C61" s="1" t="s">
        <v>24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3">
      <c r="A62" s="1" t="s">
        <v>24</v>
      </c>
      <c r="B62" s="1" t="s">
        <v>24</v>
      </c>
      <c r="C62" s="1" t="s">
        <v>24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3">
      <c r="A63" s="1" t="s">
        <v>24</v>
      </c>
      <c r="B63" s="1" t="s">
        <v>24</v>
      </c>
      <c r="C63" s="1" t="s">
        <v>24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3">
      <c r="A64" s="1" t="s">
        <v>24</v>
      </c>
      <c r="B64" s="1" t="s">
        <v>24</v>
      </c>
      <c r="C64" s="1" t="s">
        <v>24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3">
      <c r="A65" s="1" t="s">
        <v>24</v>
      </c>
      <c r="B65" s="1" t="s">
        <v>24</v>
      </c>
      <c r="C65" s="1" t="s">
        <v>24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3">
      <c r="A66" s="1" t="s">
        <v>24</v>
      </c>
      <c r="B66" s="1" t="s">
        <v>24</v>
      </c>
      <c r="C66" s="1" t="s">
        <v>24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3">
      <c r="A67" s="1" t="s">
        <v>24</v>
      </c>
      <c r="B67" s="1" t="s">
        <v>24</v>
      </c>
      <c r="C67" s="1" t="s">
        <v>24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3">
      <c r="A68" s="1" t="s">
        <v>24</v>
      </c>
      <c r="B68" s="1" t="s">
        <v>24</v>
      </c>
      <c r="C68" s="1" t="s">
        <v>24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3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3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3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3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3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3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3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3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3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3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3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3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3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3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3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3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3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3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3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3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3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3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3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3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3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3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3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3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3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3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3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" thickBot="1" x14ac:dyDescent="0.35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BC5F-0B38-4C02-AD0B-2D341824894C}">
  <dimension ref="A1:AE100"/>
  <sheetViews>
    <sheetView zoomScaleNormal="100" workbookViewId="0">
      <selection activeCell="E36" sqref="E36"/>
    </sheetView>
  </sheetViews>
  <sheetFormatPr defaultRowHeight="14.4" x14ac:dyDescent="0.3"/>
  <cols>
    <col min="23" max="23" width="8.88671875" customWidth="1"/>
  </cols>
  <sheetData>
    <row r="1" spans="1:31" ht="15.6" x14ac:dyDescent="0.3">
      <c r="A1" s="63" t="s">
        <v>27</v>
      </c>
      <c r="B1" s="64"/>
      <c r="C1" s="64"/>
      <c r="D1" s="64"/>
      <c r="E1" s="64"/>
      <c r="F1" s="65" t="s">
        <v>3</v>
      </c>
      <c r="G1" s="65"/>
      <c r="H1" s="22" cm="1">
        <f t="array" ref="H1">SUM(VLOOKUP(A4:C100,$T$3:$W$36,4,FALSE))+H4*10-H8*50</f>
        <v>3505.7719428678529</v>
      </c>
      <c r="I1" s="66" t="s">
        <v>38</v>
      </c>
      <c r="J1" s="67"/>
      <c r="K1" s="67"/>
      <c r="L1" s="67"/>
      <c r="M1" s="67"/>
      <c r="N1" s="67"/>
      <c r="O1" s="67"/>
      <c r="P1" s="68"/>
      <c r="Q1" s="66" t="s">
        <v>45</v>
      </c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</row>
    <row r="2" spans="1:31" ht="28.8" x14ac:dyDescent="0.3">
      <c r="A2" s="69" t="s">
        <v>32</v>
      </c>
      <c r="B2" s="70"/>
      <c r="C2" s="70"/>
      <c r="D2" s="71" t="s">
        <v>34</v>
      </c>
      <c r="E2" s="72"/>
      <c r="F2" s="72"/>
      <c r="G2" s="72"/>
      <c r="H2" s="73"/>
      <c r="I2" s="74" t="s">
        <v>32</v>
      </c>
      <c r="J2" s="75"/>
      <c r="K2" s="75"/>
      <c r="L2" s="76" t="s">
        <v>34</v>
      </c>
      <c r="M2" s="76"/>
      <c r="N2" s="76"/>
      <c r="O2" s="76"/>
      <c r="P2" s="77"/>
      <c r="Q2" s="46" t="s">
        <v>40</v>
      </c>
      <c r="R2" s="47" cm="1">
        <f t="array" ref="R2">SUM(V3:V28*AB3:AB28)+H6+P6+R4*500</f>
        <v>64675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60" t="s">
        <v>41</v>
      </c>
      <c r="Y2" s="43" t="s">
        <v>52</v>
      </c>
      <c r="Z2" s="44" t="s">
        <v>42</v>
      </c>
      <c r="AA2" s="44" t="s">
        <v>43</v>
      </c>
      <c r="AB2" s="48" t="s">
        <v>44</v>
      </c>
      <c r="AD2" s="23"/>
    </row>
    <row r="3" spans="1:31" x14ac:dyDescent="0.3">
      <c r="A3" s="57" t="s">
        <v>28</v>
      </c>
      <c r="B3" s="62" t="s">
        <v>29</v>
      </c>
      <c r="C3" s="19" t="s">
        <v>30</v>
      </c>
      <c r="D3" s="30"/>
      <c r="E3" s="57" t="s">
        <v>28</v>
      </c>
      <c r="F3" s="62" t="s">
        <v>29</v>
      </c>
      <c r="G3" s="19" t="s">
        <v>30</v>
      </c>
      <c r="H3" s="31" t="s">
        <v>33</v>
      </c>
      <c r="I3" s="57" t="s">
        <v>28</v>
      </c>
      <c r="J3" s="62" t="s">
        <v>29</v>
      </c>
      <c r="K3" s="19" t="s">
        <v>30</v>
      </c>
      <c r="L3" s="30"/>
      <c r="M3" s="57" t="s">
        <v>28</v>
      </c>
      <c r="N3" s="62" t="s">
        <v>29</v>
      </c>
      <c r="O3" s="19" t="s">
        <v>30</v>
      </c>
      <c r="P3" s="31" t="s">
        <v>33</v>
      </c>
      <c r="Q3" s="49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60"/>
      <c r="Y3" s="43">
        <v>32</v>
      </c>
      <c r="Z3" s="1">
        <f>COUNTIF($A$4:$C$100,T3)</f>
        <v>31</v>
      </c>
      <c r="AA3" s="1">
        <f>COUNTIF($I$4:$K$100,T3)</f>
        <v>1</v>
      </c>
      <c r="AB3" s="50">
        <f>Y3-Z3-AA3</f>
        <v>0</v>
      </c>
      <c r="AD3" s="56"/>
    </row>
    <row r="4" spans="1:31" x14ac:dyDescent="0.3">
      <c r="A4" s="2" t="s">
        <v>4</v>
      </c>
      <c r="B4" s="15" t="s">
        <v>17</v>
      </c>
      <c r="C4" s="2" t="s">
        <v>4</v>
      </c>
      <c r="D4" s="40" t="s">
        <v>31</v>
      </c>
      <c r="E4" s="36">
        <v>5</v>
      </c>
      <c r="F4" s="36">
        <v>0</v>
      </c>
      <c r="G4" s="36">
        <v>1</v>
      </c>
      <c r="H4" s="33">
        <f>SUM(E4:G4)</f>
        <v>6</v>
      </c>
      <c r="I4" s="3" t="s">
        <v>5</v>
      </c>
      <c r="J4" s="15" t="s">
        <v>17</v>
      </c>
      <c r="K4" s="3" t="s">
        <v>5</v>
      </c>
      <c r="L4" s="40" t="s">
        <v>31</v>
      </c>
      <c r="M4" s="36">
        <v>1</v>
      </c>
      <c r="N4" s="36">
        <v>5</v>
      </c>
      <c r="O4" s="36">
        <v>0</v>
      </c>
      <c r="P4" s="33">
        <f>SUM(M4:O4)</f>
        <v>6</v>
      </c>
      <c r="Q4" s="49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60"/>
      <c r="Y4" s="43">
        <v>32</v>
      </c>
      <c r="Z4" s="1">
        <f t="shared" ref="Z4:Z28" si="1">COUNTIF($A$4:$C$100,T4)</f>
        <v>14</v>
      </c>
      <c r="AA4" s="1">
        <f>COUNTIF($I$4:$K$100,T4)</f>
        <v>17</v>
      </c>
      <c r="AB4" s="50">
        <f t="shared" ref="AB4:AB28" si="2">Y4-Z4-AA4</f>
        <v>1</v>
      </c>
      <c r="AD4" s="56"/>
    </row>
    <row r="5" spans="1:31" x14ac:dyDescent="0.3">
      <c r="A5" s="2" t="s">
        <v>4</v>
      </c>
      <c r="B5" s="2" t="s">
        <v>4</v>
      </c>
      <c r="C5" s="2" t="s">
        <v>4</v>
      </c>
      <c r="D5" s="30" t="s">
        <v>35</v>
      </c>
      <c r="E5" s="32" cm="1">
        <f t="array" ref="E5">(SUM(VLOOKUP(A4:A100,$T$3:$W$41,2,FALSE))+E4*10)-E8*50</f>
        <v>8150</v>
      </c>
      <c r="F5" s="32" cm="1">
        <f t="array" ref="F5">(SUM(VLOOKUP(B4:B100,$T$3:$W$41,2,FALSE))+F4*10)-F8*50</f>
        <v>4280</v>
      </c>
      <c r="G5" s="32" cm="1">
        <f t="array" ref="G5">(SUM(VLOOKUP(C4:C100,$T$3:$W$41,2,FALSE))+G4*10)-G8*50</f>
        <v>3450</v>
      </c>
      <c r="H5" s="54">
        <f t="shared" ref="H5:H8" si="3">SUM(E5:G5)</f>
        <v>15880</v>
      </c>
      <c r="I5" s="15" t="s">
        <v>17</v>
      </c>
      <c r="J5" s="3" t="s">
        <v>5</v>
      </c>
      <c r="K5" s="15" t="s">
        <v>17</v>
      </c>
      <c r="L5" s="30" t="s">
        <v>35</v>
      </c>
      <c r="M5" s="32" cm="1">
        <f t="array" ref="M5">(SUM(VLOOKUP(I4:I100,$T$3:$W$41,2,FALSE))+M4*10)*0.8-M8*40</f>
        <v>600</v>
      </c>
      <c r="N5" s="32" cm="1">
        <f t="array" ref="N5">(SUM(VLOOKUP(J4:J100,$T$3:$W$41,2,FALSE))+N4*10)*0.8-N8*40</f>
        <v>1472</v>
      </c>
      <c r="O5" s="32" cm="1">
        <f t="array" ref="O5">(SUM(VLOOKUP(K4:K100,$T$3:$W$41,2,FALSE))+O4*10)*0.8-O8*40</f>
        <v>592</v>
      </c>
      <c r="P5" s="54">
        <f>SUM(M5:O5)</f>
        <v>2664</v>
      </c>
      <c r="Q5" s="49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61"/>
      <c r="Y5" s="43">
        <v>210</v>
      </c>
      <c r="Z5" s="1">
        <f t="shared" si="1"/>
        <v>39</v>
      </c>
      <c r="AA5" s="1">
        <f t="shared" ref="AA5:AA28" si="4">COUNTIF($I$4:$K$100,T5)</f>
        <v>0</v>
      </c>
      <c r="AB5" s="50">
        <f t="shared" si="2"/>
        <v>171</v>
      </c>
      <c r="AD5" s="56"/>
    </row>
    <row r="6" spans="1:31" x14ac:dyDescent="0.3">
      <c r="A6" s="2" t="s">
        <v>4</v>
      </c>
      <c r="B6" s="2" t="s">
        <v>4</v>
      </c>
      <c r="C6" s="2" t="s">
        <v>4</v>
      </c>
      <c r="D6" s="30" t="s">
        <v>36</v>
      </c>
      <c r="E6" s="32" cm="1">
        <f t="array" ref="E6">(SUM(VLOOKUP(A4:A100,$T$3:$W$41,3,FALSE)))</f>
        <v>2670</v>
      </c>
      <c r="F6" s="32" cm="1">
        <f t="array" ref="F6">(SUM(VLOOKUP(B4:B100,$T$3:$W$41,3,FALSE)))</f>
        <v>1415</v>
      </c>
      <c r="G6" s="32" cm="1">
        <f t="array" ref="G6">(SUM(VLOOKUP(C4:C100,$T$3:$W$41,3,FALSE)))</f>
        <v>965</v>
      </c>
      <c r="H6" s="45">
        <f t="shared" si="3"/>
        <v>5050</v>
      </c>
      <c r="I6" s="3" t="s">
        <v>5</v>
      </c>
      <c r="J6" s="1" t="s">
        <v>24</v>
      </c>
      <c r="K6" s="3" t="s">
        <v>5</v>
      </c>
      <c r="L6" s="30" t="s">
        <v>36</v>
      </c>
      <c r="M6" s="32" cm="1">
        <f t="array" ref="M6">(SUM(VLOOKUP(I4:I100,$T$3:$W$41,3,FALSE)))</f>
        <v>250</v>
      </c>
      <c r="N6" s="32" cm="1">
        <f t="array" ref="N6">(SUM(VLOOKUP(J4:J100,$T$3:$W$41,3,FALSE)))</f>
        <v>1035</v>
      </c>
      <c r="O6" s="32" cm="1">
        <f t="array" ref="O6">(SUM(VLOOKUP(K4:K100,$T$3:$W$41,3,FALSE)))</f>
        <v>220</v>
      </c>
      <c r="P6" s="45">
        <f t="shared" ref="P6:P8" si="5">SUM(M6:O6)</f>
        <v>1505</v>
      </c>
      <c r="Q6" s="46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60">
        <v>276</v>
      </c>
      <c r="Y6" s="43">
        <v>276</v>
      </c>
      <c r="Z6" s="1">
        <f t="shared" si="1"/>
        <v>0</v>
      </c>
      <c r="AA6" s="1">
        <f t="shared" si="4"/>
        <v>0</v>
      </c>
      <c r="AB6" s="50">
        <f t="shared" si="2"/>
        <v>276</v>
      </c>
      <c r="AD6" s="56"/>
    </row>
    <row r="7" spans="1:31" x14ac:dyDescent="0.3">
      <c r="A7" s="2" t="s">
        <v>4</v>
      </c>
      <c r="B7" s="2" t="s">
        <v>4</v>
      </c>
      <c r="C7" s="3" t="s">
        <v>5</v>
      </c>
      <c r="D7" s="30" t="s">
        <v>37</v>
      </c>
      <c r="E7" s="32">
        <f>COUNTIF(A4:A100,"&lt;&gt;空")</f>
        <v>56</v>
      </c>
      <c r="F7" s="32">
        <f>COUNTIF(B4:B100,"&lt;&gt;空")</f>
        <v>31</v>
      </c>
      <c r="G7" s="32">
        <f>COUNTIF(C4:C100,"&lt;&gt;空")</f>
        <v>24</v>
      </c>
      <c r="H7" s="33">
        <f t="shared" si="3"/>
        <v>111</v>
      </c>
      <c r="I7" s="3" t="s">
        <v>5</v>
      </c>
      <c r="J7" s="15" t="s">
        <v>17</v>
      </c>
      <c r="K7" s="3" t="s">
        <v>5</v>
      </c>
      <c r="L7" s="30" t="s">
        <v>37</v>
      </c>
      <c r="M7" s="32">
        <f>COUNTIF(I4:I100,"&lt;&gt;空")</f>
        <v>7</v>
      </c>
      <c r="N7" s="32">
        <f>COUNTIF(J4:J100,"&lt;&gt;空")</f>
        <v>15</v>
      </c>
      <c r="O7" s="32">
        <f>COUNTIF(K4:K100,"&lt;&gt;空")</f>
        <v>6</v>
      </c>
      <c r="P7" s="33">
        <f t="shared" si="5"/>
        <v>28</v>
      </c>
      <c r="Q7" s="49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60">
        <v>237</v>
      </c>
      <c r="Y7" s="43">
        <v>237</v>
      </c>
      <c r="Z7" s="1">
        <f t="shared" si="1"/>
        <v>0</v>
      </c>
      <c r="AA7" s="1">
        <f t="shared" si="4"/>
        <v>0</v>
      </c>
      <c r="AB7" s="50">
        <f t="shared" si="2"/>
        <v>237</v>
      </c>
      <c r="AD7" s="56"/>
    </row>
    <row r="8" spans="1:31" x14ac:dyDescent="0.3">
      <c r="A8" s="2" t="s">
        <v>4</v>
      </c>
      <c r="B8" s="2" t="s">
        <v>4</v>
      </c>
      <c r="C8" s="15" t="s">
        <v>17</v>
      </c>
      <c r="D8" s="39" t="s">
        <v>61</v>
      </c>
      <c r="E8" s="38">
        <v>1</v>
      </c>
      <c r="F8" s="38">
        <v>0</v>
      </c>
      <c r="G8" s="38">
        <v>0</v>
      </c>
      <c r="H8" s="33">
        <f t="shared" si="3"/>
        <v>1</v>
      </c>
      <c r="I8" s="15" t="s">
        <v>17</v>
      </c>
      <c r="J8" s="1" t="s">
        <v>24</v>
      </c>
      <c r="K8" s="3" t="s">
        <v>5</v>
      </c>
      <c r="L8" s="39" t="s">
        <v>61</v>
      </c>
      <c r="M8" s="38">
        <v>1</v>
      </c>
      <c r="N8" s="38">
        <v>1</v>
      </c>
      <c r="O8" s="38">
        <v>0</v>
      </c>
      <c r="P8" s="33">
        <f t="shared" si="5"/>
        <v>2</v>
      </c>
      <c r="Q8" s="46" t="s">
        <v>50</v>
      </c>
      <c r="R8" s="51" cm="1">
        <f t="array" ref="R8">R6-P5-H5-SUM(U3:U28*AB3:AB28)*0.8-R7*8</f>
        <v>104</v>
      </c>
      <c r="S8" s="23"/>
      <c r="T8" s="7" t="s">
        <v>9</v>
      </c>
      <c r="U8" s="1">
        <v>200</v>
      </c>
      <c r="V8" s="1">
        <v>60</v>
      </c>
      <c r="W8" s="42"/>
      <c r="X8" s="60">
        <v>189</v>
      </c>
      <c r="Y8" s="43">
        <v>189</v>
      </c>
      <c r="Z8" s="1">
        <f t="shared" si="1"/>
        <v>0</v>
      </c>
      <c r="AA8" s="1">
        <f t="shared" si="4"/>
        <v>0</v>
      </c>
      <c r="AB8" s="50">
        <f t="shared" si="2"/>
        <v>189</v>
      </c>
      <c r="AD8" s="56"/>
    </row>
    <row r="9" spans="1:31" x14ac:dyDescent="0.3">
      <c r="A9" s="15" t="s">
        <v>17</v>
      </c>
      <c r="B9" s="2" t="s">
        <v>4</v>
      </c>
      <c r="C9" s="3" t="s">
        <v>5</v>
      </c>
      <c r="D9" s="23"/>
      <c r="E9" s="23"/>
      <c r="F9" s="23"/>
      <c r="G9" s="23"/>
      <c r="H9" s="24"/>
      <c r="I9" s="1" t="s">
        <v>24</v>
      </c>
      <c r="J9" s="3" t="s">
        <v>5</v>
      </c>
      <c r="K9" s="15" t="s">
        <v>17</v>
      </c>
      <c r="L9" s="30" t="s">
        <v>39</v>
      </c>
      <c r="M9" s="34">
        <f>M6/M5</f>
        <v>0.41666666666666669</v>
      </c>
      <c r="N9" s="34">
        <f>N6/N5</f>
        <v>0.703125</v>
      </c>
      <c r="O9" s="34">
        <f>O6/O5</f>
        <v>0.3716216216216216</v>
      </c>
      <c r="P9" s="35">
        <f>P6/P5</f>
        <v>0.56493993993993996</v>
      </c>
      <c r="Q9" s="46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60">
        <v>5</v>
      </c>
      <c r="Y9" s="43">
        <v>0</v>
      </c>
      <c r="Z9" s="1">
        <f t="shared" si="1"/>
        <v>0</v>
      </c>
      <c r="AA9" s="1">
        <f t="shared" si="4"/>
        <v>0</v>
      </c>
      <c r="AB9" s="50">
        <f t="shared" si="2"/>
        <v>0</v>
      </c>
      <c r="AD9" s="56">
        <v>3</v>
      </c>
      <c r="AE9">
        <v>2</v>
      </c>
    </row>
    <row r="10" spans="1:31" x14ac:dyDescent="0.3">
      <c r="A10" s="2" t="s">
        <v>4</v>
      </c>
      <c r="B10" s="2" t="s">
        <v>4</v>
      </c>
      <c r="C10" s="4" t="s">
        <v>6</v>
      </c>
      <c r="D10" s="23"/>
      <c r="E10" s="23"/>
      <c r="F10" s="23"/>
      <c r="G10" s="23"/>
      <c r="H10" s="24"/>
      <c r="I10" s="3" t="s">
        <v>5</v>
      </c>
      <c r="J10" s="3" t="s">
        <v>5</v>
      </c>
      <c r="K10" s="1" t="s">
        <v>24</v>
      </c>
      <c r="L10" s="23"/>
      <c r="M10" s="23"/>
      <c r="N10" s="23"/>
      <c r="O10" s="23"/>
      <c r="P10" s="24"/>
      <c r="Q10" s="46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60">
        <v>6</v>
      </c>
      <c r="Y10" s="43">
        <v>3</v>
      </c>
      <c r="Z10" s="1">
        <f t="shared" si="1"/>
        <v>3</v>
      </c>
      <c r="AA10" s="1">
        <f t="shared" si="4"/>
        <v>0</v>
      </c>
      <c r="AB10" s="50">
        <f t="shared" si="2"/>
        <v>0</v>
      </c>
      <c r="AD10" s="56">
        <v>4</v>
      </c>
      <c r="AE10">
        <v>2</v>
      </c>
    </row>
    <row r="11" spans="1:31" x14ac:dyDescent="0.3">
      <c r="A11" s="2" t="s">
        <v>4</v>
      </c>
      <c r="B11" s="2" t="s">
        <v>4</v>
      </c>
      <c r="C11" s="16" t="s">
        <v>18</v>
      </c>
      <c r="D11" s="23"/>
      <c r="E11" s="23"/>
      <c r="F11" s="23"/>
      <c r="G11" s="23"/>
      <c r="H11" s="24"/>
      <c r="I11" s="15" t="s">
        <v>17</v>
      </c>
      <c r="J11" s="21" t="s">
        <v>26</v>
      </c>
      <c r="K11" s="1" t="s">
        <v>24</v>
      </c>
      <c r="L11" s="23"/>
      <c r="M11" s="23"/>
      <c r="N11" s="23"/>
      <c r="O11" s="23"/>
      <c r="P11" s="24">
        <f>H5+P5</f>
        <v>18544</v>
      </c>
      <c r="Q11" s="46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60">
        <v>6</v>
      </c>
      <c r="Y11" s="43">
        <v>6</v>
      </c>
      <c r="Z11" s="1">
        <f t="shared" si="1"/>
        <v>1</v>
      </c>
      <c r="AA11" s="1">
        <f t="shared" si="4"/>
        <v>0</v>
      </c>
      <c r="AB11" s="50">
        <f t="shared" si="2"/>
        <v>5</v>
      </c>
      <c r="AD11" s="56">
        <v>4</v>
      </c>
      <c r="AE11">
        <v>2</v>
      </c>
    </row>
    <row r="12" spans="1:31" x14ac:dyDescent="0.3">
      <c r="A12" s="2" t="s">
        <v>4</v>
      </c>
      <c r="B12" s="15" t="s">
        <v>17</v>
      </c>
      <c r="C12" s="4" t="s">
        <v>6</v>
      </c>
      <c r="D12" s="23"/>
      <c r="E12" s="23"/>
      <c r="F12" s="23"/>
      <c r="G12" s="23"/>
      <c r="H12" s="24"/>
      <c r="I12" s="1" t="s">
        <v>24</v>
      </c>
      <c r="J12" s="3" t="s">
        <v>5</v>
      </c>
      <c r="K12" s="1" t="s">
        <v>24</v>
      </c>
      <c r="L12" s="23"/>
      <c r="M12" s="23"/>
      <c r="N12" s="23"/>
      <c r="O12" s="23"/>
      <c r="P12" s="24">
        <f>H6+P6</f>
        <v>6555</v>
      </c>
      <c r="Q12" s="46"/>
      <c r="R12" s="23"/>
      <c r="S12" s="23"/>
      <c r="T12" s="11" t="s">
        <v>13</v>
      </c>
      <c r="U12" s="1">
        <v>150</v>
      </c>
      <c r="V12" s="1">
        <v>50</v>
      </c>
      <c r="W12" s="42"/>
      <c r="X12" s="60">
        <v>3</v>
      </c>
      <c r="Y12" s="43">
        <v>3</v>
      </c>
      <c r="Z12" s="1">
        <f t="shared" si="1"/>
        <v>0</v>
      </c>
      <c r="AA12" s="1">
        <f t="shared" si="4"/>
        <v>0</v>
      </c>
      <c r="AB12" s="50">
        <f t="shared" si="2"/>
        <v>3</v>
      </c>
      <c r="AD12" s="56">
        <v>3</v>
      </c>
    </row>
    <row r="13" spans="1:31" x14ac:dyDescent="0.3">
      <c r="A13" s="2" t="s">
        <v>4</v>
      </c>
      <c r="B13" s="2" t="s">
        <v>4</v>
      </c>
      <c r="C13" s="4" t="s">
        <v>6</v>
      </c>
      <c r="D13" s="23"/>
      <c r="E13" s="23"/>
      <c r="F13" s="23"/>
      <c r="G13" s="23"/>
      <c r="H13" s="24"/>
      <c r="I13" s="1" t="s">
        <v>24</v>
      </c>
      <c r="J13" s="3" t="s">
        <v>5</v>
      </c>
      <c r="K13" s="1" t="s">
        <v>24</v>
      </c>
      <c r="L13" s="23"/>
      <c r="M13" s="23"/>
      <c r="N13" s="23"/>
      <c r="O13" s="23"/>
      <c r="P13" s="24"/>
      <c r="Q13" s="46"/>
      <c r="R13" s="23"/>
      <c r="S13" s="23"/>
      <c r="T13" s="12" t="s">
        <v>14</v>
      </c>
      <c r="U13" s="1">
        <v>150</v>
      </c>
      <c r="V13" s="1">
        <v>55</v>
      </c>
      <c r="W13" s="42"/>
      <c r="X13" s="60">
        <v>3</v>
      </c>
      <c r="Y13" s="43">
        <v>3</v>
      </c>
      <c r="Z13" s="1">
        <f t="shared" si="1"/>
        <v>0</v>
      </c>
      <c r="AA13" s="1">
        <f t="shared" si="4"/>
        <v>0</v>
      </c>
      <c r="AB13" s="50">
        <f t="shared" si="2"/>
        <v>3</v>
      </c>
      <c r="AD13" s="56">
        <v>3</v>
      </c>
    </row>
    <row r="14" spans="1:31" x14ac:dyDescent="0.3">
      <c r="A14" s="2" t="s">
        <v>4</v>
      </c>
      <c r="B14" s="2" t="s">
        <v>4</v>
      </c>
      <c r="C14" s="4" t="s">
        <v>6</v>
      </c>
      <c r="D14" s="23"/>
      <c r="E14" s="23"/>
      <c r="F14" s="23"/>
      <c r="G14" s="23"/>
      <c r="H14" s="24"/>
      <c r="I14" s="1" t="s">
        <v>24</v>
      </c>
      <c r="J14" s="15" t="s">
        <v>17</v>
      </c>
      <c r="K14" s="1" t="s">
        <v>24</v>
      </c>
      <c r="L14" s="23"/>
      <c r="M14" s="23"/>
      <c r="N14" s="23"/>
      <c r="O14" s="23"/>
      <c r="P14" s="24"/>
      <c r="Q14" s="46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60">
        <v>1</v>
      </c>
      <c r="Y14" s="43">
        <v>1</v>
      </c>
      <c r="Z14" s="1">
        <f t="shared" si="1"/>
        <v>0</v>
      </c>
      <c r="AA14" s="1">
        <f t="shared" si="4"/>
        <v>0</v>
      </c>
      <c r="AB14" s="50">
        <f t="shared" si="2"/>
        <v>1</v>
      </c>
      <c r="AD14" s="56">
        <v>1</v>
      </c>
    </row>
    <row r="15" spans="1:31" x14ac:dyDescent="0.3">
      <c r="A15" s="2" t="s">
        <v>4</v>
      </c>
      <c r="B15" s="3" t="s">
        <v>5</v>
      </c>
      <c r="C15" s="17" t="s">
        <v>64</v>
      </c>
      <c r="D15" s="23"/>
      <c r="E15" s="23"/>
      <c r="F15" s="23"/>
      <c r="G15" s="23"/>
      <c r="H15" s="24"/>
      <c r="I15" s="1" t="s">
        <v>24</v>
      </c>
      <c r="J15" s="3" t="s">
        <v>5</v>
      </c>
      <c r="K15" s="1" t="s">
        <v>24</v>
      </c>
      <c r="L15" s="23"/>
      <c r="M15" s="23"/>
      <c r="N15" s="23"/>
      <c r="O15" s="23"/>
      <c r="P15" s="24"/>
      <c r="Q15" s="46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60"/>
      <c r="Y15" s="43">
        <v>0</v>
      </c>
      <c r="Z15" s="1">
        <f t="shared" si="1"/>
        <v>0</v>
      </c>
      <c r="AA15" s="1">
        <f t="shared" si="4"/>
        <v>0</v>
      </c>
      <c r="AB15" s="50">
        <f t="shared" si="2"/>
        <v>0</v>
      </c>
      <c r="AD15" s="56"/>
    </row>
    <row r="16" spans="1:31" x14ac:dyDescent="0.3">
      <c r="A16" s="2" t="s">
        <v>4</v>
      </c>
      <c r="B16" s="15" t="s">
        <v>17</v>
      </c>
      <c r="C16" s="4" t="s">
        <v>6</v>
      </c>
      <c r="D16" s="23"/>
      <c r="E16" s="23"/>
      <c r="F16" s="23"/>
      <c r="G16" s="23"/>
      <c r="H16" s="24"/>
      <c r="I16" s="1" t="s">
        <v>24</v>
      </c>
      <c r="J16" s="3" t="s">
        <v>5</v>
      </c>
      <c r="K16" s="1" t="s">
        <v>24</v>
      </c>
      <c r="L16" s="23"/>
      <c r="M16" s="23"/>
      <c r="N16" s="23"/>
      <c r="O16" s="23"/>
      <c r="P16" s="24"/>
      <c r="Q16" s="46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60">
        <v>40</v>
      </c>
      <c r="Y16" s="43">
        <v>40</v>
      </c>
      <c r="Z16" s="1">
        <f t="shared" si="1"/>
        <v>12</v>
      </c>
      <c r="AA16" s="1">
        <f t="shared" si="4"/>
        <v>9</v>
      </c>
      <c r="AB16" s="50">
        <f t="shared" si="2"/>
        <v>19</v>
      </c>
      <c r="AD16" s="56"/>
    </row>
    <row r="17" spans="1:30" x14ac:dyDescent="0.3">
      <c r="A17" s="15" t="s">
        <v>17</v>
      </c>
      <c r="B17" s="3" t="s">
        <v>5</v>
      </c>
      <c r="C17" s="4" t="s">
        <v>6</v>
      </c>
      <c r="D17" s="23"/>
      <c r="E17" s="23"/>
      <c r="F17" s="23"/>
      <c r="G17" s="23"/>
      <c r="H17" s="24"/>
      <c r="I17" s="1" t="s">
        <v>24</v>
      </c>
      <c r="J17" s="2" t="s">
        <v>4</v>
      </c>
      <c r="K17" s="1" t="s">
        <v>24</v>
      </c>
      <c r="L17" s="23"/>
      <c r="M17" s="23"/>
      <c r="N17" s="23"/>
      <c r="O17" s="23"/>
      <c r="P17" s="24"/>
      <c r="Q17" s="46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60">
        <v>3</v>
      </c>
      <c r="Y17" s="43">
        <v>3</v>
      </c>
      <c r="Z17" s="1">
        <f t="shared" si="1"/>
        <v>3</v>
      </c>
      <c r="AA17" s="1">
        <f t="shared" si="4"/>
        <v>0</v>
      </c>
      <c r="AB17" s="50">
        <f t="shared" si="2"/>
        <v>0</v>
      </c>
      <c r="AD17" s="56"/>
    </row>
    <row r="18" spans="1:30" x14ac:dyDescent="0.3">
      <c r="A18" s="2" t="s">
        <v>4</v>
      </c>
      <c r="B18" s="4" t="s">
        <v>6</v>
      </c>
      <c r="C18" s="4" t="s">
        <v>6</v>
      </c>
      <c r="D18" s="23"/>
      <c r="E18" s="23"/>
      <c r="F18" s="23"/>
      <c r="G18" s="23"/>
      <c r="H18" s="24"/>
      <c r="I18" s="1" t="s">
        <v>24</v>
      </c>
      <c r="J18" s="3" t="s">
        <v>5</v>
      </c>
      <c r="K18" s="1" t="s">
        <v>24</v>
      </c>
      <c r="L18" s="23"/>
      <c r="M18" s="23"/>
      <c r="N18" s="23"/>
      <c r="O18" s="23"/>
      <c r="P18" s="24"/>
      <c r="Q18" s="46"/>
      <c r="R18" s="23"/>
      <c r="S18" s="23"/>
      <c r="T18" s="17" t="s">
        <v>19</v>
      </c>
      <c r="U18" s="1">
        <v>250</v>
      </c>
      <c r="V18" s="1">
        <v>300</v>
      </c>
      <c r="W18" s="42"/>
      <c r="X18" s="60">
        <v>3</v>
      </c>
      <c r="Y18" s="43">
        <v>3</v>
      </c>
      <c r="Z18" s="1">
        <f t="shared" si="1"/>
        <v>3</v>
      </c>
      <c r="AA18" s="1">
        <f t="shared" si="4"/>
        <v>0</v>
      </c>
      <c r="AB18" s="50">
        <f t="shared" si="2"/>
        <v>0</v>
      </c>
      <c r="AD18" s="56"/>
    </row>
    <row r="19" spans="1:30" x14ac:dyDescent="0.3">
      <c r="A19" s="2" t="s">
        <v>4</v>
      </c>
      <c r="B19" s="4" t="s">
        <v>6</v>
      </c>
      <c r="C19" s="15" t="s">
        <v>17</v>
      </c>
      <c r="D19" s="23"/>
      <c r="E19" s="23"/>
      <c r="F19" s="23"/>
      <c r="G19" s="23"/>
      <c r="H19" s="24"/>
      <c r="I19" s="1" t="s">
        <v>24</v>
      </c>
      <c r="J19" s="3" t="s">
        <v>5</v>
      </c>
      <c r="K19" s="1" t="s">
        <v>24</v>
      </c>
      <c r="L19" s="23"/>
      <c r="M19" s="23"/>
      <c r="N19" s="23"/>
      <c r="O19" s="23"/>
      <c r="P19" s="24"/>
      <c r="Q19" s="46"/>
      <c r="R19" s="23"/>
      <c r="S19" s="23"/>
      <c r="T19" s="17" t="s">
        <v>64</v>
      </c>
      <c r="U19" s="1">
        <v>170</v>
      </c>
      <c r="V19" s="1">
        <v>45</v>
      </c>
      <c r="W19" s="42"/>
      <c r="X19" s="60">
        <v>5</v>
      </c>
      <c r="Y19" s="43">
        <v>5</v>
      </c>
      <c r="Z19" s="1">
        <f t="shared" si="1"/>
        <v>5</v>
      </c>
      <c r="AA19" s="1">
        <f t="shared" si="4"/>
        <v>0</v>
      </c>
      <c r="AB19" s="50">
        <f t="shared" si="2"/>
        <v>0</v>
      </c>
      <c r="AD19" s="56"/>
    </row>
    <row r="20" spans="1:30" x14ac:dyDescent="0.3">
      <c r="A20" s="2" t="s">
        <v>4</v>
      </c>
      <c r="B20" s="16" t="s">
        <v>18</v>
      </c>
      <c r="C20" s="4" t="s">
        <v>6</v>
      </c>
      <c r="D20" s="23"/>
      <c r="E20" s="23"/>
      <c r="F20" s="23"/>
      <c r="G20" s="23"/>
      <c r="H20" s="24"/>
      <c r="I20" s="1" t="s">
        <v>24</v>
      </c>
      <c r="J20" s="15" t="s">
        <v>17</v>
      </c>
      <c r="K20" s="1" t="s">
        <v>24</v>
      </c>
      <c r="L20" s="23"/>
      <c r="M20" s="23"/>
      <c r="N20" s="23"/>
      <c r="O20" s="23"/>
      <c r="P20" s="24"/>
      <c r="Q20" s="46"/>
      <c r="R20" s="23"/>
      <c r="S20" s="23"/>
      <c r="T20" s="17" t="s">
        <v>63</v>
      </c>
      <c r="U20" s="1">
        <v>250</v>
      </c>
      <c r="V20" s="1">
        <v>400</v>
      </c>
      <c r="W20" s="42"/>
      <c r="X20" s="60">
        <v>0</v>
      </c>
      <c r="Y20" s="43">
        <v>0</v>
      </c>
      <c r="Z20" s="1">
        <f t="shared" si="1"/>
        <v>0</v>
      </c>
      <c r="AA20" s="1">
        <f t="shared" si="4"/>
        <v>0</v>
      </c>
      <c r="AB20" s="50">
        <f t="shared" si="2"/>
        <v>0</v>
      </c>
      <c r="AD20" s="56"/>
    </row>
    <row r="21" spans="1:30" x14ac:dyDescent="0.3">
      <c r="A21" s="4" t="s">
        <v>6</v>
      </c>
      <c r="B21" s="4" t="s">
        <v>6</v>
      </c>
      <c r="C21" s="4" t="s">
        <v>6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6"/>
      <c r="R21" s="23"/>
      <c r="S21" s="23"/>
      <c r="T21" s="18" t="s">
        <v>20</v>
      </c>
      <c r="U21" s="1">
        <v>250</v>
      </c>
      <c r="V21" s="1">
        <v>1000</v>
      </c>
      <c r="W21" s="42"/>
      <c r="X21" s="60">
        <v>2</v>
      </c>
      <c r="Y21" s="43">
        <v>2</v>
      </c>
      <c r="Z21" s="1">
        <f t="shared" si="1"/>
        <v>0</v>
      </c>
      <c r="AA21" s="1">
        <f t="shared" si="4"/>
        <v>0</v>
      </c>
      <c r="AB21" s="50">
        <f t="shared" si="2"/>
        <v>2</v>
      </c>
      <c r="AD21" s="56"/>
    </row>
    <row r="22" spans="1:30" x14ac:dyDescent="0.3">
      <c r="A22" s="4" t="s">
        <v>6</v>
      </c>
      <c r="B22" s="17" t="s">
        <v>19</v>
      </c>
      <c r="C22" s="4" t="s">
        <v>6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6"/>
      <c r="R22" s="23"/>
      <c r="S22" s="23"/>
      <c r="T22" s="19" t="s">
        <v>21</v>
      </c>
      <c r="U22" s="1">
        <v>250</v>
      </c>
      <c r="V22" s="1">
        <v>500</v>
      </c>
      <c r="W22" s="42"/>
      <c r="X22" s="60">
        <v>2</v>
      </c>
      <c r="Y22" s="43">
        <v>2</v>
      </c>
      <c r="Z22" s="1">
        <f t="shared" si="1"/>
        <v>0</v>
      </c>
      <c r="AA22" s="1">
        <f t="shared" si="4"/>
        <v>0</v>
      </c>
      <c r="AB22" s="50">
        <f t="shared" si="2"/>
        <v>2</v>
      </c>
      <c r="AD22" s="56"/>
    </row>
    <row r="23" spans="1:30" x14ac:dyDescent="0.3">
      <c r="A23" s="4" t="s">
        <v>6</v>
      </c>
      <c r="B23" s="4" t="s">
        <v>6</v>
      </c>
      <c r="C23" s="4" t="s">
        <v>6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6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60">
        <v>0</v>
      </c>
      <c r="Y23" s="43">
        <v>0</v>
      </c>
      <c r="Z23" s="1">
        <f t="shared" si="1"/>
        <v>0</v>
      </c>
      <c r="AA23" s="1">
        <f t="shared" si="4"/>
        <v>0</v>
      </c>
      <c r="AB23" s="50">
        <f t="shared" si="2"/>
        <v>0</v>
      </c>
      <c r="AD23" s="56"/>
    </row>
    <row r="24" spans="1:30" x14ac:dyDescent="0.3">
      <c r="A24" s="17" t="s">
        <v>64</v>
      </c>
      <c r="B24" s="4" t="s">
        <v>6</v>
      </c>
      <c r="C24" s="4" t="s">
        <v>6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6"/>
      <c r="R24" s="23"/>
      <c r="S24" s="23"/>
      <c r="T24" s="55" t="s">
        <v>22</v>
      </c>
      <c r="U24" s="1">
        <v>160</v>
      </c>
      <c r="V24" s="1">
        <v>40</v>
      </c>
      <c r="W24" s="42">
        <f t="shared" si="8"/>
        <v>39.110982162825422</v>
      </c>
      <c r="X24" s="60">
        <v>0</v>
      </c>
      <c r="Y24" s="43">
        <v>0</v>
      </c>
      <c r="Z24" s="1">
        <f t="shared" si="1"/>
        <v>0</v>
      </c>
      <c r="AA24" s="1">
        <f t="shared" si="4"/>
        <v>0</v>
      </c>
      <c r="AB24" s="50">
        <f t="shared" si="2"/>
        <v>0</v>
      </c>
      <c r="AD24" s="56"/>
    </row>
    <row r="25" spans="1:30" x14ac:dyDescent="0.3">
      <c r="A25" s="3" t="s">
        <v>5</v>
      </c>
      <c r="B25" s="3" t="s">
        <v>5</v>
      </c>
      <c r="C25" s="4" t="s">
        <v>6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6"/>
      <c r="R25" s="23"/>
      <c r="S25" s="23"/>
      <c r="T25" s="55" t="s">
        <v>23</v>
      </c>
      <c r="U25" s="1">
        <v>150</v>
      </c>
      <c r="V25" s="1">
        <v>35</v>
      </c>
      <c r="W25" s="42">
        <f t="shared" si="8"/>
        <v>44.222109392472248</v>
      </c>
      <c r="X25" s="60">
        <v>0</v>
      </c>
      <c r="Y25" s="43">
        <v>0</v>
      </c>
      <c r="Z25" s="1">
        <f t="shared" si="1"/>
        <v>0</v>
      </c>
      <c r="AA25" s="1">
        <f t="shared" si="4"/>
        <v>0</v>
      </c>
      <c r="AB25" s="50">
        <f t="shared" si="2"/>
        <v>0</v>
      </c>
      <c r="AD25" s="56"/>
    </row>
    <row r="26" spans="1:30" x14ac:dyDescent="0.3">
      <c r="A26" s="3" t="s">
        <v>5</v>
      </c>
      <c r="B26" s="3" t="s">
        <v>5</v>
      </c>
      <c r="C26" s="4" t="s">
        <v>6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6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60">
        <v>0</v>
      </c>
      <c r="Y26" s="43">
        <v>0</v>
      </c>
      <c r="Z26" s="1"/>
      <c r="AA26" s="1"/>
      <c r="AB26" s="50"/>
      <c r="AD26" s="56"/>
    </row>
    <row r="27" spans="1:30" x14ac:dyDescent="0.3">
      <c r="A27" s="3" t="s">
        <v>5</v>
      </c>
      <c r="B27" s="15" t="s">
        <v>17</v>
      </c>
      <c r="C27" s="17" t="s">
        <v>64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6"/>
      <c r="R27" s="23"/>
      <c r="S27" s="23"/>
      <c r="T27" s="16" t="s">
        <v>25</v>
      </c>
      <c r="U27" s="1">
        <v>-200</v>
      </c>
      <c r="V27" s="1">
        <v>0</v>
      </c>
      <c r="W27" s="42"/>
      <c r="X27" s="60">
        <v>12</v>
      </c>
      <c r="Y27" s="43">
        <v>12</v>
      </c>
      <c r="Z27" s="1">
        <f t="shared" si="1"/>
        <v>0</v>
      </c>
      <c r="AA27" s="1">
        <f t="shared" si="4"/>
        <v>0</v>
      </c>
      <c r="AB27" s="50">
        <f t="shared" si="2"/>
        <v>12</v>
      </c>
      <c r="AD27" s="56"/>
    </row>
    <row r="28" spans="1:30" x14ac:dyDescent="0.3">
      <c r="A28" s="9" t="s">
        <v>11</v>
      </c>
      <c r="B28" s="3" t="s">
        <v>5</v>
      </c>
      <c r="C28" s="1" t="s">
        <v>24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6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60">
        <v>3</v>
      </c>
      <c r="Y28" s="43">
        <v>3</v>
      </c>
      <c r="Z28" s="1">
        <f t="shared" si="1"/>
        <v>0</v>
      </c>
      <c r="AA28" s="1">
        <f t="shared" si="4"/>
        <v>1</v>
      </c>
      <c r="AB28" s="50">
        <f t="shared" si="2"/>
        <v>2</v>
      </c>
      <c r="AD28" s="56"/>
    </row>
    <row r="29" spans="1:30" ht="15" thickBot="1" x14ac:dyDescent="0.35">
      <c r="A29" s="3" t="s">
        <v>5</v>
      </c>
      <c r="B29" s="2" t="s">
        <v>4</v>
      </c>
      <c r="C29" s="1" t="s">
        <v>24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2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3"/>
      <c r="AD29" s="56"/>
    </row>
    <row r="30" spans="1:30" x14ac:dyDescent="0.3">
      <c r="A30" s="15" t="s">
        <v>17</v>
      </c>
      <c r="B30" s="4" t="s">
        <v>6</v>
      </c>
      <c r="C30" s="1" t="s">
        <v>24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3">
      <c r="A31" s="3" t="s">
        <v>5</v>
      </c>
      <c r="B31" s="9" t="s">
        <v>11</v>
      </c>
      <c r="C31" s="1" t="s">
        <v>24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1062</v>
      </c>
      <c r="AB31">
        <f>SUM(AB3:AB28)</f>
        <v>923</v>
      </c>
    </row>
    <row r="32" spans="1:30" x14ac:dyDescent="0.3">
      <c r="A32" s="9" t="s">
        <v>11</v>
      </c>
      <c r="B32" s="4" t="s">
        <v>6</v>
      </c>
      <c r="C32" s="1" t="s">
        <v>24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3">
      <c r="A33" s="4" t="s">
        <v>6</v>
      </c>
      <c r="B33" s="4" t="s">
        <v>6</v>
      </c>
      <c r="C33" s="1" t="s">
        <v>24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3">
      <c r="A34" s="4" t="s">
        <v>6</v>
      </c>
      <c r="B34" s="17" t="s">
        <v>64</v>
      </c>
      <c r="C34" s="1" t="s">
        <v>24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3">
      <c r="A35" s="17" t="s">
        <v>19</v>
      </c>
      <c r="B35" s="1" t="s">
        <v>24</v>
      </c>
      <c r="C35" s="1" t="s">
        <v>24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3">
      <c r="A36" s="1" t="s">
        <v>24</v>
      </c>
      <c r="B36" s="1" t="s">
        <v>24</v>
      </c>
      <c r="C36" s="1" t="s">
        <v>24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3">
      <c r="A37" s="2" t="s">
        <v>4</v>
      </c>
      <c r="B37" s="1" t="s">
        <v>24</v>
      </c>
      <c r="C37" s="1" t="s">
        <v>24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3">
      <c r="A38" s="2" t="s">
        <v>4</v>
      </c>
      <c r="B38" s="1" t="s">
        <v>24</v>
      </c>
      <c r="C38" s="1" t="s">
        <v>24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3">
      <c r="A39" s="2" t="s">
        <v>4</v>
      </c>
      <c r="B39" s="1" t="s">
        <v>24</v>
      </c>
      <c r="C39" s="1" t="s">
        <v>24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3">
      <c r="A40" s="3" t="s">
        <v>5</v>
      </c>
      <c r="B40" s="1" t="s">
        <v>24</v>
      </c>
      <c r="C40" s="1" t="s">
        <v>24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3">
      <c r="A41" s="15" t="s">
        <v>17</v>
      </c>
      <c r="B41" s="1" t="s">
        <v>24</v>
      </c>
      <c r="C41" s="1" t="s">
        <v>24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3">
      <c r="A42" s="3" t="s">
        <v>5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3">
      <c r="A43" s="4" t="s">
        <v>6</v>
      </c>
      <c r="B43" s="1" t="s">
        <v>24</v>
      </c>
      <c r="C43" s="1" t="s">
        <v>24</v>
      </c>
      <c r="D43" s="23"/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3">
      <c r="A44" s="4" t="s">
        <v>6</v>
      </c>
      <c r="B44" s="1" t="s">
        <v>24</v>
      </c>
      <c r="C44" s="1" t="s">
        <v>24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3">
      <c r="A45" s="4" t="s">
        <v>6</v>
      </c>
      <c r="B45" s="1" t="s">
        <v>24</v>
      </c>
      <c r="C45" s="1" t="s">
        <v>24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3">
      <c r="A46" s="4" t="s">
        <v>6</v>
      </c>
      <c r="B46" s="1" t="s">
        <v>24</v>
      </c>
      <c r="C46" s="1" t="s">
        <v>24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3">
      <c r="A47" s="4" t="s">
        <v>6</v>
      </c>
      <c r="B47" s="1" t="s">
        <v>24</v>
      </c>
      <c r="C47" s="1" t="s">
        <v>24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3">
      <c r="A48" s="17" t="s">
        <v>19</v>
      </c>
      <c r="B48" s="1" t="s">
        <v>24</v>
      </c>
      <c r="C48" s="1" t="s">
        <v>24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3">
      <c r="A49" s="15" t="s">
        <v>17</v>
      </c>
      <c r="B49" s="1" t="s">
        <v>24</v>
      </c>
      <c r="C49" s="1" t="s">
        <v>24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3">
      <c r="A50" s="4" t="s">
        <v>6</v>
      </c>
      <c r="B50" s="1" t="s">
        <v>24</v>
      </c>
      <c r="C50" s="1" t="s">
        <v>24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3">
      <c r="A51" s="4" t="s">
        <v>6</v>
      </c>
      <c r="B51" s="1" t="s">
        <v>24</v>
      </c>
      <c r="C51" s="1" t="s">
        <v>24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3">
      <c r="A52" s="16" t="s">
        <v>18</v>
      </c>
      <c r="B52" s="1" t="s">
        <v>24</v>
      </c>
      <c r="C52" s="1" t="s">
        <v>24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3">
      <c r="A53" s="4" t="s">
        <v>6</v>
      </c>
      <c r="B53" s="1" t="s">
        <v>24</v>
      </c>
      <c r="C53" s="1" t="s">
        <v>24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3">
      <c r="A54" s="4" t="s">
        <v>6</v>
      </c>
      <c r="B54" s="1" t="s">
        <v>24</v>
      </c>
      <c r="C54" s="1" t="s">
        <v>24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3">
      <c r="A55" s="15" t="s">
        <v>17</v>
      </c>
      <c r="B55" s="1" t="s">
        <v>24</v>
      </c>
      <c r="C55" s="1" t="s">
        <v>24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3">
      <c r="A56" s="4" t="s">
        <v>6</v>
      </c>
      <c r="B56" s="1" t="s">
        <v>24</v>
      </c>
      <c r="C56" s="1" t="s">
        <v>24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3">
      <c r="A57" s="4" t="s">
        <v>6</v>
      </c>
      <c r="B57" s="1" t="s">
        <v>24</v>
      </c>
      <c r="C57" s="1" t="s">
        <v>24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3">
      <c r="A58" s="10" t="s">
        <v>12</v>
      </c>
      <c r="B58" s="1" t="s">
        <v>24</v>
      </c>
      <c r="C58" s="1" t="s">
        <v>24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3">
      <c r="A59" s="4" t="s">
        <v>6</v>
      </c>
      <c r="B59" s="1" t="s">
        <v>24</v>
      </c>
      <c r="C59" s="1" t="s">
        <v>24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3">
      <c r="A60" s="17" t="s">
        <v>64</v>
      </c>
      <c r="B60" s="1" t="s">
        <v>24</v>
      </c>
      <c r="C60" s="1" t="s">
        <v>24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3">
      <c r="A61" s="1" t="s">
        <v>24</v>
      </c>
      <c r="B61" s="1" t="s">
        <v>24</v>
      </c>
      <c r="C61" s="1" t="s">
        <v>24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3">
      <c r="A62" s="1" t="s">
        <v>24</v>
      </c>
      <c r="B62" s="1" t="s">
        <v>24</v>
      </c>
      <c r="C62" s="1" t="s">
        <v>24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3">
      <c r="A63" s="1" t="s">
        <v>24</v>
      </c>
      <c r="B63" s="1" t="s">
        <v>24</v>
      </c>
      <c r="C63" s="1" t="s">
        <v>24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3">
      <c r="A64" s="1" t="s">
        <v>24</v>
      </c>
      <c r="B64" s="1" t="s">
        <v>24</v>
      </c>
      <c r="C64" s="1" t="s">
        <v>24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3">
      <c r="A65" s="1" t="s">
        <v>24</v>
      </c>
      <c r="B65" s="1" t="s">
        <v>24</v>
      </c>
      <c r="C65" s="1" t="s">
        <v>24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3">
      <c r="A66" s="1" t="s">
        <v>24</v>
      </c>
      <c r="B66" s="1" t="s">
        <v>24</v>
      </c>
      <c r="C66" s="1" t="s">
        <v>24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3">
      <c r="A67" s="1" t="s">
        <v>24</v>
      </c>
      <c r="B67" s="1" t="s">
        <v>24</v>
      </c>
      <c r="C67" s="1" t="s">
        <v>24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3">
      <c r="A68" s="1" t="s">
        <v>24</v>
      </c>
      <c r="B68" s="1" t="s">
        <v>24</v>
      </c>
      <c r="C68" s="1" t="s">
        <v>24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3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3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3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3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3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3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3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3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3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3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3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3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3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3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3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3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3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3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3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3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3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3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3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3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3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3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3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3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3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3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3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" thickBot="1" x14ac:dyDescent="0.35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701C-905F-4E6B-A650-834525A84389}">
  <dimension ref="A1:AE100"/>
  <sheetViews>
    <sheetView zoomScaleNormal="100" workbookViewId="0">
      <selection activeCell="W17" sqref="W17"/>
    </sheetView>
  </sheetViews>
  <sheetFormatPr defaultRowHeight="14.4" x14ac:dyDescent="0.3"/>
  <cols>
    <col min="23" max="23" width="8.88671875" customWidth="1"/>
  </cols>
  <sheetData>
    <row r="1" spans="1:31" ht="15.6" x14ac:dyDescent="0.3">
      <c r="A1" s="63" t="s">
        <v>27</v>
      </c>
      <c r="B1" s="64"/>
      <c r="C1" s="64"/>
      <c r="D1" s="64"/>
      <c r="E1" s="64"/>
      <c r="F1" s="65" t="s">
        <v>3</v>
      </c>
      <c r="G1" s="65"/>
      <c r="H1" s="22" cm="1">
        <f t="array" ref="H1">SUM(VLOOKUP(A4:C100,$T$3:$W$36,4,FALSE))+H4*10-H8*50</f>
        <v>3491.9939071935041</v>
      </c>
      <c r="I1" s="66" t="s">
        <v>38</v>
      </c>
      <c r="J1" s="67"/>
      <c r="K1" s="67"/>
      <c r="L1" s="67"/>
      <c r="M1" s="67"/>
      <c r="N1" s="67"/>
      <c r="O1" s="67"/>
      <c r="P1" s="68"/>
      <c r="Q1" s="66" t="s">
        <v>45</v>
      </c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</row>
    <row r="2" spans="1:31" ht="28.8" x14ac:dyDescent="0.3">
      <c r="A2" s="69" t="s">
        <v>32</v>
      </c>
      <c r="B2" s="70"/>
      <c r="C2" s="70"/>
      <c r="D2" s="71" t="s">
        <v>34</v>
      </c>
      <c r="E2" s="72"/>
      <c r="F2" s="72"/>
      <c r="G2" s="72"/>
      <c r="H2" s="73"/>
      <c r="I2" s="74" t="s">
        <v>32</v>
      </c>
      <c r="J2" s="75"/>
      <c r="K2" s="75"/>
      <c r="L2" s="76" t="s">
        <v>34</v>
      </c>
      <c r="M2" s="76"/>
      <c r="N2" s="76"/>
      <c r="O2" s="76"/>
      <c r="P2" s="77"/>
      <c r="Q2" s="46" t="s">
        <v>40</v>
      </c>
      <c r="R2" s="47" cm="1">
        <f t="array" ref="R2">SUM(V3:V28*AB3:AB28)+H6+P6+R4*500</f>
        <v>64715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60" t="s">
        <v>41</v>
      </c>
      <c r="Y2" s="43" t="s">
        <v>52</v>
      </c>
      <c r="Z2" s="44" t="s">
        <v>42</v>
      </c>
      <c r="AA2" s="44" t="s">
        <v>43</v>
      </c>
      <c r="AB2" s="48" t="s">
        <v>44</v>
      </c>
      <c r="AD2" s="23"/>
    </row>
    <row r="3" spans="1:31" x14ac:dyDescent="0.3">
      <c r="A3" s="57" t="s">
        <v>28</v>
      </c>
      <c r="B3" s="62" t="s">
        <v>29</v>
      </c>
      <c r="C3" s="19" t="s">
        <v>30</v>
      </c>
      <c r="D3" s="30"/>
      <c r="E3" s="57" t="s">
        <v>28</v>
      </c>
      <c r="F3" s="62" t="s">
        <v>29</v>
      </c>
      <c r="G3" s="19" t="s">
        <v>30</v>
      </c>
      <c r="H3" s="31" t="s">
        <v>33</v>
      </c>
      <c r="I3" s="57" t="s">
        <v>28</v>
      </c>
      <c r="J3" s="62" t="s">
        <v>29</v>
      </c>
      <c r="K3" s="19" t="s">
        <v>30</v>
      </c>
      <c r="L3" s="30"/>
      <c r="M3" s="57" t="s">
        <v>28</v>
      </c>
      <c r="N3" s="62" t="s">
        <v>29</v>
      </c>
      <c r="O3" s="19" t="s">
        <v>30</v>
      </c>
      <c r="P3" s="31" t="s">
        <v>33</v>
      </c>
      <c r="Q3" s="49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60"/>
      <c r="Y3" s="43">
        <v>32</v>
      </c>
      <c r="Z3" s="1">
        <f>COUNTIF($A$4:$C$100,T3)</f>
        <v>31</v>
      </c>
      <c r="AA3" s="1">
        <f>COUNTIF($I$4:$K$100,T3)</f>
        <v>1</v>
      </c>
      <c r="AB3" s="50">
        <f>Y3-Z3-AA3</f>
        <v>0</v>
      </c>
      <c r="AD3" s="56"/>
    </row>
    <row r="4" spans="1:31" x14ac:dyDescent="0.3">
      <c r="A4" s="2" t="s">
        <v>4</v>
      </c>
      <c r="B4" s="15" t="s">
        <v>17</v>
      </c>
      <c r="C4" s="2" t="s">
        <v>4</v>
      </c>
      <c r="D4" s="40" t="s">
        <v>31</v>
      </c>
      <c r="E4" s="36">
        <v>7</v>
      </c>
      <c r="F4" s="36">
        <v>0</v>
      </c>
      <c r="G4" s="36">
        <v>1</v>
      </c>
      <c r="H4" s="33">
        <f>SUM(E4:G4)</f>
        <v>8</v>
      </c>
      <c r="I4" s="3" t="s">
        <v>5</v>
      </c>
      <c r="J4" s="15" t="s">
        <v>17</v>
      </c>
      <c r="K4" s="3" t="s">
        <v>5</v>
      </c>
      <c r="L4" s="40" t="s">
        <v>31</v>
      </c>
      <c r="M4" s="36">
        <v>1</v>
      </c>
      <c r="N4" s="36">
        <v>5</v>
      </c>
      <c r="O4" s="36">
        <v>0</v>
      </c>
      <c r="P4" s="33">
        <f>SUM(M4:O4)</f>
        <v>6</v>
      </c>
      <c r="Q4" s="49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60"/>
      <c r="Y4" s="43">
        <v>33</v>
      </c>
      <c r="Z4" s="1">
        <f t="shared" ref="Z4:Z28" si="1">COUNTIF($A$4:$C$100,T4)</f>
        <v>16</v>
      </c>
      <c r="AA4" s="1">
        <f>COUNTIF($I$4:$K$100,T4)</f>
        <v>17</v>
      </c>
      <c r="AB4" s="50">
        <f t="shared" ref="AB4:AB28" si="2">Y4-Z4-AA4</f>
        <v>0</v>
      </c>
      <c r="AD4" s="56"/>
    </row>
    <row r="5" spans="1:31" x14ac:dyDescent="0.3">
      <c r="A5" s="2" t="s">
        <v>4</v>
      </c>
      <c r="B5" s="2" t="s">
        <v>4</v>
      </c>
      <c r="C5" s="2" t="s">
        <v>4</v>
      </c>
      <c r="D5" s="30" t="s">
        <v>35</v>
      </c>
      <c r="E5" s="32" cm="1">
        <f t="array" ref="E5">(SUM(VLOOKUP(A4:A100,$T$3:$W$41,2,FALSE))+E4*10)-E8*50</f>
        <v>8130</v>
      </c>
      <c r="F5" s="32" cm="1">
        <f t="array" ref="F5">(SUM(VLOOKUP(B4:B100,$T$3:$W$41,2,FALSE))+F4*10)-F8*50</f>
        <v>4280</v>
      </c>
      <c r="G5" s="32" cm="1">
        <f t="array" ref="G5">(SUM(VLOOKUP(C4:C100,$T$3:$W$41,2,FALSE))+G4*10)-G8*50</f>
        <v>3450</v>
      </c>
      <c r="H5" s="54">
        <f t="shared" ref="H5:H8" si="3">SUM(E5:G5)</f>
        <v>15860</v>
      </c>
      <c r="I5" s="15" t="s">
        <v>17</v>
      </c>
      <c r="J5" s="3" t="s">
        <v>5</v>
      </c>
      <c r="K5" s="15" t="s">
        <v>17</v>
      </c>
      <c r="L5" s="30" t="s">
        <v>35</v>
      </c>
      <c r="M5" s="32" cm="1">
        <f t="array" ref="M5">(SUM(VLOOKUP(I4:I100,$T$3:$W$41,2,FALSE))+M4*10)*0.8-M8*40</f>
        <v>600</v>
      </c>
      <c r="N5" s="32" cm="1">
        <f t="array" ref="N5">(SUM(VLOOKUP(J4:J100,$T$3:$W$41,2,FALSE))+N4*10)*0.8-N8*40</f>
        <v>1472</v>
      </c>
      <c r="O5" s="32" cm="1">
        <f t="array" ref="O5">(SUM(VLOOKUP(K4:K100,$T$3:$W$41,2,FALSE))+O4*10)*0.8-O8*40</f>
        <v>592</v>
      </c>
      <c r="P5" s="54">
        <f>SUM(M5:O5)</f>
        <v>2664</v>
      </c>
      <c r="Q5" s="49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61"/>
      <c r="Y5" s="43">
        <v>210</v>
      </c>
      <c r="Z5" s="1">
        <f t="shared" si="1"/>
        <v>36</v>
      </c>
      <c r="AA5" s="1">
        <f t="shared" ref="AA5:AA28" si="4">COUNTIF($I$4:$K$100,T5)</f>
        <v>0</v>
      </c>
      <c r="AB5" s="50">
        <f t="shared" si="2"/>
        <v>174</v>
      </c>
      <c r="AD5" s="56"/>
    </row>
    <row r="6" spans="1:31" x14ac:dyDescent="0.3">
      <c r="A6" s="2" t="s">
        <v>4</v>
      </c>
      <c r="B6" s="2" t="s">
        <v>4</v>
      </c>
      <c r="C6" s="2" t="s">
        <v>4</v>
      </c>
      <c r="D6" s="30" t="s">
        <v>36</v>
      </c>
      <c r="E6" s="32" cm="1">
        <f t="array" ref="E6">(SUM(VLOOKUP(A4:A100,$T$3:$W$41,3,FALSE)))</f>
        <v>2615</v>
      </c>
      <c r="F6" s="32" cm="1">
        <f t="array" ref="F6">(SUM(VLOOKUP(B4:B100,$T$3:$W$41,3,FALSE)))</f>
        <v>1415</v>
      </c>
      <c r="G6" s="32" cm="1">
        <f t="array" ref="G6">(SUM(VLOOKUP(C4:C100,$T$3:$W$41,3,FALSE)))</f>
        <v>965</v>
      </c>
      <c r="H6" s="45">
        <f t="shared" si="3"/>
        <v>4995</v>
      </c>
      <c r="I6" s="3" t="s">
        <v>5</v>
      </c>
      <c r="J6" s="1" t="s">
        <v>24</v>
      </c>
      <c r="K6" s="3" t="s">
        <v>5</v>
      </c>
      <c r="L6" s="30" t="s">
        <v>36</v>
      </c>
      <c r="M6" s="32" cm="1">
        <f t="array" ref="M6">(SUM(VLOOKUP(I4:I100,$T$3:$W$41,3,FALSE)))</f>
        <v>250</v>
      </c>
      <c r="N6" s="32" cm="1">
        <f t="array" ref="N6">(SUM(VLOOKUP(J4:J100,$T$3:$W$41,3,FALSE)))</f>
        <v>1035</v>
      </c>
      <c r="O6" s="32" cm="1">
        <f t="array" ref="O6">(SUM(VLOOKUP(K4:K100,$T$3:$W$41,3,FALSE)))</f>
        <v>220</v>
      </c>
      <c r="P6" s="45">
        <f t="shared" ref="P6:P8" si="5">SUM(M6:O6)</f>
        <v>1505</v>
      </c>
      <c r="Q6" s="46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60">
        <v>276</v>
      </c>
      <c r="Y6" s="43">
        <v>276</v>
      </c>
      <c r="Z6" s="1">
        <f t="shared" si="1"/>
        <v>0</v>
      </c>
      <c r="AA6" s="1">
        <f t="shared" si="4"/>
        <v>0</v>
      </c>
      <c r="AB6" s="50">
        <f t="shared" si="2"/>
        <v>276</v>
      </c>
      <c r="AD6" s="56"/>
    </row>
    <row r="7" spans="1:31" x14ac:dyDescent="0.3">
      <c r="A7" s="2" t="s">
        <v>4</v>
      </c>
      <c r="B7" s="2" t="s">
        <v>4</v>
      </c>
      <c r="C7" s="3" t="s">
        <v>5</v>
      </c>
      <c r="D7" s="30" t="s">
        <v>37</v>
      </c>
      <c r="E7" s="32">
        <f>COUNTIF(A4:A100,"&lt;&gt;空")</f>
        <v>54</v>
      </c>
      <c r="F7" s="32">
        <f>COUNTIF(B4:B100,"&lt;&gt;空")</f>
        <v>31</v>
      </c>
      <c r="G7" s="32">
        <f>COUNTIF(C4:C100,"&lt;&gt;空")</f>
        <v>24</v>
      </c>
      <c r="H7" s="33">
        <f t="shared" si="3"/>
        <v>109</v>
      </c>
      <c r="I7" s="3" t="s">
        <v>5</v>
      </c>
      <c r="J7" s="15" t="s">
        <v>17</v>
      </c>
      <c r="K7" s="3" t="s">
        <v>5</v>
      </c>
      <c r="L7" s="30" t="s">
        <v>37</v>
      </c>
      <c r="M7" s="32">
        <f>COUNTIF(I4:I100,"&lt;&gt;空")</f>
        <v>7</v>
      </c>
      <c r="N7" s="32">
        <f>COUNTIF(J4:J100,"&lt;&gt;空")</f>
        <v>15</v>
      </c>
      <c r="O7" s="32">
        <f>COUNTIF(K4:K100,"&lt;&gt;空")</f>
        <v>6</v>
      </c>
      <c r="P7" s="33">
        <f t="shared" si="5"/>
        <v>28</v>
      </c>
      <c r="Q7" s="49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60">
        <v>237</v>
      </c>
      <c r="Y7" s="43">
        <v>237</v>
      </c>
      <c r="Z7" s="1">
        <f t="shared" si="1"/>
        <v>0</v>
      </c>
      <c r="AA7" s="1">
        <f t="shared" si="4"/>
        <v>0</v>
      </c>
      <c r="AB7" s="50">
        <f t="shared" si="2"/>
        <v>237</v>
      </c>
      <c r="AD7" s="56"/>
    </row>
    <row r="8" spans="1:31" x14ac:dyDescent="0.3">
      <c r="A8" s="2" t="s">
        <v>4</v>
      </c>
      <c r="B8" s="2" t="s">
        <v>4</v>
      </c>
      <c r="C8" s="15" t="s">
        <v>17</v>
      </c>
      <c r="D8" s="39" t="s">
        <v>61</v>
      </c>
      <c r="E8" s="38">
        <v>1</v>
      </c>
      <c r="F8" s="38">
        <v>0</v>
      </c>
      <c r="G8" s="38">
        <v>0</v>
      </c>
      <c r="H8" s="33">
        <f t="shared" si="3"/>
        <v>1</v>
      </c>
      <c r="I8" s="15" t="s">
        <v>17</v>
      </c>
      <c r="J8" s="1" t="s">
        <v>24</v>
      </c>
      <c r="K8" s="3" t="s">
        <v>5</v>
      </c>
      <c r="L8" s="39" t="s">
        <v>61</v>
      </c>
      <c r="M8" s="38">
        <v>1</v>
      </c>
      <c r="N8" s="38">
        <v>1</v>
      </c>
      <c r="O8" s="38">
        <v>0</v>
      </c>
      <c r="P8" s="33">
        <f t="shared" si="5"/>
        <v>2</v>
      </c>
      <c r="Q8" s="46" t="s">
        <v>50</v>
      </c>
      <c r="R8" s="51" cm="1">
        <f t="array" ref="R8">R6-P5-H5-SUM(U3:U28*AB3:AB28)*0.8-R7*8</f>
        <v>4</v>
      </c>
      <c r="S8" s="23"/>
      <c r="T8" s="7" t="s">
        <v>9</v>
      </c>
      <c r="U8" s="1">
        <v>200</v>
      </c>
      <c r="V8" s="1">
        <v>60</v>
      </c>
      <c r="W8" s="42"/>
      <c r="X8" s="60">
        <v>189</v>
      </c>
      <c r="Y8" s="43">
        <v>189</v>
      </c>
      <c r="Z8" s="1">
        <f t="shared" si="1"/>
        <v>0</v>
      </c>
      <c r="AA8" s="1">
        <f t="shared" si="4"/>
        <v>0</v>
      </c>
      <c r="AB8" s="50">
        <f t="shared" si="2"/>
        <v>189</v>
      </c>
      <c r="AD8" s="56"/>
    </row>
    <row r="9" spans="1:31" x14ac:dyDescent="0.3">
      <c r="A9" s="15" t="s">
        <v>17</v>
      </c>
      <c r="B9" s="2" t="s">
        <v>4</v>
      </c>
      <c r="C9" s="3" t="s">
        <v>5</v>
      </c>
      <c r="D9" s="23"/>
      <c r="E9" s="23"/>
      <c r="F9" s="23"/>
      <c r="G9" s="23"/>
      <c r="H9" s="24"/>
      <c r="I9" s="1" t="s">
        <v>24</v>
      </c>
      <c r="J9" s="3" t="s">
        <v>5</v>
      </c>
      <c r="K9" s="15" t="s">
        <v>17</v>
      </c>
      <c r="L9" s="30" t="s">
        <v>39</v>
      </c>
      <c r="M9" s="34">
        <f>M6/M5</f>
        <v>0.41666666666666669</v>
      </c>
      <c r="N9" s="34">
        <f>N6/N5</f>
        <v>0.703125</v>
      </c>
      <c r="O9" s="34">
        <f>O6/O5</f>
        <v>0.3716216216216216</v>
      </c>
      <c r="P9" s="35">
        <f>P6/P5</f>
        <v>0.56493993993993996</v>
      </c>
      <c r="Q9" s="46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60">
        <v>5</v>
      </c>
      <c r="Y9" s="43">
        <v>0</v>
      </c>
      <c r="Z9" s="1">
        <f t="shared" si="1"/>
        <v>0</v>
      </c>
      <c r="AA9" s="1">
        <f t="shared" si="4"/>
        <v>0</v>
      </c>
      <c r="AB9" s="50">
        <f t="shared" si="2"/>
        <v>0</v>
      </c>
      <c r="AD9" s="56">
        <v>3</v>
      </c>
      <c r="AE9">
        <v>2</v>
      </c>
    </row>
    <row r="10" spans="1:31" x14ac:dyDescent="0.3">
      <c r="A10" s="2" t="s">
        <v>4</v>
      </c>
      <c r="B10" s="2" t="s">
        <v>4</v>
      </c>
      <c r="C10" s="4" t="s">
        <v>6</v>
      </c>
      <c r="D10" s="23"/>
      <c r="E10" s="23"/>
      <c r="F10" s="23"/>
      <c r="G10" s="23"/>
      <c r="H10" s="24"/>
      <c r="I10" s="3" t="s">
        <v>5</v>
      </c>
      <c r="J10" s="3" t="s">
        <v>5</v>
      </c>
      <c r="K10" s="1" t="s">
        <v>24</v>
      </c>
      <c r="L10" s="23"/>
      <c r="M10" s="23"/>
      <c r="N10" s="23"/>
      <c r="O10" s="23"/>
      <c r="P10" s="24"/>
      <c r="Q10" s="46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60">
        <v>6</v>
      </c>
      <c r="Y10" s="43">
        <v>3</v>
      </c>
      <c r="Z10" s="1">
        <f t="shared" si="1"/>
        <v>3</v>
      </c>
      <c r="AA10" s="1">
        <f t="shared" si="4"/>
        <v>0</v>
      </c>
      <c r="AB10" s="50">
        <f t="shared" si="2"/>
        <v>0</v>
      </c>
      <c r="AD10" s="56">
        <v>4</v>
      </c>
      <c r="AE10">
        <v>2</v>
      </c>
    </row>
    <row r="11" spans="1:31" x14ac:dyDescent="0.3">
      <c r="A11" s="2" t="s">
        <v>4</v>
      </c>
      <c r="B11" s="2" t="s">
        <v>4</v>
      </c>
      <c r="C11" s="16" t="s">
        <v>18</v>
      </c>
      <c r="D11" s="23"/>
      <c r="E11" s="23"/>
      <c r="F11" s="23"/>
      <c r="G11" s="23"/>
      <c r="H11" s="24"/>
      <c r="I11" s="15" t="s">
        <v>17</v>
      </c>
      <c r="J11" s="21" t="s">
        <v>26</v>
      </c>
      <c r="K11" s="1" t="s">
        <v>24</v>
      </c>
      <c r="L11" s="23"/>
      <c r="M11" s="23"/>
      <c r="N11" s="23"/>
      <c r="O11" s="23"/>
      <c r="P11" s="24">
        <f>H5+P5</f>
        <v>18524</v>
      </c>
      <c r="Q11" s="46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60">
        <v>6</v>
      </c>
      <c r="Y11" s="43">
        <v>6</v>
      </c>
      <c r="Z11" s="1">
        <f t="shared" si="1"/>
        <v>1</v>
      </c>
      <c r="AA11" s="1">
        <f t="shared" si="4"/>
        <v>0</v>
      </c>
      <c r="AB11" s="50">
        <f t="shared" si="2"/>
        <v>5</v>
      </c>
      <c r="AD11" s="56">
        <v>4</v>
      </c>
      <c r="AE11">
        <v>2</v>
      </c>
    </row>
    <row r="12" spans="1:31" x14ac:dyDescent="0.3">
      <c r="A12" s="2" t="s">
        <v>4</v>
      </c>
      <c r="B12" s="15" t="s">
        <v>17</v>
      </c>
      <c r="C12" s="4" t="s">
        <v>6</v>
      </c>
      <c r="D12" s="23"/>
      <c r="E12" s="23"/>
      <c r="F12" s="23"/>
      <c r="G12" s="23"/>
      <c r="H12" s="24"/>
      <c r="I12" s="1" t="s">
        <v>24</v>
      </c>
      <c r="J12" s="3" t="s">
        <v>5</v>
      </c>
      <c r="K12" s="1" t="s">
        <v>24</v>
      </c>
      <c r="L12" s="23"/>
      <c r="M12" s="23"/>
      <c r="N12" s="23"/>
      <c r="O12" s="23"/>
      <c r="P12" s="24">
        <f>H6+P6</f>
        <v>6500</v>
      </c>
      <c r="Q12" s="46"/>
      <c r="R12" s="23"/>
      <c r="S12" s="23"/>
      <c r="T12" s="11" t="s">
        <v>13</v>
      </c>
      <c r="U12" s="1">
        <v>150</v>
      </c>
      <c r="V12" s="1">
        <v>50</v>
      </c>
      <c r="W12" s="42"/>
      <c r="X12" s="60">
        <v>3</v>
      </c>
      <c r="Y12" s="43">
        <v>3</v>
      </c>
      <c r="Z12" s="1">
        <f t="shared" si="1"/>
        <v>0</v>
      </c>
      <c r="AA12" s="1">
        <f t="shared" si="4"/>
        <v>0</v>
      </c>
      <c r="AB12" s="50">
        <f t="shared" si="2"/>
        <v>3</v>
      </c>
      <c r="AD12" s="56">
        <v>3</v>
      </c>
    </row>
    <row r="13" spans="1:31" x14ac:dyDescent="0.3">
      <c r="A13" s="2" t="s">
        <v>4</v>
      </c>
      <c r="B13" s="2" t="s">
        <v>4</v>
      </c>
      <c r="C13" s="4" t="s">
        <v>6</v>
      </c>
      <c r="D13" s="23"/>
      <c r="E13" s="23"/>
      <c r="F13" s="23"/>
      <c r="G13" s="23"/>
      <c r="H13" s="24"/>
      <c r="I13" s="1" t="s">
        <v>24</v>
      </c>
      <c r="J13" s="3" t="s">
        <v>5</v>
      </c>
      <c r="K13" s="1" t="s">
        <v>24</v>
      </c>
      <c r="L13" s="23"/>
      <c r="M13" s="23"/>
      <c r="N13" s="23"/>
      <c r="O13" s="23"/>
      <c r="P13" s="24"/>
      <c r="Q13" s="46"/>
      <c r="R13" s="23"/>
      <c r="S13" s="23"/>
      <c r="T13" s="12" t="s">
        <v>14</v>
      </c>
      <c r="U13" s="1">
        <v>150</v>
      </c>
      <c r="V13" s="1">
        <v>55</v>
      </c>
      <c r="W13" s="42"/>
      <c r="X13" s="60">
        <v>3</v>
      </c>
      <c r="Y13" s="43">
        <v>3</v>
      </c>
      <c r="Z13" s="1">
        <f t="shared" si="1"/>
        <v>0</v>
      </c>
      <c r="AA13" s="1">
        <f t="shared" si="4"/>
        <v>0</v>
      </c>
      <c r="AB13" s="50">
        <f t="shared" si="2"/>
        <v>3</v>
      </c>
      <c r="AD13" s="56">
        <v>3</v>
      </c>
    </row>
    <row r="14" spans="1:31" x14ac:dyDescent="0.3">
      <c r="A14" s="2" t="s">
        <v>4</v>
      </c>
      <c r="B14" s="2" t="s">
        <v>4</v>
      </c>
      <c r="C14" s="4" t="s">
        <v>6</v>
      </c>
      <c r="D14" s="23"/>
      <c r="E14" s="23"/>
      <c r="F14" s="23"/>
      <c r="G14" s="23"/>
      <c r="H14" s="24"/>
      <c r="I14" s="1" t="s">
        <v>24</v>
      </c>
      <c r="J14" s="15" t="s">
        <v>17</v>
      </c>
      <c r="K14" s="1" t="s">
        <v>24</v>
      </c>
      <c r="L14" s="23"/>
      <c r="M14" s="23"/>
      <c r="N14" s="23"/>
      <c r="O14" s="23"/>
      <c r="P14" s="24"/>
      <c r="Q14" s="46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60">
        <v>1</v>
      </c>
      <c r="Y14" s="43">
        <v>1</v>
      </c>
      <c r="Z14" s="1">
        <f t="shared" si="1"/>
        <v>0</v>
      </c>
      <c r="AA14" s="1">
        <f t="shared" si="4"/>
        <v>0</v>
      </c>
      <c r="AB14" s="50">
        <f t="shared" si="2"/>
        <v>1</v>
      </c>
      <c r="AD14" s="56">
        <v>1</v>
      </c>
    </row>
    <row r="15" spans="1:31" x14ac:dyDescent="0.3">
      <c r="A15" s="2" t="s">
        <v>4</v>
      </c>
      <c r="B15" s="3" t="s">
        <v>5</v>
      </c>
      <c r="C15" s="17" t="s">
        <v>64</v>
      </c>
      <c r="D15" s="23"/>
      <c r="E15" s="23"/>
      <c r="F15" s="23"/>
      <c r="G15" s="23"/>
      <c r="H15" s="24"/>
      <c r="I15" s="1" t="s">
        <v>24</v>
      </c>
      <c r="J15" s="3" t="s">
        <v>5</v>
      </c>
      <c r="K15" s="1" t="s">
        <v>24</v>
      </c>
      <c r="L15" s="23"/>
      <c r="M15" s="23"/>
      <c r="N15" s="23"/>
      <c r="O15" s="23"/>
      <c r="P15" s="24"/>
      <c r="Q15" s="46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60"/>
      <c r="Y15" s="43">
        <v>0</v>
      </c>
      <c r="Z15" s="1">
        <f t="shared" si="1"/>
        <v>0</v>
      </c>
      <c r="AA15" s="1">
        <f t="shared" si="4"/>
        <v>0</v>
      </c>
      <c r="AB15" s="50">
        <f t="shared" si="2"/>
        <v>0</v>
      </c>
      <c r="AD15" s="56"/>
    </row>
    <row r="16" spans="1:31" x14ac:dyDescent="0.3">
      <c r="A16" s="2" t="s">
        <v>4</v>
      </c>
      <c r="B16" s="15" t="s">
        <v>17</v>
      </c>
      <c r="C16" s="4" t="s">
        <v>6</v>
      </c>
      <c r="D16" s="23"/>
      <c r="E16" s="23"/>
      <c r="F16" s="23"/>
      <c r="G16" s="23"/>
      <c r="H16" s="24"/>
      <c r="I16" s="1" t="s">
        <v>24</v>
      </c>
      <c r="J16" s="3" t="s">
        <v>5</v>
      </c>
      <c r="K16" s="1" t="s">
        <v>24</v>
      </c>
      <c r="L16" s="23"/>
      <c r="M16" s="23"/>
      <c r="N16" s="23"/>
      <c r="O16" s="23"/>
      <c r="P16" s="24"/>
      <c r="Q16" s="46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60">
        <v>40</v>
      </c>
      <c r="Y16" s="43">
        <v>40</v>
      </c>
      <c r="Z16" s="1">
        <f t="shared" si="1"/>
        <v>12</v>
      </c>
      <c r="AA16" s="1">
        <f t="shared" si="4"/>
        <v>9</v>
      </c>
      <c r="AB16" s="50">
        <f t="shared" si="2"/>
        <v>19</v>
      </c>
      <c r="AD16" s="56"/>
    </row>
    <row r="17" spans="1:30" x14ac:dyDescent="0.3">
      <c r="A17" s="15" t="s">
        <v>17</v>
      </c>
      <c r="B17" s="3" t="s">
        <v>5</v>
      </c>
      <c r="C17" s="4" t="s">
        <v>6</v>
      </c>
      <c r="D17" s="23"/>
      <c r="E17" s="23"/>
      <c r="F17" s="23"/>
      <c r="G17" s="23"/>
      <c r="H17" s="24"/>
      <c r="I17" s="1" t="s">
        <v>24</v>
      </c>
      <c r="J17" s="2" t="s">
        <v>4</v>
      </c>
      <c r="K17" s="1" t="s">
        <v>24</v>
      </c>
      <c r="L17" s="23"/>
      <c r="M17" s="23"/>
      <c r="N17" s="23"/>
      <c r="O17" s="23"/>
      <c r="P17" s="24"/>
      <c r="Q17" s="46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60">
        <v>2</v>
      </c>
      <c r="Y17" s="43">
        <v>2</v>
      </c>
      <c r="Z17" s="1">
        <f t="shared" si="1"/>
        <v>2</v>
      </c>
      <c r="AA17" s="1">
        <f t="shared" si="4"/>
        <v>0</v>
      </c>
      <c r="AB17" s="50">
        <f t="shared" si="2"/>
        <v>0</v>
      </c>
      <c r="AD17" s="56"/>
    </row>
    <row r="18" spans="1:30" x14ac:dyDescent="0.3">
      <c r="A18" s="2" t="s">
        <v>4</v>
      </c>
      <c r="B18" s="4" t="s">
        <v>6</v>
      </c>
      <c r="C18" s="4" t="s">
        <v>6</v>
      </c>
      <c r="D18" s="23"/>
      <c r="E18" s="23"/>
      <c r="F18" s="23"/>
      <c r="G18" s="23"/>
      <c r="H18" s="24"/>
      <c r="I18" s="1" t="s">
        <v>24</v>
      </c>
      <c r="J18" s="3" t="s">
        <v>5</v>
      </c>
      <c r="K18" s="1" t="s">
        <v>24</v>
      </c>
      <c r="L18" s="23"/>
      <c r="M18" s="23"/>
      <c r="N18" s="23"/>
      <c r="O18" s="23"/>
      <c r="P18" s="24"/>
      <c r="Q18" s="46"/>
      <c r="R18" s="23"/>
      <c r="S18" s="23"/>
      <c r="T18" s="17" t="s">
        <v>19</v>
      </c>
      <c r="U18" s="1">
        <v>250</v>
      </c>
      <c r="V18" s="1">
        <v>300</v>
      </c>
      <c r="W18" s="42"/>
      <c r="X18" s="60">
        <v>3</v>
      </c>
      <c r="Y18" s="43">
        <v>3</v>
      </c>
      <c r="Z18" s="1">
        <f t="shared" si="1"/>
        <v>3</v>
      </c>
      <c r="AA18" s="1">
        <f t="shared" si="4"/>
        <v>0</v>
      </c>
      <c r="AB18" s="50">
        <f t="shared" si="2"/>
        <v>0</v>
      </c>
      <c r="AD18" s="56"/>
    </row>
    <row r="19" spans="1:30" x14ac:dyDescent="0.3">
      <c r="A19" s="2" t="s">
        <v>4</v>
      </c>
      <c r="B19" s="4" t="s">
        <v>6</v>
      </c>
      <c r="C19" s="15" t="s">
        <v>17</v>
      </c>
      <c r="D19" s="23"/>
      <c r="E19" s="23"/>
      <c r="F19" s="23"/>
      <c r="G19" s="23"/>
      <c r="H19" s="24"/>
      <c r="I19" s="1" t="s">
        <v>24</v>
      </c>
      <c r="J19" s="3" t="s">
        <v>5</v>
      </c>
      <c r="K19" s="1" t="s">
        <v>24</v>
      </c>
      <c r="L19" s="23"/>
      <c r="M19" s="23"/>
      <c r="N19" s="23"/>
      <c r="O19" s="23"/>
      <c r="P19" s="24"/>
      <c r="Q19" s="46"/>
      <c r="R19" s="23"/>
      <c r="S19" s="23"/>
      <c r="T19" s="17" t="s">
        <v>64</v>
      </c>
      <c r="U19" s="1">
        <v>170</v>
      </c>
      <c r="V19" s="1">
        <v>45</v>
      </c>
      <c r="W19" s="42"/>
      <c r="X19" s="60">
        <v>5</v>
      </c>
      <c r="Y19" s="43">
        <v>5</v>
      </c>
      <c r="Z19" s="1">
        <f t="shared" si="1"/>
        <v>5</v>
      </c>
      <c r="AA19" s="1">
        <f t="shared" si="4"/>
        <v>0</v>
      </c>
      <c r="AB19" s="50">
        <f t="shared" si="2"/>
        <v>0</v>
      </c>
      <c r="AD19" s="56"/>
    </row>
    <row r="20" spans="1:30" x14ac:dyDescent="0.3">
      <c r="A20" s="2" t="s">
        <v>4</v>
      </c>
      <c r="B20" s="16" t="s">
        <v>18</v>
      </c>
      <c r="C20" s="4" t="s">
        <v>6</v>
      </c>
      <c r="D20" s="23"/>
      <c r="E20" s="23"/>
      <c r="F20" s="23"/>
      <c r="G20" s="23"/>
      <c r="H20" s="24"/>
      <c r="I20" s="1" t="s">
        <v>24</v>
      </c>
      <c r="J20" s="15" t="s">
        <v>17</v>
      </c>
      <c r="K20" s="1" t="s">
        <v>24</v>
      </c>
      <c r="L20" s="23"/>
      <c r="M20" s="23"/>
      <c r="N20" s="23"/>
      <c r="O20" s="23"/>
      <c r="P20" s="24"/>
      <c r="Q20" s="46"/>
      <c r="R20" s="23"/>
      <c r="S20" s="23"/>
      <c r="T20" s="17" t="s">
        <v>63</v>
      </c>
      <c r="U20" s="1">
        <v>250</v>
      </c>
      <c r="V20" s="1">
        <v>400</v>
      </c>
      <c r="W20" s="42"/>
      <c r="X20" s="60">
        <v>0</v>
      </c>
      <c r="Y20" s="43">
        <v>0</v>
      </c>
      <c r="Z20" s="1">
        <f t="shared" si="1"/>
        <v>0</v>
      </c>
      <c r="AA20" s="1">
        <f t="shared" si="4"/>
        <v>0</v>
      </c>
      <c r="AB20" s="50">
        <f t="shared" si="2"/>
        <v>0</v>
      </c>
      <c r="AD20" s="56"/>
    </row>
    <row r="21" spans="1:30" x14ac:dyDescent="0.3">
      <c r="A21" s="4" t="s">
        <v>6</v>
      </c>
      <c r="B21" s="4" t="s">
        <v>6</v>
      </c>
      <c r="C21" s="4" t="s">
        <v>6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6"/>
      <c r="R21" s="23"/>
      <c r="S21" s="23"/>
      <c r="T21" s="18" t="s">
        <v>20</v>
      </c>
      <c r="U21" s="1">
        <v>250</v>
      </c>
      <c r="V21" s="1">
        <v>1000</v>
      </c>
      <c r="W21" s="42"/>
      <c r="X21" s="60">
        <v>2</v>
      </c>
      <c r="Y21" s="43">
        <v>2</v>
      </c>
      <c r="Z21" s="1">
        <f t="shared" si="1"/>
        <v>0</v>
      </c>
      <c r="AA21" s="1">
        <f t="shared" si="4"/>
        <v>0</v>
      </c>
      <c r="AB21" s="50">
        <f t="shared" si="2"/>
        <v>2</v>
      </c>
      <c r="AD21" s="56"/>
    </row>
    <row r="22" spans="1:30" x14ac:dyDescent="0.3">
      <c r="A22" s="4" t="s">
        <v>6</v>
      </c>
      <c r="B22" s="17" t="s">
        <v>19</v>
      </c>
      <c r="C22" s="4" t="s">
        <v>6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6"/>
      <c r="R22" s="23"/>
      <c r="S22" s="23"/>
      <c r="T22" s="19" t="s">
        <v>21</v>
      </c>
      <c r="U22" s="1">
        <v>250</v>
      </c>
      <c r="V22" s="1">
        <v>500</v>
      </c>
      <c r="W22" s="42"/>
      <c r="X22" s="60">
        <v>2</v>
      </c>
      <c r="Y22" s="43">
        <v>2</v>
      </c>
      <c r="Z22" s="1">
        <f t="shared" si="1"/>
        <v>0</v>
      </c>
      <c r="AA22" s="1">
        <f t="shared" si="4"/>
        <v>0</v>
      </c>
      <c r="AB22" s="50">
        <f t="shared" si="2"/>
        <v>2</v>
      </c>
      <c r="AD22" s="56"/>
    </row>
    <row r="23" spans="1:30" x14ac:dyDescent="0.3">
      <c r="A23" s="4" t="s">
        <v>6</v>
      </c>
      <c r="B23" s="4" t="s">
        <v>6</v>
      </c>
      <c r="C23" s="4" t="s">
        <v>6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6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60">
        <v>0</v>
      </c>
      <c r="Y23" s="43">
        <v>0</v>
      </c>
      <c r="Z23" s="1">
        <f t="shared" si="1"/>
        <v>0</v>
      </c>
      <c r="AA23" s="1">
        <f t="shared" si="4"/>
        <v>0</v>
      </c>
      <c r="AB23" s="50">
        <f t="shared" si="2"/>
        <v>0</v>
      </c>
      <c r="AD23" s="56"/>
    </row>
    <row r="24" spans="1:30" x14ac:dyDescent="0.3">
      <c r="A24" s="17" t="s">
        <v>64</v>
      </c>
      <c r="B24" s="4" t="s">
        <v>6</v>
      </c>
      <c r="C24" s="4" t="s">
        <v>6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6"/>
      <c r="R24" s="23"/>
      <c r="S24" s="23"/>
      <c r="T24" s="55" t="s">
        <v>22</v>
      </c>
      <c r="U24" s="1">
        <v>160</v>
      </c>
      <c r="V24" s="1">
        <v>40</v>
      </c>
      <c r="W24" s="42">
        <f t="shared" si="8"/>
        <v>39.110982162825422</v>
      </c>
      <c r="X24" s="60">
        <v>0</v>
      </c>
      <c r="Y24" s="43">
        <v>0</v>
      </c>
      <c r="Z24" s="1">
        <f t="shared" si="1"/>
        <v>0</v>
      </c>
      <c r="AA24" s="1">
        <f t="shared" si="4"/>
        <v>0</v>
      </c>
      <c r="AB24" s="50">
        <f t="shared" si="2"/>
        <v>0</v>
      </c>
      <c r="AD24" s="56"/>
    </row>
    <row r="25" spans="1:30" x14ac:dyDescent="0.3">
      <c r="A25" s="3" t="s">
        <v>5</v>
      </c>
      <c r="B25" s="3" t="s">
        <v>5</v>
      </c>
      <c r="C25" s="4" t="s">
        <v>6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6"/>
      <c r="R25" s="23"/>
      <c r="S25" s="23"/>
      <c r="T25" s="55" t="s">
        <v>23</v>
      </c>
      <c r="U25" s="1">
        <v>150</v>
      </c>
      <c r="V25" s="1">
        <v>35</v>
      </c>
      <c r="W25" s="42">
        <f t="shared" si="8"/>
        <v>44.222109392472248</v>
      </c>
      <c r="X25" s="60">
        <v>0</v>
      </c>
      <c r="Y25" s="43">
        <v>0</v>
      </c>
      <c r="Z25" s="1">
        <f t="shared" si="1"/>
        <v>0</v>
      </c>
      <c r="AA25" s="1">
        <f t="shared" si="4"/>
        <v>0</v>
      </c>
      <c r="AB25" s="50">
        <f t="shared" si="2"/>
        <v>0</v>
      </c>
      <c r="AD25" s="56"/>
    </row>
    <row r="26" spans="1:30" x14ac:dyDescent="0.3">
      <c r="A26" s="3" t="s">
        <v>5</v>
      </c>
      <c r="B26" s="3" t="s">
        <v>5</v>
      </c>
      <c r="C26" s="4" t="s">
        <v>6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6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60">
        <v>0</v>
      </c>
      <c r="Y26" s="43">
        <v>0</v>
      </c>
      <c r="Z26" s="1"/>
      <c r="AA26" s="1"/>
      <c r="AB26" s="50"/>
      <c r="AD26" s="56"/>
    </row>
    <row r="27" spans="1:30" x14ac:dyDescent="0.3">
      <c r="A27" s="3" t="s">
        <v>5</v>
      </c>
      <c r="B27" s="15" t="s">
        <v>17</v>
      </c>
      <c r="C27" s="17" t="s">
        <v>64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6"/>
      <c r="R27" s="23"/>
      <c r="S27" s="23"/>
      <c r="T27" s="16" t="s">
        <v>25</v>
      </c>
      <c r="U27" s="1">
        <v>-200</v>
      </c>
      <c r="V27" s="1">
        <v>0</v>
      </c>
      <c r="W27" s="42"/>
      <c r="X27" s="60">
        <v>13</v>
      </c>
      <c r="Y27" s="43">
        <v>13</v>
      </c>
      <c r="Z27" s="1">
        <f t="shared" si="1"/>
        <v>0</v>
      </c>
      <c r="AA27" s="1">
        <f t="shared" si="4"/>
        <v>0</v>
      </c>
      <c r="AB27" s="50">
        <f t="shared" si="2"/>
        <v>13</v>
      </c>
      <c r="AD27" s="56"/>
    </row>
    <row r="28" spans="1:30" x14ac:dyDescent="0.3">
      <c r="A28" s="9" t="s">
        <v>11</v>
      </c>
      <c r="B28" s="3" t="s">
        <v>5</v>
      </c>
      <c r="C28" s="1" t="s">
        <v>24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6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60">
        <v>3</v>
      </c>
      <c r="Y28" s="43">
        <v>3</v>
      </c>
      <c r="Z28" s="1">
        <f t="shared" si="1"/>
        <v>0</v>
      </c>
      <c r="AA28" s="1">
        <f t="shared" si="4"/>
        <v>1</v>
      </c>
      <c r="AB28" s="50">
        <f t="shared" si="2"/>
        <v>2</v>
      </c>
      <c r="AD28" s="56"/>
    </row>
    <row r="29" spans="1:30" ht="15" thickBot="1" x14ac:dyDescent="0.35">
      <c r="A29" s="3" t="s">
        <v>5</v>
      </c>
      <c r="B29" s="2" t="s">
        <v>4</v>
      </c>
      <c r="C29" s="1" t="s">
        <v>24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2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3"/>
      <c r="AD29" s="56"/>
    </row>
    <row r="30" spans="1:30" x14ac:dyDescent="0.3">
      <c r="A30" s="15" t="s">
        <v>17</v>
      </c>
      <c r="B30" s="4" t="s">
        <v>6</v>
      </c>
      <c r="C30" s="1" t="s">
        <v>24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3">
      <c r="A31" s="3" t="s">
        <v>5</v>
      </c>
      <c r="B31" s="9" t="s">
        <v>11</v>
      </c>
      <c r="C31" s="1" t="s">
        <v>24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1063</v>
      </c>
      <c r="AB31">
        <f>SUM(AB3:AB28)</f>
        <v>926</v>
      </c>
    </row>
    <row r="32" spans="1:30" x14ac:dyDescent="0.3">
      <c r="A32" s="9" t="s">
        <v>11</v>
      </c>
      <c r="B32" s="4" t="s">
        <v>6</v>
      </c>
      <c r="C32" s="1" t="s">
        <v>24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3">
      <c r="A33" s="4" t="s">
        <v>6</v>
      </c>
      <c r="B33" s="4" t="s">
        <v>6</v>
      </c>
      <c r="C33" s="1" t="s">
        <v>24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3">
      <c r="A34" s="4" t="s">
        <v>6</v>
      </c>
      <c r="B34" s="17" t="s">
        <v>64</v>
      </c>
      <c r="C34" s="1" t="s">
        <v>24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3">
      <c r="A35" s="17" t="s">
        <v>19</v>
      </c>
      <c r="B35" s="1" t="s">
        <v>24</v>
      </c>
      <c r="C35" s="1" t="s">
        <v>24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3">
      <c r="A36" s="1" t="s">
        <v>24</v>
      </c>
      <c r="B36" s="1" t="s">
        <v>24</v>
      </c>
      <c r="C36" s="1" t="s">
        <v>24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3">
      <c r="A37" s="2" t="s">
        <v>4</v>
      </c>
      <c r="B37" s="1" t="s">
        <v>24</v>
      </c>
      <c r="C37" s="1" t="s">
        <v>24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3">
      <c r="A38" s="2" t="s">
        <v>4</v>
      </c>
      <c r="B38" s="1" t="s">
        <v>24</v>
      </c>
      <c r="C38" s="1" t="s">
        <v>24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3">
      <c r="A39" s="2" t="s">
        <v>4</v>
      </c>
      <c r="B39" s="1" t="s">
        <v>24</v>
      </c>
      <c r="C39" s="1" t="s">
        <v>24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3">
      <c r="A40" s="3" t="s">
        <v>5</v>
      </c>
      <c r="B40" s="1" t="s">
        <v>24</v>
      </c>
      <c r="C40" s="1" t="s">
        <v>24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3">
      <c r="A41" s="15" t="s">
        <v>17</v>
      </c>
      <c r="B41" s="1" t="s">
        <v>24</v>
      </c>
      <c r="C41" s="1" t="s">
        <v>24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3">
      <c r="A42" s="3" t="s">
        <v>5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3">
      <c r="A43" s="3" t="s">
        <v>5</v>
      </c>
      <c r="B43" s="1" t="s">
        <v>24</v>
      </c>
      <c r="C43" s="1" t="s">
        <v>24</v>
      </c>
      <c r="D43" s="23"/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3">
      <c r="A44" s="3" t="s">
        <v>5</v>
      </c>
      <c r="B44" s="1" t="s">
        <v>24</v>
      </c>
      <c r="C44" s="1" t="s">
        <v>24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3">
      <c r="A45" s="4" t="s">
        <v>6</v>
      </c>
      <c r="B45" s="1" t="s">
        <v>24</v>
      </c>
      <c r="C45" s="1" t="s">
        <v>24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3">
      <c r="A46" s="15" t="s">
        <v>17</v>
      </c>
      <c r="B46" s="1" t="s">
        <v>24</v>
      </c>
      <c r="C46" s="1" t="s">
        <v>24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3">
      <c r="A47" s="4" t="s">
        <v>6</v>
      </c>
      <c r="B47" s="1" t="s">
        <v>24</v>
      </c>
      <c r="C47" s="1" t="s">
        <v>24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3">
      <c r="A48" s="17" t="s">
        <v>19</v>
      </c>
      <c r="B48" s="1" t="s">
        <v>24</v>
      </c>
      <c r="C48" s="1" t="s">
        <v>24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3">
      <c r="A49" s="4" t="s">
        <v>6</v>
      </c>
      <c r="B49" s="1" t="s">
        <v>24</v>
      </c>
      <c r="C49" s="1" t="s">
        <v>24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3">
      <c r="A50" s="4" t="s">
        <v>6</v>
      </c>
      <c r="B50" s="1" t="s">
        <v>24</v>
      </c>
      <c r="C50" s="1" t="s">
        <v>24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3">
      <c r="A51" s="4" t="s">
        <v>6</v>
      </c>
      <c r="B51" s="1" t="s">
        <v>24</v>
      </c>
      <c r="C51" s="1" t="s">
        <v>24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3">
      <c r="A52" s="4" t="s">
        <v>6</v>
      </c>
      <c r="B52" s="1" t="s">
        <v>24</v>
      </c>
      <c r="C52" s="1" t="s">
        <v>24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3">
      <c r="A53" s="15" t="s">
        <v>17</v>
      </c>
      <c r="B53" s="1" t="s">
        <v>24</v>
      </c>
      <c r="C53" s="1" t="s">
        <v>24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3">
      <c r="A54" s="4" t="s">
        <v>6</v>
      </c>
      <c r="B54" s="1" t="s">
        <v>24</v>
      </c>
      <c r="C54" s="1" t="s">
        <v>24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3">
      <c r="A55" s="4" t="s">
        <v>6</v>
      </c>
      <c r="B55" s="1" t="s">
        <v>24</v>
      </c>
      <c r="C55" s="1" t="s">
        <v>24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3">
      <c r="A56" s="10" t="s">
        <v>12</v>
      </c>
      <c r="B56" s="1" t="s">
        <v>24</v>
      </c>
      <c r="C56" s="1" t="s">
        <v>24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3">
      <c r="A57" s="4" t="s">
        <v>6</v>
      </c>
      <c r="B57" s="1" t="s">
        <v>24</v>
      </c>
      <c r="C57" s="1" t="s">
        <v>24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3">
      <c r="A58" s="17" t="s">
        <v>64</v>
      </c>
      <c r="B58" s="1" t="s">
        <v>24</v>
      </c>
      <c r="C58" s="1" t="s">
        <v>24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3">
      <c r="A59" s="1" t="s">
        <v>24</v>
      </c>
      <c r="B59" s="1" t="s">
        <v>24</v>
      </c>
      <c r="C59" s="1" t="s">
        <v>24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3">
      <c r="A60" s="1" t="s">
        <v>24</v>
      </c>
      <c r="B60" s="1" t="s">
        <v>24</v>
      </c>
      <c r="C60" s="1" t="s">
        <v>24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3">
      <c r="A61" s="1" t="s">
        <v>24</v>
      </c>
      <c r="B61" s="1" t="s">
        <v>24</v>
      </c>
      <c r="C61" s="1" t="s">
        <v>24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3">
      <c r="A62" s="1" t="s">
        <v>24</v>
      </c>
      <c r="B62" s="1" t="s">
        <v>24</v>
      </c>
      <c r="C62" s="1" t="s">
        <v>24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3">
      <c r="A63" s="1" t="s">
        <v>24</v>
      </c>
      <c r="B63" s="1" t="s">
        <v>24</v>
      </c>
      <c r="C63" s="1" t="s">
        <v>24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3">
      <c r="A64" s="1" t="s">
        <v>24</v>
      </c>
      <c r="B64" s="1" t="s">
        <v>24</v>
      </c>
      <c r="C64" s="1" t="s">
        <v>24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3">
      <c r="A65" s="1" t="s">
        <v>24</v>
      </c>
      <c r="B65" s="1" t="s">
        <v>24</v>
      </c>
      <c r="C65" s="1" t="s">
        <v>24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3">
      <c r="A66" s="1" t="s">
        <v>24</v>
      </c>
      <c r="B66" s="1" t="s">
        <v>24</v>
      </c>
      <c r="C66" s="1" t="s">
        <v>24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3">
      <c r="A67" s="1" t="s">
        <v>24</v>
      </c>
      <c r="B67" s="1" t="s">
        <v>24</v>
      </c>
      <c r="C67" s="1" t="s">
        <v>24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3">
      <c r="A68" s="1" t="s">
        <v>24</v>
      </c>
      <c r="B68" s="1" t="s">
        <v>24</v>
      </c>
      <c r="C68" s="1" t="s">
        <v>24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3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3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3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3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3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3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3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3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3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3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3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3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3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3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3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3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3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3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3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3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3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3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3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3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3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3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3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3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3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3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3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" thickBot="1" x14ac:dyDescent="0.35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C88F-3BB8-412E-B772-8FAA94003A5F}">
  <dimension ref="A1:AE100"/>
  <sheetViews>
    <sheetView zoomScaleNormal="100" workbookViewId="0">
      <selection activeCell="C16" sqref="C16:C26"/>
    </sheetView>
  </sheetViews>
  <sheetFormatPr defaultRowHeight="14.4" x14ac:dyDescent="0.3"/>
  <cols>
    <col min="23" max="23" width="8.88671875" customWidth="1"/>
  </cols>
  <sheetData>
    <row r="1" spans="1:31" ht="15.6" x14ac:dyDescent="0.3">
      <c r="A1" s="63" t="s">
        <v>27</v>
      </c>
      <c r="B1" s="64"/>
      <c r="C1" s="64"/>
      <c r="D1" s="64"/>
      <c r="E1" s="64"/>
      <c r="F1" s="65" t="s">
        <v>3</v>
      </c>
      <c r="G1" s="65"/>
      <c r="H1" s="22" cm="1">
        <f t="array" ref="H1">SUM(VLOOKUP(A4:C100,$T$3:$W$36,4,FALSE))+H4*10-H8*50</f>
        <v>3502.2158715191549</v>
      </c>
      <c r="I1" s="66" t="s">
        <v>38</v>
      </c>
      <c r="J1" s="67"/>
      <c r="K1" s="67"/>
      <c r="L1" s="67"/>
      <c r="M1" s="67"/>
      <c r="N1" s="67"/>
      <c r="O1" s="67"/>
      <c r="P1" s="68"/>
      <c r="Q1" s="66" t="s">
        <v>45</v>
      </c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</row>
    <row r="2" spans="1:31" ht="28.8" x14ac:dyDescent="0.3">
      <c r="A2" s="69" t="s">
        <v>32</v>
      </c>
      <c r="B2" s="70"/>
      <c r="C2" s="70"/>
      <c r="D2" s="71" t="s">
        <v>34</v>
      </c>
      <c r="E2" s="72"/>
      <c r="F2" s="72"/>
      <c r="G2" s="72"/>
      <c r="H2" s="73"/>
      <c r="I2" s="74" t="s">
        <v>32</v>
      </c>
      <c r="J2" s="75"/>
      <c r="K2" s="75"/>
      <c r="L2" s="76" t="s">
        <v>34</v>
      </c>
      <c r="M2" s="76"/>
      <c r="N2" s="76"/>
      <c r="O2" s="76"/>
      <c r="P2" s="77"/>
      <c r="Q2" s="46" t="s">
        <v>40</v>
      </c>
      <c r="R2" s="47" cm="1">
        <f t="array" ref="R2">SUM(V3:V28*AB3:AB28)+H6+P6+R4*500</f>
        <v>64875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60" t="s">
        <v>41</v>
      </c>
      <c r="Y2" s="43" t="s">
        <v>52</v>
      </c>
      <c r="Z2" s="44" t="s">
        <v>42</v>
      </c>
      <c r="AA2" s="44" t="s">
        <v>43</v>
      </c>
      <c r="AB2" s="48" t="s">
        <v>44</v>
      </c>
      <c r="AD2" s="23"/>
    </row>
    <row r="3" spans="1:31" x14ac:dyDescent="0.3">
      <c r="A3" s="57" t="s">
        <v>28</v>
      </c>
      <c r="B3" s="62" t="s">
        <v>29</v>
      </c>
      <c r="C3" s="19" t="s">
        <v>30</v>
      </c>
      <c r="D3" s="30"/>
      <c r="E3" s="57" t="s">
        <v>28</v>
      </c>
      <c r="F3" s="62" t="s">
        <v>29</v>
      </c>
      <c r="G3" s="19" t="s">
        <v>30</v>
      </c>
      <c r="H3" s="31" t="s">
        <v>33</v>
      </c>
      <c r="I3" s="57" t="s">
        <v>28</v>
      </c>
      <c r="J3" s="58" t="s">
        <v>29</v>
      </c>
      <c r="K3" s="59" t="s">
        <v>30</v>
      </c>
      <c r="L3" s="30"/>
      <c r="M3" s="57" t="s">
        <v>28</v>
      </c>
      <c r="N3" s="62" t="s">
        <v>29</v>
      </c>
      <c r="O3" s="19" t="s">
        <v>30</v>
      </c>
      <c r="P3" s="31" t="s">
        <v>33</v>
      </c>
      <c r="Q3" s="49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60"/>
      <c r="Y3" s="43">
        <v>27</v>
      </c>
      <c r="Z3" s="1">
        <f>COUNTIF($A$4:$C$100,T3)</f>
        <v>31</v>
      </c>
      <c r="AA3" s="1">
        <f>COUNTIF($I$4:$K$100,T3)</f>
        <v>0</v>
      </c>
      <c r="AB3" s="50">
        <f>Y3-Z3-AA3</f>
        <v>-4</v>
      </c>
      <c r="AD3" s="56"/>
    </row>
    <row r="4" spans="1:31" x14ac:dyDescent="0.3">
      <c r="A4" s="2" t="s">
        <v>4</v>
      </c>
      <c r="B4" s="15" t="s">
        <v>17</v>
      </c>
      <c r="C4" s="2" t="s">
        <v>4</v>
      </c>
      <c r="D4" s="40" t="s">
        <v>31</v>
      </c>
      <c r="E4" s="36">
        <v>7</v>
      </c>
      <c r="F4" s="36">
        <v>0</v>
      </c>
      <c r="G4" s="36">
        <v>2</v>
      </c>
      <c r="H4" s="33">
        <f>SUM(E4:G4)</f>
        <v>9</v>
      </c>
      <c r="I4" s="1" t="s">
        <v>24</v>
      </c>
      <c r="J4" s="1" t="s">
        <v>24</v>
      </c>
      <c r="K4" s="1" t="s">
        <v>24</v>
      </c>
      <c r="L4" s="40" t="s">
        <v>31</v>
      </c>
      <c r="M4" s="36">
        <v>0</v>
      </c>
      <c r="N4" s="36">
        <v>0</v>
      </c>
      <c r="O4" s="36">
        <v>0</v>
      </c>
      <c r="P4" s="33">
        <f>SUM(M4:O4)</f>
        <v>0</v>
      </c>
      <c r="Q4" s="49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60"/>
      <c r="Y4" s="43">
        <v>49</v>
      </c>
      <c r="Z4" s="1">
        <f t="shared" ref="Z4:Z28" si="1">COUNTIF($A$4:$C$100,T4)</f>
        <v>18</v>
      </c>
      <c r="AA4" s="1">
        <f>COUNTIF($I$4:$K$100,T4)</f>
        <v>0</v>
      </c>
      <c r="AB4" s="50">
        <f t="shared" ref="AB4:AB28" si="2">Y4-Z4-AA4</f>
        <v>31</v>
      </c>
      <c r="AD4" s="56"/>
    </row>
    <row r="5" spans="1:31" x14ac:dyDescent="0.3">
      <c r="A5" s="2" t="s">
        <v>4</v>
      </c>
      <c r="B5" s="2" t="s">
        <v>4</v>
      </c>
      <c r="C5" s="2" t="s">
        <v>4</v>
      </c>
      <c r="D5" s="30" t="s">
        <v>35</v>
      </c>
      <c r="E5" s="32" cm="1">
        <f t="array" ref="E5">(SUM(VLOOKUP(A4:A100,$T$3:$W$41,2,FALSE))+E4*10)-E8*50</f>
        <v>8130</v>
      </c>
      <c r="F5" s="32" cm="1">
        <f t="array" ref="F5">(SUM(VLOOKUP(B4:B100,$T$3:$W$41,2,FALSE))+F4*10)-F8*50</f>
        <v>4280</v>
      </c>
      <c r="G5" s="32" cm="1">
        <f t="array" ref="G5">(SUM(VLOOKUP(C4:C100,$T$3:$W$41,2,FALSE))+G4*10)-G8*50</f>
        <v>3590</v>
      </c>
      <c r="H5" s="54">
        <f t="shared" ref="H5:H8" si="3">SUM(E5:G5)</f>
        <v>16000</v>
      </c>
      <c r="I5" s="1" t="s">
        <v>24</v>
      </c>
      <c r="J5" s="1" t="s">
        <v>24</v>
      </c>
      <c r="K5" s="1" t="s">
        <v>24</v>
      </c>
      <c r="L5" s="30" t="s">
        <v>35</v>
      </c>
      <c r="M5" s="32" cm="1">
        <f t="array" ref="M5">(SUM(VLOOKUP(I4:I100,$T$3:$W$41,2,FALSE))+M4*10)*0.8-M8*40</f>
        <v>0</v>
      </c>
      <c r="N5" s="32" cm="1">
        <f t="array" ref="N5">(SUM(VLOOKUP(J4:J100,$T$3:$W$41,2,FALSE))+N4*10)*0.8-N8*40</f>
        <v>0</v>
      </c>
      <c r="O5" s="32" cm="1">
        <f t="array" ref="O5">(SUM(VLOOKUP(K4:K100,$T$3:$W$41,2,FALSE))+O4*10)*0.8-O8*40</f>
        <v>0</v>
      </c>
      <c r="P5" s="54">
        <f>SUM(M5:O5)</f>
        <v>0</v>
      </c>
      <c r="Q5" s="49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61"/>
      <c r="Y5" s="43">
        <v>203</v>
      </c>
      <c r="Z5" s="1">
        <f t="shared" si="1"/>
        <v>34</v>
      </c>
      <c r="AA5" s="1">
        <f t="shared" ref="AA5:AA28" si="4">COUNTIF($I$4:$K$100,T5)</f>
        <v>0</v>
      </c>
      <c r="AB5" s="50">
        <f t="shared" si="2"/>
        <v>169</v>
      </c>
      <c r="AD5" s="56"/>
    </row>
    <row r="6" spans="1:31" x14ac:dyDescent="0.3">
      <c r="A6" s="2" t="s">
        <v>4</v>
      </c>
      <c r="B6" s="2" t="s">
        <v>4</v>
      </c>
      <c r="C6" s="2" t="s">
        <v>4</v>
      </c>
      <c r="D6" s="30" t="s">
        <v>36</v>
      </c>
      <c r="E6" s="32" cm="1">
        <f t="array" ref="E6">(SUM(VLOOKUP(A4:A100,$T$3:$W$41,3,FALSE)))</f>
        <v>2615</v>
      </c>
      <c r="F6" s="32" cm="1">
        <f t="array" ref="F6">(SUM(VLOOKUP(B4:B100,$T$3:$W$41,3,FALSE)))</f>
        <v>1415</v>
      </c>
      <c r="G6" s="32" cm="1">
        <f t="array" ref="G6">(SUM(VLOOKUP(C4:C100,$T$3:$W$41,3,FALSE)))</f>
        <v>955</v>
      </c>
      <c r="H6" s="45">
        <f t="shared" si="3"/>
        <v>4985</v>
      </c>
      <c r="I6" s="1" t="s">
        <v>24</v>
      </c>
      <c r="J6" s="1" t="s">
        <v>24</v>
      </c>
      <c r="K6" s="1" t="s">
        <v>24</v>
      </c>
      <c r="L6" s="30" t="s">
        <v>36</v>
      </c>
      <c r="M6" s="32" cm="1">
        <f t="array" ref="M6">(SUM(VLOOKUP(I4:I100,$T$3:$W$41,3,FALSE)))</f>
        <v>0</v>
      </c>
      <c r="N6" s="32" cm="1">
        <f t="array" ref="N6">(SUM(VLOOKUP(J4:J100,$T$3:$W$41,3,FALSE)))</f>
        <v>0</v>
      </c>
      <c r="O6" s="32" cm="1">
        <f t="array" ref="O6">(SUM(VLOOKUP(K4:K100,$T$3:$W$41,3,FALSE)))</f>
        <v>0</v>
      </c>
      <c r="P6" s="45">
        <f t="shared" ref="P6:P8" si="5">SUM(M6:O6)</f>
        <v>0</v>
      </c>
      <c r="Q6" s="46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60">
        <v>276</v>
      </c>
      <c r="Y6" s="43">
        <v>276</v>
      </c>
      <c r="Z6" s="1">
        <f t="shared" si="1"/>
        <v>0</v>
      </c>
      <c r="AA6" s="1">
        <f t="shared" si="4"/>
        <v>0</v>
      </c>
      <c r="AB6" s="50">
        <f t="shared" si="2"/>
        <v>276</v>
      </c>
      <c r="AD6" s="56"/>
    </row>
    <row r="7" spans="1:31" x14ac:dyDescent="0.3">
      <c r="A7" s="2" t="s">
        <v>4</v>
      </c>
      <c r="B7" s="2" t="s">
        <v>4</v>
      </c>
      <c r="C7" s="3" t="s">
        <v>5</v>
      </c>
      <c r="D7" s="30" t="s">
        <v>37</v>
      </c>
      <c r="E7" s="32">
        <f>COUNTIF(A4:A100,"&lt;&gt;空")</f>
        <v>54</v>
      </c>
      <c r="F7" s="32">
        <f>COUNTIF(B4:B100,"&lt;&gt;空")</f>
        <v>31</v>
      </c>
      <c r="G7" s="32">
        <f>COUNTIF(C4:C100,"&lt;&gt;空")</f>
        <v>23</v>
      </c>
      <c r="H7" s="33">
        <f t="shared" si="3"/>
        <v>108</v>
      </c>
      <c r="I7" s="1" t="s">
        <v>24</v>
      </c>
      <c r="J7" s="1" t="s">
        <v>24</v>
      </c>
      <c r="K7" s="1" t="s">
        <v>24</v>
      </c>
      <c r="L7" s="30" t="s">
        <v>37</v>
      </c>
      <c r="M7" s="32">
        <f>COUNTIF(I4:I100,"&lt;&gt;空")</f>
        <v>0</v>
      </c>
      <c r="N7" s="32">
        <f>COUNTIF(J4:J100,"&lt;&gt;空")</f>
        <v>0</v>
      </c>
      <c r="O7" s="32">
        <f>COUNTIF(K4:K100,"&lt;&gt;空")</f>
        <v>0</v>
      </c>
      <c r="P7" s="33">
        <f t="shared" si="5"/>
        <v>0</v>
      </c>
      <c r="Q7" s="49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60">
        <v>237</v>
      </c>
      <c r="Y7" s="43">
        <v>237</v>
      </c>
      <c r="Z7" s="1">
        <f t="shared" si="1"/>
        <v>0</v>
      </c>
      <c r="AA7" s="1">
        <f t="shared" si="4"/>
        <v>0</v>
      </c>
      <c r="AB7" s="50">
        <f t="shared" si="2"/>
        <v>237</v>
      </c>
      <c r="AD7" s="56"/>
    </row>
    <row r="8" spans="1:31" x14ac:dyDescent="0.3">
      <c r="A8" s="2" t="s">
        <v>4</v>
      </c>
      <c r="B8" s="2" t="s">
        <v>4</v>
      </c>
      <c r="C8" s="15" t="s">
        <v>17</v>
      </c>
      <c r="D8" s="39" t="s">
        <v>61</v>
      </c>
      <c r="E8" s="38">
        <v>1</v>
      </c>
      <c r="F8" s="38">
        <v>0</v>
      </c>
      <c r="G8" s="38">
        <v>0</v>
      </c>
      <c r="H8" s="33">
        <f t="shared" si="3"/>
        <v>1</v>
      </c>
      <c r="I8" s="1" t="s">
        <v>24</v>
      </c>
      <c r="J8" s="1" t="s">
        <v>24</v>
      </c>
      <c r="K8" s="1" t="s">
        <v>24</v>
      </c>
      <c r="L8" s="39" t="s">
        <v>61</v>
      </c>
      <c r="M8" s="38">
        <v>0</v>
      </c>
      <c r="N8" s="38">
        <v>0</v>
      </c>
      <c r="O8" s="38">
        <v>0</v>
      </c>
      <c r="P8" s="33">
        <f t="shared" si="5"/>
        <v>0</v>
      </c>
      <c r="Q8" s="46" t="s">
        <v>50</v>
      </c>
      <c r="R8" s="51" cm="1">
        <f t="array" ref="R8">R6-P5-H5-SUM(U3:U28*AB3:AB28)*0.8-R7*8</f>
        <v>-544</v>
      </c>
      <c r="S8" s="23"/>
      <c r="T8" s="7" t="s">
        <v>9</v>
      </c>
      <c r="U8" s="1">
        <v>200</v>
      </c>
      <c r="V8" s="1">
        <v>60</v>
      </c>
      <c r="W8" s="42"/>
      <c r="X8" s="60">
        <v>189</v>
      </c>
      <c r="Y8" s="43">
        <v>189</v>
      </c>
      <c r="Z8" s="1">
        <f t="shared" si="1"/>
        <v>0</v>
      </c>
      <c r="AA8" s="1">
        <f t="shared" si="4"/>
        <v>0</v>
      </c>
      <c r="AB8" s="50">
        <f t="shared" si="2"/>
        <v>189</v>
      </c>
      <c r="AD8" s="56"/>
    </row>
    <row r="9" spans="1:31" x14ac:dyDescent="0.3">
      <c r="A9" s="15" t="s">
        <v>17</v>
      </c>
      <c r="B9" s="2" t="s">
        <v>4</v>
      </c>
      <c r="C9" s="3" t="s">
        <v>5</v>
      </c>
      <c r="D9" s="23"/>
      <c r="E9" s="23"/>
      <c r="F9" s="23"/>
      <c r="G9" s="23"/>
      <c r="H9" s="24"/>
      <c r="I9" s="1" t="s">
        <v>24</v>
      </c>
      <c r="J9" s="1" t="s">
        <v>24</v>
      </c>
      <c r="K9" s="1" t="s">
        <v>24</v>
      </c>
      <c r="L9" s="30" t="s">
        <v>39</v>
      </c>
      <c r="M9" s="34" t="e">
        <f>M6/M5</f>
        <v>#DIV/0!</v>
      </c>
      <c r="N9" s="34" t="e">
        <f>N6/N5</f>
        <v>#DIV/0!</v>
      </c>
      <c r="O9" s="34" t="e">
        <f>O6/O5</f>
        <v>#DIV/0!</v>
      </c>
      <c r="P9" s="35" t="e">
        <f>P6/P5</f>
        <v>#DIV/0!</v>
      </c>
      <c r="Q9" s="46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60">
        <v>5</v>
      </c>
      <c r="Y9" s="43">
        <v>0</v>
      </c>
      <c r="Z9" s="1">
        <f t="shared" si="1"/>
        <v>0</v>
      </c>
      <c r="AA9" s="1">
        <f t="shared" si="4"/>
        <v>0</v>
      </c>
      <c r="AB9" s="50">
        <f t="shared" si="2"/>
        <v>0</v>
      </c>
      <c r="AD9" s="56">
        <v>3</v>
      </c>
      <c r="AE9">
        <v>2</v>
      </c>
    </row>
    <row r="10" spans="1:31" x14ac:dyDescent="0.3">
      <c r="A10" s="2" t="s">
        <v>4</v>
      </c>
      <c r="B10" s="2" t="s">
        <v>4</v>
      </c>
      <c r="C10" s="3" t="s">
        <v>5</v>
      </c>
      <c r="D10" s="23"/>
      <c r="E10" s="23"/>
      <c r="F10" s="23"/>
      <c r="G10" s="23"/>
      <c r="H10" s="24"/>
      <c r="I10" s="1" t="s">
        <v>24</v>
      </c>
      <c r="J10" s="1" t="s">
        <v>24</v>
      </c>
      <c r="K10" s="1" t="s">
        <v>24</v>
      </c>
      <c r="L10" s="23"/>
      <c r="M10" s="23"/>
      <c r="N10" s="23"/>
      <c r="O10" s="23"/>
      <c r="P10" s="24"/>
      <c r="Q10" s="46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60">
        <v>6</v>
      </c>
      <c r="Y10" s="43">
        <v>2</v>
      </c>
      <c r="Z10" s="1">
        <f t="shared" si="1"/>
        <v>3</v>
      </c>
      <c r="AA10" s="1">
        <f t="shared" si="4"/>
        <v>0</v>
      </c>
      <c r="AB10" s="50">
        <f t="shared" si="2"/>
        <v>-1</v>
      </c>
      <c r="AD10" s="56">
        <v>4</v>
      </c>
      <c r="AE10">
        <v>2</v>
      </c>
    </row>
    <row r="11" spans="1:31" x14ac:dyDescent="0.3">
      <c r="A11" s="2" t="s">
        <v>4</v>
      </c>
      <c r="B11" s="2" t="s">
        <v>4</v>
      </c>
      <c r="C11" s="3" t="s">
        <v>5</v>
      </c>
      <c r="D11" s="23"/>
      <c r="E11" s="23"/>
      <c r="F11" s="23"/>
      <c r="G11" s="23"/>
      <c r="H11" s="24"/>
      <c r="I11" s="1" t="s">
        <v>24</v>
      </c>
      <c r="J11" s="1" t="s">
        <v>24</v>
      </c>
      <c r="K11" s="1" t="s">
        <v>24</v>
      </c>
      <c r="L11" s="23"/>
      <c r="M11" s="23"/>
      <c r="N11" s="23"/>
      <c r="O11" s="23"/>
      <c r="P11" s="24">
        <f>H5+P5</f>
        <v>16000</v>
      </c>
      <c r="Q11" s="46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60">
        <v>6</v>
      </c>
      <c r="Y11" s="43">
        <v>6</v>
      </c>
      <c r="Z11" s="1">
        <f t="shared" si="1"/>
        <v>1</v>
      </c>
      <c r="AA11" s="1">
        <f t="shared" si="4"/>
        <v>0</v>
      </c>
      <c r="AB11" s="50">
        <f t="shared" si="2"/>
        <v>5</v>
      </c>
      <c r="AD11" s="56">
        <v>4</v>
      </c>
      <c r="AE11">
        <v>2</v>
      </c>
    </row>
    <row r="12" spans="1:31" x14ac:dyDescent="0.3">
      <c r="A12" s="2" t="s">
        <v>4</v>
      </c>
      <c r="B12" s="15" t="s">
        <v>17</v>
      </c>
      <c r="C12" s="4" t="s">
        <v>6</v>
      </c>
      <c r="D12" s="23"/>
      <c r="E12" s="23"/>
      <c r="F12" s="23"/>
      <c r="G12" s="23"/>
      <c r="H12" s="24"/>
      <c r="I12" s="1" t="s">
        <v>24</v>
      </c>
      <c r="J12" s="1" t="s">
        <v>24</v>
      </c>
      <c r="K12" s="1" t="s">
        <v>24</v>
      </c>
      <c r="L12" s="23"/>
      <c r="M12" s="23"/>
      <c r="N12" s="23"/>
      <c r="O12" s="23"/>
      <c r="P12" s="24">
        <f>H6+P6</f>
        <v>4985</v>
      </c>
      <c r="Q12" s="46"/>
      <c r="R12" s="23"/>
      <c r="S12" s="23"/>
      <c r="T12" s="11" t="s">
        <v>13</v>
      </c>
      <c r="U12" s="1">
        <v>150</v>
      </c>
      <c r="V12" s="1">
        <v>50</v>
      </c>
      <c r="W12" s="42"/>
      <c r="X12" s="60">
        <v>3</v>
      </c>
      <c r="Y12" s="43">
        <v>3</v>
      </c>
      <c r="Z12" s="1">
        <f t="shared" si="1"/>
        <v>0</v>
      </c>
      <c r="AA12" s="1">
        <f t="shared" si="4"/>
        <v>0</v>
      </c>
      <c r="AB12" s="50">
        <f t="shared" si="2"/>
        <v>3</v>
      </c>
      <c r="AD12" s="56">
        <v>3</v>
      </c>
    </row>
    <row r="13" spans="1:31" x14ac:dyDescent="0.3">
      <c r="A13" s="2" t="s">
        <v>4</v>
      </c>
      <c r="B13" s="2" t="s">
        <v>4</v>
      </c>
      <c r="C13" s="4" t="s">
        <v>6</v>
      </c>
      <c r="D13" s="23"/>
      <c r="E13" s="23"/>
      <c r="F13" s="23"/>
      <c r="G13" s="23"/>
      <c r="H13" s="24"/>
      <c r="I13" s="1" t="s">
        <v>24</v>
      </c>
      <c r="J13" s="1" t="s">
        <v>24</v>
      </c>
      <c r="K13" s="1" t="s">
        <v>24</v>
      </c>
      <c r="L13" s="23"/>
      <c r="M13" s="23"/>
      <c r="N13" s="23"/>
      <c r="O13" s="23"/>
      <c r="P13" s="24"/>
      <c r="Q13" s="46"/>
      <c r="R13" s="23"/>
      <c r="S13" s="23"/>
      <c r="T13" s="12" t="s">
        <v>14</v>
      </c>
      <c r="U13" s="1">
        <v>150</v>
      </c>
      <c r="V13" s="1">
        <v>55</v>
      </c>
      <c r="W13" s="42"/>
      <c r="X13" s="60">
        <v>3</v>
      </c>
      <c r="Y13" s="43">
        <v>3</v>
      </c>
      <c r="Z13" s="1">
        <f t="shared" si="1"/>
        <v>0</v>
      </c>
      <c r="AA13" s="1">
        <f t="shared" si="4"/>
        <v>0</v>
      </c>
      <c r="AB13" s="50">
        <f t="shared" si="2"/>
        <v>3</v>
      </c>
      <c r="AD13" s="56">
        <v>3</v>
      </c>
    </row>
    <row r="14" spans="1:31" x14ac:dyDescent="0.3">
      <c r="A14" s="2" t="s">
        <v>4</v>
      </c>
      <c r="B14" s="2" t="s">
        <v>4</v>
      </c>
      <c r="C14" s="4" t="s">
        <v>6</v>
      </c>
      <c r="D14" s="23"/>
      <c r="E14" s="23"/>
      <c r="F14" s="23"/>
      <c r="G14" s="23"/>
      <c r="H14" s="24"/>
      <c r="I14" s="1" t="s">
        <v>24</v>
      </c>
      <c r="J14" s="1" t="s">
        <v>24</v>
      </c>
      <c r="K14" s="1" t="s">
        <v>24</v>
      </c>
      <c r="L14" s="23"/>
      <c r="M14" s="23"/>
      <c r="N14" s="23"/>
      <c r="O14" s="23"/>
      <c r="P14" s="24"/>
      <c r="Q14" s="46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60">
        <v>1</v>
      </c>
      <c r="Y14" s="43">
        <v>1</v>
      </c>
      <c r="Z14" s="1">
        <f t="shared" si="1"/>
        <v>0</v>
      </c>
      <c r="AA14" s="1">
        <f t="shared" si="4"/>
        <v>0</v>
      </c>
      <c r="AB14" s="50">
        <f t="shared" si="2"/>
        <v>1</v>
      </c>
      <c r="AD14" s="56">
        <v>1</v>
      </c>
    </row>
    <row r="15" spans="1:31" x14ac:dyDescent="0.3">
      <c r="A15" s="2" t="s">
        <v>4</v>
      </c>
      <c r="B15" s="3" t="s">
        <v>5</v>
      </c>
      <c r="C15" s="17" t="s">
        <v>64</v>
      </c>
      <c r="D15" s="23"/>
      <c r="E15" s="23"/>
      <c r="F15" s="23"/>
      <c r="G15" s="23"/>
      <c r="H15" s="24"/>
      <c r="I15" s="1" t="s">
        <v>24</v>
      </c>
      <c r="J15" s="1" t="s">
        <v>24</v>
      </c>
      <c r="K15" s="1" t="s">
        <v>24</v>
      </c>
      <c r="L15" s="23"/>
      <c r="M15" s="23"/>
      <c r="N15" s="23"/>
      <c r="O15" s="23"/>
      <c r="P15" s="24"/>
      <c r="Q15" s="46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60"/>
      <c r="Y15" s="43">
        <v>0</v>
      </c>
      <c r="Z15" s="1">
        <f t="shared" si="1"/>
        <v>0</v>
      </c>
      <c r="AA15" s="1">
        <f t="shared" si="4"/>
        <v>0</v>
      </c>
      <c r="AB15" s="50">
        <f t="shared" si="2"/>
        <v>0</v>
      </c>
      <c r="AD15" s="56"/>
    </row>
    <row r="16" spans="1:31" x14ac:dyDescent="0.3">
      <c r="A16" s="2" t="s">
        <v>4</v>
      </c>
      <c r="B16" s="15" t="s">
        <v>17</v>
      </c>
      <c r="C16" s="4" t="s">
        <v>6</v>
      </c>
      <c r="D16" s="23"/>
      <c r="E16" s="23"/>
      <c r="F16" s="23"/>
      <c r="G16" s="23"/>
      <c r="H16" s="24"/>
      <c r="I16" s="1" t="s">
        <v>24</v>
      </c>
      <c r="J16" s="1" t="s">
        <v>24</v>
      </c>
      <c r="K16" s="1" t="s">
        <v>24</v>
      </c>
      <c r="L16" s="23"/>
      <c r="M16" s="23"/>
      <c r="N16" s="23"/>
      <c r="O16" s="23"/>
      <c r="P16" s="24"/>
      <c r="Q16" s="46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60">
        <v>40</v>
      </c>
      <c r="Y16" s="43">
        <v>40</v>
      </c>
      <c r="Z16" s="1">
        <f t="shared" si="1"/>
        <v>12</v>
      </c>
      <c r="AA16" s="1">
        <f t="shared" si="4"/>
        <v>0</v>
      </c>
      <c r="AB16" s="50">
        <f t="shared" si="2"/>
        <v>28</v>
      </c>
      <c r="AD16" s="56"/>
    </row>
    <row r="17" spans="1:30" x14ac:dyDescent="0.3">
      <c r="A17" s="15" t="s">
        <v>17</v>
      </c>
      <c r="B17" s="3" t="s">
        <v>5</v>
      </c>
      <c r="C17" s="4" t="s">
        <v>6</v>
      </c>
      <c r="D17" s="23"/>
      <c r="E17" s="23"/>
      <c r="F17" s="23"/>
      <c r="G17" s="23"/>
      <c r="H17" s="24"/>
      <c r="I17" s="1" t="s">
        <v>24</v>
      </c>
      <c r="J17" s="1" t="s">
        <v>24</v>
      </c>
      <c r="K17" s="1" t="s">
        <v>24</v>
      </c>
      <c r="L17" s="23"/>
      <c r="M17" s="23"/>
      <c r="N17" s="23"/>
      <c r="O17" s="23"/>
      <c r="P17" s="24"/>
      <c r="Q17" s="46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60">
        <v>1</v>
      </c>
      <c r="Y17" s="43">
        <v>1</v>
      </c>
      <c r="Z17" s="1">
        <f t="shared" si="1"/>
        <v>1</v>
      </c>
      <c r="AA17" s="1">
        <f t="shared" si="4"/>
        <v>0</v>
      </c>
      <c r="AB17" s="50">
        <f t="shared" si="2"/>
        <v>0</v>
      </c>
      <c r="AD17" s="56"/>
    </row>
    <row r="18" spans="1:30" x14ac:dyDescent="0.3">
      <c r="A18" s="2" t="s">
        <v>4</v>
      </c>
      <c r="B18" s="4" t="s">
        <v>6</v>
      </c>
      <c r="C18" s="15" t="s">
        <v>17</v>
      </c>
      <c r="D18" s="23"/>
      <c r="E18" s="23"/>
      <c r="F18" s="23"/>
      <c r="G18" s="23"/>
      <c r="H18" s="24"/>
      <c r="I18" s="1" t="s">
        <v>24</v>
      </c>
      <c r="J18" s="1" t="s">
        <v>24</v>
      </c>
      <c r="K18" s="1" t="s">
        <v>24</v>
      </c>
      <c r="L18" s="23"/>
      <c r="M18" s="23"/>
      <c r="N18" s="23"/>
      <c r="O18" s="23"/>
      <c r="P18" s="24"/>
      <c r="Q18" s="46"/>
      <c r="R18" s="23"/>
      <c r="S18" s="23"/>
      <c r="T18" s="17" t="s">
        <v>19</v>
      </c>
      <c r="U18" s="1">
        <v>250</v>
      </c>
      <c r="V18" s="1">
        <v>300</v>
      </c>
      <c r="W18" s="42"/>
      <c r="X18" s="60">
        <v>3</v>
      </c>
      <c r="Y18" s="43">
        <v>3</v>
      </c>
      <c r="Z18" s="1">
        <f t="shared" si="1"/>
        <v>3</v>
      </c>
      <c r="AA18" s="1">
        <f t="shared" si="4"/>
        <v>0</v>
      </c>
      <c r="AB18" s="50">
        <f t="shared" si="2"/>
        <v>0</v>
      </c>
      <c r="AD18" s="56"/>
    </row>
    <row r="19" spans="1:30" x14ac:dyDescent="0.3">
      <c r="A19" s="2" t="s">
        <v>4</v>
      </c>
      <c r="B19" s="4" t="s">
        <v>6</v>
      </c>
      <c r="C19" s="4" t="s">
        <v>6</v>
      </c>
      <c r="D19" s="23"/>
      <c r="E19" s="23"/>
      <c r="F19" s="23"/>
      <c r="G19" s="23"/>
      <c r="H19" s="24"/>
      <c r="I19" s="1" t="s">
        <v>24</v>
      </c>
      <c r="J19" s="1" t="s">
        <v>24</v>
      </c>
      <c r="K19" s="1" t="s">
        <v>24</v>
      </c>
      <c r="L19" s="23"/>
      <c r="M19" s="23"/>
      <c r="N19" s="23"/>
      <c r="O19" s="23"/>
      <c r="P19" s="24"/>
      <c r="Q19" s="46"/>
      <c r="R19" s="23"/>
      <c r="S19" s="23"/>
      <c r="T19" s="17" t="s">
        <v>64</v>
      </c>
      <c r="U19" s="1">
        <v>170</v>
      </c>
      <c r="V19" s="1">
        <v>45</v>
      </c>
      <c r="W19" s="42"/>
      <c r="X19" s="60">
        <v>5</v>
      </c>
      <c r="Y19" s="43">
        <v>5</v>
      </c>
      <c r="Z19" s="1">
        <f t="shared" si="1"/>
        <v>5</v>
      </c>
      <c r="AA19" s="1">
        <f t="shared" si="4"/>
        <v>0</v>
      </c>
      <c r="AB19" s="50">
        <f t="shared" si="2"/>
        <v>0</v>
      </c>
      <c r="AD19" s="56"/>
    </row>
    <row r="20" spans="1:30" x14ac:dyDescent="0.3">
      <c r="A20" s="2" t="s">
        <v>4</v>
      </c>
      <c r="B20" s="16" t="s">
        <v>18</v>
      </c>
      <c r="C20" s="4" t="s">
        <v>6</v>
      </c>
      <c r="D20" s="23"/>
      <c r="E20" s="23"/>
      <c r="F20" s="23"/>
      <c r="G20" s="23"/>
      <c r="H20" s="24"/>
      <c r="I20" s="1" t="s">
        <v>24</v>
      </c>
      <c r="J20" s="1" t="s">
        <v>24</v>
      </c>
      <c r="K20" s="1" t="s">
        <v>24</v>
      </c>
      <c r="L20" s="23"/>
      <c r="M20" s="23"/>
      <c r="N20" s="23"/>
      <c r="O20" s="23"/>
      <c r="P20" s="24"/>
      <c r="Q20" s="46"/>
      <c r="R20" s="23"/>
      <c r="S20" s="23"/>
      <c r="T20" s="17" t="s">
        <v>63</v>
      </c>
      <c r="U20" s="1">
        <v>250</v>
      </c>
      <c r="V20" s="1">
        <v>400</v>
      </c>
      <c r="W20" s="42"/>
      <c r="X20" s="60">
        <v>0</v>
      </c>
      <c r="Y20" s="43">
        <v>0</v>
      </c>
      <c r="Z20" s="1">
        <f t="shared" si="1"/>
        <v>0</v>
      </c>
      <c r="AA20" s="1">
        <f t="shared" si="4"/>
        <v>0</v>
      </c>
      <c r="AB20" s="50">
        <f t="shared" si="2"/>
        <v>0</v>
      </c>
      <c r="AD20" s="56"/>
    </row>
    <row r="21" spans="1:30" x14ac:dyDescent="0.3">
      <c r="A21" s="4" t="s">
        <v>6</v>
      </c>
      <c r="B21" s="4" t="s">
        <v>6</v>
      </c>
      <c r="C21" s="4" t="s">
        <v>6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6"/>
      <c r="R21" s="23"/>
      <c r="S21" s="23"/>
      <c r="T21" s="18" t="s">
        <v>20</v>
      </c>
      <c r="U21" s="1">
        <v>250</v>
      </c>
      <c r="V21" s="1">
        <v>1000</v>
      </c>
      <c r="W21" s="42"/>
      <c r="X21" s="60">
        <v>2</v>
      </c>
      <c r="Y21" s="43">
        <v>2</v>
      </c>
      <c r="Z21" s="1">
        <f t="shared" si="1"/>
        <v>0</v>
      </c>
      <c r="AA21" s="1">
        <f t="shared" si="4"/>
        <v>0</v>
      </c>
      <c r="AB21" s="50">
        <f t="shared" si="2"/>
        <v>2</v>
      </c>
      <c r="AD21" s="56"/>
    </row>
    <row r="22" spans="1:30" x14ac:dyDescent="0.3">
      <c r="A22" s="4" t="s">
        <v>6</v>
      </c>
      <c r="B22" s="17" t="s">
        <v>19</v>
      </c>
      <c r="C22" s="4" t="s">
        <v>6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6"/>
      <c r="R22" s="23"/>
      <c r="S22" s="23"/>
      <c r="T22" s="19" t="s">
        <v>21</v>
      </c>
      <c r="U22" s="1">
        <v>250</v>
      </c>
      <c r="V22" s="1">
        <v>500</v>
      </c>
      <c r="W22" s="42"/>
      <c r="X22" s="60">
        <v>2</v>
      </c>
      <c r="Y22" s="43">
        <v>2</v>
      </c>
      <c r="Z22" s="1">
        <f t="shared" si="1"/>
        <v>0</v>
      </c>
      <c r="AA22" s="1">
        <f t="shared" si="4"/>
        <v>0</v>
      </c>
      <c r="AB22" s="50">
        <f t="shared" si="2"/>
        <v>2</v>
      </c>
      <c r="AD22" s="56"/>
    </row>
    <row r="23" spans="1:30" x14ac:dyDescent="0.3">
      <c r="A23" s="4" t="s">
        <v>6</v>
      </c>
      <c r="B23" s="4" t="s">
        <v>6</v>
      </c>
      <c r="C23" s="4" t="s">
        <v>6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6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60">
        <v>1</v>
      </c>
      <c r="Y23" s="43">
        <v>1</v>
      </c>
      <c r="Z23" s="1">
        <f t="shared" si="1"/>
        <v>0</v>
      </c>
      <c r="AA23" s="1">
        <f t="shared" si="4"/>
        <v>0</v>
      </c>
      <c r="AB23" s="50">
        <f t="shared" si="2"/>
        <v>1</v>
      </c>
      <c r="AD23" s="56"/>
    </row>
    <row r="24" spans="1:30" x14ac:dyDescent="0.3">
      <c r="A24" s="17" t="s">
        <v>64</v>
      </c>
      <c r="B24" s="4" t="s">
        <v>6</v>
      </c>
      <c r="C24" s="4" t="s">
        <v>6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6"/>
      <c r="R24" s="23"/>
      <c r="S24" s="23"/>
      <c r="T24" s="55" t="s">
        <v>22</v>
      </c>
      <c r="U24" s="1">
        <v>160</v>
      </c>
      <c r="V24" s="1">
        <v>40</v>
      </c>
      <c r="W24" s="42">
        <f t="shared" si="8"/>
        <v>39.110982162825422</v>
      </c>
      <c r="X24" s="60">
        <v>0</v>
      </c>
      <c r="Y24" s="43">
        <v>0</v>
      </c>
      <c r="Z24" s="1">
        <f t="shared" si="1"/>
        <v>0</v>
      </c>
      <c r="AA24" s="1">
        <f t="shared" si="4"/>
        <v>0</v>
      </c>
      <c r="AB24" s="50">
        <f t="shared" si="2"/>
        <v>0</v>
      </c>
      <c r="AD24" s="56"/>
    </row>
    <row r="25" spans="1:30" x14ac:dyDescent="0.3">
      <c r="A25" s="3" t="s">
        <v>5</v>
      </c>
      <c r="B25" s="3" t="s">
        <v>5</v>
      </c>
      <c r="C25" s="4" t="s">
        <v>6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6"/>
      <c r="R25" s="23"/>
      <c r="S25" s="23"/>
      <c r="T25" s="55" t="s">
        <v>23</v>
      </c>
      <c r="U25" s="1">
        <v>150</v>
      </c>
      <c r="V25" s="1">
        <v>35</v>
      </c>
      <c r="W25" s="42">
        <f t="shared" si="8"/>
        <v>44.222109392472248</v>
      </c>
      <c r="X25" s="60">
        <v>0</v>
      </c>
      <c r="Y25" s="43">
        <v>0</v>
      </c>
      <c r="Z25" s="1">
        <f t="shared" si="1"/>
        <v>0</v>
      </c>
      <c r="AA25" s="1">
        <f t="shared" si="4"/>
        <v>0</v>
      </c>
      <c r="AB25" s="50">
        <f t="shared" si="2"/>
        <v>0</v>
      </c>
      <c r="AD25" s="56"/>
    </row>
    <row r="26" spans="1:30" x14ac:dyDescent="0.3">
      <c r="A26" s="3" t="s">
        <v>5</v>
      </c>
      <c r="B26" s="3" t="s">
        <v>5</v>
      </c>
      <c r="C26" s="17" t="s">
        <v>64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6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60">
        <v>0</v>
      </c>
      <c r="Y26" s="43">
        <v>0</v>
      </c>
      <c r="Z26" s="1"/>
      <c r="AA26" s="1"/>
      <c r="AB26" s="50"/>
      <c r="AD26" s="56"/>
    </row>
    <row r="27" spans="1:30" x14ac:dyDescent="0.3">
      <c r="A27" s="3" t="s">
        <v>5</v>
      </c>
      <c r="B27" s="15" t="s">
        <v>17</v>
      </c>
      <c r="C27" s="1" t="s">
        <v>24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6"/>
      <c r="R27" s="23"/>
      <c r="S27" s="23"/>
      <c r="T27" s="16" t="s">
        <v>25</v>
      </c>
      <c r="U27" s="1">
        <v>-200</v>
      </c>
      <c r="V27" s="1">
        <v>0</v>
      </c>
      <c r="W27" s="42"/>
      <c r="X27" s="60">
        <v>14</v>
      </c>
      <c r="Y27" s="43">
        <v>14</v>
      </c>
      <c r="Z27" s="1">
        <f t="shared" si="1"/>
        <v>0</v>
      </c>
      <c r="AA27" s="1">
        <f t="shared" si="4"/>
        <v>0</v>
      </c>
      <c r="AB27" s="50">
        <f t="shared" si="2"/>
        <v>14</v>
      </c>
      <c r="AD27" s="56"/>
    </row>
    <row r="28" spans="1:30" x14ac:dyDescent="0.3">
      <c r="A28" s="9" t="s">
        <v>11</v>
      </c>
      <c r="B28" s="3" t="s">
        <v>5</v>
      </c>
      <c r="C28" s="1" t="s">
        <v>24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6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60">
        <v>3</v>
      </c>
      <c r="Y28" s="43">
        <v>3</v>
      </c>
      <c r="Z28" s="1">
        <f t="shared" si="1"/>
        <v>0</v>
      </c>
      <c r="AA28" s="1">
        <f t="shared" si="4"/>
        <v>0</v>
      </c>
      <c r="AB28" s="50">
        <f t="shared" si="2"/>
        <v>3</v>
      </c>
      <c r="AD28" s="56"/>
    </row>
    <row r="29" spans="1:30" ht="15" thickBot="1" x14ac:dyDescent="0.35">
      <c r="A29" s="3" t="s">
        <v>5</v>
      </c>
      <c r="B29" s="2" t="s">
        <v>4</v>
      </c>
      <c r="C29" s="1" t="s">
        <v>24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2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3"/>
      <c r="AD29" s="56"/>
    </row>
    <row r="30" spans="1:30" x14ac:dyDescent="0.3">
      <c r="A30" s="15" t="s">
        <v>17</v>
      </c>
      <c r="B30" s="4" t="s">
        <v>6</v>
      </c>
      <c r="C30" s="1" t="s">
        <v>24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3">
      <c r="A31" s="3" t="s">
        <v>5</v>
      </c>
      <c r="B31" s="9" t="s">
        <v>11</v>
      </c>
      <c r="C31" s="1" t="s">
        <v>24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1067</v>
      </c>
      <c r="AB31">
        <f>SUM(AB3:AB28)</f>
        <v>959</v>
      </c>
    </row>
    <row r="32" spans="1:30" x14ac:dyDescent="0.3">
      <c r="A32" s="9" t="s">
        <v>11</v>
      </c>
      <c r="B32" s="4" t="s">
        <v>6</v>
      </c>
      <c r="C32" s="1" t="s">
        <v>24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3">
      <c r="A33" s="4" t="s">
        <v>6</v>
      </c>
      <c r="B33" s="4" t="s">
        <v>6</v>
      </c>
      <c r="C33" s="1" t="s">
        <v>24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3">
      <c r="A34" s="4" t="s">
        <v>6</v>
      </c>
      <c r="B34" s="17" t="s">
        <v>64</v>
      </c>
      <c r="C34" s="1" t="s">
        <v>24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3">
      <c r="A35" s="17" t="s">
        <v>19</v>
      </c>
      <c r="B35" s="1" t="s">
        <v>24</v>
      </c>
      <c r="C35" s="1" t="s">
        <v>24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3">
      <c r="A36" s="1" t="s">
        <v>24</v>
      </c>
      <c r="B36" s="1" t="s">
        <v>24</v>
      </c>
      <c r="C36" s="1" t="s">
        <v>24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3">
      <c r="A37" s="2" t="s">
        <v>4</v>
      </c>
      <c r="B37" s="1" t="s">
        <v>24</v>
      </c>
      <c r="C37" s="1" t="s">
        <v>24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3">
      <c r="A38" s="2" t="s">
        <v>4</v>
      </c>
      <c r="B38" s="1" t="s">
        <v>24</v>
      </c>
      <c r="C38" s="1" t="s">
        <v>24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3">
      <c r="A39" s="2" t="s">
        <v>4</v>
      </c>
      <c r="B39" s="1" t="s">
        <v>24</v>
      </c>
      <c r="C39" s="1" t="s">
        <v>24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3">
      <c r="A40" s="3" t="s">
        <v>5</v>
      </c>
      <c r="B40" s="1" t="s">
        <v>24</v>
      </c>
      <c r="C40" s="1" t="s">
        <v>24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3">
      <c r="A41" s="15" t="s">
        <v>17</v>
      </c>
      <c r="B41" s="1" t="s">
        <v>24</v>
      </c>
      <c r="C41" s="1" t="s">
        <v>24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3">
      <c r="A42" s="3" t="s">
        <v>5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3">
      <c r="A43" s="3" t="s">
        <v>5</v>
      </c>
      <c r="B43" s="1" t="s">
        <v>24</v>
      </c>
      <c r="C43" s="1" t="s">
        <v>24</v>
      </c>
      <c r="D43" s="23"/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3">
      <c r="A44" s="3" t="s">
        <v>5</v>
      </c>
      <c r="B44" s="1" t="s">
        <v>24</v>
      </c>
      <c r="C44" s="1" t="s">
        <v>24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3">
      <c r="A45" s="4" t="s">
        <v>6</v>
      </c>
      <c r="B45" s="1" t="s">
        <v>24</v>
      </c>
      <c r="C45" s="1" t="s">
        <v>24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3">
      <c r="A46" s="15" t="s">
        <v>17</v>
      </c>
      <c r="B46" s="1" t="s">
        <v>24</v>
      </c>
      <c r="C46" s="1" t="s">
        <v>24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3">
      <c r="A47" s="4" t="s">
        <v>6</v>
      </c>
      <c r="B47" s="1" t="s">
        <v>24</v>
      </c>
      <c r="C47" s="1" t="s">
        <v>24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3">
      <c r="A48" s="17" t="s">
        <v>19</v>
      </c>
      <c r="B48" s="1" t="s">
        <v>24</v>
      </c>
      <c r="C48" s="1" t="s">
        <v>24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3">
      <c r="A49" s="4" t="s">
        <v>6</v>
      </c>
      <c r="B49" s="1" t="s">
        <v>24</v>
      </c>
      <c r="C49" s="1" t="s">
        <v>24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3">
      <c r="A50" s="4" t="s">
        <v>6</v>
      </c>
      <c r="B50" s="1" t="s">
        <v>24</v>
      </c>
      <c r="C50" s="1" t="s">
        <v>24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3">
      <c r="A51" s="4" t="s">
        <v>6</v>
      </c>
      <c r="B51" s="1" t="s">
        <v>24</v>
      </c>
      <c r="C51" s="1" t="s">
        <v>24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3">
      <c r="A52" s="4" t="s">
        <v>6</v>
      </c>
      <c r="B52" s="1" t="s">
        <v>24</v>
      </c>
      <c r="C52" s="1" t="s">
        <v>24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3">
      <c r="A53" s="15" t="s">
        <v>17</v>
      </c>
      <c r="B53" s="1" t="s">
        <v>24</v>
      </c>
      <c r="C53" s="1" t="s">
        <v>24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3">
      <c r="A54" s="4" t="s">
        <v>6</v>
      </c>
      <c r="B54" s="1" t="s">
        <v>24</v>
      </c>
      <c r="C54" s="1" t="s">
        <v>24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3">
      <c r="A55" s="4" t="s">
        <v>6</v>
      </c>
      <c r="B55" s="1" t="s">
        <v>24</v>
      </c>
      <c r="C55" s="1" t="s">
        <v>24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3">
      <c r="A56" s="10" t="s">
        <v>12</v>
      </c>
      <c r="B56" s="1" t="s">
        <v>24</v>
      </c>
      <c r="C56" s="1" t="s">
        <v>24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3">
      <c r="A57" s="4" t="s">
        <v>6</v>
      </c>
      <c r="B57" s="1" t="s">
        <v>24</v>
      </c>
      <c r="C57" s="1" t="s">
        <v>24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3">
      <c r="A58" s="17" t="s">
        <v>64</v>
      </c>
      <c r="B58" s="1" t="s">
        <v>24</v>
      </c>
      <c r="C58" s="1" t="s">
        <v>24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3">
      <c r="A59" s="1" t="s">
        <v>24</v>
      </c>
      <c r="B59" s="1" t="s">
        <v>24</v>
      </c>
      <c r="C59" s="1" t="s">
        <v>24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3">
      <c r="A60" s="1" t="s">
        <v>24</v>
      </c>
      <c r="B60" s="1" t="s">
        <v>24</v>
      </c>
      <c r="C60" s="1" t="s">
        <v>24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3">
      <c r="A61" s="1" t="s">
        <v>24</v>
      </c>
      <c r="B61" s="1" t="s">
        <v>24</v>
      </c>
      <c r="C61" s="1" t="s">
        <v>24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3">
      <c r="A62" s="1" t="s">
        <v>24</v>
      </c>
      <c r="B62" s="1" t="s">
        <v>24</v>
      </c>
      <c r="C62" s="1" t="s">
        <v>24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3">
      <c r="A63" s="1" t="s">
        <v>24</v>
      </c>
      <c r="B63" s="1" t="s">
        <v>24</v>
      </c>
      <c r="C63" s="1" t="s">
        <v>24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3">
      <c r="A64" s="1" t="s">
        <v>24</v>
      </c>
      <c r="B64" s="1" t="s">
        <v>24</v>
      </c>
      <c r="C64" s="1" t="s">
        <v>24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3">
      <c r="A65" s="1" t="s">
        <v>24</v>
      </c>
      <c r="B65" s="1" t="s">
        <v>24</v>
      </c>
      <c r="C65" s="1" t="s">
        <v>24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3">
      <c r="A66" s="1" t="s">
        <v>24</v>
      </c>
      <c r="B66" s="1" t="s">
        <v>24</v>
      </c>
      <c r="C66" s="1" t="s">
        <v>24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3">
      <c r="A67" s="1" t="s">
        <v>24</v>
      </c>
      <c r="B67" s="1" t="s">
        <v>24</v>
      </c>
      <c r="C67" s="1" t="s">
        <v>24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3">
      <c r="A68" s="1" t="s">
        <v>24</v>
      </c>
      <c r="B68" s="1" t="s">
        <v>24</v>
      </c>
      <c r="C68" s="1" t="s">
        <v>24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3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3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3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3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3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3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3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3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3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3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3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3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3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3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3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3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3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3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3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3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3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3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3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3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3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3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3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3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3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3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3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" thickBot="1" x14ac:dyDescent="0.35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16.06</vt:lpstr>
      <vt:lpstr>16.07</vt:lpstr>
      <vt:lpstr>16.02</vt:lpstr>
      <vt:lpstr>16.05</vt:lpstr>
      <vt:lpstr>16.04</vt:lpstr>
      <vt:lpstr>16.03</vt:lpstr>
      <vt:lpstr>16.01</vt:lpstr>
      <vt:lpstr>16.00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2022-03-21T23:53:23Z</dcterms:created>
  <dcterms:modified xsi:type="dcterms:W3CDTF">2024-06-17T00:54:08Z</dcterms:modified>
</cp:coreProperties>
</file>