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0\"/>
    </mc:Choice>
  </mc:AlternateContent>
  <xr:revisionPtr revIDLastSave="0" documentId="13_ncr:1_{DF58ECE4-FA24-4AB4-83B9-39ADC38C2A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.03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1" i="17" l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0" i="12" l="1"/>
  <c r="AS20" i="12"/>
  <c r="AT20" i="12"/>
  <c r="AY20" i="12" s="1"/>
  <c r="AU20" i="12"/>
  <c r="AZ20" i="12" s="1"/>
  <c r="BD20" i="12"/>
  <c r="BA50" i="12"/>
  <c r="AX50" i="12"/>
  <c r="AV20" i="12" l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BD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AQ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D28" i="12"/>
  <c r="AU28" i="12"/>
  <c r="AT28" i="12"/>
  <c r="AY28" i="12" s="1"/>
  <c r="AS28" i="12"/>
  <c r="AX28" i="12" s="1"/>
  <c r="BD27" i="12"/>
  <c r="AZ27" i="12"/>
  <c r="AY27" i="12"/>
  <c r="BD26" i="12"/>
  <c r="AU26" i="12"/>
  <c r="AT26" i="12"/>
  <c r="AS26" i="12"/>
  <c r="AX26" i="12" s="1"/>
  <c r="BD25" i="12"/>
  <c r="AU25" i="12"/>
  <c r="AT25" i="12"/>
  <c r="AS25" i="12"/>
  <c r="AX25" i="12" s="1"/>
  <c r="BD24" i="12"/>
  <c r="AU24" i="12"/>
  <c r="AT24" i="12"/>
  <c r="AY24" i="12" s="1"/>
  <c r="AS24" i="12"/>
  <c r="AX24" i="12" s="1"/>
  <c r="BD23" i="12"/>
  <c r="AU23" i="12"/>
  <c r="AT23" i="12"/>
  <c r="AS23" i="12"/>
  <c r="AX23" i="12" s="1"/>
  <c r="BD22" i="12"/>
  <c r="AU22" i="12"/>
  <c r="AT22" i="12"/>
  <c r="AS22" i="12"/>
  <c r="AX22" i="12" s="1"/>
  <c r="BD21" i="12"/>
  <c r="AU21" i="12"/>
  <c r="AT21" i="12"/>
  <c r="AS21" i="12"/>
  <c r="AX21" i="12" s="1"/>
  <c r="BD19" i="12"/>
  <c r="AU19" i="12"/>
  <c r="AT19" i="12"/>
  <c r="AS19" i="12"/>
  <c r="AX19" i="12" s="1"/>
  <c r="BD18" i="12"/>
  <c r="AU18" i="12"/>
  <c r="AT18" i="12"/>
  <c r="AS18" i="12"/>
  <c r="AX18" i="12" s="1"/>
  <c r="BD17" i="12"/>
  <c r="AU17" i="12"/>
  <c r="AT17" i="12"/>
  <c r="AS17" i="12"/>
  <c r="AX17" i="12" s="1"/>
  <c r="BD16" i="12"/>
  <c r="AU16" i="12"/>
  <c r="AT16" i="12"/>
  <c r="AS16" i="12"/>
  <c r="AX16" i="12" s="1"/>
  <c r="BD15" i="12"/>
  <c r="AU15" i="12"/>
  <c r="AT15" i="12"/>
  <c r="AS15" i="12"/>
  <c r="AX15" i="12" s="1"/>
  <c r="BD14" i="12"/>
  <c r="AU14" i="12"/>
  <c r="AT14" i="12"/>
  <c r="AS14" i="12"/>
  <c r="AX14" i="12" s="1"/>
  <c r="BD13" i="12"/>
  <c r="AU13" i="12"/>
  <c r="AT13" i="12"/>
  <c r="AS13" i="12"/>
  <c r="AX13" i="12" s="1"/>
  <c r="BD12" i="12"/>
  <c r="AU12" i="12"/>
  <c r="AT12" i="12"/>
  <c r="AS12" i="12"/>
  <c r="AX12" i="12" s="1"/>
  <c r="BD11" i="12"/>
  <c r="AU11" i="12"/>
  <c r="AT11" i="12"/>
  <c r="AS11" i="12"/>
  <c r="AX11" i="12" s="1"/>
  <c r="BD10" i="12"/>
  <c r="AU10" i="12"/>
  <c r="AT10" i="12"/>
  <c r="AS10" i="12"/>
  <c r="AX10" i="12" s="1"/>
  <c r="BD9" i="12"/>
  <c r="AU9" i="12"/>
  <c r="AT9" i="12"/>
  <c r="AS9" i="12"/>
  <c r="AX9" i="12" s="1"/>
  <c r="BD8" i="12"/>
  <c r="AU8" i="12"/>
  <c r="AT8" i="12"/>
  <c r="AS8" i="12"/>
  <c r="AX8" i="12" s="1"/>
  <c r="BD7" i="12"/>
  <c r="AU7" i="12"/>
  <c r="AT7" i="12"/>
  <c r="AS7" i="12"/>
  <c r="AX7" i="12" s="1"/>
  <c r="BD6" i="12"/>
  <c r="AU6" i="12"/>
  <c r="AT6" i="12"/>
  <c r="AS6" i="12"/>
  <c r="AX6" i="12" s="1"/>
  <c r="BD5" i="12"/>
  <c r="AU5" i="12"/>
  <c r="AT5" i="12"/>
  <c r="AS5" i="12"/>
  <c r="AX5" i="12" s="1"/>
  <c r="BD4" i="12"/>
  <c r="AU4" i="12"/>
  <c r="AT4" i="12"/>
  <c r="AS4" i="12"/>
  <c r="AX4" i="12" s="1"/>
  <c r="AJ2" i="12"/>
  <c r="AB2" i="12"/>
  <c r="T2" i="12"/>
  <c r="L2" i="12"/>
  <c r="F20" i="12" l="1"/>
  <c r="E20" i="12"/>
  <c r="AV4" i="12"/>
  <c r="AZ24" i="12"/>
  <c r="AV24" i="12"/>
  <c r="AZ10" i="12"/>
  <c r="AV10" i="12"/>
  <c r="AZ6" i="12"/>
  <c r="AV6" i="12"/>
  <c r="AQ33" i="12" s="1"/>
  <c r="AS33" i="12" s="1"/>
  <c r="AZ7" i="12"/>
  <c r="AV7" i="12"/>
  <c r="AQ34" i="12" s="1"/>
  <c r="AZ15" i="12"/>
  <c r="AV15" i="12"/>
  <c r="AQ42" i="12" s="1"/>
  <c r="AZ21" i="12"/>
  <c r="AV21" i="12"/>
  <c r="AZ25" i="12"/>
  <c r="AV25" i="12"/>
  <c r="AZ8" i="12"/>
  <c r="AV8" i="12"/>
  <c r="AQ35" i="12" s="1"/>
  <c r="AZ5" i="12"/>
  <c r="AV5" i="12"/>
  <c r="AZ13" i="12"/>
  <c r="AV13" i="12"/>
  <c r="AQ40" i="12" s="1"/>
  <c r="AZ19" i="12"/>
  <c r="AV19" i="12"/>
  <c r="AZ23" i="12"/>
  <c r="AV23" i="12"/>
  <c r="AQ43" i="12" s="1"/>
  <c r="AZ11" i="12"/>
  <c r="AV11" i="12"/>
  <c r="AQ38" i="12" s="1"/>
  <c r="AZ17" i="12"/>
  <c r="AV17" i="12"/>
  <c r="AQ37" i="12" s="1"/>
  <c r="AZ9" i="12"/>
  <c r="AV9" i="12"/>
  <c r="AQ36" i="12" s="1"/>
  <c r="AZ28" i="12"/>
  <c r="AV28" i="12"/>
  <c r="AZ12" i="12"/>
  <c r="AV12" i="12"/>
  <c r="AQ39" i="12" s="1"/>
  <c r="AZ14" i="12"/>
  <c r="AV14" i="12"/>
  <c r="AQ41" i="12" s="1"/>
  <c r="AZ16" i="12"/>
  <c r="AV16" i="12"/>
  <c r="AZ18" i="12"/>
  <c r="AV18" i="12"/>
  <c r="AZ22" i="12"/>
  <c r="AV22" i="12"/>
  <c r="AQ45" i="12" s="1"/>
  <c r="AZ26" i="12"/>
  <c r="AV26" i="12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C2" i="12"/>
  <c r="AS44" i="12"/>
  <c r="AR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G20" i="12" l="1"/>
  <c r="F2" i="12"/>
  <c r="AS45" i="12"/>
  <c r="AR45" i="12"/>
  <c r="AZ2" i="12"/>
  <c r="AR35" i="12"/>
  <c r="AS35" i="12"/>
  <c r="AR40" i="12"/>
  <c r="AS40" i="12"/>
  <c r="AR38" i="12"/>
  <c r="AS38" i="12"/>
  <c r="AR42" i="12"/>
  <c r="AS42" i="12"/>
  <c r="AR41" i="12"/>
  <c r="AS41" i="12"/>
  <c r="AR39" i="12"/>
  <c r="AS39" i="12"/>
  <c r="AR37" i="12"/>
  <c r="AS37" i="12"/>
  <c r="AR34" i="12"/>
  <c r="AS34" i="12"/>
  <c r="AR43" i="12"/>
  <c r="AS43" i="12"/>
  <c r="AR36" i="12"/>
  <c r="AS36" i="12"/>
  <c r="AR33" i="12"/>
  <c r="AQ46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6" i="12" l="1"/>
  <c r="AS47" i="12" s="1"/>
  <c r="AR46" i="12"/>
  <c r="AR47" i="12" s="1"/>
  <c r="AX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<sst xmlns="http://schemas.openxmlformats.org/spreadsheetml/2006/main" count="2377" uniqueCount="81">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</sst>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9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8" fillId="0" borderId="0" xfId="0" applyFont="1"/>
    <xf numFmtId="0" fontId="8" fillId="3" borderId="0" xfId="0" applyFont="1" applyFill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0" fillId="0" borderId="0" xfId="0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5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3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4" borderId="13" xfId="0" applyFont="1" applyFill="1" applyBorder="1"/>
    <xf numFmtId="0" fontId="14" fillId="25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6" borderId="0" xfId="0" applyFont="1" applyFill="1"/>
    <xf numFmtId="0" fontId="19" fillId="26" borderId="0" xfId="1" applyFont="1" applyFill="1"/>
    <xf numFmtId="0" fontId="19" fillId="27" borderId="0" xfId="1" applyFont="1" applyFill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0" fontId="3" fillId="3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0" fontId="23" fillId="3" borderId="0" xfId="0" applyFont="1" applyFill="1"/>
    <xf numFmtId="0" fontId="24" fillId="3" borderId="0" xfId="0" applyFont="1" applyFill="1"/>
    <xf numFmtId="0" fontId="2" fillId="0" borderId="0" xfId="0" applyFont="1"/>
    <xf numFmtId="0" fontId="2" fillId="22" borderId="0" xfId="0" applyFont="1" applyFill="1"/>
    <xf numFmtId="0" fontId="15" fillId="22" borderId="13" xfId="0" applyFont="1" applyFill="1" applyBorder="1"/>
    <xf numFmtId="0" fontId="0" fillId="22" borderId="13" xfId="0" applyFill="1" applyBorder="1"/>
    <xf numFmtId="0" fontId="7" fillId="21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7" fillId="22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7" fillId="22" borderId="15" xfId="0" applyFont="1" applyFill="1" applyBorder="1" applyAlignment="1">
      <alignment wrapText="1"/>
    </xf>
    <xf numFmtId="0" fontId="14" fillId="21" borderId="15" xfId="0" applyFont="1" applyFill="1" applyBorder="1" applyAlignment="1">
      <alignment wrapText="1"/>
    </xf>
    <xf numFmtId="14" fontId="19" fillId="17" borderId="0" xfId="0" applyNumberFormat="1" applyFont="1" applyFill="1"/>
    <xf numFmtId="0" fontId="19" fillId="3" borderId="0" xfId="0" applyFont="1" applyFill="1"/>
    <xf numFmtId="0" fontId="19" fillId="18" borderId="0" xfId="0" applyFont="1" applyFill="1"/>
    <xf numFmtId="0" fontId="19" fillId="0" borderId="0" xfId="0" applyFont="1"/>
    <xf numFmtId="0" fontId="25" fillId="12" borderId="15" xfId="0" applyFont="1" applyFill="1" applyBorder="1" applyAlignment="1">
      <alignment horizontal="center"/>
    </xf>
    <xf numFmtId="0" fontId="19" fillId="10" borderId="15" xfId="0" applyFont="1" applyFill="1" applyBorder="1"/>
    <xf numFmtId="0" fontId="25" fillId="12" borderId="15" xfId="1" applyFont="1" applyFill="1" applyBorder="1" applyAlignment="1">
      <alignment horizontal="center"/>
    </xf>
    <xf numFmtId="14" fontId="19" fillId="21" borderId="0" xfId="0" applyNumberFormat="1" applyFont="1" applyFill="1"/>
    <xf numFmtId="0" fontId="19" fillId="0" borderId="15" xfId="1" applyFont="1" applyBorder="1"/>
    <xf numFmtId="0" fontId="7" fillId="21" borderId="2" xfId="0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7" fillId="22" borderId="2" xfId="0" applyFont="1" applyFill="1" applyBorder="1"/>
    <xf numFmtId="0" fontId="7" fillId="22" borderId="2" xfId="0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5" xfId="0" applyFill="1" applyBorder="1" applyAlignment="1">
      <alignment horizontal="center"/>
    </xf>
    <xf numFmtId="0" fontId="14" fillId="28" borderId="13" xfId="0" applyFont="1" applyFill="1" applyBorder="1"/>
    <xf numFmtId="0" fontId="0" fillId="29" borderId="13" xfId="0" applyFill="1" applyBorder="1" applyAlignment="1">
      <alignment vertical="top"/>
    </xf>
    <xf numFmtId="0" fontId="14" fillId="30" borderId="13" xfId="0" applyFont="1" applyFill="1" applyBorder="1"/>
    <xf numFmtId="0" fontId="0" fillId="31" borderId="13" xfId="0" applyFill="1" applyBorder="1" applyAlignment="1">
      <alignment vertical="top"/>
    </xf>
    <xf numFmtId="0" fontId="0" fillId="2" borderId="13" xfId="0" applyFill="1" applyBorder="1" applyAlignment="1">
      <alignment vertical="top"/>
    </xf>
    <xf numFmtId="0" fontId="0" fillId="9" borderId="13" xfId="0" applyFill="1" applyBorder="1" applyAlignment="1">
      <alignment vertical="top"/>
    </xf>
    <xf numFmtId="0" fontId="1" fillId="0" borderId="0" xfId="0" applyFont="1"/>
    <xf numFmtId="0" fontId="1" fillId="11" borderId="5" xfId="0" applyFont="1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7" fillId="17" borderId="3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7" fillId="22" borderId="2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topLeftCell="V1" zoomScale="130" zoomScaleNormal="130" workbookViewId="0">
      <pane ySplit="3" topLeftCell="A6" activePane="bottomLeft" state="frozen"/>
      <selection activeCell="AO32" sqref="AO32"/>
      <selection pane="bottomLeft" activeCell="AA14" sqref="AA14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7.14062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</cols>
  <sheetData>
    <row r="1" spans="1:57" ht="28.15" customHeight="1" thickBot="1">
      <c r="A1" s="121">
        <f ca="1">(_xlfn.DAYS(TODAY(),A4)+2)/((_xlfn.DAYS(A93,A4))+1)</f>
        <v>2.2222222222222223E-2</v>
      </c>
      <c r="B1" s="122"/>
      <c r="C1" s="122"/>
      <c r="D1" s="122"/>
      <c r="E1" s="122"/>
      <c r="F1" s="122"/>
      <c r="G1" s="122"/>
      <c r="H1" s="123"/>
      <c r="I1" s="124" t="s">
        <v>0</v>
      </c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6"/>
      <c r="AH1" s="19"/>
      <c r="AI1" s="19"/>
      <c r="AJ1" s="19"/>
      <c r="AO1" s="119"/>
      <c r="AP1" s="119"/>
      <c r="AQ1" s="119"/>
      <c r="AR1" s="37"/>
    </row>
    <row r="2" spans="1:57" ht="16.149999999999999" customHeight="1" thickBot="1">
      <c r="A2" s="44"/>
      <c r="B2" s="39" t="s">
        <v>60</v>
      </c>
      <c r="C2" s="68">
        <f>SUM(D4:D15)</f>
        <v>23390</v>
      </c>
      <c r="D2" s="127" t="s">
        <v>1</v>
      </c>
      <c r="E2" s="128"/>
      <c r="F2" s="129">
        <f>SUM(F4:F93)+SUM(H4:H93)</f>
        <v>24080</v>
      </c>
      <c r="G2" s="129"/>
      <c r="H2" s="130"/>
      <c r="I2" s="131" t="s">
        <v>2</v>
      </c>
      <c r="J2" s="132"/>
      <c r="K2" s="96" t="s">
        <v>3</v>
      </c>
      <c r="L2" s="96">
        <f>COUNTIF(I4:P93,"&lt;&gt;空")</f>
        <v>92</v>
      </c>
      <c r="M2" s="132" t="s">
        <v>4</v>
      </c>
      <c r="N2" s="132"/>
      <c r="O2" s="132"/>
      <c r="P2" s="133"/>
      <c r="Q2" s="134" t="s">
        <v>5</v>
      </c>
      <c r="R2" s="135"/>
      <c r="S2" s="99" t="s">
        <v>3</v>
      </c>
      <c r="T2" s="99">
        <f>COUNTIF(Q4:X93,"&lt;&gt;空")</f>
        <v>109</v>
      </c>
      <c r="U2" s="135" t="s">
        <v>4</v>
      </c>
      <c r="V2" s="135"/>
      <c r="W2" s="135"/>
      <c r="X2" s="136"/>
      <c r="Y2" s="137" t="s">
        <v>6</v>
      </c>
      <c r="Z2" s="138"/>
      <c r="AA2" s="102" t="s">
        <v>7</v>
      </c>
      <c r="AB2" s="103">
        <f>COUNTIF(Y4:AF93,"&lt;&gt;空")</f>
        <v>124</v>
      </c>
      <c r="AC2" s="138" t="s">
        <v>4</v>
      </c>
      <c r="AD2" s="138"/>
      <c r="AE2" s="138"/>
      <c r="AF2" s="139"/>
      <c r="AG2" s="32">
        <f>SUM(AG4:AG93)</f>
        <v>41</v>
      </c>
      <c r="AH2" s="32">
        <f>SUM(AH4:AH93)</f>
        <v>12</v>
      </c>
      <c r="AI2" s="32">
        <f>SUM(AI4:AI93)</f>
        <v>11</v>
      </c>
      <c r="AJ2" s="18">
        <f>SUM(AJ4:AJ93)</f>
        <v>18</v>
      </c>
      <c r="AK2" s="116" t="s">
        <v>8</v>
      </c>
      <c r="AO2" s="120"/>
      <c r="AP2" s="120"/>
      <c r="AQ2" s="120"/>
      <c r="AR2" s="37"/>
      <c r="AU2" t="s">
        <v>27</v>
      </c>
      <c r="AV2">
        <f>SUM(AV4:AV29)</f>
        <v>325</v>
      </c>
      <c r="AW2" s="77" t="s">
        <v>13</v>
      </c>
      <c r="AX2">
        <f>AR47</f>
        <v>12</v>
      </c>
      <c r="AY2" t="s">
        <v>56</v>
      </c>
      <c r="AZ2">
        <f>SUM(AX4:AZ29)+7000</f>
        <v>24080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7">
        <v>1</v>
      </c>
      <c r="J3" s="98">
        <v>2</v>
      </c>
      <c r="K3" s="98">
        <v>3</v>
      </c>
      <c r="L3" s="98">
        <v>4</v>
      </c>
      <c r="M3" s="98">
        <v>5</v>
      </c>
      <c r="N3" s="98">
        <v>6</v>
      </c>
      <c r="O3" s="98">
        <v>7</v>
      </c>
      <c r="P3" s="98">
        <v>8</v>
      </c>
      <c r="Q3" s="100">
        <v>1</v>
      </c>
      <c r="R3" s="101">
        <v>2</v>
      </c>
      <c r="S3" s="101">
        <v>3</v>
      </c>
      <c r="T3" s="101">
        <v>4</v>
      </c>
      <c r="U3" s="101">
        <v>5</v>
      </c>
      <c r="V3" s="101">
        <v>6</v>
      </c>
      <c r="W3" s="101">
        <v>7</v>
      </c>
      <c r="X3" s="101">
        <v>8</v>
      </c>
      <c r="Y3" s="104">
        <v>1</v>
      </c>
      <c r="Z3" s="105">
        <v>2</v>
      </c>
      <c r="AA3" s="105">
        <v>3</v>
      </c>
      <c r="AB3" s="105">
        <v>4</v>
      </c>
      <c r="AC3" s="105">
        <v>5</v>
      </c>
      <c r="AD3" s="105">
        <v>6</v>
      </c>
      <c r="AE3" s="105">
        <v>7</v>
      </c>
      <c r="AF3" s="106">
        <v>8</v>
      </c>
      <c r="AG3" s="33" t="s">
        <v>17</v>
      </c>
      <c r="AH3" s="86" t="s">
        <v>18</v>
      </c>
      <c r="AI3" s="34" t="s">
        <v>19</v>
      </c>
      <c r="AJ3" s="85" t="s">
        <v>20</v>
      </c>
      <c r="AK3" s="117"/>
      <c r="AL3" s="81" t="s">
        <v>78</v>
      </c>
      <c r="AM3" s="82" t="s">
        <v>79</v>
      </c>
      <c r="AN3" s="83" t="s">
        <v>80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</row>
    <row r="4" spans="1:57" s="29" customFormat="1" ht="15.75" thickBot="1">
      <c r="A4" s="94">
        <v>45821</v>
      </c>
      <c r="B4" s="88">
        <v>800</v>
      </c>
      <c r="C4" s="89">
        <v>6000</v>
      </c>
      <c r="D4" s="88">
        <f>(SUM(粮草!A4:X4)+AG4*10*IF(AK4="是",$BB$4,$BB$3))</f>
        <v>1700</v>
      </c>
      <c r="E4" s="76">
        <f>SUM($B$4:B4)+SUM($C$4:C4)-SUM($D$4:D4)</f>
        <v>5100</v>
      </c>
      <c r="F4" s="88">
        <f>SUM(经验!A4:X4)</f>
        <v>420</v>
      </c>
      <c r="G4" s="88">
        <f>SUM($F$4:F4)+SUM($H$4:H4)</f>
        <v>920</v>
      </c>
      <c r="H4" s="88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56" t="s">
        <v>38</v>
      </c>
      <c r="O4" s="71" t="s">
        <v>33</v>
      </c>
      <c r="P4" s="71" t="s">
        <v>33</v>
      </c>
      <c r="Q4" s="46" t="s">
        <v>32</v>
      </c>
      <c r="R4" s="46" t="s">
        <v>32</v>
      </c>
      <c r="S4" s="46" t="s">
        <v>32</v>
      </c>
      <c r="T4" s="52" t="s">
        <v>40</v>
      </c>
      <c r="U4" s="46" t="s">
        <v>32</v>
      </c>
      <c r="V4" s="46" t="s">
        <v>32</v>
      </c>
      <c r="W4" s="71" t="s">
        <v>33</v>
      </c>
      <c r="X4" s="71" t="s">
        <v>33</v>
      </c>
      <c r="Y4" s="70" t="s">
        <v>33</v>
      </c>
      <c r="Z4" s="70" t="s">
        <v>33</v>
      </c>
      <c r="AA4" s="70" t="s">
        <v>33</v>
      </c>
      <c r="AB4" s="70" t="s">
        <v>33</v>
      </c>
      <c r="AC4" s="70" t="s">
        <v>33</v>
      </c>
      <c r="AD4" s="70" t="s">
        <v>33</v>
      </c>
      <c r="AE4" s="71" t="s">
        <v>33</v>
      </c>
      <c r="AF4" s="71" t="s">
        <v>33</v>
      </c>
      <c r="AG4" s="91">
        <f>AH4+AI4+AJ4</f>
        <v>0</v>
      </c>
      <c r="AH4" s="91"/>
      <c r="AI4" s="91"/>
      <c r="AJ4" s="91"/>
      <c r="AK4" s="92" t="s">
        <v>34</v>
      </c>
      <c r="AL4" s="84">
        <f>6-COUNTIF(I4:P4,"&lt;&gt;空")</f>
        <v>0</v>
      </c>
      <c r="AM4" s="84">
        <f>6-COUNTIF(Q4:X4,"&lt;&gt;空")</f>
        <v>0</v>
      </c>
      <c r="AN4" s="84">
        <f>6-COUNTIF(Y4:AF4,"&lt;&gt;空")</f>
        <v>6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11</v>
      </c>
      <c r="AT4" s="36">
        <f t="shared" ref="AT4:AT26" si="1">COUNTIF($Q$4:$X$93,AO4)</f>
        <v>7</v>
      </c>
      <c r="AU4" s="36">
        <f t="shared" ref="AU4:AU26" si="2">COUNTIF($Y$4:$AF$93,AO4)</f>
        <v>0</v>
      </c>
      <c r="AV4" s="79">
        <f>AS4+AT4+AU4</f>
        <v>18</v>
      </c>
      <c r="AW4" s="35">
        <v>30</v>
      </c>
      <c r="AX4" s="35">
        <f t="shared" ref="AX4:AX26" si="3">AS4*$AQ4</f>
        <v>385</v>
      </c>
      <c r="AY4" s="35">
        <f t="shared" ref="AY4:AZ19" si="4">AT4*$AQ4</f>
        <v>245</v>
      </c>
      <c r="AZ4" s="35">
        <f t="shared" si="4"/>
        <v>0</v>
      </c>
      <c r="BA4" s="30" t="s">
        <v>35</v>
      </c>
      <c r="BB4" s="31">
        <v>0.8</v>
      </c>
      <c r="BD4" s="35">
        <f t="shared" ref="BD4:BD26" si="5">AP4*0.8</f>
        <v>120</v>
      </c>
    </row>
    <row r="5" spans="1:57" s="29" customFormat="1">
      <c r="A5" s="94">
        <v>45822</v>
      </c>
      <c r="B5" s="88">
        <v>1600</v>
      </c>
      <c r="C5" s="89"/>
      <c r="D5" s="88">
        <f>(SUM(粮草!A5:X5)+AG5*10*IF(AK5="是",$BB$4,$BB$3))</f>
        <v>1620</v>
      </c>
      <c r="E5" s="76">
        <f>SUM($B$4:B5)+SUM($C$4:C5)-SUM($D$4:D5)</f>
        <v>5080</v>
      </c>
      <c r="F5" s="88">
        <f>SUM(经验!A5:X5)</f>
        <v>500</v>
      </c>
      <c r="G5" s="88">
        <f>SUM($F$4:F5)+SUM($H$4:H5)</f>
        <v>1420</v>
      </c>
      <c r="H5" s="88">
        <v>0</v>
      </c>
      <c r="I5" s="70" t="s">
        <v>33</v>
      </c>
      <c r="J5" s="70" t="s">
        <v>33</v>
      </c>
      <c r="K5" s="70" t="s">
        <v>33</v>
      </c>
      <c r="L5" s="70" t="s">
        <v>33</v>
      </c>
      <c r="M5" s="70" t="s">
        <v>33</v>
      </c>
      <c r="N5" s="70" t="s">
        <v>33</v>
      </c>
      <c r="O5" s="71" t="s">
        <v>33</v>
      </c>
      <c r="P5" s="71" t="s">
        <v>33</v>
      </c>
      <c r="Q5" s="56" t="s">
        <v>38</v>
      </c>
      <c r="R5" s="46" t="s">
        <v>32</v>
      </c>
      <c r="S5" s="46" t="s">
        <v>32</v>
      </c>
      <c r="T5" s="47" t="s">
        <v>36</v>
      </c>
      <c r="U5" s="47" t="s">
        <v>36</v>
      </c>
      <c r="V5" s="56" t="s">
        <v>38</v>
      </c>
      <c r="W5" s="71" t="s">
        <v>33</v>
      </c>
      <c r="X5" s="71" t="s">
        <v>33</v>
      </c>
      <c r="Y5" s="47" t="s">
        <v>36</v>
      </c>
      <c r="Z5" s="47" t="s">
        <v>36</v>
      </c>
      <c r="AA5" s="52" t="s">
        <v>40</v>
      </c>
      <c r="AB5" s="47" t="s">
        <v>36</v>
      </c>
      <c r="AC5" s="57" t="s">
        <v>45</v>
      </c>
      <c r="AD5" s="47" t="s">
        <v>36</v>
      </c>
      <c r="AE5" s="53" t="s">
        <v>46</v>
      </c>
      <c r="AF5" s="48" t="s">
        <v>39</v>
      </c>
      <c r="AG5" s="91">
        <f t="shared" ref="AG5:AG68" si="6">AH5+AI5+AJ5</f>
        <v>4</v>
      </c>
      <c r="AH5" s="91"/>
      <c r="AI5" s="91"/>
      <c r="AJ5" s="91">
        <v>4</v>
      </c>
      <c r="AK5" s="92" t="s">
        <v>34</v>
      </c>
      <c r="AL5" s="84">
        <f t="shared" ref="AL5:AL35" si="7">MIN(AL4+6,18)-COUNTIF(I5:P5,"&lt;&gt;空")+COUNTIF(I5:P5,"历练")+COUNTIF(I5:P5,"营地")*2</f>
        <v>6</v>
      </c>
      <c r="AM5" s="84">
        <f t="shared" ref="AM5:AM36" si="8">MIN(AM4+6,18)-COUNTIF(Q5:X5,"&lt;&gt;空")+COUNTIF(Q5:X5,"历练")+COUNTIF(Q5:X5,"营地")*2</f>
        <v>0</v>
      </c>
      <c r="AN5" s="84">
        <f t="shared" ref="AN5:AN36" si="9">MIN(AN4+6,18)-COUNTIF(Y5:AF5,"&lt;&gt;空")+COUNTIF(Y5:AF5,"历练")+COUNTIF(Y5:AF5,"营地")*2</f>
        <v>6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7</v>
      </c>
      <c r="AT5" s="36">
        <f t="shared" si="1"/>
        <v>25</v>
      </c>
      <c r="AU5" s="36">
        <f t="shared" si="2"/>
        <v>7</v>
      </c>
      <c r="AV5" s="79">
        <f t="shared" ref="AV5:AV26" si="10">AS5+AT5+AU5</f>
        <v>39</v>
      </c>
      <c r="AW5" s="35">
        <v>54</v>
      </c>
      <c r="AX5" s="35">
        <f t="shared" si="3"/>
        <v>280</v>
      </c>
      <c r="AY5" s="35">
        <f t="shared" si="4"/>
        <v>1000</v>
      </c>
      <c r="AZ5" s="35">
        <f t="shared" si="4"/>
        <v>280</v>
      </c>
      <c r="BA5" s="118" t="s">
        <v>37</v>
      </c>
      <c r="BB5" s="118"/>
      <c r="BD5" s="35">
        <f t="shared" si="5"/>
        <v>128</v>
      </c>
    </row>
    <row r="6" spans="1:57" s="29" customFormat="1">
      <c r="A6" s="94">
        <v>45823</v>
      </c>
      <c r="B6" s="88">
        <v>1600</v>
      </c>
      <c r="C6" s="89"/>
      <c r="D6" s="88">
        <f>(SUM(粮草!A6:X6)+AG6*10*IF(AK6="是",$BB$4,$BB$3))</f>
        <v>2200</v>
      </c>
      <c r="E6" s="76">
        <f>SUM($B$4:B6)+SUM($C$4:C6)-SUM($D$4:D6)</f>
        <v>4480</v>
      </c>
      <c r="F6" s="88">
        <f>SUM(经验!A6:X6)</f>
        <v>590</v>
      </c>
      <c r="G6" s="88">
        <f>SUM($F$4:F6)+SUM($H$4:H6)</f>
        <v>2010</v>
      </c>
      <c r="H6" s="88">
        <v>0</v>
      </c>
      <c r="I6" s="70" t="s">
        <v>33</v>
      </c>
      <c r="J6" s="70" t="s">
        <v>33</v>
      </c>
      <c r="K6" s="70" t="s">
        <v>33</v>
      </c>
      <c r="L6" s="70" t="s">
        <v>33</v>
      </c>
      <c r="M6" s="70" t="s">
        <v>33</v>
      </c>
      <c r="N6" s="70" t="s">
        <v>33</v>
      </c>
      <c r="O6" s="71" t="s">
        <v>33</v>
      </c>
      <c r="P6" s="71" t="s">
        <v>33</v>
      </c>
      <c r="Q6" s="47" t="s">
        <v>36</v>
      </c>
      <c r="R6" s="47" t="s">
        <v>36</v>
      </c>
      <c r="S6" s="47" t="s">
        <v>36</v>
      </c>
      <c r="T6" s="47" t="s">
        <v>36</v>
      </c>
      <c r="U6" s="47" t="s">
        <v>36</v>
      </c>
      <c r="V6" s="56" t="s">
        <v>38</v>
      </c>
      <c r="W6" s="71" t="s">
        <v>33</v>
      </c>
      <c r="X6" s="71" t="s">
        <v>33</v>
      </c>
      <c r="Y6" s="52" t="s">
        <v>40</v>
      </c>
      <c r="Z6" s="48" t="s">
        <v>39</v>
      </c>
      <c r="AA6" s="49" t="s">
        <v>41</v>
      </c>
      <c r="AB6" s="48" t="s">
        <v>39</v>
      </c>
      <c r="AC6" s="48" t="s">
        <v>39</v>
      </c>
      <c r="AD6" s="48" t="s">
        <v>39</v>
      </c>
      <c r="AE6" s="48" t="s">
        <v>39</v>
      </c>
      <c r="AF6" s="38" t="s">
        <v>64</v>
      </c>
      <c r="AG6" s="91">
        <f t="shared" si="6"/>
        <v>0</v>
      </c>
      <c r="AH6" s="91"/>
      <c r="AI6" s="91"/>
      <c r="AJ6" s="91"/>
      <c r="AK6" s="92" t="s">
        <v>34</v>
      </c>
      <c r="AL6" s="84">
        <f t="shared" si="7"/>
        <v>12</v>
      </c>
      <c r="AM6" s="84">
        <f t="shared" si="8"/>
        <v>0</v>
      </c>
      <c r="AN6" s="84">
        <f t="shared" si="9"/>
        <v>4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0</v>
      </c>
      <c r="AT6" s="36">
        <f t="shared" si="1"/>
        <v>14</v>
      </c>
      <c r="AU6" s="36">
        <f t="shared" si="2"/>
        <v>49</v>
      </c>
      <c r="AV6" s="79">
        <f t="shared" si="10"/>
        <v>63</v>
      </c>
      <c r="AW6" s="35">
        <v>180</v>
      </c>
      <c r="AX6" s="35">
        <f t="shared" si="3"/>
        <v>0</v>
      </c>
      <c r="AY6" s="35">
        <f t="shared" si="4"/>
        <v>630</v>
      </c>
      <c r="AZ6" s="35">
        <f t="shared" si="4"/>
        <v>2205</v>
      </c>
      <c r="BA6" s="119"/>
      <c r="BB6" s="119"/>
      <c r="BD6" s="35">
        <f t="shared" si="5"/>
        <v>136</v>
      </c>
    </row>
    <row r="7" spans="1:57">
      <c r="A7" s="94">
        <v>45824</v>
      </c>
      <c r="B7" s="90">
        <v>1600</v>
      </c>
      <c r="C7" s="90"/>
      <c r="D7" s="88">
        <f>(SUM(粮草!A7:X7)+AG7*10*IF(AK7="是",$BB$4,$BB$3))</f>
        <v>2350</v>
      </c>
      <c r="E7" s="76">
        <f>SUM($B$4:B7)+SUM($C$4:C7)-SUM($D$4:D7)</f>
        <v>3730</v>
      </c>
      <c r="F7" s="88">
        <f>SUM(经验!A7:X7)</f>
        <v>620</v>
      </c>
      <c r="G7" s="88">
        <f>SUM($F$4:F7)+SUM($H$4:H7)</f>
        <v>2830</v>
      </c>
      <c r="H7" s="90">
        <v>200</v>
      </c>
      <c r="I7" s="70" t="s">
        <v>33</v>
      </c>
      <c r="J7" s="70" t="s">
        <v>33</v>
      </c>
      <c r="K7" s="70" t="s">
        <v>33</v>
      </c>
      <c r="L7" s="70" t="s">
        <v>33</v>
      </c>
      <c r="M7" s="70" t="s">
        <v>33</v>
      </c>
      <c r="N7" s="70" t="s">
        <v>33</v>
      </c>
      <c r="O7" s="71" t="s">
        <v>33</v>
      </c>
      <c r="P7" s="71" t="s">
        <v>33</v>
      </c>
      <c r="Q7" s="47" t="s">
        <v>36</v>
      </c>
      <c r="R7" s="47" t="s">
        <v>36</v>
      </c>
      <c r="S7" s="38" t="s">
        <v>64</v>
      </c>
      <c r="T7" s="48" t="s">
        <v>39</v>
      </c>
      <c r="U7" s="48" t="s">
        <v>39</v>
      </c>
      <c r="V7" s="52" t="s">
        <v>40</v>
      </c>
      <c r="W7" s="71" t="s">
        <v>33</v>
      </c>
      <c r="X7" s="71" t="s">
        <v>33</v>
      </c>
      <c r="Y7" s="48" t="s">
        <v>39</v>
      </c>
      <c r="Z7" s="48" t="s">
        <v>39</v>
      </c>
      <c r="AA7" s="48" t="s">
        <v>39</v>
      </c>
      <c r="AB7" s="48" t="s">
        <v>39</v>
      </c>
      <c r="AC7" s="48" t="s">
        <v>39</v>
      </c>
      <c r="AD7" s="52" t="s">
        <v>40</v>
      </c>
      <c r="AE7" s="49" t="s">
        <v>41</v>
      </c>
      <c r="AF7" s="49" t="s">
        <v>41</v>
      </c>
      <c r="AG7" s="91">
        <f t="shared" si="6"/>
        <v>1</v>
      </c>
      <c r="AH7" s="91"/>
      <c r="AI7" s="91"/>
      <c r="AJ7" s="91">
        <v>1</v>
      </c>
      <c r="AK7" s="92" t="s">
        <v>34</v>
      </c>
      <c r="AL7" s="84">
        <f t="shared" si="7"/>
        <v>18</v>
      </c>
      <c r="AM7" s="84">
        <f t="shared" si="8"/>
        <v>0</v>
      </c>
      <c r="AN7" s="84">
        <f t="shared" si="9"/>
        <v>2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10</v>
      </c>
      <c r="AT7" s="20">
        <f t="shared" si="1"/>
        <v>11</v>
      </c>
      <c r="AU7" s="20">
        <f t="shared" si="2"/>
        <v>30</v>
      </c>
      <c r="AV7" s="80">
        <f t="shared" si="10"/>
        <v>51</v>
      </c>
      <c r="AW7">
        <v>104</v>
      </c>
      <c r="AX7">
        <f t="shared" si="3"/>
        <v>500</v>
      </c>
      <c r="AY7">
        <f t="shared" si="4"/>
        <v>550</v>
      </c>
      <c r="AZ7">
        <f t="shared" si="4"/>
        <v>1500</v>
      </c>
      <c r="BA7" s="119"/>
      <c r="BB7" s="119"/>
      <c r="BD7">
        <f t="shared" si="5"/>
        <v>144</v>
      </c>
      <c r="BE7" s="29"/>
    </row>
    <row r="8" spans="1:57">
      <c r="A8" s="94">
        <v>45825</v>
      </c>
      <c r="B8" s="90">
        <v>1600</v>
      </c>
      <c r="C8" s="90"/>
      <c r="D8" s="88">
        <f>(SUM(粮草!A8:X8)+AG8*10*IF(AK8="是",$BB$4,$BB$3))</f>
        <v>2260</v>
      </c>
      <c r="E8" s="76">
        <f>SUM($B$4:B8)+SUM($C$4:C8)-SUM($D$4:D8)</f>
        <v>3070</v>
      </c>
      <c r="F8" s="88">
        <f>SUM(经验!A8:X8)</f>
        <v>880</v>
      </c>
      <c r="G8" s="88">
        <f>SUM($F$4:F8)+SUM($H$4:H8)</f>
        <v>4010</v>
      </c>
      <c r="H8" s="90">
        <v>300</v>
      </c>
      <c r="I8" s="70" t="s">
        <v>33</v>
      </c>
      <c r="J8" s="70" t="s">
        <v>33</v>
      </c>
      <c r="K8" s="70" t="s">
        <v>33</v>
      </c>
      <c r="L8" s="70" t="s">
        <v>33</v>
      </c>
      <c r="M8" s="70" t="s">
        <v>33</v>
      </c>
      <c r="N8" s="70" t="s">
        <v>33</v>
      </c>
      <c r="O8" s="71" t="s">
        <v>33</v>
      </c>
      <c r="P8" s="71" t="s">
        <v>33</v>
      </c>
      <c r="Q8" s="48" t="s">
        <v>39</v>
      </c>
      <c r="R8" s="56" t="s">
        <v>38</v>
      </c>
      <c r="S8" s="48" t="s">
        <v>39</v>
      </c>
      <c r="T8" s="48" t="s">
        <v>39</v>
      </c>
      <c r="U8" s="48" t="s">
        <v>39</v>
      </c>
      <c r="V8" s="56" t="s">
        <v>38</v>
      </c>
      <c r="W8" s="71" t="s">
        <v>33</v>
      </c>
      <c r="X8" s="71" t="s">
        <v>33</v>
      </c>
      <c r="Y8" s="38" t="s">
        <v>62</v>
      </c>
      <c r="Z8" s="52" t="s">
        <v>40</v>
      </c>
      <c r="AA8" s="49" t="s">
        <v>41</v>
      </c>
      <c r="AB8" s="49" t="s">
        <v>41</v>
      </c>
      <c r="AC8" s="49" t="s">
        <v>41</v>
      </c>
      <c r="AD8" s="49" t="s">
        <v>41</v>
      </c>
      <c r="AE8" s="49" t="s">
        <v>41</v>
      </c>
      <c r="AF8" s="49" t="s">
        <v>41</v>
      </c>
      <c r="AG8" s="91">
        <f t="shared" si="6"/>
        <v>0</v>
      </c>
      <c r="AH8" s="91"/>
      <c r="AI8" s="91"/>
      <c r="AJ8" s="91"/>
      <c r="AK8" s="92" t="s">
        <v>34</v>
      </c>
      <c r="AL8" s="84">
        <f t="shared" si="7"/>
        <v>18</v>
      </c>
      <c r="AM8" s="84">
        <f t="shared" si="8"/>
        <v>0</v>
      </c>
      <c r="AN8" s="84">
        <f t="shared" si="9"/>
        <v>0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41</v>
      </c>
      <c r="AT8" s="20">
        <f t="shared" si="1"/>
        <v>7</v>
      </c>
      <c r="AU8" s="20">
        <f t="shared" si="2"/>
        <v>3</v>
      </c>
      <c r="AV8" s="80">
        <f t="shared" si="10"/>
        <v>51</v>
      </c>
      <c r="AW8">
        <v>31</v>
      </c>
      <c r="AX8">
        <f t="shared" si="3"/>
        <v>2255</v>
      </c>
      <c r="AY8">
        <f t="shared" si="4"/>
        <v>385</v>
      </c>
      <c r="AZ8">
        <f t="shared" si="4"/>
        <v>165</v>
      </c>
      <c r="BA8" s="119"/>
      <c r="BB8" s="119"/>
      <c r="BD8">
        <f t="shared" si="5"/>
        <v>152</v>
      </c>
      <c r="BE8" s="29"/>
    </row>
    <row r="9" spans="1:57">
      <c r="A9" s="94">
        <v>45826</v>
      </c>
      <c r="B9" s="90">
        <v>1600</v>
      </c>
      <c r="C9" s="90"/>
      <c r="D9" s="88">
        <f>(SUM(粮草!A9:X9)+AG9*10*IF(AK9="是",$BB$4,$BB$3))</f>
        <v>1520</v>
      </c>
      <c r="E9" s="76">
        <f>SUM($B$4:B9)+SUM($C$4:C9)-SUM($D$4:D9)</f>
        <v>3150</v>
      </c>
      <c r="F9" s="88">
        <f>SUM(经验!A9:X9)</f>
        <v>660</v>
      </c>
      <c r="G9" s="88">
        <f>SUM($F$4:F9)+SUM($H$4:H9)</f>
        <v>4670</v>
      </c>
      <c r="H9" s="90">
        <v>0</v>
      </c>
      <c r="I9" s="70" t="s">
        <v>33</v>
      </c>
      <c r="J9" s="70" t="s">
        <v>33</v>
      </c>
      <c r="K9" s="70" t="s">
        <v>33</v>
      </c>
      <c r="L9" s="70" t="s">
        <v>33</v>
      </c>
      <c r="M9" s="70" t="s">
        <v>33</v>
      </c>
      <c r="N9" s="70" t="s">
        <v>33</v>
      </c>
      <c r="O9" s="71" t="s">
        <v>33</v>
      </c>
      <c r="P9" s="71" t="s">
        <v>33</v>
      </c>
      <c r="Q9" s="48" t="s">
        <v>39</v>
      </c>
      <c r="R9" s="48" t="s">
        <v>39</v>
      </c>
      <c r="S9" s="38" t="s">
        <v>64</v>
      </c>
      <c r="T9" s="70" t="s">
        <v>33</v>
      </c>
      <c r="U9" s="70" t="s">
        <v>33</v>
      </c>
      <c r="V9" s="70" t="s">
        <v>33</v>
      </c>
      <c r="W9" s="71" t="s">
        <v>33</v>
      </c>
      <c r="X9" s="71" t="s">
        <v>33</v>
      </c>
      <c r="Y9" s="49" t="s">
        <v>41</v>
      </c>
      <c r="Z9" s="49" t="s">
        <v>41</v>
      </c>
      <c r="AA9" s="49" t="s">
        <v>41</v>
      </c>
      <c r="AB9" s="38" t="s">
        <v>62</v>
      </c>
      <c r="AC9" s="48" t="s">
        <v>39</v>
      </c>
      <c r="AD9" s="56" t="s">
        <v>38</v>
      </c>
      <c r="AE9" s="71" t="s">
        <v>33</v>
      </c>
      <c r="AF9" s="71" t="s">
        <v>33</v>
      </c>
      <c r="AG9" s="91">
        <f t="shared" si="6"/>
        <v>0</v>
      </c>
      <c r="AH9" s="91"/>
      <c r="AI9" s="91"/>
      <c r="AJ9" s="91"/>
      <c r="AK9" s="92" t="s">
        <v>34</v>
      </c>
      <c r="AL9" s="84">
        <f t="shared" si="7"/>
        <v>18</v>
      </c>
      <c r="AM9" s="84">
        <f t="shared" si="8"/>
        <v>3</v>
      </c>
      <c r="AN9" s="84">
        <f t="shared" si="9"/>
        <v>0</v>
      </c>
      <c r="AO9" s="51" t="s">
        <v>43</v>
      </c>
      <c r="AP9" s="20">
        <v>200</v>
      </c>
      <c r="AQ9" s="20">
        <v>60</v>
      </c>
      <c r="AR9" s="20"/>
      <c r="AS9" s="20">
        <f t="shared" si="0"/>
        <v>8</v>
      </c>
      <c r="AT9" s="20">
        <f t="shared" si="1"/>
        <v>19</v>
      </c>
      <c r="AU9" s="20">
        <f t="shared" si="2"/>
        <v>6</v>
      </c>
      <c r="AV9" s="80">
        <f t="shared" si="10"/>
        <v>33</v>
      </c>
      <c r="AW9">
        <v>98</v>
      </c>
      <c r="AX9">
        <f t="shared" si="3"/>
        <v>480</v>
      </c>
      <c r="AY9">
        <f t="shared" si="4"/>
        <v>1140</v>
      </c>
      <c r="AZ9">
        <f t="shared" si="4"/>
        <v>360</v>
      </c>
      <c r="BD9">
        <f t="shared" si="5"/>
        <v>160</v>
      </c>
      <c r="BE9" s="29"/>
    </row>
    <row r="10" spans="1:57">
      <c r="A10" s="94">
        <v>45827</v>
      </c>
      <c r="B10" s="90">
        <v>1600</v>
      </c>
      <c r="C10" s="90"/>
      <c r="D10" s="88">
        <f>(SUM(粮草!A10:X10)+AG10*10*IF(AK10="是",$BB$4,$BB$3))</f>
        <v>1000</v>
      </c>
      <c r="E10" s="76">
        <f>SUM($B$4:B10)+SUM($C$4:C10)-SUM($D$4:D10)</f>
        <v>3750</v>
      </c>
      <c r="F10" s="88">
        <f>SUM(经验!A10:X10)</f>
        <v>265</v>
      </c>
      <c r="G10" s="88">
        <f>SUM($F$4:F10)+SUM($H$4:H10)</f>
        <v>4935</v>
      </c>
      <c r="H10" s="90">
        <v>0</v>
      </c>
      <c r="I10" s="70" t="s">
        <v>33</v>
      </c>
      <c r="J10" s="70" t="s">
        <v>33</v>
      </c>
      <c r="K10" s="70" t="s">
        <v>33</v>
      </c>
      <c r="L10" s="70" t="s">
        <v>33</v>
      </c>
      <c r="M10" s="70" t="s">
        <v>33</v>
      </c>
      <c r="N10" s="70" t="s">
        <v>33</v>
      </c>
      <c r="O10" s="71" t="s">
        <v>33</v>
      </c>
      <c r="P10" s="71" t="s">
        <v>33</v>
      </c>
      <c r="Q10" s="70" t="s">
        <v>33</v>
      </c>
      <c r="R10" s="70" t="s">
        <v>33</v>
      </c>
      <c r="S10" s="70" t="s">
        <v>33</v>
      </c>
      <c r="T10" s="70" t="s">
        <v>33</v>
      </c>
      <c r="U10" s="70" t="s">
        <v>33</v>
      </c>
      <c r="V10" s="70" t="s">
        <v>33</v>
      </c>
      <c r="W10" s="71" t="s">
        <v>33</v>
      </c>
      <c r="X10" s="71" t="s">
        <v>33</v>
      </c>
      <c r="Y10" s="48" t="s">
        <v>39</v>
      </c>
      <c r="Z10" s="48" t="s">
        <v>39</v>
      </c>
      <c r="AA10" s="48" t="s">
        <v>39</v>
      </c>
      <c r="AB10" s="52" t="s">
        <v>40</v>
      </c>
      <c r="AC10" s="48" t="s">
        <v>39</v>
      </c>
      <c r="AD10" s="48" t="s">
        <v>39</v>
      </c>
      <c r="AE10" s="71" t="s">
        <v>33</v>
      </c>
      <c r="AF10" s="71" t="s">
        <v>33</v>
      </c>
      <c r="AG10" s="91">
        <f t="shared" si="6"/>
        <v>0</v>
      </c>
      <c r="AH10" s="91"/>
      <c r="AI10" s="91"/>
      <c r="AJ10" s="91"/>
      <c r="AK10" s="92" t="s">
        <v>34</v>
      </c>
      <c r="AL10" s="84">
        <f t="shared" si="7"/>
        <v>18</v>
      </c>
      <c r="AM10" s="84">
        <f t="shared" si="8"/>
        <v>9</v>
      </c>
      <c r="AN10" s="84">
        <f t="shared" si="9"/>
        <v>0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80">
        <f t="shared" si="10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>
        <f t="shared" si="5"/>
        <v>120</v>
      </c>
      <c r="BE10" s="29"/>
    </row>
    <row r="11" spans="1:57">
      <c r="A11" s="94">
        <v>45828</v>
      </c>
      <c r="B11" s="90">
        <v>1600</v>
      </c>
      <c r="C11" s="90"/>
      <c r="D11" s="88">
        <f>(SUM(粮草!A11:X11)+AG11*10*IF(AK11="是",$BB$4,$BB$3))</f>
        <v>1180</v>
      </c>
      <c r="E11" s="76">
        <f>SUM($B$4:B11)+SUM($C$4:C11)-SUM($D$4:D11)</f>
        <v>4170</v>
      </c>
      <c r="F11" s="88">
        <f>SUM(经验!A11:X11)</f>
        <v>565</v>
      </c>
      <c r="G11" s="88">
        <f>SUM($F$4:F11)+SUM($H$4:H11)</f>
        <v>5500</v>
      </c>
      <c r="H11" s="90">
        <v>0</v>
      </c>
      <c r="I11" s="70" t="s">
        <v>33</v>
      </c>
      <c r="J11" s="70" t="s">
        <v>33</v>
      </c>
      <c r="K11" s="70" t="s">
        <v>33</v>
      </c>
      <c r="L11" s="70" t="s">
        <v>33</v>
      </c>
      <c r="M11" s="70" t="s">
        <v>33</v>
      </c>
      <c r="N11" s="70" t="s">
        <v>33</v>
      </c>
      <c r="O11" s="71" t="s">
        <v>33</v>
      </c>
      <c r="P11" s="71" t="s">
        <v>33</v>
      </c>
      <c r="Q11" s="111" t="s">
        <v>43</v>
      </c>
      <c r="R11" s="70" t="s">
        <v>33</v>
      </c>
      <c r="S11" s="70" t="s">
        <v>33</v>
      </c>
      <c r="T11" s="70" t="s">
        <v>33</v>
      </c>
      <c r="U11" s="70" t="s">
        <v>33</v>
      </c>
      <c r="V11" s="70" t="s">
        <v>33</v>
      </c>
      <c r="W11" s="71" t="s">
        <v>33</v>
      </c>
      <c r="X11" s="71" t="s">
        <v>33</v>
      </c>
      <c r="Y11" s="48" t="s">
        <v>39</v>
      </c>
      <c r="Z11" s="48" t="s">
        <v>39</v>
      </c>
      <c r="AA11" s="52" t="s">
        <v>40</v>
      </c>
      <c r="AB11" s="38" t="s">
        <v>62</v>
      </c>
      <c r="AC11" s="56" t="s">
        <v>38</v>
      </c>
      <c r="AD11" s="48" t="s">
        <v>39</v>
      </c>
      <c r="AE11" s="71" t="s">
        <v>33</v>
      </c>
      <c r="AF11" s="71" t="s">
        <v>33</v>
      </c>
      <c r="AG11" s="91">
        <f t="shared" si="6"/>
        <v>2</v>
      </c>
      <c r="AH11" s="91"/>
      <c r="AI11" s="91"/>
      <c r="AJ11" s="91">
        <v>2</v>
      </c>
      <c r="AK11" s="92" t="s">
        <v>34</v>
      </c>
      <c r="AL11" s="84">
        <f t="shared" si="7"/>
        <v>18</v>
      </c>
      <c r="AM11" s="84">
        <f t="shared" si="8"/>
        <v>14</v>
      </c>
      <c r="AN11" s="84">
        <f t="shared" si="9"/>
        <v>0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3</v>
      </c>
      <c r="AT11" s="20">
        <f t="shared" si="1"/>
        <v>6</v>
      </c>
      <c r="AU11" s="20">
        <f t="shared" si="2"/>
        <v>11</v>
      </c>
      <c r="AV11" s="80">
        <f t="shared" si="10"/>
        <v>20</v>
      </c>
      <c r="AW11">
        <v>2</v>
      </c>
      <c r="AX11">
        <f t="shared" si="3"/>
        <v>120</v>
      </c>
      <c r="AY11">
        <f t="shared" si="4"/>
        <v>240</v>
      </c>
      <c r="AZ11">
        <f t="shared" si="4"/>
        <v>440</v>
      </c>
      <c r="BD11">
        <f t="shared" si="5"/>
        <v>120</v>
      </c>
      <c r="BE11" s="29"/>
    </row>
    <row r="12" spans="1:57">
      <c r="A12" s="94">
        <v>45829</v>
      </c>
      <c r="B12" s="90">
        <v>1600</v>
      </c>
      <c r="C12" s="90">
        <v>360</v>
      </c>
      <c r="D12" s="88">
        <f>(SUM(粮草!A12:X12)+AG12*10*IF(AK12="是",$BB$4,$BB$3))</f>
        <v>2460</v>
      </c>
      <c r="E12" s="76">
        <f>SUM($B$4:B12)+SUM($C$4:C12)-SUM($D$4:D12)</f>
        <v>3670</v>
      </c>
      <c r="F12" s="88">
        <f>SUM(经验!A12:X12)</f>
        <v>735</v>
      </c>
      <c r="G12" s="88">
        <f>SUM($F$4:F12)+SUM($H$4:H12)</f>
        <v>6235</v>
      </c>
      <c r="H12" s="90">
        <v>0</v>
      </c>
      <c r="I12" s="70" t="s">
        <v>33</v>
      </c>
      <c r="J12" s="70" t="s">
        <v>33</v>
      </c>
      <c r="K12" s="70" t="s">
        <v>33</v>
      </c>
      <c r="L12" s="70" t="s">
        <v>33</v>
      </c>
      <c r="M12" s="70" t="s">
        <v>33</v>
      </c>
      <c r="N12" s="70" t="s">
        <v>33</v>
      </c>
      <c r="O12" s="71" t="s">
        <v>33</v>
      </c>
      <c r="P12" s="71" t="s">
        <v>33</v>
      </c>
      <c r="Q12" s="111" t="s">
        <v>43</v>
      </c>
      <c r="R12" s="111" t="s">
        <v>43</v>
      </c>
      <c r="S12" s="111" t="s">
        <v>43</v>
      </c>
      <c r="T12" s="111" t="s">
        <v>43</v>
      </c>
      <c r="U12" s="111" t="s">
        <v>43</v>
      </c>
      <c r="V12" s="111" t="s">
        <v>43</v>
      </c>
      <c r="W12" s="111" t="s">
        <v>43</v>
      </c>
      <c r="X12" s="111" t="s">
        <v>43</v>
      </c>
      <c r="Y12" s="48" t="s">
        <v>39</v>
      </c>
      <c r="Z12" s="52" t="s">
        <v>40</v>
      </c>
      <c r="AA12" s="38" t="s">
        <v>64</v>
      </c>
      <c r="AB12" s="56" t="s">
        <v>38</v>
      </c>
      <c r="AC12" s="54" t="s">
        <v>47</v>
      </c>
      <c r="AD12" s="48" t="s">
        <v>39</v>
      </c>
      <c r="AE12" s="71" t="s">
        <v>33</v>
      </c>
      <c r="AF12" s="71" t="s">
        <v>33</v>
      </c>
      <c r="AG12" s="91">
        <f t="shared" si="6"/>
        <v>0</v>
      </c>
      <c r="AH12" s="91"/>
      <c r="AI12" s="91"/>
      <c r="AJ12" s="91"/>
      <c r="AK12" s="92" t="s">
        <v>34</v>
      </c>
      <c r="AL12" s="84">
        <f t="shared" si="7"/>
        <v>18</v>
      </c>
      <c r="AM12" s="84">
        <f t="shared" si="8"/>
        <v>10</v>
      </c>
      <c r="AN12" s="84">
        <f t="shared" si="9"/>
        <v>0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0</v>
      </c>
      <c r="AT12" s="20">
        <f t="shared" si="1"/>
        <v>0</v>
      </c>
      <c r="AU12" s="20">
        <f t="shared" si="2"/>
        <v>1</v>
      </c>
      <c r="AV12" s="80">
        <f t="shared" si="10"/>
        <v>1</v>
      </c>
      <c r="AW12">
        <v>5</v>
      </c>
      <c r="AX12">
        <f t="shared" si="3"/>
        <v>0</v>
      </c>
      <c r="AY12">
        <f t="shared" si="4"/>
        <v>0</v>
      </c>
      <c r="AZ12">
        <f t="shared" si="4"/>
        <v>45</v>
      </c>
      <c r="BD12">
        <f t="shared" si="5"/>
        <v>120</v>
      </c>
      <c r="BE12" s="29"/>
    </row>
    <row r="13" spans="1:57">
      <c r="A13" s="94">
        <v>45830</v>
      </c>
      <c r="B13" s="90">
        <v>1600</v>
      </c>
      <c r="C13" s="90">
        <v>-200</v>
      </c>
      <c r="D13" s="88">
        <f>(SUM(粮草!A13:X13)+AG13*10*IF(AK13="是",$BB$4,$BB$3))</f>
        <v>2492</v>
      </c>
      <c r="E13" s="76">
        <f>SUM($B$4:B13)+SUM($C$4:C13)-SUM($D$4:D13)</f>
        <v>2578</v>
      </c>
      <c r="F13" s="88">
        <f>SUM(经验!A13:X13)</f>
        <v>935</v>
      </c>
      <c r="G13" s="88">
        <f>SUM($F$4:F13)+SUM($H$4:H13)</f>
        <v>7170</v>
      </c>
      <c r="H13" s="90">
        <v>0</v>
      </c>
      <c r="I13" s="46" t="s">
        <v>32</v>
      </c>
      <c r="J13" s="52" t="s">
        <v>40</v>
      </c>
      <c r="K13" s="46" t="s">
        <v>32</v>
      </c>
      <c r="L13" s="107" t="s">
        <v>38</v>
      </c>
      <c r="M13" s="46" t="s">
        <v>32</v>
      </c>
      <c r="N13" s="46" t="s">
        <v>32</v>
      </c>
      <c r="O13" s="52" t="s">
        <v>40</v>
      </c>
      <c r="P13" s="46" t="s">
        <v>32</v>
      </c>
      <c r="Q13" s="109" t="s">
        <v>45</v>
      </c>
      <c r="R13" s="111" t="s">
        <v>43</v>
      </c>
      <c r="S13" s="111" t="s">
        <v>43</v>
      </c>
      <c r="T13" s="111" t="s">
        <v>43</v>
      </c>
      <c r="U13" s="111" t="s">
        <v>43</v>
      </c>
      <c r="V13" s="48" t="s">
        <v>39</v>
      </c>
      <c r="W13" s="48" t="s">
        <v>39</v>
      </c>
      <c r="X13" s="48" t="s">
        <v>39</v>
      </c>
      <c r="Y13" s="48" t="s">
        <v>39</v>
      </c>
      <c r="Z13" s="48" t="s">
        <v>39</v>
      </c>
      <c r="AA13" s="48" t="s">
        <v>39</v>
      </c>
      <c r="AB13" s="54" t="s">
        <v>47</v>
      </c>
      <c r="AC13" s="48" t="s">
        <v>39</v>
      </c>
      <c r="AD13" s="38" t="s">
        <v>64</v>
      </c>
      <c r="AE13" s="71" t="s">
        <v>33</v>
      </c>
      <c r="AF13" s="71" t="s">
        <v>33</v>
      </c>
      <c r="AG13" s="91">
        <f t="shared" si="6"/>
        <v>3</v>
      </c>
      <c r="AH13" s="93"/>
      <c r="AI13" s="93">
        <v>3</v>
      </c>
      <c r="AJ13" s="93"/>
      <c r="AK13" s="95" t="s">
        <v>51</v>
      </c>
      <c r="AL13" s="84">
        <f t="shared" si="7"/>
        <v>10</v>
      </c>
      <c r="AM13" s="84">
        <f t="shared" si="8"/>
        <v>10</v>
      </c>
      <c r="AN13" s="84">
        <f t="shared" si="9"/>
        <v>0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2</v>
      </c>
      <c r="AV13" s="80">
        <f t="shared" si="10"/>
        <v>2</v>
      </c>
      <c r="AW13">
        <v>1</v>
      </c>
      <c r="AX13">
        <f t="shared" si="3"/>
        <v>0</v>
      </c>
      <c r="AY13">
        <f t="shared" si="4"/>
        <v>0</v>
      </c>
      <c r="AZ13">
        <f t="shared" si="4"/>
        <v>100</v>
      </c>
      <c r="BD13">
        <f t="shared" si="5"/>
        <v>120</v>
      </c>
      <c r="BE13" s="29"/>
    </row>
    <row r="14" spans="1:57">
      <c r="A14" s="94">
        <v>45831</v>
      </c>
      <c r="B14" s="88">
        <v>1600</v>
      </c>
      <c r="C14" s="89">
        <v>40</v>
      </c>
      <c r="D14" s="88">
        <f>(SUM(粮草!A14:X14)+AG14*10*IF(AK14="是",$BB$4,$BB$3))</f>
        <v>2072</v>
      </c>
      <c r="E14" s="76">
        <f>SUM($B$4:B14)+SUM($C$4:C14)-SUM($D$4:D14)</f>
        <v>2146</v>
      </c>
      <c r="F14" s="88">
        <f>SUM(经验!A14:X14)</f>
        <v>905</v>
      </c>
      <c r="G14" s="88">
        <f>SUM($F$4:F14)+SUM($H$4:H14)</f>
        <v>8375</v>
      </c>
      <c r="H14" s="88">
        <v>300</v>
      </c>
      <c r="I14" s="46" t="s">
        <v>32</v>
      </c>
      <c r="J14" s="108" t="s">
        <v>36</v>
      </c>
      <c r="K14" s="108" t="s">
        <v>36</v>
      </c>
      <c r="L14" s="107" t="s">
        <v>38</v>
      </c>
      <c r="M14" s="108" t="s">
        <v>36</v>
      </c>
      <c r="N14" s="108" t="s">
        <v>36</v>
      </c>
      <c r="O14" s="109" t="s">
        <v>45</v>
      </c>
      <c r="P14" s="110" t="s">
        <v>41</v>
      </c>
      <c r="Q14" s="48" t="s">
        <v>39</v>
      </c>
      <c r="R14" s="48" t="s">
        <v>39</v>
      </c>
      <c r="S14" s="48" t="s">
        <v>39</v>
      </c>
      <c r="T14" s="109" t="s">
        <v>45</v>
      </c>
      <c r="U14" s="111" t="s">
        <v>43</v>
      </c>
      <c r="V14" s="111" t="s">
        <v>43</v>
      </c>
      <c r="W14" s="111" t="s">
        <v>43</v>
      </c>
      <c r="X14" s="111" t="s">
        <v>43</v>
      </c>
      <c r="Y14" s="112" t="s">
        <v>39</v>
      </c>
      <c r="Z14" s="50" t="s">
        <v>42</v>
      </c>
      <c r="AA14" s="50" t="s">
        <v>42</v>
      </c>
      <c r="AB14" s="50" t="s">
        <v>42</v>
      </c>
      <c r="AC14" s="112" t="s">
        <v>39</v>
      </c>
      <c r="AD14" s="113" t="s">
        <v>33</v>
      </c>
      <c r="AE14" s="71" t="s">
        <v>33</v>
      </c>
      <c r="AF14" s="71" t="s">
        <v>33</v>
      </c>
      <c r="AG14" s="91">
        <f t="shared" si="6"/>
        <v>0</v>
      </c>
      <c r="AH14" s="93"/>
      <c r="AI14" s="93"/>
      <c r="AJ14" s="93"/>
      <c r="AK14" s="95" t="s">
        <v>51</v>
      </c>
      <c r="AL14" s="84">
        <f t="shared" si="7"/>
        <v>10</v>
      </c>
      <c r="AM14" s="84">
        <f t="shared" si="8"/>
        <v>10</v>
      </c>
      <c r="AN14" s="84">
        <f t="shared" si="9"/>
        <v>1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0</v>
      </c>
      <c r="AU14" s="20">
        <f t="shared" si="2"/>
        <v>0</v>
      </c>
      <c r="AV14" s="80">
        <f t="shared" si="10"/>
        <v>0</v>
      </c>
      <c r="AW14">
        <v>0</v>
      </c>
      <c r="AX14">
        <f t="shared" si="3"/>
        <v>0</v>
      </c>
      <c r="AY14">
        <f t="shared" si="4"/>
        <v>0</v>
      </c>
      <c r="AZ14">
        <f t="shared" si="4"/>
        <v>0</v>
      </c>
      <c r="BD14">
        <f t="shared" si="5"/>
        <v>120</v>
      </c>
      <c r="BE14" s="29"/>
    </row>
    <row r="15" spans="1:57">
      <c r="A15" s="94">
        <v>45832</v>
      </c>
      <c r="B15" s="88">
        <v>1600</v>
      </c>
      <c r="C15" s="89"/>
      <c r="D15" s="88">
        <f>(SUM(粮草!A15:X15)+AG15*10*IF(AK15="是",$BB$4,$BB$3))</f>
        <v>2536</v>
      </c>
      <c r="E15" s="76">
        <f>SUM($B$4:B15)+SUM($C$4:C15)-SUM($D$4:D15)</f>
        <v>1210</v>
      </c>
      <c r="F15" s="88">
        <f>SUM(经验!A15:X15)</f>
        <v>1075</v>
      </c>
      <c r="G15" s="88">
        <f>SUM($F$4:F15)+SUM($H$4:H15)</f>
        <v>9450</v>
      </c>
      <c r="H15" s="88">
        <v>0</v>
      </c>
      <c r="I15" s="110" t="s">
        <v>41</v>
      </c>
      <c r="J15" s="110" t="s">
        <v>41</v>
      </c>
      <c r="K15" s="107" t="s">
        <v>38</v>
      </c>
      <c r="L15" s="110" t="s">
        <v>41</v>
      </c>
      <c r="M15" s="110" t="s">
        <v>41</v>
      </c>
      <c r="N15" s="110" t="s">
        <v>41</v>
      </c>
      <c r="O15" s="110" t="s">
        <v>41</v>
      </c>
      <c r="P15" s="110" t="s">
        <v>41</v>
      </c>
      <c r="Q15" s="110" t="s">
        <v>41</v>
      </c>
      <c r="R15" s="50" t="s">
        <v>42</v>
      </c>
      <c r="S15" s="50" t="s">
        <v>42</v>
      </c>
      <c r="T15" s="50" t="s">
        <v>42</v>
      </c>
      <c r="U15" s="109" t="s">
        <v>45</v>
      </c>
      <c r="V15" s="50" t="s">
        <v>42</v>
      </c>
      <c r="W15" s="50" t="s">
        <v>42</v>
      </c>
      <c r="X15" s="50" t="s">
        <v>42</v>
      </c>
      <c r="Y15" s="112" t="s">
        <v>39</v>
      </c>
      <c r="Z15" s="109" t="s">
        <v>45</v>
      </c>
      <c r="AA15" s="112" t="s">
        <v>39</v>
      </c>
      <c r="AB15" s="112" t="s">
        <v>39</v>
      </c>
      <c r="AC15" s="112" t="s">
        <v>39</v>
      </c>
      <c r="AD15" s="112" t="s">
        <v>39</v>
      </c>
      <c r="AE15" s="112" t="s">
        <v>39</v>
      </c>
      <c r="AF15" s="112" t="s">
        <v>39</v>
      </c>
      <c r="AG15" s="91">
        <f t="shared" si="6"/>
        <v>0</v>
      </c>
      <c r="AH15" s="93"/>
      <c r="AI15" s="93"/>
      <c r="AJ15" s="93"/>
      <c r="AK15" s="95" t="s">
        <v>51</v>
      </c>
      <c r="AL15" s="84">
        <f t="shared" si="7"/>
        <v>8</v>
      </c>
      <c r="AM15" s="84">
        <f t="shared" si="8"/>
        <v>10</v>
      </c>
      <c r="AN15" s="84">
        <f t="shared" si="9"/>
        <v>1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0</v>
      </c>
      <c r="AV15" s="80">
        <f t="shared" si="10"/>
        <v>0</v>
      </c>
      <c r="AW15"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>
        <f t="shared" si="5"/>
        <v>120</v>
      </c>
      <c r="BE15" s="29"/>
    </row>
    <row r="16" spans="1:57">
      <c r="A16" s="94">
        <v>45833</v>
      </c>
      <c r="B16" s="88">
        <v>1600</v>
      </c>
      <c r="C16" s="89">
        <v>40</v>
      </c>
      <c r="D16" s="88">
        <f>(SUM(粮草!A16:X16)+AG16*10*IF(AK16="是",$BB$4,$BB$3))</f>
        <v>2608</v>
      </c>
      <c r="E16" s="76">
        <f>SUM($B$4:B16)+SUM($C$4:C16)-SUM($D$4:D16)</f>
        <v>242</v>
      </c>
      <c r="F16" s="88">
        <f>SUM(经验!A16:X16)</f>
        <v>2040</v>
      </c>
      <c r="G16" s="88">
        <f>SUM($F$4:F16)+SUM($H$4:H16)</f>
        <v>11690</v>
      </c>
      <c r="H16" s="88">
        <v>200</v>
      </c>
      <c r="I16" s="109" t="s">
        <v>45</v>
      </c>
      <c r="J16" s="110" t="s">
        <v>41</v>
      </c>
      <c r="K16" s="110" t="s">
        <v>41</v>
      </c>
      <c r="L16" s="111" t="s">
        <v>43</v>
      </c>
      <c r="M16" s="111" t="s">
        <v>43</v>
      </c>
      <c r="N16" s="111" t="s">
        <v>43</v>
      </c>
      <c r="O16" s="58" t="s">
        <v>52</v>
      </c>
      <c r="P16" s="50" t="s">
        <v>42</v>
      </c>
      <c r="Q16" s="50" t="s">
        <v>42</v>
      </c>
      <c r="R16" s="110" t="s">
        <v>41</v>
      </c>
      <c r="S16" s="111" t="s">
        <v>43</v>
      </c>
      <c r="T16" s="111" t="s">
        <v>43</v>
      </c>
      <c r="U16" s="110" t="s">
        <v>41</v>
      </c>
      <c r="V16" s="110" t="s">
        <v>41</v>
      </c>
      <c r="W16" s="110" t="s">
        <v>41</v>
      </c>
      <c r="X16" s="56" t="s">
        <v>38</v>
      </c>
      <c r="Y16" s="52" t="s">
        <v>40</v>
      </c>
      <c r="Z16" s="108" t="s">
        <v>36</v>
      </c>
      <c r="AA16" s="108" t="s">
        <v>36</v>
      </c>
      <c r="AB16" s="112" t="s">
        <v>39</v>
      </c>
      <c r="AC16" s="112" t="s">
        <v>39</v>
      </c>
      <c r="AD16" s="112" t="s">
        <v>39</v>
      </c>
      <c r="AE16" s="112" t="s">
        <v>39</v>
      </c>
      <c r="AF16" s="109" t="s">
        <v>45</v>
      </c>
      <c r="AG16" s="91">
        <f t="shared" si="6"/>
        <v>0</v>
      </c>
      <c r="AH16" s="93"/>
      <c r="AI16" s="93"/>
      <c r="AJ16" s="93"/>
      <c r="AK16" s="95" t="s">
        <v>51</v>
      </c>
      <c r="AL16" s="84">
        <f t="shared" si="7"/>
        <v>8</v>
      </c>
      <c r="AM16" s="84">
        <f t="shared" si="8"/>
        <v>8</v>
      </c>
      <c r="AN16" s="84">
        <f t="shared" si="9"/>
        <v>1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80">
        <f t="shared" si="10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>
        <f t="shared" si="5"/>
        <v>120</v>
      </c>
      <c r="BE16" s="29"/>
    </row>
    <row r="17" spans="1:57">
      <c r="A17" s="94">
        <v>45834</v>
      </c>
      <c r="B17" s="88">
        <v>1600</v>
      </c>
      <c r="C17" s="89"/>
      <c r="D17" s="88">
        <f>(SUM(粮草!A17:X17)+AG17*10*IF(AK17="是",$BB$4,$BB$3))</f>
        <v>1528</v>
      </c>
      <c r="E17" s="76">
        <f>SUM($B$4:B17)+SUM($C$4:C17)-SUM($D$4:D17)</f>
        <v>314</v>
      </c>
      <c r="F17" s="88">
        <f>SUM(经验!A17:X17)</f>
        <v>725</v>
      </c>
      <c r="G17" s="88">
        <f>SUM($F$4:F17)+SUM($H$4:H17)</f>
        <v>12415</v>
      </c>
      <c r="H17" s="88">
        <v>0</v>
      </c>
      <c r="I17" s="50" t="s">
        <v>42</v>
      </c>
      <c r="J17" s="50" t="s">
        <v>42</v>
      </c>
      <c r="K17" s="50" t="s">
        <v>42</v>
      </c>
      <c r="L17" s="50" t="s">
        <v>42</v>
      </c>
      <c r="M17" s="50" t="s">
        <v>42</v>
      </c>
      <c r="N17" s="50" t="s">
        <v>42</v>
      </c>
      <c r="O17" s="50" t="s">
        <v>42</v>
      </c>
      <c r="P17" s="109" t="s">
        <v>45</v>
      </c>
      <c r="Q17" s="110" t="s">
        <v>41</v>
      </c>
      <c r="R17" s="110" t="s">
        <v>41</v>
      </c>
      <c r="S17" s="110" t="s">
        <v>41</v>
      </c>
      <c r="T17" s="110" t="s">
        <v>41</v>
      </c>
      <c r="U17" s="52" t="s">
        <v>40</v>
      </c>
      <c r="V17" s="110" t="s">
        <v>41</v>
      </c>
      <c r="W17" s="110" t="s">
        <v>41</v>
      </c>
      <c r="X17" s="109" t="s">
        <v>45</v>
      </c>
      <c r="Y17" s="70" t="s">
        <v>33</v>
      </c>
      <c r="Z17" s="70" t="s">
        <v>33</v>
      </c>
      <c r="AA17" s="70" t="s">
        <v>33</v>
      </c>
      <c r="AB17" s="70" t="s">
        <v>33</v>
      </c>
      <c r="AC17" s="70" t="s">
        <v>33</v>
      </c>
      <c r="AD17" s="70" t="s">
        <v>33</v>
      </c>
      <c r="AE17" s="71" t="s">
        <v>33</v>
      </c>
      <c r="AF17" s="71" t="s">
        <v>33</v>
      </c>
      <c r="AG17" s="91">
        <f t="shared" si="6"/>
        <v>0</v>
      </c>
      <c r="AH17" s="93"/>
      <c r="AI17" s="93"/>
      <c r="AJ17" s="93"/>
      <c r="AK17" s="95" t="s">
        <v>51</v>
      </c>
      <c r="AL17" s="84">
        <f t="shared" si="7"/>
        <v>8</v>
      </c>
      <c r="AM17" s="84">
        <f t="shared" si="8"/>
        <v>8</v>
      </c>
      <c r="AN17" s="84">
        <f t="shared" si="9"/>
        <v>7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5</v>
      </c>
      <c r="AT17" s="20">
        <f t="shared" si="1"/>
        <v>13</v>
      </c>
      <c r="AU17" s="20">
        <f t="shared" si="2"/>
        <v>3</v>
      </c>
      <c r="AV17" s="80">
        <f t="shared" si="10"/>
        <v>21</v>
      </c>
      <c r="AW17">
        <v>34</v>
      </c>
      <c r="AX17">
        <f t="shared" si="3"/>
        <v>150</v>
      </c>
      <c r="AY17">
        <f t="shared" si="4"/>
        <v>390</v>
      </c>
      <c r="AZ17">
        <f t="shared" si="4"/>
        <v>90</v>
      </c>
      <c r="BD17">
        <f t="shared" si="5"/>
        <v>40</v>
      </c>
      <c r="BE17" s="29"/>
    </row>
    <row r="18" spans="1:57">
      <c r="A18" s="87">
        <v>45835</v>
      </c>
      <c r="B18" s="88">
        <v>1600</v>
      </c>
      <c r="C18" s="89"/>
      <c r="D18" s="88">
        <f>(SUM(粮草!A18:X18)+AG18*10*IF(AK18="是",$BB$4,$BB$3))</f>
        <v>920</v>
      </c>
      <c r="E18" s="76">
        <f>SUM($B$4:B18)+SUM($C$4:C18)-SUM($D$4:D18)</f>
        <v>994</v>
      </c>
      <c r="F18" s="88">
        <f>SUM(经验!A18:X18)</f>
        <v>330</v>
      </c>
      <c r="G18" s="88">
        <f>SUM($F$4:F18)+SUM($H$4:H18)</f>
        <v>12745</v>
      </c>
      <c r="H18" s="88">
        <v>0</v>
      </c>
      <c r="I18" s="50" t="s">
        <v>42</v>
      </c>
      <c r="J18" s="50" t="s">
        <v>42</v>
      </c>
      <c r="K18" s="50" t="s">
        <v>42</v>
      </c>
      <c r="L18" s="50" t="s">
        <v>42</v>
      </c>
      <c r="M18" s="50" t="s">
        <v>42</v>
      </c>
      <c r="N18" s="50" t="s">
        <v>42</v>
      </c>
      <c r="O18" s="71" t="s">
        <v>33</v>
      </c>
      <c r="P18" s="71" t="s">
        <v>33</v>
      </c>
      <c r="Q18" s="70" t="s">
        <v>33</v>
      </c>
      <c r="R18" s="70" t="s">
        <v>33</v>
      </c>
      <c r="S18" s="70" t="s">
        <v>33</v>
      </c>
      <c r="T18" s="70" t="s">
        <v>33</v>
      </c>
      <c r="U18" s="70" t="s">
        <v>33</v>
      </c>
      <c r="V18" s="70" t="s">
        <v>33</v>
      </c>
      <c r="W18" s="71" t="s">
        <v>33</v>
      </c>
      <c r="X18" s="71" t="s">
        <v>33</v>
      </c>
      <c r="Y18" s="70" t="s">
        <v>33</v>
      </c>
      <c r="Z18" s="70" t="s">
        <v>33</v>
      </c>
      <c r="AA18" s="70" t="s">
        <v>33</v>
      </c>
      <c r="AB18" s="70" t="s">
        <v>33</v>
      </c>
      <c r="AC18" s="70" t="s">
        <v>33</v>
      </c>
      <c r="AD18" s="70" t="s">
        <v>33</v>
      </c>
      <c r="AE18" s="70" t="s">
        <v>33</v>
      </c>
      <c r="AF18" s="71" t="s">
        <v>33</v>
      </c>
      <c r="AG18" s="91">
        <f t="shared" si="6"/>
        <v>1</v>
      </c>
      <c r="AH18" s="93">
        <v>1</v>
      </c>
      <c r="AI18" s="93"/>
      <c r="AJ18" s="93"/>
      <c r="AK18" s="95" t="s">
        <v>51</v>
      </c>
      <c r="AL18" s="84">
        <f t="shared" si="7"/>
        <v>8</v>
      </c>
      <c r="AM18" s="84">
        <f t="shared" si="8"/>
        <v>14</v>
      </c>
      <c r="AN18" s="84">
        <f t="shared" si="9"/>
        <v>13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5</v>
      </c>
      <c r="AT18" s="20">
        <f t="shared" si="1"/>
        <v>4</v>
      </c>
      <c r="AU18" s="20">
        <f t="shared" si="2"/>
        <v>6</v>
      </c>
      <c r="AV18" s="80">
        <f t="shared" si="10"/>
        <v>15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>
        <f t="shared" si="5"/>
        <v>-120</v>
      </c>
      <c r="BE18" s="29"/>
    </row>
    <row r="19" spans="1:57">
      <c r="A19" s="87">
        <v>45836</v>
      </c>
      <c r="B19" s="88">
        <v>1600</v>
      </c>
      <c r="C19" s="89"/>
      <c r="D19" s="88">
        <f>(SUM(粮草!A19:X19)+AG19*10*IF(AK19="是",$BB$4,$BB$3))</f>
        <v>1872</v>
      </c>
      <c r="E19" s="76">
        <f>SUM($B$4:B19)+SUM($C$4:C19)-SUM($D$4:D19)</f>
        <v>722</v>
      </c>
      <c r="F19" s="88">
        <f>SUM(经验!A19:X19)</f>
        <v>650</v>
      </c>
      <c r="G19" s="88">
        <f>SUM($F$4:F19)+SUM($H$4:H19)</f>
        <v>13395</v>
      </c>
      <c r="H19" s="88">
        <v>0</v>
      </c>
      <c r="I19" s="50" t="s">
        <v>42</v>
      </c>
      <c r="J19" s="50" t="s">
        <v>42</v>
      </c>
      <c r="K19" s="50" t="s">
        <v>42</v>
      </c>
      <c r="L19" s="50" t="s">
        <v>42</v>
      </c>
      <c r="M19" s="50" t="s">
        <v>42</v>
      </c>
      <c r="N19" s="50" t="s">
        <v>42</v>
      </c>
      <c r="O19" s="71" t="s">
        <v>33</v>
      </c>
      <c r="P19" s="71" t="s">
        <v>33</v>
      </c>
      <c r="Q19" s="70" t="s">
        <v>33</v>
      </c>
      <c r="R19" s="70" t="s">
        <v>33</v>
      </c>
      <c r="S19" s="70" t="s">
        <v>33</v>
      </c>
      <c r="T19" s="70" t="s">
        <v>33</v>
      </c>
      <c r="U19" s="70" t="s">
        <v>33</v>
      </c>
      <c r="V19" s="70" t="s">
        <v>33</v>
      </c>
      <c r="W19" s="71" t="s">
        <v>33</v>
      </c>
      <c r="X19" s="71" t="s">
        <v>33</v>
      </c>
      <c r="Y19" s="112" t="s">
        <v>39</v>
      </c>
      <c r="Z19" s="110" t="s">
        <v>41</v>
      </c>
      <c r="AA19" s="112" t="s">
        <v>39</v>
      </c>
      <c r="AB19" s="112" t="s">
        <v>39</v>
      </c>
      <c r="AC19" s="112" t="s">
        <v>39</v>
      </c>
      <c r="AD19" s="112" t="s">
        <v>39</v>
      </c>
      <c r="AE19" s="112" t="s">
        <v>39</v>
      </c>
      <c r="AF19" s="71" t="s">
        <v>33</v>
      </c>
      <c r="AG19" s="91">
        <f>AH19+AI19+AJ19</f>
        <v>0</v>
      </c>
      <c r="AH19" s="93"/>
      <c r="AI19" s="93"/>
      <c r="AJ19" s="93"/>
      <c r="AK19" s="95" t="s">
        <v>51</v>
      </c>
      <c r="AL19" s="84">
        <f t="shared" si="7"/>
        <v>8</v>
      </c>
      <c r="AM19" s="84">
        <f t="shared" si="8"/>
        <v>18</v>
      </c>
      <c r="AN19" s="84">
        <f t="shared" si="9"/>
        <v>11</v>
      </c>
      <c r="AO19" s="38" t="s">
        <v>62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0</v>
      </c>
      <c r="AU19" s="20">
        <f t="shared" si="2"/>
        <v>3</v>
      </c>
      <c r="AV19" s="80">
        <f t="shared" si="10"/>
        <v>3</v>
      </c>
      <c r="AW19">
        <v>3</v>
      </c>
      <c r="AX19">
        <f t="shared" si="3"/>
        <v>0</v>
      </c>
      <c r="AY19">
        <f t="shared" si="4"/>
        <v>0</v>
      </c>
      <c r="AZ19">
        <f t="shared" si="4"/>
        <v>900</v>
      </c>
      <c r="BD19">
        <f t="shared" si="5"/>
        <v>200</v>
      </c>
      <c r="BE19" s="29"/>
    </row>
    <row r="20" spans="1:57">
      <c r="A20" s="87">
        <v>45837</v>
      </c>
      <c r="B20" s="88">
        <v>1600</v>
      </c>
      <c r="C20" s="89"/>
      <c r="D20" s="88">
        <f>(SUM(粮草!A20:X20)+AG20*10*IF(AK20="是",$BB$4,$BB$3))</f>
        <v>1702</v>
      </c>
      <c r="E20" s="76">
        <f>SUM($B$4:B20)+SUM($C$4:C20)-SUM($D$4:D20)</f>
        <v>620</v>
      </c>
      <c r="F20" s="88">
        <f>SUM(经验!A20:X20)</f>
        <v>660</v>
      </c>
      <c r="G20" s="88">
        <f>SUM($F$4:F20)+SUM($H$4:H20)</f>
        <v>14055</v>
      </c>
      <c r="H20" s="88">
        <v>0</v>
      </c>
      <c r="I20" s="50" t="s">
        <v>42</v>
      </c>
      <c r="J20" s="50" t="s">
        <v>42</v>
      </c>
      <c r="K20" s="50" t="s">
        <v>42</v>
      </c>
      <c r="L20" s="50" t="s">
        <v>42</v>
      </c>
      <c r="M20" s="50" t="s">
        <v>42</v>
      </c>
      <c r="N20" s="50" t="s">
        <v>42</v>
      </c>
      <c r="O20" s="71" t="s">
        <v>33</v>
      </c>
      <c r="P20" s="71" t="s">
        <v>33</v>
      </c>
      <c r="Q20" s="70" t="s">
        <v>33</v>
      </c>
      <c r="R20" s="70" t="s">
        <v>33</v>
      </c>
      <c r="S20" s="70" t="s">
        <v>33</v>
      </c>
      <c r="T20" s="70" t="s">
        <v>33</v>
      </c>
      <c r="U20" s="70" t="s">
        <v>33</v>
      </c>
      <c r="V20" s="70" t="s">
        <v>33</v>
      </c>
      <c r="W20" s="71" t="s">
        <v>33</v>
      </c>
      <c r="X20" s="71" t="s">
        <v>33</v>
      </c>
      <c r="Y20" s="112" t="s">
        <v>39</v>
      </c>
      <c r="Z20" s="112" t="s">
        <v>39</v>
      </c>
      <c r="AA20" s="112" t="s">
        <v>39</v>
      </c>
      <c r="AB20" s="112" t="s">
        <v>39</v>
      </c>
      <c r="AC20" s="109" t="s">
        <v>45</v>
      </c>
      <c r="AD20" s="110" t="s">
        <v>41</v>
      </c>
      <c r="AE20" s="110" t="s">
        <v>41</v>
      </c>
      <c r="AF20" s="110" t="s">
        <v>41</v>
      </c>
      <c r="AG20" s="91">
        <f>AH20+AI20+AJ20</f>
        <v>3</v>
      </c>
      <c r="AH20" s="93"/>
      <c r="AI20" s="93"/>
      <c r="AJ20" s="93">
        <v>3</v>
      </c>
      <c r="AK20" s="95" t="s">
        <v>51</v>
      </c>
      <c r="AL20" s="84">
        <f t="shared" si="7"/>
        <v>8</v>
      </c>
      <c r="AM20" s="84">
        <f t="shared" si="8"/>
        <v>18</v>
      </c>
      <c r="AN20" s="84">
        <f t="shared" si="9"/>
        <v>11</v>
      </c>
      <c r="AO20" s="38" t="s">
        <v>64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2</v>
      </c>
      <c r="AU20" s="20">
        <f t="shared" si="2"/>
        <v>3</v>
      </c>
      <c r="AV20" s="80">
        <f t="shared" si="10"/>
        <v>5</v>
      </c>
      <c r="AW20">
        <v>5</v>
      </c>
      <c r="AX20">
        <f t="shared" si="3"/>
        <v>0</v>
      </c>
      <c r="AY20">
        <f t="shared" ref="AY20:AY28" si="11">AT20*$AQ20</f>
        <v>90</v>
      </c>
      <c r="AZ20">
        <f t="shared" ref="AZ20:AZ28" si="12">AU20*$AQ20</f>
        <v>135</v>
      </c>
      <c r="BD20">
        <f t="shared" si="5"/>
        <v>136</v>
      </c>
      <c r="BE20" s="29"/>
    </row>
    <row r="21" spans="1:57">
      <c r="A21" s="87">
        <v>45838</v>
      </c>
      <c r="B21" s="90">
        <v>1600</v>
      </c>
      <c r="C21" s="90"/>
      <c r="D21" s="88">
        <f>(SUM(粮草!A21:X21)+AG21*10*IF(AK21="是",$BB$4,$BB$3))</f>
        <v>1414</v>
      </c>
      <c r="E21" s="76">
        <f>SUM($B$4:B21)+SUM($C$4:C21)-SUM($D$4:D21)</f>
        <v>806</v>
      </c>
      <c r="F21" s="88">
        <f>SUM(经验!A21:X21)</f>
        <v>565</v>
      </c>
      <c r="G21" s="88">
        <f>SUM($F$4:F21)+SUM($H$4:H21)</f>
        <v>14820</v>
      </c>
      <c r="H21" s="90">
        <v>200</v>
      </c>
      <c r="I21" s="50" t="s">
        <v>42</v>
      </c>
      <c r="J21" s="109" t="s">
        <v>45</v>
      </c>
      <c r="K21" s="50" t="s">
        <v>42</v>
      </c>
      <c r="L21" s="50" t="s">
        <v>42</v>
      </c>
      <c r="M21" s="50" t="s">
        <v>42</v>
      </c>
      <c r="N21" s="50" t="s">
        <v>42</v>
      </c>
      <c r="O21" s="71" t="s">
        <v>33</v>
      </c>
      <c r="P21" s="71" t="s">
        <v>33</v>
      </c>
      <c r="Q21" s="70" t="s">
        <v>33</v>
      </c>
      <c r="R21" s="70" t="s">
        <v>33</v>
      </c>
      <c r="S21" s="70" t="s">
        <v>33</v>
      </c>
      <c r="T21" s="70" t="s">
        <v>33</v>
      </c>
      <c r="U21" s="70" t="s">
        <v>33</v>
      </c>
      <c r="V21" s="70" t="s">
        <v>33</v>
      </c>
      <c r="W21" s="71" t="s">
        <v>33</v>
      </c>
      <c r="X21" s="71" t="s">
        <v>33</v>
      </c>
      <c r="Y21" s="110" t="s">
        <v>41</v>
      </c>
      <c r="Z21" s="110" t="s">
        <v>41</v>
      </c>
      <c r="AA21" s="110" t="s">
        <v>41</v>
      </c>
      <c r="AB21" s="110" t="s">
        <v>41</v>
      </c>
      <c r="AC21" s="110" t="s">
        <v>41</v>
      </c>
      <c r="AD21" s="52" t="s">
        <v>40</v>
      </c>
      <c r="AE21" s="71" t="s">
        <v>33</v>
      </c>
      <c r="AF21" s="71" t="s">
        <v>33</v>
      </c>
      <c r="AG21" s="91">
        <f>AH21+AI21+AJ21</f>
        <v>3</v>
      </c>
      <c r="AH21" s="93">
        <v>3</v>
      </c>
      <c r="AI21" s="93"/>
      <c r="AJ21" s="93"/>
      <c r="AK21" s="95" t="s">
        <v>51</v>
      </c>
      <c r="AL21" s="84">
        <f t="shared" si="7"/>
        <v>10</v>
      </c>
      <c r="AM21" s="84">
        <f t="shared" si="8"/>
        <v>18</v>
      </c>
      <c r="AN21" s="84">
        <f t="shared" si="9"/>
        <v>11</v>
      </c>
      <c r="AO21" s="61" t="s">
        <v>65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80">
        <f t="shared" si="10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>
        <f t="shared" si="5"/>
        <v>200</v>
      </c>
      <c r="BE21" s="29"/>
    </row>
    <row r="22" spans="1:57">
      <c r="A22" s="87">
        <v>45839</v>
      </c>
      <c r="B22" s="90">
        <v>1600</v>
      </c>
      <c r="C22" s="90"/>
      <c r="D22" s="88">
        <f>(SUM(粮草!A22:X22)+AG22*10*IF(AK22="是",$BB$4,$BB$3))</f>
        <v>1422</v>
      </c>
      <c r="E22" s="76">
        <f>SUM($B$4:B22)+SUM($C$4:C22)-SUM($D$4:D22)</f>
        <v>984</v>
      </c>
      <c r="F22" s="88">
        <f>SUM(经验!A22:X22)</f>
        <v>580</v>
      </c>
      <c r="G22" s="88">
        <f>SUM($F$4:F22)+SUM($H$4:H22)</f>
        <v>15500</v>
      </c>
      <c r="H22" s="90">
        <v>100</v>
      </c>
      <c r="I22" s="50" t="s">
        <v>42</v>
      </c>
      <c r="J22" s="50" t="s">
        <v>42</v>
      </c>
      <c r="K22" s="50" t="s">
        <v>42</v>
      </c>
      <c r="L22" s="50" t="s">
        <v>42</v>
      </c>
      <c r="M22" s="50" t="s">
        <v>42</v>
      </c>
      <c r="N22" s="50" t="s">
        <v>42</v>
      </c>
      <c r="O22" s="71" t="s">
        <v>33</v>
      </c>
      <c r="P22" s="71" t="s">
        <v>33</v>
      </c>
      <c r="Q22" s="70" t="s">
        <v>33</v>
      </c>
      <c r="R22" s="70" t="s">
        <v>33</v>
      </c>
      <c r="S22" s="70" t="s">
        <v>33</v>
      </c>
      <c r="T22" s="70" t="s">
        <v>33</v>
      </c>
      <c r="U22" s="70" t="s">
        <v>33</v>
      </c>
      <c r="V22" s="70" t="s">
        <v>33</v>
      </c>
      <c r="W22" s="71" t="s">
        <v>33</v>
      </c>
      <c r="X22" s="71" t="s">
        <v>33</v>
      </c>
      <c r="Y22" s="110" t="s">
        <v>41</v>
      </c>
      <c r="Z22" s="110" t="s">
        <v>41</v>
      </c>
      <c r="AA22" s="110" t="s">
        <v>41</v>
      </c>
      <c r="AB22" s="109" t="s">
        <v>45</v>
      </c>
      <c r="AC22" s="110" t="s">
        <v>41</v>
      </c>
      <c r="AD22" s="110" t="s">
        <v>41</v>
      </c>
      <c r="AE22" s="71" t="s">
        <v>33</v>
      </c>
      <c r="AF22" s="71" t="s">
        <v>33</v>
      </c>
      <c r="AG22" s="91">
        <f t="shared" si="6"/>
        <v>0</v>
      </c>
      <c r="AH22" s="93"/>
      <c r="AI22" s="93"/>
      <c r="AJ22" s="93"/>
      <c r="AK22" s="95" t="s">
        <v>51</v>
      </c>
      <c r="AL22" s="84">
        <f t="shared" si="7"/>
        <v>10</v>
      </c>
      <c r="AM22" s="84">
        <f t="shared" si="8"/>
        <v>18</v>
      </c>
      <c r="AN22" s="84">
        <f t="shared" si="9"/>
        <v>13</v>
      </c>
      <c r="AO22" s="58" t="s">
        <v>52</v>
      </c>
      <c r="AP22" s="20">
        <v>250</v>
      </c>
      <c r="AQ22" s="20">
        <v>1000</v>
      </c>
      <c r="AR22" s="20"/>
      <c r="AS22" s="20">
        <f t="shared" si="0"/>
        <v>1</v>
      </c>
      <c r="AT22" s="20">
        <f t="shared" si="1"/>
        <v>0</v>
      </c>
      <c r="AU22" s="20">
        <f t="shared" si="2"/>
        <v>0</v>
      </c>
      <c r="AV22" s="80">
        <f t="shared" si="10"/>
        <v>1</v>
      </c>
      <c r="AW22">
        <v>1</v>
      </c>
      <c r="AX22">
        <f t="shared" si="3"/>
        <v>1000</v>
      </c>
      <c r="AY22">
        <f t="shared" si="11"/>
        <v>0</v>
      </c>
      <c r="AZ22">
        <f t="shared" si="12"/>
        <v>0</v>
      </c>
      <c r="BD22">
        <f t="shared" si="5"/>
        <v>200</v>
      </c>
      <c r="BE22" s="29"/>
    </row>
    <row r="23" spans="1:57">
      <c r="A23" s="87">
        <v>45840</v>
      </c>
      <c r="B23" s="90">
        <v>1600</v>
      </c>
      <c r="C23" s="90"/>
      <c r="D23" s="88">
        <f>(SUM(粮草!A23:X23)+AG23*10*IF(AK23="是",$BB$4,$BB$3))</f>
        <v>1864</v>
      </c>
      <c r="E23" s="76">
        <f>SUM($B$4:B23)+SUM($C$4:C23)-SUM($D$4:D23)</f>
        <v>720</v>
      </c>
      <c r="F23" s="88">
        <f>SUM(经验!A23:X23)</f>
        <v>1100</v>
      </c>
      <c r="G23" s="88">
        <f>SUM($F$4:F23)+SUM($H$4:H23)</f>
        <v>16800</v>
      </c>
      <c r="H23" s="90">
        <v>200</v>
      </c>
      <c r="I23" s="50" t="s">
        <v>42</v>
      </c>
      <c r="J23" s="50" t="s">
        <v>42</v>
      </c>
      <c r="K23" s="50" t="s">
        <v>42</v>
      </c>
      <c r="L23" s="50" t="s">
        <v>42</v>
      </c>
      <c r="M23" s="59" t="s">
        <v>53</v>
      </c>
      <c r="N23" s="111" t="s">
        <v>43</v>
      </c>
      <c r="O23" s="71" t="s">
        <v>33</v>
      </c>
      <c r="P23" s="71" t="s">
        <v>33</v>
      </c>
      <c r="Q23" s="70" t="s">
        <v>33</v>
      </c>
      <c r="R23" s="70" t="s">
        <v>33</v>
      </c>
      <c r="S23" s="70" t="s">
        <v>33</v>
      </c>
      <c r="T23" s="70" t="s">
        <v>33</v>
      </c>
      <c r="U23" s="70" t="s">
        <v>33</v>
      </c>
      <c r="V23" s="70" t="s">
        <v>33</v>
      </c>
      <c r="W23" s="71" t="s">
        <v>33</v>
      </c>
      <c r="X23" s="71" t="s">
        <v>33</v>
      </c>
      <c r="Y23" s="110" t="s">
        <v>41</v>
      </c>
      <c r="Z23" s="110" t="s">
        <v>41</v>
      </c>
      <c r="AA23" s="110" t="s">
        <v>41</v>
      </c>
      <c r="AB23" s="110" t="s">
        <v>41</v>
      </c>
      <c r="AC23" s="111" t="s">
        <v>43</v>
      </c>
      <c r="AD23" s="111" t="s">
        <v>43</v>
      </c>
      <c r="AE23" s="71" t="s">
        <v>33</v>
      </c>
      <c r="AF23" s="71" t="s">
        <v>33</v>
      </c>
      <c r="AG23" s="91">
        <f t="shared" si="6"/>
        <v>0</v>
      </c>
      <c r="AH23" s="93"/>
      <c r="AI23" s="93"/>
      <c r="AJ23" s="93"/>
      <c r="AK23" s="95" t="s">
        <v>51</v>
      </c>
      <c r="AL23" s="84">
        <f t="shared" si="7"/>
        <v>10</v>
      </c>
      <c r="AM23" s="84">
        <f t="shared" si="8"/>
        <v>18</v>
      </c>
      <c r="AN23" s="84">
        <f t="shared" si="9"/>
        <v>12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1</v>
      </c>
      <c r="AT23" s="20">
        <f t="shared" si="1"/>
        <v>0</v>
      </c>
      <c r="AU23" s="20">
        <f t="shared" si="2"/>
        <v>0</v>
      </c>
      <c r="AV23" s="80">
        <f t="shared" si="10"/>
        <v>1</v>
      </c>
      <c r="AW23">
        <v>0</v>
      </c>
      <c r="AX23">
        <f t="shared" si="3"/>
        <v>500</v>
      </c>
      <c r="AY23">
        <f t="shared" si="11"/>
        <v>0</v>
      </c>
      <c r="AZ23">
        <f t="shared" si="12"/>
        <v>0</v>
      </c>
      <c r="BD23">
        <f t="shared" si="5"/>
        <v>200</v>
      </c>
      <c r="BE23" s="29"/>
    </row>
    <row r="24" spans="1:57">
      <c r="A24" s="87">
        <v>45841</v>
      </c>
      <c r="B24" s="90">
        <v>1600</v>
      </c>
      <c r="C24" s="90"/>
      <c r="D24" s="88">
        <f>(SUM(粮草!A24:X24)+AG24*10*IF(AK24="是",$BB$4,$BB$3))</f>
        <v>860</v>
      </c>
      <c r="E24" s="76">
        <f>SUM($B$4:B24)+SUM($C$4:C24)-SUM($D$4:D24)</f>
        <v>1460</v>
      </c>
      <c r="F24" s="88">
        <f>SUM(经验!A24:X24)</f>
        <v>480</v>
      </c>
      <c r="G24" s="88">
        <f>SUM($F$4:F24)+SUM($H$4:H24)</f>
        <v>17280</v>
      </c>
      <c r="H24" s="90">
        <v>0</v>
      </c>
      <c r="I24" s="111" t="s">
        <v>43</v>
      </c>
      <c r="J24" s="111" t="s">
        <v>43</v>
      </c>
      <c r="K24" s="111" t="s">
        <v>43</v>
      </c>
      <c r="L24" s="111" t="s">
        <v>43</v>
      </c>
      <c r="M24" s="109" t="s">
        <v>45</v>
      </c>
      <c r="N24" s="70" t="s">
        <v>33</v>
      </c>
      <c r="O24" s="71" t="s">
        <v>33</v>
      </c>
      <c r="P24" s="71" t="s">
        <v>33</v>
      </c>
      <c r="Q24" s="70" t="s">
        <v>33</v>
      </c>
      <c r="R24" s="70" t="s">
        <v>33</v>
      </c>
      <c r="S24" s="70" t="s">
        <v>33</v>
      </c>
      <c r="T24" s="70" t="s">
        <v>33</v>
      </c>
      <c r="U24" s="70" t="s">
        <v>33</v>
      </c>
      <c r="V24" s="70" t="s">
        <v>33</v>
      </c>
      <c r="W24" s="71" t="s">
        <v>33</v>
      </c>
      <c r="X24" s="71" t="s">
        <v>33</v>
      </c>
      <c r="Y24" s="111" t="s">
        <v>43</v>
      </c>
      <c r="Z24" s="111" t="s">
        <v>43</v>
      </c>
      <c r="AA24" s="111" t="s">
        <v>43</v>
      </c>
      <c r="AB24" s="111" t="s">
        <v>43</v>
      </c>
      <c r="AC24" s="109" t="s">
        <v>45</v>
      </c>
      <c r="AD24" s="70" t="s">
        <v>33</v>
      </c>
      <c r="AE24" s="71" t="s">
        <v>33</v>
      </c>
      <c r="AF24" s="71" t="s">
        <v>33</v>
      </c>
      <c r="AG24" s="91">
        <f t="shared" si="6"/>
        <v>0</v>
      </c>
      <c r="AH24" s="93"/>
      <c r="AI24" s="93"/>
      <c r="AJ24" s="93"/>
      <c r="AK24" s="95" t="s">
        <v>51</v>
      </c>
      <c r="AL24" s="84">
        <f t="shared" si="7"/>
        <v>13</v>
      </c>
      <c r="AM24" s="84">
        <f t="shared" si="8"/>
        <v>18</v>
      </c>
      <c r="AN24" s="84">
        <f t="shared" si="9"/>
        <v>15</v>
      </c>
      <c r="AO24" s="61" t="s">
        <v>66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80">
        <f t="shared" si="10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>
        <f t="shared" si="5"/>
        <v>144</v>
      </c>
      <c r="BE24" s="29"/>
    </row>
    <row r="25" spans="1:57">
      <c r="A25" s="94">
        <v>45842</v>
      </c>
      <c r="B25" s="90">
        <v>1600</v>
      </c>
      <c r="C25" s="90"/>
      <c r="D25" s="88">
        <f>(SUM(粮草!A25:X25)+AG25*10*IF(AK25="是",$BB$4,$BB$3))</f>
        <v>0</v>
      </c>
      <c r="E25" s="76">
        <f>SUM($B$4:B25)+SUM($C$4:C25)-SUM($D$4:D25)</f>
        <v>3060</v>
      </c>
      <c r="F25" s="88">
        <f>SUM(经验!A25:X25)</f>
        <v>0</v>
      </c>
      <c r="G25" s="88">
        <f>SUM($F$4:F25)+SUM($H$4:H25)</f>
        <v>17280</v>
      </c>
      <c r="H25" s="90">
        <v>0</v>
      </c>
      <c r="I25" s="70" t="s">
        <v>33</v>
      </c>
      <c r="J25" s="70" t="s">
        <v>33</v>
      </c>
      <c r="K25" s="70" t="s">
        <v>33</v>
      </c>
      <c r="L25" s="70" t="s">
        <v>33</v>
      </c>
      <c r="M25" s="70" t="s">
        <v>33</v>
      </c>
      <c r="N25" s="70" t="s">
        <v>33</v>
      </c>
      <c r="O25" s="71" t="s">
        <v>33</v>
      </c>
      <c r="P25" s="71" t="s">
        <v>33</v>
      </c>
      <c r="Q25" s="70" t="s">
        <v>33</v>
      </c>
      <c r="R25" s="70" t="s">
        <v>33</v>
      </c>
      <c r="S25" s="70" t="s">
        <v>33</v>
      </c>
      <c r="T25" s="70" t="s">
        <v>33</v>
      </c>
      <c r="U25" s="70" t="s">
        <v>33</v>
      </c>
      <c r="V25" s="70" t="s">
        <v>33</v>
      </c>
      <c r="W25" s="71" t="s">
        <v>33</v>
      </c>
      <c r="X25" s="71" t="s">
        <v>33</v>
      </c>
      <c r="Y25" s="70" t="s">
        <v>33</v>
      </c>
      <c r="Z25" s="70" t="s">
        <v>33</v>
      </c>
      <c r="AA25" s="70" t="s">
        <v>33</v>
      </c>
      <c r="AB25" s="70" t="s">
        <v>33</v>
      </c>
      <c r="AC25" s="70" t="s">
        <v>33</v>
      </c>
      <c r="AD25" s="70" t="s">
        <v>33</v>
      </c>
      <c r="AE25" s="71" t="s">
        <v>33</v>
      </c>
      <c r="AF25" s="71" t="s">
        <v>33</v>
      </c>
      <c r="AG25" s="91">
        <f t="shared" si="6"/>
        <v>0</v>
      </c>
      <c r="AH25" s="93"/>
      <c r="AI25" s="93"/>
      <c r="AJ25" s="93"/>
      <c r="AK25" s="95" t="s">
        <v>51</v>
      </c>
      <c r="AL25" s="84">
        <f t="shared" si="7"/>
        <v>18</v>
      </c>
      <c r="AM25" s="84">
        <f t="shared" si="8"/>
        <v>18</v>
      </c>
      <c r="AN25" s="84">
        <f t="shared" si="9"/>
        <v>18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80">
        <f t="shared" si="10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>
        <f t="shared" si="5"/>
        <v>128</v>
      </c>
      <c r="BE25" s="29"/>
    </row>
    <row r="26" spans="1:57">
      <c r="A26" s="94">
        <v>45843</v>
      </c>
      <c r="B26" s="90">
        <v>1600</v>
      </c>
      <c r="C26" s="90"/>
      <c r="D26" s="88">
        <f>(SUM(粮草!A26:X26)+AG26*10*IF(AK26="是",$BB$4,$BB$3))</f>
        <v>240</v>
      </c>
      <c r="E26" s="76">
        <f>SUM($B$4:B26)+SUM($C$4:C26)-SUM($D$4:D26)</f>
        <v>4420</v>
      </c>
      <c r="F26" s="88">
        <f>SUM(经验!A26:X26)</f>
        <v>80</v>
      </c>
      <c r="G26" s="88">
        <f>SUM($F$4:F26)+SUM($H$4:H26)</f>
        <v>17360</v>
      </c>
      <c r="H26" s="90">
        <v>0</v>
      </c>
      <c r="I26" s="70" t="s">
        <v>33</v>
      </c>
      <c r="J26" s="70" t="s">
        <v>33</v>
      </c>
      <c r="K26" s="70" t="s">
        <v>33</v>
      </c>
      <c r="L26" s="70" t="s">
        <v>33</v>
      </c>
      <c r="M26" s="70" t="s">
        <v>33</v>
      </c>
      <c r="N26" s="70" t="s">
        <v>33</v>
      </c>
      <c r="O26" s="71" t="s">
        <v>33</v>
      </c>
      <c r="P26" s="71" t="s">
        <v>33</v>
      </c>
      <c r="Q26" s="52" t="s">
        <v>40</v>
      </c>
      <c r="R26" s="70" t="s">
        <v>33</v>
      </c>
      <c r="S26" s="70" t="s">
        <v>33</v>
      </c>
      <c r="T26" s="70" t="s">
        <v>33</v>
      </c>
      <c r="U26" s="70" t="s">
        <v>33</v>
      </c>
      <c r="V26" s="70" t="s">
        <v>33</v>
      </c>
      <c r="W26" s="71" t="s">
        <v>33</v>
      </c>
      <c r="X26" s="71" t="s">
        <v>33</v>
      </c>
      <c r="Y26" s="52" t="s">
        <v>40</v>
      </c>
      <c r="Z26" s="70" t="s">
        <v>33</v>
      </c>
      <c r="AA26" s="70" t="s">
        <v>33</v>
      </c>
      <c r="AB26" s="70" t="s">
        <v>33</v>
      </c>
      <c r="AC26" s="70" t="s">
        <v>33</v>
      </c>
      <c r="AD26" s="70" t="s">
        <v>33</v>
      </c>
      <c r="AE26" s="71" t="s">
        <v>33</v>
      </c>
      <c r="AF26" s="71" t="s">
        <v>33</v>
      </c>
      <c r="AG26" s="91">
        <f t="shared" si="6"/>
        <v>0</v>
      </c>
      <c r="AH26" s="93"/>
      <c r="AI26" s="93"/>
      <c r="AJ26" s="93"/>
      <c r="AK26" s="95" t="s">
        <v>51</v>
      </c>
      <c r="AL26" s="84">
        <f t="shared" si="7"/>
        <v>18</v>
      </c>
      <c r="AM26" s="84">
        <f t="shared" si="8"/>
        <v>17</v>
      </c>
      <c r="AN26" s="84">
        <f t="shared" si="9"/>
        <v>17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80">
        <f t="shared" si="10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>
        <f t="shared" si="5"/>
        <v>120</v>
      </c>
      <c r="BE26" s="29"/>
    </row>
    <row r="27" spans="1:57">
      <c r="A27" s="94">
        <v>45844</v>
      </c>
      <c r="B27" s="90">
        <v>1600</v>
      </c>
      <c r="C27" s="90"/>
      <c r="D27" s="88">
        <f>(SUM(粮草!A27:X27)+AG27*10*IF(AK27="是",$BB$4,$BB$3))</f>
        <v>1472</v>
      </c>
      <c r="E27" s="76">
        <f>SUM($B$4:B27)+SUM($C$4:C27)-SUM($D$4:D27)</f>
        <v>4548</v>
      </c>
      <c r="F27" s="88">
        <f>SUM(经验!A27:X27)</f>
        <v>480</v>
      </c>
      <c r="G27" s="88">
        <f>SUM($F$4:F27)+SUM($H$4:H27)</f>
        <v>17840</v>
      </c>
      <c r="H27" s="90">
        <v>0</v>
      </c>
      <c r="I27" s="70" t="s">
        <v>33</v>
      </c>
      <c r="J27" s="47" t="s">
        <v>36</v>
      </c>
      <c r="K27" s="107" t="s">
        <v>38</v>
      </c>
      <c r="L27" s="47" t="s">
        <v>36</v>
      </c>
      <c r="M27" s="47" t="s">
        <v>36</v>
      </c>
      <c r="N27" s="70" t="s">
        <v>33</v>
      </c>
      <c r="O27" s="71" t="s">
        <v>33</v>
      </c>
      <c r="P27" s="71" t="s">
        <v>33</v>
      </c>
      <c r="Q27" s="107" t="s">
        <v>38</v>
      </c>
      <c r="R27" s="47" t="s">
        <v>36</v>
      </c>
      <c r="S27" s="52" t="s">
        <v>40</v>
      </c>
      <c r="T27" s="47" t="s">
        <v>36</v>
      </c>
      <c r="U27" s="107" t="s">
        <v>38</v>
      </c>
      <c r="V27" s="47" t="s">
        <v>36</v>
      </c>
      <c r="W27" s="71" t="s">
        <v>33</v>
      </c>
      <c r="X27" s="107" t="s">
        <v>38</v>
      </c>
      <c r="Y27" s="47" t="s">
        <v>36</v>
      </c>
      <c r="Z27" s="52" t="s">
        <v>40</v>
      </c>
      <c r="AA27" s="70" t="s">
        <v>33</v>
      </c>
      <c r="AB27" s="70" t="s">
        <v>33</v>
      </c>
      <c r="AC27" s="70" t="s">
        <v>33</v>
      </c>
      <c r="AD27" s="70" t="s">
        <v>33</v>
      </c>
      <c r="AE27" s="71" t="s">
        <v>33</v>
      </c>
      <c r="AF27" s="71" t="s">
        <v>33</v>
      </c>
      <c r="AG27" s="91">
        <f t="shared" si="6"/>
        <v>22</v>
      </c>
      <c r="AH27" s="93">
        <v>8</v>
      </c>
      <c r="AI27" s="93">
        <v>6</v>
      </c>
      <c r="AJ27" s="93">
        <v>8</v>
      </c>
      <c r="AK27" s="95" t="s">
        <v>51</v>
      </c>
      <c r="AL27" s="84">
        <f t="shared" si="7"/>
        <v>14</v>
      </c>
      <c r="AM27" s="84">
        <f t="shared" si="8"/>
        <v>11</v>
      </c>
      <c r="AN27" s="84">
        <f t="shared" si="9"/>
        <v>16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80"/>
      <c r="AX27">
        <f>AS27*$AQ27</f>
        <v>0</v>
      </c>
      <c r="AY27">
        <f t="shared" si="11"/>
        <v>0</v>
      </c>
      <c r="AZ27">
        <f t="shared" si="12"/>
        <v>0</v>
      </c>
      <c r="BD27">
        <f>AP27*0.8</f>
        <v>0</v>
      </c>
      <c r="BE27" s="29"/>
    </row>
    <row r="28" spans="1:57">
      <c r="A28" s="94">
        <v>45845</v>
      </c>
      <c r="B28" s="88">
        <v>1600</v>
      </c>
      <c r="C28" s="89">
        <v>40</v>
      </c>
      <c r="D28" s="88">
        <f>(SUM(粮草!A28:X28)+AG28*10*IF(AK28="是",$BB$4,$BB$3))</f>
        <v>808</v>
      </c>
      <c r="E28" s="76">
        <f>SUM($B$4:B28)+SUM($C$4:C28)-SUM($D$4:D28)</f>
        <v>5380</v>
      </c>
      <c r="F28" s="88">
        <f>SUM(经验!A28:X28)</f>
        <v>270</v>
      </c>
      <c r="G28" s="88">
        <f>SUM($F$4:F28)+SUM($H$4:H28)</f>
        <v>18310</v>
      </c>
      <c r="H28" s="88">
        <v>200</v>
      </c>
      <c r="I28" s="52" t="s">
        <v>40</v>
      </c>
      <c r="J28" s="70" t="s">
        <v>33</v>
      </c>
      <c r="K28" s="70" t="s">
        <v>33</v>
      </c>
      <c r="L28" s="70" t="s">
        <v>33</v>
      </c>
      <c r="M28" s="70" t="s">
        <v>33</v>
      </c>
      <c r="N28" s="70" t="s">
        <v>33</v>
      </c>
      <c r="O28" s="71" t="s">
        <v>33</v>
      </c>
      <c r="P28" s="71" t="s">
        <v>33</v>
      </c>
      <c r="Q28" s="52" t="s">
        <v>40</v>
      </c>
      <c r="R28" s="47" t="s">
        <v>36</v>
      </c>
      <c r="S28" s="47" t="s">
        <v>36</v>
      </c>
      <c r="T28" s="107" t="s">
        <v>38</v>
      </c>
      <c r="U28" s="47" t="s">
        <v>36</v>
      </c>
      <c r="V28" s="47" t="s">
        <v>36</v>
      </c>
      <c r="W28" s="71" t="s">
        <v>33</v>
      </c>
      <c r="X28" s="71" t="s">
        <v>33</v>
      </c>
      <c r="Y28" s="70" t="s">
        <v>33</v>
      </c>
      <c r="Z28" s="70" t="s">
        <v>33</v>
      </c>
      <c r="AA28" s="70" t="s">
        <v>33</v>
      </c>
      <c r="AB28" s="70" t="s">
        <v>33</v>
      </c>
      <c r="AC28" s="70" t="s">
        <v>33</v>
      </c>
      <c r="AD28" s="70" t="s">
        <v>33</v>
      </c>
      <c r="AE28" s="71" t="s">
        <v>33</v>
      </c>
      <c r="AF28" s="71" t="s">
        <v>33</v>
      </c>
      <c r="AG28" s="91">
        <f t="shared" si="6"/>
        <v>2</v>
      </c>
      <c r="AH28" s="93"/>
      <c r="AI28" s="93">
        <v>2</v>
      </c>
      <c r="AJ28" s="93"/>
      <c r="AK28" s="95" t="s">
        <v>51</v>
      </c>
      <c r="AL28" s="84">
        <f t="shared" si="7"/>
        <v>17</v>
      </c>
      <c r="AM28" s="84">
        <f t="shared" si="8"/>
        <v>11</v>
      </c>
      <c r="AN28" s="84">
        <f t="shared" si="9"/>
        <v>18</v>
      </c>
      <c r="AO28" s="61" t="s">
        <v>68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80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>
        <f>AP28*0.8</f>
        <v>0</v>
      </c>
      <c r="BE28" s="29"/>
    </row>
    <row r="29" spans="1:57">
      <c r="A29" s="94">
        <v>45846</v>
      </c>
      <c r="B29" s="88">
        <v>1600</v>
      </c>
      <c r="C29" s="89"/>
      <c r="D29" s="88">
        <f>(SUM(粮草!A29:X29)+AG29*10*IF(AK29="是",$BB$4,$BB$3))</f>
        <v>592</v>
      </c>
      <c r="E29" s="76">
        <f>SUM($B$4:B29)+SUM($C$4:C29)-SUM($D$4:D29)</f>
        <v>6388</v>
      </c>
      <c r="F29" s="88">
        <f>SUM(经验!A29:X29)</f>
        <v>710</v>
      </c>
      <c r="G29" s="88">
        <f>SUM($F$4:F29)+SUM($H$4:H29)</f>
        <v>19120</v>
      </c>
      <c r="H29" s="88">
        <v>100</v>
      </c>
      <c r="I29" s="70" t="s">
        <v>33</v>
      </c>
      <c r="J29" s="70" t="s">
        <v>33</v>
      </c>
      <c r="K29" s="70" t="s">
        <v>33</v>
      </c>
      <c r="L29" s="70" t="s">
        <v>33</v>
      </c>
      <c r="M29" s="70" t="s">
        <v>33</v>
      </c>
      <c r="N29" s="70" t="s">
        <v>33</v>
      </c>
      <c r="O29" s="71" t="s">
        <v>33</v>
      </c>
      <c r="P29" s="71" t="s">
        <v>33</v>
      </c>
      <c r="Q29" s="47" t="s">
        <v>36</v>
      </c>
      <c r="R29" s="107" t="s">
        <v>38</v>
      </c>
      <c r="S29" s="47" t="s">
        <v>36</v>
      </c>
      <c r="T29" s="47" t="s">
        <v>36</v>
      </c>
      <c r="U29" s="40" t="s">
        <v>61</v>
      </c>
      <c r="V29" s="47" t="s">
        <v>36</v>
      </c>
      <c r="W29" s="71" t="s">
        <v>33</v>
      </c>
      <c r="X29" s="71" t="s">
        <v>33</v>
      </c>
      <c r="Y29" s="70" t="s">
        <v>33</v>
      </c>
      <c r="Z29" s="70" t="s">
        <v>33</v>
      </c>
      <c r="AA29" s="70" t="s">
        <v>33</v>
      </c>
      <c r="AB29" s="70" t="s">
        <v>33</v>
      </c>
      <c r="AC29" s="70" t="s">
        <v>33</v>
      </c>
      <c r="AD29" s="70" t="s">
        <v>33</v>
      </c>
      <c r="AE29" s="71" t="s">
        <v>33</v>
      </c>
      <c r="AF29" s="71" t="s">
        <v>33</v>
      </c>
      <c r="AG29" s="91">
        <f t="shared" si="6"/>
        <v>0</v>
      </c>
      <c r="AH29" s="93"/>
      <c r="AI29" s="93"/>
      <c r="AJ29" s="93"/>
      <c r="AK29" s="95" t="s">
        <v>51</v>
      </c>
      <c r="AL29" s="84">
        <f t="shared" si="7"/>
        <v>18</v>
      </c>
      <c r="AM29" s="84">
        <f t="shared" si="8"/>
        <v>12</v>
      </c>
      <c r="AN29" s="84">
        <f t="shared" si="9"/>
        <v>18</v>
      </c>
      <c r="AO29" s="40" t="s">
        <v>61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1</v>
      </c>
      <c r="AU29" s="20">
        <f>COUNTIF($Y$4:$AF$93,AO29)</f>
        <v>0</v>
      </c>
      <c r="AV29" s="80">
        <f>AS29+AT29+AU29</f>
        <v>1</v>
      </c>
      <c r="AW29">
        <v>1</v>
      </c>
      <c r="AX29">
        <f>AS29*$AQ29</f>
        <v>0</v>
      </c>
      <c r="AY29">
        <f>AT29*$AQ29</f>
        <v>520</v>
      </c>
      <c r="AZ29">
        <f>AU29*$AQ29</f>
        <v>0</v>
      </c>
      <c r="BD29">
        <f>AP29*0.8</f>
        <v>40</v>
      </c>
      <c r="BE29" s="29"/>
    </row>
    <row r="30" spans="1:57">
      <c r="A30" s="94">
        <v>45847</v>
      </c>
      <c r="B30" s="88">
        <v>1600</v>
      </c>
      <c r="C30" s="89"/>
      <c r="D30" s="88">
        <f>(SUM(粮草!A30:X30)+AG30*10*IF(AK30="是",$BB$4,$BB$3))</f>
        <v>720</v>
      </c>
      <c r="E30" s="76">
        <f>SUM($B$4:B30)+SUM($C$4:C30)-SUM($D$4:D30)</f>
        <v>7268</v>
      </c>
      <c r="F30" s="88">
        <f>SUM(经验!A30:X30)</f>
        <v>260</v>
      </c>
      <c r="G30" s="88">
        <f>SUM($F$4:F30)+SUM($H$4:H30)</f>
        <v>19580</v>
      </c>
      <c r="H30" s="88">
        <v>200</v>
      </c>
      <c r="I30" s="70" t="s">
        <v>33</v>
      </c>
      <c r="J30" s="70" t="s">
        <v>33</v>
      </c>
      <c r="K30" s="70" t="s">
        <v>33</v>
      </c>
      <c r="L30" s="70" t="s">
        <v>33</v>
      </c>
      <c r="M30" s="70" t="s">
        <v>33</v>
      </c>
      <c r="N30" s="70" t="s">
        <v>33</v>
      </c>
      <c r="O30" s="71" t="s">
        <v>33</v>
      </c>
      <c r="P30" s="71" t="s">
        <v>33</v>
      </c>
      <c r="Q30" s="47" t="s">
        <v>36</v>
      </c>
      <c r="R30" s="107" t="s">
        <v>38</v>
      </c>
      <c r="S30" s="47" t="s">
        <v>36</v>
      </c>
      <c r="T30" s="47" t="s">
        <v>36</v>
      </c>
      <c r="U30" s="47" t="s">
        <v>36</v>
      </c>
      <c r="V30" s="47" t="s">
        <v>36</v>
      </c>
      <c r="W30" s="107" t="s">
        <v>38</v>
      </c>
      <c r="X30" s="71" t="s">
        <v>33</v>
      </c>
      <c r="Y30" s="70" t="s">
        <v>33</v>
      </c>
      <c r="Z30" s="70" t="s">
        <v>33</v>
      </c>
      <c r="AA30" s="70" t="s">
        <v>33</v>
      </c>
      <c r="AB30" s="70" t="s">
        <v>33</v>
      </c>
      <c r="AC30" s="70" t="s">
        <v>33</v>
      </c>
      <c r="AD30" s="70" t="s">
        <v>33</v>
      </c>
      <c r="AE30" s="71" t="s">
        <v>33</v>
      </c>
      <c r="AF30" s="71" t="s">
        <v>33</v>
      </c>
      <c r="AG30" s="91">
        <f t="shared" si="6"/>
        <v>0</v>
      </c>
      <c r="AH30" s="93"/>
      <c r="AI30" s="93"/>
      <c r="AJ30" s="93"/>
      <c r="AK30" s="95" t="s">
        <v>51</v>
      </c>
      <c r="AL30" s="84">
        <f t="shared" si="7"/>
        <v>18</v>
      </c>
      <c r="AM30" s="84">
        <f t="shared" si="8"/>
        <v>11</v>
      </c>
      <c r="AN30" s="84">
        <f t="shared" si="9"/>
        <v>18</v>
      </c>
      <c r="AO30" s="20"/>
      <c r="AP30" s="20"/>
      <c r="AQ30" s="20"/>
      <c r="BE30" s="29"/>
    </row>
    <row r="31" spans="1:57">
      <c r="A31" s="94">
        <v>45848</v>
      </c>
      <c r="B31" s="88">
        <v>1600</v>
      </c>
      <c r="C31" s="89"/>
      <c r="D31" s="88">
        <f>(SUM(粮草!A31:X31)+AG31*10*IF(AK31="是",$BB$4,$BB$3))</f>
        <v>0</v>
      </c>
      <c r="E31" s="76">
        <f>SUM($B$4:B31)+SUM($C$4:C31)-SUM($D$4:D31)</f>
        <v>8868</v>
      </c>
      <c r="F31" s="88">
        <f>SUM(经验!A31:X31)</f>
        <v>0</v>
      </c>
      <c r="G31" s="88">
        <f>SUM($F$4:F31)+SUM($H$4:H31)</f>
        <v>19580</v>
      </c>
      <c r="H31" s="88">
        <v>0</v>
      </c>
      <c r="I31" s="70" t="s">
        <v>33</v>
      </c>
      <c r="J31" s="70" t="s">
        <v>33</v>
      </c>
      <c r="K31" s="70" t="s">
        <v>33</v>
      </c>
      <c r="L31" s="70" t="s">
        <v>33</v>
      </c>
      <c r="M31" s="70" t="s">
        <v>33</v>
      </c>
      <c r="N31" s="70" t="s">
        <v>33</v>
      </c>
      <c r="O31" s="71" t="s">
        <v>33</v>
      </c>
      <c r="P31" s="71" t="s">
        <v>33</v>
      </c>
      <c r="Q31" s="70" t="s">
        <v>33</v>
      </c>
      <c r="R31" s="70" t="s">
        <v>33</v>
      </c>
      <c r="S31" s="70" t="s">
        <v>33</v>
      </c>
      <c r="T31" s="70" t="s">
        <v>33</v>
      </c>
      <c r="U31" s="70" t="s">
        <v>33</v>
      </c>
      <c r="V31" s="70" t="s">
        <v>33</v>
      </c>
      <c r="W31" s="71" t="s">
        <v>33</v>
      </c>
      <c r="X31" s="71" t="s">
        <v>33</v>
      </c>
      <c r="Y31" s="70" t="s">
        <v>33</v>
      </c>
      <c r="Z31" s="70" t="s">
        <v>33</v>
      </c>
      <c r="AA31" s="70" t="s">
        <v>33</v>
      </c>
      <c r="AB31" s="70" t="s">
        <v>33</v>
      </c>
      <c r="AC31" s="70" t="s">
        <v>33</v>
      </c>
      <c r="AD31" s="70" t="s">
        <v>33</v>
      </c>
      <c r="AE31" s="71" t="s">
        <v>33</v>
      </c>
      <c r="AF31" s="71" t="s">
        <v>33</v>
      </c>
      <c r="AG31" s="91">
        <f t="shared" si="6"/>
        <v>0</v>
      </c>
      <c r="AH31" s="93"/>
      <c r="AI31" s="93"/>
      <c r="AJ31" s="93"/>
      <c r="AK31" s="95" t="s">
        <v>51</v>
      </c>
      <c r="AL31" s="84">
        <f t="shared" si="7"/>
        <v>18</v>
      </c>
      <c r="AM31" s="84">
        <f t="shared" si="8"/>
        <v>17</v>
      </c>
      <c r="AN31" s="84">
        <f t="shared" si="9"/>
        <v>18</v>
      </c>
      <c r="AO31" s="20"/>
      <c r="AP31" s="20"/>
      <c r="AQ31" s="20"/>
      <c r="BE31" s="29"/>
    </row>
    <row r="32" spans="1:57">
      <c r="A32" s="94">
        <v>45849</v>
      </c>
      <c r="B32" s="88">
        <v>1600</v>
      </c>
      <c r="C32" s="89"/>
      <c r="D32" s="88">
        <f>(SUM(粮草!A32:X32)+AG32*10*IF(AK32="是",$BB$4,$BB$3))</f>
        <v>0</v>
      </c>
      <c r="E32" s="76">
        <f>SUM($B$4:B32)+SUM($C$4:C32)-SUM($D$4:D32)</f>
        <v>10468</v>
      </c>
      <c r="F32" s="88">
        <f>SUM(经验!A32:X32)</f>
        <v>0</v>
      </c>
      <c r="G32" s="88">
        <f>SUM($F$4:F32)+SUM($H$4:H32)</f>
        <v>19580</v>
      </c>
      <c r="H32" s="88">
        <v>0</v>
      </c>
      <c r="I32" s="70" t="s">
        <v>33</v>
      </c>
      <c r="J32" s="70" t="s">
        <v>33</v>
      </c>
      <c r="K32" s="70" t="s">
        <v>33</v>
      </c>
      <c r="L32" s="70" t="s">
        <v>33</v>
      </c>
      <c r="M32" s="70" t="s">
        <v>33</v>
      </c>
      <c r="N32" s="70" t="s">
        <v>33</v>
      </c>
      <c r="O32" s="71" t="s">
        <v>33</v>
      </c>
      <c r="P32" s="71" t="s">
        <v>33</v>
      </c>
      <c r="Q32" s="70" t="s">
        <v>33</v>
      </c>
      <c r="R32" s="70" t="s">
        <v>33</v>
      </c>
      <c r="S32" s="70" t="s">
        <v>33</v>
      </c>
      <c r="T32" s="70" t="s">
        <v>33</v>
      </c>
      <c r="U32" s="70" t="s">
        <v>33</v>
      </c>
      <c r="V32" s="70" t="s">
        <v>33</v>
      </c>
      <c r="W32" s="71" t="s">
        <v>33</v>
      </c>
      <c r="X32" s="71" t="s">
        <v>33</v>
      </c>
      <c r="Y32" s="70" t="s">
        <v>33</v>
      </c>
      <c r="Z32" s="70" t="s">
        <v>33</v>
      </c>
      <c r="AA32" s="70" t="s">
        <v>33</v>
      </c>
      <c r="AB32" s="70" t="s">
        <v>33</v>
      </c>
      <c r="AC32" s="70" t="s">
        <v>33</v>
      </c>
      <c r="AD32" s="70" t="s">
        <v>33</v>
      </c>
      <c r="AE32" s="71" t="s">
        <v>33</v>
      </c>
      <c r="AF32" s="71" t="s">
        <v>33</v>
      </c>
      <c r="AG32" s="91">
        <f t="shared" si="6"/>
        <v>0</v>
      </c>
      <c r="AH32" s="93"/>
      <c r="AI32" s="93"/>
      <c r="AJ32" s="93"/>
      <c r="AK32" s="95" t="s">
        <v>51</v>
      </c>
      <c r="AL32" s="84">
        <f t="shared" si="7"/>
        <v>18</v>
      </c>
      <c r="AM32" s="84">
        <f t="shared" si="8"/>
        <v>18</v>
      </c>
      <c r="AN32" s="84">
        <f t="shared" si="9"/>
        <v>18</v>
      </c>
      <c r="AO32" s="20" t="s">
        <v>72</v>
      </c>
      <c r="AP32" s="20" t="s">
        <v>75</v>
      </c>
      <c r="AQ32" s="20" t="s">
        <v>74</v>
      </c>
      <c r="AR32" t="s">
        <v>22</v>
      </c>
      <c r="AS32" s="77" t="s">
        <v>76</v>
      </c>
      <c r="BE32" s="29"/>
    </row>
    <row r="33" spans="1:57">
      <c r="A33" s="94">
        <v>45850</v>
      </c>
      <c r="B33" s="88">
        <v>1600</v>
      </c>
      <c r="C33" s="89"/>
      <c r="D33" s="88">
        <f>(SUM(粮草!A33:X33)+AG33*10*IF(AK33="是",$BB$4,$BB$3))</f>
        <v>0</v>
      </c>
      <c r="E33" s="76">
        <f>SUM($B$4:B33)+SUM($C$4:C33)-SUM($D$4:D33)</f>
        <v>12068</v>
      </c>
      <c r="F33" s="88">
        <f>SUM(经验!A33:X33)</f>
        <v>0</v>
      </c>
      <c r="G33" s="88">
        <f>SUM($F$4:F33)+SUM($H$4:H33)</f>
        <v>19580</v>
      </c>
      <c r="H33" s="88">
        <v>0</v>
      </c>
      <c r="I33" s="70" t="s">
        <v>33</v>
      </c>
      <c r="J33" s="70" t="s">
        <v>33</v>
      </c>
      <c r="K33" s="70" t="s">
        <v>33</v>
      </c>
      <c r="L33" s="70" t="s">
        <v>33</v>
      </c>
      <c r="M33" s="70" t="s">
        <v>33</v>
      </c>
      <c r="N33" s="70" t="s">
        <v>33</v>
      </c>
      <c r="O33" s="71" t="s">
        <v>33</v>
      </c>
      <c r="P33" s="71" t="s">
        <v>33</v>
      </c>
      <c r="Q33" s="70" t="s">
        <v>33</v>
      </c>
      <c r="R33" s="70" t="s">
        <v>33</v>
      </c>
      <c r="S33" s="70" t="s">
        <v>33</v>
      </c>
      <c r="T33" s="70" t="s">
        <v>33</v>
      </c>
      <c r="U33" s="70" t="s">
        <v>33</v>
      </c>
      <c r="V33" s="70" t="s">
        <v>33</v>
      </c>
      <c r="W33" s="71" t="s">
        <v>33</v>
      </c>
      <c r="X33" s="71" t="s">
        <v>33</v>
      </c>
      <c r="Y33" s="70" t="s">
        <v>33</v>
      </c>
      <c r="Z33" s="70" t="s">
        <v>33</v>
      </c>
      <c r="AA33" s="70" t="s">
        <v>33</v>
      </c>
      <c r="AB33" s="70" t="s">
        <v>33</v>
      </c>
      <c r="AC33" s="70" t="s">
        <v>33</v>
      </c>
      <c r="AD33" s="70" t="s">
        <v>33</v>
      </c>
      <c r="AE33" s="71" t="s">
        <v>33</v>
      </c>
      <c r="AF33" s="71" t="s">
        <v>33</v>
      </c>
      <c r="AG33" s="91">
        <f t="shared" si="6"/>
        <v>0</v>
      </c>
      <c r="AH33" s="93"/>
      <c r="AI33" s="93"/>
      <c r="AJ33" s="93"/>
      <c r="AK33" s="95" t="s">
        <v>51</v>
      </c>
      <c r="AL33" s="84">
        <f t="shared" si="7"/>
        <v>18</v>
      </c>
      <c r="AM33" s="84">
        <f t="shared" si="8"/>
        <v>18</v>
      </c>
      <c r="AN33" s="84">
        <f t="shared" si="9"/>
        <v>18</v>
      </c>
      <c r="AO33" s="48" t="s">
        <v>39</v>
      </c>
      <c r="AP33" s="20">
        <v>211</v>
      </c>
      <c r="AQ33" s="20">
        <f>AP33-AV6</f>
        <v>148</v>
      </c>
      <c r="AR33">
        <f>AQ33*AP6*0.8</f>
        <v>20128</v>
      </c>
      <c r="AS33">
        <f>AQ33*AQ6</f>
        <v>6660</v>
      </c>
      <c r="BE33" s="29"/>
    </row>
    <row r="34" spans="1:57">
      <c r="A34" s="94">
        <v>45851</v>
      </c>
      <c r="B34" s="88">
        <v>1600</v>
      </c>
      <c r="C34" s="89"/>
      <c r="D34" s="88">
        <f>(SUM(粮草!A34:X34)+AG34*10*IF(AK34="是",$BB$4,$BB$3))</f>
        <v>0</v>
      </c>
      <c r="E34" s="76">
        <f>SUM($B$4:B34)+SUM($C$4:C34)-SUM($D$4:D34)</f>
        <v>13668</v>
      </c>
      <c r="F34" s="88">
        <f>SUM(经验!A34:X34)</f>
        <v>0</v>
      </c>
      <c r="G34" s="88">
        <f>SUM($F$4:F34)+SUM($H$4:H34)</f>
        <v>19580</v>
      </c>
      <c r="H34" s="88">
        <v>0</v>
      </c>
      <c r="I34" s="70" t="s">
        <v>33</v>
      </c>
      <c r="J34" s="70" t="s">
        <v>33</v>
      </c>
      <c r="K34" s="70" t="s">
        <v>33</v>
      </c>
      <c r="L34" s="70" t="s">
        <v>33</v>
      </c>
      <c r="M34" s="70" t="s">
        <v>33</v>
      </c>
      <c r="N34" s="70" t="s">
        <v>33</v>
      </c>
      <c r="O34" s="71" t="s">
        <v>33</v>
      </c>
      <c r="P34" s="71" t="s">
        <v>33</v>
      </c>
      <c r="Q34" s="70" t="s">
        <v>33</v>
      </c>
      <c r="R34" s="70" t="s">
        <v>33</v>
      </c>
      <c r="S34" s="70" t="s">
        <v>33</v>
      </c>
      <c r="T34" s="70" t="s">
        <v>33</v>
      </c>
      <c r="U34" s="70" t="s">
        <v>33</v>
      </c>
      <c r="V34" s="70" t="s">
        <v>33</v>
      </c>
      <c r="W34" s="114" t="s">
        <v>33</v>
      </c>
      <c r="X34" s="71" t="s">
        <v>33</v>
      </c>
      <c r="Y34" s="70" t="s">
        <v>33</v>
      </c>
      <c r="Z34" s="70" t="s">
        <v>33</v>
      </c>
      <c r="AA34" s="70" t="s">
        <v>33</v>
      </c>
      <c r="AB34" s="70" t="s">
        <v>33</v>
      </c>
      <c r="AC34" s="70" t="s">
        <v>33</v>
      </c>
      <c r="AD34" s="70" t="s">
        <v>33</v>
      </c>
      <c r="AE34" s="71" t="s">
        <v>33</v>
      </c>
      <c r="AF34" s="71" t="s">
        <v>33</v>
      </c>
      <c r="AG34" s="91">
        <f t="shared" si="6"/>
        <v>0</v>
      </c>
      <c r="AH34" s="93"/>
      <c r="AI34" s="93"/>
      <c r="AJ34" s="93"/>
      <c r="AK34" s="95" t="s">
        <v>51</v>
      </c>
      <c r="AL34" s="84">
        <f t="shared" si="7"/>
        <v>18</v>
      </c>
      <c r="AM34" s="84">
        <f t="shared" si="8"/>
        <v>18</v>
      </c>
      <c r="AN34" s="84">
        <f t="shared" si="9"/>
        <v>18</v>
      </c>
      <c r="AO34" s="49" t="s">
        <v>41</v>
      </c>
      <c r="AP34" s="20">
        <v>274</v>
      </c>
      <c r="AQ34" s="20">
        <f>AP34-AV7</f>
        <v>223</v>
      </c>
      <c r="AR34">
        <f>AQ34*AP7*0.8</f>
        <v>32112</v>
      </c>
      <c r="AS34">
        <f>AQ34*AQ7</f>
        <v>11150</v>
      </c>
      <c r="BE34" s="29"/>
    </row>
    <row r="35" spans="1:57">
      <c r="A35" s="94">
        <v>45852</v>
      </c>
      <c r="B35" s="90">
        <v>1600</v>
      </c>
      <c r="C35" s="90"/>
      <c r="D35" s="88">
        <f>(SUM(粮草!A35:X35)+AG35*10*IF(AK35="是",$BB$4,$BB$3))</f>
        <v>0</v>
      </c>
      <c r="E35" s="76">
        <f>SUM($B$4:B35)+SUM($C$4:C35)-SUM($D$4:D35)</f>
        <v>15268</v>
      </c>
      <c r="F35" s="88">
        <f>SUM(经验!A35:X35)</f>
        <v>0</v>
      </c>
      <c r="G35" s="88">
        <f>SUM($F$4:F35)+SUM($H$4:H35)</f>
        <v>19780</v>
      </c>
      <c r="H35" s="90">
        <v>200</v>
      </c>
      <c r="I35" s="70" t="s">
        <v>33</v>
      </c>
      <c r="J35" s="70" t="s">
        <v>33</v>
      </c>
      <c r="K35" s="70" t="s">
        <v>33</v>
      </c>
      <c r="L35" s="70" t="s">
        <v>33</v>
      </c>
      <c r="M35" s="70" t="s">
        <v>33</v>
      </c>
      <c r="N35" s="70" t="s">
        <v>33</v>
      </c>
      <c r="O35" s="71" t="s">
        <v>33</v>
      </c>
      <c r="P35" s="71" t="s">
        <v>33</v>
      </c>
      <c r="Q35" s="70" t="s">
        <v>33</v>
      </c>
      <c r="R35" s="70" t="s">
        <v>33</v>
      </c>
      <c r="S35" s="70" t="s">
        <v>33</v>
      </c>
      <c r="T35" s="70" t="s">
        <v>33</v>
      </c>
      <c r="U35" s="70" t="s">
        <v>33</v>
      </c>
      <c r="V35" s="70" t="s">
        <v>33</v>
      </c>
      <c r="W35" s="71" t="s">
        <v>33</v>
      </c>
      <c r="X35" s="71" t="s">
        <v>33</v>
      </c>
      <c r="Y35" s="70" t="s">
        <v>33</v>
      </c>
      <c r="Z35" s="70" t="s">
        <v>33</v>
      </c>
      <c r="AA35" s="70" t="s">
        <v>33</v>
      </c>
      <c r="AB35" s="70" t="s">
        <v>33</v>
      </c>
      <c r="AC35" s="70" t="s">
        <v>33</v>
      </c>
      <c r="AD35" s="70" t="s">
        <v>33</v>
      </c>
      <c r="AE35" s="71" t="s">
        <v>33</v>
      </c>
      <c r="AF35" s="71" t="s">
        <v>33</v>
      </c>
      <c r="AG35" s="91">
        <f t="shared" si="6"/>
        <v>0</v>
      </c>
      <c r="AH35" s="93"/>
      <c r="AI35" s="93"/>
      <c r="AJ35" s="93"/>
      <c r="AK35" s="95" t="s">
        <v>51</v>
      </c>
      <c r="AL35" s="84">
        <f t="shared" si="7"/>
        <v>18</v>
      </c>
      <c r="AM35" s="84">
        <f t="shared" si="8"/>
        <v>18</v>
      </c>
      <c r="AN35" s="84">
        <f t="shared" si="9"/>
        <v>18</v>
      </c>
      <c r="AO35" s="50" t="s">
        <v>42</v>
      </c>
      <c r="AP35" s="20">
        <v>234</v>
      </c>
      <c r="AQ35" s="20">
        <f>AP35-AV8</f>
        <v>183</v>
      </c>
      <c r="AR35">
        <f>AQ35*AP8*0.8</f>
        <v>27816</v>
      </c>
      <c r="AS35">
        <f t="shared" ref="AS35:AS42" si="13">AQ35*AQ8</f>
        <v>10065</v>
      </c>
      <c r="BE35" s="29"/>
    </row>
    <row r="36" spans="1:57">
      <c r="A36" s="94">
        <v>45853</v>
      </c>
      <c r="B36" s="90">
        <v>1600</v>
      </c>
      <c r="C36" s="90"/>
      <c r="D36" s="88">
        <f>(SUM(粮草!A36:X36)+AG36*10*IF(AK36="是",$BB$4,$BB$3))</f>
        <v>0</v>
      </c>
      <c r="E36" s="76">
        <f>SUM($B$4:B36)+SUM($C$4:C36)-SUM($D$4:D36)</f>
        <v>16868</v>
      </c>
      <c r="F36" s="88">
        <f>SUM(经验!A36:X36)</f>
        <v>0</v>
      </c>
      <c r="G36" s="88">
        <f>SUM($F$4:F36)+SUM($H$4:H36)</f>
        <v>19880</v>
      </c>
      <c r="H36" s="90">
        <v>100</v>
      </c>
      <c r="I36" s="70" t="s">
        <v>33</v>
      </c>
      <c r="J36" s="70" t="s">
        <v>33</v>
      </c>
      <c r="K36" s="70" t="s">
        <v>33</v>
      </c>
      <c r="L36" s="70" t="s">
        <v>33</v>
      </c>
      <c r="M36" s="70" t="s">
        <v>33</v>
      </c>
      <c r="N36" s="70" t="s">
        <v>33</v>
      </c>
      <c r="O36" s="71" t="s">
        <v>33</v>
      </c>
      <c r="P36" s="71" t="s">
        <v>33</v>
      </c>
      <c r="Q36" s="70" t="s">
        <v>33</v>
      </c>
      <c r="R36" s="70" t="s">
        <v>33</v>
      </c>
      <c r="S36" s="70" t="s">
        <v>33</v>
      </c>
      <c r="T36" s="70" t="s">
        <v>33</v>
      </c>
      <c r="U36" s="70" t="s">
        <v>33</v>
      </c>
      <c r="V36" s="70" t="s">
        <v>33</v>
      </c>
      <c r="W36" s="71" t="s">
        <v>33</v>
      </c>
      <c r="X36" s="71" t="s">
        <v>33</v>
      </c>
      <c r="Y36" s="70" t="s">
        <v>33</v>
      </c>
      <c r="Z36" s="70" t="s">
        <v>33</v>
      </c>
      <c r="AA36" s="70" t="s">
        <v>33</v>
      </c>
      <c r="AB36" s="70" t="s">
        <v>33</v>
      </c>
      <c r="AC36" s="70" t="s">
        <v>33</v>
      </c>
      <c r="AD36" s="70" t="s">
        <v>33</v>
      </c>
      <c r="AE36" s="71" t="s">
        <v>33</v>
      </c>
      <c r="AF36" s="71" t="s">
        <v>33</v>
      </c>
      <c r="AG36" s="91">
        <f t="shared" si="6"/>
        <v>0</v>
      </c>
      <c r="AH36" s="93"/>
      <c r="AI36" s="93"/>
      <c r="AJ36" s="93"/>
      <c r="AK36" s="95" t="s">
        <v>51</v>
      </c>
      <c r="AL36" s="84">
        <f>MIN(AL35+6,18)-COUNTIF(I36:P36,"&lt;&gt;空")+COUNTIF(I36:P36,"历练")+COUNTIF(I36:P36,"营地")*2</f>
        <v>18</v>
      </c>
      <c r="AM36" s="84">
        <f t="shared" si="8"/>
        <v>18</v>
      </c>
      <c r="AN36" s="84">
        <f t="shared" si="9"/>
        <v>18</v>
      </c>
      <c r="AO36" s="51" t="s">
        <v>43</v>
      </c>
      <c r="AP36" s="20">
        <v>193</v>
      </c>
      <c r="AQ36" s="20">
        <f>AP36-AV9</f>
        <v>160</v>
      </c>
      <c r="AR36">
        <f>AQ36*AP9*0.8</f>
        <v>25600</v>
      </c>
      <c r="AS36">
        <f t="shared" si="13"/>
        <v>9600</v>
      </c>
      <c r="BE36" s="29"/>
    </row>
    <row r="37" spans="1:57">
      <c r="A37" s="94">
        <v>45854</v>
      </c>
      <c r="B37" s="90">
        <v>1600</v>
      </c>
      <c r="C37" s="90"/>
      <c r="D37" s="88">
        <f>(SUM(粮草!A37:X37)+AG37*10*IF(AK37="是",$BB$4,$BB$3))</f>
        <v>0</v>
      </c>
      <c r="E37" s="76">
        <f>SUM($B$4:B37)+SUM($C$4:C37)-SUM($D$4:D37)</f>
        <v>18468</v>
      </c>
      <c r="F37" s="88">
        <f>SUM(经验!A37:X37)</f>
        <v>0</v>
      </c>
      <c r="G37" s="88">
        <f>SUM($F$4:F37)+SUM($H$4:H37)</f>
        <v>20080</v>
      </c>
      <c r="H37" s="90">
        <v>200</v>
      </c>
      <c r="I37" s="70" t="s">
        <v>33</v>
      </c>
      <c r="J37" s="70" t="s">
        <v>33</v>
      </c>
      <c r="K37" s="70" t="s">
        <v>33</v>
      </c>
      <c r="L37" s="70" t="s">
        <v>33</v>
      </c>
      <c r="M37" s="70" t="s">
        <v>33</v>
      </c>
      <c r="N37" s="70" t="s">
        <v>33</v>
      </c>
      <c r="O37" s="71" t="s">
        <v>33</v>
      </c>
      <c r="P37" s="71" t="s">
        <v>33</v>
      </c>
      <c r="Q37" s="70" t="s">
        <v>33</v>
      </c>
      <c r="R37" s="70" t="s">
        <v>33</v>
      </c>
      <c r="S37" s="70" t="s">
        <v>33</v>
      </c>
      <c r="T37" s="70" t="s">
        <v>33</v>
      </c>
      <c r="U37" s="70" t="s">
        <v>33</v>
      </c>
      <c r="V37" s="70" t="s">
        <v>33</v>
      </c>
      <c r="W37" s="71" t="s">
        <v>33</v>
      </c>
      <c r="X37" s="71" t="s">
        <v>33</v>
      </c>
      <c r="Y37" s="70" t="s">
        <v>33</v>
      </c>
      <c r="Z37" s="70" t="s">
        <v>33</v>
      </c>
      <c r="AA37" s="70" t="s">
        <v>33</v>
      </c>
      <c r="AB37" s="70" t="s">
        <v>33</v>
      </c>
      <c r="AC37" s="70" t="s">
        <v>33</v>
      </c>
      <c r="AD37" s="70" t="s">
        <v>33</v>
      </c>
      <c r="AE37" s="71" t="s">
        <v>33</v>
      </c>
      <c r="AF37" s="71" t="s">
        <v>33</v>
      </c>
      <c r="AG37" s="91">
        <f t="shared" si="6"/>
        <v>0</v>
      </c>
      <c r="AH37" s="93"/>
      <c r="AI37" s="93"/>
      <c r="AJ37" s="93"/>
      <c r="AK37" s="95" t="s">
        <v>51</v>
      </c>
      <c r="AL37" s="84">
        <f t="shared" ref="AL37:AL68" si="14">MIN(AL36+6,18)-COUNTIF(I37:P37,"&lt;&gt;空")+COUNTIF(I37:P37,"历练")+COUNTIF(I37:P37,"营地")*2</f>
        <v>18</v>
      </c>
      <c r="AM37" s="84">
        <f t="shared" ref="AM37:AM68" si="15">MIN(AM36+6,18)-COUNTIF(Q37:X37,"&lt;&gt;空")+COUNTIF(Q37:X37,"历练")+COUNTIF(Q37:X37,"营地")*2</f>
        <v>18</v>
      </c>
      <c r="AN37" s="84">
        <f t="shared" ref="AN37:AN68" si="16">MIN(AN36+6,18)-COUNTIF(Y37:AF37,"&lt;&gt;空")+COUNTIF(Y37:AF37,"历练")+COUNTIF(Y37:AF37,"营地")*2</f>
        <v>18</v>
      </c>
      <c r="AO37" s="56" t="s">
        <v>38</v>
      </c>
      <c r="AP37" s="20">
        <v>39</v>
      </c>
      <c r="AQ37" s="20">
        <f>AP37-AV17</f>
        <v>18</v>
      </c>
      <c r="AR37">
        <f>AQ37*AP17*0.8</f>
        <v>720</v>
      </c>
      <c r="AS37">
        <f>AQ37*AQ17</f>
        <v>540</v>
      </c>
      <c r="BE37" s="29"/>
    </row>
    <row r="38" spans="1:57">
      <c r="A38" s="94">
        <v>45855</v>
      </c>
      <c r="B38" s="90">
        <v>1600</v>
      </c>
      <c r="C38" s="90"/>
      <c r="D38" s="88">
        <f>(SUM(粮草!A38:X38)+AG38*10*IF(AK38="是",$BB$4,$BB$3))</f>
        <v>0</v>
      </c>
      <c r="E38" s="76">
        <f>SUM($B$4:B38)+SUM($C$4:C38)-SUM($D$4:D38)</f>
        <v>20068</v>
      </c>
      <c r="F38" s="88">
        <f>SUM(经验!A38:X38)</f>
        <v>0</v>
      </c>
      <c r="G38" s="88">
        <f>SUM($F$4:F38)+SUM($H$4:H38)</f>
        <v>20080</v>
      </c>
      <c r="H38" s="90">
        <v>0</v>
      </c>
      <c r="I38" s="70" t="s">
        <v>33</v>
      </c>
      <c r="J38" s="70" t="s">
        <v>33</v>
      </c>
      <c r="K38" s="70" t="s">
        <v>33</v>
      </c>
      <c r="L38" s="70" t="s">
        <v>33</v>
      </c>
      <c r="M38" s="70" t="s">
        <v>33</v>
      </c>
      <c r="N38" s="70" t="s">
        <v>33</v>
      </c>
      <c r="O38" s="71" t="s">
        <v>33</v>
      </c>
      <c r="P38" s="71" t="s">
        <v>33</v>
      </c>
      <c r="Q38" s="70" t="s">
        <v>33</v>
      </c>
      <c r="R38" s="70" t="s">
        <v>33</v>
      </c>
      <c r="S38" s="70" t="s">
        <v>33</v>
      </c>
      <c r="T38" s="70" t="s">
        <v>33</v>
      </c>
      <c r="U38" s="70" t="s">
        <v>33</v>
      </c>
      <c r="V38" s="70" t="s">
        <v>33</v>
      </c>
      <c r="W38" s="71" t="s">
        <v>33</v>
      </c>
      <c r="X38" s="71" t="s">
        <v>33</v>
      </c>
      <c r="Y38" s="70" t="s">
        <v>33</v>
      </c>
      <c r="Z38" s="70" t="s">
        <v>33</v>
      </c>
      <c r="AA38" s="70" t="s">
        <v>33</v>
      </c>
      <c r="AB38" s="70" t="s">
        <v>33</v>
      </c>
      <c r="AC38" s="70" t="s">
        <v>33</v>
      </c>
      <c r="AD38" s="70" t="s">
        <v>33</v>
      </c>
      <c r="AE38" s="71" t="s">
        <v>33</v>
      </c>
      <c r="AF38" s="71" t="s">
        <v>33</v>
      </c>
      <c r="AG38" s="91">
        <f t="shared" si="6"/>
        <v>0</v>
      </c>
      <c r="AH38" s="93"/>
      <c r="AI38" s="93"/>
      <c r="AJ38" s="93"/>
      <c r="AK38" s="95" t="s">
        <v>51</v>
      </c>
      <c r="AL38" s="84">
        <f t="shared" si="14"/>
        <v>18</v>
      </c>
      <c r="AM38" s="84">
        <f t="shared" si="15"/>
        <v>18</v>
      </c>
      <c r="AN38" s="84">
        <f t="shared" si="16"/>
        <v>18</v>
      </c>
      <c r="AO38" s="52" t="s">
        <v>40</v>
      </c>
      <c r="AP38" s="20">
        <v>20</v>
      </c>
      <c r="AQ38" s="20">
        <f>AP38-AV11</f>
        <v>0</v>
      </c>
      <c r="AR38">
        <f>AQ38*AP11*0.8</f>
        <v>0</v>
      </c>
      <c r="AS38">
        <f>AQ38*AQ11</f>
        <v>0</v>
      </c>
      <c r="BE38" s="29"/>
    </row>
    <row r="39" spans="1:57">
      <c r="A39" s="87">
        <v>45856</v>
      </c>
      <c r="B39" s="90">
        <v>1600</v>
      </c>
      <c r="C39" s="90"/>
      <c r="D39" s="88">
        <f>(SUM(粮草!A39:X39)+AG39*10*IF(AK39="是",$BB$4,$BB$3))</f>
        <v>0</v>
      </c>
      <c r="E39" s="76">
        <f>SUM($B$4:B39)+SUM($C$4:C39)-SUM($D$4:D39)</f>
        <v>21668</v>
      </c>
      <c r="F39" s="88">
        <f>SUM(经验!A39:X39)</f>
        <v>0</v>
      </c>
      <c r="G39" s="88">
        <f>SUM($F$4:F39)+SUM($H$4:H39)</f>
        <v>20080</v>
      </c>
      <c r="H39" s="90">
        <v>0</v>
      </c>
      <c r="I39" s="70" t="s">
        <v>33</v>
      </c>
      <c r="J39" s="70" t="s">
        <v>33</v>
      </c>
      <c r="K39" s="70" t="s">
        <v>33</v>
      </c>
      <c r="L39" s="70" t="s">
        <v>33</v>
      </c>
      <c r="M39" s="70" t="s">
        <v>33</v>
      </c>
      <c r="N39" s="70" t="s">
        <v>33</v>
      </c>
      <c r="O39" s="71" t="s">
        <v>33</v>
      </c>
      <c r="P39" s="71" t="s">
        <v>33</v>
      </c>
      <c r="Q39" s="70" t="s">
        <v>33</v>
      </c>
      <c r="R39" s="70" t="s">
        <v>33</v>
      </c>
      <c r="S39" s="70" t="s">
        <v>33</v>
      </c>
      <c r="T39" s="70" t="s">
        <v>33</v>
      </c>
      <c r="U39" s="70" t="s">
        <v>33</v>
      </c>
      <c r="V39" s="70" t="s">
        <v>33</v>
      </c>
      <c r="W39" s="71" t="s">
        <v>33</v>
      </c>
      <c r="X39" s="71" t="s">
        <v>33</v>
      </c>
      <c r="Y39" s="70" t="s">
        <v>33</v>
      </c>
      <c r="Z39" s="70" t="s">
        <v>33</v>
      </c>
      <c r="AA39" s="70" t="s">
        <v>33</v>
      </c>
      <c r="AB39" s="70" t="s">
        <v>33</v>
      </c>
      <c r="AC39" s="70" t="s">
        <v>33</v>
      </c>
      <c r="AD39" s="70" t="s">
        <v>33</v>
      </c>
      <c r="AE39" s="71" t="s">
        <v>33</v>
      </c>
      <c r="AF39" s="71" t="s">
        <v>33</v>
      </c>
      <c r="AG39" s="91">
        <f t="shared" si="6"/>
        <v>0</v>
      </c>
      <c r="AH39" s="93"/>
      <c r="AI39" s="93"/>
      <c r="AJ39" s="93"/>
      <c r="AK39" s="95" t="s">
        <v>51</v>
      </c>
      <c r="AL39" s="84">
        <f t="shared" si="14"/>
        <v>18</v>
      </c>
      <c r="AM39" s="84">
        <f t="shared" si="15"/>
        <v>18</v>
      </c>
      <c r="AN39" s="84">
        <f t="shared" si="16"/>
        <v>18</v>
      </c>
      <c r="AO39" s="53" t="s">
        <v>46</v>
      </c>
      <c r="AP39" s="67">
        <v>6</v>
      </c>
      <c r="AQ39" s="20">
        <f>AP39-AV12</f>
        <v>5</v>
      </c>
      <c r="AR39">
        <f>AQ39*AP12*0.8</f>
        <v>600</v>
      </c>
      <c r="AS39">
        <f t="shared" si="13"/>
        <v>225</v>
      </c>
      <c r="BE39" s="29"/>
    </row>
    <row r="40" spans="1:57">
      <c r="A40" s="87">
        <v>45857</v>
      </c>
      <c r="B40" s="90">
        <v>1600</v>
      </c>
      <c r="C40" s="90"/>
      <c r="D40" s="88">
        <f>(SUM(粮草!A40:X40)+AG40*10*IF(AK40="是",$BB$4,$BB$3))</f>
        <v>0</v>
      </c>
      <c r="E40" s="76">
        <f>SUM($B$4:B40)+SUM($C$4:C40)-SUM($D$4:D40)</f>
        <v>23268</v>
      </c>
      <c r="F40" s="88">
        <f>SUM(经验!A40:X40)</f>
        <v>0</v>
      </c>
      <c r="G40" s="88">
        <f>SUM($F$4:F40)+SUM($H$4:H40)</f>
        <v>20080</v>
      </c>
      <c r="H40" s="90">
        <v>0</v>
      </c>
      <c r="I40" s="70" t="s">
        <v>33</v>
      </c>
      <c r="J40" s="70" t="s">
        <v>33</v>
      </c>
      <c r="K40" s="70" t="s">
        <v>33</v>
      </c>
      <c r="L40" s="70" t="s">
        <v>33</v>
      </c>
      <c r="M40" s="70" t="s">
        <v>33</v>
      </c>
      <c r="N40" s="70" t="s">
        <v>33</v>
      </c>
      <c r="O40" s="71" t="s">
        <v>33</v>
      </c>
      <c r="P40" s="71" t="s">
        <v>33</v>
      </c>
      <c r="Q40" s="70" t="s">
        <v>33</v>
      </c>
      <c r="R40" s="70" t="s">
        <v>33</v>
      </c>
      <c r="S40" s="70" t="s">
        <v>33</v>
      </c>
      <c r="T40" s="70" t="s">
        <v>33</v>
      </c>
      <c r="U40" s="70" t="s">
        <v>33</v>
      </c>
      <c r="V40" s="70" t="s">
        <v>33</v>
      </c>
      <c r="W40" s="71" t="s">
        <v>33</v>
      </c>
      <c r="X40" s="71" t="s">
        <v>33</v>
      </c>
      <c r="Y40" s="70" t="s">
        <v>33</v>
      </c>
      <c r="Z40" s="70" t="s">
        <v>33</v>
      </c>
      <c r="AA40" s="70" t="s">
        <v>33</v>
      </c>
      <c r="AB40" s="70" t="s">
        <v>33</v>
      </c>
      <c r="AC40" s="70" t="s">
        <v>33</v>
      </c>
      <c r="AD40" s="70" t="s">
        <v>33</v>
      </c>
      <c r="AE40" s="71" t="s">
        <v>33</v>
      </c>
      <c r="AF40" s="71" t="s">
        <v>33</v>
      </c>
      <c r="AG40" s="91">
        <f t="shared" si="6"/>
        <v>0</v>
      </c>
      <c r="AH40" s="93"/>
      <c r="AI40" s="93"/>
      <c r="AJ40" s="93"/>
      <c r="AK40" s="95" t="s">
        <v>51</v>
      </c>
      <c r="AL40" s="84">
        <f t="shared" si="14"/>
        <v>18</v>
      </c>
      <c r="AM40" s="84">
        <f t="shared" si="15"/>
        <v>18</v>
      </c>
      <c r="AN40" s="84">
        <f t="shared" si="16"/>
        <v>18</v>
      </c>
      <c r="AO40" s="54" t="s">
        <v>47</v>
      </c>
      <c r="AP40" s="67">
        <v>3</v>
      </c>
      <c r="AQ40" s="20">
        <f>AP40-AV13</f>
        <v>1</v>
      </c>
      <c r="AR40">
        <f>AQ40*AP13*0.8</f>
        <v>120</v>
      </c>
      <c r="AS40">
        <f t="shared" si="13"/>
        <v>50</v>
      </c>
      <c r="BE40" s="29"/>
    </row>
    <row r="41" spans="1:57">
      <c r="A41" s="87">
        <v>45858</v>
      </c>
      <c r="B41" s="90">
        <v>1600</v>
      </c>
      <c r="C41" s="90"/>
      <c r="D41" s="88">
        <f>(SUM(粮草!A41:X41)+AG41*10*IF(AK41="是",$BB$4,$BB$3))</f>
        <v>0</v>
      </c>
      <c r="E41" s="76">
        <f>SUM($B$4:B41)+SUM($C$4:C41)-SUM($D$4:D41)</f>
        <v>24868</v>
      </c>
      <c r="F41" s="88">
        <f>SUM(经验!A41:X41)</f>
        <v>0</v>
      </c>
      <c r="G41" s="88">
        <f>SUM($F$4:F41)+SUM($H$4:H41)</f>
        <v>20080</v>
      </c>
      <c r="H41" s="90">
        <v>0</v>
      </c>
      <c r="I41" s="70" t="s">
        <v>33</v>
      </c>
      <c r="J41" s="70" t="s">
        <v>33</v>
      </c>
      <c r="K41" s="70" t="s">
        <v>33</v>
      </c>
      <c r="L41" s="70" t="s">
        <v>33</v>
      </c>
      <c r="M41" s="70" t="s">
        <v>33</v>
      </c>
      <c r="N41" s="70" t="s">
        <v>33</v>
      </c>
      <c r="O41" s="71" t="s">
        <v>33</v>
      </c>
      <c r="P41" s="71" t="s">
        <v>33</v>
      </c>
      <c r="Q41" s="70" t="s">
        <v>33</v>
      </c>
      <c r="R41" s="70" t="s">
        <v>33</v>
      </c>
      <c r="S41" s="70" t="s">
        <v>33</v>
      </c>
      <c r="T41" s="70" t="s">
        <v>33</v>
      </c>
      <c r="U41" s="70" t="s">
        <v>33</v>
      </c>
      <c r="V41" s="70" t="s">
        <v>33</v>
      </c>
      <c r="W41" s="71" t="s">
        <v>33</v>
      </c>
      <c r="X41" s="71" t="s">
        <v>33</v>
      </c>
      <c r="Y41" s="70" t="s">
        <v>33</v>
      </c>
      <c r="Z41" s="70" t="s">
        <v>33</v>
      </c>
      <c r="AA41" s="70" t="s">
        <v>33</v>
      </c>
      <c r="AB41" s="70" t="s">
        <v>33</v>
      </c>
      <c r="AC41" s="70" t="s">
        <v>33</v>
      </c>
      <c r="AD41" s="70" t="s">
        <v>33</v>
      </c>
      <c r="AE41" s="71" t="s">
        <v>33</v>
      </c>
      <c r="AF41" s="71" t="s">
        <v>33</v>
      </c>
      <c r="AG41" s="91">
        <f t="shared" si="6"/>
        <v>0</v>
      </c>
      <c r="AH41" s="93"/>
      <c r="AI41" s="93"/>
      <c r="AJ41" s="93"/>
      <c r="AK41" s="95" t="s">
        <v>51</v>
      </c>
      <c r="AL41" s="84">
        <f t="shared" si="14"/>
        <v>18</v>
      </c>
      <c r="AM41" s="84">
        <f t="shared" si="15"/>
        <v>18</v>
      </c>
      <c r="AN41" s="84">
        <f t="shared" si="16"/>
        <v>18</v>
      </c>
      <c r="AO41" s="65" t="s">
        <v>48</v>
      </c>
      <c r="AP41" s="67">
        <v>3</v>
      </c>
      <c r="AQ41" s="20">
        <f>AP41-AV14</f>
        <v>3</v>
      </c>
      <c r="AR41">
        <f>AQ41*AP14*0.8</f>
        <v>360</v>
      </c>
      <c r="AS41">
        <f t="shared" si="13"/>
        <v>165</v>
      </c>
      <c r="BE41" s="29"/>
    </row>
    <row r="42" spans="1:57">
      <c r="A42" s="87">
        <v>45859</v>
      </c>
      <c r="B42" s="88">
        <v>1600</v>
      </c>
      <c r="C42" s="89"/>
      <c r="D42" s="88">
        <f>(SUM(粮草!A42:X42)+AG42*10*IF(AK42="是",$BB$4,$BB$3))</f>
        <v>0</v>
      </c>
      <c r="E42" s="76">
        <f>SUM($B$4:B42)+SUM($C$4:C42)-SUM($D$4:D42)</f>
        <v>26468</v>
      </c>
      <c r="F42" s="88">
        <f>SUM(经验!A42:X42)</f>
        <v>0</v>
      </c>
      <c r="G42" s="88">
        <f>SUM($F$4:F42)+SUM($H$4:H42)</f>
        <v>20380</v>
      </c>
      <c r="H42" s="88">
        <v>300</v>
      </c>
      <c r="I42" s="70" t="s">
        <v>33</v>
      </c>
      <c r="J42" s="70" t="s">
        <v>33</v>
      </c>
      <c r="K42" s="70" t="s">
        <v>33</v>
      </c>
      <c r="L42" s="70" t="s">
        <v>33</v>
      </c>
      <c r="M42" s="70" t="s">
        <v>33</v>
      </c>
      <c r="N42" s="70" t="s">
        <v>33</v>
      </c>
      <c r="O42" s="71" t="s">
        <v>33</v>
      </c>
      <c r="P42" s="71" t="s">
        <v>33</v>
      </c>
      <c r="Q42" s="70" t="s">
        <v>33</v>
      </c>
      <c r="R42" s="70" t="s">
        <v>33</v>
      </c>
      <c r="S42" s="70" t="s">
        <v>33</v>
      </c>
      <c r="T42" s="70" t="s">
        <v>33</v>
      </c>
      <c r="U42" s="70" t="s">
        <v>33</v>
      </c>
      <c r="V42" s="70" t="s">
        <v>33</v>
      </c>
      <c r="W42" s="71" t="s">
        <v>33</v>
      </c>
      <c r="X42" s="71" t="s">
        <v>33</v>
      </c>
      <c r="Y42" s="70" t="s">
        <v>33</v>
      </c>
      <c r="Z42" s="70" t="s">
        <v>33</v>
      </c>
      <c r="AA42" s="70" t="s">
        <v>33</v>
      </c>
      <c r="AB42" s="70" t="s">
        <v>33</v>
      </c>
      <c r="AC42" s="70" t="s">
        <v>33</v>
      </c>
      <c r="AD42" s="70" t="s">
        <v>33</v>
      </c>
      <c r="AE42" s="71" t="s">
        <v>33</v>
      </c>
      <c r="AF42" s="71" t="s">
        <v>33</v>
      </c>
      <c r="AG42" s="91">
        <f t="shared" si="6"/>
        <v>0</v>
      </c>
      <c r="AH42" s="93"/>
      <c r="AI42" s="93"/>
      <c r="AJ42" s="93"/>
      <c r="AK42" s="95" t="s">
        <v>51</v>
      </c>
      <c r="AL42" s="84">
        <f t="shared" si="14"/>
        <v>18</v>
      </c>
      <c r="AM42" s="84">
        <f t="shared" si="15"/>
        <v>18</v>
      </c>
      <c r="AN42" s="84">
        <f t="shared" si="16"/>
        <v>18</v>
      </c>
      <c r="AO42" s="66" t="s">
        <v>49</v>
      </c>
      <c r="AP42" s="67">
        <v>1</v>
      </c>
      <c r="AQ42" s="20">
        <f>AP42-AV15</f>
        <v>1</v>
      </c>
      <c r="AR42">
        <f>AQ42*AP15*0.8</f>
        <v>120</v>
      </c>
      <c r="AS42">
        <f t="shared" si="13"/>
        <v>60</v>
      </c>
      <c r="BE42" s="29"/>
    </row>
    <row r="43" spans="1:57">
      <c r="A43" s="87">
        <v>45860</v>
      </c>
      <c r="B43" s="88">
        <v>1600</v>
      </c>
      <c r="C43" s="89"/>
      <c r="D43" s="88">
        <f>(SUM(粮草!A43:X43)+AG43*10*IF(AK43="是",$BB$4,$BB$3))</f>
        <v>0</v>
      </c>
      <c r="E43" s="76">
        <f>SUM($B$4:B43)+SUM($C$4:C43)-SUM($D$4:D43)</f>
        <v>28068</v>
      </c>
      <c r="F43" s="88">
        <f>SUM(经验!A43:X43)</f>
        <v>0</v>
      </c>
      <c r="G43" s="88">
        <f>SUM($F$4:F43)+SUM($H$4:H43)</f>
        <v>20380</v>
      </c>
      <c r="H43" s="88">
        <v>0</v>
      </c>
      <c r="I43" s="70" t="s">
        <v>33</v>
      </c>
      <c r="J43" s="70" t="s">
        <v>33</v>
      </c>
      <c r="K43" s="70" t="s">
        <v>33</v>
      </c>
      <c r="L43" s="70" t="s">
        <v>33</v>
      </c>
      <c r="M43" s="70" t="s">
        <v>33</v>
      </c>
      <c r="N43" s="70" t="s">
        <v>33</v>
      </c>
      <c r="O43" s="71" t="s">
        <v>33</v>
      </c>
      <c r="P43" s="71" t="s">
        <v>33</v>
      </c>
      <c r="Q43" s="70" t="s">
        <v>33</v>
      </c>
      <c r="R43" s="70" t="s">
        <v>33</v>
      </c>
      <c r="S43" s="70" t="s">
        <v>33</v>
      </c>
      <c r="T43" s="70" t="s">
        <v>33</v>
      </c>
      <c r="U43" s="70" t="s">
        <v>33</v>
      </c>
      <c r="V43" s="70" t="s">
        <v>33</v>
      </c>
      <c r="W43" s="71" t="s">
        <v>33</v>
      </c>
      <c r="X43" s="71" t="s">
        <v>33</v>
      </c>
      <c r="Y43" s="70" t="s">
        <v>33</v>
      </c>
      <c r="Z43" s="70" t="s">
        <v>33</v>
      </c>
      <c r="AA43" s="70" t="s">
        <v>33</v>
      </c>
      <c r="AB43" s="70" t="s">
        <v>33</v>
      </c>
      <c r="AC43" s="70" t="s">
        <v>33</v>
      </c>
      <c r="AD43" s="70" t="s">
        <v>33</v>
      </c>
      <c r="AE43" s="71" t="s">
        <v>33</v>
      </c>
      <c r="AF43" s="71" t="s">
        <v>33</v>
      </c>
      <c r="AG43" s="91">
        <f t="shared" si="6"/>
        <v>0</v>
      </c>
      <c r="AH43" s="93"/>
      <c r="AI43" s="93"/>
      <c r="AJ43" s="93"/>
      <c r="AK43" s="95" t="s">
        <v>51</v>
      </c>
      <c r="AL43" s="84">
        <f t="shared" si="14"/>
        <v>18</v>
      </c>
      <c r="AM43" s="84">
        <f t="shared" si="15"/>
        <v>18</v>
      </c>
      <c r="AN43" s="84">
        <f t="shared" si="16"/>
        <v>18</v>
      </c>
      <c r="AO43" s="59" t="s">
        <v>53</v>
      </c>
      <c r="AP43" s="67">
        <v>2</v>
      </c>
      <c r="AQ43" s="67">
        <f>AP43-AV23</f>
        <v>1</v>
      </c>
      <c r="AR43">
        <f>AQ43*AP23*0.8</f>
        <v>200</v>
      </c>
      <c r="AS43">
        <f>AQ43*AQ23</f>
        <v>500</v>
      </c>
      <c r="BE43" s="29"/>
    </row>
    <row r="44" spans="1:57">
      <c r="A44" s="87">
        <v>45861</v>
      </c>
      <c r="B44" s="88">
        <v>1600</v>
      </c>
      <c r="C44" s="89"/>
      <c r="D44" s="88">
        <f>(SUM(粮草!A44:X44)+AG44*10*IF(AK44="是",$BB$4,$BB$3))</f>
        <v>0</v>
      </c>
      <c r="E44" s="76">
        <f>SUM($B$4:B44)+SUM($C$4:C44)-SUM($D$4:D44)</f>
        <v>29668</v>
      </c>
      <c r="F44" s="88">
        <f>SUM(经验!A44:X44)</f>
        <v>0</v>
      </c>
      <c r="G44" s="88">
        <f>SUM($F$4:F44)+SUM($H$4:H44)</f>
        <v>20580</v>
      </c>
      <c r="H44" s="88">
        <v>200</v>
      </c>
      <c r="I44" s="70" t="s">
        <v>33</v>
      </c>
      <c r="J44" s="70" t="s">
        <v>33</v>
      </c>
      <c r="K44" s="70" t="s">
        <v>33</v>
      </c>
      <c r="L44" s="70" t="s">
        <v>33</v>
      </c>
      <c r="M44" s="70" t="s">
        <v>33</v>
      </c>
      <c r="N44" s="70" t="s">
        <v>33</v>
      </c>
      <c r="O44" s="71" t="s">
        <v>33</v>
      </c>
      <c r="P44" s="71" t="s">
        <v>33</v>
      </c>
      <c r="Q44" s="70" t="s">
        <v>33</v>
      </c>
      <c r="R44" s="70" t="s">
        <v>33</v>
      </c>
      <c r="S44" s="70" t="s">
        <v>33</v>
      </c>
      <c r="T44" s="70" t="s">
        <v>33</v>
      </c>
      <c r="U44" s="70" t="s">
        <v>33</v>
      </c>
      <c r="V44" s="70" t="s">
        <v>33</v>
      </c>
      <c r="W44" s="71" t="s">
        <v>33</v>
      </c>
      <c r="X44" s="71" t="s">
        <v>33</v>
      </c>
      <c r="Y44" s="70" t="s">
        <v>33</v>
      </c>
      <c r="Z44" s="70" t="s">
        <v>33</v>
      </c>
      <c r="AA44" s="70" t="s">
        <v>33</v>
      </c>
      <c r="AB44" s="70" t="s">
        <v>33</v>
      </c>
      <c r="AC44" s="70" t="s">
        <v>33</v>
      </c>
      <c r="AD44" s="70" t="s">
        <v>33</v>
      </c>
      <c r="AE44" s="71" t="s">
        <v>33</v>
      </c>
      <c r="AF44" s="71" t="s">
        <v>33</v>
      </c>
      <c r="AG44" s="91">
        <f t="shared" si="6"/>
        <v>0</v>
      </c>
      <c r="AH44" s="93"/>
      <c r="AI44" s="93"/>
      <c r="AJ44" s="93"/>
      <c r="AK44" s="95" t="s">
        <v>51</v>
      </c>
      <c r="AL44" s="84">
        <f t="shared" si="14"/>
        <v>18</v>
      </c>
      <c r="AM44" s="84">
        <f t="shared" si="15"/>
        <v>18</v>
      </c>
      <c r="AN44" s="84">
        <f t="shared" si="16"/>
        <v>18</v>
      </c>
      <c r="AO44" s="40" t="s">
        <v>61</v>
      </c>
      <c r="AP44" s="67">
        <v>3</v>
      </c>
      <c r="AQ44">
        <f>AP44-AV29</f>
        <v>2</v>
      </c>
      <c r="AR44">
        <f>AQ44*AP29*0.8</f>
        <v>80</v>
      </c>
      <c r="AS44">
        <f>AQ44*AQ29</f>
        <v>1040</v>
      </c>
      <c r="BE44" s="29"/>
    </row>
    <row r="45" spans="1:57">
      <c r="A45" s="87">
        <v>45862</v>
      </c>
      <c r="B45" s="88">
        <v>1600</v>
      </c>
      <c r="C45" s="89"/>
      <c r="D45" s="88">
        <f>(SUM(粮草!A45:X45)+AG45*10*IF(AK45="是",$BB$4,$BB$3))</f>
        <v>0</v>
      </c>
      <c r="E45" s="76">
        <f>SUM($B$4:B45)+SUM($C$4:C45)-SUM($D$4:D45)</f>
        <v>31268</v>
      </c>
      <c r="F45" s="88">
        <f>SUM(经验!A45:X45)</f>
        <v>0</v>
      </c>
      <c r="G45" s="88">
        <f>SUM($F$4:F45)+SUM($H$4:H45)</f>
        <v>20580</v>
      </c>
      <c r="H45" s="88">
        <v>0</v>
      </c>
      <c r="I45" s="70" t="s">
        <v>33</v>
      </c>
      <c r="J45" s="70" t="s">
        <v>33</v>
      </c>
      <c r="K45" s="70" t="s">
        <v>33</v>
      </c>
      <c r="L45" s="70" t="s">
        <v>33</v>
      </c>
      <c r="M45" s="70" t="s">
        <v>33</v>
      </c>
      <c r="N45" s="70" t="s">
        <v>33</v>
      </c>
      <c r="O45" s="71" t="s">
        <v>33</v>
      </c>
      <c r="P45" s="71" t="s">
        <v>33</v>
      </c>
      <c r="Q45" s="70" t="s">
        <v>33</v>
      </c>
      <c r="R45" s="70" t="s">
        <v>33</v>
      </c>
      <c r="S45" s="70" t="s">
        <v>33</v>
      </c>
      <c r="T45" s="70" t="s">
        <v>33</v>
      </c>
      <c r="U45" s="70" t="s">
        <v>33</v>
      </c>
      <c r="V45" s="70" t="s">
        <v>33</v>
      </c>
      <c r="W45" s="71" t="s">
        <v>33</v>
      </c>
      <c r="X45" s="71" t="s">
        <v>33</v>
      </c>
      <c r="Y45" s="70" t="s">
        <v>33</v>
      </c>
      <c r="Z45" s="70" t="s">
        <v>33</v>
      </c>
      <c r="AA45" s="70" t="s">
        <v>33</v>
      </c>
      <c r="AB45" s="70" t="s">
        <v>33</v>
      </c>
      <c r="AC45" s="70" t="s">
        <v>33</v>
      </c>
      <c r="AD45" s="70" t="s">
        <v>33</v>
      </c>
      <c r="AE45" s="71" t="s">
        <v>33</v>
      </c>
      <c r="AF45" s="71" t="s">
        <v>33</v>
      </c>
      <c r="AG45" s="91">
        <f t="shared" si="6"/>
        <v>0</v>
      </c>
      <c r="AH45" s="93"/>
      <c r="AI45" s="93"/>
      <c r="AJ45" s="93"/>
      <c r="AK45" s="95" t="s">
        <v>51</v>
      </c>
      <c r="AL45" s="84">
        <f t="shared" si="14"/>
        <v>18</v>
      </c>
      <c r="AM45" s="84">
        <f t="shared" si="15"/>
        <v>18</v>
      </c>
      <c r="AN45" s="84">
        <f t="shared" si="16"/>
        <v>18</v>
      </c>
      <c r="AO45" s="58" t="s">
        <v>52</v>
      </c>
      <c r="AP45" s="67">
        <v>2</v>
      </c>
      <c r="AQ45">
        <f>AP45-AV22</f>
        <v>1</v>
      </c>
      <c r="AR45">
        <f>AQ45*AP22*0.8</f>
        <v>200</v>
      </c>
      <c r="AS45">
        <f>AQ45*AQ22</f>
        <v>1000</v>
      </c>
      <c r="BE45" s="29"/>
    </row>
    <row r="46" spans="1:57">
      <c r="A46" s="87">
        <v>45863</v>
      </c>
      <c r="B46" s="88">
        <v>1600</v>
      </c>
      <c r="C46" s="89"/>
      <c r="D46" s="88">
        <f>(SUM(粮草!A46:X46)+AG46*10*IF(AK46="是",$BB$4,$BB$3))</f>
        <v>0</v>
      </c>
      <c r="E46" s="76">
        <f>SUM($B$4:B46)+SUM($C$4:C46)-SUM($D$4:D46)</f>
        <v>32868</v>
      </c>
      <c r="F46" s="88">
        <f>SUM(经验!A46:X46)</f>
        <v>0</v>
      </c>
      <c r="G46" s="88">
        <f>SUM($F$4:F46)+SUM($H$4:H46)</f>
        <v>20580</v>
      </c>
      <c r="H46" s="88">
        <v>0</v>
      </c>
      <c r="I46" s="70" t="s">
        <v>33</v>
      </c>
      <c r="J46" s="70" t="s">
        <v>33</v>
      </c>
      <c r="K46" s="70" t="s">
        <v>33</v>
      </c>
      <c r="L46" s="70" t="s">
        <v>33</v>
      </c>
      <c r="M46" s="70" t="s">
        <v>33</v>
      </c>
      <c r="N46" s="70" t="s">
        <v>33</v>
      </c>
      <c r="O46" s="71" t="s">
        <v>33</v>
      </c>
      <c r="P46" s="71" t="s">
        <v>33</v>
      </c>
      <c r="Q46" s="70" t="s">
        <v>33</v>
      </c>
      <c r="R46" s="70" t="s">
        <v>33</v>
      </c>
      <c r="S46" s="70" t="s">
        <v>33</v>
      </c>
      <c r="T46" s="70" t="s">
        <v>33</v>
      </c>
      <c r="U46" s="70" t="s">
        <v>33</v>
      </c>
      <c r="V46" s="70" t="s">
        <v>33</v>
      </c>
      <c r="W46" s="71" t="s">
        <v>33</v>
      </c>
      <c r="X46" s="71" t="s">
        <v>33</v>
      </c>
      <c r="Y46" s="70" t="s">
        <v>33</v>
      </c>
      <c r="Z46" s="70" t="s">
        <v>33</v>
      </c>
      <c r="AA46" s="70" t="s">
        <v>33</v>
      </c>
      <c r="AB46" s="70" t="s">
        <v>33</v>
      </c>
      <c r="AC46" s="70" t="s">
        <v>33</v>
      </c>
      <c r="AD46" s="70" t="s">
        <v>33</v>
      </c>
      <c r="AE46" s="71" t="s">
        <v>33</v>
      </c>
      <c r="AF46" s="71" t="s">
        <v>33</v>
      </c>
      <c r="AG46" s="91">
        <f t="shared" si="6"/>
        <v>0</v>
      </c>
      <c r="AH46" s="93"/>
      <c r="AI46" s="93"/>
      <c r="AJ46" s="93"/>
      <c r="AK46" s="95" t="s">
        <v>51</v>
      </c>
      <c r="AL46" s="84">
        <f t="shared" si="14"/>
        <v>18</v>
      </c>
      <c r="AM46" s="84">
        <f t="shared" si="15"/>
        <v>18</v>
      </c>
      <c r="AN46" s="84">
        <f t="shared" si="16"/>
        <v>18</v>
      </c>
      <c r="AO46" t="s">
        <v>73</v>
      </c>
      <c r="AQ46">
        <f>SUM(AQ33:AQ43)</f>
        <v>743</v>
      </c>
      <c r="AR46">
        <f>SUM(AR33:AR45)</f>
        <v>108056</v>
      </c>
      <c r="AS46">
        <f>SUM(AS33:AS45)</f>
        <v>41055</v>
      </c>
      <c r="BE46" s="29"/>
    </row>
    <row r="47" spans="1:57">
      <c r="A47" s="87">
        <v>45864</v>
      </c>
      <c r="B47" s="88">
        <v>1600</v>
      </c>
      <c r="C47" s="89"/>
      <c r="D47" s="88">
        <f>(SUM(粮草!A47:X47)+AG47*10*IF(AK47="是",$BB$4,$BB$3))</f>
        <v>0</v>
      </c>
      <c r="E47" s="76">
        <f>SUM($B$4:B47)+SUM($C$4:C47)-SUM($D$4:D47)</f>
        <v>34468</v>
      </c>
      <c r="F47" s="88">
        <f>SUM(经验!A47:X47)</f>
        <v>0</v>
      </c>
      <c r="G47" s="88">
        <f>SUM($F$4:F47)+SUM($H$4:H47)</f>
        <v>20580</v>
      </c>
      <c r="H47" s="88">
        <v>0</v>
      </c>
      <c r="I47" s="70" t="s">
        <v>33</v>
      </c>
      <c r="J47" s="70" t="s">
        <v>33</v>
      </c>
      <c r="K47" s="70" t="s">
        <v>33</v>
      </c>
      <c r="L47" s="70" t="s">
        <v>33</v>
      </c>
      <c r="M47" s="70" t="s">
        <v>33</v>
      </c>
      <c r="N47" s="70" t="s">
        <v>33</v>
      </c>
      <c r="O47" s="71" t="s">
        <v>33</v>
      </c>
      <c r="P47" s="71" t="s">
        <v>33</v>
      </c>
      <c r="Q47" s="70" t="s">
        <v>33</v>
      </c>
      <c r="R47" s="70" t="s">
        <v>33</v>
      </c>
      <c r="S47" s="70" t="s">
        <v>33</v>
      </c>
      <c r="T47" s="70" t="s">
        <v>33</v>
      </c>
      <c r="U47" s="70" t="s">
        <v>33</v>
      </c>
      <c r="V47" s="70" t="s">
        <v>33</v>
      </c>
      <c r="W47" s="71" t="s">
        <v>33</v>
      </c>
      <c r="X47" s="71" t="s">
        <v>33</v>
      </c>
      <c r="Y47" s="70" t="s">
        <v>33</v>
      </c>
      <c r="Z47" s="70" t="s">
        <v>33</v>
      </c>
      <c r="AA47" s="70" t="s">
        <v>33</v>
      </c>
      <c r="AB47" s="70" t="s">
        <v>33</v>
      </c>
      <c r="AC47" s="70" t="s">
        <v>33</v>
      </c>
      <c r="AD47" s="70" t="s">
        <v>33</v>
      </c>
      <c r="AE47" s="71" t="s">
        <v>33</v>
      </c>
      <c r="AF47" s="71" t="s">
        <v>33</v>
      </c>
      <c r="AG47" s="91">
        <f t="shared" si="6"/>
        <v>0</v>
      </c>
      <c r="AH47" s="93"/>
      <c r="AI47" s="93"/>
      <c r="AJ47" s="93"/>
      <c r="AK47" s="95" t="s">
        <v>51</v>
      </c>
      <c r="AL47" s="84">
        <f t="shared" si="14"/>
        <v>18</v>
      </c>
      <c r="AM47" s="84">
        <f t="shared" si="15"/>
        <v>18</v>
      </c>
      <c r="AN47" s="84">
        <f t="shared" si="16"/>
        <v>18</v>
      </c>
      <c r="AQ47" s="78" t="s">
        <v>77</v>
      </c>
      <c r="AR47" s="45">
        <f>E93-AR46</f>
        <v>12</v>
      </c>
      <c r="AS47" s="45">
        <f>AS46+G93</f>
        <v>65135</v>
      </c>
      <c r="BE47" s="29"/>
    </row>
    <row r="48" spans="1:57">
      <c r="A48" s="87">
        <v>45865</v>
      </c>
      <c r="B48" s="88">
        <v>1600</v>
      </c>
      <c r="C48" s="89"/>
      <c r="D48" s="88">
        <f>(SUM(粮草!A48:X48)+AG48*10*IF(AK48="是",$BB$4,$BB$3))</f>
        <v>0</v>
      </c>
      <c r="E48" s="76">
        <f>SUM($B$4:B48)+SUM($C$4:C48)-SUM($D$4:D48)</f>
        <v>36068</v>
      </c>
      <c r="F48" s="88">
        <f>SUM(经验!A48:X48)</f>
        <v>0</v>
      </c>
      <c r="G48" s="88">
        <f>SUM($F$4:F48)+SUM($H$4:H48)</f>
        <v>20580</v>
      </c>
      <c r="H48" s="88">
        <v>0</v>
      </c>
      <c r="I48" s="70" t="s">
        <v>33</v>
      </c>
      <c r="J48" s="70" t="s">
        <v>33</v>
      </c>
      <c r="K48" s="70" t="s">
        <v>33</v>
      </c>
      <c r="L48" s="70" t="s">
        <v>33</v>
      </c>
      <c r="M48" s="70" t="s">
        <v>33</v>
      </c>
      <c r="N48" s="70" t="s">
        <v>33</v>
      </c>
      <c r="O48" s="71" t="s">
        <v>33</v>
      </c>
      <c r="P48" s="71" t="s">
        <v>33</v>
      </c>
      <c r="Q48" s="70" t="s">
        <v>33</v>
      </c>
      <c r="R48" s="70" t="s">
        <v>33</v>
      </c>
      <c r="S48" s="70" t="s">
        <v>33</v>
      </c>
      <c r="T48" s="70" t="s">
        <v>33</v>
      </c>
      <c r="U48" s="70" t="s">
        <v>33</v>
      </c>
      <c r="V48" s="70" t="s">
        <v>33</v>
      </c>
      <c r="W48" s="71" t="s">
        <v>33</v>
      </c>
      <c r="X48" s="71" t="s">
        <v>33</v>
      </c>
      <c r="Y48" s="70" t="s">
        <v>33</v>
      </c>
      <c r="Z48" s="70" t="s">
        <v>33</v>
      </c>
      <c r="AA48" s="70" t="s">
        <v>33</v>
      </c>
      <c r="AB48" s="70" t="s">
        <v>33</v>
      </c>
      <c r="AC48" s="70" t="s">
        <v>33</v>
      </c>
      <c r="AD48" s="70" t="s">
        <v>33</v>
      </c>
      <c r="AE48" s="71" t="s">
        <v>33</v>
      </c>
      <c r="AF48" s="71" t="s">
        <v>33</v>
      </c>
      <c r="AG48" s="91">
        <f t="shared" si="6"/>
        <v>0</v>
      </c>
      <c r="AH48" s="93"/>
      <c r="AI48" s="93"/>
      <c r="AJ48" s="93"/>
      <c r="AK48" s="95" t="s">
        <v>51</v>
      </c>
      <c r="AL48" s="84">
        <f t="shared" si="14"/>
        <v>18</v>
      </c>
      <c r="AM48" s="84">
        <f t="shared" si="15"/>
        <v>18</v>
      </c>
      <c r="AN48" s="84">
        <f t="shared" si="16"/>
        <v>18</v>
      </c>
      <c r="AQ48" s="115" t="s">
        <v>70</v>
      </c>
      <c r="AR48" s="115"/>
      <c r="BE48" s="29"/>
    </row>
    <row r="49" spans="1:57">
      <c r="A49" s="87">
        <v>45866</v>
      </c>
      <c r="B49" s="90">
        <v>1600</v>
      </c>
      <c r="C49" s="90"/>
      <c r="D49" s="88">
        <f>(SUM(粮草!A49:X49)+AG49*10*IF(AK49="是",$BB$4,$BB$3))</f>
        <v>0</v>
      </c>
      <c r="E49" s="76">
        <f>SUM($B$4:B49)+SUM($C$4:C49)-SUM($D$4:D49)</f>
        <v>37668</v>
      </c>
      <c r="F49" s="88">
        <f>SUM(经验!A49:X49)</f>
        <v>0</v>
      </c>
      <c r="G49" s="88">
        <f>SUM($F$4:F49)+SUM($H$4:H49)</f>
        <v>20780</v>
      </c>
      <c r="H49" s="90">
        <v>200</v>
      </c>
      <c r="I49" s="70" t="s">
        <v>33</v>
      </c>
      <c r="J49" s="70" t="s">
        <v>33</v>
      </c>
      <c r="K49" s="70" t="s">
        <v>33</v>
      </c>
      <c r="L49" s="70" t="s">
        <v>33</v>
      </c>
      <c r="M49" s="70" t="s">
        <v>33</v>
      </c>
      <c r="N49" s="70" t="s">
        <v>33</v>
      </c>
      <c r="O49" s="71" t="s">
        <v>33</v>
      </c>
      <c r="P49" s="71" t="s">
        <v>33</v>
      </c>
      <c r="Q49" s="70" t="s">
        <v>33</v>
      </c>
      <c r="R49" s="70" t="s">
        <v>33</v>
      </c>
      <c r="S49" s="70" t="s">
        <v>33</v>
      </c>
      <c r="T49" s="70" t="s">
        <v>33</v>
      </c>
      <c r="U49" s="70" t="s">
        <v>33</v>
      </c>
      <c r="V49" s="70" t="s">
        <v>33</v>
      </c>
      <c r="W49" s="71" t="s">
        <v>33</v>
      </c>
      <c r="X49" s="71" t="s">
        <v>33</v>
      </c>
      <c r="Y49" s="70" t="s">
        <v>33</v>
      </c>
      <c r="Z49" s="70" t="s">
        <v>33</v>
      </c>
      <c r="AA49" s="70" t="s">
        <v>33</v>
      </c>
      <c r="AB49" s="70" t="s">
        <v>33</v>
      </c>
      <c r="AC49" s="70" t="s">
        <v>33</v>
      </c>
      <c r="AD49" s="70" t="s">
        <v>33</v>
      </c>
      <c r="AE49" s="71" t="s">
        <v>33</v>
      </c>
      <c r="AF49" s="71" t="s">
        <v>33</v>
      </c>
      <c r="AG49" s="91">
        <f t="shared" si="6"/>
        <v>0</v>
      </c>
      <c r="AH49" s="93"/>
      <c r="AI49" s="93"/>
      <c r="AJ49" s="93"/>
      <c r="AK49" s="95" t="s">
        <v>51</v>
      </c>
      <c r="AL49" s="84">
        <f t="shared" si="14"/>
        <v>18</v>
      </c>
      <c r="AM49" s="84">
        <f t="shared" si="15"/>
        <v>18</v>
      </c>
      <c r="AN49" s="84">
        <f t="shared" si="16"/>
        <v>18</v>
      </c>
      <c r="AO49" t="s">
        <v>67</v>
      </c>
      <c r="AP49" t="s">
        <v>69</v>
      </c>
      <c r="AQ49" t="s">
        <v>31</v>
      </c>
      <c r="AR49" t="s">
        <v>35</v>
      </c>
      <c r="AS49" t="s">
        <v>71</v>
      </c>
      <c r="BE49" s="29"/>
    </row>
    <row r="50" spans="1:57">
      <c r="A50" s="87">
        <v>45867</v>
      </c>
      <c r="B50" s="90">
        <v>1600</v>
      </c>
      <c r="C50" s="90"/>
      <c r="D50" s="88">
        <f>(SUM(粮草!A50:X50)+AG50*10*IF(AK50="是",$BB$4,$BB$3))</f>
        <v>0</v>
      </c>
      <c r="E50" s="76">
        <f>SUM($B$4:B50)+SUM($C$4:C50)-SUM($D$4:D50)</f>
        <v>39268</v>
      </c>
      <c r="F50" s="88">
        <f>SUM(经验!A50:X50)</f>
        <v>0</v>
      </c>
      <c r="G50" s="88">
        <f>SUM($F$4:F50)+SUM($H$4:H50)</f>
        <v>20880</v>
      </c>
      <c r="H50" s="90">
        <v>100</v>
      </c>
      <c r="I50" s="70" t="s">
        <v>33</v>
      </c>
      <c r="J50" s="70" t="s">
        <v>33</v>
      </c>
      <c r="K50" s="70" t="s">
        <v>33</v>
      </c>
      <c r="L50" s="70" t="s">
        <v>33</v>
      </c>
      <c r="M50" s="70" t="s">
        <v>33</v>
      </c>
      <c r="N50" s="70" t="s">
        <v>33</v>
      </c>
      <c r="O50" s="71" t="s">
        <v>33</v>
      </c>
      <c r="P50" s="71" t="s">
        <v>33</v>
      </c>
      <c r="Q50" s="70" t="s">
        <v>33</v>
      </c>
      <c r="R50" s="70" t="s">
        <v>33</v>
      </c>
      <c r="S50" s="70" t="s">
        <v>33</v>
      </c>
      <c r="T50" s="70" t="s">
        <v>33</v>
      </c>
      <c r="U50" s="70" t="s">
        <v>33</v>
      </c>
      <c r="V50" s="70" t="s">
        <v>33</v>
      </c>
      <c r="W50" s="71" t="s">
        <v>33</v>
      </c>
      <c r="X50" s="71" t="s">
        <v>33</v>
      </c>
      <c r="Y50" s="70" t="s">
        <v>33</v>
      </c>
      <c r="Z50" s="70" t="s">
        <v>33</v>
      </c>
      <c r="AA50" s="70" t="s">
        <v>33</v>
      </c>
      <c r="AB50" s="70" t="s">
        <v>33</v>
      </c>
      <c r="AC50" s="70" t="s">
        <v>33</v>
      </c>
      <c r="AD50" s="70" t="s">
        <v>33</v>
      </c>
      <c r="AE50" s="71" t="s">
        <v>33</v>
      </c>
      <c r="AF50" s="71" t="s">
        <v>33</v>
      </c>
      <c r="AG50" s="91">
        <f t="shared" si="6"/>
        <v>0</v>
      </c>
      <c r="AH50" s="93"/>
      <c r="AI50" s="93"/>
      <c r="AJ50" s="93"/>
      <c r="AK50" s="95" t="s">
        <v>51</v>
      </c>
      <c r="AL50" s="84">
        <f t="shared" si="14"/>
        <v>18</v>
      </c>
      <c r="AM50" s="84">
        <f t="shared" si="15"/>
        <v>18</v>
      </c>
      <c r="AN50" s="84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10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87">
        <v>45868</v>
      </c>
      <c r="B51" s="90">
        <v>1600</v>
      </c>
      <c r="C51" s="90"/>
      <c r="D51" s="88">
        <f>(SUM(粮草!A51:X51)+AG51*10*IF(AK51="是",$BB$4,$BB$3))</f>
        <v>0</v>
      </c>
      <c r="E51" s="76">
        <f>SUM($B$4:B51)+SUM($C$4:C51)-SUM($D$4:D51)</f>
        <v>40868</v>
      </c>
      <c r="F51" s="88">
        <f>SUM(经验!A51:X51)</f>
        <v>0</v>
      </c>
      <c r="G51" s="88">
        <f>SUM($F$4:F51)+SUM($H$4:H51)</f>
        <v>21080</v>
      </c>
      <c r="H51" s="90">
        <v>200</v>
      </c>
      <c r="I51" s="70" t="s">
        <v>33</v>
      </c>
      <c r="J51" s="70" t="s">
        <v>33</v>
      </c>
      <c r="K51" s="70" t="s">
        <v>33</v>
      </c>
      <c r="L51" s="70" t="s">
        <v>33</v>
      </c>
      <c r="M51" s="70" t="s">
        <v>33</v>
      </c>
      <c r="N51" s="70" t="s">
        <v>33</v>
      </c>
      <c r="O51" s="71" t="s">
        <v>33</v>
      </c>
      <c r="P51" s="71" t="s">
        <v>33</v>
      </c>
      <c r="Q51" s="70" t="s">
        <v>33</v>
      </c>
      <c r="R51" s="70" t="s">
        <v>33</v>
      </c>
      <c r="S51" s="70" t="s">
        <v>33</v>
      </c>
      <c r="T51" s="70" t="s">
        <v>33</v>
      </c>
      <c r="U51" s="70" t="s">
        <v>33</v>
      </c>
      <c r="V51" s="70" t="s">
        <v>33</v>
      </c>
      <c r="W51" s="71" t="s">
        <v>33</v>
      </c>
      <c r="X51" s="71" t="s">
        <v>33</v>
      </c>
      <c r="Y51" s="70" t="s">
        <v>33</v>
      </c>
      <c r="Z51" s="70" t="s">
        <v>33</v>
      </c>
      <c r="AA51" s="70" t="s">
        <v>33</v>
      </c>
      <c r="AB51" s="70" t="s">
        <v>33</v>
      </c>
      <c r="AC51" s="70" t="s">
        <v>33</v>
      </c>
      <c r="AD51" s="70" t="s">
        <v>33</v>
      </c>
      <c r="AE51" s="71" t="s">
        <v>33</v>
      </c>
      <c r="AF51" s="71" t="s">
        <v>33</v>
      </c>
      <c r="AG51" s="91">
        <f t="shared" si="6"/>
        <v>0</v>
      </c>
      <c r="AH51" s="93"/>
      <c r="AI51" s="93"/>
      <c r="AJ51" s="93"/>
      <c r="AK51" s="95" t="s">
        <v>51</v>
      </c>
      <c r="AL51" s="84">
        <f t="shared" si="14"/>
        <v>18</v>
      </c>
      <c r="AM51" s="84">
        <f t="shared" si="15"/>
        <v>18</v>
      </c>
      <c r="AN51" s="84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COUNTIF(I18:AE24,$AO$18)</f>
        <v>5</v>
      </c>
      <c r="AV51">
        <v>1</v>
      </c>
      <c r="AW51">
        <v>160</v>
      </c>
      <c r="BE51" s="29"/>
    </row>
    <row r="52" spans="1:57">
      <c r="A52" s="87">
        <v>45869</v>
      </c>
      <c r="B52" s="90">
        <v>1600</v>
      </c>
      <c r="C52" s="90"/>
      <c r="D52" s="88">
        <f>(SUM(粮草!A52:X52)+AG52*10*IF(AK52="是",$BB$4,$BB$3))</f>
        <v>0</v>
      </c>
      <c r="E52" s="76">
        <f>SUM($B$4:B52)+SUM($C$4:C52)-SUM($D$4:D52)</f>
        <v>42468</v>
      </c>
      <c r="F52" s="88">
        <f>SUM(经验!A52:X52)</f>
        <v>0</v>
      </c>
      <c r="G52" s="88">
        <f>SUM($F$4:F52)+SUM($H$4:H52)</f>
        <v>21080</v>
      </c>
      <c r="H52" s="90">
        <v>0</v>
      </c>
      <c r="I52" s="70" t="s">
        <v>33</v>
      </c>
      <c r="J52" s="70" t="s">
        <v>33</v>
      </c>
      <c r="K52" s="70" t="s">
        <v>33</v>
      </c>
      <c r="L52" s="70" t="s">
        <v>33</v>
      </c>
      <c r="M52" s="70" t="s">
        <v>33</v>
      </c>
      <c r="N52" s="70" t="s">
        <v>33</v>
      </c>
      <c r="O52" s="71" t="s">
        <v>33</v>
      </c>
      <c r="P52" s="71" t="s">
        <v>33</v>
      </c>
      <c r="Q52" s="70" t="s">
        <v>33</v>
      </c>
      <c r="R52" s="70" t="s">
        <v>33</v>
      </c>
      <c r="S52" s="70" t="s">
        <v>33</v>
      </c>
      <c r="T52" s="70" t="s">
        <v>33</v>
      </c>
      <c r="U52" s="70" t="s">
        <v>33</v>
      </c>
      <c r="V52" s="70" t="s">
        <v>33</v>
      </c>
      <c r="W52" s="71" t="s">
        <v>33</v>
      </c>
      <c r="X52" s="71" t="s">
        <v>33</v>
      </c>
      <c r="Y52" s="70" t="s">
        <v>33</v>
      </c>
      <c r="Z52" s="70" t="s">
        <v>33</v>
      </c>
      <c r="AA52" s="70" t="s">
        <v>33</v>
      </c>
      <c r="AB52" s="70" t="s">
        <v>33</v>
      </c>
      <c r="AC52" s="70" t="s">
        <v>33</v>
      </c>
      <c r="AD52" s="70" t="s">
        <v>33</v>
      </c>
      <c r="AE52" s="71" t="s">
        <v>33</v>
      </c>
      <c r="AF52" s="71" t="s">
        <v>33</v>
      </c>
      <c r="AG52" s="91">
        <f t="shared" si="6"/>
        <v>0</v>
      </c>
      <c r="AH52" s="93"/>
      <c r="AI52" s="93"/>
      <c r="AJ52" s="93"/>
      <c r="AK52" s="95" t="s">
        <v>51</v>
      </c>
      <c r="AL52" s="84">
        <f t="shared" si="14"/>
        <v>18</v>
      </c>
      <c r="AM52" s="84">
        <f t="shared" si="15"/>
        <v>18</v>
      </c>
      <c r="AN52" s="84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0</v>
      </c>
      <c r="BE52" s="29"/>
    </row>
    <row r="53" spans="1:57">
      <c r="A53" s="87">
        <v>45870</v>
      </c>
      <c r="B53" s="90">
        <v>1600</v>
      </c>
      <c r="C53" s="90"/>
      <c r="D53" s="88">
        <f>(SUM(粮草!A53:X53)+AG53*10*IF(AK53="是",$BB$4,$BB$3))</f>
        <v>0</v>
      </c>
      <c r="E53" s="76">
        <f>SUM($B$4:B53)+SUM($C$4:C53)-SUM($D$4:D53)</f>
        <v>44068</v>
      </c>
      <c r="F53" s="88">
        <f>SUM(经验!A53:X53)</f>
        <v>0</v>
      </c>
      <c r="G53" s="88">
        <f>SUM($F$4:F53)+SUM($H$4:H53)</f>
        <v>21080</v>
      </c>
      <c r="H53" s="90">
        <v>0</v>
      </c>
      <c r="I53" s="70" t="s">
        <v>33</v>
      </c>
      <c r="J53" s="70" t="s">
        <v>33</v>
      </c>
      <c r="K53" s="70" t="s">
        <v>33</v>
      </c>
      <c r="L53" s="70" t="s">
        <v>33</v>
      </c>
      <c r="M53" s="70" t="s">
        <v>33</v>
      </c>
      <c r="N53" s="70" t="s">
        <v>33</v>
      </c>
      <c r="O53" s="71" t="s">
        <v>33</v>
      </c>
      <c r="P53" s="71" t="s">
        <v>33</v>
      </c>
      <c r="Q53" s="70" t="s">
        <v>33</v>
      </c>
      <c r="R53" s="70" t="s">
        <v>33</v>
      </c>
      <c r="S53" s="70" t="s">
        <v>33</v>
      </c>
      <c r="T53" s="70" t="s">
        <v>33</v>
      </c>
      <c r="U53" s="70" t="s">
        <v>33</v>
      </c>
      <c r="V53" s="70" t="s">
        <v>33</v>
      </c>
      <c r="W53" s="71" t="s">
        <v>33</v>
      </c>
      <c r="X53" s="71" t="s">
        <v>33</v>
      </c>
      <c r="Y53" s="70" t="s">
        <v>33</v>
      </c>
      <c r="Z53" s="70" t="s">
        <v>33</v>
      </c>
      <c r="AA53" s="70" t="s">
        <v>33</v>
      </c>
      <c r="AB53" s="70" t="s">
        <v>33</v>
      </c>
      <c r="AC53" s="70" t="s">
        <v>33</v>
      </c>
      <c r="AD53" s="70" t="s">
        <v>33</v>
      </c>
      <c r="AE53" s="71" t="s">
        <v>33</v>
      </c>
      <c r="AF53" s="71" t="s">
        <v>33</v>
      </c>
      <c r="AG53" s="91">
        <f t="shared" si="6"/>
        <v>0</v>
      </c>
      <c r="AH53" s="93"/>
      <c r="AI53" s="93"/>
      <c r="AJ53" s="93"/>
      <c r="AK53" s="95" t="s">
        <v>51</v>
      </c>
      <c r="AL53" s="84">
        <f t="shared" si="14"/>
        <v>18</v>
      </c>
      <c r="AM53" s="84">
        <f t="shared" si="15"/>
        <v>18</v>
      </c>
      <c r="AN53" s="84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BE53" s="29"/>
    </row>
    <row r="54" spans="1:57">
      <c r="A54" s="87">
        <v>45871</v>
      </c>
      <c r="B54" s="90">
        <v>1600</v>
      </c>
      <c r="C54" s="90"/>
      <c r="D54" s="88">
        <f>(SUM(粮草!A54:X54)+AG54*10*IF(AK54="是",$BB$4,$BB$3))</f>
        <v>0</v>
      </c>
      <c r="E54" s="76">
        <f>SUM($B$4:B54)+SUM($C$4:C54)-SUM($D$4:D54)</f>
        <v>45668</v>
      </c>
      <c r="F54" s="88">
        <f>SUM(经验!A54:X54)</f>
        <v>0</v>
      </c>
      <c r="G54" s="88">
        <f>SUM($F$4:F54)+SUM($H$4:H54)</f>
        <v>21080</v>
      </c>
      <c r="H54" s="90">
        <v>0</v>
      </c>
      <c r="I54" s="70" t="s">
        <v>33</v>
      </c>
      <c r="J54" s="70" t="s">
        <v>33</v>
      </c>
      <c r="K54" s="70" t="s">
        <v>33</v>
      </c>
      <c r="L54" s="70" t="s">
        <v>33</v>
      </c>
      <c r="M54" s="70" t="s">
        <v>33</v>
      </c>
      <c r="N54" s="70" t="s">
        <v>33</v>
      </c>
      <c r="O54" s="71" t="s">
        <v>33</v>
      </c>
      <c r="P54" s="71" t="s">
        <v>33</v>
      </c>
      <c r="Q54" s="70" t="s">
        <v>33</v>
      </c>
      <c r="R54" s="70" t="s">
        <v>33</v>
      </c>
      <c r="S54" s="70" t="s">
        <v>33</v>
      </c>
      <c r="T54" s="70" t="s">
        <v>33</v>
      </c>
      <c r="U54" s="70" t="s">
        <v>33</v>
      </c>
      <c r="V54" s="70" t="s">
        <v>33</v>
      </c>
      <c r="W54" s="71" t="s">
        <v>33</v>
      </c>
      <c r="X54" s="71" t="s">
        <v>33</v>
      </c>
      <c r="Y54" s="70" t="s">
        <v>33</v>
      </c>
      <c r="Z54" s="70" t="s">
        <v>33</v>
      </c>
      <c r="AA54" s="70" t="s">
        <v>33</v>
      </c>
      <c r="AB54" s="70" t="s">
        <v>33</v>
      </c>
      <c r="AC54" s="70" t="s">
        <v>33</v>
      </c>
      <c r="AD54" s="70" t="s">
        <v>33</v>
      </c>
      <c r="AE54" s="71" t="s">
        <v>33</v>
      </c>
      <c r="AF54" s="71" t="s">
        <v>33</v>
      </c>
      <c r="AG54" s="91">
        <f t="shared" si="6"/>
        <v>0</v>
      </c>
      <c r="AH54" s="93"/>
      <c r="AI54" s="93"/>
      <c r="AJ54" s="93"/>
      <c r="AK54" s="95" t="s">
        <v>51</v>
      </c>
      <c r="AL54" s="84">
        <f t="shared" si="14"/>
        <v>18</v>
      </c>
      <c r="AM54" s="84">
        <f t="shared" si="15"/>
        <v>18</v>
      </c>
      <c r="AN54" s="84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BE54" s="29"/>
    </row>
    <row r="55" spans="1:57">
      <c r="A55" s="87">
        <v>45872</v>
      </c>
      <c r="B55" s="90">
        <v>1600</v>
      </c>
      <c r="C55" s="90"/>
      <c r="D55" s="88">
        <f>(SUM(粮草!A55:X55)+AG55*10*IF(AK55="是",$BB$4,$BB$3))</f>
        <v>0</v>
      </c>
      <c r="E55" s="76">
        <f>SUM($B$4:B55)+SUM($C$4:C55)-SUM($D$4:D55)</f>
        <v>47268</v>
      </c>
      <c r="F55" s="88">
        <f>SUM(经验!A55:X55)</f>
        <v>0</v>
      </c>
      <c r="G55" s="88">
        <f>SUM($F$4:F55)+SUM($H$4:H55)</f>
        <v>21080</v>
      </c>
      <c r="H55" s="90">
        <v>0</v>
      </c>
      <c r="I55" s="70" t="s">
        <v>33</v>
      </c>
      <c r="J55" s="70" t="s">
        <v>33</v>
      </c>
      <c r="K55" s="70" t="s">
        <v>33</v>
      </c>
      <c r="L55" s="70" t="s">
        <v>33</v>
      </c>
      <c r="M55" s="70" t="s">
        <v>33</v>
      </c>
      <c r="N55" s="70" t="s">
        <v>33</v>
      </c>
      <c r="O55" s="71" t="s">
        <v>33</v>
      </c>
      <c r="P55" s="71" t="s">
        <v>33</v>
      </c>
      <c r="Q55" s="70" t="s">
        <v>33</v>
      </c>
      <c r="R55" s="70" t="s">
        <v>33</v>
      </c>
      <c r="S55" s="70" t="s">
        <v>33</v>
      </c>
      <c r="T55" s="70" t="s">
        <v>33</v>
      </c>
      <c r="U55" s="70" t="s">
        <v>33</v>
      </c>
      <c r="V55" s="70" t="s">
        <v>33</v>
      </c>
      <c r="W55" s="71" t="s">
        <v>33</v>
      </c>
      <c r="X55" s="71" t="s">
        <v>33</v>
      </c>
      <c r="Y55" s="70" t="s">
        <v>33</v>
      </c>
      <c r="Z55" s="70" t="s">
        <v>33</v>
      </c>
      <c r="AA55" s="70" t="s">
        <v>33</v>
      </c>
      <c r="AB55" s="70" t="s">
        <v>33</v>
      </c>
      <c r="AC55" s="70" t="s">
        <v>33</v>
      </c>
      <c r="AD55" s="70" t="s">
        <v>33</v>
      </c>
      <c r="AE55" s="71" t="s">
        <v>33</v>
      </c>
      <c r="AF55" s="71" t="s">
        <v>33</v>
      </c>
      <c r="AG55" s="91">
        <f t="shared" si="6"/>
        <v>0</v>
      </c>
      <c r="AH55" s="93"/>
      <c r="AI55" s="93"/>
      <c r="AJ55" s="93"/>
      <c r="AK55" s="95" t="s">
        <v>51</v>
      </c>
      <c r="AL55" s="84">
        <f t="shared" si="14"/>
        <v>18</v>
      </c>
      <c r="AM55" s="84">
        <f t="shared" si="15"/>
        <v>18</v>
      </c>
      <c r="AN55" s="84">
        <f t="shared" si="16"/>
        <v>18</v>
      </c>
      <c r="BE55" s="29"/>
    </row>
    <row r="56" spans="1:57">
      <c r="A56" s="87">
        <v>45873</v>
      </c>
      <c r="B56" s="88">
        <v>1600</v>
      </c>
      <c r="C56" s="89"/>
      <c r="D56" s="88">
        <f>(SUM(粮草!A56:X56)+AG56*10*IF(AK56="是",$BB$4,$BB$3))</f>
        <v>0</v>
      </c>
      <c r="E56" s="76">
        <f>SUM($B$4:B56)+SUM($C$4:C56)-SUM($D$4:D56)</f>
        <v>48868</v>
      </c>
      <c r="F56" s="88">
        <f>SUM(经验!A56:X56)</f>
        <v>0</v>
      </c>
      <c r="G56" s="88">
        <f>SUM($F$4:F56)+SUM($H$4:H56)</f>
        <v>21380</v>
      </c>
      <c r="H56" s="88">
        <v>300</v>
      </c>
      <c r="I56" s="70" t="s">
        <v>33</v>
      </c>
      <c r="J56" s="70" t="s">
        <v>33</v>
      </c>
      <c r="K56" s="70" t="s">
        <v>33</v>
      </c>
      <c r="L56" s="70" t="s">
        <v>33</v>
      </c>
      <c r="M56" s="70" t="s">
        <v>33</v>
      </c>
      <c r="N56" s="70" t="s">
        <v>33</v>
      </c>
      <c r="O56" s="71" t="s">
        <v>33</v>
      </c>
      <c r="P56" s="71" t="s">
        <v>33</v>
      </c>
      <c r="Q56" s="70" t="s">
        <v>33</v>
      </c>
      <c r="R56" s="70" t="s">
        <v>33</v>
      </c>
      <c r="S56" s="70" t="s">
        <v>33</v>
      </c>
      <c r="T56" s="70" t="s">
        <v>33</v>
      </c>
      <c r="U56" s="70" t="s">
        <v>33</v>
      </c>
      <c r="V56" s="70" t="s">
        <v>33</v>
      </c>
      <c r="W56" s="71" t="s">
        <v>33</v>
      </c>
      <c r="X56" s="71" t="s">
        <v>33</v>
      </c>
      <c r="Y56" s="70" t="s">
        <v>33</v>
      </c>
      <c r="Z56" s="70" t="s">
        <v>33</v>
      </c>
      <c r="AA56" s="70" t="s">
        <v>33</v>
      </c>
      <c r="AB56" s="70" t="s">
        <v>33</v>
      </c>
      <c r="AC56" s="70" t="s">
        <v>33</v>
      </c>
      <c r="AD56" s="70" t="s">
        <v>33</v>
      </c>
      <c r="AE56" s="71" t="s">
        <v>33</v>
      </c>
      <c r="AF56" s="71" t="s">
        <v>33</v>
      </c>
      <c r="AG56" s="91">
        <f t="shared" si="6"/>
        <v>0</v>
      </c>
      <c r="AH56" s="93"/>
      <c r="AI56" s="93"/>
      <c r="AJ56" s="93"/>
      <c r="AK56" s="95" t="s">
        <v>51</v>
      </c>
      <c r="AL56" s="84">
        <f t="shared" si="14"/>
        <v>18</v>
      </c>
      <c r="AM56" s="84">
        <f t="shared" si="15"/>
        <v>18</v>
      </c>
      <c r="AN56" s="84">
        <f t="shared" si="16"/>
        <v>18</v>
      </c>
      <c r="BE56" s="29"/>
    </row>
    <row r="57" spans="1:57">
      <c r="A57" s="87">
        <v>45874</v>
      </c>
      <c r="B57" s="88">
        <v>1600</v>
      </c>
      <c r="C57" s="89"/>
      <c r="D57" s="88">
        <f>(SUM(粮草!A57:X57)+AG57*10*IF(AK57="是",$BB$4,$BB$3))</f>
        <v>0</v>
      </c>
      <c r="E57" s="76">
        <f>SUM($B$4:B57)+SUM($C$4:C57)-SUM($D$4:D57)</f>
        <v>50468</v>
      </c>
      <c r="F57" s="88">
        <f>SUM(经验!A57:X57)</f>
        <v>0</v>
      </c>
      <c r="G57" s="88">
        <f>SUM($F$4:F57)+SUM($H$4:H57)</f>
        <v>21380</v>
      </c>
      <c r="H57" s="88">
        <v>0</v>
      </c>
      <c r="I57" s="70" t="s">
        <v>33</v>
      </c>
      <c r="J57" s="70" t="s">
        <v>33</v>
      </c>
      <c r="K57" s="70" t="s">
        <v>33</v>
      </c>
      <c r="L57" s="70" t="s">
        <v>33</v>
      </c>
      <c r="M57" s="70" t="s">
        <v>33</v>
      </c>
      <c r="N57" s="70" t="s">
        <v>33</v>
      </c>
      <c r="O57" s="71" t="s">
        <v>33</v>
      </c>
      <c r="P57" s="71" t="s">
        <v>33</v>
      </c>
      <c r="Q57" s="70" t="s">
        <v>33</v>
      </c>
      <c r="R57" s="70" t="s">
        <v>33</v>
      </c>
      <c r="S57" s="70" t="s">
        <v>33</v>
      </c>
      <c r="T57" s="70" t="s">
        <v>33</v>
      </c>
      <c r="U57" s="70" t="s">
        <v>33</v>
      </c>
      <c r="V57" s="70" t="s">
        <v>33</v>
      </c>
      <c r="W57" s="71" t="s">
        <v>33</v>
      </c>
      <c r="X57" s="71" t="s">
        <v>33</v>
      </c>
      <c r="Y57" s="70" t="s">
        <v>33</v>
      </c>
      <c r="Z57" s="70" t="s">
        <v>33</v>
      </c>
      <c r="AA57" s="70" t="s">
        <v>33</v>
      </c>
      <c r="AB57" s="70" t="s">
        <v>33</v>
      </c>
      <c r="AC57" s="70" t="s">
        <v>33</v>
      </c>
      <c r="AD57" s="70" t="s">
        <v>33</v>
      </c>
      <c r="AE57" s="71" t="s">
        <v>33</v>
      </c>
      <c r="AF57" s="71" t="s">
        <v>33</v>
      </c>
      <c r="AG57" s="91">
        <f t="shared" si="6"/>
        <v>0</v>
      </c>
      <c r="AH57" s="93"/>
      <c r="AI57" s="93"/>
      <c r="AJ57" s="93"/>
      <c r="AK57" s="95" t="s">
        <v>51</v>
      </c>
      <c r="AL57" s="84">
        <f t="shared" si="14"/>
        <v>18</v>
      </c>
      <c r="AM57" s="84">
        <f t="shared" si="15"/>
        <v>18</v>
      </c>
      <c r="AN57" s="84">
        <f t="shared" si="16"/>
        <v>18</v>
      </c>
      <c r="BE57" s="29"/>
    </row>
    <row r="58" spans="1:57">
      <c r="A58" s="87">
        <v>45875</v>
      </c>
      <c r="B58" s="88">
        <v>1600</v>
      </c>
      <c r="C58" s="89"/>
      <c r="D58" s="88">
        <f>(SUM(粮草!A58:X58)+AG58*10*IF(AK58="是",$BB$4,$BB$3))</f>
        <v>0</v>
      </c>
      <c r="E58" s="76">
        <f>SUM($B$4:B58)+SUM($C$4:C58)-SUM($D$4:D58)</f>
        <v>52068</v>
      </c>
      <c r="F58" s="88">
        <f>SUM(经验!A58:X58)</f>
        <v>0</v>
      </c>
      <c r="G58" s="88">
        <f>SUM($F$4:F58)+SUM($H$4:H58)</f>
        <v>21580</v>
      </c>
      <c r="H58" s="88">
        <v>200</v>
      </c>
      <c r="I58" s="70" t="s">
        <v>33</v>
      </c>
      <c r="J58" s="70" t="s">
        <v>33</v>
      </c>
      <c r="K58" s="70" t="s">
        <v>33</v>
      </c>
      <c r="L58" s="70" t="s">
        <v>33</v>
      </c>
      <c r="M58" s="70" t="s">
        <v>33</v>
      </c>
      <c r="N58" s="70" t="s">
        <v>33</v>
      </c>
      <c r="O58" s="71" t="s">
        <v>33</v>
      </c>
      <c r="P58" s="71" t="s">
        <v>33</v>
      </c>
      <c r="Q58" s="70" t="s">
        <v>33</v>
      </c>
      <c r="R58" s="70" t="s">
        <v>33</v>
      </c>
      <c r="S58" s="70" t="s">
        <v>33</v>
      </c>
      <c r="T58" s="70" t="s">
        <v>33</v>
      </c>
      <c r="U58" s="70" t="s">
        <v>33</v>
      </c>
      <c r="V58" s="70" t="s">
        <v>33</v>
      </c>
      <c r="W58" s="71" t="s">
        <v>33</v>
      </c>
      <c r="X58" s="71" t="s">
        <v>33</v>
      </c>
      <c r="Y58" s="70" t="s">
        <v>33</v>
      </c>
      <c r="Z58" s="70" t="s">
        <v>33</v>
      </c>
      <c r="AA58" s="70" t="s">
        <v>33</v>
      </c>
      <c r="AB58" s="70" t="s">
        <v>33</v>
      </c>
      <c r="AC58" s="70" t="s">
        <v>33</v>
      </c>
      <c r="AD58" s="70" t="s">
        <v>33</v>
      </c>
      <c r="AE58" s="71" t="s">
        <v>33</v>
      </c>
      <c r="AF58" s="71" t="s">
        <v>33</v>
      </c>
      <c r="AG58" s="91">
        <f t="shared" si="6"/>
        <v>0</v>
      </c>
      <c r="AH58" s="93"/>
      <c r="AI58" s="93"/>
      <c r="AJ58" s="93"/>
      <c r="AK58" s="95" t="s">
        <v>51</v>
      </c>
      <c r="AL58" s="84">
        <f t="shared" si="14"/>
        <v>18</v>
      </c>
      <c r="AM58" s="84">
        <f t="shared" si="15"/>
        <v>18</v>
      </c>
      <c r="AN58" s="84">
        <f t="shared" si="16"/>
        <v>18</v>
      </c>
      <c r="BE58" s="29"/>
    </row>
    <row r="59" spans="1:57">
      <c r="A59" s="87">
        <v>45876</v>
      </c>
      <c r="B59" s="88">
        <v>1600</v>
      </c>
      <c r="C59" s="89"/>
      <c r="D59" s="88">
        <f>(SUM(粮草!A59:X59)+AG59*10*IF(AK59="是",$BB$4,$BB$3))</f>
        <v>0</v>
      </c>
      <c r="E59" s="76">
        <f>SUM($B$4:B59)+SUM($C$4:C59)-SUM($D$4:D59)</f>
        <v>53668</v>
      </c>
      <c r="F59" s="88">
        <f>SUM(经验!A59:X59)</f>
        <v>0</v>
      </c>
      <c r="G59" s="88">
        <f>SUM($F$4:F59)+SUM($H$4:H59)</f>
        <v>21580</v>
      </c>
      <c r="H59" s="88">
        <v>0</v>
      </c>
      <c r="I59" s="70" t="s">
        <v>33</v>
      </c>
      <c r="J59" s="70" t="s">
        <v>33</v>
      </c>
      <c r="K59" s="70" t="s">
        <v>33</v>
      </c>
      <c r="L59" s="70" t="s">
        <v>33</v>
      </c>
      <c r="M59" s="70" t="s">
        <v>33</v>
      </c>
      <c r="N59" s="70" t="s">
        <v>33</v>
      </c>
      <c r="O59" s="71" t="s">
        <v>33</v>
      </c>
      <c r="P59" s="71" t="s">
        <v>33</v>
      </c>
      <c r="Q59" s="70" t="s">
        <v>33</v>
      </c>
      <c r="R59" s="70" t="s">
        <v>33</v>
      </c>
      <c r="S59" s="70" t="s">
        <v>33</v>
      </c>
      <c r="T59" s="70" t="s">
        <v>33</v>
      </c>
      <c r="U59" s="70" t="s">
        <v>33</v>
      </c>
      <c r="V59" s="70" t="s">
        <v>33</v>
      </c>
      <c r="W59" s="71" t="s">
        <v>33</v>
      </c>
      <c r="X59" s="71" t="s">
        <v>33</v>
      </c>
      <c r="Y59" s="70" t="s">
        <v>33</v>
      </c>
      <c r="Z59" s="70" t="s">
        <v>33</v>
      </c>
      <c r="AA59" s="70" t="s">
        <v>33</v>
      </c>
      <c r="AB59" s="70" t="s">
        <v>33</v>
      </c>
      <c r="AC59" s="70" t="s">
        <v>33</v>
      </c>
      <c r="AD59" s="70" t="s">
        <v>33</v>
      </c>
      <c r="AE59" s="71" t="s">
        <v>33</v>
      </c>
      <c r="AF59" s="71" t="s">
        <v>33</v>
      </c>
      <c r="AG59" s="91">
        <f t="shared" si="6"/>
        <v>0</v>
      </c>
      <c r="AH59" s="93"/>
      <c r="AI59" s="93"/>
      <c r="AJ59" s="93"/>
      <c r="AK59" s="95" t="s">
        <v>51</v>
      </c>
      <c r="AL59" s="84">
        <f t="shared" si="14"/>
        <v>18</v>
      </c>
      <c r="AM59" s="84">
        <f t="shared" si="15"/>
        <v>18</v>
      </c>
      <c r="AN59" s="84">
        <f t="shared" si="16"/>
        <v>18</v>
      </c>
      <c r="BE59" s="29"/>
    </row>
    <row r="60" spans="1:57">
      <c r="A60" s="94">
        <v>45877</v>
      </c>
      <c r="B60" s="88">
        <v>1600</v>
      </c>
      <c r="C60" s="89"/>
      <c r="D60" s="88">
        <f>(SUM(粮草!A60:X60)+AG60*10*IF(AK60="是",$BB$4,$BB$3))</f>
        <v>0</v>
      </c>
      <c r="E60" s="76">
        <f>SUM($B$4:B60)+SUM($C$4:C60)-SUM($D$4:D60)</f>
        <v>55268</v>
      </c>
      <c r="F60" s="88">
        <f>SUM(经验!A60:X60)</f>
        <v>0</v>
      </c>
      <c r="G60" s="88">
        <f>SUM($F$4:F60)+SUM($H$4:H60)</f>
        <v>21580</v>
      </c>
      <c r="H60" s="88">
        <v>0</v>
      </c>
      <c r="I60" s="70" t="s">
        <v>33</v>
      </c>
      <c r="J60" s="70" t="s">
        <v>33</v>
      </c>
      <c r="K60" s="70" t="s">
        <v>33</v>
      </c>
      <c r="L60" s="70" t="s">
        <v>33</v>
      </c>
      <c r="M60" s="70" t="s">
        <v>33</v>
      </c>
      <c r="N60" s="70" t="s">
        <v>33</v>
      </c>
      <c r="O60" s="71" t="s">
        <v>33</v>
      </c>
      <c r="P60" s="71" t="s">
        <v>33</v>
      </c>
      <c r="Q60" s="70" t="s">
        <v>33</v>
      </c>
      <c r="R60" s="70" t="s">
        <v>33</v>
      </c>
      <c r="S60" s="70" t="s">
        <v>33</v>
      </c>
      <c r="T60" s="70" t="s">
        <v>33</v>
      </c>
      <c r="U60" s="70" t="s">
        <v>33</v>
      </c>
      <c r="V60" s="70" t="s">
        <v>33</v>
      </c>
      <c r="W60" s="71" t="s">
        <v>33</v>
      </c>
      <c r="X60" s="71" t="s">
        <v>33</v>
      </c>
      <c r="Y60" s="70" t="s">
        <v>33</v>
      </c>
      <c r="Z60" s="70" t="s">
        <v>33</v>
      </c>
      <c r="AA60" s="70" t="s">
        <v>33</v>
      </c>
      <c r="AB60" s="70" t="s">
        <v>33</v>
      </c>
      <c r="AC60" s="70" t="s">
        <v>33</v>
      </c>
      <c r="AD60" s="70" t="s">
        <v>33</v>
      </c>
      <c r="AE60" s="71" t="s">
        <v>33</v>
      </c>
      <c r="AF60" s="71" t="s">
        <v>33</v>
      </c>
      <c r="AG60" s="91">
        <f t="shared" si="6"/>
        <v>0</v>
      </c>
      <c r="AH60" s="93"/>
      <c r="AI60" s="93"/>
      <c r="AJ60" s="93"/>
      <c r="AK60" s="95" t="s">
        <v>51</v>
      </c>
      <c r="AL60" s="84">
        <f t="shared" si="14"/>
        <v>18</v>
      </c>
      <c r="AM60" s="84">
        <f t="shared" si="15"/>
        <v>18</v>
      </c>
      <c r="AN60" s="84">
        <f t="shared" si="16"/>
        <v>18</v>
      </c>
      <c r="BE60" s="29"/>
    </row>
    <row r="61" spans="1:57">
      <c r="A61" s="94">
        <v>45878</v>
      </c>
      <c r="B61" s="88">
        <v>1600</v>
      </c>
      <c r="C61" s="89"/>
      <c r="D61" s="88">
        <f>(SUM(粮草!A61:X61)+AG61*10*IF(AK61="是",$BB$4,$BB$3))</f>
        <v>0</v>
      </c>
      <c r="E61" s="76">
        <f>SUM($B$4:B61)+SUM($C$4:C61)-SUM($D$4:D61)</f>
        <v>56868</v>
      </c>
      <c r="F61" s="88">
        <f>SUM(经验!A61:X61)</f>
        <v>0</v>
      </c>
      <c r="G61" s="88">
        <f>SUM($F$4:F61)+SUM($H$4:H61)</f>
        <v>21580</v>
      </c>
      <c r="H61" s="88">
        <v>0</v>
      </c>
      <c r="I61" s="70" t="s">
        <v>33</v>
      </c>
      <c r="J61" s="70" t="s">
        <v>33</v>
      </c>
      <c r="K61" s="70" t="s">
        <v>33</v>
      </c>
      <c r="L61" s="70" t="s">
        <v>33</v>
      </c>
      <c r="M61" s="70" t="s">
        <v>33</v>
      </c>
      <c r="N61" s="70" t="s">
        <v>33</v>
      </c>
      <c r="O61" s="71" t="s">
        <v>33</v>
      </c>
      <c r="P61" s="71" t="s">
        <v>33</v>
      </c>
      <c r="Q61" s="70" t="s">
        <v>33</v>
      </c>
      <c r="R61" s="70" t="s">
        <v>33</v>
      </c>
      <c r="S61" s="70" t="s">
        <v>33</v>
      </c>
      <c r="T61" s="70" t="s">
        <v>33</v>
      </c>
      <c r="U61" s="70" t="s">
        <v>33</v>
      </c>
      <c r="V61" s="70" t="s">
        <v>33</v>
      </c>
      <c r="W61" s="71" t="s">
        <v>33</v>
      </c>
      <c r="X61" s="71" t="s">
        <v>33</v>
      </c>
      <c r="Y61" s="70" t="s">
        <v>33</v>
      </c>
      <c r="Z61" s="70" t="s">
        <v>33</v>
      </c>
      <c r="AA61" s="70" t="s">
        <v>33</v>
      </c>
      <c r="AB61" s="70" t="s">
        <v>33</v>
      </c>
      <c r="AC61" s="70" t="s">
        <v>33</v>
      </c>
      <c r="AD61" s="70" t="s">
        <v>33</v>
      </c>
      <c r="AE61" s="71" t="s">
        <v>33</v>
      </c>
      <c r="AF61" s="71" t="s">
        <v>33</v>
      </c>
      <c r="AG61" s="91">
        <f t="shared" si="6"/>
        <v>0</v>
      </c>
      <c r="AH61" s="93"/>
      <c r="AI61" s="93"/>
      <c r="AJ61" s="93"/>
      <c r="AK61" s="95" t="s">
        <v>51</v>
      </c>
      <c r="AL61" s="84">
        <f t="shared" si="14"/>
        <v>18</v>
      </c>
      <c r="AM61" s="84">
        <f t="shared" si="15"/>
        <v>18</v>
      </c>
      <c r="AN61" s="84">
        <f t="shared" si="16"/>
        <v>18</v>
      </c>
      <c r="BE61" s="29"/>
    </row>
    <row r="62" spans="1:57">
      <c r="A62" s="94">
        <v>45879</v>
      </c>
      <c r="B62" s="88">
        <v>1600</v>
      </c>
      <c r="C62" s="89"/>
      <c r="D62" s="88">
        <f>(SUM(粮草!A62:X62)+AG62*10*IF(AK62="是",$BB$4,$BB$3))</f>
        <v>0</v>
      </c>
      <c r="E62" s="76">
        <f>SUM($B$4:B62)+SUM($C$4:C62)-SUM($D$4:D62)</f>
        <v>58468</v>
      </c>
      <c r="F62" s="88">
        <f>SUM(经验!A62:X62)</f>
        <v>0</v>
      </c>
      <c r="G62" s="88">
        <f>SUM($F$4:F62)+SUM($H$4:H62)</f>
        <v>21580</v>
      </c>
      <c r="H62" s="88">
        <v>0</v>
      </c>
      <c r="I62" s="70" t="s">
        <v>33</v>
      </c>
      <c r="J62" s="70" t="s">
        <v>33</v>
      </c>
      <c r="K62" s="70" t="s">
        <v>33</v>
      </c>
      <c r="L62" s="70" t="s">
        <v>33</v>
      </c>
      <c r="M62" s="70" t="s">
        <v>33</v>
      </c>
      <c r="N62" s="70" t="s">
        <v>33</v>
      </c>
      <c r="O62" s="71" t="s">
        <v>33</v>
      </c>
      <c r="P62" s="71" t="s">
        <v>33</v>
      </c>
      <c r="Q62" s="70" t="s">
        <v>33</v>
      </c>
      <c r="R62" s="70" t="s">
        <v>33</v>
      </c>
      <c r="S62" s="70" t="s">
        <v>33</v>
      </c>
      <c r="T62" s="70" t="s">
        <v>33</v>
      </c>
      <c r="U62" s="70" t="s">
        <v>33</v>
      </c>
      <c r="V62" s="70" t="s">
        <v>33</v>
      </c>
      <c r="W62" s="71" t="s">
        <v>33</v>
      </c>
      <c r="X62" s="71" t="s">
        <v>33</v>
      </c>
      <c r="Y62" s="70" t="s">
        <v>33</v>
      </c>
      <c r="Z62" s="70" t="s">
        <v>33</v>
      </c>
      <c r="AA62" s="70" t="s">
        <v>33</v>
      </c>
      <c r="AB62" s="70" t="s">
        <v>33</v>
      </c>
      <c r="AC62" s="70" t="s">
        <v>33</v>
      </c>
      <c r="AD62" s="70" t="s">
        <v>33</v>
      </c>
      <c r="AE62" s="71" t="s">
        <v>33</v>
      </c>
      <c r="AF62" s="71" t="s">
        <v>33</v>
      </c>
      <c r="AG62" s="91">
        <f t="shared" si="6"/>
        <v>0</v>
      </c>
      <c r="AH62" s="93"/>
      <c r="AI62" s="93"/>
      <c r="AJ62" s="93"/>
      <c r="AK62" s="95" t="s">
        <v>51</v>
      </c>
      <c r="AL62" s="84">
        <f t="shared" si="14"/>
        <v>18</v>
      </c>
      <c r="AM62" s="84">
        <f t="shared" si="15"/>
        <v>18</v>
      </c>
      <c r="AN62" s="84">
        <f t="shared" si="16"/>
        <v>18</v>
      </c>
      <c r="BE62" s="29"/>
    </row>
    <row r="63" spans="1:57">
      <c r="A63" s="94">
        <v>45880</v>
      </c>
      <c r="B63" s="90">
        <v>1600</v>
      </c>
      <c r="C63" s="90"/>
      <c r="D63" s="88">
        <f>(SUM(粮草!A63:X63)+AG63*10*IF(AK63="是",$BB$4,$BB$3))</f>
        <v>0</v>
      </c>
      <c r="E63" s="76">
        <f>SUM($B$4:B63)+SUM($C$4:C63)-SUM($D$4:D63)</f>
        <v>60068</v>
      </c>
      <c r="F63" s="88">
        <f>SUM(经验!A63:X63)</f>
        <v>0</v>
      </c>
      <c r="G63" s="88">
        <f>SUM($F$4:F63)+SUM($H$4:H63)</f>
        <v>21880</v>
      </c>
      <c r="H63" s="90">
        <v>300</v>
      </c>
      <c r="I63" s="70" t="s">
        <v>33</v>
      </c>
      <c r="J63" s="70" t="s">
        <v>33</v>
      </c>
      <c r="K63" s="70" t="s">
        <v>33</v>
      </c>
      <c r="L63" s="70" t="s">
        <v>33</v>
      </c>
      <c r="M63" s="70" t="s">
        <v>33</v>
      </c>
      <c r="N63" s="70" t="s">
        <v>33</v>
      </c>
      <c r="O63" s="71" t="s">
        <v>33</v>
      </c>
      <c r="P63" s="71" t="s">
        <v>33</v>
      </c>
      <c r="Q63" s="70" t="s">
        <v>33</v>
      </c>
      <c r="R63" s="70" t="s">
        <v>33</v>
      </c>
      <c r="S63" s="70" t="s">
        <v>33</v>
      </c>
      <c r="T63" s="70" t="s">
        <v>33</v>
      </c>
      <c r="U63" s="70" t="s">
        <v>33</v>
      </c>
      <c r="V63" s="70" t="s">
        <v>33</v>
      </c>
      <c r="W63" s="71" t="s">
        <v>33</v>
      </c>
      <c r="X63" s="71" t="s">
        <v>33</v>
      </c>
      <c r="Y63" s="70" t="s">
        <v>33</v>
      </c>
      <c r="Z63" s="70" t="s">
        <v>33</v>
      </c>
      <c r="AA63" s="70" t="s">
        <v>33</v>
      </c>
      <c r="AB63" s="70" t="s">
        <v>33</v>
      </c>
      <c r="AC63" s="70" t="s">
        <v>33</v>
      </c>
      <c r="AD63" s="70" t="s">
        <v>33</v>
      </c>
      <c r="AE63" s="71" t="s">
        <v>33</v>
      </c>
      <c r="AF63" s="71" t="s">
        <v>33</v>
      </c>
      <c r="AG63" s="91">
        <f t="shared" si="6"/>
        <v>0</v>
      </c>
      <c r="AH63" s="93"/>
      <c r="AI63" s="93"/>
      <c r="AJ63" s="93"/>
      <c r="AK63" s="95" t="s">
        <v>51</v>
      </c>
      <c r="AL63" s="84">
        <f t="shared" si="14"/>
        <v>18</v>
      </c>
      <c r="AM63" s="84">
        <f t="shared" si="15"/>
        <v>18</v>
      </c>
      <c r="AN63" s="84">
        <f t="shared" si="16"/>
        <v>18</v>
      </c>
      <c r="BE63" s="29"/>
    </row>
    <row r="64" spans="1:57">
      <c r="A64" s="94">
        <v>45881</v>
      </c>
      <c r="B64" s="90">
        <v>1600</v>
      </c>
      <c r="C64" s="90"/>
      <c r="D64" s="88">
        <f>(SUM(粮草!A64:X64)+AG64*10*IF(AK64="是",$BB$4,$BB$3))</f>
        <v>0</v>
      </c>
      <c r="E64" s="76">
        <f>SUM($B$4:B64)+SUM($C$4:C64)-SUM($D$4:D64)</f>
        <v>61668</v>
      </c>
      <c r="F64" s="88">
        <f>SUM(经验!A64:X64)</f>
        <v>0</v>
      </c>
      <c r="G64" s="88">
        <f>SUM($F$4:F64)+SUM($H$4:H64)</f>
        <v>21880</v>
      </c>
      <c r="H64" s="90">
        <v>0</v>
      </c>
      <c r="I64" s="70" t="s">
        <v>33</v>
      </c>
      <c r="J64" s="70" t="s">
        <v>33</v>
      </c>
      <c r="K64" s="70" t="s">
        <v>33</v>
      </c>
      <c r="L64" s="70" t="s">
        <v>33</v>
      </c>
      <c r="M64" s="70" t="s">
        <v>33</v>
      </c>
      <c r="N64" s="70" t="s">
        <v>33</v>
      </c>
      <c r="O64" s="71" t="s">
        <v>33</v>
      </c>
      <c r="P64" s="71" t="s">
        <v>33</v>
      </c>
      <c r="Q64" s="70" t="s">
        <v>33</v>
      </c>
      <c r="R64" s="70" t="s">
        <v>33</v>
      </c>
      <c r="S64" s="70" t="s">
        <v>33</v>
      </c>
      <c r="T64" s="70" t="s">
        <v>33</v>
      </c>
      <c r="U64" s="70" t="s">
        <v>33</v>
      </c>
      <c r="V64" s="70" t="s">
        <v>33</v>
      </c>
      <c r="W64" s="71" t="s">
        <v>33</v>
      </c>
      <c r="X64" s="71" t="s">
        <v>33</v>
      </c>
      <c r="Y64" s="70" t="s">
        <v>33</v>
      </c>
      <c r="Z64" s="70" t="s">
        <v>33</v>
      </c>
      <c r="AA64" s="70" t="s">
        <v>33</v>
      </c>
      <c r="AB64" s="70" t="s">
        <v>33</v>
      </c>
      <c r="AC64" s="70" t="s">
        <v>33</v>
      </c>
      <c r="AD64" s="70" t="s">
        <v>33</v>
      </c>
      <c r="AE64" s="71" t="s">
        <v>33</v>
      </c>
      <c r="AF64" s="71" t="s">
        <v>33</v>
      </c>
      <c r="AG64" s="91">
        <f t="shared" si="6"/>
        <v>0</v>
      </c>
      <c r="AH64" s="93"/>
      <c r="AI64" s="93"/>
      <c r="AJ64" s="93"/>
      <c r="AK64" s="95" t="s">
        <v>51</v>
      </c>
      <c r="AL64" s="84">
        <f t="shared" si="14"/>
        <v>18</v>
      </c>
      <c r="AM64" s="84">
        <f t="shared" si="15"/>
        <v>18</v>
      </c>
      <c r="AN64" s="84">
        <f t="shared" si="16"/>
        <v>18</v>
      </c>
      <c r="BE64" s="29"/>
    </row>
    <row r="65" spans="1:57">
      <c r="A65" s="94">
        <v>45882</v>
      </c>
      <c r="B65" s="90">
        <v>1600</v>
      </c>
      <c r="C65" s="90"/>
      <c r="D65" s="88">
        <f>(SUM(粮草!A65:X65)+AG65*10*IF(AK65="是",$BB$4,$BB$3))</f>
        <v>0</v>
      </c>
      <c r="E65" s="76">
        <f>SUM($B$4:B65)+SUM($C$4:C65)-SUM($D$4:D65)</f>
        <v>63268</v>
      </c>
      <c r="F65" s="88">
        <f>SUM(经验!A65:X65)</f>
        <v>0</v>
      </c>
      <c r="G65" s="88">
        <f>SUM($F$4:F65)+SUM($H$4:H65)</f>
        <v>22080</v>
      </c>
      <c r="H65" s="90">
        <v>200</v>
      </c>
      <c r="I65" s="70" t="s">
        <v>33</v>
      </c>
      <c r="J65" s="70" t="s">
        <v>33</v>
      </c>
      <c r="K65" s="70" t="s">
        <v>33</v>
      </c>
      <c r="L65" s="70" t="s">
        <v>33</v>
      </c>
      <c r="M65" s="70" t="s">
        <v>33</v>
      </c>
      <c r="N65" s="70" t="s">
        <v>33</v>
      </c>
      <c r="O65" s="71" t="s">
        <v>33</v>
      </c>
      <c r="P65" s="71" t="s">
        <v>33</v>
      </c>
      <c r="Q65" s="70" t="s">
        <v>33</v>
      </c>
      <c r="R65" s="70" t="s">
        <v>33</v>
      </c>
      <c r="S65" s="70" t="s">
        <v>33</v>
      </c>
      <c r="T65" s="70" t="s">
        <v>33</v>
      </c>
      <c r="U65" s="70" t="s">
        <v>33</v>
      </c>
      <c r="V65" s="70" t="s">
        <v>33</v>
      </c>
      <c r="W65" s="71" t="s">
        <v>33</v>
      </c>
      <c r="X65" s="71" t="s">
        <v>33</v>
      </c>
      <c r="Y65" s="70" t="s">
        <v>33</v>
      </c>
      <c r="Z65" s="70" t="s">
        <v>33</v>
      </c>
      <c r="AA65" s="70" t="s">
        <v>33</v>
      </c>
      <c r="AB65" s="70" t="s">
        <v>33</v>
      </c>
      <c r="AC65" s="70" t="s">
        <v>33</v>
      </c>
      <c r="AD65" s="70" t="s">
        <v>33</v>
      </c>
      <c r="AE65" s="71" t="s">
        <v>33</v>
      </c>
      <c r="AF65" s="71" t="s">
        <v>33</v>
      </c>
      <c r="AG65" s="91">
        <f t="shared" si="6"/>
        <v>0</v>
      </c>
      <c r="AH65" s="93"/>
      <c r="AI65" s="93"/>
      <c r="AJ65" s="93"/>
      <c r="AK65" s="95" t="s">
        <v>51</v>
      </c>
      <c r="AL65" s="84">
        <f t="shared" si="14"/>
        <v>18</v>
      </c>
      <c r="AM65" s="84">
        <f t="shared" si="15"/>
        <v>18</v>
      </c>
      <c r="AN65" s="84">
        <f t="shared" si="16"/>
        <v>18</v>
      </c>
      <c r="BE65" s="29"/>
    </row>
    <row r="66" spans="1:57">
      <c r="A66" s="94">
        <v>45883</v>
      </c>
      <c r="B66" s="90">
        <v>1600</v>
      </c>
      <c r="C66" s="90"/>
      <c r="D66" s="88">
        <f>(SUM(粮草!A66:X66)+AG66*10*IF(AK66="是",$BB$4,$BB$3))</f>
        <v>0</v>
      </c>
      <c r="E66" s="76">
        <f>SUM($B$4:B66)+SUM($C$4:C66)-SUM($D$4:D66)</f>
        <v>64868</v>
      </c>
      <c r="F66" s="88">
        <f>SUM(经验!A66:X66)</f>
        <v>0</v>
      </c>
      <c r="G66" s="88">
        <f>SUM($F$4:F66)+SUM($H$4:H66)</f>
        <v>22080</v>
      </c>
      <c r="H66" s="90">
        <v>0</v>
      </c>
      <c r="I66" s="70" t="s">
        <v>33</v>
      </c>
      <c r="J66" s="70" t="s">
        <v>33</v>
      </c>
      <c r="K66" s="70" t="s">
        <v>33</v>
      </c>
      <c r="L66" s="70" t="s">
        <v>33</v>
      </c>
      <c r="M66" s="70" t="s">
        <v>33</v>
      </c>
      <c r="N66" s="70" t="s">
        <v>33</v>
      </c>
      <c r="O66" s="71" t="s">
        <v>33</v>
      </c>
      <c r="P66" s="71" t="s">
        <v>33</v>
      </c>
      <c r="Q66" s="70" t="s">
        <v>33</v>
      </c>
      <c r="R66" s="70" t="s">
        <v>33</v>
      </c>
      <c r="S66" s="70" t="s">
        <v>33</v>
      </c>
      <c r="T66" s="70" t="s">
        <v>33</v>
      </c>
      <c r="U66" s="70" t="s">
        <v>33</v>
      </c>
      <c r="V66" s="70" t="s">
        <v>33</v>
      </c>
      <c r="W66" s="71" t="s">
        <v>33</v>
      </c>
      <c r="X66" s="71" t="s">
        <v>33</v>
      </c>
      <c r="Y66" s="70" t="s">
        <v>33</v>
      </c>
      <c r="Z66" s="70" t="s">
        <v>33</v>
      </c>
      <c r="AA66" s="70" t="s">
        <v>33</v>
      </c>
      <c r="AB66" s="70" t="s">
        <v>33</v>
      </c>
      <c r="AC66" s="70" t="s">
        <v>33</v>
      </c>
      <c r="AD66" s="70" t="s">
        <v>33</v>
      </c>
      <c r="AE66" s="71" t="s">
        <v>33</v>
      </c>
      <c r="AF66" s="71" t="s">
        <v>33</v>
      </c>
      <c r="AG66" s="91">
        <f t="shared" si="6"/>
        <v>0</v>
      </c>
      <c r="AH66" s="93"/>
      <c r="AI66" s="93"/>
      <c r="AJ66" s="93"/>
      <c r="AK66" s="95" t="s">
        <v>51</v>
      </c>
      <c r="AL66" s="84">
        <f t="shared" si="14"/>
        <v>18</v>
      </c>
      <c r="AM66" s="84">
        <f t="shared" si="15"/>
        <v>18</v>
      </c>
      <c r="AN66" s="84">
        <f t="shared" si="16"/>
        <v>18</v>
      </c>
      <c r="BE66" s="29"/>
    </row>
    <row r="67" spans="1:57">
      <c r="A67" s="94">
        <v>45884</v>
      </c>
      <c r="B67" s="90">
        <v>1600</v>
      </c>
      <c r="C67" s="90"/>
      <c r="D67" s="88">
        <f>(SUM(粮草!A67:X67)+AG67*10*IF(AK67="是",$BB$4,$BB$3))</f>
        <v>0</v>
      </c>
      <c r="E67" s="76">
        <f>SUM($B$4:B67)+SUM($C$4:C67)-SUM($D$4:D67)</f>
        <v>66468</v>
      </c>
      <c r="F67" s="88">
        <f>SUM(经验!A67:X67)</f>
        <v>0</v>
      </c>
      <c r="G67" s="88">
        <f>SUM($F$4:F67)+SUM($H$4:H67)</f>
        <v>22080</v>
      </c>
      <c r="H67" s="90">
        <v>0</v>
      </c>
      <c r="I67" s="70" t="s">
        <v>33</v>
      </c>
      <c r="J67" s="70" t="s">
        <v>33</v>
      </c>
      <c r="K67" s="70" t="s">
        <v>33</v>
      </c>
      <c r="L67" s="70" t="s">
        <v>33</v>
      </c>
      <c r="M67" s="70" t="s">
        <v>33</v>
      </c>
      <c r="N67" s="70" t="s">
        <v>33</v>
      </c>
      <c r="O67" s="71" t="s">
        <v>33</v>
      </c>
      <c r="P67" s="71" t="s">
        <v>33</v>
      </c>
      <c r="Q67" s="70" t="s">
        <v>33</v>
      </c>
      <c r="R67" s="70" t="s">
        <v>33</v>
      </c>
      <c r="S67" s="70" t="s">
        <v>33</v>
      </c>
      <c r="T67" s="70" t="s">
        <v>33</v>
      </c>
      <c r="U67" s="70" t="s">
        <v>33</v>
      </c>
      <c r="V67" s="70" t="s">
        <v>33</v>
      </c>
      <c r="W67" s="71" t="s">
        <v>33</v>
      </c>
      <c r="X67" s="71" t="s">
        <v>33</v>
      </c>
      <c r="Y67" s="70" t="s">
        <v>33</v>
      </c>
      <c r="Z67" s="70" t="s">
        <v>33</v>
      </c>
      <c r="AA67" s="70" t="s">
        <v>33</v>
      </c>
      <c r="AB67" s="70" t="s">
        <v>33</v>
      </c>
      <c r="AC67" s="70" t="s">
        <v>33</v>
      </c>
      <c r="AD67" s="70" t="s">
        <v>33</v>
      </c>
      <c r="AE67" s="71" t="s">
        <v>33</v>
      </c>
      <c r="AF67" s="71" t="s">
        <v>33</v>
      </c>
      <c r="AG67" s="91">
        <f t="shared" si="6"/>
        <v>0</v>
      </c>
      <c r="AH67" s="93"/>
      <c r="AI67" s="93"/>
      <c r="AJ67" s="93"/>
      <c r="AK67" s="95" t="s">
        <v>51</v>
      </c>
      <c r="AL67" s="84">
        <f t="shared" si="14"/>
        <v>18</v>
      </c>
      <c r="AM67" s="84">
        <f t="shared" si="15"/>
        <v>18</v>
      </c>
      <c r="AN67" s="84">
        <f t="shared" si="16"/>
        <v>18</v>
      </c>
      <c r="BE67" s="29"/>
    </row>
    <row r="68" spans="1:57">
      <c r="A68" s="94">
        <v>45885</v>
      </c>
      <c r="B68" s="90">
        <v>1600</v>
      </c>
      <c r="C68" s="90"/>
      <c r="D68" s="88">
        <f>(SUM(粮草!A68:X68)+AG68*10*IF(AK68="是",$BB$4,$BB$3))</f>
        <v>0</v>
      </c>
      <c r="E68" s="76">
        <f>SUM($B$4:B68)+SUM($C$4:C68)-SUM($D$4:D68)</f>
        <v>68068</v>
      </c>
      <c r="F68" s="88">
        <f>SUM(经验!A68:X68)</f>
        <v>0</v>
      </c>
      <c r="G68" s="88">
        <f>SUM($F$4:F68)+SUM($H$4:H68)</f>
        <v>22080</v>
      </c>
      <c r="H68" s="90">
        <v>0</v>
      </c>
      <c r="I68" s="70" t="s">
        <v>33</v>
      </c>
      <c r="J68" s="70" t="s">
        <v>33</v>
      </c>
      <c r="K68" s="70" t="s">
        <v>33</v>
      </c>
      <c r="L68" s="70" t="s">
        <v>33</v>
      </c>
      <c r="M68" s="70" t="s">
        <v>33</v>
      </c>
      <c r="N68" s="70" t="s">
        <v>33</v>
      </c>
      <c r="O68" s="71" t="s">
        <v>33</v>
      </c>
      <c r="P68" s="71" t="s">
        <v>33</v>
      </c>
      <c r="Q68" s="70" t="s">
        <v>33</v>
      </c>
      <c r="R68" s="70" t="s">
        <v>33</v>
      </c>
      <c r="S68" s="70" t="s">
        <v>33</v>
      </c>
      <c r="T68" s="70" t="s">
        <v>33</v>
      </c>
      <c r="U68" s="70" t="s">
        <v>33</v>
      </c>
      <c r="V68" s="70" t="s">
        <v>33</v>
      </c>
      <c r="W68" s="71" t="s">
        <v>33</v>
      </c>
      <c r="X68" s="71" t="s">
        <v>33</v>
      </c>
      <c r="Y68" s="70" t="s">
        <v>33</v>
      </c>
      <c r="Z68" s="70" t="s">
        <v>33</v>
      </c>
      <c r="AA68" s="70" t="s">
        <v>33</v>
      </c>
      <c r="AB68" s="70" t="s">
        <v>33</v>
      </c>
      <c r="AC68" s="70" t="s">
        <v>33</v>
      </c>
      <c r="AD68" s="70" t="s">
        <v>33</v>
      </c>
      <c r="AE68" s="71" t="s">
        <v>33</v>
      </c>
      <c r="AF68" s="71" t="s">
        <v>33</v>
      </c>
      <c r="AG68" s="91">
        <f t="shared" si="6"/>
        <v>0</v>
      </c>
      <c r="AH68" s="93"/>
      <c r="AI68" s="93"/>
      <c r="AJ68" s="93"/>
      <c r="AK68" s="95" t="s">
        <v>51</v>
      </c>
      <c r="AL68" s="84">
        <f t="shared" si="14"/>
        <v>18</v>
      </c>
      <c r="AM68" s="84">
        <f t="shared" si="15"/>
        <v>18</v>
      </c>
      <c r="AN68" s="84">
        <f t="shared" si="16"/>
        <v>18</v>
      </c>
      <c r="BE68" s="29"/>
    </row>
    <row r="69" spans="1:57">
      <c r="A69" s="94">
        <v>45886</v>
      </c>
      <c r="B69" s="90">
        <v>1600</v>
      </c>
      <c r="C69" s="90"/>
      <c r="D69" s="88">
        <f>(SUM(粮草!A69:X69)+AG69*10*IF(AK69="是",$BB$4,$BB$3))</f>
        <v>0</v>
      </c>
      <c r="E69" s="76">
        <f>SUM($B$4:B69)+SUM($C$4:C69)-SUM($D$4:D69)</f>
        <v>69668</v>
      </c>
      <c r="F69" s="88">
        <f>SUM(经验!A69:X69)</f>
        <v>0</v>
      </c>
      <c r="G69" s="88">
        <f>SUM($F$4:F69)+SUM($H$4:H69)</f>
        <v>22080</v>
      </c>
      <c r="H69" s="90">
        <v>0</v>
      </c>
      <c r="I69" s="70" t="s">
        <v>33</v>
      </c>
      <c r="J69" s="70" t="s">
        <v>33</v>
      </c>
      <c r="K69" s="70" t="s">
        <v>33</v>
      </c>
      <c r="L69" s="70" t="s">
        <v>33</v>
      </c>
      <c r="M69" s="70" t="s">
        <v>33</v>
      </c>
      <c r="N69" s="70" t="s">
        <v>33</v>
      </c>
      <c r="O69" s="71" t="s">
        <v>33</v>
      </c>
      <c r="P69" s="71" t="s">
        <v>33</v>
      </c>
      <c r="Q69" s="70" t="s">
        <v>33</v>
      </c>
      <c r="R69" s="70" t="s">
        <v>33</v>
      </c>
      <c r="S69" s="70" t="s">
        <v>33</v>
      </c>
      <c r="T69" s="70" t="s">
        <v>33</v>
      </c>
      <c r="U69" s="70" t="s">
        <v>33</v>
      </c>
      <c r="V69" s="70" t="s">
        <v>33</v>
      </c>
      <c r="W69" s="71" t="s">
        <v>33</v>
      </c>
      <c r="X69" s="71" t="s">
        <v>33</v>
      </c>
      <c r="Y69" s="70" t="s">
        <v>33</v>
      </c>
      <c r="Z69" s="70" t="s">
        <v>33</v>
      </c>
      <c r="AA69" s="70" t="s">
        <v>33</v>
      </c>
      <c r="AB69" s="70" t="s">
        <v>33</v>
      </c>
      <c r="AC69" s="70" t="s">
        <v>33</v>
      </c>
      <c r="AD69" s="70" t="s">
        <v>33</v>
      </c>
      <c r="AE69" s="71" t="s">
        <v>33</v>
      </c>
      <c r="AF69" s="71" t="s">
        <v>33</v>
      </c>
      <c r="AG69" s="91">
        <f t="shared" ref="AG69:AG93" si="17">AH69+AI69+AJ69</f>
        <v>0</v>
      </c>
      <c r="AH69" s="93"/>
      <c r="AI69" s="93"/>
      <c r="AJ69" s="93"/>
      <c r="AK69" s="95" t="s">
        <v>51</v>
      </c>
      <c r="AL69" s="84">
        <f t="shared" ref="AL69:AL93" si="18">MIN(AL68+6,18)-COUNTIF(I69:P69,"&lt;&gt;空")+COUNTIF(I69:P69,"历练")+COUNTIF(I69:P69,"营地")*2</f>
        <v>18</v>
      </c>
      <c r="AM69" s="84">
        <f t="shared" ref="AM69:AM93" si="19">MIN(AM68+6,18)-COUNTIF(Q69:X69,"&lt;&gt;空")+COUNTIF(Q69:X69,"历练")+COUNTIF(Q69:X69,"营地")*2</f>
        <v>18</v>
      </c>
      <c r="AN69" s="84">
        <f t="shared" ref="AN69:AN93" si="20">MIN(AN68+6,18)-COUNTIF(Y69:AF69,"&lt;&gt;空")+COUNTIF(Y69:AF69,"历练")+COUNTIF(Y69:AF69,"营地")*2</f>
        <v>18</v>
      </c>
      <c r="BE69" s="29"/>
    </row>
    <row r="70" spans="1:57">
      <c r="A70" s="94">
        <v>45887</v>
      </c>
      <c r="B70" s="88">
        <v>1600</v>
      </c>
      <c r="C70" s="89"/>
      <c r="D70" s="88">
        <f>(SUM(粮草!A70:X70)+AG70*10*IF(AK70="是",$BB$4,$BB$3))</f>
        <v>0</v>
      </c>
      <c r="E70" s="76">
        <f>SUM($B$4:B70)+SUM($C$4:C70)-SUM($D$4:D70)</f>
        <v>71268</v>
      </c>
      <c r="F70" s="88">
        <f>SUM(经验!A70:X70)</f>
        <v>0</v>
      </c>
      <c r="G70" s="88">
        <f>SUM($F$4:F70)+SUM($H$4:H70)</f>
        <v>22380</v>
      </c>
      <c r="H70" s="88">
        <v>300</v>
      </c>
      <c r="I70" s="70" t="s">
        <v>33</v>
      </c>
      <c r="J70" s="70" t="s">
        <v>33</v>
      </c>
      <c r="K70" s="70" t="s">
        <v>33</v>
      </c>
      <c r="L70" s="70" t="s">
        <v>33</v>
      </c>
      <c r="M70" s="70" t="s">
        <v>33</v>
      </c>
      <c r="N70" s="70" t="s">
        <v>33</v>
      </c>
      <c r="O70" s="71" t="s">
        <v>33</v>
      </c>
      <c r="P70" s="71" t="s">
        <v>33</v>
      </c>
      <c r="Q70" s="70" t="s">
        <v>33</v>
      </c>
      <c r="R70" s="70" t="s">
        <v>33</v>
      </c>
      <c r="S70" s="70" t="s">
        <v>33</v>
      </c>
      <c r="T70" s="70" t="s">
        <v>33</v>
      </c>
      <c r="U70" s="70" t="s">
        <v>33</v>
      </c>
      <c r="V70" s="70" t="s">
        <v>33</v>
      </c>
      <c r="W70" s="71" t="s">
        <v>33</v>
      </c>
      <c r="X70" s="71" t="s">
        <v>33</v>
      </c>
      <c r="Y70" s="70" t="s">
        <v>33</v>
      </c>
      <c r="Z70" s="70" t="s">
        <v>33</v>
      </c>
      <c r="AA70" s="70" t="s">
        <v>33</v>
      </c>
      <c r="AB70" s="70" t="s">
        <v>33</v>
      </c>
      <c r="AC70" s="70" t="s">
        <v>33</v>
      </c>
      <c r="AD70" s="70" t="s">
        <v>33</v>
      </c>
      <c r="AE70" s="71" t="s">
        <v>33</v>
      </c>
      <c r="AF70" s="71" t="s">
        <v>33</v>
      </c>
      <c r="AG70" s="91">
        <f t="shared" si="17"/>
        <v>0</v>
      </c>
      <c r="AH70" s="93"/>
      <c r="AI70" s="93"/>
      <c r="AJ70" s="93"/>
      <c r="AK70" s="95" t="s">
        <v>51</v>
      </c>
      <c r="AL70" s="84">
        <f t="shared" si="18"/>
        <v>18</v>
      </c>
      <c r="AM70" s="84">
        <f t="shared" si="19"/>
        <v>18</v>
      </c>
      <c r="AN70" s="84">
        <f t="shared" si="20"/>
        <v>18</v>
      </c>
      <c r="BE70" s="29"/>
    </row>
    <row r="71" spans="1:57">
      <c r="A71" s="94">
        <v>45888</v>
      </c>
      <c r="B71" s="88">
        <v>1600</v>
      </c>
      <c r="C71" s="89"/>
      <c r="D71" s="88">
        <f>(SUM(粮草!A71:X71)+AG71*10*IF(AK71="是",$BB$4,$BB$3))</f>
        <v>0</v>
      </c>
      <c r="E71" s="76">
        <f>SUM($B$4:B71)+SUM($C$4:C71)-SUM($D$4:D71)</f>
        <v>72868</v>
      </c>
      <c r="F71" s="88">
        <f>SUM(经验!A71:X71)</f>
        <v>0</v>
      </c>
      <c r="G71" s="88">
        <f>SUM($F$4:F71)+SUM($H$4:H71)</f>
        <v>22380</v>
      </c>
      <c r="H71" s="88">
        <v>0</v>
      </c>
      <c r="I71" s="70" t="s">
        <v>33</v>
      </c>
      <c r="J71" s="70" t="s">
        <v>33</v>
      </c>
      <c r="K71" s="70" t="s">
        <v>33</v>
      </c>
      <c r="L71" s="70" t="s">
        <v>33</v>
      </c>
      <c r="M71" s="70" t="s">
        <v>33</v>
      </c>
      <c r="N71" s="70" t="s">
        <v>33</v>
      </c>
      <c r="O71" s="71" t="s">
        <v>33</v>
      </c>
      <c r="P71" s="71" t="s">
        <v>33</v>
      </c>
      <c r="Q71" s="70" t="s">
        <v>33</v>
      </c>
      <c r="R71" s="70" t="s">
        <v>33</v>
      </c>
      <c r="S71" s="70" t="s">
        <v>33</v>
      </c>
      <c r="T71" s="70" t="s">
        <v>33</v>
      </c>
      <c r="U71" s="70" t="s">
        <v>33</v>
      </c>
      <c r="V71" s="70" t="s">
        <v>33</v>
      </c>
      <c r="W71" s="71" t="s">
        <v>33</v>
      </c>
      <c r="X71" s="71" t="s">
        <v>33</v>
      </c>
      <c r="Y71" s="70" t="s">
        <v>33</v>
      </c>
      <c r="Z71" s="70" t="s">
        <v>33</v>
      </c>
      <c r="AA71" s="70" t="s">
        <v>33</v>
      </c>
      <c r="AB71" s="70" t="s">
        <v>33</v>
      </c>
      <c r="AC71" s="70" t="s">
        <v>33</v>
      </c>
      <c r="AD71" s="70" t="s">
        <v>33</v>
      </c>
      <c r="AE71" s="71" t="s">
        <v>33</v>
      </c>
      <c r="AF71" s="71" t="s">
        <v>33</v>
      </c>
      <c r="AG71" s="91">
        <f t="shared" si="17"/>
        <v>0</v>
      </c>
      <c r="AH71" s="93"/>
      <c r="AI71" s="93"/>
      <c r="AJ71" s="93"/>
      <c r="AK71" s="95" t="s">
        <v>51</v>
      </c>
      <c r="AL71" s="84">
        <f t="shared" si="18"/>
        <v>18</v>
      </c>
      <c r="AM71" s="84">
        <f t="shared" si="19"/>
        <v>18</v>
      </c>
      <c r="AN71" s="84">
        <f t="shared" si="20"/>
        <v>18</v>
      </c>
      <c r="BE71" s="29"/>
    </row>
    <row r="72" spans="1:57">
      <c r="A72" s="94">
        <v>45889</v>
      </c>
      <c r="B72" s="88">
        <v>1600</v>
      </c>
      <c r="C72" s="89"/>
      <c r="D72" s="88">
        <f>(SUM(粮草!A72:X72)+AG72*10*IF(AK72="是",$BB$4,$BB$3))</f>
        <v>0</v>
      </c>
      <c r="E72" s="76">
        <f>SUM($B$4:B72)+SUM($C$4:C72)-SUM($D$4:D72)</f>
        <v>74468</v>
      </c>
      <c r="F72" s="88">
        <f>SUM(经验!A72:X72)</f>
        <v>0</v>
      </c>
      <c r="G72" s="88">
        <f>SUM($F$4:F72)+SUM($H$4:H72)</f>
        <v>22580</v>
      </c>
      <c r="H72" s="88">
        <v>200</v>
      </c>
      <c r="I72" s="70" t="s">
        <v>33</v>
      </c>
      <c r="J72" s="70" t="s">
        <v>33</v>
      </c>
      <c r="K72" s="70" t="s">
        <v>33</v>
      </c>
      <c r="L72" s="70" t="s">
        <v>33</v>
      </c>
      <c r="M72" s="70" t="s">
        <v>33</v>
      </c>
      <c r="N72" s="70" t="s">
        <v>33</v>
      </c>
      <c r="O72" s="71" t="s">
        <v>33</v>
      </c>
      <c r="P72" s="71" t="s">
        <v>33</v>
      </c>
      <c r="Q72" s="70" t="s">
        <v>33</v>
      </c>
      <c r="R72" s="70" t="s">
        <v>33</v>
      </c>
      <c r="S72" s="70" t="s">
        <v>33</v>
      </c>
      <c r="T72" s="70" t="s">
        <v>33</v>
      </c>
      <c r="U72" s="70" t="s">
        <v>33</v>
      </c>
      <c r="V72" s="70" t="s">
        <v>33</v>
      </c>
      <c r="W72" s="71" t="s">
        <v>33</v>
      </c>
      <c r="X72" s="71" t="s">
        <v>33</v>
      </c>
      <c r="Y72" s="70" t="s">
        <v>33</v>
      </c>
      <c r="Z72" s="70" t="s">
        <v>33</v>
      </c>
      <c r="AA72" s="70" t="s">
        <v>33</v>
      </c>
      <c r="AB72" s="70" t="s">
        <v>33</v>
      </c>
      <c r="AC72" s="70" t="s">
        <v>33</v>
      </c>
      <c r="AD72" s="70" t="s">
        <v>33</v>
      </c>
      <c r="AE72" s="71" t="s">
        <v>33</v>
      </c>
      <c r="AF72" s="71" t="s">
        <v>33</v>
      </c>
      <c r="AG72" s="91">
        <f t="shared" si="17"/>
        <v>0</v>
      </c>
      <c r="AH72" s="93"/>
      <c r="AI72" s="93"/>
      <c r="AJ72" s="93"/>
      <c r="AK72" s="95" t="s">
        <v>51</v>
      </c>
      <c r="AL72" s="84">
        <f t="shared" si="18"/>
        <v>18</v>
      </c>
      <c r="AM72" s="84">
        <f t="shared" si="19"/>
        <v>18</v>
      </c>
      <c r="AN72" s="84">
        <f t="shared" si="20"/>
        <v>18</v>
      </c>
      <c r="BE72" s="29"/>
    </row>
    <row r="73" spans="1:57">
      <c r="A73" s="94">
        <v>45890</v>
      </c>
      <c r="B73" s="88">
        <v>1600</v>
      </c>
      <c r="C73" s="89"/>
      <c r="D73" s="88">
        <f>(SUM(粮草!A73:X73)+AG73*10*IF(AK73="是",$BB$4,$BB$3))</f>
        <v>0</v>
      </c>
      <c r="E73" s="76">
        <f>SUM($B$4:B73)+SUM($C$4:C73)-SUM($D$4:D73)</f>
        <v>76068</v>
      </c>
      <c r="F73" s="88">
        <f>SUM(经验!A73:X73)</f>
        <v>0</v>
      </c>
      <c r="G73" s="88">
        <f>SUM($F$4:F73)+SUM($H$4:H73)</f>
        <v>22580</v>
      </c>
      <c r="H73" s="88">
        <v>0</v>
      </c>
      <c r="I73" s="70" t="s">
        <v>33</v>
      </c>
      <c r="J73" s="70" t="s">
        <v>33</v>
      </c>
      <c r="K73" s="70" t="s">
        <v>33</v>
      </c>
      <c r="L73" s="70" t="s">
        <v>33</v>
      </c>
      <c r="M73" s="70" t="s">
        <v>33</v>
      </c>
      <c r="N73" s="70" t="s">
        <v>33</v>
      </c>
      <c r="O73" s="71" t="s">
        <v>33</v>
      </c>
      <c r="P73" s="71" t="s">
        <v>33</v>
      </c>
      <c r="Q73" s="70" t="s">
        <v>33</v>
      </c>
      <c r="R73" s="70" t="s">
        <v>33</v>
      </c>
      <c r="S73" s="70" t="s">
        <v>33</v>
      </c>
      <c r="T73" s="70" t="s">
        <v>33</v>
      </c>
      <c r="U73" s="70" t="s">
        <v>33</v>
      </c>
      <c r="V73" s="70" t="s">
        <v>33</v>
      </c>
      <c r="W73" s="71" t="s">
        <v>33</v>
      </c>
      <c r="X73" s="71" t="s">
        <v>33</v>
      </c>
      <c r="Y73" s="70" t="s">
        <v>33</v>
      </c>
      <c r="Z73" s="70" t="s">
        <v>33</v>
      </c>
      <c r="AA73" s="70" t="s">
        <v>33</v>
      </c>
      <c r="AB73" s="70" t="s">
        <v>33</v>
      </c>
      <c r="AC73" s="70" t="s">
        <v>33</v>
      </c>
      <c r="AD73" s="70" t="s">
        <v>33</v>
      </c>
      <c r="AE73" s="71" t="s">
        <v>33</v>
      </c>
      <c r="AF73" s="71" t="s">
        <v>33</v>
      </c>
      <c r="AG73" s="91">
        <f t="shared" si="17"/>
        <v>0</v>
      </c>
      <c r="AH73" s="93"/>
      <c r="AI73" s="93"/>
      <c r="AJ73" s="93"/>
      <c r="AK73" s="95" t="s">
        <v>51</v>
      </c>
      <c r="AL73" s="84">
        <f t="shared" si="18"/>
        <v>18</v>
      </c>
      <c r="AM73" s="84">
        <f t="shared" si="19"/>
        <v>18</v>
      </c>
      <c r="AN73" s="84">
        <f t="shared" si="20"/>
        <v>18</v>
      </c>
      <c r="BE73" s="29"/>
    </row>
    <row r="74" spans="1:57">
      <c r="A74" s="94">
        <v>45891</v>
      </c>
      <c r="B74" s="88">
        <v>1600</v>
      </c>
      <c r="C74" s="89"/>
      <c r="D74" s="88">
        <f>(SUM(粮草!A74:X74)+AG74*10*IF(AK74="是",$BB$4,$BB$3))</f>
        <v>0</v>
      </c>
      <c r="E74" s="76">
        <f>SUM($B$4:B74)+SUM($C$4:C74)-SUM($D$4:D74)</f>
        <v>77668</v>
      </c>
      <c r="F74" s="88">
        <f>SUM(经验!A74:X74)</f>
        <v>0</v>
      </c>
      <c r="G74" s="88">
        <f>SUM($F$4:F74)+SUM($H$4:H74)</f>
        <v>22580</v>
      </c>
      <c r="H74" s="88">
        <v>0</v>
      </c>
      <c r="I74" s="70" t="s">
        <v>33</v>
      </c>
      <c r="J74" s="70" t="s">
        <v>33</v>
      </c>
      <c r="K74" s="70" t="s">
        <v>33</v>
      </c>
      <c r="L74" s="70" t="s">
        <v>33</v>
      </c>
      <c r="M74" s="70" t="s">
        <v>33</v>
      </c>
      <c r="N74" s="70" t="s">
        <v>33</v>
      </c>
      <c r="O74" s="71" t="s">
        <v>33</v>
      </c>
      <c r="P74" s="71" t="s">
        <v>33</v>
      </c>
      <c r="Q74" s="70" t="s">
        <v>33</v>
      </c>
      <c r="R74" s="70" t="s">
        <v>33</v>
      </c>
      <c r="S74" s="70" t="s">
        <v>33</v>
      </c>
      <c r="T74" s="70" t="s">
        <v>33</v>
      </c>
      <c r="U74" s="70" t="s">
        <v>33</v>
      </c>
      <c r="V74" s="70" t="s">
        <v>33</v>
      </c>
      <c r="W74" s="71" t="s">
        <v>33</v>
      </c>
      <c r="X74" s="71" t="s">
        <v>33</v>
      </c>
      <c r="Y74" s="70" t="s">
        <v>33</v>
      </c>
      <c r="Z74" s="70" t="s">
        <v>33</v>
      </c>
      <c r="AA74" s="70" t="s">
        <v>33</v>
      </c>
      <c r="AB74" s="70" t="s">
        <v>33</v>
      </c>
      <c r="AC74" s="70" t="s">
        <v>33</v>
      </c>
      <c r="AD74" s="70" t="s">
        <v>33</v>
      </c>
      <c r="AE74" s="71" t="s">
        <v>33</v>
      </c>
      <c r="AF74" s="71" t="s">
        <v>33</v>
      </c>
      <c r="AG74" s="91">
        <f t="shared" si="17"/>
        <v>0</v>
      </c>
      <c r="AH74" s="93"/>
      <c r="AI74" s="93"/>
      <c r="AJ74" s="93"/>
      <c r="AK74" s="95" t="s">
        <v>51</v>
      </c>
      <c r="AL74" s="84">
        <f t="shared" si="18"/>
        <v>18</v>
      </c>
      <c r="AM74" s="84">
        <f t="shared" si="19"/>
        <v>18</v>
      </c>
      <c r="AN74" s="84">
        <f t="shared" si="20"/>
        <v>18</v>
      </c>
      <c r="BE74" s="29"/>
    </row>
    <row r="75" spans="1:57">
      <c r="A75" s="94">
        <v>45892</v>
      </c>
      <c r="B75" s="88">
        <v>1600</v>
      </c>
      <c r="C75" s="89"/>
      <c r="D75" s="88">
        <f>(SUM(粮草!A75:X75)+AG75*10*IF(AK75="是",$BB$4,$BB$3))</f>
        <v>0</v>
      </c>
      <c r="E75" s="76">
        <f>SUM($B$4:B75)+SUM($C$4:C75)-SUM($D$4:D75)</f>
        <v>79268</v>
      </c>
      <c r="F75" s="88">
        <f>SUM(经验!A75:X75)</f>
        <v>0</v>
      </c>
      <c r="G75" s="88">
        <f>SUM($F$4:F75)+SUM($H$4:H75)</f>
        <v>22580</v>
      </c>
      <c r="H75" s="88">
        <v>0</v>
      </c>
      <c r="I75" s="70" t="s">
        <v>33</v>
      </c>
      <c r="J75" s="70" t="s">
        <v>33</v>
      </c>
      <c r="K75" s="70" t="s">
        <v>33</v>
      </c>
      <c r="L75" s="70" t="s">
        <v>33</v>
      </c>
      <c r="M75" s="70" t="s">
        <v>33</v>
      </c>
      <c r="N75" s="70" t="s">
        <v>33</v>
      </c>
      <c r="O75" s="71" t="s">
        <v>33</v>
      </c>
      <c r="P75" s="71" t="s">
        <v>33</v>
      </c>
      <c r="Q75" s="70" t="s">
        <v>33</v>
      </c>
      <c r="R75" s="70" t="s">
        <v>33</v>
      </c>
      <c r="S75" s="70" t="s">
        <v>33</v>
      </c>
      <c r="T75" s="70" t="s">
        <v>33</v>
      </c>
      <c r="U75" s="70" t="s">
        <v>33</v>
      </c>
      <c r="V75" s="70" t="s">
        <v>33</v>
      </c>
      <c r="W75" s="71" t="s">
        <v>33</v>
      </c>
      <c r="X75" s="71" t="s">
        <v>33</v>
      </c>
      <c r="Y75" s="70" t="s">
        <v>33</v>
      </c>
      <c r="Z75" s="70" t="s">
        <v>33</v>
      </c>
      <c r="AA75" s="70" t="s">
        <v>33</v>
      </c>
      <c r="AB75" s="70" t="s">
        <v>33</v>
      </c>
      <c r="AC75" s="70" t="s">
        <v>33</v>
      </c>
      <c r="AD75" s="70" t="s">
        <v>33</v>
      </c>
      <c r="AE75" s="71" t="s">
        <v>33</v>
      </c>
      <c r="AF75" s="71" t="s">
        <v>33</v>
      </c>
      <c r="AG75" s="91">
        <f t="shared" si="17"/>
        <v>0</v>
      </c>
      <c r="AH75" s="93"/>
      <c r="AI75" s="93"/>
      <c r="AJ75" s="93"/>
      <c r="AK75" s="95" t="s">
        <v>51</v>
      </c>
      <c r="AL75" s="84">
        <f t="shared" si="18"/>
        <v>18</v>
      </c>
      <c r="AM75" s="84">
        <f t="shared" si="19"/>
        <v>18</v>
      </c>
      <c r="AN75" s="84">
        <f t="shared" si="20"/>
        <v>18</v>
      </c>
      <c r="BE75" s="29"/>
    </row>
    <row r="76" spans="1:57">
      <c r="A76" s="94">
        <v>45893</v>
      </c>
      <c r="B76" s="88">
        <v>1600</v>
      </c>
      <c r="C76" s="89"/>
      <c r="D76" s="88">
        <f>(SUM(粮草!A76:X76)+AG76*10*IF(AK76="是",$BB$4,$BB$3))</f>
        <v>0</v>
      </c>
      <c r="E76" s="76">
        <f>SUM($B$4:B76)+SUM($C$4:C76)-SUM($D$4:D76)</f>
        <v>80868</v>
      </c>
      <c r="F76" s="88">
        <f>SUM(经验!A76:X76)</f>
        <v>0</v>
      </c>
      <c r="G76" s="88">
        <f>SUM($F$4:F76)+SUM($H$4:H76)</f>
        <v>22580</v>
      </c>
      <c r="H76" s="88">
        <v>0</v>
      </c>
      <c r="I76" s="70" t="s">
        <v>33</v>
      </c>
      <c r="J76" s="70" t="s">
        <v>33</v>
      </c>
      <c r="K76" s="70" t="s">
        <v>33</v>
      </c>
      <c r="L76" s="70" t="s">
        <v>33</v>
      </c>
      <c r="M76" s="70" t="s">
        <v>33</v>
      </c>
      <c r="N76" s="70" t="s">
        <v>33</v>
      </c>
      <c r="O76" s="71" t="s">
        <v>33</v>
      </c>
      <c r="P76" s="71" t="s">
        <v>33</v>
      </c>
      <c r="Q76" s="70" t="s">
        <v>33</v>
      </c>
      <c r="R76" s="70" t="s">
        <v>33</v>
      </c>
      <c r="S76" s="70" t="s">
        <v>33</v>
      </c>
      <c r="T76" s="70" t="s">
        <v>33</v>
      </c>
      <c r="U76" s="70" t="s">
        <v>33</v>
      </c>
      <c r="V76" s="70" t="s">
        <v>33</v>
      </c>
      <c r="W76" s="71" t="s">
        <v>33</v>
      </c>
      <c r="X76" s="71" t="s">
        <v>33</v>
      </c>
      <c r="Y76" s="70" t="s">
        <v>33</v>
      </c>
      <c r="Z76" s="70" t="s">
        <v>33</v>
      </c>
      <c r="AA76" s="70" t="s">
        <v>33</v>
      </c>
      <c r="AB76" s="70" t="s">
        <v>33</v>
      </c>
      <c r="AC76" s="70" t="s">
        <v>33</v>
      </c>
      <c r="AD76" s="70" t="s">
        <v>33</v>
      </c>
      <c r="AE76" s="71" t="s">
        <v>33</v>
      </c>
      <c r="AF76" s="71" t="s">
        <v>33</v>
      </c>
      <c r="AG76" s="91">
        <f t="shared" si="17"/>
        <v>0</v>
      </c>
      <c r="AH76" s="93"/>
      <c r="AI76" s="93"/>
      <c r="AJ76" s="93"/>
      <c r="AK76" s="95" t="s">
        <v>51</v>
      </c>
      <c r="AL76" s="84">
        <f t="shared" si="18"/>
        <v>18</v>
      </c>
      <c r="AM76" s="84">
        <f t="shared" si="19"/>
        <v>18</v>
      </c>
      <c r="AN76" s="84">
        <f t="shared" si="20"/>
        <v>18</v>
      </c>
      <c r="BE76" s="29"/>
    </row>
    <row r="77" spans="1:57">
      <c r="A77" s="94">
        <v>45894</v>
      </c>
      <c r="B77" s="90">
        <v>1600</v>
      </c>
      <c r="C77" s="90"/>
      <c r="D77" s="88">
        <f>(SUM(粮草!A77:X77)+AG77*10*IF(AK77="是",$BB$4,$BB$3))</f>
        <v>0</v>
      </c>
      <c r="E77" s="76">
        <f>SUM($B$4:B77)+SUM($C$4:C77)-SUM($D$4:D77)</f>
        <v>82468</v>
      </c>
      <c r="F77" s="88">
        <f>SUM(经验!A77:X77)</f>
        <v>0</v>
      </c>
      <c r="G77" s="88">
        <f>SUM($F$4:F77)+SUM($H$4:H77)</f>
        <v>22880</v>
      </c>
      <c r="H77" s="90">
        <v>300</v>
      </c>
      <c r="I77" s="70" t="s">
        <v>33</v>
      </c>
      <c r="J77" s="70" t="s">
        <v>33</v>
      </c>
      <c r="K77" s="70" t="s">
        <v>33</v>
      </c>
      <c r="L77" s="70" t="s">
        <v>33</v>
      </c>
      <c r="M77" s="70" t="s">
        <v>33</v>
      </c>
      <c r="N77" s="70" t="s">
        <v>33</v>
      </c>
      <c r="O77" s="71" t="s">
        <v>33</v>
      </c>
      <c r="P77" s="71" t="s">
        <v>33</v>
      </c>
      <c r="Q77" s="70" t="s">
        <v>33</v>
      </c>
      <c r="R77" s="70" t="s">
        <v>33</v>
      </c>
      <c r="S77" s="70" t="s">
        <v>33</v>
      </c>
      <c r="T77" s="70" t="s">
        <v>33</v>
      </c>
      <c r="U77" s="70" t="s">
        <v>33</v>
      </c>
      <c r="V77" s="70" t="s">
        <v>33</v>
      </c>
      <c r="W77" s="71" t="s">
        <v>33</v>
      </c>
      <c r="X77" s="71" t="s">
        <v>33</v>
      </c>
      <c r="Y77" s="70" t="s">
        <v>33</v>
      </c>
      <c r="Z77" s="70" t="s">
        <v>33</v>
      </c>
      <c r="AA77" s="70" t="s">
        <v>33</v>
      </c>
      <c r="AB77" s="70" t="s">
        <v>33</v>
      </c>
      <c r="AC77" s="70" t="s">
        <v>33</v>
      </c>
      <c r="AD77" s="70" t="s">
        <v>33</v>
      </c>
      <c r="AE77" s="71" t="s">
        <v>33</v>
      </c>
      <c r="AF77" s="71" t="s">
        <v>33</v>
      </c>
      <c r="AG77" s="91">
        <f t="shared" si="17"/>
        <v>0</v>
      </c>
      <c r="AH77" s="93"/>
      <c r="AI77" s="93"/>
      <c r="AJ77" s="93"/>
      <c r="AK77" s="95" t="s">
        <v>51</v>
      </c>
      <c r="AL77" s="84">
        <f t="shared" si="18"/>
        <v>18</v>
      </c>
      <c r="AM77" s="84">
        <f t="shared" si="19"/>
        <v>18</v>
      </c>
      <c r="AN77" s="84">
        <f t="shared" si="20"/>
        <v>18</v>
      </c>
      <c r="BE77" s="29"/>
    </row>
    <row r="78" spans="1:57">
      <c r="A78" s="94">
        <v>45895</v>
      </c>
      <c r="B78" s="90">
        <v>1600</v>
      </c>
      <c r="C78" s="90"/>
      <c r="D78" s="88">
        <f>(SUM(粮草!A78:X78)+AG78*10*IF(AK78="是",$BB$4,$BB$3))</f>
        <v>0</v>
      </c>
      <c r="E78" s="76">
        <f>SUM($B$4:B78)+SUM($C$4:C78)-SUM($D$4:D78)</f>
        <v>84068</v>
      </c>
      <c r="F78" s="88">
        <f>SUM(经验!A78:X78)</f>
        <v>0</v>
      </c>
      <c r="G78" s="88">
        <f>SUM($F$4:F78)+SUM($H$4:H78)</f>
        <v>22880</v>
      </c>
      <c r="H78" s="90">
        <v>0</v>
      </c>
      <c r="I78" s="70" t="s">
        <v>33</v>
      </c>
      <c r="J78" s="70" t="s">
        <v>33</v>
      </c>
      <c r="K78" s="70" t="s">
        <v>33</v>
      </c>
      <c r="L78" s="70" t="s">
        <v>33</v>
      </c>
      <c r="M78" s="70" t="s">
        <v>33</v>
      </c>
      <c r="N78" s="70" t="s">
        <v>33</v>
      </c>
      <c r="O78" s="71" t="s">
        <v>33</v>
      </c>
      <c r="P78" s="71" t="s">
        <v>33</v>
      </c>
      <c r="Q78" s="70" t="s">
        <v>33</v>
      </c>
      <c r="R78" s="70" t="s">
        <v>33</v>
      </c>
      <c r="S78" s="70" t="s">
        <v>33</v>
      </c>
      <c r="T78" s="70" t="s">
        <v>33</v>
      </c>
      <c r="U78" s="70" t="s">
        <v>33</v>
      </c>
      <c r="V78" s="70" t="s">
        <v>33</v>
      </c>
      <c r="W78" s="71" t="s">
        <v>33</v>
      </c>
      <c r="X78" s="71" t="s">
        <v>33</v>
      </c>
      <c r="Y78" s="70" t="s">
        <v>33</v>
      </c>
      <c r="Z78" s="70" t="s">
        <v>33</v>
      </c>
      <c r="AA78" s="70" t="s">
        <v>33</v>
      </c>
      <c r="AB78" s="70" t="s">
        <v>33</v>
      </c>
      <c r="AC78" s="70" t="s">
        <v>33</v>
      </c>
      <c r="AD78" s="70" t="s">
        <v>33</v>
      </c>
      <c r="AE78" s="71" t="s">
        <v>33</v>
      </c>
      <c r="AF78" s="71" t="s">
        <v>33</v>
      </c>
      <c r="AG78" s="91">
        <f t="shared" si="17"/>
        <v>0</v>
      </c>
      <c r="AH78" s="93"/>
      <c r="AI78" s="93"/>
      <c r="AJ78" s="93"/>
      <c r="AK78" s="95" t="s">
        <v>51</v>
      </c>
      <c r="AL78" s="84">
        <f t="shared" si="18"/>
        <v>18</v>
      </c>
      <c r="AM78" s="84">
        <f t="shared" si="19"/>
        <v>18</v>
      </c>
      <c r="AN78" s="84">
        <f t="shared" si="20"/>
        <v>18</v>
      </c>
      <c r="BE78" s="29"/>
    </row>
    <row r="79" spans="1:57">
      <c r="A79" s="94">
        <v>45896</v>
      </c>
      <c r="B79" s="90">
        <v>1600</v>
      </c>
      <c r="C79" s="90"/>
      <c r="D79" s="88">
        <f>(SUM(粮草!A79:X79)+AG79*10*IF(AK79="是",$BB$4,$BB$3))</f>
        <v>0</v>
      </c>
      <c r="E79" s="76">
        <f>SUM($B$4:B79)+SUM($C$4:C79)-SUM($D$4:D79)</f>
        <v>85668</v>
      </c>
      <c r="F79" s="88">
        <f>SUM(经验!A79:X79)</f>
        <v>0</v>
      </c>
      <c r="G79" s="88">
        <f>SUM($F$4:F79)+SUM($H$4:H79)</f>
        <v>23080</v>
      </c>
      <c r="H79" s="90">
        <v>200</v>
      </c>
      <c r="I79" s="70" t="s">
        <v>33</v>
      </c>
      <c r="J79" s="70" t="s">
        <v>33</v>
      </c>
      <c r="K79" s="70" t="s">
        <v>33</v>
      </c>
      <c r="L79" s="70" t="s">
        <v>33</v>
      </c>
      <c r="M79" s="70" t="s">
        <v>33</v>
      </c>
      <c r="N79" s="70" t="s">
        <v>33</v>
      </c>
      <c r="O79" s="71" t="s">
        <v>33</v>
      </c>
      <c r="P79" s="71" t="s">
        <v>33</v>
      </c>
      <c r="Q79" s="70" t="s">
        <v>33</v>
      </c>
      <c r="R79" s="70" t="s">
        <v>33</v>
      </c>
      <c r="S79" s="70" t="s">
        <v>33</v>
      </c>
      <c r="T79" s="70" t="s">
        <v>33</v>
      </c>
      <c r="U79" s="70" t="s">
        <v>33</v>
      </c>
      <c r="V79" s="70" t="s">
        <v>33</v>
      </c>
      <c r="W79" s="71" t="s">
        <v>33</v>
      </c>
      <c r="X79" s="71" t="s">
        <v>33</v>
      </c>
      <c r="Y79" s="70" t="s">
        <v>33</v>
      </c>
      <c r="Z79" s="70" t="s">
        <v>33</v>
      </c>
      <c r="AA79" s="70" t="s">
        <v>33</v>
      </c>
      <c r="AB79" s="70" t="s">
        <v>33</v>
      </c>
      <c r="AC79" s="70" t="s">
        <v>33</v>
      </c>
      <c r="AD79" s="70" t="s">
        <v>33</v>
      </c>
      <c r="AE79" s="71" t="s">
        <v>33</v>
      </c>
      <c r="AF79" s="71" t="s">
        <v>33</v>
      </c>
      <c r="AG79" s="91">
        <f t="shared" si="17"/>
        <v>0</v>
      </c>
      <c r="AH79" s="93"/>
      <c r="AI79" s="93"/>
      <c r="AJ79" s="93"/>
      <c r="AK79" s="95" t="s">
        <v>51</v>
      </c>
      <c r="AL79" s="84">
        <f t="shared" si="18"/>
        <v>18</v>
      </c>
      <c r="AM79" s="84">
        <f t="shared" si="19"/>
        <v>18</v>
      </c>
      <c r="AN79" s="84">
        <f t="shared" si="20"/>
        <v>18</v>
      </c>
      <c r="BE79" s="29"/>
    </row>
    <row r="80" spans="1:57">
      <c r="A80" s="94">
        <v>45897</v>
      </c>
      <c r="B80" s="90">
        <v>1600</v>
      </c>
      <c r="C80" s="90"/>
      <c r="D80" s="88">
        <f>(SUM(粮草!A80:X80)+AG80*10*IF(AK80="是",$BB$4,$BB$3))</f>
        <v>0</v>
      </c>
      <c r="E80" s="76">
        <f>SUM($B$4:B80)+SUM($C$4:C80)-SUM($D$4:D80)</f>
        <v>87268</v>
      </c>
      <c r="F80" s="88">
        <f>SUM(经验!A80:X80)</f>
        <v>0</v>
      </c>
      <c r="G80" s="88">
        <f>SUM($F$4:F80)+SUM($H$4:H80)</f>
        <v>23080</v>
      </c>
      <c r="H80" s="90">
        <v>0</v>
      </c>
      <c r="I80" s="70" t="s">
        <v>33</v>
      </c>
      <c r="J80" s="70" t="s">
        <v>33</v>
      </c>
      <c r="K80" s="70" t="s">
        <v>33</v>
      </c>
      <c r="L80" s="70" t="s">
        <v>33</v>
      </c>
      <c r="M80" s="70" t="s">
        <v>33</v>
      </c>
      <c r="N80" s="70" t="s">
        <v>33</v>
      </c>
      <c r="O80" s="71" t="s">
        <v>33</v>
      </c>
      <c r="P80" s="71" t="s">
        <v>33</v>
      </c>
      <c r="Q80" s="70" t="s">
        <v>33</v>
      </c>
      <c r="R80" s="70" t="s">
        <v>33</v>
      </c>
      <c r="S80" s="70" t="s">
        <v>33</v>
      </c>
      <c r="T80" s="70" t="s">
        <v>33</v>
      </c>
      <c r="U80" s="70" t="s">
        <v>33</v>
      </c>
      <c r="V80" s="70" t="s">
        <v>33</v>
      </c>
      <c r="W80" s="71" t="s">
        <v>33</v>
      </c>
      <c r="X80" s="71" t="s">
        <v>33</v>
      </c>
      <c r="Y80" s="70" t="s">
        <v>33</v>
      </c>
      <c r="Z80" s="70" t="s">
        <v>33</v>
      </c>
      <c r="AA80" s="70" t="s">
        <v>33</v>
      </c>
      <c r="AB80" s="70" t="s">
        <v>33</v>
      </c>
      <c r="AC80" s="70" t="s">
        <v>33</v>
      </c>
      <c r="AD80" s="70" t="s">
        <v>33</v>
      </c>
      <c r="AE80" s="71" t="s">
        <v>33</v>
      </c>
      <c r="AF80" s="71" t="s">
        <v>33</v>
      </c>
      <c r="AG80" s="91">
        <f t="shared" si="17"/>
        <v>0</v>
      </c>
      <c r="AH80" s="93"/>
      <c r="AI80" s="93"/>
      <c r="AJ80" s="93"/>
      <c r="AK80" s="95" t="s">
        <v>51</v>
      </c>
      <c r="AL80" s="84">
        <f t="shared" si="18"/>
        <v>18</v>
      </c>
      <c r="AM80" s="84">
        <f t="shared" si="19"/>
        <v>18</v>
      </c>
      <c r="AN80" s="84">
        <f t="shared" si="20"/>
        <v>18</v>
      </c>
      <c r="BE80" s="29"/>
    </row>
    <row r="81" spans="1:57">
      <c r="A81" s="94">
        <v>45898</v>
      </c>
      <c r="B81" s="90">
        <v>1600</v>
      </c>
      <c r="C81" s="90"/>
      <c r="D81" s="88">
        <f>(SUM(粮草!A81:X81)+AG81*10*IF(AK81="是",$BB$4,$BB$3))</f>
        <v>0</v>
      </c>
      <c r="E81" s="76">
        <f>SUM($B$4:B81)+SUM($C$4:C81)-SUM($D$4:D81)</f>
        <v>88868</v>
      </c>
      <c r="F81" s="88">
        <f>SUM(经验!A81:X81)</f>
        <v>0</v>
      </c>
      <c r="G81" s="88">
        <f>SUM($F$4:F81)+SUM($H$4:H81)</f>
        <v>23080</v>
      </c>
      <c r="H81" s="90">
        <v>0</v>
      </c>
      <c r="I81" s="70" t="s">
        <v>33</v>
      </c>
      <c r="J81" s="70" t="s">
        <v>33</v>
      </c>
      <c r="K81" s="70" t="s">
        <v>33</v>
      </c>
      <c r="L81" s="70" t="s">
        <v>33</v>
      </c>
      <c r="M81" s="70" t="s">
        <v>33</v>
      </c>
      <c r="N81" s="70" t="s">
        <v>33</v>
      </c>
      <c r="O81" s="71" t="s">
        <v>33</v>
      </c>
      <c r="P81" s="71" t="s">
        <v>33</v>
      </c>
      <c r="Q81" s="70" t="s">
        <v>33</v>
      </c>
      <c r="R81" s="70" t="s">
        <v>33</v>
      </c>
      <c r="S81" s="70" t="s">
        <v>33</v>
      </c>
      <c r="T81" s="70" t="s">
        <v>33</v>
      </c>
      <c r="U81" s="70" t="s">
        <v>33</v>
      </c>
      <c r="V81" s="70" t="s">
        <v>33</v>
      </c>
      <c r="W81" s="71" t="s">
        <v>33</v>
      </c>
      <c r="X81" s="71" t="s">
        <v>33</v>
      </c>
      <c r="Y81" s="70" t="s">
        <v>33</v>
      </c>
      <c r="Z81" s="70" t="s">
        <v>33</v>
      </c>
      <c r="AA81" s="70" t="s">
        <v>33</v>
      </c>
      <c r="AB81" s="70" t="s">
        <v>33</v>
      </c>
      <c r="AC81" s="70" t="s">
        <v>33</v>
      </c>
      <c r="AD81" s="70" t="s">
        <v>33</v>
      </c>
      <c r="AE81" s="71" t="s">
        <v>33</v>
      </c>
      <c r="AF81" s="71" t="s">
        <v>33</v>
      </c>
      <c r="AG81" s="91">
        <f t="shared" si="17"/>
        <v>0</v>
      </c>
      <c r="AH81" s="93"/>
      <c r="AI81" s="93"/>
      <c r="AJ81" s="93"/>
      <c r="AK81" s="95" t="s">
        <v>51</v>
      </c>
      <c r="AL81" s="84">
        <f t="shared" si="18"/>
        <v>18</v>
      </c>
      <c r="AM81" s="84">
        <f t="shared" si="19"/>
        <v>18</v>
      </c>
      <c r="AN81" s="84">
        <f t="shared" si="20"/>
        <v>18</v>
      </c>
      <c r="BE81" s="29"/>
    </row>
    <row r="82" spans="1:57">
      <c r="A82" s="94">
        <v>45899</v>
      </c>
      <c r="B82" s="90">
        <v>1600</v>
      </c>
      <c r="C82" s="90"/>
      <c r="D82" s="88">
        <f>(SUM(粮草!A82:X82)+AG82*10*IF(AK82="是",$BB$4,$BB$3))</f>
        <v>0</v>
      </c>
      <c r="E82" s="76">
        <f>SUM($B$4:B82)+SUM($C$4:C82)-SUM($D$4:D82)</f>
        <v>90468</v>
      </c>
      <c r="F82" s="88">
        <f>SUM(经验!A82:X82)</f>
        <v>0</v>
      </c>
      <c r="G82" s="88">
        <f>SUM($F$4:F82)+SUM($H$4:H82)</f>
        <v>23080</v>
      </c>
      <c r="H82" s="90">
        <v>0</v>
      </c>
      <c r="I82" s="70" t="s">
        <v>33</v>
      </c>
      <c r="J82" s="70" t="s">
        <v>33</v>
      </c>
      <c r="K82" s="70" t="s">
        <v>33</v>
      </c>
      <c r="L82" s="70" t="s">
        <v>33</v>
      </c>
      <c r="M82" s="70" t="s">
        <v>33</v>
      </c>
      <c r="N82" s="70" t="s">
        <v>33</v>
      </c>
      <c r="O82" s="71" t="s">
        <v>33</v>
      </c>
      <c r="P82" s="71" t="s">
        <v>33</v>
      </c>
      <c r="Q82" s="70" t="s">
        <v>33</v>
      </c>
      <c r="R82" s="70" t="s">
        <v>33</v>
      </c>
      <c r="S82" s="70" t="s">
        <v>33</v>
      </c>
      <c r="T82" s="70" t="s">
        <v>33</v>
      </c>
      <c r="U82" s="70" t="s">
        <v>33</v>
      </c>
      <c r="V82" s="70" t="s">
        <v>33</v>
      </c>
      <c r="W82" s="71" t="s">
        <v>33</v>
      </c>
      <c r="X82" s="71" t="s">
        <v>33</v>
      </c>
      <c r="Y82" s="70" t="s">
        <v>33</v>
      </c>
      <c r="Z82" s="70" t="s">
        <v>33</v>
      </c>
      <c r="AA82" s="70" t="s">
        <v>33</v>
      </c>
      <c r="AB82" s="70" t="s">
        <v>33</v>
      </c>
      <c r="AC82" s="70" t="s">
        <v>33</v>
      </c>
      <c r="AD82" s="70" t="s">
        <v>33</v>
      </c>
      <c r="AE82" s="71" t="s">
        <v>33</v>
      </c>
      <c r="AF82" s="71" t="s">
        <v>33</v>
      </c>
      <c r="AG82" s="91">
        <f t="shared" si="17"/>
        <v>0</v>
      </c>
      <c r="AH82" s="93"/>
      <c r="AI82" s="93"/>
      <c r="AJ82" s="93"/>
      <c r="AK82" s="95" t="s">
        <v>51</v>
      </c>
      <c r="AL82" s="84">
        <f t="shared" si="18"/>
        <v>18</v>
      </c>
      <c r="AM82" s="84">
        <f t="shared" si="19"/>
        <v>18</v>
      </c>
      <c r="AN82" s="84">
        <f t="shared" si="20"/>
        <v>18</v>
      </c>
      <c r="BE82" s="29"/>
    </row>
    <row r="83" spans="1:57">
      <c r="A83" s="94">
        <v>45900</v>
      </c>
      <c r="B83" s="90">
        <v>1600</v>
      </c>
      <c r="C83" s="90"/>
      <c r="D83" s="88">
        <f>(SUM(粮草!A83:X83)+AG83*10*IF(AK83="是",$BB$4,$BB$3))</f>
        <v>0</v>
      </c>
      <c r="E83" s="76">
        <f>SUM($B$4:B83)+SUM($C$4:C83)-SUM($D$4:D83)</f>
        <v>92068</v>
      </c>
      <c r="F83" s="88">
        <f>SUM(经验!A83:X83)</f>
        <v>0</v>
      </c>
      <c r="G83" s="88">
        <f>SUM($F$4:F83)+SUM($H$4:H83)</f>
        <v>23080</v>
      </c>
      <c r="H83" s="90">
        <v>0</v>
      </c>
      <c r="I83" s="70" t="s">
        <v>33</v>
      </c>
      <c r="J83" s="70" t="s">
        <v>33</v>
      </c>
      <c r="K83" s="70" t="s">
        <v>33</v>
      </c>
      <c r="L83" s="70" t="s">
        <v>33</v>
      </c>
      <c r="M83" s="70" t="s">
        <v>33</v>
      </c>
      <c r="N83" s="70" t="s">
        <v>33</v>
      </c>
      <c r="O83" s="71" t="s">
        <v>33</v>
      </c>
      <c r="P83" s="71" t="s">
        <v>33</v>
      </c>
      <c r="Q83" s="70" t="s">
        <v>33</v>
      </c>
      <c r="R83" s="70" t="s">
        <v>33</v>
      </c>
      <c r="S83" s="70" t="s">
        <v>33</v>
      </c>
      <c r="T83" s="70" t="s">
        <v>33</v>
      </c>
      <c r="U83" s="70" t="s">
        <v>33</v>
      </c>
      <c r="V83" s="70" t="s">
        <v>33</v>
      </c>
      <c r="W83" s="71" t="s">
        <v>33</v>
      </c>
      <c r="X83" s="71" t="s">
        <v>33</v>
      </c>
      <c r="Y83" s="70" t="s">
        <v>33</v>
      </c>
      <c r="Z83" s="70" t="s">
        <v>33</v>
      </c>
      <c r="AA83" s="70" t="s">
        <v>33</v>
      </c>
      <c r="AB83" s="70" t="s">
        <v>33</v>
      </c>
      <c r="AC83" s="70" t="s">
        <v>33</v>
      </c>
      <c r="AD83" s="70" t="s">
        <v>33</v>
      </c>
      <c r="AE83" s="71" t="s">
        <v>33</v>
      </c>
      <c r="AF83" s="71" t="s">
        <v>33</v>
      </c>
      <c r="AG83" s="91">
        <f t="shared" si="17"/>
        <v>0</v>
      </c>
      <c r="AH83" s="93"/>
      <c r="AI83" s="93"/>
      <c r="AJ83" s="93"/>
      <c r="AK83" s="95" t="s">
        <v>51</v>
      </c>
      <c r="AL83" s="84">
        <f t="shared" si="18"/>
        <v>18</v>
      </c>
      <c r="AM83" s="84">
        <f t="shared" si="19"/>
        <v>18</v>
      </c>
      <c r="AN83" s="84">
        <f t="shared" si="20"/>
        <v>18</v>
      </c>
      <c r="BE83" s="29"/>
    </row>
    <row r="84" spans="1:57">
      <c r="A84" s="94">
        <v>45901</v>
      </c>
      <c r="B84" s="88">
        <v>1600</v>
      </c>
      <c r="C84" s="89"/>
      <c r="D84" s="88">
        <f>(SUM(粮草!A84:X84)+AG84*10*IF(AK84="是",$BB$4,$BB$3))</f>
        <v>0</v>
      </c>
      <c r="E84" s="76">
        <f>SUM($B$4:B84)+SUM($C$4:C84)-SUM($D$4:D84)</f>
        <v>93668</v>
      </c>
      <c r="F84" s="88">
        <f>SUM(经验!A84:X84)</f>
        <v>0</v>
      </c>
      <c r="G84" s="88">
        <f>SUM($F$4:F84)+SUM($H$4:H84)</f>
        <v>23280</v>
      </c>
      <c r="H84" s="88">
        <v>200</v>
      </c>
      <c r="I84" s="70" t="s">
        <v>33</v>
      </c>
      <c r="J84" s="70" t="s">
        <v>33</v>
      </c>
      <c r="K84" s="70" t="s">
        <v>33</v>
      </c>
      <c r="L84" s="70" t="s">
        <v>33</v>
      </c>
      <c r="M84" s="70" t="s">
        <v>33</v>
      </c>
      <c r="N84" s="70" t="s">
        <v>33</v>
      </c>
      <c r="O84" s="71" t="s">
        <v>33</v>
      </c>
      <c r="P84" s="71" t="s">
        <v>33</v>
      </c>
      <c r="Q84" s="70" t="s">
        <v>33</v>
      </c>
      <c r="R84" s="70" t="s">
        <v>33</v>
      </c>
      <c r="S84" s="70" t="s">
        <v>33</v>
      </c>
      <c r="T84" s="70" t="s">
        <v>33</v>
      </c>
      <c r="U84" s="70" t="s">
        <v>33</v>
      </c>
      <c r="V84" s="70" t="s">
        <v>33</v>
      </c>
      <c r="W84" s="71" t="s">
        <v>33</v>
      </c>
      <c r="X84" s="71" t="s">
        <v>33</v>
      </c>
      <c r="Y84" s="70" t="s">
        <v>33</v>
      </c>
      <c r="Z84" s="70" t="s">
        <v>33</v>
      </c>
      <c r="AA84" s="70" t="s">
        <v>33</v>
      </c>
      <c r="AB84" s="70" t="s">
        <v>33</v>
      </c>
      <c r="AC84" s="70" t="s">
        <v>33</v>
      </c>
      <c r="AD84" s="70" t="s">
        <v>33</v>
      </c>
      <c r="AE84" s="71" t="s">
        <v>33</v>
      </c>
      <c r="AF84" s="71" t="s">
        <v>33</v>
      </c>
      <c r="AG84" s="91">
        <f t="shared" si="17"/>
        <v>0</v>
      </c>
      <c r="AH84" s="93"/>
      <c r="AI84" s="93"/>
      <c r="AJ84" s="93"/>
      <c r="AK84" s="95" t="s">
        <v>51</v>
      </c>
      <c r="AL84" s="84">
        <f t="shared" si="18"/>
        <v>18</v>
      </c>
      <c r="AM84" s="84">
        <f t="shared" si="19"/>
        <v>18</v>
      </c>
      <c r="AN84" s="84">
        <f t="shared" si="20"/>
        <v>18</v>
      </c>
      <c r="BE84" s="29"/>
    </row>
    <row r="85" spans="1:57">
      <c r="A85" s="94">
        <v>45902</v>
      </c>
      <c r="B85" s="88">
        <v>1600</v>
      </c>
      <c r="C85" s="89"/>
      <c r="D85" s="88">
        <f>(SUM(粮草!A85:X85)+AG85*10*IF(AK85="是",$BB$4,$BB$3))</f>
        <v>0</v>
      </c>
      <c r="E85" s="76">
        <f>SUM($B$4:B85)+SUM($C$4:C85)-SUM($D$4:D85)</f>
        <v>95268</v>
      </c>
      <c r="F85" s="88">
        <f>SUM(经验!A85:X85)</f>
        <v>0</v>
      </c>
      <c r="G85" s="88">
        <f>SUM($F$4:F85)+SUM($H$4:H85)</f>
        <v>23280</v>
      </c>
      <c r="H85" s="88">
        <v>0</v>
      </c>
      <c r="I85" s="70" t="s">
        <v>33</v>
      </c>
      <c r="J85" s="70" t="s">
        <v>33</v>
      </c>
      <c r="K85" s="70" t="s">
        <v>33</v>
      </c>
      <c r="L85" s="70" t="s">
        <v>33</v>
      </c>
      <c r="M85" s="70" t="s">
        <v>33</v>
      </c>
      <c r="N85" s="70" t="s">
        <v>33</v>
      </c>
      <c r="O85" s="71" t="s">
        <v>33</v>
      </c>
      <c r="P85" s="71" t="s">
        <v>33</v>
      </c>
      <c r="Q85" s="70" t="s">
        <v>33</v>
      </c>
      <c r="R85" s="70" t="s">
        <v>33</v>
      </c>
      <c r="S85" s="70" t="s">
        <v>33</v>
      </c>
      <c r="T85" s="70" t="s">
        <v>33</v>
      </c>
      <c r="U85" s="70" t="s">
        <v>33</v>
      </c>
      <c r="V85" s="70" t="s">
        <v>33</v>
      </c>
      <c r="W85" s="71" t="s">
        <v>33</v>
      </c>
      <c r="X85" s="71" t="s">
        <v>33</v>
      </c>
      <c r="Y85" s="70" t="s">
        <v>33</v>
      </c>
      <c r="Z85" s="70" t="s">
        <v>33</v>
      </c>
      <c r="AA85" s="70" t="s">
        <v>33</v>
      </c>
      <c r="AB85" s="70" t="s">
        <v>33</v>
      </c>
      <c r="AC85" s="70" t="s">
        <v>33</v>
      </c>
      <c r="AD85" s="70" t="s">
        <v>33</v>
      </c>
      <c r="AE85" s="71" t="s">
        <v>33</v>
      </c>
      <c r="AF85" s="71" t="s">
        <v>33</v>
      </c>
      <c r="AG85" s="91">
        <f t="shared" si="17"/>
        <v>0</v>
      </c>
      <c r="AH85" s="93"/>
      <c r="AI85" s="93"/>
      <c r="AJ85" s="93"/>
      <c r="AK85" s="95" t="s">
        <v>51</v>
      </c>
      <c r="AL85" s="84">
        <f t="shared" si="18"/>
        <v>18</v>
      </c>
      <c r="AM85" s="84">
        <f t="shared" si="19"/>
        <v>18</v>
      </c>
      <c r="AN85" s="84">
        <f t="shared" si="20"/>
        <v>18</v>
      </c>
      <c r="BE85" s="29"/>
    </row>
    <row r="86" spans="1:57">
      <c r="A86" s="94">
        <v>45903</v>
      </c>
      <c r="B86" s="88">
        <v>1600</v>
      </c>
      <c r="C86" s="89"/>
      <c r="D86" s="88">
        <f>(SUM(粮草!A86:X86)+AG86*10*IF(AK86="是",$BB$4,$BB$3))</f>
        <v>0</v>
      </c>
      <c r="E86" s="76">
        <f>SUM($B$4:B86)+SUM($C$4:C86)-SUM($D$4:D86)</f>
        <v>96868</v>
      </c>
      <c r="F86" s="88">
        <f>SUM(经验!A86:X86)</f>
        <v>0</v>
      </c>
      <c r="G86" s="88">
        <f>SUM($F$4:F86)+SUM($H$4:H86)</f>
        <v>23580</v>
      </c>
      <c r="H86" s="88">
        <v>300</v>
      </c>
      <c r="I86" s="70" t="s">
        <v>33</v>
      </c>
      <c r="J86" s="70" t="s">
        <v>33</v>
      </c>
      <c r="K86" s="70" t="s">
        <v>33</v>
      </c>
      <c r="L86" s="70" t="s">
        <v>33</v>
      </c>
      <c r="M86" s="70" t="s">
        <v>33</v>
      </c>
      <c r="N86" s="70" t="s">
        <v>33</v>
      </c>
      <c r="O86" s="71" t="s">
        <v>33</v>
      </c>
      <c r="P86" s="71" t="s">
        <v>33</v>
      </c>
      <c r="Q86" s="70" t="s">
        <v>33</v>
      </c>
      <c r="R86" s="70" t="s">
        <v>33</v>
      </c>
      <c r="S86" s="70" t="s">
        <v>33</v>
      </c>
      <c r="T86" s="70" t="s">
        <v>33</v>
      </c>
      <c r="U86" s="70" t="s">
        <v>33</v>
      </c>
      <c r="V86" s="70" t="s">
        <v>33</v>
      </c>
      <c r="W86" s="71" t="s">
        <v>33</v>
      </c>
      <c r="X86" s="71" t="s">
        <v>33</v>
      </c>
      <c r="Y86" s="70" t="s">
        <v>33</v>
      </c>
      <c r="Z86" s="70" t="s">
        <v>33</v>
      </c>
      <c r="AA86" s="70" t="s">
        <v>33</v>
      </c>
      <c r="AB86" s="70" t="s">
        <v>33</v>
      </c>
      <c r="AC86" s="70" t="s">
        <v>33</v>
      </c>
      <c r="AD86" s="70" t="s">
        <v>33</v>
      </c>
      <c r="AE86" s="71" t="s">
        <v>33</v>
      </c>
      <c r="AF86" s="71" t="s">
        <v>33</v>
      </c>
      <c r="AG86" s="91">
        <f t="shared" si="17"/>
        <v>0</v>
      </c>
      <c r="AH86" s="93"/>
      <c r="AI86" s="93"/>
      <c r="AJ86" s="93"/>
      <c r="AK86" s="95" t="s">
        <v>51</v>
      </c>
      <c r="AL86" s="84">
        <f t="shared" si="18"/>
        <v>18</v>
      </c>
      <c r="AM86" s="84">
        <f t="shared" si="19"/>
        <v>18</v>
      </c>
      <c r="AN86" s="84">
        <f t="shared" si="20"/>
        <v>18</v>
      </c>
      <c r="BE86" s="29"/>
    </row>
    <row r="87" spans="1:57">
      <c r="A87" s="94">
        <v>45904</v>
      </c>
      <c r="B87" s="88">
        <v>1600</v>
      </c>
      <c r="C87" s="89"/>
      <c r="D87" s="88">
        <f>(SUM(粮草!A87:X87)+AG87*10*IF(AK87="是",$BB$4,$BB$3))</f>
        <v>0</v>
      </c>
      <c r="E87" s="76">
        <f>SUM($B$4:B87)+SUM($C$4:C87)-SUM($D$4:D87)</f>
        <v>98468</v>
      </c>
      <c r="F87" s="88">
        <f>SUM(经验!A87:X87)</f>
        <v>0</v>
      </c>
      <c r="G87" s="88">
        <f>SUM($F$4:F87)+SUM($H$4:H87)</f>
        <v>23580</v>
      </c>
      <c r="H87" s="88">
        <v>0</v>
      </c>
      <c r="I87" s="70" t="s">
        <v>33</v>
      </c>
      <c r="J87" s="70" t="s">
        <v>33</v>
      </c>
      <c r="K87" s="70" t="s">
        <v>33</v>
      </c>
      <c r="L87" s="70" t="s">
        <v>33</v>
      </c>
      <c r="M87" s="70" t="s">
        <v>33</v>
      </c>
      <c r="N87" s="70" t="s">
        <v>33</v>
      </c>
      <c r="O87" s="71" t="s">
        <v>33</v>
      </c>
      <c r="P87" s="71" t="s">
        <v>33</v>
      </c>
      <c r="Q87" s="70" t="s">
        <v>33</v>
      </c>
      <c r="R87" s="70" t="s">
        <v>33</v>
      </c>
      <c r="S87" s="70" t="s">
        <v>33</v>
      </c>
      <c r="T87" s="70" t="s">
        <v>33</v>
      </c>
      <c r="U87" s="70" t="s">
        <v>33</v>
      </c>
      <c r="V87" s="70" t="s">
        <v>33</v>
      </c>
      <c r="W87" s="71" t="s">
        <v>33</v>
      </c>
      <c r="X87" s="71" t="s">
        <v>33</v>
      </c>
      <c r="Y87" s="70" t="s">
        <v>33</v>
      </c>
      <c r="Z87" s="70" t="s">
        <v>33</v>
      </c>
      <c r="AA87" s="70" t="s">
        <v>33</v>
      </c>
      <c r="AB87" s="70" t="s">
        <v>33</v>
      </c>
      <c r="AC87" s="70" t="s">
        <v>33</v>
      </c>
      <c r="AD87" s="70" t="s">
        <v>33</v>
      </c>
      <c r="AE87" s="71" t="s">
        <v>33</v>
      </c>
      <c r="AF87" s="71" t="s">
        <v>33</v>
      </c>
      <c r="AG87" s="91">
        <f t="shared" si="17"/>
        <v>0</v>
      </c>
      <c r="AH87" s="93"/>
      <c r="AI87" s="93"/>
      <c r="AJ87" s="93"/>
      <c r="AK87" s="95" t="s">
        <v>51</v>
      </c>
      <c r="AL87" s="84">
        <f t="shared" si="18"/>
        <v>18</v>
      </c>
      <c r="AM87" s="84">
        <f t="shared" si="19"/>
        <v>18</v>
      </c>
      <c r="AN87" s="84">
        <f t="shared" si="20"/>
        <v>18</v>
      </c>
      <c r="BE87" s="29"/>
    </row>
    <row r="88" spans="1:57">
      <c r="A88" s="94">
        <v>45905</v>
      </c>
      <c r="B88" s="88">
        <v>1600</v>
      </c>
      <c r="C88" s="89"/>
      <c r="D88" s="88">
        <f>(SUM(粮草!A88:X88)+AG88*10*IF(AK88="是",$BB$4,$BB$3))</f>
        <v>0</v>
      </c>
      <c r="E88" s="76">
        <f>SUM($B$4:B88)+SUM($C$4:C88)-SUM($D$4:D88)</f>
        <v>100068</v>
      </c>
      <c r="F88" s="88">
        <f>SUM(经验!A88:X88)</f>
        <v>0</v>
      </c>
      <c r="G88" s="88">
        <f>SUM($F$4:F88)+SUM($H$4:H88)</f>
        <v>23580</v>
      </c>
      <c r="H88" s="88">
        <v>0</v>
      </c>
      <c r="I88" s="70" t="s">
        <v>33</v>
      </c>
      <c r="J88" s="70" t="s">
        <v>33</v>
      </c>
      <c r="K88" s="70" t="s">
        <v>33</v>
      </c>
      <c r="L88" s="70" t="s">
        <v>33</v>
      </c>
      <c r="M88" s="70" t="s">
        <v>33</v>
      </c>
      <c r="N88" s="70" t="s">
        <v>33</v>
      </c>
      <c r="O88" s="71" t="s">
        <v>33</v>
      </c>
      <c r="P88" s="71" t="s">
        <v>33</v>
      </c>
      <c r="Q88" s="70" t="s">
        <v>33</v>
      </c>
      <c r="R88" s="70" t="s">
        <v>33</v>
      </c>
      <c r="S88" s="70" t="s">
        <v>33</v>
      </c>
      <c r="T88" s="70" t="s">
        <v>33</v>
      </c>
      <c r="U88" s="70" t="s">
        <v>33</v>
      </c>
      <c r="V88" s="70" t="s">
        <v>33</v>
      </c>
      <c r="W88" s="71" t="s">
        <v>33</v>
      </c>
      <c r="X88" s="71" t="s">
        <v>33</v>
      </c>
      <c r="Y88" s="70" t="s">
        <v>33</v>
      </c>
      <c r="Z88" s="70" t="s">
        <v>33</v>
      </c>
      <c r="AA88" s="70" t="s">
        <v>33</v>
      </c>
      <c r="AB88" s="70" t="s">
        <v>33</v>
      </c>
      <c r="AC88" s="70" t="s">
        <v>33</v>
      </c>
      <c r="AD88" s="70" t="s">
        <v>33</v>
      </c>
      <c r="AE88" s="71" t="s">
        <v>33</v>
      </c>
      <c r="AF88" s="71" t="s">
        <v>33</v>
      </c>
      <c r="AG88" s="91">
        <f t="shared" si="17"/>
        <v>0</v>
      </c>
      <c r="AH88" s="93"/>
      <c r="AI88" s="93"/>
      <c r="AJ88" s="93"/>
      <c r="AK88" s="95" t="s">
        <v>51</v>
      </c>
      <c r="AL88" s="84">
        <f t="shared" si="18"/>
        <v>18</v>
      </c>
      <c r="AM88" s="84">
        <f t="shared" si="19"/>
        <v>18</v>
      </c>
      <c r="AN88" s="84">
        <f t="shared" si="20"/>
        <v>18</v>
      </c>
      <c r="BE88" s="29"/>
    </row>
    <row r="89" spans="1:57">
      <c r="A89" s="94">
        <v>45906</v>
      </c>
      <c r="B89" s="88">
        <v>1600</v>
      </c>
      <c r="C89" s="89"/>
      <c r="D89" s="88">
        <f>(SUM(粮草!A89:X89)+AG89*10*IF(AK89="是",$BB$4,$BB$3))</f>
        <v>0</v>
      </c>
      <c r="E89" s="76">
        <f>SUM($B$4:B89)+SUM($C$4:C89)-SUM($D$4:D89)</f>
        <v>101668</v>
      </c>
      <c r="F89" s="88">
        <f>SUM(经验!A89:X89)</f>
        <v>0</v>
      </c>
      <c r="G89" s="88">
        <f>SUM($F$4:F89)+SUM($H$4:H89)</f>
        <v>23580</v>
      </c>
      <c r="H89" s="88">
        <v>0</v>
      </c>
      <c r="I89" s="70" t="s">
        <v>33</v>
      </c>
      <c r="J89" s="70" t="s">
        <v>33</v>
      </c>
      <c r="K89" s="70" t="s">
        <v>33</v>
      </c>
      <c r="L89" s="70" t="s">
        <v>33</v>
      </c>
      <c r="M89" s="70" t="s">
        <v>33</v>
      </c>
      <c r="N89" s="70" t="s">
        <v>33</v>
      </c>
      <c r="O89" s="71" t="s">
        <v>33</v>
      </c>
      <c r="P89" s="71" t="s">
        <v>33</v>
      </c>
      <c r="Q89" s="70" t="s">
        <v>33</v>
      </c>
      <c r="R89" s="70" t="s">
        <v>33</v>
      </c>
      <c r="S89" s="70" t="s">
        <v>33</v>
      </c>
      <c r="T89" s="70" t="s">
        <v>33</v>
      </c>
      <c r="U89" s="70" t="s">
        <v>33</v>
      </c>
      <c r="V89" s="70" t="s">
        <v>33</v>
      </c>
      <c r="W89" s="71" t="s">
        <v>33</v>
      </c>
      <c r="X89" s="71" t="s">
        <v>33</v>
      </c>
      <c r="Y89" s="70" t="s">
        <v>33</v>
      </c>
      <c r="Z89" s="70" t="s">
        <v>33</v>
      </c>
      <c r="AA89" s="70" t="s">
        <v>33</v>
      </c>
      <c r="AB89" s="70" t="s">
        <v>33</v>
      </c>
      <c r="AC89" s="70" t="s">
        <v>33</v>
      </c>
      <c r="AD89" s="70" t="s">
        <v>33</v>
      </c>
      <c r="AE89" s="71" t="s">
        <v>33</v>
      </c>
      <c r="AF89" s="71" t="s">
        <v>33</v>
      </c>
      <c r="AG89" s="91">
        <f t="shared" si="17"/>
        <v>0</v>
      </c>
      <c r="AH89" s="93"/>
      <c r="AI89" s="93"/>
      <c r="AJ89" s="93"/>
      <c r="AK89" s="95" t="s">
        <v>51</v>
      </c>
      <c r="AL89" s="84">
        <f t="shared" si="18"/>
        <v>18</v>
      </c>
      <c r="AM89" s="84">
        <f t="shared" si="19"/>
        <v>18</v>
      </c>
      <c r="AN89" s="84">
        <f t="shared" si="20"/>
        <v>18</v>
      </c>
      <c r="BE89" s="29"/>
    </row>
    <row r="90" spans="1:57">
      <c r="A90" s="94">
        <v>45907</v>
      </c>
      <c r="B90" s="88">
        <v>1600</v>
      </c>
      <c r="C90" s="89"/>
      <c r="D90" s="88">
        <f>(SUM(粮草!A90:X90)+AG90*10*IF(AK90="是",$BB$4,$BB$3))</f>
        <v>0</v>
      </c>
      <c r="E90" s="76">
        <f>SUM($B$4:B90)+SUM($C$4:C90)-SUM($D$4:D90)</f>
        <v>103268</v>
      </c>
      <c r="F90" s="88">
        <f>SUM(经验!A90:X90)</f>
        <v>0</v>
      </c>
      <c r="G90" s="88">
        <f>SUM($F$4:F90)+SUM($H$4:H90)</f>
        <v>23580</v>
      </c>
      <c r="H90" s="88">
        <v>0</v>
      </c>
      <c r="I90" s="70" t="s">
        <v>33</v>
      </c>
      <c r="J90" s="70" t="s">
        <v>33</v>
      </c>
      <c r="K90" s="70" t="s">
        <v>33</v>
      </c>
      <c r="L90" s="70" t="s">
        <v>33</v>
      </c>
      <c r="M90" s="70" t="s">
        <v>33</v>
      </c>
      <c r="N90" s="70" t="s">
        <v>33</v>
      </c>
      <c r="O90" s="71" t="s">
        <v>33</v>
      </c>
      <c r="P90" s="71" t="s">
        <v>33</v>
      </c>
      <c r="Q90" s="70" t="s">
        <v>33</v>
      </c>
      <c r="R90" s="70" t="s">
        <v>33</v>
      </c>
      <c r="S90" s="70" t="s">
        <v>33</v>
      </c>
      <c r="T90" s="70" t="s">
        <v>33</v>
      </c>
      <c r="U90" s="70" t="s">
        <v>33</v>
      </c>
      <c r="V90" s="70" t="s">
        <v>33</v>
      </c>
      <c r="W90" s="71" t="s">
        <v>33</v>
      </c>
      <c r="X90" s="71" t="s">
        <v>33</v>
      </c>
      <c r="Y90" s="70" t="s">
        <v>33</v>
      </c>
      <c r="Z90" s="70" t="s">
        <v>33</v>
      </c>
      <c r="AA90" s="70" t="s">
        <v>33</v>
      </c>
      <c r="AB90" s="70" t="s">
        <v>33</v>
      </c>
      <c r="AC90" s="70" t="s">
        <v>33</v>
      </c>
      <c r="AD90" s="70" t="s">
        <v>33</v>
      </c>
      <c r="AE90" s="71" t="s">
        <v>33</v>
      </c>
      <c r="AF90" s="71" t="s">
        <v>33</v>
      </c>
      <c r="AG90" s="91">
        <f t="shared" si="17"/>
        <v>0</v>
      </c>
      <c r="AH90" s="93"/>
      <c r="AI90" s="93"/>
      <c r="AJ90" s="93"/>
      <c r="AK90" s="95" t="s">
        <v>51</v>
      </c>
      <c r="AL90" s="84">
        <f t="shared" si="18"/>
        <v>18</v>
      </c>
      <c r="AM90" s="84">
        <f t="shared" si="19"/>
        <v>18</v>
      </c>
      <c r="AN90" s="84">
        <f t="shared" si="20"/>
        <v>18</v>
      </c>
      <c r="BE90" s="29"/>
    </row>
    <row r="91" spans="1:57">
      <c r="A91" s="94">
        <v>45908</v>
      </c>
      <c r="B91" s="90">
        <v>1600</v>
      </c>
      <c r="C91" s="90"/>
      <c r="D91" s="88">
        <f>(SUM(粮草!A91:X91)+AG91*10*IF(AK91="是",$BB$4,$BB$3))</f>
        <v>0</v>
      </c>
      <c r="E91" s="76">
        <f>SUM($B$4:B91)+SUM($C$4:C91)-SUM($D$4:D91)</f>
        <v>104868</v>
      </c>
      <c r="F91" s="88">
        <f>SUM(经验!A91:X91)</f>
        <v>0</v>
      </c>
      <c r="G91" s="88">
        <f>SUM($F$4:F91)+SUM($H$4:H91)</f>
        <v>23780</v>
      </c>
      <c r="H91" s="90">
        <v>200</v>
      </c>
      <c r="I91" s="70" t="s">
        <v>33</v>
      </c>
      <c r="J91" s="70" t="s">
        <v>33</v>
      </c>
      <c r="K91" s="70" t="s">
        <v>33</v>
      </c>
      <c r="L91" s="70" t="s">
        <v>33</v>
      </c>
      <c r="M91" s="70" t="s">
        <v>33</v>
      </c>
      <c r="N91" s="70" t="s">
        <v>33</v>
      </c>
      <c r="O91" s="71" t="s">
        <v>33</v>
      </c>
      <c r="P91" s="71" t="s">
        <v>33</v>
      </c>
      <c r="Q91" s="70" t="s">
        <v>33</v>
      </c>
      <c r="R91" s="70" t="s">
        <v>33</v>
      </c>
      <c r="S91" s="70" t="s">
        <v>33</v>
      </c>
      <c r="T91" s="70" t="s">
        <v>33</v>
      </c>
      <c r="U91" s="70" t="s">
        <v>33</v>
      </c>
      <c r="V91" s="70" t="s">
        <v>33</v>
      </c>
      <c r="W91" s="71" t="s">
        <v>33</v>
      </c>
      <c r="X91" s="71" t="s">
        <v>33</v>
      </c>
      <c r="Y91" s="70" t="s">
        <v>33</v>
      </c>
      <c r="Z91" s="70" t="s">
        <v>33</v>
      </c>
      <c r="AA91" s="70" t="s">
        <v>33</v>
      </c>
      <c r="AB91" s="70" t="s">
        <v>33</v>
      </c>
      <c r="AC91" s="70" t="s">
        <v>33</v>
      </c>
      <c r="AD91" s="70" t="s">
        <v>33</v>
      </c>
      <c r="AE91" s="71" t="s">
        <v>33</v>
      </c>
      <c r="AF91" s="71" t="s">
        <v>33</v>
      </c>
      <c r="AG91" s="91">
        <f t="shared" si="17"/>
        <v>0</v>
      </c>
      <c r="AH91" s="93"/>
      <c r="AI91" s="93"/>
      <c r="AJ91" s="93"/>
      <c r="AK91" s="95" t="s">
        <v>51</v>
      </c>
      <c r="AL91" s="84">
        <f t="shared" si="18"/>
        <v>18</v>
      </c>
      <c r="AM91" s="84">
        <f t="shared" si="19"/>
        <v>18</v>
      </c>
      <c r="AN91" s="84">
        <f t="shared" si="20"/>
        <v>18</v>
      </c>
      <c r="BE91" s="29"/>
    </row>
    <row r="92" spans="1:57">
      <c r="A92" s="94">
        <v>45909</v>
      </c>
      <c r="B92" s="90">
        <v>1600</v>
      </c>
      <c r="C92" s="90"/>
      <c r="D92" s="88">
        <f>(SUM(粮草!A92:X92)+AG92*10*IF(AK92="是",$BB$4,$BB$3))</f>
        <v>0</v>
      </c>
      <c r="E92" s="76">
        <f>SUM($B$4:B92)+SUM($C$4:C92)-SUM($D$4:D92)</f>
        <v>106468</v>
      </c>
      <c r="F92" s="88">
        <f>SUM(经验!A92:X92)</f>
        <v>0</v>
      </c>
      <c r="G92" s="88">
        <f>SUM($F$4:F92)+SUM($H$4:H92)</f>
        <v>23880</v>
      </c>
      <c r="H92" s="90">
        <v>100</v>
      </c>
      <c r="I92" s="70" t="s">
        <v>33</v>
      </c>
      <c r="J92" s="70" t="s">
        <v>33</v>
      </c>
      <c r="K92" s="70" t="s">
        <v>33</v>
      </c>
      <c r="L92" s="70" t="s">
        <v>33</v>
      </c>
      <c r="M92" s="70" t="s">
        <v>33</v>
      </c>
      <c r="N92" s="70" t="s">
        <v>33</v>
      </c>
      <c r="O92" s="71" t="s">
        <v>33</v>
      </c>
      <c r="P92" s="71" t="s">
        <v>33</v>
      </c>
      <c r="Q92" s="70" t="s">
        <v>33</v>
      </c>
      <c r="R92" s="70" t="s">
        <v>33</v>
      </c>
      <c r="S92" s="70" t="s">
        <v>33</v>
      </c>
      <c r="T92" s="70" t="s">
        <v>33</v>
      </c>
      <c r="U92" s="70" t="s">
        <v>33</v>
      </c>
      <c r="V92" s="70" t="s">
        <v>33</v>
      </c>
      <c r="W92" s="71" t="s">
        <v>33</v>
      </c>
      <c r="X92" s="71" t="s">
        <v>33</v>
      </c>
      <c r="Y92" s="70" t="s">
        <v>33</v>
      </c>
      <c r="Z92" s="70" t="s">
        <v>33</v>
      </c>
      <c r="AA92" s="70" t="s">
        <v>33</v>
      </c>
      <c r="AB92" s="70" t="s">
        <v>33</v>
      </c>
      <c r="AC92" s="70" t="s">
        <v>33</v>
      </c>
      <c r="AD92" s="70" t="s">
        <v>33</v>
      </c>
      <c r="AE92" s="71" t="s">
        <v>33</v>
      </c>
      <c r="AF92" s="71" t="s">
        <v>33</v>
      </c>
      <c r="AG92" s="91">
        <f t="shared" si="17"/>
        <v>0</v>
      </c>
      <c r="AH92" s="93"/>
      <c r="AI92" s="93"/>
      <c r="AJ92" s="93"/>
      <c r="AK92" s="95" t="s">
        <v>51</v>
      </c>
      <c r="AL92" s="84">
        <f t="shared" si="18"/>
        <v>18</v>
      </c>
      <c r="AM92" s="84">
        <f t="shared" si="19"/>
        <v>18</v>
      </c>
      <c r="AN92" s="84">
        <f t="shared" si="20"/>
        <v>18</v>
      </c>
      <c r="BE92" s="29"/>
    </row>
    <row r="93" spans="1:57">
      <c r="A93" s="94">
        <v>45910</v>
      </c>
      <c r="B93" s="70">
        <v>1600</v>
      </c>
      <c r="C93" s="70"/>
      <c r="D93" s="88">
        <f>(SUM(粮草!A93:X93)+AG93*10*IF(AK93="是",$BB$4,$BB$3))</f>
        <v>0</v>
      </c>
      <c r="E93" s="76">
        <f>SUM($B$4:B93)+SUM($C$4:C93)-SUM($D$4:D93)</f>
        <v>108068</v>
      </c>
      <c r="F93" s="75">
        <f>SUM(经验!A93:X93)</f>
        <v>0</v>
      </c>
      <c r="G93" s="69">
        <f>SUM($F$4:F93)+SUM($H$4:H93)</f>
        <v>24080</v>
      </c>
      <c r="H93" s="70">
        <v>200</v>
      </c>
      <c r="I93" s="70" t="s">
        <v>33</v>
      </c>
      <c r="J93" s="70" t="s">
        <v>33</v>
      </c>
      <c r="K93" s="70" t="s">
        <v>33</v>
      </c>
      <c r="L93" s="70" t="s">
        <v>33</v>
      </c>
      <c r="M93" s="70" t="s">
        <v>33</v>
      </c>
      <c r="N93" s="70" t="s">
        <v>33</v>
      </c>
      <c r="O93" s="71" t="s">
        <v>33</v>
      </c>
      <c r="P93" s="71" t="s">
        <v>33</v>
      </c>
      <c r="Q93" s="70" t="s">
        <v>33</v>
      </c>
      <c r="R93" s="70" t="s">
        <v>33</v>
      </c>
      <c r="S93" s="70" t="s">
        <v>33</v>
      </c>
      <c r="T93" s="70" t="s">
        <v>33</v>
      </c>
      <c r="U93" s="70" t="s">
        <v>33</v>
      </c>
      <c r="V93" s="70" t="s">
        <v>33</v>
      </c>
      <c r="W93" s="71" t="s">
        <v>33</v>
      </c>
      <c r="X93" s="71" t="s">
        <v>33</v>
      </c>
      <c r="Y93" s="70" t="s">
        <v>33</v>
      </c>
      <c r="Z93" s="70" t="s">
        <v>33</v>
      </c>
      <c r="AA93" s="70" t="s">
        <v>33</v>
      </c>
      <c r="AB93" s="70" t="s">
        <v>33</v>
      </c>
      <c r="AC93" s="70" t="s">
        <v>33</v>
      </c>
      <c r="AD93" s="70" t="s">
        <v>33</v>
      </c>
      <c r="AE93" s="71" t="s">
        <v>33</v>
      </c>
      <c r="AF93" s="71" t="s">
        <v>33</v>
      </c>
      <c r="AG93" s="72">
        <f t="shared" si="17"/>
        <v>0</v>
      </c>
      <c r="AH93" s="73"/>
      <c r="AI93" s="73"/>
      <c r="AJ93" s="73"/>
      <c r="AK93" s="74" t="s">
        <v>51</v>
      </c>
      <c r="AL93" s="84">
        <f t="shared" si="18"/>
        <v>18</v>
      </c>
      <c r="AM93" s="84">
        <f t="shared" si="19"/>
        <v>18</v>
      </c>
      <c r="AN93" s="84">
        <f t="shared" si="20"/>
        <v>18</v>
      </c>
      <c r="BE93" s="29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topLeftCell="A46" workbookViewId="0">
      <selection activeCell="O25" sqref="O25"/>
    </sheetView>
  </sheetViews>
  <sheetFormatPr defaultColWidth="9" defaultRowHeight="15"/>
  <cols>
    <col min="26" max="26" width="10.7109375" bestFit="1" customWidth="1"/>
  </cols>
  <sheetData>
    <row r="2" spans="1:26">
      <c r="A2" s="142" t="s">
        <v>58</v>
      </c>
      <c r="B2" s="143"/>
      <c r="C2" s="1" t="s">
        <v>3</v>
      </c>
      <c r="D2" s="1">
        <f>COUNTIF(A4:H94,"&lt;&gt;空")</f>
        <v>728</v>
      </c>
      <c r="E2" s="143" t="s">
        <v>4</v>
      </c>
      <c r="F2" s="143"/>
      <c r="G2" s="143"/>
      <c r="H2" s="144"/>
      <c r="I2" s="145" t="s">
        <v>5</v>
      </c>
      <c r="J2" s="146"/>
      <c r="K2" s="6" t="s">
        <v>3</v>
      </c>
      <c r="L2" s="6">
        <f>COUNTIF(I4:P94,"&lt;&gt;空")</f>
        <v>728</v>
      </c>
      <c r="M2" s="146" t="s">
        <v>4</v>
      </c>
      <c r="N2" s="146"/>
      <c r="O2" s="146"/>
      <c r="P2" s="147"/>
      <c r="Q2" s="148" t="s">
        <v>6</v>
      </c>
      <c r="R2" s="140"/>
      <c r="S2" s="10" t="s">
        <v>7</v>
      </c>
      <c r="T2" s="9">
        <f>COUNTIF(Q4:X94,"&lt;&gt;空")</f>
        <v>728</v>
      </c>
      <c r="U2" s="140" t="s">
        <v>4</v>
      </c>
      <c r="V2" s="140"/>
      <c r="W2" s="140"/>
      <c r="X2" s="141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IF(ISNUMBER(SEARCH("营",'20.03'!I4)),(-$Y4+50*IF('20.03'!$AK4="是",'20.03'!$BB$4,'20.03'!$BB$3)),(VLOOKUP('20.03'!I4,'20.03'!$AO$4:$AQ$55,2,FALSE))*IF('20.03'!$AK4="是",'20.03'!$BB$4,'20.03'!$BB$3))</f>
        <v>150</v>
      </c>
      <c r="B4" s="4">
        <f>IF(ISNUMBER(SEARCH("营",'20.03'!J4)),(-$Y4+50*IF('20.03'!$AK4="是",'20.03'!$BB$4,'20.03'!$BB$3)),(VLOOKUP('20.03'!J4,'20.03'!$AO$4:$AQ$55,2,FALSE))*IF('20.03'!$AK4="是",'20.03'!$BB$4,'20.03'!$BB$3))</f>
        <v>150</v>
      </c>
      <c r="C4" s="4">
        <f>IF(ISNUMBER(SEARCH("营",'20.03'!K4)),(-$Y4+50*IF('20.03'!$AK4="是",'20.03'!$BB$4,'20.03'!$BB$3)),(VLOOKUP('20.03'!K4,'20.03'!$AO$4:$AQ$55,2,FALSE))*IF('20.03'!$AK4="是",'20.03'!$BB$4,'20.03'!$BB$3))</f>
        <v>150</v>
      </c>
      <c r="D4" s="4">
        <f>IF(ISNUMBER(SEARCH("营",'20.03'!L4)),(-$Y4+50*IF('20.03'!$AK4="是",'20.03'!$BB$4,'20.03'!$BB$3)),(VLOOKUP('20.03'!L4,'20.03'!$AO$4:$AQ$55,2,FALSE))*IF('20.03'!$AK4="是",'20.03'!$BB$4,'20.03'!$BB$3))</f>
        <v>150</v>
      </c>
      <c r="E4" s="4">
        <f>IF(ISNUMBER(SEARCH("营",'20.03'!M4)),(-$Y4+50*IF('20.03'!$AK4="是",'20.03'!$BB$4,'20.03'!$BB$3)),(VLOOKUP('20.03'!M4,'20.03'!$AO$4:$AQ$55,2,FALSE))*IF('20.03'!$AK4="是",'20.03'!$BB$4,'20.03'!$BB$3))</f>
        <v>150</v>
      </c>
      <c r="F4" s="4">
        <f>IF(ISNUMBER(SEARCH("营",'20.03'!N4)),(-$Y4+50*IF('20.03'!$AK4="是",'20.03'!$BB$4,'20.03'!$BB$3)),(VLOOKUP('20.03'!N4,'20.03'!$AO$4:$AQ$55,2,FALSE))*IF('20.03'!$AK4="是",'20.03'!$BB$4,'20.03'!$BB$3))</f>
        <v>50</v>
      </c>
      <c r="G4" s="4">
        <f>IF(ISNUMBER(SEARCH("营",'20.03'!O4)),(-$Y4+50*IF('20.03'!$AK4="是",'20.03'!$BB$4,'20.03'!$BB$3)),(VLOOKUP('20.03'!O4,'20.03'!$AO$4:$AQ$55,2,FALSE))*IF('20.03'!$AK4="是",'20.03'!$BB$4,'20.03'!$BB$3))</f>
        <v>0</v>
      </c>
      <c r="H4" s="4">
        <f>IF(ISNUMBER(SEARCH("营",'20.03'!P4)),(-$Y4+50*IF('20.03'!$AK4="是",'20.03'!$BB$4,'20.03'!$BB$3)),(VLOOKUP('20.03'!P4,'20.03'!$AO$4:$AQ$55,2,FALSE))*IF('20.03'!$AK4="是",'20.03'!$BB$4,'20.03'!$BB$3))</f>
        <v>0</v>
      </c>
      <c r="I4" s="4">
        <f>IF(ISNUMBER(SEARCH("营",'20.03'!Q4)),(-$Y4+50*IF('20.03'!$AK4="是",'20.03'!$BB$4,'20.03'!$BB$3)),(VLOOKUP('20.03'!Q4,'20.03'!$AO$4:$AQ$55,2,FALSE))*IF('20.03'!$AK4="是",'20.03'!$BB$4,'20.03'!$BB$3))</f>
        <v>150</v>
      </c>
      <c r="J4" s="4">
        <f>IF(ISNUMBER(SEARCH("营",'20.03'!R4)),(-$Y4+50*IF('20.03'!$AK4="是",'20.03'!$BB$4,'20.03'!$BB$3)),(VLOOKUP('20.03'!R4,'20.03'!$AO$4:$AQ$55,2,FALSE))*IF('20.03'!$AK4="是",'20.03'!$BB$4,'20.03'!$BB$3))</f>
        <v>150</v>
      </c>
      <c r="K4" s="4">
        <f>IF(ISNUMBER(SEARCH("营",'20.03'!S4)),(-$Y4+50*IF('20.03'!$AK4="是",'20.03'!$BB$4,'20.03'!$BB$3)),(VLOOKUP('20.03'!S4,'20.03'!$AO$4:$AQ$55,2,FALSE))*IF('20.03'!$AK4="是",'20.03'!$BB$4,'20.03'!$BB$3))</f>
        <v>150</v>
      </c>
      <c r="L4" s="4">
        <f>IF(ISNUMBER(SEARCH("营",'20.03'!T4)),(-$Y4+50*IF('20.03'!$AK4="是",'20.03'!$BB$4,'20.03'!$BB$3)),(VLOOKUP('20.03'!T4,'20.03'!$AO$4:$AQ$55,2,FALSE))*IF('20.03'!$AK4="是",'20.03'!$BB$4,'20.03'!$BB$3))</f>
        <v>150</v>
      </c>
      <c r="M4" s="4">
        <f>IF(ISNUMBER(SEARCH("营",'20.03'!U4)),(-$Y4+50*IF('20.03'!$AK4="是",'20.03'!$BB$4,'20.03'!$BB$3)),(VLOOKUP('20.03'!U4,'20.03'!$AO$4:$AQ$55,2,FALSE))*IF('20.03'!$AK4="是",'20.03'!$BB$4,'20.03'!$BB$3))</f>
        <v>150</v>
      </c>
      <c r="N4" s="4">
        <f>IF(ISNUMBER(SEARCH("营",'20.03'!V4)),(-$Y4+50*IF('20.03'!$AK4="是",'20.03'!$BB$4,'20.03'!$BB$3)),(VLOOKUP('20.03'!V4,'20.03'!$AO$4:$AQ$55,2,FALSE))*IF('20.03'!$AK4="是",'20.03'!$BB$4,'20.03'!$BB$3))</f>
        <v>150</v>
      </c>
      <c r="O4" s="4">
        <f>IF(ISNUMBER(SEARCH("营",'20.03'!W4)),(-$Y4+50*IF('20.03'!$AK4="是",'20.03'!$BB$4,'20.03'!$BB$3)),(VLOOKUP('20.03'!W4,'20.03'!$AO$4:$AQ$55,2,FALSE))*IF('20.03'!$AK4="是",'20.03'!$BB$4,'20.03'!$BB$3))</f>
        <v>0</v>
      </c>
      <c r="P4" s="4">
        <f>IF(ISNUMBER(SEARCH("营",'20.03'!X4)),(-$Y4+50*IF('20.03'!$AK4="是",'20.03'!$BB$4,'20.03'!$BB$3)),(VLOOKUP('20.03'!X4,'20.03'!$AO$4:$AQ$55,2,FALSE))*IF('20.03'!$AK4="是",'20.03'!$BB$4,'20.03'!$BB$3))</f>
        <v>0</v>
      </c>
      <c r="Q4" s="4">
        <f>IF(ISNUMBER(SEARCH("营",'20.03'!Y4)),(-$Y4+50*IF('20.03'!$AK4="是",'20.03'!$BB$4,'20.03'!$BB$3)),(VLOOKUP('20.03'!Y4,'20.03'!$AO$4:$AQ$55,2,FALSE))*IF('20.03'!$AK4="是",'20.03'!$BB$4,'20.03'!$BB$3))</f>
        <v>0</v>
      </c>
      <c r="R4" s="4">
        <f>IF(ISNUMBER(SEARCH("营",'20.03'!Z4)),(-$Y4+50*IF('20.03'!$AK4="是",'20.03'!$BB$4,'20.03'!$BB$3)),(VLOOKUP('20.03'!Z4,'20.03'!$AO$4:$AQ$55,2,FALSE))*IF('20.03'!$AK4="是",'20.03'!$BB$4,'20.03'!$BB$3))</f>
        <v>0</v>
      </c>
      <c r="S4" s="4">
        <f>IF(ISNUMBER(SEARCH("营",'20.03'!AA4)),(-$Y4+50*IF('20.03'!$AK4="是",'20.03'!$BB$4,'20.03'!$BB$3)),(VLOOKUP('20.03'!AA4,'20.03'!$AO$4:$AQ$55,2,FALSE))*IF('20.03'!$AK4="是",'20.03'!$BB$4,'20.03'!$BB$3))</f>
        <v>0</v>
      </c>
      <c r="T4" s="4">
        <f>IF(ISNUMBER(SEARCH("营",'20.03'!AB4)),(-$Y4+50*IF('20.03'!$AK4="是",'20.03'!$BB$4,'20.03'!$BB$3)),(VLOOKUP('20.03'!AB4,'20.03'!$AO$4:$AQ$55,2,FALSE))*IF('20.03'!$AK4="是",'20.03'!$BB$4,'20.03'!$BB$3))</f>
        <v>0</v>
      </c>
      <c r="U4" s="4">
        <f>IF(ISNUMBER(SEARCH("营",'20.03'!AC4)),(-$Y4+50*IF('20.03'!$AK4="是",'20.03'!$BB$4,'20.03'!$BB$3)),(VLOOKUP('20.03'!AC4,'20.03'!$AO$4:$AQ$55,2,FALSE))*IF('20.03'!$AK4="是",'20.03'!$BB$4,'20.03'!$BB$3))</f>
        <v>0</v>
      </c>
      <c r="V4" s="4">
        <f>IF(ISNUMBER(SEARCH("营",'20.03'!AD4)),(-$Y4+50*IF('20.03'!$AK4="是",'20.03'!$BB$4,'20.03'!$BB$3)),(VLOOKUP('20.03'!AD4,'20.03'!$AO$4:$AQ$55,2,FALSE))*IF('20.03'!$AK4="是",'20.03'!$BB$4,'20.03'!$BB$3))</f>
        <v>0</v>
      </c>
      <c r="W4" s="4">
        <f>IF(ISNUMBER(SEARCH("营",'20.03'!AE4)),(-$Y4+50*IF('20.03'!$AK4="是",'20.03'!$BB$4,'20.03'!$BB$3)),(VLOOKUP('20.03'!AE4,'20.03'!$AO$4:$AQ$55,2,FALSE))*IF('20.03'!$AK4="是",'20.03'!$BB$4,'20.03'!$BB$3))</f>
        <v>0</v>
      </c>
      <c r="X4" s="4">
        <f>IF(ISNUMBER(SEARCH("营",'20.03'!AF4)),(-$Y4+50*IF('20.03'!$AK4="是",'20.03'!$BB$4,'20.03'!$BB$3)),(VLOOKUP('20.03'!AF4,'20.03'!$AO$4:$AQ$55,2,FALSE))*IF('20.03'!$AK4="是",'20.03'!$BB$4,'20.03'!$BB$3))</f>
        <v>0</v>
      </c>
      <c r="Y4" s="62">
        <v>300</v>
      </c>
      <c r="Z4" s="94">
        <v>45821</v>
      </c>
    </row>
    <row r="5" spans="1:26">
      <c r="A5" s="4">
        <f>IF(ISNUMBER(SEARCH("营",'20.03'!I5)),(-$Y5+50*IF('20.03'!$AK5="是",'20.03'!$BB$4,'20.03'!$BB$3)),(VLOOKUP('20.03'!I5,'20.03'!$AO$4:$AQ$55,2,FALSE))*IF('20.03'!$AK5="是",'20.03'!$BB$4,'20.03'!$BB$3))</f>
        <v>0</v>
      </c>
      <c r="B5" s="4">
        <f>IF(ISNUMBER(SEARCH("营",'20.03'!J5)),(-$Y5+50*IF('20.03'!$AK5="是",'20.03'!$BB$4,'20.03'!$BB$3)),(VLOOKUP('20.03'!J5,'20.03'!$AO$4:$AQ$55,2,FALSE))*IF('20.03'!$AK5="是",'20.03'!$BB$4,'20.03'!$BB$3))</f>
        <v>0</v>
      </c>
      <c r="C5" s="4">
        <f>IF(ISNUMBER(SEARCH("营",'20.03'!K5)),(-$Y5+50*IF('20.03'!$AK5="是",'20.03'!$BB$4,'20.03'!$BB$3)),(VLOOKUP('20.03'!K5,'20.03'!$AO$4:$AQ$55,2,FALSE))*IF('20.03'!$AK5="是",'20.03'!$BB$4,'20.03'!$BB$3))</f>
        <v>0</v>
      </c>
      <c r="D5" s="4">
        <f>IF(ISNUMBER(SEARCH("营",'20.03'!L5)),(-$Y5+50*IF('20.03'!$AK5="是",'20.03'!$BB$4,'20.03'!$BB$3)),(VLOOKUP('20.03'!L5,'20.03'!$AO$4:$AQ$55,2,FALSE))*IF('20.03'!$AK5="是",'20.03'!$BB$4,'20.03'!$BB$3))</f>
        <v>0</v>
      </c>
      <c r="E5" s="4">
        <f>IF(ISNUMBER(SEARCH("营",'20.03'!M5)),(-$Y5+50*IF('20.03'!$AK5="是",'20.03'!$BB$4,'20.03'!$BB$3)),(VLOOKUP('20.03'!M5,'20.03'!$AO$4:$AQ$55,2,FALSE))*IF('20.03'!$AK5="是",'20.03'!$BB$4,'20.03'!$BB$3))</f>
        <v>0</v>
      </c>
      <c r="F5" s="4">
        <f>IF(ISNUMBER(SEARCH("营",'20.03'!N5)),(-$Y5+50*IF('20.03'!$AK5="是",'20.03'!$BB$4,'20.03'!$BB$3)),(VLOOKUP('20.03'!N5,'20.03'!$AO$4:$AQ$55,2,FALSE))*IF('20.03'!$AK5="是",'20.03'!$BB$4,'20.03'!$BB$3))</f>
        <v>0</v>
      </c>
      <c r="G5" s="4">
        <f>IF(ISNUMBER(SEARCH("营",'20.03'!O5)),(-$Y5+50*IF('20.03'!$AK5="是",'20.03'!$BB$4,'20.03'!$BB$3)),(VLOOKUP('20.03'!O5,'20.03'!$AO$4:$AQ$55,2,FALSE))*IF('20.03'!$AK5="是",'20.03'!$BB$4,'20.03'!$BB$3))</f>
        <v>0</v>
      </c>
      <c r="H5" s="4">
        <f>IF(ISNUMBER(SEARCH("营",'20.03'!P5)),(-$Y5+50*IF('20.03'!$AK5="是",'20.03'!$BB$4,'20.03'!$BB$3)),(VLOOKUP('20.03'!P5,'20.03'!$AO$4:$AQ$55,2,FALSE))*IF('20.03'!$AK5="是",'20.03'!$BB$4,'20.03'!$BB$3))</f>
        <v>0</v>
      </c>
      <c r="I5" s="4">
        <f>IF(ISNUMBER(SEARCH("营",'20.03'!Q5)),(-$Y5+50*IF('20.03'!$AK5="是",'20.03'!$BB$4,'20.03'!$BB$3)),(VLOOKUP('20.03'!Q5,'20.03'!$AO$4:$AQ$55,2,FALSE))*IF('20.03'!$AK5="是",'20.03'!$BB$4,'20.03'!$BB$3))</f>
        <v>50</v>
      </c>
      <c r="J5" s="4">
        <f>IF(ISNUMBER(SEARCH("营",'20.03'!R5)),(-$Y5+50*IF('20.03'!$AK5="是",'20.03'!$BB$4,'20.03'!$BB$3)),(VLOOKUP('20.03'!R5,'20.03'!$AO$4:$AQ$55,2,FALSE))*IF('20.03'!$AK5="是",'20.03'!$BB$4,'20.03'!$BB$3))</f>
        <v>150</v>
      </c>
      <c r="K5" s="4">
        <f>IF(ISNUMBER(SEARCH("营",'20.03'!S5)),(-$Y5+50*IF('20.03'!$AK5="是",'20.03'!$BB$4,'20.03'!$BB$3)),(VLOOKUP('20.03'!S5,'20.03'!$AO$4:$AQ$55,2,FALSE))*IF('20.03'!$AK5="是",'20.03'!$BB$4,'20.03'!$BB$3))</f>
        <v>150</v>
      </c>
      <c r="L5" s="4">
        <f>IF(ISNUMBER(SEARCH("营",'20.03'!T5)),(-$Y5+50*IF('20.03'!$AK5="是",'20.03'!$BB$4,'20.03'!$BB$3)),(VLOOKUP('20.03'!T5,'20.03'!$AO$4:$AQ$55,2,FALSE))*IF('20.03'!$AK5="是",'20.03'!$BB$4,'20.03'!$BB$3))</f>
        <v>160</v>
      </c>
      <c r="M5" s="4">
        <f>IF(ISNUMBER(SEARCH("营",'20.03'!U5)),(-$Y5+50*IF('20.03'!$AK5="是",'20.03'!$BB$4,'20.03'!$BB$3)),(VLOOKUP('20.03'!U5,'20.03'!$AO$4:$AQ$55,2,FALSE))*IF('20.03'!$AK5="是",'20.03'!$BB$4,'20.03'!$BB$3))</f>
        <v>160</v>
      </c>
      <c r="N5" s="4">
        <f>IF(ISNUMBER(SEARCH("营",'20.03'!V5)),(-$Y5+50*IF('20.03'!$AK5="是",'20.03'!$BB$4,'20.03'!$BB$3)),(VLOOKUP('20.03'!V5,'20.03'!$AO$4:$AQ$55,2,FALSE))*IF('20.03'!$AK5="是",'20.03'!$BB$4,'20.03'!$BB$3))</f>
        <v>50</v>
      </c>
      <c r="O5" s="4">
        <f>IF(ISNUMBER(SEARCH("营",'20.03'!W5)),(-$Y5+50*IF('20.03'!$AK5="是",'20.03'!$BB$4,'20.03'!$BB$3)),(VLOOKUP('20.03'!W5,'20.03'!$AO$4:$AQ$55,2,FALSE))*IF('20.03'!$AK5="是",'20.03'!$BB$4,'20.03'!$BB$3))</f>
        <v>0</v>
      </c>
      <c r="P5" s="4">
        <f>IF(ISNUMBER(SEARCH("营",'20.03'!X5)),(-$Y5+50*IF('20.03'!$AK5="是",'20.03'!$BB$4,'20.03'!$BB$3)),(VLOOKUP('20.03'!X5,'20.03'!$AO$4:$AQ$55,2,FALSE))*IF('20.03'!$AK5="是",'20.03'!$BB$4,'20.03'!$BB$3))</f>
        <v>0</v>
      </c>
      <c r="Q5" s="4">
        <f>IF(ISNUMBER(SEARCH("营",'20.03'!Y5)),(-$Y5+50*IF('20.03'!$AK5="是",'20.03'!$BB$4,'20.03'!$BB$3)),(VLOOKUP('20.03'!Y5,'20.03'!$AO$4:$AQ$55,2,FALSE))*IF('20.03'!$AK5="是",'20.03'!$BB$4,'20.03'!$BB$3))</f>
        <v>160</v>
      </c>
      <c r="R5" s="4">
        <f>IF(ISNUMBER(SEARCH("营",'20.03'!Z5)),(-$Y5+50*IF('20.03'!$AK5="是",'20.03'!$BB$4,'20.03'!$BB$3)),(VLOOKUP('20.03'!Z5,'20.03'!$AO$4:$AQ$55,2,FALSE))*IF('20.03'!$AK5="是",'20.03'!$BB$4,'20.03'!$BB$3))</f>
        <v>160</v>
      </c>
      <c r="S5" s="4">
        <f>IF(ISNUMBER(SEARCH("营",'20.03'!AA5)),(-$Y5+50*IF('20.03'!$AK5="是",'20.03'!$BB$4,'20.03'!$BB$3)),(VLOOKUP('20.03'!AA5,'20.03'!$AO$4:$AQ$55,2,FALSE))*IF('20.03'!$AK5="是",'20.03'!$BB$4,'20.03'!$BB$3))</f>
        <v>150</v>
      </c>
      <c r="T5" s="4">
        <f>IF(ISNUMBER(SEARCH("营",'20.03'!AB5)),(-$Y5+50*IF('20.03'!$AK5="是",'20.03'!$BB$4,'20.03'!$BB$3)),(VLOOKUP('20.03'!AB5,'20.03'!$AO$4:$AQ$55,2,FALSE))*IF('20.03'!$AK5="是",'20.03'!$BB$4,'20.03'!$BB$3))</f>
        <v>160</v>
      </c>
      <c r="U5" s="4">
        <f>IF(ISNUMBER(SEARCH("营",'20.03'!AC5)),(-$Y5+50*IF('20.03'!$AK5="是",'20.03'!$BB$4,'20.03'!$BB$3)),(VLOOKUP('20.03'!AC5,'20.03'!$AO$4:$AQ$55,2,FALSE))*IF('20.03'!$AK5="是",'20.03'!$BB$4,'20.03'!$BB$3))</f>
        <v>-250</v>
      </c>
      <c r="V5" s="4">
        <f>IF(ISNUMBER(SEARCH("营",'20.03'!AD5)),(-$Y5+50*IF('20.03'!$AK5="是",'20.03'!$BB$4,'20.03'!$BB$3)),(VLOOKUP('20.03'!AD5,'20.03'!$AO$4:$AQ$55,2,FALSE))*IF('20.03'!$AK5="是",'20.03'!$BB$4,'20.03'!$BB$3))</f>
        <v>160</v>
      </c>
      <c r="W5" s="4">
        <f>IF(ISNUMBER(SEARCH("营",'20.03'!AE5)),(-$Y5+50*IF('20.03'!$AK5="是",'20.03'!$BB$4,'20.03'!$BB$3)),(VLOOKUP('20.03'!AE5,'20.03'!$AO$4:$AQ$55,2,FALSE))*IF('20.03'!$AK5="是",'20.03'!$BB$4,'20.03'!$BB$3))</f>
        <v>150</v>
      </c>
      <c r="X5" s="4">
        <f>IF(ISNUMBER(SEARCH("营",'20.03'!AF5)),(-$Y5+50*IF('20.03'!$AK5="是",'20.03'!$BB$4,'20.03'!$BB$3)),(VLOOKUP('20.03'!AF5,'20.03'!$AO$4:$AQ$55,2,FALSE))*IF('20.03'!$AK5="是",'20.03'!$BB$4,'20.03'!$BB$3))</f>
        <v>170</v>
      </c>
      <c r="Y5" s="62">
        <v>300</v>
      </c>
      <c r="Z5" s="94">
        <v>45822</v>
      </c>
    </row>
    <row r="6" spans="1:26">
      <c r="A6" s="4">
        <f>IF(ISNUMBER(SEARCH("营",'20.03'!I6)),(-$Y6+50*IF('20.03'!$AK6="是",'20.03'!$BB$4,'20.03'!$BB$3)),(VLOOKUP('20.03'!I6,'20.03'!$AO$4:$AQ$55,2,FALSE))*IF('20.03'!$AK6="是",'20.03'!$BB$4,'20.03'!$BB$3))</f>
        <v>0</v>
      </c>
      <c r="B6" s="4">
        <f>IF(ISNUMBER(SEARCH("营",'20.03'!J6)),(-$Y6+50*IF('20.03'!$AK6="是",'20.03'!$BB$4,'20.03'!$BB$3)),(VLOOKUP('20.03'!J6,'20.03'!$AO$4:$AQ$55,2,FALSE))*IF('20.03'!$AK6="是",'20.03'!$BB$4,'20.03'!$BB$3))</f>
        <v>0</v>
      </c>
      <c r="C6" s="4">
        <f>IF(ISNUMBER(SEARCH("营",'20.03'!K6)),(-$Y6+50*IF('20.03'!$AK6="是",'20.03'!$BB$4,'20.03'!$BB$3)),(VLOOKUP('20.03'!K6,'20.03'!$AO$4:$AQ$55,2,FALSE))*IF('20.03'!$AK6="是",'20.03'!$BB$4,'20.03'!$BB$3))</f>
        <v>0</v>
      </c>
      <c r="D6" s="4">
        <f>IF(ISNUMBER(SEARCH("营",'20.03'!L6)),(-$Y6+50*IF('20.03'!$AK6="是",'20.03'!$BB$4,'20.03'!$BB$3)),(VLOOKUP('20.03'!L6,'20.03'!$AO$4:$AQ$55,2,FALSE))*IF('20.03'!$AK6="是",'20.03'!$BB$4,'20.03'!$BB$3))</f>
        <v>0</v>
      </c>
      <c r="E6" s="4">
        <f>IF(ISNUMBER(SEARCH("营",'20.03'!M6)),(-$Y6+50*IF('20.03'!$AK6="是",'20.03'!$BB$4,'20.03'!$BB$3)),(VLOOKUP('20.03'!M6,'20.03'!$AO$4:$AQ$55,2,FALSE))*IF('20.03'!$AK6="是",'20.03'!$BB$4,'20.03'!$BB$3))</f>
        <v>0</v>
      </c>
      <c r="F6" s="4">
        <f>IF(ISNUMBER(SEARCH("营",'20.03'!N6)),(-$Y6+50*IF('20.03'!$AK6="是",'20.03'!$BB$4,'20.03'!$BB$3)),(VLOOKUP('20.03'!N6,'20.03'!$AO$4:$AQ$55,2,FALSE))*IF('20.03'!$AK6="是",'20.03'!$BB$4,'20.03'!$BB$3))</f>
        <v>0</v>
      </c>
      <c r="G6" s="4">
        <f>IF(ISNUMBER(SEARCH("营",'20.03'!O6)),(-$Y6+50*IF('20.03'!$AK6="是",'20.03'!$BB$4,'20.03'!$BB$3)),(VLOOKUP('20.03'!O6,'20.03'!$AO$4:$AQ$55,2,FALSE))*IF('20.03'!$AK6="是",'20.03'!$BB$4,'20.03'!$BB$3))</f>
        <v>0</v>
      </c>
      <c r="H6" s="4">
        <f>IF(ISNUMBER(SEARCH("营",'20.03'!P6)),(-$Y6+50*IF('20.03'!$AK6="是",'20.03'!$BB$4,'20.03'!$BB$3)),(VLOOKUP('20.03'!P6,'20.03'!$AO$4:$AQ$55,2,FALSE))*IF('20.03'!$AK6="是",'20.03'!$BB$4,'20.03'!$BB$3))</f>
        <v>0</v>
      </c>
      <c r="I6" s="4">
        <f>IF(ISNUMBER(SEARCH("营",'20.03'!Q6)),(-$Y6+50*IF('20.03'!$AK6="是",'20.03'!$BB$4,'20.03'!$BB$3)),(VLOOKUP('20.03'!Q6,'20.03'!$AO$4:$AQ$55,2,FALSE))*IF('20.03'!$AK6="是",'20.03'!$BB$4,'20.03'!$BB$3))</f>
        <v>160</v>
      </c>
      <c r="J6" s="4">
        <f>IF(ISNUMBER(SEARCH("营",'20.03'!R6)),(-$Y6+50*IF('20.03'!$AK6="是",'20.03'!$BB$4,'20.03'!$BB$3)),(VLOOKUP('20.03'!R6,'20.03'!$AO$4:$AQ$55,2,FALSE))*IF('20.03'!$AK6="是",'20.03'!$BB$4,'20.03'!$BB$3))</f>
        <v>160</v>
      </c>
      <c r="K6" s="4">
        <f>IF(ISNUMBER(SEARCH("营",'20.03'!S6)),(-$Y6+50*IF('20.03'!$AK6="是",'20.03'!$BB$4,'20.03'!$BB$3)),(VLOOKUP('20.03'!S6,'20.03'!$AO$4:$AQ$55,2,FALSE))*IF('20.03'!$AK6="是",'20.03'!$BB$4,'20.03'!$BB$3))</f>
        <v>160</v>
      </c>
      <c r="L6" s="4">
        <f>IF(ISNUMBER(SEARCH("营",'20.03'!T6)),(-$Y6+50*IF('20.03'!$AK6="是",'20.03'!$BB$4,'20.03'!$BB$3)),(VLOOKUP('20.03'!T6,'20.03'!$AO$4:$AQ$55,2,FALSE))*IF('20.03'!$AK6="是",'20.03'!$BB$4,'20.03'!$BB$3))</f>
        <v>160</v>
      </c>
      <c r="M6" s="4">
        <f>IF(ISNUMBER(SEARCH("营",'20.03'!U6)),(-$Y6+50*IF('20.03'!$AK6="是",'20.03'!$BB$4,'20.03'!$BB$3)),(VLOOKUP('20.03'!U6,'20.03'!$AO$4:$AQ$55,2,FALSE))*IF('20.03'!$AK6="是",'20.03'!$BB$4,'20.03'!$BB$3))</f>
        <v>160</v>
      </c>
      <c r="N6" s="4">
        <f>IF(ISNUMBER(SEARCH("营",'20.03'!V6)),(-$Y6+50*IF('20.03'!$AK6="是",'20.03'!$BB$4,'20.03'!$BB$3)),(VLOOKUP('20.03'!V6,'20.03'!$AO$4:$AQ$55,2,FALSE))*IF('20.03'!$AK6="是",'20.03'!$BB$4,'20.03'!$BB$3))</f>
        <v>50</v>
      </c>
      <c r="O6" s="4">
        <f>IF(ISNUMBER(SEARCH("营",'20.03'!W6)),(-$Y6+50*IF('20.03'!$AK6="是",'20.03'!$BB$4,'20.03'!$BB$3)),(VLOOKUP('20.03'!W6,'20.03'!$AO$4:$AQ$55,2,FALSE))*IF('20.03'!$AK6="是",'20.03'!$BB$4,'20.03'!$BB$3))</f>
        <v>0</v>
      </c>
      <c r="P6" s="4">
        <f>IF(ISNUMBER(SEARCH("营",'20.03'!X6)),(-$Y6+50*IF('20.03'!$AK6="是",'20.03'!$BB$4,'20.03'!$BB$3)),(VLOOKUP('20.03'!X6,'20.03'!$AO$4:$AQ$55,2,FALSE))*IF('20.03'!$AK6="是",'20.03'!$BB$4,'20.03'!$BB$3))</f>
        <v>0</v>
      </c>
      <c r="Q6" s="4">
        <f>IF(ISNUMBER(SEARCH("营",'20.03'!Y6)),(-$Y6+50*IF('20.03'!$AK6="是",'20.03'!$BB$4,'20.03'!$BB$3)),(VLOOKUP('20.03'!Y6,'20.03'!$AO$4:$AQ$55,2,FALSE))*IF('20.03'!$AK6="是",'20.03'!$BB$4,'20.03'!$BB$3))</f>
        <v>150</v>
      </c>
      <c r="R6" s="4">
        <f>IF(ISNUMBER(SEARCH("营",'20.03'!Z6)),(-$Y6+50*IF('20.03'!$AK6="是",'20.03'!$BB$4,'20.03'!$BB$3)),(VLOOKUP('20.03'!Z6,'20.03'!$AO$4:$AQ$55,2,FALSE))*IF('20.03'!$AK6="是",'20.03'!$BB$4,'20.03'!$BB$3))</f>
        <v>170</v>
      </c>
      <c r="S6" s="4">
        <f>IF(ISNUMBER(SEARCH("营",'20.03'!AA6)),(-$Y6+50*IF('20.03'!$AK6="是",'20.03'!$BB$4,'20.03'!$BB$3)),(VLOOKUP('20.03'!AA6,'20.03'!$AO$4:$AQ$55,2,FALSE))*IF('20.03'!$AK6="是",'20.03'!$BB$4,'20.03'!$BB$3))</f>
        <v>180</v>
      </c>
      <c r="T6" s="4">
        <f>IF(ISNUMBER(SEARCH("营",'20.03'!AB6)),(-$Y6+50*IF('20.03'!$AK6="是",'20.03'!$BB$4,'20.03'!$BB$3)),(VLOOKUP('20.03'!AB6,'20.03'!$AO$4:$AQ$55,2,FALSE))*IF('20.03'!$AK6="是",'20.03'!$BB$4,'20.03'!$BB$3))</f>
        <v>170</v>
      </c>
      <c r="U6" s="4">
        <f>IF(ISNUMBER(SEARCH("营",'20.03'!AC6)),(-$Y6+50*IF('20.03'!$AK6="是",'20.03'!$BB$4,'20.03'!$BB$3)),(VLOOKUP('20.03'!AC6,'20.03'!$AO$4:$AQ$55,2,FALSE))*IF('20.03'!$AK6="是",'20.03'!$BB$4,'20.03'!$BB$3))</f>
        <v>170</v>
      </c>
      <c r="V6" s="4">
        <f>IF(ISNUMBER(SEARCH("营",'20.03'!AD6)),(-$Y6+50*IF('20.03'!$AK6="是",'20.03'!$BB$4,'20.03'!$BB$3)),(VLOOKUP('20.03'!AD6,'20.03'!$AO$4:$AQ$55,2,FALSE))*IF('20.03'!$AK6="是",'20.03'!$BB$4,'20.03'!$BB$3))</f>
        <v>170</v>
      </c>
      <c r="W6" s="4">
        <f>IF(ISNUMBER(SEARCH("营",'20.03'!AE6)),(-$Y6+50*IF('20.03'!$AK6="是",'20.03'!$BB$4,'20.03'!$BB$3)),(VLOOKUP('20.03'!AE6,'20.03'!$AO$4:$AQ$55,2,FALSE))*IF('20.03'!$AK6="是",'20.03'!$BB$4,'20.03'!$BB$3))</f>
        <v>170</v>
      </c>
      <c r="X6" s="4">
        <f>IF(ISNUMBER(SEARCH("营",'20.03'!AF6)),(-$Y6+50*IF('20.03'!$AK6="是",'20.03'!$BB$4,'20.03'!$BB$3)),(VLOOKUP('20.03'!AF6,'20.03'!$AO$4:$AQ$55,2,FALSE))*IF('20.03'!$AK6="是",'20.03'!$BB$4,'20.03'!$BB$3))</f>
        <v>170</v>
      </c>
      <c r="Y6" s="62">
        <v>300</v>
      </c>
      <c r="Z6" s="94">
        <v>45823</v>
      </c>
    </row>
    <row r="7" spans="1:26">
      <c r="A7" s="4">
        <f>IF(ISNUMBER(SEARCH("营",'20.03'!I7)),(-$Y7+50*IF('20.03'!$AK7="是",'20.03'!$BB$4,'20.03'!$BB$3)),(VLOOKUP('20.03'!I7,'20.03'!$AO$4:$AQ$55,2,FALSE))*IF('20.03'!$AK7="是",'20.03'!$BB$4,'20.03'!$BB$3))</f>
        <v>0</v>
      </c>
      <c r="B7" s="4">
        <f>IF(ISNUMBER(SEARCH("营",'20.03'!J7)),(-$Y7+50*IF('20.03'!$AK7="是",'20.03'!$BB$4,'20.03'!$BB$3)),(VLOOKUP('20.03'!J7,'20.03'!$AO$4:$AQ$55,2,FALSE))*IF('20.03'!$AK7="是",'20.03'!$BB$4,'20.03'!$BB$3))</f>
        <v>0</v>
      </c>
      <c r="C7" s="4">
        <f>IF(ISNUMBER(SEARCH("营",'20.03'!K7)),(-$Y7+50*IF('20.03'!$AK7="是",'20.03'!$BB$4,'20.03'!$BB$3)),(VLOOKUP('20.03'!K7,'20.03'!$AO$4:$AQ$55,2,FALSE))*IF('20.03'!$AK7="是",'20.03'!$BB$4,'20.03'!$BB$3))</f>
        <v>0</v>
      </c>
      <c r="D7" s="4">
        <f>IF(ISNUMBER(SEARCH("营",'20.03'!L7)),(-$Y7+50*IF('20.03'!$AK7="是",'20.03'!$BB$4,'20.03'!$BB$3)),(VLOOKUP('20.03'!L7,'20.03'!$AO$4:$AQ$55,2,FALSE))*IF('20.03'!$AK7="是",'20.03'!$BB$4,'20.03'!$BB$3))</f>
        <v>0</v>
      </c>
      <c r="E7" s="4">
        <f>IF(ISNUMBER(SEARCH("营",'20.03'!M7)),(-$Y7+50*IF('20.03'!$AK7="是",'20.03'!$BB$4,'20.03'!$BB$3)),(VLOOKUP('20.03'!M7,'20.03'!$AO$4:$AQ$55,2,FALSE))*IF('20.03'!$AK7="是",'20.03'!$BB$4,'20.03'!$BB$3))</f>
        <v>0</v>
      </c>
      <c r="F7" s="4">
        <f>IF(ISNUMBER(SEARCH("营",'20.03'!N7)),(-$Y7+50*IF('20.03'!$AK7="是",'20.03'!$BB$4,'20.03'!$BB$3)),(VLOOKUP('20.03'!N7,'20.03'!$AO$4:$AQ$55,2,FALSE))*IF('20.03'!$AK7="是",'20.03'!$BB$4,'20.03'!$BB$3))</f>
        <v>0</v>
      </c>
      <c r="G7" s="4">
        <f>IF(ISNUMBER(SEARCH("营",'20.03'!O7)),(-$Y7+50*IF('20.03'!$AK7="是",'20.03'!$BB$4,'20.03'!$BB$3)),(VLOOKUP('20.03'!O7,'20.03'!$AO$4:$AQ$55,2,FALSE))*IF('20.03'!$AK7="是",'20.03'!$BB$4,'20.03'!$BB$3))</f>
        <v>0</v>
      </c>
      <c r="H7" s="4">
        <f>IF(ISNUMBER(SEARCH("营",'20.03'!P7)),(-$Y7+50*IF('20.03'!$AK7="是",'20.03'!$BB$4,'20.03'!$BB$3)),(VLOOKUP('20.03'!P7,'20.03'!$AO$4:$AQ$55,2,FALSE))*IF('20.03'!$AK7="是",'20.03'!$BB$4,'20.03'!$BB$3))</f>
        <v>0</v>
      </c>
      <c r="I7" s="4">
        <f>IF(ISNUMBER(SEARCH("营",'20.03'!Q7)),(-$Y7+50*IF('20.03'!$AK7="是",'20.03'!$BB$4,'20.03'!$BB$3)),(VLOOKUP('20.03'!Q7,'20.03'!$AO$4:$AQ$55,2,FALSE))*IF('20.03'!$AK7="是",'20.03'!$BB$4,'20.03'!$BB$3))</f>
        <v>160</v>
      </c>
      <c r="J7" s="4">
        <f>IF(ISNUMBER(SEARCH("营",'20.03'!R7)),(-$Y7+50*IF('20.03'!$AK7="是",'20.03'!$BB$4,'20.03'!$BB$3)),(VLOOKUP('20.03'!R7,'20.03'!$AO$4:$AQ$55,2,FALSE))*IF('20.03'!$AK7="是",'20.03'!$BB$4,'20.03'!$BB$3))</f>
        <v>160</v>
      </c>
      <c r="K7" s="4">
        <f>IF(ISNUMBER(SEARCH("营",'20.03'!S7)),(-$Y7+50*IF('20.03'!$AK7="是",'20.03'!$BB$4,'20.03'!$BB$3)),(VLOOKUP('20.03'!S7,'20.03'!$AO$4:$AQ$55,2,FALSE))*IF('20.03'!$AK7="是",'20.03'!$BB$4,'20.03'!$BB$3))</f>
        <v>170</v>
      </c>
      <c r="L7" s="4">
        <f>IF(ISNUMBER(SEARCH("营",'20.03'!T7)),(-$Y7+50*IF('20.03'!$AK7="是",'20.03'!$BB$4,'20.03'!$BB$3)),(VLOOKUP('20.03'!T7,'20.03'!$AO$4:$AQ$55,2,FALSE))*IF('20.03'!$AK7="是",'20.03'!$BB$4,'20.03'!$BB$3))</f>
        <v>170</v>
      </c>
      <c r="M7" s="4">
        <f>IF(ISNUMBER(SEARCH("营",'20.03'!U7)),(-$Y7+50*IF('20.03'!$AK7="是",'20.03'!$BB$4,'20.03'!$BB$3)),(VLOOKUP('20.03'!U7,'20.03'!$AO$4:$AQ$55,2,FALSE))*IF('20.03'!$AK7="是",'20.03'!$BB$4,'20.03'!$BB$3))</f>
        <v>170</v>
      </c>
      <c r="N7" s="4">
        <f>IF(ISNUMBER(SEARCH("营",'20.03'!V7)),(-$Y7+50*IF('20.03'!$AK7="是",'20.03'!$BB$4,'20.03'!$BB$3)),(VLOOKUP('20.03'!V7,'20.03'!$AO$4:$AQ$55,2,FALSE))*IF('20.03'!$AK7="是",'20.03'!$BB$4,'20.03'!$BB$3))</f>
        <v>150</v>
      </c>
      <c r="O7" s="4">
        <f>IF(ISNUMBER(SEARCH("营",'20.03'!W7)),(-$Y7+50*IF('20.03'!$AK7="是",'20.03'!$BB$4,'20.03'!$BB$3)),(VLOOKUP('20.03'!W7,'20.03'!$AO$4:$AQ$55,2,FALSE))*IF('20.03'!$AK7="是",'20.03'!$BB$4,'20.03'!$BB$3))</f>
        <v>0</v>
      </c>
      <c r="P7" s="4">
        <f>IF(ISNUMBER(SEARCH("营",'20.03'!X7)),(-$Y7+50*IF('20.03'!$AK7="是",'20.03'!$BB$4,'20.03'!$BB$3)),(VLOOKUP('20.03'!X7,'20.03'!$AO$4:$AQ$55,2,FALSE))*IF('20.03'!$AK7="是",'20.03'!$BB$4,'20.03'!$BB$3))</f>
        <v>0</v>
      </c>
      <c r="Q7" s="4">
        <f>IF(ISNUMBER(SEARCH("营",'20.03'!Y7)),(-$Y7+50*IF('20.03'!$AK7="是",'20.03'!$BB$4,'20.03'!$BB$3)),(VLOOKUP('20.03'!Y7,'20.03'!$AO$4:$AQ$55,2,FALSE))*IF('20.03'!$AK7="是",'20.03'!$BB$4,'20.03'!$BB$3))</f>
        <v>170</v>
      </c>
      <c r="R7" s="4">
        <f>IF(ISNUMBER(SEARCH("营",'20.03'!Z7)),(-$Y7+50*IF('20.03'!$AK7="是",'20.03'!$BB$4,'20.03'!$BB$3)),(VLOOKUP('20.03'!Z7,'20.03'!$AO$4:$AQ$55,2,FALSE))*IF('20.03'!$AK7="是",'20.03'!$BB$4,'20.03'!$BB$3))</f>
        <v>170</v>
      </c>
      <c r="S7" s="4">
        <f>IF(ISNUMBER(SEARCH("营",'20.03'!AA7)),(-$Y7+50*IF('20.03'!$AK7="是",'20.03'!$BB$4,'20.03'!$BB$3)),(VLOOKUP('20.03'!AA7,'20.03'!$AO$4:$AQ$55,2,FALSE))*IF('20.03'!$AK7="是",'20.03'!$BB$4,'20.03'!$BB$3))</f>
        <v>170</v>
      </c>
      <c r="T7" s="4">
        <f>IF(ISNUMBER(SEARCH("营",'20.03'!AB7)),(-$Y7+50*IF('20.03'!$AK7="是",'20.03'!$BB$4,'20.03'!$BB$3)),(VLOOKUP('20.03'!AB7,'20.03'!$AO$4:$AQ$55,2,FALSE))*IF('20.03'!$AK7="是",'20.03'!$BB$4,'20.03'!$BB$3))</f>
        <v>170</v>
      </c>
      <c r="U7" s="4">
        <f>IF(ISNUMBER(SEARCH("营",'20.03'!AC7)),(-$Y7+50*IF('20.03'!$AK7="是",'20.03'!$BB$4,'20.03'!$BB$3)),(VLOOKUP('20.03'!AC7,'20.03'!$AO$4:$AQ$55,2,FALSE))*IF('20.03'!$AK7="是",'20.03'!$BB$4,'20.03'!$BB$3))</f>
        <v>170</v>
      </c>
      <c r="V7" s="4">
        <f>IF(ISNUMBER(SEARCH("营",'20.03'!AD7)),(-$Y7+50*IF('20.03'!$AK7="是",'20.03'!$BB$4,'20.03'!$BB$3)),(VLOOKUP('20.03'!AD7,'20.03'!$AO$4:$AQ$55,2,FALSE))*IF('20.03'!$AK7="是",'20.03'!$BB$4,'20.03'!$BB$3))</f>
        <v>150</v>
      </c>
      <c r="W7" s="4">
        <f>IF(ISNUMBER(SEARCH("营",'20.03'!AE7)),(-$Y7+50*IF('20.03'!$AK7="是",'20.03'!$BB$4,'20.03'!$BB$3)),(VLOOKUP('20.03'!AE7,'20.03'!$AO$4:$AQ$55,2,FALSE))*IF('20.03'!$AK7="是",'20.03'!$BB$4,'20.03'!$BB$3))</f>
        <v>180</v>
      </c>
      <c r="X7" s="4">
        <f>IF(ISNUMBER(SEARCH("营",'20.03'!AF7)),(-$Y7+50*IF('20.03'!$AK7="是",'20.03'!$BB$4,'20.03'!$BB$3)),(VLOOKUP('20.03'!AF7,'20.03'!$AO$4:$AQ$55,2,FALSE))*IF('20.03'!$AK7="是",'20.03'!$BB$4,'20.03'!$BB$3))</f>
        <v>180</v>
      </c>
      <c r="Y7" s="62">
        <v>300</v>
      </c>
      <c r="Z7" s="94">
        <v>45824</v>
      </c>
    </row>
    <row r="8" spans="1:26">
      <c r="A8" s="4">
        <f>IF(ISNUMBER(SEARCH("营",'20.03'!I8)),(-$Y8+50*IF('20.03'!$AK8="是",'20.03'!$BB$4,'20.03'!$BB$3)),(VLOOKUP('20.03'!I8,'20.03'!$AO$4:$AQ$55,2,FALSE))*IF('20.03'!$AK8="是",'20.03'!$BB$4,'20.03'!$BB$3))</f>
        <v>0</v>
      </c>
      <c r="B8" s="4">
        <f>IF(ISNUMBER(SEARCH("营",'20.03'!J8)),(-$Y8+50*IF('20.03'!$AK8="是",'20.03'!$BB$4,'20.03'!$BB$3)),(VLOOKUP('20.03'!J8,'20.03'!$AO$4:$AQ$55,2,FALSE))*IF('20.03'!$AK8="是",'20.03'!$BB$4,'20.03'!$BB$3))</f>
        <v>0</v>
      </c>
      <c r="C8" s="4">
        <f>IF(ISNUMBER(SEARCH("营",'20.03'!K8)),(-$Y8+50*IF('20.03'!$AK8="是",'20.03'!$BB$4,'20.03'!$BB$3)),(VLOOKUP('20.03'!K8,'20.03'!$AO$4:$AQ$55,2,FALSE))*IF('20.03'!$AK8="是",'20.03'!$BB$4,'20.03'!$BB$3))</f>
        <v>0</v>
      </c>
      <c r="D8" s="4">
        <f>IF(ISNUMBER(SEARCH("营",'20.03'!L8)),(-$Y8+50*IF('20.03'!$AK8="是",'20.03'!$BB$4,'20.03'!$BB$3)),(VLOOKUP('20.03'!L8,'20.03'!$AO$4:$AQ$55,2,FALSE))*IF('20.03'!$AK8="是",'20.03'!$BB$4,'20.03'!$BB$3))</f>
        <v>0</v>
      </c>
      <c r="E8" s="4">
        <f>IF(ISNUMBER(SEARCH("营",'20.03'!M8)),(-$Y8+50*IF('20.03'!$AK8="是",'20.03'!$BB$4,'20.03'!$BB$3)),(VLOOKUP('20.03'!M8,'20.03'!$AO$4:$AQ$55,2,FALSE))*IF('20.03'!$AK8="是",'20.03'!$BB$4,'20.03'!$BB$3))</f>
        <v>0</v>
      </c>
      <c r="F8" s="4">
        <f>IF(ISNUMBER(SEARCH("营",'20.03'!N8)),(-$Y8+50*IF('20.03'!$AK8="是",'20.03'!$BB$4,'20.03'!$BB$3)),(VLOOKUP('20.03'!N8,'20.03'!$AO$4:$AQ$55,2,FALSE))*IF('20.03'!$AK8="是",'20.03'!$BB$4,'20.03'!$BB$3))</f>
        <v>0</v>
      </c>
      <c r="G8" s="4">
        <f>IF(ISNUMBER(SEARCH("营",'20.03'!O8)),(-$Y8+50*IF('20.03'!$AK8="是",'20.03'!$BB$4,'20.03'!$BB$3)),(VLOOKUP('20.03'!O8,'20.03'!$AO$4:$AQ$55,2,FALSE))*IF('20.03'!$AK8="是",'20.03'!$BB$4,'20.03'!$BB$3))</f>
        <v>0</v>
      </c>
      <c r="H8" s="4">
        <f>IF(ISNUMBER(SEARCH("营",'20.03'!P8)),(-$Y8+50*IF('20.03'!$AK8="是",'20.03'!$BB$4,'20.03'!$BB$3)),(VLOOKUP('20.03'!P8,'20.03'!$AO$4:$AQ$55,2,FALSE))*IF('20.03'!$AK8="是",'20.03'!$BB$4,'20.03'!$BB$3))</f>
        <v>0</v>
      </c>
      <c r="I8" s="4">
        <f>IF(ISNUMBER(SEARCH("营",'20.03'!Q8)),(-$Y8+50*IF('20.03'!$AK8="是",'20.03'!$BB$4,'20.03'!$BB$3)),(VLOOKUP('20.03'!Q8,'20.03'!$AO$4:$AQ$55,2,FALSE))*IF('20.03'!$AK8="是",'20.03'!$BB$4,'20.03'!$BB$3))</f>
        <v>170</v>
      </c>
      <c r="J8" s="4">
        <f>IF(ISNUMBER(SEARCH("营",'20.03'!R8)),(-$Y8+50*IF('20.03'!$AK8="是",'20.03'!$BB$4,'20.03'!$BB$3)),(VLOOKUP('20.03'!R8,'20.03'!$AO$4:$AQ$55,2,FALSE))*IF('20.03'!$AK8="是",'20.03'!$BB$4,'20.03'!$BB$3))</f>
        <v>50</v>
      </c>
      <c r="K8" s="4">
        <f>IF(ISNUMBER(SEARCH("营",'20.03'!S8)),(-$Y8+50*IF('20.03'!$AK8="是",'20.03'!$BB$4,'20.03'!$BB$3)),(VLOOKUP('20.03'!S8,'20.03'!$AO$4:$AQ$55,2,FALSE))*IF('20.03'!$AK8="是",'20.03'!$BB$4,'20.03'!$BB$3))</f>
        <v>170</v>
      </c>
      <c r="L8" s="4">
        <f>IF(ISNUMBER(SEARCH("营",'20.03'!T8)),(-$Y8+50*IF('20.03'!$AK8="是",'20.03'!$BB$4,'20.03'!$BB$3)),(VLOOKUP('20.03'!T8,'20.03'!$AO$4:$AQ$55,2,FALSE))*IF('20.03'!$AK8="是",'20.03'!$BB$4,'20.03'!$BB$3))</f>
        <v>170</v>
      </c>
      <c r="M8" s="4">
        <f>IF(ISNUMBER(SEARCH("营",'20.03'!U8)),(-$Y8+50*IF('20.03'!$AK8="是",'20.03'!$BB$4,'20.03'!$BB$3)),(VLOOKUP('20.03'!U8,'20.03'!$AO$4:$AQ$55,2,FALSE))*IF('20.03'!$AK8="是",'20.03'!$BB$4,'20.03'!$BB$3))</f>
        <v>170</v>
      </c>
      <c r="N8" s="4">
        <f>IF(ISNUMBER(SEARCH("营",'20.03'!V8)),(-$Y8+50*IF('20.03'!$AK8="是",'20.03'!$BB$4,'20.03'!$BB$3)),(VLOOKUP('20.03'!V8,'20.03'!$AO$4:$AQ$55,2,FALSE))*IF('20.03'!$AK8="是",'20.03'!$BB$4,'20.03'!$BB$3))</f>
        <v>50</v>
      </c>
      <c r="O8" s="4">
        <f>IF(ISNUMBER(SEARCH("营",'20.03'!W8)),(-$Y8+50*IF('20.03'!$AK8="是",'20.03'!$BB$4,'20.03'!$BB$3)),(VLOOKUP('20.03'!W8,'20.03'!$AO$4:$AQ$55,2,FALSE))*IF('20.03'!$AK8="是",'20.03'!$BB$4,'20.03'!$BB$3))</f>
        <v>0</v>
      </c>
      <c r="P8" s="4">
        <f>IF(ISNUMBER(SEARCH("营",'20.03'!X8)),(-$Y8+50*IF('20.03'!$AK8="是",'20.03'!$BB$4,'20.03'!$BB$3)),(VLOOKUP('20.03'!X8,'20.03'!$AO$4:$AQ$55,2,FALSE))*IF('20.03'!$AK8="是",'20.03'!$BB$4,'20.03'!$BB$3))</f>
        <v>0</v>
      </c>
      <c r="Q8" s="4">
        <f>IF(ISNUMBER(SEARCH("营",'20.03'!Y8)),(-$Y8+50*IF('20.03'!$AK8="是",'20.03'!$BB$4,'20.03'!$BB$3)),(VLOOKUP('20.03'!Y8,'20.03'!$AO$4:$AQ$55,2,FALSE))*IF('20.03'!$AK8="是",'20.03'!$BB$4,'20.03'!$BB$3))</f>
        <v>250</v>
      </c>
      <c r="R8" s="4">
        <f>IF(ISNUMBER(SEARCH("营",'20.03'!Z8)),(-$Y8+50*IF('20.03'!$AK8="是",'20.03'!$BB$4,'20.03'!$BB$3)),(VLOOKUP('20.03'!Z8,'20.03'!$AO$4:$AQ$55,2,FALSE))*IF('20.03'!$AK8="是",'20.03'!$BB$4,'20.03'!$BB$3))</f>
        <v>150</v>
      </c>
      <c r="S8" s="4">
        <f>IF(ISNUMBER(SEARCH("营",'20.03'!AA8)),(-$Y8+50*IF('20.03'!$AK8="是",'20.03'!$BB$4,'20.03'!$BB$3)),(VLOOKUP('20.03'!AA8,'20.03'!$AO$4:$AQ$55,2,FALSE))*IF('20.03'!$AK8="是",'20.03'!$BB$4,'20.03'!$BB$3))</f>
        <v>180</v>
      </c>
      <c r="T8" s="4">
        <f>IF(ISNUMBER(SEARCH("营",'20.03'!AB8)),(-$Y8+50*IF('20.03'!$AK8="是",'20.03'!$BB$4,'20.03'!$BB$3)),(VLOOKUP('20.03'!AB8,'20.03'!$AO$4:$AQ$55,2,FALSE))*IF('20.03'!$AK8="是",'20.03'!$BB$4,'20.03'!$BB$3))</f>
        <v>180</v>
      </c>
      <c r="U8" s="4">
        <f>IF(ISNUMBER(SEARCH("营",'20.03'!AC8)),(-$Y8+50*IF('20.03'!$AK8="是",'20.03'!$BB$4,'20.03'!$BB$3)),(VLOOKUP('20.03'!AC8,'20.03'!$AO$4:$AQ$55,2,FALSE))*IF('20.03'!$AK8="是",'20.03'!$BB$4,'20.03'!$BB$3))</f>
        <v>180</v>
      </c>
      <c r="V8" s="4">
        <f>IF(ISNUMBER(SEARCH("营",'20.03'!AD8)),(-$Y8+50*IF('20.03'!$AK8="是",'20.03'!$BB$4,'20.03'!$BB$3)),(VLOOKUP('20.03'!AD8,'20.03'!$AO$4:$AQ$55,2,FALSE))*IF('20.03'!$AK8="是",'20.03'!$BB$4,'20.03'!$BB$3))</f>
        <v>180</v>
      </c>
      <c r="W8" s="4">
        <f>IF(ISNUMBER(SEARCH("营",'20.03'!AE8)),(-$Y8+50*IF('20.03'!$AK8="是",'20.03'!$BB$4,'20.03'!$BB$3)),(VLOOKUP('20.03'!AE8,'20.03'!$AO$4:$AQ$55,2,FALSE))*IF('20.03'!$AK8="是",'20.03'!$BB$4,'20.03'!$BB$3))</f>
        <v>180</v>
      </c>
      <c r="X8" s="4">
        <f>IF(ISNUMBER(SEARCH("营",'20.03'!AF8)),(-$Y8+50*IF('20.03'!$AK8="是",'20.03'!$BB$4,'20.03'!$BB$3)),(VLOOKUP('20.03'!AF8,'20.03'!$AO$4:$AQ$55,2,FALSE))*IF('20.03'!$AK8="是",'20.03'!$BB$4,'20.03'!$BB$3))</f>
        <v>180</v>
      </c>
      <c r="Y8" s="62">
        <v>300</v>
      </c>
      <c r="Z8" s="94">
        <v>45825</v>
      </c>
    </row>
    <row r="9" spans="1:26">
      <c r="A9" s="4">
        <f>IF(ISNUMBER(SEARCH("营",'20.03'!I9)),(-$Y9+50*IF('20.03'!$AK9="是",'20.03'!$BB$4,'20.03'!$BB$3)),(VLOOKUP('20.03'!I9,'20.03'!$AO$4:$AQ$55,2,FALSE))*IF('20.03'!$AK9="是",'20.03'!$BB$4,'20.03'!$BB$3))</f>
        <v>0</v>
      </c>
      <c r="B9" s="4">
        <f>IF(ISNUMBER(SEARCH("营",'20.03'!J9)),(-$Y9+50*IF('20.03'!$AK9="是",'20.03'!$BB$4,'20.03'!$BB$3)),(VLOOKUP('20.03'!J9,'20.03'!$AO$4:$AQ$55,2,FALSE))*IF('20.03'!$AK9="是",'20.03'!$BB$4,'20.03'!$BB$3))</f>
        <v>0</v>
      </c>
      <c r="C9" s="4">
        <f>IF(ISNUMBER(SEARCH("营",'20.03'!K9)),(-$Y9+50*IF('20.03'!$AK9="是",'20.03'!$BB$4,'20.03'!$BB$3)),(VLOOKUP('20.03'!K9,'20.03'!$AO$4:$AQ$55,2,FALSE))*IF('20.03'!$AK9="是",'20.03'!$BB$4,'20.03'!$BB$3))</f>
        <v>0</v>
      </c>
      <c r="D9" s="4">
        <f>IF(ISNUMBER(SEARCH("营",'20.03'!L9)),(-$Y9+50*IF('20.03'!$AK9="是",'20.03'!$BB$4,'20.03'!$BB$3)),(VLOOKUP('20.03'!L9,'20.03'!$AO$4:$AQ$55,2,FALSE))*IF('20.03'!$AK9="是",'20.03'!$BB$4,'20.03'!$BB$3))</f>
        <v>0</v>
      </c>
      <c r="E9" s="4">
        <f>IF(ISNUMBER(SEARCH("营",'20.03'!M9)),(-$Y9+50*IF('20.03'!$AK9="是",'20.03'!$BB$4,'20.03'!$BB$3)),(VLOOKUP('20.03'!M9,'20.03'!$AO$4:$AQ$55,2,FALSE))*IF('20.03'!$AK9="是",'20.03'!$BB$4,'20.03'!$BB$3))</f>
        <v>0</v>
      </c>
      <c r="F9" s="4">
        <f>IF(ISNUMBER(SEARCH("营",'20.03'!N9)),(-$Y9+50*IF('20.03'!$AK9="是",'20.03'!$BB$4,'20.03'!$BB$3)),(VLOOKUP('20.03'!N9,'20.03'!$AO$4:$AQ$55,2,FALSE))*IF('20.03'!$AK9="是",'20.03'!$BB$4,'20.03'!$BB$3))</f>
        <v>0</v>
      </c>
      <c r="G9" s="4">
        <f>IF(ISNUMBER(SEARCH("营",'20.03'!O9)),(-$Y9+50*IF('20.03'!$AK9="是",'20.03'!$BB$4,'20.03'!$BB$3)),(VLOOKUP('20.03'!O9,'20.03'!$AO$4:$AQ$55,2,FALSE))*IF('20.03'!$AK9="是",'20.03'!$BB$4,'20.03'!$BB$3))</f>
        <v>0</v>
      </c>
      <c r="H9" s="4">
        <f>IF(ISNUMBER(SEARCH("营",'20.03'!P9)),(-$Y9+50*IF('20.03'!$AK9="是",'20.03'!$BB$4,'20.03'!$BB$3)),(VLOOKUP('20.03'!P9,'20.03'!$AO$4:$AQ$55,2,FALSE))*IF('20.03'!$AK9="是",'20.03'!$BB$4,'20.03'!$BB$3))</f>
        <v>0</v>
      </c>
      <c r="I9" s="4">
        <f>IF(ISNUMBER(SEARCH("营",'20.03'!Q9)),(-$Y9+50*IF('20.03'!$AK9="是",'20.03'!$BB$4,'20.03'!$BB$3)),(VLOOKUP('20.03'!Q9,'20.03'!$AO$4:$AQ$55,2,FALSE))*IF('20.03'!$AK9="是",'20.03'!$BB$4,'20.03'!$BB$3))</f>
        <v>170</v>
      </c>
      <c r="J9" s="4">
        <f>IF(ISNUMBER(SEARCH("营",'20.03'!R9)),(-$Y9+50*IF('20.03'!$AK9="是",'20.03'!$BB$4,'20.03'!$BB$3)),(VLOOKUP('20.03'!R9,'20.03'!$AO$4:$AQ$55,2,FALSE))*IF('20.03'!$AK9="是",'20.03'!$BB$4,'20.03'!$BB$3))</f>
        <v>170</v>
      </c>
      <c r="K9" s="4">
        <f>IF(ISNUMBER(SEARCH("营",'20.03'!S9)),(-$Y9+50*IF('20.03'!$AK9="是",'20.03'!$BB$4,'20.03'!$BB$3)),(VLOOKUP('20.03'!S9,'20.03'!$AO$4:$AQ$55,2,FALSE))*IF('20.03'!$AK9="是",'20.03'!$BB$4,'20.03'!$BB$3))</f>
        <v>170</v>
      </c>
      <c r="L9" s="4">
        <f>IF(ISNUMBER(SEARCH("营",'20.03'!T9)),(-$Y9+50*IF('20.03'!$AK9="是",'20.03'!$BB$4,'20.03'!$BB$3)),(VLOOKUP('20.03'!T9,'20.03'!$AO$4:$AQ$55,2,FALSE))*IF('20.03'!$AK9="是",'20.03'!$BB$4,'20.03'!$BB$3))</f>
        <v>0</v>
      </c>
      <c r="M9" s="4">
        <f>IF(ISNUMBER(SEARCH("营",'20.03'!U9)),(-$Y9+50*IF('20.03'!$AK9="是",'20.03'!$BB$4,'20.03'!$BB$3)),(VLOOKUP('20.03'!U9,'20.03'!$AO$4:$AQ$55,2,FALSE))*IF('20.03'!$AK9="是",'20.03'!$BB$4,'20.03'!$BB$3))</f>
        <v>0</v>
      </c>
      <c r="N9" s="4">
        <f>IF(ISNUMBER(SEARCH("营",'20.03'!V9)),(-$Y9+50*IF('20.03'!$AK9="是",'20.03'!$BB$4,'20.03'!$BB$3)),(VLOOKUP('20.03'!V9,'20.03'!$AO$4:$AQ$55,2,FALSE))*IF('20.03'!$AK9="是",'20.03'!$BB$4,'20.03'!$BB$3))</f>
        <v>0</v>
      </c>
      <c r="O9" s="4">
        <f>IF(ISNUMBER(SEARCH("营",'20.03'!W9)),(-$Y9+50*IF('20.03'!$AK9="是",'20.03'!$BB$4,'20.03'!$BB$3)),(VLOOKUP('20.03'!W9,'20.03'!$AO$4:$AQ$55,2,FALSE))*IF('20.03'!$AK9="是",'20.03'!$BB$4,'20.03'!$BB$3))</f>
        <v>0</v>
      </c>
      <c r="P9" s="4">
        <f>IF(ISNUMBER(SEARCH("营",'20.03'!X9)),(-$Y9+50*IF('20.03'!$AK9="是",'20.03'!$BB$4,'20.03'!$BB$3)),(VLOOKUP('20.03'!X9,'20.03'!$AO$4:$AQ$55,2,FALSE))*IF('20.03'!$AK9="是",'20.03'!$BB$4,'20.03'!$BB$3))</f>
        <v>0</v>
      </c>
      <c r="Q9" s="4">
        <f>IF(ISNUMBER(SEARCH("营",'20.03'!Y9)),(-$Y9+50*IF('20.03'!$AK9="是",'20.03'!$BB$4,'20.03'!$BB$3)),(VLOOKUP('20.03'!Y9,'20.03'!$AO$4:$AQ$55,2,FALSE))*IF('20.03'!$AK9="是",'20.03'!$BB$4,'20.03'!$BB$3))</f>
        <v>180</v>
      </c>
      <c r="R9" s="4">
        <f>IF(ISNUMBER(SEARCH("营",'20.03'!Z9)),(-$Y9+50*IF('20.03'!$AK9="是",'20.03'!$BB$4,'20.03'!$BB$3)),(VLOOKUP('20.03'!Z9,'20.03'!$AO$4:$AQ$55,2,FALSE))*IF('20.03'!$AK9="是",'20.03'!$BB$4,'20.03'!$BB$3))</f>
        <v>180</v>
      </c>
      <c r="S9" s="4">
        <f>IF(ISNUMBER(SEARCH("营",'20.03'!AA9)),(-$Y9+50*IF('20.03'!$AK9="是",'20.03'!$BB$4,'20.03'!$BB$3)),(VLOOKUP('20.03'!AA9,'20.03'!$AO$4:$AQ$55,2,FALSE))*IF('20.03'!$AK9="是",'20.03'!$BB$4,'20.03'!$BB$3))</f>
        <v>180</v>
      </c>
      <c r="T9" s="4">
        <f>IF(ISNUMBER(SEARCH("营",'20.03'!AB9)),(-$Y9+50*IF('20.03'!$AK9="是",'20.03'!$BB$4,'20.03'!$BB$3)),(VLOOKUP('20.03'!AB9,'20.03'!$AO$4:$AQ$55,2,FALSE))*IF('20.03'!$AK9="是",'20.03'!$BB$4,'20.03'!$BB$3))</f>
        <v>250</v>
      </c>
      <c r="U9" s="4">
        <f>IF(ISNUMBER(SEARCH("营",'20.03'!AC9)),(-$Y9+50*IF('20.03'!$AK9="是",'20.03'!$BB$4,'20.03'!$BB$3)),(VLOOKUP('20.03'!AC9,'20.03'!$AO$4:$AQ$55,2,FALSE))*IF('20.03'!$AK9="是",'20.03'!$BB$4,'20.03'!$BB$3))</f>
        <v>170</v>
      </c>
      <c r="V9" s="4">
        <f>IF(ISNUMBER(SEARCH("营",'20.03'!AD9)),(-$Y9+50*IF('20.03'!$AK9="是",'20.03'!$BB$4,'20.03'!$BB$3)),(VLOOKUP('20.03'!AD9,'20.03'!$AO$4:$AQ$55,2,FALSE))*IF('20.03'!$AK9="是",'20.03'!$BB$4,'20.03'!$BB$3))</f>
        <v>50</v>
      </c>
      <c r="W9" s="4">
        <f>IF(ISNUMBER(SEARCH("营",'20.03'!AE9)),(-$Y9+50*IF('20.03'!$AK9="是",'20.03'!$BB$4,'20.03'!$BB$3)),(VLOOKUP('20.03'!AE9,'20.03'!$AO$4:$AQ$55,2,FALSE))*IF('20.03'!$AK9="是",'20.03'!$BB$4,'20.03'!$BB$3))</f>
        <v>0</v>
      </c>
      <c r="X9" s="4">
        <f>IF(ISNUMBER(SEARCH("营",'20.03'!AF9)),(-$Y9+50*IF('20.03'!$AK9="是",'20.03'!$BB$4,'20.03'!$BB$3)),(VLOOKUP('20.03'!AF9,'20.03'!$AO$4:$AQ$55,2,FALSE))*IF('20.03'!$AK9="是",'20.03'!$BB$4,'20.03'!$BB$3))</f>
        <v>0</v>
      </c>
      <c r="Y9" s="62">
        <v>300</v>
      </c>
      <c r="Z9" s="94">
        <v>45826</v>
      </c>
    </row>
    <row r="10" spans="1:26">
      <c r="A10" s="4">
        <f>IF(ISNUMBER(SEARCH("营",'20.03'!I10)),(-$Y10+50*IF('20.03'!$AK10="是",'20.03'!$BB$4,'20.03'!$BB$3)),(VLOOKUP('20.03'!I10,'20.03'!$AO$4:$AQ$55,2,FALSE))*IF('20.03'!$AK10="是",'20.03'!$BB$4,'20.03'!$BB$3))</f>
        <v>0</v>
      </c>
      <c r="B10" s="4">
        <f>IF(ISNUMBER(SEARCH("营",'20.03'!J10)),(-$Y10+50*IF('20.03'!$AK10="是",'20.03'!$BB$4,'20.03'!$BB$3)),(VLOOKUP('20.03'!J10,'20.03'!$AO$4:$AQ$55,2,FALSE))*IF('20.03'!$AK10="是",'20.03'!$BB$4,'20.03'!$BB$3))</f>
        <v>0</v>
      </c>
      <c r="C10" s="4">
        <f>IF(ISNUMBER(SEARCH("营",'20.03'!K10)),(-$Y10+50*IF('20.03'!$AK10="是",'20.03'!$BB$4,'20.03'!$BB$3)),(VLOOKUP('20.03'!K10,'20.03'!$AO$4:$AQ$55,2,FALSE))*IF('20.03'!$AK10="是",'20.03'!$BB$4,'20.03'!$BB$3))</f>
        <v>0</v>
      </c>
      <c r="D10" s="4">
        <f>IF(ISNUMBER(SEARCH("营",'20.03'!L10)),(-$Y10+50*IF('20.03'!$AK10="是",'20.03'!$BB$4,'20.03'!$BB$3)),(VLOOKUP('20.03'!L10,'20.03'!$AO$4:$AQ$55,2,FALSE))*IF('20.03'!$AK10="是",'20.03'!$BB$4,'20.03'!$BB$3))</f>
        <v>0</v>
      </c>
      <c r="E10" s="4">
        <f>IF(ISNUMBER(SEARCH("营",'20.03'!M10)),(-$Y10+50*IF('20.03'!$AK10="是",'20.03'!$BB$4,'20.03'!$BB$3)),(VLOOKUP('20.03'!M10,'20.03'!$AO$4:$AQ$55,2,FALSE))*IF('20.03'!$AK10="是",'20.03'!$BB$4,'20.03'!$BB$3))</f>
        <v>0</v>
      </c>
      <c r="F10" s="4">
        <f>IF(ISNUMBER(SEARCH("营",'20.03'!N10)),(-$Y10+50*IF('20.03'!$AK10="是",'20.03'!$BB$4,'20.03'!$BB$3)),(VLOOKUP('20.03'!N10,'20.03'!$AO$4:$AQ$55,2,FALSE))*IF('20.03'!$AK10="是",'20.03'!$BB$4,'20.03'!$BB$3))</f>
        <v>0</v>
      </c>
      <c r="G10" s="4">
        <f>IF(ISNUMBER(SEARCH("营",'20.03'!O10)),(-$Y10+50*IF('20.03'!$AK10="是",'20.03'!$BB$4,'20.03'!$BB$3)),(VLOOKUP('20.03'!O10,'20.03'!$AO$4:$AQ$55,2,FALSE))*IF('20.03'!$AK10="是",'20.03'!$BB$4,'20.03'!$BB$3))</f>
        <v>0</v>
      </c>
      <c r="H10" s="4">
        <f>IF(ISNUMBER(SEARCH("营",'20.03'!P10)),(-$Y10+50*IF('20.03'!$AK10="是",'20.03'!$BB$4,'20.03'!$BB$3)),(VLOOKUP('20.03'!P10,'20.03'!$AO$4:$AQ$55,2,FALSE))*IF('20.03'!$AK10="是",'20.03'!$BB$4,'20.03'!$BB$3))</f>
        <v>0</v>
      </c>
      <c r="I10" s="4">
        <f>IF(ISNUMBER(SEARCH("营",'20.03'!Q10)),(-$Y10+50*IF('20.03'!$AK10="是",'20.03'!$BB$4,'20.03'!$BB$3)),(VLOOKUP('20.03'!Q10,'20.03'!$AO$4:$AQ$55,2,FALSE))*IF('20.03'!$AK10="是",'20.03'!$BB$4,'20.03'!$BB$3))</f>
        <v>0</v>
      </c>
      <c r="J10" s="4">
        <f>IF(ISNUMBER(SEARCH("营",'20.03'!R10)),(-$Y10+50*IF('20.03'!$AK10="是",'20.03'!$BB$4,'20.03'!$BB$3)),(VLOOKUP('20.03'!R10,'20.03'!$AO$4:$AQ$55,2,FALSE))*IF('20.03'!$AK10="是",'20.03'!$BB$4,'20.03'!$BB$3))</f>
        <v>0</v>
      </c>
      <c r="K10" s="4">
        <f>IF(ISNUMBER(SEARCH("营",'20.03'!S10)),(-$Y10+50*IF('20.03'!$AK10="是",'20.03'!$BB$4,'20.03'!$BB$3)),(VLOOKUP('20.03'!S10,'20.03'!$AO$4:$AQ$55,2,FALSE))*IF('20.03'!$AK10="是",'20.03'!$BB$4,'20.03'!$BB$3))</f>
        <v>0</v>
      </c>
      <c r="L10" s="4">
        <f>IF(ISNUMBER(SEARCH("营",'20.03'!T10)),(-$Y10+50*IF('20.03'!$AK10="是",'20.03'!$BB$4,'20.03'!$BB$3)),(VLOOKUP('20.03'!T10,'20.03'!$AO$4:$AQ$55,2,FALSE))*IF('20.03'!$AK10="是",'20.03'!$BB$4,'20.03'!$BB$3))</f>
        <v>0</v>
      </c>
      <c r="M10" s="4">
        <f>IF(ISNUMBER(SEARCH("营",'20.03'!U10)),(-$Y10+50*IF('20.03'!$AK10="是",'20.03'!$BB$4,'20.03'!$BB$3)),(VLOOKUP('20.03'!U10,'20.03'!$AO$4:$AQ$55,2,FALSE))*IF('20.03'!$AK10="是",'20.03'!$BB$4,'20.03'!$BB$3))</f>
        <v>0</v>
      </c>
      <c r="N10" s="4">
        <f>IF(ISNUMBER(SEARCH("营",'20.03'!V10)),(-$Y10+50*IF('20.03'!$AK10="是",'20.03'!$BB$4,'20.03'!$BB$3)),(VLOOKUP('20.03'!V10,'20.03'!$AO$4:$AQ$55,2,FALSE))*IF('20.03'!$AK10="是",'20.03'!$BB$4,'20.03'!$BB$3))</f>
        <v>0</v>
      </c>
      <c r="O10" s="4">
        <f>IF(ISNUMBER(SEARCH("营",'20.03'!W10)),(-$Y10+50*IF('20.03'!$AK10="是",'20.03'!$BB$4,'20.03'!$BB$3)),(VLOOKUP('20.03'!W10,'20.03'!$AO$4:$AQ$55,2,FALSE))*IF('20.03'!$AK10="是",'20.03'!$BB$4,'20.03'!$BB$3))</f>
        <v>0</v>
      </c>
      <c r="P10" s="4">
        <f>IF(ISNUMBER(SEARCH("营",'20.03'!X10)),(-$Y10+50*IF('20.03'!$AK10="是",'20.03'!$BB$4,'20.03'!$BB$3)),(VLOOKUP('20.03'!X10,'20.03'!$AO$4:$AQ$55,2,FALSE))*IF('20.03'!$AK10="是",'20.03'!$BB$4,'20.03'!$BB$3))</f>
        <v>0</v>
      </c>
      <c r="Q10" s="4">
        <f>IF(ISNUMBER(SEARCH("营",'20.03'!Y10)),(-$Y10+50*IF('20.03'!$AK10="是",'20.03'!$BB$4,'20.03'!$BB$3)),(VLOOKUP('20.03'!Y10,'20.03'!$AO$4:$AQ$55,2,FALSE))*IF('20.03'!$AK10="是",'20.03'!$BB$4,'20.03'!$BB$3))</f>
        <v>170</v>
      </c>
      <c r="R10" s="4">
        <f>IF(ISNUMBER(SEARCH("营",'20.03'!Z10)),(-$Y10+50*IF('20.03'!$AK10="是",'20.03'!$BB$4,'20.03'!$BB$3)),(VLOOKUP('20.03'!Z10,'20.03'!$AO$4:$AQ$55,2,FALSE))*IF('20.03'!$AK10="是",'20.03'!$BB$4,'20.03'!$BB$3))</f>
        <v>170</v>
      </c>
      <c r="S10" s="4">
        <f>IF(ISNUMBER(SEARCH("营",'20.03'!AA10)),(-$Y10+50*IF('20.03'!$AK10="是",'20.03'!$BB$4,'20.03'!$BB$3)),(VLOOKUP('20.03'!AA10,'20.03'!$AO$4:$AQ$55,2,FALSE))*IF('20.03'!$AK10="是",'20.03'!$BB$4,'20.03'!$BB$3))</f>
        <v>170</v>
      </c>
      <c r="T10" s="4">
        <f>IF(ISNUMBER(SEARCH("营",'20.03'!AB10)),(-$Y10+50*IF('20.03'!$AK10="是",'20.03'!$BB$4,'20.03'!$BB$3)),(VLOOKUP('20.03'!AB10,'20.03'!$AO$4:$AQ$55,2,FALSE))*IF('20.03'!$AK10="是",'20.03'!$BB$4,'20.03'!$BB$3))</f>
        <v>150</v>
      </c>
      <c r="U10" s="4">
        <f>IF(ISNUMBER(SEARCH("营",'20.03'!AC10)),(-$Y10+50*IF('20.03'!$AK10="是",'20.03'!$BB$4,'20.03'!$BB$3)),(VLOOKUP('20.03'!AC10,'20.03'!$AO$4:$AQ$55,2,FALSE))*IF('20.03'!$AK10="是",'20.03'!$BB$4,'20.03'!$BB$3))</f>
        <v>170</v>
      </c>
      <c r="V10" s="4">
        <f>IF(ISNUMBER(SEARCH("营",'20.03'!AD10)),(-$Y10+50*IF('20.03'!$AK10="是",'20.03'!$BB$4,'20.03'!$BB$3)),(VLOOKUP('20.03'!AD10,'20.03'!$AO$4:$AQ$55,2,FALSE))*IF('20.03'!$AK10="是",'20.03'!$BB$4,'20.03'!$BB$3))</f>
        <v>170</v>
      </c>
      <c r="W10" s="4">
        <f>IF(ISNUMBER(SEARCH("营",'20.03'!AE10)),(-$Y10+50*IF('20.03'!$AK10="是",'20.03'!$BB$4,'20.03'!$BB$3)),(VLOOKUP('20.03'!AE10,'20.03'!$AO$4:$AQ$55,2,FALSE))*IF('20.03'!$AK10="是",'20.03'!$BB$4,'20.03'!$BB$3))</f>
        <v>0</v>
      </c>
      <c r="X10" s="4">
        <f>IF(ISNUMBER(SEARCH("营",'20.03'!AF10)),(-$Y10+50*IF('20.03'!$AK10="是",'20.03'!$BB$4,'20.03'!$BB$3)),(VLOOKUP('20.03'!AF10,'20.03'!$AO$4:$AQ$55,2,FALSE))*IF('20.03'!$AK10="是",'20.03'!$BB$4,'20.03'!$BB$3))</f>
        <v>0</v>
      </c>
      <c r="Y10" s="62">
        <v>300</v>
      </c>
      <c r="Z10" s="94">
        <v>45827</v>
      </c>
    </row>
    <row r="11" spans="1:26">
      <c r="A11" s="4">
        <f>IF(ISNUMBER(SEARCH("营",'20.03'!I11)),(-$Y11+50*IF('20.03'!$AK11="是",'20.03'!$BB$4,'20.03'!$BB$3)),(VLOOKUP('20.03'!I11,'20.03'!$AO$4:$AQ$55,2,FALSE))*IF('20.03'!$AK11="是",'20.03'!$BB$4,'20.03'!$BB$3))</f>
        <v>0</v>
      </c>
      <c r="B11" s="4">
        <f>IF(ISNUMBER(SEARCH("营",'20.03'!J11)),(-$Y11+50*IF('20.03'!$AK11="是",'20.03'!$BB$4,'20.03'!$BB$3)),(VLOOKUP('20.03'!J11,'20.03'!$AO$4:$AQ$55,2,FALSE))*IF('20.03'!$AK11="是",'20.03'!$BB$4,'20.03'!$BB$3))</f>
        <v>0</v>
      </c>
      <c r="C11" s="4">
        <f>IF(ISNUMBER(SEARCH("营",'20.03'!K11)),(-$Y11+50*IF('20.03'!$AK11="是",'20.03'!$BB$4,'20.03'!$BB$3)),(VLOOKUP('20.03'!K11,'20.03'!$AO$4:$AQ$55,2,FALSE))*IF('20.03'!$AK11="是",'20.03'!$BB$4,'20.03'!$BB$3))</f>
        <v>0</v>
      </c>
      <c r="D11" s="4">
        <f>IF(ISNUMBER(SEARCH("营",'20.03'!L11)),(-$Y11+50*IF('20.03'!$AK11="是",'20.03'!$BB$4,'20.03'!$BB$3)),(VLOOKUP('20.03'!L11,'20.03'!$AO$4:$AQ$55,2,FALSE))*IF('20.03'!$AK11="是",'20.03'!$BB$4,'20.03'!$BB$3))</f>
        <v>0</v>
      </c>
      <c r="E11" s="4">
        <f>IF(ISNUMBER(SEARCH("营",'20.03'!M11)),(-$Y11+50*IF('20.03'!$AK11="是",'20.03'!$BB$4,'20.03'!$BB$3)),(VLOOKUP('20.03'!M11,'20.03'!$AO$4:$AQ$55,2,FALSE))*IF('20.03'!$AK11="是",'20.03'!$BB$4,'20.03'!$BB$3))</f>
        <v>0</v>
      </c>
      <c r="F11" s="4">
        <f>IF(ISNUMBER(SEARCH("营",'20.03'!N11)),(-$Y11+50*IF('20.03'!$AK11="是",'20.03'!$BB$4,'20.03'!$BB$3)),(VLOOKUP('20.03'!N11,'20.03'!$AO$4:$AQ$55,2,FALSE))*IF('20.03'!$AK11="是",'20.03'!$BB$4,'20.03'!$BB$3))</f>
        <v>0</v>
      </c>
      <c r="G11" s="4">
        <f>IF(ISNUMBER(SEARCH("营",'20.03'!O11)),(-$Y11+50*IF('20.03'!$AK11="是",'20.03'!$BB$4,'20.03'!$BB$3)),(VLOOKUP('20.03'!O11,'20.03'!$AO$4:$AQ$55,2,FALSE))*IF('20.03'!$AK11="是",'20.03'!$BB$4,'20.03'!$BB$3))</f>
        <v>0</v>
      </c>
      <c r="H11" s="4">
        <f>IF(ISNUMBER(SEARCH("营",'20.03'!P11)),(-$Y11+50*IF('20.03'!$AK11="是",'20.03'!$BB$4,'20.03'!$BB$3)),(VLOOKUP('20.03'!P11,'20.03'!$AO$4:$AQ$55,2,FALSE))*IF('20.03'!$AK11="是",'20.03'!$BB$4,'20.03'!$BB$3))</f>
        <v>0</v>
      </c>
      <c r="I11" s="4">
        <f>IF(ISNUMBER(SEARCH("营",'20.03'!Q11)),(-$Y11+50*IF('20.03'!$AK11="是",'20.03'!$BB$4,'20.03'!$BB$3)),(VLOOKUP('20.03'!Q11,'20.03'!$AO$4:$AQ$55,2,FALSE))*IF('20.03'!$AK11="是",'20.03'!$BB$4,'20.03'!$BB$3))</f>
        <v>200</v>
      </c>
      <c r="J11" s="4">
        <f>IF(ISNUMBER(SEARCH("营",'20.03'!R11)),(-$Y11+50*IF('20.03'!$AK11="是",'20.03'!$BB$4,'20.03'!$BB$3)),(VLOOKUP('20.03'!R11,'20.03'!$AO$4:$AQ$55,2,FALSE))*IF('20.03'!$AK11="是",'20.03'!$BB$4,'20.03'!$BB$3))</f>
        <v>0</v>
      </c>
      <c r="K11" s="4">
        <f>IF(ISNUMBER(SEARCH("营",'20.03'!S11)),(-$Y11+50*IF('20.03'!$AK11="是",'20.03'!$BB$4,'20.03'!$BB$3)),(VLOOKUP('20.03'!S11,'20.03'!$AO$4:$AQ$55,2,FALSE))*IF('20.03'!$AK11="是",'20.03'!$BB$4,'20.03'!$BB$3))</f>
        <v>0</v>
      </c>
      <c r="L11" s="4">
        <f>IF(ISNUMBER(SEARCH("营",'20.03'!T11)),(-$Y11+50*IF('20.03'!$AK11="是",'20.03'!$BB$4,'20.03'!$BB$3)),(VLOOKUP('20.03'!T11,'20.03'!$AO$4:$AQ$55,2,FALSE))*IF('20.03'!$AK11="是",'20.03'!$BB$4,'20.03'!$BB$3))</f>
        <v>0</v>
      </c>
      <c r="M11" s="4">
        <f>IF(ISNUMBER(SEARCH("营",'20.03'!U11)),(-$Y11+50*IF('20.03'!$AK11="是",'20.03'!$BB$4,'20.03'!$BB$3)),(VLOOKUP('20.03'!U11,'20.03'!$AO$4:$AQ$55,2,FALSE))*IF('20.03'!$AK11="是",'20.03'!$BB$4,'20.03'!$BB$3))</f>
        <v>0</v>
      </c>
      <c r="N11" s="4">
        <f>IF(ISNUMBER(SEARCH("营",'20.03'!V11)),(-$Y11+50*IF('20.03'!$AK11="是",'20.03'!$BB$4,'20.03'!$BB$3)),(VLOOKUP('20.03'!V11,'20.03'!$AO$4:$AQ$55,2,FALSE))*IF('20.03'!$AK11="是",'20.03'!$BB$4,'20.03'!$BB$3))</f>
        <v>0</v>
      </c>
      <c r="O11" s="4">
        <f>IF(ISNUMBER(SEARCH("营",'20.03'!W11)),(-$Y11+50*IF('20.03'!$AK11="是",'20.03'!$BB$4,'20.03'!$BB$3)),(VLOOKUP('20.03'!W11,'20.03'!$AO$4:$AQ$55,2,FALSE))*IF('20.03'!$AK11="是",'20.03'!$BB$4,'20.03'!$BB$3))</f>
        <v>0</v>
      </c>
      <c r="P11" s="4">
        <f>IF(ISNUMBER(SEARCH("营",'20.03'!X11)),(-$Y11+50*IF('20.03'!$AK11="是",'20.03'!$BB$4,'20.03'!$BB$3)),(VLOOKUP('20.03'!X11,'20.03'!$AO$4:$AQ$55,2,FALSE))*IF('20.03'!$AK11="是",'20.03'!$BB$4,'20.03'!$BB$3))</f>
        <v>0</v>
      </c>
      <c r="Q11" s="4">
        <f>IF(ISNUMBER(SEARCH("营",'20.03'!Y11)),(-$Y11+50*IF('20.03'!$AK11="是",'20.03'!$BB$4,'20.03'!$BB$3)),(VLOOKUP('20.03'!Y11,'20.03'!$AO$4:$AQ$55,2,FALSE))*IF('20.03'!$AK11="是",'20.03'!$BB$4,'20.03'!$BB$3))</f>
        <v>170</v>
      </c>
      <c r="R11" s="4">
        <f>IF(ISNUMBER(SEARCH("营",'20.03'!Z11)),(-$Y11+50*IF('20.03'!$AK11="是",'20.03'!$BB$4,'20.03'!$BB$3)),(VLOOKUP('20.03'!Z11,'20.03'!$AO$4:$AQ$55,2,FALSE))*IF('20.03'!$AK11="是",'20.03'!$BB$4,'20.03'!$BB$3))</f>
        <v>170</v>
      </c>
      <c r="S11" s="4">
        <f>IF(ISNUMBER(SEARCH("营",'20.03'!AA11)),(-$Y11+50*IF('20.03'!$AK11="是",'20.03'!$BB$4,'20.03'!$BB$3)),(VLOOKUP('20.03'!AA11,'20.03'!$AO$4:$AQ$55,2,FALSE))*IF('20.03'!$AK11="是",'20.03'!$BB$4,'20.03'!$BB$3))</f>
        <v>150</v>
      </c>
      <c r="T11" s="4">
        <f>IF(ISNUMBER(SEARCH("营",'20.03'!AB11)),(-$Y11+50*IF('20.03'!$AK11="是",'20.03'!$BB$4,'20.03'!$BB$3)),(VLOOKUP('20.03'!AB11,'20.03'!$AO$4:$AQ$55,2,FALSE))*IF('20.03'!$AK11="是",'20.03'!$BB$4,'20.03'!$BB$3))</f>
        <v>250</v>
      </c>
      <c r="U11" s="4">
        <f>IF(ISNUMBER(SEARCH("营",'20.03'!AC11)),(-$Y11+50*IF('20.03'!$AK11="是",'20.03'!$BB$4,'20.03'!$BB$3)),(VLOOKUP('20.03'!AC11,'20.03'!$AO$4:$AQ$55,2,FALSE))*IF('20.03'!$AK11="是",'20.03'!$BB$4,'20.03'!$BB$3))</f>
        <v>50</v>
      </c>
      <c r="V11" s="4">
        <f>IF(ISNUMBER(SEARCH("营",'20.03'!AD11)),(-$Y11+50*IF('20.03'!$AK11="是",'20.03'!$BB$4,'20.03'!$BB$3)),(VLOOKUP('20.03'!AD11,'20.03'!$AO$4:$AQ$55,2,FALSE))*IF('20.03'!$AK11="是",'20.03'!$BB$4,'20.03'!$BB$3))</f>
        <v>170</v>
      </c>
      <c r="W11" s="4">
        <f>IF(ISNUMBER(SEARCH("营",'20.03'!AE11)),(-$Y11+50*IF('20.03'!$AK11="是",'20.03'!$BB$4,'20.03'!$BB$3)),(VLOOKUP('20.03'!AE11,'20.03'!$AO$4:$AQ$55,2,FALSE))*IF('20.03'!$AK11="是",'20.03'!$BB$4,'20.03'!$BB$3))</f>
        <v>0</v>
      </c>
      <c r="X11" s="4">
        <f>IF(ISNUMBER(SEARCH("营",'20.03'!AF11)),(-$Y11+50*IF('20.03'!$AK11="是",'20.03'!$BB$4,'20.03'!$BB$3)),(VLOOKUP('20.03'!AF11,'20.03'!$AO$4:$AQ$55,2,FALSE))*IF('20.03'!$AK11="是",'20.03'!$BB$4,'20.03'!$BB$3))</f>
        <v>0</v>
      </c>
      <c r="Y11" s="62">
        <v>300</v>
      </c>
      <c r="Z11" s="94">
        <v>45828</v>
      </c>
    </row>
    <row r="12" spans="1:26">
      <c r="A12" s="4">
        <f>IF(ISNUMBER(SEARCH("营",'20.03'!I12)),(-$Y12+50*IF('20.03'!$AK12="是",'20.03'!$BB$4,'20.03'!$BB$3)),(VLOOKUP('20.03'!I12,'20.03'!$AO$4:$AQ$55,2,FALSE))*IF('20.03'!$AK12="是",'20.03'!$BB$4,'20.03'!$BB$3))</f>
        <v>0</v>
      </c>
      <c r="B12" s="4">
        <f>IF(ISNUMBER(SEARCH("营",'20.03'!J12)),(-$Y12+50*IF('20.03'!$AK12="是",'20.03'!$BB$4,'20.03'!$BB$3)),(VLOOKUP('20.03'!J12,'20.03'!$AO$4:$AQ$55,2,FALSE))*IF('20.03'!$AK12="是",'20.03'!$BB$4,'20.03'!$BB$3))</f>
        <v>0</v>
      </c>
      <c r="C12" s="4">
        <f>IF(ISNUMBER(SEARCH("营",'20.03'!K12)),(-$Y12+50*IF('20.03'!$AK12="是",'20.03'!$BB$4,'20.03'!$BB$3)),(VLOOKUP('20.03'!K12,'20.03'!$AO$4:$AQ$55,2,FALSE))*IF('20.03'!$AK12="是",'20.03'!$BB$4,'20.03'!$BB$3))</f>
        <v>0</v>
      </c>
      <c r="D12" s="4">
        <f>IF(ISNUMBER(SEARCH("营",'20.03'!L12)),(-$Y12+50*IF('20.03'!$AK12="是",'20.03'!$BB$4,'20.03'!$BB$3)),(VLOOKUP('20.03'!L12,'20.03'!$AO$4:$AQ$55,2,FALSE))*IF('20.03'!$AK12="是",'20.03'!$BB$4,'20.03'!$BB$3))</f>
        <v>0</v>
      </c>
      <c r="E12" s="4">
        <f>IF(ISNUMBER(SEARCH("营",'20.03'!M12)),(-$Y12+50*IF('20.03'!$AK12="是",'20.03'!$BB$4,'20.03'!$BB$3)),(VLOOKUP('20.03'!M12,'20.03'!$AO$4:$AQ$55,2,FALSE))*IF('20.03'!$AK12="是",'20.03'!$BB$4,'20.03'!$BB$3))</f>
        <v>0</v>
      </c>
      <c r="F12" s="4">
        <f>IF(ISNUMBER(SEARCH("营",'20.03'!N12)),(-$Y12+50*IF('20.03'!$AK12="是",'20.03'!$BB$4,'20.03'!$BB$3)),(VLOOKUP('20.03'!N12,'20.03'!$AO$4:$AQ$55,2,FALSE))*IF('20.03'!$AK12="是",'20.03'!$BB$4,'20.03'!$BB$3))</f>
        <v>0</v>
      </c>
      <c r="G12" s="4">
        <f>IF(ISNUMBER(SEARCH("营",'20.03'!O12)),(-$Y12+50*IF('20.03'!$AK12="是",'20.03'!$BB$4,'20.03'!$BB$3)),(VLOOKUP('20.03'!O12,'20.03'!$AO$4:$AQ$55,2,FALSE))*IF('20.03'!$AK12="是",'20.03'!$BB$4,'20.03'!$BB$3))</f>
        <v>0</v>
      </c>
      <c r="H12" s="4">
        <f>IF(ISNUMBER(SEARCH("营",'20.03'!P12)),(-$Y12+50*IF('20.03'!$AK12="是",'20.03'!$BB$4,'20.03'!$BB$3)),(VLOOKUP('20.03'!P12,'20.03'!$AO$4:$AQ$55,2,FALSE))*IF('20.03'!$AK12="是",'20.03'!$BB$4,'20.03'!$BB$3))</f>
        <v>0</v>
      </c>
      <c r="I12" s="4">
        <f>IF(ISNUMBER(SEARCH("营",'20.03'!Q12)),(-$Y12+50*IF('20.03'!$AK12="是",'20.03'!$BB$4,'20.03'!$BB$3)),(VLOOKUP('20.03'!Q12,'20.03'!$AO$4:$AQ$55,2,FALSE))*IF('20.03'!$AK12="是",'20.03'!$BB$4,'20.03'!$BB$3))</f>
        <v>200</v>
      </c>
      <c r="J12" s="4">
        <f>IF(ISNUMBER(SEARCH("营",'20.03'!R12)),(-$Y12+50*IF('20.03'!$AK12="是",'20.03'!$BB$4,'20.03'!$BB$3)),(VLOOKUP('20.03'!R12,'20.03'!$AO$4:$AQ$55,2,FALSE))*IF('20.03'!$AK12="是",'20.03'!$BB$4,'20.03'!$BB$3))</f>
        <v>200</v>
      </c>
      <c r="K12" s="4">
        <f>IF(ISNUMBER(SEARCH("营",'20.03'!S12)),(-$Y12+50*IF('20.03'!$AK12="是",'20.03'!$BB$4,'20.03'!$BB$3)),(VLOOKUP('20.03'!S12,'20.03'!$AO$4:$AQ$55,2,FALSE))*IF('20.03'!$AK12="是",'20.03'!$BB$4,'20.03'!$BB$3))</f>
        <v>200</v>
      </c>
      <c r="L12" s="4">
        <f>IF(ISNUMBER(SEARCH("营",'20.03'!T12)),(-$Y12+50*IF('20.03'!$AK12="是",'20.03'!$BB$4,'20.03'!$BB$3)),(VLOOKUP('20.03'!T12,'20.03'!$AO$4:$AQ$55,2,FALSE))*IF('20.03'!$AK12="是",'20.03'!$BB$4,'20.03'!$BB$3))</f>
        <v>200</v>
      </c>
      <c r="M12" s="4">
        <f>IF(ISNUMBER(SEARCH("营",'20.03'!U12)),(-$Y12+50*IF('20.03'!$AK12="是",'20.03'!$BB$4,'20.03'!$BB$3)),(VLOOKUP('20.03'!U12,'20.03'!$AO$4:$AQ$55,2,FALSE))*IF('20.03'!$AK12="是",'20.03'!$BB$4,'20.03'!$BB$3))</f>
        <v>200</v>
      </c>
      <c r="N12" s="4">
        <f>IF(ISNUMBER(SEARCH("营",'20.03'!V12)),(-$Y12+50*IF('20.03'!$AK12="是",'20.03'!$BB$4,'20.03'!$BB$3)),(VLOOKUP('20.03'!V12,'20.03'!$AO$4:$AQ$55,2,FALSE))*IF('20.03'!$AK12="是",'20.03'!$BB$4,'20.03'!$BB$3))</f>
        <v>200</v>
      </c>
      <c r="O12" s="4">
        <f>IF(ISNUMBER(SEARCH("营",'20.03'!W12)),(-$Y12+50*IF('20.03'!$AK12="是",'20.03'!$BB$4,'20.03'!$BB$3)),(VLOOKUP('20.03'!W12,'20.03'!$AO$4:$AQ$55,2,FALSE))*IF('20.03'!$AK12="是",'20.03'!$BB$4,'20.03'!$BB$3))</f>
        <v>200</v>
      </c>
      <c r="P12" s="4">
        <f>IF(ISNUMBER(SEARCH("营",'20.03'!X12)),(-$Y12+50*IF('20.03'!$AK12="是",'20.03'!$BB$4,'20.03'!$BB$3)),(VLOOKUP('20.03'!X12,'20.03'!$AO$4:$AQ$55,2,FALSE))*IF('20.03'!$AK12="是",'20.03'!$BB$4,'20.03'!$BB$3))</f>
        <v>200</v>
      </c>
      <c r="Q12" s="4">
        <f>IF(ISNUMBER(SEARCH("营",'20.03'!Y12)),(-$Y12+50*IF('20.03'!$AK12="是",'20.03'!$BB$4,'20.03'!$BB$3)),(VLOOKUP('20.03'!Y12,'20.03'!$AO$4:$AQ$55,2,FALSE))*IF('20.03'!$AK12="是",'20.03'!$BB$4,'20.03'!$BB$3))</f>
        <v>170</v>
      </c>
      <c r="R12" s="4">
        <f>IF(ISNUMBER(SEARCH("营",'20.03'!Z12)),(-$Y12+50*IF('20.03'!$AK12="是",'20.03'!$BB$4,'20.03'!$BB$3)),(VLOOKUP('20.03'!Z12,'20.03'!$AO$4:$AQ$55,2,FALSE))*IF('20.03'!$AK12="是",'20.03'!$BB$4,'20.03'!$BB$3))</f>
        <v>150</v>
      </c>
      <c r="S12" s="4">
        <f>IF(ISNUMBER(SEARCH("营",'20.03'!AA12)),(-$Y12+50*IF('20.03'!$AK12="是",'20.03'!$BB$4,'20.03'!$BB$3)),(VLOOKUP('20.03'!AA12,'20.03'!$AO$4:$AQ$55,2,FALSE))*IF('20.03'!$AK12="是",'20.03'!$BB$4,'20.03'!$BB$3))</f>
        <v>170</v>
      </c>
      <c r="T12" s="4">
        <f>IF(ISNUMBER(SEARCH("营",'20.03'!AB12)),(-$Y12+50*IF('20.03'!$AK12="是",'20.03'!$BB$4,'20.03'!$BB$3)),(VLOOKUP('20.03'!AB12,'20.03'!$AO$4:$AQ$55,2,FALSE))*IF('20.03'!$AK12="是",'20.03'!$BB$4,'20.03'!$BB$3))</f>
        <v>50</v>
      </c>
      <c r="U12" s="4">
        <f>IF(ISNUMBER(SEARCH("营",'20.03'!AC12)),(-$Y12+50*IF('20.03'!$AK12="是",'20.03'!$BB$4,'20.03'!$BB$3)),(VLOOKUP('20.03'!AC12,'20.03'!$AO$4:$AQ$55,2,FALSE))*IF('20.03'!$AK12="是",'20.03'!$BB$4,'20.03'!$BB$3))</f>
        <v>150</v>
      </c>
      <c r="V12" s="4">
        <f>IF(ISNUMBER(SEARCH("营",'20.03'!AD12)),(-$Y12+50*IF('20.03'!$AK12="是",'20.03'!$BB$4,'20.03'!$BB$3)),(VLOOKUP('20.03'!AD12,'20.03'!$AO$4:$AQ$55,2,FALSE))*IF('20.03'!$AK12="是",'20.03'!$BB$4,'20.03'!$BB$3))</f>
        <v>170</v>
      </c>
      <c r="W12" s="4">
        <f>IF(ISNUMBER(SEARCH("营",'20.03'!AE12)),(-$Y12+50*IF('20.03'!$AK12="是",'20.03'!$BB$4,'20.03'!$BB$3)),(VLOOKUP('20.03'!AE12,'20.03'!$AO$4:$AQ$55,2,FALSE))*IF('20.03'!$AK12="是",'20.03'!$BB$4,'20.03'!$BB$3))</f>
        <v>0</v>
      </c>
      <c r="X12" s="4">
        <f>IF(ISNUMBER(SEARCH("营",'20.03'!AF12)),(-$Y12+50*IF('20.03'!$AK12="是",'20.03'!$BB$4,'20.03'!$BB$3)),(VLOOKUP('20.03'!AF12,'20.03'!$AO$4:$AQ$55,2,FALSE))*IF('20.03'!$AK12="是",'20.03'!$BB$4,'20.03'!$BB$3))</f>
        <v>0</v>
      </c>
      <c r="Y12" s="62">
        <v>300</v>
      </c>
      <c r="Z12" s="94">
        <v>45829</v>
      </c>
    </row>
    <row r="13" spans="1:26">
      <c r="A13" s="4">
        <f>IF(ISNUMBER(SEARCH("营",'20.03'!I13)),(-$Y13+50*IF('20.03'!$AK13="是",'20.03'!$BB$4,'20.03'!$BB$3)),(VLOOKUP('20.03'!I13,'20.03'!$AO$4:$AQ$55,2,FALSE))*IF('20.03'!$AK13="是",'20.03'!$BB$4,'20.03'!$BB$3))</f>
        <v>120</v>
      </c>
      <c r="B13" s="4">
        <f>IF(ISNUMBER(SEARCH("营",'20.03'!J13)),(-$Y13+50*IF('20.03'!$AK13="是",'20.03'!$BB$4,'20.03'!$BB$3)),(VLOOKUP('20.03'!J13,'20.03'!$AO$4:$AQ$55,2,FALSE))*IF('20.03'!$AK13="是",'20.03'!$BB$4,'20.03'!$BB$3))</f>
        <v>120</v>
      </c>
      <c r="C13" s="4">
        <f>IF(ISNUMBER(SEARCH("营",'20.03'!K13)),(-$Y13+50*IF('20.03'!$AK13="是",'20.03'!$BB$4,'20.03'!$BB$3)),(VLOOKUP('20.03'!K13,'20.03'!$AO$4:$AQ$55,2,FALSE))*IF('20.03'!$AK13="是",'20.03'!$BB$4,'20.03'!$BB$3))</f>
        <v>120</v>
      </c>
      <c r="D13" s="4">
        <f>IF(ISNUMBER(SEARCH("营",'20.03'!L13)),(-$Y13+50*IF('20.03'!$AK13="是",'20.03'!$BB$4,'20.03'!$BB$3)),(VLOOKUP('20.03'!L13,'20.03'!$AO$4:$AQ$55,2,FALSE))*IF('20.03'!$AK13="是",'20.03'!$BB$4,'20.03'!$BB$3))</f>
        <v>40</v>
      </c>
      <c r="E13" s="4">
        <f>IF(ISNUMBER(SEARCH("营",'20.03'!M13)),(-$Y13+50*IF('20.03'!$AK13="是",'20.03'!$BB$4,'20.03'!$BB$3)),(VLOOKUP('20.03'!M13,'20.03'!$AO$4:$AQ$55,2,FALSE))*IF('20.03'!$AK13="是",'20.03'!$BB$4,'20.03'!$BB$3))</f>
        <v>120</v>
      </c>
      <c r="F13" s="4">
        <f>IF(ISNUMBER(SEARCH("营",'20.03'!N13)),(-$Y13+50*IF('20.03'!$AK13="是",'20.03'!$BB$4,'20.03'!$BB$3)),(VLOOKUP('20.03'!N13,'20.03'!$AO$4:$AQ$55,2,FALSE))*IF('20.03'!$AK13="是",'20.03'!$BB$4,'20.03'!$BB$3))</f>
        <v>120</v>
      </c>
      <c r="G13" s="4">
        <f>IF(ISNUMBER(SEARCH("营",'20.03'!O13)),(-$Y13+50*IF('20.03'!$AK13="是",'20.03'!$BB$4,'20.03'!$BB$3)),(VLOOKUP('20.03'!O13,'20.03'!$AO$4:$AQ$55,2,FALSE))*IF('20.03'!$AK13="是",'20.03'!$BB$4,'20.03'!$BB$3))</f>
        <v>120</v>
      </c>
      <c r="H13" s="4">
        <f>IF(ISNUMBER(SEARCH("营",'20.03'!P13)),(-$Y13+50*IF('20.03'!$AK13="是",'20.03'!$BB$4,'20.03'!$BB$3)),(VLOOKUP('20.03'!P13,'20.03'!$AO$4:$AQ$55,2,FALSE))*IF('20.03'!$AK13="是",'20.03'!$BB$4,'20.03'!$BB$3))</f>
        <v>120</v>
      </c>
      <c r="I13" s="4">
        <f>IF(ISNUMBER(SEARCH("营",'20.03'!Q13)),(-$Y13+50*IF('20.03'!$AK13="是",'20.03'!$BB$4,'20.03'!$BB$3)),(VLOOKUP('20.03'!Q13,'20.03'!$AO$4:$AQ$55,2,FALSE))*IF('20.03'!$AK13="是",'20.03'!$BB$4,'20.03'!$BB$3))</f>
        <v>-260</v>
      </c>
      <c r="J13" s="4">
        <f>IF(ISNUMBER(SEARCH("营",'20.03'!R13)),(-$Y13+50*IF('20.03'!$AK13="是",'20.03'!$BB$4,'20.03'!$BB$3)),(VLOOKUP('20.03'!R13,'20.03'!$AO$4:$AQ$55,2,FALSE))*IF('20.03'!$AK13="是",'20.03'!$BB$4,'20.03'!$BB$3))</f>
        <v>160</v>
      </c>
      <c r="K13" s="4">
        <f>IF(ISNUMBER(SEARCH("营",'20.03'!S13)),(-$Y13+50*IF('20.03'!$AK13="是",'20.03'!$BB$4,'20.03'!$BB$3)),(VLOOKUP('20.03'!S13,'20.03'!$AO$4:$AQ$55,2,FALSE))*IF('20.03'!$AK13="是",'20.03'!$BB$4,'20.03'!$BB$3))</f>
        <v>160</v>
      </c>
      <c r="L13" s="4">
        <f>IF(ISNUMBER(SEARCH("营",'20.03'!T13)),(-$Y13+50*IF('20.03'!$AK13="是",'20.03'!$BB$4,'20.03'!$BB$3)),(VLOOKUP('20.03'!T13,'20.03'!$AO$4:$AQ$55,2,FALSE))*IF('20.03'!$AK13="是",'20.03'!$BB$4,'20.03'!$BB$3))</f>
        <v>160</v>
      </c>
      <c r="M13" s="4">
        <f>IF(ISNUMBER(SEARCH("营",'20.03'!U13)),(-$Y13+50*IF('20.03'!$AK13="是",'20.03'!$BB$4,'20.03'!$BB$3)),(VLOOKUP('20.03'!U13,'20.03'!$AO$4:$AQ$55,2,FALSE))*IF('20.03'!$AK13="是",'20.03'!$BB$4,'20.03'!$BB$3))</f>
        <v>160</v>
      </c>
      <c r="N13" s="4">
        <f>IF(ISNUMBER(SEARCH("营",'20.03'!V13)),(-$Y13+50*IF('20.03'!$AK13="是",'20.03'!$BB$4,'20.03'!$BB$3)),(VLOOKUP('20.03'!V13,'20.03'!$AO$4:$AQ$55,2,FALSE))*IF('20.03'!$AK13="是",'20.03'!$BB$4,'20.03'!$BB$3))</f>
        <v>136</v>
      </c>
      <c r="O13" s="4">
        <f>IF(ISNUMBER(SEARCH("营",'20.03'!W13)),(-$Y13+50*IF('20.03'!$AK13="是",'20.03'!$BB$4,'20.03'!$BB$3)),(VLOOKUP('20.03'!W13,'20.03'!$AO$4:$AQ$55,2,FALSE))*IF('20.03'!$AK13="是",'20.03'!$BB$4,'20.03'!$BB$3))</f>
        <v>136</v>
      </c>
      <c r="P13" s="4">
        <f>IF(ISNUMBER(SEARCH("营",'20.03'!X13)),(-$Y13+50*IF('20.03'!$AK13="是",'20.03'!$BB$4,'20.03'!$BB$3)),(VLOOKUP('20.03'!X13,'20.03'!$AO$4:$AQ$55,2,FALSE))*IF('20.03'!$AK13="是",'20.03'!$BB$4,'20.03'!$BB$3))</f>
        <v>136</v>
      </c>
      <c r="Q13" s="4">
        <f>IF(ISNUMBER(SEARCH("营",'20.03'!Y13)),(-$Y13+50*IF('20.03'!$AK13="是",'20.03'!$BB$4,'20.03'!$BB$3)),(VLOOKUP('20.03'!Y13,'20.03'!$AO$4:$AQ$55,2,FALSE))*IF('20.03'!$AK13="是",'20.03'!$BB$4,'20.03'!$BB$3))</f>
        <v>136</v>
      </c>
      <c r="R13" s="4">
        <f>IF(ISNUMBER(SEARCH("营",'20.03'!Z13)),(-$Y13+50*IF('20.03'!$AK13="是",'20.03'!$BB$4,'20.03'!$BB$3)),(VLOOKUP('20.03'!Z13,'20.03'!$AO$4:$AQ$55,2,FALSE))*IF('20.03'!$AK13="是",'20.03'!$BB$4,'20.03'!$BB$3))</f>
        <v>136</v>
      </c>
      <c r="S13" s="4">
        <f>IF(ISNUMBER(SEARCH("营",'20.03'!AA13)),(-$Y13+50*IF('20.03'!$AK13="是",'20.03'!$BB$4,'20.03'!$BB$3)),(VLOOKUP('20.03'!AA13,'20.03'!$AO$4:$AQ$55,2,FALSE))*IF('20.03'!$AK13="是",'20.03'!$BB$4,'20.03'!$BB$3))</f>
        <v>136</v>
      </c>
      <c r="T13" s="4">
        <f>IF(ISNUMBER(SEARCH("营",'20.03'!AB13)),(-$Y13+50*IF('20.03'!$AK13="是",'20.03'!$BB$4,'20.03'!$BB$3)),(VLOOKUP('20.03'!AB13,'20.03'!$AO$4:$AQ$55,2,FALSE))*IF('20.03'!$AK13="是",'20.03'!$BB$4,'20.03'!$BB$3))</f>
        <v>120</v>
      </c>
      <c r="U13" s="4">
        <f>IF(ISNUMBER(SEARCH("营",'20.03'!AC13)),(-$Y13+50*IF('20.03'!$AK13="是",'20.03'!$BB$4,'20.03'!$BB$3)),(VLOOKUP('20.03'!AC13,'20.03'!$AO$4:$AQ$55,2,FALSE))*IF('20.03'!$AK13="是",'20.03'!$BB$4,'20.03'!$BB$3))</f>
        <v>136</v>
      </c>
      <c r="V13" s="4">
        <f>IF(ISNUMBER(SEARCH("营",'20.03'!AD13)),(-$Y13+50*IF('20.03'!$AK13="是",'20.03'!$BB$4,'20.03'!$BB$3)),(VLOOKUP('20.03'!AD13,'20.03'!$AO$4:$AQ$55,2,FALSE))*IF('20.03'!$AK13="是",'20.03'!$BB$4,'20.03'!$BB$3))</f>
        <v>136</v>
      </c>
      <c r="W13" s="4">
        <f>IF(ISNUMBER(SEARCH("营",'20.03'!AE13)),(-$Y13+50*IF('20.03'!$AK13="是",'20.03'!$BB$4,'20.03'!$BB$3)),(VLOOKUP('20.03'!AE13,'20.03'!$AO$4:$AQ$55,2,FALSE))*IF('20.03'!$AK13="是",'20.03'!$BB$4,'20.03'!$BB$3))</f>
        <v>0</v>
      </c>
      <c r="X13" s="4">
        <f>IF(ISNUMBER(SEARCH("营",'20.03'!AF13)),(-$Y13+50*IF('20.03'!$AK13="是",'20.03'!$BB$4,'20.03'!$BB$3)),(VLOOKUP('20.03'!AF13,'20.03'!$AO$4:$AQ$55,2,FALSE))*IF('20.03'!$AK13="是",'20.03'!$BB$4,'20.03'!$BB$3))</f>
        <v>0</v>
      </c>
      <c r="Y13" s="62">
        <v>300</v>
      </c>
      <c r="Z13" s="94">
        <v>45830</v>
      </c>
    </row>
    <row r="14" spans="1:26">
      <c r="A14" s="4">
        <f>IF(ISNUMBER(SEARCH("营",'20.03'!I14)),(-$Y14+50*IF('20.03'!$AK14="是",'20.03'!$BB$4,'20.03'!$BB$3)),(VLOOKUP('20.03'!I14,'20.03'!$AO$4:$AQ$55,2,FALSE))*IF('20.03'!$AK14="是",'20.03'!$BB$4,'20.03'!$BB$3))</f>
        <v>120</v>
      </c>
      <c r="B14" s="4">
        <f>IF(ISNUMBER(SEARCH("营",'20.03'!J14)),(-$Y14+50*IF('20.03'!$AK14="是",'20.03'!$BB$4,'20.03'!$BB$3)),(VLOOKUP('20.03'!J14,'20.03'!$AO$4:$AQ$55,2,FALSE))*IF('20.03'!$AK14="是",'20.03'!$BB$4,'20.03'!$BB$3))</f>
        <v>128</v>
      </c>
      <c r="C14" s="4">
        <f>IF(ISNUMBER(SEARCH("营",'20.03'!K14)),(-$Y14+50*IF('20.03'!$AK14="是",'20.03'!$BB$4,'20.03'!$BB$3)),(VLOOKUP('20.03'!K14,'20.03'!$AO$4:$AQ$55,2,FALSE))*IF('20.03'!$AK14="是",'20.03'!$BB$4,'20.03'!$BB$3))</f>
        <v>128</v>
      </c>
      <c r="D14" s="4">
        <f>IF(ISNUMBER(SEARCH("营",'20.03'!L14)),(-$Y14+50*IF('20.03'!$AK14="是",'20.03'!$BB$4,'20.03'!$BB$3)),(VLOOKUP('20.03'!L14,'20.03'!$AO$4:$AQ$55,2,FALSE))*IF('20.03'!$AK14="是",'20.03'!$BB$4,'20.03'!$BB$3))</f>
        <v>40</v>
      </c>
      <c r="E14" s="4">
        <f>IF(ISNUMBER(SEARCH("营",'20.03'!M14)),(-$Y14+50*IF('20.03'!$AK14="是",'20.03'!$BB$4,'20.03'!$BB$3)),(VLOOKUP('20.03'!M14,'20.03'!$AO$4:$AQ$55,2,FALSE))*IF('20.03'!$AK14="是",'20.03'!$BB$4,'20.03'!$BB$3))</f>
        <v>128</v>
      </c>
      <c r="F14" s="4">
        <f>IF(ISNUMBER(SEARCH("营",'20.03'!N14)),(-$Y14+50*IF('20.03'!$AK14="是",'20.03'!$BB$4,'20.03'!$BB$3)),(VLOOKUP('20.03'!N14,'20.03'!$AO$4:$AQ$55,2,FALSE))*IF('20.03'!$AK14="是",'20.03'!$BB$4,'20.03'!$BB$3))</f>
        <v>128</v>
      </c>
      <c r="G14" s="4">
        <f>IF(ISNUMBER(SEARCH("营",'20.03'!O14)),(-$Y14+50*IF('20.03'!$AK14="是",'20.03'!$BB$4,'20.03'!$BB$3)),(VLOOKUP('20.03'!O14,'20.03'!$AO$4:$AQ$55,2,FALSE))*IF('20.03'!$AK14="是",'20.03'!$BB$4,'20.03'!$BB$3))</f>
        <v>-260</v>
      </c>
      <c r="H14" s="4">
        <f>IF(ISNUMBER(SEARCH("营",'20.03'!P14)),(-$Y14+50*IF('20.03'!$AK14="是",'20.03'!$BB$4,'20.03'!$BB$3)),(VLOOKUP('20.03'!P14,'20.03'!$AO$4:$AQ$55,2,FALSE))*IF('20.03'!$AK14="是",'20.03'!$BB$4,'20.03'!$BB$3))</f>
        <v>144</v>
      </c>
      <c r="I14" s="4">
        <f>IF(ISNUMBER(SEARCH("营",'20.03'!Q14)),(-$Y14+50*IF('20.03'!$AK14="是",'20.03'!$BB$4,'20.03'!$BB$3)),(VLOOKUP('20.03'!Q14,'20.03'!$AO$4:$AQ$55,2,FALSE))*IF('20.03'!$AK14="是",'20.03'!$BB$4,'20.03'!$BB$3))</f>
        <v>136</v>
      </c>
      <c r="J14" s="4">
        <f>IF(ISNUMBER(SEARCH("营",'20.03'!R14)),(-$Y14+50*IF('20.03'!$AK14="是",'20.03'!$BB$4,'20.03'!$BB$3)),(VLOOKUP('20.03'!R14,'20.03'!$AO$4:$AQ$55,2,FALSE))*IF('20.03'!$AK14="是",'20.03'!$BB$4,'20.03'!$BB$3))</f>
        <v>136</v>
      </c>
      <c r="K14" s="4">
        <f>IF(ISNUMBER(SEARCH("营",'20.03'!S14)),(-$Y14+50*IF('20.03'!$AK14="是",'20.03'!$BB$4,'20.03'!$BB$3)),(VLOOKUP('20.03'!S14,'20.03'!$AO$4:$AQ$55,2,FALSE))*IF('20.03'!$AK14="是",'20.03'!$BB$4,'20.03'!$BB$3))</f>
        <v>136</v>
      </c>
      <c r="L14" s="4">
        <f>IF(ISNUMBER(SEARCH("营",'20.03'!T14)),(-$Y14+50*IF('20.03'!$AK14="是",'20.03'!$BB$4,'20.03'!$BB$3)),(VLOOKUP('20.03'!T14,'20.03'!$AO$4:$AQ$55,2,FALSE))*IF('20.03'!$AK14="是",'20.03'!$BB$4,'20.03'!$BB$3))</f>
        <v>-260</v>
      </c>
      <c r="M14" s="4">
        <f>IF(ISNUMBER(SEARCH("营",'20.03'!U14)),(-$Y14+50*IF('20.03'!$AK14="是",'20.03'!$BB$4,'20.03'!$BB$3)),(VLOOKUP('20.03'!U14,'20.03'!$AO$4:$AQ$55,2,FALSE))*IF('20.03'!$AK14="是",'20.03'!$BB$4,'20.03'!$BB$3))</f>
        <v>160</v>
      </c>
      <c r="N14" s="4">
        <f>IF(ISNUMBER(SEARCH("营",'20.03'!V14)),(-$Y14+50*IF('20.03'!$AK14="是",'20.03'!$BB$4,'20.03'!$BB$3)),(VLOOKUP('20.03'!V14,'20.03'!$AO$4:$AQ$55,2,FALSE))*IF('20.03'!$AK14="是",'20.03'!$BB$4,'20.03'!$BB$3))</f>
        <v>160</v>
      </c>
      <c r="O14" s="4">
        <f>IF(ISNUMBER(SEARCH("营",'20.03'!W14)),(-$Y14+50*IF('20.03'!$AK14="是",'20.03'!$BB$4,'20.03'!$BB$3)),(VLOOKUP('20.03'!W14,'20.03'!$AO$4:$AQ$55,2,FALSE))*IF('20.03'!$AK14="是",'20.03'!$BB$4,'20.03'!$BB$3))</f>
        <v>160</v>
      </c>
      <c r="P14" s="4">
        <f>IF(ISNUMBER(SEARCH("营",'20.03'!X14)),(-$Y14+50*IF('20.03'!$AK14="是",'20.03'!$BB$4,'20.03'!$BB$3)),(VLOOKUP('20.03'!X14,'20.03'!$AO$4:$AQ$55,2,FALSE))*IF('20.03'!$AK14="是",'20.03'!$BB$4,'20.03'!$BB$3))</f>
        <v>160</v>
      </c>
      <c r="Q14" s="4">
        <f>IF(ISNUMBER(SEARCH("营",'20.03'!Y14)),(-$Y14+50*IF('20.03'!$AK14="是",'20.03'!$BB$4,'20.03'!$BB$3)),(VLOOKUP('20.03'!Y14,'20.03'!$AO$4:$AQ$55,2,FALSE))*IF('20.03'!$AK14="是",'20.03'!$BB$4,'20.03'!$BB$3))</f>
        <v>136</v>
      </c>
      <c r="R14" s="4">
        <f>IF(ISNUMBER(SEARCH("营",'20.03'!Z14)),(-$Y14+50*IF('20.03'!$AK14="是",'20.03'!$BB$4,'20.03'!$BB$3)),(VLOOKUP('20.03'!Z14,'20.03'!$AO$4:$AQ$55,2,FALSE))*IF('20.03'!$AK14="是",'20.03'!$BB$4,'20.03'!$BB$3))</f>
        <v>152</v>
      </c>
      <c r="S14" s="4">
        <f>IF(ISNUMBER(SEARCH("营",'20.03'!AA14)),(-$Y14+50*IF('20.03'!$AK14="是",'20.03'!$BB$4,'20.03'!$BB$3)),(VLOOKUP('20.03'!AA14,'20.03'!$AO$4:$AQ$55,2,FALSE))*IF('20.03'!$AK14="是",'20.03'!$BB$4,'20.03'!$BB$3))</f>
        <v>152</v>
      </c>
      <c r="T14" s="4">
        <f>IF(ISNUMBER(SEARCH("营",'20.03'!AB14)),(-$Y14+50*IF('20.03'!$AK14="是",'20.03'!$BB$4,'20.03'!$BB$3)),(VLOOKUP('20.03'!AB14,'20.03'!$AO$4:$AQ$55,2,FALSE))*IF('20.03'!$AK14="是",'20.03'!$BB$4,'20.03'!$BB$3))</f>
        <v>152</v>
      </c>
      <c r="U14" s="4">
        <f>IF(ISNUMBER(SEARCH("营",'20.03'!AC14)),(-$Y14+50*IF('20.03'!$AK14="是",'20.03'!$BB$4,'20.03'!$BB$3)),(VLOOKUP('20.03'!AC14,'20.03'!$AO$4:$AQ$55,2,FALSE))*IF('20.03'!$AK14="是",'20.03'!$BB$4,'20.03'!$BB$3))</f>
        <v>136</v>
      </c>
      <c r="V14" s="4">
        <f>IF(ISNUMBER(SEARCH("营",'20.03'!AD14)),(-$Y14+50*IF('20.03'!$AK14="是",'20.03'!$BB$4,'20.03'!$BB$3)),(VLOOKUP('20.03'!AD14,'20.03'!$AO$4:$AQ$55,2,FALSE))*IF('20.03'!$AK14="是",'20.03'!$BB$4,'20.03'!$BB$3))</f>
        <v>0</v>
      </c>
      <c r="W14" s="4">
        <f>IF(ISNUMBER(SEARCH("营",'20.03'!AE14)),(-$Y14+50*IF('20.03'!$AK14="是",'20.03'!$BB$4,'20.03'!$BB$3)),(VLOOKUP('20.03'!AE14,'20.03'!$AO$4:$AQ$55,2,FALSE))*IF('20.03'!$AK14="是",'20.03'!$BB$4,'20.03'!$BB$3))</f>
        <v>0</v>
      </c>
      <c r="X14" s="4">
        <f>IF(ISNUMBER(SEARCH("营",'20.03'!AF14)),(-$Y14+50*IF('20.03'!$AK14="是",'20.03'!$BB$4,'20.03'!$BB$3)),(VLOOKUP('20.03'!AF14,'20.03'!$AO$4:$AQ$55,2,FALSE))*IF('20.03'!$AK14="是",'20.03'!$BB$4,'20.03'!$BB$3))</f>
        <v>0</v>
      </c>
      <c r="Y14" s="62">
        <v>300</v>
      </c>
      <c r="Z14" s="94">
        <v>45831</v>
      </c>
    </row>
    <row r="15" spans="1:26">
      <c r="A15" s="4">
        <f>IF(ISNUMBER(SEARCH("营",'20.03'!I15)),(-$Y15+50*IF('20.03'!$AK15="是",'20.03'!$BB$4,'20.03'!$BB$3)),(VLOOKUP('20.03'!I15,'20.03'!$AO$4:$AQ$55,2,FALSE))*IF('20.03'!$AK15="是",'20.03'!$BB$4,'20.03'!$BB$3))</f>
        <v>144</v>
      </c>
      <c r="B15" s="4">
        <f>IF(ISNUMBER(SEARCH("营",'20.03'!J15)),(-$Y15+50*IF('20.03'!$AK15="是",'20.03'!$BB$4,'20.03'!$BB$3)),(VLOOKUP('20.03'!J15,'20.03'!$AO$4:$AQ$55,2,FALSE))*IF('20.03'!$AK15="是",'20.03'!$BB$4,'20.03'!$BB$3))</f>
        <v>144</v>
      </c>
      <c r="C15" s="4">
        <f>IF(ISNUMBER(SEARCH("营",'20.03'!K15)),(-$Y15+50*IF('20.03'!$AK15="是",'20.03'!$BB$4,'20.03'!$BB$3)),(VLOOKUP('20.03'!K15,'20.03'!$AO$4:$AQ$55,2,FALSE))*IF('20.03'!$AK15="是",'20.03'!$BB$4,'20.03'!$BB$3))</f>
        <v>40</v>
      </c>
      <c r="D15" s="4">
        <f>IF(ISNUMBER(SEARCH("营",'20.03'!L15)),(-$Y15+50*IF('20.03'!$AK15="是",'20.03'!$BB$4,'20.03'!$BB$3)),(VLOOKUP('20.03'!L15,'20.03'!$AO$4:$AQ$55,2,FALSE))*IF('20.03'!$AK15="是",'20.03'!$BB$4,'20.03'!$BB$3))</f>
        <v>144</v>
      </c>
      <c r="E15" s="4">
        <f>IF(ISNUMBER(SEARCH("营",'20.03'!M15)),(-$Y15+50*IF('20.03'!$AK15="是",'20.03'!$BB$4,'20.03'!$BB$3)),(VLOOKUP('20.03'!M15,'20.03'!$AO$4:$AQ$55,2,FALSE))*IF('20.03'!$AK15="是",'20.03'!$BB$4,'20.03'!$BB$3))</f>
        <v>144</v>
      </c>
      <c r="F15" s="4">
        <f>IF(ISNUMBER(SEARCH("营",'20.03'!N15)),(-$Y15+50*IF('20.03'!$AK15="是",'20.03'!$BB$4,'20.03'!$BB$3)),(VLOOKUP('20.03'!N15,'20.03'!$AO$4:$AQ$55,2,FALSE))*IF('20.03'!$AK15="是",'20.03'!$BB$4,'20.03'!$BB$3))</f>
        <v>144</v>
      </c>
      <c r="G15" s="4">
        <f>IF(ISNUMBER(SEARCH("营",'20.03'!O15)),(-$Y15+50*IF('20.03'!$AK15="是",'20.03'!$BB$4,'20.03'!$BB$3)),(VLOOKUP('20.03'!O15,'20.03'!$AO$4:$AQ$55,2,FALSE))*IF('20.03'!$AK15="是",'20.03'!$BB$4,'20.03'!$BB$3))</f>
        <v>144</v>
      </c>
      <c r="H15" s="4">
        <f>IF(ISNUMBER(SEARCH("营",'20.03'!P15)),(-$Y15+50*IF('20.03'!$AK15="是",'20.03'!$BB$4,'20.03'!$BB$3)),(VLOOKUP('20.03'!P15,'20.03'!$AO$4:$AQ$55,2,FALSE))*IF('20.03'!$AK15="是",'20.03'!$BB$4,'20.03'!$BB$3))</f>
        <v>144</v>
      </c>
      <c r="I15" s="4">
        <f>IF(ISNUMBER(SEARCH("营",'20.03'!Q15)),(-$Y15+50*IF('20.03'!$AK15="是",'20.03'!$BB$4,'20.03'!$BB$3)),(VLOOKUP('20.03'!Q15,'20.03'!$AO$4:$AQ$55,2,FALSE))*IF('20.03'!$AK15="是",'20.03'!$BB$4,'20.03'!$BB$3))</f>
        <v>144</v>
      </c>
      <c r="J15" s="4">
        <f>IF(ISNUMBER(SEARCH("营",'20.03'!R15)),(-$Y15+50*IF('20.03'!$AK15="是",'20.03'!$BB$4,'20.03'!$BB$3)),(VLOOKUP('20.03'!R15,'20.03'!$AO$4:$AQ$55,2,FALSE))*IF('20.03'!$AK15="是",'20.03'!$BB$4,'20.03'!$BB$3))</f>
        <v>152</v>
      </c>
      <c r="K15" s="4">
        <f>IF(ISNUMBER(SEARCH("营",'20.03'!S15)),(-$Y15+50*IF('20.03'!$AK15="是",'20.03'!$BB$4,'20.03'!$BB$3)),(VLOOKUP('20.03'!S15,'20.03'!$AO$4:$AQ$55,2,FALSE))*IF('20.03'!$AK15="是",'20.03'!$BB$4,'20.03'!$BB$3))</f>
        <v>152</v>
      </c>
      <c r="L15" s="4">
        <f>IF(ISNUMBER(SEARCH("营",'20.03'!T15)),(-$Y15+50*IF('20.03'!$AK15="是",'20.03'!$BB$4,'20.03'!$BB$3)),(VLOOKUP('20.03'!T15,'20.03'!$AO$4:$AQ$55,2,FALSE))*IF('20.03'!$AK15="是",'20.03'!$BB$4,'20.03'!$BB$3))</f>
        <v>152</v>
      </c>
      <c r="M15" s="4">
        <f>IF(ISNUMBER(SEARCH("营",'20.03'!U15)),(-$Y15+50*IF('20.03'!$AK15="是",'20.03'!$BB$4,'20.03'!$BB$3)),(VLOOKUP('20.03'!U15,'20.03'!$AO$4:$AQ$55,2,FALSE))*IF('20.03'!$AK15="是",'20.03'!$BB$4,'20.03'!$BB$3))</f>
        <v>-260</v>
      </c>
      <c r="N15" s="4">
        <f>IF(ISNUMBER(SEARCH("营",'20.03'!V15)),(-$Y15+50*IF('20.03'!$AK15="是",'20.03'!$BB$4,'20.03'!$BB$3)),(VLOOKUP('20.03'!V15,'20.03'!$AO$4:$AQ$55,2,FALSE))*IF('20.03'!$AK15="是",'20.03'!$BB$4,'20.03'!$BB$3))</f>
        <v>152</v>
      </c>
      <c r="O15" s="4">
        <f>IF(ISNUMBER(SEARCH("营",'20.03'!W15)),(-$Y15+50*IF('20.03'!$AK15="是",'20.03'!$BB$4,'20.03'!$BB$3)),(VLOOKUP('20.03'!W15,'20.03'!$AO$4:$AQ$55,2,FALSE))*IF('20.03'!$AK15="是",'20.03'!$BB$4,'20.03'!$BB$3))</f>
        <v>152</v>
      </c>
      <c r="P15" s="4">
        <f>IF(ISNUMBER(SEARCH("营",'20.03'!X15)),(-$Y15+50*IF('20.03'!$AK15="是",'20.03'!$BB$4,'20.03'!$BB$3)),(VLOOKUP('20.03'!X15,'20.03'!$AO$4:$AQ$55,2,FALSE))*IF('20.03'!$AK15="是",'20.03'!$BB$4,'20.03'!$BB$3))</f>
        <v>152</v>
      </c>
      <c r="Q15" s="4">
        <f>IF(ISNUMBER(SEARCH("营",'20.03'!Y15)),(-$Y15+50*IF('20.03'!$AK15="是",'20.03'!$BB$4,'20.03'!$BB$3)),(VLOOKUP('20.03'!Y15,'20.03'!$AO$4:$AQ$55,2,FALSE))*IF('20.03'!$AK15="是",'20.03'!$BB$4,'20.03'!$BB$3))</f>
        <v>136</v>
      </c>
      <c r="R15" s="4">
        <f>IF(ISNUMBER(SEARCH("营",'20.03'!Z15)),(-$Y15+50*IF('20.03'!$AK15="是",'20.03'!$BB$4,'20.03'!$BB$3)),(VLOOKUP('20.03'!Z15,'20.03'!$AO$4:$AQ$55,2,FALSE))*IF('20.03'!$AK15="是",'20.03'!$BB$4,'20.03'!$BB$3))</f>
        <v>-260</v>
      </c>
      <c r="S15" s="4">
        <f>IF(ISNUMBER(SEARCH("营",'20.03'!AA15)),(-$Y15+50*IF('20.03'!$AK15="是",'20.03'!$BB$4,'20.03'!$BB$3)),(VLOOKUP('20.03'!AA15,'20.03'!$AO$4:$AQ$55,2,FALSE))*IF('20.03'!$AK15="是",'20.03'!$BB$4,'20.03'!$BB$3))</f>
        <v>136</v>
      </c>
      <c r="T15" s="4">
        <f>IF(ISNUMBER(SEARCH("营",'20.03'!AB15)),(-$Y15+50*IF('20.03'!$AK15="是",'20.03'!$BB$4,'20.03'!$BB$3)),(VLOOKUP('20.03'!AB15,'20.03'!$AO$4:$AQ$55,2,FALSE))*IF('20.03'!$AK15="是",'20.03'!$BB$4,'20.03'!$BB$3))</f>
        <v>136</v>
      </c>
      <c r="U15" s="4">
        <f>IF(ISNUMBER(SEARCH("营",'20.03'!AC15)),(-$Y15+50*IF('20.03'!$AK15="是",'20.03'!$BB$4,'20.03'!$BB$3)),(VLOOKUP('20.03'!AC15,'20.03'!$AO$4:$AQ$55,2,FALSE))*IF('20.03'!$AK15="是",'20.03'!$BB$4,'20.03'!$BB$3))</f>
        <v>136</v>
      </c>
      <c r="V15" s="4">
        <f>IF(ISNUMBER(SEARCH("营",'20.03'!AD15)),(-$Y15+50*IF('20.03'!$AK15="是",'20.03'!$BB$4,'20.03'!$BB$3)),(VLOOKUP('20.03'!AD15,'20.03'!$AO$4:$AQ$55,2,FALSE))*IF('20.03'!$AK15="是",'20.03'!$BB$4,'20.03'!$BB$3))</f>
        <v>136</v>
      </c>
      <c r="W15" s="4">
        <f>IF(ISNUMBER(SEARCH("营",'20.03'!AE15)),(-$Y15+50*IF('20.03'!$AK15="是",'20.03'!$BB$4,'20.03'!$BB$3)),(VLOOKUP('20.03'!AE15,'20.03'!$AO$4:$AQ$55,2,FALSE))*IF('20.03'!$AK15="是",'20.03'!$BB$4,'20.03'!$BB$3))</f>
        <v>136</v>
      </c>
      <c r="X15" s="4">
        <f>IF(ISNUMBER(SEARCH("营",'20.03'!AF15)),(-$Y15+50*IF('20.03'!$AK15="是",'20.03'!$BB$4,'20.03'!$BB$3)),(VLOOKUP('20.03'!AF15,'20.03'!$AO$4:$AQ$55,2,FALSE))*IF('20.03'!$AK15="是",'20.03'!$BB$4,'20.03'!$BB$3))</f>
        <v>136</v>
      </c>
      <c r="Y15" s="62">
        <v>300</v>
      </c>
      <c r="Z15" s="94">
        <v>45832</v>
      </c>
    </row>
    <row r="16" spans="1:26">
      <c r="A16" s="4">
        <f>IF(ISNUMBER(SEARCH("营",'20.03'!I16)),(-$Y16+50*IF('20.03'!$AK16="是",'20.03'!$BB$4,'20.03'!$BB$3)),(VLOOKUP('20.03'!I16,'20.03'!$AO$4:$AQ$55,2,FALSE))*IF('20.03'!$AK16="是",'20.03'!$BB$4,'20.03'!$BB$3))</f>
        <v>-260</v>
      </c>
      <c r="B16" s="4">
        <f>IF(ISNUMBER(SEARCH("营",'20.03'!J16)),(-$Y16+50*IF('20.03'!$AK16="是",'20.03'!$BB$4,'20.03'!$BB$3)),(VLOOKUP('20.03'!J16,'20.03'!$AO$4:$AQ$55,2,FALSE))*IF('20.03'!$AK16="是",'20.03'!$BB$4,'20.03'!$BB$3))</f>
        <v>144</v>
      </c>
      <c r="C16" s="4">
        <f>IF(ISNUMBER(SEARCH("营",'20.03'!K16)),(-$Y16+50*IF('20.03'!$AK16="是",'20.03'!$BB$4,'20.03'!$BB$3)),(VLOOKUP('20.03'!K16,'20.03'!$AO$4:$AQ$55,2,FALSE))*IF('20.03'!$AK16="是",'20.03'!$BB$4,'20.03'!$BB$3))</f>
        <v>144</v>
      </c>
      <c r="D16" s="4">
        <f>IF(ISNUMBER(SEARCH("营",'20.03'!L16)),(-$Y16+50*IF('20.03'!$AK16="是",'20.03'!$BB$4,'20.03'!$BB$3)),(VLOOKUP('20.03'!L16,'20.03'!$AO$4:$AQ$55,2,FALSE))*IF('20.03'!$AK16="是",'20.03'!$BB$4,'20.03'!$BB$3))</f>
        <v>160</v>
      </c>
      <c r="E16" s="4">
        <f>IF(ISNUMBER(SEARCH("营",'20.03'!M16)),(-$Y16+50*IF('20.03'!$AK16="是",'20.03'!$BB$4,'20.03'!$BB$3)),(VLOOKUP('20.03'!M16,'20.03'!$AO$4:$AQ$55,2,FALSE))*IF('20.03'!$AK16="是",'20.03'!$BB$4,'20.03'!$BB$3))</f>
        <v>160</v>
      </c>
      <c r="F16" s="4">
        <f>IF(ISNUMBER(SEARCH("营",'20.03'!N16)),(-$Y16+50*IF('20.03'!$AK16="是",'20.03'!$BB$4,'20.03'!$BB$3)),(VLOOKUP('20.03'!N16,'20.03'!$AO$4:$AQ$55,2,FALSE))*IF('20.03'!$AK16="是",'20.03'!$BB$4,'20.03'!$BB$3))</f>
        <v>160</v>
      </c>
      <c r="G16" s="4">
        <f>IF(ISNUMBER(SEARCH("营",'20.03'!O16)),(-$Y16+50*IF('20.03'!$AK16="是",'20.03'!$BB$4,'20.03'!$BB$3)),(VLOOKUP('20.03'!O16,'20.03'!$AO$4:$AQ$55,2,FALSE))*IF('20.03'!$AK16="是",'20.03'!$BB$4,'20.03'!$BB$3))</f>
        <v>200</v>
      </c>
      <c r="H16" s="4">
        <f>IF(ISNUMBER(SEARCH("营",'20.03'!P16)),(-$Y16+50*IF('20.03'!$AK16="是",'20.03'!$BB$4,'20.03'!$BB$3)),(VLOOKUP('20.03'!P16,'20.03'!$AO$4:$AQ$55,2,FALSE))*IF('20.03'!$AK16="是",'20.03'!$BB$4,'20.03'!$BB$3))</f>
        <v>152</v>
      </c>
      <c r="I16" s="4">
        <f>IF(ISNUMBER(SEARCH("营",'20.03'!Q16)),(-$Y16+50*IF('20.03'!$AK16="是",'20.03'!$BB$4,'20.03'!$BB$3)),(VLOOKUP('20.03'!Q16,'20.03'!$AO$4:$AQ$55,2,FALSE))*IF('20.03'!$AK16="是",'20.03'!$BB$4,'20.03'!$BB$3))</f>
        <v>152</v>
      </c>
      <c r="J16" s="4">
        <f>IF(ISNUMBER(SEARCH("营",'20.03'!R16)),(-$Y16+50*IF('20.03'!$AK16="是",'20.03'!$BB$4,'20.03'!$BB$3)),(VLOOKUP('20.03'!R16,'20.03'!$AO$4:$AQ$55,2,FALSE))*IF('20.03'!$AK16="是",'20.03'!$BB$4,'20.03'!$BB$3))</f>
        <v>144</v>
      </c>
      <c r="K16" s="4">
        <f>IF(ISNUMBER(SEARCH("营",'20.03'!S16)),(-$Y16+50*IF('20.03'!$AK16="是",'20.03'!$BB$4,'20.03'!$BB$3)),(VLOOKUP('20.03'!S16,'20.03'!$AO$4:$AQ$55,2,FALSE))*IF('20.03'!$AK16="是",'20.03'!$BB$4,'20.03'!$BB$3))</f>
        <v>160</v>
      </c>
      <c r="L16" s="4">
        <f>IF(ISNUMBER(SEARCH("营",'20.03'!T16)),(-$Y16+50*IF('20.03'!$AK16="是",'20.03'!$BB$4,'20.03'!$BB$3)),(VLOOKUP('20.03'!T16,'20.03'!$AO$4:$AQ$55,2,FALSE))*IF('20.03'!$AK16="是",'20.03'!$BB$4,'20.03'!$BB$3))</f>
        <v>160</v>
      </c>
      <c r="M16" s="4">
        <f>IF(ISNUMBER(SEARCH("营",'20.03'!U16)),(-$Y16+50*IF('20.03'!$AK16="是",'20.03'!$BB$4,'20.03'!$BB$3)),(VLOOKUP('20.03'!U16,'20.03'!$AO$4:$AQ$55,2,FALSE))*IF('20.03'!$AK16="是",'20.03'!$BB$4,'20.03'!$BB$3))</f>
        <v>144</v>
      </c>
      <c r="N16" s="4">
        <f>IF(ISNUMBER(SEARCH("营",'20.03'!V16)),(-$Y16+50*IF('20.03'!$AK16="是",'20.03'!$BB$4,'20.03'!$BB$3)),(VLOOKUP('20.03'!V16,'20.03'!$AO$4:$AQ$55,2,FALSE))*IF('20.03'!$AK16="是",'20.03'!$BB$4,'20.03'!$BB$3))</f>
        <v>144</v>
      </c>
      <c r="O16" s="4">
        <f>IF(ISNUMBER(SEARCH("营",'20.03'!W16)),(-$Y16+50*IF('20.03'!$AK16="是",'20.03'!$BB$4,'20.03'!$BB$3)),(VLOOKUP('20.03'!W16,'20.03'!$AO$4:$AQ$55,2,FALSE))*IF('20.03'!$AK16="是",'20.03'!$BB$4,'20.03'!$BB$3))</f>
        <v>144</v>
      </c>
      <c r="P16" s="4">
        <f>IF(ISNUMBER(SEARCH("营",'20.03'!X16)),(-$Y16+50*IF('20.03'!$AK16="是",'20.03'!$BB$4,'20.03'!$BB$3)),(VLOOKUP('20.03'!X16,'20.03'!$AO$4:$AQ$55,2,FALSE))*IF('20.03'!$AK16="是",'20.03'!$BB$4,'20.03'!$BB$3))</f>
        <v>40</v>
      </c>
      <c r="Q16" s="4">
        <f>IF(ISNUMBER(SEARCH("营",'20.03'!Y16)),(-$Y16+50*IF('20.03'!$AK16="是",'20.03'!$BB$4,'20.03'!$BB$3)),(VLOOKUP('20.03'!Y16,'20.03'!$AO$4:$AQ$55,2,FALSE))*IF('20.03'!$AK16="是",'20.03'!$BB$4,'20.03'!$BB$3))</f>
        <v>120</v>
      </c>
      <c r="R16" s="4">
        <f>IF(ISNUMBER(SEARCH("营",'20.03'!Z16)),(-$Y16+50*IF('20.03'!$AK16="是",'20.03'!$BB$4,'20.03'!$BB$3)),(VLOOKUP('20.03'!Z16,'20.03'!$AO$4:$AQ$55,2,FALSE))*IF('20.03'!$AK16="是",'20.03'!$BB$4,'20.03'!$BB$3))</f>
        <v>128</v>
      </c>
      <c r="S16" s="4">
        <f>IF(ISNUMBER(SEARCH("营",'20.03'!AA16)),(-$Y16+50*IF('20.03'!$AK16="是",'20.03'!$BB$4,'20.03'!$BB$3)),(VLOOKUP('20.03'!AA16,'20.03'!$AO$4:$AQ$55,2,FALSE))*IF('20.03'!$AK16="是",'20.03'!$BB$4,'20.03'!$BB$3))</f>
        <v>128</v>
      </c>
      <c r="T16" s="4">
        <f>IF(ISNUMBER(SEARCH("营",'20.03'!AB16)),(-$Y16+50*IF('20.03'!$AK16="是",'20.03'!$BB$4,'20.03'!$BB$3)),(VLOOKUP('20.03'!AB16,'20.03'!$AO$4:$AQ$55,2,FALSE))*IF('20.03'!$AK16="是",'20.03'!$BB$4,'20.03'!$BB$3))</f>
        <v>136</v>
      </c>
      <c r="U16" s="4">
        <f>IF(ISNUMBER(SEARCH("营",'20.03'!AC16)),(-$Y16+50*IF('20.03'!$AK16="是",'20.03'!$BB$4,'20.03'!$BB$3)),(VLOOKUP('20.03'!AC16,'20.03'!$AO$4:$AQ$55,2,FALSE))*IF('20.03'!$AK16="是",'20.03'!$BB$4,'20.03'!$BB$3))</f>
        <v>136</v>
      </c>
      <c r="V16" s="4">
        <f>IF(ISNUMBER(SEARCH("营",'20.03'!AD16)),(-$Y16+50*IF('20.03'!$AK16="是",'20.03'!$BB$4,'20.03'!$BB$3)),(VLOOKUP('20.03'!AD16,'20.03'!$AO$4:$AQ$55,2,FALSE))*IF('20.03'!$AK16="是",'20.03'!$BB$4,'20.03'!$BB$3))</f>
        <v>136</v>
      </c>
      <c r="W16" s="4">
        <f>IF(ISNUMBER(SEARCH("营",'20.03'!AE16)),(-$Y16+50*IF('20.03'!$AK16="是",'20.03'!$BB$4,'20.03'!$BB$3)),(VLOOKUP('20.03'!AE16,'20.03'!$AO$4:$AQ$55,2,FALSE))*IF('20.03'!$AK16="是",'20.03'!$BB$4,'20.03'!$BB$3))</f>
        <v>136</v>
      </c>
      <c r="X16" s="4">
        <f>IF(ISNUMBER(SEARCH("营",'20.03'!AF16)),(-$Y16+50*IF('20.03'!$AK16="是",'20.03'!$BB$4,'20.03'!$BB$3)),(VLOOKUP('20.03'!AF16,'20.03'!$AO$4:$AQ$55,2,FALSE))*IF('20.03'!$AK16="是",'20.03'!$BB$4,'20.03'!$BB$3))</f>
        <v>-260</v>
      </c>
      <c r="Y16" s="62">
        <v>300</v>
      </c>
      <c r="Z16" s="94">
        <v>45833</v>
      </c>
    </row>
    <row r="17" spans="1:26">
      <c r="A17" s="4">
        <f>IF(ISNUMBER(SEARCH("营",'20.03'!I17)),(-$Y17+50*IF('20.03'!$AK17="是",'20.03'!$BB$4,'20.03'!$BB$3)),(VLOOKUP('20.03'!I17,'20.03'!$AO$4:$AQ$55,2,FALSE))*IF('20.03'!$AK17="是",'20.03'!$BB$4,'20.03'!$BB$3))</f>
        <v>152</v>
      </c>
      <c r="B17" s="4">
        <f>IF(ISNUMBER(SEARCH("营",'20.03'!J17)),(-$Y17+50*IF('20.03'!$AK17="是",'20.03'!$BB$4,'20.03'!$BB$3)),(VLOOKUP('20.03'!J17,'20.03'!$AO$4:$AQ$55,2,FALSE))*IF('20.03'!$AK17="是",'20.03'!$BB$4,'20.03'!$BB$3))</f>
        <v>152</v>
      </c>
      <c r="C17" s="4">
        <f>IF(ISNUMBER(SEARCH("营",'20.03'!K17)),(-$Y17+50*IF('20.03'!$AK17="是",'20.03'!$BB$4,'20.03'!$BB$3)),(VLOOKUP('20.03'!K17,'20.03'!$AO$4:$AQ$55,2,FALSE))*IF('20.03'!$AK17="是",'20.03'!$BB$4,'20.03'!$BB$3))</f>
        <v>152</v>
      </c>
      <c r="D17" s="4">
        <f>IF(ISNUMBER(SEARCH("营",'20.03'!L17)),(-$Y17+50*IF('20.03'!$AK17="是",'20.03'!$BB$4,'20.03'!$BB$3)),(VLOOKUP('20.03'!L17,'20.03'!$AO$4:$AQ$55,2,FALSE))*IF('20.03'!$AK17="是",'20.03'!$BB$4,'20.03'!$BB$3))</f>
        <v>152</v>
      </c>
      <c r="E17" s="4">
        <f>IF(ISNUMBER(SEARCH("营",'20.03'!M17)),(-$Y17+50*IF('20.03'!$AK17="是",'20.03'!$BB$4,'20.03'!$BB$3)),(VLOOKUP('20.03'!M17,'20.03'!$AO$4:$AQ$55,2,FALSE))*IF('20.03'!$AK17="是",'20.03'!$BB$4,'20.03'!$BB$3))</f>
        <v>152</v>
      </c>
      <c r="F17" s="4">
        <f>IF(ISNUMBER(SEARCH("营",'20.03'!N17)),(-$Y17+50*IF('20.03'!$AK17="是",'20.03'!$BB$4,'20.03'!$BB$3)),(VLOOKUP('20.03'!N17,'20.03'!$AO$4:$AQ$55,2,FALSE))*IF('20.03'!$AK17="是",'20.03'!$BB$4,'20.03'!$BB$3))</f>
        <v>152</v>
      </c>
      <c r="G17" s="4">
        <f>IF(ISNUMBER(SEARCH("营",'20.03'!O17)),(-$Y17+50*IF('20.03'!$AK17="是",'20.03'!$BB$4,'20.03'!$BB$3)),(VLOOKUP('20.03'!O17,'20.03'!$AO$4:$AQ$55,2,FALSE))*IF('20.03'!$AK17="是",'20.03'!$BB$4,'20.03'!$BB$3))</f>
        <v>152</v>
      </c>
      <c r="H17" s="4">
        <f>IF(ISNUMBER(SEARCH("营",'20.03'!P17)),(-$Y17+50*IF('20.03'!$AK17="是",'20.03'!$BB$4,'20.03'!$BB$3)),(VLOOKUP('20.03'!P17,'20.03'!$AO$4:$AQ$55,2,FALSE))*IF('20.03'!$AK17="是",'20.03'!$BB$4,'20.03'!$BB$3))</f>
        <v>-260</v>
      </c>
      <c r="I17" s="4">
        <f>IF(ISNUMBER(SEARCH("营",'20.03'!Q17)),(-$Y17+50*IF('20.03'!$AK17="是",'20.03'!$BB$4,'20.03'!$BB$3)),(VLOOKUP('20.03'!Q17,'20.03'!$AO$4:$AQ$55,2,FALSE))*IF('20.03'!$AK17="是",'20.03'!$BB$4,'20.03'!$BB$3))</f>
        <v>144</v>
      </c>
      <c r="J17" s="4">
        <f>IF(ISNUMBER(SEARCH("营",'20.03'!R17)),(-$Y17+50*IF('20.03'!$AK17="是",'20.03'!$BB$4,'20.03'!$BB$3)),(VLOOKUP('20.03'!R17,'20.03'!$AO$4:$AQ$55,2,FALSE))*IF('20.03'!$AK17="是",'20.03'!$BB$4,'20.03'!$BB$3))</f>
        <v>144</v>
      </c>
      <c r="K17" s="4">
        <f>IF(ISNUMBER(SEARCH("营",'20.03'!S17)),(-$Y17+50*IF('20.03'!$AK17="是",'20.03'!$BB$4,'20.03'!$BB$3)),(VLOOKUP('20.03'!S17,'20.03'!$AO$4:$AQ$55,2,FALSE))*IF('20.03'!$AK17="是",'20.03'!$BB$4,'20.03'!$BB$3))</f>
        <v>144</v>
      </c>
      <c r="L17" s="4">
        <f>IF(ISNUMBER(SEARCH("营",'20.03'!T17)),(-$Y17+50*IF('20.03'!$AK17="是",'20.03'!$BB$4,'20.03'!$BB$3)),(VLOOKUP('20.03'!T17,'20.03'!$AO$4:$AQ$55,2,FALSE))*IF('20.03'!$AK17="是",'20.03'!$BB$4,'20.03'!$BB$3))</f>
        <v>144</v>
      </c>
      <c r="M17" s="4">
        <f>IF(ISNUMBER(SEARCH("营",'20.03'!U17)),(-$Y17+50*IF('20.03'!$AK17="是",'20.03'!$BB$4,'20.03'!$BB$3)),(VLOOKUP('20.03'!U17,'20.03'!$AO$4:$AQ$55,2,FALSE))*IF('20.03'!$AK17="是",'20.03'!$BB$4,'20.03'!$BB$3))</f>
        <v>120</v>
      </c>
      <c r="N17" s="4">
        <f>IF(ISNUMBER(SEARCH("营",'20.03'!V17)),(-$Y17+50*IF('20.03'!$AK17="是",'20.03'!$BB$4,'20.03'!$BB$3)),(VLOOKUP('20.03'!V17,'20.03'!$AO$4:$AQ$55,2,FALSE))*IF('20.03'!$AK17="是",'20.03'!$BB$4,'20.03'!$BB$3))</f>
        <v>144</v>
      </c>
      <c r="O17" s="4">
        <f>IF(ISNUMBER(SEARCH("营",'20.03'!W17)),(-$Y17+50*IF('20.03'!$AK17="是",'20.03'!$BB$4,'20.03'!$BB$3)),(VLOOKUP('20.03'!W17,'20.03'!$AO$4:$AQ$55,2,FALSE))*IF('20.03'!$AK17="是",'20.03'!$BB$4,'20.03'!$BB$3))</f>
        <v>144</v>
      </c>
      <c r="P17" s="4">
        <f>IF(ISNUMBER(SEARCH("营",'20.03'!X17)),(-$Y17+50*IF('20.03'!$AK17="是",'20.03'!$BB$4,'20.03'!$BB$3)),(VLOOKUP('20.03'!X17,'20.03'!$AO$4:$AQ$55,2,FALSE))*IF('20.03'!$AK17="是",'20.03'!$BB$4,'20.03'!$BB$3))</f>
        <v>-260</v>
      </c>
      <c r="Q17" s="4">
        <f>IF(ISNUMBER(SEARCH("营",'20.03'!Y17)),(-$Y17+50*IF('20.03'!$AK17="是",'20.03'!$BB$4,'20.03'!$BB$3)),(VLOOKUP('20.03'!Y17,'20.03'!$AO$4:$AQ$55,2,FALSE))*IF('20.03'!$AK17="是",'20.03'!$BB$4,'20.03'!$BB$3))</f>
        <v>0</v>
      </c>
      <c r="R17" s="4">
        <f>IF(ISNUMBER(SEARCH("营",'20.03'!Z17)),(-$Y17+50*IF('20.03'!$AK17="是",'20.03'!$BB$4,'20.03'!$BB$3)),(VLOOKUP('20.03'!Z17,'20.03'!$AO$4:$AQ$55,2,FALSE))*IF('20.03'!$AK17="是",'20.03'!$BB$4,'20.03'!$BB$3))</f>
        <v>0</v>
      </c>
      <c r="S17" s="4">
        <f>IF(ISNUMBER(SEARCH("营",'20.03'!AA17)),(-$Y17+50*IF('20.03'!$AK17="是",'20.03'!$BB$4,'20.03'!$BB$3)),(VLOOKUP('20.03'!AA17,'20.03'!$AO$4:$AQ$55,2,FALSE))*IF('20.03'!$AK17="是",'20.03'!$BB$4,'20.03'!$BB$3))</f>
        <v>0</v>
      </c>
      <c r="T17" s="4">
        <f>IF(ISNUMBER(SEARCH("营",'20.03'!AB17)),(-$Y17+50*IF('20.03'!$AK17="是",'20.03'!$BB$4,'20.03'!$BB$3)),(VLOOKUP('20.03'!AB17,'20.03'!$AO$4:$AQ$55,2,FALSE))*IF('20.03'!$AK17="是",'20.03'!$BB$4,'20.03'!$BB$3))</f>
        <v>0</v>
      </c>
      <c r="U17" s="4">
        <f>IF(ISNUMBER(SEARCH("营",'20.03'!AC17)),(-$Y17+50*IF('20.03'!$AK17="是",'20.03'!$BB$4,'20.03'!$BB$3)),(VLOOKUP('20.03'!AC17,'20.03'!$AO$4:$AQ$55,2,FALSE))*IF('20.03'!$AK17="是",'20.03'!$BB$4,'20.03'!$BB$3))</f>
        <v>0</v>
      </c>
      <c r="V17" s="4">
        <f>IF(ISNUMBER(SEARCH("营",'20.03'!AD17)),(-$Y17+50*IF('20.03'!$AK17="是",'20.03'!$BB$4,'20.03'!$BB$3)),(VLOOKUP('20.03'!AD17,'20.03'!$AO$4:$AQ$55,2,FALSE))*IF('20.03'!$AK17="是",'20.03'!$BB$4,'20.03'!$BB$3))</f>
        <v>0</v>
      </c>
      <c r="W17" s="4">
        <f>IF(ISNUMBER(SEARCH("营",'20.03'!AE17)),(-$Y17+50*IF('20.03'!$AK17="是",'20.03'!$BB$4,'20.03'!$BB$3)),(VLOOKUP('20.03'!AE17,'20.03'!$AO$4:$AQ$55,2,FALSE))*IF('20.03'!$AK17="是",'20.03'!$BB$4,'20.03'!$BB$3))</f>
        <v>0</v>
      </c>
      <c r="X17" s="4">
        <f>IF(ISNUMBER(SEARCH("营",'20.03'!AF17)),(-$Y17+50*IF('20.03'!$AK17="是",'20.03'!$BB$4,'20.03'!$BB$3)),(VLOOKUP('20.03'!AF17,'20.03'!$AO$4:$AQ$55,2,FALSE))*IF('20.03'!$AK17="是",'20.03'!$BB$4,'20.03'!$BB$3))</f>
        <v>0</v>
      </c>
      <c r="Y17" s="62">
        <v>300</v>
      </c>
      <c r="Z17" s="94">
        <v>45834</v>
      </c>
    </row>
    <row r="18" spans="1:26">
      <c r="A18" s="4">
        <f>IF(ISNUMBER(SEARCH("营",'20.03'!I18)),(-$Y18+50*IF('20.03'!$AK18="是",'20.03'!$BB$4,'20.03'!$BB$3)),(VLOOKUP('20.03'!I18,'20.03'!$AO$4:$AQ$55,2,FALSE))*IF('20.03'!$AK18="是",'20.03'!$BB$4,'20.03'!$BB$3))</f>
        <v>152</v>
      </c>
      <c r="B18" s="4">
        <f>IF(ISNUMBER(SEARCH("营",'20.03'!J18)),(-$Y18+50*IF('20.03'!$AK18="是",'20.03'!$BB$4,'20.03'!$BB$3)),(VLOOKUP('20.03'!J18,'20.03'!$AO$4:$AQ$55,2,FALSE))*IF('20.03'!$AK18="是",'20.03'!$BB$4,'20.03'!$BB$3))</f>
        <v>152</v>
      </c>
      <c r="C18" s="4">
        <f>IF(ISNUMBER(SEARCH("营",'20.03'!K18)),(-$Y18+50*IF('20.03'!$AK18="是",'20.03'!$BB$4,'20.03'!$BB$3)),(VLOOKUP('20.03'!K18,'20.03'!$AO$4:$AQ$55,2,FALSE))*IF('20.03'!$AK18="是",'20.03'!$BB$4,'20.03'!$BB$3))</f>
        <v>152</v>
      </c>
      <c r="D18" s="4">
        <f>IF(ISNUMBER(SEARCH("营",'20.03'!L18)),(-$Y18+50*IF('20.03'!$AK18="是",'20.03'!$BB$4,'20.03'!$BB$3)),(VLOOKUP('20.03'!L18,'20.03'!$AO$4:$AQ$55,2,FALSE))*IF('20.03'!$AK18="是",'20.03'!$BB$4,'20.03'!$BB$3))</f>
        <v>152</v>
      </c>
      <c r="E18" s="4">
        <f>IF(ISNUMBER(SEARCH("营",'20.03'!M18)),(-$Y18+50*IF('20.03'!$AK18="是",'20.03'!$BB$4,'20.03'!$BB$3)),(VLOOKUP('20.03'!M18,'20.03'!$AO$4:$AQ$55,2,FALSE))*IF('20.03'!$AK18="是",'20.03'!$BB$4,'20.03'!$BB$3))</f>
        <v>152</v>
      </c>
      <c r="F18" s="4">
        <f>IF(ISNUMBER(SEARCH("营",'20.03'!N18)),(-$Y18+50*IF('20.03'!$AK18="是",'20.03'!$BB$4,'20.03'!$BB$3)),(VLOOKUP('20.03'!N18,'20.03'!$AO$4:$AQ$55,2,FALSE))*IF('20.03'!$AK18="是",'20.03'!$BB$4,'20.03'!$BB$3))</f>
        <v>152</v>
      </c>
      <c r="G18" s="4">
        <f>IF(ISNUMBER(SEARCH("营",'20.03'!O18)),(-$Y18+50*IF('20.03'!$AK18="是",'20.03'!$BB$4,'20.03'!$BB$3)),(VLOOKUP('20.03'!O18,'20.03'!$AO$4:$AQ$55,2,FALSE))*IF('20.03'!$AK18="是",'20.03'!$BB$4,'20.03'!$BB$3))</f>
        <v>0</v>
      </c>
      <c r="H18" s="4">
        <f>IF(ISNUMBER(SEARCH("营",'20.03'!P18)),(-$Y18+50*IF('20.03'!$AK18="是",'20.03'!$BB$4,'20.03'!$BB$3)),(VLOOKUP('20.03'!P18,'20.03'!$AO$4:$AQ$55,2,FALSE))*IF('20.03'!$AK18="是",'20.03'!$BB$4,'20.03'!$BB$3))</f>
        <v>0</v>
      </c>
      <c r="I18" s="4">
        <f>IF(ISNUMBER(SEARCH("营",'20.03'!Q18)),(-$Y18+50*IF('20.03'!$AK18="是",'20.03'!$BB$4,'20.03'!$BB$3)),(VLOOKUP('20.03'!Q18,'20.03'!$AO$4:$AQ$55,2,FALSE))*IF('20.03'!$AK18="是",'20.03'!$BB$4,'20.03'!$BB$3))</f>
        <v>0</v>
      </c>
      <c r="J18" s="4">
        <f>IF(ISNUMBER(SEARCH("营",'20.03'!R18)),(-$Y18+50*IF('20.03'!$AK18="是",'20.03'!$BB$4,'20.03'!$BB$3)),(VLOOKUP('20.03'!R18,'20.03'!$AO$4:$AQ$55,2,FALSE))*IF('20.03'!$AK18="是",'20.03'!$BB$4,'20.03'!$BB$3))</f>
        <v>0</v>
      </c>
      <c r="K18" s="4">
        <f>IF(ISNUMBER(SEARCH("营",'20.03'!S18)),(-$Y18+50*IF('20.03'!$AK18="是",'20.03'!$BB$4,'20.03'!$BB$3)),(VLOOKUP('20.03'!S18,'20.03'!$AO$4:$AQ$55,2,FALSE))*IF('20.03'!$AK18="是",'20.03'!$BB$4,'20.03'!$BB$3))</f>
        <v>0</v>
      </c>
      <c r="L18" s="4">
        <f>IF(ISNUMBER(SEARCH("营",'20.03'!T18)),(-$Y18+50*IF('20.03'!$AK18="是",'20.03'!$BB$4,'20.03'!$BB$3)),(VLOOKUP('20.03'!T18,'20.03'!$AO$4:$AQ$55,2,FALSE))*IF('20.03'!$AK18="是",'20.03'!$BB$4,'20.03'!$BB$3))</f>
        <v>0</v>
      </c>
      <c r="M18" s="4">
        <f>IF(ISNUMBER(SEARCH("营",'20.03'!U18)),(-$Y18+50*IF('20.03'!$AK18="是",'20.03'!$BB$4,'20.03'!$BB$3)),(VLOOKUP('20.03'!U18,'20.03'!$AO$4:$AQ$55,2,FALSE))*IF('20.03'!$AK18="是",'20.03'!$BB$4,'20.03'!$BB$3))</f>
        <v>0</v>
      </c>
      <c r="N18" s="4">
        <f>IF(ISNUMBER(SEARCH("营",'20.03'!V18)),(-$Y18+50*IF('20.03'!$AK18="是",'20.03'!$BB$4,'20.03'!$BB$3)),(VLOOKUP('20.03'!V18,'20.03'!$AO$4:$AQ$55,2,FALSE))*IF('20.03'!$AK18="是",'20.03'!$BB$4,'20.03'!$BB$3))</f>
        <v>0</v>
      </c>
      <c r="O18" s="4">
        <f>IF(ISNUMBER(SEARCH("营",'20.03'!W18)),(-$Y18+50*IF('20.03'!$AK18="是",'20.03'!$BB$4,'20.03'!$BB$3)),(VLOOKUP('20.03'!W18,'20.03'!$AO$4:$AQ$55,2,FALSE))*IF('20.03'!$AK18="是",'20.03'!$BB$4,'20.03'!$BB$3))</f>
        <v>0</v>
      </c>
      <c r="P18" s="4">
        <f>IF(ISNUMBER(SEARCH("营",'20.03'!X18)),(-$Y18+50*IF('20.03'!$AK18="是",'20.03'!$BB$4,'20.03'!$BB$3)),(VLOOKUP('20.03'!X18,'20.03'!$AO$4:$AQ$55,2,FALSE))*IF('20.03'!$AK18="是",'20.03'!$BB$4,'20.03'!$BB$3))</f>
        <v>0</v>
      </c>
      <c r="Q18" s="4">
        <f>IF(ISNUMBER(SEARCH("营",'20.03'!Y18)),(-$Y18+50*IF('20.03'!$AK18="是",'20.03'!$BB$4,'20.03'!$BB$3)),(VLOOKUP('20.03'!Y18,'20.03'!$AO$4:$AQ$55,2,FALSE))*IF('20.03'!$AK18="是",'20.03'!$BB$4,'20.03'!$BB$3))</f>
        <v>0</v>
      </c>
      <c r="R18" s="4">
        <f>IF(ISNUMBER(SEARCH("营",'20.03'!Z18)),(-$Y18+50*IF('20.03'!$AK18="是",'20.03'!$BB$4,'20.03'!$BB$3)),(VLOOKUP('20.03'!Z18,'20.03'!$AO$4:$AQ$55,2,FALSE))*IF('20.03'!$AK18="是",'20.03'!$BB$4,'20.03'!$BB$3))</f>
        <v>0</v>
      </c>
      <c r="S18" s="4">
        <f>IF(ISNUMBER(SEARCH("营",'20.03'!AA18)),(-$Y18+50*IF('20.03'!$AK18="是",'20.03'!$BB$4,'20.03'!$BB$3)),(VLOOKUP('20.03'!AA18,'20.03'!$AO$4:$AQ$55,2,FALSE))*IF('20.03'!$AK18="是",'20.03'!$BB$4,'20.03'!$BB$3))</f>
        <v>0</v>
      </c>
      <c r="T18" s="4">
        <f>IF(ISNUMBER(SEARCH("营",'20.03'!AB18)),(-$Y18+50*IF('20.03'!$AK18="是",'20.03'!$BB$4,'20.03'!$BB$3)),(VLOOKUP('20.03'!AB18,'20.03'!$AO$4:$AQ$55,2,FALSE))*IF('20.03'!$AK18="是",'20.03'!$BB$4,'20.03'!$BB$3))</f>
        <v>0</v>
      </c>
      <c r="U18" s="4">
        <f>IF(ISNUMBER(SEARCH("营",'20.03'!AC18)),(-$Y18+50*IF('20.03'!$AK18="是",'20.03'!$BB$4,'20.03'!$BB$3)),(VLOOKUP('20.03'!AC18,'20.03'!$AO$4:$AQ$55,2,FALSE))*IF('20.03'!$AK18="是",'20.03'!$BB$4,'20.03'!$BB$3))</f>
        <v>0</v>
      </c>
      <c r="V18" s="4">
        <f>IF(ISNUMBER(SEARCH("营",'20.03'!AD18)),(-$Y18+50*IF('20.03'!$AK18="是",'20.03'!$BB$4,'20.03'!$BB$3)),(VLOOKUP('20.03'!AD18,'20.03'!$AO$4:$AQ$55,2,FALSE))*IF('20.03'!$AK18="是",'20.03'!$BB$4,'20.03'!$BB$3))</f>
        <v>0</v>
      </c>
      <c r="W18" s="4">
        <f>IF(ISNUMBER(SEARCH("营",'20.03'!AE18)),(-$Y18+50*IF('20.03'!$AK18="是",'20.03'!$BB$4,'20.03'!$BB$3)),(VLOOKUP('20.03'!AE18,'20.03'!$AO$4:$AQ$55,2,FALSE))*IF('20.03'!$AK18="是",'20.03'!$BB$4,'20.03'!$BB$3))</f>
        <v>0</v>
      </c>
      <c r="X18" s="4">
        <f>IF(ISNUMBER(SEARCH("营",'20.03'!AF18)),(-$Y18+50*IF('20.03'!$AK18="是",'20.03'!$BB$4,'20.03'!$BB$3)),(VLOOKUP('20.03'!AF18,'20.03'!$AO$4:$AQ$55,2,FALSE))*IF('20.03'!$AK18="是",'20.03'!$BB$4,'20.03'!$BB$3))</f>
        <v>0</v>
      </c>
      <c r="Y18" s="64">
        <v>250</v>
      </c>
      <c r="Z18" s="87">
        <v>45835</v>
      </c>
    </row>
    <row r="19" spans="1:26">
      <c r="A19" s="4">
        <f>IF(ISNUMBER(SEARCH("营",'20.03'!I19)),(-$Y19+50*IF('20.03'!$AK19="是",'20.03'!$BB$4,'20.03'!$BB$3)),(VLOOKUP('20.03'!I19,'20.03'!$AO$4:$AQ$55,2,FALSE))*IF('20.03'!$AK19="是",'20.03'!$BB$4,'20.03'!$BB$3))</f>
        <v>152</v>
      </c>
      <c r="B19" s="4">
        <f>IF(ISNUMBER(SEARCH("营",'20.03'!J19)),(-$Y19+50*IF('20.03'!$AK19="是",'20.03'!$BB$4,'20.03'!$BB$3)),(VLOOKUP('20.03'!J19,'20.03'!$AO$4:$AQ$55,2,FALSE))*IF('20.03'!$AK19="是",'20.03'!$BB$4,'20.03'!$BB$3))</f>
        <v>152</v>
      </c>
      <c r="C19" s="4">
        <f>IF(ISNUMBER(SEARCH("营",'20.03'!K19)),(-$Y19+50*IF('20.03'!$AK19="是",'20.03'!$BB$4,'20.03'!$BB$3)),(VLOOKUP('20.03'!K19,'20.03'!$AO$4:$AQ$55,2,FALSE))*IF('20.03'!$AK19="是",'20.03'!$BB$4,'20.03'!$BB$3))</f>
        <v>152</v>
      </c>
      <c r="D19" s="4">
        <f>IF(ISNUMBER(SEARCH("营",'20.03'!L19)),(-$Y19+50*IF('20.03'!$AK19="是",'20.03'!$BB$4,'20.03'!$BB$3)),(VLOOKUP('20.03'!L19,'20.03'!$AO$4:$AQ$55,2,FALSE))*IF('20.03'!$AK19="是",'20.03'!$BB$4,'20.03'!$BB$3))</f>
        <v>152</v>
      </c>
      <c r="E19" s="4">
        <f>IF(ISNUMBER(SEARCH("营",'20.03'!M19)),(-$Y19+50*IF('20.03'!$AK19="是",'20.03'!$BB$4,'20.03'!$BB$3)),(VLOOKUP('20.03'!M19,'20.03'!$AO$4:$AQ$55,2,FALSE))*IF('20.03'!$AK19="是",'20.03'!$BB$4,'20.03'!$BB$3))</f>
        <v>152</v>
      </c>
      <c r="F19" s="4">
        <f>IF(ISNUMBER(SEARCH("营",'20.03'!N19)),(-$Y19+50*IF('20.03'!$AK19="是",'20.03'!$BB$4,'20.03'!$BB$3)),(VLOOKUP('20.03'!N19,'20.03'!$AO$4:$AQ$55,2,FALSE))*IF('20.03'!$AK19="是",'20.03'!$BB$4,'20.03'!$BB$3))</f>
        <v>152</v>
      </c>
      <c r="G19" s="4">
        <f>IF(ISNUMBER(SEARCH("营",'20.03'!O19)),(-$Y19+50*IF('20.03'!$AK19="是",'20.03'!$BB$4,'20.03'!$BB$3)),(VLOOKUP('20.03'!O19,'20.03'!$AO$4:$AQ$55,2,FALSE))*IF('20.03'!$AK19="是",'20.03'!$BB$4,'20.03'!$BB$3))</f>
        <v>0</v>
      </c>
      <c r="H19" s="4">
        <f>IF(ISNUMBER(SEARCH("营",'20.03'!P19)),(-$Y19+50*IF('20.03'!$AK19="是",'20.03'!$BB$4,'20.03'!$BB$3)),(VLOOKUP('20.03'!P19,'20.03'!$AO$4:$AQ$55,2,FALSE))*IF('20.03'!$AK19="是",'20.03'!$BB$4,'20.03'!$BB$3))</f>
        <v>0</v>
      </c>
      <c r="I19" s="4">
        <f>IF(ISNUMBER(SEARCH("营",'20.03'!Q19)),(-$Y19+50*IF('20.03'!$AK19="是",'20.03'!$BB$4,'20.03'!$BB$3)),(VLOOKUP('20.03'!Q19,'20.03'!$AO$4:$AQ$55,2,FALSE))*IF('20.03'!$AK19="是",'20.03'!$BB$4,'20.03'!$BB$3))</f>
        <v>0</v>
      </c>
      <c r="J19" s="4">
        <f>IF(ISNUMBER(SEARCH("营",'20.03'!R19)),(-$Y19+50*IF('20.03'!$AK19="是",'20.03'!$BB$4,'20.03'!$BB$3)),(VLOOKUP('20.03'!R19,'20.03'!$AO$4:$AQ$55,2,FALSE))*IF('20.03'!$AK19="是",'20.03'!$BB$4,'20.03'!$BB$3))</f>
        <v>0</v>
      </c>
      <c r="K19" s="4">
        <f>IF(ISNUMBER(SEARCH("营",'20.03'!S19)),(-$Y19+50*IF('20.03'!$AK19="是",'20.03'!$BB$4,'20.03'!$BB$3)),(VLOOKUP('20.03'!S19,'20.03'!$AO$4:$AQ$55,2,FALSE))*IF('20.03'!$AK19="是",'20.03'!$BB$4,'20.03'!$BB$3))</f>
        <v>0</v>
      </c>
      <c r="L19" s="4">
        <f>IF(ISNUMBER(SEARCH("营",'20.03'!T19)),(-$Y19+50*IF('20.03'!$AK19="是",'20.03'!$BB$4,'20.03'!$BB$3)),(VLOOKUP('20.03'!T19,'20.03'!$AO$4:$AQ$55,2,FALSE))*IF('20.03'!$AK19="是",'20.03'!$BB$4,'20.03'!$BB$3))</f>
        <v>0</v>
      </c>
      <c r="M19" s="4">
        <f>IF(ISNUMBER(SEARCH("营",'20.03'!U19)),(-$Y19+50*IF('20.03'!$AK19="是",'20.03'!$BB$4,'20.03'!$BB$3)),(VLOOKUP('20.03'!U19,'20.03'!$AO$4:$AQ$55,2,FALSE))*IF('20.03'!$AK19="是",'20.03'!$BB$4,'20.03'!$BB$3))</f>
        <v>0</v>
      </c>
      <c r="N19" s="4">
        <f>IF(ISNUMBER(SEARCH("营",'20.03'!V19)),(-$Y19+50*IF('20.03'!$AK19="是",'20.03'!$BB$4,'20.03'!$BB$3)),(VLOOKUP('20.03'!V19,'20.03'!$AO$4:$AQ$55,2,FALSE))*IF('20.03'!$AK19="是",'20.03'!$BB$4,'20.03'!$BB$3))</f>
        <v>0</v>
      </c>
      <c r="O19" s="4">
        <f>IF(ISNUMBER(SEARCH("营",'20.03'!W19)),(-$Y19+50*IF('20.03'!$AK19="是",'20.03'!$BB$4,'20.03'!$BB$3)),(VLOOKUP('20.03'!W19,'20.03'!$AO$4:$AQ$55,2,FALSE))*IF('20.03'!$AK19="是",'20.03'!$BB$4,'20.03'!$BB$3))</f>
        <v>0</v>
      </c>
      <c r="P19" s="4">
        <f>IF(ISNUMBER(SEARCH("营",'20.03'!X19)),(-$Y19+50*IF('20.03'!$AK19="是",'20.03'!$BB$4,'20.03'!$BB$3)),(VLOOKUP('20.03'!X19,'20.03'!$AO$4:$AQ$55,2,FALSE))*IF('20.03'!$AK19="是",'20.03'!$BB$4,'20.03'!$BB$3))</f>
        <v>0</v>
      </c>
      <c r="Q19" s="4">
        <f>IF(ISNUMBER(SEARCH("营",'20.03'!Y19)),(-$Y19+50*IF('20.03'!$AK19="是",'20.03'!$BB$4,'20.03'!$BB$3)),(VLOOKUP('20.03'!Y19,'20.03'!$AO$4:$AQ$55,2,FALSE))*IF('20.03'!$AK19="是",'20.03'!$BB$4,'20.03'!$BB$3))</f>
        <v>136</v>
      </c>
      <c r="R19" s="4">
        <f>IF(ISNUMBER(SEARCH("营",'20.03'!Z19)),(-$Y19+50*IF('20.03'!$AK19="是",'20.03'!$BB$4,'20.03'!$BB$3)),(VLOOKUP('20.03'!Z19,'20.03'!$AO$4:$AQ$55,2,FALSE))*IF('20.03'!$AK19="是",'20.03'!$BB$4,'20.03'!$BB$3))</f>
        <v>144</v>
      </c>
      <c r="S19" s="4">
        <f>IF(ISNUMBER(SEARCH("营",'20.03'!AA19)),(-$Y19+50*IF('20.03'!$AK19="是",'20.03'!$BB$4,'20.03'!$BB$3)),(VLOOKUP('20.03'!AA19,'20.03'!$AO$4:$AQ$55,2,FALSE))*IF('20.03'!$AK19="是",'20.03'!$BB$4,'20.03'!$BB$3))</f>
        <v>136</v>
      </c>
      <c r="T19" s="4">
        <f>IF(ISNUMBER(SEARCH("营",'20.03'!AB19)),(-$Y19+50*IF('20.03'!$AK19="是",'20.03'!$BB$4,'20.03'!$BB$3)),(VLOOKUP('20.03'!AB19,'20.03'!$AO$4:$AQ$55,2,FALSE))*IF('20.03'!$AK19="是",'20.03'!$BB$4,'20.03'!$BB$3))</f>
        <v>136</v>
      </c>
      <c r="U19" s="4">
        <f>IF(ISNUMBER(SEARCH("营",'20.03'!AC19)),(-$Y19+50*IF('20.03'!$AK19="是",'20.03'!$BB$4,'20.03'!$BB$3)),(VLOOKUP('20.03'!AC19,'20.03'!$AO$4:$AQ$55,2,FALSE))*IF('20.03'!$AK19="是",'20.03'!$BB$4,'20.03'!$BB$3))</f>
        <v>136</v>
      </c>
      <c r="V19" s="4">
        <f>IF(ISNUMBER(SEARCH("营",'20.03'!AD19)),(-$Y19+50*IF('20.03'!$AK19="是",'20.03'!$BB$4,'20.03'!$BB$3)),(VLOOKUP('20.03'!AD19,'20.03'!$AO$4:$AQ$55,2,FALSE))*IF('20.03'!$AK19="是",'20.03'!$BB$4,'20.03'!$BB$3))</f>
        <v>136</v>
      </c>
      <c r="W19" s="4">
        <f>IF(ISNUMBER(SEARCH("营",'20.03'!AE19)),(-$Y19+50*IF('20.03'!$AK19="是",'20.03'!$BB$4,'20.03'!$BB$3)),(VLOOKUP('20.03'!AE19,'20.03'!$AO$4:$AQ$55,2,FALSE))*IF('20.03'!$AK19="是",'20.03'!$BB$4,'20.03'!$BB$3))</f>
        <v>136</v>
      </c>
      <c r="X19" s="4">
        <f>IF(ISNUMBER(SEARCH("营",'20.03'!AF19)),(-$Y19+50*IF('20.03'!$AK19="是",'20.03'!$BB$4,'20.03'!$BB$3)),(VLOOKUP('20.03'!AF19,'20.03'!$AO$4:$AQ$55,2,FALSE))*IF('20.03'!$AK19="是",'20.03'!$BB$4,'20.03'!$BB$3))</f>
        <v>0</v>
      </c>
      <c r="Y19" s="64">
        <v>250</v>
      </c>
      <c r="Z19" s="87">
        <v>45836</v>
      </c>
    </row>
    <row r="20" spans="1:26">
      <c r="A20" s="4">
        <f>IF(ISNUMBER(SEARCH("营",'20.03'!I20)),(-$Y20+50*IF('20.03'!$AK20="是",'20.03'!$BB$4,'20.03'!$BB$3)),(VLOOKUP('20.03'!I20,'20.03'!$AO$4:$AQ$55,2,FALSE))*IF('20.03'!$AK20="是",'20.03'!$BB$4,'20.03'!$BB$3))</f>
        <v>152</v>
      </c>
      <c r="B20" s="4">
        <f>IF(ISNUMBER(SEARCH("营",'20.03'!J20)),(-$Y20+50*IF('20.03'!$AK20="是",'20.03'!$BB$4,'20.03'!$BB$3)),(VLOOKUP('20.03'!J20,'20.03'!$AO$4:$AQ$55,2,FALSE))*IF('20.03'!$AK20="是",'20.03'!$BB$4,'20.03'!$BB$3))</f>
        <v>152</v>
      </c>
      <c r="C20" s="4">
        <f>IF(ISNUMBER(SEARCH("营",'20.03'!K20)),(-$Y20+50*IF('20.03'!$AK20="是",'20.03'!$BB$4,'20.03'!$BB$3)),(VLOOKUP('20.03'!K20,'20.03'!$AO$4:$AQ$55,2,FALSE))*IF('20.03'!$AK20="是",'20.03'!$BB$4,'20.03'!$BB$3))</f>
        <v>152</v>
      </c>
      <c r="D20" s="4">
        <f>IF(ISNUMBER(SEARCH("营",'20.03'!L20)),(-$Y20+50*IF('20.03'!$AK20="是",'20.03'!$BB$4,'20.03'!$BB$3)),(VLOOKUP('20.03'!L20,'20.03'!$AO$4:$AQ$55,2,FALSE))*IF('20.03'!$AK20="是",'20.03'!$BB$4,'20.03'!$BB$3))</f>
        <v>152</v>
      </c>
      <c r="E20" s="4">
        <f>IF(ISNUMBER(SEARCH("营",'20.03'!M20)),(-$Y20+50*IF('20.03'!$AK20="是",'20.03'!$BB$4,'20.03'!$BB$3)),(VLOOKUP('20.03'!M20,'20.03'!$AO$4:$AQ$55,2,FALSE))*IF('20.03'!$AK20="是",'20.03'!$BB$4,'20.03'!$BB$3))</f>
        <v>152</v>
      </c>
      <c r="F20" s="4">
        <f>IF(ISNUMBER(SEARCH("营",'20.03'!N20)),(-$Y20+50*IF('20.03'!$AK20="是",'20.03'!$BB$4,'20.03'!$BB$3)),(VLOOKUP('20.03'!N20,'20.03'!$AO$4:$AQ$55,2,FALSE))*IF('20.03'!$AK20="是",'20.03'!$BB$4,'20.03'!$BB$3))</f>
        <v>152</v>
      </c>
      <c r="G20" s="4">
        <f>IF(ISNUMBER(SEARCH("营",'20.03'!O20)),(-$Y20+50*IF('20.03'!$AK20="是",'20.03'!$BB$4,'20.03'!$BB$3)),(VLOOKUP('20.03'!O20,'20.03'!$AO$4:$AQ$55,2,FALSE))*IF('20.03'!$AK20="是",'20.03'!$BB$4,'20.03'!$BB$3))</f>
        <v>0</v>
      </c>
      <c r="H20" s="4">
        <f>IF(ISNUMBER(SEARCH("营",'20.03'!P20)),(-$Y20+50*IF('20.03'!$AK20="是",'20.03'!$BB$4,'20.03'!$BB$3)),(VLOOKUP('20.03'!P20,'20.03'!$AO$4:$AQ$55,2,FALSE))*IF('20.03'!$AK20="是",'20.03'!$BB$4,'20.03'!$BB$3))</f>
        <v>0</v>
      </c>
      <c r="I20" s="4">
        <f>IF(ISNUMBER(SEARCH("营",'20.03'!Q20)),(-$Y20+50*IF('20.03'!$AK20="是",'20.03'!$BB$4,'20.03'!$BB$3)),(VLOOKUP('20.03'!Q20,'20.03'!$AO$4:$AQ$55,2,FALSE))*IF('20.03'!$AK20="是",'20.03'!$BB$4,'20.03'!$BB$3))</f>
        <v>0</v>
      </c>
      <c r="J20" s="4">
        <f>IF(ISNUMBER(SEARCH("营",'20.03'!R20)),(-$Y20+50*IF('20.03'!$AK20="是",'20.03'!$BB$4,'20.03'!$BB$3)),(VLOOKUP('20.03'!R20,'20.03'!$AO$4:$AQ$55,2,FALSE))*IF('20.03'!$AK20="是",'20.03'!$BB$4,'20.03'!$BB$3))</f>
        <v>0</v>
      </c>
      <c r="K20" s="4">
        <f>IF(ISNUMBER(SEARCH("营",'20.03'!S20)),(-$Y20+50*IF('20.03'!$AK20="是",'20.03'!$BB$4,'20.03'!$BB$3)),(VLOOKUP('20.03'!S20,'20.03'!$AO$4:$AQ$55,2,FALSE))*IF('20.03'!$AK20="是",'20.03'!$BB$4,'20.03'!$BB$3))</f>
        <v>0</v>
      </c>
      <c r="L20" s="4">
        <f>IF(ISNUMBER(SEARCH("营",'20.03'!T20)),(-$Y20+50*IF('20.03'!$AK20="是",'20.03'!$BB$4,'20.03'!$BB$3)),(VLOOKUP('20.03'!T20,'20.03'!$AO$4:$AQ$55,2,FALSE))*IF('20.03'!$AK20="是",'20.03'!$BB$4,'20.03'!$BB$3))</f>
        <v>0</v>
      </c>
      <c r="M20" s="4">
        <f>IF(ISNUMBER(SEARCH("营",'20.03'!U20)),(-$Y20+50*IF('20.03'!$AK20="是",'20.03'!$BB$4,'20.03'!$BB$3)),(VLOOKUP('20.03'!U20,'20.03'!$AO$4:$AQ$55,2,FALSE))*IF('20.03'!$AK20="是",'20.03'!$BB$4,'20.03'!$BB$3))</f>
        <v>0</v>
      </c>
      <c r="N20" s="4">
        <f>IF(ISNUMBER(SEARCH("营",'20.03'!V20)),(-$Y20+50*IF('20.03'!$AK20="是",'20.03'!$BB$4,'20.03'!$BB$3)),(VLOOKUP('20.03'!V20,'20.03'!$AO$4:$AQ$55,2,FALSE))*IF('20.03'!$AK20="是",'20.03'!$BB$4,'20.03'!$BB$3))</f>
        <v>0</v>
      </c>
      <c r="O20" s="4">
        <f>IF(ISNUMBER(SEARCH("营",'20.03'!W20)),(-$Y20+50*IF('20.03'!$AK20="是",'20.03'!$BB$4,'20.03'!$BB$3)),(VLOOKUP('20.03'!W20,'20.03'!$AO$4:$AQ$55,2,FALSE))*IF('20.03'!$AK20="是",'20.03'!$BB$4,'20.03'!$BB$3))</f>
        <v>0</v>
      </c>
      <c r="P20" s="4">
        <f>IF(ISNUMBER(SEARCH("营",'20.03'!X20)),(-$Y20+50*IF('20.03'!$AK20="是",'20.03'!$BB$4,'20.03'!$BB$3)),(VLOOKUP('20.03'!X20,'20.03'!$AO$4:$AQ$55,2,FALSE))*IF('20.03'!$AK20="是",'20.03'!$BB$4,'20.03'!$BB$3))</f>
        <v>0</v>
      </c>
      <c r="Q20" s="4">
        <f>IF(ISNUMBER(SEARCH("营",'20.03'!Y20)),(-$Y20+50*IF('20.03'!$AK20="是",'20.03'!$BB$4,'20.03'!$BB$3)),(VLOOKUP('20.03'!Y20,'20.03'!$AO$4:$AQ$55,2,FALSE))*IF('20.03'!$AK20="是",'20.03'!$BB$4,'20.03'!$BB$3))</f>
        <v>136</v>
      </c>
      <c r="R20" s="4">
        <f>IF(ISNUMBER(SEARCH("营",'20.03'!Z20)),(-$Y20+50*IF('20.03'!$AK20="是",'20.03'!$BB$4,'20.03'!$BB$3)),(VLOOKUP('20.03'!Z20,'20.03'!$AO$4:$AQ$55,2,FALSE))*IF('20.03'!$AK20="是",'20.03'!$BB$4,'20.03'!$BB$3))</f>
        <v>136</v>
      </c>
      <c r="S20" s="4">
        <f>IF(ISNUMBER(SEARCH("营",'20.03'!AA20)),(-$Y20+50*IF('20.03'!$AK20="是",'20.03'!$BB$4,'20.03'!$BB$3)),(VLOOKUP('20.03'!AA20,'20.03'!$AO$4:$AQ$55,2,FALSE))*IF('20.03'!$AK20="是",'20.03'!$BB$4,'20.03'!$BB$3))</f>
        <v>136</v>
      </c>
      <c r="T20" s="4">
        <f>IF(ISNUMBER(SEARCH("营",'20.03'!AB20)),(-$Y20+50*IF('20.03'!$AK20="是",'20.03'!$BB$4,'20.03'!$BB$3)),(VLOOKUP('20.03'!AB20,'20.03'!$AO$4:$AQ$55,2,FALSE))*IF('20.03'!$AK20="是",'20.03'!$BB$4,'20.03'!$BB$3))</f>
        <v>136</v>
      </c>
      <c r="U20" s="4">
        <f>IF(ISNUMBER(SEARCH("营",'20.03'!AC20)),(-$Y20+50*IF('20.03'!$AK20="是",'20.03'!$BB$4,'20.03'!$BB$3)),(VLOOKUP('20.03'!AC20,'20.03'!$AO$4:$AQ$55,2,FALSE))*IF('20.03'!$AK20="是",'20.03'!$BB$4,'20.03'!$BB$3))</f>
        <v>-210</v>
      </c>
      <c r="V20" s="4">
        <f>IF(ISNUMBER(SEARCH("营",'20.03'!AD20)),(-$Y20+50*IF('20.03'!$AK20="是",'20.03'!$BB$4,'20.03'!$BB$3)),(VLOOKUP('20.03'!AD20,'20.03'!$AO$4:$AQ$55,2,FALSE))*IF('20.03'!$AK20="是",'20.03'!$BB$4,'20.03'!$BB$3))</f>
        <v>144</v>
      </c>
      <c r="W20" s="4">
        <f>IF(ISNUMBER(SEARCH("营",'20.03'!AE20)),(-$Y20+50*IF('20.03'!$AK20="是",'20.03'!$BB$4,'20.03'!$BB$3)),(VLOOKUP('20.03'!AE20,'20.03'!$AO$4:$AQ$55,2,FALSE))*IF('20.03'!$AK20="是",'20.03'!$BB$4,'20.03'!$BB$3))</f>
        <v>144</v>
      </c>
      <c r="X20" s="4">
        <f>IF(ISNUMBER(SEARCH("营",'20.03'!AF20)),(-$Y20+50*IF('20.03'!$AK20="是",'20.03'!$BB$4,'20.03'!$BB$3)),(VLOOKUP('20.03'!AF20,'20.03'!$AO$4:$AQ$55,2,FALSE))*IF('20.03'!$AK20="是",'20.03'!$BB$4,'20.03'!$BB$3))</f>
        <v>144</v>
      </c>
      <c r="Y20" s="64">
        <v>250</v>
      </c>
      <c r="Z20" s="87">
        <v>45837</v>
      </c>
    </row>
    <row r="21" spans="1:26">
      <c r="A21" s="4">
        <f>IF(ISNUMBER(SEARCH("营",'20.03'!I21)),(-$Y21+50*IF('20.03'!$AK21="是",'20.03'!$BB$4,'20.03'!$BB$3)),(VLOOKUP('20.03'!I21,'20.03'!$AO$4:$AQ$55,2,FALSE))*IF('20.03'!$AK21="是",'20.03'!$BB$4,'20.03'!$BB$3))</f>
        <v>152</v>
      </c>
      <c r="B21" s="4">
        <f>IF(ISNUMBER(SEARCH("营",'20.03'!J21)),(-$Y21+50*IF('20.03'!$AK21="是",'20.03'!$BB$4,'20.03'!$BB$3)),(VLOOKUP('20.03'!J21,'20.03'!$AO$4:$AQ$55,2,FALSE))*IF('20.03'!$AK21="是",'20.03'!$BB$4,'20.03'!$BB$3))</f>
        <v>-210</v>
      </c>
      <c r="C21" s="4">
        <f>IF(ISNUMBER(SEARCH("营",'20.03'!K21)),(-$Y21+50*IF('20.03'!$AK21="是",'20.03'!$BB$4,'20.03'!$BB$3)),(VLOOKUP('20.03'!K21,'20.03'!$AO$4:$AQ$55,2,FALSE))*IF('20.03'!$AK21="是",'20.03'!$BB$4,'20.03'!$BB$3))</f>
        <v>152</v>
      </c>
      <c r="D21" s="4">
        <f>IF(ISNUMBER(SEARCH("营",'20.03'!L21)),(-$Y21+50*IF('20.03'!$AK21="是",'20.03'!$BB$4,'20.03'!$BB$3)),(VLOOKUP('20.03'!L21,'20.03'!$AO$4:$AQ$55,2,FALSE))*IF('20.03'!$AK21="是",'20.03'!$BB$4,'20.03'!$BB$3))</f>
        <v>152</v>
      </c>
      <c r="E21" s="4">
        <f>IF(ISNUMBER(SEARCH("营",'20.03'!M21)),(-$Y21+50*IF('20.03'!$AK21="是",'20.03'!$BB$4,'20.03'!$BB$3)),(VLOOKUP('20.03'!M21,'20.03'!$AO$4:$AQ$55,2,FALSE))*IF('20.03'!$AK21="是",'20.03'!$BB$4,'20.03'!$BB$3))</f>
        <v>152</v>
      </c>
      <c r="F21" s="4">
        <f>IF(ISNUMBER(SEARCH("营",'20.03'!N21)),(-$Y21+50*IF('20.03'!$AK21="是",'20.03'!$BB$4,'20.03'!$BB$3)),(VLOOKUP('20.03'!N21,'20.03'!$AO$4:$AQ$55,2,FALSE))*IF('20.03'!$AK21="是",'20.03'!$BB$4,'20.03'!$BB$3))</f>
        <v>152</v>
      </c>
      <c r="G21" s="4">
        <f>IF(ISNUMBER(SEARCH("营",'20.03'!O21)),(-$Y21+50*IF('20.03'!$AK21="是",'20.03'!$BB$4,'20.03'!$BB$3)),(VLOOKUP('20.03'!O21,'20.03'!$AO$4:$AQ$55,2,FALSE))*IF('20.03'!$AK21="是",'20.03'!$BB$4,'20.03'!$BB$3))</f>
        <v>0</v>
      </c>
      <c r="H21" s="4">
        <f>IF(ISNUMBER(SEARCH("营",'20.03'!P21)),(-$Y21+50*IF('20.03'!$AK21="是",'20.03'!$BB$4,'20.03'!$BB$3)),(VLOOKUP('20.03'!P21,'20.03'!$AO$4:$AQ$55,2,FALSE))*IF('20.03'!$AK21="是",'20.03'!$BB$4,'20.03'!$BB$3))</f>
        <v>0</v>
      </c>
      <c r="I21" s="4">
        <f>IF(ISNUMBER(SEARCH("营",'20.03'!Q21)),(-$Y21+50*IF('20.03'!$AK21="是",'20.03'!$BB$4,'20.03'!$BB$3)),(VLOOKUP('20.03'!Q21,'20.03'!$AO$4:$AQ$55,2,FALSE))*IF('20.03'!$AK21="是",'20.03'!$BB$4,'20.03'!$BB$3))</f>
        <v>0</v>
      </c>
      <c r="J21" s="4">
        <f>IF(ISNUMBER(SEARCH("营",'20.03'!R21)),(-$Y21+50*IF('20.03'!$AK21="是",'20.03'!$BB$4,'20.03'!$BB$3)),(VLOOKUP('20.03'!R21,'20.03'!$AO$4:$AQ$55,2,FALSE))*IF('20.03'!$AK21="是",'20.03'!$BB$4,'20.03'!$BB$3))</f>
        <v>0</v>
      </c>
      <c r="K21" s="4">
        <f>IF(ISNUMBER(SEARCH("营",'20.03'!S21)),(-$Y21+50*IF('20.03'!$AK21="是",'20.03'!$BB$4,'20.03'!$BB$3)),(VLOOKUP('20.03'!S21,'20.03'!$AO$4:$AQ$55,2,FALSE))*IF('20.03'!$AK21="是",'20.03'!$BB$4,'20.03'!$BB$3))</f>
        <v>0</v>
      </c>
      <c r="L21" s="4">
        <f>IF(ISNUMBER(SEARCH("营",'20.03'!T21)),(-$Y21+50*IF('20.03'!$AK21="是",'20.03'!$BB$4,'20.03'!$BB$3)),(VLOOKUP('20.03'!T21,'20.03'!$AO$4:$AQ$55,2,FALSE))*IF('20.03'!$AK21="是",'20.03'!$BB$4,'20.03'!$BB$3))</f>
        <v>0</v>
      </c>
      <c r="M21" s="4">
        <f>IF(ISNUMBER(SEARCH("营",'20.03'!U21)),(-$Y21+50*IF('20.03'!$AK21="是",'20.03'!$BB$4,'20.03'!$BB$3)),(VLOOKUP('20.03'!U21,'20.03'!$AO$4:$AQ$55,2,FALSE))*IF('20.03'!$AK21="是",'20.03'!$BB$4,'20.03'!$BB$3))</f>
        <v>0</v>
      </c>
      <c r="N21" s="4">
        <f>IF(ISNUMBER(SEARCH("营",'20.03'!V21)),(-$Y21+50*IF('20.03'!$AK21="是",'20.03'!$BB$4,'20.03'!$BB$3)),(VLOOKUP('20.03'!V21,'20.03'!$AO$4:$AQ$55,2,FALSE))*IF('20.03'!$AK21="是",'20.03'!$BB$4,'20.03'!$BB$3))</f>
        <v>0</v>
      </c>
      <c r="O21" s="4">
        <f>IF(ISNUMBER(SEARCH("营",'20.03'!W21)),(-$Y21+50*IF('20.03'!$AK21="是",'20.03'!$BB$4,'20.03'!$BB$3)),(VLOOKUP('20.03'!W21,'20.03'!$AO$4:$AQ$55,2,FALSE))*IF('20.03'!$AK21="是",'20.03'!$BB$4,'20.03'!$BB$3))</f>
        <v>0</v>
      </c>
      <c r="P21" s="4">
        <f>IF(ISNUMBER(SEARCH("营",'20.03'!X21)),(-$Y21+50*IF('20.03'!$AK21="是",'20.03'!$BB$4,'20.03'!$BB$3)),(VLOOKUP('20.03'!X21,'20.03'!$AO$4:$AQ$55,2,FALSE))*IF('20.03'!$AK21="是",'20.03'!$BB$4,'20.03'!$BB$3))</f>
        <v>0</v>
      </c>
      <c r="Q21" s="4">
        <f>IF(ISNUMBER(SEARCH("营",'20.03'!Y21)),(-$Y21+50*IF('20.03'!$AK21="是",'20.03'!$BB$4,'20.03'!$BB$3)),(VLOOKUP('20.03'!Y21,'20.03'!$AO$4:$AQ$55,2,FALSE))*IF('20.03'!$AK21="是",'20.03'!$BB$4,'20.03'!$BB$3))</f>
        <v>144</v>
      </c>
      <c r="R21" s="4">
        <f>IF(ISNUMBER(SEARCH("营",'20.03'!Z21)),(-$Y21+50*IF('20.03'!$AK21="是",'20.03'!$BB$4,'20.03'!$BB$3)),(VLOOKUP('20.03'!Z21,'20.03'!$AO$4:$AQ$55,2,FALSE))*IF('20.03'!$AK21="是",'20.03'!$BB$4,'20.03'!$BB$3))</f>
        <v>144</v>
      </c>
      <c r="S21" s="4">
        <f>IF(ISNUMBER(SEARCH("营",'20.03'!AA21)),(-$Y21+50*IF('20.03'!$AK21="是",'20.03'!$BB$4,'20.03'!$BB$3)),(VLOOKUP('20.03'!AA21,'20.03'!$AO$4:$AQ$55,2,FALSE))*IF('20.03'!$AK21="是",'20.03'!$BB$4,'20.03'!$BB$3))</f>
        <v>144</v>
      </c>
      <c r="T21" s="4">
        <f>IF(ISNUMBER(SEARCH("营",'20.03'!AB21)),(-$Y21+50*IF('20.03'!$AK21="是",'20.03'!$BB$4,'20.03'!$BB$3)),(VLOOKUP('20.03'!AB21,'20.03'!$AO$4:$AQ$55,2,FALSE))*IF('20.03'!$AK21="是",'20.03'!$BB$4,'20.03'!$BB$3))</f>
        <v>144</v>
      </c>
      <c r="U21" s="4">
        <f>IF(ISNUMBER(SEARCH("营",'20.03'!AC21)),(-$Y21+50*IF('20.03'!$AK21="是",'20.03'!$BB$4,'20.03'!$BB$3)),(VLOOKUP('20.03'!AC21,'20.03'!$AO$4:$AQ$55,2,FALSE))*IF('20.03'!$AK21="是",'20.03'!$BB$4,'20.03'!$BB$3))</f>
        <v>144</v>
      </c>
      <c r="V21" s="4">
        <f>IF(ISNUMBER(SEARCH("营",'20.03'!AD21)),(-$Y21+50*IF('20.03'!$AK21="是",'20.03'!$BB$4,'20.03'!$BB$3)),(VLOOKUP('20.03'!AD21,'20.03'!$AO$4:$AQ$55,2,FALSE))*IF('20.03'!$AK21="是",'20.03'!$BB$4,'20.03'!$BB$3))</f>
        <v>120</v>
      </c>
      <c r="W21" s="4">
        <f>IF(ISNUMBER(SEARCH("营",'20.03'!AE21)),(-$Y21+50*IF('20.03'!$AK21="是",'20.03'!$BB$4,'20.03'!$BB$3)),(VLOOKUP('20.03'!AE21,'20.03'!$AO$4:$AQ$55,2,FALSE))*IF('20.03'!$AK21="是",'20.03'!$BB$4,'20.03'!$BB$3))</f>
        <v>0</v>
      </c>
      <c r="X21" s="4">
        <f>IF(ISNUMBER(SEARCH("营",'20.03'!AF21)),(-$Y21+50*IF('20.03'!$AK21="是",'20.03'!$BB$4,'20.03'!$BB$3)),(VLOOKUP('20.03'!AF21,'20.03'!$AO$4:$AQ$55,2,FALSE))*IF('20.03'!$AK21="是",'20.03'!$BB$4,'20.03'!$BB$3))</f>
        <v>0</v>
      </c>
      <c r="Y21" s="64">
        <v>250</v>
      </c>
      <c r="Z21" s="87">
        <v>45838</v>
      </c>
    </row>
    <row r="22" spans="1:26">
      <c r="A22" s="4">
        <f>IF(ISNUMBER(SEARCH("营",'20.03'!I22)),(-$Y22+50*IF('20.03'!$AK22="是",'20.03'!$BB$4,'20.03'!$BB$3)),(VLOOKUP('20.03'!I22,'20.03'!$AO$4:$AQ$55,2,FALSE))*IF('20.03'!$AK22="是",'20.03'!$BB$4,'20.03'!$BB$3))</f>
        <v>152</v>
      </c>
      <c r="B22" s="4">
        <f>IF(ISNUMBER(SEARCH("营",'20.03'!J22)),(-$Y22+50*IF('20.03'!$AK22="是",'20.03'!$BB$4,'20.03'!$BB$3)),(VLOOKUP('20.03'!J22,'20.03'!$AO$4:$AQ$55,2,FALSE))*IF('20.03'!$AK22="是",'20.03'!$BB$4,'20.03'!$BB$3))</f>
        <v>152</v>
      </c>
      <c r="C22" s="4">
        <f>IF(ISNUMBER(SEARCH("营",'20.03'!K22)),(-$Y22+50*IF('20.03'!$AK22="是",'20.03'!$BB$4,'20.03'!$BB$3)),(VLOOKUP('20.03'!K22,'20.03'!$AO$4:$AQ$55,2,FALSE))*IF('20.03'!$AK22="是",'20.03'!$BB$4,'20.03'!$BB$3))</f>
        <v>152</v>
      </c>
      <c r="D22" s="4">
        <f>IF(ISNUMBER(SEARCH("营",'20.03'!L22)),(-$Y22+50*IF('20.03'!$AK22="是",'20.03'!$BB$4,'20.03'!$BB$3)),(VLOOKUP('20.03'!L22,'20.03'!$AO$4:$AQ$55,2,FALSE))*IF('20.03'!$AK22="是",'20.03'!$BB$4,'20.03'!$BB$3))</f>
        <v>152</v>
      </c>
      <c r="E22" s="4">
        <f>IF(ISNUMBER(SEARCH("营",'20.03'!M22)),(-$Y22+50*IF('20.03'!$AK22="是",'20.03'!$BB$4,'20.03'!$BB$3)),(VLOOKUP('20.03'!M22,'20.03'!$AO$4:$AQ$55,2,FALSE))*IF('20.03'!$AK22="是",'20.03'!$BB$4,'20.03'!$BB$3))</f>
        <v>152</v>
      </c>
      <c r="F22" s="4">
        <f>IF(ISNUMBER(SEARCH("营",'20.03'!N22)),(-$Y22+50*IF('20.03'!$AK22="是",'20.03'!$BB$4,'20.03'!$BB$3)),(VLOOKUP('20.03'!N22,'20.03'!$AO$4:$AQ$55,2,FALSE))*IF('20.03'!$AK22="是",'20.03'!$BB$4,'20.03'!$BB$3))</f>
        <v>152</v>
      </c>
      <c r="G22" s="4">
        <f>IF(ISNUMBER(SEARCH("营",'20.03'!O22)),(-$Y22+50*IF('20.03'!$AK22="是",'20.03'!$BB$4,'20.03'!$BB$3)),(VLOOKUP('20.03'!O22,'20.03'!$AO$4:$AQ$55,2,FALSE))*IF('20.03'!$AK22="是",'20.03'!$BB$4,'20.03'!$BB$3))</f>
        <v>0</v>
      </c>
      <c r="H22" s="4">
        <f>IF(ISNUMBER(SEARCH("营",'20.03'!P22)),(-$Y22+50*IF('20.03'!$AK22="是",'20.03'!$BB$4,'20.03'!$BB$3)),(VLOOKUP('20.03'!P22,'20.03'!$AO$4:$AQ$55,2,FALSE))*IF('20.03'!$AK22="是",'20.03'!$BB$4,'20.03'!$BB$3))</f>
        <v>0</v>
      </c>
      <c r="I22" s="4">
        <f>IF(ISNUMBER(SEARCH("营",'20.03'!Q22)),(-$Y22+50*IF('20.03'!$AK22="是",'20.03'!$BB$4,'20.03'!$BB$3)),(VLOOKUP('20.03'!Q22,'20.03'!$AO$4:$AQ$55,2,FALSE))*IF('20.03'!$AK22="是",'20.03'!$BB$4,'20.03'!$BB$3))</f>
        <v>0</v>
      </c>
      <c r="J22" s="4">
        <f>IF(ISNUMBER(SEARCH("营",'20.03'!R22)),(-$Y22+50*IF('20.03'!$AK22="是",'20.03'!$BB$4,'20.03'!$BB$3)),(VLOOKUP('20.03'!R22,'20.03'!$AO$4:$AQ$55,2,FALSE))*IF('20.03'!$AK22="是",'20.03'!$BB$4,'20.03'!$BB$3))</f>
        <v>0</v>
      </c>
      <c r="K22" s="4">
        <f>IF(ISNUMBER(SEARCH("营",'20.03'!S22)),(-$Y22+50*IF('20.03'!$AK22="是",'20.03'!$BB$4,'20.03'!$BB$3)),(VLOOKUP('20.03'!S22,'20.03'!$AO$4:$AQ$55,2,FALSE))*IF('20.03'!$AK22="是",'20.03'!$BB$4,'20.03'!$BB$3))</f>
        <v>0</v>
      </c>
      <c r="L22" s="4">
        <f>IF(ISNUMBER(SEARCH("营",'20.03'!T22)),(-$Y22+50*IF('20.03'!$AK22="是",'20.03'!$BB$4,'20.03'!$BB$3)),(VLOOKUP('20.03'!T22,'20.03'!$AO$4:$AQ$55,2,FALSE))*IF('20.03'!$AK22="是",'20.03'!$BB$4,'20.03'!$BB$3))</f>
        <v>0</v>
      </c>
      <c r="M22" s="4">
        <f>IF(ISNUMBER(SEARCH("营",'20.03'!U22)),(-$Y22+50*IF('20.03'!$AK22="是",'20.03'!$BB$4,'20.03'!$BB$3)),(VLOOKUP('20.03'!U22,'20.03'!$AO$4:$AQ$55,2,FALSE))*IF('20.03'!$AK22="是",'20.03'!$BB$4,'20.03'!$BB$3))</f>
        <v>0</v>
      </c>
      <c r="N22" s="4">
        <f>IF(ISNUMBER(SEARCH("营",'20.03'!V22)),(-$Y22+50*IF('20.03'!$AK22="是",'20.03'!$BB$4,'20.03'!$BB$3)),(VLOOKUP('20.03'!V22,'20.03'!$AO$4:$AQ$55,2,FALSE))*IF('20.03'!$AK22="是",'20.03'!$BB$4,'20.03'!$BB$3))</f>
        <v>0</v>
      </c>
      <c r="O22" s="4">
        <f>IF(ISNUMBER(SEARCH("营",'20.03'!W22)),(-$Y22+50*IF('20.03'!$AK22="是",'20.03'!$BB$4,'20.03'!$BB$3)),(VLOOKUP('20.03'!W22,'20.03'!$AO$4:$AQ$55,2,FALSE))*IF('20.03'!$AK22="是",'20.03'!$BB$4,'20.03'!$BB$3))</f>
        <v>0</v>
      </c>
      <c r="P22" s="4">
        <f>IF(ISNUMBER(SEARCH("营",'20.03'!X22)),(-$Y22+50*IF('20.03'!$AK22="是",'20.03'!$BB$4,'20.03'!$BB$3)),(VLOOKUP('20.03'!X22,'20.03'!$AO$4:$AQ$55,2,FALSE))*IF('20.03'!$AK22="是",'20.03'!$BB$4,'20.03'!$BB$3))</f>
        <v>0</v>
      </c>
      <c r="Q22" s="4">
        <f>IF(ISNUMBER(SEARCH("营",'20.03'!Y22)),(-$Y22+50*IF('20.03'!$AK22="是",'20.03'!$BB$4,'20.03'!$BB$3)),(VLOOKUP('20.03'!Y22,'20.03'!$AO$4:$AQ$55,2,FALSE))*IF('20.03'!$AK22="是",'20.03'!$BB$4,'20.03'!$BB$3))</f>
        <v>144</v>
      </c>
      <c r="R22" s="4">
        <f>IF(ISNUMBER(SEARCH("营",'20.03'!Z22)),(-$Y22+50*IF('20.03'!$AK22="是",'20.03'!$BB$4,'20.03'!$BB$3)),(VLOOKUP('20.03'!Z22,'20.03'!$AO$4:$AQ$55,2,FALSE))*IF('20.03'!$AK22="是",'20.03'!$BB$4,'20.03'!$BB$3))</f>
        <v>144</v>
      </c>
      <c r="S22" s="4">
        <f>IF(ISNUMBER(SEARCH("营",'20.03'!AA22)),(-$Y22+50*IF('20.03'!$AK22="是",'20.03'!$BB$4,'20.03'!$BB$3)),(VLOOKUP('20.03'!AA22,'20.03'!$AO$4:$AQ$55,2,FALSE))*IF('20.03'!$AK22="是",'20.03'!$BB$4,'20.03'!$BB$3))</f>
        <v>144</v>
      </c>
      <c r="T22" s="4">
        <f>IF(ISNUMBER(SEARCH("营",'20.03'!AB22)),(-$Y22+50*IF('20.03'!$AK22="是",'20.03'!$BB$4,'20.03'!$BB$3)),(VLOOKUP('20.03'!AB22,'20.03'!$AO$4:$AQ$55,2,FALSE))*IF('20.03'!$AK22="是",'20.03'!$BB$4,'20.03'!$BB$3))</f>
        <v>-210</v>
      </c>
      <c r="U22" s="4">
        <f>IF(ISNUMBER(SEARCH("营",'20.03'!AC22)),(-$Y22+50*IF('20.03'!$AK22="是",'20.03'!$BB$4,'20.03'!$BB$3)),(VLOOKUP('20.03'!AC22,'20.03'!$AO$4:$AQ$55,2,FALSE))*IF('20.03'!$AK22="是",'20.03'!$BB$4,'20.03'!$BB$3))</f>
        <v>144</v>
      </c>
      <c r="V22" s="4">
        <f>IF(ISNUMBER(SEARCH("营",'20.03'!AD22)),(-$Y22+50*IF('20.03'!$AK22="是",'20.03'!$BB$4,'20.03'!$BB$3)),(VLOOKUP('20.03'!AD22,'20.03'!$AO$4:$AQ$55,2,FALSE))*IF('20.03'!$AK22="是",'20.03'!$BB$4,'20.03'!$BB$3))</f>
        <v>144</v>
      </c>
      <c r="W22" s="4">
        <f>IF(ISNUMBER(SEARCH("营",'20.03'!AE22)),(-$Y22+50*IF('20.03'!$AK22="是",'20.03'!$BB$4,'20.03'!$BB$3)),(VLOOKUP('20.03'!AE22,'20.03'!$AO$4:$AQ$55,2,FALSE))*IF('20.03'!$AK22="是",'20.03'!$BB$4,'20.03'!$BB$3))</f>
        <v>0</v>
      </c>
      <c r="X22" s="4">
        <f>IF(ISNUMBER(SEARCH("营",'20.03'!AF22)),(-$Y22+50*IF('20.03'!$AK22="是",'20.03'!$BB$4,'20.03'!$BB$3)),(VLOOKUP('20.03'!AF22,'20.03'!$AO$4:$AQ$55,2,FALSE))*IF('20.03'!$AK22="是",'20.03'!$BB$4,'20.03'!$BB$3))</f>
        <v>0</v>
      </c>
      <c r="Y22" s="64">
        <v>250</v>
      </c>
      <c r="Z22" s="87">
        <v>45839</v>
      </c>
    </row>
    <row r="23" spans="1:26">
      <c r="A23" s="4">
        <f>IF(ISNUMBER(SEARCH("营",'20.03'!I23)),(-$Y23+50*IF('20.03'!$AK23="是",'20.03'!$BB$4,'20.03'!$BB$3)),(VLOOKUP('20.03'!I23,'20.03'!$AO$4:$AQ$55,2,FALSE))*IF('20.03'!$AK23="是",'20.03'!$BB$4,'20.03'!$BB$3))</f>
        <v>152</v>
      </c>
      <c r="B23" s="4">
        <f>IF(ISNUMBER(SEARCH("营",'20.03'!J23)),(-$Y23+50*IF('20.03'!$AK23="是",'20.03'!$BB$4,'20.03'!$BB$3)),(VLOOKUP('20.03'!J23,'20.03'!$AO$4:$AQ$55,2,FALSE))*IF('20.03'!$AK23="是",'20.03'!$BB$4,'20.03'!$BB$3))</f>
        <v>152</v>
      </c>
      <c r="C23" s="4">
        <f>IF(ISNUMBER(SEARCH("营",'20.03'!K23)),(-$Y23+50*IF('20.03'!$AK23="是",'20.03'!$BB$4,'20.03'!$BB$3)),(VLOOKUP('20.03'!K23,'20.03'!$AO$4:$AQ$55,2,FALSE))*IF('20.03'!$AK23="是",'20.03'!$BB$4,'20.03'!$BB$3))</f>
        <v>152</v>
      </c>
      <c r="D23" s="4">
        <f>IF(ISNUMBER(SEARCH("营",'20.03'!L23)),(-$Y23+50*IF('20.03'!$AK23="是",'20.03'!$BB$4,'20.03'!$BB$3)),(VLOOKUP('20.03'!L23,'20.03'!$AO$4:$AQ$55,2,FALSE))*IF('20.03'!$AK23="是",'20.03'!$BB$4,'20.03'!$BB$3))</f>
        <v>152</v>
      </c>
      <c r="E23" s="4">
        <f>IF(ISNUMBER(SEARCH("营",'20.03'!M23)),(-$Y23+50*IF('20.03'!$AK23="是",'20.03'!$BB$4,'20.03'!$BB$3)),(VLOOKUP('20.03'!M23,'20.03'!$AO$4:$AQ$55,2,FALSE))*IF('20.03'!$AK23="是",'20.03'!$BB$4,'20.03'!$BB$3))</f>
        <v>200</v>
      </c>
      <c r="F23" s="4">
        <f>IF(ISNUMBER(SEARCH("营",'20.03'!N23)),(-$Y23+50*IF('20.03'!$AK23="是",'20.03'!$BB$4,'20.03'!$BB$3)),(VLOOKUP('20.03'!N23,'20.03'!$AO$4:$AQ$55,2,FALSE))*IF('20.03'!$AK23="是",'20.03'!$BB$4,'20.03'!$BB$3))</f>
        <v>160</v>
      </c>
      <c r="G23" s="4">
        <f>IF(ISNUMBER(SEARCH("营",'20.03'!O23)),(-$Y23+50*IF('20.03'!$AK23="是",'20.03'!$BB$4,'20.03'!$BB$3)),(VLOOKUP('20.03'!O23,'20.03'!$AO$4:$AQ$55,2,FALSE))*IF('20.03'!$AK23="是",'20.03'!$BB$4,'20.03'!$BB$3))</f>
        <v>0</v>
      </c>
      <c r="H23" s="4">
        <f>IF(ISNUMBER(SEARCH("营",'20.03'!P23)),(-$Y23+50*IF('20.03'!$AK23="是",'20.03'!$BB$4,'20.03'!$BB$3)),(VLOOKUP('20.03'!P23,'20.03'!$AO$4:$AQ$55,2,FALSE))*IF('20.03'!$AK23="是",'20.03'!$BB$4,'20.03'!$BB$3))</f>
        <v>0</v>
      </c>
      <c r="I23" s="4">
        <f>IF(ISNUMBER(SEARCH("营",'20.03'!Q23)),(-$Y23+50*IF('20.03'!$AK23="是",'20.03'!$BB$4,'20.03'!$BB$3)),(VLOOKUP('20.03'!Q23,'20.03'!$AO$4:$AQ$55,2,FALSE))*IF('20.03'!$AK23="是",'20.03'!$BB$4,'20.03'!$BB$3))</f>
        <v>0</v>
      </c>
      <c r="J23" s="4">
        <f>IF(ISNUMBER(SEARCH("营",'20.03'!R23)),(-$Y23+50*IF('20.03'!$AK23="是",'20.03'!$BB$4,'20.03'!$BB$3)),(VLOOKUP('20.03'!R23,'20.03'!$AO$4:$AQ$55,2,FALSE))*IF('20.03'!$AK23="是",'20.03'!$BB$4,'20.03'!$BB$3))</f>
        <v>0</v>
      </c>
      <c r="K23" s="4">
        <f>IF(ISNUMBER(SEARCH("营",'20.03'!S23)),(-$Y23+50*IF('20.03'!$AK23="是",'20.03'!$BB$4,'20.03'!$BB$3)),(VLOOKUP('20.03'!S23,'20.03'!$AO$4:$AQ$55,2,FALSE))*IF('20.03'!$AK23="是",'20.03'!$BB$4,'20.03'!$BB$3))</f>
        <v>0</v>
      </c>
      <c r="L23" s="4">
        <f>IF(ISNUMBER(SEARCH("营",'20.03'!T23)),(-$Y23+50*IF('20.03'!$AK23="是",'20.03'!$BB$4,'20.03'!$BB$3)),(VLOOKUP('20.03'!T23,'20.03'!$AO$4:$AQ$55,2,FALSE))*IF('20.03'!$AK23="是",'20.03'!$BB$4,'20.03'!$BB$3))</f>
        <v>0</v>
      </c>
      <c r="M23" s="4">
        <f>IF(ISNUMBER(SEARCH("营",'20.03'!U23)),(-$Y23+50*IF('20.03'!$AK23="是",'20.03'!$BB$4,'20.03'!$BB$3)),(VLOOKUP('20.03'!U23,'20.03'!$AO$4:$AQ$55,2,FALSE))*IF('20.03'!$AK23="是",'20.03'!$BB$4,'20.03'!$BB$3))</f>
        <v>0</v>
      </c>
      <c r="N23" s="4">
        <f>IF(ISNUMBER(SEARCH("营",'20.03'!V23)),(-$Y23+50*IF('20.03'!$AK23="是",'20.03'!$BB$4,'20.03'!$BB$3)),(VLOOKUP('20.03'!V23,'20.03'!$AO$4:$AQ$55,2,FALSE))*IF('20.03'!$AK23="是",'20.03'!$BB$4,'20.03'!$BB$3))</f>
        <v>0</v>
      </c>
      <c r="O23" s="4">
        <f>IF(ISNUMBER(SEARCH("营",'20.03'!W23)),(-$Y23+50*IF('20.03'!$AK23="是",'20.03'!$BB$4,'20.03'!$BB$3)),(VLOOKUP('20.03'!W23,'20.03'!$AO$4:$AQ$55,2,FALSE))*IF('20.03'!$AK23="是",'20.03'!$BB$4,'20.03'!$BB$3))</f>
        <v>0</v>
      </c>
      <c r="P23" s="4">
        <f>IF(ISNUMBER(SEARCH("营",'20.03'!X23)),(-$Y23+50*IF('20.03'!$AK23="是",'20.03'!$BB$4,'20.03'!$BB$3)),(VLOOKUP('20.03'!X23,'20.03'!$AO$4:$AQ$55,2,FALSE))*IF('20.03'!$AK23="是",'20.03'!$BB$4,'20.03'!$BB$3))</f>
        <v>0</v>
      </c>
      <c r="Q23" s="4">
        <f>IF(ISNUMBER(SEARCH("营",'20.03'!Y23)),(-$Y23+50*IF('20.03'!$AK23="是",'20.03'!$BB$4,'20.03'!$BB$3)),(VLOOKUP('20.03'!Y23,'20.03'!$AO$4:$AQ$55,2,FALSE))*IF('20.03'!$AK23="是",'20.03'!$BB$4,'20.03'!$BB$3))</f>
        <v>144</v>
      </c>
      <c r="R23" s="4">
        <f>IF(ISNUMBER(SEARCH("营",'20.03'!Z23)),(-$Y23+50*IF('20.03'!$AK23="是",'20.03'!$BB$4,'20.03'!$BB$3)),(VLOOKUP('20.03'!Z23,'20.03'!$AO$4:$AQ$55,2,FALSE))*IF('20.03'!$AK23="是",'20.03'!$BB$4,'20.03'!$BB$3))</f>
        <v>144</v>
      </c>
      <c r="S23" s="4">
        <f>IF(ISNUMBER(SEARCH("营",'20.03'!AA23)),(-$Y23+50*IF('20.03'!$AK23="是",'20.03'!$BB$4,'20.03'!$BB$3)),(VLOOKUP('20.03'!AA23,'20.03'!$AO$4:$AQ$55,2,FALSE))*IF('20.03'!$AK23="是",'20.03'!$BB$4,'20.03'!$BB$3))</f>
        <v>144</v>
      </c>
      <c r="T23" s="4">
        <f>IF(ISNUMBER(SEARCH("营",'20.03'!AB23)),(-$Y23+50*IF('20.03'!$AK23="是",'20.03'!$BB$4,'20.03'!$BB$3)),(VLOOKUP('20.03'!AB23,'20.03'!$AO$4:$AQ$55,2,FALSE))*IF('20.03'!$AK23="是",'20.03'!$BB$4,'20.03'!$BB$3))</f>
        <v>144</v>
      </c>
      <c r="U23" s="4">
        <f>IF(ISNUMBER(SEARCH("营",'20.03'!AC23)),(-$Y23+50*IF('20.03'!$AK23="是",'20.03'!$BB$4,'20.03'!$BB$3)),(VLOOKUP('20.03'!AC23,'20.03'!$AO$4:$AQ$55,2,FALSE))*IF('20.03'!$AK23="是",'20.03'!$BB$4,'20.03'!$BB$3))</f>
        <v>160</v>
      </c>
      <c r="V23" s="4">
        <f>IF(ISNUMBER(SEARCH("营",'20.03'!AD23)),(-$Y23+50*IF('20.03'!$AK23="是",'20.03'!$BB$4,'20.03'!$BB$3)),(VLOOKUP('20.03'!AD23,'20.03'!$AO$4:$AQ$55,2,FALSE))*IF('20.03'!$AK23="是",'20.03'!$BB$4,'20.03'!$BB$3))</f>
        <v>160</v>
      </c>
      <c r="W23" s="4">
        <f>IF(ISNUMBER(SEARCH("营",'20.03'!AE23)),(-$Y23+50*IF('20.03'!$AK23="是",'20.03'!$BB$4,'20.03'!$BB$3)),(VLOOKUP('20.03'!AE23,'20.03'!$AO$4:$AQ$55,2,FALSE))*IF('20.03'!$AK23="是",'20.03'!$BB$4,'20.03'!$BB$3))</f>
        <v>0</v>
      </c>
      <c r="X23" s="4">
        <f>IF(ISNUMBER(SEARCH("营",'20.03'!AF23)),(-$Y23+50*IF('20.03'!$AK23="是",'20.03'!$BB$4,'20.03'!$BB$3)),(VLOOKUP('20.03'!AF23,'20.03'!$AO$4:$AQ$55,2,FALSE))*IF('20.03'!$AK23="是",'20.03'!$BB$4,'20.03'!$BB$3))</f>
        <v>0</v>
      </c>
      <c r="Y23" s="64">
        <v>250</v>
      </c>
      <c r="Z23" s="87">
        <v>45840</v>
      </c>
    </row>
    <row r="24" spans="1:26">
      <c r="A24" s="4">
        <f>IF(ISNUMBER(SEARCH("营",'20.03'!I24)),(-$Y24+50*IF('20.03'!$AK24="是",'20.03'!$BB$4,'20.03'!$BB$3)),(VLOOKUP('20.03'!I24,'20.03'!$AO$4:$AQ$55,2,FALSE))*IF('20.03'!$AK24="是",'20.03'!$BB$4,'20.03'!$BB$3))</f>
        <v>160</v>
      </c>
      <c r="B24" s="4">
        <f>IF(ISNUMBER(SEARCH("营",'20.03'!J24)),(-$Y24+50*IF('20.03'!$AK24="是",'20.03'!$BB$4,'20.03'!$BB$3)),(VLOOKUP('20.03'!J24,'20.03'!$AO$4:$AQ$55,2,FALSE))*IF('20.03'!$AK24="是",'20.03'!$BB$4,'20.03'!$BB$3))</f>
        <v>160</v>
      </c>
      <c r="C24" s="4">
        <f>IF(ISNUMBER(SEARCH("营",'20.03'!K24)),(-$Y24+50*IF('20.03'!$AK24="是",'20.03'!$BB$4,'20.03'!$BB$3)),(VLOOKUP('20.03'!K24,'20.03'!$AO$4:$AQ$55,2,FALSE))*IF('20.03'!$AK24="是",'20.03'!$BB$4,'20.03'!$BB$3))</f>
        <v>160</v>
      </c>
      <c r="D24" s="4">
        <f>IF(ISNUMBER(SEARCH("营",'20.03'!L24)),(-$Y24+50*IF('20.03'!$AK24="是",'20.03'!$BB$4,'20.03'!$BB$3)),(VLOOKUP('20.03'!L24,'20.03'!$AO$4:$AQ$55,2,FALSE))*IF('20.03'!$AK24="是",'20.03'!$BB$4,'20.03'!$BB$3))</f>
        <v>160</v>
      </c>
      <c r="E24" s="4">
        <f>IF(ISNUMBER(SEARCH("营",'20.03'!M24)),(-$Y24+50*IF('20.03'!$AK24="是",'20.03'!$BB$4,'20.03'!$BB$3)),(VLOOKUP('20.03'!M24,'20.03'!$AO$4:$AQ$55,2,FALSE))*IF('20.03'!$AK24="是",'20.03'!$BB$4,'20.03'!$BB$3))</f>
        <v>-210</v>
      </c>
      <c r="F24" s="4">
        <f>IF(ISNUMBER(SEARCH("营",'20.03'!N24)),(-$Y24+50*IF('20.03'!$AK24="是",'20.03'!$BB$4,'20.03'!$BB$3)),(VLOOKUP('20.03'!N24,'20.03'!$AO$4:$AQ$55,2,FALSE))*IF('20.03'!$AK24="是",'20.03'!$BB$4,'20.03'!$BB$3))</f>
        <v>0</v>
      </c>
      <c r="G24" s="4">
        <f>IF(ISNUMBER(SEARCH("营",'20.03'!O24)),(-$Y24+50*IF('20.03'!$AK24="是",'20.03'!$BB$4,'20.03'!$BB$3)),(VLOOKUP('20.03'!O24,'20.03'!$AO$4:$AQ$55,2,FALSE))*IF('20.03'!$AK24="是",'20.03'!$BB$4,'20.03'!$BB$3))</f>
        <v>0</v>
      </c>
      <c r="H24" s="4">
        <f>IF(ISNUMBER(SEARCH("营",'20.03'!P24)),(-$Y24+50*IF('20.03'!$AK24="是",'20.03'!$BB$4,'20.03'!$BB$3)),(VLOOKUP('20.03'!P24,'20.03'!$AO$4:$AQ$55,2,FALSE))*IF('20.03'!$AK24="是",'20.03'!$BB$4,'20.03'!$BB$3))</f>
        <v>0</v>
      </c>
      <c r="I24" s="4">
        <f>IF(ISNUMBER(SEARCH("营",'20.03'!Q24)),(-$Y24+50*IF('20.03'!$AK24="是",'20.03'!$BB$4,'20.03'!$BB$3)),(VLOOKUP('20.03'!Q24,'20.03'!$AO$4:$AQ$55,2,FALSE))*IF('20.03'!$AK24="是",'20.03'!$BB$4,'20.03'!$BB$3))</f>
        <v>0</v>
      </c>
      <c r="J24" s="4">
        <f>IF(ISNUMBER(SEARCH("营",'20.03'!R24)),(-$Y24+50*IF('20.03'!$AK24="是",'20.03'!$BB$4,'20.03'!$BB$3)),(VLOOKUP('20.03'!R24,'20.03'!$AO$4:$AQ$55,2,FALSE))*IF('20.03'!$AK24="是",'20.03'!$BB$4,'20.03'!$BB$3))</f>
        <v>0</v>
      </c>
      <c r="K24" s="4">
        <f>IF(ISNUMBER(SEARCH("营",'20.03'!S24)),(-$Y24+50*IF('20.03'!$AK24="是",'20.03'!$BB$4,'20.03'!$BB$3)),(VLOOKUP('20.03'!S24,'20.03'!$AO$4:$AQ$55,2,FALSE))*IF('20.03'!$AK24="是",'20.03'!$BB$4,'20.03'!$BB$3))</f>
        <v>0</v>
      </c>
      <c r="L24" s="4">
        <f>IF(ISNUMBER(SEARCH("营",'20.03'!T24)),(-$Y24+50*IF('20.03'!$AK24="是",'20.03'!$BB$4,'20.03'!$BB$3)),(VLOOKUP('20.03'!T24,'20.03'!$AO$4:$AQ$55,2,FALSE))*IF('20.03'!$AK24="是",'20.03'!$BB$4,'20.03'!$BB$3))</f>
        <v>0</v>
      </c>
      <c r="M24" s="4">
        <f>IF(ISNUMBER(SEARCH("营",'20.03'!U24)),(-$Y24+50*IF('20.03'!$AK24="是",'20.03'!$BB$4,'20.03'!$BB$3)),(VLOOKUP('20.03'!U24,'20.03'!$AO$4:$AQ$55,2,FALSE))*IF('20.03'!$AK24="是",'20.03'!$BB$4,'20.03'!$BB$3))</f>
        <v>0</v>
      </c>
      <c r="N24" s="4">
        <f>IF(ISNUMBER(SEARCH("营",'20.03'!V24)),(-$Y24+50*IF('20.03'!$AK24="是",'20.03'!$BB$4,'20.03'!$BB$3)),(VLOOKUP('20.03'!V24,'20.03'!$AO$4:$AQ$55,2,FALSE))*IF('20.03'!$AK24="是",'20.03'!$BB$4,'20.03'!$BB$3))</f>
        <v>0</v>
      </c>
      <c r="O24" s="4">
        <f>IF(ISNUMBER(SEARCH("营",'20.03'!W24)),(-$Y24+50*IF('20.03'!$AK24="是",'20.03'!$BB$4,'20.03'!$BB$3)),(VLOOKUP('20.03'!W24,'20.03'!$AO$4:$AQ$55,2,FALSE))*IF('20.03'!$AK24="是",'20.03'!$BB$4,'20.03'!$BB$3))</f>
        <v>0</v>
      </c>
      <c r="P24" s="4">
        <f>IF(ISNUMBER(SEARCH("营",'20.03'!X24)),(-$Y24+50*IF('20.03'!$AK24="是",'20.03'!$BB$4,'20.03'!$BB$3)),(VLOOKUP('20.03'!X24,'20.03'!$AO$4:$AQ$55,2,FALSE))*IF('20.03'!$AK24="是",'20.03'!$BB$4,'20.03'!$BB$3))</f>
        <v>0</v>
      </c>
      <c r="Q24" s="4">
        <f>IF(ISNUMBER(SEARCH("营",'20.03'!Y24)),(-$Y24+50*IF('20.03'!$AK24="是",'20.03'!$BB$4,'20.03'!$BB$3)),(VLOOKUP('20.03'!Y24,'20.03'!$AO$4:$AQ$55,2,FALSE))*IF('20.03'!$AK24="是",'20.03'!$BB$4,'20.03'!$BB$3))</f>
        <v>160</v>
      </c>
      <c r="R24" s="4">
        <f>IF(ISNUMBER(SEARCH("营",'20.03'!Z24)),(-$Y24+50*IF('20.03'!$AK24="是",'20.03'!$BB$4,'20.03'!$BB$3)),(VLOOKUP('20.03'!Z24,'20.03'!$AO$4:$AQ$55,2,FALSE))*IF('20.03'!$AK24="是",'20.03'!$BB$4,'20.03'!$BB$3))</f>
        <v>160</v>
      </c>
      <c r="S24" s="4">
        <f>IF(ISNUMBER(SEARCH("营",'20.03'!AA24)),(-$Y24+50*IF('20.03'!$AK24="是",'20.03'!$BB$4,'20.03'!$BB$3)),(VLOOKUP('20.03'!AA24,'20.03'!$AO$4:$AQ$55,2,FALSE))*IF('20.03'!$AK24="是",'20.03'!$BB$4,'20.03'!$BB$3))</f>
        <v>160</v>
      </c>
      <c r="T24" s="4">
        <f>IF(ISNUMBER(SEARCH("营",'20.03'!AB24)),(-$Y24+50*IF('20.03'!$AK24="是",'20.03'!$BB$4,'20.03'!$BB$3)),(VLOOKUP('20.03'!AB24,'20.03'!$AO$4:$AQ$55,2,FALSE))*IF('20.03'!$AK24="是",'20.03'!$BB$4,'20.03'!$BB$3))</f>
        <v>160</v>
      </c>
      <c r="U24" s="4">
        <f>IF(ISNUMBER(SEARCH("营",'20.03'!AC24)),(-$Y24+50*IF('20.03'!$AK24="是",'20.03'!$BB$4,'20.03'!$BB$3)),(VLOOKUP('20.03'!AC24,'20.03'!$AO$4:$AQ$55,2,FALSE))*IF('20.03'!$AK24="是",'20.03'!$BB$4,'20.03'!$BB$3))</f>
        <v>-210</v>
      </c>
      <c r="V24" s="4">
        <f>IF(ISNUMBER(SEARCH("营",'20.03'!AD24)),(-$Y24+50*IF('20.03'!$AK24="是",'20.03'!$BB$4,'20.03'!$BB$3)),(VLOOKUP('20.03'!AD24,'20.03'!$AO$4:$AQ$55,2,FALSE))*IF('20.03'!$AK24="是",'20.03'!$BB$4,'20.03'!$BB$3))</f>
        <v>0</v>
      </c>
      <c r="W24" s="4">
        <f>IF(ISNUMBER(SEARCH("营",'20.03'!AE24)),(-$Y24+50*IF('20.03'!$AK24="是",'20.03'!$BB$4,'20.03'!$BB$3)),(VLOOKUP('20.03'!AE24,'20.03'!$AO$4:$AQ$55,2,FALSE))*IF('20.03'!$AK24="是",'20.03'!$BB$4,'20.03'!$BB$3))</f>
        <v>0</v>
      </c>
      <c r="X24" s="4">
        <f>IF(ISNUMBER(SEARCH("营",'20.03'!AF24)),(-$Y24+50*IF('20.03'!$AK24="是",'20.03'!$BB$4,'20.03'!$BB$3)),(VLOOKUP('20.03'!AF24,'20.03'!$AO$4:$AQ$55,2,FALSE))*IF('20.03'!$AK24="是",'20.03'!$BB$4,'20.03'!$BB$3))</f>
        <v>0</v>
      </c>
      <c r="Y24" s="64">
        <v>250</v>
      </c>
      <c r="Z24" s="87">
        <v>45841</v>
      </c>
    </row>
    <row r="25" spans="1:26">
      <c r="A25" s="4">
        <f>IF(ISNUMBER(SEARCH("营",'20.03'!I25)),(-$Y25+50*IF('20.03'!$AK25="是",'20.03'!$BB$4,'20.03'!$BB$3)),(VLOOKUP('20.03'!I25,'20.03'!$AO$4:$AQ$55,2,FALSE))*IF('20.03'!$AK25="是",'20.03'!$BB$4,'20.03'!$BB$3))</f>
        <v>0</v>
      </c>
      <c r="B25" s="4">
        <f>IF(ISNUMBER(SEARCH("营",'20.03'!J25)),(-$Y25+50*IF('20.03'!$AK25="是",'20.03'!$BB$4,'20.03'!$BB$3)),(VLOOKUP('20.03'!J25,'20.03'!$AO$4:$AQ$55,2,FALSE))*IF('20.03'!$AK25="是",'20.03'!$BB$4,'20.03'!$BB$3))</f>
        <v>0</v>
      </c>
      <c r="C25" s="4">
        <f>IF(ISNUMBER(SEARCH("营",'20.03'!K25)),(-$Y25+50*IF('20.03'!$AK25="是",'20.03'!$BB$4,'20.03'!$BB$3)),(VLOOKUP('20.03'!K25,'20.03'!$AO$4:$AQ$55,2,FALSE))*IF('20.03'!$AK25="是",'20.03'!$BB$4,'20.03'!$BB$3))</f>
        <v>0</v>
      </c>
      <c r="D25" s="4">
        <f>IF(ISNUMBER(SEARCH("营",'20.03'!L25)),(-$Y25+50*IF('20.03'!$AK25="是",'20.03'!$BB$4,'20.03'!$BB$3)),(VLOOKUP('20.03'!L25,'20.03'!$AO$4:$AQ$55,2,FALSE))*IF('20.03'!$AK25="是",'20.03'!$BB$4,'20.03'!$BB$3))</f>
        <v>0</v>
      </c>
      <c r="E25" s="4">
        <f>IF(ISNUMBER(SEARCH("营",'20.03'!M25)),(-$Y25+50*IF('20.03'!$AK25="是",'20.03'!$BB$4,'20.03'!$BB$3)),(VLOOKUP('20.03'!M25,'20.03'!$AO$4:$AQ$55,2,FALSE))*IF('20.03'!$AK25="是",'20.03'!$BB$4,'20.03'!$BB$3))</f>
        <v>0</v>
      </c>
      <c r="F25" s="4">
        <f>IF(ISNUMBER(SEARCH("营",'20.03'!N25)),(-$Y25+50*IF('20.03'!$AK25="是",'20.03'!$BB$4,'20.03'!$BB$3)),(VLOOKUP('20.03'!N25,'20.03'!$AO$4:$AQ$55,2,FALSE))*IF('20.03'!$AK25="是",'20.03'!$BB$4,'20.03'!$BB$3))</f>
        <v>0</v>
      </c>
      <c r="G25" s="4">
        <f>IF(ISNUMBER(SEARCH("营",'20.03'!O25)),(-$Y25+50*IF('20.03'!$AK25="是",'20.03'!$BB$4,'20.03'!$BB$3)),(VLOOKUP('20.03'!O25,'20.03'!$AO$4:$AQ$55,2,FALSE))*IF('20.03'!$AK25="是",'20.03'!$BB$4,'20.03'!$BB$3))</f>
        <v>0</v>
      </c>
      <c r="H25" s="4">
        <f>IF(ISNUMBER(SEARCH("营",'20.03'!P25)),(-$Y25+50*IF('20.03'!$AK25="是",'20.03'!$BB$4,'20.03'!$BB$3)),(VLOOKUP('20.03'!P25,'20.03'!$AO$4:$AQ$55,2,FALSE))*IF('20.03'!$AK25="是",'20.03'!$BB$4,'20.03'!$BB$3))</f>
        <v>0</v>
      </c>
      <c r="I25" s="4">
        <f>IF(ISNUMBER(SEARCH("营",'20.03'!Q25)),(-$Y25+50*IF('20.03'!$AK25="是",'20.03'!$BB$4,'20.03'!$BB$3)),(VLOOKUP('20.03'!Q25,'20.03'!$AO$4:$AQ$55,2,FALSE))*IF('20.03'!$AK25="是",'20.03'!$BB$4,'20.03'!$BB$3))</f>
        <v>0</v>
      </c>
      <c r="J25" s="4">
        <f>IF(ISNUMBER(SEARCH("营",'20.03'!R25)),(-$Y25+50*IF('20.03'!$AK25="是",'20.03'!$BB$4,'20.03'!$BB$3)),(VLOOKUP('20.03'!R25,'20.03'!$AO$4:$AQ$55,2,FALSE))*IF('20.03'!$AK25="是",'20.03'!$BB$4,'20.03'!$BB$3))</f>
        <v>0</v>
      </c>
      <c r="K25" s="4">
        <f>IF(ISNUMBER(SEARCH("营",'20.03'!S25)),(-$Y25+50*IF('20.03'!$AK25="是",'20.03'!$BB$4,'20.03'!$BB$3)),(VLOOKUP('20.03'!S25,'20.03'!$AO$4:$AQ$55,2,FALSE))*IF('20.03'!$AK25="是",'20.03'!$BB$4,'20.03'!$BB$3))</f>
        <v>0</v>
      </c>
      <c r="L25" s="4">
        <f>IF(ISNUMBER(SEARCH("营",'20.03'!T25)),(-$Y25+50*IF('20.03'!$AK25="是",'20.03'!$BB$4,'20.03'!$BB$3)),(VLOOKUP('20.03'!T25,'20.03'!$AO$4:$AQ$55,2,FALSE))*IF('20.03'!$AK25="是",'20.03'!$BB$4,'20.03'!$BB$3))</f>
        <v>0</v>
      </c>
      <c r="M25" s="4">
        <f>IF(ISNUMBER(SEARCH("营",'20.03'!U25)),(-$Y25+50*IF('20.03'!$AK25="是",'20.03'!$BB$4,'20.03'!$BB$3)),(VLOOKUP('20.03'!U25,'20.03'!$AO$4:$AQ$55,2,FALSE))*IF('20.03'!$AK25="是",'20.03'!$BB$4,'20.03'!$BB$3))</f>
        <v>0</v>
      </c>
      <c r="N25" s="4">
        <f>IF(ISNUMBER(SEARCH("营",'20.03'!V25)),(-$Y25+50*IF('20.03'!$AK25="是",'20.03'!$BB$4,'20.03'!$BB$3)),(VLOOKUP('20.03'!V25,'20.03'!$AO$4:$AQ$55,2,FALSE))*IF('20.03'!$AK25="是",'20.03'!$BB$4,'20.03'!$BB$3))</f>
        <v>0</v>
      </c>
      <c r="O25" s="4">
        <f>IF(ISNUMBER(SEARCH("营",'20.03'!W25)),(-$Y25+50*IF('20.03'!$AK25="是",'20.03'!$BB$4,'20.03'!$BB$3)),(VLOOKUP('20.03'!W25,'20.03'!$AO$4:$AQ$55,2,FALSE))*IF('20.03'!$AK25="是",'20.03'!$BB$4,'20.03'!$BB$3))</f>
        <v>0</v>
      </c>
      <c r="P25" s="4">
        <f>IF(ISNUMBER(SEARCH("营",'20.03'!X25)),(-$Y25+50*IF('20.03'!$AK25="是",'20.03'!$BB$4,'20.03'!$BB$3)),(VLOOKUP('20.03'!X25,'20.03'!$AO$4:$AQ$55,2,FALSE))*IF('20.03'!$AK25="是",'20.03'!$BB$4,'20.03'!$BB$3))</f>
        <v>0</v>
      </c>
      <c r="Q25" s="4">
        <f>IF(ISNUMBER(SEARCH("营",'20.03'!Y25)),(-$Y25+50*IF('20.03'!$AK25="是",'20.03'!$BB$4,'20.03'!$BB$3)),(VLOOKUP('20.03'!Y25,'20.03'!$AO$4:$AQ$55,2,FALSE))*IF('20.03'!$AK25="是",'20.03'!$BB$4,'20.03'!$BB$3))</f>
        <v>0</v>
      </c>
      <c r="R25" s="4">
        <f>IF(ISNUMBER(SEARCH("营",'20.03'!Z25)),(-$Y25+50*IF('20.03'!$AK25="是",'20.03'!$BB$4,'20.03'!$BB$3)),(VLOOKUP('20.03'!Z25,'20.03'!$AO$4:$AQ$55,2,FALSE))*IF('20.03'!$AK25="是",'20.03'!$BB$4,'20.03'!$BB$3))</f>
        <v>0</v>
      </c>
      <c r="S25" s="4">
        <f>IF(ISNUMBER(SEARCH("营",'20.03'!AA25)),(-$Y25+50*IF('20.03'!$AK25="是",'20.03'!$BB$4,'20.03'!$BB$3)),(VLOOKUP('20.03'!AA25,'20.03'!$AO$4:$AQ$55,2,FALSE))*IF('20.03'!$AK25="是",'20.03'!$BB$4,'20.03'!$BB$3))</f>
        <v>0</v>
      </c>
      <c r="T25" s="4">
        <f>IF(ISNUMBER(SEARCH("营",'20.03'!AB25)),(-$Y25+50*IF('20.03'!$AK25="是",'20.03'!$BB$4,'20.03'!$BB$3)),(VLOOKUP('20.03'!AB25,'20.03'!$AO$4:$AQ$55,2,FALSE))*IF('20.03'!$AK25="是",'20.03'!$BB$4,'20.03'!$BB$3))</f>
        <v>0</v>
      </c>
      <c r="U25" s="4">
        <f>IF(ISNUMBER(SEARCH("营",'20.03'!AC25)),(-$Y25+50*IF('20.03'!$AK25="是",'20.03'!$BB$4,'20.03'!$BB$3)),(VLOOKUP('20.03'!AC25,'20.03'!$AO$4:$AQ$55,2,FALSE))*IF('20.03'!$AK25="是",'20.03'!$BB$4,'20.03'!$BB$3))</f>
        <v>0</v>
      </c>
      <c r="V25" s="4">
        <f>IF(ISNUMBER(SEARCH("营",'20.03'!AD25)),(-$Y25+50*IF('20.03'!$AK25="是",'20.03'!$BB$4,'20.03'!$BB$3)),(VLOOKUP('20.03'!AD25,'20.03'!$AO$4:$AQ$55,2,FALSE))*IF('20.03'!$AK25="是",'20.03'!$BB$4,'20.03'!$BB$3))</f>
        <v>0</v>
      </c>
      <c r="W25" s="4">
        <f>IF(ISNUMBER(SEARCH("营",'20.03'!AE25)),(-$Y25+50*IF('20.03'!$AK25="是",'20.03'!$BB$4,'20.03'!$BB$3)),(VLOOKUP('20.03'!AE25,'20.03'!$AO$4:$AQ$55,2,FALSE))*IF('20.03'!$AK25="是",'20.03'!$BB$4,'20.03'!$BB$3))</f>
        <v>0</v>
      </c>
      <c r="X25" s="4">
        <f>IF(ISNUMBER(SEARCH("营",'20.03'!AF25)),(-$Y25+50*IF('20.03'!$AK25="是",'20.03'!$BB$4,'20.03'!$BB$3)),(VLOOKUP('20.03'!AF25,'20.03'!$AO$4:$AQ$55,2,FALSE))*IF('20.03'!$AK25="是",'20.03'!$BB$4,'20.03'!$BB$3))</f>
        <v>0</v>
      </c>
      <c r="Y25" s="63">
        <v>200</v>
      </c>
      <c r="Z25" s="94">
        <v>45842</v>
      </c>
    </row>
    <row r="26" spans="1:26">
      <c r="A26" s="4">
        <f>IF(ISNUMBER(SEARCH("营",'20.03'!I26)),(-$Y26+50*IF('20.03'!$AK26="是",'20.03'!$BB$4,'20.03'!$BB$3)),(VLOOKUP('20.03'!I26,'20.03'!$AO$4:$AQ$55,2,FALSE))*IF('20.03'!$AK26="是",'20.03'!$BB$4,'20.03'!$BB$3))</f>
        <v>0</v>
      </c>
      <c r="B26" s="4">
        <f>IF(ISNUMBER(SEARCH("营",'20.03'!J26)),(-$Y26+50*IF('20.03'!$AK26="是",'20.03'!$BB$4,'20.03'!$BB$3)),(VLOOKUP('20.03'!J26,'20.03'!$AO$4:$AQ$55,2,FALSE))*IF('20.03'!$AK26="是",'20.03'!$BB$4,'20.03'!$BB$3))</f>
        <v>0</v>
      </c>
      <c r="C26" s="4">
        <f>IF(ISNUMBER(SEARCH("营",'20.03'!K26)),(-$Y26+50*IF('20.03'!$AK26="是",'20.03'!$BB$4,'20.03'!$BB$3)),(VLOOKUP('20.03'!K26,'20.03'!$AO$4:$AQ$55,2,FALSE))*IF('20.03'!$AK26="是",'20.03'!$BB$4,'20.03'!$BB$3))</f>
        <v>0</v>
      </c>
      <c r="D26" s="4">
        <f>IF(ISNUMBER(SEARCH("营",'20.03'!L26)),(-$Y26+50*IF('20.03'!$AK26="是",'20.03'!$BB$4,'20.03'!$BB$3)),(VLOOKUP('20.03'!L26,'20.03'!$AO$4:$AQ$55,2,FALSE))*IF('20.03'!$AK26="是",'20.03'!$BB$4,'20.03'!$BB$3))</f>
        <v>0</v>
      </c>
      <c r="E26" s="4">
        <f>IF(ISNUMBER(SEARCH("营",'20.03'!M26)),(-$Y26+50*IF('20.03'!$AK26="是",'20.03'!$BB$4,'20.03'!$BB$3)),(VLOOKUP('20.03'!M26,'20.03'!$AO$4:$AQ$55,2,FALSE))*IF('20.03'!$AK26="是",'20.03'!$BB$4,'20.03'!$BB$3))</f>
        <v>0</v>
      </c>
      <c r="F26" s="4">
        <f>IF(ISNUMBER(SEARCH("营",'20.03'!N26)),(-$Y26+50*IF('20.03'!$AK26="是",'20.03'!$BB$4,'20.03'!$BB$3)),(VLOOKUP('20.03'!N26,'20.03'!$AO$4:$AQ$55,2,FALSE))*IF('20.03'!$AK26="是",'20.03'!$BB$4,'20.03'!$BB$3))</f>
        <v>0</v>
      </c>
      <c r="G26" s="4">
        <f>IF(ISNUMBER(SEARCH("营",'20.03'!O26)),(-$Y26+50*IF('20.03'!$AK26="是",'20.03'!$BB$4,'20.03'!$BB$3)),(VLOOKUP('20.03'!O26,'20.03'!$AO$4:$AQ$55,2,FALSE))*IF('20.03'!$AK26="是",'20.03'!$BB$4,'20.03'!$BB$3))</f>
        <v>0</v>
      </c>
      <c r="H26" s="4">
        <f>IF(ISNUMBER(SEARCH("营",'20.03'!P26)),(-$Y26+50*IF('20.03'!$AK26="是",'20.03'!$BB$4,'20.03'!$BB$3)),(VLOOKUP('20.03'!P26,'20.03'!$AO$4:$AQ$55,2,FALSE))*IF('20.03'!$AK26="是",'20.03'!$BB$4,'20.03'!$BB$3))</f>
        <v>0</v>
      </c>
      <c r="I26" s="4">
        <f>IF(ISNUMBER(SEARCH("营",'20.03'!Q26)),(-$Y26+50*IF('20.03'!$AK26="是",'20.03'!$BB$4,'20.03'!$BB$3)),(VLOOKUP('20.03'!Q26,'20.03'!$AO$4:$AQ$55,2,FALSE))*IF('20.03'!$AK26="是",'20.03'!$BB$4,'20.03'!$BB$3))</f>
        <v>120</v>
      </c>
      <c r="J26" s="4">
        <f>IF(ISNUMBER(SEARCH("营",'20.03'!R26)),(-$Y26+50*IF('20.03'!$AK26="是",'20.03'!$BB$4,'20.03'!$BB$3)),(VLOOKUP('20.03'!R26,'20.03'!$AO$4:$AQ$55,2,FALSE))*IF('20.03'!$AK26="是",'20.03'!$BB$4,'20.03'!$BB$3))</f>
        <v>0</v>
      </c>
      <c r="K26" s="4">
        <f>IF(ISNUMBER(SEARCH("营",'20.03'!S26)),(-$Y26+50*IF('20.03'!$AK26="是",'20.03'!$BB$4,'20.03'!$BB$3)),(VLOOKUP('20.03'!S26,'20.03'!$AO$4:$AQ$55,2,FALSE))*IF('20.03'!$AK26="是",'20.03'!$BB$4,'20.03'!$BB$3))</f>
        <v>0</v>
      </c>
      <c r="L26" s="4">
        <f>IF(ISNUMBER(SEARCH("营",'20.03'!T26)),(-$Y26+50*IF('20.03'!$AK26="是",'20.03'!$BB$4,'20.03'!$BB$3)),(VLOOKUP('20.03'!T26,'20.03'!$AO$4:$AQ$55,2,FALSE))*IF('20.03'!$AK26="是",'20.03'!$BB$4,'20.03'!$BB$3))</f>
        <v>0</v>
      </c>
      <c r="M26" s="4">
        <f>IF(ISNUMBER(SEARCH("营",'20.03'!U26)),(-$Y26+50*IF('20.03'!$AK26="是",'20.03'!$BB$4,'20.03'!$BB$3)),(VLOOKUP('20.03'!U26,'20.03'!$AO$4:$AQ$55,2,FALSE))*IF('20.03'!$AK26="是",'20.03'!$BB$4,'20.03'!$BB$3))</f>
        <v>0</v>
      </c>
      <c r="N26" s="4">
        <f>IF(ISNUMBER(SEARCH("营",'20.03'!V26)),(-$Y26+50*IF('20.03'!$AK26="是",'20.03'!$BB$4,'20.03'!$BB$3)),(VLOOKUP('20.03'!V26,'20.03'!$AO$4:$AQ$55,2,FALSE))*IF('20.03'!$AK26="是",'20.03'!$BB$4,'20.03'!$BB$3))</f>
        <v>0</v>
      </c>
      <c r="O26" s="4">
        <f>IF(ISNUMBER(SEARCH("营",'20.03'!W26)),(-$Y26+50*IF('20.03'!$AK26="是",'20.03'!$BB$4,'20.03'!$BB$3)),(VLOOKUP('20.03'!W26,'20.03'!$AO$4:$AQ$55,2,FALSE))*IF('20.03'!$AK26="是",'20.03'!$BB$4,'20.03'!$BB$3))</f>
        <v>0</v>
      </c>
      <c r="P26" s="4">
        <f>IF(ISNUMBER(SEARCH("营",'20.03'!X26)),(-$Y26+50*IF('20.03'!$AK26="是",'20.03'!$BB$4,'20.03'!$BB$3)),(VLOOKUP('20.03'!X26,'20.03'!$AO$4:$AQ$55,2,FALSE))*IF('20.03'!$AK26="是",'20.03'!$BB$4,'20.03'!$BB$3))</f>
        <v>0</v>
      </c>
      <c r="Q26" s="4">
        <f>IF(ISNUMBER(SEARCH("营",'20.03'!Y26)),(-$Y26+50*IF('20.03'!$AK26="是",'20.03'!$BB$4,'20.03'!$BB$3)),(VLOOKUP('20.03'!Y26,'20.03'!$AO$4:$AQ$55,2,FALSE))*IF('20.03'!$AK26="是",'20.03'!$BB$4,'20.03'!$BB$3))</f>
        <v>120</v>
      </c>
      <c r="R26" s="4">
        <f>IF(ISNUMBER(SEARCH("营",'20.03'!Z26)),(-$Y26+50*IF('20.03'!$AK26="是",'20.03'!$BB$4,'20.03'!$BB$3)),(VLOOKUP('20.03'!Z26,'20.03'!$AO$4:$AQ$55,2,FALSE))*IF('20.03'!$AK26="是",'20.03'!$BB$4,'20.03'!$BB$3))</f>
        <v>0</v>
      </c>
      <c r="S26" s="4">
        <f>IF(ISNUMBER(SEARCH("营",'20.03'!AA26)),(-$Y26+50*IF('20.03'!$AK26="是",'20.03'!$BB$4,'20.03'!$BB$3)),(VLOOKUP('20.03'!AA26,'20.03'!$AO$4:$AQ$55,2,FALSE))*IF('20.03'!$AK26="是",'20.03'!$BB$4,'20.03'!$BB$3))</f>
        <v>0</v>
      </c>
      <c r="T26" s="4">
        <f>IF(ISNUMBER(SEARCH("营",'20.03'!AB26)),(-$Y26+50*IF('20.03'!$AK26="是",'20.03'!$BB$4,'20.03'!$BB$3)),(VLOOKUP('20.03'!AB26,'20.03'!$AO$4:$AQ$55,2,FALSE))*IF('20.03'!$AK26="是",'20.03'!$BB$4,'20.03'!$BB$3))</f>
        <v>0</v>
      </c>
      <c r="U26" s="4">
        <f>IF(ISNUMBER(SEARCH("营",'20.03'!AC26)),(-$Y26+50*IF('20.03'!$AK26="是",'20.03'!$BB$4,'20.03'!$BB$3)),(VLOOKUP('20.03'!AC26,'20.03'!$AO$4:$AQ$55,2,FALSE))*IF('20.03'!$AK26="是",'20.03'!$BB$4,'20.03'!$BB$3))</f>
        <v>0</v>
      </c>
      <c r="V26" s="4">
        <f>IF(ISNUMBER(SEARCH("营",'20.03'!AD26)),(-$Y26+50*IF('20.03'!$AK26="是",'20.03'!$BB$4,'20.03'!$BB$3)),(VLOOKUP('20.03'!AD26,'20.03'!$AO$4:$AQ$55,2,FALSE))*IF('20.03'!$AK26="是",'20.03'!$BB$4,'20.03'!$BB$3))</f>
        <v>0</v>
      </c>
      <c r="W26" s="4">
        <f>IF(ISNUMBER(SEARCH("营",'20.03'!AE26)),(-$Y26+50*IF('20.03'!$AK26="是",'20.03'!$BB$4,'20.03'!$BB$3)),(VLOOKUP('20.03'!AE26,'20.03'!$AO$4:$AQ$55,2,FALSE))*IF('20.03'!$AK26="是",'20.03'!$BB$4,'20.03'!$BB$3))</f>
        <v>0</v>
      </c>
      <c r="X26" s="4">
        <f>IF(ISNUMBER(SEARCH("营",'20.03'!AF26)),(-$Y26+50*IF('20.03'!$AK26="是",'20.03'!$BB$4,'20.03'!$BB$3)),(VLOOKUP('20.03'!AF26,'20.03'!$AO$4:$AQ$55,2,FALSE))*IF('20.03'!$AK26="是",'20.03'!$BB$4,'20.03'!$BB$3))</f>
        <v>0</v>
      </c>
      <c r="Y26" s="63">
        <v>200</v>
      </c>
      <c r="Z26" s="94">
        <v>45843</v>
      </c>
    </row>
    <row r="27" spans="1:26">
      <c r="A27" s="4">
        <f>IF(ISNUMBER(SEARCH("营",'20.03'!I27)),(-$Y27+50*IF('20.03'!$AK27="是",'20.03'!$BB$4,'20.03'!$BB$3)),(VLOOKUP('20.03'!I27,'20.03'!$AO$4:$AQ$55,2,FALSE))*IF('20.03'!$AK27="是",'20.03'!$BB$4,'20.03'!$BB$3))</f>
        <v>0</v>
      </c>
      <c r="B27" s="4">
        <f>IF(ISNUMBER(SEARCH("营",'20.03'!J27)),(-$Y27+50*IF('20.03'!$AK27="是",'20.03'!$BB$4,'20.03'!$BB$3)),(VLOOKUP('20.03'!J27,'20.03'!$AO$4:$AQ$55,2,FALSE))*IF('20.03'!$AK27="是",'20.03'!$BB$4,'20.03'!$BB$3))</f>
        <v>128</v>
      </c>
      <c r="C27" s="4">
        <f>IF(ISNUMBER(SEARCH("营",'20.03'!K27)),(-$Y27+50*IF('20.03'!$AK27="是",'20.03'!$BB$4,'20.03'!$BB$3)),(VLOOKUP('20.03'!K27,'20.03'!$AO$4:$AQ$55,2,FALSE))*IF('20.03'!$AK27="是",'20.03'!$BB$4,'20.03'!$BB$3))</f>
        <v>40</v>
      </c>
      <c r="D27" s="4">
        <f>IF(ISNUMBER(SEARCH("营",'20.03'!L27)),(-$Y27+50*IF('20.03'!$AK27="是",'20.03'!$BB$4,'20.03'!$BB$3)),(VLOOKUP('20.03'!L27,'20.03'!$AO$4:$AQ$55,2,FALSE))*IF('20.03'!$AK27="是",'20.03'!$BB$4,'20.03'!$BB$3))</f>
        <v>128</v>
      </c>
      <c r="E27" s="4">
        <f>IF(ISNUMBER(SEARCH("营",'20.03'!M27)),(-$Y27+50*IF('20.03'!$AK27="是",'20.03'!$BB$4,'20.03'!$BB$3)),(VLOOKUP('20.03'!M27,'20.03'!$AO$4:$AQ$55,2,FALSE))*IF('20.03'!$AK27="是",'20.03'!$BB$4,'20.03'!$BB$3))</f>
        <v>128</v>
      </c>
      <c r="F27" s="4">
        <f>IF(ISNUMBER(SEARCH("营",'20.03'!N27)),(-$Y27+50*IF('20.03'!$AK27="是",'20.03'!$BB$4,'20.03'!$BB$3)),(VLOOKUP('20.03'!N27,'20.03'!$AO$4:$AQ$55,2,FALSE))*IF('20.03'!$AK27="是",'20.03'!$BB$4,'20.03'!$BB$3))</f>
        <v>0</v>
      </c>
      <c r="G27" s="4">
        <f>IF(ISNUMBER(SEARCH("营",'20.03'!O27)),(-$Y27+50*IF('20.03'!$AK27="是",'20.03'!$BB$4,'20.03'!$BB$3)),(VLOOKUP('20.03'!O27,'20.03'!$AO$4:$AQ$55,2,FALSE))*IF('20.03'!$AK27="是",'20.03'!$BB$4,'20.03'!$BB$3))</f>
        <v>0</v>
      </c>
      <c r="H27" s="4">
        <f>IF(ISNUMBER(SEARCH("营",'20.03'!P27)),(-$Y27+50*IF('20.03'!$AK27="是",'20.03'!$BB$4,'20.03'!$BB$3)),(VLOOKUP('20.03'!P27,'20.03'!$AO$4:$AQ$55,2,FALSE))*IF('20.03'!$AK27="是",'20.03'!$BB$4,'20.03'!$BB$3))</f>
        <v>0</v>
      </c>
      <c r="I27" s="4">
        <f>IF(ISNUMBER(SEARCH("营",'20.03'!Q27)),(-$Y27+50*IF('20.03'!$AK27="是",'20.03'!$BB$4,'20.03'!$BB$3)),(VLOOKUP('20.03'!Q27,'20.03'!$AO$4:$AQ$55,2,FALSE))*IF('20.03'!$AK27="是",'20.03'!$BB$4,'20.03'!$BB$3))</f>
        <v>40</v>
      </c>
      <c r="J27" s="4">
        <f>IF(ISNUMBER(SEARCH("营",'20.03'!R27)),(-$Y27+50*IF('20.03'!$AK27="是",'20.03'!$BB$4,'20.03'!$BB$3)),(VLOOKUP('20.03'!R27,'20.03'!$AO$4:$AQ$55,2,FALSE))*IF('20.03'!$AK27="是",'20.03'!$BB$4,'20.03'!$BB$3))</f>
        <v>128</v>
      </c>
      <c r="K27" s="4">
        <f>IF(ISNUMBER(SEARCH("营",'20.03'!S27)),(-$Y27+50*IF('20.03'!$AK27="是",'20.03'!$BB$4,'20.03'!$BB$3)),(VLOOKUP('20.03'!S27,'20.03'!$AO$4:$AQ$55,2,FALSE))*IF('20.03'!$AK27="是",'20.03'!$BB$4,'20.03'!$BB$3))</f>
        <v>120</v>
      </c>
      <c r="L27" s="4">
        <f>IF(ISNUMBER(SEARCH("营",'20.03'!T27)),(-$Y27+50*IF('20.03'!$AK27="是",'20.03'!$BB$4,'20.03'!$BB$3)),(VLOOKUP('20.03'!T27,'20.03'!$AO$4:$AQ$55,2,FALSE))*IF('20.03'!$AK27="是",'20.03'!$BB$4,'20.03'!$BB$3))</f>
        <v>128</v>
      </c>
      <c r="M27" s="4">
        <f>IF(ISNUMBER(SEARCH("营",'20.03'!U27)),(-$Y27+50*IF('20.03'!$AK27="是",'20.03'!$BB$4,'20.03'!$BB$3)),(VLOOKUP('20.03'!U27,'20.03'!$AO$4:$AQ$55,2,FALSE))*IF('20.03'!$AK27="是",'20.03'!$BB$4,'20.03'!$BB$3))</f>
        <v>40</v>
      </c>
      <c r="N27" s="4">
        <f>IF(ISNUMBER(SEARCH("营",'20.03'!V27)),(-$Y27+50*IF('20.03'!$AK27="是",'20.03'!$BB$4,'20.03'!$BB$3)),(VLOOKUP('20.03'!V27,'20.03'!$AO$4:$AQ$55,2,FALSE))*IF('20.03'!$AK27="是",'20.03'!$BB$4,'20.03'!$BB$3))</f>
        <v>128</v>
      </c>
      <c r="O27" s="4">
        <f>IF(ISNUMBER(SEARCH("营",'20.03'!W27)),(-$Y27+50*IF('20.03'!$AK27="是",'20.03'!$BB$4,'20.03'!$BB$3)),(VLOOKUP('20.03'!W27,'20.03'!$AO$4:$AQ$55,2,FALSE))*IF('20.03'!$AK27="是",'20.03'!$BB$4,'20.03'!$BB$3))</f>
        <v>0</v>
      </c>
      <c r="P27" s="4">
        <f>IF(ISNUMBER(SEARCH("营",'20.03'!X27)),(-$Y27+50*IF('20.03'!$AK27="是",'20.03'!$BB$4,'20.03'!$BB$3)),(VLOOKUP('20.03'!X27,'20.03'!$AO$4:$AQ$55,2,FALSE))*IF('20.03'!$AK27="是",'20.03'!$BB$4,'20.03'!$BB$3))</f>
        <v>40</v>
      </c>
      <c r="Q27" s="4">
        <f>IF(ISNUMBER(SEARCH("营",'20.03'!Y27)),(-$Y27+50*IF('20.03'!$AK27="是",'20.03'!$BB$4,'20.03'!$BB$3)),(VLOOKUP('20.03'!Y27,'20.03'!$AO$4:$AQ$55,2,FALSE))*IF('20.03'!$AK27="是",'20.03'!$BB$4,'20.03'!$BB$3))</f>
        <v>128</v>
      </c>
      <c r="R27" s="4">
        <f>IF(ISNUMBER(SEARCH("营",'20.03'!Z27)),(-$Y27+50*IF('20.03'!$AK27="是",'20.03'!$BB$4,'20.03'!$BB$3)),(VLOOKUP('20.03'!Z27,'20.03'!$AO$4:$AQ$55,2,FALSE))*IF('20.03'!$AK27="是",'20.03'!$BB$4,'20.03'!$BB$3))</f>
        <v>120</v>
      </c>
      <c r="S27" s="4">
        <f>IF(ISNUMBER(SEARCH("营",'20.03'!AA27)),(-$Y27+50*IF('20.03'!$AK27="是",'20.03'!$BB$4,'20.03'!$BB$3)),(VLOOKUP('20.03'!AA27,'20.03'!$AO$4:$AQ$55,2,FALSE))*IF('20.03'!$AK27="是",'20.03'!$BB$4,'20.03'!$BB$3))</f>
        <v>0</v>
      </c>
      <c r="T27" s="4">
        <f>IF(ISNUMBER(SEARCH("营",'20.03'!AB27)),(-$Y27+50*IF('20.03'!$AK27="是",'20.03'!$BB$4,'20.03'!$BB$3)),(VLOOKUP('20.03'!AB27,'20.03'!$AO$4:$AQ$55,2,FALSE))*IF('20.03'!$AK27="是",'20.03'!$BB$4,'20.03'!$BB$3))</f>
        <v>0</v>
      </c>
      <c r="U27" s="4">
        <f>IF(ISNUMBER(SEARCH("营",'20.03'!AC27)),(-$Y27+50*IF('20.03'!$AK27="是",'20.03'!$BB$4,'20.03'!$BB$3)),(VLOOKUP('20.03'!AC27,'20.03'!$AO$4:$AQ$55,2,FALSE))*IF('20.03'!$AK27="是",'20.03'!$BB$4,'20.03'!$BB$3))</f>
        <v>0</v>
      </c>
      <c r="V27" s="4">
        <f>IF(ISNUMBER(SEARCH("营",'20.03'!AD27)),(-$Y27+50*IF('20.03'!$AK27="是",'20.03'!$BB$4,'20.03'!$BB$3)),(VLOOKUP('20.03'!AD27,'20.03'!$AO$4:$AQ$55,2,FALSE))*IF('20.03'!$AK27="是",'20.03'!$BB$4,'20.03'!$BB$3))</f>
        <v>0</v>
      </c>
      <c r="W27" s="4">
        <f>IF(ISNUMBER(SEARCH("营",'20.03'!AE27)),(-$Y27+50*IF('20.03'!$AK27="是",'20.03'!$BB$4,'20.03'!$BB$3)),(VLOOKUP('20.03'!AE27,'20.03'!$AO$4:$AQ$55,2,FALSE))*IF('20.03'!$AK27="是",'20.03'!$BB$4,'20.03'!$BB$3))</f>
        <v>0</v>
      </c>
      <c r="X27" s="4">
        <f>IF(ISNUMBER(SEARCH("营",'20.03'!AF27)),(-$Y27+50*IF('20.03'!$AK27="是",'20.03'!$BB$4,'20.03'!$BB$3)),(VLOOKUP('20.03'!AF27,'20.03'!$AO$4:$AQ$55,2,FALSE))*IF('20.03'!$AK27="是",'20.03'!$BB$4,'20.03'!$BB$3))</f>
        <v>0</v>
      </c>
      <c r="Y27" s="63">
        <v>200</v>
      </c>
      <c r="Z27" s="94">
        <v>45844</v>
      </c>
    </row>
    <row r="28" spans="1:26">
      <c r="A28" s="4">
        <f>IF(ISNUMBER(SEARCH("营",'20.03'!I28)),(-$Y28+50*IF('20.03'!$AK28="是",'20.03'!$BB$4,'20.03'!$BB$3)),(VLOOKUP('20.03'!I28,'20.03'!$AO$4:$AQ$55,2,FALSE))*IF('20.03'!$AK28="是",'20.03'!$BB$4,'20.03'!$BB$3))</f>
        <v>120</v>
      </c>
      <c r="B28" s="4">
        <f>IF(ISNUMBER(SEARCH("营",'20.03'!J28)),(-$Y28+50*IF('20.03'!$AK28="是",'20.03'!$BB$4,'20.03'!$BB$3)),(VLOOKUP('20.03'!J28,'20.03'!$AO$4:$AQ$55,2,FALSE))*IF('20.03'!$AK28="是",'20.03'!$BB$4,'20.03'!$BB$3))</f>
        <v>0</v>
      </c>
      <c r="C28" s="4">
        <f>IF(ISNUMBER(SEARCH("营",'20.03'!K28)),(-$Y28+50*IF('20.03'!$AK28="是",'20.03'!$BB$4,'20.03'!$BB$3)),(VLOOKUP('20.03'!K28,'20.03'!$AO$4:$AQ$55,2,FALSE))*IF('20.03'!$AK28="是",'20.03'!$BB$4,'20.03'!$BB$3))</f>
        <v>0</v>
      </c>
      <c r="D28" s="4">
        <f>IF(ISNUMBER(SEARCH("营",'20.03'!L28)),(-$Y28+50*IF('20.03'!$AK28="是",'20.03'!$BB$4,'20.03'!$BB$3)),(VLOOKUP('20.03'!L28,'20.03'!$AO$4:$AQ$55,2,FALSE))*IF('20.03'!$AK28="是",'20.03'!$BB$4,'20.03'!$BB$3))</f>
        <v>0</v>
      </c>
      <c r="E28" s="4">
        <f>IF(ISNUMBER(SEARCH("营",'20.03'!M28)),(-$Y28+50*IF('20.03'!$AK28="是",'20.03'!$BB$4,'20.03'!$BB$3)),(VLOOKUP('20.03'!M28,'20.03'!$AO$4:$AQ$55,2,FALSE))*IF('20.03'!$AK28="是",'20.03'!$BB$4,'20.03'!$BB$3))</f>
        <v>0</v>
      </c>
      <c r="F28" s="4">
        <f>IF(ISNUMBER(SEARCH("营",'20.03'!N28)),(-$Y28+50*IF('20.03'!$AK28="是",'20.03'!$BB$4,'20.03'!$BB$3)),(VLOOKUP('20.03'!N28,'20.03'!$AO$4:$AQ$55,2,FALSE))*IF('20.03'!$AK28="是",'20.03'!$BB$4,'20.03'!$BB$3))</f>
        <v>0</v>
      </c>
      <c r="G28" s="4">
        <f>IF(ISNUMBER(SEARCH("营",'20.03'!O28)),(-$Y28+50*IF('20.03'!$AK28="是",'20.03'!$BB$4,'20.03'!$BB$3)),(VLOOKUP('20.03'!O28,'20.03'!$AO$4:$AQ$55,2,FALSE))*IF('20.03'!$AK28="是",'20.03'!$BB$4,'20.03'!$BB$3))</f>
        <v>0</v>
      </c>
      <c r="H28" s="4">
        <f>IF(ISNUMBER(SEARCH("营",'20.03'!P28)),(-$Y28+50*IF('20.03'!$AK28="是",'20.03'!$BB$4,'20.03'!$BB$3)),(VLOOKUP('20.03'!P28,'20.03'!$AO$4:$AQ$55,2,FALSE))*IF('20.03'!$AK28="是",'20.03'!$BB$4,'20.03'!$BB$3))</f>
        <v>0</v>
      </c>
      <c r="I28" s="4">
        <f>IF(ISNUMBER(SEARCH("营",'20.03'!Q28)),(-$Y28+50*IF('20.03'!$AK28="是",'20.03'!$BB$4,'20.03'!$BB$3)),(VLOOKUP('20.03'!Q28,'20.03'!$AO$4:$AQ$55,2,FALSE))*IF('20.03'!$AK28="是",'20.03'!$BB$4,'20.03'!$BB$3))</f>
        <v>120</v>
      </c>
      <c r="J28" s="4">
        <f>IF(ISNUMBER(SEARCH("营",'20.03'!R28)),(-$Y28+50*IF('20.03'!$AK28="是",'20.03'!$BB$4,'20.03'!$BB$3)),(VLOOKUP('20.03'!R28,'20.03'!$AO$4:$AQ$55,2,FALSE))*IF('20.03'!$AK28="是",'20.03'!$BB$4,'20.03'!$BB$3))</f>
        <v>128</v>
      </c>
      <c r="K28" s="4">
        <f>IF(ISNUMBER(SEARCH("营",'20.03'!S28)),(-$Y28+50*IF('20.03'!$AK28="是",'20.03'!$BB$4,'20.03'!$BB$3)),(VLOOKUP('20.03'!S28,'20.03'!$AO$4:$AQ$55,2,FALSE))*IF('20.03'!$AK28="是",'20.03'!$BB$4,'20.03'!$BB$3))</f>
        <v>128</v>
      </c>
      <c r="L28" s="4">
        <f>IF(ISNUMBER(SEARCH("营",'20.03'!T28)),(-$Y28+50*IF('20.03'!$AK28="是",'20.03'!$BB$4,'20.03'!$BB$3)),(VLOOKUP('20.03'!T28,'20.03'!$AO$4:$AQ$55,2,FALSE))*IF('20.03'!$AK28="是",'20.03'!$BB$4,'20.03'!$BB$3))</f>
        <v>40</v>
      </c>
      <c r="M28" s="4">
        <f>IF(ISNUMBER(SEARCH("营",'20.03'!U28)),(-$Y28+50*IF('20.03'!$AK28="是",'20.03'!$BB$4,'20.03'!$BB$3)),(VLOOKUP('20.03'!U28,'20.03'!$AO$4:$AQ$55,2,FALSE))*IF('20.03'!$AK28="是",'20.03'!$BB$4,'20.03'!$BB$3))</f>
        <v>128</v>
      </c>
      <c r="N28" s="4">
        <f>IF(ISNUMBER(SEARCH("营",'20.03'!V28)),(-$Y28+50*IF('20.03'!$AK28="是",'20.03'!$BB$4,'20.03'!$BB$3)),(VLOOKUP('20.03'!V28,'20.03'!$AO$4:$AQ$55,2,FALSE))*IF('20.03'!$AK28="是",'20.03'!$BB$4,'20.03'!$BB$3))</f>
        <v>128</v>
      </c>
      <c r="O28" s="4">
        <f>IF(ISNUMBER(SEARCH("营",'20.03'!W28)),(-$Y28+50*IF('20.03'!$AK28="是",'20.03'!$BB$4,'20.03'!$BB$3)),(VLOOKUP('20.03'!W28,'20.03'!$AO$4:$AQ$55,2,FALSE))*IF('20.03'!$AK28="是",'20.03'!$BB$4,'20.03'!$BB$3))</f>
        <v>0</v>
      </c>
      <c r="P28" s="4">
        <f>IF(ISNUMBER(SEARCH("营",'20.03'!X28)),(-$Y28+50*IF('20.03'!$AK28="是",'20.03'!$BB$4,'20.03'!$BB$3)),(VLOOKUP('20.03'!X28,'20.03'!$AO$4:$AQ$55,2,FALSE))*IF('20.03'!$AK28="是",'20.03'!$BB$4,'20.03'!$BB$3))</f>
        <v>0</v>
      </c>
      <c r="Q28" s="4">
        <f>IF(ISNUMBER(SEARCH("营",'20.03'!Y28)),(-$Y28+50*IF('20.03'!$AK28="是",'20.03'!$BB$4,'20.03'!$BB$3)),(VLOOKUP('20.03'!Y28,'20.03'!$AO$4:$AQ$55,2,FALSE))*IF('20.03'!$AK28="是",'20.03'!$BB$4,'20.03'!$BB$3))</f>
        <v>0</v>
      </c>
      <c r="R28" s="4">
        <f>IF(ISNUMBER(SEARCH("营",'20.03'!Z28)),(-$Y28+50*IF('20.03'!$AK28="是",'20.03'!$BB$4,'20.03'!$BB$3)),(VLOOKUP('20.03'!Z28,'20.03'!$AO$4:$AQ$55,2,FALSE))*IF('20.03'!$AK28="是",'20.03'!$BB$4,'20.03'!$BB$3))</f>
        <v>0</v>
      </c>
      <c r="S28" s="4">
        <f>IF(ISNUMBER(SEARCH("营",'20.03'!AA28)),(-$Y28+50*IF('20.03'!$AK28="是",'20.03'!$BB$4,'20.03'!$BB$3)),(VLOOKUP('20.03'!AA28,'20.03'!$AO$4:$AQ$55,2,FALSE))*IF('20.03'!$AK28="是",'20.03'!$BB$4,'20.03'!$BB$3))</f>
        <v>0</v>
      </c>
      <c r="T28" s="4">
        <f>IF(ISNUMBER(SEARCH("营",'20.03'!AB28)),(-$Y28+50*IF('20.03'!$AK28="是",'20.03'!$BB$4,'20.03'!$BB$3)),(VLOOKUP('20.03'!AB28,'20.03'!$AO$4:$AQ$55,2,FALSE))*IF('20.03'!$AK28="是",'20.03'!$BB$4,'20.03'!$BB$3))</f>
        <v>0</v>
      </c>
      <c r="U28" s="4">
        <f>IF(ISNUMBER(SEARCH("营",'20.03'!AC28)),(-$Y28+50*IF('20.03'!$AK28="是",'20.03'!$BB$4,'20.03'!$BB$3)),(VLOOKUP('20.03'!AC28,'20.03'!$AO$4:$AQ$55,2,FALSE))*IF('20.03'!$AK28="是",'20.03'!$BB$4,'20.03'!$BB$3))</f>
        <v>0</v>
      </c>
      <c r="V28" s="4">
        <f>IF(ISNUMBER(SEARCH("营",'20.03'!AD28)),(-$Y28+50*IF('20.03'!$AK28="是",'20.03'!$BB$4,'20.03'!$BB$3)),(VLOOKUP('20.03'!AD28,'20.03'!$AO$4:$AQ$55,2,FALSE))*IF('20.03'!$AK28="是",'20.03'!$BB$4,'20.03'!$BB$3))</f>
        <v>0</v>
      </c>
      <c r="W28" s="4">
        <f>IF(ISNUMBER(SEARCH("营",'20.03'!AE28)),(-$Y28+50*IF('20.03'!$AK28="是",'20.03'!$BB$4,'20.03'!$BB$3)),(VLOOKUP('20.03'!AE28,'20.03'!$AO$4:$AQ$55,2,FALSE))*IF('20.03'!$AK28="是",'20.03'!$BB$4,'20.03'!$BB$3))</f>
        <v>0</v>
      </c>
      <c r="X28" s="4">
        <f>IF(ISNUMBER(SEARCH("营",'20.03'!AF28)),(-$Y28+50*IF('20.03'!$AK28="是",'20.03'!$BB$4,'20.03'!$BB$3)),(VLOOKUP('20.03'!AF28,'20.03'!$AO$4:$AQ$55,2,FALSE))*IF('20.03'!$AK28="是",'20.03'!$BB$4,'20.03'!$BB$3))</f>
        <v>0</v>
      </c>
      <c r="Y28" s="63">
        <v>200</v>
      </c>
      <c r="Z28" s="94">
        <v>45845</v>
      </c>
    </row>
    <row r="29" spans="1:26">
      <c r="A29" s="4">
        <f>IF(ISNUMBER(SEARCH("营",'20.03'!I29)),(-$Y29+50*IF('20.03'!$AK29="是",'20.03'!$BB$4,'20.03'!$BB$3)),(VLOOKUP('20.03'!I29,'20.03'!$AO$4:$AQ$55,2,FALSE))*IF('20.03'!$AK29="是",'20.03'!$BB$4,'20.03'!$BB$3))</f>
        <v>0</v>
      </c>
      <c r="B29" s="4">
        <f>IF(ISNUMBER(SEARCH("营",'20.03'!J29)),(-$Y29+50*IF('20.03'!$AK29="是",'20.03'!$BB$4,'20.03'!$BB$3)),(VLOOKUP('20.03'!J29,'20.03'!$AO$4:$AQ$55,2,FALSE))*IF('20.03'!$AK29="是",'20.03'!$BB$4,'20.03'!$BB$3))</f>
        <v>0</v>
      </c>
      <c r="C29" s="4">
        <f>IF(ISNUMBER(SEARCH("营",'20.03'!K29)),(-$Y29+50*IF('20.03'!$AK29="是",'20.03'!$BB$4,'20.03'!$BB$3)),(VLOOKUP('20.03'!K29,'20.03'!$AO$4:$AQ$55,2,FALSE))*IF('20.03'!$AK29="是",'20.03'!$BB$4,'20.03'!$BB$3))</f>
        <v>0</v>
      </c>
      <c r="D29" s="4">
        <f>IF(ISNUMBER(SEARCH("营",'20.03'!L29)),(-$Y29+50*IF('20.03'!$AK29="是",'20.03'!$BB$4,'20.03'!$BB$3)),(VLOOKUP('20.03'!L29,'20.03'!$AO$4:$AQ$55,2,FALSE))*IF('20.03'!$AK29="是",'20.03'!$BB$4,'20.03'!$BB$3))</f>
        <v>0</v>
      </c>
      <c r="E29" s="4">
        <f>IF(ISNUMBER(SEARCH("营",'20.03'!M29)),(-$Y29+50*IF('20.03'!$AK29="是",'20.03'!$BB$4,'20.03'!$BB$3)),(VLOOKUP('20.03'!M29,'20.03'!$AO$4:$AQ$55,2,FALSE))*IF('20.03'!$AK29="是",'20.03'!$BB$4,'20.03'!$BB$3))</f>
        <v>0</v>
      </c>
      <c r="F29" s="4">
        <f>IF(ISNUMBER(SEARCH("营",'20.03'!N29)),(-$Y29+50*IF('20.03'!$AK29="是",'20.03'!$BB$4,'20.03'!$BB$3)),(VLOOKUP('20.03'!N29,'20.03'!$AO$4:$AQ$55,2,FALSE))*IF('20.03'!$AK29="是",'20.03'!$BB$4,'20.03'!$BB$3))</f>
        <v>0</v>
      </c>
      <c r="G29" s="4">
        <f>IF(ISNUMBER(SEARCH("营",'20.03'!O29)),(-$Y29+50*IF('20.03'!$AK29="是",'20.03'!$BB$4,'20.03'!$BB$3)),(VLOOKUP('20.03'!O29,'20.03'!$AO$4:$AQ$55,2,FALSE))*IF('20.03'!$AK29="是",'20.03'!$BB$4,'20.03'!$BB$3))</f>
        <v>0</v>
      </c>
      <c r="H29" s="4">
        <f>IF(ISNUMBER(SEARCH("营",'20.03'!P29)),(-$Y29+50*IF('20.03'!$AK29="是",'20.03'!$BB$4,'20.03'!$BB$3)),(VLOOKUP('20.03'!P29,'20.03'!$AO$4:$AQ$55,2,FALSE))*IF('20.03'!$AK29="是",'20.03'!$BB$4,'20.03'!$BB$3))</f>
        <v>0</v>
      </c>
      <c r="I29" s="4">
        <f>IF(ISNUMBER(SEARCH("营",'20.03'!Q29)),(-$Y29+50*IF('20.03'!$AK29="是",'20.03'!$BB$4,'20.03'!$BB$3)),(VLOOKUP('20.03'!Q29,'20.03'!$AO$4:$AQ$55,2,FALSE))*IF('20.03'!$AK29="是",'20.03'!$BB$4,'20.03'!$BB$3))</f>
        <v>128</v>
      </c>
      <c r="J29" s="4">
        <f>IF(ISNUMBER(SEARCH("营",'20.03'!R29)),(-$Y29+50*IF('20.03'!$AK29="是",'20.03'!$BB$4,'20.03'!$BB$3)),(VLOOKUP('20.03'!R29,'20.03'!$AO$4:$AQ$55,2,FALSE))*IF('20.03'!$AK29="是",'20.03'!$BB$4,'20.03'!$BB$3))</f>
        <v>40</v>
      </c>
      <c r="K29" s="4">
        <f>IF(ISNUMBER(SEARCH("营",'20.03'!S29)),(-$Y29+50*IF('20.03'!$AK29="是",'20.03'!$BB$4,'20.03'!$BB$3)),(VLOOKUP('20.03'!S29,'20.03'!$AO$4:$AQ$55,2,FALSE))*IF('20.03'!$AK29="是",'20.03'!$BB$4,'20.03'!$BB$3))</f>
        <v>128</v>
      </c>
      <c r="L29" s="4">
        <f>IF(ISNUMBER(SEARCH("营",'20.03'!T29)),(-$Y29+50*IF('20.03'!$AK29="是",'20.03'!$BB$4,'20.03'!$BB$3)),(VLOOKUP('20.03'!T29,'20.03'!$AO$4:$AQ$55,2,FALSE))*IF('20.03'!$AK29="是",'20.03'!$BB$4,'20.03'!$BB$3))</f>
        <v>128</v>
      </c>
      <c r="M29" s="4">
        <f>IF(ISNUMBER(SEARCH("营",'20.03'!U29)),(-$Y29+50*IF('20.03'!$AK29="是",'20.03'!$BB$4,'20.03'!$BB$3)),(VLOOKUP('20.03'!U29,'20.03'!$AO$4:$AQ$55,2,FALSE))*IF('20.03'!$AK29="是",'20.03'!$BB$4,'20.03'!$BB$3))</f>
        <v>40</v>
      </c>
      <c r="N29" s="4">
        <f>IF(ISNUMBER(SEARCH("营",'20.03'!V29)),(-$Y29+50*IF('20.03'!$AK29="是",'20.03'!$BB$4,'20.03'!$BB$3)),(VLOOKUP('20.03'!V29,'20.03'!$AO$4:$AQ$55,2,FALSE))*IF('20.03'!$AK29="是",'20.03'!$BB$4,'20.03'!$BB$3))</f>
        <v>128</v>
      </c>
      <c r="O29" s="4">
        <f>IF(ISNUMBER(SEARCH("营",'20.03'!W29)),(-$Y29+50*IF('20.03'!$AK29="是",'20.03'!$BB$4,'20.03'!$BB$3)),(VLOOKUP('20.03'!W29,'20.03'!$AO$4:$AQ$55,2,FALSE))*IF('20.03'!$AK29="是",'20.03'!$BB$4,'20.03'!$BB$3))</f>
        <v>0</v>
      </c>
      <c r="P29" s="4">
        <f>IF(ISNUMBER(SEARCH("营",'20.03'!X29)),(-$Y29+50*IF('20.03'!$AK29="是",'20.03'!$BB$4,'20.03'!$BB$3)),(VLOOKUP('20.03'!X29,'20.03'!$AO$4:$AQ$55,2,FALSE))*IF('20.03'!$AK29="是",'20.03'!$BB$4,'20.03'!$BB$3))</f>
        <v>0</v>
      </c>
      <c r="Q29" s="4">
        <f>IF(ISNUMBER(SEARCH("营",'20.03'!Y29)),(-$Y29+50*IF('20.03'!$AK29="是",'20.03'!$BB$4,'20.03'!$BB$3)),(VLOOKUP('20.03'!Y29,'20.03'!$AO$4:$AQ$55,2,FALSE))*IF('20.03'!$AK29="是",'20.03'!$BB$4,'20.03'!$BB$3))</f>
        <v>0</v>
      </c>
      <c r="R29" s="4">
        <f>IF(ISNUMBER(SEARCH("营",'20.03'!Z29)),(-$Y29+50*IF('20.03'!$AK29="是",'20.03'!$BB$4,'20.03'!$BB$3)),(VLOOKUP('20.03'!Z29,'20.03'!$AO$4:$AQ$55,2,FALSE))*IF('20.03'!$AK29="是",'20.03'!$BB$4,'20.03'!$BB$3))</f>
        <v>0</v>
      </c>
      <c r="S29" s="4">
        <f>IF(ISNUMBER(SEARCH("营",'20.03'!AA29)),(-$Y29+50*IF('20.03'!$AK29="是",'20.03'!$BB$4,'20.03'!$BB$3)),(VLOOKUP('20.03'!AA29,'20.03'!$AO$4:$AQ$55,2,FALSE))*IF('20.03'!$AK29="是",'20.03'!$BB$4,'20.03'!$BB$3))</f>
        <v>0</v>
      </c>
      <c r="T29" s="4">
        <f>IF(ISNUMBER(SEARCH("营",'20.03'!AB29)),(-$Y29+50*IF('20.03'!$AK29="是",'20.03'!$BB$4,'20.03'!$BB$3)),(VLOOKUP('20.03'!AB29,'20.03'!$AO$4:$AQ$55,2,FALSE))*IF('20.03'!$AK29="是",'20.03'!$BB$4,'20.03'!$BB$3))</f>
        <v>0</v>
      </c>
      <c r="U29" s="4">
        <f>IF(ISNUMBER(SEARCH("营",'20.03'!AC29)),(-$Y29+50*IF('20.03'!$AK29="是",'20.03'!$BB$4,'20.03'!$BB$3)),(VLOOKUP('20.03'!AC29,'20.03'!$AO$4:$AQ$55,2,FALSE))*IF('20.03'!$AK29="是",'20.03'!$BB$4,'20.03'!$BB$3))</f>
        <v>0</v>
      </c>
      <c r="V29" s="4">
        <f>IF(ISNUMBER(SEARCH("营",'20.03'!AD29)),(-$Y29+50*IF('20.03'!$AK29="是",'20.03'!$BB$4,'20.03'!$BB$3)),(VLOOKUP('20.03'!AD29,'20.03'!$AO$4:$AQ$55,2,FALSE))*IF('20.03'!$AK29="是",'20.03'!$BB$4,'20.03'!$BB$3))</f>
        <v>0</v>
      </c>
      <c r="W29" s="4">
        <f>IF(ISNUMBER(SEARCH("营",'20.03'!AE29)),(-$Y29+50*IF('20.03'!$AK29="是",'20.03'!$BB$4,'20.03'!$BB$3)),(VLOOKUP('20.03'!AE29,'20.03'!$AO$4:$AQ$55,2,FALSE))*IF('20.03'!$AK29="是",'20.03'!$BB$4,'20.03'!$BB$3))</f>
        <v>0</v>
      </c>
      <c r="X29" s="4">
        <f>IF(ISNUMBER(SEARCH("营",'20.03'!AF29)),(-$Y29+50*IF('20.03'!$AK29="是",'20.03'!$BB$4,'20.03'!$BB$3)),(VLOOKUP('20.03'!AF29,'20.03'!$AO$4:$AQ$55,2,FALSE))*IF('20.03'!$AK29="是",'20.03'!$BB$4,'20.03'!$BB$3))</f>
        <v>0</v>
      </c>
      <c r="Y29" s="63">
        <v>200</v>
      </c>
      <c r="Z29" s="94">
        <v>45846</v>
      </c>
    </row>
    <row r="30" spans="1:26">
      <c r="A30" s="4">
        <f>IF(ISNUMBER(SEARCH("营",'20.03'!I30)),(-$Y30+50*IF('20.03'!$AK30="是",'20.03'!$BB$4,'20.03'!$BB$3)),(VLOOKUP('20.03'!I30,'20.03'!$AO$4:$AQ$55,2,FALSE))*IF('20.03'!$AK30="是",'20.03'!$BB$4,'20.03'!$BB$3))</f>
        <v>0</v>
      </c>
      <c r="B30" s="4">
        <f>IF(ISNUMBER(SEARCH("营",'20.03'!J30)),(-$Y30+50*IF('20.03'!$AK30="是",'20.03'!$BB$4,'20.03'!$BB$3)),(VLOOKUP('20.03'!J30,'20.03'!$AO$4:$AQ$55,2,FALSE))*IF('20.03'!$AK30="是",'20.03'!$BB$4,'20.03'!$BB$3))</f>
        <v>0</v>
      </c>
      <c r="C30" s="4">
        <f>IF(ISNUMBER(SEARCH("营",'20.03'!K30)),(-$Y30+50*IF('20.03'!$AK30="是",'20.03'!$BB$4,'20.03'!$BB$3)),(VLOOKUP('20.03'!K30,'20.03'!$AO$4:$AQ$55,2,FALSE))*IF('20.03'!$AK30="是",'20.03'!$BB$4,'20.03'!$BB$3))</f>
        <v>0</v>
      </c>
      <c r="D30" s="4">
        <f>IF(ISNUMBER(SEARCH("营",'20.03'!L30)),(-$Y30+50*IF('20.03'!$AK30="是",'20.03'!$BB$4,'20.03'!$BB$3)),(VLOOKUP('20.03'!L30,'20.03'!$AO$4:$AQ$55,2,FALSE))*IF('20.03'!$AK30="是",'20.03'!$BB$4,'20.03'!$BB$3))</f>
        <v>0</v>
      </c>
      <c r="E30" s="4">
        <f>IF(ISNUMBER(SEARCH("营",'20.03'!M30)),(-$Y30+50*IF('20.03'!$AK30="是",'20.03'!$BB$4,'20.03'!$BB$3)),(VLOOKUP('20.03'!M30,'20.03'!$AO$4:$AQ$55,2,FALSE))*IF('20.03'!$AK30="是",'20.03'!$BB$4,'20.03'!$BB$3))</f>
        <v>0</v>
      </c>
      <c r="F30" s="4">
        <f>IF(ISNUMBER(SEARCH("营",'20.03'!N30)),(-$Y30+50*IF('20.03'!$AK30="是",'20.03'!$BB$4,'20.03'!$BB$3)),(VLOOKUP('20.03'!N30,'20.03'!$AO$4:$AQ$55,2,FALSE))*IF('20.03'!$AK30="是",'20.03'!$BB$4,'20.03'!$BB$3))</f>
        <v>0</v>
      </c>
      <c r="G30" s="4">
        <f>IF(ISNUMBER(SEARCH("营",'20.03'!O30)),(-$Y30+50*IF('20.03'!$AK30="是",'20.03'!$BB$4,'20.03'!$BB$3)),(VLOOKUP('20.03'!O30,'20.03'!$AO$4:$AQ$55,2,FALSE))*IF('20.03'!$AK30="是",'20.03'!$BB$4,'20.03'!$BB$3))</f>
        <v>0</v>
      </c>
      <c r="H30" s="4">
        <f>IF(ISNUMBER(SEARCH("营",'20.03'!P30)),(-$Y30+50*IF('20.03'!$AK30="是",'20.03'!$BB$4,'20.03'!$BB$3)),(VLOOKUP('20.03'!P30,'20.03'!$AO$4:$AQ$55,2,FALSE))*IF('20.03'!$AK30="是",'20.03'!$BB$4,'20.03'!$BB$3))</f>
        <v>0</v>
      </c>
      <c r="I30" s="4">
        <f>IF(ISNUMBER(SEARCH("营",'20.03'!Q30)),(-$Y30+50*IF('20.03'!$AK30="是",'20.03'!$BB$4,'20.03'!$BB$3)),(VLOOKUP('20.03'!Q30,'20.03'!$AO$4:$AQ$55,2,FALSE))*IF('20.03'!$AK30="是",'20.03'!$BB$4,'20.03'!$BB$3))</f>
        <v>128</v>
      </c>
      <c r="J30" s="4">
        <f>IF(ISNUMBER(SEARCH("营",'20.03'!R30)),(-$Y30+50*IF('20.03'!$AK30="是",'20.03'!$BB$4,'20.03'!$BB$3)),(VLOOKUP('20.03'!R30,'20.03'!$AO$4:$AQ$55,2,FALSE))*IF('20.03'!$AK30="是",'20.03'!$BB$4,'20.03'!$BB$3))</f>
        <v>40</v>
      </c>
      <c r="K30" s="4">
        <f>IF(ISNUMBER(SEARCH("营",'20.03'!S30)),(-$Y30+50*IF('20.03'!$AK30="是",'20.03'!$BB$4,'20.03'!$BB$3)),(VLOOKUP('20.03'!S30,'20.03'!$AO$4:$AQ$55,2,FALSE))*IF('20.03'!$AK30="是",'20.03'!$BB$4,'20.03'!$BB$3))</f>
        <v>128</v>
      </c>
      <c r="L30" s="4">
        <f>IF(ISNUMBER(SEARCH("营",'20.03'!T30)),(-$Y30+50*IF('20.03'!$AK30="是",'20.03'!$BB$4,'20.03'!$BB$3)),(VLOOKUP('20.03'!T30,'20.03'!$AO$4:$AQ$55,2,FALSE))*IF('20.03'!$AK30="是",'20.03'!$BB$4,'20.03'!$BB$3))</f>
        <v>128</v>
      </c>
      <c r="M30" s="4">
        <f>IF(ISNUMBER(SEARCH("营",'20.03'!U30)),(-$Y30+50*IF('20.03'!$AK30="是",'20.03'!$BB$4,'20.03'!$BB$3)),(VLOOKUP('20.03'!U30,'20.03'!$AO$4:$AQ$55,2,FALSE))*IF('20.03'!$AK30="是",'20.03'!$BB$4,'20.03'!$BB$3))</f>
        <v>128</v>
      </c>
      <c r="N30" s="4">
        <f>IF(ISNUMBER(SEARCH("营",'20.03'!V30)),(-$Y30+50*IF('20.03'!$AK30="是",'20.03'!$BB$4,'20.03'!$BB$3)),(VLOOKUP('20.03'!V30,'20.03'!$AO$4:$AQ$55,2,FALSE))*IF('20.03'!$AK30="是",'20.03'!$BB$4,'20.03'!$BB$3))</f>
        <v>128</v>
      </c>
      <c r="O30" s="4">
        <f>IF(ISNUMBER(SEARCH("营",'20.03'!W30)),(-$Y30+50*IF('20.03'!$AK30="是",'20.03'!$BB$4,'20.03'!$BB$3)),(VLOOKUP('20.03'!W30,'20.03'!$AO$4:$AQ$55,2,FALSE))*IF('20.03'!$AK30="是",'20.03'!$BB$4,'20.03'!$BB$3))</f>
        <v>40</v>
      </c>
      <c r="P30" s="4">
        <f>IF(ISNUMBER(SEARCH("营",'20.03'!X30)),(-$Y30+50*IF('20.03'!$AK30="是",'20.03'!$BB$4,'20.03'!$BB$3)),(VLOOKUP('20.03'!X30,'20.03'!$AO$4:$AQ$55,2,FALSE))*IF('20.03'!$AK30="是",'20.03'!$BB$4,'20.03'!$BB$3))</f>
        <v>0</v>
      </c>
      <c r="Q30" s="4">
        <f>IF(ISNUMBER(SEARCH("营",'20.03'!Y30)),(-$Y30+50*IF('20.03'!$AK30="是",'20.03'!$BB$4,'20.03'!$BB$3)),(VLOOKUP('20.03'!Y30,'20.03'!$AO$4:$AQ$55,2,FALSE))*IF('20.03'!$AK30="是",'20.03'!$BB$4,'20.03'!$BB$3))</f>
        <v>0</v>
      </c>
      <c r="R30" s="4">
        <f>IF(ISNUMBER(SEARCH("营",'20.03'!Z30)),(-$Y30+50*IF('20.03'!$AK30="是",'20.03'!$BB$4,'20.03'!$BB$3)),(VLOOKUP('20.03'!Z30,'20.03'!$AO$4:$AQ$55,2,FALSE))*IF('20.03'!$AK30="是",'20.03'!$BB$4,'20.03'!$BB$3))</f>
        <v>0</v>
      </c>
      <c r="S30" s="4">
        <f>IF(ISNUMBER(SEARCH("营",'20.03'!AA30)),(-$Y30+50*IF('20.03'!$AK30="是",'20.03'!$BB$4,'20.03'!$BB$3)),(VLOOKUP('20.03'!AA30,'20.03'!$AO$4:$AQ$55,2,FALSE))*IF('20.03'!$AK30="是",'20.03'!$BB$4,'20.03'!$BB$3))</f>
        <v>0</v>
      </c>
      <c r="T30" s="4">
        <f>IF(ISNUMBER(SEARCH("营",'20.03'!AB30)),(-$Y30+50*IF('20.03'!$AK30="是",'20.03'!$BB$4,'20.03'!$BB$3)),(VLOOKUP('20.03'!AB30,'20.03'!$AO$4:$AQ$55,2,FALSE))*IF('20.03'!$AK30="是",'20.03'!$BB$4,'20.03'!$BB$3))</f>
        <v>0</v>
      </c>
      <c r="U30" s="4">
        <f>IF(ISNUMBER(SEARCH("营",'20.03'!AC30)),(-$Y30+50*IF('20.03'!$AK30="是",'20.03'!$BB$4,'20.03'!$BB$3)),(VLOOKUP('20.03'!AC30,'20.03'!$AO$4:$AQ$55,2,FALSE))*IF('20.03'!$AK30="是",'20.03'!$BB$4,'20.03'!$BB$3))</f>
        <v>0</v>
      </c>
      <c r="V30" s="4">
        <f>IF(ISNUMBER(SEARCH("营",'20.03'!AD30)),(-$Y30+50*IF('20.03'!$AK30="是",'20.03'!$BB$4,'20.03'!$BB$3)),(VLOOKUP('20.03'!AD30,'20.03'!$AO$4:$AQ$55,2,FALSE))*IF('20.03'!$AK30="是",'20.03'!$BB$4,'20.03'!$BB$3))</f>
        <v>0</v>
      </c>
      <c r="W30" s="4">
        <f>IF(ISNUMBER(SEARCH("营",'20.03'!AE30)),(-$Y30+50*IF('20.03'!$AK30="是",'20.03'!$BB$4,'20.03'!$BB$3)),(VLOOKUP('20.03'!AE30,'20.03'!$AO$4:$AQ$55,2,FALSE))*IF('20.03'!$AK30="是",'20.03'!$BB$4,'20.03'!$BB$3))</f>
        <v>0</v>
      </c>
      <c r="X30" s="4">
        <f>IF(ISNUMBER(SEARCH("营",'20.03'!AF30)),(-$Y30+50*IF('20.03'!$AK30="是",'20.03'!$BB$4,'20.03'!$BB$3)),(VLOOKUP('20.03'!AF30,'20.03'!$AO$4:$AQ$55,2,FALSE))*IF('20.03'!$AK30="是",'20.03'!$BB$4,'20.03'!$BB$3))</f>
        <v>0</v>
      </c>
      <c r="Y30" s="63">
        <v>200</v>
      </c>
      <c r="Z30" s="94">
        <v>45847</v>
      </c>
    </row>
    <row r="31" spans="1:26">
      <c r="A31" s="4">
        <f>IF(ISNUMBER(SEARCH("营",'20.03'!I31)),(-$Y31+50*IF('20.03'!$AK31="是",'20.03'!$BB$4,'20.03'!$BB$3)),(VLOOKUP('20.03'!I31,'20.03'!$AO$4:$AQ$55,2,FALSE))*IF('20.03'!$AK31="是",'20.03'!$BB$4,'20.03'!$BB$3))</f>
        <v>0</v>
      </c>
      <c r="B31" s="4">
        <f>IF(ISNUMBER(SEARCH("营",'20.03'!J31)),(-$Y31+50*IF('20.03'!$AK31="是",'20.03'!$BB$4,'20.03'!$BB$3)),(VLOOKUP('20.03'!J31,'20.03'!$AO$4:$AQ$55,2,FALSE))*IF('20.03'!$AK31="是",'20.03'!$BB$4,'20.03'!$BB$3))</f>
        <v>0</v>
      </c>
      <c r="C31" s="4">
        <f>IF(ISNUMBER(SEARCH("营",'20.03'!K31)),(-$Y31+50*IF('20.03'!$AK31="是",'20.03'!$BB$4,'20.03'!$BB$3)),(VLOOKUP('20.03'!K31,'20.03'!$AO$4:$AQ$55,2,FALSE))*IF('20.03'!$AK31="是",'20.03'!$BB$4,'20.03'!$BB$3))</f>
        <v>0</v>
      </c>
      <c r="D31" s="4">
        <f>IF(ISNUMBER(SEARCH("营",'20.03'!L31)),(-$Y31+50*IF('20.03'!$AK31="是",'20.03'!$BB$4,'20.03'!$BB$3)),(VLOOKUP('20.03'!L31,'20.03'!$AO$4:$AQ$55,2,FALSE))*IF('20.03'!$AK31="是",'20.03'!$BB$4,'20.03'!$BB$3))</f>
        <v>0</v>
      </c>
      <c r="E31" s="4">
        <f>IF(ISNUMBER(SEARCH("营",'20.03'!M31)),(-$Y31+50*IF('20.03'!$AK31="是",'20.03'!$BB$4,'20.03'!$BB$3)),(VLOOKUP('20.03'!M31,'20.03'!$AO$4:$AQ$55,2,FALSE))*IF('20.03'!$AK31="是",'20.03'!$BB$4,'20.03'!$BB$3))</f>
        <v>0</v>
      </c>
      <c r="F31" s="4">
        <f>IF(ISNUMBER(SEARCH("营",'20.03'!N31)),(-$Y31+50*IF('20.03'!$AK31="是",'20.03'!$BB$4,'20.03'!$BB$3)),(VLOOKUP('20.03'!N31,'20.03'!$AO$4:$AQ$55,2,FALSE))*IF('20.03'!$AK31="是",'20.03'!$BB$4,'20.03'!$BB$3))</f>
        <v>0</v>
      </c>
      <c r="G31" s="4">
        <f>IF(ISNUMBER(SEARCH("营",'20.03'!O31)),(-$Y31+50*IF('20.03'!$AK31="是",'20.03'!$BB$4,'20.03'!$BB$3)),(VLOOKUP('20.03'!O31,'20.03'!$AO$4:$AQ$55,2,FALSE))*IF('20.03'!$AK31="是",'20.03'!$BB$4,'20.03'!$BB$3))</f>
        <v>0</v>
      </c>
      <c r="H31" s="4">
        <f>IF(ISNUMBER(SEARCH("营",'20.03'!P31)),(-$Y31+50*IF('20.03'!$AK31="是",'20.03'!$BB$4,'20.03'!$BB$3)),(VLOOKUP('20.03'!P31,'20.03'!$AO$4:$AQ$55,2,FALSE))*IF('20.03'!$AK31="是",'20.03'!$BB$4,'20.03'!$BB$3))</f>
        <v>0</v>
      </c>
      <c r="I31" s="4">
        <f>IF(ISNUMBER(SEARCH("营",'20.03'!Q31)),(-$Y31+50*IF('20.03'!$AK31="是",'20.03'!$BB$4,'20.03'!$BB$3)),(VLOOKUP('20.03'!Q31,'20.03'!$AO$4:$AQ$55,2,FALSE))*IF('20.03'!$AK31="是",'20.03'!$BB$4,'20.03'!$BB$3))</f>
        <v>0</v>
      </c>
      <c r="J31" s="4">
        <f>IF(ISNUMBER(SEARCH("营",'20.03'!R31)),(-$Y31+50*IF('20.03'!$AK31="是",'20.03'!$BB$4,'20.03'!$BB$3)),(VLOOKUP('20.03'!R31,'20.03'!$AO$4:$AQ$55,2,FALSE))*IF('20.03'!$AK31="是",'20.03'!$BB$4,'20.03'!$BB$3))</f>
        <v>0</v>
      </c>
      <c r="K31" s="4">
        <f>IF(ISNUMBER(SEARCH("营",'20.03'!S31)),(-$Y31+50*IF('20.03'!$AK31="是",'20.03'!$BB$4,'20.03'!$BB$3)),(VLOOKUP('20.03'!S31,'20.03'!$AO$4:$AQ$55,2,FALSE))*IF('20.03'!$AK31="是",'20.03'!$BB$4,'20.03'!$BB$3))</f>
        <v>0</v>
      </c>
      <c r="L31" s="4">
        <f>IF(ISNUMBER(SEARCH("营",'20.03'!T31)),(-$Y31+50*IF('20.03'!$AK31="是",'20.03'!$BB$4,'20.03'!$BB$3)),(VLOOKUP('20.03'!T31,'20.03'!$AO$4:$AQ$55,2,FALSE))*IF('20.03'!$AK31="是",'20.03'!$BB$4,'20.03'!$BB$3))</f>
        <v>0</v>
      </c>
      <c r="M31" s="4">
        <f>IF(ISNUMBER(SEARCH("营",'20.03'!U31)),(-$Y31+50*IF('20.03'!$AK31="是",'20.03'!$BB$4,'20.03'!$BB$3)),(VLOOKUP('20.03'!U31,'20.03'!$AO$4:$AQ$55,2,FALSE))*IF('20.03'!$AK31="是",'20.03'!$BB$4,'20.03'!$BB$3))</f>
        <v>0</v>
      </c>
      <c r="N31" s="4">
        <f>IF(ISNUMBER(SEARCH("营",'20.03'!V31)),(-$Y31+50*IF('20.03'!$AK31="是",'20.03'!$BB$4,'20.03'!$BB$3)),(VLOOKUP('20.03'!V31,'20.03'!$AO$4:$AQ$55,2,FALSE))*IF('20.03'!$AK31="是",'20.03'!$BB$4,'20.03'!$BB$3))</f>
        <v>0</v>
      </c>
      <c r="O31" s="4">
        <f>IF(ISNUMBER(SEARCH("营",'20.03'!W31)),(-$Y31+50*IF('20.03'!$AK31="是",'20.03'!$BB$4,'20.03'!$BB$3)),(VLOOKUP('20.03'!W31,'20.03'!$AO$4:$AQ$55,2,FALSE))*IF('20.03'!$AK31="是",'20.03'!$BB$4,'20.03'!$BB$3))</f>
        <v>0</v>
      </c>
      <c r="P31" s="4">
        <f>IF(ISNUMBER(SEARCH("营",'20.03'!X31)),(-$Y31+50*IF('20.03'!$AK31="是",'20.03'!$BB$4,'20.03'!$BB$3)),(VLOOKUP('20.03'!X31,'20.03'!$AO$4:$AQ$55,2,FALSE))*IF('20.03'!$AK31="是",'20.03'!$BB$4,'20.03'!$BB$3))</f>
        <v>0</v>
      </c>
      <c r="Q31" s="4">
        <f>IF(ISNUMBER(SEARCH("营",'20.03'!Y31)),(-$Y31+50*IF('20.03'!$AK31="是",'20.03'!$BB$4,'20.03'!$BB$3)),(VLOOKUP('20.03'!Y31,'20.03'!$AO$4:$AQ$55,2,FALSE))*IF('20.03'!$AK31="是",'20.03'!$BB$4,'20.03'!$BB$3))</f>
        <v>0</v>
      </c>
      <c r="R31" s="4">
        <f>IF(ISNUMBER(SEARCH("营",'20.03'!Z31)),(-$Y31+50*IF('20.03'!$AK31="是",'20.03'!$BB$4,'20.03'!$BB$3)),(VLOOKUP('20.03'!Z31,'20.03'!$AO$4:$AQ$55,2,FALSE))*IF('20.03'!$AK31="是",'20.03'!$BB$4,'20.03'!$BB$3))</f>
        <v>0</v>
      </c>
      <c r="S31" s="4">
        <f>IF(ISNUMBER(SEARCH("营",'20.03'!AA31)),(-$Y31+50*IF('20.03'!$AK31="是",'20.03'!$BB$4,'20.03'!$BB$3)),(VLOOKUP('20.03'!AA31,'20.03'!$AO$4:$AQ$55,2,FALSE))*IF('20.03'!$AK31="是",'20.03'!$BB$4,'20.03'!$BB$3))</f>
        <v>0</v>
      </c>
      <c r="T31" s="4">
        <f>IF(ISNUMBER(SEARCH("营",'20.03'!AB31)),(-$Y31+50*IF('20.03'!$AK31="是",'20.03'!$BB$4,'20.03'!$BB$3)),(VLOOKUP('20.03'!AB31,'20.03'!$AO$4:$AQ$55,2,FALSE))*IF('20.03'!$AK31="是",'20.03'!$BB$4,'20.03'!$BB$3))</f>
        <v>0</v>
      </c>
      <c r="U31" s="4">
        <f>IF(ISNUMBER(SEARCH("营",'20.03'!AC31)),(-$Y31+50*IF('20.03'!$AK31="是",'20.03'!$BB$4,'20.03'!$BB$3)),(VLOOKUP('20.03'!AC31,'20.03'!$AO$4:$AQ$55,2,FALSE))*IF('20.03'!$AK31="是",'20.03'!$BB$4,'20.03'!$BB$3))</f>
        <v>0</v>
      </c>
      <c r="V31" s="4">
        <f>IF(ISNUMBER(SEARCH("营",'20.03'!AD31)),(-$Y31+50*IF('20.03'!$AK31="是",'20.03'!$BB$4,'20.03'!$BB$3)),(VLOOKUP('20.03'!AD31,'20.03'!$AO$4:$AQ$55,2,FALSE))*IF('20.03'!$AK31="是",'20.03'!$BB$4,'20.03'!$BB$3))</f>
        <v>0</v>
      </c>
      <c r="W31" s="4">
        <f>IF(ISNUMBER(SEARCH("营",'20.03'!AE31)),(-$Y31+50*IF('20.03'!$AK31="是",'20.03'!$BB$4,'20.03'!$BB$3)),(VLOOKUP('20.03'!AE31,'20.03'!$AO$4:$AQ$55,2,FALSE))*IF('20.03'!$AK31="是",'20.03'!$BB$4,'20.03'!$BB$3))</f>
        <v>0</v>
      </c>
      <c r="X31" s="4">
        <f>IF(ISNUMBER(SEARCH("营",'20.03'!AF31)),(-$Y31+50*IF('20.03'!$AK31="是",'20.03'!$BB$4,'20.03'!$BB$3)),(VLOOKUP('20.03'!AF31,'20.03'!$AO$4:$AQ$55,2,FALSE))*IF('20.03'!$AK31="是",'20.03'!$BB$4,'20.03'!$BB$3))</f>
        <v>0</v>
      </c>
      <c r="Y31" s="63">
        <v>200</v>
      </c>
      <c r="Z31" s="94">
        <v>45848</v>
      </c>
    </row>
    <row r="32" spans="1:26">
      <c r="A32" s="4">
        <f>IF(ISNUMBER(SEARCH("营",'20.03'!I32)),(-$Y32+50*IF('20.03'!$AK32="是",'20.03'!$BB$4,'20.03'!$BB$3)),(VLOOKUP('20.03'!I32,'20.03'!$AO$4:$AQ$55,2,FALSE))*IF('20.03'!$AK32="是",'20.03'!$BB$4,'20.03'!$BB$3))</f>
        <v>0</v>
      </c>
      <c r="B32" s="4">
        <f>IF(ISNUMBER(SEARCH("营",'20.03'!J32)),(-$Y32+50*IF('20.03'!$AK32="是",'20.03'!$BB$4,'20.03'!$BB$3)),(VLOOKUP('20.03'!J32,'20.03'!$AO$4:$AQ$55,2,FALSE))*IF('20.03'!$AK32="是",'20.03'!$BB$4,'20.03'!$BB$3))</f>
        <v>0</v>
      </c>
      <c r="C32" s="4">
        <f>IF(ISNUMBER(SEARCH("营",'20.03'!K32)),(-$Y32+50*IF('20.03'!$AK32="是",'20.03'!$BB$4,'20.03'!$BB$3)),(VLOOKUP('20.03'!K32,'20.03'!$AO$4:$AQ$55,2,FALSE))*IF('20.03'!$AK32="是",'20.03'!$BB$4,'20.03'!$BB$3))</f>
        <v>0</v>
      </c>
      <c r="D32" s="4">
        <f>IF(ISNUMBER(SEARCH("营",'20.03'!L32)),(-$Y32+50*IF('20.03'!$AK32="是",'20.03'!$BB$4,'20.03'!$BB$3)),(VLOOKUP('20.03'!L32,'20.03'!$AO$4:$AQ$55,2,FALSE))*IF('20.03'!$AK32="是",'20.03'!$BB$4,'20.03'!$BB$3))</f>
        <v>0</v>
      </c>
      <c r="E32" s="4">
        <f>IF(ISNUMBER(SEARCH("营",'20.03'!M32)),(-$Y32+50*IF('20.03'!$AK32="是",'20.03'!$BB$4,'20.03'!$BB$3)),(VLOOKUP('20.03'!M32,'20.03'!$AO$4:$AQ$55,2,FALSE))*IF('20.03'!$AK32="是",'20.03'!$BB$4,'20.03'!$BB$3))</f>
        <v>0</v>
      </c>
      <c r="F32" s="4">
        <f>IF(ISNUMBER(SEARCH("营",'20.03'!N32)),(-$Y32+50*IF('20.03'!$AK32="是",'20.03'!$BB$4,'20.03'!$BB$3)),(VLOOKUP('20.03'!N32,'20.03'!$AO$4:$AQ$55,2,FALSE))*IF('20.03'!$AK32="是",'20.03'!$BB$4,'20.03'!$BB$3))</f>
        <v>0</v>
      </c>
      <c r="G32" s="4">
        <f>IF(ISNUMBER(SEARCH("营",'20.03'!O32)),(-$Y32+50*IF('20.03'!$AK32="是",'20.03'!$BB$4,'20.03'!$BB$3)),(VLOOKUP('20.03'!O32,'20.03'!$AO$4:$AQ$55,2,FALSE))*IF('20.03'!$AK32="是",'20.03'!$BB$4,'20.03'!$BB$3))</f>
        <v>0</v>
      </c>
      <c r="H32" s="4">
        <f>IF(ISNUMBER(SEARCH("营",'20.03'!P32)),(-$Y32+50*IF('20.03'!$AK32="是",'20.03'!$BB$4,'20.03'!$BB$3)),(VLOOKUP('20.03'!P32,'20.03'!$AO$4:$AQ$55,2,FALSE))*IF('20.03'!$AK32="是",'20.03'!$BB$4,'20.03'!$BB$3))</f>
        <v>0</v>
      </c>
      <c r="I32" s="4">
        <f>IF(ISNUMBER(SEARCH("营",'20.03'!Q32)),(-$Y32+50*IF('20.03'!$AK32="是",'20.03'!$BB$4,'20.03'!$BB$3)),(VLOOKUP('20.03'!Q32,'20.03'!$AO$4:$AQ$55,2,FALSE))*IF('20.03'!$AK32="是",'20.03'!$BB$4,'20.03'!$BB$3))</f>
        <v>0</v>
      </c>
      <c r="J32" s="4">
        <f>IF(ISNUMBER(SEARCH("营",'20.03'!R32)),(-$Y32+50*IF('20.03'!$AK32="是",'20.03'!$BB$4,'20.03'!$BB$3)),(VLOOKUP('20.03'!R32,'20.03'!$AO$4:$AQ$55,2,FALSE))*IF('20.03'!$AK32="是",'20.03'!$BB$4,'20.03'!$BB$3))</f>
        <v>0</v>
      </c>
      <c r="K32" s="4">
        <f>IF(ISNUMBER(SEARCH("营",'20.03'!S32)),(-$Y32+50*IF('20.03'!$AK32="是",'20.03'!$BB$4,'20.03'!$BB$3)),(VLOOKUP('20.03'!S32,'20.03'!$AO$4:$AQ$55,2,FALSE))*IF('20.03'!$AK32="是",'20.03'!$BB$4,'20.03'!$BB$3))</f>
        <v>0</v>
      </c>
      <c r="L32" s="4">
        <f>IF(ISNUMBER(SEARCH("营",'20.03'!T32)),(-$Y32+50*IF('20.03'!$AK32="是",'20.03'!$BB$4,'20.03'!$BB$3)),(VLOOKUP('20.03'!T32,'20.03'!$AO$4:$AQ$55,2,FALSE))*IF('20.03'!$AK32="是",'20.03'!$BB$4,'20.03'!$BB$3))</f>
        <v>0</v>
      </c>
      <c r="M32" s="4">
        <f>IF(ISNUMBER(SEARCH("营",'20.03'!U32)),(-$Y32+50*IF('20.03'!$AK32="是",'20.03'!$BB$4,'20.03'!$BB$3)),(VLOOKUP('20.03'!U32,'20.03'!$AO$4:$AQ$55,2,FALSE))*IF('20.03'!$AK32="是",'20.03'!$BB$4,'20.03'!$BB$3))</f>
        <v>0</v>
      </c>
      <c r="N32" s="4">
        <f>IF(ISNUMBER(SEARCH("营",'20.03'!V32)),(-$Y32+50*IF('20.03'!$AK32="是",'20.03'!$BB$4,'20.03'!$BB$3)),(VLOOKUP('20.03'!V32,'20.03'!$AO$4:$AQ$55,2,FALSE))*IF('20.03'!$AK32="是",'20.03'!$BB$4,'20.03'!$BB$3))</f>
        <v>0</v>
      </c>
      <c r="O32" s="4">
        <f>IF(ISNUMBER(SEARCH("营",'20.03'!W32)),(-$Y32+50*IF('20.03'!$AK32="是",'20.03'!$BB$4,'20.03'!$BB$3)),(VLOOKUP('20.03'!W32,'20.03'!$AO$4:$AQ$55,2,FALSE))*IF('20.03'!$AK32="是",'20.03'!$BB$4,'20.03'!$BB$3))</f>
        <v>0</v>
      </c>
      <c r="P32" s="4">
        <f>IF(ISNUMBER(SEARCH("营",'20.03'!X32)),(-$Y32+50*IF('20.03'!$AK32="是",'20.03'!$BB$4,'20.03'!$BB$3)),(VLOOKUP('20.03'!X32,'20.03'!$AO$4:$AQ$55,2,FALSE))*IF('20.03'!$AK32="是",'20.03'!$BB$4,'20.03'!$BB$3))</f>
        <v>0</v>
      </c>
      <c r="Q32" s="4">
        <f>IF(ISNUMBER(SEARCH("营",'20.03'!Y32)),(-$Y32+50*IF('20.03'!$AK32="是",'20.03'!$BB$4,'20.03'!$BB$3)),(VLOOKUP('20.03'!Y32,'20.03'!$AO$4:$AQ$55,2,FALSE))*IF('20.03'!$AK32="是",'20.03'!$BB$4,'20.03'!$BB$3))</f>
        <v>0</v>
      </c>
      <c r="R32" s="4">
        <f>IF(ISNUMBER(SEARCH("营",'20.03'!Z32)),(-$Y32+50*IF('20.03'!$AK32="是",'20.03'!$BB$4,'20.03'!$BB$3)),(VLOOKUP('20.03'!Z32,'20.03'!$AO$4:$AQ$55,2,FALSE))*IF('20.03'!$AK32="是",'20.03'!$BB$4,'20.03'!$BB$3))</f>
        <v>0</v>
      </c>
      <c r="S32" s="4">
        <f>IF(ISNUMBER(SEARCH("营",'20.03'!AA32)),(-$Y32+50*IF('20.03'!$AK32="是",'20.03'!$BB$4,'20.03'!$BB$3)),(VLOOKUP('20.03'!AA32,'20.03'!$AO$4:$AQ$55,2,FALSE))*IF('20.03'!$AK32="是",'20.03'!$BB$4,'20.03'!$BB$3))</f>
        <v>0</v>
      </c>
      <c r="T32" s="4">
        <f>IF(ISNUMBER(SEARCH("营",'20.03'!AB32)),(-$Y32+50*IF('20.03'!$AK32="是",'20.03'!$BB$4,'20.03'!$BB$3)),(VLOOKUP('20.03'!AB32,'20.03'!$AO$4:$AQ$55,2,FALSE))*IF('20.03'!$AK32="是",'20.03'!$BB$4,'20.03'!$BB$3))</f>
        <v>0</v>
      </c>
      <c r="U32" s="4">
        <f>IF(ISNUMBER(SEARCH("营",'20.03'!AC32)),(-$Y32+50*IF('20.03'!$AK32="是",'20.03'!$BB$4,'20.03'!$BB$3)),(VLOOKUP('20.03'!AC32,'20.03'!$AO$4:$AQ$55,2,FALSE))*IF('20.03'!$AK32="是",'20.03'!$BB$4,'20.03'!$BB$3))</f>
        <v>0</v>
      </c>
      <c r="V32" s="4">
        <f>IF(ISNUMBER(SEARCH("营",'20.03'!AD32)),(-$Y32+50*IF('20.03'!$AK32="是",'20.03'!$BB$4,'20.03'!$BB$3)),(VLOOKUP('20.03'!AD32,'20.03'!$AO$4:$AQ$55,2,FALSE))*IF('20.03'!$AK32="是",'20.03'!$BB$4,'20.03'!$BB$3))</f>
        <v>0</v>
      </c>
      <c r="W32" s="4">
        <f>IF(ISNUMBER(SEARCH("营",'20.03'!AE32)),(-$Y32+50*IF('20.03'!$AK32="是",'20.03'!$BB$4,'20.03'!$BB$3)),(VLOOKUP('20.03'!AE32,'20.03'!$AO$4:$AQ$55,2,FALSE))*IF('20.03'!$AK32="是",'20.03'!$BB$4,'20.03'!$BB$3))</f>
        <v>0</v>
      </c>
      <c r="X32" s="4">
        <f>IF(ISNUMBER(SEARCH("营",'20.03'!AF32)),(-$Y32+50*IF('20.03'!$AK32="是",'20.03'!$BB$4,'20.03'!$BB$3)),(VLOOKUP('20.03'!AF32,'20.03'!$AO$4:$AQ$55,2,FALSE))*IF('20.03'!$AK32="是",'20.03'!$BB$4,'20.03'!$BB$3))</f>
        <v>0</v>
      </c>
      <c r="Y32" s="63">
        <v>200</v>
      </c>
      <c r="Z32" s="94">
        <v>45849</v>
      </c>
    </row>
    <row r="33" spans="1:26">
      <c r="A33" s="4">
        <f>IF(ISNUMBER(SEARCH("营",'20.03'!I33)),(-$Y33+50*IF('20.03'!$AK33="是",'20.03'!$BB$4,'20.03'!$BB$3)),(VLOOKUP('20.03'!I33,'20.03'!$AO$4:$AQ$55,2,FALSE))*IF('20.03'!$AK33="是",'20.03'!$BB$4,'20.03'!$BB$3))</f>
        <v>0</v>
      </c>
      <c r="B33" s="4">
        <f>IF(ISNUMBER(SEARCH("营",'20.03'!J33)),(-$Y33+50*IF('20.03'!$AK33="是",'20.03'!$BB$4,'20.03'!$BB$3)),(VLOOKUP('20.03'!J33,'20.03'!$AO$4:$AQ$55,2,FALSE))*IF('20.03'!$AK33="是",'20.03'!$BB$4,'20.03'!$BB$3))</f>
        <v>0</v>
      </c>
      <c r="C33" s="4">
        <f>IF(ISNUMBER(SEARCH("营",'20.03'!K33)),(-$Y33+50*IF('20.03'!$AK33="是",'20.03'!$BB$4,'20.03'!$BB$3)),(VLOOKUP('20.03'!K33,'20.03'!$AO$4:$AQ$55,2,FALSE))*IF('20.03'!$AK33="是",'20.03'!$BB$4,'20.03'!$BB$3))</f>
        <v>0</v>
      </c>
      <c r="D33" s="4">
        <f>IF(ISNUMBER(SEARCH("营",'20.03'!L33)),(-$Y33+50*IF('20.03'!$AK33="是",'20.03'!$BB$4,'20.03'!$BB$3)),(VLOOKUP('20.03'!L33,'20.03'!$AO$4:$AQ$55,2,FALSE))*IF('20.03'!$AK33="是",'20.03'!$BB$4,'20.03'!$BB$3))</f>
        <v>0</v>
      </c>
      <c r="E33" s="4">
        <f>IF(ISNUMBER(SEARCH("营",'20.03'!M33)),(-$Y33+50*IF('20.03'!$AK33="是",'20.03'!$BB$4,'20.03'!$BB$3)),(VLOOKUP('20.03'!M33,'20.03'!$AO$4:$AQ$55,2,FALSE))*IF('20.03'!$AK33="是",'20.03'!$BB$4,'20.03'!$BB$3))</f>
        <v>0</v>
      </c>
      <c r="F33" s="4">
        <f>IF(ISNUMBER(SEARCH("营",'20.03'!N33)),(-$Y33+50*IF('20.03'!$AK33="是",'20.03'!$BB$4,'20.03'!$BB$3)),(VLOOKUP('20.03'!N33,'20.03'!$AO$4:$AQ$55,2,FALSE))*IF('20.03'!$AK33="是",'20.03'!$BB$4,'20.03'!$BB$3))</f>
        <v>0</v>
      </c>
      <c r="G33" s="4">
        <f>IF(ISNUMBER(SEARCH("营",'20.03'!O33)),(-$Y33+50*IF('20.03'!$AK33="是",'20.03'!$BB$4,'20.03'!$BB$3)),(VLOOKUP('20.03'!O33,'20.03'!$AO$4:$AQ$55,2,FALSE))*IF('20.03'!$AK33="是",'20.03'!$BB$4,'20.03'!$BB$3))</f>
        <v>0</v>
      </c>
      <c r="H33" s="4">
        <f>IF(ISNUMBER(SEARCH("营",'20.03'!P33)),(-$Y33+50*IF('20.03'!$AK33="是",'20.03'!$BB$4,'20.03'!$BB$3)),(VLOOKUP('20.03'!P33,'20.03'!$AO$4:$AQ$55,2,FALSE))*IF('20.03'!$AK33="是",'20.03'!$BB$4,'20.03'!$BB$3))</f>
        <v>0</v>
      </c>
      <c r="I33" s="4">
        <f>IF(ISNUMBER(SEARCH("营",'20.03'!Q33)),(-$Y33+50*IF('20.03'!$AK33="是",'20.03'!$BB$4,'20.03'!$BB$3)),(VLOOKUP('20.03'!Q33,'20.03'!$AO$4:$AQ$55,2,FALSE))*IF('20.03'!$AK33="是",'20.03'!$BB$4,'20.03'!$BB$3))</f>
        <v>0</v>
      </c>
      <c r="J33" s="4">
        <f>IF(ISNUMBER(SEARCH("营",'20.03'!R33)),(-$Y33+50*IF('20.03'!$AK33="是",'20.03'!$BB$4,'20.03'!$BB$3)),(VLOOKUP('20.03'!R33,'20.03'!$AO$4:$AQ$55,2,FALSE))*IF('20.03'!$AK33="是",'20.03'!$BB$4,'20.03'!$BB$3))</f>
        <v>0</v>
      </c>
      <c r="K33" s="4">
        <f>IF(ISNUMBER(SEARCH("营",'20.03'!S33)),(-$Y33+50*IF('20.03'!$AK33="是",'20.03'!$BB$4,'20.03'!$BB$3)),(VLOOKUP('20.03'!S33,'20.03'!$AO$4:$AQ$55,2,FALSE))*IF('20.03'!$AK33="是",'20.03'!$BB$4,'20.03'!$BB$3))</f>
        <v>0</v>
      </c>
      <c r="L33" s="4">
        <f>IF(ISNUMBER(SEARCH("营",'20.03'!T33)),(-$Y33+50*IF('20.03'!$AK33="是",'20.03'!$BB$4,'20.03'!$BB$3)),(VLOOKUP('20.03'!T33,'20.03'!$AO$4:$AQ$55,2,FALSE))*IF('20.03'!$AK33="是",'20.03'!$BB$4,'20.03'!$BB$3))</f>
        <v>0</v>
      </c>
      <c r="M33" s="4">
        <f>IF(ISNUMBER(SEARCH("营",'20.03'!U33)),(-$Y33+50*IF('20.03'!$AK33="是",'20.03'!$BB$4,'20.03'!$BB$3)),(VLOOKUP('20.03'!U33,'20.03'!$AO$4:$AQ$55,2,FALSE))*IF('20.03'!$AK33="是",'20.03'!$BB$4,'20.03'!$BB$3))</f>
        <v>0</v>
      </c>
      <c r="N33" s="4">
        <f>IF(ISNUMBER(SEARCH("营",'20.03'!V33)),(-$Y33+50*IF('20.03'!$AK33="是",'20.03'!$BB$4,'20.03'!$BB$3)),(VLOOKUP('20.03'!V33,'20.03'!$AO$4:$AQ$55,2,FALSE))*IF('20.03'!$AK33="是",'20.03'!$BB$4,'20.03'!$BB$3))</f>
        <v>0</v>
      </c>
      <c r="O33" s="4">
        <f>IF(ISNUMBER(SEARCH("营",'20.03'!W33)),(-$Y33+50*IF('20.03'!$AK33="是",'20.03'!$BB$4,'20.03'!$BB$3)),(VLOOKUP('20.03'!W33,'20.03'!$AO$4:$AQ$55,2,FALSE))*IF('20.03'!$AK33="是",'20.03'!$BB$4,'20.03'!$BB$3))</f>
        <v>0</v>
      </c>
      <c r="P33" s="4">
        <f>IF(ISNUMBER(SEARCH("营",'20.03'!X33)),(-$Y33+50*IF('20.03'!$AK33="是",'20.03'!$BB$4,'20.03'!$BB$3)),(VLOOKUP('20.03'!X33,'20.03'!$AO$4:$AQ$55,2,FALSE))*IF('20.03'!$AK33="是",'20.03'!$BB$4,'20.03'!$BB$3))</f>
        <v>0</v>
      </c>
      <c r="Q33" s="4">
        <f>IF(ISNUMBER(SEARCH("营",'20.03'!Y33)),(-$Y33+50*IF('20.03'!$AK33="是",'20.03'!$BB$4,'20.03'!$BB$3)),(VLOOKUP('20.03'!Y33,'20.03'!$AO$4:$AQ$55,2,FALSE))*IF('20.03'!$AK33="是",'20.03'!$BB$4,'20.03'!$BB$3))</f>
        <v>0</v>
      </c>
      <c r="R33" s="4">
        <f>IF(ISNUMBER(SEARCH("营",'20.03'!Z33)),(-$Y33+50*IF('20.03'!$AK33="是",'20.03'!$BB$4,'20.03'!$BB$3)),(VLOOKUP('20.03'!Z33,'20.03'!$AO$4:$AQ$55,2,FALSE))*IF('20.03'!$AK33="是",'20.03'!$BB$4,'20.03'!$BB$3))</f>
        <v>0</v>
      </c>
      <c r="S33" s="4">
        <f>IF(ISNUMBER(SEARCH("营",'20.03'!AA33)),(-$Y33+50*IF('20.03'!$AK33="是",'20.03'!$BB$4,'20.03'!$BB$3)),(VLOOKUP('20.03'!AA33,'20.03'!$AO$4:$AQ$55,2,FALSE))*IF('20.03'!$AK33="是",'20.03'!$BB$4,'20.03'!$BB$3))</f>
        <v>0</v>
      </c>
      <c r="T33" s="4">
        <f>IF(ISNUMBER(SEARCH("营",'20.03'!AB33)),(-$Y33+50*IF('20.03'!$AK33="是",'20.03'!$BB$4,'20.03'!$BB$3)),(VLOOKUP('20.03'!AB33,'20.03'!$AO$4:$AQ$55,2,FALSE))*IF('20.03'!$AK33="是",'20.03'!$BB$4,'20.03'!$BB$3))</f>
        <v>0</v>
      </c>
      <c r="U33" s="4">
        <f>IF(ISNUMBER(SEARCH("营",'20.03'!AC33)),(-$Y33+50*IF('20.03'!$AK33="是",'20.03'!$BB$4,'20.03'!$BB$3)),(VLOOKUP('20.03'!AC33,'20.03'!$AO$4:$AQ$55,2,FALSE))*IF('20.03'!$AK33="是",'20.03'!$BB$4,'20.03'!$BB$3))</f>
        <v>0</v>
      </c>
      <c r="V33" s="4">
        <f>IF(ISNUMBER(SEARCH("营",'20.03'!AD33)),(-$Y33+50*IF('20.03'!$AK33="是",'20.03'!$BB$4,'20.03'!$BB$3)),(VLOOKUP('20.03'!AD33,'20.03'!$AO$4:$AQ$55,2,FALSE))*IF('20.03'!$AK33="是",'20.03'!$BB$4,'20.03'!$BB$3))</f>
        <v>0</v>
      </c>
      <c r="W33" s="4">
        <f>IF(ISNUMBER(SEARCH("营",'20.03'!AE33)),(-$Y33+50*IF('20.03'!$AK33="是",'20.03'!$BB$4,'20.03'!$BB$3)),(VLOOKUP('20.03'!AE33,'20.03'!$AO$4:$AQ$55,2,FALSE))*IF('20.03'!$AK33="是",'20.03'!$BB$4,'20.03'!$BB$3))</f>
        <v>0</v>
      </c>
      <c r="X33" s="4">
        <f>IF(ISNUMBER(SEARCH("营",'20.03'!AF33)),(-$Y33+50*IF('20.03'!$AK33="是",'20.03'!$BB$4,'20.03'!$BB$3)),(VLOOKUP('20.03'!AF33,'20.03'!$AO$4:$AQ$55,2,FALSE))*IF('20.03'!$AK33="是",'20.03'!$BB$4,'20.03'!$BB$3))</f>
        <v>0</v>
      </c>
      <c r="Y33" s="63">
        <v>200</v>
      </c>
      <c r="Z33" s="94">
        <v>45850</v>
      </c>
    </row>
    <row r="34" spans="1:26">
      <c r="A34" s="4">
        <f>IF(ISNUMBER(SEARCH("营",'20.03'!I34)),(-$Y34+50*IF('20.03'!$AK34="是",'20.03'!$BB$4,'20.03'!$BB$3)),(VLOOKUP('20.03'!I34,'20.03'!$AO$4:$AQ$55,2,FALSE))*IF('20.03'!$AK34="是",'20.03'!$BB$4,'20.03'!$BB$3))</f>
        <v>0</v>
      </c>
      <c r="B34" s="4">
        <f>IF(ISNUMBER(SEARCH("营",'20.03'!J34)),(-$Y34+50*IF('20.03'!$AK34="是",'20.03'!$BB$4,'20.03'!$BB$3)),(VLOOKUP('20.03'!J34,'20.03'!$AO$4:$AQ$55,2,FALSE))*IF('20.03'!$AK34="是",'20.03'!$BB$4,'20.03'!$BB$3))</f>
        <v>0</v>
      </c>
      <c r="C34" s="4">
        <f>IF(ISNUMBER(SEARCH("营",'20.03'!K34)),(-$Y34+50*IF('20.03'!$AK34="是",'20.03'!$BB$4,'20.03'!$BB$3)),(VLOOKUP('20.03'!K34,'20.03'!$AO$4:$AQ$55,2,FALSE))*IF('20.03'!$AK34="是",'20.03'!$BB$4,'20.03'!$BB$3))</f>
        <v>0</v>
      </c>
      <c r="D34" s="4">
        <f>IF(ISNUMBER(SEARCH("营",'20.03'!L34)),(-$Y34+50*IF('20.03'!$AK34="是",'20.03'!$BB$4,'20.03'!$BB$3)),(VLOOKUP('20.03'!L34,'20.03'!$AO$4:$AQ$55,2,FALSE))*IF('20.03'!$AK34="是",'20.03'!$BB$4,'20.03'!$BB$3))</f>
        <v>0</v>
      </c>
      <c r="E34" s="4">
        <f>IF(ISNUMBER(SEARCH("营",'20.03'!M34)),(-$Y34+50*IF('20.03'!$AK34="是",'20.03'!$BB$4,'20.03'!$BB$3)),(VLOOKUP('20.03'!M34,'20.03'!$AO$4:$AQ$55,2,FALSE))*IF('20.03'!$AK34="是",'20.03'!$BB$4,'20.03'!$BB$3))</f>
        <v>0</v>
      </c>
      <c r="F34" s="4">
        <f>IF(ISNUMBER(SEARCH("营",'20.03'!N34)),(-$Y34+50*IF('20.03'!$AK34="是",'20.03'!$BB$4,'20.03'!$BB$3)),(VLOOKUP('20.03'!N34,'20.03'!$AO$4:$AQ$55,2,FALSE))*IF('20.03'!$AK34="是",'20.03'!$BB$4,'20.03'!$BB$3))</f>
        <v>0</v>
      </c>
      <c r="G34" s="4">
        <f>IF(ISNUMBER(SEARCH("营",'20.03'!O34)),(-$Y34+50*IF('20.03'!$AK34="是",'20.03'!$BB$4,'20.03'!$BB$3)),(VLOOKUP('20.03'!O34,'20.03'!$AO$4:$AQ$55,2,FALSE))*IF('20.03'!$AK34="是",'20.03'!$BB$4,'20.03'!$BB$3))</f>
        <v>0</v>
      </c>
      <c r="H34" s="4">
        <f>IF(ISNUMBER(SEARCH("营",'20.03'!P34)),(-$Y34+50*IF('20.03'!$AK34="是",'20.03'!$BB$4,'20.03'!$BB$3)),(VLOOKUP('20.03'!P34,'20.03'!$AO$4:$AQ$55,2,FALSE))*IF('20.03'!$AK34="是",'20.03'!$BB$4,'20.03'!$BB$3))</f>
        <v>0</v>
      </c>
      <c r="I34" s="4">
        <f>IF(ISNUMBER(SEARCH("营",'20.03'!Q34)),(-$Y34+50*IF('20.03'!$AK34="是",'20.03'!$BB$4,'20.03'!$BB$3)),(VLOOKUP('20.03'!Q34,'20.03'!$AO$4:$AQ$55,2,FALSE))*IF('20.03'!$AK34="是",'20.03'!$BB$4,'20.03'!$BB$3))</f>
        <v>0</v>
      </c>
      <c r="J34" s="4">
        <f>IF(ISNUMBER(SEARCH("营",'20.03'!R34)),(-$Y34+50*IF('20.03'!$AK34="是",'20.03'!$BB$4,'20.03'!$BB$3)),(VLOOKUP('20.03'!R34,'20.03'!$AO$4:$AQ$55,2,FALSE))*IF('20.03'!$AK34="是",'20.03'!$BB$4,'20.03'!$BB$3))</f>
        <v>0</v>
      </c>
      <c r="K34" s="4">
        <f>IF(ISNUMBER(SEARCH("营",'20.03'!S34)),(-$Y34+50*IF('20.03'!$AK34="是",'20.03'!$BB$4,'20.03'!$BB$3)),(VLOOKUP('20.03'!S34,'20.03'!$AO$4:$AQ$55,2,FALSE))*IF('20.03'!$AK34="是",'20.03'!$BB$4,'20.03'!$BB$3))</f>
        <v>0</v>
      </c>
      <c r="L34" s="4">
        <f>IF(ISNUMBER(SEARCH("营",'20.03'!T34)),(-$Y34+50*IF('20.03'!$AK34="是",'20.03'!$BB$4,'20.03'!$BB$3)),(VLOOKUP('20.03'!T34,'20.03'!$AO$4:$AQ$55,2,FALSE))*IF('20.03'!$AK34="是",'20.03'!$BB$4,'20.03'!$BB$3))</f>
        <v>0</v>
      </c>
      <c r="M34" s="4">
        <f>IF(ISNUMBER(SEARCH("营",'20.03'!U34)),(-$Y34+50*IF('20.03'!$AK34="是",'20.03'!$BB$4,'20.03'!$BB$3)),(VLOOKUP('20.03'!U34,'20.03'!$AO$4:$AQ$55,2,FALSE))*IF('20.03'!$AK34="是",'20.03'!$BB$4,'20.03'!$BB$3))</f>
        <v>0</v>
      </c>
      <c r="N34" s="4">
        <f>IF(ISNUMBER(SEARCH("营",'20.03'!V34)),(-$Y34+50*IF('20.03'!$AK34="是",'20.03'!$BB$4,'20.03'!$BB$3)),(VLOOKUP('20.03'!V34,'20.03'!$AO$4:$AQ$55,2,FALSE))*IF('20.03'!$AK34="是",'20.03'!$BB$4,'20.03'!$BB$3))</f>
        <v>0</v>
      </c>
      <c r="O34" s="4">
        <f>IF(ISNUMBER(SEARCH("营",'20.03'!W34)),(-$Y34+50*IF('20.03'!$AK34="是",'20.03'!$BB$4,'20.03'!$BB$3)),(VLOOKUP('20.03'!W34,'20.03'!$AO$4:$AQ$55,2,FALSE))*IF('20.03'!$AK34="是",'20.03'!$BB$4,'20.03'!$BB$3))</f>
        <v>0</v>
      </c>
      <c r="P34" s="4">
        <f>IF(ISNUMBER(SEARCH("营",'20.03'!X34)),(-$Y34+50*IF('20.03'!$AK34="是",'20.03'!$BB$4,'20.03'!$BB$3)),(VLOOKUP('20.03'!X34,'20.03'!$AO$4:$AQ$55,2,FALSE))*IF('20.03'!$AK34="是",'20.03'!$BB$4,'20.03'!$BB$3))</f>
        <v>0</v>
      </c>
      <c r="Q34" s="4">
        <f>IF(ISNUMBER(SEARCH("营",'20.03'!Y34)),(-$Y34+50*IF('20.03'!$AK34="是",'20.03'!$BB$4,'20.03'!$BB$3)),(VLOOKUP('20.03'!Y34,'20.03'!$AO$4:$AQ$55,2,FALSE))*IF('20.03'!$AK34="是",'20.03'!$BB$4,'20.03'!$BB$3))</f>
        <v>0</v>
      </c>
      <c r="R34" s="4">
        <f>IF(ISNUMBER(SEARCH("营",'20.03'!Z34)),(-$Y34+50*IF('20.03'!$AK34="是",'20.03'!$BB$4,'20.03'!$BB$3)),(VLOOKUP('20.03'!Z34,'20.03'!$AO$4:$AQ$55,2,FALSE))*IF('20.03'!$AK34="是",'20.03'!$BB$4,'20.03'!$BB$3))</f>
        <v>0</v>
      </c>
      <c r="S34" s="4">
        <f>IF(ISNUMBER(SEARCH("营",'20.03'!AA34)),(-$Y34+50*IF('20.03'!$AK34="是",'20.03'!$BB$4,'20.03'!$BB$3)),(VLOOKUP('20.03'!AA34,'20.03'!$AO$4:$AQ$55,2,FALSE))*IF('20.03'!$AK34="是",'20.03'!$BB$4,'20.03'!$BB$3))</f>
        <v>0</v>
      </c>
      <c r="T34" s="4">
        <f>IF(ISNUMBER(SEARCH("营",'20.03'!AB34)),(-$Y34+50*IF('20.03'!$AK34="是",'20.03'!$BB$4,'20.03'!$BB$3)),(VLOOKUP('20.03'!AB34,'20.03'!$AO$4:$AQ$55,2,FALSE))*IF('20.03'!$AK34="是",'20.03'!$BB$4,'20.03'!$BB$3))</f>
        <v>0</v>
      </c>
      <c r="U34" s="4">
        <f>IF(ISNUMBER(SEARCH("营",'20.03'!AC34)),(-$Y34+50*IF('20.03'!$AK34="是",'20.03'!$BB$4,'20.03'!$BB$3)),(VLOOKUP('20.03'!AC34,'20.03'!$AO$4:$AQ$55,2,FALSE))*IF('20.03'!$AK34="是",'20.03'!$BB$4,'20.03'!$BB$3))</f>
        <v>0</v>
      </c>
      <c r="V34" s="4">
        <f>IF(ISNUMBER(SEARCH("营",'20.03'!AD34)),(-$Y34+50*IF('20.03'!$AK34="是",'20.03'!$BB$4,'20.03'!$BB$3)),(VLOOKUP('20.03'!AD34,'20.03'!$AO$4:$AQ$55,2,FALSE))*IF('20.03'!$AK34="是",'20.03'!$BB$4,'20.03'!$BB$3))</f>
        <v>0</v>
      </c>
      <c r="W34" s="4">
        <f>IF(ISNUMBER(SEARCH("营",'20.03'!AE34)),(-$Y34+50*IF('20.03'!$AK34="是",'20.03'!$BB$4,'20.03'!$BB$3)),(VLOOKUP('20.03'!AE34,'20.03'!$AO$4:$AQ$55,2,FALSE))*IF('20.03'!$AK34="是",'20.03'!$BB$4,'20.03'!$BB$3))</f>
        <v>0</v>
      </c>
      <c r="X34" s="4">
        <f>IF(ISNUMBER(SEARCH("营",'20.03'!AF34)),(-$Y34+50*IF('20.03'!$AK34="是",'20.03'!$BB$4,'20.03'!$BB$3)),(VLOOKUP('20.03'!AF34,'20.03'!$AO$4:$AQ$55,2,FALSE))*IF('20.03'!$AK34="是",'20.03'!$BB$4,'20.03'!$BB$3))</f>
        <v>0</v>
      </c>
      <c r="Y34" s="63">
        <v>200</v>
      </c>
      <c r="Z34" s="94">
        <v>45851</v>
      </c>
    </row>
    <row r="35" spans="1:26">
      <c r="A35" s="4">
        <f>IF(ISNUMBER(SEARCH("营",'20.03'!I35)),(-$Y35+50*IF('20.03'!$AK35="是",'20.03'!$BB$4,'20.03'!$BB$3)),(VLOOKUP('20.03'!I35,'20.03'!$AO$4:$AQ$55,2,FALSE))*IF('20.03'!$AK35="是",'20.03'!$BB$4,'20.03'!$BB$3))</f>
        <v>0</v>
      </c>
      <c r="B35" s="4">
        <f>IF(ISNUMBER(SEARCH("营",'20.03'!J35)),(-$Y35+50*IF('20.03'!$AK35="是",'20.03'!$BB$4,'20.03'!$BB$3)),(VLOOKUP('20.03'!J35,'20.03'!$AO$4:$AQ$55,2,FALSE))*IF('20.03'!$AK35="是",'20.03'!$BB$4,'20.03'!$BB$3))</f>
        <v>0</v>
      </c>
      <c r="C35" s="4">
        <f>IF(ISNUMBER(SEARCH("营",'20.03'!K35)),(-$Y35+50*IF('20.03'!$AK35="是",'20.03'!$BB$4,'20.03'!$BB$3)),(VLOOKUP('20.03'!K35,'20.03'!$AO$4:$AQ$55,2,FALSE))*IF('20.03'!$AK35="是",'20.03'!$BB$4,'20.03'!$BB$3))</f>
        <v>0</v>
      </c>
      <c r="D35" s="4">
        <f>IF(ISNUMBER(SEARCH("营",'20.03'!L35)),(-$Y35+50*IF('20.03'!$AK35="是",'20.03'!$BB$4,'20.03'!$BB$3)),(VLOOKUP('20.03'!L35,'20.03'!$AO$4:$AQ$55,2,FALSE))*IF('20.03'!$AK35="是",'20.03'!$BB$4,'20.03'!$BB$3))</f>
        <v>0</v>
      </c>
      <c r="E35" s="4">
        <f>IF(ISNUMBER(SEARCH("营",'20.03'!M35)),(-$Y35+50*IF('20.03'!$AK35="是",'20.03'!$BB$4,'20.03'!$BB$3)),(VLOOKUP('20.03'!M35,'20.03'!$AO$4:$AQ$55,2,FALSE))*IF('20.03'!$AK35="是",'20.03'!$BB$4,'20.03'!$BB$3))</f>
        <v>0</v>
      </c>
      <c r="F35" s="4">
        <f>IF(ISNUMBER(SEARCH("营",'20.03'!N35)),(-$Y35+50*IF('20.03'!$AK35="是",'20.03'!$BB$4,'20.03'!$BB$3)),(VLOOKUP('20.03'!N35,'20.03'!$AO$4:$AQ$55,2,FALSE))*IF('20.03'!$AK35="是",'20.03'!$BB$4,'20.03'!$BB$3))</f>
        <v>0</v>
      </c>
      <c r="G35" s="4">
        <f>IF(ISNUMBER(SEARCH("营",'20.03'!O35)),(-$Y35+50*IF('20.03'!$AK35="是",'20.03'!$BB$4,'20.03'!$BB$3)),(VLOOKUP('20.03'!O35,'20.03'!$AO$4:$AQ$55,2,FALSE))*IF('20.03'!$AK35="是",'20.03'!$BB$4,'20.03'!$BB$3))</f>
        <v>0</v>
      </c>
      <c r="H35" s="4">
        <f>IF(ISNUMBER(SEARCH("营",'20.03'!P35)),(-$Y35+50*IF('20.03'!$AK35="是",'20.03'!$BB$4,'20.03'!$BB$3)),(VLOOKUP('20.03'!P35,'20.03'!$AO$4:$AQ$55,2,FALSE))*IF('20.03'!$AK35="是",'20.03'!$BB$4,'20.03'!$BB$3))</f>
        <v>0</v>
      </c>
      <c r="I35" s="4">
        <f>IF(ISNUMBER(SEARCH("营",'20.03'!Q35)),(-$Y35+50*IF('20.03'!$AK35="是",'20.03'!$BB$4,'20.03'!$BB$3)),(VLOOKUP('20.03'!Q35,'20.03'!$AO$4:$AQ$55,2,FALSE))*IF('20.03'!$AK35="是",'20.03'!$BB$4,'20.03'!$BB$3))</f>
        <v>0</v>
      </c>
      <c r="J35" s="4">
        <f>IF(ISNUMBER(SEARCH("营",'20.03'!R35)),(-$Y35+50*IF('20.03'!$AK35="是",'20.03'!$BB$4,'20.03'!$BB$3)),(VLOOKUP('20.03'!R35,'20.03'!$AO$4:$AQ$55,2,FALSE))*IF('20.03'!$AK35="是",'20.03'!$BB$4,'20.03'!$BB$3))</f>
        <v>0</v>
      </c>
      <c r="K35" s="4">
        <f>IF(ISNUMBER(SEARCH("营",'20.03'!S35)),(-$Y35+50*IF('20.03'!$AK35="是",'20.03'!$BB$4,'20.03'!$BB$3)),(VLOOKUP('20.03'!S35,'20.03'!$AO$4:$AQ$55,2,FALSE))*IF('20.03'!$AK35="是",'20.03'!$BB$4,'20.03'!$BB$3))</f>
        <v>0</v>
      </c>
      <c r="L35" s="4">
        <f>IF(ISNUMBER(SEARCH("营",'20.03'!T35)),(-$Y35+50*IF('20.03'!$AK35="是",'20.03'!$BB$4,'20.03'!$BB$3)),(VLOOKUP('20.03'!T35,'20.03'!$AO$4:$AQ$55,2,FALSE))*IF('20.03'!$AK35="是",'20.03'!$BB$4,'20.03'!$BB$3))</f>
        <v>0</v>
      </c>
      <c r="M35" s="4">
        <f>IF(ISNUMBER(SEARCH("营",'20.03'!U35)),(-$Y35+50*IF('20.03'!$AK35="是",'20.03'!$BB$4,'20.03'!$BB$3)),(VLOOKUP('20.03'!U35,'20.03'!$AO$4:$AQ$55,2,FALSE))*IF('20.03'!$AK35="是",'20.03'!$BB$4,'20.03'!$BB$3))</f>
        <v>0</v>
      </c>
      <c r="N35" s="4">
        <f>IF(ISNUMBER(SEARCH("营",'20.03'!V35)),(-$Y35+50*IF('20.03'!$AK35="是",'20.03'!$BB$4,'20.03'!$BB$3)),(VLOOKUP('20.03'!V35,'20.03'!$AO$4:$AQ$55,2,FALSE))*IF('20.03'!$AK35="是",'20.03'!$BB$4,'20.03'!$BB$3))</f>
        <v>0</v>
      </c>
      <c r="O35" s="4">
        <f>IF(ISNUMBER(SEARCH("营",'20.03'!W35)),(-$Y35+50*IF('20.03'!$AK35="是",'20.03'!$BB$4,'20.03'!$BB$3)),(VLOOKUP('20.03'!W35,'20.03'!$AO$4:$AQ$55,2,FALSE))*IF('20.03'!$AK35="是",'20.03'!$BB$4,'20.03'!$BB$3))</f>
        <v>0</v>
      </c>
      <c r="P35" s="4">
        <f>IF(ISNUMBER(SEARCH("营",'20.03'!X35)),(-$Y35+50*IF('20.03'!$AK35="是",'20.03'!$BB$4,'20.03'!$BB$3)),(VLOOKUP('20.03'!X35,'20.03'!$AO$4:$AQ$55,2,FALSE))*IF('20.03'!$AK35="是",'20.03'!$BB$4,'20.03'!$BB$3))</f>
        <v>0</v>
      </c>
      <c r="Q35" s="4">
        <f>IF(ISNUMBER(SEARCH("营",'20.03'!Y35)),(-$Y35+50*IF('20.03'!$AK35="是",'20.03'!$BB$4,'20.03'!$BB$3)),(VLOOKUP('20.03'!Y35,'20.03'!$AO$4:$AQ$55,2,FALSE))*IF('20.03'!$AK35="是",'20.03'!$BB$4,'20.03'!$BB$3))</f>
        <v>0</v>
      </c>
      <c r="R35" s="4">
        <f>IF(ISNUMBER(SEARCH("营",'20.03'!Z35)),(-$Y35+50*IF('20.03'!$AK35="是",'20.03'!$BB$4,'20.03'!$BB$3)),(VLOOKUP('20.03'!Z35,'20.03'!$AO$4:$AQ$55,2,FALSE))*IF('20.03'!$AK35="是",'20.03'!$BB$4,'20.03'!$BB$3))</f>
        <v>0</v>
      </c>
      <c r="S35" s="4">
        <f>IF(ISNUMBER(SEARCH("营",'20.03'!AA35)),(-$Y35+50*IF('20.03'!$AK35="是",'20.03'!$BB$4,'20.03'!$BB$3)),(VLOOKUP('20.03'!AA35,'20.03'!$AO$4:$AQ$55,2,FALSE))*IF('20.03'!$AK35="是",'20.03'!$BB$4,'20.03'!$BB$3))</f>
        <v>0</v>
      </c>
      <c r="T35" s="4">
        <f>IF(ISNUMBER(SEARCH("营",'20.03'!AB35)),(-$Y35+50*IF('20.03'!$AK35="是",'20.03'!$BB$4,'20.03'!$BB$3)),(VLOOKUP('20.03'!AB35,'20.03'!$AO$4:$AQ$55,2,FALSE))*IF('20.03'!$AK35="是",'20.03'!$BB$4,'20.03'!$BB$3))</f>
        <v>0</v>
      </c>
      <c r="U35" s="4">
        <f>IF(ISNUMBER(SEARCH("营",'20.03'!AC35)),(-$Y35+50*IF('20.03'!$AK35="是",'20.03'!$BB$4,'20.03'!$BB$3)),(VLOOKUP('20.03'!AC35,'20.03'!$AO$4:$AQ$55,2,FALSE))*IF('20.03'!$AK35="是",'20.03'!$BB$4,'20.03'!$BB$3))</f>
        <v>0</v>
      </c>
      <c r="V35" s="4">
        <f>IF(ISNUMBER(SEARCH("营",'20.03'!AD35)),(-$Y35+50*IF('20.03'!$AK35="是",'20.03'!$BB$4,'20.03'!$BB$3)),(VLOOKUP('20.03'!AD35,'20.03'!$AO$4:$AQ$55,2,FALSE))*IF('20.03'!$AK35="是",'20.03'!$BB$4,'20.03'!$BB$3))</f>
        <v>0</v>
      </c>
      <c r="W35" s="4">
        <f>IF(ISNUMBER(SEARCH("营",'20.03'!AE35)),(-$Y35+50*IF('20.03'!$AK35="是",'20.03'!$BB$4,'20.03'!$BB$3)),(VLOOKUP('20.03'!AE35,'20.03'!$AO$4:$AQ$55,2,FALSE))*IF('20.03'!$AK35="是",'20.03'!$BB$4,'20.03'!$BB$3))</f>
        <v>0</v>
      </c>
      <c r="X35" s="4">
        <f>IF(ISNUMBER(SEARCH("营",'20.03'!AF35)),(-$Y35+50*IF('20.03'!$AK35="是",'20.03'!$BB$4,'20.03'!$BB$3)),(VLOOKUP('20.03'!AF35,'20.03'!$AO$4:$AQ$55,2,FALSE))*IF('20.03'!$AK35="是",'20.03'!$BB$4,'20.03'!$BB$3))</f>
        <v>0</v>
      </c>
      <c r="Y35" s="63">
        <v>200</v>
      </c>
      <c r="Z35" s="94">
        <v>45852</v>
      </c>
    </row>
    <row r="36" spans="1:26">
      <c r="A36" s="4">
        <f>IF(ISNUMBER(SEARCH("营",'20.03'!I36)),(-$Y36+50*IF('20.03'!$AK36="是",'20.03'!$BB$4,'20.03'!$BB$3)),(VLOOKUP('20.03'!I36,'20.03'!$AO$4:$AQ$55,2,FALSE))*IF('20.03'!$AK36="是",'20.03'!$BB$4,'20.03'!$BB$3))</f>
        <v>0</v>
      </c>
      <c r="B36" s="4">
        <f>IF(ISNUMBER(SEARCH("营",'20.03'!J36)),(-$Y36+50*IF('20.03'!$AK36="是",'20.03'!$BB$4,'20.03'!$BB$3)),(VLOOKUP('20.03'!J36,'20.03'!$AO$4:$AQ$55,2,FALSE))*IF('20.03'!$AK36="是",'20.03'!$BB$4,'20.03'!$BB$3))</f>
        <v>0</v>
      </c>
      <c r="C36" s="4">
        <f>IF(ISNUMBER(SEARCH("营",'20.03'!K36)),(-$Y36+50*IF('20.03'!$AK36="是",'20.03'!$BB$4,'20.03'!$BB$3)),(VLOOKUP('20.03'!K36,'20.03'!$AO$4:$AQ$55,2,FALSE))*IF('20.03'!$AK36="是",'20.03'!$BB$4,'20.03'!$BB$3))</f>
        <v>0</v>
      </c>
      <c r="D36" s="4">
        <f>IF(ISNUMBER(SEARCH("营",'20.03'!L36)),(-$Y36+50*IF('20.03'!$AK36="是",'20.03'!$BB$4,'20.03'!$BB$3)),(VLOOKUP('20.03'!L36,'20.03'!$AO$4:$AQ$55,2,FALSE))*IF('20.03'!$AK36="是",'20.03'!$BB$4,'20.03'!$BB$3))</f>
        <v>0</v>
      </c>
      <c r="E36" s="4">
        <f>IF(ISNUMBER(SEARCH("营",'20.03'!M36)),(-$Y36+50*IF('20.03'!$AK36="是",'20.03'!$BB$4,'20.03'!$BB$3)),(VLOOKUP('20.03'!M36,'20.03'!$AO$4:$AQ$55,2,FALSE))*IF('20.03'!$AK36="是",'20.03'!$BB$4,'20.03'!$BB$3))</f>
        <v>0</v>
      </c>
      <c r="F36" s="4">
        <f>IF(ISNUMBER(SEARCH("营",'20.03'!N36)),(-$Y36+50*IF('20.03'!$AK36="是",'20.03'!$BB$4,'20.03'!$BB$3)),(VLOOKUP('20.03'!N36,'20.03'!$AO$4:$AQ$55,2,FALSE))*IF('20.03'!$AK36="是",'20.03'!$BB$4,'20.03'!$BB$3))</f>
        <v>0</v>
      </c>
      <c r="G36" s="4">
        <f>IF(ISNUMBER(SEARCH("营",'20.03'!O36)),(-$Y36+50*IF('20.03'!$AK36="是",'20.03'!$BB$4,'20.03'!$BB$3)),(VLOOKUP('20.03'!O36,'20.03'!$AO$4:$AQ$55,2,FALSE))*IF('20.03'!$AK36="是",'20.03'!$BB$4,'20.03'!$BB$3))</f>
        <v>0</v>
      </c>
      <c r="H36" s="4">
        <f>IF(ISNUMBER(SEARCH("营",'20.03'!P36)),(-$Y36+50*IF('20.03'!$AK36="是",'20.03'!$BB$4,'20.03'!$BB$3)),(VLOOKUP('20.03'!P36,'20.03'!$AO$4:$AQ$55,2,FALSE))*IF('20.03'!$AK36="是",'20.03'!$BB$4,'20.03'!$BB$3))</f>
        <v>0</v>
      </c>
      <c r="I36" s="4">
        <f>IF(ISNUMBER(SEARCH("营",'20.03'!Q36)),(-$Y36+50*IF('20.03'!$AK36="是",'20.03'!$BB$4,'20.03'!$BB$3)),(VLOOKUP('20.03'!Q36,'20.03'!$AO$4:$AQ$55,2,FALSE))*IF('20.03'!$AK36="是",'20.03'!$BB$4,'20.03'!$BB$3))</f>
        <v>0</v>
      </c>
      <c r="J36" s="4">
        <f>IF(ISNUMBER(SEARCH("营",'20.03'!R36)),(-$Y36+50*IF('20.03'!$AK36="是",'20.03'!$BB$4,'20.03'!$BB$3)),(VLOOKUP('20.03'!R36,'20.03'!$AO$4:$AQ$55,2,FALSE))*IF('20.03'!$AK36="是",'20.03'!$BB$4,'20.03'!$BB$3))</f>
        <v>0</v>
      </c>
      <c r="K36" s="4">
        <f>IF(ISNUMBER(SEARCH("营",'20.03'!S36)),(-$Y36+50*IF('20.03'!$AK36="是",'20.03'!$BB$4,'20.03'!$BB$3)),(VLOOKUP('20.03'!S36,'20.03'!$AO$4:$AQ$55,2,FALSE))*IF('20.03'!$AK36="是",'20.03'!$BB$4,'20.03'!$BB$3))</f>
        <v>0</v>
      </c>
      <c r="L36" s="4">
        <f>IF(ISNUMBER(SEARCH("营",'20.03'!T36)),(-$Y36+50*IF('20.03'!$AK36="是",'20.03'!$BB$4,'20.03'!$BB$3)),(VLOOKUP('20.03'!T36,'20.03'!$AO$4:$AQ$55,2,FALSE))*IF('20.03'!$AK36="是",'20.03'!$BB$4,'20.03'!$BB$3))</f>
        <v>0</v>
      </c>
      <c r="M36" s="4">
        <f>IF(ISNUMBER(SEARCH("营",'20.03'!U36)),(-$Y36+50*IF('20.03'!$AK36="是",'20.03'!$BB$4,'20.03'!$BB$3)),(VLOOKUP('20.03'!U36,'20.03'!$AO$4:$AQ$55,2,FALSE))*IF('20.03'!$AK36="是",'20.03'!$BB$4,'20.03'!$BB$3))</f>
        <v>0</v>
      </c>
      <c r="N36" s="4">
        <f>IF(ISNUMBER(SEARCH("营",'20.03'!V36)),(-$Y36+50*IF('20.03'!$AK36="是",'20.03'!$BB$4,'20.03'!$BB$3)),(VLOOKUP('20.03'!V36,'20.03'!$AO$4:$AQ$55,2,FALSE))*IF('20.03'!$AK36="是",'20.03'!$BB$4,'20.03'!$BB$3))</f>
        <v>0</v>
      </c>
      <c r="O36" s="4">
        <f>IF(ISNUMBER(SEARCH("营",'20.03'!W36)),(-$Y36+50*IF('20.03'!$AK36="是",'20.03'!$BB$4,'20.03'!$BB$3)),(VLOOKUP('20.03'!W36,'20.03'!$AO$4:$AQ$55,2,FALSE))*IF('20.03'!$AK36="是",'20.03'!$BB$4,'20.03'!$BB$3))</f>
        <v>0</v>
      </c>
      <c r="P36" s="4">
        <f>IF(ISNUMBER(SEARCH("营",'20.03'!X36)),(-$Y36+50*IF('20.03'!$AK36="是",'20.03'!$BB$4,'20.03'!$BB$3)),(VLOOKUP('20.03'!X36,'20.03'!$AO$4:$AQ$55,2,FALSE))*IF('20.03'!$AK36="是",'20.03'!$BB$4,'20.03'!$BB$3))</f>
        <v>0</v>
      </c>
      <c r="Q36" s="4">
        <f>IF(ISNUMBER(SEARCH("营",'20.03'!Y36)),(-$Y36+50*IF('20.03'!$AK36="是",'20.03'!$BB$4,'20.03'!$BB$3)),(VLOOKUP('20.03'!Y36,'20.03'!$AO$4:$AQ$55,2,FALSE))*IF('20.03'!$AK36="是",'20.03'!$BB$4,'20.03'!$BB$3))</f>
        <v>0</v>
      </c>
      <c r="R36" s="4">
        <f>IF(ISNUMBER(SEARCH("营",'20.03'!Z36)),(-$Y36+50*IF('20.03'!$AK36="是",'20.03'!$BB$4,'20.03'!$BB$3)),(VLOOKUP('20.03'!Z36,'20.03'!$AO$4:$AQ$55,2,FALSE))*IF('20.03'!$AK36="是",'20.03'!$BB$4,'20.03'!$BB$3))</f>
        <v>0</v>
      </c>
      <c r="S36" s="4">
        <f>IF(ISNUMBER(SEARCH("营",'20.03'!AA36)),(-$Y36+50*IF('20.03'!$AK36="是",'20.03'!$BB$4,'20.03'!$BB$3)),(VLOOKUP('20.03'!AA36,'20.03'!$AO$4:$AQ$55,2,FALSE))*IF('20.03'!$AK36="是",'20.03'!$BB$4,'20.03'!$BB$3))</f>
        <v>0</v>
      </c>
      <c r="T36" s="4">
        <f>IF(ISNUMBER(SEARCH("营",'20.03'!AB36)),(-$Y36+50*IF('20.03'!$AK36="是",'20.03'!$BB$4,'20.03'!$BB$3)),(VLOOKUP('20.03'!AB36,'20.03'!$AO$4:$AQ$55,2,FALSE))*IF('20.03'!$AK36="是",'20.03'!$BB$4,'20.03'!$BB$3))</f>
        <v>0</v>
      </c>
      <c r="U36" s="4">
        <f>IF(ISNUMBER(SEARCH("营",'20.03'!AC36)),(-$Y36+50*IF('20.03'!$AK36="是",'20.03'!$BB$4,'20.03'!$BB$3)),(VLOOKUP('20.03'!AC36,'20.03'!$AO$4:$AQ$55,2,FALSE))*IF('20.03'!$AK36="是",'20.03'!$BB$4,'20.03'!$BB$3))</f>
        <v>0</v>
      </c>
      <c r="V36" s="4">
        <f>IF(ISNUMBER(SEARCH("营",'20.03'!AD36)),(-$Y36+50*IF('20.03'!$AK36="是",'20.03'!$BB$4,'20.03'!$BB$3)),(VLOOKUP('20.03'!AD36,'20.03'!$AO$4:$AQ$55,2,FALSE))*IF('20.03'!$AK36="是",'20.03'!$BB$4,'20.03'!$BB$3))</f>
        <v>0</v>
      </c>
      <c r="W36" s="4">
        <f>IF(ISNUMBER(SEARCH("营",'20.03'!AE36)),(-$Y36+50*IF('20.03'!$AK36="是",'20.03'!$BB$4,'20.03'!$BB$3)),(VLOOKUP('20.03'!AE36,'20.03'!$AO$4:$AQ$55,2,FALSE))*IF('20.03'!$AK36="是",'20.03'!$BB$4,'20.03'!$BB$3))</f>
        <v>0</v>
      </c>
      <c r="X36" s="4">
        <f>IF(ISNUMBER(SEARCH("营",'20.03'!AF36)),(-$Y36+50*IF('20.03'!$AK36="是",'20.03'!$BB$4,'20.03'!$BB$3)),(VLOOKUP('20.03'!AF36,'20.03'!$AO$4:$AQ$55,2,FALSE))*IF('20.03'!$AK36="是",'20.03'!$BB$4,'20.03'!$BB$3))</f>
        <v>0</v>
      </c>
      <c r="Y36" s="63">
        <v>200</v>
      </c>
      <c r="Z36" s="94">
        <v>45853</v>
      </c>
    </row>
    <row r="37" spans="1:26">
      <c r="A37" s="4">
        <f>IF(ISNUMBER(SEARCH("营",'20.03'!I37)),(-$Y37+50*IF('20.03'!$AK37="是",'20.03'!$BB$4,'20.03'!$BB$3)),(VLOOKUP('20.03'!I37,'20.03'!$AO$4:$AQ$55,2,FALSE))*IF('20.03'!$AK37="是",'20.03'!$BB$4,'20.03'!$BB$3))</f>
        <v>0</v>
      </c>
      <c r="B37" s="4">
        <f>IF(ISNUMBER(SEARCH("营",'20.03'!J37)),(-$Y37+50*IF('20.03'!$AK37="是",'20.03'!$BB$4,'20.03'!$BB$3)),(VLOOKUP('20.03'!J37,'20.03'!$AO$4:$AQ$55,2,FALSE))*IF('20.03'!$AK37="是",'20.03'!$BB$4,'20.03'!$BB$3))</f>
        <v>0</v>
      </c>
      <c r="C37" s="4">
        <f>IF(ISNUMBER(SEARCH("营",'20.03'!K37)),(-$Y37+50*IF('20.03'!$AK37="是",'20.03'!$BB$4,'20.03'!$BB$3)),(VLOOKUP('20.03'!K37,'20.03'!$AO$4:$AQ$55,2,FALSE))*IF('20.03'!$AK37="是",'20.03'!$BB$4,'20.03'!$BB$3))</f>
        <v>0</v>
      </c>
      <c r="D37" s="4">
        <f>IF(ISNUMBER(SEARCH("营",'20.03'!L37)),(-$Y37+50*IF('20.03'!$AK37="是",'20.03'!$BB$4,'20.03'!$BB$3)),(VLOOKUP('20.03'!L37,'20.03'!$AO$4:$AQ$55,2,FALSE))*IF('20.03'!$AK37="是",'20.03'!$BB$4,'20.03'!$BB$3))</f>
        <v>0</v>
      </c>
      <c r="E37" s="4">
        <f>IF(ISNUMBER(SEARCH("营",'20.03'!M37)),(-$Y37+50*IF('20.03'!$AK37="是",'20.03'!$BB$4,'20.03'!$BB$3)),(VLOOKUP('20.03'!M37,'20.03'!$AO$4:$AQ$55,2,FALSE))*IF('20.03'!$AK37="是",'20.03'!$BB$4,'20.03'!$BB$3))</f>
        <v>0</v>
      </c>
      <c r="F37" s="4">
        <f>IF(ISNUMBER(SEARCH("营",'20.03'!N37)),(-$Y37+50*IF('20.03'!$AK37="是",'20.03'!$BB$4,'20.03'!$BB$3)),(VLOOKUP('20.03'!N37,'20.03'!$AO$4:$AQ$55,2,FALSE))*IF('20.03'!$AK37="是",'20.03'!$BB$4,'20.03'!$BB$3))</f>
        <v>0</v>
      </c>
      <c r="G37" s="4">
        <f>IF(ISNUMBER(SEARCH("营",'20.03'!O37)),(-$Y37+50*IF('20.03'!$AK37="是",'20.03'!$BB$4,'20.03'!$BB$3)),(VLOOKUP('20.03'!O37,'20.03'!$AO$4:$AQ$55,2,FALSE))*IF('20.03'!$AK37="是",'20.03'!$BB$4,'20.03'!$BB$3))</f>
        <v>0</v>
      </c>
      <c r="H37" s="4">
        <f>IF(ISNUMBER(SEARCH("营",'20.03'!P37)),(-$Y37+50*IF('20.03'!$AK37="是",'20.03'!$BB$4,'20.03'!$BB$3)),(VLOOKUP('20.03'!P37,'20.03'!$AO$4:$AQ$55,2,FALSE))*IF('20.03'!$AK37="是",'20.03'!$BB$4,'20.03'!$BB$3))</f>
        <v>0</v>
      </c>
      <c r="I37" s="4">
        <f>IF(ISNUMBER(SEARCH("营",'20.03'!Q37)),(-$Y37+50*IF('20.03'!$AK37="是",'20.03'!$BB$4,'20.03'!$BB$3)),(VLOOKUP('20.03'!Q37,'20.03'!$AO$4:$AQ$55,2,FALSE))*IF('20.03'!$AK37="是",'20.03'!$BB$4,'20.03'!$BB$3))</f>
        <v>0</v>
      </c>
      <c r="J37" s="4">
        <f>IF(ISNUMBER(SEARCH("营",'20.03'!R37)),(-$Y37+50*IF('20.03'!$AK37="是",'20.03'!$BB$4,'20.03'!$BB$3)),(VLOOKUP('20.03'!R37,'20.03'!$AO$4:$AQ$55,2,FALSE))*IF('20.03'!$AK37="是",'20.03'!$BB$4,'20.03'!$BB$3))</f>
        <v>0</v>
      </c>
      <c r="K37" s="4">
        <f>IF(ISNUMBER(SEARCH("营",'20.03'!S37)),(-$Y37+50*IF('20.03'!$AK37="是",'20.03'!$BB$4,'20.03'!$BB$3)),(VLOOKUP('20.03'!S37,'20.03'!$AO$4:$AQ$55,2,FALSE))*IF('20.03'!$AK37="是",'20.03'!$BB$4,'20.03'!$BB$3))</f>
        <v>0</v>
      </c>
      <c r="L37" s="4">
        <f>IF(ISNUMBER(SEARCH("营",'20.03'!T37)),(-$Y37+50*IF('20.03'!$AK37="是",'20.03'!$BB$4,'20.03'!$BB$3)),(VLOOKUP('20.03'!T37,'20.03'!$AO$4:$AQ$55,2,FALSE))*IF('20.03'!$AK37="是",'20.03'!$BB$4,'20.03'!$BB$3))</f>
        <v>0</v>
      </c>
      <c r="M37" s="4">
        <f>IF(ISNUMBER(SEARCH("营",'20.03'!U37)),(-$Y37+50*IF('20.03'!$AK37="是",'20.03'!$BB$4,'20.03'!$BB$3)),(VLOOKUP('20.03'!U37,'20.03'!$AO$4:$AQ$55,2,FALSE))*IF('20.03'!$AK37="是",'20.03'!$BB$4,'20.03'!$BB$3))</f>
        <v>0</v>
      </c>
      <c r="N37" s="4">
        <f>IF(ISNUMBER(SEARCH("营",'20.03'!V37)),(-$Y37+50*IF('20.03'!$AK37="是",'20.03'!$BB$4,'20.03'!$BB$3)),(VLOOKUP('20.03'!V37,'20.03'!$AO$4:$AQ$55,2,FALSE))*IF('20.03'!$AK37="是",'20.03'!$BB$4,'20.03'!$BB$3))</f>
        <v>0</v>
      </c>
      <c r="O37" s="4">
        <f>IF(ISNUMBER(SEARCH("营",'20.03'!W37)),(-$Y37+50*IF('20.03'!$AK37="是",'20.03'!$BB$4,'20.03'!$BB$3)),(VLOOKUP('20.03'!W37,'20.03'!$AO$4:$AQ$55,2,FALSE))*IF('20.03'!$AK37="是",'20.03'!$BB$4,'20.03'!$BB$3))</f>
        <v>0</v>
      </c>
      <c r="P37" s="4">
        <f>IF(ISNUMBER(SEARCH("营",'20.03'!X37)),(-$Y37+50*IF('20.03'!$AK37="是",'20.03'!$BB$4,'20.03'!$BB$3)),(VLOOKUP('20.03'!X37,'20.03'!$AO$4:$AQ$55,2,FALSE))*IF('20.03'!$AK37="是",'20.03'!$BB$4,'20.03'!$BB$3))</f>
        <v>0</v>
      </c>
      <c r="Q37" s="4">
        <f>IF(ISNUMBER(SEARCH("营",'20.03'!Y37)),(-$Y37+50*IF('20.03'!$AK37="是",'20.03'!$BB$4,'20.03'!$BB$3)),(VLOOKUP('20.03'!Y37,'20.03'!$AO$4:$AQ$55,2,FALSE))*IF('20.03'!$AK37="是",'20.03'!$BB$4,'20.03'!$BB$3))</f>
        <v>0</v>
      </c>
      <c r="R37" s="4">
        <f>IF(ISNUMBER(SEARCH("营",'20.03'!Z37)),(-$Y37+50*IF('20.03'!$AK37="是",'20.03'!$BB$4,'20.03'!$BB$3)),(VLOOKUP('20.03'!Z37,'20.03'!$AO$4:$AQ$55,2,FALSE))*IF('20.03'!$AK37="是",'20.03'!$BB$4,'20.03'!$BB$3))</f>
        <v>0</v>
      </c>
      <c r="S37" s="4">
        <f>IF(ISNUMBER(SEARCH("营",'20.03'!AA37)),(-$Y37+50*IF('20.03'!$AK37="是",'20.03'!$BB$4,'20.03'!$BB$3)),(VLOOKUP('20.03'!AA37,'20.03'!$AO$4:$AQ$55,2,FALSE))*IF('20.03'!$AK37="是",'20.03'!$BB$4,'20.03'!$BB$3))</f>
        <v>0</v>
      </c>
      <c r="T37" s="4">
        <f>IF(ISNUMBER(SEARCH("营",'20.03'!AB37)),(-$Y37+50*IF('20.03'!$AK37="是",'20.03'!$BB$4,'20.03'!$BB$3)),(VLOOKUP('20.03'!AB37,'20.03'!$AO$4:$AQ$55,2,FALSE))*IF('20.03'!$AK37="是",'20.03'!$BB$4,'20.03'!$BB$3))</f>
        <v>0</v>
      </c>
      <c r="U37" s="4">
        <f>IF(ISNUMBER(SEARCH("营",'20.03'!AC37)),(-$Y37+50*IF('20.03'!$AK37="是",'20.03'!$BB$4,'20.03'!$BB$3)),(VLOOKUP('20.03'!AC37,'20.03'!$AO$4:$AQ$55,2,FALSE))*IF('20.03'!$AK37="是",'20.03'!$BB$4,'20.03'!$BB$3))</f>
        <v>0</v>
      </c>
      <c r="V37" s="4">
        <f>IF(ISNUMBER(SEARCH("营",'20.03'!AD37)),(-$Y37+50*IF('20.03'!$AK37="是",'20.03'!$BB$4,'20.03'!$BB$3)),(VLOOKUP('20.03'!AD37,'20.03'!$AO$4:$AQ$55,2,FALSE))*IF('20.03'!$AK37="是",'20.03'!$BB$4,'20.03'!$BB$3))</f>
        <v>0</v>
      </c>
      <c r="W37" s="4">
        <f>IF(ISNUMBER(SEARCH("营",'20.03'!AE37)),(-$Y37+50*IF('20.03'!$AK37="是",'20.03'!$BB$4,'20.03'!$BB$3)),(VLOOKUP('20.03'!AE37,'20.03'!$AO$4:$AQ$55,2,FALSE))*IF('20.03'!$AK37="是",'20.03'!$BB$4,'20.03'!$BB$3))</f>
        <v>0</v>
      </c>
      <c r="X37" s="4">
        <f>IF(ISNUMBER(SEARCH("营",'20.03'!AF37)),(-$Y37+50*IF('20.03'!$AK37="是",'20.03'!$BB$4,'20.03'!$BB$3)),(VLOOKUP('20.03'!AF37,'20.03'!$AO$4:$AQ$55,2,FALSE))*IF('20.03'!$AK37="是",'20.03'!$BB$4,'20.03'!$BB$3))</f>
        <v>0</v>
      </c>
      <c r="Y37" s="63">
        <v>200</v>
      </c>
      <c r="Z37" s="94">
        <v>45854</v>
      </c>
    </row>
    <row r="38" spans="1:26">
      <c r="A38" s="4">
        <f>IF(ISNUMBER(SEARCH("营",'20.03'!I38)),(-$Y38+50*IF('20.03'!$AK38="是",'20.03'!$BB$4,'20.03'!$BB$3)),(VLOOKUP('20.03'!I38,'20.03'!$AO$4:$AQ$55,2,FALSE))*IF('20.03'!$AK38="是",'20.03'!$BB$4,'20.03'!$BB$3))</f>
        <v>0</v>
      </c>
      <c r="B38" s="4">
        <f>IF(ISNUMBER(SEARCH("营",'20.03'!J38)),(-$Y38+50*IF('20.03'!$AK38="是",'20.03'!$BB$4,'20.03'!$BB$3)),(VLOOKUP('20.03'!J38,'20.03'!$AO$4:$AQ$55,2,FALSE))*IF('20.03'!$AK38="是",'20.03'!$BB$4,'20.03'!$BB$3))</f>
        <v>0</v>
      </c>
      <c r="C38" s="4">
        <f>IF(ISNUMBER(SEARCH("营",'20.03'!K38)),(-$Y38+50*IF('20.03'!$AK38="是",'20.03'!$BB$4,'20.03'!$BB$3)),(VLOOKUP('20.03'!K38,'20.03'!$AO$4:$AQ$55,2,FALSE))*IF('20.03'!$AK38="是",'20.03'!$BB$4,'20.03'!$BB$3))</f>
        <v>0</v>
      </c>
      <c r="D38" s="4">
        <f>IF(ISNUMBER(SEARCH("营",'20.03'!L38)),(-$Y38+50*IF('20.03'!$AK38="是",'20.03'!$BB$4,'20.03'!$BB$3)),(VLOOKUP('20.03'!L38,'20.03'!$AO$4:$AQ$55,2,FALSE))*IF('20.03'!$AK38="是",'20.03'!$BB$4,'20.03'!$BB$3))</f>
        <v>0</v>
      </c>
      <c r="E38" s="4">
        <f>IF(ISNUMBER(SEARCH("营",'20.03'!M38)),(-$Y38+50*IF('20.03'!$AK38="是",'20.03'!$BB$4,'20.03'!$BB$3)),(VLOOKUP('20.03'!M38,'20.03'!$AO$4:$AQ$55,2,FALSE))*IF('20.03'!$AK38="是",'20.03'!$BB$4,'20.03'!$BB$3))</f>
        <v>0</v>
      </c>
      <c r="F38" s="4">
        <f>IF(ISNUMBER(SEARCH("营",'20.03'!N38)),(-$Y38+50*IF('20.03'!$AK38="是",'20.03'!$BB$4,'20.03'!$BB$3)),(VLOOKUP('20.03'!N38,'20.03'!$AO$4:$AQ$55,2,FALSE))*IF('20.03'!$AK38="是",'20.03'!$BB$4,'20.03'!$BB$3))</f>
        <v>0</v>
      </c>
      <c r="G38" s="4">
        <f>IF(ISNUMBER(SEARCH("营",'20.03'!O38)),(-$Y38+50*IF('20.03'!$AK38="是",'20.03'!$BB$4,'20.03'!$BB$3)),(VLOOKUP('20.03'!O38,'20.03'!$AO$4:$AQ$55,2,FALSE))*IF('20.03'!$AK38="是",'20.03'!$BB$4,'20.03'!$BB$3))</f>
        <v>0</v>
      </c>
      <c r="H38" s="4">
        <f>IF(ISNUMBER(SEARCH("营",'20.03'!P38)),(-$Y38+50*IF('20.03'!$AK38="是",'20.03'!$BB$4,'20.03'!$BB$3)),(VLOOKUP('20.03'!P38,'20.03'!$AO$4:$AQ$55,2,FALSE))*IF('20.03'!$AK38="是",'20.03'!$BB$4,'20.03'!$BB$3))</f>
        <v>0</v>
      </c>
      <c r="I38" s="4">
        <f>IF(ISNUMBER(SEARCH("营",'20.03'!Q38)),(-$Y38+50*IF('20.03'!$AK38="是",'20.03'!$BB$4,'20.03'!$BB$3)),(VLOOKUP('20.03'!Q38,'20.03'!$AO$4:$AQ$55,2,FALSE))*IF('20.03'!$AK38="是",'20.03'!$BB$4,'20.03'!$BB$3))</f>
        <v>0</v>
      </c>
      <c r="J38" s="4">
        <f>IF(ISNUMBER(SEARCH("营",'20.03'!R38)),(-$Y38+50*IF('20.03'!$AK38="是",'20.03'!$BB$4,'20.03'!$BB$3)),(VLOOKUP('20.03'!R38,'20.03'!$AO$4:$AQ$55,2,FALSE))*IF('20.03'!$AK38="是",'20.03'!$BB$4,'20.03'!$BB$3))</f>
        <v>0</v>
      </c>
      <c r="K38" s="4">
        <f>IF(ISNUMBER(SEARCH("营",'20.03'!S38)),(-$Y38+50*IF('20.03'!$AK38="是",'20.03'!$BB$4,'20.03'!$BB$3)),(VLOOKUP('20.03'!S38,'20.03'!$AO$4:$AQ$55,2,FALSE))*IF('20.03'!$AK38="是",'20.03'!$BB$4,'20.03'!$BB$3))</f>
        <v>0</v>
      </c>
      <c r="L38" s="4">
        <f>IF(ISNUMBER(SEARCH("营",'20.03'!T38)),(-$Y38+50*IF('20.03'!$AK38="是",'20.03'!$BB$4,'20.03'!$BB$3)),(VLOOKUP('20.03'!T38,'20.03'!$AO$4:$AQ$55,2,FALSE))*IF('20.03'!$AK38="是",'20.03'!$BB$4,'20.03'!$BB$3))</f>
        <v>0</v>
      </c>
      <c r="M38" s="4">
        <f>IF(ISNUMBER(SEARCH("营",'20.03'!U38)),(-$Y38+50*IF('20.03'!$AK38="是",'20.03'!$BB$4,'20.03'!$BB$3)),(VLOOKUP('20.03'!U38,'20.03'!$AO$4:$AQ$55,2,FALSE))*IF('20.03'!$AK38="是",'20.03'!$BB$4,'20.03'!$BB$3))</f>
        <v>0</v>
      </c>
      <c r="N38" s="4">
        <f>IF(ISNUMBER(SEARCH("营",'20.03'!V38)),(-$Y38+50*IF('20.03'!$AK38="是",'20.03'!$BB$4,'20.03'!$BB$3)),(VLOOKUP('20.03'!V38,'20.03'!$AO$4:$AQ$55,2,FALSE))*IF('20.03'!$AK38="是",'20.03'!$BB$4,'20.03'!$BB$3))</f>
        <v>0</v>
      </c>
      <c r="O38" s="4">
        <f>IF(ISNUMBER(SEARCH("营",'20.03'!W38)),(-$Y38+50*IF('20.03'!$AK38="是",'20.03'!$BB$4,'20.03'!$BB$3)),(VLOOKUP('20.03'!W38,'20.03'!$AO$4:$AQ$55,2,FALSE))*IF('20.03'!$AK38="是",'20.03'!$BB$4,'20.03'!$BB$3))</f>
        <v>0</v>
      </c>
      <c r="P38" s="4">
        <f>IF(ISNUMBER(SEARCH("营",'20.03'!X38)),(-$Y38+50*IF('20.03'!$AK38="是",'20.03'!$BB$4,'20.03'!$BB$3)),(VLOOKUP('20.03'!X38,'20.03'!$AO$4:$AQ$55,2,FALSE))*IF('20.03'!$AK38="是",'20.03'!$BB$4,'20.03'!$BB$3))</f>
        <v>0</v>
      </c>
      <c r="Q38" s="4">
        <f>IF(ISNUMBER(SEARCH("营",'20.03'!Y38)),(-$Y38+50*IF('20.03'!$AK38="是",'20.03'!$BB$4,'20.03'!$BB$3)),(VLOOKUP('20.03'!Y38,'20.03'!$AO$4:$AQ$55,2,FALSE))*IF('20.03'!$AK38="是",'20.03'!$BB$4,'20.03'!$BB$3))</f>
        <v>0</v>
      </c>
      <c r="R38" s="4">
        <f>IF(ISNUMBER(SEARCH("营",'20.03'!Z38)),(-$Y38+50*IF('20.03'!$AK38="是",'20.03'!$BB$4,'20.03'!$BB$3)),(VLOOKUP('20.03'!Z38,'20.03'!$AO$4:$AQ$55,2,FALSE))*IF('20.03'!$AK38="是",'20.03'!$BB$4,'20.03'!$BB$3))</f>
        <v>0</v>
      </c>
      <c r="S38" s="4">
        <f>IF(ISNUMBER(SEARCH("营",'20.03'!AA38)),(-$Y38+50*IF('20.03'!$AK38="是",'20.03'!$BB$4,'20.03'!$BB$3)),(VLOOKUP('20.03'!AA38,'20.03'!$AO$4:$AQ$55,2,FALSE))*IF('20.03'!$AK38="是",'20.03'!$BB$4,'20.03'!$BB$3))</f>
        <v>0</v>
      </c>
      <c r="T38" s="4">
        <f>IF(ISNUMBER(SEARCH("营",'20.03'!AB38)),(-$Y38+50*IF('20.03'!$AK38="是",'20.03'!$BB$4,'20.03'!$BB$3)),(VLOOKUP('20.03'!AB38,'20.03'!$AO$4:$AQ$55,2,FALSE))*IF('20.03'!$AK38="是",'20.03'!$BB$4,'20.03'!$BB$3))</f>
        <v>0</v>
      </c>
      <c r="U38" s="4">
        <f>IF(ISNUMBER(SEARCH("营",'20.03'!AC38)),(-$Y38+50*IF('20.03'!$AK38="是",'20.03'!$BB$4,'20.03'!$BB$3)),(VLOOKUP('20.03'!AC38,'20.03'!$AO$4:$AQ$55,2,FALSE))*IF('20.03'!$AK38="是",'20.03'!$BB$4,'20.03'!$BB$3))</f>
        <v>0</v>
      </c>
      <c r="V38" s="4">
        <f>IF(ISNUMBER(SEARCH("营",'20.03'!AD38)),(-$Y38+50*IF('20.03'!$AK38="是",'20.03'!$BB$4,'20.03'!$BB$3)),(VLOOKUP('20.03'!AD38,'20.03'!$AO$4:$AQ$55,2,FALSE))*IF('20.03'!$AK38="是",'20.03'!$BB$4,'20.03'!$BB$3))</f>
        <v>0</v>
      </c>
      <c r="W38" s="4">
        <f>IF(ISNUMBER(SEARCH("营",'20.03'!AE38)),(-$Y38+50*IF('20.03'!$AK38="是",'20.03'!$BB$4,'20.03'!$BB$3)),(VLOOKUP('20.03'!AE38,'20.03'!$AO$4:$AQ$55,2,FALSE))*IF('20.03'!$AK38="是",'20.03'!$BB$4,'20.03'!$BB$3))</f>
        <v>0</v>
      </c>
      <c r="X38" s="4">
        <f>IF(ISNUMBER(SEARCH("营",'20.03'!AF38)),(-$Y38+50*IF('20.03'!$AK38="是",'20.03'!$BB$4,'20.03'!$BB$3)),(VLOOKUP('20.03'!AF38,'20.03'!$AO$4:$AQ$55,2,FALSE))*IF('20.03'!$AK38="是",'20.03'!$BB$4,'20.03'!$BB$3))</f>
        <v>0</v>
      </c>
      <c r="Y38" s="63">
        <v>200</v>
      </c>
      <c r="Z38" s="94">
        <v>45855</v>
      </c>
    </row>
    <row r="39" spans="1:26">
      <c r="A39" s="4">
        <f>IF(ISNUMBER(SEARCH("营",'20.03'!I39)),(-$Y39+50*IF('20.03'!$AK39="是",'20.03'!$BB$4,'20.03'!$BB$3)),(VLOOKUP('20.03'!I39,'20.03'!$AO$4:$AQ$55,2,FALSE))*IF('20.03'!$AK39="是",'20.03'!$BB$4,'20.03'!$BB$3))</f>
        <v>0</v>
      </c>
      <c r="B39" s="4">
        <f>IF(ISNUMBER(SEARCH("营",'20.03'!J39)),(-$Y39+50*IF('20.03'!$AK39="是",'20.03'!$BB$4,'20.03'!$BB$3)),(VLOOKUP('20.03'!J39,'20.03'!$AO$4:$AQ$55,2,FALSE))*IF('20.03'!$AK39="是",'20.03'!$BB$4,'20.03'!$BB$3))</f>
        <v>0</v>
      </c>
      <c r="C39" s="4">
        <f>IF(ISNUMBER(SEARCH("营",'20.03'!K39)),(-$Y39+50*IF('20.03'!$AK39="是",'20.03'!$BB$4,'20.03'!$BB$3)),(VLOOKUP('20.03'!K39,'20.03'!$AO$4:$AQ$55,2,FALSE))*IF('20.03'!$AK39="是",'20.03'!$BB$4,'20.03'!$BB$3))</f>
        <v>0</v>
      </c>
      <c r="D39" s="4">
        <f>IF(ISNUMBER(SEARCH("营",'20.03'!L39)),(-$Y39+50*IF('20.03'!$AK39="是",'20.03'!$BB$4,'20.03'!$BB$3)),(VLOOKUP('20.03'!L39,'20.03'!$AO$4:$AQ$55,2,FALSE))*IF('20.03'!$AK39="是",'20.03'!$BB$4,'20.03'!$BB$3))</f>
        <v>0</v>
      </c>
      <c r="E39" s="4">
        <f>IF(ISNUMBER(SEARCH("营",'20.03'!M39)),(-$Y39+50*IF('20.03'!$AK39="是",'20.03'!$BB$4,'20.03'!$BB$3)),(VLOOKUP('20.03'!M39,'20.03'!$AO$4:$AQ$55,2,FALSE))*IF('20.03'!$AK39="是",'20.03'!$BB$4,'20.03'!$BB$3))</f>
        <v>0</v>
      </c>
      <c r="F39" s="4">
        <f>IF(ISNUMBER(SEARCH("营",'20.03'!N39)),(-$Y39+50*IF('20.03'!$AK39="是",'20.03'!$BB$4,'20.03'!$BB$3)),(VLOOKUP('20.03'!N39,'20.03'!$AO$4:$AQ$55,2,FALSE))*IF('20.03'!$AK39="是",'20.03'!$BB$4,'20.03'!$BB$3))</f>
        <v>0</v>
      </c>
      <c r="G39" s="4">
        <f>IF(ISNUMBER(SEARCH("营",'20.03'!O39)),(-$Y39+50*IF('20.03'!$AK39="是",'20.03'!$BB$4,'20.03'!$BB$3)),(VLOOKUP('20.03'!O39,'20.03'!$AO$4:$AQ$55,2,FALSE))*IF('20.03'!$AK39="是",'20.03'!$BB$4,'20.03'!$BB$3))</f>
        <v>0</v>
      </c>
      <c r="H39" s="4">
        <f>IF(ISNUMBER(SEARCH("营",'20.03'!P39)),(-$Y39+50*IF('20.03'!$AK39="是",'20.03'!$BB$4,'20.03'!$BB$3)),(VLOOKUP('20.03'!P39,'20.03'!$AO$4:$AQ$55,2,FALSE))*IF('20.03'!$AK39="是",'20.03'!$BB$4,'20.03'!$BB$3))</f>
        <v>0</v>
      </c>
      <c r="I39" s="4">
        <f>IF(ISNUMBER(SEARCH("营",'20.03'!Q39)),(-$Y39+50*IF('20.03'!$AK39="是",'20.03'!$BB$4,'20.03'!$BB$3)),(VLOOKUP('20.03'!Q39,'20.03'!$AO$4:$AQ$55,2,FALSE))*IF('20.03'!$AK39="是",'20.03'!$BB$4,'20.03'!$BB$3))</f>
        <v>0</v>
      </c>
      <c r="J39" s="4">
        <f>IF(ISNUMBER(SEARCH("营",'20.03'!R39)),(-$Y39+50*IF('20.03'!$AK39="是",'20.03'!$BB$4,'20.03'!$BB$3)),(VLOOKUP('20.03'!R39,'20.03'!$AO$4:$AQ$55,2,FALSE))*IF('20.03'!$AK39="是",'20.03'!$BB$4,'20.03'!$BB$3))</f>
        <v>0</v>
      </c>
      <c r="K39" s="4">
        <f>IF(ISNUMBER(SEARCH("营",'20.03'!S39)),(-$Y39+50*IF('20.03'!$AK39="是",'20.03'!$BB$4,'20.03'!$BB$3)),(VLOOKUP('20.03'!S39,'20.03'!$AO$4:$AQ$55,2,FALSE))*IF('20.03'!$AK39="是",'20.03'!$BB$4,'20.03'!$BB$3))</f>
        <v>0</v>
      </c>
      <c r="L39" s="4">
        <f>IF(ISNUMBER(SEARCH("营",'20.03'!T39)),(-$Y39+50*IF('20.03'!$AK39="是",'20.03'!$BB$4,'20.03'!$BB$3)),(VLOOKUP('20.03'!T39,'20.03'!$AO$4:$AQ$55,2,FALSE))*IF('20.03'!$AK39="是",'20.03'!$BB$4,'20.03'!$BB$3))</f>
        <v>0</v>
      </c>
      <c r="M39" s="4">
        <f>IF(ISNUMBER(SEARCH("营",'20.03'!U39)),(-$Y39+50*IF('20.03'!$AK39="是",'20.03'!$BB$4,'20.03'!$BB$3)),(VLOOKUP('20.03'!U39,'20.03'!$AO$4:$AQ$55,2,FALSE))*IF('20.03'!$AK39="是",'20.03'!$BB$4,'20.03'!$BB$3))</f>
        <v>0</v>
      </c>
      <c r="N39" s="4">
        <f>IF(ISNUMBER(SEARCH("营",'20.03'!V39)),(-$Y39+50*IF('20.03'!$AK39="是",'20.03'!$BB$4,'20.03'!$BB$3)),(VLOOKUP('20.03'!V39,'20.03'!$AO$4:$AQ$55,2,FALSE))*IF('20.03'!$AK39="是",'20.03'!$BB$4,'20.03'!$BB$3))</f>
        <v>0</v>
      </c>
      <c r="O39" s="4">
        <f>IF(ISNUMBER(SEARCH("营",'20.03'!W39)),(-$Y39+50*IF('20.03'!$AK39="是",'20.03'!$BB$4,'20.03'!$BB$3)),(VLOOKUP('20.03'!W39,'20.03'!$AO$4:$AQ$55,2,FALSE))*IF('20.03'!$AK39="是",'20.03'!$BB$4,'20.03'!$BB$3))</f>
        <v>0</v>
      </c>
      <c r="P39" s="4">
        <f>IF(ISNUMBER(SEARCH("营",'20.03'!X39)),(-$Y39+50*IF('20.03'!$AK39="是",'20.03'!$BB$4,'20.03'!$BB$3)),(VLOOKUP('20.03'!X39,'20.03'!$AO$4:$AQ$55,2,FALSE))*IF('20.03'!$AK39="是",'20.03'!$BB$4,'20.03'!$BB$3))</f>
        <v>0</v>
      </c>
      <c r="Q39" s="4">
        <f>IF(ISNUMBER(SEARCH("营",'20.03'!Y39)),(-$Y39+50*IF('20.03'!$AK39="是",'20.03'!$BB$4,'20.03'!$BB$3)),(VLOOKUP('20.03'!Y39,'20.03'!$AO$4:$AQ$55,2,FALSE))*IF('20.03'!$AK39="是",'20.03'!$BB$4,'20.03'!$BB$3))</f>
        <v>0</v>
      </c>
      <c r="R39" s="4">
        <f>IF(ISNUMBER(SEARCH("营",'20.03'!Z39)),(-$Y39+50*IF('20.03'!$AK39="是",'20.03'!$BB$4,'20.03'!$BB$3)),(VLOOKUP('20.03'!Z39,'20.03'!$AO$4:$AQ$55,2,FALSE))*IF('20.03'!$AK39="是",'20.03'!$BB$4,'20.03'!$BB$3))</f>
        <v>0</v>
      </c>
      <c r="S39" s="4">
        <f>IF(ISNUMBER(SEARCH("营",'20.03'!AA39)),(-$Y39+50*IF('20.03'!$AK39="是",'20.03'!$BB$4,'20.03'!$BB$3)),(VLOOKUP('20.03'!AA39,'20.03'!$AO$4:$AQ$55,2,FALSE))*IF('20.03'!$AK39="是",'20.03'!$BB$4,'20.03'!$BB$3))</f>
        <v>0</v>
      </c>
      <c r="T39" s="4">
        <f>IF(ISNUMBER(SEARCH("营",'20.03'!AB39)),(-$Y39+50*IF('20.03'!$AK39="是",'20.03'!$BB$4,'20.03'!$BB$3)),(VLOOKUP('20.03'!AB39,'20.03'!$AO$4:$AQ$55,2,FALSE))*IF('20.03'!$AK39="是",'20.03'!$BB$4,'20.03'!$BB$3))</f>
        <v>0</v>
      </c>
      <c r="U39" s="4">
        <f>IF(ISNUMBER(SEARCH("营",'20.03'!AC39)),(-$Y39+50*IF('20.03'!$AK39="是",'20.03'!$BB$4,'20.03'!$BB$3)),(VLOOKUP('20.03'!AC39,'20.03'!$AO$4:$AQ$55,2,FALSE))*IF('20.03'!$AK39="是",'20.03'!$BB$4,'20.03'!$BB$3))</f>
        <v>0</v>
      </c>
      <c r="V39" s="4">
        <f>IF(ISNUMBER(SEARCH("营",'20.03'!AD39)),(-$Y39+50*IF('20.03'!$AK39="是",'20.03'!$BB$4,'20.03'!$BB$3)),(VLOOKUP('20.03'!AD39,'20.03'!$AO$4:$AQ$55,2,FALSE))*IF('20.03'!$AK39="是",'20.03'!$BB$4,'20.03'!$BB$3))</f>
        <v>0</v>
      </c>
      <c r="W39" s="4">
        <f>IF(ISNUMBER(SEARCH("营",'20.03'!AE39)),(-$Y39+50*IF('20.03'!$AK39="是",'20.03'!$BB$4,'20.03'!$BB$3)),(VLOOKUP('20.03'!AE39,'20.03'!$AO$4:$AQ$55,2,FALSE))*IF('20.03'!$AK39="是",'20.03'!$BB$4,'20.03'!$BB$3))</f>
        <v>0</v>
      </c>
      <c r="X39" s="4">
        <f>IF(ISNUMBER(SEARCH("营",'20.03'!AF39)),(-$Y39+50*IF('20.03'!$AK39="是",'20.03'!$BB$4,'20.03'!$BB$3)),(VLOOKUP('20.03'!AF39,'20.03'!$AO$4:$AQ$55,2,FALSE))*IF('20.03'!$AK39="是",'20.03'!$BB$4,'20.03'!$BB$3))</f>
        <v>0</v>
      </c>
      <c r="Y39" s="64">
        <v>150</v>
      </c>
      <c r="Z39" s="87">
        <v>45856</v>
      </c>
    </row>
    <row r="40" spans="1:26">
      <c r="A40" s="4">
        <f>IF(ISNUMBER(SEARCH("营",'20.03'!I40)),(-$Y40+50*IF('20.03'!$AK40="是",'20.03'!$BB$4,'20.03'!$BB$3)),(VLOOKUP('20.03'!I40,'20.03'!$AO$4:$AQ$55,2,FALSE))*IF('20.03'!$AK40="是",'20.03'!$BB$4,'20.03'!$BB$3))</f>
        <v>0</v>
      </c>
      <c r="B40" s="4">
        <f>IF(ISNUMBER(SEARCH("营",'20.03'!J40)),(-$Y40+50*IF('20.03'!$AK40="是",'20.03'!$BB$4,'20.03'!$BB$3)),(VLOOKUP('20.03'!J40,'20.03'!$AO$4:$AQ$55,2,FALSE))*IF('20.03'!$AK40="是",'20.03'!$BB$4,'20.03'!$BB$3))</f>
        <v>0</v>
      </c>
      <c r="C40" s="4">
        <f>IF(ISNUMBER(SEARCH("营",'20.03'!K40)),(-$Y40+50*IF('20.03'!$AK40="是",'20.03'!$BB$4,'20.03'!$BB$3)),(VLOOKUP('20.03'!K40,'20.03'!$AO$4:$AQ$55,2,FALSE))*IF('20.03'!$AK40="是",'20.03'!$BB$4,'20.03'!$BB$3))</f>
        <v>0</v>
      </c>
      <c r="D40" s="4">
        <f>IF(ISNUMBER(SEARCH("营",'20.03'!L40)),(-$Y40+50*IF('20.03'!$AK40="是",'20.03'!$BB$4,'20.03'!$BB$3)),(VLOOKUP('20.03'!L40,'20.03'!$AO$4:$AQ$55,2,FALSE))*IF('20.03'!$AK40="是",'20.03'!$BB$4,'20.03'!$BB$3))</f>
        <v>0</v>
      </c>
      <c r="E40" s="4">
        <f>IF(ISNUMBER(SEARCH("营",'20.03'!M40)),(-$Y40+50*IF('20.03'!$AK40="是",'20.03'!$BB$4,'20.03'!$BB$3)),(VLOOKUP('20.03'!M40,'20.03'!$AO$4:$AQ$55,2,FALSE))*IF('20.03'!$AK40="是",'20.03'!$BB$4,'20.03'!$BB$3))</f>
        <v>0</v>
      </c>
      <c r="F40" s="4">
        <f>IF(ISNUMBER(SEARCH("营",'20.03'!N40)),(-$Y40+50*IF('20.03'!$AK40="是",'20.03'!$BB$4,'20.03'!$BB$3)),(VLOOKUP('20.03'!N40,'20.03'!$AO$4:$AQ$55,2,FALSE))*IF('20.03'!$AK40="是",'20.03'!$BB$4,'20.03'!$BB$3))</f>
        <v>0</v>
      </c>
      <c r="G40" s="4">
        <f>IF(ISNUMBER(SEARCH("营",'20.03'!O40)),(-$Y40+50*IF('20.03'!$AK40="是",'20.03'!$BB$4,'20.03'!$BB$3)),(VLOOKUP('20.03'!O40,'20.03'!$AO$4:$AQ$55,2,FALSE))*IF('20.03'!$AK40="是",'20.03'!$BB$4,'20.03'!$BB$3))</f>
        <v>0</v>
      </c>
      <c r="H40" s="4">
        <f>IF(ISNUMBER(SEARCH("营",'20.03'!P40)),(-$Y40+50*IF('20.03'!$AK40="是",'20.03'!$BB$4,'20.03'!$BB$3)),(VLOOKUP('20.03'!P40,'20.03'!$AO$4:$AQ$55,2,FALSE))*IF('20.03'!$AK40="是",'20.03'!$BB$4,'20.03'!$BB$3))</f>
        <v>0</v>
      </c>
      <c r="I40" s="4">
        <f>IF(ISNUMBER(SEARCH("营",'20.03'!Q40)),(-$Y40+50*IF('20.03'!$AK40="是",'20.03'!$BB$4,'20.03'!$BB$3)),(VLOOKUP('20.03'!Q40,'20.03'!$AO$4:$AQ$55,2,FALSE))*IF('20.03'!$AK40="是",'20.03'!$BB$4,'20.03'!$BB$3))</f>
        <v>0</v>
      </c>
      <c r="J40" s="4">
        <f>IF(ISNUMBER(SEARCH("营",'20.03'!R40)),(-$Y40+50*IF('20.03'!$AK40="是",'20.03'!$BB$4,'20.03'!$BB$3)),(VLOOKUP('20.03'!R40,'20.03'!$AO$4:$AQ$55,2,FALSE))*IF('20.03'!$AK40="是",'20.03'!$BB$4,'20.03'!$BB$3))</f>
        <v>0</v>
      </c>
      <c r="K40" s="4">
        <f>IF(ISNUMBER(SEARCH("营",'20.03'!S40)),(-$Y40+50*IF('20.03'!$AK40="是",'20.03'!$BB$4,'20.03'!$BB$3)),(VLOOKUP('20.03'!S40,'20.03'!$AO$4:$AQ$55,2,FALSE))*IF('20.03'!$AK40="是",'20.03'!$BB$4,'20.03'!$BB$3))</f>
        <v>0</v>
      </c>
      <c r="L40" s="4">
        <f>IF(ISNUMBER(SEARCH("营",'20.03'!T40)),(-$Y40+50*IF('20.03'!$AK40="是",'20.03'!$BB$4,'20.03'!$BB$3)),(VLOOKUP('20.03'!T40,'20.03'!$AO$4:$AQ$55,2,FALSE))*IF('20.03'!$AK40="是",'20.03'!$BB$4,'20.03'!$BB$3))</f>
        <v>0</v>
      </c>
      <c r="M40" s="4">
        <f>IF(ISNUMBER(SEARCH("营",'20.03'!U40)),(-$Y40+50*IF('20.03'!$AK40="是",'20.03'!$BB$4,'20.03'!$BB$3)),(VLOOKUP('20.03'!U40,'20.03'!$AO$4:$AQ$55,2,FALSE))*IF('20.03'!$AK40="是",'20.03'!$BB$4,'20.03'!$BB$3))</f>
        <v>0</v>
      </c>
      <c r="N40" s="4">
        <f>IF(ISNUMBER(SEARCH("营",'20.03'!V40)),(-$Y40+50*IF('20.03'!$AK40="是",'20.03'!$BB$4,'20.03'!$BB$3)),(VLOOKUP('20.03'!V40,'20.03'!$AO$4:$AQ$55,2,FALSE))*IF('20.03'!$AK40="是",'20.03'!$BB$4,'20.03'!$BB$3))</f>
        <v>0</v>
      </c>
      <c r="O40" s="4">
        <f>IF(ISNUMBER(SEARCH("营",'20.03'!W40)),(-$Y40+50*IF('20.03'!$AK40="是",'20.03'!$BB$4,'20.03'!$BB$3)),(VLOOKUP('20.03'!W40,'20.03'!$AO$4:$AQ$55,2,FALSE))*IF('20.03'!$AK40="是",'20.03'!$BB$4,'20.03'!$BB$3))</f>
        <v>0</v>
      </c>
      <c r="P40" s="4">
        <f>IF(ISNUMBER(SEARCH("营",'20.03'!X40)),(-$Y40+50*IF('20.03'!$AK40="是",'20.03'!$BB$4,'20.03'!$BB$3)),(VLOOKUP('20.03'!X40,'20.03'!$AO$4:$AQ$55,2,FALSE))*IF('20.03'!$AK40="是",'20.03'!$BB$4,'20.03'!$BB$3))</f>
        <v>0</v>
      </c>
      <c r="Q40" s="4">
        <f>IF(ISNUMBER(SEARCH("营",'20.03'!Y40)),(-$Y40+50*IF('20.03'!$AK40="是",'20.03'!$BB$4,'20.03'!$BB$3)),(VLOOKUP('20.03'!Y40,'20.03'!$AO$4:$AQ$55,2,FALSE))*IF('20.03'!$AK40="是",'20.03'!$BB$4,'20.03'!$BB$3))</f>
        <v>0</v>
      </c>
      <c r="R40" s="4">
        <f>IF(ISNUMBER(SEARCH("营",'20.03'!Z40)),(-$Y40+50*IF('20.03'!$AK40="是",'20.03'!$BB$4,'20.03'!$BB$3)),(VLOOKUP('20.03'!Z40,'20.03'!$AO$4:$AQ$55,2,FALSE))*IF('20.03'!$AK40="是",'20.03'!$BB$4,'20.03'!$BB$3))</f>
        <v>0</v>
      </c>
      <c r="S40" s="4">
        <f>IF(ISNUMBER(SEARCH("营",'20.03'!AA40)),(-$Y40+50*IF('20.03'!$AK40="是",'20.03'!$BB$4,'20.03'!$BB$3)),(VLOOKUP('20.03'!AA40,'20.03'!$AO$4:$AQ$55,2,FALSE))*IF('20.03'!$AK40="是",'20.03'!$BB$4,'20.03'!$BB$3))</f>
        <v>0</v>
      </c>
      <c r="T40" s="4">
        <f>IF(ISNUMBER(SEARCH("营",'20.03'!AB40)),(-$Y40+50*IF('20.03'!$AK40="是",'20.03'!$BB$4,'20.03'!$BB$3)),(VLOOKUP('20.03'!AB40,'20.03'!$AO$4:$AQ$55,2,FALSE))*IF('20.03'!$AK40="是",'20.03'!$BB$4,'20.03'!$BB$3))</f>
        <v>0</v>
      </c>
      <c r="U40" s="4">
        <f>IF(ISNUMBER(SEARCH("营",'20.03'!AC40)),(-$Y40+50*IF('20.03'!$AK40="是",'20.03'!$BB$4,'20.03'!$BB$3)),(VLOOKUP('20.03'!AC40,'20.03'!$AO$4:$AQ$55,2,FALSE))*IF('20.03'!$AK40="是",'20.03'!$BB$4,'20.03'!$BB$3))</f>
        <v>0</v>
      </c>
      <c r="V40" s="4">
        <f>IF(ISNUMBER(SEARCH("营",'20.03'!AD40)),(-$Y40+50*IF('20.03'!$AK40="是",'20.03'!$BB$4,'20.03'!$BB$3)),(VLOOKUP('20.03'!AD40,'20.03'!$AO$4:$AQ$55,2,FALSE))*IF('20.03'!$AK40="是",'20.03'!$BB$4,'20.03'!$BB$3))</f>
        <v>0</v>
      </c>
      <c r="W40" s="4">
        <f>IF(ISNUMBER(SEARCH("营",'20.03'!AE40)),(-$Y40+50*IF('20.03'!$AK40="是",'20.03'!$BB$4,'20.03'!$BB$3)),(VLOOKUP('20.03'!AE40,'20.03'!$AO$4:$AQ$55,2,FALSE))*IF('20.03'!$AK40="是",'20.03'!$BB$4,'20.03'!$BB$3))</f>
        <v>0</v>
      </c>
      <c r="X40" s="4">
        <f>IF(ISNUMBER(SEARCH("营",'20.03'!AF40)),(-$Y40+50*IF('20.03'!$AK40="是",'20.03'!$BB$4,'20.03'!$BB$3)),(VLOOKUP('20.03'!AF40,'20.03'!$AO$4:$AQ$55,2,FALSE))*IF('20.03'!$AK40="是",'20.03'!$BB$4,'20.03'!$BB$3))</f>
        <v>0</v>
      </c>
      <c r="Y40" s="64">
        <v>150</v>
      </c>
      <c r="Z40" s="87">
        <v>45857</v>
      </c>
    </row>
    <row r="41" spans="1:26">
      <c r="A41" s="4">
        <f>IF(ISNUMBER(SEARCH("营",'20.03'!I41)),(-$Y41+50*IF('20.03'!$AK41="是",'20.03'!$BB$4,'20.03'!$BB$3)),(VLOOKUP('20.03'!I41,'20.03'!$AO$4:$AQ$55,2,FALSE))*IF('20.03'!$AK41="是",'20.03'!$BB$4,'20.03'!$BB$3))</f>
        <v>0</v>
      </c>
      <c r="B41" s="4">
        <f>IF(ISNUMBER(SEARCH("营",'20.03'!J41)),(-$Y41+50*IF('20.03'!$AK41="是",'20.03'!$BB$4,'20.03'!$BB$3)),(VLOOKUP('20.03'!J41,'20.03'!$AO$4:$AQ$55,2,FALSE))*IF('20.03'!$AK41="是",'20.03'!$BB$4,'20.03'!$BB$3))</f>
        <v>0</v>
      </c>
      <c r="C41" s="4">
        <f>IF(ISNUMBER(SEARCH("营",'20.03'!K41)),(-$Y41+50*IF('20.03'!$AK41="是",'20.03'!$BB$4,'20.03'!$BB$3)),(VLOOKUP('20.03'!K41,'20.03'!$AO$4:$AQ$55,2,FALSE))*IF('20.03'!$AK41="是",'20.03'!$BB$4,'20.03'!$BB$3))</f>
        <v>0</v>
      </c>
      <c r="D41" s="4">
        <f>IF(ISNUMBER(SEARCH("营",'20.03'!L41)),(-$Y41+50*IF('20.03'!$AK41="是",'20.03'!$BB$4,'20.03'!$BB$3)),(VLOOKUP('20.03'!L41,'20.03'!$AO$4:$AQ$55,2,FALSE))*IF('20.03'!$AK41="是",'20.03'!$BB$4,'20.03'!$BB$3))</f>
        <v>0</v>
      </c>
      <c r="E41" s="4">
        <f>IF(ISNUMBER(SEARCH("营",'20.03'!M41)),(-$Y41+50*IF('20.03'!$AK41="是",'20.03'!$BB$4,'20.03'!$BB$3)),(VLOOKUP('20.03'!M41,'20.03'!$AO$4:$AQ$55,2,FALSE))*IF('20.03'!$AK41="是",'20.03'!$BB$4,'20.03'!$BB$3))</f>
        <v>0</v>
      </c>
      <c r="F41" s="4">
        <f>IF(ISNUMBER(SEARCH("营",'20.03'!N41)),(-$Y41+50*IF('20.03'!$AK41="是",'20.03'!$BB$4,'20.03'!$BB$3)),(VLOOKUP('20.03'!N41,'20.03'!$AO$4:$AQ$55,2,FALSE))*IF('20.03'!$AK41="是",'20.03'!$BB$4,'20.03'!$BB$3))</f>
        <v>0</v>
      </c>
      <c r="G41" s="4">
        <f>IF(ISNUMBER(SEARCH("营",'20.03'!O41)),(-$Y41+50*IF('20.03'!$AK41="是",'20.03'!$BB$4,'20.03'!$BB$3)),(VLOOKUP('20.03'!O41,'20.03'!$AO$4:$AQ$55,2,FALSE))*IF('20.03'!$AK41="是",'20.03'!$BB$4,'20.03'!$BB$3))</f>
        <v>0</v>
      </c>
      <c r="H41" s="4">
        <f>IF(ISNUMBER(SEARCH("营",'20.03'!P41)),(-$Y41+50*IF('20.03'!$AK41="是",'20.03'!$BB$4,'20.03'!$BB$3)),(VLOOKUP('20.03'!P41,'20.03'!$AO$4:$AQ$55,2,FALSE))*IF('20.03'!$AK41="是",'20.03'!$BB$4,'20.03'!$BB$3))</f>
        <v>0</v>
      </c>
      <c r="I41" s="4">
        <f>IF(ISNUMBER(SEARCH("营",'20.03'!Q41)),(-$Y41+50*IF('20.03'!$AK41="是",'20.03'!$BB$4,'20.03'!$BB$3)),(VLOOKUP('20.03'!Q41,'20.03'!$AO$4:$AQ$55,2,FALSE))*IF('20.03'!$AK41="是",'20.03'!$BB$4,'20.03'!$BB$3))</f>
        <v>0</v>
      </c>
      <c r="J41" s="4">
        <f>IF(ISNUMBER(SEARCH("营",'20.03'!R41)),(-$Y41+50*IF('20.03'!$AK41="是",'20.03'!$BB$4,'20.03'!$BB$3)),(VLOOKUP('20.03'!R41,'20.03'!$AO$4:$AQ$55,2,FALSE))*IF('20.03'!$AK41="是",'20.03'!$BB$4,'20.03'!$BB$3))</f>
        <v>0</v>
      </c>
      <c r="K41" s="4">
        <f>IF(ISNUMBER(SEARCH("营",'20.03'!S41)),(-$Y41+50*IF('20.03'!$AK41="是",'20.03'!$BB$4,'20.03'!$BB$3)),(VLOOKUP('20.03'!S41,'20.03'!$AO$4:$AQ$55,2,FALSE))*IF('20.03'!$AK41="是",'20.03'!$BB$4,'20.03'!$BB$3))</f>
        <v>0</v>
      </c>
      <c r="L41" s="4">
        <f>IF(ISNUMBER(SEARCH("营",'20.03'!T41)),(-$Y41+50*IF('20.03'!$AK41="是",'20.03'!$BB$4,'20.03'!$BB$3)),(VLOOKUP('20.03'!T41,'20.03'!$AO$4:$AQ$55,2,FALSE))*IF('20.03'!$AK41="是",'20.03'!$BB$4,'20.03'!$BB$3))</f>
        <v>0</v>
      </c>
      <c r="M41" s="4">
        <f>IF(ISNUMBER(SEARCH("营",'20.03'!U41)),(-$Y41+50*IF('20.03'!$AK41="是",'20.03'!$BB$4,'20.03'!$BB$3)),(VLOOKUP('20.03'!U41,'20.03'!$AO$4:$AQ$55,2,FALSE))*IF('20.03'!$AK41="是",'20.03'!$BB$4,'20.03'!$BB$3))</f>
        <v>0</v>
      </c>
      <c r="N41" s="4">
        <f>IF(ISNUMBER(SEARCH("营",'20.03'!V41)),(-$Y41+50*IF('20.03'!$AK41="是",'20.03'!$BB$4,'20.03'!$BB$3)),(VLOOKUP('20.03'!V41,'20.03'!$AO$4:$AQ$55,2,FALSE))*IF('20.03'!$AK41="是",'20.03'!$BB$4,'20.03'!$BB$3))</f>
        <v>0</v>
      </c>
      <c r="O41" s="4">
        <f>IF(ISNUMBER(SEARCH("营",'20.03'!W41)),(-$Y41+50*IF('20.03'!$AK41="是",'20.03'!$BB$4,'20.03'!$BB$3)),(VLOOKUP('20.03'!W41,'20.03'!$AO$4:$AQ$55,2,FALSE))*IF('20.03'!$AK41="是",'20.03'!$BB$4,'20.03'!$BB$3))</f>
        <v>0</v>
      </c>
      <c r="P41" s="4">
        <f>IF(ISNUMBER(SEARCH("营",'20.03'!X41)),(-$Y41+50*IF('20.03'!$AK41="是",'20.03'!$BB$4,'20.03'!$BB$3)),(VLOOKUP('20.03'!X41,'20.03'!$AO$4:$AQ$55,2,FALSE))*IF('20.03'!$AK41="是",'20.03'!$BB$4,'20.03'!$BB$3))</f>
        <v>0</v>
      </c>
      <c r="Q41" s="4">
        <f>IF(ISNUMBER(SEARCH("营",'20.03'!Y41)),(-$Y41+50*IF('20.03'!$AK41="是",'20.03'!$BB$4,'20.03'!$BB$3)),(VLOOKUP('20.03'!Y41,'20.03'!$AO$4:$AQ$55,2,FALSE))*IF('20.03'!$AK41="是",'20.03'!$BB$4,'20.03'!$BB$3))</f>
        <v>0</v>
      </c>
      <c r="R41" s="4">
        <f>IF(ISNUMBER(SEARCH("营",'20.03'!Z41)),(-$Y41+50*IF('20.03'!$AK41="是",'20.03'!$BB$4,'20.03'!$BB$3)),(VLOOKUP('20.03'!Z41,'20.03'!$AO$4:$AQ$55,2,FALSE))*IF('20.03'!$AK41="是",'20.03'!$BB$4,'20.03'!$BB$3))</f>
        <v>0</v>
      </c>
      <c r="S41" s="4">
        <f>IF(ISNUMBER(SEARCH("营",'20.03'!AA41)),(-$Y41+50*IF('20.03'!$AK41="是",'20.03'!$BB$4,'20.03'!$BB$3)),(VLOOKUP('20.03'!AA41,'20.03'!$AO$4:$AQ$55,2,FALSE))*IF('20.03'!$AK41="是",'20.03'!$BB$4,'20.03'!$BB$3))</f>
        <v>0</v>
      </c>
      <c r="T41" s="4">
        <f>IF(ISNUMBER(SEARCH("营",'20.03'!AB41)),(-$Y41+50*IF('20.03'!$AK41="是",'20.03'!$BB$4,'20.03'!$BB$3)),(VLOOKUP('20.03'!AB41,'20.03'!$AO$4:$AQ$55,2,FALSE))*IF('20.03'!$AK41="是",'20.03'!$BB$4,'20.03'!$BB$3))</f>
        <v>0</v>
      </c>
      <c r="U41" s="4">
        <f>IF(ISNUMBER(SEARCH("营",'20.03'!AC41)),(-$Y41+50*IF('20.03'!$AK41="是",'20.03'!$BB$4,'20.03'!$BB$3)),(VLOOKUP('20.03'!AC41,'20.03'!$AO$4:$AQ$55,2,FALSE))*IF('20.03'!$AK41="是",'20.03'!$BB$4,'20.03'!$BB$3))</f>
        <v>0</v>
      </c>
      <c r="V41" s="4">
        <f>IF(ISNUMBER(SEARCH("营",'20.03'!AD41)),(-$Y41+50*IF('20.03'!$AK41="是",'20.03'!$BB$4,'20.03'!$BB$3)),(VLOOKUP('20.03'!AD41,'20.03'!$AO$4:$AQ$55,2,FALSE))*IF('20.03'!$AK41="是",'20.03'!$BB$4,'20.03'!$BB$3))</f>
        <v>0</v>
      </c>
      <c r="W41" s="4">
        <f>IF(ISNUMBER(SEARCH("营",'20.03'!AE41)),(-$Y41+50*IF('20.03'!$AK41="是",'20.03'!$BB$4,'20.03'!$BB$3)),(VLOOKUP('20.03'!AE41,'20.03'!$AO$4:$AQ$55,2,FALSE))*IF('20.03'!$AK41="是",'20.03'!$BB$4,'20.03'!$BB$3))</f>
        <v>0</v>
      </c>
      <c r="X41" s="4">
        <f>IF(ISNUMBER(SEARCH("营",'20.03'!AF41)),(-$Y41+50*IF('20.03'!$AK41="是",'20.03'!$BB$4,'20.03'!$BB$3)),(VLOOKUP('20.03'!AF41,'20.03'!$AO$4:$AQ$55,2,FALSE))*IF('20.03'!$AK41="是",'20.03'!$BB$4,'20.03'!$BB$3))</f>
        <v>0</v>
      </c>
      <c r="Y41" s="64">
        <v>150</v>
      </c>
      <c r="Z41" s="87">
        <v>45858</v>
      </c>
    </row>
    <row r="42" spans="1:26">
      <c r="A42" s="4">
        <f>IF(ISNUMBER(SEARCH("营",'20.03'!I42)),(-$Y42+50*IF('20.03'!$AK42="是",'20.03'!$BB$4,'20.03'!$BB$3)),(VLOOKUP('20.03'!I42,'20.03'!$AO$4:$AQ$55,2,FALSE))*IF('20.03'!$AK42="是",'20.03'!$BB$4,'20.03'!$BB$3))</f>
        <v>0</v>
      </c>
      <c r="B42" s="4">
        <f>IF(ISNUMBER(SEARCH("营",'20.03'!J42)),(-$Y42+50*IF('20.03'!$AK42="是",'20.03'!$BB$4,'20.03'!$BB$3)),(VLOOKUP('20.03'!J42,'20.03'!$AO$4:$AQ$55,2,FALSE))*IF('20.03'!$AK42="是",'20.03'!$BB$4,'20.03'!$BB$3))</f>
        <v>0</v>
      </c>
      <c r="C42" s="4">
        <f>IF(ISNUMBER(SEARCH("营",'20.03'!K42)),(-$Y42+50*IF('20.03'!$AK42="是",'20.03'!$BB$4,'20.03'!$BB$3)),(VLOOKUP('20.03'!K42,'20.03'!$AO$4:$AQ$55,2,FALSE))*IF('20.03'!$AK42="是",'20.03'!$BB$4,'20.03'!$BB$3))</f>
        <v>0</v>
      </c>
      <c r="D42" s="4">
        <f>IF(ISNUMBER(SEARCH("营",'20.03'!L42)),(-$Y42+50*IF('20.03'!$AK42="是",'20.03'!$BB$4,'20.03'!$BB$3)),(VLOOKUP('20.03'!L42,'20.03'!$AO$4:$AQ$55,2,FALSE))*IF('20.03'!$AK42="是",'20.03'!$BB$4,'20.03'!$BB$3))</f>
        <v>0</v>
      </c>
      <c r="E42" s="4">
        <f>IF(ISNUMBER(SEARCH("营",'20.03'!M42)),(-$Y42+50*IF('20.03'!$AK42="是",'20.03'!$BB$4,'20.03'!$BB$3)),(VLOOKUP('20.03'!M42,'20.03'!$AO$4:$AQ$55,2,FALSE))*IF('20.03'!$AK42="是",'20.03'!$BB$4,'20.03'!$BB$3))</f>
        <v>0</v>
      </c>
      <c r="F42" s="4">
        <f>IF(ISNUMBER(SEARCH("营",'20.03'!N42)),(-$Y42+50*IF('20.03'!$AK42="是",'20.03'!$BB$4,'20.03'!$BB$3)),(VLOOKUP('20.03'!N42,'20.03'!$AO$4:$AQ$55,2,FALSE))*IF('20.03'!$AK42="是",'20.03'!$BB$4,'20.03'!$BB$3))</f>
        <v>0</v>
      </c>
      <c r="G42" s="4">
        <f>IF(ISNUMBER(SEARCH("营",'20.03'!O42)),(-$Y42+50*IF('20.03'!$AK42="是",'20.03'!$BB$4,'20.03'!$BB$3)),(VLOOKUP('20.03'!O42,'20.03'!$AO$4:$AQ$55,2,FALSE))*IF('20.03'!$AK42="是",'20.03'!$BB$4,'20.03'!$BB$3))</f>
        <v>0</v>
      </c>
      <c r="H42" s="4">
        <f>IF(ISNUMBER(SEARCH("营",'20.03'!P42)),(-$Y42+50*IF('20.03'!$AK42="是",'20.03'!$BB$4,'20.03'!$BB$3)),(VLOOKUP('20.03'!P42,'20.03'!$AO$4:$AQ$55,2,FALSE))*IF('20.03'!$AK42="是",'20.03'!$BB$4,'20.03'!$BB$3))</f>
        <v>0</v>
      </c>
      <c r="I42" s="4">
        <f>IF(ISNUMBER(SEARCH("营",'20.03'!Q42)),(-$Y42+50*IF('20.03'!$AK42="是",'20.03'!$BB$4,'20.03'!$BB$3)),(VLOOKUP('20.03'!Q42,'20.03'!$AO$4:$AQ$55,2,FALSE))*IF('20.03'!$AK42="是",'20.03'!$BB$4,'20.03'!$BB$3))</f>
        <v>0</v>
      </c>
      <c r="J42" s="4">
        <f>IF(ISNUMBER(SEARCH("营",'20.03'!R42)),(-$Y42+50*IF('20.03'!$AK42="是",'20.03'!$BB$4,'20.03'!$BB$3)),(VLOOKUP('20.03'!R42,'20.03'!$AO$4:$AQ$55,2,FALSE))*IF('20.03'!$AK42="是",'20.03'!$BB$4,'20.03'!$BB$3))</f>
        <v>0</v>
      </c>
      <c r="K42" s="4">
        <f>IF(ISNUMBER(SEARCH("营",'20.03'!S42)),(-$Y42+50*IF('20.03'!$AK42="是",'20.03'!$BB$4,'20.03'!$BB$3)),(VLOOKUP('20.03'!S42,'20.03'!$AO$4:$AQ$55,2,FALSE))*IF('20.03'!$AK42="是",'20.03'!$BB$4,'20.03'!$BB$3))</f>
        <v>0</v>
      </c>
      <c r="L42" s="4">
        <f>IF(ISNUMBER(SEARCH("营",'20.03'!T42)),(-$Y42+50*IF('20.03'!$AK42="是",'20.03'!$BB$4,'20.03'!$BB$3)),(VLOOKUP('20.03'!T42,'20.03'!$AO$4:$AQ$55,2,FALSE))*IF('20.03'!$AK42="是",'20.03'!$BB$4,'20.03'!$BB$3))</f>
        <v>0</v>
      </c>
      <c r="M42" s="4">
        <f>IF(ISNUMBER(SEARCH("营",'20.03'!U42)),(-$Y42+50*IF('20.03'!$AK42="是",'20.03'!$BB$4,'20.03'!$BB$3)),(VLOOKUP('20.03'!U42,'20.03'!$AO$4:$AQ$55,2,FALSE))*IF('20.03'!$AK42="是",'20.03'!$BB$4,'20.03'!$BB$3))</f>
        <v>0</v>
      </c>
      <c r="N42" s="4">
        <f>IF(ISNUMBER(SEARCH("营",'20.03'!V42)),(-$Y42+50*IF('20.03'!$AK42="是",'20.03'!$BB$4,'20.03'!$BB$3)),(VLOOKUP('20.03'!V42,'20.03'!$AO$4:$AQ$55,2,FALSE))*IF('20.03'!$AK42="是",'20.03'!$BB$4,'20.03'!$BB$3))</f>
        <v>0</v>
      </c>
      <c r="O42" s="4">
        <f>IF(ISNUMBER(SEARCH("营",'20.03'!W42)),(-$Y42+50*IF('20.03'!$AK42="是",'20.03'!$BB$4,'20.03'!$BB$3)),(VLOOKUP('20.03'!W42,'20.03'!$AO$4:$AQ$55,2,FALSE))*IF('20.03'!$AK42="是",'20.03'!$BB$4,'20.03'!$BB$3))</f>
        <v>0</v>
      </c>
      <c r="P42" s="4">
        <f>IF(ISNUMBER(SEARCH("营",'20.03'!X42)),(-$Y42+50*IF('20.03'!$AK42="是",'20.03'!$BB$4,'20.03'!$BB$3)),(VLOOKUP('20.03'!X42,'20.03'!$AO$4:$AQ$55,2,FALSE))*IF('20.03'!$AK42="是",'20.03'!$BB$4,'20.03'!$BB$3))</f>
        <v>0</v>
      </c>
      <c r="Q42" s="4">
        <f>IF(ISNUMBER(SEARCH("营",'20.03'!Y42)),(-$Y42+50*IF('20.03'!$AK42="是",'20.03'!$BB$4,'20.03'!$BB$3)),(VLOOKUP('20.03'!Y42,'20.03'!$AO$4:$AQ$55,2,FALSE))*IF('20.03'!$AK42="是",'20.03'!$BB$4,'20.03'!$BB$3))</f>
        <v>0</v>
      </c>
      <c r="R42" s="4">
        <f>IF(ISNUMBER(SEARCH("营",'20.03'!Z42)),(-$Y42+50*IF('20.03'!$AK42="是",'20.03'!$BB$4,'20.03'!$BB$3)),(VLOOKUP('20.03'!Z42,'20.03'!$AO$4:$AQ$55,2,FALSE))*IF('20.03'!$AK42="是",'20.03'!$BB$4,'20.03'!$BB$3))</f>
        <v>0</v>
      </c>
      <c r="S42" s="4">
        <f>IF(ISNUMBER(SEARCH("营",'20.03'!AA42)),(-$Y42+50*IF('20.03'!$AK42="是",'20.03'!$BB$4,'20.03'!$BB$3)),(VLOOKUP('20.03'!AA42,'20.03'!$AO$4:$AQ$55,2,FALSE))*IF('20.03'!$AK42="是",'20.03'!$BB$4,'20.03'!$BB$3))</f>
        <v>0</v>
      </c>
      <c r="T42" s="4">
        <f>IF(ISNUMBER(SEARCH("营",'20.03'!AB42)),(-$Y42+50*IF('20.03'!$AK42="是",'20.03'!$BB$4,'20.03'!$BB$3)),(VLOOKUP('20.03'!AB42,'20.03'!$AO$4:$AQ$55,2,FALSE))*IF('20.03'!$AK42="是",'20.03'!$BB$4,'20.03'!$BB$3))</f>
        <v>0</v>
      </c>
      <c r="U42" s="4">
        <f>IF(ISNUMBER(SEARCH("营",'20.03'!AC42)),(-$Y42+50*IF('20.03'!$AK42="是",'20.03'!$BB$4,'20.03'!$BB$3)),(VLOOKUP('20.03'!AC42,'20.03'!$AO$4:$AQ$55,2,FALSE))*IF('20.03'!$AK42="是",'20.03'!$BB$4,'20.03'!$BB$3))</f>
        <v>0</v>
      </c>
      <c r="V42" s="4">
        <f>IF(ISNUMBER(SEARCH("营",'20.03'!AD42)),(-$Y42+50*IF('20.03'!$AK42="是",'20.03'!$BB$4,'20.03'!$BB$3)),(VLOOKUP('20.03'!AD42,'20.03'!$AO$4:$AQ$55,2,FALSE))*IF('20.03'!$AK42="是",'20.03'!$BB$4,'20.03'!$BB$3))</f>
        <v>0</v>
      </c>
      <c r="W42" s="4">
        <f>IF(ISNUMBER(SEARCH("营",'20.03'!AE42)),(-$Y42+50*IF('20.03'!$AK42="是",'20.03'!$BB$4,'20.03'!$BB$3)),(VLOOKUP('20.03'!AE42,'20.03'!$AO$4:$AQ$55,2,FALSE))*IF('20.03'!$AK42="是",'20.03'!$BB$4,'20.03'!$BB$3))</f>
        <v>0</v>
      </c>
      <c r="X42" s="4">
        <f>IF(ISNUMBER(SEARCH("营",'20.03'!AF42)),(-$Y42+50*IF('20.03'!$AK42="是",'20.03'!$BB$4,'20.03'!$BB$3)),(VLOOKUP('20.03'!AF42,'20.03'!$AO$4:$AQ$55,2,FALSE))*IF('20.03'!$AK42="是",'20.03'!$BB$4,'20.03'!$BB$3))</f>
        <v>0</v>
      </c>
      <c r="Y42" s="64">
        <v>150</v>
      </c>
      <c r="Z42" s="87">
        <v>45859</v>
      </c>
    </row>
    <row r="43" spans="1:26">
      <c r="A43" s="4">
        <f>IF(ISNUMBER(SEARCH("营",'20.03'!I43)),(-$Y43+50*IF('20.03'!$AK43="是",'20.03'!$BB$4,'20.03'!$BB$3)),(VLOOKUP('20.03'!I43,'20.03'!$AO$4:$AQ$55,2,FALSE))*IF('20.03'!$AK43="是",'20.03'!$BB$4,'20.03'!$BB$3))</f>
        <v>0</v>
      </c>
      <c r="B43" s="4">
        <f>IF(ISNUMBER(SEARCH("营",'20.03'!J43)),(-$Y43+50*IF('20.03'!$AK43="是",'20.03'!$BB$4,'20.03'!$BB$3)),(VLOOKUP('20.03'!J43,'20.03'!$AO$4:$AQ$55,2,FALSE))*IF('20.03'!$AK43="是",'20.03'!$BB$4,'20.03'!$BB$3))</f>
        <v>0</v>
      </c>
      <c r="C43" s="4">
        <f>IF(ISNUMBER(SEARCH("营",'20.03'!K43)),(-$Y43+50*IF('20.03'!$AK43="是",'20.03'!$BB$4,'20.03'!$BB$3)),(VLOOKUP('20.03'!K43,'20.03'!$AO$4:$AQ$55,2,FALSE))*IF('20.03'!$AK43="是",'20.03'!$BB$4,'20.03'!$BB$3))</f>
        <v>0</v>
      </c>
      <c r="D43" s="4">
        <f>IF(ISNUMBER(SEARCH("营",'20.03'!L43)),(-$Y43+50*IF('20.03'!$AK43="是",'20.03'!$BB$4,'20.03'!$BB$3)),(VLOOKUP('20.03'!L43,'20.03'!$AO$4:$AQ$55,2,FALSE))*IF('20.03'!$AK43="是",'20.03'!$BB$4,'20.03'!$BB$3))</f>
        <v>0</v>
      </c>
      <c r="E43" s="4">
        <f>IF(ISNUMBER(SEARCH("营",'20.03'!M43)),(-$Y43+50*IF('20.03'!$AK43="是",'20.03'!$BB$4,'20.03'!$BB$3)),(VLOOKUP('20.03'!M43,'20.03'!$AO$4:$AQ$55,2,FALSE))*IF('20.03'!$AK43="是",'20.03'!$BB$4,'20.03'!$BB$3))</f>
        <v>0</v>
      </c>
      <c r="F43" s="4">
        <f>IF(ISNUMBER(SEARCH("营",'20.03'!N43)),(-$Y43+50*IF('20.03'!$AK43="是",'20.03'!$BB$4,'20.03'!$BB$3)),(VLOOKUP('20.03'!N43,'20.03'!$AO$4:$AQ$55,2,FALSE))*IF('20.03'!$AK43="是",'20.03'!$BB$4,'20.03'!$BB$3))</f>
        <v>0</v>
      </c>
      <c r="G43" s="4">
        <f>IF(ISNUMBER(SEARCH("营",'20.03'!O43)),(-$Y43+50*IF('20.03'!$AK43="是",'20.03'!$BB$4,'20.03'!$BB$3)),(VLOOKUP('20.03'!O43,'20.03'!$AO$4:$AQ$55,2,FALSE))*IF('20.03'!$AK43="是",'20.03'!$BB$4,'20.03'!$BB$3))</f>
        <v>0</v>
      </c>
      <c r="H43" s="4">
        <f>IF(ISNUMBER(SEARCH("营",'20.03'!P43)),(-$Y43+50*IF('20.03'!$AK43="是",'20.03'!$BB$4,'20.03'!$BB$3)),(VLOOKUP('20.03'!P43,'20.03'!$AO$4:$AQ$55,2,FALSE))*IF('20.03'!$AK43="是",'20.03'!$BB$4,'20.03'!$BB$3))</f>
        <v>0</v>
      </c>
      <c r="I43" s="4">
        <f>IF(ISNUMBER(SEARCH("营",'20.03'!Q43)),(-$Y43+50*IF('20.03'!$AK43="是",'20.03'!$BB$4,'20.03'!$BB$3)),(VLOOKUP('20.03'!Q43,'20.03'!$AO$4:$AQ$55,2,FALSE))*IF('20.03'!$AK43="是",'20.03'!$BB$4,'20.03'!$BB$3))</f>
        <v>0</v>
      </c>
      <c r="J43" s="4">
        <f>IF(ISNUMBER(SEARCH("营",'20.03'!R43)),(-$Y43+50*IF('20.03'!$AK43="是",'20.03'!$BB$4,'20.03'!$BB$3)),(VLOOKUP('20.03'!R43,'20.03'!$AO$4:$AQ$55,2,FALSE))*IF('20.03'!$AK43="是",'20.03'!$BB$4,'20.03'!$BB$3))</f>
        <v>0</v>
      </c>
      <c r="K43" s="4">
        <f>IF(ISNUMBER(SEARCH("营",'20.03'!S43)),(-$Y43+50*IF('20.03'!$AK43="是",'20.03'!$BB$4,'20.03'!$BB$3)),(VLOOKUP('20.03'!S43,'20.03'!$AO$4:$AQ$55,2,FALSE))*IF('20.03'!$AK43="是",'20.03'!$BB$4,'20.03'!$BB$3))</f>
        <v>0</v>
      </c>
      <c r="L43" s="4">
        <f>IF(ISNUMBER(SEARCH("营",'20.03'!T43)),(-$Y43+50*IF('20.03'!$AK43="是",'20.03'!$BB$4,'20.03'!$BB$3)),(VLOOKUP('20.03'!T43,'20.03'!$AO$4:$AQ$55,2,FALSE))*IF('20.03'!$AK43="是",'20.03'!$BB$4,'20.03'!$BB$3))</f>
        <v>0</v>
      </c>
      <c r="M43" s="4">
        <f>IF(ISNUMBER(SEARCH("营",'20.03'!U43)),(-$Y43+50*IF('20.03'!$AK43="是",'20.03'!$BB$4,'20.03'!$BB$3)),(VLOOKUP('20.03'!U43,'20.03'!$AO$4:$AQ$55,2,FALSE))*IF('20.03'!$AK43="是",'20.03'!$BB$4,'20.03'!$BB$3))</f>
        <v>0</v>
      </c>
      <c r="N43" s="4">
        <f>IF(ISNUMBER(SEARCH("营",'20.03'!V43)),(-$Y43+50*IF('20.03'!$AK43="是",'20.03'!$BB$4,'20.03'!$BB$3)),(VLOOKUP('20.03'!V43,'20.03'!$AO$4:$AQ$55,2,FALSE))*IF('20.03'!$AK43="是",'20.03'!$BB$4,'20.03'!$BB$3))</f>
        <v>0</v>
      </c>
      <c r="O43" s="4">
        <f>IF(ISNUMBER(SEARCH("营",'20.03'!W43)),(-$Y43+50*IF('20.03'!$AK43="是",'20.03'!$BB$4,'20.03'!$BB$3)),(VLOOKUP('20.03'!W43,'20.03'!$AO$4:$AQ$55,2,FALSE))*IF('20.03'!$AK43="是",'20.03'!$BB$4,'20.03'!$BB$3))</f>
        <v>0</v>
      </c>
      <c r="P43" s="4">
        <f>IF(ISNUMBER(SEARCH("营",'20.03'!X43)),(-$Y43+50*IF('20.03'!$AK43="是",'20.03'!$BB$4,'20.03'!$BB$3)),(VLOOKUP('20.03'!X43,'20.03'!$AO$4:$AQ$55,2,FALSE))*IF('20.03'!$AK43="是",'20.03'!$BB$4,'20.03'!$BB$3))</f>
        <v>0</v>
      </c>
      <c r="Q43" s="4">
        <f>IF(ISNUMBER(SEARCH("营",'20.03'!Y43)),(-$Y43+50*IF('20.03'!$AK43="是",'20.03'!$BB$4,'20.03'!$BB$3)),(VLOOKUP('20.03'!Y43,'20.03'!$AO$4:$AQ$55,2,FALSE))*IF('20.03'!$AK43="是",'20.03'!$BB$4,'20.03'!$BB$3))</f>
        <v>0</v>
      </c>
      <c r="R43" s="4">
        <f>IF(ISNUMBER(SEARCH("营",'20.03'!Z43)),(-$Y43+50*IF('20.03'!$AK43="是",'20.03'!$BB$4,'20.03'!$BB$3)),(VLOOKUP('20.03'!Z43,'20.03'!$AO$4:$AQ$55,2,FALSE))*IF('20.03'!$AK43="是",'20.03'!$BB$4,'20.03'!$BB$3))</f>
        <v>0</v>
      </c>
      <c r="S43" s="4">
        <f>IF(ISNUMBER(SEARCH("营",'20.03'!AA43)),(-$Y43+50*IF('20.03'!$AK43="是",'20.03'!$BB$4,'20.03'!$BB$3)),(VLOOKUP('20.03'!AA43,'20.03'!$AO$4:$AQ$55,2,FALSE))*IF('20.03'!$AK43="是",'20.03'!$BB$4,'20.03'!$BB$3))</f>
        <v>0</v>
      </c>
      <c r="T43" s="4">
        <f>IF(ISNUMBER(SEARCH("营",'20.03'!AB43)),(-$Y43+50*IF('20.03'!$AK43="是",'20.03'!$BB$4,'20.03'!$BB$3)),(VLOOKUP('20.03'!AB43,'20.03'!$AO$4:$AQ$55,2,FALSE))*IF('20.03'!$AK43="是",'20.03'!$BB$4,'20.03'!$BB$3))</f>
        <v>0</v>
      </c>
      <c r="U43" s="4">
        <f>IF(ISNUMBER(SEARCH("营",'20.03'!AC43)),(-$Y43+50*IF('20.03'!$AK43="是",'20.03'!$BB$4,'20.03'!$BB$3)),(VLOOKUP('20.03'!AC43,'20.03'!$AO$4:$AQ$55,2,FALSE))*IF('20.03'!$AK43="是",'20.03'!$BB$4,'20.03'!$BB$3))</f>
        <v>0</v>
      </c>
      <c r="V43" s="4">
        <f>IF(ISNUMBER(SEARCH("营",'20.03'!AD43)),(-$Y43+50*IF('20.03'!$AK43="是",'20.03'!$BB$4,'20.03'!$BB$3)),(VLOOKUP('20.03'!AD43,'20.03'!$AO$4:$AQ$55,2,FALSE))*IF('20.03'!$AK43="是",'20.03'!$BB$4,'20.03'!$BB$3))</f>
        <v>0</v>
      </c>
      <c r="W43" s="4">
        <f>IF(ISNUMBER(SEARCH("营",'20.03'!AE43)),(-$Y43+50*IF('20.03'!$AK43="是",'20.03'!$BB$4,'20.03'!$BB$3)),(VLOOKUP('20.03'!AE43,'20.03'!$AO$4:$AQ$55,2,FALSE))*IF('20.03'!$AK43="是",'20.03'!$BB$4,'20.03'!$BB$3))</f>
        <v>0</v>
      </c>
      <c r="X43" s="4">
        <f>IF(ISNUMBER(SEARCH("营",'20.03'!AF43)),(-$Y43+50*IF('20.03'!$AK43="是",'20.03'!$BB$4,'20.03'!$BB$3)),(VLOOKUP('20.03'!AF43,'20.03'!$AO$4:$AQ$55,2,FALSE))*IF('20.03'!$AK43="是",'20.03'!$BB$4,'20.03'!$BB$3))</f>
        <v>0</v>
      </c>
      <c r="Y43" s="64">
        <v>150</v>
      </c>
      <c r="Z43" s="87">
        <v>45860</v>
      </c>
    </row>
    <row r="44" spans="1:26">
      <c r="A44" s="4">
        <f>IF(ISNUMBER(SEARCH("营",'20.03'!I44)),(-$Y44+50*IF('20.03'!$AK44="是",'20.03'!$BB$4,'20.03'!$BB$3)),(VLOOKUP('20.03'!I44,'20.03'!$AO$4:$AQ$55,2,FALSE))*IF('20.03'!$AK44="是",'20.03'!$BB$4,'20.03'!$BB$3))</f>
        <v>0</v>
      </c>
      <c r="B44" s="4">
        <f>IF(ISNUMBER(SEARCH("营",'20.03'!J44)),(-$Y44+50*IF('20.03'!$AK44="是",'20.03'!$BB$4,'20.03'!$BB$3)),(VLOOKUP('20.03'!J44,'20.03'!$AO$4:$AQ$55,2,FALSE))*IF('20.03'!$AK44="是",'20.03'!$BB$4,'20.03'!$BB$3))</f>
        <v>0</v>
      </c>
      <c r="C44" s="4">
        <f>IF(ISNUMBER(SEARCH("营",'20.03'!K44)),(-$Y44+50*IF('20.03'!$AK44="是",'20.03'!$BB$4,'20.03'!$BB$3)),(VLOOKUP('20.03'!K44,'20.03'!$AO$4:$AQ$55,2,FALSE))*IF('20.03'!$AK44="是",'20.03'!$BB$4,'20.03'!$BB$3))</f>
        <v>0</v>
      </c>
      <c r="D44" s="4">
        <f>IF(ISNUMBER(SEARCH("营",'20.03'!L44)),(-$Y44+50*IF('20.03'!$AK44="是",'20.03'!$BB$4,'20.03'!$BB$3)),(VLOOKUP('20.03'!L44,'20.03'!$AO$4:$AQ$55,2,FALSE))*IF('20.03'!$AK44="是",'20.03'!$BB$4,'20.03'!$BB$3))</f>
        <v>0</v>
      </c>
      <c r="E44" s="4">
        <f>IF(ISNUMBER(SEARCH("营",'20.03'!M44)),(-$Y44+50*IF('20.03'!$AK44="是",'20.03'!$BB$4,'20.03'!$BB$3)),(VLOOKUP('20.03'!M44,'20.03'!$AO$4:$AQ$55,2,FALSE))*IF('20.03'!$AK44="是",'20.03'!$BB$4,'20.03'!$BB$3))</f>
        <v>0</v>
      </c>
      <c r="F44" s="4">
        <f>IF(ISNUMBER(SEARCH("营",'20.03'!N44)),(-$Y44+50*IF('20.03'!$AK44="是",'20.03'!$BB$4,'20.03'!$BB$3)),(VLOOKUP('20.03'!N44,'20.03'!$AO$4:$AQ$55,2,FALSE))*IF('20.03'!$AK44="是",'20.03'!$BB$4,'20.03'!$BB$3))</f>
        <v>0</v>
      </c>
      <c r="G44" s="4">
        <f>IF(ISNUMBER(SEARCH("营",'20.03'!O44)),(-$Y44+50*IF('20.03'!$AK44="是",'20.03'!$BB$4,'20.03'!$BB$3)),(VLOOKUP('20.03'!O44,'20.03'!$AO$4:$AQ$55,2,FALSE))*IF('20.03'!$AK44="是",'20.03'!$BB$4,'20.03'!$BB$3))</f>
        <v>0</v>
      </c>
      <c r="H44" s="4">
        <f>IF(ISNUMBER(SEARCH("营",'20.03'!P44)),(-$Y44+50*IF('20.03'!$AK44="是",'20.03'!$BB$4,'20.03'!$BB$3)),(VLOOKUP('20.03'!P44,'20.03'!$AO$4:$AQ$55,2,FALSE))*IF('20.03'!$AK44="是",'20.03'!$BB$4,'20.03'!$BB$3))</f>
        <v>0</v>
      </c>
      <c r="I44" s="4">
        <f>IF(ISNUMBER(SEARCH("营",'20.03'!Q44)),(-$Y44+50*IF('20.03'!$AK44="是",'20.03'!$BB$4,'20.03'!$BB$3)),(VLOOKUP('20.03'!Q44,'20.03'!$AO$4:$AQ$55,2,FALSE))*IF('20.03'!$AK44="是",'20.03'!$BB$4,'20.03'!$BB$3))</f>
        <v>0</v>
      </c>
      <c r="J44" s="4">
        <f>IF(ISNUMBER(SEARCH("营",'20.03'!R44)),(-$Y44+50*IF('20.03'!$AK44="是",'20.03'!$BB$4,'20.03'!$BB$3)),(VLOOKUP('20.03'!R44,'20.03'!$AO$4:$AQ$55,2,FALSE))*IF('20.03'!$AK44="是",'20.03'!$BB$4,'20.03'!$BB$3))</f>
        <v>0</v>
      </c>
      <c r="K44" s="4">
        <f>IF(ISNUMBER(SEARCH("营",'20.03'!S44)),(-$Y44+50*IF('20.03'!$AK44="是",'20.03'!$BB$4,'20.03'!$BB$3)),(VLOOKUP('20.03'!S44,'20.03'!$AO$4:$AQ$55,2,FALSE))*IF('20.03'!$AK44="是",'20.03'!$BB$4,'20.03'!$BB$3))</f>
        <v>0</v>
      </c>
      <c r="L44" s="4">
        <f>IF(ISNUMBER(SEARCH("营",'20.03'!T44)),(-$Y44+50*IF('20.03'!$AK44="是",'20.03'!$BB$4,'20.03'!$BB$3)),(VLOOKUP('20.03'!T44,'20.03'!$AO$4:$AQ$55,2,FALSE))*IF('20.03'!$AK44="是",'20.03'!$BB$4,'20.03'!$BB$3))</f>
        <v>0</v>
      </c>
      <c r="M44" s="4">
        <f>IF(ISNUMBER(SEARCH("营",'20.03'!U44)),(-$Y44+50*IF('20.03'!$AK44="是",'20.03'!$BB$4,'20.03'!$BB$3)),(VLOOKUP('20.03'!U44,'20.03'!$AO$4:$AQ$55,2,FALSE))*IF('20.03'!$AK44="是",'20.03'!$BB$4,'20.03'!$BB$3))</f>
        <v>0</v>
      </c>
      <c r="N44" s="4">
        <f>IF(ISNUMBER(SEARCH("营",'20.03'!V44)),(-$Y44+50*IF('20.03'!$AK44="是",'20.03'!$BB$4,'20.03'!$BB$3)),(VLOOKUP('20.03'!V44,'20.03'!$AO$4:$AQ$55,2,FALSE))*IF('20.03'!$AK44="是",'20.03'!$BB$4,'20.03'!$BB$3))</f>
        <v>0</v>
      </c>
      <c r="O44" s="4">
        <f>IF(ISNUMBER(SEARCH("营",'20.03'!W44)),(-$Y44+50*IF('20.03'!$AK44="是",'20.03'!$BB$4,'20.03'!$BB$3)),(VLOOKUP('20.03'!W44,'20.03'!$AO$4:$AQ$55,2,FALSE))*IF('20.03'!$AK44="是",'20.03'!$BB$4,'20.03'!$BB$3))</f>
        <v>0</v>
      </c>
      <c r="P44" s="4">
        <f>IF(ISNUMBER(SEARCH("营",'20.03'!X44)),(-$Y44+50*IF('20.03'!$AK44="是",'20.03'!$BB$4,'20.03'!$BB$3)),(VLOOKUP('20.03'!X44,'20.03'!$AO$4:$AQ$55,2,FALSE))*IF('20.03'!$AK44="是",'20.03'!$BB$4,'20.03'!$BB$3))</f>
        <v>0</v>
      </c>
      <c r="Q44" s="4">
        <f>IF(ISNUMBER(SEARCH("营",'20.03'!Y44)),(-$Y44+50*IF('20.03'!$AK44="是",'20.03'!$BB$4,'20.03'!$BB$3)),(VLOOKUP('20.03'!Y44,'20.03'!$AO$4:$AQ$55,2,FALSE))*IF('20.03'!$AK44="是",'20.03'!$BB$4,'20.03'!$BB$3))</f>
        <v>0</v>
      </c>
      <c r="R44" s="4">
        <f>IF(ISNUMBER(SEARCH("营",'20.03'!Z44)),(-$Y44+50*IF('20.03'!$AK44="是",'20.03'!$BB$4,'20.03'!$BB$3)),(VLOOKUP('20.03'!Z44,'20.03'!$AO$4:$AQ$55,2,FALSE))*IF('20.03'!$AK44="是",'20.03'!$BB$4,'20.03'!$BB$3))</f>
        <v>0</v>
      </c>
      <c r="S44" s="4">
        <f>IF(ISNUMBER(SEARCH("营",'20.03'!AA44)),(-$Y44+50*IF('20.03'!$AK44="是",'20.03'!$BB$4,'20.03'!$BB$3)),(VLOOKUP('20.03'!AA44,'20.03'!$AO$4:$AQ$55,2,FALSE))*IF('20.03'!$AK44="是",'20.03'!$BB$4,'20.03'!$BB$3))</f>
        <v>0</v>
      </c>
      <c r="T44" s="4">
        <f>IF(ISNUMBER(SEARCH("营",'20.03'!AB44)),(-$Y44+50*IF('20.03'!$AK44="是",'20.03'!$BB$4,'20.03'!$BB$3)),(VLOOKUP('20.03'!AB44,'20.03'!$AO$4:$AQ$55,2,FALSE))*IF('20.03'!$AK44="是",'20.03'!$BB$4,'20.03'!$BB$3))</f>
        <v>0</v>
      </c>
      <c r="U44" s="4">
        <f>IF(ISNUMBER(SEARCH("营",'20.03'!AC44)),(-$Y44+50*IF('20.03'!$AK44="是",'20.03'!$BB$4,'20.03'!$BB$3)),(VLOOKUP('20.03'!AC44,'20.03'!$AO$4:$AQ$55,2,FALSE))*IF('20.03'!$AK44="是",'20.03'!$BB$4,'20.03'!$BB$3))</f>
        <v>0</v>
      </c>
      <c r="V44" s="4">
        <f>IF(ISNUMBER(SEARCH("营",'20.03'!AD44)),(-$Y44+50*IF('20.03'!$AK44="是",'20.03'!$BB$4,'20.03'!$BB$3)),(VLOOKUP('20.03'!AD44,'20.03'!$AO$4:$AQ$55,2,FALSE))*IF('20.03'!$AK44="是",'20.03'!$BB$4,'20.03'!$BB$3))</f>
        <v>0</v>
      </c>
      <c r="W44" s="4">
        <f>IF(ISNUMBER(SEARCH("营",'20.03'!AE44)),(-$Y44+50*IF('20.03'!$AK44="是",'20.03'!$BB$4,'20.03'!$BB$3)),(VLOOKUP('20.03'!AE44,'20.03'!$AO$4:$AQ$55,2,FALSE))*IF('20.03'!$AK44="是",'20.03'!$BB$4,'20.03'!$BB$3))</f>
        <v>0</v>
      </c>
      <c r="X44" s="4">
        <f>IF(ISNUMBER(SEARCH("营",'20.03'!AF44)),(-$Y44+50*IF('20.03'!$AK44="是",'20.03'!$BB$4,'20.03'!$BB$3)),(VLOOKUP('20.03'!AF44,'20.03'!$AO$4:$AQ$55,2,FALSE))*IF('20.03'!$AK44="是",'20.03'!$BB$4,'20.03'!$BB$3))</f>
        <v>0</v>
      </c>
      <c r="Y44" s="64">
        <v>150</v>
      </c>
      <c r="Z44" s="87">
        <v>45861</v>
      </c>
    </row>
    <row r="45" spans="1:26">
      <c r="A45" s="4">
        <f>IF(ISNUMBER(SEARCH("营",'20.03'!I45)),(-$Y45+50*IF('20.03'!$AK45="是",'20.03'!$BB$4,'20.03'!$BB$3)),(VLOOKUP('20.03'!I45,'20.03'!$AO$4:$AQ$55,2,FALSE))*IF('20.03'!$AK45="是",'20.03'!$BB$4,'20.03'!$BB$3))</f>
        <v>0</v>
      </c>
      <c r="B45" s="4">
        <f>IF(ISNUMBER(SEARCH("营",'20.03'!J45)),(-$Y45+50*IF('20.03'!$AK45="是",'20.03'!$BB$4,'20.03'!$BB$3)),(VLOOKUP('20.03'!J45,'20.03'!$AO$4:$AQ$55,2,FALSE))*IF('20.03'!$AK45="是",'20.03'!$BB$4,'20.03'!$BB$3))</f>
        <v>0</v>
      </c>
      <c r="C45" s="4">
        <f>IF(ISNUMBER(SEARCH("营",'20.03'!K45)),(-$Y45+50*IF('20.03'!$AK45="是",'20.03'!$BB$4,'20.03'!$BB$3)),(VLOOKUP('20.03'!K45,'20.03'!$AO$4:$AQ$55,2,FALSE))*IF('20.03'!$AK45="是",'20.03'!$BB$4,'20.03'!$BB$3))</f>
        <v>0</v>
      </c>
      <c r="D45" s="4">
        <f>IF(ISNUMBER(SEARCH("营",'20.03'!L45)),(-$Y45+50*IF('20.03'!$AK45="是",'20.03'!$BB$4,'20.03'!$BB$3)),(VLOOKUP('20.03'!L45,'20.03'!$AO$4:$AQ$55,2,FALSE))*IF('20.03'!$AK45="是",'20.03'!$BB$4,'20.03'!$BB$3))</f>
        <v>0</v>
      </c>
      <c r="E45" s="4">
        <f>IF(ISNUMBER(SEARCH("营",'20.03'!M45)),(-$Y45+50*IF('20.03'!$AK45="是",'20.03'!$BB$4,'20.03'!$BB$3)),(VLOOKUP('20.03'!M45,'20.03'!$AO$4:$AQ$55,2,FALSE))*IF('20.03'!$AK45="是",'20.03'!$BB$4,'20.03'!$BB$3))</f>
        <v>0</v>
      </c>
      <c r="F45" s="4">
        <f>IF(ISNUMBER(SEARCH("营",'20.03'!N45)),(-$Y45+50*IF('20.03'!$AK45="是",'20.03'!$BB$4,'20.03'!$BB$3)),(VLOOKUP('20.03'!N45,'20.03'!$AO$4:$AQ$55,2,FALSE))*IF('20.03'!$AK45="是",'20.03'!$BB$4,'20.03'!$BB$3))</f>
        <v>0</v>
      </c>
      <c r="G45" s="4">
        <f>IF(ISNUMBER(SEARCH("营",'20.03'!O45)),(-$Y45+50*IF('20.03'!$AK45="是",'20.03'!$BB$4,'20.03'!$BB$3)),(VLOOKUP('20.03'!O45,'20.03'!$AO$4:$AQ$55,2,FALSE))*IF('20.03'!$AK45="是",'20.03'!$BB$4,'20.03'!$BB$3))</f>
        <v>0</v>
      </c>
      <c r="H45" s="4">
        <f>IF(ISNUMBER(SEARCH("营",'20.03'!P45)),(-$Y45+50*IF('20.03'!$AK45="是",'20.03'!$BB$4,'20.03'!$BB$3)),(VLOOKUP('20.03'!P45,'20.03'!$AO$4:$AQ$55,2,FALSE))*IF('20.03'!$AK45="是",'20.03'!$BB$4,'20.03'!$BB$3))</f>
        <v>0</v>
      </c>
      <c r="I45" s="4">
        <f>IF(ISNUMBER(SEARCH("营",'20.03'!Q45)),(-$Y45+50*IF('20.03'!$AK45="是",'20.03'!$BB$4,'20.03'!$BB$3)),(VLOOKUP('20.03'!Q45,'20.03'!$AO$4:$AQ$55,2,FALSE))*IF('20.03'!$AK45="是",'20.03'!$BB$4,'20.03'!$BB$3))</f>
        <v>0</v>
      </c>
      <c r="J45" s="4">
        <f>IF(ISNUMBER(SEARCH("营",'20.03'!R45)),(-$Y45+50*IF('20.03'!$AK45="是",'20.03'!$BB$4,'20.03'!$BB$3)),(VLOOKUP('20.03'!R45,'20.03'!$AO$4:$AQ$55,2,FALSE))*IF('20.03'!$AK45="是",'20.03'!$BB$4,'20.03'!$BB$3))</f>
        <v>0</v>
      </c>
      <c r="K45" s="4">
        <f>IF(ISNUMBER(SEARCH("营",'20.03'!S45)),(-$Y45+50*IF('20.03'!$AK45="是",'20.03'!$BB$4,'20.03'!$BB$3)),(VLOOKUP('20.03'!S45,'20.03'!$AO$4:$AQ$55,2,FALSE))*IF('20.03'!$AK45="是",'20.03'!$BB$4,'20.03'!$BB$3))</f>
        <v>0</v>
      </c>
      <c r="L45" s="4">
        <f>IF(ISNUMBER(SEARCH("营",'20.03'!T45)),(-$Y45+50*IF('20.03'!$AK45="是",'20.03'!$BB$4,'20.03'!$BB$3)),(VLOOKUP('20.03'!T45,'20.03'!$AO$4:$AQ$55,2,FALSE))*IF('20.03'!$AK45="是",'20.03'!$BB$4,'20.03'!$BB$3))</f>
        <v>0</v>
      </c>
      <c r="M45" s="4">
        <f>IF(ISNUMBER(SEARCH("营",'20.03'!U45)),(-$Y45+50*IF('20.03'!$AK45="是",'20.03'!$BB$4,'20.03'!$BB$3)),(VLOOKUP('20.03'!U45,'20.03'!$AO$4:$AQ$55,2,FALSE))*IF('20.03'!$AK45="是",'20.03'!$BB$4,'20.03'!$BB$3))</f>
        <v>0</v>
      </c>
      <c r="N45" s="4">
        <f>IF(ISNUMBER(SEARCH("营",'20.03'!V45)),(-$Y45+50*IF('20.03'!$AK45="是",'20.03'!$BB$4,'20.03'!$BB$3)),(VLOOKUP('20.03'!V45,'20.03'!$AO$4:$AQ$55,2,FALSE))*IF('20.03'!$AK45="是",'20.03'!$BB$4,'20.03'!$BB$3))</f>
        <v>0</v>
      </c>
      <c r="O45" s="4">
        <f>IF(ISNUMBER(SEARCH("营",'20.03'!W45)),(-$Y45+50*IF('20.03'!$AK45="是",'20.03'!$BB$4,'20.03'!$BB$3)),(VLOOKUP('20.03'!W45,'20.03'!$AO$4:$AQ$55,2,FALSE))*IF('20.03'!$AK45="是",'20.03'!$BB$4,'20.03'!$BB$3))</f>
        <v>0</v>
      </c>
      <c r="P45" s="4">
        <f>IF(ISNUMBER(SEARCH("营",'20.03'!X45)),(-$Y45+50*IF('20.03'!$AK45="是",'20.03'!$BB$4,'20.03'!$BB$3)),(VLOOKUP('20.03'!X45,'20.03'!$AO$4:$AQ$55,2,FALSE))*IF('20.03'!$AK45="是",'20.03'!$BB$4,'20.03'!$BB$3))</f>
        <v>0</v>
      </c>
      <c r="Q45" s="4">
        <f>IF(ISNUMBER(SEARCH("营",'20.03'!Y45)),(-$Y45+50*IF('20.03'!$AK45="是",'20.03'!$BB$4,'20.03'!$BB$3)),(VLOOKUP('20.03'!Y45,'20.03'!$AO$4:$AQ$55,2,FALSE))*IF('20.03'!$AK45="是",'20.03'!$BB$4,'20.03'!$BB$3))</f>
        <v>0</v>
      </c>
      <c r="R45" s="4">
        <f>IF(ISNUMBER(SEARCH("营",'20.03'!Z45)),(-$Y45+50*IF('20.03'!$AK45="是",'20.03'!$BB$4,'20.03'!$BB$3)),(VLOOKUP('20.03'!Z45,'20.03'!$AO$4:$AQ$55,2,FALSE))*IF('20.03'!$AK45="是",'20.03'!$BB$4,'20.03'!$BB$3))</f>
        <v>0</v>
      </c>
      <c r="S45" s="4">
        <f>IF(ISNUMBER(SEARCH("营",'20.03'!AA45)),(-$Y45+50*IF('20.03'!$AK45="是",'20.03'!$BB$4,'20.03'!$BB$3)),(VLOOKUP('20.03'!AA45,'20.03'!$AO$4:$AQ$55,2,FALSE))*IF('20.03'!$AK45="是",'20.03'!$BB$4,'20.03'!$BB$3))</f>
        <v>0</v>
      </c>
      <c r="T45" s="4">
        <f>IF(ISNUMBER(SEARCH("营",'20.03'!AB45)),(-$Y45+50*IF('20.03'!$AK45="是",'20.03'!$BB$4,'20.03'!$BB$3)),(VLOOKUP('20.03'!AB45,'20.03'!$AO$4:$AQ$55,2,FALSE))*IF('20.03'!$AK45="是",'20.03'!$BB$4,'20.03'!$BB$3))</f>
        <v>0</v>
      </c>
      <c r="U45" s="4">
        <f>IF(ISNUMBER(SEARCH("营",'20.03'!AC45)),(-$Y45+50*IF('20.03'!$AK45="是",'20.03'!$BB$4,'20.03'!$BB$3)),(VLOOKUP('20.03'!AC45,'20.03'!$AO$4:$AQ$55,2,FALSE))*IF('20.03'!$AK45="是",'20.03'!$BB$4,'20.03'!$BB$3))</f>
        <v>0</v>
      </c>
      <c r="V45" s="4">
        <f>IF(ISNUMBER(SEARCH("营",'20.03'!AD45)),(-$Y45+50*IF('20.03'!$AK45="是",'20.03'!$BB$4,'20.03'!$BB$3)),(VLOOKUP('20.03'!AD45,'20.03'!$AO$4:$AQ$55,2,FALSE))*IF('20.03'!$AK45="是",'20.03'!$BB$4,'20.03'!$BB$3))</f>
        <v>0</v>
      </c>
      <c r="W45" s="4">
        <f>IF(ISNUMBER(SEARCH("营",'20.03'!AE45)),(-$Y45+50*IF('20.03'!$AK45="是",'20.03'!$BB$4,'20.03'!$BB$3)),(VLOOKUP('20.03'!AE45,'20.03'!$AO$4:$AQ$55,2,FALSE))*IF('20.03'!$AK45="是",'20.03'!$BB$4,'20.03'!$BB$3))</f>
        <v>0</v>
      </c>
      <c r="X45" s="4">
        <f>IF(ISNUMBER(SEARCH("营",'20.03'!AF45)),(-$Y45+50*IF('20.03'!$AK45="是",'20.03'!$BB$4,'20.03'!$BB$3)),(VLOOKUP('20.03'!AF45,'20.03'!$AO$4:$AQ$55,2,FALSE))*IF('20.03'!$AK45="是",'20.03'!$BB$4,'20.03'!$BB$3))</f>
        <v>0</v>
      </c>
      <c r="Y45" s="64">
        <v>150</v>
      </c>
      <c r="Z45" s="87">
        <v>45862</v>
      </c>
    </row>
    <row r="46" spans="1:26">
      <c r="A46" s="4">
        <f>IF(ISNUMBER(SEARCH("营",'20.03'!I46)),(-$Y46+50*IF('20.03'!$AK46="是",'20.03'!$BB$4,'20.03'!$BB$3)),(VLOOKUP('20.03'!I46,'20.03'!$AO$4:$AQ$55,2,FALSE))*IF('20.03'!$AK46="是",'20.03'!$BB$4,'20.03'!$BB$3))</f>
        <v>0</v>
      </c>
      <c r="B46" s="4">
        <f>IF(ISNUMBER(SEARCH("营",'20.03'!J46)),(-$Y46+50*IF('20.03'!$AK46="是",'20.03'!$BB$4,'20.03'!$BB$3)),(VLOOKUP('20.03'!J46,'20.03'!$AO$4:$AQ$55,2,FALSE))*IF('20.03'!$AK46="是",'20.03'!$BB$4,'20.03'!$BB$3))</f>
        <v>0</v>
      </c>
      <c r="C46" s="4">
        <f>IF(ISNUMBER(SEARCH("营",'20.03'!K46)),(-$Y46+50*IF('20.03'!$AK46="是",'20.03'!$BB$4,'20.03'!$BB$3)),(VLOOKUP('20.03'!K46,'20.03'!$AO$4:$AQ$55,2,FALSE))*IF('20.03'!$AK46="是",'20.03'!$BB$4,'20.03'!$BB$3))</f>
        <v>0</v>
      </c>
      <c r="D46" s="4">
        <f>IF(ISNUMBER(SEARCH("营",'20.03'!L46)),(-$Y46+50*IF('20.03'!$AK46="是",'20.03'!$BB$4,'20.03'!$BB$3)),(VLOOKUP('20.03'!L46,'20.03'!$AO$4:$AQ$55,2,FALSE))*IF('20.03'!$AK46="是",'20.03'!$BB$4,'20.03'!$BB$3))</f>
        <v>0</v>
      </c>
      <c r="E46" s="4">
        <f>IF(ISNUMBER(SEARCH("营",'20.03'!M46)),(-$Y46+50*IF('20.03'!$AK46="是",'20.03'!$BB$4,'20.03'!$BB$3)),(VLOOKUP('20.03'!M46,'20.03'!$AO$4:$AQ$55,2,FALSE))*IF('20.03'!$AK46="是",'20.03'!$BB$4,'20.03'!$BB$3))</f>
        <v>0</v>
      </c>
      <c r="F46" s="4">
        <f>IF(ISNUMBER(SEARCH("营",'20.03'!N46)),(-$Y46+50*IF('20.03'!$AK46="是",'20.03'!$BB$4,'20.03'!$BB$3)),(VLOOKUP('20.03'!N46,'20.03'!$AO$4:$AQ$55,2,FALSE))*IF('20.03'!$AK46="是",'20.03'!$BB$4,'20.03'!$BB$3))</f>
        <v>0</v>
      </c>
      <c r="G46" s="4">
        <f>IF(ISNUMBER(SEARCH("营",'20.03'!O46)),(-$Y46+50*IF('20.03'!$AK46="是",'20.03'!$BB$4,'20.03'!$BB$3)),(VLOOKUP('20.03'!O46,'20.03'!$AO$4:$AQ$55,2,FALSE))*IF('20.03'!$AK46="是",'20.03'!$BB$4,'20.03'!$BB$3))</f>
        <v>0</v>
      </c>
      <c r="H46" s="4">
        <f>IF(ISNUMBER(SEARCH("营",'20.03'!P46)),(-$Y46+50*IF('20.03'!$AK46="是",'20.03'!$BB$4,'20.03'!$BB$3)),(VLOOKUP('20.03'!P46,'20.03'!$AO$4:$AQ$55,2,FALSE))*IF('20.03'!$AK46="是",'20.03'!$BB$4,'20.03'!$BB$3))</f>
        <v>0</v>
      </c>
      <c r="I46" s="4">
        <f>IF(ISNUMBER(SEARCH("营",'20.03'!Q46)),(-$Y46+50*IF('20.03'!$AK46="是",'20.03'!$BB$4,'20.03'!$BB$3)),(VLOOKUP('20.03'!Q46,'20.03'!$AO$4:$AQ$55,2,FALSE))*IF('20.03'!$AK46="是",'20.03'!$BB$4,'20.03'!$BB$3))</f>
        <v>0</v>
      </c>
      <c r="J46" s="4">
        <f>IF(ISNUMBER(SEARCH("营",'20.03'!R46)),(-$Y46+50*IF('20.03'!$AK46="是",'20.03'!$BB$4,'20.03'!$BB$3)),(VLOOKUP('20.03'!R46,'20.03'!$AO$4:$AQ$55,2,FALSE))*IF('20.03'!$AK46="是",'20.03'!$BB$4,'20.03'!$BB$3))</f>
        <v>0</v>
      </c>
      <c r="K46" s="4">
        <f>IF(ISNUMBER(SEARCH("营",'20.03'!S46)),(-$Y46+50*IF('20.03'!$AK46="是",'20.03'!$BB$4,'20.03'!$BB$3)),(VLOOKUP('20.03'!S46,'20.03'!$AO$4:$AQ$55,2,FALSE))*IF('20.03'!$AK46="是",'20.03'!$BB$4,'20.03'!$BB$3))</f>
        <v>0</v>
      </c>
      <c r="L46" s="4">
        <f>IF(ISNUMBER(SEARCH("营",'20.03'!T46)),(-$Y46+50*IF('20.03'!$AK46="是",'20.03'!$BB$4,'20.03'!$BB$3)),(VLOOKUP('20.03'!T46,'20.03'!$AO$4:$AQ$55,2,FALSE))*IF('20.03'!$AK46="是",'20.03'!$BB$4,'20.03'!$BB$3))</f>
        <v>0</v>
      </c>
      <c r="M46" s="4">
        <f>IF(ISNUMBER(SEARCH("营",'20.03'!U46)),(-$Y46+50*IF('20.03'!$AK46="是",'20.03'!$BB$4,'20.03'!$BB$3)),(VLOOKUP('20.03'!U46,'20.03'!$AO$4:$AQ$55,2,FALSE))*IF('20.03'!$AK46="是",'20.03'!$BB$4,'20.03'!$BB$3))</f>
        <v>0</v>
      </c>
      <c r="N46" s="4">
        <f>IF(ISNUMBER(SEARCH("营",'20.03'!V46)),(-$Y46+50*IF('20.03'!$AK46="是",'20.03'!$BB$4,'20.03'!$BB$3)),(VLOOKUP('20.03'!V46,'20.03'!$AO$4:$AQ$55,2,FALSE))*IF('20.03'!$AK46="是",'20.03'!$BB$4,'20.03'!$BB$3))</f>
        <v>0</v>
      </c>
      <c r="O46" s="4">
        <f>IF(ISNUMBER(SEARCH("营",'20.03'!W46)),(-$Y46+50*IF('20.03'!$AK46="是",'20.03'!$BB$4,'20.03'!$BB$3)),(VLOOKUP('20.03'!W46,'20.03'!$AO$4:$AQ$55,2,FALSE))*IF('20.03'!$AK46="是",'20.03'!$BB$4,'20.03'!$BB$3))</f>
        <v>0</v>
      </c>
      <c r="P46" s="4">
        <f>IF(ISNUMBER(SEARCH("营",'20.03'!X46)),(-$Y46+50*IF('20.03'!$AK46="是",'20.03'!$BB$4,'20.03'!$BB$3)),(VLOOKUP('20.03'!X46,'20.03'!$AO$4:$AQ$55,2,FALSE))*IF('20.03'!$AK46="是",'20.03'!$BB$4,'20.03'!$BB$3))</f>
        <v>0</v>
      </c>
      <c r="Q46" s="4">
        <f>IF(ISNUMBER(SEARCH("营",'20.03'!Y46)),(-$Y46+50*IF('20.03'!$AK46="是",'20.03'!$BB$4,'20.03'!$BB$3)),(VLOOKUP('20.03'!Y46,'20.03'!$AO$4:$AQ$55,2,FALSE))*IF('20.03'!$AK46="是",'20.03'!$BB$4,'20.03'!$BB$3))</f>
        <v>0</v>
      </c>
      <c r="R46" s="4">
        <f>IF(ISNUMBER(SEARCH("营",'20.03'!Z46)),(-$Y46+50*IF('20.03'!$AK46="是",'20.03'!$BB$4,'20.03'!$BB$3)),(VLOOKUP('20.03'!Z46,'20.03'!$AO$4:$AQ$55,2,FALSE))*IF('20.03'!$AK46="是",'20.03'!$BB$4,'20.03'!$BB$3))</f>
        <v>0</v>
      </c>
      <c r="S46" s="4">
        <f>IF(ISNUMBER(SEARCH("营",'20.03'!AA46)),(-$Y46+50*IF('20.03'!$AK46="是",'20.03'!$BB$4,'20.03'!$BB$3)),(VLOOKUP('20.03'!AA46,'20.03'!$AO$4:$AQ$55,2,FALSE))*IF('20.03'!$AK46="是",'20.03'!$BB$4,'20.03'!$BB$3))</f>
        <v>0</v>
      </c>
      <c r="T46" s="4">
        <f>IF(ISNUMBER(SEARCH("营",'20.03'!AB46)),(-$Y46+50*IF('20.03'!$AK46="是",'20.03'!$BB$4,'20.03'!$BB$3)),(VLOOKUP('20.03'!AB46,'20.03'!$AO$4:$AQ$55,2,FALSE))*IF('20.03'!$AK46="是",'20.03'!$BB$4,'20.03'!$BB$3))</f>
        <v>0</v>
      </c>
      <c r="U46" s="4">
        <f>IF(ISNUMBER(SEARCH("营",'20.03'!AC46)),(-$Y46+50*IF('20.03'!$AK46="是",'20.03'!$BB$4,'20.03'!$BB$3)),(VLOOKUP('20.03'!AC46,'20.03'!$AO$4:$AQ$55,2,FALSE))*IF('20.03'!$AK46="是",'20.03'!$BB$4,'20.03'!$BB$3))</f>
        <v>0</v>
      </c>
      <c r="V46" s="4">
        <f>IF(ISNUMBER(SEARCH("营",'20.03'!AD46)),(-$Y46+50*IF('20.03'!$AK46="是",'20.03'!$BB$4,'20.03'!$BB$3)),(VLOOKUP('20.03'!AD46,'20.03'!$AO$4:$AQ$55,2,FALSE))*IF('20.03'!$AK46="是",'20.03'!$BB$4,'20.03'!$BB$3))</f>
        <v>0</v>
      </c>
      <c r="W46" s="4">
        <f>IF(ISNUMBER(SEARCH("营",'20.03'!AE46)),(-$Y46+50*IF('20.03'!$AK46="是",'20.03'!$BB$4,'20.03'!$BB$3)),(VLOOKUP('20.03'!AE46,'20.03'!$AO$4:$AQ$55,2,FALSE))*IF('20.03'!$AK46="是",'20.03'!$BB$4,'20.03'!$BB$3))</f>
        <v>0</v>
      </c>
      <c r="X46" s="4">
        <f>IF(ISNUMBER(SEARCH("营",'20.03'!AF46)),(-$Y46+50*IF('20.03'!$AK46="是",'20.03'!$BB$4,'20.03'!$BB$3)),(VLOOKUP('20.03'!AF46,'20.03'!$AO$4:$AQ$55,2,FALSE))*IF('20.03'!$AK46="是",'20.03'!$BB$4,'20.03'!$BB$3))</f>
        <v>0</v>
      </c>
      <c r="Y46" s="64">
        <v>150</v>
      </c>
      <c r="Z46" s="87">
        <v>45863</v>
      </c>
    </row>
    <row r="47" spans="1:26">
      <c r="A47" s="4">
        <f>IF(ISNUMBER(SEARCH("营",'20.03'!I47)),(-$Y47+50*IF('20.03'!$AK47="是",'20.03'!$BB$4,'20.03'!$BB$3)),(VLOOKUP('20.03'!I47,'20.03'!$AO$4:$AQ$55,2,FALSE))*IF('20.03'!$AK47="是",'20.03'!$BB$4,'20.03'!$BB$3))</f>
        <v>0</v>
      </c>
      <c r="B47" s="4">
        <f>IF(ISNUMBER(SEARCH("营",'20.03'!J47)),(-$Y47+50*IF('20.03'!$AK47="是",'20.03'!$BB$4,'20.03'!$BB$3)),(VLOOKUP('20.03'!J47,'20.03'!$AO$4:$AQ$55,2,FALSE))*IF('20.03'!$AK47="是",'20.03'!$BB$4,'20.03'!$BB$3))</f>
        <v>0</v>
      </c>
      <c r="C47" s="4">
        <f>IF(ISNUMBER(SEARCH("营",'20.03'!K47)),(-$Y47+50*IF('20.03'!$AK47="是",'20.03'!$BB$4,'20.03'!$BB$3)),(VLOOKUP('20.03'!K47,'20.03'!$AO$4:$AQ$55,2,FALSE))*IF('20.03'!$AK47="是",'20.03'!$BB$4,'20.03'!$BB$3))</f>
        <v>0</v>
      </c>
      <c r="D47" s="4">
        <f>IF(ISNUMBER(SEARCH("营",'20.03'!L47)),(-$Y47+50*IF('20.03'!$AK47="是",'20.03'!$BB$4,'20.03'!$BB$3)),(VLOOKUP('20.03'!L47,'20.03'!$AO$4:$AQ$55,2,FALSE))*IF('20.03'!$AK47="是",'20.03'!$BB$4,'20.03'!$BB$3))</f>
        <v>0</v>
      </c>
      <c r="E47" s="4">
        <f>IF(ISNUMBER(SEARCH("营",'20.03'!M47)),(-$Y47+50*IF('20.03'!$AK47="是",'20.03'!$BB$4,'20.03'!$BB$3)),(VLOOKUP('20.03'!M47,'20.03'!$AO$4:$AQ$55,2,FALSE))*IF('20.03'!$AK47="是",'20.03'!$BB$4,'20.03'!$BB$3))</f>
        <v>0</v>
      </c>
      <c r="F47" s="4">
        <f>IF(ISNUMBER(SEARCH("营",'20.03'!N47)),(-$Y47+50*IF('20.03'!$AK47="是",'20.03'!$BB$4,'20.03'!$BB$3)),(VLOOKUP('20.03'!N47,'20.03'!$AO$4:$AQ$55,2,FALSE))*IF('20.03'!$AK47="是",'20.03'!$BB$4,'20.03'!$BB$3))</f>
        <v>0</v>
      </c>
      <c r="G47" s="4">
        <f>IF(ISNUMBER(SEARCH("营",'20.03'!O47)),(-$Y47+50*IF('20.03'!$AK47="是",'20.03'!$BB$4,'20.03'!$BB$3)),(VLOOKUP('20.03'!O47,'20.03'!$AO$4:$AQ$55,2,FALSE))*IF('20.03'!$AK47="是",'20.03'!$BB$4,'20.03'!$BB$3))</f>
        <v>0</v>
      </c>
      <c r="H47" s="4">
        <f>IF(ISNUMBER(SEARCH("营",'20.03'!P47)),(-$Y47+50*IF('20.03'!$AK47="是",'20.03'!$BB$4,'20.03'!$BB$3)),(VLOOKUP('20.03'!P47,'20.03'!$AO$4:$AQ$55,2,FALSE))*IF('20.03'!$AK47="是",'20.03'!$BB$4,'20.03'!$BB$3))</f>
        <v>0</v>
      </c>
      <c r="I47" s="4">
        <f>IF(ISNUMBER(SEARCH("营",'20.03'!Q47)),(-$Y47+50*IF('20.03'!$AK47="是",'20.03'!$BB$4,'20.03'!$BB$3)),(VLOOKUP('20.03'!Q47,'20.03'!$AO$4:$AQ$55,2,FALSE))*IF('20.03'!$AK47="是",'20.03'!$BB$4,'20.03'!$BB$3))</f>
        <v>0</v>
      </c>
      <c r="J47" s="4">
        <f>IF(ISNUMBER(SEARCH("营",'20.03'!R47)),(-$Y47+50*IF('20.03'!$AK47="是",'20.03'!$BB$4,'20.03'!$BB$3)),(VLOOKUP('20.03'!R47,'20.03'!$AO$4:$AQ$55,2,FALSE))*IF('20.03'!$AK47="是",'20.03'!$BB$4,'20.03'!$BB$3))</f>
        <v>0</v>
      </c>
      <c r="K47" s="4">
        <f>IF(ISNUMBER(SEARCH("营",'20.03'!S47)),(-$Y47+50*IF('20.03'!$AK47="是",'20.03'!$BB$4,'20.03'!$BB$3)),(VLOOKUP('20.03'!S47,'20.03'!$AO$4:$AQ$55,2,FALSE))*IF('20.03'!$AK47="是",'20.03'!$BB$4,'20.03'!$BB$3))</f>
        <v>0</v>
      </c>
      <c r="L47" s="4">
        <f>IF(ISNUMBER(SEARCH("营",'20.03'!T47)),(-$Y47+50*IF('20.03'!$AK47="是",'20.03'!$BB$4,'20.03'!$BB$3)),(VLOOKUP('20.03'!T47,'20.03'!$AO$4:$AQ$55,2,FALSE))*IF('20.03'!$AK47="是",'20.03'!$BB$4,'20.03'!$BB$3))</f>
        <v>0</v>
      </c>
      <c r="M47" s="4">
        <f>IF(ISNUMBER(SEARCH("营",'20.03'!U47)),(-$Y47+50*IF('20.03'!$AK47="是",'20.03'!$BB$4,'20.03'!$BB$3)),(VLOOKUP('20.03'!U47,'20.03'!$AO$4:$AQ$55,2,FALSE))*IF('20.03'!$AK47="是",'20.03'!$BB$4,'20.03'!$BB$3))</f>
        <v>0</v>
      </c>
      <c r="N47" s="4">
        <f>IF(ISNUMBER(SEARCH("营",'20.03'!V47)),(-$Y47+50*IF('20.03'!$AK47="是",'20.03'!$BB$4,'20.03'!$BB$3)),(VLOOKUP('20.03'!V47,'20.03'!$AO$4:$AQ$55,2,FALSE))*IF('20.03'!$AK47="是",'20.03'!$BB$4,'20.03'!$BB$3))</f>
        <v>0</v>
      </c>
      <c r="O47" s="4">
        <f>IF(ISNUMBER(SEARCH("营",'20.03'!W47)),(-$Y47+50*IF('20.03'!$AK47="是",'20.03'!$BB$4,'20.03'!$BB$3)),(VLOOKUP('20.03'!W47,'20.03'!$AO$4:$AQ$55,2,FALSE))*IF('20.03'!$AK47="是",'20.03'!$BB$4,'20.03'!$BB$3))</f>
        <v>0</v>
      </c>
      <c r="P47" s="4">
        <f>IF(ISNUMBER(SEARCH("营",'20.03'!X47)),(-$Y47+50*IF('20.03'!$AK47="是",'20.03'!$BB$4,'20.03'!$BB$3)),(VLOOKUP('20.03'!X47,'20.03'!$AO$4:$AQ$55,2,FALSE))*IF('20.03'!$AK47="是",'20.03'!$BB$4,'20.03'!$BB$3))</f>
        <v>0</v>
      </c>
      <c r="Q47" s="4">
        <f>IF(ISNUMBER(SEARCH("营",'20.03'!Y47)),(-$Y47+50*IF('20.03'!$AK47="是",'20.03'!$BB$4,'20.03'!$BB$3)),(VLOOKUP('20.03'!Y47,'20.03'!$AO$4:$AQ$55,2,FALSE))*IF('20.03'!$AK47="是",'20.03'!$BB$4,'20.03'!$BB$3))</f>
        <v>0</v>
      </c>
      <c r="R47" s="4">
        <f>IF(ISNUMBER(SEARCH("营",'20.03'!Z47)),(-$Y47+50*IF('20.03'!$AK47="是",'20.03'!$BB$4,'20.03'!$BB$3)),(VLOOKUP('20.03'!Z47,'20.03'!$AO$4:$AQ$55,2,FALSE))*IF('20.03'!$AK47="是",'20.03'!$BB$4,'20.03'!$BB$3))</f>
        <v>0</v>
      </c>
      <c r="S47" s="4">
        <f>IF(ISNUMBER(SEARCH("营",'20.03'!AA47)),(-$Y47+50*IF('20.03'!$AK47="是",'20.03'!$BB$4,'20.03'!$BB$3)),(VLOOKUP('20.03'!AA47,'20.03'!$AO$4:$AQ$55,2,FALSE))*IF('20.03'!$AK47="是",'20.03'!$BB$4,'20.03'!$BB$3))</f>
        <v>0</v>
      </c>
      <c r="T47" s="4">
        <f>IF(ISNUMBER(SEARCH("营",'20.03'!AB47)),(-$Y47+50*IF('20.03'!$AK47="是",'20.03'!$BB$4,'20.03'!$BB$3)),(VLOOKUP('20.03'!AB47,'20.03'!$AO$4:$AQ$55,2,FALSE))*IF('20.03'!$AK47="是",'20.03'!$BB$4,'20.03'!$BB$3))</f>
        <v>0</v>
      </c>
      <c r="U47" s="4">
        <f>IF(ISNUMBER(SEARCH("营",'20.03'!AC47)),(-$Y47+50*IF('20.03'!$AK47="是",'20.03'!$BB$4,'20.03'!$BB$3)),(VLOOKUP('20.03'!AC47,'20.03'!$AO$4:$AQ$55,2,FALSE))*IF('20.03'!$AK47="是",'20.03'!$BB$4,'20.03'!$BB$3))</f>
        <v>0</v>
      </c>
      <c r="V47" s="4">
        <f>IF(ISNUMBER(SEARCH("营",'20.03'!AD47)),(-$Y47+50*IF('20.03'!$AK47="是",'20.03'!$BB$4,'20.03'!$BB$3)),(VLOOKUP('20.03'!AD47,'20.03'!$AO$4:$AQ$55,2,FALSE))*IF('20.03'!$AK47="是",'20.03'!$BB$4,'20.03'!$BB$3))</f>
        <v>0</v>
      </c>
      <c r="W47" s="4">
        <f>IF(ISNUMBER(SEARCH("营",'20.03'!AE47)),(-$Y47+50*IF('20.03'!$AK47="是",'20.03'!$BB$4,'20.03'!$BB$3)),(VLOOKUP('20.03'!AE47,'20.03'!$AO$4:$AQ$55,2,FALSE))*IF('20.03'!$AK47="是",'20.03'!$BB$4,'20.03'!$BB$3))</f>
        <v>0</v>
      </c>
      <c r="X47" s="4">
        <f>IF(ISNUMBER(SEARCH("营",'20.03'!AF47)),(-$Y47+50*IF('20.03'!$AK47="是",'20.03'!$BB$4,'20.03'!$BB$3)),(VLOOKUP('20.03'!AF47,'20.03'!$AO$4:$AQ$55,2,FALSE))*IF('20.03'!$AK47="是",'20.03'!$BB$4,'20.03'!$BB$3))</f>
        <v>0</v>
      </c>
      <c r="Y47" s="64">
        <v>150</v>
      </c>
      <c r="Z47" s="87">
        <v>45864</v>
      </c>
    </row>
    <row r="48" spans="1:26">
      <c r="A48" s="4">
        <f>IF(ISNUMBER(SEARCH("营",'20.03'!I48)),(-$Y48+50*IF('20.03'!$AK48="是",'20.03'!$BB$4,'20.03'!$BB$3)),(VLOOKUP('20.03'!I48,'20.03'!$AO$4:$AQ$55,2,FALSE))*IF('20.03'!$AK48="是",'20.03'!$BB$4,'20.03'!$BB$3))</f>
        <v>0</v>
      </c>
      <c r="B48" s="4">
        <f>IF(ISNUMBER(SEARCH("营",'20.03'!J48)),(-$Y48+50*IF('20.03'!$AK48="是",'20.03'!$BB$4,'20.03'!$BB$3)),(VLOOKUP('20.03'!J48,'20.03'!$AO$4:$AQ$55,2,FALSE))*IF('20.03'!$AK48="是",'20.03'!$BB$4,'20.03'!$BB$3))</f>
        <v>0</v>
      </c>
      <c r="C48" s="4">
        <f>IF(ISNUMBER(SEARCH("营",'20.03'!K48)),(-$Y48+50*IF('20.03'!$AK48="是",'20.03'!$BB$4,'20.03'!$BB$3)),(VLOOKUP('20.03'!K48,'20.03'!$AO$4:$AQ$55,2,FALSE))*IF('20.03'!$AK48="是",'20.03'!$BB$4,'20.03'!$BB$3))</f>
        <v>0</v>
      </c>
      <c r="D48" s="4">
        <f>IF(ISNUMBER(SEARCH("营",'20.03'!L48)),(-$Y48+50*IF('20.03'!$AK48="是",'20.03'!$BB$4,'20.03'!$BB$3)),(VLOOKUP('20.03'!L48,'20.03'!$AO$4:$AQ$55,2,FALSE))*IF('20.03'!$AK48="是",'20.03'!$BB$4,'20.03'!$BB$3))</f>
        <v>0</v>
      </c>
      <c r="E48" s="4">
        <f>IF(ISNUMBER(SEARCH("营",'20.03'!M48)),(-$Y48+50*IF('20.03'!$AK48="是",'20.03'!$BB$4,'20.03'!$BB$3)),(VLOOKUP('20.03'!M48,'20.03'!$AO$4:$AQ$55,2,FALSE))*IF('20.03'!$AK48="是",'20.03'!$BB$4,'20.03'!$BB$3))</f>
        <v>0</v>
      </c>
      <c r="F48" s="4">
        <f>IF(ISNUMBER(SEARCH("营",'20.03'!N48)),(-$Y48+50*IF('20.03'!$AK48="是",'20.03'!$BB$4,'20.03'!$BB$3)),(VLOOKUP('20.03'!N48,'20.03'!$AO$4:$AQ$55,2,FALSE))*IF('20.03'!$AK48="是",'20.03'!$BB$4,'20.03'!$BB$3))</f>
        <v>0</v>
      </c>
      <c r="G48" s="4">
        <f>IF(ISNUMBER(SEARCH("营",'20.03'!O48)),(-$Y48+50*IF('20.03'!$AK48="是",'20.03'!$BB$4,'20.03'!$BB$3)),(VLOOKUP('20.03'!O48,'20.03'!$AO$4:$AQ$55,2,FALSE))*IF('20.03'!$AK48="是",'20.03'!$BB$4,'20.03'!$BB$3))</f>
        <v>0</v>
      </c>
      <c r="H48" s="4">
        <f>IF(ISNUMBER(SEARCH("营",'20.03'!P48)),(-$Y48+50*IF('20.03'!$AK48="是",'20.03'!$BB$4,'20.03'!$BB$3)),(VLOOKUP('20.03'!P48,'20.03'!$AO$4:$AQ$55,2,FALSE))*IF('20.03'!$AK48="是",'20.03'!$BB$4,'20.03'!$BB$3))</f>
        <v>0</v>
      </c>
      <c r="I48" s="4">
        <f>IF(ISNUMBER(SEARCH("营",'20.03'!Q48)),(-$Y48+50*IF('20.03'!$AK48="是",'20.03'!$BB$4,'20.03'!$BB$3)),(VLOOKUP('20.03'!Q48,'20.03'!$AO$4:$AQ$55,2,FALSE))*IF('20.03'!$AK48="是",'20.03'!$BB$4,'20.03'!$BB$3))</f>
        <v>0</v>
      </c>
      <c r="J48" s="4">
        <f>IF(ISNUMBER(SEARCH("营",'20.03'!R48)),(-$Y48+50*IF('20.03'!$AK48="是",'20.03'!$BB$4,'20.03'!$BB$3)),(VLOOKUP('20.03'!R48,'20.03'!$AO$4:$AQ$55,2,FALSE))*IF('20.03'!$AK48="是",'20.03'!$BB$4,'20.03'!$BB$3))</f>
        <v>0</v>
      </c>
      <c r="K48" s="4">
        <f>IF(ISNUMBER(SEARCH("营",'20.03'!S48)),(-$Y48+50*IF('20.03'!$AK48="是",'20.03'!$BB$4,'20.03'!$BB$3)),(VLOOKUP('20.03'!S48,'20.03'!$AO$4:$AQ$55,2,FALSE))*IF('20.03'!$AK48="是",'20.03'!$BB$4,'20.03'!$BB$3))</f>
        <v>0</v>
      </c>
      <c r="L48" s="4">
        <f>IF(ISNUMBER(SEARCH("营",'20.03'!T48)),(-$Y48+50*IF('20.03'!$AK48="是",'20.03'!$BB$4,'20.03'!$BB$3)),(VLOOKUP('20.03'!T48,'20.03'!$AO$4:$AQ$55,2,FALSE))*IF('20.03'!$AK48="是",'20.03'!$BB$4,'20.03'!$BB$3))</f>
        <v>0</v>
      </c>
      <c r="M48" s="4">
        <f>IF(ISNUMBER(SEARCH("营",'20.03'!U48)),(-$Y48+50*IF('20.03'!$AK48="是",'20.03'!$BB$4,'20.03'!$BB$3)),(VLOOKUP('20.03'!U48,'20.03'!$AO$4:$AQ$55,2,FALSE))*IF('20.03'!$AK48="是",'20.03'!$BB$4,'20.03'!$BB$3))</f>
        <v>0</v>
      </c>
      <c r="N48" s="4">
        <f>IF(ISNUMBER(SEARCH("营",'20.03'!V48)),(-$Y48+50*IF('20.03'!$AK48="是",'20.03'!$BB$4,'20.03'!$BB$3)),(VLOOKUP('20.03'!V48,'20.03'!$AO$4:$AQ$55,2,FALSE))*IF('20.03'!$AK48="是",'20.03'!$BB$4,'20.03'!$BB$3))</f>
        <v>0</v>
      </c>
      <c r="O48" s="4">
        <f>IF(ISNUMBER(SEARCH("营",'20.03'!W48)),(-$Y48+50*IF('20.03'!$AK48="是",'20.03'!$BB$4,'20.03'!$BB$3)),(VLOOKUP('20.03'!W48,'20.03'!$AO$4:$AQ$55,2,FALSE))*IF('20.03'!$AK48="是",'20.03'!$BB$4,'20.03'!$BB$3))</f>
        <v>0</v>
      </c>
      <c r="P48" s="4">
        <f>IF(ISNUMBER(SEARCH("营",'20.03'!X48)),(-$Y48+50*IF('20.03'!$AK48="是",'20.03'!$BB$4,'20.03'!$BB$3)),(VLOOKUP('20.03'!X48,'20.03'!$AO$4:$AQ$55,2,FALSE))*IF('20.03'!$AK48="是",'20.03'!$BB$4,'20.03'!$BB$3))</f>
        <v>0</v>
      </c>
      <c r="Q48" s="4">
        <f>IF(ISNUMBER(SEARCH("营",'20.03'!Y48)),(-$Y48+50*IF('20.03'!$AK48="是",'20.03'!$BB$4,'20.03'!$BB$3)),(VLOOKUP('20.03'!Y48,'20.03'!$AO$4:$AQ$55,2,FALSE))*IF('20.03'!$AK48="是",'20.03'!$BB$4,'20.03'!$BB$3))</f>
        <v>0</v>
      </c>
      <c r="R48" s="4">
        <f>IF(ISNUMBER(SEARCH("营",'20.03'!Z48)),(-$Y48+50*IF('20.03'!$AK48="是",'20.03'!$BB$4,'20.03'!$BB$3)),(VLOOKUP('20.03'!Z48,'20.03'!$AO$4:$AQ$55,2,FALSE))*IF('20.03'!$AK48="是",'20.03'!$BB$4,'20.03'!$BB$3))</f>
        <v>0</v>
      </c>
      <c r="S48" s="4">
        <f>IF(ISNUMBER(SEARCH("营",'20.03'!AA48)),(-$Y48+50*IF('20.03'!$AK48="是",'20.03'!$BB$4,'20.03'!$BB$3)),(VLOOKUP('20.03'!AA48,'20.03'!$AO$4:$AQ$55,2,FALSE))*IF('20.03'!$AK48="是",'20.03'!$BB$4,'20.03'!$BB$3))</f>
        <v>0</v>
      </c>
      <c r="T48" s="4">
        <f>IF(ISNUMBER(SEARCH("营",'20.03'!AB48)),(-$Y48+50*IF('20.03'!$AK48="是",'20.03'!$BB$4,'20.03'!$BB$3)),(VLOOKUP('20.03'!AB48,'20.03'!$AO$4:$AQ$55,2,FALSE))*IF('20.03'!$AK48="是",'20.03'!$BB$4,'20.03'!$BB$3))</f>
        <v>0</v>
      </c>
      <c r="U48" s="4">
        <f>IF(ISNUMBER(SEARCH("营",'20.03'!AC48)),(-$Y48+50*IF('20.03'!$AK48="是",'20.03'!$BB$4,'20.03'!$BB$3)),(VLOOKUP('20.03'!AC48,'20.03'!$AO$4:$AQ$55,2,FALSE))*IF('20.03'!$AK48="是",'20.03'!$BB$4,'20.03'!$BB$3))</f>
        <v>0</v>
      </c>
      <c r="V48" s="4">
        <f>IF(ISNUMBER(SEARCH("营",'20.03'!AD48)),(-$Y48+50*IF('20.03'!$AK48="是",'20.03'!$BB$4,'20.03'!$BB$3)),(VLOOKUP('20.03'!AD48,'20.03'!$AO$4:$AQ$55,2,FALSE))*IF('20.03'!$AK48="是",'20.03'!$BB$4,'20.03'!$BB$3))</f>
        <v>0</v>
      </c>
      <c r="W48" s="4">
        <f>IF(ISNUMBER(SEARCH("营",'20.03'!AE48)),(-$Y48+50*IF('20.03'!$AK48="是",'20.03'!$BB$4,'20.03'!$BB$3)),(VLOOKUP('20.03'!AE48,'20.03'!$AO$4:$AQ$55,2,FALSE))*IF('20.03'!$AK48="是",'20.03'!$BB$4,'20.03'!$BB$3))</f>
        <v>0</v>
      </c>
      <c r="X48" s="4">
        <f>IF(ISNUMBER(SEARCH("营",'20.03'!AF48)),(-$Y48+50*IF('20.03'!$AK48="是",'20.03'!$BB$4,'20.03'!$BB$3)),(VLOOKUP('20.03'!AF48,'20.03'!$AO$4:$AQ$55,2,FALSE))*IF('20.03'!$AK48="是",'20.03'!$BB$4,'20.03'!$BB$3))</f>
        <v>0</v>
      </c>
      <c r="Y48" s="64">
        <v>150</v>
      </c>
      <c r="Z48" s="87">
        <v>45865</v>
      </c>
    </row>
    <row r="49" spans="1:26">
      <c r="A49" s="4">
        <f>IF(ISNUMBER(SEARCH("营",'20.03'!I49)),(-$Y49+50*IF('20.03'!$AK49="是",'20.03'!$BB$4,'20.03'!$BB$3)),(VLOOKUP('20.03'!I49,'20.03'!$AO$4:$AQ$55,2,FALSE))*IF('20.03'!$AK49="是",'20.03'!$BB$4,'20.03'!$BB$3))</f>
        <v>0</v>
      </c>
      <c r="B49" s="4">
        <f>IF(ISNUMBER(SEARCH("营",'20.03'!J49)),(-$Y49+50*IF('20.03'!$AK49="是",'20.03'!$BB$4,'20.03'!$BB$3)),(VLOOKUP('20.03'!J49,'20.03'!$AO$4:$AQ$55,2,FALSE))*IF('20.03'!$AK49="是",'20.03'!$BB$4,'20.03'!$BB$3))</f>
        <v>0</v>
      </c>
      <c r="C49" s="4">
        <f>IF(ISNUMBER(SEARCH("营",'20.03'!K49)),(-$Y49+50*IF('20.03'!$AK49="是",'20.03'!$BB$4,'20.03'!$BB$3)),(VLOOKUP('20.03'!K49,'20.03'!$AO$4:$AQ$55,2,FALSE))*IF('20.03'!$AK49="是",'20.03'!$BB$4,'20.03'!$BB$3))</f>
        <v>0</v>
      </c>
      <c r="D49" s="4">
        <f>IF(ISNUMBER(SEARCH("营",'20.03'!L49)),(-$Y49+50*IF('20.03'!$AK49="是",'20.03'!$BB$4,'20.03'!$BB$3)),(VLOOKUP('20.03'!L49,'20.03'!$AO$4:$AQ$55,2,FALSE))*IF('20.03'!$AK49="是",'20.03'!$BB$4,'20.03'!$BB$3))</f>
        <v>0</v>
      </c>
      <c r="E49" s="4">
        <f>IF(ISNUMBER(SEARCH("营",'20.03'!M49)),(-$Y49+50*IF('20.03'!$AK49="是",'20.03'!$BB$4,'20.03'!$BB$3)),(VLOOKUP('20.03'!M49,'20.03'!$AO$4:$AQ$55,2,FALSE))*IF('20.03'!$AK49="是",'20.03'!$BB$4,'20.03'!$BB$3))</f>
        <v>0</v>
      </c>
      <c r="F49" s="4">
        <f>IF(ISNUMBER(SEARCH("营",'20.03'!N49)),(-$Y49+50*IF('20.03'!$AK49="是",'20.03'!$BB$4,'20.03'!$BB$3)),(VLOOKUP('20.03'!N49,'20.03'!$AO$4:$AQ$55,2,FALSE))*IF('20.03'!$AK49="是",'20.03'!$BB$4,'20.03'!$BB$3))</f>
        <v>0</v>
      </c>
      <c r="G49" s="4">
        <f>IF(ISNUMBER(SEARCH("营",'20.03'!O49)),(-$Y49+50*IF('20.03'!$AK49="是",'20.03'!$BB$4,'20.03'!$BB$3)),(VLOOKUP('20.03'!O49,'20.03'!$AO$4:$AQ$55,2,FALSE))*IF('20.03'!$AK49="是",'20.03'!$BB$4,'20.03'!$BB$3))</f>
        <v>0</v>
      </c>
      <c r="H49" s="4">
        <f>IF(ISNUMBER(SEARCH("营",'20.03'!P49)),(-$Y49+50*IF('20.03'!$AK49="是",'20.03'!$BB$4,'20.03'!$BB$3)),(VLOOKUP('20.03'!P49,'20.03'!$AO$4:$AQ$55,2,FALSE))*IF('20.03'!$AK49="是",'20.03'!$BB$4,'20.03'!$BB$3))</f>
        <v>0</v>
      </c>
      <c r="I49" s="4">
        <f>IF(ISNUMBER(SEARCH("营",'20.03'!Q49)),(-$Y49+50*IF('20.03'!$AK49="是",'20.03'!$BB$4,'20.03'!$BB$3)),(VLOOKUP('20.03'!Q49,'20.03'!$AO$4:$AQ$55,2,FALSE))*IF('20.03'!$AK49="是",'20.03'!$BB$4,'20.03'!$BB$3))</f>
        <v>0</v>
      </c>
      <c r="J49" s="4">
        <f>IF(ISNUMBER(SEARCH("营",'20.03'!R49)),(-$Y49+50*IF('20.03'!$AK49="是",'20.03'!$BB$4,'20.03'!$BB$3)),(VLOOKUP('20.03'!R49,'20.03'!$AO$4:$AQ$55,2,FALSE))*IF('20.03'!$AK49="是",'20.03'!$BB$4,'20.03'!$BB$3))</f>
        <v>0</v>
      </c>
      <c r="K49" s="4">
        <f>IF(ISNUMBER(SEARCH("营",'20.03'!S49)),(-$Y49+50*IF('20.03'!$AK49="是",'20.03'!$BB$4,'20.03'!$BB$3)),(VLOOKUP('20.03'!S49,'20.03'!$AO$4:$AQ$55,2,FALSE))*IF('20.03'!$AK49="是",'20.03'!$BB$4,'20.03'!$BB$3))</f>
        <v>0</v>
      </c>
      <c r="L49" s="4">
        <f>IF(ISNUMBER(SEARCH("营",'20.03'!T49)),(-$Y49+50*IF('20.03'!$AK49="是",'20.03'!$BB$4,'20.03'!$BB$3)),(VLOOKUP('20.03'!T49,'20.03'!$AO$4:$AQ$55,2,FALSE))*IF('20.03'!$AK49="是",'20.03'!$BB$4,'20.03'!$BB$3))</f>
        <v>0</v>
      </c>
      <c r="M49" s="4">
        <f>IF(ISNUMBER(SEARCH("营",'20.03'!U49)),(-$Y49+50*IF('20.03'!$AK49="是",'20.03'!$BB$4,'20.03'!$BB$3)),(VLOOKUP('20.03'!U49,'20.03'!$AO$4:$AQ$55,2,FALSE))*IF('20.03'!$AK49="是",'20.03'!$BB$4,'20.03'!$BB$3))</f>
        <v>0</v>
      </c>
      <c r="N49" s="4">
        <f>IF(ISNUMBER(SEARCH("营",'20.03'!V49)),(-$Y49+50*IF('20.03'!$AK49="是",'20.03'!$BB$4,'20.03'!$BB$3)),(VLOOKUP('20.03'!V49,'20.03'!$AO$4:$AQ$55,2,FALSE))*IF('20.03'!$AK49="是",'20.03'!$BB$4,'20.03'!$BB$3))</f>
        <v>0</v>
      </c>
      <c r="O49" s="4">
        <f>IF(ISNUMBER(SEARCH("营",'20.03'!W49)),(-$Y49+50*IF('20.03'!$AK49="是",'20.03'!$BB$4,'20.03'!$BB$3)),(VLOOKUP('20.03'!W49,'20.03'!$AO$4:$AQ$55,2,FALSE))*IF('20.03'!$AK49="是",'20.03'!$BB$4,'20.03'!$BB$3))</f>
        <v>0</v>
      </c>
      <c r="P49" s="4">
        <f>IF(ISNUMBER(SEARCH("营",'20.03'!X49)),(-$Y49+50*IF('20.03'!$AK49="是",'20.03'!$BB$4,'20.03'!$BB$3)),(VLOOKUP('20.03'!X49,'20.03'!$AO$4:$AQ$55,2,FALSE))*IF('20.03'!$AK49="是",'20.03'!$BB$4,'20.03'!$BB$3))</f>
        <v>0</v>
      </c>
      <c r="Q49" s="4">
        <f>IF(ISNUMBER(SEARCH("营",'20.03'!Y49)),(-$Y49+50*IF('20.03'!$AK49="是",'20.03'!$BB$4,'20.03'!$BB$3)),(VLOOKUP('20.03'!Y49,'20.03'!$AO$4:$AQ$55,2,FALSE))*IF('20.03'!$AK49="是",'20.03'!$BB$4,'20.03'!$BB$3))</f>
        <v>0</v>
      </c>
      <c r="R49" s="4">
        <f>IF(ISNUMBER(SEARCH("营",'20.03'!Z49)),(-$Y49+50*IF('20.03'!$AK49="是",'20.03'!$BB$4,'20.03'!$BB$3)),(VLOOKUP('20.03'!Z49,'20.03'!$AO$4:$AQ$55,2,FALSE))*IF('20.03'!$AK49="是",'20.03'!$BB$4,'20.03'!$BB$3))</f>
        <v>0</v>
      </c>
      <c r="S49" s="4">
        <f>IF(ISNUMBER(SEARCH("营",'20.03'!AA49)),(-$Y49+50*IF('20.03'!$AK49="是",'20.03'!$BB$4,'20.03'!$BB$3)),(VLOOKUP('20.03'!AA49,'20.03'!$AO$4:$AQ$55,2,FALSE))*IF('20.03'!$AK49="是",'20.03'!$BB$4,'20.03'!$BB$3))</f>
        <v>0</v>
      </c>
      <c r="T49" s="4">
        <f>IF(ISNUMBER(SEARCH("营",'20.03'!AB49)),(-$Y49+50*IF('20.03'!$AK49="是",'20.03'!$BB$4,'20.03'!$BB$3)),(VLOOKUP('20.03'!AB49,'20.03'!$AO$4:$AQ$55,2,FALSE))*IF('20.03'!$AK49="是",'20.03'!$BB$4,'20.03'!$BB$3))</f>
        <v>0</v>
      </c>
      <c r="U49" s="4">
        <f>IF(ISNUMBER(SEARCH("营",'20.03'!AC49)),(-$Y49+50*IF('20.03'!$AK49="是",'20.03'!$BB$4,'20.03'!$BB$3)),(VLOOKUP('20.03'!AC49,'20.03'!$AO$4:$AQ$55,2,FALSE))*IF('20.03'!$AK49="是",'20.03'!$BB$4,'20.03'!$BB$3))</f>
        <v>0</v>
      </c>
      <c r="V49" s="4">
        <f>IF(ISNUMBER(SEARCH("营",'20.03'!AD49)),(-$Y49+50*IF('20.03'!$AK49="是",'20.03'!$BB$4,'20.03'!$BB$3)),(VLOOKUP('20.03'!AD49,'20.03'!$AO$4:$AQ$55,2,FALSE))*IF('20.03'!$AK49="是",'20.03'!$BB$4,'20.03'!$BB$3))</f>
        <v>0</v>
      </c>
      <c r="W49" s="4">
        <f>IF(ISNUMBER(SEARCH("营",'20.03'!AE49)),(-$Y49+50*IF('20.03'!$AK49="是",'20.03'!$BB$4,'20.03'!$BB$3)),(VLOOKUP('20.03'!AE49,'20.03'!$AO$4:$AQ$55,2,FALSE))*IF('20.03'!$AK49="是",'20.03'!$BB$4,'20.03'!$BB$3))</f>
        <v>0</v>
      </c>
      <c r="X49" s="4">
        <f>IF(ISNUMBER(SEARCH("营",'20.03'!AF49)),(-$Y49+50*IF('20.03'!$AK49="是",'20.03'!$BB$4,'20.03'!$BB$3)),(VLOOKUP('20.03'!AF49,'20.03'!$AO$4:$AQ$55,2,FALSE))*IF('20.03'!$AK49="是",'20.03'!$BB$4,'20.03'!$BB$3))</f>
        <v>0</v>
      </c>
      <c r="Y49" s="64">
        <v>150</v>
      </c>
      <c r="Z49" s="87">
        <v>45866</v>
      </c>
    </row>
    <row r="50" spans="1:26">
      <c r="A50" s="4">
        <f>IF(ISNUMBER(SEARCH("营",'20.03'!I50)),(-$Y50+50*IF('20.03'!$AK50="是",'20.03'!$BB$4,'20.03'!$BB$3)),(VLOOKUP('20.03'!I50,'20.03'!$AO$4:$AQ$55,2,FALSE))*IF('20.03'!$AK50="是",'20.03'!$BB$4,'20.03'!$BB$3))</f>
        <v>0</v>
      </c>
      <c r="B50" s="4">
        <f>IF(ISNUMBER(SEARCH("营",'20.03'!J50)),(-$Y50+50*IF('20.03'!$AK50="是",'20.03'!$BB$4,'20.03'!$BB$3)),(VLOOKUP('20.03'!J50,'20.03'!$AO$4:$AQ$55,2,FALSE))*IF('20.03'!$AK50="是",'20.03'!$BB$4,'20.03'!$BB$3))</f>
        <v>0</v>
      </c>
      <c r="C50" s="4">
        <f>IF(ISNUMBER(SEARCH("营",'20.03'!K50)),(-$Y50+50*IF('20.03'!$AK50="是",'20.03'!$BB$4,'20.03'!$BB$3)),(VLOOKUP('20.03'!K50,'20.03'!$AO$4:$AQ$55,2,FALSE))*IF('20.03'!$AK50="是",'20.03'!$BB$4,'20.03'!$BB$3))</f>
        <v>0</v>
      </c>
      <c r="D50" s="4">
        <f>IF(ISNUMBER(SEARCH("营",'20.03'!L50)),(-$Y50+50*IF('20.03'!$AK50="是",'20.03'!$BB$4,'20.03'!$BB$3)),(VLOOKUP('20.03'!L50,'20.03'!$AO$4:$AQ$55,2,FALSE))*IF('20.03'!$AK50="是",'20.03'!$BB$4,'20.03'!$BB$3))</f>
        <v>0</v>
      </c>
      <c r="E50" s="4">
        <f>IF(ISNUMBER(SEARCH("营",'20.03'!M50)),(-$Y50+50*IF('20.03'!$AK50="是",'20.03'!$BB$4,'20.03'!$BB$3)),(VLOOKUP('20.03'!M50,'20.03'!$AO$4:$AQ$55,2,FALSE))*IF('20.03'!$AK50="是",'20.03'!$BB$4,'20.03'!$BB$3))</f>
        <v>0</v>
      </c>
      <c r="F50" s="4">
        <f>IF(ISNUMBER(SEARCH("营",'20.03'!N50)),(-$Y50+50*IF('20.03'!$AK50="是",'20.03'!$BB$4,'20.03'!$BB$3)),(VLOOKUP('20.03'!N50,'20.03'!$AO$4:$AQ$55,2,FALSE))*IF('20.03'!$AK50="是",'20.03'!$BB$4,'20.03'!$BB$3))</f>
        <v>0</v>
      </c>
      <c r="G50" s="4">
        <f>IF(ISNUMBER(SEARCH("营",'20.03'!O50)),(-$Y50+50*IF('20.03'!$AK50="是",'20.03'!$BB$4,'20.03'!$BB$3)),(VLOOKUP('20.03'!O50,'20.03'!$AO$4:$AQ$55,2,FALSE))*IF('20.03'!$AK50="是",'20.03'!$BB$4,'20.03'!$BB$3))</f>
        <v>0</v>
      </c>
      <c r="H50" s="4">
        <f>IF(ISNUMBER(SEARCH("营",'20.03'!P50)),(-$Y50+50*IF('20.03'!$AK50="是",'20.03'!$BB$4,'20.03'!$BB$3)),(VLOOKUP('20.03'!P50,'20.03'!$AO$4:$AQ$55,2,FALSE))*IF('20.03'!$AK50="是",'20.03'!$BB$4,'20.03'!$BB$3))</f>
        <v>0</v>
      </c>
      <c r="I50" s="4">
        <f>IF(ISNUMBER(SEARCH("营",'20.03'!Q50)),(-$Y50+50*IF('20.03'!$AK50="是",'20.03'!$BB$4,'20.03'!$BB$3)),(VLOOKUP('20.03'!Q50,'20.03'!$AO$4:$AQ$55,2,FALSE))*IF('20.03'!$AK50="是",'20.03'!$BB$4,'20.03'!$BB$3))</f>
        <v>0</v>
      </c>
      <c r="J50" s="4">
        <f>IF(ISNUMBER(SEARCH("营",'20.03'!R50)),(-$Y50+50*IF('20.03'!$AK50="是",'20.03'!$BB$4,'20.03'!$BB$3)),(VLOOKUP('20.03'!R50,'20.03'!$AO$4:$AQ$55,2,FALSE))*IF('20.03'!$AK50="是",'20.03'!$BB$4,'20.03'!$BB$3))</f>
        <v>0</v>
      </c>
      <c r="K50" s="4">
        <f>IF(ISNUMBER(SEARCH("营",'20.03'!S50)),(-$Y50+50*IF('20.03'!$AK50="是",'20.03'!$BB$4,'20.03'!$BB$3)),(VLOOKUP('20.03'!S50,'20.03'!$AO$4:$AQ$55,2,FALSE))*IF('20.03'!$AK50="是",'20.03'!$BB$4,'20.03'!$BB$3))</f>
        <v>0</v>
      </c>
      <c r="L50" s="4">
        <f>IF(ISNUMBER(SEARCH("营",'20.03'!T50)),(-$Y50+50*IF('20.03'!$AK50="是",'20.03'!$BB$4,'20.03'!$BB$3)),(VLOOKUP('20.03'!T50,'20.03'!$AO$4:$AQ$55,2,FALSE))*IF('20.03'!$AK50="是",'20.03'!$BB$4,'20.03'!$BB$3))</f>
        <v>0</v>
      </c>
      <c r="M50" s="4">
        <f>IF(ISNUMBER(SEARCH("营",'20.03'!U50)),(-$Y50+50*IF('20.03'!$AK50="是",'20.03'!$BB$4,'20.03'!$BB$3)),(VLOOKUP('20.03'!U50,'20.03'!$AO$4:$AQ$55,2,FALSE))*IF('20.03'!$AK50="是",'20.03'!$BB$4,'20.03'!$BB$3))</f>
        <v>0</v>
      </c>
      <c r="N50" s="4">
        <f>IF(ISNUMBER(SEARCH("营",'20.03'!V50)),(-$Y50+50*IF('20.03'!$AK50="是",'20.03'!$BB$4,'20.03'!$BB$3)),(VLOOKUP('20.03'!V50,'20.03'!$AO$4:$AQ$55,2,FALSE))*IF('20.03'!$AK50="是",'20.03'!$BB$4,'20.03'!$BB$3))</f>
        <v>0</v>
      </c>
      <c r="O50" s="4">
        <f>IF(ISNUMBER(SEARCH("营",'20.03'!W50)),(-$Y50+50*IF('20.03'!$AK50="是",'20.03'!$BB$4,'20.03'!$BB$3)),(VLOOKUP('20.03'!W50,'20.03'!$AO$4:$AQ$55,2,FALSE))*IF('20.03'!$AK50="是",'20.03'!$BB$4,'20.03'!$BB$3))</f>
        <v>0</v>
      </c>
      <c r="P50" s="4">
        <f>IF(ISNUMBER(SEARCH("营",'20.03'!X50)),(-$Y50+50*IF('20.03'!$AK50="是",'20.03'!$BB$4,'20.03'!$BB$3)),(VLOOKUP('20.03'!X50,'20.03'!$AO$4:$AQ$55,2,FALSE))*IF('20.03'!$AK50="是",'20.03'!$BB$4,'20.03'!$BB$3))</f>
        <v>0</v>
      </c>
      <c r="Q50" s="4">
        <f>IF(ISNUMBER(SEARCH("营",'20.03'!Y50)),(-$Y50+50*IF('20.03'!$AK50="是",'20.03'!$BB$4,'20.03'!$BB$3)),(VLOOKUP('20.03'!Y50,'20.03'!$AO$4:$AQ$55,2,FALSE))*IF('20.03'!$AK50="是",'20.03'!$BB$4,'20.03'!$BB$3))</f>
        <v>0</v>
      </c>
      <c r="R50" s="4">
        <f>IF(ISNUMBER(SEARCH("营",'20.03'!Z50)),(-$Y50+50*IF('20.03'!$AK50="是",'20.03'!$BB$4,'20.03'!$BB$3)),(VLOOKUP('20.03'!Z50,'20.03'!$AO$4:$AQ$55,2,FALSE))*IF('20.03'!$AK50="是",'20.03'!$BB$4,'20.03'!$BB$3))</f>
        <v>0</v>
      </c>
      <c r="S50" s="4">
        <f>IF(ISNUMBER(SEARCH("营",'20.03'!AA50)),(-$Y50+50*IF('20.03'!$AK50="是",'20.03'!$BB$4,'20.03'!$BB$3)),(VLOOKUP('20.03'!AA50,'20.03'!$AO$4:$AQ$55,2,FALSE))*IF('20.03'!$AK50="是",'20.03'!$BB$4,'20.03'!$BB$3))</f>
        <v>0</v>
      </c>
      <c r="T50" s="4">
        <f>IF(ISNUMBER(SEARCH("营",'20.03'!AB50)),(-$Y50+50*IF('20.03'!$AK50="是",'20.03'!$BB$4,'20.03'!$BB$3)),(VLOOKUP('20.03'!AB50,'20.03'!$AO$4:$AQ$55,2,FALSE))*IF('20.03'!$AK50="是",'20.03'!$BB$4,'20.03'!$BB$3))</f>
        <v>0</v>
      </c>
      <c r="U50" s="4">
        <f>IF(ISNUMBER(SEARCH("营",'20.03'!AC50)),(-$Y50+50*IF('20.03'!$AK50="是",'20.03'!$BB$4,'20.03'!$BB$3)),(VLOOKUP('20.03'!AC50,'20.03'!$AO$4:$AQ$55,2,FALSE))*IF('20.03'!$AK50="是",'20.03'!$BB$4,'20.03'!$BB$3))</f>
        <v>0</v>
      </c>
      <c r="V50" s="4">
        <f>IF(ISNUMBER(SEARCH("营",'20.03'!AD50)),(-$Y50+50*IF('20.03'!$AK50="是",'20.03'!$BB$4,'20.03'!$BB$3)),(VLOOKUP('20.03'!AD50,'20.03'!$AO$4:$AQ$55,2,FALSE))*IF('20.03'!$AK50="是",'20.03'!$BB$4,'20.03'!$BB$3))</f>
        <v>0</v>
      </c>
      <c r="W50" s="4">
        <f>IF(ISNUMBER(SEARCH("营",'20.03'!AE50)),(-$Y50+50*IF('20.03'!$AK50="是",'20.03'!$BB$4,'20.03'!$BB$3)),(VLOOKUP('20.03'!AE50,'20.03'!$AO$4:$AQ$55,2,FALSE))*IF('20.03'!$AK50="是",'20.03'!$BB$4,'20.03'!$BB$3))</f>
        <v>0</v>
      </c>
      <c r="X50" s="4">
        <f>IF(ISNUMBER(SEARCH("营",'20.03'!AF50)),(-$Y50+50*IF('20.03'!$AK50="是",'20.03'!$BB$4,'20.03'!$BB$3)),(VLOOKUP('20.03'!AF50,'20.03'!$AO$4:$AQ$55,2,FALSE))*IF('20.03'!$AK50="是",'20.03'!$BB$4,'20.03'!$BB$3))</f>
        <v>0</v>
      </c>
      <c r="Y50" s="64">
        <v>150</v>
      </c>
      <c r="Z50" s="87">
        <v>45867</v>
      </c>
    </row>
    <row r="51" spans="1:26">
      <c r="A51" s="4">
        <f>IF(ISNUMBER(SEARCH("营",'20.03'!I51)),(-$Y51+50*IF('20.03'!$AK51="是",'20.03'!$BB$4,'20.03'!$BB$3)),(VLOOKUP('20.03'!I51,'20.03'!$AO$4:$AQ$55,2,FALSE))*IF('20.03'!$AK51="是",'20.03'!$BB$4,'20.03'!$BB$3))</f>
        <v>0</v>
      </c>
      <c r="B51" s="4">
        <f>IF(ISNUMBER(SEARCH("营",'20.03'!J51)),(-$Y51+50*IF('20.03'!$AK51="是",'20.03'!$BB$4,'20.03'!$BB$3)),(VLOOKUP('20.03'!J51,'20.03'!$AO$4:$AQ$55,2,FALSE))*IF('20.03'!$AK51="是",'20.03'!$BB$4,'20.03'!$BB$3))</f>
        <v>0</v>
      </c>
      <c r="C51" s="4">
        <f>IF(ISNUMBER(SEARCH("营",'20.03'!K51)),(-$Y51+50*IF('20.03'!$AK51="是",'20.03'!$BB$4,'20.03'!$BB$3)),(VLOOKUP('20.03'!K51,'20.03'!$AO$4:$AQ$55,2,FALSE))*IF('20.03'!$AK51="是",'20.03'!$BB$4,'20.03'!$BB$3))</f>
        <v>0</v>
      </c>
      <c r="D51" s="4">
        <f>IF(ISNUMBER(SEARCH("营",'20.03'!L51)),(-$Y51+50*IF('20.03'!$AK51="是",'20.03'!$BB$4,'20.03'!$BB$3)),(VLOOKUP('20.03'!L51,'20.03'!$AO$4:$AQ$55,2,FALSE))*IF('20.03'!$AK51="是",'20.03'!$BB$4,'20.03'!$BB$3))</f>
        <v>0</v>
      </c>
      <c r="E51" s="4">
        <f>IF(ISNUMBER(SEARCH("营",'20.03'!M51)),(-$Y51+50*IF('20.03'!$AK51="是",'20.03'!$BB$4,'20.03'!$BB$3)),(VLOOKUP('20.03'!M51,'20.03'!$AO$4:$AQ$55,2,FALSE))*IF('20.03'!$AK51="是",'20.03'!$BB$4,'20.03'!$BB$3))</f>
        <v>0</v>
      </c>
      <c r="F51" s="4">
        <f>IF(ISNUMBER(SEARCH("营",'20.03'!N51)),(-$Y51+50*IF('20.03'!$AK51="是",'20.03'!$BB$4,'20.03'!$BB$3)),(VLOOKUP('20.03'!N51,'20.03'!$AO$4:$AQ$55,2,FALSE))*IF('20.03'!$AK51="是",'20.03'!$BB$4,'20.03'!$BB$3))</f>
        <v>0</v>
      </c>
      <c r="G51" s="4">
        <f>IF(ISNUMBER(SEARCH("营",'20.03'!O51)),(-$Y51+50*IF('20.03'!$AK51="是",'20.03'!$BB$4,'20.03'!$BB$3)),(VLOOKUP('20.03'!O51,'20.03'!$AO$4:$AQ$55,2,FALSE))*IF('20.03'!$AK51="是",'20.03'!$BB$4,'20.03'!$BB$3))</f>
        <v>0</v>
      </c>
      <c r="H51" s="4">
        <f>IF(ISNUMBER(SEARCH("营",'20.03'!P51)),(-$Y51+50*IF('20.03'!$AK51="是",'20.03'!$BB$4,'20.03'!$BB$3)),(VLOOKUP('20.03'!P51,'20.03'!$AO$4:$AQ$55,2,FALSE))*IF('20.03'!$AK51="是",'20.03'!$BB$4,'20.03'!$BB$3))</f>
        <v>0</v>
      </c>
      <c r="I51" s="4">
        <f>IF(ISNUMBER(SEARCH("营",'20.03'!Q51)),(-$Y51+50*IF('20.03'!$AK51="是",'20.03'!$BB$4,'20.03'!$BB$3)),(VLOOKUP('20.03'!Q51,'20.03'!$AO$4:$AQ$55,2,FALSE))*IF('20.03'!$AK51="是",'20.03'!$BB$4,'20.03'!$BB$3))</f>
        <v>0</v>
      </c>
      <c r="J51" s="4">
        <f>IF(ISNUMBER(SEARCH("营",'20.03'!R51)),(-$Y51+50*IF('20.03'!$AK51="是",'20.03'!$BB$4,'20.03'!$BB$3)),(VLOOKUP('20.03'!R51,'20.03'!$AO$4:$AQ$55,2,FALSE))*IF('20.03'!$AK51="是",'20.03'!$BB$4,'20.03'!$BB$3))</f>
        <v>0</v>
      </c>
      <c r="K51" s="4">
        <f>IF(ISNUMBER(SEARCH("营",'20.03'!S51)),(-$Y51+50*IF('20.03'!$AK51="是",'20.03'!$BB$4,'20.03'!$BB$3)),(VLOOKUP('20.03'!S51,'20.03'!$AO$4:$AQ$55,2,FALSE))*IF('20.03'!$AK51="是",'20.03'!$BB$4,'20.03'!$BB$3))</f>
        <v>0</v>
      </c>
      <c r="L51" s="4">
        <f>IF(ISNUMBER(SEARCH("营",'20.03'!T51)),(-$Y51+50*IF('20.03'!$AK51="是",'20.03'!$BB$4,'20.03'!$BB$3)),(VLOOKUP('20.03'!T51,'20.03'!$AO$4:$AQ$55,2,FALSE))*IF('20.03'!$AK51="是",'20.03'!$BB$4,'20.03'!$BB$3))</f>
        <v>0</v>
      </c>
      <c r="M51" s="4">
        <f>IF(ISNUMBER(SEARCH("营",'20.03'!U51)),(-$Y51+50*IF('20.03'!$AK51="是",'20.03'!$BB$4,'20.03'!$BB$3)),(VLOOKUP('20.03'!U51,'20.03'!$AO$4:$AQ$55,2,FALSE))*IF('20.03'!$AK51="是",'20.03'!$BB$4,'20.03'!$BB$3))</f>
        <v>0</v>
      </c>
      <c r="N51" s="4">
        <f>IF(ISNUMBER(SEARCH("营",'20.03'!V51)),(-$Y51+50*IF('20.03'!$AK51="是",'20.03'!$BB$4,'20.03'!$BB$3)),(VLOOKUP('20.03'!V51,'20.03'!$AO$4:$AQ$55,2,FALSE))*IF('20.03'!$AK51="是",'20.03'!$BB$4,'20.03'!$BB$3))</f>
        <v>0</v>
      </c>
      <c r="O51" s="4">
        <f>IF(ISNUMBER(SEARCH("营",'20.03'!W51)),(-$Y51+50*IF('20.03'!$AK51="是",'20.03'!$BB$4,'20.03'!$BB$3)),(VLOOKUP('20.03'!W51,'20.03'!$AO$4:$AQ$55,2,FALSE))*IF('20.03'!$AK51="是",'20.03'!$BB$4,'20.03'!$BB$3))</f>
        <v>0</v>
      </c>
      <c r="P51" s="4">
        <f>IF(ISNUMBER(SEARCH("营",'20.03'!X51)),(-$Y51+50*IF('20.03'!$AK51="是",'20.03'!$BB$4,'20.03'!$BB$3)),(VLOOKUP('20.03'!X51,'20.03'!$AO$4:$AQ$55,2,FALSE))*IF('20.03'!$AK51="是",'20.03'!$BB$4,'20.03'!$BB$3))</f>
        <v>0</v>
      </c>
      <c r="Q51" s="4">
        <f>IF(ISNUMBER(SEARCH("营",'20.03'!Y51)),(-$Y51+50*IF('20.03'!$AK51="是",'20.03'!$BB$4,'20.03'!$BB$3)),(VLOOKUP('20.03'!Y51,'20.03'!$AO$4:$AQ$55,2,FALSE))*IF('20.03'!$AK51="是",'20.03'!$BB$4,'20.03'!$BB$3))</f>
        <v>0</v>
      </c>
      <c r="R51" s="4">
        <f>IF(ISNUMBER(SEARCH("营",'20.03'!Z51)),(-$Y51+50*IF('20.03'!$AK51="是",'20.03'!$BB$4,'20.03'!$BB$3)),(VLOOKUP('20.03'!Z51,'20.03'!$AO$4:$AQ$55,2,FALSE))*IF('20.03'!$AK51="是",'20.03'!$BB$4,'20.03'!$BB$3))</f>
        <v>0</v>
      </c>
      <c r="S51" s="4">
        <f>IF(ISNUMBER(SEARCH("营",'20.03'!AA51)),(-$Y51+50*IF('20.03'!$AK51="是",'20.03'!$BB$4,'20.03'!$BB$3)),(VLOOKUP('20.03'!AA51,'20.03'!$AO$4:$AQ$55,2,FALSE))*IF('20.03'!$AK51="是",'20.03'!$BB$4,'20.03'!$BB$3))</f>
        <v>0</v>
      </c>
      <c r="T51" s="4">
        <f>IF(ISNUMBER(SEARCH("营",'20.03'!AB51)),(-$Y51+50*IF('20.03'!$AK51="是",'20.03'!$BB$4,'20.03'!$BB$3)),(VLOOKUP('20.03'!AB51,'20.03'!$AO$4:$AQ$55,2,FALSE))*IF('20.03'!$AK51="是",'20.03'!$BB$4,'20.03'!$BB$3))</f>
        <v>0</v>
      </c>
      <c r="U51" s="4">
        <f>IF(ISNUMBER(SEARCH("营",'20.03'!AC51)),(-$Y51+50*IF('20.03'!$AK51="是",'20.03'!$BB$4,'20.03'!$BB$3)),(VLOOKUP('20.03'!AC51,'20.03'!$AO$4:$AQ$55,2,FALSE))*IF('20.03'!$AK51="是",'20.03'!$BB$4,'20.03'!$BB$3))</f>
        <v>0</v>
      </c>
      <c r="V51" s="4">
        <f>IF(ISNUMBER(SEARCH("营",'20.03'!AD51)),(-$Y51+50*IF('20.03'!$AK51="是",'20.03'!$BB$4,'20.03'!$BB$3)),(VLOOKUP('20.03'!AD51,'20.03'!$AO$4:$AQ$55,2,FALSE))*IF('20.03'!$AK51="是",'20.03'!$BB$4,'20.03'!$BB$3))</f>
        <v>0</v>
      </c>
      <c r="W51" s="4">
        <f>IF(ISNUMBER(SEARCH("营",'20.03'!AE51)),(-$Y51+50*IF('20.03'!$AK51="是",'20.03'!$BB$4,'20.03'!$BB$3)),(VLOOKUP('20.03'!AE51,'20.03'!$AO$4:$AQ$55,2,FALSE))*IF('20.03'!$AK51="是",'20.03'!$BB$4,'20.03'!$BB$3))</f>
        <v>0</v>
      </c>
      <c r="X51" s="4">
        <f>IF(ISNUMBER(SEARCH("营",'20.03'!AF51)),(-$Y51+50*IF('20.03'!$AK51="是",'20.03'!$BB$4,'20.03'!$BB$3)),(VLOOKUP('20.03'!AF51,'20.03'!$AO$4:$AQ$55,2,FALSE))*IF('20.03'!$AK51="是",'20.03'!$BB$4,'20.03'!$BB$3))</f>
        <v>0</v>
      </c>
      <c r="Y51" s="64">
        <v>150</v>
      </c>
      <c r="Z51" s="87">
        <v>45868</v>
      </c>
    </row>
    <row r="52" spans="1:26">
      <c r="A52" s="4">
        <f>IF(ISNUMBER(SEARCH("营",'20.03'!I52)),(-$Y52+50*IF('20.03'!$AK52="是",'20.03'!$BB$4,'20.03'!$BB$3)),(VLOOKUP('20.03'!I52,'20.03'!$AO$4:$AQ$55,2,FALSE))*IF('20.03'!$AK52="是",'20.03'!$BB$4,'20.03'!$BB$3))</f>
        <v>0</v>
      </c>
      <c r="B52" s="4">
        <f>IF(ISNUMBER(SEARCH("营",'20.03'!J52)),(-$Y52+50*IF('20.03'!$AK52="是",'20.03'!$BB$4,'20.03'!$BB$3)),(VLOOKUP('20.03'!J52,'20.03'!$AO$4:$AQ$55,2,FALSE))*IF('20.03'!$AK52="是",'20.03'!$BB$4,'20.03'!$BB$3))</f>
        <v>0</v>
      </c>
      <c r="C52" s="4">
        <f>IF(ISNUMBER(SEARCH("营",'20.03'!K52)),(-$Y52+50*IF('20.03'!$AK52="是",'20.03'!$BB$4,'20.03'!$BB$3)),(VLOOKUP('20.03'!K52,'20.03'!$AO$4:$AQ$55,2,FALSE))*IF('20.03'!$AK52="是",'20.03'!$BB$4,'20.03'!$BB$3))</f>
        <v>0</v>
      </c>
      <c r="D52" s="4">
        <f>IF(ISNUMBER(SEARCH("营",'20.03'!L52)),(-$Y52+50*IF('20.03'!$AK52="是",'20.03'!$BB$4,'20.03'!$BB$3)),(VLOOKUP('20.03'!L52,'20.03'!$AO$4:$AQ$55,2,FALSE))*IF('20.03'!$AK52="是",'20.03'!$BB$4,'20.03'!$BB$3))</f>
        <v>0</v>
      </c>
      <c r="E52" s="4">
        <f>IF(ISNUMBER(SEARCH("营",'20.03'!M52)),(-$Y52+50*IF('20.03'!$AK52="是",'20.03'!$BB$4,'20.03'!$BB$3)),(VLOOKUP('20.03'!M52,'20.03'!$AO$4:$AQ$55,2,FALSE))*IF('20.03'!$AK52="是",'20.03'!$BB$4,'20.03'!$BB$3))</f>
        <v>0</v>
      </c>
      <c r="F52" s="4">
        <f>IF(ISNUMBER(SEARCH("营",'20.03'!N52)),(-$Y52+50*IF('20.03'!$AK52="是",'20.03'!$BB$4,'20.03'!$BB$3)),(VLOOKUP('20.03'!N52,'20.03'!$AO$4:$AQ$55,2,FALSE))*IF('20.03'!$AK52="是",'20.03'!$BB$4,'20.03'!$BB$3))</f>
        <v>0</v>
      </c>
      <c r="G52" s="4">
        <f>IF(ISNUMBER(SEARCH("营",'20.03'!O52)),(-$Y52+50*IF('20.03'!$AK52="是",'20.03'!$BB$4,'20.03'!$BB$3)),(VLOOKUP('20.03'!O52,'20.03'!$AO$4:$AQ$55,2,FALSE))*IF('20.03'!$AK52="是",'20.03'!$BB$4,'20.03'!$BB$3))</f>
        <v>0</v>
      </c>
      <c r="H52" s="4">
        <f>IF(ISNUMBER(SEARCH("营",'20.03'!P52)),(-$Y52+50*IF('20.03'!$AK52="是",'20.03'!$BB$4,'20.03'!$BB$3)),(VLOOKUP('20.03'!P52,'20.03'!$AO$4:$AQ$55,2,FALSE))*IF('20.03'!$AK52="是",'20.03'!$BB$4,'20.03'!$BB$3))</f>
        <v>0</v>
      </c>
      <c r="I52" s="4">
        <f>IF(ISNUMBER(SEARCH("营",'20.03'!Q52)),(-$Y52+50*IF('20.03'!$AK52="是",'20.03'!$BB$4,'20.03'!$BB$3)),(VLOOKUP('20.03'!Q52,'20.03'!$AO$4:$AQ$55,2,FALSE))*IF('20.03'!$AK52="是",'20.03'!$BB$4,'20.03'!$BB$3))</f>
        <v>0</v>
      </c>
      <c r="J52" s="4">
        <f>IF(ISNUMBER(SEARCH("营",'20.03'!R52)),(-$Y52+50*IF('20.03'!$AK52="是",'20.03'!$BB$4,'20.03'!$BB$3)),(VLOOKUP('20.03'!R52,'20.03'!$AO$4:$AQ$55,2,FALSE))*IF('20.03'!$AK52="是",'20.03'!$BB$4,'20.03'!$BB$3))</f>
        <v>0</v>
      </c>
      <c r="K52" s="4">
        <f>IF(ISNUMBER(SEARCH("营",'20.03'!S52)),(-$Y52+50*IF('20.03'!$AK52="是",'20.03'!$BB$4,'20.03'!$BB$3)),(VLOOKUP('20.03'!S52,'20.03'!$AO$4:$AQ$55,2,FALSE))*IF('20.03'!$AK52="是",'20.03'!$BB$4,'20.03'!$BB$3))</f>
        <v>0</v>
      </c>
      <c r="L52" s="4">
        <f>IF(ISNUMBER(SEARCH("营",'20.03'!T52)),(-$Y52+50*IF('20.03'!$AK52="是",'20.03'!$BB$4,'20.03'!$BB$3)),(VLOOKUP('20.03'!T52,'20.03'!$AO$4:$AQ$55,2,FALSE))*IF('20.03'!$AK52="是",'20.03'!$BB$4,'20.03'!$BB$3))</f>
        <v>0</v>
      </c>
      <c r="M52" s="4">
        <f>IF(ISNUMBER(SEARCH("营",'20.03'!U52)),(-$Y52+50*IF('20.03'!$AK52="是",'20.03'!$BB$4,'20.03'!$BB$3)),(VLOOKUP('20.03'!U52,'20.03'!$AO$4:$AQ$55,2,FALSE))*IF('20.03'!$AK52="是",'20.03'!$BB$4,'20.03'!$BB$3))</f>
        <v>0</v>
      </c>
      <c r="N52" s="4">
        <f>IF(ISNUMBER(SEARCH("营",'20.03'!V52)),(-$Y52+50*IF('20.03'!$AK52="是",'20.03'!$BB$4,'20.03'!$BB$3)),(VLOOKUP('20.03'!V52,'20.03'!$AO$4:$AQ$55,2,FALSE))*IF('20.03'!$AK52="是",'20.03'!$BB$4,'20.03'!$BB$3))</f>
        <v>0</v>
      </c>
      <c r="O52" s="4">
        <f>IF(ISNUMBER(SEARCH("营",'20.03'!W52)),(-$Y52+50*IF('20.03'!$AK52="是",'20.03'!$BB$4,'20.03'!$BB$3)),(VLOOKUP('20.03'!W52,'20.03'!$AO$4:$AQ$55,2,FALSE))*IF('20.03'!$AK52="是",'20.03'!$BB$4,'20.03'!$BB$3))</f>
        <v>0</v>
      </c>
      <c r="P52" s="4">
        <f>IF(ISNUMBER(SEARCH("营",'20.03'!X52)),(-$Y52+50*IF('20.03'!$AK52="是",'20.03'!$BB$4,'20.03'!$BB$3)),(VLOOKUP('20.03'!X52,'20.03'!$AO$4:$AQ$55,2,FALSE))*IF('20.03'!$AK52="是",'20.03'!$BB$4,'20.03'!$BB$3))</f>
        <v>0</v>
      </c>
      <c r="Q52" s="4">
        <f>IF(ISNUMBER(SEARCH("营",'20.03'!Y52)),(-$Y52+50*IF('20.03'!$AK52="是",'20.03'!$BB$4,'20.03'!$BB$3)),(VLOOKUP('20.03'!Y52,'20.03'!$AO$4:$AQ$55,2,FALSE))*IF('20.03'!$AK52="是",'20.03'!$BB$4,'20.03'!$BB$3))</f>
        <v>0</v>
      </c>
      <c r="R52" s="4">
        <f>IF(ISNUMBER(SEARCH("营",'20.03'!Z52)),(-$Y52+50*IF('20.03'!$AK52="是",'20.03'!$BB$4,'20.03'!$BB$3)),(VLOOKUP('20.03'!Z52,'20.03'!$AO$4:$AQ$55,2,FALSE))*IF('20.03'!$AK52="是",'20.03'!$BB$4,'20.03'!$BB$3))</f>
        <v>0</v>
      </c>
      <c r="S52" s="4">
        <f>IF(ISNUMBER(SEARCH("营",'20.03'!AA52)),(-$Y52+50*IF('20.03'!$AK52="是",'20.03'!$BB$4,'20.03'!$BB$3)),(VLOOKUP('20.03'!AA52,'20.03'!$AO$4:$AQ$55,2,FALSE))*IF('20.03'!$AK52="是",'20.03'!$BB$4,'20.03'!$BB$3))</f>
        <v>0</v>
      </c>
      <c r="T52" s="4">
        <f>IF(ISNUMBER(SEARCH("营",'20.03'!AB52)),(-$Y52+50*IF('20.03'!$AK52="是",'20.03'!$BB$4,'20.03'!$BB$3)),(VLOOKUP('20.03'!AB52,'20.03'!$AO$4:$AQ$55,2,FALSE))*IF('20.03'!$AK52="是",'20.03'!$BB$4,'20.03'!$BB$3))</f>
        <v>0</v>
      </c>
      <c r="U52" s="4">
        <f>IF(ISNUMBER(SEARCH("营",'20.03'!AC52)),(-$Y52+50*IF('20.03'!$AK52="是",'20.03'!$BB$4,'20.03'!$BB$3)),(VLOOKUP('20.03'!AC52,'20.03'!$AO$4:$AQ$55,2,FALSE))*IF('20.03'!$AK52="是",'20.03'!$BB$4,'20.03'!$BB$3))</f>
        <v>0</v>
      </c>
      <c r="V52" s="4">
        <f>IF(ISNUMBER(SEARCH("营",'20.03'!AD52)),(-$Y52+50*IF('20.03'!$AK52="是",'20.03'!$BB$4,'20.03'!$BB$3)),(VLOOKUP('20.03'!AD52,'20.03'!$AO$4:$AQ$55,2,FALSE))*IF('20.03'!$AK52="是",'20.03'!$BB$4,'20.03'!$BB$3))</f>
        <v>0</v>
      </c>
      <c r="W52" s="4">
        <f>IF(ISNUMBER(SEARCH("营",'20.03'!AE52)),(-$Y52+50*IF('20.03'!$AK52="是",'20.03'!$BB$4,'20.03'!$BB$3)),(VLOOKUP('20.03'!AE52,'20.03'!$AO$4:$AQ$55,2,FALSE))*IF('20.03'!$AK52="是",'20.03'!$BB$4,'20.03'!$BB$3))</f>
        <v>0</v>
      </c>
      <c r="X52" s="4">
        <f>IF(ISNUMBER(SEARCH("营",'20.03'!AF52)),(-$Y52+50*IF('20.03'!$AK52="是",'20.03'!$BB$4,'20.03'!$BB$3)),(VLOOKUP('20.03'!AF52,'20.03'!$AO$4:$AQ$55,2,FALSE))*IF('20.03'!$AK52="是",'20.03'!$BB$4,'20.03'!$BB$3))</f>
        <v>0</v>
      </c>
      <c r="Y52" s="64">
        <v>150</v>
      </c>
      <c r="Z52" s="87">
        <v>45869</v>
      </c>
    </row>
    <row r="53" spans="1:26">
      <c r="A53" s="4">
        <f>IF(ISNUMBER(SEARCH("营",'20.03'!I53)),(-$Y53+50*IF('20.03'!$AK53="是",'20.03'!$BB$4,'20.03'!$BB$3)),(VLOOKUP('20.03'!I53,'20.03'!$AO$4:$AQ$55,2,FALSE))*IF('20.03'!$AK53="是",'20.03'!$BB$4,'20.03'!$BB$3))</f>
        <v>0</v>
      </c>
      <c r="B53" s="4">
        <f>IF(ISNUMBER(SEARCH("营",'20.03'!J53)),(-$Y53+50*IF('20.03'!$AK53="是",'20.03'!$BB$4,'20.03'!$BB$3)),(VLOOKUP('20.03'!J53,'20.03'!$AO$4:$AQ$55,2,FALSE))*IF('20.03'!$AK53="是",'20.03'!$BB$4,'20.03'!$BB$3))</f>
        <v>0</v>
      </c>
      <c r="C53" s="4">
        <f>IF(ISNUMBER(SEARCH("营",'20.03'!K53)),(-$Y53+50*IF('20.03'!$AK53="是",'20.03'!$BB$4,'20.03'!$BB$3)),(VLOOKUP('20.03'!K53,'20.03'!$AO$4:$AQ$55,2,FALSE))*IF('20.03'!$AK53="是",'20.03'!$BB$4,'20.03'!$BB$3))</f>
        <v>0</v>
      </c>
      <c r="D53" s="4">
        <f>IF(ISNUMBER(SEARCH("营",'20.03'!L53)),(-$Y53+50*IF('20.03'!$AK53="是",'20.03'!$BB$4,'20.03'!$BB$3)),(VLOOKUP('20.03'!L53,'20.03'!$AO$4:$AQ$55,2,FALSE))*IF('20.03'!$AK53="是",'20.03'!$BB$4,'20.03'!$BB$3))</f>
        <v>0</v>
      </c>
      <c r="E53" s="4">
        <f>IF(ISNUMBER(SEARCH("营",'20.03'!M53)),(-$Y53+50*IF('20.03'!$AK53="是",'20.03'!$BB$4,'20.03'!$BB$3)),(VLOOKUP('20.03'!M53,'20.03'!$AO$4:$AQ$55,2,FALSE))*IF('20.03'!$AK53="是",'20.03'!$BB$4,'20.03'!$BB$3))</f>
        <v>0</v>
      </c>
      <c r="F53" s="4">
        <f>IF(ISNUMBER(SEARCH("营",'20.03'!N53)),(-$Y53+50*IF('20.03'!$AK53="是",'20.03'!$BB$4,'20.03'!$BB$3)),(VLOOKUP('20.03'!N53,'20.03'!$AO$4:$AQ$55,2,FALSE))*IF('20.03'!$AK53="是",'20.03'!$BB$4,'20.03'!$BB$3))</f>
        <v>0</v>
      </c>
      <c r="G53" s="4">
        <f>IF(ISNUMBER(SEARCH("营",'20.03'!O53)),(-$Y53+50*IF('20.03'!$AK53="是",'20.03'!$BB$4,'20.03'!$BB$3)),(VLOOKUP('20.03'!O53,'20.03'!$AO$4:$AQ$55,2,FALSE))*IF('20.03'!$AK53="是",'20.03'!$BB$4,'20.03'!$BB$3))</f>
        <v>0</v>
      </c>
      <c r="H53" s="4">
        <f>IF(ISNUMBER(SEARCH("营",'20.03'!P53)),(-$Y53+50*IF('20.03'!$AK53="是",'20.03'!$BB$4,'20.03'!$BB$3)),(VLOOKUP('20.03'!P53,'20.03'!$AO$4:$AQ$55,2,FALSE))*IF('20.03'!$AK53="是",'20.03'!$BB$4,'20.03'!$BB$3))</f>
        <v>0</v>
      </c>
      <c r="I53" s="4">
        <f>IF(ISNUMBER(SEARCH("营",'20.03'!Q53)),(-$Y53+50*IF('20.03'!$AK53="是",'20.03'!$BB$4,'20.03'!$BB$3)),(VLOOKUP('20.03'!Q53,'20.03'!$AO$4:$AQ$55,2,FALSE))*IF('20.03'!$AK53="是",'20.03'!$BB$4,'20.03'!$BB$3))</f>
        <v>0</v>
      </c>
      <c r="J53" s="4">
        <f>IF(ISNUMBER(SEARCH("营",'20.03'!R53)),(-$Y53+50*IF('20.03'!$AK53="是",'20.03'!$BB$4,'20.03'!$BB$3)),(VLOOKUP('20.03'!R53,'20.03'!$AO$4:$AQ$55,2,FALSE))*IF('20.03'!$AK53="是",'20.03'!$BB$4,'20.03'!$BB$3))</f>
        <v>0</v>
      </c>
      <c r="K53" s="4">
        <f>IF(ISNUMBER(SEARCH("营",'20.03'!S53)),(-$Y53+50*IF('20.03'!$AK53="是",'20.03'!$BB$4,'20.03'!$BB$3)),(VLOOKUP('20.03'!S53,'20.03'!$AO$4:$AQ$55,2,FALSE))*IF('20.03'!$AK53="是",'20.03'!$BB$4,'20.03'!$BB$3))</f>
        <v>0</v>
      </c>
      <c r="L53" s="4">
        <f>IF(ISNUMBER(SEARCH("营",'20.03'!T53)),(-$Y53+50*IF('20.03'!$AK53="是",'20.03'!$BB$4,'20.03'!$BB$3)),(VLOOKUP('20.03'!T53,'20.03'!$AO$4:$AQ$55,2,FALSE))*IF('20.03'!$AK53="是",'20.03'!$BB$4,'20.03'!$BB$3))</f>
        <v>0</v>
      </c>
      <c r="M53" s="4">
        <f>IF(ISNUMBER(SEARCH("营",'20.03'!U53)),(-$Y53+50*IF('20.03'!$AK53="是",'20.03'!$BB$4,'20.03'!$BB$3)),(VLOOKUP('20.03'!U53,'20.03'!$AO$4:$AQ$55,2,FALSE))*IF('20.03'!$AK53="是",'20.03'!$BB$4,'20.03'!$BB$3))</f>
        <v>0</v>
      </c>
      <c r="N53" s="4">
        <f>IF(ISNUMBER(SEARCH("营",'20.03'!V53)),(-$Y53+50*IF('20.03'!$AK53="是",'20.03'!$BB$4,'20.03'!$BB$3)),(VLOOKUP('20.03'!V53,'20.03'!$AO$4:$AQ$55,2,FALSE))*IF('20.03'!$AK53="是",'20.03'!$BB$4,'20.03'!$BB$3))</f>
        <v>0</v>
      </c>
      <c r="O53" s="4">
        <f>IF(ISNUMBER(SEARCH("营",'20.03'!W53)),(-$Y53+50*IF('20.03'!$AK53="是",'20.03'!$BB$4,'20.03'!$BB$3)),(VLOOKUP('20.03'!W53,'20.03'!$AO$4:$AQ$55,2,FALSE))*IF('20.03'!$AK53="是",'20.03'!$BB$4,'20.03'!$BB$3))</f>
        <v>0</v>
      </c>
      <c r="P53" s="4">
        <f>IF(ISNUMBER(SEARCH("营",'20.03'!X53)),(-$Y53+50*IF('20.03'!$AK53="是",'20.03'!$BB$4,'20.03'!$BB$3)),(VLOOKUP('20.03'!X53,'20.03'!$AO$4:$AQ$55,2,FALSE))*IF('20.03'!$AK53="是",'20.03'!$BB$4,'20.03'!$BB$3))</f>
        <v>0</v>
      </c>
      <c r="Q53" s="4">
        <f>IF(ISNUMBER(SEARCH("营",'20.03'!Y53)),(-$Y53+50*IF('20.03'!$AK53="是",'20.03'!$BB$4,'20.03'!$BB$3)),(VLOOKUP('20.03'!Y53,'20.03'!$AO$4:$AQ$55,2,FALSE))*IF('20.03'!$AK53="是",'20.03'!$BB$4,'20.03'!$BB$3))</f>
        <v>0</v>
      </c>
      <c r="R53" s="4">
        <f>IF(ISNUMBER(SEARCH("营",'20.03'!Z53)),(-$Y53+50*IF('20.03'!$AK53="是",'20.03'!$BB$4,'20.03'!$BB$3)),(VLOOKUP('20.03'!Z53,'20.03'!$AO$4:$AQ$55,2,FALSE))*IF('20.03'!$AK53="是",'20.03'!$BB$4,'20.03'!$BB$3))</f>
        <v>0</v>
      </c>
      <c r="S53" s="4">
        <f>IF(ISNUMBER(SEARCH("营",'20.03'!AA53)),(-$Y53+50*IF('20.03'!$AK53="是",'20.03'!$BB$4,'20.03'!$BB$3)),(VLOOKUP('20.03'!AA53,'20.03'!$AO$4:$AQ$55,2,FALSE))*IF('20.03'!$AK53="是",'20.03'!$BB$4,'20.03'!$BB$3))</f>
        <v>0</v>
      </c>
      <c r="T53" s="4">
        <f>IF(ISNUMBER(SEARCH("营",'20.03'!AB53)),(-$Y53+50*IF('20.03'!$AK53="是",'20.03'!$BB$4,'20.03'!$BB$3)),(VLOOKUP('20.03'!AB53,'20.03'!$AO$4:$AQ$55,2,FALSE))*IF('20.03'!$AK53="是",'20.03'!$BB$4,'20.03'!$BB$3))</f>
        <v>0</v>
      </c>
      <c r="U53" s="4">
        <f>IF(ISNUMBER(SEARCH("营",'20.03'!AC53)),(-$Y53+50*IF('20.03'!$AK53="是",'20.03'!$BB$4,'20.03'!$BB$3)),(VLOOKUP('20.03'!AC53,'20.03'!$AO$4:$AQ$55,2,FALSE))*IF('20.03'!$AK53="是",'20.03'!$BB$4,'20.03'!$BB$3))</f>
        <v>0</v>
      </c>
      <c r="V53" s="4">
        <f>IF(ISNUMBER(SEARCH("营",'20.03'!AD53)),(-$Y53+50*IF('20.03'!$AK53="是",'20.03'!$BB$4,'20.03'!$BB$3)),(VLOOKUP('20.03'!AD53,'20.03'!$AO$4:$AQ$55,2,FALSE))*IF('20.03'!$AK53="是",'20.03'!$BB$4,'20.03'!$BB$3))</f>
        <v>0</v>
      </c>
      <c r="W53" s="4">
        <f>IF(ISNUMBER(SEARCH("营",'20.03'!AE53)),(-$Y53+50*IF('20.03'!$AK53="是",'20.03'!$BB$4,'20.03'!$BB$3)),(VLOOKUP('20.03'!AE53,'20.03'!$AO$4:$AQ$55,2,FALSE))*IF('20.03'!$AK53="是",'20.03'!$BB$4,'20.03'!$BB$3))</f>
        <v>0</v>
      </c>
      <c r="X53" s="4">
        <f>IF(ISNUMBER(SEARCH("营",'20.03'!AF53)),(-$Y53+50*IF('20.03'!$AK53="是",'20.03'!$BB$4,'20.03'!$BB$3)),(VLOOKUP('20.03'!AF53,'20.03'!$AO$4:$AQ$55,2,FALSE))*IF('20.03'!$AK53="是",'20.03'!$BB$4,'20.03'!$BB$3))</f>
        <v>0</v>
      </c>
      <c r="Y53" s="64">
        <v>150</v>
      </c>
      <c r="Z53" s="87">
        <v>45870</v>
      </c>
    </row>
    <row r="54" spans="1:26">
      <c r="A54" s="4">
        <f>IF(ISNUMBER(SEARCH("营",'20.03'!I54)),(-$Y54+50*IF('20.03'!$AK54="是",'20.03'!$BB$4,'20.03'!$BB$3)),(VLOOKUP('20.03'!I54,'20.03'!$AO$4:$AQ$55,2,FALSE))*IF('20.03'!$AK54="是",'20.03'!$BB$4,'20.03'!$BB$3))</f>
        <v>0</v>
      </c>
      <c r="B54" s="4">
        <f>IF(ISNUMBER(SEARCH("营",'20.03'!J54)),(-$Y54+50*IF('20.03'!$AK54="是",'20.03'!$BB$4,'20.03'!$BB$3)),(VLOOKUP('20.03'!J54,'20.03'!$AO$4:$AQ$55,2,FALSE))*IF('20.03'!$AK54="是",'20.03'!$BB$4,'20.03'!$BB$3))</f>
        <v>0</v>
      </c>
      <c r="C54" s="4">
        <f>IF(ISNUMBER(SEARCH("营",'20.03'!K54)),(-$Y54+50*IF('20.03'!$AK54="是",'20.03'!$BB$4,'20.03'!$BB$3)),(VLOOKUP('20.03'!K54,'20.03'!$AO$4:$AQ$55,2,FALSE))*IF('20.03'!$AK54="是",'20.03'!$BB$4,'20.03'!$BB$3))</f>
        <v>0</v>
      </c>
      <c r="D54" s="4">
        <f>IF(ISNUMBER(SEARCH("营",'20.03'!L54)),(-$Y54+50*IF('20.03'!$AK54="是",'20.03'!$BB$4,'20.03'!$BB$3)),(VLOOKUP('20.03'!L54,'20.03'!$AO$4:$AQ$55,2,FALSE))*IF('20.03'!$AK54="是",'20.03'!$BB$4,'20.03'!$BB$3))</f>
        <v>0</v>
      </c>
      <c r="E54" s="4">
        <f>IF(ISNUMBER(SEARCH("营",'20.03'!M54)),(-$Y54+50*IF('20.03'!$AK54="是",'20.03'!$BB$4,'20.03'!$BB$3)),(VLOOKUP('20.03'!M54,'20.03'!$AO$4:$AQ$55,2,FALSE))*IF('20.03'!$AK54="是",'20.03'!$BB$4,'20.03'!$BB$3))</f>
        <v>0</v>
      </c>
      <c r="F54" s="4">
        <f>IF(ISNUMBER(SEARCH("营",'20.03'!N54)),(-$Y54+50*IF('20.03'!$AK54="是",'20.03'!$BB$4,'20.03'!$BB$3)),(VLOOKUP('20.03'!N54,'20.03'!$AO$4:$AQ$55,2,FALSE))*IF('20.03'!$AK54="是",'20.03'!$BB$4,'20.03'!$BB$3))</f>
        <v>0</v>
      </c>
      <c r="G54" s="4">
        <f>IF(ISNUMBER(SEARCH("营",'20.03'!O54)),(-$Y54+50*IF('20.03'!$AK54="是",'20.03'!$BB$4,'20.03'!$BB$3)),(VLOOKUP('20.03'!O54,'20.03'!$AO$4:$AQ$55,2,FALSE))*IF('20.03'!$AK54="是",'20.03'!$BB$4,'20.03'!$BB$3))</f>
        <v>0</v>
      </c>
      <c r="H54" s="4">
        <f>IF(ISNUMBER(SEARCH("营",'20.03'!P54)),(-$Y54+50*IF('20.03'!$AK54="是",'20.03'!$BB$4,'20.03'!$BB$3)),(VLOOKUP('20.03'!P54,'20.03'!$AO$4:$AQ$55,2,FALSE))*IF('20.03'!$AK54="是",'20.03'!$BB$4,'20.03'!$BB$3))</f>
        <v>0</v>
      </c>
      <c r="I54" s="4">
        <f>IF(ISNUMBER(SEARCH("营",'20.03'!Q54)),(-$Y54+50*IF('20.03'!$AK54="是",'20.03'!$BB$4,'20.03'!$BB$3)),(VLOOKUP('20.03'!Q54,'20.03'!$AO$4:$AQ$55,2,FALSE))*IF('20.03'!$AK54="是",'20.03'!$BB$4,'20.03'!$BB$3))</f>
        <v>0</v>
      </c>
      <c r="J54" s="4">
        <f>IF(ISNUMBER(SEARCH("营",'20.03'!R54)),(-$Y54+50*IF('20.03'!$AK54="是",'20.03'!$BB$4,'20.03'!$BB$3)),(VLOOKUP('20.03'!R54,'20.03'!$AO$4:$AQ$55,2,FALSE))*IF('20.03'!$AK54="是",'20.03'!$BB$4,'20.03'!$BB$3))</f>
        <v>0</v>
      </c>
      <c r="K54" s="4">
        <f>IF(ISNUMBER(SEARCH("营",'20.03'!S54)),(-$Y54+50*IF('20.03'!$AK54="是",'20.03'!$BB$4,'20.03'!$BB$3)),(VLOOKUP('20.03'!S54,'20.03'!$AO$4:$AQ$55,2,FALSE))*IF('20.03'!$AK54="是",'20.03'!$BB$4,'20.03'!$BB$3))</f>
        <v>0</v>
      </c>
      <c r="L54" s="4">
        <f>IF(ISNUMBER(SEARCH("营",'20.03'!T54)),(-$Y54+50*IF('20.03'!$AK54="是",'20.03'!$BB$4,'20.03'!$BB$3)),(VLOOKUP('20.03'!T54,'20.03'!$AO$4:$AQ$55,2,FALSE))*IF('20.03'!$AK54="是",'20.03'!$BB$4,'20.03'!$BB$3))</f>
        <v>0</v>
      </c>
      <c r="M54" s="4">
        <f>IF(ISNUMBER(SEARCH("营",'20.03'!U54)),(-$Y54+50*IF('20.03'!$AK54="是",'20.03'!$BB$4,'20.03'!$BB$3)),(VLOOKUP('20.03'!U54,'20.03'!$AO$4:$AQ$55,2,FALSE))*IF('20.03'!$AK54="是",'20.03'!$BB$4,'20.03'!$BB$3))</f>
        <v>0</v>
      </c>
      <c r="N54" s="4">
        <f>IF(ISNUMBER(SEARCH("营",'20.03'!V54)),(-$Y54+50*IF('20.03'!$AK54="是",'20.03'!$BB$4,'20.03'!$BB$3)),(VLOOKUP('20.03'!V54,'20.03'!$AO$4:$AQ$55,2,FALSE))*IF('20.03'!$AK54="是",'20.03'!$BB$4,'20.03'!$BB$3))</f>
        <v>0</v>
      </c>
      <c r="O54" s="4">
        <f>IF(ISNUMBER(SEARCH("营",'20.03'!W54)),(-$Y54+50*IF('20.03'!$AK54="是",'20.03'!$BB$4,'20.03'!$BB$3)),(VLOOKUP('20.03'!W54,'20.03'!$AO$4:$AQ$55,2,FALSE))*IF('20.03'!$AK54="是",'20.03'!$BB$4,'20.03'!$BB$3))</f>
        <v>0</v>
      </c>
      <c r="P54" s="4">
        <f>IF(ISNUMBER(SEARCH("营",'20.03'!X54)),(-$Y54+50*IF('20.03'!$AK54="是",'20.03'!$BB$4,'20.03'!$BB$3)),(VLOOKUP('20.03'!X54,'20.03'!$AO$4:$AQ$55,2,FALSE))*IF('20.03'!$AK54="是",'20.03'!$BB$4,'20.03'!$BB$3))</f>
        <v>0</v>
      </c>
      <c r="Q54" s="4">
        <f>IF(ISNUMBER(SEARCH("营",'20.03'!Y54)),(-$Y54+50*IF('20.03'!$AK54="是",'20.03'!$BB$4,'20.03'!$BB$3)),(VLOOKUP('20.03'!Y54,'20.03'!$AO$4:$AQ$55,2,FALSE))*IF('20.03'!$AK54="是",'20.03'!$BB$4,'20.03'!$BB$3))</f>
        <v>0</v>
      </c>
      <c r="R54" s="4">
        <f>IF(ISNUMBER(SEARCH("营",'20.03'!Z54)),(-$Y54+50*IF('20.03'!$AK54="是",'20.03'!$BB$4,'20.03'!$BB$3)),(VLOOKUP('20.03'!Z54,'20.03'!$AO$4:$AQ$55,2,FALSE))*IF('20.03'!$AK54="是",'20.03'!$BB$4,'20.03'!$BB$3))</f>
        <v>0</v>
      </c>
      <c r="S54" s="4">
        <f>IF(ISNUMBER(SEARCH("营",'20.03'!AA54)),(-$Y54+50*IF('20.03'!$AK54="是",'20.03'!$BB$4,'20.03'!$BB$3)),(VLOOKUP('20.03'!AA54,'20.03'!$AO$4:$AQ$55,2,FALSE))*IF('20.03'!$AK54="是",'20.03'!$BB$4,'20.03'!$BB$3))</f>
        <v>0</v>
      </c>
      <c r="T54" s="4">
        <f>IF(ISNUMBER(SEARCH("营",'20.03'!AB54)),(-$Y54+50*IF('20.03'!$AK54="是",'20.03'!$BB$4,'20.03'!$BB$3)),(VLOOKUP('20.03'!AB54,'20.03'!$AO$4:$AQ$55,2,FALSE))*IF('20.03'!$AK54="是",'20.03'!$BB$4,'20.03'!$BB$3))</f>
        <v>0</v>
      </c>
      <c r="U54" s="4">
        <f>IF(ISNUMBER(SEARCH("营",'20.03'!AC54)),(-$Y54+50*IF('20.03'!$AK54="是",'20.03'!$BB$4,'20.03'!$BB$3)),(VLOOKUP('20.03'!AC54,'20.03'!$AO$4:$AQ$55,2,FALSE))*IF('20.03'!$AK54="是",'20.03'!$BB$4,'20.03'!$BB$3))</f>
        <v>0</v>
      </c>
      <c r="V54" s="4">
        <f>IF(ISNUMBER(SEARCH("营",'20.03'!AD54)),(-$Y54+50*IF('20.03'!$AK54="是",'20.03'!$BB$4,'20.03'!$BB$3)),(VLOOKUP('20.03'!AD54,'20.03'!$AO$4:$AQ$55,2,FALSE))*IF('20.03'!$AK54="是",'20.03'!$BB$4,'20.03'!$BB$3))</f>
        <v>0</v>
      </c>
      <c r="W54" s="4">
        <f>IF(ISNUMBER(SEARCH("营",'20.03'!AE54)),(-$Y54+50*IF('20.03'!$AK54="是",'20.03'!$BB$4,'20.03'!$BB$3)),(VLOOKUP('20.03'!AE54,'20.03'!$AO$4:$AQ$55,2,FALSE))*IF('20.03'!$AK54="是",'20.03'!$BB$4,'20.03'!$BB$3))</f>
        <v>0</v>
      </c>
      <c r="X54" s="4">
        <f>IF(ISNUMBER(SEARCH("营",'20.03'!AF54)),(-$Y54+50*IF('20.03'!$AK54="是",'20.03'!$BB$4,'20.03'!$BB$3)),(VLOOKUP('20.03'!AF54,'20.03'!$AO$4:$AQ$55,2,FALSE))*IF('20.03'!$AK54="是",'20.03'!$BB$4,'20.03'!$BB$3))</f>
        <v>0</v>
      </c>
      <c r="Y54" s="64">
        <v>150</v>
      </c>
      <c r="Z54" s="87">
        <v>45871</v>
      </c>
    </row>
    <row r="55" spans="1:26">
      <c r="A55" s="4">
        <f>IF(ISNUMBER(SEARCH("营",'20.03'!I55)),(-$Y55+50*IF('20.03'!$AK55="是",'20.03'!$BB$4,'20.03'!$BB$3)),(VLOOKUP('20.03'!I55,'20.03'!$AO$4:$AQ$55,2,FALSE))*IF('20.03'!$AK55="是",'20.03'!$BB$4,'20.03'!$BB$3))</f>
        <v>0</v>
      </c>
      <c r="B55" s="4">
        <f>IF(ISNUMBER(SEARCH("营",'20.03'!J55)),(-$Y55+50*IF('20.03'!$AK55="是",'20.03'!$BB$4,'20.03'!$BB$3)),(VLOOKUP('20.03'!J55,'20.03'!$AO$4:$AQ$55,2,FALSE))*IF('20.03'!$AK55="是",'20.03'!$BB$4,'20.03'!$BB$3))</f>
        <v>0</v>
      </c>
      <c r="C55" s="4">
        <f>IF(ISNUMBER(SEARCH("营",'20.03'!K55)),(-$Y55+50*IF('20.03'!$AK55="是",'20.03'!$BB$4,'20.03'!$BB$3)),(VLOOKUP('20.03'!K55,'20.03'!$AO$4:$AQ$55,2,FALSE))*IF('20.03'!$AK55="是",'20.03'!$BB$4,'20.03'!$BB$3))</f>
        <v>0</v>
      </c>
      <c r="D55" s="4">
        <f>IF(ISNUMBER(SEARCH("营",'20.03'!L55)),(-$Y55+50*IF('20.03'!$AK55="是",'20.03'!$BB$4,'20.03'!$BB$3)),(VLOOKUP('20.03'!L55,'20.03'!$AO$4:$AQ$55,2,FALSE))*IF('20.03'!$AK55="是",'20.03'!$BB$4,'20.03'!$BB$3))</f>
        <v>0</v>
      </c>
      <c r="E55" s="4">
        <f>IF(ISNUMBER(SEARCH("营",'20.03'!M55)),(-$Y55+50*IF('20.03'!$AK55="是",'20.03'!$BB$4,'20.03'!$BB$3)),(VLOOKUP('20.03'!M55,'20.03'!$AO$4:$AQ$55,2,FALSE))*IF('20.03'!$AK55="是",'20.03'!$BB$4,'20.03'!$BB$3))</f>
        <v>0</v>
      </c>
      <c r="F55" s="4">
        <f>IF(ISNUMBER(SEARCH("营",'20.03'!N55)),(-$Y55+50*IF('20.03'!$AK55="是",'20.03'!$BB$4,'20.03'!$BB$3)),(VLOOKUP('20.03'!N55,'20.03'!$AO$4:$AQ$55,2,FALSE))*IF('20.03'!$AK55="是",'20.03'!$BB$4,'20.03'!$BB$3))</f>
        <v>0</v>
      </c>
      <c r="G55" s="4">
        <f>IF(ISNUMBER(SEARCH("营",'20.03'!O55)),(-$Y55+50*IF('20.03'!$AK55="是",'20.03'!$BB$4,'20.03'!$BB$3)),(VLOOKUP('20.03'!O55,'20.03'!$AO$4:$AQ$55,2,FALSE))*IF('20.03'!$AK55="是",'20.03'!$BB$4,'20.03'!$BB$3))</f>
        <v>0</v>
      </c>
      <c r="H55" s="4">
        <f>IF(ISNUMBER(SEARCH("营",'20.03'!P55)),(-$Y55+50*IF('20.03'!$AK55="是",'20.03'!$BB$4,'20.03'!$BB$3)),(VLOOKUP('20.03'!P55,'20.03'!$AO$4:$AQ$55,2,FALSE))*IF('20.03'!$AK55="是",'20.03'!$BB$4,'20.03'!$BB$3))</f>
        <v>0</v>
      </c>
      <c r="I55" s="4">
        <f>IF(ISNUMBER(SEARCH("营",'20.03'!Q55)),(-$Y55+50*IF('20.03'!$AK55="是",'20.03'!$BB$4,'20.03'!$BB$3)),(VLOOKUP('20.03'!Q55,'20.03'!$AO$4:$AQ$55,2,FALSE))*IF('20.03'!$AK55="是",'20.03'!$BB$4,'20.03'!$BB$3))</f>
        <v>0</v>
      </c>
      <c r="J55" s="4">
        <f>IF(ISNUMBER(SEARCH("营",'20.03'!R55)),(-$Y55+50*IF('20.03'!$AK55="是",'20.03'!$BB$4,'20.03'!$BB$3)),(VLOOKUP('20.03'!R55,'20.03'!$AO$4:$AQ$55,2,FALSE))*IF('20.03'!$AK55="是",'20.03'!$BB$4,'20.03'!$BB$3))</f>
        <v>0</v>
      </c>
      <c r="K55" s="4">
        <f>IF(ISNUMBER(SEARCH("营",'20.03'!S55)),(-$Y55+50*IF('20.03'!$AK55="是",'20.03'!$BB$4,'20.03'!$BB$3)),(VLOOKUP('20.03'!S55,'20.03'!$AO$4:$AQ$55,2,FALSE))*IF('20.03'!$AK55="是",'20.03'!$BB$4,'20.03'!$BB$3))</f>
        <v>0</v>
      </c>
      <c r="L55" s="4">
        <f>IF(ISNUMBER(SEARCH("营",'20.03'!T55)),(-$Y55+50*IF('20.03'!$AK55="是",'20.03'!$BB$4,'20.03'!$BB$3)),(VLOOKUP('20.03'!T55,'20.03'!$AO$4:$AQ$55,2,FALSE))*IF('20.03'!$AK55="是",'20.03'!$BB$4,'20.03'!$BB$3))</f>
        <v>0</v>
      </c>
      <c r="M55" s="4">
        <f>IF(ISNUMBER(SEARCH("营",'20.03'!U55)),(-$Y55+50*IF('20.03'!$AK55="是",'20.03'!$BB$4,'20.03'!$BB$3)),(VLOOKUP('20.03'!U55,'20.03'!$AO$4:$AQ$55,2,FALSE))*IF('20.03'!$AK55="是",'20.03'!$BB$4,'20.03'!$BB$3))</f>
        <v>0</v>
      </c>
      <c r="N55" s="4">
        <f>IF(ISNUMBER(SEARCH("营",'20.03'!V55)),(-$Y55+50*IF('20.03'!$AK55="是",'20.03'!$BB$4,'20.03'!$BB$3)),(VLOOKUP('20.03'!V55,'20.03'!$AO$4:$AQ$55,2,FALSE))*IF('20.03'!$AK55="是",'20.03'!$BB$4,'20.03'!$BB$3))</f>
        <v>0</v>
      </c>
      <c r="O55" s="4">
        <f>IF(ISNUMBER(SEARCH("营",'20.03'!W55)),(-$Y55+50*IF('20.03'!$AK55="是",'20.03'!$BB$4,'20.03'!$BB$3)),(VLOOKUP('20.03'!W55,'20.03'!$AO$4:$AQ$55,2,FALSE))*IF('20.03'!$AK55="是",'20.03'!$BB$4,'20.03'!$BB$3))</f>
        <v>0</v>
      </c>
      <c r="P55" s="4">
        <f>IF(ISNUMBER(SEARCH("营",'20.03'!X55)),(-$Y55+50*IF('20.03'!$AK55="是",'20.03'!$BB$4,'20.03'!$BB$3)),(VLOOKUP('20.03'!X55,'20.03'!$AO$4:$AQ$55,2,FALSE))*IF('20.03'!$AK55="是",'20.03'!$BB$4,'20.03'!$BB$3))</f>
        <v>0</v>
      </c>
      <c r="Q55" s="4">
        <f>IF(ISNUMBER(SEARCH("营",'20.03'!Y55)),(-$Y55+50*IF('20.03'!$AK55="是",'20.03'!$BB$4,'20.03'!$BB$3)),(VLOOKUP('20.03'!Y55,'20.03'!$AO$4:$AQ$55,2,FALSE))*IF('20.03'!$AK55="是",'20.03'!$BB$4,'20.03'!$BB$3))</f>
        <v>0</v>
      </c>
      <c r="R55" s="4">
        <f>IF(ISNUMBER(SEARCH("营",'20.03'!Z55)),(-$Y55+50*IF('20.03'!$AK55="是",'20.03'!$BB$4,'20.03'!$BB$3)),(VLOOKUP('20.03'!Z55,'20.03'!$AO$4:$AQ$55,2,FALSE))*IF('20.03'!$AK55="是",'20.03'!$BB$4,'20.03'!$BB$3))</f>
        <v>0</v>
      </c>
      <c r="S55" s="4">
        <f>IF(ISNUMBER(SEARCH("营",'20.03'!AA55)),(-$Y55+50*IF('20.03'!$AK55="是",'20.03'!$BB$4,'20.03'!$BB$3)),(VLOOKUP('20.03'!AA55,'20.03'!$AO$4:$AQ$55,2,FALSE))*IF('20.03'!$AK55="是",'20.03'!$BB$4,'20.03'!$BB$3))</f>
        <v>0</v>
      </c>
      <c r="T55" s="4">
        <f>IF(ISNUMBER(SEARCH("营",'20.03'!AB55)),(-$Y55+50*IF('20.03'!$AK55="是",'20.03'!$BB$4,'20.03'!$BB$3)),(VLOOKUP('20.03'!AB55,'20.03'!$AO$4:$AQ$55,2,FALSE))*IF('20.03'!$AK55="是",'20.03'!$BB$4,'20.03'!$BB$3))</f>
        <v>0</v>
      </c>
      <c r="U55" s="4">
        <f>IF(ISNUMBER(SEARCH("营",'20.03'!AC55)),(-$Y55+50*IF('20.03'!$AK55="是",'20.03'!$BB$4,'20.03'!$BB$3)),(VLOOKUP('20.03'!AC55,'20.03'!$AO$4:$AQ$55,2,FALSE))*IF('20.03'!$AK55="是",'20.03'!$BB$4,'20.03'!$BB$3))</f>
        <v>0</v>
      </c>
      <c r="V55" s="4">
        <f>IF(ISNUMBER(SEARCH("营",'20.03'!AD55)),(-$Y55+50*IF('20.03'!$AK55="是",'20.03'!$BB$4,'20.03'!$BB$3)),(VLOOKUP('20.03'!AD55,'20.03'!$AO$4:$AQ$55,2,FALSE))*IF('20.03'!$AK55="是",'20.03'!$BB$4,'20.03'!$BB$3))</f>
        <v>0</v>
      </c>
      <c r="W55" s="4">
        <f>IF(ISNUMBER(SEARCH("营",'20.03'!AE55)),(-$Y55+50*IF('20.03'!$AK55="是",'20.03'!$BB$4,'20.03'!$BB$3)),(VLOOKUP('20.03'!AE55,'20.03'!$AO$4:$AQ$55,2,FALSE))*IF('20.03'!$AK55="是",'20.03'!$BB$4,'20.03'!$BB$3))</f>
        <v>0</v>
      </c>
      <c r="X55" s="4">
        <f>IF(ISNUMBER(SEARCH("营",'20.03'!AF55)),(-$Y55+50*IF('20.03'!$AK55="是",'20.03'!$BB$4,'20.03'!$BB$3)),(VLOOKUP('20.03'!AF55,'20.03'!$AO$4:$AQ$55,2,FALSE))*IF('20.03'!$AK55="是",'20.03'!$BB$4,'20.03'!$BB$3))</f>
        <v>0</v>
      </c>
      <c r="Y55" s="64">
        <v>150</v>
      </c>
      <c r="Z55" s="87">
        <v>45872</v>
      </c>
    </row>
    <row r="56" spans="1:26">
      <c r="A56" s="4">
        <f>IF(ISNUMBER(SEARCH("营",'20.03'!I56)),(-$Y56+50*IF('20.03'!$AK56="是",'20.03'!$BB$4,'20.03'!$BB$3)),(VLOOKUP('20.03'!I56,'20.03'!$AO$4:$AQ$55,2,FALSE))*IF('20.03'!$AK56="是",'20.03'!$BB$4,'20.03'!$BB$3))</f>
        <v>0</v>
      </c>
      <c r="B56" s="4">
        <f>IF(ISNUMBER(SEARCH("营",'20.03'!J56)),(-$Y56+50*IF('20.03'!$AK56="是",'20.03'!$BB$4,'20.03'!$BB$3)),(VLOOKUP('20.03'!J56,'20.03'!$AO$4:$AQ$55,2,FALSE))*IF('20.03'!$AK56="是",'20.03'!$BB$4,'20.03'!$BB$3))</f>
        <v>0</v>
      </c>
      <c r="C56" s="4">
        <f>IF(ISNUMBER(SEARCH("营",'20.03'!K56)),(-$Y56+50*IF('20.03'!$AK56="是",'20.03'!$BB$4,'20.03'!$BB$3)),(VLOOKUP('20.03'!K56,'20.03'!$AO$4:$AQ$55,2,FALSE))*IF('20.03'!$AK56="是",'20.03'!$BB$4,'20.03'!$BB$3))</f>
        <v>0</v>
      </c>
      <c r="D56" s="4">
        <f>IF(ISNUMBER(SEARCH("营",'20.03'!L56)),(-$Y56+50*IF('20.03'!$AK56="是",'20.03'!$BB$4,'20.03'!$BB$3)),(VLOOKUP('20.03'!L56,'20.03'!$AO$4:$AQ$55,2,FALSE))*IF('20.03'!$AK56="是",'20.03'!$BB$4,'20.03'!$BB$3))</f>
        <v>0</v>
      </c>
      <c r="E56" s="4">
        <f>IF(ISNUMBER(SEARCH("营",'20.03'!M56)),(-$Y56+50*IF('20.03'!$AK56="是",'20.03'!$BB$4,'20.03'!$BB$3)),(VLOOKUP('20.03'!M56,'20.03'!$AO$4:$AQ$55,2,FALSE))*IF('20.03'!$AK56="是",'20.03'!$BB$4,'20.03'!$BB$3))</f>
        <v>0</v>
      </c>
      <c r="F56" s="4">
        <f>IF(ISNUMBER(SEARCH("营",'20.03'!N56)),(-$Y56+50*IF('20.03'!$AK56="是",'20.03'!$BB$4,'20.03'!$BB$3)),(VLOOKUP('20.03'!N56,'20.03'!$AO$4:$AQ$55,2,FALSE))*IF('20.03'!$AK56="是",'20.03'!$BB$4,'20.03'!$BB$3))</f>
        <v>0</v>
      </c>
      <c r="G56" s="4">
        <f>IF(ISNUMBER(SEARCH("营",'20.03'!O56)),(-$Y56+50*IF('20.03'!$AK56="是",'20.03'!$BB$4,'20.03'!$BB$3)),(VLOOKUP('20.03'!O56,'20.03'!$AO$4:$AQ$55,2,FALSE))*IF('20.03'!$AK56="是",'20.03'!$BB$4,'20.03'!$BB$3))</f>
        <v>0</v>
      </c>
      <c r="H56" s="4">
        <f>IF(ISNUMBER(SEARCH("营",'20.03'!P56)),(-$Y56+50*IF('20.03'!$AK56="是",'20.03'!$BB$4,'20.03'!$BB$3)),(VLOOKUP('20.03'!P56,'20.03'!$AO$4:$AQ$55,2,FALSE))*IF('20.03'!$AK56="是",'20.03'!$BB$4,'20.03'!$BB$3))</f>
        <v>0</v>
      </c>
      <c r="I56" s="4">
        <f>IF(ISNUMBER(SEARCH("营",'20.03'!Q56)),(-$Y56+50*IF('20.03'!$AK56="是",'20.03'!$BB$4,'20.03'!$BB$3)),(VLOOKUP('20.03'!Q56,'20.03'!$AO$4:$AQ$55,2,FALSE))*IF('20.03'!$AK56="是",'20.03'!$BB$4,'20.03'!$BB$3))</f>
        <v>0</v>
      </c>
      <c r="J56" s="4">
        <f>IF(ISNUMBER(SEARCH("营",'20.03'!R56)),(-$Y56+50*IF('20.03'!$AK56="是",'20.03'!$BB$4,'20.03'!$BB$3)),(VLOOKUP('20.03'!R56,'20.03'!$AO$4:$AQ$55,2,FALSE))*IF('20.03'!$AK56="是",'20.03'!$BB$4,'20.03'!$BB$3))</f>
        <v>0</v>
      </c>
      <c r="K56" s="4">
        <f>IF(ISNUMBER(SEARCH("营",'20.03'!S56)),(-$Y56+50*IF('20.03'!$AK56="是",'20.03'!$BB$4,'20.03'!$BB$3)),(VLOOKUP('20.03'!S56,'20.03'!$AO$4:$AQ$55,2,FALSE))*IF('20.03'!$AK56="是",'20.03'!$BB$4,'20.03'!$BB$3))</f>
        <v>0</v>
      </c>
      <c r="L56" s="4">
        <f>IF(ISNUMBER(SEARCH("营",'20.03'!T56)),(-$Y56+50*IF('20.03'!$AK56="是",'20.03'!$BB$4,'20.03'!$BB$3)),(VLOOKUP('20.03'!T56,'20.03'!$AO$4:$AQ$55,2,FALSE))*IF('20.03'!$AK56="是",'20.03'!$BB$4,'20.03'!$BB$3))</f>
        <v>0</v>
      </c>
      <c r="M56" s="4">
        <f>IF(ISNUMBER(SEARCH("营",'20.03'!U56)),(-$Y56+50*IF('20.03'!$AK56="是",'20.03'!$BB$4,'20.03'!$BB$3)),(VLOOKUP('20.03'!U56,'20.03'!$AO$4:$AQ$55,2,FALSE))*IF('20.03'!$AK56="是",'20.03'!$BB$4,'20.03'!$BB$3))</f>
        <v>0</v>
      </c>
      <c r="N56" s="4">
        <f>IF(ISNUMBER(SEARCH("营",'20.03'!V56)),(-$Y56+50*IF('20.03'!$AK56="是",'20.03'!$BB$4,'20.03'!$BB$3)),(VLOOKUP('20.03'!V56,'20.03'!$AO$4:$AQ$55,2,FALSE))*IF('20.03'!$AK56="是",'20.03'!$BB$4,'20.03'!$BB$3))</f>
        <v>0</v>
      </c>
      <c r="O56" s="4">
        <f>IF(ISNUMBER(SEARCH("营",'20.03'!W56)),(-$Y56+50*IF('20.03'!$AK56="是",'20.03'!$BB$4,'20.03'!$BB$3)),(VLOOKUP('20.03'!W56,'20.03'!$AO$4:$AQ$55,2,FALSE))*IF('20.03'!$AK56="是",'20.03'!$BB$4,'20.03'!$BB$3))</f>
        <v>0</v>
      </c>
      <c r="P56" s="4">
        <f>IF(ISNUMBER(SEARCH("营",'20.03'!X56)),(-$Y56+50*IF('20.03'!$AK56="是",'20.03'!$BB$4,'20.03'!$BB$3)),(VLOOKUP('20.03'!X56,'20.03'!$AO$4:$AQ$55,2,FALSE))*IF('20.03'!$AK56="是",'20.03'!$BB$4,'20.03'!$BB$3))</f>
        <v>0</v>
      </c>
      <c r="Q56" s="4">
        <f>IF(ISNUMBER(SEARCH("营",'20.03'!Y56)),(-$Y56+50*IF('20.03'!$AK56="是",'20.03'!$BB$4,'20.03'!$BB$3)),(VLOOKUP('20.03'!Y56,'20.03'!$AO$4:$AQ$55,2,FALSE))*IF('20.03'!$AK56="是",'20.03'!$BB$4,'20.03'!$BB$3))</f>
        <v>0</v>
      </c>
      <c r="R56" s="4">
        <f>IF(ISNUMBER(SEARCH("营",'20.03'!Z56)),(-$Y56+50*IF('20.03'!$AK56="是",'20.03'!$BB$4,'20.03'!$BB$3)),(VLOOKUP('20.03'!Z56,'20.03'!$AO$4:$AQ$55,2,FALSE))*IF('20.03'!$AK56="是",'20.03'!$BB$4,'20.03'!$BB$3))</f>
        <v>0</v>
      </c>
      <c r="S56" s="4">
        <f>IF(ISNUMBER(SEARCH("营",'20.03'!AA56)),(-$Y56+50*IF('20.03'!$AK56="是",'20.03'!$BB$4,'20.03'!$BB$3)),(VLOOKUP('20.03'!AA56,'20.03'!$AO$4:$AQ$55,2,FALSE))*IF('20.03'!$AK56="是",'20.03'!$BB$4,'20.03'!$BB$3))</f>
        <v>0</v>
      </c>
      <c r="T56" s="4">
        <f>IF(ISNUMBER(SEARCH("营",'20.03'!AB56)),(-$Y56+50*IF('20.03'!$AK56="是",'20.03'!$BB$4,'20.03'!$BB$3)),(VLOOKUP('20.03'!AB56,'20.03'!$AO$4:$AQ$55,2,FALSE))*IF('20.03'!$AK56="是",'20.03'!$BB$4,'20.03'!$BB$3))</f>
        <v>0</v>
      </c>
      <c r="U56" s="4">
        <f>IF(ISNUMBER(SEARCH("营",'20.03'!AC56)),(-$Y56+50*IF('20.03'!$AK56="是",'20.03'!$BB$4,'20.03'!$BB$3)),(VLOOKUP('20.03'!AC56,'20.03'!$AO$4:$AQ$55,2,FALSE))*IF('20.03'!$AK56="是",'20.03'!$BB$4,'20.03'!$BB$3))</f>
        <v>0</v>
      </c>
      <c r="V56" s="4">
        <f>IF(ISNUMBER(SEARCH("营",'20.03'!AD56)),(-$Y56+50*IF('20.03'!$AK56="是",'20.03'!$BB$4,'20.03'!$BB$3)),(VLOOKUP('20.03'!AD56,'20.03'!$AO$4:$AQ$55,2,FALSE))*IF('20.03'!$AK56="是",'20.03'!$BB$4,'20.03'!$BB$3))</f>
        <v>0</v>
      </c>
      <c r="W56" s="4">
        <f>IF(ISNUMBER(SEARCH("营",'20.03'!AE56)),(-$Y56+50*IF('20.03'!$AK56="是",'20.03'!$BB$4,'20.03'!$BB$3)),(VLOOKUP('20.03'!AE56,'20.03'!$AO$4:$AQ$55,2,FALSE))*IF('20.03'!$AK56="是",'20.03'!$BB$4,'20.03'!$BB$3))</f>
        <v>0</v>
      </c>
      <c r="X56" s="4">
        <f>IF(ISNUMBER(SEARCH("营",'20.03'!AF56)),(-$Y56+50*IF('20.03'!$AK56="是",'20.03'!$BB$4,'20.03'!$BB$3)),(VLOOKUP('20.03'!AF56,'20.03'!$AO$4:$AQ$55,2,FALSE))*IF('20.03'!$AK56="是",'20.03'!$BB$4,'20.03'!$BB$3))</f>
        <v>0</v>
      </c>
      <c r="Y56" s="64">
        <v>150</v>
      </c>
      <c r="Z56" s="87">
        <v>45873</v>
      </c>
    </row>
    <row r="57" spans="1:26">
      <c r="A57" s="4">
        <f>IF(ISNUMBER(SEARCH("营",'20.03'!I57)),(-$Y57+50*IF('20.03'!$AK57="是",'20.03'!$BB$4,'20.03'!$BB$3)),(VLOOKUP('20.03'!I57,'20.03'!$AO$4:$AQ$55,2,FALSE))*IF('20.03'!$AK57="是",'20.03'!$BB$4,'20.03'!$BB$3))</f>
        <v>0</v>
      </c>
      <c r="B57" s="4">
        <f>IF(ISNUMBER(SEARCH("营",'20.03'!J57)),(-$Y57+50*IF('20.03'!$AK57="是",'20.03'!$BB$4,'20.03'!$BB$3)),(VLOOKUP('20.03'!J57,'20.03'!$AO$4:$AQ$55,2,FALSE))*IF('20.03'!$AK57="是",'20.03'!$BB$4,'20.03'!$BB$3))</f>
        <v>0</v>
      </c>
      <c r="C57" s="4">
        <f>IF(ISNUMBER(SEARCH("营",'20.03'!K57)),(-$Y57+50*IF('20.03'!$AK57="是",'20.03'!$BB$4,'20.03'!$BB$3)),(VLOOKUP('20.03'!K57,'20.03'!$AO$4:$AQ$55,2,FALSE))*IF('20.03'!$AK57="是",'20.03'!$BB$4,'20.03'!$BB$3))</f>
        <v>0</v>
      </c>
      <c r="D57" s="4">
        <f>IF(ISNUMBER(SEARCH("营",'20.03'!L57)),(-$Y57+50*IF('20.03'!$AK57="是",'20.03'!$BB$4,'20.03'!$BB$3)),(VLOOKUP('20.03'!L57,'20.03'!$AO$4:$AQ$55,2,FALSE))*IF('20.03'!$AK57="是",'20.03'!$BB$4,'20.03'!$BB$3))</f>
        <v>0</v>
      </c>
      <c r="E57" s="4">
        <f>IF(ISNUMBER(SEARCH("营",'20.03'!M57)),(-$Y57+50*IF('20.03'!$AK57="是",'20.03'!$BB$4,'20.03'!$BB$3)),(VLOOKUP('20.03'!M57,'20.03'!$AO$4:$AQ$55,2,FALSE))*IF('20.03'!$AK57="是",'20.03'!$BB$4,'20.03'!$BB$3))</f>
        <v>0</v>
      </c>
      <c r="F57" s="4">
        <f>IF(ISNUMBER(SEARCH("营",'20.03'!N57)),(-$Y57+50*IF('20.03'!$AK57="是",'20.03'!$BB$4,'20.03'!$BB$3)),(VLOOKUP('20.03'!N57,'20.03'!$AO$4:$AQ$55,2,FALSE))*IF('20.03'!$AK57="是",'20.03'!$BB$4,'20.03'!$BB$3))</f>
        <v>0</v>
      </c>
      <c r="G57" s="4">
        <f>IF(ISNUMBER(SEARCH("营",'20.03'!O57)),(-$Y57+50*IF('20.03'!$AK57="是",'20.03'!$BB$4,'20.03'!$BB$3)),(VLOOKUP('20.03'!O57,'20.03'!$AO$4:$AQ$55,2,FALSE))*IF('20.03'!$AK57="是",'20.03'!$BB$4,'20.03'!$BB$3))</f>
        <v>0</v>
      </c>
      <c r="H57" s="4">
        <f>IF(ISNUMBER(SEARCH("营",'20.03'!P57)),(-$Y57+50*IF('20.03'!$AK57="是",'20.03'!$BB$4,'20.03'!$BB$3)),(VLOOKUP('20.03'!P57,'20.03'!$AO$4:$AQ$55,2,FALSE))*IF('20.03'!$AK57="是",'20.03'!$BB$4,'20.03'!$BB$3))</f>
        <v>0</v>
      </c>
      <c r="I57" s="4">
        <f>IF(ISNUMBER(SEARCH("营",'20.03'!Q57)),(-$Y57+50*IF('20.03'!$AK57="是",'20.03'!$BB$4,'20.03'!$BB$3)),(VLOOKUP('20.03'!Q57,'20.03'!$AO$4:$AQ$55,2,FALSE))*IF('20.03'!$AK57="是",'20.03'!$BB$4,'20.03'!$BB$3))</f>
        <v>0</v>
      </c>
      <c r="J57" s="4">
        <f>IF(ISNUMBER(SEARCH("营",'20.03'!R57)),(-$Y57+50*IF('20.03'!$AK57="是",'20.03'!$BB$4,'20.03'!$BB$3)),(VLOOKUP('20.03'!R57,'20.03'!$AO$4:$AQ$55,2,FALSE))*IF('20.03'!$AK57="是",'20.03'!$BB$4,'20.03'!$BB$3))</f>
        <v>0</v>
      </c>
      <c r="K57" s="4">
        <f>IF(ISNUMBER(SEARCH("营",'20.03'!S57)),(-$Y57+50*IF('20.03'!$AK57="是",'20.03'!$BB$4,'20.03'!$BB$3)),(VLOOKUP('20.03'!S57,'20.03'!$AO$4:$AQ$55,2,FALSE))*IF('20.03'!$AK57="是",'20.03'!$BB$4,'20.03'!$BB$3))</f>
        <v>0</v>
      </c>
      <c r="L57" s="4">
        <f>IF(ISNUMBER(SEARCH("营",'20.03'!T57)),(-$Y57+50*IF('20.03'!$AK57="是",'20.03'!$BB$4,'20.03'!$BB$3)),(VLOOKUP('20.03'!T57,'20.03'!$AO$4:$AQ$55,2,FALSE))*IF('20.03'!$AK57="是",'20.03'!$BB$4,'20.03'!$BB$3))</f>
        <v>0</v>
      </c>
      <c r="M57" s="4">
        <f>IF(ISNUMBER(SEARCH("营",'20.03'!U57)),(-$Y57+50*IF('20.03'!$AK57="是",'20.03'!$BB$4,'20.03'!$BB$3)),(VLOOKUP('20.03'!U57,'20.03'!$AO$4:$AQ$55,2,FALSE))*IF('20.03'!$AK57="是",'20.03'!$BB$4,'20.03'!$BB$3))</f>
        <v>0</v>
      </c>
      <c r="N57" s="4">
        <f>IF(ISNUMBER(SEARCH("营",'20.03'!V57)),(-$Y57+50*IF('20.03'!$AK57="是",'20.03'!$BB$4,'20.03'!$BB$3)),(VLOOKUP('20.03'!V57,'20.03'!$AO$4:$AQ$55,2,FALSE))*IF('20.03'!$AK57="是",'20.03'!$BB$4,'20.03'!$BB$3))</f>
        <v>0</v>
      </c>
      <c r="O57" s="4">
        <f>IF(ISNUMBER(SEARCH("营",'20.03'!W57)),(-$Y57+50*IF('20.03'!$AK57="是",'20.03'!$BB$4,'20.03'!$BB$3)),(VLOOKUP('20.03'!W57,'20.03'!$AO$4:$AQ$55,2,FALSE))*IF('20.03'!$AK57="是",'20.03'!$BB$4,'20.03'!$BB$3))</f>
        <v>0</v>
      </c>
      <c r="P57" s="4">
        <f>IF(ISNUMBER(SEARCH("营",'20.03'!X57)),(-$Y57+50*IF('20.03'!$AK57="是",'20.03'!$BB$4,'20.03'!$BB$3)),(VLOOKUP('20.03'!X57,'20.03'!$AO$4:$AQ$55,2,FALSE))*IF('20.03'!$AK57="是",'20.03'!$BB$4,'20.03'!$BB$3))</f>
        <v>0</v>
      </c>
      <c r="Q57" s="4">
        <f>IF(ISNUMBER(SEARCH("营",'20.03'!Y57)),(-$Y57+50*IF('20.03'!$AK57="是",'20.03'!$BB$4,'20.03'!$BB$3)),(VLOOKUP('20.03'!Y57,'20.03'!$AO$4:$AQ$55,2,FALSE))*IF('20.03'!$AK57="是",'20.03'!$BB$4,'20.03'!$BB$3))</f>
        <v>0</v>
      </c>
      <c r="R57" s="4">
        <f>IF(ISNUMBER(SEARCH("营",'20.03'!Z57)),(-$Y57+50*IF('20.03'!$AK57="是",'20.03'!$BB$4,'20.03'!$BB$3)),(VLOOKUP('20.03'!Z57,'20.03'!$AO$4:$AQ$55,2,FALSE))*IF('20.03'!$AK57="是",'20.03'!$BB$4,'20.03'!$BB$3))</f>
        <v>0</v>
      </c>
      <c r="S57" s="4">
        <f>IF(ISNUMBER(SEARCH("营",'20.03'!AA57)),(-$Y57+50*IF('20.03'!$AK57="是",'20.03'!$BB$4,'20.03'!$BB$3)),(VLOOKUP('20.03'!AA57,'20.03'!$AO$4:$AQ$55,2,FALSE))*IF('20.03'!$AK57="是",'20.03'!$BB$4,'20.03'!$BB$3))</f>
        <v>0</v>
      </c>
      <c r="T57" s="4">
        <f>IF(ISNUMBER(SEARCH("营",'20.03'!AB57)),(-$Y57+50*IF('20.03'!$AK57="是",'20.03'!$BB$4,'20.03'!$BB$3)),(VLOOKUP('20.03'!AB57,'20.03'!$AO$4:$AQ$55,2,FALSE))*IF('20.03'!$AK57="是",'20.03'!$BB$4,'20.03'!$BB$3))</f>
        <v>0</v>
      </c>
      <c r="U57" s="4">
        <f>IF(ISNUMBER(SEARCH("营",'20.03'!AC57)),(-$Y57+50*IF('20.03'!$AK57="是",'20.03'!$BB$4,'20.03'!$BB$3)),(VLOOKUP('20.03'!AC57,'20.03'!$AO$4:$AQ$55,2,FALSE))*IF('20.03'!$AK57="是",'20.03'!$BB$4,'20.03'!$BB$3))</f>
        <v>0</v>
      </c>
      <c r="V57" s="4">
        <f>IF(ISNUMBER(SEARCH("营",'20.03'!AD57)),(-$Y57+50*IF('20.03'!$AK57="是",'20.03'!$BB$4,'20.03'!$BB$3)),(VLOOKUP('20.03'!AD57,'20.03'!$AO$4:$AQ$55,2,FALSE))*IF('20.03'!$AK57="是",'20.03'!$BB$4,'20.03'!$BB$3))</f>
        <v>0</v>
      </c>
      <c r="W57" s="4">
        <f>IF(ISNUMBER(SEARCH("营",'20.03'!AE57)),(-$Y57+50*IF('20.03'!$AK57="是",'20.03'!$BB$4,'20.03'!$BB$3)),(VLOOKUP('20.03'!AE57,'20.03'!$AO$4:$AQ$55,2,FALSE))*IF('20.03'!$AK57="是",'20.03'!$BB$4,'20.03'!$BB$3))</f>
        <v>0</v>
      </c>
      <c r="X57" s="4">
        <f>IF(ISNUMBER(SEARCH("营",'20.03'!AF57)),(-$Y57+50*IF('20.03'!$AK57="是",'20.03'!$BB$4,'20.03'!$BB$3)),(VLOOKUP('20.03'!AF57,'20.03'!$AO$4:$AQ$55,2,FALSE))*IF('20.03'!$AK57="是",'20.03'!$BB$4,'20.03'!$BB$3))</f>
        <v>0</v>
      </c>
      <c r="Y57" s="64">
        <v>150</v>
      </c>
      <c r="Z57" s="87">
        <v>45874</v>
      </c>
    </row>
    <row r="58" spans="1:26">
      <c r="A58" s="4">
        <f>IF(ISNUMBER(SEARCH("营",'20.03'!I58)),(-$Y58+50*IF('20.03'!$AK58="是",'20.03'!$BB$4,'20.03'!$BB$3)),(VLOOKUP('20.03'!I58,'20.03'!$AO$4:$AQ$55,2,FALSE))*IF('20.03'!$AK58="是",'20.03'!$BB$4,'20.03'!$BB$3))</f>
        <v>0</v>
      </c>
      <c r="B58" s="4">
        <f>IF(ISNUMBER(SEARCH("营",'20.03'!J58)),(-$Y58+50*IF('20.03'!$AK58="是",'20.03'!$BB$4,'20.03'!$BB$3)),(VLOOKUP('20.03'!J58,'20.03'!$AO$4:$AQ$55,2,FALSE))*IF('20.03'!$AK58="是",'20.03'!$BB$4,'20.03'!$BB$3))</f>
        <v>0</v>
      </c>
      <c r="C58" s="4">
        <f>IF(ISNUMBER(SEARCH("营",'20.03'!K58)),(-$Y58+50*IF('20.03'!$AK58="是",'20.03'!$BB$4,'20.03'!$BB$3)),(VLOOKUP('20.03'!K58,'20.03'!$AO$4:$AQ$55,2,FALSE))*IF('20.03'!$AK58="是",'20.03'!$BB$4,'20.03'!$BB$3))</f>
        <v>0</v>
      </c>
      <c r="D58" s="4">
        <f>IF(ISNUMBER(SEARCH("营",'20.03'!L58)),(-$Y58+50*IF('20.03'!$AK58="是",'20.03'!$BB$4,'20.03'!$BB$3)),(VLOOKUP('20.03'!L58,'20.03'!$AO$4:$AQ$55,2,FALSE))*IF('20.03'!$AK58="是",'20.03'!$BB$4,'20.03'!$BB$3))</f>
        <v>0</v>
      </c>
      <c r="E58" s="4">
        <f>IF(ISNUMBER(SEARCH("营",'20.03'!M58)),(-$Y58+50*IF('20.03'!$AK58="是",'20.03'!$BB$4,'20.03'!$BB$3)),(VLOOKUP('20.03'!M58,'20.03'!$AO$4:$AQ$55,2,FALSE))*IF('20.03'!$AK58="是",'20.03'!$BB$4,'20.03'!$BB$3))</f>
        <v>0</v>
      </c>
      <c r="F58" s="4">
        <f>IF(ISNUMBER(SEARCH("营",'20.03'!N58)),(-$Y58+50*IF('20.03'!$AK58="是",'20.03'!$BB$4,'20.03'!$BB$3)),(VLOOKUP('20.03'!N58,'20.03'!$AO$4:$AQ$55,2,FALSE))*IF('20.03'!$AK58="是",'20.03'!$BB$4,'20.03'!$BB$3))</f>
        <v>0</v>
      </c>
      <c r="G58" s="4">
        <f>IF(ISNUMBER(SEARCH("营",'20.03'!O58)),(-$Y58+50*IF('20.03'!$AK58="是",'20.03'!$BB$4,'20.03'!$BB$3)),(VLOOKUP('20.03'!O58,'20.03'!$AO$4:$AQ$55,2,FALSE))*IF('20.03'!$AK58="是",'20.03'!$BB$4,'20.03'!$BB$3))</f>
        <v>0</v>
      </c>
      <c r="H58" s="4">
        <f>IF(ISNUMBER(SEARCH("营",'20.03'!P58)),(-$Y58+50*IF('20.03'!$AK58="是",'20.03'!$BB$4,'20.03'!$BB$3)),(VLOOKUP('20.03'!P58,'20.03'!$AO$4:$AQ$55,2,FALSE))*IF('20.03'!$AK58="是",'20.03'!$BB$4,'20.03'!$BB$3))</f>
        <v>0</v>
      </c>
      <c r="I58" s="4">
        <f>IF(ISNUMBER(SEARCH("营",'20.03'!Q58)),(-$Y58+50*IF('20.03'!$AK58="是",'20.03'!$BB$4,'20.03'!$BB$3)),(VLOOKUP('20.03'!Q58,'20.03'!$AO$4:$AQ$55,2,FALSE))*IF('20.03'!$AK58="是",'20.03'!$BB$4,'20.03'!$BB$3))</f>
        <v>0</v>
      </c>
      <c r="J58" s="4">
        <f>IF(ISNUMBER(SEARCH("营",'20.03'!R58)),(-$Y58+50*IF('20.03'!$AK58="是",'20.03'!$BB$4,'20.03'!$BB$3)),(VLOOKUP('20.03'!R58,'20.03'!$AO$4:$AQ$55,2,FALSE))*IF('20.03'!$AK58="是",'20.03'!$BB$4,'20.03'!$BB$3))</f>
        <v>0</v>
      </c>
      <c r="K58" s="4">
        <f>IF(ISNUMBER(SEARCH("营",'20.03'!S58)),(-$Y58+50*IF('20.03'!$AK58="是",'20.03'!$BB$4,'20.03'!$BB$3)),(VLOOKUP('20.03'!S58,'20.03'!$AO$4:$AQ$55,2,FALSE))*IF('20.03'!$AK58="是",'20.03'!$BB$4,'20.03'!$BB$3))</f>
        <v>0</v>
      </c>
      <c r="L58" s="4">
        <f>IF(ISNUMBER(SEARCH("营",'20.03'!T58)),(-$Y58+50*IF('20.03'!$AK58="是",'20.03'!$BB$4,'20.03'!$BB$3)),(VLOOKUP('20.03'!T58,'20.03'!$AO$4:$AQ$55,2,FALSE))*IF('20.03'!$AK58="是",'20.03'!$BB$4,'20.03'!$BB$3))</f>
        <v>0</v>
      </c>
      <c r="M58" s="4">
        <f>IF(ISNUMBER(SEARCH("营",'20.03'!U58)),(-$Y58+50*IF('20.03'!$AK58="是",'20.03'!$BB$4,'20.03'!$BB$3)),(VLOOKUP('20.03'!U58,'20.03'!$AO$4:$AQ$55,2,FALSE))*IF('20.03'!$AK58="是",'20.03'!$BB$4,'20.03'!$BB$3))</f>
        <v>0</v>
      </c>
      <c r="N58" s="4">
        <f>IF(ISNUMBER(SEARCH("营",'20.03'!V58)),(-$Y58+50*IF('20.03'!$AK58="是",'20.03'!$BB$4,'20.03'!$BB$3)),(VLOOKUP('20.03'!V58,'20.03'!$AO$4:$AQ$55,2,FALSE))*IF('20.03'!$AK58="是",'20.03'!$BB$4,'20.03'!$BB$3))</f>
        <v>0</v>
      </c>
      <c r="O58" s="4">
        <f>IF(ISNUMBER(SEARCH("营",'20.03'!W58)),(-$Y58+50*IF('20.03'!$AK58="是",'20.03'!$BB$4,'20.03'!$BB$3)),(VLOOKUP('20.03'!W58,'20.03'!$AO$4:$AQ$55,2,FALSE))*IF('20.03'!$AK58="是",'20.03'!$BB$4,'20.03'!$BB$3))</f>
        <v>0</v>
      </c>
      <c r="P58" s="4">
        <f>IF(ISNUMBER(SEARCH("营",'20.03'!X58)),(-$Y58+50*IF('20.03'!$AK58="是",'20.03'!$BB$4,'20.03'!$BB$3)),(VLOOKUP('20.03'!X58,'20.03'!$AO$4:$AQ$55,2,FALSE))*IF('20.03'!$AK58="是",'20.03'!$BB$4,'20.03'!$BB$3))</f>
        <v>0</v>
      </c>
      <c r="Q58" s="4">
        <f>IF(ISNUMBER(SEARCH("营",'20.03'!Y58)),(-$Y58+50*IF('20.03'!$AK58="是",'20.03'!$BB$4,'20.03'!$BB$3)),(VLOOKUP('20.03'!Y58,'20.03'!$AO$4:$AQ$55,2,FALSE))*IF('20.03'!$AK58="是",'20.03'!$BB$4,'20.03'!$BB$3))</f>
        <v>0</v>
      </c>
      <c r="R58" s="4">
        <f>IF(ISNUMBER(SEARCH("营",'20.03'!Z58)),(-$Y58+50*IF('20.03'!$AK58="是",'20.03'!$BB$4,'20.03'!$BB$3)),(VLOOKUP('20.03'!Z58,'20.03'!$AO$4:$AQ$55,2,FALSE))*IF('20.03'!$AK58="是",'20.03'!$BB$4,'20.03'!$BB$3))</f>
        <v>0</v>
      </c>
      <c r="S58" s="4">
        <f>IF(ISNUMBER(SEARCH("营",'20.03'!AA58)),(-$Y58+50*IF('20.03'!$AK58="是",'20.03'!$BB$4,'20.03'!$BB$3)),(VLOOKUP('20.03'!AA58,'20.03'!$AO$4:$AQ$55,2,FALSE))*IF('20.03'!$AK58="是",'20.03'!$BB$4,'20.03'!$BB$3))</f>
        <v>0</v>
      </c>
      <c r="T58" s="4">
        <f>IF(ISNUMBER(SEARCH("营",'20.03'!AB58)),(-$Y58+50*IF('20.03'!$AK58="是",'20.03'!$BB$4,'20.03'!$BB$3)),(VLOOKUP('20.03'!AB58,'20.03'!$AO$4:$AQ$55,2,FALSE))*IF('20.03'!$AK58="是",'20.03'!$BB$4,'20.03'!$BB$3))</f>
        <v>0</v>
      </c>
      <c r="U58" s="4">
        <f>IF(ISNUMBER(SEARCH("营",'20.03'!AC58)),(-$Y58+50*IF('20.03'!$AK58="是",'20.03'!$BB$4,'20.03'!$BB$3)),(VLOOKUP('20.03'!AC58,'20.03'!$AO$4:$AQ$55,2,FALSE))*IF('20.03'!$AK58="是",'20.03'!$BB$4,'20.03'!$BB$3))</f>
        <v>0</v>
      </c>
      <c r="V58" s="4">
        <f>IF(ISNUMBER(SEARCH("营",'20.03'!AD58)),(-$Y58+50*IF('20.03'!$AK58="是",'20.03'!$BB$4,'20.03'!$BB$3)),(VLOOKUP('20.03'!AD58,'20.03'!$AO$4:$AQ$55,2,FALSE))*IF('20.03'!$AK58="是",'20.03'!$BB$4,'20.03'!$BB$3))</f>
        <v>0</v>
      </c>
      <c r="W58" s="4">
        <f>IF(ISNUMBER(SEARCH("营",'20.03'!AE58)),(-$Y58+50*IF('20.03'!$AK58="是",'20.03'!$BB$4,'20.03'!$BB$3)),(VLOOKUP('20.03'!AE58,'20.03'!$AO$4:$AQ$55,2,FALSE))*IF('20.03'!$AK58="是",'20.03'!$BB$4,'20.03'!$BB$3))</f>
        <v>0</v>
      </c>
      <c r="X58" s="4">
        <f>IF(ISNUMBER(SEARCH("营",'20.03'!AF58)),(-$Y58+50*IF('20.03'!$AK58="是",'20.03'!$BB$4,'20.03'!$BB$3)),(VLOOKUP('20.03'!AF58,'20.03'!$AO$4:$AQ$55,2,FALSE))*IF('20.03'!$AK58="是",'20.03'!$BB$4,'20.03'!$BB$3))</f>
        <v>0</v>
      </c>
      <c r="Y58" s="64">
        <v>150</v>
      </c>
      <c r="Z58" s="87">
        <v>45875</v>
      </c>
    </row>
    <row r="59" spans="1:26">
      <c r="A59" s="4">
        <f>IF(ISNUMBER(SEARCH("营",'20.03'!I59)),(-$Y59+50*IF('20.03'!$AK59="是",'20.03'!$BB$4,'20.03'!$BB$3)),(VLOOKUP('20.03'!I59,'20.03'!$AO$4:$AQ$55,2,FALSE))*IF('20.03'!$AK59="是",'20.03'!$BB$4,'20.03'!$BB$3))</f>
        <v>0</v>
      </c>
      <c r="B59" s="4">
        <f>IF(ISNUMBER(SEARCH("营",'20.03'!J59)),(-$Y59+50*IF('20.03'!$AK59="是",'20.03'!$BB$4,'20.03'!$BB$3)),(VLOOKUP('20.03'!J59,'20.03'!$AO$4:$AQ$55,2,FALSE))*IF('20.03'!$AK59="是",'20.03'!$BB$4,'20.03'!$BB$3))</f>
        <v>0</v>
      </c>
      <c r="C59" s="4">
        <f>IF(ISNUMBER(SEARCH("营",'20.03'!K59)),(-$Y59+50*IF('20.03'!$AK59="是",'20.03'!$BB$4,'20.03'!$BB$3)),(VLOOKUP('20.03'!K59,'20.03'!$AO$4:$AQ$55,2,FALSE))*IF('20.03'!$AK59="是",'20.03'!$BB$4,'20.03'!$BB$3))</f>
        <v>0</v>
      </c>
      <c r="D59" s="4">
        <f>IF(ISNUMBER(SEARCH("营",'20.03'!L59)),(-$Y59+50*IF('20.03'!$AK59="是",'20.03'!$BB$4,'20.03'!$BB$3)),(VLOOKUP('20.03'!L59,'20.03'!$AO$4:$AQ$55,2,FALSE))*IF('20.03'!$AK59="是",'20.03'!$BB$4,'20.03'!$BB$3))</f>
        <v>0</v>
      </c>
      <c r="E59" s="4">
        <f>IF(ISNUMBER(SEARCH("营",'20.03'!M59)),(-$Y59+50*IF('20.03'!$AK59="是",'20.03'!$BB$4,'20.03'!$BB$3)),(VLOOKUP('20.03'!M59,'20.03'!$AO$4:$AQ$55,2,FALSE))*IF('20.03'!$AK59="是",'20.03'!$BB$4,'20.03'!$BB$3))</f>
        <v>0</v>
      </c>
      <c r="F59" s="4">
        <f>IF(ISNUMBER(SEARCH("营",'20.03'!N59)),(-$Y59+50*IF('20.03'!$AK59="是",'20.03'!$BB$4,'20.03'!$BB$3)),(VLOOKUP('20.03'!N59,'20.03'!$AO$4:$AQ$55,2,FALSE))*IF('20.03'!$AK59="是",'20.03'!$BB$4,'20.03'!$BB$3))</f>
        <v>0</v>
      </c>
      <c r="G59" s="4">
        <f>IF(ISNUMBER(SEARCH("营",'20.03'!O59)),(-$Y59+50*IF('20.03'!$AK59="是",'20.03'!$BB$4,'20.03'!$BB$3)),(VLOOKUP('20.03'!O59,'20.03'!$AO$4:$AQ$55,2,FALSE))*IF('20.03'!$AK59="是",'20.03'!$BB$4,'20.03'!$BB$3))</f>
        <v>0</v>
      </c>
      <c r="H59" s="4">
        <f>IF(ISNUMBER(SEARCH("营",'20.03'!P59)),(-$Y59+50*IF('20.03'!$AK59="是",'20.03'!$BB$4,'20.03'!$BB$3)),(VLOOKUP('20.03'!P59,'20.03'!$AO$4:$AQ$55,2,FALSE))*IF('20.03'!$AK59="是",'20.03'!$BB$4,'20.03'!$BB$3))</f>
        <v>0</v>
      </c>
      <c r="I59" s="4">
        <f>IF(ISNUMBER(SEARCH("营",'20.03'!Q59)),(-$Y59+50*IF('20.03'!$AK59="是",'20.03'!$BB$4,'20.03'!$BB$3)),(VLOOKUP('20.03'!Q59,'20.03'!$AO$4:$AQ$55,2,FALSE))*IF('20.03'!$AK59="是",'20.03'!$BB$4,'20.03'!$BB$3))</f>
        <v>0</v>
      </c>
      <c r="J59" s="4">
        <f>IF(ISNUMBER(SEARCH("营",'20.03'!R59)),(-$Y59+50*IF('20.03'!$AK59="是",'20.03'!$BB$4,'20.03'!$BB$3)),(VLOOKUP('20.03'!R59,'20.03'!$AO$4:$AQ$55,2,FALSE))*IF('20.03'!$AK59="是",'20.03'!$BB$4,'20.03'!$BB$3))</f>
        <v>0</v>
      </c>
      <c r="K59" s="4">
        <f>IF(ISNUMBER(SEARCH("营",'20.03'!S59)),(-$Y59+50*IF('20.03'!$AK59="是",'20.03'!$BB$4,'20.03'!$BB$3)),(VLOOKUP('20.03'!S59,'20.03'!$AO$4:$AQ$55,2,FALSE))*IF('20.03'!$AK59="是",'20.03'!$BB$4,'20.03'!$BB$3))</f>
        <v>0</v>
      </c>
      <c r="L59" s="4">
        <f>IF(ISNUMBER(SEARCH("营",'20.03'!T59)),(-$Y59+50*IF('20.03'!$AK59="是",'20.03'!$BB$4,'20.03'!$BB$3)),(VLOOKUP('20.03'!T59,'20.03'!$AO$4:$AQ$55,2,FALSE))*IF('20.03'!$AK59="是",'20.03'!$BB$4,'20.03'!$BB$3))</f>
        <v>0</v>
      </c>
      <c r="M59" s="4">
        <f>IF(ISNUMBER(SEARCH("营",'20.03'!U59)),(-$Y59+50*IF('20.03'!$AK59="是",'20.03'!$BB$4,'20.03'!$BB$3)),(VLOOKUP('20.03'!U59,'20.03'!$AO$4:$AQ$55,2,FALSE))*IF('20.03'!$AK59="是",'20.03'!$BB$4,'20.03'!$BB$3))</f>
        <v>0</v>
      </c>
      <c r="N59" s="4">
        <f>IF(ISNUMBER(SEARCH("营",'20.03'!V59)),(-$Y59+50*IF('20.03'!$AK59="是",'20.03'!$BB$4,'20.03'!$BB$3)),(VLOOKUP('20.03'!V59,'20.03'!$AO$4:$AQ$55,2,FALSE))*IF('20.03'!$AK59="是",'20.03'!$BB$4,'20.03'!$BB$3))</f>
        <v>0</v>
      </c>
      <c r="O59" s="4">
        <f>IF(ISNUMBER(SEARCH("营",'20.03'!W59)),(-$Y59+50*IF('20.03'!$AK59="是",'20.03'!$BB$4,'20.03'!$BB$3)),(VLOOKUP('20.03'!W59,'20.03'!$AO$4:$AQ$55,2,FALSE))*IF('20.03'!$AK59="是",'20.03'!$BB$4,'20.03'!$BB$3))</f>
        <v>0</v>
      </c>
      <c r="P59" s="4">
        <f>IF(ISNUMBER(SEARCH("营",'20.03'!X59)),(-$Y59+50*IF('20.03'!$AK59="是",'20.03'!$BB$4,'20.03'!$BB$3)),(VLOOKUP('20.03'!X59,'20.03'!$AO$4:$AQ$55,2,FALSE))*IF('20.03'!$AK59="是",'20.03'!$BB$4,'20.03'!$BB$3))</f>
        <v>0</v>
      </c>
      <c r="Q59" s="4">
        <f>IF(ISNUMBER(SEARCH("营",'20.03'!Y59)),(-$Y59+50*IF('20.03'!$AK59="是",'20.03'!$BB$4,'20.03'!$BB$3)),(VLOOKUP('20.03'!Y59,'20.03'!$AO$4:$AQ$55,2,FALSE))*IF('20.03'!$AK59="是",'20.03'!$BB$4,'20.03'!$BB$3))</f>
        <v>0</v>
      </c>
      <c r="R59" s="4">
        <f>IF(ISNUMBER(SEARCH("营",'20.03'!Z59)),(-$Y59+50*IF('20.03'!$AK59="是",'20.03'!$BB$4,'20.03'!$BB$3)),(VLOOKUP('20.03'!Z59,'20.03'!$AO$4:$AQ$55,2,FALSE))*IF('20.03'!$AK59="是",'20.03'!$BB$4,'20.03'!$BB$3))</f>
        <v>0</v>
      </c>
      <c r="S59" s="4">
        <f>IF(ISNUMBER(SEARCH("营",'20.03'!AA59)),(-$Y59+50*IF('20.03'!$AK59="是",'20.03'!$BB$4,'20.03'!$BB$3)),(VLOOKUP('20.03'!AA59,'20.03'!$AO$4:$AQ$55,2,FALSE))*IF('20.03'!$AK59="是",'20.03'!$BB$4,'20.03'!$BB$3))</f>
        <v>0</v>
      </c>
      <c r="T59" s="4">
        <f>IF(ISNUMBER(SEARCH("营",'20.03'!AB59)),(-$Y59+50*IF('20.03'!$AK59="是",'20.03'!$BB$4,'20.03'!$BB$3)),(VLOOKUP('20.03'!AB59,'20.03'!$AO$4:$AQ$55,2,FALSE))*IF('20.03'!$AK59="是",'20.03'!$BB$4,'20.03'!$BB$3))</f>
        <v>0</v>
      </c>
      <c r="U59" s="4">
        <f>IF(ISNUMBER(SEARCH("营",'20.03'!AC59)),(-$Y59+50*IF('20.03'!$AK59="是",'20.03'!$BB$4,'20.03'!$BB$3)),(VLOOKUP('20.03'!AC59,'20.03'!$AO$4:$AQ$55,2,FALSE))*IF('20.03'!$AK59="是",'20.03'!$BB$4,'20.03'!$BB$3))</f>
        <v>0</v>
      </c>
      <c r="V59" s="4">
        <f>IF(ISNUMBER(SEARCH("营",'20.03'!AD59)),(-$Y59+50*IF('20.03'!$AK59="是",'20.03'!$BB$4,'20.03'!$BB$3)),(VLOOKUP('20.03'!AD59,'20.03'!$AO$4:$AQ$55,2,FALSE))*IF('20.03'!$AK59="是",'20.03'!$BB$4,'20.03'!$BB$3))</f>
        <v>0</v>
      </c>
      <c r="W59" s="4">
        <f>IF(ISNUMBER(SEARCH("营",'20.03'!AE59)),(-$Y59+50*IF('20.03'!$AK59="是",'20.03'!$BB$4,'20.03'!$BB$3)),(VLOOKUP('20.03'!AE59,'20.03'!$AO$4:$AQ$55,2,FALSE))*IF('20.03'!$AK59="是",'20.03'!$BB$4,'20.03'!$BB$3))</f>
        <v>0</v>
      </c>
      <c r="X59" s="4">
        <f>IF(ISNUMBER(SEARCH("营",'20.03'!AF59)),(-$Y59+50*IF('20.03'!$AK59="是",'20.03'!$BB$4,'20.03'!$BB$3)),(VLOOKUP('20.03'!AF59,'20.03'!$AO$4:$AQ$55,2,FALSE))*IF('20.03'!$AK59="是",'20.03'!$BB$4,'20.03'!$BB$3))</f>
        <v>0</v>
      </c>
      <c r="Y59" s="64">
        <v>150</v>
      </c>
      <c r="Z59" s="87">
        <v>45876</v>
      </c>
    </row>
    <row r="60" spans="1:26">
      <c r="A60" s="4">
        <f>IF(ISNUMBER(SEARCH("营",'20.03'!I60)),(-$Y60+50*IF('20.03'!$AK60="是",'20.03'!$BB$4,'20.03'!$BB$3)),(VLOOKUP('20.03'!I60,'20.03'!$AO$4:$AQ$55,2,FALSE))*IF('20.03'!$AK60="是",'20.03'!$BB$4,'20.03'!$BB$3))</f>
        <v>0</v>
      </c>
      <c r="B60" s="4">
        <f>IF(ISNUMBER(SEARCH("营",'20.03'!J60)),(-$Y60+50*IF('20.03'!$AK60="是",'20.03'!$BB$4,'20.03'!$BB$3)),(VLOOKUP('20.03'!J60,'20.03'!$AO$4:$AQ$55,2,FALSE))*IF('20.03'!$AK60="是",'20.03'!$BB$4,'20.03'!$BB$3))</f>
        <v>0</v>
      </c>
      <c r="C60" s="4">
        <f>IF(ISNUMBER(SEARCH("营",'20.03'!K60)),(-$Y60+50*IF('20.03'!$AK60="是",'20.03'!$BB$4,'20.03'!$BB$3)),(VLOOKUP('20.03'!K60,'20.03'!$AO$4:$AQ$55,2,FALSE))*IF('20.03'!$AK60="是",'20.03'!$BB$4,'20.03'!$BB$3))</f>
        <v>0</v>
      </c>
      <c r="D60" s="4">
        <f>IF(ISNUMBER(SEARCH("营",'20.03'!L60)),(-$Y60+50*IF('20.03'!$AK60="是",'20.03'!$BB$4,'20.03'!$BB$3)),(VLOOKUP('20.03'!L60,'20.03'!$AO$4:$AQ$55,2,FALSE))*IF('20.03'!$AK60="是",'20.03'!$BB$4,'20.03'!$BB$3))</f>
        <v>0</v>
      </c>
      <c r="E60" s="4">
        <f>IF(ISNUMBER(SEARCH("营",'20.03'!M60)),(-$Y60+50*IF('20.03'!$AK60="是",'20.03'!$BB$4,'20.03'!$BB$3)),(VLOOKUP('20.03'!M60,'20.03'!$AO$4:$AQ$55,2,FALSE))*IF('20.03'!$AK60="是",'20.03'!$BB$4,'20.03'!$BB$3))</f>
        <v>0</v>
      </c>
      <c r="F60" s="4">
        <f>IF(ISNUMBER(SEARCH("营",'20.03'!N60)),(-$Y60+50*IF('20.03'!$AK60="是",'20.03'!$BB$4,'20.03'!$BB$3)),(VLOOKUP('20.03'!N60,'20.03'!$AO$4:$AQ$55,2,FALSE))*IF('20.03'!$AK60="是",'20.03'!$BB$4,'20.03'!$BB$3))</f>
        <v>0</v>
      </c>
      <c r="G60" s="4">
        <f>IF(ISNUMBER(SEARCH("营",'20.03'!O60)),(-$Y60+50*IF('20.03'!$AK60="是",'20.03'!$BB$4,'20.03'!$BB$3)),(VLOOKUP('20.03'!O60,'20.03'!$AO$4:$AQ$55,2,FALSE))*IF('20.03'!$AK60="是",'20.03'!$BB$4,'20.03'!$BB$3))</f>
        <v>0</v>
      </c>
      <c r="H60" s="4">
        <f>IF(ISNUMBER(SEARCH("营",'20.03'!P60)),(-$Y60+50*IF('20.03'!$AK60="是",'20.03'!$BB$4,'20.03'!$BB$3)),(VLOOKUP('20.03'!P60,'20.03'!$AO$4:$AQ$55,2,FALSE))*IF('20.03'!$AK60="是",'20.03'!$BB$4,'20.03'!$BB$3))</f>
        <v>0</v>
      </c>
      <c r="I60" s="4">
        <f>IF(ISNUMBER(SEARCH("营",'20.03'!Q60)),(-$Y60+50*IF('20.03'!$AK60="是",'20.03'!$BB$4,'20.03'!$BB$3)),(VLOOKUP('20.03'!Q60,'20.03'!$AO$4:$AQ$55,2,FALSE))*IF('20.03'!$AK60="是",'20.03'!$BB$4,'20.03'!$BB$3))</f>
        <v>0</v>
      </c>
      <c r="J60" s="4">
        <f>IF(ISNUMBER(SEARCH("营",'20.03'!R60)),(-$Y60+50*IF('20.03'!$AK60="是",'20.03'!$BB$4,'20.03'!$BB$3)),(VLOOKUP('20.03'!R60,'20.03'!$AO$4:$AQ$55,2,FALSE))*IF('20.03'!$AK60="是",'20.03'!$BB$4,'20.03'!$BB$3))</f>
        <v>0</v>
      </c>
      <c r="K60" s="4">
        <f>IF(ISNUMBER(SEARCH("营",'20.03'!S60)),(-$Y60+50*IF('20.03'!$AK60="是",'20.03'!$BB$4,'20.03'!$BB$3)),(VLOOKUP('20.03'!S60,'20.03'!$AO$4:$AQ$55,2,FALSE))*IF('20.03'!$AK60="是",'20.03'!$BB$4,'20.03'!$BB$3))</f>
        <v>0</v>
      </c>
      <c r="L60" s="4">
        <f>IF(ISNUMBER(SEARCH("营",'20.03'!T60)),(-$Y60+50*IF('20.03'!$AK60="是",'20.03'!$BB$4,'20.03'!$BB$3)),(VLOOKUP('20.03'!T60,'20.03'!$AO$4:$AQ$55,2,FALSE))*IF('20.03'!$AK60="是",'20.03'!$BB$4,'20.03'!$BB$3))</f>
        <v>0</v>
      </c>
      <c r="M60" s="4">
        <f>IF(ISNUMBER(SEARCH("营",'20.03'!U60)),(-$Y60+50*IF('20.03'!$AK60="是",'20.03'!$BB$4,'20.03'!$BB$3)),(VLOOKUP('20.03'!U60,'20.03'!$AO$4:$AQ$55,2,FALSE))*IF('20.03'!$AK60="是",'20.03'!$BB$4,'20.03'!$BB$3))</f>
        <v>0</v>
      </c>
      <c r="N60" s="4">
        <f>IF(ISNUMBER(SEARCH("营",'20.03'!V60)),(-$Y60+50*IF('20.03'!$AK60="是",'20.03'!$BB$4,'20.03'!$BB$3)),(VLOOKUP('20.03'!V60,'20.03'!$AO$4:$AQ$55,2,FALSE))*IF('20.03'!$AK60="是",'20.03'!$BB$4,'20.03'!$BB$3))</f>
        <v>0</v>
      </c>
      <c r="O60" s="4">
        <f>IF(ISNUMBER(SEARCH("营",'20.03'!W60)),(-$Y60+50*IF('20.03'!$AK60="是",'20.03'!$BB$4,'20.03'!$BB$3)),(VLOOKUP('20.03'!W60,'20.03'!$AO$4:$AQ$55,2,FALSE))*IF('20.03'!$AK60="是",'20.03'!$BB$4,'20.03'!$BB$3))</f>
        <v>0</v>
      </c>
      <c r="P60" s="4">
        <f>IF(ISNUMBER(SEARCH("营",'20.03'!X60)),(-$Y60+50*IF('20.03'!$AK60="是",'20.03'!$BB$4,'20.03'!$BB$3)),(VLOOKUP('20.03'!X60,'20.03'!$AO$4:$AQ$55,2,FALSE))*IF('20.03'!$AK60="是",'20.03'!$BB$4,'20.03'!$BB$3))</f>
        <v>0</v>
      </c>
      <c r="Q60" s="4">
        <f>IF(ISNUMBER(SEARCH("营",'20.03'!Y60)),(-$Y60+50*IF('20.03'!$AK60="是",'20.03'!$BB$4,'20.03'!$BB$3)),(VLOOKUP('20.03'!Y60,'20.03'!$AO$4:$AQ$55,2,FALSE))*IF('20.03'!$AK60="是",'20.03'!$BB$4,'20.03'!$BB$3))</f>
        <v>0</v>
      </c>
      <c r="R60" s="4">
        <f>IF(ISNUMBER(SEARCH("营",'20.03'!Z60)),(-$Y60+50*IF('20.03'!$AK60="是",'20.03'!$BB$4,'20.03'!$BB$3)),(VLOOKUP('20.03'!Z60,'20.03'!$AO$4:$AQ$55,2,FALSE))*IF('20.03'!$AK60="是",'20.03'!$BB$4,'20.03'!$BB$3))</f>
        <v>0</v>
      </c>
      <c r="S60" s="4">
        <f>IF(ISNUMBER(SEARCH("营",'20.03'!AA60)),(-$Y60+50*IF('20.03'!$AK60="是",'20.03'!$BB$4,'20.03'!$BB$3)),(VLOOKUP('20.03'!AA60,'20.03'!$AO$4:$AQ$55,2,FALSE))*IF('20.03'!$AK60="是",'20.03'!$BB$4,'20.03'!$BB$3))</f>
        <v>0</v>
      </c>
      <c r="T60" s="4">
        <f>IF(ISNUMBER(SEARCH("营",'20.03'!AB60)),(-$Y60+50*IF('20.03'!$AK60="是",'20.03'!$BB$4,'20.03'!$BB$3)),(VLOOKUP('20.03'!AB60,'20.03'!$AO$4:$AQ$55,2,FALSE))*IF('20.03'!$AK60="是",'20.03'!$BB$4,'20.03'!$BB$3))</f>
        <v>0</v>
      </c>
      <c r="U60" s="4">
        <f>IF(ISNUMBER(SEARCH("营",'20.03'!AC60)),(-$Y60+50*IF('20.03'!$AK60="是",'20.03'!$BB$4,'20.03'!$BB$3)),(VLOOKUP('20.03'!AC60,'20.03'!$AO$4:$AQ$55,2,FALSE))*IF('20.03'!$AK60="是",'20.03'!$BB$4,'20.03'!$BB$3))</f>
        <v>0</v>
      </c>
      <c r="V60" s="4">
        <f>IF(ISNUMBER(SEARCH("营",'20.03'!AD60)),(-$Y60+50*IF('20.03'!$AK60="是",'20.03'!$BB$4,'20.03'!$BB$3)),(VLOOKUP('20.03'!AD60,'20.03'!$AO$4:$AQ$55,2,FALSE))*IF('20.03'!$AK60="是",'20.03'!$BB$4,'20.03'!$BB$3))</f>
        <v>0</v>
      </c>
      <c r="W60" s="4">
        <f>IF(ISNUMBER(SEARCH("营",'20.03'!AE60)),(-$Y60+50*IF('20.03'!$AK60="是",'20.03'!$BB$4,'20.03'!$BB$3)),(VLOOKUP('20.03'!AE60,'20.03'!$AO$4:$AQ$55,2,FALSE))*IF('20.03'!$AK60="是",'20.03'!$BB$4,'20.03'!$BB$3))</f>
        <v>0</v>
      </c>
      <c r="X60" s="4">
        <f>IF(ISNUMBER(SEARCH("营",'20.03'!AF60)),(-$Y60+50*IF('20.03'!$AK60="是",'20.03'!$BB$4,'20.03'!$BB$3)),(VLOOKUP('20.03'!AF60,'20.03'!$AO$4:$AQ$55,2,FALSE))*IF('20.03'!$AK60="是",'20.03'!$BB$4,'20.03'!$BB$3))</f>
        <v>0</v>
      </c>
      <c r="Y60" s="63">
        <v>100</v>
      </c>
      <c r="Z60" s="94">
        <v>45877</v>
      </c>
    </row>
    <row r="61" spans="1:26">
      <c r="A61" s="4">
        <f>IF(ISNUMBER(SEARCH("营",'20.03'!I61)),(-$Y61+50*IF('20.03'!$AK61="是",'20.03'!$BB$4,'20.03'!$BB$3)),(VLOOKUP('20.03'!I61,'20.03'!$AO$4:$AQ$55,2,FALSE))*IF('20.03'!$AK61="是",'20.03'!$BB$4,'20.03'!$BB$3))</f>
        <v>0</v>
      </c>
      <c r="B61" s="4">
        <f>IF(ISNUMBER(SEARCH("营",'20.03'!J61)),(-$Y61+50*IF('20.03'!$AK61="是",'20.03'!$BB$4,'20.03'!$BB$3)),(VLOOKUP('20.03'!J61,'20.03'!$AO$4:$AQ$55,2,FALSE))*IF('20.03'!$AK61="是",'20.03'!$BB$4,'20.03'!$BB$3))</f>
        <v>0</v>
      </c>
      <c r="C61" s="4">
        <f>IF(ISNUMBER(SEARCH("营",'20.03'!K61)),(-$Y61+50*IF('20.03'!$AK61="是",'20.03'!$BB$4,'20.03'!$BB$3)),(VLOOKUP('20.03'!K61,'20.03'!$AO$4:$AQ$55,2,FALSE))*IF('20.03'!$AK61="是",'20.03'!$BB$4,'20.03'!$BB$3))</f>
        <v>0</v>
      </c>
      <c r="D61" s="4">
        <f>IF(ISNUMBER(SEARCH("营",'20.03'!L61)),(-$Y61+50*IF('20.03'!$AK61="是",'20.03'!$BB$4,'20.03'!$BB$3)),(VLOOKUP('20.03'!L61,'20.03'!$AO$4:$AQ$55,2,FALSE))*IF('20.03'!$AK61="是",'20.03'!$BB$4,'20.03'!$BB$3))</f>
        <v>0</v>
      </c>
      <c r="E61" s="4">
        <f>IF(ISNUMBER(SEARCH("营",'20.03'!M61)),(-$Y61+50*IF('20.03'!$AK61="是",'20.03'!$BB$4,'20.03'!$BB$3)),(VLOOKUP('20.03'!M61,'20.03'!$AO$4:$AQ$55,2,FALSE))*IF('20.03'!$AK61="是",'20.03'!$BB$4,'20.03'!$BB$3))</f>
        <v>0</v>
      </c>
      <c r="F61" s="4">
        <f>IF(ISNUMBER(SEARCH("营",'20.03'!N61)),(-$Y61+50*IF('20.03'!$AK61="是",'20.03'!$BB$4,'20.03'!$BB$3)),(VLOOKUP('20.03'!N61,'20.03'!$AO$4:$AQ$55,2,FALSE))*IF('20.03'!$AK61="是",'20.03'!$BB$4,'20.03'!$BB$3))</f>
        <v>0</v>
      </c>
      <c r="G61" s="4">
        <f>IF(ISNUMBER(SEARCH("营",'20.03'!O61)),(-$Y61+50*IF('20.03'!$AK61="是",'20.03'!$BB$4,'20.03'!$BB$3)),(VLOOKUP('20.03'!O61,'20.03'!$AO$4:$AQ$55,2,FALSE))*IF('20.03'!$AK61="是",'20.03'!$BB$4,'20.03'!$BB$3))</f>
        <v>0</v>
      </c>
      <c r="H61" s="4">
        <f>IF(ISNUMBER(SEARCH("营",'20.03'!P61)),(-$Y61+50*IF('20.03'!$AK61="是",'20.03'!$BB$4,'20.03'!$BB$3)),(VLOOKUP('20.03'!P61,'20.03'!$AO$4:$AQ$55,2,FALSE))*IF('20.03'!$AK61="是",'20.03'!$BB$4,'20.03'!$BB$3))</f>
        <v>0</v>
      </c>
      <c r="I61" s="4">
        <f>IF(ISNUMBER(SEARCH("营",'20.03'!Q61)),(-$Y61+50*IF('20.03'!$AK61="是",'20.03'!$BB$4,'20.03'!$BB$3)),(VLOOKUP('20.03'!Q61,'20.03'!$AO$4:$AQ$55,2,FALSE))*IF('20.03'!$AK61="是",'20.03'!$BB$4,'20.03'!$BB$3))</f>
        <v>0</v>
      </c>
      <c r="J61" s="4">
        <f>IF(ISNUMBER(SEARCH("营",'20.03'!R61)),(-$Y61+50*IF('20.03'!$AK61="是",'20.03'!$BB$4,'20.03'!$BB$3)),(VLOOKUP('20.03'!R61,'20.03'!$AO$4:$AQ$55,2,FALSE))*IF('20.03'!$AK61="是",'20.03'!$BB$4,'20.03'!$BB$3))</f>
        <v>0</v>
      </c>
      <c r="K61" s="4">
        <f>IF(ISNUMBER(SEARCH("营",'20.03'!S61)),(-$Y61+50*IF('20.03'!$AK61="是",'20.03'!$BB$4,'20.03'!$BB$3)),(VLOOKUP('20.03'!S61,'20.03'!$AO$4:$AQ$55,2,FALSE))*IF('20.03'!$AK61="是",'20.03'!$BB$4,'20.03'!$BB$3))</f>
        <v>0</v>
      </c>
      <c r="L61" s="4">
        <f>IF(ISNUMBER(SEARCH("营",'20.03'!T61)),(-$Y61+50*IF('20.03'!$AK61="是",'20.03'!$BB$4,'20.03'!$BB$3)),(VLOOKUP('20.03'!T61,'20.03'!$AO$4:$AQ$55,2,FALSE))*IF('20.03'!$AK61="是",'20.03'!$BB$4,'20.03'!$BB$3))</f>
        <v>0</v>
      </c>
      <c r="M61" s="4">
        <f>IF(ISNUMBER(SEARCH("营",'20.03'!U61)),(-$Y61+50*IF('20.03'!$AK61="是",'20.03'!$BB$4,'20.03'!$BB$3)),(VLOOKUP('20.03'!U61,'20.03'!$AO$4:$AQ$55,2,FALSE))*IF('20.03'!$AK61="是",'20.03'!$BB$4,'20.03'!$BB$3))</f>
        <v>0</v>
      </c>
      <c r="N61" s="4">
        <f>IF(ISNUMBER(SEARCH("营",'20.03'!V61)),(-$Y61+50*IF('20.03'!$AK61="是",'20.03'!$BB$4,'20.03'!$BB$3)),(VLOOKUP('20.03'!V61,'20.03'!$AO$4:$AQ$55,2,FALSE))*IF('20.03'!$AK61="是",'20.03'!$BB$4,'20.03'!$BB$3))</f>
        <v>0</v>
      </c>
      <c r="O61" s="4">
        <f>IF(ISNUMBER(SEARCH("营",'20.03'!W61)),(-$Y61+50*IF('20.03'!$AK61="是",'20.03'!$BB$4,'20.03'!$BB$3)),(VLOOKUP('20.03'!W61,'20.03'!$AO$4:$AQ$55,2,FALSE))*IF('20.03'!$AK61="是",'20.03'!$BB$4,'20.03'!$BB$3))</f>
        <v>0</v>
      </c>
      <c r="P61" s="4">
        <f>IF(ISNUMBER(SEARCH("营",'20.03'!X61)),(-$Y61+50*IF('20.03'!$AK61="是",'20.03'!$BB$4,'20.03'!$BB$3)),(VLOOKUP('20.03'!X61,'20.03'!$AO$4:$AQ$55,2,FALSE))*IF('20.03'!$AK61="是",'20.03'!$BB$4,'20.03'!$BB$3))</f>
        <v>0</v>
      </c>
      <c r="Q61" s="4">
        <f>IF(ISNUMBER(SEARCH("营",'20.03'!Y61)),(-$Y61+50*IF('20.03'!$AK61="是",'20.03'!$BB$4,'20.03'!$BB$3)),(VLOOKUP('20.03'!Y61,'20.03'!$AO$4:$AQ$55,2,FALSE))*IF('20.03'!$AK61="是",'20.03'!$BB$4,'20.03'!$BB$3))</f>
        <v>0</v>
      </c>
      <c r="R61" s="4">
        <f>IF(ISNUMBER(SEARCH("营",'20.03'!Z61)),(-$Y61+50*IF('20.03'!$AK61="是",'20.03'!$BB$4,'20.03'!$BB$3)),(VLOOKUP('20.03'!Z61,'20.03'!$AO$4:$AQ$55,2,FALSE))*IF('20.03'!$AK61="是",'20.03'!$BB$4,'20.03'!$BB$3))</f>
        <v>0</v>
      </c>
      <c r="S61" s="4">
        <f>IF(ISNUMBER(SEARCH("营",'20.03'!AA61)),(-$Y61+50*IF('20.03'!$AK61="是",'20.03'!$BB$4,'20.03'!$BB$3)),(VLOOKUP('20.03'!AA61,'20.03'!$AO$4:$AQ$55,2,FALSE))*IF('20.03'!$AK61="是",'20.03'!$BB$4,'20.03'!$BB$3))</f>
        <v>0</v>
      </c>
      <c r="T61" s="4">
        <f>IF(ISNUMBER(SEARCH("营",'20.03'!AB61)),(-$Y61+50*IF('20.03'!$AK61="是",'20.03'!$BB$4,'20.03'!$BB$3)),(VLOOKUP('20.03'!AB61,'20.03'!$AO$4:$AQ$55,2,FALSE))*IF('20.03'!$AK61="是",'20.03'!$BB$4,'20.03'!$BB$3))</f>
        <v>0</v>
      </c>
      <c r="U61" s="4">
        <f>IF(ISNUMBER(SEARCH("营",'20.03'!AC61)),(-$Y61+50*IF('20.03'!$AK61="是",'20.03'!$BB$4,'20.03'!$BB$3)),(VLOOKUP('20.03'!AC61,'20.03'!$AO$4:$AQ$55,2,FALSE))*IF('20.03'!$AK61="是",'20.03'!$BB$4,'20.03'!$BB$3))</f>
        <v>0</v>
      </c>
      <c r="V61" s="4">
        <f>IF(ISNUMBER(SEARCH("营",'20.03'!AD61)),(-$Y61+50*IF('20.03'!$AK61="是",'20.03'!$BB$4,'20.03'!$BB$3)),(VLOOKUP('20.03'!AD61,'20.03'!$AO$4:$AQ$55,2,FALSE))*IF('20.03'!$AK61="是",'20.03'!$BB$4,'20.03'!$BB$3))</f>
        <v>0</v>
      </c>
      <c r="W61" s="4">
        <f>IF(ISNUMBER(SEARCH("营",'20.03'!AE61)),(-$Y61+50*IF('20.03'!$AK61="是",'20.03'!$BB$4,'20.03'!$BB$3)),(VLOOKUP('20.03'!AE61,'20.03'!$AO$4:$AQ$55,2,FALSE))*IF('20.03'!$AK61="是",'20.03'!$BB$4,'20.03'!$BB$3))</f>
        <v>0</v>
      </c>
      <c r="X61" s="4">
        <f>IF(ISNUMBER(SEARCH("营",'20.03'!AF61)),(-$Y61+50*IF('20.03'!$AK61="是",'20.03'!$BB$4,'20.03'!$BB$3)),(VLOOKUP('20.03'!AF61,'20.03'!$AO$4:$AQ$55,2,FALSE))*IF('20.03'!$AK61="是",'20.03'!$BB$4,'20.03'!$BB$3))</f>
        <v>0</v>
      </c>
      <c r="Y61" s="63">
        <v>100</v>
      </c>
      <c r="Z61" s="94">
        <v>45878</v>
      </c>
    </row>
    <row r="62" spans="1:26">
      <c r="A62" s="4">
        <f>IF(ISNUMBER(SEARCH("营",'20.03'!I62)),(-$Y62+50*IF('20.03'!$AK62="是",'20.03'!$BB$4,'20.03'!$BB$3)),(VLOOKUP('20.03'!I62,'20.03'!$AO$4:$AQ$55,2,FALSE))*IF('20.03'!$AK62="是",'20.03'!$BB$4,'20.03'!$BB$3))</f>
        <v>0</v>
      </c>
      <c r="B62" s="4">
        <f>IF(ISNUMBER(SEARCH("营",'20.03'!J62)),(-$Y62+50*IF('20.03'!$AK62="是",'20.03'!$BB$4,'20.03'!$BB$3)),(VLOOKUP('20.03'!J62,'20.03'!$AO$4:$AQ$55,2,FALSE))*IF('20.03'!$AK62="是",'20.03'!$BB$4,'20.03'!$BB$3))</f>
        <v>0</v>
      </c>
      <c r="C62" s="4">
        <f>IF(ISNUMBER(SEARCH("营",'20.03'!K62)),(-$Y62+50*IF('20.03'!$AK62="是",'20.03'!$BB$4,'20.03'!$BB$3)),(VLOOKUP('20.03'!K62,'20.03'!$AO$4:$AQ$55,2,FALSE))*IF('20.03'!$AK62="是",'20.03'!$BB$4,'20.03'!$BB$3))</f>
        <v>0</v>
      </c>
      <c r="D62" s="4">
        <f>IF(ISNUMBER(SEARCH("营",'20.03'!L62)),(-$Y62+50*IF('20.03'!$AK62="是",'20.03'!$BB$4,'20.03'!$BB$3)),(VLOOKUP('20.03'!L62,'20.03'!$AO$4:$AQ$55,2,FALSE))*IF('20.03'!$AK62="是",'20.03'!$BB$4,'20.03'!$BB$3))</f>
        <v>0</v>
      </c>
      <c r="E62" s="4">
        <f>IF(ISNUMBER(SEARCH("营",'20.03'!M62)),(-$Y62+50*IF('20.03'!$AK62="是",'20.03'!$BB$4,'20.03'!$BB$3)),(VLOOKUP('20.03'!M62,'20.03'!$AO$4:$AQ$55,2,FALSE))*IF('20.03'!$AK62="是",'20.03'!$BB$4,'20.03'!$BB$3))</f>
        <v>0</v>
      </c>
      <c r="F62" s="4">
        <f>IF(ISNUMBER(SEARCH("营",'20.03'!N62)),(-$Y62+50*IF('20.03'!$AK62="是",'20.03'!$BB$4,'20.03'!$BB$3)),(VLOOKUP('20.03'!N62,'20.03'!$AO$4:$AQ$55,2,FALSE))*IF('20.03'!$AK62="是",'20.03'!$BB$4,'20.03'!$BB$3))</f>
        <v>0</v>
      </c>
      <c r="G62" s="4">
        <f>IF(ISNUMBER(SEARCH("营",'20.03'!O62)),(-$Y62+50*IF('20.03'!$AK62="是",'20.03'!$BB$4,'20.03'!$BB$3)),(VLOOKUP('20.03'!O62,'20.03'!$AO$4:$AQ$55,2,FALSE))*IF('20.03'!$AK62="是",'20.03'!$BB$4,'20.03'!$BB$3))</f>
        <v>0</v>
      </c>
      <c r="H62" s="4">
        <f>IF(ISNUMBER(SEARCH("营",'20.03'!P62)),(-$Y62+50*IF('20.03'!$AK62="是",'20.03'!$BB$4,'20.03'!$BB$3)),(VLOOKUP('20.03'!P62,'20.03'!$AO$4:$AQ$55,2,FALSE))*IF('20.03'!$AK62="是",'20.03'!$BB$4,'20.03'!$BB$3))</f>
        <v>0</v>
      </c>
      <c r="I62" s="4">
        <f>IF(ISNUMBER(SEARCH("营",'20.03'!Q62)),(-$Y62+50*IF('20.03'!$AK62="是",'20.03'!$BB$4,'20.03'!$BB$3)),(VLOOKUP('20.03'!Q62,'20.03'!$AO$4:$AQ$55,2,FALSE))*IF('20.03'!$AK62="是",'20.03'!$BB$4,'20.03'!$BB$3))</f>
        <v>0</v>
      </c>
      <c r="J62" s="4">
        <f>IF(ISNUMBER(SEARCH("营",'20.03'!R62)),(-$Y62+50*IF('20.03'!$AK62="是",'20.03'!$BB$4,'20.03'!$BB$3)),(VLOOKUP('20.03'!R62,'20.03'!$AO$4:$AQ$55,2,FALSE))*IF('20.03'!$AK62="是",'20.03'!$BB$4,'20.03'!$BB$3))</f>
        <v>0</v>
      </c>
      <c r="K62" s="4">
        <f>IF(ISNUMBER(SEARCH("营",'20.03'!S62)),(-$Y62+50*IF('20.03'!$AK62="是",'20.03'!$BB$4,'20.03'!$BB$3)),(VLOOKUP('20.03'!S62,'20.03'!$AO$4:$AQ$55,2,FALSE))*IF('20.03'!$AK62="是",'20.03'!$BB$4,'20.03'!$BB$3))</f>
        <v>0</v>
      </c>
      <c r="L62" s="4">
        <f>IF(ISNUMBER(SEARCH("营",'20.03'!T62)),(-$Y62+50*IF('20.03'!$AK62="是",'20.03'!$BB$4,'20.03'!$BB$3)),(VLOOKUP('20.03'!T62,'20.03'!$AO$4:$AQ$55,2,FALSE))*IF('20.03'!$AK62="是",'20.03'!$BB$4,'20.03'!$BB$3))</f>
        <v>0</v>
      </c>
      <c r="M62" s="4">
        <f>IF(ISNUMBER(SEARCH("营",'20.03'!U62)),(-$Y62+50*IF('20.03'!$AK62="是",'20.03'!$BB$4,'20.03'!$BB$3)),(VLOOKUP('20.03'!U62,'20.03'!$AO$4:$AQ$55,2,FALSE))*IF('20.03'!$AK62="是",'20.03'!$BB$4,'20.03'!$BB$3))</f>
        <v>0</v>
      </c>
      <c r="N62" s="4">
        <f>IF(ISNUMBER(SEARCH("营",'20.03'!V62)),(-$Y62+50*IF('20.03'!$AK62="是",'20.03'!$BB$4,'20.03'!$BB$3)),(VLOOKUP('20.03'!V62,'20.03'!$AO$4:$AQ$55,2,FALSE))*IF('20.03'!$AK62="是",'20.03'!$BB$4,'20.03'!$BB$3))</f>
        <v>0</v>
      </c>
      <c r="O62" s="4">
        <f>IF(ISNUMBER(SEARCH("营",'20.03'!W62)),(-$Y62+50*IF('20.03'!$AK62="是",'20.03'!$BB$4,'20.03'!$BB$3)),(VLOOKUP('20.03'!W62,'20.03'!$AO$4:$AQ$55,2,FALSE))*IF('20.03'!$AK62="是",'20.03'!$BB$4,'20.03'!$BB$3))</f>
        <v>0</v>
      </c>
      <c r="P62" s="4">
        <f>IF(ISNUMBER(SEARCH("营",'20.03'!X62)),(-$Y62+50*IF('20.03'!$AK62="是",'20.03'!$BB$4,'20.03'!$BB$3)),(VLOOKUP('20.03'!X62,'20.03'!$AO$4:$AQ$55,2,FALSE))*IF('20.03'!$AK62="是",'20.03'!$BB$4,'20.03'!$BB$3))</f>
        <v>0</v>
      </c>
      <c r="Q62" s="4">
        <f>IF(ISNUMBER(SEARCH("营",'20.03'!Y62)),(-$Y62+50*IF('20.03'!$AK62="是",'20.03'!$BB$4,'20.03'!$BB$3)),(VLOOKUP('20.03'!Y62,'20.03'!$AO$4:$AQ$55,2,FALSE))*IF('20.03'!$AK62="是",'20.03'!$BB$4,'20.03'!$BB$3))</f>
        <v>0</v>
      </c>
      <c r="R62" s="4">
        <f>IF(ISNUMBER(SEARCH("营",'20.03'!Z62)),(-$Y62+50*IF('20.03'!$AK62="是",'20.03'!$BB$4,'20.03'!$BB$3)),(VLOOKUP('20.03'!Z62,'20.03'!$AO$4:$AQ$55,2,FALSE))*IF('20.03'!$AK62="是",'20.03'!$BB$4,'20.03'!$BB$3))</f>
        <v>0</v>
      </c>
      <c r="S62" s="4">
        <f>IF(ISNUMBER(SEARCH("营",'20.03'!AA62)),(-$Y62+50*IF('20.03'!$AK62="是",'20.03'!$BB$4,'20.03'!$BB$3)),(VLOOKUP('20.03'!AA62,'20.03'!$AO$4:$AQ$55,2,FALSE))*IF('20.03'!$AK62="是",'20.03'!$BB$4,'20.03'!$BB$3))</f>
        <v>0</v>
      </c>
      <c r="T62" s="4">
        <f>IF(ISNUMBER(SEARCH("营",'20.03'!AB62)),(-$Y62+50*IF('20.03'!$AK62="是",'20.03'!$BB$4,'20.03'!$BB$3)),(VLOOKUP('20.03'!AB62,'20.03'!$AO$4:$AQ$55,2,FALSE))*IF('20.03'!$AK62="是",'20.03'!$BB$4,'20.03'!$BB$3))</f>
        <v>0</v>
      </c>
      <c r="U62" s="4">
        <f>IF(ISNUMBER(SEARCH("营",'20.03'!AC62)),(-$Y62+50*IF('20.03'!$AK62="是",'20.03'!$BB$4,'20.03'!$BB$3)),(VLOOKUP('20.03'!AC62,'20.03'!$AO$4:$AQ$55,2,FALSE))*IF('20.03'!$AK62="是",'20.03'!$BB$4,'20.03'!$BB$3))</f>
        <v>0</v>
      </c>
      <c r="V62" s="4">
        <f>IF(ISNUMBER(SEARCH("营",'20.03'!AD62)),(-$Y62+50*IF('20.03'!$AK62="是",'20.03'!$BB$4,'20.03'!$BB$3)),(VLOOKUP('20.03'!AD62,'20.03'!$AO$4:$AQ$55,2,FALSE))*IF('20.03'!$AK62="是",'20.03'!$BB$4,'20.03'!$BB$3))</f>
        <v>0</v>
      </c>
      <c r="W62" s="4">
        <f>IF(ISNUMBER(SEARCH("营",'20.03'!AE62)),(-$Y62+50*IF('20.03'!$AK62="是",'20.03'!$BB$4,'20.03'!$BB$3)),(VLOOKUP('20.03'!AE62,'20.03'!$AO$4:$AQ$55,2,FALSE))*IF('20.03'!$AK62="是",'20.03'!$BB$4,'20.03'!$BB$3))</f>
        <v>0</v>
      </c>
      <c r="X62" s="4">
        <f>IF(ISNUMBER(SEARCH("营",'20.03'!AF62)),(-$Y62+50*IF('20.03'!$AK62="是",'20.03'!$BB$4,'20.03'!$BB$3)),(VLOOKUP('20.03'!AF62,'20.03'!$AO$4:$AQ$55,2,FALSE))*IF('20.03'!$AK62="是",'20.03'!$BB$4,'20.03'!$BB$3))</f>
        <v>0</v>
      </c>
      <c r="Y62" s="63">
        <v>100</v>
      </c>
      <c r="Z62" s="94">
        <v>45879</v>
      </c>
    </row>
    <row r="63" spans="1:26">
      <c r="A63" s="4">
        <f>IF(ISNUMBER(SEARCH("营",'20.03'!I63)),(-$Y63+50*IF('20.03'!$AK63="是",'20.03'!$BB$4,'20.03'!$BB$3)),(VLOOKUP('20.03'!I63,'20.03'!$AO$4:$AQ$55,2,FALSE))*IF('20.03'!$AK63="是",'20.03'!$BB$4,'20.03'!$BB$3))</f>
        <v>0</v>
      </c>
      <c r="B63" s="4">
        <f>IF(ISNUMBER(SEARCH("营",'20.03'!J63)),(-$Y63+50*IF('20.03'!$AK63="是",'20.03'!$BB$4,'20.03'!$BB$3)),(VLOOKUP('20.03'!J63,'20.03'!$AO$4:$AQ$55,2,FALSE))*IF('20.03'!$AK63="是",'20.03'!$BB$4,'20.03'!$BB$3))</f>
        <v>0</v>
      </c>
      <c r="C63" s="4">
        <f>IF(ISNUMBER(SEARCH("营",'20.03'!K63)),(-$Y63+50*IF('20.03'!$AK63="是",'20.03'!$BB$4,'20.03'!$BB$3)),(VLOOKUP('20.03'!K63,'20.03'!$AO$4:$AQ$55,2,FALSE))*IF('20.03'!$AK63="是",'20.03'!$BB$4,'20.03'!$BB$3))</f>
        <v>0</v>
      </c>
      <c r="D63" s="4">
        <f>IF(ISNUMBER(SEARCH("营",'20.03'!L63)),(-$Y63+50*IF('20.03'!$AK63="是",'20.03'!$BB$4,'20.03'!$BB$3)),(VLOOKUP('20.03'!L63,'20.03'!$AO$4:$AQ$55,2,FALSE))*IF('20.03'!$AK63="是",'20.03'!$BB$4,'20.03'!$BB$3))</f>
        <v>0</v>
      </c>
      <c r="E63" s="4">
        <f>IF(ISNUMBER(SEARCH("营",'20.03'!M63)),(-$Y63+50*IF('20.03'!$AK63="是",'20.03'!$BB$4,'20.03'!$BB$3)),(VLOOKUP('20.03'!M63,'20.03'!$AO$4:$AQ$55,2,FALSE))*IF('20.03'!$AK63="是",'20.03'!$BB$4,'20.03'!$BB$3))</f>
        <v>0</v>
      </c>
      <c r="F63" s="4">
        <f>IF(ISNUMBER(SEARCH("营",'20.03'!N63)),(-$Y63+50*IF('20.03'!$AK63="是",'20.03'!$BB$4,'20.03'!$BB$3)),(VLOOKUP('20.03'!N63,'20.03'!$AO$4:$AQ$55,2,FALSE))*IF('20.03'!$AK63="是",'20.03'!$BB$4,'20.03'!$BB$3))</f>
        <v>0</v>
      </c>
      <c r="G63" s="4">
        <f>IF(ISNUMBER(SEARCH("营",'20.03'!O63)),(-$Y63+50*IF('20.03'!$AK63="是",'20.03'!$BB$4,'20.03'!$BB$3)),(VLOOKUP('20.03'!O63,'20.03'!$AO$4:$AQ$55,2,FALSE))*IF('20.03'!$AK63="是",'20.03'!$BB$4,'20.03'!$BB$3))</f>
        <v>0</v>
      </c>
      <c r="H63" s="4">
        <f>IF(ISNUMBER(SEARCH("营",'20.03'!P63)),(-$Y63+50*IF('20.03'!$AK63="是",'20.03'!$BB$4,'20.03'!$BB$3)),(VLOOKUP('20.03'!P63,'20.03'!$AO$4:$AQ$55,2,FALSE))*IF('20.03'!$AK63="是",'20.03'!$BB$4,'20.03'!$BB$3))</f>
        <v>0</v>
      </c>
      <c r="I63" s="4">
        <f>IF(ISNUMBER(SEARCH("营",'20.03'!Q63)),(-$Y63+50*IF('20.03'!$AK63="是",'20.03'!$BB$4,'20.03'!$BB$3)),(VLOOKUP('20.03'!Q63,'20.03'!$AO$4:$AQ$55,2,FALSE))*IF('20.03'!$AK63="是",'20.03'!$BB$4,'20.03'!$BB$3))</f>
        <v>0</v>
      </c>
      <c r="J63" s="4">
        <f>IF(ISNUMBER(SEARCH("营",'20.03'!R63)),(-$Y63+50*IF('20.03'!$AK63="是",'20.03'!$BB$4,'20.03'!$BB$3)),(VLOOKUP('20.03'!R63,'20.03'!$AO$4:$AQ$55,2,FALSE))*IF('20.03'!$AK63="是",'20.03'!$BB$4,'20.03'!$BB$3))</f>
        <v>0</v>
      </c>
      <c r="K63" s="4">
        <f>IF(ISNUMBER(SEARCH("营",'20.03'!S63)),(-$Y63+50*IF('20.03'!$AK63="是",'20.03'!$BB$4,'20.03'!$BB$3)),(VLOOKUP('20.03'!S63,'20.03'!$AO$4:$AQ$55,2,FALSE))*IF('20.03'!$AK63="是",'20.03'!$BB$4,'20.03'!$BB$3))</f>
        <v>0</v>
      </c>
      <c r="L63" s="4">
        <f>IF(ISNUMBER(SEARCH("营",'20.03'!T63)),(-$Y63+50*IF('20.03'!$AK63="是",'20.03'!$BB$4,'20.03'!$BB$3)),(VLOOKUP('20.03'!T63,'20.03'!$AO$4:$AQ$55,2,FALSE))*IF('20.03'!$AK63="是",'20.03'!$BB$4,'20.03'!$BB$3))</f>
        <v>0</v>
      </c>
      <c r="M63" s="4">
        <f>IF(ISNUMBER(SEARCH("营",'20.03'!U63)),(-$Y63+50*IF('20.03'!$AK63="是",'20.03'!$BB$4,'20.03'!$BB$3)),(VLOOKUP('20.03'!U63,'20.03'!$AO$4:$AQ$55,2,FALSE))*IF('20.03'!$AK63="是",'20.03'!$BB$4,'20.03'!$BB$3))</f>
        <v>0</v>
      </c>
      <c r="N63" s="4">
        <f>IF(ISNUMBER(SEARCH("营",'20.03'!V63)),(-$Y63+50*IF('20.03'!$AK63="是",'20.03'!$BB$4,'20.03'!$BB$3)),(VLOOKUP('20.03'!V63,'20.03'!$AO$4:$AQ$55,2,FALSE))*IF('20.03'!$AK63="是",'20.03'!$BB$4,'20.03'!$BB$3))</f>
        <v>0</v>
      </c>
      <c r="O63" s="4">
        <f>IF(ISNUMBER(SEARCH("营",'20.03'!W63)),(-$Y63+50*IF('20.03'!$AK63="是",'20.03'!$BB$4,'20.03'!$BB$3)),(VLOOKUP('20.03'!W63,'20.03'!$AO$4:$AQ$55,2,FALSE))*IF('20.03'!$AK63="是",'20.03'!$BB$4,'20.03'!$BB$3))</f>
        <v>0</v>
      </c>
      <c r="P63" s="4">
        <f>IF(ISNUMBER(SEARCH("营",'20.03'!X63)),(-$Y63+50*IF('20.03'!$AK63="是",'20.03'!$BB$4,'20.03'!$BB$3)),(VLOOKUP('20.03'!X63,'20.03'!$AO$4:$AQ$55,2,FALSE))*IF('20.03'!$AK63="是",'20.03'!$BB$4,'20.03'!$BB$3))</f>
        <v>0</v>
      </c>
      <c r="Q63" s="4">
        <f>IF(ISNUMBER(SEARCH("营",'20.03'!Y63)),(-$Y63+50*IF('20.03'!$AK63="是",'20.03'!$BB$4,'20.03'!$BB$3)),(VLOOKUP('20.03'!Y63,'20.03'!$AO$4:$AQ$55,2,FALSE))*IF('20.03'!$AK63="是",'20.03'!$BB$4,'20.03'!$BB$3))</f>
        <v>0</v>
      </c>
      <c r="R63" s="4">
        <f>IF(ISNUMBER(SEARCH("营",'20.03'!Z63)),(-$Y63+50*IF('20.03'!$AK63="是",'20.03'!$BB$4,'20.03'!$BB$3)),(VLOOKUP('20.03'!Z63,'20.03'!$AO$4:$AQ$55,2,FALSE))*IF('20.03'!$AK63="是",'20.03'!$BB$4,'20.03'!$BB$3))</f>
        <v>0</v>
      </c>
      <c r="S63" s="4">
        <f>IF(ISNUMBER(SEARCH("营",'20.03'!AA63)),(-$Y63+50*IF('20.03'!$AK63="是",'20.03'!$BB$4,'20.03'!$BB$3)),(VLOOKUP('20.03'!AA63,'20.03'!$AO$4:$AQ$55,2,FALSE))*IF('20.03'!$AK63="是",'20.03'!$BB$4,'20.03'!$BB$3))</f>
        <v>0</v>
      </c>
      <c r="T63" s="4">
        <f>IF(ISNUMBER(SEARCH("营",'20.03'!AB63)),(-$Y63+50*IF('20.03'!$AK63="是",'20.03'!$BB$4,'20.03'!$BB$3)),(VLOOKUP('20.03'!AB63,'20.03'!$AO$4:$AQ$55,2,FALSE))*IF('20.03'!$AK63="是",'20.03'!$BB$4,'20.03'!$BB$3))</f>
        <v>0</v>
      </c>
      <c r="U63" s="4">
        <f>IF(ISNUMBER(SEARCH("营",'20.03'!AC63)),(-$Y63+50*IF('20.03'!$AK63="是",'20.03'!$BB$4,'20.03'!$BB$3)),(VLOOKUP('20.03'!AC63,'20.03'!$AO$4:$AQ$55,2,FALSE))*IF('20.03'!$AK63="是",'20.03'!$BB$4,'20.03'!$BB$3))</f>
        <v>0</v>
      </c>
      <c r="V63" s="4">
        <f>IF(ISNUMBER(SEARCH("营",'20.03'!AD63)),(-$Y63+50*IF('20.03'!$AK63="是",'20.03'!$BB$4,'20.03'!$BB$3)),(VLOOKUP('20.03'!AD63,'20.03'!$AO$4:$AQ$55,2,FALSE))*IF('20.03'!$AK63="是",'20.03'!$BB$4,'20.03'!$BB$3))</f>
        <v>0</v>
      </c>
      <c r="W63" s="4">
        <f>IF(ISNUMBER(SEARCH("营",'20.03'!AE63)),(-$Y63+50*IF('20.03'!$AK63="是",'20.03'!$BB$4,'20.03'!$BB$3)),(VLOOKUP('20.03'!AE63,'20.03'!$AO$4:$AQ$55,2,FALSE))*IF('20.03'!$AK63="是",'20.03'!$BB$4,'20.03'!$BB$3))</f>
        <v>0</v>
      </c>
      <c r="X63" s="4">
        <f>IF(ISNUMBER(SEARCH("营",'20.03'!AF63)),(-$Y63+50*IF('20.03'!$AK63="是",'20.03'!$BB$4,'20.03'!$BB$3)),(VLOOKUP('20.03'!AF63,'20.03'!$AO$4:$AQ$55,2,FALSE))*IF('20.03'!$AK63="是",'20.03'!$BB$4,'20.03'!$BB$3))</f>
        <v>0</v>
      </c>
      <c r="Y63" s="63">
        <v>100</v>
      </c>
      <c r="Z63" s="94">
        <v>45880</v>
      </c>
    </row>
    <row r="64" spans="1:26">
      <c r="A64" s="4">
        <f>IF(ISNUMBER(SEARCH("营",'20.03'!I64)),(-$Y64+50*IF('20.03'!$AK64="是",'20.03'!$BB$4,'20.03'!$BB$3)),(VLOOKUP('20.03'!I64,'20.03'!$AO$4:$AQ$55,2,FALSE))*IF('20.03'!$AK64="是",'20.03'!$BB$4,'20.03'!$BB$3))</f>
        <v>0</v>
      </c>
      <c r="B64" s="4">
        <f>IF(ISNUMBER(SEARCH("营",'20.03'!J64)),(-$Y64+50*IF('20.03'!$AK64="是",'20.03'!$BB$4,'20.03'!$BB$3)),(VLOOKUP('20.03'!J64,'20.03'!$AO$4:$AQ$55,2,FALSE))*IF('20.03'!$AK64="是",'20.03'!$BB$4,'20.03'!$BB$3))</f>
        <v>0</v>
      </c>
      <c r="C64" s="4">
        <f>IF(ISNUMBER(SEARCH("营",'20.03'!K64)),(-$Y64+50*IF('20.03'!$AK64="是",'20.03'!$BB$4,'20.03'!$BB$3)),(VLOOKUP('20.03'!K64,'20.03'!$AO$4:$AQ$55,2,FALSE))*IF('20.03'!$AK64="是",'20.03'!$BB$4,'20.03'!$BB$3))</f>
        <v>0</v>
      </c>
      <c r="D64" s="4">
        <f>IF(ISNUMBER(SEARCH("营",'20.03'!L64)),(-$Y64+50*IF('20.03'!$AK64="是",'20.03'!$BB$4,'20.03'!$BB$3)),(VLOOKUP('20.03'!L64,'20.03'!$AO$4:$AQ$55,2,FALSE))*IF('20.03'!$AK64="是",'20.03'!$BB$4,'20.03'!$BB$3))</f>
        <v>0</v>
      </c>
      <c r="E64" s="4">
        <f>IF(ISNUMBER(SEARCH("营",'20.03'!M64)),(-$Y64+50*IF('20.03'!$AK64="是",'20.03'!$BB$4,'20.03'!$BB$3)),(VLOOKUP('20.03'!M64,'20.03'!$AO$4:$AQ$55,2,FALSE))*IF('20.03'!$AK64="是",'20.03'!$BB$4,'20.03'!$BB$3))</f>
        <v>0</v>
      </c>
      <c r="F64" s="4">
        <f>IF(ISNUMBER(SEARCH("营",'20.03'!N64)),(-$Y64+50*IF('20.03'!$AK64="是",'20.03'!$BB$4,'20.03'!$BB$3)),(VLOOKUP('20.03'!N64,'20.03'!$AO$4:$AQ$55,2,FALSE))*IF('20.03'!$AK64="是",'20.03'!$BB$4,'20.03'!$BB$3))</f>
        <v>0</v>
      </c>
      <c r="G64" s="4">
        <f>IF(ISNUMBER(SEARCH("营",'20.03'!O64)),(-$Y64+50*IF('20.03'!$AK64="是",'20.03'!$BB$4,'20.03'!$BB$3)),(VLOOKUP('20.03'!O64,'20.03'!$AO$4:$AQ$55,2,FALSE))*IF('20.03'!$AK64="是",'20.03'!$BB$4,'20.03'!$BB$3))</f>
        <v>0</v>
      </c>
      <c r="H64" s="4">
        <f>IF(ISNUMBER(SEARCH("营",'20.03'!P64)),(-$Y64+50*IF('20.03'!$AK64="是",'20.03'!$BB$4,'20.03'!$BB$3)),(VLOOKUP('20.03'!P64,'20.03'!$AO$4:$AQ$55,2,FALSE))*IF('20.03'!$AK64="是",'20.03'!$BB$4,'20.03'!$BB$3))</f>
        <v>0</v>
      </c>
      <c r="I64" s="4">
        <f>IF(ISNUMBER(SEARCH("营",'20.03'!Q64)),(-$Y64+50*IF('20.03'!$AK64="是",'20.03'!$BB$4,'20.03'!$BB$3)),(VLOOKUP('20.03'!Q64,'20.03'!$AO$4:$AQ$55,2,FALSE))*IF('20.03'!$AK64="是",'20.03'!$BB$4,'20.03'!$BB$3))</f>
        <v>0</v>
      </c>
      <c r="J64" s="4">
        <f>IF(ISNUMBER(SEARCH("营",'20.03'!R64)),(-$Y64+50*IF('20.03'!$AK64="是",'20.03'!$BB$4,'20.03'!$BB$3)),(VLOOKUP('20.03'!R64,'20.03'!$AO$4:$AQ$55,2,FALSE))*IF('20.03'!$AK64="是",'20.03'!$BB$4,'20.03'!$BB$3))</f>
        <v>0</v>
      </c>
      <c r="K64" s="4">
        <f>IF(ISNUMBER(SEARCH("营",'20.03'!S64)),(-$Y64+50*IF('20.03'!$AK64="是",'20.03'!$BB$4,'20.03'!$BB$3)),(VLOOKUP('20.03'!S64,'20.03'!$AO$4:$AQ$55,2,FALSE))*IF('20.03'!$AK64="是",'20.03'!$BB$4,'20.03'!$BB$3))</f>
        <v>0</v>
      </c>
      <c r="L64" s="4">
        <f>IF(ISNUMBER(SEARCH("营",'20.03'!T64)),(-$Y64+50*IF('20.03'!$AK64="是",'20.03'!$BB$4,'20.03'!$BB$3)),(VLOOKUP('20.03'!T64,'20.03'!$AO$4:$AQ$55,2,FALSE))*IF('20.03'!$AK64="是",'20.03'!$BB$4,'20.03'!$BB$3))</f>
        <v>0</v>
      </c>
      <c r="M64" s="4">
        <f>IF(ISNUMBER(SEARCH("营",'20.03'!U64)),(-$Y64+50*IF('20.03'!$AK64="是",'20.03'!$BB$4,'20.03'!$BB$3)),(VLOOKUP('20.03'!U64,'20.03'!$AO$4:$AQ$55,2,FALSE))*IF('20.03'!$AK64="是",'20.03'!$BB$4,'20.03'!$BB$3))</f>
        <v>0</v>
      </c>
      <c r="N64" s="4">
        <f>IF(ISNUMBER(SEARCH("营",'20.03'!V64)),(-$Y64+50*IF('20.03'!$AK64="是",'20.03'!$BB$4,'20.03'!$BB$3)),(VLOOKUP('20.03'!V64,'20.03'!$AO$4:$AQ$55,2,FALSE))*IF('20.03'!$AK64="是",'20.03'!$BB$4,'20.03'!$BB$3))</f>
        <v>0</v>
      </c>
      <c r="O64" s="4">
        <f>IF(ISNUMBER(SEARCH("营",'20.03'!W64)),(-$Y64+50*IF('20.03'!$AK64="是",'20.03'!$BB$4,'20.03'!$BB$3)),(VLOOKUP('20.03'!W64,'20.03'!$AO$4:$AQ$55,2,FALSE))*IF('20.03'!$AK64="是",'20.03'!$BB$4,'20.03'!$BB$3))</f>
        <v>0</v>
      </c>
      <c r="P64" s="4">
        <f>IF(ISNUMBER(SEARCH("营",'20.03'!X64)),(-$Y64+50*IF('20.03'!$AK64="是",'20.03'!$BB$4,'20.03'!$BB$3)),(VLOOKUP('20.03'!X64,'20.03'!$AO$4:$AQ$55,2,FALSE))*IF('20.03'!$AK64="是",'20.03'!$BB$4,'20.03'!$BB$3))</f>
        <v>0</v>
      </c>
      <c r="Q64" s="4">
        <f>IF(ISNUMBER(SEARCH("营",'20.03'!Y64)),(-$Y64+50*IF('20.03'!$AK64="是",'20.03'!$BB$4,'20.03'!$BB$3)),(VLOOKUP('20.03'!Y64,'20.03'!$AO$4:$AQ$55,2,FALSE))*IF('20.03'!$AK64="是",'20.03'!$BB$4,'20.03'!$BB$3))</f>
        <v>0</v>
      </c>
      <c r="R64" s="4">
        <f>IF(ISNUMBER(SEARCH("营",'20.03'!Z64)),(-$Y64+50*IF('20.03'!$AK64="是",'20.03'!$BB$4,'20.03'!$BB$3)),(VLOOKUP('20.03'!Z64,'20.03'!$AO$4:$AQ$55,2,FALSE))*IF('20.03'!$AK64="是",'20.03'!$BB$4,'20.03'!$BB$3))</f>
        <v>0</v>
      </c>
      <c r="S64" s="4">
        <f>IF(ISNUMBER(SEARCH("营",'20.03'!AA64)),(-$Y64+50*IF('20.03'!$AK64="是",'20.03'!$BB$4,'20.03'!$BB$3)),(VLOOKUP('20.03'!AA64,'20.03'!$AO$4:$AQ$55,2,FALSE))*IF('20.03'!$AK64="是",'20.03'!$BB$4,'20.03'!$BB$3))</f>
        <v>0</v>
      </c>
      <c r="T64" s="4">
        <f>IF(ISNUMBER(SEARCH("营",'20.03'!AB64)),(-$Y64+50*IF('20.03'!$AK64="是",'20.03'!$BB$4,'20.03'!$BB$3)),(VLOOKUP('20.03'!AB64,'20.03'!$AO$4:$AQ$55,2,FALSE))*IF('20.03'!$AK64="是",'20.03'!$BB$4,'20.03'!$BB$3))</f>
        <v>0</v>
      </c>
      <c r="U64" s="4">
        <f>IF(ISNUMBER(SEARCH("营",'20.03'!AC64)),(-$Y64+50*IF('20.03'!$AK64="是",'20.03'!$BB$4,'20.03'!$BB$3)),(VLOOKUP('20.03'!AC64,'20.03'!$AO$4:$AQ$55,2,FALSE))*IF('20.03'!$AK64="是",'20.03'!$BB$4,'20.03'!$BB$3))</f>
        <v>0</v>
      </c>
      <c r="V64" s="4">
        <f>IF(ISNUMBER(SEARCH("营",'20.03'!AD64)),(-$Y64+50*IF('20.03'!$AK64="是",'20.03'!$BB$4,'20.03'!$BB$3)),(VLOOKUP('20.03'!AD64,'20.03'!$AO$4:$AQ$55,2,FALSE))*IF('20.03'!$AK64="是",'20.03'!$BB$4,'20.03'!$BB$3))</f>
        <v>0</v>
      </c>
      <c r="W64" s="4">
        <f>IF(ISNUMBER(SEARCH("营",'20.03'!AE64)),(-$Y64+50*IF('20.03'!$AK64="是",'20.03'!$BB$4,'20.03'!$BB$3)),(VLOOKUP('20.03'!AE64,'20.03'!$AO$4:$AQ$55,2,FALSE))*IF('20.03'!$AK64="是",'20.03'!$BB$4,'20.03'!$BB$3))</f>
        <v>0</v>
      </c>
      <c r="X64" s="4">
        <f>IF(ISNUMBER(SEARCH("营",'20.03'!AF64)),(-$Y64+50*IF('20.03'!$AK64="是",'20.03'!$BB$4,'20.03'!$BB$3)),(VLOOKUP('20.03'!AF64,'20.03'!$AO$4:$AQ$55,2,FALSE))*IF('20.03'!$AK64="是",'20.03'!$BB$4,'20.03'!$BB$3))</f>
        <v>0</v>
      </c>
      <c r="Y64" s="63">
        <v>100</v>
      </c>
      <c r="Z64" s="94">
        <v>45881</v>
      </c>
    </row>
    <row r="65" spans="1:26">
      <c r="A65" s="4">
        <f>IF(ISNUMBER(SEARCH("营",'20.03'!I65)),(-$Y65+50*IF('20.03'!$AK65="是",'20.03'!$BB$4,'20.03'!$BB$3)),(VLOOKUP('20.03'!I65,'20.03'!$AO$4:$AQ$55,2,FALSE))*IF('20.03'!$AK65="是",'20.03'!$BB$4,'20.03'!$BB$3))</f>
        <v>0</v>
      </c>
      <c r="B65" s="4">
        <f>IF(ISNUMBER(SEARCH("营",'20.03'!J65)),(-$Y65+50*IF('20.03'!$AK65="是",'20.03'!$BB$4,'20.03'!$BB$3)),(VLOOKUP('20.03'!J65,'20.03'!$AO$4:$AQ$55,2,FALSE))*IF('20.03'!$AK65="是",'20.03'!$BB$4,'20.03'!$BB$3))</f>
        <v>0</v>
      </c>
      <c r="C65" s="4">
        <f>IF(ISNUMBER(SEARCH("营",'20.03'!K65)),(-$Y65+50*IF('20.03'!$AK65="是",'20.03'!$BB$4,'20.03'!$BB$3)),(VLOOKUP('20.03'!K65,'20.03'!$AO$4:$AQ$55,2,FALSE))*IF('20.03'!$AK65="是",'20.03'!$BB$4,'20.03'!$BB$3))</f>
        <v>0</v>
      </c>
      <c r="D65" s="4">
        <f>IF(ISNUMBER(SEARCH("营",'20.03'!L65)),(-$Y65+50*IF('20.03'!$AK65="是",'20.03'!$BB$4,'20.03'!$BB$3)),(VLOOKUP('20.03'!L65,'20.03'!$AO$4:$AQ$55,2,FALSE))*IF('20.03'!$AK65="是",'20.03'!$BB$4,'20.03'!$BB$3))</f>
        <v>0</v>
      </c>
      <c r="E65" s="4">
        <f>IF(ISNUMBER(SEARCH("营",'20.03'!M65)),(-$Y65+50*IF('20.03'!$AK65="是",'20.03'!$BB$4,'20.03'!$BB$3)),(VLOOKUP('20.03'!M65,'20.03'!$AO$4:$AQ$55,2,FALSE))*IF('20.03'!$AK65="是",'20.03'!$BB$4,'20.03'!$BB$3))</f>
        <v>0</v>
      </c>
      <c r="F65" s="4">
        <f>IF(ISNUMBER(SEARCH("营",'20.03'!N65)),(-$Y65+50*IF('20.03'!$AK65="是",'20.03'!$BB$4,'20.03'!$BB$3)),(VLOOKUP('20.03'!N65,'20.03'!$AO$4:$AQ$55,2,FALSE))*IF('20.03'!$AK65="是",'20.03'!$BB$4,'20.03'!$BB$3))</f>
        <v>0</v>
      </c>
      <c r="G65" s="4">
        <f>IF(ISNUMBER(SEARCH("营",'20.03'!O65)),(-$Y65+50*IF('20.03'!$AK65="是",'20.03'!$BB$4,'20.03'!$BB$3)),(VLOOKUP('20.03'!O65,'20.03'!$AO$4:$AQ$55,2,FALSE))*IF('20.03'!$AK65="是",'20.03'!$BB$4,'20.03'!$BB$3))</f>
        <v>0</v>
      </c>
      <c r="H65" s="4">
        <f>IF(ISNUMBER(SEARCH("营",'20.03'!P65)),(-$Y65+50*IF('20.03'!$AK65="是",'20.03'!$BB$4,'20.03'!$BB$3)),(VLOOKUP('20.03'!P65,'20.03'!$AO$4:$AQ$55,2,FALSE))*IF('20.03'!$AK65="是",'20.03'!$BB$4,'20.03'!$BB$3))</f>
        <v>0</v>
      </c>
      <c r="I65" s="4">
        <f>IF(ISNUMBER(SEARCH("营",'20.03'!Q65)),(-$Y65+50*IF('20.03'!$AK65="是",'20.03'!$BB$4,'20.03'!$BB$3)),(VLOOKUP('20.03'!Q65,'20.03'!$AO$4:$AQ$55,2,FALSE))*IF('20.03'!$AK65="是",'20.03'!$BB$4,'20.03'!$BB$3))</f>
        <v>0</v>
      </c>
      <c r="J65" s="4">
        <f>IF(ISNUMBER(SEARCH("营",'20.03'!R65)),(-$Y65+50*IF('20.03'!$AK65="是",'20.03'!$BB$4,'20.03'!$BB$3)),(VLOOKUP('20.03'!R65,'20.03'!$AO$4:$AQ$55,2,FALSE))*IF('20.03'!$AK65="是",'20.03'!$BB$4,'20.03'!$BB$3))</f>
        <v>0</v>
      </c>
      <c r="K65" s="4">
        <f>IF(ISNUMBER(SEARCH("营",'20.03'!S65)),(-$Y65+50*IF('20.03'!$AK65="是",'20.03'!$BB$4,'20.03'!$BB$3)),(VLOOKUP('20.03'!S65,'20.03'!$AO$4:$AQ$55,2,FALSE))*IF('20.03'!$AK65="是",'20.03'!$BB$4,'20.03'!$BB$3))</f>
        <v>0</v>
      </c>
      <c r="L65" s="4">
        <f>IF(ISNUMBER(SEARCH("营",'20.03'!T65)),(-$Y65+50*IF('20.03'!$AK65="是",'20.03'!$BB$4,'20.03'!$BB$3)),(VLOOKUP('20.03'!T65,'20.03'!$AO$4:$AQ$55,2,FALSE))*IF('20.03'!$AK65="是",'20.03'!$BB$4,'20.03'!$BB$3))</f>
        <v>0</v>
      </c>
      <c r="M65" s="4">
        <f>IF(ISNUMBER(SEARCH("营",'20.03'!U65)),(-$Y65+50*IF('20.03'!$AK65="是",'20.03'!$BB$4,'20.03'!$BB$3)),(VLOOKUP('20.03'!U65,'20.03'!$AO$4:$AQ$55,2,FALSE))*IF('20.03'!$AK65="是",'20.03'!$BB$4,'20.03'!$BB$3))</f>
        <v>0</v>
      </c>
      <c r="N65" s="4">
        <f>IF(ISNUMBER(SEARCH("营",'20.03'!V65)),(-$Y65+50*IF('20.03'!$AK65="是",'20.03'!$BB$4,'20.03'!$BB$3)),(VLOOKUP('20.03'!V65,'20.03'!$AO$4:$AQ$55,2,FALSE))*IF('20.03'!$AK65="是",'20.03'!$BB$4,'20.03'!$BB$3))</f>
        <v>0</v>
      </c>
      <c r="O65" s="4">
        <f>IF(ISNUMBER(SEARCH("营",'20.03'!W65)),(-$Y65+50*IF('20.03'!$AK65="是",'20.03'!$BB$4,'20.03'!$BB$3)),(VLOOKUP('20.03'!W65,'20.03'!$AO$4:$AQ$55,2,FALSE))*IF('20.03'!$AK65="是",'20.03'!$BB$4,'20.03'!$BB$3))</f>
        <v>0</v>
      </c>
      <c r="P65" s="4">
        <f>IF(ISNUMBER(SEARCH("营",'20.03'!X65)),(-$Y65+50*IF('20.03'!$AK65="是",'20.03'!$BB$4,'20.03'!$BB$3)),(VLOOKUP('20.03'!X65,'20.03'!$AO$4:$AQ$55,2,FALSE))*IF('20.03'!$AK65="是",'20.03'!$BB$4,'20.03'!$BB$3))</f>
        <v>0</v>
      </c>
      <c r="Q65" s="4">
        <f>IF(ISNUMBER(SEARCH("营",'20.03'!Y65)),(-$Y65+50*IF('20.03'!$AK65="是",'20.03'!$BB$4,'20.03'!$BB$3)),(VLOOKUP('20.03'!Y65,'20.03'!$AO$4:$AQ$55,2,FALSE))*IF('20.03'!$AK65="是",'20.03'!$BB$4,'20.03'!$BB$3))</f>
        <v>0</v>
      </c>
      <c r="R65" s="4">
        <f>IF(ISNUMBER(SEARCH("营",'20.03'!Z65)),(-$Y65+50*IF('20.03'!$AK65="是",'20.03'!$BB$4,'20.03'!$BB$3)),(VLOOKUP('20.03'!Z65,'20.03'!$AO$4:$AQ$55,2,FALSE))*IF('20.03'!$AK65="是",'20.03'!$BB$4,'20.03'!$BB$3))</f>
        <v>0</v>
      </c>
      <c r="S65" s="4">
        <f>IF(ISNUMBER(SEARCH("营",'20.03'!AA65)),(-$Y65+50*IF('20.03'!$AK65="是",'20.03'!$BB$4,'20.03'!$BB$3)),(VLOOKUP('20.03'!AA65,'20.03'!$AO$4:$AQ$55,2,FALSE))*IF('20.03'!$AK65="是",'20.03'!$BB$4,'20.03'!$BB$3))</f>
        <v>0</v>
      </c>
      <c r="T65" s="4">
        <f>IF(ISNUMBER(SEARCH("营",'20.03'!AB65)),(-$Y65+50*IF('20.03'!$AK65="是",'20.03'!$BB$4,'20.03'!$BB$3)),(VLOOKUP('20.03'!AB65,'20.03'!$AO$4:$AQ$55,2,FALSE))*IF('20.03'!$AK65="是",'20.03'!$BB$4,'20.03'!$BB$3))</f>
        <v>0</v>
      </c>
      <c r="U65" s="4">
        <f>IF(ISNUMBER(SEARCH("营",'20.03'!AC65)),(-$Y65+50*IF('20.03'!$AK65="是",'20.03'!$BB$4,'20.03'!$BB$3)),(VLOOKUP('20.03'!AC65,'20.03'!$AO$4:$AQ$55,2,FALSE))*IF('20.03'!$AK65="是",'20.03'!$BB$4,'20.03'!$BB$3))</f>
        <v>0</v>
      </c>
      <c r="V65" s="4">
        <f>IF(ISNUMBER(SEARCH("营",'20.03'!AD65)),(-$Y65+50*IF('20.03'!$AK65="是",'20.03'!$BB$4,'20.03'!$BB$3)),(VLOOKUP('20.03'!AD65,'20.03'!$AO$4:$AQ$55,2,FALSE))*IF('20.03'!$AK65="是",'20.03'!$BB$4,'20.03'!$BB$3))</f>
        <v>0</v>
      </c>
      <c r="W65" s="4">
        <f>IF(ISNUMBER(SEARCH("营",'20.03'!AE65)),(-$Y65+50*IF('20.03'!$AK65="是",'20.03'!$BB$4,'20.03'!$BB$3)),(VLOOKUP('20.03'!AE65,'20.03'!$AO$4:$AQ$55,2,FALSE))*IF('20.03'!$AK65="是",'20.03'!$BB$4,'20.03'!$BB$3))</f>
        <v>0</v>
      </c>
      <c r="X65" s="4">
        <f>IF(ISNUMBER(SEARCH("营",'20.03'!AF65)),(-$Y65+50*IF('20.03'!$AK65="是",'20.03'!$BB$4,'20.03'!$BB$3)),(VLOOKUP('20.03'!AF65,'20.03'!$AO$4:$AQ$55,2,FALSE))*IF('20.03'!$AK65="是",'20.03'!$BB$4,'20.03'!$BB$3))</f>
        <v>0</v>
      </c>
      <c r="Y65" s="63">
        <v>100</v>
      </c>
      <c r="Z65" s="94">
        <v>45882</v>
      </c>
    </row>
    <row r="66" spans="1:26">
      <c r="A66" s="4">
        <f>IF(ISNUMBER(SEARCH("营",'20.03'!I66)),(-$Y66+50*IF('20.03'!$AK66="是",'20.03'!$BB$4,'20.03'!$BB$3)),(VLOOKUP('20.03'!I66,'20.03'!$AO$4:$AQ$55,2,FALSE))*IF('20.03'!$AK66="是",'20.03'!$BB$4,'20.03'!$BB$3))</f>
        <v>0</v>
      </c>
      <c r="B66" s="4">
        <f>IF(ISNUMBER(SEARCH("营",'20.03'!J66)),(-$Y66+50*IF('20.03'!$AK66="是",'20.03'!$BB$4,'20.03'!$BB$3)),(VLOOKUP('20.03'!J66,'20.03'!$AO$4:$AQ$55,2,FALSE))*IF('20.03'!$AK66="是",'20.03'!$BB$4,'20.03'!$BB$3))</f>
        <v>0</v>
      </c>
      <c r="C66" s="4">
        <f>IF(ISNUMBER(SEARCH("营",'20.03'!K66)),(-$Y66+50*IF('20.03'!$AK66="是",'20.03'!$BB$4,'20.03'!$BB$3)),(VLOOKUP('20.03'!K66,'20.03'!$AO$4:$AQ$55,2,FALSE))*IF('20.03'!$AK66="是",'20.03'!$BB$4,'20.03'!$BB$3))</f>
        <v>0</v>
      </c>
      <c r="D66" s="4">
        <f>IF(ISNUMBER(SEARCH("营",'20.03'!L66)),(-$Y66+50*IF('20.03'!$AK66="是",'20.03'!$BB$4,'20.03'!$BB$3)),(VLOOKUP('20.03'!L66,'20.03'!$AO$4:$AQ$55,2,FALSE))*IF('20.03'!$AK66="是",'20.03'!$BB$4,'20.03'!$BB$3))</f>
        <v>0</v>
      </c>
      <c r="E66" s="4">
        <f>IF(ISNUMBER(SEARCH("营",'20.03'!M66)),(-$Y66+50*IF('20.03'!$AK66="是",'20.03'!$BB$4,'20.03'!$BB$3)),(VLOOKUP('20.03'!M66,'20.03'!$AO$4:$AQ$55,2,FALSE))*IF('20.03'!$AK66="是",'20.03'!$BB$4,'20.03'!$BB$3))</f>
        <v>0</v>
      </c>
      <c r="F66" s="4">
        <f>IF(ISNUMBER(SEARCH("营",'20.03'!N66)),(-$Y66+50*IF('20.03'!$AK66="是",'20.03'!$BB$4,'20.03'!$BB$3)),(VLOOKUP('20.03'!N66,'20.03'!$AO$4:$AQ$55,2,FALSE))*IF('20.03'!$AK66="是",'20.03'!$BB$4,'20.03'!$BB$3))</f>
        <v>0</v>
      </c>
      <c r="G66" s="4">
        <f>IF(ISNUMBER(SEARCH("营",'20.03'!O66)),(-$Y66+50*IF('20.03'!$AK66="是",'20.03'!$BB$4,'20.03'!$BB$3)),(VLOOKUP('20.03'!O66,'20.03'!$AO$4:$AQ$55,2,FALSE))*IF('20.03'!$AK66="是",'20.03'!$BB$4,'20.03'!$BB$3))</f>
        <v>0</v>
      </c>
      <c r="H66" s="4">
        <f>IF(ISNUMBER(SEARCH("营",'20.03'!P66)),(-$Y66+50*IF('20.03'!$AK66="是",'20.03'!$BB$4,'20.03'!$BB$3)),(VLOOKUP('20.03'!P66,'20.03'!$AO$4:$AQ$55,2,FALSE))*IF('20.03'!$AK66="是",'20.03'!$BB$4,'20.03'!$BB$3))</f>
        <v>0</v>
      </c>
      <c r="I66" s="4">
        <f>IF(ISNUMBER(SEARCH("营",'20.03'!Q66)),(-$Y66+50*IF('20.03'!$AK66="是",'20.03'!$BB$4,'20.03'!$BB$3)),(VLOOKUP('20.03'!Q66,'20.03'!$AO$4:$AQ$55,2,FALSE))*IF('20.03'!$AK66="是",'20.03'!$BB$4,'20.03'!$BB$3))</f>
        <v>0</v>
      </c>
      <c r="J66" s="4">
        <f>IF(ISNUMBER(SEARCH("营",'20.03'!R66)),(-$Y66+50*IF('20.03'!$AK66="是",'20.03'!$BB$4,'20.03'!$BB$3)),(VLOOKUP('20.03'!R66,'20.03'!$AO$4:$AQ$55,2,FALSE))*IF('20.03'!$AK66="是",'20.03'!$BB$4,'20.03'!$BB$3))</f>
        <v>0</v>
      </c>
      <c r="K66" s="4">
        <f>IF(ISNUMBER(SEARCH("营",'20.03'!S66)),(-$Y66+50*IF('20.03'!$AK66="是",'20.03'!$BB$4,'20.03'!$BB$3)),(VLOOKUP('20.03'!S66,'20.03'!$AO$4:$AQ$55,2,FALSE))*IF('20.03'!$AK66="是",'20.03'!$BB$4,'20.03'!$BB$3))</f>
        <v>0</v>
      </c>
      <c r="L66" s="4">
        <f>IF(ISNUMBER(SEARCH("营",'20.03'!T66)),(-$Y66+50*IF('20.03'!$AK66="是",'20.03'!$BB$4,'20.03'!$BB$3)),(VLOOKUP('20.03'!T66,'20.03'!$AO$4:$AQ$55,2,FALSE))*IF('20.03'!$AK66="是",'20.03'!$BB$4,'20.03'!$BB$3))</f>
        <v>0</v>
      </c>
      <c r="M66" s="4">
        <f>IF(ISNUMBER(SEARCH("营",'20.03'!U66)),(-$Y66+50*IF('20.03'!$AK66="是",'20.03'!$BB$4,'20.03'!$BB$3)),(VLOOKUP('20.03'!U66,'20.03'!$AO$4:$AQ$55,2,FALSE))*IF('20.03'!$AK66="是",'20.03'!$BB$4,'20.03'!$BB$3))</f>
        <v>0</v>
      </c>
      <c r="N66" s="4">
        <f>IF(ISNUMBER(SEARCH("营",'20.03'!V66)),(-$Y66+50*IF('20.03'!$AK66="是",'20.03'!$BB$4,'20.03'!$BB$3)),(VLOOKUP('20.03'!V66,'20.03'!$AO$4:$AQ$55,2,FALSE))*IF('20.03'!$AK66="是",'20.03'!$BB$4,'20.03'!$BB$3))</f>
        <v>0</v>
      </c>
      <c r="O66" s="4">
        <f>IF(ISNUMBER(SEARCH("营",'20.03'!W66)),(-$Y66+50*IF('20.03'!$AK66="是",'20.03'!$BB$4,'20.03'!$BB$3)),(VLOOKUP('20.03'!W66,'20.03'!$AO$4:$AQ$55,2,FALSE))*IF('20.03'!$AK66="是",'20.03'!$BB$4,'20.03'!$BB$3))</f>
        <v>0</v>
      </c>
      <c r="P66" s="4">
        <f>IF(ISNUMBER(SEARCH("营",'20.03'!X66)),(-$Y66+50*IF('20.03'!$AK66="是",'20.03'!$BB$4,'20.03'!$BB$3)),(VLOOKUP('20.03'!X66,'20.03'!$AO$4:$AQ$55,2,FALSE))*IF('20.03'!$AK66="是",'20.03'!$BB$4,'20.03'!$BB$3))</f>
        <v>0</v>
      </c>
      <c r="Q66" s="4">
        <f>IF(ISNUMBER(SEARCH("营",'20.03'!Y66)),(-$Y66+50*IF('20.03'!$AK66="是",'20.03'!$BB$4,'20.03'!$BB$3)),(VLOOKUP('20.03'!Y66,'20.03'!$AO$4:$AQ$55,2,FALSE))*IF('20.03'!$AK66="是",'20.03'!$BB$4,'20.03'!$BB$3))</f>
        <v>0</v>
      </c>
      <c r="R66" s="4">
        <f>IF(ISNUMBER(SEARCH("营",'20.03'!Z66)),(-$Y66+50*IF('20.03'!$AK66="是",'20.03'!$BB$4,'20.03'!$BB$3)),(VLOOKUP('20.03'!Z66,'20.03'!$AO$4:$AQ$55,2,FALSE))*IF('20.03'!$AK66="是",'20.03'!$BB$4,'20.03'!$BB$3))</f>
        <v>0</v>
      </c>
      <c r="S66" s="4">
        <f>IF(ISNUMBER(SEARCH("营",'20.03'!AA66)),(-$Y66+50*IF('20.03'!$AK66="是",'20.03'!$BB$4,'20.03'!$BB$3)),(VLOOKUP('20.03'!AA66,'20.03'!$AO$4:$AQ$55,2,FALSE))*IF('20.03'!$AK66="是",'20.03'!$BB$4,'20.03'!$BB$3))</f>
        <v>0</v>
      </c>
      <c r="T66" s="4">
        <f>IF(ISNUMBER(SEARCH("营",'20.03'!AB66)),(-$Y66+50*IF('20.03'!$AK66="是",'20.03'!$BB$4,'20.03'!$BB$3)),(VLOOKUP('20.03'!AB66,'20.03'!$AO$4:$AQ$55,2,FALSE))*IF('20.03'!$AK66="是",'20.03'!$BB$4,'20.03'!$BB$3))</f>
        <v>0</v>
      </c>
      <c r="U66" s="4">
        <f>IF(ISNUMBER(SEARCH("营",'20.03'!AC66)),(-$Y66+50*IF('20.03'!$AK66="是",'20.03'!$BB$4,'20.03'!$BB$3)),(VLOOKUP('20.03'!AC66,'20.03'!$AO$4:$AQ$55,2,FALSE))*IF('20.03'!$AK66="是",'20.03'!$BB$4,'20.03'!$BB$3))</f>
        <v>0</v>
      </c>
      <c r="V66" s="4">
        <f>IF(ISNUMBER(SEARCH("营",'20.03'!AD66)),(-$Y66+50*IF('20.03'!$AK66="是",'20.03'!$BB$4,'20.03'!$BB$3)),(VLOOKUP('20.03'!AD66,'20.03'!$AO$4:$AQ$55,2,FALSE))*IF('20.03'!$AK66="是",'20.03'!$BB$4,'20.03'!$BB$3))</f>
        <v>0</v>
      </c>
      <c r="W66" s="4">
        <f>IF(ISNUMBER(SEARCH("营",'20.03'!AE66)),(-$Y66+50*IF('20.03'!$AK66="是",'20.03'!$BB$4,'20.03'!$BB$3)),(VLOOKUP('20.03'!AE66,'20.03'!$AO$4:$AQ$55,2,FALSE))*IF('20.03'!$AK66="是",'20.03'!$BB$4,'20.03'!$BB$3))</f>
        <v>0</v>
      </c>
      <c r="X66" s="4">
        <f>IF(ISNUMBER(SEARCH("营",'20.03'!AF66)),(-$Y66+50*IF('20.03'!$AK66="是",'20.03'!$BB$4,'20.03'!$BB$3)),(VLOOKUP('20.03'!AF66,'20.03'!$AO$4:$AQ$55,2,FALSE))*IF('20.03'!$AK66="是",'20.03'!$BB$4,'20.03'!$BB$3))</f>
        <v>0</v>
      </c>
      <c r="Y66" s="63">
        <v>100</v>
      </c>
      <c r="Z66" s="94">
        <v>45883</v>
      </c>
    </row>
    <row r="67" spans="1:26">
      <c r="A67" s="4">
        <f>IF(ISNUMBER(SEARCH("营",'20.03'!I67)),(-$Y67+50*IF('20.03'!$AK67="是",'20.03'!$BB$4,'20.03'!$BB$3)),(VLOOKUP('20.03'!I67,'20.03'!$AO$4:$AQ$55,2,FALSE))*IF('20.03'!$AK67="是",'20.03'!$BB$4,'20.03'!$BB$3))</f>
        <v>0</v>
      </c>
      <c r="B67" s="4">
        <f>IF(ISNUMBER(SEARCH("营",'20.03'!J67)),(-$Y67+50*IF('20.03'!$AK67="是",'20.03'!$BB$4,'20.03'!$BB$3)),(VLOOKUP('20.03'!J67,'20.03'!$AO$4:$AQ$55,2,FALSE))*IF('20.03'!$AK67="是",'20.03'!$BB$4,'20.03'!$BB$3))</f>
        <v>0</v>
      </c>
      <c r="C67" s="4">
        <f>IF(ISNUMBER(SEARCH("营",'20.03'!K67)),(-$Y67+50*IF('20.03'!$AK67="是",'20.03'!$BB$4,'20.03'!$BB$3)),(VLOOKUP('20.03'!K67,'20.03'!$AO$4:$AQ$55,2,FALSE))*IF('20.03'!$AK67="是",'20.03'!$BB$4,'20.03'!$BB$3))</f>
        <v>0</v>
      </c>
      <c r="D67" s="4">
        <f>IF(ISNUMBER(SEARCH("营",'20.03'!L67)),(-$Y67+50*IF('20.03'!$AK67="是",'20.03'!$BB$4,'20.03'!$BB$3)),(VLOOKUP('20.03'!L67,'20.03'!$AO$4:$AQ$55,2,FALSE))*IF('20.03'!$AK67="是",'20.03'!$BB$4,'20.03'!$BB$3))</f>
        <v>0</v>
      </c>
      <c r="E67" s="4">
        <f>IF(ISNUMBER(SEARCH("营",'20.03'!M67)),(-$Y67+50*IF('20.03'!$AK67="是",'20.03'!$BB$4,'20.03'!$BB$3)),(VLOOKUP('20.03'!M67,'20.03'!$AO$4:$AQ$55,2,FALSE))*IF('20.03'!$AK67="是",'20.03'!$BB$4,'20.03'!$BB$3))</f>
        <v>0</v>
      </c>
      <c r="F67" s="4">
        <f>IF(ISNUMBER(SEARCH("营",'20.03'!N67)),(-$Y67+50*IF('20.03'!$AK67="是",'20.03'!$BB$4,'20.03'!$BB$3)),(VLOOKUP('20.03'!N67,'20.03'!$AO$4:$AQ$55,2,FALSE))*IF('20.03'!$AK67="是",'20.03'!$BB$4,'20.03'!$BB$3))</f>
        <v>0</v>
      </c>
      <c r="G67" s="4">
        <f>IF(ISNUMBER(SEARCH("营",'20.03'!O67)),(-$Y67+50*IF('20.03'!$AK67="是",'20.03'!$BB$4,'20.03'!$BB$3)),(VLOOKUP('20.03'!O67,'20.03'!$AO$4:$AQ$55,2,FALSE))*IF('20.03'!$AK67="是",'20.03'!$BB$4,'20.03'!$BB$3))</f>
        <v>0</v>
      </c>
      <c r="H67" s="4">
        <f>IF(ISNUMBER(SEARCH("营",'20.03'!P67)),(-$Y67+50*IF('20.03'!$AK67="是",'20.03'!$BB$4,'20.03'!$BB$3)),(VLOOKUP('20.03'!P67,'20.03'!$AO$4:$AQ$55,2,FALSE))*IF('20.03'!$AK67="是",'20.03'!$BB$4,'20.03'!$BB$3))</f>
        <v>0</v>
      </c>
      <c r="I67" s="4">
        <f>IF(ISNUMBER(SEARCH("营",'20.03'!Q67)),(-$Y67+50*IF('20.03'!$AK67="是",'20.03'!$BB$4,'20.03'!$BB$3)),(VLOOKUP('20.03'!Q67,'20.03'!$AO$4:$AQ$55,2,FALSE))*IF('20.03'!$AK67="是",'20.03'!$BB$4,'20.03'!$BB$3))</f>
        <v>0</v>
      </c>
      <c r="J67" s="4">
        <f>IF(ISNUMBER(SEARCH("营",'20.03'!R67)),(-$Y67+50*IF('20.03'!$AK67="是",'20.03'!$BB$4,'20.03'!$BB$3)),(VLOOKUP('20.03'!R67,'20.03'!$AO$4:$AQ$55,2,FALSE))*IF('20.03'!$AK67="是",'20.03'!$BB$4,'20.03'!$BB$3))</f>
        <v>0</v>
      </c>
      <c r="K67" s="4">
        <f>IF(ISNUMBER(SEARCH("营",'20.03'!S67)),(-$Y67+50*IF('20.03'!$AK67="是",'20.03'!$BB$4,'20.03'!$BB$3)),(VLOOKUP('20.03'!S67,'20.03'!$AO$4:$AQ$55,2,FALSE))*IF('20.03'!$AK67="是",'20.03'!$BB$4,'20.03'!$BB$3))</f>
        <v>0</v>
      </c>
      <c r="L67" s="4">
        <f>IF(ISNUMBER(SEARCH("营",'20.03'!T67)),(-$Y67+50*IF('20.03'!$AK67="是",'20.03'!$BB$4,'20.03'!$BB$3)),(VLOOKUP('20.03'!T67,'20.03'!$AO$4:$AQ$55,2,FALSE))*IF('20.03'!$AK67="是",'20.03'!$BB$4,'20.03'!$BB$3))</f>
        <v>0</v>
      </c>
      <c r="M67" s="4">
        <f>IF(ISNUMBER(SEARCH("营",'20.03'!U67)),(-$Y67+50*IF('20.03'!$AK67="是",'20.03'!$BB$4,'20.03'!$BB$3)),(VLOOKUP('20.03'!U67,'20.03'!$AO$4:$AQ$55,2,FALSE))*IF('20.03'!$AK67="是",'20.03'!$BB$4,'20.03'!$BB$3))</f>
        <v>0</v>
      </c>
      <c r="N67" s="4">
        <f>IF(ISNUMBER(SEARCH("营",'20.03'!V67)),(-$Y67+50*IF('20.03'!$AK67="是",'20.03'!$BB$4,'20.03'!$BB$3)),(VLOOKUP('20.03'!V67,'20.03'!$AO$4:$AQ$55,2,FALSE))*IF('20.03'!$AK67="是",'20.03'!$BB$4,'20.03'!$BB$3))</f>
        <v>0</v>
      </c>
      <c r="O67" s="4">
        <f>IF(ISNUMBER(SEARCH("营",'20.03'!W67)),(-$Y67+50*IF('20.03'!$AK67="是",'20.03'!$BB$4,'20.03'!$BB$3)),(VLOOKUP('20.03'!W67,'20.03'!$AO$4:$AQ$55,2,FALSE))*IF('20.03'!$AK67="是",'20.03'!$BB$4,'20.03'!$BB$3))</f>
        <v>0</v>
      </c>
      <c r="P67" s="4">
        <f>IF(ISNUMBER(SEARCH("营",'20.03'!X67)),(-$Y67+50*IF('20.03'!$AK67="是",'20.03'!$BB$4,'20.03'!$BB$3)),(VLOOKUP('20.03'!X67,'20.03'!$AO$4:$AQ$55,2,FALSE))*IF('20.03'!$AK67="是",'20.03'!$BB$4,'20.03'!$BB$3))</f>
        <v>0</v>
      </c>
      <c r="Q67" s="4">
        <f>IF(ISNUMBER(SEARCH("营",'20.03'!Y67)),(-$Y67+50*IF('20.03'!$AK67="是",'20.03'!$BB$4,'20.03'!$BB$3)),(VLOOKUP('20.03'!Y67,'20.03'!$AO$4:$AQ$55,2,FALSE))*IF('20.03'!$AK67="是",'20.03'!$BB$4,'20.03'!$BB$3))</f>
        <v>0</v>
      </c>
      <c r="R67" s="4">
        <f>IF(ISNUMBER(SEARCH("营",'20.03'!Z67)),(-$Y67+50*IF('20.03'!$AK67="是",'20.03'!$BB$4,'20.03'!$BB$3)),(VLOOKUP('20.03'!Z67,'20.03'!$AO$4:$AQ$55,2,FALSE))*IF('20.03'!$AK67="是",'20.03'!$BB$4,'20.03'!$BB$3))</f>
        <v>0</v>
      </c>
      <c r="S67" s="4">
        <f>IF(ISNUMBER(SEARCH("营",'20.03'!AA67)),(-$Y67+50*IF('20.03'!$AK67="是",'20.03'!$BB$4,'20.03'!$BB$3)),(VLOOKUP('20.03'!AA67,'20.03'!$AO$4:$AQ$55,2,FALSE))*IF('20.03'!$AK67="是",'20.03'!$BB$4,'20.03'!$BB$3))</f>
        <v>0</v>
      </c>
      <c r="T67" s="4">
        <f>IF(ISNUMBER(SEARCH("营",'20.03'!AB67)),(-$Y67+50*IF('20.03'!$AK67="是",'20.03'!$BB$4,'20.03'!$BB$3)),(VLOOKUP('20.03'!AB67,'20.03'!$AO$4:$AQ$55,2,FALSE))*IF('20.03'!$AK67="是",'20.03'!$BB$4,'20.03'!$BB$3))</f>
        <v>0</v>
      </c>
      <c r="U67" s="4">
        <f>IF(ISNUMBER(SEARCH("营",'20.03'!AC67)),(-$Y67+50*IF('20.03'!$AK67="是",'20.03'!$BB$4,'20.03'!$BB$3)),(VLOOKUP('20.03'!AC67,'20.03'!$AO$4:$AQ$55,2,FALSE))*IF('20.03'!$AK67="是",'20.03'!$BB$4,'20.03'!$BB$3))</f>
        <v>0</v>
      </c>
      <c r="V67" s="4">
        <f>IF(ISNUMBER(SEARCH("营",'20.03'!AD67)),(-$Y67+50*IF('20.03'!$AK67="是",'20.03'!$BB$4,'20.03'!$BB$3)),(VLOOKUP('20.03'!AD67,'20.03'!$AO$4:$AQ$55,2,FALSE))*IF('20.03'!$AK67="是",'20.03'!$BB$4,'20.03'!$BB$3))</f>
        <v>0</v>
      </c>
      <c r="W67" s="4">
        <f>IF(ISNUMBER(SEARCH("营",'20.03'!AE67)),(-$Y67+50*IF('20.03'!$AK67="是",'20.03'!$BB$4,'20.03'!$BB$3)),(VLOOKUP('20.03'!AE67,'20.03'!$AO$4:$AQ$55,2,FALSE))*IF('20.03'!$AK67="是",'20.03'!$BB$4,'20.03'!$BB$3))</f>
        <v>0</v>
      </c>
      <c r="X67" s="4">
        <f>IF(ISNUMBER(SEARCH("营",'20.03'!AF67)),(-$Y67+50*IF('20.03'!$AK67="是",'20.03'!$BB$4,'20.03'!$BB$3)),(VLOOKUP('20.03'!AF67,'20.03'!$AO$4:$AQ$55,2,FALSE))*IF('20.03'!$AK67="是",'20.03'!$BB$4,'20.03'!$BB$3))</f>
        <v>0</v>
      </c>
      <c r="Y67" s="63">
        <v>100</v>
      </c>
      <c r="Z67" s="94">
        <v>45884</v>
      </c>
    </row>
    <row r="68" spans="1:26">
      <c r="A68" s="4">
        <f>IF(ISNUMBER(SEARCH("营",'20.03'!I68)),(-$Y68+50*IF('20.03'!$AK68="是",'20.03'!$BB$4,'20.03'!$BB$3)),(VLOOKUP('20.03'!I68,'20.03'!$AO$4:$AQ$55,2,FALSE))*IF('20.03'!$AK68="是",'20.03'!$BB$4,'20.03'!$BB$3))</f>
        <v>0</v>
      </c>
      <c r="B68" s="4">
        <f>IF(ISNUMBER(SEARCH("营",'20.03'!J68)),(-$Y68+50*IF('20.03'!$AK68="是",'20.03'!$BB$4,'20.03'!$BB$3)),(VLOOKUP('20.03'!J68,'20.03'!$AO$4:$AQ$55,2,FALSE))*IF('20.03'!$AK68="是",'20.03'!$BB$4,'20.03'!$BB$3))</f>
        <v>0</v>
      </c>
      <c r="C68" s="4">
        <f>IF(ISNUMBER(SEARCH("营",'20.03'!K68)),(-$Y68+50*IF('20.03'!$AK68="是",'20.03'!$BB$4,'20.03'!$BB$3)),(VLOOKUP('20.03'!K68,'20.03'!$AO$4:$AQ$55,2,FALSE))*IF('20.03'!$AK68="是",'20.03'!$BB$4,'20.03'!$BB$3))</f>
        <v>0</v>
      </c>
      <c r="D68" s="4">
        <f>IF(ISNUMBER(SEARCH("营",'20.03'!L68)),(-$Y68+50*IF('20.03'!$AK68="是",'20.03'!$BB$4,'20.03'!$BB$3)),(VLOOKUP('20.03'!L68,'20.03'!$AO$4:$AQ$55,2,FALSE))*IF('20.03'!$AK68="是",'20.03'!$BB$4,'20.03'!$BB$3))</f>
        <v>0</v>
      </c>
      <c r="E68" s="4">
        <f>IF(ISNUMBER(SEARCH("营",'20.03'!M68)),(-$Y68+50*IF('20.03'!$AK68="是",'20.03'!$BB$4,'20.03'!$BB$3)),(VLOOKUP('20.03'!M68,'20.03'!$AO$4:$AQ$55,2,FALSE))*IF('20.03'!$AK68="是",'20.03'!$BB$4,'20.03'!$BB$3))</f>
        <v>0</v>
      </c>
      <c r="F68" s="4">
        <f>IF(ISNUMBER(SEARCH("营",'20.03'!N68)),(-$Y68+50*IF('20.03'!$AK68="是",'20.03'!$BB$4,'20.03'!$BB$3)),(VLOOKUP('20.03'!N68,'20.03'!$AO$4:$AQ$55,2,FALSE))*IF('20.03'!$AK68="是",'20.03'!$BB$4,'20.03'!$BB$3))</f>
        <v>0</v>
      </c>
      <c r="G68" s="4">
        <f>IF(ISNUMBER(SEARCH("营",'20.03'!O68)),(-$Y68+50*IF('20.03'!$AK68="是",'20.03'!$BB$4,'20.03'!$BB$3)),(VLOOKUP('20.03'!O68,'20.03'!$AO$4:$AQ$55,2,FALSE))*IF('20.03'!$AK68="是",'20.03'!$BB$4,'20.03'!$BB$3))</f>
        <v>0</v>
      </c>
      <c r="H68" s="4">
        <f>IF(ISNUMBER(SEARCH("营",'20.03'!P68)),(-$Y68+50*IF('20.03'!$AK68="是",'20.03'!$BB$4,'20.03'!$BB$3)),(VLOOKUP('20.03'!P68,'20.03'!$AO$4:$AQ$55,2,FALSE))*IF('20.03'!$AK68="是",'20.03'!$BB$4,'20.03'!$BB$3))</f>
        <v>0</v>
      </c>
      <c r="I68" s="4">
        <f>IF(ISNUMBER(SEARCH("营",'20.03'!Q68)),(-$Y68+50*IF('20.03'!$AK68="是",'20.03'!$BB$4,'20.03'!$BB$3)),(VLOOKUP('20.03'!Q68,'20.03'!$AO$4:$AQ$55,2,FALSE))*IF('20.03'!$AK68="是",'20.03'!$BB$4,'20.03'!$BB$3))</f>
        <v>0</v>
      </c>
      <c r="J68" s="4">
        <f>IF(ISNUMBER(SEARCH("营",'20.03'!R68)),(-$Y68+50*IF('20.03'!$AK68="是",'20.03'!$BB$4,'20.03'!$BB$3)),(VLOOKUP('20.03'!R68,'20.03'!$AO$4:$AQ$55,2,FALSE))*IF('20.03'!$AK68="是",'20.03'!$BB$4,'20.03'!$BB$3))</f>
        <v>0</v>
      </c>
      <c r="K68" s="4">
        <f>IF(ISNUMBER(SEARCH("营",'20.03'!S68)),(-$Y68+50*IF('20.03'!$AK68="是",'20.03'!$BB$4,'20.03'!$BB$3)),(VLOOKUP('20.03'!S68,'20.03'!$AO$4:$AQ$55,2,FALSE))*IF('20.03'!$AK68="是",'20.03'!$BB$4,'20.03'!$BB$3))</f>
        <v>0</v>
      </c>
      <c r="L68" s="4">
        <f>IF(ISNUMBER(SEARCH("营",'20.03'!T68)),(-$Y68+50*IF('20.03'!$AK68="是",'20.03'!$BB$4,'20.03'!$BB$3)),(VLOOKUP('20.03'!T68,'20.03'!$AO$4:$AQ$55,2,FALSE))*IF('20.03'!$AK68="是",'20.03'!$BB$4,'20.03'!$BB$3))</f>
        <v>0</v>
      </c>
      <c r="M68" s="4">
        <f>IF(ISNUMBER(SEARCH("营",'20.03'!U68)),(-$Y68+50*IF('20.03'!$AK68="是",'20.03'!$BB$4,'20.03'!$BB$3)),(VLOOKUP('20.03'!U68,'20.03'!$AO$4:$AQ$55,2,FALSE))*IF('20.03'!$AK68="是",'20.03'!$BB$4,'20.03'!$BB$3))</f>
        <v>0</v>
      </c>
      <c r="N68" s="4">
        <f>IF(ISNUMBER(SEARCH("营",'20.03'!V68)),(-$Y68+50*IF('20.03'!$AK68="是",'20.03'!$BB$4,'20.03'!$BB$3)),(VLOOKUP('20.03'!V68,'20.03'!$AO$4:$AQ$55,2,FALSE))*IF('20.03'!$AK68="是",'20.03'!$BB$4,'20.03'!$BB$3))</f>
        <v>0</v>
      </c>
      <c r="O68" s="4">
        <f>IF(ISNUMBER(SEARCH("营",'20.03'!W68)),(-$Y68+50*IF('20.03'!$AK68="是",'20.03'!$BB$4,'20.03'!$BB$3)),(VLOOKUP('20.03'!W68,'20.03'!$AO$4:$AQ$55,2,FALSE))*IF('20.03'!$AK68="是",'20.03'!$BB$4,'20.03'!$BB$3))</f>
        <v>0</v>
      </c>
      <c r="P68" s="4">
        <f>IF(ISNUMBER(SEARCH("营",'20.03'!X68)),(-$Y68+50*IF('20.03'!$AK68="是",'20.03'!$BB$4,'20.03'!$BB$3)),(VLOOKUP('20.03'!X68,'20.03'!$AO$4:$AQ$55,2,FALSE))*IF('20.03'!$AK68="是",'20.03'!$BB$4,'20.03'!$BB$3))</f>
        <v>0</v>
      </c>
      <c r="Q68" s="4">
        <f>IF(ISNUMBER(SEARCH("营",'20.03'!Y68)),(-$Y68+50*IF('20.03'!$AK68="是",'20.03'!$BB$4,'20.03'!$BB$3)),(VLOOKUP('20.03'!Y68,'20.03'!$AO$4:$AQ$55,2,FALSE))*IF('20.03'!$AK68="是",'20.03'!$BB$4,'20.03'!$BB$3))</f>
        <v>0</v>
      </c>
      <c r="R68" s="4">
        <f>IF(ISNUMBER(SEARCH("营",'20.03'!Z68)),(-$Y68+50*IF('20.03'!$AK68="是",'20.03'!$BB$4,'20.03'!$BB$3)),(VLOOKUP('20.03'!Z68,'20.03'!$AO$4:$AQ$55,2,FALSE))*IF('20.03'!$AK68="是",'20.03'!$BB$4,'20.03'!$BB$3))</f>
        <v>0</v>
      </c>
      <c r="S68" s="4">
        <f>IF(ISNUMBER(SEARCH("营",'20.03'!AA68)),(-$Y68+50*IF('20.03'!$AK68="是",'20.03'!$BB$4,'20.03'!$BB$3)),(VLOOKUP('20.03'!AA68,'20.03'!$AO$4:$AQ$55,2,FALSE))*IF('20.03'!$AK68="是",'20.03'!$BB$4,'20.03'!$BB$3))</f>
        <v>0</v>
      </c>
      <c r="T68" s="4">
        <f>IF(ISNUMBER(SEARCH("营",'20.03'!AB68)),(-$Y68+50*IF('20.03'!$AK68="是",'20.03'!$BB$4,'20.03'!$BB$3)),(VLOOKUP('20.03'!AB68,'20.03'!$AO$4:$AQ$55,2,FALSE))*IF('20.03'!$AK68="是",'20.03'!$BB$4,'20.03'!$BB$3))</f>
        <v>0</v>
      </c>
      <c r="U68" s="4">
        <f>IF(ISNUMBER(SEARCH("营",'20.03'!AC68)),(-$Y68+50*IF('20.03'!$AK68="是",'20.03'!$BB$4,'20.03'!$BB$3)),(VLOOKUP('20.03'!AC68,'20.03'!$AO$4:$AQ$55,2,FALSE))*IF('20.03'!$AK68="是",'20.03'!$BB$4,'20.03'!$BB$3))</f>
        <v>0</v>
      </c>
      <c r="V68" s="4">
        <f>IF(ISNUMBER(SEARCH("营",'20.03'!AD68)),(-$Y68+50*IF('20.03'!$AK68="是",'20.03'!$BB$4,'20.03'!$BB$3)),(VLOOKUP('20.03'!AD68,'20.03'!$AO$4:$AQ$55,2,FALSE))*IF('20.03'!$AK68="是",'20.03'!$BB$4,'20.03'!$BB$3))</f>
        <v>0</v>
      </c>
      <c r="W68" s="4">
        <f>IF(ISNUMBER(SEARCH("营",'20.03'!AE68)),(-$Y68+50*IF('20.03'!$AK68="是",'20.03'!$BB$4,'20.03'!$BB$3)),(VLOOKUP('20.03'!AE68,'20.03'!$AO$4:$AQ$55,2,FALSE))*IF('20.03'!$AK68="是",'20.03'!$BB$4,'20.03'!$BB$3))</f>
        <v>0</v>
      </c>
      <c r="X68" s="4">
        <f>IF(ISNUMBER(SEARCH("营",'20.03'!AF68)),(-$Y68+50*IF('20.03'!$AK68="是",'20.03'!$BB$4,'20.03'!$BB$3)),(VLOOKUP('20.03'!AF68,'20.03'!$AO$4:$AQ$55,2,FALSE))*IF('20.03'!$AK68="是",'20.03'!$BB$4,'20.03'!$BB$3))</f>
        <v>0</v>
      </c>
      <c r="Y68" s="63">
        <v>100</v>
      </c>
      <c r="Z68" s="94">
        <v>45885</v>
      </c>
    </row>
    <row r="69" spans="1:26">
      <c r="A69" s="4">
        <f>IF(ISNUMBER(SEARCH("营",'20.03'!I69)),(-$Y69+50*IF('20.03'!$AK69="是",'20.03'!$BB$4,'20.03'!$BB$3)),(VLOOKUP('20.03'!I69,'20.03'!$AO$4:$AQ$55,2,FALSE))*IF('20.03'!$AK69="是",'20.03'!$BB$4,'20.03'!$BB$3))</f>
        <v>0</v>
      </c>
      <c r="B69" s="4">
        <f>IF(ISNUMBER(SEARCH("营",'20.03'!J69)),(-$Y69+50*IF('20.03'!$AK69="是",'20.03'!$BB$4,'20.03'!$BB$3)),(VLOOKUP('20.03'!J69,'20.03'!$AO$4:$AQ$55,2,FALSE))*IF('20.03'!$AK69="是",'20.03'!$BB$4,'20.03'!$BB$3))</f>
        <v>0</v>
      </c>
      <c r="C69" s="4">
        <f>IF(ISNUMBER(SEARCH("营",'20.03'!K69)),(-$Y69+50*IF('20.03'!$AK69="是",'20.03'!$BB$4,'20.03'!$BB$3)),(VLOOKUP('20.03'!K69,'20.03'!$AO$4:$AQ$55,2,FALSE))*IF('20.03'!$AK69="是",'20.03'!$BB$4,'20.03'!$BB$3))</f>
        <v>0</v>
      </c>
      <c r="D69" s="4">
        <f>IF(ISNUMBER(SEARCH("营",'20.03'!L69)),(-$Y69+50*IF('20.03'!$AK69="是",'20.03'!$BB$4,'20.03'!$BB$3)),(VLOOKUP('20.03'!L69,'20.03'!$AO$4:$AQ$55,2,FALSE))*IF('20.03'!$AK69="是",'20.03'!$BB$4,'20.03'!$BB$3))</f>
        <v>0</v>
      </c>
      <c r="E69" s="4">
        <f>IF(ISNUMBER(SEARCH("营",'20.03'!M69)),(-$Y69+50*IF('20.03'!$AK69="是",'20.03'!$BB$4,'20.03'!$BB$3)),(VLOOKUP('20.03'!M69,'20.03'!$AO$4:$AQ$55,2,FALSE))*IF('20.03'!$AK69="是",'20.03'!$BB$4,'20.03'!$BB$3))</f>
        <v>0</v>
      </c>
      <c r="F69" s="4">
        <f>IF(ISNUMBER(SEARCH("营",'20.03'!N69)),(-$Y69+50*IF('20.03'!$AK69="是",'20.03'!$BB$4,'20.03'!$BB$3)),(VLOOKUP('20.03'!N69,'20.03'!$AO$4:$AQ$55,2,FALSE))*IF('20.03'!$AK69="是",'20.03'!$BB$4,'20.03'!$BB$3))</f>
        <v>0</v>
      </c>
      <c r="G69" s="4">
        <f>IF(ISNUMBER(SEARCH("营",'20.03'!O69)),(-$Y69+50*IF('20.03'!$AK69="是",'20.03'!$BB$4,'20.03'!$BB$3)),(VLOOKUP('20.03'!O69,'20.03'!$AO$4:$AQ$55,2,FALSE))*IF('20.03'!$AK69="是",'20.03'!$BB$4,'20.03'!$BB$3))</f>
        <v>0</v>
      </c>
      <c r="H69" s="4">
        <f>IF(ISNUMBER(SEARCH("营",'20.03'!P69)),(-$Y69+50*IF('20.03'!$AK69="是",'20.03'!$BB$4,'20.03'!$BB$3)),(VLOOKUP('20.03'!P69,'20.03'!$AO$4:$AQ$55,2,FALSE))*IF('20.03'!$AK69="是",'20.03'!$BB$4,'20.03'!$BB$3))</f>
        <v>0</v>
      </c>
      <c r="I69" s="4">
        <f>IF(ISNUMBER(SEARCH("营",'20.03'!Q69)),(-$Y69+50*IF('20.03'!$AK69="是",'20.03'!$BB$4,'20.03'!$BB$3)),(VLOOKUP('20.03'!Q69,'20.03'!$AO$4:$AQ$55,2,FALSE))*IF('20.03'!$AK69="是",'20.03'!$BB$4,'20.03'!$BB$3))</f>
        <v>0</v>
      </c>
      <c r="J69" s="4">
        <f>IF(ISNUMBER(SEARCH("营",'20.03'!R69)),(-$Y69+50*IF('20.03'!$AK69="是",'20.03'!$BB$4,'20.03'!$BB$3)),(VLOOKUP('20.03'!R69,'20.03'!$AO$4:$AQ$55,2,FALSE))*IF('20.03'!$AK69="是",'20.03'!$BB$4,'20.03'!$BB$3))</f>
        <v>0</v>
      </c>
      <c r="K69" s="4">
        <f>IF(ISNUMBER(SEARCH("营",'20.03'!S69)),(-$Y69+50*IF('20.03'!$AK69="是",'20.03'!$BB$4,'20.03'!$BB$3)),(VLOOKUP('20.03'!S69,'20.03'!$AO$4:$AQ$55,2,FALSE))*IF('20.03'!$AK69="是",'20.03'!$BB$4,'20.03'!$BB$3))</f>
        <v>0</v>
      </c>
      <c r="L69" s="4">
        <f>IF(ISNUMBER(SEARCH("营",'20.03'!T69)),(-$Y69+50*IF('20.03'!$AK69="是",'20.03'!$BB$4,'20.03'!$BB$3)),(VLOOKUP('20.03'!T69,'20.03'!$AO$4:$AQ$55,2,FALSE))*IF('20.03'!$AK69="是",'20.03'!$BB$4,'20.03'!$BB$3))</f>
        <v>0</v>
      </c>
      <c r="M69" s="4">
        <f>IF(ISNUMBER(SEARCH("营",'20.03'!U69)),(-$Y69+50*IF('20.03'!$AK69="是",'20.03'!$BB$4,'20.03'!$BB$3)),(VLOOKUP('20.03'!U69,'20.03'!$AO$4:$AQ$55,2,FALSE))*IF('20.03'!$AK69="是",'20.03'!$BB$4,'20.03'!$BB$3))</f>
        <v>0</v>
      </c>
      <c r="N69" s="4">
        <f>IF(ISNUMBER(SEARCH("营",'20.03'!V69)),(-$Y69+50*IF('20.03'!$AK69="是",'20.03'!$BB$4,'20.03'!$BB$3)),(VLOOKUP('20.03'!V69,'20.03'!$AO$4:$AQ$55,2,FALSE))*IF('20.03'!$AK69="是",'20.03'!$BB$4,'20.03'!$BB$3))</f>
        <v>0</v>
      </c>
      <c r="O69" s="4">
        <f>IF(ISNUMBER(SEARCH("营",'20.03'!W69)),(-$Y69+50*IF('20.03'!$AK69="是",'20.03'!$BB$4,'20.03'!$BB$3)),(VLOOKUP('20.03'!W69,'20.03'!$AO$4:$AQ$55,2,FALSE))*IF('20.03'!$AK69="是",'20.03'!$BB$4,'20.03'!$BB$3))</f>
        <v>0</v>
      </c>
      <c r="P69" s="4">
        <f>IF(ISNUMBER(SEARCH("营",'20.03'!X69)),(-$Y69+50*IF('20.03'!$AK69="是",'20.03'!$BB$4,'20.03'!$BB$3)),(VLOOKUP('20.03'!X69,'20.03'!$AO$4:$AQ$55,2,FALSE))*IF('20.03'!$AK69="是",'20.03'!$BB$4,'20.03'!$BB$3))</f>
        <v>0</v>
      </c>
      <c r="Q69" s="4">
        <f>IF(ISNUMBER(SEARCH("营",'20.03'!Y69)),(-$Y69+50*IF('20.03'!$AK69="是",'20.03'!$BB$4,'20.03'!$BB$3)),(VLOOKUP('20.03'!Y69,'20.03'!$AO$4:$AQ$55,2,FALSE))*IF('20.03'!$AK69="是",'20.03'!$BB$4,'20.03'!$BB$3))</f>
        <v>0</v>
      </c>
      <c r="R69" s="4">
        <f>IF(ISNUMBER(SEARCH("营",'20.03'!Z69)),(-$Y69+50*IF('20.03'!$AK69="是",'20.03'!$BB$4,'20.03'!$BB$3)),(VLOOKUP('20.03'!Z69,'20.03'!$AO$4:$AQ$55,2,FALSE))*IF('20.03'!$AK69="是",'20.03'!$BB$4,'20.03'!$BB$3))</f>
        <v>0</v>
      </c>
      <c r="S69" s="4">
        <f>IF(ISNUMBER(SEARCH("营",'20.03'!AA69)),(-$Y69+50*IF('20.03'!$AK69="是",'20.03'!$BB$4,'20.03'!$BB$3)),(VLOOKUP('20.03'!AA69,'20.03'!$AO$4:$AQ$55,2,FALSE))*IF('20.03'!$AK69="是",'20.03'!$BB$4,'20.03'!$BB$3))</f>
        <v>0</v>
      </c>
      <c r="T69" s="4">
        <f>IF(ISNUMBER(SEARCH("营",'20.03'!AB69)),(-$Y69+50*IF('20.03'!$AK69="是",'20.03'!$BB$4,'20.03'!$BB$3)),(VLOOKUP('20.03'!AB69,'20.03'!$AO$4:$AQ$55,2,FALSE))*IF('20.03'!$AK69="是",'20.03'!$BB$4,'20.03'!$BB$3))</f>
        <v>0</v>
      </c>
      <c r="U69" s="4">
        <f>IF(ISNUMBER(SEARCH("营",'20.03'!AC69)),(-$Y69+50*IF('20.03'!$AK69="是",'20.03'!$BB$4,'20.03'!$BB$3)),(VLOOKUP('20.03'!AC69,'20.03'!$AO$4:$AQ$55,2,FALSE))*IF('20.03'!$AK69="是",'20.03'!$BB$4,'20.03'!$BB$3))</f>
        <v>0</v>
      </c>
      <c r="V69" s="4">
        <f>IF(ISNUMBER(SEARCH("营",'20.03'!AD69)),(-$Y69+50*IF('20.03'!$AK69="是",'20.03'!$BB$4,'20.03'!$BB$3)),(VLOOKUP('20.03'!AD69,'20.03'!$AO$4:$AQ$55,2,FALSE))*IF('20.03'!$AK69="是",'20.03'!$BB$4,'20.03'!$BB$3))</f>
        <v>0</v>
      </c>
      <c r="W69" s="4">
        <f>IF(ISNUMBER(SEARCH("营",'20.03'!AE69)),(-$Y69+50*IF('20.03'!$AK69="是",'20.03'!$BB$4,'20.03'!$BB$3)),(VLOOKUP('20.03'!AE69,'20.03'!$AO$4:$AQ$55,2,FALSE))*IF('20.03'!$AK69="是",'20.03'!$BB$4,'20.03'!$BB$3))</f>
        <v>0</v>
      </c>
      <c r="X69" s="4">
        <f>IF(ISNUMBER(SEARCH("营",'20.03'!AF69)),(-$Y69+50*IF('20.03'!$AK69="是",'20.03'!$BB$4,'20.03'!$BB$3)),(VLOOKUP('20.03'!AF69,'20.03'!$AO$4:$AQ$55,2,FALSE))*IF('20.03'!$AK69="是",'20.03'!$BB$4,'20.03'!$BB$3))</f>
        <v>0</v>
      </c>
      <c r="Y69" s="63">
        <v>100</v>
      </c>
      <c r="Z69" s="94">
        <v>45886</v>
      </c>
    </row>
    <row r="70" spans="1:26">
      <c r="A70" s="4">
        <f>IF(ISNUMBER(SEARCH("营",'20.03'!I70)),(-$Y70+50*IF('20.03'!$AK70="是",'20.03'!$BB$4,'20.03'!$BB$3)),(VLOOKUP('20.03'!I70,'20.03'!$AO$4:$AQ$55,2,FALSE))*IF('20.03'!$AK70="是",'20.03'!$BB$4,'20.03'!$BB$3))</f>
        <v>0</v>
      </c>
      <c r="B70" s="4">
        <f>IF(ISNUMBER(SEARCH("营",'20.03'!J70)),(-$Y70+50*IF('20.03'!$AK70="是",'20.03'!$BB$4,'20.03'!$BB$3)),(VLOOKUP('20.03'!J70,'20.03'!$AO$4:$AQ$55,2,FALSE))*IF('20.03'!$AK70="是",'20.03'!$BB$4,'20.03'!$BB$3))</f>
        <v>0</v>
      </c>
      <c r="C70" s="4">
        <f>IF(ISNUMBER(SEARCH("营",'20.03'!K70)),(-$Y70+50*IF('20.03'!$AK70="是",'20.03'!$BB$4,'20.03'!$BB$3)),(VLOOKUP('20.03'!K70,'20.03'!$AO$4:$AQ$55,2,FALSE))*IF('20.03'!$AK70="是",'20.03'!$BB$4,'20.03'!$BB$3))</f>
        <v>0</v>
      </c>
      <c r="D70" s="4">
        <f>IF(ISNUMBER(SEARCH("营",'20.03'!L70)),(-$Y70+50*IF('20.03'!$AK70="是",'20.03'!$BB$4,'20.03'!$BB$3)),(VLOOKUP('20.03'!L70,'20.03'!$AO$4:$AQ$55,2,FALSE))*IF('20.03'!$AK70="是",'20.03'!$BB$4,'20.03'!$BB$3))</f>
        <v>0</v>
      </c>
      <c r="E70" s="4">
        <f>IF(ISNUMBER(SEARCH("营",'20.03'!M70)),(-$Y70+50*IF('20.03'!$AK70="是",'20.03'!$BB$4,'20.03'!$BB$3)),(VLOOKUP('20.03'!M70,'20.03'!$AO$4:$AQ$55,2,FALSE))*IF('20.03'!$AK70="是",'20.03'!$BB$4,'20.03'!$BB$3))</f>
        <v>0</v>
      </c>
      <c r="F70" s="4">
        <f>IF(ISNUMBER(SEARCH("营",'20.03'!N70)),(-$Y70+50*IF('20.03'!$AK70="是",'20.03'!$BB$4,'20.03'!$BB$3)),(VLOOKUP('20.03'!N70,'20.03'!$AO$4:$AQ$55,2,FALSE))*IF('20.03'!$AK70="是",'20.03'!$BB$4,'20.03'!$BB$3))</f>
        <v>0</v>
      </c>
      <c r="G70" s="4">
        <f>IF(ISNUMBER(SEARCH("营",'20.03'!O70)),(-$Y70+50*IF('20.03'!$AK70="是",'20.03'!$BB$4,'20.03'!$BB$3)),(VLOOKUP('20.03'!O70,'20.03'!$AO$4:$AQ$55,2,FALSE))*IF('20.03'!$AK70="是",'20.03'!$BB$4,'20.03'!$BB$3))</f>
        <v>0</v>
      </c>
      <c r="H70" s="4">
        <f>IF(ISNUMBER(SEARCH("营",'20.03'!P70)),(-$Y70+50*IF('20.03'!$AK70="是",'20.03'!$BB$4,'20.03'!$BB$3)),(VLOOKUP('20.03'!P70,'20.03'!$AO$4:$AQ$55,2,FALSE))*IF('20.03'!$AK70="是",'20.03'!$BB$4,'20.03'!$BB$3))</f>
        <v>0</v>
      </c>
      <c r="I70" s="4">
        <f>IF(ISNUMBER(SEARCH("营",'20.03'!Q70)),(-$Y70+50*IF('20.03'!$AK70="是",'20.03'!$BB$4,'20.03'!$BB$3)),(VLOOKUP('20.03'!Q70,'20.03'!$AO$4:$AQ$55,2,FALSE))*IF('20.03'!$AK70="是",'20.03'!$BB$4,'20.03'!$BB$3))</f>
        <v>0</v>
      </c>
      <c r="J70" s="4">
        <f>IF(ISNUMBER(SEARCH("营",'20.03'!R70)),(-$Y70+50*IF('20.03'!$AK70="是",'20.03'!$BB$4,'20.03'!$BB$3)),(VLOOKUP('20.03'!R70,'20.03'!$AO$4:$AQ$55,2,FALSE))*IF('20.03'!$AK70="是",'20.03'!$BB$4,'20.03'!$BB$3))</f>
        <v>0</v>
      </c>
      <c r="K70" s="4">
        <f>IF(ISNUMBER(SEARCH("营",'20.03'!S70)),(-$Y70+50*IF('20.03'!$AK70="是",'20.03'!$BB$4,'20.03'!$BB$3)),(VLOOKUP('20.03'!S70,'20.03'!$AO$4:$AQ$55,2,FALSE))*IF('20.03'!$AK70="是",'20.03'!$BB$4,'20.03'!$BB$3))</f>
        <v>0</v>
      </c>
      <c r="L70" s="4">
        <f>IF(ISNUMBER(SEARCH("营",'20.03'!T70)),(-$Y70+50*IF('20.03'!$AK70="是",'20.03'!$BB$4,'20.03'!$BB$3)),(VLOOKUP('20.03'!T70,'20.03'!$AO$4:$AQ$55,2,FALSE))*IF('20.03'!$AK70="是",'20.03'!$BB$4,'20.03'!$BB$3))</f>
        <v>0</v>
      </c>
      <c r="M70" s="4">
        <f>IF(ISNUMBER(SEARCH("营",'20.03'!U70)),(-$Y70+50*IF('20.03'!$AK70="是",'20.03'!$BB$4,'20.03'!$BB$3)),(VLOOKUP('20.03'!U70,'20.03'!$AO$4:$AQ$55,2,FALSE))*IF('20.03'!$AK70="是",'20.03'!$BB$4,'20.03'!$BB$3))</f>
        <v>0</v>
      </c>
      <c r="N70" s="4">
        <f>IF(ISNUMBER(SEARCH("营",'20.03'!V70)),(-$Y70+50*IF('20.03'!$AK70="是",'20.03'!$BB$4,'20.03'!$BB$3)),(VLOOKUP('20.03'!V70,'20.03'!$AO$4:$AQ$55,2,FALSE))*IF('20.03'!$AK70="是",'20.03'!$BB$4,'20.03'!$BB$3))</f>
        <v>0</v>
      </c>
      <c r="O70" s="4">
        <f>IF(ISNUMBER(SEARCH("营",'20.03'!W70)),(-$Y70+50*IF('20.03'!$AK70="是",'20.03'!$BB$4,'20.03'!$BB$3)),(VLOOKUP('20.03'!W70,'20.03'!$AO$4:$AQ$55,2,FALSE))*IF('20.03'!$AK70="是",'20.03'!$BB$4,'20.03'!$BB$3))</f>
        <v>0</v>
      </c>
      <c r="P70" s="4">
        <f>IF(ISNUMBER(SEARCH("营",'20.03'!X70)),(-$Y70+50*IF('20.03'!$AK70="是",'20.03'!$BB$4,'20.03'!$BB$3)),(VLOOKUP('20.03'!X70,'20.03'!$AO$4:$AQ$55,2,FALSE))*IF('20.03'!$AK70="是",'20.03'!$BB$4,'20.03'!$BB$3))</f>
        <v>0</v>
      </c>
      <c r="Q70" s="4">
        <f>IF(ISNUMBER(SEARCH("营",'20.03'!Y70)),(-$Y70+50*IF('20.03'!$AK70="是",'20.03'!$BB$4,'20.03'!$BB$3)),(VLOOKUP('20.03'!Y70,'20.03'!$AO$4:$AQ$55,2,FALSE))*IF('20.03'!$AK70="是",'20.03'!$BB$4,'20.03'!$BB$3))</f>
        <v>0</v>
      </c>
      <c r="R70" s="4">
        <f>IF(ISNUMBER(SEARCH("营",'20.03'!Z70)),(-$Y70+50*IF('20.03'!$AK70="是",'20.03'!$BB$4,'20.03'!$BB$3)),(VLOOKUP('20.03'!Z70,'20.03'!$AO$4:$AQ$55,2,FALSE))*IF('20.03'!$AK70="是",'20.03'!$BB$4,'20.03'!$BB$3))</f>
        <v>0</v>
      </c>
      <c r="S70" s="4">
        <f>IF(ISNUMBER(SEARCH("营",'20.03'!AA70)),(-$Y70+50*IF('20.03'!$AK70="是",'20.03'!$BB$4,'20.03'!$BB$3)),(VLOOKUP('20.03'!AA70,'20.03'!$AO$4:$AQ$55,2,FALSE))*IF('20.03'!$AK70="是",'20.03'!$BB$4,'20.03'!$BB$3))</f>
        <v>0</v>
      </c>
      <c r="T70" s="4">
        <f>IF(ISNUMBER(SEARCH("营",'20.03'!AB70)),(-$Y70+50*IF('20.03'!$AK70="是",'20.03'!$BB$4,'20.03'!$BB$3)),(VLOOKUP('20.03'!AB70,'20.03'!$AO$4:$AQ$55,2,FALSE))*IF('20.03'!$AK70="是",'20.03'!$BB$4,'20.03'!$BB$3))</f>
        <v>0</v>
      </c>
      <c r="U70" s="4">
        <f>IF(ISNUMBER(SEARCH("营",'20.03'!AC70)),(-$Y70+50*IF('20.03'!$AK70="是",'20.03'!$BB$4,'20.03'!$BB$3)),(VLOOKUP('20.03'!AC70,'20.03'!$AO$4:$AQ$55,2,FALSE))*IF('20.03'!$AK70="是",'20.03'!$BB$4,'20.03'!$BB$3))</f>
        <v>0</v>
      </c>
      <c r="V70" s="4">
        <f>IF(ISNUMBER(SEARCH("营",'20.03'!AD70)),(-$Y70+50*IF('20.03'!$AK70="是",'20.03'!$BB$4,'20.03'!$BB$3)),(VLOOKUP('20.03'!AD70,'20.03'!$AO$4:$AQ$55,2,FALSE))*IF('20.03'!$AK70="是",'20.03'!$BB$4,'20.03'!$BB$3))</f>
        <v>0</v>
      </c>
      <c r="W70" s="4">
        <f>IF(ISNUMBER(SEARCH("营",'20.03'!AE70)),(-$Y70+50*IF('20.03'!$AK70="是",'20.03'!$BB$4,'20.03'!$BB$3)),(VLOOKUP('20.03'!AE70,'20.03'!$AO$4:$AQ$55,2,FALSE))*IF('20.03'!$AK70="是",'20.03'!$BB$4,'20.03'!$BB$3))</f>
        <v>0</v>
      </c>
      <c r="X70" s="4">
        <f>IF(ISNUMBER(SEARCH("营",'20.03'!AF70)),(-$Y70+50*IF('20.03'!$AK70="是",'20.03'!$BB$4,'20.03'!$BB$3)),(VLOOKUP('20.03'!AF70,'20.03'!$AO$4:$AQ$55,2,FALSE))*IF('20.03'!$AK70="是",'20.03'!$BB$4,'20.03'!$BB$3))</f>
        <v>0</v>
      </c>
      <c r="Y70" s="63">
        <v>100</v>
      </c>
      <c r="Z70" s="94">
        <v>45887</v>
      </c>
    </row>
    <row r="71" spans="1:26">
      <c r="A71" s="4">
        <f>IF(ISNUMBER(SEARCH("营",'20.03'!I71)),(-$Y71+50*IF('20.03'!$AK71="是",'20.03'!$BB$4,'20.03'!$BB$3)),(VLOOKUP('20.03'!I71,'20.03'!$AO$4:$AQ$55,2,FALSE))*IF('20.03'!$AK71="是",'20.03'!$BB$4,'20.03'!$BB$3))</f>
        <v>0</v>
      </c>
      <c r="B71" s="4">
        <f>IF(ISNUMBER(SEARCH("营",'20.03'!J71)),(-$Y71+50*IF('20.03'!$AK71="是",'20.03'!$BB$4,'20.03'!$BB$3)),(VLOOKUP('20.03'!J71,'20.03'!$AO$4:$AQ$55,2,FALSE))*IF('20.03'!$AK71="是",'20.03'!$BB$4,'20.03'!$BB$3))</f>
        <v>0</v>
      </c>
      <c r="C71" s="4">
        <f>IF(ISNUMBER(SEARCH("营",'20.03'!K71)),(-$Y71+50*IF('20.03'!$AK71="是",'20.03'!$BB$4,'20.03'!$BB$3)),(VLOOKUP('20.03'!K71,'20.03'!$AO$4:$AQ$55,2,FALSE))*IF('20.03'!$AK71="是",'20.03'!$BB$4,'20.03'!$BB$3))</f>
        <v>0</v>
      </c>
      <c r="D71" s="4">
        <f>IF(ISNUMBER(SEARCH("营",'20.03'!L71)),(-$Y71+50*IF('20.03'!$AK71="是",'20.03'!$BB$4,'20.03'!$BB$3)),(VLOOKUP('20.03'!L71,'20.03'!$AO$4:$AQ$55,2,FALSE))*IF('20.03'!$AK71="是",'20.03'!$BB$4,'20.03'!$BB$3))</f>
        <v>0</v>
      </c>
      <c r="E71" s="4">
        <f>IF(ISNUMBER(SEARCH("营",'20.03'!M71)),(-$Y71+50*IF('20.03'!$AK71="是",'20.03'!$BB$4,'20.03'!$BB$3)),(VLOOKUP('20.03'!M71,'20.03'!$AO$4:$AQ$55,2,FALSE))*IF('20.03'!$AK71="是",'20.03'!$BB$4,'20.03'!$BB$3))</f>
        <v>0</v>
      </c>
      <c r="F71" s="4">
        <f>IF(ISNUMBER(SEARCH("营",'20.03'!N71)),(-$Y71+50*IF('20.03'!$AK71="是",'20.03'!$BB$4,'20.03'!$BB$3)),(VLOOKUP('20.03'!N71,'20.03'!$AO$4:$AQ$55,2,FALSE))*IF('20.03'!$AK71="是",'20.03'!$BB$4,'20.03'!$BB$3))</f>
        <v>0</v>
      </c>
      <c r="G71" s="4">
        <f>IF(ISNUMBER(SEARCH("营",'20.03'!O71)),(-$Y71+50*IF('20.03'!$AK71="是",'20.03'!$BB$4,'20.03'!$BB$3)),(VLOOKUP('20.03'!O71,'20.03'!$AO$4:$AQ$55,2,FALSE))*IF('20.03'!$AK71="是",'20.03'!$BB$4,'20.03'!$BB$3))</f>
        <v>0</v>
      </c>
      <c r="H71" s="4">
        <f>IF(ISNUMBER(SEARCH("营",'20.03'!P71)),(-$Y71+50*IF('20.03'!$AK71="是",'20.03'!$BB$4,'20.03'!$BB$3)),(VLOOKUP('20.03'!P71,'20.03'!$AO$4:$AQ$55,2,FALSE))*IF('20.03'!$AK71="是",'20.03'!$BB$4,'20.03'!$BB$3))</f>
        <v>0</v>
      </c>
      <c r="I71" s="4">
        <f>IF(ISNUMBER(SEARCH("营",'20.03'!Q71)),(-$Y71+50*IF('20.03'!$AK71="是",'20.03'!$BB$4,'20.03'!$BB$3)),(VLOOKUP('20.03'!Q71,'20.03'!$AO$4:$AQ$55,2,FALSE))*IF('20.03'!$AK71="是",'20.03'!$BB$4,'20.03'!$BB$3))</f>
        <v>0</v>
      </c>
      <c r="J71" s="4">
        <f>IF(ISNUMBER(SEARCH("营",'20.03'!R71)),(-$Y71+50*IF('20.03'!$AK71="是",'20.03'!$BB$4,'20.03'!$BB$3)),(VLOOKUP('20.03'!R71,'20.03'!$AO$4:$AQ$55,2,FALSE))*IF('20.03'!$AK71="是",'20.03'!$BB$4,'20.03'!$BB$3))</f>
        <v>0</v>
      </c>
      <c r="K71" s="4">
        <f>IF(ISNUMBER(SEARCH("营",'20.03'!S71)),(-$Y71+50*IF('20.03'!$AK71="是",'20.03'!$BB$4,'20.03'!$BB$3)),(VLOOKUP('20.03'!S71,'20.03'!$AO$4:$AQ$55,2,FALSE))*IF('20.03'!$AK71="是",'20.03'!$BB$4,'20.03'!$BB$3))</f>
        <v>0</v>
      </c>
      <c r="L71" s="4">
        <f>IF(ISNUMBER(SEARCH("营",'20.03'!T71)),(-$Y71+50*IF('20.03'!$AK71="是",'20.03'!$BB$4,'20.03'!$BB$3)),(VLOOKUP('20.03'!T71,'20.03'!$AO$4:$AQ$55,2,FALSE))*IF('20.03'!$AK71="是",'20.03'!$BB$4,'20.03'!$BB$3))</f>
        <v>0</v>
      </c>
      <c r="M71" s="4">
        <f>IF(ISNUMBER(SEARCH("营",'20.03'!U71)),(-$Y71+50*IF('20.03'!$AK71="是",'20.03'!$BB$4,'20.03'!$BB$3)),(VLOOKUP('20.03'!U71,'20.03'!$AO$4:$AQ$55,2,FALSE))*IF('20.03'!$AK71="是",'20.03'!$BB$4,'20.03'!$BB$3))</f>
        <v>0</v>
      </c>
      <c r="N71" s="4">
        <f>IF(ISNUMBER(SEARCH("营",'20.03'!V71)),(-$Y71+50*IF('20.03'!$AK71="是",'20.03'!$BB$4,'20.03'!$BB$3)),(VLOOKUP('20.03'!V71,'20.03'!$AO$4:$AQ$55,2,FALSE))*IF('20.03'!$AK71="是",'20.03'!$BB$4,'20.03'!$BB$3))</f>
        <v>0</v>
      </c>
      <c r="O71" s="4">
        <f>IF(ISNUMBER(SEARCH("营",'20.03'!W71)),(-$Y71+50*IF('20.03'!$AK71="是",'20.03'!$BB$4,'20.03'!$BB$3)),(VLOOKUP('20.03'!W71,'20.03'!$AO$4:$AQ$55,2,FALSE))*IF('20.03'!$AK71="是",'20.03'!$BB$4,'20.03'!$BB$3))</f>
        <v>0</v>
      </c>
      <c r="P71" s="4">
        <f>IF(ISNUMBER(SEARCH("营",'20.03'!X71)),(-$Y71+50*IF('20.03'!$AK71="是",'20.03'!$BB$4,'20.03'!$BB$3)),(VLOOKUP('20.03'!X71,'20.03'!$AO$4:$AQ$55,2,FALSE))*IF('20.03'!$AK71="是",'20.03'!$BB$4,'20.03'!$BB$3))</f>
        <v>0</v>
      </c>
      <c r="Q71" s="4">
        <f>IF(ISNUMBER(SEARCH("营",'20.03'!Y71)),(-$Y71+50*IF('20.03'!$AK71="是",'20.03'!$BB$4,'20.03'!$BB$3)),(VLOOKUP('20.03'!Y71,'20.03'!$AO$4:$AQ$55,2,FALSE))*IF('20.03'!$AK71="是",'20.03'!$BB$4,'20.03'!$BB$3))</f>
        <v>0</v>
      </c>
      <c r="R71" s="4">
        <f>IF(ISNUMBER(SEARCH("营",'20.03'!Z71)),(-$Y71+50*IF('20.03'!$AK71="是",'20.03'!$BB$4,'20.03'!$BB$3)),(VLOOKUP('20.03'!Z71,'20.03'!$AO$4:$AQ$55,2,FALSE))*IF('20.03'!$AK71="是",'20.03'!$BB$4,'20.03'!$BB$3))</f>
        <v>0</v>
      </c>
      <c r="S71" s="4">
        <f>IF(ISNUMBER(SEARCH("营",'20.03'!AA71)),(-$Y71+50*IF('20.03'!$AK71="是",'20.03'!$BB$4,'20.03'!$BB$3)),(VLOOKUP('20.03'!AA71,'20.03'!$AO$4:$AQ$55,2,FALSE))*IF('20.03'!$AK71="是",'20.03'!$BB$4,'20.03'!$BB$3))</f>
        <v>0</v>
      </c>
      <c r="T71" s="4">
        <f>IF(ISNUMBER(SEARCH("营",'20.03'!AB71)),(-$Y71+50*IF('20.03'!$AK71="是",'20.03'!$BB$4,'20.03'!$BB$3)),(VLOOKUP('20.03'!AB71,'20.03'!$AO$4:$AQ$55,2,FALSE))*IF('20.03'!$AK71="是",'20.03'!$BB$4,'20.03'!$BB$3))</f>
        <v>0</v>
      </c>
      <c r="U71" s="4">
        <f>IF(ISNUMBER(SEARCH("营",'20.03'!AC71)),(-$Y71+50*IF('20.03'!$AK71="是",'20.03'!$BB$4,'20.03'!$BB$3)),(VLOOKUP('20.03'!AC71,'20.03'!$AO$4:$AQ$55,2,FALSE))*IF('20.03'!$AK71="是",'20.03'!$BB$4,'20.03'!$BB$3))</f>
        <v>0</v>
      </c>
      <c r="V71" s="4">
        <f>IF(ISNUMBER(SEARCH("营",'20.03'!AD71)),(-$Y71+50*IF('20.03'!$AK71="是",'20.03'!$BB$4,'20.03'!$BB$3)),(VLOOKUP('20.03'!AD71,'20.03'!$AO$4:$AQ$55,2,FALSE))*IF('20.03'!$AK71="是",'20.03'!$BB$4,'20.03'!$BB$3))</f>
        <v>0</v>
      </c>
      <c r="W71" s="4">
        <f>IF(ISNUMBER(SEARCH("营",'20.03'!AE71)),(-$Y71+50*IF('20.03'!$AK71="是",'20.03'!$BB$4,'20.03'!$BB$3)),(VLOOKUP('20.03'!AE71,'20.03'!$AO$4:$AQ$55,2,FALSE))*IF('20.03'!$AK71="是",'20.03'!$BB$4,'20.03'!$BB$3))</f>
        <v>0</v>
      </c>
      <c r="X71" s="4">
        <f>IF(ISNUMBER(SEARCH("营",'20.03'!AF71)),(-$Y71+50*IF('20.03'!$AK71="是",'20.03'!$BB$4,'20.03'!$BB$3)),(VLOOKUP('20.03'!AF71,'20.03'!$AO$4:$AQ$55,2,FALSE))*IF('20.03'!$AK71="是",'20.03'!$BB$4,'20.03'!$BB$3))</f>
        <v>0</v>
      </c>
      <c r="Y71" s="63">
        <v>100</v>
      </c>
      <c r="Z71" s="94">
        <v>45888</v>
      </c>
    </row>
    <row r="72" spans="1:26">
      <c r="A72" s="4">
        <f>IF(ISNUMBER(SEARCH("营",'20.03'!I72)),(-$Y72+50*IF('20.03'!$AK72="是",'20.03'!$BB$4,'20.03'!$BB$3)),(VLOOKUP('20.03'!I72,'20.03'!$AO$4:$AQ$55,2,FALSE))*IF('20.03'!$AK72="是",'20.03'!$BB$4,'20.03'!$BB$3))</f>
        <v>0</v>
      </c>
      <c r="B72" s="4">
        <f>IF(ISNUMBER(SEARCH("营",'20.03'!J72)),(-$Y72+50*IF('20.03'!$AK72="是",'20.03'!$BB$4,'20.03'!$BB$3)),(VLOOKUP('20.03'!J72,'20.03'!$AO$4:$AQ$55,2,FALSE))*IF('20.03'!$AK72="是",'20.03'!$BB$4,'20.03'!$BB$3))</f>
        <v>0</v>
      </c>
      <c r="C72" s="4">
        <f>IF(ISNUMBER(SEARCH("营",'20.03'!K72)),(-$Y72+50*IF('20.03'!$AK72="是",'20.03'!$BB$4,'20.03'!$BB$3)),(VLOOKUP('20.03'!K72,'20.03'!$AO$4:$AQ$55,2,FALSE))*IF('20.03'!$AK72="是",'20.03'!$BB$4,'20.03'!$BB$3))</f>
        <v>0</v>
      </c>
      <c r="D72" s="4">
        <f>IF(ISNUMBER(SEARCH("营",'20.03'!L72)),(-$Y72+50*IF('20.03'!$AK72="是",'20.03'!$BB$4,'20.03'!$BB$3)),(VLOOKUP('20.03'!L72,'20.03'!$AO$4:$AQ$55,2,FALSE))*IF('20.03'!$AK72="是",'20.03'!$BB$4,'20.03'!$BB$3))</f>
        <v>0</v>
      </c>
      <c r="E72" s="4">
        <f>IF(ISNUMBER(SEARCH("营",'20.03'!M72)),(-$Y72+50*IF('20.03'!$AK72="是",'20.03'!$BB$4,'20.03'!$BB$3)),(VLOOKUP('20.03'!M72,'20.03'!$AO$4:$AQ$55,2,FALSE))*IF('20.03'!$AK72="是",'20.03'!$BB$4,'20.03'!$BB$3))</f>
        <v>0</v>
      </c>
      <c r="F72" s="4">
        <f>IF(ISNUMBER(SEARCH("营",'20.03'!N72)),(-$Y72+50*IF('20.03'!$AK72="是",'20.03'!$BB$4,'20.03'!$BB$3)),(VLOOKUP('20.03'!N72,'20.03'!$AO$4:$AQ$55,2,FALSE))*IF('20.03'!$AK72="是",'20.03'!$BB$4,'20.03'!$BB$3))</f>
        <v>0</v>
      </c>
      <c r="G72" s="4">
        <f>IF(ISNUMBER(SEARCH("营",'20.03'!O72)),(-$Y72+50*IF('20.03'!$AK72="是",'20.03'!$BB$4,'20.03'!$BB$3)),(VLOOKUP('20.03'!O72,'20.03'!$AO$4:$AQ$55,2,FALSE))*IF('20.03'!$AK72="是",'20.03'!$BB$4,'20.03'!$BB$3))</f>
        <v>0</v>
      </c>
      <c r="H72" s="4">
        <f>IF(ISNUMBER(SEARCH("营",'20.03'!P72)),(-$Y72+50*IF('20.03'!$AK72="是",'20.03'!$BB$4,'20.03'!$BB$3)),(VLOOKUP('20.03'!P72,'20.03'!$AO$4:$AQ$55,2,FALSE))*IF('20.03'!$AK72="是",'20.03'!$BB$4,'20.03'!$BB$3))</f>
        <v>0</v>
      </c>
      <c r="I72" s="4">
        <f>IF(ISNUMBER(SEARCH("营",'20.03'!Q72)),(-$Y72+50*IF('20.03'!$AK72="是",'20.03'!$BB$4,'20.03'!$BB$3)),(VLOOKUP('20.03'!Q72,'20.03'!$AO$4:$AQ$55,2,FALSE))*IF('20.03'!$AK72="是",'20.03'!$BB$4,'20.03'!$BB$3))</f>
        <v>0</v>
      </c>
      <c r="J72" s="4">
        <f>IF(ISNUMBER(SEARCH("营",'20.03'!R72)),(-$Y72+50*IF('20.03'!$AK72="是",'20.03'!$BB$4,'20.03'!$BB$3)),(VLOOKUP('20.03'!R72,'20.03'!$AO$4:$AQ$55,2,FALSE))*IF('20.03'!$AK72="是",'20.03'!$BB$4,'20.03'!$BB$3))</f>
        <v>0</v>
      </c>
      <c r="K72" s="4">
        <f>IF(ISNUMBER(SEARCH("营",'20.03'!S72)),(-$Y72+50*IF('20.03'!$AK72="是",'20.03'!$BB$4,'20.03'!$BB$3)),(VLOOKUP('20.03'!S72,'20.03'!$AO$4:$AQ$55,2,FALSE))*IF('20.03'!$AK72="是",'20.03'!$BB$4,'20.03'!$BB$3))</f>
        <v>0</v>
      </c>
      <c r="L72" s="4">
        <f>IF(ISNUMBER(SEARCH("营",'20.03'!T72)),(-$Y72+50*IF('20.03'!$AK72="是",'20.03'!$BB$4,'20.03'!$BB$3)),(VLOOKUP('20.03'!T72,'20.03'!$AO$4:$AQ$55,2,FALSE))*IF('20.03'!$AK72="是",'20.03'!$BB$4,'20.03'!$BB$3))</f>
        <v>0</v>
      </c>
      <c r="M72" s="4">
        <f>IF(ISNUMBER(SEARCH("营",'20.03'!U72)),(-$Y72+50*IF('20.03'!$AK72="是",'20.03'!$BB$4,'20.03'!$BB$3)),(VLOOKUP('20.03'!U72,'20.03'!$AO$4:$AQ$55,2,FALSE))*IF('20.03'!$AK72="是",'20.03'!$BB$4,'20.03'!$BB$3))</f>
        <v>0</v>
      </c>
      <c r="N72" s="4">
        <f>IF(ISNUMBER(SEARCH("营",'20.03'!V72)),(-$Y72+50*IF('20.03'!$AK72="是",'20.03'!$BB$4,'20.03'!$BB$3)),(VLOOKUP('20.03'!V72,'20.03'!$AO$4:$AQ$55,2,FALSE))*IF('20.03'!$AK72="是",'20.03'!$BB$4,'20.03'!$BB$3))</f>
        <v>0</v>
      </c>
      <c r="O72" s="4">
        <f>IF(ISNUMBER(SEARCH("营",'20.03'!W72)),(-$Y72+50*IF('20.03'!$AK72="是",'20.03'!$BB$4,'20.03'!$BB$3)),(VLOOKUP('20.03'!W72,'20.03'!$AO$4:$AQ$55,2,FALSE))*IF('20.03'!$AK72="是",'20.03'!$BB$4,'20.03'!$BB$3))</f>
        <v>0</v>
      </c>
      <c r="P72" s="4">
        <f>IF(ISNUMBER(SEARCH("营",'20.03'!X72)),(-$Y72+50*IF('20.03'!$AK72="是",'20.03'!$BB$4,'20.03'!$BB$3)),(VLOOKUP('20.03'!X72,'20.03'!$AO$4:$AQ$55,2,FALSE))*IF('20.03'!$AK72="是",'20.03'!$BB$4,'20.03'!$BB$3))</f>
        <v>0</v>
      </c>
      <c r="Q72" s="4">
        <f>IF(ISNUMBER(SEARCH("营",'20.03'!Y72)),(-$Y72+50*IF('20.03'!$AK72="是",'20.03'!$BB$4,'20.03'!$BB$3)),(VLOOKUP('20.03'!Y72,'20.03'!$AO$4:$AQ$55,2,FALSE))*IF('20.03'!$AK72="是",'20.03'!$BB$4,'20.03'!$BB$3))</f>
        <v>0</v>
      </c>
      <c r="R72" s="4">
        <f>IF(ISNUMBER(SEARCH("营",'20.03'!Z72)),(-$Y72+50*IF('20.03'!$AK72="是",'20.03'!$BB$4,'20.03'!$BB$3)),(VLOOKUP('20.03'!Z72,'20.03'!$AO$4:$AQ$55,2,FALSE))*IF('20.03'!$AK72="是",'20.03'!$BB$4,'20.03'!$BB$3))</f>
        <v>0</v>
      </c>
      <c r="S72" s="4">
        <f>IF(ISNUMBER(SEARCH("营",'20.03'!AA72)),(-$Y72+50*IF('20.03'!$AK72="是",'20.03'!$BB$4,'20.03'!$BB$3)),(VLOOKUP('20.03'!AA72,'20.03'!$AO$4:$AQ$55,2,FALSE))*IF('20.03'!$AK72="是",'20.03'!$BB$4,'20.03'!$BB$3))</f>
        <v>0</v>
      </c>
      <c r="T72" s="4">
        <f>IF(ISNUMBER(SEARCH("营",'20.03'!AB72)),(-$Y72+50*IF('20.03'!$AK72="是",'20.03'!$BB$4,'20.03'!$BB$3)),(VLOOKUP('20.03'!AB72,'20.03'!$AO$4:$AQ$55,2,FALSE))*IF('20.03'!$AK72="是",'20.03'!$BB$4,'20.03'!$BB$3))</f>
        <v>0</v>
      </c>
      <c r="U72" s="4">
        <f>IF(ISNUMBER(SEARCH("营",'20.03'!AC72)),(-$Y72+50*IF('20.03'!$AK72="是",'20.03'!$BB$4,'20.03'!$BB$3)),(VLOOKUP('20.03'!AC72,'20.03'!$AO$4:$AQ$55,2,FALSE))*IF('20.03'!$AK72="是",'20.03'!$BB$4,'20.03'!$BB$3))</f>
        <v>0</v>
      </c>
      <c r="V72" s="4">
        <f>IF(ISNUMBER(SEARCH("营",'20.03'!AD72)),(-$Y72+50*IF('20.03'!$AK72="是",'20.03'!$BB$4,'20.03'!$BB$3)),(VLOOKUP('20.03'!AD72,'20.03'!$AO$4:$AQ$55,2,FALSE))*IF('20.03'!$AK72="是",'20.03'!$BB$4,'20.03'!$BB$3))</f>
        <v>0</v>
      </c>
      <c r="W72" s="4">
        <f>IF(ISNUMBER(SEARCH("营",'20.03'!AE72)),(-$Y72+50*IF('20.03'!$AK72="是",'20.03'!$BB$4,'20.03'!$BB$3)),(VLOOKUP('20.03'!AE72,'20.03'!$AO$4:$AQ$55,2,FALSE))*IF('20.03'!$AK72="是",'20.03'!$BB$4,'20.03'!$BB$3))</f>
        <v>0</v>
      </c>
      <c r="X72" s="4">
        <f>IF(ISNUMBER(SEARCH("营",'20.03'!AF72)),(-$Y72+50*IF('20.03'!$AK72="是",'20.03'!$BB$4,'20.03'!$BB$3)),(VLOOKUP('20.03'!AF72,'20.03'!$AO$4:$AQ$55,2,FALSE))*IF('20.03'!$AK72="是",'20.03'!$BB$4,'20.03'!$BB$3))</f>
        <v>0</v>
      </c>
      <c r="Y72" s="63">
        <v>100</v>
      </c>
      <c r="Z72" s="94">
        <v>45889</v>
      </c>
    </row>
    <row r="73" spans="1:26">
      <c r="A73" s="4">
        <f>IF(ISNUMBER(SEARCH("营",'20.03'!I73)),(-$Y73+50*IF('20.03'!$AK73="是",'20.03'!$BB$4,'20.03'!$BB$3)),(VLOOKUP('20.03'!I73,'20.03'!$AO$4:$AQ$55,2,FALSE))*IF('20.03'!$AK73="是",'20.03'!$BB$4,'20.03'!$BB$3))</f>
        <v>0</v>
      </c>
      <c r="B73" s="4">
        <f>IF(ISNUMBER(SEARCH("营",'20.03'!J73)),(-$Y73+50*IF('20.03'!$AK73="是",'20.03'!$BB$4,'20.03'!$BB$3)),(VLOOKUP('20.03'!J73,'20.03'!$AO$4:$AQ$55,2,FALSE))*IF('20.03'!$AK73="是",'20.03'!$BB$4,'20.03'!$BB$3))</f>
        <v>0</v>
      </c>
      <c r="C73" s="4">
        <f>IF(ISNUMBER(SEARCH("营",'20.03'!K73)),(-$Y73+50*IF('20.03'!$AK73="是",'20.03'!$BB$4,'20.03'!$BB$3)),(VLOOKUP('20.03'!K73,'20.03'!$AO$4:$AQ$55,2,FALSE))*IF('20.03'!$AK73="是",'20.03'!$BB$4,'20.03'!$BB$3))</f>
        <v>0</v>
      </c>
      <c r="D73" s="4">
        <f>IF(ISNUMBER(SEARCH("营",'20.03'!L73)),(-$Y73+50*IF('20.03'!$AK73="是",'20.03'!$BB$4,'20.03'!$BB$3)),(VLOOKUP('20.03'!L73,'20.03'!$AO$4:$AQ$55,2,FALSE))*IF('20.03'!$AK73="是",'20.03'!$BB$4,'20.03'!$BB$3))</f>
        <v>0</v>
      </c>
      <c r="E73" s="4">
        <f>IF(ISNUMBER(SEARCH("营",'20.03'!M73)),(-$Y73+50*IF('20.03'!$AK73="是",'20.03'!$BB$4,'20.03'!$BB$3)),(VLOOKUP('20.03'!M73,'20.03'!$AO$4:$AQ$55,2,FALSE))*IF('20.03'!$AK73="是",'20.03'!$BB$4,'20.03'!$BB$3))</f>
        <v>0</v>
      </c>
      <c r="F73" s="4">
        <f>IF(ISNUMBER(SEARCH("营",'20.03'!N73)),(-$Y73+50*IF('20.03'!$AK73="是",'20.03'!$BB$4,'20.03'!$BB$3)),(VLOOKUP('20.03'!N73,'20.03'!$AO$4:$AQ$55,2,FALSE))*IF('20.03'!$AK73="是",'20.03'!$BB$4,'20.03'!$BB$3))</f>
        <v>0</v>
      </c>
      <c r="G73" s="4">
        <f>IF(ISNUMBER(SEARCH("营",'20.03'!O73)),(-$Y73+50*IF('20.03'!$AK73="是",'20.03'!$BB$4,'20.03'!$BB$3)),(VLOOKUP('20.03'!O73,'20.03'!$AO$4:$AQ$55,2,FALSE))*IF('20.03'!$AK73="是",'20.03'!$BB$4,'20.03'!$BB$3))</f>
        <v>0</v>
      </c>
      <c r="H73" s="4">
        <f>IF(ISNUMBER(SEARCH("营",'20.03'!P73)),(-$Y73+50*IF('20.03'!$AK73="是",'20.03'!$BB$4,'20.03'!$BB$3)),(VLOOKUP('20.03'!P73,'20.03'!$AO$4:$AQ$55,2,FALSE))*IF('20.03'!$AK73="是",'20.03'!$BB$4,'20.03'!$BB$3))</f>
        <v>0</v>
      </c>
      <c r="I73" s="4">
        <f>IF(ISNUMBER(SEARCH("营",'20.03'!Q73)),(-$Y73+50*IF('20.03'!$AK73="是",'20.03'!$BB$4,'20.03'!$BB$3)),(VLOOKUP('20.03'!Q73,'20.03'!$AO$4:$AQ$55,2,FALSE))*IF('20.03'!$AK73="是",'20.03'!$BB$4,'20.03'!$BB$3))</f>
        <v>0</v>
      </c>
      <c r="J73" s="4">
        <f>IF(ISNUMBER(SEARCH("营",'20.03'!R73)),(-$Y73+50*IF('20.03'!$AK73="是",'20.03'!$BB$4,'20.03'!$BB$3)),(VLOOKUP('20.03'!R73,'20.03'!$AO$4:$AQ$55,2,FALSE))*IF('20.03'!$AK73="是",'20.03'!$BB$4,'20.03'!$BB$3))</f>
        <v>0</v>
      </c>
      <c r="K73" s="4">
        <f>IF(ISNUMBER(SEARCH("营",'20.03'!S73)),(-$Y73+50*IF('20.03'!$AK73="是",'20.03'!$BB$4,'20.03'!$BB$3)),(VLOOKUP('20.03'!S73,'20.03'!$AO$4:$AQ$55,2,FALSE))*IF('20.03'!$AK73="是",'20.03'!$BB$4,'20.03'!$BB$3))</f>
        <v>0</v>
      </c>
      <c r="L73" s="4">
        <f>IF(ISNUMBER(SEARCH("营",'20.03'!T73)),(-$Y73+50*IF('20.03'!$AK73="是",'20.03'!$BB$4,'20.03'!$BB$3)),(VLOOKUP('20.03'!T73,'20.03'!$AO$4:$AQ$55,2,FALSE))*IF('20.03'!$AK73="是",'20.03'!$BB$4,'20.03'!$BB$3))</f>
        <v>0</v>
      </c>
      <c r="M73" s="4">
        <f>IF(ISNUMBER(SEARCH("营",'20.03'!U73)),(-$Y73+50*IF('20.03'!$AK73="是",'20.03'!$BB$4,'20.03'!$BB$3)),(VLOOKUP('20.03'!U73,'20.03'!$AO$4:$AQ$55,2,FALSE))*IF('20.03'!$AK73="是",'20.03'!$BB$4,'20.03'!$BB$3))</f>
        <v>0</v>
      </c>
      <c r="N73" s="4">
        <f>IF(ISNUMBER(SEARCH("营",'20.03'!V73)),(-$Y73+50*IF('20.03'!$AK73="是",'20.03'!$BB$4,'20.03'!$BB$3)),(VLOOKUP('20.03'!V73,'20.03'!$AO$4:$AQ$55,2,FALSE))*IF('20.03'!$AK73="是",'20.03'!$BB$4,'20.03'!$BB$3))</f>
        <v>0</v>
      </c>
      <c r="O73" s="4">
        <f>IF(ISNUMBER(SEARCH("营",'20.03'!W73)),(-$Y73+50*IF('20.03'!$AK73="是",'20.03'!$BB$4,'20.03'!$BB$3)),(VLOOKUP('20.03'!W73,'20.03'!$AO$4:$AQ$55,2,FALSE))*IF('20.03'!$AK73="是",'20.03'!$BB$4,'20.03'!$BB$3))</f>
        <v>0</v>
      </c>
      <c r="P73" s="4">
        <f>IF(ISNUMBER(SEARCH("营",'20.03'!X73)),(-$Y73+50*IF('20.03'!$AK73="是",'20.03'!$BB$4,'20.03'!$BB$3)),(VLOOKUP('20.03'!X73,'20.03'!$AO$4:$AQ$55,2,FALSE))*IF('20.03'!$AK73="是",'20.03'!$BB$4,'20.03'!$BB$3))</f>
        <v>0</v>
      </c>
      <c r="Q73" s="4">
        <f>IF(ISNUMBER(SEARCH("营",'20.03'!Y73)),(-$Y73+50*IF('20.03'!$AK73="是",'20.03'!$BB$4,'20.03'!$BB$3)),(VLOOKUP('20.03'!Y73,'20.03'!$AO$4:$AQ$55,2,FALSE))*IF('20.03'!$AK73="是",'20.03'!$BB$4,'20.03'!$BB$3))</f>
        <v>0</v>
      </c>
      <c r="R73" s="4">
        <f>IF(ISNUMBER(SEARCH("营",'20.03'!Z73)),(-$Y73+50*IF('20.03'!$AK73="是",'20.03'!$BB$4,'20.03'!$BB$3)),(VLOOKUP('20.03'!Z73,'20.03'!$AO$4:$AQ$55,2,FALSE))*IF('20.03'!$AK73="是",'20.03'!$BB$4,'20.03'!$BB$3))</f>
        <v>0</v>
      </c>
      <c r="S73" s="4">
        <f>IF(ISNUMBER(SEARCH("营",'20.03'!AA73)),(-$Y73+50*IF('20.03'!$AK73="是",'20.03'!$BB$4,'20.03'!$BB$3)),(VLOOKUP('20.03'!AA73,'20.03'!$AO$4:$AQ$55,2,FALSE))*IF('20.03'!$AK73="是",'20.03'!$BB$4,'20.03'!$BB$3))</f>
        <v>0</v>
      </c>
      <c r="T73" s="4">
        <f>IF(ISNUMBER(SEARCH("营",'20.03'!AB73)),(-$Y73+50*IF('20.03'!$AK73="是",'20.03'!$BB$4,'20.03'!$BB$3)),(VLOOKUP('20.03'!AB73,'20.03'!$AO$4:$AQ$55,2,FALSE))*IF('20.03'!$AK73="是",'20.03'!$BB$4,'20.03'!$BB$3))</f>
        <v>0</v>
      </c>
      <c r="U73" s="4">
        <f>IF(ISNUMBER(SEARCH("营",'20.03'!AC73)),(-$Y73+50*IF('20.03'!$AK73="是",'20.03'!$BB$4,'20.03'!$BB$3)),(VLOOKUP('20.03'!AC73,'20.03'!$AO$4:$AQ$55,2,FALSE))*IF('20.03'!$AK73="是",'20.03'!$BB$4,'20.03'!$BB$3))</f>
        <v>0</v>
      </c>
      <c r="V73" s="4">
        <f>IF(ISNUMBER(SEARCH("营",'20.03'!AD73)),(-$Y73+50*IF('20.03'!$AK73="是",'20.03'!$BB$4,'20.03'!$BB$3)),(VLOOKUP('20.03'!AD73,'20.03'!$AO$4:$AQ$55,2,FALSE))*IF('20.03'!$AK73="是",'20.03'!$BB$4,'20.03'!$BB$3))</f>
        <v>0</v>
      </c>
      <c r="W73" s="4">
        <f>IF(ISNUMBER(SEARCH("营",'20.03'!AE73)),(-$Y73+50*IF('20.03'!$AK73="是",'20.03'!$BB$4,'20.03'!$BB$3)),(VLOOKUP('20.03'!AE73,'20.03'!$AO$4:$AQ$55,2,FALSE))*IF('20.03'!$AK73="是",'20.03'!$BB$4,'20.03'!$BB$3))</f>
        <v>0</v>
      </c>
      <c r="X73" s="4">
        <f>IF(ISNUMBER(SEARCH("营",'20.03'!AF73)),(-$Y73+50*IF('20.03'!$AK73="是",'20.03'!$BB$4,'20.03'!$BB$3)),(VLOOKUP('20.03'!AF73,'20.03'!$AO$4:$AQ$55,2,FALSE))*IF('20.03'!$AK73="是",'20.03'!$BB$4,'20.03'!$BB$3))</f>
        <v>0</v>
      </c>
      <c r="Y73" s="63">
        <v>100</v>
      </c>
      <c r="Z73" s="94">
        <v>45890</v>
      </c>
    </row>
    <row r="74" spans="1:26">
      <c r="A74" s="4">
        <f>IF(ISNUMBER(SEARCH("营",'20.03'!I74)),(-$Y74+50*IF('20.03'!$AK74="是",'20.03'!$BB$4,'20.03'!$BB$3)),(VLOOKUP('20.03'!I74,'20.03'!$AO$4:$AQ$55,2,FALSE))*IF('20.03'!$AK74="是",'20.03'!$BB$4,'20.03'!$BB$3))</f>
        <v>0</v>
      </c>
      <c r="B74" s="4">
        <f>IF(ISNUMBER(SEARCH("营",'20.03'!J74)),(-$Y74+50*IF('20.03'!$AK74="是",'20.03'!$BB$4,'20.03'!$BB$3)),(VLOOKUP('20.03'!J74,'20.03'!$AO$4:$AQ$55,2,FALSE))*IF('20.03'!$AK74="是",'20.03'!$BB$4,'20.03'!$BB$3))</f>
        <v>0</v>
      </c>
      <c r="C74" s="4">
        <f>IF(ISNUMBER(SEARCH("营",'20.03'!K74)),(-$Y74+50*IF('20.03'!$AK74="是",'20.03'!$BB$4,'20.03'!$BB$3)),(VLOOKUP('20.03'!K74,'20.03'!$AO$4:$AQ$55,2,FALSE))*IF('20.03'!$AK74="是",'20.03'!$BB$4,'20.03'!$BB$3))</f>
        <v>0</v>
      </c>
      <c r="D74" s="4">
        <f>IF(ISNUMBER(SEARCH("营",'20.03'!L74)),(-$Y74+50*IF('20.03'!$AK74="是",'20.03'!$BB$4,'20.03'!$BB$3)),(VLOOKUP('20.03'!L74,'20.03'!$AO$4:$AQ$55,2,FALSE))*IF('20.03'!$AK74="是",'20.03'!$BB$4,'20.03'!$BB$3))</f>
        <v>0</v>
      </c>
      <c r="E74" s="4">
        <f>IF(ISNUMBER(SEARCH("营",'20.03'!M74)),(-$Y74+50*IF('20.03'!$AK74="是",'20.03'!$BB$4,'20.03'!$BB$3)),(VLOOKUP('20.03'!M74,'20.03'!$AO$4:$AQ$55,2,FALSE))*IF('20.03'!$AK74="是",'20.03'!$BB$4,'20.03'!$BB$3))</f>
        <v>0</v>
      </c>
      <c r="F74" s="4">
        <f>IF(ISNUMBER(SEARCH("营",'20.03'!N74)),(-$Y74+50*IF('20.03'!$AK74="是",'20.03'!$BB$4,'20.03'!$BB$3)),(VLOOKUP('20.03'!N74,'20.03'!$AO$4:$AQ$55,2,FALSE))*IF('20.03'!$AK74="是",'20.03'!$BB$4,'20.03'!$BB$3))</f>
        <v>0</v>
      </c>
      <c r="G74" s="4">
        <f>IF(ISNUMBER(SEARCH("营",'20.03'!O74)),(-$Y74+50*IF('20.03'!$AK74="是",'20.03'!$BB$4,'20.03'!$BB$3)),(VLOOKUP('20.03'!O74,'20.03'!$AO$4:$AQ$55,2,FALSE))*IF('20.03'!$AK74="是",'20.03'!$BB$4,'20.03'!$BB$3))</f>
        <v>0</v>
      </c>
      <c r="H74" s="4">
        <f>IF(ISNUMBER(SEARCH("营",'20.03'!P74)),(-$Y74+50*IF('20.03'!$AK74="是",'20.03'!$BB$4,'20.03'!$BB$3)),(VLOOKUP('20.03'!P74,'20.03'!$AO$4:$AQ$55,2,FALSE))*IF('20.03'!$AK74="是",'20.03'!$BB$4,'20.03'!$BB$3))</f>
        <v>0</v>
      </c>
      <c r="I74" s="4">
        <f>IF(ISNUMBER(SEARCH("营",'20.03'!Q74)),(-$Y74+50*IF('20.03'!$AK74="是",'20.03'!$BB$4,'20.03'!$BB$3)),(VLOOKUP('20.03'!Q74,'20.03'!$AO$4:$AQ$55,2,FALSE))*IF('20.03'!$AK74="是",'20.03'!$BB$4,'20.03'!$BB$3))</f>
        <v>0</v>
      </c>
      <c r="J74" s="4">
        <f>IF(ISNUMBER(SEARCH("营",'20.03'!R74)),(-$Y74+50*IF('20.03'!$AK74="是",'20.03'!$BB$4,'20.03'!$BB$3)),(VLOOKUP('20.03'!R74,'20.03'!$AO$4:$AQ$55,2,FALSE))*IF('20.03'!$AK74="是",'20.03'!$BB$4,'20.03'!$BB$3))</f>
        <v>0</v>
      </c>
      <c r="K74" s="4">
        <f>IF(ISNUMBER(SEARCH("营",'20.03'!S74)),(-$Y74+50*IF('20.03'!$AK74="是",'20.03'!$BB$4,'20.03'!$BB$3)),(VLOOKUP('20.03'!S74,'20.03'!$AO$4:$AQ$55,2,FALSE))*IF('20.03'!$AK74="是",'20.03'!$BB$4,'20.03'!$BB$3))</f>
        <v>0</v>
      </c>
      <c r="L74" s="4">
        <f>IF(ISNUMBER(SEARCH("营",'20.03'!T74)),(-$Y74+50*IF('20.03'!$AK74="是",'20.03'!$BB$4,'20.03'!$BB$3)),(VLOOKUP('20.03'!T74,'20.03'!$AO$4:$AQ$55,2,FALSE))*IF('20.03'!$AK74="是",'20.03'!$BB$4,'20.03'!$BB$3))</f>
        <v>0</v>
      </c>
      <c r="M74" s="4">
        <f>IF(ISNUMBER(SEARCH("营",'20.03'!U74)),(-$Y74+50*IF('20.03'!$AK74="是",'20.03'!$BB$4,'20.03'!$BB$3)),(VLOOKUP('20.03'!U74,'20.03'!$AO$4:$AQ$55,2,FALSE))*IF('20.03'!$AK74="是",'20.03'!$BB$4,'20.03'!$BB$3))</f>
        <v>0</v>
      </c>
      <c r="N74" s="4">
        <f>IF(ISNUMBER(SEARCH("营",'20.03'!V74)),(-$Y74+50*IF('20.03'!$AK74="是",'20.03'!$BB$4,'20.03'!$BB$3)),(VLOOKUP('20.03'!V74,'20.03'!$AO$4:$AQ$55,2,FALSE))*IF('20.03'!$AK74="是",'20.03'!$BB$4,'20.03'!$BB$3))</f>
        <v>0</v>
      </c>
      <c r="O74" s="4">
        <f>IF(ISNUMBER(SEARCH("营",'20.03'!W74)),(-$Y74+50*IF('20.03'!$AK74="是",'20.03'!$BB$4,'20.03'!$BB$3)),(VLOOKUP('20.03'!W74,'20.03'!$AO$4:$AQ$55,2,FALSE))*IF('20.03'!$AK74="是",'20.03'!$BB$4,'20.03'!$BB$3))</f>
        <v>0</v>
      </c>
      <c r="P74" s="4">
        <f>IF(ISNUMBER(SEARCH("营",'20.03'!X74)),(-$Y74+50*IF('20.03'!$AK74="是",'20.03'!$BB$4,'20.03'!$BB$3)),(VLOOKUP('20.03'!X74,'20.03'!$AO$4:$AQ$55,2,FALSE))*IF('20.03'!$AK74="是",'20.03'!$BB$4,'20.03'!$BB$3))</f>
        <v>0</v>
      </c>
      <c r="Q74" s="4">
        <f>IF(ISNUMBER(SEARCH("营",'20.03'!Y74)),(-$Y74+50*IF('20.03'!$AK74="是",'20.03'!$BB$4,'20.03'!$BB$3)),(VLOOKUP('20.03'!Y74,'20.03'!$AO$4:$AQ$55,2,FALSE))*IF('20.03'!$AK74="是",'20.03'!$BB$4,'20.03'!$BB$3))</f>
        <v>0</v>
      </c>
      <c r="R74" s="4">
        <f>IF(ISNUMBER(SEARCH("营",'20.03'!Z74)),(-$Y74+50*IF('20.03'!$AK74="是",'20.03'!$BB$4,'20.03'!$BB$3)),(VLOOKUP('20.03'!Z74,'20.03'!$AO$4:$AQ$55,2,FALSE))*IF('20.03'!$AK74="是",'20.03'!$BB$4,'20.03'!$BB$3))</f>
        <v>0</v>
      </c>
      <c r="S74" s="4">
        <f>IF(ISNUMBER(SEARCH("营",'20.03'!AA74)),(-$Y74+50*IF('20.03'!$AK74="是",'20.03'!$BB$4,'20.03'!$BB$3)),(VLOOKUP('20.03'!AA74,'20.03'!$AO$4:$AQ$55,2,FALSE))*IF('20.03'!$AK74="是",'20.03'!$BB$4,'20.03'!$BB$3))</f>
        <v>0</v>
      </c>
      <c r="T74" s="4">
        <f>IF(ISNUMBER(SEARCH("营",'20.03'!AB74)),(-$Y74+50*IF('20.03'!$AK74="是",'20.03'!$BB$4,'20.03'!$BB$3)),(VLOOKUP('20.03'!AB74,'20.03'!$AO$4:$AQ$55,2,FALSE))*IF('20.03'!$AK74="是",'20.03'!$BB$4,'20.03'!$BB$3))</f>
        <v>0</v>
      </c>
      <c r="U74" s="4">
        <f>IF(ISNUMBER(SEARCH("营",'20.03'!AC74)),(-$Y74+50*IF('20.03'!$AK74="是",'20.03'!$BB$4,'20.03'!$BB$3)),(VLOOKUP('20.03'!AC74,'20.03'!$AO$4:$AQ$55,2,FALSE))*IF('20.03'!$AK74="是",'20.03'!$BB$4,'20.03'!$BB$3))</f>
        <v>0</v>
      </c>
      <c r="V74" s="4">
        <f>IF(ISNUMBER(SEARCH("营",'20.03'!AD74)),(-$Y74+50*IF('20.03'!$AK74="是",'20.03'!$BB$4,'20.03'!$BB$3)),(VLOOKUP('20.03'!AD74,'20.03'!$AO$4:$AQ$55,2,FALSE))*IF('20.03'!$AK74="是",'20.03'!$BB$4,'20.03'!$BB$3))</f>
        <v>0</v>
      </c>
      <c r="W74" s="4">
        <f>IF(ISNUMBER(SEARCH("营",'20.03'!AE74)),(-$Y74+50*IF('20.03'!$AK74="是",'20.03'!$BB$4,'20.03'!$BB$3)),(VLOOKUP('20.03'!AE74,'20.03'!$AO$4:$AQ$55,2,FALSE))*IF('20.03'!$AK74="是",'20.03'!$BB$4,'20.03'!$BB$3))</f>
        <v>0</v>
      </c>
      <c r="X74" s="4">
        <f>IF(ISNUMBER(SEARCH("营",'20.03'!AF74)),(-$Y74+50*IF('20.03'!$AK74="是",'20.03'!$BB$4,'20.03'!$BB$3)),(VLOOKUP('20.03'!AF74,'20.03'!$AO$4:$AQ$55,2,FALSE))*IF('20.03'!$AK74="是",'20.03'!$BB$4,'20.03'!$BB$3))</f>
        <v>0</v>
      </c>
      <c r="Y74" s="63">
        <v>100</v>
      </c>
      <c r="Z74" s="94">
        <v>45891</v>
      </c>
    </row>
    <row r="75" spans="1:26">
      <c r="A75" s="4">
        <f>IF(ISNUMBER(SEARCH("营",'20.03'!I75)),(-$Y75+50*IF('20.03'!$AK75="是",'20.03'!$BB$4,'20.03'!$BB$3)),(VLOOKUP('20.03'!I75,'20.03'!$AO$4:$AQ$55,2,FALSE))*IF('20.03'!$AK75="是",'20.03'!$BB$4,'20.03'!$BB$3))</f>
        <v>0</v>
      </c>
      <c r="B75" s="4">
        <f>IF(ISNUMBER(SEARCH("营",'20.03'!J75)),(-$Y75+50*IF('20.03'!$AK75="是",'20.03'!$BB$4,'20.03'!$BB$3)),(VLOOKUP('20.03'!J75,'20.03'!$AO$4:$AQ$55,2,FALSE))*IF('20.03'!$AK75="是",'20.03'!$BB$4,'20.03'!$BB$3))</f>
        <v>0</v>
      </c>
      <c r="C75" s="4">
        <f>IF(ISNUMBER(SEARCH("营",'20.03'!K75)),(-$Y75+50*IF('20.03'!$AK75="是",'20.03'!$BB$4,'20.03'!$BB$3)),(VLOOKUP('20.03'!K75,'20.03'!$AO$4:$AQ$55,2,FALSE))*IF('20.03'!$AK75="是",'20.03'!$BB$4,'20.03'!$BB$3))</f>
        <v>0</v>
      </c>
      <c r="D75" s="4">
        <f>IF(ISNUMBER(SEARCH("营",'20.03'!L75)),(-$Y75+50*IF('20.03'!$AK75="是",'20.03'!$BB$4,'20.03'!$BB$3)),(VLOOKUP('20.03'!L75,'20.03'!$AO$4:$AQ$55,2,FALSE))*IF('20.03'!$AK75="是",'20.03'!$BB$4,'20.03'!$BB$3))</f>
        <v>0</v>
      </c>
      <c r="E75" s="4">
        <f>IF(ISNUMBER(SEARCH("营",'20.03'!M75)),(-$Y75+50*IF('20.03'!$AK75="是",'20.03'!$BB$4,'20.03'!$BB$3)),(VLOOKUP('20.03'!M75,'20.03'!$AO$4:$AQ$55,2,FALSE))*IF('20.03'!$AK75="是",'20.03'!$BB$4,'20.03'!$BB$3))</f>
        <v>0</v>
      </c>
      <c r="F75" s="4">
        <f>IF(ISNUMBER(SEARCH("营",'20.03'!N75)),(-$Y75+50*IF('20.03'!$AK75="是",'20.03'!$BB$4,'20.03'!$BB$3)),(VLOOKUP('20.03'!N75,'20.03'!$AO$4:$AQ$55,2,FALSE))*IF('20.03'!$AK75="是",'20.03'!$BB$4,'20.03'!$BB$3))</f>
        <v>0</v>
      </c>
      <c r="G75" s="4">
        <f>IF(ISNUMBER(SEARCH("营",'20.03'!O75)),(-$Y75+50*IF('20.03'!$AK75="是",'20.03'!$BB$4,'20.03'!$BB$3)),(VLOOKUP('20.03'!O75,'20.03'!$AO$4:$AQ$55,2,FALSE))*IF('20.03'!$AK75="是",'20.03'!$BB$4,'20.03'!$BB$3))</f>
        <v>0</v>
      </c>
      <c r="H75" s="4">
        <f>IF(ISNUMBER(SEARCH("营",'20.03'!P75)),(-$Y75+50*IF('20.03'!$AK75="是",'20.03'!$BB$4,'20.03'!$BB$3)),(VLOOKUP('20.03'!P75,'20.03'!$AO$4:$AQ$55,2,FALSE))*IF('20.03'!$AK75="是",'20.03'!$BB$4,'20.03'!$BB$3))</f>
        <v>0</v>
      </c>
      <c r="I75" s="4">
        <f>IF(ISNUMBER(SEARCH("营",'20.03'!Q75)),(-$Y75+50*IF('20.03'!$AK75="是",'20.03'!$BB$4,'20.03'!$BB$3)),(VLOOKUP('20.03'!Q75,'20.03'!$AO$4:$AQ$55,2,FALSE))*IF('20.03'!$AK75="是",'20.03'!$BB$4,'20.03'!$BB$3))</f>
        <v>0</v>
      </c>
      <c r="J75" s="4">
        <f>IF(ISNUMBER(SEARCH("营",'20.03'!R75)),(-$Y75+50*IF('20.03'!$AK75="是",'20.03'!$BB$4,'20.03'!$BB$3)),(VLOOKUP('20.03'!R75,'20.03'!$AO$4:$AQ$55,2,FALSE))*IF('20.03'!$AK75="是",'20.03'!$BB$4,'20.03'!$BB$3))</f>
        <v>0</v>
      </c>
      <c r="K75" s="4">
        <f>IF(ISNUMBER(SEARCH("营",'20.03'!S75)),(-$Y75+50*IF('20.03'!$AK75="是",'20.03'!$BB$4,'20.03'!$BB$3)),(VLOOKUP('20.03'!S75,'20.03'!$AO$4:$AQ$55,2,FALSE))*IF('20.03'!$AK75="是",'20.03'!$BB$4,'20.03'!$BB$3))</f>
        <v>0</v>
      </c>
      <c r="L75" s="4">
        <f>IF(ISNUMBER(SEARCH("营",'20.03'!T75)),(-$Y75+50*IF('20.03'!$AK75="是",'20.03'!$BB$4,'20.03'!$BB$3)),(VLOOKUP('20.03'!T75,'20.03'!$AO$4:$AQ$55,2,FALSE))*IF('20.03'!$AK75="是",'20.03'!$BB$4,'20.03'!$BB$3))</f>
        <v>0</v>
      </c>
      <c r="M75" s="4">
        <f>IF(ISNUMBER(SEARCH("营",'20.03'!U75)),(-$Y75+50*IF('20.03'!$AK75="是",'20.03'!$BB$4,'20.03'!$BB$3)),(VLOOKUP('20.03'!U75,'20.03'!$AO$4:$AQ$55,2,FALSE))*IF('20.03'!$AK75="是",'20.03'!$BB$4,'20.03'!$BB$3))</f>
        <v>0</v>
      </c>
      <c r="N75" s="4">
        <f>IF(ISNUMBER(SEARCH("营",'20.03'!V75)),(-$Y75+50*IF('20.03'!$AK75="是",'20.03'!$BB$4,'20.03'!$BB$3)),(VLOOKUP('20.03'!V75,'20.03'!$AO$4:$AQ$55,2,FALSE))*IF('20.03'!$AK75="是",'20.03'!$BB$4,'20.03'!$BB$3))</f>
        <v>0</v>
      </c>
      <c r="O75" s="4">
        <f>IF(ISNUMBER(SEARCH("营",'20.03'!W75)),(-$Y75+50*IF('20.03'!$AK75="是",'20.03'!$BB$4,'20.03'!$BB$3)),(VLOOKUP('20.03'!W75,'20.03'!$AO$4:$AQ$55,2,FALSE))*IF('20.03'!$AK75="是",'20.03'!$BB$4,'20.03'!$BB$3))</f>
        <v>0</v>
      </c>
      <c r="P75" s="4">
        <f>IF(ISNUMBER(SEARCH("营",'20.03'!X75)),(-$Y75+50*IF('20.03'!$AK75="是",'20.03'!$BB$4,'20.03'!$BB$3)),(VLOOKUP('20.03'!X75,'20.03'!$AO$4:$AQ$55,2,FALSE))*IF('20.03'!$AK75="是",'20.03'!$BB$4,'20.03'!$BB$3))</f>
        <v>0</v>
      </c>
      <c r="Q75" s="4">
        <f>IF(ISNUMBER(SEARCH("营",'20.03'!Y75)),(-$Y75+50*IF('20.03'!$AK75="是",'20.03'!$BB$4,'20.03'!$BB$3)),(VLOOKUP('20.03'!Y75,'20.03'!$AO$4:$AQ$55,2,FALSE))*IF('20.03'!$AK75="是",'20.03'!$BB$4,'20.03'!$BB$3))</f>
        <v>0</v>
      </c>
      <c r="R75" s="4">
        <f>IF(ISNUMBER(SEARCH("营",'20.03'!Z75)),(-$Y75+50*IF('20.03'!$AK75="是",'20.03'!$BB$4,'20.03'!$BB$3)),(VLOOKUP('20.03'!Z75,'20.03'!$AO$4:$AQ$55,2,FALSE))*IF('20.03'!$AK75="是",'20.03'!$BB$4,'20.03'!$BB$3))</f>
        <v>0</v>
      </c>
      <c r="S75" s="4">
        <f>IF(ISNUMBER(SEARCH("营",'20.03'!AA75)),(-$Y75+50*IF('20.03'!$AK75="是",'20.03'!$BB$4,'20.03'!$BB$3)),(VLOOKUP('20.03'!AA75,'20.03'!$AO$4:$AQ$55,2,FALSE))*IF('20.03'!$AK75="是",'20.03'!$BB$4,'20.03'!$BB$3))</f>
        <v>0</v>
      </c>
      <c r="T75" s="4">
        <f>IF(ISNUMBER(SEARCH("营",'20.03'!AB75)),(-$Y75+50*IF('20.03'!$AK75="是",'20.03'!$BB$4,'20.03'!$BB$3)),(VLOOKUP('20.03'!AB75,'20.03'!$AO$4:$AQ$55,2,FALSE))*IF('20.03'!$AK75="是",'20.03'!$BB$4,'20.03'!$BB$3))</f>
        <v>0</v>
      </c>
      <c r="U75" s="4">
        <f>IF(ISNUMBER(SEARCH("营",'20.03'!AC75)),(-$Y75+50*IF('20.03'!$AK75="是",'20.03'!$BB$4,'20.03'!$BB$3)),(VLOOKUP('20.03'!AC75,'20.03'!$AO$4:$AQ$55,2,FALSE))*IF('20.03'!$AK75="是",'20.03'!$BB$4,'20.03'!$BB$3))</f>
        <v>0</v>
      </c>
      <c r="V75" s="4">
        <f>IF(ISNUMBER(SEARCH("营",'20.03'!AD75)),(-$Y75+50*IF('20.03'!$AK75="是",'20.03'!$BB$4,'20.03'!$BB$3)),(VLOOKUP('20.03'!AD75,'20.03'!$AO$4:$AQ$55,2,FALSE))*IF('20.03'!$AK75="是",'20.03'!$BB$4,'20.03'!$BB$3))</f>
        <v>0</v>
      </c>
      <c r="W75" s="4">
        <f>IF(ISNUMBER(SEARCH("营",'20.03'!AE75)),(-$Y75+50*IF('20.03'!$AK75="是",'20.03'!$BB$4,'20.03'!$BB$3)),(VLOOKUP('20.03'!AE75,'20.03'!$AO$4:$AQ$55,2,FALSE))*IF('20.03'!$AK75="是",'20.03'!$BB$4,'20.03'!$BB$3))</f>
        <v>0</v>
      </c>
      <c r="X75" s="4">
        <f>IF(ISNUMBER(SEARCH("营",'20.03'!AF75)),(-$Y75+50*IF('20.03'!$AK75="是",'20.03'!$BB$4,'20.03'!$BB$3)),(VLOOKUP('20.03'!AF75,'20.03'!$AO$4:$AQ$55,2,FALSE))*IF('20.03'!$AK75="是",'20.03'!$BB$4,'20.03'!$BB$3))</f>
        <v>0</v>
      </c>
      <c r="Y75" s="63">
        <v>100</v>
      </c>
      <c r="Z75" s="94">
        <v>45892</v>
      </c>
    </row>
    <row r="76" spans="1:26">
      <c r="A76" s="4">
        <f>IF(ISNUMBER(SEARCH("营",'20.03'!I76)),(-$Y76+50*IF('20.03'!$AK76="是",'20.03'!$BB$4,'20.03'!$BB$3)),(VLOOKUP('20.03'!I76,'20.03'!$AO$4:$AQ$55,2,FALSE))*IF('20.03'!$AK76="是",'20.03'!$BB$4,'20.03'!$BB$3))</f>
        <v>0</v>
      </c>
      <c r="B76" s="4">
        <f>IF(ISNUMBER(SEARCH("营",'20.03'!J76)),(-$Y76+50*IF('20.03'!$AK76="是",'20.03'!$BB$4,'20.03'!$BB$3)),(VLOOKUP('20.03'!J76,'20.03'!$AO$4:$AQ$55,2,FALSE))*IF('20.03'!$AK76="是",'20.03'!$BB$4,'20.03'!$BB$3))</f>
        <v>0</v>
      </c>
      <c r="C76" s="4">
        <f>IF(ISNUMBER(SEARCH("营",'20.03'!K76)),(-$Y76+50*IF('20.03'!$AK76="是",'20.03'!$BB$4,'20.03'!$BB$3)),(VLOOKUP('20.03'!K76,'20.03'!$AO$4:$AQ$55,2,FALSE))*IF('20.03'!$AK76="是",'20.03'!$BB$4,'20.03'!$BB$3))</f>
        <v>0</v>
      </c>
      <c r="D76" s="4">
        <f>IF(ISNUMBER(SEARCH("营",'20.03'!L76)),(-$Y76+50*IF('20.03'!$AK76="是",'20.03'!$BB$4,'20.03'!$BB$3)),(VLOOKUP('20.03'!L76,'20.03'!$AO$4:$AQ$55,2,FALSE))*IF('20.03'!$AK76="是",'20.03'!$BB$4,'20.03'!$BB$3))</f>
        <v>0</v>
      </c>
      <c r="E76" s="4">
        <f>IF(ISNUMBER(SEARCH("营",'20.03'!M76)),(-$Y76+50*IF('20.03'!$AK76="是",'20.03'!$BB$4,'20.03'!$BB$3)),(VLOOKUP('20.03'!M76,'20.03'!$AO$4:$AQ$55,2,FALSE))*IF('20.03'!$AK76="是",'20.03'!$BB$4,'20.03'!$BB$3))</f>
        <v>0</v>
      </c>
      <c r="F76" s="4">
        <f>IF(ISNUMBER(SEARCH("营",'20.03'!N76)),(-$Y76+50*IF('20.03'!$AK76="是",'20.03'!$BB$4,'20.03'!$BB$3)),(VLOOKUP('20.03'!N76,'20.03'!$AO$4:$AQ$55,2,FALSE))*IF('20.03'!$AK76="是",'20.03'!$BB$4,'20.03'!$BB$3))</f>
        <v>0</v>
      </c>
      <c r="G76" s="4">
        <f>IF(ISNUMBER(SEARCH("营",'20.03'!O76)),(-$Y76+50*IF('20.03'!$AK76="是",'20.03'!$BB$4,'20.03'!$BB$3)),(VLOOKUP('20.03'!O76,'20.03'!$AO$4:$AQ$55,2,FALSE))*IF('20.03'!$AK76="是",'20.03'!$BB$4,'20.03'!$BB$3))</f>
        <v>0</v>
      </c>
      <c r="H76" s="4">
        <f>IF(ISNUMBER(SEARCH("营",'20.03'!P76)),(-$Y76+50*IF('20.03'!$AK76="是",'20.03'!$BB$4,'20.03'!$BB$3)),(VLOOKUP('20.03'!P76,'20.03'!$AO$4:$AQ$55,2,FALSE))*IF('20.03'!$AK76="是",'20.03'!$BB$4,'20.03'!$BB$3))</f>
        <v>0</v>
      </c>
      <c r="I76" s="4">
        <f>IF(ISNUMBER(SEARCH("营",'20.03'!Q76)),(-$Y76+50*IF('20.03'!$AK76="是",'20.03'!$BB$4,'20.03'!$BB$3)),(VLOOKUP('20.03'!Q76,'20.03'!$AO$4:$AQ$55,2,FALSE))*IF('20.03'!$AK76="是",'20.03'!$BB$4,'20.03'!$BB$3))</f>
        <v>0</v>
      </c>
      <c r="J76" s="4">
        <f>IF(ISNUMBER(SEARCH("营",'20.03'!R76)),(-$Y76+50*IF('20.03'!$AK76="是",'20.03'!$BB$4,'20.03'!$BB$3)),(VLOOKUP('20.03'!R76,'20.03'!$AO$4:$AQ$55,2,FALSE))*IF('20.03'!$AK76="是",'20.03'!$BB$4,'20.03'!$BB$3))</f>
        <v>0</v>
      </c>
      <c r="K76" s="4">
        <f>IF(ISNUMBER(SEARCH("营",'20.03'!S76)),(-$Y76+50*IF('20.03'!$AK76="是",'20.03'!$BB$4,'20.03'!$BB$3)),(VLOOKUP('20.03'!S76,'20.03'!$AO$4:$AQ$55,2,FALSE))*IF('20.03'!$AK76="是",'20.03'!$BB$4,'20.03'!$BB$3))</f>
        <v>0</v>
      </c>
      <c r="L76" s="4">
        <f>IF(ISNUMBER(SEARCH("营",'20.03'!T76)),(-$Y76+50*IF('20.03'!$AK76="是",'20.03'!$BB$4,'20.03'!$BB$3)),(VLOOKUP('20.03'!T76,'20.03'!$AO$4:$AQ$55,2,FALSE))*IF('20.03'!$AK76="是",'20.03'!$BB$4,'20.03'!$BB$3))</f>
        <v>0</v>
      </c>
      <c r="M76" s="4">
        <f>IF(ISNUMBER(SEARCH("营",'20.03'!U76)),(-$Y76+50*IF('20.03'!$AK76="是",'20.03'!$BB$4,'20.03'!$BB$3)),(VLOOKUP('20.03'!U76,'20.03'!$AO$4:$AQ$55,2,FALSE))*IF('20.03'!$AK76="是",'20.03'!$BB$4,'20.03'!$BB$3))</f>
        <v>0</v>
      </c>
      <c r="N76" s="4">
        <f>IF(ISNUMBER(SEARCH("营",'20.03'!V76)),(-$Y76+50*IF('20.03'!$AK76="是",'20.03'!$BB$4,'20.03'!$BB$3)),(VLOOKUP('20.03'!V76,'20.03'!$AO$4:$AQ$55,2,FALSE))*IF('20.03'!$AK76="是",'20.03'!$BB$4,'20.03'!$BB$3))</f>
        <v>0</v>
      </c>
      <c r="O76" s="4">
        <f>IF(ISNUMBER(SEARCH("营",'20.03'!W76)),(-$Y76+50*IF('20.03'!$AK76="是",'20.03'!$BB$4,'20.03'!$BB$3)),(VLOOKUP('20.03'!W76,'20.03'!$AO$4:$AQ$55,2,FALSE))*IF('20.03'!$AK76="是",'20.03'!$BB$4,'20.03'!$BB$3))</f>
        <v>0</v>
      </c>
      <c r="P76" s="4">
        <f>IF(ISNUMBER(SEARCH("营",'20.03'!X76)),(-$Y76+50*IF('20.03'!$AK76="是",'20.03'!$BB$4,'20.03'!$BB$3)),(VLOOKUP('20.03'!X76,'20.03'!$AO$4:$AQ$55,2,FALSE))*IF('20.03'!$AK76="是",'20.03'!$BB$4,'20.03'!$BB$3))</f>
        <v>0</v>
      </c>
      <c r="Q76" s="4">
        <f>IF(ISNUMBER(SEARCH("营",'20.03'!Y76)),(-$Y76+50*IF('20.03'!$AK76="是",'20.03'!$BB$4,'20.03'!$BB$3)),(VLOOKUP('20.03'!Y76,'20.03'!$AO$4:$AQ$55,2,FALSE))*IF('20.03'!$AK76="是",'20.03'!$BB$4,'20.03'!$BB$3))</f>
        <v>0</v>
      </c>
      <c r="R76" s="4">
        <f>IF(ISNUMBER(SEARCH("营",'20.03'!Z76)),(-$Y76+50*IF('20.03'!$AK76="是",'20.03'!$BB$4,'20.03'!$BB$3)),(VLOOKUP('20.03'!Z76,'20.03'!$AO$4:$AQ$55,2,FALSE))*IF('20.03'!$AK76="是",'20.03'!$BB$4,'20.03'!$BB$3))</f>
        <v>0</v>
      </c>
      <c r="S76" s="4">
        <f>IF(ISNUMBER(SEARCH("营",'20.03'!AA76)),(-$Y76+50*IF('20.03'!$AK76="是",'20.03'!$BB$4,'20.03'!$BB$3)),(VLOOKUP('20.03'!AA76,'20.03'!$AO$4:$AQ$55,2,FALSE))*IF('20.03'!$AK76="是",'20.03'!$BB$4,'20.03'!$BB$3))</f>
        <v>0</v>
      </c>
      <c r="T76" s="4">
        <f>IF(ISNUMBER(SEARCH("营",'20.03'!AB76)),(-$Y76+50*IF('20.03'!$AK76="是",'20.03'!$BB$4,'20.03'!$BB$3)),(VLOOKUP('20.03'!AB76,'20.03'!$AO$4:$AQ$55,2,FALSE))*IF('20.03'!$AK76="是",'20.03'!$BB$4,'20.03'!$BB$3))</f>
        <v>0</v>
      </c>
      <c r="U76" s="4">
        <f>IF(ISNUMBER(SEARCH("营",'20.03'!AC76)),(-$Y76+50*IF('20.03'!$AK76="是",'20.03'!$BB$4,'20.03'!$BB$3)),(VLOOKUP('20.03'!AC76,'20.03'!$AO$4:$AQ$55,2,FALSE))*IF('20.03'!$AK76="是",'20.03'!$BB$4,'20.03'!$BB$3))</f>
        <v>0</v>
      </c>
      <c r="V76" s="4">
        <f>IF(ISNUMBER(SEARCH("营",'20.03'!AD76)),(-$Y76+50*IF('20.03'!$AK76="是",'20.03'!$BB$4,'20.03'!$BB$3)),(VLOOKUP('20.03'!AD76,'20.03'!$AO$4:$AQ$55,2,FALSE))*IF('20.03'!$AK76="是",'20.03'!$BB$4,'20.03'!$BB$3))</f>
        <v>0</v>
      </c>
      <c r="W76" s="4">
        <f>IF(ISNUMBER(SEARCH("营",'20.03'!AE76)),(-$Y76+50*IF('20.03'!$AK76="是",'20.03'!$BB$4,'20.03'!$BB$3)),(VLOOKUP('20.03'!AE76,'20.03'!$AO$4:$AQ$55,2,FALSE))*IF('20.03'!$AK76="是",'20.03'!$BB$4,'20.03'!$BB$3))</f>
        <v>0</v>
      </c>
      <c r="X76" s="4">
        <f>IF(ISNUMBER(SEARCH("营",'20.03'!AF76)),(-$Y76+50*IF('20.03'!$AK76="是",'20.03'!$BB$4,'20.03'!$BB$3)),(VLOOKUP('20.03'!AF76,'20.03'!$AO$4:$AQ$55,2,FALSE))*IF('20.03'!$AK76="是",'20.03'!$BB$4,'20.03'!$BB$3))</f>
        <v>0</v>
      </c>
      <c r="Y76" s="63">
        <v>100</v>
      </c>
      <c r="Z76" s="94">
        <v>45893</v>
      </c>
    </row>
    <row r="77" spans="1:26">
      <c r="A77" s="4">
        <f>IF(ISNUMBER(SEARCH("营",'20.03'!I77)),(-$Y77+50*IF('20.03'!$AK77="是",'20.03'!$BB$4,'20.03'!$BB$3)),(VLOOKUP('20.03'!I77,'20.03'!$AO$4:$AQ$55,2,FALSE))*IF('20.03'!$AK77="是",'20.03'!$BB$4,'20.03'!$BB$3))</f>
        <v>0</v>
      </c>
      <c r="B77" s="4">
        <f>IF(ISNUMBER(SEARCH("营",'20.03'!J77)),(-$Y77+50*IF('20.03'!$AK77="是",'20.03'!$BB$4,'20.03'!$BB$3)),(VLOOKUP('20.03'!J77,'20.03'!$AO$4:$AQ$55,2,FALSE))*IF('20.03'!$AK77="是",'20.03'!$BB$4,'20.03'!$BB$3))</f>
        <v>0</v>
      </c>
      <c r="C77" s="4">
        <f>IF(ISNUMBER(SEARCH("营",'20.03'!K77)),(-$Y77+50*IF('20.03'!$AK77="是",'20.03'!$BB$4,'20.03'!$BB$3)),(VLOOKUP('20.03'!K77,'20.03'!$AO$4:$AQ$55,2,FALSE))*IF('20.03'!$AK77="是",'20.03'!$BB$4,'20.03'!$BB$3))</f>
        <v>0</v>
      </c>
      <c r="D77" s="4">
        <f>IF(ISNUMBER(SEARCH("营",'20.03'!L77)),(-$Y77+50*IF('20.03'!$AK77="是",'20.03'!$BB$4,'20.03'!$BB$3)),(VLOOKUP('20.03'!L77,'20.03'!$AO$4:$AQ$55,2,FALSE))*IF('20.03'!$AK77="是",'20.03'!$BB$4,'20.03'!$BB$3))</f>
        <v>0</v>
      </c>
      <c r="E77" s="4">
        <f>IF(ISNUMBER(SEARCH("营",'20.03'!M77)),(-$Y77+50*IF('20.03'!$AK77="是",'20.03'!$BB$4,'20.03'!$BB$3)),(VLOOKUP('20.03'!M77,'20.03'!$AO$4:$AQ$55,2,FALSE))*IF('20.03'!$AK77="是",'20.03'!$BB$4,'20.03'!$BB$3))</f>
        <v>0</v>
      </c>
      <c r="F77" s="4">
        <f>IF(ISNUMBER(SEARCH("营",'20.03'!N77)),(-$Y77+50*IF('20.03'!$AK77="是",'20.03'!$BB$4,'20.03'!$BB$3)),(VLOOKUP('20.03'!N77,'20.03'!$AO$4:$AQ$55,2,FALSE))*IF('20.03'!$AK77="是",'20.03'!$BB$4,'20.03'!$BB$3))</f>
        <v>0</v>
      </c>
      <c r="G77" s="4">
        <f>IF(ISNUMBER(SEARCH("营",'20.03'!O77)),(-$Y77+50*IF('20.03'!$AK77="是",'20.03'!$BB$4,'20.03'!$BB$3)),(VLOOKUP('20.03'!O77,'20.03'!$AO$4:$AQ$55,2,FALSE))*IF('20.03'!$AK77="是",'20.03'!$BB$4,'20.03'!$BB$3))</f>
        <v>0</v>
      </c>
      <c r="H77" s="4">
        <f>IF(ISNUMBER(SEARCH("营",'20.03'!P77)),(-$Y77+50*IF('20.03'!$AK77="是",'20.03'!$BB$4,'20.03'!$BB$3)),(VLOOKUP('20.03'!P77,'20.03'!$AO$4:$AQ$55,2,FALSE))*IF('20.03'!$AK77="是",'20.03'!$BB$4,'20.03'!$BB$3))</f>
        <v>0</v>
      </c>
      <c r="I77" s="4">
        <f>IF(ISNUMBER(SEARCH("营",'20.03'!Q77)),(-$Y77+50*IF('20.03'!$AK77="是",'20.03'!$BB$4,'20.03'!$BB$3)),(VLOOKUP('20.03'!Q77,'20.03'!$AO$4:$AQ$55,2,FALSE))*IF('20.03'!$AK77="是",'20.03'!$BB$4,'20.03'!$BB$3))</f>
        <v>0</v>
      </c>
      <c r="J77" s="4">
        <f>IF(ISNUMBER(SEARCH("营",'20.03'!R77)),(-$Y77+50*IF('20.03'!$AK77="是",'20.03'!$BB$4,'20.03'!$BB$3)),(VLOOKUP('20.03'!R77,'20.03'!$AO$4:$AQ$55,2,FALSE))*IF('20.03'!$AK77="是",'20.03'!$BB$4,'20.03'!$BB$3))</f>
        <v>0</v>
      </c>
      <c r="K77" s="4">
        <f>IF(ISNUMBER(SEARCH("营",'20.03'!S77)),(-$Y77+50*IF('20.03'!$AK77="是",'20.03'!$BB$4,'20.03'!$BB$3)),(VLOOKUP('20.03'!S77,'20.03'!$AO$4:$AQ$55,2,FALSE))*IF('20.03'!$AK77="是",'20.03'!$BB$4,'20.03'!$BB$3))</f>
        <v>0</v>
      </c>
      <c r="L77" s="4">
        <f>IF(ISNUMBER(SEARCH("营",'20.03'!T77)),(-$Y77+50*IF('20.03'!$AK77="是",'20.03'!$BB$4,'20.03'!$BB$3)),(VLOOKUP('20.03'!T77,'20.03'!$AO$4:$AQ$55,2,FALSE))*IF('20.03'!$AK77="是",'20.03'!$BB$4,'20.03'!$BB$3))</f>
        <v>0</v>
      </c>
      <c r="M77" s="4">
        <f>IF(ISNUMBER(SEARCH("营",'20.03'!U77)),(-$Y77+50*IF('20.03'!$AK77="是",'20.03'!$BB$4,'20.03'!$BB$3)),(VLOOKUP('20.03'!U77,'20.03'!$AO$4:$AQ$55,2,FALSE))*IF('20.03'!$AK77="是",'20.03'!$BB$4,'20.03'!$BB$3))</f>
        <v>0</v>
      </c>
      <c r="N77" s="4">
        <f>IF(ISNUMBER(SEARCH("营",'20.03'!V77)),(-$Y77+50*IF('20.03'!$AK77="是",'20.03'!$BB$4,'20.03'!$BB$3)),(VLOOKUP('20.03'!V77,'20.03'!$AO$4:$AQ$55,2,FALSE))*IF('20.03'!$AK77="是",'20.03'!$BB$4,'20.03'!$BB$3))</f>
        <v>0</v>
      </c>
      <c r="O77" s="4">
        <f>IF(ISNUMBER(SEARCH("营",'20.03'!W77)),(-$Y77+50*IF('20.03'!$AK77="是",'20.03'!$BB$4,'20.03'!$BB$3)),(VLOOKUP('20.03'!W77,'20.03'!$AO$4:$AQ$55,2,FALSE))*IF('20.03'!$AK77="是",'20.03'!$BB$4,'20.03'!$BB$3))</f>
        <v>0</v>
      </c>
      <c r="P77" s="4">
        <f>IF(ISNUMBER(SEARCH("营",'20.03'!X77)),(-$Y77+50*IF('20.03'!$AK77="是",'20.03'!$BB$4,'20.03'!$BB$3)),(VLOOKUP('20.03'!X77,'20.03'!$AO$4:$AQ$55,2,FALSE))*IF('20.03'!$AK77="是",'20.03'!$BB$4,'20.03'!$BB$3))</f>
        <v>0</v>
      </c>
      <c r="Q77" s="4">
        <f>IF(ISNUMBER(SEARCH("营",'20.03'!Y77)),(-$Y77+50*IF('20.03'!$AK77="是",'20.03'!$BB$4,'20.03'!$BB$3)),(VLOOKUP('20.03'!Y77,'20.03'!$AO$4:$AQ$55,2,FALSE))*IF('20.03'!$AK77="是",'20.03'!$BB$4,'20.03'!$BB$3))</f>
        <v>0</v>
      </c>
      <c r="R77" s="4">
        <f>IF(ISNUMBER(SEARCH("营",'20.03'!Z77)),(-$Y77+50*IF('20.03'!$AK77="是",'20.03'!$BB$4,'20.03'!$BB$3)),(VLOOKUP('20.03'!Z77,'20.03'!$AO$4:$AQ$55,2,FALSE))*IF('20.03'!$AK77="是",'20.03'!$BB$4,'20.03'!$BB$3))</f>
        <v>0</v>
      </c>
      <c r="S77" s="4">
        <f>IF(ISNUMBER(SEARCH("营",'20.03'!AA77)),(-$Y77+50*IF('20.03'!$AK77="是",'20.03'!$BB$4,'20.03'!$BB$3)),(VLOOKUP('20.03'!AA77,'20.03'!$AO$4:$AQ$55,2,FALSE))*IF('20.03'!$AK77="是",'20.03'!$BB$4,'20.03'!$BB$3))</f>
        <v>0</v>
      </c>
      <c r="T77" s="4">
        <f>IF(ISNUMBER(SEARCH("营",'20.03'!AB77)),(-$Y77+50*IF('20.03'!$AK77="是",'20.03'!$BB$4,'20.03'!$BB$3)),(VLOOKUP('20.03'!AB77,'20.03'!$AO$4:$AQ$55,2,FALSE))*IF('20.03'!$AK77="是",'20.03'!$BB$4,'20.03'!$BB$3))</f>
        <v>0</v>
      </c>
      <c r="U77" s="4">
        <f>IF(ISNUMBER(SEARCH("营",'20.03'!AC77)),(-$Y77+50*IF('20.03'!$AK77="是",'20.03'!$BB$4,'20.03'!$BB$3)),(VLOOKUP('20.03'!AC77,'20.03'!$AO$4:$AQ$55,2,FALSE))*IF('20.03'!$AK77="是",'20.03'!$BB$4,'20.03'!$BB$3))</f>
        <v>0</v>
      </c>
      <c r="V77" s="4">
        <f>IF(ISNUMBER(SEARCH("营",'20.03'!AD77)),(-$Y77+50*IF('20.03'!$AK77="是",'20.03'!$BB$4,'20.03'!$BB$3)),(VLOOKUP('20.03'!AD77,'20.03'!$AO$4:$AQ$55,2,FALSE))*IF('20.03'!$AK77="是",'20.03'!$BB$4,'20.03'!$BB$3))</f>
        <v>0</v>
      </c>
      <c r="W77" s="4">
        <f>IF(ISNUMBER(SEARCH("营",'20.03'!AE77)),(-$Y77+50*IF('20.03'!$AK77="是",'20.03'!$BB$4,'20.03'!$BB$3)),(VLOOKUP('20.03'!AE77,'20.03'!$AO$4:$AQ$55,2,FALSE))*IF('20.03'!$AK77="是",'20.03'!$BB$4,'20.03'!$BB$3))</f>
        <v>0</v>
      </c>
      <c r="X77" s="4">
        <f>IF(ISNUMBER(SEARCH("营",'20.03'!AF77)),(-$Y77+50*IF('20.03'!$AK77="是",'20.03'!$BB$4,'20.03'!$BB$3)),(VLOOKUP('20.03'!AF77,'20.03'!$AO$4:$AQ$55,2,FALSE))*IF('20.03'!$AK77="是",'20.03'!$BB$4,'20.03'!$BB$3))</f>
        <v>0</v>
      </c>
      <c r="Y77" s="63">
        <v>100</v>
      </c>
      <c r="Z77" s="94">
        <v>45894</v>
      </c>
    </row>
    <row r="78" spans="1:26">
      <c r="A78" s="4">
        <f>IF(ISNUMBER(SEARCH("营",'20.03'!I78)),(-$Y78+50*IF('20.03'!$AK78="是",'20.03'!$BB$4,'20.03'!$BB$3)),(VLOOKUP('20.03'!I78,'20.03'!$AO$4:$AQ$55,2,FALSE))*IF('20.03'!$AK78="是",'20.03'!$BB$4,'20.03'!$BB$3))</f>
        <v>0</v>
      </c>
      <c r="B78" s="4">
        <f>IF(ISNUMBER(SEARCH("营",'20.03'!J78)),(-$Y78+50*IF('20.03'!$AK78="是",'20.03'!$BB$4,'20.03'!$BB$3)),(VLOOKUP('20.03'!J78,'20.03'!$AO$4:$AQ$55,2,FALSE))*IF('20.03'!$AK78="是",'20.03'!$BB$4,'20.03'!$BB$3))</f>
        <v>0</v>
      </c>
      <c r="C78" s="4">
        <f>IF(ISNUMBER(SEARCH("营",'20.03'!K78)),(-$Y78+50*IF('20.03'!$AK78="是",'20.03'!$BB$4,'20.03'!$BB$3)),(VLOOKUP('20.03'!K78,'20.03'!$AO$4:$AQ$55,2,FALSE))*IF('20.03'!$AK78="是",'20.03'!$BB$4,'20.03'!$BB$3))</f>
        <v>0</v>
      </c>
      <c r="D78" s="4">
        <f>IF(ISNUMBER(SEARCH("营",'20.03'!L78)),(-$Y78+50*IF('20.03'!$AK78="是",'20.03'!$BB$4,'20.03'!$BB$3)),(VLOOKUP('20.03'!L78,'20.03'!$AO$4:$AQ$55,2,FALSE))*IF('20.03'!$AK78="是",'20.03'!$BB$4,'20.03'!$BB$3))</f>
        <v>0</v>
      </c>
      <c r="E78" s="4">
        <f>IF(ISNUMBER(SEARCH("营",'20.03'!M78)),(-$Y78+50*IF('20.03'!$AK78="是",'20.03'!$BB$4,'20.03'!$BB$3)),(VLOOKUP('20.03'!M78,'20.03'!$AO$4:$AQ$55,2,FALSE))*IF('20.03'!$AK78="是",'20.03'!$BB$4,'20.03'!$BB$3))</f>
        <v>0</v>
      </c>
      <c r="F78" s="4">
        <f>IF(ISNUMBER(SEARCH("营",'20.03'!N78)),(-$Y78+50*IF('20.03'!$AK78="是",'20.03'!$BB$4,'20.03'!$BB$3)),(VLOOKUP('20.03'!N78,'20.03'!$AO$4:$AQ$55,2,FALSE))*IF('20.03'!$AK78="是",'20.03'!$BB$4,'20.03'!$BB$3))</f>
        <v>0</v>
      </c>
      <c r="G78" s="4">
        <f>IF(ISNUMBER(SEARCH("营",'20.03'!O78)),(-$Y78+50*IF('20.03'!$AK78="是",'20.03'!$BB$4,'20.03'!$BB$3)),(VLOOKUP('20.03'!O78,'20.03'!$AO$4:$AQ$55,2,FALSE))*IF('20.03'!$AK78="是",'20.03'!$BB$4,'20.03'!$BB$3))</f>
        <v>0</v>
      </c>
      <c r="H78" s="4">
        <f>IF(ISNUMBER(SEARCH("营",'20.03'!P78)),(-$Y78+50*IF('20.03'!$AK78="是",'20.03'!$BB$4,'20.03'!$BB$3)),(VLOOKUP('20.03'!P78,'20.03'!$AO$4:$AQ$55,2,FALSE))*IF('20.03'!$AK78="是",'20.03'!$BB$4,'20.03'!$BB$3))</f>
        <v>0</v>
      </c>
      <c r="I78" s="4">
        <f>IF(ISNUMBER(SEARCH("营",'20.03'!Q78)),(-$Y78+50*IF('20.03'!$AK78="是",'20.03'!$BB$4,'20.03'!$BB$3)),(VLOOKUP('20.03'!Q78,'20.03'!$AO$4:$AQ$55,2,FALSE))*IF('20.03'!$AK78="是",'20.03'!$BB$4,'20.03'!$BB$3))</f>
        <v>0</v>
      </c>
      <c r="J78" s="4">
        <f>IF(ISNUMBER(SEARCH("营",'20.03'!R78)),(-$Y78+50*IF('20.03'!$AK78="是",'20.03'!$BB$4,'20.03'!$BB$3)),(VLOOKUP('20.03'!R78,'20.03'!$AO$4:$AQ$55,2,FALSE))*IF('20.03'!$AK78="是",'20.03'!$BB$4,'20.03'!$BB$3))</f>
        <v>0</v>
      </c>
      <c r="K78" s="4">
        <f>IF(ISNUMBER(SEARCH("营",'20.03'!S78)),(-$Y78+50*IF('20.03'!$AK78="是",'20.03'!$BB$4,'20.03'!$BB$3)),(VLOOKUP('20.03'!S78,'20.03'!$AO$4:$AQ$55,2,FALSE))*IF('20.03'!$AK78="是",'20.03'!$BB$4,'20.03'!$BB$3))</f>
        <v>0</v>
      </c>
      <c r="L78" s="4">
        <f>IF(ISNUMBER(SEARCH("营",'20.03'!T78)),(-$Y78+50*IF('20.03'!$AK78="是",'20.03'!$BB$4,'20.03'!$BB$3)),(VLOOKUP('20.03'!T78,'20.03'!$AO$4:$AQ$55,2,FALSE))*IF('20.03'!$AK78="是",'20.03'!$BB$4,'20.03'!$BB$3))</f>
        <v>0</v>
      </c>
      <c r="M78" s="4">
        <f>IF(ISNUMBER(SEARCH("营",'20.03'!U78)),(-$Y78+50*IF('20.03'!$AK78="是",'20.03'!$BB$4,'20.03'!$BB$3)),(VLOOKUP('20.03'!U78,'20.03'!$AO$4:$AQ$55,2,FALSE))*IF('20.03'!$AK78="是",'20.03'!$BB$4,'20.03'!$BB$3))</f>
        <v>0</v>
      </c>
      <c r="N78" s="4">
        <f>IF(ISNUMBER(SEARCH("营",'20.03'!V78)),(-$Y78+50*IF('20.03'!$AK78="是",'20.03'!$BB$4,'20.03'!$BB$3)),(VLOOKUP('20.03'!V78,'20.03'!$AO$4:$AQ$55,2,FALSE))*IF('20.03'!$AK78="是",'20.03'!$BB$4,'20.03'!$BB$3))</f>
        <v>0</v>
      </c>
      <c r="O78" s="4">
        <f>IF(ISNUMBER(SEARCH("营",'20.03'!W78)),(-$Y78+50*IF('20.03'!$AK78="是",'20.03'!$BB$4,'20.03'!$BB$3)),(VLOOKUP('20.03'!W78,'20.03'!$AO$4:$AQ$55,2,FALSE))*IF('20.03'!$AK78="是",'20.03'!$BB$4,'20.03'!$BB$3))</f>
        <v>0</v>
      </c>
      <c r="P78" s="4">
        <f>IF(ISNUMBER(SEARCH("营",'20.03'!X78)),(-$Y78+50*IF('20.03'!$AK78="是",'20.03'!$BB$4,'20.03'!$BB$3)),(VLOOKUP('20.03'!X78,'20.03'!$AO$4:$AQ$55,2,FALSE))*IF('20.03'!$AK78="是",'20.03'!$BB$4,'20.03'!$BB$3))</f>
        <v>0</v>
      </c>
      <c r="Q78" s="4">
        <f>IF(ISNUMBER(SEARCH("营",'20.03'!Y78)),(-$Y78+50*IF('20.03'!$AK78="是",'20.03'!$BB$4,'20.03'!$BB$3)),(VLOOKUP('20.03'!Y78,'20.03'!$AO$4:$AQ$55,2,FALSE))*IF('20.03'!$AK78="是",'20.03'!$BB$4,'20.03'!$BB$3))</f>
        <v>0</v>
      </c>
      <c r="R78" s="4">
        <f>IF(ISNUMBER(SEARCH("营",'20.03'!Z78)),(-$Y78+50*IF('20.03'!$AK78="是",'20.03'!$BB$4,'20.03'!$BB$3)),(VLOOKUP('20.03'!Z78,'20.03'!$AO$4:$AQ$55,2,FALSE))*IF('20.03'!$AK78="是",'20.03'!$BB$4,'20.03'!$BB$3))</f>
        <v>0</v>
      </c>
      <c r="S78" s="4">
        <f>IF(ISNUMBER(SEARCH("营",'20.03'!AA78)),(-$Y78+50*IF('20.03'!$AK78="是",'20.03'!$BB$4,'20.03'!$BB$3)),(VLOOKUP('20.03'!AA78,'20.03'!$AO$4:$AQ$55,2,FALSE))*IF('20.03'!$AK78="是",'20.03'!$BB$4,'20.03'!$BB$3))</f>
        <v>0</v>
      </c>
      <c r="T78" s="4">
        <f>IF(ISNUMBER(SEARCH("营",'20.03'!AB78)),(-$Y78+50*IF('20.03'!$AK78="是",'20.03'!$BB$4,'20.03'!$BB$3)),(VLOOKUP('20.03'!AB78,'20.03'!$AO$4:$AQ$55,2,FALSE))*IF('20.03'!$AK78="是",'20.03'!$BB$4,'20.03'!$BB$3))</f>
        <v>0</v>
      </c>
      <c r="U78" s="4">
        <f>IF(ISNUMBER(SEARCH("营",'20.03'!AC78)),(-$Y78+50*IF('20.03'!$AK78="是",'20.03'!$BB$4,'20.03'!$BB$3)),(VLOOKUP('20.03'!AC78,'20.03'!$AO$4:$AQ$55,2,FALSE))*IF('20.03'!$AK78="是",'20.03'!$BB$4,'20.03'!$BB$3))</f>
        <v>0</v>
      </c>
      <c r="V78" s="4">
        <f>IF(ISNUMBER(SEARCH("营",'20.03'!AD78)),(-$Y78+50*IF('20.03'!$AK78="是",'20.03'!$BB$4,'20.03'!$BB$3)),(VLOOKUP('20.03'!AD78,'20.03'!$AO$4:$AQ$55,2,FALSE))*IF('20.03'!$AK78="是",'20.03'!$BB$4,'20.03'!$BB$3))</f>
        <v>0</v>
      </c>
      <c r="W78" s="4">
        <f>IF(ISNUMBER(SEARCH("营",'20.03'!AE78)),(-$Y78+50*IF('20.03'!$AK78="是",'20.03'!$BB$4,'20.03'!$BB$3)),(VLOOKUP('20.03'!AE78,'20.03'!$AO$4:$AQ$55,2,FALSE))*IF('20.03'!$AK78="是",'20.03'!$BB$4,'20.03'!$BB$3))</f>
        <v>0</v>
      </c>
      <c r="X78" s="4">
        <f>IF(ISNUMBER(SEARCH("营",'20.03'!AF78)),(-$Y78+50*IF('20.03'!$AK78="是",'20.03'!$BB$4,'20.03'!$BB$3)),(VLOOKUP('20.03'!AF78,'20.03'!$AO$4:$AQ$55,2,FALSE))*IF('20.03'!$AK78="是",'20.03'!$BB$4,'20.03'!$BB$3))</f>
        <v>0</v>
      </c>
      <c r="Y78" s="63">
        <v>100</v>
      </c>
      <c r="Z78" s="94">
        <v>45895</v>
      </c>
    </row>
    <row r="79" spans="1:26">
      <c r="A79" s="4">
        <f>IF(ISNUMBER(SEARCH("营",'20.03'!I79)),(-$Y79+50*IF('20.03'!$AK79="是",'20.03'!$BB$4,'20.03'!$BB$3)),(VLOOKUP('20.03'!I79,'20.03'!$AO$4:$AQ$55,2,FALSE))*IF('20.03'!$AK79="是",'20.03'!$BB$4,'20.03'!$BB$3))</f>
        <v>0</v>
      </c>
      <c r="B79" s="4">
        <f>IF(ISNUMBER(SEARCH("营",'20.03'!J79)),(-$Y79+50*IF('20.03'!$AK79="是",'20.03'!$BB$4,'20.03'!$BB$3)),(VLOOKUP('20.03'!J79,'20.03'!$AO$4:$AQ$55,2,FALSE))*IF('20.03'!$AK79="是",'20.03'!$BB$4,'20.03'!$BB$3))</f>
        <v>0</v>
      </c>
      <c r="C79" s="4">
        <f>IF(ISNUMBER(SEARCH("营",'20.03'!K79)),(-$Y79+50*IF('20.03'!$AK79="是",'20.03'!$BB$4,'20.03'!$BB$3)),(VLOOKUP('20.03'!K79,'20.03'!$AO$4:$AQ$55,2,FALSE))*IF('20.03'!$AK79="是",'20.03'!$BB$4,'20.03'!$BB$3))</f>
        <v>0</v>
      </c>
      <c r="D79" s="4">
        <f>IF(ISNUMBER(SEARCH("营",'20.03'!L79)),(-$Y79+50*IF('20.03'!$AK79="是",'20.03'!$BB$4,'20.03'!$BB$3)),(VLOOKUP('20.03'!L79,'20.03'!$AO$4:$AQ$55,2,FALSE))*IF('20.03'!$AK79="是",'20.03'!$BB$4,'20.03'!$BB$3))</f>
        <v>0</v>
      </c>
      <c r="E79" s="4">
        <f>IF(ISNUMBER(SEARCH("营",'20.03'!M79)),(-$Y79+50*IF('20.03'!$AK79="是",'20.03'!$BB$4,'20.03'!$BB$3)),(VLOOKUP('20.03'!M79,'20.03'!$AO$4:$AQ$55,2,FALSE))*IF('20.03'!$AK79="是",'20.03'!$BB$4,'20.03'!$BB$3))</f>
        <v>0</v>
      </c>
      <c r="F79" s="4">
        <f>IF(ISNUMBER(SEARCH("营",'20.03'!N79)),(-$Y79+50*IF('20.03'!$AK79="是",'20.03'!$BB$4,'20.03'!$BB$3)),(VLOOKUP('20.03'!N79,'20.03'!$AO$4:$AQ$55,2,FALSE))*IF('20.03'!$AK79="是",'20.03'!$BB$4,'20.03'!$BB$3))</f>
        <v>0</v>
      </c>
      <c r="G79" s="4">
        <f>IF(ISNUMBER(SEARCH("营",'20.03'!O79)),(-$Y79+50*IF('20.03'!$AK79="是",'20.03'!$BB$4,'20.03'!$BB$3)),(VLOOKUP('20.03'!O79,'20.03'!$AO$4:$AQ$55,2,FALSE))*IF('20.03'!$AK79="是",'20.03'!$BB$4,'20.03'!$BB$3))</f>
        <v>0</v>
      </c>
      <c r="H79" s="4">
        <f>IF(ISNUMBER(SEARCH("营",'20.03'!P79)),(-$Y79+50*IF('20.03'!$AK79="是",'20.03'!$BB$4,'20.03'!$BB$3)),(VLOOKUP('20.03'!P79,'20.03'!$AO$4:$AQ$55,2,FALSE))*IF('20.03'!$AK79="是",'20.03'!$BB$4,'20.03'!$BB$3))</f>
        <v>0</v>
      </c>
      <c r="I79" s="4">
        <f>IF(ISNUMBER(SEARCH("营",'20.03'!Q79)),(-$Y79+50*IF('20.03'!$AK79="是",'20.03'!$BB$4,'20.03'!$BB$3)),(VLOOKUP('20.03'!Q79,'20.03'!$AO$4:$AQ$55,2,FALSE))*IF('20.03'!$AK79="是",'20.03'!$BB$4,'20.03'!$BB$3))</f>
        <v>0</v>
      </c>
      <c r="J79" s="4">
        <f>IF(ISNUMBER(SEARCH("营",'20.03'!R79)),(-$Y79+50*IF('20.03'!$AK79="是",'20.03'!$BB$4,'20.03'!$BB$3)),(VLOOKUP('20.03'!R79,'20.03'!$AO$4:$AQ$55,2,FALSE))*IF('20.03'!$AK79="是",'20.03'!$BB$4,'20.03'!$BB$3))</f>
        <v>0</v>
      </c>
      <c r="K79" s="4">
        <f>IF(ISNUMBER(SEARCH("营",'20.03'!S79)),(-$Y79+50*IF('20.03'!$AK79="是",'20.03'!$BB$4,'20.03'!$BB$3)),(VLOOKUP('20.03'!S79,'20.03'!$AO$4:$AQ$55,2,FALSE))*IF('20.03'!$AK79="是",'20.03'!$BB$4,'20.03'!$BB$3))</f>
        <v>0</v>
      </c>
      <c r="L79" s="4">
        <f>IF(ISNUMBER(SEARCH("营",'20.03'!T79)),(-$Y79+50*IF('20.03'!$AK79="是",'20.03'!$BB$4,'20.03'!$BB$3)),(VLOOKUP('20.03'!T79,'20.03'!$AO$4:$AQ$55,2,FALSE))*IF('20.03'!$AK79="是",'20.03'!$BB$4,'20.03'!$BB$3))</f>
        <v>0</v>
      </c>
      <c r="M79" s="4">
        <f>IF(ISNUMBER(SEARCH("营",'20.03'!U79)),(-$Y79+50*IF('20.03'!$AK79="是",'20.03'!$BB$4,'20.03'!$BB$3)),(VLOOKUP('20.03'!U79,'20.03'!$AO$4:$AQ$55,2,FALSE))*IF('20.03'!$AK79="是",'20.03'!$BB$4,'20.03'!$BB$3))</f>
        <v>0</v>
      </c>
      <c r="N79" s="4">
        <f>IF(ISNUMBER(SEARCH("营",'20.03'!V79)),(-$Y79+50*IF('20.03'!$AK79="是",'20.03'!$BB$4,'20.03'!$BB$3)),(VLOOKUP('20.03'!V79,'20.03'!$AO$4:$AQ$55,2,FALSE))*IF('20.03'!$AK79="是",'20.03'!$BB$4,'20.03'!$BB$3))</f>
        <v>0</v>
      </c>
      <c r="O79" s="4">
        <f>IF(ISNUMBER(SEARCH("营",'20.03'!W79)),(-$Y79+50*IF('20.03'!$AK79="是",'20.03'!$BB$4,'20.03'!$BB$3)),(VLOOKUP('20.03'!W79,'20.03'!$AO$4:$AQ$55,2,FALSE))*IF('20.03'!$AK79="是",'20.03'!$BB$4,'20.03'!$BB$3))</f>
        <v>0</v>
      </c>
      <c r="P79" s="4">
        <f>IF(ISNUMBER(SEARCH("营",'20.03'!X79)),(-$Y79+50*IF('20.03'!$AK79="是",'20.03'!$BB$4,'20.03'!$BB$3)),(VLOOKUP('20.03'!X79,'20.03'!$AO$4:$AQ$55,2,FALSE))*IF('20.03'!$AK79="是",'20.03'!$BB$4,'20.03'!$BB$3))</f>
        <v>0</v>
      </c>
      <c r="Q79" s="4">
        <f>IF(ISNUMBER(SEARCH("营",'20.03'!Y79)),(-$Y79+50*IF('20.03'!$AK79="是",'20.03'!$BB$4,'20.03'!$BB$3)),(VLOOKUP('20.03'!Y79,'20.03'!$AO$4:$AQ$55,2,FALSE))*IF('20.03'!$AK79="是",'20.03'!$BB$4,'20.03'!$BB$3))</f>
        <v>0</v>
      </c>
      <c r="R79" s="4">
        <f>IF(ISNUMBER(SEARCH("营",'20.03'!Z79)),(-$Y79+50*IF('20.03'!$AK79="是",'20.03'!$BB$4,'20.03'!$BB$3)),(VLOOKUP('20.03'!Z79,'20.03'!$AO$4:$AQ$55,2,FALSE))*IF('20.03'!$AK79="是",'20.03'!$BB$4,'20.03'!$BB$3))</f>
        <v>0</v>
      </c>
      <c r="S79" s="4">
        <f>IF(ISNUMBER(SEARCH("营",'20.03'!AA79)),(-$Y79+50*IF('20.03'!$AK79="是",'20.03'!$BB$4,'20.03'!$BB$3)),(VLOOKUP('20.03'!AA79,'20.03'!$AO$4:$AQ$55,2,FALSE))*IF('20.03'!$AK79="是",'20.03'!$BB$4,'20.03'!$BB$3))</f>
        <v>0</v>
      </c>
      <c r="T79" s="4">
        <f>IF(ISNUMBER(SEARCH("营",'20.03'!AB79)),(-$Y79+50*IF('20.03'!$AK79="是",'20.03'!$BB$4,'20.03'!$BB$3)),(VLOOKUP('20.03'!AB79,'20.03'!$AO$4:$AQ$55,2,FALSE))*IF('20.03'!$AK79="是",'20.03'!$BB$4,'20.03'!$BB$3))</f>
        <v>0</v>
      </c>
      <c r="U79" s="4">
        <f>IF(ISNUMBER(SEARCH("营",'20.03'!AC79)),(-$Y79+50*IF('20.03'!$AK79="是",'20.03'!$BB$4,'20.03'!$BB$3)),(VLOOKUP('20.03'!AC79,'20.03'!$AO$4:$AQ$55,2,FALSE))*IF('20.03'!$AK79="是",'20.03'!$BB$4,'20.03'!$BB$3))</f>
        <v>0</v>
      </c>
      <c r="V79" s="4">
        <f>IF(ISNUMBER(SEARCH("营",'20.03'!AD79)),(-$Y79+50*IF('20.03'!$AK79="是",'20.03'!$BB$4,'20.03'!$BB$3)),(VLOOKUP('20.03'!AD79,'20.03'!$AO$4:$AQ$55,2,FALSE))*IF('20.03'!$AK79="是",'20.03'!$BB$4,'20.03'!$BB$3))</f>
        <v>0</v>
      </c>
      <c r="W79" s="4">
        <f>IF(ISNUMBER(SEARCH("营",'20.03'!AE79)),(-$Y79+50*IF('20.03'!$AK79="是",'20.03'!$BB$4,'20.03'!$BB$3)),(VLOOKUP('20.03'!AE79,'20.03'!$AO$4:$AQ$55,2,FALSE))*IF('20.03'!$AK79="是",'20.03'!$BB$4,'20.03'!$BB$3))</f>
        <v>0</v>
      </c>
      <c r="X79" s="4">
        <f>IF(ISNUMBER(SEARCH("营",'20.03'!AF79)),(-$Y79+50*IF('20.03'!$AK79="是",'20.03'!$BB$4,'20.03'!$BB$3)),(VLOOKUP('20.03'!AF79,'20.03'!$AO$4:$AQ$55,2,FALSE))*IF('20.03'!$AK79="是",'20.03'!$BB$4,'20.03'!$BB$3))</f>
        <v>0</v>
      </c>
      <c r="Y79" s="63">
        <v>100</v>
      </c>
      <c r="Z79" s="94">
        <v>45896</v>
      </c>
    </row>
    <row r="80" spans="1:26">
      <c r="A80" s="4">
        <f>IF(ISNUMBER(SEARCH("营",'20.03'!I80)),(-$Y80+50*IF('20.03'!$AK80="是",'20.03'!$BB$4,'20.03'!$BB$3)),(VLOOKUP('20.03'!I80,'20.03'!$AO$4:$AQ$55,2,FALSE))*IF('20.03'!$AK80="是",'20.03'!$BB$4,'20.03'!$BB$3))</f>
        <v>0</v>
      </c>
      <c r="B80" s="4">
        <f>IF(ISNUMBER(SEARCH("营",'20.03'!J80)),(-$Y80+50*IF('20.03'!$AK80="是",'20.03'!$BB$4,'20.03'!$BB$3)),(VLOOKUP('20.03'!J80,'20.03'!$AO$4:$AQ$55,2,FALSE))*IF('20.03'!$AK80="是",'20.03'!$BB$4,'20.03'!$BB$3))</f>
        <v>0</v>
      </c>
      <c r="C80" s="4">
        <f>IF(ISNUMBER(SEARCH("营",'20.03'!K80)),(-$Y80+50*IF('20.03'!$AK80="是",'20.03'!$BB$4,'20.03'!$BB$3)),(VLOOKUP('20.03'!K80,'20.03'!$AO$4:$AQ$55,2,FALSE))*IF('20.03'!$AK80="是",'20.03'!$BB$4,'20.03'!$BB$3))</f>
        <v>0</v>
      </c>
      <c r="D80" s="4">
        <f>IF(ISNUMBER(SEARCH("营",'20.03'!L80)),(-$Y80+50*IF('20.03'!$AK80="是",'20.03'!$BB$4,'20.03'!$BB$3)),(VLOOKUP('20.03'!L80,'20.03'!$AO$4:$AQ$55,2,FALSE))*IF('20.03'!$AK80="是",'20.03'!$BB$4,'20.03'!$BB$3))</f>
        <v>0</v>
      </c>
      <c r="E80" s="4">
        <f>IF(ISNUMBER(SEARCH("营",'20.03'!M80)),(-$Y80+50*IF('20.03'!$AK80="是",'20.03'!$BB$4,'20.03'!$BB$3)),(VLOOKUP('20.03'!M80,'20.03'!$AO$4:$AQ$55,2,FALSE))*IF('20.03'!$AK80="是",'20.03'!$BB$4,'20.03'!$BB$3))</f>
        <v>0</v>
      </c>
      <c r="F80" s="4">
        <f>IF(ISNUMBER(SEARCH("营",'20.03'!N80)),(-$Y80+50*IF('20.03'!$AK80="是",'20.03'!$BB$4,'20.03'!$BB$3)),(VLOOKUP('20.03'!N80,'20.03'!$AO$4:$AQ$55,2,FALSE))*IF('20.03'!$AK80="是",'20.03'!$BB$4,'20.03'!$BB$3))</f>
        <v>0</v>
      </c>
      <c r="G80" s="4">
        <f>IF(ISNUMBER(SEARCH("营",'20.03'!O80)),(-$Y80+50*IF('20.03'!$AK80="是",'20.03'!$BB$4,'20.03'!$BB$3)),(VLOOKUP('20.03'!O80,'20.03'!$AO$4:$AQ$55,2,FALSE))*IF('20.03'!$AK80="是",'20.03'!$BB$4,'20.03'!$BB$3))</f>
        <v>0</v>
      </c>
      <c r="H80" s="4">
        <f>IF(ISNUMBER(SEARCH("营",'20.03'!P80)),(-$Y80+50*IF('20.03'!$AK80="是",'20.03'!$BB$4,'20.03'!$BB$3)),(VLOOKUP('20.03'!P80,'20.03'!$AO$4:$AQ$55,2,FALSE))*IF('20.03'!$AK80="是",'20.03'!$BB$4,'20.03'!$BB$3))</f>
        <v>0</v>
      </c>
      <c r="I80" s="4">
        <f>IF(ISNUMBER(SEARCH("营",'20.03'!Q80)),(-$Y80+50*IF('20.03'!$AK80="是",'20.03'!$BB$4,'20.03'!$BB$3)),(VLOOKUP('20.03'!Q80,'20.03'!$AO$4:$AQ$55,2,FALSE))*IF('20.03'!$AK80="是",'20.03'!$BB$4,'20.03'!$BB$3))</f>
        <v>0</v>
      </c>
      <c r="J80" s="4">
        <f>IF(ISNUMBER(SEARCH("营",'20.03'!R80)),(-$Y80+50*IF('20.03'!$AK80="是",'20.03'!$BB$4,'20.03'!$BB$3)),(VLOOKUP('20.03'!R80,'20.03'!$AO$4:$AQ$55,2,FALSE))*IF('20.03'!$AK80="是",'20.03'!$BB$4,'20.03'!$BB$3))</f>
        <v>0</v>
      </c>
      <c r="K80" s="4">
        <f>IF(ISNUMBER(SEARCH("营",'20.03'!S80)),(-$Y80+50*IF('20.03'!$AK80="是",'20.03'!$BB$4,'20.03'!$BB$3)),(VLOOKUP('20.03'!S80,'20.03'!$AO$4:$AQ$55,2,FALSE))*IF('20.03'!$AK80="是",'20.03'!$BB$4,'20.03'!$BB$3))</f>
        <v>0</v>
      </c>
      <c r="L80" s="4">
        <f>IF(ISNUMBER(SEARCH("营",'20.03'!T80)),(-$Y80+50*IF('20.03'!$AK80="是",'20.03'!$BB$4,'20.03'!$BB$3)),(VLOOKUP('20.03'!T80,'20.03'!$AO$4:$AQ$55,2,FALSE))*IF('20.03'!$AK80="是",'20.03'!$BB$4,'20.03'!$BB$3))</f>
        <v>0</v>
      </c>
      <c r="M80" s="4">
        <f>IF(ISNUMBER(SEARCH("营",'20.03'!U80)),(-$Y80+50*IF('20.03'!$AK80="是",'20.03'!$BB$4,'20.03'!$BB$3)),(VLOOKUP('20.03'!U80,'20.03'!$AO$4:$AQ$55,2,FALSE))*IF('20.03'!$AK80="是",'20.03'!$BB$4,'20.03'!$BB$3))</f>
        <v>0</v>
      </c>
      <c r="N80" s="4">
        <f>IF(ISNUMBER(SEARCH("营",'20.03'!V80)),(-$Y80+50*IF('20.03'!$AK80="是",'20.03'!$BB$4,'20.03'!$BB$3)),(VLOOKUP('20.03'!V80,'20.03'!$AO$4:$AQ$55,2,FALSE))*IF('20.03'!$AK80="是",'20.03'!$BB$4,'20.03'!$BB$3))</f>
        <v>0</v>
      </c>
      <c r="O80" s="4">
        <f>IF(ISNUMBER(SEARCH("营",'20.03'!W80)),(-$Y80+50*IF('20.03'!$AK80="是",'20.03'!$BB$4,'20.03'!$BB$3)),(VLOOKUP('20.03'!W80,'20.03'!$AO$4:$AQ$55,2,FALSE))*IF('20.03'!$AK80="是",'20.03'!$BB$4,'20.03'!$BB$3))</f>
        <v>0</v>
      </c>
      <c r="P80" s="4">
        <f>IF(ISNUMBER(SEARCH("营",'20.03'!X80)),(-$Y80+50*IF('20.03'!$AK80="是",'20.03'!$BB$4,'20.03'!$BB$3)),(VLOOKUP('20.03'!X80,'20.03'!$AO$4:$AQ$55,2,FALSE))*IF('20.03'!$AK80="是",'20.03'!$BB$4,'20.03'!$BB$3))</f>
        <v>0</v>
      </c>
      <c r="Q80" s="4">
        <f>IF(ISNUMBER(SEARCH("营",'20.03'!Y80)),(-$Y80+50*IF('20.03'!$AK80="是",'20.03'!$BB$4,'20.03'!$BB$3)),(VLOOKUP('20.03'!Y80,'20.03'!$AO$4:$AQ$55,2,FALSE))*IF('20.03'!$AK80="是",'20.03'!$BB$4,'20.03'!$BB$3))</f>
        <v>0</v>
      </c>
      <c r="R80" s="4">
        <f>IF(ISNUMBER(SEARCH("营",'20.03'!Z80)),(-$Y80+50*IF('20.03'!$AK80="是",'20.03'!$BB$4,'20.03'!$BB$3)),(VLOOKUP('20.03'!Z80,'20.03'!$AO$4:$AQ$55,2,FALSE))*IF('20.03'!$AK80="是",'20.03'!$BB$4,'20.03'!$BB$3))</f>
        <v>0</v>
      </c>
      <c r="S80" s="4">
        <f>IF(ISNUMBER(SEARCH("营",'20.03'!AA80)),(-$Y80+50*IF('20.03'!$AK80="是",'20.03'!$BB$4,'20.03'!$BB$3)),(VLOOKUP('20.03'!AA80,'20.03'!$AO$4:$AQ$55,2,FALSE))*IF('20.03'!$AK80="是",'20.03'!$BB$4,'20.03'!$BB$3))</f>
        <v>0</v>
      </c>
      <c r="T80" s="4">
        <f>IF(ISNUMBER(SEARCH("营",'20.03'!AB80)),(-$Y80+50*IF('20.03'!$AK80="是",'20.03'!$BB$4,'20.03'!$BB$3)),(VLOOKUP('20.03'!AB80,'20.03'!$AO$4:$AQ$55,2,FALSE))*IF('20.03'!$AK80="是",'20.03'!$BB$4,'20.03'!$BB$3))</f>
        <v>0</v>
      </c>
      <c r="U80" s="4">
        <f>IF(ISNUMBER(SEARCH("营",'20.03'!AC80)),(-$Y80+50*IF('20.03'!$AK80="是",'20.03'!$BB$4,'20.03'!$BB$3)),(VLOOKUP('20.03'!AC80,'20.03'!$AO$4:$AQ$55,2,FALSE))*IF('20.03'!$AK80="是",'20.03'!$BB$4,'20.03'!$BB$3))</f>
        <v>0</v>
      </c>
      <c r="V80" s="4">
        <f>IF(ISNUMBER(SEARCH("营",'20.03'!AD80)),(-$Y80+50*IF('20.03'!$AK80="是",'20.03'!$BB$4,'20.03'!$BB$3)),(VLOOKUP('20.03'!AD80,'20.03'!$AO$4:$AQ$55,2,FALSE))*IF('20.03'!$AK80="是",'20.03'!$BB$4,'20.03'!$BB$3))</f>
        <v>0</v>
      </c>
      <c r="W80" s="4">
        <f>IF(ISNUMBER(SEARCH("营",'20.03'!AE80)),(-$Y80+50*IF('20.03'!$AK80="是",'20.03'!$BB$4,'20.03'!$BB$3)),(VLOOKUP('20.03'!AE80,'20.03'!$AO$4:$AQ$55,2,FALSE))*IF('20.03'!$AK80="是",'20.03'!$BB$4,'20.03'!$BB$3))</f>
        <v>0</v>
      </c>
      <c r="X80" s="4">
        <f>IF(ISNUMBER(SEARCH("营",'20.03'!AF80)),(-$Y80+50*IF('20.03'!$AK80="是",'20.03'!$BB$4,'20.03'!$BB$3)),(VLOOKUP('20.03'!AF80,'20.03'!$AO$4:$AQ$55,2,FALSE))*IF('20.03'!$AK80="是",'20.03'!$BB$4,'20.03'!$BB$3))</f>
        <v>0</v>
      </c>
      <c r="Y80" s="63">
        <v>100</v>
      </c>
      <c r="Z80" s="94">
        <v>45897</v>
      </c>
    </row>
    <row r="81" spans="1:26">
      <c r="A81" s="4">
        <f>IF(ISNUMBER(SEARCH("营",'20.03'!I81)),(-$Y81+50*IF('20.03'!$AK81="是",'20.03'!$BB$4,'20.03'!$BB$3)),(VLOOKUP('20.03'!I81,'20.03'!$AO$4:$AQ$55,2,FALSE))*IF('20.03'!$AK81="是",'20.03'!$BB$4,'20.03'!$BB$3))</f>
        <v>0</v>
      </c>
      <c r="B81" s="4">
        <f>IF(ISNUMBER(SEARCH("营",'20.03'!J81)),(-$Y81+50*IF('20.03'!$AK81="是",'20.03'!$BB$4,'20.03'!$BB$3)),(VLOOKUP('20.03'!J81,'20.03'!$AO$4:$AQ$55,2,FALSE))*IF('20.03'!$AK81="是",'20.03'!$BB$4,'20.03'!$BB$3))</f>
        <v>0</v>
      </c>
      <c r="C81" s="4">
        <f>IF(ISNUMBER(SEARCH("营",'20.03'!K81)),(-$Y81+50*IF('20.03'!$AK81="是",'20.03'!$BB$4,'20.03'!$BB$3)),(VLOOKUP('20.03'!K81,'20.03'!$AO$4:$AQ$55,2,FALSE))*IF('20.03'!$AK81="是",'20.03'!$BB$4,'20.03'!$BB$3))</f>
        <v>0</v>
      </c>
      <c r="D81" s="4">
        <f>IF(ISNUMBER(SEARCH("营",'20.03'!L81)),(-$Y81+50*IF('20.03'!$AK81="是",'20.03'!$BB$4,'20.03'!$BB$3)),(VLOOKUP('20.03'!L81,'20.03'!$AO$4:$AQ$55,2,FALSE))*IF('20.03'!$AK81="是",'20.03'!$BB$4,'20.03'!$BB$3))</f>
        <v>0</v>
      </c>
      <c r="E81" s="4">
        <f>IF(ISNUMBER(SEARCH("营",'20.03'!M81)),(-$Y81+50*IF('20.03'!$AK81="是",'20.03'!$BB$4,'20.03'!$BB$3)),(VLOOKUP('20.03'!M81,'20.03'!$AO$4:$AQ$55,2,FALSE))*IF('20.03'!$AK81="是",'20.03'!$BB$4,'20.03'!$BB$3))</f>
        <v>0</v>
      </c>
      <c r="F81" s="4">
        <f>IF(ISNUMBER(SEARCH("营",'20.03'!N81)),(-$Y81+50*IF('20.03'!$AK81="是",'20.03'!$BB$4,'20.03'!$BB$3)),(VLOOKUP('20.03'!N81,'20.03'!$AO$4:$AQ$55,2,FALSE))*IF('20.03'!$AK81="是",'20.03'!$BB$4,'20.03'!$BB$3))</f>
        <v>0</v>
      </c>
      <c r="G81" s="4">
        <f>IF(ISNUMBER(SEARCH("营",'20.03'!O81)),(-$Y81+50*IF('20.03'!$AK81="是",'20.03'!$BB$4,'20.03'!$BB$3)),(VLOOKUP('20.03'!O81,'20.03'!$AO$4:$AQ$55,2,FALSE))*IF('20.03'!$AK81="是",'20.03'!$BB$4,'20.03'!$BB$3))</f>
        <v>0</v>
      </c>
      <c r="H81" s="4">
        <f>IF(ISNUMBER(SEARCH("营",'20.03'!P81)),(-$Y81+50*IF('20.03'!$AK81="是",'20.03'!$BB$4,'20.03'!$BB$3)),(VLOOKUP('20.03'!P81,'20.03'!$AO$4:$AQ$55,2,FALSE))*IF('20.03'!$AK81="是",'20.03'!$BB$4,'20.03'!$BB$3))</f>
        <v>0</v>
      </c>
      <c r="I81" s="4">
        <f>IF(ISNUMBER(SEARCH("营",'20.03'!Q81)),(-$Y81+50*IF('20.03'!$AK81="是",'20.03'!$BB$4,'20.03'!$BB$3)),(VLOOKUP('20.03'!Q81,'20.03'!$AO$4:$AQ$55,2,FALSE))*IF('20.03'!$AK81="是",'20.03'!$BB$4,'20.03'!$BB$3))</f>
        <v>0</v>
      </c>
      <c r="J81" s="4">
        <f>IF(ISNUMBER(SEARCH("营",'20.03'!R81)),(-$Y81+50*IF('20.03'!$AK81="是",'20.03'!$BB$4,'20.03'!$BB$3)),(VLOOKUP('20.03'!R81,'20.03'!$AO$4:$AQ$55,2,FALSE))*IF('20.03'!$AK81="是",'20.03'!$BB$4,'20.03'!$BB$3))</f>
        <v>0</v>
      </c>
      <c r="K81" s="4">
        <f>IF(ISNUMBER(SEARCH("营",'20.03'!S81)),(-$Y81+50*IF('20.03'!$AK81="是",'20.03'!$BB$4,'20.03'!$BB$3)),(VLOOKUP('20.03'!S81,'20.03'!$AO$4:$AQ$55,2,FALSE))*IF('20.03'!$AK81="是",'20.03'!$BB$4,'20.03'!$BB$3))</f>
        <v>0</v>
      </c>
      <c r="L81" s="4">
        <f>IF(ISNUMBER(SEARCH("营",'20.03'!T81)),(-$Y81+50*IF('20.03'!$AK81="是",'20.03'!$BB$4,'20.03'!$BB$3)),(VLOOKUP('20.03'!T81,'20.03'!$AO$4:$AQ$55,2,FALSE))*IF('20.03'!$AK81="是",'20.03'!$BB$4,'20.03'!$BB$3))</f>
        <v>0</v>
      </c>
      <c r="M81" s="4">
        <f>IF(ISNUMBER(SEARCH("营",'20.03'!U81)),(-$Y81+50*IF('20.03'!$AK81="是",'20.03'!$BB$4,'20.03'!$BB$3)),(VLOOKUP('20.03'!U81,'20.03'!$AO$4:$AQ$55,2,FALSE))*IF('20.03'!$AK81="是",'20.03'!$BB$4,'20.03'!$BB$3))</f>
        <v>0</v>
      </c>
      <c r="N81" s="4">
        <f>IF(ISNUMBER(SEARCH("营",'20.03'!V81)),(-$Y81+50*IF('20.03'!$AK81="是",'20.03'!$BB$4,'20.03'!$BB$3)),(VLOOKUP('20.03'!V81,'20.03'!$AO$4:$AQ$55,2,FALSE))*IF('20.03'!$AK81="是",'20.03'!$BB$4,'20.03'!$BB$3))</f>
        <v>0</v>
      </c>
      <c r="O81" s="4">
        <f>IF(ISNUMBER(SEARCH("营",'20.03'!W81)),(-$Y81+50*IF('20.03'!$AK81="是",'20.03'!$BB$4,'20.03'!$BB$3)),(VLOOKUP('20.03'!W81,'20.03'!$AO$4:$AQ$55,2,FALSE))*IF('20.03'!$AK81="是",'20.03'!$BB$4,'20.03'!$BB$3))</f>
        <v>0</v>
      </c>
      <c r="P81" s="4">
        <f>IF(ISNUMBER(SEARCH("营",'20.03'!X81)),(-$Y81+50*IF('20.03'!$AK81="是",'20.03'!$BB$4,'20.03'!$BB$3)),(VLOOKUP('20.03'!X81,'20.03'!$AO$4:$AQ$55,2,FALSE))*IF('20.03'!$AK81="是",'20.03'!$BB$4,'20.03'!$BB$3))</f>
        <v>0</v>
      </c>
      <c r="Q81" s="4">
        <f>IF(ISNUMBER(SEARCH("营",'20.03'!Y81)),(-$Y81+50*IF('20.03'!$AK81="是",'20.03'!$BB$4,'20.03'!$BB$3)),(VLOOKUP('20.03'!Y81,'20.03'!$AO$4:$AQ$55,2,FALSE))*IF('20.03'!$AK81="是",'20.03'!$BB$4,'20.03'!$BB$3))</f>
        <v>0</v>
      </c>
      <c r="R81" s="4">
        <f>IF(ISNUMBER(SEARCH("营",'20.03'!Z81)),(-$Y81+50*IF('20.03'!$AK81="是",'20.03'!$BB$4,'20.03'!$BB$3)),(VLOOKUP('20.03'!Z81,'20.03'!$AO$4:$AQ$55,2,FALSE))*IF('20.03'!$AK81="是",'20.03'!$BB$4,'20.03'!$BB$3))</f>
        <v>0</v>
      </c>
      <c r="S81" s="4">
        <f>IF(ISNUMBER(SEARCH("营",'20.03'!AA81)),(-$Y81+50*IF('20.03'!$AK81="是",'20.03'!$BB$4,'20.03'!$BB$3)),(VLOOKUP('20.03'!AA81,'20.03'!$AO$4:$AQ$55,2,FALSE))*IF('20.03'!$AK81="是",'20.03'!$BB$4,'20.03'!$BB$3))</f>
        <v>0</v>
      </c>
      <c r="T81" s="4">
        <f>IF(ISNUMBER(SEARCH("营",'20.03'!AB81)),(-$Y81+50*IF('20.03'!$AK81="是",'20.03'!$BB$4,'20.03'!$BB$3)),(VLOOKUP('20.03'!AB81,'20.03'!$AO$4:$AQ$55,2,FALSE))*IF('20.03'!$AK81="是",'20.03'!$BB$4,'20.03'!$BB$3))</f>
        <v>0</v>
      </c>
      <c r="U81" s="4">
        <f>IF(ISNUMBER(SEARCH("营",'20.03'!AC81)),(-$Y81+50*IF('20.03'!$AK81="是",'20.03'!$BB$4,'20.03'!$BB$3)),(VLOOKUP('20.03'!AC81,'20.03'!$AO$4:$AQ$55,2,FALSE))*IF('20.03'!$AK81="是",'20.03'!$BB$4,'20.03'!$BB$3))</f>
        <v>0</v>
      </c>
      <c r="V81" s="4">
        <f>IF(ISNUMBER(SEARCH("营",'20.03'!AD81)),(-$Y81+50*IF('20.03'!$AK81="是",'20.03'!$BB$4,'20.03'!$BB$3)),(VLOOKUP('20.03'!AD81,'20.03'!$AO$4:$AQ$55,2,FALSE))*IF('20.03'!$AK81="是",'20.03'!$BB$4,'20.03'!$BB$3))</f>
        <v>0</v>
      </c>
      <c r="W81" s="4">
        <f>IF(ISNUMBER(SEARCH("营",'20.03'!AE81)),(-$Y81+50*IF('20.03'!$AK81="是",'20.03'!$BB$4,'20.03'!$BB$3)),(VLOOKUP('20.03'!AE81,'20.03'!$AO$4:$AQ$55,2,FALSE))*IF('20.03'!$AK81="是",'20.03'!$BB$4,'20.03'!$BB$3))</f>
        <v>0</v>
      </c>
      <c r="X81" s="4">
        <f>IF(ISNUMBER(SEARCH("营",'20.03'!AF81)),(-$Y81+50*IF('20.03'!$AK81="是",'20.03'!$BB$4,'20.03'!$BB$3)),(VLOOKUP('20.03'!AF81,'20.03'!$AO$4:$AQ$55,2,FALSE))*IF('20.03'!$AK81="是",'20.03'!$BB$4,'20.03'!$BB$3))</f>
        <v>0</v>
      </c>
      <c r="Y81" s="63">
        <v>100</v>
      </c>
      <c r="Z81" s="94">
        <v>45898</v>
      </c>
    </row>
    <row r="82" spans="1:26">
      <c r="A82" s="4">
        <f>IF(ISNUMBER(SEARCH("营",'20.03'!I82)),(-$Y82+50*IF('20.03'!$AK82="是",'20.03'!$BB$4,'20.03'!$BB$3)),(VLOOKUP('20.03'!I82,'20.03'!$AO$4:$AQ$55,2,FALSE))*IF('20.03'!$AK82="是",'20.03'!$BB$4,'20.03'!$BB$3))</f>
        <v>0</v>
      </c>
      <c r="B82" s="4">
        <f>IF(ISNUMBER(SEARCH("营",'20.03'!J82)),(-$Y82+50*IF('20.03'!$AK82="是",'20.03'!$BB$4,'20.03'!$BB$3)),(VLOOKUP('20.03'!J82,'20.03'!$AO$4:$AQ$55,2,FALSE))*IF('20.03'!$AK82="是",'20.03'!$BB$4,'20.03'!$BB$3))</f>
        <v>0</v>
      </c>
      <c r="C82" s="4">
        <f>IF(ISNUMBER(SEARCH("营",'20.03'!K82)),(-$Y82+50*IF('20.03'!$AK82="是",'20.03'!$BB$4,'20.03'!$BB$3)),(VLOOKUP('20.03'!K82,'20.03'!$AO$4:$AQ$55,2,FALSE))*IF('20.03'!$AK82="是",'20.03'!$BB$4,'20.03'!$BB$3))</f>
        <v>0</v>
      </c>
      <c r="D82" s="4">
        <f>IF(ISNUMBER(SEARCH("营",'20.03'!L82)),(-$Y82+50*IF('20.03'!$AK82="是",'20.03'!$BB$4,'20.03'!$BB$3)),(VLOOKUP('20.03'!L82,'20.03'!$AO$4:$AQ$55,2,FALSE))*IF('20.03'!$AK82="是",'20.03'!$BB$4,'20.03'!$BB$3))</f>
        <v>0</v>
      </c>
      <c r="E82" s="4">
        <f>IF(ISNUMBER(SEARCH("营",'20.03'!M82)),(-$Y82+50*IF('20.03'!$AK82="是",'20.03'!$BB$4,'20.03'!$BB$3)),(VLOOKUP('20.03'!M82,'20.03'!$AO$4:$AQ$55,2,FALSE))*IF('20.03'!$AK82="是",'20.03'!$BB$4,'20.03'!$BB$3))</f>
        <v>0</v>
      </c>
      <c r="F82" s="4">
        <f>IF(ISNUMBER(SEARCH("营",'20.03'!N82)),(-$Y82+50*IF('20.03'!$AK82="是",'20.03'!$BB$4,'20.03'!$BB$3)),(VLOOKUP('20.03'!N82,'20.03'!$AO$4:$AQ$55,2,FALSE))*IF('20.03'!$AK82="是",'20.03'!$BB$4,'20.03'!$BB$3))</f>
        <v>0</v>
      </c>
      <c r="G82" s="4">
        <f>IF(ISNUMBER(SEARCH("营",'20.03'!O82)),(-$Y82+50*IF('20.03'!$AK82="是",'20.03'!$BB$4,'20.03'!$BB$3)),(VLOOKUP('20.03'!O82,'20.03'!$AO$4:$AQ$55,2,FALSE))*IF('20.03'!$AK82="是",'20.03'!$BB$4,'20.03'!$BB$3))</f>
        <v>0</v>
      </c>
      <c r="H82" s="4">
        <f>IF(ISNUMBER(SEARCH("营",'20.03'!P82)),(-$Y82+50*IF('20.03'!$AK82="是",'20.03'!$BB$4,'20.03'!$BB$3)),(VLOOKUP('20.03'!P82,'20.03'!$AO$4:$AQ$55,2,FALSE))*IF('20.03'!$AK82="是",'20.03'!$BB$4,'20.03'!$BB$3))</f>
        <v>0</v>
      </c>
      <c r="I82" s="4">
        <f>IF(ISNUMBER(SEARCH("营",'20.03'!Q82)),(-$Y82+50*IF('20.03'!$AK82="是",'20.03'!$BB$4,'20.03'!$BB$3)),(VLOOKUP('20.03'!Q82,'20.03'!$AO$4:$AQ$55,2,FALSE))*IF('20.03'!$AK82="是",'20.03'!$BB$4,'20.03'!$BB$3))</f>
        <v>0</v>
      </c>
      <c r="J82" s="4">
        <f>IF(ISNUMBER(SEARCH("营",'20.03'!R82)),(-$Y82+50*IF('20.03'!$AK82="是",'20.03'!$BB$4,'20.03'!$BB$3)),(VLOOKUP('20.03'!R82,'20.03'!$AO$4:$AQ$55,2,FALSE))*IF('20.03'!$AK82="是",'20.03'!$BB$4,'20.03'!$BB$3))</f>
        <v>0</v>
      </c>
      <c r="K82" s="4">
        <f>IF(ISNUMBER(SEARCH("营",'20.03'!S82)),(-$Y82+50*IF('20.03'!$AK82="是",'20.03'!$BB$4,'20.03'!$BB$3)),(VLOOKUP('20.03'!S82,'20.03'!$AO$4:$AQ$55,2,FALSE))*IF('20.03'!$AK82="是",'20.03'!$BB$4,'20.03'!$BB$3))</f>
        <v>0</v>
      </c>
      <c r="L82" s="4">
        <f>IF(ISNUMBER(SEARCH("营",'20.03'!T82)),(-$Y82+50*IF('20.03'!$AK82="是",'20.03'!$BB$4,'20.03'!$BB$3)),(VLOOKUP('20.03'!T82,'20.03'!$AO$4:$AQ$55,2,FALSE))*IF('20.03'!$AK82="是",'20.03'!$BB$4,'20.03'!$BB$3))</f>
        <v>0</v>
      </c>
      <c r="M82" s="4">
        <f>IF(ISNUMBER(SEARCH("营",'20.03'!U82)),(-$Y82+50*IF('20.03'!$AK82="是",'20.03'!$BB$4,'20.03'!$BB$3)),(VLOOKUP('20.03'!U82,'20.03'!$AO$4:$AQ$55,2,FALSE))*IF('20.03'!$AK82="是",'20.03'!$BB$4,'20.03'!$BB$3))</f>
        <v>0</v>
      </c>
      <c r="N82" s="4">
        <f>IF(ISNUMBER(SEARCH("营",'20.03'!V82)),(-$Y82+50*IF('20.03'!$AK82="是",'20.03'!$BB$4,'20.03'!$BB$3)),(VLOOKUP('20.03'!V82,'20.03'!$AO$4:$AQ$55,2,FALSE))*IF('20.03'!$AK82="是",'20.03'!$BB$4,'20.03'!$BB$3))</f>
        <v>0</v>
      </c>
      <c r="O82" s="4">
        <f>IF(ISNUMBER(SEARCH("营",'20.03'!W82)),(-$Y82+50*IF('20.03'!$AK82="是",'20.03'!$BB$4,'20.03'!$BB$3)),(VLOOKUP('20.03'!W82,'20.03'!$AO$4:$AQ$55,2,FALSE))*IF('20.03'!$AK82="是",'20.03'!$BB$4,'20.03'!$BB$3))</f>
        <v>0</v>
      </c>
      <c r="P82" s="4">
        <f>IF(ISNUMBER(SEARCH("营",'20.03'!X82)),(-$Y82+50*IF('20.03'!$AK82="是",'20.03'!$BB$4,'20.03'!$BB$3)),(VLOOKUP('20.03'!X82,'20.03'!$AO$4:$AQ$55,2,FALSE))*IF('20.03'!$AK82="是",'20.03'!$BB$4,'20.03'!$BB$3))</f>
        <v>0</v>
      </c>
      <c r="Q82" s="4">
        <f>IF(ISNUMBER(SEARCH("营",'20.03'!Y82)),(-$Y82+50*IF('20.03'!$AK82="是",'20.03'!$BB$4,'20.03'!$BB$3)),(VLOOKUP('20.03'!Y82,'20.03'!$AO$4:$AQ$55,2,FALSE))*IF('20.03'!$AK82="是",'20.03'!$BB$4,'20.03'!$BB$3))</f>
        <v>0</v>
      </c>
      <c r="R82" s="4">
        <f>IF(ISNUMBER(SEARCH("营",'20.03'!Z82)),(-$Y82+50*IF('20.03'!$AK82="是",'20.03'!$BB$4,'20.03'!$BB$3)),(VLOOKUP('20.03'!Z82,'20.03'!$AO$4:$AQ$55,2,FALSE))*IF('20.03'!$AK82="是",'20.03'!$BB$4,'20.03'!$BB$3))</f>
        <v>0</v>
      </c>
      <c r="S82" s="4">
        <f>IF(ISNUMBER(SEARCH("营",'20.03'!AA82)),(-$Y82+50*IF('20.03'!$AK82="是",'20.03'!$BB$4,'20.03'!$BB$3)),(VLOOKUP('20.03'!AA82,'20.03'!$AO$4:$AQ$55,2,FALSE))*IF('20.03'!$AK82="是",'20.03'!$BB$4,'20.03'!$BB$3))</f>
        <v>0</v>
      </c>
      <c r="T82" s="4">
        <f>IF(ISNUMBER(SEARCH("营",'20.03'!AB82)),(-$Y82+50*IF('20.03'!$AK82="是",'20.03'!$BB$4,'20.03'!$BB$3)),(VLOOKUP('20.03'!AB82,'20.03'!$AO$4:$AQ$55,2,FALSE))*IF('20.03'!$AK82="是",'20.03'!$BB$4,'20.03'!$BB$3))</f>
        <v>0</v>
      </c>
      <c r="U82" s="4">
        <f>IF(ISNUMBER(SEARCH("营",'20.03'!AC82)),(-$Y82+50*IF('20.03'!$AK82="是",'20.03'!$BB$4,'20.03'!$BB$3)),(VLOOKUP('20.03'!AC82,'20.03'!$AO$4:$AQ$55,2,FALSE))*IF('20.03'!$AK82="是",'20.03'!$BB$4,'20.03'!$BB$3))</f>
        <v>0</v>
      </c>
      <c r="V82" s="4">
        <f>IF(ISNUMBER(SEARCH("营",'20.03'!AD82)),(-$Y82+50*IF('20.03'!$AK82="是",'20.03'!$BB$4,'20.03'!$BB$3)),(VLOOKUP('20.03'!AD82,'20.03'!$AO$4:$AQ$55,2,FALSE))*IF('20.03'!$AK82="是",'20.03'!$BB$4,'20.03'!$BB$3))</f>
        <v>0</v>
      </c>
      <c r="W82" s="4">
        <f>IF(ISNUMBER(SEARCH("营",'20.03'!AE82)),(-$Y82+50*IF('20.03'!$AK82="是",'20.03'!$BB$4,'20.03'!$BB$3)),(VLOOKUP('20.03'!AE82,'20.03'!$AO$4:$AQ$55,2,FALSE))*IF('20.03'!$AK82="是",'20.03'!$BB$4,'20.03'!$BB$3))</f>
        <v>0</v>
      </c>
      <c r="X82" s="4">
        <f>IF(ISNUMBER(SEARCH("营",'20.03'!AF82)),(-$Y82+50*IF('20.03'!$AK82="是",'20.03'!$BB$4,'20.03'!$BB$3)),(VLOOKUP('20.03'!AF82,'20.03'!$AO$4:$AQ$55,2,FALSE))*IF('20.03'!$AK82="是",'20.03'!$BB$4,'20.03'!$BB$3))</f>
        <v>0</v>
      </c>
      <c r="Y82" s="63">
        <v>100</v>
      </c>
      <c r="Z82" s="94">
        <v>45899</v>
      </c>
    </row>
    <row r="83" spans="1:26">
      <c r="A83" s="4">
        <f>IF(ISNUMBER(SEARCH("营",'20.03'!I83)),(-$Y83+50*IF('20.03'!$AK83="是",'20.03'!$BB$4,'20.03'!$BB$3)),(VLOOKUP('20.03'!I83,'20.03'!$AO$4:$AQ$55,2,FALSE))*IF('20.03'!$AK83="是",'20.03'!$BB$4,'20.03'!$BB$3))</f>
        <v>0</v>
      </c>
      <c r="B83" s="4">
        <f>IF(ISNUMBER(SEARCH("营",'20.03'!J83)),(-$Y83+50*IF('20.03'!$AK83="是",'20.03'!$BB$4,'20.03'!$BB$3)),(VLOOKUP('20.03'!J83,'20.03'!$AO$4:$AQ$55,2,FALSE))*IF('20.03'!$AK83="是",'20.03'!$BB$4,'20.03'!$BB$3))</f>
        <v>0</v>
      </c>
      <c r="C83" s="4">
        <f>IF(ISNUMBER(SEARCH("营",'20.03'!K83)),(-$Y83+50*IF('20.03'!$AK83="是",'20.03'!$BB$4,'20.03'!$BB$3)),(VLOOKUP('20.03'!K83,'20.03'!$AO$4:$AQ$55,2,FALSE))*IF('20.03'!$AK83="是",'20.03'!$BB$4,'20.03'!$BB$3))</f>
        <v>0</v>
      </c>
      <c r="D83" s="4">
        <f>IF(ISNUMBER(SEARCH("营",'20.03'!L83)),(-$Y83+50*IF('20.03'!$AK83="是",'20.03'!$BB$4,'20.03'!$BB$3)),(VLOOKUP('20.03'!L83,'20.03'!$AO$4:$AQ$55,2,FALSE))*IF('20.03'!$AK83="是",'20.03'!$BB$4,'20.03'!$BB$3))</f>
        <v>0</v>
      </c>
      <c r="E83" s="4">
        <f>IF(ISNUMBER(SEARCH("营",'20.03'!M83)),(-$Y83+50*IF('20.03'!$AK83="是",'20.03'!$BB$4,'20.03'!$BB$3)),(VLOOKUP('20.03'!M83,'20.03'!$AO$4:$AQ$55,2,FALSE))*IF('20.03'!$AK83="是",'20.03'!$BB$4,'20.03'!$BB$3))</f>
        <v>0</v>
      </c>
      <c r="F83" s="4">
        <f>IF(ISNUMBER(SEARCH("营",'20.03'!N83)),(-$Y83+50*IF('20.03'!$AK83="是",'20.03'!$BB$4,'20.03'!$BB$3)),(VLOOKUP('20.03'!N83,'20.03'!$AO$4:$AQ$55,2,FALSE))*IF('20.03'!$AK83="是",'20.03'!$BB$4,'20.03'!$BB$3))</f>
        <v>0</v>
      </c>
      <c r="G83" s="4">
        <f>IF(ISNUMBER(SEARCH("营",'20.03'!O83)),(-$Y83+50*IF('20.03'!$AK83="是",'20.03'!$BB$4,'20.03'!$BB$3)),(VLOOKUP('20.03'!O83,'20.03'!$AO$4:$AQ$55,2,FALSE))*IF('20.03'!$AK83="是",'20.03'!$BB$4,'20.03'!$BB$3))</f>
        <v>0</v>
      </c>
      <c r="H83" s="4">
        <f>IF(ISNUMBER(SEARCH("营",'20.03'!P83)),(-$Y83+50*IF('20.03'!$AK83="是",'20.03'!$BB$4,'20.03'!$BB$3)),(VLOOKUP('20.03'!P83,'20.03'!$AO$4:$AQ$55,2,FALSE))*IF('20.03'!$AK83="是",'20.03'!$BB$4,'20.03'!$BB$3))</f>
        <v>0</v>
      </c>
      <c r="I83" s="4">
        <f>IF(ISNUMBER(SEARCH("营",'20.03'!Q83)),(-$Y83+50*IF('20.03'!$AK83="是",'20.03'!$BB$4,'20.03'!$BB$3)),(VLOOKUP('20.03'!Q83,'20.03'!$AO$4:$AQ$55,2,FALSE))*IF('20.03'!$AK83="是",'20.03'!$BB$4,'20.03'!$BB$3))</f>
        <v>0</v>
      </c>
      <c r="J83" s="4">
        <f>IF(ISNUMBER(SEARCH("营",'20.03'!R83)),(-$Y83+50*IF('20.03'!$AK83="是",'20.03'!$BB$4,'20.03'!$BB$3)),(VLOOKUP('20.03'!R83,'20.03'!$AO$4:$AQ$55,2,FALSE))*IF('20.03'!$AK83="是",'20.03'!$BB$4,'20.03'!$BB$3))</f>
        <v>0</v>
      </c>
      <c r="K83" s="4">
        <f>IF(ISNUMBER(SEARCH("营",'20.03'!S83)),(-$Y83+50*IF('20.03'!$AK83="是",'20.03'!$BB$4,'20.03'!$BB$3)),(VLOOKUP('20.03'!S83,'20.03'!$AO$4:$AQ$55,2,FALSE))*IF('20.03'!$AK83="是",'20.03'!$BB$4,'20.03'!$BB$3))</f>
        <v>0</v>
      </c>
      <c r="L83" s="4">
        <f>IF(ISNUMBER(SEARCH("营",'20.03'!T83)),(-$Y83+50*IF('20.03'!$AK83="是",'20.03'!$BB$4,'20.03'!$BB$3)),(VLOOKUP('20.03'!T83,'20.03'!$AO$4:$AQ$55,2,FALSE))*IF('20.03'!$AK83="是",'20.03'!$BB$4,'20.03'!$BB$3))</f>
        <v>0</v>
      </c>
      <c r="M83" s="4">
        <f>IF(ISNUMBER(SEARCH("营",'20.03'!U83)),(-$Y83+50*IF('20.03'!$AK83="是",'20.03'!$BB$4,'20.03'!$BB$3)),(VLOOKUP('20.03'!U83,'20.03'!$AO$4:$AQ$55,2,FALSE))*IF('20.03'!$AK83="是",'20.03'!$BB$4,'20.03'!$BB$3))</f>
        <v>0</v>
      </c>
      <c r="N83" s="4">
        <f>IF(ISNUMBER(SEARCH("营",'20.03'!V83)),(-$Y83+50*IF('20.03'!$AK83="是",'20.03'!$BB$4,'20.03'!$BB$3)),(VLOOKUP('20.03'!V83,'20.03'!$AO$4:$AQ$55,2,FALSE))*IF('20.03'!$AK83="是",'20.03'!$BB$4,'20.03'!$BB$3))</f>
        <v>0</v>
      </c>
      <c r="O83" s="4">
        <f>IF(ISNUMBER(SEARCH("营",'20.03'!W83)),(-$Y83+50*IF('20.03'!$AK83="是",'20.03'!$BB$4,'20.03'!$BB$3)),(VLOOKUP('20.03'!W83,'20.03'!$AO$4:$AQ$55,2,FALSE))*IF('20.03'!$AK83="是",'20.03'!$BB$4,'20.03'!$BB$3))</f>
        <v>0</v>
      </c>
      <c r="P83" s="4">
        <f>IF(ISNUMBER(SEARCH("营",'20.03'!X83)),(-$Y83+50*IF('20.03'!$AK83="是",'20.03'!$BB$4,'20.03'!$BB$3)),(VLOOKUP('20.03'!X83,'20.03'!$AO$4:$AQ$55,2,FALSE))*IF('20.03'!$AK83="是",'20.03'!$BB$4,'20.03'!$BB$3))</f>
        <v>0</v>
      </c>
      <c r="Q83" s="4">
        <f>IF(ISNUMBER(SEARCH("营",'20.03'!Y83)),(-$Y83+50*IF('20.03'!$AK83="是",'20.03'!$BB$4,'20.03'!$BB$3)),(VLOOKUP('20.03'!Y83,'20.03'!$AO$4:$AQ$55,2,FALSE))*IF('20.03'!$AK83="是",'20.03'!$BB$4,'20.03'!$BB$3))</f>
        <v>0</v>
      </c>
      <c r="R83" s="4">
        <f>IF(ISNUMBER(SEARCH("营",'20.03'!Z83)),(-$Y83+50*IF('20.03'!$AK83="是",'20.03'!$BB$4,'20.03'!$BB$3)),(VLOOKUP('20.03'!Z83,'20.03'!$AO$4:$AQ$55,2,FALSE))*IF('20.03'!$AK83="是",'20.03'!$BB$4,'20.03'!$BB$3))</f>
        <v>0</v>
      </c>
      <c r="S83" s="4">
        <f>IF(ISNUMBER(SEARCH("营",'20.03'!AA83)),(-$Y83+50*IF('20.03'!$AK83="是",'20.03'!$BB$4,'20.03'!$BB$3)),(VLOOKUP('20.03'!AA83,'20.03'!$AO$4:$AQ$55,2,FALSE))*IF('20.03'!$AK83="是",'20.03'!$BB$4,'20.03'!$BB$3))</f>
        <v>0</v>
      </c>
      <c r="T83" s="4">
        <f>IF(ISNUMBER(SEARCH("营",'20.03'!AB83)),(-$Y83+50*IF('20.03'!$AK83="是",'20.03'!$BB$4,'20.03'!$BB$3)),(VLOOKUP('20.03'!AB83,'20.03'!$AO$4:$AQ$55,2,FALSE))*IF('20.03'!$AK83="是",'20.03'!$BB$4,'20.03'!$BB$3))</f>
        <v>0</v>
      </c>
      <c r="U83" s="4">
        <f>IF(ISNUMBER(SEARCH("营",'20.03'!AC83)),(-$Y83+50*IF('20.03'!$AK83="是",'20.03'!$BB$4,'20.03'!$BB$3)),(VLOOKUP('20.03'!AC83,'20.03'!$AO$4:$AQ$55,2,FALSE))*IF('20.03'!$AK83="是",'20.03'!$BB$4,'20.03'!$BB$3))</f>
        <v>0</v>
      </c>
      <c r="V83" s="4">
        <f>IF(ISNUMBER(SEARCH("营",'20.03'!AD83)),(-$Y83+50*IF('20.03'!$AK83="是",'20.03'!$BB$4,'20.03'!$BB$3)),(VLOOKUP('20.03'!AD83,'20.03'!$AO$4:$AQ$55,2,FALSE))*IF('20.03'!$AK83="是",'20.03'!$BB$4,'20.03'!$BB$3))</f>
        <v>0</v>
      </c>
      <c r="W83" s="4">
        <f>IF(ISNUMBER(SEARCH("营",'20.03'!AE83)),(-$Y83+50*IF('20.03'!$AK83="是",'20.03'!$BB$4,'20.03'!$BB$3)),(VLOOKUP('20.03'!AE83,'20.03'!$AO$4:$AQ$55,2,FALSE))*IF('20.03'!$AK83="是",'20.03'!$BB$4,'20.03'!$BB$3))</f>
        <v>0</v>
      </c>
      <c r="X83" s="4">
        <f>IF(ISNUMBER(SEARCH("营",'20.03'!AF83)),(-$Y83+50*IF('20.03'!$AK83="是",'20.03'!$BB$4,'20.03'!$BB$3)),(VLOOKUP('20.03'!AF83,'20.03'!$AO$4:$AQ$55,2,FALSE))*IF('20.03'!$AK83="是",'20.03'!$BB$4,'20.03'!$BB$3))</f>
        <v>0</v>
      </c>
      <c r="Y83" s="63">
        <v>100</v>
      </c>
      <c r="Z83" s="94">
        <v>45900</v>
      </c>
    </row>
    <row r="84" spans="1:26">
      <c r="A84" s="4">
        <f>IF(ISNUMBER(SEARCH("营",'20.03'!I84)),(-$Y84+50*IF('20.03'!$AK84="是",'20.03'!$BB$4,'20.03'!$BB$3)),(VLOOKUP('20.03'!I84,'20.03'!$AO$4:$AQ$55,2,FALSE))*IF('20.03'!$AK84="是",'20.03'!$BB$4,'20.03'!$BB$3))</f>
        <v>0</v>
      </c>
      <c r="B84" s="4">
        <f>IF(ISNUMBER(SEARCH("营",'20.03'!J84)),(-$Y84+50*IF('20.03'!$AK84="是",'20.03'!$BB$4,'20.03'!$BB$3)),(VLOOKUP('20.03'!J84,'20.03'!$AO$4:$AQ$55,2,FALSE))*IF('20.03'!$AK84="是",'20.03'!$BB$4,'20.03'!$BB$3))</f>
        <v>0</v>
      </c>
      <c r="C84" s="4">
        <f>IF(ISNUMBER(SEARCH("营",'20.03'!K84)),(-$Y84+50*IF('20.03'!$AK84="是",'20.03'!$BB$4,'20.03'!$BB$3)),(VLOOKUP('20.03'!K84,'20.03'!$AO$4:$AQ$55,2,FALSE))*IF('20.03'!$AK84="是",'20.03'!$BB$4,'20.03'!$BB$3))</f>
        <v>0</v>
      </c>
      <c r="D84" s="4">
        <f>IF(ISNUMBER(SEARCH("营",'20.03'!L84)),(-$Y84+50*IF('20.03'!$AK84="是",'20.03'!$BB$4,'20.03'!$BB$3)),(VLOOKUP('20.03'!L84,'20.03'!$AO$4:$AQ$55,2,FALSE))*IF('20.03'!$AK84="是",'20.03'!$BB$4,'20.03'!$BB$3))</f>
        <v>0</v>
      </c>
      <c r="E84" s="4">
        <f>IF(ISNUMBER(SEARCH("营",'20.03'!M84)),(-$Y84+50*IF('20.03'!$AK84="是",'20.03'!$BB$4,'20.03'!$BB$3)),(VLOOKUP('20.03'!M84,'20.03'!$AO$4:$AQ$55,2,FALSE))*IF('20.03'!$AK84="是",'20.03'!$BB$4,'20.03'!$BB$3))</f>
        <v>0</v>
      </c>
      <c r="F84" s="4">
        <f>IF(ISNUMBER(SEARCH("营",'20.03'!N84)),(-$Y84+50*IF('20.03'!$AK84="是",'20.03'!$BB$4,'20.03'!$BB$3)),(VLOOKUP('20.03'!N84,'20.03'!$AO$4:$AQ$55,2,FALSE))*IF('20.03'!$AK84="是",'20.03'!$BB$4,'20.03'!$BB$3))</f>
        <v>0</v>
      </c>
      <c r="G84" s="4">
        <f>IF(ISNUMBER(SEARCH("营",'20.03'!O84)),(-$Y84+50*IF('20.03'!$AK84="是",'20.03'!$BB$4,'20.03'!$BB$3)),(VLOOKUP('20.03'!O84,'20.03'!$AO$4:$AQ$55,2,FALSE))*IF('20.03'!$AK84="是",'20.03'!$BB$4,'20.03'!$BB$3))</f>
        <v>0</v>
      </c>
      <c r="H84" s="4">
        <f>IF(ISNUMBER(SEARCH("营",'20.03'!P84)),(-$Y84+50*IF('20.03'!$AK84="是",'20.03'!$BB$4,'20.03'!$BB$3)),(VLOOKUP('20.03'!P84,'20.03'!$AO$4:$AQ$55,2,FALSE))*IF('20.03'!$AK84="是",'20.03'!$BB$4,'20.03'!$BB$3))</f>
        <v>0</v>
      </c>
      <c r="I84" s="4">
        <f>IF(ISNUMBER(SEARCH("营",'20.03'!Q84)),(-$Y84+50*IF('20.03'!$AK84="是",'20.03'!$BB$4,'20.03'!$BB$3)),(VLOOKUP('20.03'!Q84,'20.03'!$AO$4:$AQ$55,2,FALSE))*IF('20.03'!$AK84="是",'20.03'!$BB$4,'20.03'!$BB$3))</f>
        <v>0</v>
      </c>
      <c r="J84" s="4">
        <f>IF(ISNUMBER(SEARCH("营",'20.03'!R84)),(-$Y84+50*IF('20.03'!$AK84="是",'20.03'!$BB$4,'20.03'!$BB$3)),(VLOOKUP('20.03'!R84,'20.03'!$AO$4:$AQ$55,2,FALSE))*IF('20.03'!$AK84="是",'20.03'!$BB$4,'20.03'!$BB$3))</f>
        <v>0</v>
      </c>
      <c r="K84" s="4">
        <f>IF(ISNUMBER(SEARCH("营",'20.03'!S84)),(-$Y84+50*IF('20.03'!$AK84="是",'20.03'!$BB$4,'20.03'!$BB$3)),(VLOOKUP('20.03'!S84,'20.03'!$AO$4:$AQ$55,2,FALSE))*IF('20.03'!$AK84="是",'20.03'!$BB$4,'20.03'!$BB$3))</f>
        <v>0</v>
      </c>
      <c r="L84" s="4">
        <f>IF(ISNUMBER(SEARCH("营",'20.03'!T84)),(-$Y84+50*IF('20.03'!$AK84="是",'20.03'!$BB$4,'20.03'!$BB$3)),(VLOOKUP('20.03'!T84,'20.03'!$AO$4:$AQ$55,2,FALSE))*IF('20.03'!$AK84="是",'20.03'!$BB$4,'20.03'!$BB$3))</f>
        <v>0</v>
      </c>
      <c r="M84" s="4">
        <f>IF(ISNUMBER(SEARCH("营",'20.03'!U84)),(-$Y84+50*IF('20.03'!$AK84="是",'20.03'!$BB$4,'20.03'!$BB$3)),(VLOOKUP('20.03'!U84,'20.03'!$AO$4:$AQ$55,2,FALSE))*IF('20.03'!$AK84="是",'20.03'!$BB$4,'20.03'!$BB$3))</f>
        <v>0</v>
      </c>
      <c r="N84" s="4">
        <f>IF(ISNUMBER(SEARCH("营",'20.03'!V84)),(-$Y84+50*IF('20.03'!$AK84="是",'20.03'!$BB$4,'20.03'!$BB$3)),(VLOOKUP('20.03'!V84,'20.03'!$AO$4:$AQ$55,2,FALSE))*IF('20.03'!$AK84="是",'20.03'!$BB$4,'20.03'!$BB$3))</f>
        <v>0</v>
      </c>
      <c r="O84" s="4">
        <f>IF(ISNUMBER(SEARCH("营",'20.03'!W84)),(-$Y84+50*IF('20.03'!$AK84="是",'20.03'!$BB$4,'20.03'!$BB$3)),(VLOOKUP('20.03'!W84,'20.03'!$AO$4:$AQ$55,2,FALSE))*IF('20.03'!$AK84="是",'20.03'!$BB$4,'20.03'!$BB$3))</f>
        <v>0</v>
      </c>
      <c r="P84" s="4">
        <f>IF(ISNUMBER(SEARCH("营",'20.03'!X84)),(-$Y84+50*IF('20.03'!$AK84="是",'20.03'!$BB$4,'20.03'!$BB$3)),(VLOOKUP('20.03'!X84,'20.03'!$AO$4:$AQ$55,2,FALSE))*IF('20.03'!$AK84="是",'20.03'!$BB$4,'20.03'!$BB$3))</f>
        <v>0</v>
      </c>
      <c r="Q84" s="4">
        <f>IF(ISNUMBER(SEARCH("营",'20.03'!Y84)),(-$Y84+50*IF('20.03'!$AK84="是",'20.03'!$BB$4,'20.03'!$BB$3)),(VLOOKUP('20.03'!Y84,'20.03'!$AO$4:$AQ$55,2,FALSE))*IF('20.03'!$AK84="是",'20.03'!$BB$4,'20.03'!$BB$3))</f>
        <v>0</v>
      </c>
      <c r="R84" s="4">
        <f>IF(ISNUMBER(SEARCH("营",'20.03'!Z84)),(-$Y84+50*IF('20.03'!$AK84="是",'20.03'!$BB$4,'20.03'!$BB$3)),(VLOOKUP('20.03'!Z84,'20.03'!$AO$4:$AQ$55,2,FALSE))*IF('20.03'!$AK84="是",'20.03'!$BB$4,'20.03'!$BB$3))</f>
        <v>0</v>
      </c>
      <c r="S84" s="4">
        <f>IF(ISNUMBER(SEARCH("营",'20.03'!AA84)),(-$Y84+50*IF('20.03'!$AK84="是",'20.03'!$BB$4,'20.03'!$BB$3)),(VLOOKUP('20.03'!AA84,'20.03'!$AO$4:$AQ$55,2,FALSE))*IF('20.03'!$AK84="是",'20.03'!$BB$4,'20.03'!$BB$3))</f>
        <v>0</v>
      </c>
      <c r="T84" s="4">
        <f>IF(ISNUMBER(SEARCH("营",'20.03'!AB84)),(-$Y84+50*IF('20.03'!$AK84="是",'20.03'!$BB$4,'20.03'!$BB$3)),(VLOOKUP('20.03'!AB84,'20.03'!$AO$4:$AQ$55,2,FALSE))*IF('20.03'!$AK84="是",'20.03'!$BB$4,'20.03'!$BB$3))</f>
        <v>0</v>
      </c>
      <c r="U84" s="4">
        <f>IF(ISNUMBER(SEARCH("营",'20.03'!AC84)),(-$Y84+50*IF('20.03'!$AK84="是",'20.03'!$BB$4,'20.03'!$BB$3)),(VLOOKUP('20.03'!AC84,'20.03'!$AO$4:$AQ$55,2,FALSE))*IF('20.03'!$AK84="是",'20.03'!$BB$4,'20.03'!$BB$3))</f>
        <v>0</v>
      </c>
      <c r="V84" s="4">
        <f>IF(ISNUMBER(SEARCH("营",'20.03'!AD84)),(-$Y84+50*IF('20.03'!$AK84="是",'20.03'!$BB$4,'20.03'!$BB$3)),(VLOOKUP('20.03'!AD84,'20.03'!$AO$4:$AQ$55,2,FALSE))*IF('20.03'!$AK84="是",'20.03'!$BB$4,'20.03'!$BB$3))</f>
        <v>0</v>
      </c>
      <c r="W84" s="4">
        <f>IF(ISNUMBER(SEARCH("营",'20.03'!AE84)),(-$Y84+50*IF('20.03'!$AK84="是",'20.03'!$BB$4,'20.03'!$BB$3)),(VLOOKUP('20.03'!AE84,'20.03'!$AO$4:$AQ$55,2,FALSE))*IF('20.03'!$AK84="是",'20.03'!$BB$4,'20.03'!$BB$3))</f>
        <v>0</v>
      </c>
      <c r="X84" s="4">
        <f>IF(ISNUMBER(SEARCH("营",'20.03'!AF84)),(-$Y84+50*IF('20.03'!$AK84="是",'20.03'!$BB$4,'20.03'!$BB$3)),(VLOOKUP('20.03'!AF84,'20.03'!$AO$4:$AQ$55,2,FALSE))*IF('20.03'!$AK84="是",'20.03'!$BB$4,'20.03'!$BB$3))</f>
        <v>0</v>
      </c>
      <c r="Y84" s="63">
        <v>100</v>
      </c>
      <c r="Z84" s="94">
        <v>45901</v>
      </c>
    </row>
    <row r="85" spans="1:26">
      <c r="A85" s="4">
        <f>IF(ISNUMBER(SEARCH("营",'20.03'!I85)),(-$Y85+50*IF('20.03'!$AK85="是",'20.03'!$BB$4,'20.03'!$BB$3)),(VLOOKUP('20.03'!I85,'20.03'!$AO$4:$AQ$55,2,FALSE))*IF('20.03'!$AK85="是",'20.03'!$BB$4,'20.03'!$BB$3))</f>
        <v>0</v>
      </c>
      <c r="B85" s="4">
        <f>IF(ISNUMBER(SEARCH("营",'20.03'!J85)),(-$Y85+50*IF('20.03'!$AK85="是",'20.03'!$BB$4,'20.03'!$BB$3)),(VLOOKUP('20.03'!J85,'20.03'!$AO$4:$AQ$55,2,FALSE))*IF('20.03'!$AK85="是",'20.03'!$BB$4,'20.03'!$BB$3))</f>
        <v>0</v>
      </c>
      <c r="C85" s="4">
        <f>IF(ISNUMBER(SEARCH("营",'20.03'!K85)),(-$Y85+50*IF('20.03'!$AK85="是",'20.03'!$BB$4,'20.03'!$BB$3)),(VLOOKUP('20.03'!K85,'20.03'!$AO$4:$AQ$55,2,FALSE))*IF('20.03'!$AK85="是",'20.03'!$BB$4,'20.03'!$BB$3))</f>
        <v>0</v>
      </c>
      <c r="D85" s="4">
        <f>IF(ISNUMBER(SEARCH("营",'20.03'!L85)),(-$Y85+50*IF('20.03'!$AK85="是",'20.03'!$BB$4,'20.03'!$BB$3)),(VLOOKUP('20.03'!L85,'20.03'!$AO$4:$AQ$55,2,FALSE))*IF('20.03'!$AK85="是",'20.03'!$BB$4,'20.03'!$BB$3))</f>
        <v>0</v>
      </c>
      <c r="E85" s="4">
        <f>IF(ISNUMBER(SEARCH("营",'20.03'!M85)),(-$Y85+50*IF('20.03'!$AK85="是",'20.03'!$BB$4,'20.03'!$BB$3)),(VLOOKUP('20.03'!M85,'20.03'!$AO$4:$AQ$55,2,FALSE))*IF('20.03'!$AK85="是",'20.03'!$BB$4,'20.03'!$BB$3))</f>
        <v>0</v>
      </c>
      <c r="F85" s="4">
        <f>IF(ISNUMBER(SEARCH("营",'20.03'!N85)),(-$Y85+50*IF('20.03'!$AK85="是",'20.03'!$BB$4,'20.03'!$BB$3)),(VLOOKUP('20.03'!N85,'20.03'!$AO$4:$AQ$55,2,FALSE))*IF('20.03'!$AK85="是",'20.03'!$BB$4,'20.03'!$BB$3))</f>
        <v>0</v>
      </c>
      <c r="G85" s="4">
        <f>IF(ISNUMBER(SEARCH("营",'20.03'!O85)),(-$Y85+50*IF('20.03'!$AK85="是",'20.03'!$BB$4,'20.03'!$BB$3)),(VLOOKUP('20.03'!O85,'20.03'!$AO$4:$AQ$55,2,FALSE))*IF('20.03'!$AK85="是",'20.03'!$BB$4,'20.03'!$BB$3))</f>
        <v>0</v>
      </c>
      <c r="H85" s="4">
        <f>IF(ISNUMBER(SEARCH("营",'20.03'!P85)),(-$Y85+50*IF('20.03'!$AK85="是",'20.03'!$BB$4,'20.03'!$BB$3)),(VLOOKUP('20.03'!P85,'20.03'!$AO$4:$AQ$55,2,FALSE))*IF('20.03'!$AK85="是",'20.03'!$BB$4,'20.03'!$BB$3))</f>
        <v>0</v>
      </c>
      <c r="I85" s="4">
        <f>IF(ISNUMBER(SEARCH("营",'20.03'!Q85)),(-$Y85+50*IF('20.03'!$AK85="是",'20.03'!$BB$4,'20.03'!$BB$3)),(VLOOKUP('20.03'!Q85,'20.03'!$AO$4:$AQ$55,2,FALSE))*IF('20.03'!$AK85="是",'20.03'!$BB$4,'20.03'!$BB$3))</f>
        <v>0</v>
      </c>
      <c r="J85" s="4">
        <f>IF(ISNUMBER(SEARCH("营",'20.03'!R85)),(-$Y85+50*IF('20.03'!$AK85="是",'20.03'!$BB$4,'20.03'!$BB$3)),(VLOOKUP('20.03'!R85,'20.03'!$AO$4:$AQ$55,2,FALSE))*IF('20.03'!$AK85="是",'20.03'!$BB$4,'20.03'!$BB$3))</f>
        <v>0</v>
      </c>
      <c r="K85" s="4">
        <f>IF(ISNUMBER(SEARCH("营",'20.03'!S85)),(-$Y85+50*IF('20.03'!$AK85="是",'20.03'!$BB$4,'20.03'!$BB$3)),(VLOOKUP('20.03'!S85,'20.03'!$AO$4:$AQ$55,2,FALSE))*IF('20.03'!$AK85="是",'20.03'!$BB$4,'20.03'!$BB$3))</f>
        <v>0</v>
      </c>
      <c r="L85" s="4">
        <f>IF(ISNUMBER(SEARCH("营",'20.03'!T85)),(-$Y85+50*IF('20.03'!$AK85="是",'20.03'!$BB$4,'20.03'!$BB$3)),(VLOOKUP('20.03'!T85,'20.03'!$AO$4:$AQ$55,2,FALSE))*IF('20.03'!$AK85="是",'20.03'!$BB$4,'20.03'!$BB$3))</f>
        <v>0</v>
      </c>
      <c r="M85" s="4">
        <f>IF(ISNUMBER(SEARCH("营",'20.03'!U85)),(-$Y85+50*IF('20.03'!$AK85="是",'20.03'!$BB$4,'20.03'!$BB$3)),(VLOOKUP('20.03'!U85,'20.03'!$AO$4:$AQ$55,2,FALSE))*IF('20.03'!$AK85="是",'20.03'!$BB$4,'20.03'!$BB$3))</f>
        <v>0</v>
      </c>
      <c r="N85" s="4">
        <f>IF(ISNUMBER(SEARCH("营",'20.03'!V85)),(-$Y85+50*IF('20.03'!$AK85="是",'20.03'!$BB$4,'20.03'!$BB$3)),(VLOOKUP('20.03'!V85,'20.03'!$AO$4:$AQ$55,2,FALSE))*IF('20.03'!$AK85="是",'20.03'!$BB$4,'20.03'!$BB$3))</f>
        <v>0</v>
      </c>
      <c r="O85" s="4">
        <f>IF(ISNUMBER(SEARCH("营",'20.03'!W85)),(-$Y85+50*IF('20.03'!$AK85="是",'20.03'!$BB$4,'20.03'!$BB$3)),(VLOOKUP('20.03'!W85,'20.03'!$AO$4:$AQ$55,2,FALSE))*IF('20.03'!$AK85="是",'20.03'!$BB$4,'20.03'!$BB$3))</f>
        <v>0</v>
      </c>
      <c r="P85" s="4">
        <f>IF(ISNUMBER(SEARCH("营",'20.03'!X85)),(-$Y85+50*IF('20.03'!$AK85="是",'20.03'!$BB$4,'20.03'!$BB$3)),(VLOOKUP('20.03'!X85,'20.03'!$AO$4:$AQ$55,2,FALSE))*IF('20.03'!$AK85="是",'20.03'!$BB$4,'20.03'!$BB$3))</f>
        <v>0</v>
      </c>
      <c r="Q85" s="4">
        <f>IF(ISNUMBER(SEARCH("营",'20.03'!Y85)),(-$Y85+50*IF('20.03'!$AK85="是",'20.03'!$BB$4,'20.03'!$BB$3)),(VLOOKUP('20.03'!Y85,'20.03'!$AO$4:$AQ$55,2,FALSE))*IF('20.03'!$AK85="是",'20.03'!$BB$4,'20.03'!$BB$3))</f>
        <v>0</v>
      </c>
      <c r="R85" s="4">
        <f>IF(ISNUMBER(SEARCH("营",'20.03'!Z85)),(-$Y85+50*IF('20.03'!$AK85="是",'20.03'!$BB$4,'20.03'!$BB$3)),(VLOOKUP('20.03'!Z85,'20.03'!$AO$4:$AQ$55,2,FALSE))*IF('20.03'!$AK85="是",'20.03'!$BB$4,'20.03'!$BB$3))</f>
        <v>0</v>
      </c>
      <c r="S85" s="4">
        <f>IF(ISNUMBER(SEARCH("营",'20.03'!AA85)),(-$Y85+50*IF('20.03'!$AK85="是",'20.03'!$BB$4,'20.03'!$BB$3)),(VLOOKUP('20.03'!AA85,'20.03'!$AO$4:$AQ$55,2,FALSE))*IF('20.03'!$AK85="是",'20.03'!$BB$4,'20.03'!$BB$3))</f>
        <v>0</v>
      </c>
      <c r="T85" s="4">
        <f>IF(ISNUMBER(SEARCH("营",'20.03'!AB85)),(-$Y85+50*IF('20.03'!$AK85="是",'20.03'!$BB$4,'20.03'!$BB$3)),(VLOOKUP('20.03'!AB85,'20.03'!$AO$4:$AQ$55,2,FALSE))*IF('20.03'!$AK85="是",'20.03'!$BB$4,'20.03'!$BB$3))</f>
        <v>0</v>
      </c>
      <c r="U85" s="4">
        <f>IF(ISNUMBER(SEARCH("营",'20.03'!AC85)),(-$Y85+50*IF('20.03'!$AK85="是",'20.03'!$BB$4,'20.03'!$BB$3)),(VLOOKUP('20.03'!AC85,'20.03'!$AO$4:$AQ$55,2,FALSE))*IF('20.03'!$AK85="是",'20.03'!$BB$4,'20.03'!$BB$3))</f>
        <v>0</v>
      </c>
      <c r="V85" s="4">
        <f>IF(ISNUMBER(SEARCH("营",'20.03'!AD85)),(-$Y85+50*IF('20.03'!$AK85="是",'20.03'!$BB$4,'20.03'!$BB$3)),(VLOOKUP('20.03'!AD85,'20.03'!$AO$4:$AQ$55,2,FALSE))*IF('20.03'!$AK85="是",'20.03'!$BB$4,'20.03'!$BB$3))</f>
        <v>0</v>
      </c>
      <c r="W85" s="4">
        <f>IF(ISNUMBER(SEARCH("营",'20.03'!AE85)),(-$Y85+50*IF('20.03'!$AK85="是",'20.03'!$BB$4,'20.03'!$BB$3)),(VLOOKUP('20.03'!AE85,'20.03'!$AO$4:$AQ$55,2,FALSE))*IF('20.03'!$AK85="是",'20.03'!$BB$4,'20.03'!$BB$3))</f>
        <v>0</v>
      </c>
      <c r="X85" s="4">
        <f>IF(ISNUMBER(SEARCH("营",'20.03'!AF85)),(-$Y85+50*IF('20.03'!$AK85="是",'20.03'!$BB$4,'20.03'!$BB$3)),(VLOOKUP('20.03'!AF85,'20.03'!$AO$4:$AQ$55,2,FALSE))*IF('20.03'!$AK85="是",'20.03'!$BB$4,'20.03'!$BB$3))</f>
        <v>0</v>
      </c>
      <c r="Y85" s="63">
        <v>100</v>
      </c>
      <c r="Z85" s="94">
        <v>45902</v>
      </c>
    </row>
    <row r="86" spans="1:26">
      <c r="A86" s="4">
        <f>IF(ISNUMBER(SEARCH("营",'20.03'!I86)),(-$Y86+50*IF('20.03'!$AK86="是",'20.03'!$BB$4,'20.03'!$BB$3)),(VLOOKUP('20.03'!I86,'20.03'!$AO$4:$AQ$55,2,FALSE))*IF('20.03'!$AK86="是",'20.03'!$BB$4,'20.03'!$BB$3))</f>
        <v>0</v>
      </c>
      <c r="B86" s="4">
        <f>IF(ISNUMBER(SEARCH("营",'20.03'!J86)),(-$Y86+50*IF('20.03'!$AK86="是",'20.03'!$BB$4,'20.03'!$BB$3)),(VLOOKUP('20.03'!J86,'20.03'!$AO$4:$AQ$55,2,FALSE))*IF('20.03'!$AK86="是",'20.03'!$BB$4,'20.03'!$BB$3))</f>
        <v>0</v>
      </c>
      <c r="C86" s="4">
        <f>IF(ISNUMBER(SEARCH("营",'20.03'!K86)),(-$Y86+50*IF('20.03'!$AK86="是",'20.03'!$BB$4,'20.03'!$BB$3)),(VLOOKUP('20.03'!K86,'20.03'!$AO$4:$AQ$55,2,FALSE))*IF('20.03'!$AK86="是",'20.03'!$BB$4,'20.03'!$BB$3))</f>
        <v>0</v>
      </c>
      <c r="D86" s="4">
        <f>IF(ISNUMBER(SEARCH("营",'20.03'!L86)),(-$Y86+50*IF('20.03'!$AK86="是",'20.03'!$BB$4,'20.03'!$BB$3)),(VLOOKUP('20.03'!L86,'20.03'!$AO$4:$AQ$55,2,FALSE))*IF('20.03'!$AK86="是",'20.03'!$BB$4,'20.03'!$BB$3))</f>
        <v>0</v>
      </c>
      <c r="E86" s="4">
        <f>IF(ISNUMBER(SEARCH("营",'20.03'!M86)),(-$Y86+50*IF('20.03'!$AK86="是",'20.03'!$BB$4,'20.03'!$BB$3)),(VLOOKUP('20.03'!M86,'20.03'!$AO$4:$AQ$55,2,FALSE))*IF('20.03'!$AK86="是",'20.03'!$BB$4,'20.03'!$BB$3))</f>
        <v>0</v>
      </c>
      <c r="F86" s="4">
        <f>IF(ISNUMBER(SEARCH("营",'20.03'!N86)),(-$Y86+50*IF('20.03'!$AK86="是",'20.03'!$BB$4,'20.03'!$BB$3)),(VLOOKUP('20.03'!N86,'20.03'!$AO$4:$AQ$55,2,FALSE))*IF('20.03'!$AK86="是",'20.03'!$BB$4,'20.03'!$BB$3))</f>
        <v>0</v>
      </c>
      <c r="G86" s="4">
        <f>IF(ISNUMBER(SEARCH("营",'20.03'!O86)),(-$Y86+50*IF('20.03'!$AK86="是",'20.03'!$BB$4,'20.03'!$BB$3)),(VLOOKUP('20.03'!O86,'20.03'!$AO$4:$AQ$55,2,FALSE))*IF('20.03'!$AK86="是",'20.03'!$BB$4,'20.03'!$BB$3))</f>
        <v>0</v>
      </c>
      <c r="H86" s="4">
        <f>IF(ISNUMBER(SEARCH("营",'20.03'!P86)),(-$Y86+50*IF('20.03'!$AK86="是",'20.03'!$BB$4,'20.03'!$BB$3)),(VLOOKUP('20.03'!P86,'20.03'!$AO$4:$AQ$55,2,FALSE))*IF('20.03'!$AK86="是",'20.03'!$BB$4,'20.03'!$BB$3))</f>
        <v>0</v>
      </c>
      <c r="I86" s="4">
        <f>IF(ISNUMBER(SEARCH("营",'20.03'!Q86)),(-$Y86+50*IF('20.03'!$AK86="是",'20.03'!$BB$4,'20.03'!$BB$3)),(VLOOKUP('20.03'!Q86,'20.03'!$AO$4:$AQ$55,2,FALSE))*IF('20.03'!$AK86="是",'20.03'!$BB$4,'20.03'!$BB$3))</f>
        <v>0</v>
      </c>
      <c r="J86" s="4">
        <f>IF(ISNUMBER(SEARCH("营",'20.03'!R86)),(-$Y86+50*IF('20.03'!$AK86="是",'20.03'!$BB$4,'20.03'!$BB$3)),(VLOOKUP('20.03'!R86,'20.03'!$AO$4:$AQ$55,2,FALSE))*IF('20.03'!$AK86="是",'20.03'!$BB$4,'20.03'!$BB$3))</f>
        <v>0</v>
      </c>
      <c r="K86" s="4">
        <f>IF(ISNUMBER(SEARCH("营",'20.03'!S86)),(-$Y86+50*IF('20.03'!$AK86="是",'20.03'!$BB$4,'20.03'!$BB$3)),(VLOOKUP('20.03'!S86,'20.03'!$AO$4:$AQ$55,2,FALSE))*IF('20.03'!$AK86="是",'20.03'!$BB$4,'20.03'!$BB$3))</f>
        <v>0</v>
      </c>
      <c r="L86" s="4">
        <f>IF(ISNUMBER(SEARCH("营",'20.03'!T86)),(-$Y86+50*IF('20.03'!$AK86="是",'20.03'!$BB$4,'20.03'!$BB$3)),(VLOOKUP('20.03'!T86,'20.03'!$AO$4:$AQ$55,2,FALSE))*IF('20.03'!$AK86="是",'20.03'!$BB$4,'20.03'!$BB$3))</f>
        <v>0</v>
      </c>
      <c r="M86" s="4">
        <f>IF(ISNUMBER(SEARCH("营",'20.03'!U86)),(-$Y86+50*IF('20.03'!$AK86="是",'20.03'!$BB$4,'20.03'!$BB$3)),(VLOOKUP('20.03'!U86,'20.03'!$AO$4:$AQ$55,2,FALSE))*IF('20.03'!$AK86="是",'20.03'!$BB$4,'20.03'!$BB$3))</f>
        <v>0</v>
      </c>
      <c r="N86" s="4">
        <f>IF(ISNUMBER(SEARCH("营",'20.03'!V86)),(-$Y86+50*IF('20.03'!$AK86="是",'20.03'!$BB$4,'20.03'!$BB$3)),(VLOOKUP('20.03'!V86,'20.03'!$AO$4:$AQ$55,2,FALSE))*IF('20.03'!$AK86="是",'20.03'!$BB$4,'20.03'!$BB$3))</f>
        <v>0</v>
      </c>
      <c r="O86" s="4">
        <f>IF(ISNUMBER(SEARCH("营",'20.03'!W86)),(-$Y86+50*IF('20.03'!$AK86="是",'20.03'!$BB$4,'20.03'!$BB$3)),(VLOOKUP('20.03'!W86,'20.03'!$AO$4:$AQ$55,2,FALSE))*IF('20.03'!$AK86="是",'20.03'!$BB$4,'20.03'!$BB$3))</f>
        <v>0</v>
      </c>
      <c r="P86" s="4">
        <f>IF(ISNUMBER(SEARCH("营",'20.03'!X86)),(-$Y86+50*IF('20.03'!$AK86="是",'20.03'!$BB$4,'20.03'!$BB$3)),(VLOOKUP('20.03'!X86,'20.03'!$AO$4:$AQ$55,2,FALSE))*IF('20.03'!$AK86="是",'20.03'!$BB$4,'20.03'!$BB$3))</f>
        <v>0</v>
      </c>
      <c r="Q86" s="4">
        <f>IF(ISNUMBER(SEARCH("营",'20.03'!Y86)),(-$Y86+50*IF('20.03'!$AK86="是",'20.03'!$BB$4,'20.03'!$BB$3)),(VLOOKUP('20.03'!Y86,'20.03'!$AO$4:$AQ$55,2,FALSE))*IF('20.03'!$AK86="是",'20.03'!$BB$4,'20.03'!$BB$3))</f>
        <v>0</v>
      </c>
      <c r="R86" s="4">
        <f>IF(ISNUMBER(SEARCH("营",'20.03'!Z86)),(-$Y86+50*IF('20.03'!$AK86="是",'20.03'!$BB$4,'20.03'!$BB$3)),(VLOOKUP('20.03'!Z86,'20.03'!$AO$4:$AQ$55,2,FALSE))*IF('20.03'!$AK86="是",'20.03'!$BB$4,'20.03'!$BB$3))</f>
        <v>0</v>
      </c>
      <c r="S86" s="4">
        <f>IF(ISNUMBER(SEARCH("营",'20.03'!AA86)),(-$Y86+50*IF('20.03'!$AK86="是",'20.03'!$BB$4,'20.03'!$BB$3)),(VLOOKUP('20.03'!AA86,'20.03'!$AO$4:$AQ$55,2,FALSE))*IF('20.03'!$AK86="是",'20.03'!$BB$4,'20.03'!$BB$3))</f>
        <v>0</v>
      </c>
      <c r="T86" s="4">
        <f>IF(ISNUMBER(SEARCH("营",'20.03'!AB86)),(-$Y86+50*IF('20.03'!$AK86="是",'20.03'!$BB$4,'20.03'!$BB$3)),(VLOOKUP('20.03'!AB86,'20.03'!$AO$4:$AQ$55,2,FALSE))*IF('20.03'!$AK86="是",'20.03'!$BB$4,'20.03'!$BB$3))</f>
        <v>0</v>
      </c>
      <c r="U86" s="4">
        <f>IF(ISNUMBER(SEARCH("营",'20.03'!AC86)),(-$Y86+50*IF('20.03'!$AK86="是",'20.03'!$BB$4,'20.03'!$BB$3)),(VLOOKUP('20.03'!AC86,'20.03'!$AO$4:$AQ$55,2,FALSE))*IF('20.03'!$AK86="是",'20.03'!$BB$4,'20.03'!$BB$3))</f>
        <v>0</v>
      </c>
      <c r="V86" s="4">
        <f>IF(ISNUMBER(SEARCH("营",'20.03'!AD86)),(-$Y86+50*IF('20.03'!$AK86="是",'20.03'!$BB$4,'20.03'!$BB$3)),(VLOOKUP('20.03'!AD86,'20.03'!$AO$4:$AQ$55,2,FALSE))*IF('20.03'!$AK86="是",'20.03'!$BB$4,'20.03'!$BB$3))</f>
        <v>0</v>
      </c>
      <c r="W86" s="4">
        <f>IF(ISNUMBER(SEARCH("营",'20.03'!AE86)),(-$Y86+50*IF('20.03'!$AK86="是",'20.03'!$BB$4,'20.03'!$BB$3)),(VLOOKUP('20.03'!AE86,'20.03'!$AO$4:$AQ$55,2,FALSE))*IF('20.03'!$AK86="是",'20.03'!$BB$4,'20.03'!$BB$3))</f>
        <v>0</v>
      </c>
      <c r="X86" s="4">
        <f>IF(ISNUMBER(SEARCH("营",'20.03'!AF86)),(-$Y86+50*IF('20.03'!$AK86="是",'20.03'!$BB$4,'20.03'!$BB$3)),(VLOOKUP('20.03'!AF86,'20.03'!$AO$4:$AQ$55,2,FALSE))*IF('20.03'!$AK86="是",'20.03'!$BB$4,'20.03'!$BB$3))</f>
        <v>0</v>
      </c>
      <c r="Y86" s="63">
        <v>100</v>
      </c>
      <c r="Z86" s="94">
        <v>45903</v>
      </c>
    </row>
    <row r="87" spans="1:26">
      <c r="A87" s="4">
        <f>IF(ISNUMBER(SEARCH("营",'20.03'!I87)),(-$Y87+50*IF('20.03'!$AK87="是",'20.03'!$BB$4,'20.03'!$BB$3)),(VLOOKUP('20.03'!I87,'20.03'!$AO$4:$AQ$55,2,FALSE))*IF('20.03'!$AK87="是",'20.03'!$BB$4,'20.03'!$BB$3))</f>
        <v>0</v>
      </c>
      <c r="B87" s="4">
        <f>IF(ISNUMBER(SEARCH("营",'20.03'!J87)),(-$Y87+50*IF('20.03'!$AK87="是",'20.03'!$BB$4,'20.03'!$BB$3)),(VLOOKUP('20.03'!J87,'20.03'!$AO$4:$AQ$55,2,FALSE))*IF('20.03'!$AK87="是",'20.03'!$BB$4,'20.03'!$BB$3))</f>
        <v>0</v>
      </c>
      <c r="C87" s="4">
        <f>IF(ISNUMBER(SEARCH("营",'20.03'!K87)),(-$Y87+50*IF('20.03'!$AK87="是",'20.03'!$BB$4,'20.03'!$BB$3)),(VLOOKUP('20.03'!K87,'20.03'!$AO$4:$AQ$55,2,FALSE))*IF('20.03'!$AK87="是",'20.03'!$BB$4,'20.03'!$BB$3))</f>
        <v>0</v>
      </c>
      <c r="D87" s="4">
        <f>IF(ISNUMBER(SEARCH("营",'20.03'!L87)),(-$Y87+50*IF('20.03'!$AK87="是",'20.03'!$BB$4,'20.03'!$BB$3)),(VLOOKUP('20.03'!L87,'20.03'!$AO$4:$AQ$55,2,FALSE))*IF('20.03'!$AK87="是",'20.03'!$BB$4,'20.03'!$BB$3))</f>
        <v>0</v>
      </c>
      <c r="E87" s="4">
        <f>IF(ISNUMBER(SEARCH("营",'20.03'!M87)),(-$Y87+50*IF('20.03'!$AK87="是",'20.03'!$BB$4,'20.03'!$BB$3)),(VLOOKUP('20.03'!M87,'20.03'!$AO$4:$AQ$55,2,FALSE))*IF('20.03'!$AK87="是",'20.03'!$BB$4,'20.03'!$BB$3))</f>
        <v>0</v>
      </c>
      <c r="F87" s="4">
        <f>IF(ISNUMBER(SEARCH("营",'20.03'!N87)),(-$Y87+50*IF('20.03'!$AK87="是",'20.03'!$BB$4,'20.03'!$BB$3)),(VLOOKUP('20.03'!N87,'20.03'!$AO$4:$AQ$55,2,FALSE))*IF('20.03'!$AK87="是",'20.03'!$BB$4,'20.03'!$BB$3))</f>
        <v>0</v>
      </c>
      <c r="G87" s="4">
        <f>IF(ISNUMBER(SEARCH("营",'20.03'!O87)),(-$Y87+50*IF('20.03'!$AK87="是",'20.03'!$BB$4,'20.03'!$BB$3)),(VLOOKUP('20.03'!O87,'20.03'!$AO$4:$AQ$55,2,FALSE))*IF('20.03'!$AK87="是",'20.03'!$BB$4,'20.03'!$BB$3))</f>
        <v>0</v>
      </c>
      <c r="H87" s="4">
        <f>IF(ISNUMBER(SEARCH("营",'20.03'!P87)),(-$Y87+50*IF('20.03'!$AK87="是",'20.03'!$BB$4,'20.03'!$BB$3)),(VLOOKUP('20.03'!P87,'20.03'!$AO$4:$AQ$55,2,FALSE))*IF('20.03'!$AK87="是",'20.03'!$BB$4,'20.03'!$BB$3))</f>
        <v>0</v>
      </c>
      <c r="I87" s="4">
        <f>IF(ISNUMBER(SEARCH("营",'20.03'!Q87)),(-$Y87+50*IF('20.03'!$AK87="是",'20.03'!$BB$4,'20.03'!$BB$3)),(VLOOKUP('20.03'!Q87,'20.03'!$AO$4:$AQ$55,2,FALSE))*IF('20.03'!$AK87="是",'20.03'!$BB$4,'20.03'!$BB$3))</f>
        <v>0</v>
      </c>
      <c r="J87" s="4">
        <f>IF(ISNUMBER(SEARCH("营",'20.03'!R87)),(-$Y87+50*IF('20.03'!$AK87="是",'20.03'!$BB$4,'20.03'!$BB$3)),(VLOOKUP('20.03'!R87,'20.03'!$AO$4:$AQ$55,2,FALSE))*IF('20.03'!$AK87="是",'20.03'!$BB$4,'20.03'!$BB$3))</f>
        <v>0</v>
      </c>
      <c r="K87" s="4">
        <f>IF(ISNUMBER(SEARCH("营",'20.03'!S87)),(-$Y87+50*IF('20.03'!$AK87="是",'20.03'!$BB$4,'20.03'!$BB$3)),(VLOOKUP('20.03'!S87,'20.03'!$AO$4:$AQ$55,2,FALSE))*IF('20.03'!$AK87="是",'20.03'!$BB$4,'20.03'!$BB$3))</f>
        <v>0</v>
      </c>
      <c r="L87" s="4">
        <f>IF(ISNUMBER(SEARCH("营",'20.03'!T87)),(-$Y87+50*IF('20.03'!$AK87="是",'20.03'!$BB$4,'20.03'!$BB$3)),(VLOOKUP('20.03'!T87,'20.03'!$AO$4:$AQ$55,2,FALSE))*IF('20.03'!$AK87="是",'20.03'!$BB$4,'20.03'!$BB$3))</f>
        <v>0</v>
      </c>
      <c r="M87" s="4">
        <f>IF(ISNUMBER(SEARCH("营",'20.03'!U87)),(-$Y87+50*IF('20.03'!$AK87="是",'20.03'!$BB$4,'20.03'!$BB$3)),(VLOOKUP('20.03'!U87,'20.03'!$AO$4:$AQ$55,2,FALSE))*IF('20.03'!$AK87="是",'20.03'!$BB$4,'20.03'!$BB$3))</f>
        <v>0</v>
      </c>
      <c r="N87" s="4">
        <f>IF(ISNUMBER(SEARCH("营",'20.03'!V87)),(-$Y87+50*IF('20.03'!$AK87="是",'20.03'!$BB$4,'20.03'!$BB$3)),(VLOOKUP('20.03'!V87,'20.03'!$AO$4:$AQ$55,2,FALSE))*IF('20.03'!$AK87="是",'20.03'!$BB$4,'20.03'!$BB$3))</f>
        <v>0</v>
      </c>
      <c r="O87" s="4">
        <f>IF(ISNUMBER(SEARCH("营",'20.03'!W87)),(-$Y87+50*IF('20.03'!$AK87="是",'20.03'!$BB$4,'20.03'!$BB$3)),(VLOOKUP('20.03'!W87,'20.03'!$AO$4:$AQ$55,2,FALSE))*IF('20.03'!$AK87="是",'20.03'!$BB$4,'20.03'!$BB$3))</f>
        <v>0</v>
      </c>
      <c r="P87" s="4">
        <f>IF(ISNUMBER(SEARCH("营",'20.03'!X87)),(-$Y87+50*IF('20.03'!$AK87="是",'20.03'!$BB$4,'20.03'!$BB$3)),(VLOOKUP('20.03'!X87,'20.03'!$AO$4:$AQ$55,2,FALSE))*IF('20.03'!$AK87="是",'20.03'!$BB$4,'20.03'!$BB$3))</f>
        <v>0</v>
      </c>
      <c r="Q87" s="4">
        <f>IF(ISNUMBER(SEARCH("营",'20.03'!Y87)),(-$Y87+50*IF('20.03'!$AK87="是",'20.03'!$BB$4,'20.03'!$BB$3)),(VLOOKUP('20.03'!Y87,'20.03'!$AO$4:$AQ$55,2,FALSE))*IF('20.03'!$AK87="是",'20.03'!$BB$4,'20.03'!$BB$3))</f>
        <v>0</v>
      </c>
      <c r="R87" s="4">
        <f>IF(ISNUMBER(SEARCH("营",'20.03'!Z87)),(-$Y87+50*IF('20.03'!$AK87="是",'20.03'!$BB$4,'20.03'!$BB$3)),(VLOOKUP('20.03'!Z87,'20.03'!$AO$4:$AQ$55,2,FALSE))*IF('20.03'!$AK87="是",'20.03'!$BB$4,'20.03'!$BB$3))</f>
        <v>0</v>
      </c>
      <c r="S87" s="4">
        <f>IF(ISNUMBER(SEARCH("营",'20.03'!AA87)),(-$Y87+50*IF('20.03'!$AK87="是",'20.03'!$BB$4,'20.03'!$BB$3)),(VLOOKUP('20.03'!AA87,'20.03'!$AO$4:$AQ$55,2,FALSE))*IF('20.03'!$AK87="是",'20.03'!$BB$4,'20.03'!$BB$3))</f>
        <v>0</v>
      </c>
      <c r="T87" s="4">
        <f>IF(ISNUMBER(SEARCH("营",'20.03'!AB87)),(-$Y87+50*IF('20.03'!$AK87="是",'20.03'!$BB$4,'20.03'!$BB$3)),(VLOOKUP('20.03'!AB87,'20.03'!$AO$4:$AQ$55,2,FALSE))*IF('20.03'!$AK87="是",'20.03'!$BB$4,'20.03'!$BB$3))</f>
        <v>0</v>
      </c>
      <c r="U87" s="4">
        <f>IF(ISNUMBER(SEARCH("营",'20.03'!AC87)),(-$Y87+50*IF('20.03'!$AK87="是",'20.03'!$BB$4,'20.03'!$BB$3)),(VLOOKUP('20.03'!AC87,'20.03'!$AO$4:$AQ$55,2,FALSE))*IF('20.03'!$AK87="是",'20.03'!$BB$4,'20.03'!$BB$3))</f>
        <v>0</v>
      </c>
      <c r="V87" s="4">
        <f>IF(ISNUMBER(SEARCH("营",'20.03'!AD87)),(-$Y87+50*IF('20.03'!$AK87="是",'20.03'!$BB$4,'20.03'!$BB$3)),(VLOOKUP('20.03'!AD87,'20.03'!$AO$4:$AQ$55,2,FALSE))*IF('20.03'!$AK87="是",'20.03'!$BB$4,'20.03'!$BB$3))</f>
        <v>0</v>
      </c>
      <c r="W87" s="4">
        <f>IF(ISNUMBER(SEARCH("营",'20.03'!AE87)),(-$Y87+50*IF('20.03'!$AK87="是",'20.03'!$BB$4,'20.03'!$BB$3)),(VLOOKUP('20.03'!AE87,'20.03'!$AO$4:$AQ$55,2,FALSE))*IF('20.03'!$AK87="是",'20.03'!$BB$4,'20.03'!$BB$3))</f>
        <v>0</v>
      </c>
      <c r="X87" s="4">
        <f>IF(ISNUMBER(SEARCH("营",'20.03'!AF87)),(-$Y87+50*IF('20.03'!$AK87="是",'20.03'!$BB$4,'20.03'!$BB$3)),(VLOOKUP('20.03'!AF87,'20.03'!$AO$4:$AQ$55,2,FALSE))*IF('20.03'!$AK87="是",'20.03'!$BB$4,'20.03'!$BB$3))</f>
        <v>0</v>
      </c>
      <c r="Y87" s="63">
        <v>100</v>
      </c>
      <c r="Z87" s="94">
        <v>45904</v>
      </c>
    </row>
    <row r="88" spans="1:26">
      <c r="A88" s="4">
        <f>IF(ISNUMBER(SEARCH("营",'20.03'!I88)),(-$Y88+50*IF('20.03'!$AK88="是",'20.03'!$BB$4,'20.03'!$BB$3)),(VLOOKUP('20.03'!I88,'20.03'!$AO$4:$AQ$55,2,FALSE))*IF('20.03'!$AK88="是",'20.03'!$BB$4,'20.03'!$BB$3))</f>
        <v>0</v>
      </c>
      <c r="B88" s="4">
        <f>IF(ISNUMBER(SEARCH("营",'20.03'!J88)),(-$Y88+50*IF('20.03'!$AK88="是",'20.03'!$BB$4,'20.03'!$BB$3)),(VLOOKUP('20.03'!J88,'20.03'!$AO$4:$AQ$55,2,FALSE))*IF('20.03'!$AK88="是",'20.03'!$BB$4,'20.03'!$BB$3))</f>
        <v>0</v>
      </c>
      <c r="C88" s="4">
        <f>IF(ISNUMBER(SEARCH("营",'20.03'!K88)),(-$Y88+50*IF('20.03'!$AK88="是",'20.03'!$BB$4,'20.03'!$BB$3)),(VLOOKUP('20.03'!K88,'20.03'!$AO$4:$AQ$55,2,FALSE))*IF('20.03'!$AK88="是",'20.03'!$BB$4,'20.03'!$BB$3))</f>
        <v>0</v>
      </c>
      <c r="D88" s="4">
        <f>IF(ISNUMBER(SEARCH("营",'20.03'!L88)),(-$Y88+50*IF('20.03'!$AK88="是",'20.03'!$BB$4,'20.03'!$BB$3)),(VLOOKUP('20.03'!L88,'20.03'!$AO$4:$AQ$55,2,FALSE))*IF('20.03'!$AK88="是",'20.03'!$BB$4,'20.03'!$BB$3))</f>
        <v>0</v>
      </c>
      <c r="E88" s="4">
        <f>IF(ISNUMBER(SEARCH("营",'20.03'!M88)),(-$Y88+50*IF('20.03'!$AK88="是",'20.03'!$BB$4,'20.03'!$BB$3)),(VLOOKUP('20.03'!M88,'20.03'!$AO$4:$AQ$55,2,FALSE))*IF('20.03'!$AK88="是",'20.03'!$BB$4,'20.03'!$BB$3))</f>
        <v>0</v>
      </c>
      <c r="F88" s="4">
        <f>IF(ISNUMBER(SEARCH("营",'20.03'!N88)),(-$Y88+50*IF('20.03'!$AK88="是",'20.03'!$BB$4,'20.03'!$BB$3)),(VLOOKUP('20.03'!N88,'20.03'!$AO$4:$AQ$55,2,FALSE))*IF('20.03'!$AK88="是",'20.03'!$BB$4,'20.03'!$BB$3))</f>
        <v>0</v>
      </c>
      <c r="G88" s="4">
        <f>IF(ISNUMBER(SEARCH("营",'20.03'!O88)),(-$Y88+50*IF('20.03'!$AK88="是",'20.03'!$BB$4,'20.03'!$BB$3)),(VLOOKUP('20.03'!O88,'20.03'!$AO$4:$AQ$55,2,FALSE))*IF('20.03'!$AK88="是",'20.03'!$BB$4,'20.03'!$BB$3))</f>
        <v>0</v>
      </c>
      <c r="H88" s="4">
        <f>IF(ISNUMBER(SEARCH("营",'20.03'!P88)),(-$Y88+50*IF('20.03'!$AK88="是",'20.03'!$BB$4,'20.03'!$BB$3)),(VLOOKUP('20.03'!P88,'20.03'!$AO$4:$AQ$55,2,FALSE))*IF('20.03'!$AK88="是",'20.03'!$BB$4,'20.03'!$BB$3))</f>
        <v>0</v>
      </c>
      <c r="I88" s="4">
        <f>IF(ISNUMBER(SEARCH("营",'20.03'!Q88)),(-$Y88+50*IF('20.03'!$AK88="是",'20.03'!$BB$4,'20.03'!$BB$3)),(VLOOKUP('20.03'!Q88,'20.03'!$AO$4:$AQ$55,2,FALSE))*IF('20.03'!$AK88="是",'20.03'!$BB$4,'20.03'!$BB$3))</f>
        <v>0</v>
      </c>
      <c r="J88" s="4">
        <f>IF(ISNUMBER(SEARCH("营",'20.03'!R88)),(-$Y88+50*IF('20.03'!$AK88="是",'20.03'!$BB$4,'20.03'!$BB$3)),(VLOOKUP('20.03'!R88,'20.03'!$AO$4:$AQ$55,2,FALSE))*IF('20.03'!$AK88="是",'20.03'!$BB$4,'20.03'!$BB$3))</f>
        <v>0</v>
      </c>
      <c r="K88" s="4">
        <f>IF(ISNUMBER(SEARCH("营",'20.03'!S88)),(-$Y88+50*IF('20.03'!$AK88="是",'20.03'!$BB$4,'20.03'!$BB$3)),(VLOOKUP('20.03'!S88,'20.03'!$AO$4:$AQ$55,2,FALSE))*IF('20.03'!$AK88="是",'20.03'!$BB$4,'20.03'!$BB$3))</f>
        <v>0</v>
      </c>
      <c r="L88" s="4">
        <f>IF(ISNUMBER(SEARCH("营",'20.03'!T88)),(-$Y88+50*IF('20.03'!$AK88="是",'20.03'!$BB$4,'20.03'!$BB$3)),(VLOOKUP('20.03'!T88,'20.03'!$AO$4:$AQ$55,2,FALSE))*IF('20.03'!$AK88="是",'20.03'!$BB$4,'20.03'!$BB$3))</f>
        <v>0</v>
      </c>
      <c r="M88" s="4">
        <f>IF(ISNUMBER(SEARCH("营",'20.03'!U88)),(-$Y88+50*IF('20.03'!$AK88="是",'20.03'!$BB$4,'20.03'!$BB$3)),(VLOOKUP('20.03'!U88,'20.03'!$AO$4:$AQ$55,2,FALSE))*IF('20.03'!$AK88="是",'20.03'!$BB$4,'20.03'!$BB$3))</f>
        <v>0</v>
      </c>
      <c r="N88" s="4">
        <f>IF(ISNUMBER(SEARCH("营",'20.03'!V88)),(-$Y88+50*IF('20.03'!$AK88="是",'20.03'!$BB$4,'20.03'!$BB$3)),(VLOOKUP('20.03'!V88,'20.03'!$AO$4:$AQ$55,2,FALSE))*IF('20.03'!$AK88="是",'20.03'!$BB$4,'20.03'!$BB$3))</f>
        <v>0</v>
      </c>
      <c r="O88" s="4">
        <f>IF(ISNUMBER(SEARCH("营",'20.03'!W88)),(-$Y88+50*IF('20.03'!$AK88="是",'20.03'!$BB$4,'20.03'!$BB$3)),(VLOOKUP('20.03'!W88,'20.03'!$AO$4:$AQ$55,2,FALSE))*IF('20.03'!$AK88="是",'20.03'!$BB$4,'20.03'!$BB$3))</f>
        <v>0</v>
      </c>
      <c r="P88" s="4">
        <f>IF(ISNUMBER(SEARCH("营",'20.03'!X88)),(-$Y88+50*IF('20.03'!$AK88="是",'20.03'!$BB$4,'20.03'!$BB$3)),(VLOOKUP('20.03'!X88,'20.03'!$AO$4:$AQ$55,2,FALSE))*IF('20.03'!$AK88="是",'20.03'!$BB$4,'20.03'!$BB$3))</f>
        <v>0</v>
      </c>
      <c r="Q88" s="4">
        <f>IF(ISNUMBER(SEARCH("营",'20.03'!Y88)),(-$Y88+50*IF('20.03'!$AK88="是",'20.03'!$BB$4,'20.03'!$BB$3)),(VLOOKUP('20.03'!Y88,'20.03'!$AO$4:$AQ$55,2,FALSE))*IF('20.03'!$AK88="是",'20.03'!$BB$4,'20.03'!$BB$3))</f>
        <v>0</v>
      </c>
      <c r="R88" s="4">
        <f>IF(ISNUMBER(SEARCH("营",'20.03'!Z88)),(-$Y88+50*IF('20.03'!$AK88="是",'20.03'!$BB$4,'20.03'!$BB$3)),(VLOOKUP('20.03'!Z88,'20.03'!$AO$4:$AQ$55,2,FALSE))*IF('20.03'!$AK88="是",'20.03'!$BB$4,'20.03'!$BB$3))</f>
        <v>0</v>
      </c>
      <c r="S88" s="4">
        <f>IF(ISNUMBER(SEARCH("营",'20.03'!AA88)),(-$Y88+50*IF('20.03'!$AK88="是",'20.03'!$BB$4,'20.03'!$BB$3)),(VLOOKUP('20.03'!AA88,'20.03'!$AO$4:$AQ$55,2,FALSE))*IF('20.03'!$AK88="是",'20.03'!$BB$4,'20.03'!$BB$3))</f>
        <v>0</v>
      </c>
      <c r="T88" s="4">
        <f>IF(ISNUMBER(SEARCH("营",'20.03'!AB88)),(-$Y88+50*IF('20.03'!$AK88="是",'20.03'!$BB$4,'20.03'!$BB$3)),(VLOOKUP('20.03'!AB88,'20.03'!$AO$4:$AQ$55,2,FALSE))*IF('20.03'!$AK88="是",'20.03'!$BB$4,'20.03'!$BB$3))</f>
        <v>0</v>
      </c>
      <c r="U88" s="4">
        <f>IF(ISNUMBER(SEARCH("营",'20.03'!AC88)),(-$Y88+50*IF('20.03'!$AK88="是",'20.03'!$BB$4,'20.03'!$BB$3)),(VLOOKUP('20.03'!AC88,'20.03'!$AO$4:$AQ$55,2,FALSE))*IF('20.03'!$AK88="是",'20.03'!$BB$4,'20.03'!$BB$3))</f>
        <v>0</v>
      </c>
      <c r="V88" s="4">
        <f>IF(ISNUMBER(SEARCH("营",'20.03'!AD88)),(-$Y88+50*IF('20.03'!$AK88="是",'20.03'!$BB$4,'20.03'!$BB$3)),(VLOOKUP('20.03'!AD88,'20.03'!$AO$4:$AQ$55,2,FALSE))*IF('20.03'!$AK88="是",'20.03'!$BB$4,'20.03'!$BB$3))</f>
        <v>0</v>
      </c>
      <c r="W88" s="4">
        <f>IF(ISNUMBER(SEARCH("营",'20.03'!AE88)),(-$Y88+50*IF('20.03'!$AK88="是",'20.03'!$BB$4,'20.03'!$BB$3)),(VLOOKUP('20.03'!AE88,'20.03'!$AO$4:$AQ$55,2,FALSE))*IF('20.03'!$AK88="是",'20.03'!$BB$4,'20.03'!$BB$3))</f>
        <v>0</v>
      </c>
      <c r="X88" s="4">
        <f>IF(ISNUMBER(SEARCH("营",'20.03'!AF88)),(-$Y88+50*IF('20.03'!$AK88="是",'20.03'!$BB$4,'20.03'!$BB$3)),(VLOOKUP('20.03'!AF88,'20.03'!$AO$4:$AQ$55,2,FALSE))*IF('20.03'!$AK88="是",'20.03'!$BB$4,'20.03'!$BB$3))</f>
        <v>0</v>
      </c>
      <c r="Y88" s="63">
        <v>100</v>
      </c>
      <c r="Z88" s="94">
        <v>45905</v>
      </c>
    </row>
    <row r="89" spans="1:26">
      <c r="A89" s="4">
        <f>IF(ISNUMBER(SEARCH("营",'20.03'!I89)),(-$Y89+50*IF('20.03'!$AK89="是",'20.03'!$BB$4,'20.03'!$BB$3)),(VLOOKUP('20.03'!I89,'20.03'!$AO$4:$AQ$55,2,FALSE))*IF('20.03'!$AK89="是",'20.03'!$BB$4,'20.03'!$BB$3))</f>
        <v>0</v>
      </c>
      <c r="B89" s="4">
        <f>IF(ISNUMBER(SEARCH("营",'20.03'!J89)),(-$Y89+50*IF('20.03'!$AK89="是",'20.03'!$BB$4,'20.03'!$BB$3)),(VLOOKUP('20.03'!J89,'20.03'!$AO$4:$AQ$55,2,FALSE))*IF('20.03'!$AK89="是",'20.03'!$BB$4,'20.03'!$BB$3))</f>
        <v>0</v>
      </c>
      <c r="C89" s="4">
        <f>IF(ISNUMBER(SEARCH("营",'20.03'!K89)),(-$Y89+50*IF('20.03'!$AK89="是",'20.03'!$BB$4,'20.03'!$BB$3)),(VLOOKUP('20.03'!K89,'20.03'!$AO$4:$AQ$55,2,FALSE))*IF('20.03'!$AK89="是",'20.03'!$BB$4,'20.03'!$BB$3))</f>
        <v>0</v>
      </c>
      <c r="D89" s="4">
        <f>IF(ISNUMBER(SEARCH("营",'20.03'!L89)),(-$Y89+50*IF('20.03'!$AK89="是",'20.03'!$BB$4,'20.03'!$BB$3)),(VLOOKUP('20.03'!L89,'20.03'!$AO$4:$AQ$55,2,FALSE))*IF('20.03'!$AK89="是",'20.03'!$BB$4,'20.03'!$BB$3))</f>
        <v>0</v>
      </c>
      <c r="E89" s="4">
        <f>IF(ISNUMBER(SEARCH("营",'20.03'!M89)),(-$Y89+50*IF('20.03'!$AK89="是",'20.03'!$BB$4,'20.03'!$BB$3)),(VLOOKUP('20.03'!M89,'20.03'!$AO$4:$AQ$55,2,FALSE))*IF('20.03'!$AK89="是",'20.03'!$BB$4,'20.03'!$BB$3))</f>
        <v>0</v>
      </c>
      <c r="F89" s="4">
        <f>IF(ISNUMBER(SEARCH("营",'20.03'!N89)),(-$Y89+50*IF('20.03'!$AK89="是",'20.03'!$BB$4,'20.03'!$BB$3)),(VLOOKUP('20.03'!N89,'20.03'!$AO$4:$AQ$55,2,FALSE))*IF('20.03'!$AK89="是",'20.03'!$BB$4,'20.03'!$BB$3))</f>
        <v>0</v>
      </c>
      <c r="G89" s="4">
        <f>IF(ISNUMBER(SEARCH("营",'20.03'!O89)),(-$Y89+50*IF('20.03'!$AK89="是",'20.03'!$BB$4,'20.03'!$BB$3)),(VLOOKUP('20.03'!O89,'20.03'!$AO$4:$AQ$55,2,FALSE))*IF('20.03'!$AK89="是",'20.03'!$BB$4,'20.03'!$BB$3))</f>
        <v>0</v>
      </c>
      <c r="H89" s="4">
        <f>IF(ISNUMBER(SEARCH("营",'20.03'!P89)),(-$Y89+50*IF('20.03'!$AK89="是",'20.03'!$BB$4,'20.03'!$BB$3)),(VLOOKUP('20.03'!P89,'20.03'!$AO$4:$AQ$55,2,FALSE))*IF('20.03'!$AK89="是",'20.03'!$BB$4,'20.03'!$BB$3))</f>
        <v>0</v>
      </c>
      <c r="I89" s="4">
        <f>IF(ISNUMBER(SEARCH("营",'20.03'!Q89)),(-$Y89+50*IF('20.03'!$AK89="是",'20.03'!$BB$4,'20.03'!$BB$3)),(VLOOKUP('20.03'!Q89,'20.03'!$AO$4:$AQ$55,2,FALSE))*IF('20.03'!$AK89="是",'20.03'!$BB$4,'20.03'!$BB$3))</f>
        <v>0</v>
      </c>
      <c r="J89" s="4">
        <f>IF(ISNUMBER(SEARCH("营",'20.03'!R89)),(-$Y89+50*IF('20.03'!$AK89="是",'20.03'!$BB$4,'20.03'!$BB$3)),(VLOOKUP('20.03'!R89,'20.03'!$AO$4:$AQ$55,2,FALSE))*IF('20.03'!$AK89="是",'20.03'!$BB$4,'20.03'!$BB$3))</f>
        <v>0</v>
      </c>
      <c r="K89" s="4">
        <f>IF(ISNUMBER(SEARCH("营",'20.03'!S89)),(-$Y89+50*IF('20.03'!$AK89="是",'20.03'!$BB$4,'20.03'!$BB$3)),(VLOOKUP('20.03'!S89,'20.03'!$AO$4:$AQ$55,2,FALSE))*IF('20.03'!$AK89="是",'20.03'!$BB$4,'20.03'!$BB$3))</f>
        <v>0</v>
      </c>
      <c r="L89" s="4">
        <f>IF(ISNUMBER(SEARCH("营",'20.03'!T89)),(-$Y89+50*IF('20.03'!$AK89="是",'20.03'!$BB$4,'20.03'!$BB$3)),(VLOOKUP('20.03'!T89,'20.03'!$AO$4:$AQ$55,2,FALSE))*IF('20.03'!$AK89="是",'20.03'!$BB$4,'20.03'!$BB$3))</f>
        <v>0</v>
      </c>
      <c r="M89" s="4">
        <f>IF(ISNUMBER(SEARCH("营",'20.03'!U89)),(-$Y89+50*IF('20.03'!$AK89="是",'20.03'!$BB$4,'20.03'!$BB$3)),(VLOOKUP('20.03'!U89,'20.03'!$AO$4:$AQ$55,2,FALSE))*IF('20.03'!$AK89="是",'20.03'!$BB$4,'20.03'!$BB$3))</f>
        <v>0</v>
      </c>
      <c r="N89" s="4">
        <f>IF(ISNUMBER(SEARCH("营",'20.03'!V89)),(-$Y89+50*IF('20.03'!$AK89="是",'20.03'!$BB$4,'20.03'!$BB$3)),(VLOOKUP('20.03'!V89,'20.03'!$AO$4:$AQ$55,2,FALSE))*IF('20.03'!$AK89="是",'20.03'!$BB$4,'20.03'!$BB$3))</f>
        <v>0</v>
      </c>
      <c r="O89" s="4">
        <f>IF(ISNUMBER(SEARCH("营",'20.03'!W89)),(-$Y89+50*IF('20.03'!$AK89="是",'20.03'!$BB$4,'20.03'!$BB$3)),(VLOOKUP('20.03'!W89,'20.03'!$AO$4:$AQ$55,2,FALSE))*IF('20.03'!$AK89="是",'20.03'!$BB$4,'20.03'!$BB$3))</f>
        <v>0</v>
      </c>
      <c r="P89" s="4">
        <f>IF(ISNUMBER(SEARCH("营",'20.03'!X89)),(-$Y89+50*IF('20.03'!$AK89="是",'20.03'!$BB$4,'20.03'!$BB$3)),(VLOOKUP('20.03'!X89,'20.03'!$AO$4:$AQ$55,2,FALSE))*IF('20.03'!$AK89="是",'20.03'!$BB$4,'20.03'!$BB$3))</f>
        <v>0</v>
      </c>
      <c r="Q89" s="4">
        <f>IF(ISNUMBER(SEARCH("营",'20.03'!Y89)),(-$Y89+50*IF('20.03'!$AK89="是",'20.03'!$BB$4,'20.03'!$BB$3)),(VLOOKUP('20.03'!Y89,'20.03'!$AO$4:$AQ$55,2,FALSE))*IF('20.03'!$AK89="是",'20.03'!$BB$4,'20.03'!$BB$3))</f>
        <v>0</v>
      </c>
      <c r="R89" s="4">
        <f>IF(ISNUMBER(SEARCH("营",'20.03'!Z89)),(-$Y89+50*IF('20.03'!$AK89="是",'20.03'!$BB$4,'20.03'!$BB$3)),(VLOOKUP('20.03'!Z89,'20.03'!$AO$4:$AQ$55,2,FALSE))*IF('20.03'!$AK89="是",'20.03'!$BB$4,'20.03'!$BB$3))</f>
        <v>0</v>
      </c>
      <c r="S89" s="4">
        <f>IF(ISNUMBER(SEARCH("营",'20.03'!AA89)),(-$Y89+50*IF('20.03'!$AK89="是",'20.03'!$BB$4,'20.03'!$BB$3)),(VLOOKUP('20.03'!AA89,'20.03'!$AO$4:$AQ$55,2,FALSE))*IF('20.03'!$AK89="是",'20.03'!$BB$4,'20.03'!$BB$3))</f>
        <v>0</v>
      </c>
      <c r="T89" s="4">
        <f>IF(ISNUMBER(SEARCH("营",'20.03'!AB89)),(-$Y89+50*IF('20.03'!$AK89="是",'20.03'!$BB$4,'20.03'!$BB$3)),(VLOOKUP('20.03'!AB89,'20.03'!$AO$4:$AQ$55,2,FALSE))*IF('20.03'!$AK89="是",'20.03'!$BB$4,'20.03'!$BB$3))</f>
        <v>0</v>
      </c>
      <c r="U89" s="4">
        <f>IF(ISNUMBER(SEARCH("营",'20.03'!AC89)),(-$Y89+50*IF('20.03'!$AK89="是",'20.03'!$BB$4,'20.03'!$BB$3)),(VLOOKUP('20.03'!AC89,'20.03'!$AO$4:$AQ$55,2,FALSE))*IF('20.03'!$AK89="是",'20.03'!$BB$4,'20.03'!$BB$3))</f>
        <v>0</v>
      </c>
      <c r="V89" s="4">
        <f>IF(ISNUMBER(SEARCH("营",'20.03'!AD89)),(-$Y89+50*IF('20.03'!$AK89="是",'20.03'!$BB$4,'20.03'!$BB$3)),(VLOOKUP('20.03'!AD89,'20.03'!$AO$4:$AQ$55,2,FALSE))*IF('20.03'!$AK89="是",'20.03'!$BB$4,'20.03'!$BB$3))</f>
        <v>0</v>
      </c>
      <c r="W89" s="4">
        <f>IF(ISNUMBER(SEARCH("营",'20.03'!AE89)),(-$Y89+50*IF('20.03'!$AK89="是",'20.03'!$BB$4,'20.03'!$BB$3)),(VLOOKUP('20.03'!AE89,'20.03'!$AO$4:$AQ$55,2,FALSE))*IF('20.03'!$AK89="是",'20.03'!$BB$4,'20.03'!$BB$3))</f>
        <v>0</v>
      </c>
      <c r="X89" s="4">
        <f>IF(ISNUMBER(SEARCH("营",'20.03'!AF89)),(-$Y89+50*IF('20.03'!$AK89="是",'20.03'!$BB$4,'20.03'!$BB$3)),(VLOOKUP('20.03'!AF89,'20.03'!$AO$4:$AQ$55,2,FALSE))*IF('20.03'!$AK89="是",'20.03'!$BB$4,'20.03'!$BB$3))</f>
        <v>0</v>
      </c>
      <c r="Y89" s="63">
        <v>100</v>
      </c>
      <c r="Z89" s="94">
        <v>45906</v>
      </c>
    </row>
    <row r="90" spans="1:26">
      <c r="A90" s="4">
        <f>IF(ISNUMBER(SEARCH("营",'20.03'!I90)),(-$Y90+50*IF('20.03'!$AK90="是",'20.03'!$BB$4,'20.03'!$BB$3)),(VLOOKUP('20.03'!I90,'20.03'!$AO$4:$AQ$55,2,FALSE))*IF('20.03'!$AK90="是",'20.03'!$BB$4,'20.03'!$BB$3))</f>
        <v>0</v>
      </c>
      <c r="B90" s="4">
        <f>IF(ISNUMBER(SEARCH("营",'20.03'!J90)),(-$Y90+50*IF('20.03'!$AK90="是",'20.03'!$BB$4,'20.03'!$BB$3)),(VLOOKUP('20.03'!J90,'20.03'!$AO$4:$AQ$55,2,FALSE))*IF('20.03'!$AK90="是",'20.03'!$BB$4,'20.03'!$BB$3))</f>
        <v>0</v>
      </c>
      <c r="C90" s="4">
        <f>IF(ISNUMBER(SEARCH("营",'20.03'!K90)),(-$Y90+50*IF('20.03'!$AK90="是",'20.03'!$BB$4,'20.03'!$BB$3)),(VLOOKUP('20.03'!K90,'20.03'!$AO$4:$AQ$55,2,FALSE))*IF('20.03'!$AK90="是",'20.03'!$BB$4,'20.03'!$BB$3))</f>
        <v>0</v>
      </c>
      <c r="D90" s="4">
        <f>IF(ISNUMBER(SEARCH("营",'20.03'!L90)),(-$Y90+50*IF('20.03'!$AK90="是",'20.03'!$BB$4,'20.03'!$BB$3)),(VLOOKUP('20.03'!L90,'20.03'!$AO$4:$AQ$55,2,FALSE))*IF('20.03'!$AK90="是",'20.03'!$BB$4,'20.03'!$BB$3))</f>
        <v>0</v>
      </c>
      <c r="E90" s="4">
        <f>IF(ISNUMBER(SEARCH("营",'20.03'!M90)),(-$Y90+50*IF('20.03'!$AK90="是",'20.03'!$BB$4,'20.03'!$BB$3)),(VLOOKUP('20.03'!M90,'20.03'!$AO$4:$AQ$55,2,FALSE))*IF('20.03'!$AK90="是",'20.03'!$BB$4,'20.03'!$BB$3))</f>
        <v>0</v>
      </c>
      <c r="F90" s="4">
        <f>IF(ISNUMBER(SEARCH("营",'20.03'!N90)),(-$Y90+50*IF('20.03'!$AK90="是",'20.03'!$BB$4,'20.03'!$BB$3)),(VLOOKUP('20.03'!N90,'20.03'!$AO$4:$AQ$55,2,FALSE))*IF('20.03'!$AK90="是",'20.03'!$BB$4,'20.03'!$BB$3))</f>
        <v>0</v>
      </c>
      <c r="G90" s="4">
        <f>IF(ISNUMBER(SEARCH("营",'20.03'!O90)),(-$Y90+50*IF('20.03'!$AK90="是",'20.03'!$BB$4,'20.03'!$BB$3)),(VLOOKUP('20.03'!O90,'20.03'!$AO$4:$AQ$55,2,FALSE))*IF('20.03'!$AK90="是",'20.03'!$BB$4,'20.03'!$BB$3))</f>
        <v>0</v>
      </c>
      <c r="H90" s="4">
        <f>IF(ISNUMBER(SEARCH("营",'20.03'!P90)),(-$Y90+50*IF('20.03'!$AK90="是",'20.03'!$BB$4,'20.03'!$BB$3)),(VLOOKUP('20.03'!P90,'20.03'!$AO$4:$AQ$55,2,FALSE))*IF('20.03'!$AK90="是",'20.03'!$BB$4,'20.03'!$BB$3))</f>
        <v>0</v>
      </c>
      <c r="I90" s="4">
        <f>IF(ISNUMBER(SEARCH("营",'20.03'!Q90)),(-$Y90+50*IF('20.03'!$AK90="是",'20.03'!$BB$4,'20.03'!$BB$3)),(VLOOKUP('20.03'!Q90,'20.03'!$AO$4:$AQ$55,2,FALSE))*IF('20.03'!$AK90="是",'20.03'!$BB$4,'20.03'!$BB$3))</f>
        <v>0</v>
      </c>
      <c r="J90" s="4">
        <f>IF(ISNUMBER(SEARCH("营",'20.03'!R90)),(-$Y90+50*IF('20.03'!$AK90="是",'20.03'!$BB$4,'20.03'!$BB$3)),(VLOOKUP('20.03'!R90,'20.03'!$AO$4:$AQ$55,2,FALSE))*IF('20.03'!$AK90="是",'20.03'!$BB$4,'20.03'!$BB$3))</f>
        <v>0</v>
      </c>
      <c r="K90" s="4">
        <f>IF(ISNUMBER(SEARCH("营",'20.03'!S90)),(-$Y90+50*IF('20.03'!$AK90="是",'20.03'!$BB$4,'20.03'!$BB$3)),(VLOOKUP('20.03'!S90,'20.03'!$AO$4:$AQ$55,2,FALSE))*IF('20.03'!$AK90="是",'20.03'!$BB$4,'20.03'!$BB$3))</f>
        <v>0</v>
      </c>
      <c r="L90" s="4">
        <f>IF(ISNUMBER(SEARCH("营",'20.03'!T90)),(-$Y90+50*IF('20.03'!$AK90="是",'20.03'!$BB$4,'20.03'!$BB$3)),(VLOOKUP('20.03'!T90,'20.03'!$AO$4:$AQ$55,2,FALSE))*IF('20.03'!$AK90="是",'20.03'!$BB$4,'20.03'!$BB$3))</f>
        <v>0</v>
      </c>
      <c r="M90" s="4">
        <f>IF(ISNUMBER(SEARCH("营",'20.03'!U90)),(-$Y90+50*IF('20.03'!$AK90="是",'20.03'!$BB$4,'20.03'!$BB$3)),(VLOOKUP('20.03'!U90,'20.03'!$AO$4:$AQ$55,2,FALSE))*IF('20.03'!$AK90="是",'20.03'!$BB$4,'20.03'!$BB$3))</f>
        <v>0</v>
      </c>
      <c r="N90" s="4">
        <f>IF(ISNUMBER(SEARCH("营",'20.03'!V90)),(-$Y90+50*IF('20.03'!$AK90="是",'20.03'!$BB$4,'20.03'!$BB$3)),(VLOOKUP('20.03'!V90,'20.03'!$AO$4:$AQ$55,2,FALSE))*IF('20.03'!$AK90="是",'20.03'!$BB$4,'20.03'!$BB$3))</f>
        <v>0</v>
      </c>
      <c r="O90" s="4">
        <f>IF(ISNUMBER(SEARCH("营",'20.03'!W90)),(-$Y90+50*IF('20.03'!$AK90="是",'20.03'!$BB$4,'20.03'!$BB$3)),(VLOOKUP('20.03'!W90,'20.03'!$AO$4:$AQ$55,2,FALSE))*IF('20.03'!$AK90="是",'20.03'!$BB$4,'20.03'!$BB$3))</f>
        <v>0</v>
      </c>
      <c r="P90" s="4">
        <f>IF(ISNUMBER(SEARCH("营",'20.03'!X90)),(-$Y90+50*IF('20.03'!$AK90="是",'20.03'!$BB$4,'20.03'!$BB$3)),(VLOOKUP('20.03'!X90,'20.03'!$AO$4:$AQ$55,2,FALSE))*IF('20.03'!$AK90="是",'20.03'!$BB$4,'20.03'!$BB$3))</f>
        <v>0</v>
      </c>
      <c r="Q90" s="4">
        <f>IF(ISNUMBER(SEARCH("营",'20.03'!Y90)),(-$Y90+50*IF('20.03'!$AK90="是",'20.03'!$BB$4,'20.03'!$BB$3)),(VLOOKUP('20.03'!Y90,'20.03'!$AO$4:$AQ$55,2,FALSE))*IF('20.03'!$AK90="是",'20.03'!$BB$4,'20.03'!$BB$3))</f>
        <v>0</v>
      </c>
      <c r="R90" s="4">
        <f>IF(ISNUMBER(SEARCH("营",'20.03'!Z90)),(-$Y90+50*IF('20.03'!$AK90="是",'20.03'!$BB$4,'20.03'!$BB$3)),(VLOOKUP('20.03'!Z90,'20.03'!$AO$4:$AQ$55,2,FALSE))*IF('20.03'!$AK90="是",'20.03'!$BB$4,'20.03'!$BB$3))</f>
        <v>0</v>
      </c>
      <c r="S90" s="4">
        <f>IF(ISNUMBER(SEARCH("营",'20.03'!AA90)),(-$Y90+50*IF('20.03'!$AK90="是",'20.03'!$BB$4,'20.03'!$BB$3)),(VLOOKUP('20.03'!AA90,'20.03'!$AO$4:$AQ$55,2,FALSE))*IF('20.03'!$AK90="是",'20.03'!$BB$4,'20.03'!$BB$3))</f>
        <v>0</v>
      </c>
      <c r="T90" s="4">
        <f>IF(ISNUMBER(SEARCH("营",'20.03'!AB90)),(-$Y90+50*IF('20.03'!$AK90="是",'20.03'!$BB$4,'20.03'!$BB$3)),(VLOOKUP('20.03'!AB90,'20.03'!$AO$4:$AQ$55,2,FALSE))*IF('20.03'!$AK90="是",'20.03'!$BB$4,'20.03'!$BB$3))</f>
        <v>0</v>
      </c>
      <c r="U90" s="4">
        <f>IF(ISNUMBER(SEARCH("营",'20.03'!AC90)),(-$Y90+50*IF('20.03'!$AK90="是",'20.03'!$BB$4,'20.03'!$BB$3)),(VLOOKUP('20.03'!AC90,'20.03'!$AO$4:$AQ$55,2,FALSE))*IF('20.03'!$AK90="是",'20.03'!$BB$4,'20.03'!$BB$3))</f>
        <v>0</v>
      </c>
      <c r="V90" s="4">
        <f>IF(ISNUMBER(SEARCH("营",'20.03'!AD90)),(-$Y90+50*IF('20.03'!$AK90="是",'20.03'!$BB$4,'20.03'!$BB$3)),(VLOOKUP('20.03'!AD90,'20.03'!$AO$4:$AQ$55,2,FALSE))*IF('20.03'!$AK90="是",'20.03'!$BB$4,'20.03'!$BB$3))</f>
        <v>0</v>
      </c>
      <c r="W90" s="4">
        <f>IF(ISNUMBER(SEARCH("营",'20.03'!AE90)),(-$Y90+50*IF('20.03'!$AK90="是",'20.03'!$BB$4,'20.03'!$BB$3)),(VLOOKUP('20.03'!AE90,'20.03'!$AO$4:$AQ$55,2,FALSE))*IF('20.03'!$AK90="是",'20.03'!$BB$4,'20.03'!$BB$3))</f>
        <v>0</v>
      </c>
      <c r="X90" s="4">
        <f>IF(ISNUMBER(SEARCH("营",'20.03'!AF90)),(-$Y90+50*IF('20.03'!$AK90="是",'20.03'!$BB$4,'20.03'!$BB$3)),(VLOOKUP('20.03'!AF90,'20.03'!$AO$4:$AQ$55,2,FALSE))*IF('20.03'!$AK90="是",'20.03'!$BB$4,'20.03'!$BB$3))</f>
        <v>0</v>
      </c>
      <c r="Y90" s="63">
        <v>100</v>
      </c>
      <c r="Z90" s="94">
        <v>45907</v>
      </c>
    </row>
    <row r="91" spans="1:26">
      <c r="A91" s="4">
        <f>IF(ISNUMBER(SEARCH("营",'20.03'!I91)),(-$Y91+50*IF('20.03'!$AK91="是",'20.03'!$BB$4,'20.03'!$BB$3)),(VLOOKUP('20.03'!I91,'20.03'!$AO$4:$AQ$55,2,FALSE))*IF('20.03'!$AK91="是",'20.03'!$BB$4,'20.03'!$BB$3))</f>
        <v>0</v>
      </c>
      <c r="B91" s="4">
        <f>IF(ISNUMBER(SEARCH("营",'20.03'!J91)),(-$Y91+50*IF('20.03'!$AK91="是",'20.03'!$BB$4,'20.03'!$BB$3)),(VLOOKUP('20.03'!J91,'20.03'!$AO$4:$AQ$55,2,FALSE))*IF('20.03'!$AK91="是",'20.03'!$BB$4,'20.03'!$BB$3))</f>
        <v>0</v>
      </c>
      <c r="C91" s="4">
        <f>IF(ISNUMBER(SEARCH("营",'20.03'!K91)),(-$Y91+50*IF('20.03'!$AK91="是",'20.03'!$BB$4,'20.03'!$BB$3)),(VLOOKUP('20.03'!K91,'20.03'!$AO$4:$AQ$55,2,FALSE))*IF('20.03'!$AK91="是",'20.03'!$BB$4,'20.03'!$BB$3))</f>
        <v>0</v>
      </c>
      <c r="D91" s="4">
        <f>IF(ISNUMBER(SEARCH("营",'20.03'!L91)),(-$Y91+50*IF('20.03'!$AK91="是",'20.03'!$BB$4,'20.03'!$BB$3)),(VLOOKUP('20.03'!L91,'20.03'!$AO$4:$AQ$55,2,FALSE))*IF('20.03'!$AK91="是",'20.03'!$BB$4,'20.03'!$BB$3))</f>
        <v>0</v>
      </c>
      <c r="E91" s="4">
        <f>IF(ISNUMBER(SEARCH("营",'20.03'!M91)),(-$Y91+50*IF('20.03'!$AK91="是",'20.03'!$BB$4,'20.03'!$BB$3)),(VLOOKUP('20.03'!M91,'20.03'!$AO$4:$AQ$55,2,FALSE))*IF('20.03'!$AK91="是",'20.03'!$BB$4,'20.03'!$BB$3))</f>
        <v>0</v>
      </c>
      <c r="F91" s="4">
        <f>IF(ISNUMBER(SEARCH("营",'20.03'!N91)),(-$Y91+50*IF('20.03'!$AK91="是",'20.03'!$BB$4,'20.03'!$BB$3)),(VLOOKUP('20.03'!N91,'20.03'!$AO$4:$AQ$55,2,FALSE))*IF('20.03'!$AK91="是",'20.03'!$BB$4,'20.03'!$BB$3))</f>
        <v>0</v>
      </c>
      <c r="G91" s="4">
        <f>IF(ISNUMBER(SEARCH("营",'20.03'!O91)),(-$Y91+50*IF('20.03'!$AK91="是",'20.03'!$BB$4,'20.03'!$BB$3)),(VLOOKUP('20.03'!O91,'20.03'!$AO$4:$AQ$55,2,FALSE))*IF('20.03'!$AK91="是",'20.03'!$BB$4,'20.03'!$BB$3))</f>
        <v>0</v>
      </c>
      <c r="H91" s="4">
        <f>IF(ISNUMBER(SEARCH("营",'20.03'!P91)),(-$Y91+50*IF('20.03'!$AK91="是",'20.03'!$BB$4,'20.03'!$BB$3)),(VLOOKUP('20.03'!P91,'20.03'!$AO$4:$AQ$55,2,FALSE))*IF('20.03'!$AK91="是",'20.03'!$BB$4,'20.03'!$BB$3))</f>
        <v>0</v>
      </c>
      <c r="I91" s="4">
        <f>IF(ISNUMBER(SEARCH("营",'20.03'!Q91)),(-$Y91+50*IF('20.03'!$AK91="是",'20.03'!$BB$4,'20.03'!$BB$3)),(VLOOKUP('20.03'!Q91,'20.03'!$AO$4:$AQ$55,2,FALSE))*IF('20.03'!$AK91="是",'20.03'!$BB$4,'20.03'!$BB$3))</f>
        <v>0</v>
      </c>
      <c r="J91" s="4">
        <f>IF(ISNUMBER(SEARCH("营",'20.03'!R91)),(-$Y91+50*IF('20.03'!$AK91="是",'20.03'!$BB$4,'20.03'!$BB$3)),(VLOOKUP('20.03'!R91,'20.03'!$AO$4:$AQ$55,2,FALSE))*IF('20.03'!$AK91="是",'20.03'!$BB$4,'20.03'!$BB$3))</f>
        <v>0</v>
      </c>
      <c r="K91" s="4">
        <f>IF(ISNUMBER(SEARCH("营",'20.03'!S91)),(-$Y91+50*IF('20.03'!$AK91="是",'20.03'!$BB$4,'20.03'!$BB$3)),(VLOOKUP('20.03'!S91,'20.03'!$AO$4:$AQ$55,2,FALSE))*IF('20.03'!$AK91="是",'20.03'!$BB$4,'20.03'!$BB$3))</f>
        <v>0</v>
      </c>
      <c r="L91" s="4">
        <f>IF(ISNUMBER(SEARCH("营",'20.03'!T91)),(-$Y91+50*IF('20.03'!$AK91="是",'20.03'!$BB$4,'20.03'!$BB$3)),(VLOOKUP('20.03'!T91,'20.03'!$AO$4:$AQ$55,2,FALSE))*IF('20.03'!$AK91="是",'20.03'!$BB$4,'20.03'!$BB$3))</f>
        <v>0</v>
      </c>
      <c r="M91" s="4">
        <f>IF(ISNUMBER(SEARCH("营",'20.03'!U91)),(-$Y91+50*IF('20.03'!$AK91="是",'20.03'!$BB$4,'20.03'!$BB$3)),(VLOOKUP('20.03'!U91,'20.03'!$AO$4:$AQ$55,2,FALSE))*IF('20.03'!$AK91="是",'20.03'!$BB$4,'20.03'!$BB$3))</f>
        <v>0</v>
      </c>
      <c r="N91" s="4">
        <f>IF(ISNUMBER(SEARCH("营",'20.03'!V91)),(-$Y91+50*IF('20.03'!$AK91="是",'20.03'!$BB$4,'20.03'!$BB$3)),(VLOOKUP('20.03'!V91,'20.03'!$AO$4:$AQ$55,2,FALSE))*IF('20.03'!$AK91="是",'20.03'!$BB$4,'20.03'!$BB$3))</f>
        <v>0</v>
      </c>
      <c r="O91" s="4">
        <f>IF(ISNUMBER(SEARCH("营",'20.03'!W91)),(-$Y91+50*IF('20.03'!$AK91="是",'20.03'!$BB$4,'20.03'!$BB$3)),(VLOOKUP('20.03'!W91,'20.03'!$AO$4:$AQ$55,2,FALSE))*IF('20.03'!$AK91="是",'20.03'!$BB$4,'20.03'!$BB$3))</f>
        <v>0</v>
      </c>
      <c r="P91" s="4">
        <f>IF(ISNUMBER(SEARCH("营",'20.03'!X91)),(-$Y91+50*IF('20.03'!$AK91="是",'20.03'!$BB$4,'20.03'!$BB$3)),(VLOOKUP('20.03'!X91,'20.03'!$AO$4:$AQ$55,2,FALSE))*IF('20.03'!$AK91="是",'20.03'!$BB$4,'20.03'!$BB$3))</f>
        <v>0</v>
      </c>
      <c r="Q91" s="4">
        <f>IF(ISNUMBER(SEARCH("营",'20.03'!Y91)),(-$Y91+50*IF('20.03'!$AK91="是",'20.03'!$BB$4,'20.03'!$BB$3)),(VLOOKUP('20.03'!Y91,'20.03'!$AO$4:$AQ$55,2,FALSE))*IF('20.03'!$AK91="是",'20.03'!$BB$4,'20.03'!$BB$3))</f>
        <v>0</v>
      </c>
      <c r="R91" s="4">
        <f>IF(ISNUMBER(SEARCH("营",'20.03'!Z91)),(-$Y91+50*IF('20.03'!$AK91="是",'20.03'!$BB$4,'20.03'!$BB$3)),(VLOOKUP('20.03'!Z91,'20.03'!$AO$4:$AQ$55,2,FALSE))*IF('20.03'!$AK91="是",'20.03'!$BB$4,'20.03'!$BB$3))</f>
        <v>0</v>
      </c>
      <c r="S91" s="4">
        <f>IF(ISNUMBER(SEARCH("营",'20.03'!AA91)),(-$Y91+50*IF('20.03'!$AK91="是",'20.03'!$BB$4,'20.03'!$BB$3)),(VLOOKUP('20.03'!AA91,'20.03'!$AO$4:$AQ$55,2,FALSE))*IF('20.03'!$AK91="是",'20.03'!$BB$4,'20.03'!$BB$3))</f>
        <v>0</v>
      </c>
      <c r="T91" s="4">
        <f>IF(ISNUMBER(SEARCH("营",'20.03'!AB91)),(-$Y91+50*IF('20.03'!$AK91="是",'20.03'!$BB$4,'20.03'!$BB$3)),(VLOOKUP('20.03'!AB91,'20.03'!$AO$4:$AQ$55,2,FALSE))*IF('20.03'!$AK91="是",'20.03'!$BB$4,'20.03'!$BB$3))</f>
        <v>0</v>
      </c>
      <c r="U91" s="4">
        <f>IF(ISNUMBER(SEARCH("营",'20.03'!AC91)),(-$Y91+50*IF('20.03'!$AK91="是",'20.03'!$BB$4,'20.03'!$BB$3)),(VLOOKUP('20.03'!AC91,'20.03'!$AO$4:$AQ$55,2,FALSE))*IF('20.03'!$AK91="是",'20.03'!$BB$4,'20.03'!$BB$3))</f>
        <v>0</v>
      </c>
      <c r="V91" s="4">
        <f>IF(ISNUMBER(SEARCH("营",'20.03'!AD91)),(-$Y91+50*IF('20.03'!$AK91="是",'20.03'!$BB$4,'20.03'!$BB$3)),(VLOOKUP('20.03'!AD91,'20.03'!$AO$4:$AQ$55,2,FALSE))*IF('20.03'!$AK91="是",'20.03'!$BB$4,'20.03'!$BB$3))</f>
        <v>0</v>
      </c>
      <c r="W91" s="4">
        <f>IF(ISNUMBER(SEARCH("营",'20.03'!AE91)),(-$Y91+50*IF('20.03'!$AK91="是",'20.03'!$BB$4,'20.03'!$BB$3)),(VLOOKUP('20.03'!AE91,'20.03'!$AO$4:$AQ$55,2,FALSE))*IF('20.03'!$AK91="是",'20.03'!$BB$4,'20.03'!$BB$3))</f>
        <v>0</v>
      </c>
      <c r="X91" s="4">
        <f>IF(ISNUMBER(SEARCH("营",'20.03'!AF91)),(-$Y91+50*IF('20.03'!$AK91="是",'20.03'!$BB$4,'20.03'!$BB$3)),(VLOOKUP('20.03'!AF91,'20.03'!$AO$4:$AQ$55,2,FALSE))*IF('20.03'!$AK91="是",'20.03'!$BB$4,'20.03'!$BB$3))</f>
        <v>0</v>
      </c>
      <c r="Y91" s="63">
        <v>100</v>
      </c>
      <c r="Z91" s="94">
        <v>45908</v>
      </c>
    </row>
    <row r="92" spans="1:26">
      <c r="A92" s="4">
        <f>IF(ISNUMBER(SEARCH("营",'20.03'!I92)),(-$Y92+50*IF('20.03'!$AK92="是",'20.03'!$BB$4,'20.03'!$BB$3)),(VLOOKUP('20.03'!I92,'20.03'!$AO$4:$AQ$55,2,FALSE))*IF('20.03'!$AK92="是",'20.03'!$BB$4,'20.03'!$BB$3))</f>
        <v>0</v>
      </c>
      <c r="B92" s="4">
        <f>IF(ISNUMBER(SEARCH("营",'20.03'!J92)),(-$Y92+50*IF('20.03'!$AK92="是",'20.03'!$BB$4,'20.03'!$BB$3)),(VLOOKUP('20.03'!J92,'20.03'!$AO$4:$AQ$55,2,FALSE))*IF('20.03'!$AK92="是",'20.03'!$BB$4,'20.03'!$BB$3))</f>
        <v>0</v>
      </c>
      <c r="C92" s="4">
        <f>IF(ISNUMBER(SEARCH("营",'20.03'!K92)),(-$Y92+50*IF('20.03'!$AK92="是",'20.03'!$BB$4,'20.03'!$BB$3)),(VLOOKUP('20.03'!K92,'20.03'!$AO$4:$AQ$55,2,FALSE))*IF('20.03'!$AK92="是",'20.03'!$BB$4,'20.03'!$BB$3))</f>
        <v>0</v>
      </c>
      <c r="D92" s="4">
        <f>IF(ISNUMBER(SEARCH("营",'20.03'!L92)),(-$Y92+50*IF('20.03'!$AK92="是",'20.03'!$BB$4,'20.03'!$BB$3)),(VLOOKUP('20.03'!L92,'20.03'!$AO$4:$AQ$55,2,FALSE))*IF('20.03'!$AK92="是",'20.03'!$BB$4,'20.03'!$BB$3))</f>
        <v>0</v>
      </c>
      <c r="E92" s="4">
        <f>IF(ISNUMBER(SEARCH("营",'20.03'!M92)),(-$Y92+50*IF('20.03'!$AK92="是",'20.03'!$BB$4,'20.03'!$BB$3)),(VLOOKUP('20.03'!M92,'20.03'!$AO$4:$AQ$55,2,FALSE))*IF('20.03'!$AK92="是",'20.03'!$BB$4,'20.03'!$BB$3))</f>
        <v>0</v>
      </c>
      <c r="F92" s="4">
        <f>IF(ISNUMBER(SEARCH("营",'20.03'!N92)),(-$Y92+50*IF('20.03'!$AK92="是",'20.03'!$BB$4,'20.03'!$BB$3)),(VLOOKUP('20.03'!N92,'20.03'!$AO$4:$AQ$55,2,FALSE))*IF('20.03'!$AK92="是",'20.03'!$BB$4,'20.03'!$BB$3))</f>
        <v>0</v>
      </c>
      <c r="G92" s="4">
        <f>IF(ISNUMBER(SEARCH("营",'20.03'!O92)),(-$Y92+50*IF('20.03'!$AK92="是",'20.03'!$BB$4,'20.03'!$BB$3)),(VLOOKUP('20.03'!O92,'20.03'!$AO$4:$AQ$55,2,FALSE))*IF('20.03'!$AK92="是",'20.03'!$BB$4,'20.03'!$BB$3))</f>
        <v>0</v>
      </c>
      <c r="H92" s="4">
        <f>IF(ISNUMBER(SEARCH("营",'20.03'!P92)),(-$Y92+50*IF('20.03'!$AK92="是",'20.03'!$BB$4,'20.03'!$BB$3)),(VLOOKUP('20.03'!P92,'20.03'!$AO$4:$AQ$55,2,FALSE))*IF('20.03'!$AK92="是",'20.03'!$BB$4,'20.03'!$BB$3))</f>
        <v>0</v>
      </c>
      <c r="I92" s="4">
        <f>IF(ISNUMBER(SEARCH("营",'20.03'!Q92)),(-$Y92+50*IF('20.03'!$AK92="是",'20.03'!$BB$4,'20.03'!$BB$3)),(VLOOKUP('20.03'!Q92,'20.03'!$AO$4:$AQ$55,2,FALSE))*IF('20.03'!$AK92="是",'20.03'!$BB$4,'20.03'!$BB$3))</f>
        <v>0</v>
      </c>
      <c r="J92" s="4">
        <f>IF(ISNUMBER(SEARCH("营",'20.03'!R92)),(-$Y92+50*IF('20.03'!$AK92="是",'20.03'!$BB$4,'20.03'!$BB$3)),(VLOOKUP('20.03'!R92,'20.03'!$AO$4:$AQ$55,2,FALSE))*IF('20.03'!$AK92="是",'20.03'!$BB$4,'20.03'!$BB$3))</f>
        <v>0</v>
      </c>
      <c r="K92" s="4">
        <f>IF(ISNUMBER(SEARCH("营",'20.03'!S92)),(-$Y92+50*IF('20.03'!$AK92="是",'20.03'!$BB$4,'20.03'!$BB$3)),(VLOOKUP('20.03'!S92,'20.03'!$AO$4:$AQ$55,2,FALSE))*IF('20.03'!$AK92="是",'20.03'!$BB$4,'20.03'!$BB$3))</f>
        <v>0</v>
      </c>
      <c r="L92" s="4">
        <f>IF(ISNUMBER(SEARCH("营",'20.03'!T92)),(-$Y92+50*IF('20.03'!$AK92="是",'20.03'!$BB$4,'20.03'!$BB$3)),(VLOOKUP('20.03'!T92,'20.03'!$AO$4:$AQ$55,2,FALSE))*IF('20.03'!$AK92="是",'20.03'!$BB$4,'20.03'!$BB$3))</f>
        <v>0</v>
      </c>
      <c r="M92" s="4">
        <f>IF(ISNUMBER(SEARCH("营",'20.03'!U92)),(-$Y92+50*IF('20.03'!$AK92="是",'20.03'!$BB$4,'20.03'!$BB$3)),(VLOOKUP('20.03'!U92,'20.03'!$AO$4:$AQ$55,2,FALSE))*IF('20.03'!$AK92="是",'20.03'!$BB$4,'20.03'!$BB$3))</f>
        <v>0</v>
      </c>
      <c r="N92" s="4">
        <f>IF(ISNUMBER(SEARCH("营",'20.03'!V92)),(-$Y92+50*IF('20.03'!$AK92="是",'20.03'!$BB$4,'20.03'!$BB$3)),(VLOOKUP('20.03'!V92,'20.03'!$AO$4:$AQ$55,2,FALSE))*IF('20.03'!$AK92="是",'20.03'!$BB$4,'20.03'!$BB$3))</f>
        <v>0</v>
      </c>
      <c r="O92" s="4">
        <f>IF(ISNUMBER(SEARCH("营",'20.03'!W92)),(-$Y92+50*IF('20.03'!$AK92="是",'20.03'!$BB$4,'20.03'!$BB$3)),(VLOOKUP('20.03'!W92,'20.03'!$AO$4:$AQ$55,2,FALSE))*IF('20.03'!$AK92="是",'20.03'!$BB$4,'20.03'!$BB$3))</f>
        <v>0</v>
      </c>
      <c r="P92" s="4">
        <f>IF(ISNUMBER(SEARCH("营",'20.03'!X92)),(-$Y92+50*IF('20.03'!$AK92="是",'20.03'!$BB$4,'20.03'!$BB$3)),(VLOOKUP('20.03'!X92,'20.03'!$AO$4:$AQ$55,2,FALSE))*IF('20.03'!$AK92="是",'20.03'!$BB$4,'20.03'!$BB$3))</f>
        <v>0</v>
      </c>
      <c r="Q92" s="4">
        <f>IF(ISNUMBER(SEARCH("营",'20.03'!Y92)),(-$Y92+50*IF('20.03'!$AK92="是",'20.03'!$BB$4,'20.03'!$BB$3)),(VLOOKUP('20.03'!Y92,'20.03'!$AO$4:$AQ$55,2,FALSE))*IF('20.03'!$AK92="是",'20.03'!$BB$4,'20.03'!$BB$3))</f>
        <v>0</v>
      </c>
      <c r="R92" s="4">
        <f>IF(ISNUMBER(SEARCH("营",'20.03'!Z92)),(-$Y92+50*IF('20.03'!$AK92="是",'20.03'!$BB$4,'20.03'!$BB$3)),(VLOOKUP('20.03'!Z92,'20.03'!$AO$4:$AQ$55,2,FALSE))*IF('20.03'!$AK92="是",'20.03'!$BB$4,'20.03'!$BB$3))</f>
        <v>0</v>
      </c>
      <c r="S92" s="4">
        <f>IF(ISNUMBER(SEARCH("营",'20.03'!AA92)),(-$Y92+50*IF('20.03'!$AK92="是",'20.03'!$BB$4,'20.03'!$BB$3)),(VLOOKUP('20.03'!AA92,'20.03'!$AO$4:$AQ$55,2,FALSE))*IF('20.03'!$AK92="是",'20.03'!$BB$4,'20.03'!$BB$3))</f>
        <v>0</v>
      </c>
      <c r="T92" s="4">
        <f>IF(ISNUMBER(SEARCH("营",'20.03'!AB92)),(-$Y92+50*IF('20.03'!$AK92="是",'20.03'!$BB$4,'20.03'!$BB$3)),(VLOOKUP('20.03'!AB92,'20.03'!$AO$4:$AQ$55,2,FALSE))*IF('20.03'!$AK92="是",'20.03'!$BB$4,'20.03'!$BB$3))</f>
        <v>0</v>
      </c>
      <c r="U92" s="4">
        <f>IF(ISNUMBER(SEARCH("营",'20.03'!AC92)),(-$Y92+50*IF('20.03'!$AK92="是",'20.03'!$BB$4,'20.03'!$BB$3)),(VLOOKUP('20.03'!AC92,'20.03'!$AO$4:$AQ$55,2,FALSE))*IF('20.03'!$AK92="是",'20.03'!$BB$4,'20.03'!$BB$3))</f>
        <v>0</v>
      </c>
      <c r="V92" s="4">
        <f>IF(ISNUMBER(SEARCH("营",'20.03'!AD92)),(-$Y92+50*IF('20.03'!$AK92="是",'20.03'!$BB$4,'20.03'!$BB$3)),(VLOOKUP('20.03'!AD92,'20.03'!$AO$4:$AQ$55,2,FALSE))*IF('20.03'!$AK92="是",'20.03'!$BB$4,'20.03'!$BB$3))</f>
        <v>0</v>
      </c>
      <c r="W92" s="4">
        <f>IF(ISNUMBER(SEARCH("营",'20.03'!AE92)),(-$Y92+50*IF('20.03'!$AK92="是",'20.03'!$BB$4,'20.03'!$BB$3)),(VLOOKUP('20.03'!AE92,'20.03'!$AO$4:$AQ$55,2,FALSE))*IF('20.03'!$AK92="是",'20.03'!$BB$4,'20.03'!$BB$3))</f>
        <v>0</v>
      </c>
      <c r="X92" s="4">
        <f>IF(ISNUMBER(SEARCH("营",'20.03'!AF92)),(-$Y92+50*IF('20.03'!$AK92="是",'20.03'!$BB$4,'20.03'!$BB$3)),(VLOOKUP('20.03'!AF92,'20.03'!$AO$4:$AQ$55,2,FALSE))*IF('20.03'!$AK92="是",'20.03'!$BB$4,'20.03'!$BB$3))</f>
        <v>0</v>
      </c>
      <c r="Y92" s="63">
        <v>100</v>
      </c>
      <c r="Z92" s="94">
        <v>45909</v>
      </c>
    </row>
    <row r="93" spans="1:26">
      <c r="A93" s="4">
        <f>IF(ISNUMBER(SEARCH("营",'20.03'!I93)),(-$Y93+50*IF('20.03'!$AK93="是",'20.03'!$BB$4,'20.03'!$BB$3)),(VLOOKUP('20.03'!I93,'20.03'!$AO$4:$AQ$55,2,FALSE))*IF('20.03'!$AK93="是",'20.03'!$BB$4,'20.03'!$BB$3))</f>
        <v>0</v>
      </c>
      <c r="B93" s="4">
        <f>IF(ISNUMBER(SEARCH("营",'20.03'!J93)),(-$Y93+50*IF('20.03'!$AK93="是",'20.03'!$BB$4,'20.03'!$BB$3)),(VLOOKUP('20.03'!J93,'20.03'!$AO$4:$AQ$55,2,FALSE))*IF('20.03'!$AK93="是",'20.03'!$BB$4,'20.03'!$BB$3))</f>
        <v>0</v>
      </c>
      <c r="C93" s="4">
        <f>IF(ISNUMBER(SEARCH("营",'20.03'!K93)),(-$Y93+50*IF('20.03'!$AK93="是",'20.03'!$BB$4,'20.03'!$BB$3)),(VLOOKUP('20.03'!K93,'20.03'!$AO$4:$AQ$55,2,FALSE))*IF('20.03'!$AK93="是",'20.03'!$BB$4,'20.03'!$BB$3))</f>
        <v>0</v>
      </c>
      <c r="D93" s="4">
        <f>IF(ISNUMBER(SEARCH("营",'20.03'!L93)),(-$Y93+50*IF('20.03'!$AK93="是",'20.03'!$BB$4,'20.03'!$BB$3)),(VLOOKUP('20.03'!L93,'20.03'!$AO$4:$AQ$55,2,FALSE))*IF('20.03'!$AK93="是",'20.03'!$BB$4,'20.03'!$BB$3))</f>
        <v>0</v>
      </c>
      <c r="E93" s="4">
        <f>IF(ISNUMBER(SEARCH("营",'20.03'!M93)),(-$Y93+50*IF('20.03'!$AK93="是",'20.03'!$BB$4,'20.03'!$BB$3)),(VLOOKUP('20.03'!M93,'20.03'!$AO$4:$AQ$55,2,FALSE))*IF('20.03'!$AK93="是",'20.03'!$BB$4,'20.03'!$BB$3))</f>
        <v>0</v>
      </c>
      <c r="F93" s="4">
        <f>IF(ISNUMBER(SEARCH("营",'20.03'!N93)),(-$Y93+50*IF('20.03'!$AK93="是",'20.03'!$BB$4,'20.03'!$BB$3)),(VLOOKUP('20.03'!N93,'20.03'!$AO$4:$AQ$55,2,FALSE))*IF('20.03'!$AK93="是",'20.03'!$BB$4,'20.03'!$BB$3))</f>
        <v>0</v>
      </c>
      <c r="G93" s="4">
        <f>IF(ISNUMBER(SEARCH("营",'20.03'!O93)),(-$Y93+50*IF('20.03'!$AK93="是",'20.03'!$BB$4,'20.03'!$BB$3)),(VLOOKUP('20.03'!O93,'20.03'!$AO$4:$AQ$55,2,FALSE))*IF('20.03'!$AK93="是",'20.03'!$BB$4,'20.03'!$BB$3))</f>
        <v>0</v>
      </c>
      <c r="H93" s="4">
        <f>IF(ISNUMBER(SEARCH("营",'20.03'!P93)),(-$Y93+50*IF('20.03'!$AK93="是",'20.03'!$BB$4,'20.03'!$BB$3)),(VLOOKUP('20.03'!P93,'20.03'!$AO$4:$AQ$55,2,FALSE))*IF('20.03'!$AK93="是",'20.03'!$BB$4,'20.03'!$BB$3))</f>
        <v>0</v>
      </c>
      <c r="I93" s="4">
        <f>IF(ISNUMBER(SEARCH("营",'20.03'!Q93)),(-$Y93+50*IF('20.03'!$AK93="是",'20.03'!$BB$4,'20.03'!$BB$3)),(VLOOKUP('20.03'!Q93,'20.03'!$AO$4:$AQ$55,2,FALSE))*IF('20.03'!$AK93="是",'20.03'!$BB$4,'20.03'!$BB$3))</f>
        <v>0</v>
      </c>
      <c r="J93" s="4">
        <f>IF(ISNUMBER(SEARCH("营",'20.03'!R93)),(-$Y93+50*IF('20.03'!$AK93="是",'20.03'!$BB$4,'20.03'!$BB$3)),(VLOOKUP('20.03'!R93,'20.03'!$AO$4:$AQ$55,2,FALSE))*IF('20.03'!$AK93="是",'20.03'!$BB$4,'20.03'!$BB$3))</f>
        <v>0</v>
      </c>
      <c r="K93" s="4">
        <f>IF(ISNUMBER(SEARCH("营",'20.03'!S93)),(-$Y93+50*IF('20.03'!$AK93="是",'20.03'!$BB$4,'20.03'!$BB$3)),(VLOOKUP('20.03'!S93,'20.03'!$AO$4:$AQ$55,2,FALSE))*IF('20.03'!$AK93="是",'20.03'!$BB$4,'20.03'!$BB$3))</f>
        <v>0</v>
      </c>
      <c r="L93" s="4">
        <f>IF(ISNUMBER(SEARCH("营",'20.03'!T93)),(-$Y93+50*IF('20.03'!$AK93="是",'20.03'!$BB$4,'20.03'!$BB$3)),(VLOOKUP('20.03'!T93,'20.03'!$AO$4:$AQ$55,2,FALSE))*IF('20.03'!$AK93="是",'20.03'!$BB$4,'20.03'!$BB$3))</f>
        <v>0</v>
      </c>
      <c r="M93" s="4">
        <f>IF(ISNUMBER(SEARCH("营",'20.03'!U93)),(-$Y93+50*IF('20.03'!$AK93="是",'20.03'!$BB$4,'20.03'!$BB$3)),(VLOOKUP('20.03'!U93,'20.03'!$AO$4:$AQ$55,2,FALSE))*IF('20.03'!$AK93="是",'20.03'!$BB$4,'20.03'!$BB$3))</f>
        <v>0</v>
      </c>
      <c r="N93" s="4">
        <f>IF(ISNUMBER(SEARCH("营",'20.03'!V93)),(-$Y93+50*IF('20.03'!$AK93="是",'20.03'!$BB$4,'20.03'!$BB$3)),(VLOOKUP('20.03'!V93,'20.03'!$AO$4:$AQ$55,2,FALSE))*IF('20.03'!$AK93="是",'20.03'!$BB$4,'20.03'!$BB$3))</f>
        <v>0</v>
      </c>
      <c r="O93" s="4">
        <f>IF(ISNUMBER(SEARCH("营",'20.03'!W93)),(-$Y93+50*IF('20.03'!$AK93="是",'20.03'!$BB$4,'20.03'!$BB$3)),(VLOOKUP('20.03'!W93,'20.03'!$AO$4:$AQ$55,2,FALSE))*IF('20.03'!$AK93="是",'20.03'!$BB$4,'20.03'!$BB$3))</f>
        <v>0</v>
      </c>
      <c r="P93" s="4">
        <f>IF(ISNUMBER(SEARCH("营",'20.03'!X93)),(-$Y93+50*IF('20.03'!$AK93="是",'20.03'!$BB$4,'20.03'!$BB$3)),(VLOOKUP('20.03'!X93,'20.03'!$AO$4:$AQ$55,2,FALSE))*IF('20.03'!$AK93="是",'20.03'!$BB$4,'20.03'!$BB$3))</f>
        <v>0</v>
      </c>
      <c r="Q93" s="4">
        <f>IF(ISNUMBER(SEARCH("营",'20.03'!Y93)),(-$Y93+50*IF('20.03'!$AK93="是",'20.03'!$BB$4,'20.03'!$BB$3)),(VLOOKUP('20.03'!Y93,'20.03'!$AO$4:$AQ$55,2,FALSE))*IF('20.03'!$AK93="是",'20.03'!$BB$4,'20.03'!$BB$3))</f>
        <v>0</v>
      </c>
      <c r="R93" s="4">
        <f>IF(ISNUMBER(SEARCH("营",'20.03'!Z93)),(-$Y93+50*IF('20.03'!$AK93="是",'20.03'!$BB$4,'20.03'!$BB$3)),(VLOOKUP('20.03'!Z93,'20.03'!$AO$4:$AQ$55,2,FALSE))*IF('20.03'!$AK93="是",'20.03'!$BB$4,'20.03'!$BB$3))</f>
        <v>0</v>
      </c>
      <c r="S93" s="4">
        <f>IF(ISNUMBER(SEARCH("营",'20.03'!AA93)),(-$Y93+50*IF('20.03'!$AK93="是",'20.03'!$BB$4,'20.03'!$BB$3)),(VLOOKUP('20.03'!AA93,'20.03'!$AO$4:$AQ$55,2,FALSE))*IF('20.03'!$AK93="是",'20.03'!$BB$4,'20.03'!$BB$3))</f>
        <v>0</v>
      </c>
      <c r="T93" s="4">
        <f>IF(ISNUMBER(SEARCH("营",'20.03'!AB93)),(-$Y93+50*IF('20.03'!$AK93="是",'20.03'!$BB$4,'20.03'!$BB$3)),(VLOOKUP('20.03'!AB93,'20.03'!$AO$4:$AQ$55,2,FALSE))*IF('20.03'!$AK93="是",'20.03'!$BB$4,'20.03'!$BB$3))</f>
        <v>0</v>
      </c>
      <c r="U93" s="4">
        <f>IF(ISNUMBER(SEARCH("营",'20.03'!AC93)),(-$Y93+50*IF('20.03'!$AK93="是",'20.03'!$BB$4,'20.03'!$BB$3)),(VLOOKUP('20.03'!AC93,'20.03'!$AO$4:$AQ$55,2,FALSE))*IF('20.03'!$AK93="是",'20.03'!$BB$4,'20.03'!$BB$3))</f>
        <v>0</v>
      </c>
      <c r="V93" s="4">
        <f>IF(ISNUMBER(SEARCH("营",'20.03'!AD93)),(-$Y93+50*IF('20.03'!$AK93="是",'20.03'!$BB$4,'20.03'!$BB$3)),(VLOOKUP('20.03'!AD93,'20.03'!$AO$4:$AQ$55,2,FALSE))*IF('20.03'!$AK93="是",'20.03'!$BB$4,'20.03'!$BB$3))</f>
        <v>0</v>
      </c>
      <c r="W93" s="4">
        <f>IF(ISNUMBER(SEARCH("营",'20.03'!AE93)),(-$Y93+50*IF('20.03'!$AK93="是",'20.03'!$BB$4,'20.03'!$BB$3)),(VLOOKUP('20.03'!AE93,'20.03'!$AO$4:$AQ$55,2,FALSE))*IF('20.03'!$AK93="是",'20.03'!$BB$4,'20.03'!$BB$3))</f>
        <v>0</v>
      </c>
      <c r="X93" s="4">
        <f>IF(ISNUMBER(SEARCH("营",'20.03'!AF93)),(-$Y93+50*IF('20.03'!$AK93="是",'20.03'!$BB$4,'20.03'!$BB$3)),(VLOOKUP('20.03'!AF93,'20.03'!$AO$4:$AQ$55,2,FALSE))*IF('20.03'!$AK93="是",'20.03'!$BB$4,'20.03'!$BB$3))</f>
        <v>0</v>
      </c>
      <c r="Y93" s="63">
        <v>100</v>
      </c>
      <c r="Z93" s="94">
        <v>45910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42" t="s">
        <v>58</v>
      </c>
      <c r="B2" s="143"/>
      <c r="C2" s="1" t="s">
        <v>3</v>
      </c>
      <c r="D2" s="1">
        <f>COUNTIF(A4:H94,"&lt;&gt;空")</f>
        <v>728</v>
      </c>
      <c r="E2" s="143" t="s">
        <v>4</v>
      </c>
      <c r="F2" s="143"/>
      <c r="G2" s="143"/>
      <c r="H2" s="144"/>
      <c r="I2" s="145" t="s">
        <v>5</v>
      </c>
      <c r="J2" s="146"/>
      <c r="K2" s="6" t="s">
        <v>3</v>
      </c>
      <c r="L2" s="6">
        <f>COUNTIF(I4:P94,"&lt;&gt;空")</f>
        <v>728</v>
      </c>
      <c r="M2" s="146" t="s">
        <v>4</v>
      </c>
      <c r="N2" s="146"/>
      <c r="O2" s="146"/>
      <c r="P2" s="147"/>
      <c r="Q2" s="148" t="s">
        <v>6</v>
      </c>
      <c r="R2" s="140"/>
      <c r="S2" s="10" t="s">
        <v>7</v>
      </c>
      <c r="T2" s="9">
        <f>COUNTIF(Q4:X94,"&lt;&gt;空")</f>
        <v>728</v>
      </c>
      <c r="U2" s="140" t="s">
        <v>4</v>
      </c>
      <c r="V2" s="140"/>
      <c r="W2" s="140"/>
      <c r="X2" s="141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(VLOOKUP('20.03'!I4,'20.03'!$AO$4:$AQ$55,3,FALSE))</f>
        <v>35</v>
      </c>
      <c r="B4" s="4">
        <f>(VLOOKUP('20.03'!J4,'20.03'!$AO$4:$AQ$55,3,FALSE))</f>
        <v>35</v>
      </c>
      <c r="C4" s="4">
        <f>(VLOOKUP('20.03'!K4,'20.03'!$AO$4:$AQ$55,3,FALSE))</f>
        <v>35</v>
      </c>
      <c r="D4" s="4">
        <f>(VLOOKUP('20.03'!L4,'20.03'!$AO$4:$AQ$55,3,FALSE))</f>
        <v>35</v>
      </c>
      <c r="E4" s="4">
        <f>(VLOOKUP('20.03'!M4,'20.03'!$AO$4:$AQ$55,3,FALSE))</f>
        <v>35</v>
      </c>
      <c r="F4" s="4">
        <f>(VLOOKUP('20.03'!N4,'20.03'!$AO$4:$AQ$55,3,FALSE))</f>
        <v>30</v>
      </c>
      <c r="G4" s="5">
        <f>(VLOOKUP('20.03'!O4,'20.03'!$AO$4:$AQ$55,3,FALSE))</f>
        <v>0</v>
      </c>
      <c r="H4" s="5">
        <f>(VLOOKUP('20.03'!P4,'20.03'!$AO$4:$AQ$55,3,FALSE))</f>
        <v>0</v>
      </c>
      <c r="I4" s="4">
        <f>(VLOOKUP('20.03'!Q4,'20.03'!$AO$4:$AQ$55,3,FALSE))</f>
        <v>35</v>
      </c>
      <c r="J4" s="4">
        <f>(VLOOKUP('20.03'!R4,'20.03'!$AO$4:$AQ$55,3,FALSE))</f>
        <v>35</v>
      </c>
      <c r="K4" s="4">
        <f>(VLOOKUP('20.03'!S4,'20.03'!$AO$4:$AQ$55,3,FALSE))</f>
        <v>35</v>
      </c>
      <c r="L4" s="4">
        <f>(VLOOKUP('20.03'!T4,'20.03'!$AO$4:$AQ$55,3,FALSE))</f>
        <v>40</v>
      </c>
      <c r="M4" s="4">
        <f>(VLOOKUP('20.03'!U4,'20.03'!$AO$4:$AQ$55,3,FALSE))</f>
        <v>35</v>
      </c>
      <c r="N4" s="4">
        <f>(VLOOKUP('20.03'!V4,'20.03'!$AO$4:$AQ$55,3,FALSE))</f>
        <v>35</v>
      </c>
      <c r="O4" s="5">
        <f>(VLOOKUP('20.03'!W4,'20.03'!$AO$4:$AQ$55,3,FALSE))</f>
        <v>0</v>
      </c>
      <c r="P4" s="5">
        <f>(VLOOKUP('20.03'!X4,'20.03'!$AO$4:$AQ$55,3,FALSE))</f>
        <v>0</v>
      </c>
      <c r="Q4" s="4">
        <f>(VLOOKUP('20.03'!Y4,'20.03'!$AO$4:$AQ$55,3,FALSE))</f>
        <v>0</v>
      </c>
      <c r="R4" s="4">
        <f>(VLOOKUP('20.03'!Z4,'20.03'!$AO$4:$AQ$55,3,FALSE))</f>
        <v>0</v>
      </c>
      <c r="S4" s="4">
        <f>(VLOOKUP('20.03'!AA4,'20.03'!$AO$4:$AQ$55,3,FALSE))</f>
        <v>0</v>
      </c>
      <c r="T4" s="4">
        <f>(VLOOKUP('20.03'!AB4,'20.03'!$AO$4:$AQ$55,3,FALSE))</f>
        <v>0</v>
      </c>
      <c r="U4" s="4">
        <f>(VLOOKUP('20.03'!AC4,'20.03'!$AO$4:$AQ$55,3,FALSE))</f>
        <v>0</v>
      </c>
      <c r="V4" s="4">
        <f>(VLOOKUP('20.03'!AD4,'20.03'!$AO$4:$AQ$55,3,FALSE))</f>
        <v>0</v>
      </c>
      <c r="W4" s="5">
        <f>(VLOOKUP('20.03'!AE4,'20.03'!$AO$4:$AQ$55,3,FALSE))</f>
        <v>0</v>
      </c>
      <c r="X4" s="5">
        <f>(VLOOKUP('20.03'!AF4,'20.03'!$AO$4:$AQ$55,3,FALSE))</f>
        <v>0</v>
      </c>
    </row>
    <row r="5" spans="1:24">
      <c r="A5" s="4">
        <f>(VLOOKUP('20.03'!I5,'20.03'!$AO$4:$AQ$55,3,FALSE))</f>
        <v>0</v>
      </c>
      <c r="B5" s="4">
        <f>(VLOOKUP('20.03'!J5,'20.03'!$AO$4:$AQ$55,3,FALSE))</f>
        <v>0</v>
      </c>
      <c r="C5" s="4">
        <f>(VLOOKUP('20.03'!K5,'20.03'!$AO$4:$AQ$55,3,FALSE))</f>
        <v>0</v>
      </c>
      <c r="D5" s="4">
        <f>(VLOOKUP('20.03'!L5,'20.03'!$AO$4:$AQ$55,3,FALSE))</f>
        <v>0</v>
      </c>
      <c r="E5" s="4">
        <f>(VLOOKUP('20.03'!M5,'20.03'!$AO$4:$AQ$55,3,FALSE))</f>
        <v>0</v>
      </c>
      <c r="F5" s="4">
        <f>(VLOOKUP('20.03'!N5,'20.03'!$AO$4:$AQ$55,3,FALSE))</f>
        <v>0</v>
      </c>
      <c r="G5" s="5">
        <f>(VLOOKUP('20.03'!O5,'20.03'!$AO$4:$AQ$55,3,FALSE))</f>
        <v>0</v>
      </c>
      <c r="H5" s="5">
        <f>(VLOOKUP('20.03'!P5,'20.03'!$AO$4:$AQ$55,3,FALSE))</f>
        <v>0</v>
      </c>
      <c r="I5" s="4">
        <f>(VLOOKUP('20.03'!Q5,'20.03'!$AO$4:$AQ$55,3,FALSE))</f>
        <v>30</v>
      </c>
      <c r="J5" s="4">
        <f>(VLOOKUP('20.03'!R5,'20.03'!$AO$4:$AQ$55,3,FALSE))</f>
        <v>35</v>
      </c>
      <c r="K5" s="4">
        <f>(VLOOKUP('20.03'!S5,'20.03'!$AO$4:$AQ$55,3,FALSE))</f>
        <v>35</v>
      </c>
      <c r="L5" s="4">
        <f>(VLOOKUP('20.03'!T5,'20.03'!$AO$4:$AQ$55,3,FALSE))</f>
        <v>40</v>
      </c>
      <c r="M5" s="4">
        <f>(VLOOKUP('20.03'!U5,'20.03'!$AO$4:$AQ$55,3,FALSE))</f>
        <v>40</v>
      </c>
      <c r="N5" s="4">
        <f>(VLOOKUP('20.03'!V5,'20.03'!$AO$4:$AQ$55,3,FALSE))</f>
        <v>30</v>
      </c>
      <c r="O5" s="5">
        <f>(VLOOKUP('20.03'!W5,'20.03'!$AO$4:$AQ$55,3,FALSE))</f>
        <v>0</v>
      </c>
      <c r="P5" s="5">
        <f>(VLOOKUP('20.03'!X5,'20.03'!$AO$4:$AQ$55,3,FALSE))</f>
        <v>0</v>
      </c>
      <c r="Q5" s="4">
        <f>(VLOOKUP('20.03'!Y5,'20.03'!$AO$4:$AQ$55,3,FALSE))</f>
        <v>40</v>
      </c>
      <c r="R5" s="4">
        <f>(VLOOKUP('20.03'!Z5,'20.03'!$AO$4:$AQ$55,3,FALSE))</f>
        <v>40</v>
      </c>
      <c r="S5" s="4">
        <f>(VLOOKUP('20.03'!AA5,'20.03'!$AO$4:$AQ$55,3,FALSE))</f>
        <v>40</v>
      </c>
      <c r="T5" s="4">
        <f>(VLOOKUP('20.03'!AB5,'20.03'!$AO$4:$AQ$55,3,FALSE))</f>
        <v>40</v>
      </c>
      <c r="U5" s="4">
        <f>(VLOOKUP('20.03'!AC5,'20.03'!$AO$4:$AQ$55,3,FALSE))</f>
        <v>0</v>
      </c>
      <c r="V5" s="4">
        <f>(VLOOKUP('20.03'!AD5,'20.03'!$AO$4:$AQ$55,3,FALSE))</f>
        <v>40</v>
      </c>
      <c r="W5" s="5">
        <f>(VLOOKUP('20.03'!AE5,'20.03'!$AO$4:$AQ$55,3,FALSE))</f>
        <v>45</v>
      </c>
      <c r="X5" s="5">
        <f>(VLOOKUP('20.03'!AF5,'20.03'!$AO$4:$AQ$55,3,FALSE))</f>
        <v>45</v>
      </c>
    </row>
    <row r="6" spans="1:24">
      <c r="A6" s="4">
        <f>(VLOOKUP('20.03'!I6,'20.03'!$AO$4:$AQ$55,3,FALSE))</f>
        <v>0</v>
      </c>
      <c r="B6" s="4">
        <f>(VLOOKUP('20.03'!J6,'20.03'!$AO$4:$AQ$55,3,FALSE))</f>
        <v>0</v>
      </c>
      <c r="C6" s="4">
        <f>(VLOOKUP('20.03'!K6,'20.03'!$AO$4:$AQ$55,3,FALSE))</f>
        <v>0</v>
      </c>
      <c r="D6" s="4">
        <f>(VLOOKUP('20.03'!L6,'20.03'!$AO$4:$AQ$55,3,FALSE))</f>
        <v>0</v>
      </c>
      <c r="E6" s="4">
        <f>(VLOOKUP('20.03'!M6,'20.03'!$AO$4:$AQ$55,3,FALSE))</f>
        <v>0</v>
      </c>
      <c r="F6" s="4">
        <f>(VLOOKUP('20.03'!N6,'20.03'!$AO$4:$AQ$55,3,FALSE))</f>
        <v>0</v>
      </c>
      <c r="G6" s="5">
        <f>(VLOOKUP('20.03'!O6,'20.03'!$AO$4:$AQ$55,3,FALSE))</f>
        <v>0</v>
      </c>
      <c r="H6" s="5">
        <f>(VLOOKUP('20.03'!P6,'20.03'!$AO$4:$AQ$55,3,FALSE))</f>
        <v>0</v>
      </c>
      <c r="I6" s="4">
        <f>(VLOOKUP('20.03'!Q6,'20.03'!$AO$4:$AQ$55,3,FALSE))</f>
        <v>40</v>
      </c>
      <c r="J6" s="4">
        <f>(VLOOKUP('20.03'!R6,'20.03'!$AO$4:$AQ$55,3,FALSE))</f>
        <v>40</v>
      </c>
      <c r="K6" s="4">
        <f>(VLOOKUP('20.03'!S6,'20.03'!$AO$4:$AQ$55,3,FALSE))</f>
        <v>40</v>
      </c>
      <c r="L6" s="4">
        <f>(VLOOKUP('20.03'!T6,'20.03'!$AO$4:$AQ$55,3,FALSE))</f>
        <v>40</v>
      </c>
      <c r="M6" s="4">
        <f>(VLOOKUP('20.03'!U6,'20.03'!$AO$4:$AQ$55,3,FALSE))</f>
        <v>40</v>
      </c>
      <c r="N6" s="4">
        <f>(VLOOKUP('20.03'!V6,'20.03'!$AO$4:$AQ$55,3,FALSE))</f>
        <v>30</v>
      </c>
      <c r="O6" s="5">
        <f>(VLOOKUP('20.03'!W6,'20.03'!$AO$4:$AQ$55,3,FALSE))</f>
        <v>0</v>
      </c>
      <c r="P6" s="5">
        <f>(VLOOKUP('20.03'!X6,'20.03'!$AO$4:$AQ$55,3,FALSE))</f>
        <v>0</v>
      </c>
      <c r="Q6" s="4">
        <f>(VLOOKUP('20.03'!Y6,'20.03'!$AO$4:$AQ$55,3,FALSE))</f>
        <v>40</v>
      </c>
      <c r="R6" s="4">
        <f>(VLOOKUP('20.03'!Z6,'20.03'!$AO$4:$AQ$55,3,FALSE))</f>
        <v>45</v>
      </c>
      <c r="S6" s="4">
        <f>(VLOOKUP('20.03'!AA6,'20.03'!$AO$4:$AQ$55,3,FALSE))</f>
        <v>50</v>
      </c>
      <c r="T6" s="4">
        <f>(VLOOKUP('20.03'!AB6,'20.03'!$AO$4:$AQ$55,3,FALSE))</f>
        <v>45</v>
      </c>
      <c r="U6" s="4">
        <f>(VLOOKUP('20.03'!AC6,'20.03'!$AO$4:$AQ$55,3,FALSE))</f>
        <v>45</v>
      </c>
      <c r="V6" s="4">
        <f>(VLOOKUP('20.03'!AD6,'20.03'!$AO$4:$AQ$55,3,FALSE))</f>
        <v>45</v>
      </c>
      <c r="W6" s="5">
        <f>(VLOOKUP('20.03'!AE6,'20.03'!$AO$4:$AQ$55,3,FALSE))</f>
        <v>45</v>
      </c>
      <c r="X6" s="5">
        <f>(VLOOKUP('20.03'!AF6,'20.03'!$AO$4:$AQ$55,3,FALSE))</f>
        <v>45</v>
      </c>
    </row>
    <row r="7" spans="1:24">
      <c r="A7" s="4">
        <f>(VLOOKUP('20.03'!I7,'20.03'!$AO$4:$AQ$55,3,FALSE))</f>
        <v>0</v>
      </c>
      <c r="B7" s="4">
        <f>(VLOOKUP('20.03'!J7,'20.03'!$AO$4:$AQ$55,3,FALSE))</f>
        <v>0</v>
      </c>
      <c r="C7" s="4">
        <f>(VLOOKUP('20.03'!K7,'20.03'!$AO$4:$AQ$55,3,FALSE))</f>
        <v>0</v>
      </c>
      <c r="D7" s="4">
        <f>(VLOOKUP('20.03'!L7,'20.03'!$AO$4:$AQ$55,3,FALSE))</f>
        <v>0</v>
      </c>
      <c r="E7" s="4">
        <f>(VLOOKUP('20.03'!M7,'20.03'!$AO$4:$AQ$55,3,FALSE))</f>
        <v>0</v>
      </c>
      <c r="F7" s="4">
        <f>(VLOOKUP('20.03'!N7,'20.03'!$AO$4:$AQ$55,3,FALSE))</f>
        <v>0</v>
      </c>
      <c r="G7" s="5">
        <f>(VLOOKUP('20.03'!O7,'20.03'!$AO$4:$AQ$55,3,FALSE))</f>
        <v>0</v>
      </c>
      <c r="H7" s="5">
        <f>(VLOOKUP('20.03'!P7,'20.03'!$AO$4:$AQ$55,3,FALSE))</f>
        <v>0</v>
      </c>
      <c r="I7" s="4">
        <f>(VLOOKUP('20.03'!Q7,'20.03'!$AO$4:$AQ$55,3,FALSE))</f>
        <v>40</v>
      </c>
      <c r="J7" s="4">
        <f>(VLOOKUP('20.03'!R7,'20.03'!$AO$4:$AQ$55,3,FALSE))</f>
        <v>40</v>
      </c>
      <c r="K7" s="4">
        <f>(VLOOKUP('20.03'!S7,'20.03'!$AO$4:$AQ$55,3,FALSE))</f>
        <v>45</v>
      </c>
      <c r="L7" s="4">
        <f>(VLOOKUP('20.03'!T7,'20.03'!$AO$4:$AQ$55,3,FALSE))</f>
        <v>45</v>
      </c>
      <c r="M7" s="4">
        <f>(VLOOKUP('20.03'!U7,'20.03'!$AO$4:$AQ$55,3,FALSE))</f>
        <v>45</v>
      </c>
      <c r="N7" s="4">
        <f>(VLOOKUP('20.03'!V7,'20.03'!$AO$4:$AQ$55,3,FALSE))</f>
        <v>40</v>
      </c>
      <c r="O7" s="5">
        <f>(VLOOKUP('20.03'!W7,'20.03'!$AO$4:$AQ$55,3,FALSE))</f>
        <v>0</v>
      </c>
      <c r="P7" s="5">
        <f>(VLOOKUP('20.03'!X7,'20.03'!$AO$4:$AQ$55,3,FALSE))</f>
        <v>0</v>
      </c>
      <c r="Q7" s="4">
        <f>(VLOOKUP('20.03'!Y7,'20.03'!$AO$4:$AQ$55,3,FALSE))</f>
        <v>45</v>
      </c>
      <c r="R7" s="4">
        <f>(VLOOKUP('20.03'!Z7,'20.03'!$AO$4:$AQ$55,3,FALSE))</f>
        <v>45</v>
      </c>
      <c r="S7" s="4">
        <f>(VLOOKUP('20.03'!AA7,'20.03'!$AO$4:$AQ$55,3,FALSE))</f>
        <v>45</v>
      </c>
      <c r="T7" s="4">
        <f>(VLOOKUP('20.03'!AB7,'20.03'!$AO$4:$AQ$55,3,FALSE))</f>
        <v>45</v>
      </c>
      <c r="U7" s="4">
        <f>(VLOOKUP('20.03'!AC7,'20.03'!$AO$4:$AQ$55,3,FALSE))</f>
        <v>45</v>
      </c>
      <c r="V7" s="4">
        <f>(VLOOKUP('20.03'!AD7,'20.03'!$AO$4:$AQ$55,3,FALSE))</f>
        <v>40</v>
      </c>
      <c r="W7" s="5">
        <f>(VLOOKUP('20.03'!AE7,'20.03'!$AO$4:$AQ$55,3,FALSE))</f>
        <v>50</v>
      </c>
      <c r="X7" s="5">
        <f>(VLOOKUP('20.03'!AF7,'20.03'!$AO$4:$AQ$55,3,FALSE))</f>
        <v>50</v>
      </c>
    </row>
    <row r="8" spans="1:24">
      <c r="A8" s="4">
        <f>(VLOOKUP('20.03'!I8,'20.03'!$AO$4:$AQ$55,3,FALSE))</f>
        <v>0</v>
      </c>
      <c r="B8" s="4">
        <f>(VLOOKUP('20.03'!J8,'20.03'!$AO$4:$AQ$55,3,FALSE))</f>
        <v>0</v>
      </c>
      <c r="C8" s="4">
        <f>(VLOOKUP('20.03'!K8,'20.03'!$AO$4:$AQ$55,3,FALSE))</f>
        <v>0</v>
      </c>
      <c r="D8" s="4">
        <f>(VLOOKUP('20.03'!L8,'20.03'!$AO$4:$AQ$55,3,FALSE))</f>
        <v>0</v>
      </c>
      <c r="E8" s="4">
        <f>(VLOOKUP('20.03'!M8,'20.03'!$AO$4:$AQ$55,3,FALSE))</f>
        <v>0</v>
      </c>
      <c r="F8" s="4">
        <f>(VLOOKUP('20.03'!N8,'20.03'!$AO$4:$AQ$55,3,FALSE))</f>
        <v>0</v>
      </c>
      <c r="G8" s="5">
        <f>(VLOOKUP('20.03'!O8,'20.03'!$AO$4:$AQ$55,3,FALSE))</f>
        <v>0</v>
      </c>
      <c r="H8" s="5">
        <f>(VLOOKUP('20.03'!P8,'20.03'!$AO$4:$AQ$55,3,FALSE))</f>
        <v>0</v>
      </c>
      <c r="I8" s="4">
        <f>(VLOOKUP('20.03'!Q8,'20.03'!$AO$4:$AQ$55,3,FALSE))</f>
        <v>45</v>
      </c>
      <c r="J8" s="4">
        <f>(VLOOKUP('20.03'!R8,'20.03'!$AO$4:$AQ$55,3,FALSE))</f>
        <v>30</v>
      </c>
      <c r="K8" s="4">
        <f>(VLOOKUP('20.03'!S8,'20.03'!$AO$4:$AQ$55,3,FALSE))</f>
        <v>45</v>
      </c>
      <c r="L8" s="4">
        <f>(VLOOKUP('20.03'!T8,'20.03'!$AO$4:$AQ$55,3,FALSE))</f>
        <v>45</v>
      </c>
      <c r="M8" s="4">
        <f>(VLOOKUP('20.03'!U8,'20.03'!$AO$4:$AQ$55,3,FALSE))</f>
        <v>45</v>
      </c>
      <c r="N8" s="4">
        <f>(VLOOKUP('20.03'!V8,'20.03'!$AO$4:$AQ$55,3,FALSE))</f>
        <v>30</v>
      </c>
      <c r="O8" s="5">
        <f>(VLOOKUP('20.03'!W8,'20.03'!$AO$4:$AQ$55,3,FALSE))</f>
        <v>0</v>
      </c>
      <c r="P8" s="5">
        <f>(VLOOKUP('20.03'!X8,'20.03'!$AO$4:$AQ$55,3,FALSE))</f>
        <v>0</v>
      </c>
      <c r="Q8" s="4">
        <f>(VLOOKUP('20.03'!Y8,'20.03'!$AO$4:$AQ$55,3,FALSE))</f>
        <v>300</v>
      </c>
      <c r="R8" s="4">
        <f>(VLOOKUP('20.03'!Z8,'20.03'!$AO$4:$AQ$55,3,FALSE))</f>
        <v>40</v>
      </c>
      <c r="S8" s="4">
        <f>(VLOOKUP('20.03'!AA8,'20.03'!$AO$4:$AQ$55,3,FALSE))</f>
        <v>50</v>
      </c>
      <c r="T8" s="4">
        <f>(VLOOKUP('20.03'!AB8,'20.03'!$AO$4:$AQ$55,3,FALSE))</f>
        <v>50</v>
      </c>
      <c r="U8" s="4">
        <f>(VLOOKUP('20.03'!AC8,'20.03'!$AO$4:$AQ$55,3,FALSE))</f>
        <v>50</v>
      </c>
      <c r="V8" s="4">
        <f>(VLOOKUP('20.03'!AD8,'20.03'!$AO$4:$AQ$55,3,FALSE))</f>
        <v>50</v>
      </c>
      <c r="W8" s="5">
        <f>(VLOOKUP('20.03'!AE8,'20.03'!$AO$4:$AQ$55,3,FALSE))</f>
        <v>50</v>
      </c>
      <c r="X8" s="5">
        <f>(VLOOKUP('20.03'!AF8,'20.03'!$AO$4:$AQ$55,3,FALSE))</f>
        <v>50</v>
      </c>
    </row>
    <row r="9" spans="1:24">
      <c r="A9" s="4">
        <f>(VLOOKUP('20.03'!I9,'20.03'!$AO$4:$AQ$55,3,FALSE))</f>
        <v>0</v>
      </c>
      <c r="B9" s="4">
        <f>(VLOOKUP('20.03'!J9,'20.03'!$AO$4:$AQ$55,3,FALSE))</f>
        <v>0</v>
      </c>
      <c r="C9" s="4">
        <f>(VLOOKUP('20.03'!K9,'20.03'!$AO$4:$AQ$55,3,FALSE))</f>
        <v>0</v>
      </c>
      <c r="D9" s="4">
        <f>(VLOOKUP('20.03'!L9,'20.03'!$AO$4:$AQ$55,3,FALSE))</f>
        <v>0</v>
      </c>
      <c r="E9" s="4">
        <f>(VLOOKUP('20.03'!M9,'20.03'!$AO$4:$AQ$55,3,FALSE))</f>
        <v>0</v>
      </c>
      <c r="F9" s="4">
        <f>(VLOOKUP('20.03'!N9,'20.03'!$AO$4:$AQ$55,3,FALSE))</f>
        <v>0</v>
      </c>
      <c r="G9" s="5">
        <f>(VLOOKUP('20.03'!O9,'20.03'!$AO$4:$AQ$55,3,FALSE))</f>
        <v>0</v>
      </c>
      <c r="H9" s="5">
        <f>(VLOOKUP('20.03'!P9,'20.03'!$AO$4:$AQ$55,3,FALSE))</f>
        <v>0</v>
      </c>
      <c r="I9" s="4">
        <f>(VLOOKUP('20.03'!Q9,'20.03'!$AO$4:$AQ$55,3,FALSE))</f>
        <v>45</v>
      </c>
      <c r="J9" s="4">
        <f>(VLOOKUP('20.03'!R9,'20.03'!$AO$4:$AQ$55,3,FALSE))</f>
        <v>45</v>
      </c>
      <c r="K9" s="4">
        <f>(VLOOKUP('20.03'!S9,'20.03'!$AO$4:$AQ$55,3,FALSE))</f>
        <v>45</v>
      </c>
      <c r="L9" s="4">
        <f>(VLOOKUP('20.03'!T9,'20.03'!$AO$4:$AQ$55,3,FALSE))</f>
        <v>0</v>
      </c>
      <c r="M9" s="4">
        <f>(VLOOKUP('20.03'!U9,'20.03'!$AO$4:$AQ$55,3,FALSE))</f>
        <v>0</v>
      </c>
      <c r="N9" s="4">
        <f>(VLOOKUP('20.03'!V9,'20.03'!$AO$4:$AQ$55,3,FALSE))</f>
        <v>0</v>
      </c>
      <c r="O9" s="5">
        <f>(VLOOKUP('20.03'!W9,'20.03'!$AO$4:$AQ$55,3,FALSE))</f>
        <v>0</v>
      </c>
      <c r="P9" s="5">
        <f>(VLOOKUP('20.03'!X9,'20.03'!$AO$4:$AQ$55,3,FALSE))</f>
        <v>0</v>
      </c>
      <c r="Q9" s="4">
        <f>(VLOOKUP('20.03'!Y9,'20.03'!$AO$4:$AQ$55,3,FALSE))</f>
        <v>50</v>
      </c>
      <c r="R9" s="4">
        <f>(VLOOKUP('20.03'!Z9,'20.03'!$AO$4:$AQ$55,3,FALSE))</f>
        <v>50</v>
      </c>
      <c r="S9" s="4">
        <f>(VLOOKUP('20.03'!AA9,'20.03'!$AO$4:$AQ$55,3,FALSE))</f>
        <v>50</v>
      </c>
      <c r="T9" s="4">
        <f>(VLOOKUP('20.03'!AB9,'20.03'!$AO$4:$AQ$55,3,FALSE))</f>
        <v>300</v>
      </c>
      <c r="U9" s="4">
        <f>(VLOOKUP('20.03'!AC9,'20.03'!$AO$4:$AQ$55,3,FALSE))</f>
        <v>45</v>
      </c>
      <c r="V9" s="4">
        <f>(VLOOKUP('20.03'!AD9,'20.03'!$AO$4:$AQ$55,3,FALSE))</f>
        <v>30</v>
      </c>
      <c r="W9" s="5">
        <f>(VLOOKUP('20.03'!AE9,'20.03'!$AO$4:$AQ$55,3,FALSE))</f>
        <v>0</v>
      </c>
      <c r="X9" s="5">
        <f>(VLOOKUP('20.03'!AF9,'20.03'!$AO$4:$AQ$55,3,FALSE))</f>
        <v>0</v>
      </c>
    </row>
    <row r="10" spans="1:24">
      <c r="A10" s="4">
        <f>(VLOOKUP('20.03'!I10,'20.03'!$AO$4:$AQ$55,3,FALSE))</f>
        <v>0</v>
      </c>
      <c r="B10" s="4">
        <f>(VLOOKUP('20.03'!J10,'20.03'!$AO$4:$AQ$55,3,FALSE))</f>
        <v>0</v>
      </c>
      <c r="C10" s="4">
        <f>(VLOOKUP('20.03'!K10,'20.03'!$AO$4:$AQ$55,3,FALSE))</f>
        <v>0</v>
      </c>
      <c r="D10" s="4">
        <f>(VLOOKUP('20.03'!L10,'20.03'!$AO$4:$AQ$55,3,FALSE))</f>
        <v>0</v>
      </c>
      <c r="E10" s="4">
        <f>(VLOOKUP('20.03'!M10,'20.03'!$AO$4:$AQ$55,3,FALSE))</f>
        <v>0</v>
      </c>
      <c r="F10" s="4">
        <f>(VLOOKUP('20.03'!N10,'20.03'!$AO$4:$AQ$55,3,FALSE))</f>
        <v>0</v>
      </c>
      <c r="G10" s="5">
        <f>(VLOOKUP('20.03'!O10,'20.03'!$AO$4:$AQ$55,3,FALSE))</f>
        <v>0</v>
      </c>
      <c r="H10" s="5">
        <f>(VLOOKUP('20.03'!P10,'20.03'!$AO$4:$AQ$55,3,FALSE))</f>
        <v>0</v>
      </c>
      <c r="I10" s="4">
        <f>(VLOOKUP('20.03'!Q10,'20.03'!$AO$4:$AQ$55,3,FALSE))</f>
        <v>0</v>
      </c>
      <c r="J10" s="4">
        <f>(VLOOKUP('20.03'!R10,'20.03'!$AO$4:$AQ$55,3,FALSE))</f>
        <v>0</v>
      </c>
      <c r="K10" s="4">
        <f>(VLOOKUP('20.03'!S10,'20.03'!$AO$4:$AQ$55,3,FALSE))</f>
        <v>0</v>
      </c>
      <c r="L10" s="4">
        <f>(VLOOKUP('20.03'!T10,'20.03'!$AO$4:$AQ$55,3,FALSE))</f>
        <v>0</v>
      </c>
      <c r="M10" s="4">
        <f>(VLOOKUP('20.03'!U10,'20.03'!$AO$4:$AQ$55,3,FALSE))</f>
        <v>0</v>
      </c>
      <c r="N10" s="4">
        <f>(VLOOKUP('20.03'!V10,'20.03'!$AO$4:$AQ$55,3,FALSE))</f>
        <v>0</v>
      </c>
      <c r="O10" s="5">
        <f>(VLOOKUP('20.03'!W10,'20.03'!$AO$4:$AQ$55,3,FALSE))</f>
        <v>0</v>
      </c>
      <c r="P10" s="5">
        <f>(VLOOKUP('20.03'!X10,'20.03'!$AO$4:$AQ$55,3,FALSE))</f>
        <v>0</v>
      </c>
      <c r="Q10" s="4">
        <f>(VLOOKUP('20.03'!Y10,'20.03'!$AO$4:$AQ$55,3,FALSE))</f>
        <v>45</v>
      </c>
      <c r="R10" s="4">
        <f>(VLOOKUP('20.03'!Z10,'20.03'!$AO$4:$AQ$55,3,FALSE))</f>
        <v>45</v>
      </c>
      <c r="S10" s="4">
        <f>(VLOOKUP('20.03'!AA10,'20.03'!$AO$4:$AQ$55,3,FALSE))</f>
        <v>45</v>
      </c>
      <c r="T10" s="4">
        <f>(VLOOKUP('20.03'!AB10,'20.03'!$AO$4:$AQ$55,3,FALSE))</f>
        <v>40</v>
      </c>
      <c r="U10" s="4">
        <f>(VLOOKUP('20.03'!AC10,'20.03'!$AO$4:$AQ$55,3,FALSE))</f>
        <v>45</v>
      </c>
      <c r="V10" s="4">
        <f>(VLOOKUP('20.03'!AD10,'20.03'!$AO$4:$AQ$55,3,FALSE))</f>
        <v>45</v>
      </c>
      <c r="W10" s="5">
        <f>(VLOOKUP('20.03'!AE10,'20.03'!$AO$4:$AQ$55,3,FALSE))</f>
        <v>0</v>
      </c>
      <c r="X10" s="5">
        <f>(VLOOKUP('20.03'!AF10,'20.03'!$AO$4:$AQ$55,3,FALSE))</f>
        <v>0</v>
      </c>
    </row>
    <row r="11" spans="1:24">
      <c r="A11" s="4">
        <f>(VLOOKUP('20.03'!I11,'20.03'!$AO$4:$AQ$55,3,FALSE))</f>
        <v>0</v>
      </c>
      <c r="B11" s="4">
        <f>(VLOOKUP('20.03'!J11,'20.03'!$AO$4:$AQ$55,3,FALSE))</f>
        <v>0</v>
      </c>
      <c r="C11" s="4">
        <f>(VLOOKUP('20.03'!K11,'20.03'!$AO$4:$AQ$55,3,FALSE))</f>
        <v>0</v>
      </c>
      <c r="D11" s="4">
        <f>(VLOOKUP('20.03'!L11,'20.03'!$AO$4:$AQ$55,3,FALSE))</f>
        <v>0</v>
      </c>
      <c r="E11" s="4">
        <f>(VLOOKUP('20.03'!M11,'20.03'!$AO$4:$AQ$55,3,FALSE))</f>
        <v>0</v>
      </c>
      <c r="F11" s="4">
        <f>(VLOOKUP('20.03'!N11,'20.03'!$AO$4:$AQ$55,3,FALSE))</f>
        <v>0</v>
      </c>
      <c r="G11" s="5">
        <f>(VLOOKUP('20.03'!O11,'20.03'!$AO$4:$AQ$55,3,FALSE))</f>
        <v>0</v>
      </c>
      <c r="H11" s="5">
        <f>(VLOOKUP('20.03'!P11,'20.03'!$AO$4:$AQ$55,3,FALSE))</f>
        <v>0</v>
      </c>
      <c r="I11" s="4">
        <f>(VLOOKUP('20.03'!Q11,'20.03'!$AO$4:$AQ$55,3,FALSE))</f>
        <v>60</v>
      </c>
      <c r="J11" s="4">
        <f>(VLOOKUP('20.03'!R11,'20.03'!$AO$4:$AQ$55,3,FALSE))</f>
        <v>0</v>
      </c>
      <c r="K11" s="4">
        <f>(VLOOKUP('20.03'!S11,'20.03'!$AO$4:$AQ$55,3,FALSE))</f>
        <v>0</v>
      </c>
      <c r="L11" s="4">
        <f>(VLOOKUP('20.03'!T11,'20.03'!$AO$4:$AQ$55,3,FALSE))</f>
        <v>0</v>
      </c>
      <c r="M11" s="4">
        <f>(VLOOKUP('20.03'!U11,'20.03'!$AO$4:$AQ$55,3,FALSE))</f>
        <v>0</v>
      </c>
      <c r="N11" s="4">
        <f>(VLOOKUP('20.03'!V11,'20.03'!$AO$4:$AQ$55,3,FALSE))</f>
        <v>0</v>
      </c>
      <c r="O11" s="5">
        <f>(VLOOKUP('20.03'!W11,'20.03'!$AO$4:$AQ$55,3,FALSE))</f>
        <v>0</v>
      </c>
      <c r="P11" s="5">
        <f>(VLOOKUP('20.03'!X11,'20.03'!$AO$4:$AQ$55,3,FALSE))</f>
        <v>0</v>
      </c>
      <c r="Q11" s="4">
        <f>(VLOOKUP('20.03'!Y11,'20.03'!$AO$4:$AQ$55,3,FALSE))</f>
        <v>45</v>
      </c>
      <c r="R11" s="4">
        <f>(VLOOKUP('20.03'!Z11,'20.03'!$AO$4:$AQ$55,3,FALSE))</f>
        <v>45</v>
      </c>
      <c r="S11" s="4">
        <f>(VLOOKUP('20.03'!AA11,'20.03'!$AO$4:$AQ$55,3,FALSE))</f>
        <v>40</v>
      </c>
      <c r="T11" s="4">
        <f>(VLOOKUP('20.03'!AB11,'20.03'!$AO$4:$AQ$55,3,FALSE))</f>
        <v>300</v>
      </c>
      <c r="U11" s="4">
        <f>(VLOOKUP('20.03'!AC11,'20.03'!$AO$4:$AQ$55,3,FALSE))</f>
        <v>30</v>
      </c>
      <c r="V11" s="4">
        <f>(VLOOKUP('20.03'!AD11,'20.03'!$AO$4:$AQ$55,3,FALSE))</f>
        <v>45</v>
      </c>
      <c r="W11" s="5">
        <f>(VLOOKUP('20.03'!AE11,'20.03'!$AO$4:$AQ$55,3,FALSE))</f>
        <v>0</v>
      </c>
      <c r="X11" s="5">
        <f>(VLOOKUP('20.03'!AF11,'20.03'!$AO$4:$AQ$55,3,FALSE))</f>
        <v>0</v>
      </c>
    </row>
    <row r="12" spans="1:24">
      <c r="A12" s="4">
        <f>(VLOOKUP('20.03'!I12,'20.03'!$AO$4:$AQ$55,3,FALSE))</f>
        <v>0</v>
      </c>
      <c r="B12" s="4">
        <f>(VLOOKUP('20.03'!J12,'20.03'!$AO$4:$AQ$55,3,FALSE))</f>
        <v>0</v>
      </c>
      <c r="C12" s="4">
        <f>(VLOOKUP('20.03'!K12,'20.03'!$AO$4:$AQ$55,3,FALSE))</f>
        <v>0</v>
      </c>
      <c r="D12" s="4">
        <f>(VLOOKUP('20.03'!L12,'20.03'!$AO$4:$AQ$55,3,FALSE))</f>
        <v>0</v>
      </c>
      <c r="E12" s="4">
        <f>(VLOOKUP('20.03'!M12,'20.03'!$AO$4:$AQ$55,3,FALSE))</f>
        <v>0</v>
      </c>
      <c r="F12" s="4">
        <f>(VLOOKUP('20.03'!N12,'20.03'!$AO$4:$AQ$55,3,FALSE))</f>
        <v>0</v>
      </c>
      <c r="G12" s="5">
        <f>(VLOOKUP('20.03'!O12,'20.03'!$AO$4:$AQ$55,3,FALSE))</f>
        <v>0</v>
      </c>
      <c r="H12" s="5">
        <f>(VLOOKUP('20.03'!P12,'20.03'!$AO$4:$AQ$55,3,FALSE))</f>
        <v>0</v>
      </c>
      <c r="I12" s="4">
        <f>(VLOOKUP('20.03'!Q12,'20.03'!$AO$4:$AQ$55,3,FALSE))</f>
        <v>60</v>
      </c>
      <c r="J12" s="4">
        <f>(VLOOKUP('20.03'!R12,'20.03'!$AO$4:$AQ$55,3,FALSE))</f>
        <v>60</v>
      </c>
      <c r="K12" s="4">
        <f>(VLOOKUP('20.03'!S12,'20.03'!$AO$4:$AQ$55,3,FALSE))</f>
        <v>60</v>
      </c>
      <c r="L12" s="4">
        <f>(VLOOKUP('20.03'!T12,'20.03'!$AO$4:$AQ$55,3,FALSE))</f>
        <v>60</v>
      </c>
      <c r="M12" s="4">
        <f>(VLOOKUP('20.03'!U12,'20.03'!$AO$4:$AQ$55,3,FALSE))</f>
        <v>60</v>
      </c>
      <c r="N12" s="4">
        <f>(VLOOKUP('20.03'!V12,'20.03'!$AO$4:$AQ$55,3,FALSE))</f>
        <v>60</v>
      </c>
      <c r="O12" s="5">
        <f>(VLOOKUP('20.03'!W12,'20.03'!$AO$4:$AQ$55,3,FALSE))</f>
        <v>60</v>
      </c>
      <c r="P12" s="5">
        <f>(VLOOKUP('20.03'!X12,'20.03'!$AO$4:$AQ$55,3,FALSE))</f>
        <v>60</v>
      </c>
      <c r="Q12" s="4">
        <f>(VLOOKUP('20.03'!Y12,'20.03'!$AO$4:$AQ$55,3,FALSE))</f>
        <v>45</v>
      </c>
      <c r="R12" s="4">
        <f>(VLOOKUP('20.03'!Z12,'20.03'!$AO$4:$AQ$55,3,FALSE))</f>
        <v>40</v>
      </c>
      <c r="S12" s="4">
        <f>(VLOOKUP('20.03'!AA12,'20.03'!$AO$4:$AQ$55,3,FALSE))</f>
        <v>45</v>
      </c>
      <c r="T12" s="4">
        <f>(VLOOKUP('20.03'!AB12,'20.03'!$AO$4:$AQ$55,3,FALSE))</f>
        <v>30</v>
      </c>
      <c r="U12" s="4">
        <f>(VLOOKUP('20.03'!AC12,'20.03'!$AO$4:$AQ$55,3,FALSE))</f>
        <v>50</v>
      </c>
      <c r="V12" s="4">
        <f>(VLOOKUP('20.03'!AD12,'20.03'!$AO$4:$AQ$55,3,FALSE))</f>
        <v>45</v>
      </c>
      <c r="W12" s="5">
        <f>(VLOOKUP('20.03'!AE12,'20.03'!$AO$4:$AQ$55,3,FALSE))</f>
        <v>0</v>
      </c>
      <c r="X12" s="5">
        <f>(VLOOKUP('20.03'!AF12,'20.03'!$AO$4:$AQ$55,3,FALSE))</f>
        <v>0</v>
      </c>
    </row>
    <row r="13" spans="1:24">
      <c r="A13" s="4">
        <f>(VLOOKUP('20.03'!I13,'20.03'!$AO$4:$AQ$55,3,FALSE))</f>
        <v>35</v>
      </c>
      <c r="B13" s="4">
        <f>(VLOOKUP('20.03'!J13,'20.03'!$AO$4:$AQ$55,3,FALSE))</f>
        <v>40</v>
      </c>
      <c r="C13" s="4">
        <f>(VLOOKUP('20.03'!K13,'20.03'!$AO$4:$AQ$55,3,FALSE))</f>
        <v>35</v>
      </c>
      <c r="D13" s="4">
        <f>(VLOOKUP('20.03'!L13,'20.03'!$AO$4:$AQ$55,3,FALSE))</f>
        <v>30</v>
      </c>
      <c r="E13" s="4">
        <f>(VLOOKUP('20.03'!M13,'20.03'!$AO$4:$AQ$55,3,FALSE))</f>
        <v>35</v>
      </c>
      <c r="F13" s="4">
        <f>(VLOOKUP('20.03'!N13,'20.03'!$AO$4:$AQ$55,3,FALSE))</f>
        <v>35</v>
      </c>
      <c r="G13" s="5">
        <f>(VLOOKUP('20.03'!O13,'20.03'!$AO$4:$AQ$55,3,FALSE))</f>
        <v>40</v>
      </c>
      <c r="H13" s="5">
        <f>(VLOOKUP('20.03'!P13,'20.03'!$AO$4:$AQ$55,3,FALSE))</f>
        <v>35</v>
      </c>
      <c r="I13" s="4">
        <f>(VLOOKUP('20.03'!Q13,'20.03'!$AO$4:$AQ$55,3,FALSE))</f>
        <v>0</v>
      </c>
      <c r="J13" s="4">
        <f>(VLOOKUP('20.03'!R13,'20.03'!$AO$4:$AQ$55,3,FALSE))</f>
        <v>60</v>
      </c>
      <c r="K13" s="4">
        <f>(VLOOKUP('20.03'!S13,'20.03'!$AO$4:$AQ$55,3,FALSE))</f>
        <v>60</v>
      </c>
      <c r="L13" s="4">
        <f>(VLOOKUP('20.03'!T13,'20.03'!$AO$4:$AQ$55,3,FALSE))</f>
        <v>60</v>
      </c>
      <c r="M13" s="4">
        <f>(VLOOKUP('20.03'!U13,'20.03'!$AO$4:$AQ$55,3,FALSE))</f>
        <v>60</v>
      </c>
      <c r="N13" s="4">
        <f>(VLOOKUP('20.03'!V13,'20.03'!$AO$4:$AQ$55,3,FALSE))</f>
        <v>45</v>
      </c>
      <c r="O13" s="5">
        <f>(VLOOKUP('20.03'!W13,'20.03'!$AO$4:$AQ$55,3,FALSE))</f>
        <v>45</v>
      </c>
      <c r="P13" s="5">
        <f>(VLOOKUP('20.03'!X13,'20.03'!$AO$4:$AQ$55,3,FALSE))</f>
        <v>45</v>
      </c>
      <c r="Q13" s="4">
        <f>(VLOOKUP('20.03'!Y13,'20.03'!$AO$4:$AQ$55,3,FALSE))</f>
        <v>45</v>
      </c>
      <c r="R13" s="4">
        <f>(VLOOKUP('20.03'!Z13,'20.03'!$AO$4:$AQ$55,3,FALSE))</f>
        <v>45</v>
      </c>
      <c r="S13" s="4">
        <f>(VLOOKUP('20.03'!AA13,'20.03'!$AO$4:$AQ$55,3,FALSE))</f>
        <v>45</v>
      </c>
      <c r="T13" s="4">
        <f>(VLOOKUP('20.03'!AB13,'20.03'!$AO$4:$AQ$55,3,FALSE))</f>
        <v>50</v>
      </c>
      <c r="U13" s="4">
        <f>(VLOOKUP('20.03'!AC13,'20.03'!$AO$4:$AQ$55,3,FALSE))</f>
        <v>45</v>
      </c>
      <c r="V13" s="4">
        <f>(VLOOKUP('20.03'!AD13,'20.03'!$AO$4:$AQ$55,3,FALSE))</f>
        <v>45</v>
      </c>
      <c r="W13" s="5">
        <f>(VLOOKUP('20.03'!AE13,'20.03'!$AO$4:$AQ$55,3,FALSE))</f>
        <v>0</v>
      </c>
      <c r="X13" s="5">
        <f>(VLOOKUP('20.03'!AF13,'20.03'!$AO$4:$AQ$55,3,FALSE))</f>
        <v>0</v>
      </c>
    </row>
    <row r="14" spans="1:24">
      <c r="A14" s="4">
        <f>(VLOOKUP('20.03'!I14,'20.03'!$AO$4:$AQ$55,3,FALSE))</f>
        <v>35</v>
      </c>
      <c r="B14" s="4">
        <f>(VLOOKUP('20.03'!J14,'20.03'!$AO$4:$AQ$55,3,FALSE))</f>
        <v>40</v>
      </c>
      <c r="C14" s="4">
        <f>(VLOOKUP('20.03'!K14,'20.03'!$AO$4:$AQ$55,3,FALSE))</f>
        <v>40</v>
      </c>
      <c r="D14" s="4">
        <f>(VLOOKUP('20.03'!L14,'20.03'!$AO$4:$AQ$55,3,FALSE))</f>
        <v>30</v>
      </c>
      <c r="E14" s="4">
        <f>(VLOOKUP('20.03'!M14,'20.03'!$AO$4:$AQ$55,3,FALSE))</f>
        <v>40</v>
      </c>
      <c r="F14" s="4">
        <f>(VLOOKUP('20.03'!N14,'20.03'!$AO$4:$AQ$55,3,FALSE))</f>
        <v>40</v>
      </c>
      <c r="G14" s="5">
        <f>(VLOOKUP('20.03'!O14,'20.03'!$AO$4:$AQ$55,3,FALSE))</f>
        <v>0</v>
      </c>
      <c r="H14" s="5">
        <f>(VLOOKUP('20.03'!P14,'20.03'!$AO$4:$AQ$55,3,FALSE))</f>
        <v>50</v>
      </c>
      <c r="I14" s="4">
        <f>(VLOOKUP('20.03'!Q14,'20.03'!$AO$4:$AQ$55,3,FALSE))</f>
        <v>45</v>
      </c>
      <c r="J14" s="4">
        <f>(VLOOKUP('20.03'!R14,'20.03'!$AO$4:$AQ$55,3,FALSE))</f>
        <v>45</v>
      </c>
      <c r="K14" s="4">
        <f>(VLOOKUP('20.03'!S14,'20.03'!$AO$4:$AQ$55,3,FALSE))</f>
        <v>45</v>
      </c>
      <c r="L14" s="4">
        <f>(VLOOKUP('20.03'!T14,'20.03'!$AO$4:$AQ$55,3,FALSE))</f>
        <v>0</v>
      </c>
      <c r="M14" s="4">
        <f>(VLOOKUP('20.03'!U14,'20.03'!$AO$4:$AQ$55,3,FALSE))</f>
        <v>60</v>
      </c>
      <c r="N14" s="4">
        <f>(VLOOKUP('20.03'!V14,'20.03'!$AO$4:$AQ$55,3,FALSE))</f>
        <v>60</v>
      </c>
      <c r="O14" s="5">
        <f>(VLOOKUP('20.03'!W14,'20.03'!$AO$4:$AQ$55,3,FALSE))</f>
        <v>60</v>
      </c>
      <c r="P14" s="5">
        <f>(VLOOKUP('20.03'!X14,'20.03'!$AO$4:$AQ$55,3,FALSE))</f>
        <v>60</v>
      </c>
      <c r="Q14" s="4">
        <f>(VLOOKUP('20.03'!Y14,'20.03'!$AO$4:$AQ$55,3,FALSE))</f>
        <v>45</v>
      </c>
      <c r="R14" s="4">
        <f>(VLOOKUP('20.03'!Z14,'20.03'!$AO$4:$AQ$55,3,FALSE))</f>
        <v>55</v>
      </c>
      <c r="S14" s="4">
        <f>(VLOOKUP('20.03'!AA14,'20.03'!$AO$4:$AQ$55,3,FALSE))</f>
        <v>55</v>
      </c>
      <c r="T14" s="4">
        <f>(VLOOKUP('20.03'!AB14,'20.03'!$AO$4:$AQ$55,3,FALSE))</f>
        <v>55</v>
      </c>
      <c r="U14" s="4">
        <f>(VLOOKUP('20.03'!AC14,'20.03'!$AO$4:$AQ$55,3,FALSE))</f>
        <v>45</v>
      </c>
      <c r="V14" s="4">
        <f>(VLOOKUP('20.03'!AD14,'20.03'!$AO$4:$AQ$55,3,FALSE))</f>
        <v>0</v>
      </c>
      <c r="W14" s="5">
        <f>(VLOOKUP('20.03'!AE14,'20.03'!$AO$4:$AQ$55,3,FALSE))</f>
        <v>0</v>
      </c>
      <c r="X14" s="5">
        <f>(VLOOKUP('20.03'!AF14,'20.03'!$AO$4:$AQ$55,3,FALSE))</f>
        <v>0</v>
      </c>
    </row>
    <row r="15" spans="1:24">
      <c r="A15" s="4">
        <f>(VLOOKUP('20.03'!I15,'20.03'!$AO$4:$AQ$55,3,FALSE))</f>
        <v>50</v>
      </c>
      <c r="B15" s="4">
        <f>(VLOOKUP('20.03'!J15,'20.03'!$AO$4:$AQ$55,3,FALSE))</f>
        <v>50</v>
      </c>
      <c r="C15" s="4">
        <f>(VLOOKUP('20.03'!K15,'20.03'!$AO$4:$AQ$55,3,FALSE))</f>
        <v>30</v>
      </c>
      <c r="D15" s="4">
        <f>(VLOOKUP('20.03'!L15,'20.03'!$AO$4:$AQ$55,3,FALSE))</f>
        <v>50</v>
      </c>
      <c r="E15" s="4">
        <f>(VLOOKUP('20.03'!M15,'20.03'!$AO$4:$AQ$55,3,FALSE))</f>
        <v>50</v>
      </c>
      <c r="F15" s="4">
        <f>(VLOOKUP('20.03'!N15,'20.03'!$AO$4:$AQ$55,3,FALSE))</f>
        <v>50</v>
      </c>
      <c r="G15" s="5">
        <f>(VLOOKUP('20.03'!O15,'20.03'!$AO$4:$AQ$55,3,FALSE))</f>
        <v>50</v>
      </c>
      <c r="H15" s="5">
        <f>(VLOOKUP('20.03'!P15,'20.03'!$AO$4:$AQ$55,3,FALSE))</f>
        <v>50</v>
      </c>
      <c r="I15" s="4">
        <f>(VLOOKUP('20.03'!Q15,'20.03'!$AO$4:$AQ$55,3,FALSE))</f>
        <v>50</v>
      </c>
      <c r="J15" s="4">
        <f>(VLOOKUP('20.03'!R15,'20.03'!$AO$4:$AQ$55,3,FALSE))</f>
        <v>55</v>
      </c>
      <c r="K15" s="4">
        <f>(VLOOKUP('20.03'!S15,'20.03'!$AO$4:$AQ$55,3,FALSE))</f>
        <v>55</v>
      </c>
      <c r="L15" s="4">
        <f>(VLOOKUP('20.03'!T15,'20.03'!$AO$4:$AQ$55,3,FALSE))</f>
        <v>55</v>
      </c>
      <c r="M15" s="4">
        <f>(VLOOKUP('20.03'!U15,'20.03'!$AO$4:$AQ$55,3,FALSE))</f>
        <v>0</v>
      </c>
      <c r="N15" s="4">
        <f>(VLOOKUP('20.03'!V15,'20.03'!$AO$4:$AQ$55,3,FALSE))</f>
        <v>55</v>
      </c>
      <c r="O15" s="5">
        <f>(VLOOKUP('20.03'!W15,'20.03'!$AO$4:$AQ$55,3,FALSE))</f>
        <v>55</v>
      </c>
      <c r="P15" s="5">
        <f>(VLOOKUP('20.03'!X15,'20.03'!$AO$4:$AQ$55,3,FALSE))</f>
        <v>55</v>
      </c>
      <c r="Q15" s="4">
        <f>(VLOOKUP('20.03'!Y15,'20.03'!$AO$4:$AQ$55,3,FALSE))</f>
        <v>45</v>
      </c>
      <c r="R15" s="4">
        <f>(VLOOKUP('20.03'!Z15,'20.03'!$AO$4:$AQ$55,3,FALSE))</f>
        <v>0</v>
      </c>
      <c r="S15" s="4">
        <f>(VLOOKUP('20.03'!AA15,'20.03'!$AO$4:$AQ$55,3,FALSE))</f>
        <v>45</v>
      </c>
      <c r="T15" s="4">
        <f>(VLOOKUP('20.03'!AB15,'20.03'!$AO$4:$AQ$55,3,FALSE))</f>
        <v>45</v>
      </c>
      <c r="U15" s="4">
        <f>(VLOOKUP('20.03'!AC15,'20.03'!$AO$4:$AQ$55,3,FALSE))</f>
        <v>45</v>
      </c>
      <c r="V15" s="4">
        <f>(VLOOKUP('20.03'!AD15,'20.03'!$AO$4:$AQ$55,3,FALSE))</f>
        <v>45</v>
      </c>
      <c r="W15" s="5">
        <f>(VLOOKUP('20.03'!AE15,'20.03'!$AO$4:$AQ$55,3,FALSE))</f>
        <v>45</v>
      </c>
      <c r="X15" s="5">
        <f>(VLOOKUP('20.03'!AF15,'20.03'!$AO$4:$AQ$55,3,FALSE))</f>
        <v>45</v>
      </c>
    </row>
    <row r="16" spans="1:24">
      <c r="A16" s="4">
        <f>(VLOOKUP('20.03'!I16,'20.03'!$AO$4:$AQ$55,3,FALSE))</f>
        <v>0</v>
      </c>
      <c r="B16" s="4">
        <f>(VLOOKUP('20.03'!J16,'20.03'!$AO$4:$AQ$55,3,FALSE))</f>
        <v>50</v>
      </c>
      <c r="C16" s="4">
        <f>(VLOOKUP('20.03'!K16,'20.03'!$AO$4:$AQ$55,3,FALSE))</f>
        <v>50</v>
      </c>
      <c r="D16" s="4">
        <f>(VLOOKUP('20.03'!L16,'20.03'!$AO$4:$AQ$55,3,FALSE))</f>
        <v>60</v>
      </c>
      <c r="E16" s="4">
        <f>(VLOOKUP('20.03'!M16,'20.03'!$AO$4:$AQ$55,3,FALSE))</f>
        <v>60</v>
      </c>
      <c r="F16" s="4">
        <f>(VLOOKUP('20.03'!N16,'20.03'!$AO$4:$AQ$55,3,FALSE))</f>
        <v>60</v>
      </c>
      <c r="G16" s="5">
        <f>(VLOOKUP('20.03'!O16,'20.03'!$AO$4:$AQ$55,3,FALSE))</f>
        <v>1000</v>
      </c>
      <c r="H16" s="5">
        <f>(VLOOKUP('20.03'!P16,'20.03'!$AO$4:$AQ$55,3,FALSE))</f>
        <v>55</v>
      </c>
      <c r="I16" s="4">
        <f>(VLOOKUP('20.03'!Q16,'20.03'!$AO$4:$AQ$55,3,FALSE))</f>
        <v>55</v>
      </c>
      <c r="J16" s="4">
        <f>(VLOOKUP('20.03'!R16,'20.03'!$AO$4:$AQ$55,3,FALSE))</f>
        <v>50</v>
      </c>
      <c r="K16" s="4">
        <f>(VLOOKUP('20.03'!S16,'20.03'!$AO$4:$AQ$55,3,FALSE))</f>
        <v>60</v>
      </c>
      <c r="L16" s="4">
        <f>(VLOOKUP('20.03'!T16,'20.03'!$AO$4:$AQ$55,3,FALSE))</f>
        <v>60</v>
      </c>
      <c r="M16" s="4">
        <f>(VLOOKUP('20.03'!U16,'20.03'!$AO$4:$AQ$55,3,FALSE))</f>
        <v>50</v>
      </c>
      <c r="N16" s="4">
        <f>(VLOOKUP('20.03'!V16,'20.03'!$AO$4:$AQ$55,3,FALSE))</f>
        <v>50</v>
      </c>
      <c r="O16" s="5">
        <f>(VLOOKUP('20.03'!W16,'20.03'!$AO$4:$AQ$55,3,FALSE))</f>
        <v>50</v>
      </c>
      <c r="P16" s="5">
        <f>(VLOOKUP('20.03'!X16,'20.03'!$AO$4:$AQ$55,3,FALSE))</f>
        <v>30</v>
      </c>
      <c r="Q16" s="4">
        <f>(VLOOKUP('20.03'!Y16,'20.03'!$AO$4:$AQ$55,3,FALSE))</f>
        <v>40</v>
      </c>
      <c r="R16" s="4">
        <f>(VLOOKUP('20.03'!Z16,'20.03'!$AO$4:$AQ$55,3,FALSE))</f>
        <v>40</v>
      </c>
      <c r="S16" s="4">
        <f>(VLOOKUP('20.03'!AA16,'20.03'!$AO$4:$AQ$55,3,FALSE))</f>
        <v>40</v>
      </c>
      <c r="T16" s="4">
        <f>(VLOOKUP('20.03'!AB16,'20.03'!$AO$4:$AQ$55,3,FALSE))</f>
        <v>45</v>
      </c>
      <c r="U16" s="4">
        <f>(VLOOKUP('20.03'!AC16,'20.03'!$AO$4:$AQ$55,3,FALSE))</f>
        <v>45</v>
      </c>
      <c r="V16" s="4">
        <f>(VLOOKUP('20.03'!AD16,'20.03'!$AO$4:$AQ$55,3,FALSE))</f>
        <v>45</v>
      </c>
      <c r="W16" s="5">
        <f>(VLOOKUP('20.03'!AE16,'20.03'!$AO$4:$AQ$55,3,FALSE))</f>
        <v>45</v>
      </c>
      <c r="X16" s="5">
        <f>(VLOOKUP('20.03'!AF16,'20.03'!$AO$4:$AQ$55,3,FALSE))</f>
        <v>0</v>
      </c>
    </row>
    <row r="17" spans="1:24">
      <c r="A17" s="4">
        <f>(VLOOKUP('20.03'!I17,'20.03'!$AO$4:$AQ$55,3,FALSE))</f>
        <v>55</v>
      </c>
      <c r="B17" s="4">
        <f>(VLOOKUP('20.03'!J17,'20.03'!$AO$4:$AQ$55,3,FALSE))</f>
        <v>55</v>
      </c>
      <c r="C17" s="4">
        <f>(VLOOKUP('20.03'!K17,'20.03'!$AO$4:$AQ$55,3,FALSE))</f>
        <v>55</v>
      </c>
      <c r="D17" s="4">
        <f>(VLOOKUP('20.03'!L17,'20.03'!$AO$4:$AQ$55,3,FALSE))</f>
        <v>55</v>
      </c>
      <c r="E17" s="4">
        <f>(VLOOKUP('20.03'!M17,'20.03'!$AO$4:$AQ$55,3,FALSE))</f>
        <v>55</v>
      </c>
      <c r="F17" s="4">
        <f>(VLOOKUP('20.03'!N17,'20.03'!$AO$4:$AQ$55,3,FALSE))</f>
        <v>55</v>
      </c>
      <c r="G17" s="5">
        <f>(VLOOKUP('20.03'!O17,'20.03'!$AO$4:$AQ$55,3,FALSE))</f>
        <v>55</v>
      </c>
      <c r="H17" s="5">
        <f>(VLOOKUP('20.03'!P17,'20.03'!$AO$4:$AQ$55,3,FALSE))</f>
        <v>0</v>
      </c>
      <c r="I17" s="4">
        <f>(VLOOKUP('20.03'!Q17,'20.03'!$AO$4:$AQ$55,3,FALSE))</f>
        <v>50</v>
      </c>
      <c r="J17" s="4">
        <f>(VLOOKUP('20.03'!R17,'20.03'!$AO$4:$AQ$55,3,FALSE))</f>
        <v>50</v>
      </c>
      <c r="K17" s="4">
        <f>(VLOOKUP('20.03'!S17,'20.03'!$AO$4:$AQ$55,3,FALSE))</f>
        <v>50</v>
      </c>
      <c r="L17" s="4">
        <f>(VLOOKUP('20.03'!T17,'20.03'!$AO$4:$AQ$55,3,FALSE))</f>
        <v>50</v>
      </c>
      <c r="M17" s="4">
        <f>(VLOOKUP('20.03'!U17,'20.03'!$AO$4:$AQ$55,3,FALSE))</f>
        <v>40</v>
      </c>
      <c r="N17" s="4">
        <f>(VLOOKUP('20.03'!V17,'20.03'!$AO$4:$AQ$55,3,FALSE))</f>
        <v>50</v>
      </c>
      <c r="O17" s="5">
        <f>(VLOOKUP('20.03'!W17,'20.03'!$AO$4:$AQ$55,3,FALSE))</f>
        <v>50</v>
      </c>
      <c r="P17" s="5">
        <f>(VLOOKUP('20.03'!X17,'20.03'!$AO$4:$AQ$55,3,FALSE))</f>
        <v>0</v>
      </c>
      <c r="Q17" s="4">
        <f>(VLOOKUP('20.03'!Y17,'20.03'!$AO$4:$AQ$55,3,FALSE))</f>
        <v>0</v>
      </c>
      <c r="R17" s="4">
        <f>(VLOOKUP('20.03'!Z17,'20.03'!$AO$4:$AQ$55,3,FALSE))</f>
        <v>0</v>
      </c>
      <c r="S17" s="4">
        <f>(VLOOKUP('20.03'!AA17,'20.03'!$AO$4:$AQ$55,3,FALSE))</f>
        <v>0</v>
      </c>
      <c r="T17" s="4">
        <f>(VLOOKUP('20.03'!AB17,'20.03'!$AO$4:$AQ$55,3,FALSE))</f>
        <v>0</v>
      </c>
      <c r="U17" s="4">
        <f>(VLOOKUP('20.03'!AC17,'20.03'!$AO$4:$AQ$55,3,FALSE))</f>
        <v>0</v>
      </c>
      <c r="V17" s="4">
        <f>(VLOOKUP('20.03'!AD17,'20.03'!$AO$4:$AQ$55,3,FALSE))</f>
        <v>0</v>
      </c>
      <c r="W17" s="5">
        <f>(VLOOKUP('20.03'!AE17,'20.03'!$AO$4:$AQ$55,3,FALSE))</f>
        <v>0</v>
      </c>
      <c r="X17" s="5">
        <f>(VLOOKUP('20.03'!AF17,'20.03'!$AO$4:$AQ$55,3,FALSE))</f>
        <v>0</v>
      </c>
    </row>
    <row r="18" spans="1:24">
      <c r="A18" s="4">
        <f>(VLOOKUP('20.03'!I18,'20.03'!$AO$4:$AQ$55,3,FALSE))</f>
        <v>55</v>
      </c>
      <c r="B18" s="4">
        <f>(VLOOKUP('20.03'!J18,'20.03'!$AO$4:$AQ$55,3,FALSE))</f>
        <v>55</v>
      </c>
      <c r="C18" s="4">
        <f>(VLOOKUP('20.03'!K18,'20.03'!$AO$4:$AQ$55,3,FALSE))</f>
        <v>55</v>
      </c>
      <c r="D18" s="4">
        <f>(VLOOKUP('20.03'!L18,'20.03'!$AO$4:$AQ$55,3,FALSE))</f>
        <v>55</v>
      </c>
      <c r="E18" s="4">
        <f>(VLOOKUP('20.03'!M18,'20.03'!$AO$4:$AQ$55,3,FALSE))</f>
        <v>55</v>
      </c>
      <c r="F18" s="4">
        <f>(VLOOKUP('20.03'!N18,'20.03'!$AO$4:$AQ$55,3,FALSE))</f>
        <v>55</v>
      </c>
      <c r="G18" s="5">
        <f>(VLOOKUP('20.03'!O18,'20.03'!$AO$4:$AQ$55,3,FALSE))</f>
        <v>0</v>
      </c>
      <c r="H18" s="5">
        <f>(VLOOKUP('20.03'!P18,'20.03'!$AO$4:$AQ$55,3,FALSE))</f>
        <v>0</v>
      </c>
      <c r="I18" s="4">
        <f>(VLOOKUP('20.03'!Q18,'20.03'!$AO$4:$AQ$55,3,FALSE))</f>
        <v>0</v>
      </c>
      <c r="J18" s="4">
        <f>(VLOOKUP('20.03'!R18,'20.03'!$AO$4:$AQ$55,3,FALSE))</f>
        <v>0</v>
      </c>
      <c r="K18" s="4">
        <f>(VLOOKUP('20.03'!S18,'20.03'!$AO$4:$AQ$55,3,FALSE))</f>
        <v>0</v>
      </c>
      <c r="L18" s="4">
        <f>(VLOOKUP('20.03'!T18,'20.03'!$AO$4:$AQ$55,3,FALSE))</f>
        <v>0</v>
      </c>
      <c r="M18" s="4">
        <f>(VLOOKUP('20.03'!U18,'20.03'!$AO$4:$AQ$55,3,FALSE))</f>
        <v>0</v>
      </c>
      <c r="N18" s="4">
        <f>(VLOOKUP('20.03'!V18,'20.03'!$AO$4:$AQ$55,3,FALSE))</f>
        <v>0</v>
      </c>
      <c r="O18" s="5">
        <f>(VLOOKUP('20.03'!W18,'20.03'!$AO$4:$AQ$55,3,FALSE))</f>
        <v>0</v>
      </c>
      <c r="P18" s="5">
        <f>(VLOOKUP('20.03'!X18,'20.03'!$AO$4:$AQ$55,3,FALSE))</f>
        <v>0</v>
      </c>
      <c r="Q18" s="4">
        <f>(VLOOKUP('20.03'!Y18,'20.03'!$AO$4:$AQ$55,3,FALSE))</f>
        <v>0</v>
      </c>
      <c r="R18" s="4">
        <f>(VLOOKUP('20.03'!Z18,'20.03'!$AO$4:$AQ$55,3,FALSE))</f>
        <v>0</v>
      </c>
      <c r="S18" s="4">
        <f>(VLOOKUP('20.03'!AA18,'20.03'!$AO$4:$AQ$55,3,FALSE))</f>
        <v>0</v>
      </c>
      <c r="T18" s="4">
        <f>(VLOOKUP('20.03'!AB18,'20.03'!$AO$4:$AQ$55,3,FALSE))</f>
        <v>0</v>
      </c>
      <c r="U18" s="4">
        <f>(VLOOKUP('20.03'!AC18,'20.03'!$AO$4:$AQ$55,3,FALSE))</f>
        <v>0</v>
      </c>
      <c r="V18" s="4">
        <f>(VLOOKUP('20.03'!AD18,'20.03'!$AO$4:$AQ$55,3,FALSE))</f>
        <v>0</v>
      </c>
      <c r="W18" s="5">
        <f>(VLOOKUP('20.03'!AE18,'20.03'!$AO$4:$AQ$55,3,FALSE))</f>
        <v>0</v>
      </c>
      <c r="X18" s="5">
        <f>(VLOOKUP('20.03'!AF18,'20.03'!$AO$4:$AQ$55,3,FALSE))</f>
        <v>0</v>
      </c>
    </row>
    <row r="19" spans="1:24">
      <c r="A19" s="4">
        <f>(VLOOKUP('20.03'!I19,'20.03'!$AO$4:$AQ$55,3,FALSE))</f>
        <v>55</v>
      </c>
      <c r="B19" s="4">
        <f>(VLOOKUP('20.03'!J19,'20.03'!$AO$4:$AQ$55,3,FALSE))</f>
        <v>55</v>
      </c>
      <c r="C19" s="4">
        <f>(VLOOKUP('20.03'!K19,'20.03'!$AO$4:$AQ$55,3,FALSE))</f>
        <v>55</v>
      </c>
      <c r="D19" s="4">
        <f>(VLOOKUP('20.03'!L19,'20.03'!$AO$4:$AQ$55,3,FALSE))</f>
        <v>55</v>
      </c>
      <c r="E19" s="4">
        <f>(VLOOKUP('20.03'!M19,'20.03'!$AO$4:$AQ$55,3,FALSE))</f>
        <v>55</v>
      </c>
      <c r="F19" s="4">
        <f>(VLOOKUP('20.03'!N19,'20.03'!$AO$4:$AQ$55,3,FALSE))</f>
        <v>55</v>
      </c>
      <c r="G19" s="5">
        <f>(VLOOKUP('20.03'!O19,'20.03'!$AO$4:$AQ$55,3,FALSE))</f>
        <v>0</v>
      </c>
      <c r="H19" s="5">
        <f>(VLOOKUP('20.03'!P19,'20.03'!$AO$4:$AQ$55,3,FALSE))</f>
        <v>0</v>
      </c>
      <c r="I19" s="4">
        <f>(VLOOKUP('20.03'!Q19,'20.03'!$AO$4:$AQ$55,3,FALSE))</f>
        <v>0</v>
      </c>
      <c r="J19" s="4">
        <f>(VLOOKUP('20.03'!R19,'20.03'!$AO$4:$AQ$55,3,FALSE))</f>
        <v>0</v>
      </c>
      <c r="K19" s="4">
        <f>(VLOOKUP('20.03'!S19,'20.03'!$AO$4:$AQ$55,3,FALSE))</f>
        <v>0</v>
      </c>
      <c r="L19" s="4">
        <f>(VLOOKUP('20.03'!T19,'20.03'!$AO$4:$AQ$55,3,FALSE))</f>
        <v>0</v>
      </c>
      <c r="M19" s="4">
        <f>(VLOOKUP('20.03'!U19,'20.03'!$AO$4:$AQ$55,3,FALSE))</f>
        <v>0</v>
      </c>
      <c r="N19" s="4">
        <f>(VLOOKUP('20.03'!V19,'20.03'!$AO$4:$AQ$55,3,FALSE))</f>
        <v>0</v>
      </c>
      <c r="O19" s="5">
        <f>(VLOOKUP('20.03'!W19,'20.03'!$AO$4:$AQ$55,3,FALSE))</f>
        <v>0</v>
      </c>
      <c r="P19" s="5">
        <f>(VLOOKUP('20.03'!X19,'20.03'!$AO$4:$AQ$55,3,FALSE))</f>
        <v>0</v>
      </c>
      <c r="Q19" s="4">
        <f>(VLOOKUP('20.03'!Y19,'20.03'!$AO$4:$AQ$55,3,FALSE))</f>
        <v>45</v>
      </c>
      <c r="R19" s="4">
        <f>(VLOOKUP('20.03'!Z19,'20.03'!$AO$4:$AQ$55,3,FALSE))</f>
        <v>50</v>
      </c>
      <c r="S19" s="4">
        <f>(VLOOKUP('20.03'!AA19,'20.03'!$AO$4:$AQ$55,3,FALSE))</f>
        <v>45</v>
      </c>
      <c r="T19" s="4">
        <f>(VLOOKUP('20.03'!AB19,'20.03'!$AO$4:$AQ$55,3,FALSE))</f>
        <v>45</v>
      </c>
      <c r="U19" s="4">
        <f>(VLOOKUP('20.03'!AC19,'20.03'!$AO$4:$AQ$55,3,FALSE))</f>
        <v>45</v>
      </c>
      <c r="V19" s="4">
        <f>(VLOOKUP('20.03'!AD19,'20.03'!$AO$4:$AQ$55,3,FALSE))</f>
        <v>45</v>
      </c>
      <c r="W19" s="5">
        <f>(VLOOKUP('20.03'!AE19,'20.03'!$AO$4:$AQ$55,3,FALSE))</f>
        <v>45</v>
      </c>
      <c r="X19" s="5">
        <f>(VLOOKUP('20.03'!AF19,'20.03'!$AO$4:$AQ$55,3,FALSE))</f>
        <v>0</v>
      </c>
    </row>
    <row r="20" spans="1:24">
      <c r="A20" s="4">
        <f>(VLOOKUP('20.03'!I20,'20.03'!$AO$4:$AQ$55,3,FALSE))</f>
        <v>55</v>
      </c>
      <c r="B20" s="4">
        <f>(VLOOKUP('20.03'!J20,'20.03'!$AO$4:$AQ$55,3,FALSE))</f>
        <v>55</v>
      </c>
      <c r="C20" s="4">
        <f>(VLOOKUP('20.03'!K20,'20.03'!$AO$4:$AQ$55,3,FALSE))</f>
        <v>55</v>
      </c>
      <c r="D20" s="4">
        <f>(VLOOKUP('20.03'!L20,'20.03'!$AO$4:$AQ$55,3,FALSE))</f>
        <v>55</v>
      </c>
      <c r="E20" s="4">
        <f>(VLOOKUP('20.03'!M20,'20.03'!$AO$4:$AQ$55,3,FALSE))</f>
        <v>55</v>
      </c>
      <c r="F20" s="4">
        <f>(VLOOKUP('20.03'!N20,'20.03'!$AO$4:$AQ$55,3,FALSE))</f>
        <v>55</v>
      </c>
      <c r="G20" s="5">
        <f>(VLOOKUP('20.03'!O20,'20.03'!$AO$4:$AQ$55,3,FALSE))</f>
        <v>0</v>
      </c>
      <c r="H20" s="5">
        <f>(VLOOKUP('20.03'!P20,'20.03'!$AO$4:$AQ$55,3,FALSE))</f>
        <v>0</v>
      </c>
      <c r="I20" s="4">
        <f>(VLOOKUP('20.03'!Q20,'20.03'!$AO$4:$AQ$55,3,FALSE))</f>
        <v>0</v>
      </c>
      <c r="J20" s="4">
        <f>(VLOOKUP('20.03'!R20,'20.03'!$AO$4:$AQ$55,3,FALSE))</f>
        <v>0</v>
      </c>
      <c r="K20" s="4">
        <f>(VLOOKUP('20.03'!S20,'20.03'!$AO$4:$AQ$55,3,FALSE))</f>
        <v>0</v>
      </c>
      <c r="L20" s="4">
        <f>(VLOOKUP('20.03'!T20,'20.03'!$AO$4:$AQ$55,3,FALSE))</f>
        <v>0</v>
      </c>
      <c r="M20" s="4">
        <f>(VLOOKUP('20.03'!U20,'20.03'!$AO$4:$AQ$55,3,FALSE))</f>
        <v>0</v>
      </c>
      <c r="N20" s="4">
        <f>(VLOOKUP('20.03'!V20,'20.03'!$AO$4:$AQ$55,3,FALSE))</f>
        <v>0</v>
      </c>
      <c r="O20" s="5">
        <f>(VLOOKUP('20.03'!W20,'20.03'!$AO$4:$AQ$55,3,FALSE))</f>
        <v>0</v>
      </c>
      <c r="P20" s="5">
        <f>(VLOOKUP('20.03'!X20,'20.03'!$AO$4:$AQ$55,3,FALSE))</f>
        <v>0</v>
      </c>
      <c r="Q20" s="4">
        <f>(VLOOKUP('20.03'!Y20,'20.03'!$AO$4:$AQ$55,3,FALSE))</f>
        <v>45</v>
      </c>
      <c r="R20" s="4">
        <f>(VLOOKUP('20.03'!Z20,'20.03'!$AO$4:$AQ$55,3,FALSE))</f>
        <v>45</v>
      </c>
      <c r="S20" s="4">
        <f>(VLOOKUP('20.03'!AA20,'20.03'!$AO$4:$AQ$55,3,FALSE))</f>
        <v>45</v>
      </c>
      <c r="T20" s="4">
        <f>(VLOOKUP('20.03'!AB20,'20.03'!$AO$4:$AQ$55,3,FALSE))</f>
        <v>45</v>
      </c>
      <c r="U20" s="4">
        <f>(VLOOKUP('20.03'!AC20,'20.03'!$AO$4:$AQ$55,3,FALSE))</f>
        <v>0</v>
      </c>
      <c r="V20" s="4">
        <f>(VLOOKUP('20.03'!AD20,'20.03'!$AO$4:$AQ$55,3,FALSE))</f>
        <v>50</v>
      </c>
      <c r="W20" s="5">
        <f>(VLOOKUP('20.03'!AE20,'20.03'!$AO$4:$AQ$55,3,FALSE))</f>
        <v>50</v>
      </c>
      <c r="X20" s="5">
        <f>(VLOOKUP('20.03'!AF20,'20.03'!$AO$4:$AQ$55,3,FALSE))</f>
        <v>50</v>
      </c>
    </row>
    <row r="21" spans="1:24">
      <c r="A21" s="4">
        <f>(VLOOKUP('20.03'!I21,'20.03'!$AO$4:$AQ$55,3,FALSE))</f>
        <v>55</v>
      </c>
      <c r="B21" s="4">
        <f>(VLOOKUP('20.03'!J21,'20.03'!$AO$4:$AQ$55,3,FALSE))</f>
        <v>0</v>
      </c>
      <c r="C21" s="4">
        <f>(VLOOKUP('20.03'!K21,'20.03'!$AO$4:$AQ$55,3,FALSE))</f>
        <v>55</v>
      </c>
      <c r="D21" s="4">
        <f>(VLOOKUP('20.03'!L21,'20.03'!$AO$4:$AQ$55,3,FALSE))</f>
        <v>55</v>
      </c>
      <c r="E21" s="4">
        <f>(VLOOKUP('20.03'!M21,'20.03'!$AO$4:$AQ$55,3,FALSE))</f>
        <v>55</v>
      </c>
      <c r="F21" s="4">
        <f>(VLOOKUP('20.03'!N21,'20.03'!$AO$4:$AQ$55,3,FALSE))</f>
        <v>55</v>
      </c>
      <c r="G21" s="5">
        <f>(VLOOKUP('20.03'!O21,'20.03'!$AO$4:$AQ$55,3,FALSE))</f>
        <v>0</v>
      </c>
      <c r="H21" s="5">
        <f>(VLOOKUP('20.03'!P21,'20.03'!$AO$4:$AQ$55,3,FALSE))</f>
        <v>0</v>
      </c>
      <c r="I21" s="4">
        <f>(VLOOKUP('20.03'!Q21,'20.03'!$AO$4:$AQ$55,3,FALSE))</f>
        <v>0</v>
      </c>
      <c r="J21" s="4">
        <f>(VLOOKUP('20.03'!R21,'20.03'!$AO$4:$AQ$55,3,FALSE))</f>
        <v>0</v>
      </c>
      <c r="K21" s="4">
        <f>(VLOOKUP('20.03'!S21,'20.03'!$AO$4:$AQ$55,3,FALSE))</f>
        <v>0</v>
      </c>
      <c r="L21" s="4">
        <f>(VLOOKUP('20.03'!T21,'20.03'!$AO$4:$AQ$55,3,FALSE))</f>
        <v>0</v>
      </c>
      <c r="M21" s="4">
        <f>(VLOOKUP('20.03'!U21,'20.03'!$AO$4:$AQ$55,3,FALSE))</f>
        <v>0</v>
      </c>
      <c r="N21" s="4">
        <f>(VLOOKUP('20.03'!V21,'20.03'!$AO$4:$AQ$55,3,FALSE))</f>
        <v>0</v>
      </c>
      <c r="O21" s="5">
        <f>(VLOOKUP('20.03'!W21,'20.03'!$AO$4:$AQ$55,3,FALSE))</f>
        <v>0</v>
      </c>
      <c r="P21" s="5">
        <f>(VLOOKUP('20.03'!X21,'20.03'!$AO$4:$AQ$55,3,FALSE))</f>
        <v>0</v>
      </c>
      <c r="Q21" s="4">
        <f>(VLOOKUP('20.03'!Y21,'20.03'!$AO$4:$AQ$55,3,FALSE))</f>
        <v>50</v>
      </c>
      <c r="R21" s="4">
        <f>(VLOOKUP('20.03'!Z21,'20.03'!$AO$4:$AQ$55,3,FALSE))</f>
        <v>50</v>
      </c>
      <c r="S21" s="4">
        <f>(VLOOKUP('20.03'!AA21,'20.03'!$AO$4:$AQ$55,3,FALSE))</f>
        <v>50</v>
      </c>
      <c r="T21" s="4">
        <f>(VLOOKUP('20.03'!AB21,'20.03'!$AO$4:$AQ$55,3,FALSE))</f>
        <v>50</v>
      </c>
      <c r="U21" s="4">
        <f>(VLOOKUP('20.03'!AC21,'20.03'!$AO$4:$AQ$55,3,FALSE))</f>
        <v>50</v>
      </c>
      <c r="V21" s="4">
        <f>(VLOOKUP('20.03'!AD21,'20.03'!$AO$4:$AQ$55,3,FALSE))</f>
        <v>40</v>
      </c>
      <c r="W21" s="5">
        <f>(VLOOKUP('20.03'!AE21,'20.03'!$AO$4:$AQ$55,3,FALSE))</f>
        <v>0</v>
      </c>
      <c r="X21" s="5">
        <f>(VLOOKUP('20.03'!AF21,'20.03'!$AO$4:$AQ$55,3,FALSE))</f>
        <v>0</v>
      </c>
    </row>
    <row r="22" spans="1:24">
      <c r="A22" s="4">
        <f>(VLOOKUP('20.03'!I22,'20.03'!$AO$4:$AQ$55,3,FALSE))</f>
        <v>55</v>
      </c>
      <c r="B22" s="4">
        <f>(VLOOKUP('20.03'!J22,'20.03'!$AO$4:$AQ$55,3,FALSE))</f>
        <v>55</v>
      </c>
      <c r="C22" s="4">
        <f>(VLOOKUP('20.03'!K22,'20.03'!$AO$4:$AQ$55,3,FALSE))</f>
        <v>55</v>
      </c>
      <c r="D22" s="4">
        <f>(VLOOKUP('20.03'!L22,'20.03'!$AO$4:$AQ$55,3,FALSE))</f>
        <v>55</v>
      </c>
      <c r="E22" s="4">
        <f>(VLOOKUP('20.03'!M22,'20.03'!$AO$4:$AQ$55,3,FALSE))</f>
        <v>55</v>
      </c>
      <c r="F22" s="4">
        <f>(VLOOKUP('20.03'!N22,'20.03'!$AO$4:$AQ$55,3,FALSE))</f>
        <v>55</v>
      </c>
      <c r="G22" s="5">
        <f>(VLOOKUP('20.03'!O22,'20.03'!$AO$4:$AQ$55,3,FALSE))</f>
        <v>0</v>
      </c>
      <c r="H22" s="5">
        <f>(VLOOKUP('20.03'!P22,'20.03'!$AO$4:$AQ$55,3,FALSE))</f>
        <v>0</v>
      </c>
      <c r="I22" s="4">
        <f>(VLOOKUP('20.03'!Q22,'20.03'!$AO$4:$AQ$55,3,FALSE))</f>
        <v>0</v>
      </c>
      <c r="J22" s="4">
        <f>(VLOOKUP('20.03'!R22,'20.03'!$AO$4:$AQ$55,3,FALSE))</f>
        <v>0</v>
      </c>
      <c r="K22" s="4">
        <f>(VLOOKUP('20.03'!S22,'20.03'!$AO$4:$AQ$55,3,FALSE))</f>
        <v>0</v>
      </c>
      <c r="L22" s="4">
        <f>(VLOOKUP('20.03'!T22,'20.03'!$AO$4:$AQ$55,3,FALSE))</f>
        <v>0</v>
      </c>
      <c r="M22" s="4">
        <f>(VLOOKUP('20.03'!U22,'20.03'!$AO$4:$AQ$55,3,FALSE))</f>
        <v>0</v>
      </c>
      <c r="N22" s="4">
        <f>(VLOOKUP('20.03'!V22,'20.03'!$AO$4:$AQ$55,3,FALSE))</f>
        <v>0</v>
      </c>
      <c r="O22" s="5">
        <f>(VLOOKUP('20.03'!W22,'20.03'!$AO$4:$AQ$55,3,FALSE))</f>
        <v>0</v>
      </c>
      <c r="P22" s="5">
        <f>(VLOOKUP('20.03'!X22,'20.03'!$AO$4:$AQ$55,3,FALSE))</f>
        <v>0</v>
      </c>
      <c r="Q22" s="4">
        <f>(VLOOKUP('20.03'!Y22,'20.03'!$AO$4:$AQ$55,3,FALSE))</f>
        <v>50</v>
      </c>
      <c r="R22" s="4">
        <f>(VLOOKUP('20.03'!Z22,'20.03'!$AO$4:$AQ$55,3,FALSE))</f>
        <v>50</v>
      </c>
      <c r="S22" s="4">
        <f>(VLOOKUP('20.03'!AA22,'20.03'!$AO$4:$AQ$55,3,FALSE))</f>
        <v>50</v>
      </c>
      <c r="T22" s="4">
        <f>(VLOOKUP('20.03'!AB22,'20.03'!$AO$4:$AQ$55,3,FALSE))</f>
        <v>0</v>
      </c>
      <c r="U22" s="4">
        <f>(VLOOKUP('20.03'!AC22,'20.03'!$AO$4:$AQ$55,3,FALSE))</f>
        <v>50</v>
      </c>
      <c r="V22" s="4">
        <f>(VLOOKUP('20.03'!AD22,'20.03'!$AO$4:$AQ$55,3,FALSE))</f>
        <v>50</v>
      </c>
      <c r="W22" s="5">
        <f>(VLOOKUP('20.03'!AE22,'20.03'!$AO$4:$AQ$55,3,FALSE))</f>
        <v>0</v>
      </c>
      <c r="X22" s="5">
        <f>(VLOOKUP('20.03'!AF22,'20.03'!$AO$4:$AQ$55,3,FALSE))</f>
        <v>0</v>
      </c>
    </row>
    <row r="23" spans="1:24">
      <c r="A23" s="4">
        <f>(VLOOKUP('20.03'!I23,'20.03'!$AO$4:$AQ$55,3,FALSE))</f>
        <v>55</v>
      </c>
      <c r="B23" s="4">
        <f>(VLOOKUP('20.03'!J23,'20.03'!$AO$4:$AQ$55,3,FALSE))</f>
        <v>55</v>
      </c>
      <c r="C23" s="4">
        <f>(VLOOKUP('20.03'!K23,'20.03'!$AO$4:$AQ$55,3,FALSE))</f>
        <v>55</v>
      </c>
      <c r="D23" s="4">
        <f>(VLOOKUP('20.03'!L23,'20.03'!$AO$4:$AQ$55,3,FALSE))</f>
        <v>55</v>
      </c>
      <c r="E23" s="4">
        <f>(VLOOKUP('20.03'!M23,'20.03'!$AO$4:$AQ$55,3,FALSE))</f>
        <v>500</v>
      </c>
      <c r="F23" s="4">
        <f>(VLOOKUP('20.03'!N23,'20.03'!$AO$4:$AQ$55,3,FALSE))</f>
        <v>60</v>
      </c>
      <c r="G23" s="5">
        <f>(VLOOKUP('20.03'!O23,'20.03'!$AO$4:$AQ$55,3,FALSE))</f>
        <v>0</v>
      </c>
      <c r="H23" s="5">
        <f>(VLOOKUP('20.03'!P23,'20.03'!$AO$4:$AQ$55,3,FALSE))</f>
        <v>0</v>
      </c>
      <c r="I23" s="4">
        <f>(VLOOKUP('20.03'!Q23,'20.03'!$AO$4:$AQ$55,3,FALSE))</f>
        <v>0</v>
      </c>
      <c r="J23" s="4">
        <f>(VLOOKUP('20.03'!R23,'20.03'!$AO$4:$AQ$55,3,FALSE))</f>
        <v>0</v>
      </c>
      <c r="K23" s="4">
        <f>(VLOOKUP('20.03'!S23,'20.03'!$AO$4:$AQ$55,3,FALSE))</f>
        <v>0</v>
      </c>
      <c r="L23" s="4">
        <f>(VLOOKUP('20.03'!T23,'20.03'!$AO$4:$AQ$55,3,FALSE))</f>
        <v>0</v>
      </c>
      <c r="M23" s="4">
        <f>(VLOOKUP('20.03'!U23,'20.03'!$AO$4:$AQ$55,3,FALSE))</f>
        <v>0</v>
      </c>
      <c r="N23" s="4">
        <f>(VLOOKUP('20.03'!V23,'20.03'!$AO$4:$AQ$55,3,FALSE))</f>
        <v>0</v>
      </c>
      <c r="O23" s="5">
        <f>(VLOOKUP('20.03'!W23,'20.03'!$AO$4:$AQ$55,3,FALSE))</f>
        <v>0</v>
      </c>
      <c r="P23" s="5">
        <f>(VLOOKUP('20.03'!X23,'20.03'!$AO$4:$AQ$55,3,FALSE))</f>
        <v>0</v>
      </c>
      <c r="Q23" s="4">
        <f>(VLOOKUP('20.03'!Y23,'20.03'!$AO$4:$AQ$55,3,FALSE))</f>
        <v>50</v>
      </c>
      <c r="R23" s="4">
        <f>(VLOOKUP('20.03'!Z23,'20.03'!$AO$4:$AQ$55,3,FALSE))</f>
        <v>50</v>
      </c>
      <c r="S23" s="4">
        <f>(VLOOKUP('20.03'!AA23,'20.03'!$AO$4:$AQ$55,3,FALSE))</f>
        <v>50</v>
      </c>
      <c r="T23" s="4">
        <f>(VLOOKUP('20.03'!AB23,'20.03'!$AO$4:$AQ$55,3,FALSE))</f>
        <v>50</v>
      </c>
      <c r="U23" s="4">
        <f>(VLOOKUP('20.03'!AC23,'20.03'!$AO$4:$AQ$55,3,FALSE))</f>
        <v>60</v>
      </c>
      <c r="V23" s="4">
        <f>(VLOOKUP('20.03'!AD23,'20.03'!$AO$4:$AQ$55,3,FALSE))</f>
        <v>60</v>
      </c>
      <c r="W23" s="5">
        <f>(VLOOKUP('20.03'!AE23,'20.03'!$AO$4:$AQ$55,3,FALSE))</f>
        <v>0</v>
      </c>
      <c r="X23" s="5">
        <f>(VLOOKUP('20.03'!AF23,'20.03'!$AO$4:$AQ$55,3,FALSE))</f>
        <v>0</v>
      </c>
    </row>
    <row r="24" spans="1:24">
      <c r="A24" s="4">
        <f>(VLOOKUP('20.03'!I24,'20.03'!$AO$4:$AQ$55,3,FALSE))</f>
        <v>60</v>
      </c>
      <c r="B24" s="4">
        <f>(VLOOKUP('20.03'!J24,'20.03'!$AO$4:$AQ$55,3,FALSE))</f>
        <v>60</v>
      </c>
      <c r="C24" s="4">
        <f>(VLOOKUP('20.03'!K24,'20.03'!$AO$4:$AQ$55,3,FALSE))</f>
        <v>60</v>
      </c>
      <c r="D24" s="4">
        <f>(VLOOKUP('20.03'!L24,'20.03'!$AO$4:$AQ$55,3,FALSE))</f>
        <v>60</v>
      </c>
      <c r="E24" s="4">
        <f>(VLOOKUP('20.03'!M24,'20.03'!$AO$4:$AQ$55,3,FALSE))</f>
        <v>0</v>
      </c>
      <c r="F24" s="4">
        <f>(VLOOKUP('20.03'!N24,'20.03'!$AO$4:$AQ$55,3,FALSE))</f>
        <v>0</v>
      </c>
      <c r="G24" s="5">
        <f>(VLOOKUP('20.03'!O24,'20.03'!$AO$4:$AQ$55,3,FALSE))</f>
        <v>0</v>
      </c>
      <c r="H24" s="5">
        <f>(VLOOKUP('20.03'!P24,'20.03'!$AO$4:$AQ$55,3,FALSE))</f>
        <v>0</v>
      </c>
      <c r="I24" s="4">
        <f>(VLOOKUP('20.03'!Q24,'20.03'!$AO$4:$AQ$55,3,FALSE))</f>
        <v>0</v>
      </c>
      <c r="J24" s="4">
        <f>(VLOOKUP('20.03'!R24,'20.03'!$AO$4:$AQ$55,3,FALSE))</f>
        <v>0</v>
      </c>
      <c r="K24" s="4">
        <f>(VLOOKUP('20.03'!S24,'20.03'!$AO$4:$AQ$55,3,FALSE))</f>
        <v>0</v>
      </c>
      <c r="L24" s="4">
        <f>(VLOOKUP('20.03'!T24,'20.03'!$AO$4:$AQ$55,3,FALSE))</f>
        <v>0</v>
      </c>
      <c r="M24" s="4">
        <f>(VLOOKUP('20.03'!U24,'20.03'!$AO$4:$AQ$55,3,FALSE))</f>
        <v>0</v>
      </c>
      <c r="N24" s="4">
        <f>(VLOOKUP('20.03'!V24,'20.03'!$AO$4:$AQ$55,3,FALSE))</f>
        <v>0</v>
      </c>
      <c r="O24" s="5">
        <f>(VLOOKUP('20.03'!W24,'20.03'!$AO$4:$AQ$55,3,FALSE))</f>
        <v>0</v>
      </c>
      <c r="P24" s="5">
        <f>(VLOOKUP('20.03'!X24,'20.03'!$AO$4:$AQ$55,3,FALSE))</f>
        <v>0</v>
      </c>
      <c r="Q24" s="4">
        <f>(VLOOKUP('20.03'!Y24,'20.03'!$AO$4:$AQ$55,3,FALSE))</f>
        <v>60</v>
      </c>
      <c r="R24" s="4">
        <f>(VLOOKUP('20.03'!Z24,'20.03'!$AO$4:$AQ$55,3,FALSE))</f>
        <v>60</v>
      </c>
      <c r="S24" s="4">
        <f>(VLOOKUP('20.03'!AA24,'20.03'!$AO$4:$AQ$55,3,FALSE))</f>
        <v>60</v>
      </c>
      <c r="T24" s="4">
        <f>(VLOOKUP('20.03'!AB24,'20.03'!$AO$4:$AQ$55,3,FALSE))</f>
        <v>60</v>
      </c>
      <c r="U24" s="4">
        <f>(VLOOKUP('20.03'!AC24,'20.03'!$AO$4:$AQ$55,3,FALSE))</f>
        <v>0</v>
      </c>
      <c r="V24" s="4">
        <f>(VLOOKUP('20.03'!AD24,'20.03'!$AO$4:$AQ$55,3,FALSE))</f>
        <v>0</v>
      </c>
      <c r="W24" s="5">
        <f>(VLOOKUP('20.03'!AE24,'20.03'!$AO$4:$AQ$55,3,FALSE))</f>
        <v>0</v>
      </c>
      <c r="X24" s="5">
        <f>(VLOOKUP('20.03'!AF24,'20.03'!$AO$4:$AQ$55,3,FALSE))</f>
        <v>0</v>
      </c>
    </row>
    <row r="25" spans="1:24">
      <c r="A25" s="4">
        <f>(VLOOKUP('20.03'!I25,'20.03'!$AO$4:$AQ$55,3,FALSE))</f>
        <v>0</v>
      </c>
      <c r="B25" s="4">
        <f>(VLOOKUP('20.03'!J25,'20.03'!$AO$4:$AQ$55,3,FALSE))</f>
        <v>0</v>
      </c>
      <c r="C25" s="4">
        <f>(VLOOKUP('20.03'!K25,'20.03'!$AO$4:$AQ$55,3,FALSE))</f>
        <v>0</v>
      </c>
      <c r="D25" s="4">
        <f>(VLOOKUP('20.03'!L25,'20.03'!$AO$4:$AQ$55,3,FALSE))</f>
        <v>0</v>
      </c>
      <c r="E25" s="4">
        <f>(VLOOKUP('20.03'!M25,'20.03'!$AO$4:$AQ$55,3,FALSE))</f>
        <v>0</v>
      </c>
      <c r="F25" s="4">
        <f>(VLOOKUP('20.03'!N25,'20.03'!$AO$4:$AQ$55,3,FALSE))</f>
        <v>0</v>
      </c>
      <c r="G25" s="5">
        <f>(VLOOKUP('20.03'!O25,'20.03'!$AO$4:$AQ$55,3,FALSE))</f>
        <v>0</v>
      </c>
      <c r="H25" s="5">
        <f>(VLOOKUP('20.03'!P25,'20.03'!$AO$4:$AQ$55,3,FALSE))</f>
        <v>0</v>
      </c>
      <c r="I25" s="4">
        <f>(VLOOKUP('20.03'!Q25,'20.03'!$AO$4:$AQ$55,3,FALSE))</f>
        <v>0</v>
      </c>
      <c r="J25" s="4">
        <f>(VLOOKUP('20.03'!R25,'20.03'!$AO$4:$AQ$55,3,FALSE))</f>
        <v>0</v>
      </c>
      <c r="K25" s="4">
        <f>(VLOOKUP('20.03'!S25,'20.03'!$AO$4:$AQ$55,3,FALSE))</f>
        <v>0</v>
      </c>
      <c r="L25" s="4">
        <f>(VLOOKUP('20.03'!T25,'20.03'!$AO$4:$AQ$55,3,FALSE))</f>
        <v>0</v>
      </c>
      <c r="M25" s="4">
        <f>(VLOOKUP('20.03'!U25,'20.03'!$AO$4:$AQ$55,3,FALSE))</f>
        <v>0</v>
      </c>
      <c r="N25" s="4">
        <f>(VLOOKUP('20.03'!V25,'20.03'!$AO$4:$AQ$55,3,FALSE))</f>
        <v>0</v>
      </c>
      <c r="O25" s="5">
        <f>(VLOOKUP('20.03'!W25,'20.03'!$AO$4:$AQ$55,3,FALSE))</f>
        <v>0</v>
      </c>
      <c r="P25" s="5">
        <f>(VLOOKUP('20.03'!X25,'20.03'!$AO$4:$AQ$55,3,FALSE))</f>
        <v>0</v>
      </c>
      <c r="Q25" s="4">
        <f>(VLOOKUP('20.03'!Y25,'20.03'!$AO$4:$AQ$55,3,FALSE))</f>
        <v>0</v>
      </c>
      <c r="R25" s="4">
        <f>(VLOOKUP('20.03'!Z25,'20.03'!$AO$4:$AQ$55,3,FALSE))</f>
        <v>0</v>
      </c>
      <c r="S25" s="4">
        <f>(VLOOKUP('20.03'!AA25,'20.03'!$AO$4:$AQ$55,3,FALSE))</f>
        <v>0</v>
      </c>
      <c r="T25" s="4">
        <f>(VLOOKUP('20.03'!AB25,'20.03'!$AO$4:$AQ$55,3,FALSE))</f>
        <v>0</v>
      </c>
      <c r="U25" s="4">
        <f>(VLOOKUP('20.03'!AC25,'20.03'!$AO$4:$AQ$55,3,FALSE))</f>
        <v>0</v>
      </c>
      <c r="V25" s="4">
        <f>(VLOOKUP('20.03'!AD25,'20.03'!$AO$4:$AQ$55,3,FALSE))</f>
        <v>0</v>
      </c>
      <c r="W25" s="5">
        <f>(VLOOKUP('20.03'!AE25,'20.03'!$AO$4:$AQ$55,3,FALSE))</f>
        <v>0</v>
      </c>
      <c r="X25" s="5">
        <f>(VLOOKUP('20.03'!AF25,'20.03'!$AO$4:$AQ$55,3,FALSE))</f>
        <v>0</v>
      </c>
    </row>
    <row r="26" spans="1:24">
      <c r="A26" s="4">
        <f>(VLOOKUP('20.03'!I26,'20.03'!$AO$4:$AQ$55,3,FALSE))</f>
        <v>0</v>
      </c>
      <c r="B26" s="4">
        <f>(VLOOKUP('20.03'!J26,'20.03'!$AO$4:$AQ$55,3,FALSE))</f>
        <v>0</v>
      </c>
      <c r="C26" s="4">
        <f>(VLOOKUP('20.03'!K26,'20.03'!$AO$4:$AQ$55,3,FALSE))</f>
        <v>0</v>
      </c>
      <c r="D26" s="4">
        <f>(VLOOKUP('20.03'!L26,'20.03'!$AO$4:$AQ$55,3,FALSE))</f>
        <v>0</v>
      </c>
      <c r="E26" s="4">
        <f>(VLOOKUP('20.03'!M26,'20.03'!$AO$4:$AQ$55,3,FALSE))</f>
        <v>0</v>
      </c>
      <c r="F26" s="4">
        <f>(VLOOKUP('20.03'!N26,'20.03'!$AO$4:$AQ$55,3,FALSE))</f>
        <v>0</v>
      </c>
      <c r="G26" s="5">
        <f>(VLOOKUP('20.03'!O26,'20.03'!$AO$4:$AQ$55,3,FALSE))</f>
        <v>0</v>
      </c>
      <c r="H26" s="5">
        <f>(VLOOKUP('20.03'!P26,'20.03'!$AO$4:$AQ$55,3,FALSE))</f>
        <v>0</v>
      </c>
      <c r="I26" s="4">
        <f>(VLOOKUP('20.03'!Q26,'20.03'!$AO$4:$AQ$55,3,FALSE))</f>
        <v>40</v>
      </c>
      <c r="J26" s="4">
        <f>(VLOOKUP('20.03'!R26,'20.03'!$AO$4:$AQ$55,3,FALSE))</f>
        <v>0</v>
      </c>
      <c r="K26" s="4">
        <f>(VLOOKUP('20.03'!S26,'20.03'!$AO$4:$AQ$55,3,FALSE))</f>
        <v>0</v>
      </c>
      <c r="L26" s="4">
        <f>(VLOOKUP('20.03'!T26,'20.03'!$AO$4:$AQ$55,3,FALSE))</f>
        <v>0</v>
      </c>
      <c r="M26" s="4">
        <f>(VLOOKUP('20.03'!U26,'20.03'!$AO$4:$AQ$55,3,FALSE))</f>
        <v>0</v>
      </c>
      <c r="N26" s="4">
        <f>(VLOOKUP('20.03'!V26,'20.03'!$AO$4:$AQ$55,3,FALSE))</f>
        <v>0</v>
      </c>
      <c r="O26" s="5">
        <f>(VLOOKUP('20.03'!W26,'20.03'!$AO$4:$AQ$55,3,FALSE))</f>
        <v>0</v>
      </c>
      <c r="P26" s="5">
        <f>(VLOOKUP('20.03'!X26,'20.03'!$AO$4:$AQ$55,3,FALSE))</f>
        <v>0</v>
      </c>
      <c r="Q26" s="4">
        <f>(VLOOKUP('20.03'!Y26,'20.03'!$AO$4:$AQ$55,3,FALSE))</f>
        <v>40</v>
      </c>
      <c r="R26" s="4">
        <f>(VLOOKUP('20.03'!Z26,'20.03'!$AO$4:$AQ$55,3,FALSE))</f>
        <v>0</v>
      </c>
      <c r="S26" s="4">
        <f>(VLOOKUP('20.03'!AA26,'20.03'!$AO$4:$AQ$55,3,FALSE))</f>
        <v>0</v>
      </c>
      <c r="T26" s="4">
        <f>(VLOOKUP('20.03'!AB26,'20.03'!$AO$4:$AQ$55,3,FALSE))</f>
        <v>0</v>
      </c>
      <c r="U26" s="4">
        <f>(VLOOKUP('20.03'!AC26,'20.03'!$AO$4:$AQ$55,3,FALSE))</f>
        <v>0</v>
      </c>
      <c r="V26" s="4">
        <f>(VLOOKUP('20.03'!AD26,'20.03'!$AO$4:$AQ$55,3,FALSE))</f>
        <v>0</v>
      </c>
      <c r="W26" s="5">
        <f>(VLOOKUP('20.03'!AE26,'20.03'!$AO$4:$AQ$55,3,FALSE))</f>
        <v>0</v>
      </c>
      <c r="X26" s="5">
        <f>(VLOOKUP('20.03'!AF26,'20.03'!$AO$4:$AQ$55,3,FALSE))</f>
        <v>0</v>
      </c>
    </row>
    <row r="27" spans="1:24">
      <c r="A27" s="4">
        <f>(VLOOKUP('20.03'!I27,'20.03'!$AO$4:$AQ$55,3,FALSE))</f>
        <v>0</v>
      </c>
      <c r="B27" s="4">
        <f>(VLOOKUP('20.03'!J27,'20.03'!$AO$4:$AQ$55,3,FALSE))</f>
        <v>40</v>
      </c>
      <c r="C27" s="4">
        <f>(VLOOKUP('20.03'!K27,'20.03'!$AO$4:$AQ$55,3,FALSE))</f>
        <v>30</v>
      </c>
      <c r="D27" s="4">
        <f>(VLOOKUP('20.03'!L27,'20.03'!$AO$4:$AQ$55,3,FALSE))</f>
        <v>40</v>
      </c>
      <c r="E27" s="4">
        <f>(VLOOKUP('20.03'!M27,'20.03'!$AO$4:$AQ$55,3,FALSE))</f>
        <v>40</v>
      </c>
      <c r="F27" s="4">
        <f>(VLOOKUP('20.03'!N27,'20.03'!$AO$4:$AQ$55,3,FALSE))</f>
        <v>0</v>
      </c>
      <c r="G27" s="5">
        <f>(VLOOKUP('20.03'!O27,'20.03'!$AO$4:$AQ$55,3,FALSE))</f>
        <v>0</v>
      </c>
      <c r="H27" s="5">
        <f>(VLOOKUP('20.03'!P27,'20.03'!$AO$4:$AQ$55,3,FALSE))</f>
        <v>0</v>
      </c>
      <c r="I27" s="4">
        <f>(VLOOKUP('20.03'!Q27,'20.03'!$AO$4:$AQ$55,3,FALSE))</f>
        <v>30</v>
      </c>
      <c r="J27" s="4">
        <f>(VLOOKUP('20.03'!R27,'20.03'!$AO$4:$AQ$55,3,FALSE))</f>
        <v>40</v>
      </c>
      <c r="K27" s="4">
        <f>(VLOOKUP('20.03'!S27,'20.03'!$AO$4:$AQ$55,3,FALSE))</f>
        <v>40</v>
      </c>
      <c r="L27" s="4">
        <f>(VLOOKUP('20.03'!T27,'20.03'!$AO$4:$AQ$55,3,FALSE))</f>
        <v>40</v>
      </c>
      <c r="M27" s="4">
        <f>(VLOOKUP('20.03'!U27,'20.03'!$AO$4:$AQ$55,3,FALSE))</f>
        <v>30</v>
      </c>
      <c r="N27" s="4">
        <f>(VLOOKUP('20.03'!V27,'20.03'!$AO$4:$AQ$55,3,FALSE))</f>
        <v>40</v>
      </c>
      <c r="O27" s="5">
        <f>(VLOOKUP('20.03'!W27,'20.03'!$AO$4:$AQ$55,3,FALSE))</f>
        <v>0</v>
      </c>
      <c r="P27" s="5">
        <f>(VLOOKUP('20.03'!X27,'20.03'!$AO$4:$AQ$55,3,FALSE))</f>
        <v>30</v>
      </c>
      <c r="Q27" s="4">
        <f>(VLOOKUP('20.03'!Y27,'20.03'!$AO$4:$AQ$55,3,FALSE))</f>
        <v>40</v>
      </c>
      <c r="R27" s="4">
        <f>(VLOOKUP('20.03'!Z27,'20.03'!$AO$4:$AQ$55,3,FALSE))</f>
        <v>40</v>
      </c>
      <c r="S27" s="4">
        <f>(VLOOKUP('20.03'!AA27,'20.03'!$AO$4:$AQ$55,3,FALSE))</f>
        <v>0</v>
      </c>
      <c r="T27" s="4">
        <f>(VLOOKUP('20.03'!AB27,'20.03'!$AO$4:$AQ$55,3,FALSE))</f>
        <v>0</v>
      </c>
      <c r="U27" s="4">
        <f>(VLOOKUP('20.03'!AC27,'20.03'!$AO$4:$AQ$55,3,FALSE))</f>
        <v>0</v>
      </c>
      <c r="V27" s="4">
        <f>(VLOOKUP('20.03'!AD27,'20.03'!$AO$4:$AQ$55,3,FALSE))</f>
        <v>0</v>
      </c>
      <c r="W27" s="5">
        <f>(VLOOKUP('20.03'!AE27,'20.03'!$AO$4:$AQ$55,3,FALSE))</f>
        <v>0</v>
      </c>
      <c r="X27" s="5">
        <f>(VLOOKUP('20.03'!AF27,'20.03'!$AO$4:$AQ$55,3,FALSE))</f>
        <v>0</v>
      </c>
    </row>
    <row r="28" spans="1:24">
      <c r="A28" s="4">
        <f>(VLOOKUP('20.03'!I28,'20.03'!$AO$4:$AQ$55,3,FALSE))</f>
        <v>40</v>
      </c>
      <c r="B28" s="4">
        <f>(VLOOKUP('20.03'!J28,'20.03'!$AO$4:$AQ$55,3,FALSE))</f>
        <v>0</v>
      </c>
      <c r="C28" s="4">
        <f>(VLOOKUP('20.03'!K28,'20.03'!$AO$4:$AQ$55,3,FALSE))</f>
        <v>0</v>
      </c>
      <c r="D28" s="4">
        <f>(VLOOKUP('20.03'!L28,'20.03'!$AO$4:$AQ$55,3,FALSE))</f>
        <v>0</v>
      </c>
      <c r="E28" s="4">
        <f>(VLOOKUP('20.03'!M28,'20.03'!$AO$4:$AQ$55,3,FALSE))</f>
        <v>0</v>
      </c>
      <c r="F28" s="4">
        <f>(VLOOKUP('20.03'!N28,'20.03'!$AO$4:$AQ$55,3,FALSE))</f>
        <v>0</v>
      </c>
      <c r="G28" s="5">
        <f>(VLOOKUP('20.03'!O28,'20.03'!$AO$4:$AQ$55,3,FALSE))</f>
        <v>0</v>
      </c>
      <c r="H28" s="5">
        <f>(VLOOKUP('20.03'!P28,'20.03'!$AO$4:$AQ$55,3,FALSE))</f>
        <v>0</v>
      </c>
      <c r="I28" s="4">
        <f>(VLOOKUP('20.03'!Q28,'20.03'!$AO$4:$AQ$55,3,FALSE))</f>
        <v>40</v>
      </c>
      <c r="J28" s="4">
        <f>(VLOOKUP('20.03'!R28,'20.03'!$AO$4:$AQ$55,3,FALSE))</f>
        <v>40</v>
      </c>
      <c r="K28" s="4">
        <f>(VLOOKUP('20.03'!S28,'20.03'!$AO$4:$AQ$55,3,FALSE))</f>
        <v>40</v>
      </c>
      <c r="L28" s="4">
        <f>(VLOOKUP('20.03'!T28,'20.03'!$AO$4:$AQ$55,3,FALSE))</f>
        <v>30</v>
      </c>
      <c r="M28" s="4">
        <f>(VLOOKUP('20.03'!U28,'20.03'!$AO$4:$AQ$55,3,FALSE))</f>
        <v>40</v>
      </c>
      <c r="N28" s="4">
        <f>(VLOOKUP('20.03'!V28,'20.03'!$AO$4:$AQ$55,3,FALSE))</f>
        <v>40</v>
      </c>
      <c r="O28" s="5">
        <f>(VLOOKUP('20.03'!W28,'20.03'!$AO$4:$AQ$55,3,FALSE))</f>
        <v>0</v>
      </c>
      <c r="P28" s="5">
        <f>(VLOOKUP('20.03'!X28,'20.03'!$AO$4:$AQ$55,3,FALSE))</f>
        <v>0</v>
      </c>
      <c r="Q28" s="4">
        <f>(VLOOKUP('20.03'!Y28,'20.03'!$AO$4:$AQ$55,3,FALSE))</f>
        <v>0</v>
      </c>
      <c r="R28" s="4">
        <f>(VLOOKUP('20.03'!Z28,'20.03'!$AO$4:$AQ$55,3,FALSE))</f>
        <v>0</v>
      </c>
      <c r="S28" s="4">
        <f>(VLOOKUP('20.03'!AA28,'20.03'!$AO$4:$AQ$55,3,FALSE))</f>
        <v>0</v>
      </c>
      <c r="T28" s="4">
        <f>(VLOOKUP('20.03'!AB28,'20.03'!$AO$4:$AQ$55,3,FALSE))</f>
        <v>0</v>
      </c>
      <c r="U28" s="4">
        <f>(VLOOKUP('20.03'!AC28,'20.03'!$AO$4:$AQ$55,3,FALSE))</f>
        <v>0</v>
      </c>
      <c r="V28" s="4">
        <f>(VLOOKUP('20.03'!AD28,'20.03'!$AO$4:$AQ$55,3,FALSE))</f>
        <v>0</v>
      </c>
      <c r="W28" s="5">
        <f>(VLOOKUP('20.03'!AE28,'20.03'!$AO$4:$AQ$55,3,FALSE))</f>
        <v>0</v>
      </c>
      <c r="X28" s="5">
        <f>(VLOOKUP('20.03'!AF28,'20.03'!$AO$4:$AQ$55,3,FALSE))</f>
        <v>0</v>
      </c>
    </row>
    <row r="29" spans="1:24">
      <c r="A29" s="4">
        <f>(VLOOKUP('20.03'!I29,'20.03'!$AO$4:$AQ$55,3,FALSE))</f>
        <v>0</v>
      </c>
      <c r="B29" s="4">
        <f>(VLOOKUP('20.03'!J29,'20.03'!$AO$4:$AQ$55,3,FALSE))</f>
        <v>0</v>
      </c>
      <c r="C29" s="4">
        <f>(VLOOKUP('20.03'!K29,'20.03'!$AO$4:$AQ$55,3,FALSE))</f>
        <v>0</v>
      </c>
      <c r="D29" s="4">
        <f>(VLOOKUP('20.03'!L29,'20.03'!$AO$4:$AQ$55,3,FALSE))</f>
        <v>0</v>
      </c>
      <c r="E29" s="4">
        <f>(VLOOKUP('20.03'!M29,'20.03'!$AO$4:$AQ$55,3,FALSE))</f>
        <v>0</v>
      </c>
      <c r="F29" s="4">
        <f>(VLOOKUP('20.03'!N29,'20.03'!$AO$4:$AQ$55,3,FALSE))</f>
        <v>0</v>
      </c>
      <c r="G29" s="5">
        <f>(VLOOKUP('20.03'!O29,'20.03'!$AO$4:$AQ$55,3,FALSE))</f>
        <v>0</v>
      </c>
      <c r="H29" s="5">
        <f>(VLOOKUP('20.03'!P29,'20.03'!$AO$4:$AQ$55,3,FALSE))</f>
        <v>0</v>
      </c>
      <c r="I29" s="4">
        <f>(VLOOKUP('20.03'!Q29,'20.03'!$AO$4:$AQ$55,3,FALSE))</f>
        <v>40</v>
      </c>
      <c r="J29" s="4">
        <f>(VLOOKUP('20.03'!R29,'20.03'!$AO$4:$AQ$55,3,FALSE))</f>
        <v>30</v>
      </c>
      <c r="K29" s="4">
        <f>(VLOOKUP('20.03'!S29,'20.03'!$AO$4:$AQ$55,3,FALSE))</f>
        <v>40</v>
      </c>
      <c r="L29" s="4">
        <f>(VLOOKUP('20.03'!T29,'20.03'!$AO$4:$AQ$55,3,FALSE))</f>
        <v>40</v>
      </c>
      <c r="M29" s="4">
        <f>(VLOOKUP('20.03'!U29,'20.03'!$AO$4:$AQ$55,3,FALSE))</f>
        <v>520</v>
      </c>
      <c r="N29" s="4">
        <f>(VLOOKUP('20.03'!V29,'20.03'!$AO$4:$AQ$55,3,FALSE))</f>
        <v>40</v>
      </c>
      <c r="O29" s="5">
        <f>(VLOOKUP('20.03'!W29,'20.03'!$AO$4:$AQ$55,3,FALSE))</f>
        <v>0</v>
      </c>
      <c r="P29" s="5">
        <f>(VLOOKUP('20.03'!X29,'20.03'!$AO$4:$AQ$55,3,FALSE))</f>
        <v>0</v>
      </c>
      <c r="Q29" s="4">
        <f>(VLOOKUP('20.03'!Y29,'20.03'!$AO$4:$AQ$55,3,FALSE))</f>
        <v>0</v>
      </c>
      <c r="R29" s="4">
        <f>(VLOOKUP('20.03'!Z29,'20.03'!$AO$4:$AQ$55,3,FALSE))</f>
        <v>0</v>
      </c>
      <c r="S29" s="4">
        <f>(VLOOKUP('20.03'!AA29,'20.03'!$AO$4:$AQ$55,3,FALSE))</f>
        <v>0</v>
      </c>
      <c r="T29" s="4">
        <f>(VLOOKUP('20.03'!AB29,'20.03'!$AO$4:$AQ$55,3,FALSE))</f>
        <v>0</v>
      </c>
      <c r="U29" s="4">
        <f>(VLOOKUP('20.03'!AC29,'20.03'!$AO$4:$AQ$55,3,FALSE))</f>
        <v>0</v>
      </c>
      <c r="V29" s="4">
        <f>(VLOOKUP('20.03'!AD29,'20.03'!$AO$4:$AQ$55,3,FALSE))</f>
        <v>0</v>
      </c>
      <c r="W29" s="5">
        <f>(VLOOKUP('20.03'!AE29,'20.03'!$AO$4:$AQ$55,3,FALSE))</f>
        <v>0</v>
      </c>
      <c r="X29" s="5">
        <f>(VLOOKUP('20.03'!AF29,'20.03'!$AO$4:$AQ$55,3,FALSE))</f>
        <v>0</v>
      </c>
    </row>
    <row r="30" spans="1:24">
      <c r="A30" s="4">
        <f>(VLOOKUP('20.03'!I30,'20.03'!$AO$4:$AQ$55,3,FALSE))</f>
        <v>0</v>
      </c>
      <c r="B30" s="4">
        <f>(VLOOKUP('20.03'!J30,'20.03'!$AO$4:$AQ$55,3,FALSE))</f>
        <v>0</v>
      </c>
      <c r="C30" s="4">
        <f>(VLOOKUP('20.03'!K30,'20.03'!$AO$4:$AQ$55,3,FALSE))</f>
        <v>0</v>
      </c>
      <c r="D30" s="4">
        <f>(VLOOKUP('20.03'!L30,'20.03'!$AO$4:$AQ$55,3,FALSE))</f>
        <v>0</v>
      </c>
      <c r="E30" s="4">
        <f>(VLOOKUP('20.03'!M30,'20.03'!$AO$4:$AQ$55,3,FALSE))</f>
        <v>0</v>
      </c>
      <c r="F30" s="4">
        <f>(VLOOKUP('20.03'!N30,'20.03'!$AO$4:$AQ$55,3,FALSE))</f>
        <v>0</v>
      </c>
      <c r="G30" s="5">
        <f>(VLOOKUP('20.03'!O30,'20.03'!$AO$4:$AQ$55,3,FALSE))</f>
        <v>0</v>
      </c>
      <c r="H30" s="5">
        <f>(VLOOKUP('20.03'!P30,'20.03'!$AO$4:$AQ$55,3,FALSE))</f>
        <v>0</v>
      </c>
      <c r="I30" s="4">
        <f>(VLOOKUP('20.03'!Q30,'20.03'!$AO$4:$AQ$55,3,FALSE))</f>
        <v>40</v>
      </c>
      <c r="J30" s="4">
        <f>(VLOOKUP('20.03'!R30,'20.03'!$AO$4:$AQ$55,3,FALSE))</f>
        <v>30</v>
      </c>
      <c r="K30" s="4">
        <f>(VLOOKUP('20.03'!S30,'20.03'!$AO$4:$AQ$55,3,FALSE))</f>
        <v>40</v>
      </c>
      <c r="L30" s="4">
        <f>(VLOOKUP('20.03'!T30,'20.03'!$AO$4:$AQ$55,3,FALSE))</f>
        <v>40</v>
      </c>
      <c r="M30" s="4">
        <f>(VLOOKUP('20.03'!U30,'20.03'!$AO$4:$AQ$55,3,FALSE))</f>
        <v>40</v>
      </c>
      <c r="N30" s="4">
        <f>(VLOOKUP('20.03'!V30,'20.03'!$AO$4:$AQ$55,3,FALSE))</f>
        <v>40</v>
      </c>
      <c r="O30" s="5">
        <f>(VLOOKUP('20.03'!W30,'20.03'!$AO$4:$AQ$55,3,FALSE))</f>
        <v>30</v>
      </c>
      <c r="P30" s="5">
        <f>(VLOOKUP('20.03'!X30,'20.03'!$AO$4:$AQ$55,3,FALSE))</f>
        <v>0</v>
      </c>
      <c r="Q30" s="4">
        <f>(VLOOKUP('20.03'!Y30,'20.03'!$AO$4:$AQ$55,3,FALSE))</f>
        <v>0</v>
      </c>
      <c r="R30" s="4">
        <f>(VLOOKUP('20.03'!Z30,'20.03'!$AO$4:$AQ$55,3,FALSE))</f>
        <v>0</v>
      </c>
      <c r="S30" s="4">
        <f>(VLOOKUP('20.03'!AA30,'20.03'!$AO$4:$AQ$55,3,FALSE))</f>
        <v>0</v>
      </c>
      <c r="T30" s="4">
        <f>(VLOOKUP('20.03'!AB30,'20.03'!$AO$4:$AQ$55,3,FALSE))</f>
        <v>0</v>
      </c>
      <c r="U30" s="4">
        <f>(VLOOKUP('20.03'!AC30,'20.03'!$AO$4:$AQ$55,3,FALSE))</f>
        <v>0</v>
      </c>
      <c r="V30" s="4">
        <f>(VLOOKUP('20.03'!AD30,'20.03'!$AO$4:$AQ$55,3,FALSE))</f>
        <v>0</v>
      </c>
      <c r="W30" s="5">
        <f>(VLOOKUP('20.03'!AE30,'20.03'!$AO$4:$AQ$55,3,FALSE))</f>
        <v>0</v>
      </c>
      <c r="X30" s="5">
        <f>(VLOOKUP('20.03'!AF30,'20.03'!$AO$4:$AQ$55,3,FALSE))</f>
        <v>0</v>
      </c>
    </row>
    <row r="31" spans="1:24">
      <c r="A31" s="4">
        <f>(VLOOKUP('20.03'!I31,'20.03'!$AO$4:$AQ$55,3,FALSE))</f>
        <v>0</v>
      </c>
      <c r="B31" s="4">
        <f>(VLOOKUP('20.03'!J31,'20.03'!$AO$4:$AQ$55,3,FALSE))</f>
        <v>0</v>
      </c>
      <c r="C31" s="4">
        <f>(VLOOKUP('20.03'!K31,'20.03'!$AO$4:$AQ$55,3,FALSE))</f>
        <v>0</v>
      </c>
      <c r="D31" s="4">
        <f>(VLOOKUP('20.03'!L31,'20.03'!$AO$4:$AQ$55,3,FALSE))</f>
        <v>0</v>
      </c>
      <c r="E31" s="4">
        <f>(VLOOKUP('20.03'!M31,'20.03'!$AO$4:$AQ$55,3,FALSE))</f>
        <v>0</v>
      </c>
      <c r="F31" s="4">
        <f>(VLOOKUP('20.03'!N31,'20.03'!$AO$4:$AQ$55,3,FALSE))</f>
        <v>0</v>
      </c>
      <c r="G31" s="5">
        <f>(VLOOKUP('20.03'!O31,'20.03'!$AO$4:$AQ$55,3,FALSE))</f>
        <v>0</v>
      </c>
      <c r="H31" s="5">
        <f>(VLOOKUP('20.03'!P31,'20.03'!$AO$4:$AQ$55,3,FALSE))</f>
        <v>0</v>
      </c>
      <c r="I31" s="4">
        <f>(VLOOKUP('20.03'!Q31,'20.03'!$AO$4:$AQ$55,3,FALSE))</f>
        <v>0</v>
      </c>
      <c r="J31" s="4">
        <f>(VLOOKUP('20.03'!R31,'20.03'!$AO$4:$AQ$55,3,FALSE))</f>
        <v>0</v>
      </c>
      <c r="K31" s="4">
        <f>(VLOOKUP('20.03'!S31,'20.03'!$AO$4:$AQ$55,3,FALSE))</f>
        <v>0</v>
      </c>
      <c r="L31" s="4">
        <f>(VLOOKUP('20.03'!T31,'20.03'!$AO$4:$AQ$55,3,FALSE))</f>
        <v>0</v>
      </c>
      <c r="M31" s="4">
        <f>(VLOOKUP('20.03'!U31,'20.03'!$AO$4:$AQ$55,3,FALSE))</f>
        <v>0</v>
      </c>
      <c r="N31" s="4">
        <f>(VLOOKUP('20.03'!V31,'20.03'!$AO$4:$AQ$55,3,FALSE))</f>
        <v>0</v>
      </c>
      <c r="O31" s="5">
        <f>(VLOOKUP('20.03'!W31,'20.03'!$AO$4:$AQ$55,3,FALSE))</f>
        <v>0</v>
      </c>
      <c r="P31" s="5">
        <f>(VLOOKUP('20.03'!X31,'20.03'!$AO$4:$AQ$55,3,FALSE))</f>
        <v>0</v>
      </c>
      <c r="Q31" s="4">
        <f>(VLOOKUP('20.03'!Y31,'20.03'!$AO$4:$AQ$55,3,FALSE))</f>
        <v>0</v>
      </c>
      <c r="R31" s="4">
        <f>(VLOOKUP('20.03'!Z31,'20.03'!$AO$4:$AQ$55,3,FALSE))</f>
        <v>0</v>
      </c>
      <c r="S31" s="4">
        <f>(VLOOKUP('20.03'!AA31,'20.03'!$AO$4:$AQ$55,3,FALSE))</f>
        <v>0</v>
      </c>
      <c r="T31" s="4">
        <f>(VLOOKUP('20.03'!AB31,'20.03'!$AO$4:$AQ$55,3,FALSE))</f>
        <v>0</v>
      </c>
      <c r="U31" s="4">
        <f>(VLOOKUP('20.03'!AC31,'20.03'!$AO$4:$AQ$55,3,FALSE))</f>
        <v>0</v>
      </c>
      <c r="V31" s="4">
        <f>(VLOOKUP('20.03'!AD31,'20.03'!$AO$4:$AQ$55,3,FALSE))</f>
        <v>0</v>
      </c>
      <c r="W31" s="5">
        <f>(VLOOKUP('20.03'!AE31,'20.03'!$AO$4:$AQ$55,3,FALSE))</f>
        <v>0</v>
      </c>
      <c r="X31" s="5">
        <f>(VLOOKUP('20.03'!AF31,'20.03'!$AO$4:$AQ$55,3,FALSE))</f>
        <v>0</v>
      </c>
    </row>
    <row r="32" spans="1:24">
      <c r="A32" s="4">
        <f>(VLOOKUP('20.03'!I32,'20.03'!$AO$4:$AQ$55,3,FALSE))</f>
        <v>0</v>
      </c>
      <c r="B32" s="4">
        <f>(VLOOKUP('20.03'!J32,'20.03'!$AO$4:$AQ$55,3,FALSE))</f>
        <v>0</v>
      </c>
      <c r="C32" s="4">
        <f>(VLOOKUP('20.03'!K32,'20.03'!$AO$4:$AQ$55,3,FALSE))</f>
        <v>0</v>
      </c>
      <c r="D32" s="4">
        <f>(VLOOKUP('20.03'!L32,'20.03'!$AO$4:$AQ$55,3,FALSE))</f>
        <v>0</v>
      </c>
      <c r="E32" s="4">
        <f>(VLOOKUP('20.03'!M32,'20.03'!$AO$4:$AQ$55,3,FALSE))</f>
        <v>0</v>
      </c>
      <c r="F32" s="4">
        <f>(VLOOKUP('20.03'!N32,'20.03'!$AO$4:$AQ$55,3,FALSE))</f>
        <v>0</v>
      </c>
      <c r="G32" s="5">
        <f>(VLOOKUP('20.03'!O32,'20.03'!$AO$4:$AQ$55,3,FALSE))</f>
        <v>0</v>
      </c>
      <c r="H32" s="5">
        <f>(VLOOKUP('20.03'!P32,'20.03'!$AO$4:$AQ$55,3,FALSE))</f>
        <v>0</v>
      </c>
      <c r="I32" s="4">
        <f>(VLOOKUP('20.03'!Q32,'20.03'!$AO$4:$AQ$55,3,FALSE))</f>
        <v>0</v>
      </c>
      <c r="J32" s="4">
        <f>(VLOOKUP('20.03'!R32,'20.03'!$AO$4:$AQ$55,3,FALSE))</f>
        <v>0</v>
      </c>
      <c r="K32" s="4">
        <f>(VLOOKUP('20.03'!S32,'20.03'!$AO$4:$AQ$55,3,FALSE))</f>
        <v>0</v>
      </c>
      <c r="L32" s="4">
        <f>(VLOOKUP('20.03'!T32,'20.03'!$AO$4:$AQ$55,3,FALSE))</f>
        <v>0</v>
      </c>
      <c r="M32" s="4">
        <f>(VLOOKUP('20.03'!U32,'20.03'!$AO$4:$AQ$55,3,FALSE))</f>
        <v>0</v>
      </c>
      <c r="N32" s="4">
        <f>(VLOOKUP('20.03'!V32,'20.03'!$AO$4:$AQ$55,3,FALSE))</f>
        <v>0</v>
      </c>
      <c r="O32" s="5">
        <f>(VLOOKUP('20.03'!W32,'20.03'!$AO$4:$AQ$55,3,FALSE))</f>
        <v>0</v>
      </c>
      <c r="P32" s="5">
        <f>(VLOOKUP('20.03'!X32,'20.03'!$AO$4:$AQ$55,3,FALSE))</f>
        <v>0</v>
      </c>
      <c r="Q32" s="4">
        <f>(VLOOKUP('20.03'!Y32,'20.03'!$AO$4:$AQ$55,3,FALSE))</f>
        <v>0</v>
      </c>
      <c r="R32" s="4">
        <f>(VLOOKUP('20.03'!Z32,'20.03'!$AO$4:$AQ$55,3,FALSE))</f>
        <v>0</v>
      </c>
      <c r="S32" s="4">
        <f>(VLOOKUP('20.03'!AA32,'20.03'!$AO$4:$AQ$55,3,FALSE))</f>
        <v>0</v>
      </c>
      <c r="T32" s="4">
        <f>(VLOOKUP('20.03'!AB32,'20.03'!$AO$4:$AQ$55,3,FALSE))</f>
        <v>0</v>
      </c>
      <c r="U32" s="4">
        <f>(VLOOKUP('20.03'!AC32,'20.03'!$AO$4:$AQ$55,3,FALSE))</f>
        <v>0</v>
      </c>
      <c r="V32" s="4">
        <f>(VLOOKUP('20.03'!AD32,'20.03'!$AO$4:$AQ$55,3,FALSE))</f>
        <v>0</v>
      </c>
      <c r="W32" s="5">
        <f>(VLOOKUP('20.03'!AE32,'20.03'!$AO$4:$AQ$55,3,FALSE))</f>
        <v>0</v>
      </c>
      <c r="X32" s="5">
        <f>(VLOOKUP('20.03'!AF32,'20.03'!$AO$4:$AQ$55,3,FALSE))</f>
        <v>0</v>
      </c>
    </row>
    <row r="33" spans="1:24">
      <c r="A33" s="4">
        <f>(VLOOKUP('20.03'!I33,'20.03'!$AO$4:$AQ$55,3,FALSE))</f>
        <v>0</v>
      </c>
      <c r="B33" s="4">
        <f>(VLOOKUP('20.03'!J33,'20.03'!$AO$4:$AQ$55,3,FALSE))</f>
        <v>0</v>
      </c>
      <c r="C33" s="4">
        <f>(VLOOKUP('20.03'!K33,'20.03'!$AO$4:$AQ$55,3,FALSE))</f>
        <v>0</v>
      </c>
      <c r="D33" s="4">
        <f>(VLOOKUP('20.03'!L33,'20.03'!$AO$4:$AQ$55,3,FALSE))</f>
        <v>0</v>
      </c>
      <c r="E33" s="4">
        <f>(VLOOKUP('20.03'!M33,'20.03'!$AO$4:$AQ$55,3,FALSE))</f>
        <v>0</v>
      </c>
      <c r="F33" s="4">
        <f>(VLOOKUP('20.03'!N33,'20.03'!$AO$4:$AQ$55,3,FALSE))</f>
        <v>0</v>
      </c>
      <c r="G33" s="5">
        <f>(VLOOKUP('20.03'!O33,'20.03'!$AO$4:$AQ$55,3,FALSE))</f>
        <v>0</v>
      </c>
      <c r="H33" s="5">
        <f>(VLOOKUP('20.03'!P33,'20.03'!$AO$4:$AQ$55,3,FALSE))</f>
        <v>0</v>
      </c>
      <c r="I33" s="4">
        <f>(VLOOKUP('20.03'!Q33,'20.03'!$AO$4:$AQ$55,3,FALSE))</f>
        <v>0</v>
      </c>
      <c r="J33" s="4">
        <f>(VLOOKUP('20.03'!R33,'20.03'!$AO$4:$AQ$55,3,FALSE))</f>
        <v>0</v>
      </c>
      <c r="K33" s="4">
        <f>(VLOOKUP('20.03'!S33,'20.03'!$AO$4:$AQ$55,3,FALSE))</f>
        <v>0</v>
      </c>
      <c r="L33" s="4">
        <f>(VLOOKUP('20.03'!T33,'20.03'!$AO$4:$AQ$55,3,FALSE))</f>
        <v>0</v>
      </c>
      <c r="M33" s="4">
        <f>(VLOOKUP('20.03'!U33,'20.03'!$AO$4:$AQ$55,3,FALSE))</f>
        <v>0</v>
      </c>
      <c r="N33" s="4">
        <f>(VLOOKUP('20.03'!V33,'20.03'!$AO$4:$AQ$55,3,FALSE))</f>
        <v>0</v>
      </c>
      <c r="O33" s="5">
        <f>(VLOOKUP('20.03'!W33,'20.03'!$AO$4:$AQ$55,3,FALSE))</f>
        <v>0</v>
      </c>
      <c r="P33" s="5">
        <f>(VLOOKUP('20.03'!X33,'20.03'!$AO$4:$AQ$55,3,FALSE))</f>
        <v>0</v>
      </c>
      <c r="Q33" s="4">
        <f>(VLOOKUP('20.03'!Y33,'20.03'!$AO$4:$AQ$55,3,FALSE))</f>
        <v>0</v>
      </c>
      <c r="R33" s="4">
        <f>(VLOOKUP('20.03'!Z33,'20.03'!$AO$4:$AQ$55,3,FALSE))</f>
        <v>0</v>
      </c>
      <c r="S33" s="4">
        <f>(VLOOKUP('20.03'!AA33,'20.03'!$AO$4:$AQ$55,3,FALSE))</f>
        <v>0</v>
      </c>
      <c r="T33" s="4">
        <f>(VLOOKUP('20.03'!AB33,'20.03'!$AO$4:$AQ$55,3,FALSE))</f>
        <v>0</v>
      </c>
      <c r="U33" s="4">
        <f>(VLOOKUP('20.03'!AC33,'20.03'!$AO$4:$AQ$55,3,FALSE))</f>
        <v>0</v>
      </c>
      <c r="V33" s="4">
        <f>(VLOOKUP('20.03'!AD33,'20.03'!$AO$4:$AQ$55,3,FALSE))</f>
        <v>0</v>
      </c>
      <c r="W33" s="5">
        <f>(VLOOKUP('20.03'!AE33,'20.03'!$AO$4:$AQ$55,3,FALSE))</f>
        <v>0</v>
      </c>
      <c r="X33" s="5">
        <f>(VLOOKUP('20.03'!AF33,'20.03'!$AO$4:$AQ$55,3,FALSE))</f>
        <v>0</v>
      </c>
    </row>
    <row r="34" spans="1:24">
      <c r="A34" s="4">
        <f>(VLOOKUP('20.03'!I34,'20.03'!$AO$4:$AQ$55,3,FALSE))</f>
        <v>0</v>
      </c>
      <c r="B34" s="4">
        <f>(VLOOKUP('20.03'!J34,'20.03'!$AO$4:$AQ$55,3,FALSE))</f>
        <v>0</v>
      </c>
      <c r="C34" s="4">
        <f>(VLOOKUP('20.03'!K34,'20.03'!$AO$4:$AQ$55,3,FALSE))</f>
        <v>0</v>
      </c>
      <c r="D34" s="4">
        <f>(VLOOKUP('20.03'!L34,'20.03'!$AO$4:$AQ$55,3,FALSE))</f>
        <v>0</v>
      </c>
      <c r="E34" s="4">
        <f>(VLOOKUP('20.03'!M34,'20.03'!$AO$4:$AQ$55,3,FALSE))</f>
        <v>0</v>
      </c>
      <c r="F34" s="4">
        <f>(VLOOKUP('20.03'!N34,'20.03'!$AO$4:$AQ$55,3,FALSE))</f>
        <v>0</v>
      </c>
      <c r="G34" s="5">
        <f>(VLOOKUP('20.03'!O34,'20.03'!$AO$4:$AQ$55,3,FALSE))</f>
        <v>0</v>
      </c>
      <c r="H34" s="5">
        <f>(VLOOKUP('20.03'!P34,'20.03'!$AO$4:$AQ$55,3,FALSE))</f>
        <v>0</v>
      </c>
      <c r="I34" s="4">
        <f>(VLOOKUP('20.03'!Q34,'20.03'!$AO$4:$AQ$55,3,FALSE))</f>
        <v>0</v>
      </c>
      <c r="J34" s="4">
        <f>(VLOOKUP('20.03'!R34,'20.03'!$AO$4:$AQ$55,3,FALSE))</f>
        <v>0</v>
      </c>
      <c r="K34" s="4">
        <f>(VLOOKUP('20.03'!S34,'20.03'!$AO$4:$AQ$55,3,FALSE))</f>
        <v>0</v>
      </c>
      <c r="L34" s="4">
        <f>(VLOOKUP('20.03'!T34,'20.03'!$AO$4:$AQ$55,3,FALSE))</f>
        <v>0</v>
      </c>
      <c r="M34" s="4">
        <f>(VLOOKUP('20.03'!U34,'20.03'!$AO$4:$AQ$55,3,FALSE))</f>
        <v>0</v>
      </c>
      <c r="N34" s="4">
        <f>(VLOOKUP('20.03'!V34,'20.03'!$AO$4:$AQ$55,3,FALSE))</f>
        <v>0</v>
      </c>
      <c r="O34" s="5">
        <f>(VLOOKUP('20.03'!W34,'20.03'!$AO$4:$AQ$55,3,FALSE))</f>
        <v>0</v>
      </c>
      <c r="P34" s="5">
        <f>(VLOOKUP('20.03'!X34,'20.03'!$AO$4:$AQ$55,3,FALSE))</f>
        <v>0</v>
      </c>
      <c r="Q34" s="4">
        <f>(VLOOKUP('20.03'!Y34,'20.03'!$AO$4:$AQ$55,3,FALSE))</f>
        <v>0</v>
      </c>
      <c r="R34" s="4">
        <f>(VLOOKUP('20.03'!Z34,'20.03'!$AO$4:$AQ$55,3,FALSE))</f>
        <v>0</v>
      </c>
      <c r="S34" s="4">
        <f>(VLOOKUP('20.03'!AA34,'20.03'!$AO$4:$AQ$55,3,FALSE))</f>
        <v>0</v>
      </c>
      <c r="T34" s="4">
        <f>(VLOOKUP('20.03'!AB34,'20.03'!$AO$4:$AQ$55,3,FALSE))</f>
        <v>0</v>
      </c>
      <c r="U34" s="4">
        <f>(VLOOKUP('20.03'!AC34,'20.03'!$AO$4:$AQ$55,3,FALSE))</f>
        <v>0</v>
      </c>
      <c r="V34" s="4">
        <f>(VLOOKUP('20.03'!AD34,'20.03'!$AO$4:$AQ$55,3,FALSE))</f>
        <v>0</v>
      </c>
      <c r="W34" s="5">
        <f>(VLOOKUP('20.03'!AE34,'20.03'!$AO$4:$AQ$55,3,FALSE))</f>
        <v>0</v>
      </c>
      <c r="X34" s="5">
        <f>(VLOOKUP('20.03'!AF34,'20.03'!$AO$4:$AQ$55,3,FALSE))</f>
        <v>0</v>
      </c>
    </row>
    <row r="35" spans="1:24">
      <c r="A35" s="4">
        <f>(VLOOKUP('20.03'!I35,'20.03'!$AO$4:$AQ$55,3,FALSE))</f>
        <v>0</v>
      </c>
      <c r="B35" s="4">
        <f>(VLOOKUP('20.03'!J35,'20.03'!$AO$4:$AQ$55,3,FALSE))</f>
        <v>0</v>
      </c>
      <c r="C35" s="4">
        <f>(VLOOKUP('20.03'!K35,'20.03'!$AO$4:$AQ$55,3,FALSE))</f>
        <v>0</v>
      </c>
      <c r="D35" s="4">
        <f>(VLOOKUP('20.03'!L35,'20.03'!$AO$4:$AQ$55,3,FALSE))</f>
        <v>0</v>
      </c>
      <c r="E35" s="4">
        <f>(VLOOKUP('20.03'!M35,'20.03'!$AO$4:$AQ$55,3,FALSE))</f>
        <v>0</v>
      </c>
      <c r="F35" s="4">
        <f>(VLOOKUP('20.03'!N35,'20.03'!$AO$4:$AQ$55,3,FALSE))</f>
        <v>0</v>
      </c>
      <c r="G35" s="5">
        <f>(VLOOKUP('20.03'!O35,'20.03'!$AO$4:$AQ$55,3,FALSE))</f>
        <v>0</v>
      </c>
      <c r="H35" s="5">
        <f>(VLOOKUP('20.03'!P35,'20.03'!$AO$4:$AQ$55,3,FALSE))</f>
        <v>0</v>
      </c>
      <c r="I35" s="4">
        <f>(VLOOKUP('20.03'!Q35,'20.03'!$AO$4:$AQ$55,3,FALSE))</f>
        <v>0</v>
      </c>
      <c r="J35" s="4">
        <f>(VLOOKUP('20.03'!R35,'20.03'!$AO$4:$AQ$55,3,FALSE))</f>
        <v>0</v>
      </c>
      <c r="K35" s="4">
        <f>(VLOOKUP('20.03'!S35,'20.03'!$AO$4:$AQ$55,3,FALSE))</f>
        <v>0</v>
      </c>
      <c r="L35" s="4">
        <f>(VLOOKUP('20.03'!T35,'20.03'!$AO$4:$AQ$55,3,FALSE))</f>
        <v>0</v>
      </c>
      <c r="M35" s="4">
        <f>(VLOOKUP('20.03'!U35,'20.03'!$AO$4:$AQ$55,3,FALSE))</f>
        <v>0</v>
      </c>
      <c r="N35" s="4">
        <f>(VLOOKUP('20.03'!V35,'20.03'!$AO$4:$AQ$55,3,FALSE))</f>
        <v>0</v>
      </c>
      <c r="O35" s="5">
        <f>(VLOOKUP('20.03'!W35,'20.03'!$AO$4:$AQ$55,3,FALSE))</f>
        <v>0</v>
      </c>
      <c r="P35" s="5">
        <f>(VLOOKUP('20.03'!X35,'20.03'!$AO$4:$AQ$55,3,FALSE))</f>
        <v>0</v>
      </c>
      <c r="Q35" s="4">
        <f>(VLOOKUP('20.03'!Y35,'20.03'!$AO$4:$AQ$55,3,FALSE))</f>
        <v>0</v>
      </c>
      <c r="R35" s="4">
        <f>(VLOOKUP('20.03'!Z35,'20.03'!$AO$4:$AQ$55,3,FALSE))</f>
        <v>0</v>
      </c>
      <c r="S35" s="4">
        <f>(VLOOKUP('20.03'!AA35,'20.03'!$AO$4:$AQ$55,3,FALSE))</f>
        <v>0</v>
      </c>
      <c r="T35" s="4">
        <f>(VLOOKUP('20.03'!AB35,'20.03'!$AO$4:$AQ$55,3,FALSE))</f>
        <v>0</v>
      </c>
      <c r="U35" s="4">
        <f>(VLOOKUP('20.03'!AC35,'20.03'!$AO$4:$AQ$55,3,FALSE))</f>
        <v>0</v>
      </c>
      <c r="V35" s="4">
        <f>(VLOOKUP('20.03'!AD35,'20.03'!$AO$4:$AQ$55,3,FALSE))</f>
        <v>0</v>
      </c>
      <c r="W35" s="5">
        <f>(VLOOKUP('20.03'!AE35,'20.03'!$AO$4:$AQ$55,3,FALSE))</f>
        <v>0</v>
      </c>
      <c r="X35" s="5">
        <f>(VLOOKUP('20.03'!AF35,'20.03'!$AO$4:$AQ$55,3,FALSE))</f>
        <v>0</v>
      </c>
    </row>
    <row r="36" spans="1:24">
      <c r="A36" s="4">
        <f>(VLOOKUP('20.03'!I36,'20.03'!$AO$4:$AQ$55,3,FALSE))</f>
        <v>0</v>
      </c>
      <c r="B36" s="4">
        <f>(VLOOKUP('20.03'!J36,'20.03'!$AO$4:$AQ$55,3,FALSE))</f>
        <v>0</v>
      </c>
      <c r="C36" s="4">
        <f>(VLOOKUP('20.03'!K36,'20.03'!$AO$4:$AQ$55,3,FALSE))</f>
        <v>0</v>
      </c>
      <c r="D36" s="4">
        <f>(VLOOKUP('20.03'!L36,'20.03'!$AO$4:$AQ$55,3,FALSE))</f>
        <v>0</v>
      </c>
      <c r="E36" s="4">
        <f>(VLOOKUP('20.03'!M36,'20.03'!$AO$4:$AQ$55,3,FALSE))</f>
        <v>0</v>
      </c>
      <c r="F36" s="4">
        <f>(VLOOKUP('20.03'!N36,'20.03'!$AO$4:$AQ$55,3,FALSE))</f>
        <v>0</v>
      </c>
      <c r="G36" s="5">
        <f>(VLOOKUP('20.03'!O36,'20.03'!$AO$4:$AQ$55,3,FALSE))</f>
        <v>0</v>
      </c>
      <c r="H36" s="5">
        <f>(VLOOKUP('20.03'!P36,'20.03'!$AO$4:$AQ$55,3,FALSE))</f>
        <v>0</v>
      </c>
      <c r="I36" s="4">
        <f>(VLOOKUP('20.03'!Q36,'20.03'!$AO$4:$AQ$55,3,FALSE))</f>
        <v>0</v>
      </c>
      <c r="J36" s="4">
        <f>(VLOOKUP('20.03'!R36,'20.03'!$AO$4:$AQ$55,3,FALSE))</f>
        <v>0</v>
      </c>
      <c r="K36" s="4">
        <f>(VLOOKUP('20.03'!S36,'20.03'!$AO$4:$AQ$55,3,FALSE))</f>
        <v>0</v>
      </c>
      <c r="L36" s="4">
        <f>(VLOOKUP('20.03'!T36,'20.03'!$AO$4:$AQ$55,3,FALSE))</f>
        <v>0</v>
      </c>
      <c r="M36" s="4">
        <f>(VLOOKUP('20.03'!U36,'20.03'!$AO$4:$AQ$55,3,FALSE))</f>
        <v>0</v>
      </c>
      <c r="N36" s="4">
        <f>(VLOOKUP('20.03'!V36,'20.03'!$AO$4:$AQ$55,3,FALSE))</f>
        <v>0</v>
      </c>
      <c r="O36" s="5">
        <f>(VLOOKUP('20.03'!W36,'20.03'!$AO$4:$AQ$55,3,FALSE))</f>
        <v>0</v>
      </c>
      <c r="P36" s="5">
        <f>(VLOOKUP('20.03'!X36,'20.03'!$AO$4:$AQ$55,3,FALSE))</f>
        <v>0</v>
      </c>
      <c r="Q36" s="4">
        <f>(VLOOKUP('20.03'!Y36,'20.03'!$AO$4:$AQ$55,3,FALSE))</f>
        <v>0</v>
      </c>
      <c r="R36" s="4">
        <f>(VLOOKUP('20.03'!Z36,'20.03'!$AO$4:$AQ$55,3,FALSE))</f>
        <v>0</v>
      </c>
      <c r="S36" s="4">
        <f>(VLOOKUP('20.03'!AA36,'20.03'!$AO$4:$AQ$55,3,FALSE))</f>
        <v>0</v>
      </c>
      <c r="T36" s="4">
        <f>(VLOOKUP('20.03'!AB36,'20.03'!$AO$4:$AQ$55,3,FALSE))</f>
        <v>0</v>
      </c>
      <c r="U36" s="4">
        <f>(VLOOKUP('20.03'!AC36,'20.03'!$AO$4:$AQ$55,3,FALSE))</f>
        <v>0</v>
      </c>
      <c r="V36" s="4">
        <f>(VLOOKUP('20.03'!AD36,'20.03'!$AO$4:$AQ$55,3,FALSE))</f>
        <v>0</v>
      </c>
      <c r="W36" s="5">
        <f>(VLOOKUP('20.03'!AE36,'20.03'!$AO$4:$AQ$55,3,FALSE))</f>
        <v>0</v>
      </c>
      <c r="X36" s="5">
        <f>(VLOOKUP('20.03'!AF36,'20.03'!$AO$4:$AQ$55,3,FALSE))</f>
        <v>0</v>
      </c>
    </row>
    <row r="37" spans="1:24">
      <c r="A37" s="4">
        <f>(VLOOKUP('20.03'!I37,'20.03'!$AO$4:$AQ$55,3,FALSE))</f>
        <v>0</v>
      </c>
      <c r="B37" s="4">
        <f>(VLOOKUP('20.03'!J37,'20.03'!$AO$4:$AQ$55,3,FALSE))</f>
        <v>0</v>
      </c>
      <c r="C37" s="4">
        <f>(VLOOKUP('20.03'!K37,'20.03'!$AO$4:$AQ$55,3,FALSE))</f>
        <v>0</v>
      </c>
      <c r="D37" s="4">
        <f>(VLOOKUP('20.03'!L37,'20.03'!$AO$4:$AQ$55,3,FALSE))</f>
        <v>0</v>
      </c>
      <c r="E37" s="4">
        <f>(VLOOKUP('20.03'!M37,'20.03'!$AO$4:$AQ$55,3,FALSE))</f>
        <v>0</v>
      </c>
      <c r="F37" s="4">
        <f>(VLOOKUP('20.03'!N37,'20.03'!$AO$4:$AQ$55,3,FALSE))</f>
        <v>0</v>
      </c>
      <c r="G37" s="5">
        <f>(VLOOKUP('20.03'!O37,'20.03'!$AO$4:$AQ$55,3,FALSE))</f>
        <v>0</v>
      </c>
      <c r="H37" s="5">
        <f>(VLOOKUP('20.03'!P37,'20.03'!$AO$4:$AQ$55,3,FALSE))</f>
        <v>0</v>
      </c>
      <c r="I37" s="4">
        <f>(VLOOKUP('20.03'!Q37,'20.03'!$AO$4:$AQ$55,3,FALSE))</f>
        <v>0</v>
      </c>
      <c r="J37" s="4">
        <f>(VLOOKUP('20.03'!R37,'20.03'!$AO$4:$AQ$55,3,FALSE))</f>
        <v>0</v>
      </c>
      <c r="K37" s="4">
        <f>(VLOOKUP('20.03'!S37,'20.03'!$AO$4:$AQ$55,3,FALSE))</f>
        <v>0</v>
      </c>
      <c r="L37" s="4">
        <f>(VLOOKUP('20.03'!T37,'20.03'!$AO$4:$AQ$55,3,FALSE))</f>
        <v>0</v>
      </c>
      <c r="M37" s="4">
        <f>(VLOOKUP('20.03'!U37,'20.03'!$AO$4:$AQ$55,3,FALSE))</f>
        <v>0</v>
      </c>
      <c r="N37" s="4">
        <f>(VLOOKUP('20.03'!V37,'20.03'!$AO$4:$AQ$55,3,FALSE))</f>
        <v>0</v>
      </c>
      <c r="O37" s="5">
        <f>(VLOOKUP('20.03'!W37,'20.03'!$AO$4:$AQ$55,3,FALSE))</f>
        <v>0</v>
      </c>
      <c r="P37" s="5">
        <f>(VLOOKUP('20.03'!X37,'20.03'!$AO$4:$AQ$55,3,FALSE))</f>
        <v>0</v>
      </c>
      <c r="Q37" s="4">
        <f>(VLOOKUP('20.03'!Y37,'20.03'!$AO$4:$AQ$55,3,FALSE))</f>
        <v>0</v>
      </c>
      <c r="R37" s="4">
        <f>(VLOOKUP('20.03'!Z37,'20.03'!$AO$4:$AQ$55,3,FALSE))</f>
        <v>0</v>
      </c>
      <c r="S37" s="4">
        <f>(VLOOKUP('20.03'!AA37,'20.03'!$AO$4:$AQ$55,3,FALSE))</f>
        <v>0</v>
      </c>
      <c r="T37" s="4">
        <f>(VLOOKUP('20.03'!AB37,'20.03'!$AO$4:$AQ$55,3,FALSE))</f>
        <v>0</v>
      </c>
      <c r="U37" s="4">
        <f>(VLOOKUP('20.03'!AC37,'20.03'!$AO$4:$AQ$55,3,FALSE))</f>
        <v>0</v>
      </c>
      <c r="V37" s="4">
        <f>(VLOOKUP('20.03'!AD37,'20.03'!$AO$4:$AQ$55,3,FALSE))</f>
        <v>0</v>
      </c>
      <c r="W37" s="5">
        <f>(VLOOKUP('20.03'!AE37,'20.03'!$AO$4:$AQ$55,3,FALSE))</f>
        <v>0</v>
      </c>
      <c r="X37" s="5">
        <f>(VLOOKUP('20.03'!AF37,'20.03'!$AO$4:$AQ$55,3,FALSE))</f>
        <v>0</v>
      </c>
    </row>
    <row r="38" spans="1:24">
      <c r="A38" s="4">
        <f>(VLOOKUP('20.03'!I38,'20.03'!$AO$4:$AQ$55,3,FALSE))</f>
        <v>0</v>
      </c>
      <c r="B38" s="4">
        <f>(VLOOKUP('20.03'!J38,'20.03'!$AO$4:$AQ$55,3,FALSE))</f>
        <v>0</v>
      </c>
      <c r="C38" s="4">
        <f>(VLOOKUP('20.03'!K38,'20.03'!$AO$4:$AQ$55,3,FALSE))</f>
        <v>0</v>
      </c>
      <c r="D38" s="4">
        <f>(VLOOKUP('20.03'!L38,'20.03'!$AO$4:$AQ$55,3,FALSE))</f>
        <v>0</v>
      </c>
      <c r="E38" s="4">
        <f>(VLOOKUP('20.03'!M38,'20.03'!$AO$4:$AQ$55,3,FALSE))</f>
        <v>0</v>
      </c>
      <c r="F38" s="4">
        <f>(VLOOKUP('20.03'!N38,'20.03'!$AO$4:$AQ$55,3,FALSE))</f>
        <v>0</v>
      </c>
      <c r="G38" s="5">
        <f>(VLOOKUP('20.03'!O38,'20.03'!$AO$4:$AQ$55,3,FALSE))</f>
        <v>0</v>
      </c>
      <c r="H38" s="5">
        <f>(VLOOKUP('20.03'!P38,'20.03'!$AO$4:$AQ$55,3,FALSE))</f>
        <v>0</v>
      </c>
      <c r="I38" s="4">
        <f>(VLOOKUP('20.03'!Q38,'20.03'!$AO$4:$AQ$55,3,FALSE))</f>
        <v>0</v>
      </c>
      <c r="J38" s="4">
        <f>(VLOOKUP('20.03'!R38,'20.03'!$AO$4:$AQ$55,3,FALSE))</f>
        <v>0</v>
      </c>
      <c r="K38" s="4">
        <f>(VLOOKUP('20.03'!S38,'20.03'!$AO$4:$AQ$55,3,FALSE))</f>
        <v>0</v>
      </c>
      <c r="L38" s="4">
        <f>(VLOOKUP('20.03'!T38,'20.03'!$AO$4:$AQ$55,3,FALSE))</f>
        <v>0</v>
      </c>
      <c r="M38" s="4">
        <f>(VLOOKUP('20.03'!U38,'20.03'!$AO$4:$AQ$55,3,FALSE))</f>
        <v>0</v>
      </c>
      <c r="N38" s="4">
        <f>(VLOOKUP('20.03'!V38,'20.03'!$AO$4:$AQ$55,3,FALSE))</f>
        <v>0</v>
      </c>
      <c r="O38" s="5">
        <f>(VLOOKUP('20.03'!W38,'20.03'!$AO$4:$AQ$55,3,FALSE))</f>
        <v>0</v>
      </c>
      <c r="P38" s="5">
        <f>(VLOOKUP('20.03'!X38,'20.03'!$AO$4:$AQ$55,3,FALSE))</f>
        <v>0</v>
      </c>
      <c r="Q38" s="4">
        <f>(VLOOKUP('20.03'!Y38,'20.03'!$AO$4:$AQ$55,3,FALSE))</f>
        <v>0</v>
      </c>
      <c r="R38" s="4">
        <f>(VLOOKUP('20.03'!Z38,'20.03'!$AO$4:$AQ$55,3,FALSE))</f>
        <v>0</v>
      </c>
      <c r="S38" s="4">
        <f>(VLOOKUP('20.03'!AA38,'20.03'!$AO$4:$AQ$55,3,FALSE))</f>
        <v>0</v>
      </c>
      <c r="T38" s="4">
        <f>(VLOOKUP('20.03'!AB38,'20.03'!$AO$4:$AQ$55,3,FALSE))</f>
        <v>0</v>
      </c>
      <c r="U38" s="4">
        <f>(VLOOKUP('20.03'!AC38,'20.03'!$AO$4:$AQ$55,3,FALSE))</f>
        <v>0</v>
      </c>
      <c r="V38" s="4">
        <f>(VLOOKUP('20.03'!AD38,'20.03'!$AO$4:$AQ$55,3,FALSE))</f>
        <v>0</v>
      </c>
      <c r="W38" s="5">
        <f>(VLOOKUP('20.03'!AE38,'20.03'!$AO$4:$AQ$55,3,FALSE))</f>
        <v>0</v>
      </c>
      <c r="X38" s="5">
        <f>(VLOOKUP('20.03'!AF38,'20.03'!$AO$4:$AQ$55,3,FALSE))</f>
        <v>0</v>
      </c>
    </row>
    <row r="39" spans="1:24">
      <c r="A39" s="4">
        <f>(VLOOKUP('20.03'!I39,'20.03'!$AO$4:$AQ$55,3,FALSE))</f>
        <v>0</v>
      </c>
      <c r="B39" s="4">
        <f>(VLOOKUP('20.03'!J39,'20.03'!$AO$4:$AQ$55,3,FALSE))</f>
        <v>0</v>
      </c>
      <c r="C39" s="4">
        <f>(VLOOKUP('20.03'!K39,'20.03'!$AO$4:$AQ$55,3,FALSE))</f>
        <v>0</v>
      </c>
      <c r="D39" s="4">
        <f>(VLOOKUP('20.03'!L39,'20.03'!$AO$4:$AQ$55,3,FALSE))</f>
        <v>0</v>
      </c>
      <c r="E39" s="4">
        <f>(VLOOKUP('20.03'!M39,'20.03'!$AO$4:$AQ$55,3,FALSE))</f>
        <v>0</v>
      </c>
      <c r="F39" s="4">
        <f>(VLOOKUP('20.03'!N39,'20.03'!$AO$4:$AQ$55,3,FALSE))</f>
        <v>0</v>
      </c>
      <c r="G39" s="5">
        <f>(VLOOKUP('20.03'!O39,'20.03'!$AO$4:$AQ$55,3,FALSE))</f>
        <v>0</v>
      </c>
      <c r="H39" s="5">
        <f>(VLOOKUP('20.03'!P39,'20.03'!$AO$4:$AQ$55,3,FALSE))</f>
        <v>0</v>
      </c>
      <c r="I39" s="4">
        <f>(VLOOKUP('20.03'!Q39,'20.03'!$AO$4:$AQ$55,3,FALSE))</f>
        <v>0</v>
      </c>
      <c r="J39" s="4">
        <f>(VLOOKUP('20.03'!R39,'20.03'!$AO$4:$AQ$55,3,FALSE))</f>
        <v>0</v>
      </c>
      <c r="K39" s="4">
        <f>(VLOOKUP('20.03'!S39,'20.03'!$AO$4:$AQ$55,3,FALSE))</f>
        <v>0</v>
      </c>
      <c r="L39" s="4">
        <f>(VLOOKUP('20.03'!T39,'20.03'!$AO$4:$AQ$55,3,FALSE))</f>
        <v>0</v>
      </c>
      <c r="M39" s="4">
        <f>(VLOOKUP('20.03'!U39,'20.03'!$AO$4:$AQ$55,3,FALSE))</f>
        <v>0</v>
      </c>
      <c r="N39" s="4">
        <f>(VLOOKUP('20.03'!V39,'20.03'!$AO$4:$AQ$55,3,FALSE))</f>
        <v>0</v>
      </c>
      <c r="O39" s="5">
        <f>(VLOOKUP('20.03'!W39,'20.03'!$AO$4:$AQ$55,3,FALSE))</f>
        <v>0</v>
      </c>
      <c r="P39" s="5">
        <f>(VLOOKUP('20.03'!X39,'20.03'!$AO$4:$AQ$55,3,FALSE))</f>
        <v>0</v>
      </c>
      <c r="Q39" s="4">
        <f>(VLOOKUP('20.03'!Y39,'20.03'!$AO$4:$AQ$55,3,FALSE))</f>
        <v>0</v>
      </c>
      <c r="R39" s="4">
        <f>(VLOOKUP('20.03'!Z39,'20.03'!$AO$4:$AQ$55,3,FALSE))</f>
        <v>0</v>
      </c>
      <c r="S39" s="4">
        <f>(VLOOKUP('20.03'!AA39,'20.03'!$AO$4:$AQ$55,3,FALSE))</f>
        <v>0</v>
      </c>
      <c r="T39" s="4">
        <f>(VLOOKUP('20.03'!AB39,'20.03'!$AO$4:$AQ$55,3,FALSE))</f>
        <v>0</v>
      </c>
      <c r="U39" s="4">
        <f>(VLOOKUP('20.03'!AC39,'20.03'!$AO$4:$AQ$55,3,FALSE))</f>
        <v>0</v>
      </c>
      <c r="V39" s="4">
        <f>(VLOOKUP('20.03'!AD39,'20.03'!$AO$4:$AQ$55,3,FALSE))</f>
        <v>0</v>
      </c>
      <c r="W39" s="5">
        <f>(VLOOKUP('20.03'!AE39,'20.03'!$AO$4:$AQ$55,3,FALSE))</f>
        <v>0</v>
      </c>
      <c r="X39" s="5">
        <f>(VLOOKUP('20.03'!AF39,'20.03'!$AO$4:$AQ$55,3,FALSE))</f>
        <v>0</v>
      </c>
    </row>
    <row r="40" spans="1:24">
      <c r="A40" s="4">
        <f>(VLOOKUP('20.03'!I40,'20.03'!$AO$4:$AQ$55,3,FALSE))</f>
        <v>0</v>
      </c>
      <c r="B40" s="4">
        <f>(VLOOKUP('20.03'!J40,'20.03'!$AO$4:$AQ$55,3,FALSE))</f>
        <v>0</v>
      </c>
      <c r="C40" s="4">
        <f>(VLOOKUP('20.03'!K40,'20.03'!$AO$4:$AQ$55,3,FALSE))</f>
        <v>0</v>
      </c>
      <c r="D40" s="4">
        <f>(VLOOKUP('20.03'!L40,'20.03'!$AO$4:$AQ$55,3,FALSE))</f>
        <v>0</v>
      </c>
      <c r="E40" s="4">
        <f>(VLOOKUP('20.03'!M40,'20.03'!$AO$4:$AQ$55,3,FALSE))</f>
        <v>0</v>
      </c>
      <c r="F40" s="4">
        <f>(VLOOKUP('20.03'!N40,'20.03'!$AO$4:$AQ$55,3,FALSE))</f>
        <v>0</v>
      </c>
      <c r="G40" s="5">
        <f>(VLOOKUP('20.03'!O40,'20.03'!$AO$4:$AQ$55,3,FALSE))</f>
        <v>0</v>
      </c>
      <c r="H40" s="5">
        <f>(VLOOKUP('20.03'!P40,'20.03'!$AO$4:$AQ$55,3,FALSE))</f>
        <v>0</v>
      </c>
      <c r="I40" s="4">
        <f>(VLOOKUP('20.03'!Q40,'20.03'!$AO$4:$AQ$55,3,FALSE))</f>
        <v>0</v>
      </c>
      <c r="J40" s="4">
        <f>(VLOOKUP('20.03'!R40,'20.03'!$AO$4:$AQ$55,3,FALSE))</f>
        <v>0</v>
      </c>
      <c r="K40" s="4">
        <f>(VLOOKUP('20.03'!S40,'20.03'!$AO$4:$AQ$55,3,FALSE))</f>
        <v>0</v>
      </c>
      <c r="L40" s="4">
        <f>(VLOOKUP('20.03'!T40,'20.03'!$AO$4:$AQ$55,3,FALSE))</f>
        <v>0</v>
      </c>
      <c r="M40" s="4">
        <f>(VLOOKUP('20.03'!U40,'20.03'!$AO$4:$AQ$55,3,FALSE))</f>
        <v>0</v>
      </c>
      <c r="N40" s="4">
        <f>(VLOOKUP('20.03'!V40,'20.03'!$AO$4:$AQ$55,3,FALSE))</f>
        <v>0</v>
      </c>
      <c r="O40" s="5">
        <f>(VLOOKUP('20.03'!W40,'20.03'!$AO$4:$AQ$55,3,FALSE))</f>
        <v>0</v>
      </c>
      <c r="P40" s="5">
        <f>(VLOOKUP('20.03'!X40,'20.03'!$AO$4:$AQ$55,3,FALSE))</f>
        <v>0</v>
      </c>
      <c r="Q40" s="4">
        <f>(VLOOKUP('20.03'!Y40,'20.03'!$AO$4:$AQ$55,3,FALSE))</f>
        <v>0</v>
      </c>
      <c r="R40" s="4">
        <f>(VLOOKUP('20.03'!Z40,'20.03'!$AO$4:$AQ$55,3,FALSE))</f>
        <v>0</v>
      </c>
      <c r="S40" s="4">
        <f>(VLOOKUP('20.03'!AA40,'20.03'!$AO$4:$AQ$55,3,FALSE))</f>
        <v>0</v>
      </c>
      <c r="T40" s="4">
        <f>(VLOOKUP('20.03'!AB40,'20.03'!$AO$4:$AQ$55,3,FALSE))</f>
        <v>0</v>
      </c>
      <c r="U40" s="4">
        <f>(VLOOKUP('20.03'!AC40,'20.03'!$AO$4:$AQ$55,3,FALSE))</f>
        <v>0</v>
      </c>
      <c r="V40" s="4">
        <f>(VLOOKUP('20.03'!AD40,'20.03'!$AO$4:$AQ$55,3,FALSE))</f>
        <v>0</v>
      </c>
      <c r="W40" s="5">
        <f>(VLOOKUP('20.03'!AE40,'20.03'!$AO$4:$AQ$55,3,FALSE))</f>
        <v>0</v>
      </c>
      <c r="X40" s="5">
        <f>(VLOOKUP('20.03'!AF40,'20.03'!$AO$4:$AQ$55,3,FALSE))</f>
        <v>0</v>
      </c>
    </row>
    <row r="41" spans="1:24">
      <c r="A41" s="4">
        <f>(VLOOKUP('20.03'!I41,'20.03'!$AO$4:$AQ$55,3,FALSE))</f>
        <v>0</v>
      </c>
      <c r="B41" s="4">
        <f>(VLOOKUP('20.03'!J41,'20.03'!$AO$4:$AQ$55,3,FALSE))</f>
        <v>0</v>
      </c>
      <c r="C41" s="4">
        <f>(VLOOKUP('20.03'!K41,'20.03'!$AO$4:$AQ$55,3,FALSE))</f>
        <v>0</v>
      </c>
      <c r="D41" s="4">
        <f>(VLOOKUP('20.03'!L41,'20.03'!$AO$4:$AQ$55,3,FALSE))</f>
        <v>0</v>
      </c>
      <c r="E41" s="4">
        <f>(VLOOKUP('20.03'!M41,'20.03'!$AO$4:$AQ$55,3,FALSE))</f>
        <v>0</v>
      </c>
      <c r="F41" s="4">
        <f>(VLOOKUP('20.03'!N41,'20.03'!$AO$4:$AQ$55,3,FALSE))</f>
        <v>0</v>
      </c>
      <c r="G41" s="5">
        <f>(VLOOKUP('20.03'!O41,'20.03'!$AO$4:$AQ$55,3,FALSE))</f>
        <v>0</v>
      </c>
      <c r="H41" s="5">
        <f>(VLOOKUP('20.03'!P41,'20.03'!$AO$4:$AQ$55,3,FALSE))</f>
        <v>0</v>
      </c>
      <c r="I41" s="4">
        <f>(VLOOKUP('20.03'!Q41,'20.03'!$AO$4:$AQ$55,3,FALSE))</f>
        <v>0</v>
      </c>
      <c r="J41" s="4">
        <f>(VLOOKUP('20.03'!R41,'20.03'!$AO$4:$AQ$55,3,FALSE))</f>
        <v>0</v>
      </c>
      <c r="K41" s="4">
        <f>(VLOOKUP('20.03'!S41,'20.03'!$AO$4:$AQ$55,3,FALSE))</f>
        <v>0</v>
      </c>
      <c r="L41" s="4">
        <f>(VLOOKUP('20.03'!T41,'20.03'!$AO$4:$AQ$55,3,FALSE))</f>
        <v>0</v>
      </c>
      <c r="M41" s="4">
        <f>(VLOOKUP('20.03'!U41,'20.03'!$AO$4:$AQ$55,3,FALSE))</f>
        <v>0</v>
      </c>
      <c r="N41" s="4">
        <f>(VLOOKUP('20.03'!V41,'20.03'!$AO$4:$AQ$55,3,FALSE))</f>
        <v>0</v>
      </c>
      <c r="O41" s="5">
        <f>(VLOOKUP('20.03'!W41,'20.03'!$AO$4:$AQ$55,3,FALSE))</f>
        <v>0</v>
      </c>
      <c r="P41" s="5">
        <f>(VLOOKUP('20.03'!X41,'20.03'!$AO$4:$AQ$55,3,FALSE))</f>
        <v>0</v>
      </c>
      <c r="Q41" s="4">
        <f>(VLOOKUP('20.03'!Y41,'20.03'!$AO$4:$AQ$55,3,FALSE))</f>
        <v>0</v>
      </c>
      <c r="R41" s="4">
        <f>(VLOOKUP('20.03'!Z41,'20.03'!$AO$4:$AQ$55,3,FALSE))</f>
        <v>0</v>
      </c>
      <c r="S41" s="4">
        <f>(VLOOKUP('20.03'!AA41,'20.03'!$AO$4:$AQ$55,3,FALSE))</f>
        <v>0</v>
      </c>
      <c r="T41" s="4">
        <f>(VLOOKUP('20.03'!AB41,'20.03'!$AO$4:$AQ$55,3,FALSE))</f>
        <v>0</v>
      </c>
      <c r="U41" s="4">
        <f>(VLOOKUP('20.03'!AC41,'20.03'!$AO$4:$AQ$55,3,FALSE))</f>
        <v>0</v>
      </c>
      <c r="V41" s="4">
        <f>(VLOOKUP('20.03'!AD41,'20.03'!$AO$4:$AQ$55,3,FALSE))</f>
        <v>0</v>
      </c>
      <c r="W41" s="5">
        <f>(VLOOKUP('20.03'!AE41,'20.03'!$AO$4:$AQ$55,3,FALSE))</f>
        <v>0</v>
      </c>
      <c r="X41" s="5">
        <f>(VLOOKUP('20.03'!AF41,'20.03'!$AO$4:$AQ$55,3,FALSE))</f>
        <v>0</v>
      </c>
    </row>
    <row r="42" spans="1:24">
      <c r="A42" s="4">
        <f>(VLOOKUP('20.03'!I42,'20.03'!$AO$4:$AQ$55,3,FALSE))</f>
        <v>0</v>
      </c>
      <c r="B42" s="4">
        <f>(VLOOKUP('20.03'!J42,'20.03'!$AO$4:$AQ$55,3,FALSE))</f>
        <v>0</v>
      </c>
      <c r="C42" s="4">
        <f>(VLOOKUP('20.03'!K42,'20.03'!$AO$4:$AQ$55,3,FALSE))</f>
        <v>0</v>
      </c>
      <c r="D42" s="4">
        <f>(VLOOKUP('20.03'!L42,'20.03'!$AO$4:$AQ$55,3,FALSE))</f>
        <v>0</v>
      </c>
      <c r="E42" s="4">
        <f>(VLOOKUP('20.03'!M42,'20.03'!$AO$4:$AQ$55,3,FALSE))</f>
        <v>0</v>
      </c>
      <c r="F42" s="4">
        <f>(VLOOKUP('20.03'!N42,'20.03'!$AO$4:$AQ$55,3,FALSE))</f>
        <v>0</v>
      </c>
      <c r="G42" s="5">
        <f>(VLOOKUP('20.03'!O42,'20.03'!$AO$4:$AQ$55,3,FALSE))</f>
        <v>0</v>
      </c>
      <c r="H42" s="5">
        <f>(VLOOKUP('20.03'!P42,'20.03'!$AO$4:$AQ$55,3,FALSE))</f>
        <v>0</v>
      </c>
      <c r="I42" s="4">
        <f>(VLOOKUP('20.03'!Q42,'20.03'!$AO$4:$AQ$55,3,FALSE))</f>
        <v>0</v>
      </c>
      <c r="J42" s="4">
        <f>(VLOOKUP('20.03'!R42,'20.03'!$AO$4:$AQ$55,3,FALSE))</f>
        <v>0</v>
      </c>
      <c r="K42" s="4">
        <f>(VLOOKUP('20.03'!S42,'20.03'!$AO$4:$AQ$55,3,FALSE))</f>
        <v>0</v>
      </c>
      <c r="L42" s="4">
        <f>(VLOOKUP('20.03'!T42,'20.03'!$AO$4:$AQ$55,3,FALSE))</f>
        <v>0</v>
      </c>
      <c r="M42" s="4">
        <f>(VLOOKUP('20.03'!U42,'20.03'!$AO$4:$AQ$55,3,FALSE))</f>
        <v>0</v>
      </c>
      <c r="N42" s="4">
        <f>(VLOOKUP('20.03'!V42,'20.03'!$AO$4:$AQ$55,3,FALSE))</f>
        <v>0</v>
      </c>
      <c r="O42" s="5">
        <f>(VLOOKUP('20.03'!W42,'20.03'!$AO$4:$AQ$55,3,FALSE))</f>
        <v>0</v>
      </c>
      <c r="P42" s="5">
        <f>(VLOOKUP('20.03'!X42,'20.03'!$AO$4:$AQ$55,3,FALSE))</f>
        <v>0</v>
      </c>
      <c r="Q42" s="4">
        <f>(VLOOKUP('20.03'!Y42,'20.03'!$AO$4:$AQ$55,3,FALSE))</f>
        <v>0</v>
      </c>
      <c r="R42" s="4">
        <f>(VLOOKUP('20.03'!Z42,'20.03'!$AO$4:$AQ$55,3,FALSE))</f>
        <v>0</v>
      </c>
      <c r="S42" s="4">
        <f>(VLOOKUP('20.03'!AA42,'20.03'!$AO$4:$AQ$55,3,FALSE))</f>
        <v>0</v>
      </c>
      <c r="T42" s="4">
        <f>(VLOOKUP('20.03'!AB42,'20.03'!$AO$4:$AQ$55,3,FALSE))</f>
        <v>0</v>
      </c>
      <c r="U42" s="4">
        <f>(VLOOKUP('20.03'!AC42,'20.03'!$AO$4:$AQ$55,3,FALSE))</f>
        <v>0</v>
      </c>
      <c r="V42" s="4">
        <f>(VLOOKUP('20.03'!AD42,'20.03'!$AO$4:$AQ$55,3,FALSE))</f>
        <v>0</v>
      </c>
      <c r="W42" s="5">
        <f>(VLOOKUP('20.03'!AE42,'20.03'!$AO$4:$AQ$55,3,FALSE))</f>
        <v>0</v>
      </c>
      <c r="X42" s="5">
        <f>(VLOOKUP('20.03'!AF42,'20.03'!$AO$4:$AQ$55,3,FALSE))</f>
        <v>0</v>
      </c>
    </row>
    <row r="43" spans="1:24">
      <c r="A43" s="4">
        <f>(VLOOKUP('20.03'!I43,'20.03'!$AO$4:$AQ$55,3,FALSE))</f>
        <v>0</v>
      </c>
      <c r="B43" s="4">
        <f>(VLOOKUP('20.03'!J43,'20.03'!$AO$4:$AQ$55,3,FALSE))</f>
        <v>0</v>
      </c>
      <c r="C43" s="4">
        <f>(VLOOKUP('20.03'!K43,'20.03'!$AO$4:$AQ$55,3,FALSE))</f>
        <v>0</v>
      </c>
      <c r="D43" s="4">
        <f>(VLOOKUP('20.03'!L43,'20.03'!$AO$4:$AQ$55,3,FALSE))</f>
        <v>0</v>
      </c>
      <c r="E43" s="4">
        <f>(VLOOKUP('20.03'!M43,'20.03'!$AO$4:$AQ$55,3,FALSE))</f>
        <v>0</v>
      </c>
      <c r="F43" s="4">
        <f>(VLOOKUP('20.03'!N43,'20.03'!$AO$4:$AQ$55,3,FALSE))</f>
        <v>0</v>
      </c>
      <c r="G43" s="5">
        <f>(VLOOKUP('20.03'!O43,'20.03'!$AO$4:$AQ$55,3,FALSE))</f>
        <v>0</v>
      </c>
      <c r="H43" s="5">
        <f>(VLOOKUP('20.03'!P43,'20.03'!$AO$4:$AQ$55,3,FALSE))</f>
        <v>0</v>
      </c>
      <c r="I43" s="4">
        <f>(VLOOKUP('20.03'!Q43,'20.03'!$AO$4:$AQ$55,3,FALSE))</f>
        <v>0</v>
      </c>
      <c r="J43" s="4">
        <f>(VLOOKUP('20.03'!R43,'20.03'!$AO$4:$AQ$55,3,FALSE))</f>
        <v>0</v>
      </c>
      <c r="K43" s="4">
        <f>(VLOOKUP('20.03'!S43,'20.03'!$AO$4:$AQ$55,3,FALSE))</f>
        <v>0</v>
      </c>
      <c r="L43" s="4">
        <f>(VLOOKUP('20.03'!T43,'20.03'!$AO$4:$AQ$55,3,FALSE))</f>
        <v>0</v>
      </c>
      <c r="M43" s="4">
        <f>(VLOOKUP('20.03'!U43,'20.03'!$AO$4:$AQ$55,3,FALSE))</f>
        <v>0</v>
      </c>
      <c r="N43" s="4">
        <f>(VLOOKUP('20.03'!V43,'20.03'!$AO$4:$AQ$55,3,FALSE))</f>
        <v>0</v>
      </c>
      <c r="O43" s="5">
        <f>(VLOOKUP('20.03'!W43,'20.03'!$AO$4:$AQ$55,3,FALSE))</f>
        <v>0</v>
      </c>
      <c r="P43" s="5">
        <f>(VLOOKUP('20.03'!X43,'20.03'!$AO$4:$AQ$55,3,FALSE))</f>
        <v>0</v>
      </c>
      <c r="Q43" s="4">
        <f>(VLOOKUP('20.03'!Y43,'20.03'!$AO$4:$AQ$55,3,FALSE))</f>
        <v>0</v>
      </c>
      <c r="R43" s="4">
        <f>(VLOOKUP('20.03'!Z43,'20.03'!$AO$4:$AQ$55,3,FALSE))</f>
        <v>0</v>
      </c>
      <c r="S43" s="4">
        <f>(VLOOKUP('20.03'!AA43,'20.03'!$AO$4:$AQ$55,3,FALSE))</f>
        <v>0</v>
      </c>
      <c r="T43" s="4">
        <f>(VLOOKUP('20.03'!AB43,'20.03'!$AO$4:$AQ$55,3,FALSE))</f>
        <v>0</v>
      </c>
      <c r="U43" s="4">
        <f>(VLOOKUP('20.03'!AC43,'20.03'!$AO$4:$AQ$55,3,FALSE))</f>
        <v>0</v>
      </c>
      <c r="V43" s="4">
        <f>(VLOOKUP('20.03'!AD43,'20.03'!$AO$4:$AQ$55,3,FALSE))</f>
        <v>0</v>
      </c>
      <c r="W43" s="5">
        <f>(VLOOKUP('20.03'!AE43,'20.03'!$AO$4:$AQ$55,3,FALSE))</f>
        <v>0</v>
      </c>
      <c r="X43" s="5">
        <f>(VLOOKUP('20.03'!AF43,'20.03'!$AO$4:$AQ$55,3,FALSE))</f>
        <v>0</v>
      </c>
    </row>
    <row r="44" spans="1:24">
      <c r="A44" s="4">
        <f>(VLOOKUP('20.03'!I44,'20.03'!$AO$4:$AQ$55,3,FALSE))</f>
        <v>0</v>
      </c>
      <c r="B44" s="4">
        <f>(VLOOKUP('20.03'!J44,'20.03'!$AO$4:$AQ$55,3,FALSE))</f>
        <v>0</v>
      </c>
      <c r="C44" s="4">
        <f>(VLOOKUP('20.03'!K44,'20.03'!$AO$4:$AQ$55,3,FALSE))</f>
        <v>0</v>
      </c>
      <c r="D44" s="4">
        <f>(VLOOKUP('20.03'!L44,'20.03'!$AO$4:$AQ$55,3,FALSE))</f>
        <v>0</v>
      </c>
      <c r="E44" s="4">
        <f>(VLOOKUP('20.03'!M44,'20.03'!$AO$4:$AQ$55,3,FALSE))</f>
        <v>0</v>
      </c>
      <c r="F44" s="4">
        <f>(VLOOKUP('20.03'!N44,'20.03'!$AO$4:$AQ$55,3,FALSE))</f>
        <v>0</v>
      </c>
      <c r="G44" s="5">
        <f>(VLOOKUP('20.03'!O44,'20.03'!$AO$4:$AQ$55,3,FALSE))</f>
        <v>0</v>
      </c>
      <c r="H44" s="5">
        <f>(VLOOKUP('20.03'!P44,'20.03'!$AO$4:$AQ$55,3,FALSE))</f>
        <v>0</v>
      </c>
      <c r="I44" s="4">
        <f>(VLOOKUP('20.03'!Q44,'20.03'!$AO$4:$AQ$55,3,FALSE))</f>
        <v>0</v>
      </c>
      <c r="J44" s="4">
        <f>(VLOOKUP('20.03'!R44,'20.03'!$AO$4:$AQ$55,3,FALSE))</f>
        <v>0</v>
      </c>
      <c r="K44" s="4">
        <f>(VLOOKUP('20.03'!S44,'20.03'!$AO$4:$AQ$55,3,FALSE))</f>
        <v>0</v>
      </c>
      <c r="L44" s="4">
        <f>(VLOOKUP('20.03'!T44,'20.03'!$AO$4:$AQ$55,3,FALSE))</f>
        <v>0</v>
      </c>
      <c r="M44" s="4">
        <f>(VLOOKUP('20.03'!U44,'20.03'!$AO$4:$AQ$55,3,FALSE))</f>
        <v>0</v>
      </c>
      <c r="N44" s="4">
        <f>(VLOOKUP('20.03'!V44,'20.03'!$AO$4:$AQ$55,3,FALSE))</f>
        <v>0</v>
      </c>
      <c r="O44" s="5">
        <f>(VLOOKUP('20.03'!W44,'20.03'!$AO$4:$AQ$55,3,FALSE))</f>
        <v>0</v>
      </c>
      <c r="P44" s="5">
        <f>(VLOOKUP('20.03'!X44,'20.03'!$AO$4:$AQ$55,3,FALSE))</f>
        <v>0</v>
      </c>
      <c r="Q44" s="4">
        <f>(VLOOKUP('20.03'!Y44,'20.03'!$AO$4:$AQ$55,3,FALSE))</f>
        <v>0</v>
      </c>
      <c r="R44" s="4">
        <f>(VLOOKUP('20.03'!Z44,'20.03'!$AO$4:$AQ$55,3,FALSE))</f>
        <v>0</v>
      </c>
      <c r="S44" s="4">
        <f>(VLOOKUP('20.03'!AA44,'20.03'!$AO$4:$AQ$55,3,FALSE))</f>
        <v>0</v>
      </c>
      <c r="T44" s="4">
        <f>(VLOOKUP('20.03'!AB44,'20.03'!$AO$4:$AQ$55,3,FALSE))</f>
        <v>0</v>
      </c>
      <c r="U44" s="4">
        <f>(VLOOKUP('20.03'!AC44,'20.03'!$AO$4:$AQ$55,3,FALSE))</f>
        <v>0</v>
      </c>
      <c r="V44" s="4">
        <f>(VLOOKUP('20.03'!AD44,'20.03'!$AO$4:$AQ$55,3,FALSE))</f>
        <v>0</v>
      </c>
      <c r="W44" s="5">
        <f>(VLOOKUP('20.03'!AE44,'20.03'!$AO$4:$AQ$55,3,FALSE))</f>
        <v>0</v>
      </c>
      <c r="X44" s="5">
        <f>(VLOOKUP('20.03'!AF44,'20.03'!$AO$4:$AQ$55,3,FALSE))</f>
        <v>0</v>
      </c>
    </row>
    <row r="45" spans="1:24">
      <c r="A45" s="4">
        <f>(VLOOKUP('20.03'!I45,'20.03'!$AO$4:$AQ$55,3,FALSE))</f>
        <v>0</v>
      </c>
      <c r="B45" s="4">
        <f>(VLOOKUP('20.03'!J45,'20.03'!$AO$4:$AQ$55,3,FALSE))</f>
        <v>0</v>
      </c>
      <c r="C45" s="4">
        <f>(VLOOKUP('20.03'!K45,'20.03'!$AO$4:$AQ$55,3,FALSE))</f>
        <v>0</v>
      </c>
      <c r="D45" s="4">
        <f>(VLOOKUP('20.03'!L45,'20.03'!$AO$4:$AQ$55,3,FALSE))</f>
        <v>0</v>
      </c>
      <c r="E45" s="4">
        <f>(VLOOKUP('20.03'!M45,'20.03'!$AO$4:$AQ$55,3,FALSE))</f>
        <v>0</v>
      </c>
      <c r="F45" s="4">
        <f>(VLOOKUP('20.03'!N45,'20.03'!$AO$4:$AQ$55,3,FALSE))</f>
        <v>0</v>
      </c>
      <c r="G45" s="5">
        <f>(VLOOKUP('20.03'!O45,'20.03'!$AO$4:$AQ$55,3,FALSE))</f>
        <v>0</v>
      </c>
      <c r="H45" s="5">
        <f>(VLOOKUP('20.03'!P45,'20.03'!$AO$4:$AQ$55,3,FALSE))</f>
        <v>0</v>
      </c>
      <c r="I45" s="4">
        <f>(VLOOKUP('20.03'!Q45,'20.03'!$AO$4:$AQ$55,3,FALSE))</f>
        <v>0</v>
      </c>
      <c r="J45" s="4">
        <f>(VLOOKUP('20.03'!R45,'20.03'!$AO$4:$AQ$55,3,FALSE))</f>
        <v>0</v>
      </c>
      <c r="K45" s="4">
        <f>(VLOOKUP('20.03'!S45,'20.03'!$AO$4:$AQ$55,3,FALSE))</f>
        <v>0</v>
      </c>
      <c r="L45" s="4">
        <f>(VLOOKUP('20.03'!T45,'20.03'!$AO$4:$AQ$55,3,FALSE))</f>
        <v>0</v>
      </c>
      <c r="M45" s="4">
        <f>(VLOOKUP('20.03'!U45,'20.03'!$AO$4:$AQ$55,3,FALSE))</f>
        <v>0</v>
      </c>
      <c r="N45" s="4">
        <f>(VLOOKUP('20.03'!V45,'20.03'!$AO$4:$AQ$55,3,FALSE))</f>
        <v>0</v>
      </c>
      <c r="O45" s="5">
        <f>(VLOOKUP('20.03'!W45,'20.03'!$AO$4:$AQ$55,3,FALSE))</f>
        <v>0</v>
      </c>
      <c r="P45" s="5">
        <f>(VLOOKUP('20.03'!X45,'20.03'!$AO$4:$AQ$55,3,FALSE))</f>
        <v>0</v>
      </c>
      <c r="Q45" s="4">
        <f>(VLOOKUP('20.03'!Y45,'20.03'!$AO$4:$AQ$55,3,FALSE))</f>
        <v>0</v>
      </c>
      <c r="R45" s="4">
        <f>(VLOOKUP('20.03'!Z45,'20.03'!$AO$4:$AQ$55,3,FALSE))</f>
        <v>0</v>
      </c>
      <c r="S45" s="4">
        <f>(VLOOKUP('20.03'!AA45,'20.03'!$AO$4:$AQ$55,3,FALSE))</f>
        <v>0</v>
      </c>
      <c r="T45" s="4">
        <f>(VLOOKUP('20.03'!AB45,'20.03'!$AO$4:$AQ$55,3,FALSE))</f>
        <v>0</v>
      </c>
      <c r="U45" s="4">
        <f>(VLOOKUP('20.03'!AC45,'20.03'!$AO$4:$AQ$55,3,FALSE))</f>
        <v>0</v>
      </c>
      <c r="V45" s="4">
        <f>(VLOOKUP('20.03'!AD45,'20.03'!$AO$4:$AQ$55,3,FALSE))</f>
        <v>0</v>
      </c>
      <c r="W45" s="5">
        <f>(VLOOKUP('20.03'!AE45,'20.03'!$AO$4:$AQ$55,3,FALSE))</f>
        <v>0</v>
      </c>
      <c r="X45" s="5">
        <f>(VLOOKUP('20.03'!AF45,'20.03'!$AO$4:$AQ$55,3,FALSE))</f>
        <v>0</v>
      </c>
    </row>
    <row r="46" spans="1:24">
      <c r="A46" s="4">
        <f>(VLOOKUP('20.03'!I46,'20.03'!$AO$4:$AQ$55,3,FALSE))</f>
        <v>0</v>
      </c>
      <c r="B46" s="4">
        <f>(VLOOKUP('20.03'!J46,'20.03'!$AO$4:$AQ$55,3,FALSE))</f>
        <v>0</v>
      </c>
      <c r="C46" s="4">
        <f>(VLOOKUP('20.03'!K46,'20.03'!$AO$4:$AQ$55,3,FALSE))</f>
        <v>0</v>
      </c>
      <c r="D46" s="4">
        <f>(VLOOKUP('20.03'!L46,'20.03'!$AO$4:$AQ$55,3,FALSE))</f>
        <v>0</v>
      </c>
      <c r="E46" s="4">
        <f>(VLOOKUP('20.03'!M46,'20.03'!$AO$4:$AQ$55,3,FALSE))</f>
        <v>0</v>
      </c>
      <c r="F46" s="4">
        <f>(VLOOKUP('20.03'!N46,'20.03'!$AO$4:$AQ$55,3,FALSE))</f>
        <v>0</v>
      </c>
      <c r="G46" s="5">
        <f>(VLOOKUP('20.03'!O46,'20.03'!$AO$4:$AQ$55,3,FALSE))</f>
        <v>0</v>
      </c>
      <c r="H46" s="5">
        <f>(VLOOKUP('20.03'!P46,'20.03'!$AO$4:$AQ$55,3,FALSE))</f>
        <v>0</v>
      </c>
      <c r="I46" s="4">
        <f>(VLOOKUP('20.03'!Q46,'20.03'!$AO$4:$AQ$55,3,FALSE))</f>
        <v>0</v>
      </c>
      <c r="J46" s="4">
        <f>(VLOOKUP('20.03'!R46,'20.03'!$AO$4:$AQ$55,3,FALSE))</f>
        <v>0</v>
      </c>
      <c r="K46" s="4">
        <f>(VLOOKUP('20.03'!S46,'20.03'!$AO$4:$AQ$55,3,FALSE))</f>
        <v>0</v>
      </c>
      <c r="L46" s="4">
        <f>(VLOOKUP('20.03'!T46,'20.03'!$AO$4:$AQ$55,3,FALSE))</f>
        <v>0</v>
      </c>
      <c r="M46" s="4">
        <f>(VLOOKUP('20.03'!U46,'20.03'!$AO$4:$AQ$55,3,FALSE))</f>
        <v>0</v>
      </c>
      <c r="N46" s="4">
        <f>(VLOOKUP('20.03'!V46,'20.03'!$AO$4:$AQ$55,3,FALSE))</f>
        <v>0</v>
      </c>
      <c r="O46" s="5">
        <f>(VLOOKUP('20.03'!W46,'20.03'!$AO$4:$AQ$55,3,FALSE))</f>
        <v>0</v>
      </c>
      <c r="P46" s="5">
        <f>(VLOOKUP('20.03'!X46,'20.03'!$AO$4:$AQ$55,3,FALSE))</f>
        <v>0</v>
      </c>
      <c r="Q46" s="4">
        <f>(VLOOKUP('20.03'!Y46,'20.03'!$AO$4:$AQ$55,3,FALSE))</f>
        <v>0</v>
      </c>
      <c r="R46" s="4">
        <f>(VLOOKUP('20.03'!Z46,'20.03'!$AO$4:$AQ$55,3,FALSE))</f>
        <v>0</v>
      </c>
      <c r="S46" s="4">
        <f>(VLOOKUP('20.03'!AA46,'20.03'!$AO$4:$AQ$55,3,FALSE))</f>
        <v>0</v>
      </c>
      <c r="T46" s="4">
        <f>(VLOOKUP('20.03'!AB46,'20.03'!$AO$4:$AQ$55,3,FALSE))</f>
        <v>0</v>
      </c>
      <c r="U46" s="4">
        <f>(VLOOKUP('20.03'!AC46,'20.03'!$AO$4:$AQ$55,3,FALSE))</f>
        <v>0</v>
      </c>
      <c r="V46" s="4">
        <f>(VLOOKUP('20.03'!AD46,'20.03'!$AO$4:$AQ$55,3,FALSE))</f>
        <v>0</v>
      </c>
      <c r="W46" s="5">
        <f>(VLOOKUP('20.03'!AE46,'20.03'!$AO$4:$AQ$55,3,FALSE))</f>
        <v>0</v>
      </c>
      <c r="X46" s="5">
        <f>(VLOOKUP('20.03'!AF46,'20.03'!$AO$4:$AQ$55,3,FALSE))</f>
        <v>0</v>
      </c>
    </row>
    <row r="47" spans="1:24">
      <c r="A47" s="4">
        <f>(VLOOKUP('20.03'!I47,'20.03'!$AO$4:$AQ$55,3,FALSE))</f>
        <v>0</v>
      </c>
      <c r="B47" s="4">
        <f>(VLOOKUP('20.03'!J47,'20.03'!$AO$4:$AQ$55,3,FALSE))</f>
        <v>0</v>
      </c>
      <c r="C47" s="4">
        <f>(VLOOKUP('20.03'!K47,'20.03'!$AO$4:$AQ$55,3,FALSE))</f>
        <v>0</v>
      </c>
      <c r="D47" s="4">
        <f>(VLOOKUP('20.03'!L47,'20.03'!$AO$4:$AQ$55,3,FALSE))</f>
        <v>0</v>
      </c>
      <c r="E47" s="4">
        <f>(VLOOKUP('20.03'!M47,'20.03'!$AO$4:$AQ$55,3,FALSE))</f>
        <v>0</v>
      </c>
      <c r="F47" s="4">
        <f>(VLOOKUP('20.03'!N47,'20.03'!$AO$4:$AQ$55,3,FALSE))</f>
        <v>0</v>
      </c>
      <c r="G47" s="5">
        <f>(VLOOKUP('20.03'!O47,'20.03'!$AO$4:$AQ$55,3,FALSE))</f>
        <v>0</v>
      </c>
      <c r="H47" s="5">
        <f>(VLOOKUP('20.03'!P47,'20.03'!$AO$4:$AQ$55,3,FALSE))</f>
        <v>0</v>
      </c>
      <c r="I47" s="4">
        <f>(VLOOKUP('20.03'!Q47,'20.03'!$AO$4:$AQ$55,3,FALSE))</f>
        <v>0</v>
      </c>
      <c r="J47" s="4">
        <f>(VLOOKUP('20.03'!R47,'20.03'!$AO$4:$AQ$55,3,FALSE))</f>
        <v>0</v>
      </c>
      <c r="K47" s="4">
        <f>(VLOOKUP('20.03'!S47,'20.03'!$AO$4:$AQ$55,3,FALSE))</f>
        <v>0</v>
      </c>
      <c r="L47" s="4">
        <f>(VLOOKUP('20.03'!T47,'20.03'!$AO$4:$AQ$55,3,FALSE))</f>
        <v>0</v>
      </c>
      <c r="M47" s="4">
        <f>(VLOOKUP('20.03'!U47,'20.03'!$AO$4:$AQ$55,3,FALSE))</f>
        <v>0</v>
      </c>
      <c r="N47" s="4">
        <f>(VLOOKUP('20.03'!V47,'20.03'!$AO$4:$AQ$55,3,FALSE))</f>
        <v>0</v>
      </c>
      <c r="O47" s="5">
        <f>(VLOOKUP('20.03'!W47,'20.03'!$AO$4:$AQ$55,3,FALSE))</f>
        <v>0</v>
      </c>
      <c r="P47" s="5">
        <f>(VLOOKUP('20.03'!X47,'20.03'!$AO$4:$AQ$55,3,FALSE))</f>
        <v>0</v>
      </c>
      <c r="Q47" s="4">
        <f>(VLOOKUP('20.03'!Y47,'20.03'!$AO$4:$AQ$55,3,FALSE))</f>
        <v>0</v>
      </c>
      <c r="R47" s="4">
        <f>(VLOOKUP('20.03'!Z47,'20.03'!$AO$4:$AQ$55,3,FALSE))</f>
        <v>0</v>
      </c>
      <c r="S47" s="4">
        <f>(VLOOKUP('20.03'!AA47,'20.03'!$AO$4:$AQ$55,3,FALSE))</f>
        <v>0</v>
      </c>
      <c r="T47" s="4">
        <f>(VLOOKUP('20.03'!AB47,'20.03'!$AO$4:$AQ$55,3,FALSE))</f>
        <v>0</v>
      </c>
      <c r="U47" s="4">
        <f>(VLOOKUP('20.03'!AC47,'20.03'!$AO$4:$AQ$55,3,FALSE))</f>
        <v>0</v>
      </c>
      <c r="V47" s="4">
        <f>(VLOOKUP('20.03'!AD47,'20.03'!$AO$4:$AQ$55,3,FALSE))</f>
        <v>0</v>
      </c>
      <c r="W47" s="5">
        <f>(VLOOKUP('20.03'!AE47,'20.03'!$AO$4:$AQ$55,3,FALSE))</f>
        <v>0</v>
      </c>
      <c r="X47" s="5">
        <f>(VLOOKUP('20.03'!AF47,'20.03'!$AO$4:$AQ$55,3,FALSE))</f>
        <v>0</v>
      </c>
    </row>
    <row r="48" spans="1:24">
      <c r="A48" s="4">
        <f>(VLOOKUP('20.03'!I48,'20.03'!$AO$4:$AQ$55,3,FALSE))</f>
        <v>0</v>
      </c>
      <c r="B48" s="4">
        <f>(VLOOKUP('20.03'!J48,'20.03'!$AO$4:$AQ$55,3,FALSE))</f>
        <v>0</v>
      </c>
      <c r="C48" s="4">
        <f>(VLOOKUP('20.03'!K48,'20.03'!$AO$4:$AQ$55,3,FALSE))</f>
        <v>0</v>
      </c>
      <c r="D48" s="4">
        <f>(VLOOKUP('20.03'!L48,'20.03'!$AO$4:$AQ$55,3,FALSE))</f>
        <v>0</v>
      </c>
      <c r="E48" s="4">
        <f>(VLOOKUP('20.03'!M48,'20.03'!$AO$4:$AQ$55,3,FALSE))</f>
        <v>0</v>
      </c>
      <c r="F48" s="4">
        <f>(VLOOKUP('20.03'!N48,'20.03'!$AO$4:$AQ$55,3,FALSE))</f>
        <v>0</v>
      </c>
      <c r="G48" s="5">
        <f>(VLOOKUP('20.03'!O48,'20.03'!$AO$4:$AQ$55,3,FALSE))</f>
        <v>0</v>
      </c>
      <c r="H48" s="5">
        <f>(VLOOKUP('20.03'!P48,'20.03'!$AO$4:$AQ$55,3,FALSE))</f>
        <v>0</v>
      </c>
      <c r="I48" s="4">
        <f>(VLOOKUP('20.03'!Q48,'20.03'!$AO$4:$AQ$55,3,FALSE))</f>
        <v>0</v>
      </c>
      <c r="J48" s="4">
        <f>(VLOOKUP('20.03'!R48,'20.03'!$AO$4:$AQ$55,3,FALSE))</f>
        <v>0</v>
      </c>
      <c r="K48" s="4">
        <f>(VLOOKUP('20.03'!S48,'20.03'!$AO$4:$AQ$55,3,FALSE))</f>
        <v>0</v>
      </c>
      <c r="L48" s="4">
        <f>(VLOOKUP('20.03'!T48,'20.03'!$AO$4:$AQ$55,3,FALSE))</f>
        <v>0</v>
      </c>
      <c r="M48" s="4">
        <f>(VLOOKUP('20.03'!U48,'20.03'!$AO$4:$AQ$55,3,FALSE))</f>
        <v>0</v>
      </c>
      <c r="N48" s="4">
        <f>(VLOOKUP('20.03'!V48,'20.03'!$AO$4:$AQ$55,3,FALSE))</f>
        <v>0</v>
      </c>
      <c r="O48" s="5">
        <f>(VLOOKUP('20.03'!W48,'20.03'!$AO$4:$AQ$55,3,FALSE))</f>
        <v>0</v>
      </c>
      <c r="P48" s="5">
        <f>(VLOOKUP('20.03'!X48,'20.03'!$AO$4:$AQ$55,3,FALSE))</f>
        <v>0</v>
      </c>
      <c r="Q48" s="4">
        <f>(VLOOKUP('20.03'!Y48,'20.03'!$AO$4:$AQ$55,3,FALSE))</f>
        <v>0</v>
      </c>
      <c r="R48" s="4">
        <f>(VLOOKUP('20.03'!Z48,'20.03'!$AO$4:$AQ$55,3,FALSE))</f>
        <v>0</v>
      </c>
      <c r="S48" s="4">
        <f>(VLOOKUP('20.03'!AA48,'20.03'!$AO$4:$AQ$55,3,FALSE))</f>
        <v>0</v>
      </c>
      <c r="T48" s="4">
        <f>(VLOOKUP('20.03'!AB48,'20.03'!$AO$4:$AQ$55,3,FALSE))</f>
        <v>0</v>
      </c>
      <c r="U48" s="4">
        <f>(VLOOKUP('20.03'!AC48,'20.03'!$AO$4:$AQ$55,3,FALSE))</f>
        <v>0</v>
      </c>
      <c r="V48" s="4">
        <f>(VLOOKUP('20.03'!AD48,'20.03'!$AO$4:$AQ$55,3,FALSE))</f>
        <v>0</v>
      </c>
      <c r="W48" s="5">
        <f>(VLOOKUP('20.03'!AE48,'20.03'!$AO$4:$AQ$55,3,FALSE))</f>
        <v>0</v>
      </c>
      <c r="X48" s="5">
        <f>(VLOOKUP('20.03'!AF48,'20.03'!$AO$4:$AQ$55,3,FALSE))</f>
        <v>0</v>
      </c>
    </row>
    <row r="49" spans="1:24">
      <c r="A49" s="4">
        <f>(VLOOKUP('20.03'!I49,'20.03'!$AO$4:$AQ$55,3,FALSE))</f>
        <v>0</v>
      </c>
      <c r="B49" s="4">
        <f>(VLOOKUP('20.03'!J49,'20.03'!$AO$4:$AQ$55,3,FALSE))</f>
        <v>0</v>
      </c>
      <c r="C49" s="4">
        <f>(VLOOKUP('20.03'!K49,'20.03'!$AO$4:$AQ$55,3,FALSE))</f>
        <v>0</v>
      </c>
      <c r="D49" s="4">
        <f>(VLOOKUP('20.03'!L49,'20.03'!$AO$4:$AQ$55,3,FALSE))</f>
        <v>0</v>
      </c>
      <c r="E49" s="4">
        <f>(VLOOKUP('20.03'!M49,'20.03'!$AO$4:$AQ$55,3,FALSE))</f>
        <v>0</v>
      </c>
      <c r="F49" s="4">
        <f>(VLOOKUP('20.03'!N49,'20.03'!$AO$4:$AQ$55,3,FALSE))</f>
        <v>0</v>
      </c>
      <c r="G49" s="5">
        <f>(VLOOKUP('20.03'!O49,'20.03'!$AO$4:$AQ$55,3,FALSE))</f>
        <v>0</v>
      </c>
      <c r="H49" s="5">
        <f>(VLOOKUP('20.03'!P49,'20.03'!$AO$4:$AQ$55,3,FALSE))</f>
        <v>0</v>
      </c>
      <c r="I49" s="4">
        <f>(VLOOKUP('20.03'!Q49,'20.03'!$AO$4:$AQ$55,3,FALSE))</f>
        <v>0</v>
      </c>
      <c r="J49" s="4">
        <f>(VLOOKUP('20.03'!R49,'20.03'!$AO$4:$AQ$55,3,FALSE))</f>
        <v>0</v>
      </c>
      <c r="K49" s="4">
        <f>(VLOOKUP('20.03'!S49,'20.03'!$AO$4:$AQ$55,3,FALSE))</f>
        <v>0</v>
      </c>
      <c r="L49" s="4">
        <f>(VLOOKUP('20.03'!T49,'20.03'!$AO$4:$AQ$55,3,FALSE))</f>
        <v>0</v>
      </c>
      <c r="M49" s="4">
        <f>(VLOOKUP('20.03'!U49,'20.03'!$AO$4:$AQ$55,3,FALSE))</f>
        <v>0</v>
      </c>
      <c r="N49" s="4">
        <f>(VLOOKUP('20.03'!V49,'20.03'!$AO$4:$AQ$55,3,FALSE))</f>
        <v>0</v>
      </c>
      <c r="O49" s="5">
        <f>(VLOOKUP('20.03'!W49,'20.03'!$AO$4:$AQ$55,3,FALSE))</f>
        <v>0</v>
      </c>
      <c r="P49" s="5">
        <f>(VLOOKUP('20.03'!X49,'20.03'!$AO$4:$AQ$55,3,FALSE))</f>
        <v>0</v>
      </c>
      <c r="Q49" s="4">
        <f>(VLOOKUP('20.03'!Y49,'20.03'!$AO$4:$AQ$55,3,FALSE))</f>
        <v>0</v>
      </c>
      <c r="R49" s="4">
        <f>(VLOOKUP('20.03'!Z49,'20.03'!$AO$4:$AQ$55,3,FALSE))</f>
        <v>0</v>
      </c>
      <c r="S49" s="4">
        <f>(VLOOKUP('20.03'!AA49,'20.03'!$AO$4:$AQ$55,3,FALSE))</f>
        <v>0</v>
      </c>
      <c r="T49" s="4">
        <f>(VLOOKUP('20.03'!AB49,'20.03'!$AO$4:$AQ$55,3,FALSE))</f>
        <v>0</v>
      </c>
      <c r="U49" s="4">
        <f>(VLOOKUP('20.03'!AC49,'20.03'!$AO$4:$AQ$55,3,FALSE))</f>
        <v>0</v>
      </c>
      <c r="V49" s="4">
        <f>(VLOOKUP('20.03'!AD49,'20.03'!$AO$4:$AQ$55,3,FALSE))</f>
        <v>0</v>
      </c>
      <c r="W49" s="5">
        <f>(VLOOKUP('20.03'!AE49,'20.03'!$AO$4:$AQ$55,3,FALSE))</f>
        <v>0</v>
      </c>
      <c r="X49" s="5">
        <f>(VLOOKUP('20.03'!AF49,'20.03'!$AO$4:$AQ$55,3,FALSE))</f>
        <v>0</v>
      </c>
    </row>
    <row r="50" spans="1:24">
      <c r="A50" s="4">
        <f>(VLOOKUP('20.03'!I50,'20.03'!$AO$4:$AQ$55,3,FALSE))</f>
        <v>0</v>
      </c>
      <c r="B50" s="4">
        <f>(VLOOKUP('20.03'!J50,'20.03'!$AO$4:$AQ$55,3,FALSE))</f>
        <v>0</v>
      </c>
      <c r="C50" s="4">
        <f>(VLOOKUP('20.03'!K50,'20.03'!$AO$4:$AQ$55,3,FALSE))</f>
        <v>0</v>
      </c>
      <c r="D50" s="4">
        <f>(VLOOKUP('20.03'!L50,'20.03'!$AO$4:$AQ$55,3,FALSE))</f>
        <v>0</v>
      </c>
      <c r="E50" s="4">
        <f>(VLOOKUP('20.03'!M50,'20.03'!$AO$4:$AQ$55,3,FALSE))</f>
        <v>0</v>
      </c>
      <c r="F50" s="4">
        <f>(VLOOKUP('20.03'!N50,'20.03'!$AO$4:$AQ$55,3,FALSE))</f>
        <v>0</v>
      </c>
      <c r="G50" s="5">
        <f>(VLOOKUP('20.03'!O50,'20.03'!$AO$4:$AQ$55,3,FALSE))</f>
        <v>0</v>
      </c>
      <c r="H50" s="5">
        <f>(VLOOKUP('20.03'!P50,'20.03'!$AO$4:$AQ$55,3,FALSE))</f>
        <v>0</v>
      </c>
      <c r="I50" s="4">
        <f>(VLOOKUP('20.03'!Q50,'20.03'!$AO$4:$AQ$55,3,FALSE))</f>
        <v>0</v>
      </c>
      <c r="J50" s="4">
        <f>(VLOOKUP('20.03'!R50,'20.03'!$AO$4:$AQ$55,3,FALSE))</f>
        <v>0</v>
      </c>
      <c r="K50" s="4">
        <f>(VLOOKUP('20.03'!S50,'20.03'!$AO$4:$AQ$55,3,FALSE))</f>
        <v>0</v>
      </c>
      <c r="L50" s="4">
        <f>(VLOOKUP('20.03'!T50,'20.03'!$AO$4:$AQ$55,3,FALSE))</f>
        <v>0</v>
      </c>
      <c r="M50" s="4">
        <f>(VLOOKUP('20.03'!U50,'20.03'!$AO$4:$AQ$55,3,FALSE))</f>
        <v>0</v>
      </c>
      <c r="N50" s="4">
        <f>(VLOOKUP('20.03'!V50,'20.03'!$AO$4:$AQ$55,3,FALSE))</f>
        <v>0</v>
      </c>
      <c r="O50" s="5">
        <f>(VLOOKUP('20.03'!W50,'20.03'!$AO$4:$AQ$55,3,FALSE))</f>
        <v>0</v>
      </c>
      <c r="P50" s="5">
        <f>(VLOOKUP('20.03'!X50,'20.03'!$AO$4:$AQ$55,3,FALSE))</f>
        <v>0</v>
      </c>
      <c r="Q50" s="4">
        <f>(VLOOKUP('20.03'!Y50,'20.03'!$AO$4:$AQ$55,3,FALSE))</f>
        <v>0</v>
      </c>
      <c r="R50" s="4">
        <f>(VLOOKUP('20.03'!Z50,'20.03'!$AO$4:$AQ$55,3,FALSE))</f>
        <v>0</v>
      </c>
      <c r="S50" s="4">
        <f>(VLOOKUP('20.03'!AA50,'20.03'!$AO$4:$AQ$55,3,FALSE))</f>
        <v>0</v>
      </c>
      <c r="T50" s="4">
        <f>(VLOOKUP('20.03'!AB50,'20.03'!$AO$4:$AQ$55,3,FALSE))</f>
        <v>0</v>
      </c>
      <c r="U50" s="4">
        <f>(VLOOKUP('20.03'!AC50,'20.03'!$AO$4:$AQ$55,3,FALSE))</f>
        <v>0</v>
      </c>
      <c r="V50" s="4">
        <f>(VLOOKUP('20.03'!AD50,'20.03'!$AO$4:$AQ$55,3,FALSE))</f>
        <v>0</v>
      </c>
      <c r="W50" s="5">
        <f>(VLOOKUP('20.03'!AE50,'20.03'!$AO$4:$AQ$55,3,FALSE))</f>
        <v>0</v>
      </c>
      <c r="X50" s="5">
        <f>(VLOOKUP('20.03'!AF50,'20.03'!$AO$4:$AQ$55,3,FALSE))</f>
        <v>0</v>
      </c>
    </row>
    <row r="51" spans="1:24">
      <c r="A51" s="4">
        <f>(VLOOKUP('20.03'!I51,'20.03'!$AO$4:$AQ$55,3,FALSE))</f>
        <v>0</v>
      </c>
      <c r="B51" s="4">
        <f>(VLOOKUP('20.03'!J51,'20.03'!$AO$4:$AQ$55,3,FALSE))</f>
        <v>0</v>
      </c>
      <c r="C51" s="4">
        <f>(VLOOKUP('20.03'!K51,'20.03'!$AO$4:$AQ$55,3,FALSE))</f>
        <v>0</v>
      </c>
      <c r="D51" s="4">
        <f>(VLOOKUP('20.03'!L51,'20.03'!$AO$4:$AQ$55,3,FALSE))</f>
        <v>0</v>
      </c>
      <c r="E51" s="4">
        <f>(VLOOKUP('20.03'!M51,'20.03'!$AO$4:$AQ$55,3,FALSE))</f>
        <v>0</v>
      </c>
      <c r="F51" s="4">
        <f>(VLOOKUP('20.03'!N51,'20.03'!$AO$4:$AQ$55,3,FALSE))</f>
        <v>0</v>
      </c>
      <c r="G51" s="5">
        <f>(VLOOKUP('20.03'!O51,'20.03'!$AO$4:$AQ$55,3,FALSE))</f>
        <v>0</v>
      </c>
      <c r="H51" s="5">
        <f>(VLOOKUP('20.03'!P51,'20.03'!$AO$4:$AQ$55,3,FALSE))</f>
        <v>0</v>
      </c>
      <c r="I51" s="4">
        <f>(VLOOKUP('20.03'!Q51,'20.03'!$AO$4:$AQ$55,3,FALSE))</f>
        <v>0</v>
      </c>
      <c r="J51" s="4">
        <f>(VLOOKUP('20.03'!R51,'20.03'!$AO$4:$AQ$55,3,FALSE))</f>
        <v>0</v>
      </c>
      <c r="K51" s="4">
        <f>(VLOOKUP('20.03'!S51,'20.03'!$AO$4:$AQ$55,3,FALSE))</f>
        <v>0</v>
      </c>
      <c r="L51" s="4">
        <f>(VLOOKUP('20.03'!T51,'20.03'!$AO$4:$AQ$55,3,FALSE))</f>
        <v>0</v>
      </c>
      <c r="M51" s="4">
        <f>(VLOOKUP('20.03'!U51,'20.03'!$AO$4:$AQ$55,3,FALSE))</f>
        <v>0</v>
      </c>
      <c r="N51" s="4">
        <f>(VLOOKUP('20.03'!V51,'20.03'!$AO$4:$AQ$55,3,FALSE))</f>
        <v>0</v>
      </c>
      <c r="O51" s="5">
        <f>(VLOOKUP('20.03'!W51,'20.03'!$AO$4:$AQ$55,3,FALSE))</f>
        <v>0</v>
      </c>
      <c r="P51" s="5">
        <f>(VLOOKUP('20.03'!X51,'20.03'!$AO$4:$AQ$55,3,FALSE))</f>
        <v>0</v>
      </c>
      <c r="Q51" s="4">
        <f>(VLOOKUP('20.03'!Y51,'20.03'!$AO$4:$AQ$55,3,FALSE))</f>
        <v>0</v>
      </c>
      <c r="R51" s="4">
        <f>(VLOOKUP('20.03'!Z51,'20.03'!$AO$4:$AQ$55,3,FALSE))</f>
        <v>0</v>
      </c>
      <c r="S51" s="4">
        <f>(VLOOKUP('20.03'!AA51,'20.03'!$AO$4:$AQ$55,3,FALSE))</f>
        <v>0</v>
      </c>
      <c r="T51" s="4">
        <f>(VLOOKUP('20.03'!AB51,'20.03'!$AO$4:$AQ$55,3,FALSE))</f>
        <v>0</v>
      </c>
      <c r="U51" s="4">
        <f>(VLOOKUP('20.03'!AC51,'20.03'!$AO$4:$AQ$55,3,FALSE))</f>
        <v>0</v>
      </c>
      <c r="V51" s="4">
        <f>(VLOOKUP('20.03'!AD51,'20.03'!$AO$4:$AQ$55,3,FALSE))</f>
        <v>0</v>
      </c>
      <c r="W51" s="5">
        <f>(VLOOKUP('20.03'!AE51,'20.03'!$AO$4:$AQ$55,3,FALSE))</f>
        <v>0</v>
      </c>
      <c r="X51" s="5">
        <f>(VLOOKUP('20.03'!AF51,'20.03'!$AO$4:$AQ$55,3,FALSE))</f>
        <v>0</v>
      </c>
    </row>
    <row r="52" spans="1:24">
      <c r="A52" s="4">
        <f>(VLOOKUP('20.03'!I52,'20.03'!$AO$4:$AQ$55,3,FALSE))</f>
        <v>0</v>
      </c>
      <c r="B52" s="4">
        <f>(VLOOKUP('20.03'!J52,'20.03'!$AO$4:$AQ$55,3,FALSE))</f>
        <v>0</v>
      </c>
      <c r="C52" s="4">
        <f>(VLOOKUP('20.03'!K52,'20.03'!$AO$4:$AQ$55,3,FALSE))</f>
        <v>0</v>
      </c>
      <c r="D52" s="4">
        <f>(VLOOKUP('20.03'!L52,'20.03'!$AO$4:$AQ$55,3,FALSE))</f>
        <v>0</v>
      </c>
      <c r="E52" s="4">
        <f>(VLOOKUP('20.03'!M52,'20.03'!$AO$4:$AQ$55,3,FALSE))</f>
        <v>0</v>
      </c>
      <c r="F52" s="4">
        <f>(VLOOKUP('20.03'!N52,'20.03'!$AO$4:$AQ$55,3,FALSE))</f>
        <v>0</v>
      </c>
      <c r="G52" s="5">
        <f>(VLOOKUP('20.03'!O52,'20.03'!$AO$4:$AQ$55,3,FALSE))</f>
        <v>0</v>
      </c>
      <c r="H52" s="5">
        <f>(VLOOKUP('20.03'!P52,'20.03'!$AO$4:$AQ$55,3,FALSE))</f>
        <v>0</v>
      </c>
      <c r="I52" s="4">
        <f>(VLOOKUP('20.03'!Q52,'20.03'!$AO$4:$AQ$55,3,FALSE))</f>
        <v>0</v>
      </c>
      <c r="J52" s="4">
        <f>(VLOOKUP('20.03'!R52,'20.03'!$AO$4:$AQ$55,3,FALSE))</f>
        <v>0</v>
      </c>
      <c r="K52" s="4">
        <f>(VLOOKUP('20.03'!S52,'20.03'!$AO$4:$AQ$55,3,FALSE))</f>
        <v>0</v>
      </c>
      <c r="L52" s="4">
        <f>(VLOOKUP('20.03'!T52,'20.03'!$AO$4:$AQ$55,3,FALSE))</f>
        <v>0</v>
      </c>
      <c r="M52" s="4">
        <f>(VLOOKUP('20.03'!U52,'20.03'!$AO$4:$AQ$55,3,FALSE))</f>
        <v>0</v>
      </c>
      <c r="N52" s="4">
        <f>(VLOOKUP('20.03'!V52,'20.03'!$AO$4:$AQ$55,3,FALSE))</f>
        <v>0</v>
      </c>
      <c r="O52" s="5">
        <f>(VLOOKUP('20.03'!W52,'20.03'!$AO$4:$AQ$55,3,FALSE))</f>
        <v>0</v>
      </c>
      <c r="P52" s="5">
        <f>(VLOOKUP('20.03'!X52,'20.03'!$AO$4:$AQ$55,3,FALSE))</f>
        <v>0</v>
      </c>
      <c r="Q52" s="4">
        <f>(VLOOKUP('20.03'!Y52,'20.03'!$AO$4:$AQ$55,3,FALSE))</f>
        <v>0</v>
      </c>
      <c r="R52" s="4">
        <f>(VLOOKUP('20.03'!Z52,'20.03'!$AO$4:$AQ$55,3,FALSE))</f>
        <v>0</v>
      </c>
      <c r="S52" s="4">
        <f>(VLOOKUP('20.03'!AA52,'20.03'!$AO$4:$AQ$55,3,FALSE))</f>
        <v>0</v>
      </c>
      <c r="T52" s="4">
        <f>(VLOOKUP('20.03'!AB52,'20.03'!$AO$4:$AQ$55,3,FALSE))</f>
        <v>0</v>
      </c>
      <c r="U52" s="4">
        <f>(VLOOKUP('20.03'!AC52,'20.03'!$AO$4:$AQ$55,3,FALSE))</f>
        <v>0</v>
      </c>
      <c r="V52" s="4">
        <f>(VLOOKUP('20.03'!AD52,'20.03'!$AO$4:$AQ$55,3,FALSE))</f>
        <v>0</v>
      </c>
      <c r="W52" s="5">
        <f>(VLOOKUP('20.03'!AE52,'20.03'!$AO$4:$AQ$55,3,FALSE))</f>
        <v>0</v>
      </c>
      <c r="X52" s="5">
        <f>(VLOOKUP('20.03'!AF52,'20.03'!$AO$4:$AQ$55,3,FALSE))</f>
        <v>0</v>
      </c>
    </row>
    <row r="53" spans="1:24">
      <c r="A53" s="4">
        <f>(VLOOKUP('20.03'!I53,'20.03'!$AO$4:$AQ$55,3,FALSE))</f>
        <v>0</v>
      </c>
      <c r="B53" s="4">
        <f>(VLOOKUP('20.03'!J53,'20.03'!$AO$4:$AQ$55,3,FALSE))</f>
        <v>0</v>
      </c>
      <c r="C53" s="4">
        <f>(VLOOKUP('20.03'!K53,'20.03'!$AO$4:$AQ$55,3,FALSE))</f>
        <v>0</v>
      </c>
      <c r="D53" s="4">
        <f>(VLOOKUP('20.03'!L53,'20.03'!$AO$4:$AQ$55,3,FALSE))</f>
        <v>0</v>
      </c>
      <c r="E53" s="4">
        <f>(VLOOKUP('20.03'!M53,'20.03'!$AO$4:$AQ$55,3,FALSE))</f>
        <v>0</v>
      </c>
      <c r="F53" s="4">
        <f>(VLOOKUP('20.03'!N53,'20.03'!$AO$4:$AQ$55,3,FALSE))</f>
        <v>0</v>
      </c>
      <c r="G53" s="5">
        <f>(VLOOKUP('20.03'!O53,'20.03'!$AO$4:$AQ$55,3,FALSE))</f>
        <v>0</v>
      </c>
      <c r="H53" s="5">
        <f>(VLOOKUP('20.03'!P53,'20.03'!$AO$4:$AQ$55,3,FALSE))</f>
        <v>0</v>
      </c>
      <c r="I53" s="4">
        <f>(VLOOKUP('20.03'!Q53,'20.03'!$AO$4:$AQ$55,3,FALSE))</f>
        <v>0</v>
      </c>
      <c r="J53" s="4">
        <f>(VLOOKUP('20.03'!R53,'20.03'!$AO$4:$AQ$55,3,FALSE))</f>
        <v>0</v>
      </c>
      <c r="K53" s="4">
        <f>(VLOOKUP('20.03'!S53,'20.03'!$AO$4:$AQ$55,3,FALSE))</f>
        <v>0</v>
      </c>
      <c r="L53" s="4">
        <f>(VLOOKUP('20.03'!T53,'20.03'!$AO$4:$AQ$55,3,FALSE))</f>
        <v>0</v>
      </c>
      <c r="M53" s="4">
        <f>(VLOOKUP('20.03'!U53,'20.03'!$AO$4:$AQ$55,3,FALSE))</f>
        <v>0</v>
      </c>
      <c r="N53" s="4">
        <f>(VLOOKUP('20.03'!V53,'20.03'!$AO$4:$AQ$55,3,FALSE))</f>
        <v>0</v>
      </c>
      <c r="O53" s="5">
        <f>(VLOOKUP('20.03'!W53,'20.03'!$AO$4:$AQ$55,3,FALSE))</f>
        <v>0</v>
      </c>
      <c r="P53" s="5">
        <f>(VLOOKUP('20.03'!X53,'20.03'!$AO$4:$AQ$55,3,FALSE))</f>
        <v>0</v>
      </c>
      <c r="Q53" s="4">
        <f>(VLOOKUP('20.03'!Y53,'20.03'!$AO$4:$AQ$55,3,FALSE))</f>
        <v>0</v>
      </c>
      <c r="R53" s="4">
        <f>(VLOOKUP('20.03'!Z53,'20.03'!$AO$4:$AQ$55,3,FALSE))</f>
        <v>0</v>
      </c>
      <c r="S53" s="4">
        <f>(VLOOKUP('20.03'!AA53,'20.03'!$AO$4:$AQ$55,3,FALSE))</f>
        <v>0</v>
      </c>
      <c r="T53" s="4">
        <f>(VLOOKUP('20.03'!AB53,'20.03'!$AO$4:$AQ$55,3,FALSE))</f>
        <v>0</v>
      </c>
      <c r="U53" s="4">
        <f>(VLOOKUP('20.03'!AC53,'20.03'!$AO$4:$AQ$55,3,FALSE))</f>
        <v>0</v>
      </c>
      <c r="V53" s="4">
        <f>(VLOOKUP('20.03'!AD53,'20.03'!$AO$4:$AQ$55,3,FALSE))</f>
        <v>0</v>
      </c>
      <c r="W53" s="5">
        <f>(VLOOKUP('20.03'!AE53,'20.03'!$AO$4:$AQ$55,3,FALSE))</f>
        <v>0</v>
      </c>
      <c r="X53" s="5">
        <f>(VLOOKUP('20.03'!AF53,'20.03'!$AO$4:$AQ$55,3,FALSE))</f>
        <v>0</v>
      </c>
    </row>
    <row r="54" spans="1:24">
      <c r="A54" s="4">
        <f>(VLOOKUP('20.03'!I54,'20.03'!$AO$4:$AQ$55,3,FALSE))</f>
        <v>0</v>
      </c>
      <c r="B54" s="4">
        <f>(VLOOKUP('20.03'!J54,'20.03'!$AO$4:$AQ$55,3,FALSE))</f>
        <v>0</v>
      </c>
      <c r="C54" s="4">
        <f>(VLOOKUP('20.03'!K54,'20.03'!$AO$4:$AQ$55,3,FALSE))</f>
        <v>0</v>
      </c>
      <c r="D54" s="4">
        <f>(VLOOKUP('20.03'!L54,'20.03'!$AO$4:$AQ$55,3,FALSE))</f>
        <v>0</v>
      </c>
      <c r="E54" s="4">
        <f>(VLOOKUP('20.03'!M54,'20.03'!$AO$4:$AQ$55,3,FALSE))</f>
        <v>0</v>
      </c>
      <c r="F54" s="4">
        <f>(VLOOKUP('20.03'!N54,'20.03'!$AO$4:$AQ$55,3,FALSE))</f>
        <v>0</v>
      </c>
      <c r="G54" s="5">
        <f>(VLOOKUP('20.03'!O54,'20.03'!$AO$4:$AQ$55,3,FALSE))</f>
        <v>0</v>
      </c>
      <c r="H54" s="5">
        <f>(VLOOKUP('20.03'!P54,'20.03'!$AO$4:$AQ$55,3,FALSE))</f>
        <v>0</v>
      </c>
      <c r="I54" s="4">
        <f>(VLOOKUP('20.03'!Q54,'20.03'!$AO$4:$AQ$55,3,FALSE))</f>
        <v>0</v>
      </c>
      <c r="J54" s="4">
        <f>(VLOOKUP('20.03'!R54,'20.03'!$AO$4:$AQ$55,3,FALSE))</f>
        <v>0</v>
      </c>
      <c r="K54" s="4">
        <f>(VLOOKUP('20.03'!S54,'20.03'!$AO$4:$AQ$55,3,FALSE))</f>
        <v>0</v>
      </c>
      <c r="L54" s="4">
        <f>(VLOOKUP('20.03'!T54,'20.03'!$AO$4:$AQ$55,3,FALSE))</f>
        <v>0</v>
      </c>
      <c r="M54" s="4">
        <f>(VLOOKUP('20.03'!U54,'20.03'!$AO$4:$AQ$55,3,FALSE))</f>
        <v>0</v>
      </c>
      <c r="N54" s="4">
        <f>(VLOOKUP('20.03'!V54,'20.03'!$AO$4:$AQ$55,3,FALSE))</f>
        <v>0</v>
      </c>
      <c r="O54" s="5">
        <f>(VLOOKUP('20.03'!W54,'20.03'!$AO$4:$AQ$55,3,FALSE))</f>
        <v>0</v>
      </c>
      <c r="P54" s="5">
        <f>(VLOOKUP('20.03'!X54,'20.03'!$AO$4:$AQ$55,3,FALSE))</f>
        <v>0</v>
      </c>
      <c r="Q54" s="4">
        <f>(VLOOKUP('20.03'!Y54,'20.03'!$AO$4:$AQ$55,3,FALSE))</f>
        <v>0</v>
      </c>
      <c r="R54" s="4">
        <f>(VLOOKUP('20.03'!Z54,'20.03'!$AO$4:$AQ$55,3,FALSE))</f>
        <v>0</v>
      </c>
      <c r="S54" s="4">
        <f>(VLOOKUP('20.03'!AA54,'20.03'!$AO$4:$AQ$55,3,FALSE))</f>
        <v>0</v>
      </c>
      <c r="T54" s="4">
        <f>(VLOOKUP('20.03'!AB54,'20.03'!$AO$4:$AQ$55,3,FALSE))</f>
        <v>0</v>
      </c>
      <c r="U54" s="4">
        <f>(VLOOKUP('20.03'!AC54,'20.03'!$AO$4:$AQ$55,3,FALSE))</f>
        <v>0</v>
      </c>
      <c r="V54" s="4">
        <f>(VLOOKUP('20.03'!AD54,'20.03'!$AO$4:$AQ$55,3,FALSE))</f>
        <v>0</v>
      </c>
      <c r="W54" s="5">
        <f>(VLOOKUP('20.03'!AE54,'20.03'!$AO$4:$AQ$55,3,FALSE))</f>
        <v>0</v>
      </c>
      <c r="X54" s="5">
        <f>(VLOOKUP('20.03'!AF54,'20.03'!$AO$4:$AQ$55,3,FALSE))</f>
        <v>0</v>
      </c>
    </row>
    <row r="55" spans="1:24">
      <c r="A55" s="4">
        <f>(VLOOKUP('20.03'!I55,'20.03'!$AO$4:$AQ$55,3,FALSE))</f>
        <v>0</v>
      </c>
      <c r="B55" s="4">
        <f>(VLOOKUP('20.03'!J55,'20.03'!$AO$4:$AQ$55,3,FALSE))</f>
        <v>0</v>
      </c>
      <c r="C55" s="4">
        <f>(VLOOKUP('20.03'!K55,'20.03'!$AO$4:$AQ$55,3,FALSE))</f>
        <v>0</v>
      </c>
      <c r="D55" s="4">
        <f>(VLOOKUP('20.03'!L55,'20.03'!$AO$4:$AQ$55,3,FALSE))</f>
        <v>0</v>
      </c>
      <c r="E55" s="4">
        <f>(VLOOKUP('20.03'!M55,'20.03'!$AO$4:$AQ$55,3,FALSE))</f>
        <v>0</v>
      </c>
      <c r="F55" s="4">
        <f>(VLOOKUP('20.03'!N55,'20.03'!$AO$4:$AQ$55,3,FALSE))</f>
        <v>0</v>
      </c>
      <c r="G55" s="5">
        <f>(VLOOKUP('20.03'!O55,'20.03'!$AO$4:$AQ$55,3,FALSE))</f>
        <v>0</v>
      </c>
      <c r="H55" s="5">
        <f>(VLOOKUP('20.03'!P55,'20.03'!$AO$4:$AQ$55,3,FALSE))</f>
        <v>0</v>
      </c>
      <c r="I55" s="4">
        <f>(VLOOKUP('20.03'!Q55,'20.03'!$AO$4:$AQ$55,3,FALSE))</f>
        <v>0</v>
      </c>
      <c r="J55" s="4">
        <f>(VLOOKUP('20.03'!R55,'20.03'!$AO$4:$AQ$55,3,FALSE))</f>
        <v>0</v>
      </c>
      <c r="K55" s="4">
        <f>(VLOOKUP('20.03'!S55,'20.03'!$AO$4:$AQ$55,3,FALSE))</f>
        <v>0</v>
      </c>
      <c r="L55" s="4">
        <f>(VLOOKUP('20.03'!T55,'20.03'!$AO$4:$AQ$55,3,FALSE))</f>
        <v>0</v>
      </c>
      <c r="M55" s="4">
        <f>(VLOOKUP('20.03'!U55,'20.03'!$AO$4:$AQ$55,3,FALSE))</f>
        <v>0</v>
      </c>
      <c r="N55" s="4">
        <f>(VLOOKUP('20.03'!V55,'20.03'!$AO$4:$AQ$55,3,FALSE))</f>
        <v>0</v>
      </c>
      <c r="O55" s="5">
        <f>(VLOOKUP('20.03'!W55,'20.03'!$AO$4:$AQ$55,3,FALSE))</f>
        <v>0</v>
      </c>
      <c r="P55" s="5">
        <f>(VLOOKUP('20.03'!X55,'20.03'!$AO$4:$AQ$55,3,FALSE))</f>
        <v>0</v>
      </c>
      <c r="Q55" s="4">
        <f>(VLOOKUP('20.03'!Y55,'20.03'!$AO$4:$AQ$55,3,FALSE))</f>
        <v>0</v>
      </c>
      <c r="R55" s="4">
        <f>(VLOOKUP('20.03'!Z55,'20.03'!$AO$4:$AQ$55,3,FALSE))</f>
        <v>0</v>
      </c>
      <c r="S55" s="4">
        <f>(VLOOKUP('20.03'!AA55,'20.03'!$AO$4:$AQ$55,3,FALSE))</f>
        <v>0</v>
      </c>
      <c r="T55" s="4">
        <f>(VLOOKUP('20.03'!AB55,'20.03'!$AO$4:$AQ$55,3,FALSE))</f>
        <v>0</v>
      </c>
      <c r="U55" s="4">
        <f>(VLOOKUP('20.03'!AC55,'20.03'!$AO$4:$AQ$55,3,FALSE))</f>
        <v>0</v>
      </c>
      <c r="V55" s="4">
        <f>(VLOOKUP('20.03'!AD55,'20.03'!$AO$4:$AQ$55,3,FALSE))</f>
        <v>0</v>
      </c>
      <c r="W55" s="5">
        <f>(VLOOKUP('20.03'!AE55,'20.03'!$AO$4:$AQ$55,3,FALSE))</f>
        <v>0</v>
      </c>
      <c r="X55" s="5">
        <f>(VLOOKUP('20.03'!AF55,'20.03'!$AO$4:$AQ$55,3,FALSE))</f>
        <v>0</v>
      </c>
    </row>
    <row r="56" spans="1:24">
      <c r="A56" s="4">
        <f>(VLOOKUP('20.03'!I56,'20.03'!$AO$4:$AQ$55,3,FALSE))</f>
        <v>0</v>
      </c>
      <c r="B56" s="4">
        <f>(VLOOKUP('20.03'!J56,'20.03'!$AO$4:$AQ$55,3,FALSE))</f>
        <v>0</v>
      </c>
      <c r="C56" s="4">
        <f>(VLOOKUP('20.03'!K56,'20.03'!$AO$4:$AQ$55,3,FALSE))</f>
        <v>0</v>
      </c>
      <c r="D56" s="4">
        <f>(VLOOKUP('20.03'!L56,'20.03'!$AO$4:$AQ$55,3,FALSE))</f>
        <v>0</v>
      </c>
      <c r="E56" s="4">
        <f>(VLOOKUP('20.03'!M56,'20.03'!$AO$4:$AQ$55,3,FALSE))</f>
        <v>0</v>
      </c>
      <c r="F56" s="4">
        <f>(VLOOKUP('20.03'!N56,'20.03'!$AO$4:$AQ$55,3,FALSE))</f>
        <v>0</v>
      </c>
      <c r="G56" s="5">
        <f>(VLOOKUP('20.03'!O56,'20.03'!$AO$4:$AQ$55,3,FALSE))</f>
        <v>0</v>
      </c>
      <c r="H56" s="5">
        <f>(VLOOKUP('20.03'!P56,'20.03'!$AO$4:$AQ$55,3,FALSE))</f>
        <v>0</v>
      </c>
      <c r="I56" s="4">
        <f>(VLOOKUP('20.03'!Q56,'20.03'!$AO$4:$AQ$55,3,FALSE))</f>
        <v>0</v>
      </c>
      <c r="J56" s="4">
        <f>(VLOOKUP('20.03'!R56,'20.03'!$AO$4:$AQ$55,3,FALSE))</f>
        <v>0</v>
      </c>
      <c r="K56" s="4">
        <f>(VLOOKUP('20.03'!S56,'20.03'!$AO$4:$AQ$55,3,FALSE))</f>
        <v>0</v>
      </c>
      <c r="L56" s="4">
        <f>(VLOOKUP('20.03'!T56,'20.03'!$AO$4:$AQ$55,3,FALSE))</f>
        <v>0</v>
      </c>
      <c r="M56" s="4">
        <f>(VLOOKUP('20.03'!U56,'20.03'!$AO$4:$AQ$55,3,FALSE))</f>
        <v>0</v>
      </c>
      <c r="N56" s="4">
        <f>(VLOOKUP('20.03'!V56,'20.03'!$AO$4:$AQ$55,3,FALSE))</f>
        <v>0</v>
      </c>
      <c r="O56" s="5">
        <f>(VLOOKUP('20.03'!W56,'20.03'!$AO$4:$AQ$55,3,FALSE))</f>
        <v>0</v>
      </c>
      <c r="P56" s="5">
        <f>(VLOOKUP('20.03'!X56,'20.03'!$AO$4:$AQ$55,3,FALSE))</f>
        <v>0</v>
      </c>
      <c r="Q56" s="4">
        <f>(VLOOKUP('20.03'!Y56,'20.03'!$AO$4:$AQ$55,3,FALSE))</f>
        <v>0</v>
      </c>
      <c r="R56" s="4">
        <f>(VLOOKUP('20.03'!Z56,'20.03'!$AO$4:$AQ$55,3,FALSE))</f>
        <v>0</v>
      </c>
      <c r="S56" s="4">
        <f>(VLOOKUP('20.03'!AA56,'20.03'!$AO$4:$AQ$55,3,FALSE))</f>
        <v>0</v>
      </c>
      <c r="T56" s="4">
        <f>(VLOOKUP('20.03'!AB56,'20.03'!$AO$4:$AQ$55,3,FALSE))</f>
        <v>0</v>
      </c>
      <c r="U56" s="4">
        <f>(VLOOKUP('20.03'!AC56,'20.03'!$AO$4:$AQ$55,3,FALSE))</f>
        <v>0</v>
      </c>
      <c r="V56" s="4">
        <f>(VLOOKUP('20.03'!AD56,'20.03'!$AO$4:$AQ$55,3,FALSE))</f>
        <v>0</v>
      </c>
      <c r="W56" s="5">
        <f>(VLOOKUP('20.03'!AE56,'20.03'!$AO$4:$AQ$55,3,FALSE))</f>
        <v>0</v>
      </c>
      <c r="X56" s="5">
        <f>(VLOOKUP('20.03'!AF56,'20.03'!$AO$4:$AQ$55,3,FALSE))</f>
        <v>0</v>
      </c>
    </row>
    <row r="57" spans="1:24">
      <c r="A57" s="4">
        <f>(VLOOKUP('20.03'!I57,'20.03'!$AO$4:$AQ$55,3,FALSE))</f>
        <v>0</v>
      </c>
      <c r="B57" s="4">
        <f>(VLOOKUP('20.03'!J57,'20.03'!$AO$4:$AQ$55,3,FALSE))</f>
        <v>0</v>
      </c>
      <c r="C57" s="4">
        <f>(VLOOKUP('20.03'!K57,'20.03'!$AO$4:$AQ$55,3,FALSE))</f>
        <v>0</v>
      </c>
      <c r="D57" s="4">
        <f>(VLOOKUP('20.03'!L57,'20.03'!$AO$4:$AQ$55,3,FALSE))</f>
        <v>0</v>
      </c>
      <c r="E57" s="4">
        <f>(VLOOKUP('20.03'!M57,'20.03'!$AO$4:$AQ$55,3,FALSE))</f>
        <v>0</v>
      </c>
      <c r="F57" s="4">
        <f>(VLOOKUP('20.03'!N57,'20.03'!$AO$4:$AQ$55,3,FALSE))</f>
        <v>0</v>
      </c>
      <c r="G57" s="5">
        <f>(VLOOKUP('20.03'!O57,'20.03'!$AO$4:$AQ$55,3,FALSE))</f>
        <v>0</v>
      </c>
      <c r="H57" s="5">
        <f>(VLOOKUP('20.03'!P57,'20.03'!$AO$4:$AQ$55,3,FALSE))</f>
        <v>0</v>
      </c>
      <c r="I57" s="4">
        <f>(VLOOKUP('20.03'!Q57,'20.03'!$AO$4:$AQ$55,3,FALSE))</f>
        <v>0</v>
      </c>
      <c r="J57" s="4">
        <f>(VLOOKUP('20.03'!R57,'20.03'!$AO$4:$AQ$55,3,FALSE))</f>
        <v>0</v>
      </c>
      <c r="K57" s="4">
        <f>(VLOOKUP('20.03'!S57,'20.03'!$AO$4:$AQ$55,3,FALSE))</f>
        <v>0</v>
      </c>
      <c r="L57" s="4">
        <f>(VLOOKUP('20.03'!T57,'20.03'!$AO$4:$AQ$55,3,FALSE))</f>
        <v>0</v>
      </c>
      <c r="M57" s="4">
        <f>(VLOOKUP('20.03'!U57,'20.03'!$AO$4:$AQ$55,3,FALSE))</f>
        <v>0</v>
      </c>
      <c r="N57" s="4">
        <f>(VLOOKUP('20.03'!V57,'20.03'!$AO$4:$AQ$55,3,FALSE))</f>
        <v>0</v>
      </c>
      <c r="O57" s="5">
        <f>(VLOOKUP('20.03'!W57,'20.03'!$AO$4:$AQ$55,3,FALSE))</f>
        <v>0</v>
      </c>
      <c r="P57" s="5">
        <f>(VLOOKUP('20.03'!X57,'20.03'!$AO$4:$AQ$55,3,FALSE))</f>
        <v>0</v>
      </c>
      <c r="Q57" s="4">
        <f>(VLOOKUP('20.03'!Y57,'20.03'!$AO$4:$AQ$55,3,FALSE))</f>
        <v>0</v>
      </c>
      <c r="R57" s="4">
        <f>(VLOOKUP('20.03'!Z57,'20.03'!$AO$4:$AQ$55,3,FALSE))</f>
        <v>0</v>
      </c>
      <c r="S57" s="4">
        <f>(VLOOKUP('20.03'!AA57,'20.03'!$AO$4:$AQ$55,3,FALSE))</f>
        <v>0</v>
      </c>
      <c r="T57" s="4">
        <f>(VLOOKUP('20.03'!AB57,'20.03'!$AO$4:$AQ$55,3,FALSE))</f>
        <v>0</v>
      </c>
      <c r="U57" s="4">
        <f>(VLOOKUP('20.03'!AC57,'20.03'!$AO$4:$AQ$55,3,FALSE))</f>
        <v>0</v>
      </c>
      <c r="V57" s="4">
        <f>(VLOOKUP('20.03'!AD57,'20.03'!$AO$4:$AQ$55,3,FALSE))</f>
        <v>0</v>
      </c>
      <c r="W57" s="5">
        <f>(VLOOKUP('20.03'!AE57,'20.03'!$AO$4:$AQ$55,3,FALSE))</f>
        <v>0</v>
      </c>
      <c r="X57" s="5">
        <f>(VLOOKUP('20.03'!AF57,'20.03'!$AO$4:$AQ$55,3,FALSE))</f>
        <v>0</v>
      </c>
    </row>
    <row r="58" spans="1:24">
      <c r="A58" s="4">
        <f>(VLOOKUP('20.03'!I58,'20.03'!$AO$4:$AQ$55,3,FALSE))</f>
        <v>0</v>
      </c>
      <c r="B58" s="4">
        <f>(VLOOKUP('20.03'!J58,'20.03'!$AO$4:$AQ$55,3,FALSE))</f>
        <v>0</v>
      </c>
      <c r="C58" s="4">
        <f>(VLOOKUP('20.03'!K58,'20.03'!$AO$4:$AQ$55,3,FALSE))</f>
        <v>0</v>
      </c>
      <c r="D58" s="4">
        <f>(VLOOKUP('20.03'!L58,'20.03'!$AO$4:$AQ$55,3,FALSE))</f>
        <v>0</v>
      </c>
      <c r="E58" s="4">
        <f>(VLOOKUP('20.03'!M58,'20.03'!$AO$4:$AQ$55,3,FALSE))</f>
        <v>0</v>
      </c>
      <c r="F58" s="4">
        <f>(VLOOKUP('20.03'!N58,'20.03'!$AO$4:$AQ$55,3,FALSE))</f>
        <v>0</v>
      </c>
      <c r="G58" s="5">
        <f>(VLOOKUP('20.03'!O58,'20.03'!$AO$4:$AQ$55,3,FALSE))</f>
        <v>0</v>
      </c>
      <c r="H58" s="5">
        <f>(VLOOKUP('20.03'!P58,'20.03'!$AO$4:$AQ$55,3,FALSE))</f>
        <v>0</v>
      </c>
      <c r="I58" s="4">
        <f>(VLOOKUP('20.03'!Q58,'20.03'!$AO$4:$AQ$55,3,FALSE))</f>
        <v>0</v>
      </c>
      <c r="J58" s="4">
        <f>(VLOOKUP('20.03'!R58,'20.03'!$AO$4:$AQ$55,3,FALSE))</f>
        <v>0</v>
      </c>
      <c r="K58" s="4">
        <f>(VLOOKUP('20.03'!S58,'20.03'!$AO$4:$AQ$55,3,FALSE))</f>
        <v>0</v>
      </c>
      <c r="L58" s="4">
        <f>(VLOOKUP('20.03'!T58,'20.03'!$AO$4:$AQ$55,3,FALSE))</f>
        <v>0</v>
      </c>
      <c r="M58" s="4">
        <f>(VLOOKUP('20.03'!U58,'20.03'!$AO$4:$AQ$55,3,FALSE))</f>
        <v>0</v>
      </c>
      <c r="N58" s="4">
        <f>(VLOOKUP('20.03'!V58,'20.03'!$AO$4:$AQ$55,3,FALSE))</f>
        <v>0</v>
      </c>
      <c r="O58" s="5">
        <f>(VLOOKUP('20.03'!W58,'20.03'!$AO$4:$AQ$55,3,FALSE))</f>
        <v>0</v>
      </c>
      <c r="P58" s="5">
        <f>(VLOOKUP('20.03'!X58,'20.03'!$AO$4:$AQ$55,3,FALSE))</f>
        <v>0</v>
      </c>
      <c r="Q58" s="4">
        <f>(VLOOKUP('20.03'!Y58,'20.03'!$AO$4:$AQ$55,3,FALSE))</f>
        <v>0</v>
      </c>
      <c r="R58" s="4">
        <f>(VLOOKUP('20.03'!Z58,'20.03'!$AO$4:$AQ$55,3,FALSE))</f>
        <v>0</v>
      </c>
      <c r="S58" s="4">
        <f>(VLOOKUP('20.03'!AA58,'20.03'!$AO$4:$AQ$55,3,FALSE))</f>
        <v>0</v>
      </c>
      <c r="T58" s="4">
        <f>(VLOOKUP('20.03'!AB58,'20.03'!$AO$4:$AQ$55,3,FALSE))</f>
        <v>0</v>
      </c>
      <c r="U58" s="4">
        <f>(VLOOKUP('20.03'!AC58,'20.03'!$AO$4:$AQ$55,3,FALSE))</f>
        <v>0</v>
      </c>
      <c r="V58" s="4">
        <f>(VLOOKUP('20.03'!AD58,'20.03'!$AO$4:$AQ$55,3,FALSE))</f>
        <v>0</v>
      </c>
      <c r="W58" s="5">
        <f>(VLOOKUP('20.03'!AE58,'20.03'!$AO$4:$AQ$55,3,FALSE))</f>
        <v>0</v>
      </c>
      <c r="X58" s="5">
        <f>(VLOOKUP('20.03'!AF58,'20.03'!$AO$4:$AQ$55,3,FALSE))</f>
        <v>0</v>
      </c>
    </row>
    <row r="59" spans="1:24">
      <c r="A59" s="4">
        <f>(VLOOKUP('20.03'!I59,'20.03'!$AO$4:$AQ$55,3,FALSE))</f>
        <v>0</v>
      </c>
      <c r="B59" s="4">
        <f>(VLOOKUP('20.03'!J59,'20.03'!$AO$4:$AQ$55,3,FALSE))</f>
        <v>0</v>
      </c>
      <c r="C59" s="4">
        <f>(VLOOKUP('20.03'!K59,'20.03'!$AO$4:$AQ$55,3,FALSE))</f>
        <v>0</v>
      </c>
      <c r="D59" s="4">
        <f>(VLOOKUP('20.03'!L59,'20.03'!$AO$4:$AQ$55,3,FALSE))</f>
        <v>0</v>
      </c>
      <c r="E59" s="4">
        <f>(VLOOKUP('20.03'!M59,'20.03'!$AO$4:$AQ$55,3,FALSE))</f>
        <v>0</v>
      </c>
      <c r="F59" s="4">
        <f>(VLOOKUP('20.03'!N59,'20.03'!$AO$4:$AQ$55,3,FALSE))</f>
        <v>0</v>
      </c>
      <c r="G59" s="5">
        <f>(VLOOKUP('20.03'!O59,'20.03'!$AO$4:$AQ$55,3,FALSE))</f>
        <v>0</v>
      </c>
      <c r="H59" s="5">
        <f>(VLOOKUP('20.03'!P59,'20.03'!$AO$4:$AQ$55,3,FALSE))</f>
        <v>0</v>
      </c>
      <c r="I59" s="4">
        <f>(VLOOKUP('20.03'!Q59,'20.03'!$AO$4:$AQ$55,3,FALSE))</f>
        <v>0</v>
      </c>
      <c r="J59" s="4">
        <f>(VLOOKUP('20.03'!R59,'20.03'!$AO$4:$AQ$55,3,FALSE))</f>
        <v>0</v>
      </c>
      <c r="K59" s="4">
        <f>(VLOOKUP('20.03'!S59,'20.03'!$AO$4:$AQ$55,3,FALSE))</f>
        <v>0</v>
      </c>
      <c r="L59" s="4">
        <f>(VLOOKUP('20.03'!T59,'20.03'!$AO$4:$AQ$55,3,FALSE))</f>
        <v>0</v>
      </c>
      <c r="M59" s="4">
        <f>(VLOOKUP('20.03'!U59,'20.03'!$AO$4:$AQ$55,3,FALSE))</f>
        <v>0</v>
      </c>
      <c r="N59" s="4">
        <f>(VLOOKUP('20.03'!V59,'20.03'!$AO$4:$AQ$55,3,FALSE))</f>
        <v>0</v>
      </c>
      <c r="O59" s="5">
        <f>(VLOOKUP('20.03'!W59,'20.03'!$AO$4:$AQ$55,3,FALSE))</f>
        <v>0</v>
      </c>
      <c r="P59" s="5">
        <f>(VLOOKUP('20.03'!X59,'20.03'!$AO$4:$AQ$55,3,FALSE))</f>
        <v>0</v>
      </c>
      <c r="Q59" s="4">
        <f>(VLOOKUP('20.03'!Y59,'20.03'!$AO$4:$AQ$55,3,FALSE))</f>
        <v>0</v>
      </c>
      <c r="R59" s="4">
        <f>(VLOOKUP('20.03'!Z59,'20.03'!$AO$4:$AQ$55,3,FALSE))</f>
        <v>0</v>
      </c>
      <c r="S59" s="4">
        <f>(VLOOKUP('20.03'!AA59,'20.03'!$AO$4:$AQ$55,3,FALSE))</f>
        <v>0</v>
      </c>
      <c r="T59" s="4">
        <f>(VLOOKUP('20.03'!AB59,'20.03'!$AO$4:$AQ$55,3,FALSE))</f>
        <v>0</v>
      </c>
      <c r="U59" s="4">
        <f>(VLOOKUP('20.03'!AC59,'20.03'!$AO$4:$AQ$55,3,FALSE))</f>
        <v>0</v>
      </c>
      <c r="V59" s="4">
        <f>(VLOOKUP('20.03'!AD59,'20.03'!$AO$4:$AQ$55,3,FALSE))</f>
        <v>0</v>
      </c>
      <c r="W59" s="5">
        <f>(VLOOKUP('20.03'!AE59,'20.03'!$AO$4:$AQ$55,3,FALSE))</f>
        <v>0</v>
      </c>
      <c r="X59" s="5">
        <f>(VLOOKUP('20.03'!AF59,'20.03'!$AO$4:$AQ$55,3,FALSE))</f>
        <v>0</v>
      </c>
    </row>
    <row r="60" spans="1:24">
      <c r="A60" s="4">
        <f>(VLOOKUP('20.03'!I60,'20.03'!$AO$4:$AQ$55,3,FALSE))</f>
        <v>0</v>
      </c>
      <c r="B60" s="4">
        <f>(VLOOKUP('20.03'!J60,'20.03'!$AO$4:$AQ$55,3,FALSE))</f>
        <v>0</v>
      </c>
      <c r="C60" s="4">
        <f>(VLOOKUP('20.03'!K60,'20.03'!$AO$4:$AQ$55,3,FALSE))</f>
        <v>0</v>
      </c>
      <c r="D60" s="4">
        <f>(VLOOKUP('20.03'!L60,'20.03'!$AO$4:$AQ$55,3,FALSE))</f>
        <v>0</v>
      </c>
      <c r="E60" s="4">
        <f>(VLOOKUP('20.03'!M60,'20.03'!$AO$4:$AQ$55,3,FALSE))</f>
        <v>0</v>
      </c>
      <c r="F60" s="4">
        <f>(VLOOKUP('20.03'!N60,'20.03'!$AO$4:$AQ$55,3,FALSE))</f>
        <v>0</v>
      </c>
      <c r="G60" s="5">
        <f>(VLOOKUP('20.03'!O60,'20.03'!$AO$4:$AQ$55,3,FALSE))</f>
        <v>0</v>
      </c>
      <c r="H60" s="5">
        <f>(VLOOKUP('20.03'!P60,'20.03'!$AO$4:$AQ$55,3,FALSE))</f>
        <v>0</v>
      </c>
      <c r="I60" s="4">
        <f>(VLOOKUP('20.03'!Q60,'20.03'!$AO$4:$AQ$55,3,FALSE))</f>
        <v>0</v>
      </c>
      <c r="J60" s="4">
        <f>(VLOOKUP('20.03'!R60,'20.03'!$AO$4:$AQ$55,3,FALSE))</f>
        <v>0</v>
      </c>
      <c r="K60" s="4">
        <f>(VLOOKUP('20.03'!S60,'20.03'!$AO$4:$AQ$55,3,FALSE))</f>
        <v>0</v>
      </c>
      <c r="L60" s="4">
        <f>(VLOOKUP('20.03'!T60,'20.03'!$AO$4:$AQ$55,3,FALSE))</f>
        <v>0</v>
      </c>
      <c r="M60" s="4">
        <f>(VLOOKUP('20.03'!U60,'20.03'!$AO$4:$AQ$55,3,FALSE))</f>
        <v>0</v>
      </c>
      <c r="N60" s="4">
        <f>(VLOOKUP('20.03'!V60,'20.03'!$AO$4:$AQ$55,3,FALSE))</f>
        <v>0</v>
      </c>
      <c r="O60" s="5">
        <f>(VLOOKUP('20.03'!W60,'20.03'!$AO$4:$AQ$55,3,FALSE))</f>
        <v>0</v>
      </c>
      <c r="P60" s="5">
        <f>(VLOOKUP('20.03'!X60,'20.03'!$AO$4:$AQ$55,3,FALSE))</f>
        <v>0</v>
      </c>
      <c r="Q60" s="4">
        <f>(VLOOKUP('20.03'!Y60,'20.03'!$AO$4:$AQ$55,3,FALSE))</f>
        <v>0</v>
      </c>
      <c r="R60" s="4">
        <f>(VLOOKUP('20.03'!Z60,'20.03'!$AO$4:$AQ$55,3,FALSE))</f>
        <v>0</v>
      </c>
      <c r="S60" s="4">
        <f>(VLOOKUP('20.03'!AA60,'20.03'!$AO$4:$AQ$55,3,FALSE))</f>
        <v>0</v>
      </c>
      <c r="T60" s="4">
        <f>(VLOOKUP('20.03'!AB60,'20.03'!$AO$4:$AQ$55,3,FALSE))</f>
        <v>0</v>
      </c>
      <c r="U60" s="4">
        <f>(VLOOKUP('20.03'!AC60,'20.03'!$AO$4:$AQ$55,3,FALSE))</f>
        <v>0</v>
      </c>
      <c r="V60" s="4">
        <f>(VLOOKUP('20.03'!AD60,'20.03'!$AO$4:$AQ$55,3,FALSE))</f>
        <v>0</v>
      </c>
      <c r="W60" s="5">
        <f>(VLOOKUP('20.03'!AE60,'20.03'!$AO$4:$AQ$55,3,FALSE))</f>
        <v>0</v>
      </c>
      <c r="X60" s="5">
        <f>(VLOOKUP('20.03'!AF60,'20.03'!$AO$4:$AQ$55,3,FALSE))</f>
        <v>0</v>
      </c>
    </row>
    <row r="61" spans="1:24">
      <c r="A61" s="4">
        <f>(VLOOKUP('20.03'!I61,'20.03'!$AO$4:$AQ$55,3,FALSE))</f>
        <v>0</v>
      </c>
      <c r="B61" s="4">
        <f>(VLOOKUP('20.03'!J61,'20.03'!$AO$4:$AQ$55,3,FALSE))</f>
        <v>0</v>
      </c>
      <c r="C61" s="4">
        <f>(VLOOKUP('20.03'!K61,'20.03'!$AO$4:$AQ$55,3,FALSE))</f>
        <v>0</v>
      </c>
      <c r="D61" s="4">
        <f>(VLOOKUP('20.03'!L61,'20.03'!$AO$4:$AQ$55,3,FALSE))</f>
        <v>0</v>
      </c>
      <c r="E61" s="4">
        <f>(VLOOKUP('20.03'!M61,'20.03'!$AO$4:$AQ$55,3,FALSE))</f>
        <v>0</v>
      </c>
      <c r="F61" s="4">
        <f>(VLOOKUP('20.03'!N61,'20.03'!$AO$4:$AQ$55,3,FALSE))</f>
        <v>0</v>
      </c>
      <c r="G61" s="5">
        <f>(VLOOKUP('20.03'!O61,'20.03'!$AO$4:$AQ$55,3,FALSE))</f>
        <v>0</v>
      </c>
      <c r="H61" s="5">
        <f>(VLOOKUP('20.03'!P61,'20.03'!$AO$4:$AQ$55,3,FALSE))</f>
        <v>0</v>
      </c>
      <c r="I61" s="4">
        <f>(VLOOKUP('20.03'!Q61,'20.03'!$AO$4:$AQ$55,3,FALSE))</f>
        <v>0</v>
      </c>
      <c r="J61" s="4">
        <f>(VLOOKUP('20.03'!R61,'20.03'!$AO$4:$AQ$55,3,FALSE))</f>
        <v>0</v>
      </c>
      <c r="K61" s="4">
        <f>(VLOOKUP('20.03'!S61,'20.03'!$AO$4:$AQ$55,3,FALSE))</f>
        <v>0</v>
      </c>
      <c r="L61" s="4">
        <f>(VLOOKUP('20.03'!T61,'20.03'!$AO$4:$AQ$55,3,FALSE))</f>
        <v>0</v>
      </c>
      <c r="M61" s="4">
        <f>(VLOOKUP('20.03'!U61,'20.03'!$AO$4:$AQ$55,3,FALSE))</f>
        <v>0</v>
      </c>
      <c r="N61" s="4">
        <f>(VLOOKUP('20.03'!V61,'20.03'!$AO$4:$AQ$55,3,FALSE))</f>
        <v>0</v>
      </c>
      <c r="O61" s="5">
        <f>(VLOOKUP('20.03'!W61,'20.03'!$AO$4:$AQ$55,3,FALSE))</f>
        <v>0</v>
      </c>
      <c r="P61" s="5">
        <f>(VLOOKUP('20.03'!X61,'20.03'!$AO$4:$AQ$55,3,FALSE))</f>
        <v>0</v>
      </c>
      <c r="Q61" s="4">
        <f>(VLOOKUP('20.03'!Y61,'20.03'!$AO$4:$AQ$55,3,FALSE))</f>
        <v>0</v>
      </c>
      <c r="R61" s="4">
        <f>(VLOOKUP('20.03'!Z61,'20.03'!$AO$4:$AQ$55,3,FALSE))</f>
        <v>0</v>
      </c>
      <c r="S61" s="4">
        <f>(VLOOKUP('20.03'!AA61,'20.03'!$AO$4:$AQ$55,3,FALSE))</f>
        <v>0</v>
      </c>
      <c r="T61" s="4">
        <f>(VLOOKUP('20.03'!AB61,'20.03'!$AO$4:$AQ$55,3,FALSE))</f>
        <v>0</v>
      </c>
      <c r="U61" s="4">
        <f>(VLOOKUP('20.03'!AC61,'20.03'!$AO$4:$AQ$55,3,FALSE))</f>
        <v>0</v>
      </c>
      <c r="V61" s="4">
        <f>(VLOOKUP('20.03'!AD61,'20.03'!$AO$4:$AQ$55,3,FALSE))</f>
        <v>0</v>
      </c>
      <c r="W61" s="5">
        <f>(VLOOKUP('20.03'!AE61,'20.03'!$AO$4:$AQ$55,3,FALSE))</f>
        <v>0</v>
      </c>
      <c r="X61" s="5">
        <f>(VLOOKUP('20.03'!AF61,'20.03'!$AO$4:$AQ$55,3,FALSE))</f>
        <v>0</v>
      </c>
    </row>
    <row r="62" spans="1:24">
      <c r="A62" s="4">
        <f>(VLOOKUP('20.03'!I62,'20.03'!$AO$4:$AQ$55,3,FALSE))</f>
        <v>0</v>
      </c>
      <c r="B62" s="4">
        <f>(VLOOKUP('20.03'!J62,'20.03'!$AO$4:$AQ$55,3,FALSE))</f>
        <v>0</v>
      </c>
      <c r="C62" s="4">
        <f>(VLOOKUP('20.03'!K62,'20.03'!$AO$4:$AQ$55,3,FALSE))</f>
        <v>0</v>
      </c>
      <c r="D62" s="4">
        <f>(VLOOKUP('20.03'!L62,'20.03'!$AO$4:$AQ$55,3,FALSE))</f>
        <v>0</v>
      </c>
      <c r="E62" s="4">
        <f>(VLOOKUP('20.03'!M62,'20.03'!$AO$4:$AQ$55,3,FALSE))</f>
        <v>0</v>
      </c>
      <c r="F62" s="4">
        <f>(VLOOKUP('20.03'!N62,'20.03'!$AO$4:$AQ$55,3,FALSE))</f>
        <v>0</v>
      </c>
      <c r="G62" s="5">
        <f>(VLOOKUP('20.03'!O62,'20.03'!$AO$4:$AQ$55,3,FALSE))</f>
        <v>0</v>
      </c>
      <c r="H62" s="5">
        <f>(VLOOKUP('20.03'!P62,'20.03'!$AO$4:$AQ$55,3,FALSE))</f>
        <v>0</v>
      </c>
      <c r="I62" s="4">
        <f>(VLOOKUP('20.03'!Q62,'20.03'!$AO$4:$AQ$55,3,FALSE))</f>
        <v>0</v>
      </c>
      <c r="J62" s="4">
        <f>(VLOOKUP('20.03'!R62,'20.03'!$AO$4:$AQ$55,3,FALSE))</f>
        <v>0</v>
      </c>
      <c r="K62" s="4">
        <f>(VLOOKUP('20.03'!S62,'20.03'!$AO$4:$AQ$55,3,FALSE))</f>
        <v>0</v>
      </c>
      <c r="L62" s="4">
        <f>(VLOOKUP('20.03'!T62,'20.03'!$AO$4:$AQ$55,3,FALSE))</f>
        <v>0</v>
      </c>
      <c r="M62" s="4">
        <f>(VLOOKUP('20.03'!U62,'20.03'!$AO$4:$AQ$55,3,FALSE))</f>
        <v>0</v>
      </c>
      <c r="N62" s="4">
        <f>(VLOOKUP('20.03'!V62,'20.03'!$AO$4:$AQ$55,3,FALSE))</f>
        <v>0</v>
      </c>
      <c r="O62" s="5">
        <f>(VLOOKUP('20.03'!W62,'20.03'!$AO$4:$AQ$55,3,FALSE))</f>
        <v>0</v>
      </c>
      <c r="P62" s="5">
        <f>(VLOOKUP('20.03'!X62,'20.03'!$AO$4:$AQ$55,3,FALSE))</f>
        <v>0</v>
      </c>
      <c r="Q62" s="4">
        <f>(VLOOKUP('20.03'!Y62,'20.03'!$AO$4:$AQ$55,3,FALSE))</f>
        <v>0</v>
      </c>
      <c r="R62" s="4">
        <f>(VLOOKUP('20.03'!Z62,'20.03'!$AO$4:$AQ$55,3,FALSE))</f>
        <v>0</v>
      </c>
      <c r="S62" s="4">
        <f>(VLOOKUP('20.03'!AA62,'20.03'!$AO$4:$AQ$55,3,FALSE))</f>
        <v>0</v>
      </c>
      <c r="T62" s="4">
        <f>(VLOOKUP('20.03'!AB62,'20.03'!$AO$4:$AQ$55,3,FALSE))</f>
        <v>0</v>
      </c>
      <c r="U62" s="4">
        <f>(VLOOKUP('20.03'!AC62,'20.03'!$AO$4:$AQ$55,3,FALSE))</f>
        <v>0</v>
      </c>
      <c r="V62" s="4">
        <f>(VLOOKUP('20.03'!AD62,'20.03'!$AO$4:$AQ$55,3,FALSE))</f>
        <v>0</v>
      </c>
      <c r="W62" s="5">
        <f>(VLOOKUP('20.03'!AE62,'20.03'!$AO$4:$AQ$55,3,FALSE))</f>
        <v>0</v>
      </c>
      <c r="X62" s="5">
        <f>(VLOOKUP('20.03'!AF62,'20.03'!$AO$4:$AQ$55,3,FALSE))</f>
        <v>0</v>
      </c>
    </row>
    <row r="63" spans="1:24">
      <c r="A63" s="4">
        <f>(VLOOKUP('20.03'!I63,'20.03'!$AO$4:$AQ$55,3,FALSE))</f>
        <v>0</v>
      </c>
      <c r="B63" s="4">
        <f>(VLOOKUP('20.03'!J63,'20.03'!$AO$4:$AQ$55,3,FALSE))</f>
        <v>0</v>
      </c>
      <c r="C63" s="4">
        <f>(VLOOKUP('20.03'!K63,'20.03'!$AO$4:$AQ$55,3,FALSE))</f>
        <v>0</v>
      </c>
      <c r="D63" s="4">
        <f>(VLOOKUP('20.03'!L63,'20.03'!$AO$4:$AQ$55,3,FALSE))</f>
        <v>0</v>
      </c>
      <c r="E63" s="4">
        <f>(VLOOKUP('20.03'!M63,'20.03'!$AO$4:$AQ$55,3,FALSE))</f>
        <v>0</v>
      </c>
      <c r="F63" s="4">
        <f>(VLOOKUP('20.03'!N63,'20.03'!$AO$4:$AQ$55,3,FALSE))</f>
        <v>0</v>
      </c>
      <c r="G63" s="5">
        <f>(VLOOKUP('20.03'!O63,'20.03'!$AO$4:$AQ$55,3,FALSE))</f>
        <v>0</v>
      </c>
      <c r="H63" s="5">
        <f>(VLOOKUP('20.03'!P63,'20.03'!$AO$4:$AQ$55,3,FALSE))</f>
        <v>0</v>
      </c>
      <c r="I63" s="4">
        <f>(VLOOKUP('20.03'!Q63,'20.03'!$AO$4:$AQ$55,3,FALSE))</f>
        <v>0</v>
      </c>
      <c r="J63" s="4">
        <f>(VLOOKUP('20.03'!R63,'20.03'!$AO$4:$AQ$55,3,FALSE))</f>
        <v>0</v>
      </c>
      <c r="K63" s="4">
        <f>(VLOOKUP('20.03'!S63,'20.03'!$AO$4:$AQ$55,3,FALSE))</f>
        <v>0</v>
      </c>
      <c r="L63" s="4">
        <f>(VLOOKUP('20.03'!T63,'20.03'!$AO$4:$AQ$55,3,FALSE))</f>
        <v>0</v>
      </c>
      <c r="M63" s="4">
        <f>(VLOOKUP('20.03'!U63,'20.03'!$AO$4:$AQ$55,3,FALSE))</f>
        <v>0</v>
      </c>
      <c r="N63" s="4">
        <f>(VLOOKUP('20.03'!V63,'20.03'!$AO$4:$AQ$55,3,FALSE))</f>
        <v>0</v>
      </c>
      <c r="O63" s="5">
        <f>(VLOOKUP('20.03'!W63,'20.03'!$AO$4:$AQ$55,3,FALSE))</f>
        <v>0</v>
      </c>
      <c r="P63" s="5">
        <f>(VLOOKUP('20.03'!X63,'20.03'!$AO$4:$AQ$55,3,FALSE))</f>
        <v>0</v>
      </c>
      <c r="Q63" s="4">
        <f>(VLOOKUP('20.03'!Y63,'20.03'!$AO$4:$AQ$55,3,FALSE))</f>
        <v>0</v>
      </c>
      <c r="R63" s="4">
        <f>(VLOOKUP('20.03'!Z63,'20.03'!$AO$4:$AQ$55,3,FALSE))</f>
        <v>0</v>
      </c>
      <c r="S63" s="4">
        <f>(VLOOKUP('20.03'!AA63,'20.03'!$AO$4:$AQ$55,3,FALSE))</f>
        <v>0</v>
      </c>
      <c r="T63" s="4">
        <f>(VLOOKUP('20.03'!AB63,'20.03'!$AO$4:$AQ$55,3,FALSE))</f>
        <v>0</v>
      </c>
      <c r="U63" s="4">
        <f>(VLOOKUP('20.03'!AC63,'20.03'!$AO$4:$AQ$55,3,FALSE))</f>
        <v>0</v>
      </c>
      <c r="V63" s="4">
        <f>(VLOOKUP('20.03'!AD63,'20.03'!$AO$4:$AQ$55,3,FALSE))</f>
        <v>0</v>
      </c>
      <c r="W63" s="5">
        <f>(VLOOKUP('20.03'!AE63,'20.03'!$AO$4:$AQ$55,3,FALSE))</f>
        <v>0</v>
      </c>
      <c r="X63" s="5">
        <f>(VLOOKUP('20.03'!AF63,'20.03'!$AO$4:$AQ$55,3,FALSE))</f>
        <v>0</v>
      </c>
    </row>
    <row r="64" spans="1:24">
      <c r="A64" s="4">
        <f>(VLOOKUP('20.03'!I64,'20.03'!$AO$4:$AQ$55,3,FALSE))</f>
        <v>0</v>
      </c>
      <c r="B64" s="4">
        <f>(VLOOKUP('20.03'!J64,'20.03'!$AO$4:$AQ$55,3,FALSE))</f>
        <v>0</v>
      </c>
      <c r="C64" s="4">
        <f>(VLOOKUP('20.03'!K64,'20.03'!$AO$4:$AQ$55,3,FALSE))</f>
        <v>0</v>
      </c>
      <c r="D64" s="4">
        <f>(VLOOKUP('20.03'!L64,'20.03'!$AO$4:$AQ$55,3,FALSE))</f>
        <v>0</v>
      </c>
      <c r="E64" s="4">
        <f>(VLOOKUP('20.03'!M64,'20.03'!$AO$4:$AQ$55,3,FALSE))</f>
        <v>0</v>
      </c>
      <c r="F64" s="4">
        <f>(VLOOKUP('20.03'!N64,'20.03'!$AO$4:$AQ$55,3,FALSE))</f>
        <v>0</v>
      </c>
      <c r="G64" s="5">
        <f>(VLOOKUP('20.03'!O64,'20.03'!$AO$4:$AQ$55,3,FALSE))</f>
        <v>0</v>
      </c>
      <c r="H64" s="5">
        <f>(VLOOKUP('20.03'!P64,'20.03'!$AO$4:$AQ$55,3,FALSE))</f>
        <v>0</v>
      </c>
      <c r="I64" s="4">
        <f>(VLOOKUP('20.03'!Q64,'20.03'!$AO$4:$AQ$55,3,FALSE))</f>
        <v>0</v>
      </c>
      <c r="J64" s="4">
        <f>(VLOOKUP('20.03'!R64,'20.03'!$AO$4:$AQ$55,3,FALSE))</f>
        <v>0</v>
      </c>
      <c r="K64" s="4">
        <f>(VLOOKUP('20.03'!S64,'20.03'!$AO$4:$AQ$55,3,FALSE))</f>
        <v>0</v>
      </c>
      <c r="L64" s="4">
        <f>(VLOOKUP('20.03'!T64,'20.03'!$AO$4:$AQ$55,3,FALSE))</f>
        <v>0</v>
      </c>
      <c r="M64" s="4">
        <f>(VLOOKUP('20.03'!U64,'20.03'!$AO$4:$AQ$55,3,FALSE))</f>
        <v>0</v>
      </c>
      <c r="N64" s="4">
        <f>(VLOOKUP('20.03'!V64,'20.03'!$AO$4:$AQ$55,3,FALSE))</f>
        <v>0</v>
      </c>
      <c r="O64" s="5">
        <f>(VLOOKUP('20.03'!W64,'20.03'!$AO$4:$AQ$55,3,FALSE))</f>
        <v>0</v>
      </c>
      <c r="P64" s="5">
        <f>(VLOOKUP('20.03'!X64,'20.03'!$AO$4:$AQ$55,3,FALSE))</f>
        <v>0</v>
      </c>
      <c r="Q64" s="4">
        <f>(VLOOKUP('20.03'!Y64,'20.03'!$AO$4:$AQ$55,3,FALSE))</f>
        <v>0</v>
      </c>
      <c r="R64" s="4">
        <f>(VLOOKUP('20.03'!Z64,'20.03'!$AO$4:$AQ$55,3,FALSE))</f>
        <v>0</v>
      </c>
      <c r="S64" s="4">
        <f>(VLOOKUP('20.03'!AA64,'20.03'!$AO$4:$AQ$55,3,FALSE))</f>
        <v>0</v>
      </c>
      <c r="T64" s="4">
        <f>(VLOOKUP('20.03'!AB64,'20.03'!$AO$4:$AQ$55,3,FALSE))</f>
        <v>0</v>
      </c>
      <c r="U64" s="4">
        <f>(VLOOKUP('20.03'!AC64,'20.03'!$AO$4:$AQ$55,3,FALSE))</f>
        <v>0</v>
      </c>
      <c r="V64" s="4">
        <f>(VLOOKUP('20.03'!AD64,'20.03'!$AO$4:$AQ$55,3,FALSE))</f>
        <v>0</v>
      </c>
      <c r="W64" s="5">
        <f>(VLOOKUP('20.03'!AE64,'20.03'!$AO$4:$AQ$55,3,FALSE))</f>
        <v>0</v>
      </c>
      <c r="X64" s="5">
        <f>(VLOOKUP('20.03'!AF64,'20.03'!$AO$4:$AQ$55,3,FALSE))</f>
        <v>0</v>
      </c>
    </row>
    <row r="65" spans="1:24">
      <c r="A65" s="4">
        <f>(VLOOKUP('20.03'!I65,'20.03'!$AO$4:$AQ$55,3,FALSE))</f>
        <v>0</v>
      </c>
      <c r="B65" s="4">
        <f>(VLOOKUP('20.03'!J65,'20.03'!$AO$4:$AQ$55,3,FALSE))</f>
        <v>0</v>
      </c>
      <c r="C65" s="4">
        <f>(VLOOKUP('20.03'!K65,'20.03'!$AO$4:$AQ$55,3,FALSE))</f>
        <v>0</v>
      </c>
      <c r="D65" s="4">
        <f>(VLOOKUP('20.03'!L65,'20.03'!$AO$4:$AQ$55,3,FALSE))</f>
        <v>0</v>
      </c>
      <c r="E65" s="4">
        <f>(VLOOKUP('20.03'!M65,'20.03'!$AO$4:$AQ$55,3,FALSE))</f>
        <v>0</v>
      </c>
      <c r="F65" s="4">
        <f>(VLOOKUP('20.03'!N65,'20.03'!$AO$4:$AQ$55,3,FALSE))</f>
        <v>0</v>
      </c>
      <c r="G65" s="5">
        <f>(VLOOKUP('20.03'!O65,'20.03'!$AO$4:$AQ$55,3,FALSE))</f>
        <v>0</v>
      </c>
      <c r="H65" s="5">
        <f>(VLOOKUP('20.03'!P65,'20.03'!$AO$4:$AQ$55,3,FALSE))</f>
        <v>0</v>
      </c>
      <c r="I65" s="4">
        <f>(VLOOKUP('20.03'!Q65,'20.03'!$AO$4:$AQ$55,3,FALSE))</f>
        <v>0</v>
      </c>
      <c r="J65" s="4">
        <f>(VLOOKUP('20.03'!R65,'20.03'!$AO$4:$AQ$55,3,FALSE))</f>
        <v>0</v>
      </c>
      <c r="K65" s="4">
        <f>(VLOOKUP('20.03'!S65,'20.03'!$AO$4:$AQ$55,3,FALSE))</f>
        <v>0</v>
      </c>
      <c r="L65" s="4">
        <f>(VLOOKUP('20.03'!T65,'20.03'!$AO$4:$AQ$55,3,FALSE))</f>
        <v>0</v>
      </c>
      <c r="M65" s="4">
        <f>(VLOOKUP('20.03'!U65,'20.03'!$AO$4:$AQ$55,3,FALSE))</f>
        <v>0</v>
      </c>
      <c r="N65" s="4">
        <f>(VLOOKUP('20.03'!V65,'20.03'!$AO$4:$AQ$55,3,FALSE))</f>
        <v>0</v>
      </c>
      <c r="O65" s="5">
        <f>(VLOOKUP('20.03'!W65,'20.03'!$AO$4:$AQ$55,3,FALSE))</f>
        <v>0</v>
      </c>
      <c r="P65" s="5">
        <f>(VLOOKUP('20.03'!X65,'20.03'!$AO$4:$AQ$55,3,FALSE))</f>
        <v>0</v>
      </c>
      <c r="Q65" s="4">
        <f>(VLOOKUP('20.03'!Y65,'20.03'!$AO$4:$AQ$55,3,FALSE))</f>
        <v>0</v>
      </c>
      <c r="R65" s="4">
        <f>(VLOOKUP('20.03'!Z65,'20.03'!$AO$4:$AQ$55,3,FALSE))</f>
        <v>0</v>
      </c>
      <c r="S65" s="4">
        <f>(VLOOKUP('20.03'!AA65,'20.03'!$AO$4:$AQ$55,3,FALSE))</f>
        <v>0</v>
      </c>
      <c r="T65" s="4">
        <f>(VLOOKUP('20.03'!AB65,'20.03'!$AO$4:$AQ$55,3,FALSE))</f>
        <v>0</v>
      </c>
      <c r="U65" s="4">
        <f>(VLOOKUP('20.03'!AC65,'20.03'!$AO$4:$AQ$55,3,FALSE))</f>
        <v>0</v>
      </c>
      <c r="V65" s="4">
        <f>(VLOOKUP('20.03'!AD65,'20.03'!$AO$4:$AQ$55,3,FALSE))</f>
        <v>0</v>
      </c>
      <c r="W65" s="5">
        <f>(VLOOKUP('20.03'!AE65,'20.03'!$AO$4:$AQ$55,3,FALSE))</f>
        <v>0</v>
      </c>
      <c r="X65" s="5">
        <f>(VLOOKUP('20.03'!AF65,'20.03'!$AO$4:$AQ$55,3,FALSE))</f>
        <v>0</v>
      </c>
    </row>
    <row r="66" spans="1:24">
      <c r="A66" s="4">
        <f>(VLOOKUP('20.03'!I66,'20.03'!$AO$4:$AQ$55,3,FALSE))</f>
        <v>0</v>
      </c>
      <c r="B66" s="4">
        <f>(VLOOKUP('20.03'!J66,'20.03'!$AO$4:$AQ$55,3,FALSE))</f>
        <v>0</v>
      </c>
      <c r="C66" s="4">
        <f>(VLOOKUP('20.03'!K66,'20.03'!$AO$4:$AQ$55,3,FALSE))</f>
        <v>0</v>
      </c>
      <c r="D66" s="4">
        <f>(VLOOKUP('20.03'!L66,'20.03'!$AO$4:$AQ$55,3,FALSE))</f>
        <v>0</v>
      </c>
      <c r="E66" s="4">
        <f>(VLOOKUP('20.03'!M66,'20.03'!$AO$4:$AQ$55,3,FALSE))</f>
        <v>0</v>
      </c>
      <c r="F66" s="4">
        <f>(VLOOKUP('20.03'!N66,'20.03'!$AO$4:$AQ$55,3,FALSE))</f>
        <v>0</v>
      </c>
      <c r="G66" s="5">
        <f>(VLOOKUP('20.03'!O66,'20.03'!$AO$4:$AQ$55,3,FALSE))</f>
        <v>0</v>
      </c>
      <c r="H66" s="5">
        <f>(VLOOKUP('20.03'!P66,'20.03'!$AO$4:$AQ$55,3,FALSE))</f>
        <v>0</v>
      </c>
      <c r="I66" s="4">
        <f>(VLOOKUP('20.03'!Q66,'20.03'!$AO$4:$AQ$55,3,FALSE))</f>
        <v>0</v>
      </c>
      <c r="J66" s="4">
        <f>(VLOOKUP('20.03'!R66,'20.03'!$AO$4:$AQ$55,3,FALSE))</f>
        <v>0</v>
      </c>
      <c r="K66" s="4">
        <f>(VLOOKUP('20.03'!S66,'20.03'!$AO$4:$AQ$55,3,FALSE))</f>
        <v>0</v>
      </c>
      <c r="L66" s="4">
        <f>(VLOOKUP('20.03'!T66,'20.03'!$AO$4:$AQ$55,3,FALSE))</f>
        <v>0</v>
      </c>
      <c r="M66" s="4">
        <f>(VLOOKUP('20.03'!U66,'20.03'!$AO$4:$AQ$55,3,FALSE))</f>
        <v>0</v>
      </c>
      <c r="N66" s="4">
        <f>(VLOOKUP('20.03'!V66,'20.03'!$AO$4:$AQ$55,3,FALSE))</f>
        <v>0</v>
      </c>
      <c r="O66" s="5">
        <f>(VLOOKUP('20.03'!W66,'20.03'!$AO$4:$AQ$55,3,FALSE))</f>
        <v>0</v>
      </c>
      <c r="P66" s="5">
        <f>(VLOOKUP('20.03'!X66,'20.03'!$AO$4:$AQ$55,3,FALSE))</f>
        <v>0</v>
      </c>
      <c r="Q66" s="4">
        <f>(VLOOKUP('20.03'!Y66,'20.03'!$AO$4:$AQ$55,3,FALSE))</f>
        <v>0</v>
      </c>
      <c r="R66" s="4">
        <f>(VLOOKUP('20.03'!Z66,'20.03'!$AO$4:$AQ$55,3,FALSE))</f>
        <v>0</v>
      </c>
      <c r="S66" s="4">
        <f>(VLOOKUP('20.03'!AA66,'20.03'!$AO$4:$AQ$55,3,FALSE))</f>
        <v>0</v>
      </c>
      <c r="T66" s="4">
        <f>(VLOOKUP('20.03'!AB66,'20.03'!$AO$4:$AQ$55,3,FALSE))</f>
        <v>0</v>
      </c>
      <c r="U66" s="4">
        <f>(VLOOKUP('20.03'!AC66,'20.03'!$AO$4:$AQ$55,3,FALSE))</f>
        <v>0</v>
      </c>
      <c r="V66" s="4">
        <f>(VLOOKUP('20.03'!AD66,'20.03'!$AO$4:$AQ$55,3,FALSE))</f>
        <v>0</v>
      </c>
      <c r="W66" s="5">
        <f>(VLOOKUP('20.03'!AE66,'20.03'!$AO$4:$AQ$55,3,FALSE))</f>
        <v>0</v>
      </c>
      <c r="X66" s="5">
        <f>(VLOOKUP('20.03'!AF66,'20.03'!$AO$4:$AQ$55,3,FALSE))</f>
        <v>0</v>
      </c>
    </row>
    <row r="67" spans="1:24">
      <c r="A67" s="4">
        <f>(VLOOKUP('20.03'!I67,'20.03'!$AO$4:$AQ$55,3,FALSE))</f>
        <v>0</v>
      </c>
      <c r="B67" s="4">
        <f>(VLOOKUP('20.03'!J67,'20.03'!$AO$4:$AQ$55,3,FALSE))</f>
        <v>0</v>
      </c>
      <c r="C67" s="4">
        <f>(VLOOKUP('20.03'!K67,'20.03'!$AO$4:$AQ$55,3,FALSE))</f>
        <v>0</v>
      </c>
      <c r="D67" s="4">
        <f>(VLOOKUP('20.03'!L67,'20.03'!$AO$4:$AQ$55,3,FALSE))</f>
        <v>0</v>
      </c>
      <c r="E67" s="4">
        <f>(VLOOKUP('20.03'!M67,'20.03'!$AO$4:$AQ$55,3,FALSE))</f>
        <v>0</v>
      </c>
      <c r="F67" s="4">
        <f>(VLOOKUP('20.03'!N67,'20.03'!$AO$4:$AQ$55,3,FALSE))</f>
        <v>0</v>
      </c>
      <c r="G67" s="5">
        <f>(VLOOKUP('20.03'!O67,'20.03'!$AO$4:$AQ$55,3,FALSE))</f>
        <v>0</v>
      </c>
      <c r="H67" s="5">
        <f>(VLOOKUP('20.03'!P67,'20.03'!$AO$4:$AQ$55,3,FALSE))</f>
        <v>0</v>
      </c>
      <c r="I67" s="4">
        <f>(VLOOKUP('20.03'!Q67,'20.03'!$AO$4:$AQ$55,3,FALSE))</f>
        <v>0</v>
      </c>
      <c r="J67" s="4">
        <f>(VLOOKUP('20.03'!R67,'20.03'!$AO$4:$AQ$55,3,FALSE))</f>
        <v>0</v>
      </c>
      <c r="K67" s="4">
        <f>(VLOOKUP('20.03'!S67,'20.03'!$AO$4:$AQ$55,3,FALSE))</f>
        <v>0</v>
      </c>
      <c r="L67" s="4">
        <f>(VLOOKUP('20.03'!T67,'20.03'!$AO$4:$AQ$55,3,FALSE))</f>
        <v>0</v>
      </c>
      <c r="M67" s="4">
        <f>(VLOOKUP('20.03'!U67,'20.03'!$AO$4:$AQ$55,3,FALSE))</f>
        <v>0</v>
      </c>
      <c r="N67" s="4">
        <f>(VLOOKUP('20.03'!V67,'20.03'!$AO$4:$AQ$55,3,FALSE))</f>
        <v>0</v>
      </c>
      <c r="O67" s="5">
        <f>(VLOOKUP('20.03'!W67,'20.03'!$AO$4:$AQ$55,3,FALSE))</f>
        <v>0</v>
      </c>
      <c r="P67" s="5">
        <f>(VLOOKUP('20.03'!X67,'20.03'!$AO$4:$AQ$55,3,FALSE))</f>
        <v>0</v>
      </c>
      <c r="Q67" s="4">
        <f>(VLOOKUP('20.03'!Y67,'20.03'!$AO$4:$AQ$55,3,FALSE))</f>
        <v>0</v>
      </c>
      <c r="R67" s="4">
        <f>(VLOOKUP('20.03'!Z67,'20.03'!$AO$4:$AQ$55,3,FALSE))</f>
        <v>0</v>
      </c>
      <c r="S67" s="4">
        <f>(VLOOKUP('20.03'!AA67,'20.03'!$AO$4:$AQ$55,3,FALSE))</f>
        <v>0</v>
      </c>
      <c r="T67" s="4">
        <f>(VLOOKUP('20.03'!AB67,'20.03'!$AO$4:$AQ$55,3,FALSE))</f>
        <v>0</v>
      </c>
      <c r="U67" s="4">
        <f>(VLOOKUP('20.03'!AC67,'20.03'!$AO$4:$AQ$55,3,FALSE))</f>
        <v>0</v>
      </c>
      <c r="V67" s="4">
        <f>(VLOOKUP('20.03'!AD67,'20.03'!$AO$4:$AQ$55,3,FALSE))</f>
        <v>0</v>
      </c>
      <c r="W67" s="5">
        <f>(VLOOKUP('20.03'!AE67,'20.03'!$AO$4:$AQ$55,3,FALSE))</f>
        <v>0</v>
      </c>
      <c r="X67" s="5">
        <f>(VLOOKUP('20.03'!AF67,'20.03'!$AO$4:$AQ$55,3,FALSE))</f>
        <v>0</v>
      </c>
    </row>
    <row r="68" spans="1:24">
      <c r="A68" s="4">
        <f>(VLOOKUP('20.03'!I68,'20.03'!$AO$4:$AQ$55,3,FALSE))</f>
        <v>0</v>
      </c>
      <c r="B68" s="4">
        <f>(VLOOKUP('20.03'!J68,'20.03'!$AO$4:$AQ$55,3,FALSE))</f>
        <v>0</v>
      </c>
      <c r="C68" s="4">
        <f>(VLOOKUP('20.03'!K68,'20.03'!$AO$4:$AQ$55,3,FALSE))</f>
        <v>0</v>
      </c>
      <c r="D68" s="4">
        <f>(VLOOKUP('20.03'!L68,'20.03'!$AO$4:$AQ$55,3,FALSE))</f>
        <v>0</v>
      </c>
      <c r="E68" s="4">
        <f>(VLOOKUP('20.03'!M68,'20.03'!$AO$4:$AQ$55,3,FALSE))</f>
        <v>0</v>
      </c>
      <c r="F68" s="4">
        <f>(VLOOKUP('20.03'!N68,'20.03'!$AO$4:$AQ$55,3,FALSE))</f>
        <v>0</v>
      </c>
      <c r="G68" s="5">
        <f>(VLOOKUP('20.03'!O68,'20.03'!$AO$4:$AQ$55,3,FALSE))</f>
        <v>0</v>
      </c>
      <c r="H68" s="5">
        <f>(VLOOKUP('20.03'!P68,'20.03'!$AO$4:$AQ$55,3,FALSE))</f>
        <v>0</v>
      </c>
      <c r="I68" s="4">
        <f>(VLOOKUP('20.03'!Q68,'20.03'!$AO$4:$AQ$55,3,FALSE))</f>
        <v>0</v>
      </c>
      <c r="J68" s="4">
        <f>(VLOOKUP('20.03'!R68,'20.03'!$AO$4:$AQ$55,3,FALSE))</f>
        <v>0</v>
      </c>
      <c r="K68" s="4">
        <f>(VLOOKUP('20.03'!S68,'20.03'!$AO$4:$AQ$55,3,FALSE))</f>
        <v>0</v>
      </c>
      <c r="L68" s="4">
        <f>(VLOOKUP('20.03'!T68,'20.03'!$AO$4:$AQ$55,3,FALSE))</f>
        <v>0</v>
      </c>
      <c r="M68" s="4">
        <f>(VLOOKUP('20.03'!U68,'20.03'!$AO$4:$AQ$55,3,FALSE))</f>
        <v>0</v>
      </c>
      <c r="N68" s="4">
        <f>(VLOOKUP('20.03'!V68,'20.03'!$AO$4:$AQ$55,3,FALSE))</f>
        <v>0</v>
      </c>
      <c r="O68" s="5">
        <f>(VLOOKUP('20.03'!W68,'20.03'!$AO$4:$AQ$55,3,FALSE))</f>
        <v>0</v>
      </c>
      <c r="P68" s="5">
        <f>(VLOOKUP('20.03'!X68,'20.03'!$AO$4:$AQ$55,3,FALSE))</f>
        <v>0</v>
      </c>
      <c r="Q68" s="4">
        <f>(VLOOKUP('20.03'!Y68,'20.03'!$AO$4:$AQ$55,3,FALSE))</f>
        <v>0</v>
      </c>
      <c r="R68" s="4">
        <f>(VLOOKUP('20.03'!Z68,'20.03'!$AO$4:$AQ$55,3,FALSE))</f>
        <v>0</v>
      </c>
      <c r="S68" s="4">
        <f>(VLOOKUP('20.03'!AA68,'20.03'!$AO$4:$AQ$55,3,FALSE))</f>
        <v>0</v>
      </c>
      <c r="T68" s="4">
        <f>(VLOOKUP('20.03'!AB68,'20.03'!$AO$4:$AQ$55,3,FALSE))</f>
        <v>0</v>
      </c>
      <c r="U68" s="4">
        <f>(VLOOKUP('20.03'!AC68,'20.03'!$AO$4:$AQ$55,3,FALSE))</f>
        <v>0</v>
      </c>
      <c r="V68" s="4">
        <f>(VLOOKUP('20.03'!AD68,'20.03'!$AO$4:$AQ$55,3,FALSE))</f>
        <v>0</v>
      </c>
      <c r="W68" s="5">
        <f>(VLOOKUP('20.03'!AE68,'20.03'!$AO$4:$AQ$55,3,FALSE))</f>
        <v>0</v>
      </c>
      <c r="X68" s="5">
        <f>(VLOOKUP('20.03'!AF68,'20.03'!$AO$4:$AQ$55,3,FALSE))</f>
        <v>0</v>
      </c>
    </row>
    <row r="69" spans="1:24">
      <c r="A69" s="4">
        <f>(VLOOKUP('20.03'!I69,'20.03'!$AO$4:$AQ$55,3,FALSE))</f>
        <v>0</v>
      </c>
      <c r="B69" s="4">
        <f>(VLOOKUP('20.03'!J69,'20.03'!$AO$4:$AQ$55,3,FALSE))</f>
        <v>0</v>
      </c>
      <c r="C69" s="4">
        <f>(VLOOKUP('20.03'!K69,'20.03'!$AO$4:$AQ$55,3,FALSE))</f>
        <v>0</v>
      </c>
      <c r="D69" s="4">
        <f>(VLOOKUP('20.03'!L69,'20.03'!$AO$4:$AQ$55,3,FALSE))</f>
        <v>0</v>
      </c>
      <c r="E69" s="4">
        <f>(VLOOKUP('20.03'!M69,'20.03'!$AO$4:$AQ$55,3,FALSE))</f>
        <v>0</v>
      </c>
      <c r="F69" s="4">
        <f>(VLOOKUP('20.03'!N69,'20.03'!$AO$4:$AQ$55,3,FALSE))</f>
        <v>0</v>
      </c>
      <c r="G69" s="5">
        <f>(VLOOKUP('20.03'!O69,'20.03'!$AO$4:$AQ$55,3,FALSE))</f>
        <v>0</v>
      </c>
      <c r="H69" s="5">
        <f>(VLOOKUP('20.03'!P69,'20.03'!$AO$4:$AQ$55,3,FALSE))</f>
        <v>0</v>
      </c>
      <c r="I69" s="4">
        <f>(VLOOKUP('20.03'!Q69,'20.03'!$AO$4:$AQ$55,3,FALSE))</f>
        <v>0</v>
      </c>
      <c r="J69" s="4">
        <f>(VLOOKUP('20.03'!R69,'20.03'!$AO$4:$AQ$55,3,FALSE))</f>
        <v>0</v>
      </c>
      <c r="K69" s="4">
        <f>(VLOOKUP('20.03'!S69,'20.03'!$AO$4:$AQ$55,3,FALSE))</f>
        <v>0</v>
      </c>
      <c r="L69" s="4">
        <f>(VLOOKUP('20.03'!T69,'20.03'!$AO$4:$AQ$55,3,FALSE))</f>
        <v>0</v>
      </c>
      <c r="M69" s="4">
        <f>(VLOOKUP('20.03'!U69,'20.03'!$AO$4:$AQ$55,3,FALSE))</f>
        <v>0</v>
      </c>
      <c r="N69" s="4">
        <f>(VLOOKUP('20.03'!V69,'20.03'!$AO$4:$AQ$55,3,FALSE))</f>
        <v>0</v>
      </c>
      <c r="O69" s="5">
        <f>(VLOOKUP('20.03'!W69,'20.03'!$AO$4:$AQ$55,3,FALSE))</f>
        <v>0</v>
      </c>
      <c r="P69" s="5">
        <f>(VLOOKUP('20.03'!X69,'20.03'!$AO$4:$AQ$55,3,FALSE))</f>
        <v>0</v>
      </c>
      <c r="Q69" s="4">
        <f>(VLOOKUP('20.03'!Y69,'20.03'!$AO$4:$AQ$55,3,FALSE))</f>
        <v>0</v>
      </c>
      <c r="R69" s="4">
        <f>(VLOOKUP('20.03'!Z69,'20.03'!$AO$4:$AQ$55,3,FALSE))</f>
        <v>0</v>
      </c>
      <c r="S69" s="4">
        <f>(VLOOKUP('20.03'!AA69,'20.03'!$AO$4:$AQ$55,3,FALSE))</f>
        <v>0</v>
      </c>
      <c r="T69" s="4">
        <f>(VLOOKUP('20.03'!AB69,'20.03'!$AO$4:$AQ$55,3,FALSE))</f>
        <v>0</v>
      </c>
      <c r="U69" s="4">
        <f>(VLOOKUP('20.03'!AC69,'20.03'!$AO$4:$AQ$55,3,FALSE))</f>
        <v>0</v>
      </c>
      <c r="V69" s="4">
        <f>(VLOOKUP('20.03'!AD69,'20.03'!$AO$4:$AQ$55,3,FALSE))</f>
        <v>0</v>
      </c>
      <c r="W69" s="5">
        <f>(VLOOKUP('20.03'!AE69,'20.03'!$AO$4:$AQ$55,3,FALSE))</f>
        <v>0</v>
      </c>
      <c r="X69" s="5">
        <f>(VLOOKUP('20.03'!AF69,'20.03'!$AO$4:$AQ$55,3,FALSE))</f>
        <v>0</v>
      </c>
    </row>
    <row r="70" spans="1:24">
      <c r="A70" s="4">
        <f>(VLOOKUP('20.03'!I70,'20.03'!$AO$4:$AQ$55,3,FALSE))</f>
        <v>0</v>
      </c>
      <c r="B70" s="4">
        <f>(VLOOKUP('20.03'!J70,'20.03'!$AO$4:$AQ$55,3,FALSE))</f>
        <v>0</v>
      </c>
      <c r="C70" s="4">
        <f>(VLOOKUP('20.03'!K70,'20.03'!$AO$4:$AQ$55,3,FALSE))</f>
        <v>0</v>
      </c>
      <c r="D70" s="4">
        <f>(VLOOKUP('20.03'!L70,'20.03'!$AO$4:$AQ$55,3,FALSE))</f>
        <v>0</v>
      </c>
      <c r="E70" s="4">
        <f>(VLOOKUP('20.03'!M70,'20.03'!$AO$4:$AQ$55,3,FALSE))</f>
        <v>0</v>
      </c>
      <c r="F70" s="4">
        <f>(VLOOKUP('20.03'!N70,'20.03'!$AO$4:$AQ$55,3,FALSE))</f>
        <v>0</v>
      </c>
      <c r="G70" s="5">
        <f>(VLOOKUP('20.03'!O70,'20.03'!$AO$4:$AQ$55,3,FALSE))</f>
        <v>0</v>
      </c>
      <c r="H70" s="5">
        <f>(VLOOKUP('20.03'!P70,'20.03'!$AO$4:$AQ$55,3,FALSE))</f>
        <v>0</v>
      </c>
      <c r="I70" s="4">
        <f>(VLOOKUP('20.03'!Q70,'20.03'!$AO$4:$AQ$55,3,FALSE))</f>
        <v>0</v>
      </c>
      <c r="J70" s="4">
        <f>(VLOOKUP('20.03'!R70,'20.03'!$AO$4:$AQ$55,3,FALSE))</f>
        <v>0</v>
      </c>
      <c r="K70" s="4">
        <f>(VLOOKUP('20.03'!S70,'20.03'!$AO$4:$AQ$55,3,FALSE))</f>
        <v>0</v>
      </c>
      <c r="L70" s="4">
        <f>(VLOOKUP('20.03'!T70,'20.03'!$AO$4:$AQ$55,3,FALSE))</f>
        <v>0</v>
      </c>
      <c r="M70" s="4">
        <f>(VLOOKUP('20.03'!U70,'20.03'!$AO$4:$AQ$55,3,FALSE))</f>
        <v>0</v>
      </c>
      <c r="N70" s="4">
        <f>(VLOOKUP('20.03'!V70,'20.03'!$AO$4:$AQ$55,3,FALSE))</f>
        <v>0</v>
      </c>
      <c r="O70" s="5">
        <f>(VLOOKUP('20.03'!W70,'20.03'!$AO$4:$AQ$55,3,FALSE))</f>
        <v>0</v>
      </c>
      <c r="P70" s="5">
        <f>(VLOOKUP('20.03'!X70,'20.03'!$AO$4:$AQ$55,3,FALSE))</f>
        <v>0</v>
      </c>
      <c r="Q70" s="4">
        <f>(VLOOKUP('20.03'!Y70,'20.03'!$AO$4:$AQ$55,3,FALSE))</f>
        <v>0</v>
      </c>
      <c r="R70" s="4">
        <f>(VLOOKUP('20.03'!Z70,'20.03'!$AO$4:$AQ$55,3,FALSE))</f>
        <v>0</v>
      </c>
      <c r="S70" s="4">
        <f>(VLOOKUP('20.03'!AA70,'20.03'!$AO$4:$AQ$55,3,FALSE))</f>
        <v>0</v>
      </c>
      <c r="T70" s="4">
        <f>(VLOOKUP('20.03'!AB70,'20.03'!$AO$4:$AQ$55,3,FALSE))</f>
        <v>0</v>
      </c>
      <c r="U70" s="4">
        <f>(VLOOKUP('20.03'!AC70,'20.03'!$AO$4:$AQ$55,3,FALSE))</f>
        <v>0</v>
      </c>
      <c r="V70" s="4">
        <f>(VLOOKUP('20.03'!AD70,'20.03'!$AO$4:$AQ$55,3,FALSE))</f>
        <v>0</v>
      </c>
      <c r="W70" s="5">
        <f>(VLOOKUP('20.03'!AE70,'20.03'!$AO$4:$AQ$55,3,FALSE))</f>
        <v>0</v>
      </c>
      <c r="X70" s="5">
        <f>(VLOOKUP('20.03'!AF70,'20.03'!$AO$4:$AQ$55,3,FALSE))</f>
        <v>0</v>
      </c>
    </row>
    <row r="71" spans="1:24">
      <c r="A71" s="4">
        <f>(VLOOKUP('20.03'!I71,'20.03'!$AO$4:$AQ$55,3,FALSE))</f>
        <v>0</v>
      </c>
      <c r="B71" s="4">
        <f>(VLOOKUP('20.03'!J71,'20.03'!$AO$4:$AQ$55,3,FALSE))</f>
        <v>0</v>
      </c>
      <c r="C71" s="4">
        <f>(VLOOKUP('20.03'!K71,'20.03'!$AO$4:$AQ$55,3,FALSE))</f>
        <v>0</v>
      </c>
      <c r="D71" s="4">
        <f>(VLOOKUP('20.03'!L71,'20.03'!$AO$4:$AQ$55,3,FALSE))</f>
        <v>0</v>
      </c>
      <c r="E71" s="4">
        <f>(VLOOKUP('20.03'!M71,'20.03'!$AO$4:$AQ$55,3,FALSE))</f>
        <v>0</v>
      </c>
      <c r="F71" s="4">
        <f>(VLOOKUP('20.03'!N71,'20.03'!$AO$4:$AQ$55,3,FALSE))</f>
        <v>0</v>
      </c>
      <c r="G71" s="5">
        <f>(VLOOKUP('20.03'!O71,'20.03'!$AO$4:$AQ$55,3,FALSE))</f>
        <v>0</v>
      </c>
      <c r="H71" s="5">
        <f>(VLOOKUP('20.03'!P71,'20.03'!$AO$4:$AQ$55,3,FALSE))</f>
        <v>0</v>
      </c>
      <c r="I71" s="4">
        <f>(VLOOKUP('20.03'!Q71,'20.03'!$AO$4:$AQ$55,3,FALSE))</f>
        <v>0</v>
      </c>
      <c r="J71" s="4">
        <f>(VLOOKUP('20.03'!R71,'20.03'!$AO$4:$AQ$55,3,FALSE))</f>
        <v>0</v>
      </c>
      <c r="K71" s="4">
        <f>(VLOOKUP('20.03'!S71,'20.03'!$AO$4:$AQ$55,3,FALSE))</f>
        <v>0</v>
      </c>
      <c r="L71" s="4">
        <f>(VLOOKUP('20.03'!T71,'20.03'!$AO$4:$AQ$55,3,FALSE))</f>
        <v>0</v>
      </c>
      <c r="M71" s="4">
        <f>(VLOOKUP('20.03'!U71,'20.03'!$AO$4:$AQ$55,3,FALSE))</f>
        <v>0</v>
      </c>
      <c r="N71" s="4">
        <f>(VLOOKUP('20.03'!V71,'20.03'!$AO$4:$AQ$55,3,FALSE))</f>
        <v>0</v>
      </c>
      <c r="O71" s="5">
        <f>(VLOOKUP('20.03'!W71,'20.03'!$AO$4:$AQ$55,3,FALSE))</f>
        <v>0</v>
      </c>
      <c r="P71" s="5">
        <f>(VLOOKUP('20.03'!X71,'20.03'!$AO$4:$AQ$55,3,FALSE))</f>
        <v>0</v>
      </c>
      <c r="Q71" s="4">
        <f>(VLOOKUP('20.03'!Y71,'20.03'!$AO$4:$AQ$55,3,FALSE))</f>
        <v>0</v>
      </c>
      <c r="R71" s="4">
        <f>(VLOOKUP('20.03'!Z71,'20.03'!$AO$4:$AQ$55,3,FALSE))</f>
        <v>0</v>
      </c>
      <c r="S71" s="4">
        <f>(VLOOKUP('20.03'!AA71,'20.03'!$AO$4:$AQ$55,3,FALSE))</f>
        <v>0</v>
      </c>
      <c r="T71" s="4">
        <f>(VLOOKUP('20.03'!AB71,'20.03'!$AO$4:$AQ$55,3,FALSE))</f>
        <v>0</v>
      </c>
      <c r="U71" s="4">
        <f>(VLOOKUP('20.03'!AC71,'20.03'!$AO$4:$AQ$55,3,FALSE))</f>
        <v>0</v>
      </c>
      <c r="V71" s="4">
        <f>(VLOOKUP('20.03'!AD71,'20.03'!$AO$4:$AQ$55,3,FALSE))</f>
        <v>0</v>
      </c>
      <c r="W71" s="5">
        <f>(VLOOKUP('20.03'!AE71,'20.03'!$AO$4:$AQ$55,3,FALSE))</f>
        <v>0</v>
      </c>
      <c r="X71" s="5">
        <f>(VLOOKUP('20.03'!AF71,'20.03'!$AO$4:$AQ$55,3,FALSE))</f>
        <v>0</v>
      </c>
    </row>
    <row r="72" spans="1:24">
      <c r="A72" s="4">
        <f>(VLOOKUP('20.03'!I72,'20.03'!$AO$4:$AQ$55,3,FALSE))</f>
        <v>0</v>
      </c>
      <c r="B72" s="4">
        <f>(VLOOKUP('20.03'!J72,'20.03'!$AO$4:$AQ$55,3,FALSE))</f>
        <v>0</v>
      </c>
      <c r="C72" s="4">
        <f>(VLOOKUP('20.03'!K72,'20.03'!$AO$4:$AQ$55,3,FALSE))</f>
        <v>0</v>
      </c>
      <c r="D72" s="4">
        <f>(VLOOKUP('20.03'!L72,'20.03'!$AO$4:$AQ$55,3,FALSE))</f>
        <v>0</v>
      </c>
      <c r="E72" s="4">
        <f>(VLOOKUP('20.03'!M72,'20.03'!$AO$4:$AQ$55,3,FALSE))</f>
        <v>0</v>
      </c>
      <c r="F72" s="4">
        <f>(VLOOKUP('20.03'!N72,'20.03'!$AO$4:$AQ$55,3,FALSE))</f>
        <v>0</v>
      </c>
      <c r="G72" s="5">
        <f>(VLOOKUP('20.03'!O72,'20.03'!$AO$4:$AQ$55,3,FALSE))</f>
        <v>0</v>
      </c>
      <c r="H72" s="5">
        <f>(VLOOKUP('20.03'!P72,'20.03'!$AO$4:$AQ$55,3,FALSE))</f>
        <v>0</v>
      </c>
      <c r="I72" s="4">
        <f>(VLOOKUP('20.03'!Q72,'20.03'!$AO$4:$AQ$55,3,FALSE))</f>
        <v>0</v>
      </c>
      <c r="J72" s="4">
        <f>(VLOOKUP('20.03'!R72,'20.03'!$AO$4:$AQ$55,3,FALSE))</f>
        <v>0</v>
      </c>
      <c r="K72" s="4">
        <f>(VLOOKUP('20.03'!S72,'20.03'!$AO$4:$AQ$55,3,FALSE))</f>
        <v>0</v>
      </c>
      <c r="L72" s="4">
        <f>(VLOOKUP('20.03'!T72,'20.03'!$AO$4:$AQ$55,3,FALSE))</f>
        <v>0</v>
      </c>
      <c r="M72" s="4">
        <f>(VLOOKUP('20.03'!U72,'20.03'!$AO$4:$AQ$55,3,FALSE))</f>
        <v>0</v>
      </c>
      <c r="N72" s="4">
        <f>(VLOOKUP('20.03'!V72,'20.03'!$AO$4:$AQ$55,3,FALSE))</f>
        <v>0</v>
      </c>
      <c r="O72" s="5">
        <f>(VLOOKUP('20.03'!W72,'20.03'!$AO$4:$AQ$55,3,FALSE))</f>
        <v>0</v>
      </c>
      <c r="P72" s="5">
        <f>(VLOOKUP('20.03'!X72,'20.03'!$AO$4:$AQ$55,3,FALSE))</f>
        <v>0</v>
      </c>
      <c r="Q72" s="4">
        <f>(VLOOKUP('20.03'!Y72,'20.03'!$AO$4:$AQ$55,3,FALSE))</f>
        <v>0</v>
      </c>
      <c r="R72" s="4">
        <f>(VLOOKUP('20.03'!Z72,'20.03'!$AO$4:$AQ$55,3,FALSE))</f>
        <v>0</v>
      </c>
      <c r="S72" s="4">
        <f>(VLOOKUP('20.03'!AA72,'20.03'!$AO$4:$AQ$55,3,FALSE))</f>
        <v>0</v>
      </c>
      <c r="T72" s="4">
        <f>(VLOOKUP('20.03'!AB72,'20.03'!$AO$4:$AQ$55,3,FALSE))</f>
        <v>0</v>
      </c>
      <c r="U72" s="4">
        <f>(VLOOKUP('20.03'!AC72,'20.03'!$AO$4:$AQ$55,3,FALSE))</f>
        <v>0</v>
      </c>
      <c r="V72" s="4">
        <f>(VLOOKUP('20.03'!AD72,'20.03'!$AO$4:$AQ$55,3,FALSE))</f>
        <v>0</v>
      </c>
      <c r="W72" s="5">
        <f>(VLOOKUP('20.03'!AE72,'20.03'!$AO$4:$AQ$55,3,FALSE))</f>
        <v>0</v>
      </c>
      <c r="X72" s="5">
        <f>(VLOOKUP('20.03'!AF72,'20.03'!$AO$4:$AQ$55,3,FALSE))</f>
        <v>0</v>
      </c>
    </row>
    <row r="73" spans="1:24">
      <c r="A73" s="4">
        <f>(VLOOKUP('20.03'!I73,'20.03'!$AO$4:$AQ$55,3,FALSE))</f>
        <v>0</v>
      </c>
      <c r="B73" s="4">
        <f>(VLOOKUP('20.03'!J73,'20.03'!$AO$4:$AQ$55,3,FALSE))</f>
        <v>0</v>
      </c>
      <c r="C73" s="4">
        <f>(VLOOKUP('20.03'!K73,'20.03'!$AO$4:$AQ$55,3,FALSE))</f>
        <v>0</v>
      </c>
      <c r="D73" s="4">
        <f>(VLOOKUP('20.03'!L73,'20.03'!$AO$4:$AQ$55,3,FALSE))</f>
        <v>0</v>
      </c>
      <c r="E73" s="4">
        <f>(VLOOKUP('20.03'!M73,'20.03'!$AO$4:$AQ$55,3,FALSE))</f>
        <v>0</v>
      </c>
      <c r="F73" s="4">
        <f>(VLOOKUP('20.03'!N73,'20.03'!$AO$4:$AQ$55,3,FALSE))</f>
        <v>0</v>
      </c>
      <c r="G73" s="5">
        <f>(VLOOKUP('20.03'!O73,'20.03'!$AO$4:$AQ$55,3,FALSE))</f>
        <v>0</v>
      </c>
      <c r="H73" s="5">
        <f>(VLOOKUP('20.03'!P73,'20.03'!$AO$4:$AQ$55,3,FALSE))</f>
        <v>0</v>
      </c>
      <c r="I73" s="4">
        <f>(VLOOKUP('20.03'!Q73,'20.03'!$AO$4:$AQ$55,3,FALSE))</f>
        <v>0</v>
      </c>
      <c r="J73" s="4">
        <f>(VLOOKUP('20.03'!R73,'20.03'!$AO$4:$AQ$55,3,FALSE))</f>
        <v>0</v>
      </c>
      <c r="K73" s="4">
        <f>(VLOOKUP('20.03'!S73,'20.03'!$AO$4:$AQ$55,3,FALSE))</f>
        <v>0</v>
      </c>
      <c r="L73" s="4">
        <f>(VLOOKUP('20.03'!T73,'20.03'!$AO$4:$AQ$55,3,FALSE))</f>
        <v>0</v>
      </c>
      <c r="M73" s="4">
        <f>(VLOOKUP('20.03'!U73,'20.03'!$AO$4:$AQ$55,3,FALSE))</f>
        <v>0</v>
      </c>
      <c r="N73" s="4">
        <f>(VLOOKUP('20.03'!V73,'20.03'!$AO$4:$AQ$55,3,FALSE))</f>
        <v>0</v>
      </c>
      <c r="O73" s="5">
        <f>(VLOOKUP('20.03'!W73,'20.03'!$AO$4:$AQ$55,3,FALSE))</f>
        <v>0</v>
      </c>
      <c r="P73" s="5">
        <f>(VLOOKUP('20.03'!X73,'20.03'!$AO$4:$AQ$55,3,FALSE))</f>
        <v>0</v>
      </c>
      <c r="Q73" s="4">
        <f>(VLOOKUP('20.03'!Y73,'20.03'!$AO$4:$AQ$55,3,FALSE))</f>
        <v>0</v>
      </c>
      <c r="R73" s="4">
        <f>(VLOOKUP('20.03'!Z73,'20.03'!$AO$4:$AQ$55,3,FALSE))</f>
        <v>0</v>
      </c>
      <c r="S73" s="4">
        <f>(VLOOKUP('20.03'!AA73,'20.03'!$AO$4:$AQ$55,3,FALSE))</f>
        <v>0</v>
      </c>
      <c r="T73" s="4">
        <f>(VLOOKUP('20.03'!AB73,'20.03'!$AO$4:$AQ$55,3,FALSE))</f>
        <v>0</v>
      </c>
      <c r="U73" s="4">
        <f>(VLOOKUP('20.03'!AC73,'20.03'!$AO$4:$AQ$55,3,FALSE))</f>
        <v>0</v>
      </c>
      <c r="V73" s="4">
        <f>(VLOOKUP('20.03'!AD73,'20.03'!$AO$4:$AQ$55,3,FALSE))</f>
        <v>0</v>
      </c>
      <c r="W73" s="5">
        <f>(VLOOKUP('20.03'!AE73,'20.03'!$AO$4:$AQ$55,3,FALSE))</f>
        <v>0</v>
      </c>
      <c r="X73" s="5">
        <f>(VLOOKUP('20.03'!AF73,'20.03'!$AO$4:$AQ$55,3,FALSE))</f>
        <v>0</v>
      </c>
    </row>
    <row r="74" spans="1:24">
      <c r="A74" s="4">
        <f>(VLOOKUP('20.03'!I74,'20.03'!$AO$4:$AQ$55,3,FALSE))</f>
        <v>0</v>
      </c>
      <c r="B74" s="4">
        <f>(VLOOKUP('20.03'!J74,'20.03'!$AO$4:$AQ$55,3,FALSE))</f>
        <v>0</v>
      </c>
      <c r="C74" s="4">
        <f>(VLOOKUP('20.03'!K74,'20.03'!$AO$4:$AQ$55,3,FALSE))</f>
        <v>0</v>
      </c>
      <c r="D74" s="4">
        <f>(VLOOKUP('20.03'!L74,'20.03'!$AO$4:$AQ$55,3,FALSE))</f>
        <v>0</v>
      </c>
      <c r="E74" s="4">
        <f>(VLOOKUP('20.03'!M74,'20.03'!$AO$4:$AQ$55,3,FALSE))</f>
        <v>0</v>
      </c>
      <c r="F74" s="4">
        <f>(VLOOKUP('20.03'!N74,'20.03'!$AO$4:$AQ$55,3,FALSE))</f>
        <v>0</v>
      </c>
      <c r="G74" s="5">
        <f>(VLOOKUP('20.03'!O74,'20.03'!$AO$4:$AQ$55,3,FALSE))</f>
        <v>0</v>
      </c>
      <c r="H74" s="5">
        <f>(VLOOKUP('20.03'!P74,'20.03'!$AO$4:$AQ$55,3,FALSE))</f>
        <v>0</v>
      </c>
      <c r="I74" s="4">
        <f>(VLOOKUP('20.03'!Q74,'20.03'!$AO$4:$AQ$55,3,FALSE))</f>
        <v>0</v>
      </c>
      <c r="J74" s="4">
        <f>(VLOOKUP('20.03'!R74,'20.03'!$AO$4:$AQ$55,3,FALSE))</f>
        <v>0</v>
      </c>
      <c r="K74" s="4">
        <f>(VLOOKUP('20.03'!S74,'20.03'!$AO$4:$AQ$55,3,FALSE))</f>
        <v>0</v>
      </c>
      <c r="L74" s="4">
        <f>(VLOOKUP('20.03'!T74,'20.03'!$AO$4:$AQ$55,3,FALSE))</f>
        <v>0</v>
      </c>
      <c r="M74" s="4">
        <f>(VLOOKUP('20.03'!U74,'20.03'!$AO$4:$AQ$55,3,FALSE))</f>
        <v>0</v>
      </c>
      <c r="N74" s="4">
        <f>(VLOOKUP('20.03'!V74,'20.03'!$AO$4:$AQ$55,3,FALSE))</f>
        <v>0</v>
      </c>
      <c r="O74" s="5">
        <f>(VLOOKUP('20.03'!W74,'20.03'!$AO$4:$AQ$55,3,FALSE))</f>
        <v>0</v>
      </c>
      <c r="P74" s="5">
        <f>(VLOOKUP('20.03'!X74,'20.03'!$AO$4:$AQ$55,3,FALSE))</f>
        <v>0</v>
      </c>
      <c r="Q74" s="4">
        <f>(VLOOKUP('20.03'!Y74,'20.03'!$AO$4:$AQ$55,3,FALSE))</f>
        <v>0</v>
      </c>
      <c r="R74" s="4">
        <f>(VLOOKUP('20.03'!Z74,'20.03'!$AO$4:$AQ$55,3,FALSE))</f>
        <v>0</v>
      </c>
      <c r="S74" s="4">
        <f>(VLOOKUP('20.03'!AA74,'20.03'!$AO$4:$AQ$55,3,FALSE))</f>
        <v>0</v>
      </c>
      <c r="T74" s="4">
        <f>(VLOOKUP('20.03'!AB74,'20.03'!$AO$4:$AQ$55,3,FALSE))</f>
        <v>0</v>
      </c>
      <c r="U74" s="4">
        <f>(VLOOKUP('20.03'!AC74,'20.03'!$AO$4:$AQ$55,3,FALSE))</f>
        <v>0</v>
      </c>
      <c r="V74" s="4">
        <f>(VLOOKUP('20.03'!AD74,'20.03'!$AO$4:$AQ$55,3,FALSE))</f>
        <v>0</v>
      </c>
      <c r="W74" s="5">
        <f>(VLOOKUP('20.03'!AE74,'20.03'!$AO$4:$AQ$55,3,FALSE))</f>
        <v>0</v>
      </c>
      <c r="X74" s="5">
        <f>(VLOOKUP('20.03'!AF74,'20.03'!$AO$4:$AQ$55,3,FALSE))</f>
        <v>0</v>
      </c>
    </row>
    <row r="75" spans="1:24">
      <c r="A75" s="4">
        <f>(VLOOKUP('20.03'!I75,'20.03'!$AO$4:$AQ$55,3,FALSE))</f>
        <v>0</v>
      </c>
      <c r="B75" s="4">
        <f>(VLOOKUP('20.03'!J75,'20.03'!$AO$4:$AQ$55,3,FALSE))</f>
        <v>0</v>
      </c>
      <c r="C75" s="4">
        <f>(VLOOKUP('20.03'!K75,'20.03'!$AO$4:$AQ$55,3,FALSE))</f>
        <v>0</v>
      </c>
      <c r="D75" s="4">
        <f>(VLOOKUP('20.03'!L75,'20.03'!$AO$4:$AQ$55,3,FALSE))</f>
        <v>0</v>
      </c>
      <c r="E75" s="4">
        <f>(VLOOKUP('20.03'!M75,'20.03'!$AO$4:$AQ$55,3,FALSE))</f>
        <v>0</v>
      </c>
      <c r="F75" s="4">
        <f>(VLOOKUP('20.03'!N75,'20.03'!$AO$4:$AQ$55,3,FALSE))</f>
        <v>0</v>
      </c>
      <c r="G75" s="5">
        <f>(VLOOKUP('20.03'!O75,'20.03'!$AO$4:$AQ$55,3,FALSE))</f>
        <v>0</v>
      </c>
      <c r="H75" s="5">
        <f>(VLOOKUP('20.03'!P75,'20.03'!$AO$4:$AQ$55,3,FALSE))</f>
        <v>0</v>
      </c>
      <c r="I75" s="4">
        <f>(VLOOKUP('20.03'!Q75,'20.03'!$AO$4:$AQ$55,3,FALSE))</f>
        <v>0</v>
      </c>
      <c r="J75" s="4">
        <f>(VLOOKUP('20.03'!R75,'20.03'!$AO$4:$AQ$55,3,FALSE))</f>
        <v>0</v>
      </c>
      <c r="K75" s="4">
        <f>(VLOOKUP('20.03'!S75,'20.03'!$AO$4:$AQ$55,3,FALSE))</f>
        <v>0</v>
      </c>
      <c r="L75" s="4">
        <f>(VLOOKUP('20.03'!T75,'20.03'!$AO$4:$AQ$55,3,FALSE))</f>
        <v>0</v>
      </c>
      <c r="M75" s="4">
        <f>(VLOOKUP('20.03'!U75,'20.03'!$AO$4:$AQ$55,3,FALSE))</f>
        <v>0</v>
      </c>
      <c r="N75" s="4">
        <f>(VLOOKUP('20.03'!V75,'20.03'!$AO$4:$AQ$55,3,FALSE))</f>
        <v>0</v>
      </c>
      <c r="O75" s="5">
        <f>(VLOOKUP('20.03'!W75,'20.03'!$AO$4:$AQ$55,3,FALSE))</f>
        <v>0</v>
      </c>
      <c r="P75" s="5">
        <f>(VLOOKUP('20.03'!X75,'20.03'!$AO$4:$AQ$55,3,FALSE))</f>
        <v>0</v>
      </c>
      <c r="Q75" s="4">
        <f>(VLOOKUP('20.03'!Y75,'20.03'!$AO$4:$AQ$55,3,FALSE))</f>
        <v>0</v>
      </c>
      <c r="R75" s="4">
        <f>(VLOOKUP('20.03'!Z75,'20.03'!$AO$4:$AQ$55,3,FALSE))</f>
        <v>0</v>
      </c>
      <c r="S75" s="4">
        <f>(VLOOKUP('20.03'!AA75,'20.03'!$AO$4:$AQ$55,3,FALSE))</f>
        <v>0</v>
      </c>
      <c r="T75" s="4">
        <f>(VLOOKUP('20.03'!AB75,'20.03'!$AO$4:$AQ$55,3,FALSE))</f>
        <v>0</v>
      </c>
      <c r="U75" s="4">
        <f>(VLOOKUP('20.03'!AC75,'20.03'!$AO$4:$AQ$55,3,FALSE))</f>
        <v>0</v>
      </c>
      <c r="V75" s="4">
        <f>(VLOOKUP('20.03'!AD75,'20.03'!$AO$4:$AQ$55,3,FALSE))</f>
        <v>0</v>
      </c>
      <c r="W75" s="5">
        <f>(VLOOKUP('20.03'!AE75,'20.03'!$AO$4:$AQ$55,3,FALSE))</f>
        <v>0</v>
      </c>
      <c r="X75" s="5">
        <f>(VLOOKUP('20.03'!AF75,'20.03'!$AO$4:$AQ$55,3,FALSE))</f>
        <v>0</v>
      </c>
    </row>
    <row r="76" spans="1:24">
      <c r="A76" s="4">
        <f>(VLOOKUP('20.03'!I76,'20.03'!$AO$4:$AQ$55,3,FALSE))</f>
        <v>0</v>
      </c>
      <c r="B76" s="4">
        <f>(VLOOKUP('20.03'!J76,'20.03'!$AO$4:$AQ$55,3,FALSE))</f>
        <v>0</v>
      </c>
      <c r="C76" s="4">
        <f>(VLOOKUP('20.03'!K76,'20.03'!$AO$4:$AQ$55,3,FALSE))</f>
        <v>0</v>
      </c>
      <c r="D76" s="4">
        <f>(VLOOKUP('20.03'!L76,'20.03'!$AO$4:$AQ$55,3,FALSE))</f>
        <v>0</v>
      </c>
      <c r="E76" s="4">
        <f>(VLOOKUP('20.03'!M76,'20.03'!$AO$4:$AQ$55,3,FALSE))</f>
        <v>0</v>
      </c>
      <c r="F76" s="4">
        <f>(VLOOKUP('20.03'!N76,'20.03'!$AO$4:$AQ$55,3,FALSE))</f>
        <v>0</v>
      </c>
      <c r="G76" s="5">
        <f>(VLOOKUP('20.03'!O76,'20.03'!$AO$4:$AQ$55,3,FALSE))</f>
        <v>0</v>
      </c>
      <c r="H76" s="5">
        <f>(VLOOKUP('20.03'!P76,'20.03'!$AO$4:$AQ$55,3,FALSE))</f>
        <v>0</v>
      </c>
      <c r="I76" s="4">
        <f>(VLOOKUP('20.03'!Q76,'20.03'!$AO$4:$AQ$55,3,FALSE))</f>
        <v>0</v>
      </c>
      <c r="J76" s="4">
        <f>(VLOOKUP('20.03'!R76,'20.03'!$AO$4:$AQ$55,3,FALSE))</f>
        <v>0</v>
      </c>
      <c r="K76" s="4">
        <f>(VLOOKUP('20.03'!S76,'20.03'!$AO$4:$AQ$55,3,FALSE))</f>
        <v>0</v>
      </c>
      <c r="L76" s="4">
        <f>(VLOOKUP('20.03'!T76,'20.03'!$AO$4:$AQ$55,3,FALSE))</f>
        <v>0</v>
      </c>
      <c r="M76" s="4">
        <f>(VLOOKUP('20.03'!U76,'20.03'!$AO$4:$AQ$55,3,FALSE))</f>
        <v>0</v>
      </c>
      <c r="N76" s="4">
        <f>(VLOOKUP('20.03'!V76,'20.03'!$AO$4:$AQ$55,3,FALSE))</f>
        <v>0</v>
      </c>
      <c r="O76" s="5">
        <f>(VLOOKUP('20.03'!W76,'20.03'!$AO$4:$AQ$55,3,FALSE))</f>
        <v>0</v>
      </c>
      <c r="P76" s="5">
        <f>(VLOOKUP('20.03'!X76,'20.03'!$AO$4:$AQ$55,3,FALSE))</f>
        <v>0</v>
      </c>
      <c r="Q76" s="4">
        <f>(VLOOKUP('20.03'!Y76,'20.03'!$AO$4:$AQ$55,3,FALSE))</f>
        <v>0</v>
      </c>
      <c r="R76" s="4">
        <f>(VLOOKUP('20.03'!Z76,'20.03'!$AO$4:$AQ$55,3,FALSE))</f>
        <v>0</v>
      </c>
      <c r="S76" s="4">
        <f>(VLOOKUP('20.03'!AA76,'20.03'!$AO$4:$AQ$55,3,FALSE))</f>
        <v>0</v>
      </c>
      <c r="T76" s="4">
        <f>(VLOOKUP('20.03'!AB76,'20.03'!$AO$4:$AQ$55,3,FALSE))</f>
        <v>0</v>
      </c>
      <c r="U76" s="4">
        <f>(VLOOKUP('20.03'!AC76,'20.03'!$AO$4:$AQ$55,3,FALSE))</f>
        <v>0</v>
      </c>
      <c r="V76" s="4">
        <f>(VLOOKUP('20.03'!AD76,'20.03'!$AO$4:$AQ$55,3,FALSE))</f>
        <v>0</v>
      </c>
      <c r="W76" s="5">
        <f>(VLOOKUP('20.03'!AE76,'20.03'!$AO$4:$AQ$55,3,FALSE))</f>
        <v>0</v>
      </c>
      <c r="X76" s="5">
        <f>(VLOOKUP('20.03'!AF76,'20.03'!$AO$4:$AQ$55,3,FALSE))</f>
        <v>0</v>
      </c>
    </row>
    <row r="77" spans="1:24">
      <c r="A77" s="4">
        <f>(VLOOKUP('20.03'!I77,'20.03'!$AO$4:$AQ$55,3,FALSE))</f>
        <v>0</v>
      </c>
      <c r="B77" s="4">
        <f>(VLOOKUP('20.03'!J77,'20.03'!$AO$4:$AQ$55,3,FALSE))</f>
        <v>0</v>
      </c>
      <c r="C77" s="4">
        <f>(VLOOKUP('20.03'!K77,'20.03'!$AO$4:$AQ$55,3,FALSE))</f>
        <v>0</v>
      </c>
      <c r="D77" s="4">
        <f>(VLOOKUP('20.03'!L77,'20.03'!$AO$4:$AQ$55,3,FALSE))</f>
        <v>0</v>
      </c>
      <c r="E77" s="4">
        <f>(VLOOKUP('20.03'!M77,'20.03'!$AO$4:$AQ$55,3,FALSE))</f>
        <v>0</v>
      </c>
      <c r="F77" s="4">
        <f>(VLOOKUP('20.03'!N77,'20.03'!$AO$4:$AQ$55,3,FALSE))</f>
        <v>0</v>
      </c>
      <c r="G77" s="5">
        <f>(VLOOKUP('20.03'!O77,'20.03'!$AO$4:$AQ$55,3,FALSE))</f>
        <v>0</v>
      </c>
      <c r="H77" s="5">
        <f>(VLOOKUP('20.03'!P77,'20.03'!$AO$4:$AQ$55,3,FALSE))</f>
        <v>0</v>
      </c>
      <c r="I77" s="4">
        <f>(VLOOKUP('20.03'!Q77,'20.03'!$AO$4:$AQ$55,3,FALSE))</f>
        <v>0</v>
      </c>
      <c r="J77" s="4">
        <f>(VLOOKUP('20.03'!R77,'20.03'!$AO$4:$AQ$55,3,FALSE))</f>
        <v>0</v>
      </c>
      <c r="K77" s="4">
        <f>(VLOOKUP('20.03'!S77,'20.03'!$AO$4:$AQ$55,3,FALSE))</f>
        <v>0</v>
      </c>
      <c r="L77" s="4">
        <f>(VLOOKUP('20.03'!T77,'20.03'!$AO$4:$AQ$55,3,FALSE))</f>
        <v>0</v>
      </c>
      <c r="M77" s="4">
        <f>(VLOOKUP('20.03'!U77,'20.03'!$AO$4:$AQ$55,3,FALSE))</f>
        <v>0</v>
      </c>
      <c r="N77" s="4">
        <f>(VLOOKUP('20.03'!V77,'20.03'!$AO$4:$AQ$55,3,FALSE))</f>
        <v>0</v>
      </c>
      <c r="O77" s="5">
        <f>(VLOOKUP('20.03'!W77,'20.03'!$AO$4:$AQ$55,3,FALSE))</f>
        <v>0</v>
      </c>
      <c r="P77" s="5">
        <f>(VLOOKUP('20.03'!X77,'20.03'!$AO$4:$AQ$55,3,FALSE))</f>
        <v>0</v>
      </c>
      <c r="Q77" s="4">
        <f>(VLOOKUP('20.03'!Y77,'20.03'!$AO$4:$AQ$55,3,FALSE))</f>
        <v>0</v>
      </c>
      <c r="R77" s="4">
        <f>(VLOOKUP('20.03'!Z77,'20.03'!$AO$4:$AQ$55,3,FALSE))</f>
        <v>0</v>
      </c>
      <c r="S77" s="4">
        <f>(VLOOKUP('20.03'!AA77,'20.03'!$AO$4:$AQ$55,3,FALSE))</f>
        <v>0</v>
      </c>
      <c r="T77" s="4">
        <f>(VLOOKUP('20.03'!AB77,'20.03'!$AO$4:$AQ$55,3,FALSE))</f>
        <v>0</v>
      </c>
      <c r="U77" s="4">
        <f>(VLOOKUP('20.03'!AC77,'20.03'!$AO$4:$AQ$55,3,FALSE))</f>
        <v>0</v>
      </c>
      <c r="V77" s="4">
        <f>(VLOOKUP('20.03'!AD77,'20.03'!$AO$4:$AQ$55,3,FALSE))</f>
        <v>0</v>
      </c>
      <c r="W77" s="5">
        <f>(VLOOKUP('20.03'!AE77,'20.03'!$AO$4:$AQ$55,3,FALSE))</f>
        <v>0</v>
      </c>
      <c r="X77" s="5">
        <f>(VLOOKUP('20.03'!AF77,'20.03'!$AO$4:$AQ$55,3,FALSE))</f>
        <v>0</v>
      </c>
    </row>
    <row r="78" spans="1:24">
      <c r="A78" s="4">
        <f>(VLOOKUP('20.03'!I78,'20.03'!$AO$4:$AQ$55,3,FALSE))</f>
        <v>0</v>
      </c>
      <c r="B78" s="4">
        <f>(VLOOKUP('20.03'!J78,'20.03'!$AO$4:$AQ$55,3,FALSE))</f>
        <v>0</v>
      </c>
      <c r="C78" s="4">
        <f>(VLOOKUP('20.03'!K78,'20.03'!$AO$4:$AQ$55,3,FALSE))</f>
        <v>0</v>
      </c>
      <c r="D78" s="4">
        <f>(VLOOKUP('20.03'!L78,'20.03'!$AO$4:$AQ$55,3,FALSE))</f>
        <v>0</v>
      </c>
      <c r="E78" s="4">
        <f>(VLOOKUP('20.03'!M78,'20.03'!$AO$4:$AQ$55,3,FALSE))</f>
        <v>0</v>
      </c>
      <c r="F78" s="4">
        <f>(VLOOKUP('20.03'!N78,'20.03'!$AO$4:$AQ$55,3,FALSE))</f>
        <v>0</v>
      </c>
      <c r="G78" s="5">
        <f>(VLOOKUP('20.03'!O78,'20.03'!$AO$4:$AQ$55,3,FALSE))</f>
        <v>0</v>
      </c>
      <c r="H78" s="5">
        <f>(VLOOKUP('20.03'!P78,'20.03'!$AO$4:$AQ$55,3,FALSE))</f>
        <v>0</v>
      </c>
      <c r="I78" s="4">
        <f>(VLOOKUP('20.03'!Q78,'20.03'!$AO$4:$AQ$55,3,FALSE))</f>
        <v>0</v>
      </c>
      <c r="J78" s="4">
        <f>(VLOOKUP('20.03'!R78,'20.03'!$AO$4:$AQ$55,3,FALSE))</f>
        <v>0</v>
      </c>
      <c r="K78" s="4">
        <f>(VLOOKUP('20.03'!S78,'20.03'!$AO$4:$AQ$55,3,FALSE))</f>
        <v>0</v>
      </c>
      <c r="L78" s="4">
        <f>(VLOOKUP('20.03'!T78,'20.03'!$AO$4:$AQ$55,3,FALSE))</f>
        <v>0</v>
      </c>
      <c r="M78" s="4">
        <f>(VLOOKUP('20.03'!U78,'20.03'!$AO$4:$AQ$55,3,FALSE))</f>
        <v>0</v>
      </c>
      <c r="N78" s="4">
        <f>(VLOOKUP('20.03'!V78,'20.03'!$AO$4:$AQ$55,3,FALSE))</f>
        <v>0</v>
      </c>
      <c r="O78" s="5">
        <f>(VLOOKUP('20.03'!W78,'20.03'!$AO$4:$AQ$55,3,FALSE))</f>
        <v>0</v>
      </c>
      <c r="P78" s="5">
        <f>(VLOOKUP('20.03'!X78,'20.03'!$AO$4:$AQ$55,3,FALSE))</f>
        <v>0</v>
      </c>
      <c r="Q78" s="4">
        <f>(VLOOKUP('20.03'!Y78,'20.03'!$AO$4:$AQ$55,3,FALSE))</f>
        <v>0</v>
      </c>
      <c r="R78" s="4">
        <f>(VLOOKUP('20.03'!Z78,'20.03'!$AO$4:$AQ$55,3,FALSE))</f>
        <v>0</v>
      </c>
      <c r="S78" s="4">
        <f>(VLOOKUP('20.03'!AA78,'20.03'!$AO$4:$AQ$55,3,FALSE))</f>
        <v>0</v>
      </c>
      <c r="T78" s="4">
        <f>(VLOOKUP('20.03'!AB78,'20.03'!$AO$4:$AQ$55,3,FALSE))</f>
        <v>0</v>
      </c>
      <c r="U78" s="4">
        <f>(VLOOKUP('20.03'!AC78,'20.03'!$AO$4:$AQ$55,3,FALSE))</f>
        <v>0</v>
      </c>
      <c r="V78" s="4">
        <f>(VLOOKUP('20.03'!AD78,'20.03'!$AO$4:$AQ$55,3,FALSE))</f>
        <v>0</v>
      </c>
      <c r="W78" s="5">
        <f>(VLOOKUP('20.03'!AE78,'20.03'!$AO$4:$AQ$55,3,FALSE))</f>
        <v>0</v>
      </c>
      <c r="X78" s="5">
        <f>(VLOOKUP('20.03'!AF78,'20.03'!$AO$4:$AQ$55,3,FALSE))</f>
        <v>0</v>
      </c>
    </row>
    <row r="79" spans="1:24">
      <c r="A79" s="4">
        <f>(VLOOKUP('20.03'!I79,'20.03'!$AO$4:$AQ$55,3,FALSE))</f>
        <v>0</v>
      </c>
      <c r="B79" s="4">
        <f>(VLOOKUP('20.03'!J79,'20.03'!$AO$4:$AQ$55,3,FALSE))</f>
        <v>0</v>
      </c>
      <c r="C79" s="4">
        <f>(VLOOKUP('20.03'!K79,'20.03'!$AO$4:$AQ$55,3,FALSE))</f>
        <v>0</v>
      </c>
      <c r="D79" s="4">
        <f>(VLOOKUP('20.03'!L79,'20.03'!$AO$4:$AQ$55,3,FALSE))</f>
        <v>0</v>
      </c>
      <c r="E79" s="4">
        <f>(VLOOKUP('20.03'!M79,'20.03'!$AO$4:$AQ$55,3,FALSE))</f>
        <v>0</v>
      </c>
      <c r="F79" s="4">
        <f>(VLOOKUP('20.03'!N79,'20.03'!$AO$4:$AQ$55,3,FALSE))</f>
        <v>0</v>
      </c>
      <c r="G79" s="5">
        <f>(VLOOKUP('20.03'!O79,'20.03'!$AO$4:$AQ$55,3,FALSE))</f>
        <v>0</v>
      </c>
      <c r="H79" s="5">
        <f>(VLOOKUP('20.03'!P79,'20.03'!$AO$4:$AQ$55,3,FALSE))</f>
        <v>0</v>
      </c>
      <c r="I79" s="4">
        <f>(VLOOKUP('20.03'!Q79,'20.03'!$AO$4:$AQ$55,3,FALSE))</f>
        <v>0</v>
      </c>
      <c r="J79" s="4">
        <f>(VLOOKUP('20.03'!R79,'20.03'!$AO$4:$AQ$55,3,FALSE))</f>
        <v>0</v>
      </c>
      <c r="K79" s="4">
        <f>(VLOOKUP('20.03'!S79,'20.03'!$AO$4:$AQ$55,3,FALSE))</f>
        <v>0</v>
      </c>
      <c r="L79" s="4">
        <f>(VLOOKUP('20.03'!T79,'20.03'!$AO$4:$AQ$55,3,FALSE))</f>
        <v>0</v>
      </c>
      <c r="M79" s="4">
        <f>(VLOOKUP('20.03'!U79,'20.03'!$AO$4:$AQ$55,3,FALSE))</f>
        <v>0</v>
      </c>
      <c r="N79" s="4">
        <f>(VLOOKUP('20.03'!V79,'20.03'!$AO$4:$AQ$55,3,FALSE))</f>
        <v>0</v>
      </c>
      <c r="O79" s="5">
        <f>(VLOOKUP('20.03'!W79,'20.03'!$AO$4:$AQ$55,3,FALSE))</f>
        <v>0</v>
      </c>
      <c r="P79" s="5">
        <f>(VLOOKUP('20.03'!X79,'20.03'!$AO$4:$AQ$55,3,FALSE))</f>
        <v>0</v>
      </c>
      <c r="Q79" s="4">
        <f>(VLOOKUP('20.03'!Y79,'20.03'!$AO$4:$AQ$55,3,FALSE))</f>
        <v>0</v>
      </c>
      <c r="R79" s="4">
        <f>(VLOOKUP('20.03'!Z79,'20.03'!$AO$4:$AQ$55,3,FALSE))</f>
        <v>0</v>
      </c>
      <c r="S79" s="4">
        <f>(VLOOKUP('20.03'!AA79,'20.03'!$AO$4:$AQ$55,3,FALSE))</f>
        <v>0</v>
      </c>
      <c r="T79" s="4">
        <f>(VLOOKUP('20.03'!AB79,'20.03'!$AO$4:$AQ$55,3,FALSE))</f>
        <v>0</v>
      </c>
      <c r="U79" s="4">
        <f>(VLOOKUP('20.03'!AC79,'20.03'!$AO$4:$AQ$55,3,FALSE))</f>
        <v>0</v>
      </c>
      <c r="V79" s="4">
        <f>(VLOOKUP('20.03'!AD79,'20.03'!$AO$4:$AQ$55,3,FALSE))</f>
        <v>0</v>
      </c>
      <c r="W79" s="5">
        <f>(VLOOKUP('20.03'!AE79,'20.03'!$AO$4:$AQ$55,3,FALSE))</f>
        <v>0</v>
      </c>
      <c r="X79" s="5">
        <f>(VLOOKUP('20.03'!AF79,'20.03'!$AO$4:$AQ$55,3,FALSE))</f>
        <v>0</v>
      </c>
    </row>
    <row r="80" spans="1:24">
      <c r="A80" s="4">
        <f>(VLOOKUP('20.03'!I80,'20.03'!$AO$4:$AQ$55,3,FALSE))</f>
        <v>0</v>
      </c>
      <c r="B80" s="4">
        <f>(VLOOKUP('20.03'!J80,'20.03'!$AO$4:$AQ$55,3,FALSE))</f>
        <v>0</v>
      </c>
      <c r="C80" s="4">
        <f>(VLOOKUP('20.03'!K80,'20.03'!$AO$4:$AQ$55,3,FALSE))</f>
        <v>0</v>
      </c>
      <c r="D80" s="4">
        <f>(VLOOKUP('20.03'!L80,'20.03'!$AO$4:$AQ$55,3,FALSE))</f>
        <v>0</v>
      </c>
      <c r="E80" s="4">
        <f>(VLOOKUP('20.03'!M80,'20.03'!$AO$4:$AQ$55,3,FALSE))</f>
        <v>0</v>
      </c>
      <c r="F80" s="4">
        <f>(VLOOKUP('20.03'!N80,'20.03'!$AO$4:$AQ$55,3,FALSE))</f>
        <v>0</v>
      </c>
      <c r="G80" s="5">
        <f>(VLOOKUP('20.03'!O80,'20.03'!$AO$4:$AQ$55,3,FALSE))</f>
        <v>0</v>
      </c>
      <c r="H80" s="5">
        <f>(VLOOKUP('20.03'!P80,'20.03'!$AO$4:$AQ$55,3,FALSE))</f>
        <v>0</v>
      </c>
      <c r="I80" s="4">
        <f>(VLOOKUP('20.03'!Q80,'20.03'!$AO$4:$AQ$55,3,FALSE))</f>
        <v>0</v>
      </c>
      <c r="J80" s="4">
        <f>(VLOOKUP('20.03'!R80,'20.03'!$AO$4:$AQ$55,3,FALSE))</f>
        <v>0</v>
      </c>
      <c r="K80" s="4">
        <f>(VLOOKUP('20.03'!S80,'20.03'!$AO$4:$AQ$55,3,FALSE))</f>
        <v>0</v>
      </c>
      <c r="L80" s="4">
        <f>(VLOOKUP('20.03'!T80,'20.03'!$AO$4:$AQ$55,3,FALSE))</f>
        <v>0</v>
      </c>
      <c r="M80" s="4">
        <f>(VLOOKUP('20.03'!U80,'20.03'!$AO$4:$AQ$55,3,FALSE))</f>
        <v>0</v>
      </c>
      <c r="N80" s="4">
        <f>(VLOOKUP('20.03'!V80,'20.03'!$AO$4:$AQ$55,3,FALSE))</f>
        <v>0</v>
      </c>
      <c r="O80" s="5">
        <f>(VLOOKUP('20.03'!W80,'20.03'!$AO$4:$AQ$55,3,FALSE))</f>
        <v>0</v>
      </c>
      <c r="P80" s="5">
        <f>(VLOOKUP('20.03'!X80,'20.03'!$AO$4:$AQ$55,3,FALSE))</f>
        <v>0</v>
      </c>
      <c r="Q80" s="4">
        <f>(VLOOKUP('20.03'!Y80,'20.03'!$AO$4:$AQ$55,3,FALSE))</f>
        <v>0</v>
      </c>
      <c r="R80" s="4">
        <f>(VLOOKUP('20.03'!Z80,'20.03'!$AO$4:$AQ$55,3,FALSE))</f>
        <v>0</v>
      </c>
      <c r="S80" s="4">
        <f>(VLOOKUP('20.03'!AA80,'20.03'!$AO$4:$AQ$55,3,FALSE))</f>
        <v>0</v>
      </c>
      <c r="T80" s="4">
        <f>(VLOOKUP('20.03'!AB80,'20.03'!$AO$4:$AQ$55,3,FALSE))</f>
        <v>0</v>
      </c>
      <c r="U80" s="4">
        <f>(VLOOKUP('20.03'!AC80,'20.03'!$AO$4:$AQ$55,3,FALSE))</f>
        <v>0</v>
      </c>
      <c r="V80" s="4">
        <f>(VLOOKUP('20.03'!AD80,'20.03'!$AO$4:$AQ$55,3,FALSE))</f>
        <v>0</v>
      </c>
      <c r="W80" s="5">
        <f>(VLOOKUP('20.03'!AE80,'20.03'!$AO$4:$AQ$55,3,FALSE))</f>
        <v>0</v>
      </c>
      <c r="X80" s="5">
        <f>(VLOOKUP('20.03'!AF80,'20.03'!$AO$4:$AQ$55,3,FALSE))</f>
        <v>0</v>
      </c>
    </row>
    <row r="81" spans="1:24">
      <c r="A81" s="4">
        <f>(VLOOKUP('20.03'!I81,'20.03'!$AO$4:$AQ$55,3,FALSE))</f>
        <v>0</v>
      </c>
      <c r="B81" s="4">
        <f>(VLOOKUP('20.03'!J81,'20.03'!$AO$4:$AQ$55,3,FALSE))</f>
        <v>0</v>
      </c>
      <c r="C81" s="4">
        <f>(VLOOKUP('20.03'!K81,'20.03'!$AO$4:$AQ$55,3,FALSE))</f>
        <v>0</v>
      </c>
      <c r="D81" s="4">
        <f>(VLOOKUP('20.03'!L81,'20.03'!$AO$4:$AQ$55,3,FALSE))</f>
        <v>0</v>
      </c>
      <c r="E81" s="4">
        <f>(VLOOKUP('20.03'!M81,'20.03'!$AO$4:$AQ$55,3,FALSE))</f>
        <v>0</v>
      </c>
      <c r="F81" s="4">
        <f>(VLOOKUP('20.03'!N81,'20.03'!$AO$4:$AQ$55,3,FALSE))</f>
        <v>0</v>
      </c>
      <c r="G81" s="5">
        <f>(VLOOKUP('20.03'!O81,'20.03'!$AO$4:$AQ$55,3,FALSE))</f>
        <v>0</v>
      </c>
      <c r="H81" s="5">
        <f>(VLOOKUP('20.03'!P81,'20.03'!$AO$4:$AQ$55,3,FALSE))</f>
        <v>0</v>
      </c>
      <c r="I81" s="4">
        <f>(VLOOKUP('20.03'!Q81,'20.03'!$AO$4:$AQ$55,3,FALSE))</f>
        <v>0</v>
      </c>
      <c r="J81" s="4">
        <f>(VLOOKUP('20.03'!R81,'20.03'!$AO$4:$AQ$55,3,FALSE))</f>
        <v>0</v>
      </c>
      <c r="K81" s="4">
        <f>(VLOOKUP('20.03'!S81,'20.03'!$AO$4:$AQ$55,3,FALSE))</f>
        <v>0</v>
      </c>
      <c r="L81" s="4">
        <f>(VLOOKUP('20.03'!T81,'20.03'!$AO$4:$AQ$55,3,FALSE))</f>
        <v>0</v>
      </c>
      <c r="M81" s="4">
        <f>(VLOOKUP('20.03'!U81,'20.03'!$AO$4:$AQ$55,3,FALSE))</f>
        <v>0</v>
      </c>
      <c r="N81" s="4">
        <f>(VLOOKUP('20.03'!V81,'20.03'!$AO$4:$AQ$55,3,FALSE))</f>
        <v>0</v>
      </c>
      <c r="O81" s="5">
        <f>(VLOOKUP('20.03'!W81,'20.03'!$AO$4:$AQ$55,3,FALSE))</f>
        <v>0</v>
      </c>
      <c r="P81" s="5">
        <f>(VLOOKUP('20.03'!X81,'20.03'!$AO$4:$AQ$55,3,FALSE))</f>
        <v>0</v>
      </c>
      <c r="Q81" s="4">
        <f>(VLOOKUP('20.03'!Y81,'20.03'!$AO$4:$AQ$55,3,FALSE))</f>
        <v>0</v>
      </c>
      <c r="R81" s="4">
        <f>(VLOOKUP('20.03'!Z81,'20.03'!$AO$4:$AQ$55,3,FALSE))</f>
        <v>0</v>
      </c>
      <c r="S81" s="4">
        <f>(VLOOKUP('20.03'!AA81,'20.03'!$AO$4:$AQ$55,3,FALSE))</f>
        <v>0</v>
      </c>
      <c r="T81" s="4">
        <f>(VLOOKUP('20.03'!AB81,'20.03'!$AO$4:$AQ$55,3,FALSE))</f>
        <v>0</v>
      </c>
      <c r="U81" s="4">
        <f>(VLOOKUP('20.03'!AC81,'20.03'!$AO$4:$AQ$55,3,FALSE))</f>
        <v>0</v>
      </c>
      <c r="V81" s="4">
        <f>(VLOOKUP('20.03'!AD81,'20.03'!$AO$4:$AQ$55,3,FALSE))</f>
        <v>0</v>
      </c>
      <c r="W81" s="5">
        <f>(VLOOKUP('20.03'!AE81,'20.03'!$AO$4:$AQ$55,3,FALSE))</f>
        <v>0</v>
      </c>
      <c r="X81" s="5">
        <f>(VLOOKUP('20.03'!AF81,'20.03'!$AO$4:$AQ$55,3,FALSE))</f>
        <v>0</v>
      </c>
    </row>
    <row r="82" spans="1:24">
      <c r="A82" s="4">
        <f>(VLOOKUP('20.03'!I82,'20.03'!$AO$4:$AQ$55,3,FALSE))</f>
        <v>0</v>
      </c>
      <c r="B82" s="4">
        <f>(VLOOKUP('20.03'!J82,'20.03'!$AO$4:$AQ$55,3,FALSE))</f>
        <v>0</v>
      </c>
      <c r="C82" s="4">
        <f>(VLOOKUP('20.03'!K82,'20.03'!$AO$4:$AQ$55,3,FALSE))</f>
        <v>0</v>
      </c>
      <c r="D82" s="4">
        <f>(VLOOKUP('20.03'!L82,'20.03'!$AO$4:$AQ$55,3,FALSE))</f>
        <v>0</v>
      </c>
      <c r="E82" s="4">
        <f>(VLOOKUP('20.03'!M82,'20.03'!$AO$4:$AQ$55,3,FALSE))</f>
        <v>0</v>
      </c>
      <c r="F82" s="4">
        <f>(VLOOKUP('20.03'!N82,'20.03'!$AO$4:$AQ$55,3,FALSE))</f>
        <v>0</v>
      </c>
      <c r="G82" s="5">
        <f>(VLOOKUP('20.03'!O82,'20.03'!$AO$4:$AQ$55,3,FALSE))</f>
        <v>0</v>
      </c>
      <c r="H82" s="5">
        <f>(VLOOKUP('20.03'!P82,'20.03'!$AO$4:$AQ$55,3,FALSE))</f>
        <v>0</v>
      </c>
      <c r="I82" s="4">
        <f>(VLOOKUP('20.03'!Q82,'20.03'!$AO$4:$AQ$55,3,FALSE))</f>
        <v>0</v>
      </c>
      <c r="J82" s="4">
        <f>(VLOOKUP('20.03'!R82,'20.03'!$AO$4:$AQ$55,3,FALSE))</f>
        <v>0</v>
      </c>
      <c r="K82" s="4">
        <f>(VLOOKUP('20.03'!S82,'20.03'!$AO$4:$AQ$55,3,FALSE))</f>
        <v>0</v>
      </c>
      <c r="L82" s="4">
        <f>(VLOOKUP('20.03'!T82,'20.03'!$AO$4:$AQ$55,3,FALSE))</f>
        <v>0</v>
      </c>
      <c r="M82" s="4">
        <f>(VLOOKUP('20.03'!U82,'20.03'!$AO$4:$AQ$55,3,FALSE))</f>
        <v>0</v>
      </c>
      <c r="N82" s="4">
        <f>(VLOOKUP('20.03'!V82,'20.03'!$AO$4:$AQ$55,3,FALSE))</f>
        <v>0</v>
      </c>
      <c r="O82" s="5">
        <f>(VLOOKUP('20.03'!W82,'20.03'!$AO$4:$AQ$55,3,FALSE))</f>
        <v>0</v>
      </c>
      <c r="P82" s="5">
        <f>(VLOOKUP('20.03'!X82,'20.03'!$AO$4:$AQ$55,3,FALSE))</f>
        <v>0</v>
      </c>
      <c r="Q82" s="4">
        <f>(VLOOKUP('20.03'!Y82,'20.03'!$AO$4:$AQ$55,3,FALSE))</f>
        <v>0</v>
      </c>
      <c r="R82" s="4">
        <f>(VLOOKUP('20.03'!Z82,'20.03'!$AO$4:$AQ$55,3,FALSE))</f>
        <v>0</v>
      </c>
      <c r="S82" s="4">
        <f>(VLOOKUP('20.03'!AA82,'20.03'!$AO$4:$AQ$55,3,FALSE))</f>
        <v>0</v>
      </c>
      <c r="T82" s="4">
        <f>(VLOOKUP('20.03'!AB82,'20.03'!$AO$4:$AQ$55,3,FALSE))</f>
        <v>0</v>
      </c>
      <c r="U82" s="4">
        <f>(VLOOKUP('20.03'!AC82,'20.03'!$AO$4:$AQ$55,3,FALSE))</f>
        <v>0</v>
      </c>
      <c r="V82" s="4">
        <f>(VLOOKUP('20.03'!AD82,'20.03'!$AO$4:$AQ$55,3,FALSE))</f>
        <v>0</v>
      </c>
      <c r="W82" s="5">
        <f>(VLOOKUP('20.03'!AE82,'20.03'!$AO$4:$AQ$55,3,FALSE))</f>
        <v>0</v>
      </c>
      <c r="X82" s="5">
        <f>(VLOOKUP('20.03'!AF82,'20.03'!$AO$4:$AQ$55,3,FALSE))</f>
        <v>0</v>
      </c>
    </row>
    <row r="83" spans="1:24">
      <c r="A83" s="4">
        <f>(VLOOKUP('20.03'!I83,'20.03'!$AO$4:$AQ$55,3,FALSE))</f>
        <v>0</v>
      </c>
      <c r="B83" s="4">
        <f>(VLOOKUP('20.03'!J83,'20.03'!$AO$4:$AQ$55,3,FALSE))</f>
        <v>0</v>
      </c>
      <c r="C83" s="4">
        <f>(VLOOKUP('20.03'!K83,'20.03'!$AO$4:$AQ$55,3,FALSE))</f>
        <v>0</v>
      </c>
      <c r="D83" s="4">
        <f>(VLOOKUP('20.03'!L83,'20.03'!$AO$4:$AQ$55,3,FALSE))</f>
        <v>0</v>
      </c>
      <c r="E83" s="4">
        <f>(VLOOKUP('20.03'!M83,'20.03'!$AO$4:$AQ$55,3,FALSE))</f>
        <v>0</v>
      </c>
      <c r="F83" s="4">
        <f>(VLOOKUP('20.03'!N83,'20.03'!$AO$4:$AQ$55,3,FALSE))</f>
        <v>0</v>
      </c>
      <c r="G83" s="5">
        <f>(VLOOKUP('20.03'!O83,'20.03'!$AO$4:$AQ$55,3,FALSE))</f>
        <v>0</v>
      </c>
      <c r="H83" s="5">
        <f>(VLOOKUP('20.03'!P83,'20.03'!$AO$4:$AQ$55,3,FALSE))</f>
        <v>0</v>
      </c>
      <c r="I83" s="4">
        <f>(VLOOKUP('20.03'!Q83,'20.03'!$AO$4:$AQ$55,3,FALSE))</f>
        <v>0</v>
      </c>
      <c r="J83" s="4">
        <f>(VLOOKUP('20.03'!R83,'20.03'!$AO$4:$AQ$55,3,FALSE))</f>
        <v>0</v>
      </c>
      <c r="K83" s="4">
        <f>(VLOOKUP('20.03'!S83,'20.03'!$AO$4:$AQ$55,3,FALSE))</f>
        <v>0</v>
      </c>
      <c r="L83" s="4">
        <f>(VLOOKUP('20.03'!T83,'20.03'!$AO$4:$AQ$55,3,FALSE))</f>
        <v>0</v>
      </c>
      <c r="M83" s="4">
        <f>(VLOOKUP('20.03'!U83,'20.03'!$AO$4:$AQ$55,3,FALSE))</f>
        <v>0</v>
      </c>
      <c r="N83" s="4">
        <f>(VLOOKUP('20.03'!V83,'20.03'!$AO$4:$AQ$55,3,FALSE))</f>
        <v>0</v>
      </c>
      <c r="O83" s="5">
        <f>(VLOOKUP('20.03'!W83,'20.03'!$AO$4:$AQ$55,3,FALSE))</f>
        <v>0</v>
      </c>
      <c r="P83" s="5">
        <f>(VLOOKUP('20.03'!X83,'20.03'!$AO$4:$AQ$55,3,FALSE))</f>
        <v>0</v>
      </c>
      <c r="Q83" s="4">
        <f>(VLOOKUP('20.03'!Y83,'20.03'!$AO$4:$AQ$55,3,FALSE))</f>
        <v>0</v>
      </c>
      <c r="R83" s="4">
        <f>(VLOOKUP('20.03'!Z83,'20.03'!$AO$4:$AQ$55,3,FALSE))</f>
        <v>0</v>
      </c>
      <c r="S83" s="4">
        <f>(VLOOKUP('20.03'!AA83,'20.03'!$AO$4:$AQ$55,3,FALSE))</f>
        <v>0</v>
      </c>
      <c r="T83" s="4">
        <f>(VLOOKUP('20.03'!AB83,'20.03'!$AO$4:$AQ$55,3,FALSE))</f>
        <v>0</v>
      </c>
      <c r="U83" s="4">
        <f>(VLOOKUP('20.03'!AC83,'20.03'!$AO$4:$AQ$55,3,FALSE))</f>
        <v>0</v>
      </c>
      <c r="V83" s="4">
        <f>(VLOOKUP('20.03'!AD83,'20.03'!$AO$4:$AQ$55,3,FALSE))</f>
        <v>0</v>
      </c>
      <c r="W83" s="5">
        <f>(VLOOKUP('20.03'!AE83,'20.03'!$AO$4:$AQ$55,3,FALSE))</f>
        <v>0</v>
      </c>
      <c r="X83" s="5">
        <f>(VLOOKUP('20.03'!AF83,'20.03'!$AO$4:$AQ$55,3,FALSE))</f>
        <v>0</v>
      </c>
    </row>
    <row r="84" spans="1:24">
      <c r="A84" s="4">
        <f>(VLOOKUP('20.03'!I84,'20.03'!$AO$4:$AQ$55,3,FALSE))</f>
        <v>0</v>
      </c>
      <c r="B84" s="4">
        <f>(VLOOKUP('20.03'!J84,'20.03'!$AO$4:$AQ$55,3,FALSE))</f>
        <v>0</v>
      </c>
      <c r="C84" s="4">
        <f>(VLOOKUP('20.03'!K84,'20.03'!$AO$4:$AQ$55,3,FALSE))</f>
        <v>0</v>
      </c>
      <c r="D84" s="4">
        <f>(VLOOKUP('20.03'!L84,'20.03'!$AO$4:$AQ$55,3,FALSE))</f>
        <v>0</v>
      </c>
      <c r="E84" s="4">
        <f>(VLOOKUP('20.03'!M84,'20.03'!$AO$4:$AQ$55,3,FALSE))</f>
        <v>0</v>
      </c>
      <c r="F84" s="4">
        <f>(VLOOKUP('20.03'!N84,'20.03'!$AO$4:$AQ$55,3,FALSE))</f>
        <v>0</v>
      </c>
      <c r="G84" s="5">
        <f>(VLOOKUP('20.03'!O84,'20.03'!$AO$4:$AQ$55,3,FALSE))</f>
        <v>0</v>
      </c>
      <c r="H84" s="5">
        <f>(VLOOKUP('20.03'!P84,'20.03'!$AO$4:$AQ$55,3,FALSE))</f>
        <v>0</v>
      </c>
      <c r="I84" s="4">
        <f>(VLOOKUP('20.03'!Q84,'20.03'!$AO$4:$AQ$55,3,FALSE))</f>
        <v>0</v>
      </c>
      <c r="J84" s="4">
        <f>(VLOOKUP('20.03'!R84,'20.03'!$AO$4:$AQ$55,3,FALSE))</f>
        <v>0</v>
      </c>
      <c r="K84" s="4">
        <f>(VLOOKUP('20.03'!S84,'20.03'!$AO$4:$AQ$55,3,FALSE))</f>
        <v>0</v>
      </c>
      <c r="L84" s="4">
        <f>(VLOOKUP('20.03'!T84,'20.03'!$AO$4:$AQ$55,3,FALSE))</f>
        <v>0</v>
      </c>
      <c r="M84" s="4">
        <f>(VLOOKUP('20.03'!U84,'20.03'!$AO$4:$AQ$55,3,FALSE))</f>
        <v>0</v>
      </c>
      <c r="N84" s="4">
        <f>(VLOOKUP('20.03'!V84,'20.03'!$AO$4:$AQ$55,3,FALSE))</f>
        <v>0</v>
      </c>
      <c r="O84" s="5">
        <f>(VLOOKUP('20.03'!W84,'20.03'!$AO$4:$AQ$55,3,FALSE))</f>
        <v>0</v>
      </c>
      <c r="P84" s="5">
        <f>(VLOOKUP('20.03'!X84,'20.03'!$AO$4:$AQ$55,3,FALSE))</f>
        <v>0</v>
      </c>
      <c r="Q84" s="4">
        <f>(VLOOKUP('20.03'!Y84,'20.03'!$AO$4:$AQ$55,3,FALSE))</f>
        <v>0</v>
      </c>
      <c r="R84" s="4">
        <f>(VLOOKUP('20.03'!Z84,'20.03'!$AO$4:$AQ$55,3,FALSE))</f>
        <v>0</v>
      </c>
      <c r="S84" s="4">
        <f>(VLOOKUP('20.03'!AA84,'20.03'!$AO$4:$AQ$55,3,FALSE))</f>
        <v>0</v>
      </c>
      <c r="T84" s="4">
        <f>(VLOOKUP('20.03'!AB84,'20.03'!$AO$4:$AQ$55,3,FALSE))</f>
        <v>0</v>
      </c>
      <c r="U84" s="4">
        <f>(VLOOKUP('20.03'!AC84,'20.03'!$AO$4:$AQ$55,3,FALSE))</f>
        <v>0</v>
      </c>
      <c r="V84" s="4">
        <f>(VLOOKUP('20.03'!AD84,'20.03'!$AO$4:$AQ$55,3,FALSE))</f>
        <v>0</v>
      </c>
      <c r="W84" s="5">
        <f>(VLOOKUP('20.03'!AE84,'20.03'!$AO$4:$AQ$55,3,FALSE))</f>
        <v>0</v>
      </c>
      <c r="X84" s="5">
        <f>(VLOOKUP('20.03'!AF84,'20.03'!$AO$4:$AQ$55,3,FALSE))</f>
        <v>0</v>
      </c>
    </row>
    <row r="85" spans="1:24">
      <c r="A85" s="4">
        <f>(VLOOKUP('20.03'!I85,'20.03'!$AO$4:$AQ$55,3,FALSE))</f>
        <v>0</v>
      </c>
      <c r="B85" s="4">
        <f>(VLOOKUP('20.03'!J85,'20.03'!$AO$4:$AQ$55,3,FALSE))</f>
        <v>0</v>
      </c>
      <c r="C85" s="4">
        <f>(VLOOKUP('20.03'!K85,'20.03'!$AO$4:$AQ$55,3,FALSE))</f>
        <v>0</v>
      </c>
      <c r="D85" s="4">
        <f>(VLOOKUP('20.03'!L85,'20.03'!$AO$4:$AQ$55,3,FALSE))</f>
        <v>0</v>
      </c>
      <c r="E85" s="4">
        <f>(VLOOKUP('20.03'!M85,'20.03'!$AO$4:$AQ$55,3,FALSE))</f>
        <v>0</v>
      </c>
      <c r="F85" s="4">
        <f>(VLOOKUP('20.03'!N85,'20.03'!$AO$4:$AQ$55,3,FALSE))</f>
        <v>0</v>
      </c>
      <c r="G85" s="5">
        <f>(VLOOKUP('20.03'!O85,'20.03'!$AO$4:$AQ$55,3,FALSE))</f>
        <v>0</v>
      </c>
      <c r="H85" s="5">
        <f>(VLOOKUP('20.03'!P85,'20.03'!$AO$4:$AQ$55,3,FALSE))</f>
        <v>0</v>
      </c>
      <c r="I85" s="4">
        <f>(VLOOKUP('20.03'!Q85,'20.03'!$AO$4:$AQ$55,3,FALSE))</f>
        <v>0</v>
      </c>
      <c r="J85" s="4">
        <f>(VLOOKUP('20.03'!R85,'20.03'!$AO$4:$AQ$55,3,FALSE))</f>
        <v>0</v>
      </c>
      <c r="K85" s="4">
        <f>(VLOOKUP('20.03'!S85,'20.03'!$AO$4:$AQ$55,3,FALSE))</f>
        <v>0</v>
      </c>
      <c r="L85" s="4">
        <f>(VLOOKUP('20.03'!T85,'20.03'!$AO$4:$AQ$55,3,FALSE))</f>
        <v>0</v>
      </c>
      <c r="M85" s="4">
        <f>(VLOOKUP('20.03'!U85,'20.03'!$AO$4:$AQ$55,3,FALSE))</f>
        <v>0</v>
      </c>
      <c r="N85" s="4">
        <f>(VLOOKUP('20.03'!V85,'20.03'!$AO$4:$AQ$55,3,FALSE))</f>
        <v>0</v>
      </c>
      <c r="O85" s="5">
        <f>(VLOOKUP('20.03'!W85,'20.03'!$AO$4:$AQ$55,3,FALSE))</f>
        <v>0</v>
      </c>
      <c r="P85" s="5">
        <f>(VLOOKUP('20.03'!X85,'20.03'!$AO$4:$AQ$55,3,FALSE))</f>
        <v>0</v>
      </c>
      <c r="Q85" s="4">
        <f>(VLOOKUP('20.03'!Y85,'20.03'!$AO$4:$AQ$55,3,FALSE))</f>
        <v>0</v>
      </c>
      <c r="R85" s="4">
        <f>(VLOOKUP('20.03'!Z85,'20.03'!$AO$4:$AQ$55,3,FALSE))</f>
        <v>0</v>
      </c>
      <c r="S85" s="4">
        <f>(VLOOKUP('20.03'!AA85,'20.03'!$AO$4:$AQ$55,3,FALSE))</f>
        <v>0</v>
      </c>
      <c r="T85" s="4">
        <f>(VLOOKUP('20.03'!AB85,'20.03'!$AO$4:$AQ$55,3,FALSE))</f>
        <v>0</v>
      </c>
      <c r="U85" s="4">
        <f>(VLOOKUP('20.03'!AC85,'20.03'!$AO$4:$AQ$55,3,FALSE))</f>
        <v>0</v>
      </c>
      <c r="V85" s="4">
        <f>(VLOOKUP('20.03'!AD85,'20.03'!$AO$4:$AQ$55,3,FALSE))</f>
        <v>0</v>
      </c>
      <c r="W85" s="5">
        <f>(VLOOKUP('20.03'!AE85,'20.03'!$AO$4:$AQ$55,3,FALSE))</f>
        <v>0</v>
      </c>
      <c r="X85" s="5">
        <f>(VLOOKUP('20.03'!AF85,'20.03'!$AO$4:$AQ$55,3,FALSE))</f>
        <v>0</v>
      </c>
    </row>
    <row r="86" spans="1:24">
      <c r="A86" s="4">
        <f>(VLOOKUP('20.03'!I86,'20.03'!$AO$4:$AQ$55,3,FALSE))</f>
        <v>0</v>
      </c>
      <c r="B86" s="4">
        <f>(VLOOKUP('20.03'!J86,'20.03'!$AO$4:$AQ$55,3,FALSE))</f>
        <v>0</v>
      </c>
      <c r="C86" s="4">
        <f>(VLOOKUP('20.03'!K86,'20.03'!$AO$4:$AQ$55,3,FALSE))</f>
        <v>0</v>
      </c>
      <c r="D86" s="4">
        <f>(VLOOKUP('20.03'!L86,'20.03'!$AO$4:$AQ$55,3,FALSE))</f>
        <v>0</v>
      </c>
      <c r="E86" s="4">
        <f>(VLOOKUP('20.03'!M86,'20.03'!$AO$4:$AQ$55,3,FALSE))</f>
        <v>0</v>
      </c>
      <c r="F86" s="4">
        <f>(VLOOKUP('20.03'!N86,'20.03'!$AO$4:$AQ$55,3,FALSE))</f>
        <v>0</v>
      </c>
      <c r="G86" s="5">
        <f>(VLOOKUP('20.03'!O86,'20.03'!$AO$4:$AQ$55,3,FALSE))</f>
        <v>0</v>
      </c>
      <c r="H86" s="5">
        <f>(VLOOKUP('20.03'!P86,'20.03'!$AO$4:$AQ$55,3,FALSE))</f>
        <v>0</v>
      </c>
      <c r="I86" s="4">
        <f>(VLOOKUP('20.03'!Q86,'20.03'!$AO$4:$AQ$55,3,FALSE))</f>
        <v>0</v>
      </c>
      <c r="J86" s="4">
        <f>(VLOOKUP('20.03'!R86,'20.03'!$AO$4:$AQ$55,3,FALSE))</f>
        <v>0</v>
      </c>
      <c r="K86" s="4">
        <f>(VLOOKUP('20.03'!S86,'20.03'!$AO$4:$AQ$55,3,FALSE))</f>
        <v>0</v>
      </c>
      <c r="L86" s="4">
        <f>(VLOOKUP('20.03'!T86,'20.03'!$AO$4:$AQ$55,3,FALSE))</f>
        <v>0</v>
      </c>
      <c r="M86" s="4">
        <f>(VLOOKUP('20.03'!U86,'20.03'!$AO$4:$AQ$55,3,FALSE))</f>
        <v>0</v>
      </c>
      <c r="N86" s="4">
        <f>(VLOOKUP('20.03'!V86,'20.03'!$AO$4:$AQ$55,3,FALSE))</f>
        <v>0</v>
      </c>
      <c r="O86" s="5">
        <f>(VLOOKUP('20.03'!W86,'20.03'!$AO$4:$AQ$55,3,FALSE))</f>
        <v>0</v>
      </c>
      <c r="P86" s="5">
        <f>(VLOOKUP('20.03'!X86,'20.03'!$AO$4:$AQ$55,3,FALSE))</f>
        <v>0</v>
      </c>
      <c r="Q86" s="4">
        <f>(VLOOKUP('20.03'!Y86,'20.03'!$AO$4:$AQ$55,3,FALSE))</f>
        <v>0</v>
      </c>
      <c r="R86" s="4">
        <f>(VLOOKUP('20.03'!Z86,'20.03'!$AO$4:$AQ$55,3,FALSE))</f>
        <v>0</v>
      </c>
      <c r="S86" s="4">
        <f>(VLOOKUP('20.03'!AA86,'20.03'!$AO$4:$AQ$55,3,FALSE))</f>
        <v>0</v>
      </c>
      <c r="T86" s="4">
        <f>(VLOOKUP('20.03'!AB86,'20.03'!$AO$4:$AQ$55,3,FALSE))</f>
        <v>0</v>
      </c>
      <c r="U86" s="4">
        <f>(VLOOKUP('20.03'!AC86,'20.03'!$AO$4:$AQ$55,3,FALSE))</f>
        <v>0</v>
      </c>
      <c r="V86" s="4">
        <f>(VLOOKUP('20.03'!AD86,'20.03'!$AO$4:$AQ$55,3,FALSE))</f>
        <v>0</v>
      </c>
      <c r="W86" s="5">
        <f>(VLOOKUP('20.03'!AE86,'20.03'!$AO$4:$AQ$55,3,FALSE))</f>
        <v>0</v>
      </c>
      <c r="X86" s="5">
        <f>(VLOOKUP('20.03'!AF86,'20.03'!$AO$4:$AQ$55,3,FALSE))</f>
        <v>0</v>
      </c>
    </row>
    <row r="87" spans="1:24">
      <c r="A87" s="4">
        <f>(VLOOKUP('20.03'!I87,'20.03'!$AO$4:$AQ$55,3,FALSE))</f>
        <v>0</v>
      </c>
      <c r="B87" s="4">
        <f>(VLOOKUP('20.03'!J87,'20.03'!$AO$4:$AQ$55,3,FALSE))</f>
        <v>0</v>
      </c>
      <c r="C87" s="4">
        <f>(VLOOKUP('20.03'!K87,'20.03'!$AO$4:$AQ$55,3,FALSE))</f>
        <v>0</v>
      </c>
      <c r="D87" s="4">
        <f>(VLOOKUP('20.03'!L87,'20.03'!$AO$4:$AQ$55,3,FALSE))</f>
        <v>0</v>
      </c>
      <c r="E87" s="4">
        <f>(VLOOKUP('20.03'!M87,'20.03'!$AO$4:$AQ$55,3,FALSE))</f>
        <v>0</v>
      </c>
      <c r="F87" s="4">
        <f>(VLOOKUP('20.03'!N87,'20.03'!$AO$4:$AQ$55,3,FALSE))</f>
        <v>0</v>
      </c>
      <c r="G87" s="5">
        <f>(VLOOKUP('20.03'!O87,'20.03'!$AO$4:$AQ$55,3,FALSE))</f>
        <v>0</v>
      </c>
      <c r="H87" s="5">
        <f>(VLOOKUP('20.03'!P87,'20.03'!$AO$4:$AQ$55,3,FALSE))</f>
        <v>0</v>
      </c>
      <c r="I87" s="4">
        <f>(VLOOKUP('20.03'!Q87,'20.03'!$AO$4:$AQ$55,3,FALSE))</f>
        <v>0</v>
      </c>
      <c r="J87" s="4">
        <f>(VLOOKUP('20.03'!R87,'20.03'!$AO$4:$AQ$55,3,FALSE))</f>
        <v>0</v>
      </c>
      <c r="K87" s="4">
        <f>(VLOOKUP('20.03'!S87,'20.03'!$AO$4:$AQ$55,3,FALSE))</f>
        <v>0</v>
      </c>
      <c r="L87" s="4">
        <f>(VLOOKUP('20.03'!T87,'20.03'!$AO$4:$AQ$55,3,FALSE))</f>
        <v>0</v>
      </c>
      <c r="M87" s="4">
        <f>(VLOOKUP('20.03'!U87,'20.03'!$AO$4:$AQ$55,3,FALSE))</f>
        <v>0</v>
      </c>
      <c r="N87" s="4">
        <f>(VLOOKUP('20.03'!V87,'20.03'!$AO$4:$AQ$55,3,FALSE))</f>
        <v>0</v>
      </c>
      <c r="O87" s="5">
        <f>(VLOOKUP('20.03'!W87,'20.03'!$AO$4:$AQ$55,3,FALSE))</f>
        <v>0</v>
      </c>
      <c r="P87" s="5">
        <f>(VLOOKUP('20.03'!X87,'20.03'!$AO$4:$AQ$55,3,FALSE))</f>
        <v>0</v>
      </c>
      <c r="Q87" s="4">
        <f>(VLOOKUP('20.03'!Y87,'20.03'!$AO$4:$AQ$55,3,FALSE))</f>
        <v>0</v>
      </c>
      <c r="R87" s="4">
        <f>(VLOOKUP('20.03'!Z87,'20.03'!$AO$4:$AQ$55,3,FALSE))</f>
        <v>0</v>
      </c>
      <c r="S87" s="4">
        <f>(VLOOKUP('20.03'!AA87,'20.03'!$AO$4:$AQ$55,3,FALSE))</f>
        <v>0</v>
      </c>
      <c r="T87" s="4">
        <f>(VLOOKUP('20.03'!AB87,'20.03'!$AO$4:$AQ$55,3,FALSE))</f>
        <v>0</v>
      </c>
      <c r="U87" s="4">
        <f>(VLOOKUP('20.03'!AC87,'20.03'!$AO$4:$AQ$55,3,FALSE))</f>
        <v>0</v>
      </c>
      <c r="V87" s="4">
        <f>(VLOOKUP('20.03'!AD87,'20.03'!$AO$4:$AQ$55,3,FALSE))</f>
        <v>0</v>
      </c>
      <c r="W87" s="5">
        <f>(VLOOKUP('20.03'!AE87,'20.03'!$AO$4:$AQ$55,3,FALSE))</f>
        <v>0</v>
      </c>
      <c r="X87" s="5">
        <f>(VLOOKUP('20.03'!AF87,'20.03'!$AO$4:$AQ$55,3,FALSE))</f>
        <v>0</v>
      </c>
    </row>
    <row r="88" spans="1:24">
      <c r="A88" s="4">
        <f>(VLOOKUP('20.03'!I88,'20.03'!$AO$4:$AQ$55,3,FALSE))</f>
        <v>0</v>
      </c>
      <c r="B88" s="4">
        <f>(VLOOKUP('20.03'!J88,'20.03'!$AO$4:$AQ$55,3,FALSE))</f>
        <v>0</v>
      </c>
      <c r="C88" s="4">
        <f>(VLOOKUP('20.03'!K88,'20.03'!$AO$4:$AQ$55,3,FALSE))</f>
        <v>0</v>
      </c>
      <c r="D88" s="4">
        <f>(VLOOKUP('20.03'!L88,'20.03'!$AO$4:$AQ$55,3,FALSE))</f>
        <v>0</v>
      </c>
      <c r="E88" s="4">
        <f>(VLOOKUP('20.03'!M88,'20.03'!$AO$4:$AQ$55,3,FALSE))</f>
        <v>0</v>
      </c>
      <c r="F88" s="4">
        <f>(VLOOKUP('20.03'!N88,'20.03'!$AO$4:$AQ$55,3,FALSE))</f>
        <v>0</v>
      </c>
      <c r="G88" s="5">
        <f>(VLOOKUP('20.03'!O88,'20.03'!$AO$4:$AQ$55,3,FALSE))</f>
        <v>0</v>
      </c>
      <c r="H88" s="5">
        <f>(VLOOKUP('20.03'!P88,'20.03'!$AO$4:$AQ$55,3,FALSE))</f>
        <v>0</v>
      </c>
      <c r="I88" s="4">
        <f>(VLOOKUP('20.03'!Q88,'20.03'!$AO$4:$AQ$55,3,FALSE))</f>
        <v>0</v>
      </c>
      <c r="J88" s="4">
        <f>(VLOOKUP('20.03'!R88,'20.03'!$AO$4:$AQ$55,3,FALSE))</f>
        <v>0</v>
      </c>
      <c r="K88" s="4">
        <f>(VLOOKUP('20.03'!S88,'20.03'!$AO$4:$AQ$55,3,FALSE))</f>
        <v>0</v>
      </c>
      <c r="L88" s="4">
        <f>(VLOOKUP('20.03'!T88,'20.03'!$AO$4:$AQ$55,3,FALSE))</f>
        <v>0</v>
      </c>
      <c r="M88" s="4">
        <f>(VLOOKUP('20.03'!U88,'20.03'!$AO$4:$AQ$55,3,FALSE))</f>
        <v>0</v>
      </c>
      <c r="N88" s="4">
        <f>(VLOOKUP('20.03'!V88,'20.03'!$AO$4:$AQ$55,3,FALSE))</f>
        <v>0</v>
      </c>
      <c r="O88" s="5">
        <f>(VLOOKUP('20.03'!W88,'20.03'!$AO$4:$AQ$55,3,FALSE))</f>
        <v>0</v>
      </c>
      <c r="P88" s="5">
        <f>(VLOOKUP('20.03'!X88,'20.03'!$AO$4:$AQ$55,3,FALSE))</f>
        <v>0</v>
      </c>
      <c r="Q88" s="4">
        <f>(VLOOKUP('20.03'!Y88,'20.03'!$AO$4:$AQ$55,3,FALSE))</f>
        <v>0</v>
      </c>
      <c r="R88" s="4">
        <f>(VLOOKUP('20.03'!Z88,'20.03'!$AO$4:$AQ$55,3,FALSE))</f>
        <v>0</v>
      </c>
      <c r="S88" s="4">
        <f>(VLOOKUP('20.03'!AA88,'20.03'!$AO$4:$AQ$55,3,FALSE))</f>
        <v>0</v>
      </c>
      <c r="T88" s="4">
        <f>(VLOOKUP('20.03'!AB88,'20.03'!$AO$4:$AQ$55,3,FALSE))</f>
        <v>0</v>
      </c>
      <c r="U88" s="4">
        <f>(VLOOKUP('20.03'!AC88,'20.03'!$AO$4:$AQ$55,3,FALSE))</f>
        <v>0</v>
      </c>
      <c r="V88" s="4">
        <f>(VLOOKUP('20.03'!AD88,'20.03'!$AO$4:$AQ$55,3,FALSE))</f>
        <v>0</v>
      </c>
      <c r="W88" s="5">
        <f>(VLOOKUP('20.03'!AE88,'20.03'!$AO$4:$AQ$55,3,FALSE))</f>
        <v>0</v>
      </c>
      <c r="X88" s="5">
        <f>(VLOOKUP('20.03'!AF88,'20.03'!$AO$4:$AQ$55,3,FALSE))</f>
        <v>0</v>
      </c>
    </row>
    <row r="89" spans="1:24">
      <c r="A89" s="4">
        <f>(VLOOKUP('20.03'!I89,'20.03'!$AO$4:$AQ$55,3,FALSE))</f>
        <v>0</v>
      </c>
      <c r="B89" s="4">
        <f>(VLOOKUP('20.03'!J89,'20.03'!$AO$4:$AQ$55,3,FALSE))</f>
        <v>0</v>
      </c>
      <c r="C89" s="4">
        <f>(VLOOKUP('20.03'!K89,'20.03'!$AO$4:$AQ$55,3,FALSE))</f>
        <v>0</v>
      </c>
      <c r="D89" s="4">
        <f>(VLOOKUP('20.03'!L89,'20.03'!$AO$4:$AQ$55,3,FALSE))</f>
        <v>0</v>
      </c>
      <c r="E89" s="4">
        <f>(VLOOKUP('20.03'!M89,'20.03'!$AO$4:$AQ$55,3,FALSE))</f>
        <v>0</v>
      </c>
      <c r="F89" s="4">
        <f>(VLOOKUP('20.03'!N89,'20.03'!$AO$4:$AQ$55,3,FALSE))</f>
        <v>0</v>
      </c>
      <c r="G89" s="5">
        <f>(VLOOKUP('20.03'!O89,'20.03'!$AO$4:$AQ$55,3,FALSE))</f>
        <v>0</v>
      </c>
      <c r="H89" s="5">
        <f>(VLOOKUP('20.03'!P89,'20.03'!$AO$4:$AQ$55,3,FALSE))</f>
        <v>0</v>
      </c>
      <c r="I89" s="4">
        <f>(VLOOKUP('20.03'!Q89,'20.03'!$AO$4:$AQ$55,3,FALSE))</f>
        <v>0</v>
      </c>
      <c r="J89" s="4">
        <f>(VLOOKUP('20.03'!R89,'20.03'!$AO$4:$AQ$55,3,FALSE))</f>
        <v>0</v>
      </c>
      <c r="K89" s="4">
        <f>(VLOOKUP('20.03'!S89,'20.03'!$AO$4:$AQ$55,3,FALSE))</f>
        <v>0</v>
      </c>
      <c r="L89" s="4">
        <f>(VLOOKUP('20.03'!T89,'20.03'!$AO$4:$AQ$55,3,FALSE))</f>
        <v>0</v>
      </c>
      <c r="M89" s="4">
        <f>(VLOOKUP('20.03'!U89,'20.03'!$AO$4:$AQ$55,3,FALSE))</f>
        <v>0</v>
      </c>
      <c r="N89" s="4">
        <f>(VLOOKUP('20.03'!V89,'20.03'!$AO$4:$AQ$55,3,FALSE))</f>
        <v>0</v>
      </c>
      <c r="O89" s="5">
        <f>(VLOOKUP('20.03'!W89,'20.03'!$AO$4:$AQ$55,3,FALSE))</f>
        <v>0</v>
      </c>
      <c r="P89" s="5">
        <f>(VLOOKUP('20.03'!X89,'20.03'!$AO$4:$AQ$55,3,FALSE))</f>
        <v>0</v>
      </c>
      <c r="Q89" s="4">
        <f>(VLOOKUP('20.03'!Y89,'20.03'!$AO$4:$AQ$55,3,FALSE))</f>
        <v>0</v>
      </c>
      <c r="R89" s="4">
        <f>(VLOOKUP('20.03'!Z89,'20.03'!$AO$4:$AQ$55,3,FALSE))</f>
        <v>0</v>
      </c>
      <c r="S89" s="4">
        <f>(VLOOKUP('20.03'!AA89,'20.03'!$AO$4:$AQ$55,3,FALSE))</f>
        <v>0</v>
      </c>
      <c r="T89" s="4">
        <f>(VLOOKUP('20.03'!AB89,'20.03'!$AO$4:$AQ$55,3,FALSE))</f>
        <v>0</v>
      </c>
      <c r="U89" s="4">
        <f>(VLOOKUP('20.03'!AC89,'20.03'!$AO$4:$AQ$55,3,FALSE))</f>
        <v>0</v>
      </c>
      <c r="V89" s="4">
        <f>(VLOOKUP('20.03'!AD89,'20.03'!$AO$4:$AQ$55,3,FALSE))</f>
        <v>0</v>
      </c>
      <c r="W89" s="5">
        <f>(VLOOKUP('20.03'!AE89,'20.03'!$AO$4:$AQ$55,3,FALSE))</f>
        <v>0</v>
      </c>
      <c r="X89" s="5">
        <f>(VLOOKUP('20.03'!AF89,'20.03'!$AO$4:$AQ$55,3,FALSE))</f>
        <v>0</v>
      </c>
    </row>
    <row r="90" spans="1:24">
      <c r="A90" s="4">
        <f>(VLOOKUP('20.03'!I90,'20.03'!$AO$4:$AQ$55,3,FALSE))</f>
        <v>0</v>
      </c>
      <c r="B90" s="4">
        <f>(VLOOKUP('20.03'!J90,'20.03'!$AO$4:$AQ$55,3,FALSE))</f>
        <v>0</v>
      </c>
      <c r="C90" s="4">
        <f>(VLOOKUP('20.03'!K90,'20.03'!$AO$4:$AQ$55,3,FALSE))</f>
        <v>0</v>
      </c>
      <c r="D90" s="4">
        <f>(VLOOKUP('20.03'!L90,'20.03'!$AO$4:$AQ$55,3,FALSE))</f>
        <v>0</v>
      </c>
      <c r="E90" s="4">
        <f>(VLOOKUP('20.03'!M90,'20.03'!$AO$4:$AQ$55,3,FALSE))</f>
        <v>0</v>
      </c>
      <c r="F90" s="4">
        <f>(VLOOKUP('20.03'!N90,'20.03'!$AO$4:$AQ$55,3,FALSE))</f>
        <v>0</v>
      </c>
      <c r="G90" s="5">
        <f>(VLOOKUP('20.03'!O90,'20.03'!$AO$4:$AQ$55,3,FALSE))</f>
        <v>0</v>
      </c>
      <c r="H90" s="5">
        <f>(VLOOKUP('20.03'!P90,'20.03'!$AO$4:$AQ$55,3,FALSE))</f>
        <v>0</v>
      </c>
      <c r="I90" s="4">
        <f>(VLOOKUP('20.03'!Q90,'20.03'!$AO$4:$AQ$55,3,FALSE))</f>
        <v>0</v>
      </c>
      <c r="J90" s="4">
        <f>(VLOOKUP('20.03'!R90,'20.03'!$AO$4:$AQ$55,3,FALSE))</f>
        <v>0</v>
      </c>
      <c r="K90" s="4">
        <f>(VLOOKUP('20.03'!S90,'20.03'!$AO$4:$AQ$55,3,FALSE))</f>
        <v>0</v>
      </c>
      <c r="L90" s="4">
        <f>(VLOOKUP('20.03'!T90,'20.03'!$AO$4:$AQ$55,3,FALSE))</f>
        <v>0</v>
      </c>
      <c r="M90" s="4">
        <f>(VLOOKUP('20.03'!U90,'20.03'!$AO$4:$AQ$55,3,FALSE))</f>
        <v>0</v>
      </c>
      <c r="N90" s="4">
        <f>(VLOOKUP('20.03'!V90,'20.03'!$AO$4:$AQ$55,3,FALSE))</f>
        <v>0</v>
      </c>
      <c r="O90" s="5">
        <f>(VLOOKUP('20.03'!W90,'20.03'!$AO$4:$AQ$55,3,FALSE))</f>
        <v>0</v>
      </c>
      <c r="P90" s="5">
        <f>(VLOOKUP('20.03'!X90,'20.03'!$AO$4:$AQ$55,3,FALSE))</f>
        <v>0</v>
      </c>
      <c r="Q90" s="4">
        <f>(VLOOKUP('20.03'!Y90,'20.03'!$AO$4:$AQ$55,3,FALSE))</f>
        <v>0</v>
      </c>
      <c r="R90" s="4">
        <f>(VLOOKUP('20.03'!Z90,'20.03'!$AO$4:$AQ$55,3,FALSE))</f>
        <v>0</v>
      </c>
      <c r="S90" s="4">
        <f>(VLOOKUP('20.03'!AA90,'20.03'!$AO$4:$AQ$55,3,FALSE))</f>
        <v>0</v>
      </c>
      <c r="T90" s="4">
        <f>(VLOOKUP('20.03'!AB90,'20.03'!$AO$4:$AQ$55,3,FALSE))</f>
        <v>0</v>
      </c>
      <c r="U90" s="4">
        <f>(VLOOKUP('20.03'!AC90,'20.03'!$AO$4:$AQ$55,3,FALSE))</f>
        <v>0</v>
      </c>
      <c r="V90" s="4">
        <f>(VLOOKUP('20.03'!AD90,'20.03'!$AO$4:$AQ$55,3,FALSE))</f>
        <v>0</v>
      </c>
      <c r="W90" s="5">
        <f>(VLOOKUP('20.03'!AE90,'20.03'!$AO$4:$AQ$55,3,FALSE))</f>
        <v>0</v>
      </c>
      <c r="X90" s="5">
        <f>(VLOOKUP('20.03'!AF90,'20.03'!$AO$4:$AQ$55,3,FALSE))</f>
        <v>0</v>
      </c>
    </row>
    <row r="91" spans="1:24">
      <c r="A91" s="4">
        <f>(VLOOKUP('20.03'!I91,'20.03'!$AO$4:$AQ$55,3,FALSE))</f>
        <v>0</v>
      </c>
      <c r="B91" s="4">
        <f>(VLOOKUP('20.03'!J91,'20.03'!$AO$4:$AQ$55,3,FALSE))</f>
        <v>0</v>
      </c>
      <c r="C91" s="4">
        <f>(VLOOKUP('20.03'!K91,'20.03'!$AO$4:$AQ$55,3,FALSE))</f>
        <v>0</v>
      </c>
      <c r="D91" s="4">
        <f>(VLOOKUP('20.03'!L91,'20.03'!$AO$4:$AQ$55,3,FALSE))</f>
        <v>0</v>
      </c>
      <c r="E91" s="4">
        <f>(VLOOKUP('20.03'!M91,'20.03'!$AO$4:$AQ$55,3,FALSE))</f>
        <v>0</v>
      </c>
      <c r="F91" s="4">
        <f>(VLOOKUP('20.03'!N91,'20.03'!$AO$4:$AQ$55,3,FALSE))</f>
        <v>0</v>
      </c>
      <c r="G91" s="5">
        <f>(VLOOKUP('20.03'!O91,'20.03'!$AO$4:$AQ$55,3,FALSE))</f>
        <v>0</v>
      </c>
      <c r="H91" s="5">
        <f>(VLOOKUP('20.03'!P91,'20.03'!$AO$4:$AQ$55,3,FALSE))</f>
        <v>0</v>
      </c>
      <c r="I91" s="4">
        <f>(VLOOKUP('20.03'!Q91,'20.03'!$AO$4:$AQ$55,3,FALSE))</f>
        <v>0</v>
      </c>
      <c r="J91" s="4">
        <f>(VLOOKUP('20.03'!R91,'20.03'!$AO$4:$AQ$55,3,FALSE))</f>
        <v>0</v>
      </c>
      <c r="K91" s="4">
        <f>(VLOOKUP('20.03'!S91,'20.03'!$AO$4:$AQ$55,3,FALSE))</f>
        <v>0</v>
      </c>
      <c r="L91" s="4">
        <f>(VLOOKUP('20.03'!T91,'20.03'!$AO$4:$AQ$55,3,FALSE))</f>
        <v>0</v>
      </c>
      <c r="M91" s="4">
        <f>(VLOOKUP('20.03'!U91,'20.03'!$AO$4:$AQ$55,3,FALSE))</f>
        <v>0</v>
      </c>
      <c r="N91" s="4">
        <f>(VLOOKUP('20.03'!V91,'20.03'!$AO$4:$AQ$55,3,FALSE))</f>
        <v>0</v>
      </c>
      <c r="O91" s="5">
        <f>(VLOOKUP('20.03'!W91,'20.03'!$AO$4:$AQ$55,3,FALSE))</f>
        <v>0</v>
      </c>
      <c r="P91" s="5">
        <f>(VLOOKUP('20.03'!X91,'20.03'!$AO$4:$AQ$55,3,FALSE))</f>
        <v>0</v>
      </c>
      <c r="Q91" s="4">
        <f>(VLOOKUP('20.03'!Y91,'20.03'!$AO$4:$AQ$55,3,FALSE))</f>
        <v>0</v>
      </c>
      <c r="R91" s="4">
        <f>(VLOOKUP('20.03'!Z91,'20.03'!$AO$4:$AQ$55,3,FALSE))</f>
        <v>0</v>
      </c>
      <c r="S91" s="4">
        <f>(VLOOKUP('20.03'!AA91,'20.03'!$AO$4:$AQ$55,3,FALSE))</f>
        <v>0</v>
      </c>
      <c r="T91" s="4">
        <f>(VLOOKUP('20.03'!AB91,'20.03'!$AO$4:$AQ$55,3,FALSE))</f>
        <v>0</v>
      </c>
      <c r="U91" s="4">
        <f>(VLOOKUP('20.03'!AC91,'20.03'!$AO$4:$AQ$55,3,FALSE))</f>
        <v>0</v>
      </c>
      <c r="V91" s="4">
        <f>(VLOOKUP('20.03'!AD91,'20.03'!$AO$4:$AQ$55,3,FALSE))</f>
        <v>0</v>
      </c>
      <c r="W91" s="5">
        <f>(VLOOKUP('20.03'!AE91,'20.03'!$AO$4:$AQ$55,3,FALSE))</f>
        <v>0</v>
      </c>
      <c r="X91" s="5">
        <f>(VLOOKUP('20.03'!AF91,'20.03'!$AO$4:$AQ$55,3,FALSE))</f>
        <v>0</v>
      </c>
    </row>
    <row r="92" spans="1:24">
      <c r="A92" s="4">
        <f>(VLOOKUP('20.03'!I92,'20.03'!$AO$4:$AQ$55,3,FALSE))</f>
        <v>0</v>
      </c>
      <c r="B92" s="4">
        <f>(VLOOKUP('20.03'!J92,'20.03'!$AO$4:$AQ$55,3,FALSE))</f>
        <v>0</v>
      </c>
      <c r="C92" s="4">
        <f>(VLOOKUP('20.03'!K92,'20.03'!$AO$4:$AQ$55,3,FALSE))</f>
        <v>0</v>
      </c>
      <c r="D92" s="4">
        <f>(VLOOKUP('20.03'!L92,'20.03'!$AO$4:$AQ$55,3,FALSE))</f>
        <v>0</v>
      </c>
      <c r="E92" s="4">
        <f>(VLOOKUP('20.03'!M92,'20.03'!$AO$4:$AQ$55,3,FALSE))</f>
        <v>0</v>
      </c>
      <c r="F92" s="4">
        <f>(VLOOKUP('20.03'!N92,'20.03'!$AO$4:$AQ$55,3,FALSE))</f>
        <v>0</v>
      </c>
      <c r="G92" s="5">
        <f>(VLOOKUP('20.03'!O92,'20.03'!$AO$4:$AQ$55,3,FALSE))</f>
        <v>0</v>
      </c>
      <c r="H92" s="5">
        <f>(VLOOKUP('20.03'!P92,'20.03'!$AO$4:$AQ$55,3,FALSE))</f>
        <v>0</v>
      </c>
      <c r="I92" s="4">
        <f>(VLOOKUP('20.03'!Q92,'20.03'!$AO$4:$AQ$55,3,FALSE))</f>
        <v>0</v>
      </c>
      <c r="J92" s="4">
        <f>(VLOOKUP('20.03'!R92,'20.03'!$AO$4:$AQ$55,3,FALSE))</f>
        <v>0</v>
      </c>
      <c r="K92" s="4">
        <f>(VLOOKUP('20.03'!S92,'20.03'!$AO$4:$AQ$55,3,FALSE))</f>
        <v>0</v>
      </c>
      <c r="L92" s="4">
        <f>(VLOOKUP('20.03'!T92,'20.03'!$AO$4:$AQ$55,3,FALSE))</f>
        <v>0</v>
      </c>
      <c r="M92" s="4">
        <f>(VLOOKUP('20.03'!U92,'20.03'!$AO$4:$AQ$55,3,FALSE))</f>
        <v>0</v>
      </c>
      <c r="N92" s="4">
        <f>(VLOOKUP('20.03'!V92,'20.03'!$AO$4:$AQ$55,3,FALSE))</f>
        <v>0</v>
      </c>
      <c r="O92" s="5">
        <f>(VLOOKUP('20.03'!W92,'20.03'!$AO$4:$AQ$55,3,FALSE))</f>
        <v>0</v>
      </c>
      <c r="P92" s="5">
        <f>(VLOOKUP('20.03'!X92,'20.03'!$AO$4:$AQ$55,3,FALSE))</f>
        <v>0</v>
      </c>
      <c r="Q92" s="4">
        <f>(VLOOKUP('20.03'!Y92,'20.03'!$AO$4:$AQ$55,3,FALSE))</f>
        <v>0</v>
      </c>
      <c r="R92" s="4">
        <f>(VLOOKUP('20.03'!Z92,'20.03'!$AO$4:$AQ$55,3,FALSE))</f>
        <v>0</v>
      </c>
      <c r="S92" s="4">
        <f>(VLOOKUP('20.03'!AA92,'20.03'!$AO$4:$AQ$55,3,FALSE))</f>
        <v>0</v>
      </c>
      <c r="T92" s="4">
        <f>(VLOOKUP('20.03'!AB92,'20.03'!$AO$4:$AQ$55,3,FALSE))</f>
        <v>0</v>
      </c>
      <c r="U92" s="4">
        <f>(VLOOKUP('20.03'!AC92,'20.03'!$AO$4:$AQ$55,3,FALSE))</f>
        <v>0</v>
      </c>
      <c r="V92" s="4">
        <f>(VLOOKUP('20.03'!AD92,'20.03'!$AO$4:$AQ$55,3,FALSE))</f>
        <v>0</v>
      </c>
      <c r="W92" s="5">
        <f>(VLOOKUP('20.03'!AE92,'20.03'!$AO$4:$AQ$55,3,FALSE))</f>
        <v>0</v>
      </c>
      <c r="X92" s="5">
        <f>(VLOOKUP('20.03'!AF92,'20.03'!$AO$4:$AQ$55,3,FALSE))</f>
        <v>0</v>
      </c>
    </row>
    <row r="93" spans="1:24">
      <c r="A93" s="4">
        <f>(VLOOKUP('20.03'!I93,'20.03'!$AO$4:$AQ$55,3,FALSE))</f>
        <v>0</v>
      </c>
      <c r="B93" s="4">
        <f>(VLOOKUP('20.03'!J93,'20.03'!$AO$4:$AQ$55,3,FALSE))</f>
        <v>0</v>
      </c>
      <c r="C93" s="4">
        <f>(VLOOKUP('20.03'!K93,'20.03'!$AO$4:$AQ$55,3,FALSE))</f>
        <v>0</v>
      </c>
      <c r="D93" s="4">
        <f>(VLOOKUP('20.03'!L93,'20.03'!$AO$4:$AQ$55,3,FALSE))</f>
        <v>0</v>
      </c>
      <c r="E93" s="4">
        <f>(VLOOKUP('20.03'!M93,'20.03'!$AO$4:$AQ$55,3,FALSE))</f>
        <v>0</v>
      </c>
      <c r="F93" s="4">
        <f>(VLOOKUP('20.03'!N93,'20.03'!$AO$4:$AQ$55,3,FALSE))</f>
        <v>0</v>
      </c>
      <c r="G93" s="5">
        <f>(VLOOKUP('20.03'!O93,'20.03'!$AO$4:$AQ$55,3,FALSE))</f>
        <v>0</v>
      </c>
      <c r="H93" s="5">
        <f>(VLOOKUP('20.03'!P93,'20.03'!$AO$4:$AQ$55,3,FALSE))</f>
        <v>0</v>
      </c>
      <c r="I93" s="4">
        <f>(VLOOKUP('20.03'!Q93,'20.03'!$AO$4:$AQ$55,3,FALSE))</f>
        <v>0</v>
      </c>
      <c r="J93" s="4">
        <f>(VLOOKUP('20.03'!R93,'20.03'!$AO$4:$AQ$55,3,FALSE))</f>
        <v>0</v>
      </c>
      <c r="K93" s="4">
        <f>(VLOOKUP('20.03'!S93,'20.03'!$AO$4:$AQ$55,3,FALSE))</f>
        <v>0</v>
      </c>
      <c r="L93" s="4">
        <f>(VLOOKUP('20.03'!T93,'20.03'!$AO$4:$AQ$55,3,FALSE))</f>
        <v>0</v>
      </c>
      <c r="M93" s="4">
        <f>(VLOOKUP('20.03'!U93,'20.03'!$AO$4:$AQ$55,3,FALSE))</f>
        <v>0</v>
      </c>
      <c r="N93" s="4">
        <f>(VLOOKUP('20.03'!V93,'20.03'!$AO$4:$AQ$55,3,FALSE))</f>
        <v>0</v>
      </c>
      <c r="O93" s="5">
        <f>(VLOOKUP('20.03'!W93,'20.03'!$AO$4:$AQ$55,3,FALSE))</f>
        <v>0</v>
      </c>
      <c r="P93" s="5">
        <f>(VLOOKUP('20.03'!X93,'20.03'!$AO$4:$AQ$55,3,FALSE))</f>
        <v>0</v>
      </c>
      <c r="Q93" s="4">
        <f>(VLOOKUP('20.03'!Y93,'20.03'!$AO$4:$AQ$55,3,FALSE))</f>
        <v>0</v>
      </c>
      <c r="R93" s="4">
        <f>(VLOOKUP('20.03'!Z93,'20.03'!$AO$4:$AQ$55,3,FALSE))</f>
        <v>0</v>
      </c>
      <c r="S93" s="4">
        <f>(VLOOKUP('20.03'!AA93,'20.03'!$AO$4:$AQ$55,3,FALSE))</f>
        <v>0</v>
      </c>
      <c r="T93" s="4">
        <f>(VLOOKUP('20.03'!AB93,'20.03'!$AO$4:$AQ$55,3,FALSE))</f>
        <v>0</v>
      </c>
      <c r="U93" s="4">
        <f>(VLOOKUP('20.03'!AC93,'20.03'!$AO$4:$AQ$55,3,FALSE))</f>
        <v>0</v>
      </c>
      <c r="V93" s="4">
        <f>(VLOOKUP('20.03'!AD93,'20.03'!$AO$4:$AQ$55,3,FALSE))</f>
        <v>0</v>
      </c>
      <c r="W93" s="5">
        <f>(VLOOKUP('20.03'!AE93,'20.03'!$AO$4:$AQ$55,3,FALSE))</f>
        <v>0</v>
      </c>
      <c r="X93" s="5">
        <f>(VLOOKUP('20.03'!AF93,'20.03'!$AO$4:$AQ$55,3,FALSE))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42" t="s">
        <v>58</v>
      </c>
      <c r="B2" s="143"/>
      <c r="C2" s="1" t="s">
        <v>3</v>
      </c>
      <c r="D2" s="1">
        <f>COUNTIF(A4:H94,"&lt;&gt;空")</f>
        <v>728</v>
      </c>
      <c r="E2" s="143" t="s">
        <v>4</v>
      </c>
      <c r="F2" s="143"/>
      <c r="G2" s="143"/>
      <c r="H2" s="144"/>
      <c r="I2" s="145" t="s">
        <v>5</v>
      </c>
      <c r="J2" s="146"/>
      <c r="K2" s="6" t="s">
        <v>3</v>
      </c>
      <c r="L2" s="6">
        <f>COUNTIF(I4:P94,"&lt;&gt;空")</f>
        <v>728</v>
      </c>
      <c r="M2" s="146" t="s">
        <v>4</v>
      </c>
      <c r="N2" s="146"/>
      <c r="O2" s="146"/>
      <c r="P2" s="147"/>
      <c r="Q2" s="148" t="s">
        <v>6</v>
      </c>
      <c r="R2" s="140"/>
      <c r="S2" s="10" t="s">
        <v>7</v>
      </c>
      <c r="T2" s="9">
        <f>COUNTIF(Q4:X94,"&lt;&gt;空")</f>
        <v>728</v>
      </c>
      <c r="U2" s="140" t="s">
        <v>4</v>
      </c>
      <c r="V2" s="140"/>
      <c r="W2" s="140"/>
      <c r="X2" s="141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(VLOOKUP('20.03'!I4,'20.03'!$AO$4:$AR$55,4,FALSE))</f>
        <v>44.222109392472248</v>
      </c>
      <c r="B4" s="4">
        <f>(VLOOKUP('20.03'!J4,'20.03'!$AO$4:$AR$55,4,FALSE))</f>
        <v>44.222109392472248</v>
      </c>
      <c r="C4" s="4">
        <f>(VLOOKUP('20.03'!K4,'20.03'!$AO$4:$AR$55,4,FALSE))</f>
        <v>44.222109392472248</v>
      </c>
      <c r="D4" s="4">
        <f>(VLOOKUP('20.03'!L4,'20.03'!$AO$4:$AR$55,4,FALSE))</f>
        <v>44.222109392472248</v>
      </c>
      <c r="E4" s="4">
        <f>(VLOOKUP('20.03'!M4,'20.03'!$AO$4:$AR$55,4,FALSE))</f>
        <v>44.222109392472248</v>
      </c>
      <c r="F4" s="4">
        <f>(VLOOKUP('20.03'!N4,'20.03'!$AO$4:$AR$55,4,FALSE))</f>
        <v>10</v>
      </c>
      <c r="G4" s="4">
        <f>(VLOOKUP('20.03'!O4,'20.03'!$AO$4:$AR$55,4,FALSE))</f>
        <v>0</v>
      </c>
      <c r="H4" s="4">
        <f>(VLOOKUP('20.03'!P4,'20.03'!$AO$4:$AR$55,4,FALSE))</f>
        <v>0</v>
      </c>
      <c r="I4" s="4">
        <f>(VLOOKUP('20.03'!Q4,'20.03'!$AO$4:$AR$55,4,FALSE))</f>
        <v>44.222109392472248</v>
      </c>
      <c r="J4" s="4">
        <f>(VLOOKUP('20.03'!R4,'20.03'!$AO$4:$AR$55,4,FALSE))</f>
        <v>44.222109392472248</v>
      </c>
      <c r="K4" s="4">
        <f>(VLOOKUP('20.03'!S4,'20.03'!$AO$4:$AR$55,4,FALSE))</f>
        <v>44.222109392472248</v>
      </c>
      <c r="L4" s="4">
        <f>(VLOOKUP('20.03'!T4,'20.03'!$AO$4:$AR$55,4,FALSE))</f>
        <v>29.110982162825422</v>
      </c>
      <c r="M4" s="4">
        <f>(VLOOKUP('20.03'!U4,'20.03'!$AO$4:$AR$55,4,FALSE))</f>
        <v>44.222109392472248</v>
      </c>
      <c r="N4" s="4">
        <f>(VLOOKUP('20.03'!V4,'20.03'!$AO$4:$AR$55,4,FALSE))</f>
        <v>44.222109392472248</v>
      </c>
      <c r="O4" s="4">
        <f>(VLOOKUP('20.03'!W4,'20.03'!$AO$4:$AR$55,4,FALSE))</f>
        <v>0</v>
      </c>
      <c r="P4" s="4">
        <f>(VLOOKUP('20.03'!X4,'20.03'!$AO$4:$AR$55,4,FALSE))</f>
        <v>0</v>
      </c>
      <c r="Q4" s="4">
        <f>(VLOOKUP('20.03'!Y4,'20.03'!$AO$4:$AR$55,4,FALSE))</f>
        <v>0</v>
      </c>
      <c r="R4" s="4">
        <f>(VLOOKUP('20.03'!Z4,'20.03'!$AO$4:$AR$55,4,FALSE))</f>
        <v>0</v>
      </c>
      <c r="S4" s="4">
        <f>(VLOOKUP('20.03'!AA4,'20.03'!$AO$4:$AR$55,4,FALSE))</f>
        <v>0</v>
      </c>
      <c r="T4" s="4">
        <f>(VLOOKUP('20.03'!AB4,'20.03'!$AO$4:$AR$55,4,FALSE))</f>
        <v>0</v>
      </c>
      <c r="U4" s="4">
        <f>(VLOOKUP('20.03'!AC4,'20.03'!$AO$4:$AR$55,4,FALSE))</f>
        <v>0</v>
      </c>
      <c r="V4" s="4">
        <f>(VLOOKUP('20.03'!AD4,'20.03'!$AO$4:$AR$55,4,FALSE))</f>
        <v>0</v>
      </c>
      <c r="W4" s="4">
        <f>(VLOOKUP('20.03'!AE4,'20.03'!$AO$4:$AR$55,4,FALSE))</f>
        <v>0</v>
      </c>
      <c r="X4" s="4">
        <f>(VLOOKUP('20.03'!AF4,'20.03'!$AO$4:$AR$55,4,FALSE))</f>
        <v>0</v>
      </c>
    </row>
    <row r="5" spans="1:24">
      <c r="A5" s="4">
        <f>(VLOOKUP('20.03'!I5,'20.03'!$AO$4:$AR$55,4,FALSE))</f>
        <v>0</v>
      </c>
      <c r="B5" s="4">
        <f>(VLOOKUP('20.03'!J5,'20.03'!$AO$4:$AR$55,4,FALSE))</f>
        <v>0</v>
      </c>
      <c r="C5" s="4">
        <f>(VLOOKUP('20.03'!K5,'20.03'!$AO$4:$AR$55,4,FALSE))</f>
        <v>0</v>
      </c>
      <c r="D5" s="4">
        <f>(VLOOKUP('20.03'!L5,'20.03'!$AO$4:$AR$55,4,FALSE))</f>
        <v>0</v>
      </c>
      <c r="E5" s="4">
        <f>(VLOOKUP('20.03'!M5,'20.03'!$AO$4:$AR$55,4,FALSE))</f>
        <v>0</v>
      </c>
      <c r="F5" s="4">
        <f>(VLOOKUP('20.03'!N5,'20.03'!$AO$4:$AR$55,4,FALSE))</f>
        <v>0</v>
      </c>
      <c r="G5" s="4">
        <f>(VLOOKUP('20.03'!O5,'20.03'!$AO$4:$AR$55,4,FALSE))</f>
        <v>0</v>
      </c>
      <c r="H5" s="4">
        <f>(VLOOKUP('20.03'!P5,'20.03'!$AO$4:$AR$55,4,FALSE))</f>
        <v>0</v>
      </c>
      <c r="I5" s="4">
        <f>(VLOOKUP('20.03'!Q5,'20.03'!$AO$4:$AR$55,4,FALSE))</f>
        <v>10</v>
      </c>
      <c r="J5" s="4">
        <f>(VLOOKUP('20.03'!R5,'20.03'!$AO$4:$AR$55,4,FALSE))</f>
        <v>44.222109392472248</v>
      </c>
      <c r="K5" s="4">
        <f>(VLOOKUP('20.03'!S5,'20.03'!$AO$4:$AR$55,4,FALSE))</f>
        <v>44.222109392472248</v>
      </c>
      <c r="L5" s="4">
        <f>(VLOOKUP('20.03'!T5,'20.03'!$AO$4:$AR$55,4,FALSE))</f>
        <v>39.110982162825422</v>
      </c>
      <c r="M5" s="4">
        <f>(VLOOKUP('20.03'!U5,'20.03'!$AO$4:$AR$55,4,FALSE))</f>
        <v>39.110982162825422</v>
      </c>
      <c r="N5" s="4">
        <f>(VLOOKUP('20.03'!V5,'20.03'!$AO$4:$AR$55,4,FALSE))</f>
        <v>10</v>
      </c>
      <c r="O5" s="4">
        <f>(VLOOKUP('20.03'!W5,'20.03'!$AO$4:$AR$55,4,FALSE))</f>
        <v>0</v>
      </c>
      <c r="P5" s="4">
        <f>(VLOOKUP('20.03'!X5,'20.03'!$AO$4:$AR$55,4,FALSE))</f>
        <v>0</v>
      </c>
      <c r="Q5" s="4">
        <f>(VLOOKUP('20.03'!Y5,'20.03'!$AO$4:$AR$55,4,FALSE))</f>
        <v>39.110982162825422</v>
      </c>
      <c r="R5" s="4">
        <f>(VLOOKUP('20.03'!Z5,'20.03'!$AO$4:$AR$55,4,FALSE))</f>
        <v>39.110982162825422</v>
      </c>
      <c r="S5" s="4">
        <f>(VLOOKUP('20.03'!AA5,'20.03'!$AO$4:$AR$55,4,FALSE))</f>
        <v>29.110982162825422</v>
      </c>
      <c r="T5" s="4">
        <f>(VLOOKUP('20.03'!AB5,'20.03'!$AO$4:$AR$55,4,FALSE))</f>
        <v>39.110982162825422</v>
      </c>
      <c r="U5" s="4">
        <f>(VLOOKUP('20.03'!AC5,'20.03'!$AO$4:$AR$55,4,FALSE))</f>
        <v>10</v>
      </c>
      <c r="V5" s="4">
        <f>(VLOOKUP('20.03'!AD5,'20.03'!$AO$4:$AR$55,4,FALSE))</f>
        <v>39.110982162825422</v>
      </c>
      <c r="W5" s="4">
        <f>(VLOOKUP('20.03'!AE5,'20.03'!$AO$4:$AR$55,4,FALSE))</f>
        <v>13.999854933178597</v>
      </c>
      <c r="X5" s="4">
        <f>(VLOOKUP('20.03'!AF5,'20.03'!$AO$4:$AR$55,4,FALSE))</f>
        <v>34</v>
      </c>
    </row>
    <row r="6" spans="1:24">
      <c r="A6" s="4">
        <f>(VLOOKUP('20.03'!I6,'20.03'!$AO$4:$AR$55,4,FALSE))</f>
        <v>0</v>
      </c>
      <c r="B6" s="4">
        <f>(VLOOKUP('20.03'!J6,'20.03'!$AO$4:$AR$55,4,FALSE))</f>
        <v>0</v>
      </c>
      <c r="C6" s="4">
        <f>(VLOOKUP('20.03'!K6,'20.03'!$AO$4:$AR$55,4,FALSE))</f>
        <v>0</v>
      </c>
      <c r="D6" s="4">
        <f>(VLOOKUP('20.03'!L6,'20.03'!$AO$4:$AR$55,4,FALSE))</f>
        <v>0</v>
      </c>
      <c r="E6" s="4">
        <f>(VLOOKUP('20.03'!M6,'20.03'!$AO$4:$AR$55,4,FALSE))</f>
        <v>0</v>
      </c>
      <c r="F6" s="4">
        <f>(VLOOKUP('20.03'!N6,'20.03'!$AO$4:$AR$55,4,FALSE))</f>
        <v>0</v>
      </c>
      <c r="G6" s="4">
        <f>(VLOOKUP('20.03'!O6,'20.03'!$AO$4:$AR$55,4,FALSE))</f>
        <v>0</v>
      </c>
      <c r="H6" s="4">
        <f>(VLOOKUP('20.03'!P6,'20.03'!$AO$4:$AR$55,4,FALSE))</f>
        <v>0</v>
      </c>
      <c r="I6" s="4">
        <f>(VLOOKUP('20.03'!Q6,'20.03'!$AO$4:$AR$55,4,FALSE))</f>
        <v>39.110982162825422</v>
      </c>
      <c r="J6" s="4">
        <f>(VLOOKUP('20.03'!R6,'20.03'!$AO$4:$AR$55,4,FALSE))</f>
        <v>39.110982162825422</v>
      </c>
      <c r="K6" s="4">
        <f>(VLOOKUP('20.03'!S6,'20.03'!$AO$4:$AR$55,4,FALSE))</f>
        <v>39.110982162825422</v>
      </c>
      <c r="L6" s="4">
        <f>(VLOOKUP('20.03'!T6,'20.03'!$AO$4:$AR$55,4,FALSE))</f>
        <v>39.110982162825422</v>
      </c>
      <c r="M6" s="4">
        <f>(VLOOKUP('20.03'!U6,'20.03'!$AO$4:$AR$55,4,FALSE))</f>
        <v>39.110982162825422</v>
      </c>
      <c r="N6" s="4">
        <f>(VLOOKUP('20.03'!V6,'20.03'!$AO$4:$AR$55,4,FALSE))</f>
        <v>10</v>
      </c>
      <c r="O6" s="4">
        <f>(VLOOKUP('20.03'!W6,'20.03'!$AO$4:$AR$55,4,FALSE))</f>
        <v>0</v>
      </c>
      <c r="P6" s="4">
        <f>(VLOOKUP('20.03'!X6,'20.03'!$AO$4:$AR$55,4,FALSE))</f>
        <v>0</v>
      </c>
      <c r="Q6" s="4">
        <f>(VLOOKUP('20.03'!Y6,'20.03'!$AO$4:$AR$55,4,FALSE))</f>
        <v>29.110982162825422</v>
      </c>
      <c r="R6" s="4">
        <f>(VLOOKUP('20.03'!Z6,'20.03'!$AO$4:$AR$55,4,FALSE))</f>
        <v>34</v>
      </c>
      <c r="S6" s="4">
        <f>(VLOOKUP('20.03'!AA6,'20.03'!$AO$4:$AR$55,4,FALSE))</f>
        <v>36</v>
      </c>
      <c r="T6" s="4">
        <f>(VLOOKUP('20.03'!AB6,'20.03'!$AO$4:$AR$55,4,FALSE))</f>
        <v>34</v>
      </c>
      <c r="U6" s="4">
        <f>(VLOOKUP('20.03'!AC6,'20.03'!$AO$4:$AR$55,4,FALSE))</f>
        <v>34</v>
      </c>
      <c r="V6" s="4">
        <f>(VLOOKUP('20.03'!AD6,'20.03'!$AO$4:$AR$55,4,FALSE))</f>
        <v>34</v>
      </c>
      <c r="W6" s="4">
        <f>(VLOOKUP('20.03'!AE6,'20.03'!$AO$4:$AR$55,4,FALSE))</f>
        <v>34</v>
      </c>
      <c r="X6" s="4">
        <f>(VLOOKUP('20.03'!AF6,'20.03'!$AO$4:$AR$55,4,FALSE))</f>
        <v>0</v>
      </c>
    </row>
    <row r="7" spans="1:24">
      <c r="A7" s="4">
        <f>(VLOOKUP('20.03'!I7,'20.03'!$AO$4:$AR$55,4,FALSE))</f>
        <v>0</v>
      </c>
      <c r="B7" s="4">
        <f>(VLOOKUP('20.03'!J7,'20.03'!$AO$4:$AR$55,4,FALSE))</f>
        <v>0</v>
      </c>
      <c r="C7" s="4">
        <f>(VLOOKUP('20.03'!K7,'20.03'!$AO$4:$AR$55,4,FALSE))</f>
        <v>0</v>
      </c>
      <c r="D7" s="4">
        <f>(VLOOKUP('20.03'!L7,'20.03'!$AO$4:$AR$55,4,FALSE))</f>
        <v>0</v>
      </c>
      <c r="E7" s="4">
        <f>(VLOOKUP('20.03'!M7,'20.03'!$AO$4:$AR$55,4,FALSE))</f>
        <v>0</v>
      </c>
      <c r="F7" s="4">
        <f>(VLOOKUP('20.03'!N7,'20.03'!$AO$4:$AR$55,4,FALSE))</f>
        <v>0</v>
      </c>
      <c r="G7" s="4">
        <f>(VLOOKUP('20.03'!O7,'20.03'!$AO$4:$AR$55,4,FALSE))</f>
        <v>0</v>
      </c>
      <c r="H7" s="4">
        <f>(VLOOKUP('20.03'!P7,'20.03'!$AO$4:$AR$55,4,FALSE))</f>
        <v>0</v>
      </c>
      <c r="I7" s="4">
        <f>(VLOOKUP('20.03'!Q7,'20.03'!$AO$4:$AR$55,4,FALSE))</f>
        <v>39.110982162825422</v>
      </c>
      <c r="J7" s="4">
        <f>(VLOOKUP('20.03'!R7,'20.03'!$AO$4:$AR$55,4,FALSE))</f>
        <v>39.110982162825422</v>
      </c>
      <c r="K7" s="4">
        <f>(VLOOKUP('20.03'!S7,'20.03'!$AO$4:$AR$55,4,FALSE))</f>
        <v>0</v>
      </c>
      <c r="L7" s="4">
        <f>(VLOOKUP('20.03'!T7,'20.03'!$AO$4:$AR$55,4,FALSE))</f>
        <v>34</v>
      </c>
      <c r="M7" s="4">
        <f>(VLOOKUP('20.03'!U7,'20.03'!$AO$4:$AR$55,4,FALSE))</f>
        <v>34</v>
      </c>
      <c r="N7" s="4">
        <f>(VLOOKUP('20.03'!V7,'20.03'!$AO$4:$AR$55,4,FALSE))</f>
        <v>29.110982162825422</v>
      </c>
      <c r="O7" s="4">
        <f>(VLOOKUP('20.03'!W7,'20.03'!$AO$4:$AR$55,4,FALSE))</f>
        <v>0</v>
      </c>
      <c r="P7" s="4">
        <f>(VLOOKUP('20.03'!X7,'20.03'!$AO$4:$AR$55,4,FALSE))</f>
        <v>0</v>
      </c>
      <c r="Q7" s="4">
        <f>(VLOOKUP('20.03'!Y7,'20.03'!$AO$4:$AR$55,4,FALSE))</f>
        <v>34</v>
      </c>
      <c r="R7" s="4">
        <f>(VLOOKUP('20.03'!Z7,'20.03'!$AO$4:$AR$55,4,FALSE))</f>
        <v>34</v>
      </c>
      <c r="S7" s="4">
        <f>(VLOOKUP('20.03'!AA7,'20.03'!$AO$4:$AR$55,4,FALSE))</f>
        <v>34</v>
      </c>
      <c r="T7" s="4">
        <f>(VLOOKUP('20.03'!AB7,'20.03'!$AO$4:$AR$55,4,FALSE))</f>
        <v>34</v>
      </c>
      <c r="U7" s="4">
        <f>(VLOOKUP('20.03'!AC7,'20.03'!$AO$4:$AR$55,4,FALSE))</f>
        <v>34</v>
      </c>
      <c r="V7" s="4">
        <f>(VLOOKUP('20.03'!AD7,'20.03'!$AO$4:$AR$55,4,FALSE))</f>
        <v>29.110982162825422</v>
      </c>
      <c r="W7" s="4">
        <f>(VLOOKUP('20.03'!AE7,'20.03'!$AO$4:$AR$55,4,FALSE))</f>
        <v>36</v>
      </c>
      <c r="X7" s="4">
        <f>(VLOOKUP('20.03'!AF7,'20.03'!$AO$4:$AR$55,4,FALSE))</f>
        <v>36</v>
      </c>
    </row>
    <row r="8" spans="1:24">
      <c r="A8" s="4">
        <f>(VLOOKUP('20.03'!I8,'20.03'!$AO$4:$AR$55,4,FALSE))</f>
        <v>0</v>
      </c>
      <c r="B8" s="4">
        <f>(VLOOKUP('20.03'!J8,'20.03'!$AO$4:$AR$55,4,FALSE))</f>
        <v>0</v>
      </c>
      <c r="C8" s="4">
        <f>(VLOOKUP('20.03'!K8,'20.03'!$AO$4:$AR$55,4,FALSE))</f>
        <v>0</v>
      </c>
      <c r="D8" s="4">
        <f>(VLOOKUP('20.03'!L8,'20.03'!$AO$4:$AR$55,4,FALSE))</f>
        <v>0</v>
      </c>
      <c r="E8" s="4">
        <f>(VLOOKUP('20.03'!M8,'20.03'!$AO$4:$AR$55,4,FALSE))</f>
        <v>0</v>
      </c>
      <c r="F8" s="4">
        <f>(VLOOKUP('20.03'!N8,'20.03'!$AO$4:$AR$55,4,FALSE))</f>
        <v>0</v>
      </c>
      <c r="G8" s="4">
        <f>(VLOOKUP('20.03'!O8,'20.03'!$AO$4:$AR$55,4,FALSE))</f>
        <v>0</v>
      </c>
      <c r="H8" s="4">
        <f>(VLOOKUP('20.03'!P8,'20.03'!$AO$4:$AR$55,4,FALSE))</f>
        <v>0</v>
      </c>
      <c r="I8" s="4">
        <f>(VLOOKUP('20.03'!Q8,'20.03'!$AO$4:$AR$55,4,FALSE))</f>
        <v>34</v>
      </c>
      <c r="J8" s="4">
        <f>(VLOOKUP('20.03'!R8,'20.03'!$AO$4:$AR$55,4,FALSE))</f>
        <v>10</v>
      </c>
      <c r="K8" s="4">
        <f>(VLOOKUP('20.03'!S8,'20.03'!$AO$4:$AR$55,4,FALSE))</f>
        <v>34</v>
      </c>
      <c r="L8" s="4">
        <f>(VLOOKUP('20.03'!T8,'20.03'!$AO$4:$AR$55,4,FALSE))</f>
        <v>34</v>
      </c>
      <c r="M8" s="4">
        <f>(VLOOKUP('20.03'!U8,'20.03'!$AO$4:$AR$55,4,FALSE))</f>
        <v>34</v>
      </c>
      <c r="N8" s="4">
        <f>(VLOOKUP('20.03'!V8,'20.03'!$AO$4:$AR$55,4,FALSE))</f>
        <v>10</v>
      </c>
      <c r="O8" s="4">
        <f>(VLOOKUP('20.03'!W8,'20.03'!$AO$4:$AR$55,4,FALSE))</f>
        <v>0</v>
      </c>
      <c r="P8" s="4">
        <f>(VLOOKUP('20.03'!X8,'20.03'!$AO$4:$AR$55,4,FALSE))</f>
        <v>0</v>
      </c>
      <c r="Q8" s="4">
        <f>(VLOOKUP('20.03'!Y8,'20.03'!$AO$4:$AR$55,4,FALSE))</f>
        <v>0</v>
      </c>
      <c r="R8" s="4">
        <f>(VLOOKUP('20.03'!Z8,'20.03'!$AO$4:$AR$55,4,FALSE))</f>
        <v>29.110982162825422</v>
      </c>
      <c r="S8" s="4">
        <f>(VLOOKUP('20.03'!AA8,'20.03'!$AO$4:$AR$55,4,FALSE))</f>
        <v>36</v>
      </c>
      <c r="T8" s="4">
        <f>(VLOOKUP('20.03'!AB8,'20.03'!$AO$4:$AR$55,4,FALSE))</f>
        <v>36</v>
      </c>
      <c r="U8" s="4">
        <f>(VLOOKUP('20.03'!AC8,'20.03'!$AO$4:$AR$55,4,FALSE))</f>
        <v>36</v>
      </c>
      <c r="V8" s="4">
        <f>(VLOOKUP('20.03'!AD8,'20.03'!$AO$4:$AR$55,4,FALSE))</f>
        <v>36</v>
      </c>
      <c r="W8" s="4">
        <f>(VLOOKUP('20.03'!AE8,'20.03'!$AO$4:$AR$55,4,FALSE))</f>
        <v>36</v>
      </c>
      <c r="X8" s="4">
        <f>(VLOOKUP('20.03'!AF8,'20.03'!$AO$4:$AR$55,4,FALSE))</f>
        <v>36</v>
      </c>
    </row>
    <row r="9" spans="1:24">
      <c r="A9" s="4">
        <f>(VLOOKUP('20.03'!I9,'20.03'!$AO$4:$AR$55,4,FALSE))</f>
        <v>0</v>
      </c>
      <c r="B9" s="4">
        <f>(VLOOKUP('20.03'!J9,'20.03'!$AO$4:$AR$55,4,FALSE))</f>
        <v>0</v>
      </c>
      <c r="C9" s="4">
        <f>(VLOOKUP('20.03'!K9,'20.03'!$AO$4:$AR$55,4,FALSE))</f>
        <v>0</v>
      </c>
      <c r="D9" s="4">
        <f>(VLOOKUP('20.03'!L9,'20.03'!$AO$4:$AR$55,4,FALSE))</f>
        <v>0</v>
      </c>
      <c r="E9" s="4">
        <f>(VLOOKUP('20.03'!M9,'20.03'!$AO$4:$AR$55,4,FALSE))</f>
        <v>0</v>
      </c>
      <c r="F9" s="4">
        <f>(VLOOKUP('20.03'!N9,'20.03'!$AO$4:$AR$55,4,FALSE))</f>
        <v>0</v>
      </c>
      <c r="G9" s="4">
        <f>(VLOOKUP('20.03'!O9,'20.03'!$AO$4:$AR$55,4,FALSE))</f>
        <v>0</v>
      </c>
      <c r="H9" s="4">
        <f>(VLOOKUP('20.03'!P9,'20.03'!$AO$4:$AR$55,4,FALSE))</f>
        <v>0</v>
      </c>
      <c r="I9" s="4">
        <f>(VLOOKUP('20.03'!Q9,'20.03'!$AO$4:$AR$55,4,FALSE))</f>
        <v>34</v>
      </c>
      <c r="J9" s="4">
        <f>(VLOOKUP('20.03'!R9,'20.03'!$AO$4:$AR$55,4,FALSE))</f>
        <v>34</v>
      </c>
      <c r="K9" s="4">
        <f>(VLOOKUP('20.03'!S9,'20.03'!$AO$4:$AR$55,4,FALSE))</f>
        <v>0</v>
      </c>
      <c r="L9" s="4">
        <f>(VLOOKUP('20.03'!T9,'20.03'!$AO$4:$AR$55,4,FALSE))</f>
        <v>0</v>
      </c>
      <c r="M9" s="4">
        <f>(VLOOKUP('20.03'!U9,'20.03'!$AO$4:$AR$55,4,FALSE))</f>
        <v>0</v>
      </c>
      <c r="N9" s="4">
        <f>(VLOOKUP('20.03'!V9,'20.03'!$AO$4:$AR$55,4,FALSE))</f>
        <v>0</v>
      </c>
      <c r="O9" s="4">
        <f>(VLOOKUP('20.03'!W9,'20.03'!$AO$4:$AR$55,4,FALSE))</f>
        <v>0</v>
      </c>
      <c r="P9" s="4">
        <f>(VLOOKUP('20.03'!X9,'20.03'!$AO$4:$AR$55,4,FALSE))</f>
        <v>0</v>
      </c>
      <c r="Q9" s="4">
        <f>(VLOOKUP('20.03'!Y9,'20.03'!$AO$4:$AR$55,4,FALSE))</f>
        <v>36</v>
      </c>
      <c r="R9" s="4">
        <f>(VLOOKUP('20.03'!Z9,'20.03'!$AO$4:$AR$55,4,FALSE))</f>
        <v>36</v>
      </c>
      <c r="S9" s="4">
        <f>(VLOOKUP('20.03'!AA9,'20.03'!$AO$4:$AR$55,4,FALSE))</f>
        <v>36</v>
      </c>
      <c r="T9" s="4">
        <f>(VLOOKUP('20.03'!AB9,'20.03'!$AO$4:$AR$55,4,FALSE))</f>
        <v>0</v>
      </c>
      <c r="U9" s="4">
        <f>(VLOOKUP('20.03'!AC9,'20.03'!$AO$4:$AR$55,4,FALSE))</f>
        <v>34</v>
      </c>
      <c r="V9" s="4">
        <f>(VLOOKUP('20.03'!AD9,'20.03'!$AO$4:$AR$55,4,FALSE))</f>
        <v>10</v>
      </c>
      <c r="W9" s="4">
        <f>(VLOOKUP('20.03'!AE9,'20.03'!$AO$4:$AR$55,4,FALSE))</f>
        <v>0</v>
      </c>
      <c r="X9" s="4">
        <f>(VLOOKUP('20.03'!AF9,'20.03'!$AO$4:$AR$55,4,FALSE))</f>
        <v>0</v>
      </c>
    </row>
    <row r="10" spans="1:24">
      <c r="A10" s="4">
        <f>(VLOOKUP('20.03'!I10,'20.03'!$AO$4:$AR$55,4,FALSE))</f>
        <v>0</v>
      </c>
      <c r="B10" s="4">
        <f>(VLOOKUP('20.03'!J10,'20.03'!$AO$4:$AR$55,4,FALSE))</f>
        <v>0</v>
      </c>
      <c r="C10" s="4">
        <f>(VLOOKUP('20.03'!K10,'20.03'!$AO$4:$AR$55,4,FALSE))</f>
        <v>0</v>
      </c>
      <c r="D10" s="4">
        <f>(VLOOKUP('20.03'!L10,'20.03'!$AO$4:$AR$55,4,FALSE))</f>
        <v>0</v>
      </c>
      <c r="E10" s="4">
        <f>(VLOOKUP('20.03'!M10,'20.03'!$AO$4:$AR$55,4,FALSE))</f>
        <v>0</v>
      </c>
      <c r="F10" s="4">
        <f>(VLOOKUP('20.03'!N10,'20.03'!$AO$4:$AR$55,4,FALSE))</f>
        <v>0</v>
      </c>
      <c r="G10" s="4">
        <f>(VLOOKUP('20.03'!O10,'20.03'!$AO$4:$AR$55,4,FALSE))</f>
        <v>0</v>
      </c>
      <c r="H10" s="4">
        <f>(VLOOKUP('20.03'!P10,'20.03'!$AO$4:$AR$55,4,FALSE))</f>
        <v>0</v>
      </c>
      <c r="I10" s="4">
        <f>(VLOOKUP('20.03'!Q10,'20.03'!$AO$4:$AR$55,4,FALSE))</f>
        <v>0</v>
      </c>
      <c r="J10" s="4">
        <f>(VLOOKUP('20.03'!R10,'20.03'!$AO$4:$AR$55,4,FALSE))</f>
        <v>0</v>
      </c>
      <c r="K10" s="4">
        <f>(VLOOKUP('20.03'!S10,'20.03'!$AO$4:$AR$55,4,FALSE))</f>
        <v>0</v>
      </c>
      <c r="L10" s="4">
        <f>(VLOOKUP('20.03'!T10,'20.03'!$AO$4:$AR$55,4,FALSE))</f>
        <v>0</v>
      </c>
      <c r="M10" s="4">
        <f>(VLOOKUP('20.03'!U10,'20.03'!$AO$4:$AR$55,4,FALSE))</f>
        <v>0</v>
      </c>
      <c r="N10" s="4">
        <f>(VLOOKUP('20.03'!V10,'20.03'!$AO$4:$AR$55,4,FALSE))</f>
        <v>0</v>
      </c>
      <c r="O10" s="4">
        <f>(VLOOKUP('20.03'!W10,'20.03'!$AO$4:$AR$55,4,FALSE))</f>
        <v>0</v>
      </c>
      <c r="P10" s="4">
        <f>(VLOOKUP('20.03'!X10,'20.03'!$AO$4:$AR$55,4,FALSE))</f>
        <v>0</v>
      </c>
      <c r="Q10" s="4">
        <f>(VLOOKUP('20.03'!Y10,'20.03'!$AO$4:$AR$55,4,FALSE))</f>
        <v>34</v>
      </c>
      <c r="R10" s="4">
        <f>(VLOOKUP('20.03'!Z10,'20.03'!$AO$4:$AR$55,4,FALSE))</f>
        <v>34</v>
      </c>
      <c r="S10" s="4">
        <f>(VLOOKUP('20.03'!AA10,'20.03'!$AO$4:$AR$55,4,FALSE))</f>
        <v>34</v>
      </c>
      <c r="T10" s="4">
        <f>(VLOOKUP('20.03'!AB10,'20.03'!$AO$4:$AR$55,4,FALSE))</f>
        <v>29.110982162825422</v>
      </c>
      <c r="U10" s="4">
        <f>(VLOOKUP('20.03'!AC10,'20.03'!$AO$4:$AR$55,4,FALSE))</f>
        <v>34</v>
      </c>
      <c r="V10" s="4">
        <f>(VLOOKUP('20.03'!AD10,'20.03'!$AO$4:$AR$55,4,FALSE))</f>
        <v>34</v>
      </c>
      <c r="W10" s="4">
        <f>(VLOOKUP('20.03'!AE10,'20.03'!$AO$4:$AR$55,4,FALSE))</f>
        <v>0</v>
      </c>
      <c r="X10" s="4">
        <f>(VLOOKUP('20.03'!AF10,'20.03'!$AO$4:$AR$55,4,FALSE))</f>
        <v>0</v>
      </c>
    </row>
    <row r="11" spans="1:24">
      <c r="A11" s="4">
        <f>(VLOOKUP('20.03'!I11,'20.03'!$AO$4:$AR$55,4,FALSE))</f>
        <v>0</v>
      </c>
      <c r="B11" s="4">
        <f>(VLOOKUP('20.03'!J11,'20.03'!$AO$4:$AR$55,4,FALSE))</f>
        <v>0</v>
      </c>
      <c r="C11" s="4">
        <f>(VLOOKUP('20.03'!K11,'20.03'!$AO$4:$AR$55,4,FALSE))</f>
        <v>0</v>
      </c>
      <c r="D11" s="4">
        <f>(VLOOKUP('20.03'!L11,'20.03'!$AO$4:$AR$55,4,FALSE))</f>
        <v>0</v>
      </c>
      <c r="E11" s="4">
        <f>(VLOOKUP('20.03'!M11,'20.03'!$AO$4:$AR$55,4,FALSE))</f>
        <v>0</v>
      </c>
      <c r="F11" s="4">
        <f>(VLOOKUP('20.03'!N11,'20.03'!$AO$4:$AR$55,4,FALSE))</f>
        <v>0</v>
      </c>
      <c r="G11" s="4">
        <f>(VLOOKUP('20.03'!O11,'20.03'!$AO$4:$AR$55,4,FALSE))</f>
        <v>0</v>
      </c>
      <c r="H11" s="4">
        <f>(VLOOKUP('20.03'!P11,'20.03'!$AO$4:$AR$55,4,FALSE))</f>
        <v>0</v>
      </c>
      <c r="I11" s="4">
        <f>(VLOOKUP('20.03'!Q11,'20.03'!$AO$4:$AR$55,4,FALSE))</f>
        <v>0</v>
      </c>
      <c r="J11" s="4">
        <f>(VLOOKUP('20.03'!R11,'20.03'!$AO$4:$AR$55,4,FALSE))</f>
        <v>0</v>
      </c>
      <c r="K11" s="4">
        <f>(VLOOKUP('20.03'!S11,'20.03'!$AO$4:$AR$55,4,FALSE))</f>
        <v>0</v>
      </c>
      <c r="L11" s="4">
        <f>(VLOOKUP('20.03'!T11,'20.03'!$AO$4:$AR$55,4,FALSE))</f>
        <v>0</v>
      </c>
      <c r="M11" s="4">
        <f>(VLOOKUP('20.03'!U11,'20.03'!$AO$4:$AR$55,4,FALSE))</f>
        <v>0</v>
      </c>
      <c r="N11" s="4">
        <f>(VLOOKUP('20.03'!V11,'20.03'!$AO$4:$AR$55,4,FALSE))</f>
        <v>0</v>
      </c>
      <c r="O11" s="4">
        <f>(VLOOKUP('20.03'!W11,'20.03'!$AO$4:$AR$55,4,FALSE))</f>
        <v>0</v>
      </c>
      <c r="P11" s="4">
        <f>(VLOOKUP('20.03'!X11,'20.03'!$AO$4:$AR$55,4,FALSE))</f>
        <v>0</v>
      </c>
      <c r="Q11" s="4">
        <f>(VLOOKUP('20.03'!Y11,'20.03'!$AO$4:$AR$55,4,FALSE))</f>
        <v>34</v>
      </c>
      <c r="R11" s="4">
        <f>(VLOOKUP('20.03'!Z11,'20.03'!$AO$4:$AR$55,4,FALSE))</f>
        <v>34</v>
      </c>
      <c r="S11" s="4">
        <f>(VLOOKUP('20.03'!AA11,'20.03'!$AO$4:$AR$55,4,FALSE))</f>
        <v>29.110982162825422</v>
      </c>
      <c r="T11" s="4">
        <f>(VLOOKUP('20.03'!AB11,'20.03'!$AO$4:$AR$55,4,FALSE))</f>
        <v>0</v>
      </c>
      <c r="U11" s="4">
        <f>(VLOOKUP('20.03'!AC11,'20.03'!$AO$4:$AR$55,4,FALSE))</f>
        <v>10</v>
      </c>
      <c r="V11" s="4">
        <f>(VLOOKUP('20.03'!AD11,'20.03'!$AO$4:$AR$55,4,FALSE))</f>
        <v>34</v>
      </c>
      <c r="W11" s="4">
        <f>(VLOOKUP('20.03'!AE11,'20.03'!$AO$4:$AR$55,4,FALSE))</f>
        <v>0</v>
      </c>
      <c r="X11" s="4">
        <f>(VLOOKUP('20.03'!AF11,'20.03'!$AO$4:$AR$55,4,FALSE))</f>
        <v>0</v>
      </c>
    </row>
    <row r="12" spans="1:24">
      <c r="A12" s="4">
        <f>(VLOOKUP('20.03'!I12,'20.03'!$AO$4:$AR$55,4,FALSE))</f>
        <v>0</v>
      </c>
      <c r="B12" s="4">
        <f>(VLOOKUP('20.03'!J12,'20.03'!$AO$4:$AR$55,4,FALSE))</f>
        <v>0</v>
      </c>
      <c r="C12" s="4">
        <f>(VLOOKUP('20.03'!K12,'20.03'!$AO$4:$AR$55,4,FALSE))</f>
        <v>0</v>
      </c>
      <c r="D12" s="4">
        <f>(VLOOKUP('20.03'!L12,'20.03'!$AO$4:$AR$55,4,FALSE))</f>
        <v>0</v>
      </c>
      <c r="E12" s="4">
        <f>(VLOOKUP('20.03'!M12,'20.03'!$AO$4:$AR$55,4,FALSE))</f>
        <v>0</v>
      </c>
      <c r="F12" s="4">
        <f>(VLOOKUP('20.03'!N12,'20.03'!$AO$4:$AR$55,4,FALSE))</f>
        <v>0</v>
      </c>
      <c r="G12" s="4">
        <f>(VLOOKUP('20.03'!O12,'20.03'!$AO$4:$AR$55,4,FALSE))</f>
        <v>0</v>
      </c>
      <c r="H12" s="4">
        <f>(VLOOKUP('20.03'!P12,'20.03'!$AO$4:$AR$55,4,FALSE))</f>
        <v>0</v>
      </c>
      <c r="I12" s="4">
        <f>(VLOOKUP('20.03'!Q12,'20.03'!$AO$4:$AR$55,4,FALSE))</f>
        <v>0</v>
      </c>
      <c r="J12" s="4">
        <f>(VLOOKUP('20.03'!R12,'20.03'!$AO$4:$AR$55,4,FALSE))</f>
        <v>0</v>
      </c>
      <c r="K12" s="4">
        <f>(VLOOKUP('20.03'!S12,'20.03'!$AO$4:$AR$55,4,FALSE))</f>
        <v>0</v>
      </c>
      <c r="L12" s="4">
        <f>(VLOOKUP('20.03'!T12,'20.03'!$AO$4:$AR$55,4,FALSE))</f>
        <v>0</v>
      </c>
      <c r="M12" s="4">
        <f>(VLOOKUP('20.03'!U12,'20.03'!$AO$4:$AR$55,4,FALSE))</f>
        <v>0</v>
      </c>
      <c r="N12" s="4">
        <f>(VLOOKUP('20.03'!V12,'20.03'!$AO$4:$AR$55,4,FALSE))</f>
        <v>0</v>
      </c>
      <c r="O12" s="4">
        <f>(VLOOKUP('20.03'!W12,'20.03'!$AO$4:$AR$55,4,FALSE))</f>
        <v>0</v>
      </c>
      <c r="P12" s="4">
        <f>(VLOOKUP('20.03'!X12,'20.03'!$AO$4:$AR$55,4,FALSE))</f>
        <v>0</v>
      </c>
      <c r="Q12" s="4">
        <f>(VLOOKUP('20.03'!Y12,'20.03'!$AO$4:$AR$55,4,FALSE))</f>
        <v>34</v>
      </c>
      <c r="R12" s="4">
        <f>(VLOOKUP('20.03'!Z12,'20.03'!$AO$4:$AR$55,4,FALSE))</f>
        <v>29.110982162825422</v>
      </c>
      <c r="S12" s="4">
        <f>(VLOOKUP('20.03'!AA12,'20.03'!$AO$4:$AR$55,4,FALSE))</f>
        <v>0</v>
      </c>
      <c r="T12" s="4">
        <f>(VLOOKUP('20.03'!AB12,'20.03'!$AO$4:$AR$55,4,FALSE))</f>
        <v>10</v>
      </c>
      <c r="U12" s="4">
        <f>(VLOOKUP('20.03'!AC12,'20.03'!$AO$4:$AR$55,4,FALSE))</f>
        <v>0</v>
      </c>
      <c r="V12" s="4">
        <f>(VLOOKUP('20.03'!AD12,'20.03'!$AO$4:$AR$55,4,FALSE))</f>
        <v>34</v>
      </c>
      <c r="W12" s="4">
        <f>(VLOOKUP('20.03'!AE12,'20.03'!$AO$4:$AR$55,4,FALSE))</f>
        <v>0</v>
      </c>
      <c r="X12" s="4">
        <f>(VLOOKUP('20.03'!AF12,'20.03'!$AO$4:$AR$55,4,FALSE))</f>
        <v>0</v>
      </c>
    </row>
    <row r="13" spans="1:24">
      <c r="A13" s="4">
        <f>(VLOOKUP('20.03'!I13,'20.03'!$AO$4:$AR$55,4,FALSE))</f>
        <v>44.222109392472248</v>
      </c>
      <c r="B13" s="4">
        <f>(VLOOKUP('20.03'!J13,'20.03'!$AO$4:$AR$55,4,FALSE))</f>
        <v>29.110982162825422</v>
      </c>
      <c r="C13" s="4">
        <f>(VLOOKUP('20.03'!K13,'20.03'!$AO$4:$AR$55,4,FALSE))</f>
        <v>44.222109392472248</v>
      </c>
      <c r="D13" s="4">
        <f>(VLOOKUP('20.03'!L13,'20.03'!$AO$4:$AR$55,4,FALSE))</f>
        <v>10</v>
      </c>
      <c r="E13" s="4">
        <f>(VLOOKUP('20.03'!M13,'20.03'!$AO$4:$AR$55,4,FALSE))</f>
        <v>44.222109392472248</v>
      </c>
      <c r="F13" s="4">
        <f>(VLOOKUP('20.03'!N13,'20.03'!$AO$4:$AR$55,4,FALSE))</f>
        <v>44.222109392472248</v>
      </c>
      <c r="G13" s="4">
        <f>(VLOOKUP('20.03'!O13,'20.03'!$AO$4:$AR$55,4,FALSE))</f>
        <v>29.110982162825422</v>
      </c>
      <c r="H13" s="4">
        <f>(VLOOKUP('20.03'!P13,'20.03'!$AO$4:$AR$55,4,FALSE))</f>
        <v>44.222109392472248</v>
      </c>
      <c r="I13" s="4">
        <f>(VLOOKUP('20.03'!Q13,'20.03'!$AO$4:$AR$55,4,FALSE))</f>
        <v>10</v>
      </c>
      <c r="J13" s="4">
        <f>(VLOOKUP('20.03'!R13,'20.03'!$AO$4:$AR$55,4,FALSE))</f>
        <v>0</v>
      </c>
      <c r="K13" s="4">
        <f>(VLOOKUP('20.03'!S13,'20.03'!$AO$4:$AR$55,4,FALSE))</f>
        <v>0</v>
      </c>
      <c r="L13" s="4">
        <f>(VLOOKUP('20.03'!T13,'20.03'!$AO$4:$AR$55,4,FALSE))</f>
        <v>0</v>
      </c>
      <c r="M13" s="4">
        <f>(VLOOKUP('20.03'!U13,'20.03'!$AO$4:$AR$55,4,FALSE))</f>
        <v>0</v>
      </c>
      <c r="N13" s="4">
        <f>(VLOOKUP('20.03'!V13,'20.03'!$AO$4:$AR$55,4,FALSE))</f>
        <v>34</v>
      </c>
      <c r="O13" s="4">
        <f>(VLOOKUP('20.03'!W13,'20.03'!$AO$4:$AR$55,4,FALSE))</f>
        <v>34</v>
      </c>
      <c r="P13" s="4">
        <f>(VLOOKUP('20.03'!X13,'20.03'!$AO$4:$AR$55,4,FALSE))</f>
        <v>34</v>
      </c>
      <c r="Q13" s="4">
        <f>(VLOOKUP('20.03'!Y13,'20.03'!$AO$4:$AR$55,4,FALSE))</f>
        <v>34</v>
      </c>
      <c r="R13" s="4">
        <f>(VLOOKUP('20.03'!Z13,'20.03'!$AO$4:$AR$55,4,FALSE))</f>
        <v>34</v>
      </c>
      <c r="S13" s="4">
        <f>(VLOOKUP('20.03'!AA13,'20.03'!$AO$4:$AR$55,4,FALSE))</f>
        <v>34</v>
      </c>
      <c r="T13" s="4">
        <f>(VLOOKUP('20.03'!AB13,'20.03'!$AO$4:$AR$55,4,FALSE))</f>
        <v>0</v>
      </c>
      <c r="U13" s="4">
        <f>(VLOOKUP('20.03'!AC13,'20.03'!$AO$4:$AR$55,4,FALSE))</f>
        <v>34</v>
      </c>
      <c r="V13" s="4">
        <f>(VLOOKUP('20.03'!AD13,'20.03'!$AO$4:$AR$55,4,FALSE))</f>
        <v>0</v>
      </c>
      <c r="W13" s="4">
        <f>(VLOOKUP('20.03'!AE13,'20.03'!$AO$4:$AR$55,4,FALSE))</f>
        <v>0</v>
      </c>
      <c r="X13" s="4">
        <f>(VLOOKUP('20.03'!AF13,'20.03'!$AO$4:$AR$55,4,FALSE))</f>
        <v>0</v>
      </c>
    </row>
    <row r="14" spans="1:24">
      <c r="A14" s="4">
        <f>(VLOOKUP('20.03'!I14,'20.03'!$AO$4:$AR$55,4,FALSE))</f>
        <v>44.222109392472248</v>
      </c>
      <c r="B14" s="4">
        <f>(VLOOKUP('20.03'!J14,'20.03'!$AO$4:$AR$55,4,FALSE))</f>
        <v>39.110982162825422</v>
      </c>
      <c r="C14" s="4">
        <f>(VLOOKUP('20.03'!K14,'20.03'!$AO$4:$AR$55,4,FALSE))</f>
        <v>39.110982162825422</v>
      </c>
      <c r="D14" s="4">
        <f>(VLOOKUP('20.03'!L14,'20.03'!$AO$4:$AR$55,4,FALSE))</f>
        <v>10</v>
      </c>
      <c r="E14" s="4">
        <f>(VLOOKUP('20.03'!M14,'20.03'!$AO$4:$AR$55,4,FALSE))</f>
        <v>39.110982162825422</v>
      </c>
      <c r="F14" s="4">
        <f>(VLOOKUP('20.03'!N14,'20.03'!$AO$4:$AR$55,4,FALSE))</f>
        <v>39.110982162825422</v>
      </c>
      <c r="G14" s="4">
        <f>(VLOOKUP('20.03'!O14,'20.03'!$AO$4:$AR$55,4,FALSE))</f>
        <v>10</v>
      </c>
      <c r="H14" s="4">
        <f>(VLOOKUP('20.03'!P14,'20.03'!$AO$4:$AR$55,4,FALSE))</f>
        <v>36</v>
      </c>
      <c r="I14" s="4">
        <f>(VLOOKUP('20.03'!Q14,'20.03'!$AO$4:$AR$55,4,FALSE))</f>
        <v>34</v>
      </c>
      <c r="J14" s="4">
        <f>(VLOOKUP('20.03'!R14,'20.03'!$AO$4:$AR$55,4,FALSE))</f>
        <v>34</v>
      </c>
      <c r="K14" s="4">
        <f>(VLOOKUP('20.03'!S14,'20.03'!$AO$4:$AR$55,4,FALSE))</f>
        <v>34</v>
      </c>
      <c r="L14" s="4">
        <f>(VLOOKUP('20.03'!T14,'20.03'!$AO$4:$AR$55,4,FALSE))</f>
        <v>10</v>
      </c>
      <c r="M14" s="4">
        <f>(VLOOKUP('20.03'!U14,'20.03'!$AO$4:$AR$55,4,FALSE))</f>
        <v>0</v>
      </c>
      <c r="N14" s="4">
        <f>(VLOOKUP('20.03'!V14,'20.03'!$AO$4:$AR$55,4,FALSE))</f>
        <v>0</v>
      </c>
      <c r="O14" s="4">
        <f>(VLOOKUP('20.03'!W14,'20.03'!$AO$4:$AR$55,4,FALSE))</f>
        <v>0</v>
      </c>
      <c r="P14" s="4">
        <f>(VLOOKUP('20.03'!X14,'20.03'!$AO$4:$AR$55,4,FALSE))</f>
        <v>0</v>
      </c>
      <c r="Q14" s="4">
        <f>(VLOOKUP('20.03'!Y14,'20.03'!$AO$4:$AR$55,4,FALSE))</f>
        <v>34</v>
      </c>
      <c r="R14" s="4">
        <f>(VLOOKUP('20.03'!Z14,'20.03'!$AO$4:$AR$55,4,FALSE))</f>
        <v>38</v>
      </c>
      <c r="S14" s="4">
        <f>(VLOOKUP('20.03'!AA14,'20.03'!$AO$4:$AR$55,4,FALSE))</f>
        <v>38</v>
      </c>
      <c r="T14" s="4">
        <f>(VLOOKUP('20.03'!AB14,'20.03'!$AO$4:$AR$55,4,FALSE))</f>
        <v>38</v>
      </c>
      <c r="U14" s="4">
        <f>(VLOOKUP('20.03'!AC14,'20.03'!$AO$4:$AR$55,4,FALSE))</f>
        <v>34</v>
      </c>
      <c r="V14" s="4">
        <f>(VLOOKUP('20.03'!AD14,'20.03'!$AO$4:$AR$55,4,FALSE))</f>
        <v>0</v>
      </c>
      <c r="W14" s="4">
        <f>(VLOOKUP('20.03'!AE14,'20.03'!$AO$4:$AR$55,4,FALSE))</f>
        <v>0</v>
      </c>
      <c r="X14" s="4">
        <f>(VLOOKUP('20.03'!AF14,'20.03'!$AO$4:$AR$55,4,FALSE))</f>
        <v>0</v>
      </c>
    </row>
    <row r="15" spans="1:24">
      <c r="A15" s="4">
        <f>(VLOOKUP('20.03'!I15,'20.03'!$AO$4:$AR$55,4,FALSE))</f>
        <v>36</v>
      </c>
      <c r="B15" s="4">
        <f>(VLOOKUP('20.03'!J15,'20.03'!$AO$4:$AR$55,4,FALSE))</f>
        <v>36</v>
      </c>
      <c r="C15" s="4">
        <f>(VLOOKUP('20.03'!K15,'20.03'!$AO$4:$AR$55,4,FALSE))</f>
        <v>10</v>
      </c>
      <c r="D15" s="4">
        <f>(VLOOKUP('20.03'!L15,'20.03'!$AO$4:$AR$55,4,FALSE))</f>
        <v>36</v>
      </c>
      <c r="E15" s="4">
        <f>(VLOOKUP('20.03'!M15,'20.03'!$AO$4:$AR$55,4,FALSE))</f>
        <v>36</v>
      </c>
      <c r="F15" s="4">
        <f>(VLOOKUP('20.03'!N15,'20.03'!$AO$4:$AR$55,4,FALSE))</f>
        <v>36</v>
      </c>
      <c r="G15" s="4">
        <f>(VLOOKUP('20.03'!O15,'20.03'!$AO$4:$AR$55,4,FALSE))</f>
        <v>36</v>
      </c>
      <c r="H15" s="4">
        <f>(VLOOKUP('20.03'!P15,'20.03'!$AO$4:$AR$55,4,FALSE))</f>
        <v>36</v>
      </c>
      <c r="I15" s="4">
        <f>(VLOOKUP('20.03'!Q15,'20.03'!$AO$4:$AR$55,4,FALSE))</f>
        <v>36</v>
      </c>
      <c r="J15" s="4">
        <f>(VLOOKUP('20.03'!R15,'20.03'!$AO$4:$AR$55,4,FALSE))</f>
        <v>38</v>
      </c>
      <c r="K15" s="4">
        <f>(VLOOKUP('20.03'!S15,'20.03'!$AO$4:$AR$55,4,FALSE))</f>
        <v>38</v>
      </c>
      <c r="L15" s="4">
        <f>(VLOOKUP('20.03'!T15,'20.03'!$AO$4:$AR$55,4,FALSE))</f>
        <v>38</v>
      </c>
      <c r="M15" s="4">
        <f>(VLOOKUP('20.03'!U15,'20.03'!$AO$4:$AR$55,4,FALSE))</f>
        <v>10</v>
      </c>
      <c r="N15" s="4">
        <f>(VLOOKUP('20.03'!V15,'20.03'!$AO$4:$AR$55,4,FALSE))</f>
        <v>38</v>
      </c>
      <c r="O15" s="4">
        <f>(VLOOKUP('20.03'!W15,'20.03'!$AO$4:$AR$55,4,FALSE))</f>
        <v>38</v>
      </c>
      <c r="P15" s="4">
        <f>(VLOOKUP('20.03'!X15,'20.03'!$AO$4:$AR$55,4,FALSE))</f>
        <v>38</v>
      </c>
      <c r="Q15" s="4">
        <f>(VLOOKUP('20.03'!Y15,'20.03'!$AO$4:$AR$55,4,FALSE))</f>
        <v>34</v>
      </c>
      <c r="R15" s="4">
        <f>(VLOOKUP('20.03'!Z15,'20.03'!$AO$4:$AR$55,4,FALSE))</f>
        <v>10</v>
      </c>
      <c r="S15" s="4">
        <f>(VLOOKUP('20.03'!AA15,'20.03'!$AO$4:$AR$55,4,FALSE))</f>
        <v>34</v>
      </c>
      <c r="T15" s="4">
        <f>(VLOOKUP('20.03'!AB15,'20.03'!$AO$4:$AR$55,4,FALSE))</f>
        <v>34</v>
      </c>
      <c r="U15" s="4">
        <f>(VLOOKUP('20.03'!AC15,'20.03'!$AO$4:$AR$55,4,FALSE))</f>
        <v>34</v>
      </c>
      <c r="V15" s="4">
        <f>(VLOOKUP('20.03'!AD15,'20.03'!$AO$4:$AR$55,4,FALSE))</f>
        <v>34</v>
      </c>
      <c r="W15" s="4">
        <f>(VLOOKUP('20.03'!AE15,'20.03'!$AO$4:$AR$55,4,FALSE))</f>
        <v>34</v>
      </c>
      <c r="X15" s="4">
        <f>(VLOOKUP('20.03'!AF15,'20.03'!$AO$4:$AR$55,4,FALSE))</f>
        <v>34</v>
      </c>
    </row>
    <row r="16" spans="1:24">
      <c r="A16" s="4">
        <f>(VLOOKUP('20.03'!I16,'20.03'!$AO$4:$AR$55,4,FALSE))</f>
        <v>10</v>
      </c>
      <c r="B16" s="4">
        <f>(VLOOKUP('20.03'!J16,'20.03'!$AO$4:$AR$55,4,FALSE))</f>
        <v>36</v>
      </c>
      <c r="C16" s="4">
        <f>(VLOOKUP('20.03'!K16,'20.03'!$AO$4:$AR$55,4,FALSE))</f>
        <v>36</v>
      </c>
      <c r="D16" s="4">
        <f>(VLOOKUP('20.03'!L16,'20.03'!$AO$4:$AR$55,4,FALSE))</f>
        <v>0</v>
      </c>
      <c r="E16" s="4">
        <f>(VLOOKUP('20.03'!M16,'20.03'!$AO$4:$AR$55,4,FALSE))</f>
        <v>0</v>
      </c>
      <c r="F16" s="4">
        <f>(VLOOKUP('20.03'!N16,'20.03'!$AO$4:$AR$55,4,FALSE))</f>
        <v>0</v>
      </c>
      <c r="G16" s="4">
        <f>(VLOOKUP('20.03'!O16,'20.03'!$AO$4:$AR$55,4,FALSE))</f>
        <v>0</v>
      </c>
      <c r="H16" s="4">
        <f>(VLOOKUP('20.03'!P16,'20.03'!$AO$4:$AR$55,4,FALSE))</f>
        <v>38</v>
      </c>
      <c r="I16" s="4">
        <f>(VLOOKUP('20.03'!Q16,'20.03'!$AO$4:$AR$55,4,FALSE))</f>
        <v>38</v>
      </c>
      <c r="J16" s="4">
        <f>(VLOOKUP('20.03'!R16,'20.03'!$AO$4:$AR$55,4,FALSE))</f>
        <v>36</v>
      </c>
      <c r="K16" s="4">
        <f>(VLOOKUP('20.03'!S16,'20.03'!$AO$4:$AR$55,4,FALSE))</f>
        <v>0</v>
      </c>
      <c r="L16" s="4">
        <f>(VLOOKUP('20.03'!T16,'20.03'!$AO$4:$AR$55,4,FALSE))</f>
        <v>0</v>
      </c>
      <c r="M16" s="4">
        <f>(VLOOKUP('20.03'!U16,'20.03'!$AO$4:$AR$55,4,FALSE))</f>
        <v>36</v>
      </c>
      <c r="N16" s="4">
        <f>(VLOOKUP('20.03'!V16,'20.03'!$AO$4:$AR$55,4,FALSE))</f>
        <v>36</v>
      </c>
      <c r="O16" s="4">
        <f>(VLOOKUP('20.03'!W16,'20.03'!$AO$4:$AR$55,4,FALSE))</f>
        <v>36</v>
      </c>
      <c r="P16" s="4">
        <f>(VLOOKUP('20.03'!X16,'20.03'!$AO$4:$AR$55,4,FALSE))</f>
        <v>10</v>
      </c>
      <c r="Q16" s="4">
        <f>(VLOOKUP('20.03'!Y16,'20.03'!$AO$4:$AR$55,4,FALSE))</f>
        <v>29.110982162825422</v>
      </c>
      <c r="R16" s="4">
        <f>(VLOOKUP('20.03'!Z16,'20.03'!$AO$4:$AR$55,4,FALSE))</f>
        <v>39.110982162825422</v>
      </c>
      <c r="S16" s="4">
        <f>(VLOOKUP('20.03'!AA16,'20.03'!$AO$4:$AR$55,4,FALSE))</f>
        <v>39.110982162825422</v>
      </c>
      <c r="T16" s="4">
        <f>(VLOOKUP('20.03'!AB16,'20.03'!$AO$4:$AR$55,4,FALSE))</f>
        <v>34</v>
      </c>
      <c r="U16" s="4">
        <f>(VLOOKUP('20.03'!AC16,'20.03'!$AO$4:$AR$55,4,FALSE))</f>
        <v>34</v>
      </c>
      <c r="V16" s="4">
        <f>(VLOOKUP('20.03'!AD16,'20.03'!$AO$4:$AR$55,4,FALSE))</f>
        <v>34</v>
      </c>
      <c r="W16" s="4">
        <f>(VLOOKUP('20.03'!AE16,'20.03'!$AO$4:$AR$55,4,FALSE))</f>
        <v>34</v>
      </c>
      <c r="X16" s="4">
        <f>(VLOOKUP('20.03'!AF16,'20.03'!$AO$4:$AR$55,4,FALSE))</f>
        <v>10</v>
      </c>
    </row>
    <row r="17" spans="1:24">
      <c r="A17" s="4">
        <f>(VLOOKUP('20.03'!I17,'20.03'!$AO$4:$AR$55,4,FALSE))</f>
        <v>38</v>
      </c>
      <c r="B17" s="4">
        <f>(VLOOKUP('20.03'!J17,'20.03'!$AO$4:$AR$55,4,FALSE))</f>
        <v>38</v>
      </c>
      <c r="C17" s="4">
        <f>(VLOOKUP('20.03'!K17,'20.03'!$AO$4:$AR$55,4,FALSE))</f>
        <v>38</v>
      </c>
      <c r="D17" s="4">
        <f>(VLOOKUP('20.03'!L17,'20.03'!$AO$4:$AR$55,4,FALSE))</f>
        <v>38</v>
      </c>
      <c r="E17" s="4">
        <f>(VLOOKUP('20.03'!M17,'20.03'!$AO$4:$AR$55,4,FALSE))</f>
        <v>38</v>
      </c>
      <c r="F17" s="4">
        <f>(VLOOKUP('20.03'!N17,'20.03'!$AO$4:$AR$55,4,FALSE))</f>
        <v>38</v>
      </c>
      <c r="G17" s="4">
        <f>(VLOOKUP('20.03'!O17,'20.03'!$AO$4:$AR$55,4,FALSE))</f>
        <v>38</v>
      </c>
      <c r="H17" s="4">
        <f>(VLOOKUP('20.03'!P17,'20.03'!$AO$4:$AR$55,4,FALSE))</f>
        <v>10</v>
      </c>
      <c r="I17" s="4">
        <f>(VLOOKUP('20.03'!Q17,'20.03'!$AO$4:$AR$55,4,FALSE))</f>
        <v>36</v>
      </c>
      <c r="J17" s="4">
        <f>(VLOOKUP('20.03'!R17,'20.03'!$AO$4:$AR$55,4,FALSE))</f>
        <v>36</v>
      </c>
      <c r="K17" s="4">
        <f>(VLOOKUP('20.03'!S17,'20.03'!$AO$4:$AR$55,4,FALSE))</f>
        <v>36</v>
      </c>
      <c r="L17" s="4">
        <f>(VLOOKUP('20.03'!T17,'20.03'!$AO$4:$AR$55,4,FALSE))</f>
        <v>36</v>
      </c>
      <c r="M17" s="4">
        <f>(VLOOKUP('20.03'!U17,'20.03'!$AO$4:$AR$55,4,FALSE))</f>
        <v>29.110982162825422</v>
      </c>
      <c r="N17" s="4">
        <f>(VLOOKUP('20.03'!V17,'20.03'!$AO$4:$AR$55,4,FALSE))</f>
        <v>36</v>
      </c>
      <c r="O17" s="4">
        <f>(VLOOKUP('20.03'!W17,'20.03'!$AO$4:$AR$55,4,FALSE))</f>
        <v>36</v>
      </c>
      <c r="P17" s="4">
        <f>(VLOOKUP('20.03'!X17,'20.03'!$AO$4:$AR$55,4,FALSE))</f>
        <v>10</v>
      </c>
      <c r="Q17" s="4">
        <f>(VLOOKUP('20.03'!Y17,'20.03'!$AO$4:$AR$55,4,FALSE))</f>
        <v>0</v>
      </c>
      <c r="R17" s="4">
        <f>(VLOOKUP('20.03'!Z17,'20.03'!$AO$4:$AR$55,4,FALSE))</f>
        <v>0</v>
      </c>
      <c r="S17" s="4">
        <f>(VLOOKUP('20.03'!AA17,'20.03'!$AO$4:$AR$55,4,FALSE))</f>
        <v>0</v>
      </c>
      <c r="T17" s="4">
        <f>(VLOOKUP('20.03'!AB17,'20.03'!$AO$4:$AR$55,4,FALSE))</f>
        <v>0</v>
      </c>
      <c r="U17" s="4">
        <f>(VLOOKUP('20.03'!AC17,'20.03'!$AO$4:$AR$55,4,FALSE))</f>
        <v>0</v>
      </c>
      <c r="V17" s="4">
        <f>(VLOOKUP('20.03'!AD17,'20.03'!$AO$4:$AR$55,4,FALSE))</f>
        <v>0</v>
      </c>
      <c r="W17" s="4">
        <f>(VLOOKUP('20.03'!AE17,'20.03'!$AO$4:$AR$55,4,FALSE))</f>
        <v>0</v>
      </c>
      <c r="X17" s="4">
        <f>(VLOOKUP('20.03'!AF17,'20.03'!$AO$4:$AR$55,4,FALSE))</f>
        <v>0</v>
      </c>
    </row>
    <row r="18" spans="1:24">
      <c r="A18" s="4">
        <f>(VLOOKUP('20.03'!I18,'20.03'!$AO$4:$AR$55,4,FALSE))</f>
        <v>38</v>
      </c>
      <c r="B18" s="4">
        <f>(VLOOKUP('20.03'!J18,'20.03'!$AO$4:$AR$55,4,FALSE))</f>
        <v>38</v>
      </c>
      <c r="C18" s="4">
        <f>(VLOOKUP('20.03'!K18,'20.03'!$AO$4:$AR$55,4,FALSE))</f>
        <v>38</v>
      </c>
      <c r="D18" s="4">
        <f>(VLOOKUP('20.03'!L18,'20.03'!$AO$4:$AR$55,4,FALSE))</f>
        <v>38</v>
      </c>
      <c r="E18" s="4">
        <f>(VLOOKUP('20.03'!M18,'20.03'!$AO$4:$AR$55,4,FALSE))</f>
        <v>38</v>
      </c>
      <c r="F18" s="4">
        <f>(VLOOKUP('20.03'!N18,'20.03'!$AO$4:$AR$55,4,FALSE))</f>
        <v>38</v>
      </c>
      <c r="G18" s="4">
        <f>(VLOOKUP('20.03'!O18,'20.03'!$AO$4:$AR$55,4,FALSE))</f>
        <v>0</v>
      </c>
      <c r="H18" s="4">
        <f>(VLOOKUP('20.03'!P18,'20.03'!$AO$4:$AR$55,4,FALSE))</f>
        <v>0</v>
      </c>
      <c r="I18" s="4">
        <f>(VLOOKUP('20.03'!Q18,'20.03'!$AO$4:$AR$55,4,FALSE))</f>
        <v>0</v>
      </c>
      <c r="J18" s="4">
        <f>(VLOOKUP('20.03'!R18,'20.03'!$AO$4:$AR$55,4,FALSE))</f>
        <v>0</v>
      </c>
      <c r="K18" s="4">
        <f>(VLOOKUP('20.03'!S18,'20.03'!$AO$4:$AR$55,4,FALSE))</f>
        <v>0</v>
      </c>
      <c r="L18" s="4">
        <f>(VLOOKUP('20.03'!T18,'20.03'!$AO$4:$AR$55,4,FALSE))</f>
        <v>0</v>
      </c>
      <c r="M18" s="4">
        <f>(VLOOKUP('20.03'!U18,'20.03'!$AO$4:$AR$55,4,FALSE))</f>
        <v>0</v>
      </c>
      <c r="N18" s="4">
        <f>(VLOOKUP('20.03'!V18,'20.03'!$AO$4:$AR$55,4,FALSE))</f>
        <v>0</v>
      </c>
      <c r="O18" s="4">
        <f>(VLOOKUP('20.03'!W18,'20.03'!$AO$4:$AR$55,4,FALSE))</f>
        <v>0</v>
      </c>
      <c r="P18" s="4">
        <f>(VLOOKUP('20.03'!X18,'20.03'!$AO$4:$AR$55,4,FALSE))</f>
        <v>0</v>
      </c>
      <c r="Q18" s="4">
        <f>(VLOOKUP('20.03'!Y18,'20.03'!$AO$4:$AR$55,4,FALSE))</f>
        <v>0</v>
      </c>
      <c r="R18" s="4">
        <f>(VLOOKUP('20.03'!Z18,'20.03'!$AO$4:$AR$55,4,FALSE))</f>
        <v>0</v>
      </c>
      <c r="S18" s="4">
        <f>(VLOOKUP('20.03'!AA18,'20.03'!$AO$4:$AR$55,4,FALSE))</f>
        <v>0</v>
      </c>
      <c r="T18" s="4">
        <f>(VLOOKUP('20.03'!AB18,'20.03'!$AO$4:$AR$55,4,FALSE))</f>
        <v>0</v>
      </c>
      <c r="U18" s="4">
        <f>(VLOOKUP('20.03'!AC18,'20.03'!$AO$4:$AR$55,4,FALSE))</f>
        <v>0</v>
      </c>
      <c r="V18" s="4">
        <f>(VLOOKUP('20.03'!AD18,'20.03'!$AO$4:$AR$55,4,FALSE))</f>
        <v>0</v>
      </c>
      <c r="W18" s="4">
        <f>(VLOOKUP('20.03'!AE18,'20.03'!$AO$4:$AR$55,4,FALSE))</f>
        <v>0</v>
      </c>
      <c r="X18" s="4">
        <f>(VLOOKUP('20.03'!AF18,'20.03'!$AO$4:$AR$55,4,FALSE))</f>
        <v>0</v>
      </c>
    </row>
    <row r="19" spans="1:24">
      <c r="A19" s="4">
        <f>(VLOOKUP('20.03'!I19,'20.03'!$AO$4:$AR$55,4,FALSE))</f>
        <v>38</v>
      </c>
      <c r="B19" s="4">
        <f>(VLOOKUP('20.03'!J19,'20.03'!$AO$4:$AR$55,4,FALSE))</f>
        <v>38</v>
      </c>
      <c r="C19" s="4">
        <f>(VLOOKUP('20.03'!K19,'20.03'!$AO$4:$AR$55,4,FALSE))</f>
        <v>38</v>
      </c>
      <c r="D19" s="4">
        <f>(VLOOKUP('20.03'!L19,'20.03'!$AO$4:$AR$55,4,FALSE))</f>
        <v>38</v>
      </c>
      <c r="E19" s="4">
        <f>(VLOOKUP('20.03'!M19,'20.03'!$AO$4:$AR$55,4,FALSE))</f>
        <v>38</v>
      </c>
      <c r="F19" s="4">
        <f>(VLOOKUP('20.03'!N19,'20.03'!$AO$4:$AR$55,4,FALSE))</f>
        <v>38</v>
      </c>
      <c r="G19" s="4">
        <f>(VLOOKUP('20.03'!O19,'20.03'!$AO$4:$AR$55,4,FALSE))</f>
        <v>0</v>
      </c>
      <c r="H19" s="4">
        <f>(VLOOKUP('20.03'!P19,'20.03'!$AO$4:$AR$55,4,FALSE))</f>
        <v>0</v>
      </c>
      <c r="I19" s="4">
        <f>(VLOOKUP('20.03'!Q19,'20.03'!$AO$4:$AR$55,4,FALSE))</f>
        <v>0</v>
      </c>
      <c r="J19" s="4">
        <f>(VLOOKUP('20.03'!R19,'20.03'!$AO$4:$AR$55,4,FALSE))</f>
        <v>0</v>
      </c>
      <c r="K19" s="4">
        <f>(VLOOKUP('20.03'!S19,'20.03'!$AO$4:$AR$55,4,FALSE))</f>
        <v>0</v>
      </c>
      <c r="L19" s="4">
        <f>(VLOOKUP('20.03'!T19,'20.03'!$AO$4:$AR$55,4,FALSE))</f>
        <v>0</v>
      </c>
      <c r="M19" s="4">
        <f>(VLOOKUP('20.03'!U19,'20.03'!$AO$4:$AR$55,4,FALSE))</f>
        <v>0</v>
      </c>
      <c r="N19" s="4">
        <f>(VLOOKUP('20.03'!V19,'20.03'!$AO$4:$AR$55,4,FALSE))</f>
        <v>0</v>
      </c>
      <c r="O19" s="4">
        <f>(VLOOKUP('20.03'!W19,'20.03'!$AO$4:$AR$55,4,FALSE))</f>
        <v>0</v>
      </c>
      <c r="P19" s="4">
        <f>(VLOOKUP('20.03'!X19,'20.03'!$AO$4:$AR$55,4,FALSE))</f>
        <v>0</v>
      </c>
      <c r="Q19" s="4">
        <f>(VLOOKUP('20.03'!Y19,'20.03'!$AO$4:$AR$55,4,FALSE))</f>
        <v>34</v>
      </c>
      <c r="R19" s="4">
        <f>(VLOOKUP('20.03'!Z19,'20.03'!$AO$4:$AR$55,4,FALSE))</f>
        <v>36</v>
      </c>
      <c r="S19" s="4">
        <f>(VLOOKUP('20.03'!AA19,'20.03'!$AO$4:$AR$55,4,FALSE))</f>
        <v>34</v>
      </c>
      <c r="T19" s="4">
        <f>(VLOOKUP('20.03'!AB19,'20.03'!$AO$4:$AR$55,4,FALSE))</f>
        <v>34</v>
      </c>
      <c r="U19" s="4">
        <f>(VLOOKUP('20.03'!AC19,'20.03'!$AO$4:$AR$55,4,FALSE))</f>
        <v>34</v>
      </c>
      <c r="V19" s="4">
        <f>(VLOOKUP('20.03'!AD19,'20.03'!$AO$4:$AR$55,4,FALSE))</f>
        <v>34</v>
      </c>
      <c r="W19" s="4">
        <f>(VLOOKUP('20.03'!AE19,'20.03'!$AO$4:$AR$55,4,FALSE))</f>
        <v>34</v>
      </c>
      <c r="X19" s="4">
        <f>(VLOOKUP('20.03'!AF19,'20.03'!$AO$4:$AR$55,4,FALSE))</f>
        <v>0</v>
      </c>
    </row>
    <row r="20" spans="1:24">
      <c r="A20" s="4">
        <f>(VLOOKUP('20.03'!I20,'20.03'!$AO$4:$AR$55,4,FALSE))</f>
        <v>38</v>
      </c>
      <c r="B20" s="4">
        <f>(VLOOKUP('20.03'!J20,'20.03'!$AO$4:$AR$55,4,FALSE))</f>
        <v>38</v>
      </c>
      <c r="C20" s="4">
        <f>(VLOOKUP('20.03'!K20,'20.03'!$AO$4:$AR$55,4,FALSE))</f>
        <v>38</v>
      </c>
      <c r="D20" s="4">
        <f>(VLOOKUP('20.03'!L20,'20.03'!$AO$4:$AR$55,4,FALSE))</f>
        <v>38</v>
      </c>
      <c r="E20" s="4">
        <f>(VLOOKUP('20.03'!M20,'20.03'!$AO$4:$AR$55,4,FALSE))</f>
        <v>38</v>
      </c>
      <c r="F20" s="4">
        <f>(VLOOKUP('20.03'!N20,'20.03'!$AO$4:$AR$55,4,FALSE))</f>
        <v>38</v>
      </c>
      <c r="G20" s="4">
        <f>(VLOOKUP('20.03'!O20,'20.03'!$AO$4:$AR$55,4,FALSE))</f>
        <v>0</v>
      </c>
      <c r="H20" s="4">
        <f>(VLOOKUP('20.03'!P20,'20.03'!$AO$4:$AR$55,4,FALSE))</f>
        <v>0</v>
      </c>
      <c r="I20" s="4">
        <f>(VLOOKUP('20.03'!Q20,'20.03'!$AO$4:$AR$55,4,FALSE))</f>
        <v>0</v>
      </c>
      <c r="J20" s="4">
        <f>(VLOOKUP('20.03'!R20,'20.03'!$AO$4:$AR$55,4,FALSE))</f>
        <v>0</v>
      </c>
      <c r="K20" s="4">
        <f>(VLOOKUP('20.03'!S20,'20.03'!$AO$4:$AR$55,4,FALSE))</f>
        <v>0</v>
      </c>
      <c r="L20" s="4">
        <f>(VLOOKUP('20.03'!T20,'20.03'!$AO$4:$AR$55,4,FALSE))</f>
        <v>0</v>
      </c>
      <c r="M20" s="4">
        <f>(VLOOKUP('20.03'!U20,'20.03'!$AO$4:$AR$55,4,FALSE))</f>
        <v>0</v>
      </c>
      <c r="N20" s="4">
        <f>(VLOOKUP('20.03'!V20,'20.03'!$AO$4:$AR$55,4,FALSE))</f>
        <v>0</v>
      </c>
      <c r="O20" s="4">
        <f>(VLOOKUP('20.03'!W20,'20.03'!$AO$4:$AR$55,4,FALSE))</f>
        <v>0</v>
      </c>
      <c r="P20" s="4">
        <f>(VLOOKUP('20.03'!X20,'20.03'!$AO$4:$AR$55,4,FALSE))</f>
        <v>0</v>
      </c>
      <c r="Q20" s="4">
        <f>(VLOOKUP('20.03'!Y20,'20.03'!$AO$4:$AR$55,4,FALSE))</f>
        <v>34</v>
      </c>
      <c r="R20" s="4">
        <f>(VLOOKUP('20.03'!Z20,'20.03'!$AO$4:$AR$55,4,FALSE))</f>
        <v>34</v>
      </c>
      <c r="S20" s="4">
        <f>(VLOOKUP('20.03'!AA20,'20.03'!$AO$4:$AR$55,4,FALSE))</f>
        <v>34</v>
      </c>
      <c r="T20" s="4">
        <f>(VLOOKUP('20.03'!AB20,'20.03'!$AO$4:$AR$55,4,FALSE))</f>
        <v>34</v>
      </c>
      <c r="U20" s="4">
        <f>(VLOOKUP('20.03'!AC20,'20.03'!$AO$4:$AR$55,4,FALSE))</f>
        <v>10</v>
      </c>
      <c r="V20" s="4">
        <f>(VLOOKUP('20.03'!AD20,'20.03'!$AO$4:$AR$55,4,FALSE))</f>
        <v>36</v>
      </c>
      <c r="W20" s="4">
        <f>(VLOOKUP('20.03'!AE20,'20.03'!$AO$4:$AR$55,4,FALSE))</f>
        <v>36</v>
      </c>
      <c r="X20" s="4">
        <f>(VLOOKUP('20.03'!AF20,'20.03'!$AO$4:$AR$55,4,FALSE))</f>
        <v>36</v>
      </c>
    </row>
    <row r="21" spans="1:24">
      <c r="A21" s="4">
        <f>(VLOOKUP('20.03'!I21,'20.03'!$AO$4:$AR$55,4,FALSE))</f>
        <v>38</v>
      </c>
      <c r="B21" s="4">
        <f>(VLOOKUP('20.03'!J21,'20.03'!$AO$4:$AR$55,4,FALSE))</f>
        <v>10</v>
      </c>
      <c r="C21" s="4">
        <f>(VLOOKUP('20.03'!K21,'20.03'!$AO$4:$AR$55,4,FALSE))</f>
        <v>38</v>
      </c>
      <c r="D21" s="4">
        <f>(VLOOKUP('20.03'!L21,'20.03'!$AO$4:$AR$55,4,FALSE))</f>
        <v>38</v>
      </c>
      <c r="E21" s="4">
        <f>(VLOOKUP('20.03'!M21,'20.03'!$AO$4:$AR$55,4,FALSE))</f>
        <v>38</v>
      </c>
      <c r="F21" s="4">
        <f>(VLOOKUP('20.03'!N21,'20.03'!$AO$4:$AR$55,4,FALSE))</f>
        <v>38</v>
      </c>
      <c r="G21" s="4">
        <f>(VLOOKUP('20.03'!O21,'20.03'!$AO$4:$AR$55,4,FALSE))</f>
        <v>0</v>
      </c>
      <c r="H21" s="4">
        <f>(VLOOKUP('20.03'!P21,'20.03'!$AO$4:$AR$55,4,FALSE))</f>
        <v>0</v>
      </c>
      <c r="I21" s="4">
        <f>(VLOOKUP('20.03'!Q21,'20.03'!$AO$4:$AR$55,4,FALSE))</f>
        <v>0</v>
      </c>
      <c r="J21" s="4">
        <f>(VLOOKUP('20.03'!R21,'20.03'!$AO$4:$AR$55,4,FALSE))</f>
        <v>0</v>
      </c>
      <c r="K21" s="4">
        <f>(VLOOKUP('20.03'!S21,'20.03'!$AO$4:$AR$55,4,FALSE))</f>
        <v>0</v>
      </c>
      <c r="L21" s="4">
        <f>(VLOOKUP('20.03'!T21,'20.03'!$AO$4:$AR$55,4,FALSE))</f>
        <v>0</v>
      </c>
      <c r="M21" s="4">
        <f>(VLOOKUP('20.03'!U21,'20.03'!$AO$4:$AR$55,4,FALSE))</f>
        <v>0</v>
      </c>
      <c r="N21" s="4">
        <f>(VLOOKUP('20.03'!V21,'20.03'!$AO$4:$AR$55,4,FALSE))</f>
        <v>0</v>
      </c>
      <c r="O21" s="4">
        <f>(VLOOKUP('20.03'!W21,'20.03'!$AO$4:$AR$55,4,FALSE))</f>
        <v>0</v>
      </c>
      <c r="P21" s="4">
        <f>(VLOOKUP('20.03'!X21,'20.03'!$AO$4:$AR$55,4,FALSE))</f>
        <v>0</v>
      </c>
      <c r="Q21" s="4">
        <f>(VLOOKUP('20.03'!Y21,'20.03'!$AO$4:$AR$55,4,FALSE))</f>
        <v>36</v>
      </c>
      <c r="R21" s="4">
        <f>(VLOOKUP('20.03'!Z21,'20.03'!$AO$4:$AR$55,4,FALSE))</f>
        <v>36</v>
      </c>
      <c r="S21" s="4">
        <f>(VLOOKUP('20.03'!AA21,'20.03'!$AO$4:$AR$55,4,FALSE))</f>
        <v>36</v>
      </c>
      <c r="T21" s="4">
        <f>(VLOOKUP('20.03'!AB21,'20.03'!$AO$4:$AR$55,4,FALSE))</f>
        <v>36</v>
      </c>
      <c r="U21" s="4">
        <f>(VLOOKUP('20.03'!AC21,'20.03'!$AO$4:$AR$55,4,FALSE))</f>
        <v>36</v>
      </c>
      <c r="V21" s="4">
        <f>(VLOOKUP('20.03'!AD21,'20.03'!$AO$4:$AR$55,4,FALSE))</f>
        <v>29.110982162825422</v>
      </c>
      <c r="W21" s="4">
        <f>(VLOOKUP('20.03'!AE21,'20.03'!$AO$4:$AR$55,4,FALSE))</f>
        <v>0</v>
      </c>
      <c r="X21" s="4">
        <f>(VLOOKUP('20.03'!AF21,'20.03'!$AO$4:$AR$55,4,FALSE))</f>
        <v>0</v>
      </c>
    </row>
    <row r="22" spans="1:24">
      <c r="A22" s="4">
        <f>(VLOOKUP('20.03'!I22,'20.03'!$AO$4:$AR$55,4,FALSE))</f>
        <v>38</v>
      </c>
      <c r="B22" s="4">
        <f>(VLOOKUP('20.03'!J22,'20.03'!$AO$4:$AR$55,4,FALSE))</f>
        <v>38</v>
      </c>
      <c r="C22" s="4">
        <f>(VLOOKUP('20.03'!K22,'20.03'!$AO$4:$AR$55,4,FALSE))</f>
        <v>38</v>
      </c>
      <c r="D22" s="4">
        <f>(VLOOKUP('20.03'!L22,'20.03'!$AO$4:$AR$55,4,FALSE))</f>
        <v>38</v>
      </c>
      <c r="E22" s="4">
        <f>(VLOOKUP('20.03'!M22,'20.03'!$AO$4:$AR$55,4,FALSE))</f>
        <v>38</v>
      </c>
      <c r="F22" s="4">
        <f>(VLOOKUP('20.03'!N22,'20.03'!$AO$4:$AR$55,4,FALSE))</f>
        <v>38</v>
      </c>
      <c r="G22" s="4">
        <f>(VLOOKUP('20.03'!O22,'20.03'!$AO$4:$AR$55,4,FALSE))</f>
        <v>0</v>
      </c>
      <c r="H22" s="4">
        <f>(VLOOKUP('20.03'!P22,'20.03'!$AO$4:$AR$55,4,FALSE))</f>
        <v>0</v>
      </c>
      <c r="I22" s="4">
        <f>(VLOOKUP('20.03'!Q22,'20.03'!$AO$4:$AR$55,4,FALSE))</f>
        <v>0</v>
      </c>
      <c r="J22" s="4">
        <f>(VLOOKUP('20.03'!R22,'20.03'!$AO$4:$AR$55,4,FALSE))</f>
        <v>0</v>
      </c>
      <c r="K22" s="4">
        <f>(VLOOKUP('20.03'!S22,'20.03'!$AO$4:$AR$55,4,FALSE))</f>
        <v>0</v>
      </c>
      <c r="L22" s="4">
        <f>(VLOOKUP('20.03'!T22,'20.03'!$AO$4:$AR$55,4,FALSE))</f>
        <v>0</v>
      </c>
      <c r="M22" s="4">
        <f>(VLOOKUP('20.03'!U22,'20.03'!$AO$4:$AR$55,4,FALSE))</f>
        <v>0</v>
      </c>
      <c r="N22" s="4">
        <f>(VLOOKUP('20.03'!V22,'20.03'!$AO$4:$AR$55,4,FALSE))</f>
        <v>0</v>
      </c>
      <c r="O22" s="4">
        <f>(VLOOKUP('20.03'!W22,'20.03'!$AO$4:$AR$55,4,FALSE))</f>
        <v>0</v>
      </c>
      <c r="P22" s="4">
        <f>(VLOOKUP('20.03'!X22,'20.03'!$AO$4:$AR$55,4,FALSE))</f>
        <v>0</v>
      </c>
      <c r="Q22" s="4">
        <f>(VLOOKUP('20.03'!Y22,'20.03'!$AO$4:$AR$55,4,FALSE))</f>
        <v>36</v>
      </c>
      <c r="R22" s="4">
        <f>(VLOOKUP('20.03'!Z22,'20.03'!$AO$4:$AR$55,4,FALSE))</f>
        <v>36</v>
      </c>
      <c r="S22" s="4">
        <f>(VLOOKUP('20.03'!AA22,'20.03'!$AO$4:$AR$55,4,FALSE))</f>
        <v>36</v>
      </c>
      <c r="T22" s="4">
        <f>(VLOOKUP('20.03'!AB22,'20.03'!$AO$4:$AR$55,4,FALSE))</f>
        <v>10</v>
      </c>
      <c r="U22" s="4">
        <f>(VLOOKUP('20.03'!AC22,'20.03'!$AO$4:$AR$55,4,FALSE))</f>
        <v>36</v>
      </c>
      <c r="V22" s="4">
        <f>(VLOOKUP('20.03'!AD22,'20.03'!$AO$4:$AR$55,4,FALSE))</f>
        <v>36</v>
      </c>
      <c r="W22" s="4">
        <f>(VLOOKUP('20.03'!AE22,'20.03'!$AO$4:$AR$55,4,FALSE))</f>
        <v>0</v>
      </c>
      <c r="X22" s="4">
        <f>(VLOOKUP('20.03'!AF22,'20.03'!$AO$4:$AR$55,4,FALSE))</f>
        <v>0</v>
      </c>
    </row>
    <row r="23" spans="1:24">
      <c r="A23" s="4">
        <f>(VLOOKUP('20.03'!I23,'20.03'!$AO$4:$AR$55,4,FALSE))</f>
        <v>38</v>
      </c>
      <c r="B23" s="4">
        <f>(VLOOKUP('20.03'!J23,'20.03'!$AO$4:$AR$55,4,FALSE))</f>
        <v>38</v>
      </c>
      <c r="C23" s="4">
        <f>(VLOOKUP('20.03'!K23,'20.03'!$AO$4:$AR$55,4,FALSE))</f>
        <v>38</v>
      </c>
      <c r="D23" s="4">
        <f>(VLOOKUP('20.03'!L23,'20.03'!$AO$4:$AR$55,4,FALSE))</f>
        <v>38</v>
      </c>
      <c r="E23" s="4">
        <f>(VLOOKUP('20.03'!M23,'20.03'!$AO$4:$AR$55,4,FALSE))</f>
        <v>0</v>
      </c>
      <c r="F23" s="4">
        <f>(VLOOKUP('20.03'!N23,'20.03'!$AO$4:$AR$55,4,FALSE))</f>
        <v>0</v>
      </c>
      <c r="G23" s="4">
        <f>(VLOOKUP('20.03'!O23,'20.03'!$AO$4:$AR$55,4,FALSE))</f>
        <v>0</v>
      </c>
      <c r="H23" s="4">
        <f>(VLOOKUP('20.03'!P23,'20.03'!$AO$4:$AR$55,4,FALSE))</f>
        <v>0</v>
      </c>
      <c r="I23" s="4">
        <f>(VLOOKUP('20.03'!Q23,'20.03'!$AO$4:$AR$55,4,FALSE))</f>
        <v>0</v>
      </c>
      <c r="J23" s="4">
        <f>(VLOOKUP('20.03'!R23,'20.03'!$AO$4:$AR$55,4,FALSE))</f>
        <v>0</v>
      </c>
      <c r="K23" s="4">
        <f>(VLOOKUP('20.03'!S23,'20.03'!$AO$4:$AR$55,4,FALSE))</f>
        <v>0</v>
      </c>
      <c r="L23" s="4">
        <f>(VLOOKUP('20.03'!T23,'20.03'!$AO$4:$AR$55,4,FALSE))</f>
        <v>0</v>
      </c>
      <c r="M23" s="4">
        <f>(VLOOKUP('20.03'!U23,'20.03'!$AO$4:$AR$55,4,FALSE))</f>
        <v>0</v>
      </c>
      <c r="N23" s="4">
        <f>(VLOOKUP('20.03'!V23,'20.03'!$AO$4:$AR$55,4,FALSE))</f>
        <v>0</v>
      </c>
      <c r="O23" s="4">
        <f>(VLOOKUP('20.03'!W23,'20.03'!$AO$4:$AR$55,4,FALSE))</f>
        <v>0</v>
      </c>
      <c r="P23" s="4">
        <f>(VLOOKUP('20.03'!X23,'20.03'!$AO$4:$AR$55,4,FALSE))</f>
        <v>0</v>
      </c>
      <c r="Q23" s="4">
        <f>(VLOOKUP('20.03'!Y23,'20.03'!$AO$4:$AR$55,4,FALSE))</f>
        <v>36</v>
      </c>
      <c r="R23" s="4">
        <f>(VLOOKUP('20.03'!Z23,'20.03'!$AO$4:$AR$55,4,FALSE))</f>
        <v>36</v>
      </c>
      <c r="S23" s="4">
        <f>(VLOOKUP('20.03'!AA23,'20.03'!$AO$4:$AR$55,4,FALSE))</f>
        <v>36</v>
      </c>
      <c r="T23" s="4">
        <f>(VLOOKUP('20.03'!AB23,'20.03'!$AO$4:$AR$55,4,FALSE))</f>
        <v>36</v>
      </c>
      <c r="U23" s="4">
        <f>(VLOOKUP('20.03'!AC23,'20.03'!$AO$4:$AR$55,4,FALSE))</f>
        <v>0</v>
      </c>
      <c r="V23" s="4">
        <f>(VLOOKUP('20.03'!AD23,'20.03'!$AO$4:$AR$55,4,FALSE))</f>
        <v>0</v>
      </c>
      <c r="W23" s="4">
        <f>(VLOOKUP('20.03'!AE23,'20.03'!$AO$4:$AR$55,4,FALSE))</f>
        <v>0</v>
      </c>
      <c r="X23" s="4">
        <f>(VLOOKUP('20.03'!AF23,'20.03'!$AO$4:$AR$55,4,FALSE))</f>
        <v>0</v>
      </c>
    </row>
    <row r="24" spans="1:24">
      <c r="A24" s="4">
        <f>(VLOOKUP('20.03'!I24,'20.03'!$AO$4:$AR$55,4,FALSE))</f>
        <v>0</v>
      </c>
      <c r="B24" s="4">
        <f>(VLOOKUP('20.03'!J24,'20.03'!$AO$4:$AR$55,4,FALSE))</f>
        <v>0</v>
      </c>
      <c r="C24" s="4">
        <f>(VLOOKUP('20.03'!K24,'20.03'!$AO$4:$AR$55,4,FALSE))</f>
        <v>0</v>
      </c>
      <c r="D24" s="4">
        <f>(VLOOKUP('20.03'!L24,'20.03'!$AO$4:$AR$55,4,FALSE))</f>
        <v>0</v>
      </c>
      <c r="E24" s="4">
        <f>(VLOOKUP('20.03'!M24,'20.03'!$AO$4:$AR$55,4,FALSE))</f>
        <v>10</v>
      </c>
      <c r="F24" s="4">
        <f>(VLOOKUP('20.03'!N24,'20.03'!$AO$4:$AR$55,4,FALSE))</f>
        <v>0</v>
      </c>
      <c r="G24" s="4">
        <f>(VLOOKUP('20.03'!O24,'20.03'!$AO$4:$AR$55,4,FALSE))</f>
        <v>0</v>
      </c>
      <c r="H24" s="4">
        <f>(VLOOKUP('20.03'!P24,'20.03'!$AO$4:$AR$55,4,FALSE))</f>
        <v>0</v>
      </c>
      <c r="I24" s="4">
        <f>(VLOOKUP('20.03'!Q24,'20.03'!$AO$4:$AR$55,4,FALSE))</f>
        <v>0</v>
      </c>
      <c r="J24" s="4">
        <f>(VLOOKUP('20.03'!R24,'20.03'!$AO$4:$AR$55,4,FALSE))</f>
        <v>0</v>
      </c>
      <c r="K24" s="4">
        <f>(VLOOKUP('20.03'!S24,'20.03'!$AO$4:$AR$55,4,FALSE))</f>
        <v>0</v>
      </c>
      <c r="L24" s="4">
        <f>(VLOOKUP('20.03'!T24,'20.03'!$AO$4:$AR$55,4,FALSE))</f>
        <v>0</v>
      </c>
      <c r="M24" s="4">
        <f>(VLOOKUP('20.03'!U24,'20.03'!$AO$4:$AR$55,4,FALSE))</f>
        <v>0</v>
      </c>
      <c r="N24" s="4">
        <f>(VLOOKUP('20.03'!V24,'20.03'!$AO$4:$AR$55,4,FALSE))</f>
        <v>0</v>
      </c>
      <c r="O24" s="4">
        <f>(VLOOKUP('20.03'!W24,'20.03'!$AO$4:$AR$55,4,FALSE))</f>
        <v>0</v>
      </c>
      <c r="P24" s="4">
        <f>(VLOOKUP('20.03'!X24,'20.03'!$AO$4:$AR$55,4,FALSE))</f>
        <v>0</v>
      </c>
      <c r="Q24" s="4">
        <f>(VLOOKUP('20.03'!Y24,'20.03'!$AO$4:$AR$55,4,FALSE))</f>
        <v>0</v>
      </c>
      <c r="R24" s="4">
        <f>(VLOOKUP('20.03'!Z24,'20.03'!$AO$4:$AR$55,4,FALSE))</f>
        <v>0</v>
      </c>
      <c r="S24" s="4">
        <f>(VLOOKUP('20.03'!AA24,'20.03'!$AO$4:$AR$55,4,FALSE))</f>
        <v>0</v>
      </c>
      <c r="T24" s="4">
        <f>(VLOOKUP('20.03'!AB24,'20.03'!$AO$4:$AR$55,4,FALSE))</f>
        <v>0</v>
      </c>
      <c r="U24" s="4">
        <f>(VLOOKUP('20.03'!AC24,'20.03'!$AO$4:$AR$55,4,FALSE))</f>
        <v>10</v>
      </c>
      <c r="V24" s="4">
        <f>(VLOOKUP('20.03'!AD24,'20.03'!$AO$4:$AR$55,4,FALSE))</f>
        <v>0</v>
      </c>
      <c r="W24" s="4">
        <f>(VLOOKUP('20.03'!AE24,'20.03'!$AO$4:$AR$55,4,FALSE))</f>
        <v>0</v>
      </c>
      <c r="X24" s="4">
        <f>(VLOOKUP('20.03'!AF24,'20.03'!$AO$4:$AR$55,4,FALSE))</f>
        <v>0</v>
      </c>
    </row>
    <row r="25" spans="1:24">
      <c r="A25" s="4">
        <f>(VLOOKUP('20.03'!I25,'20.03'!$AO$4:$AR$55,4,FALSE))</f>
        <v>0</v>
      </c>
      <c r="B25" s="4">
        <f>(VLOOKUP('20.03'!J25,'20.03'!$AO$4:$AR$55,4,FALSE))</f>
        <v>0</v>
      </c>
      <c r="C25" s="4">
        <f>(VLOOKUP('20.03'!K25,'20.03'!$AO$4:$AR$55,4,FALSE))</f>
        <v>0</v>
      </c>
      <c r="D25" s="4">
        <f>(VLOOKUP('20.03'!L25,'20.03'!$AO$4:$AR$55,4,FALSE))</f>
        <v>0</v>
      </c>
      <c r="E25" s="4">
        <f>(VLOOKUP('20.03'!M25,'20.03'!$AO$4:$AR$55,4,FALSE))</f>
        <v>0</v>
      </c>
      <c r="F25" s="4">
        <f>(VLOOKUP('20.03'!N25,'20.03'!$AO$4:$AR$55,4,FALSE))</f>
        <v>0</v>
      </c>
      <c r="G25" s="4">
        <f>(VLOOKUP('20.03'!O25,'20.03'!$AO$4:$AR$55,4,FALSE))</f>
        <v>0</v>
      </c>
      <c r="H25" s="4">
        <f>(VLOOKUP('20.03'!P25,'20.03'!$AO$4:$AR$55,4,FALSE))</f>
        <v>0</v>
      </c>
      <c r="I25" s="4">
        <f>(VLOOKUP('20.03'!Q25,'20.03'!$AO$4:$AR$55,4,FALSE))</f>
        <v>0</v>
      </c>
      <c r="J25" s="4">
        <f>(VLOOKUP('20.03'!R25,'20.03'!$AO$4:$AR$55,4,FALSE))</f>
        <v>0</v>
      </c>
      <c r="K25" s="4">
        <f>(VLOOKUP('20.03'!S25,'20.03'!$AO$4:$AR$55,4,FALSE))</f>
        <v>0</v>
      </c>
      <c r="L25" s="4">
        <f>(VLOOKUP('20.03'!T25,'20.03'!$AO$4:$AR$55,4,FALSE))</f>
        <v>0</v>
      </c>
      <c r="M25" s="4">
        <f>(VLOOKUP('20.03'!U25,'20.03'!$AO$4:$AR$55,4,FALSE))</f>
        <v>0</v>
      </c>
      <c r="N25" s="4">
        <f>(VLOOKUP('20.03'!V25,'20.03'!$AO$4:$AR$55,4,FALSE))</f>
        <v>0</v>
      </c>
      <c r="O25" s="4">
        <f>(VLOOKUP('20.03'!W25,'20.03'!$AO$4:$AR$55,4,FALSE))</f>
        <v>0</v>
      </c>
      <c r="P25" s="4">
        <f>(VLOOKUP('20.03'!X25,'20.03'!$AO$4:$AR$55,4,FALSE))</f>
        <v>0</v>
      </c>
      <c r="Q25" s="4">
        <f>(VLOOKUP('20.03'!Y25,'20.03'!$AO$4:$AR$55,4,FALSE))</f>
        <v>0</v>
      </c>
      <c r="R25" s="4">
        <f>(VLOOKUP('20.03'!Z25,'20.03'!$AO$4:$AR$55,4,FALSE))</f>
        <v>0</v>
      </c>
      <c r="S25" s="4">
        <f>(VLOOKUP('20.03'!AA25,'20.03'!$AO$4:$AR$55,4,FALSE))</f>
        <v>0</v>
      </c>
      <c r="T25" s="4">
        <f>(VLOOKUP('20.03'!AB25,'20.03'!$AO$4:$AR$55,4,FALSE))</f>
        <v>0</v>
      </c>
      <c r="U25" s="4">
        <f>(VLOOKUP('20.03'!AC25,'20.03'!$AO$4:$AR$55,4,FALSE))</f>
        <v>0</v>
      </c>
      <c r="V25" s="4">
        <f>(VLOOKUP('20.03'!AD25,'20.03'!$AO$4:$AR$55,4,FALSE))</f>
        <v>0</v>
      </c>
      <c r="W25" s="4">
        <f>(VLOOKUP('20.03'!AE25,'20.03'!$AO$4:$AR$55,4,FALSE))</f>
        <v>0</v>
      </c>
      <c r="X25" s="4">
        <f>(VLOOKUP('20.03'!AF25,'20.03'!$AO$4:$AR$55,4,FALSE))</f>
        <v>0</v>
      </c>
    </row>
    <row r="26" spans="1:24">
      <c r="A26" s="4">
        <f>(VLOOKUP('20.03'!I26,'20.03'!$AO$4:$AR$55,4,FALSE))</f>
        <v>0</v>
      </c>
      <c r="B26" s="4">
        <f>(VLOOKUP('20.03'!J26,'20.03'!$AO$4:$AR$55,4,FALSE))</f>
        <v>0</v>
      </c>
      <c r="C26" s="4">
        <f>(VLOOKUP('20.03'!K26,'20.03'!$AO$4:$AR$55,4,FALSE))</f>
        <v>0</v>
      </c>
      <c r="D26" s="4">
        <f>(VLOOKUP('20.03'!L26,'20.03'!$AO$4:$AR$55,4,FALSE))</f>
        <v>0</v>
      </c>
      <c r="E26" s="4">
        <f>(VLOOKUP('20.03'!M26,'20.03'!$AO$4:$AR$55,4,FALSE))</f>
        <v>0</v>
      </c>
      <c r="F26" s="4">
        <f>(VLOOKUP('20.03'!N26,'20.03'!$AO$4:$AR$55,4,FALSE))</f>
        <v>0</v>
      </c>
      <c r="G26" s="4">
        <f>(VLOOKUP('20.03'!O26,'20.03'!$AO$4:$AR$55,4,FALSE))</f>
        <v>0</v>
      </c>
      <c r="H26" s="4">
        <f>(VLOOKUP('20.03'!P26,'20.03'!$AO$4:$AR$55,4,FALSE))</f>
        <v>0</v>
      </c>
      <c r="I26" s="4">
        <f>(VLOOKUP('20.03'!Q26,'20.03'!$AO$4:$AR$55,4,FALSE))</f>
        <v>29.110982162825422</v>
      </c>
      <c r="J26" s="4">
        <f>(VLOOKUP('20.03'!R26,'20.03'!$AO$4:$AR$55,4,FALSE))</f>
        <v>0</v>
      </c>
      <c r="K26" s="4">
        <f>(VLOOKUP('20.03'!S26,'20.03'!$AO$4:$AR$55,4,FALSE))</f>
        <v>0</v>
      </c>
      <c r="L26" s="4">
        <f>(VLOOKUP('20.03'!T26,'20.03'!$AO$4:$AR$55,4,FALSE))</f>
        <v>0</v>
      </c>
      <c r="M26" s="4">
        <f>(VLOOKUP('20.03'!U26,'20.03'!$AO$4:$AR$55,4,FALSE))</f>
        <v>0</v>
      </c>
      <c r="N26" s="4">
        <f>(VLOOKUP('20.03'!V26,'20.03'!$AO$4:$AR$55,4,FALSE))</f>
        <v>0</v>
      </c>
      <c r="O26" s="4">
        <f>(VLOOKUP('20.03'!W26,'20.03'!$AO$4:$AR$55,4,FALSE))</f>
        <v>0</v>
      </c>
      <c r="P26" s="4">
        <f>(VLOOKUP('20.03'!X26,'20.03'!$AO$4:$AR$55,4,FALSE))</f>
        <v>0</v>
      </c>
      <c r="Q26" s="4">
        <f>(VLOOKUP('20.03'!Y26,'20.03'!$AO$4:$AR$55,4,FALSE))</f>
        <v>29.110982162825422</v>
      </c>
      <c r="R26" s="4">
        <f>(VLOOKUP('20.03'!Z26,'20.03'!$AO$4:$AR$55,4,FALSE))</f>
        <v>0</v>
      </c>
      <c r="S26" s="4">
        <f>(VLOOKUP('20.03'!AA26,'20.03'!$AO$4:$AR$55,4,FALSE))</f>
        <v>0</v>
      </c>
      <c r="T26" s="4">
        <f>(VLOOKUP('20.03'!AB26,'20.03'!$AO$4:$AR$55,4,FALSE))</f>
        <v>0</v>
      </c>
      <c r="U26" s="4">
        <f>(VLOOKUP('20.03'!AC26,'20.03'!$AO$4:$AR$55,4,FALSE))</f>
        <v>0</v>
      </c>
      <c r="V26" s="4">
        <f>(VLOOKUP('20.03'!AD26,'20.03'!$AO$4:$AR$55,4,FALSE))</f>
        <v>0</v>
      </c>
      <c r="W26" s="4">
        <f>(VLOOKUP('20.03'!AE26,'20.03'!$AO$4:$AR$55,4,FALSE))</f>
        <v>0</v>
      </c>
      <c r="X26" s="4">
        <f>(VLOOKUP('20.03'!AF26,'20.03'!$AO$4:$AR$55,4,FALSE))</f>
        <v>0</v>
      </c>
    </row>
    <row r="27" spans="1:24">
      <c r="A27" s="4">
        <f>(VLOOKUP('20.03'!I27,'20.03'!$AO$4:$AR$55,4,FALSE))</f>
        <v>0</v>
      </c>
      <c r="B27" s="4">
        <f>(VLOOKUP('20.03'!J27,'20.03'!$AO$4:$AR$55,4,FALSE))</f>
        <v>39.110982162825422</v>
      </c>
      <c r="C27" s="4">
        <f>(VLOOKUP('20.03'!K27,'20.03'!$AO$4:$AR$55,4,FALSE))</f>
        <v>10</v>
      </c>
      <c r="D27" s="4">
        <f>(VLOOKUP('20.03'!L27,'20.03'!$AO$4:$AR$55,4,FALSE))</f>
        <v>39.110982162825422</v>
      </c>
      <c r="E27" s="4">
        <f>(VLOOKUP('20.03'!M27,'20.03'!$AO$4:$AR$55,4,FALSE))</f>
        <v>39.110982162825422</v>
      </c>
      <c r="F27" s="4">
        <f>(VLOOKUP('20.03'!N27,'20.03'!$AO$4:$AR$55,4,FALSE))</f>
        <v>0</v>
      </c>
      <c r="G27" s="4">
        <f>(VLOOKUP('20.03'!O27,'20.03'!$AO$4:$AR$55,4,FALSE))</f>
        <v>0</v>
      </c>
      <c r="H27" s="4">
        <f>(VLOOKUP('20.03'!P27,'20.03'!$AO$4:$AR$55,4,FALSE))</f>
        <v>0</v>
      </c>
      <c r="I27" s="4">
        <f>(VLOOKUP('20.03'!Q27,'20.03'!$AO$4:$AR$55,4,FALSE))</f>
        <v>10</v>
      </c>
      <c r="J27" s="4">
        <f>(VLOOKUP('20.03'!R27,'20.03'!$AO$4:$AR$55,4,FALSE))</f>
        <v>39.110982162825422</v>
      </c>
      <c r="K27" s="4">
        <f>(VLOOKUP('20.03'!S27,'20.03'!$AO$4:$AR$55,4,FALSE))</f>
        <v>29.110982162825422</v>
      </c>
      <c r="L27" s="4">
        <f>(VLOOKUP('20.03'!T27,'20.03'!$AO$4:$AR$55,4,FALSE))</f>
        <v>39.110982162825422</v>
      </c>
      <c r="M27" s="4">
        <f>(VLOOKUP('20.03'!U27,'20.03'!$AO$4:$AR$55,4,FALSE))</f>
        <v>10</v>
      </c>
      <c r="N27" s="4">
        <f>(VLOOKUP('20.03'!V27,'20.03'!$AO$4:$AR$55,4,FALSE))</f>
        <v>39.110982162825422</v>
      </c>
      <c r="O27" s="4">
        <f>(VLOOKUP('20.03'!W27,'20.03'!$AO$4:$AR$55,4,FALSE))</f>
        <v>0</v>
      </c>
      <c r="P27" s="4">
        <f>(VLOOKUP('20.03'!X27,'20.03'!$AO$4:$AR$55,4,FALSE))</f>
        <v>10</v>
      </c>
      <c r="Q27" s="4">
        <f>(VLOOKUP('20.03'!Y27,'20.03'!$AO$4:$AR$55,4,FALSE))</f>
        <v>39.110982162825422</v>
      </c>
      <c r="R27" s="4">
        <f>(VLOOKUP('20.03'!Z27,'20.03'!$AO$4:$AR$55,4,FALSE))</f>
        <v>29.110982162825422</v>
      </c>
      <c r="S27" s="4">
        <f>(VLOOKUP('20.03'!AA27,'20.03'!$AO$4:$AR$55,4,FALSE))</f>
        <v>0</v>
      </c>
      <c r="T27" s="4">
        <f>(VLOOKUP('20.03'!AB27,'20.03'!$AO$4:$AR$55,4,FALSE))</f>
        <v>0</v>
      </c>
      <c r="U27" s="4">
        <f>(VLOOKUP('20.03'!AC27,'20.03'!$AO$4:$AR$55,4,FALSE))</f>
        <v>0</v>
      </c>
      <c r="V27" s="4">
        <f>(VLOOKUP('20.03'!AD27,'20.03'!$AO$4:$AR$55,4,FALSE))</f>
        <v>0</v>
      </c>
      <c r="W27" s="4">
        <f>(VLOOKUP('20.03'!AE27,'20.03'!$AO$4:$AR$55,4,FALSE))</f>
        <v>0</v>
      </c>
      <c r="X27" s="4">
        <f>(VLOOKUP('20.03'!AF27,'20.03'!$AO$4:$AR$55,4,FALSE))</f>
        <v>0</v>
      </c>
    </row>
    <row r="28" spans="1:24">
      <c r="A28" s="4">
        <f>(VLOOKUP('20.03'!I28,'20.03'!$AO$4:$AR$55,4,FALSE))</f>
        <v>29.110982162825422</v>
      </c>
      <c r="B28" s="4">
        <f>(VLOOKUP('20.03'!J28,'20.03'!$AO$4:$AR$55,4,FALSE))</f>
        <v>0</v>
      </c>
      <c r="C28" s="4">
        <f>(VLOOKUP('20.03'!K28,'20.03'!$AO$4:$AR$55,4,FALSE))</f>
        <v>0</v>
      </c>
      <c r="D28" s="4">
        <f>(VLOOKUP('20.03'!L28,'20.03'!$AO$4:$AR$55,4,FALSE))</f>
        <v>0</v>
      </c>
      <c r="E28" s="4">
        <f>(VLOOKUP('20.03'!M28,'20.03'!$AO$4:$AR$55,4,FALSE))</f>
        <v>0</v>
      </c>
      <c r="F28" s="4">
        <f>(VLOOKUP('20.03'!N28,'20.03'!$AO$4:$AR$55,4,FALSE))</f>
        <v>0</v>
      </c>
      <c r="G28" s="4">
        <f>(VLOOKUP('20.03'!O28,'20.03'!$AO$4:$AR$55,4,FALSE))</f>
        <v>0</v>
      </c>
      <c r="H28" s="4">
        <f>(VLOOKUP('20.03'!P28,'20.03'!$AO$4:$AR$55,4,FALSE))</f>
        <v>0</v>
      </c>
      <c r="I28" s="4">
        <f>(VLOOKUP('20.03'!Q28,'20.03'!$AO$4:$AR$55,4,FALSE))</f>
        <v>29.110982162825422</v>
      </c>
      <c r="J28" s="4">
        <f>(VLOOKUP('20.03'!R28,'20.03'!$AO$4:$AR$55,4,FALSE))</f>
        <v>39.110982162825422</v>
      </c>
      <c r="K28" s="4">
        <f>(VLOOKUP('20.03'!S28,'20.03'!$AO$4:$AR$55,4,FALSE))</f>
        <v>39.110982162825422</v>
      </c>
      <c r="L28" s="4">
        <f>(VLOOKUP('20.03'!T28,'20.03'!$AO$4:$AR$55,4,FALSE))</f>
        <v>10</v>
      </c>
      <c r="M28" s="4">
        <f>(VLOOKUP('20.03'!U28,'20.03'!$AO$4:$AR$55,4,FALSE))</f>
        <v>39.110982162825422</v>
      </c>
      <c r="N28" s="4">
        <f>(VLOOKUP('20.03'!V28,'20.03'!$AO$4:$AR$55,4,FALSE))</f>
        <v>39.110982162825422</v>
      </c>
      <c r="O28" s="4">
        <f>(VLOOKUP('20.03'!W28,'20.03'!$AO$4:$AR$55,4,FALSE))</f>
        <v>0</v>
      </c>
      <c r="P28" s="4">
        <f>(VLOOKUP('20.03'!X28,'20.03'!$AO$4:$AR$55,4,FALSE))</f>
        <v>0</v>
      </c>
      <c r="Q28" s="4">
        <f>(VLOOKUP('20.03'!Y28,'20.03'!$AO$4:$AR$55,4,FALSE))</f>
        <v>0</v>
      </c>
      <c r="R28" s="4">
        <f>(VLOOKUP('20.03'!Z28,'20.03'!$AO$4:$AR$55,4,FALSE))</f>
        <v>0</v>
      </c>
      <c r="S28" s="4">
        <f>(VLOOKUP('20.03'!AA28,'20.03'!$AO$4:$AR$55,4,FALSE))</f>
        <v>0</v>
      </c>
      <c r="T28" s="4">
        <f>(VLOOKUP('20.03'!AB28,'20.03'!$AO$4:$AR$55,4,FALSE))</f>
        <v>0</v>
      </c>
      <c r="U28" s="4">
        <f>(VLOOKUP('20.03'!AC28,'20.03'!$AO$4:$AR$55,4,FALSE))</f>
        <v>0</v>
      </c>
      <c r="V28" s="4">
        <f>(VLOOKUP('20.03'!AD28,'20.03'!$AO$4:$AR$55,4,FALSE))</f>
        <v>0</v>
      </c>
      <c r="W28" s="4">
        <f>(VLOOKUP('20.03'!AE28,'20.03'!$AO$4:$AR$55,4,FALSE))</f>
        <v>0</v>
      </c>
      <c r="X28" s="4">
        <f>(VLOOKUP('20.03'!AF28,'20.03'!$AO$4:$AR$55,4,FALSE))</f>
        <v>0</v>
      </c>
    </row>
    <row r="29" spans="1:24">
      <c r="A29" s="4">
        <f>(VLOOKUP('20.03'!I29,'20.03'!$AO$4:$AR$55,4,FALSE))</f>
        <v>0</v>
      </c>
      <c r="B29" s="4">
        <f>(VLOOKUP('20.03'!J29,'20.03'!$AO$4:$AR$55,4,FALSE))</f>
        <v>0</v>
      </c>
      <c r="C29" s="4">
        <f>(VLOOKUP('20.03'!K29,'20.03'!$AO$4:$AR$55,4,FALSE))</f>
        <v>0</v>
      </c>
      <c r="D29" s="4">
        <f>(VLOOKUP('20.03'!L29,'20.03'!$AO$4:$AR$55,4,FALSE))</f>
        <v>0</v>
      </c>
      <c r="E29" s="4">
        <f>(VLOOKUP('20.03'!M29,'20.03'!$AO$4:$AR$55,4,FALSE))</f>
        <v>0</v>
      </c>
      <c r="F29" s="4">
        <f>(VLOOKUP('20.03'!N29,'20.03'!$AO$4:$AR$55,4,FALSE))</f>
        <v>0</v>
      </c>
      <c r="G29" s="4">
        <f>(VLOOKUP('20.03'!O29,'20.03'!$AO$4:$AR$55,4,FALSE))</f>
        <v>0</v>
      </c>
      <c r="H29" s="4">
        <f>(VLOOKUP('20.03'!P29,'20.03'!$AO$4:$AR$55,4,FALSE))</f>
        <v>0</v>
      </c>
      <c r="I29" s="4">
        <f>(VLOOKUP('20.03'!Q29,'20.03'!$AO$4:$AR$55,4,FALSE))</f>
        <v>39.110982162825422</v>
      </c>
      <c r="J29" s="4">
        <f>(VLOOKUP('20.03'!R29,'20.03'!$AO$4:$AR$55,4,FALSE))</f>
        <v>10</v>
      </c>
      <c r="K29" s="4">
        <f>(VLOOKUP('20.03'!S29,'20.03'!$AO$4:$AR$55,4,FALSE))</f>
        <v>39.110982162825422</v>
      </c>
      <c r="L29" s="4">
        <f>(VLOOKUP('20.03'!T29,'20.03'!$AO$4:$AR$55,4,FALSE))</f>
        <v>39.110982162825422</v>
      </c>
      <c r="M29" s="4">
        <f>(VLOOKUP('20.03'!U29,'20.03'!$AO$4:$AR$55,4,FALSE))</f>
        <v>0</v>
      </c>
      <c r="N29" s="4">
        <f>(VLOOKUP('20.03'!V29,'20.03'!$AO$4:$AR$55,4,FALSE))</f>
        <v>39.110982162825422</v>
      </c>
      <c r="O29" s="4">
        <f>(VLOOKUP('20.03'!W29,'20.03'!$AO$4:$AR$55,4,FALSE))</f>
        <v>0</v>
      </c>
      <c r="P29" s="4">
        <f>(VLOOKUP('20.03'!X29,'20.03'!$AO$4:$AR$55,4,FALSE))</f>
        <v>0</v>
      </c>
      <c r="Q29" s="4">
        <f>(VLOOKUP('20.03'!Y29,'20.03'!$AO$4:$AR$55,4,FALSE))</f>
        <v>0</v>
      </c>
      <c r="R29" s="4">
        <f>(VLOOKUP('20.03'!Z29,'20.03'!$AO$4:$AR$55,4,FALSE))</f>
        <v>0</v>
      </c>
      <c r="S29" s="4">
        <f>(VLOOKUP('20.03'!AA29,'20.03'!$AO$4:$AR$55,4,FALSE))</f>
        <v>0</v>
      </c>
      <c r="T29" s="4">
        <f>(VLOOKUP('20.03'!AB29,'20.03'!$AO$4:$AR$55,4,FALSE))</f>
        <v>0</v>
      </c>
      <c r="U29" s="4">
        <f>(VLOOKUP('20.03'!AC29,'20.03'!$AO$4:$AR$55,4,FALSE))</f>
        <v>0</v>
      </c>
      <c r="V29" s="4">
        <f>(VLOOKUP('20.03'!AD29,'20.03'!$AO$4:$AR$55,4,FALSE))</f>
        <v>0</v>
      </c>
      <c r="W29" s="4">
        <f>(VLOOKUP('20.03'!AE29,'20.03'!$AO$4:$AR$55,4,FALSE))</f>
        <v>0</v>
      </c>
      <c r="X29" s="4">
        <f>(VLOOKUP('20.03'!AF29,'20.03'!$AO$4:$AR$55,4,FALSE))</f>
        <v>0</v>
      </c>
    </row>
    <row r="30" spans="1:24">
      <c r="A30" s="4">
        <f>(VLOOKUP('20.03'!I30,'20.03'!$AO$4:$AR$55,4,FALSE))</f>
        <v>0</v>
      </c>
      <c r="B30" s="4">
        <f>(VLOOKUP('20.03'!J30,'20.03'!$AO$4:$AR$55,4,FALSE))</f>
        <v>0</v>
      </c>
      <c r="C30" s="4">
        <f>(VLOOKUP('20.03'!K30,'20.03'!$AO$4:$AR$55,4,FALSE))</f>
        <v>0</v>
      </c>
      <c r="D30" s="4">
        <f>(VLOOKUP('20.03'!L30,'20.03'!$AO$4:$AR$55,4,FALSE))</f>
        <v>0</v>
      </c>
      <c r="E30" s="4">
        <f>(VLOOKUP('20.03'!M30,'20.03'!$AO$4:$AR$55,4,FALSE))</f>
        <v>0</v>
      </c>
      <c r="F30" s="4">
        <f>(VLOOKUP('20.03'!N30,'20.03'!$AO$4:$AR$55,4,FALSE))</f>
        <v>0</v>
      </c>
      <c r="G30" s="4">
        <f>(VLOOKUP('20.03'!O30,'20.03'!$AO$4:$AR$55,4,FALSE))</f>
        <v>0</v>
      </c>
      <c r="H30" s="4">
        <f>(VLOOKUP('20.03'!P30,'20.03'!$AO$4:$AR$55,4,FALSE))</f>
        <v>0</v>
      </c>
      <c r="I30" s="4">
        <f>(VLOOKUP('20.03'!Q30,'20.03'!$AO$4:$AR$55,4,FALSE))</f>
        <v>39.110982162825422</v>
      </c>
      <c r="J30" s="4">
        <f>(VLOOKUP('20.03'!R30,'20.03'!$AO$4:$AR$55,4,FALSE))</f>
        <v>10</v>
      </c>
      <c r="K30" s="4">
        <f>(VLOOKUP('20.03'!S30,'20.03'!$AO$4:$AR$55,4,FALSE))</f>
        <v>39.110982162825422</v>
      </c>
      <c r="L30" s="4">
        <f>(VLOOKUP('20.03'!T30,'20.03'!$AO$4:$AR$55,4,FALSE))</f>
        <v>39.110982162825422</v>
      </c>
      <c r="M30" s="4">
        <f>(VLOOKUP('20.03'!U30,'20.03'!$AO$4:$AR$55,4,FALSE))</f>
        <v>39.110982162825422</v>
      </c>
      <c r="N30" s="4">
        <f>(VLOOKUP('20.03'!V30,'20.03'!$AO$4:$AR$55,4,FALSE))</f>
        <v>39.110982162825422</v>
      </c>
      <c r="O30" s="4">
        <f>(VLOOKUP('20.03'!W30,'20.03'!$AO$4:$AR$55,4,FALSE))</f>
        <v>10</v>
      </c>
      <c r="P30" s="4">
        <f>(VLOOKUP('20.03'!X30,'20.03'!$AO$4:$AR$55,4,FALSE))</f>
        <v>0</v>
      </c>
      <c r="Q30" s="4">
        <f>(VLOOKUP('20.03'!Y30,'20.03'!$AO$4:$AR$55,4,FALSE))</f>
        <v>0</v>
      </c>
      <c r="R30" s="4">
        <f>(VLOOKUP('20.03'!Z30,'20.03'!$AO$4:$AR$55,4,FALSE))</f>
        <v>0</v>
      </c>
      <c r="S30" s="4">
        <f>(VLOOKUP('20.03'!AA30,'20.03'!$AO$4:$AR$55,4,FALSE))</f>
        <v>0</v>
      </c>
      <c r="T30" s="4">
        <f>(VLOOKUP('20.03'!AB30,'20.03'!$AO$4:$AR$55,4,FALSE))</f>
        <v>0</v>
      </c>
      <c r="U30" s="4">
        <f>(VLOOKUP('20.03'!AC30,'20.03'!$AO$4:$AR$55,4,FALSE))</f>
        <v>0</v>
      </c>
      <c r="V30" s="4">
        <f>(VLOOKUP('20.03'!AD30,'20.03'!$AO$4:$AR$55,4,FALSE))</f>
        <v>0</v>
      </c>
      <c r="W30" s="4">
        <f>(VLOOKUP('20.03'!AE30,'20.03'!$AO$4:$AR$55,4,FALSE))</f>
        <v>0</v>
      </c>
      <c r="X30" s="4">
        <f>(VLOOKUP('20.03'!AF30,'20.03'!$AO$4:$AR$55,4,FALSE))</f>
        <v>0</v>
      </c>
    </row>
    <row r="31" spans="1:24">
      <c r="A31" s="4">
        <f>(VLOOKUP('20.03'!I31,'20.03'!$AO$4:$AR$55,4,FALSE))</f>
        <v>0</v>
      </c>
      <c r="B31" s="4">
        <f>(VLOOKUP('20.03'!J31,'20.03'!$AO$4:$AR$55,4,FALSE))</f>
        <v>0</v>
      </c>
      <c r="C31" s="4">
        <f>(VLOOKUP('20.03'!K31,'20.03'!$AO$4:$AR$55,4,FALSE))</f>
        <v>0</v>
      </c>
      <c r="D31" s="4">
        <f>(VLOOKUP('20.03'!L31,'20.03'!$AO$4:$AR$55,4,FALSE))</f>
        <v>0</v>
      </c>
      <c r="E31" s="4">
        <f>(VLOOKUP('20.03'!M31,'20.03'!$AO$4:$AR$55,4,FALSE))</f>
        <v>0</v>
      </c>
      <c r="F31" s="4">
        <f>(VLOOKUP('20.03'!N31,'20.03'!$AO$4:$AR$55,4,FALSE))</f>
        <v>0</v>
      </c>
      <c r="G31" s="4">
        <f>(VLOOKUP('20.03'!O31,'20.03'!$AO$4:$AR$55,4,FALSE))</f>
        <v>0</v>
      </c>
      <c r="H31" s="4">
        <f>(VLOOKUP('20.03'!P31,'20.03'!$AO$4:$AR$55,4,FALSE))</f>
        <v>0</v>
      </c>
      <c r="I31" s="4">
        <f>(VLOOKUP('20.03'!Q31,'20.03'!$AO$4:$AR$55,4,FALSE))</f>
        <v>0</v>
      </c>
      <c r="J31" s="4">
        <f>(VLOOKUP('20.03'!R31,'20.03'!$AO$4:$AR$55,4,FALSE))</f>
        <v>0</v>
      </c>
      <c r="K31" s="4">
        <f>(VLOOKUP('20.03'!S31,'20.03'!$AO$4:$AR$55,4,FALSE))</f>
        <v>0</v>
      </c>
      <c r="L31" s="4">
        <f>(VLOOKUP('20.03'!T31,'20.03'!$AO$4:$AR$55,4,FALSE))</f>
        <v>0</v>
      </c>
      <c r="M31" s="4">
        <f>(VLOOKUP('20.03'!U31,'20.03'!$AO$4:$AR$55,4,FALSE))</f>
        <v>0</v>
      </c>
      <c r="N31" s="4">
        <f>(VLOOKUP('20.03'!V31,'20.03'!$AO$4:$AR$55,4,FALSE))</f>
        <v>0</v>
      </c>
      <c r="O31" s="4">
        <f>(VLOOKUP('20.03'!W31,'20.03'!$AO$4:$AR$55,4,FALSE))</f>
        <v>0</v>
      </c>
      <c r="P31" s="4">
        <f>(VLOOKUP('20.03'!X31,'20.03'!$AO$4:$AR$55,4,FALSE))</f>
        <v>0</v>
      </c>
      <c r="Q31" s="4">
        <f>(VLOOKUP('20.03'!Y31,'20.03'!$AO$4:$AR$55,4,FALSE))</f>
        <v>0</v>
      </c>
      <c r="R31" s="4">
        <f>(VLOOKUP('20.03'!Z31,'20.03'!$AO$4:$AR$55,4,FALSE))</f>
        <v>0</v>
      </c>
      <c r="S31" s="4">
        <f>(VLOOKUP('20.03'!AA31,'20.03'!$AO$4:$AR$55,4,FALSE))</f>
        <v>0</v>
      </c>
      <c r="T31" s="4">
        <f>(VLOOKUP('20.03'!AB31,'20.03'!$AO$4:$AR$55,4,FALSE))</f>
        <v>0</v>
      </c>
      <c r="U31" s="4">
        <f>(VLOOKUP('20.03'!AC31,'20.03'!$AO$4:$AR$55,4,FALSE))</f>
        <v>0</v>
      </c>
      <c r="V31" s="4">
        <f>(VLOOKUP('20.03'!AD31,'20.03'!$AO$4:$AR$55,4,FALSE))</f>
        <v>0</v>
      </c>
      <c r="W31" s="4">
        <f>(VLOOKUP('20.03'!AE31,'20.03'!$AO$4:$AR$55,4,FALSE))</f>
        <v>0</v>
      </c>
      <c r="X31" s="4">
        <f>(VLOOKUP('20.03'!AF31,'20.03'!$AO$4:$AR$55,4,FALSE))</f>
        <v>0</v>
      </c>
    </row>
    <row r="32" spans="1:24">
      <c r="A32" s="4">
        <f>(VLOOKUP('20.03'!I32,'20.03'!$AO$4:$AR$55,4,FALSE))</f>
        <v>0</v>
      </c>
      <c r="B32" s="4">
        <f>(VLOOKUP('20.03'!J32,'20.03'!$AO$4:$AR$55,4,FALSE))</f>
        <v>0</v>
      </c>
      <c r="C32" s="4">
        <f>(VLOOKUP('20.03'!K32,'20.03'!$AO$4:$AR$55,4,FALSE))</f>
        <v>0</v>
      </c>
      <c r="D32" s="4">
        <f>(VLOOKUP('20.03'!L32,'20.03'!$AO$4:$AR$55,4,FALSE))</f>
        <v>0</v>
      </c>
      <c r="E32" s="4">
        <f>(VLOOKUP('20.03'!M32,'20.03'!$AO$4:$AR$55,4,FALSE))</f>
        <v>0</v>
      </c>
      <c r="F32" s="4">
        <f>(VLOOKUP('20.03'!N32,'20.03'!$AO$4:$AR$55,4,FALSE))</f>
        <v>0</v>
      </c>
      <c r="G32" s="4">
        <f>(VLOOKUP('20.03'!O32,'20.03'!$AO$4:$AR$55,4,FALSE))</f>
        <v>0</v>
      </c>
      <c r="H32" s="4">
        <f>(VLOOKUP('20.03'!P32,'20.03'!$AO$4:$AR$55,4,FALSE))</f>
        <v>0</v>
      </c>
      <c r="I32" s="4">
        <f>(VLOOKUP('20.03'!Q32,'20.03'!$AO$4:$AR$55,4,FALSE))</f>
        <v>0</v>
      </c>
      <c r="J32" s="4">
        <f>(VLOOKUP('20.03'!R32,'20.03'!$AO$4:$AR$55,4,FALSE))</f>
        <v>0</v>
      </c>
      <c r="K32" s="4">
        <f>(VLOOKUP('20.03'!S32,'20.03'!$AO$4:$AR$55,4,FALSE))</f>
        <v>0</v>
      </c>
      <c r="L32" s="4">
        <f>(VLOOKUP('20.03'!T32,'20.03'!$AO$4:$AR$55,4,FALSE))</f>
        <v>0</v>
      </c>
      <c r="M32" s="4">
        <f>(VLOOKUP('20.03'!U32,'20.03'!$AO$4:$AR$55,4,FALSE))</f>
        <v>0</v>
      </c>
      <c r="N32" s="4">
        <f>(VLOOKUP('20.03'!V32,'20.03'!$AO$4:$AR$55,4,FALSE))</f>
        <v>0</v>
      </c>
      <c r="O32" s="4">
        <f>(VLOOKUP('20.03'!W32,'20.03'!$AO$4:$AR$55,4,FALSE))</f>
        <v>0</v>
      </c>
      <c r="P32" s="4">
        <f>(VLOOKUP('20.03'!X32,'20.03'!$AO$4:$AR$55,4,FALSE))</f>
        <v>0</v>
      </c>
      <c r="Q32" s="4">
        <f>(VLOOKUP('20.03'!Y32,'20.03'!$AO$4:$AR$55,4,FALSE))</f>
        <v>0</v>
      </c>
      <c r="R32" s="4">
        <f>(VLOOKUP('20.03'!Z32,'20.03'!$AO$4:$AR$55,4,FALSE))</f>
        <v>0</v>
      </c>
      <c r="S32" s="4">
        <f>(VLOOKUP('20.03'!AA32,'20.03'!$AO$4:$AR$55,4,FALSE))</f>
        <v>0</v>
      </c>
      <c r="T32" s="4">
        <f>(VLOOKUP('20.03'!AB32,'20.03'!$AO$4:$AR$55,4,FALSE))</f>
        <v>0</v>
      </c>
      <c r="U32" s="4">
        <f>(VLOOKUP('20.03'!AC32,'20.03'!$AO$4:$AR$55,4,FALSE))</f>
        <v>0</v>
      </c>
      <c r="V32" s="4">
        <f>(VLOOKUP('20.03'!AD32,'20.03'!$AO$4:$AR$55,4,FALSE))</f>
        <v>0</v>
      </c>
      <c r="W32" s="4">
        <f>(VLOOKUP('20.03'!AE32,'20.03'!$AO$4:$AR$55,4,FALSE))</f>
        <v>0</v>
      </c>
      <c r="X32" s="4">
        <f>(VLOOKUP('20.03'!AF32,'20.03'!$AO$4:$AR$55,4,FALSE))</f>
        <v>0</v>
      </c>
    </row>
    <row r="33" spans="1:24">
      <c r="A33" s="4">
        <f>(VLOOKUP('20.03'!I33,'20.03'!$AO$4:$AR$55,4,FALSE))</f>
        <v>0</v>
      </c>
      <c r="B33" s="4">
        <f>(VLOOKUP('20.03'!J33,'20.03'!$AO$4:$AR$55,4,FALSE))</f>
        <v>0</v>
      </c>
      <c r="C33" s="4">
        <f>(VLOOKUP('20.03'!K33,'20.03'!$AO$4:$AR$55,4,FALSE))</f>
        <v>0</v>
      </c>
      <c r="D33" s="4">
        <f>(VLOOKUP('20.03'!L33,'20.03'!$AO$4:$AR$55,4,FALSE))</f>
        <v>0</v>
      </c>
      <c r="E33" s="4">
        <f>(VLOOKUP('20.03'!M33,'20.03'!$AO$4:$AR$55,4,FALSE))</f>
        <v>0</v>
      </c>
      <c r="F33" s="4">
        <f>(VLOOKUP('20.03'!N33,'20.03'!$AO$4:$AR$55,4,FALSE))</f>
        <v>0</v>
      </c>
      <c r="G33" s="4">
        <f>(VLOOKUP('20.03'!O33,'20.03'!$AO$4:$AR$55,4,FALSE))</f>
        <v>0</v>
      </c>
      <c r="H33" s="4">
        <f>(VLOOKUP('20.03'!P33,'20.03'!$AO$4:$AR$55,4,FALSE))</f>
        <v>0</v>
      </c>
      <c r="I33" s="4">
        <f>(VLOOKUP('20.03'!Q33,'20.03'!$AO$4:$AR$55,4,FALSE))</f>
        <v>0</v>
      </c>
      <c r="J33" s="4">
        <f>(VLOOKUP('20.03'!R33,'20.03'!$AO$4:$AR$55,4,FALSE))</f>
        <v>0</v>
      </c>
      <c r="K33" s="4">
        <f>(VLOOKUP('20.03'!S33,'20.03'!$AO$4:$AR$55,4,FALSE))</f>
        <v>0</v>
      </c>
      <c r="L33" s="4">
        <f>(VLOOKUP('20.03'!T33,'20.03'!$AO$4:$AR$55,4,FALSE))</f>
        <v>0</v>
      </c>
      <c r="M33" s="4">
        <f>(VLOOKUP('20.03'!U33,'20.03'!$AO$4:$AR$55,4,FALSE))</f>
        <v>0</v>
      </c>
      <c r="N33" s="4">
        <f>(VLOOKUP('20.03'!V33,'20.03'!$AO$4:$AR$55,4,FALSE))</f>
        <v>0</v>
      </c>
      <c r="O33" s="4">
        <f>(VLOOKUP('20.03'!W33,'20.03'!$AO$4:$AR$55,4,FALSE))</f>
        <v>0</v>
      </c>
      <c r="P33" s="4">
        <f>(VLOOKUP('20.03'!X33,'20.03'!$AO$4:$AR$55,4,FALSE))</f>
        <v>0</v>
      </c>
      <c r="Q33" s="4">
        <f>(VLOOKUP('20.03'!Y33,'20.03'!$AO$4:$AR$55,4,FALSE))</f>
        <v>0</v>
      </c>
      <c r="R33" s="4">
        <f>(VLOOKUP('20.03'!Z33,'20.03'!$AO$4:$AR$55,4,FALSE))</f>
        <v>0</v>
      </c>
      <c r="S33" s="4">
        <f>(VLOOKUP('20.03'!AA33,'20.03'!$AO$4:$AR$55,4,FALSE))</f>
        <v>0</v>
      </c>
      <c r="T33" s="4">
        <f>(VLOOKUP('20.03'!AB33,'20.03'!$AO$4:$AR$55,4,FALSE))</f>
        <v>0</v>
      </c>
      <c r="U33" s="4">
        <f>(VLOOKUP('20.03'!AC33,'20.03'!$AO$4:$AR$55,4,FALSE))</f>
        <v>0</v>
      </c>
      <c r="V33" s="4">
        <f>(VLOOKUP('20.03'!AD33,'20.03'!$AO$4:$AR$55,4,FALSE))</f>
        <v>0</v>
      </c>
      <c r="W33" s="4">
        <f>(VLOOKUP('20.03'!AE33,'20.03'!$AO$4:$AR$55,4,FALSE))</f>
        <v>0</v>
      </c>
      <c r="X33" s="4">
        <f>(VLOOKUP('20.03'!AF33,'20.03'!$AO$4:$AR$55,4,FALSE))</f>
        <v>0</v>
      </c>
    </row>
    <row r="34" spans="1:24">
      <c r="A34" s="4">
        <f>(VLOOKUP('20.03'!I34,'20.03'!$AO$4:$AR$55,4,FALSE))</f>
        <v>0</v>
      </c>
      <c r="B34" s="4">
        <f>(VLOOKUP('20.03'!J34,'20.03'!$AO$4:$AR$55,4,FALSE))</f>
        <v>0</v>
      </c>
      <c r="C34" s="4">
        <f>(VLOOKUP('20.03'!K34,'20.03'!$AO$4:$AR$55,4,FALSE))</f>
        <v>0</v>
      </c>
      <c r="D34" s="4">
        <f>(VLOOKUP('20.03'!L34,'20.03'!$AO$4:$AR$55,4,FALSE))</f>
        <v>0</v>
      </c>
      <c r="E34" s="4">
        <f>(VLOOKUP('20.03'!M34,'20.03'!$AO$4:$AR$55,4,FALSE))</f>
        <v>0</v>
      </c>
      <c r="F34" s="4">
        <f>(VLOOKUP('20.03'!N34,'20.03'!$AO$4:$AR$55,4,FALSE))</f>
        <v>0</v>
      </c>
      <c r="G34" s="4">
        <f>(VLOOKUP('20.03'!O34,'20.03'!$AO$4:$AR$55,4,FALSE))</f>
        <v>0</v>
      </c>
      <c r="H34" s="4">
        <f>(VLOOKUP('20.03'!P34,'20.03'!$AO$4:$AR$55,4,FALSE))</f>
        <v>0</v>
      </c>
      <c r="I34" s="4">
        <f>(VLOOKUP('20.03'!Q34,'20.03'!$AO$4:$AR$55,4,FALSE))</f>
        <v>0</v>
      </c>
      <c r="J34" s="4">
        <f>(VLOOKUP('20.03'!R34,'20.03'!$AO$4:$AR$55,4,FALSE))</f>
        <v>0</v>
      </c>
      <c r="K34" s="4">
        <f>(VLOOKUP('20.03'!S34,'20.03'!$AO$4:$AR$55,4,FALSE))</f>
        <v>0</v>
      </c>
      <c r="L34" s="4">
        <f>(VLOOKUP('20.03'!T34,'20.03'!$AO$4:$AR$55,4,FALSE))</f>
        <v>0</v>
      </c>
      <c r="M34" s="4">
        <f>(VLOOKUP('20.03'!U34,'20.03'!$AO$4:$AR$55,4,FALSE))</f>
        <v>0</v>
      </c>
      <c r="N34" s="4">
        <f>(VLOOKUP('20.03'!V34,'20.03'!$AO$4:$AR$55,4,FALSE))</f>
        <v>0</v>
      </c>
      <c r="O34" s="4">
        <f>(VLOOKUP('20.03'!W34,'20.03'!$AO$4:$AR$55,4,FALSE))</f>
        <v>0</v>
      </c>
      <c r="P34" s="4">
        <f>(VLOOKUP('20.03'!X34,'20.03'!$AO$4:$AR$55,4,FALSE))</f>
        <v>0</v>
      </c>
      <c r="Q34" s="4">
        <f>(VLOOKUP('20.03'!Y34,'20.03'!$AO$4:$AR$55,4,FALSE))</f>
        <v>0</v>
      </c>
      <c r="R34" s="4">
        <f>(VLOOKUP('20.03'!Z34,'20.03'!$AO$4:$AR$55,4,FALSE))</f>
        <v>0</v>
      </c>
      <c r="S34" s="4">
        <f>(VLOOKUP('20.03'!AA34,'20.03'!$AO$4:$AR$55,4,FALSE))</f>
        <v>0</v>
      </c>
      <c r="T34" s="4">
        <f>(VLOOKUP('20.03'!AB34,'20.03'!$AO$4:$AR$55,4,FALSE))</f>
        <v>0</v>
      </c>
      <c r="U34" s="4">
        <f>(VLOOKUP('20.03'!AC34,'20.03'!$AO$4:$AR$55,4,FALSE))</f>
        <v>0</v>
      </c>
      <c r="V34" s="4">
        <f>(VLOOKUP('20.03'!AD34,'20.03'!$AO$4:$AR$55,4,FALSE))</f>
        <v>0</v>
      </c>
      <c r="W34" s="4">
        <f>(VLOOKUP('20.03'!AE34,'20.03'!$AO$4:$AR$55,4,FALSE))</f>
        <v>0</v>
      </c>
      <c r="X34" s="4">
        <f>(VLOOKUP('20.03'!AF34,'20.03'!$AO$4:$AR$55,4,FALSE))</f>
        <v>0</v>
      </c>
    </row>
    <row r="35" spans="1:24">
      <c r="A35" s="4">
        <f>(VLOOKUP('20.03'!I35,'20.03'!$AO$4:$AR$55,4,FALSE))</f>
        <v>0</v>
      </c>
      <c r="B35" s="4">
        <f>(VLOOKUP('20.03'!J35,'20.03'!$AO$4:$AR$55,4,FALSE))</f>
        <v>0</v>
      </c>
      <c r="C35" s="4">
        <f>(VLOOKUP('20.03'!K35,'20.03'!$AO$4:$AR$55,4,FALSE))</f>
        <v>0</v>
      </c>
      <c r="D35" s="4">
        <f>(VLOOKUP('20.03'!L35,'20.03'!$AO$4:$AR$55,4,FALSE))</f>
        <v>0</v>
      </c>
      <c r="E35" s="4">
        <f>(VLOOKUP('20.03'!M35,'20.03'!$AO$4:$AR$55,4,FALSE))</f>
        <v>0</v>
      </c>
      <c r="F35" s="4">
        <f>(VLOOKUP('20.03'!N35,'20.03'!$AO$4:$AR$55,4,FALSE))</f>
        <v>0</v>
      </c>
      <c r="G35" s="4">
        <f>(VLOOKUP('20.03'!O35,'20.03'!$AO$4:$AR$55,4,FALSE))</f>
        <v>0</v>
      </c>
      <c r="H35" s="4">
        <f>(VLOOKUP('20.03'!P35,'20.03'!$AO$4:$AR$55,4,FALSE))</f>
        <v>0</v>
      </c>
      <c r="I35" s="4">
        <f>(VLOOKUP('20.03'!Q35,'20.03'!$AO$4:$AR$55,4,FALSE))</f>
        <v>0</v>
      </c>
      <c r="J35" s="4">
        <f>(VLOOKUP('20.03'!R35,'20.03'!$AO$4:$AR$55,4,FALSE))</f>
        <v>0</v>
      </c>
      <c r="K35" s="4">
        <f>(VLOOKUP('20.03'!S35,'20.03'!$AO$4:$AR$55,4,FALSE))</f>
        <v>0</v>
      </c>
      <c r="L35" s="4">
        <f>(VLOOKUP('20.03'!T35,'20.03'!$AO$4:$AR$55,4,FALSE))</f>
        <v>0</v>
      </c>
      <c r="M35" s="4">
        <f>(VLOOKUP('20.03'!U35,'20.03'!$AO$4:$AR$55,4,FALSE))</f>
        <v>0</v>
      </c>
      <c r="N35" s="4">
        <f>(VLOOKUP('20.03'!V35,'20.03'!$AO$4:$AR$55,4,FALSE))</f>
        <v>0</v>
      </c>
      <c r="O35" s="4">
        <f>(VLOOKUP('20.03'!W35,'20.03'!$AO$4:$AR$55,4,FALSE))</f>
        <v>0</v>
      </c>
      <c r="P35" s="4">
        <f>(VLOOKUP('20.03'!X35,'20.03'!$AO$4:$AR$55,4,FALSE))</f>
        <v>0</v>
      </c>
      <c r="Q35" s="4">
        <f>(VLOOKUP('20.03'!Y35,'20.03'!$AO$4:$AR$55,4,FALSE))</f>
        <v>0</v>
      </c>
      <c r="R35" s="4">
        <f>(VLOOKUP('20.03'!Z35,'20.03'!$AO$4:$AR$55,4,FALSE))</f>
        <v>0</v>
      </c>
      <c r="S35" s="4">
        <f>(VLOOKUP('20.03'!AA35,'20.03'!$AO$4:$AR$55,4,FALSE))</f>
        <v>0</v>
      </c>
      <c r="T35" s="4">
        <f>(VLOOKUP('20.03'!AB35,'20.03'!$AO$4:$AR$55,4,FALSE))</f>
        <v>0</v>
      </c>
      <c r="U35" s="4">
        <f>(VLOOKUP('20.03'!AC35,'20.03'!$AO$4:$AR$55,4,FALSE))</f>
        <v>0</v>
      </c>
      <c r="V35" s="4">
        <f>(VLOOKUP('20.03'!AD35,'20.03'!$AO$4:$AR$55,4,FALSE))</f>
        <v>0</v>
      </c>
      <c r="W35" s="4">
        <f>(VLOOKUP('20.03'!AE35,'20.03'!$AO$4:$AR$55,4,FALSE))</f>
        <v>0</v>
      </c>
      <c r="X35" s="4">
        <f>(VLOOKUP('20.03'!AF35,'20.03'!$AO$4:$AR$55,4,FALSE))</f>
        <v>0</v>
      </c>
    </row>
    <row r="36" spans="1:24">
      <c r="A36" s="4">
        <f>(VLOOKUP('20.03'!I36,'20.03'!$AO$4:$AR$55,4,FALSE))</f>
        <v>0</v>
      </c>
      <c r="B36" s="4">
        <f>(VLOOKUP('20.03'!J36,'20.03'!$AO$4:$AR$55,4,FALSE))</f>
        <v>0</v>
      </c>
      <c r="C36" s="4">
        <f>(VLOOKUP('20.03'!K36,'20.03'!$AO$4:$AR$55,4,FALSE))</f>
        <v>0</v>
      </c>
      <c r="D36" s="4">
        <f>(VLOOKUP('20.03'!L36,'20.03'!$AO$4:$AR$55,4,FALSE))</f>
        <v>0</v>
      </c>
      <c r="E36" s="4">
        <f>(VLOOKUP('20.03'!M36,'20.03'!$AO$4:$AR$55,4,FALSE))</f>
        <v>0</v>
      </c>
      <c r="F36" s="4">
        <f>(VLOOKUP('20.03'!N36,'20.03'!$AO$4:$AR$55,4,FALSE))</f>
        <v>0</v>
      </c>
      <c r="G36" s="4">
        <f>(VLOOKUP('20.03'!O36,'20.03'!$AO$4:$AR$55,4,FALSE))</f>
        <v>0</v>
      </c>
      <c r="H36" s="4">
        <f>(VLOOKUP('20.03'!P36,'20.03'!$AO$4:$AR$55,4,FALSE))</f>
        <v>0</v>
      </c>
      <c r="I36" s="4">
        <f>(VLOOKUP('20.03'!Q36,'20.03'!$AO$4:$AR$55,4,FALSE))</f>
        <v>0</v>
      </c>
      <c r="J36" s="4">
        <f>(VLOOKUP('20.03'!R36,'20.03'!$AO$4:$AR$55,4,FALSE))</f>
        <v>0</v>
      </c>
      <c r="K36" s="4">
        <f>(VLOOKUP('20.03'!S36,'20.03'!$AO$4:$AR$55,4,FALSE))</f>
        <v>0</v>
      </c>
      <c r="L36" s="4">
        <f>(VLOOKUP('20.03'!T36,'20.03'!$AO$4:$AR$55,4,FALSE))</f>
        <v>0</v>
      </c>
      <c r="M36" s="4">
        <f>(VLOOKUP('20.03'!U36,'20.03'!$AO$4:$AR$55,4,FALSE))</f>
        <v>0</v>
      </c>
      <c r="N36" s="4">
        <f>(VLOOKUP('20.03'!V36,'20.03'!$AO$4:$AR$55,4,FALSE))</f>
        <v>0</v>
      </c>
      <c r="O36" s="4">
        <f>(VLOOKUP('20.03'!W36,'20.03'!$AO$4:$AR$55,4,FALSE))</f>
        <v>0</v>
      </c>
      <c r="P36" s="4">
        <f>(VLOOKUP('20.03'!X36,'20.03'!$AO$4:$AR$55,4,FALSE))</f>
        <v>0</v>
      </c>
      <c r="Q36" s="4">
        <f>(VLOOKUP('20.03'!Y36,'20.03'!$AO$4:$AR$55,4,FALSE))</f>
        <v>0</v>
      </c>
      <c r="R36" s="4">
        <f>(VLOOKUP('20.03'!Z36,'20.03'!$AO$4:$AR$55,4,FALSE))</f>
        <v>0</v>
      </c>
      <c r="S36" s="4">
        <f>(VLOOKUP('20.03'!AA36,'20.03'!$AO$4:$AR$55,4,FALSE))</f>
        <v>0</v>
      </c>
      <c r="T36" s="4">
        <f>(VLOOKUP('20.03'!AB36,'20.03'!$AO$4:$AR$55,4,FALSE))</f>
        <v>0</v>
      </c>
      <c r="U36" s="4">
        <f>(VLOOKUP('20.03'!AC36,'20.03'!$AO$4:$AR$55,4,FALSE))</f>
        <v>0</v>
      </c>
      <c r="V36" s="4">
        <f>(VLOOKUP('20.03'!AD36,'20.03'!$AO$4:$AR$55,4,FALSE))</f>
        <v>0</v>
      </c>
      <c r="W36" s="4">
        <f>(VLOOKUP('20.03'!AE36,'20.03'!$AO$4:$AR$55,4,FALSE))</f>
        <v>0</v>
      </c>
      <c r="X36" s="4">
        <f>(VLOOKUP('20.03'!AF36,'20.03'!$AO$4:$AR$55,4,FALSE))</f>
        <v>0</v>
      </c>
    </row>
    <row r="37" spans="1:24">
      <c r="A37" s="4">
        <f>(VLOOKUP('20.03'!I37,'20.03'!$AO$4:$AR$55,4,FALSE))</f>
        <v>0</v>
      </c>
      <c r="B37" s="4">
        <f>(VLOOKUP('20.03'!J37,'20.03'!$AO$4:$AR$55,4,FALSE))</f>
        <v>0</v>
      </c>
      <c r="C37" s="4">
        <f>(VLOOKUP('20.03'!K37,'20.03'!$AO$4:$AR$55,4,FALSE))</f>
        <v>0</v>
      </c>
      <c r="D37" s="4">
        <f>(VLOOKUP('20.03'!L37,'20.03'!$AO$4:$AR$55,4,FALSE))</f>
        <v>0</v>
      </c>
      <c r="E37" s="4">
        <f>(VLOOKUP('20.03'!M37,'20.03'!$AO$4:$AR$55,4,FALSE))</f>
        <v>0</v>
      </c>
      <c r="F37" s="4">
        <f>(VLOOKUP('20.03'!N37,'20.03'!$AO$4:$AR$55,4,FALSE))</f>
        <v>0</v>
      </c>
      <c r="G37" s="4">
        <f>(VLOOKUP('20.03'!O37,'20.03'!$AO$4:$AR$55,4,FALSE))</f>
        <v>0</v>
      </c>
      <c r="H37" s="4">
        <f>(VLOOKUP('20.03'!P37,'20.03'!$AO$4:$AR$55,4,FALSE))</f>
        <v>0</v>
      </c>
      <c r="I37" s="4">
        <f>(VLOOKUP('20.03'!Q37,'20.03'!$AO$4:$AR$55,4,FALSE))</f>
        <v>0</v>
      </c>
      <c r="J37" s="4">
        <f>(VLOOKUP('20.03'!R37,'20.03'!$AO$4:$AR$55,4,FALSE))</f>
        <v>0</v>
      </c>
      <c r="K37" s="4">
        <f>(VLOOKUP('20.03'!S37,'20.03'!$AO$4:$AR$55,4,FALSE))</f>
        <v>0</v>
      </c>
      <c r="L37" s="4">
        <f>(VLOOKUP('20.03'!T37,'20.03'!$AO$4:$AR$55,4,FALSE))</f>
        <v>0</v>
      </c>
      <c r="M37" s="4">
        <f>(VLOOKUP('20.03'!U37,'20.03'!$AO$4:$AR$55,4,FALSE))</f>
        <v>0</v>
      </c>
      <c r="N37" s="4">
        <f>(VLOOKUP('20.03'!V37,'20.03'!$AO$4:$AR$55,4,FALSE))</f>
        <v>0</v>
      </c>
      <c r="O37" s="4">
        <f>(VLOOKUP('20.03'!W37,'20.03'!$AO$4:$AR$55,4,FALSE))</f>
        <v>0</v>
      </c>
      <c r="P37" s="4">
        <f>(VLOOKUP('20.03'!X37,'20.03'!$AO$4:$AR$55,4,FALSE))</f>
        <v>0</v>
      </c>
      <c r="Q37" s="4">
        <f>(VLOOKUP('20.03'!Y37,'20.03'!$AO$4:$AR$55,4,FALSE))</f>
        <v>0</v>
      </c>
      <c r="R37" s="4">
        <f>(VLOOKUP('20.03'!Z37,'20.03'!$AO$4:$AR$55,4,FALSE))</f>
        <v>0</v>
      </c>
      <c r="S37" s="4">
        <f>(VLOOKUP('20.03'!AA37,'20.03'!$AO$4:$AR$55,4,FALSE))</f>
        <v>0</v>
      </c>
      <c r="T37" s="4">
        <f>(VLOOKUP('20.03'!AB37,'20.03'!$AO$4:$AR$55,4,FALSE))</f>
        <v>0</v>
      </c>
      <c r="U37" s="4">
        <f>(VLOOKUP('20.03'!AC37,'20.03'!$AO$4:$AR$55,4,FALSE))</f>
        <v>0</v>
      </c>
      <c r="V37" s="4">
        <f>(VLOOKUP('20.03'!AD37,'20.03'!$AO$4:$AR$55,4,FALSE))</f>
        <v>0</v>
      </c>
      <c r="W37" s="4">
        <f>(VLOOKUP('20.03'!AE37,'20.03'!$AO$4:$AR$55,4,FALSE))</f>
        <v>0</v>
      </c>
      <c r="X37" s="4">
        <f>(VLOOKUP('20.03'!AF37,'20.03'!$AO$4:$AR$55,4,FALSE))</f>
        <v>0</v>
      </c>
    </row>
    <row r="38" spans="1:24">
      <c r="A38" s="4">
        <f>(VLOOKUP('20.03'!I38,'20.03'!$AO$4:$AR$55,4,FALSE))</f>
        <v>0</v>
      </c>
      <c r="B38" s="4">
        <f>(VLOOKUP('20.03'!J38,'20.03'!$AO$4:$AR$55,4,FALSE))</f>
        <v>0</v>
      </c>
      <c r="C38" s="4">
        <f>(VLOOKUP('20.03'!K38,'20.03'!$AO$4:$AR$55,4,FALSE))</f>
        <v>0</v>
      </c>
      <c r="D38" s="4">
        <f>(VLOOKUP('20.03'!L38,'20.03'!$AO$4:$AR$55,4,FALSE))</f>
        <v>0</v>
      </c>
      <c r="E38" s="4">
        <f>(VLOOKUP('20.03'!M38,'20.03'!$AO$4:$AR$55,4,FALSE))</f>
        <v>0</v>
      </c>
      <c r="F38" s="4">
        <f>(VLOOKUP('20.03'!N38,'20.03'!$AO$4:$AR$55,4,FALSE))</f>
        <v>0</v>
      </c>
      <c r="G38" s="4">
        <f>(VLOOKUP('20.03'!O38,'20.03'!$AO$4:$AR$55,4,FALSE))</f>
        <v>0</v>
      </c>
      <c r="H38" s="4">
        <f>(VLOOKUP('20.03'!P38,'20.03'!$AO$4:$AR$55,4,FALSE))</f>
        <v>0</v>
      </c>
      <c r="I38" s="4">
        <f>(VLOOKUP('20.03'!Q38,'20.03'!$AO$4:$AR$55,4,FALSE))</f>
        <v>0</v>
      </c>
      <c r="J38" s="4">
        <f>(VLOOKUP('20.03'!R38,'20.03'!$AO$4:$AR$55,4,FALSE))</f>
        <v>0</v>
      </c>
      <c r="K38" s="4">
        <f>(VLOOKUP('20.03'!S38,'20.03'!$AO$4:$AR$55,4,FALSE))</f>
        <v>0</v>
      </c>
      <c r="L38" s="4">
        <f>(VLOOKUP('20.03'!T38,'20.03'!$AO$4:$AR$55,4,FALSE))</f>
        <v>0</v>
      </c>
      <c r="M38" s="4">
        <f>(VLOOKUP('20.03'!U38,'20.03'!$AO$4:$AR$55,4,FALSE))</f>
        <v>0</v>
      </c>
      <c r="N38" s="4">
        <f>(VLOOKUP('20.03'!V38,'20.03'!$AO$4:$AR$55,4,FALSE))</f>
        <v>0</v>
      </c>
      <c r="O38" s="4">
        <f>(VLOOKUP('20.03'!W38,'20.03'!$AO$4:$AR$55,4,FALSE))</f>
        <v>0</v>
      </c>
      <c r="P38" s="4">
        <f>(VLOOKUP('20.03'!X38,'20.03'!$AO$4:$AR$55,4,FALSE))</f>
        <v>0</v>
      </c>
      <c r="Q38" s="4">
        <f>(VLOOKUP('20.03'!Y38,'20.03'!$AO$4:$AR$55,4,FALSE))</f>
        <v>0</v>
      </c>
      <c r="R38" s="4">
        <f>(VLOOKUP('20.03'!Z38,'20.03'!$AO$4:$AR$55,4,FALSE))</f>
        <v>0</v>
      </c>
      <c r="S38" s="4">
        <f>(VLOOKUP('20.03'!AA38,'20.03'!$AO$4:$AR$55,4,FALSE))</f>
        <v>0</v>
      </c>
      <c r="T38" s="4">
        <f>(VLOOKUP('20.03'!AB38,'20.03'!$AO$4:$AR$55,4,FALSE))</f>
        <v>0</v>
      </c>
      <c r="U38" s="4">
        <f>(VLOOKUP('20.03'!AC38,'20.03'!$AO$4:$AR$55,4,FALSE))</f>
        <v>0</v>
      </c>
      <c r="V38" s="4">
        <f>(VLOOKUP('20.03'!AD38,'20.03'!$AO$4:$AR$55,4,FALSE))</f>
        <v>0</v>
      </c>
      <c r="W38" s="4">
        <f>(VLOOKUP('20.03'!AE38,'20.03'!$AO$4:$AR$55,4,FALSE))</f>
        <v>0</v>
      </c>
      <c r="X38" s="4">
        <f>(VLOOKUP('20.03'!AF38,'20.03'!$AO$4:$AR$55,4,FALSE))</f>
        <v>0</v>
      </c>
    </row>
    <row r="39" spans="1:24">
      <c r="A39" s="4">
        <f>(VLOOKUP('20.03'!I39,'20.03'!$AO$4:$AR$55,4,FALSE))</f>
        <v>0</v>
      </c>
      <c r="B39" s="4">
        <f>(VLOOKUP('20.03'!J39,'20.03'!$AO$4:$AR$55,4,FALSE))</f>
        <v>0</v>
      </c>
      <c r="C39" s="4">
        <f>(VLOOKUP('20.03'!K39,'20.03'!$AO$4:$AR$55,4,FALSE))</f>
        <v>0</v>
      </c>
      <c r="D39" s="4">
        <f>(VLOOKUP('20.03'!L39,'20.03'!$AO$4:$AR$55,4,FALSE))</f>
        <v>0</v>
      </c>
      <c r="E39" s="4">
        <f>(VLOOKUP('20.03'!M39,'20.03'!$AO$4:$AR$55,4,FALSE))</f>
        <v>0</v>
      </c>
      <c r="F39" s="4">
        <f>(VLOOKUP('20.03'!N39,'20.03'!$AO$4:$AR$55,4,FALSE))</f>
        <v>0</v>
      </c>
      <c r="G39" s="4">
        <f>(VLOOKUP('20.03'!O39,'20.03'!$AO$4:$AR$55,4,FALSE))</f>
        <v>0</v>
      </c>
      <c r="H39" s="4">
        <f>(VLOOKUP('20.03'!P39,'20.03'!$AO$4:$AR$55,4,FALSE))</f>
        <v>0</v>
      </c>
      <c r="I39" s="4">
        <f>(VLOOKUP('20.03'!Q39,'20.03'!$AO$4:$AR$55,4,FALSE))</f>
        <v>0</v>
      </c>
      <c r="J39" s="4">
        <f>(VLOOKUP('20.03'!R39,'20.03'!$AO$4:$AR$55,4,FALSE))</f>
        <v>0</v>
      </c>
      <c r="K39" s="4">
        <f>(VLOOKUP('20.03'!S39,'20.03'!$AO$4:$AR$55,4,FALSE))</f>
        <v>0</v>
      </c>
      <c r="L39" s="4">
        <f>(VLOOKUP('20.03'!T39,'20.03'!$AO$4:$AR$55,4,FALSE))</f>
        <v>0</v>
      </c>
      <c r="M39" s="4">
        <f>(VLOOKUP('20.03'!U39,'20.03'!$AO$4:$AR$55,4,FALSE))</f>
        <v>0</v>
      </c>
      <c r="N39" s="4">
        <f>(VLOOKUP('20.03'!V39,'20.03'!$AO$4:$AR$55,4,FALSE))</f>
        <v>0</v>
      </c>
      <c r="O39" s="4">
        <f>(VLOOKUP('20.03'!W39,'20.03'!$AO$4:$AR$55,4,FALSE))</f>
        <v>0</v>
      </c>
      <c r="P39" s="4">
        <f>(VLOOKUP('20.03'!X39,'20.03'!$AO$4:$AR$55,4,FALSE))</f>
        <v>0</v>
      </c>
      <c r="Q39" s="4">
        <f>(VLOOKUP('20.03'!Y39,'20.03'!$AO$4:$AR$55,4,FALSE))</f>
        <v>0</v>
      </c>
      <c r="R39" s="4">
        <f>(VLOOKUP('20.03'!Z39,'20.03'!$AO$4:$AR$55,4,FALSE))</f>
        <v>0</v>
      </c>
      <c r="S39" s="4">
        <f>(VLOOKUP('20.03'!AA39,'20.03'!$AO$4:$AR$55,4,FALSE))</f>
        <v>0</v>
      </c>
      <c r="T39" s="4">
        <f>(VLOOKUP('20.03'!AB39,'20.03'!$AO$4:$AR$55,4,FALSE))</f>
        <v>0</v>
      </c>
      <c r="U39" s="4">
        <f>(VLOOKUP('20.03'!AC39,'20.03'!$AO$4:$AR$55,4,FALSE))</f>
        <v>0</v>
      </c>
      <c r="V39" s="4">
        <f>(VLOOKUP('20.03'!AD39,'20.03'!$AO$4:$AR$55,4,FALSE))</f>
        <v>0</v>
      </c>
      <c r="W39" s="4">
        <f>(VLOOKUP('20.03'!AE39,'20.03'!$AO$4:$AR$55,4,FALSE))</f>
        <v>0</v>
      </c>
      <c r="X39" s="4">
        <f>(VLOOKUP('20.03'!AF39,'20.03'!$AO$4:$AR$55,4,FALSE))</f>
        <v>0</v>
      </c>
    </row>
    <row r="40" spans="1:24">
      <c r="A40" s="4">
        <f>(VLOOKUP('20.03'!I40,'20.03'!$AO$4:$AR$55,4,FALSE))</f>
        <v>0</v>
      </c>
      <c r="B40" s="4">
        <f>(VLOOKUP('20.03'!J40,'20.03'!$AO$4:$AR$55,4,FALSE))</f>
        <v>0</v>
      </c>
      <c r="C40" s="4">
        <f>(VLOOKUP('20.03'!K40,'20.03'!$AO$4:$AR$55,4,FALSE))</f>
        <v>0</v>
      </c>
      <c r="D40" s="4">
        <f>(VLOOKUP('20.03'!L40,'20.03'!$AO$4:$AR$55,4,FALSE))</f>
        <v>0</v>
      </c>
      <c r="E40" s="4">
        <f>(VLOOKUP('20.03'!M40,'20.03'!$AO$4:$AR$55,4,FALSE))</f>
        <v>0</v>
      </c>
      <c r="F40" s="4">
        <f>(VLOOKUP('20.03'!N40,'20.03'!$AO$4:$AR$55,4,FALSE))</f>
        <v>0</v>
      </c>
      <c r="G40" s="4">
        <f>(VLOOKUP('20.03'!O40,'20.03'!$AO$4:$AR$55,4,FALSE))</f>
        <v>0</v>
      </c>
      <c r="H40" s="4">
        <f>(VLOOKUP('20.03'!P40,'20.03'!$AO$4:$AR$55,4,FALSE))</f>
        <v>0</v>
      </c>
      <c r="I40" s="4">
        <f>(VLOOKUP('20.03'!Q40,'20.03'!$AO$4:$AR$55,4,FALSE))</f>
        <v>0</v>
      </c>
      <c r="J40" s="4">
        <f>(VLOOKUP('20.03'!R40,'20.03'!$AO$4:$AR$55,4,FALSE))</f>
        <v>0</v>
      </c>
      <c r="K40" s="4">
        <f>(VLOOKUP('20.03'!S40,'20.03'!$AO$4:$AR$55,4,FALSE))</f>
        <v>0</v>
      </c>
      <c r="L40" s="4">
        <f>(VLOOKUP('20.03'!T40,'20.03'!$AO$4:$AR$55,4,FALSE))</f>
        <v>0</v>
      </c>
      <c r="M40" s="4">
        <f>(VLOOKUP('20.03'!U40,'20.03'!$AO$4:$AR$55,4,FALSE))</f>
        <v>0</v>
      </c>
      <c r="N40" s="4">
        <f>(VLOOKUP('20.03'!V40,'20.03'!$AO$4:$AR$55,4,FALSE))</f>
        <v>0</v>
      </c>
      <c r="O40" s="4">
        <f>(VLOOKUP('20.03'!W40,'20.03'!$AO$4:$AR$55,4,FALSE))</f>
        <v>0</v>
      </c>
      <c r="P40" s="4">
        <f>(VLOOKUP('20.03'!X40,'20.03'!$AO$4:$AR$55,4,FALSE))</f>
        <v>0</v>
      </c>
      <c r="Q40" s="4">
        <f>(VLOOKUP('20.03'!Y40,'20.03'!$AO$4:$AR$55,4,FALSE))</f>
        <v>0</v>
      </c>
      <c r="R40" s="4">
        <f>(VLOOKUP('20.03'!Z40,'20.03'!$AO$4:$AR$55,4,FALSE))</f>
        <v>0</v>
      </c>
      <c r="S40" s="4">
        <f>(VLOOKUP('20.03'!AA40,'20.03'!$AO$4:$AR$55,4,FALSE))</f>
        <v>0</v>
      </c>
      <c r="T40" s="4">
        <f>(VLOOKUP('20.03'!AB40,'20.03'!$AO$4:$AR$55,4,FALSE))</f>
        <v>0</v>
      </c>
      <c r="U40" s="4">
        <f>(VLOOKUP('20.03'!AC40,'20.03'!$AO$4:$AR$55,4,FALSE))</f>
        <v>0</v>
      </c>
      <c r="V40" s="4">
        <f>(VLOOKUP('20.03'!AD40,'20.03'!$AO$4:$AR$55,4,FALSE))</f>
        <v>0</v>
      </c>
      <c r="W40" s="4">
        <f>(VLOOKUP('20.03'!AE40,'20.03'!$AO$4:$AR$55,4,FALSE))</f>
        <v>0</v>
      </c>
      <c r="X40" s="4">
        <f>(VLOOKUP('20.03'!AF40,'20.03'!$AO$4:$AR$55,4,FALSE))</f>
        <v>0</v>
      </c>
    </row>
    <row r="41" spans="1:24">
      <c r="A41" s="4">
        <f>(VLOOKUP('20.03'!I41,'20.03'!$AO$4:$AR$55,4,FALSE))</f>
        <v>0</v>
      </c>
      <c r="B41" s="4">
        <f>(VLOOKUP('20.03'!J41,'20.03'!$AO$4:$AR$55,4,FALSE))</f>
        <v>0</v>
      </c>
      <c r="C41" s="4">
        <f>(VLOOKUP('20.03'!K41,'20.03'!$AO$4:$AR$55,4,FALSE))</f>
        <v>0</v>
      </c>
      <c r="D41" s="4">
        <f>(VLOOKUP('20.03'!L41,'20.03'!$AO$4:$AR$55,4,FALSE))</f>
        <v>0</v>
      </c>
      <c r="E41" s="4">
        <f>(VLOOKUP('20.03'!M41,'20.03'!$AO$4:$AR$55,4,FALSE))</f>
        <v>0</v>
      </c>
      <c r="F41" s="4">
        <f>(VLOOKUP('20.03'!N41,'20.03'!$AO$4:$AR$55,4,FALSE))</f>
        <v>0</v>
      </c>
      <c r="G41" s="4">
        <f>(VLOOKUP('20.03'!O41,'20.03'!$AO$4:$AR$55,4,FALSE))</f>
        <v>0</v>
      </c>
      <c r="H41" s="4">
        <f>(VLOOKUP('20.03'!P41,'20.03'!$AO$4:$AR$55,4,FALSE))</f>
        <v>0</v>
      </c>
      <c r="I41" s="4">
        <f>(VLOOKUP('20.03'!Q41,'20.03'!$AO$4:$AR$55,4,FALSE))</f>
        <v>0</v>
      </c>
      <c r="J41" s="4">
        <f>(VLOOKUP('20.03'!R41,'20.03'!$AO$4:$AR$55,4,FALSE))</f>
        <v>0</v>
      </c>
      <c r="K41" s="4">
        <f>(VLOOKUP('20.03'!S41,'20.03'!$AO$4:$AR$55,4,FALSE))</f>
        <v>0</v>
      </c>
      <c r="L41" s="4">
        <f>(VLOOKUP('20.03'!T41,'20.03'!$AO$4:$AR$55,4,FALSE))</f>
        <v>0</v>
      </c>
      <c r="M41" s="4">
        <f>(VLOOKUP('20.03'!U41,'20.03'!$AO$4:$AR$55,4,FALSE))</f>
        <v>0</v>
      </c>
      <c r="N41" s="4">
        <f>(VLOOKUP('20.03'!V41,'20.03'!$AO$4:$AR$55,4,FALSE))</f>
        <v>0</v>
      </c>
      <c r="O41" s="4">
        <f>(VLOOKUP('20.03'!W41,'20.03'!$AO$4:$AR$55,4,FALSE))</f>
        <v>0</v>
      </c>
      <c r="P41" s="4">
        <f>(VLOOKUP('20.03'!X41,'20.03'!$AO$4:$AR$55,4,FALSE))</f>
        <v>0</v>
      </c>
      <c r="Q41" s="4">
        <f>(VLOOKUP('20.03'!Y41,'20.03'!$AO$4:$AR$55,4,FALSE))</f>
        <v>0</v>
      </c>
      <c r="R41" s="4">
        <f>(VLOOKUP('20.03'!Z41,'20.03'!$AO$4:$AR$55,4,FALSE))</f>
        <v>0</v>
      </c>
      <c r="S41" s="4">
        <f>(VLOOKUP('20.03'!AA41,'20.03'!$AO$4:$AR$55,4,FALSE))</f>
        <v>0</v>
      </c>
      <c r="T41" s="4">
        <f>(VLOOKUP('20.03'!AB41,'20.03'!$AO$4:$AR$55,4,FALSE))</f>
        <v>0</v>
      </c>
      <c r="U41" s="4">
        <f>(VLOOKUP('20.03'!AC41,'20.03'!$AO$4:$AR$55,4,FALSE))</f>
        <v>0</v>
      </c>
      <c r="V41" s="4">
        <f>(VLOOKUP('20.03'!AD41,'20.03'!$AO$4:$AR$55,4,FALSE))</f>
        <v>0</v>
      </c>
      <c r="W41" s="4">
        <f>(VLOOKUP('20.03'!AE41,'20.03'!$AO$4:$AR$55,4,FALSE))</f>
        <v>0</v>
      </c>
      <c r="X41" s="4">
        <f>(VLOOKUP('20.03'!AF41,'20.03'!$AO$4:$AR$55,4,FALSE))</f>
        <v>0</v>
      </c>
    </row>
    <row r="42" spans="1:24">
      <c r="A42" s="4">
        <f>(VLOOKUP('20.03'!I42,'20.03'!$AO$4:$AR$55,4,FALSE))</f>
        <v>0</v>
      </c>
      <c r="B42" s="4">
        <f>(VLOOKUP('20.03'!J42,'20.03'!$AO$4:$AR$55,4,FALSE))</f>
        <v>0</v>
      </c>
      <c r="C42" s="4">
        <f>(VLOOKUP('20.03'!K42,'20.03'!$AO$4:$AR$55,4,FALSE))</f>
        <v>0</v>
      </c>
      <c r="D42" s="4">
        <f>(VLOOKUP('20.03'!L42,'20.03'!$AO$4:$AR$55,4,FALSE))</f>
        <v>0</v>
      </c>
      <c r="E42" s="4">
        <f>(VLOOKUP('20.03'!M42,'20.03'!$AO$4:$AR$55,4,FALSE))</f>
        <v>0</v>
      </c>
      <c r="F42" s="4">
        <f>(VLOOKUP('20.03'!N42,'20.03'!$AO$4:$AR$55,4,FALSE))</f>
        <v>0</v>
      </c>
      <c r="G42" s="4">
        <f>(VLOOKUP('20.03'!O42,'20.03'!$AO$4:$AR$55,4,FALSE))</f>
        <v>0</v>
      </c>
      <c r="H42" s="4">
        <f>(VLOOKUP('20.03'!P42,'20.03'!$AO$4:$AR$55,4,FALSE))</f>
        <v>0</v>
      </c>
      <c r="I42" s="4">
        <f>(VLOOKUP('20.03'!Q42,'20.03'!$AO$4:$AR$55,4,FALSE))</f>
        <v>0</v>
      </c>
      <c r="J42" s="4">
        <f>(VLOOKUP('20.03'!R42,'20.03'!$AO$4:$AR$55,4,FALSE))</f>
        <v>0</v>
      </c>
      <c r="K42" s="4">
        <f>(VLOOKUP('20.03'!S42,'20.03'!$AO$4:$AR$55,4,FALSE))</f>
        <v>0</v>
      </c>
      <c r="L42" s="4">
        <f>(VLOOKUP('20.03'!T42,'20.03'!$AO$4:$AR$55,4,FALSE))</f>
        <v>0</v>
      </c>
      <c r="M42" s="4">
        <f>(VLOOKUP('20.03'!U42,'20.03'!$AO$4:$AR$55,4,FALSE))</f>
        <v>0</v>
      </c>
      <c r="N42" s="4">
        <f>(VLOOKUP('20.03'!V42,'20.03'!$AO$4:$AR$55,4,FALSE))</f>
        <v>0</v>
      </c>
      <c r="O42" s="4">
        <f>(VLOOKUP('20.03'!W42,'20.03'!$AO$4:$AR$55,4,FALSE))</f>
        <v>0</v>
      </c>
      <c r="P42" s="4">
        <f>(VLOOKUP('20.03'!X42,'20.03'!$AO$4:$AR$55,4,FALSE))</f>
        <v>0</v>
      </c>
      <c r="Q42" s="4">
        <f>(VLOOKUP('20.03'!Y42,'20.03'!$AO$4:$AR$55,4,FALSE))</f>
        <v>0</v>
      </c>
      <c r="R42" s="4">
        <f>(VLOOKUP('20.03'!Z42,'20.03'!$AO$4:$AR$55,4,FALSE))</f>
        <v>0</v>
      </c>
      <c r="S42" s="4">
        <f>(VLOOKUP('20.03'!AA42,'20.03'!$AO$4:$AR$55,4,FALSE))</f>
        <v>0</v>
      </c>
      <c r="T42" s="4">
        <f>(VLOOKUP('20.03'!AB42,'20.03'!$AO$4:$AR$55,4,FALSE))</f>
        <v>0</v>
      </c>
      <c r="U42" s="4">
        <f>(VLOOKUP('20.03'!AC42,'20.03'!$AO$4:$AR$55,4,FALSE))</f>
        <v>0</v>
      </c>
      <c r="V42" s="4">
        <f>(VLOOKUP('20.03'!AD42,'20.03'!$AO$4:$AR$55,4,FALSE))</f>
        <v>0</v>
      </c>
      <c r="W42" s="4">
        <f>(VLOOKUP('20.03'!AE42,'20.03'!$AO$4:$AR$55,4,FALSE))</f>
        <v>0</v>
      </c>
      <c r="X42" s="4">
        <f>(VLOOKUP('20.03'!AF42,'20.03'!$AO$4:$AR$55,4,FALSE))</f>
        <v>0</v>
      </c>
    </row>
    <row r="43" spans="1:24">
      <c r="A43" s="4">
        <f>(VLOOKUP('20.03'!I43,'20.03'!$AO$4:$AR$55,4,FALSE))</f>
        <v>0</v>
      </c>
      <c r="B43" s="4">
        <f>(VLOOKUP('20.03'!J43,'20.03'!$AO$4:$AR$55,4,FALSE))</f>
        <v>0</v>
      </c>
      <c r="C43" s="4">
        <f>(VLOOKUP('20.03'!K43,'20.03'!$AO$4:$AR$55,4,FALSE))</f>
        <v>0</v>
      </c>
      <c r="D43" s="4">
        <f>(VLOOKUP('20.03'!L43,'20.03'!$AO$4:$AR$55,4,FALSE))</f>
        <v>0</v>
      </c>
      <c r="E43" s="4">
        <f>(VLOOKUP('20.03'!M43,'20.03'!$AO$4:$AR$55,4,FALSE))</f>
        <v>0</v>
      </c>
      <c r="F43" s="4">
        <f>(VLOOKUP('20.03'!N43,'20.03'!$AO$4:$AR$55,4,FALSE))</f>
        <v>0</v>
      </c>
      <c r="G43" s="4">
        <f>(VLOOKUP('20.03'!O43,'20.03'!$AO$4:$AR$55,4,FALSE))</f>
        <v>0</v>
      </c>
      <c r="H43" s="4">
        <f>(VLOOKUP('20.03'!P43,'20.03'!$AO$4:$AR$55,4,FALSE))</f>
        <v>0</v>
      </c>
      <c r="I43" s="4">
        <f>(VLOOKUP('20.03'!Q43,'20.03'!$AO$4:$AR$55,4,FALSE))</f>
        <v>0</v>
      </c>
      <c r="J43" s="4">
        <f>(VLOOKUP('20.03'!R43,'20.03'!$AO$4:$AR$55,4,FALSE))</f>
        <v>0</v>
      </c>
      <c r="K43" s="4">
        <f>(VLOOKUP('20.03'!S43,'20.03'!$AO$4:$AR$55,4,FALSE))</f>
        <v>0</v>
      </c>
      <c r="L43" s="4">
        <f>(VLOOKUP('20.03'!T43,'20.03'!$AO$4:$AR$55,4,FALSE))</f>
        <v>0</v>
      </c>
      <c r="M43" s="4">
        <f>(VLOOKUP('20.03'!U43,'20.03'!$AO$4:$AR$55,4,FALSE))</f>
        <v>0</v>
      </c>
      <c r="N43" s="4">
        <f>(VLOOKUP('20.03'!V43,'20.03'!$AO$4:$AR$55,4,FALSE))</f>
        <v>0</v>
      </c>
      <c r="O43" s="4">
        <f>(VLOOKUP('20.03'!W43,'20.03'!$AO$4:$AR$55,4,FALSE))</f>
        <v>0</v>
      </c>
      <c r="P43" s="4">
        <f>(VLOOKUP('20.03'!X43,'20.03'!$AO$4:$AR$55,4,FALSE))</f>
        <v>0</v>
      </c>
      <c r="Q43" s="4">
        <f>(VLOOKUP('20.03'!Y43,'20.03'!$AO$4:$AR$55,4,FALSE))</f>
        <v>0</v>
      </c>
      <c r="R43" s="4">
        <f>(VLOOKUP('20.03'!Z43,'20.03'!$AO$4:$AR$55,4,FALSE))</f>
        <v>0</v>
      </c>
      <c r="S43" s="4">
        <f>(VLOOKUP('20.03'!AA43,'20.03'!$AO$4:$AR$55,4,FALSE))</f>
        <v>0</v>
      </c>
      <c r="T43" s="4">
        <f>(VLOOKUP('20.03'!AB43,'20.03'!$AO$4:$AR$55,4,FALSE))</f>
        <v>0</v>
      </c>
      <c r="U43" s="4">
        <f>(VLOOKUP('20.03'!AC43,'20.03'!$AO$4:$AR$55,4,FALSE))</f>
        <v>0</v>
      </c>
      <c r="V43" s="4">
        <f>(VLOOKUP('20.03'!AD43,'20.03'!$AO$4:$AR$55,4,FALSE))</f>
        <v>0</v>
      </c>
      <c r="W43" s="4">
        <f>(VLOOKUP('20.03'!AE43,'20.03'!$AO$4:$AR$55,4,FALSE))</f>
        <v>0</v>
      </c>
      <c r="X43" s="4">
        <f>(VLOOKUP('20.03'!AF43,'20.03'!$AO$4:$AR$55,4,FALSE))</f>
        <v>0</v>
      </c>
    </row>
    <row r="44" spans="1:24">
      <c r="A44" s="4">
        <f>(VLOOKUP('20.03'!I44,'20.03'!$AO$4:$AR$55,4,FALSE))</f>
        <v>0</v>
      </c>
      <c r="B44" s="4">
        <f>(VLOOKUP('20.03'!J44,'20.03'!$AO$4:$AR$55,4,FALSE))</f>
        <v>0</v>
      </c>
      <c r="C44" s="4">
        <f>(VLOOKUP('20.03'!K44,'20.03'!$AO$4:$AR$55,4,FALSE))</f>
        <v>0</v>
      </c>
      <c r="D44" s="4">
        <f>(VLOOKUP('20.03'!L44,'20.03'!$AO$4:$AR$55,4,FALSE))</f>
        <v>0</v>
      </c>
      <c r="E44" s="4">
        <f>(VLOOKUP('20.03'!M44,'20.03'!$AO$4:$AR$55,4,FALSE))</f>
        <v>0</v>
      </c>
      <c r="F44" s="4">
        <f>(VLOOKUP('20.03'!N44,'20.03'!$AO$4:$AR$55,4,FALSE))</f>
        <v>0</v>
      </c>
      <c r="G44" s="4">
        <f>(VLOOKUP('20.03'!O44,'20.03'!$AO$4:$AR$55,4,FALSE))</f>
        <v>0</v>
      </c>
      <c r="H44" s="4">
        <f>(VLOOKUP('20.03'!P44,'20.03'!$AO$4:$AR$55,4,FALSE))</f>
        <v>0</v>
      </c>
      <c r="I44" s="4">
        <f>(VLOOKUP('20.03'!Q44,'20.03'!$AO$4:$AR$55,4,FALSE))</f>
        <v>0</v>
      </c>
      <c r="J44" s="4">
        <f>(VLOOKUP('20.03'!R44,'20.03'!$AO$4:$AR$55,4,FALSE))</f>
        <v>0</v>
      </c>
      <c r="K44" s="4">
        <f>(VLOOKUP('20.03'!S44,'20.03'!$AO$4:$AR$55,4,FALSE))</f>
        <v>0</v>
      </c>
      <c r="L44" s="4">
        <f>(VLOOKUP('20.03'!T44,'20.03'!$AO$4:$AR$55,4,FALSE))</f>
        <v>0</v>
      </c>
      <c r="M44" s="4">
        <f>(VLOOKUP('20.03'!U44,'20.03'!$AO$4:$AR$55,4,FALSE))</f>
        <v>0</v>
      </c>
      <c r="N44" s="4">
        <f>(VLOOKUP('20.03'!V44,'20.03'!$AO$4:$AR$55,4,FALSE))</f>
        <v>0</v>
      </c>
      <c r="O44" s="4">
        <f>(VLOOKUP('20.03'!W44,'20.03'!$AO$4:$AR$55,4,FALSE))</f>
        <v>0</v>
      </c>
      <c r="P44" s="4">
        <f>(VLOOKUP('20.03'!X44,'20.03'!$AO$4:$AR$55,4,FALSE))</f>
        <v>0</v>
      </c>
      <c r="Q44" s="4">
        <f>(VLOOKUP('20.03'!Y44,'20.03'!$AO$4:$AR$55,4,FALSE))</f>
        <v>0</v>
      </c>
      <c r="R44" s="4">
        <f>(VLOOKUP('20.03'!Z44,'20.03'!$AO$4:$AR$55,4,FALSE))</f>
        <v>0</v>
      </c>
      <c r="S44" s="4">
        <f>(VLOOKUP('20.03'!AA44,'20.03'!$AO$4:$AR$55,4,FALSE))</f>
        <v>0</v>
      </c>
      <c r="T44" s="4">
        <f>(VLOOKUP('20.03'!AB44,'20.03'!$AO$4:$AR$55,4,FALSE))</f>
        <v>0</v>
      </c>
      <c r="U44" s="4">
        <f>(VLOOKUP('20.03'!AC44,'20.03'!$AO$4:$AR$55,4,FALSE))</f>
        <v>0</v>
      </c>
      <c r="V44" s="4">
        <f>(VLOOKUP('20.03'!AD44,'20.03'!$AO$4:$AR$55,4,FALSE))</f>
        <v>0</v>
      </c>
      <c r="W44" s="4">
        <f>(VLOOKUP('20.03'!AE44,'20.03'!$AO$4:$AR$55,4,FALSE))</f>
        <v>0</v>
      </c>
      <c r="X44" s="4">
        <f>(VLOOKUP('20.03'!AF44,'20.03'!$AO$4:$AR$55,4,FALSE))</f>
        <v>0</v>
      </c>
    </row>
    <row r="45" spans="1:24">
      <c r="A45" s="4">
        <f>(VLOOKUP('20.03'!I45,'20.03'!$AO$4:$AR$55,4,FALSE))</f>
        <v>0</v>
      </c>
      <c r="B45" s="4">
        <f>(VLOOKUP('20.03'!J45,'20.03'!$AO$4:$AR$55,4,FALSE))</f>
        <v>0</v>
      </c>
      <c r="C45" s="4">
        <f>(VLOOKUP('20.03'!K45,'20.03'!$AO$4:$AR$55,4,FALSE))</f>
        <v>0</v>
      </c>
      <c r="D45" s="4">
        <f>(VLOOKUP('20.03'!L45,'20.03'!$AO$4:$AR$55,4,FALSE))</f>
        <v>0</v>
      </c>
      <c r="E45" s="4">
        <f>(VLOOKUP('20.03'!M45,'20.03'!$AO$4:$AR$55,4,FALSE))</f>
        <v>0</v>
      </c>
      <c r="F45" s="4">
        <f>(VLOOKUP('20.03'!N45,'20.03'!$AO$4:$AR$55,4,FALSE))</f>
        <v>0</v>
      </c>
      <c r="G45" s="4">
        <f>(VLOOKUP('20.03'!O45,'20.03'!$AO$4:$AR$55,4,FALSE))</f>
        <v>0</v>
      </c>
      <c r="H45" s="4">
        <f>(VLOOKUP('20.03'!P45,'20.03'!$AO$4:$AR$55,4,FALSE))</f>
        <v>0</v>
      </c>
      <c r="I45" s="4">
        <f>(VLOOKUP('20.03'!Q45,'20.03'!$AO$4:$AR$55,4,FALSE))</f>
        <v>0</v>
      </c>
      <c r="J45" s="4">
        <f>(VLOOKUP('20.03'!R45,'20.03'!$AO$4:$AR$55,4,FALSE))</f>
        <v>0</v>
      </c>
      <c r="K45" s="4">
        <f>(VLOOKUP('20.03'!S45,'20.03'!$AO$4:$AR$55,4,FALSE))</f>
        <v>0</v>
      </c>
      <c r="L45" s="4">
        <f>(VLOOKUP('20.03'!T45,'20.03'!$AO$4:$AR$55,4,FALSE))</f>
        <v>0</v>
      </c>
      <c r="M45" s="4">
        <f>(VLOOKUP('20.03'!U45,'20.03'!$AO$4:$AR$55,4,FALSE))</f>
        <v>0</v>
      </c>
      <c r="N45" s="4">
        <f>(VLOOKUP('20.03'!V45,'20.03'!$AO$4:$AR$55,4,FALSE))</f>
        <v>0</v>
      </c>
      <c r="O45" s="4">
        <f>(VLOOKUP('20.03'!W45,'20.03'!$AO$4:$AR$55,4,FALSE))</f>
        <v>0</v>
      </c>
      <c r="P45" s="4">
        <f>(VLOOKUP('20.03'!X45,'20.03'!$AO$4:$AR$55,4,FALSE))</f>
        <v>0</v>
      </c>
      <c r="Q45" s="4">
        <f>(VLOOKUP('20.03'!Y45,'20.03'!$AO$4:$AR$55,4,FALSE))</f>
        <v>0</v>
      </c>
      <c r="R45" s="4">
        <f>(VLOOKUP('20.03'!Z45,'20.03'!$AO$4:$AR$55,4,FALSE))</f>
        <v>0</v>
      </c>
      <c r="S45" s="4">
        <f>(VLOOKUP('20.03'!AA45,'20.03'!$AO$4:$AR$55,4,FALSE))</f>
        <v>0</v>
      </c>
      <c r="T45" s="4">
        <f>(VLOOKUP('20.03'!AB45,'20.03'!$AO$4:$AR$55,4,FALSE))</f>
        <v>0</v>
      </c>
      <c r="U45" s="4">
        <f>(VLOOKUP('20.03'!AC45,'20.03'!$AO$4:$AR$55,4,FALSE))</f>
        <v>0</v>
      </c>
      <c r="V45" s="4">
        <f>(VLOOKUP('20.03'!AD45,'20.03'!$AO$4:$AR$55,4,FALSE))</f>
        <v>0</v>
      </c>
      <c r="W45" s="4">
        <f>(VLOOKUP('20.03'!AE45,'20.03'!$AO$4:$AR$55,4,FALSE))</f>
        <v>0</v>
      </c>
      <c r="X45" s="4">
        <f>(VLOOKUP('20.03'!AF45,'20.03'!$AO$4:$AR$55,4,FALSE))</f>
        <v>0</v>
      </c>
    </row>
    <row r="46" spans="1:24">
      <c r="A46" s="4">
        <f>(VLOOKUP('20.03'!I46,'20.03'!$AO$4:$AR$55,4,FALSE))</f>
        <v>0</v>
      </c>
      <c r="B46" s="4">
        <f>(VLOOKUP('20.03'!J46,'20.03'!$AO$4:$AR$55,4,FALSE))</f>
        <v>0</v>
      </c>
      <c r="C46" s="4">
        <f>(VLOOKUP('20.03'!K46,'20.03'!$AO$4:$AR$55,4,FALSE))</f>
        <v>0</v>
      </c>
      <c r="D46" s="4">
        <f>(VLOOKUP('20.03'!L46,'20.03'!$AO$4:$AR$55,4,FALSE))</f>
        <v>0</v>
      </c>
      <c r="E46" s="4">
        <f>(VLOOKUP('20.03'!M46,'20.03'!$AO$4:$AR$55,4,FALSE))</f>
        <v>0</v>
      </c>
      <c r="F46" s="4">
        <f>(VLOOKUP('20.03'!N46,'20.03'!$AO$4:$AR$55,4,FALSE))</f>
        <v>0</v>
      </c>
      <c r="G46" s="4">
        <f>(VLOOKUP('20.03'!O46,'20.03'!$AO$4:$AR$55,4,FALSE))</f>
        <v>0</v>
      </c>
      <c r="H46" s="4">
        <f>(VLOOKUP('20.03'!P46,'20.03'!$AO$4:$AR$55,4,FALSE))</f>
        <v>0</v>
      </c>
      <c r="I46" s="4">
        <f>(VLOOKUP('20.03'!Q46,'20.03'!$AO$4:$AR$55,4,FALSE))</f>
        <v>0</v>
      </c>
      <c r="J46" s="4">
        <f>(VLOOKUP('20.03'!R46,'20.03'!$AO$4:$AR$55,4,FALSE))</f>
        <v>0</v>
      </c>
      <c r="K46" s="4">
        <f>(VLOOKUP('20.03'!S46,'20.03'!$AO$4:$AR$55,4,FALSE))</f>
        <v>0</v>
      </c>
      <c r="L46" s="4">
        <f>(VLOOKUP('20.03'!T46,'20.03'!$AO$4:$AR$55,4,FALSE))</f>
        <v>0</v>
      </c>
      <c r="M46" s="4">
        <f>(VLOOKUP('20.03'!U46,'20.03'!$AO$4:$AR$55,4,FALSE))</f>
        <v>0</v>
      </c>
      <c r="N46" s="4">
        <f>(VLOOKUP('20.03'!V46,'20.03'!$AO$4:$AR$55,4,FALSE))</f>
        <v>0</v>
      </c>
      <c r="O46" s="4">
        <f>(VLOOKUP('20.03'!W46,'20.03'!$AO$4:$AR$55,4,FALSE))</f>
        <v>0</v>
      </c>
      <c r="P46" s="4">
        <f>(VLOOKUP('20.03'!X46,'20.03'!$AO$4:$AR$55,4,FALSE))</f>
        <v>0</v>
      </c>
      <c r="Q46" s="4">
        <f>(VLOOKUP('20.03'!Y46,'20.03'!$AO$4:$AR$55,4,FALSE))</f>
        <v>0</v>
      </c>
      <c r="R46" s="4">
        <f>(VLOOKUP('20.03'!Z46,'20.03'!$AO$4:$AR$55,4,FALSE))</f>
        <v>0</v>
      </c>
      <c r="S46" s="4">
        <f>(VLOOKUP('20.03'!AA46,'20.03'!$AO$4:$AR$55,4,FALSE))</f>
        <v>0</v>
      </c>
      <c r="T46" s="4">
        <f>(VLOOKUP('20.03'!AB46,'20.03'!$AO$4:$AR$55,4,FALSE))</f>
        <v>0</v>
      </c>
      <c r="U46" s="4">
        <f>(VLOOKUP('20.03'!AC46,'20.03'!$AO$4:$AR$55,4,FALSE))</f>
        <v>0</v>
      </c>
      <c r="V46" s="4">
        <f>(VLOOKUP('20.03'!AD46,'20.03'!$AO$4:$AR$55,4,FALSE))</f>
        <v>0</v>
      </c>
      <c r="W46" s="4">
        <f>(VLOOKUP('20.03'!AE46,'20.03'!$AO$4:$AR$55,4,FALSE))</f>
        <v>0</v>
      </c>
      <c r="X46" s="4">
        <f>(VLOOKUP('20.03'!AF46,'20.03'!$AO$4:$AR$55,4,FALSE))</f>
        <v>0</v>
      </c>
    </row>
    <row r="47" spans="1:24">
      <c r="A47" s="4">
        <f>(VLOOKUP('20.03'!I47,'20.03'!$AO$4:$AR$55,4,FALSE))</f>
        <v>0</v>
      </c>
      <c r="B47" s="4">
        <f>(VLOOKUP('20.03'!J47,'20.03'!$AO$4:$AR$55,4,FALSE))</f>
        <v>0</v>
      </c>
      <c r="C47" s="4">
        <f>(VLOOKUP('20.03'!K47,'20.03'!$AO$4:$AR$55,4,FALSE))</f>
        <v>0</v>
      </c>
      <c r="D47" s="4">
        <f>(VLOOKUP('20.03'!L47,'20.03'!$AO$4:$AR$55,4,FALSE))</f>
        <v>0</v>
      </c>
      <c r="E47" s="4">
        <f>(VLOOKUP('20.03'!M47,'20.03'!$AO$4:$AR$55,4,FALSE))</f>
        <v>0</v>
      </c>
      <c r="F47" s="4">
        <f>(VLOOKUP('20.03'!N47,'20.03'!$AO$4:$AR$55,4,FALSE))</f>
        <v>0</v>
      </c>
      <c r="G47" s="4">
        <f>(VLOOKUP('20.03'!O47,'20.03'!$AO$4:$AR$55,4,FALSE))</f>
        <v>0</v>
      </c>
      <c r="H47" s="4">
        <f>(VLOOKUP('20.03'!P47,'20.03'!$AO$4:$AR$55,4,FALSE))</f>
        <v>0</v>
      </c>
      <c r="I47" s="4">
        <f>(VLOOKUP('20.03'!Q47,'20.03'!$AO$4:$AR$55,4,FALSE))</f>
        <v>0</v>
      </c>
      <c r="J47" s="4">
        <f>(VLOOKUP('20.03'!R47,'20.03'!$AO$4:$AR$55,4,FALSE))</f>
        <v>0</v>
      </c>
      <c r="K47" s="4">
        <f>(VLOOKUP('20.03'!S47,'20.03'!$AO$4:$AR$55,4,FALSE))</f>
        <v>0</v>
      </c>
      <c r="L47" s="4">
        <f>(VLOOKUP('20.03'!T47,'20.03'!$AO$4:$AR$55,4,FALSE))</f>
        <v>0</v>
      </c>
      <c r="M47" s="4">
        <f>(VLOOKUP('20.03'!U47,'20.03'!$AO$4:$AR$55,4,FALSE))</f>
        <v>0</v>
      </c>
      <c r="N47" s="4">
        <f>(VLOOKUP('20.03'!V47,'20.03'!$AO$4:$AR$55,4,FALSE))</f>
        <v>0</v>
      </c>
      <c r="O47" s="4">
        <f>(VLOOKUP('20.03'!W47,'20.03'!$AO$4:$AR$55,4,FALSE))</f>
        <v>0</v>
      </c>
      <c r="P47" s="4">
        <f>(VLOOKUP('20.03'!X47,'20.03'!$AO$4:$AR$55,4,FALSE))</f>
        <v>0</v>
      </c>
      <c r="Q47" s="4">
        <f>(VLOOKUP('20.03'!Y47,'20.03'!$AO$4:$AR$55,4,FALSE))</f>
        <v>0</v>
      </c>
      <c r="R47" s="4">
        <f>(VLOOKUP('20.03'!Z47,'20.03'!$AO$4:$AR$55,4,FALSE))</f>
        <v>0</v>
      </c>
      <c r="S47" s="4">
        <f>(VLOOKUP('20.03'!AA47,'20.03'!$AO$4:$AR$55,4,FALSE))</f>
        <v>0</v>
      </c>
      <c r="T47" s="4">
        <f>(VLOOKUP('20.03'!AB47,'20.03'!$AO$4:$AR$55,4,FALSE))</f>
        <v>0</v>
      </c>
      <c r="U47" s="4">
        <f>(VLOOKUP('20.03'!AC47,'20.03'!$AO$4:$AR$55,4,FALSE))</f>
        <v>0</v>
      </c>
      <c r="V47" s="4">
        <f>(VLOOKUP('20.03'!AD47,'20.03'!$AO$4:$AR$55,4,FALSE))</f>
        <v>0</v>
      </c>
      <c r="W47" s="4">
        <f>(VLOOKUP('20.03'!AE47,'20.03'!$AO$4:$AR$55,4,FALSE))</f>
        <v>0</v>
      </c>
      <c r="X47" s="4">
        <f>(VLOOKUP('20.03'!AF47,'20.03'!$AO$4:$AR$55,4,FALSE))</f>
        <v>0</v>
      </c>
    </row>
    <row r="48" spans="1:24">
      <c r="A48" s="4">
        <f>(VLOOKUP('20.03'!I48,'20.03'!$AO$4:$AR$55,4,FALSE))</f>
        <v>0</v>
      </c>
      <c r="B48" s="4">
        <f>(VLOOKUP('20.03'!J48,'20.03'!$AO$4:$AR$55,4,FALSE))</f>
        <v>0</v>
      </c>
      <c r="C48" s="4">
        <f>(VLOOKUP('20.03'!K48,'20.03'!$AO$4:$AR$55,4,FALSE))</f>
        <v>0</v>
      </c>
      <c r="D48" s="4">
        <f>(VLOOKUP('20.03'!L48,'20.03'!$AO$4:$AR$55,4,FALSE))</f>
        <v>0</v>
      </c>
      <c r="E48" s="4">
        <f>(VLOOKUP('20.03'!M48,'20.03'!$AO$4:$AR$55,4,FALSE))</f>
        <v>0</v>
      </c>
      <c r="F48" s="4">
        <f>(VLOOKUP('20.03'!N48,'20.03'!$AO$4:$AR$55,4,FALSE))</f>
        <v>0</v>
      </c>
      <c r="G48" s="4">
        <f>(VLOOKUP('20.03'!O48,'20.03'!$AO$4:$AR$55,4,FALSE))</f>
        <v>0</v>
      </c>
      <c r="H48" s="4">
        <f>(VLOOKUP('20.03'!P48,'20.03'!$AO$4:$AR$55,4,FALSE))</f>
        <v>0</v>
      </c>
      <c r="I48" s="4">
        <f>(VLOOKUP('20.03'!Q48,'20.03'!$AO$4:$AR$55,4,FALSE))</f>
        <v>0</v>
      </c>
      <c r="J48" s="4">
        <f>(VLOOKUP('20.03'!R48,'20.03'!$AO$4:$AR$55,4,FALSE))</f>
        <v>0</v>
      </c>
      <c r="K48" s="4">
        <f>(VLOOKUP('20.03'!S48,'20.03'!$AO$4:$AR$55,4,FALSE))</f>
        <v>0</v>
      </c>
      <c r="L48" s="4">
        <f>(VLOOKUP('20.03'!T48,'20.03'!$AO$4:$AR$55,4,FALSE))</f>
        <v>0</v>
      </c>
      <c r="M48" s="4">
        <f>(VLOOKUP('20.03'!U48,'20.03'!$AO$4:$AR$55,4,FALSE))</f>
        <v>0</v>
      </c>
      <c r="N48" s="4">
        <f>(VLOOKUP('20.03'!V48,'20.03'!$AO$4:$AR$55,4,FALSE))</f>
        <v>0</v>
      </c>
      <c r="O48" s="4">
        <f>(VLOOKUP('20.03'!W48,'20.03'!$AO$4:$AR$55,4,FALSE))</f>
        <v>0</v>
      </c>
      <c r="P48" s="4">
        <f>(VLOOKUP('20.03'!X48,'20.03'!$AO$4:$AR$55,4,FALSE))</f>
        <v>0</v>
      </c>
      <c r="Q48" s="4">
        <f>(VLOOKUP('20.03'!Y48,'20.03'!$AO$4:$AR$55,4,FALSE))</f>
        <v>0</v>
      </c>
      <c r="R48" s="4">
        <f>(VLOOKUP('20.03'!Z48,'20.03'!$AO$4:$AR$55,4,FALSE))</f>
        <v>0</v>
      </c>
      <c r="S48" s="4">
        <f>(VLOOKUP('20.03'!AA48,'20.03'!$AO$4:$AR$55,4,FALSE))</f>
        <v>0</v>
      </c>
      <c r="T48" s="4">
        <f>(VLOOKUP('20.03'!AB48,'20.03'!$AO$4:$AR$55,4,FALSE))</f>
        <v>0</v>
      </c>
      <c r="U48" s="4">
        <f>(VLOOKUP('20.03'!AC48,'20.03'!$AO$4:$AR$55,4,FALSE))</f>
        <v>0</v>
      </c>
      <c r="V48" s="4">
        <f>(VLOOKUP('20.03'!AD48,'20.03'!$AO$4:$AR$55,4,FALSE))</f>
        <v>0</v>
      </c>
      <c r="W48" s="4">
        <f>(VLOOKUP('20.03'!AE48,'20.03'!$AO$4:$AR$55,4,FALSE))</f>
        <v>0</v>
      </c>
      <c r="X48" s="4">
        <f>(VLOOKUP('20.03'!AF48,'20.03'!$AO$4:$AR$55,4,FALSE))</f>
        <v>0</v>
      </c>
    </row>
    <row r="49" spans="1:24">
      <c r="A49" s="4">
        <f>(VLOOKUP('20.03'!I49,'20.03'!$AO$4:$AR$55,4,FALSE))</f>
        <v>0</v>
      </c>
      <c r="B49" s="4">
        <f>(VLOOKUP('20.03'!J49,'20.03'!$AO$4:$AR$55,4,FALSE))</f>
        <v>0</v>
      </c>
      <c r="C49" s="4">
        <f>(VLOOKUP('20.03'!K49,'20.03'!$AO$4:$AR$55,4,FALSE))</f>
        <v>0</v>
      </c>
      <c r="D49" s="4">
        <f>(VLOOKUP('20.03'!L49,'20.03'!$AO$4:$AR$55,4,FALSE))</f>
        <v>0</v>
      </c>
      <c r="E49" s="4">
        <f>(VLOOKUP('20.03'!M49,'20.03'!$AO$4:$AR$55,4,FALSE))</f>
        <v>0</v>
      </c>
      <c r="F49" s="4">
        <f>(VLOOKUP('20.03'!N49,'20.03'!$AO$4:$AR$55,4,FALSE))</f>
        <v>0</v>
      </c>
      <c r="G49" s="4">
        <f>(VLOOKUP('20.03'!O49,'20.03'!$AO$4:$AR$55,4,FALSE))</f>
        <v>0</v>
      </c>
      <c r="H49" s="4">
        <f>(VLOOKUP('20.03'!P49,'20.03'!$AO$4:$AR$55,4,FALSE))</f>
        <v>0</v>
      </c>
      <c r="I49" s="4">
        <f>(VLOOKUP('20.03'!Q49,'20.03'!$AO$4:$AR$55,4,FALSE))</f>
        <v>0</v>
      </c>
      <c r="J49" s="4">
        <f>(VLOOKUP('20.03'!R49,'20.03'!$AO$4:$AR$55,4,FALSE))</f>
        <v>0</v>
      </c>
      <c r="K49" s="4">
        <f>(VLOOKUP('20.03'!S49,'20.03'!$AO$4:$AR$55,4,FALSE))</f>
        <v>0</v>
      </c>
      <c r="L49" s="4">
        <f>(VLOOKUP('20.03'!T49,'20.03'!$AO$4:$AR$55,4,FALSE))</f>
        <v>0</v>
      </c>
      <c r="M49" s="4">
        <f>(VLOOKUP('20.03'!U49,'20.03'!$AO$4:$AR$55,4,FALSE))</f>
        <v>0</v>
      </c>
      <c r="N49" s="4">
        <f>(VLOOKUP('20.03'!V49,'20.03'!$AO$4:$AR$55,4,FALSE))</f>
        <v>0</v>
      </c>
      <c r="O49" s="4">
        <f>(VLOOKUP('20.03'!W49,'20.03'!$AO$4:$AR$55,4,FALSE))</f>
        <v>0</v>
      </c>
      <c r="P49" s="4">
        <f>(VLOOKUP('20.03'!X49,'20.03'!$AO$4:$AR$55,4,FALSE))</f>
        <v>0</v>
      </c>
      <c r="Q49" s="4">
        <f>(VLOOKUP('20.03'!Y49,'20.03'!$AO$4:$AR$55,4,FALSE))</f>
        <v>0</v>
      </c>
      <c r="R49" s="4">
        <f>(VLOOKUP('20.03'!Z49,'20.03'!$AO$4:$AR$55,4,FALSE))</f>
        <v>0</v>
      </c>
      <c r="S49" s="4">
        <f>(VLOOKUP('20.03'!AA49,'20.03'!$AO$4:$AR$55,4,FALSE))</f>
        <v>0</v>
      </c>
      <c r="T49" s="4">
        <f>(VLOOKUP('20.03'!AB49,'20.03'!$AO$4:$AR$55,4,FALSE))</f>
        <v>0</v>
      </c>
      <c r="U49" s="4">
        <f>(VLOOKUP('20.03'!AC49,'20.03'!$AO$4:$AR$55,4,FALSE))</f>
        <v>0</v>
      </c>
      <c r="V49" s="4">
        <f>(VLOOKUP('20.03'!AD49,'20.03'!$AO$4:$AR$55,4,FALSE))</f>
        <v>0</v>
      </c>
      <c r="W49" s="4">
        <f>(VLOOKUP('20.03'!AE49,'20.03'!$AO$4:$AR$55,4,FALSE))</f>
        <v>0</v>
      </c>
      <c r="X49" s="4">
        <f>(VLOOKUP('20.03'!AF49,'20.03'!$AO$4:$AR$55,4,FALSE))</f>
        <v>0</v>
      </c>
    </row>
    <row r="50" spans="1:24">
      <c r="A50" s="4">
        <f>(VLOOKUP('20.03'!I50,'20.03'!$AO$4:$AR$55,4,FALSE))</f>
        <v>0</v>
      </c>
      <c r="B50" s="4">
        <f>(VLOOKUP('20.03'!J50,'20.03'!$AO$4:$AR$55,4,FALSE))</f>
        <v>0</v>
      </c>
      <c r="C50" s="4">
        <f>(VLOOKUP('20.03'!K50,'20.03'!$AO$4:$AR$55,4,FALSE))</f>
        <v>0</v>
      </c>
      <c r="D50" s="4">
        <f>(VLOOKUP('20.03'!L50,'20.03'!$AO$4:$AR$55,4,FALSE))</f>
        <v>0</v>
      </c>
      <c r="E50" s="4">
        <f>(VLOOKUP('20.03'!M50,'20.03'!$AO$4:$AR$55,4,FALSE))</f>
        <v>0</v>
      </c>
      <c r="F50" s="4">
        <f>(VLOOKUP('20.03'!N50,'20.03'!$AO$4:$AR$55,4,FALSE))</f>
        <v>0</v>
      </c>
      <c r="G50" s="4">
        <f>(VLOOKUP('20.03'!O50,'20.03'!$AO$4:$AR$55,4,FALSE))</f>
        <v>0</v>
      </c>
      <c r="H50" s="4">
        <f>(VLOOKUP('20.03'!P50,'20.03'!$AO$4:$AR$55,4,FALSE))</f>
        <v>0</v>
      </c>
      <c r="I50" s="4">
        <f>(VLOOKUP('20.03'!Q50,'20.03'!$AO$4:$AR$55,4,FALSE))</f>
        <v>0</v>
      </c>
      <c r="J50" s="4">
        <f>(VLOOKUP('20.03'!R50,'20.03'!$AO$4:$AR$55,4,FALSE))</f>
        <v>0</v>
      </c>
      <c r="K50" s="4">
        <f>(VLOOKUP('20.03'!S50,'20.03'!$AO$4:$AR$55,4,FALSE))</f>
        <v>0</v>
      </c>
      <c r="L50" s="4">
        <f>(VLOOKUP('20.03'!T50,'20.03'!$AO$4:$AR$55,4,FALSE))</f>
        <v>0</v>
      </c>
      <c r="M50" s="4">
        <f>(VLOOKUP('20.03'!U50,'20.03'!$AO$4:$AR$55,4,FALSE))</f>
        <v>0</v>
      </c>
      <c r="N50" s="4">
        <f>(VLOOKUP('20.03'!V50,'20.03'!$AO$4:$AR$55,4,FALSE))</f>
        <v>0</v>
      </c>
      <c r="O50" s="4">
        <f>(VLOOKUP('20.03'!W50,'20.03'!$AO$4:$AR$55,4,FALSE))</f>
        <v>0</v>
      </c>
      <c r="P50" s="4">
        <f>(VLOOKUP('20.03'!X50,'20.03'!$AO$4:$AR$55,4,FALSE))</f>
        <v>0</v>
      </c>
      <c r="Q50" s="4">
        <f>(VLOOKUP('20.03'!Y50,'20.03'!$AO$4:$AR$55,4,FALSE))</f>
        <v>0</v>
      </c>
      <c r="R50" s="4">
        <f>(VLOOKUP('20.03'!Z50,'20.03'!$AO$4:$AR$55,4,FALSE))</f>
        <v>0</v>
      </c>
      <c r="S50" s="4">
        <f>(VLOOKUP('20.03'!AA50,'20.03'!$AO$4:$AR$55,4,FALSE))</f>
        <v>0</v>
      </c>
      <c r="T50" s="4">
        <f>(VLOOKUP('20.03'!AB50,'20.03'!$AO$4:$AR$55,4,FALSE))</f>
        <v>0</v>
      </c>
      <c r="U50" s="4">
        <f>(VLOOKUP('20.03'!AC50,'20.03'!$AO$4:$AR$55,4,FALSE))</f>
        <v>0</v>
      </c>
      <c r="V50" s="4">
        <f>(VLOOKUP('20.03'!AD50,'20.03'!$AO$4:$AR$55,4,FALSE))</f>
        <v>0</v>
      </c>
      <c r="W50" s="4">
        <f>(VLOOKUP('20.03'!AE50,'20.03'!$AO$4:$AR$55,4,FALSE))</f>
        <v>0</v>
      </c>
      <c r="X50" s="4">
        <f>(VLOOKUP('20.03'!AF50,'20.03'!$AO$4:$AR$55,4,FALSE))</f>
        <v>0</v>
      </c>
    </row>
    <row r="51" spans="1:24">
      <c r="A51" s="4">
        <f>(VLOOKUP('20.03'!I51,'20.03'!$AO$4:$AR$55,4,FALSE))</f>
        <v>0</v>
      </c>
      <c r="B51" s="4">
        <f>(VLOOKUP('20.03'!J51,'20.03'!$AO$4:$AR$55,4,FALSE))</f>
        <v>0</v>
      </c>
      <c r="C51" s="4">
        <f>(VLOOKUP('20.03'!K51,'20.03'!$AO$4:$AR$55,4,FALSE))</f>
        <v>0</v>
      </c>
      <c r="D51" s="4">
        <f>(VLOOKUP('20.03'!L51,'20.03'!$AO$4:$AR$55,4,FALSE))</f>
        <v>0</v>
      </c>
      <c r="E51" s="4">
        <f>(VLOOKUP('20.03'!M51,'20.03'!$AO$4:$AR$55,4,FALSE))</f>
        <v>0</v>
      </c>
      <c r="F51" s="4">
        <f>(VLOOKUP('20.03'!N51,'20.03'!$AO$4:$AR$55,4,FALSE))</f>
        <v>0</v>
      </c>
      <c r="G51" s="4">
        <f>(VLOOKUP('20.03'!O51,'20.03'!$AO$4:$AR$55,4,FALSE))</f>
        <v>0</v>
      </c>
      <c r="H51" s="4">
        <f>(VLOOKUP('20.03'!P51,'20.03'!$AO$4:$AR$55,4,FALSE))</f>
        <v>0</v>
      </c>
      <c r="I51" s="4">
        <f>(VLOOKUP('20.03'!Q51,'20.03'!$AO$4:$AR$55,4,FALSE))</f>
        <v>0</v>
      </c>
      <c r="J51" s="4">
        <f>(VLOOKUP('20.03'!R51,'20.03'!$AO$4:$AR$55,4,FALSE))</f>
        <v>0</v>
      </c>
      <c r="K51" s="4">
        <f>(VLOOKUP('20.03'!S51,'20.03'!$AO$4:$AR$55,4,FALSE))</f>
        <v>0</v>
      </c>
      <c r="L51" s="4">
        <f>(VLOOKUP('20.03'!T51,'20.03'!$AO$4:$AR$55,4,FALSE))</f>
        <v>0</v>
      </c>
      <c r="M51" s="4">
        <f>(VLOOKUP('20.03'!U51,'20.03'!$AO$4:$AR$55,4,FALSE))</f>
        <v>0</v>
      </c>
      <c r="N51" s="4">
        <f>(VLOOKUP('20.03'!V51,'20.03'!$AO$4:$AR$55,4,FALSE))</f>
        <v>0</v>
      </c>
      <c r="O51" s="4">
        <f>(VLOOKUP('20.03'!W51,'20.03'!$AO$4:$AR$55,4,FALSE))</f>
        <v>0</v>
      </c>
      <c r="P51" s="4">
        <f>(VLOOKUP('20.03'!X51,'20.03'!$AO$4:$AR$55,4,FALSE))</f>
        <v>0</v>
      </c>
      <c r="Q51" s="4">
        <f>(VLOOKUP('20.03'!Y51,'20.03'!$AO$4:$AR$55,4,FALSE))</f>
        <v>0</v>
      </c>
      <c r="R51" s="4">
        <f>(VLOOKUP('20.03'!Z51,'20.03'!$AO$4:$AR$55,4,FALSE))</f>
        <v>0</v>
      </c>
      <c r="S51" s="4">
        <f>(VLOOKUP('20.03'!AA51,'20.03'!$AO$4:$AR$55,4,FALSE))</f>
        <v>0</v>
      </c>
      <c r="T51" s="4">
        <f>(VLOOKUP('20.03'!AB51,'20.03'!$AO$4:$AR$55,4,FALSE))</f>
        <v>0</v>
      </c>
      <c r="U51" s="4">
        <f>(VLOOKUP('20.03'!AC51,'20.03'!$AO$4:$AR$55,4,FALSE))</f>
        <v>0</v>
      </c>
      <c r="V51" s="4">
        <f>(VLOOKUP('20.03'!AD51,'20.03'!$AO$4:$AR$55,4,FALSE))</f>
        <v>0</v>
      </c>
      <c r="W51" s="4">
        <f>(VLOOKUP('20.03'!AE51,'20.03'!$AO$4:$AR$55,4,FALSE))</f>
        <v>0</v>
      </c>
      <c r="X51" s="4">
        <f>(VLOOKUP('20.03'!AF51,'20.03'!$AO$4:$AR$55,4,FALSE))</f>
        <v>0</v>
      </c>
    </row>
    <row r="52" spans="1:24">
      <c r="A52" s="4">
        <f>(VLOOKUP('20.03'!I52,'20.03'!$AO$4:$AR$55,4,FALSE))</f>
        <v>0</v>
      </c>
      <c r="B52" s="4">
        <f>(VLOOKUP('20.03'!J52,'20.03'!$AO$4:$AR$55,4,FALSE))</f>
        <v>0</v>
      </c>
      <c r="C52" s="4">
        <f>(VLOOKUP('20.03'!K52,'20.03'!$AO$4:$AR$55,4,FALSE))</f>
        <v>0</v>
      </c>
      <c r="D52" s="4">
        <f>(VLOOKUP('20.03'!L52,'20.03'!$AO$4:$AR$55,4,FALSE))</f>
        <v>0</v>
      </c>
      <c r="E52" s="4">
        <f>(VLOOKUP('20.03'!M52,'20.03'!$AO$4:$AR$55,4,FALSE))</f>
        <v>0</v>
      </c>
      <c r="F52" s="4">
        <f>(VLOOKUP('20.03'!N52,'20.03'!$AO$4:$AR$55,4,FALSE))</f>
        <v>0</v>
      </c>
      <c r="G52" s="4">
        <f>(VLOOKUP('20.03'!O52,'20.03'!$AO$4:$AR$55,4,FALSE))</f>
        <v>0</v>
      </c>
      <c r="H52" s="4">
        <f>(VLOOKUP('20.03'!P52,'20.03'!$AO$4:$AR$55,4,FALSE))</f>
        <v>0</v>
      </c>
      <c r="I52" s="4">
        <f>(VLOOKUP('20.03'!Q52,'20.03'!$AO$4:$AR$55,4,FALSE))</f>
        <v>0</v>
      </c>
      <c r="J52" s="4">
        <f>(VLOOKUP('20.03'!R52,'20.03'!$AO$4:$AR$55,4,FALSE))</f>
        <v>0</v>
      </c>
      <c r="K52" s="4">
        <f>(VLOOKUP('20.03'!S52,'20.03'!$AO$4:$AR$55,4,FALSE))</f>
        <v>0</v>
      </c>
      <c r="L52" s="4">
        <f>(VLOOKUP('20.03'!T52,'20.03'!$AO$4:$AR$55,4,FALSE))</f>
        <v>0</v>
      </c>
      <c r="M52" s="4">
        <f>(VLOOKUP('20.03'!U52,'20.03'!$AO$4:$AR$55,4,FALSE))</f>
        <v>0</v>
      </c>
      <c r="N52" s="4">
        <f>(VLOOKUP('20.03'!V52,'20.03'!$AO$4:$AR$55,4,FALSE))</f>
        <v>0</v>
      </c>
      <c r="O52" s="4">
        <f>(VLOOKUP('20.03'!W52,'20.03'!$AO$4:$AR$55,4,FALSE))</f>
        <v>0</v>
      </c>
      <c r="P52" s="4">
        <f>(VLOOKUP('20.03'!X52,'20.03'!$AO$4:$AR$55,4,FALSE))</f>
        <v>0</v>
      </c>
      <c r="Q52" s="4">
        <f>(VLOOKUP('20.03'!Y52,'20.03'!$AO$4:$AR$55,4,FALSE))</f>
        <v>0</v>
      </c>
      <c r="R52" s="4">
        <f>(VLOOKUP('20.03'!Z52,'20.03'!$AO$4:$AR$55,4,FALSE))</f>
        <v>0</v>
      </c>
      <c r="S52" s="4">
        <f>(VLOOKUP('20.03'!AA52,'20.03'!$AO$4:$AR$55,4,FALSE))</f>
        <v>0</v>
      </c>
      <c r="T52" s="4">
        <f>(VLOOKUP('20.03'!AB52,'20.03'!$AO$4:$AR$55,4,FALSE))</f>
        <v>0</v>
      </c>
      <c r="U52" s="4">
        <f>(VLOOKUP('20.03'!AC52,'20.03'!$AO$4:$AR$55,4,FALSE))</f>
        <v>0</v>
      </c>
      <c r="V52" s="4">
        <f>(VLOOKUP('20.03'!AD52,'20.03'!$AO$4:$AR$55,4,FALSE))</f>
        <v>0</v>
      </c>
      <c r="W52" s="4">
        <f>(VLOOKUP('20.03'!AE52,'20.03'!$AO$4:$AR$55,4,FALSE))</f>
        <v>0</v>
      </c>
      <c r="X52" s="4">
        <f>(VLOOKUP('20.03'!AF52,'20.03'!$AO$4:$AR$55,4,FALSE))</f>
        <v>0</v>
      </c>
    </row>
    <row r="53" spans="1:24">
      <c r="A53" s="4">
        <f>(VLOOKUP('20.03'!I53,'20.03'!$AO$4:$AR$55,4,FALSE))</f>
        <v>0</v>
      </c>
      <c r="B53" s="4">
        <f>(VLOOKUP('20.03'!J53,'20.03'!$AO$4:$AR$55,4,FALSE))</f>
        <v>0</v>
      </c>
      <c r="C53" s="4">
        <f>(VLOOKUP('20.03'!K53,'20.03'!$AO$4:$AR$55,4,FALSE))</f>
        <v>0</v>
      </c>
      <c r="D53" s="4">
        <f>(VLOOKUP('20.03'!L53,'20.03'!$AO$4:$AR$55,4,FALSE))</f>
        <v>0</v>
      </c>
      <c r="E53" s="4">
        <f>(VLOOKUP('20.03'!M53,'20.03'!$AO$4:$AR$55,4,FALSE))</f>
        <v>0</v>
      </c>
      <c r="F53" s="4">
        <f>(VLOOKUP('20.03'!N53,'20.03'!$AO$4:$AR$55,4,FALSE))</f>
        <v>0</v>
      </c>
      <c r="G53" s="4">
        <f>(VLOOKUP('20.03'!O53,'20.03'!$AO$4:$AR$55,4,FALSE))</f>
        <v>0</v>
      </c>
      <c r="H53" s="4">
        <f>(VLOOKUP('20.03'!P53,'20.03'!$AO$4:$AR$55,4,FALSE))</f>
        <v>0</v>
      </c>
      <c r="I53" s="4">
        <f>(VLOOKUP('20.03'!Q53,'20.03'!$AO$4:$AR$55,4,FALSE))</f>
        <v>0</v>
      </c>
      <c r="J53" s="4">
        <f>(VLOOKUP('20.03'!R53,'20.03'!$AO$4:$AR$55,4,FALSE))</f>
        <v>0</v>
      </c>
      <c r="K53" s="4">
        <f>(VLOOKUP('20.03'!S53,'20.03'!$AO$4:$AR$55,4,FALSE))</f>
        <v>0</v>
      </c>
      <c r="L53" s="4">
        <f>(VLOOKUP('20.03'!T53,'20.03'!$AO$4:$AR$55,4,FALSE))</f>
        <v>0</v>
      </c>
      <c r="M53" s="4">
        <f>(VLOOKUP('20.03'!U53,'20.03'!$AO$4:$AR$55,4,FALSE))</f>
        <v>0</v>
      </c>
      <c r="N53" s="4">
        <f>(VLOOKUP('20.03'!V53,'20.03'!$AO$4:$AR$55,4,FALSE))</f>
        <v>0</v>
      </c>
      <c r="O53" s="4">
        <f>(VLOOKUP('20.03'!W53,'20.03'!$AO$4:$AR$55,4,FALSE))</f>
        <v>0</v>
      </c>
      <c r="P53" s="4">
        <f>(VLOOKUP('20.03'!X53,'20.03'!$AO$4:$AR$55,4,FALSE))</f>
        <v>0</v>
      </c>
      <c r="Q53" s="4">
        <f>(VLOOKUP('20.03'!Y53,'20.03'!$AO$4:$AR$55,4,FALSE))</f>
        <v>0</v>
      </c>
      <c r="R53" s="4">
        <f>(VLOOKUP('20.03'!Z53,'20.03'!$AO$4:$AR$55,4,FALSE))</f>
        <v>0</v>
      </c>
      <c r="S53" s="4">
        <f>(VLOOKUP('20.03'!AA53,'20.03'!$AO$4:$AR$55,4,FALSE))</f>
        <v>0</v>
      </c>
      <c r="T53" s="4">
        <f>(VLOOKUP('20.03'!AB53,'20.03'!$AO$4:$AR$55,4,FALSE))</f>
        <v>0</v>
      </c>
      <c r="U53" s="4">
        <f>(VLOOKUP('20.03'!AC53,'20.03'!$AO$4:$AR$55,4,FALSE))</f>
        <v>0</v>
      </c>
      <c r="V53" s="4">
        <f>(VLOOKUP('20.03'!AD53,'20.03'!$AO$4:$AR$55,4,FALSE))</f>
        <v>0</v>
      </c>
      <c r="W53" s="4">
        <f>(VLOOKUP('20.03'!AE53,'20.03'!$AO$4:$AR$55,4,FALSE))</f>
        <v>0</v>
      </c>
      <c r="X53" s="4">
        <f>(VLOOKUP('20.03'!AF53,'20.03'!$AO$4:$AR$55,4,FALSE))</f>
        <v>0</v>
      </c>
    </row>
    <row r="54" spans="1:24">
      <c r="A54" s="4">
        <f>(VLOOKUP('20.03'!I54,'20.03'!$AO$4:$AR$55,4,FALSE))</f>
        <v>0</v>
      </c>
      <c r="B54" s="4">
        <f>(VLOOKUP('20.03'!J54,'20.03'!$AO$4:$AR$55,4,FALSE))</f>
        <v>0</v>
      </c>
      <c r="C54" s="4">
        <f>(VLOOKUP('20.03'!K54,'20.03'!$AO$4:$AR$55,4,FALSE))</f>
        <v>0</v>
      </c>
      <c r="D54" s="4">
        <f>(VLOOKUP('20.03'!L54,'20.03'!$AO$4:$AR$55,4,FALSE))</f>
        <v>0</v>
      </c>
      <c r="E54" s="4">
        <f>(VLOOKUP('20.03'!M54,'20.03'!$AO$4:$AR$55,4,FALSE))</f>
        <v>0</v>
      </c>
      <c r="F54" s="4">
        <f>(VLOOKUP('20.03'!N54,'20.03'!$AO$4:$AR$55,4,FALSE))</f>
        <v>0</v>
      </c>
      <c r="G54" s="4">
        <f>(VLOOKUP('20.03'!O54,'20.03'!$AO$4:$AR$55,4,FALSE))</f>
        <v>0</v>
      </c>
      <c r="H54" s="4">
        <f>(VLOOKUP('20.03'!P54,'20.03'!$AO$4:$AR$55,4,FALSE))</f>
        <v>0</v>
      </c>
      <c r="I54" s="4">
        <f>(VLOOKUP('20.03'!Q54,'20.03'!$AO$4:$AR$55,4,FALSE))</f>
        <v>0</v>
      </c>
      <c r="J54" s="4">
        <f>(VLOOKUP('20.03'!R54,'20.03'!$AO$4:$AR$55,4,FALSE))</f>
        <v>0</v>
      </c>
      <c r="K54" s="4">
        <f>(VLOOKUP('20.03'!S54,'20.03'!$AO$4:$AR$55,4,FALSE))</f>
        <v>0</v>
      </c>
      <c r="L54" s="4">
        <f>(VLOOKUP('20.03'!T54,'20.03'!$AO$4:$AR$55,4,FALSE))</f>
        <v>0</v>
      </c>
      <c r="M54" s="4">
        <f>(VLOOKUP('20.03'!U54,'20.03'!$AO$4:$AR$55,4,FALSE))</f>
        <v>0</v>
      </c>
      <c r="N54" s="4">
        <f>(VLOOKUP('20.03'!V54,'20.03'!$AO$4:$AR$55,4,FALSE))</f>
        <v>0</v>
      </c>
      <c r="O54" s="4">
        <f>(VLOOKUP('20.03'!W54,'20.03'!$AO$4:$AR$55,4,FALSE))</f>
        <v>0</v>
      </c>
      <c r="P54" s="4">
        <f>(VLOOKUP('20.03'!X54,'20.03'!$AO$4:$AR$55,4,FALSE))</f>
        <v>0</v>
      </c>
      <c r="Q54" s="4">
        <f>(VLOOKUP('20.03'!Y54,'20.03'!$AO$4:$AR$55,4,FALSE))</f>
        <v>0</v>
      </c>
      <c r="R54" s="4">
        <f>(VLOOKUP('20.03'!Z54,'20.03'!$AO$4:$AR$55,4,FALSE))</f>
        <v>0</v>
      </c>
      <c r="S54" s="4">
        <f>(VLOOKUP('20.03'!AA54,'20.03'!$AO$4:$AR$55,4,FALSE))</f>
        <v>0</v>
      </c>
      <c r="T54" s="4">
        <f>(VLOOKUP('20.03'!AB54,'20.03'!$AO$4:$AR$55,4,FALSE))</f>
        <v>0</v>
      </c>
      <c r="U54" s="4">
        <f>(VLOOKUP('20.03'!AC54,'20.03'!$AO$4:$AR$55,4,FALSE))</f>
        <v>0</v>
      </c>
      <c r="V54" s="4">
        <f>(VLOOKUP('20.03'!AD54,'20.03'!$AO$4:$AR$55,4,FALSE))</f>
        <v>0</v>
      </c>
      <c r="W54" s="4">
        <f>(VLOOKUP('20.03'!AE54,'20.03'!$AO$4:$AR$55,4,FALSE))</f>
        <v>0</v>
      </c>
      <c r="X54" s="4">
        <f>(VLOOKUP('20.03'!AF54,'20.03'!$AO$4:$AR$55,4,FALSE))</f>
        <v>0</v>
      </c>
    </row>
    <row r="55" spans="1:24">
      <c r="A55" s="4">
        <f>(VLOOKUP('20.03'!I55,'20.03'!$AO$4:$AR$55,4,FALSE))</f>
        <v>0</v>
      </c>
      <c r="B55" s="4">
        <f>(VLOOKUP('20.03'!J55,'20.03'!$AO$4:$AR$55,4,FALSE))</f>
        <v>0</v>
      </c>
      <c r="C55" s="4">
        <f>(VLOOKUP('20.03'!K55,'20.03'!$AO$4:$AR$55,4,FALSE))</f>
        <v>0</v>
      </c>
      <c r="D55" s="4">
        <f>(VLOOKUP('20.03'!L55,'20.03'!$AO$4:$AR$55,4,FALSE))</f>
        <v>0</v>
      </c>
      <c r="E55" s="4">
        <f>(VLOOKUP('20.03'!M55,'20.03'!$AO$4:$AR$55,4,FALSE))</f>
        <v>0</v>
      </c>
      <c r="F55" s="4">
        <f>(VLOOKUP('20.03'!N55,'20.03'!$AO$4:$AR$55,4,FALSE))</f>
        <v>0</v>
      </c>
      <c r="G55" s="4">
        <f>(VLOOKUP('20.03'!O55,'20.03'!$AO$4:$AR$55,4,FALSE))</f>
        <v>0</v>
      </c>
      <c r="H55" s="4">
        <f>(VLOOKUP('20.03'!P55,'20.03'!$AO$4:$AR$55,4,FALSE))</f>
        <v>0</v>
      </c>
      <c r="I55" s="4">
        <f>(VLOOKUP('20.03'!Q55,'20.03'!$AO$4:$AR$55,4,FALSE))</f>
        <v>0</v>
      </c>
      <c r="J55" s="4">
        <f>(VLOOKUP('20.03'!R55,'20.03'!$AO$4:$AR$55,4,FALSE))</f>
        <v>0</v>
      </c>
      <c r="K55" s="4">
        <f>(VLOOKUP('20.03'!S55,'20.03'!$AO$4:$AR$55,4,FALSE))</f>
        <v>0</v>
      </c>
      <c r="L55" s="4">
        <f>(VLOOKUP('20.03'!T55,'20.03'!$AO$4:$AR$55,4,FALSE))</f>
        <v>0</v>
      </c>
      <c r="M55" s="4">
        <f>(VLOOKUP('20.03'!U55,'20.03'!$AO$4:$AR$55,4,FALSE))</f>
        <v>0</v>
      </c>
      <c r="N55" s="4">
        <f>(VLOOKUP('20.03'!V55,'20.03'!$AO$4:$AR$55,4,FALSE))</f>
        <v>0</v>
      </c>
      <c r="O55" s="4">
        <f>(VLOOKUP('20.03'!W55,'20.03'!$AO$4:$AR$55,4,FALSE))</f>
        <v>0</v>
      </c>
      <c r="P55" s="4">
        <f>(VLOOKUP('20.03'!X55,'20.03'!$AO$4:$AR$55,4,FALSE))</f>
        <v>0</v>
      </c>
      <c r="Q55" s="4">
        <f>(VLOOKUP('20.03'!Y55,'20.03'!$AO$4:$AR$55,4,FALSE))</f>
        <v>0</v>
      </c>
      <c r="R55" s="4">
        <f>(VLOOKUP('20.03'!Z55,'20.03'!$AO$4:$AR$55,4,FALSE))</f>
        <v>0</v>
      </c>
      <c r="S55" s="4">
        <f>(VLOOKUP('20.03'!AA55,'20.03'!$AO$4:$AR$55,4,FALSE))</f>
        <v>0</v>
      </c>
      <c r="T55" s="4">
        <f>(VLOOKUP('20.03'!AB55,'20.03'!$AO$4:$AR$55,4,FALSE))</f>
        <v>0</v>
      </c>
      <c r="U55" s="4">
        <f>(VLOOKUP('20.03'!AC55,'20.03'!$AO$4:$AR$55,4,FALSE))</f>
        <v>0</v>
      </c>
      <c r="V55" s="4">
        <f>(VLOOKUP('20.03'!AD55,'20.03'!$AO$4:$AR$55,4,FALSE))</f>
        <v>0</v>
      </c>
      <c r="W55" s="4">
        <f>(VLOOKUP('20.03'!AE55,'20.03'!$AO$4:$AR$55,4,FALSE))</f>
        <v>0</v>
      </c>
      <c r="X55" s="4">
        <f>(VLOOKUP('20.03'!AF55,'20.03'!$AO$4:$AR$55,4,FALSE))</f>
        <v>0</v>
      </c>
    </row>
    <row r="56" spans="1:24">
      <c r="A56" s="4">
        <f>(VLOOKUP('20.03'!I56,'20.03'!$AO$4:$AR$55,4,FALSE))</f>
        <v>0</v>
      </c>
      <c r="B56" s="4">
        <f>(VLOOKUP('20.03'!J56,'20.03'!$AO$4:$AR$55,4,FALSE))</f>
        <v>0</v>
      </c>
      <c r="C56" s="4">
        <f>(VLOOKUP('20.03'!K56,'20.03'!$AO$4:$AR$55,4,FALSE))</f>
        <v>0</v>
      </c>
      <c r="D56" s="4">
        <f>(VLOOKUP('20.03'!L56,'20.03'!$AO$4:$AR$55,4,FALSE))</f>
        <v>0</v>
      </c>
      <c r="E56" s="4">
        <f>(VLOOKUP('20.03'!M56,'20.03'!$AO$4:$AR$55,4,FALSE))</f>
        <v>0</v>
      </c>
      <c r="F56" s="4">
        <f>(VLOOKUP('20.03'!N56,'20.03'!$AO$4:$AR$55,4,FALSE))</f>
        <v>0</v>
      </c>
      <c r="G56" s="4">
        <f>(VLOOKUP('20.03'!O56,'20.03'!$AO$4:$AR$55,4,FALSE))</f>
        <v>0</v>
      </c>
      <c r="H56" s="4">
        <f>(VLOOKUP('20.03'!P56,'20.03'!$AO$4:$AR$55,4,FALSE))</f>
        <v>0</v>
      </c>
      <c r="I56" s="4">
        <f>(VLOOKUP('20.03'!Q56,'20.03'!$AO$4:$AR$55,4,FALSE))</f>
        <v>0</v>
      </c>
      <c r="J56" s="4">
        <f>(VLOOKUP('20.03'!R56,'20.03'!$AO$4:$AR$55,4,FALSE))</f>
        <v>0</v>
      </c>
      <c r="K56" s="4">
        <f>(VLOOKUP('20.03'!S56,'20.03'!$AO$4:$AR$55,4,FALSE))</f>
        <v>0</v>
      </c>
      <c r="L56" s="4">
        <f>(VLOOKUP('20.03'!T56,'20.03'!$AO$4:$AR$55,4,FALSE))</f>
        <v>0</v>
      </c>
      <c r="M56" s="4">
        <f>(VLOOKUP('20.03'!U56,'20.03'!$AO$4:$AR$55,4,FALSE))</f>
        <v>0</v>
      </c>
      <c r="N56" s="4">
        <f>(VLOOKUP('20.03'!V56,'20.03'!$AO$4:$AR$55,4,FALSE))</f>
        <v>0</v>
      </c>
      <c r="O56" s="4">
        <f>(VLOOKUP('20.03'!W56,'20.03'!$AO$4:$AR$55,4,FALSE))</f>
        <v>0</v>
      </c>
      <c r="P56" s="4">
        <f>(VLOOKUP('20.03'!X56,'20.03'!$AO$4:$AR$55,4,FALSE))</f>
        <v>0</v>
      </c>
      <c r="Q56" s="4">
        <f>(VLOOKUP('20.03'!Y56,'20.03'!$AO$4:$AR$55,4,FALSE))</f>
        <v>0</v>
      </c>
      <c r="R56" s="4">
        <f>(VLOOKUP('20.03'!Z56,'20.03'!$AO$4:$AR$55,4,FALSE))</f>
        <v>0</v>
      </c>
      <c r="S56" s="4">
        <f>(VLOOKUP('20.03'!AA56,'20.03'!$AO$4:$AR$55,4,FALSE))</f>
        <v>0</v>
      </c>
      <c r="T56" s="4">
        <f>(VLOOKUP('20.03'!AB56,'20.03'!$AO$4:$AR$55,4,FALSE))</f>
        <v>0</v>
      </c>
      <c r="U56" s="4">
        <f>(VLOOKUP('20.03'!AC56,'20.03'!$AO$4:$AR$55,4,FALSE))</f>
        <v>0</v>
      </c>
      <c r="V56" s="4">
        <f>(VLOOKUP('20.03'!AD56,'20.03'!$AO$4:$AR$55,4,FALSE))</f>
        <v>0</v>
      </c>
      <c r="W56" s="4">
        <f>(VLOOKUP('20.03'!AE56,'20.03'!$AO$4:$AR$55,4,FALSE))</f>
        <v>0</v>
      </c>
      <c r="X56" s="4">
        <f>(VLOOKUP('20.03'!AF56,'20.03'!$AO$4:$AR$55,4,FALSE))</f>
        <v>0</v>
      </c>
    </row>
    <row r="57" spans="1:24">
      <c r="A57" s="4">
        <f>(VLOOKUP('20.03'!I57,'20.03'!$AO$4:$AR$55,4,FALSE))</f>
        <v>0</v>
      </c>
      <c r="B57" s="4">
        <f>(VLOOKUP('20.03'!J57,'20.03'!$AO$4:$AR$55,4,FALSE))</f>
        <v>0</v>
      </c>
      <c r="C57" s="4">
        <f>(VLOOKUP('20.03'!K57,'20.03'!$AO$4:$AR$55,4,FALSE))</f>
        <v>0</v>
      </c>
      <c r="D57" s="4">
        <f>(VLOOKUP('20.03'!L57,'20.03'!$AO$4:$AR$55,4,FALSE))</f>
        <v>0</v>
      </c>
      <c r="E57" s="4">
        <f>(VLOOKUP('20.03'!M57,'20.03'!$AO$4:$AR$55,4,FALSE))</f>
        <v>0</v>
      </c>
      <c r="F57" s="4">
        <f>(VLOOKUP('20.03'!N57,'20.03'!$AO$4:$AR$55,4,FALSE))</f>
        <v>0</v>
      </c>
      <c r="G57" s="4">
        <f>(VLOOKUP('20.03'!O57,'20.03'!$AO$4:$AR$55,4,FALSE))</f>
        <v>0</v>
      </c>
      <c r="H57" s="4">
        <f>(VLOOKUP('20.03'!P57,'20.03'!$AO$4:$AR$55,4,FALSE))</f>
        <v>0</v>
      </c>
      <c r="I57" s="4">
        <f>(VLOOKUP('20.03'!Q57,'20.03'!$AO$4:$AR$55,4,FALSE))</f>
        <v>0</v>
      </c>
      <c r="J57" s="4">
        <f>(VLOOKUP('20.03'!R57,'20.03'!$AO$4:$AR$55,4,FALSE))</f>
        <v>0</v>
      </c>
      <c r="K57" s="4">
        <f>(VLOOKUP('20.03'!S57,'20.03'!$AO$4:$AR$55,4,FALSE))</f>
        <v>0</v>
      </c>
      <c r="L57" s="4">
        <f>(VLOOKUP('20.03'!T57,'20.03'!$AO$4:$AR$55,4,FALSE))</f>
        <v>0</v>
      </c>
      <c r="M57" s="4">
        <f>(VLOOKUP('20.03'!U57,'20.03'!$AO$4:$AR$55,4,FALSE))</f>
        <v>0</v>
      </c>
      <c r="N57" s="4">
        <f>(VLOOKUP('20.03'!V57,'20.03'!$AO$4:$AR$55,4,FALSE))</f>
        <v>0</v>
      </c>
      <c r="O57" s="4">
        <f>(VLOOKUP('20.03'!W57,'20.03'!$AO$4:$AR$55,4,FALSE))</f>
        <v>0</v>
      </c>
      <c r="P57" s="4">
        <f>(VLOOKUP('20.03'!X57,'20.03'!$AO$4:$AR$55,4,FALSE))</f>
        <v>0</v>
      </c>
      <c r="Q57" s="4">
        <f>(VLOOKUP('20.03'!Y57,'20.03'!$AO$4:$AR$55,4,FALSE))</f>
        <v>0</v>
      </c>
      <c r="R57" s="4">
        <f>(VLOOKUP('20.03'!Z57,'20.03'!$AO$4:$AR$55,4,FALSE))</f>
        <v>0</v>
      </c>
      <c r="S57" s="4">
        <f>(VLOOKUP('20.03'!AA57,'20.03'!$AO$4:$AR$55,4,FALSE))</f>
        <v>0</v>
      </c>
      <c r="T57" s="4">
        <f>(VLOOKUP('20.03'!AB57,'20.03'!$AO$4:$AR$55,4,FALSE))</f>
        <v>0</v>
      </c>
      <c r="U57" s="4">
        <f>(VLOOKUP('20.03'!AC57,'20.03'!$AO$4:$AR$55,4,FALSE))</f>
        <v>0</v>
      </c>
      <c r="V57" s="4">
        <f>(VLOOKUP('20.03'!AD57,'20.03'!$AO$4:$AR$55,4,FALSE))</f>
        <v>0</v>
      </c>
      <c r="W57" s="4">
        <f>(VLOOKUP('20.03'!AE57,'20.03'!$AO$4:$AR$55,4,FALSE))</f>
        <v>0</v>
      </c>
      <c r="X57" s="4">
        <f>(VLOOKUP('20.03'!AF57,'20.03'!$AO$4:$AR$55,4,FALSE))</f>
        <v>0</v>
      </c>
    </row>
    <row r="58" spans="1:24">
      <c r="A58" s="4">
        <f>(VLOOKUP('20.03'!I58,'20.03'!$AO$4:$AR$55,4,FALSE))</f>
        <v>0</v>
      </c>
      <c r="B58" s="4">
        <f>(VLOOKUP('20.03'!J58,'20.03'!$AO$4:$AR$55,4,FALSE))</f>
        <v>0</v>
      </c>
      <c r="C58" s="4">
        <f>(VLOOKUP('20.03'!K58,'20.03'!$AO$4:$AR$55,4,FALSE))</f>
        <v>0</v>
      </c>
      <c r="D58" s="4">
        <f>(VLOOKUP('20.03'!L58,'20.03'!$AO$4:$AR$55,4,FALSE))</f>
        <v>0</v>
      </c>
      <c r="E58" s="4">
        <f>(VLOOKUP('20.03'!M58,'20.03'!$AO$4:$AR$55,4,FALSE))</f>
        <v>0</v>
      </c>
      <c r="F58" s="4">
        <f>(VLOOKUP('20.03'!N58,'20.03'!$AO$4:$AR$55,4,FALSE))</f>
        <v>0</v>
      </c>
      <c r="G58" s="4">
        <f>(VLOOKUP('20.03'!O58,'20.03'!$AO$4:$AR$55,4,FALSE))</f>
        <v>0</v>
      </c>
      <c r="H58" s="4">
        <f>(VLOOKUP('20.03'!P58,'20.03'!$AO$4:$AR$55,4,FALSE))</f>
        <v>0</v>
      </c>
      <c r="I58" s="4">
        <f>(VLOOKUP('20.03'!Q58,'20.03'!$AO$4:$AR$55,4,FALSE))</f>
        <v>0</v>
      </c>
      <c r="J58" s="4">
        <f>(VLOOKUP('20.03'!R58,'20.03'!$AO$4:$AR$55,4,FALSE))</f>
        <v>0</v>
      </c>
      <c r="K58" s="4">
        <f>(VLOOKUP('20.03'!S58,'20.03'!$AO$4:$AR$55,4,FALSE))</f>
        <v>0</v>
      </c>
      <c r="L58" s="4">
        <f>(VLOOKUP('20.03'!T58,'20.03'!$AO$4:$AR$55,4,FALSE))</f>
        <v>0</v>
      </c>
      <c r="M58" s="4">
        <f>(VLOOKUP('20.03'!U58,'20.03'!$AO$4:$AR$55,4,FALSE))</f>
        <v>0</v>
      </c>
      <c r="N58" s="4">
        <f>(VLOOKUP('20.03'!V58,'20.03'!$AO$4:$AR$55,4,FALSE))</f>
        <v>0</v>
      </c>
      <c r="O58" s="4">
        <f>(VLOOKUP('20.03'!W58,'20.03'!$AO$4:$AR$55,4,FALSE))</f>
        <v>0</v>
      </c>
      <c r="P58" s="4">
        <f>(VLOOKUP('20.03'!X58,'20.03'!$AO$4:$AR$55,4,FALSE))</f>
        <v>0</v>
      </c>
      <c r="Q58" s="4">
        <f>(VLOOKUP('20.03'!Y58,'20.03'!$AO$4:$AR$55,4,FALSE))</f>
        <v>0</v>
      </c>
      <c r="R58" s="4">
        <f>(VLOOKUP('20.03'!Z58,'20.03'!$AO$4:$AR$55,4,FALSE))</f>
        <v>0</v>
      </c>
      <c r="S58" s="4">
        <f>(VLOOKUP('20.03'!AA58,'20.03'!$AO$4:$AR$55,4,FALSE))</f>
        <v>0</v>
      </c>
      <c r="T58" s="4">
        <f>(VLOOKUP('20.03'!AB58,'20.03'!$AO$4:$AR$55,4,FALSE))</f>
        <v>0</v>
      </c>
      <c r="U58" s="4">
        <f>(VLOOKUP('20.03'!AC58,'20.03'!$AO$4:$AR$55,4,FALSE))</f>
        <v>0</v>
      </c>
      <c r="V58" s="4">
        <f>(VLOOKUP('20.03'!AD58,'20.03'!$AO$4:$AR$55,4,FALSE))</f>
        <v>0</v>
      </c>
      <c r="W58" s="4">
        <f>(VLOOKUP('20.03'!AE58,'20.03'!$AO$4:$AR$55,4,FALSE))</f>
        <v>0</v>
      </c>
      <c r="X58" s="4">
        <f>(VLOOKUP('20.03'!AF58,'20.03'!$AO$4:$AR$55,4,FALSE))</f>
        <v>0</v>
      </c>
    </row>
    <row r="59" spans="1:24">
      <c r="A59" s="4">
        <f>(VLOOKUP('20.03'!I59,'20.03'!$AO$4:$AR$55,4,FALSE))</f>
        <v>0</v>
      </c>
      <c r="B59" s="4">
        <f>(VLOOKUP('20.03'!J59,'20.03'!$AO$4:$AR$55,4,FALSE))</f>
        <v>0</v>
      </c>
      <c r="C59" s="4">
        <f>(VLOOKUP('20.03'!K59,'20.03'!$AO$4:$AR$55,4,FALSE))</f>
        <v>0</v>
      </c>
      <c r="D59" s="4">
        <f>(VLOOKUP('20.03'!L59,'20.03'!$AO$4:$AR$55,4,FALSE))</f>
        <v>0</v>
      </c>
      <c r="E59" s="4">
        <f>(VLOOKUP('20.03'!M59,'20.03'!$AO$4:$AR$55,4,FALSE))</f>
        <v>0</v>
      </c>
      <c r="F59" s="4">
        <f>(VLOOKUP('20.03'!N59,'20.03'!$AO$4:$AR$55,4,FALSE))</f>
        <v>0</v>
      </c>
      <c r="G59" s="4">
        <f>(VLOOKUP('20.03'!O59,'20.03'!$AO$4:$AR$55,4,FALSE))</f>
        <v>0</v>
      </c>
      <c r="H59" s="4">
        <f>(VLOOKUP('20.03'!P59,'20.03'!$AO$4:$AR$55,4,FALSE))</f>
        <v>0</v>
      </c>
      <c r="I59" s="4">
        <f>(VLOOKUP('20.03'!Q59,'20.03'!$AO$4:$AR$55,4,FALSE))</f>
        <v>0</v>
      </c>
      <c r="J59" s="4">
        <f>(VLOOKUP('20.03'!R59,'20.03'!$AO$4:$AR$55,4,FALSE))</f>
        <v>0</v>
      </c>
      <c r="K59" s="4">
        <f>(VLOOKUP('20.03'!S59,'20.03'!$AO$4:$AR$55,4,FALSE))</f>
        <v>0</v>
      </c>
      <c r="L59" s="4">
        <f>(VLOOKUP('20.03'!T59,'20.03'!$AO$4:$AR$55,4,FALSE))</f>
        <v>0</v>
      </c>
      <c r="M59" s="4">
        <f>(VLOOKUP('20.03'!U59,'20.03'!$AO$4:$AR$55,4,FALSE))</f>
        <v>0</v>
      </c>
      <c r="N59" s="4">
        <f>(VLOOKUP('20.03'!V59,'20.03'!$AO$4:$AR$55,4,FALSE))</f>
        <v>0</v>
      </c>
      <c r="O59" s="4">
        <f>(VLOOKUP('20.03'!W59,'20.03'!$AO$4:$AR$55,4,FALSE))</f>
        <v>0</v>
      </c>
      <c r="P59" s="4">
        <f>(VLOOKUP('20.03'!X59,'20.03'!$AO$4:$AR$55,4,FALSE))</f>
        <v>0</v>
      </c>
      <c r="Q59" s="4">
        <f>(VLOOKUP('20.03'!Y59,'20.03'!$AO$4:$AR$55,4,FALSE))</f>
        <v>0</v>
      </c>
      <c r="R59" s="4">
        <f>(VLOOKUP('20.03'!Z59,'20.03'!$AO$4:$AR$55,4,FALSE))</f>
        <v>0</v>
      </c>
      <c r="S59" s="4">
        <f>(VLOOKUP('20.03'!AA59,'20.03'!$AO$4:$AR$55,4,FALSE))</f>
        <v>0</v>
      </c>
      <c r="T59" s="4">
        <f>(VLOOKUP('20.03'!AB59,'20.03'!$AO$4:$AR$55,4,FALSE))</f>
        <v>0</v>
      </c>
      <c r="U59" s="4">
        <f>(VLOOKUP('20.03'!AC59,'20.03'!$AO$4:$AR$55,4,FALSE))</f>
        <v>0</v>
      </c>
      <c r="V59" s="4">
        <f>(VLOOKUP('20.03'!AD59,'20.03'!$AO$4:$AR$55,4,FALSE))</f>
        <v>0</v>
      </c>
      <c r="W59" s="4">
        <f>(VLOOKUP('20.03'!AE59,'20.03'!$AO$4:$AR$55,4,FALSE))</f>
        <v>0</v>
      </c>
      <c r="X59" s="4">
        <f>(VLOOKUP('20.03'!AF59,'20.03'!$AO$4:$AR$55,4,FALSE))</f>
        <v>0</v>
      </c>
    </row>
    <row r="60" spans="1:24">
      <c r="A60" s="4">
        <f>(VLOOKUP('20.03'!I60,'20.03'!$AO$4:$AR$55,4,FALSE))</f>
        <v>0</v>
      </c>
      <c r="B60" s="4">
        <f>(VLOOKUP('20.03'!J60,'20.03'!$AO$4:$AR$55,4,FALSE))</f>
        <v>0</v>
      </c>
      <c r="C60" s="4">
        <f>(VLOOKUP('20.03'!K60,'20.03'!$AO$4:$AR$55,4,FALSE))</f>
        <v>0</v>
      </c>
      <c r="D60" s="4">
        <f>(VLOOKUP('20.03'!L60,'20.03'!$AO$4:$AR$55,4,FALSE))</f>
        <v>0</v>
      </c>
      <c r="E60" s="4">
        <f>(VLOOKUP('20.03'!M60,'20.03'!$AO$4:$AR$55,4,FALSE))</f>
        <v>0</v>
      </c>
      <c r="F60" s="4">
        <f>(VLOOKUP('20.03'!N60,'20.03'!$AO$4:$AR$55,4,FALSE))</f>
        <v>0</v>
      </c>
      <c r="G60" s="4">
        <f>(VLOOKUP('20.03'!O60,'20.03'!$AO$4:$AR$55,4,FALSE))</f>
        <v>0</v>
      </c>
      <c r="H60" s="4">
        <f>(VLOOKUP('20.03'!P60,'20.03'!$AO$4:$AR$55,4,FALSE))</f>
        <v>0</v>
      </c>
      <c r="I60" s="4">
        <f>(VLOOKUP('20.03'!Q60,'20.03'!$AO$4:$AR$55,4,FALSE))</f>
        <v>0</v>
      </c>
      <c r="J60" s="4">
        <f>(VLOOKUP('20.03'!R60,'20.03'!$AO$4:$AR$55,4,FALSE))</f>
        <v>0</v>
      </c>
      <c r="K60" s="4">
        <f>(VLOOKUP('20.03'!S60,'20.03'!$AO$4:$AR$55,4,FALSE))</f>
        <v>0</v>
      </c>
      <c r="L60" s="4">
        <f>(VLOOKUP('20.03'!T60,'20.03'!$AO$4:$AR$55,4,FALSE))</f>
        <v>0</v>
      </c>
      <c r="M60" s="4">
        <f>(VLOOKUP('20.03'!U60,'20.03'!$AO$4:$AR$55,4,FALSE))</f>
        <v>0</v>
      </c>
      <c r="N60" s="4">
        <f>(VLOOKUP('20.03'!V60,'20.03'!$AO$4:$AR$55,4,FALSE))</f>
        <v>0</v>
      </c>
      <c r="O60" s="4">
        <f>(VLOOKUP('20.03'!W60,'20.03'!$AO$4:$AR$55,4,FALSE))</f>
        <v>0</v>
      </c>
      <c r="P60" s="4">
        <f>(VLOOKUP('20.03'!X60,'20.03'!$AO$4:$AR$55,4,FALSE))</f>
        <v>0</v>
      </c>
      <c r="Q60" s="4">
        <f>(VLOOKUP('20.03'!Y60,'20.03'!$AO$4:$AR$55,4,FALSE))</f>
        <v>0</v>
      </c>
      <c r="R60" s="4">
        <f>(VLOOKUP('20.03'!Z60,'20.03'!$AO$4:$AR$55,4,FALSE))</f>
        <v>0</v>
      </c>
      <c r="S60" s="4">
        <f>(VLOOKUP('20.03'!AA60,'20.03'!$AO$4:$AR$55,4,FALSE))</f>
        <v>0</v>
      </c>
      <c r="T60" s="4">
        <f>(VLOOKUP('20.03'!AB60,'20.03'!$AO$4:$AR$55,4,FALSE))</f>
        <v>0</v>
      </c>
      <c r="U60" s="4">
        <f>(VLOOKUP('20.03'!AC60,'20.03'!$AO$4:$AR$55,4,FALSE))</f>
        <v>0</v>
      </c>
      <c r="V60" s="4">
        <f>(VLOOKUP('20.03'!AD60,'20.03'!$AO$4:$AR$55,4,FALSE))</f>
        <v>0</v>
      </c>
      <c r="W60" s="4">
        <f>(VLOOKUP('20.03'!AE60,'20.03'!$AO$4:$AR$55,4,FALSE))</f>
        <v>0</v>
      </c>
      <c r="X60" s="4">
        <f>(VLOOKUP('20.03'!AF60,'20.03'!$AO$4:$AR$55,4,FALSE))</f>
        <v>0</v>
      </c>
    </row>
    <row r="61" spans="1:24">
      <c r="A61" s="4">
        <f>(VLOOKUP('20.03'!I61,'20.03'!$AO$4:$AR$55,4,FALSE))</f>
        <v>0</v>
      </c>
      <c r="B61" s="4">
        <f>(VLOOKUP('20.03'!J61,'20.03'!$AO$4:$AR$55,4,FALSE))</f>
        <v>0</v>
      </c>
      <c r="C61" s="4">
        <f>(VLOOKUP('20.03'!K61,'20.03'!$AO$4:$AR$55,4,FALSE))</f>
        <v>0</v>
      </c>
      <c r="D61" s="4">
        <f>(VLOOKUP('20.03'!L61,'20.03'!$AO$4:$AR$55,4,FALSE))</f>
        <v>0</v>
      </c>
      <c r="E61" s="4">
        <f>(VLOOKUP('20.03'!M61,'20.03'!$AO$4:$AR$55,4,FALSE))</f>
        <v>0</v>
      </c>
      <c r="F61" s="4">
        <f>(VLOOKUP('20.03'!N61,'20.03'!$AO$4:$AR$55,4,FALSE))</f>
        <v>0</v>
      </c>
      <c r="G61" s="4">
        <f>(VLOOKUP('20.03'!O61,'20.03'!$AO$4:$AR$55,4,FALSE))</f>
        <v>0</v>
      </c>
      <c r="H61" s="4">
        <f>(VLOOKUP('20.03'!P61,'20.03'!$AO$4:$AR$55,4,FALSE))</f>
        <v>0</v>
      </c>
      <c r="I61" s="4">
        <f>(VLOOKUP('20.03'!Q61,'20.03'!$AO$4:$AR$55,4,FALSE))</f>
        <v>0</v>
      </c>
      <c r="J61" s="4">
        <f>(VLOOKUP('20.03'!R61,'20.03'!$AO$4:$AR$55,4,FALSE))</f>
        <v>0</v>
      </c>
      <c r="K61" s="4">
        <f>(VLOOKUP('20.03'!S61,'20.03'!$AO$4:$AR$55,4,FALSE))</f>
        <v>0</v>
      </c>
      <c r="L61" s="4">
        <f>(VLOOKUP('20.03'!T61,'20.03'!$AO$4:$AR$55,4,FALSE))</f>
        <v>0</v>
      </c>
      <c r="M61" s="4">
        <f>(VLOOKUP('20.03'!U61,'20.03'!$AO$4:$AR$55,4,FALSE))</f>
        <v>0</v>
      </c>
      <c r="N61" s="4">
        <f>(VLOOKUP('20.03'!V61,'20.03'!$AO$4:$AR$55,4,FALSE))</f>
        <v>0</v>
      </c>
      <c r="O61" s="4">
        <f>(VLOOKUP('20.03'!W61,'20.03'!$AO$4:$AR$55,4,FALSE))</f>
        <v>0</v>
      </c>
      <c r="P61" s="4">
        <f>(VLOOKUP('20.03'!X61,'20.03'!$AO$4:$AR$55,4,FALSE))</f>
        <v>0</v>
      </c>
      <c r="Q61" s="4">
        <f>(VLOOKUP('20.03'!Y61,'20.03'!$AO$4:$AR$55,4,FALSE))</f>
        <v>0</v>
      </c>
      <c r="R61" s="4">
        <f>(VLOOKUP('20.03'!Z61,'20.03'!$AO$4:$AR$55,4,FALSE))</f>
        <v>0</v>
      </c>
      <c r="S61" s="4">
        <f>(VLOOKUP('20.03'!AA61,'20.03'!$AO$4:$AR$55,4,FALSE))</f>
        <v>0</v>
      </c>
      <c r="T61" s="4">
        <f>(VLOOKUP('20.03'!AB61,'20.03'!$AO$4:$AR$55,4,FALSE))</f>
        <v>0</v>
      </c>
      <c r="U61" s="4">
        <f>(VLOOKUP('20.03'!AC61,'20.03'!$AO$4:$AR$55,4,FALSE))</f>
        <v>0</v>
      </c>
      <c r="V61" s="4">
        <f>(VLOOKUP('20.03'!AD61,'20.03'!$AO$4:$AR$55,4,FALSE))</f>
        <v>0</v>
      </c>
      <c r="W61" s="4">
        <f>(VLOOKUP('20.03'!AE61,'20.03'!$AO$4:$AR$55,4,FALSE))</f>
        <v>0</v>
      </c>
      <c r="X61" s="4">
        <f>(VLOOKUP('20.03'!AF61,'20.03'!$AO$4:$AR$55,4,FALSE))</f>
        <v>0</v>
      </c>
    </row>
    <row r="62" spans="1:24">
      <c r="A62" s="4">
        <f>(VLOOKUP('20.03'!I62,'20.03'!$AO$4:$AR$55,4,FALSE))</f>
        <v>0</v>
      </c>
      <c r="B62" s="4">
        <f>(VLOOKUP('20.03'!J62,'20.03'!$AO$4:$AR$55,4,FALSE))</f>
        <v>0</v>
      </c>
      <c r="C62" s="4">
        <f>(VLOOKUP('20.03'!K62,'20.03'!$AO$4:$AR$55,4,FALSE))</f>
        <v>0</v>
      </c>
      <c r="D62" s="4">
        <f>(VLOOKUP('20.03'!L62,'20.03'!$AO$4:$AR$55,4,FALSE))</f>
        <v>0</v>
      </c>
      <c r="E62" s="4">
        <f>(VLOOKUP('20.03'!M62,'20.03'!$AO$4:$AR$55,4,FALSE))</f>
        <v>0</v>
      </c>
      <c r="F62" s="4">
        <f>(VLOOKUP('20.03'!N62,'20.03'!$AO$4:$AR$55,4,FALSE))</f>
        <v>0</v>
      </c>
      <c r="G62" s="4">
        <f>(VLOOKUP('20.03'!O62,'20.03'!$AO$4:$AR$55,4,FALSE))</f>
        <v>0</v>
      </c>
      <c r="H62" s="4">
        <f>(VLOOKUP('20.03'!P62,'20.03'!$AO$4:$AR$55,4,FALSE))</f>
        <v>0</v>
      </c>
      <c r="I62" s="4">
        <f>(VLOOKUP('20.03'!Q62,'20.03'!$AO$4:$AR$55,4,FALSE))</f>
        <v>0</v>
      </c>
      <c r="J62" s="4">
        <f>(VLOOKUP('20.03'!R62,'20.03'!$AO$4:$AR$55,4,FALSE))</f>
        <v>0</v>
      </c>
      <c r="K62" s="4">
        <f>(VLOOKUP('20.03'!S62,'20.03'!$AO$4:$AR$55,4,FALSE))</f>
        <v>0</v>
      </c>
      <c r="L62" s="4">
        <f>(VLOOKUP('20.03'!T62,'20.03'!$AO$4:$AR$55,4,FALSE))</f>
        <v>0</v>
      </c>
      <c r="M62" s="4">
        <f>(VLOOKUP('20.03'!U62,'20.03'!$AO$4:$AR$55,4,FALSE))</f>
        <v>0</v>
      </c>
      <c r="N62" s="4">
        <f>(VLOOKUP('20.03'!V62,'20.03'!$AO$4:$AR$55,4,FALSE))</f>
        <v>0</v>
      </c>
      <c r="O62" s="4">
        <f>(VLOOKUP('20.03'!W62,'20.03'!$AO$4:$AR$55,4,FALSE))</f>
        <v>0</v>
      </c>
      <c r="P62" s="4">
        <f>(VLOOKUP('20.03'!X62,'20.03'!$AO$4:$AR$55,4,FALSE))</f>
        <v>0</v>
      </c>
      <c r="Q62" s="4">
        <f>(VLOOKUP('20.03'!Y62,'20.03'!$AO$4:$AR$55,4,FALSE))</f>
        <v>0</v>
      </c>
      <c r="R62" s="4">
        <f>(VLOOKUP('20.03'!Z62,'20.03'!$AO$4:$AR$55,4,FALSE))</f>
        <v>0</v>
      </c>
      <c r="S62" s="4">
        <f>(VLOOKUP('20.03'!AA62,'20.03'!$AO$4:$AR$55,4,FALSE))</f>
        <v>0</v>
      </c>
      <c r="T62" s="4">
        <f>(VLOOKUP('20.03'!AB62,'20.03'!$AO$4:$AR$55,4,FALSE))</f>
        <v>0</v>
      </c>
      <c r="U62" s="4">
        <f>(VLOOKUP('20.03'!AC62,'20.03'!$AO$4:$AR$55,4,FALSE))</f>
        <v>0</v>
      </c>
      <c r="V62" s="4">
        <f>(VLOOKUP('20.03'!AD62,'20.03'!$AO$4:$AR$55,4,FALSE))</f>
        <v>0</v>
      </c>
      <c r="W62" s="4">
        <f>(VLOOKUP('20.03'!AE62,'20.03'!$AO$4:$AR$55,4,FALSE))</f>
        <v>0</v>
      </c>
      <c r="X62" s="4">
        <f>(VLOOKUP('20.03'!AF62,'20.03'!$AO$4:$AR$55,4,FALSE))</f>
        <v>0</v>
      </c>
    </row>
    <row r="63" spans="1:24">
      <c r="A63" s="4">
        <f>(VLOOKUP('20.03'!I63,'20.03'!$AO$4:$AR$55,4,FALSE))</f>
        <v>0</v>
      </c>
      <c r="B63" s="4">
        <f>(VLOOKUP('20.03'!J63,'20.03'!$AO$4:$AR$55,4,FALSE))</f>
        <v>0</v>
      </c>
      <c r="C63" s="4">
        <f>(VLOOKUP('20.03'!K63,'20.03'!$AO$4:$AR$55,4,FALSE))</f>
        <v>0</v>
      </c>
      <c r="D63" s="4">
        <f>(VLOOKUP('20.03'!L63,'20.03'!$AO$4:$AR$55,4,FALSE))</f>
        <v>0</v>
      </c>
      <c r="E63" s="4">
        <f>(VLOOKUP('20.03'!M63,'20.03'!$AO$4:$AR$55,4,FALSE))</f>
        <v>0</v>
      </c>
      <c r="F63" s="4">
        <f>(VLOOKUP('20.03'!N63,'20.03'!$AO$4:$AR$55,4,FALSE))</f>
        <v>0</v>
      </c>
      <c r="G63" s="4">
        <f>(VLOOKUP('20.03'!O63,'20.03'!$AO$4:$AR$55,4,FALSE))</f>
        <v>0</v>
      </c>
      <c r="H63" s="4">
        <f>(VLOOKUP('20.03'!P63,'20.03'!$AO$4:$AR$55,4,FALSE))</f>
        <v>0</v>
      </c>
      <c r="I63" s="4">
        <f>(VLOOKUP('20.03'!Q63,'20.03'!$AO$4:$AR$55,4,FALSE))</f>
        <v>0</v>
      </c>
      <c r="J63" s="4">
        <f>(VLOOKUP('20.03'!R63,'20.03'!$AO$4:$AR$55,4,FALSE))</f>
        <v>0</v>
      </c>
      <c r="K63" s="4">
        <f>(VLOOKUP('20.03'!S63,'20.03'!$AO$4:$AR$55,4,FALSE))</f>
        <v>0</v>
      </c>
      <c r="L63" s="4">
        <f>(VLOOKUP('20.03'!T63,'20.03'!$AO$4:$AR$55,4,FALSE))</f>
        <v>0</v>
      </c>
      <c r="M63" s="4">
        <f>(VLOOKUP('20.03'!U63,'20.03'!$AO$4:$AR$55,4,FALSE))</f>
        <v>0</v>
      </c>
      <c r="N63" s="4">
        <f>(VLOOKUP('20.03'!V63,'20.03'!$AO$4:$AR$55,4,FALSE))</f>
        <v>0</v>
      </c>
      <c r="O63" s="4">
        <f>(VLOOKUP('20.03'!W63,'20.03'!$AO$4:$AR$55,4,FALSE))</f>
        <v>0</v>
      </c>
      <c r="P63" s="4">
        <f>(VLOOKUP('20.03'!X63,'20.03'!$AO$4:$AR$55,4,FALSE))</f>
        <v>0</v>
      </c>
      <c r="Q63" s="4">
        <f>(VLOOKUP('20.03'!Y63,'20.03'!$AO$4:$AR$55,4,FALSE))</f>
        <v>0</v>
      </c>
      <c r="R63" s="4">
        <f>(VLOOKUP('20.03'!Z63,'20.03'!$AO$4:$AR$55,4,FALSE))</f>
        <v>0</v>
      </c>
      <c r="S63" s="4">
        <f>(VLOOKUP('20.03'!AA63,'20.03'!$AO$4:$AR$55,4,FALSE))</f>
        <v>0</v>
      </c>
      <c r="T63" s="4">
        <f>(VLOOKUP('20.03'!AB63,'20.03'!$AO$4:$AR$55,4,FALSE))</f>
        <v>0</v>
      </c>
      <c r="U63" s="4">
        <f>(VLOOKUP('20.03'!AC63,'20.03'!$AO$4:$AR$55,4,FALSE))</f>
        <v>0</v>
      </c>
      <c r="V63" s="4">
        <f>(VLOOKUP('20.03'!AD63,'20.03'!$AO$4:$AR$55,4,FALSE))</f>
        <v>0</v>
      </c>
      <c r="W63" s="4">
        <f>(VLOOKUP('20.03'!AE63,'20.03'!$AO$4:$AR$55,4,FALSE))</f>
        <v>0</v>
      </c>
      <c r="X63" s="4">
        <f>(VLOOKUP('20.03'!AF63,'20.03'!$AO$4:$AR$55,4,FALSE))</f>
        <v>0</v>
      </c>
    </row>
    <row r="64" spans="1:24">
      <c r="A64" s="4">
        <f>(VLOOKUP('20.03'!I64,'20.03'!$AO$4:$AR$55,4,FALSE))</f>
        <v>0</v>
      </c>
      <c r="B64" s="4">
        <f>(VLOOKUP('20.03'!J64,'20.03'!$AO$4:$AR$55,4,FALSE))</f>
        <v>0</v>
      </c>
      <c r="C64" s="4">
        <f>(VLOOKUP('20.03'!K64,'20.03'!$AO$4:$AR$55,4,FALSE))</f>
        <v>0</v>
      </c>
      <c r="D64" s="4">
        <f>(VLOOKUP('20.03'!L64,'20.03'!$AO$4:$AR$55,4,FALSE))</f>
        <v>0</v>
      </c>
      <c r="E64" s="4">
        <f>(VLOOKUP('20.03'!M64,'20.03'!$AO$4:$AR$55,4,FALSE))</f>
        <v>0</v>
      </c>
      <c r="F64" s="4">
        <f>(VLOOKUP('20.03'!N64,'20.03'!$AO$4:$AR$55,4,FALSE))</f>
        <v>0</v>
      </c>
      <c r="G64" s="4">
        <f>(VLOOKUP('20.03'!O64,'20.03'!$AO$4:$AR$55,4,FALSE))</f>
        <v>0</v>
      </c>
      <c r="H64" s="4">
        <f>(VLOOKUP('20.03'!P64,'20.03'!$AO$4:$AR$55,4,FALSE))</f>
        <v>0</v>
      </c>
      <c r="I64" s="4">
        <f>(VLOOKUP('20.03'!Q64,'20.03'!$AO$4:$AR$55,4,FALSE))</f>
        <v>0</v>
      </c>
      <c r="J64" s="4">
        <f>(VLOOKUP('20.03'!R64,'20.03'!$AO$4:$AR$55,4,FALSE))</f>
        <v>0</v>
      </c>
      <c r="K64" s="4">
        <f>(VLOOKUP('20.03'!S64,'20.03'!$AO$4:$AR$55,4,FALSE))</f>
        <v>0</v>
      </c>
      <c r="L64" s="4">
        <f>(VLOOKUP('20.03'!T64,'20.03'!$AO$4:$AR$55,4,FALSE))</f>
        <v>0</v>
      </c>
      <c r="M64" s="4">
        <f>(VLOOKUP('20.03'!U64,'20.03'!$AO$4:$AR$55,4,FALSE))</f>
        <v>0</v>
      </c>
      <c r="N64" s="4">
        <f>(VLOOKUP('20.03'!V64,'20.03'!$AO$4:$AR$55,4,FALSE))</f>
        <v>0</v>
      </c>
      <c r="O64" s="4">
        <f>(VLOOKUP('20.03'!W64,'20.03'!$AO$4:$AR$55,4,FALSE))</f>
        <v>0</v>
      </c>
      <c r="P64" s="4">
        <f>(VLOOKUP('20.03'!X64,'20.03'!$AO$4:$AR$55,4,FALSE))</f>
        <v>0</v>
      </c>
      <c r="Q64" s="4">
        <f>(VLOOKUP('20.03'!Y64,'20.03'!$AO$4:$AR$55,4,FALSE))</f>
        <v>0</v>
      </c>
      <c r="R64" s="4">
        <f>(VLOOKUP('20.03'!Z64,'20.03'!$AO$4:$AR$55,4,FALSE))</f>
        <v>0</v>
      </c>
      <c r="S64" s="4">
        <f>(VLOOKUP('20.03'!AA64,'20.03'!$AO$4:$AR$55,4,FALSE))</f>
        <v>0</v>
      </c>
      <c r="T64" s="4">
        <f>(VLOOKUP('20.03'!AB64,'20.03'!$AO$4:$AR$55,4,FALSE))</f>
        <v>0</v>
      </c>
      <c r="U64" s="4">
        <f>(VLOOKUP('20.03'!AC64,'20.03'!$AO$4:$AR$55,4,FALSE))</f>
        <v>0</v>
      </c>
      <c r="V64" s="4">
        <f>(VLOOKUP('20.03'!AD64,'20.03'!$AO$4:$AR$55,4,FALSE))</f>
        <v>0</v>
      </c>
      <c r="W64" s="4">
        <f>(VLOOKUP('20.03'!AE64,'20.03'!$AO$4:$AR$55,4,FALSE))</f>
        <v>0</v>
      </c>
      <c r="X64" s="4">
        <f>(VLOOKUP('20.03'!AF64,'20.03'!$AO$4:$AR$55,4,FALSE))</f>
        <v>0</v>
      </c>
    </row>
    <row r="65" spans="1:24">
      <c r="A65" s="4">
        <f>(VLOOKUP('20.03'!I65,'20.03'!$AO$4:$AR$55,4,FALSE))</f>
        <v>0</v>
      </c>
      <c r="B65" s="4">
        <f>(VLOOKUP('20.03'!J65,'20.03'!$AO$4:$AR$55,4,FALSE))</f>
        <v>0</v>
      </c>
      <c r="C65" s="4">
        <f>(VLOOKUP('20.03'!K65,'20.03'!$AO$4:$AR$55,4,FALSE))</f>
        <v>0</v>
      </c>
      <c r="D65" s="4">
        <f>(VLOOKUP('20.03'!L65,'20.03'!$AO$4:$AR$55,4,FALSE))</f>
        <v>0</v>
      </c>
      <c r="E65" s="4">
        <f>(VLOOKUP('20.03'!M65,'20.03'!$AO$4:$AR$55,4,FALSE))</f>
        <v>0</v>
      </c>
      <c r="F65" s="4">
        <f>(VLOOKUP('20.03'!N65,'20.03'!$AO$4:$AR$55,4,FALSE))</f>
        <v>0</v>
      </c>
      <c r="G65" s="4">
        <f>(VLOOKUP('20.03'!O65,'20.03'!$AO$4:$AR$55,4,FALSE))</f>
        <v>0</v>
      </c>
      <c r="H65" s="4">
        <f>(VLOOKUP('20.03'!P65,'20.03'!$AO$4:$AR$55,4,FALSE))</f>
        <v>0</v>
      </c>
      <c r="I65" s="4">
        <f>(VLOOKUP('20.03'!Q65,'20.03'!$AO$4:$AR$55,4,FALSE))</f>
        <v>0</v>
      </c>
      <c r="J65" s="4">
        <f>(VLOOKUP('20.03'!R65,'20.03'!$AO$4:$AR$55,4,FALSE))</f>
        <v>0</v>
      </c>
      <c r="K65" s="4">
        <f>(VLOOKUP('20.03'!S65,'20.03'!$AO$4:$AR$55,4,FALSE))</f>
        <v>0</v>
      </c>
      <c r="L65" s="4">
        <f>(VLOOKUP('20.03'!T65,'20.03'!$AO$4:$AR$55,4,FALSE))</f>
        <v>0</v>
      </c>
      <c r="M65" s="4">
        <f>(VLOOKUP('20.03'!U65,'20.03'!$AO$4:$AR$55,4,FALSE))</f>
        <v>0</v>
      </c>
      <c r="N65" s="4">
        <f>(VLOOKUP('20.03'!V65,'20.03'!$AO$4:$AR$55,4,FALSE))</f>
        <v>0</v>
      </c>
      <c r="O65" s="4">
        <f>(VLOOKUP('20.03'!W65,'20.03'!$AO$4:$AR$55,4,FALSE))</f>
        <v>0</v>
      </c>
      <c r="P65" s="4">
        <f>(VLOOKUP('20.03'!X65,'20.03'!$AO$4:$AR$55,4,FALSE))</f>
        <v>0</v>
      </c>
      <c r="Q65" s="4">
        <f>(VLOOKUP('20.03'!Y65,'20.03'!$AO$4:$AR$55,4,FALSE))</f>
        <v>0</v>
      </c>
      <c r="R65" s="4">
        <f>(VLOOKUP('20.03'!Z65,'20.03'!$AO$4:$AR$55,4,FALSE))</f>
        <v>0</v>
      </c>
      <c r="S65" s="4">
        <f>(VLOOKUP('20.03'!AA65,'20.03'!$AO$4:$AR$55,4,FALSE))</f>
        <v>0</v>
      </c>
      <c r="T65" s="4">
        <f>(VLOOKUP('20.03'!AB65,'20.03'!$AO$4:$AR$55,4,FALSE))</f>
        <v>0</v>
      </c>
      <c r="U65" s="4">
        <f>(VLOOKUP('20.03'!AC65,'20.03'!$AO$4:$AR$55,4,FALSE))</f>
        <v>0</v>
      </c>
      <c r="V65" s="4">
        <f>(VLOOKUP('20.03'!AD65,'20.03'!$AO$4:$AR$55,4,FALSE))</f>
        <v>0</v>
      </c>
      <c r="W65" s="4">
        <f>(VLOOKUP('20.03'!AE65,'20.03'!$AO$4:$AR$55,4,FALSE))</f>
        <v>0</v>
      </c>
      <c r="X65" s="4">
        <f>(VLOOKUP('20.03'!AF65,'20.03'!$AO$4:$AR$55,4,FALSE))</f>
        <v>0</v>
      </c>
    </row>
    <row r="66" spans="1:24">
      <c r="A66" s="4">
        <f>(VLOOKUP('20.03'!I66,'20.03'!$AO$4:$AR$55,4,FALSE))</f>
        <v>0</v>
      </c>
      <c r="B66" s="4">
        <f>(VLOOKUP('20.03'!J66,'20.03'!$AO$4:$AR$55,4,FALSE))</f>
        <v>0</v>
      </c>
      <c r="C66" s="4">
        <f>(VLOOKUP('20.03'!K66,'20.03'!$AO$4:$AR$55,4,FALSE))</f>
        <v>0</v>
      </c>
      <c r="D66" s="4">
        <f>(VLOOKUP('20.03'!L66,'20.03'!$AO$4:$AR$55,4,FALSE))</f>
        <v>0</v>
      </c>
      <c r="E66" s="4">
        <f>(VLOOKUP('20.03'!M66,'20.03'!$AO$4:$AR$55,4,FALSE))</f>
        <v>0</v>
      </c>
      <c r="F66" s="4">
        <f>(VLOOKUP('20.03'!N66,'20.03'!$AO$4:$AR$55,4,FALSE))</f>
        <v>0</v>
      </c>
      <c r="G66" s="4">
        <f>(VLOOKUP('20.03'!O66,'20.03'!$AO$4:$AR$55,4,FALSE))</f>
        <v>0</v>
      </c>
      <c r="H66" s="4">
        <f>(VLOOKUP('20.03'!P66,'20.03'!$AO$4:$AR$55,4,FALSE))</f>
        <v>0</v>
      </c>
      <c r="I66" s="4">
        <f>(VLOOKUP('20.03'!Q66,'20.03'!$AO$4:$AR$55,4,FALSE))</f>
        <v>0</v>
      </c>
      <c r="J66" s="4">
        <f>(VLOOKUP('20.03'!R66,'20.03'!$AO$4:$AR$55,4,FALSE))</f>
        <v>0</v>
      </c>
      <c r="K66" s="4">
        <f>(VLOOKUP('20.03'!S66,'20.03'!$AO$4:$AR$55,4,FALSE))</f>
        <v>0</v>
      </c>
      <c r="L66" s="4">
        <f>(VLOOKUP('20.03'!T66,'20.03'!$AO$4:$AR$55,4,FALSE))</f>
        <v>0</v>
      </c>
      <c r="M66" s="4">
        <f>(VLOOKUP('20.03'!U66,'20.03'!$AO$4:$AR$55,4,FALSE))</f>
        <v>0</v>
      </c>
      <c r="N66" s="4">
        <f>(VLOOKUP('20.03'!V66,'20.03'!$AO$4:$AR$55,4,FALSE))</f>
        <v>0</v>
      </c>
      <c r="O66" s="4">
        <f>(VLOOKUP('20.03'!W66,'20.03'!$AO$4:$AR$55,4,FALSE))</f>
        <v>0</v>
      </c>
      <c r="P66" s="4">
        <f>(VLOOKUP('20.03'!X66,'20.03'!$AO$4:$AR$55,4,FALSE))</f>
        <v>0</v>
      </c>
      <c r="Q66" s="4">
        <f>(VLOOKUP('20.03'!Y66,'20.03'!$AO$4:$AR$55,4,FALSE))</f>
        <v>0</v>
      </c>
      <c r="R66" s="4">
        <f>(VLOOKUP('20.03'!Z66,'20.03'!$AO$4:$AR$55,4,FALSE))</f>
        <v>0</v>
      </c>
      <c r="S66" s="4">
        <f>(VLOOKUP('20.03'!AA66,'20.03'!$AO$4:$AR$55,4,FALSE))</f>
        <v>0</v>
      </c>
      <c r="T66" s="4">
        <f>(VLOOKUP('20.03'!AB66,'20.03'!$AO$4:$AR$55,4,FALSE))</f>
        <v>0</v>
      </c>
      <c r="U66" s="4">
        <f>(VLOOKUP('20.03'!AC66,'20.03'!$AO$4:$AR$55,4,FALSE))</f>
        <v>0</v>
      </c>
      <c r="V66" s="4">
        <f>(VLOOKUP('20.03'!AD66,'20.03'!$AO$4:$AR$55,4,FALSE))</f>
        <v>0</v>
      </c>
      <c r="W66" s="4">
        <f>(VLOOKUP('20.03'!AE66,'20.03'!$AO$4:$AR$55,4,FALSE))</f>
        <v>0</v>
      </c>
      <c r="X66" s="4">
        <f>(VLOOKUP('20.03'!AF66,'20.03'!$AO$4:$AR$55,4,FALSE))</f>
        <v>0</v>
      </c>
    </row>
    <row r="67" spans="1:24">
      <c r="A67" s="4">
        <f>(VLOOKUP('20.03'!I67,'20.03'!$AO$4:$AR$55,4,FALSE))</f>
        <v>0</v>
      </c>
      <c r="B67" s="4">
        <f>(VLOOKUP('20.03'!J67,'20.03'!$AO$4:$AR$55,4,FALSE))</f>
        <v>0</v>
      </c>
      <c r="C67" s="4">
        <f>(VLOOKUP('20.03'!K67,'20.03'!$AO$4:$AR$55,4,FALSE))</f>
        <v>0</v>
      </c>
      <c r="D67" s="4">
        <f>(VLOOKUP('20.03'!L67,'20.03'!$AO$4:$AR$55,4,FALSE))</f>
        <v>0</v>
      </c>
      <c r="E67" s="4">
        <f>(VLOOKUP('20.03'!M67,'20.03'!$AO$4:$AR$55,4,FALSE))</f>
        <v>0</v>
      </c>
      <c r="F67" s="4">
        <f>(VLOOKUP('20.03'!N67,'20.03'!$AO$4:$AR$55,4,FALSE))</f>
        <v>0</v>
      </c>
      <c r="G67" s="4">
        <f>(VLOOKUP('20.03'!O67,'20.03'!$AO$4:$AR$55,4,FALSE))</f>
        <v>0</v>
      </c>
      <c r="H67" s="4">
        <f>(VLOOKUP('20.03'!P67,'20.03'!$AO$4:$AR$55,4,FALSE))</f>
        <v>0</v>
      </c>
      <c r="I67" s="4">
        <f>(VLOOKUP('20.03'!Q67,'20.03'!$AO$4:$AR$55,4,FALSE))</f>
        <v>0</v>
      </c>
      <c r="J67" s="4">
        <f>(VLOOKUP('20.03'!R67,'20.03'!$AO$4:$AR$55,4,FALSE))</f>
        <v>0</v>
      </c>
      <c r="K67" s="4">
        <f>(VLOOKUP('20.03'!S67,'20.03'!$AO$4:$AR$55,4,FALSE))</f>
        <v>0</v>
      </c>
      <c r="L67" s="4">
        <f>(VLOOKUP('20.03'!T67,'20.03'!$AO$4:$AR$55,4,FALSE))</f>
        <v>0</v>
      </c>
      <c r="M67" s="4">
        <f>(VLOOKUP('20.03'!U67,'20.03'!$AO$4:$AR$55,4,FALSE))</f>
        <v>0</v>
      </c>
      <c r="N67" s="4">
        <f>(VLOOKUP('20.03'!V67,'20.03'!$AO$4:$AR$55,4,FALSE))</f>
        <v>0</v>
      </c>
      <c r="O67" s="4">
        <f>(VLOOKUP('20.03'!W67,'20.03'!$AO$4:$AR$55,4,FALSE))</f>
        <v>0</v>
      </c>
      <c r="P67" s="4">
        <f>(VLOOKUP('20.03'!X67,'20.03'!$AO$4:$AR$55,4,FALSE))</f>
        <v>0</v>
      </c>
      <c r="Q67" s="4">
        <f>(VLOOKUP('20.03'!Y67,'20.03'!$AO$4:$AR$55,4,FALSE))</f>
        <v>0</v>
      </c>
      <c r="R67" s="4">
        <f>(VLOOKUP('20.03'!Z67,'20.03'!$AO$4:$AR$55,4,FALSE))</f>
        <v>0</v>
      </c>
      <c r="S67" s="4">
        <f>(VLOOKUP('20.03'!AA67,'20.03'!$AO$4:$AR$55,4,FALSE))</f>
        <v>0</v>
      </c>
      <c r="T67" s="4">
        <f>(VLOOKUP('20.03'!AB67,'20.03'!$AO$4:$AR$55,4,FALSE))</f>
        <v>0</v>
      </c>
      <c r="U67" s="4">
        <f>(VLOOKUP('20.03'!AC67,'20.03'!$AO$4:$AR$55,4,FALSE))</f>
        <v>0</v>
      </c>
      <c r="V67" s="4">
        <f>(VLOOKUP('20.03'!AD67,'20.03'!$AO$4:$AR$55,4,FALSE))</f>
        <v>0</v>
      </c>
      <c r="W67" s="4">
        <f>(VLOOKUP('20.03'!AE67,'20.03'!$AO$4:$AR$55,4,FALSE))</f>
        <v>0</v>
      </c>
      <c r="X67" s="4">
        <f>(VLOOKUP('20.03'!AF67,'20.03'!$AO$4:$AR$55,4,FALSE))</f>
        <v>0</v>
      </c>
    </row>
    <row r="68" spans="1:24">
      <c r="A68" s="4">
        <f>(VLOOKUP('20.03'!I68,'20.03'!$AO$4:$AR$55,4,FALSE))</f>
        <v>0</v>
      </c>
      <c r="B68" s="4">
        <f>(VLOOKUP('20.03'!J68,'20.03'!$AO$4:$AR$55,4,FALSE))</f>
        <v>0</v>
      </c>
      <c r="C68" s="4">
        <f>(VLOOKUP('20.03'!K68,'20.03'!$AO$4:$AR$55,4,FALSE))</f>
        <v>0</v>
      </c>
      <c r="D68" s="4">
        <f>(VLOOKUP('20.03'!L68,'20.03'!$AO$4:$AR$55,4,FALSE))</f>
        <v>0</v>
      </c>
      <c r="E68" s="4">
        <f>(VLOOKUP('20.03'!M68,'20.03'!$AO$4:$AR$55,4,FALSE))</f>
        <v>0</v>
      </c>
      <c r="F68" s="4">
        <f>(VLOOKUP('20.03'!N68,'20.03'!$AO$4:$AR$55,4,FALSE))</f>
        <v>0</v>
      </c>
      <c r="G68" s="4">
        <f>(VLOOKUP('20.03'!O68,'20.03'!$AO$4:$AR$55,4,FALSE))</f>
        <v>0</v>
      </c>
      <c r="H68" s="4">
        <f>(VLOOKUP('20.03'!P68,'20.03'!$AO$4:$AR$55,4,FALSE))</f>
        <v>0</v>
      </c>
      <c r="I68" s="4">
        <f>(VLOOKUP('20.03'!Q68,'20.03'!$AO$4:$AR$55,4,FALSE))</f>
        <v>0</v>
      </c>
      <c r="J68" s="4">
        <f>(VLOOKUP('20.03'!R68,'20.03'!$AO$4:$AR$55,4,FALSE))</f>
        <v>0</v>
      </c>
      <c r="K68" s="4">
        <f>(VLOOKUP('20.03'!S68,'20.03'!$AO$4:$AR$55,4,FALSE))</f>
        <v>0</v>
      </c>
      <c r="L68" s="4">
        <f>(VLOOKUP('20.03'!T68,'20.03'!$AO$4:$AR$55,4,FALSE))</f>
        <v>0</v>
      </c>
      <c r="M68" s="4">
        <f>(VLOOKUP('20.03'!U68,'20.03'!$AO$4:$AR$55,4,FALSE))</f>
        <v>0</v>
      </c>
      <c r="N68" s="4">
        <f>(VLOOKUP('20.03'!V68,'20.03'!$AO$4:$AR$55,4,FALSE))</f>
        <v>0</v>
      </c>
      <c r="O68" s="4">
        <f>(VLOOKUP('20.03'!W68,'20.03'!$AO$4:$AR$55,4,FALSE))</f>
        <v>0</v>
      </c>
      <c r="P68" s="4">
        <f>(VLOOKUP('20.03'!X68,'20.03'!$AO$4:$AR$55,4,FALSE))</f>
        <v>0</v>
      </c>
      <c r="Q68" s="4">
        <f>(VLOOKUP('20.03'!Y68,'20.03'!$AO$4:$AR$55,4,FALSE))</f>
        <v>0</v>
      </c>
      <c r="R68" s="4">
        <f>(VLOOKUP('20.03'!Z68,'20.03'!$AO$4:$AR$55,4,FALSE))</f>
        <v>0</v>
      </c>
      <c r="S68" s="4">
        <f>(VLOOKUP('20.03'!AA68,'20.03'!$AO$4:$AR$55,4,FALSE))</f>
        <v>0</v>
      </c>
      <c r="T68" s="4">
        <f>(VLOOKUP('20.03'!AB68,'20.03'!$AO$4:$AR$55,4,FALSE))</f>
        <v>0</v>
      </c>
      <c r="U68" s="4">
        <f>(VLOOKUP('20.03'!AC68,'20.03'!$AO$4:$AR$55,4,FALSE))</f>
        <v>0</v>
      </c>
      <c r="V68" s="4">
        <f>(VLOOKUP('20.03'!AD68,'20.03'!$AO$4:$AR$55,4,FALSE))</f>
        <v>0</v>
      </c>
      <c r="W68" s="4">
        <f>(VLOOKUP('20.03'!AE68,'20.03'!$AO$4:$AR$55,4,FALSE))</f>
        <v>0</v>
      </c>
      <c r="X68" s="4">
        <f>(VLOOKUP('20.03'!AF68,'20.03'!$AO$4:$AR$55,4,FALSE))</f>
        <v>0</v>
      </c>
    </row>
    <row r="69" spans="1:24">
      <c r="A69" s="4">
        <f>(VLOOKUP('20.03'!I69,'20.03'!$AO$4:$AR$55,4,FALSE))</f>
        <v>0</v>
      </c>
      <c r="B69" s="4">
        <f>(VLOOKUP('20.03'!J69,'20.03'!$AO$4:$AR$55,4,FALSE))</f>
        <v>0</v>
      </c>
      <c r="C69" s="4">
        <f>(VLOOKUP('20.03'!K69,'20.03'!$AO$4:$AR$55,4,FALSE))</f>
        <v>0</v>
      </c>
      <c r="D69" s="4">
        <f>(VLOOKUP('20.03'!L69,'20.03'!$AO$4:$AR$55,4,FALSE))</f>
        <v>0</v>
      </c>
      <c r="E69" s="4">
        <f>(VLOOKUP('20.03'!M69,'20.03'!$AO$4:$AR$55,4,FALSE))</f>
        <v>0</v>
      </c>
      <c r="F69" s="4">
        <f>(VLOOKUP('20.03'!N69,'20.03'!$AO$4:$AR$55,4,FALSE))</f>
        <v>0</v>
      </c>
      <c r="G69" s="4">
        <f>(VLOOKUP('20.03'!O69,'20.03'!$AO$4:$AR$55,4,FALSE))</f>
        <v>0</v>
      </c>
      <c r="H69" s="4">
        <f>(VLOOKUP('20.03'!P69,'20.03'!$AO$4:$AR$55,4,FALSE))</f>
        <v>0</v>
      </c>
      <c r="I69" s="4">
        <f>(VLOOKUP('20.03'!Q69,'20.03'!$AO$4:$AR$55,4,FALSE))</f>
        <v>0</v>
      </c>
      <c r="J69" s="4">
        <f>(VLOOKUP('20.03'!R69,'20.03'!$AO$4:$AR$55,4,FALSE))</f>
        <v>0</v>
      </c>
      <c r="K69" s="4">
        <f>(VLOOKUP('20.03'!S69,'20.03'!$AO$4:$AR$55,4,FALSE))</f>
        <v>0</v>
      </c>
      <c r="L69" s="4">
        <f>(VLOOKUP('20.03'!T69,'20.03'!$AO$4:$AR$55,4,FALSE))</f>
        <v>0</v>
      </c>
      <c r="M69" s="4">
        <f>(VLOOKUP('20.03'!U69,'20.03'!$AO$4:$AR$55,4,FALSE))</f>
        <v>0</v>
      </c>
      <c r="N69" s="4">
        <f>(VLOOKUP('20.03'!V69,'20.03'!$AO$4:$AR$55,4,FALSE))</f>
        <v>0</v>
      </c>
      <c r="O69" s="4">
        <f>(VLOOKUP('20.03'!W69,'20.03'!$AO$4:$AR$55,4,FALSE))</f>
        <v>0</v>
      </c>
      <c r="P69" s="4">
        <f>(VLOOKUP('20.03'!X69,'20.03'!$AO$4:$AR$55,4,FALSE))</f>
        <v>0</v>
      </c>
      <c r="Q69" s="4">
        <f>(VLOOKUP('20.03'!Y69,'20.03'!$AO$4:$AR$55,4,FALSE))</f>
        <v>0</v>
      </c>
      <c r="R69" s="4">
        <f>(VLOOKUP('20.03'!Z69,'20.03'!$AO$4:$AR$55,4,FALSE))</f>
        <v>0</v>
      </c>
      <c r="S69" s="4">
        <f>(VLOOKUP('20.03'!AA69,'20.03'!$AO$4:$AR$55,4,FALSE))</f>
        <v>0</v>
      </c>
      <c r="T69" s="4">
        <f>(VLOOKUP('20.03'!AB69,'20.03'!$AO$4:$AR$55,4,FALSE))</f>
        <v>0</v>
      </c>
      <c r="U69" s="4">
        <f>(VLOOKUP('20.03'!AC69,'20.03'!$AO$4:$AR$55,4,FALSE))</f>
        <v>0</v>
      </c>
      <c r="V69" s="4">
        <f>(VLOOKUP('20.03'!AD69,'20.03'!$AO$4:$AR$55,4,FALSE))</f>
        <v>0</v>
      </c>
      <c r="W69" s="4">
        <f>(VLOOKUP('20.03'!AE69,'20.03'!$AO$4:$AR$55,4,FALSE))</f>
        <v>0</v>
      </c>
      <c r="X69" s="4">
        <f>(VLOOKUP('20.03'!AF69,'20.03'!$AO$4:$AR$55,4,FALSE))</f>
        <v>0</v>
      </c>
    </row>
    <row r="70" spans="1:24">
      <c r="A70" s="4">
        <f>(VLOOKUP('20.03'!I70,'20.03'!$AO$4:$AR$55,4,FALSE))</f>
        <v>0</v>
      </c>
      <c r="B70" s="4">
        <f>(VLOOKUP('20.03'!J70,'20.03'!$AO$4:$AR$55,4,FALSE))</f>
        <v>0</v>
      </c>
      <c r="C70" s="4">
        <f>(VLOOKUP('20.03'!K70,'20.03'!$AO$4:$AR$55,4,FALSE))</f>
        <v>0</v>
      </c>
      <c r="D70" s="4">
        <f>(VLOOKUP('20.03'!L70,'20.03'!$AO$4:$AR$55,4,FALSE))</f>
        <v>0</v>
      </c>
      <c r="E70" s="4">
        <f>(VLOOKUP('20.03'!M70,'20.03'!$AO$4:$AR$55,4,FALSE))</f>
        <v>0</v>
      </c>
      <c r="F70" s="4">
        <f>(VLOOKUP('20.03'!N70,'20.03'!$AO$4:$AR$55,4,FALSE))</f>
        <v>0</v>
      </c>
      <c r="G70" s="4">
        <f>(VLOOKUP('20.03'!O70,'20.03'!$AO$4:$AR$55,4,FALSE))</f>
        <v>0</v>
      </c>
      <c r="H70" s="4">
        <f>(VLOOKUP('20.03'!P70,'20.03'!$AO$4:$AR$55,4,FALSE))</f>
        <v>0</v>
      </c>
      <c r="I70" s="4">
        <f>(VLOOKUP('20.03'!Q70,'20.03'!$AO$4:$AR$55,4,FALSE))</f>
        <v>0</v>
      </c>
      <c r="J70" s="4">
        <f>(VLOOKUP('20.03'!R70,'20.03'!$AO$4:$AR$55,4,FALSE))</f>
        <v>0</v>
      </c>
      <c r="K70" s="4">
        <f>(VLOOKUP('20.03'!S70,'20.03'!$AO$4:$AR$55,4,FALSE))</f>
        <v>0</v>
      </c>
      <c r="L70" s="4">
        <f>(VLOOKUP('20.03'!T70,'20.03'!$AO$4:$AR$55,4,FALSE))</f>
        <v>0</v>
      </c>
      <c r="M70" s="4">
        <f>(VLOOKUP('20.03'!U70,'20.03'!$AO$4:$AR$55,4,FALSE))</f>
        <v>0</v>
      </c>
      <c r="N70" s="4">
        <f>(VLOOKUP('20.03'!V70,'20.03'!$AO$4:$AR$55,4,FALSE))</f>
        <v>0</v>
      </c>
      <c r="O70" s="4">
        <f>(VLOOKUP('20.03'!W70,'20.03'!$AO$4:$AR$55,4,FALSE))</f>
        <v>0</v>
      </c>
      <c r="P70" s="4">
        <f>(VLOOKUP('20.03'!X70,'20.03'!$AO$4:$AR$55,4,FALSE))</f>
        <v>0</v>
      </c>
      <c r="Q70" s="4">
        <f>(VLOOKUP('20.03'!Y70,'20.03'!$AO$4:$AR$55,4,FALSE))</f>
        <v>0</v>
      </c>
      <c r="R70" s="4">
        <f>(VLOOKUP('20.03'!Z70,'20.03'!$AO$4:$AR$55,4,FALSE))</f>
        <v>0</v>
      </c>
      <c r="S70" s="4">
        <f>(VLOOKUP('20.03'!AA70,'20.03'!$AO$4:$AR$55,4,FALSE))</f>
        <v>0</v>
      </c>
      <c r="T70" s="4">
        <f>(VLOOKUP('20.03'!AB70,'20.03'!$AO$4:$AR$55,4,FALSE))</f>
        <v>0</v>
      </c>
      <c r="U70" s="4">
        <f>(VLOOKUP('20.03'!AC70,'20.03'!$AO$4:$AR$55,4,FALSE))</f>
        <v>0</v>
      </c>
      <c r="V70" s="4">
        <f>(VLOOKUP('20.03'!AD70,'20.03'!$AO$4:$AR$55,4,FALSE))</f>
        <v>0</v>
      </c>
      <c r="W70" s="4">
        <f>(VLOOKUP('20.03'!AE70,'20.03'!$AO$4:$AR$55,4,FALSE))</f>
        <v>0</v>
      </c>
      <c r="X70" s="4">
        <f>(VLOOKUP('20.03'!AF70,'20.03'!$AO$4:$AR$55,4,FALSE))</f>
        <v>0</v>
      </c>
    </row>
    <row r="71" spans="1:24">
      <c r="A71" s="4">
        <f>(VLOOKUP('20.03'!I71,'20.03'!$AO$4:$AR$55,4,FALSE))</f>
        <v>0</v>
      </c>
      <c r="B71" s="4">
        <f>(VLOOKUP('20.03'!J71,'20.03'!$AO$4:$AR$55,4,FALSE))</f>
        <v>0</v>
      </c>
      <c r="C71" s="4">
        <f>(VLOOKUP('20.03'!K71,'20.03'!$AO$4:$AR$55,4,FALSE))</f>
        <v>0</v>
      </c>
      <c r="D71" s="4">
        <f>(VLOOKUP('20.03'!L71,'20.03'!$AO$4:$AR$55,4,FALSE))</f>
        <v>0</v>
      </c>
      <c r="E71" s="4">
        <f>(VLOOKUP('20.03'!M71,'20.03'!$AO$4:$AR$55,4,FALSE))</f>
        <v>0</v>
      </c>
      <c r="F71" s="4">
        <f>(VLOOKUP('20.03'!N71,'20.03'!$AO$4:$AR$55,4,FALSE))</f>
        <v>0</v>
      </c>
      <c r="G71" s="4">
        <f>(VLOOKUP('20.03'!O71,'20.03'!$AO$4:$AR$55,4,FALSE))</f>
        <v>0</v>
      </c>
      <c r="H71" s="4">
        <f>(VLOOKUP('20.03'!P71,'20.03'!$AO$4:$AR$55,4,FALSE))</f>
        <v>0</v>
      </c>
      <c r="I71" s="4">
        <f>(VLOOKUP('20.03'!Q71,'20.03'!$AO$4:$AR$55,4,FALSE))</f>
        <v>0</v>
      </c>
      <c r="J71" s="4">
        <f>(VLOOKUP('20.03'!R71,'20.03'!$AO$4:$AR$55,4,FALSE))</f>
        <v>0</v>
      </c>
      <c r="K71" s="4">
        <f>(VLOOKUP('20.03'!S71,'20.03'!$AO$4:$AR$55,4,FALSE))</f>
        <v>0</v>
      </c>
      <c r="L71" s="4">
        <f>(VLOOKUP('20.03'!T71,'20.03'!$AO$4:$AR$55,4,FALSE))</f>
        <v>0</v>
      </c>
      <c r="M71" s="4">
        <f>(VLOOKUP('20.03'!U71,'20.03'!$AO$4:$AR$55,4,FALSE))</f>
        <v>0</v>
      </c>
      <c r="N71" s="4">
        <f>(VLOOKUP('20.03'!V71,'20.03'!$AO$4:$AR$55,4,FALSE))</f>
        <v>0</v>
      </c>
      <c r="O71" s="4">
        <f>(VLOOKUP('20.03'!W71,'20.03'!$AO$4:$AR$55,4,FALSE))</f>
        <v>0</v>
      </c>
      <c r="P71" s="4">
        <f>(VLOOKUP('20.03'!X71,'20.03'!$AO$4:$AR$55,4,FALSE))</f>
        <v>0</v>
      </c>
      <c r="Q71" s="4">
        <f>(VLOOKUP('20.03'!Y71,'20.03'!$AO$4:$AR$55,4,FALSE))</f>
        <v>0</v>
      </c>
      <c r="R71" s="4">
        <f>(VLOOKUP('20.03'!Z71,'20.03'!$AO$4:$AR$55,4,FALSE))</f>
        <v>0</v>
      </c>
      <c r="S71" s="4">
        <f>(VLOOKUP('20.03'!AA71,'20.03'!$AO$4:$AR$55,4,FALSE))</f>
        <v>0</v>
      </c>
      <c r="T71" s="4">
        <f>(VLOOKUP('20.03'!AB71,'20.03'!$AO$4:$AR$55,4,FALSE))</f>
        <v>0</v>
      </c>
      <c r="U71" s="4">
        <f>(VLOOKUP('20.03'!AC71,'20.03'!$AO$4:$AR$55,4,FALSE))</f>
        <v>0</v>
      </c>
      <c r="V71" s="4">
        <f>(VLOOKUP('20.03'!AD71,'20.03'!$AO$4:$AR$55,4,FALSE))</f>
        <v>0</v>
      </c>
      <c r="W71" s="4">
        <f>(VLOOKUP('20.03'!AE71,'20.03'!$AO$4:$AR$55,4,FALSE))</f>
        <v>0</v>
      </c>
      <c r="X71" s="4">
        <f>(VLOOKUP('20.03'!AF71,'20.03'!$AO$4:$AR$55,4,FALSE))</f>
        <v>0</v>
      </c>
    </row>
    <row r="72" spans="1:24">
      <c r="A72" s="4">
        <f>(VLOOKUP('20.03'!I72,'20.03'!$AO$4:$AR$55,4,FALSE))</f>
        <v>0</v>
      </c>
      <c r="B72" s="4">
        <f>(VLOOKUP('20.03'!J72,'20.03'!$AO$4:$AR$55,4,FALSE))</f>
        <v>0</v>
      </c>
      <c r="C72" s="4">
        <f>(VLOOKUP('20.03'!K72,'20.03'!$AO$4:$AR$55,4,FALSE))</f>
        <v>0</v>
      </c>
      <c r="D72" s="4">
        <f>(VLOOKUP('20.03'!L72,'20.03'!$AO$4:$AR$55,4,FALSE))</f>
        <v>0</v>
      </c>
      <c r="E72" s="4">
        <f>(VLOOKUP('20.03'!M72,'20.03'!$AO$4:$AR$55,4,FALSE))</f>
        <v>0</v>
      </c>
      <c r="F72" s="4">
        <f>(VLOOKUP('20.03'!N72,'20.03'!$AO$4:$AR$55,4,FALSE))</f>
        <v>0</v>
      </c>
      <c r="G72" s="4">
        <f>(VLOOKUP('20.03'!O72,'20.03'!$AO$4:$AR$55,4,FALSE))</f>
        <v>0</v>
      </c>
      <c r="H72" s="4">
        <f>(VLOOKUP('20.03'!P72,'20.03'!$AO$4:$AR$55,4,FALSE))</f>
        <v>0</v>
      </c>
      <c r="I72" s="4">
        <f>(VLOOKUP('20.03'!Q72,'20.03'!$AO$4:$AR$55,4,FALSE))</f>
        <v>0</v>
      </c>
      <c r="J72" s="4">
        <f>(VLOOKUP('20.03'!R72,'20.03'!$AO$4:$AR$55,4,FALSE))</f>
        <v>0</v>
      </c>
      <c r="K72" s="4">
        <f>(VLOOKUP('20.03'!S72,'20.03'!$AO$4:$AR$55,4,FALSE))</f>
        <v>0</v>
      </c>
      <c r="L72" s="4">
        <f>(VLOOKUP('20.03'!T72,'20.03'!$AO$4:$AR$55,4,FALSE))</f>
        <v>0</v>
      </c>
      <c r="M72" s="4">
        <f>(VLOOKUP('20.03'!U72,'20.03'!$AO$4:$AR$55,4,FALSE))</f>
        <v>0</v>
      </c>
      <c r="N72" s="4">
        <f>(VLOOKUP('20.03'!V72,'20.03'!$AO$4:$AR$55,4,FALSE))</f>
        <v>0</v>
      </c>
      <c r="O72" s="4">
        <f>(VLOOKUP('20.03'!W72,'20.03'!$AO$4:$AR$55,4,FALSE))</f>
        <v>0</v>
      </c>
      <c r="P72" s="4">
        <f>(VLOOKUP('20.03'!X72,'20.03'!$AO$4:$AR$55,4,FALSE))</f>
        <v>0</v>
      </c>
      <c r="Q72" s="4">
        <f>(VLOOKUP('20.03'!Y72,'20.03'!$AO$4:$AR$55,4,FALSE))</f>
        <v>0</v>
      </c>
      <c r="R72" s="4">
        <f>(VLOOKUP('20.03'!Z72,'20.03'!$AO$4:$AR$55,4,FALSE))</f>
        <v>0</v>
      </c>
      <c r="S72" s="4">
        <f>(VLOOKUP('20.03'!AA72,'20.03'!$AO$4:$AR$55,4,FALSE))</f>
        <v>0</v>
      </c>
      <c r="T72" s="4">
        <f>(VLOOKUP('20.03'!AB72,'20.03'!$AO$4:$AR$55,4,FALSE))</f>
        <v>0</v>
      </c>
      <c r="U72" s="4">
        <f>(VLOOKUP('20.03'!AC72,'20.03'!$AO$4:$AR$55,4,FALSE))</f>
        <v>0</v>
      </c>
      <c r="V72" s="4">
        <f>(VLOOKUP('20.03'!AD72,'20.03'!$AO$4:$AR$55,4,FALSE))</f>
        <v>0</v>
      </c>
      <c r="W72" s="4">
        <f>(VLOOKUP('20.03'!AE72,'20.03'!$AO$4:$AR$55,4,FALSE))</f>
        <v>0</v>
      </c>
      <c r="X72" s="4">
        <f>(VLOOKUP('20.03'!AF72,'20.03'!$AO$4:$AR$55,4,FALSE))</f>
        <v>0</v>
      </c>
    </row>
    <row r="73" spans="1:24">
      <c r="A73" s="4">
        <f>(VLOOKUP('20.03'!I73,'20.03'!$AO$4:$AR$55,4,FALSE))</f>
        <v>0</v>
      </c>
      <c r="B73" s="4">
        <f>(VLOOKUP('20.03'!J73,'20.03'!$AO$4:$AR$55,4,FALSE))</f>
        <v>0</v>
      </c>
      <c r="C73" s="4">
        <f>(VLOOKUP('20.03'!K73,'20.03'!$AO$4:$AR$55,4,FALSE))</f>
        <v>0</v>
      </c>
      <c r="D73" s="4">
        <f>(VLOOKUP('20.03'!L73,'20.03'!$AO$4:$AR$55,4,FALSE))</f>
        <v>0</v>
      </c>
      <c r="E73" s="4">
        <f>(VLOOKUP('20.03'!M73,'20.03'!$AO$4:$AR$55,4,FALSE))</f>
        <v>0</v>
      </c>
      <c r="F73" s="4">
        <f>(VLOOKUP('20.03'!N73,'20.03'!$AO$4:$AR$55,4,FALSE))</f>
        <v>0</v>
      </c>
      <c r="G73" s="4">
        <f>(VLOOKUP('20.03'!O73,'20.03'!$AO$4:$AR$55,4,FALSE))</f>
        <v>0</v>
      </c>
      <c r="H73" s="4">
        <f>(VLOOKUP('20.03'!P73,'20.03'!$AO$4:$AR$55,4,FALSE))</f>
        <v>0</v>
      </c>
      <c r="I73" s="4">
        <f>(VLOOKUP('20.03'!Q73,'20.03'!$AO$4:$AR$55,4,FALSE))</f>
        <v>0</v>
      </c>
      <c r="J73" s="4">
        <f>(VLOOKUP('20.03'!R73,'20.03'!$AO$4:$AR$55,4,FALSE))</f>
        <v>0</v>
      </c>
      <c r="K73" s="4">
        <f>(VLOOKUP('20.03'!S73,'20.03'!$AO$4:$AR$55,4,FALSE))</f>
        <v>0</v>
      </c>
      <c r="L73" s="4">
        <f>(VLOOKUP('20.03'!T73,'20.03'!$AO$4:$AR$55,4,FALSE))</f>
        <v>0</v>
      </c>
      <c r="M73" s="4">
        <f>(VLOOKUP('20.03'!U73,'20.03'!$AO$4:$AR$55,4,FALSE))</f>
        <v>0</v>
      </c>
      <c r="N73" s="4">
        <f>(VLOOKUP('20.03'!V73,'20.03'!$AO$4:$AR$55,4,FALSE))</f>
        <v>0</v>
      </c>
      <c r="O73" s="4">
        <f>(VLOOKUP('20.03'!W73,'20.03'!$AO$4:$AR$55,4,FALSE))</f>
        <v>0</v>
      </c>
      <c r="P73" s="4">
        <f>(VLOOKUP('20.03'!X73,'20.03'!$AO$4:$AR$55,4,FALSE))</f>
        <v>0</v>
      </c>
      <c r="Q73" s="4">
        <f>(VLOOKUP('20.03'!Y73,'20.03'!$AO$4:$AR$55,4,FALSE))</f>
        <v>0</v>
      </c>
      <c r="R73" s="4">
        <f>(VLOOKUP('20.03'!Z73,'20.03'!$AO$4:$AR$55,4,FALSE))</f>
        <v>0</v>
      </c>
      <c r="S73" s="4">
        <f>(VLOOKUP('20.03'!AA73,'20.03'!$AO$4:$AR$55,4,FALSE))</f>
        <v>0</v>
      </c>
      <c r="T73" s="4">
        <f>(VLOOKUP('20.03'!AB73,'20.03'!$AO$4:$AR$55,4,FALSE))</f>
        <v>0</v>
      </c>
      <c r="U73" s="4">
        <f>(VLOOKUP('20.03'!AC73,'20.03'!$AO$4:$AR$55,4,FALSE))</f>
        <v>0</v>
      </c>
      <c r="V73" s="4">
        <f>(VLOOKUP('20.03'!AD73,'20.03'!$AO$4:$AR$55,4,FALSE))</f>
        <v>0</v>
      </c>
      <c r="W73" s="4">
        <f>(VLOOKUP('20.03'!AE73,'20.03'!$AO$4:$AR$55,4,FALSE))</f>
        <v>0</v>
      </c>
      <c r="X73" s="4">
        <f>(VLOOKUP('20.03'!AF73,'20.03'!$AO$4:$AR$55,4,FALSE))</f>
        <v>0</v>
      </c>
    </row>
    <row r="74" spans="1:24">
      <c r="A74" s="4">
        <f>(VLOOKUP('20.03'!I74,'20.03'!$AO$4:$AR$55,4,FALSE))</f>
        <v>0</v>
      </c>
      <c r="B74" s="4">
        <f>(VLOOKUP('20.03'!J74,'20.03'!$AO$4:$AR$55,4,FALSE))</f>
        <v>0</v>
      </c>
      <c r="C74" s="4">
        <f>(VLOOKUP('20.03'!K74,'20.03'!$AO$4:$AR$55,4,FALSE))</f>
        <v>0</v>
      </c>
      <c r="D74" s="4">
        <f>(VLOOKUP('20.03'!L74,'20.03'!$AO$4:$AR$55,4,FALSE))</f>
        <v>0</v>
      </c>
      <c r="E74" s="4">
        <f>(VLOOKUP('20.03'!M74,'20.03'!$AO$4:$AR$55,4,FALSE))</f>
        <v>0</v>
      </c>
      <c r="F74" s="4">
        <f>(VLOOKUP('20.03'!N74,'20.03'!$AO$4:$AR$55,4,FALSE))</f>
        <v>0</v>
      </c>
      <c r="G74" s="4">
        <f>(VLOOKUP('20.03'!O74,'20.03'!$AO$4:$AR$55,4,FALSE))</f>
        <v>0</v>
      </c>
      <c r="H74" s="4">
        <f>(VLOOKUP('20.03'!P74,'20.03'!$AO$4:$AR$55,4,FALSE))</f>
        <v>0</v>
      </c>
      <c r="I74" s="4">
        <f>(VLOOKUP('20.03'!Q74,'20.03'!$AO$4:$AR$55,4,FALSE))</f>
        <v>0</v>
      </c>
      <c r="J74" s="4">
        <f>(VLOOKUP('20.03'!R74,'20.03'!$AO$4:$AR$55,4,FALSE))</f>
        <v>0</v>
      </c>
      <c r="K74" s="4">
        <f>(VLOOKUP('20.03'!S74,'20.03'!$AO$4:$AR$55,4,FALSE))</f>
        <v>0</v>
      </c>
      <c r="L74" s="4">
        <f>(VLOOKUP('20.03'!T74,'20.03'!$AO$4:$AR$55,4,FALSE))</f>
        <v>0</v>
      </c>
      <c r="M74" s="4">
        <f>(VLOOKUP('20.03'!U74,'20.03'!$AO$4:$AR$55,4,FALSE))</f>
        <v>0</v>
      </c>
      <c r="N74" s="4">
        <f>(VLOOKUP('20.03'!V74,'20.03'!$AO$4:$AR$55,4,FALSE))</f>
        <v>0</v>
      </c>
      <c r="O74" s="4">
        <f>(VLOOKUP('20.03'!W74,'20.03'!$AO$4:$AR$55,4,FALSE))</f>
        <v>0</v>
      </c>
      <c r="P74" s="4">
        <f>(VLOOKUP('20.03'!X74,'20.03'!$AO$4:$AR$55,4,FALSE))</f>
        <v>0</v>
      </c>
      <c r="Q74" s="4">
        <f>(VLOOKUP('20.03'!Y74,'20.03'!$AO$4:$AR$55,4,FALSE))</f>
        <v>0</v>
      </c>
      <c r="R74" s="4">
        <f>(VLOOKUP('20.03'!Z74,'20.03'!$AO$4:$AR$55,4,FALSE))</f>
        <v>0</v>
      </c>
      <c r="S74" s="4">
        <f>(VLOOKUP('20.03'!AA74,'20.03'!$AO$4:$AR$55,4,FALSE))</f>
        <v>0</v>
      </c>
      <c r="T74" s="4">
        <f>(VLOOKUP('20.03'!AB74,'20.03'!$AO$4:$AR$55,4,FALSE))</f>
        <v>0</v>
      </c>
      <c r="U74" s="4">
        <f>(VLOOKUP('20.03'!AC74,'20.03'!$AO$4:$AR$55,4,FALSE))</f>
        <v>0</v>
      </c>
      <c r="V74" s="4">
        <f>(VLOOKUP('20.03'!AD74,'20.03'!$AO$4:$AR$55,4,FALSE))</f>
        <v>0</v>
      </c>
      <c r="W74" s="4">
        <f>(VLOOKUP('20.03'!AE74,'20.03'!$AO$4:$AR$55,4,FALSE))</f>
        <v>0</v>
      </c>
      <c r="X74" s="4">
        <f>(VLOOKUP('20.03'!AF74,'20.03'!$AO$4:$AR$55,4,FALSE))</f>
        <v>0</v>
      </c>
    </row>
    <row r="75" spans="1:24">
      <c r="A75" s="4">
        <f>(VLOOKUP('20.03'!I75,'20.03'!$AO$4:$AR$55,4,FALSE))</f>
        <v>0</v>
      </c>
      <c r="B75" s="4">
        <f>(VLOOKUP('20.03'!J75,'20.03'!$AO$4:$AR$55,4,FALSE))</f>
        <v>0</v>
      </c>
      <c r="C75" s="4">
        <f>(VLOOKUP('20.03'!K75,'20.03'!$AO$4:$AR$55,4,FALSE))</f>
        <v>0</v>
      </c>
      <c r="D75" s="4">
        <f>(VLOOKUP('20.03'!L75,'20.03'!$AO$4:$AR$55,4,FALSE))</f>
        <v>0</v>
      </c>
      <c r="E75" s="4">
        <f>(VLOOKUP('20.03'!M75,'20.03'!$AO$4:$AR$55,4,FALSE))</f>
        <v>0</v>
      </c>
      <c r="F75" s="4">
        <f>(VLOOKUP('20.03'!N75,'20.03'!$AO$4:$AR$55,4,FALSE))</f>
        <v>0</v>
      </c>
      <c r="G75" s="4">
        <f>(VLOOKUP('20.03'!O75,'20.03'!$AO$4:$AR$55,4,FALSE))</f>
        <v>0</v>
      </c>
      <c r="H75" s="4">
        <f>(VLOOKUP('20.03'!P75,'20.03'!$AO$4:$AR$55,4,FALSE))</f>
        <v>0</v>
      </c>
      <c r="I75" s="4">
        <f>(VLOOKUP('20.03'!Q75,'20.03'!$AO$4:$AR$55,4,FALSE))</f>
        <v>0</v>
      </c>
      <c r="J75" s="4">
        <f>(VLOOKUP('20.03'!R75,'20.03'!$AO$4:$AR$55,4,FALSE))</f>
        <v>0</v>
      </c>
      <c r="K75" s="4">
        <f>(VLOOKUP('20.03'!S75,'20.03'!$AO$4:$AR$55,4,FALSE))</f>
        <v>0</v>
      </c>
      <c r="L75" s="4">
        <f>(VLOOKUP('20.03'!T75,'20.03'!$AO$4:$AR$55,4,FALSE))</f>
        <v>0</v>
      </c>
      <c r="M75" s="4">
        <f>(VLOOKUP('20.03'!U75,'20.03'!$AO$4:$AR$55,4,FALSE))</f>
        <v>0</v>
      </c>
      <c r="N75" s="4">
        <f>(VLOOKUP('20.03'!V75,'20.03'!$AO$4:$AR$55,4,FALSE))</f>
        <v>0</v>
      </c>
      <c r="O75" s="4">
        <f>(VLOOKUP('20.03'!W75,'20.03'!$AO$4:$AR$55,4,FALSE))</f>
        <v>0</v>
      </c>
      <c r="P75" s="4">
        <f>(VLOOKUP('20.03'!X75,'20.03'!$AO$4:$AR$55,4,FALSE))</f>
        <v>0</v>
      </c>
      <c r="Q75" s="4">
        <f>(VLOOKUP('20.03'!Y75,'20.03'!$AO$4:$AR$55,4,FALSE))</f>
        <v>0</v>
      </c>
      <c r="R75" s="4">
        <f>(VLOOKUP('20.03'!Z75,'20.03'!$AO$4:$AR$55,4,FALSE))</f>
        <v>0</v>
      </c>
      <c r="S75" s="4">
        <f>(VLOOKUP('20.03'!AA75,'20.03'!$AO$4:$AR$55,4,FALSE))</f>
        <v>0</v>
      </c>
      <c r="T75" s="4">
        <f>(VLOOKUP('20.03'!AB75,'20.03'!$AO$4:$AR$55,4,FALSE))</f>
        <v>0</v>
      </c>
      <c r="U75" s="4">
        <f>(VLOOKUP('20.03'!AC75,'20.03'!$AO$4:$AR$55,4,FALSE))</f>
        <v>0</v>
      </c>
      <c r="V75" s="4">
        <f>(VLOOKUP('20.03'!AD75,'20.03'!$AO$4:$AR$55,4,FALSE))</f>
        <v>0</v>
      </c>
      <c r="W75" s="4">
        <f>(VLOOKUP('20.03'!AE75,'20.03'!$AO$4:$AR$55,4,FALSE))</f>
        <v>0</v>
      </c>
      <c r="X75" s="4">
        <f>(VLOOKUP('20.03'!AF75,'20.03'!$AO$4:$AR$55,4,FALSE))</f>
        <v>0</v>
      </c>
    </row>
    <row r="76" spans="1:24">
      <c r="A76" s="4">
        <f>(VLOOKUP('20.03'!I76,'20.03'!$AO$4:$AR$55,4,FALSE))</f>
        <v>0</v>
      </c>
      <c r="B76" s="4">
        <f>(VLOOKUP('20.03'!J76,'20.03'!$AO$4:$AR$55,4,FALSE))</f>
        <v>0</v>
      </c>
      <c r="C76" s="4">
        <f>(VLOOKUP('20.03'!K76,'20.03'!$AO$4:$AR$55,4,FALSE))</f>
        <v>0</v>
      </c>
      <c r="D76" s="4">
        <f>(VLOOKUP('20.03'!L76,'20.03'!$AO$4:$AR$55,4,FALSE))</f>
        <v>0</v>
      </c>
      <c r="E76" s="4">
        <f>(VLOOKUP('20.03'!M76,'20.03'!$AO$4:$AR$55,4,FALSE))</f>
        <v>0</v>
      </c>
      <c r="F76" s="4">
        <f>(VLOOKUP('20.03'!N76,'20.03'!$AO$4:$AR$55,4,FALSE))</f>
        <v>0</v>
      </c>
      <c r="G76" s="4">
        <f>(VLOOKUP('20.03'!O76,'20.03'!$AO$4:$AR$55,4,FALSE))</f>
        <v>0</v>
      </c>
      <c r="H76" s="4">
        <f>(VLOOKUP('20.03'!P76,'20.03'!$AO$4:$AR$55,4,FALSE))</f>
        <v>0</v>
      </c>
      <c r="I76" s="4">
        <f>(VLOOKUP('20.03'!Q76,'20.03'!$AO$4:$AR$55,4,FALSE))</f>
        <v>0</v>
      </c>
      <c r="J76" s="4">
        <f>(VLOOKUP('20.03'!R76,'20.03'!$AO$4:$AR$55,4,FALSE))</f>
        <v>0</v>
      </c>
      <c r="K76" s="4">
        <f>(VLOOKUP('20.03'!S76,'20.03'!$AO$4:$AR$55,4,FALSE))</f>
        <v>0</v>
      </c>
      <c r="L76" s="4">
        <f>(VLOOKUP('20.03'!T76,'20.03'!$AO$4:$AR$55,4,FALSE))</f>
        <v>0</v>
      </c>
      <c r="M76" s="4">
        <f>(VLOOKUP('20.03'!U76,'20.03'!$AO$4:$AR$55,4,FALSE))</f>
        <v>0</v>
      </c>
      <c r="N76" s="4">
        <f>(VLOOKUP('20.03'!V76,'20.03'!$AO$4:$AR$55,4,FALSE))</f>
        <v>0</v>
      </c>
      <c r="O76" s="4">
        <f>(VLOOKUP('20.03'!W76,'20.03'!$AO$4:$AR$55,4,FALSE))</f>
        <v>0</v>
      </c>
      <c r="P76" s="4">
        <f>(VLOOKUP('20.03'!X76,'20.03'!$AO$4:$AR$55,4,FALSE))</f>
        <v>0</v>
      </c>
      <c r="Q76" s="4">
        <f>(VLOOKUP('20.03'!Y76,'20.03'!$AO$4:$AR$55,4,FALSE))</f>
        <v>0</v>
      </c>
      <c r="R76" s="4">
        <f>(VLOOKUP('20.03'!Z76,'20.03'!$AO$4:$AR$55,4,FALSE))</f>
        <v>0</v>
      </c>
      <c r="S76" s="4">
        <f>(VLOOKUP('20.03'!AA76,'20.03'!$AO$4:$AR$55,4,FALSE))</f>
        <v>0</v>
      </c>
      <c r="T76" s="4">
        <f>(VLOOKUP('20.03'!AB76,'20.03'!$AO$4:$AR$55,4,FALSE))</f>
        <v>0</v>
      </c>
      <c r="U76" s="4">
        <f>(VLOOKUP('20.03'!AC76,'20.03'!$AO$4:$AR$55,4,FALSE))</f>
        <v>0</v>
      </c>
      <c r="V76" s="4">
        <f>(VLOOKUP('20.03'!AD76,'20.03'!$AO$4:$AR$55,4,FALSE))</f>
        <v>0</v>
      </c>
      <c r="W76" s="4">
        <f>(VLOOKUP('20.03'!AE76,'20.03'!$AO$4:$AR$55,4,FALSE))</f>
        <v>0</v>
      </c>
      <c r="X76" s="4">
        <f>(VLOOKUP('20.03'!AF76,'20.03'!$AO$4:$AR$55,4,FALSE))</f>
        <v>0</v>
      </c>
    </row>
    <row r="77" spans="1:24">
      <c r="A77" s="4">
        <f>(VLOOKUP('20.03'!I77,'20.03'!$AO$4:$AR$55,4,FALSE))</f>
        <v>0</v>
      </c>
      <c r="B77" s="4">
        <f>(VLOOKUP('20.03'!J77,'20.03'!$AO$4:$AR$55,4,FALSE))</f>
        <v>0</v>
      </c>
      <c r="C77" s="4">
        <f>(VLOOKUP('20.03'!K77,'20.03'!$AO$4:$AR$55,4,FALSE))</f>
        <v>0</v>
      </c>
      <c r="D77" s="4">
        <f>(VLOOKUP('20.03'!L77,'20.03'!$AO$4:$AR$55,4,FALSE))</f>
        <v>0</v>
      </c>
      <c r="E77" s="4">
        <f>(VLOOKUP('20.03'!M77,'20.03'!$AO$4:$AR$55,4,FALSE))</f>
        <v>0</v>
      </c>
      <c r="F77" s="4">
        <f>(VLOOKUP('20.03'!N77,'20.03'!$AO$4:$AR$55,4,FALSE))</f>
        <v>0</v>
      </c>
      <c r="G77" s="4">
        <f>(VLOOKUP('20.03'!O77,'20.03'!$AO$4:$AR$55,4,FALSE))</f>
        <v>0</v>
      </c>
      <c r="H77" s="4">
        <f>(VLOOKUP('20.03'!P77,'20.03'!$AO$4:$AR$55,4,FALSE))</f>
        <v>0</v>
      </c>
      <c r="I77" s="4">
        <f>(VLOOKUP('20.03'!Q77,'20.03'!$AO$4:$AR$55,4,FALSE))</f>
        <v>0</v>
      </c>
      <c r="J77" s="4">
        <f>(VLOOKUP('20.03'!R77,'20.03'!$AO$4:$AR$55,4,FALSE))</f>
        <v>0</v>
      </c>
      <c r="K77" s="4">
        <f>(VLOOKUP('20.03'!S77,'20.03'!$AO$4:$AR$55,4,FALSE))</f>
        <v>0</v>
      </c>
      <c r="L77" s="4">
        <f>(VLOOKUP('20.03'!T77,'20.03'!$AO$4:$AR$55,4,FALSE))</f>
        <v>0</v>
      </c>
      <c r="M77" s="4">
        <f>(VLOOKUP('20.03'!U77,'20.03'!$AO$4:$AR$55,4,FALSE))</f>
        <v>0</v>
      </c>
      <c r="N77" s="4">
        <f>(VLOOKUP('20.03'!V77,'20.03'!$AO$4:$AR$55,4,FALSE))</f>
        <v>0</v>
      </c>
      <c r="O77" s="4">
        <f>(VLOOKUP('20.03'!W77,'20.03'!$AO$4:$AR$55,4,FALSE))</f>
        <v>0</v>
      </c>
      <c r="P77" s="4">
        <f>(VLOOKUP('20.03'!X77,'20.03'!$AO$4:$AR$55,4,FALSE))</f>
        <v>0</v>
      </c>
      <c r="Q77" s="4">
        <f>(VLOOKUP('20.03'!Y77,'20.03'!$AO$4:$AR$55,4,FALSE))</f>
        <v>0</v>
      </c>
      <c r="R77" s="4">
        <f>(VLOOKUP('20.03'!Z77,'20.03'!$AO$4:$AR$55,4,FALSE))</f>
        <v>0</v>
      </c>
      <c r="S77" s="4">
        <f>(VLOOKUP('20.03'!AA77,'20.03'!$AO$4:$AR$55,4,FALSE))</f>
        <v>0</v>
      </c>
      <c r="T77" s="4">
        <f>(VLOOKUP('20.03'!AB77,'20.03'!$AO$4:$AR$55,4,FALSE))</f>
        <v>0</v>
      </c>
      <c r="U77" s="4">
        <f>(VLOOKUP('20.03'!AC77,'20.03'!$AO$4:$AR$55,4,FALSE))</f>
        <v>0</v>
      </c>
      <c r="V77" s="4">
        <f>(VLOOKUP('20.03'!AD77,'20.03'!$AO$4:$AR$55,4,FALSE))</f>
        <v>0</v>
      </c>
      <c r="W77" s="4">
        <f>(VLOOKUP('20.03'!AE77,'20.03'!$AO$4:$AR$55,4,FALSE))</f>
        <v>0</v>
      </c>
      <c r="X77" s="4">
        <f>(VLOOKUP('20.03'!AF77,'20.03'!$AO$4:$AR$55,4,FALSE))</f>
        <v>0</v>
      </c>
    </row>
    <row r="78" spans="1:24">
      <c r="A78" s="4">
        <f>(VLOOKUP('20.03'!I78,'20.03'!$AO$4:$AR$55,4,FALSE))</f>
        <v>0</v>
      </c>
      <c r="B78" s="4">
        <f>(VLOOKUP('20.03'!J78,'20.03'!$AO$4:$AR$55,4,FALSE))</f>
        <v>0</v>
      </c>
      <c r="C78" s="4">
        <f>(VLOOKUP('20.03'!K78,'20.03'!$AO$4:$AR$55,4,FALSE))</f>
        <v>0</v>
      </c>
      <c r="D78" s="4">
        <f>(VLOOKUP('20.03'!L78,'20.03'!$AO$4:$AR$55,4,FALSE))</f>
        <v>0</v>
      </c>
      <c r="E78" s="4">
        <f>(VLOOKUP('20.03'!M78,'20.03'!$AO$4:$AR$55,4,FALSE))</f>
        <v>0</v>
      </c>
      <c r="F78" s="4">
        <f>(VLOOKUP('20.03'!N78,'20.03'!$AO$4:$AR$55,4,FALSE))</f>
        <v>0</v>
      </c>
      <c r="G78" s="4">
        <f>(VLOOKUP('20.03'!O78,'20.03'!$AO$4:$AR$55,4,FALSE))</f>
        <v>0</v>
      </c>
      <c r="H78" s="4">
        <f>(VLOOKUP('20.03'!P78,'20.03'!$AO$4:$AR$55,4,FALSE))</f>
        <v>0</v>
      </c>
      <c r="I78" s="4">
        <f>(VLOOKUP('20.03'!Q78,'20.03'!$AO$4:$AR$55,4,FALSE))</f>
        <v>0</v>
      </c>
      <c r="J78" s="4">
        <f>(VLOOKUP('20.03'!R78,'20.03'!$AO$4:$AR$55,4,FALSE))</f>
        <v>0</v>
      </c>
      <c r="K78" s="4">
        <f>(VLOOKUP('20.03'!S78,'20.03'!$AO$4:$AR$55,4,FALSE))</f>
        <v>0</v>
      </c>
      <c r="L78" s="4">
        <f>(VLOOKUP('20.03'!T78,'20.03'!$AO$4:$AR$55,4,FALSE))</f>
        <v>0</v>
      </c>
      <c r="M78" s="4">
        <f>(VLOOKUP('20.03'!U78,'20.03'!$AO$4:$AR$55,4,FALSE))</f>
        <v>0</v>
      </c>
      <c r="N78" s="4">
        <f>(VLOOKUP('20.03'!V78,'20.03'!$AO$4:$AR$55,4,FALSE))</f>
        <v>0</v>
      </c>
      <c r="O78" s="4">
        <f>(VLOOKUP('20.03'!W78,'20.03'!$AO$4:$AR$55,4,FALSE))</f>
        <v>0</v>
      </c>
      <c r="P78" s="4">
        <f>(VLOOKUP('20.03'!X78,'20.03'!$AO$4:$AR$55,4,FALSE))</f>
        <v>0</v>
      </c>
      <c r="Q78" s="4">
        <f>(VLOOKUP('20.03'!Y78,'20.03'!$AO$4:$AR$55,4,FALSE))</f>
        <v>0</v>
      </c>
      <c r="R78" s="4">
        <f>(VLOOKUP('20.03'!Z78,'20.03'!$AO$4:$AR$55,4,FALSE))</f>
        <v>0</v>
      </c>
      <c r="S78" s="4">
        <f>(VLOOKUP('20.03'!AA78,'20.03'!$AO$4:$AR$55,4,FALSE))</f>
        <v>0</v>
      </c>
      <c r="T78" s="4">
        <f>(VLOOKUP('20.03'!AB78,'20.03'!$AO$4:$AR$55,4,FALSE))</f>
        <v>0</v>
      </c>
      <c r="U78" s="4">
        <f>(VLOOKUP('20.03'!AC78,'20.03'!$AO$4:$AR$55,4,FALSE))</f>
        <v>0</v>
      </c>
      <c r="V78" s="4">
        <f>(VLOOKUP('20.03'!AD78,'20.03'!$AO$4:$AR$55,4,FALSE))</f>
        <v>0</v>
      </c>
      <c r="W78" s="4">
        <f>(VLOOKUP('20.03'!AE78,'20.03'!$AO$4:$AR$55,4,FALSE))</f>
        <v>0</v>
      </c>
      <c r="X78" s="4">
        <f>(VLOOKUP('20.03'!AF78,'20.03'!$AO$4:$AR$55,4,FALSE))</f>
        <v>0</v>
      </c>
    </row>
    <row r="79" spans="1:24">
      <c r="A79" s="4">
        <f>(VLOOKUP('20.03'!I79,'20.03'!$AO$4:$AR$55,4,FALSE))</f>
        <v>0</v>
      </c>
      <c r="B79" s="4">
        <f>(VLOOKUP('20.03'!J79,'20.03'!$AO$4:$AR$55,4,FALSE))</f>
        <v>0</v>
      </c>
      <c r="C79" s="4">
        <f>(VLOOKUP('20.03'!K79,'20.03'!$AO$4:$AR$55,4,FALSE))</f>
        <v>0</v>
      </c>
      <c r="D79" s="4">
        <f>(VLOOKUP('20.03'!L79,'20.03'!$AO$4:$AR$55,4,FALSE))</f>
        <v>0</v>
      </c>
      <c r="E79" s="4">
        <f>(VLOOKUP('20.03'!M79,'20.03'!$AO$4:$AR$55,4,FALSE))</f>
        <v>0</v>
      </c>
      <c r="F79" s="4">
        <f>(VLOOKUP('20.03'!N79,'20.03'!$AO$4:$AR$55,4,FALSE))</f>
        <v>0</v>
      </c>
      <c r="G79" s="4">
        <f>(VLOOKUP('20.03'!O79,'20.03'!$AO$4:$AR$55,4,FALSE))</f>
        <v>0</v>
      </c>
      <c r="H79" s="4">
        <f>(VLOOKUP('20.03'!P79,'20.03'!$AO$4:$AR$55,4,FALSE))</f>
        <v>0</v>
      </c>
      <c r="I79" s="4">
        <f>(VLOOKUP('20.03'!Q79,'20.03'!$AO$4:$AR$55,4,FALSE))</f>
        <v>0</v>
      </c>
      <c r="J79" s="4">
        <f>(VLOOKUP('20.03'!R79,'20.03'!$AO$4:$AR$55,4,FALSE))</f>
        <v>0</v>
      </c>
      <c r="K79" s="4">
        <f>(VLOOKUP('20.03'!S79,'20.03'!$AO$4:$AR$55,4,FALSE))</f>
        <v>0</v>
      </c>
      <c r="L79" s="4">
        <f>(VLOOKUP('20.03'!T79,'20.03'!$AO$4:$AR$55,4,FALSE))</f>
        <v>0</v>
      </c>
      <c r="M79" s="4">
        <f>(VLOOKUP('20.03'!U79,'20.03'!$AO$4:$AR$55,4,FALSE))</f>
        <v>0</v>
      </c>
      <c r="N79" s="4">
        <f>(VLOOKUP('20.03'!V79,'20.03'!$AO$4:$AR$55,4,FALSE))</f>
        <v>0</v>
      </c>
      <c r="O79" s="4">
        <f>(VLOOKUP('20.03'!W79,'20.03'!$AO$4:$AR$55,4,FALSE))</f>
        <v>0</v>
      </c>
      <c r="P79" s="4">
        <f>(VLOOKUP('20.03'!X79,'20.03'!$AO$4:$AR$55,4,FALSE))</f>
        <v>0</v>
      </c>
      <c r="Q79" s="4">
        <f>(VLOOKUP('20.03'!Y79,'20.03'!$AO$4:$AR$55,4,FALSE))</f>
        <v>0</v>
      </c>
      <c r="R79" s="4">
        <f>(VLOOKUP('20.03'!Z79,'20.03'!$AO$4:$AR$55,4,FALSE))</f>
        <v>0</v>
      </c>
      <c r="S79" s="4">
        <f>(VLOOKUP('20.03'!AA79,'20.03'!$AO$4:$AR$55,4,FALSE))</f>
        <v>0</v>
      </c>
      <c r="T79" s="4">
        <f>(VLOOKUP('20.03'!AB79,'20.03'!$AO$4:$AR$55,4,FALSE))</f>
        <v>0</v>
      </c>
      <c r="U79" s="4">
        <f>(VLOOKUP('20.03'!AC79,'20.03'!$AO$4:$AR$55,4,FALSE))</f>
        <v>0</v>
      </c>
      <c r="V79" s="4">
        <f>(VLOOKUP('20.03'!AD79,'20.03'!$AO$4:$AR$55,4,FALSE))</f>
        <v>0</v>
      </c>
      <c r="W79" s="4">
        <f>(VLOOKUP('20.03'!AE79,'20.03'!$AO$4:$AR$55,4,FALSE))</f>
        <v>0</v>
      </c>
      <c r="X79" s="4">
        <f>(VLOOKUP('20.03'!AF79,'20.03'!$AO$4:$AR$55,4,FALSE))</f>
        <v>0</v>
      </c>
    </row>
    <row r="80" spans="1:24">
      <c r="A80" s="4">
        <f>(VLOOKUP('20.03'!I80,'20.03'!$AO$4:$AR$55,4,FALSE))</f>
        <v>0</v>
      </c>
      <c r="B80" s="4">
        <f>(VLOOKUP('20.03'!J80,'20.03'!$AO$4:$AR$55,4,FALSE))</f>
        <v>0</v>
      </c>
      <c r="C80" s="4">
        <f>(VLOOKUP('20.03'!K80,'20.03'!$AO$4:$AR$55,4,FALSE))</f>
        <v>0</v>
      </c>
      <c r="D80" s="4">
        <f>(VLOOKUP('20.03'!L80,'20.03'!$AO$4:$AR$55,4,FALSE))</f>
        <v>0</v>
      </c>
      <c r="E80" s="4">
        <f>(VLOOKUP('20.03'!M80,'20.03'!$AO$4:$AR$55,4,FALSE))</f>
        <v>0</v>
      </c>
      <c r="F80" s="4">
        <f>(VLOOKUP('20.03'!N80,'20.03'!$AO$4:$AR$55,4,FALSE))</f>
        <v>0</v>
      </c>
      <c r="G80" s="4">
        <f>(VLOOKUP('20.03'!O80,'20.03'!$AO$4:$AR$55,4,FALSE))</f>
        <v>0</v>
      </c>
      <c r="H80" s="4">
        <f>(VLOOKUP('20.03'!P80,'20.03'!$AO$4:$AR$55,4,FALSE))</f>
        <v>0</v>
      </c>
      <c r="I80" s="4">
        <f>(VLOOKUP('20.03'!Q80,'20.03'!$AO$4:$AR$55,4,FALSE))</f>
        <v>0</v>
      </c>
      <c r="J80" s="4">
        <f>(VLOOKUP('20.03'!R80,'20.03'!$AO$4:$AR$55,4,FALSE))</f>
        <v>0</v>
      </c>
      <c r="K80" s="4">
        <f>(VLOOKUP('20.03'!S80,'20.03'!$AO$4:$AR$55,4,FALSE))</f>
        <v>0</v>
      </c>
      <c r="L80" s="4">
        <f>(VLOOKUP('20.03'!T80,'20.03'!$AO$4:$AR$55,4,FALSE))</f>
        <v>0</v>
      </c>
      <c r="M80" s="4">
        <f>(VLOOKUP('20.03'!U80,'20.03'!$AO$4:$AR$55,4,FALSE))</f>
        <v>0</v>
      </c>
      <c r="N80" s="4">
        <f>(VLOOKUP('20.03'!V80,'20.03'!$AO$4:$AR$55,4,FALSE))</f>
        <v>0</v>
      </c>
      <c r="O80" s="4">
        <f>(VLOOKUP('20.03'!W80,'20.03'!$AO$4:$AR$55,4,FALSE))</f>
        <v>0</v>
      </c>
      <c r="P80" s="4">
        <f>(VLOOKUP('20.03'!X80,'20.03'!$AO$4:$AR$55,4,FALSE))</f>
        <v>0</v>
      </c>
      <c r="Q80" s="4">
        <f>(VLOOKUP('20.03'!Y80,'20.03'!$AO$4:$AR$55,4,FALSE))</f>
        <v>0</v>
      </c>
      <c r="R80" s="4">
        <f>(VLOOKUP('20.03'!Z80,'20.03'!$AO$4:$AR$55,4,FALSE))</f>
        <v>0</v>
      </c>
      <c r="S80" s="4">
        <f>(VLOOKUP('20.03'!AA80,'20.03'!$AO$4:$AR$55,4,FALSE))</f>
        <v>0</v>
      </c>
      <c r="T80" s="4">
        <f>(VLOOKUP('20.03'!AB80,'20.03'!$AO$4:$AR$55,4,FALSE))</f>
        <v>0</v>
      </c>
      <c r="U80" s="4">
        <f>(VLOOKUP('20.03'!AC80,'20.03'!$AO$4:$AR$55,4,FALSE))</f>
        <v>0</v>
      </c>
      <c r="V80" s="4">
        <f>(VLOOKUP('20.03'!AD80,'20.03'!$AO$4:$AR$55,4,FALSE))</f>
        <v>0</v>
      </c>
      <c r="W80" s="4">
        <f>(VLOOKUP('20.03'!AE80,'20.03'!$AO$4:$AR$55,4,FALSE))</f>
        <v>0</v>
      </c>
      <c r="X80" s="4">
        <f>(VLOOKUP('20.03'!AF80,'20.03'!$AO$4:$AR$55,4,FALSE))</f>
        <v>0</v>
      </c>
    </row>
    <row r="81" spans="1:24">
      <c r="A81" s="4">
        <f>(VLOOKUP('20.03'!I81,'20.03'!$AO$4:$AR$55,4,FALSE))</f>
        <v>0</v>
      </c>
      <c r="B81" s="4">
        <f>(VLOOKUP('20.03'!J81,'20.03'!$AO$4:$AR$55,4,FALSE))</f>
        <v>0</v>
      </c>
      <c r="C81" s="4">
        <f>(VLOOKUP('20.03'!K81,'20.03'!$AO$4:$AR$55,4,FALSE))</f>
        <v>0</v>
      </c>
      <c r="D81" s="4">
        <f>(VLOOKUP('20.03'!L81,'20.03'!$AO$4:$AR$55,4,FALSE))</f>
        <v>0</v>
      </c>
      <c r="E81" s="4">
        <f>(VLOOKUP('20.03'!M81,'20.03'!$AO$4:$AR$55,4,FALSE))</f>
        <v>0</v>
      </c>
      <c r="F81" s="4">
        <f>(VLOOKUP('20.03'!N81,'20.03'!$AO$4:$AR$55,4,FALSE))</f>
        <v>0</v>
      </c>
      <c r="G81" s="4">
        <f>(VLOOKUP('20.03'!O81,'20.03'!$AO$4:$AR$55,4,FALSE))</f>
        <v>0</v>
      </c>
      <c r="H81" s="4">
        <f>(VLOOKUP('20.03'!P81,'20.03'!$AO$4:$AR$55,4,FALSE))</f>
        <v>0</v>
      </c>
      <c r="I81" s="4">
        <f>(VLOOKUP('20.03'!Q81,'20.03'!$AO$4:$AR$55,4,FALSE))</f>
        <v>0</v>
      </c>
      <c r="J81" s="4">
        <f>(VLOOKUP('20.03'!R81,'20.03'!$AO$4:$AR$55,4,FALSE))</f>
        <v>0</v>
      </c>
      <c r="K81" s="4">
        <f>(VLOOKUP('20.03'!S81,'20.03'!$AO$4:$AR$55,4,FALSE))</f>
        <v>0</v>
      </c>
      <c r="L81" s="4">
        <f>(VLOOKUP('20.03'!T81,'20.03'!$AO$4:$AR$55,4,FALSE))</f>
        <v>0</v>
      </c>
      <c r="M81" s="4">
        <f>(VLOOKUP('20.03'!U81,'20.03'!$AO$4:$AR$55,4,FALSE))</f>
        <v>0</v>
      </c>
      <c r="N81" s="4">
        <f>(VLOOKUP('20.03'!V81,'20.03'!$AO$4:$AR$55,4,FALSE))</f>
        <v>0</v>
      </c>
      <c r="O81" s="4">
        <f>(VLOOKUP('20.03'!W81,'20.03'!$AO$4:$AR$55,4,FALSE))</f>
        <v>0</v>
      </c>
      <c r="P81" s="4">
        <f>(VLOOKUP('20.03'!X81,'20.03'!$AO$4:$AR$55,4,FALSE))</f>
        <v>0</v>
      </c>
      <c r="Q81" s="4">
        <f>(VLOOKUP('20.03'!Y81,'20.03'!$AO$4:$AR$55,4,FALSE))</f>
        <v>0</v>
      </c>
      <c r="R81" s="4">
        <f>(VLOOKUP('20.03'!Z81,'20.03'!$AO$4:$AR$55,4,FALSE))</f>
        <v>0</v>
      </c>
      <c r="S81" s="4">
        <f>(VLOOKUP('20.03'!AA81,'20.03'!$AO$4:$AR$55,4,FALSE))</f>
        <v>0</v>
      </c>
      <c r="T81" s="4">
        <f>(VLOOKUP('20.03'!AB81,'20.03'!$AO$4:$AR$55,4,FALSE))</f>
        <v>0</v>
      </c>
      <c r="U81" s="4">
        <f>(VLOOKUP('20.03'!AC81,'20.03'!$AO$4:$AR$55,4,FALSE))</f>
        <v>0</v>
      </c>
      <c r="V81" s="4">
        <f>(VLOOKUP('20.03'!AD81,'20.03'!$AO$4:$AR$55,4,FALSE))</f>
        <v>0</v>
      </c>
      <c r="W81" s="4">
        <f>(VLOOKUP('20.03'!AE81,'20.03'!$AO$4:$AR$55,4,FALSE))</f>
        <v>0</v>
      </c>
      <c r="X81" s="4">
        <f>(VLOOKUP('20.03'!AF81,'20.03'!$AO$4:$AR$55,4,FALSE))</f>
        <v>0</v>
      </c>
    </row>
    <row r="82" spans="1:24">
      <c r="A82" s="4">
        <f>(VLOOKUP('20.03'!I82,'20.03'!$AO$4:$AR$55,4,FALSE))</f>
        <v>0</v>
      </c>
      <c r="B82" s="4">
        <f>(VLOOKUP('20.03'!J82,'20.03'!$AO$4:$AR$55,4,FALSE))</f>
        <v>0</v>
      </c>
      <c r="C82" s="4">
        <f>(VLOOKUP('20.03'!K82,'20.03'!$AO$4:$AR$55,4,FALSE))</f>
        <v>0</v>
      </c>
      <c r="D82" s="4">
        <f>(VLOOKUP('20.03'!L82,'20.03'!$AO$4:$AR$55,4,FALSE))</f>
        <v>0</v>
      </c>
      <c r="E82" s="4">
        <f>(VLOOKUP('20.03'!M82,'20.03'!$AO$4:$AR$55,4,FALSE))</f>
        <v>0</v>
      </c>
      <c r="F82" s="4">
        <f>(VLOOKUP('20.03'!N82,'20.03'!$AO$4:$AR$55,4,FALSE))</f>
        <v>0</v>
      </c>
      <c r="G82" s="4">
        <f>(VLOOKUP('20.03'!O82,'20.03'!$AO$4:$AR$55,4,FALSE))</f>
        <v>0</v>
      </c>
      <c r="H82" s="4">
        <f>(VLOOKUP('20.03'!P82,'20.03'!$AO$4:$AR$55,4,FALSE))</f>
        <v>0</v>
      </c>
      <c r="I82" s="4">
        <f>(VLOOKUP('20.03'!Q82,'20.03'!$AO$4:$AR$55,4,FALSE))</f>
        <v>0</v>
      </c>
      <c r="J82" s="4">
        <f>(VLOOKUP('20.03'!R82,'20.03'!$AO$4:$AR$55,4,FALSE))</f>
        <v>0</v>
      </c>
      <c r="K82" s="4">
        <f>(VLOOKUP('20.03'!S82,'20.03'!$AO$4:$AR$55,4,FALSE))</f>
        <v>0</v>
      </c>
      <c r="L82" s="4">
        <f>(VLOOKUP('20.03'!T82,'20.03'!$AO$4:$AR$55,4,FALSE))</f>
        <v>0</v>
      </c>
      <c r="M82" s="4">
        <f>(VLOOKUP('20.03'!U82,'20.03'!$AO$4:$AR$55,4,FALSE))</f>
        <v>0</v>
      </c>
      <c r="N82" s="4">
        <f>(VLOOKUP('20.03'!V82,'20.03'!$AO$4:$AR$55,4,FALSE))</f>
        <v>0</v>
      </c>
      <c r="O82" s="4">
        <f>(VLOOKUP('20.03'!W82,'20.03'!$AO$4:$AR$55,4,FALSE))</f>
        <v>0</v>
      </c>
      <c r="P82" s="4">
        <f>(VLOOKUP('20.03'!X82,'20.03'!$AO$4:$AR$55,4,FALSE))</f>
        <v>0</v>
      </c>
      <c r="Q82" s="4">
        <f>(VLOOKUP('20.03'!Y82,'20.03'!$AO$4:$AR$55,4,FALSE))</f>
        <v>0</v>
      </c>
      <c r="R82" s="4">
        <f>(VLOOKUP('20.03'!Z82,'20.03'!$AO$4:$AR$55,4,FALSE))</f>
        <v>0</v>
      </c>
      <c r="S82" s="4">
        <f>(VLOOKUP('20.03'!AA82,'20.03'!$AO$4:$AR$55,4,FALSE))</f>
        <v>0</v>
      </c>
      <c r="T82" s="4">
        <f>(VLOOKUP('20.03'!AB82,'20.03'!$AO$4:$AR$55,4,FALSE))</f>
        <v>0</v>
      </c>
      <c r="U82" s="4">
        <f>(VLOOKUP('20.03'!AC82,'20.03'!$AO$4:$AR$55,4,FALSE))</f>
        <v>0</v>
      </c>
      <c r="V82" s="4">
        <f>(VLOOKUP('20.03'!AD82,'20.03'!$AO$4:$AR$55,4,FALSE))</f>
        <v>0</v>
      </c>
      <c r="W82" s="4">
        <f>(VLOOKUP('20.03'!AE82,'20.03'!$AO$4:$AR$55,4,FALSE))</f>
        <v>0</v>
      </c>
      <c r="X82" s="4">
        <f>(VLOOKUP('20.03'!AF82,'20.03'!$AO$4:$AR$55,4,FALSE))</f>
        <v>0</v>
      </c>
    </row>
    <row r="83" spans="1:24">
      <c r="A83" s="4">
        <f>(VLOOKUP('20.03'!I83,'20.03'!$AO$4:$AR$55,4,FALSE))</f>
        <v>0</v>
      </c>
      <c r="B83" s="4">
        <f>(VLOOKUP('20.03'!J83,'20.03'!$AO$4:$AR$55,4,FALSE))</f>
        <v>0</v>
      </c>
      <c r="C83" s="4">
        <f>(VLOOKUP('20.03'!K83,'20.03'!$AO$4:$AR$55,4,FALSE))</f>
        <v>0</v>
      </c>
      <c r="D83" s="4">
        <f>(VLOOKUP('20.03'!L83,'20.03'!$AO$4:$AR$55,4,FALSE))</f>
        <v>0</v>
      </c>
      <c r="E83" s="4">
        <f>(VLOOKUP('20.03'!M83,'20.03'!$AO$4:$AR$55,4,FALSE))</f>
        <v>0</v>
      </c>
      <c r="F83" s="4">
        <f>(VLOOKUP('20.03'!N83,'20.03'!$AO$4:$AR$55,4,FALSE))</f>
        <v>0</v>
      </c>
      <c r="G83" s="4">
        <f>(VLOOKUP('20.03'!O83,'20.03'!$AO$4:$AR$55,4,FALSE))</f>
        <v>0</v>
      </c>
      <c r="H83" s="4">
        <f>(VLOOKUP('20.03'!P83,'20.03'!$AO$4:$AR$55,4,FALSE))</f>
        <v>0</v>
      </c>
      <c r="I83" s="4">
        <f>(VLOOKUP('20.03'!Q83,'20.03'!$AO$4:$AR$55,4,FALSE))</f>
        <v>0</v>
      </c>
      <c r="J83" s="4">
        <f>(VLOOKUP('20.03'!R83,'20.03'!$AO$4:$AR$55,4,FALSE))</f>
        <v>0</v>
      </c>
      <c r="K83" s="4">
        <f>(VLOOKUP('20.03'!S83,'20.03'!$AO$4:$AR$55,4,FALSE))</f>
        <v>0</v>
      </c>
      <c r="L83" s="4">
        <f>(VLOOKUP('20.03'!T83,'20.03'!$AO$4:$AR$55,4,FALSE))</f>
        <v>0</v>
      </c>
      <c r="M83" s="4">
        <f>(VLOOKUP('20.03'!U83,'20.03'!$AO$4:$AR$55,4,FALSE))</f>
        <v>0</v>
      </c>
      <c r="N83" s="4">
        <f>(VLOOKUP('20.03'!V83,'20.03'!$AO$4:$AR$55,4,FALSE))</f>
        <v>0</v>
      </c>
      <c r="O83" s="4">
        <f>(VLOOKUP('20.03'!W83,'20.03'!$AO$4:$AR$55,4,FALSE))</f>
        <v>0</v>
      </c>
      <c r="P83" s="4">
        <f>(VLOOKUP('20.03'!X83,'20.03'!$AO$4:$AR$55,4,FALSE))</f>
        <v>0</v>
      </c>
      <c r="Q83" s="4">
        <f>(VLOOKUP('20.03'!Y83,'20.03'!$AO$4:$AR$55,4,FALSE))</f>
        <v>0</v>
      </c>
      <c r="R83" s="4">
        <f>(VLOOKUP('20.03'!Z83,'20.03'!$AO$4:$AR$55,4,FALSE))</f>
        <v>0</v>
      </c>
      <c r="S83" s="4">
        <f>(VLOOKUP('20.03'!AA83,'20.03'!$AO$4:$AR$55,4,FALSE))</f>
        <v>0</v>
      </c>
      <c r="T83" s="4">
        <f>(VLOOKUP('20.03'!AB83,'20.03'!$AO$4:$AR$55,4,FALSE))</f>
        <v>0</v>
      </c>
      <c r="U83" s="4">
        <f>(VLOOKUP('20.03'!AC83,'20.03'!$AO$4:$AR$55,4,FALSE))</f>
        <v>0</v>
      </c>
      <c r="V83" s="4">
        <f>(VLOOKUP('20.03'!AD83,'20.03'!$AO$4:$AR$55,4,FALSE))</f>
        <v>0</v>
      </c>
      <c r="W83" s="4">
        <f>(VLOOKUP('20.03'!AE83,'20.03'!$AO$4:$AR$55,4,FALSE))</f>
        <v>0</v>
      </c>
      <c r="X83" s="4">
        <f>(VLOOKUP('20.03'!AF83,'20.03'!$AO$4:$AR$55,4,FALSE))</f>
        <v>0</v>
      </c>
    </row>
    <row r="84" spans="1:24">
      <c r="A84" s="4">
        <f>(VLOOKUP('20.03'!I84,'20.03'!$AO$4:$AR$55,4,FALSE))</f>
        <v>0</v>
      </c>
      <c r="B84" s="4">
        <f>(VLOOKUP('20.03'!J84,'20.03'!$AO$4:$AR$55,4,FALSE))</f>
        <v>0</v>
      </c>
      <c r="C84" s="4">
        <f>(VLOOKUP('20.03'!K84,'20.03'!$AO$4:$AR$55,4,FALSE))</f>
        <v>0</v>
      </c>
      <c r="D84" s="4">
        <f>(VLOOKUP('20.03'!L84,'20.03'!$AO$4:$AR$55,4,FALSE))</f>
        <v>0</v>
      </c>
      <c r="E84" s="4">
        <f>(VLOOKUP('20.03'!M84,'20.03'!$AO$4:$AR$55,4,FALSE))</f>
        <v>0</v>
      </c>
      <c r="F84" s="4">
        <f>(VLOOKUP('20.03'!N84,'20.03'!$AO$4:$AR$55,4,FALSE))</f>
        <v>0</v>
      </c>
      <c r="G84" s="4">
        <f>(VLOOKUP('20.03'!O84,'20.03'!$AO$4:$AR$55,4,FALSE))</f>
        <v>0</v>
      </c>
      <c r="H84" s="4">
        <f>(VLOOKUP('20.03'!P84,'20.03'!$AO$4:$AR$55,4,FALSE))</f>
        <v>0</v>
      </c>
      <c r="I84" s="4">
        <f>(VLOOKUP('20.03'!Q84,'20.03'!$AO$4:$AR$55,4,FALSE))</f>
        <v>0</v>
      </c>
      <c r="J84" s="4">
        <f>(VLOOKUP('20.03'!R84,'20.03'!$AO$4:$AR$55,4,FALSE))</f>
        <v>0</v>
      </c>
      <c r="K84" s="4">
        <f>(VLOOKUP('20.03'!S84,'20.03'!$AO$4:$AR$55,4,FALSE))</f>
        <v>0</v>
      </c>
      <c r="L84" s="4">
        <f>(VLOOKUP('20.03'!T84,'20.03'!$AO$4:$AR$55,4,FALSE))</f>
        <v>0</v>
      </c>
      <c r="M84" s="4">
        <f>(VLOOKUP('20.03'!U84,'20.03'!$AO$4:$AR$55,4,FALSE))</f>
        <v>0</v>
      </c>
      <c r="N84" s="4">
        <f>(VLOOKUP('20.03'!V84,'20.03'!$AO$4:$AR$55,4,FALSE))</f>
        <v>0</v>
      </c>
      <c r="O84" s="4">
        <f>(VLOOKUP('20.03'!W84,'20.03'!$AO$4:$AR$55,4,FALSE))</f>
        <v>0</v>
      </c>
      <c r="P84" s="4">
        <f>(VLOOKUP('20.03'!X84,'20.03'!$AO$4:$AR$55,4,FALSE))</f>
        <v>0</v>
      </c>
      <c r="Q84" s="4">
        <f>(VLOOKUP('20.03'!Y84,'20.03'!$AO$4:$AR$55,4,FALSE))</f>
        <v>0</v>
      </c>
      <c r="R84" s="4">
        <f>(VLOOKUP('20.03'!Z84,'20.03'!$AO$4:$AR$55,4,FALSE))</f>
        <v>0</v>
      </c>
      <c r="S84" s="4">
        <f>(VLOOKUP('20.03'!AA84,'20.03'!$AO$4:$AR$55,4,FALSE))</f>
        <v>0</v>
      </c>
      <c r="T84" s="4">
        <f>(VLOOKUP('20.03'!AB84,'20.03'!$AO$4:$AR$55,4,FALSE))</f>
        <v>0</v>
      </c>
      <c r="U84" s="4">
        <f>(VLOOKUP('20.03'!AC84,'20.03'!$AO$4:$AR$55,4,FALSE))</f>
        <v>0</v>
      </c>
      <c r="V84" s="4">
        <f>(VLOOKUP('20.03'!AD84,'20.03'!$AO$4:$AR$55,4,FALSE))</f>
        <v>0</v>
      </c>
      <c r="W84" s="4">
        <f>(VLOOKUP('20.03'!AE84,'20.03'!$AO$4:$AR$55,4,FALSE))</f>
        <v>0</v>
      </c>
      <c r="X84" s="4">
        <f>(VLOOKUP('20.03'!AF84,'20.03'!$AO$4:$AR$55,4,FALSE))</f>
        <v>0</v>
      </c>
    </row>
    <row r="85" spans="1:24">
      <c r="A85" s="4">
        <f>(VLOOKUP('20.03'!I85,'20.03'!$AO$4:$AR$55,4,FALSE))</f>
        <v>0</v>
      </c>
      <c r="B85" s="4">
        <f>(VLOOKUP('20.03'!J85,'20.03'!$AO$4:$AR$55,4,FALSE))</f>
        <v>0</v>
      </c>
      <c r="C85" s="4">
        <f>(VLOOKUP('20.03'!K85,'20.03'!$AO$4:$AR$55,4,FALSE))</f>
        <v>0</v>
      </c>
      <c r="D85" s="4">
        <f>(VLOOKUP('20.03'!L85,'20.03'!$AO$4:$AR$55,4,FALSE))</f>
        <v>0</v>
      </c>
      <c r="E85" s="4">
        <f>(VLOOKUP('20.03'!M85,'20.03'!$AO$4:$AR$55,4,FALSE))</f>
        <v>0</v>
      </c>
      <c r="F85" s="4">
        <f>(VLOOKUP('20.03'!N85,'20.03'!$AO$4:$AR$55,4,FALSE))</f>
        <v>0</v>
      </c>
      <c r="G85" s="4">
        <f>(VLOOKUP('20.03'!O85,'20.03'!$AO$4:$AR$55,4,FALSE))</f>
        <v>0</v>
      </c>
      <c r="H85" s="4">
        <f>(VLOOKUP('20.03'!P85,'20.03'!$AO$4:$AR$55,4,FALSE))</f>
        <v>0</v>
      </c>
      <c r="I85" s="4">
        <f>(VLOOKUP('20.03'!Q85,'20.03'!$AO$4:$AR$55,4,FALSE))</f>
        <v>0</v>
      </c>
      <c r="J85" s="4">
        <f>(VLOOKUP('20.03'!R85,'20.03'!$AO$4:$AR$55,4,FALSE))</f>
        <v>0</v>
      </c>
      <c r="K85" s="4">
        <f>(VLOOKUP('20.03'!S85,'20.03'!$AO$4:$AR$55,4,FALSE))</f>
        <v>0</v>
      </c>
      <c r="L85" s="4">
        <f>(VLOOKUP('20.03'!T85,'20.03'!$AO$4:$AR$55,4,FALSE))</f>
        <v>0</v>
      </c>
      <c r="M85" s="4">
        <f>(VLOOKUP('20.03'!U85,'20.03'!$AO$4:$AR$55,4,FALSE))</f>
        <v>0</v>
      </c>
      <c r="N85" s="4">
        <f>(VLOOKUP('20.03'!V85,'20.03'!$AO$4:$AR$55,4,FALSE))</f>
        <v>0</v>
      </c>
      <c r="O85" s="4">
        <f>(VLOOKUP('20.03'!W85,'20.03'!$AO$4:$AR$55,4,FALSE))</f>
        <v>0</v>
      </c>
      <c r="P85" s="4">
        <f>(VLOOKUP('20.03'!X85,'20.03'!$AO$4:$AR$55,4,FALSE))</f>
        <v>0</v>
      </c>
      <c r="Q85" s="4">
        <f>(VLOOKUP('20.03'!Y85,'20.03'!$AO$4:$AR$55,4,FALSE))</f>
        <v>0</v>
      </c>
      <c r="R85" s="4">
        <f>(VLOOKUP('20.03'!Z85,'20.03'!$AO$4:$AR$55,4,FALSE))</f>
        <v>0</v>
      </c>
      <c r="S85" s="4">
        <f>(VLOOKUP('20.03'!AA85,'20.03'!$AO$4:$AR$55,4,FALSE))</f>
        <v>0</v>
      </c>
      <c r="T85" s="4">
        <f>(VLOOKUP('20.03'!AB85,'20.03'!$AO$4:$AR$55,4,FALSE))</f>
        <v>0</v>
      </c>
      <c r="U85" s="4">
        <f>(VLOOKUP('20.03'!AC85,'20.03'!$AO$4:$AR$55,4,FALSE))</f>
        <v>0</v>
      </c>
      <c r="V85" s="4">
        <f>(VLOOKUP('20.03'!AD85,'20.03'!$AO$4:$AR$55,4,FALSE))</f>
        <v>0</v>
      </c>
      <c r="W85" s="4">
        <f>(VLOOKUP('20.03'!AE85,'20.03'!$AO$4:$AR$55,4,FALSE))</f>
        <v>0</v>
      </c>
      <c r="X85" s="4">
        <f>(VLOOKUP('20.03'!AF85,'20.03'!$AO$4:$AR$55,4,FALSE))</f>
        <v>0</v>
      </c>
    </row>
    <row r="86" spans="1:24">
      <c r="A86" s="4">
        <f>(VLOOKUP('20.03'!I86,'20.03'!$AO$4:$AR$55,4,FALSE))</f>
        <v>0</v>
      </c>
      <c r="B86" s="4">
        <f>(VLOOKUP('20.03'!J86,'20.03'!$AO$4:$AR$55,4,FALSE))</f>
        <v>0</v>
      </c>
      <c r="C86" s="4">
        <f>(VLOOKUP('20.03'!K86,'20.03'!$AO$4:$AR$55,4,FALSE))</f>
        <v>0</v>
      </c>
      <c r="D86" s="4">
        <f>(VLOOKUP('20.03'!L86,'20.03'!$AO$4:$AR$55,4,FALSE))</f>
        <v>0</v>
      </c>
      <c r="E86" s="4">
        <f>(VLOOKUP('20.03'!M86,'20.03'!$AO$4:$AR$55,4,FALSE))</f>
        <v>0</v>
      </c>
      <c r="F86" s="4">
        <f>(VLOOKUP('20.03'!N86,'20.03'!$AO$4:$AR$55,4,FALSE))</f>
        <v>0</v>
      </c>
      <c r="G86" s="4">
        <f>(VLOOKUP('20.03'!O86,'20.03'!$AO$4:$AR$55,4,FALSE))</f>
        <v>0</v>
      </c>
      <c r="H86" s="4">
        <f>(VLOOKUP('20.03'!P86,'20.03'!$AO$4:$AR$55,4,FALSE))</f>
        <v>0</v>
      </c>
      <c r="I86" s="4">
        <f>(VLOOKUP('20.03'!Q86,'20.03'!$AO$4:$AR$55,4,FALSE))</f>
        <v>0</v>
      </c>
      <c r="J86" s="4">
        <f>(VLOOKUP('20.03'!R86,'20.03'!$AO$4:$AR$55,4,FALSE))</f>
        <v>0</v>
      </c>
      <c r="K86" s="4">
        <f>(VLOOKUP('20.03'!S86,'20.03'!$AO$4:$AR$55,4,FALSE))</f>
        <v>0</v>
      </c>
      <c r="L86" s="4">
        <f>(VLOOKUP('20.03'!T86,'20.03'!$AO$4:$AR$55,4,FALSE))</f>
        <v>0</v>
      </c>
      <c r="M86" s="4">
        <f>(VLOOKUP('20.03'!U86,'20.03'!$AO$4:$AR$55,4,FALSE))</f>
        <v>0</v>
      </c>
      <c r="N86" s="4">
        <f>(VLOOKUP('20.03'!V86,'20.03'!$AO$4:$AR$55,4,FALSE))</f>
        <v>0</v>
      </c>
      <c r="O86" s="4">
        <f>(VLOOKUP('20.03'!W86,'20.03'!$AO$4:$AR$55,4,FALSE))</f>
        <v>0</v>
      </c>
      <c r="P86" s="4">
        <f>(VLOOKUP('20.03'!X86,'20.03'!$AO$4:$AR$55,4,FALSE))</f>
        <v>0</v>
      </c>
      <c r="Q86" s="4">
        <f>(VLOOKUP('20.03'!Y86,'20.03'!$AO$4:$AR$55,4,FALSE))</f>
        <v>0</v>
      </c>
      <c r="R86" s="4">
        <f>(VLOOKUP('20.03'!Z86,'20.03'!$AO$4:$AR$55,4,FALSE))</f>
        <v>0</v>
      </c>
      <c r="S86" s="4">
        <f>(VLOOKUP('20.03'!AA86,'20.03'!$AO$4:$AR$55,4,FALSE))</f>
        <v>0</v>
      </c>
      <c r="T86" s="4">
        <f>(VLOOKUP('20.03'!AB86,'20.03'!$AO$4:$AR$55,4,FALSE))</f>
        <v>0</v>
      </c>
      <c r="U86" s="4">
        <f>(VLOOKUP('20.03'!AC86,'20.03'!$AO$4:$AR$55,4,FALSE))</f>
        <v>0</v>
      </c>
      <c r="V86" s="4">
        <f>(VLOOKUP('20.03'!AD86,'20.03'!$AO$4:$AR$55,4,FALSE))</f>
        <v>0</v>
      </c>
      <c r="W86" s="4">
        <f>(VLOOKUP('20.03'!AE86,'20.03'!$AO$4:$AR$55,4,FALSE))</f>
        <v>0</v>
      </c>
      <c r="X86" s="4">
        <f>(VLOOKUP('20.03'!AF86,'20.03'!$AO$4:$AR$55,4,FALSE))</f>
        <v>0</v>
      </c>
    </row>
    <row r="87" spans="1:24">
      <c r="A87" s="4">
        <f>(VLOOKUP('20.03'!I87,'20.03'!$AO$4:$AR$55,4,FALSE))</f>
        <v>0</v>
      </c>
      <c r="B87" s="4">
        <f>(VLOOKUP('20.03'!J87,'20.03'!$AO$4:$AR$55,4,FALSE))</f>
        <v>0</v>
      </c>
      <c r="C87" s="4">
        <f>(VLOOKUP('20.03'!K87,'20.03'!$AO$4:$AR$55,4,FALSE))</f>
        <v>0</v>
      </c>
      <c r="D87" s="4">
        <f>(VLOOKUP('20.03'!L87,'20.03'!$AO$4:$AR$55,4,FALSE))</f>
        <v>0</v>
      </c>
      <c r="E87" s="4">
        <f>(VLOOKUP('20.03'!M87,'20.03'!$AO$4:$AR$55,4,FALSE))</f>
        <v>0</v>
      </c>
      <c r="F87" s="4">
        <f>(VLOOKUP('20.03'!N87,'20.03'!$AO$4:$AR$55,4,FALSE))</f>
        <v>0</v>
      </c>
      <c r="G87" s="4">
        <f>(VLOOKUP('20.03'!O87,'20.03'!$AO$4:$AR$55,4,FALSE))</f>
        <v>0</v>
      </c>
      <c r="H87" s="4">
        <f>(VLOOKUP('20.03'!P87,'20.03'!$AO$4:$AR$55,4,FALSE))</f>
        <v>0</v>
      </c>
      <c r="I87" s="4">
        <f>(VLOOKUP('20.03'!Q87,'20.03'!$AO$4:$AR$55,4,FALSE))</f>
        <v>0</v>
      </c>
      <c r="J87" s="4">
        <f>(VLOOKUP('20.03'!R87,'20.03'!$AO$4:$AR$55,4,FALSE))</f>
        <v>0</v>
      </c>
      <c r="K87" s="4">
        <f>(VLOOKUP('20.03'!S87,'20.03'!$AO$4:$AR$55,4,FALSE))</f>
        <v>0</v>
      </c>
      <c r="L87" s="4">
        <f>(VLOOKUP('20.03'!T87,'20.03'!$AO$4:$AR$55,4,FALSE))</f>
        <v>0</v>
      </c>
      <c r="M87" s="4">
        <f>(VLOOKUP('20.03'!U87,'20.03'!$AO$4:$AR$55,4,FALSE))</f>
        <v>0</v>
      </c>
      <c r="N87" s="4">
        <f>(VLOOKUP('20.03'!V87,'20.03'!$AO$4:$AR$55,4,FALSE))</f>
        <v>0</v>
      </c>
      <c r="O87" s="4">
        <f>(VLOOKUP('20.03'!W87,'20.03'!$AO$4:$AR$55,4,FALSE))</f>
        <v>0</v>
      </c>
      <c r="P87" s="4">
        <f>(VLOOKUP('20.03'!X87,'20.03'!$AO$4:$AR$55,4,FALSE))</f>
        <v>0</v>
      </c>
      <c r="Q87" s="4">
        <f>(VLOOKUP('20.03'!Y87,'20.03'!$AO$4:$AR$55,4,FALSE))</f>
        <v>0</v>
      </c>
      <c r="R87" s="4">
        <f>(VLOOKUP('20.03'!Z87,'20.03'!$AO$4:$AR$55,4,FALSE))</f>
        <v>0</v>
      </c>
      <c r="S87" s="4">
        <f>(VLOOKUP('20.03'!AA87,'20.03'!$AO$4:$AR$55,4,FALSE))</f>
        <v>0</v>
      </c>
      <c r="T87" s="4">
        <f>(VLOOKUP('20.03'!AB87,'20.03'!$AO$4:$AR$55,4,FALSE))</f>
        <v>0</v>
      </c>
      <c r="U87" s="4">
        <f>(VLOOKUP('20.03'!AC87,'20.03'!$AO$4:$AR$55,4,FALSE))</f>
        <v>0</v>
      </c>
      <c r="V87" s="4">
        <f>(VLOOKUP('20.03'!AD87,'20.03'!$AO$4:$AR$55,4,FALSE))</f>
        <v>0</v>
      </c>
      <c r="W87" s="4">
        <f>(VLOOKUP('20.03'!AE87,'20.03'!$AO$4:$AR$55,4,FALSE))</f>
        <v>0</v>
      </c>
      <c r="X87" s="4">
        <f>(VLOOKUP('20.03'!AF87,'20.03'!$AO$4:$AR$55,4,FALSE))</f>
        <v>0</v>
      </c>
    </row>
    <row r="88" spans="1:24">
      <c r="A88" s="4">
        <f>(VLOOKUP('20.03'!I88,'20.03'!$AO$4:$AR$55,4,FALSE))</f>
        <v>0</v>
      </c>
      <c r="B88" s="4">
        <f>(VLOOKUP('20.03'!J88,'20.03'!$AO$4:$AR$55,4,FALSE))</f>
        <v>0</v>
      </c>
      <c r="C88" s="4">
        <f>(VLOOKUP('20.03'!K88,'20.03'!$AO$4:$AR$55,4,FALSE))</f>
        <v>0</v>
      </c>
      <c r="D88" s="4">
        <f>(VLOOKUP('20.03'!L88,'20.03'!$AO$4:$AR$55,4,FALSE))</f>
        <v>0</v>
      </c>
      <c r="E88" s="4">
        <f>(VLOOKUP('20.03'!M88,'20.03'!$AO$4:$AR$55,4,FALSE))</f>
        <v>0</v>
      </c>
      <c r="F88" s="4">
        <f>(VLOOKUP('20.03'!N88,'20.03'!$AO$4:$AR$55,4,FALSE))</f>
        <v>0</v>
      </c>
      <c r="G88" s="4">
        <f>(VLOOKUP('20.03'!O88,'20.03'!$AO$4:$AR$55,4,FALSE))</f>
        <v>0</v>
      </c>
      <c r="H88" s="4">
        <f>(VLOOKUP('20.03'!P88,'20.03'!$AO$4:$AR$55,4,FALSE))</f>
        <v>0</v>
      </c>
      <c r="I88" s="4">
        <f>(VLOOKUP('20.03'!Q88,'20.03'!$AO$4:$AR$55,4,FALSE))</f>
        <v>0</v>
      </c>
      <c r="J88" s="4">
        <f>(VLOOKUP('20.03'!R88,'20.03'!$AO$4:$AR$55,4,FALSE))</f>
        <v>0</v>
      </c>
      <c r="K88" s="4">
        <f>(VLOOKUP('20.03'!S88,'20.03'!$AO$4:$AR$55,4,FALSE))</f>
        <v>0</v>
      </c>
      <c r="L88" s="4">
        <f>(VLOOKUP('20.03'!T88,'20.03'!$AO$4:$AR$55,4,FALSE))</f>
        <v>0</v>
      </c>
      <c r="M88" s="4">
        <f>(VLOOKUP('20.03'!U88,'20.03'!$AO$4:$AR$55,4,FALSE))</f>
        <v>0</v>
      </c>
      <c r="N88" s="4">
        <f>(VLOOKUP('20.03'!V88,'20.03'!$AO$4:$AR$55,4,FALSE))</f>
        <v>0</v>
      </c>
      <c r="O88" s="4">
        <f>(VLOOKUP('20.03'!W88,'20.03'!$AO$4:$AR$55,4,FALSE))</f>
        <v>0</v>
      </c>
      <c r="P88" s="4">
        <f>(VLOOKUP('20.03'!X88,'20.03'!$AO$4:$AR$55,4,FALSE))</f>
        <v>0</v>
      </c>
      <c r="Q88" s="4">
        <f>(VLOOKUP('20.03'!Y88,'20.03'!$AO$4:$AR$55,4,FALSE))</f>
        <v>0</v>
      </c>
      <c r="R88" s="4">
        <f>(VLOOKUP('20.03'!Z88,'20.03'!$AO$4:$AR$55,4,FALSE))</f>
        <v>0</v>
      </c>
      <c r="S88" s="4">
        <f>(VLOOKUP('20.03'!AA88,'20.03'!$AO$4:$AR$55,4,FALSE))</f>
        <v>0</v>
      </c>
      <c r="T88" s="4">
        <f>(VLOOKUP('20.03'!AB88,'20.03'!$AO$4:$AR$55,4,FALSE))</f>
        <v>0</v>
      </c>
      <c r="U88" s="4">
        <f>(VLOOKUP('20.03'!AC88,'20.03'!$AO$4:$AR$55,4,FALSE))</f>
        <v>0</v>
      </c>
      <c r="V88" s="4">
        <f>(VLOOKUP('20.03'!AD88,'20.03'!$AO$4:$AR$55,4,FALSE))</f>
        <v>0</v>
      </c>
      <c r="W88" s="4">
        <f>(VLOOKUP('20.03'!AE88,'20.03'!$AO$4:$AR$55,4,FALSE))</f>
        <v>0</v>
      </c>
      <c r="X88" s="4">
        <f>(VLOOKUP('20.03'!AF88,'20.03'!$AO$4:$AR$55,4,FALSE))</f>
        <v>0</v>
      </c>
    </row>
    <row r="89" spans="1:24">
      <c r="A89" s="4">
        <f>(VLOOKUP('20.03'!I89,'20.03'!$AO$4:$AR$55,4,FALSE))</f>
        <v>0</v>
      </c>
      <c r="B89" s="4">
        <f>(VLOOKUP('20.03'!J89,'20.03'!$AO$4:$AR$55,4,FALSE))</f>
        <v>0</v>
      </c>
      <c r="C89" s="4">
        <f>(VLOOKUP('20.03'!K89,'20.03'!$AO$4:$AR$55,4,FALSE))</f>
        <v>0</v>
      </c>
      <c r="D89" s="4">
        <f>(VLOOKUP('20.03'!L89,'20.03'!$AO$4:$AR$55,4,FALSE))</f>
        <v>0</v>
      </c>
      <c r="E89" s="4">
        <f>(VLOOKUP('20.03'!M89,'20.03'!$AO$4:$AR$55,4,FALSE))</f>
        <v>0</v>
      </c>
      <c r="F89" s="4">
        <f>(VLOOKUP('20.03'!N89,'20.03'!$AO$4:$AR$55,4,FALSE))</f>
        <v>0</v>
      </c>
      <c r="G89" s="4">
        <f>(VLOOKUP('20.03'!O89,'20.03'!$AO$4:$AR$55,4,FALSE))</f>
        <v>0</v>
      </c>
      <c r="H89" s="4">
        <f>(VLOOKUP('20.03'!P89,'20.03'!$AO$4:$AR$55,4,FALSE))</f>
        <v>0</v>
      </c>
      <c r="I89" s="4">
        <f>(VLOOKUP('20.03'!Q89,'20.03'!$AO$4:$AR$55,4,FALSE))</f>
        <v>0</v>
      </c>
      <c r="J89" s="4">
        <f>(VLOOKUP('20.03'!R89,'20.03'!$AO$4:$AR$55,4,FALSE))</f>
        <v>0</v>
      </c>
      <c r="K89" s="4">
        <f>(VLOOKUP('20.03'!S89,'20.03'!$AO$4:$AR$55,4,FALSE))</f>
        <v>0</v>
      </c>
      <c r="L89" s="4">
        <f>(VLOOKUP('20.03'!T89,'20.03'!$AO$4:$AR$55,4,FALSE))</f>
        <v>0</v>
      </c>
      <c r="M89" s="4">
        <f>(VLOOKUP('20.03'!U89,'20.03'!$AO$4:$AR$55,4,FALSE))</f>
        <v>0</v>
      </c>
      <c r="N89" s="4">
        <f>(VLOOKUP('20.03'!V89,'20.03'!$AO$4:$AR$55,4,FALSE))</f>
        <v>0</v>
      </c>
      <c r="O89" s="4">
        <f>(VLOOKUP('20.03'!W89,'20.03'!$AO$4:$AR$55,4,FALSE))</f>
        <v>0</v>
      </c>
      <c r="P89" s="4">
        <f>(VLOOKUP('20.03'!X89,'20.03'!$AO$4:$AR$55,4,FALSE))</f>
        <v>0</v>
      </c>
      <c r="Q89" s="4">
        <f>(VLOOKUP('20.03'!Y89,'20.03'!$AO$4:$AR$55,4,FALSE))</f>
        <v>0</v>
      </c>
      <c r="R89" s="4">
        <f>(VLOOKUP('20.03'!Z89,'20.03'!$AO$4:$AR$55,4,FALSE))</f>
        <v>0</v>
      </c>
      <c r="S89" s="4">
        <f>(VLOOKUP('20.03'!AA89,'20.03'!$AO$4:$AR$55,4,FALSE))</f>
        <v>0</v>
      </c>
      <c r="T89" s="4">
        <f>(VLOOKUP('20.03'!AB89,'20.03'!$AO$4:$AR$55,4,FALSE))</f>
        <v>0</v>
      </c>
      <c r="U89" s="4">
        <f>(VLOOKUP('20.03'!AC89,'20.03'!$AO$4:$AR$55,4,FALSE))</f>
        <v>0</v>
      </c>
      <c r="V89" s="4">
        <f>(VLOOKUP('20.03'!AD89,'20.03'!$AO$4:$AR$55,4,FALSE))</f>
        <v>0</v>
      </c>
      <c r="W89" s="4">
        <f>(VLOOKUP('20.03'!AE89,'20.03'!$AO$4:$AR$55,4,FALSE))</f>
        <v>0</v>
      </c>
      <c r="X89" s="4">
        <f>(VLOOKUP('20.03'!AF89,'20.03'!$AO$4:$AR$55,4,FALSE))</f>
        <v>0</v>
      </c>
    </row>
    <row r="90" spans="1:24">
      <c r="A90" s="4">
        <f>(VLOOKUP('20.03'!I90,'20.03'!$AO$4:$AR$55,4,FALSE))</f>
        <v>0</v>
      </c>
      <c r="B90" s="4">
        <f>(VLOOKUP('20.03'!J90,'20.03'!$AO$4:$AR$55,4,FALSE))</f>
        <v>0</v>
      </c>
      <c r="C90" s="4">
        <f>(VLOOKUP('20.03'!K90,'20.03'!$AO$4:$AR$55,4,FALSE))</f>
        <v>0</v>
      </c>
      <c r="D90" s="4">
        <f>(VLOOKUP('20.03'!L90,'20.03'!$AO$4:$AR$55,4,FALSE))</f>
        <v>0</v>
      </c>
      <c r="E90" s="4">
        <f>(VLOOKUP('20.03'!M90,'20.03'!$AO$4:$AR$55,4,FALSE))</f>
        <v>0</v>
      </c>
      <c r="F90" s="4">
        <f>(VLOOKUP('20.03'!N90,'20.03'!$AO$4:$AR$55,4,FALSE))</f>
        <v>0</v>
      </c>
      <c r="G90" s="4">
        <f>(VLOOKUP('20.03'!O90,'20.03'!$AO$4:$AR$55,4,FALSE))</f>
        <v>0</v>
      </c>
      <c r="H90" s="4">
        <f>(VLOOKUP('20.03'!P90,'20.03'!$AO$4:$AR$55,4,FALSE))</f>
        <v>0</v>
      </c>
      <c r="I90" s="4">
        <f>(VLOOKUP('20.03'!Q90,'20.03'!$AO$4:$AR$55,4,FALSE))</f>
        <v>0</v>
      </c>
      <c r="J90" s="4">
        <f>(VLOOKUP('20.03'!R90,'20.03'!$AO$4:$AR$55,4,FALSE))</f>
        <v>0</v>
      </c>
      <c r="K90" s="4">
        <f>(VLOOKUP('20.03'!S90,'20.03'!$AO$4:$AR$55,4,FALSE))</f>
        <v>0</v>
      </c>
      <c r="L90" s="4">
        <f>(VLOOKUP('20.03'!T90,'20.03'!$AO$4:$AR$55,4,FALSE))</f>
        <v>0</v>
      </c>
      <c r="M90" s="4">
        <f>(VLOOKUP('20.03'!U90,'20.03'!$AO$4:$AR$55,4,FALSE))</f>
        <v>0</v>
      </c>
      <c r="N90" s="4">
        <f>(VLOOKUP('20.03'!V90,'20.03'!$AO$4:$AR$55,4,FALSE))</f>
        <v>0</v>
      </c>
      <c r="O90" s="4">
        <f>(VLOOKUP('20.03'!W90,'20.03'!$AO$4:$AR$55,4,FALSE))</f>
        <v>0</v>
      </c>
      <c r="P90" s="4">
        <f>(VLOOKUP('20.03'!X90,'20.03'!$AO$4:$AR$55,4,FALSE))</f>
        <v>0</v>
      </c>
      <c r="Q90" s="4">
        <f>(VLOOKUP('20.03'!Y90,'20.03'!$AO$4:$AR$55,4,FALSE))</f>
        <v>0</v>
      </c>
      <c r="R90" s="4">
        <f>(VLOOKUP('20.03'!Z90,'20.03'!$AO$4:$AR$55,4,FALSE))</f>
        <v>0</v>
      </c>
      <c r="S90" s="4">
        <f>(VLOOKUP('20.03'!AA90,'20.03'!$AO$4:$AR$55,4,FALSE))</f>
        <v>0</v>
      </c>
      <c r="T90" s="4">
        <f>(VLOOKUP('20.03'!AB90,'20.03'!$AO$4:$AR$55,4,FALSE))</f>
        <v>0</v>
      </c>
      <c r="U90" s="4">
        <f>(VLOOKUP('20.03'!AC90,'20.03'!$AO$4:$AR$55,4,FALSE))</f>
        <v>0</v>
      </c>
      <c r="V90" s="4">
        <f>(VLOOKUP('20.03'!AD90,'20.03'!$AO$4:$AR$55,4,FALSE))</f>
        <v>0</v>
      </c>
      <c r="W90" s="4">
        <f>(VLOOKUP('20.03'!AE90,'20.03'!$AO$4:$AR$55,4,FALSE))</f>
        <v>0</v>
      </c>
      <c r="X90" s="4">
        <f>(VLOOKUP('20.03'!AF90,'20.03'!$AO$4:$AR$55,4,FALSE))</f>
        <v>0</v>
      </c>
    </row>
    <row r="91" spans="1:24">
      <c r="A91" s="4">
        <f>(VLOOKUP('20.03'!I91,'20.03'!$AO$4:$AR$55,4,FALSE))</f>
        <v>0</v>
      </c>
      <c r="B91" s="4">
        <f>(VLOOKUP('20.03'!J91,'20.03'!$AO$4:$AR$55,4,FALSE))</f>
        <v>0</v>
      </c>
      <c r="C91" s="4">
        <f>(VLOOKUP('20.03'!K91,'20.03'!$AO$4:$AR$55,4,FALSE))</f>
        <v>0</v>
      </c>
      <c r="D91" s="4">
        <f>(VLOOKUP('20.03'!L91,'20.03'!$AO$4:$AR$55,4,FALSE))</f>
        <v>0</v>
      </c>
      <c r="E91" s="4">
        <f>(VLOOKUP('20.03'!M91,'20.03'!$AO$4:$AR$55,4,FALSE))</f>
        <v>0</v>
      </c>
      <c r="F91" s="4">
        <f>(VLOOKUP('20.03'!N91,'20.03'!$AO$4:$AR$55,4,FALSE))</f>
        <v>0</v>
      </c>
      <c r="G91" s="4">
        <f>(VLOOKUP('20.03'!O91,'20.03'!$AO$4:$AR$55,4,FALSE))</f>
        <v>0</v>
      </c>
      <c r="H91" s="4">
        <f>(VLOOKUP('20.03'!P91,'20.03'!$AO$4:$AR$55,4,FALSE))</f>
        <v>0</v>
      </c>
      <c r="I91" s="4">
        <f>(VLOOKUP('20.03'!Q91,'20.03'!$AO$4:$AR$55,4,FALSE))</f>
        <v>0</v>
      </c>
      <c r="J91" s="4">
        <f>(VLOOKUP('20.03'!R91,'20.03'!$AO$4:$AR$55,4,FALSE))</f>
        <v>0</v>
      </c>
      <c r="K91" s="4">
        <f>(VLOOKUP('20.03'!S91,'20.03'!$AO$4:$AR$55,4,FALSE))</f>
        <v>0</v>
      </c>
      <c r="L91" s="4">
        <f>(VLOOKUP('20.03'!T91,'20.03'!$AO$4:$AR$55,4,FALSE))</f>
        <v>0</v>
      </c>
      <c r="M91" s="4">
        <f>(VLOOKUP('20.03'!U91,'20.03'!$AO$4:$AR$55,4,FALSE))</f>
        <v>0</v>
      </c>
      <c r="N91" s="4">
        <f>(VLOOKUP('20.03'!V91,'20.03'!$AO$4:$AR$55,4,FALSE))</f>
        <v>0</v>
      </c>
      <c r="O91" s="4">
        <f>(VLOOKUP('20.03'!W91,'20.03'!$AO$4:$AR$55,4,FALSE))</f>
        <v>0</v>
      </c>
      <c r="P91" s="4">
        <f>(VLOOKUP('20.03'!X91,'20.03'!$AO$4:$AR$55,4,FALSE))</f>
        <v>0</v>
      </c>
      <c r="Q91" s="4">
        <f>(VLOOKUP('20.03'!Y91,'20.03'!$AO$4:$AR$55,4,FALSE))</f>
        <v>0</v>
      </c>
      <c r="R91" s="4">
        <f>(VLOOKUP('20.03'!Z91,'20.03'!$AO$4:$AR$55,4,FALSE))</f>
        <v>0</v>
      </c>
      <c r="S91" s="4">
        <f>(VLOOKUP('20.03'!AA91,'20.03'!$AO$4:$AR$55,4,FALSE))</f>
        <v>0</v>
      </c>
      <c r="T91" s="4">
        <f>(VLOOKUP('20.03'!AB91,'20.03'!$AO$4:$AR$55,4,FALSE))</f>
        <v>0</v>
      </c>
      <c r="U91" s="4">
        <f>(VLOOKUP('20.03'!AC91,'20.03'!$AO$4:$AR$55,4,FALSE))</f>
        <v>0</v>
      </c>
      <c r="V91" s="4">
        <f>(VLOOKUP('20.03'!AD91,'20.03'!$AO$4:$AR$55,4,FALSE))</f>
        <v>0</v>
      </c>
      <c r="W91" s="4">
        <f>(VLOOKUP('20.03'!AE91,'20.03'!$AO$4:$AR$55,4,FALSE))</f>
        <v>0</v>
      </c>
      <c r="X91" s="4">
        <f>(VLOOKUP('20.03'!AF91,'20.03'!$AO$4:$AR$55,4,FALSE))</f>
        <v>0</v>
      </c>
    </row>
    <row r="92" spans="1:24">
      <c r="A92" s="4">
        <f>(VLOOKUP('20.03'!I92,'20.03'!$AO$4:$AR$55,4,FALSE))</f>
        <v>0</v>
      </c>
      <c r="B92" s="4">
        <f>(VLOOKUP('20.03'!J92,'20.03'!$AO$4:$AR$55,4,FALSE))</f>
        <v>0</v>
      </c>
      <c r="C92" s="4">
        <f>(VLOOKUP('20.03'!K92,'20.03'!$AO$4:$AR$55,4,FALSE))</f>
        <v>0</v>
      </c>
      <c r="D92" s="4">
        <f>(VLOOKUP('20.03'!L92,'20.03'!$AO$4:$AR$55,4,FALSE))</f>
        <v>0</v>
      </c>
      <c r="E92" s="4">
        <f>(VLOOKUP('20.03'!M92,'20.03'!$AO$4:$AR$55,4,FALSE))</f>
        <v>0</v>
      </c>
      <c r="F92" s="4">
        <f>(VLOOKUP('20.03'!N92,'20.03'!$AO$4:$AR$55,4,FALSE))</f>
        <v>0</v>
      </c>
      <c r="G92" s="4">
        <f>(VLOOKUP('20.03'!O92,'20.03'!$AO$4:$AR$55,4,FALSE))</f>
        <v>0</v>
      </c>
      <c r="H92" s="4">
        <f>(VLOOKUP('20.03'!P92,'20.03'!$AO$4:$AR$55,4,FALSE))</f>
        <v>0</v>
      </c>
      <c r="I92" s="4">
        <f>(VLOOKUP('20.03'!Q92,'20.03'!$AO$4:$AR$55,4,FALSE))</f>
        <v>0</v>
      </c>
      <c r="J92" s="4">
        <f>(VLOOKUP('20.03'!R92,'20.03'!$AO$4:$AR$55,4,FALSE))</f>
        <v>0</v>
      </c>
      <c r="K92" s="4">
        <f>(VLOOKUP('20.03'!S92,'20.03'!$AO$4:$AR$55,4,FALSE))</f>
        <v>0</v>
      </c>
      <c r="L92" s="4">
        <f>(VLOOKUP('20.03'!T92,'20.03'!$AO$4:$AR$55,4,FALSE))</f>
        <v>0</v>
      </c>
      <c r="M92" s="4">
        <f>(VLOOKUP('20.03'!U92,'20.03'!$AO$4:$AR$55,4,FALSE))</f>
        <v>0</v>
      </c>
      <c r="N92" s="4">
        <f>(VLOOKUP('20.03'!V92,'20.03'!$AO$4:$AR$55,4,FALSE))</f>
        <v>0</v>
      </c>
      <c r="O92" s="4">
        <f>(VLOOKUP('20.03'!W92,'20.03'!$AO$4:$AR$55,4,FALSE))</f>
        <v>0</v>
      </c>
      <c r="P92" s="4">
        <f>(VLOOKUP('20.03'!X92,'20.03'!$AO$4:$AR$55,4,FALSE))</f>
        <v>0</v>
      </c>
      <c r="Q92" s="4">
        <f>(VLOOKUP('20.03'!Y92,'20.03'!$AO$4:$AR$55,4,FALSE))</f>
        <v>0</v>
      </c>
      <c r="R92" s="4">
        <f>(VLOOKUP('20.03'!Z92,'20.03'!$AO$4:$AR$55,4,FALSE))</f>
        <v>0</v>
      </c>
      <c r="S92" s="4">
        <f>(VLOOKUP('20.03'!AA92,'20.03'!$AO$4:$AR$55,4,FALSE))</f>
        <v>0</v>
      </c>
      <c r="T92" s="4">
        <f>(VLOOKUP('20.03'!AB92,'20.03'!$AO$4:$AR$55,4,FALSE))</f>
        <v>0</v>
      </c>
      <c r="U92" s="4">
        <f>(VLOOKUP('20.03'!AC92,'20.03'!$AO$4:$AR$55,4,FALSE))</f>
        <v>0</v>
      </c>
      <c r="V92" s="4">
        <f>(VLOOKUP('20.03'!AD92,'20.03'!$AO$4:$AR$55,4,FALSE))</f>
        <v>0</v>
      </c>
      <c r="W92" s="4">
        <f>(VLOOKUP('20.03'!AE92,'20.03'!$AO$4:$AR$55,4,FALSE))</f>
        <v>0</v>
      </c>
      <c r="X92" s="4">
        <f>(VLOOKUP('20.03'!AF92,'20.03'!$AO$4:$AR$55,4,FALSE))</f>
        <v>0</v>
      </c>
    </row>
    <row r="93" spans="1:24">
      <c r="A93" s="4">
        <f>(VLOOKUP('20.03'!I93,'20.03'!$AO$4:$AR$55,4,FALSE))</f>
        <v>0</v>
      </c>
      <c r="B93" s="4">
        <f>(VLOOKUP('20.03'!J93,'20.03'!$AO$4:$AR$55,4,FALSE))</f>
        <v>0</v>
      </c>
      <c r="C93" s="4">
        <f>(VLOOKUP('20.03'!K93,'20.03'!$AO$4:$AR$55,4,FALSE))</f>
        <v>0</v>
      </c>
      <c r="D93" s="4">
        <f>(VLOOKUP('20.03'!L93,'20.03'!$AO$4:$AR$55,4,FALSE))</f>
        <v>0</v>
      </c>
      <c r="E93" s="4">
        <f>(VLOOKUP('20.03'!M93,'20.03'!$AO$4:$AR$55,4,FALSE))</f>
        <v>0</v>
      </c>
      <c r="F93" s="4">
        <f>(VLOOKUP('20.03'!N93,'20.03'!$AO$4:$AR$55,4,FALSE))</f>
        <v>0</v>
      </c>
      <c r="G93" s="4">
        <f>(VLOOKUP('20.03'!O93,'20.03'!$AO$4:$AR$55,4,FALSE))</f>
        <v>0</v>
      </c>
      <c r="H93" s="4">
        <f>(VLOOKUP('20.03'!P93,'20.03'!$AO$4:$AR$55,4,FALSE))</f>
        <v>0</v>
      </c>
      <c r="I93" s="4">
        <f>(VLOOKUP('20.03'!Q93,'20.03'!$AO$4:$AR$55,4,FALSE))</f>
        <v>0</v>
      </c>
      <c r="J93" s="4">
        <f>(VLOOKUP('20.03'!R93,'20.03'!$AO$4:$AR$55,4,FALSE))</f>
        <v>0</v>
      </c>
      <c r="K93" s="4">
        <f>(VLOOKUP('20.03'!S93,'20.03'!$AO$4:$AR$55,4,FALSE))</f>
        <v>0</v>
      </c>
      <c r="L93" s="4">
        <f>(VLOOKUP('20.03'!T93,'20.03'!$AO$4:$AR$55,4,FALSE))</f>
        <v>0</v>
      </c>
      <c r="M93" s="4">
        <f>(VLOOKUP('20.03'!U93,'20.03'!$AO$4:$AR$55,4,FALSE))</f>
        <v>0</v>
      </c>
      <c r="N93" s="4">
        <f>(VLOOKUP('20.03'!V93,'20.03'!$AO$4:$AR$55,4,FALSE))</f>
        <v>0</v>
      </c>
      <c r="O93" s="4">
        <f>(VLOOKUP('20.03'!W93,'20.03'!$AO$4:$AR$55,4,FALSE))</f>
        <v>0</v>
      </c>
      <c r="P93" s="4">
        <f>(VLOOKUP('20.03'!X93,'20.03'!$AO$4:$AR$55,4,FALSE))</f>
        <v>0</v>
      </c>
      <c r="Q93" s="4">
        <f>(VLOOKUP('20.03'!Y93,'20.03'!$AO$4:$AR$55,4,FALSE))</f>
        <v>0</v>
      </c>
      <c r="R93" s="4">
        <f>(VLOOKUP('20.03'!Z93,'20.03'!$AO$4:$AR$55,4,FALSE))</f>
        <v>0</v>
      </c>
      <c r="S93" s="4">
        <f>(VLOOKUP('20.03'!AA93,'20.03'!$AO$4:$AR$55,4,FALSE))</f>
        <v>0</v>
      </c>
      <c r="T93" s="4">
        <f>(VLOOKUP('20.03'!AB93,'20.03'!$AO$4:$AR$55,4,FALSE))</f>
        <v>0</v>
      </c>
      <c r="U93" s="4">
        <f>(VLOOKUP('20.03'!AC93,'20.03'!$AO$4:$AR$55,4,FALSE))</f>
        <v>0</v>
      </c>
      <c r="V93" s="4">
        <f>(VLOOKUP('20.03'!AD93,'20.03'!$AO$4:$AR$55,4,FALSE))</f>
        <v>0</v>
      </c>
      <c r="W93" s="4">
        <f>(VLOOKUP('20.03'!AE93,'20.03'!$AO$4:$AR$55,4,FALSE))</f>
        <v>0</v>
      </c>
      <c r="X93" s="4">
        <f>(VLOOKUP('20.03'!AF93,'20.03'!$AO$4:$AR$55,4,FALSE))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20.03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2025-06-14T05:31:52Z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