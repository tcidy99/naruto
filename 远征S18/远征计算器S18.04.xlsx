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C:\utility\naruto\远征S18\"/>
    </mc:Choice>
  </mc:AlternateContent>
  <xr:revisionPtr revIDLastSave="0" documentId="13_ncr:1_{365ADDA3-0236-47F6-ADDB-06139BAFE9BB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18.04" sheetId="12" r:id="rId1"/>
    <sheet name="粮草" sheetId="14" state="hidden" r:id="rId2"/>
    <sheet name="经验" sheetId="15" state="hidden" r:id="rId3"/>
    <sheet name="亏损" sheetId="17" state="hidden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Y50" i="12" l="1"/>
  <c r="AV50" i="12"/>
  <c r="AL4" i="12" l="1"/>
  <c r="AQ53" i="12" l="1"/>
  <c r="AQ50" i="12"/>
  <c r="AQ51" i="12"/>
  <c r="AQ52" i="12"/>
  <c r="AQ54" i="12"/>
  <c r="AV27" i="12"/>
  <c r="AG39" i="12"/>
  <c r="AG38" i="12"/>
  <c r="AG37" i="12"/>
  <c r="AG36" i="12"/>
  <c r="AG35" i="12"/>
  <c r="AG34" i="12"/>
  <c r="AG93" i="12"/>
  <c r="AG92" i="12"/>
  <c r="AG91" i="12"/>
  <c r="AG90" i="12"/>
  <c r="AG33" i="12"/>
  <c r="AG32" i="12"/>
  <c r="AG31" i="12"/>
  <c r="AG30" i="12"/>
  <c r="AG29" i="12"/>
  <c r="AG28" i="12"/>
  <c r="AG27" i="12"/>
  <c r="AG26" i="12"/>
  <c r="AG25" i="12"/>
  <c r="AG24" i="12"/>
  <c r="AG23" i="12"/>
  <c r="AG22" i="12"/>
  <c r="AG21" i="12"/>
  <c r="AG20" i="12"/>
  <c r="AG19" i="12"/>
  <c r="AG18" i="12"/>
  <c r="AG17" i="12"/>
  <c r="AG16" i="12"/>
  <c r="AG15" i="12"/>
  <c r="AG14" i="12"/>
  <c r="AP51" i="12"/>
  <c r="AP52" i="12"/>
  <c r="AP53" i="12"/>
  <c r="AP54" i="12"/>
  <c r="AP50" i="12"/>
  <c r="AO51" i="12"/>
  <c r="AO52" i="12"/>
  <c r="AO53" i="12"/>
  <c r="AO54" i="12"/>
  <c r="AO50" i="12"/>
  <c r="B4" i="14"/>
  <c r="C4" i="14"/>
  <c r="D4" i="14"/>
  <c r="E4" i="14"/>
  <c r="F4" i="14"/>
  <c r="G4" i="14"/>
  <c r="H4" i="14"/>
  <c r="I4" i="14"/>
  <c r="J4" i="14"/>
  <c r="K4" i="14"/>
  <c r="L4" i="14"/>
  <c r="M4" i="14"/>
  <c r="N4" i="14"/>
  <c r="O4" i="14"/>
  <c r="P4" i="14"/>
  <c r="Q4" i="14"/>
  <c r="R4" i="14"/>
  <c r="S4" i="14"/>
  <c r="T4" i="14"/>
  <c r="U4" i="14"/>
  <c r="V4" i="14"/>
  <c r="W4" i="14"/>
  <c r="X4" i="14"/>
  <c r="B5" i="14"/>
  <c r="C5" i="14"/>
  <c r="D5" i="14"/>
  <c r="E5" i="14"/>
  <c r="F5" i="14"/>
  <c r="G5" i="14"/>
  <c r="H5" i="14"/>
  <c r="I5" i="14"/>
  <c r="J5" i="14"/>
  <c r="K5" i="14"/>
  <c r="L5" i="14"/>
  <c r="M5" i="14"/>
  <c r="N5" i="14"/>
  <c r="O5" i="14"/>
  <c r="P5" i="14"/>
  <c r="Q5" i="14"/>
  <c r="R5" i="14"/>
  <c r="S5" i="14"/>
  <c r="T5" i="14"/>
  <c r="U5" i="14"/>
  <c r="V5" i="14"/>
  <c r="W5" i="14"/>
  <c r="X5" i="14"/>
  <c r="B6" i="14"/>
  <c r="C6" i="14"/>
  <c r="D6" i="14"/>
  <c r="E6" i="14"/>
  <c r="F6" i="14"/>
  <c r="G6" i="14"/>
  <c r="H6" i="14"/>
  <c r="I6" i="14"/>
  <c r="J6" i="14"/>
  <c r="K6" i="14"/>
  <c r="L6" i="14"/>
  <c r="M6" i="14"/>
  <c r="N6" i="14"/>
  <c r="O6" i="14"/>
  <c r="P6" i="14"/>
  <c r="Q6" i="14"/>
  <c r="R6" i="14"/>
  <c r="S6" i="14"/>
  <c r="T6" i="14"/>
  <c r="U6" i="14"/>
  <c r="V6" i="14"/>
  <c r="W6" i="14"/>
  <c r="X6" i="14"/>
  <c r="B7" i="14"/>
  <c r="C7" i="14"/>
  <c r="D7" i="14"/>
  <c r="E7" i="14"/>
  <c r="F7" i="14"/>
  <c r="G7" i="14"/>
  <c r="H7" i="14"/>
  <c r="I7" i="14"/>
  <c r="J7" i="14"/>
  <c r="K7" i="14"/>
  <c r="L7" i="14"/>
  <c r="M7" i="14"/>
  <c r="N7" i="14"/>
  <c r="O7" i="14"/>
  <c r="P7" i="14"/>
  <c r="Q7" i="14"/>
  <c r="R7" i="14"/>
  <c r="S7" i="14"/>
  <c r="T7" i="14"/>
  <c r="U7" i="14"/>
  <c r="V7" i="14"/>
  <c r="W7" i="14"/>
  <c r="X7" i="14"/>
  <c r="B8" i="14"/>
  <c r="C8" i="14"/>
  <c r="D8" i="14"/>
  <c r="E8" i="14"/>
  <c r="F8" i="14"/>
  <c r="G8" i="14"/>
  <c r="H8" i="14"/>
  <c r="I8" i="14"/>
  <c r="J8" i="14"/>
  <c r="K8" i="14"/>
  <c r="L8" i="14"/>
  <c r="M8" i="14"/>
  <c r="N8" i="14"/>
  <c r="O8" i="14"/>
  <c r="P8" i="14"/>
  <c r="Q8" i="14"/>
  <c r="R8" i="14"/>
  <c r="S8" i="14"/>
  <c r="T8" i="14"/>
  <c r="U8" i="14"/>
  <c r="V8" i="14"/>
  <c r="W8" i="14"/>
  <c r="X8" i="14"/>
  <c r="B9" i="14"/>
  <c r="C9" i="14"/>
  <c r="D9" i="14"/>
  <c r="E9" i="14"/>
  <c r="F9" i="14"/>
  <c r="G9" i="14"/>
  <c r="H9" i="14"/>
  <c r="I9" i="14"/>
  <c r="J9" i="14"/>
  <c r="K9" i="14"/>
  <c r="L9" i="14"/>
  <c r="M9" i="14"/>
  <c r="N9" i="14"/>
  <c r="O9" i="14"/>
  <c r="P9" i="14"/>
  <c r="Q9" i="14"/>
  <c r="R9" i="14"/>
  <c r="S9" i="14"/>
  <c r="T9" i="14"/>
  <c r="U9" i="14"/>
  <c r="V9" i="14"/>
  <c r="W9" i="14"/>
  <c r="X9" i="14"/>
  <c r="B10" i="14"/>
  <c r="C10" i="14"/>
  <c r="D10" i="14"/>
  <c r="E10" i="14"/>
  <c r="F10" i="14"/>
  <c r="G10" i="14"/>
  <c r="H10" i="14"/>
  <c r="I10" i="14"/>
  <c r="J10" i="14"/>
  <c r="K10" i="14"/>
  <c r="L10" i="14"/>
  <c r="M10" i="14"/>
  <c r="N10" i="14"/>
  <c r="O10" i="14"/>
  <c r="P10" i="14"/>
  <c r="Q10" i="14"/>
  <c r="R10" i="14"/>
  <c r="S10" i="14"/>
  <c r="T10" i="14"/>
  <c r="U10" i="14"/>
  <c r="V10" i="14"/>
  <c r="W10" i="14"/>
  <c r="X10" i="14"/>
  <c r="B11" i="14"/>
  <c r="C11" i="14"/>
  <c r="D11" i="14"/>
  <c r="E11" i="14"/>
  <c r="F11" i="14"/>
  <c r="G11" i="14"/>
  <c r="H11" i="14"/>
  <c r="I11" i="14"/>
  <c r="J11" i="14"/>
  <c r="K11" i="14"/>
  <c r="L11" i="14"/>
  <c r="M11" i="14"/>
  <c r="N11" i="14"/>
  <c r="O11" i="14"/>
  <c r="P11" i="14"/>
  <c r="Q11" i="14"/>
  <c r="R11" i="14"/>
  <c r="S11" i="14"/>
  <c r="T11" i="14"/>
  <c r="U11" i="14"/>
  <c r="V11" i="14"/>
  <c r="W11" i="14"/>
  <c r="X11" i="14"/>
  <c r="B12" i="14"/>
  <c r="C12" i="14"/>
  <c r="D12" i="14"/>
  <c r="E12" i="14"/>
  <c r="F12" i="14"/>
  <c r="G12" i="14"/>
  <c r="H12" i="14"/>
  <c r="I12" i="14"/>
  <c r="J12" i="14"/>
  <c r="K12" i="14"/>
  <c r="L12" i="14"/>
  <c r="M12" i="14"/>
  <c r="N12" i="14"/>
  <c r="O12" i="14"/>
  <c r="P12" i="14"/>
  <c r="Q12" i="14"/>
  <c r="R12" i="14"/>
  <c r="S12" i="14"/>
  <c r="T12" i="14"/>
  <c r="U12" i="14"/>
  <c r="V12" i="14"/>
  <c r="W12" i="14"/>
  <c r="X12" i="14"/>
  <c r="B13" i="14"/>
  <c r="C13" i="14"/>
  <c r="D13" i="14"/>
  <c r="E13" i="14"/>
  <c r="F13" i="14"/>
  <c r="G13" i="14"/>
  <c r="H13" i="14"/>
  <c r="I13" i="14"/>
  <c r="J13" i="14"/>
  <c r="K13" i="14"/>
  <c r="L13" i="14"/>
  <c r="M13" i="14"/>
  <c r="N13" i="14"/>
  <c r="O13" i="14"/>
  <c r="P13" i="14"/>
  <c r="Q13" i="14"/>
  <c r="R13" i="14"/>
  <c r="S13" i="14"/>
  <c r="T13" i="14"/>
  <c r="U13" i="14"/>
  <c r="V13" i="14"/>
  <c r="W13" i="14"/>
  <c r="X13" i="14"/>
  <c r="B14" i="14"/>
  <c r="C14" i="14"/>
  <c r="D14" i="14"/>
  <c r="E14" i="14"/>
  <c r="F14" i="14"/>
  <c r="G14" i="14"/>
  <c r="H14" i="14"/>
  <c r="I14" i="14"/>
  <c r="J14" i="14"/>
  <c r="K14" i="14"/>
  <c r="L14" i="14"/>
  <c r="M14" i="14"/>
  <c r="N14" i="14"/>
  <c r="O14" i="14"/>
  <c r="P14" i="14"/>
  <c r="Q14" i="14"/>
  <c r="R14" i="14"/>
  <c r="S14" i="14"/>
  <c r="T14" i="14"/>
  <c r="U14" i="14"/>
  <c r="V14" i="14"/>
  <c r="W14" i="14"/>
  <c r="X14" i="14"/>
  <c r="B15" i="14"/>
  <c r="C15" i="14"/>
  <c r="D15" i="14"/>
  <c r="E15" i="14"/>
  <c r="F15" i="14"/>
  <c r="G15" i="14"/>
  <c r="H15" i="14"/>
  <c r="I15" i="14"/>
  <c r="J15" i="14"/>
  <c r="K15" i="14"/>
  <c r="L15" i="14"/>
  <c r="M15" i="14"/>
  <c r="N15" i="14"/>
  <c r="O15" i="14"/>
  <c r="P15" i="14"/>
  <c r="Q15" i="14"/>
  <c r="R15" i="14"/>
  <c r="S15" i="14"/>
  <c r="T15" i="14"/>
  <c r="U15" i="14"/>
  <c r="V15" i="14"/>
  <c r="W15" i="14"/>
  <c r="X15" i="14"/>
  <c r="B16" i="14"/>
  <c r="C16" i="14"/>
  <c r="D16" i="14"/>
  <c r="E16" i="14"/>
  <c r="F16" i="14"/>
  <c r="G16" i="14"/>
  <c r="H16" i="14"/>
  <c r="I16" i="14"/>
  <c r="J16" i="14"/>
  <c r="K16" i="14"/>
  <c r="L16" i="14"/>
  <c r="M16" i="14"/>
  <c r="N16" i="14"/>
  <c r="O16" i="14"/>
  <c r="P16" i="14"/>
  <c r="Q16" i="14"/>
  <c r="R16" i="14"/>
  <c r="S16" i="14"/>
  <c r="T16" i="14"/>
  <c r="U16" i="14"/>
  <c r="V16" i="14"/>
  <c r="W16" i="14"/>
  <c r="X16" i="14"/>
  <c r="B17" i="14"/>
  <c r="C17" i="14"/>
  <c r="D17" i="14"/>
  <c r="E17" i="14"/>
  <c r="F17" i="14"/>
  <c r="G17" i="14"/>
  <c r="H17" i="14"/>
  <c r="I17" i="14"/>
  <c r="J17" i="14"/>
  <c r="K17" i="14"/>
  <c r="L17" i="14"/>
  <c r="M17" i="14"/>
  <c r="N17" i="14"/>
  <c r="O17" i="14"/>
  <c r="P17" i="14"/>
  <c r="Q17" i="14"/>
  <c r="R17" i="14"/>
  <c r="S17" i="14"/>
  <c r="T17" i="14"/>
  <c r="U17" i="14"/>
  <c r="V17" i="14"/>
  <c r="W17" i="14"/>
  <c r="X17" i="14"/>
  <c r="B18" i="14"/>
  <c r="C18" i="14"/>
  <c r="D18" i="14"/>
  <c r="E18" i="14"/>
  <c r="F18" i="14"/>
  <c r="G18" i="14"/>
  <c r="H18" i="14"/>
  <c r="I18" i="14"/>
  <c r="J18" i="14"/>
  <c r="K18" i="14"/>
  <c r="L18" i="14"/>
  <c r="M18" i="14"/>
  <c r="N18" i="14"/>
  <c r="O18" i="14"/>
  <c r="P18" i="14"/>
  <c r="Q18" i="14"/>
  <c r="R18" i="14"/>
  <c r="S18" i="14"/>
  <c r="T18" i="14"/>
  <c r="U18" i="14"/>
  <c r="V18" i="14"/>
  <c r="W18" i="14"/>
  <c r="X18" i="14"/>
  <c r="B19" i="14"/>
  <c r="C19" i="14"/>
  <c r="D19" i="14"/>
  <c r="E19" i="14"/>
  <c r="F19" i="14"/>
  <c r="G19" i="14"/>
  <c r="H19" i="14"/>
  <c r="I19" i="14"/>
  <c r="J19" i="14"/>
  <c r="K19" i="14"/>
  <c r="L19" i="14"/>
  <c r="M19" i="14"/>
  <c r="N19" i="14"/>
  <c r="O19" i="14"/>
  <c r="P19" i="14"/>
  <c r="Q19" i="14"/>
  <c r="R19" i="14"/>
  <c r="S19" i="14"/>
  <c r="T19" i="14"/>
  <c r="U19" i="14"/>
  <c r="V19" i="14"/>
  <c r="W19" i="14"/>
  <c r="X19" i="14"/>
  <c r="B20" i="14"/>
  <c r="C20" i="14"/>
  <c r="D20" i="14"/>
  <c r="E20" i="14"/>
  <c r="F20" i="14"/>
  <c r="G20" i="14"/>
  <c r="H20" i="14"/>
  <c r="I20" i="14"/>
  <c r="J20" i="14"/>
  <c r="K20" i="14"/>
  <c r="L20" i="14"/>
  <c r="M20" i="14"/>
  <c r="N20" i="14"/>
  <c r="O20" i="14"/>
  <c r="P20" i="14"/>
  <c r="Q20" i="14"/>
  <c r="R20" i="14"/>
  <c r="S20" i="14"/>
  <c r="T20" i="14"/>
  <c r="U20" i="14"/>
  <c r="V20" i="14"/>
  <c r="W20" i="14"/>
  <c r="X20" i="14"/>
  <c r="B21" i="14"/>
  <c r="C21" i="14"/>
  <c r="D21" i="14"/>
  <c r="E21" i="14"/>
  <c r="F21" i="14"/>
  <c r="G21" i="14"/>
  <c r="H21" i="14"/>
  <c r="I21" i="14"/>
  <c r="J21" i="14"/>
  <c r="K21" i="14"/>
  <c r="L21" i="14"/>
  <c r="M21" i="14"/>
  <c r="N21" i="14"/>
  <c r="O21" i="14"/>
  <c r="P21" i="14"/>
  <c r="Q21" i="14"/>
  <c r="R21" i="14"/>
  <c r="S21" i="14"/>
  <c r="T21" i="14"/>
  <c r="U21" i="14"/>
  <c r="V21" i="14"/>
  <c r="W21" i="14"/>
  <c r="X21" i="14"/>
  <c r="B22" i="14"/>
  <c r="C22" i="14"/>
  <c r="D22" i="14"/>
  <c r="E22" i="14"/>
  <c r="F22" i="14"/>
  <c r="G22" i="14"/>
  <c r="H22" i="14"/>
  <c r="I22" i="14"/>
  <c r="J22" i="14"/>
  <c r="K22" i="14"/>
  <c r="L22" i="14"/>
  <c r="M22" i="14"/>
  <c r="N22" i="14"/>
  <c r="O22" i="14"/>
  <c r="P22" i="14"/>
  <c r="Q22" i="14"/>
  <c r="R22" i="14"/>
  <c r="S22" i="14"/>
  <c r="T22" i="14"/>
  <c r="U22" i="14"/>
  <c r="V22" i="14"/>
  <c r="W22" i="14"/>
  <c r="X22" i="14"/>
  <c r="B23" i="14"/>
  <c r="C23" i="14"/>
  <c r="D23" i="14"/>
  <c r="E23" i="14"/>
  <c r="F23" i="14"/>
  <c r="G23" i="14"/>
  <c r="H23" i="14"/>
  <c r="I23" i="14"/>
  <c r="J23" i="14"/>
  <c r="K23" i="14"/>
  <c r="L23" i="14"/>
  <c r="M23" i="14"/>
  <c r="N23" i="14"/>
  <c r="O23" i="14"/>
  <c r="P23" i="14"/>
  <c r="Q23" i="14"/>
  <c r="R23" i="14"/>
  <c r="S23" i="14"/>
  <c r="T23" i="14"/>
  <c r="U23" i="14"/>
  <c r="V23" i="14"/>
  <c r="W23" i="14"/>
  <c r="X23" i="14"/>
  <c r="B24" i="14"/>
  <c r="C24" i="14"/>
  <c r="D24" i="14"/>
  <c r="E24" i="14"/>
  <c r="F24" i="14"/>
  <c r="G24" i="14"/>
  <c r="H24" i="14"/>
  <c r="I24" i="14"/>
  <c r="J24" i="14"/>
  <c r="K24" i="14"/>
  <c r="L24" i="14"/>
  <c r="M24" i="14"/>
  <c r="N24" i="14"/>
  <c r="O24" i="14"/>
  <c r="P24" i="14"/>
  <c r="Q24" i="14"/>
  <c r="R24" i="14"/>
  <c r="S24" i="14"/>
  <c r="T24" i="14"/>
  <c r="U24" i="14"/>
  <c r="V24" i="14"/>
  <c r="W24" i="14"/>
  <c r="X24" i="14"/>
  <c r="B25" i="14"/>
  <c r="C25" i="14"/>
  <c r="D25" i="14"/>
  <c r="E25" i="14"/>
  <c r="F25" i="14"/>
  <c r="G25" i="14"/>
  <c r="H25" i="14"/>
  <c r="I25" i="14"/>
  <c r="J25" i="14"/>
  <c r="K25" i="14"/>
  <c r="L25" i="14"/>
  <c r="M25" i="14"/>
  <c r="N25" i="14"/>
  <c r="O25" i="14"/>
  <c r="P25" i="14"/>
  <c r="Q25" i="14"/>
  <c r="R25" i="14"/>
  <c r="S25" i="14"/>
  <c r="T25" i="14"/>
  <c r="U25" i="14"/>
  <c r="V25" i="14"/>
  <c r="W25" i="14"/>
  <c r="X25" i="14"/>
  <c r="B26" i="14"/>
  <c r="C26" i="14"/>
  <c r="D26" i="14"/>
  <c r="E26" i="14"/>
  <c r="F26" i="14"/>
  <c r="G26" i="14"/>
  <c r="H26" i="14"/>
  <c r="I26" i="14"/>
  <c r="J26" i="14"/>
  <c r="K26" i="14"/>
  <c r="L26" i="14"/>
  <c r="M26" i="14"/>
  <c r="N26" i="14"/>
  <c r="O26" i="14"/>
  <c r="P26" i="14"/>
  <c r="Q26" i="14"/>
  <c r="R26" i="14"/>
  <c r="S26" i="14"/>
  <c r="T26" i="14"/>
  <c r="U26" i="14"/>
  <c r="V26" i="14"/>
  <c r="W26" i="14"/>
  <c r="X26" i="14"/>
  <c r="B27" i="14"/>
  <c r="C27" i="14"/>
  <c r="D27" i="14"/>
  <c r="E27" i="14"/>
  <c r="F27" i="14"/>
  <c r="G27" i="14"/>
  <c r="H27" i="14"/>
  <c r="I27" i="14"/>
  <c r="J27" i="14"/>
  <c r="K27" i="14"/>
  <c r="L27" i="14"/>
  <c r="M27" i="14"/>
  <c r="N27" i="14"/>
  <c r="O27" i="14"/>
  <c r="P27" i="14"/>
  <c r="Q27" i="14"/>
  <c r="R27" i="14"/>
  <c r="S27" i="14"/>
  <c r="T27" i="14"/>
  <c r="U27" i="14"/>
  <c r="V27" i="14"/>
  <c r="W27" i="14"/>
  <c r="X27" i="14"/>
  <c r="B28" i="14"/>
  <c r="C28" i="14"/>
  <c r="D28" i="14"/>
  <c r="E28" i="14"/>
  <c r="F28" i="14"/>
  <c r="G28" i="14"/>
  <c r="H28" i="14"/>
  <c r="I28" i="14"/>
  <c r="J28" i="14"/>
  <c r="K28" i="14"/>
  <c r="L28" i="14"/>
  <c r="M28" i="14"/>
  <c r="N28" i="14"/>
  <c r="O28" i="14"/>
  <c r="P28" i="14"/>
  <c r="Q28" i="14"/>
  <c r="R28" i="14"/>
  <c r="S28" i="14"/>
  <c r="T28" i="14"/>
  <c r="U28" i="14"/>
  <c r="V28" i="14"/>
  <c r="W28" i="14"/>
  <c r="X28" i="14"/>
  <c r="B29" i="14"/>
  <c r="C29" i="14"/>
  <c r="D29" i="14"/>
  <c r="E29" i="14"/>
  <c r="F29" i="14"/>
  <c r="G29" i="14"/>
  <c r="H29" i="14"/>
  <c r="I29" i="14"/>
  <c r="J29" i="14"/>
  <c r="K29" i="14"/>
  <c r="L29" i="14"/>
  <c r="M29" i="14"/>
  <c r="N29" i="14"/>
  <c r="O29" i="14"/>
  <c r="P29" i="14"/>
  <c r="Q29" i="14"/>
  <c r="R29" i="14"/>
  <c r="S29" i="14"/>
  <c r="T29" i="14"/>
  <c r="U29" i="14"/>
  <c r="V29" i="14"/>
  <c r="W29" i="14"/>
  <c r="X29" i="14"/>
  <c r="B30" i="14"/>
  <c r="C30" i="14"/>
  <c r="D30" i="14"/>
  <c r="E30" i="14"/>
  <c r="F30" i="14"/>
  <c r="G30" i="14"/>
  <c r="H30" i="14"/>
  <c r="I30" i="14"/>
  <c r="J30" i="14"/>
  <c r="K30" i="14"/>
  <c r="L30" i="14"/>
  <c r="M30" i="14"/>
  <c r="N30" i="14"/>
  <c r="O30" i="14"/>
  <c r="P30" i="14"/>
  <c r="Q30" i="14"/>
  <c r="R30" i="14"/>
  <c r="S30" i="14"/>
  <c r="T30" i="14"/>
  <c r="U30" i="14"/>
  <c r="V30" i="14"/>
  <c r="W30" i="14"/>
  <c r="X30" i="14"/>
  <c r="B31" i="14"/>
  <c r="C31" i="14"/>
  <c r="D31" i="14"/>
  <c r="E31" i="14"/>
  <c r="F31" i="14"/>
  <c r="G31" i="14"/>
  <c r="H31" i="14"/>
  <c r="I31" i="14"/>
  <c r="J31" i="14"/>
  <c r="K31" i="14"/>
  <c r="L31" i="14"/>
  <c r="M31" i="14"/>
  <c r="N31" i="14"/>
  <c r="O31" i="14"/>
  <c r="P31" i="14"/>
  <c r="Q31" i="14"/>
  <c r="R31" i="14"/>
  <c r="S31" i="14"/>
  <c r="T31" i="14"/>
  <c r="U31" i="14"/>
  <c r="V31" i="14"/>
  <c r="W31" i="14"/>
  <c r="X31" i="14"/>
  <c r="B32" i="14"/>
  <c r="C32" i="14"/>
  <c r="D32" i="14"/>
  <c r="E32" i="14"/>
  <c r="F32" i="14"/>
  <c r="G32" i="14"/>
  <c r="H32" i="14"/>
  <c r="I32" i="14"/>
  <c r="J32" i="14"/>
  <c r="K32" i="14"/>
  <c r="L32" i="14"/>
  <c r="M32" i="14"/>
  <c r="N32" i="14"/>
  <c r="O32" i="14"/>
  <c r="P32" i="14"/>
  <c r="Q32" i="14"/>
  <c r="R32" i="14"/>
  <c r="S32" i="14"/>
  <c r="T32" i="14"/>
  <c r="U32" i="14"/>
  <c r="V32" i="14"/>
  <c r="W32" i="14"/>
  <c r="X32" i="14"/>
  <c r="B33" i="14"/>
  <c r="C33" i="14"/>
  <c r="D33" i="14"/>
  <c r="E33" i="14"/>
  <c r="F33" i="14"/>
  <c r="G33" i="14"/>
  <c r="H33" i="14"/>
  <c r="I33" i="14"/>
  <c r="J33" i="14"/>
  <c r="K33" i="14"/>
  <c r="L33" i="14"/>
  <c r="M33" i="14"/>
  <c r="N33" i="14"/>
  <c r="O33" i="14"/>
  <c r="P33" i="14"/>
  <c r="Q33" i="14"/>
  <c r="R33" i="14"/>
  <c r="S33" i="14"/>
  <c r="T33" i="14"/>
  <c r="U33" i="14"/>
  <c r="V33" i="14"/>
  <c r="W33" i="14"/>
  <c r="X33" i="14"/>
  <c r="B34" i="14"/>
  <c r="C34" i="14"/>
  <c r="D34" i="14"/>
  <c r="E34" i="14"/>
  <c r="F34" i="14"/>
  <c r="G34" i="14"/>
  <c r="H34" i="14"/>
  <c r="I34" i="14"/>
  <c r="J34" i="14"/>
  <c r="K34" i="14"/>
  <c r="L34" i="14"/>
  <c r="M34" i="14"/>
  <c r="N34" i="14"/>
  <c r="O34" i="14"/>
  <c r="P34" i="14"/>
  <c r="Q34" i="14"/>
  <c r="R34" i="14"/>
  <c r="S34" i="14"/>
  <c r="T34" i="14"/>
  <c r="U34" i="14"/>
  <c r="V34" i="14"/>
  <c r="W34" i="14"/>
  <c r="X34" i="14"/>
  <c r="B35" i="14"/>
  <c r="C35" i="14"/>
  <c r="D35" i="14"/>
  <c r="E35" i="14"/>
  <c r="F35" i="14"/>
  <c r="G35" i="14"/>
  <c r="H35" i="14"/>
  <c r="I35" i="14"/>
  <c r="J35" i="14"/>
  <c r="K35" i="14"/>
  <c r="L35" i="14"/>
  <c r="M35" i="14"/>
  <c r="N35" i="14"/>
  <c r="O35" i="14"/>
  <c r="P35" i="14"/>
  <c r="Q35" i="14"/>
  <c r="R35" i="14"/>
  <c r="S35" i="14"/>
  <c r="T35" i="14"/>
  <c r="U35" i="14"/>
  <c r="V35" i="14"/>
  <c r="W35" i="14"/>
  <c r="X35" i="14"/>
  <c r="B36" i="14"/>
  <c r="C36" i="14"/>
  <c r="D36" i="14"/>
  <c r="E36" i="14"/>
  <c r="F36" i="14"/>
  <c r="G36" i="14"/>
  <c r="H36" i="14"/>
  <c r="I36" i="14"/>
  <c r="J36" i="14"/>
  <c r="K36" i="14"/>
  <c r="L36" i="14"/>
  <c r="M36" i="14"/>
  <c r="N36" i="14"/>
  <c r="O36" i="14"/>
  <c r="P36" i="14"/>
  <c r="Q36" i="14"/>
  <c r="R36" i="14"/>
  <c r="S36" i="14"/>
  <c r="T36" i="14"/>
  <c r="U36" i="14"/>
  <c r="V36" i="14"/>
  <c r="W36" i="14"/>
  <c r="X36" i="14"/>
  <c r="B37" i="14"/>
  <c r="C37" i="14"/>
  <c r="D37" i="14"/>
  <c r="E37" i="14"/>
  <c r="F37" i="14"/>
  <c r="G37" i="14"/>
  <c r="H37" i="14"/>
  <c r="I37" i="14"/>
  <c r="J37" i="14"/>
  <c r="K37" i="14"/>
  <c r="L37" i="14"/>
  <c r="M37" i="14"/>
  <c r="N37" i="14"/>
  <c r="O37" i="14"/>
  <c r="P37" i="14"/>
  <c r="Q37" i="14"/>
  <c r="R37" i="14"/>
  <c r="S37" i="14"/>
  <c r="T37" i="14"/>
  <c r="U37" i="14"/>
  <c r="V37" i="14"/>
  <c r="W37" i="14"/>
  <c r="X37" i="14"/>
  <c r="B38" i="14"/>
  <c r="C38" i="14"/>
  <c r="D38" i="14"/>
  <c r="E38" i="14"/>
  <c r="F38" i="14"/>
  <c r="G38" i="14"/>
  <c r="H38" i="14"/>
  <c r="I38" i="14"/>
  <c r="J38" i="14"/>
  <c r="K38" i="14"/>
  <c r="L38" i="14"/>
  <c r="M38" i="14"/>
  <c r="N38" i="14"/>
  <c r="O38" i="14"/>
  <c r="P38" i="14"/>
  <c r="Q38" i="14"/>
  <c r="R38" i="14"/>
  <c r="S38" i="14"/>
  <c r="T38" i="14"/>
  <c r="U38" i="14"/>
  <c r="V38" i="14"/>
  <c r="W38" i="14"/>
  <c r="X38" i="14"/>
  <c r="B39" i="14"/>
  <c r="C39" i="14"/>
  <c r="D39" i="14"/>
  <c r="E39" i="14"/>
  <c r="F39" i="14"/>
  <c r="G39" i="14"/>
  <c r="H39" i="14"/>
  <c r="I39" i="14"/>
  <c r="J39" i="14"/>
  <c r="K39" i="14"/>
  <c r="L39" i="14"/>
  <c r="M39" i="14"/>
  <c r="N39" i="14"/>
  <c r="O39" i="14"/>
  <c r="P39" i="14"/>
  <c r="Q39" i="14"/>
  <c r="R39" i="14"/>
  <c r="S39" i="14"/>
  <c r="T39" i="14"/>
  <c r="U39" i="14"/>
  <c r="V39" i="14"/>
  <c r="W39" i="14"/>
  <c r="X39" i="14"/>
  <c r="B40" i="14"/>
  <c r="C40" i="14"/>
  <c r="D40" i="14"/>
  <c r="E40" i="14"/>
  <c r="F40" i="14"/>
  <c r="G40" i="14"/>
  <c r="H40" i="14"/>
  <c r="I40" i="14"/>
  <c r="J40" i="14"/>
  <c r="K40" i="14"/>
  <c r="L40" i="14"/>
  <c r="M40" i="14"/>
  <c r="N40" i="14"/>
  <c r="O40" i="14"/>
  <c r="P40" i="14"/>
  <c r="Q40" i="14"/>
  <c r="R40" i="14"/>
  <c r="S40" i="14"/>
  <c r="T40" i="14"/>
  <c r="U40" i="14"/>
  <c r="V40" i="14"/>
  <c r="W40" i="14"/>
  <c r="X40" i="14"/>
  <c r="B41" i="14"/>
  <c r="C41" i="14"/>
  <c r="D41" i="14"/>
  <c r="E41" i="14"/>
  <c r="F41" i="14"/>
  <c r="G41" i="14"/>
  <c r="H41" i="14"/>
  <c r="I41" i="14"/>
  <c r="J41" i="14"/>
  <c r="K41" i="14"/>
  <c r="L41" i="14"/>
  <c r="M41" i="14"/>
  <c r="N41" i="14"/>
  <c r="O41" i="14"/>
  <c r="P41" i="14"/>
  <c r="Q41" i="14"/>
  <c r="R41" i="14"/>
  <c r="S41" i="14"/>
  <c r="T41" i="14"/>
  <c r="U41" i="14"/>
  <c r="V41" i="14"/>
  <c r="W41" i="14"/>
  <c r="X41" i="14"/>
  <c r="B42" i="14"/>
  <c r="C42" i="14"/>
  <c r="D42" i="14"/>
  <c r="E42" i="14"/>
  <c r="F42" i="14"/>
  <c r="G42" i="14"/>
  <c r="H42" i="14"/>
  <c r="I42" i="14"/>
  <c r="J42" i="14"/>
  <c r="K42" i="14"/>
  <c r="L42" i="14"/>
  <c r="M42" i="14"/>
  <c r="N42" i="14"/>
  <c r="O42" i="14"/>
  <c r="P42" i="14"/>
  <c r="Q42" i="14"/>
  <c r="R42" i="14"/>
  <c r="S42" i="14"/>
  <c r="T42" i="14"/>
  <c r="U42" i="14"/>
  <c r="V42" i="14"/>
  <c r="W42" i="14"/>
  <c r="X42" i="14"/>
  <c r="B43" i="14"/>
  <c r="C43" i="14"/>
  <c r="D43" i="14"/>
  <c r="E43" i="14"/>
  <c r="F43" i="14"/>
  <c r="G43" i="14"/>
  <c r="H43" i="14"/>
  <c r="I43" i="14"/>
  <c r="J43" i="14"/>
  <c r="K43" i="14"/>
  <c r="L43" i="14"/>
  <c r="M43" i="14"/>
  <c r="N43" i="14"/>
  <c r="O43" i="14"/>
  <c r="P43" i="14"/>
  <c r="Q43" i="14"/>
  <c r="R43" i="14"/>
  <c r="S43" i="14"/>
  <c r="T43" i="14"/>
  <c r="U43" i="14"/>
  <c r="V43" i="14"/>
  <c r="W43" i="14"/>
  <c r="X43" i="14"/>
  <c r="B44" i="14"/>
  <c r="C44" i="14"/>
  <c r="D44" i="14"/>
  <c r="E44" i="14"/>
  <c r="F44" i="14"/>
  <c r="G44" i="14"/>
  <c r="H44" i="14"/>
  <c r="I44" i="14"/>
  <c r="J44" i="14"/>
  <c r="K44" i="14"/>
  <c r="L44" i="14"/>
  <c r="M44" i="14"/>
  <c r="N44" i="14"/>
  <c r="O44" i="14"/>
  <c r="P44" i="14"/>
  <c r="Q44" i="14"/>
  <c r="R44" i="14"/>
  <c r="S44" i="14"/>
  <c r="T44" i="14"/>
  <c r="U44" i="14"/>
  <c r="V44" i="14"/>
  <c r="W44" i="14"/>
  <c r="X44" i="14"/>
  <c r="B45" i="14"/>
  <c r="C45" i="14"/>
  <c r="D45" i="14"/>
  <c r="E45" i="14"/>
  <c r="F45" i="14"/>
  <c r="G45" i="14"/>
  <c r="H45" i="14"/>
  <c r="I45" i="14"/>
  <c r="J45" i="14"/>
  <c r="K45" i="14"/>
  <c r="L45" i="14"/>
  <c r="M45" i="14"/>
  <c r="N45" i="14"/>
  <c r="O45" i="14"/>
  <c r="P45" i="14"/>
  <c r="Q45" i="14"/>
  <c r="R45" i="14"/>
  <c r="S45" i="14"/>
  <c r="T45" i="14"/>
  <c r="U45" i="14"/>
  <c r="V45" i="14"/>
  <c r="W45" i="14"/>
  <c r="X45" i="14"/>
  <c r="B46" i="14"/>
  <c r="C46" i="14"/>
  <c r="D46" i="14"/>
  <c r="E46" i="14"/>
  <c r="F46" i="14"/>
  <c r="G46" i="14"/>
  <c r="H46" i="14"/>
  <c r="I46" i="14"/>
  <c r="J46" i="14"/>
  <c r="K46" i="14"/>
  <c r="L46" i="14"/>
  <c r="M46" i="14"/>
  <c r="N46" i="14"/>
  <c r="O46" i="14"/>
  <c r="P46" i="14"/>
  <c r="Q46" i="14"/>
  <c r="R46" i="14"/>
  <c r="S46" i="14"/>
  <c r="T46" i="14"/>
  <c r="U46" i="14"/>
  <c r="V46" i="14"/>
  <c r="W46" i="14"/>
  <c r="X46" i="14"/>
  <c r="B47" i="14"/>
  <c r="C47" i="14"/>
  <c r="D47" i="14"/>
  <c r="E47" i="14"/>
  <c r="F47" i="14"/>
  <c r="G47" i="14"/>
  <c r="H47" i="14"/>
  <c r="I47" i="14"/>
  <c r="J47" i="14"/>
  <c r="K47" i="14"/>
  <c r="L47" i="14"/>
  <c r="M47" i="14"/>
  <c r="N47" i="14"/>
  <c r="O47" i="14"/>
  <c r="P47" i="14"/>
  <c r="Q47" i="14"/>
  <c r="R47" i="14"/>
  <c r="S47" i="14"/>
  <c r="T47" i="14"/>
  <c r="U47" i="14"/>
  <c r="V47" i="14"/>
  <c r="W47" i="14"/>
  <c r="X47" i="14"/>
  <c r="B48" i="14"/>
  <c r="C48" i="14"/>
  <c r="D48" i="14"/>
  <c r="E48" i="14"/>
  <c r="F48" i="14"/>
  <c r="G48" i="14"/>
  <c r="H48" i="14"/>
  <c r="I48" i="14"/>
  <c r="J48" i="14"/>
  <c r="K48" i="14"/>
  <c r="L48" i="14"/>
  <c r="M48" i="14"/>
  <c r="N48" i="14"/>
  <c r="O48" i="14"/>
  <c r="P48" i="14"/>
  <c r="Q48" i="14"/>
  <c r="R48" i="14"/>
  <c r="S48" i="14"/>
  <c r="T48" i="14"/>
  <c r="U48" i="14"/>
  <c r="V48" i="14"/>
  <c r="W48" i="14"/>
  <c r="X48" i="14"/>
  <c r="B49" i="14"/>
  <c r="C49" i="14"/>
  <c r="D49" i="14"/>
  <c r="E49" i="14"/>
  <c r="F49" i="14"/>
  <c r="G49" i="14"/>
  <c r="H49" i="14"/>
  <c r="I49" i="14"/>
  <c r="J49" i="14"/>
  <c r="K49" i="14"/>
  <c r="L49" i="14"/>
  <c r="M49" i="14"/>
  <c r="N49" i="14"/>
  <c r="O49" i="14"/>
  <c r="P49" i="14"/>
  <c r="Q49" i="14"/>
  <c r="R49" i="14"/>
  <c r="S49" i="14"/>
  <c r="T49" i="14"/>
  <c r="U49" i="14"/>
  <c r="V49" i="14"/>
  <c r="W49" i="14"/>
  <c r="X49" i="14"/>
  <c r="B50" i="14"/>
  <c r="C50" i="14"/>
  <c r="D50" i="14"/>
  <c r="E50" i="14"/>
  <c r="F50" i="14"/>
  <c r="G50" i="14"/>
  <c r="H50" i="14"/>
  <c r="I50" i="14"/>
  <c r="J50" i="14"/>
  <c r="K50" i="14"/>
  <c r="L50" i="14"/>
  <c r="M50" i="14"/>
  <c r="N50" i="14"/>
  <c r="O50" i="14"/>
  <c r="P50" i="14"/>
  <c r="Q50" i="14"/>
  <c r="R50" i="14"/>
  <c r="S50" i="14"/>
  <c r="T50" i="14"/>
  <c r="U50" i="14"/>
  <c r="V50" i="14"/>
  <c r="W50" i="14"/>
  <c r="X50" i="14"/>
  <c r="B51" i="14"/>
  <c r="C51" i="14"/>
  <c r="D51" i="14"/>
  <c r="E51" i="14"/>
  <c r="F51" i="14"/>
  <c r="G51" i="14"/>
  <c r="H51" i="14"/>
  <c r="I51" i="14"/>
  <c r="J51" i="14"/>
  <c r="K51" i="14"/>
  <c r="L51" i="14"/>
  <c r="M51" i="14"/>
  <c r="N51" i="14"/>
  <c r="O51" i="14"/>
  <c r="P51" i="14"/>
  <c r="Q51" i="14"/>
  <c r="R51" i="14"/>
  <c r="S51" i="14"/>
  <c r="T51" i="14"/>
  <c r="U51" i="14"/>
  <c r="V51" i="14"/>
  <c r="W51" i="14"/>
  <c r="X51" i="14"/>
  <c r="B52" i="14"/>
  <c r="C52" i="14"/>
  <c r="D52" i="14"/>
  <c r="E52" i="14"/>
  <c r="F52" i="14"/>
  <c r="G52" i="14"/>
  <c r="H52" i="14"/>
  <c r="I52" i="14"/>
  <c r="J52" i="14"/>
  <c r="K52" i="14"/>
  <c r="L52" i="14"/>
  <c r="M52" i="14"/>
  <c r="N52" i="14"/>
  <c r="O52" i="14"/>
  <c r="P52" i="14"/>
  <c r="Q52" i="14"/>
  <c r="R52" i="14"/>
  <c r="S52" i="14"/>
  <c r="T52" i="14"/>
  <c r="U52" i="14"/>
  <c r="V52" i="14"/>
  <c r="W52" i="14"/>
  <c r="X52" i="14"/>
  <c r="B53" i="14"/>
  <c r="C53" i="14"/>
  <c r="D53" i="14"/>
  <c r="E53" i="14"/>
  <c r="F53" i="14"/>
  <c r="G53" i="14"/>
  <c r="H53" i="14"/>
  <c r="I53" i="14"/>
  <c r="J53" i="14"/>
  <c r="K53" i="14"/>
  <c r="L53" i="14"/>
  <c r="M53" i="14"/>
  <c r="N53" i="14"/>
  <c r="O53" i="14"/>
  <c r="P53" i="14"/>
  <c r="Q53" i="14"/>
  <c r="R53" i="14"/>
  <c r="S53" i="14"/>
  <c r="T53" i="14"/>
  <c r="U53" i="14"/>
  <c r="V53" i="14"/>
  <c r="W53" i="14"/>
  <c r="X53" i="14"/>
  <c r="B54" i="14"/>
  <c r="C54" i="14"/>
  <c r="D54" i="14"/>
  <c r="E54" i="14"/>
  <c r="F54" i="14"/>
  <c r="G54" i="14"/>
  <c r="H54" i="14"/>
  <c r="I54" i="14"/>
  <c r="J54" i="14"/>
  <c r="K54" i="14"/>
  <c r="L54" i="14"/>
  <c r="M54" i="14"/>
  <c r="N54" i="14"/>
  <c r="O54" i="14"/>
  <c r="P54" i="14"/>
  <c r="Q54" i="14"/>
  <c r="R54" i="14"/>
  <c r="S54" i="14"/>
  <c r="T54" i="14"/>
  <c r="U54" i="14"/>
  <c r="V54" i="14"/>
  <c r="W54" i="14"/>
  <c r="X54" i="14"/>
  <c r="B55" i="14"/>
  <c r="C55" i="14"/>
  <c r="D55" i="14"/>
  <c r="E55" i="14"/>
  <c r="F55" i="14"/>
  <c r="G55" i="14"/>
  <c r="H55" i="14"/>
  <c r="I55" i="14"/>
  <c r="J55" i="14"/>
  <c r="K55" i="14"/>
  <c r="L55" i="14"/>
  <c r="M55" i="14"/>
  <c r="N55" i="14"/>
  <c r="O55" i="14"/>
  <c r="P55" i="14"/>
  <c r="Q55" i="14"/>
  <c r="R55" i="14"/>
  <c r="S55" i="14"/>
  <c r="T55" i="14"/>
  <c r="U55" i="14"/>
  <c r="V55" i="14"/>
  <c r="W55" i="14"/>
  <c r="X55" i="14"/>
  <c r="B56" i="14"/>
  <c r="C56" i="14"/>
  <c r="D56" i="14"/>
  <c r="E56" i="14"/>
  <c r="F56" i="14"/>
  <c r="G56" i="14"/>
  <c r="H56" i="14"/>
  <c r="I56" i="14"/>
  <c r="J56" i="14"/>
  <c r="K56" i="14"/>
  <c r="L56" i="14"/>
  <c r="M56" i="14"/>
  <c r="N56" i="14"/>
  <c r="O56" i="14"/>
  <c r="P56" i="14"/>
  <c r="Q56" i="14"/>
  <c r="R56" i="14"/>
  <c r="S56" i="14"/>
  <c r="T56" i="14"/>
  <c r="U56" i="14"/>
  <c r="V56" i="14"/>
  <c r="W56" i="14"/>
  <c r="X56" i="14"/>
  <c r="B57" i="14"/>
  <c r="C57" i="14"/>
  <c r="D57" i="14"/>
  <c r="E57" i="14"/>
  <c r="F57" i="14"/>
  <c r="G57" i="14"/>
  <c r="H57" i="14"/>
  <c r="I57" i="14"/>
  <c r="J57" i="14"/>
  <c r="K57" i="14"/>
  <c r="L57" i="14"/>
  <c r="M57" i="14"/>
  <c r="N57" i="14"/>
  <c r="O57" i="14"/>
  <c r="P57" i="14"/>
  <c r="Q57" i="14"/>
  <c r="R57" i="14"/>
  <c r="S57" i="14"/>
  <c r="T57" i="14"/>
  <c r="U57" i="14"/>
  <c r="V57" i="14"/>
  <c r="W57" i="14"/>
  <c r="X57" i="14"/>
  <c r="B58" i="14"/>
  <c r="C58" i="14"/>
  <c r="D58" i="14"/>
  <c r="E58" i="14"/>
  <c r="F58" i="14"/>
  <c r="G58" i="14"/>
  <c r="H58" i="14"/>
  <c r="I58" i="14"/>
  <c r="J58" i="14"/>
  <c r="K58" i="14"/>
  <c r="L58" i="14"/>
  <c r="M58" i="14"/>
  <c r="N58" i="14"/>
  <c r="O58" i="14"/>
  <c r="P58" i="14"/>
  <c r="Q58" i="14"/>
  <c r="R58" i="14"/>
  <c r="S58" i="14"/>
  <c r="T58" i="14"/>
  <c r="U58" i="14"/>
  <c r="V58" i="14"/>
  <c r="W58" i="14"/>
  <c r="X58" i="14"/>
  <c r="B59" i="14"/>
  <c r="C59" i="14"/>
  <c r="D59" i="14"/>
  <c r="E59" i="14"/>
  <c r="F59" i="14"/>
  <c r="G59" i="14"/>
  <c r="H59" i="14"/>
  <c r="I59" i="14"/>
  <c r="J59" i="14"/>
  <c r="K59" i="14"/>
  <c r="L59" i="14"/>
  <c r="M59" i="14"/>
  <c r="N59" i="14"/>
  <c r="O59" i="14"/>
  <c r="P59" i="14"/>
  <c r="Q59" i="14"/>
  <c r="R59" i="14"/>
  <c r="S59" i="14"/>
  <c r="T59" i="14"/>
  <c r="U59" i="14"/>
  <c r="V59" i="14"/>
  <c r="W59" i="14"/>
  <c r="X59" i="14"/>
  <c r="B60" i="14"/>
  <c r="C60" i="14"/>
  <c r="D60" i="14"/>
  <c r="E60" i="14"/>
  <c r="F60" i="14"/>
  <c r="G60" i="14"/>
  <c r="H60" i="14"/>
  <c r="I60" i="14"/>
  <c r="J60" i="14"/>
  <c r="K60" i="14"/>
  <c r="L60" i="14"/>
  <c r="M60" i="14"/>
  <c r="N60" i="14"/>
  <c r="O60" i="14"/>
  <c r="P60" i="14"/>
  <c r="Q60" i="14"/>
  <c r="R60" i="14"/>
  <c r="S60" i="14"/>
  <c r="T60" i="14"/>
  <c r="U60" i="14"/>
  <c r="V60" i="14"/>
  <c r="W60" i="14"/>
  <c r="X60" i="14"/>
  <c r="B61" i="14"/>
  <c r="C61" i="14"/>
  <c r="D61" i="14"/>
  <c r="E61" i="14"/>
  <c r="F61" i="14"/>
  <c r="G61" i="14"/>
  <c r="H61" i="14"/>
  <c r="I61" i="14"/>
  <c r="J61" i="14"/>
  <c r="K61" i="14"/>
  <c r="L61" i="14"/>
  <c r="M61" i="14"/>
  <c r="N61" i="14"/>
  <c r="O61" i="14"/>
  <c r="P61" i="14"/>
  <c r="Q61" i="14"/>
  <c r="R61" i="14"/>
  <c r="S61" i="14"/>
  <c r="T61" i="14"/>
  <c r="U61" i="14"/>
  <c r="V61" i="14"/>
  <c r="W61" i="14"/>
  <c r="X61" i="14"/>
  <c r="B62" i="14"/>
  <c r="C62" i="14"/>
  <c r="D62" i="14"/>
  <c r="E62" i="14"/>
  <c r="F62" i="14"/>
  <c r="G62" i="14"/>
  <c r="H62" i="14"/>
  <c r="I62" i="14"/>
  <c r="J62" i="14"/>
  <c r="K62" i="14"/>
  <c r="L62" i="14"/>
  <c r="M62" i="14"/>
  <c r="N62" i="14"/>
  <c r="O62" i="14"/>
  <c r="P62" i="14"/>
  <c r="Q62" i="14"/>
  <c r="R62" i="14"/>
  <c r="S62" i="14"/>
  <c r="T62" i="14"/>
  <c r="U62" i="14"/>
  <c r="V62" i="14"/>
  <c r="W62" i="14"/>
  <c r="X62" i="14"/>
  <c r="B63" i="14"/>
  <c r="C63" i="14"/>
  <c r="D63" i="14"/>
  <c r="E63" i="14"/>
  <c r="F63" i="14"/>
  <c r="G63" i="14"/>
  <c r="H63" i="14"/>
  <c r="I63" i="14"/>
  <c r="J63" i="14"/>
  <c r="K63" i="14"/>
  <c r="L63" i="14"/>
  <c r="M63" i="14"/>
  <c r="N63" i="14"/>
  <c r="O63" i="14"/>
  <c r="P63" i="14"/>
  <c r="Q63" i="14"/>
  <c r="R63" i="14"/>
  <c r="S63" i="14"/>
  <c r="T63" i="14"/>
  <c r="U63" i="14"/>
  <c r="V63" i="14"/>
  <c r="W63" i="14"/>
  <c r="X63" i="14"/>
  <c r="B64" i="14"/>
  <c r="C64" i="14"/>
  <c r="D64" i="14"/>
  <c r="E64" i="14"/>
  <c r="F64" i="14"/>
  <c r="G64" i="14"/>
  <c r="H64" i="14"/>
  <c r="I64" i="14"/>
  <c r="J64" i="14"/>
  <c r="K64" i="14"/>
  <c r="L64" i="14"/>
  <c r="M64" i="14"/>
  <c r="N64" i="14"/>
  <c r="O64" i="14"/>
  <c r="P64" i="14"/>
  <c r="Q64" i="14"/>
  <c r="R64" i="14"/>
  <c r="S64" i="14"/>
  <c r="T64" i="14"/>
  <c r="U64" i="14"/>
  <c r="V64" i="14"/>
  <c r="W64" i="14"/>
  <c r="X64" i="14"/>
  <c r="B65" i="14"/>
  <c r="C65" i="14"/>
  <c r="D65" i="14"/>
  <c r="E65" i="14"/>
  <c r="F65" i="14"/>
  <c r="G65" i="14"/>
  <c r="H65" i="14"/>
  <c r="I65" i="14"/>
  <c r="J65" i="14"/>
  <c r="K65" i="14"/>
  <c r="L65" i="14"/>
  <c r="M65" i="14"/>
  <c r="N65" i="14"/>
  <c r="O65" i="14"/>
  <c r="P65" i="14"/>
  <c r="Q65" i="14"/>
  <c r="R65" i="14"/>
  <c r="S65" i="14"/>
  <c r="T65" i="14"/>
  <c r="U65" i="14"/>
  <c r="V65" i="14"/>
  <c r="W65" i="14"/>
  <c r="X65" i="14"/>
  <c r="B66" i="14"/>
  <c r="C66" i="14"/>
  <c r="D66" i="14"/>
  <c r="E66" i="14"/>
  <c r="F66" i="14"/>
  <c r="G66" i="14"/>
  <c r="H66" i="14"/>
  <c r="I66" i="14"/>
  <c r="J66" i="14"/>
  <c r="K66" i="14"/>
  <c r="L66" i="14"/>
  <c r="M66" i="14"/>
  <c r="N66" i="14"/>
  <c r="O66" i="14"/>
  <c r="P66" i="14"/>
  <c r="Q66" i="14"/>
  <c r="R66" i="14"/>
  <c r="S66" i="14"/>
  <c r="T66" i="14"/>
  <c r="U66" i="14"/>
  <c r="V66" i="14"/>
  <c r="W66" i="14"/>
  <c r="X66" i="14"/>
  <c r="B67" i="14"/>
  <c r="C67" i="14"/>
  <c r="D67" i="14"/>
  <c r="E67" i="14"/>
  <c r="F67" i="14"/>
  <c r="G67" i="14"/>
  <c r="H67" i="14"/>
  <c r="I67" i="14"/>
  <c r="J67" i="14"/>
  <c r="K67" i="14"/>
  <c r="L67" i="14"/>
  <c r="M67" i="14"/>
  <c r="N67" i="14"/>
  <c r="O67" i="14"/>
  <c r="P67" i="14"/>
  <c r="Q67" i="14"/>
  <c r="R67" i="14"/>
  <c r="S67" i="14"/>
  <c r="T67" i="14"/>
  <c r="U67" i="14"/>
  <c r="V67" i="14"/>
  <c r="W67" i="14"/>
  <c r="X67" i="14"/>
  <c r="B68" i="14"/>
  <c r="C68" i="14"/>
  <c r="D68" i="14"/>
  <c r="E68" i="14"/>
  <c r="F68" i="14"/>
  <c r="G68" i="14"/>
  <c r="H68" i="14"/>
  <c r="I68" i="14"/>
  <c r="J68" i="14"/>
  <c r="K68" i="14"/>
  <c r="L68" i="14"/>
  <c r="M68" i="14"/>
  <c r="N68" i="14"/>
  <c r="O68" i="14"/>
  <c r="P68" i="14"/>
  <c r="Q68" i="14"/>
  <c r="R68" i="14"/>
  <c r="S68" i="14"/>
  <c r="T68" i="14"/>
  <c r="U68" i="14"/>
  <c r="V68" i="14"/>
  <c r="W68" i="14"/>
  <c r="X68" i="14"/>
  <c r="B69" i="14"/>
  <c r="C69" i="14"/>
  <c r="D69" i="14"/>
  <c r="E69" i="14"/>
  <c r="F69" i="14"/>
  <c r="G69" i="14"/>
  <c r="H69" i="14"/>
  <c r="I69" i="14"/>
  <c r="J69" i="14"/>
  <c r="K69" i="14"/>
  <c r="L69" i="14"/>
  <c r="M69" i="14"/>
  <c r="N69" i="14"/>
  <c r="O69" i="14"/>
  <c r="P69" i="14"/>
  <c r="Q69" i="14"/>
  <c r="R69" i="14"/>
  <c r="S69" i="14"/>
  <c r="T69" i="14"/>
  <c r="U69" i="14"/>
  <c r="V69" i="14"/>
  <c r="W69" i="14"/>
  <c r="X69" i="14"/>
  <c r="B70" i="14"/>
  <c r="C70" i="14"/>
  <c r="D70" i="14"/>
  <c r="E70" i="14"/>
  <c r="F70" i="14"/>
  <c r="G70" i="14"/>
  <c r="H70" i="14"/>
  <c r="I70" i="14"/>
  <c r="J70" i="14"/>
  <c r="K70" i="14"/>
  <c r="L70" i="14"/>
  <c r="M70" i="14"/>
  <c r="N70" i="14"/>
  <c r="O70" i="14"/>
  <c r="P70" i="14"/>
  <c r="Q70" i="14"/>
  <c r="R70" i="14"/>
  <c r="S70" i="14"/>
  <c r="T70" i="14"/>
  <c r="U70" i="14"/>
  <c r="V70" i="14"/>
  <c r="W70" i="14"/>
  <c r="X70" i="14"/>
  <c r="B71" i="14"/>
  <c r="C71" i="14"/>
  <c r="D71" i="14"/>
  <c r="E71" i="14"/>
  <c r="F71" i="14"/>
  <c r="G71" i="14"/>
  <c r="H71" i="14"/>
  <c r="I71" i="14"/>
  <c r="J71" i="14"/>
  <c r="K71" i="14"/>
  <c r="L71" i="14"/>
  <c r="M71" i="14"/>
  <c r="N71" i="14"/>
  <c r="O71" i="14"/>
  <c r="P71" i="14"/>
  <c r="Q71" i="14"/>
  <c r="R71" i="14"/>
  <c r="S71" i="14"/>
  <c r="T71" i="14"/>
  <c r="U71" i="14"/>
  <c r="V71" i="14"/>
  <c r="W71" i="14"/>
  <c r="X71" i="14"/>
  <c r="B72" i="14"/>
  <c r="C72" i="14"/>
  <c r="D72" i="14"/>
  <c r="E72" i="14"/>
  <c r="F72" i="14"/>
  <c r="G72" i="14"/>
  <c r="H72" i="14"/>
  <c r="I72" i="14"/>
  <c r="J72" i="14"/>
  <c r="K72" i="14"/>
  <c r="L72" i="14"/>
  <c r="M72" i="14"/>
  <c r="N72" i="14"/>
  <c r="O72" i="14"/>
  <c r="P72" i="14"/>
  <c r="Q72" i="14"/>
  <c r="R72" i="14"/>
  <c r="S72" i="14"/>
  <c r="T72" i="14"/>
  <c r="U72" i="14"/>
  <c r="V72" i="14"/>
  <c r="W72" i="14"/>
  <c r="X72" i="14"/>
  <c r="B73" i="14"/>
  <c r="C73" i="14"/>
  <c r="D73" i="14"/>
  <c r="E73" i="14"/>
  <c r="F73" i="14"/>
  <c r="G73" i="14"/>
  <c r="H73" i="14"/>
  <c r="I73" i="14"/>
  <c r="J73" i="14"/>
  <c r="K73" i="14"/>
  <c r="L73" i="14"/>
  <c r="M73" i="14"/>
  <c r="N73" i="14"/>
  <c r="O73" i="14"/>
  <c r="P73" i="14"/>
  <c r="Q73" i="14"/>
  <c r="R73" i="14"/>
  <c r="S73" i="14"/>
  <c r="T73" i="14"/>
  <c r="U73" i="14"/>
  <c r="V73" i="14"/>
  <c r="W73" i="14"/>
  <c r="X73" i="14"/>
  <c r="B74" i="14"/>
  <c r="C74" i="14"/>
  <c r="D74" i="14"/>
  <c r="E74" i="14"/>
  <c r="F74" i="14"/>
  <c r="G74" i="14"/>
  <c r="H74" i="14"/>
  <c r="I74" i="14"/>
  <c r="J74" i="14"/>
  <c r="K74" i="14"/>
  <c r="L74" i="14"/>
  <c r="M74" i="14"/>
  <c r="N74" i="14"/>
  <c r="O74" i="14"/>
  <c r="P74" i="14"/>
  <c r="Q74" i="14"/>
  <c r="R74" i="14"/>
  <c r="S74" i="14"/>
  <c r="T74" i="14"/>
  <c r="U74" i="14"/>
  <c r="V74" i="14"/>
  <c r="W74" i="14"/>
  <c r="X74" i="14"/>
  <c r="B75" i="14"/>
  <c r="C75" i="14"/>
  <c r="D75" i="14"/>
  <c r="E75" i="14"/>
  <c r="F75" i="14"/>
  <c r="G75" i="14"/>
  <c r="H75" i="14"/>
  <c r="I75" i="14"/>
  <c r="J75" i="14"/>
  <c r="K75" i="14"/>
  <c r="L75" i="14"/>
  <c r="M75" i="14"/>
  <c r="N75" i="14"/>
  <c r="O75" i="14"/>
  <c r="P75" i="14"/>
  <c r="Q75" i="14"/>
  <c r="R75" i="14"/>
  <c r="S75" i="14"/>
  <c r="T75" i="14"/>
  <c r="U75" i="14"/>
  <c r="V75" i="14"/>
  <c r="W75" i="14"/>
  <c r="X75" i="14"/>
  <c r="B76" i="14"/>
  <c r="C76" i="14"/>
  <c r="D76" i="14"/>
  <c r="E76" i="14"/>
  <c r="F76" i="14"/>
  <c r="G76" i="14"/>
  <c r="H76" i="14"/>
  <c r="I76" i="14"/>
  <c r="J76" i="14"/>
  <c r="K76" i="14"/>
  <c r="L76" i="14"/>
  <c r="M76" i="14"/>
  <c r="N76" i="14"/>
  <c r="O76" i="14"/>
  <c r="P76" i="14"/>
  <c r="Q76" i="14"/>
  <c r="R76" i="14"/>
  <c r="S76" i="14"/>
  <c r="T76" i="14"/>
  <c r="U76" i="14"/>
  <c r="V76" i="14"/>
  <c r="W76" i="14"/>
  <c r="X76" i="14"/>
  <c r="B77" i="14"/>
  <c r="C77" i="14"/>
  <c r="D77" i="14"/>
  <c r="E77" i="14"/>
  <c r="F77" i="14"/>
  <c r="G77" i="14"/>
  <c r="H77" i="14"/>
  <c r="I77" i="14"/>
  <c r="J77" i="14"/>
  <c r="K77" i="14"/>
  <c r="L77" i="14"/>
  <c r="M77" i="14"/>
  <c r="N77" i="14"/>
  <c r="O77" i="14"/>
  <c r="P77" i="14"/>
  <c r="Q77" i="14"/>
  <c r="R77" i="14"/>
  <c r="S77" i="14"/>
  <c r="T77" i="14"/>
  <c r="U77" i="14"/>
  <c r="V77" i="14"/>
  <c r="W77" i="14"/>
  <c r="X77" i="14"/>
  <c r="B78" i="14"/>
  <c r="C78" i="14"/>
  <c r="D78" i="14"/>
  <c r="E78" i="14"/>
  <c r="F78" i="14"/>
  <c r="G78" i="14"/>
  <c r="H78" i="14"/>
  <c r="I78" i="14"/>
  <c r="J78" i="14"/>
  <c r="K78" i="14"/>
  <c r="L78" i="14"/>
  <c r="M78" i="14"/>
  <c r="N78" i="14"/>
  <c r="O78" i="14"/>
  <c r="P78" i="14"/>
  <c r="Q78" i="14"/>
  <c r="R78" i="14"/>
  <c r="S78" i="14"/>
  <c r="T78" i="14"/>
  <c r="U78" i="14"/>
  <c r="V78" i="14"/>
  <c r="W78" i="14"/>
  <c r="X78" i="14"/>
  <c r="B79" i="14"/>
  <c r="C79" i="14"/>
  <c r="D79" i="14"/>
  <c r="E79" i="14"/>
  <c r="F79" i="14"/>
  <c r="G79" i="14"/>
  <c r="H79" i="14"/>
  <c r="I79" i="14"/>
  <c r="J79" i="14"/>
  <c r="K79" i="14"/>
  <c r="L79" i="14"/>
  <c r="M79" i="14"/>
  <c r="N79" i="14"/>
  <c r="O79" i="14"/>
  <c r="P79" i="14"/>
  <c r="Q79" i="14"/>
  <c r="R79" i="14"/>
  <c r="S79" i="14"/>
  <c r="T79" i="14"/>
  <c r="U79" i="14"/>
  <c r="V79" i="14"/>
  <c r="W79" i="14"/>
  <c r="X79" i="14"/>
  <c r="B80" i="14"/>
  <c r="C80" i="14"/>
  <c r="D80" i="14"/>
  <c r="E80" i="14"/>
  <c r="F80" i="14"/>
  <c r="G80" i="14"/>
  <c r="H80" i="14"/>
  <c r="I80" i="14"/>
  <c r="J80" i="14"/>
  <c r="K80" i="14"/>
  <c r="L80" i="14"/>
  <c r="M80" i="14"/>
  <c r="N80" i="14"/>
  <c r="O80" i="14"/>
  <c r="P80" i="14"/>
  <c r="Q80" i="14"/>
  <c r="R80" i="14"/>
  <c r="S80" i="14"/>
  <c r="T80" i="14"/>
  <c r="U80" i="14"/>
  <c r="V80" i="14"/>
  <c r="W80" i="14"/>
  <c r="X80" i="14"/>
  <c r="B81" i="14"/>
  <c r="C81" i="14"/>
  <c r="D81" i="14"/>
  <c r="E81" i="14"/>
  <c r="F81" i="14"/>
  <c r="G81" i="14"/>
  <c r="H81" i="14"/>
  <c r="I81" i="14"/>
  <c r="J81" i="14"/>
  <c r="K81" i="14"/>
  <c r="L81" i="14"/>
  <c r="M81" i="14"/>
  <c r="N81" i="14"/>
  <c r="O81" i="14"/>
  <c r="P81" i="14"/>
  <c r="Q81" i="14"/>
  <c r="R81" i="14"/>
  <c r="S81" i="14"/>
  <c r="T81" i="14"/>
  <c r="U81" i="14"/>
  <c r="V81" i="14"/>
  <c r="W81" i="14"/>
  <c r="X81" i="14"/>
  <c r="B82" i="14"/>
  <c r="C82" i="14"/>
  <c r="D82" i="14"/>
  <c r="E82" i="14"/>
  <c r="F82" i="14"/>
  <c r="G82" i="14"/>
  <c r="H82" i="14"/>
  <c r="I82" i="14"/>
  <c r="J82" i="14"/>
  <c r="K82" i="14"/>
  <c r="L82" i="14"/>
  <c r="M82" i="14"/>
  <c r="N82" i="14"/>
  <c r="O82" i="14"/>
  <c r="P82" i="14"/>
  <c r="Q82" i="14"/>
  <c r="R82" i="14"/>
  <c r="S82" i="14"/>
  <c r="T82" i="14"/>
  <c r="U82" i="14"/>
  <c r="V82" i="14"/>
  <c r="W82" i="14"/>
  <c r="X82" i="14"/>
  <c r="B83" i="14"/>
  <c r="C83" i="14"/>
  <c r="D83" i="14"/>
  <c r="E83" i="14"/>
  <c r="F83" i="14"/>
  <c r="G83" i="14"/>
  <c r="H83" i="14"/>
  <c r="I83" i="14"/>
  <c r="J83" i="14"/>
  <c r="K83" i="14"/>
  <c r="L83" i="14"/>
  <c r="M83" i="14"/>
  <c r="N83" i="14"/>
  <c r="O83" i="14"/>
  <c r="P83" i="14"/>
  <c r="Q83" i="14"/>
  <c r="R83" i="14"/>
  <c r="S83" i="14"/>
  <c r="T83" i="14"/>
  <c r="U83" i="14"/>
  <c r="V83" i="14"/>
  <c r="W83" i="14"/>
  <c r="X83" i="14"/>
  <c r="B84" i="14"/>
  <c r="C84" i="14"/>
  <c r="D84" i="14"/>
  <c r="E84" i="14"/>
  <c r="F84" i="14"/>
  <c r="G84" i="14"/>
  <c r="H84" i="14"/>
  <c r="I84" i="14"/>
  <c r="J84" i="14"/>
  <c r="K84" i="14"/>
  <c r="L84" i="14"/>
  <c r="M84" i="14"/>
  <c r="N84" i="14"/>
  <c r="O84" i="14"/>
  <c r="P84" i="14"/>
  <c r="Q84" i="14"/>
  <c r="R84" i="14"/>
  <c r="S84" i="14"/>
  <c r="T84" i="14"/>
  <c r="U84" i="14"/>
  <c r="V84" i="14"/>
  <c r="W84" i="14"/>
  <c r="X84" i="14"/>
  <c r="B85" i="14"/>
  <c r="C85" i="14"/>
  <c r="D85" i="14"/>
  <c r="E85" i="14"/>
  <c r="F85" i="14"/>
  <c r="G85" i="14"/>
  <c r="H85" i="14"/>
  <c r="I85" i="14"/>
  <c r="J85" i="14"/>
  <c r="K85" i="14"/>
  <c r="L85" i="14"/>
  <c r="M85" i="14"/>
  <c r="N85" i="14"/>
  <c r="O85" i="14"/>
  <c r="P85" i="14"/>
  <c r="Q85" i="14"/>
  <c r="R85" i="14"/>
  <c r="S85" i="14"/>
  <c r="T85" i="14"/>
  <c r="U85" i="14"/>
  <c r="V85" i="14"/>
  <c r="W85" i="14"/>
  <c r="X85" i="14"/>
  <c r="B86" i="14"/>
  <c r="C86" i="14"/>
  <c r="D86" i="14"/>
  <c r="E86" i="14"/>
  <c r="F86" i="14"/>
  <c r="G86" i="14"/>
  <c r="H86" i="14"/>
  <c r="I86" i="14"/>
  <c r="J86" i="14"/>
  <c r="K86" i="14"/>
  <c r="L86" i="14"/>
  <c r="M86" i="14"/>
  <c r="N86" i="14"/>
  <c r="O86" i="14"/>
  <c r="P86" i="14"/>
  <c r="Q86" i="14"/>
  <c r="R86" i="14"/>
  <c r="S86" i="14"/>
  <c r="T86" i="14"/>
  <c r="U86" i="14"/>
  <c r="V86" i="14"/>
  <c r="W86" i="14"/>
  <c r="X86" i="14"/>
  <c r="B87" i="14"/>
  <c r="C87" i="14"/>
  <c r="D87" i="14"/>
  <c r="E87" i="14"/>
  <c r="F87" i="14"/>
  <c r="G87" i="14"/>
  <c r="H87" i="14"/>
  <c r="I87" i="14"/>
  <c r="J87" i="14"/>
  <c r="K87" i="14"/>
  <c r="L87" i="14"/>
  <c r="M87" i="14"/>
  <c r="N87" i="14"/>
  <c r="O87" i="14"/>
  <c r="P87" i="14"/>
  <c r="Q87" i="14"/>
  <c r="R87" i="14"/>
  <c r="S87" i="14"/>
  <c r="T87" i="14"/>
  <c r="U87" i="14"/>
  <c r="V87" i="14"/>
  <c r="W87" i="14"/>
  <c r="X87" i="14"/>
  <c r="B88" i="14"/>
  <c r="C88" i="14"/>
  <c r="D88" i="14"/>
  <c r="E88" i="14"/>
  <c r="F88" i="14"/>
  <c r="G88" i="14"/>
  <c r="H88" i="14"/>
  <c r="I88" i="14"/>
  <c r="J88" i="14"/>
  <c r="K88" i="14"/>
  <c r="L88" i="14"/>
  <c r="M88" i="14"/>
  <c r="N88" i="14"/>
  <c r="O88" i="14"/>
  <c r="P88" i="14"/>
  <c r="Q88" i="14"/>
  <c r="R88" i="14"/>
  <c r="S88" i="14"/>
  <c r="T88" i="14"/>
  <c r="U88" i="14"/>
  <c r="V88" i="14"/>
  <c r="W88" i="14"/>
  <c r="X88" i="14"/>
  <c r="B89" i="14"/>
  <c r="C89" i="14"/>
  <c r="D89" i="14"/>
  <c r="E89" i="14"/>
  <c r="F89" i="14"/>
  <c r="G89" i="14"/>
  <c r="H89" i="14"/>
  <c r="I89" i="14"/>
  <c r="J89" i="14"/>
  <c r="K89" i="14"/>
  <c r="L89" i="14"/>
  <c r="M89" i="14"/>
  <c r="N89" i="14"/>
  <c r="O89" i="14"/>
  <c r="P89" i="14"/>
  <c r="Q89" i="14"/>
  <c r="R89" i="14"/>
  <c r="S89" i="14"/>
  <c r="T89" i="14"/>
  <c r="U89" i="14"/>
  <c r="V89" i="14"/>
  <c r="W89" i="14"/>
  <c r="X89" i="14"/>
  <c r="B90" i="14"/>
  <c r="C90" i="14"/>
  <c r="D90" i="14"/>
  <c r="E90" i="14"/>
  <c r="F90" i="14"/>
  <c r="G90" i="14"/>
  <c r="H90" i="14"/>
  <c r="I90" i="14"/>
  <c r="J90" i="14"/>
  <c r="K90" i="14"/>
  <c r="L90" i="14"/>
  <c r="M90" i="14"/>
  <c r="N90" i="14"/>
  <c r="O90" i="14"/>
  <c r="P90" i="14"/>
  <c r="Q90" i="14"/>
  <c r="R90" i="14"/>
  <c r="S90" i="14"/>
  <c r="T90" i="14"/>
  <c r="U90" i="14"/>
  <c r="V90" i="14"/>
  <c r="W90" i="14"/>
  <c r="X90" i="14"/>
  <c r="B91" i="14"/>
  <c r="C91" i="14"/>
  <c r="D91" i="14"/>
  <c r="E91" i="14"/>
  <c r="F91" i="14"/>
  <c r="G91" i="14"/>
  <c r="H91" i="14"/>
  <c r="I91" i="14"/>
  <c r="J91" i="14"/>
  <c r="K91" i="14"/>
  <c r="L91" i="14"/>
  <c r="M91" i="14"/>
  <c r="N91" i="14"/>
  <c r="O91" i="14"/>
  <c r="P91" i="14"/>
  <c r="Q91" i="14"/>
  <c r="R91" i="14"/>
  <c r="S91" i="14"/>
  <c r="T91" i="14"/>
  <c r="U91" i="14"/>
  <c r="V91" i="14"/>
  <c r="W91" i="14"/>
  <c r="X91" i="14"/>
  <c r="B92" i="14"/>
  <c r="C92" i="14"/>
  <c r="D92" i="14"/>
  <c r="E92" i="14"/>
  <c r="F92" i="14"/>
  <c r="G92" i="14"/>
  <c r="H92" i="14"/>
  <c r="I92" i="14"/>
  <c r="J92" i="14"/>
  <c r="K92" i="14"/>
  <c r="L92" i="14"/>
  <c r="M92" i="14"/>
  <c r="N92" i="14"/>
  <c r="O92" i="14"/>
  <c r="P92" i="14"/>
  <c r="Q92" i="14"/>
  <c r="R92" i="14"/>
  <c r="S92" i="14"/>
  <c r="T92" i="14"/>
  <c r="U92" i="14"/>
  <c r="V92" i="14"/>
  <c r="W92" i="14"/>
  <c r="X92" i="14"/>
  <c r="B93" i="14"/>
  <c r="C93" i="14"/>
  <c r="D93" i="14"/>
  <c r="E93" i="14"/>
  <c r="F93" i="14"/>
  <c r="G93" i="14"/>
  <c r="H93" i="14"/>
  <c r="I93" i="14"/>
  <c r="J93" i="14"/>
  <c r="K93" i="14"/>
  <c r="L93" i="14"/>
  <c r="M93" i="14"/>
  <c r="N93" i="14"/>
  <c r="O93" i="14"/>
  <c r="P93" i="14"/>
  <c r="Q93" i="14"/>
  <c r="R93" i="14"/>
  <c r="S93" i="14"/>
  <c r="T93" i="14"/>
  <c r="U93" i="14"/>
  <c r="V93" i="14"/>
  <c r="W93" i="14"/>
  <c r="X93" i="14"/>
  <c r="A5" i="14"/>
  <c r="A6" i="14"/>
  <c r="A7" i="14"/>
  <c r="A8" i="14"/>
  <c r="A9" i="14"/>
  <c r="A10" i="14"/>
  <c r="A11" i="14"/>
  <c r="A12" i="14"/>
  <c r="A13" i="14"/>
  <c r="A14" i="14"/>
  <c r="A15" i="14"/>
  <c r="A16" i="14"/>
  <c r="A17" i="14"/>
  <c r="A18" i="14"/>
  <c r="A19" i="14"/>
  <c r="A20" i="14"/>
  <c r="A21" i="14"/>
  <c r="A22" i="14"/>
  <c r="A23" i="14"/>
  <c r="A24" i="14"/>
  <c r="A25" i="14"/>
  <c r="A26" i="14"/>
  <c r="A27" i="14"/>
  <c r="A28" i="14"/>
  <c r="A29" i="14"/>
  <c r="A30" i="14"/>
  <c r="A31" i="14"/>
  <c r="A32" i="14"/>
  <c r="A33" i="14"/>
  <c r="A34" i="14"/>
  <c r="A35" i="14"/>
  <c r="A36" i="14"/>
  <c r="A37" i="14"/>
  <c r="A38" i="14"/>
  <c r="A39" i="14"/>
  <c r="A40" i="14"/>
  <c r="A41" i="14"/>
  <c r="A42" i="14"/>
  <c r="A43" i="14"/>
  <c r="A44" i="14"/>
  <c r="A45" i="14"/>
  <c r="A46" i="14"/>
  <c r="A47" i="14"/>
  <c r="A48" i="14"/>
  <c r="A49" i="14"/>
  <c r="A50" i="14"/>
  <c r="A51" i="14"/>
  <c r="A52" i="14"/>
  <c r="A53" i="14"/>
  <c r="A54" i="14"/>
  <c r="A55" i="14"/>
  <c r="A56" i="14"/>
  <c r="A57" i="14"/>
  <c r="A58" i="14"/>
  <c r="A59" i="14"/>
  <c r="A60" i="14"/>
  <c r="A61" i="14"/>
  <c r="A62" i="14"/>
  <c r="A63" i="14"/>
  <c r="A64" i="14"/>
  <c r="A65" i="14"/>
  <c r="A66" i="14"/>
  <c r="A67" i="14"/>
  <c r="A68" i="14"/>
  <c r="A69" i="14"/>
  <c r="A70" i="14"/>
  <c r="A71" i="14"/>
  <c r="A72" i="14"/>
  <c r="A73" i="14"/>
  <c r="A74" i="14"/>
  <c r="A75" i="14"/>
  <c r="A76" i="14"/>
  <c r="A77" i="14"/>
  <c r="A78" i="14"/>
  <c r="A79" i="14"/>
  <c r="A80" i="14"/>
  <c r="A81" i="14"/>
  <c r="A82" i="14"/>
  <c r="A83" i="14"/>
  <c r="A84" i="14"/>
  <c r="A85" i="14"/>
  <c r="A86" i="14"/>
  <c r="A87" i="14"/>
  <c r="A88" i="14"/>
  <c r="A89" i="14"/>
  <c r="A90" i="14"/>
  <c r="A91" i="14"/>
  <c r="A92" i="14"/>
  <c r="A93" i="14"/>
  <c r="A4" i="14"/>
  <c r="A5" i="15"/>
  <c r="AG89" i="12"/>
  <c r="AG88" i="12"/>
  <c r="AG87" i="12"/>
  <c r="AG86" i="12"/>
  <c r="AG85" i="12"/>
  <c r="AG84" i="12"/>
  <c r="AG83" i="12"/>
  <c r="AG82" i="12"/>
  <c r="AG81" i="12"/>
  <c r="AG80" i="12"/>
  <c r="AG79" i="12"/>
  <c r="AG78" i="12"/>
  <c r="AG77" i="12"/>
  <c r="AG76" i="12"/>
  <c r="AG75" i="12"/>
  <c r="AG74" i="12"/>
  <c r="AG73" i="12"/>
  <c r="AG72" i="12"/>
  <c r="AG71" i="12"/>
  <c r="AG70" i="12"/>
  <c r="AG69" i="12"/>
  <c r="AG68" i="12"/>
  <c r="AG67" i="12"/>
  <c r="AG66" i="12"/>
  <c r="AG65" i="12"/>
  <c r="AG64" i="12"/>
  <c r="AG63" i="12"/>
  <c r="AG62" i="12"/>
  <c r="AG61" i="12"/>
  <c r="AG60" i="12"/>
  <c r="AG59" i="12"/>
  <c r="AG58" i="12"/>
  <c r="AG57" i="12"/>
  <c r="AG56" i="12"/>
  <c r="AG55" i="12"/>
  <c r="AG54" i="12"/>
  <c r="AG53" i="12"/>
  <c r="AG52" i="12"/>
  <c r="AG51" i="12"/>
  <c r="AG50" i="12"/>
  <c r="AG49" i="12"/>
  <c r="AG48" i="12"/>
  <c r="AG47" i="12"/>
  <c r="AG46" i="12"/>
  <c r="AG45" i="12"/>
  <c r="AG44" i="12"/>
  <c r="AG43" i="12"/>
  <c r="AG42" i="12"/>
  <c r="AG41" i="12"/>
  <c r="AG40" i="12"/>
  <c r="AG13" i="12"/>
  <c r="AG12" i="12"/>
  <c r="AG11" i="12"/>
  <c r="AG10" i="12"/>
  <c r="AG9" i="12"/>
  <c r="AG8" i="12"/>
  <c r="AG7" i="12"/>
  <c r="AG6" i="12"/>
  <c r="AG5" i="12"/>
  <c r="AG4" i="12"/>
  <c r="A1" i="12"/>
  <c r="AQ29" i="12"/>
  <c r="AV29" i="12" s="1"/>
  <c r="AR29" i="12"/>
  <c r="AW29" i="12" s="1"/>
  <c r="AS29" i="12"/>
  <c r="AX29" i="12" s="1"/>
  <c r="BB29" i="12"/>
  <c r="A5" i="17"/>
  <c r="B5" i="17"/>
  <c r="C5" i="17"/>
  <c r="D5" i="17"/>
  <c r="E5" i="17"/>
  <c r="F5" i="17"/>
  <c r="G5" i="17"/>
  <c r="H5" i="17"/>
  <c r="I5" i="17"/>
  <c r="J5" i="17"/>
  <c r="K5" i="17"/>
  <c r="L5" i="17"/>
  <c r="M5" i="17"/>
  <c r="N5" i="17"/>
  <c r="O5" i="17"/>
  <c r="P5" i="17"/>
  <c r="Q5" i="17"/>
  <c r="R5" i="17"/>
  <c r="S5" i="17"/>
  <c r="T5" i="17"/>
  <c r="U5" i="17"/>
  <c r="V5" i="17"/>
  <c r="W5" i="17"/>
  <c r="X5" i="17"/>
  <c r="A6" i="17"/>
  <c r="B6" i="17"/>
  <c r="C6" i="17"/>
  <c r="D6" i="17"/>
  <c r="E6" i="17"/>
  <c r="F6" i="17"/>
  <c r="G6" i="17"/>
  <c r="H6" i="17"/>
  <c r="I6" i="17"/>
  <c r="J6" i="17"/>
  <c r="K6" i="17"/>
  <c r="L6" i="17"/>
  <c r="M6" i="17"/>
  <c r="N6" i="17"/>
  <c r="O6" i="17"/>
  <c r="P6" i="17"/>
  <c r="Q6" i="17"/>
  <c r="R6" i="17"/>
  <c r="S6" i="17"/>
  <c r="T6" i="17"/>
  <c r="U6" i="17"/>
  <c r="V6" i="17"/>
  <c r="W6" i="17"/>
  <c r="X6" i="17"/>
  <c r="A7" i="17"/>
  <c r="B7" i="17"/>
  <c r="C7" i="17"/>
  <c r="D7" i="17"/>
  <c r="E7" i="17"/>
  <c r="F7" i="17"/>
  <c r="G7" i="17"/>
  <c r="H7" i="17"/>
  <c r="I7" i="17"/>
  <c r="J7" i="17"/>
  <c r="K7" i="17"/>
  <c r="L7" i="17"/>
  <c r="M7" i="17"/>
  <c r="N7" i="17"/>
  <c r="O7" i="17"/>
  <c r="P7" i="17"/>
  <c r="Q7" i="17"/>
  <c r="R7" i="17"/>
  <c r="S7" i="17"/>
  <c r="T7" i="17"/>
  <c r="U7" i="17"/>
  <c r="V7" i="17"/>
  <c r="W7" i="17"/>
  <c r="X7" i="17"/>
  <c r="A8" i="17"/>
  <c r="B8" i="17"/>
  <c r="C8" i="17"/>
  <c r="D8" i="17"/>
  <c r="E8" i="17"/>
  <c r="F8" i="17"/>
  <c r="G8" i="17"/>
  <c r="H8" i="17"/>
  <c r="I8" i="17"/>
  <c r="J8" i="17"/>
  <c r="K8" i="17"/>
  <c r="L8" i="17"/>
  <c r="M8" i="17"/>
  <c r="N8" i="17"/>
  <c r="O8" i="17"/>
  <c r="P8" i="17"/>
  <c r="Q8" i="17"/>
  <c r="R8" i="17"/>
  <c r="S8" i="17"/>
  <c r="T8" i="17"/>
  <c r="U8" i="17"/>
  <c r="V8" i="17"/>
  <c r="W8" i="17"/>
  <c r="X8" i="17"/>
  <c r="A9" i="17"/>
  <c r="B9" i="17"/>
  <c r="C9" i="17"/>
  <c r="D9" i="17"/>
  <c r="E9" i="17"/>
  <c r="F9" i="17"/>
  <c r="G9" i="17"/>
  <c r="H9" i="17"/>
  <c r="I9" i="17"/>
  <c r="J9" i="17"/>
  <c r="K9" i="17"/>
  <c r="L9" i="17"/>
  <c r="M9" i="17"/>
  <c r="N9" i="17"/>
  <c r="O9" i="17"/>
  <c r="P9" i="17"/>
  <c r="Q9" i="17"/>
  <c r="R9" i="17"/>
  <c r="S9" i="17"/>
  <c r="T9" i="17"/>
  <c r="U9" i="17"/>
  <c r="V9" i="17"/>
  <c r="W9" i="17"/>
  <c r="X9" i="17"/>
  <c r="A10" i="17"/>
  <c r="B10" i="17"/>
  <c r="C10" i="17"/>
  <c r="D10" i="17"/>
  <c r="E10" i="17"/>
  <c r="F10" i="17"/>
  <c r="G10" i="17"/>
  <c r="H10" i="17"/>
  <c r="I10" i="17"/>
  <c r="J10" i="17"/>
  <c r="K10" i="17"/>
  <c r="L10" i="17"/>
  <c r="M10" i="17"/>
  <c r="N10" i="17"/>
  <c r="O10" i="17"/>
  <c r="P10" i="17"/>
  <c r="Q10" i="17"/>
  <c r="R10" i="17"/>
  <c r="S10" i="17"/>
  <c r="T10" i="17"/>
  <c r="U10" i="17"/>
  <c r="V10" i="17"/>
  <c r="W10" i="17"/>
  <c r="X10" i="17"/>
  <c r="A11" i="17"/>
  <c r="B11" i="17"/>
  <c r="C11" i="17"/>
  <c r="D11" i="17"/>
  <c r="E11" i="17"/>
  <c r="F11" i="17"/>
  <c r="G11" i="17"/>
  <c r="H11" i="17"/>
  <c r="I11" i="17"/>
  <c r="J11" i="17"/>
  <c r="K11" i="17"/>
  <c r="L11" i="17"/>
  <c r="M11" i="17"/>
  <c r="N11" i="17"/>
  <c r="O11" i="17"/>
  <c r="P11" i="17"/>
  <c r="Q11" i="17"/>
  <c r="R11" i="17"/>
  <c r="S11" i="17"/>
  <c r="T11" i="17"/>
  <c r="U11" i="17"/>
  <c r="V11" i="17"/>
  <c r="W11" i="17"/>
  <c r="X11" i="17"/>
  <c r="A12" i="17"/>
  <c r="B12" i="17"/>
  <c r="C12" i="17"/>
  <c r="D12" i="17"/>
  <c r="E12" i="17"/>
  <c r="F12" i="17"/>
  <c r="G12" i="17"/>
  <c r="H12" i="17"/>
  <c r="I12" i="17"/>
  <c r="J12" i="17"/>
  <c r="K12" i="17"/>
  <c r="L12" i="17"/>
  <c r="M12" i="17"/>
  <c r="N12" i="17"/>
  <c r="O12" i="17"/>
  <c r="P12" i="17"/>
  <c r="Q12" i="17"/>
  <c r="R12" i="17"/>
  <c r="S12" i="17"/>
  <c r="T12" i="17"/>
  <c r="U12" i="17"/>
  <c r="V12" i="17"/>
  <c r="W12" i="17"/>
  <c r="X12" i="17"/>
  <c r="A13" i="17"/>
  <c r="B13" i="17"/>
  <c r="C13" i="17"/>
  <c r="D13" i="17"/>
  <c r="E13" i="17"/>
  <c r="F13" i="17"/>
  <c r="G13" i="17"/>
  <c r="H13" i="17"/>
  <c r="I13" i="17"/>
  <c r="J13" i="17"/>
  <c r="K13" i="17"/>
  <c r="L13" i="17"/>
  <c r="M13" i="17"/>
  <c r="N13" i="17"/>
  <c r="O13" i="17"/>
  <c r="P13" i="17"/>
  <c r="Q13" i="17"/>
  <c r="R13" i="17"/>
  <c r="S13" i="17"/>
  <c r="T13" i="17"/>
  <c r="U13" i="17"/>
  <c r="V13" i="17"/>
  <c r="W13" i="17"/>
  <c r="X13" i="17"/>
  <c r="A14" i="17"/>
  <c r="B14" i="17"/>
  <c r="C14" i="17"/>
  <c r="D14" i="17"/>
  <c r="E14" i="17"/>
  <c r="F14" i="17"/>
  <c r="G14" i="17"/>
  <c r="H14" i="17"/>
  <c r="I14" i="17"/>
  <c r="J14" i="17"/>
  <c r="K14" i="17"/>
  <c r="L14" i="17"/>
  <c r="M14" i="17"/>
  <c r="N14" i="17"/>
  <c r="O14" i="17"/>
  <c r="P14" i="17"/>
  <c r="Q14" i="17"/>
  <c r="R14" i="17"/>
  <c r="S14" i="17"/>
  <c r="T14" i="17"/>
  <c r="U14" i="17"/>
  <c r="V14" i="17"/>
  <c r="W14" i="17"/>
  <c r="X14" i="17"/>
  <c r="A15" i="17"/>
  <c r="B15" i="17"/>
  <c r="C15" i="17"/>
  <c r="D15" i="17"/>
  <c r="E15" i="17"/>
  <c r="F15" i="17"/>
  <c r="G15" i="17"/>
  <c r="H15" i="17"/>
  <c r="I15" i="17"/>
  <c r="J15" i="17"/>
  <c r="K15" i="17"/>
  <c r="L15" i="17"/>
  <c r="M15" i="17"/>
  <c r="N15" i="17"/>
  <c r="O15" i="17"/>
  <c r="P15" i="17"/>
  <c r="Q15" i="17"/>
  <c r="R15" i="17"/>
  <c r="S15" i="17"/>
  <c r="T15" i="17"/>
  <c r="U15" i="17"/>
  <c r="V15" i="17"/>
  <c r="W15" i="17"/>
  <c r="X15" i="17"/>
  <c r="A16" i="17"/>
  <c r="B16" i="17"/>
  <c r="C16" i="17"/>
  <c r="D16" i="17"/>
  <c r="E16" i="17"/>
  <c r="F16" i="17"/>
  <c r="G16" i="17"/>
  <c r="H16" i="17"/>
  <c r="I16" i="17"/>
  <c r="J16" i="17"/>
  <c r="K16" i="17"/>
  <c r="L16" i="17"/>
  <c r="M16" i="17"/>
  <c r="N16" i="17"/>
  <c r="O16" i="17"/>
  <c r="P16" i="17"/>
  <c r="Q16" i="17"/>
  <c r="R16" i="17"/>
  <c r="S16" i="17"/>
  <c r="T16" i="17"/>
  <c r="U16" i="17"/>
  <c r="V16" i="17"/>
  <c r="W16" i="17"/>
  <c r="X16" i="17"/>
  <c r="A17" i="17"/>
  <c r="B17" i="17"/>
  <c r="C17" i="17"/>
  <c r="D17" i="17"/>
  <c r="E17" i="17"/>
  <c r="F17" i="17"/>
  <c r="G17" i="17"/>
  <c r="H17" i="17"/>
  <c r="I17" i="17"/>
  <c r="J17" i="17"/>
  <c r="K17" i="17"/>
  <c r="L17" i="17"/>
  <c r="M17" i="17"/>
  <c r="N17" i="17"/>
  <c r="O17" i="17"/>
  <c r="P17" i="17"/>
  <c r="Q17" i="17"/>
  <c r="R17" i="17"/>
  <c r="S17" i="17"/>
  <c r="T17" i="17"/>
  <c r="U17" i="17"/>
  <c r="V17" i="17"/>
  <c r="W17" i="17"/>
  <c r="X17" i="17"/>
  <c r="A18" i="17"/>
  <c r="B18" i="17"/>
  <c r="C18" i="17"/>
  <c r="D18" i="17"/>
  <c r="E18" i="17"/>
  <c r="F18" i="17"/>
  <c r="G18" i="17"/>
  <c r="H18" i="17"/>
  <c r="I18" i="17"/>
  <c r="J18" i="17"/>
  <c r="K18" i="17"/>
  <c r="L18" i="17"/>
  <c r="M18" i="17"/>
  <c r="N18" i="17"/>
  <c r="O18" i="17"/>
  <c r="P18" i="17"/>
  <c r="Q18" i="17"/>
  <c r="R18" i="17"/>
  <c r="S18" i="17"/>
  <c r="T18" i="17"/>
  <c r="U18" i="17"/>
  <c r="V18" i="17"/>
  <c r="W18" i="17"/>
  <c r="X18" i="17"/>
  <c r="A19" i="17"/>
  <c r="B19" i="17"/>
  <c r="C19" i="17"/>
  <c r="D19" i="17"/>
  <c r="E19" i="17"/>
  <c r="F19" i="17"/>
  <c r="G19" i="17"/>
  <c r="H19" i="17"/>
  <c r="I19" i="17"/>
  <c r="J19" i="17"/>
  <c r="K19" i="17"/>
  <c r="L19" i="17"/>
  <c r="M19" i="17"/>
  <c r="N19" i="17"/>
  <c r="O19" i="17"/>
  <c r="P19" i="17"/>
  <c r="Q19" i="17"/>
  <c r="R19" i="17"/>
  <c r="S19" i="17"/>
  <c r="T19" i="17"/>
  <c r="U19" i="17"/>
  <c r="V19" i="17"/>
  <c r="W19" i="17"/>
  <c r="X19" i="17"/>
  <c r="A20" i="17"/>
  <c r="B20" i="17"/>
  <c r="C20" i="17"/>
  <c r="D20" i="17"/>
  <c r="E20" i="17"/>
  <c r="F20" i="17"/>
  <c r="G20" i="17"/>
  <c r="H20" i="17"/>
  <c r="I20" i="17"/>
  <c r="J20" i="17"/>
  <c r="K20" i="17"/>
  <c r="L20" i="17"/>
  <c r="M20" i="17"/>
  <c r="N20" i="17"/>
  <c r="O20" i="17"/>
  <c r="P20" i="17"/>
  <c r="Q20" i="17"/>
  <c r="R20" i="17"/>
  <c r="S20" i="17"/>
  <c r="T20" i="17"/>
  <c r="U20" i="17"/>
  <c r="V20" i="17"/>
  <c r="W20" i="17"/>
  <c r="X20" i="17"/>
  <c r="A21" i="17"/>
  <c r="B21" i="17"/>
  <c r="C21" i="17"/>
  <c r="D21" i="17"/>
  <c r="E21" i="17"/>
  <c r="F21" i="17"/>
  <c r="G21" i="17"/>
  <c r="H21" i="17"/>
  <c r="I21" i="17"/>
  <c r="J21" i="17"/>
  <c r="K21" i="17"/>
  <c r="L21" i="17"/>
  <c r="M21" i="17"/>
  <c r="N21" i="17"/>
  <c r="O21" i="17"/>
  <c r="P21" i="17"/>
  <c r="Q21" i="17"/>
  <c r="R21" i="17"/>
  <c r="S21" i="17"/>
  <c r="T21" i="17"/>
  <c r="U21" i="17"/>
  <c r="V21" i="17"/>
  <c r="W21" i="17"/>
  <c r="X21" i="17"/>
  <c r="A22" i="17"/>
  <c r="B22" i="17"/>
  <c r="C22" i="17"/>
  <c r="D22" i="17"/>
  <c r="E22" i="17"/>
  <c r="F22" i="17"/>
  <c r="G22" i="17"/>
  <c r="H22" i="17"/>
  <c r="I22" i="17"/>
  <c r="J22" i="17"/>
  <c r="K22" i="17"/>
  <c r="L22" i="17"/>
  <c r="M22" i="17"/>
  <c r="N22" i="17"/>
  <c r="O22" i="17"/>
  <c r="P22" i="17"/>
  <c r="Q22" i="17"/>
  <c r="R22" i="17"/>
  <c r="S22" i="17"/>
  <c r="T22" i="17"/>
  <c r="U22" i="17"/>
  <c r="V22" i="17"/>
  <c r="W22" i="17"/>
  <c r="X22" i="17"/>
  <c r="A23" i="17"/>
  <c r="B23" i="17"/>
  <c r="C23" i="17"/>
  <c r="D23" i="17"/>
  <c r="E23" i="17"/>
  <c r="F23" i="17"/>
  <c r="G23" i="17"/>
  <c r="H23" i="17"/>
  <c r="I23" i="17"/>
  <c r="J23" i="17"/>
  <c r="K23" i="17"/>
  <c r="L23" i="17"/>
  <c r="M23" i="17"/>
  <c r="N23" i="17"/>
  <c r="O23" i="17"/>
  <c r="P23" i="17"/>
  <c r="Q23" i="17"/>
  <c r="R23" i="17"/>
  <c r="S23" i="17"/>
  <c r="T23" i="17"/>
  <c r="U23" i="17"/>
  <c r="V23" i="17"/>
  <c r="W23" i="17"/>
  <c r="X23" i="17"/>
  <c r="A24" i="17"/>
  <c r="B24" i="17"/>
  <c r="C24" i="17"/>
  <c r="D24" i="17"/>
  <c r="E24" i="17"/>
  <c r="F24" i="17"/>
  <c r="G24" i="17"/>
  <c r="H24" i="17"/>
  <c r="I24" i="17"/>
  <c r="J24" i="17"/>
  <c r="K24" i="17"/>
  <c r="L24" i="17"/>
  <c r="M24" i="17"/>
  <c r="N24" i="17"/>
  <c r="O24" i="17"/>
  <c r="P24" i="17"/>
  <c r="Q24" i="17"/>
  <c r="R24" i="17"/>
  <c r="S24" i="17"/>
  <c r="T24" i="17"/>
  <c r="U24" i="17"/>
  <c r="V24" i="17"/>
  <c r="W24" i="17"/>
  <c r="X24" i="17"/>
  <c r="A25" i="17"/>
  <c r="B25" i="17"/>
  <c r="C25" i="17"/>
  <c r="D25" i="17"/>
  <c r="E25" i="17"/>
  <c r="F25" i="17"/>
  <c r="G25" i="17"/>
  <c r="H25" i="17"/>
  <c r="I25" i="17"/>
  <c r="J25" i="17"/>
  <c r="K25" i="17"/>
  <c r="L25" i="17"/>
  <c r="M25" i="17"/>
  <c r="N25" i="17"/>
  <c r="O25" i="17"/>
  <c r="P25" i="17"/>
  <c r="Q25" i="17"/>
  <c r="R25" i="17"/>
  <c r="S25" i="17"/>
  <c r="T25" i="17"/>
  <c r="U25" i="17"/>
  <c r="V25" i="17"/>
  <c r="W25" i="17"/>
  <c r="X25" i="17"/>
  <c r="A26" i="17"/>
  <c r="B26" i="17"/>
  <c r="C26" i="17"/>
  <c r="D26" i="17"/>
  <c r="E26" i="17"/>
  <c r="F26" i="17"/>
  <c r="G26" i="17"/>
  <c r="H26" i="17"/>
  <c r="I26" i="17"/>
  <c r="J26" i="17"/>
  <c r="K26" i="17"/>
  <c r="L26" i="17"/>
  <c r="M26" i="17"/>
  <c r="N26" i="17"/>
  <c r="O26" i="17"/>
  <c r="P26" i="17"/>
  <c r="Q26" i="17"/>
  <c r="R26" i="17"/>
  <c r="S26" i="17"/>
  <c r="T26" i="17"/>
  <c r="U26" i="17"/>
  <c r="V26" i="17"/>
  <c r="W26" i="17"/>
  <c r="X26" i="17"/>
  <c r="A27" i="17"/>
  <c r="B27" i="17"/>
  <c r="C27" i="17"/>
  <c r="D27" i="17"/>
  <c r="E27" i="17"/>
  <c r="F27" i="17"/>
  <c r="G27" i="17"/>
  <c r="H27" i="17"/>
  <c r="I27" i="17"/>
  <c r="J27" i="17"/>
  <c r="K27" i="17"/>
  <c r="L27" i="17"/>
  <c r="M27" i="17"/>
  <c r="N27" i="17"/>
  <c r="O27" i="17"/>
  <c r="P27" i="17"/>
  <c r="Q27" i="17"/>
  <c r="R27" i="17"/>
  <c r="S27" i="17"/>
  <c r="T27" i="17"/>
  <c r="U27" i="17"/>
  <c r="V27" i="17"/>
  <c r="W27" i="17"/>
  <c r="X27" i="17"/>
  <c r="A28" i="17"/>
  <c r="B28" i="17"/>
  <c r="C28" i="17"/>
  <c r="D28" i="17"/>
  <c r="E28" i="17"/>
  <c r="F28" i="17"/>
  <c r="G28" i="17"/>
  <c r="H28" i="17"/>
  <c r="I28" i="17"/>
  <c r="J28" i="17"/>
  <c r="K28" i="17"/>
  <c r="L28" i="17"/>
  <c r="M28" i="17"/>
  <c r="N28" i="17"/>
  <c r="O28" i="17"/>
  <c r="P28" i="17"/>
  <c r="Q28" i="17"/>
  <c r="R28" i="17"/>
  <c r="S28" i="17"/>
  <c r="T28" i="17"/>
  <c r="U28" i="17"/>
  <c r="V28" i="17"/>
  <c r="W28" i="17"/>
  <c r="X28" i="17"/>
  <c r="A29" i="17"/>
  <c r="B29" i="17"/>
  <c r="C29" i="17"/>
  <c r="D29" i="17"/>
  <c r="E29" i="17"/>
  <c r="F29" i="17"/>
  <c r="G29" i="17"/>
  <c r="H29" i="17"/>
  <c r="I29" i="17"/>
  <c r="J29" i="17"/>
  <c r="K29" i="17"/>
  <c r="L29" i="17"/>
  <c r="M29" i="17"/>
  <c r="N29" i="17"/>
  <c r="O29" i="17"/>
  <c r="P29" i="17"/>
  <c r="Q29" i="17"/>
  <c r="R29" i="17"/>
  <c r="S29" i="17"/>
  <c r="T29" i="17"/>
  <c r="U29" i="17"/>
  <c r="V29" i="17"/>
  <c r="W29" i="17"/>
  <c r="X29" i="17"/>
  <c r="A30" i="17"/>
  <c r="B30" i="17"/>
  <c r="C30" i="17"/>
  <c r="D30" i="17"/>
  <c r="E30" i="17"/>
  <c r="F30" i="17"/>
  <c r="G30" i="17"/>
  <c r="H30" i="17"/>
  <c r="I30" i="17"/>
  <c r="J30" i="17"/>
  <c r="K30" i="17"/>
  <c r="L30" i="17"/>
  <c r="M30" i="17"/>
  <c r="N30" i="17"/>
  <c r="O30" i="17"/>
  <c r="P30" i="17"/>
  <c r="Q30" i="17"/>
  <c r="R30" i="17"/>
  <c r="S30" i="17"/>
  <c r="T30" i="17"/>
  <c r="U30" i="17"/>
  <c r="V30" i="17"/>
  <c r="W30" i="17"/>
  <c r="X30" i="17"/>
  <c r="A31" i="17"/>
  <c r="B31" i="17"/>
  <c r="C31" i="17"/>
  <c r="D31" i="17"/>
  <c r="E31" i="17"/>
  <c r="F31" i="17"/>
  <c r="G31" i="17"/>
  <c r="H31" i="17"/>
  <c r="I31" i="17"/>
  <c r="J31" i="17"/>
  <c r="K31" i="17"/>
  <c r="L31" i="17"/>
  <c r="M31" i="17"/>
  <c r="N31" i="17"/>
  <c r="O31" i="17"/>
  <c r="P31" i="17"/>
  <c r="Q31" i="17"/>
  <c r="R31" i="17"/>
  <c r="S31" i="17"/>
  <c r="T31" i="17"/>
  <c r="U31" i="17"/>
  <c r="V31" i="17"/>
  <c r="W31" i="17"/>
  <c r="X31" i="17"/>
  <c r="A32" i="17"/>
  <c r="B32" i="17"/>
  <c r="C32" i="17"/>
  <c r="D32" i="17"/>
  <c r="E32" i="17"/>
  <c r="F32" i="17"/>
  <c r="G32" i="17"/>
  <c r="H32" i="17"/>
  <c r="I32" i="17"/>
  <c r="J32" i="17"/>
  <c r="K32" i="17"/>
  <c r="L32" i="17"/>
  <c r="M32" i="17"/>
  <c r="N32" i="17"/>
  <c r="O32" i="17"/>
  <c r="P32" i="17"/>
  <c r="Q32" i="17"/>
  <c r="R32" i="17"/>
  <c r="S32" i="17"/>
  <c r="T32" i="17"/>
  <c r="U32" i="17"/>
  <c r="V32" i="17"/>
  <c r="W32" i="17"/>
  <c r="X32" i="17"/>
  <c r="A33" i="17"/>
  <c r="B33" i="17"/>
  <c r="C33" i="17"/>
  <c r="D33" i="17"/>
  <c r="E33" i="17"/>
  <c r="F33" i="17"/>
  <c r="G33" i="17"/>
  <c r="H33" i="17"/>
  <c r="I33" i="17"/>
  <c r="J33" i="17"/>
  <c r="K33" i="17"/>
  <c r="L33" i="17"/>
  <c r="M33" i="17"/>
  <c r="N33" i="17"/>
  <c r="O33" i="17"/>
  <c r="P33" i="17"/>
  <c r="Q33" i="17"/>
  <c r="R33" i="17"/>
  <c r="S33" i="17"/>
  <c r="T33" i="17"/>
  <c r="U33" i="17"/>
  <c r="V33" i="17"/>
  <c r="W33" i="17"/>
  <c r="X33" i="17"/>
  <c r="A34" i="17"/>
  <c r="B34" i="17"/>
  <c r="C34" i="17"/>
  <c r="D34" i="17"/>
  <c r="E34" i="17"/>
  <c r="F34" i="17"/>
  <c r="G34" i="17"/>
  <c r="H34" i="17"/>
  <c r="I34" i="17"/>
  <c r="J34" i="17"/>
  <c r="K34" i="17"/>
  <c r="L34" i="17"/>
  <c r="M34" i="17"/>
  <c r="N34" i="17"/>
  <c r="O34" i="17"/>
  <c r="P34" i="17"/>
  <c r="Q34" i="17"/>
  <c r="R34" i="17"/>
  <c r="S34" i="17"/>
  <c r="T34" i="17"/>
  <c r="U34" i="17"/>
  <c r="V34" i="17"/>
  <c r="W34" i="17"/>
  <c r="X34" i="17"/>
  <c r="A35" i="17"/>
  <c r="B35" i="17"/>
  <c r="C35" i="17"/>
  <c r="D35" i="17"/>
  <c r="E35" i="17"/>
  <c r="F35" i="17"/>
  <c r="G35" i="17"/>
  <c r="H35" i="17"/>
  <c r="I35" i="17"/>
  <c r="J35" i="17"/>
  <c r="K35" i="17"/>
  <c r="L35" i="17"/>
  <c r="M35" i="17"/>
  <c r="N35" i="17"/>
  <c r="O35" i="17"/>
  <c r="P35" i="17"/>
  <c r="Q35" i="17"/>
  <c r="R35" i="17"/>
  <c r="S35" i="17"/>
  <c r="T35" i="17"/>
  <c r="U35" i="17"/>
  <c r="V35" i="17"/>
  <c r="W35" i="17"/>
  <c r="X35" i="17"/>
  <c r="A36" i="17"/>
  <c r="B36" i="17"/>
  <c r="C36" i="17"/>
  <c r="D36" i="17"/>
  <c r="E36" i="17"/>
  <c r="F36" i="17"/>
  <c r="G36" i="17"/>
  <c r="H36" i="17"/>
  <c r="I36" i="17"/>
  <c r="J36" i="17"/>
  <c r="K36" i="17"/>
  <c r="L36" i="17"/>
  <c r="M36" i="17"/>
  <c r="N36" i="17"/>
  <c r="O36" i="17"/>
  <c r="P36" i="17"/>
  <c r="Q36" i="17"/>
  <c r="R36" i="17"/>
  <c r="S36" i="17"/>
  <c r="T36" i="17"/>
  <c r="U36" i="17"/>
  <c r="V36" i="17"/>
  <c r="W36" i="17"/>
  <c r="X36" i="17"/>
  <c r="A37" i="17"/>
  <c r="B37" i="17"/>
  <c r="C37" i="17"/>
  <c r="D37" i="17"/>
  <c r="E37" i="17"/>
  <c r="F37" i="17"/>
  <c r="G37" i="17"/>
  <c r="H37" i="17"/>
  <c r="I37" i="17"/>
  <c r="J37" i="17"/>
  <c r="K37" i="17"/>
  <c r="L37" i="17"/>
  <c r="M37" i="17"/>
  <c r="N37" i="17"/>
  <c r="O37" i="17"/>
  <c r="P37" i="17"/>
  <c r="Q37" i="17"/>
  <c r="R37" i="17"/>
  <c r="S37" i="17"/>
  <c r="T37" i="17"/>
  <c r="U37" i="17"/>
  <c r="V37" i="17"/>
  <c r="W37" i="17"/>
  <c r="X37" i="17"/>
  <c r="A38" i="17"/>
  <c r="B38" i="17"/>
  <c r="C38" i="17"/>
  <c r="D38" i="17"/>
  <c r="E38" i="17"/>
  <c r="F38" i="17"/>
  <c r="G38" i="17"/>
  <c r="H38" i="17"/>
  <c r="I38" i="17"/>
  <c r="J38" i="17"/>
  <c r="K38" i="17"/>
  <c r="L38" i="17"/>
  <c r="M38" i="17"/>
  <c r="N38" i="17"/>
  <c r="O38" i="17"/>
  <c r="P38" i="17"/>
  <c r="Q38" i="17"/>
  <c r="R38" i="17"/>
  <c r="S38" i="17"/>
  <c r="T38" i="17"/>
  <c r="U38" i="17"/>
  <c r="V38" i="17"/>
  <c r="W38" i="17"/>
  <c r="X38" i="17"/>
  <c r="A39" i="17"/>
  <c r="B39" i="17"/>
  <c r="C39" i="17"/>
  <c r="D39" i="17"/>
  <c r="E39" i="17"/>
  <c r="F39" i="17"/>
  <c r="G39" i="17"/>
  <c r="H39" i="17"/>
  <c r="I39" i="17"/>
  <c r="J39" i="17"/>
  <c r="K39" i="17"/>
  <c r="L39" i="17"/>
  <c r="M39" i="17"/>
  <c r="N39" i="17"/>
  <c r="O39" i="17"/>
  <c r="P39" i="17"/>
  <c r="Q39" i="17"/>
  <c r="R39" i="17"/>
  <c r="S39" i="17"/>
  <c r="T39" i="17"/>
  <c r="U39" i="17"/>
  <c r="V39" i="17"/>
  <c r="W39" i="17"/>
  <c r="X39" i="17"/>
  <c r="A40" i="17"/>
  <c r="B40" i="17"/>
  <c r="C40" i="17"/>
  <c r="D40" i="17"/>
  <c r="E40" i="17"/>
  <c r="F40" i="17"/>
  <c r="G40" i="17"/>
  <c r="H40" i="17"/>
  <c r="I40" i="17"/>
  <c r="J40" i="17"/>
  <c r="K40" i="17"/>
  <c r="L40" i="17"/>
  <c r="M40" i="17"/>
  <c r="N40" i="17"/>
  <c r="O40" i="17"/>
  <c r="P40" i="17"/>
  <c r="Q40" i="17"/>
  <c r="R40" i="17"/>
  <c r="S40" i="17"/>
  <c r="T40" i="17"/>
  <c r="U40" i="17"/>
  <c r="V40" i="17"/>
  <c r="W40" i="17"/>
  <c r="X40" i="17"/>
  <c r="A41" i="17"/>
  <c r="B41" i="17"/>
  <c r="C41" i="17"/>
  <c r="D41" i="17"/>
  <c r="E41" i="17"/>
  <c r="F41" i="17"/>
  <c r="G41" i="17"/>
  <c r="H41" i="17"/>
  <c r="I41" i="17"/>
  <c r="J41" i="17"/>
  <c r="K41" i="17"/>
  <c r="L41" i="17"/>
  <c r="M41" i="17"/>
  <c r="N41" i="17"/>
  <c r="O41" i="17"/>
  <c r="P41" i="17"/>
  <c r="Q41" i="17"/>
  <c r="R41" i="17"/>
  <c r="S41" i="17"/>
  <c r="T41" i="17"/>
  <c r="U41" i="17"/>
  <c r="V41" i="17"/>
  <c r="W41" i="17"/>
  <c r="X41" i="17"/>
  <c r="A42" i="17"/>
  <c r="B42" i="17"/>
  <c r="C42" i="17"/>
  <c r="D42" i="17"/>
  <c r="E42" i="17"/>
  <c r="F42" i="17"/>
  <c r="G42" i="17"/>
  <c r="H42" i="17"/>
  <c r="I42" i="17"/>
  <c r="J42" i="17"/>
  <c r="K42" i="17"/>
  <c r="L42" i="17"/>
  <c r="M42" i="17"/>
  <c r="N42" i="17"/>
  <c r="O42" i="17"/>
  <c r="P42" i="17"/>
  <c r="Q42" i="17"/>
  <c r="R42" i="17"/>
  <c r="S42" i="17"/>
  <c r="T42" i="17"/>
  <c r="U42" i="17"/>
  <c r="V42" i="17"/>
  <c r="W42" i="17"/>
  <c r="X42" i="17"/>
  <c r="A43" i="17"/>
  <c r="B43" i="17"/>
  <c r="C43" i="17"/>
  <c r="D43" i="17"/>
  <c r="E43" i="17"/>
  <c r="F43" i="17"/>
  <c r="G43" i="17"/>
  <c r="H43" i="17"/>
  <c r="I43" i="17"/>
  <c r="J43" i="17"/>
  <c r="K43" i="17"/>
  <c r="L43" i="17"/>
  <c r="M43" i="17"/>
  <c r="N43" i="17"/>
  <c r="O43" i="17"/>
  <c r="P43" i="17"/>
  <c r="Q43" i="17"/>
  <c r="R43" i="17"/>
  <c r="S43" i="17"/>
  <c r="T43" i="17"/>
  <c r="U43" i="17"/>
  <c r="V43" i="17"/>
  <c r="W43" i="17"/>
  <c r="X43" i="17"/>
  <c r="A44" i="17"/>
  <c r="B44" i="17"/>
  <c r="C44" i="17"/>
  <c r="D44" i="17"/>
  <c r="E44" i="17"/>
  <c r="F44" i="17"/>
  <c r="G44" i="17"/>
  <c r="H44" i="17"/>
  <c r="I44" i="17"/>
  <c r="J44" i="17"/>
  <c r="K44" i="17"/>
  <c r="L44" i="17"/>
  <c r="M44" i="17"/>
  <c r="N44" i="17"/>
  <c r="O44" i="17"/>
  <c r="P44" i="17"/>
  <c r="Q44" i="17"/>
  <c r="R44" i="17"/>
  <c r="S44" i="17"/>
  <c r="T44" i="17"/>
  <c r="U44" i="17"/>
  <c r="V44" i="17"/>
  <c r="W44" i="17"/>
  <c r="X44" i="17"/>
  <c r="A45" i="17"/>
  <c r="B45" i="17"/>
  <c r="C45" i="17"/>
  <c r="D45" i="17"/>
  <c r="E45" i="17"/>
  <c r="F45" i="17"/>
  <c r="G45" i="17"/>
  <c r="H45" i="17"/>
  <c r="I45" i="17"/>
  <c r="J45" i="17"/>
  <c r="K45" i="17"/>
  <c r="L45" i="17"/>
  <c r="M45" i="17"/>
  <c r="N45" i="17"/>
  <c r="O45" i="17"/>
  <c r="P45" i="17"/>
  <c r="Q45" i="17"/>
  <c r="R45" i="17"/>
  <c r="S45" i="17"/>
  <c r="T45" i="17"/>
  <c r="U45" i="17"/>
  <c r="V45" i="17"/>
  <c r="W45" i="17"/>
  <c r="X45" i="17"/>
  <c r="A46" i="17"/>
  <c r="B46" i="17"/>
  <c r="C46" i="17"/>
  <c r="D46" i="17"/>
  <c r="E46" i="17"/>
  <c r="F46" i="17"/>
  <c r="G46" i="17"/>
  <c r="H46" i="17"/>
  <c r="I46" i="17"/>
  <c r="J46" i="17"/>
  <c r="K46" i="17"/>
  <c r="L46" i="17"/>
  <c r="M46" i="17"/>
  <c r="N46" i="17"/>
  <c r="O46" i="17"/>
  <c r="P46" i="17"/>
  <c r="Q46" i="17"/>
  <c r="R46" i="17"/>
  <c r="S46" i="17"/>
  <c r="T46" i="17"/>
  <c r="U46" i="17"/>
  <c r="V46" i="17"/>
  <c r="W46" i="17"/>
  <c r="X46" i="17"/>
  <c r="A47" i="17"/>
  <c r="B47" i="17"/>
  <c r="C47" i="17"/>
  <c r="D47" i="17"/>
  <c r="E47" i="17"/>
  <c r="F47" i="17"/>
  <c r="G47" i="17"/>
  <c r="H47" i="17"/>
  <c r="I47" i="17"/>
  <c r="J47" i="17"/>
  <c r="K47" i="17"/>
  <c r="L47" i="17"/>
  <c r="M47" i="17"/>
  <c r="N47" i="17"/>
  <c r="O47" i="17"/>
  <c r="P47" i="17"/>
  <c r="Q47" i="17"/>
  <c r="R47" i="17"/>
  <c r="S47" i="17"/>
  <c r="T47" i="17"/>
  <c r="U47" i="17"/>
  <c r="V47" i="17"/>
  <c r="W47" i="17"/>
  <c r="X47" i="17"/>
  <c r="A48" i="17"/>
  <c r="B48" i="17"/>
  <c r="C48" i="17"/>
  <c r="D48" i="17"/>
  <c r="E48" i="17"/>
  <c r="F48" i="17"/>
  <c r="G48" i="17"/>
  <c r="H48" i="17"/>
  <c r="I48" i="17"/>
  <c r="J48" i="17"/>
  <c r="K48" i="17"/>
  <c r="L48" i="17"/>
  <c r="M48" i="17"/>
  <c r="N48" i="17"/>
  <c r="O48" i="17"/>
  <c r="P48" i="17"/>
  <c r="Q48" i="17"/>
  <c r="R48" i="17"/>
  <c r="S48" i="17"/>
  <c r="T48" i="17"/>
  <c r="U48" i="17"/>
  <c r="V48" i="17"/>
  <c r="W48" i="17"/>
  <c r="X48" i="17"/>
  <c r="A49" i="17"/>
  <c r="B49" i="17"/>
  <c r="C49" i="17"/>
  <c r="D49" i="17"/>
  <c r="E49" i="17"/>
  <c r="F49" i="17"/>
  <c r="G49" i="17"/>
  <c r="H49" i="17"/>
  <c r="I49" i="17"/>
  <c r="J49" i="17"/>
  <c r="K49" i="17"/>
  <c r="L49" i="17"/>
  <c r="M49" i="17"/>
  <c r="N49" i="17"/>
  <c r="O49" i="17"/>
  <c r="P49" i="17"/>
  <c r="Q49" i="17"/>
  <c r="R49" i="17"/>
  <c r="S49" i="17"/>
  <c r="T49" i="17"/>
  <c r="U49" i="17"/>
  <c r="V49" i="17"/>
  <c r="W49" i="17"/>
  <c r="X49" i="17"/>
  <c r="A50" i="17"/>
  <c r="B50" i="17"/>
  <c r="C50" i="17"/>
  <c r="D50" i="17"/>
  <c r="E50" i="17"/>
  <c r="F50" i="17"/>
  <c r="G50" i="17"/>
  <c r="H50" i="17"/>
  <c r="I50" i="17"/>
  <c r="J50" i="17"/>
  <c r="K50" i="17"/>
  <c r="L50" i="17"/>
  <c r="M50" i="17"/>
  <c r="N50" i="17"/>
  <c r="O50" i="17"/>
  <c r="P50" i="17"/>
  <c r="Q50" i="17"/>
  <c r="R50" i="17"/>
  <c r="S50" i="17"/>
  <c r="T50" i="17"/>
  <c r="U50" i="17"/>
  <c r="V50" i="17"/>
  <c r="W50" i="17"/>
  <c r="X50" i="17"/>
  <c r="A51" i="17"/>
  <c r="B51" i="17"/>
  <c r="C51" i="17"/>
  <c r="D51" i="17"/>
  <c r="E51" i="17"/>
  <c r="F51" i="17"/>
  <c r="G51" i="17"/>
  <c r="H51" i="17"/>
  <c r="I51" i="17"/>
  <c r="J51" i="17"/>
  <c r="K51" i="17"/>
  <c r="L51" i="17"/>
  <c r="M51" i="17"/>
  <c r="N51" i="17"/>
  <c r="O51" i="17"/>
  <c r="P51" i="17"/>
  <c r="Q51" i="17"/>
  <c r="R51" i="17"/>
  <c r="S51" i="17"/>
  <c r="T51" i="17"/>
  <c r="U51" i="17"/>
  <c r="V51" i="17"/>
  <c r="W51" i="17"/>
  <c r="X51" i="17"/>
  <c r="A52" i="17"/>
  <c r="B52" i="17"/>
  <c r="C52" i="17"/>
  <c r="D52" i="17"/>
  <c r="E52" i="17"/>
  <c r="F52" i="17"/>
  <c r="G52" i="17"/>
  <c r="H52" i="17"/>
  <c r="I52" i="17"/>
  <c r="J52" i="17"/>
  <c r="K52" i="17"/>
  <c r="L52" i="17"/>
  <c r="M52" i="17"/>
  <c r="N52" i="17"/>
  <c r="O52" i="17"/>
  <c r="P52" i="17"/>
  <c r="Q52" i="17"/>
  <c r="R52" i="17"/>
  <c r="S52" i="17"/>
  <c r="T52" i="17"/>
  <c r="U52" i="17"/>
  <c r="V52" i="17"/>
  <c r="W52" i="17"/>
  <c r="X52" i="17"/>
  <c r="A53" i="17"/>
  <c r="B53" i="17"/>
  <c r="C53" i="17"/>
  <c r="D53" i="17"/>
  <c r="E53" i="17"/>
  <c r="F53" i="17"/>
  <c r="G53" i="17"/>
  <c r="H53" i="17"/>
  <c r="I53" i="17"/>
  <c r="J53" i="17"/>
  <c r="K53" i="17"/>
  <c r="L53" i="17"/>
  <c r="M53" i="17"/>
  <c r="N53" i="17"/>
  <c r="O53" i="17"/>
  <c r="P53" i="17"/>
  <c r="Q53" i="17"/>
  <c r="R53" i="17"/>
  <c r="S53" i="17"/>
  <c r="T53" i="17"/>
  <c r="U53" i="17"/>
  <c r="V53" i="17"/>
  <c r="W53" i="17"/>
  <c r="X53" i="17"/>
  <c r="A54" i="17"/>
  <c r="B54" i="17"/>
  <c r="C54" i="17"/>
  <c r="D54" i="17"/>
  <c r="E54" i="17"/>
  <c r="F54" i="17"/>
  <c r="G54" i="17"/>
  <c r="H54" i="17"/>
  <c r="I54" i="17"/>
  <c r="J54" i="17"/>
  <c r="K54" i="17"/>
  <c r="L54" i="17"/>
  <c r="M54" i="17"/>
  <c r="N54" i="17"/>
  <c r="O54" i="17"/>
  <c r="P54" i="17"/>
  <c r="Q54" i="17"/>
  <c r="R54" i="17"/>
  <c r="S54" i="17"/>
  <c r="T54" i="17"/>
  <c r="U54" i="17"/>
  <c r="V54" i="17"/>
  <c r="W54" i="17"/>
  <c r="X54" i="17"/>
  <c r="A55" i="17"/>
  <c r="B55" i="17"/>
  <c r="C55" i="17"/>
  <c r="D55" i="17"/>
  <c r="E55" i="17"/>
  <c r="F55" i="17"/>
  <c r="G55" i="17"/>
  <c r="H55" i="17"/>
  <c r="I55" i="17"/>
  <c r="J55" i="17"/>
  <c r="K55" i="17"/>
  <c r="L55" i="17"/>
  <c r="M55" i="17"/>
  <c r="N55" i="17"/>
  <c r="O55" i="17"/>
  <c r="P55" i="17"/>
  <c r="Q55" i="17"/>
  <c r="R55" i="17"/>
  <c r="S55" i="17"/>
  <c r="T55" i="17"/>
  <c r="U55" i="17"/>
  <c r="V55" i="17"/>
  <c r="W55" i="17"/>
  <c r="X55" i="17"/>
  <c r="A56" i="17"/>
  <c r="B56" i="17"/>
  <c r="C56" i="17"/>
  <c r="D56" i="17"/>
  <c r="E56" i="17"/>
  <c r="F56" i="17"/>
  <c r="G56" i="17"/>
  <c r="H56" i="17"/>
  <c r="I56" i="17"/>
  <c r="J56" i="17"/>
  <c r="K56" i="17"/>
  <c r="L56" i="17"/>
  <c r="M56" i="17"/>
  <c r="N56" i="17"/>
  <c r="O56" i="17"/>
  <c r="P56" i="17"/>
  <c r="Q56" i="17"/>
  <c r="R56" i="17"/>
  <c r="S56" i="17"/>
  <c r="T56" i="17"/>
  <c r="U56" i="17"/>
  <c r="V56" i="17"/>
  <c r="W56" i="17"/>
  <c r="X56" i="17"/>
  <c r="A57" i="17"/>
  <c r="B57" i="17"/>
  <c r="C57" i="17"/>
  <c r="D57" i="17"/>
  <c r="E57" i="17"/>
  <c r="F57" i="17"/>
  <c r="G57" i="17"/>
  <c r="H57" i="17"/>
  <c r="I57" i="17"/>
  <c r="J57" i="17"/>
  <c r="K57" i="17"/>
  <c r="L57" i="17"/>
  <c r="M57" i="17"/>
  <c r="N57" i="17"/>
  <c r="O57" i="17"/>
  <c r="P57" i="17"/>
  <c r="Q57" i="17"/>
  <c r="R57" i="17"/>
  <c r="S57" i="17"/>
  <c r="T57" i="17"/>
  <c r="U57" i="17"/>
  <c r="V57" i="17"/>
  <c r="W57" i="17"/>
  <c r="X57" i="17"/>
  <c r="A58" i="17"/>
  <c r="B58" i="17"/>
  <c r="C58" i="17"/>
  <c r="D58" i="17"/>
  <c r="E58" i="17"/>
  <c r="F58" i="17"/>
  <c r="G58" i="17"/>
  <c r="H58" i="17"/>
  <c r="I58" i="17"/>
  <c r="J58" i="17"/>
  <c r="K58" i="17"/>
  <c r="L58" i="17"/>
  <c r="M58" i="17"/>
  <c r="N58" i="17"/>
  <c r="O58" i="17"/>
  <c r="P58" i="17"/>
  <c r="Q58" i="17"/>
  <c r="R58" i="17"/>
  <c r="S58" i="17"/>
  <c r="T58" i="17"/>
  <c r="U58" i="17"/>
  <c r="V58" i="17"/>
  <c r="W58" i="17"/>
  <c r="X58" i="17"/>
  <c r="A59" i="17"/>
  <c r="B59" i="17"/>
  <c r="C59" i="17"/>
  <c r="D59" i="17"/>
  <c r="E59" i="17"/>
  <c r="F59" i="17"/>
  <c r="G59" i="17"/>
  <c r="H59" i="17"/>
  <c r="I59" i="17"/>
  <c r="J59" i="17"/>
  <c r="K59" i="17"/>
  <c r="L59" i="17"/>
  <c r="M59" i="17"/>
  <c r="N59" i="17"/>
  <c r="O59" i="17"/>
  <c r="P59" i="17"/>
  <c r="Q59" i="17"/>
  <c r="R59" i="17"/>
  <c r="S59" i="17"/>
  <c r="T59" i="17"/>
  <c r="U59" i="17"/>
  <c r="V59" i="17"/>
  <c r="W59" i="17"/>
  <c r="X59" i="17"/>
  <c r="A60" i="17"/>
  <c r="B60" i="17"/>
  <c r="C60" i="17"/>
  <c r="D60" i="17"/>
  <c r="E60" i="17"/>
  <c r="F60" i="17"/>
  <c r="G60" i="17"/>
  <c r="H60" i="17"/>
  <c r="I60" i="17"/>
  <c r="J60" i="17"/>
  <c r="K60" i="17"/>
  <c r="L60" i="17"/>
  <c r="M60" i="17"/>
  <c r="N60" i="17"/>
  <c r="O60" i="17"/>
  <c r="P60" i="17"/>
  <c r="Q60" i="17"/>
  <c r="R60" i="17"/>
  <c r="S60" i="17"/>
  <c r="T60" i="17"/>
  <c r="U60" i="17"/>
  <c r="V60" i="17"/>
  <c r="W60" i="17"/>
  <c r="X60" i="17"/>
  <c r="A61" i="17"/>
  <c r="B61" i="17"/>
  <c r="C61" i="17"/>
  <c r="D61" i="17"/>
  <c r="E61" i="17"/>
  <c r="F61" i="17"/>
  <c r="G61" i="17"/>
  <c r="H61" i="17"/>
  <c r="I61" i="17"/>
  <c r="J61" i="17"/>
  <c r="K61" i="17"/>
  <c r="L61" i="17"/>
  <c r="M61" i="17"/>
  <c r="N61" i="17"/>
  <c r="O61" i="17"/>
  <c r="P61" i="17"/>
  <c r="Q61" i="17"/>
  <c r="R61" i="17"/>
  <c r="S61" i="17"/>
  <c r="T61" i="17"/>
  <c r="U61" i="17"/>
  <c r="V61" i="17"/>
  <c r="W61" i="17"/>
  <c r="X61" i="17"/>
  <c r="A62" i="17"/>
  <c r="B62" i="17"/>
  <c r="C62" i="17"/>
  <c r="D62" i="17"/>
  <c r="E62" i="17"/>
  <c r="F62" i="17"/>
  <c r="G62" i="17"/>
  <c r="H62" i="17"/>
  <c r="I62" i="17"/>
  <c r="J62" i="17"/>
  <c r="K62" i="17"/>
  <c r="L62" i="17"/>
  <c r="M62" i="17"/>
  <c r="N62" i="17"/>
  <c r="O62" i="17"/>
  <c r="P62" i="17"/>
  <c r="Q62" i="17"/>
  <c r="R62" i="17"/>
  <c r="S62" i="17"/>
  <c r="T62" i="17"/>
  <c r="U62" i="17"/>
  <c r="V62" i="17"/>
  <c r="W62" i="17"/>
  <c r="X62" i="17"/>
  <c r="A63" i="17"/>
  <c r="B63" i="17"/>
  <c r="C63" i="17"/>
  <c r="D63" i="17"/>
  <c r="E63" i="17"/>
  <c r="F63" i="17"/>
  <c r="G63" i="17"/>
  <c r="H63" i="17"/>
  <c r="I63" i="17"/>
  <c r="J63" i="17"/>
  <c r="K63" i="17"/>
  <c r="L63" i="17"/>
  <c r="M63" i="17"/>
  <c r="N63" i="17"/>
  <c r="O63" i="17"/>
  <c r="P63" i="17"/>
  <c r="Q63" i="17"/>
  <c r="R63" i="17"/>
  <c r="S63" i="17"/>
  <c r="T63" i="17"/>
  <c r="U63" i="17"/>
  <c r="V63" i="17"/>
  <c r="W63" i="17"/>
  <c r="X63" i="17"/>
  <c r="A64" i="17"/>
  <c r="B64" i="17"/>
  <c r="C64" i="17"/>
  <c r="D64" i="17"/>
  <c r="E64" i="17"/>
  <c r="F64" i="17"/>
  <c r="G64" i="17"/>
  <c r="H64" i="17"/>
  <c r="I64" i="17"/>
  <c r="J64" i="17"/>
  <c r="K64" i="17"/>
  <c r="L64" i="17"/>
  <c r="M64" i="17"/>
  <c r="N64" i="17"/>
  <c r="O64" i="17"/>
  <c r="P64" i="17"/>
  <c r="Q64" i="17"/>
  <c r="R64" i="17"/>
  <c r="S64" i="17"/>
  <c r="T64" i="17"/>
  <c r="U64" i="17"/>
  <c r="V64" i="17"/>
  <c r="W64" i="17"/>
  <c r="X64" i="17"/>
  <c r="A65" i="17"/>
  <c r="B65" i="17"/>
  <c r="C65" i="17"/>
  <c r="D65" i="17"/>
  <c r="E65" i="17"/>
  <c r="F65" i="17"/>
  <c r="G65" i="17"/>
  <c r="H65" i="17"/>
  <c r="I65" i="17"/>
  <c r="J65" i="17"/>
  <c r="K65" i="17"/>
  <c r="L65" i="17"/>
  <c r="M65" i="17"/>
  <c r="N65" i="17"/>
  <c r="O65" i="17"/>
  <c r="P65" i="17"/>
  <c r="Q65" i="17"/>
  <c r="R65" i="17"/>
  <c r="S65" i="17"/>
  <c r="T65" i="17"/>
  <c r="U65" i="17"/>
  <c r="V65" i="17"/>
  <c r="W65" i="17"/>
  <c r="X65" i="17"/>
  <c r="A66" i="17"/>
  <c r="B66" i="17"/>
  <c r="C66" i="17"/>
  <c r="D66" i="17"/>
  <c r="E66" i="17"/>
  <c r="F66" i="17"/>
  <c r="G66" i="17"/>
  <c r="H66" i="17"/>
  <c r="I66" i="17"/>
  <c r="J66" i="17"/>
  <c r="K66" i="17"/>
  <c r="L66" i="17"/>
  <c r="M66" i="17"/>
  <c r="N66" i="17"/>
  <c r="O66" i="17"/>
  <c r="P66" i="17"/>
  <c r="Q66" i="17"/>
  <c r="R66" i="17"/>
  <c r="S66" i="17"/>
  <c r="T66" i="17"/>
  <c r="U66" i="17"/>
  <c r="V66" i="17"/>
  <c r="W66" i="17"/>
  <c r="X66" i="17"/>
  <c r="A67" i="17"/>
  <c r="B67" i="17"/>
  <c r="C67" i="17"/>
  <c r="D67" i="17"/>
  <c r="E67" i="17"/>
  <c r="F67" i="17"/>
  <c r="G67" i="17"/>
  <c r="H67" i="17"/>
  <c r="I67" i="17"/>
  <c r="J67" i="17"/>
  <c r="K67" i="17"/>
  <c r="L67" i="17"/>
  <c r="M67" i="17"/>
  <c r="N67" i="17"/>
  <c r="O67" i="17"/>
  <c r="P67" i="17"/>
  <c r="Q67" i="17"/>
  <c r="R67" i="17"/>
  <c r="S67" i="17"/>
  <c r="T67" i="17"/>
  <c r="U67" i="17"/>
  <c r="V67" i="17"/>
  <c r="W67" i="17"/>
  <c r="X67" i="17"/>
  <c r="A68" i="17"/>
  <c r="B68" i="17"/>
  <c r="C68" i="17"/>
  <c r="D68" i="17"/>
  <c r="E68" i="17"/>
  <c r="F68" i="17"/>
  <c r="G68" i="17"/>
  <c r="H68" i="17"/>
  <c r="I68" i="17"/>
  <c r="J68" i="17"/>
  <c r="K68" i="17"/>
  <c r="L68" i="17"/>
  <c r="M68" i="17"/>
  <c r="N68" i="17"/>
  <c r="O68" i="17"/>
  <c r="P68" i="17"/>
  <c r="Q68" i="17"/>
  <c r="R68" i="17"/>
  <c r="S68" i="17"/>
  <c r="T68" i="17"/>
  <c r="U68" i="17"/>
  <c r="V68" i="17"/>
  <c r="W68" i="17"/>
  <c r="X68" i="17"/>
  <c r="A69" i="17"/>
  <c r="B69" i="17"/>
  <c r="C69" i="17"/>
  <c r="D69" i="17"/>
  <c r="E69" i="17"/>
  <c r="F69" i="17"/>
  <c r="G69" i="17"/>
  <c r="H69" i="17"/>
  <c r="I69" i="17"/>
  <c r="J69" i="17"/>
  <c r="K69" i="17"/>
  <c r="L69" i="17"/>
  <c r="M69" i="17"/>
  <c r="N69" i="17"/>
  <c r="O69" i="17"/>
  <c r="P69" i="17"/>
  <c r="Q69" i="17"/>
  <c r="R69" i="17"/>
  <c r="S69" i="17"/>
  <c r="T69" i="17"/>
  <c r="U69" i="17"/>
  <c r="V69" i="17"/>
  <c r="W69" i="17"/>
  <c r="X69" i="17"/>
  <c r="A70" i="17"/>
  <c r="B70" i="17"/>
  <c r="C70" i="17"/>
  <c r="D70" i="17"/>
  <c r="E70" i="17"/>
  <c r="F70" i="17"/>
  <c r="G70" i="17"/>
  <c r="H70" i="17"/>
  <c r="I70" i="17"/>
  <c r="J70" i="17"/>
  <c r="K70" i="17"/>
  <c r="L70" i="17"/>
  <c r="M70" i="17"/>
  <c r="N70" i="17"/>
  <c r="O70" i="17"/>
  <c r="P70" i="17"/>
  <c r="Q70" i="17"/>
  <c r="R70" i="17"/>
  <c r="S70" i="17"/>
  <c r="T70" i="17"/>
  <c r="U70" i="17"/>
  <c r="V70" i="17"/>
  <c r="W70" i="17"/>
  <c r="X70" i="17"/>
  <c r="A71" i="17"/>
  <c r="B71" i="17"/>
  <c r="C71" i="17"/>
  <c r="D71" i="17"/>
  <c r="E71" i="17"/>
  <c r="F71" i="17"/>
  <c r="G71" i="17"/>
  <c r="H71" i="17"/>
  <c r="I71" i="17"/>
  <c r="J71" i="17"/>
  <c r="K71" i="17"/>
  <c r="L71" i="17"/>
  <c r="M71" i="17"/>
  <c r="N71" i="17"/>
  <c r="O71" i="17"/>
  <c r="P71" i="17"/>
  <c r="Q71" i="17"/>
  <c r="R71" i="17"/>
  <c r="S71" i="17"/>
  <c r="T71" i="17"/>
  <c r="U71" i="17"/>
  <c r="V71" i="17"/>
  <c r="W71" i="17"/>
  <c r="X71" i="17"/>
  <c r="A72" i="17"/>
  <c r="B72" i="17"/>
  <c r="C72" i="17"/>
  <c r="D72" i="17"/>
  <c r="E72" i="17"/>
  <c r="F72" i="17"/>
  <c r="G72" i="17"/>
  <c r="H72" i="17"/>
  <c r="I72" i="17"/>
  <c r="J72" i="17"/>
  <c r="K72" i="17"/>
  <c r="L72" i="17"/>
  <c r="M72" i="17"/>
  <c r="N72" i="17"/>
  <c r="O72" i="17"/>
  <c r="P72" i="17"/>
  <c r="Q72" i="17"/>
  <c r="R72" i="17"/>
  <c r="S72" i="17"/>
  <c r="T72" i="17"/>
  <c r="U72" i="17"/>
  <c r="V72" i="17"/>
  <c r="W72" i="17"/>
  <c r="X72" i="17"/>
  <c r="A73" i="17"/>
  <c r="B73" i="17"/>
  <c r="C73" i="17"/>
  <c r="D73" i="17"/>
  <c r="E73" i="17"/>
  <c r="F73" i="17"/>
  <c r="G73" i="17"/>
  <c r="H73" i="17"/>
  <c r="I73" i="17"/>
  <c r="J73" i="17"/>
  <c r="K73" i="17"/>
  <c r="L73" i="17"/>
  <c r="M73" i="17"/>
  <c r="N73" i="17"/>
  <c r="O73" i="17"/>
  <c r="P73" i="17"/>
  <c r="Q73" i="17"/>
  <c r="R73" i="17"/>
  <c r="S73" i="17"/>
  <c r="T73" i="17"/>
  <c r="U73" i="17"/>
  <c r="V73" i="17"/>
  <c r="W73" i="17"/>
  <c r="X73" i="17"/>
  <c r="A74" i="17"/>
  <c r="B74" i="17"/>
  <c r="C74" i="17"/>
  <c r="D74" i="17"/>
  <c r="E74" i="17"/>
  <c r="F74" i="17"/>
  <c r="G74" i="17"/>
  <c r="H74" i="17"/>
  <c r="I74" i="17"/>
  <c r="J74" i="17"/>
  <c r="K74" i="17"/>
  <c r="L74" i="17"/>
  <c r="M74" i="17"/>
  <c r="N74" i="17"/>
  <c r="O74" i="17"/>
  <c r="P74" i="17"/>
  <c r="Q74" i="17"/>
  <c r="R74" i="17"/>
  <c r="S74" i="17"/>
  <c r="T74" i="17"/>
  <c r="U74" i="17"/>
  <c r="V74" i="17"/>
  <c r="W74" i="17"/>
  <c r="X74" i="17"/>
  <c r="A75" i="17"/>
  <c r="B75" i="17"/>
  <c r="C75" i="17"/>
  <c r="D75" i="17"/>
  <c r="E75" i="17"/>
  <c r="F75" i="17"/>
  <c r="G75" i="17"/>
  <c r="H75" i="17"/>
  <c r="I75" i="17"/>
  <c r="J75" i="17"/>
  <c r="K75" i="17"/>
  <c r="L75" i="17"/>
  <c r="M75" i="17"/>
  <c r="N75" i="17"/>
  <c r="O75" i="17"/>
  <c r="P75" i="17"/>
  <c r="Q75" i="17"/>
  <c r="R75" i="17"/>
  <c r="S75" i="17"/>
  <c r="T75" i="17"/>
  <c r="U75" i="17"/>
  <c r="V75" i="17"/>
  <c r="W75" i="17"/>
  <c r="X75" i="17"/>
  <c r="A76" i="17"/>
  <c r="B76" i="17"/>
  <c r="C76" i="17"/>
  <c r="D76" i="17"/>
  <c r="E76" i="17"/>
  <c r="F76" i="17"/>
  <c r="G76" i="17"/>
  <c r="H76" i="17"/>
  <c r="I76" i="17"/>
  <c r="J76" i="17"/>
  <c r="K76" i="17"/>
  <c r="L76" i="17"/>
  <c r="M76" i="17"/>
  <c r="N76" i="17"/>
  <c r="O76" i="17"/>
  <c r="P76" i="17"/>
  <c r="Q76" i="17"/>
  <c r="R76" i="17"/>
  <c r="S76" i="17"/>
  <c r="T76" i="17"/>
  <c r="U76" i="17"/>
  <c r="V76" i="17"/>
  <c r="W76" i="17"/>
  <c r="X76" i="17"/>
  <c r="A77" i="17"/>
  <c r="B77" i="17"/>
  <c r="C77" i="17"/>
  <c r="D77" i="17"/>
  <c r="E77" i="17"/>
  <c r="F77" i="17"/>
  <c r="G77" i="17"/>
  <c r="H77" i="17"/>
  <c r="I77" i="17"/>
  <c r="J77" i="17"/>
  <c r="K77" i="17"/>
  <c r="L77" i="17"/>
  <c r="M77" i="17"/>
  <c r="N77" i="17"/>
  <c r="O77" i="17"/>
  <c r="P77" i="17"/>
  <c r="Q77" i="17"/>
  <c r="R77" i="17"/>
  <c r="S77" i="17"/>
  <c r="T77" i="17"/>
  <c r="U77" i="17"/>
  <c r="V77" i="17"/>
  <c r="W77" i="17"/>
  <c r="X77" i="17"/>
  <c r="A78" i="17"/>
  <c r="B78" i="17"/>
  <c r="C78" i="17"/>
  <c r="D78" i="17"/>
  <c r="E78" i="17"/>
  <c r="F78" i="17"/>
  <c r="G78" i="17"/>
  <c r="H78" i="17"/>
  <c r="I78" i="17"/>
  <c r="J78" i="17"/>
  <c r="K78" i="17"/>
  <c r="L78" i="17"/>
  <c r="M78" i="17"/>
  <c r="N78" i="17"/>
  <c r="O78" i="17"/>
  <c r="P78" i="17"/>
  <c r="Q78" i="17"/>
  <c r="R78" i="17"/>
  <c r="S78" i="17"/>
  <c r="T78" i="17"/>
  <c r="U78" i="17"/>
  <c r="V78" i="17"/>
  <c r="W78" i="17"/>
  <c r="X78" i="17"/>
  <c r="A79" i="17"/>
  <c r="B79" i="17"/>
  <c r="C79" i="17"/>
  <c r="D79" i="17"/>
  <c r="E79" i="17"/>
  <c r="F79" i="17"/>
  <c r="G79" i="17"/>
  <c r="H79" i="17"/>
  <c r="I79" i="17"/>
  <c r="J79" i="17"/>
  <c r="K79" i="17"/>
  <c r="L79" i="17"/>
  <c r="M79" i="17"/>
  <c r="N79" i="17"/>
  <c r="O79" i="17"/>
  <c r="P79" i="17"/>
  <c r="Q79" i="17"/>
  <c r="R79" i="17"/>
  <c r="S79" i="17"/>
  <c r="T79" i="17"/>
  <c r="U79" i="17"/>
  <c r="V79" i="17"/>
  <c r="W79" i="17"/>
  <c r="X79" i="17"/>
  <c r="A80" i="17"/>
  <c r="B80" i="17"/>
  <c r="C80" i="17"/>
  <c r="D80" i="17"/>
  <c r="E80" i="17"/>
  <c r="F80" i="17"/>
  <c r="G80" i="17"/>
  <c r="H80" i="17"/>
  <c r="I80" i="17"/>
  <c r="J80" i="17"/>
  <c r="K80" i="17"/>
  <c r="L80" i="17"/>
  <c r="M80" i="17"/>
  <c r="N80" i="17"/>
  <c r="O80" i="17"/>
  <c r="P80" i="17"/>
  <c r="Q80" i="17"/>
  <c r="R80" i="17"/>
  <c r="S80" i="17"/>
  <c r="T80" i="17"/>
  <c r="U80" i="17"/>
  <c r="V80" i="17"/>
  <c r="W80" i="17"/>
  <c r="X80" i="17"/>
  <c r="A81" i="17"/>
  <c r="B81" i="17"/>
  <c r="C81" i="17"/>
  <c r="D81" i="17"/>
  <c r="E81" i="17"/>
  <c r="F81" i="17"/>
  <c r="G81" i="17"/>
  <c r="H81" i="17"/>
  <c r="I81" i="17"/>
  <c r="J81" i="17"/>
  <c r="K81" i="17"/>
  <c r="L81" i="17"/>
  <c r="M81" i="17"/>
  <c r="N81" i="17"/>
  <c r="O81" i="17"/>
  <c r="P81" i="17"/>
  <c r="Q81" i="17"/>
  <c r="R81" i="17"/>
  <c r="S81" i="17"/>
  <c r="T81" i="17"/>
  <c r="U81" i="17"/>
  <c r="V81" i="17"/>
  <c r="W81" i="17"/>
  <c r="X81" i="17"/>
  <c r="A82" i="17"/>
  <c r="B82" i="17"/>
  <c r="C82" i="17"/>
  <c r="D82" i="17"/>
  <c r="E82" i="17"/>
  <c r="F82" i="17"/>
  <c r="G82" i="17"/>
  <c r="H82" i="17"/>
  <c r="I82" i="17"/>
  <c r="J82" i="17"/>
  <c r="K82" i="17"/>
  <c r="L82" i="17"/>
  <c r="M82" i="17"/>
  <c r="N82" i="17"/>
  <c r="O82" i="17"/>
  <c r="P82" i="17"/>
  <c r="Q82" i="17"/>
  <c r="R82" i="17"/>
  <c r="S82" i="17"/>
  <c r="T82" i="17"/>
  <c r="U82" i="17"/>
  <c r="V82" i="17"/>
  <c r="W82" i="17"/>
  <c r="X82" i="17"/>
  <c r="A83" i="17"/>
  <c r="B83" i="17"/>
  <c r="C83" i="17"/>
  <c r="D83" i="17"/>
  <c r="E83" i="17"/>
  <c r="F83" i="17"/>
  <c r="G83" i="17"/>
  <c r="H83" i="17"/>
  <c r="I83" i="17"/>
  <c r="J83" i="17"/>
  <c r="K83" i="17"/>
  <c r="L83" i="17"/>
  <c r="M83" i="17"/>
  <c r="N83" i="17"/>
  <c r="O83" i="17"/>
  <c r="P83" i="17"/>
  <c r="Q83" i="17"/>
  <c r="R83" i="17"/>
  <c r="S83" i="17"/>
  <c r="T83" i="17"/>
  <c r="U83" i="17"/>
  <c r="V83" i="17"/>
  <c r="W83" i="17"/>
  <c r="X83" i="17"/>
  <c r="A84" i="17"/>
  <c r="B84" i="17"/>
  <c r="C84" i="17"/>
  <c r="D84" i="17"/>
  <c r="E84" i="17"/>
  <c r="F84" i="17"/>
  <c r="G84" i="17"/>
  <c r="H84" i="17"/>
  <c r="I84" i="17"/>
  <c r="J84" i="17"/>
  <c r="K84" i="17"/>
  <c r="L84" i="17"/>
  <c r="M84" i="17"/>
  <c r="N84" i="17"/>
  <c r="O84" i="17"/>
  <c r="P84" i="17"/>
  <c r="Q84" i="17"/>
  <c r="R84" i="17"/>
  <c r="S84" i="17"/>
  <c r="T84" i="17"/>
  <c r="U84" i="17"/>
  <c r="V84" i="17"/>
  <c r="W84" i="17"/>
  <c r="X84" i="17"/>
  <c r="A85" i="17"/>
  <c r="B85" i="17"/>
  <c r="C85" i="17"/>
  <c r="D85" i="17"/>
  <c r="E85" i="17"/>
  <c r="F85" i="17"/>
  <c r="G85" i="17"/>
  <c r="H85" i="17"/>
  <c r="I85" i="17"/>
  <c r="J85" i="17"/>
  <c r="K85" i="17"/>
  <c r="L85" i="17"/>
  <c r="M85" i="17"/>
  <c r="N85" i="17"/>
  <c r="O85" i="17"/>
  <c r="P85" i="17"/>
  <c r="Q85" i="17"/>
  <c r="R85" i="17"/>
  <c r="S85" i="17"/>
  <c r="T85" i="17"/>
  <c r="U85" i="17"/>
  <c r="V85" i="17"/>
  <c r="W85" i="17"/>
  <c r="X85" i="17"/>
  <c r="A86" i="17"/>
  <c r="B86" i="17"/>
  <c r="C86" i="17"/>
  <c r="D86" i="17"/>
  <c r="E86" i="17"/>
  <c r="F86" i="17"/>
  <c r="G86" i="17"/>
  <c r="H86" i="17"/>
  <c r="I86" i="17"/>
  <c r="J86" i="17"/>
  <c r="K86" i="17"/>
  <c r="L86" i="17"/>
  <c r="M86" i="17"/>
  <c r="N86" i="17"/>
  <c r="O86" i="17"/>
  <c r="P86" i="17"/>
  <c r="Q86" i="17"/>
  <c r="R86" i="17"/>
  <c r="S86" i="17"/>
  <c r="T86" i="17"/>
  <c r="U86" i="17"/>
  <c r="V86" i="17"/>
  <c r="W86" i="17"/>
  <c r="X86" i="17"/>
  <c r="A87" i="17"/>
  <c r="B87" i="17"/>
  <c r="C87" i="17"/>
  <c r="D87" i="17"/>
  <c r="E87" i="17"/>
  <c r="F87" i="17"/>
  <c r="G87" i="17"/>
  <c r="H87" i="17"/>
  <c r="I87" i="17"/>
  <c r="J87" i="17"/>
  <c r="K87" i="17"/>
  <c r="L87" i="17"/>
  <c r="M87" i="17"/>
  <c r="N87" i="17"/>
  <c r="O87" i="17"/>
  <c r="P87" i="17"/>
  <c r="Q87" i="17"/>
  <c r="R87" i="17"/>
  <c r="S87" i="17"/>
  <c r="T87" i="17"/>
  <c r="U87" i="17"/>
  <c r="V87" i="17"/>
  <c r="W87" i="17"/>
  <c r="X87" i="17"/>
  <c r="A88" i="17"/>
  <c r="B88" i="17"/>
  <c r="C88" i="17"/>
  <c r="D88" i="17"/>
  <c r="E88" i="17"/>
  <c r="F88" i="17"/>
  <c r="G88" i="17"/>
  <c r="H88" i="17"/>
  <c r="I88" i="17"/>
  <c r="J88" i="17"/>
  <c r="K88" i="17"/>
  <c r="L88" i="17"/>
  <c r="M88" i="17"/>
  <c r="N88" i="17"/>
  <c r="O88" i="17"/>
  <c r="P88" i="17"/>
  <c r="Q88" i="17"/>
  <c r="R88" i="17"/>
  <c r="S88" i="17"/>
  <c r="T88" i="17"/>
  <c r="U88" i="17"/>
  <c r="V88" i="17"/>
  <c r="W88" i="17"/>
  <c r="X88" i="17"/>
  <c r="A89" i="17"/>
  <c r="B89" i="17"/>
  <c r="C89" i="17"/>
  <c r="D89" i="17"/>
  <c r="E89" i="17"/>
  <c r="F89" i="17"/>
  <c r="G89" i="17"/>
  <c r="H89" i="17"/>
  <c r="I89" i="17"/>
  <c r="J89" i="17"/>
  <c r="K89" i="17"/>
  <c r="L89" i="17"/>
  <c r="M89" i="17"/>
  <c r="N89" i="17"/>
  <c r="O89" i="17"/>
  <c r="P89" i="17"/>
  <c r="Q89" i="17"/>
  <c r="R89" i="17"/>
  <c r="S89" i="17"/>
  <c r="T89" i="17"/>
  <c r="U89" i="17"/>
  <c r="V89" i="17"/>
  <c r="W89" i="17"/>
  <c r="X89" i="17"/>
  <c r="A90" i="17"/>
  <c r="B90" i="17"/>
  <c r="C90" i="17"/>
  <c r="D90" i="17"/>
  <c r="E90" i="17"/>
  <c r="F90" i="17"/>
  <c r="G90" i="17"/>
  <c r="H90" i="17"/>
  <c r="I90" i="17"/>
  <c r="J90" i="17"/>
  <c r="K90" i="17"/>
  <c r="L90" i="17"/>
  <c r="M90" i="17"/>
  <c r="N90" i="17"/>
  <c r="O90" i="17"/>
  <c r="P90" i="17"/>
  <c r="Q90" i="17"/>
  <c r="R90" i="17"/>
  <c r="S90" i="17"/>
  <c r="T90" i="17"/>
  <c r="U90" i="17"/>
  <c r="V90" i="17"/>
  <c r="W90" i="17"/>
  <c r="X90" i="17"/>
  <c r="A91" i="17"/>
  <c r="B91" i="17"/>
  <c r="C91" i="17"/>
  <c r="D91" i="17"/>
  <c r="E91" i="17"/>
  <c r="F91" i="17"/>
  <c r="G91" i="17"/>
  <c r="H91" i="17"/>
  <c r="I91" i="17"/>
  <c r="J91" i="17"/>
  <c r="K91" i="17"/>
  <c r="L91" i="17"/>
  <c r="M91" i="17"/>
  <c r="N91" i="17"/>
  <c r="O91" i="17"/>
  <c r="P91" i="17"/>
  <c r="Q91" i="17"/>
  <c r="R91" i="17"/>
  <c r="S91" i="17"/>
  <c r="T91" i="17"/>
  <c r="U91" i="17"/>
  <c r="V91" i="17"/>
  <c r="W91" i="17"/>
  <c r="X91" i="17"/>
  <c r="A92" i="17"/>
  <c r="B92" i="17"/>
  <c r="C92" i="17"/>
  <c r="D92" i="17"/>
  <c r="E92" i="17"/>
  <c r="F92" i="17"/>
  <c r="G92" i="17"/>
  <c r="H92" i="17"/>
  <c r="I92" i="17"/>
  <c r="J92" i="17"/>
  <c r="K92" i="17"/>
  <c r="L92" i="17"/>
  <c r="M92" i="17"/>
  <c r="N92" i="17"/>
  <c r="O92" i="17"/>
  <c r="P92" i="17"/>
  <c r="Q92" i="17"/>
  <c r="R92" i="17"/>
  <c r="S92" i="17"/>
  <c r="T92" i="17"/>
  <c r="U92" i="17"/>
  <c r="V92" i="17"/>
  <c r="W92" i="17"/>
  <c r="X92" i="17"/>
  <c r="A93" i="17"/>
  <c r="B93" i="17"/>
  <c r="C93" i="17"/>
  <c r="D93" i="17"/>
  <c r="E93" i="17"/>
  <c r="F93" i="17"/>
  <c r="G93" i="17"/>
  <c r="H93" i="17"/>
  <c r="I93" i="17"/>
  <c r="J93" i="17"/>
  <c r="K93" i="17"/>
  <c r="L93" i="17"/>
  <c r="M93" i="17"/>
  <c r="N93" i="17"/>
  <c r="O93" i="17"/>
  <c r="P93" i="17"/>
  <c r="Q93" i="17"/>
  <c r="R93" i="17"/>
  <c r="S93" i="17"/>
  <c r="T93" i="17"/>
  <c r="U93" i="17"/>
  <c r="V93" i="17"/>
  <c r="W93" i="17"/>
  <c r="X93" i="17"/>
  <c r="B4" i="17"/>
  <c r="C4" i="17"/>
  <c r="D4" i="17"/>
  <c r="E4" i="17"/>
  <c r="F4" i="17"/>
  <c r="G4" i="17"/>
  <c r="H4" i="17"/>
  <c r="I4" i="17"/>
  <c r="J4" i="17"/>
  <c r="K4" i="17"/>
  <c r="L4" i="17"/>
  <c r="M4" i="17"/>
  <c r="N4" i="17"/>
  <c r="O4" i="17"/>
  <c r="P4" i="17"/>
  <c r="Q4" i="17"/>
  <c r="R4" i="17"/>
  <c r="S4" i="17"/>
  <c r="T4" i="17"/>
  <c r="U4" i="17"/>
  <c r="V4" i="17"/>
  <c r="W4" i="17"/>
  <c r="X4" i="17"/>
  <c r="A4" i="17"/>
  <c r="AI2" i="12"/>
  <c r="AH2" i="12"/>
  <c r="AT29" i="12" l="1"/>
  <c r="AO44" i="12" s="1"/>
  <c r="D6" i="12"/>
  <c r="D89" i="12"/>
  <c r="D77" i="12"/>
  <c r="D65" i="12"/>
  <c r="D53" i="12"/>
  <c r="D41" i="12"/>
  <c r="D29" i="12"/>
  <c r="D17" i="12"/>
  <c r="D5" i="12"/>
  <c r="D88" i="12"/>
  <c r="D76" i="12"/>
  <c r="D64" i="12"/>
  <c r="D52" i="12"/>
  <c r="D40" i="12"/>
  <c r="D28" i="12"/>
  <c r="D16" i="12"/>
  <c r="D87" i="12"/>
  <c r="D75" i="12"/>
  <c r="D63" i="12"/>
  <c r="D51" i="12"/>
  <c r="D39" i="12"/>
  <c r="D27" i="12"/>
  <c r="D15" i="12"/>
  <c r="D90" i="12"/>
  <c r="D78" i="12"/>
  <c r="D66" i="12"/>
  <c r="D54" i="12"/>
  <c r="D42" i="12"/>
  <c r="D30" i="12"/>
  <c r="D18" i="12"/>
  <c r="D86" i="12"/>
  <c r="D74" i="12"/>
  <c r="D62" i="12"/>
  <c r="D50" i="12"/>
  <c r="D38" i="12"/>
  <c r="D26" i="12"/>
  <c r="D14" i="12"/>
  <c r="D85" i="12"/>
  <c r="D73" i="12"/>
  <c r="D61" i="12"/>
  <c r="D49" i="12"/>
  <c r="D37" i="12"/>
  <c r="D25" i="12"/>
  <c r="D13" i="12"/>
  <c r="D84" i="12"/>
  <c r="D72" i="12"/>
  <c r="D60" i="12"/>
  <c r="D48" i="12"/>
  <c r="D36" i="12"/>
  <c r="D24" i="12"/>
  <c r="D12" i="12"/>
  <c r="D83" i="12"/>
  <c r="D71" i="12"/>
  <c r="D59" i="12"/>
  <c r="D47" i="12"/>
  <c r="D35" i="12"/>
  <c r="D23" i="12"/>
  <c r="D11" i="12"/>
  <c r="D4" i="12"/>
  <c r="D82" i="12"/>
  <c r="D70" i="12"/>
  <c r="D58" i="12"/>
  <c r="D46" i="12"/>
  <c r="D34" i="12"/>
  <c r="D22" i="12"/>
  <c r="D10" i="12"/>
  <c r="D93" i="12"/>
  <c r="D81" i="12"/>
  <c r="D69" i="12"/>
  <c r="D57" i="12"/>
  <c r="D45" i="12"/>
  <c r="D33" i="12"/>
  <c r="D21" i="12"/>
  <c r="D9" i="12"/>
  <c r="D92" i="12"/>
  <c r="D80" i="12"/>
  <c r="D68" i="12"/>
  <c r="D56" i="12"/>
  <c r="D44" i="12"/>
  <c r="D32" i="12"/>
  <c r="D20" i="12"/>
  <c r="D8" i="12"/>
  <c r="D91" i="12"/>
  <c r="D79" i="12"/>
  <c r="D67" i="12"/>
  <c r="D55" i="12"/>
  <c r="D43" i="12"/>
  <c r="D31" i="12"/>
  <c r="D19" i="12"/>
  <c r="D7" i="12"/>
  <c r="AG2" i="12"/>
  <c r="L2" i="17"/>
  <c r="D2" i="17"/>
  <c r="T2" i="17"/>
  <c r="X93" i="15"/>
  <c r="W93" i="15"/>
  <c r="V93" i="15"/>
  <c r="U93" i="15"/>
  <c r="T93" i="15"/>
  <c r="S93" i="15"/>
  <c r="R93" i="15"/>
  <c r="Q93" i="15"/>
  <c r="P93" i="15"/>
  <c r="O93" i="15"/>
  <c r="N93" i="15"/>
  <c r="M93" i="15"/>
  <c r="L93" i="15"/>
  <c r="K93" i="15"/>
  <c r="J93" i="15"/>
  <c r="I93" i="15"/>
  <c r="H93" i="15"/>
  <c r="G93" i="15"/>
  <c r="F93" i="15"/>
  <c r="E93" i="15"/>
  <c r="D93" i="15"/>
  <c r="C93" i="15"/>
  <c r="B93" i="15"/>
  <c r="A93" i="15"/>
  <c r="X92" i="15"/>
  <c r="W92" i="15"/>
  <c r="V92" i="15"/>
  <c r="U92" i="15"/>
  <c r="T92" i="15"/>
  <c r="S92" i="15"/>
  <c r="R92" i="15"/>
  <c r="Q92" i="15"/>
  <c r="P92" i="15"/>
  <c r="O92" i="15"/>
  <c r="N92" i="15"/>
  <c r="M92" i="15"/>
  <c r="L92" i="15"/>
  <c r="K92" i="15"/>
  <c r="J92" i="15"/>
  <c r="I92" i="15"/>
  <c r="H92" i="15"/>
  <c r="G92" i="15"/>
  <c r="F92" i="15"/>
  <c r="E92" i="15"/>
  <c r="D92" i="15"/>
  <c r="C92" i="15"/>
  <c r="B92" i="15"/>
  <c r="A92" i="15"/>
  <c r="X91" i="15"/>
  <c r="W91" i="15"/>
  <c r="V91" i="15"/>
  <c r="U91" i="15"/>
  <c r="T91" i="15"/>
  <c r="S91" i="15"/>
  <c r="R91" i="15"/>
  <c r="Q91" i="15"/>
  <c r="P91" i="15"/>
  <c r="O91" i="15"/>
  <c r="N91" i="15"/>
  <c r="M91" i="15"/>
  <c r="L91" i="15"/>
  <c r="K91" i="15"/>
  <c r="J91" i="15"/>
  <c r="I91" i="15"/>
  <c r="H91" i="15"/>
  <c r="G91" i="15"/>
  <c r="F91" i="15"/>
  <c r="E91" i="15"/>
  <c r="D91" i="15"/>
  <c r="C91" i="15"/>
  <c r="B91" i="15"/>
  <c r="A91" i="15"/>
  <c r="X90" i="15"/>
  <c r="W90" i="15"/>
  <c r="V90" i="15"/>
  <c r="U90" i="15"/>
  <c r="T90" i="15"/>
  <c r="S90" i="15"/>
  <c r="R90" i="15"/>
  <c r="Q90" i="15"/>
  <c r="P90" i="15"/>
  <c r="O90" i="15"/>
  <c r="N90" i="15"/>
  <c r="M90" i="15"/>
  <c r="L90" i="15"/>
  <c r="K90" i="15"/>
  <c r="J90" i="15"/>
  <c r="I90" i="15"/>
  <c r="H90" i="15"/>
  <c r="G90" i="15"/>
  <c r="F90" i="15"/>
  <c r="E90" i="15"/>
  <c r="D90" i="15"/>
  <c r="C90" i="15"/>
  <c r="B90" i="15"/>
  <c r="A90" i="15"/>
  <c r="X89" i="15"/>
  <c r="W89" i="15"/>
  <c r="V89" i="15"/>
  <c r="U89" i="15"/>
  <c r="T89" i="15"/>
  <c r="S89" i="15"/>
  <c r="R89" i="15"/>
  <c r="Q89" i="15"/>
  <c r="P89" i="15"/>
  <c r="O89" i="15"/>
  <c r="N89" i="15"/>
  <c r="M89" i="15"/>
  <c r="L89" i="15"/>
  <c r="K89" i="15"/>
  <c r="J89" i="15"/>
  <c r="I89" i="15"/>
  <c r="H89" i="15"/>
  <c r="G89" i="15"/>
  <c r="F89" i="15"/>
  <c r="E89" i="15"/>
  <c r="D89" i="15"/>
  <c r="C89" i="15"/>
  <c r="B89" i="15"/>
  <c r="A89" i="15"/>
  <c r="X88" i="15"/>
  <c r="W88" i="15"/>
  <c r="V88" i="15"/>
  <c r="U88" i="15"/>
  <c r="T88" i="15"/>
  <c r="S88" i="15"/>
  <c r="R88" i="15"/>
  <c r="Q88" i="15"/>
  <c r="P88" i="15"/>
  <c r="O88" i="15"/>
  <c r="N88" i="15"/>
  <c r="M88" i="15"/>
  <c r="L88" i="15"/>
  <c r="K88" i="15"/>
  <c r="J88" i="15"/>
  <c r="I88" i="15"/>
  <c r="H88" i="15"/>
  <c r="G88" i="15"/>
  <c r="F88" i="15"/>
  <c r="E88" i="15"/>
  <c r="D88" i="15"/>
  <c r="C88" i="15"/>
  <c r="B88" i="15"/>
  <c r="A88" i="15"/>
  <c r="X87" i="15"/>
  <c r="W87" i="15"/>
  <c r="V87" i="15"/>
  <c r="U87" i="15"/>
  <c r="T87" i="15"/>
  <c r="S87" i="15"/>
  <c r="R87" i="15"/>
  <c r="Q87" i="15"/>
  <c r="P87" i="15"/>
  <c r="O87" i="15"/>
  <c r="N87" i="15"/>
  <c r="M87" i="15"/>
  <c r="L87" i="15"/>
  <c r="K87" i="15"/>
  <c r="J87" i="15"/>
  <c r="I87" i="15"/>
  <c r="H87" i="15"/>
  <c r="G87" i="15"/>
  <c r="F87" i="15"/>
  <c r="E87" i="15"/>
  <c r="D87" i="15"/>
  <c r="C87" i="15"/>
  <c r="B87" i="15"/>
  <c r="A87" i="15"/>
  <c r="X86" i="15"/>
  <c r="W86" i="15"/>
  <c r="V86" i="15"/>
  <c r="U86" i="15"/>
  <c r="T86" i="15"/>
  <c r="S86" i="15"/>
  <c r="R86" i="15"/>
  <c r="Q86" i="15"/>
  <c r="P86" i="15"/>
  <c r="O86" i="15"/>
  <c r="N86" i="15"/>
  <c r="M86" i="15"/>
  <c r="L86" i="15"/>
  <c r="K86" i="15"/>
  <c r="J86" i="15"/>
  <c r="I86" i="15"/>
  <c r="H86" i="15"/>
  <c r="G86" i="15"/>
  <c r="F86" i="15"/>
  <c r="E86" i="15"/>
  <c r="D86" i="15"/>
  <c r="C86" i="15"/>
  <c r="B86" i="15"/>
  <c r="A86" i="15"/>
  <c r="X85" i="15"/>
  <c r="W85" i="15"/>
  <c r="V85" i="15"/>
  <c r="U85" i="15"/>
  <c r="T85" i="15"/>
  <c r="S85" i="15"/>
  <c r="R85" i="15"/>
  <c r="Q85" i="15"/>
  <c r="P85" i="15"/>
  <c r="O85" i="15"/>
  <c r="N85" i="15"/>
  <c r="M85" i="15"/>
  <c r="L85" i="15"/>
  <c r="K85" i="15"/>
  <c r="J85" i="15"/>
  <c r="I85" i="15"/>
  <c r="H85" i="15"/>
  <c r="G85" i="15"/>
  <c r="F85" i="15"/>
  <c r="E85" i="15"/>
  <c r="D85" i="15"/>
  <c r="C85" i="15"/>
  <c r="B85" i="15"/>
  <c r="A85" i="15"/>
  <c r="X84" i="15"/>
  <c r="W84" i="15"/>
  <c r="V84" i="15"/>
  <c r="U84" i="15"/>
  <c r="T84" i="15"/>
  <c r="S84" i="15"/>
  <c r="R84" i="15"/>
  <c r="Q84" i="15"/>
  <c r="P84" i="15"/>
  <c r="O84" i="15"/>
  <c r="N84" i="15"/>
  <c r="M84" i="15"/>
  <c r="L84" i="15"/>
  <c r="K84" i="15"/>
  <c r="J84" i="15"/>
  <c r="I84" i="15"/>
  <c r="H84" i="15"/>
  <c r="G84" i="15"/>
  <c r="F84" i="15"/>
  <c r="E84" i="15"/>
  <c r="D84" i="15"/>
  <c r="C84" i="15"/>
  <c r="B84" i="15"/>
  <c r="A84" i="15"/>
  <c r="X83" i="15"/>
  <c r="W83" i="15"/>
  <c r="V83" i="15"/>
  <c r="U83" i="15"/>
  <c r="T83" i="15"/>
  <c r="S83" i="15"/>
  <c r="R83" i="15"/>
  <c r="Q83" i="15"/>
  <c r="P83" i="15"/>
  <c r="O83" i="15"/>
  <c r="N83" i="15"/>
  <c r="M83" i="15"/>
  <c r="L83" i="15"/>
  <c r="K83" i="15"/>
  <c r="J83" i="15"/>
  <c r="I83" i="15"/>
  <c r="H83" i="15"/>
  <c r="G83" i="15"/>
  <c r="F83" i="15"/>
  <c r="E83" i="15"/>
  <c r="D83" i="15"/>
  <c r="C83" i="15"/>
  <c r="B83" i="15"/>
  <c r="A83" i="15"/>
  <c r="X82" i="15"/>
  <c r="W82" i="15"/>
  <c r="V82" i="15"/>
  <c r="U82" i="15"/>
  <c r="T82" i="15"/>
  <c r="S82" i="15"/>
  <c r="R82" i="15"/>
  <c r="Q82" i="15"/>
  <c r="P82" i="15"/>
  <c r="O82" i="15"/>
  <c r="N82" i="15"/>
  <c r="M82" i="15"/>
  <c r="L82" i="15"/>
  <c r="K82" i="15"/>
  <c r="J82" i="15"/>
  <c r="I82" i="15"/>
  <c r="H82" i="15"/>
  <c r="G82" i="15"/>
  <c r="F82" i="15"/>
  <c r="E82" i="15"/>
  <c r="D82" i="15"/>
  <c r="C82" i="15"/>
  <c r="B82" i="15"/>
  <c r="A82" i="15"/>
  <c r="X81" i="15"/>
  <c r="W81" i="15"/>
  <c r="V81" i="15"/>
  <c r="U81" i="15"/>
  <c r="T81" i="15"/>
  <c r="S81" i="15"/>
  <c r="R81" i="15"/>
  <c r="Q81" i="15"/>
  <c r="P81" i="15"/>
  <c r="O81" i="15"/>
  <c r="N81" i="15"/>
  <c r="M81" i="15"/>
  <c r="L81" i="15"/>
  <c r="K81" i="15"/>
  <c r="J81" i="15"/>
  <c r="I81" i="15"/>
  <c r="H81" i="15"/>
  <c r="G81" i="15"/>
  <c r="F81" i="15"/>
  <c r="E81" i="15"/>
  <c r="D81" i="15"/>
  <c r="C81" i="15"/>
  <c r="B81" i="15"/>
  <c r="A81" i="15"/>
  <c r="X80" i="15"/>
  <c r="W80" i="15"/>
  <c r="V80" i="15"/>
  <c r="U80" i="15"/>
  <c r="T80" i="15"/>
  <c r="S80" i="15"/>
  <c r="R80" i="15"/>
  <c r="Q80" i="15"/>
  <c r="P80" i="15"/>
  <c r="O80" i="15"/>
  <c r="N80" i="15"/>
  <c r="M80" i="15"/>
  <c r="L80" i="15"/>
  <c r="K80" i="15"/>
  <c r="J80" i="15"/>
  <c r="I80" i="15"/>
  <c r="H80" i="15"/>
  <c r="G80" i="15"/>
  <c r="F80" i="15"/>
  <c r="E80" i="15"/>
  <c r="D80" i="15"/>
  <c r="C80" i="15"/>
  <c r="B80" i="15"/>
  <c r="A80" i="15"/>
  <c r="X79" i="15"/>
  <c r="W79" i="15"/>
  <c r="V79" i="15"/>
  <c r="U79" i="15"/>
  <c r="T79" i="15"/>
  <c r="S79" i="15"/>
  <c r="R79" i="15"/>
  <c r="Q79" i="15"/>
  <c r="P79" i="15"/>
  <c r="O79" i="15"/>
  <c r="N79" i="15"/>
  <c r="M79" i="15"/>
  <c r="L79" i="15"/>
  <c r="K79" i="15"/>
  <c r="J79" i="15"/>
  <c r="I79" i="15"/>
  <c r="H79" i="15"/>
  <c r="G79" i="15"/>
  <c r="F79" i="15"/>
  <c r="E79" i="15"/>
  <c r="D79" i="15"/>
  <c r="C79" i="15"/>
  <c r="B79" i="15"/>
  <c r="A79" i="15"/>
  <c r="X78" i="15"/>
  <c r="W78" i="15"/>
  <c r="V78" i="15"/>
  <c r="U78" i="15"/>
  <c r="T78" i="15"/>
  <c r="S78" i="15"/>
  <c r="R78" i="15"/>
  <c r="Q78" i="15"/>
  <c r="P78" i="15"/>
  <c r="O78" i="15"/>
  <c r="N78" i="15"/>
  <c r="M78" i="15"/>
  <c r="L78" i="15"/>
  <c r="K78" i="15"/>
  <c r="J78" i="15"/>
  <c r="I78" i="15"/>
  <c r="H78" i="15"/>
  <c r="G78" i="15"/>
  <c r="F78" i="15"/>
  <c r="E78" i="15"/>
  <c r="D78" i="15"/>
  <c r="C78" i="15"/>
  <c r="B78" i="15"/>
  <c r="A78" i="15"/>
  <c r="X77" i="15"/>
  <c r="W77" i="15"/>
  <c r="V77" i="15"/>
  <c r="U77" i="15"/>
  <c r="T77" i="15"/>
  <c r="S77" i="15"/>
  <c r="R77" i="15"/>
  <c r="Q77" i="15"/>
  <c r="P77" i="15"/>
  <c r="O77" i="15"/>
  <c r="N77" i="15"/>
  <c r="M77" i="15"/>
  <c r="L77" i="15"/>
  <c r="K77" i="15"/>
  <c r="J77" i="15"/>
  <c r="I77" i="15"/>
  <c r="H77" i="15"/>
  <c r="G77" i="15"/>
  <c r="F77" i="15"/>
  <c r="E77" i="15"/>
  <c r="D77" i="15"/>
  <c r="C77" i="15"/>
  <c r="B77" i="15"/>
  <c r="A77" i="15"/>
  <c r="X76" i="15"/>
  <c r="W76" i="15"/>
  <c r="V76" i="15"/>
  <c r="U76" i="15"/>
  <c r="T76" i="15"/>
  <c r="S76" i="15"/>
  <c r="R76" i="15"/>
  <c r="Q76" i="15"/>
  <c r="P76" i="15"/>
  <c r="O76" i="15"/>
  <c r="N76" i="15"/>
  <c r="M76" i="15"/>
  <c r="L76" i="15"/>
  <c r="K76" i="15"/>
  <c r="J76" i="15"/>
  <c r="I76" i="15"/>
  <c r="H76" i="15"/>
  <c r="G76" i="15"/>
  <c r="F76" i="15"/>
  <c r="E76" i="15"/>
  <c r="D76" i="15"/>
  <c r="C76" i="15"/>
  <c r="B76" i="15"/>
  <c r="A76" i="15"/>
  <c r="X75" i="15"/>
  <c r="W75" i="15"/>
  <c r="V75" i="15"/>
  <c r="U75" i="15"/>
  <c r="T75" i="15"/>
  <c r="S75" i="15"/>
  <c r="R75" i="15"/>
  <c r="Q75" i="15"/>
  <c r="P75" i="15"/>
  <c r="O75" i="15"/>
  <c r="N75" i="15"/>
  <c r="M75" i="15"/>
  <c r="L75" i="15"/>
  <c r="K75" i="15"/>
  <c r="J75" i="15"/>
  <c r="I75" i="15"/>
  <c r="H75" i="15"/>
  <c r="G75" i="15"/>
  <c r="F75" i="15"/>
  <c r="E75" i="15"/>
  <c r="D75" i="15"/>
  <c r="C75" i="15"/>
  <c r="B75" i="15"/>
  <c r="A75" i="15"/>
  <c r="X74" i="15"/>
  <c r="W74" i="15"/>
  <c r="V74" i="15"/>
  <c r="U74" i="15"/>
  <c r="T74" i="15"/>
  <c r="S74" i="15"/>
  <c r="R74" i="15"/>
  <c r="Q74" i="15"/>
  <c r="P74" i="15"/>
  <c r="O74" i="15"/>
  <c r="N74" i="15"/>
  <c r="M74" i="15"/>
  <c r="L74" i="15"/>
  <c r="K74" i="15"/>
  <c r="J74" i="15"/>
  <c r="I74" i="15"/>
  <c r="H74" i="15"/>
  <c r="G74" i="15"/>
  <c r="F74" i="15"/>
  <c r="E74" i="15"/>
  <c r="D74" i="15"/>
  <c r="C74" i="15"/>
  <c r="B74" i="15"/>
  <c r="A74" i="15"/>
  <c r="X73" i="15"/>
  <c r="W73" i="15"/>
  <c r="V73" i="15"/>
  <c r="U73" i="15"/>
  <c r="T73" i="15"/>
  <c r="S73" i="15"/>
  <c r="R73" i="15"/>
  <c r="Q73" i="15"/>
  <c r="P73" i="15"/>
  <c r="O73" i="15"/>
  <c r="N73" i="15"/>
  <c r="M73" i="15"/>
  <c r="L73" i="15"/>
  <c r="K73" i="15"/>
  <c r="J73" i="15"/>
  <c r="I73" i="15"/>
  <c r="H73" i="15"/>
  <c r="G73" i="15"/>
  <c r="F73" i="15"/>
  <c r="E73" i="15"/>
  <c r="D73" i="15"/>
  <c r="C73" i="15"/>
  <c r="B73" i="15"/>
  <c r="A73" i="15"/>
  <c r="X72" i="15"/>
  <c r="W72" i="15"/>
  <c r="V72" i="15"/>
  <c r="U72" i="15"/>
  <c r="T72" i="15"/>
  <c r="S72" i="15"/>
  <c r="R72" i="15"/>
  <c r="Q72" i="15"/>
  <c r="P72" i="15"/>
  <c r="O72" i="15"/>
  <c r="N72" i="15"/>
  <c r="M72" i="15"/>
  <c r="L72" i="15"/>
  <c r="K72" i="15"/>
  <c r="J72" i="15"/>
  <c r="I72" i="15"/>
  <c r="H72" i="15"/>
  <c r="G72" i="15"/>
  <c r="F72" i="15"/>
  <c r="E72" i="15"/>
  <c r="D72" i="15"/>
  <c r="C72" i="15"/>
  <c r="B72" i="15"/>
  <c r="A72" i="15"/>
  <c r="X71" i="15"/>
  <c r="W71" i="15"/>
  <c r="V71" i="15"/>
  <c r="U71" i="15"/>
  <c r="T71" i="15"/>
  <c r="S71" i="15"/>
  <c r="R71" i="15"/>
  <c r="Q71" i="15"/>
  <c r="P71" i="15"/>
  <c r="O71" i="15"/>
  <c r="N71" i="15"/>
  <c r="M71" i="15"/>
  <c r="L71" i="15"/>
  <c r="K71" i="15"/>
  <c r="J71" i="15"/>
  <c r="I71" i="15"/>
  <c r="H71" i="15"/>
  <c r="G71" i="15"/>
  <c r="F71" i="15"/>
  <c r="E71" i="15"/>
  <c r="D71" i="15"/>
  <c r="C71" i="15"/>
  <c r="B71" i="15"/>
  <c r="A71" i="15"/>
  <c r="X70" i="15"/>
  <c r="W70" i="15"/>
  <c r="V70" i="15"/>
  <c r="U70" i="15"/>
  <c r="T70" i="15"/>
  <c r="S70" i="15"/>
  <c r="R70" i="15"/>
  <c r="Q70" i="15"/>
  <c r="P70" i="15"/>
  <c r="O70" i="15"/>
  <c r="N70" i="15"/>
  <c r="M70" i="15"/>
  <c r="L70" i="15"/>
  <c r="K70" i="15"/>
  <c r="J70" i="15"/>
  <c r="I70" i="15"/>
  <c r="H70" i="15"/>
  <c r="G70" i="15"/>
  <c r="F70" i="15"/>
  <c r="E70" i="15"/>
  <c r="D70" i="15"/>
  <c r="C70" i="15"/>
  <c r="B70" i="15"/>
  <c r="A70" i="15"/>
  <c r="X69" i="15"/>
  <c r="W69" i="15"/>
  <c r="V69" i="15"/>
  <c r="U69" i="15"/>
  <c r="T69" i="15"/>
  <c r="S69" i="15"/>
  <c r="R69" i="15"/>
  <c r="Q69" i="15"/>
  <c r="P69" i="15"/>
  <c r="O69" i="15"/>
  <c r="N69" i="15"/>
  <c r="M69" i="15"/>
  <c r="L69" i="15"/>
  <c r="K69" i="15"/>
  <c r="J69" i="15"/>
  <c r="I69" i="15"/>
  <c r="H69" i="15"/>
  <c r="G69" i="15"/>
  <c r="F69" i="15"/>
  <c r="E69" i="15"/>
  <c r="D69" i="15"/>
  <c r="C69" i="15"/>
  <c r="B69" i="15"/>
  <c r="A69" i="15"/>
  <c r="X68" i="15"/>
  <c r="W68" i="15"/>
  <c r="V68" i="15"/>
  <c r="U68" i="15"/>
  <c r="T68" i="15"/>
  <c r="S68" i="15"/>
  <c r="R68" i="15"/>
  <c r="Q68" i="15"/>
  <c r="P68" i="15"/>
  <c r="O68" i="15"/>
  <c r="N68" i="15"/>
  <c r="M68" i="15"/>
  <c r="L68" i="15"/>
  <c r="K68" i="15"/>
  <c r="J68" i="15"/>
  <c r="I68" i="15"/>
  <c r="H68" i="15"/>
  <c r="G68" i="15"/>
  <c r="F68" i="15"/>
  <c r="E68" i="15"/>
  <c r="D68" i="15"/>
  <c r="C68" i="15"/>
  <c r="B68" i="15"/>
  <c r="A68" i="15"/>
  <c r="X67" i="15"/>
  <c r="W67" i="15"/>
  <c r="V67" i="15"/>
  <c r="U67" i="15"/>
  <c r="T67" i="15"/>
  <c r="S67" i="15"/>
  <c r="R67" i="15"/>
  <c r="Q67" i="15"/>
  <c r="P67" i="15"/>
  <c r="O67" i="15"/>
  <c r="N67" i="15"/>
  <c r="M67" i="15"/>
  <c r="L67" i="15"/>
  <c r="K67" i="15"/>
  <c r="J67" i="15"/>
  <c r="I67" i="15"/>
  <c r="H67" i="15"/>
  <c r="G67" i="15"/>
  <c r="F67" i="15"/>
  <c r="E67" i="15"/>
  <c r="D67" i="15"/>
  <c r="C67" i="15"/>
  <c r="B67" i="15"/>
  <c r="A67" i="15"/>
  <c r="X66" i="15"/>
  <c r="W66" i="15"/>
  <c r="V66" i="15"/>
  <c r="U66" i="15"/>
  <c r="T66" i="15"/>
  <c r="S66" i="15"/>
  <c r="R66" i="15"/>
  <c r="Q66" i="15"/>
  <c r="P66" i="15"/>
  <c r="O66" i="15"/>
  <c r="N66" i="15"/>
  <c r="M66" i="15"/>
  <c r="L66" i="15"/>
  <c r="K66" i="15"/>
  <c r="J66" i="15"/>
  <c r="I66" i="15"/>
  <c r="H66" i="15"/>
  <c r="G66" i="15"/>
  <c r="F66" i="15"/>
  <c r="E66" i="15"/>
  <c r="D66" i="15"/>
  <c r="C66" i="15"/>
  <c r="B66" i="15"/>
  <c r="A66" i="15"/>
  <c r="X65" i="15"/>
  <c r="W65" i="15"/>
  <c r="V65" i="15"/>
  <c r="U65" i="15"/>
  <c r="T65" i="15"/>
  <c r="S65" i="15"/>
  <c r="R65" i="15"/>
  <c r="Q65" i="15"/>
  <c r="P65" i="15"/>
  <c r="O65" i="15"/>
  <c r="N65" i="15"/>
  <c r="M65" i="15"/>
  <c r="L65" i="15"/>
  <c r="K65" i="15"/>
  <c r="J65" i="15"/>
  <c r="I65" i="15"/>
  <c r="H65" i="15"/>
  <c r="G65" i="15"/>
  <c r="F65" i="15"/>
  <c r="E65" i="15"/>
  <c r="D65" i="15"/>
  <c r="C65" i="15"/>
  <c r="B65" i="15"/>
  <c r="A65" i="15"/>
  <c r="X64" i="15"/>
  <c r="W64" i="15"/>
  <c r="V64" i="15"/>
  <c r="U64" i="15"/>
  <c r="T64" i="15"/>
  <c r="S64" i="15"/>
  <c r="R64" i="15"/>
  <c r="Q64" i="15"/>
  <c r="P64" i="15"/>
  <c r="O64" i="15"/>
  <c r="N64" i="15"/>
  <c r="M64" i="15"/>
  <c r="L64" i="15"/>
  <c r="K64" i="15"/>
  <c r="J64" i="15"/>
  <c r="I64" i="15"/>
  <c r="H64" i="15"/>
  <c r="G64" i="15"/>
  <c r="F64" i="15"/>
  <c r="E64" i="15"/>
  <c r="D64" i="15"/>
  <c r="C64" i="15"/>
  <c r="B64" i="15"/>
  <c r="A64" i="15"/>
  <c r="X63" i="15"/>
  <c r="W63" i="15"/>
  <c r="V63" i="15"/>
  <c r="U63" i="15"/>
  <c r="T63" i="15"/>
  <c r="S63" i="15"/>
  <c r="R63" i="15"/>
  <c r="Q63" i="15"/>
  <c r="P63" i="15"/>
  <c r="O63" i="15"/>
  <c r="N63" i="15"/>
  <c r="M63" i="15"/>
  <c r="L63" i="15"/>
  <c r="K63" i="15"/>
  <c r="J63" i="15"/>
  <c r="I63" i="15"/>
  <c r="H63" i="15"/>
  <c r="G63" i="15"/>
  <c r="F63" i="15"/>
  <c r="E63" i="15"/>
  <c r="D63" i="15"/>
  <c r="C63" i="15"/>
  <c r="B63" i="15"/>
  <c r="A63" i="15"/>
  <c r="X62" i="15"/>
  <c r="W62" i="15"/>
  <c r="V62" i="15"/>
  <c r="U62" i="15"/>
  <c r="T62" i="15"/>
  <c r="S62" i="15"/>
  <c r="R62" i="15"/>
  <c r="Q62" i="15"/>
  <c r="P62" i="15"/>
  <c r="O62" i="15"/>
  <c r="N62" i="15"/>
  <c r="M62" i="15"/>
  <c r="L62" i="15"/>
  <c r="K62" i="15"/>
  <c r="J62" i="15"/>
  <c r="I62" i="15"/>
  <c r="H62" i="15"/>
  <c r="G62" i="15"/>
  <c r="F62" i="15"/>
  <c r="E62" i="15"/>
  <c r="D62" i="15"/>
  <c r="C62" i="15"/>
  <c r="B62" i="15"/>
  <c r="A62" i="15"/>
  <c r="X61" i="15"/>
  <c r="W61" i="15"/>
  <c r="V61" i="15"/>
  <c r="U61" i="15"/>
  <c r="T61" i="15"/>
  <c r="S61" i="15"/>
  <c r="R61" i="15"/>
  <c r="Q61" i="15"/>
  <c r="P61" i="15"/>
  <c r="O61" i="15"/>
  <c r="N61" i="15"/>
  <c r="M61" i="15"/>
  <c r="L61" i="15"/>
  <c r="K61" i="15"/>
  <c r="J61" i="15"/>
  <c r="I61" i="15"/>
  <c r="H61" i="15"/>
  <c r="G61" i="15"/>
  <c r="F61" i="15"/>
  <c r="E61" i="15"/>
  <c r="D61" i="15"/>
  <c r="C61" i="15"/>
  <c r="B61" i="15"/>
  <c r="A61" i="15"/>
  <c r="X60" i="15"/>
  <c r="W60" i="15"/>
  <c r="V60" i="15"/>
  <c r="U60" i="15"/>
  <c r="T60" i="15"/>
  <c r="S60" i="15"/>
  <c r="R60" i="15"/>
  <c r="Q60" i="15"/>
  <c r="P60" i="15"/>
  <c r="O60" i="15"/>
  <c r="N60" i="15"/>
  <c r="M60" i="15"/>
  <c r="L60" i="15"/>
  <c r="K60" i="15"/>
  <c r="J60" i="15"/>
  <c r="I60" i="15"/>
  <c r="H60" i="15"/>
  <c r="G60" i="15"/>
  <c r="F60" i="15"/>
  <c r="E60" i="15"/>
  <c r="D60" i="15"/>
  <c r="C60" i="15"/>
  <c r="B60" i="15"/>
  <c r="A60" i="15"/>
  <c r="X59" i="15"/>
  <c r="W59" i="15"/>
  <c r="V59" i="15"/>
  <c r="U59" i="15"/>
  <c r="T59" i="15"/>
  <c r="S59" i="15"/>
  <c r="R59" i="15"/>
  <c r="Q59" i="15"/>
  <c r="P59" i="15"/>
  <c r="O59" i="15"/>
  <c r="N59" i="15"/>
  <c r="M59" i="15"/>
  <c r="L59" i="15"/>
  <c r="K59" i="15"/>
  <c r="J59" i="15"/>
  <c r="I59" i="15"/>
  <c r="H59" i="15"/>
  <c r="G59" i="15"/>
  <c r="F59" i="15"/>
  <c r="E59" i="15"/>
  <c r="D59" i="15"/>
  <c r="C59" i="15"/>
  <c r="B59" i="15"/>
  <c r="A59" i="15"/>
  <c r="X58" i="15"/>
  <c r="W58" i="15"/>
  <c r="V58" i="15"/>
  <c r="U58" i="15"/>
  <c r="T58" i="15"/>
  <c r="S58" i="15"/>
  <c r="R58" i="15"/>
  <c r="Q58" i="15"/>
  <c r="P58" i="15"/>
  <c r="O58" i="15"/>
  <c r="N58" i="15"/>
  <c r="M58" i="15"/>
  <c r="L58" i="15"/>
  <c r="K58" i="15"/>
  <c r="J58" i="15"/>
  <c r="I58" i="15"/>
  <c r="H58" i="15"/>
  <c r="G58" i="15"/>
  <c r="F58" i="15"/>
  <c r="E58" i="15"/>
  <c r="D58" i="15"/>
  <c r="C58" i="15"/>
  <c r="B58" i="15"/>
  <c r="A58" i="15"/>
  <c r="X57" i="15"/>
  <c r="W57" i="15"/>
  <c r="V57" i="15"/>
  <c r="U57" i="15"/>
  <c r="T57" i="15"/>
  <c r="S57" i="15"/>
  <c r="R57" i="15"/>
  <c r="Q57" i="15"/>
  <c r="P57" i="15"/>
  <c r="O57" i="15"/>
  <c r="N57" i="15"/>
  <c r="M57" i="15"/>
  <c r="L57" i="15"/>
  <c r="K57" i="15"/>
  <c r="J57" i="15"/>
  <c r="I57" i="15"/>
  <c r="H57" i="15"/>
  <c r="G57" i="15"/>
  <c r="F57" i="15"/>
  <c r="E57" i="15"/>
  <c r="D57" i="15"/>
  <c r="C57" i="15"/>
  <c r="B57" i="15"/>
  <c r="A57" i="15"/>
  <c r="X56" i="15"/>
  <c r="W56" i="15"/>
  <c r="V56" i="15"/>
  <c r="U56" i="15"/>
  <c r="T56" i="15"/>
  <c r="S56" i="15"/>
  <c r="R56" i="15"/>
  <c r="Q56" i="15"/>
  <c r="P56" i="15"/>
  <c r="O56" i="15"/>
  <c r="N56" i="15"/>
  <c r="M56" i="15"/>
  <c r="L56" i="15"/>
  <c r="K56" i="15"/>
  <c r="J56" i="15"/>
  <c r="I56" i="15"/>
  <c r="H56" i="15"/>
  <c r="G56" i="15"/>
  <c r="F56" i="15"/>
  <c r="E56" i="15"/>
  <c r="D56" i="15"/>
  <c r="C56" i="15"/>
  <c r="B56" i="15"/>
  <c r="A56" i="15"/>
  <c r="X55" i="15"/>
  <c r="W55" i="15"/>
  <c r="V55" i="15"/>
  <c r="U55" i="15"/>
  <c r="T55" i="15"/>
  <c r="S55" i="15"/>
  <c r="R55" i="15"/>
  <c r="Q55" i="15"/>
  <c r="P55" i="15"/>
  <c r="O55" i="15"/>
  <c r="N55" i="15"/>
  <c r="M55" i="15"/>
  <c r="L55" i="15"/>
  <c r="K55" i="15"/>
  <c r="J55" i="15"/>
  <c r="I55" i="15"/>
  <c r="H55" i="15"/>
  <c r="G55" i="15"/>
  <c r="F55" i="15"/>
  <c r="E55" i="15"/>
  <c r="D55" i="15"/>
  <c r="C55" i="15"/>
  <c r="B55" i="15"/>
  <c r="A55" i="15"/>
  <c r="X54" i="15"/>
  <c r="W54" i="15"/>
  <c r="V54" i="15"/>
  <c r="U54" i="15"/>
  <c r="T54" i="15"/>
  <c r="S54" i="15"/>
  <c r="R54" i="15"/>
  <c r="Q54" i="15"/>
  <c r="P54" i="15"/>
  <c r="O54" i="15"/>
  <c r="N54" i="15"/>
  <c r="M54" i="15"/>
  <c r="L54" i="15"/>
  <c r="K54" i="15"/>
  <c r="J54" i="15"/>
  <c r="I54" i="15"/>
  <c r="H54" i="15"/>
  <c r="G54" i="15"/>
  <c r="F54" i="15"/>
  <c r="E54" i="15"/>
  <c r="D54" i="15"/>
  <c r="C54" i="15"/>
  <c r="B54" i="15"/>
  <c r="A54" i="15"/>
  <c r="X53" i="15"/>
  <c r="W53" i="15"/>
  <c r="V53" i="15"/>
  <c r="U53" i="15"/>
  <c r="T53" i="15"/>
  <c r="S53" i="15"/>
  <c r="R53" i="15"/>
  <c r="Q53" i="15"/>
  <c r="P53" i="15"/>
  <c r="O53" i="15"/>
  <c r="N53" i="15"/>
  <c r="M53" i="15"/>
  <c r="L53" i="15"/>
  <c r="K53" i="15"/>
  <c r="J53" i="15"/>
  <c r="I53" i="15"/>
  <c r="H53" i="15"/>
  <c r="G53" i="15"/>
  <c r="F53" i="15"/>
  <c r="E53" i="15"/>
  <c r="D53" i="15"/>
  <c r="C53" i="15"/>
  <c r="B53" i="15"/>
  <c r="A53" i="15"/>
  <c r="X52" i="15"/>
  <c r="W52" i="15"/>
  <c r="V52" i="15"/>
  <c r="U52" i="15"/>
  <c r="T52" i="15"/>
  <c r="S52" i="15"/>
  <c r="R52" i="15"/>
  <c r="Q52" i="15"/>
  <c r="P52" i="15"/>
  <c r="O52" i="15"/>
  <c r="N52" i="15"/>
  <c r="M52" i="15"/>
  <c r="L52" i="15"/>
  <c r="K52" i="15"/>
  <c r="J52" i="15"/>
  <c r="I52" i="15"/>
  <c r="H52" i="15"/>
  <c r="G52" i="15"/>
  <c r="F52" i="15"/>
  <c r="E52" i="15"/>
  <c r="D52" i="15"/>
  <c r="C52" i="15"/>
  <c r="B52" i="15"/>
  <c r="A52" i="15"/>
  <c r="X51" i="15"/>
  <c r="W51" i="15"/>
  <c r="V51" i="15"/>
  <c r="U51" i="15"/>
  <c r="T51" i="15"/>
  <c r="S51" i="15"/>
  <c r="R51" i="15"/>
  <c r="Q51" i="15"/>
  <c r="P51" i="15"/>
  <c r="O51" i="15"/>
  <c r="N51" i="15"/>
  <c r="M51" i="15"/>
  <c r="L51" i="15"/>
  <c r="K51" i="15"/>
  <c r="J51" i="15"/>
  <c r="I51" i="15"/>
  <c r="H51" i="15"/>
  <c r="G51" i="15"/>
  <c r="F51" i="15"/>
  <c r="E51" i="15"/>
  <c r="D51" i="15"/>
  <c r="C51" i="15"/>
  <c r="B51" i="15"/>
  <c r="A51" i="15"/>
  <c r="X50" i="15"/>
  <c r="W50" i="15"/>
  <c r="V50" i="15"/>
  <c r="U50" i="15"/>
  <c r="T50" i="15"/>
  <c r="S50" i="15"/>
  <c r="R50" i="15"/>
  <c r="Q50" i="15"/>
  <c r="P50" i="15"/>
  <c r="O50" i="15"/>
  <c r="N50" i="15"/>
  <c r="M50" i="15"/>
  <c r="L50" i="15"/>
  <c r="K50" i="15"/>
  <c r="J50" i="15"/>
  <c r="I50" i="15"/>
  <c r="H50" i="15"/>
  <c r="G50" i="15"/>
  <c r="F50" i="15"/>
  <c r="E50" i="15"/>
  <c r="D50" i="15"/>
  <c r="C50" i="15"/>
  <c r="B50" i="15"/>
  <c r="A50" i="15"/>
  <c r="X49" i="15"/>
  <c r="W49" i="15"/>
  <c r="V49" i="15"/>
  <c r="U49" i="15"/>
  <c r="T49" i="15"/>
  <c r="S49" i="15"/>
  <c r="R49" i="15"/>
  <c r="Q49" i="15"/>
  <c r="P49" i="15"/>
  <c r="O49" i="15"/>
  <c r="N49" i="15"/>
  <c r="M49" i="15"/>
  <c r="L49" i="15"/>
  <c r="K49" i="15"/>
  <c r="J49" i="15"/>
  <c r="I49" i="15"/>
  <c r="H49" i="15"/>
  <c r="G49" i="15"/>
  <c r="F49" i="15"/>
  <c r="E49" i="15"/>
  <c r="D49" i="15"/>
  <c r="C49" i="15"/>
  <c r="B49" i="15"/>
  <c r="A49" i="15"/>
  <c r="X48" i="15"/>
  <c r="W48" i="15"/>
  <c r="V48" i="15"/>
  <c r="U48" i="15"/>
  <c r="T48" i="15"/>
  <c r="S48" i="15"/>
  <c r="R48" i="15"/>
  <c r="Q48" i="15"/>
  <c r="P48" i="15"/>
  <c r="O48" i="15"/>
  <c r="N48" i="15"/>
  <c r="M48" i="15"/>
  <c r="L48" i="15"/>
  <c r="K48" i="15"/>
  <c r="J48" i="15"/>
  <c r="I48" i="15"/>
  <c r="H48" i="15"/>
  <c r="G48" i="15"/>
  <c r="F48" i="15"/>
  <c r="E48" i="15"/>
  <c r="D48" i="15"/>
  <c r="C48" i="15"/>
  <c r="B48" i="15"/>
  <c r="A48" i="15"/>
  <c r="X47" i="15"/>
  <c r="W47" i="15"/>
  <c r="V47" i="15"/>
  <c r="U47" i="15"/>
  <c r="T47" i="15"/>
  <c r="S47" i="15"/>
  <c r="R47" i="15"/>
  <c r="Q47" i="15"/>
  <c r="P47" i="15"/>
  <c r="O47" i="15"/>
  <c r="N47" i="15"/>
  <c r="M47" i="15"/>
  <c r="L47" i="15"/>
  <c r="K47" i="15"/>
  <c r="J47" i="15"/>
  <c r="I47" i="15"/>
  <c r="H47" i="15"/>
  <c r="G47" i="15"/>
  <c r="F47" i="15"/>
  <c r="E47" i="15"/>
  <c r="D47" i="15"/>
  <c r="C47" i="15"/>
  <c r="B47" i="15"/>
  <c r="A47" i="15"/>
  <c r="X46" i="15"/>
  <c r="W46" i="15"/>
  <c r="V46" i="15"/>
  <c r="U46" i="15"/>
  <c r="T46" i="15"/>
  <c r="S46" i="15"/>
  <c r="R46" i="15"/>
  <c r="Q46" i="15"/>
  <c r="P46" i="15"/>
  <c r="O46" i="15"/>
  <c r="N46" i="15"/>
  <c r="M46" i="15"/>
  <c r="L46" i="15"/>
  <c r="K46" i="15"/>
  <c r="J46" i="15"/>
  <c r="I46" i="15"/>
  <c r="H46" i="15"/>
  <c r="G46" i="15"/>
  <c r="F46" i="15"/>
  <c r="E46" i="15"/>
  <c r="D46" i="15"/>
  <c r="C46" i="15"/>
  <c r="B46" i="15"/>
  <c r="A46" i="15"/>
  <c r="X45" i="15"/>
  <c r="W45" i="15"/>
  <c r="V45" i="15"/>
  <c r="U45" i="15"/>
  <c r="T45" i="15"/>
  <c r="S45" i="15"/>
  <c r="R45" i="15"/>
  <c r="Q45" i="15"/>
  <c r="P45" i="15"/>
  <c r="O45" i="15"/>
  <c r="N45" i="15"/>
  <c r="M45" i="15"/>
  <c r="L45" i="15"/>
  <c r="K45" i="15"/>
  <c r="J45" i="15"/>
  <c r="I45" i="15"/>
  <c r="H45" i="15"/>
  <c r="G45" i="15"/>
  <c r="F45" i="15"/>
  <c r="E45" i="15"/>
  <c r="D45" i="15"/>
  <c r="C45" i="15"/>
  <c r="B45" i="15"/>
  <c r="A45" i="15"/>
  <c r="X44" i="15"/>
  <c r="W44" i="15"/>
  <c r="V44" i="15"/>
  <c r="U44" i="15"/>
  <c r="T44" i="15"/>
  <c r="S44" i="15"/>
  <c r="R44" i="15"/>
  <c r="Q44" i="15"/>
  <c r="P44" i="15"/>
  <c r="O44" i="15"/>
  <c r="N44" i="15"/>
  <c r="M44" i="15"/>
  <c r="L44" i="15"/>
  <c r="K44" i="15"/>
  <c r="J44" i="15"/>
  <c r="I44" i="15"/>
  <c r="H44" i="15"/>
  <c r="G44" i="15"/>
  <c r="F44" i="15"/>
  <c r="E44" i="15"/>
  <c r="D44" i="15"/>
  <c r="C44" i="15"/>
  <c r="B44" i="15"/>
  <c r="A44" i="15"/>
  <c r="X43" i="15"/>
  <c r="W43" i="15"/>
  <c r="V43" i="15"/>
  <c r="U43" i="15"/>
  <c r="T43" i="15"/>
  <c r="S43" i="15"/>
  <c r="R43" i="15"/>
  <c r="Q43" i="15"/>
  <c r="P43" i="15"/>
  <c r="O43" i="15"/>
  <c r="N43" i="15"/>
  <c r="M43" i="15"/>
  <c r="L43" i="15"/>
  <c r="K43" i="15"/>
  <c r="J43" i="15"/>
  <c r="I43" i="15"/>
  <c r="H43" i="15"/>
  <c r="G43" i="15"/>
  <c r="F43" i="15"/>
  <c r="E43" i="15"/>
  <c r="D43" i="15"/>
  <c r="C43" i="15"/>
  <c r="B43" i="15"/>
  <c r="A43" i="15"/>
  <c r="X42" i="15"/>
  <c r="W42" i="15"/>
  <c r="V42" i="15"/>
  <c r="U42" i="15"/>
  <c r="T42" i="15"/>
  <c r="S42" i="15"/>
  <c r="R42" i="15"/>
  <c r="Q42" i="15"/>
  <c r="P42" i="15"/>
  <c r="O42" i="15"/>
  <c r="N42" i="15"/>
  <c r="M42" i="15"/>
  <c r="L42" i="15"/>
  <c r="K42" i="15"/>
  <c r="J42" i="15"/>
  <c r="I42" i="15"/>
  <c r="H42" i="15"/>
  <c r="G42" i="15"/>
  <c r="F42" i="15"/>
  <c r="E42" i="15"/>
  <c r="D42" i="15"/>
  <c r="C42" i="15"/>
  <c r="B42" i="15"/>
  <c r="A42" i="15"/>
  <c r="X41" i="15"/>
  <c r="W41" i="15"/>
  <c r="V41" i="15"/>
  <c r="U41" i="15"/>
  <c r="T41" i="15"/>
  <c r="S41" i="15"/>
  <c r="R41" i="15"/>
  <c r="Q41" i="15"/>
  <c r="P41" i="15"/>
  <c r="O41" i="15"/>
  <c r="N41" i="15"/>
  <c r="M41" i="15"/>
  <c r="L41" i="15"/>
  <c r="K41" i="15"/>
  <c r="J41" i="15"/>
  <c r="I41" i="15"/>
  <c r="H41" i="15"/>
  <c r="G41" i="15"/>
  <c r="F41" i="15"/>
  <c r="E41" i="15"/>
  <c r="D41" i="15"/>
  <c r="C41" i="15"/>
  <c r="B41" i="15"/>
  <c r="A41" i="15"/>
  <c r="X40" i="15"/>
  <c r="W40" i="15"/>
  <c r="V40" i="15"/>
  <c r="U40" i="15"/>
  <c r="T40" i="15"/>
  <c r="S40" i="15"/>
  <c r="R40" i="15"/>
  <c r="Q40" i="15"/>
  <c r="P40" i="15"/>
  <c r="O40" i="15"/>
  <c r="N40" i="15"/>
  <c r="M40" i="15"/>
  <c r="L40" i="15"/>
  <c r="K40" i="15"/>
  <c r="J40" i="15"/>
  <c r="I40" i="15"/>
  <c r="H40" i="15"/>
  <c r="G40" i="15"/>
  <c r="F40" i="15"/>
  <c r="E40" i="15"/>
  <c r="D40" i="15"/>
  <c r="C40" i="15"/>
  <c r="B40" i="15"/>
  <c r="A40" i="15"/>
  <c r="X39" i="15"/>
  <c r="W39" i="15"/>
  <c r="V39" i="15"/>
  <c r="U39" i="15"/>
  <c r="T39" i="15"/>
  <c r="S39" i="15"/>
  <c r="R39" i="15"/>
  <c r="Q39" i="15"/>
  <c r="P39" i="15"/>
  <c r="O39" i="15"/>
  <c r="N39" i="15"/>
  <c r="M39" i="15"/>
  <c r="L39" i="15"/>
  <c r="K39" i="15"/>
  <c r="J39" i="15"/>
  <c r="I39" i="15"/>
  <c r="H39" i="15"/>
  <c r="G39" i="15"/>
  <c r="F39" i="15"/>
  <c r="E39" i="15"/>
  <c r="D39" i="15"/>
  <c r="C39" i="15"/>
  <c r="B39" i="15"/>
  <c r="A39" i="15"/>
  <c r="X38" i="15"/>
  <c r="W38" i="15"/>
  <c r="V38" i="15"/>
  <c r="U38" i="15"/>
  <c r="T38" i="15"/>
  <c r="S38" i="15"/>
  <c r="R38" i="15"/>
  <c r="Q38" i="15"/>
  <c r="P38" i="15"/>
  <c r="O38" i="15"/>
  <c r="N38" i="15"/>
  <c r="M38" i="15"/>
  <c r="L38" i="15"/>
  <c r="K38" i="15"/>
  <c r="J38" i="15"/>
  <c r="I38" i="15"/>
  <c r="H38" i="15"/>
  <c r="G38" i="15"/>
  <c r="F38" i="15"/>
  <c r="E38" i="15"/>
  <c r="D38" i="15"/>
  <c r="C38" i="15"/>
  <c r="B38" i="15"/>
  <c r="A38" i="15"/>
  <c r="X37" i="15"/>
  <c r="W37" i="15"/>
  <c r="V37" i="15"/>
  <c r="U37" i="15"/>
  <c r="T37" i="15"/>
  <c r="S37" i="15"/>
  <c r="R37" i="15"/>
  <c r="Q37" i="15"/>
  <c r="P37" i="15"/>
  <c r="O37" i="15"/>
  <c r="N37" i="15"/>
  <c r="M37" i="15"/>
  <c r="L37" i="15"/>
  <c r="K37" i="15"/>
  <c r="J37" i="15"/>
  <c r="I37" i="15"/>
  <c r="H37" i="15"/>
  <c r="G37" i="15"/>
  <c r="F37" i="15"/>
  <c r="E37" i="15"/>
  <c r="D37" i="15"/>
  <c r="C37" i="15"/>
  <c r="B37" i="15"/>
  <c r="A37" i="15"/>
  <c r="X36" i="15"/>
  <c r="W36" i="15"/>
  <c r="V36" i="15"/>
  <c r="U36" i="15"/>
  <c r="T36" i="15"/>
  <c r="S36" i="15"/>
  <c r="R36" i="15"/>
  <c r="Q36" i="15"/>
  <c r="P36" i="15"/>
  <c r="O36" i="15"/>
  <c r="N36" i="15"/>
  <c r="M36" i="15"/>
  <c r="L36" i="15"/>
  <c r="K36" i="15"/>
  <c r="J36" i="15"/>
  <c r="I36" i="15"/>
  <c r="H36" i="15"/>
  <c r="G36" i="15"/>
  <c r="F36" i="15"/>
  <c r="E36" i="15"/>
  <c r="D36" i="15"/>
  <c r="C36" i="15"/>
  <c r="B36" i="15"/>
  <c r="A36" i="15"/>
  <c r="X35" i="15"/>
  <c r="W35" i="15"/>
  <c r="V35" i="15"/>
  <c r="U35" i="15"/>
  <c r="T35" i="15"/>
  <c r="S35" i="15"/>
  <c r="R35" i="15"/>
  <c r="Q35" i="15"/>
  <c r="P35" i="15"/>
  <c r="O35" i="15"/>
  <c r="N35" i="15"/>
  <c r="M35" i="15"/>
  <c r="L35" i="15"/>
  <c r="K35" i="15"/>
  <c r="J35" i="15"/>
  <c r="I35" i="15"/>
  <c r="H35" i="15"/>
  <c r="G35" i="15"/>
  <c r="F35" i="15"/>
  <c r="E35" i="15"/>
  <c r="D35" i="15"/>
  <c r="C35" i="15"/>
  <c r="B35" i="15"/>
  <c r="A35" i="15"/>
  <c r="X34" i="15"/>
  <c r="W34" i="15"/>
  <c r="V34" i="15"/>
  <c r="U34" i="15"/>
  <c r="T34" i="15"/>
  <c r="S34" i="15"/>
  <c r="R34" i="15"/>
  <c r="Q34" i="15"/>
  <c r="P34" i="15"/>
  <c r="O34" i="15"/>
  <c r="N34" i="15"/>
  <c r="M34" i="15"/>
  <c r="L34" i="15"/>
  <c r="K34" i="15"/>
  <c r="J34" i="15"/>
  <c r="I34" i="15"/>
  <c r="H34" i="15"/>
  <c r="G34" i="15"/>
  <c r="F34" i="15"/>
  <c r="E34" i="15"/>
  <c r="D34" i="15"/>
  <c r="C34" i="15"/>
  <c r="B34" i="15"/>
  <c r="A34" i="15"/>
  <c r="X33" i="15"/>
  <c r="W33" i="15"/>
  <c r="V33" i="15"/>
  <c r="U33" i="15"/>
  <c r="T33" i="15"/>
  <c r="S33" i="15"/>
  <c r="R33" i="15"/>
  <c r="Q33" i="15"/>
  <c r="P33" i="15"/>
  <c r="O33" i="15"/>
  <c r="N33" i="15"/>
  <c r="M33" i="15"/>
  <c r="L33" i="15"/>
  <c r="K33" i="15"/>
  <c r="J33" i="15"/>
  <c r="I33" i="15"/>
  <c r="H33" i="15"/>
  <c r="G33" i="15"/>
  <c r="F33" i="15"/>
  <c r="E33" i="15"/>
  <c r="D33" i="15"/>
  <c r="C33" i="15"/>
  <c r="B33" i="15"/>
  <c r="A33" i="15"/>
  <c r="X32" i="15"/>
  <c r="W32" i="15"/>
  <c r="V32" i="15"/>
  <c r="U32" i="15"/>
  <c r="T32" i="15"/>
  <c r="S32" i="15"/>
  <c r="R32" i="15"/>
  <c r="Q32" i="15"/>
  <c r="P32" i="15"/>
  <c r="O32" i="15"/>
  <c r="N32" i="15"/>
  <c r="M32" i="15"/>
  <c r="L32" i="15"/>
  <c r="K32" i="15"/>
  <c r="J32" i="15"/>
  <c r="I32" i="15"/>
  <c r="H32" i="15"/>
  <c r="G32" i="15"/>
  <c r="F32" i="15"/>
  <c r="E32" i="15"/>
  <c r="D32" i="15"/>
  <c r="C32" i="15"/>
  <c r="B32" i="15"/>
  <c r="A32" i="15"/>
  <c r="X31" i="15"/>
  <c r="W31" i="15"/>
  <c r="V31" i="15"/>
  <c r="U31" i="15"/>
  <c r="T31" i="15"/>
  <c r="S31" i="15"/>
  <c r="R31" i="15"/>
  <c r="Q31" i="15"/>
  <c r="P31" i="15"/>
  <c r="O31" i="15"/>
  <c r="N31" i="15"/>
  <c r="M31" i="15"/>
  <c r="L31" i="15"/>
  <c r="K31" i="15"/>
  <c r="J31" i="15"/>
  <c r="I31" i="15"/>
  <c r="H31" i="15"/>
  <c r="G31" i="15"/>
  <c r="F31" i="15"/>
  <c r="E31" i="15"/>
  <c r="D31" i="15"/>
  <c r="C31" i="15"/>
  <c r="B31" i="15"/>
  <c r="A31" i="15"/>
  <c r="X30" i="15"/>
  <c r="W30" i="15"/>
  <c r="V30" i="15"/>
  <c r="U30" i="15"/>
  <c r="T30" i="15"/>
  <c r="S30" i="15"/>
  <c r="R30" i="15"/>
  <c r="Q30" i="15"/>
  <c r="P30" i="15"/>
  <c r="O30" i="15"/>
  <c r="N30" i="15"/>
  <c r="M30" i="15"/>
  <c r="L30" i="15"/>
  <c r="K30" i="15"/>
  <c r="J30" i="15"/>
  <c r="I30" i="15"/>
  <c r="H30" i="15"/>
  <c r="G30" i="15"/>
  <c r="F30" i="15"/>
  <c r="E30" i="15"/>
  <c r="D30" i="15"/>
  <c r="C30" i="15"/>
  <c r="B30" i="15"/>
  <c r="A30" i="15"/>
  <c r="X29" i="15"/>
  <c r="W29" i="15"/>
  <c r="V29" i="15"/>
  <c r="U29" i="15"/>
  <c r="T29" i="15"/>
  <c r="S29" i="15"/>
  <c r="R29" i="15"/>
  <c r="Q29" i="15"/>
  <c r="P29" i="15"/>
  <c r="O29" i="15"/>
  <c r="N29" i="15"/>
  <c r="M29" i="15"/>
  <c r="L29" i="15"/>
  <c r="K29" i="15"/>
  <c r="J29" i="15"/>
  <c r="I29" i="15"/>
  <c r="H29" i="15"/>
  <c r="G29" i="15"/>
  <c r="F29" i="15"/>
  <c r="E29" i="15"/>
  <c r="D29" i="15"/>
  <c r="C29" i="15"/>
  <c r="B29" i="15"/>
  <c r="A29" i="15"/>
  <c r="X28" i="15"/>
  <c r="W28" i="15"/>
  <c r="V28" i="15"/>
  <c r="U28" i="15"/>
  <c r="T28" i="15"/>
  <c r="S28" i="15"/>
  <c r="R28" i="15"/>
  <c r="Q28" i="15"/>
  <c r="P28" i="15"/>
  <c r="O28" i="15"/>
  <c r="N28" i="15"/>
  <c r="M28" i="15"/>
  <c r="L28" i="15"/>
  <c r="K28" i="15"/>
  <c r="J28" i="15"/>
  <c r="I28" i="15"/>
  <c r="H28" i="15"/>
  <c r="G28" i="15"/>
  <c r="F28" i="15"/>
  <c r="E28" i="15"/>
  <c r="D28" i="15"/>
  <c r="C28" i="15"/>
  <c r="B28" i="15"/>
  <c r="A28" i="15"/>
  <c r="X27" i="15"/>
  <c r="W27" i="15"/>
  <c r="V27" i="15"/>
  <c r="U27" i="15"/>
  <c r="T27" i="15"/>
  <c r="S27" i="15"/>
  <c r="R27" i="15"/>
  <c r="Q27" i="15"/>
  <c r="P27" i="15"/>
  <c r="O27" i="15"/>
  <c r="N27" i="15"/>
  <c r="M27" i="15"/>
  <c r="L27" i="15"/>
  <c r="K27" i="15"/>
  <c r="J27" i="15"/>
  <c r="I27" i="15"/>
  <c r="H27" i="15"/>
  <c r="G27" i="15"/>
  <c r="F27" i="15"/>
  <c r="E27" i="15"/>
  <c r="D27" i="15"/>
  <c r="C27" i="15"/>
  <c r="B27" i="15"/>
  <c r="A27" i="15"/>
  <c r="X26" i="15"/>
  <c r="W26" i="15"/>
  <c r="V26" i="15"/>
  <c r="U26" i="15"/>
  <c r="T26" i="15"/>
  <c r="S26" i="15"/>
  <c r="R26" i="15"/>
  <c r="Q26" i="15"/>
  <c r="P26" i="15"/>
  <c r="O26" i="15"/>
  <c r="N26" i="15"/>
  <c r="M26" i="15"/>
  <c r="L26" i="15"/>
  <c r="K26" i="15"/>
  <c r="J26" i="15"/>
  <c r="I26" i="15"/>
  <c r="H26" i="15"/>
  <c r="G26" i="15"/>
  <c r="F26" i="15"/>
  <c r="E26" i="15"/>
  <c r="D26" i="15"/>
  <c r="C26" i="15"/>
  <c r="B26" i="15"/>
  <c r="A26" i="15"/>
  <c r="X25" i="15"/>
  <c r="W25" i="15"/>
  <c r="V25" i="15"/>
  <c r="U25" i="15"/>
  <c r="T25" i="15"/>
  <c r="S25" i="15"/>
  <c r="R25" i="15"/>
  <c r="Q25" i="15"/>
  <c r="P25" i="15"/>
  <c r="O25" i="15"/>
  <c r="N25" i="15"/>
  <c r="M25" i="15"/>
  <c r="L25" i="15"/>
  <c r="K25" i="15"/>
  <c r="J25" i="15"/>
  <c r="I25" i="15"/>
  <c r="H25" i="15"/>
  <c r="G25" i="15"/>
  <c r="F25" i="15"/>
  <c r="E25" i="15"/>
  <c r="D25" i="15"/>
  <c r="C25" i="15"/>
  <c r="B25" i="15"/>
  <c r="A25" i="15"/>
  <c r="X24" i="15"/>
  <c r="W24" i="15"/>
  <c r="V24" i="15"/>
  <c r="U24" i="15"/>
  <c r="T24" i="15"/>
  <c r="S24" i="15"/>
  <c r="R24" i="15"/>
  <c r="Q24" i="15"/>
  <c r="P24" i="15"/>
  <c r="O24" i="15"/>
  <c r="N24" i="15"/>
  <c r="M24" i="15"/>
  <c r="L24" i="15"/>
  <c r="K24" i="15"/>
  <c r="J24" i="15"/>
  <c r="I24" i="15"/>
  <c r="H24" i="15"/>
  <c r="G24" i="15"/>
  <c r="F24" i="15"/>
  <c r="E24" i="15"/>
  <c r="D24" i="15"/>
  <c r="C24" i="15"/>
  <c r="B24" i="15"/>
  <c r="A24" i="15"/>
  <c r="X23" i="15"/>
  <c r="W23" i="15"/>
  <c r="V23" i="15"/>
  <c r="U23" i="15"/>
  <c r="T23" i="15"/>
  <c r="S23" i="15"/>
  <c r="R23" i="15"/>
  <c r="Q23" i="15"/>
  <c r="P23" i="15"/>
  <c r="O23" i="15"/>
  <c r="N23" i="15"/>
  <c r="M23" i="15"/>
  <c r="L23" i="15"/>
  <c r="K23" i="15"/>
  <c r="J23" i="15"/>
  <c r="I23" i="15"/>
  <c r="H23" i="15"/>
  <c r="G23" i="15"/>
  <c r="F23" i="15"/>
  <c r="E23" i="15"/>
  <c r="D23" i="15"/>
  <c r="C23" i="15"/>
  <c r="B23" i="15"/>
  <c r="A23" i="15"/>
  <c r="X22" i="15"/>
  <c r="W22" i="15"/>
  <c r="V22" i="15"/>
  <c r="U22" i="15"/>
  <c r="T22" i="15"/>
  <c r="S22" i="15"/>
  <c r="R22" i="15"/>
  <c r="Q22" i="15"/>
  <c r="P22" i="15"/>
  <c r="O22" i="15"/>
  <c r="N22" i="15"/>
  <c r="M22" i="15"/>
  <c r="L22" i="15"/>
  <c r="K22" i="15"/>
  <c r="J22" i="15"/>
  <c r="I22" i="15"/>
  <c r="H22" i="15"/>
  <c r="G22" i="15"/>
  <c r="F22" i="15"/>
  <c r="E22" i="15"/>
  <c r="D22" i="15"/>
  <c r="C22" i="15"/>
  <c r="B22" i="15"/>
  <c r="A22" i="15"/>
  <c r="X21" i="15"/>
  <c r="W21" i="15"/>
  <c r="V21" i="15"/>
  <c r="U21" i="15"/>
  <c r="T21" i="15"/>
  <c r="S21" i="15"/>
  <c r="R21" i="15"/>
  <c r="Q21" i="15"/>
  <c r="P21" i="15"/>
  <c r="O21" i="15"/>
  <c r="N21" i="15"/>
  <c r="M21" i="15"/>
  <c r="L21" i="15"/>
  <c r="K21" i="15"/>
  <c r="J21" i="15"/>
  <c r="I21" i="15"/>
  <c r="H21" i="15"/>
  <c r="G21" i="15"/>
  <c r="F21" i="15"/>
  <c r="E21" i="15"/>
  <c r="D21" i="15"/>
  <c r="C21" i="15"/>
  <c r="B21" i="15"/>
  <c r="A21" i="15"/>
  <c r="X20" i="15"/>
  <c r="W20" i="15"/>
  <c r="V20" i="15"/>
  <c r="U20" i="15"/>
  <c r="T20" i="15"/>
  <c r="S20" i="15"/>
  <c r="R20" i="15"/>
  <c r="Q20" i="15"/>
  <c r="P20" i="15"/>
  <c r="O20" i="15"/>
  <c r="N20" i="15"/>
  <c r="M20" i="15"/>
  <c r="L20" i="15"/>
  <c r="K20" i="15"/>
  <c r="J20" i="15"/>
  <c r="I20" i="15"/>
  <c r="H20" i="15"/>
  <c r="G20" i="15"/>
  <c r="F20" i="15"/>
  <c r="E20" i="15"/>
  <c r="D20" i="15"/>
  <c r="C20" i="15"/>
  <c r="B20" i="15"/>
  <c r="A20" i="15"/>
  <c r="X19" i="15"/>
  <c r="W19" i="15"/>
  <c r="V19" i="15"/>
  <c r="U19" i="15"/>
  <c r="T19" i="15"/>
  <c r="S19" i="15"/>
  <c r="R19" i="15"/>
  <c r="Q19" i="15"/>
  <c r="P19" i="15"/>
  <c r="O19" i="15"/>
  <c r="N19" i="15"/>
  <c r="M19" i="15"/>
  <c r="L19" i="15"/>
  <c r="K19" i="15"/>
  <c r="J19" i="15"/>
  <c r="I19" i="15"/>
  <c r="H19" i="15"/>
  <c r="G19" i="15"/>
  <c r="F19" i="15"/>
  <c r="E19" i="15"/>
  <c r="D19" i="15"/>
  <c r="C19" i="15"/>
  <c r="B19" i="15"/>
  <c r="A19" i="15"/>
  <c r="X18" i="15"/>
  <c r="W18" i="15"/>
  <c r="V18" i="15"/>
  <c r="U18" i="15"/>
  <c r="T18" i="15"/>
  <c r="S18" i="15"/>
  <c r="R18" i="15"/>
  <c r="Q18" i="15"/>
  <c r="P18" i="15"/>
  <c r="O18" i="15"/>
  <c r="N18" i="15"/>
  <c r="M18" i="15"/>
  <c r="L18" i="15"/>
  <c r="K18" i="15"/>
  <c r="J18" i="15"/>
  <c r="I18" i="15"/>
  <c r="H18" i="15"/>
  <c r="G18" i="15"/>
  <c r="F18" i="15"/>
  <c r="E18" i="15"/>
  <c r="D18" i="15"/>
  <c r="C18" i="15"/>
  <c r="B18" i="15"/>
  <c r="A18" i="15"/>
  <c r="X17" i="15"/>
  <c r="W17" i="15"/>
  <c r="V17" i="15"/>
  <c r="U17" i="15"/>
  <c r="T17" i="15"/>
  <c r="S17" i="15"/>
  <c r="R17" i="15"/>
  <c r="Q17" i="15"/>
  <c r="P17" i="15"/>
  <c r="O17" i="15"/>
  <c r="N17" i="15"/>
  <c r="M17" i="15"/>
  <c r="L17" i="15"/>
  <c r="K17" i="15"/>
  <c r="J17" i="15"/>
  <c r="I17" i="15"/>
  <c r="H17" i="15"/>
  <c r="G17" i="15"/>
  <c r="F17" i="15"/>
  <c r="E17" i="15"/>
  <c r="D17" i="15"/>
  <c r="C17" i="15"/>
  <c r="B17" i="15"/>
  <c r="A17" i="15"/>
  <c r="X16" i="15"/>
  <c r="W16" i="15"/>
  <c r="V16" i="15"/>
  <c r="U16" i="15"/>
  <c r="T16" i="15"/>
  <c r="S16" i="15"/>
  <c r="R16" i="15"/>
  <c r="Q16" i="15"/>
  <c r="P16" i="15"/>
  <c r="O16" i="15"/>
  <c r="N16" i="15"/>
  <c r="M16" i="15"/>
  <c r="L16" i="15"/>
  <c r="K16" i="15"/>
  <c r="J16" i="15"/>
  <c r="I16" i="15"/>
  <c r="H16" i="15"/>
  <c r="G16" i="15"/>
  <c r="F16" i="15"/>
  <c r="E16" i="15"/>
  <c r="D16" i="15"/>
  <c r="C16" i="15"/>
  <c r="B16" i="15"/>
  <c r="A16" i="15"/>
  <c r="X15" i="15"/>
  <c r="W15" i="15"/>
  <c r="V15" i="15"/>
  <c r="U15" i="15"/>
  <c r="T15" i="15"/>
  <c r="S15" i="15"/>
  <c r="R15" i="15"/>
  <c r="Q15" i="15"/>
  <c r="P15" i="15"/>
  <c r="O15" i="15"/>
  <c r="N15" i="15"/>
  <c r="M15" i="15"/>
  <c r="L15" i="15"/>
  <c r="K15" i="15"/>
  <c r="J15" i="15"/>
  <c r="I15" i="15"/>
  <c r="H15" i="15"/>
  <c r="G15" i="15"/>
  <c r="F15" i="15"/>
  <c r="E15" i="15"/>
  <c r="D15" i="15"/>
  <c r="C15" i="15"/>
  <c r="B15" i="15"/>
  <c r="A15" i="15"/>
  <c r="X14" i="15"/>
  <c r="W14" i="15"/>
  <c r="V14" i="15"/>
  <c r="U14" i="15"/>
  <c r="T14" i="15"/>
  <c r="S14" i="15"/>
  <c r="R14" i="15"/>
  <c r="Q14" i="15"/>
  <c r="P14" i="15"/>
  <c r="O14" i="15"/>
  <c r="N14" i="15"/>
  <c r="M14" i="15"/>
  <c r="L14" i="15"/>
  <c r="K14" i="15"/>
  <c r="J14" i="15"/>
  <c r="I14" i="15"/>
  <c r="H14" i="15"/>
  <c r="G14" i="15"/>
  <c r="F14" i="15"/>
  <c r="E14" i="15"/>
  <c r="D14" i="15"/>
  <c r="C14" i="15"/>
  <c r="B14" i="15"/>
  <c r="A14" i="15"/>
  <c r="X13" i="15"/>
  <c r="W13" i="15"/>
  <c r="V13" i="15"/>
  <c r="U13" i="15"/>
  <c r="T13" i="15"/>
  <c r="S13" i="15"/>
  <c r="R13" i="15"/>
  <c r="Q13" i="15"/>
  <c r="P13" i="15"/>
  <c r="O13" i="15"/>
  <c r="N13" i="15"/>
  <c r="M13" i="15"/>
  <c r="L13" i="15"/>
  <c r="K13" i="15"/>
  <c r="J13" i="15"/>
  <c r="I13" i="15"/>
  <c r="H13" i="15"/>
  <c r="G13" i="15"/>
  <c r="F13" i="15"/>
  <c r="E13" i="15"/>
  <c r="D13" i="15"/>
  <c r="C13" i="15"/>
  <c r="B13" i="15"/>
  <c r="A13" i="15"/>
  <c r="X12" i="15"/>
  <c r="W12" i="15"/>
  <c r="V12" i="15"/>
  <c r="U12" i="15"/>
  <c r="T12" i="15"/>
  <c r="S12" i="15"/>
  <c r="R12" i="15"/>
  <c r="Q12" i="15"/>
  <c r="P12" i="15"/>
  <c r="O12" i="15"/>
  <c r="N12" i="15"/>
  <c r="M12" i="15"/>
  <c r="L12" i="15"/>
  <c r="K12" i="15"/>
  <c r="J12" i="15"/>
  <c r="I12" i="15"/>
  <c r="H12" i="15"/>
  <c r="G12" i="15"/>
  <c r="F12" i="15"/>
  <c r="E12" i="15"/>
  <c r="D12" i="15"/>
  <c r="C12" i="15"/>
  <c r="B12" i="15"/>
  <c r="A12" i="15"/>
  <c r="X11" i="15"/>
  <c r="W11" i="15"/>
  <c r="V11" i="15"/>
  <c r="U11" i="15"/>
  <c r="T11" i="15"/>
  <c r="S11" i="15"/>
  <c r="R11" i="15"/>
  <c r="Q11" i="15"/>
  <c r="P11" i="15"/>
  <c r="O11" i="15"/>
  <c r="N11" i="15"/>
  <c r="M11" i="15"/>
  <c r="L11" i="15"/>
  <c r="K11" i="15"/>
  <c r="J11" i="15"/>
  <c r="I11" i="15"/>
  <c r="H11" i="15"/>
  <c r="G11" i="15"/>
  <c r="F11" i="15"/>
  <c r="E11" i="15"/>
  <c r="D11" i="15"/>
  <c r="C11" i="15"/>
  <c r="B11" i="15"/>
  <c r="A11" i="15"/>
  <c r="X10" i="15"/>
  <c r="W10" i="15"/>
  <c r="V10" i="15"/>
  <c r="U10" i="15"/>
  <c r="T10" i="15"/>
  <c r="S10" i="15"/>
  <c r="R10" i="15"/>
  <c r="Q10" i="15"/>
  <c r="P10" i="15"/>
  <c r="O10" i="15"/>
  <c r="N10" i="15"/>
  <c r="M10" i="15"/>
  <c r="L10" i="15"/>
  <c r="K10" i="15"/>
  <c r="J10" i="15"/>
  <c r="I10" i="15"/>
  <c r="H10" i="15"/>
  <c r="G10" i="15"/>
  <c r="F10" i="15"/>
  <c r="E10" i="15"/>
  <c r="D10" i="15"/>
  <c r="C10" i="15"/>
  <c r="B10" i="15"/>
  <c r="A10" i="15"/>
  <c r="X9" i="15"/>
  <c r="W9" i="15"/>
  <c r="V9" i="15"/>
  <c r="U9" i="15"/>
  <c r="T9" i="15"/>
  <c r="S9" i="15"/>
  <c r="R9" i="15"/>
  <c r="Q9" i="15"/>
  <c r="P9" i="15"/>
  <c r="O9" i="15"/>
  <c r="N9" i="15"/>
  <c r="M9" i="15"/>
  <c r="L9" i="15"/>
  <c r="K9" i="15"/>
  <c r="J9" i="15"/>
  <c r="I9" i="15"/>
  <c r="H9" i="15"/>
  <c r="G9" i="15"/>
  <c r="F9" i="15"/>
  <c r="E9" i="15"/>
  <c r="D9" i="15"/>
  <c r="C9" i="15"/>
  <c r="B9" i="15"/>
  <c r="A9" i="15"/>
  <c r="X8" i="15"/>
  <c r="W8" i="15"/>
  <c r="V8" i="15"/>
  <c r="U8" i="15"/>
  <c r="T8" i="15"/>
  <c r="S8" i="15"/>
  <c r="R8" i="15"/>
  <c r="Q8" i="15"/>
  <c r="P8" i="15"/>
  <c r="O8" i="15"/>
  <c r="N8" i="15"/>
  <c r="M8" i="15"/>
  <c r="L8" i="15"/>
  <c r="K8" i="15"/>
  <c r="J8" i="15"/>
  <c r="I8" i="15"/>
  <c r="H8" i="15"/>
  <c r="G8" i="15"/>
  <c r="F8" i="15"/>
  <c r="E8" i="15"/>
  <c r="D8" i="15"/>
  <c r="C8" i="15"/>
  <c r="B8" i="15"/>
  <c r="A8" i="15"/>
  <c r="X7" i="15"/>
  <c r="W7" i="15"/>
  <c r="V7" i="15"/>
  <c r="U7" i="15"/>
  <c r="T7" i="15"/>
  <c r="S7" i="15"/>
  <c r="R7" i="15"/>
  <c r="Q7" i="15"/>
  <c r="P7" i="15"/>
  <c r="O7" i="15"/>
  <c r="N7" i="15"/>
  <c r="M7" i="15"/>
  <c r="L7" i="15"/>
  <c r="K7" i="15"/>
  <c r="J7" i="15"/>
  <c r="I7" i="15"/>
  <c r="H7" i="15"/>
  <c r="G7" i="15"/>
  <c r="F7" i="15"/>
  <c r="E7" i="15"/>
  <c r="D7" i="15"/>
  <c r="C7" i="15"/>
  <c r="B7" i="15"/>
  <c r="A7" i="15"/>
  <c r="X6" i="15"/>
  <c r="W6" i="15"/>
  <c r="V6" i="15"/>
  <c r="U6" i="15"/>
  <c r="T6" i="15"/>
  <c r="S6" i="15"/>
  <c r="R6" i="15"/>
  <c r="Q6" i="15"/>
  <c r="P6" i="15"/>
  <c r="O6" i="15"/>
  <c r="N6" i="15"/>
  <c r="M6" i="15"/>
  <c r="L6" i="15"/>
  <c r="K6" i="15"/>
  <c r="J6" i="15"/>
  <c r="I6" i="15"/>
  <c r="H6" i="15"/>
  <c r="G6" i="15"/>
  <c r="F6" i="15"/>
  <c r="E6" i="15"/>
  <c r="D6" i="15"/>
  <c r="C6" i="15"/>
  <c r="B6" i="15"/>
  <c r="A6" i="15"/>
  <c r="X5" i="15"/>
  <c r="W5" i="15"/>
  <c r="V5" i="15"/>
  <c r="U5" i="15"/>
  <c r="T5" i="15"/>
  <c r="S5" i="15"/>
  <c r="R5" i="15"/>
  <c r="Q5" i="15"/>
  <c r="P5" i="15"/>
  <c r="O5" i="15"/>
  <c r="N5" i="15"/>
  <c r="M5" i="15"/>
  <c r="L5" i="15"/>
  <c r="K5" i="15"/>
  <c r="J5" i="15"/>
  <c r="I5" i="15"/>
  <c r="H5" i="15"/>
  <c r="G5" i="15"/>
  <c r="F5" i="15"/>
  <c r="E5" i="15"/>
  <c r="D5" i="15"/>
  <c r="C5" i="15"/>
  <c r="B5" i="15"/>
  <c r="X4" i="15"/>
  <c r="W4" i="15"/>
  <c r="V4" i="15"/>
  <c r="U4" i="15"/>
  <c r="T4" i="15"/>
  <c r="S4" i="15"/>
  <c r="R4" i="15"/>
  <c r="Q4" i="15"/>
  <c r="P4" i="15"/>
  <c r="O4" i="15"/>
  <c r="N4" i="15"/>
  <c r="M4" i="15"/>
  <c r="L4" i="15"/>
  <c r="K4" i="15"/>
  <c r="J4" i="15"/>
  <c r="I4" i="15"/>
  <c r="H4" i="15"/>
  <c r="G4" i="15"/>
  <c r="F4" i="15"/>
  <c r="E4" i="15"/>
  <c r="D4" i="15"/>
  <c r="C4" i="15"/>
  <c r="B4" i="15"/>
  <c r="A4" i="15"/>
  <c r="BB28" i="12"/>
  <c r="AS28" i="12"/>
  <c r="AR28" i="12"/>
  <c r="AW28" i="12" s="1"/>
  <c r="AQ28" i="12"/>
  <c r="AV28" i="12" s="1"/>
  <c r="BB27" i="12"/>
  <c r="AX27" i="12"/>
  <c r="AW27" i="12"/>
  <c r="BB26" i="12"/>
  <c r="AS26" i="12"/>
  <c r="AR26" i="12"/>
  <c r="AQ26" i="12"/>
  <c r="AV26" i="12" s="1"/>
  <c r="BB25" i="12"/>
  <c r="AS25" i="12"/>
  <c r="AR25" i="12"/>
  <c r="AQ25" i="12"/>
  <c r="AV25" i="12" s="1"/>
  <c r="BB24" i="12"/>
  <c r="AS24" i="12"/>
  <c r="AR24" i="12"/>
  <c r="AW24" i="12" s="1"/>
  <c r="AQ24" i="12"/>
  <c r="AV24" i="12" s="1"/>
  <c r="BB23" i="12"/>
  <c r="AS23" i="12"/>
  <c r="AR23" i="12"/>
  <c r="AQ23" i="12"/>
  <c r="AV23" i="12" s="1"/>
  <c r="BB22" i="12"/>
  <c r="AS22" i="12"/>
  <c r="AR22" i="12"/>
  <c r="AQ22" i="12"/>
  <c r="AV22" i="12" s="1"/>
  <c r="BB21" i="12"/>
  <c r="AS21" i="12"/>
  <c r="AR21" i="12"/>
  <c r="AQ21" i="12"/>
  <c r="AV21" i="12" s="1"/>
  <c r="BB20" i="12"/>
  <c r="AS20" i="12"/>
  <c r="AR20" i="12"/>
  <c r="AQ20" i="12"/>
  <c r="AV20" i="12" s="1"/>
  <c r="BB19" i="12"/>
  <c r="AS19" i="12"/>
  <c r="AR19" i="12"/>
  <c r="AQ19" i="12"/>
  <c r="AV19" i="12" s="1"/>
  <c r="BB18" i="12"/>
  <c r="AS18" i="12"/>
  <c r="AR18" i="12"/>
  <c r="AQ18" i="12"/>
  <c r="AV18" i="12" s="1"/>
  <c r="BB17" i="12"/>
  <c r="AS17" i="12"/>
  <c r="AR17" i="12"/>
  <c r="AQ17" i="12"/>
  <c r="AV17" i="12" s="1"/>
  <c r="BB16" i="12"/>
  <c r="AS16" i="12"/>
  <c r="AR16" i="12"/>
  <c r="AQ16" i="12"/>
  <c r="AV16" i="12" s="1"/>
  <c r="BB15" i="12"/>
  <c r="AS15" i="12"/>
  <c r="AR15" i="12"/>
  <c r="AQ15" i="12"/>
  <c r="AV15" i="12" s="1"/>
  <c r="BB14" i="12"/>
  <c r="AS14" i="12"/>
  <c r="AR14" i="12"/>
  <c r="AQ14" i="12"/>
  <c r="AV14" i="12" s="1"/>
  <c r="BB13" i="12"/>
  <c r="AS13" i="12"/>
  <c r="AR13" i="12"/>
  <c r="AQ13" i="12"/>
  <c r="AV13" i="12" s="1"/>
  <c r="BB12" i="12"/>
  <c r="AS12" i="12"/>
  <c r="AR12" i="12"/>
  <c r="AQ12" i="12"/>
  <c r="AV12" i="12" s="1"/>
  <c r="BB11" i="12"/>
  <c r="AS11" i="12"/>
  <c r="AR11" i="12"/>
  <c r="AQ11" i="12"/>
  <c r="AV11" i="12" s="1"/>
  <c r="BB10" i="12"/>
  <c r="AS10" i="12"/>
  <c r="AR10" i="12"/>
  <c r="AQ10" i="12"/>
  <c r="AV10" i="12" s="1"/>
  <c r="BB9" i="12"/>
  <c r="AS9" i="12"/>
  <c r="AR9" i="12"/>
  <c r="AQ9" i="12"/>
  <c r="AV9" i="12" s="1"/>
  <c r="BB8" i="12"/>
  <c r="AS8" i="12"/>
  <c r="AR8" i="12"/>
  <c r="AQ8" i="12"/>
  <c r="AV8" i="12" s="1"/>
  <c r="BB7" i="12"/>
  <c r="AS7" i="12"/>
  <c r="AR7" i="12"/>
  <c r="AQ7" i="12"/>
  <c r="AV7" i="12" s="1"/>
  <c r="BB6" i="12"/>
  <c r="AS6" i="12"/>
  <c r="AR6" i="12"/>
  <c r="AQ6" i="12"/>
  <c r="AV6" i="12" s="1"/>
  <c r="BB5" i="12"/>
  <c r="AS5" i="12"/>
  <c r="AR5" i="12"/>
  <c r="AQ5" i="12"/>
  <c r="AV5" i="12" s="1"/>
  <c r="BB4" i="12"/>
  <c r="AS4" i="12"/>
  <c r="AR4" i="12"/>
  <c r="AQ4" i="12"/>
  <c r="AV4" i="12" s="1"/>
  <c r="AJ2" i="12"/>
  <c r="AB2" i="12"/>
  <c r="T2" i="12"/>
  <c r="L2" i="12"/>
  <c r="AT4" i="12" l="1"/>
  <c r="AX20" i="12"/>
  <c r="AT20" i="12"/>
  <c r="AX24" i="12"/>
  <c r="AT24" i="12"/>
  <c r="AX10" i="12"/>
  <c r="AT10" i="12"/>
  <c r="AX6" i="12"/>
  <c r="AT6" i="12"/>
  <c r="AO33" i="12" s="1"/>
  <c r="AQ33" i="12" s="1"/>
  <c r="AX7" i="12"/>
  <c r="AT7" i="12"/>
  <c r="AO34" i="12" s="1"/>
  <c r="AX15" i="12"/>
  <c r="AT15" i="12"/>
  <c r="AO42" i="12" s="1"/>
  <c r="AX21" i="12"/>
  <c r="AT21" i="12"/>
  <c r="AX25" i="12"/>
  <c r="AT25" i="12"/>
  <c r="AX8" i="12"/>
  <c r="AT8" i="12"/>
  <c r="AO35" i="12" s="1"/>
  <c r="AX5" i="12"/>
  <c r="AT5" i="12"/>
  <c r="AX13" i="12"/>
  <c r="AT13" i="12"/>
  <c r="AO40" i="12" s="1"/>
  <c r="AX19" i="12"/>
  <c r="AT19" i="12"/>
  <c r="AX23" i="12"/>
  <c r="AT23" i="12"/>
  <c r="AO43" i="12" s="1"/>
  <c r="AX11" i="12"/>
  <c r="AT11" i="12"/>
  <c r="AO38" i="12" s="1"/>
  <c r="AX17" i="12"/>
  <c r="AT17" i="12"/>
  <c r="AO37" i="12" s="1"/>
  <c r="AX9" i="12"/>
  <c r="AT9" i="12"/>
  <c r="AO36" i="12" s="1"/>
  <c r="AX28" i="12"/>
  <c r="AT28" i="12"/>
  <c r="AX12" i="12"/>
  <c r="AT12" i="12"/>
  <c r="AO39" i="12" s="1"/>
  <c r="AX14" i="12"/>
  <c r="AT14" i="12"/>
  <c r="AO41" i="12" s="1"/>
  <c r="AX16" i="12"/>
  <c r="AT16" i="12"/>
  <c r="AX18" i="12"/>
  <c r="AT18" i="12"/>
  <c r="AX22" i="12"/>
  <c r="AT22" i="12"/>
  <c r="AO45" i="12" s="1"/>
  <c r="AX26" i="12"/>
  <c r="AT26" i="12"/>
  <c r="AW6" i="12"/>
  <c r="AW12" i="12"/>
  <c r="AW14" i="12"/>
  <c r="AW16" i="12"/>
  <c r="AW18" i="12"/>
  <c r="AW20" i="12"/>
  <c r="AW22" i="12"/>
  <c r="AW26" i="12"/>
  <c r="AW8" i="12"/>
  <c r="AW5" i="12"/>
  <c r="AW7" i="12"/>
  <c r="AW9" i="12"/>
  <c r="AW13" i="12"/>
  <c r="AW15" i="12"/>
  <c r="AW17" i="12"/>
  <c r="AW19" i="12"/>
  <c r="AW21" i="12"/>
  <c r="AW23" i="12"/>
  <c r="AW25" i="12"/>
  <c r="AW11" i="12"/>
  <c r="C2" i="12"/>
  <c r="AQ44" i="12"/>
  <c r="AP44" i="12"/>
  <c r="E4" i="12"/>
  <c r="E93" i="12"/>
  <c r="F4" i="12"/>
  <c r="F6" i="12"/>
  <c r="F10" i="12"/>
  <c r="F14" i="12"/>
  <c r="F91" i="12"/>
  <c r="F93" i="12"/>
  <c r="F89" i="12"/>
  <c r="F79" i="12"/>
  <c r="F92" i="12"/>
  <c r="F90" i="12"/>
  <c r="F87" i="12"/>
  <c r="F88" i="12"/>
  <c r="F83" i="12"/>
  <c r="F85" i="12"/>
  <c r="F86" i="12"/>
  <c r="D2" i="15"/>
  <c r="T2" i="15"/>
  <c r="F5" i="12"/>
  <c r="F7" i="12"/>
  <c r="F8" i="12"/>
  <c r="F9" i="12"/>
  <c r="F11" i="12"/>
  <c r="F12" i="12"/>
  <c r="F13" i="12"/>
  <c r="F15" i="12"/>
  <c r="F16" i="12"/>
  <c r="F17" i="12"/>
  <c r="F19" i="12"/>
  <c r="F18" i="12"/>
  <c r="T2" i="14"/>
  <c r="F84" i="12"/>
  <c r="F82" i="12"/>
  <c r="F81" i="12"/>
  <c r="F80" i="12"/>
  <c r="F78" i="12"/>
  <c r="F77" i="12"/>
  <c r="F76" i="12"/>
  <c r="F71" i="12"/>
  <c r="F70" i="12"/>
  <c r="F68" i="12"/>
  <c r="F66" i="12"/>
  <c r="F65" i="12"/>
  <c r="F64" i="12"/>
  <c r="F62" i="12"/>
  <c r="F61" i="12"/>
  <c r="F60" i="12"/>
  <c r="F58" i="12"/>
  <c r="F57" i="12"/>
  <c r="F56" i="12"/>
  <c r="F54" i="12"/>
  <c r="F53" i="12"/>
  <c r="F52" i="12"/>
  <c r="F50" i="12"/>
  <c r="F49" i="12"/>
  <c r="F48" i="12"/>
  <c r="F46" i="12"/>
  <c r="F45" i="12"/>
  <c r="F44" i="12"/>
  <c r="F42" i="12"/>
  <c r="F41" i="12"/>
  <c r="F40" i="12"/>
  <c r="F38" i="12"/>
  <c r="F37" i="12"/>
  <c r="F36" i="12"/>
  <c r="F34" i="12"/>
  <c r="F33" i="12"/>
  <c r="F32" i="12"/>
  <c r="F29" i="12"/>
  <c r="F28" i="12"/>
  <c r="F26" i="12"/>
  <c r="F25" i="12"/>
  <c r="F24" i="12"/>
  <c r="F23" i="12"/>
  <c r="F22" i="12"/>
  <c r="F21" i="12"/>
  <c r="F20" i="12"/>
  <c r="F27" i="12"/>
  <c r="F31" i="12"/>
  <c r="F35" i="12"/>
  <c r="F39" i="12"/>
  <c r="F43" i="12"/>
  <c r="F47" i="12"/>
  <c r="F51" i="12"/>
  <c r="F55" i="12"/>
  <c r="F59" i="12"/>
  <c r="F69" i="12"/>
  <c r="F72" i="12"/>
  <c r="F63" i="12"/>
  <c r="F73" i="12"/>
  <c r="F74" i="12"/>
  <c r="F75" i="12"/>
  <c r="F67" i="12"/>
  <c r="F30" i="12"/>
  <c r="L2" i="15"/>
  <c r="AX4" i="12"/>
  <c r="AW10" i="12"/>
  <c r="AW4" i="12"/>
  <c r="F2" i="12" l="1"/>
  <c r="AQ45" i="12"/>
  <c r="AP45" i="12"/>
  <c r="AX2" i="12"/>
  <c r="AP35" i="12"/>
  <c r="AQ35" i="12"/>
  <c r="AP40" i="12"/>
  <c r="AQ40" i="12"/>
  <c r="AP38" i="12"/>
  <c r="AQ38" i="12"/>
  <c r="AP42" i="12"/>
  <c r="AQ42" i="12"/>
  <c r="AP41" i="12"/>
  <c r="AQ41" i="12"/>
  <c r="AP39" i="12"/>
  <c r="AQ39" i="12"/>
  <c r="AP37" i="12"/>
  <c r="AQ37" i="12"/>
  <c r="AP34" i="12"/>
  <c r="AQ34" i="12"/>
  <c r="AP43" i="12"/>
  <c r="AQ43" i="12"/>
  <c r="AP36" i="12"/>
  <c r="AQ36" i="12"/>
  <c r="AP33" i="12"/>
  <c r="AO46" i="12"/>
  <c r="AT2" i="12"/>
  <c r="G5" i="12"/>
  <c r="G6" i="12"/>
  <c r="G4" i="12"/>
  <c r="G10" i="12"/>
  <c r="G12" i="12"/>
  <c r="G11" i="12"/>
  <c r="G18" i="12"/>
  <c r="G8" i="12"/>
  <c r="G15" i="12"/>
  <c r="G7" i="12"/>
  <c r="G16" i="12"/>
  <c r="G9" i="12"/>
  <c r="G21" i="12"/>
  <c r="G13" i="12"/>
  <c r="G17" i="12"/>
  <c r="G14" i="12"/>
  <c r="G20" i="12"/>
  <c r="G19" i="12"/>
  <c r="G23" i="12"/>
  <c r="G22" i="12"/>
  <c r="G27" i="12"/>
  <c r="G26" i="12"/>
  <c r="G24" i="12"/>
  <c r="G28" i="12"/>
  <c r="G25" i="12"/>
  <c r="G29" i="12"/>
  <c r="G41" i="12"/>
  <c r="G42" i="12"/>
  <c r="G46" i="12"/>
  <c r="G45" i="12"/>
  <c r="G48" i="12"/>
  <c r="G44" i="12"/>
  <c r="G43" i="12"/>
  <c r="G63" i="12"/>
  <c r="G47" i="12"/>
  <c r="G62" i="12"/>
  <c r="G64" i="12"/>
  <c r="G72" i="12"/>
  <c r="G61" i="12"/>
  <c r="G89" i="12"/>
  <c r="G69" i="12"/>
  <c r="G85" i="12"/>
  <c r="G87" i="12"/>
  <c r="G90" i="12"/>
  <c r="G86" i="12"/>
  <c r="G92" i="12"/>
  <c r="G71" i="12"/>
  <c r="G91" i="12"/>
  <c r="G70" i="12"/>
  <c r="G88" i="12"/>
  <c r="G32" i="12"/>
  <c r="G56" i="12"/>
  <c r="G76" i="12"/>
  <c r="G31" i="12"/>
  <c r="G55" i="12"/>
  <c r="G75" i="12"/>
  <c r="G30" i="12"/>
  <c r="G54" i="12"/>
  <c r="G74" i="12"/>
  <c r="G53" i="12"/>
  <c r="G73" i="12"/>
  <c r="G93" i="12"/>
  <c r="G40" i="12"/>
  <c r="G60" i="12"/>
  <c r="G80" i="12"/>
  <c r="G39" i="12"/>
  <c r="G59" i="12"/>
  <c r="G79" i="12"/>
  <c r="G38" i="12"/>
  <c r="G58" i="12"/>
  <c r="G78" i="12"/>
  <c r="G37" i="12"/>
  <c r="G57" i="12"/>
  <c r="G77" i="12"/>
  <c r="G36" i="12"/>
  <c r="G52" i="12"/>
  <c r="G68" i="12"/>
  <c r="G84" i="12"/>
  <c r="G35" i="12"/>
  <c r="G51" i="12"/>
  <c r="G67" i="12"/>
  <c r="G83" i="12"/>
  <c r="G34" i="12"/>
  <c r="G50" i="12"/>
  <c r="G66" i="12"/>
  <c r="G82" i="12"/>
  <c r="G33" i="12"/>
  <c r="G49" i="12"/>
  <c r="G65" i="12"/>
  <c r="G81" i="12"/>
  <c r="D2" i="14"/>
  <c r="AQ46" i="12" l="1"/>
  <c r="AQ47" i="12" s="1"/>
  <c r="AP46" i="12"/>
  <c r="AP47" i="12" s="1"/>
  <c r="AV2" i="12" s="1"/>
  <c r="L2" i="14"/>
  <c r="E5" i="12" l="1"/>
  <c r="E8" i="12"/>
  <c r="E7" i="12"/>
  <c r="E85" i="12"/>
  <c r="E67" i="12"/>
  <c r="E84" i="12"/>
  <c r="E37" i="12"/>
  <c r="E86" i="12"/>
  <c r="E38" i="12"/>
  <c r="E9" i="12"/>
  <c r="E21" i="12"/>
  <c r="E40" i="12"/>
  <c r="E55" i="12"/>
  <c r="E72" i="12"/>
  <c r="E88" i="12"/>
  <c r="E13" i="12"/>
  <c r="E44" i="12"/>
  <c r="E77" i="12"/>
  <c r="E45" i="12"/>
  <c r="E10" i="12"/>
  <c r="E25" i="12"/>
  <c r="E41" i="12"/>
  <c r="E56" i="12"/>
  <c r="E73" i="12"/>
  <c r="E89" i="12"/>
  <c r="E11" i="12"/>
  <c r="E26" i="12"/>
  <c r="E42" i="12"/>
  <c r="E57" i="12"/>
  <c r="E74" i="12"/>
  <c r="E90" i="12"/>
  <c r="E12" i="12"/>
  <c r="E28" i="12"/>
  <c r="E43" i="12"/>
  <c r="E60" i="12"/>
  <c r="E76" i="12"/>
  <c r="E91" i="12"/>
  <c r="E29" i="12"/>
  <c r="E61" i="12"/>
  <c r="E92" i="12"/>
  <c r="E78" i="12"/>
  <c r="E20" i="12"/>
  <c r="E30" i="12"/>
  <c r="E69" i="12"/>
  <c r="E14" i="12"/>
  <c r="E54" i="12"/>
  <c r="E62" i="12"/>
  <c r="E15" i="12"/>
  <c r="E31" i="12"/>
  <c r="E48" i="12"/>
  <c r="E64" i="12"/>
  <c r="E79" i="12"/>
  <c r="E16" i="12"/>
  <c r="E32" i="12"/>
  <c r="E49" i="12"/>
  <c r="E65" i="12"/>
  <c r="E80" i="12"/>
  <c r="E17" i="12"/>
  <c r="E33" i="12"/>
  <c r="E50" i="12"/>
  <c r="E66" i="12"/>
  <c r="E81" i="12"/>
  <c r="E6" i="12"/>
  <c r="E18" i="12"/>
  <c r="E36" i="12"/>
  <c r="E52" i="12"/>
  <c r="E19" i="12"/>
  <c r="E53" i="12"/>
  <c r="E68" i="12"/>
  <c r="E87" i="12"/>
  <c r="E75" i="12"/>
  <c r="E63" i="12"/>
  <c r="E82" i="12"/>
  <c r="E51" i="12"/>
  <c r="E70" i="12"/>
  <c r="E39" i="12"/>
  <c r="E58" i="12"/>
  <c r="E27" i="12"/>
  <c r="E46" i="12"/>
  <c r="E24" i="12"/>
  <c r="E34" i="12"/>
  <c r="E83" i="12"/>
  <c r="E71" i="12"/>
  <c r="E59" i="12"/>
  <c r="E47" i="12"/>
  <c r="E35" i="12"/>
  <c r="E23" i="12"/>
  <c r="E22" i="12"/>
  <c r="E95" i="1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Cortana</author>
  </authors>
  <commentList>
    <comment ref="AJ7" authorId="0" shapeId="0" xr:uid="{46E3D2CE-96ED-4ADB-B57F-7DB72F9A3CF9}">
      <text>
        <r>
          <rPr>
            <b/>
            <sz val="9"/>
            <color indexed="81"/>
            <rFont val="宋体"/>
            <family val="3"/>
            <charset val="134"/>
          </rPr>
          <t>Cortana:</t>
        </r>
        <r>
          <rPr>
            <sz val="9"/>
            <color indexed="81"/>
            <rFont val="宋体"/>
            <family val="3"/>
            <charset val="134"/>
          </rPr>
          <t xml:space="preserve">
飞雷神  -5
传送     5</t>
        </r>
      </text>
    </comment>
  </commentList>
</comments>
</file>

<file path=xl/sharedStrings.xml><?xml version="1.0" encoding="utf-8"?>
<sst xmlns="http://schemas.openxmlformats.org/spreadsheetml/2006/main" count="2374" uniqueCount="78">
  <si>
    <t>工作区</t>
  </si>
  <si>
    <t>合计经验</t>
  </si>
  <si>
    <t>队伍一 火</t>
  </si>
  <si>
    <t>步数</t>
  </si>
  <si>
    <t>(不算跳步和传送)</t>
  </si>
  <si>
    <t>队伍二 雷</t>
  </si>
  <si>
    <t>队伍三</t>
  </si>
  <si>
    <t>总步数</t>
  </si>
  <si>
    <t>八卦全开</t>
  </si>
  <si>
    <t>粮草系数</t>
  </si>
  <si>
    <t>日期</t>
  </si>
  <si>
    <t>获得粮草</t>
  </si>
  <si>
    <t>消耗粮草</t>
  </si>
  <si>
    <t>剩余粮草</t>
  </si>
  <si>
    <t>获得经验</t>
  </si>
  <si>
    <t>累计经验</t>
  </si>
  <si>
    <t>任务经验</t>
  </si>
  <si>
    <t>跳步次数</t>
  </si>
  <si>
    <t>1队跳步</t>
  </si>
  <si>
    <t>2队跳步</t>
  </si>
  <si>
    <t>3队跳步</t>
  </si>
  <si>
    <t>地块</t>
  </si>
  <si>
    <t>粮草</t>
  </si>
  <si>
    <t>经验</t>
  </si>
  <si>
    <t>一队地块</t>
  </si>
  <si>
    <t>二队地块</t>
  </si>
  <si>
    <t>三队地块</t>
  </si>
  <si>
    <t>总地块</t>
  </si>
  <si>
    <t>一队经验</t>
  </si>
  <si>
    <t>二队经验</t>
  </si>
  <si>
    <t>三队经验</t>
  </si>
  <si>
    <t>八卦前</t>
  </si>
  <si>
    <t>1级</t>
  </si>
  <si>
    <t>空</t>
  </si>
  <si>
    <t>否</t>
  </si>
  <si>
    <t>八卦后</t>
  </si>
  <si>
    <t>2级</t>
  </si>
  <si>
    <t>Note：开完八卦当天可能需要手动计算粮草</t>
  </si>
  <si>
    <t>商人</t>
  </si>
  <si>
    <t>3级</t>
  </si>
  <si>
    <t>塔2</t>
  </si>
  <si>
    <t>4级</t>
  </si>
  <si>
    <t>5级</t>
  </si>
  <si>
    <t>6级</t>
  </si>
  <si>
    <t>塔1</t>
  </si>
  <si>
    <t>营地</t>
  </si>
  <si>
    <t>塔3</t>
  </si>
  <si>
    <t>塔4</t>
  </si>
  <si>
    <t>塔5</t>
  </si>
  <si>
    <t>塔6</t>
  </si>
  <si>
    <t>遗迹</t>
  </si>
  <si>
    <t>是</t>
  </si>
  <si>
    <t>大boss</t>
  </si>
  <si>
    <t>中boss</t>
  </si>
  <si>
    <t>山中</t>
  </si>
  <si>
    <t>秋道</t>
  </si>
  <si>
    <t>总经验</t>
  </si>
  <si>
    <t>负粮草</t>
  </si>
  <si>
    <t>队伍一 风</t>
  </si>
  <si>
    <t>八卦前亏损</t>
  </si>
  <si>
    <t>八卦前亏</t>
  </si>
  <si>
    <t>历练</t>
  </si>
  <si>
    <t>大卦</t>
  </si>
  <si>
    <t>粮草调整</t>
  </si>
  <si>
    <t>3级卦</t>
  </si>
  <si>
    <t>巨卦</t>
  </si>
  <si>
    <t>4级卦</t>
  </si>
  <si>
    <t>阶段</t>
  </si>
  <si>
    <t>作废</t>
  </si>
  <si>
    <t>奖励粮草</t>
  </si>
  <si>
    <t>净获得</t>
  </si>
  <si>
    <t>帐篷个数</t>
  </si>
  <si>
    <t>地块统计</t>
  </si>
  <si>
    <t>总</t>
  </si>
  <si>
    <t>缺少</t>
  </si>
  <si>
    <t>应占领</t>
  </si>
  <si>
    <t>分数</t>
  </si>
  <si>
    <t>最终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</si>
</sst>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"/>
  </numFmts>
  <fonts count="24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3"/>
      <charset val="134"/>
      <scheme val="minor"/>
    </font>
    <font>
      <sz val="11"/>
      <color theme="1" tint="4.9989318521683403E-2"/>
      <name val="Calibri"/>
      <family val="3"/>
      <charset val="134"/>
      <scheme val="minor"/>
    </font>
    <font>
      <b/>
      <sz val="18"/>
      <color theme="1"/>
      <name val="Calibri"/>
      <family val="3"/>
      <charset val="134"/>
      <scheme val="minor"/>
    </font>
    <font>
      <b/>
      <sz val="12"/>
      <color rgb="FFC00000"/>
      <name val="Calibri"/>
      <family val="3"/>
      <charset val="134"/>
      <scheme val="minor"/>
    </font>
    <font>
      <sz val="11"/>
      <color rgb="FFFF0000"/>
      <name val="Calibri"/>
      <family val="3"/>
      <charset val="134"/>
      <scheme val="minor"/>
    </font>
    <font>
      <sz val="9"/>
      <name val="Calibri"/>
      <family val="3"/>
      <charset val="134"/>
      <scheme val="minor"/>
    </font>
    <font>
      <sz val="11"/>
      <color theme="0" tint="-0.499984740745262"/>
      <name val="Calibri"/>
      <family val="3"/>
      <charset val="134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3"/>
      <charset val="134"/>
      <scheme val="minor"/>
    </font>
    <font>
      <b/>
      <sz val="11"/>
      <color rgb="FFFF0000"/>
      <name val="Calibri"/>
      <family val="2"/>
      <scheme val="minor"/>
    </font>
    <font>
      <b/>
      <sz val="9"/>
      <color indexed="81"/>
      <name val="宋体"/>
      <family val="3"/>
      <charset val="134"/>
    </font>
    <font>
      <sz val="9"/>
      <color indexed="81"/>
      <name val="宋体"/>
      <family val="3"/>
      <charset val="134"/>
    </font>
    <font>
      <sz val="11"/>
      <name val="Calibri"/>
      <family val="2"/>
      <scheme val="minor"/>
    </font>
    <font>
      <b/>
      <sz val="11"/>
      <color theme="0" tint="-0.34998626667073579"/>
      <name val="Calibri"/>
      <family val="2"/>
      <scheme val="minor"/>
    </font>
    <font>
      <b/>
      <sz val="11"/>
      <color rgb="FFFFFF00"/>
      <name val="Calibri"/>
      <family val="2"/>
      <scheme val="minor"/>
    </font>
    <font>
      <b/>
      <sz val="11"/>
      <color rgb="FFC00000"/>
      <name val="Calibri"/>
      <family val="2"/>
      <scheme val="minor"/>
    </font>
    <font>
      <sz val="11"/>
      <color theme="4" tint="-0.249977111117893"/>
      <name val="Calibri"/>
      <family val="2"/>
      <scheme val="minor"/>
    </font>
    <font>
      <sz val="11"/>
      <color rgb="FFC00000"/>
      <name val="Calibri"/>
      <family val="2"/>
      <scheme val="minor"/>
    </font>
  </fonts>
  <fills count="29">
    <fill>
      <patternFill patternType="none"/>
    </fill>
    <fill>
      <patternFill patternType="gray125"/>
    </fill>
    <fill>
      <patternFill patternType="solid">
        <fgColor theme="5" tint="0.3999450666829432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F24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CC66FF"/>
        <bgColor indexed="64"/>
      </patternFill>
    </fill>
    <fill>
      <patternFill patternType="lightDown">
        <fgColor rgb="FFFF0000"/>
      </patternFill>
    </fill>
    <fill>
      <patternFill patternType="solid">
        <fgColor rgb="FFFFCCFF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gray0625">
        <bgColor theme="8" tint="0.79998168889431442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lightGrid">
        <fgColor theme="4" tint="-0.24994659260841701"/>
        <bgColor auto="1"/>
      </patternFill>
    </fill>
    <fill>
      <patternFill patternType="darkGray">
        <fgColor theme="9" tint="0.39994506668294322"/>
        <bgColor indexed="65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59999389629810485"/>
        <bgColor indexed="64"/>
      </patternFill>
    </fill>
  </fills>
  <borders count="2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</borders>
  <cellStyleXfs count="2">
    <xf numFmtId="0" fontId="0" fillId="0" borderId="0"/>
    <xf numFmtId="0" fontId="3" fillId="0" borderId="0"/>
  </cellStyleXfs>
  <cellXfs count="159">
    <xf numFmtId="0" fontId="0" fillId="0" borderId="0" xfId="0"/>
    <xf numFmtId="0" fontId="6" fillId="2" borderId="2" xfId="0" applyFont="1" applyFill="1" applyBorder="1" applyAlignment="1">
      <alignment horizontal="center"/>
    </xf>
    <xf numFmtId="0" fontId="0" fillId="2" borderId="4" xfId="0" applyFill="1" applyBorder="1"/>
    <xf numFmtId="0" fontId="0" fillId="2" borderId="0" xfId="0" applyFill="1" applyBorder="1"/>
    <xf numFmtId="0" fontId="7" fillId="0" borderId="0" xfId="0" applyFont="1" applyFill="1" applyBorder="1"/>
    <xf numFmtId="0" fontId="7" fillId="3" borderId="0" xfId="0" applyFont="1" applyFill="1" applyBorder="1"/>
    <xf numFmtId="0" fontId="6" fillId="4" borderId="2" xfId="0" applyFont="1" applyFill="1" applyBorder="1" applyAlignment="1">
      <alignment horizontal="center"/>
    </xf>
    <xf numFmtId="0" fontId="0" fillId="4" borderId="4" xfId="0" applyFill="1" applyBorder="1"/>
    <xf numFmtId="0" fontId="0" fillId="4" borderId="0" xfId="0" applyFill="1" applyBorder="1"/>
    <xf numFmtId="0" fontId="6" fillId="5" borderId="2" xfId="0" applyFont="1" applyFill="1" applyBorder="1" applyAlignment="1">
      <alignment horizontal="center"/>
    </xf>
    <xf numFmtId="0" fontId="6" fillId="5" borderId="2" xfId="0" applyFont="1" applyFill="1" applyBorder="1" applyAlignment="1"/>
    <xf numFmtId="0" fontId="0" fillId="5" borderId="4" xfId="0" applyFill="1" applyBorder="1"/>
    <xf numFmtId="0" fontId="0" fillId="5" borderId="0" xfId="0" applyFill="1" applyBorder="1"/>
    <xf numFmtId="0" fontId="0" fillId="5" borderId="5" xfId="0" applyFill="1" applyBorder="1"/>
    <xf numFmtId="0" fontId="0" fillId="3" borderId="0" xfId="0" applyFill="1" applyAlignment="1">
      <alignment horizontal="center" vertical="center" wrapText="1"/>
    </xf>
    <xf numFmtId="0" fontId="0" fillId="3" borderId="0" xfId="0" applyFill="1" applyAlignment="1">
      <alignment wrapText="1"/>
    </xf>
    <xf numFmtId="0" fontId="0" fillId="7" borderId="12" xfId="0" applyFill="1" applyBorder="1" applyAlignment="1">
      <alignment wrapText="1"/>
    </xf>
    <xf numFmtId="0" fontId="10" fillId="0" borderId="0" xfId="0" applyFont="1"/>
    <xf numFmtId="0" fontId="6" fillId="9" borderId="14" xfId="0" applyFont="1" applyFill="1" applyBorder="1" applyAlignment="1">
      <alignment horizontal="center" wrapText="1"/>
    </xf>
    <xf numFmtId="0" fontId="0" fillId="6" borderId="0" xfId="0" applyFill="1" applyBorder="1" applyAlignment="1">
      <alignment horizontal="center" vertical="center"/>
    </xf>
    <xf numFmtId="0" fontId="6" fillId="9" borderId="15" xfId="0" applyFont="1" applyFill="1" applyBorder="1" applyAlignment="1">
      <alignment wrapText="1"/>
    </xf>
    <xf numFmtId="0" fontId="6" fillId="0" borderId="0" xfId="0" applyFont="1"/>
    <xf numFmtId="0" fontId="0" fillId="0" borderId="13" xfId="0" applyBorder="1"/>
    <xf numFmtId="0" fontId="0" fillId="10" borderId="1" xfId="0" applyFill="1" applyBorder="1"/>
    <xf numFmtId="0" fontId="0" fillId="2" borderId="13" xfId="0" applyFill="1" applyBorder="1"/>
    <xf numFmtId="0" fontId="0" fillId="4" borderId="13" xfId="0" applyFill="1" applyBorder="1"/>
    <xf numFmtId="0" fontId="0" fillId="5" borderId="13" xfId="0" applyFill="1" applyBorder="1"/>
    <xf numFmtId="0" fontId="0" fillId="8" borderId="13" xfId="0" applyFill="1" applyBorder="1"/>
    <xf numFmtId="0" fontId="0" fillId="10" borderId="0" xfId="0" applyFill="1" applyBorder="1"/>
    <xf numFmtId="0" fontId="0" fillId="0" borderId="0" xfId="0" applyBorder="1"/>
    <xf numFmtId="0" fontId="0" fillId="0" borderId="0" xfId="0" applyFill="1" applyBorder="1"/>
    <xf numFmtId="0" fontId="0" fillId="10" borderId="3" xfId="0" applyFill="1" applyBorder="1"/>
    <xf numFmtId="0" fontId="0" fillId="10" borderId="5" xfId="0" applyFill="1" applyBorder="1"/>
    <xf numFmtId="0" fontId="12" fillId="0" borderId="0" xfId="0" applyFont="1"/>
    <xf numFmtId="0" fontId="12" fillId="10" borderId="10" xfId="0" applyFont="1" applyFill="1" applyBorder="1"/>
    <xf numFmtId="0" fontId="12" fillId="10" borderId="11" xfId="0" applyFont="1" applyFill="1" applyBorder="1"/>
    <xf numFmtId="0" fontId="13" fillId="17" borderId="14" xfId="0" applyFont="1" applyFill="1" applyBorder="1" applyAlignment="1">
      <alignment horizontal="center" wrapText="1"/>
    </xf>
    <xf numFmtId="0" fontId="13" fillId="17" borderId="14" xfId="0" applyFont="1" applyFill="1" applyBorder="1" applyAlignment="1">
      <alignment wrapText="1"/>
    </xf>
    <xf numFmtId="0" fontId="13" fillId="17" borderId="15" xfId="0" applyFont="1" applyFill="1" applyBorder="1" applyAlignment="1">
      <alignment wrapText="1"/>
    </xf>
    <xf numFmtId="0" fontId="14" fillId="0" borderId="0" xfId="0" applyFont="1"/>
    <xf numFmtId="0" fontId="14" fillId="0" borderId="13" xfId="0" applyFont="1" applyBorder="1"/>
    <xf numFmtId="0" fontId="14" fillId="0" borderId="0" xfId="0" applyFont="1" applyBorder="1"/>
    <xf numFmtId="0" fontId="0" fillId="0" borderId="0" xfId="0" applyAlignment="1">
      <alignment horizontal="center" wrapText="1"/>
    </xf>
    <xf numFmtId="0" fontId="6" fillId="2" borderId="2" xfId="0" applyFont="1" applyFill="1" applyBorder="1" applyAlignment="1">
      <alignment horizontal="center"/>
    </xf>
    <xf numFmtId="0" fontId="6" fillId="4" borderId="2" xfId="0" applyFont="1" applyFill="1" applyBorder="1" applyAlignment="1">
      <alignment horizontal="center"/>
    </xf>
    <xf numFmtId="0" fontId="6" fillId="5" borderId="2" xfId="0" applyFont="1" applyFill="1" applyBorder="1" applyAlignment="1">
      <alignment horizontal="center"/>
    </xf>
    <xf numFmtId="0" fontId="0" fillId="0" borderId="0" xfId="0" applyBorder="1" applyAlignment="1">
      <alignment horizontal="center" wrapText="1"/>
    </xf>
    <xf numFmtId="0" fontId="13" fillId="10" borderId="13" xfId="0" applyFont="1" applyFill="1" applyBorder="1"/>
    <xf numFmtId="10" fontId="0" fillId="19" borderId="0" xfId="0" applyNumberFormat="1" applyFill="1"/>
    <xf numFmtId="0" fontId="13" fillId="20" borderId="13" xfId="0" applyFont="1" applyFill="1" applyBorder="1"/>
    <xf numFmtId="0" fontId="15" fillId="8" borderId="13" xfId="0" applyFont="1" applyFill="1" applyBorder="1" applyAlignment="1">
      <alignment vertical="top"/>
    </xf>
    <xf numFmtId="0" fontId="5" fillId="7" borderId="12" xfId="0" applyFont="1" applyFill="1" applyBorder="1" applyAlignment="1">
      <alignment wrapText="1"/>
    </xf>
    <xf numFmtId="0" fontId="4" fillId="18" borderId="0" xfId="0" applyFont="1" applyFill="1" applyAlignment="1">
      <alignment wrapText="1"/>
    </xf>
    <xf numFmtId="0" fontId="6" fillId="21" borderId="2" xfId="0" applyFont="1" applyFill="1" applyBorder="1" applyAlignment="1">
      <alignment horizontal="center"/>
    </xf>
    <xf numFmtId="0" fontId="0" fillId="21" borderId="4" xfId="0" applyFill="1" applyBorder="1"/>
    <xf numFmtId="0" fontId="0" fillId="21" borderId="0" xfId="0" applyFill="1" applyBorder="1"/>
    <xf numFmtId="0" fontId="4" fillId="0" borderId="0" xfId="0" applyFont="1"/>
    <xf numFmtId="0" fontId="0" fillId="22" borderId="4" xfId="0" applyFill="1" applyBorder="1"/>
    <xf numFmtId="0" fontId="0" fillId="22" borderId="0" xfId="0" applyFill="1" applyBorder="1"/>
    <xf numFmtId="0" fontId="0" fillId="23" borderId="4" xfId="0" applyFill="1" applyBorder="1"/>
    <xf numFmtId="0" fontId="0" fillId="23" borderId="0" xfId="0" applyFill="1" applyBorder="1"/>
    <xf numFmtId="0" fontId="0" fillId="8" borderId="13" xfId="0" applyFill="1" applyBorder="1" applyAlignment="1">
      <alignment vertical="top"/>
    </xf>
    <xf numFmtId="0" fontId="0" fillId="21" borderId="13" xfId="0" applyFill="1" applyBorder="1" applyAlignment="1">
      <alignment vertical="top"/>
    </xf>
    <xf numFmtId="0" fontId="0" fillId="17" borderId="13" xfId="0" applyFill="1" applyBorder="1" applyAlignment="1">
      <alignment vertical="top"/>
    </xf>
    <xf numFmtId="0" fontId="0" fillId="24" borderId="13" xfId="0" applyFill="1" applyBorder="1" applyAlignment="1">
      <alignment vertical="top"/>
    </xf>
    <xf numFmtId="0" fontId="0" fillId="13" borderId="13" xfId="0" applyFill="1" applyBorder="1" applyAlignment="1">
      <alignment vertical="top"/>
    </xf>
    <xf numFmtId="0" fontId="0" fillId="19" borderId="13" xfId="0" applyFill="1" applyBorder="1" applyAlignment="1">
      <alignment vertical="top"/>
    </xf>
    <xf numFmtId="0" fontId="15" fillId="21" borderId="13" xfId="0" applyFont="1" applyFill="1" applyBorder="1" applyAlignment="1">
      <alignment vertical="top"/>
    </xf>
    <xf numFmtId="0" fontId="15" fillId="17" borderId="13" xfId="0" applyFont="1" applyFill="1" applyBorder="1" applyAlignment="1">
      <alignment vertical="top"/>
    </xf>
    <xf numFmtId="0" fontId="15" fillId="24" borderId="13" xfId="0" applyFont="1" applyFill="1" applyBorder="1" applyAlignment="1">
      <alignment vertical="top"/>
    </xf>
    <xf numFmtId="0" fontId="13" fillId="14" borderId="13" xfId="0" applyFont="1" applyFill="1" applyBorder="1"/>
    <xf numFmtId="0" fontId="13" fillId="25" borderId="13" xfId="0" applyFont="1" applyFill="1" applyBorder="1"/>
    <xf numFmtId="0" fontId="13" fillId="26" borderId="13" xfId="0" applyFont="1" applyFill="1" applyBorder="1"/>
    <xf numFmtId="0" fontId="13" fillId="16" borderId="13" xfId="0" applyFont="1" applyFill="1" applyBorder="1"/>
    <xf numFmtId="0" fontId="13" fillId="15" borderId="13" xfId="0" applyFont="1" applyFill="1" applyBorder="1"/>
    <xf numFmtId="0" fontId="19" fillId="5" borderId="13" xfId="0" applyFont="1" applyFill="1" applyBorder="1"/>
    <xf numFmtId="0" fontId="13" fillId="0" borderId="13" xfId="0" applyFont="1" applyBorder="1"/>
    <xf numFmtId="0" fontId="18" fillId="27" borderId="0" xfId="0" applyFont="1" applyFill="1" applyBorder="1"/>
    <xf numFmtId="0" fontId="18" fillId="27" borderId="0" xfId="1" applyFont="1" applyFill="1" applyBorder="1"/>
    <xf numFmtId="0" fontId="18" fillId="28" borderId="0" xfId="1" applyFont="1" applyFill="1" applyBorder="1"/>
    <xf numFmtId="0" fontId="0" fillId="0" borderId="4" xfId="0" applyFill="1" applyBorder="1"/>
    <xf numFmtId="0" fontId="0" fillId="0" borderId="0" xfId="0" applyFill="1"/>
    <xf numFmtId="0" fontId="0" fillId="0" borderId="9" xfId="0" applyFill="1" applyBorder="1"/>
    <xf numFmtId="0" fontId="13" fillId="0" borderId="13" xfId="0" applyFont="1" applyFill="1" applyBorder="1"/>
    <xf numFmtId="0" fontId="20" fillId="13" borderId="13" xfId="0" applyFont="1" applyFill="1" applyBorder="1" applyAlignment="1">
      <alignment vertical="top"/>
    </xf>
    <xf numFmtId="0" fontId="21" fillId="19" borderId="13" xfId="0" applyFont="1" applyFill="1" applyBorder="1" applyAlignment="1">
      <alignment vertical="top"/>
    </xf>
    <xf numFmtId="0" fontId="0" fillId="10" borderId="0" xfId="0" applyFill="1"/>
    <xf numFmtId="0" fontId="0" fillId="0" borderId="17" xfId="0" applyFill="1" applyBorder="1"/>
    <xf numFmtId="164" fontId="0" fillId="19" borderId="0" xfId="0" applyNumberFormat="1" applyFill="1"/>
    <xf numFmtId="0" fontId="0" fillId="0" borderId="17" xfId="0" applyBorder="1"/>
    <xf numFmtId="14" fontId="2" fillId="17" borderId="0" xfId="0" applyNumberFormat="1" applyFont="1" applyFill="1"/>
    <xf numFmtId="0" fontId="2" fillId="3" borderId="0" xfId="0" applyFont="1" applyFill="1"/>
    <xf numFmtId="0" fontId="2" fillId="18" borderId="0" xfId="0" applyFont="1" applyFill="1"/>
    <xf numFmtId="0" fontId="2" fillId="0" borderId="0" xfId="0" applyFont="1"/>
    <xf numFmtId="0" fontId="2" fillId="11" borderId="5" xfId="0" applyFont="1" applyFill="1" applyBorder="1"/>
    <xf numFmtId="0" fontId="13" fillId="12" borderId="15" xfId="0" applyFont="1" applyFill="1" applyBorder="1" applyAlignment="1">
      <alignment horizontal="center"/>
    </xf>
    <xf numFmtId="0" fontId="2" fillId="10" borderId="15" xfId="0" applyFont="1" applyFill="1" applyBorder="1"/>
    <xf numFmtId="0" fontId="13" fillId="12" borderId="15" xfId="1" applyFont="1" applyFill="1" applyBorder="1" applyAlignment="1">
      <alignment horizontal="center"/>
    </xf>
    <xf numFmtId="0" fontId="2" fillId="0" borderId="15" xfId="1" applyFont="1" applyBorder="1"/>
    <xf numFmtId="14" fontId="2" fillId="21" borderId="0" xfId="0" applyNumberFormat="1" applyFont="1" applyFill="1"/>
    <xf numFmtId="0" fontId="6" fillId="22" borderId="2" xfId="0" applyFont="1" applyFill="1" applyBorder="1" applyAlignment="1">
      <alignment horizontal="center"/>
    </xf>
    <xf numFmtId="0" fontId="6" fillId="23" borderId="2" xfId="0" applyFont="1" applyFill="1" applyBorder="1" applyAlignment="1">
      <alignment horizontal="center"/>
    </xf>
    <xf numFmtId="0" fontId="6" fillId="22" borderId="2" xfId="0" applyFont="1" applyFill="1" applyBorder="1" applyAlignment="1"/>
    <xf numFmtId="0" fontId="0" fillId="22" borderId="5" xfId="0" applyFill="1" applyBorder="1"/>
    <xf numFmtId="0" fontId="22" fillId="3" borderId="0" xfId="0" applyFont="1" applyFill="1"/>
    <xf numFmtId="0" fontId="23" fillId="3" borderId="0" xfId="0" applyFont="1" applyFill="1"/>
    <xf numFmtId="0" fontId="13" fillId="10" borderId="18" xfId="0" applyFont="1" applyFill="1" applyBorder="1"/>
    <xf numFmtId="0" fontId="0" fillId="17" borderId="18" xfId="0" applyFill="1" applyBorder="1" applyAlignment="1">
      <alignment vertical="top"/>
    </xf>
    <xf numFmtId="0" fontId="0" fillId="8" borderId="19" xfId="0" applyFill="1" applyBorder="1" applyAlignment="1">
      <alignment vertical="top"/>
    </xf>
    <xf numFmtId="0" fontId="13" fillId="25" borderId="19" xfId="0" applyFont="1" applyFill="1" applyBorder="1"/>
    <xf numFmtId="0" fontId="0" fillId="21" borderId="19" xfId="0" applyFill="1" applyBorder="1" applyAlignment="1">
      <alignment vertical="top"/>
    </xf>
    <xf numFmtId="0" fontId="13" fillId="26" borderId="19" xfId="0" applyFont="1" applyFill="1" applyBorder="1"/>
    <xf numFmtId="0" fontId="0" fillId="8" borderId="20" xfId="0" applyFill="1" applyBorder="1" applyAlignment="1">
      <alignment vertical="top"/>
    </xf>
    <xf numFmtId="0" fontId="0" fillId="8" borderId="21" xfId="0" applyFill="1" applyBorder="1" applyAlignment="1">
      <alignment vertical="top"/>
    </xf>
    <xf numFmtId="0" fontId="13" fillId="25" borderId="21" xfId="0" applyFont="1" applyFill="1" applyBorder="1"/>
    <xf numFmtId="0" fontId="0" fillId="8" borderId="22" xfId="0" applyFill="1" applyBorder="1" applyAlignment="1">
      <alignment vertical="top"/>
    </xf>
    <xf numFmtId="0" fontId="0" fillId="8" borderId="23" xfId="0" applyFill="1" applyBorder="1" applyAlignment="1">
      <alignment vertical="top"/>
    </xf>
    <xf numFmtId="0" fontId="0" fillId="8" borderId="24" xfId="0" applyFill="1" applyBorder="1" applyAlignment="1">
      <alignment vertical="top"/>
    </xf>
    <xf numFmtId="0" fontId="13" fillId="25" borderId="24" xfId="0" applyFont="1" applyFill="1" applyBorder="1"/>
    <xf numFmtId="0" fontId="0" fillId="8" borderId="25" xfId="0" applyFill="1" applyBorder="1" applyAlignment="1">
      <alignment vertical="top"/>
    </xf>
    <xf numFmtId="0" fontId="0" fillId="0" borderId="0" xfId="0" applyAlignment="1">
      <alignment horizontal="center"/>
    </xf>
    <xf numFmtId="0" fontId="0" fillId="10" borderId="14" xfId="0" applyFill="1" applyBorder="1" applyAlignment="1">
      <alignment horizontal="center" wrapText="1"/>
    </xf>
    <xf numFmtId="0" fontId="0" fillId="10" borderId="15" xfId="0" applyFill="1" applyBorder="1" applyAlignment="1">
      <alignment horizontal="center" wrapText="1"/>
    </xf>
    <xf numFmtId="0" fontId="0" fillId="0" borderId="2" xfId="0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16" xfId="0" applyBorder="1" applyAlignment="1">
      <alignment horizontal="center" wrapText="1"/>
    </xf>
    <xf numFmtId="10" fontId="0" fillId="0" borderId="6" xfId="0" applyNumberFormat="1" applyBorder="1" applyAlignment="1">
      <alignment horizontal="center"/>
    </xf>
    <xf numFmtId="10" fontId="0" fillId="0" borderId="7" xfId="0" applyNumberFormat="1" applyBorder="1" applyAlignment="1">
      <alignment horizontal="center"/>
    </xf>
    <xf numFmtId="10" fontId="0" fillId="0" borderId="8" xfId="0" applyNumberFormat="1" applyBorder="1" applyAlignment="1">
      <alignment horizontal="center"/>
    </xf>
    <xf numFmtId="0" fontId="8" fillId="6" borderId="6" xfId="0" applyFont="1" applyFill="1" applyBorder="1" applyAlignment="1">
      <alignment horizontal="center" vertical="center"/>
    </xf>
    <xf numFmtId="0" fontId="0" fillId="6" borderId="7" xfId="0" applyFill="1" applyBorder="1" applyAlignment="1">
      <alignment horizontal="center" vertical="center"/>
    </xf>
    <xf numFmtId="0" fontId="0" fillId="6" borderId="8" xfId="0" applyFill="1" applyBorder="1" applyAlignment="1">
      <alignment horizontal="center" vertical="center"/>
    </xf>
    <xf numFmtId="0" fontId="0" fillId="7" borderId="9" xfId="0" applyFill="1" applyBorder="1" applyAlignment="1">
      <alignment horizontal="center" vertical="center"/>
    </xf>
    <xf numFmtId="0" fontId="0" fillId="7" borderId="10" xfId="0" applyFill="1" applyBorder="1" applyAlignment="1">
      <alignment horizontal="center" vertical="center"/>
    </xf>
    <xf numFmtId="0" fontId="9" fillId="7" borderId="10" xfId="0" applyFont="1" applyFill="1" applyBorder="1" applyAlignment="1">
      <alignment horizontal="center" vertical="center"/>
    </xf>
    <xf numFmtId="0" fontId="9" fillId="7" borderId="11" xfId="0" applyFont="1" applyFill="1" applyBorder="1" applyAlignment="1">
      <alignment horizontal="center" vertical="center"/>
    </xf>
    <xf numFmtId="0" fontId="6" fillId="21" borderId="1" xfId="0" applyFont="1" applyFill="1" applyBorder="1" applyAlignment="1">
      <alignment horizontal="center"/>
    </xf>
    <xf numFmtId="0" fontId="6" fillId="21" borderId="2" xfId="0" applyFont="1" applyFill="1" applyBorder="1" applyAlignment="1">
      <alignment horizontal="center"/>
    </xf>
    <xf numFmtId="0" fontId="6" fillId="21" borderId="3" xfId="0" applyFont="1" applyFill="1" applyBorder="1" applyAlignment="1">
      <alignment horizontal="center"/>
    </xf>
    <xf numFmtId="0" fontId="6" fillId="23" borderId="1" xfId="0" applyFont="1" applyFill="1" applyBorder="1" applyAlignment="1">
      <alignment horizontal="center"/>
    </xf>
    <xf numFmtId="0" fontId="6" fillId="23" borderId="2" xfId="0" applyFont="1" applyFill="1" applyBorder="1" applyAlignment="1">
      <alignment horizontal="center"/>
    </xf>
    <xf numFmtId="0" fontId="6" fillId="23" borderId="3" xfId="0" applyFont="1" applyFill="1" applyBorder="1" applyAlignment="1">
      <alignment horizontal="center"/>
    </xf>
    <xf numFmtId="0" fontId="6" fillId="22" borderId="1" xfId="0" applyFont="1" applyFill="1" applyBorder="1" applyAlignment="1">
      <alignment horizontal="center"/>
    </xf>
    <xf numFmtId="0" fontId="6" fillId="22" borderId="2" xfId="0" applyFont="1" applyFill="1" applyBorder="1" applyAlignment="1">
      <alignment horizontal="center"/>
    </xf>
    <xf numFmtId="0" fontId="6" fillId="22" borderId="3" xfId="0" applyFont="1" applyFill="1" applyBorder="1" applyAlignment="1">
      <alignment horizontal="center"/>
    </xf>
    <xf numFmtId="0" fontId="6" fillId="5" borderId="2" xfId="0" applyFont="1" applyFill="1" applyBorder="1" applyAlignment="1">
      <alignment horizontal="center"/>
    </xf>
    <xf numFmtId="0" fontId="6" fillId="5" borderId="3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6" fillId="2" borderId="2" xfId="0" applyFont="1" applyFill="1" applyBorder="1" applyAlignment="1">
      <alignment horizontal="center"/>
    </xf>
    <xf numFmtId="0" fontId="6" fillId="2" borderId="3" xfId="0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/>
    </xf>
    <xf numFmtId="0" fontId="6" fillId="4" borderId="2" xfId="0" applyFont="1" applyFill="1" applyBorder="1" applyAlignment="1">
      <alignment horizontal="center"/>
    </xf>
    <xf numFmtId="0" fontId="6" fillId="4" borderId="3" xfId="0" applyFont="1" applyFill="1" applyBorder="1" applyAlignment="1">
      <alignment horizontal="center"/>
    </xf>
    <xf numFmtId="0" fontId="6" fillId="5" borderId="1" xfId="0" applyFont="1" applyFill="1" applyBorder="1" applyAlignment="1">
      <alignment horizontal="center"/>
    </xf>
    <xf numFmtId="0" fontId="1" fillId="0" borderId="0" xfId="0" applyFont="1"/>
    <xf numFmtId="0" fontId="1" fillId="22" borderId="0" xfId="0" applyFont="1" applyFill="1"/>
    <xf numFmtId="0" fontId="0" fillId="22" borderId="0" xfId="0" applyFill="1"/>
    <xf numFmtId="0" fontId="14" fillId="22" borderId="13" xfId="0" applyFont="1" applyFill="1" applyBorder="1"/>
    <xf numFmtId="0" fontId="0" fillId="22" borderId="13" xfId="0" applyFill="1" applyBorder="1"/>
  </cellXfs>
  <cellStyles count="2">
    <cellStyle name="Normal" xfId="0" builtinId="0"/>
    <cellStyle name="Normal 2" xfId="1" xr:uid="{E0578802-5865-4126-A2FF-83DD4356348B}"/>
  </cellStyles>
  <dxfs count="0"/>
  <tableStyles count="0" defaultTableStyle="TableStyleMedium2" defaultPivotStyle="PivotStyleLight16"/>
  <colors>
    <mruColors>
      <color rgb="FF99FFCC"/>
      <color rgb="FFFFCCFF"/>
      <color rgb="FFFFF243"/>
      <color rgb="FFFFCC00"/>
      <color rgb="FFFF99FF"/>
      <color rgb="FFCC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95"/>
  <sheetViews>
    <sheetView tabSelected="1" zoomScaleNormal="100" workbookViewId="0">
      <pane ySplit="3" topLeftCell="A30" activePane="bottomLeft" state="frozen"/>
      <selection activeCell="AO32" sqref="AO32"/>
      <selection pane="bottomLeft" activeCell="I28" sqref="I28:M30"/>
    </sheetView>
  </sheetViews>
  <sheetFormatPr defaultColWidth="9" defaultRowHeight="15"/>
  <cols>
    <col min="1" max="1" width="11.85546875" customWidth="1"/>
    <col min="2" max="2" width="8.5703125" customWidth="1"/>
    <col min="3" max="3" width="6.28515625" customWidth="1"/>
    <col min="4" max="4" width="5.7109375" customWidth="1"/>
    <col min="5" max="5" width="6.42578125" customWidth="1"/>
    <col min="6" max="6" width="5.7109375" customWidth="1"/>
    <col min="7" max="7" width="6.42578125" customWidth="1"/>
    <col min="8" max="8" width="5.42578125" customWidth="1"/>
    <col min="9" max="32" width="4.7109375" customWidth="1"/>
    <col min="33" max="37" width="5.140625" customWidth="1"/>
  </cols>
  <sheetData>
    <row r="1" spans="1:54" ht="28.15" customHeight="1" thickBot="1">
      <c r="A1" s="126">
        <f ca="1">(_xlfn.DAYS(TODAY(),A4)+2)/((_xlfn.DAYS(A93,A4))+1)</f>
        <v>4.4444444444444446E-2</v>
      </c>
      <c r="B1" s="127"/>
      <c r="C1" s="127"/>
      <c r="D1" s="127"/>
      <c r="E1" s="127"/>
      <c r="F1" s="127"/>
      <c r="G1" s="127"/>
      <c r="H1" s="128"/>
      <c r="I1" s="129" t="s">
        <v>0</v>
      </c>
      <c r="J1" s="130"/>
      <c r="K1" s="130"/>
      <c r="L1" s="130"/>
      <c r="M1" s="130"/>
      <c r="N1" s="130"/>
      <c r="O1" s="130"/>
      <c r="P1" s="130"/>
      <c r="Q1" s="130"/>
      <c r="R1" s="130"/>
      <c r="S1" s="130"/>
      <c r="T1" s="130"/>
      <c r="U1" s="130"/>
      <c r="V1" s="130"/>
      <c r="W1" s="130"/>
      <c r="X1" s="130"/>
      <c r="Y1" s="130"/>
      <c r="Z1" s="130"/>
      <c r="AA1" s="130"/>
      <c r="AB1" s="130"/>
      <c r="AC1" s="130"/>
      <c r="AD1" s="130"/>
      <c r="AE1" s="130"/>
      <c r="AF1" s="130"/>
      <c r="AG1" s="131"/>
      <c r="AH1" s="19"/>
      <c r="AI1" s="19"/>
      <c r="AJ1" s="19"/>
      <c r="AM1" s="124"/>
      <c r="AN1" s="124"/>
      <c r="AO1" s="124"/>
      <c r="AP1" s="42"/>
    </row>
    <row r="2" spans="1:54" ht="16.149999999999999" customHeight="1" thickBot="1">
      <c r="A2" s="56">
        <v>18.04</v>
      </c>
      <c r="B2" s="48" t="s">
        <v>60</v>
      </c>
      <c r="C2" s="88">
        <f>SUM(D4:D15)</f>
        <v>24512</v>
      </c>
      <c r="D2" s="132" t="s">
        <v>1</v>
      </c>
      <c r="E2" s="133"/>
      <c r="F2" s="134">
        <f>SUM(F4:F93)+SUM(H4:H93)</f>
        <v>64950</v>
      </c>
      <c r="G2" s="134"/>
      <c r="H2" s="135"/>
      <c r="I2" s="136" t="s">
        <v>2</v>
      </c>
      <c r="J2" s="137"/>
      <c r="K2" s="53" t="s">
        <v>3</v>
      </c>
      <c r="L2" s="53">
        <f>COUNTIF(I4:P93,"&lt;&gt;空")</f>
        <v>495</v>
      </c>
      <c r="M2" s="137" t="s">
        <v>4</v>
      </c>
      <c r="N2" s="137"/>
      <c r="O2" s="137"/>
      <c r="P2" s="138"/>
      <c r="Q2" s="139" t="s">
        <v>5</v>
      </c>
      <c r="R2" s="140"/>
      <c r="S2" s="101" t="s">
        <v>3</v>
      </c>
      <c r="T2" s="101">
        <f>COUNTIF(Q4:X93,"&lt;&gt;空")</f>
        <v>473</v>
      </c>
      <c r="U2" s="140" t="s">
        <v>4</v>
      </c>
      <c r="V2" s="140"/>
      <c r="W2" s="140"/>
      <c r="X2" s="141"/>
      <c r="Y2" s="142" t="s">
        <v>6</v>
      </c>
      <c r="Z2" s="143"/>
      <c r="AA2" s="102" t="s">
        <v>7</v>
      </c>
      <c r="AB2" s="100">
        <f>COUNTIF(Y4:AF93,"&lt;&gt;空")</f>
        <v>101</v>
      </c>
      <c r="AC2" s="143" t="s">
        <v>4</v>
      </c>
      <c r="AD2" s="143"/>
      <c r="AE2" s="143"/>
      <c r="AF2" s="144"/>
      <c r="AG2" s="36">
        <f>SUM(AG4:AG93)</f>
        <v>58</v>
      </c>
      <c r="AH2" s="36">
        <f>SUM(AH4:AH93)</f>
        <v>19</v>
      </c>
      <c r="AI2" s="36">
        <f>SUM(AI4:AI93)</f>
        <v>25</v>
      </c>
      <c r="AJ2" s="18">
        <f>SUM(AJ4:AJ93)</f>
        <v>14</v>
      </c>
      <c r="AK2" s="121" t="s">
        <v>8</v>
      </c>
      <c r="AM2" s="125"/>
      <c r="AN2" s="125"/>
      <c r="AO2" s="125"/>
      <c r="AP2" s="46"/>
      <c r="AS2" t="s">
        <v>27</v>
      </c>
      <c r="AT2">
        <f>SUM(AT4:AT29)</f>
        <v>1069</v>
      </c>
      <c r="AU2" s="154" t="s">
        <v>13</v>
      </c>
      <c r="AV2">
        <f>AP47</f>
        <v>2</v>
      </c>
      <c r="AW2" t="s">
        <v>56</v>
      </c>
      <c r="AX2" s="30">
        <f>SUM(AV4:AX29)+7000</f>
        <v>64950</v>
      </c>
      <c r="AY2" s="23"/>
      <c r="AZ2" s="31" t="s">
        <v>9</v>
      </c>
    </row>
    <row r="3" spans="1:54" ht="31.5" customHeight="1" thickBot="1">
      <c r="A3" s="14" t="s">
        <v>10</v>
      </c>
      <c r="B3" s="15" t="s">
        <v>11</v>
      </c>
      <c r="C3" s="52" t="s">
        <v>63</v>
      </c>
      <c r="D3" s="15" t="s">
        <v>12</v>
      </c>
      <c r="E3" s="15" t="s">
        <v>13</v>
      </c>
      <c r="F3" s="16" t="s">
        <v>14</v>
      </c>
      <c r="G3" s="16" t="s">
        <v>15</v>
      </c>
      <c r="H3" s="51" t="s">
        <v>16</v>
      </c>
      <c r="I3" s="54">
        <v>1</v>
      </c>
      <c r="J3" s="55">
        <v>2</v>
      </c>
      <c r="K3" s="55">
        <v>3</v>
      </c>
      <c r="L3" s="55">
        <v>4</v>
      </c>
      <c r="M3" s="55">
        <v>5</v>
      </c>
      <c r="N3" s="55">
        <v>6</v>
      </c>
      <c r="O3" s="55">
        <v>7</v>
      </c>
      <c r="P3" s="55">
        <v>8</v>
      </c>
      <c r="Q3" s="59">
        <v>1</v>
      </c>
      <c r="R3" s="60">
        <v>2</v>
      </c>
      <c r="S3" s="60">
        <v>3</v>
      </c>
      <c r="T3" s="60">
        <v>4</v>
      </c>
      <c r="U3" s="60">
        <v>5</v>
      </c>
      <c r="V3" s="60">
        <v>6</v>
      </c>
      <c r="W3" s="60">
        <v>7</v>
      </c>
      <c r="X3" s="60">
        <v>8</v>
      </c>
      <c r="Y3" s="57">
        <v>1</v>
      </c>
      <c r="Z3" s="58">
        <v>2</v>
      </c>
      <c r="AA3" s="58">
        <v>3</v>
      </c>
      <c r="AB3" s="58">
        <v>4</v>
      </c>
      <c r="AC3" s="58">
        <v>5</v>
      </c>
      <c r="AD3" s="58">
        <v>6</v>
      </c>
      <c r="AE3" s="58">
        <v>7</v>
      </c>
      <c r="AF3" s="103">
        <v>8</v>
      </c>
      <c r="AG3" s="37" t="s">
        <v>17</v>
      </c>
      <c r="AH3" s="38" t="s">
        <v>18</v>
      </c>
      <c r="AI3" s="38" t="s">
        <v>19</v>
      </c>
      <c r="AJ3" s="20" t="s">
        <v>20</v>
      </c>
      <c r="AK3" s="122"/>
      <c r="AL3" s="21"/>
      <c r="AM3" s="22" t="s">
        <v>21</v>
      </c>
      <c r="AN3" s="22" t="s">
        <v>22</v>
      </c>
      <c r="AO3" s="22" t="s">
        <v>23</v>
      </c>
      <c r="AP3" s="22" t="s">
        <v>59</v>
      </c>
      <c r="AQ3" s="24" t="s">
        <v>24</v>
      </c>
      <c r="AR3" s="25" t="s">
        <v>25</v>
      </c>
      <c r="AS3" s="26" t="s">
        <v>26</v>
      </c>
      <c r="AT3" s="27" t="s">
        <v>27</v>
      </c>
      <c r="AU3" s="27"/>
      <c r="AV3" s="24" t="s">
        <v>28</v>
      </c>
      <c r="AW3" s="25" t="s">
        <v>29</v>
      </c>
      <c r="AX3" s="26" t="s">
        <v>30</v>
      </c>
      <c r="AY3" s="28" t="s">
        <v>31</v>
      </c>
      <c r="AZ3" s="32">
        <v>1</v>
      </c>
    </row>
    <row r="4" spans="1:54" s="33" customFormat="1" ht="15.75" thickBot="1">
      <c r="A4" s="90">
        <v>45639</v>
      </c>
      <c r="B4" s="91">
        <v>800</v>
      </c>
      <c r="C4" s="92">
        <v>4800</v>
      </c>
      <c r="D4" s="91">
        <f>(SUM(粮草!A4:X4)+AG4*10*IF(AK4="是",$AZ$4,$AZ$3))</f>
        <v>1550</v>
      </c>
      <c r="E4" s="105">
        <f>SUM($B$4:B4)+SUM($C$4:C4)-SUM($D$4:D4)</f>
        <v>4050</v>
      </c>
      <c r="F4" s="104">
        <f>SUM(经验!A4:X4)</f>
        <v>380</v>
      </c>
      <c r="G4" s="91">
        <f>SUM($F$4:F4)+SUM($H$4:H4)</f>
        <v>880</v>
      </c>
      <c r="H4" s="91">
        <v>500</v>
      </c>
      <c r="I4" s="61" t="s">
        <v>32</v>
      </c>
      <c r="J4" s="61" t="s">
        <v>32</v>
      </c>
      <c r="K4" s="61" t="s">
        <v>32</v>
      </c>
      <c r="L4" s="61" t="s">
        <v>32</v>
      </c>
      <c r="M4" s="61" t="s">
        <v>32</v>
      </c>
      <c r="N4" s="93" t="s">
        <v>33</v>
      </c>
      <c r="O4" s="94" t="s">
        <v>33</v>
      </c>
      <c r="P4" s="94" t="s">
        <v>33</v>
      </c>
      <c r="Q4" s="71" t="s">
        <v>38</v>
      </c>
      <c r="R4" s="61" t="s">
        <v>32</v>
      </c>
      <c r="S4" s="61" t="s">
        <v>32</v>
      </c>
      <c r="T4" s="61" t="s">
        <v>32</v>
      </c>
      <c r="U4" s="61" t="s">
        <v>32</v>
      </c>
      <c r="V4" s="61" t="s">
        <v>32</v>
      </c>
      <c r="W4" s="94" t="s">
        <v>33</v>
      </c>
      <c r="X4" s="94" t="s">
        <v>33</v>
      </c>
      <c r="Y4" s="93" t="s">
        <v>33</v>
      </c>
      <c r="Z4" s="93" t="s">
        <v>33</v>
      </c>
      <c r="AA4" s="93" t="s">
        <v>33</v>
      </c>
      <c r="AB4" s="93" t="s">
        <v>33</v>
      </c>
      <c r="AC4" s="93" t="s">
        <v>33</v>
      </c>
      <c r="AD4" s="93" t="s">
        <v>33</v>
      </c>
      <c r="AE4" s="94" t="s">
        <v>33</v>
      </c>
      <c r="AF4" s="94" t="s">
        <v>33</v>
      </c>
      <c r="AG4" s="95">
        <f>AH4+AI4+AJ4</f>
        <v>0</v>
      </c>
      <c r="AH4" s="95"/>
      <c r="AI4" s="95"/>
      <c r="AJ4" s="95"/>
      <c r="AK4" s="96" t="s">
        <v>34</v>
      </c>
      <c r="AL4" s="33">
        <f>SUM(AI5:AJ10)</f>
        <v>26</v>
      </c>
      <c r="AM4" s="61" t="s">
        <v>32</v>
      </c>
      <c r="AN4" s="22">
        <v>150</v>
      </c>
      <c r="AO4" s="22">
        <v>35</v>
      </c>
      <c r="AP4" s="40">
        <v>44.222109392472248</v>
      </c>
      <c r="AQ4" s="40">
        <f t="shared" ref="AQ4:AQ26" si="0">COUNTIF($I$4:$P$93,AM4)</f>
        <v>22</v>
      </c>
      <c r="AR4" s="40">
        <f t="shared" ref="AR4:AR26" si="1">COUNTIF($Q$4:$X$93,AM4)</f>
        <v>6</v>
      </c>
      <c r="AS4" s="40">
        <f t="shared" ref="AS4:AS26" si="2">COUNTIF($Y$4:$AF$93,AM4)</f>
        <v>1</v>
      </c>
      <c r="AT4" s="157">
        <f>AQ4+AR4+AS4</f>
        <v>29</v>
      </c>
      <c r="AU4" s="41">
        <v>30</v>
      </c>
      <c r="AV4" s="41">
        <f t="shared" ref="AV4:AV26" si="3">AQ4*$AO4</f>
        <v>770</v>
      </c>
      <c r="AW4" s="41">
        <f t="shared" ref="AW4:AX19" si="4">AR4*$AO4</f>
        <v>210</v>
      </c>
      <c r="AX4" s="41">
        <f t="shared" si="4"/>
        <v>35</v>
      </c>
      <c r="AY4" s="34" t="s">
        <v>35</v>
      </c>
      <c r="AZ4" s="35">
        <v>0.8</v>
      </c>
      <c r="BB4" s="39">
        <f t="shared" ref="BB4:BB26" si="5">AN4*0.8</f>
        <v>120</v>
      </c>
    </row>
    <row r="5" spans="1:54" s="33" customFormat="1">
      <c r="A5" s="90">
        <v>45640</v>
      </c>
      <c r="B5" s="91">
        <v>1600</v>
      </c>
      <c r="C5" s="92">
        <v>1200</v>
      </c>
      <c r="D5" s="91">
        <f>(SUM(粮草!A5:X5)+AG5*10*IF(AK5="是",$AZ$4,$AZ$3))</f>
        <v>1690</v>
      </c>
      <c r="E5" s="105">
        <f>SUM($B$4:B5)+SUM($C$4:C5)-SUM($D$4:D5)</f>
        <v>5160</v>
      </c>
      <c r="F5" s="104">
        <f>SUM(经验!A5:X5)</f>
        <v>490</v>
      </c>
      <c r="G5" s="91">
        <f>SUM($F$4:F5)+SUM($H$4:H5)</f>
        <v>1370</v>
      </c>
      <c r="H5" s="91">
        <v>0</v>
      </c>
      <c r="I5" s="93" t="s">
        <v>33</v>
      </c>
      <c r="J5" s="93" t="s">
        <v>33</v>
      </c>
      <c r="K5" s="93" t="s">
        <v>33</v>
      </c>
      <c r="L5" s="93" t="s">
        <v>33</v>
      </c>
      <c r="M5" s="93" t="s">
        <v>33</v>
      </c>
      <c r="N5" s="93" t="s">
        <v>33</v>
      </c>
      <c r="O5" s="94" t="s">
        <v>33</v>
      </c>
      <c r="P5" s="94" t="s">
        <v>33</v>
      </c>
      <c r="Q5" s="61" t="s">
        <v>32</v>
      </c>
      <c r="R5" s="62" t="s">
        <v>36</v>
      </c>
      <c r="S5" s="62" t="s">
        <v>36</v>
      </c>
      <c r="T5" s="62" t="s">
        <v>36</v>
      </c>
      <c r="U5" s="62" t="s">
        <v>36</v>
      </c>
      <c r="V5" s="62" t="s">
        <v>36</v>
      </c>
      <c r="W5" s="94" t="s">
        <v>33</v>
      </c>
      <c r="X5" s="94" t="s">
        <v>33</v>
      </c>
      <c r="Y5" s="71" t="s">
        <v>38</v>
      </c>
      <c r="Z5" s="61" t="s">
        <v>32</v>
      </c>
      <c r="AA5" s="71" t="s">
        <v>38</v>
      </c>
      <c r="AB5" s="62" t="s">
        <v>36</v>
      </c>
      <c r="AC5" s="62" t="s">
        <v>36</v>
      </c>
      <c r="AD5" s="62" t="s">
        <v>36</v>
      </c>
      <c r="AE5" s="72" t="s">
        <v>45</v>
      </c>
      <c r="AF5" s="62" t="s">
        <v>36</v>
      </c>
      <c r="AG5" s="95">
        <f t="shared" ref="AG5:AG68" si="6">AH5+AI5+AJ5</f>
        <v>10</v>
      </c>
      <c r="AH5" s="95"/>
      <c r="AI5" s="95">
        <v>6</v>
      </c>
      <c r="AJ5" s="95">
        <v>4</v>
      </c>
      <c r="AK5" s="96" t="s">
        <v>34</v>
      </c>
      <c r="AM5" s="62" t="s">
        <v>36</v>
      </c>
      <c r="AN5" s="22">
        <v>160</v>
      </c>
      <c r="AO5" s="22">
        <v>40</v>
      </c>
      <c r="AP5" s="40">
        <v>39.110982162825422</v>
      </c>
      <c r="AQ5" s="40">
        <f t="shared" si="0"/>
        <v>20</v>
      </c>
      <c r="AR5" s="40">
        <f t="shared" si="1"/>
        <v>11</v>
      </c>
      <c r="AS5" s="40">
        <f t="shared" si="2"/>
        <v>17</v>
      </c>
      <c r="AT5" s="157">
        <f t="shared" ref="AT5:AT26" si="7">AQ5+AR5+AS5</f>
        <v>48</v>
      </c>
      <c r="AU5" s="41">
        <v>54</v>
      </c>
      <c r="AV5" s="41">
        <f t="shared" si="3"/>
        <v>800</v>
      </c>
      <c r="AW5" s="41">
        <f t="shared" si="4"/>
        <v>440</v>
      </c>
      <c r="AX5" s="41">
        <f t="shared" si="4"/>
        <v>680</v>
      </c>
      <c r="AY5" s="123" t="s">
        <v>37</v>
      </c>
      <c r="AZ5" s="123"/>
      <c r="BB5" s="39">
        <f t="shared" si="5"/>
        <v>128</v>
      </c>
    </row>
    <row r="6" spans="1:54" s="33" customFormat="1">
      <c r="A6" s="90">
        <v>45641</v>
      </c>
      <c r="B6" s="91">
        <v>1600</v>
      </c>
      <c r="C6" s="92"/>
      <c r="D6" s="91">
        <f>(SUM(粮草!A6:X6)+AG6*10*IF(AK6="是",$AZ$4,$AZ$3))</f>
        <v>2010</v>
      </c>
      <c r="E6" s="105">
        <f>SUM($B$4:B6)+SUM($C$4:C6)-SUM($D$4:D6)</f>
        <v>4750</v>
      </c>
      <c r="F6" s="104">
        <f>SUM(经验!A6:X6)</f>
        <v>540</v>
      </c>
      <c r="G6" s="91">
        <f>SUM($F$4:F6)+SUM($H$4:H6)</f>
        <v>1910</v>
      </c>
      <c r="H6" s="91">
        <v>0</v>
      </c>
      <c r="I6" s="93" t="s">
        <v>33</v>
      </c>
      <c r="J6" s="93" t="s">
        <v>33</v>
      </c>
      <c r="K6" s="93" t="s">
        <v>33</v>
      </c>
      <c r="L6" s="93" t="s">
        <v>33</v>
      </c>
      <c r="M6" s="93" t="s">
        <v>33</v>
      </c>
      <c r="N6" s="93" t="s">
        <v>33</v>
      </c>
      <c r="O6" s="94" t="s">
        <v>33</v>
      </c>
      <c r="P6" s="94" t="s">
        <v>33</v>
      </c>
      <c r="Q6" s="62" t="s">
        <v>36</v>
      </c>
      <c r="R6" s="71" t="s">
        <v>38</v>
      </c>
      <c r="S6" s="62" t="s">
        <v>36</v>
      </c>
      <c r="T6" s="62" t="s">
        <v>36</v>
      </c>
      <c r="U6" s="67" t="s">
        <v>40</v>
      </c>
      <c r="V6" s="62" t="s">
        <v>36</v>
      </c>
      <c r="W6" s="94" t="s">
        <v>33</v>
      </c>
      <c r="X6" s="94" t="s">
        <v>33</v>
      </c>
      <c r="Y6" s="62" t="s">
        <v>36</v>
      </c>
      <c r="Z6" s="62" t="s">
        <v>36</v>
      </c>
      <c r="AA6" s="71" t="s">
        <v>38</v>
      </c>
      <c r="AB6" s="62" t="s">
        <v>36</v>
      </c>
      <c r="AC6" s="62" t="s">
        <v>36</v>
      </c>
      <c r="AD6" s="62" t="s">
        <v>36</v>
      </c>
      <c r="AE6" s="62" t="s">
        <v>36</v>
      </c>
      <c r="AF6" s="62" t="s">
        <v>36</v>
      </c>
      <c r="AG6" s="95">
        <f t="shared" si="6"/>
        <v>0</v>
      </c>
      <c r="AH6" s="95"/>
      <c r="AI6" s="95">
        <v>0</v>
      </c>
      <c r="AJ6" s="95"/>
      <c r="AK6" s="96" t="s">
        <v>34</v>
      </c>
      <c r="AM6" s="63" t="s">
        <v>39</v>
      </c>
      <c r="AN6" s="22">
        <v>170</v>
      </c>
      <c r="AO6" s="22">
        <v>45</v>
      </c>
      <c r="AP6" s="40">
        <v>34</v>
      </c>
      <c r="AQ6" s="40">
        <f t="shared" si="0"/>
        <v>147</v>
      </c>
      <c r="AR6" s="40">
        <f t="shared" si="1"/>
        <v>36</v>
      </c>
      <c r="AS6" s="40">
        <f t="shared" si="2"/>
        <v>22</v>
      </c>
      <c r="AT6" s="157">
        <f t="shared" si="7"/>
        <v>205</v>
      </c>
      <c r="AU6" s="41">
        <v>180</v>
      </c>
      <c r="AV6" s="41">
        <f t="shared" si="3"/>
        <v>6615</v>
      </c>
      <c r="AW6" s="41">
        <f t="shared" si="4"/>
        <v>1620</v>
      </c>
      <c r="AX6" s="41">
        <f t="shared" si="4"/>
        <v>990</v>
      </c>
      <c r="AY6" s="124"/>
      <c r="AZ6" s="124"/>
      <c r="BB6" s="39">
        <f t="shared" si="5"/>
        <v>136</v>
      </c>
    </row>
    <row r="7" spans="1:54">
      <c r="A7" s="90">
        <v>45642</v>
      </c>
      <c r="B7" s="93">
        <v>1600</v>
      </c>
      <c r="C7" s="93"/>
      <c r="D7" s="91">
        <f>(SUM(粮草!A7:X7)+AG7*10*IF(AK7="是",$AZ$4,$AZ$3))</f>
        <v>2350</v>
      </c>
      <c r="E7" s="105">
        <f>SUM($B$4:B7)+SUM($C$4:C7)-SUM($D$4:D7)</f>
        <v>4000</v>
      </c>
      <c r="F7" s="104">
        <f>SUM(经验!A7:X7)</f>
        <v>590</v>
      </c>
      <c r="G7" s="91">
        <f>SUM($F$4:F7)+SUM($H$4:H7)</f>
        <v>2700</v>
      </c>
      <c r="H7" s="93">
        <v>200</v>
      </c>
      <c r="I7" s="93" t="s">
        <v>33</v>
      </c>
      <c r="J7" s="93" t="s">
        <v>33</v>
      </c>
      <c r="K7" s="93" t="s">
        <v>33</v>
      </c>
      <c r="L7" s="93" t="s">
        <v>33</v>
      </c>
      <c r="M7" s="93" t="s">
        <v>33</v>
      </c>
      <c r="N7" s="93" t="s">
        <v>33</v>
      </c>
      <c r="O7" s="94" t="s">
        <v>33</v>
      </c>
      <c r="P7" s="94" t="s">
        <v>33</v>
      </c>
      <c r="Q7" s="62" t="s">
        <v>36</v>
      </c>
      <c r="R7" s="62" t="s">
        <v>36</v>
      </c>
      <c r="S7" s="63" t="s">
        <v>39</v>
      </c>
      <c r="T7" s="63" t="s">
        <v>39</v>
      </c>
      <c r="U7" s="63" t="s">
        <v>39</v>
      </c>
      <c r="V7" s="63" t="s">
        <v>39</v>
      </c>
      <c r="W7" s="94" t="s">
        <v>33</v>
      </c>
      <c r="X7" s="94" t="s">
        <v>33</v>
      </c>
      <c r="Y7" s="62" t="s">
        <v>36</v>
      </c>
      <c r="Z7" s="62" t="s">
        <v>36</v>
      </c>
      <c r="AA7" s="62" t="s">
        <v>36</v>
      </c>
      <c r="AB7" s="62" t="s">
        <v>36</v>
      </c>
      <c r="AC7" s="62" t="s">
        <v>36</v>
      </c>
      <c r="AD7" s="62" t="s">
        <v>36</v>
      </c>
      <c r="AE7" s="63" t="s">
        <v>39</v>
      </c>
      <c r="AF7" s="63" t="s">
        <v>39</v>
      </c>
      <c r="AG7" s="95">
        <f t="shared" si="6"/>
        <v>5</v>
      </c>
      <c r="AH7" s="95"/>
      <c r="AI7" s="95">
        <v>5</v>
      </c>
      <c r="AJ7" s="95"/>
      <c r="AK7" s="96" t="s">
        <v>34</v>
      </c>
      <c r="AM7" s="64" t="s">
        <v>41</v>
      </c>
      <c r="AN7" s="22">
        <v>180</v>
      </c>
      <c r="AO7" s="22">
        <v>50</v>
      </c>
      <c r="AP7" s="22">
        <v>36</v>
      </c>
      <c r="AQ7" s="22">
        <f t="shared" si="0"/>
        <v>256</v>
      </c>
      <c r="AR7" s="22">
        <f t="shared" si="1"/>
        <v>12</v>
      </c>
      <c r="AS7" s="22">
        <f t="shared" si="2"/>
        <v>8</v>
      </c>
      <c r="AT7" s="158">
        <f t="shared" si="7"/>
        <v>276</v>
      </c>
      <c r="AU7" s="29">
        <v>104</v>
      </c>
      <c r="AV7" s="29">
        <f t="shared" si="3"/>
        <v>12800</v>
      </c>
      <c r="AW7" s="29">
        <f t="shared" si="4"/>
        <v>600</v>
      </c>
      <c r="AX7" s="29">
        <f t="shared" si="4"/>
        <v>400</v>
      </c>
      <c r="AY7" s="124"/>
      <c r="AZ7" s="124"/>
      <c r="BB7">
        <f t="shared" si="5"/>
        <v>144</v>
      </c>
    </row>
    <row r="8" spans="1:54">
      <c r="A8" s="90">
        <v>45643</v>
      </c>
      <c r="B8" s="93">
        <v>1600</v>
      </c>
      <c r="C8" s="93"/>
      <c r="D8" s="91">
        <f>(SUM(粮草!A8:X8)+AG8*10*IF(AK8="是",$AZ$4,$AZ$3))</f>
        <v>2590</v>
      </c>
      <c r="E8" s="105">
        <f>SUM($B$4:B8)+SUM($C$4:C8)-SUM($D$4:D8)</f>
        <v>3010</v>
      </c>
      <c r="F8" s="104">
        <f>SUM(经验!A8:X8)</f>
        <v>1140</v>
      </c>
      <c r="G8" s="91">
        <f>SUM($F$4:F8)+SUM($H$4:H8)</f>
        <v>3940</v>
      </c>
      <c r="H8" s="93">
        <v>100</v>
      </c>
      <c r="I8" s="93" t="s">
        <v>33</v>
      </c>
      <c r="J8" s="93" t="s">
        <v>33</v>
      </c>
      <c r="K8" s="93" t="s">
        <v>33</v>
      </c>
      <c r="L8" s="93" t="s">
        <v>33</v>
      </c>
      <c r="M8" s="93" t="s">
        <v>33</v>
      </c>
      <c r="N8" s="93" t="s">
        <v>33</v>
      </c>
      <c r="O8" s="94" t="s">
        <v>33</v>
      </c>
      <c r="P8" s="94" t="s">
        <v>33</v>
      </c>
      <c r="Q8" s="47" t="s">
        <v>62</v>
      </c>
      <c r="R8" s="63" t="s">
        <v>39</v>
      </c>
      <c r="S8" s="63" t="s">
        <v>39</v>
      </c>
      <c r="T8" s="63" t="s">
        <v>39</v>
      </c>
      <c r="U8" s="63" t="s">
        <v>39</v>
      </c>
      <c r="V8" s="63" t="s">
        <v>39</v>
      </c>
      <c r="W8" s="94" t="s">
        <v>33</v>
      </c>
      <c r="X8" s="94" t="s">
        <v>33</v>
      </c>
      <c r="Y8" s="63" t="s">
        <v>39</v>
      </c>
      <c r="Z8" s="47" t="s">
        <v>62</v>
      </c>
      <c r="AA8" s="63" t="s">
        <v>39</v>
      </c>
      <c r="AB8" s="63" t="s">
        <v>39</v>
      </c>
      <c r="AC8" s="63" t="s">
        <v>39</v>
      </c>
      <c r="AD8" s="63" t="s">
        <v>39</v>
      </c>
      <c r="AE8" s="47" t="s">
        <v>64</v>
      </c>
      <c r="AF8" s="63" t="s">
        <v>39</v>
      </c>
      <c r="AG8" s="95">
        <f t="shared" si="6"/>
        <v>5</v>
      </c>
      <c r="AH8" s="95"/>
      <c r="AI8" s="95">
        <v>5</v>
      </c>
      <c r="AJ8" s="95"/>
      <c r="AK8" s="96" t="s">
        <v>34</v>
      </c>
      <c r="AM8" s="65" t="s">
        <v>42</v>
      </c>
      <c r="AN8" s="22">
        <v>190</v>
      </c>
      <c r="AO8" s="22">
        <v>55</v>
      </c>
      <c r="AP8" s="22">
        <v>38</v>
      </c>
      <c r="AQ8" s="22">
        <f t="shared" si="0"/>
        <v>0</v>
      </c>
      <c r="AR8" s="22">
        <f t="shared" si="1"/>
        <v>222</v>
      </c>
      <c r="AS8" s="22">
        <f t="shared" si="2"/>
        <v>12</v>
      </c>
      <c r="AT8" s="158">
        <f t="shared" si="7"/>
        <v>234</v>
      </c>
      <c r="AU8" s="29">
        <v>31</v>
      </c>
      <c r="AV8" s="29">
        <f t="shared" si="3"/>
        <v>0</v>
      </c>
      <c r="AW8" s="29">
        <f t="shared" si="4"/>
        <v>12210</v>
      </c>
      <c r="AX8" s="29">
        <f t="shared" si="4"/>
        <v>660</v>
      </c>
      <c r="AY8" s="124"/>
      <c r="AZ8" s="124"/>
      <c r="BB8">
        <f t="shared" si="5"/>
        <v>152</v>
      </c>
    </row>
    <row r="9" spans="1:54" ht="15.75" thickBot="1">
      <c r="A9" s="90">
        <v>45644</v>
      </c>
      <c r="B9" s="93">
        <v>1600</v>
      </c>
      <c r="C9" s="93"/>
      <c r="D9" s="91">
        <f>(SUM(粮草!A9:X9)+AG9*10*IF(AK9="是",$AZ$4,$AZ$3))</f>
        <v>1920</v>
      </c>
      <c r="E9" s="105">
        <f>SUM($B$4:B9)+SUM($C$4:C9)-SUM($D$4:D9)</f>
        <v>2690</v>
      </c>
      <c r="F9" s="104">
        <f>SUM(经验!A9:X9)</f>
        <v>525</v>
      </c>
      <c r="G9" s="91">
        <f>SUM($F$4:F9)+SUM($H$4:H9)</f>
        <v>4665</v>
      </c>
      <c r="H9" s="93">
        <v>200</v>
      </c>
      <c r="I9" s="93" t="s">
        <v>33</v>
      </c>
      <c r="J9" s="93" t="s">
        <v>33</v>
      </c>
      <c r="K9" s="93" t="s">
        <v>33</v>
      </c>
      <c r="L9" s="93" t="s">
        <v>33</v>
      </c>
      <c r="M9" s="93" t="s">
        <v>33</v>
      </c>
      <c r="N9" s="93" t="s">
        <v>33</v>
      </c>
      <c r="O9" s="94" t="s">
        <v>33</v>
      </c>
      <c r="P9" s="94" t="s">
        <v>33</v>
      </c>
      <c r="Q9" s="71" t="s">
        <v>38</v>
      </c>
      <c r="R9" s="63" t="s">
        <v>39</v>
      </c>
      <c r="S9" s="63" t="s">
        <v>39</v>
      </c>
      <c r="T9" s="63" t="s">
        <v>39</v>
      </c>
      <c r="U9" s="63" t="s">
        <v>39</v>
      </c>
      <c r="V9" s="63" t="s">
        <v>39</v>
      </c>
      <c r="W9" s="94" t="s">
        <v>33</v>
      </c>
      <c r="X9" s="94" t="s">
        <v>33</v>
      </c>
      <c r="Y9" s="63" t="s">
        <v>39</v>
      </c>
      <c r="Z9" s="63" t="s">
        <v>39</v>
      </c>
      <c r="AA9" s="63" t="s">
        <v>39</v>
      </c>
      <c r="AB9" s="63" t="s">
        <v>39</v>
      </c>
      <c r="AC9" s="63" t="s">
        <v>39</v>
      </c>
      <c r="AD9" s="47" t="s">
        <v>64</v>
      </c>
      <c r="AE9" s="94" t="s">
        <v>33</v>
      </c>
      <c r="AF9" s="94" t="s">
        <v>33</v>
      </c>
      <c r="AG9" s="95">
        <f t="shared" si="6"/>
        <v>0</v>
      </c>
      <c r="AH9" s="95"/>
      <c r="AI9" s="95"/>
      <c r="AJ9" s="95"/>
      <c r="AK9" s="96" t="s">
        <v>34</v>
      </c>
      <c r="AM9" s="66" t="s">
        <v>43</v>
      </c>
      <c r="AN9" s="22">
        <v>200</v>
      </c>
      <c r="AO9" s="22">
        <v>60</v>
      </c>
      <c r="AP9" s="22"/>
      <c r="AQ9" s="22">
        <f t="shared" si="0"/>
        <v>29</v>
      </c>
      <c r="AR9" s="22">
        <f t="shared" si="1"/>
        <v>149</v>
      </c>
      <c r="AS9" s="22">
        <f t="shared" si="2"/>
        <v>13</v>
      </c>
      <c r="AT9" s="158">
        <f t="shared" si="7"/>
        <v>191</v>
      </c>
      <c r="AU9" s="29">
        <v>98</v>
      </c>
      <c r="AV9" s="29">
        <f t="shared" si="3"/>
        <v>1740</v>
      </c>
      <c r="AW9" s="29">
        <f t="shared" si="4"/>
        <v>8940</v>
      </c>
      <c r="AX9" s="29">
        <f t="shared" si="4"/>
        <v>780</v>
      </c>
      <c r="BB9">
        <f t="shared" si="5"/>
        <v>160</v>
      </c>
    </row>
    <row r="10" spans="1:54">
      <c r="A10" s="90">
        <v>45645</v>
      </c>
      <c r="B10" s="93">
        <v>1600</v>
      </c>
      <c r="C10" s="93"/>
      <c r="D10" s="91">
        <f>(SUM(粮草!A10:X10)+AG10*10*IF(AK10="是",$AZ$4,$AZ$3))</f>
        <v>3150</v>
      </c>
      <c r="E10" s="105">
        <f>SUM($B$4:B10)+SUM($C$4:C10)-SUM($D$4:D10)</f>
        <v>1140</v>
      </c>
      <c r="F10" s="104">
        <f>SUM(经验!A10:X10)</f>
        <v>1060</v>
      </c>
      <c r="G10" s="91">
        <f>SUM($F$4:F10)+SUM($H$4:H10)</f>
        <v>5725</v>
      </c>
      <c r="H10" s="93">
        <v>0</v>
      </c>
      <c r="I10" s="112" t="s">
        <v>32</v>
      </c>
      <c r="J10" s="113" t="s">
        <v>32</v>
      </c>
      <c r="K10" s="113" t="s">
        <v>32</v>
      </c>
      <c r="L10" s="113" t="s">
        <v>32</v>
      </c>
      <c r="M10" s="114" t="s">
        <v>38</v>
      </c>
      <c r="N10" s="113" t="s">
        <v>32</v>
      </c>
      <c r="O10" s="113" t="s">
        <v>32</v>
      </c>
      <c r="P10" s="115" t="s">
        <v>32</v>
      </c>
      <c r="Q10" s="106" t="s">
        <v>64</v>
      </c>
      <c r="R10" s="63" t="s">
        <v>39</v>
      </c>
      <c r="S10" s="63" t="s">
        <v>39</v>
      </c>
      <c r="T10" s="47" t="s">
        <v>62</v>
      </c>
      <c r="U10" s="63" t="s">
        <v>39</v>
      </c>
      <c r="V10" s="63" t="s">
        <v>39</v>
      </c>
      <c r="W10" s="94" t="s">
        <v>33</v>
      </c>
      <c r="X10" s="94" t="s">
        <v>33</v>
      </c>
      <c r="Y10" s="68" t="s">
        <v>46</v>
      </c>
      <c r="Z10" s="63" t="s">
        <v>39</v>
      </c>
      <c r="AA10" s="71" t="s">
        <v>38</v>
      </c>
      <c r="AB10" s="63" t="s">
        <v>39</v>
      </c>
      <c r="AC10" s="63" t="s">
        <v>39</v>
      </c>
      <c r="AD10" s="64" t="s">
        <v>41</v>
      </c>
      <c r="AE10" s="94" t="s">
        <v>33</v>
      </c>
      <c r="AF10" s="94" t="s">
        <v>33</v>
      </c>
      <c r="AG10" s="95">
        <f t="shared" si="6"/>
        <v>6</v>
      </c>
      <c r="AH10" s="95"/>
      <c r="AI10" s="95">
        <v>3</v>
      </c>
      <c r="AJ10" s="95">
        <v>3</v>
      </c>
      <c r="AK10" s="96" t="s">
        <v>34</v>
      </c>
      <c r="AM10" s="50" t="s">
        <v>44</v>
      </c>
      <c r="AN10" s="22">
        <v>150</v>
      </c>
      <c r="AO10" s="22">
        <v>35</v>
      </c>
      <c r="AP10" s="22">
        <v>44.222109392472248</v>
      </c>
      <c r="AQ10" s="22">
        <f t="shared" si="0"/>
        <v>0</v>
      </c>
      <c r="AR10" s="22">
        <f t="shared" si="1"/>
        <v>0</v>
      </c>
      <c r="AS10" s="22">
        <f t="shared" si="2"/>
        <v>0</v>
      </c>
      <c r="AT10" s="158">
        <f t="shared" si="7"/>
        <v>0</v>
      </c>
      <c r="AU10" s="29">
        <v>0</v>
      </c>
      <c r="AV10" s="29">
        <f t="shared" si="3"/>
        <v>0</v>
      </c>
      <c r="AW10" s="29">
        <f t="shared" si="4"/>
        <v>0</v>
      </c>
      <c r="AX10" s="29">
        <f t="shared" si="4"/>
        <v>0</v>
      </c>
      <c r="BB10">
        <f t="shared" si="5"/>
        <v>120</v>
      </c>
    </row>
    <row r="11" spans="1:54" ht="15.75" thickBot="1">
      <c r="A11" s="90">
        <v>45646</v>
      </c>
      <c r="B11" s="93">
        <v>1600</v>
      </c>
      <c r="C11" s="93">
        <v>446</v>
      </c>
      <c r="D11" s="91">
        <f>(SUM(粮草!A11:X11)+AG11*10*IF(AK11="是",$AZ$4,$AZ$3))</f>
        <v>3060</v>
      </c>
      <c r="E11" s="105">
        <f>SUM($B$4:B11)+SUM($C$4:C11)-SUM($D$4:D11)</f>
        <v>126</v>
      </c>
      <c r="F11" s="104">
        <f>SUM(经验!A11:X11)</f>
        <v>805</v>
      </c>
      <c r="G11" s="91">
        <f>SUM($F$4:F11)+SUM($H$4:H11)</f>
        <v>6530</v>
      </c>
      <c r="H11" s="93">
        <v>0</v>
      </c>
      <c r="I11" s="116" t="s">
        <v>32</v>
      </c>
      <c r="J11" s="117" t="s">
        <v>32</v>
      </c>
      <c r="K11" s="118" t="s">
        <v>38</v>
      </c>
      <c r="L11" s="117" t="s">
        <v>32</v>
      </c>
      <c r="M11" s="117" t="s">
        <v>32</v>
      </c>
      <c r="N11" s="117" t="s">
        <v>32</v>
      </c>
      <c r="O11" s="117" t="s">
        <v>32</v>
      </c>
      <c r="P11" s="119" t="s">
        <v>32</v>
      </c>
      <c r="Q11" s="107" t="s">
        <v>39</v>
      </c>
      <c r="R11" s="71" t="s">
        <v>38</v>
      </c>
      <c r="S11" s="63" t="s">
        <v>39</v>
      </c>
      <c r="T11" s="63" t="s">
        <v>39</v>
      </c>
      <c r="U11" s="63" t="s">
        <v>39</v>
      </c>
      <c r="V11" s="47" t="s">
        <v>64</v>
      </c>
      <c r="W11" s="94" t="s">
        <v>33</v>
      </c>
      <c r="X11" s="94" t="s">
        <v>33</v>
      </c>
      <c r="Y11" s="64" t="s">
        <v>41</v>
      </c>
      <c r="Z11" s="63" t="s">
        <v>39</v>
      </c>
      <c r="AA11" s="63" t="s">
        <v>39</v>
      </c>
      <c r="AB11" s="63" t="s">
        <v>39</v>
      </c>
      <c r="AC11" s="63" t="s">
        <v>39</v>
      </c>
      <c r="AD11" s="47" t="s">
        <v>64</v>
      </c>
      <c r="AE11" s="94" t="s">
        <v>33</v>
      </c>
      <c r="AF11" s="94" t="s">
        <v>33</v>
      </c>
      <c r="AG11" s="95">
        <f t="shared" si="6"/>
        <v>3</v>
      </c>
      <c r="AH11" s="95">
        <v>3</v>
      </c>
      <c r="AI11" s="95"/>
      <c r="AJ11" s="95"/>
      <c r="AK11" s="96" t="s">
        <v>34</v>
      </c>
      <c r="AM11" s="67" t="s">
        <v>40</v>
      </c>
      <c r="AN11" s="22">
        <v>150</v>
      </c>
      <c r="AO11" s="22">
        <v>40</v>
      </c>
      <c r="AP11" s="22">
        <v>29.110982162825422</v>
      </c>
      <c r="AQ11" s="22">
        <f t="shared" si="0"/>
        <v>3</v>
      </c>
      <c r="AR11" s="22">
        <f t="shared" si="1"/>
        <v>1</v>
      </c>
      <c r="AS11" s="22">
        <f t="shared" si="2"/>
        <v>0</v>
      </c>
      <c r="AT11" s="158">
        <f t="shared" si="7"/>
        <v>4</v>
      </c>
      <c r="AU11" s="29">
        <v>2</v>
      </c>
      <c r="AV11" s="29">
        <f t="shared" si="3"/>
        <v>120</v>
      </c>
      <c r="AW11" s="29">
        <f t="shared" si="4"/>
        <v>40</v>
      </c>
      <c r="AX11" s="29">
        <f t="shared" si="4"/>
        <v>0</v>
      </c>
      <c r="BB11">
        <f t="shared" si="5"/>
        <v>120</v>
      </c>
    </row>
    <row r="12" spans="1:54">
      <c r="A12" s="90">
        <v>45647</v>
      </c>
      <c r="B12" s="93">
        <v>1600</v>
      </c>
      <c r="C12" s="93"/>
      <c r="D12" s="91">
        <f>(SUM(粮草!A12:X12)+AG12*10*IF(AK12="是",$AZ$4,$AZ$3))</f>
        <v>1612</v>
      </c>
      <c r="E12" s="105">
        <f>SUM($B$4:B12)+SUM($C$4:C12)-SUM($D$4:D12)</f>
        <v>114</v>
      </c>
      <c r="F12" s="104">
        <f>SUM(经验!A12:X12)</f>
        <v>620</v>
      </c>
      <c r="G12" s="91">
        <f>SUM($F$4:F12)+SUM($H$4:H12)</f>
        <v>7150</v>
      </c>
      <c r="H12" s="93">
        <v>0</v>
      </c>
      <c r="I12" s="108" t="s">
        <v>32</v>
      </c>
      <c r="J12" s="108" t="s">
        <v>32</v>
      </c>
      <c r="K12" s="109" t="s">
        <v>38</v>
      </c>
      <c r="L12" s="110" t="s">
        <v>36</v>
      </c>
      <c r="M12" s="110" t="s">
        <v>36</v>
      </c>
      <c r="N12" s="110" t="s">
        <v>36</v>
      </c>
      <c r="O12" s="111" t="s">
        <v>45</v>
      </c>
      <c r="P12" s="110" t="s">
        <v>36</v>
      </c>
      <c r="Q12" s="63" t="s">
        <v>39</v>
      </c>
      <c r="R12" s="63" t="s">
        <v>39</v>
      </c>
      <c r="S12" s="63" t="s">
        <v>39</v>
      </c>
      <c r="T12" s="68" t="s">
        <v>46</v>
      </c>
      <c r="U12" s="63" t="s">
        <v>39</v>
      </c>
      <c r="V12" s="63" t="s">
        <v>39</v>
      </c>
      <c r="W12" s="94" t="s">
        <v>33</v>
      </c>
      <c r="X12" s="94" t="s">
        <v>33</v>
      </c>
      <c r="Y12" s="63" t="s">
        <v>39</v>
      </c>
      <c r="Z12" s="63" t="s">
        <v>39</v>
      </c>
      <c r="AA12" s="93" t="s">
        <v>33</v>
      </c>
      <c r="AB12" s="93" t="s">
        <v>33</v>
      </c>
      <c r="AC12" s="93" t="s">
        <v>33</v>
      </c>
      <c r="AD12" s="93" t="s">
        <v>33</v>
      </c>
      <c r="AE12" s="94" t="s">
        <v>33</v>
      </c>
      <c r="AF12" s="94" t="s">
        <v>33</v>
      </c>
      <c r="AG12" s="95">
        <f t="shared" si="6"/>
        <v>1</v>
      </c>
      <c r="AH12" s="95">
        <v>1</v>
      </c>
      <c r="AI12" s="95"/>
      <c r="AJ12" s="95"/>
      <c r="AK12" s="98" t="s">
        <v>51</v>
      </c>
      <c r="AM12" s="68" t="s">
        <v>46</v>
      </c>
      <c r="AN12" s="22">
        <v>150</v>
      </c>
      <c r="AO12" s="22">
        <v>45</v>
      </c>
      <c r="AP12" s="22">
        <v>13.999854933178597</v>
      </c>
      <c r="AQ12" s="22">
        <f t="shared" si="0"/>
        <v>0</v>
      </c>
      <c r="AR12" s="22">
        <f t="shared" si="1"/>
        <v>1</v>
      </c>
      <c r="AS12" s="22">
        <f t="shared" si="2"/>
        <v>5</v>
      </c>
      <c r="AT12" s="158">
        <f t="shared" si="7"/>
        <v>6</v>
      </c>
      <c r="AU12" s="29">
        <v>5</v>
      </c>
      <c r="AV12" s="29">
        <f t="shared" si="3"/>
        <v>0</v>
      </c>
      <c r="AW12" s="29">
        <f t="shared" si="4"/>
        <v>45</v>
      </c>
      <c r="AX12" s="29">
        <f t="shared" si="4"/>
        <v>225</v>
      </c>
      <c r="BB12">
        <f t="shared" si="5"/>
        <v>120</v>
      </c>
    </row>
    <row r="13" spans="1:54">
      <c r="A13" s="90">
        <v>45648</v>
      </c>
      <c r="B13" s="93">
        <v>1600</v>
      </c>
      <c r="C13" s="93">
        <v>40</v>
      </c>
      <c r="D13" s="91">
        <f>(SUM(粮草!A13:X13)+AG13*10*IF(AK13="是",$AZ$4,$AZ$3))</f>
        <v>1564</v>
      </c>
      <c r="E13" s="105">
        <f>SUM($B$4:B13)+SUM($C$4:C13)-SUM($D$4:D13)</f>
        <v>190</v>
      </c>
      <c r="F13" s="104">
        <f>SUM(经验!A13:X13)</f>
        <v>1335</v>
      </c>
      <c r="G13" s="91">
        <f>SUM($F$4:F13)+SUM($H$4:H13)</f>
        <v>8485</v>
      </c>
      <c r="H13" s="93">
        <v>0</v>
      </c>
      <c r="I13" s="49" t="s">
        <v>61</v>
      </c>
      <c r="J13" s="61" t="s">
        <v>32</v>
      </c>
      <c r="K13" s="110" t="s">
        <v>36</v>
      </c>
      <c r="L13" s="110" t="s">
        <v>36</v>
      </c>
      <c r="M13" s="110" t="s">
        <v>36</v>
      </c>
      <c r="N13" s="109" t="s">
        <v>38</v>
      </c>
      <c r="O13" s="94" t="s">
        <v>33</v>
      </c>
      <c r="P13" s="94" t="s">
        <v>33</v>
      </c>
      <c r="Q13" s="63" t="s">
        <v>39</v>
      </c>
      <c r="R13" s="63" t="s">
        <v>39</v>
      </c>
      <c r="S13" s="111" t="s">
        <v>45</v>
      </c>
      <c r="T13" s="63" t="s">
        <v>39</v>
      </c>
      <c r="U13" s="63" t="s">
        <v>39</v>
      </c>
      <c r="V13" s="71" t="s">
        <v>38</v>
      </c>
      <c r="W13" s="63" t="s">
        <v>39</v>
      </c>
      <c r="X13" s="63" t="s">
        <v>39</v>
      </c>
      <c r="Y13" s="69" t="s">
        <v>47</v>
      </c>
      <c r="Z13" s="64" t="s">
        <v>41</v>
      </c>
      <c r="AA13" s="111" t="s">
        <v>45</v>
      </c>
      <c r="AB13" s="64" t="s">
        <v>41</v>
      </c>
      <c r="AC13" s="66" t="s">
        <v>43</v>
      </c>
      <c r="AD13" s="66" t="s">
        <v>43</v>
      </c>
      <c r="AE13" s="111" t="s">
        <v>45</v>
      </c>
      <c r="AF13" s="66" t="s">
        <v>43</v>
      </c>
      <c r="AG13" s="95">
        <f t="shared" si="6"/>
        <v>2</v>
      </c>
      <c r="AH13" s="97">
        <v>1</v>
      </c>
      <c r="AI13" s="97">
        <v>1</v>
      </c>
      <c r="AJ13" s="97"/>
      <c r="AK13" s="98" t="s">
        <v>51</v>
      </c>
      <c r="AM13" s="69" t="s">
        <v>47</v>
      </c>
      <c r="AN13" s="22">
        <v>150</v>
      </c>
      <c r="AO13" s="22">
        <v>50</v>
      </c>
      <c r="AP13" s="22"/>
      <c r="AQ13" s="22">
        <f t="shared" si="0"/>
        <v>0</v>
      </c>
      <c r="AR13" s="22">
        <f t="shared" si="1"/>
        <v>0</v>
      </c>
      <c r="AS13" s="22">
        <f t="shared" si="2"/>
        <v>3</v>
      </c>
      <c r="AT13" s="158">
        <f t="shared" si="7"/>
        <v>3</v>
      </c>
      <c r="AU13" s="29">
        <v>1</v>
      </c>
      <c r="AV13" s="29">
        <f t="shared" si="3"/>
        <v>0</v>
      </c>
      <c r="AW13" s="29">
        <f t="shared" si="4"/>
        <v>0</v>
      </c>
      <c r="AX13" s="29">
        <f t="shared" si="4"/>
        <v>150</v>
      </c>
      <c r="BB13">
        <f t="shared" si="5"/>
        <v>120</v>
      </c>
    </row>
    <row r="14" spans="1:54">
      <c r="A14" s="90">
        <v>45649</v>
      </c>
      <c r="B14" s="91">
        <v>1600</v>
      </c>
      <c r="C14" s="92"/>
      <c r="D14" s="91">
        <f>(SUM(粮草!A14:X14)+AG14*10*IF(AK14="是",$AZ$4,$AZ$3))</f>
        <v>1528</v>
      </c>
      <c r="E14" s="105">
        <f>SUM($B$4:B14)+SUM($C$4:C14)-SUM($D$4:D14)</f>
        <v>262</v>
      </c>
      <c r="F14" s="104">
        <f>SUM(经验!A14:X14)</f>
        <v>520</v>
      </c>
      <c r="G14" s="91">
        <f>SUM($F$4:F14)+SUM($H$4:H14)</f>
        <v>9305</v>
      </c>
      <c r="H14" s="91">
        <v>300</v>
      </c>
      <c r="I14" s="110" t="s">
        <v>36</v>
      </c>
      <c r="J14" s="110" t="s">
        <v>36</v>
      </c>
      <c r="K14" s="67" t="s">
        <v>40</v>
      </c>
      <c r="L14" s="110" t="s">
        <v>36</v>
      </c>
      <c r="M14" s="93" t="s">
        <v>33</v>
      </c>
      <c r="N14" s="93" t="s">
        <v>33</v>
      </c>
      <c r="O14" s="94" t="s">
        <v>33</v>
      </c>
      <c r="P14" s="94" t="s">
        <v>33</v>
      </c>
      <c r="Q14" s="63" t="s">
        <v>39</v>
      </c>
      <c r="R14" s="64" t="s">
        <v>41</v>
      </c>
      <c r="S14" s="64" t="s">
        <v>41</v>
      </c>
      <c r="T14" s="64" t="s">
        <v>41</v>
      </c>
      <c r="U14" s="64" t="s">
        <v>41</v>
      </c>
      <c r="V14" s="65" t="s">
        <v>42</v>
      </c>
      <c r="W14" s="94" t="s">
        <v>33</v>
      </c>
      <c r="X14" s="94" t="s">
        <v>33</v>
      </c>
      <c r="Y14" s="66" t="s">
        <v>43</v>
      </c>
      <c r="Z14" s="93" t="s">
        <v>33</v>
      </c>
      <c r="AA14" s="93" t="s">
        <v>33</v>
      </c>
      <c r="AB14" s="93" t="s">
        <v>33</v>
      </c>
      <c r="AC14" s="93" t="s">
        <v>33</v>
      </c>
      <c r="AD14" s="93" t="s">
        <v>33</v>
      </c>
      <c r="AE14" s="94" t="s">
        <v>33</v>
      </c>
      <c r="AF14" s="94" t="s">
        <v>33</v>
      </c>
      <c r="AG14" s="95">
        <f t="shared" si="6"/>
        <v>0</v>
      </c>
      <c r="AH14" s="97"/>
      <c r="AI14" s="97"/>
      <c r="AJ14" s="97"/>
      <c r="AK14" s="98" t="s">
        <v>51</v>
      </c>
      <c r="AM14" s="84" t="s">
        <v>48</v>
      </c>
      <c r="AN14" s="22">
        <v>150</v>
      </c>
      <c r="AO14" s="22">
        <v>55</v>
      </c>
      <c r="AP14" s="22"/>
      <c r="AQ14" s="22">
        <f t="shared" si="0"/>
        <v>0</v>
      </c>
      <c r="AR14" s="22">
        <f t="shared" si="1"/>
        <v>0</v>
      </c>
      <c r="AS14" s="22">
        <f t="shared" si="2"/>
        <v>3</v>
      </c>
      <c r="AT14" s="158">
        <f t="shared" si="7"/>
        <v>3</v>
      </c>
      <c r="AU14" s="29">
        <v>0</v>
      </c>
      <c r="AV14" s="29">
        <f t="shared" si="3"/>
        <v>0</v>
      </c>
      <c r="AW14" s="29">
        <f t="shared" si="4"/>
        <v>0</v>
      </c>
      <c r="AX14" s="29">
        <f t="shared" si="4"/>
        <v>165</v>
      </c>
      <c r="BB14">
        <f t="shared" si="5"/>
        <v>120</v>
      </c>
    </row>
    <row r="15" spans="1:54">
      <c r="A15" s="90">
        <v>45650</v>
      </c>
      <c r="B15" s="91">
        <v>1600</v>
      </c>
      <c r="C15" s="92"/>
      <c r="D15" s="91">
        <f>(SUM(粮草!A15:X15)+AG15*10*IF(AK15="是",$AZ$4,$AZ$3))</f>
        <v>1488</v>
      </c>
      <c r="E15" s="105">
        <f>SUM($B$4:B15)+SUM($C$4:C15)-SUM($D$4:D15)</f>
        <v>374</v>
      </c>
      <c r="F15" s="104">
        <f>SUM(经验!A15:X15)</f>
        <v>730</v>
      </c>
      <c r="G15" s="91">
        <f>SUM($F$4:F15)+SUM($H$4:H15)</f>
        <v>10035</v>
      </c>
      <c r="H15" s="91">
        <v>0</v>
      </c>
      <c r="I15" s="110" t="s">
        <v>36</v>
      </c>
      <c r="J15" s="111" t="s">
        <v>45</v>
      </c>
      <c r="K15" s="110" t="s">
        <v>36</v>
      </c>
      <c r="L15" s="110" t="s">
        <v>36</v>
      </c>
      <c r="M15" s="110" t="s">
        <v>36</v>
      </c>
      <c r="N15" s="109" t="s">
        <v>38</v>
      </c>
      <c r="O15" s="94" t="s">
        <v>33</v>
      </c>
      <c r="P15" s="94" t="s">
        <v>33</v>
      </c>
      <c r="Q15" s="65" t="s">
        <v>42</v>
      </c>
      <c r="R15" s="71" t="s">
        <v>38</v>
      </c>
      <c r="S15" s="65" t="s">
        <v>42</v>
      </c>
      <c r="T15" s="65" t="s">
        <v>42</v>
      </c>
      <c r="U15" s="65" t="s">
        <v>42</v>
      </c>
      <c r="V15" s="65" t="s">
        <v>42</v>
      </c>
      <c r="W15" s="111" t="s">
        <v>45</v>
      </c>
      <c r="X15" s="65" t="s">
        <v>42</v>
      </c>
      <c r="Y15" s="66" t="s">
        <v>43</v>
      </c>
      <c r="Z15" s="66" t="s">
        <v>43</v>
      </c>
      <c r="AA15" s="66" t="s">
        <v>43</v>
      </c>
      <c r="AB15" s="93" t="s">
        <v>33</v>
      </c>
      <c r="AC15" s="93" t="s">
        <v>33</v>
      </c>
      <c r="AD15" s="93" t="s">
        <v>33</v>
      </c>
      <c r="AE15" s="94" t="s">
        <v>33</v>
      </c>
      <c r="AF15" s="94" t="s">
        <v>33</v>
      </c>
      <c r="AG15" s="95">
        <f t="shared" si="6"/>
        <v>3</v>
      </c>
      <c r="AH15" s="97">
        <v>3</v>
      </c>
      <c r="AI15" s="97"/>
      <c r="AJ15" s="97"/>
      <c r="AK15" s="98" t="s">
        <v>51</v>
      </c>
      <c r="AM15" s="85" t="s">
        <v>49</v>
      </c>
      <c r="AN15" s="22">
        <v>150</v>
      </c>
      <c r="AO15" s="22">
        <v>60</v>
      </c>
      <c r="AP15" s="22"/>
      <c r="AQ15" s="22">
        <f t="shared" si="0"/>
        <v>0</v>
      </c>
      <c r="AR15" s="22">
        <f t="shared" si="1"/>
        <v>0</v>
      </c>
      <c r="AS15" s="22">
        <f t="shared" si="2"/>
        <v>1</v>
      </c>
      <c r="AT15" s="158">
        <f t="shared" si="7"/>
        <v>1</v>
      </c>
      <c r="AU15" s="29">
        <v>0</v>
      </c>
      <c r="AV15" s="29">
        <f t="shared" si="3"/>
        <v>0</v>
      </c>
      <c r="AW15" s="29">
        <f t="shared" si="4"/>
        <v>0</v>
      </c>
      <c r="AX15" s="29">
        <f t="shared" si="4"/>
        <v>60</v>
      </c>
      <c r="BB15">
        <f t="shared" si="5"/>
        <v>120</v>
      </c>
    </row>
    <row r="16" spans="1:54">
      <c r="A16" s="90">
        <v>45651</v>
      </c>
      <c r="B16" s="91">
        <v>1600</v>
      </c>
      <c r="C16" s="92">
        <v>40</v>
      </c>
      <c r="D16" s="91">
        <f>(SUM(粮草!A16:X16)+AG16*10*IF(AK16="是",$AZ$4,$AZ$3))</f>
        <v>1828</v>
      </c>
      <c r="E16" s="105">
        <f>SUM($B$4:B16)+SUM($C$4:C16)-SUM($D$4:D16)</f>
        <v>186</v>
      </c>
      <c r="F16" s="104">
        <f>SUM(经验!A16:X16)</f>
        <v>1660</v>
      </c>
      <c r="G16" s="91">
        <f>SUM($F$4:F16)+SUM($H$4:H16)</f>
        <v>11895</v>
      </c>
      <c r="H16" s="91">
        <v>200</v>
      </c>
      <c r="I16" s="63" t="s">
        <v>39</v>
      </c>
      <c r="J16" s="63" t="s">
        <v>39</v>
      </c>
      <c r="K16" s="64" t="s">
        <v>41</v>
      </c>
      <c r="L16" s="111" t="s">
        <v>45</v>
      </c>
      <c r="M16" s="64" t="s">
        <v>41</v>
      </c>
      <c r="N16" s="64" t="s">
        <v>41</v>
      </c>
      <c r="O16" s="64" t="s">
        <v>41</v>
      </c>
      <c r="P16" s="94" t="s">
        <v>33</v>
      </c>
      <c r="Q16" s="65" t="s">
        <v>42</v>
      </c>
      <c r="R16" s="65" t="s">
        <v>42</v>
      </c>
      <c r="S16" s="64" t="s">
        <v>41</v>
      </c>
      <c r="T16" s="64" t="s">
        <v>41</v>
      </c>
      <c r="U16" s="64" t="s">
        <v>41</v>
      </c>
      <c r="V16" s="64" t="s">
        <v>41</v>
      </c>
      <c r="W16" s="94" t="s">
        <v>33</v>
      </c>
      <c r="X16" s="94" t="s">
        <v>33</v>
      </c>
      <c r="Y16" s="66" t="s">
        <v>43</v>
      </c>
      <c r="Z16" s="73" t="s">
        <v>52</v>
      </c>
      <c r="AA16" s="93" t="s">
        <v>33</v>
      </c>
      <c r="AB16" s="93" t="s">
        <v>33</v>
      </c>
      <c r="AC16" s="93" t="s">
        <v>33</v>
      </c>
      <c r="AD16" s="93" t="s">
        <v>33</v>
      </c>
      <c r="AE16" s="94" t="s">
        <v>33</v>
      </c>
      <c r="AF16" s="94" t="s">
        <v>33</v>
      </c>
      <c r="AG16" s="95">
        <f t="shared" si="6"/>
        <v>0</v>
      </c>
      <c r="AH16" s="97"/>
      <c r="AI16" s="97"/>
      <c r="AJ16" s="97"/>
      <c r="AK16" s="98" t="s">
        <v>51</v>
      </c>
      <c r="AM16" s="70" t="s">
        <v>50</v>
      </c>
      <c r="AN16" s="22">
        <v>150</v>
      </c>
      <c r="AO16" s="22">
        <v>35</v>
      </c>
      <c r="AP16" s="22">
        <v>44.222109392472248</v>
      </c>
      <c r="AQ16" s="22">
        <f t="shared" si="0"/>
        <v>0</v>
      </c>
      <c r="AR16" s="22">
        <f t="shared" si="1"/>
        <v>0</v>
      </c>
      <c r="AS16" s="22">
        <f t="shared" si="2"/>
        <v>0</v>
      </c>
      <c r="AT16" s="158">
        <f t="shared" si="7"/>
        <v>0</v>
      </c>
      <c r="AU16" s="29">
        <v>0</v>
      </c>
      <c r="AV16" s="29">
        <f t="shared" si="3"/>
        <v>0</v>
      </c>
      <c r="AW16" s="29">
        <f t="shared" si="4"/>
        <v>0</v>
      </c>
      <c r="AX16" s="29">
        <f t="shared" si="4"/>
        <v>0</v>
      </c>
      <c r="BB16">
        <f t="shared" si="5"/>
        <v>120</v>
      </c>
    </row>
    <row r="17" spans="1:54">
      <c r="A17" s="90">
        <v>45652</v>
      </c>
      <c r="B17" s="91">
        <v>1600</v>
      </c>
      <c r="C17" s="92"/>
      <c r="D17" s="91">
        <f>(SUM(粮草!A17:X17)+AG17*10*IF(AK17="是",$AZ$4,$AZ$3))</f>
        <v>1560</v>
      </c>
      <c r="E17" s="105">
        <f>SUM($B$4:B17)+SUM($C$4:C17)-SUM($D$4:D17)</f>
        <v>226</v>
      </c>
      <c r="F17" s="104">
        <f>SUM(经验!A17:X17)</f>
        <v>740</v>
      </c>
      <c r="G17" s="91">
        <f>SUM($F$4:F17)+SUM($H$4:H17)</f>
        <v>12635</v>
      </c>
      <c r="H17" s="91">
        <v>0</v>
      </c>
      <c r="I17" s="64" t="s">
        <v>41</v>
      </c>
      <c r="J17" s="64" t="s">
        <v>41</v>
      </c>
      <c r="K17" s="64" t="s">
        <v>41</v>
      </c>
      <c r="L17" s="64" t="s">
        <v>41</v>
      </c>
      <c r="M17" s="64" t="s">
        <v>41</v>
      </c>
      <c r="N17" s="66" t="s">
        <v>43</v>
      </c>
      <c r="O17" s="66" t="s">
        <v>43</v>
      </c>
      <c r="P17" s="111" t="s">
        <v>45</v>
      </c>
      <c r="Q17" s="64" t="s">
        <v>41</v>
      </c>
      <c r="R17" s="64" t="s">
        <v>41</v>
      </c>
      <c r="S17" s="64" t="s">
        <v>41</v>
      </c>
      <c r="T17" s="64" t="s">
        <v>41</v>
      </c>
      <c r="U17" s="111" t="s">
        <v>45</v>
      </c>
      <c r="V17" s="93" t="s">
        <v>33</v>
      </c>
      <c r="W17" s="94" t="s">
        <v>33</v>
      </c>
      <c r="X17" s="94" t="s">
        <v>33</v>
      </c>
      <c r="Y17" s="66" t="s">
        <v>43</v>
      </c>
      <c r="Z17" s="66" t="s">
        <v>43</v>
      </c>
      <c r="AA17" s="64" t="s">
        <v>41</v>
      </c>
      <c r="AB17" s="93" t="s">
        <v>33</v>
      </c>
      <c r="AC17" s="93" t="s">
        <v>33</v>
      </c>
      <c r="AD17" s="93" t="s">
        <v>33</v>
      </c>
      <c r="AE17" s="94" t="s">
        <v>33</v>
      </c>
      <c r="AF17" s="94" t="s">
        <v>33</v>
      </c>
      <c r="AG17" s="95">
        <f t="shared" si="6"/>
        <v>0</v>
      </c>
      <c r="AH17" s="97"/>
      <c r="AI17" s="97"/>
      <c r="AJ17" s="97"/>
      <c r="AK17" s="98" t="s">
        <v>51</v>
      </c>
      <c r="AM17" s="71" t="s">
        <v>38</v>
      </c>
      <c r="AN17" s="22">
        <v>50</v>
      </c>
      <c r="AO17" s="22">
        <v>30</v>
      </c>
      <c r="AP17" s="22">
        <v>10</v>
      </c>
      <c r="AQ17" s="22">
        <f t="shared" si="0"/>
        <v>10</v>
      </c>
      <c r="AR17" s="22">
        <f t="shared" si="1"/>
        <v>25</v>
      </c>
      <c r="AS17" s="22">
        <f t="shared" si="2"/>
        <v>4</v>
      </c>
      <c r="AT17" s="158">
        <f t="shared" si="7"/>
        <v>39</v>
      </c>
      <c r="AU17" s="29">
        <v>34</v>
      </c>
      <c r="AV17" s="29">
        <f t="shared" si="3"/>
        <v>300</v>
      </c>
      <c r="AW17" s="29">
        <f t="shared" si="4"/>
        <v>750</v>
      </c>
      <c r="AX17" s="29">
        <f t="shared" si="4"/>
        <v>120</v>
      </c>
      <c r="BB17">
        <f t="shared" si="5"/>
        <v>40</v>
      </c>
    </row>
    <row r="18" spans="1:54">
      <c r="A18" s="99">
        <v>45653</v>
      </c>
      <c r="B18" s="91">
        <v>1600</v>
      </c>
      <c r="C18" s="92"/>
      <c r="D18" s="91">
        <f>(SUM(粮草!A18:X18)+AG18*10*IF(AK18="是",$AZ$4,$AZ$3))</f>
        <v>1464</v>
      </c>
      <c r="E18" s="105">
        <f>SUM($B$4:B18)+SUM($C$4:C18)-SUM($D$4:D18)</f>
        <v>362</v>
      </c>
      <c r="F18" s="104">
        <f>SUM(经验!A18:X18)</f>
        <v>530</v>
      </c>
      <c r="G18" s="91">
        <f>SUM($F$4:F18)+SUM($H$4:H18)</f>
        <v>13165</v>
      </c>
      <c r="H18" s="91">
        <v>0</v>
      </c>
      <c r="I18" s="66" t="s">
        <v>43</v>
      </c>
      <c r="J18" s="66" t="s">
        <v>43</v>
      </c>
      <c r="K18" s="66" t="s">
        <v>43</v>
      </c>
      <c r="L18" s="66" t="s">
        <v>43</v>
      </c>
      <c r="M18" s="66" t="s">
        <v>43</v>
      </c>
      <c r="N18" s="66" t="s">
        <v>43</v>
      </c>
      <c r="O18" s="66" t="s">
        <v>43</v>
      </c>
      <c r="P18" s="66" t="s">
        <v>43</v>
      </c>
      <c r="Q18" s="93" t="s">
        <v>33</v>
      </c>
      <c r="R18" s="93" t="s">
        <v>33</v>
      </c>
      <c r="S18" s="93" t="s">
        <v>33</v>
      </c>
      <c r="T18" s="93" t="s">
        <v>33</v>
      </c>
      <c r="U18" s="93" t="s">
        <v>33</v>
      </c>
      <c r="V18" s="93" t="s">
        <v>33</v>
      </c>
      <c r="W18" s="94" t="s">
        <v>33</v>
      </c>
      <c r="X18" s="94" t="s">
        <v>33</v>
      </c>
      <c r="Y18" s="64" t="s">
        <v>41</v>
      </c>
      <c r="Z18" s="93" t="s">
        <v>33</v>
      </c>
      <c r="AA18" s="93" t="s">
        <v>33</v>
      </c>
      <c r="AB18" s="93" t="s">
        <v>33</v>
      </c>
      <c r="AC18" s="93" t="s">
        <v>33</v>
      </c>
      <c r="AD18" s="93" t="s">
        <v>33</v>
      </c>
      <c r="AE18" s="94" t="s">
        <v>33</v>
      </c>
      <c r="AF18" s="94" t="s">
        <v>33</v>
      </c>
      <c r="AG18" s="95">
        <f t="shared" si="6"/>
        <v>5</v>
      </c>
      <c r="AH18" s="97">
        <v>5</v>
      </c>
      <c r="AI18" s="97"/>
      <c r="AJ18" s="97"/>
      <c r="AK18" s="98" t="s">
        <v>51</v>
      </c>
      <c r="AL18" s="80"/>
      <c r="AM18" s="72" t="s">
        <v>45</v>
      </c>
      <c r="AN18" s="22">
        <v>-150</v>
      </c>
      <c r="AO18" s="22">
        <v>0</v>
      </c>
      <c r="AP18" s="22">
        <v>10</v>
      </c>
      <c r="AQ18" s="22">
        <f t="shared" si="0"/>
        <v>6</v>
      </c>
      <c r="AR18" s="22">
        <f t="shared" si="1"/>
        <v>5</v>
      </c>
      <c r="AS18" s="22">
        <f t="shared" si="2"/>
        <v>4</v>
      </c>
      <c r="AT18" s="158">
        <f t="shared" si="7"/>
        <v>15</v>
      </c>
      <c r="AU18" s="29">
        <v>15</v>
      </c>
      <c r="AV18" s="29">
        <f t="shared" si="3"/>
        <v>0</v>
      </c>
      <c r="AW18" s="29">
        <f t="shared" si="4"/>
        <v>0</v>
      </c>
      <c r="AX18" s="29">
        <f t="shared" si="4"/>
        <v>0</v>
      </c>
      <c r="BB18">
        <f t="shared" si="5"/>
        <v>-120</v>
      </c>
    </row>
    <row r="19" spans="1:54">
      <c r="A19" s="99">
        <v>45654</v>
      </c>
      <c r="B19" s="91">
        <v>1600</v>
      </c>
      <c r="C19" s="92">
        <v>40</v>
      </c>
      <c r="D19" s="91">
        <f>(SUM(粮草!A19:X19)+AG19*10*IF(AK19="是",$AZ$4,$AZ$3))</f>
        <v>1862</v>
      </c>
      <c r="E19" s="105">
        <f>SUM($B$4:B19)+SUM($C$4:C19)-SUM($D$4:D19)</f>
        <v>140</v>
      </c>
      <c r="F19" s="104">
        <f>SUM(经验!A19:X19)</f>
        <v>2185</v>
      </c>
      <c r="G19" s="91">
        <f>SUM($F$4:F19)+SUM($H$4:H19)</f>
        <v>15350</v>
      </c>
      <c r="H19" s="91">
        <v>0</v>
      </c>
      <c r="I19" s="66" t="s">
        <v>43</v>
      </c>
      <c r="J19" s="73" t="s">
        <v>52</v>
      </c>
      <c r="K19" s="66" t="s">
        <v>43</v>
      </c>
      <c r="L19" s="66" t="s">
        <v>43</v>
      </c>
      <c r="M19" s="66" t="s">
        <v>43</v>
      </c>
      <c r="N19" s="66" t="s">
        <v>43</v>
      </c>
      <c r="O19" s="111" t="s">
        <v>45</v>
      </c>
      <c r="P19" s="94" t="s">
        <v>33</v>
      </c>
      <c r="Q19" s="63" t="s">
        <v>39</v>
      </c>
      <c r="R19" s="63" t="s">
        <v>39</v>
      </c>
      <c r="S19" s="65" t="s">
        <v>42</v>
      </c>
      <c r="T19" s="65" t="s">
        <v>42</v>
      </c>
      <c r="U19" s="65" t="s">
        <v>42</v>
      </c>
      <c r="V19" s="49" t="s">
        <v>61</v>
      </c>
      <c r="W19" s="65" t="s">
        <v>42</v>
      </c>
      <c r="X19" s="65" t="s">
        <v>42</v>
      </c>
      <c r="Y19" s="93" t="s">
        <v>33</v>
      </c>
      <c r="Z19" s="93" t="s">
        <v>33</v>
      </c>
      <c r="AA19" s="93" t="s">
        <v>33</v>
      </c>
      <c r="AB19" s="93" t="s">
        <v>33</v>
      </c>
      <c r="AC19" s="93" t="s">
        <v>33</v>
      </c>
      <c r="AD19" s="93" t="s">
        <v>33</v>
      </c>
      <c r="AE19" s="94" t="s">
        <v>33</v>
      </c>
      <c r="AF19" s="94" t="s">
        <v>33</v>
      </c>
      <c r="AG19" s="95">
        <f t="shared" si="6"/>
        <v>0</v>
      </c>
      <c r="AH19" s="97"/>
      <c r="AI19" s="97"/>
      <c r="AJ19" s="97"/>
      <c r="AK19" s="98" t="s">
        <v>51</v>
      </c>
      <c r="AL19" s="81"/>
      <c r="AM19" s="47" t="s">
        <v>62</v>
      </c>
      <c r="AN19" s="22">
        <v>250</v>
      </c>
      <c r="AO19" s="22">
        <v>300</v>
      </c>
      <c r="AP19" s="22"/>
      <c r="AQ19" s="22">
        <f t="shared" si="0"/>
        <v>0</v>
      </c>
      <c r="AR19" s="22">
        <f t="shared" si="1"/>
        <v>2</v>
      </c>
      <c r="AS19" s="22">
        <f t="shared" si="2"/>
        <v>1</v>
      </c>
      <c r="AT19" s="158">
        <f t="shared" si="7"/>
        <v>3</v>
      </c>
      <c r="AU19" s="29">
        <v>3</v>
      </c>
      <c r="AV19" s="29">
        <f t="shared" si="3"/>
        <v>0</v>
      </c>
      <c r="AW19" s="29">
        <f t="shared" si="4"/>
        <v>600</v>
      </c>
      <c r="AX19" s="29">
        <f t="shared" si="4"/>
        <v>300</v>
      </c>
      <c r="BB19">
        <f t="shared" si="5"/>
        <v>200</v>
      </c>
    </row>
    <row r="20" spans="1:54">
      <c r="A20" s="99">
        <v>45655</v>
      </c>
      <c r="B20" s="91">
        <v>1600</v>
      </c>
      <c r="C20" s="92"/>
      <c r="D20" s="91">
        <f>(SUM(粮草!A20:X20)+AG20*10*IF(AK20="是",$AZ$4,$AZ$3))</f>
        <v>1526</v>
      </c>
      <c r="E20" s="105">
        <f>SUM($B$4:B20)+SUM($C$4:C20)-SUM($D$4:D20)</f>
        <v>214</v>
      </c>
      <c r="F20" s="104">
        <f>SUM(经验!A20:X20)</f>
        <v>640</v>
      </c>
      <c r="G20" s="91">
        <f>SUM($F$4:F20)+SUM($H$4:H20)</f>
        <v>15990</v>
      </c>
      <c r="H20" s="91">
        <v>0</v>
      </c>
      <c r="I20" s="66" t="s">
        <v>43</v>
      </c>
      <c r="J20" s="66" t="s">
        <v>43</v>
      </c>
      <c r="K20" s="66" t="s">
        <v>43</v>
      </c>
      <c r="L20" s="66" t="s">
        <v>43</v>
      </c>
      <c r="M20" s="66" t="s">
        <v>43</v>
      </c>
      <c r="N20" s="66" t="s">
        <v>43</v>
      </c>
      <c r="O20" s="66" t="s">
        <v>43</v>
      </c>
      <c r="P20" s="94" t="s">
        <v>33</v>
      </c>
      <c r="Q20" s="65" t="s">
        <v>42</v>
      </c>
      <c r="R20" s="65" t="s">
        <v>42</v>
      </c>
      <c r="S20" s="65" t="s">
        <v>42</v>
      </c>
      <c r="T20" s="65" t="s">
        <v>42</v>
      </c>
      <c r="U20" s="111" t="s">
        <v>45</v>
      </c>
      <c r="V20" s="93" t="s">
        <v>33</v>
      </c>
      <c r="W20" s="94" t="s">
        <v>33</v>
      </c>
      <c r="X20" s="94" t="s">
        <v>33</v>
      </c>
      <c r="Y20" s="93" t="s">
        <v>33</v>
      </c>
      <c r="Z20" s="93" t="s">
        <v>33</v>
      </c>
      <c r="AA20" s="93" t="s">
        <v>33</v>
      </c>
      <c r="AB20" s="93" t="s">
        <v>33</v>
      </c>
      <c r="AC20" s="93" t="s">
        <v>33</v>
      </c>
      <c r="AD20" s="93" t="s">
        <v>33</v>
      </c>
      <c r="AE20" s="94" t="s">
        <v>33</v>
      </c>
      <c r="AF20" s="94" t="s">
        <v>33</v>
      </c>
      <c r="AG20" s="95">
        <f t="shared" si="6"/>
        <v>1</v>
      </c>
      <c r="AH20" s="97">
        <v>1</v>
      </c>
      <c r="AI20" s="97"/>
      <c r="AJ20" s="97"/>
      <c r="AK20" s="98" t="s">
        <v>51</v>
      </c>
      <c r="AL20" s="81"/>
      <c r="AM20" s="47" t="s">
        <v>64</v>
      </c>
      <c r="AN20" s="22">
        <v>170</v>
      </c>
      <c r="AO20" s="22">
        <v>45</v>
      </c>
      <c r="AP20" s="22"/>
      <c r="AQ20" s="22">
        <f t="shared" si="0"/>
        <v>0</v>
      </c>
      <c r="AR20" s="22">
        <f t="shared" si="1"/>
        <v>2</v>
      </c>
      <c r="AS20" s="22">
        <f t="shared" si="2"/>
        <v>3</v>
      </c>
      <c r="AT20" s="158">
        <f t="shared" si="7"/>
        <v>5</v>
      </c>
      <c r="AU20" s="29">
        <v>5</v>
      </c>
      <c r="AV20" s="29">
        <f t="shared" si="3"/>
        <v>0</v>
      </c>
      <c r="AW20" s="29">
        <f t="shared" ref="AW20:AW28" si="8">AR20*$AO20</f>
        <v>90</v>
      </c>
      <c r="AX20" s="29">
        <f t="shared" ref="AX20:AX28" si="9">AS20*$AO20</f>
        <v>135</v>
      </c>
      <c r="BB20">
        <f t="shared" si="5"/>
        <v>136</v>
      </c>
    </row>
    <row r="21" spans="1:54">
      <c r="A21" s="99">
        <v>45656</v>
      </c>
      <c r="B21" s="93">
        <v>1600</v>
      </c>
      <c r="C21" s="93"/>
      <c r="D21" s="91">
        <f>(SUM(粮草!A21:X21)+AG21*10*IF(AK21="是",$AZ$4,$AZ$3))</f>
        <v>1568</v>
      </c>
      <c r="E21" s="105">
        <f>SUM($B$4:B21)+SUM($C$4:C21)-SUM($D$4:D21)</f>
        <v>246</v>
      </c>
      <c r="F21" s="104">
        <f>SUM(经验!A21:X21)</f>
        <v>580</v>
      </c>
      <c r="G21" s="91">
        <f>SUM($F$4:F21)+SUM($H$4:H21)</f>
        <v>16770</v>
      </c>
      <c r="H21" s="93">
        <v>200</v>
      </c>
      <c r="I21" s="66" t="s">
        <v>43</v>
      </c>
      <c r="J21" s="66" t="s">
        <v>43</v>
      </c>
      <c r="K21" s="66" t="s">
        <v>43</v>
      </c>
      <c r="L21" s="66" t="s">
        <v>43</v>
      </c>
      <c r="M21" s="66" t="s">
        <v>43</v>
      </c>
      <c r="N21" s="66" t="s">
        <v>43</v>
      </c>
      <c r="O21" s="66" t="s">
        <v>43</v>
      </c>
      <c r="P21" s="94" t="s">
        <v>33</v>
      </c>
      <c r="Q21" s="93" t="s">
        <v>33</v>
      </c>
      <c r="R21" s="93" t="s">
        <v>33</v>
      </c>
      <c r="S21" s="93" t="s">
        <v>33</v>
      </c>
      <c r="T21" s="93" t="s">
        <v>33</v>
      </c>
      <c r="U21" s="93" t="s">
        <v>33</v>
      </c>
      <c r="V21" s="93" t="s">
        <v>33</v>
      </c>
      <c r="W21" s="94" t="s">
        <v>33</v>
      </c>
      <c r="X21" s="94" t="s">
        <v>33</v>
      </c>
      <c r="Y21" s="64" t="s">
        <v>41</v>
      </c>
      <c r="Z21" s="66" t="s">
        <v>43</v>
      </c>
      <c r="AA21" s="64" t="s">
        <v>41</v>
      </c>
      <c r="AB21" s="93" t="s">
        <v>33</v>
      </c>
      <c r="AC21" s="93" t="s">
        <v>33</v>
      </c>
      <c r="AD21" s="93" t="s">
        <v>33</v>
      </c>
      <c r="AE21" s="94" t="s">
        <v>33</v>
      </c>
      <c r="AF21" s="94" t="s">
        <v>33</v>
      </c>
      <c r="AG21" s="95">
        <f t="shared" si="6"/>
        <v>0</v>
      </c>
      <c r="AH21" s="97"/>
      <c r="AI21" s="97"/>
      <c r="AJ21" s="97"/>
      <c r="AK21" s="98" t="s">
        <v>51</v>
      </c>
      <c r="AL21" s="81"/>
      <c r="AM21" s="83" t="s">
        <v>65</v>
      </c>
      <c r="AN21" s="22">
        <v>250</v>
      </c>
      <c r="AO21" s="22">
        <v>400</v>
      </c>
      <c r="AP21" s="22"/>
      <c r="AQ21" s="22">
        <f t="shared" si="0"/>
        <v>0</v>
      </c>
      <c r="AR21" s="22">
        <f t="shared" si="1"/>
        <v>0</v>
      </c>
      <c r="AS21" s="22">
        <f t="shared" si="2"/>
        <v>0</v>
      </c>
      <c r="AT21" s="158">
        <f t="shared" si="7"/>
        <v>0</v>
      </c>
      <c r="AU21" s="29">
        <v>0</v>
      </c>
      <c r="AV21" s="29">
        <f t="shared" si="3"/>
        <v>0</v>
      </c>
      <c r="AW21" s="29">
        <f t="shared" si="8"/>
        <v>0</v>
      </c>
      <c r="AX21" s="29">
        <f t="shared" si="9"/>
        <v>0</v>
      </c>
      <c r="BB21">
        <f t="shared" si="5"/>
        <v>200</v>
      </c>
    </row>
    <row r="22" spans="1:54">
      <c r="A22" s="99">
        <v>45657</v>
      </c>
      <c r="B22" s="93">
        <v>1600</v>
      </c>
      <c r="C22" s="93"/>
      <c r="D22" s="91">
        <f>(SUM(粮草!A22:X22)+AG22*10*IF(AK22="是",$AZ$4,$AZ$3))</f>
        <v>1600</v>
      </c>
      <c r="E22" s="105">
        <f>SUM($B$4:B22)+SUM($C$4:C22)-SUM($D$4:D22)</f>
        <v>246</v>
      </c>
      <c r="F22" s="104">
        <f>SUM(经验!A22:X22)</f>
        <v>555</v>
      </c>
      <c r="G22" s="91">
        <f>SUM($F$4:F22)+SUM($H$4:H22)</f>
        <v>17425</v>
      </c>
      <c r="H22" s="93">
        <v>100</v>
      </c>
      <c r="I22" s="63" t="s">
        <v>39</v>
      </c>
      <c r="J22" s="63" t="s">
        <v>39</v>
      </c>
      <c r="K22" s="63" t="s">
        <v>39</v>
      </c>
      <c r="L22" s="63" t="s">
        <v>39</v>
      </c>
      <c r="M22" s="63" t="s">
        <v>39</v>
      </c>
      <c r="N22" s="63" t="s">
        <v>39</v>
      </c>
      <c r="O22" s="94" t="s">
        <v>33</v>
      </c>
      <c r="P22" s="94" t="s">
        <v>33</v>
      </c>
      <c r="Q22" s="93" t="s">
        <v>33</v>
      </c>
      <c r="R22" s="93" t="s">
        <v>33</v>
      </c>
      <c r="S22" s="93" t="s">
        <v>33</v>
      </c>
      <c r="T22" s="93" t="s">
        <v>33</v>
      </c>
      <c r="U22" s="93" t="s">
        <v>33</v>
      </c>
      <c r="V22" s="93" t="s">
        <v>33</v>
      </c>
      <c r="W22" s="94" t="s">
        <v>33</v>
      </c>
      <c r="X22" s="94" t="s">
        <v>33</v>
      </c>
      <c r="Y22" s="66" t="s">
        <v>43</v>
      </c>
      <c r="Z22" s="66" t="s">
        <v>43</v>
      </c>
      <c r="AA22" s="65" t="s">
        <v>42</v>
      </c>
      <c r="AB22" s="65" t="s">
        <v>42</v>
      </c>
      <c r="AC22" s="65" t="s">
        <v>42</v>
      </c>
      <c r="AD22" s="93" t="s">
        <v>33</v>
      </c>
      <c r="AE22" s="94" t="s">
        <v>33</v>
      </c>
      <c r="AF22" s="94" t="s">
        <v>33</v>
      </c>
      <c r="AG22" s="95">
        <f t="shared" si="6"/>
        <v>1</v>
      </c>
      <c r="AH22" s="97">
        <v>1</v>
      </c>
      <c r="AI22" s="97"/>
      <c r="AJ22" s="97"/>
      <c r="AK22" s="98" t="s">
        <v>51</v>
      </c>
      <c r="AL22" s="81"/>
      <c r="AM22" s="73" t="s">
        <v>52</v>
      </c>
      <c r="AN22" s="22">
        <v>250</v>
      </c>
      <c r="AO22" s="22">
        <v>1000</v>
      </c>
      <c r="AP22" s="22"/>
      <c r="AQ22" s="22">
        <f t="shared" si="0"/>
        <v>1</v>
      </c>
      <c r="AR22" s="22">
        <f t="shared" si="1"/>
        <v>0</v>
      </c>
      <c r="AS22" s="22">
        <f t="shared" si="2"/>
        <v>1</v>
      </c>
      <c r="AT22" s="158">
        <f t="shared" si="7"/>
        <v>2</v>
      </c>
      <c r="AU22" s="29">
        <v>1</v>
      </c>
      <c r="AV22" s="29">
        <f t="shared" si="3"/>
        <v>1000</v>
      </c>
      <c r="AW22" s="29">
        <f t="shared" si="8"/>
        <v>0</v>
      </c>
      <c r="AX22" s="29">
        <f t="shared" si="9"/>
        <v>1000</v>
      </c>
      <c r="BB22">
        <f t="shared" si="5"/>
        <v>200</v>
      </c>
    </row>
    <row r="23" spans="1:54">
      <c r="A23" s="99">
        <v>45658</v>
      </c>
      <c r="B23" s="93">
        <v>1600</v>
      </c>
      <c r="C23" s="93"/>
      <c r="D23" s="91">
        <f>(SUM(粮草!A23:X23)+AG23*10*IF(AK23="是",$AZ$4,$AZ$3))</f>
        <v>1600</v>
      </c>
      <c r="E23" s="105">
        <f>SUM($B$4:B23)+SUM($C$4:C23)-SUM($D$4:D23)</f>
        <v>246</v>
      </c>
      <c r="F23" s="104">
        <f>SUM(经验!A23:X23)</f>
        <v>560</v>
      </c>
      <c r="G23" s="91">
        <f>SUM($F$4:F23)+SUM($H$4:H23)</f>
        <v>18185</v>
      </c>
      <c r="H23" s="93">
        <v>200</v>
      </c>
      <c r="I23" s="63" t="s">
        <v>39</v>
      </c>
      <c r="J23" s="63" t="s">
        <v>39</v>
      </c>
      <c r="K23" s="63" t="s">
        <v>39</v>
      </c>
      <c r="L23" s="63" t="s">
        <v>39</v>
      </c>
      <c r="M23" s="64" t="s">
        <v>41</v>
      </c>
      <c r="N23" s="93" t="s">
        <v>33</v>
      </c>
      <c r="O23" s="94" t="s">
        <v>33</v>
      </c>
      <c r="P23" s="94" t="s">
        <v>33</v>
      </c>
      <c r="Q23" s="93" t="s">
        <v>33</v>
      </c>
      <c r="R23" s="93" t="s">
        <v>33</v>
      </c>
      <c r="S23" s="93" t="s">
        <v>33</v>
      </c>
      <c r="T23" s="93" t="s">
        <v>33</v>
      </c>
      <c r="U23" s="93" t="s">
        <v>33</v>
      </c>
      <c r="V23" s="93" t="s">
        <v>33</v>
      </c>
      <c r="W23" s="94" t="s">
        <v>33</v>
      </c>
      <c r="X23" s="94" t="s">
        <v>33</v>
      </c>
      <c r="Y23" s="65" t="s">
        <v>42</v>
      </c>
      <c r="Z23" s="65" t="s">
        <v>42</v>
      </c>
      <c r="AA23" s="65" t="s">
        <v>42</v>
      </c>
      <c r="AB23" s="65" t="s">
        <v>42</v>
      </c>
      <c r="AC23" s="65" t="s">
        <v>42</v>
      </c>
      <c r="AD23" s="65" t="s">
        <v>42</v>
      </c>
      <c r="AE23" s="94" t="s">
        <v>33</v>
      </c>
      <c r="AF23" s="94" t="s">
        <v>33</v>
      </c>
      <c r="AG23" s="95">
        <f t="shared" si="6"/>
        <v>0</v>
      </c>
      <c r="AH23" s="97"/>
      <c r="AI23" s="97"/>
      <c r="AJ23" s="97"/>
      <c r="AK23" s="98" t="s">
        <v>51</v>
      </c>
      <c r="AL23" s="81"/>
      <c r="AM23" s="74" t="s">
        <v>53</v>
      </c>
      <c r="AN23" s="22">
        <v>250</v>
      </c>
      <c r="AO23" s="22">
        <v>500</v>
      </c>
      <c r="AP23" s="22"/>
      <c r="AQ23" s="22">
        <f t="shared" si="0"/>
        <v>0</v>
      </c>
      <c r="AR23" s="22">
        <f t="shared" si="1"/>
        <v>0</v>
      </c>
      <c r="AS23" s="22">
        <f t="shared" si="2"/>
        <v>2</v>
      </c>
      <c r="AT23" s="158">
        <f t="shared" si="7"/>
        <v>2</v>
      </c>
      <c r="AU23" s="29">
        <v>0</v>
      </c>
      <c r="AV23" s="29">
        <f t="shared" si="3"/>
        <v>0</v>
      </c>
      <c r="AW23" s="29">
        <f t="shared" si="8"/>
        <v>0</v>
      </c>
      <c r="AX23" s="29">
        <f t="shared" si="9"/>
        <v>1000</v>
      </c>
      <c r="BB23">
        <f t="shared" si="5"/>
        <v>200</v>
      </c>
    </row>
    <row r="24" spans="1:54">
      <c r="A24" s="99">
        <v>45659</v>
      </c>
      <c r="B24" s="93">
        <v>1600</v>
      </c>
      <c r="C24" s="93"/>
      <c r="D24" s="91">
        <f>(SUM(粮草!A24:X24)+AG24*10*IF(AK24="是",$AZ$4,$AZ$3))</f>
        <v>940</v>
      </c>
      <c r="E24" s="105">
        <f>SUM($B$4:B24)+SUM($C$4:C24)-SUM($D$4:D24)</f>
        <v>906</v>
      </c>
      <c r="F24" s="104">
        <f>SUM(经验!A24:X24)</f>
        <v>495</v>
      </c>
      <c r="G24" s="91">
        <f>SUM($F$4:F24)+SUM($H$4:H24)</f>
        <v>18680</v>
      </c>
      <c r="H24" s="93">
        <v>0</v>
      </c>
      <c r="I24" s="64" t="s">
        <v>41</v>
      </c>
      <c r="J24" s="109" t="s">
        <v>38</v>
      </c>
      <c r="K24" s="64" t="s">
        <v>41</v>
      </c>
      <c r="L24" s="64" t="s">
        <v>41</v>
      </c>
      <c r="M24" s="64" t="s">
        <v>41</v>
      </c>
      <c r="N24" s="64" t="s">
        <v>41</v>
      </c>
      <c r="O24" s="64" t="s">
        <v>41</v>
      </c>
      <c r="P24" s="111" t="s">
        <v>45</v>
      </c>
      <c r="Q24" s="93" t="s">
        <v>33</v>
      </c>
      <c r="R24" s="93" t="s">
        <v>33</v>
      </c>
      <c r="S24" s="93" t="s">
        <v>33</v>
      </c>
      <c r="T24" s="93" t="s">
        <v>33</v>
      </c>
      <c r="U24" s="93" t="s">
        <v>33</v>
      </c>
      <c r="V24" s="93" t="s">
        <v>33</v>
      </c>
      <c r="W24" s="94" t="s">
        <v>33</v>
      </c>
      <c r="X24" s="94" t="s">
        <v>33</v>
      </c>
      <c r="Y24" s="65" t="s">
        <v>42</v>
      </c>
      <c r="Z24" s="65" t="s">
        <v>42</v>
      </c>
      <c r="AA24" s="65" t="s">
        <v>42</v>
      </c>
      <c r="AB24" s="111" t="s">
        <v>45</v>
      </c>
      <c r="AC24" s="93" t="s">
        <v>33</v>
      </c>
      <c r="AD24" s="93" t="s">
        <v>33</v>
      </c>
      <c r="AE24" s="94" t="s">
        <v>33</v>
      </c>
      <c r="AF24" s="94" t="s">
        <v>33</v>
      </c>
      <c r="AG24" s="95">
        <f t="shared" si="6"/>
        <v>0</v>
      </c>
      <c r="AH24" s="97"/>
      <c r="AI24" s="97"/>
      <c r="AJ24" s="97"/>
      <c r="AK24" s="98" t="s">
        <v>51</v>
      </c>
      <c r="AL24" s="81"/>
      <c r="AM24" s="83" t="s">
        <v>66</v>
      </c>
      <c r="AN24" s="22">
        <v>180</v>
      </c>
      <c r="AO24" s="22">
        <v>50</v>
      </c>
      <c r="AP24" s="22">
        <v>39.110982162825422</v>
      </c>
      <c r="AQ24" s="22">
        <f t="shared" si="0"/>
        <v>0</v>
      </c>
      <c r="AR24" s="22">
        <f t="shared" si="1"/>
        <v>0</v>
      </c>
      <c r="AS24" s="22">
        <f t="shared" si="2"/>
        <v>0</v>
      </c>
      <c r="AT24" s="158">
        <f t="shared" si="7"/>
        <v>0</v>
      </c>
      <c r="AU24" s="29">
        <v>0</v>
      </c>
      <c r="AV24" s="29">
        <f t="shared" si="3"/>
        <v>0</v>
      </c>
      <c r="AW24" s="29">
        <f t="shared" si="8"/>
        <v>0</v>
      </c>
      <c r="AX24" s="29">
        <f t="shared" si="9"/>
        <v>0</v>
      </c>
      <c r="BB24">
        <f t="shared" si="5"/>
        <v>144</v>
      </c>
    </row>
    <row r="25" spans="1:54">
      <c r="A25" s="90">
        <v>45660</v>
      </c>
      <c r="B25" s="93">
        <v>1600</v>
      </c>
      <c r="C25" s="93"/>
      <c r="D25" s="91">
        <f>(SUM(粮草!A25:X25)+AG25*10*IF(AK25="是",$AZ$4,$AZ$3))</f>
        <v>0</v>
      </c>
      <c r="E25" s="105">
        <f>SUM($B$4:B25)+SUM($C$4:C25)-SUM($D$4:D25)</f>
        <v>2506</v>
      </c>
      <c r="F25" s="104">
        <f>SUM(经验!A25:X25)</f>
        <v>0</v>
      </c>
      <c r="G25" s="91">
        <f>SUM($F$4:F25)+SUM($H$4:H25)</f>
        <v>18680</v>
      </c>
      <c r="H25" s="93">
        <v>0</v>
      </c>
      <c r="I25" s="93" t="s">
        <v>33</v>
      </c>
      <c r="J25" s="93" t="s">
        <v>33</v>
      </c>
      <c r="K25" s="93" t="s">
        <v>33</v>
      </c>
      <c r="L25" s="93" t="s">
        <v>33</v>
      </c>
      <c r="M25" s="93" t="s">
        <v>33</v>
      </c>
      <c r="N25" s="93" t="s">
        <v>33</v>
      </c>
      <c r="O25" s="94" t="s">
        <v>33</v>
      </c>
      <c r="P25" s="94" t="s">
        <v>33</v>
      </c>
      <c r="Q25" s="93" t="s">
        <v>33</v>
      </c>
      <c r="R25" s="93" t="s">
        <v>33</v>
      </c>
      <c r="S25" s="93" t="s">
        <v>33</v>
      </c>
      <c r="T25" s="93" t="s">
        <v>33</v>
      </c>
      <c r="U25" s="93" t="s">
        <v>33</v>
      </c>
      <c r="V25" s="93" t="s">
        <v>33</v>
      </c>
      <c r="W25" s="94" t="s">
        <v>33</v>
      </c>
      <c r="X25" s="94" t="s">
        <v>33</v>
      </c>
      <c r="Y25" s="93" t="s">
        <v>33</v>
      </c>
      <c r="Z25" s="93" t="s">
        <v>33</v>
      </c>
      <c r="AA25" s="93" t="s">
        <v>33</v>
      </c>
      <c r="AB25" s="93" t="s">
        <v>33</v>
      </c>
      <c r="AC25" s="93" t="s">
        <v>33</v>
      </c>
      <c r="AD25" s="93" t="s">
        <v>33</v>
      </c>
      <c r="AE25" s="94" t="s">
        <v>33</v>
      </c>
      <c r="AF25" s="94" t="s">
        <v>33</v>
      </c>
      <c r="AG25" s="95">
        <f t="shared" si="6"/>
        <v>0</v>
      </c>
      <c r="AH25" s="97"/>
      <c r="AI25" s="97"/>
      <c r="AJ25" s="97"/>
      <c r="AK25" s="98" t="s">
        <v>51</v>
      </c>
      <c r="AL25" s="81"/>
      <c r="AM25" s="75" t="s">
        <v>54</v>
      </c>
      <c r="AN25" s="22">
        <v>160</v>
      </c>
      <c r="AO25" s="22">
        <v>40</v>
      </c>
      <c r="AP25" s="22">
        <v>39.110982162825422</v>
      </c>
      <c r="AQ25" s="22">
        <f t="shared" si="0"/>
        <v>0</v>
      </c>
      <c r="AR25" s="22">
        <f t="shared" si="1"/>
        <v>0</v>
      </c>
      <c r="AS25" s="22">
        <f t="shared" si="2"/>
        <v>0</v>
      </c>
      <c r="AT25" s="158">
        <f t="shared" si="7"/>
        <v>0</v>
      </c>
      <c r="AU25" s="29">
        <v>0</v>
      </c>
      <c r="AV25" s="29">
        <f t="shared" si="3"/>
        <v>0</v>
      </c>
      <c r="AW25" s="29">
        <f t="shared" si="8"/>
        <v>0</v>
      </c>
      <c r="AX25" s="29">
        <f t="shared" si="9"/>
        <v>0</v>
      </c>
      <c r="BB25">
        <f t="shared" si="5"/>
        <v>128</v>
      </c>
    </row>
    <row r="26" spans="1:54">
      <c r="A26" s="90">
        <v>45661</v>
      </c>
      <c r="B26" s="93">
        <v>1600</v>
      </c>
      <c r="C26" s="93"/>
      <c r="D26" s="91">
        <f>(SUM(粮草!A26:X26)+AG26*10*IF(AK26="是",$AZ$4,$AZ$3))</f>
        <v>0</v>
      </c>
      <c r="E26" s="105">
        <f>SUM($B$4:B26)+SUM($C$4:C26)-SUM($D$4:D26)</f>
        <v>4106</v>
      </c>
      <c r="F26" s="104">
        <f>SUM(经验!A26:X26)</f>
        <v>0</v>
      </c>
      <c r="G26" s="91">
        <f>SUM($F$4:F26)+SUM($H$4:H26)</f>
        <v>18680</v>
      </c>
      <c r="H26" s="93">
        <v>0</v>
      </c>
      <c r="I26" s="93" t="s">
        <v>33</v>
      </c>
      <c r="J26" s="93" t="s">
        <v>33</v>
      </c>
      <c r="K26" s="93" t="s">
        <v>33</v>
      </c>
      <c r="L26" s="93" t="s">
        <v>33</v>
      </c>
      <c r="M26" s="93" t="s">
        <v>33</v>
      </c>
      <c r="N26" s="93" t="s">
        <v>33</v>
      </c>
      <c r="O26" s="94" t="s">
        <v>33</v>
      </c>
      <c r="P26" s="94" t="s">
        <v>33</v>
      </c>
      <c r="Q26" s="93" t="s">
        <v>33</v>
      </c>
      <c r="R26" s="93" t="s">
        <v>33</v>
      </c>
      <c r="S26" s="93" t="s">
        <v>33</v>
      </c>
      <c r="T26" s="93" t="s">
        <v>33</v>
      </c>
      <c r="U26" s="93" t="s">
        <v>33</v>
      </c>
      <c r="V26" s="93" t="s">
        <v>33</v>
      </c>
      <c r="W26" s="94" t="s">
        <v>33</v>
      </c>
      <c r="X26" s="94" t="s">
        <v>33</v>
      </c>
      <c r="Y26" s="93" t="s">
        <v>33</v>
      </c>
      <c r="Z26" s="93" t="s">
        <v>33</v>
      </c>
      <c r="AA26" s="93" t="s">
        <v>33</v>
      </c>
      <c r="AB26" s="93" t="s">
        <v>33</v>
      </c>
      <c r="AC26" s="93" t="s">
        <v>33</v>
      </c>
      <c r="AD26" s="93" t="s">
        <v>33</v>
      </c>
      <c r="AE26" s="94" t="s">
        <v>33</v>
      </c>
      <c r="AF26" s="94" t="s">
        <v>33</v>
      </c>
      <c r="AG26" s="95">
        <f t="shared" si="6"/>
        <v>0</v>
      </c>
      <c r="AH26" s="97"/>
      <c r="AI26" s="97"/>
      <c r="AJ26" s="97"/>
      <c r="AK26" s="98" t="s">
        <v>51</v>
      </c>
      <c r="AL26" s="81"/>
      <c r="AM26" s="75" t="s">
        <v>55</v>
      </c>
      <c r="AN26" s="22">
        <v>150</v>
      </c>
      <c r="AO26" s="22">
        <v>35</v>
      </c>
      <c r="AP26" s="22">
        <v>44.222109392472248</v>
      </c>
      <c r="AQ26" s="22">
        <f t="shared" si="0"/>
        <v>0</v>
      </c>
      <c r="AR26" s="22">
        <f t="shared" si="1"/>
        <v>0</v>
      </c>
      <c r="AS26" s="22">
        <f t="shared" si="2"/>
        <v>0</v>
      </c>
      <c r="AT26" s="158">
        <f t="shared" si="7"/>
        <v>0</v>
      </c>
      <c r="AU26" s="29">
        <v>0</v>
      </c>
      <c r="AV26" s="29">
        <f t="shared" si="3"/>
        <v>0</v>
      </c>
      <c r="AW26" s="29">
        <f t="shared" si="8"/>
        <v>0</v>
      </c>
      <c r="AX26" s="29">
        <f t="shared" si="9"/>
        <v>0</v>
      </c>
      <c r="BB26">
        <f t="shared" si="5"/>
        <v>120</v>
      </c>
    </row>
    <row r="27" spans="1:54">
      <c r="A27" s="90">
        <v>45662</v>
      </c>
      <c r="B27" s="93">
        <v>1600</v>
      </c>
      <c r="C27" s="93"/>
      <c r="D27" s="91">
        <f>(SUM(粮草!A27:X27)+AG27*10*IF(AK27="是",$AZ$4,$AZ$3))</f>
        <v>120</v>
      </c>
      <c r="E27" s="105">
        <f>SUM($B$4:B27)+SUM($C$4:C27)-SUM($D$4:D27)</f>
        <v>5586</v>
      </c>
      <c r="F27" s="104">
        <f>SUM(经验!A27:X27)</f>
        <v>40</v>
      </c>
      <c r="G27" s="91">
        <f>SUM($F$4:F27)+SUM($H$4:H27)</f>
        <v>18720</v>
      </c>
      <c r="H27" s="93">
        <v>0</v>
      </c>
      <c r="I27" s="67" t="s">
        <v>40</v>
      </c>
      <c r="J27" s="93" t="s">
        <v>33</v>
      </c>
      <c r="K27" s="93" t="s">
        <v>33</v>
      </c>
      <c r="L27" s="93" t="s">
        <v>33</v>
      </c>
      <c r="M27" s="93" t="s">
        <v>33</v>
      </c>
      <c r="N27" s="93" t="s">
        <v>33</v>
      </c>
      <c r="O27" s="94" t="s">
        <v>33</v>
      </c>
      <c r="P27" s="94" t="s">
        <v>33</v>
      </c>
      <c r="Q27" s="93" t="s">
        <v>33</v>
      </c>
      <c r="R27" s="93" t="s">
        <v>33</v>
      </c>
      <c r="S27" s="93" t="s">
        <v>33</v>
      </c>
      <c r="T27" s="93" t="s">
        <v>33</v>
      </c>
      <c r="U27" s="93" t="s">
        <v>33</v>
      </c>
      <c r="V27" s="93" t="s">
        <v>33</v>
      </c>
      <c r="W27" s="94" t="s">
        <v>33</v>
      </c>
      <c r="X27" s="94" t="s">
        <v>33</v>
      </c>
      <c r="Y27" s="93" t="s">
        <v>33</v>
      </c>
      <c r="Z27" s="93" t="s">
        <v>33</v>
      </c>
      <c r="AA27" s="93" t="s">
        <v>33</v>
      </c>
      <c r="AB27" s="93" t="s">
        <v>33</v>
      </c>
      <c r="AC27" s="93" t="s">
        <v>33</v>
      </c>
      <c r="AD27" s="93" t="s">
        <v>33</v>
      </c>
      <c r="AE27" s="94" t="s">
        <v>33</v>
      </c>
      <c r="AF27" s="94" t="s">
        <v>33</v>
      </c>
      <c r="AG27" s="95">
        <f t="shared" si="6"/>
        <v>0</v>
      </c>
      <c r="AH27" s="97"/>
      <c r="AI27" s="97"/>
      <c r="AJ27" s="97"/>
      <c r="AK27" s="98" t="s">
        <v>51</v>
      </c>
      <c r="AL27" s="81"/>
      <c r="AM27" s="76" t="s">
        <v>33</v>
      </c>
      <c r="AN27" s="22">
        <v>0</v>
      </c>
      <c r="AO27" s="22">
        <v>0</v>
      </c>
      <c r="AP27" s="22">
        <v>0</v>
      </c>
      <c r="AQ27" s="22"/>
      <c r="AR27" s="22"/>
      <c r="AS27" s="22"/>
      <c r="AT27" s="158"/>
      <c r="AU27" s="29"/>
      <c r="AV27" s="29">
        <f>AQ27*$AO27</f>
        <v>0</v>
      </c>
      <c r="AW27" s="29">
        <f t="shared" si="8"/>
        <v>0</v>
      </c>
      <c r="AX27" s="29">
        <f t="shared" si="9"/>
        <v>0</v>
      </c>
      <c r="BB27">
        <f>AN27*0.8</f>
        <v>0</v>
      </c>
    </row>
    <row r="28" spans="1:54" ht="15.75" thickBot="1">
      <c r="A28" s="90">
        <v>45663</v>
      </c>
      <c r="B28" s="91">
        <v>1600</v>
      </c>
      <c r="C28" s="92"/>
      <c r="D28" s="91">
        <f>(SUM(粮草!A28:X28)+AG28*10*IF(AK28="是",$AZ$4,$AZ$3))</f>
        <v>136</v>
      </c>
      <c r="E28" s="105">
        <f>SUM($B$4:B28)+SUM($C$4:C28)-SUM($D$4:D28)</f>
        <v>7050</v>
      </c>
      <c r="F28" s="104">
        <f>SUM(经验!A28:X28)</f>
        <v>70</v>
      </c>
      <c r="G28" s="91">
        <f>SUM($F$4:F28)+SUM($H$4:H28)</f>
        <v>18990</v>
      </c>
      <c r="H28" s="91">
        <v>200</v>
      </c>
      <c r="I28" s="62" t="s">
        <v>36</v>
      </c>
      <c r="J28" s="109" t="s">
        <v>38</v>
      </c>
      <c r="K28" s="93" t="s">
        <v>33</v>
      </c>
      <c r="L28" s="93" t="s">
        <v>33</v>
      </c>
      <c r="M28" s="93" t="s">
        <v>33</v>
      </c>
      <c r="N28" s="93" t="s">
        <v>33</v>
      </c>
      <c r="O28" s="94" t="s">
        <v>33</v>
      </c>
      <c r="P28" s="94" t="s">
        <v>33</v>
      </c>
      <c r="Q28" s="111" t="s">
        <v>45</v>
      </c>
      <c r="R28" s="93" t="s">
        <v>33</v>
      </c>
      <c r="S28" s="93" t="s">
        <v>33</v>
      </c>
      <c r="T28" s="93" t="s">
        <v>33</v>
      </c>
      <c r="U28" s="93" t="s">
        <v>33</v>
      </c>
      <c r="V28" s="93" t="s">
        <v>33</v>
      </c>
      <c r="W28" s="94" t="s">
        <v>33</v>
      </c>
      <c r="X28" s="94" t="s">
        <v>33</v>
      </c>
      <c r="Y28" s="93" t="s">
        <v>33</v>
      </c>
      <c r="Z28" s="93" t="s">
        <v>33</v>
      </c>
      <c r="AA28" s="93" t="s">
        <v>33</v>
      </c>
      <c r="AB28" s="93" t="s">
        <v>33</v>
      </c>
      <c r="AC28" s="93" t="s">
        <v>33</v>
      </c>
      <c r="AD28" s="93" t="s">
        <v>33</v>
      </c>
      <c r="AE28" s="94" t="s">
        <v>33</v>
      </c>
      <c r="AF28" s="94" t="s">
        <v>33</v>
      </c>
      <c r="AG28" s="95">
        <f t="shared" si="6"/>
        <v>16</v>
      </c>
      <c r="AH28" s="97">
        <v>4</v>
      </c>
      <c r="AI28" s="97">
        <v>5</v>
      </c>
      <c r="AJ28" s="97">
        <v>7</v>
      </c>
      <c r="AK28" s="98" t="s">
        <v>51</v>
      </c>
      <c r="AL28" s="82"/>
      <c r="AM28" s="83" t="s">
        <v>68</v>
      </c>
      <c r="AN28" s="22">
        <v>0</v>
      </c>
      <c r="AO28" s="22">
        <v>0</v>
      </c>
      <c r="AP28" s="22"/>
      <c r="AQ28" s="22">
        <f>COUNTIF($I$4:$P$93,AM28)</f>
        <v>0</v>
      </c>
      <c r="AR28" s="22">
        <f>COUNTIF($Q$4:$X$93,AM28)</f>
        <v>0</v>
      </c>
      <c r="AS28" s="22">
        <f>COUNTIF($Y$4:$AF$93,AM28)</f>
        <v>0</v>
      </c>
      <c r="AT28" s="158">
        <f>AQ28+AR28+AS28</f>
        <v>0</v>
      </c>
      <c r="AU28" s="29">
        <v>0</v>
      </c>
      <c r="AV28" s="29">
        <f>AQ28*$AO28</f>
        <v>0</v>
      </c>
      <c r="AW28" s="29">
        <f t="shared" si="8"/>
        <v>0</v>
      </c>
      <c r="AX28" s="29">
        <f t="shared" si="9"/>
        <v>0</v>
      </c>
      <c r="BB28">
        <f>AN28*0.8</f>
        <v>0</v>
      </c>
    </row>
    <row r="29" spans="1:54">
      <c r="A29" s="90">
        <v>45664</v>
      </c>
      <c r="B29" s="91">
        <v>1600</v>
      </c>
      <c r="C29" s="92"/>
      <c r="D29" s="91">
        <f>(SUM(粮草!A29:X29)+AG29*10*IF(AK29="是",$AZ$4,$AZ$3))</f>
        <v>464</v>
      </c>
      <c r="E29" s="105">
        <f>SUM($B$4:B29)+SUM($C$4:C29)-SUM($D$4:D29)</f>
        <v>8186</v>
      </c>
      <c r="F29" s="104">
        <f>SUM(经验!A29:X29)</f>
        <v>180</v>
      </c>
      <c r="G29" s="91">
        <f>SUM($F$4:F29)+SUM($H$4:H29)</f>
        <v>19270</v>
      </c>
      <c r="H29" s="91">
        <v>100</v>
      </c>
      <c r="I29" s="109" t="s">
        <v>38</v>
      </c>
      <c r="J29" s="62" t="s">
        <v>36</v>
      </c>
      <c r="K29" s="62" t="s">
        <v>36</v>
      </c>
      <c r="L29" s="62" t="s">
        <v>36</v>
      </c>
      <c r="M29" s="109" t="s">
        <v>38</v>
      </c>
      <c r="N29" s="93" t="s">
        <v>33</v>
      </c>
      <c r="O29" s="94" t="s">
        <v>33</v>
      </c>
      <c r="P29" s="94" t="s">
        <v>33</v>
      </c>
      <c r="Q29" s="93" t="s">
        <v>33</v>
      </c>
      <c r="R29" s="93" t="s">
        <v>33</v>
      </c>
      <c r="S29" s="93" t="s">
        <v>33</v>
      </c>
      <c r="T29" s="93" t="s">
        <v>33</v>
      </c>
      <c r="U29" s="93" t="s">
        <v>33</v>
      </c>
      <c r="V29" s="93" t="s">
        <v>33</v>
      </c>
      <c r="W29" s="94" t="s">
        <v>33</v>
      </c>
      <c r="X29" s="94" t="s">
        <v>33</v>
      </c>
      <c r="Y29" s="93" t="s">
        <v>33</v>
      </c>
      <c r="Z29" s="93" t="s">
        <v>33</v>
      </c>
      <c r="AA29" s="93" t="s">
        <v>33</v>
      </c>
      <c r="AB29" s="93" t="s">
        <v>33</v>
      </c>
      <c r="AC29" s="93" t="s">
        <v>33</v>
      </c>
      <c r="AD29" s="93" t="s">
        <v>33</v>
      </c>
      <c r="AE29" s="94" t="s">
        <v>33</v>
      </c>
      <c r="AF29" s="94" t="s">
        <v>33</v>
      </c>
      <c r="AG29" s="95">
        <f t="shared" si="6"/>
        <v>0</v>
      </c>
      <c r="AH29" s="97"/>
      <c r="AI29" s="97"/>
      <c r="AJ29" s="97"/>
      <c r="AK29" s="98" t="s">
        <v>51</v>
      </c>
      <c r="AM29" s="49" t="s">
        <v>61</v>
      </c>
      <c r="AN29" s="22">
        <v>50</v>
      </c>
      <c r="AO29" s="22">
        <v>520</v>
      </c>
      <c r="AP29" s="22"/>
      <c r="AQ29" s="22">
        <f>COUNTIF($I$4:$P$93,AM29)</f>
        <v>1</v>
      </c>
      <c r="AR29" s="22">
        <f>COUNTIF($Q$4:$X$93,AM29)</f>
        <v>1</v>
      </c>
      <c r="AS29" s="22">
        <f>COUNTIF($Y$4:$AF$93,AM29)</f>
        <v>1</v>
      </c>
      <c r="AT29" s="158">
        <f>AQ29+AR29+AS29</f>
        <v>3</v>
      </c>
      <c r="AU29" s="29">
        <v>1</v>
      </c>
      <c r="AV29" s="29">
        <f>AQ29*$AO29</f>
        <v>520</v>
      </c>
      <c r="AW29" s="29">
        <f>AR29*$AO29</f>
        <v>520</v>
      </c>
      <c r="AX29" s="29">
        <f>AS29*$AO29</f>
        <v>520</v>
      </c>
      <c r="BB29">
        <f>AN29*0.8</f>
        <v>40</v>
      </c>
    </row>
    <row r="30" spans="1:54">
      <c r="A30" s="90">
        <v>45665</v>
      </c>
      <c r="B30" s="91">
        <v>1600</v>
      </c>
      <c r="C30" s="92"/>
      <c r="D30" s="91">
        <f>(SUM(粮草!A30:X30)+AG30*10*IF(AK30="是",$AZ$4,$AZ$3))</f>
        <v>416</v>
      </c>
      <c r="E30" s="105">
        <f>SUM($B$4:B30)+SUM($C$4:C30)-SUM($D$4:D30)</f>
        <v>9370</v>
      </c>
      <c r="F30" s="104">
        <f>SUM(经验!A30:X30)</f>
        <v>150</v>
      </c>
      <c r="G30" s="91">
        <f>SUM($F$4:F30)+SUM($H$4:H30)</f>
        <v>19620</v>
      </c>
      <c r="H30" s="91">
        <v>200</v>
      </c>
      <c r="I30" s="67" t="s">
        <v>40</v>
      </c>
      <c r="J30" s="62" t="s">
        <v>36</v>
      </c>
      <c r="K30" s="62" t="s">
        <v>36</v>
      </c>
      <c r="L30" s="109" t="s">
        <v>38</v>
      </c>
      <c r="M30" s="93" t="s">
        <v>33</v>
      </c>
      <c r="N30" s="93" t="s">
        <v>33</v>
      </c>
      <c r="O30" s="94" t="s">
        <v>33</v>
      </c>
      <c r="P30" s="94" t="s">
        <v>33</v>
      </c>
      <c r="Q30" s="93" t="s">
        <v>33</v>
      </c>
      <c r="R30" s="93" t="s">
        <v>33</v>
      </c>
      <c r="S30" s="93" t="s">
        <v>33</v>
      </c>
      <c r="T30" s="93" t="s">
        <v>33</v>
      </c>
      <c r="U30" s="93" t="s">
        <v>33</v>
      </c>
      <c r="V30" s="93" t="s">
        <v>33</v>
      </c>
      <c r="W30" s="94" t="s">
        <v>33</v>
      </c>
      <c r="X30" s="94" t="s">
        <v>33</v>
      </c>
      <c r="Y30" s="93" t="s">
        <v>33</v>
      </c>
      <c r="Z30" s="93" t="s">
        <v>33</v>
      </c>
      <c r="AA30" s="93" t="s">
        <v>33</v>
      </c>
      <c r="AB30" s="93" t="s">
        <v>33</v>
      </c>
      <c r="AC30" s="93" t="s">
        <v>33</v>
      </c>
      <c r="AD30" s="93" t="s">
        <v>33</v>
      </c>
      <c r="AE30" s="94" t="s">
        <v>33</v>
      </c>
      <c r="AF30" s="94" t="s">
        <v>33</v>
      </c>
      <c r="AG30" s="95">
        <f t="shared" si="6"/>
        <v>0</v>
      </c>
      <c r="AH30" s="97"/>
      <c r="AI30" s="97"/>
      <c r="AJ30" s="97"/>
      <c r="AK30" s="98" t="s">
        <v>51</v>
      </c>
      <c r="AM30" s="22"/>
      <c r="AN30" s="22"/>
      <c r="AO30" s="22"/>
      <c r="AP30" s="29"/>
    </row>
    <row r="31" spans="1:54">
      <c r="A31" s="90">
        <v>45666</v>
      </c>
      <c r="B31" s="91">
        <v>1600</v>
      </c>
      <c r="C31" s="92"/>
      <c r="D31" s="91">
        <f>(SUM(粮草!A31:X31)+AG31*10*IF(AK31="是",$AZ$4,$AZ$3))</f>
        <v>0</v>
      </c>
      <c r="E31" s="105">
        <f>SUM($B$4:B31)+SUM($C$4:C31)-SUM($D$4:D31)</f>
        <v>10970</v>
      </c>
      <c r="F31" s="104">
        <f>SUM(经验!A31:X31)</f>
        <v>0</v>
      </c>
      <c r="G31" s="91">
        <f>SUM($F$4:F31)+SUM($H$4:H31)</f>
        <v>19620</v>
      </c>
      <c r="H31" s="91">
        <v>0</v>
      </c>
      <c r="I31" s="93" t="s">
        <v>33</v>
      </c>
      <c r="J31" s="93" t="s">
        <v>33</v>
      </c>
      <c r="K31" s="93" t="s">
        <v>33</v>
      </c>
      <c r="L31" s="93" t="s">
        <v>33</v>
      </c>
      <c r="M31" s="93" t="s">
        <v>33</v>
      </c>
      <c r="N31" s="93" t="s">
        <v>33</v>
      </c>
      <c r="O31" s="94" t="s">
        <v>33</v>
      </c>
      <c r="P31" s="94" t="s">
        <v>33</v>
      </c>
      <c r="Q31" s="93" t="s">
        <v>33</v>
      </c>
      <c r="R31" s="93" t="s">
        <v>33</v>
      </c>
      <c r="S31" s="93" t="s">
        <v>33</v>
      </c>
      <c r="T31" s="93" t="s">
        <v>33</v>
      </c>
      <c r="U31" s="93" t="s">
        <v>33</v>
      </c>
      <c r="V31" s="93" t="s">
        <v>33</v>
      </c>
      <c r="W31" s="94" t="s">
        <v>33</v>
      </c>
      <c r="X31" s="94" t="s">
        <v>33</v>
      </c>
      <c r="Y31" s="93" t="s">
        <v>33</v>
      </c>
      <c r="Z31" s="93" t="s">
        <v>33</v>
      </c>
      <c r="AA31" s="93" t="s">
        <v>33</v>
      </c>
      <c r="AB31" s="93" t="s">
        <v>33</v>
      </c>
      <c r="AC31" s="93" t="s">
        <v>33</v>
      </c>
      <c r="AD31" s="93" t="s">
        <v>33</v>
      </c>
      <c r="AE31" s="94" t="s">
        <v>33</v>
      </c>
      <c r="AF31" s="94" t="s">
        <v>33</v>
      </c>
      <c r="AG31" s="95">
        <f t="shared" si="6"/>
        <v>0</v>
      </c>
      <c r="AH31" s="97"/>
      <c r="AI31" s="97"/>
      <c r="AJ31" s="97"/>
      <c r="AK31" s="98" t="s">
        <v>51</v>
      </c>
      <c r="AM31" s="22"/>
      <c r="AN31" s="22"/>
      <c r="AO31" s="22"/>
      <c r="AP31" s="29"/>
    </row>
    <row r="32" spans="1:54">
      <c r="A32" s="90">
        <v>45667</v>
      </c>
      <c r="B32" s="91">
        <v>1600</v>
      </c>
      <c r="C32" s="92"/>
      <c r="D32" s="91">
        <f>(SUM(粮草!A32:X32)+AG32*10*IF(AK32="是",$AZ$4,$AZ$3))</f>
        <v>2648</v>
      </c>
      <c r="E32" s="105">
        <f>SUM($B$4:B32)+SUM($C$4:C32)-SUM($D$4:D32)</f>
        <v>9922</v>
      </c>
      <c r="F32" s="104">
        <f>SUM(经验!A32:X32)</f>
        <v>935</v>
      </c>
      <c r="G32" s="91">
        <f>SUM($F$4:F32)+SUM($H$4:H32)</f>
        <v>20555</v>
      </c>
      <c r="H32" s="91">
        <v>0</v>
      </c>
      <c r="I32" s="63" t="s">
        <v>39</v>
      </c>
      <c r="J32" s="63" t="s">
        <v>39</v>
      </c>
      <c r="K32" s="63" t="s">
        <v>39</v>
      </c>
      <c r="L32" s="63" t="s">
        <v>39</v>
      </c>
      <c r="M32" s="63" t="s">
        <v>39</v>
      </c>
      <c r="N32" s="63" t="s">
        <v>39</v>
      </c>
      <c r="O32" s="63" t="s">
        <v>39</v>
      </c>
      <c r="P32" s="94" t="s">
        <v>33</v>
      </c>
      <c r="Q32" s="65" t="s">
        <v>42</v>
      </c>
      <c r="R32" s="65" t="s">
        <v>42</v>
      </c>
      <c r="S32" s="65" t="s">
        <v>42</v>
      </c>
      <c r="T32" s="65" t="s">
        <v>42</v>
      </c>
      <c r="U32" s="65" t="s">
        <v>42</v>
      </c>
      <c r="V32" s="65" t="s">
        <v>42</v>
      </c>
      <c r="W32" s="65" t="s">
        <v>42</v>
      </c>
      <c r="X32" s="65" t="s">
        <v>42</v>
      </c>
      <c r="Y32" s="68" t="s">
        <v>46</v>
      </c>
      <c r="Z32" s="68" t="s">
        <v>46</v>
      </c>
      <c r="AA32" s="68" t="s">
        <v>46</v>
      </c>
      <c r="AB32" s="68" t="s">
        <v>46</v>
      </c>
      <c r="AC32" s="93" t="s">
        <v>33</v>
      </c>
      <c r="AD32" s="93" t="s">
        <v>33</v>
      </c>
      <c r="AE32" s="94" t="s">
        <v>33</v>
      </c>
      <c r="AF32" s="94" t="s">
        <v>33</v>
      </c>
      <c r="AG32" s="95">
        <f t="shared" si="6"/>
        <v>0</v>
      </c>
      <c r="AH32" s="97"/>
      <c r="AI32" s="97"/>
      <c r="AJ32" s="97"/>
      <c r="AK32" s="98" t="s">
        <v>51</v>
      </c>
      <c r="AM32" s="22" t="s">
        <v>72</v>
      </c>
      <c r="AN32" s="22" t="s">
        <v>75</v>
      </c>
      <c r="AO32" s="22" t="s">
        <v>74</v>
      </c>
      <c r="AP32" s="30" t="s">
        <v>22</v>
      </c>
      <c r="AQ32" s="154" t="s">
        <v>76</v>
      </c>
    </row>
    <row r="33" spans="1:43">
      <c r="A33" s="90">
        <v>45668</v>
      </c>
      <c r="B33" s="91">
        <v>1600</v>
      </c>
      <c r="C33" s="92"/>
      <c r="D33" s="91">
        <f>(SUM(粮草!A33:X33)+AG33*10*IF(AK33="是",$AZ$4,$AZ$3))</f>
        <v>2408</v>
      </c>
      <c r="E33" s="105">
        <f>SUM($B$4:B33)+SUM($C$4:C33)-SUM($D$4:D33)</f>
        <v>9114</v>
      </c>
      <c r="F33" s="104">
        <f>SUM(经验!A33:X33)</f>
        <v>855</v>
      </c>
      <c r="G33" s="91">
        <f>SUM($F$4:F33)+SUM($H$4:H33)</f>
        <v>21410</v>
      </c>
      <c r="H33" s="91">
        <v>0</v>
      </c>
      <c r="I33" s="63" t="s">
        <v>39</v>
      </c>
      <c r="J33" s="63" t="s">
        <v>39</v>
      </c>
      <c r="K33" s="63" t="s">
        <v>39</v>
      </c>
      <c r="L33" s="63" t="s">
        <v>39</v>
      </c>
      <c r="M33" s="63" t="s">
        <v>39</v>
      </c>
      <c r="N33" s="63" t="s">
        <v>39</v>
      </c>
      <c r="O33" s="63" t="s">
        <v>39</v>
      </c>
      <c r="P33" s="94" t="s">
        <v>33</v>
      </c>
      <c r="Q33" s="65" t="s">
        <v>42</v>
      </c>
      <c r="R33" s="65" t="s">
        <v>42</v>
      </c>
      <c r="S33" s="65" t="s">
        <v>42</v>
      </c>
      <c r="T33" s="65" t="s">
        <v>42</v>
      </c>
      <c r="U33" s="65" t="s">
        <v>42</v>
      </c>
      <c r="V33" s="65" t="s">
        <v>42</v>
      </c>
      <c r="W33" s="65" t="s">
        <v>42</v>
      </c>
      <c r="X33" s="65" t="s">
        <v>42</v>
      </c>
      <c r="Y33" s="69" t="s">
        <v>47</v>
      </c>
      <c r="Z33" s="69" t="s">
        <v>47</v>
      </c>
      <c r="AA33" s="93" t="s">
        <v>33</v>
      </c>
      <c r="AB33" s="93" t="s">
        <v>33</v>
      </c>
      <c r="AC33" s="93" t="s">
        <v>33</v>
      </c>
      <c r="AD33" s="93" t="s">
        <v>33</v>
      </c>
      <c r="AE33" s="94" t="s">
        <v>33</v>
      </c>
      <c r="AF33" s="94" t="s">
        <v>33</v>
      </c>
      <c r="AG33" s="95">
        <f t="shared" si="6"/>
        <v>0</v>
      </c>
      <c r="AH33" s="97"/>
      <c r="AI33" s="97"/>
      <c r="AJ33" s="97"/>
      <c r="AK33" s="98" t="s">
        <v>51</v>
      </c>
      <c r="AM33" s="63" t="s">
        <v>39</v>
      </c>
      <c r="AN33" s="22">
        <v>205</v>
      </c>
      <c r="AO33" s="22">
        <f>AN33-AT6</f>
        <v>0</v>
      </c>
      <c r="AP33" s="29">
        <f>AO33*AN6*0.8</f>
        <v>0</v>
      </c>
      <c r="AQ33" s="29">
        <f>AO33*AO6</f>
        <v>0</v>
      </c>
    </row>
    <row r="34" spans="1:43">
      <c r="A34" s="90">
        <v>45669</v>
      </c>
      <c r="B34" s="91">
        <v>1600</v>
      </c>
      <c r="C34" s="92"/>
      <c r="D34" s="91">
        <f>(SUM(粮草!A34:X34)+AG34*10*IF(AK34="是",$AZ$4,$AZ$3))</f>
        <v>2528</v>
      </c>
      <c r="E34" s="105">
        <f>SUM($B$4:B34)+SUM($C$4:C34)-SUM($D$4:D34)</f>
        <v>8186</v>
      </c>
      <c r="F34" s="104">
        <f>SUM(经验!A34:X34)</f>
        <v>920</v>
      </c>
      <c r="G34" s="91">
        <f>SUM($F$4:F34)+SUM($H$4:H34)</f>
        <v>22330</v>
      </c>
      <c r="H34" s="91">
        <v>0</v>
      </c>
      <c r="I34" s="63" t="s">
        <v>39</v>
      </c>
      <c r="J34" s="63" t="s">
        <v>39</v>
      </c>
      <c r="K34" s="63" t="s">
        <v>39</v>
      </c>
      <c r="L34" s="63" t="s">
        <v>39</v>
      </c>
      <c r="M34" s="63" t="s">
        <v>39</v>
      </c>
      <c r="N34" s="63" t="s">
        <v>39</v>
      </c>
      <c r="O34" s="63" t="s">
        <v>39</v>
      </c>
      <c r="P34" s="94" t="s">
        <v>33</v>
      </c>
      <c r="Q34" s="65" t="s">
        <v>42</v>
      </c>
      <c r="R34" s="65" t="s">
        <v>42</v>
      </c>
      <c r="S34" s="65" t="s">
        <v>42</v>
      </c>
      <c r="T34" s="65" t="s">
        <v>42</v>
      </c>
      <c r="U34" s="65" t="s">
        <v>42</v>
      </c>
      <c r="V34" s="65" t="s">
        <v>42</v>
      </c>
      <c r="W34" s="65" t="s">
        <v>42</v>
      </c>
      <c r="X34" s="65" t="s">
        <v>42</v>
      </c>
      <c r="Y34" s="84" t="s">
        <v>48</v>
      </c>
      <c r="Z34" s="84" t="s">
        <v>48</v>
      </c>
      <c r="AA34" s="84" t="s">
        <v>48</v>
      </c>
      <c r="AB34" s="93" t="s">
        <v>33</v>
      </c>
      <c r="AC34" s="93" t="s">
        <v>33</v>
      </c>
      <c r="AD34" s="93" t="s">
        <v>33</v>
      </c>
      <c r="AE34" s="94" t="s">
        <v>33</v>
      </c>
      <c r="AF34" s="94" t="s">
        <v>33</v>
      </c>
      <c r="AG34" s="95">
        <f t="shared" si="6"/>
        <v>0</v>
      </c>
      <c r="AH34" s="97"/>
      <c r="AI34" s="97"/>
      <c r="AJ34" s="97"/>
      <c r="AK34" s="98" t="s">
        <v>51</v>
      </c>
      <c r="AM34" s="64" t="s">
        <v>41</v>
      </c>
      <c r="AN34" s="22">
        <v>276</v>
      </c>
      <c r="AO34" s="22">
        <f>AN34-AT7</f>
        <v>0</v>
      </c>
      <c r="AP34" s="29">
        <f>AO34*AN7*0.8</f>
        <v>0</v>
      </c>
      <c r="AQ34" s="29">
        <f>AO34*AO7</f>
        <v>0</v>
      </c>
    </row>
    <row r="35" spans="1:43">
      <c r="A35" s="90">
        <v>45670</v>
      </c>
      <c r="B35" s="93">
        <v>1600</v>
      </c>
      <c r="C35" s="93"/>
      <c r="D35" s="91">
        <f>(SUM(粮草!A35:X35)+AG35*10*IF(AK35="是",$AZ$4,$AZ$3))</f>
        <v>2288</v>
      </c>
      <c r="E35" s="105">
        <f>SUM($B$4:B35)+SUM($C$4:C35)-SUM($D$4:D35)</f>
        <v>7498</v>
      </c>
      <c r="F35" s="104">
        <f>SUM(经验!A35:X35)</f>
        <v>815</v>
      </c>
      <c r="G35" s="91">
        <f>SUM($F$4:F35)+SUM($H$4:H35)</f>
        <v>23345</v>
      </c>
      <c r="H35" s="93">
        <v>200</v>
      </c>
      <c r="I35" s="63" t="s">
        <v>39</v>
      </c>
      <c r="J35" s="63" t="s">
        <v>39</v>
      </c>
      <c r="K35" s="63" t="s">
        <v>39</v>
      </c>
      <c r="L35" s="63" t="s">
        <v>39</v>
      </c>
      <c r="M35" s="63" t="s">
        <v>39</v>
      </c>
      <c r="N35" s="63" t="s">
        <v>39</v>
      </c>
      <c r="O35" s="63" t="s">
        <v>39</v>
      </c>
      <c r="P35" s="94" t="s">
        <v>33</v>
      </c>
      <c r="Q35" s="65" t="s">
        <v>42</v>
      </c>
      <c r="R35" s="65" t="s">
        <v>42</v>
      </c>
      <c r="S35" s="65" t="s">
        <v>42</v>
      </c>
      <c r="T35" s="65" t="s">
        <v>42</v>
      </c>
      <c r="U35" s="65" t="s">
        <v>42</v>
      </c>
      <c r="V35" s="65" t="s">
        <v>42</v>
      </c>
      <c r="W35" s="65" t="s">
        <v>42</v>
      </c>
      <c r="X35" s="65" t="s">
        <v>42</v>
      </c>
      <c r="Y35" s="85" t="s">
        <v>49</v>
      </c>
      <c r="Z35" s="93" t="s">
        <v>33</v>
      </c>
      <c r="AA35" s="93" t="s">
        <v>33</v>
      </c>
      <c r="AB35" s="93" t="s">
        <v>33</v>
      </c>
      <c r="AC35" s="93" t="s">
        <v>33</v>
      </c>
      <c r="AD35" s="93" t="s">
        <v>33</v>
      </c>
      <c r="AE35" s="94" t="s">
        <v>33</v>
      </c>
      <c r="AF35" s="94" t="s">
        <v>33</v>
      </c>
      <c r="AG35" s="95">
        <f t="shared" si="6"/>
        <v>0</v>
      </c>
      <c r="AH35" s="97"/>
      <c r="AI35" s="97"/>
      <c r="AJ35" s="97"/>
      <c r="AK35" s="98" t="s">
        <v>51</v>
      </c>
      <c r="AM35" s="65" t="s">
        <v>42</v>
      </c>
      <c r="AN35" s="22">
        <v>234</v>
      </c>
      <c r="AO35" s="22">
        <f>AN35-AT8</f>
        <v>0</v>
      </c>
      <c r="AP35" s="29">
        <f>AO35*AN8*0.8</f>
        <v>0</v>
      </c>
      <c r="AQ35" s="29">
        <f t="shared" ref="AQ35:AQ42" si="10">AO35*AO8</f>
        <v>0</v>
      </c>
    </row>
    <row r="36" spans="1:43">
      <c r="A36" s="90">
        <v>45671</v>
      </c>
      <c r="B36" s="93">
        <v>1600</v>
      </c>
      <c r="C36" s="93"/>
      <c r="D36" s="91">
        <f>(SUM(粮草!A36:X36)+AG36*10*IF(AK36="是",$AZ$4,$AZ$3))</f>
        <v>2568</v>
      </c>
      <c r="E36" s="105">
        <f>SUM($B$4:B36)+SUM($C$4:C36)-SUM($D$4:D36)</f>
        <v>6530</v>
      </c>
      <c r="F36" s="104">
        <f>SUM(经验!A36:X36)</f>
        <v>1755</v>
      </c>
      <c r="G36" s="91">
        <f>SUM($F$4:F36)+SUM($H$4:H36)</f>
        <v>25200</v>
      </c>
      <c r="H36" s="93">
        <v>100</v>
      </c>
      <c r="I36" s="63" t="s">
        <v>39</v>
      </c>
      <c r="J36" s="63" t="s">
        <v>39</v>
      </c>
      <c r="K36" s="63" t="s">
        <v>39</v>
      </c>
      <c r="L36" s="63" t="s">
        <v>39</v>
      </c>
      <c r="M36" s="63" t="s">
        <v>39</v>
      </c>
      <c r="N36" s="63" t="s">
        <v>39</v>
      </c>
      <c r="O36" s="63" t="s">
        <v>39</v>
      </c>
      <c r="P36" s="94" t="s">
        <v>33</v>
      </c>
      <c r="Q36" s="65" t="s">
        <v>42</v>
      </c>
      <c r="R36" s="65" t="s">
        <v>42</v>
      </c>
      <c r="S36" s="65" t="s">
        <v>42</v>
      </c>
      <c r="T36" s="65" t="s">
        <v>42</v>
      </c>
      <c r="U36" s="65" t="s">
        <v>42</v>
      </c>
      <c r="V36" s="65" t="s">
        <v>42</v>
      </c>
      <c r="W36" s="65" t="s">
        <v>42</v>
      </c>
      <c r="X36" s="65" t="s">
        <v>42</v>
      </c>
      <c r="Y36" s="74" t="s">
        <v>53</v>
      </c>
      <c r="Z36" s="74" t="s">
        <v>53</v>
      </c>
      <c r="AA36" s="93" t="s">
        <v>33</v>
      </c>
      <c r="AB36" s="93" t="s">
        <v>33</v>
      </c>
      <c r="AC36" s="93" t="s">
        <v>33</v>
      </c>
      <c r="AD36" s="93" t="s">
        <v>33</v>
      </c>
      <c r="AE36" s="94" t="s">
        <v>33</v>
      </c>
      <c r="AF36" s="94" t="s">
        <v>33</v>
      </c>
      <c r="AG36" s="95">
        <f t="shared" si="6"/>
        <v>0</v>
      </c>
      <c r="AH36" s="97"/>
      <c r="AI36" s="97"/>
      <c r="AJ36" s="97"/>
      <c r="AK36" s="98" t="s">
        <v>51</v>
      </c>
      <c r="AM36" s="66" t="s">
        <v>43</v>
      </c>
      <c r="AN36" s="22">
        <v>191</v>
      </c>
      <c r="AO36" s="22">
        <f>AN36-AT9</f>
        <v>0</v>
      </c>
      <c r="AP36" s="29">
        <f>AO36*AN9*0.8</f>
        <v>0</v>
      </c>
      <c r="AQ36" s="29">
        <f t="shared" si="10"/>
        <v>0</v>
      </c>
    </row>
    <row r="37" spans="1:43">
      <c r="A37" s="90">
        <v>45672</v>
      </c>
      <c r="B37" s="93">
        <v>1600</v>
      </c>
      <c r="C37" s="93"/>
      <c r="D37" s="91">
        <f>(SUM(粮草!A37:X37)+AG37*10*IF(AK37="是",$AZ$4,$AZ$3))</f>
        <v>2208</v>
      </c>
      <c r="E37" s="105">
        <f>SUM($B$4:B37)+SUM($C$4:C37)-SUM($D$4:D37)</f>
        <v>5922</v>
      </c>
      <c r="F37" s="104">
        <f>SUM(经验!A37:X37)</f>
        <v>1275</v>
      </c>
      <c r="G37" s="91">
        <f>SUM($F$4:F37)+SUM($H$4:H37)</f>
        <v>26675</v>
      </c>
      <c r="H37" s="93">
        <v>200</v>
      </c>
      <c r="I37" s="63" t="s">
        <v>39</v>
      </c>
      <c r="J37" s="63" t="s">
        <v>39</v>
      </c>
      <c r="K37" s="63" t="s">
        <v>39</v>
      </c>
      <c r="L37" s="63" t="s">
        <v>39</v>
      </c>
      <c r="M37" s="63" t="s">
        <v>39</v>
      </c>
      <c r="N37" s="63" t="s">
        <v>39</v>
      </c>
      <c r="O37" s="63" t="s">
        <v>39</v>
      </c>
      <c r="P37" s="94" t="s">
        <v>33</v>
      </c>
      <c r="Q37" s="65" t="s">
        <v>42</v>
      </c>
      <c r="R37" s="65" t="s">
        <v>42</v>
      </c>
      <c r="S37" s="65" t="s">
        <v>42</v>
      </c>
      <c r="T37" s="65" t="s">
        <v>42</v>
      </c>
      <c r="U37" s="65" t="s">
        <v>42</v>
      </c>
      <c r="V37" s="65" t="s">
        <v>42</v>
      </c>
      <c r="W37" s="65" t="s">
        <v>42</v>
      </c>
      <c r="X37" s="65" t="s">
        <v>42</v>
      </c>
      <c r="Y37" s="49" t="s">
        <v>61</v>
      </c>
      <c r="Z37" s="93" t="s">
        <v>33</v>
      </c>
      <c r="AA37" s="93" t="s">
        <v>33</v>
      </c>
      <c r="AB37" s="93" t="s">
        <v>33</v>
      </c>
      <c r="AC37" s="93" t="s">
        <v>33</v>
      </c>
      <c r="AD37" s="93" t="s">
        <v>33</v>
      </c>
      <c r="AE37" s="94" t="s">
        <v>33</v>
      </c>
      <c r="AF37" s="94" t="s">
        <v>33</v>
      </c>
      <c r="AG37" s="95">
        <f t="shared" si="6"/>
        <v>0</v>
      </c>
      <c r="AH37" s="97"/>
      <c r="AI37" s="97"/>
      <c r="AJ37" s="97"/>
      <c r="AK37" s="98" t="s">
        <v>51</v>
      </c>
      <c r="AM37" s="71" t="s">
        <v>38</v>
      </c>
      <c r="AN37" s="22">
        <v>39</v>
      </c>
      <c r="AO37" s="22">
        <f>AN37-AT17</f>
        <v>0</v>
      </c>
      <c r="AP37" s="29">
        <f>AO37*AN17*0.8</f>
        <v>0</v>
      </c>
      <c r="AQ37" s="29">
        <f>AO37*AO17</f>
        <v>0</v>
      </c>
    </row>
    <row r="38" spans="1:43">
      <c r="A38" s="90">
        <v>45673</v>
      </c>
      <c r="B38" s="93">
        <v>1600</v>
      </c>
      <c r="C38" s="93"/>
      <c r="D38" s="91">
        <f>(SUM(粮草!A38:X38)+AG38*10*IF(AK38="是",$AZ$4,$AZ$3))</f>
        <v>2168</v>
      </c>
      <c r="E38" s="105">
        <f>SUM($B$4:B38)+SUM($C$4:C38)-SUM($D$4:D38)</f>
        <v>5354</v>
      </c>
      <c r="F38" s="104">
        <f>SUM(经验!A38:X38)</f>
        <v>755</v>
      </c>
      <c r="G38" s="91">
        <f>SUM($F$4:F38)+SUM($H$4:H38)</f>
        <v>27430</v>
      </c>
      <c r="H38" s="93">
        <v>0</v>
      </c>
      <c r="I38" s="63" t="s">
        <v>39</v>
      </c>
      <c r="J38" s="63" t="s">
        <v>39</v>
      </c>
      <c r="K38" s="63" t="s">
        <v>39</v>
      </c>
      <c r="L38" s="63" t="s">
        <v>39</v>
      </c>
      <c r="M38" s="63" t="s">
        <v>39</v>
      </c>
      <c r="N38" s="63" t="s">
        <v>39</v>
      </c>
      <c r="O38" s="63" t="s">
        <v>39</v>
      </c>
      <c r="P38" s="94" t="s">
        <v>33</v>
      </c>
      <c r="Q38" s="65" t="s">
        <v>42</v>
      </c>
      <c r="R38" s="65" t="s">
        <v>42</v>
      </c>
      <c r="S38" s="65" t="s">
        <v>42</v>
      </c>
      <c r="T38" s="65" t="s">
        <v>42</v>
      </c>
      <c r="U38" s="65" t="s">
        <v>42</v>
      </c>
      <c r="V38" s="65" t="s">
        <v>42</v>
      </c>
      <c r="W38" s="65" t="s">
        <v>42</v>
      </c>
      <c r="X38" s="65" t="s">
        <v>42</v>
      </c>
      <c r="Y38" s="93" t="s">
        <v>33</v>
      </c>
      <c r="Z38" s="93" t="s">
        <v>33</v>
      </c>
      <c r="AA38" s="93" t="s">
        <v>33</v>
      </c>
      <c r="AB38" s="93" t="s">
        <v>33</v>
      </c>
      <c r="AC38" s="93" t="s">
        <v>33</v>
      </c>
      <c r="AD38" s="93" t="s">
        <v>33</v>
      </c>
      <c r="AE38" s="94" t="s">
        <v>33</v>
      </c>
      <c r="AF38" s="94" t="s">
        <v>33</v>
      </c>
      <c r="AG38" s="95">
        <f t="shared" si="6"/>
        <v>0</v>
      </c>
      <c r="AH38" s="97"/>
      <c r="AI38" s="97"/>
      <c r="AJ38" s="97"/>
      <c r="AK38" s="98" t="s">
        <v>51</v>
      </c>
      <c r="AM38" s="67" t="s">
        <v>40</v>
      </c>
      <c r="AN38" s="22">
        <v>4</v>
      </c>
      <c r="AO38" s="22">
        <f>AN38-AT11</f>
        <v>0</v>
      </c>
      <c r="AP38" s="29">
        <f>AO38*AN11*0.8</f>
        <v>0</v>
      </c>
      <c r="AQ38" s="29">
        <f>AO38*AO11</f>
        <v>0</v>
      </c>
    </row>
    <row r="39" spans="1:43">
      <c r="A39" s="99">
        <v>45674</v>
      </c>
      <c r="B39" s="93">
        <v>1600</v>
      </c>
      <c r="C39" s="93"/>
      <c r="D39" s="91">
        <f>(SUM(粮草!A39:X39)+AG39*10*IF(AK39="是",$AZ$4,$AZ$3))</f>
        <v>2168</v>
      </c>
      <c r="E39" s="105">
        <f>SUM($B$4:B39)+SUM($C$4:C39)-SUM($D$4:D39)</f>
        <v>4786</v>
      </c>
      <c r="F39" s="104">
        <f>SUM(经验!A39:X39)</f>
        <v>755</v>
      </c>
      <c r="G39" s="91">
        <f>SUM($F$4:F39)+SUM($H$4:H39)</f>
        <v>28185</v>
      </c>
      <c r="H39" s="93">
        <v>0</v>
      </c>
      <c r="I39" s="63" t="s">
        <v>39</v>
      </c>
      <c r="J39" s="63" t="s">
        <v>39</v>
      </c>
      <c r="K39" s="63" t="s">
        <v>39</v>
      </c>
      <c r="L39" s="63" t="s">
        <v>39</v>
      </c>
      <c r="M39" s="63" t="s">
        <v>39</v>
      </c>
      <c r="N39" s="63" t="s">
        <v>39</v>
      </c>
      <c r="O39" s="63" t="s">
        <v>39</v>
      </c>
      <c r="P39" s="94" t="s">
        <v>33</v>
      </c>
      <c r="Q39" s="65" t="s">
        <v>42</v>
      </c>
      <c r="R39" s="65" t="s">
        <v>42</v>
      </c>
      <c r="S39" s="65" t="s">
        <v>42</v>
      </c>
      <c r="T39" s="65" t="s">
        <v>42</v>
      </c>
      <c r="U39" s="65" t="s">
        <v>42</v>
      </c>
      <c r="V39" s="65" t="s">
        <v>42</v>
      </c>
      <c r="W39" s="65" t="s">
        <v>42</v>
      </c>
      <c r="X39" s="65" t="s">
        <v>42</v>
      </c>
      <c r="Y39" s="93" t="s">
        <v>33</v>
      </c>
      <c r="Z39" s="93" t="s">
        <v>33</v>
      </c>
      <c r="AA39" s="93" t="s">
        <v>33</v>
      </c>
      <c r="AB39" s="93" t="s">
        <v>33</v>
      </c>
      <c r="AC39" s="93" t="s">
        <v>33</v>
      </c>
      <c r="AD39" s="93" t="s">
        <v>33</v>
      </c>
      <c r="AE39" s="94" t="s">
        <v>33</v>
      </c>
      <c r="AF39" s="94" t="s">
        <v>33</v>
      </c>
      <c r="AG39" s="95">
        <f t="shared" si="6"/>
        <v>0</v>
      </c>
      <c r="AH39" s="97"/>
      <c r="AI39" s="97"/>
      <c r="AJ39" s="97"/>
      <c r="AK39" s="98" t="s">
        <v>51</v>
      </c>
      <c r="AM39" s="68" t="s">
        <v>46</v>
      </c>
      <c r="AN39" s="87">
        <v>6</v>
      </c>
      <c r="AO39" s="22">
        <f>AN39-AT12</f>
        <v>0</v>
      </c>
      <c r="AP39" s="29">
        <f>AO39*AN12*0.8</f>
        <v>0</v>
      </c>
      <c r="AQ39" s="29">
        <f t="shared" si="10"/>
        <v>0</v>
      </c>
    </row>
    <row r="40" spans="1:43">
      <c r="A40" s="99">
        <v>45675</v>
      </c>
      <c r="B40" s="93">
        <v>1600</v>
      </c>
      <c r="C40" s="93"/>
      <c r="D40" s="91">
        <f>(SUM(粮草!A40:X40)+AG40*10*IF(AK40="是",$AZ$4,$AZ$3))</f>
        <v>2168</v>
      </c>
      <c r="E40" s="105">
        <f>SUM($B$4:B40)+SUM($C$4:C40)-SUM($D$4:D40)</f>
        <v>4218</v>
      </c>
      <c r="F40" s="104">
        <f>SUM(经验!A40:X40)</f>
        <v>755</v>
      </c>
      <c r="G40" s="91">
        <f>SUM($F$4:F40)+SUM($H$4:H40)</f>
        <v>28940</v>
      </c>
      <c r="H40" s="93">
        <v>0</v>
      </c>
      <c r="I40" s="63" t="s">
        <v>39</v>
      </c>
      <c r="J40" s="63" t="s">
        <v>39</v>
      </c>
      <c r="K40" s="63" t="s">
        <v>39</v>
      </c>
      <c r="L40" s="63" t="s">
        <v>39</v>
      </c>
      <c r="M40" s="63" t="s">
        <v>39</v>
      </c>
      <c r="N40" s="63" t="s">
        <v>39</v>
      </c>
      <c r="O40" s="63" t="s">
        <v>39</v>
      </c>
      <c r="P40" s="94" t="s">
        <v>33</v>
      </c>
      <c r="Q40" s="65" t="s">
        <v>42</v>
      </c>
      <c r="R40" s="65" t="s">
        <v>42</v>
      </c>
      <c r="S40" s="65" t="s">
        <v>42</v>
      </c>
      <c r="T40" s="65" t="s">
        <v>42</v>
      </c>
      <c r="U40" s="65" t="s">
        <v>42</v>
      </c>
      <c r="V40" s="65" t="s">
        <v>42</v>
      </c>
      <c r="W40" s="65" t="s">
        <v>42</v>
      </c>
      <c r="X40" s="65" t="s">
        <v>42</v>
      </c>
      <c r="Y40" s="93" t="s">
        <v>33</v>
      </c>
      <c r="Z40" s="93" t="s">
        <v>33</v>
      </c>
      <c r="AA40" s="93" t="s">
        <v>33</v>
      </c>
      <c r="AB40" s="93" t="s">
        <v>33</v>
      </c>
      <c r="AC40" s="93" t="s">
        <v>33</v>
      </c>
      <c r="AD40" s="93" t="s">
        <v>33</v>
      </c>
      <c r="AE40" s="94" t="s">
        <v>33</v>
      </c>
      <c r="AF40" s="94" t="s">
        <v>33</v>
      </c>
      <c r="AG40" s="95">
        <f t="shared" si="6"/>
        <v>0</v>
      </c>
      <c r="AH40" s="97"/>
      <c r="AI40" s="97"/>
      <c r="AJ40" s="97"/>
      <c r="AK40" s="98" t="s">
        <v>51</v>
      </c>
      <c r="AM40" s="69" t="s">
        <v>47</v>
      </c>
      <c r="AN40" s="87">
        <v>3</v>
      </c>
      <c r="AO40" s="22">
        <f>AN40-AT13</f>
        <v>0</v>
      </c>
      <c r="AP40" s="29">
        <f>AO40*AN13*0.8</f>
        <v>0</v>
      </c>
      <c r="AQ40" s="29">
        <f t="shared" si="10"/>
        <v>0</v>
      </c>
    </row>
    <row r="41" spans="1:43">
      <c r="A41" s="99">
        <v>45676</v>
      </c>
      <c r="B41" s="93">
        <v>1600</v>
      </c>
      <c r="C41" s="93"/>
      <c r="D41" s="91">
        <f>(SUM(粮草!A41:X41)+AG41*10*IF(AK41="是",$AZ$4,$AZ$3))</f>
        <v>2168</v>
      </c>
      <c r="E41" s="105">
        <f>SUM($B$4:B41)+SUM($C$4:C41)-SUM($D$4:D41)</f>
        <v>3650</v>
      </c>
      <c r="F41" s="104">
        <f>SUM(经验!A41:X41)</f>
        <v>755</v>
      </c>
      <c r="G41" s="91">
        <f>SUM($F$4:F41)+SUM($H$4:H41)</f>
        <v>29695</v>
      </c>
      <c r="H41" s="93">
        <v>0</v>
      </c>
      <c r="I41" s="63" t="s">
        <v>39</v>
      </c>
      <c r="J41" s="63" t="s">
        <v>39</v>
      </c>
      <c r="K41" s="63" t="s">
        <v>39</v>
      </c>
      <c r="L41" s="63" t="s">
        <v>39</v>
      </c>
      <c r="M41" s="63" t="s">
        <v>39</v>
      </c>
      <c r="N41" s="63" t="s">
        <v>39</v>
      </c>
      <c r="O41" s="63" t="s">
        <v>39</v>
      </c>
      <c r="P41" s="94" t="s">
        <v>33</v>
      </c>
      <c r="Q41" s="65" t="s">
        <v>42</v>
      </c>
      <c r="R41" s="65" t="s">
        <v>42</v>
      </c>
      <c r="S41" s="65" t="s">
        <v>42</v>
      </c>
      <c r="T41" s="65" t="s">
        <v>42</v>
      </c>
      <c r="U41" s="65" t="s">
        <v>42</v>
      </c>
      <c r="V41" s="65" t="s">
        <v>42</v>
      </c>
      <c r="W41" s="65" t="s">
        <v>42</v>
      </c>
      <c r="X41" s="65" t="s">
        <v>42</v>
      </c>
      <c r="Y41" s="93" t="s">
        <v>33</v>
      </c>
      <c r="Z41" s="93" t="s">
        <v>33</v>
      </c>
      <c r="AA41" s="93" t="s">
        <v>33</v>
      </c>
      <c r="AB41" s="93" t="s">
        <v>33</v>
      </c>
      <c r="AC41" s="93" t="s">
        <v>33</v>
      </c>
      <c r="AD41" s="93" t="s">
        <v>33</v>
      </c>
      <c r="AE41" s="94" t="s">
        <v>33</v>
      </c>
      <c r="AF41" s="94" t="s">
        <v>33</v>
      </c>
      <c r="AG41" s="95">
        <f t="shared" si="6"/>
        <v>0</v>
      </c>
      <c r="AH41" s="97"/>
      <c r="AI41" s="97"/>
      <c r="AJ41" s="97"/>
      <c r="AK41" s="98" t="s">
        <v>51</v>
      </c>
      <c r="AM41" s="84" t="s">
        <v>48</v>
      </c>
      <c r="AN41" s="87">
        <v>3</v>
      </c>
      <c r="AO41" s="22">
        <f>AN41-AT14</f>
        <v>0</v>
      </c>
      <c r="AP41" s="29">
        <f>AO41*AN14*0.8</f>
        <v>0</v>
      </c>
      <c r="AQ41" s="29">
        <f t="shared" si="10"/>
        <v>0</v>
      </c>
    </row>
    <row r="42" spans="1:43">
      <c r="A42" s="99">
        <v>45677</v>
      </c>
      <c r="B42" s="91">
        <v>1600</v>
      </c>
      <c r="C42" s="92"/>
      <c r="D42" s="91">
        <f>(SUM(粮草!A42:X42)+AG42*10*IF(AK42="是",$AZ$4,$AZ$3))</f>
        <v>2168</v>
      </c>
      <c r="E42" s="105">
        <f>SUM($B$4:B42)+SUM($C$4:C42)-SUM($D$4:D42)</f>
        <v>3082</v>
      </c>
      <c r="F42" s="104">
        <f>SUM(经验!A42:X42)</f>
        <v>755</v>
      </c>
      <c r="G42" s="91">
        <f>SUM($F$4:F42)+SUM($H$4:H42)</f>
        <v>30750</v>
      </c>
      <c r="H42" s="91">
        <v>300</v>
      </c>
      <c r="I42" s="63" t="s">
        <v>39</v>
      </c>
      <c r="J42" s="63" t="s">
        <v>39</v>
      </c>
      <c r="K42" s="63" t="s">
        <v>39</v>
      </c>
      <c r="L42" s="63" t="s">
        <v>39</v>
      </c>
      <c r="M42" s="63" t="s">
        <v>39</v>
      </c>
      <c r="N42" s="63" t="s">
        <v>39</v>
      </c>
      <c r="O42" s="63" t="s">
        <v>39</v>
      </c>
      <c r="P42" s="94" t="s">
        <v>33</v>
      </c>
      <c r="Q42" s="65" t="s">
        <v>42</v>
      </c>
      <c r="R42" s="65" t="s">
        <v>42</v>
      </c>
      <c r="S42" s="65" t="s">
        <v>42</v>
      </c>
      <c r="T42" s="65" t="s">
        <v>42</v>
      </c>
      <c r="U42" s="65" t="s">
        <v>42</v>
      </c>
      <c r="V42" s="65" t="s">
        <v>42</v>
      </c>
      <c r="W42" s="65" t="s">
        <v>42</v>
      </c>
      <c r="X42" s="65" t="s">
        <v>42</v>
      </c>
      <c r="Y42" s="93" t="s">
        <v>33</v>
      </c>
      <c r="Z42" s="93" t="s">
        <v>33</v>
      </c>
      <c r="AA42" s="93" t="s">
        <v>33</v>
      </c>
      <c r="AB42" s="93" t="s">
        <v>33</v>
      </c>
      <c r="AC42" s="93" t="s">
        <v>33</v>
      </c>
      <c r="AD42" s="93" t="s">
        <v>33</v>
      </c>
      <c r="AE42" s="94" t="s">
        <v>33</v>
      </c>
      <c r="AF42" s="94" t="s">
        <v>33</v>
      </c>
      <c r="AG42" s="95">
        <f t="shared" si="6"/>
        <v>0</v>
      </c>
      <c r="AH42" s="97"/>
      <c r="AI42" s="97"/>
      <c r="AJ42" s="97"/>
      <c r="AK42" s="98" t="s">
        <v>51</v>
      </c>
      <c r="AM42" s="85" t="s">
        <v>49</v>
      </c>
      <c r="AN42" s="87">
        <v>1</v>
      </c>
      <c r="AO42" s="22">
        <f>AN42-AT15</f>
        <v>0</v>
      </c>
      <c r="AP42" s="29">
        <f>AO42*AN15*0.8</f>
        <v>0</v>
      </c>
      <c r="AQ42" s="29">
        <f t="shared" si="10"/>
        <v>0</v>
      </c>
    </row>
    <row r="43" spans="1:43">
      <c r="A43" s="99">
        <v>45678</v>
      </c>
      <c r="B43" s="91">
        <v>1600</v>
      </c>
      <c r="C43" s="92"/>
      <c r="D43" s="91">
        <f>(SUM(粮草!A43:X43)+AG43*10*IF(AK43="是",$AZ$4,$AZ$3))</f>
        <v>2168</v>
      </c>
      <c r="E43" s="105">
        <f>SUM($B$4:B43)+SUM($C$4:C43)-SUM($D$4:D43)</f>
        <v>2514</v>
      </c>
      <c r="F43" s="104">
        <f>SUM(经验!A43:X43)</f>
        <v>755</v>
      </c>
      <c r="G43" s="91">
        <f>SUM($F$4:F43)+SUM($H$4:H43)</f>
        <v>31505</v>
      </c>
      <c r="H43" s="91">
        <v>0</v>
      </c>
      <c r="I43" s="63" t="s">
        <v>39</v>
      </c>
      <c r="J43" s="63" t="s">
        <v>39</v>
      </c>
      <c r="K43" s="63" t="s">
        <v>39</v>
      </c>
      <c r="L43" s="63" t="s">
        <v>39</v>
      </c>
      <c r="M43" s="63" t="s">
        <v>39</v>
      </c>
      <c r="N43" s="63" t="s">
        <v>39</v>
      </c>
      <c r="O43" s="63" t="s">
        <v>39</v>
      </c>
      <c r="P43" s="94" t="s">
        <v>33</v>
      </c>
      <c r="Q43" s="65" t="s">
        <v>42</v>
      </c>
      <c r="R43" s="65" t="s">
        <v>42</v>
      </c>
      <c r="S43" s="65" t="s">
        <v>42</v>
      </c>
      <c r="T43" s="65" t="s">
        <v>42</v>
      </c>
      <c r="U43" s="65" t="s">
        <v>42</v>
      </c>
      <c r="V43" s="65" t="s">
        <v>42</v>
      </c>
      <c r="W43" s="65" t="s">
        <v>42</v>
      </c>
      <c r="X43" s="65" t="s">
        <v>42</v>
      </c>
      <c r="Y43" s="93" t="s">
        <v>33</v>
      </c>
      <c r="Z43" s="93" t="s">
        <v>33</v>
      </c>
      <c r="AA43" s="93" t="s">
        <v>33</v>
      </c>
      <c r="AB43" s="93" t="s">
        <v>33</v>
      </c>
      <c r="AC43" s="93" t="s">
        <v>33</v>
      </c>
      <c r="AD43" s="93" t="s">
        <v>33</v>
      </c>
      <c r="AE43" s="94" t="s">
        <v>33</v>
      </c>
      <c r="AF43" s="94" t="s">
        <v>33</v>
      </c>
      <c r="AG43" s="95">
        <f t="shared" si="6"/>
        <v>0</v>
      </c>
      <c r="AH43" s="97"/>
      <c r="AI43" s="97"/>
      <c r="AJ43" s="97"/>
      <c r="AK43" s="98" t="s">
        <v>51</v>
      </c>
      <c r="AM43" s="74" t="s">
        <v>53</v>
      </c>
      <c r="AN43" s="87">
        <v>2</v>
      </c>
      <c r="AO43" s="87">
        <f>AN43-AT23</f>
        <v>0</v>
      </c>
      <c r="AP43" s="30">
        <f>AO43*AN23*0.8</f>
        <v>0</v>
      </c>
      <c r="AQ43" s="29">
        <f>AO43*AO23</f>
        <v>0</v>
      </c>
    </row>
    <row r="44" spans="1:43">
      <c r="A44" s="99">
        <v>45679</v>
      </c>
      <c r="B44" s="91">
        <v>1600</v>
      </c>
      <c r="C44" s="92"/>
      <c r="D44" s="91">
        <f>(SUM(粮草!A44:X44)+AG44*10*IF(AK44="是",$AZ$4,$AZ$3))</f>
        <v>2168</v>
      </c>
      <c r="E44" s="105">
        <f>SUM($B$4:B44)+SUM($C$4:C44)-SUM($D$4:D44)</f>
        <v>1946</v>
      </c>
      <c r="F44" s="104">
        <f>SUM(经验!A44:X44)</f>
        <v>755</v>
      </c>
      <c r="G44" s="91">
        <f>SUM($F$4:F44)+SUM($H$4:H44)</f>
        <v>32460</v>
      </c>
      <c r="H44" s="91">
        <v>200</v>
      </c>
      <c r="I44" s="63" t="s">
        <v>39</v>
      </c>
      <c r="J44" s="63" t="s">
        <v>39</v>
      </c>
      <c r="K44" s="63" t="s">
        <v>39</v>
      </c>
      <c r="L44" s="63" t="s">
        <v>39</v>
      </c>
      <c r="M44" s="63" t="s">
        <v>39</v>
      </c>
      <c r="N44" s="63" t="s">
        <v>39</v>
      </c>
      <c r="O44" s="63" t="s">
        <v>39</v>
      </c>
      <c r="P44" s="94" t="s">
        <v>33</v>
      </c>
      <c r="Q44" s="65" t="s">
        <v>42</v>
      </c>
      <c r="R44" s="65" t="s">
        <v>42</v>
      </c>
      <c r="S44" s="65" t="s">
        <v>42</v>
      </c>
      <c r="T44" s="65" t="s">
        <v>42</v>
      </c>
      <c r="U44" s="65" t="s">
        <v>42</v>
      </c>
      <c r="V44" s="65" t="s">
        <v>42</v>
      </c>
      <c r="W44" s="65" t="s">
        <v>42</v>
      </c>
      <c r="X44" s="65" t="s">
        <v>42</v>
      </c>
      <c r="Y44" s="93" t="s">
        <v>33</v>
      </c>
      <c r="Z44" s="93" t="s">
        <v>33</v>
      </c>
      <c r="AA44" s="93" t="s">
        <v>33</v>
      </c>
      <c r="AB44" s="93" t="s">
        <v>33</v>
      </c>
      <c r="AC44" s="93" t="s">
        <v>33</v>
      </c>
      <c r="AD44" s="93" t="s">
        <v>33</v>
      </c>
      <c r="AE44" s="94" t="s">
        <v>33</v>
      </c>
      <c r="AF44" s="94" t="s">
        <v>33</v>
      </c>
      <c r="AG44" s="95">
        <f t="shared" si="6"/>
        <v>0</v>
      </c>
      <c r="AH44" s="97"/>
      <c r="AI44" s="97"/>
      <c r="AJ44" s="97"/>
      <c r="AK44" s="98" t="s">
        <v>51</v>
      </c>
      <c r="AM44" s="49" t="s">
        <v>61</v>
      </c>
      <c r="AN44" s="87">
        <v>3</v>
      </c>
      <c r="AO44">
        <f>AN44-AT29</f>
        <v>0</v>
      </c>
      <c r="AP44" s="30">
        <f>AO44*AN29*0.8</f>
        <v>0</v>
      </c>
      <c r="AQ44" s="29">
        <f>AO44*AO29</f>
        <v>0</v>
      </c>
    </row>
    <row r="45" spans="1:43">
      <c r="A45" s="99">
        <v>45680</v>
      </c>
      <c r="B45" s="91">
        <v>1600</v>
      </c>
      <c r="C45" s="92"/>
      <c r="D45" s="91">
        <f>(SUM(粮草!A45:X45)+AG45*10*IF(AK45="是",$AZ$4,$AZ$3))</f>
        <v>2168</v>
      </c>
      <c r="E45" s="105">
        <f>SUM($B$4:B45)+SUM($C$4:C45)-SUM($D$4:D45)</f>
        <v>1378</v>
      </c>
      <c r="F45" s="104">
        <f>SUM(经验!A45:X45)</f>
        <v>755</v>
      </c>
      <c r="G45" s="91">
        <f>SUM($F$4:F45)+SUM($H$4:H45)</f>
        <v>33215</v>
      </c>
      <c r="H45" s="91">
        <v>0</v>
      </c>
      <c r="I45" s="63" t="s">
        <v>39</v>
      </c>
      <c r="J45" s="63" t="s">
        <v>39</v>
      </c>
      <c r="K45" s="63" t="s">
        <v>39</v>
      </c>
      <c r="L45" s="63" t="s">
        <v>39</v>
      </c>
      <c r="M45" s="63" t="s">
        <v>39</v>
      </c>
      <c r="N45" s="63" t="s">
        <v>39</v>
      </c>
      <c r="O45" s="63" t="s">
        <v>39</v>
      </c>
      <c r="P45" s="94" t="s">
        <v>33</v>
      </c>
      <c r="Q45" s="65" t="s">
        <v>42</v>
      </c>
      <c r="R45" s="65" t="s">
        <v>42</v>
      </c>
      <c r="S45" s="65" t="s">
        <v>42</v>
      </c>
      <c r="T45" s="65" t="s">
        <v>42</v>
      </c>
      <c r="U45" s="65" t="s">
        <v>42</v>
      </c>
      <c r="V45" s="65" t="s">
        <v>42</v>
      </c>
      <c r="W45" s="65" t="s">
        <v>42</v>
      </c>
      <c r="X45" s="65" t="s">
        <v>42</v>
      </c>
      <c r="Y45" s="93" t="s">
        <v>33</v>
      </c>
      <c r="Z45" s="93" t="s">
        <v>33</v>
      </c>
      <c r="AA45" s="93" t="s">
        <v>33</v>
      </c>
      <c r="AB45" s="93" t="s">
        <v>33</v>
      </c>
      <c r="AC45" s="93" t="s">
        <v>33</v>
      </c>
      <c r="AD45" s="93" t="s">
        <v>33</v>
      </c>
      <c r="AE45" s="94" t="s">
        <v>33</v>
      </c>
      <c r="AF45" s="94" t="s">
        <v>33</v>
      </c>
      <c r="AG45" s="95">
        <f t="shared" si="6"/>
        <v>0</v>
      </c>
      <c r="AH45" s="97"/>
      <c r="AI45" s="97"/>
      <c r="AJ45" s="97"/>
      <c r="AK45" s="98" t="s">
        <v>51</v>
      </c>
      <c r="AM45" s="73" t="s">
        <v>52</v>
      </c>
      <c r="AN45" s="89">
        <v>2</v>
      </c>
      <c r="AO45">
        <f>AN45-AT22</f>
        <v>0</v>
      </c>
      <c r="AP45">
        <f>AO45*AN22*0.8</f>
        <v>0</v>
      </c>
      <c r="AQ45">
        <f>AO45*AO22</f>
        <v>0</v>
      </c>
    </row>
    <row r="46" spans="1:43">
      <c r="A46" s="99">
        <v>45681</v>
      </c>
      <c r="B46" s="91">
        <v>1600</v>
      </c>
      <c r="C46" s="92"/>
      <c r="D46" s="91">
        <f>(SUM(粮草!A46:X46)+AG46*10*IF(AK46="是",$AZ$4,$AZ$3))</f>
        <v>2168</v>
      </c>
      <c r="E46" s="105">
        <f>SUM($B$4:B46)+SUM($C$4:C46)-SUM($D$4:D46)</f>
        <v>810</v>
      </c>
      <c r="F46" s="104">
        <f>SUM(经验!A46:X46)</f>
        <v>755</v>
      </c>
      <c r="G46" s="91">
        <f>SUM($F$4:F46)+SUM($H$4:H46)</f>
        <v>33970</v>
      </c>
      <c r="H46" s="91">
        <v>0</v>
      </c>
      <c r="I46" s="63" t="s">
        <v>39</v>
      </c>
      <c r="J46" s="63" t="s">
        <v>39</v>
      </c>
      <c r="K46" s="63" t="s">
        <v>39</v>
      </c>
      <c r="L46" s="63" t="s">
        <v>39</v>
      </c>
      <c r="M46" s="63" t="s">
        <v>39</v>
      </c>
      <c r="N46" s="63" t="s">
        <v>39</v>
      </c>
      <c r="O46" s="63" t="s">
        <v>39</v>
      </c>
      <c r="P46" s="94" t="s">
        <v>33</v>
      </c>
      <c r="Q46" s="65" t="s">
        <v>42</v>
      </c>
      <c r="R46" s="65" t="s">
        <v>42</v>
      </c>
      <c r="S46" s="65" t="s">
        <v>42</v>
      </c>
      <c r="T46" s="65" t="s">
        <v>42</v>
      </c>
      <c r="U46" s="65" t="s">
        <v>42</v>
      </c>
      <c r="V46" s="65" t="s">
        <v>42</v>
      </c>
      <c r="W46" s="65" t="s">
        <v>42</v>
      </c>
      <c r="X46" s="65" t="s">
        <v>42</v>
      </c>
      <c r="Y46" s="93" t="s">
        <v>33</v>
      </c>
      <c r="Z46" s="93" t="s">
        <v>33</v>
      </c>
      <c r="AA46" s="93" t="s">
        <v>33</v>
      </c>
      <c r="AB46" s="93" t="s">
        <v>33</v>
      </c>
      <c r="AC46" s="93" t="s">
        <v>33</v>
      </c>
      <c r="AD46" s="93" t="s">
        <v>33</v>
      </c>
      <c r="AE46" s="94" t="s">
        <v>33</v>
      </c>
      <c r="AF46" s="94" t="s">
        <v>33</v>
      </c>
      <c r="AG46" s="95">
        <f t="shared" si="6"/>
        <v>0</v>
      </c>
      <c r="AH46" s="97"/>
      <c r="AI46" s="97"/>
      <c r="AJ46" s="97"/>
      <c r="AK46" s="98" t="s">
        <v>51</v>
      </c>
      <c r="AM46" t="s">
        <v>73</v>
      </c>
      <c r="AO46" s="30">
        <f>SUM(AO33:AO43)</f>
        <v>0</v>
      </c>
      <c r="AP46" s="30">
        <f>SUM(AP33:AP45)</f>
        <v>0</v>
      </c>
      <c r="AQ46" s="30">
        <f>SUM(AQ33:AQ45)</f>
        <v>0</v>
      </c>
    </row>
    <row r="47" spans="1:43">
      <c r="A47" s="99">
        <v>45682</v>
      </c>
      <c r="B47" s="91">
        <v>1600</v>
      </c>
      <c r="C47" s="92"/>
      <c r="D47" s="91">
        <f>(SUM(粮草!A47:X47)+AG47*10*IF(AK47="是",$AZ$4,$AZ$3))</f>
        <v>2168</v>
      </c>
      <c r="E47" s="105">
        <f>SUM($B$4:B47)+SUM($C$4:C47)-SUM($D$4:D47)</f>
        <v>242</v>
      </c>
      <c r="F47" s="104">
        <f>SUM(经验!A47:X47)</f>
        <v>755</v>
      </c>
      <c r="G47" s="91">
        <f>SUM($F$4:F47)+SUM($H$4:H47)</f>
        <v>34725</v>
      </c>
      <c r="H47" s="91">
        <v>0</v>
      </c>
      <c r="I47" s="63" t="s">
        <v>39</v>
      </c>
      <c r="J47" s="63" t="s">
        <v>39</v>
      </c>
      <c r="K47" s="63" t="s">
        <v>39</v>
      </c>
      <c r="L47" s="63" t="s">
        <v>39</v>
      </c>
      <c r="M47" s="63" t="s">
        <v>39</v>
      </c>
      <c r="N47" s="63" t="s">
        <v>39</v>
      </c>
      <c r="O47" s="63" t="s">
        <v>39</v>
      </c>
      <c r="P47" s="94" t="s">
        <v>33</v>
      </c>
      <c r="Q47" s="65" t="s">
        <v>42</v>
      </c>
      <c r="R47" s="65" t="s">
        <v>42</v>
      </c>
      <c r="S47" s="65" t="s">
        <v>42</v>
      </c>
      <c r="T47" s="65" t="s">
        <v>42</v>
      </c>
      <c r="U47" s="65" t="s">
        <v>42</v>
      </c>
      <c r="V47" s="65" t="s">
        <v>42</v>
      </c>
      <c r="W47" s="65" t="s">
        <v>42</v>
      </c>
      <c r="X47" s="65" t="s">
        <v>42</v>
      </c>
      <c r="Y47" s="93" t="s">
        <v>33</v>
      </c>
      <c r="Z47" s="93" t="s">
        <v>33</v>
      </c>
      <c r="AA47" s="93" t="s">
        <v>33</v>
      </c>
      <c r="AB47" s="93" t="s">
        <v>33</v>
      </c>
      <c r="AC47" s="93" t="s">
        <v>33</v>
      </c>
      <c r="AD47" s="93" t="s">
        <v>33</v>
      </c>
      <c r="AE47" s="94" t="s">
        <v>33</v>
      </c>
      <c r="AF47" s="94" t="s">
        <v>33</v>
      </c>
      <c r="AG47" s="95">
        <f t="shared" si="6"/>
        <v>0</v>
      </c>
      <c r="AH47" s="97"/>
      <c r="AI47" s="97"/>
      <c r="AJ47" s="97"/>
      <c r="AK47" s="98" t="s">
        <v>51</v>
      </c>
      <c r="AO47" s="155" t="s">
        <v>77</v>
      </c>
      <c r="AP47" s="156">
        <f>E93-AP46</f>
        <v>2</v>
      </c>
      <c r="AQ47" s="156">
        <f>AQ46+G93</f>
        <v>64950</v>
      </c>
    </row>
    <row r="48" spans="1:43">
      <c r="A48" s="99">
        <v>45683</v>
      </c>
      <c r="B48" s="91">
        <v>1600</v>
      </c>
      <c r="C48" s="92"/>
      <c r="D48" s="91">
        <f>(SUM(粮草!A48:X48)+AG48*10*IF(AK48="是",$AZ$4,$AZ$3))</f>
        <v>2168</v>
      </c>
      <c r="E48" s="105">
        <f>SUM($B$4:B48)+SUM($C$4:C48)-SUM($D$4:D48)</f>
        <v>-326</v>
      </c>
      <c r="F48" s="104">
        <f>SUM(经验!A48:X48)</f>
        <v>755</v>
      </c>
      <c r="G48" s="91">
        <f>SUM($F$4:F48)+SUM($H$4:H48)</f>
        <v>35480</v>
      </c>
      <c r="H48" s="91">
        <v>0</v>
      </c>
      <c r="I48" s="63" t="s">
        <v>39</v>
      </c>
      <c r="J48" s="63" t="s">
        <v>39</v>
      </c>
      <c r="K48" s="63" t="s">
        <v>39</v>
      </c>
      <c r="L48" s="63" t="s">
        <v>39</v>
      </c>
      <c r="M48" s="63" t="s">
        <v>39</v>
      </c>
      <c r="N48" s="63" t="s">
        <v>39</v>
      </c>
      <c r="O48" s="63" t="s">
        <v>39</v>
      </c>
      <c r="P48" s="94" t="s">
        <v>33</v>
      </c>
      <c r="Q48" s="65" t="s">
        <v>42</v>
      </c>
      <c r="R48" s="65" t="s">
        <v>42</v>
      </c>
      <c r="S48" s="65" t="s">
        <v>42</v>
      </c>
      <c r="T48" s="65" t="s">
        <v>42</v>
      </c>
      <c r="U48" s="65" t="s">
        <v>42</v>
      </c>
      <c r="V48" s="65" t="s">
        <v>42</v>
      </c>
      <c r="W48" s="65" t="s">
        <v>42</v>
      </c>
      <c r="X48" s="65" t="s">
        <v>42</v>
      </c>
      <c r="Y48" s="93" t="s">
        <v>33</v>
      </c>
      <c r="Z48" s="93" t="s">
        <v>33</v>
      </c>
      <c r="AA48" s="93" t="s">
        <v>33</v>
      </c>
      <c r="AB48" s="93" t="s">
        <v>33</v>
      </c>
      <c r="AC48" s="93" t="s">
        <v>33</v>
      </c>
      <c r="AD48" s="93" t="s">
        <v>33</v>
      </c>
      <c r="AE48" s="94" t="s">
        <v>33</v>
      </c>
      <c r="AF48" s="94" t="s">
        <v>33</v>
      </c>
      <c r="AG48" s="95">
        <f t="shared" si="6"/>
        <v>0</v>
      </c>
      <c r="AH48" s="97"/>
      <c r="AI48" s="97"/>
      <c r="AJ48" s="97"/>
      <c r="AK48" s="98" t="s">
        <v>51</v>
      </c>
      <c r="AO48" s="120" t="s">
        <v>70</v>
      </c>
      <c r="AP48" s="120"/>
    </row>
    <row r="49" spans="1:51">
      <c r="A49" s="99">
        <v>45684</v>
      </c>
      <c r="B49" s="93">
        <v>1600</v>
      </c>
      <c r="C49" s="93"/>
      <c r="D49" s="91">
        <f>(SUM(粮草!A49:X49)+AG49*10*IF(AK49="是",$AZ$4,$AZ$3))</f>
        <v>2168</v>
      </c>
      <c r="E49" s="105">
        <f>SUM($B$4:B49)+SUM($C$4:C49)-SUM($D$4:D49)</f>
        <v>-894</v>
      </c>
      <c r="F49" s="104">
        <f>SUM(经验!A49:X49)</f>
        <v>755</v>
      </c>
      <c r="G49" s="91">
        <f>SUM($F$4:F49)+SUM($H$4:H49)</f>
        <v>36435</v>
      </c>
      <c r="H49" s="93">
        <v>200</v>
      </c>
      <c r="I49" s="63" t="s">
        <v>39</v>
      </c>
      <c r="J49" s="63" t="s">
        <v>39</v>
      </c>
      <c r="K49" s="63" t="s">
        <v>39</v>
      </c>
      <c r="L49" s="63" t="s">
        <v>39</v>
      </c>
      <c r="M49" s="63" t="s">
        <v>39</v>
      </c>
      <c r="N49" s="63" t="s">
        <v>39</v>
      </c>
      <c r="O49" s="63" t="s">
        <v>39</v>
      </c>
      <c r="P49" s="94" t="s">
        <v>33</v>
      </c>
      <c r="Q49" s="65" t="s">
        <v>42</v>
      </c>
      <c r="R49" s="65" t="s">
        <v>42</v>
      </c>
      <c r="S49" s="65" t="s">
        <v>42</v>
      </c>
      <c r="T49" s="65" t="s">
        <v>42</v>
      </c>
      <c r="U49" s="65" t="s">
        <v>42</v>
      </c>
      <c r="V49" s="65" t="s">
        <v>42</v>
      </c>
      <c r="W49" s="65" t="s">
        <v>42</v>
      </c>
      <c r="X49" s="65" t="s">
        <v>42</v>
      </c>
      <c r="Y49" s="93" t="s">
        <v>33</v>
      </c>
      <c r="Z49" s="93" t="s">
        <v>33</v>
      </c>
      <c r="AA49" s="93" t="s">
        <v>33</v>
      </c>
      <c r="AB49" s="93" t="s">
        <v>33</v>
      </c>
      <c r="AC49" s="93" t="s">
        <v>33</v>
      </c>
      <c r="AD49" s="93" t="s">
        <v>33</v>
      </c>
      <c r="AE49" s="94" t="s">
        <v>33</v>
      </c>
      <c r="AF49" s="94" t="s">
        <v>33</v>
      </c>
      <c r="AG49" s="95">
        <f t="shared" si="6"/>
        <v>0</v>
      </c>
      <c r="AH49" s="97"/>
      <c r="AI49" s="97"/>
      <c r="AJ49" s="97"/>
      <c r="AK49" s="98" t="s">
        <v>51</v>
      </c>
      <c r="AM49" t="s">
        <v>67</v>
      </c>
      <c r="AN49" t="s">
        <v>69</v>
      </c>
      <c r="AO49" t="s">
        <v>31</v>
      </c>
      <c r="AP49" t="s">
        <v>35</v>
      </c>
      <c r="AQ49" t="s">
        <v>71</v>
      </c>
    </row>
    <row r="50" spans="1:51">
      <c r="A50" s="99">
        <v>45685</v>
      </c>
      <c r="B50" s="93">
        <v>1600</v>
      </c>
      <c r="C50" s="93"/>
      <c r="D50" s="91">
        <f>(SUM(粮草!A50:X50)+AG50*10*IF(AK50="是",$AZ$4,$AZ$3))</f>
        <v>2168</v>
      </c>
      <c r="E50" s="105">
        <f>SUM($B$4:B50)+SUM($C$4:C50)-SUM($D$4:D50)</f>
        <v>-1462</v>
      </c>
      <c r="F50" s="104">
        <f>SUM(经验!A50:X50)</f>
        <v>755</v>
      </c>
      <c r="G50" s="91">
        <f>SUM($F$4:F50)+SUM($H$4:H50)</f>
        <v>37290</v>
      </c>
      <c r="H50" s="93">
        <v>100</v>
      </c>
      <c r="I50" s="63" t="s">
        <v>39</v>
      </c>
      <c r="J50" s="63" t="s">
        <v>39</v>
      </c>
      <c r="K50" s="63" t="s">
        <v>39</v>
      </c>
      <c r="L50" s="63" t="s">
        <v>39</v>
      </c>
      <c r="M50" s="63" t="s">
        <v>39</v>
      </c>
      <c r="N50" s="63" t="s">
        <v>39</v>
      </c>
      <c r="O50" s="63" t="s">
        <v>39</v>
      </c>
      <c r="P50" s="94" t="s">
        <v>33</v>
      </c>
      <c r="Q50" s="65" t="s">
        <v>42</v>
      </c>
      <c r="R50" s="65" t="s">
        <v>42</v>
      </c>
      <c r="S50" s="65" t="s">
        <v>42</v>
      </c>
      <c r="T50" s="65" t="s">
        <v>42</v>
      </c>
      <c r="U50" s="65" t="s">
        <v>42</v>
      </c>
      <c r="V50" s="65" t="s">
        <v>42</v>
      </c>
      <c r="W50" s="65" t="s">
        <v>42</v>
      </c>
      <c r="X50" s="65" t="s">
        <v>42</v>
      </c>
      <c r="Y50" s="93" t="s">
        <v>33</v>
      </c>
      <c r="Z50" s="93" t="s">
        <v>33</v>
      </c>
      <c r="AA50" s="93" t="s">
        <v>33</v>
      </c>
      <c r="AB50" s="93" t="s">
        <v>33</v>
      </c>
      <c r="AC50" s="93" t="s">
        <v>33</v>
      </c>
      <c r="AD50" s="93" t="s">
        <v>33</v>
      </c>
      <c r="AE50" s="94" t="s">
        <v>33</v>
      </c>
      <c r="AF50" s="94" t="s">
        <v>33</v>
      </c>
      <c r="AG50" s="95">
        <f t="shared" si="6"/>
        <v>0</v>
      </c>
      <c r="AH50" s="97"/>
      <c r="AI50" s="97"/>
      <c r="AJ50" s="97"/>
      <c r="AK50" s="98" t="s">
        <v>51</v>
      </c>
      <c r="AM50">
        <v>1</v>
      </c>
      <c r="AN50">
        <v>300</v>
      </c>
      <c r="AO50">
        <f>AN50-50</f>
        <v>250</v>
      </c>
      <c r="AP50">
        <f>AN50-40</f>
        <v>260</v>
      </c>
      <c r="AQ50" s="86">
        <f>COUNTIF(I4:AF17,$AM$18)</f>
        <v>10</v>
      </c>
      <c r="AT50">
        <v>9</v>
      </c>
      <c r="AU50">
        <v>260</v>
      </c>
      <c r="AV50">
        <f>AT50*AU50</f>
        <v>2340</v>
      </c>
      <c r="AW50">
        <v>10</v>
      </c>
      <c r="AX50">
        <v>210</v>
      </c>
      <c r="AY50">
        <f>AX50*AW50</f>
        <v>2100</v>
      </c>
    </row>
    <row r="51" spans="1:51">
      <c r="A51" s="99">
        <v>45686</v>
      </c>
      <c r="B51" s="93">
        <v>1600</v>
      </c>
      <c r="C51" s="93"/>
      <c r="D51" s="91">
        <f>(SUM(粮草!A51:X51)+AG51*10*IF(AK51="是",$AZ$4,$AZ$3))</f>
        <v>1488</v>
      </c>
      <c r="E51" s="105">
        <f>SUM($B$4:B51)+SUM($C$4:C51)-SUM($D$4:D51)</f>
        <v>-1350</v>
      </c>
      <c r="F51" s="104">
        <f>SUM(经验!A51:X51)</f>
        <v>530</v>
      </c>
      <c r="G51" s="91">
        <f>SUM($F$4:F51)+SUM($H$4:H51)</f>
        <v>38020</v>
      </c>
      <c r="H51" s="93">
        <v>200</v>
      </c>
      <c r="I51" s="63" t="s">
        <v>39</v>
      </c>
      <c r="J51" s="63" t="s">
        <v>39</v>
      </c>
      <c r="K51" s="93" t="s">
        <v>33</v>
      </c>
      <c r="L51" s="93" t="s">
        <v>33</v>
      </c>
      <c r="M51" s="93" t="s">
        <v>33</v>
      </c>
      <c r="N51" s="93" t="s">
        <v>33</v>
      </c>
      <c r="O51" s="94" t="s">
        <v>33</v>
      </c>
      <c r="P51" s="94" t="s">
        <v>33</v>
      </c>
      <c r="Q51" s="65" t="s">
        <v>42</v>
      </c>
      <c r="R51" s="65" t="s">
        <v>42</v>
      </c>
      <c r="S51" s="65" t="s">
        <v>42</v>
      </c>
      <c r="T51" s="65" t="s">
        <v>42</v>
      </c>
      <c r="U51" s="65" t="s">
        <v>42</v>
      </c>
      <c r="V51" s="65" t="s">
        <v>42</v>
      </c>
      <c r="W51" s="65" t="s">
        <v>42</v>
      </c>
      <c r="X51" s="65" t="s">
        <v>42</v>
      </c>
      <c r="Y51" s="93" t="s">
        <v>33</v>
      </c>
      <c r="Z51" s="93" t="s">
        <v>33</v>
      </c>
      <c r="AA51" s="93" t="s">
        <v>33</v>
      </c>
      <c r="AB51" s="93" t="s">
        <v>33</v>
      </c>
      <c r="AC51" s="93" t="s">
        <v>33</v>
      </c>
      <c r="AD51" s="93" t="s">
        <v>33</v>
      </c>
      <c r="AE51" s="94" t="s">
        <v>33</v>
      </c>
      <c r="AF51" s="94" t="s">
        <v>33</v>
      </c>
      <c r="AG51" s="95">
        <f t="shared" si="6"/>
        <v>0</v>
      </c>
      <c r="AH51" s="97"/>
      <c r="AI51" s="97"/>
      <c r="AJ51" s="97"/>
      <c r="AK51" s="98" t="s">
        <v>51</v>
      </c>
      <c r="AM51">
        <v>2</v>
      </c>
      <c r="AN51">
        <v>250</v>
      </c>
      <c r="AO51">
        <f>AN51-50</f>
        <v>200</v>
      </c>
      <c r="AP51">
        <f>AN51-40</f>
        <v>210</v>
      </c>
      <c r="AQ51" s="86">
        <f>COUNTIF(I18:AE24,$AM$18)</f>
        <v>4</v>
      </c>
      <c r="AT51">
        <v>1</v>
      </c>
      <c r="AU51">
        <v>160</v>
      </c>
    </row>
    <row r="52" spans="1:51">
      <c r="A52" s="99">
        <v>45687</v>
      </c>
      <c r="B52" s="93">
        <v>1600</v>
      </c>
      <c r="C52" s="93"/>
      <c r="D52" s="91">
        <f>(SUM(粮草!A52:X52)+AG52*10*IF(AK52="是",$AZ$4,$AZ$3))</f>
        <v>2368</v>
      </c>
      <c r="E52" s="105">
        <f>SUM($B$4:B52)+SUM($C$4:C52)-SUM($D$4:D52)</f>
        <v>-2118</v>
      </c>
      <c r="F52" s="104">
        <f>SUM(经验!A52:X52)</f>
        <v>840</v>
      </c>
      <c r="G52" s="91">
        <f>SUM($F$4:F52)+SUM($H$4:H52)</f>
        <v>38860</v>
      </c>
      <c r="H52" s="93">
        <v>0</v>
      </c>
      <c r="I52" s="64" t="s">
        <v>41</v>
      </c>
      <c r="J52" s="64" t="s">
        <v>41</v>
      </c>
      <c r="K52" s="64" t="s">
        <v>41</v>
      </c>
      <c r="L52" s="64" t="s">
        <v>41</v>
      </c>
      <c r="M52" s="64" t="s">
        <v>41</v>
      </c>
      <c r="N52" s="64" t="s">
        <v>41</v>
      </c>
      <c r="O52" s="64" t="s">
        <v>41</v>
      </c>
      <c r="P52" s="64" t="s">
        <v>41</v>
      </c>
      <c r="Q52" s="65" t="s">
        <v>42</v>
      </c>
      <c r="R52" s="65" t="s">
        <v>42</v>
      </c>
      <c r="S52" s="65" t="s">
        <v>42</v>
      </c>
      <c r="T52" s="65" t="s">
        <v>42</v>
      </c>
      <c r="U52" s="65" t="s">
        <v>42</v>
      </c>
      <c r="V52" s="65" t="s">
        <v>42</v>
      </c>
      <c r="W52" s="65" t="s">
        <v>42</v>
      </c>
      <c r="X52" s="65" t="s">
        <v>42</v>
      </c>
      <c r="Y52" s="93" t="s">
        <v>33</v>
      </c>
      <c r="Z52" s="93" t="s">
        <v>33</v>
      </c>
      <c r="AA52" s="93" t="s">
        <v>33</v>
      </c>
      <c r="AB52" s="93" t="s">
        <v>33</v>
      </c>
      <c r="AC52" s="93" t="s">
        <v>33</v>
      </c>
      <c r="AD52" s="93" t="s">
        <v>33</v>
      </c>
      <c r="AE52" s="94" t="s">
        <v>33</v>
      </c>
      <c r="AF52" s="94" t="s">
        <v>33</v>
      </c>
      <c r="AG52" s="95">
        <f t="shared" si="6"/>
        <v>0</v>
      </c>
      <c r="AH52" s="97"/>
      <c r="AI52" s="97"/>
      <c r="AJ52" s="97"/>
      <c r="AK52" s="98" t="s">
        <v>51</v>
      </c>
      <c r="AM52">
        <v>3</v>
      </c>
      <c r="AN52">
        <v>200</v>
      </c>
      <c r="AO52">
        <f>AN52-50</f>
        <v>150</v>
      </c>
      <c r="AP52">
        <f>AN52-40</f>
        <v>160</v>
      </c>
      <c r="AQ52" s="86">
        <f>COUNTIF(I25:AF38,$AM$18)</f>
        <v>1</v>
      </c>
    </row>
    <row r="53" spans="1:51">
      <c r="A53" s="99">
        <v>45688</v>
      </c>
      <c r="B53" s="93">
        <v>1600</v>
      </c>
      <c r="C53" s="93"/>
      <c r="D53" s="91">
        <f>(SUM(粮草!A53:X53)+AG53*10*IF(AK53="是",$AZ$4,$AZ$3))</f>
        <v>2368</v>
      </c>
      <c r="E53" s="105">
        <f>SUM($B$4:B53)+SUM($C$4:C53)-SUM($D$4:D53)</f>
        <v>-2886</v>
      </c>
      <c r="F53" s="104">
        <f>SUM(经验!A53:X53)</f>
        <v>840</v>
      </c>
      <c r="G53" s="91">
        <f>SUM($F$4:F53)+SUM($H$4:H53)</f>
        <v>39700</v>
      </c>
      <c r="H53" s="93">
        <v>0</v>
      </c>
      <c r="I53" s="64" t="s">
        <v>41</v>
      </c>
      <c r="J53" s="64" t="s">
        <v>41</v>
      </c>
      <c r="K53" s="64" t="s">
        <v>41</v>
      </c>
      <c r="L53" s="64" t="s">
        <v>41</v>
      </c>
      <c r="M53" s="64" t="s">
        <v>41</v>
      </c>
      <c r="N53" s="64" t="s">
        <v>41</v>
      </c>
      <c r="O53" s="64" t="s">
        <v>41</v>
      </c>
      <c r="P53" s="64" t="s">
        <v>41</v>
      </c>
      <c r="Q53" s="65" t="s">
        <v>42</v>
      </c>
      <c r="R53" s="65" t="s">
        <v>42</v>
      </c>
      <c r="S53" s="65" t="s">
        <v>42</v>
      </c>
      <c r="T53" s="65" t="s">
        <v>42</v>
      </c>
      <c r="U53" s="65" t="s">
        <v>42</v>
      </c>
      <c r="V53" s="65" t="s">
        <v>42</v>
      </c>
      <c r="W53" s="65" t="s">
        <v>42</v>
      </c>
      <c r="X53" s="65" t="s">
        <v>42</v>
      </c>
      <c r="Y53" s="93" t="s">
        <v>33</v>
      </c>
      <c r="Z53" s="93" t="s">
        <v>33</v>
      </c>
      <c r="AA53" s="93" t="s">
        <v>33</v>
      </c>
      <c r="AB53" s="93" t="s">
        <v>33</v>
      </c>
      <c r="AC53" s="93" t="s">
        <v>33</v>
      </c>
      <c r="AD53" s="93" t="s">
        <v>33</v>
      </c>
      <c r="AE53" s="94" t="s">
        <v>33</v>
      </c>
      <c r="AF53" s="94" t="s">
        <v>33</v>
      </c>
      <c r="AG53" s="95">
        <f t="shared" si="6"/>
        <v>0</v>
      </c>
      <c r="AH53" s="97"/>
      <c r="AI53" s="97"/>
      <c r="AJ53" s="97"/>
      <c r="AK53" s="98" t="s">
        <v>51</v>
      </c>
      <c r="AM53">
        <v>4</v>
      </c>
      <c r="AN53">
        <v>150</v>
      </c>
      <c r="AO53">
        <f>AN53-50</f>
        <v>100</v>
      </c>
      <c r="AP53">
        <f>AN53-40</f>
        <v>110</v>
      </c>
      <c r="AQ53" s="86">
        <f>COUNTIF(I39:AF59,$AM$18)</f>
        <v>0</v>
      </c>
    </row>
    <row r="54" spans="1:51">
      <c r="A54" s="99">
        <v>45689</v>
      </c>
      <c r="B54" s="93">
        <v>1600</v>
      </c>
      <c r="C54" s="93"/>
      <c r="D54" s="91">
        <f>(SUM(粮草!A54:X54)+AG54*10*IF(AK54="是",$AZ$4,$AZ$3))</f>
        <v>2368</v>
      </c>
      <c r="E54" s="105">
        <f>SUM($B$4:B54)+SUM($C$4:C54)-SUM($D$4:D54)</f>
        <v>-3654</v>
      </c>
      <c r="F54" s="104">
        <f>SUM(经验!A54:X54)</f>
        <v>840</v>
      </c>
      <c r="G54" s="91">
        <f>SUM($F$4:F54)+SUM($H$4:H54)</f>
        <v>40540</v>
      </c>
      <c r="H54" s="93">
        <v>0</v>
      </c>
      <c r="I54" s="64" t="s">
        <v>41</v>
      </c>
      <c r="J54" s="64" t="s">
        <v>41</v>
      </c>
      <c r="K54" s="64" t="s">
        <v>41</v>
      </c>
      <c r="L54" s="64" t="s">
        <v>41</v>
      </c>
      <c r="M54" s="64" t="s">
        <v>41</v>
      </c>
      <c r="N54" s="64" t="s">
        <v>41</v>
      </c>
      <c r="O54" s="64" t="s">
        <v>41</v>
      </c>
      <c r="P54" s="64" t="s">
        <v>41</v>
      </c>
      <c r="Q54" s="65" t="s">
        <v>42</v>
      </c>
      <c r="R54" s="65" t="s">
        <v>42</v>
      </c>
      <c r="S54" s="65" t="s">
        <v>42</v>
      </c>
      <c r="T54" s="65" t="s">
        <v>42</v>
      </c>
      <c r="U54" s="65" t="s">
        <v>42</v>
      </c>
      <c r="V54" s="65" t="s">
        <v>42</v>
      </c>
      <c r="W54" s="65" t="s">
        <v>42</v>
      </c>
      <c r="X54" s="65" t="s">
        <v>42</v>
      </c>
      <c r="Y54" s="93" t="s">
        <v>33</v>
      </c>
      <c r="Z54" s="93" t="s">
        <v>33</v>
      </c>
      <c r="AA54" s="93" t="s">
        <v>33</v>
      </c>
      <c r="AB54" s="93" t="s">
        <v>33</v>
      </c>
      <c r="AC54" s="93" t="s">
        <v>33</v>
      </c>
      <c r="AD54" s="93" t="s">
        <v>33</v>
      </c>
      <c r="AE54" s="94" t="s">
        <v>33</v>
      </c>
      <c r="AF54" s="94" t="s">
        <v>33</v>
      </c>
      <c r="AG54" s="95">
        <f t="shared" si="6"/>
        <v>0</v>
      </c>
      <c r="AH54" s="97"/>
      <c r="AI54" s="97"/>
      <c r="AJ54" s="97"/>
      <c r="AK54" s="98" t="s">
        <v>51</v>
      </c>
      <c r="AM54">
        <v>5</v>
      </c>
      <c r="AN54">
        <v>100</v>
      </c>
      <c r="AO54">
        <f>AN54-50</f>
        <v>50</v>
      </c>
      <c r="AP54">
        <f>AN54-40</f>
        <v>60</v>
      </c>
      <c r="AQ54" s="86">
        <f>COUNTIF(I60:AF93,$AM$18)</f>
        <v>0</v>
      </c>
    </row>
    <row r="55" spans="1:51">
      <c r="A55" s="99">
        <v>45690</v>
      </c>
      <c r="B55" s="93">
        <v>1600</v>
      </c>
      <c r="C55" s="93"/>
      <c r="D55" s="91">
        <f>(SUM(粮草!A55:X55)+AG55*10*IF(AK55="是",$AZ$4,$AZ$3))</f>
        <v>2368</v>
      </c>
      <c r="E55" s="105">
        <f>SUM($B$4:B55)+SUM($C$4:C55)-SUM($D$4:D55)</f>
        <v>-4422</v>
      </c>
      <c r="F55" s="104">
        <f>SUM(经验!A55:X55)</f>
        <v>840</v>
      </c>
      <c r="G55" s="91">
        <f>SUM($F$4:F55)+SUM($H$4:H55)</f>
        <v>41380</v>
      </c>
      <c r="H55" s="93">
        <v>0</v>
      </c>
      <c r="I55" s="64" t="s">
        <v>41</v>
      </c>
      <c r="J55" s="64" t="s">
        <v>41</v>
      </c>
      <c r="K55" s="64" t="s">
        <v>41</v>
      </c>
      <c r="L55" s="64" t="s">
        <v>41</v>
      </c>
      <c r="M55" s="64" t="s">
        <v>41</v>
      </c>
      <c r="N55" s="64" t="s">
        <v>41</v>
      </c>
      <c r="O55" s="64" t="s">
        <v>41</v>
      </c>
      <c r="P55" s="64" t="s">
        <v>41</v>
      </c>
      <c r="Q55" s="65" t="s">
        <v>42</v>
      </c>
      <c r="R55" s="65" t="s">
        <v>42</v>
      </c>
      <c r="S55" s="65" t="s">
        <v>42</v>
      </c>
      <c r="T55" s="65" t="s">
        <v>42</v>
      </c>
      <c r="U55" s="65" t="s">
        <v>42</v>
      </c>
      <c r="V55" s="65" t="s">
        <v>42</v>
      </c>
      <c r="W55" s="65" t="s">
        <v>42</v>
      </c>
      <c r="X55" s="65" t="s">
        <v>42</v>
      </c>
      <c r="Y55" s="93" t="s">
        <v>33</v>
      </c>
      <c r="Z55" s="93" t="s">
        <v>33</v>
      </c>
      <c r="AA55" s="93" t="s">
        <v>33</v>
      </c>
      <c r="AB55" s="93" t="s">
        <v>33</v>
      </c>
      <c r="AC55" s="93" t="s">
        <v>33</v>
      </c>
      <c r="AD55" s="93" t="s">
        <v>33</v>
      </c>
      <c r="AE55" s="94" t="s">
        <v>33</v>
      </c>
      <c r="AF55" s="94" t="s">
        <v>33</v>
      </c>
      <c r="AG55" s="95">
        <f t="shared" si="6"/>
        <v>0</v>
      </c>
      <c r="AH55" s="97"/>
      <c r="AI55" s="97"/>
      <c r="AJ55" s="97"/>
      <c r="AK55" s="98" t="s">
        <v>51</v>
      </c>
    </row>
    <row r="56" spans="1:51">
      <c r="A56" s="99">
        <v>45691</v>
      </c>
      <c r="B56" s="91">
        <v>1600</v>
      </c>
      <c r="C56" s="92"/>
      <c r="D56" s="91">
        <f>(SUM(粮草!A56:X56)+AG56*10*IF(AK56="是",$AZ$4,$AZ$3))</f>
        <v>2368</v>
      </c>
      <c r="E56" s="105">
        <f>SUM($B$4:B56)+SUM($C$4:C56)-SUM($D$4:D56)</f>
        <v>-5190</v>
      </c>
      <c r="F56" s="104">
        <f>SUM(经验!A56:X56)</f>
        <v>840</v>
      </c>
      <c r="G56" s="91">
        <f>SUM($F$4:F56)+SUM($H$4:H56)</f>
        <v>42520</v>
      </c>
      <c r="H56" s="91">
        <v>300</v>
      </c>
      <c r="I56" s="64" t="s">
        <v>41</v>
      </c>
      <c r="J56" s="64" t="s">
        <v>41</v>
      </c>
      <c r="K56" s="64" t="s">
        <v>41</v>
      </c>
      <c r="L56" s="64" t="s">
        <v>41</v>
      </c>
      <c r="M56" s="64" t="s">
        <v>41</v>
      </c>
      <c r="N56" s="64" t="s">
        <v>41</v>
      </c>
      <c r="O56" s="64" t="s">
        <v>41</v>
      </c>
      <c r="P56" s="64" t="s">
        <v>41</v>
      </c>
      <c r="Q56" s="65" t="s">
        <v>42</v>
      </c>
      <c r="R56" s="65" t="s">
        <v>42</v>
      </c>
      <c r="S56" s="65" t="s">
        <v>42</v>
      </c>
      <c r="T56" s="65" t="s">
        <v>42</v>
      </c>
      <c r="U56" s="65" t="s">
        <v>42</v>
      </c>
      <c r="V56" s="65" t="s">
        <v>42</v>
      </c>
      <c r="W56" s="65" t="s">
        <v>42</v>
      </c>
      <c r="X56" s="65" t="s">
        <v>42</v>
      </c>
      <c r="Y56" s="93" t="s">
        <v>33</v>
      </c>
      <c r="Z56" s="93" t="s">
        <v>33</v>
      </c>
      <c r="AA56" s="93" t="s">
        <v>33</v>
      </c>
      <c r="AB56" s="93" t="s">
        <v>33</v>
      </c>
      <c r="AC56" s="93" t="s">
        <v>33</v>
      </c>
      <c r="AD56" s="93" t="s">
        <v>33</v>
      </c>
      <c r="AE56" s="94" t="s">
        <v>33</v>
      </c>
      <c r="AF56" s="94" t="s">
        <v>33</v>
      </c>
      <c r="AG56" s="95">
        <f t="shared" si="6"/>
        <v>0</v>
      </c>
      <c r="AH56" s="97"/>
      <c r="AI56" s="97"/>
      <c r="AJ56" s="97"/>
      <c r="AK56" s="98" t="s">
        <v>51</v>
      </c>
    </row>
    <row r="57" spans="1:51">
      <c r="A57" s="99">
        <v>45692</v>
      </c>
      <c r="B57" s="91">
        <v>1600</v>
      </c>
      <c r="C57" s="92"/>
      <c r="D57" s="91">
        <f>(SUM(粮草!A57:X57)+AG57*10*IF(AK57="是",$AZ$4,$AZ$3))</f>
        <v>1760</v>
      </c>
      <c r="E57" s="105">
        <f>SUM($B$4:B57)+SUM($C$4:C57)-SUM($D$4:D57)</f>
        <v>-5350</v>
      </c>
      <c r="F57" s="104">
        <f>SUM(经验!A57:X57)</f>
        <v>620</v>
      </c>
      <c r="G57" s="91">
        <f>SUM($F$4:F57)+SUM($H$4:H57)</f>
        <v>43140</v>
      </c>
      <c r="H57" s="91">
        <v>0</v>
      </c>
      <c r="I57" s="64" t="s">
        <v>41</v>
      </c>
      <c r="J57" s="64" t="s">
        <v>41</v>
      </c>
      <c r="K57" s="64" t="s">
        <v>41</v>
      </c>
      <c r="L57" s="64" t="s">
        <v>41</v>
      </c>
      <c r="M57" s="64" t="s">
        <v>41</v>
      </c>
      <c r="N57" s="64" t="s">
        <v>41</v>
      </c>
      <c r="O57" s="64" t="s">
        <v>41</v>
      </c>
      <c r="P57" s="64" t="s">
        <v>41</v>
      </c>
      <c r="Q57" s="65" t="s">
        <v>42</v>
      </c>
      <c r="R57" s="65" t="s">
        <v>42</v>
      </c>
      <c r="S57" s="65" t="s">
        <v>42</v>
      </c>
      <c r="T57" s="65" t="s">
        <v>42</v>
      </c>
      <c r="U57" s="93" t="s">
        <v>33</v>
      </c>
      <c r="V57" s="93" t="s">
        <v>33</v>
      </c>
      <c r="W57" s="94" t="s">
        <v>33</v>
      </c>
      <c r="X57" s="94" t="s">
        <v>33</v>
      </c>
      <c r="Y57" s="93" t="s">
        <v>33</v>
      </c>
      <c r="Z57" s="93" t="s">
        <v>33</v>
      </c>
      <c r="AA57" s="93" t="s">
        <v>33</v>
      </c>
      <c r="AB57" s="93" t="s">
        <v>33</v>
      </c>
      <c r="AC57" s="93" t="s">
        <v>33</v>
      </c>
      <c r="AD57" s="93" t="s">
        <v>33</v>
      </c>
      <c r="AE57" s="94" t="s">
        <v>33</v>
      </c>
      <c r="AF57" s="94" t="s">
        <v>33</v>
      </c>
      <c r="AG57" s="95">
        <f t="shared" si="6"/>
        <v>0</v>
      </c>
      <c r="AH57" s="97"/>
      <c r="AI57" s="97"/>
      <c r="AJ57" s="97"/>
      <c r="AK57" s="98" t="s">
        <v>51</v>
      </c>
    </row>
    <row r="58" spans="1:51">
      <c r="A58" s="99">
        <v>45693</v>
      </c>
      <c r="B58" s="91">
        <v>1600</v>
      </c>
      <c r="C58" s="92"/>
      <c r="D58" s="91">
        <f>(SUM(粮草!A58:X58)+AG58*10*IF(AK58="是",$AZ$4,$AZ$3))</f>
        <v>2432</v>
      </c>
      <c r="E58" s="105">
        <f>SUM($B$4:B58)+SUM($C$4:C58)-SUM($D$4:D58)</f>
        <v>-6182</v>
      </c>
      <c r="F58" s="104">
        <f>SUM(经验!A58:X58)</f>
        <v>880</v>
      </c>
      <c r="G58" s="91">
        <f>SUM($F$4:F58)+SUM($H$4:H58)</f>
        <v>44220</v>
      </c>
      <c r="H58" s="91">
        <v>200</v>
      </c>
      <c r="I58" s="64" t="s">
        <v>41</v>
      </c>
      <c r="J58" s="64" t="s">
        <v>41</v>
      </c>
      <c r="K58" s="64" t="s">
        <v>41</v>
      </c>
      <c r="L58" s="64" t="s">
        <v>41</v>
      </c>
      <c r="M58" s="64" t="s">
        <v>41</v>
      </c>
      <c r="N58" s="64" t="s">
        <v>41</v>
      </c>
      <c r="O58" s="64" t="s">
        <v>41</v>
      </c>
      <c r="P58" s="64" t="s">
        <v>41</v>
      </c>
      <c r="Q58" s="66" t="s">
        <v>43</v>
      </c>
      <c r="R58" s="66" t="s">
        <v>43</v>
      </c>
      <c r="S58" s="66" t="s">
        <v>43</v>
      </c>
      <c r="T58" s="66" t="s">
        <v>43</v>
      </c>
      <c r="U58" s="66" t="s">
        <v>43</v>
      </c>
      <c r="V58" s="66" t="s">
        <v>43</v>
      </c>
      <c r="W58" s="66" t="s">
        <v>43</v>
      </c>
      <c r="X58" s="66" t="s">
        <v>43</v>
      </c>
      <c r="Y58" s="93" t="s">
        <v>33</v>
      </c>
      <c r="Z58" s="93" t="s">
        <v>33</v>
      </c>
      <c r="AA58" s="93" t="s">
        <v>33</v>
      </c>
      <c r="AB58" s="93" t="s">
        <v>33</v>
      </c>
      <c r="AC58" s="93" t="s">
        <v>33</v>
      </c>
      <c r="AD58" s="93" t="s">
        <v>33</v>
      </c>
      <c r="AE58" s="94" t="s">
        <v>33</v>
      </c>
      <c r="AF58" s="94" t="s">
        <v>33</v>
      </c>
      <c r="AG58" s="95">
        <f t="shared" si="6"/>
        <v>0</v>
      </c>
      <c r="AH58" s="97"/>
      <c r="AI58" s="97"/>
      <c r="AJ58" s="97"/>
      <c r="AK58" s="98" t="s">
        <v>51</v>
      </c>
    </row>
    <row r="59" spans="1:51">
      <c r="A59" s="99">
        <v>45694</v>
      </c>
      <c r="B59" s="91">
        <v>1600</v>
      </c>
      <c r="C59" s="92"/>
      <c r="D59" s="91">
        <f>(SUM(粮草!A59:X59)+AG59*10*IF(AK59="是",$AZ$4,$AZ$3))</f>
        <v>2432</v>
      </c>
      <c r="E59" s="105">
        <f>SUM($B$4:B59)+SUM($C$4:C59)-SUM($D$4:D59)</f>
        <v>-7014</v>
      </c>
      <c r="F59" s="104">
        <f>SUM(经验!A59:X59)</f>
        <v>880</v>
      </c>
      <c r="G59" s="91">
        <f>SUM($F$4:F59)+SUM($H$4:H59)</f>
        <v>45100</v>
      </c>
      <c r="H59" s="91">
        <v>0</v>
      </c>
      <c r="I59" s="64" t="s">
        <v>41</v>
      </c>
      <c r="J59" s="64" t="s">
        <v>41</v>
      </c>
      <c r="K59" s="64" t="s">
        <v>41</v>
      </c>
      <c r="L59" s="64" t="s">
        <v>41</v>
      </c>
      <c r="M59" s="64" t="s">
        <v>41</v>
      </c>
      <c r="N59" s="64" t="s">
        <v>41</v>
      </c>
      <c r="O59" s="64" t="s">
        <v>41</v>
      </c>
      <c r="P59" s="64" t="s">
        <v>41</v>
      </c>
      <c r="Q59" s="66" t="s">
        <v>43</v>
      </c>
      <c r="R59" s="66" t="s">
        <v>43</v>
      </c>
      <c r="S59" s="66" t="s">
        <v>43</v>
      </c>
      <c r="T59" s="66" t="s">
        <v>43</v>
      </c>
      <c r="U59" s="66" t="s">
        <v>43</v>
      </c>
      <c r="V59" s="66" t="s">
        <v>43</v>
      </c>
      <c r="W59" s="66" t="s">
        <v>43</v>
      </c>
      <c r="X59" s="66" t="s">
        <v>43</v>
      </c>
      <c r="Y59" s="93" t="s">
        <v>33</v>
      </c>
      <c r="Z59" s="93" t="s">
        <v>33</v>
      </c>
      <c r="AA59" s="93" t="s">
        <v>33</v>
      </c>
      <c r="AB59" s="93" t="s">
        <v>33</v>
      </c>
      <c r="AC59" s="93" t="s">
        <v>33</v>
      </c>
      <c r="AD59" s="93" t="s">
        <v>33</v>
      </c>
      <c r="AE59" s="94" t="s">
        <v>33</v>
      </c>
      <c r="AF59" s="94" t="s">
        <v>33</v>
      </c>
      <c r="AG59" s="95">
        <f t="shared" si="6"/>
        <v>0</v>
      </c>
      <c r="AH59" s="97"/>
      <c r="AI59" s="97"/>
      <c r="AJ59" s="97"/>
      <c r="AK59" s="98" t="s">
        <v>51</v>
      </c>
    </row>
    <row r="60" spans="1:51">
      <c r="A60" s="90">
        <v>45695</v>
      </c>
      <c r="B60" s="91">
        <v>1600</v>
      </c>
      <c r="C60" s="92"/>
      <c r="D60" s="91">
        <f>(SUM(粮草!A60:X60)+AG60*10*IF(AK60="是",$AZ$4,$AZ$3))</f>
        <v>2432</v>
      </c>
      <c r="E60" s="105">
        <f>SUM($B$4:B60)+SUM($C$4:C60)-SUM($D$4:D60)</f>
        <v>-7846</v>
      </c>
      <c r="F60" s="104">
        <f>SUM(经验!A60:X60)</f>
        <v>880</v>
      </c>
      <c r="G60" s="91">
        <f>SUM($F$4:F60)+SUM($H$4:H60)</f>
        <v>45980</v>
      </c>
      <c r="H60" s="91">
        <v>0</v>
      </c>
      <c r="I60" s="64" t="s">
        <v>41</v>
      </c>
      <c r="J60" s="64" t="s">
        <v>41</v>
      </c>
      <c r="K60" s="64" t="s">
        <v>41</v>
      </c>
      <c r="L60" s="64" t="s">
        <v>41</v>
      </c>
      <c r="M60" s="64" t="s">
        <v>41</v>
      </c>
      <c r="N60" s="64" t="s">
        <v>41</v>
      </c>
      <c r="O60" s="64" t="s">
        <v>41</v>
      </c>
      <c r="P60" s="64" t="s">
        <v>41</v>
      </c>
      <c r="Q60" s="66" t="s">
        <v>43</v>
      </c>
      <c r="R60" s="66" t="s">
        <v>43</v>
      </c>
      <c r="S60" s="66" t="s">
        <v>43</v>
      </c>
      <c r="T60" s="66" t="s">
        <v>43</v>
      </c>
      <c r="U60" s="66" t="s">
        <v>43</v>
      </c>
      <c r="V60" s="66" t="s">
        <v>43</v>
      </c>
      <c r="W60" s="66" t="s">
        <v>43</v>
      </c>
      <c r="X60" s="66" t="s">
        <v>43</v>
      </c>
      <c r="Y60" s="93" t="s">
        <v>33</v>
      </c>
      <c r="Z60" s="93" t="s">
        <v>33</v>
      </c>
      <c r="AA60" s="93" t="s">
        <v>33</v>
      </c>
      <c r="AB60" s="93" t="s">
        <v>33</v>
      </c>
      <c r="AC60" s="93" t="s">
        <v>33</v>
      </c>
      <c r="AD60" s="93" t="s">
        <v>33</v>
      </c>
      <c r="AE60" s="94" t="s">
        <v>33</v>
      </c>
      <c r="AF60" s="94" t="s">
        <v>33</v>
      </c>
      <c r="AG60" s="95">
        <f t="shared" si="6"/>
        <v>0</v>
      </c>
      <c r="AH60" s="97"/>
      <c r="AI60" s="97"/>
      <c r="AJ60" s="97"/>
      <c r="AK60" s="98" t="s">
        <v>51</v>
      </c>
    </row>
    <row r="61" spans="1:51">
      <c r="A61" s="90">
        <v>45696</v>
      </c>
      <c r="B61" s="91">
        <v>1600</v>
      </c>
      <c r="C61" s="92"/>
      <c r="D61" s="91">
        <f>(SUM(粮草!A61:X61)+AG61*10*IF(AK61="是",$AZ$4,$AZ$3))</f>
        <v>2432</v>
      </c>
      <c r="E61" s="105">
        <f>SUM($B$4:B61)+SUM($C$4:C61)-SUM($D$4:D61)</f>
        <v>-8678</v>
      </c>
      <c r="F61" s="104">
        <f>SUM(经验!A61:X61)</f>
        <v>880</v>
      </c>
      <c r="G61" s="91">
        <f>SUM($F$4:F61)+SUM($H$4:H61)</f>
        <v>46860</v>
      </c>
      <c r="H61" s="91">
        <v>0</v>
      </c>
      <c r="I61" s="64" t="s">
        <v>41</v>
      </c>
      <c r="J61" s="64" t="s">
        <v>41</v>
      </c>
      <c r="K61" s="64" t="s">
        <v>41</v>
      </c>
      <c r="L61" s="64" t="s">
        <v>41</v>
      </c>
      <c r="M61" s="64" t="s">
        <v>41</v>
      </c>
      <c r="N61" s="64" t="s">
        <v>41</v>
      </c>
      <c r="O61" s="64" t="s">
        <v>41</v>
      </c>
      <c r="P61" s="64" t="s">
        <v>41</v>
      </c>
      <c r="Q61" s="66" t="s">
        <v>43</v>
      </c>
      <c r="R61" s="66" t="s">
        <v>43</v>
      </c>
      <c r="S61" s="66" t="s">
        <v>43</v>
      </c>
      <c r="T61" s="66" t="s">
        <v>43</v>
      </c>
      <c r="U61" s="66" t="s">
        <v>43</v>
      </c>
      <c r="V61" s="66" t="s">
        <v>43</v>
      </c>
      <c r="W61" s="66" t="s">
        <v>43</v>
      </c>
      <c r="X61" s="66" t="s">
        <v>43</v>
      </c>
      <c r="Y61" s="93" t="s">
        <v>33</v>
      </c>
      <c r="Z61" s="93" t="s">
        <v>33</v>
      </c>
      <c r="AA61" s="93" t="s">
        <v>33</v>
      </c>
      <c r="AB61" s="93" t="s">
        <v>33</v>
      </c>
      <c r="AC61" s="93" t="s">
        <v>33</v>
      </c>
      <c r="AD61" s="93" t="s">
        <v>33</v>
      </c>
      <c r="AE61" s="94" t="s">
        <v>33</v>
      </c>
      <c r="AF61" s="94" t="s">
        <v>33</v>
      </c>
      <c r="AG61" s="95">
        <f t="shared" si="6"/>
        <v>0</v>
      </c>
      <c r="AH61" s="97"/>
      <c r="AI61" s="97"/>
      <c r="AJ61" s="97"/>
      <c r="AK61" s="98" t="s">
        <v>51</v>
      </c>
    </row>
    <row r="62" spans="1:51">
      <c r="A62" s="90">
        <v>45697</v>
      </c>
      <c r="B62" s="91">
        <v>1600</v>
      </c>
      <c r="C62" s="92"/>
      <c r="D62" s="91">
        <f>(SUM(粮草!A62:X62)+AG62*10*IF(AK62="是",$AZ$4,$AZ$3))</f>
        <v>2432</v>
      </c>
      <c r="E62" s="105">
        <f>SUM($B$4:B62)+SUM($C$4:C62)-SUM($D$4:D62)</f>
        <v>-9510</v>
      </c>
      <c r="F62" s="104">
        <f>SUM(经验!A62:X62)</f>
        <v>880</v>
      </c>
      <c r="G62" s="91">
        <f>SUM($F$4:F62)+SUM($H$4:H62)</f>
        <v>47740</v>
      </c>
      <c r="H62" s="91">
        <v>0</v>
      </c>
      <c r="I62" s="64" t="s">
        <v>41</v>
      </c>
      <c r="J62" s="64" t="s">
        <v>41</v>
      </c>
      <c r="K62" s="64" t="s">
        <v>41</v>
      </c>
      <c r="L62" s="64" t="s">
        <v>41</v>
      </c>
      <c r="M62" s="64" t="s">
        <v>41</v>
      </c>
      <c r="N62" s="64" t="s">
        <v>41</v>
      </c>
      <c r="O62" s="64" t="s">
        <v>41</v>
      </c>
      <c r="P62" s="64" t="s">
        <v>41</v>
      </c>
      <c r="Q62" s="66" t="s">
        <v>43</v>
      </c>
      <c r="R62" s="66" t="s">
        <v>43</v>
      </c>
      <c r="S62" s="66" t="s">
        <v>43</v>
      </c>
      <c r="T62" s="66" t="s">
        <v>43</v>
      </c>
      <c r="U62" s="66" t="s">
        <v>43</v>
      </c>
      <c r="V62" s="66" t="s">
        <v>43</v>
      </c>
      <c r="W62" s="66" t="s">
        <v>43</v>
      </c>
      <c r="X62" s="66" t="s">
        <v>43</v>
      </c>
      <c r="Y62" s="93" t="s">
        <v>33</v>
      </c>
      <c r="Z62" s="93" t="s">
        <v>33</v>
      </c>
      <c r="AA62" s="93" t="s">
        <v>33</v>
      </c>
      <c r="AB62" s="93" t="s">
        <v>33</v>
      </c>
      <c r="AC62" s="93" t="s">
        <v>33</v>
      </c>
      <c r="AD62" s="93" t="s">
        <v>33</v>
      </c>
      <c r="AE62" s="94" t="s">
        <v>33</v>
      </c>
      <c r="AF62" s="94" t="s">
        <v>33</v>
      </c>
      <c r="AG62" s="95">
        <f t="shared" si="6"/>
        <v>0</v>
      </c>
      <c r="AH62" s="97"/>
      <c r="AI62" s="97"/>
      <c r="AJ62" s="97"/>
      <c r="AK62" s="98" t="s">
        <v>51</v>
      </c>
    </row>
    <row r="63" spans="1:51">
      <c r="A63" s="90">
        <v>45698</v>
      </c>
      <c r="B63" s="93">
        <v>1600</v>
      </c>
      <c r="C63" s="93"/>
      <c r="D63" s="91">
        <f>(SUM(粮草!A63:X63)+AG63*10*IF(AK63="是",$AZ$4,$AZ$3))</f>
        <v>2432</v>
      </c>
      <c r="E63" s="105">
        <f>SUM($B$4:B63)+SUM($C$4:C63)-SUM($D$4:D63)</f>
        <v>-10342</v>
      </c>
      <c r="F63" s="104">
        <f>SUM(经验!A63:X63)</f>
        <v>880</v>
      </c>
      <c r="G63" s="91">
        <f>SUM($F$4:F63)+SUM($H$4:H63)</f>
        <v>48920</v>
      </c>
      <c r="H63" s="93">
        <v>300</v>
      </c>
      <c r="I63" s="64" t="s">
        <v>41</v>
      </c>
      <c r="J63" s="64" t="s">
        <v>41</v>
      </c>
      <c r="K63" s="64" t="s">
        <v>41</v>
      </c>
      <c r="L63" s="64" t="s">
        <v>41</v>
      </c>
      <c r="M63" s="64" t="s">
        <v>41</v>
      </c>
      <c r="N63" s="64" t="s">
        <v>41</v>
      </c>
      <c r="O63" s="64" t="s">
        <v>41</v>
      </c>
      <c r="P63" s="64" t="s">
        <v>41</v>
      </c>
      <c r="Q63" s="66" t="s">
        <v>43</v>
      </c>
      <c r="R63" s="66" t="s">
        <v>43</v>
      </c>
      <c r="S63" s="66" t="s">
        <v>43</v>
      </c>
      <c r="T63" s="66" t="s">
        <v>43</v>
      </c>
      <c r="U63" s="66" t="s">
        <v>43</v>
      </c>
      <c r="V63" s="66" t="s">
        <v>43</v>
      </c>
      <c r="W63" s="66" t="s">
        <v>43</v>
      </c>
      <c r="X63" s="66" t="s">
        <v>43</v>
      </c>
      <c r="Y63" s="93" t="s">
        <v>33</v>
      </c>
      <c r="Z63" s="93" t="s">
        <v>33</v>
      </c>
      <c r="AA63" s="93" t="s">
        <v>33</v>
      </c>
      <c r="AB63" s="93" t="s">
        <v>33</v>
      </c>
      <c r="AC63" s="93" t="s">
        <v>33</v>
      </c>
      <c r="AD63" s="93" t="s">
        <v>33</v>
      </c>
      <c r="AE63" s="94" t="s">
        <v>33</v>
      </c>
      <c r="AF63" s="94" t="s">
        <v>33</v>
      </c>
      <c r="AG63" s="95">
        <f t="shared" si="6"/>
        <v>0</v>
      </c>
      <c r="AH63" s="97"/>
      <c r="AI63" s="97"/>
      <c r="AJ63" s="97"/>
      <c r="AK63" s="98" t="s">
        <v>51</v>
      </c>
    </row>
    <row r="64" spans="1:51">
      <c r="A64" s="90">
        <v>45699</v>
      </c>
      <c r="B64" s="93">
        <v>1600</v>
      </c>
      <c r="C64" s="93"/>
      <c r="D64" s="91">
        <f>(SUM(粮草!A64:X64)+AG64*10*IF(AK64="是",$AZ$4,$AZ$3))</f>
        <v>2432</v>
      </c>
      <c r="E64" s="105">
        <f>SUM($B$4:B64)+SUM($C$4:C64)-SUM($D$4:D64)</f>
        <v>-11174</v>
      </c>
      <c r="F64" s="104">
        <f>SUM(经验!A64:X64)</f>
        <v>880</v>
      </c>
      <c r="G64" s="91">
        <f>SUM($F$4:F64)+SUM($H$4:H64)</f>
        <v>49800</v>
      </c>
      <c r="H64" s="93">
        <v>0</v>
      </c>
      <c r="I64" s="64" t="s">
        <v>41</v>
      </c>
      <c r="J64" s="64" t="s">
        <v>41</v>
      </c>
      <c r="K64" s="64" t="s">
        <v>41</v>
      </c>
      <c r="L64" s="64" t="s">
        <v>41</v>
      </c>
      <c r="M64" s="64" t="s">
        <v>41</v>
      </c>
      <c r="N64" s="64" t="s">
        <v>41</v>
      </c>
      <c r="O64" s="64" t="s">
        <v>41</v>
      </c>
      <c r="P64" s="64" t="s">
        <v>41</v>
      </c>
      <c r="Q64" s="66" t="s">
        <v>43</v>
      </c>
      <c r="R64" s="66" t="s">
        <v>43</v>
      </c>
      <c r="S64" s="66" t="s">
        <v>43</v>
      </c>
      <c r="T64" s="66" t="s">
        <v>43</v>
      </c>
      <c r="U64" s="66" t="s">
        <v>43</v>
      </c>
      <c r="V64" s="66" t="s">
        <v>43</v>
      </c>
      <c r="W64" s="66" t="s">
        <v>43</v>
      </c>
      <c r="X64" s="66" t="s">
        <v>43</v>
      </c>
      <c r="Y64" s="93" t="s">
        <v>33</v>
      </c>
      <c r="Z64" s="93" t="s">
        <v>33</v>
      </c>
      <c r="AA64" s="93" t="s">
        <v>33</v>
      </c>
      <c r="AB64" s="93" t="s">
        <v>33</v>
      </c>
      <c r="AC64" s="93" t="s">
        <v>33</v>
      </c>
      <c r="AD64" s="93" t="s">
        <v>33</v>
      </c>
      <c r="AE64" s="94" t="s">
        <v>33</v>
      </c>
      <c r="AF64" s="94" t="s">
        <v>33</v>
      </c>
      <c r="AG64" s="95">
        <f t="shared" si="6"/>
        <v>0</v>
      </c>
      <c r="AH64" s="97"/>
      <c r="AI64" s="97"/>
      <c r="AJ64" s="97"/>
      <c r="AK64" s="98" t="s">
        <v>51</v>
      </c>
    </row>
    <row r="65" spans="1:37">
      <c r="A65" s="90">
        <v>45700</v>
      </c>
      <c r="B65" s="93">
        <v>1600</v>
      </c>
      <c r="C65" s="93"/>
      <c r="D65" s="91">
        <f>(SUM(粮草!A65:X65)+AG65*10*IF(AK65="是",$AZ$4,$AZ$3))</f>
        <v>2432</v>
      </c>
      <c r="E65" s="105">
        <f>SUM($B$4:B65)+SUM($C$4:C65)-SUM($D$4:D65)</f>
        <v>-12006</v>
      </c>
      <c r="F65" s="104">
        <f>SUM(经验!A65:X65)</f>
        <v>880</v>
      </c>
      <c r="G65" s="91">
        <f>SUM($F$4:F65)+SUM($H$4:H65)</f>
        <v>50880</v>
      </c>
      <c r="H65" s="93">
        <v>200</v>
      </c>
      <c r="I65" s="64" t="s">
        <v>41</v>
      </c>
      <c r="J65" s="64" t="s">
        <v>41</v>
      </c>
      <c r="K65" s="64" t="s">
        <v>41</v>
      </c>
      <c r="L65" s="64" t="s">
        <v>41</v>
      </c>
      <c r="M65" s="64" t="s">
        <v>41</v>
      </c>
      <c r="N65" s="64" t="s">
        <v>41</v>
      </c>
      <c r="O65" s="64" t="s">
        <v>41</v>
      </c>
      <c r="P65" s="64" t="s">
        <v>41</v>
      </c>
      <c r="Q65" s="66" t="s">
        <v>43</v>
      </c>
      <c r="R65" s="66" t="s">
        <v>43</v>
      </c>
      <c r="S65" s="66" t="s">
        <v>43</v>
      </c>
      <c r="T65" s="66" t="s">
        <v>43</v>
      </c>
      <c r="U65" s="66" t="s">
        <v>43</v>
      </c>
      <c r="V65" s="66" t="s">
        <v>43</v>
      </c>
      <c r="W65" s="66" t="s">
        <v>43</v>
      </c>
      <c r="X65" s="66" t="s">
        <v>43</v>
      </c>
      <c r="Y65" s="93" t="s">
        <v>33</v>
      </c>
      <c r="Z65" s="93" t="s">
        <v>33</v>
      </c>
      <c r="AA65" s="93" t="s">
        <v>33</v>
      </c>
      <c r="AB65" s="93" t="s">
        <v>33</v>
      </c>
      <c r="AC65" s="93" t="s">
        <v>33</v>
      </c>
      <c r="AD65" s="93" t="s">
        <v>33</v>
      </c>
      <c r="AE65" s="94" t="s">
        <v>33</v>
      </c>
      <c r="AF65" s="94" t="s">
        <v>33</v>
      </c>
      <c r="AG65" s="95">
        <f t="shared" si="6"/>
        <v>0</v>
      </c>
      <c r="AH65" s="97"/>
      <c r="AI65" s="97"/>
      <c r="AJ65" s="97"/>
      <c r="AK65" s="98" t="s">
        <v>51</v>
      </c>
    </row>
    <row r="66" spans="1:37">
      <c r="A66" s="90">
        <v>45701</v>
      </c>
      <c r="B66" s="93">
        <v>1600</v>
      </c>
      <c r="C66" s="93"/>
      <c r="D66" s="91">
        <f>(SUM(粮草!A66:X66)+AG66*10*IF(AK66="是",$AZ$4,$AZ$3))</f>
        <v>2432</v>
      </c>
      <c r="E66" s="105">
        <f>SUM($B$4:B66)+SUM($C$4:C66)-SUM($D$4:D66)</f>
        <v>-12838</v>
      </c>
      <c r="F66" s="104">
        <f>SUM(经验!A66:X66)</f>
        <v>880</v>
      </c>
      <c r="G66" s="91">
        <f>SUM($F$4:F66)+SUM($H$4:H66)</f>
        <v>51760</v>
      </c>
      <c r="H66" s="93">
        <v>0</v>
      </c>
      <c r="I66" s="64" t="s">
        <v>41</v>
      </c>
      <c r="J66" s="64" t="s">
        <v>41</v>
      </c>
      <c r="K66" s="64" t="s">
        <v>41</v>
      </c>
      <c r="L66" s="64" t="s">
        <v>41</v>
      </c>
      <c r="M66" s="64" t="s">
        <v>41</v>
      </c>
      <c r="N66" s="64" t="s">
        <v>41</v>
      </c>
      <c r="O66" s="64" t="s">
        <v>41</v>
      </c>
      <c r="P66" s="64" t="s">
        <v>41</v>
      </c>
      <c r="Q66" s="66" t="s">
        <v>43</v>
      </c>
      <c r="R66" s="66" t="s">
        <v>43</v>
      </c>
      <c r="S66" s="66" t="s">
        <v>43</v>
      </c>
      <c r="T66" s="66" t="s">
        <v>43</v>
      </c>
      <c r="U66" s="66" t="s">
        <v>43</v>
      </c>
      <c r="V66" s="66" t="s">
        <v>43</v>
      </c>
      <c r="W66" s="66" t="s">
        <v>43</v>
      </c>
      <c r="X66" s="66" t="s">
        <v>43</v>
      </c>
      <c r="Y66" s="93" t="s">
        <v>33</v>
      </c>
      <c r="Z66" s="93" t="s">
        <v>33</v>
      </c>
      <c r="AA66" s="93" t="s">
        <v>33</v>
      </c>
      <c r="AB66" s="93" t="s">
        <v>33</v>
      </c>
      <c r="AC66" s="93" t="s">
        <v>33</v>
      </c>
      <c r="AD66" s="93" t="s">
        <v>33</v>
      </c>
      <c r="AE66" s="94" t="s">
        <v>33</v>
      </c>
      <c r="AF66" s="94" t="s">
        <v>33</v>
      </c>
      <c r="AG66" s="95">
        <f t="shared" si="6"/>
        <v>0</v>
      </c>
      <c r="AH66" s="97"/>
      <c r="AI66" s="97"/>
      <c r="AJ66" s="97"/>
      <c r="AK66" s="98" t="s">
        <v>51</v>
      </c>
    </row>
    <row r="67" spans="1:37">
      <c r="A67" s="90">
        <v>45702</v>
      </c>
      <c r="B67" s="93">
        <v>1600</v>
      </c>
      <c r="C67" s="93"/>
      <c r="D67" s="91">
        <f>(SUM(粮草!A67:X67)+AG67*10*IF(AK67="是",$AZ$4,$AZ$3))</f>
        <v>2432</v>
      </c>
      <c r="E67" s="105">
        <f>SUM($B$4:B67)+SUM($C$4:C67)-SUM($D$4:D67)</f>
        <v>-13670</v>
      </c>
      <c r="F67" s="104">
        <f>SUM(经验!A67:X67)</f>
        <v>880</v>
      </c>
      <c r="G67" s="91">
        <f>SUM($F$4:F67)+SUM($H$4:H67)</f>
        <v>52640</v>
      </c>
      <c r="H67" s="93">
        <v>0</v>
      </c>
      <c r="I67" s="64" t="s">
        <v>41</v>
      </c>
      <c r="J67" s="64" t="s">
        <v>41</v>
      </c>
      <c r="K67" s="64" t="s">
        <v>41</v>
      </c>
      <c r="L67" s="64" t="s">
        <v>41</v>
      </c>
      <c r="M67" s="64" t="s">
        <v>41</v>
      </c>
      <c r="N67" s="64" t="s">
        <v>41</v>
      </c>
      <c r="O67" s="64" t="s">
        <v>41</v>
      </c>
      <c r="P67" s="64" t="s">
        <v>41</v>
      </c>
      <c r="Q67" s="66" t="s">
        <v>43</v>
      </c>
      <c r="R67" s="66" t="s">
        <v>43</v>
      </c>
      <c r="S67" s="66" t="s">
        <v>43</v>
      </c>
      <c r="T67" s="66" t="s">
        <v>43</v>
      </c>
      <c r="U67" s="66" t="s">
        <v>43</v>
      </c>
      <c r="V67" s="66" t="s">
        <v>43</v>
      </c>
      <c r="W67" s="66" t="s">
        <v>43</v>
      </c>
      <c r="X67" s="66" t="s">
        <v>43</v>
      </c>
      <c r="Y67" s="93" t="s">
        <v>33</v>
      </c>
      <c r="Z67" s="93" t="s">
        <v>33</v>
      </c>
      <c r="AA67" s="93" t="s">
        <v>33</v>
      </c>
      <c r="AB67" s="93" t="s">
        <v>33</v>
      </c>
      <c r="AC67" s="93" t="s">
        <v>33</v>
      </c>
      <c r="AD67" s="93" t="s">
        <v>33</v>
      </c>
      <c r="AE67" s="94" t="s">
        <v>33</v>
      </c>
      <c r="AF67" s="94" t="s">
        <v>33</v>
      </c>
      <c r="AG67" s="95">
        <f t="shared" si="6"/>
        <v>0</v>
      </c>
      <c r="AH67" s="97"/>
      <c r="AI67" s="97"/>
      <c r="AJ67" s="97"/>
      <c r="AK67" s="98" t="s">
        <v>51</v>
      </c>
    </row>
    <row r="68" spans="1:37">
      <c r="A68" s="90">
        <v>45703</v>
      </c>
      <c r="B68" s="93">
        <v>1600</v>
      </c>
      <c r="C68" s="93"/>
      <c r="D68" s="91">
        <f>(SUM(粮草!A68:X68)+AG68*10*IF(AK68="是",$AZ$4,$AZ$3))</f>
        <v>2432</v>
      </c>
      <c r="E68" s="105">
        <f>SUM($B$4:B68)+SUM($C$4:C68)-SUM($D$4:D68)</f>
        <v>-14502</v>
      </c>
      <c r="F68" s="104">
        <f>SUM(经验!A68:X68)</f>
        <v>880</v>
      </c>
      <c r="G68" s="91">
        <f>SUM($F$4:F68)+SUM($H$4:H68)</f>
        <v>53520</v>
      </c>
      <c r="H68" s="93">
        <v>0</v>
      </c>
      <c r="I68" s="64" t="s">
        <v>41</v>
      </c>
      <c r="J68" s="64" t="s">
        <v>41</v>
      </c>
      <c r="K68" s="64" t="s">
        <v>41</v>
      </c>
      <c r="L68" s="64" t="s">
        <v>41</v>
      </c>
      <c r="M68" s="64" t="s">
        <v>41</v>
      </c>
      <c r="N68" s="64" t="s">
        <v>41</v>
      </c>
      <c r="O68" s="64" t="s">
        <v>41</v>
      </c>
      <c r="P68" s="64" t="s">
        <v>41</v>
      </c>
      <c r="Q68" s="66" t="s">
        <v>43</v>
      </c>
      <c r="R68" s="66" t="s">
        <v>43</v>
      </c>
      <c r="S68" s="66" t="s">
        <v>43</v>
      </c>
      <c r="T68" s="66" t="s">
        <v>43</v>
      </c>
      <c r="U68" s="66" t="s">
        <v>43</v>
      </c>
      <c r="V68" s="66" t="s">
        <v>43</v>
      </c>
      <c r="W68" s="66" t="s">
        <v>43</v>
      </c>
      <c r="X68" s="66" t="s">
        <v>43</v>
      </c>
      <c r="Y68" s="93" t="s">
        <v>33</v>
      </c>
      <c r="Z68" s="93" t="s">
        <v>33</v>
      </c>
      <c r="AA68" s="93" t="s">
        <v>33</v>
      </c>
      <c r="AB68" s="93" t="s">
        <v>33</v>
      </c>
      <c r="AC68" s="93" t="s">
        <v>33</v>
      </c>
      <c r="AD68" s="93" t="s">
        <v>33</v>
      </c>
      <c r="AE68" s="94" t="s">
        <v>33</v>
      </c>
      <c r="AF68" s="94" t="s">
        <v>33</v>
      </c>
      <c r="AG68" s="95">
        <f t="shared" si="6"/>
        <v>0</v>
      </c>
      <c r="AH68" s="97"/>
      <c r="AI68" s="97"/>
      <c r="AJ68" s="97"/>
      <c r="AK68" s="98" t="s">
        <v>51</v>
      </c>
    </row>
    <row r="69" spans="1:37">
      <c r="A69" s="90">
        <v>45704</v>
      </c>
      <c r="B69" s="93">
        <v>1600</v>
      </c>
      <c r="C69" s="93"/>
      <c r="D69" s="91">
        <f>(SUM(粮草!A69:X69)+AG69*10*IF(AK69="是",$AZ$4,$AZ$3))</f>
        <v>2432</v>
      </c>
      <c r="E69" s="105">
        <f>SUM($B$4:B69)+SUM($C$4:C69)-SUM($D$4:D69)</f>
        <v>-15334</v>
      </c>
      <c r="F69" s="104">
        <f>SUM(经验!A69:X69)</f>
        <v>880</v>
      </c>
      <c r="G69" s="91">
        <f>SUM($F$4:F69)+SUM($H$4:H69)</f>
        <v>54400</v>
      </c>
      <c r="H69" s="93">
        <v>0</v>
      </c>
      <c r="I69" s="64" t="s">
        <v>41</v>
      </c>
      <c r="J69" s="64" t="s">
        <v>41</v>
      </c>
      <c r="K69" s="64" t="s">
        <v>41</v>
      </c>
      <c r="L69" s="64" t="s">
        <v>41</v>
      </c>
      <c r="M69" s="64" t="s">
        <v>41</v>
      </c>
      <c r="N69" s="64" t="s">
        <v>41</v>
      </c>
      <c r="O69" s="64" t="s">
        <v>41</v>
      </c>
      <c r="P69" s="64" t="s">
        <v>41</v>
      </c>
      <c r="Q69" s="66" t="s">
        <v>43</v>
      </c>
      <c r="R69" s="66" t="s">
        <v>43</v>
      </c>
      <c r="S69" s="66" t="s">
        <v>43</v>
      </c>
      <c r="T69" s="66" t="s">
        <v>43</v>
      </c>
      <c r="U69" s="66" t="s">
        <v>43</v>
      </c>
      <c r="V69" s="66" t="s">
        <v>43</v>
      </c>
      <c r="W69" s="66" t="s">
        <v>43</v>
      </c>
      <c r="X69" s="66" t="s">
        <v>43</v>
      </c>
      <c r="Y69" s="93" t="s">
        <v>33</v>
      </c>
      <c r="Z69" s="93" t="s">
        <v>33</v>
      </c>
      <c r="AA69" s="93" t="s">
        <v>33</v>
      </c>
      <c r="AB69" s="93" t="s">
        <v>33</v>
      </c>
      <c r="AC69" s="93" t="s">
        <v>33</v>
      </c>
      <c r="AD69" s="93" t="s">
        <v>33</v>
      </c>
      <c r="AE69" s="94" t="s">
        <v>33</v>
      </c>
      <c r="AF69" s="94" t="s">
        <v>33</v>
      </c>
      <c r="AG69" s="95">
        <f t="shared" ref="AG69:AG93" si="11">AH69+AI69+AJ69</f>
        <v>0</v>
      </c>
      <c r="AH69" s="97"/>
      <c r="AI69" s="97"/>
      <c r="AJ69" s="97"/>
      <c r="AK69" s="98" t="s">
        <v>51</v>
      </c>
    </row>
    <row r="70" spans="1:37">
      <c r="A70" s="90">
        <v>45705</v>
      </c>
      <c r="B70" s="91">
        <v>1600</v>
      </c>
      <c r="C70" s="92"/>
      <c r="D70" s="91">
        <f>(SUM(粮草!A70:X70)+AG70*10*IF(AK70="是",$AZ$4,$AZ$3))</f>
        <v>2432</v>
      </c>
      <c r="E70" s="105">
        <f>SUM($B$4:B70)+SUM($C$4:C70)-SUM($D$4:D70)</f>
        <v>-16166</v>
      </c>
      <c r="F70" s="104">
        <f>SUM(经验!A70:X70)</f>
        <v>880</v>
      </c>
      <c r="G70" s="91">
        <f>SUM($F$4:F70)+SUM($H$4:H70)</f>
        <v>55580</v>
      </c>
      <c r="H70" s="91">
        <v>300</v>
      </c>
      <c r="I70" s="64" t="s">
        <v>41</v>
      </c>
      <c r="J70" s="64" t="s">
        <v>41</v>
      </c>
      <c r="K70" s="64" t="s">
        <v>41</v>
      </c>
      <c r="L70" s="64" t="s">
        <v>41</v>
      </c>
      <c r="M70" s="64" t="s">
        <v>41</v>
      </c>
      <c r="N70" s="64" t="s">
        <v>41</v>
      </c>
      <c r="O70" s="64" t="s">
        <v>41</v>
      </c>
      <c r="P70" s="64" t="s">
        <v>41</v>
      </c>
      <c r="Q70" s="66" t="s">
        <v>43</v>
      </c>
      <c r="R70" s="66" t="s">
        <v>43</v>
      </c>
      <c r="S70" s="66" t="s">
        <v>43</v>
      </c>
      <c r="T70" s="66" t="s">
        <v>43</v>
      </c>
      <c r="U70" s="66" t="s">
        <v>43</v>
      </c>
      <c r="V70" s="66" t="s">
        <v>43</v>
      </c>
      <c r="W70" s="66" t="s">
        <v>43</v>
      </c>
      <c r="X70" s="66" t="s">
        <v>43</v>
      </c>
      <c r="Y70" s="93" t="s">
        <v>33</v>
      </c>
      <c r="Z70" s="93" t="s">
        <v>33</v>
      </c>
      <c r="AA70" s="93" t="s">
        <v>33</v>
      </c>
      <c r="AB70" s="93" t="s">
        <v>33</v>
      </c>
      <c r="AC70" s="93" t="s">
        <v>33</v>
      </c>
      <c r="AD70" s="93" t="s">
        <v>33</v>
      </c>
      <c r="AE70" s="94" t="s">
        <v>33</v>
      </c>
      <c r="AF70" s="94" t="s">
        <v>33</v>
      </c>
      <c r="AG70" s="95">
        <f t="shared" si="11"/>
        <v>0</v>
      </c>
      <c r="AH70" s="97"/>
      <c r="AI70" s="97"/>
      <c r="AJ70" s="97"/>
      <c r="AK70" s="98" t="s">
        <v>51</v>
      </c>
    </row>
    <row r="71" spans="1:37">
      <c r="A71" s="90">
        <v>45706</v>
      </c>
      <c r="B71" s="91">
        <v>1600</v>
      </c>
      <c r="C71" s="92"/>
      <c r="D71" s="91">
        <f>(SUM(粮草!A71:X71)+AG71*10*IF(AK71="是",$AZ$4,$AZ$3))</f>
        <v>2432</v>
      </c>
      <c r="E71" s="105">
        <f>SUM($B$4:B71)+SUM($C$4:C71)-SUM($D$4:D71)</f>
        <v>-16998</v>
      </c>
      <c r="F71" s="104">
        <f>SUM(经验!A71:X71)</f>
        <v>880</v>
      </c>
      <c r="G71" s="91">
        <f>SUM($F$4:F71)+SUM($H$4:H71)</f>
        <v>56460</v>
      </c>
      <c r="H71" s="91">
        <v>0</v>
      </c>
      <c r="I71" s="64" t="s">
        <v>41</v>
      </c>
      <c r="J71" s="64" t="s">
        <v>41</v>
      </c>
      <c r="K71" s="64" t="s">
        <v>41</v>
      </c>
      <c r="L71" s="64" t="s">
        <v>41</v>
      </c>
      <c r="M71" s="64" t="s">
        <v>41</v>
      </c>
      <c r="N71" s="64" t="s">
        <v>41</v>
      </c>
      <c r="O71" s="64" t="s">
        <v>41</v>
      </c>
      <c r="P71" s="64" t="s">
        <v>41</v>
      </c>
      <c r="Q71" s="66" t="s">
        <v>43</v>
      </c>
      <c r="R71" s="66" t="s">
        <v>43</v>
      </c>
      <c r="S71" s="66" t="s">
        <v>43</v>
      </c>
      <c r="T71" s="66" t="s">
        <v>43</v>
      </c>
      <c r="U71" s="66" t="s">
        <v>43</v>
      </c>
      <c r="V71" s="66" t="s">
        <v>43</v>
      </c>
      <c r="W71" s="66" t="s">
        <v>43</v>
      </c>
      <c r="X71" s="66" t="s">
        <v>43</v>
      </c>
      <c r="Y71" s="93" t="s">
        <v>33</v>
      </c>
      <c r="Z71" s="93" t="s">
        <v>33</v>
      </c>
      <c r="AA71" s="93" t="s">
        <v>33</v>
      </c>
      <c r="AB71" s="93" t="s">
        <v>33</v>
      </c>
      <c r="AC71" s="93" t="s">
        <v>33</v>
      </c>
      <c r="AD71" s="93" t="s">
        <v>33</v>
      </c>
      <c r="AE71" s="94" t="s">
        <v>33</v>
      </c>
      <c r="AF71" s="94" t="s">
        <v>33</v>
      </c>
      <c r="AG71" s="95">
        <f t="shared" si="11"/>
        <v>0</v>
      </c>
      <c r="AH71" s="97"/>
      <c r="AI71" s="97"/>
      <c r="AJ71" s="97"/>
      <c r="AK71" s="98" t="s">
        <v>51</v>
      </c>
    </row>
    <row r="72" spans="1:37">
      <c r="A72" s="90">
        <v>45707</v>
      </c>
      <c r="B72" s="91">
        <v>1600</v>
      </c>
      <c r="C72" s="92"/>
      <c r="D72" s="91">
        <f>(SUM(粮草!A72:X72)+AG72*10*IF(AK72="是",$AZ$4,$AZ$3))</f>
        <v>2432</v>
      </c>
      <c r="E72" s="105">
        <f>SUM($B$4:B72)+SUM($C$4:C72)-SUM($D$4:D72)</f>
        <v>-17830</v>
      </c>
      <c r="F72" s="104">
        <f>SUM(经验!A72:X72)</f>
        <v>880</v>
      </c>
      <c r="G72" s="91">
        <f>SUM($F$4:F72)+SUM($H$4:H72)</f>
        <v>57540</v>
      </c>
      <c r="H72" s="91">
        <v>200</v>
      </c>
      <c r="I72" s="64" t="s">
        <v>41</v>
      </c>
      <c r="J72" s="64" t="s">
        <v>41</v>
      </c>
      <c r="K72" s="64" t="s">
        <v>41</v>
      </c>
      <c r="L72" s="64" t="s">
        <v>41</v>
      </c>
      <c r="M72" s="64" t="s">
        <v>41</v>
      </c>
      <c r="N72" s="64" t="s">
        <v>41</v>
      </c>
      <c r="O72" s="64" t="s">
        <v>41</v>
      </c>
      <c r="P72" s="64" t="s">
        <v>41</v>
      </c>
      <c r="Q72" s="66" t="s">
        <v>43</v>
      </c>
      <c r="R72" s="66" t="s">
        <v>43</v>
      </c>
      <c r="S72" s="66" t="s">
        <v>43</v>
      </c>
      <c r="T72" s="66" t="s">
        <v>43</v>
      </c>
      <c r="U72" s="66" t="s">
        <v>43</v>
      </c>
      <c r="V72" s="66" t="s">
        <v>43</v>
      </c>
      <c r="W72" s="66" t="s">
        <v>43</v>
      </c>
      <c r="X72" s="66" t="s">
        <v>43</v>
      </c>
      <c r="Y72" s="93" t="s">
        <v>33</v>
      </c>
      <c r="Z72" s="93" t="s">
        <v>33</v>
      </c>
      <c r="AA72" s="93" t="s">
        <v>33</v>
      </c>
      <c r="AB72" s="93" t="s">
        <v>33</v>
      </c>
      <c r="AC72" s="93" t="s">
        <v>33</v>
      </c>
      <c r="AD72" s="93" t="s">
        <v>33</v>
      </c>
      <c r="AE72" s="94" t="s">
        <v>33</v>
      </c>
      <c r="AF72" s="94" t="s">
        <v>33</v>
      </c>
      <c r="AG72" s="95">
        <f t="shared" si="11"/>
        <v>0</v>
      </c>
      <c r="AH72" s="97"/>
      <c r="AI72" s="97"/>
      <c r="AJ72" s="97"/>
      <c r="AK72" s="98" t="s">
        <v>51</v>
      </c>
    </row>
    <row r="73" spans="1:37">
      <c r="A73" s="90">
        <v>45708</v>
      </c>
      <c r="B73" s="91">
        <v>1600</v>
      </c>
      <c r="C73" s="92"/>
      <c r="D73" s="91">
        <f>(SUM(粮草!A73:X73)+AG73*10*IF(AK73="是",$AZ$4,$AZ$3))</f>
        <v>2432</v>
      </c>
      <c r="E73" s="105">
        <f>SUM($B$4:B73)+SUM($C$4:C73)-SUM($D$4:D73)</f>
        <v>-18662</v>
      </c>
      <c r="F73" s="104">
        <f>SUM(经验!A73:X73)</f>
        <v>880</v>
      </c>
      <c r="G73" s="91">
        <f>SUM($F$4:F73)+SUM($H$4:H73)</f>
        <v>58420</v>
      </c>
      <c r="H73" s="91">
        <v>0</v>
      </c>
      <c r="I73" s="64" t="s">
        <v>41</v>
      </c>
      <c r="J73" s="64" t="s">
        <v>41</v>
      </c>
      <c r="K73" s="64" t="s">
        <v>41</v>
      </c>
      <c r="L73" s="64" t="s">
        <v>41</v>
      </c>
      <c r="M73" s="64" t="s">
        <v>41</v>
      </c>
      <c r="N73" s="64" t="s">
        <v>41</v>
      </c>
      <c r="O73" s="64" t="s">
        <v>41</v>
      </c>
      <c r="P73" s="64" t="s">
        <v>41</v>
      </c>
      <c r="Q73" s="66" t="s">
        <v>43</v>
      </c>
      <c r="R73" s="66" t="s">
        <v>43</v>
      </c>
      <c r="S73" s="66" t="s">
        <v>43</v>
      </c>
      <c r="T73" s="66" t="s">
        <v>43</v>
      </c>
      <c r="U73" s="66" t="s">
        <v>43</v>
      </c>
      <c r="V73" s="66" t="s">
        <v>43</v>
      </c>
      <c r="W73" s="66" t="s">
        <v>43</v>
      </c>
      <c r="X73" s="66" t="s">
        <v>43</v>
      </c>
      <c r="Y73" s="93" t="s">
        <v>33</v>
      </c>
      <c r="Z73" s="93" t="s">
        <v>33</v>
      </c>
      <c r="AA73" s="93" t="s">
        <v>33</v>
      </c>
      <c r="AB73" s="93" t="s">
        <v>33</v>
      </c>
      <c r="AC73" s="93" t="s">
        <v>33</v>
      </c>
      <c r="AD73" s="93" t="s">
        <v>33</v>
      </c>
      <c r="AE73" s="94" t="s">
        <v>33</v>
      </c>
      <c r="AF73" s="94" t="s">
        <v>33</v>
      </c>
      <c r="AG73" s="95">
        <f t="shared" si="11"/>
        <v>0</v>
      </c>
      <c r="AH73" s="97"/>
      <c r="AI73" s="97"/>
      <c r="AJ73" s="97"/>
      <c r="AK73" s="98" t="s">
        <v>51</v>
      </c>
    </row>
    <row r="74" spans="1:37">
      <c r="A74" s="90">
        <v>45709</v>
      </c>
      <c r="B74" s="91">
        <v>1600</v>
      </c>
      <c r="C74" s="92"/>
      <c r="D74" s="91">
        <f>(SUM(粮草!A74:X74)+AG74*10*IF(AK74="是",$AZ$4,$AZ$3))</f>
        <v>2432</v>
      </c>
      <c r="E74" s="105">
        <f>SUM($B$4:B74)+SUM($C$4:C74)-SUM($D$4:D74)</f>
        <v>-19494</v>
      </c>
      <c r="F74" s="104">
        <f>SUM(经验!A74:X74)</f>
        <v>880</v>
      </c>
      <c r="G74" s="91">
        <f>SUM($F$4:F74)+SUM($H$4:H74)</f>
        <v>59300</v>
      </c>
      <c r="H74" s="91">
        <v>0</v>
      </c>
      <c r="I74" s="64" t="s">
        <v>41</v>
      </c>
      <c r="J74" s="64" t="s">
        <v>41</v>
      </c>
      <c r="K74" s="64" t="s">
        <v>41</v>
      </c>
      <c r="L74" s="64" t="s">
        <v>41</v>
      </c>
      <c r="M74" s="64" t="s">
        <v>41</v>
      </c>
      <c r="N74" s="64" t="s">
        <v>41</v>
      </c>
      <c r="O74" s="64" t="s">
        <v>41</v>
      </c>
      <c r="P74" s="64" t="s">
        <v>41</v>
      </c>
      <c r="Q74" s="66" t="s">
        <v>43</v>
      </c>
      <c r="R74" s="66" t="s">
        <v>43</v>
      </c>
      <c r="S74" s="66" t="s">
        <v>43</v>
      </c>
      <c r="T74" s="66" t="s">
        <v>43</v>
      </c>
      <c r="U74" s="66" t="s">
        <v>43</v>
      </c>
      <c r="V74" s="66" t="s">
        <v>43</v>
      </c>
      <c r="W74" s="66" t="s">
        <v>43</v>
      </c>
      <c r="X74" s="66" t="s">
        <v>43</v>
      </c>
      <c r="Y74" s="93" t="s">
        <v>33</v>
      </c>
      <c r="Z74" s="93" t="s">
        <v>33</v>
      </c>
      <c r="AA74" s="93" t="s">
        <v>33</v>
      </c>
      <c r="AB74" s="93" t="s">
        <v>33</v>
      </c>
      <c r="AC74" s="93" t="s">
        <v>33</v>
      </c>
      <c r="AD74" s="93" t="s">
        <v>33</v>
      </c>
      <c r="AE74" s="94" t="s">
        <v>33</v>
      </c>
      <c r="AF74" s="94" t="s">
        <v>33</v>
      </c>
      <c r="AG74" s="95">
        <f t="shared" si="11"/>
        <v>0</v>
      </c>
      <c r="AH74" s="97"/>
      <c r="AI74" s="97"/>
      <c r="AJ74" s="97"/>
      <c r="AK74" s="98" t="s">
        <v>51</v>
      </c>
    </row>
    <row r="75" spans="1:37">
      <c r="A75" s="90">
        <v>45710</v>
      </c>
      <c r="B75" s="91">
        <v>1600</v>
      </c>
      <c r="C75" s="92"/>
      <c r="D75" s="91">
        <f>(SUM(粮草!A75:X75)+AG75*10*IF(AK75="是",$AZ$4,$AZ$3))</f>
        <v>2432</v>
      </c>
      <c r="E75" s="105">
        <f>SUM($B$4:B75)+SUM($C$4:C75)-SUM($D$4:D75)</f>
        <v>-20326</v>
      </c>
      <c r="F75" s="104">
        <f>SUM(经验!A75:X75)</f>
        <v>880</v>
      </c>
      <c r="G75" s="91">
        <f>SUM($F$4:F75)+SUM($H$4:H75)</f>
        <v>60180</v>
      </c>
      <c r="H75" s="91">
        <v>0</v>
      </c>
      <c r="I75" s="64" t="s">
        <v>41</v>
      </c>
      <c r="J75" s="64" t="s">
        <v>41</v>
      </c>
      <c r="K75" s="64" t="s">
        <v>41</v>
      </c>
      <c r="L75" s="64" t="s">
        <v>41</v>
      </c>
      <c r="M75" s="64" t="s">
        <v>41</v>
      </c>
      <c r="N75" s="64" t="s">
        <v>41</v>
      </c>
      <c r="O75" s="64" t="s">
        <v>41</v>
      </c>
      <c r="P75" s="64" t="s">
        <v>41</v>
      </c>
      <c r="Q75" s="66" t="s">
        <v>43</v>
      </c>
      <c r="R75" s="66" t="s">
        <v>43</v>
      </c>
      <c r="S75" s="66" t="s">
        <v>43</v>
      </c>
      <c r="T75" s="66" t="s">
        <v>43</v>
      </c>
      <c r="U75" s="66" t="s">
        <v>43</v>
      </c>
      <c r="V75" s="66" t="s">
        <v>43</v>
      </c>
      <c r="W75" s="66" t="s">
        <v>43</v>
      </c>
      <c r="X75" s="66" t="s">
        <v>43</v>
      </c>
      <c r="Y75" s="93" t="s">
        <v>33</v>
      </c>
      <c r="Z75" s="93" t="s">
        <v>33</v>
      </c>
      <c r="AA75" s="93" t="s">
        <v>33</v>
      </c>
      <c r="AB75" s="93" t="s">
        <v>33</v>
      </c>
      <c r="AC75" s="93" t="s">
        <v>33</v>
      </c>
      <c r="AD75" s="93" t="s">
        <v>33</v>
      </c>
      <c r="AE75" s="94" t="s">
        <v>33</v>
      </c>
      <c r="AF75" s="94" t="s">
        <v>33</v>
      </c>
      <c r="AG75" s="95">
        <f t="shared" si="11"/>
        <v>0</v>
      </c>
      <c r="AH75" s="97"/>
      <c r="AI75" s="97"/>
      <c r="AJ75" s="97"/>
      <c r="AK75" s="98" t="s">
        <v>51</v>
      </c>
    </row>
    <row r="76" spans="1:37">
      <c r="A76" s="90">
        <v>45711</v>
      </c>
      <c r="B76" s="91">
        <v>1600</v>
      </c>
      <c r="C76" s="92"/>
      <c r="D76" s="91">
        <f>(SUM(粮草!A76:X76)+AG76*10*IF(AK76="是",$AZ$4,$AZ$3))</f>
        <v>1952</v>
      </c>
      <c r="E76" s="105">
        <f>SUM($B$4:B76)+SUM($C$4:C76)-SUM($D$4:D76)</f>
        <v>-20678</v>
      </c>
      <c r="F76" s="104">
        <f>SUM(经验!A76:X76)</f>
        <v>700</v>
      </c>
      <c r="G76" s="91">
        <f>SUM($F$4:F76)+SUM($H$4:H76)</f>
        <v>60880</v>
      </c>
      <c r="H76" s="91">
        <v>0</v>
      </c>
      <c r="I76" s="64" t="s">
        <v>41</v>
      </c>
      <c r="J76" s="64" t="s">
        <v>41</v>
      </c>
      <c r="K76" s="64" t="s">
        <v>41</v>
      </c>
      <c r="L76" s="64" t="s">
        <v>41</v>
      </c>
      <c r="M76" s="64" t="s">
        <v>41</v>
      </c>
      <c r="N76" s="64" t="s">
        <v>41</v>
      </c>
      <c r="O76" s="64" t="s">
        <v>41</v>
      </c>
      <c r="P76" s="64" t="s">
        <v>41</v>
      </c>
      <c r="Q76" s="66" t="s">
        <v>43</v>
      </c>
      <c r="R76" s="66" t="s">
        <v>43</v>
      </c>
      <c r="S76" s="66" t="s">
        <v>43</v>
      </c>
      <c r="T76" s="66" t="s">
        <v>43</v>
      </c>
      <c r="U76" s="66" t="s">
        <v>43</v>
      </c>
      <c r="V76" s="93" t="s">
        <v>33</v>
      </c>
      <c r="W76" s="94" t="s">
        <v>33</v>
      </c>
      <c r="X76" s="94" t="s">
        <v>33</v>
      </c>
      <c r="Y76" s="93" t="s">
        <v>33</v>
      </c>
      <c r="Z76" s="93" t="s">
        <v>33</v>
      </c>
      <c r="AA76" s="93" t="s">
        <v>33</v>
      </c>
      <c r="AB76" s="93" t="s">
        <v>33</v>
      </c>
      <c r="AC76" s="93" t="s">
        <v>33</v>
      </c>
      <c r="AD76" s="93" t="s">
        <v>33</v>
      </c>
      <c r="AE76" s="94" t="s">
        <v>33</v>
      </c>
      <c r="AF76" s="94" t="s">
        <v>33</v>
      </c>
      <c r="AG76" s="95">
        <f t="shared" si="11"/>
        <v>0</v>
      </c>
      <c r="AH76" s="97"/>
      <c r="AI76" s="97"/>
      <c r="AJ76" s="97"/>
      <c r="AK76" s="98" t="s">
        <v>51</v>
      </c>
    </row>
    <row r="77" spans="1:37">
      <c r="A77" s="90">
        <v>45712</v>
      </c>
      <c r="B77" s="93">
        <v>1600</v>
      </c>
      <c r="C77" s="93"/>
      <c r="D77" s="91">
        <f>(SUM(粮草!A77:X77)+AG77*10*IF(AK77="是",$AZ$4,$AZ$3))</f>
        <v>1392</v>
      </c>
      <c r="E77" s="105">
        <f>SUM($B$4:B77)+SUM($C$4:C77)-SUM($D$4:D77)</f>
        <v>-20470</v>
      </c>
      <c r="F77" s="104">
        <f>SUM(经验!A77:X77)</f>
        <v>580</v>
      </c>
      <c r="G77" s="91">
        <f>SUM($F$4:F77)+SUM($H$4:H77)</f>
        <v>61760</v>
      </c>
      <c r="H77" s="93">
        <v>300</v>
      </c>
      <c r="I77" s="64" t="s">
        <v>41</v>
      </c>
      <c r="J77" s="64" t="s">
        <v>41</v>
      </c>
      <c r="K77" s="64" t="s">
        <v>41</v>
      </c>
      <c r="L77" s="64" t="s">
        <v>41</v>
      </c>
      <c r="M77" s="64" t="s">
        <v>41</v>
      </c>
      <c r="N77" s="64" t="s">
        <v>41</v>
      </c>
      <c r="O77" s="64" t="s">
        <v>41</v>
      </c>
      <c r="P77" s="64" t="s">
        <v>41</v>
      </c>
      <c r="Q77" s="71" t="s">
        <v>38</v>
      </c>
      <c r="R77" s="71" t="s">
        <v>38</v>
      </c>
      <c r="S77" s="71" t="s">
        <v>38</v>
      </c>
      <c r="T77" s="71" t="s">
        <v>38</v>
      </c>
      <c r="U77" s="71" t="s">
        <v>38</v>
      </c>
      <c r="V77" s="71" t="s">
        <v>38</v>
      </c>
      <c r="W77" s="94" t="s">
        <v>33</v>
      </c>
      <c r="X77" s="94" t="s">
        <v>33</v>
      </c>
      <c r="Y77" s="93" t="s">
        <v>33</v>
      </c>
      <c r="Z77" s="93" t="s">
        <v>33</v>
      </c>
      <c r="AA77" s="93" t="s">
        <v>33</v>
      </c>
      <c r="AB77" s="93" t="s">
        <v>33</v>
      </c>
      <c r="AC77" s="93" t="s">
        <v>33</v>
      </c>
      <c r="AD77" s="93" t="s">
        <v>33</v>
      </c>
      <c r="AE77" s="94" t="s">
        <v>33</v>
      </c>
      <c r="AF77" s="94" t="s">
        <v>33</v>
      </c>
      <c r="AG77" s="95">
        <f t="shared" si="11"/>
        <v>0</v>
      </c>
      <c r="AH77" s="97"/>
      <c r="AI77" s="97"/>
      <c r="AJ77" s="97"/>
      <c r="AK77" s="98" t="s">
        <v>51</v>
      </c>
    </row>
    <row r="78" spans="1:37">
      <c r="A78" s="90">
        <v>45713</v>
      </c>
      <c r="B78" s="93">
        <v>1600</v>
      </c>
      <c r="C78" s="93"/>
      <c r="D78" s="91">
        <f>(SUM(粮草!A78:X78)+AG78*10*IF(AK78="是",$AZ$4,$AZ$3))</f>
        <v>1392</v>
      </c>
      <c r="E78" s="105">
        <f>SUM($B$4:B78)+SUM($C$4:C78)-SUM($D$4:D78)</f>
        <v>-20262</v>
      </c>
      <c r="F78" s="104">
        <f>SUM(经验!A78:X78)</f>
        <v>580</v>
      </c>
      <c r="G78" s="91">
        <f>SUM($F$4:F78)+SUM($H$4:H78)</f>
        <v>62340</v>
      </c>
      <c r="H78" s="93">
        <v>0</v>
      </c>
      <c r="I78" s="64" t="s">
        <v>41</v>
      </c>
      <c r="J78" s="64" t="s">
        <v>41</v>
      </c>
      <c r="K78" s="64" t="s">
        <v>41</v>
      </c>
      <c r="L78" s="64" t="s">
        <v>41</v>
      </c>
      <c r="M78" s="64" t="s">
        <v>41</v>
      </c>
      <c r="N78" s="64" t="s">
        <v>41</v>
      </c>
      <c r="O78" s="64" t="s">
        <v>41</v>
      </c>
      <c r="P78" s="64" t="s">
        <v>41</v>
      </c>
      <c r="Q78" s="71" t="s">
        <v>38</v>
      </c>
      <c r="R78" s="71" t="s">
        <v>38</v>
      </c>
      <c r="S78" s="71" t="s">
        <v>38</v>
      </c>
      <c r="T78" s="71" t="s">
        <v>38</v>
      </c>
      <c r="U78" s="71" t="s">
        <v>38</v>
      </c>
      <c r="V78" s="71" t="s">
        <v>38</v>
      </c>
      <c r="W78" s="94" t="s">
        <v>33</v>
      </c>
      <c r="X78" s="94" t="s">
        <v>33</v>
      </c>
      <c r="Y78" s="93" t="s">
        <v>33</v>
      </c>
      <c r="Z78" s="93" t="s">
        <v>33</v>
      </c>
      <c r="AA78" s="93" t="s">
        <v>33</v>
      </c>
      <c r="AB78" s="93" t="s">
        <v>33</v>
      </c>
      <c r="AC78" s="93" t="s">
        <v>33</v>
      </c>
      <c r="AD78" s="93" t="s">
        <v>33</v>
      </c>
      <c r="AE78" s="94" t="s">
        <v>33</v>
      </c>
      <c r="AF78" s="94" t="s">
        <v>33</v>
      </c>
      <c r="AG78" s="95">
        <f t="shared" si="11"/>
        <v>0</v>
      </c>
      <c r="AH78" s="97"/>
      <c r="AI78" s="97"/>
      <c r="AJ78" s="97"/>
      <c r="AK78" s="98" t="s">
        <v>51</v>
      </c>
    </row>
    <row r="79" spans="1:37">
      <c r="A79" s="90">
        <v>45714</v>
      </c>
      <c r="B79" s="93">
        <v>1600</v>
      </c>
      <c r="C79" s="93"/>
      <c r="D79" s="91">
        <f>(SUM(粮草!A79:X79)+AG79*10*IF(AK79="是",$AZ$4,$AZ$3))</f>
        <v>1392</v>
      </c>
      <c r="E79" s="105">
        <f>SUM($B$4:B79)+SUM($C$4:C79)-SUM($D$4:D79)</f>
        <v>-20054</v>
      </c>
      <c r="F79" s="104">
        <f>SUM(经验!A79:X79)</f>
        <v>580</v>
      </c>
      <c r="G79" s="91">
        <f>SUM($F$4:F79)+SUM($H$4:H79)</f>
        <v>63120</v>
      </c>
      <c r="H79" s="93">
        <v>200</v>
      </c>
      <c r="I79" s="64" t="s">
        <v>41</v>
      </c>
      <c r="J79" s="64" t="s">
        <v>41</v>
      </c>
      <c r="K79" s="64" t="s">
        <v>41</v>
      </c>
      <c r="L79" s="64" t="s">
        <v>41</v>
      </c>
      <c r="M79" s="64" t="s">
        <v>41</v>
      </c>
      <c r="N79" s="64" t="s">
        <v>41</v>
      </c>
      <c r="O79" s="64" t="s">
        <v>41</v>
      </c>
      <c r="P79" s="64" t="s">
        <v>41</v>
      </c>
      <c r="Q79" s="71" t="s">
        <v>38</v>
      </c>
      <c r="R79" s="71" t="s">
        <v>38</v>
      </c>
      <c r="S79" s="71" t="s">
        <v>38</v>
      </c>
      <c r="T79" s="71" t="s">
        <v>38</v>
      </c>
      <c r="U79" s="71" t="s">
        <v>38</v>
      </c>
      <c r="V79" s="71" t="s">
        <v>38</v>
      </c>
      <c r="W79" s="94" t="s">
        <v>33</v>
      </c>
      <c r="X79" s="94" t="s">
        <v>33</v>
      </c>
      <c r="Y79" s="93" t="s">
        <v>33</v>
      </c>
      <c r="Z79" s="93" t="s">
        <v>33</v>
      </c>
      <c r="AA79" s="93" t="s">
        <v>33</v>
      </c>
      <c r="AB79" s="93" t="s">
        <v>33</v>
      </c>
      <c r="AC79" s="93" t="s">
        <v>33</v>
      </c>
      <c r="AD79" s="93" t="s">
        <v>33</v>
      </c>
      <c r="AE79" s="94" t="s">
        <v>33</v>
      </c>
      <c r="AF79" s="94" t="s">
        <v>33</v>
      </c>
      <c r="AG79" s="95">
        <f t="shared" si="11"/>
        <v>0</v>
      </c>
      <c r="AH79" s="97"/>
      <c r="AI79" s="97"/>
      <c r="AJ79" s="97"/>
      <c r="AK79" s="98" t="s">
        <v>51</v>
      </c>
    </row>
    <row r="80" spans="1:37">
      <c r="A80" s="90">
        <v>45715</v>
      </c>
      <c r="B80" s="93">
        <v>1600</v>
      </c>
      <c r="C80" s="93"/>
      <c r="D80" s="91">
        <f>(SUM(粮草!A80:X80)+AG80*10*IF(AK80="是",$AZ$4,$AZ$3))</f>
        <v>1192</v>
      </c>
      <c r="E80" s="105">
        <f>SUM($B$4:B80)+SUM($C$4:C80)-SUM($D$4:D80)</f>
        <v>-19646</v>
      </c>
      <c r="F80" s="104">
        <f>SUM(经验!A80:X80)</f>
        <v>430</v>
      </c>
      <c r="G80" s="91">
        <f>SUM($F$4:F80)+SUM($H$4:H80)</f>
        <v>63550</v>
      </c>
      <c r="H80" s="93">
        <v>0</v>
      </c>
      <c r="I80" s="64" t="s">
        <v>41</v>
      </c>
      <c r="J80" s="64" t="s">
        <v>41</v>
      </c>
      <c r="K80" s="64" t="s">
        <v>41</v>
      </c>
      <c r="L80" s="64" t="s">
        <v>41</v>
      </c>
      <c r="M80" s="64" t="s">
        <v>41</v>
      </c>
      <c r="N80" s="64" t="s">
        <v>41</v>
      </c>
      <c r="O80" s="64" t="s">
        <v>41</v>
      </c>
      <c r="P80" s="64" t="s">
        <v>41</v>
      </c>
      <c r="Q80" s="71" t="s">
        <v>38</v>
      </c>
      <c r="R80" s="93" t="s">
        <v>33</v>
      </c>
      <c r="S80" s="93" t="s">
        <v>33</v>
      </c>
      <c r="T80" s="93" t="s">
        <v>33</v>
      </c>
      <c r="U80" s="93" t="s">
        <v>33</v>
      </c>
      <c r="V80" s="93" t="s">
        <v>33</v>
      </c>
      <c r="W80" s="94" t="s">
        <v>33</v>
      </c>
      <c r="X80" s="94" t="s">
        <v>33</v>
      </c>
      <c r="Y80" s="93" t="s">
        <v>33</v>
      </c>
      <c r="Z80" s="93" t="s">
        <v>33</v>
      </c>
      <c r="AA80" s="93" t="s">
        <v>33</v>
      </c>
      <c r="AB80" s="93" t="s">
        <v>33</v>
      </c>
      <c r="AC80" s="93" t="s">
        <v>33</v>
      </c>
      <c r="AD80" s="93" t="s">
        <v>33</v>
      </c>
      <c r="AE80" s="94" t="s">
        <v>33</v>
      </c>
      <c r="AF80" s="94" t="s">
        <v>33</v>
      </c>
      <c r="AG80" s="95">
        <f t="shared" si="11"/>
        <v>0</v>
      </c>
      <c r="AH80" s="97"/>
      <c r="AI80" s="97"/>
      <c r="AJ80" s="97"/>
      <c r="AK80" s="98" t="s">
        <v>51</v>
      </c>
    </row>
    <row r="81" spans="1:37">
      <c r="A81" s="90">
        <v>45716</v>
      </c>
      <c r="B81" s="93">
        <v>1600</v>
      </c>
      <c r="C81" s="93"/>
      <c r="D81" s="91">
        <f>(SUM(粮草!A81:X81)+AG81*10*IF(AK81="是",$AZ$4,$AZ$3))</f>
        <v>1152</v>
      </c>
      <c r="E81" s="105">
        <f>SUM($B$4:B81)+SUM($C$4:C81)-SUM($D$4:D81)</f>
        <v>-19198</v>
      </c>
      <c r="F81" s="104">
        <f>SUM(经验!A81:X81)</f>
        <v>400</v>
      </c>
      <c r="G81" s="91">
        <f>SUM($F$4:F81)+SUM($H$4:H81)</f>
        <v>63950</v>
      </c>
      <c r="H81" s="93">
        <v>0</v>
      </c>
      <c r="I81" s="64" t="s">
        <v>41</v>
      </c>
      <c r="J81" s="64" t="s">
        <v>41</v>
      </c>
      <c r="K81" s="64" t="s">
        <v>41</v>
      </c>
      <c r="L81" s="64" t="s">
        <v>41</v>
      </c>
      <c r="M81" s="64" t="s">
        <v>41</v>
      </c>
      <c r="N81" s="64" t="s">
        <v>41</v>
      </c>
      <c r="O81" s="64" t="s">
        <v>41</v>
      </c>
      <c r="P81" s="64" t="s">
        <v>41</v>
      </c>
      <c r="Q81" s="93" t="s">
        <v>33</v>
      </c>
      <c r="R81" s="93" t="s">
        <v>33</v>
      </c>
      <c r="S81" s="93" t="s">
        <v>33</v>
      </c>
      <c r="T81" s="93" t="s">
        <v>33</v>
      </c>
      <c r="U81" s="93" t="s">
        <v>33</v>
      </c>
      <c r="V81" s="93" t="s">
        <v>33</v>
      </c>
      <c r="W81" s="94" t="s">
        <v>33</v>
      </c>
      <c r="X81" s="94" t="s">
        <v>33</v>
      </c>
      <c r="Y81" s="93" t="s">
        <v>33</v>
      </c>
      <c r="Z81" s="93" t="s">
        <v>33</v>
      </c>
      <c r="AA81" s="93" t="s">
        <v>33</v>
      </c>
      <c r="AB81" s="93" t="s">
        <v>33</v>
      </c>
      <c r="AC81" s="93" t="s">
        <v>33</v>
      </c>
      <c r="AD81" s="93" t="s">
        <v>33</v>
      </c>
      <c r="AE81" s="94" t="s">
        <v>33</v>
      </c>
      <c r="AF81" s="94" t="s">
        <v>33</v>
      </c>
      <c r="AG81" s="95">
        <f t="shared" si="11"/>
        <v>0</v>
      </c>
      <c r="AH81" s="97"/>
      <c r="AI81" s="97"/>
      <c r="AJ81" s="97"/>
      <c r="AK81" s="98" t="s">
        <v>51</v>
      </c>
    </row>
    <row r="82" spans="1:37">
      <c r="A82" s="90">
        <v>45717</v>
      </c>
      <c r="B82" s="93">
        <v>1600</v>
      </c>
      <c r="C82" s="93"/>
      <c r="D82" s="91">
        <f>(SUM(粮草!A82:X82)+AG82*10*IF(AK82="是",$AZ$4,$AZ$3))</f>
        <v>0</v>
      </c>
      <c r="E82" s="105">
        <f>SUM($B$4:B82)+SUM($C$4:C82)-SUM($D$4:D82)</f>
        <v>-17598</v>
      </c>
      <c r="F82" s="104">
        <f>SUM(经验!A82:X82)</f>
        <v>0</v>
      </c>
      <c r="G82" s="91">
        <f>SUM($F$4:F82)+SUM($H$4:H82)</f>
        <v>63950</v>
      </c>
      <c r="H82" s="93">
        <v>0</v>
      </c>
      <c r="I82" s="93" t="s">
        <v>33</v>
      </c>
      <c r="J82" s="93" t="s">
        <v>33</v>
      </c>
      <c r="K82" s="93" t="s">
        <v>33</v>
      </c>
      <c r="L82" s="93" t="s">
        <v>33</v>
      </c>
      <c r="M82" s="93" t="s">
        <v>33</v>
      </c>
      <c r="N82" s="93" t="s">
        <v>33</v>
      </c>
      <c r="O82" s="94" t="s">
        <v>33</v>
      </c>
      <c r="P82" s="94" t="s">
        <v>33</v>
      </c>
      <c r="Q82" s="93" t="s">
        <v>33</v>
      </c>
      <c r="R82" s="93" t="s">
        <v>33</v>
      </c>
      <c r="S82" s="93" t="s">
        <v>33</v>
      </c>
      <c r="T82" s="93" t="s">
        <v>33</v>
      </c>
      <c r="U82" s="93" t="s">
        <v>33</v>
      </c>
      <c r="V82" s="93" t="s">
        <v>33</v>
      </c>
      <c r="W82" s="94" t="s">
        <v>33</v>
      </c>
      <c r="X82" s="94" t="s">
        <v>33</v>
      </c>
      <c r="Y82" s="93" t="s">
        <v>33</v>
      </c>
      <c r="Z82" s="93" t="s">
        <v>33</v>
      </c>
      <c r="AA82" s="93" t="s">
        <v>33</v>
      </c>
      <c r="AB82" s="93" t="s">
        <v>33</v>
      </c>
      <c r="AC82" s="93" t="s">
        <v>33</v>
      </c>
      <c r="AD82" s="93" t="s">
        <v>33</v>
      </c>
      <c r="AE82" s="94" t="s">
        <v>33</v>
      </c>
      <c r="AF82" s="94" t="s">
        <v>33</v>
      </c>
      <c r="AG82" s="95">
        <f t="shared" si="11"/>
        <v>0</v>
      </c>
      <c r="AH82" s="97"/>
      <c r="AI82" s="97"/>
      <c r="AJ82" s="97"/>
      <c r="AK82" s="98" t="s">
        <v>51</v>
      </c>
    </row>
    <row r="83" spans="1:37">
      <c r="A83" s="90">
        <v>45718</v>
      </c>
      <c r="B83" s="93">
        <v>1600</v>
      </c>
      <c r="C83" s="93"/>
      <c r="D83" s="91">
        <f>(SUM(粮草!A83:X83)+AG83*10*IF(AK83="是",$AZ$4,$AZ$3))</f>
        <v>0</v>
      </c>
      <c r="E83" s="105">
        <f>SUM($B$4:B83)+SUM($C$4:C83)-SUM($D$4:D83)</f>
        <v>-15998</v>
      </c>
      <c r="F83" s="104">
        <f>SUM(经验!A83:X83)</f>
        <v>0</v>
      </c>
      <c r="G83" s="91">
        <f>SUM($F$4:F83)+SUM($H$4:H83)</f>
        <v>63950</v>
      </c>
      <c r="H83" s="93">
        <v>0</v>
      </c>
      <c r="I83" s="93" t="s">
        <v>33</v>
      </c>
      <c r="J83" s="93" t="s">
        <v>33</v>
      </c>
      <c r="K83" s="93" t="s">
        <v>33</v>
      </c>
      <c r="L83" s="93" t="s">
        <v>33</v>
      </c>
      <c r="M83" s="93" t="s">
        <v>33</v>
      </c>
      <c r="N83" s="93" t="s">
        <v>33</v>
      </c>
      <c r="O83" s="94" t="s">
        <v>33</v>
      </c>
      <c r="P83" s="94" t="s">
        <v>33</v>
      </c>
      <c r="Q83" s="93" t="s">
        <v>33</v>
      </c>
      <c r="R83" s="93" t="s">
        <v>33</v>
      </c>
      <c r="S83" s="93" t="s">
        <v>33</v>
      </c>
      <c r="T83" s="93" t="s">
        <v>33</v>
      </c>
      <c r="U83" s="93" t="s">
        <v>33</v>
      </c>
      <c r="V83" s="93" t="s">
        <v>33</v>
      </c>
      <c r="W83" s="94" t="s">
        <v>33</v>
      </c>
      <c r="X83" s="94" t="s">
        <v>33</v>
      </c>
      <c r="Y83" s="93" t="s">
        <v>33</v>
      </c>
      <c r="Z83" s="93" t="s">
        <v>33</v>
      </c>
      <c r="AA83" s="93" t="s">
        <v>33</v>
      </c>
      <c r="AB83" s="93" t="s">
        <v>33</v>
      </c>
      <c r="AC83" s="93" t="s">
        <v>33</v>
      </c>
      <c r="AD83" s="93" t="s">
        <v>33</v>
      </c>
      <c r="AE83" s="94" t="s">
        <v>33</v>
      </c>
      <c r="AF83" s="94" t="s">
        <v>33</v>
      </c>
      <c r="AG83" s="95">
        <f t="shared" si="11"/>
        <v>0</v>
      </c>
      <c r="AH83" s="97"/>
      <c r="AI83" s="97"/>
      <c r="AJ83" s="97"/>
      <c r="AK83" s="98" t="s">
        <v>51</v>
      </c>
    </row>
    <row r="84" spans="1:37">
      <c r="A84" s="90">
        <v>45719</v>
      </c>
      <c r="B84" s="91">
        <v>1600</v>
      </c>
      <c r="C84" s="92"/>
      <c r="D84" s="91">
        <f>(SUM(粮草!A84:X84)+AG84*10*IF(AK84="是",$AZ$4,$AZ$3))</f>
        <v>0</v>
      </c>
      <c r="E84" s="105">
        <f>SUM($B$4:B84)+SUM($C$4:C84)-SUM($D$4:D84)</f>
        <v>-14398</v>
      </c>
      <c r="F84" s="104">
        <f>SUM(经验!A84:X84)</f>
        <v>0</v>
      </c>
      <c r="G84" s="91">
        <f>SUM($F$4:F84)+SUM($H$4:H84)</f>
        <v>64150</v>
      </c>
      <c r="H84" s="91">
        <v>200</v>
      </c>
      <c r="I84" s="93" t="s">
        <v>33</v>
      </c>
      <c r="J84" s="93" t="s">
        <v>33</v>
      </c>
      <c r="K84" s="93" t="s">
        <v>33</v>
      </c>
      <c r="L84" s="93" t="s">
        <v>33</v>
      </c>
      <c r="M84" s="93" t="s">
        <v>33</v>
      </c>
      <c r="N84" s="93" t="s">
        <v>33</v>
      </c>
      <c r="O84" s="94" t="s">
        <v>33</v>
      </c>
      <c r="P84" s="94" t="s">
        <v>33</v>
      </c>
      <c r="Q84" s="93" t="s">
        <v>33</v>
      </c>
      <c r="R84" s="93" t="s">
        <v>33</v>
      </c>
      <c r="S84" s="93" t="s">
        <v>33</v>
      </c>
      <c r="T84" s="93" t="s">
        <v>33</v>
      </c>
      <c r="U84" s="93" t="s">
        <v>33</v>
      </c>
      <c r="V84" s="93" t="s">
        <v>33</v>
      </c>
      <c r="W84" s="94" t="s">
        <v>33</v>
      </c>
      <c r="X84" s="94" t="s">
        <v>33</v>
      </c>
      <c r="Y84" s="93" t="s">
        <v>33</v>
      </c>
      <c r="Z84" s="93" t="s">
        <v>33</v>
      </c>
      <c r="AA84" s="93" t="s">
        <v>33</v>
      </c>
      <c r="AB84" s="93" t="s">
        <v>33</v>
      </c>
      <c r="AC84" s="93" t="s">
        <v>33</v>
      </c>
      <c r="AD84" s="93" t="s">
        <v>33</v>
      </c>
      <c r="AE84" s="94" t="s">
        <v>33</v>
      </c>
      <c r="AF84" s="94" t="s">
        <v>33</v>
      </c>
      <c r="AG84" s="95">
        <f t="shared" si="11"/>
        <v>0</v>
      </c>
      <c r="AH84" s="97"/>
      <c r="AI84" s="97"/>
      <c r="AJ84" s="97"/>
      <c r="AK84" s="98" t="s">
        <v>51</v>
      </c>
    </row>
    <row r="85" spans="1:37">
      <c r="A85" s="90">
        <v>45720</v>
      </c>
      <c r="B85" s="91">
        <v>1600</v>
      </c>
      <c r="C85" s="92"/>
      <c r="D85" s="91">
        <f>(SUM(粮草!A85:X85)+AG85*10*IF(AK85="是",$AZ$4,$AZ$3))</f>
        <v>0</v>
      </c>
      <c r="E85" s="105">
        <f>SUM($B$4:B85)+SUM($C$4:C85)-SUM($D$4:D85)</f>
        <v>-12798</v>
      </c>
      <c r="F85" s="104">
        <f>SUM(经验!A85:X85)</f>
        <v>0</v>
      </c>
      <c r="G85" s="91">
        <f>SUM($F$4:F85)+SUM($H$4:H85)</f>
        <v>64150</v>
      </c>
      <c r="H85" s="91">
        <v>0</v>
      </c>
      <c r="I85" s="93" t="s">
        <v>33</v>
      </c>
      <c r="J85" s="93" t="s">
        <v>33</v>
      </c>
      <c r="K85" s="93" t="s">
        <v>33</v>
      </c>
      <c r="L85" s="93" t="s">
        <v>33</v>
      </c>
      <c r="M85" s="93" t="s">
        <v>33</v>
      </c>
      <c r="N85" s="93" t="s">
        <v>33</v>
      </c>
      <c r="O85" s="94" t="s">
        <v>33</v>
      </c>
      <c r="P85" s="94" t="s">
        <v>33</v>
      </c>
      <c r="Q85" s="93" t="s">
        <v>33</v>
      </c>
      <c r="R85" s="93" t="s">
        <v>33</v>
      </c>
      <c r="S85" s="93" t="s">
        <v>33</v>
      </c>
      <c r="T85" s="93" t="s">
        <v>33</v>
      </c>
      <c r="U85" s="93" t="s">
        <v>33</v>
      </c>
      <c r="V85" s="93" t="s">
        <v>33</v>
      </c>
      <c r="W85" s="94" t="s">
        <v>33</v>
      </c>
      <c r="X85" s="94" t="s">
        <v>33</v>
      </c>
      <c r="Y85" s="93" t="s">
        <v>33</v>
      </c>
      <c r="Z85" s="93" t="s">
        <v>33</v>
      </c>
      <c r="AA85" s="93" t="s">
        <v>33</v>
      </c>
      <c r="AB85" s="93" t="s">
        <v>33</v>
      </c>
      <c r="AC85" s="93" t="s">
        <v>33</v>
      </c>
      <c r="AD85" s="93" t="s">
        <v>33</v>
      </c>
      <c r="AE85" s="94" t="s">
        <v>33</v>
      </c>
      <c r="AF85" s="94" t="s">
        <v>33</v>
      </c>
      <c r="AG85" s="95">
        <f t="shared" si="11"/>
        <v>0</v>
      </c>
      <c r="AH85" s="97"/>
      <c r="AI85" s="97"/>
      <c r="AJ85" s="97"/>
      <c r="AK85" s="98" t="s">
        <v>51</v>
      </c>
    </row>
    <row r="86" spans="1:37">
      <c r="A86" s="90">
        <v>45721</v>
      </c>
      <c r="B86" s="91">
        <v>1600</v>
      </c>
      <c r="C86" s="92"/>
      <c r="D86" s="91">
        <f>(SUM(粮草!A86:X86)+AG86*10*IF(AK86="是",$AZ$4,$AZ$3))</f>
        <v>0</v>
      </c>
      <c r="E86" s="105">
        <f>SUM($B$4:B86)+SUM($C$4:C86)-SUM($D$4:D86)</f>
        <v>-11198</v>
      </c>
      <c r="F86" s="104">
        <f>SUM(经验!A86:X86)</f>
        <v>0</v>
      </c>
      <c r="G86" s="91">
        <f>SUM($F$4:F86)+SUM($H$4:H86)</f>
        <v>64450</v>
      </c>
      <c r="H86" s="91">
        <v>300</v>
      </c>
      <c r="I86" s="93" t="s">
        <v>33</v>
      </c>
      <c r="J86" s="93" t="s">
        <v>33</v>
      </c>
      <c r="K86" s="93" t="s">
        <v>33</v>
      </c>
      <c r="L86" s="93" t="s">
        <v>33</v>
      </c>
      <c r="M86" s="93" t="s">
        <v>33</v>
      </c>
      <c r="N86" s="93" t="s">
        <v>33</v>
      </c>
      <c r="O86" s="94" t="s">
        <v>33</v>
      </c>
      <c r="P86" s="94" t="s">
        <v>33</v>
      </c>
      <c r="Q86" s="93" t="s">
        <v>33</v>
      </c>
      <c r="R86" s="93" t="s">
        <v>33</v>
      </c>
      <c r="S86" s="93" t="s">
        <v>33</v>
      </c>
      <c r="T86" s="93" t="s">
        <v>33</v>
      </c>
      <c r="U86" s="93" t="s">
        <v>33</v>
      </c>
      <c r="V86" s="93" t="s">
        <v>33</v>
      </c>
      <c r="W86" s="94" t="s">
        <v>33</v>
      </c>
      <c r="X86" s="94" t="s">
        <v>33</v>
      </c>
      <c r="Y86" s="93" t="s">
        <v>33</v>
      </c>
      <c r="Z86" s="93" t="s">
        <v>33</v>
      </c>
      <c r="AA86" s="93" t="s">
        <v>33</v>
      </c>
      <c r="AB86" s="93" t="s">
        <v>33</v>
      </c>
      <c r="AC86" s="93" t="s">
        <v>33</v>
      </c>
      <c r="AD86" s="93" t="s">
        <v>33</v>
      </c>
      <c r="AE86" s="94" t="s">
        <v>33</v>
      </c>
      <c r="AF86" s="94" t="s">
        <v>33</v>
      </c>
      <c r="AG86" s="95">
        <f t="shared" si="11"/>
        <v>0</v>
      </c>
      <c r="AH86" s="97"/>
      <c r="AI86" s="97"/>
      <c r="AJ86" s="97"/>
      <c r="AK86" s="98" t="s">
        <v>51</v>
      </c>
    </row>
    <row r="87" spans="1:37">
      <c r="A87" s="90">
        <v>45722</v>
      </c>
      <c r="B87" s="91">
        <v>1600</v>
      </c>
      <c r="C87" s="92"/>
      <c r="D87" s="91">
        <f>(SUM(粮草!A87:X87)+AG87*10*IF(AK87="是",$AZ$4,$AZ$3))</f>
        <v>0</v>
      </c>
      <c r="E87" s="105">
        <f>SUM($B$4:B87)+SUM($C$4:C87)-SUM($D$4:D87)</f>
        <v>-9598</v>
      </c>
      <c r="F87" s="104">
        <f>SUM(经验!A87:X87)</f>
        <v>0</v>
      </c>
      <c r="G87" s="91">
        <f>SUM($F$4:F87)+SUM($H$4:H87)</f>
        <v>64450</v>
      </c>
      <c r="H87" s="91">
        <v>0</v>
      </c>
      <c r="I87" s="93" t="s">
        <v>33</v>
      </c>
      <c r="J87" s="93" t="s">
        <v>33</v>
      </c>
      <c r="K87" s="93" t="s">
        <v>33</v>
      </c>
      <c r="L87" s="93" t="s">
        <v>33</v>
      </c>
      <c r="M87" s="93" t="s">
        <v>33</v>
      </c>
      <c r="N87" s="93" t="s">
        <v>33</v>
      </c>
      <c r="O87" s="94" t="s">
        <v>33</v>
      </c>
      <c r="P87" s="94" t="s">
        <v>33</v>
      </c>
      <c r="Q87" s="93" t="s">
        <v>33</v>
      </c>
      <c r="R87" s="93" t="s">
        <v>33</v>
      </c>
      <c r="S87" s="93" t="s">
        <v>33</v>
      </c>
      <c r="T87" s="93" t="s">
        <v>33</v>
      </c>
      <c r="U87" s="93" t="s">
        <v>33</v>
      </c>
      <c r="V87" s="93" t="s">
        <v>33</v>
      </c>
      <c r="W87" s="94" t="s">
        <v>33</v>
      </c>
      <c r="X87" s="94" t="s">
        <v>33</v>
      </c>
      <c r="Y87" s="93" t="s">
        <v>33</v>
      </c>
      <c r="Z87" s="93" t="s">
        <v>33</v>
      </c>
      <c r="AA87" s="93" t="s">
        <v>33</v>
      </c>
      <c r="AB87" s="93" t="s">
        <v>33</v>
      </c>
      <c r="AC87" s="93" t="s">
        <v>33</v>
      </c>
      <c r="AD87" s="93" t="s">
        <v>33</v>
      </c>
      <c r="AE87" s="94" t="s">
        <v>33</v>
      </c>
      <c r="AF87" s="94" t="s">
        <v>33</v>
      </c>
      <c r="AG87" s="95">
        <f t="shared" si="11"/>
        <v>0</v>
      </c>
      <c r="AH87" s="97"/>
      <c r="AI87" s="97"/>
      <c r="AJ87" s="97"/>
      <c r="AK87" s="98" t="s">
        <v>51</v>
      </c>
    </row>
    <row r="88" spans="1:37">
      <c r="A88" s="90">
        <v>45723</v>
      </c>
      <c r="B88" s="91">
        <v>1600</v>
      </c>
      <c r="C88" s="92"/>
      <c r="D88" s="91">
        <f>(SUM(粮草!A88:X88)+AG88*10*IF(AK88="是",$AZ$4,$AZ$3))</f>
        <v>0</v>
      </c>
      <c r="E88" s="105">
        <f>SUM($B$4:B88)+SUM($C$4:C88)-SUM($D$4:D88)</f>
        <v>-7998</v>
      </c>
      <c r="F88" s="104">
        <f>SUM(经验!A88:X88)</f>
        <v>0</v>
      </c>
      <c r="G88" s="91">
        <f>SUM($F$4:F88)+SUM($H$4:H88)</f>
        <v>64450</v>
      </c>
      <c r="H88" s="91">
        <v>0</v>
      </c>
      <c r="I88" s="93" t="s">
        <v>33</v>
      </c>
      <c r="J88" s="93" t="s">
        <v>33</v>
      </c>
      <c r="K88" s="93" t="s">
        <v>33</v>
      </c>
      <c r="L88" s="93" t="s">
        <v>33</v>
      </c>
      <c r="M88" s="93" t="s">
        <v>33</v>
      </c>
      <c r="N88" s="93" t="s">
        <v>33</v>
      </c>
      <c r="O88" s="94" t="s">
        <v>33</v>
      </c>
      <c r="P88" s="94" t="s">
        <v>33</v>
      </c>
      <c r="Q88" s="93" t="s">
        <v>33</v>
      </c>
      <c r="R88" s="93" t="s">
        <v>33</v>
      </c>
      <c r="S88" s="93" t="s">
        <v>33</v>
      </c>
      <c r="T88" s="93" t="s">
        <v>33</v>
      </c>
      <c r="U88" s="93" t="s">
        <v>33</v>
      </c>
      <c r="V88" s="93" t="s">
        <v>33</v>
      </c>
      <c r="W88" s="94" t="s">
        <v>33</v>
      </c>
      <c r="X88" s="94" t="s">
        <v>33</v>
      </c>
      <c r="Y88" s="93" t="s">
        <v>33</v>
      </c>
      <c r="Z88" s="93" t="s">
        <v>33</v>
      </c>
      <c r="AA88" s="93" t="s">
        <v>33</v>
      </c>
      <c r="AB88" s="93" t="s">
        <v>33</v>
      </c>
      <c r="AC88" s="93" t="s">
        <v>33</v>
      </c>
      <c r="AD88" s="93" t="s">
        <v>33</v>
      </c>
      <c r="AE88" s="94" t="s">
        <v>33</v>
      </c>
      <c r="AF88" s="94" t="s">
        <v>33</v>
      </c>
      <c r="AG88" s="95">
        <f t="shared" si="11"/>
        <v>0</v>
      </c>
      <c r="AH88" s="97"/>
      <c r="AI88" s="97"/>
      <c r="AJ88" s="97"/>
      <c r="AK88" s="98" t="s">
        <v>51</v>
      </c>
    </row>
    <row r="89" spans="1:37">
      <c r="A89" s="90">
        <v>45724</v>
      </c>
      <c r="B89" s="91">
        <v>1600</v>
      </c>
      <c r="C89" s="92"/>
      <c r="D89" s="91">
        <f>(SUM(粮草!A89:X89)+AG89*10*IF(AK89="是",$AZ$4,$AZ$3))</f>
        <v>0</v>
      </c>
      <c r="E89" s="105">
        <f>SUM($B$4:B89)+SUM($C$4:C89)-SUM($D$4:D89)</f>
        <v>-6398</v>
      </c>
      <c r="F89" s="104">
        <f>SUM(经验!A89:X89)</f>
        <v>0</v>
      </c>
      <c r="G89" s="91">
        <f>SUM($F$4:F89)+SUM($H$4:H89)</f>
        <v>64450</v>
      </c>
      <c r="H89" s="91">
        <v>0</v>
      </c>
      <c r="I89" s="93" t="s">
        <v>33</v>
      </c>
      <c r="J89" s="93" t="s">
        <v>33</v>
      </c>
      <c r="K89" s="93" t="s">
        <v>33</v>
      </c>
      <c r="L89" s="93" t="s">
        <v>33</v>
      </c>
      <c r="M89" s="93" t="s">
        <v>33</v>
      </c>
      <c r="N89" s="93" t="s">
        <v>33</v>
      </c>
      <c r="O89" s="94" t="s">
        <v>33</v>
      </c>
      <c r="P89" s="94" t="s">
        <v>33</v>
      </c>
      <c r="Q89" s="93" t="s">
        <v>33</v>
      </c>
      <c r="R89" s="93" t="s">
        <v>33</v>
      </c>
      <c r="S89" s="93" t="s">
        <v>33</v>
      </c>
      <c r="T89" s="93" t="s">
        <v>33</v>
      </c>
      <c r="U89" s="93" t="s">
        <v>33</v>
      </c>
      <c r="V89" s="93" t="s">
        <v>33</v>
      </c>
      <c r="W89" s="94" t="s">
        <v>33</v>
      </c>
      <c r="X89" s="94" t="s">
        <v>33</v>
      </c>
      <c r="Y89" s="93" t="s">
        <v>33</v>
      </c>
      <c r="Z89" s="93" t="s">
        <v>33</v>
      </c>
      <c r="AA89" s="93" t="s">
        <v>33</v>
      </c>
      <c r="AB89" s="93" t="s">
        <v>33</v>
      </c>
      <c r="AC89" s="93" t="s">
        <v>33</v>
      </c>
      <c r="AD89" s="93" t="s">
        <v>33</v>
      </c>
      <c r="AE89" s="94" t="s">
        <v>33</v>
      </c>
      <c r="AF89" s="94" t="s">
        <v>33</v>
      </c>
      <c r="AG89" s="95">
        <f t="shared" si="11"/>
        <v>0</v>
      </c>
      <c r="AH89" s="97"/>
      <c r="AI89" s="97"/>
      <c r="AJ89" s="97"/>
      <c r="AK89" s="98" t="s">
        <v>51</v>
      </c>
    </row>
    <row r="90" spans="1:37">
      <c r="A90" s="90">
        <v>45725</v>
      </c>
      <c r="B90" s="91">
        <v>1600</v>
      </c>
      <c r="C90" s="92"/>
      <c r="D90" s="91">
        <f>(SUM(粮草!A90:X90)+AG90*10*IF(AK90="是",$AZ$4,$AZ$3))</f>
        <v>0</v>
      </c>
      <c r="E90" s="105">
        <f>SUM($B$4:B90)+SUM($C$4:C90)-SUM($D$4:D90)</f>
        <v>-4798</v>
      </c>
      <c r="F90" s="104">
        <f>SUM(经验!A90:X90)</f>
        <v>0</v>
      </c>
      <c r="G90" s="91">
        <f>SUM($F$4:F90)+SUM($H$4:H90)</f>
        <v>64450</v>
      </c>
      <c r="H90" s="91">
        <v>0</v>
      </c>
      <c r="I90" s="93" t="s">
        <v>33</v>
      </c>
      <c r="J90" s="93" t="s">
        <v>33</v>
      </c>
      <c r="K90" s="93" t="s">
        <v>33</v>
      </c>
      <c r="L90" s="93" t="s">
        <v>33</v>
      </c>
      <c r="M90" s="93" t="s">
        <v>33</v>
      </c>
      <c r="N90" s="93" t="s">
        <v>33</v>
      </c>
      <c r="O90" s="94" t="s">
        <v>33</v>
      </c>
      <c r="P90" s="94" t="s">
        <v>33</v>
      </c>
      <c r="Q90" s="93" t="s">
        <v>33</v>
      </c>
      <c r="R90" s="93" t="s">
        <v>33</v>
      </c>
      <c r="S90" s="93" t="s">
        <v>33</v>
      </c>
      <c r="T90" s="93" t="s">
        <v>33</v>
      </c>
      <c r="U90" s="93" t="s">
        <v>33</v>
      </c>
      <c r="V90" s="93" t="s">
        <v>33</v>
      </c>
      <c r="W90" s="94" t="s">
        <v>33</v>
      </c>
      <c r="X90" s="94" t="s">
        <v>33</v>
      </c>
      <c r="Y90" s="93" t="s">
        <v>33</v>
      </c>
      <c r="Z90" s="93" t="s">
        <v>33</v>
      </c>
      <c r="AA90" s="93" t="s">
        <v>33</v>
      </c>
      <c r="AB90" s="93" t="s">
        <v>33</v>
      </c>
      <c r="AC90" s="93" t="s">
        <v>33</v>
      </c>
      <c r="AD90" s="93" t="s">
        <v>33</v>
      </c>
      <c r="AE90" s="94" t="s">
        <v>33</v>
      </c>
      <c r="AF90" s="94" t="s">
        <v>33</v>
      </c>
      <c r="AG90" s="95">
        <f t="shared" si="11"/>
        <v>0</v>
      </c>
      <c r="AH90" s="97"/>
      <c r="AI90" s="97"/>
      <c r="AJ90" s="97"/>
      <c r="AK90" s="98" t="s">
        <v>51</v>
      </c>
    </row>
    <row r="91" spans="1:37">
      <c r="A91" s="90">
        <v>45726</v>
      </c>
      <c r="B91" s="93">
        <v>1600</v>
      </c>
      <c r="C91" s="93"/>
      <c r="D91" s="91">
        <f>(SUM(粮草!A91:X91)+AG91*10*IF(AK91="是",$AZ$4,$AZ$3))</f>
        <v>0</v>
      </c>
      <c r="E91" s="105">
        <f>SUM($B$4:B91)+SUM($C$4:C91)-SUM($D$4:D91)</f>
        <v>-3198</v>
      </c>
      <c r="F91" s="104">
        <f>SUM(经验!A91:X91)</f>
        <v>0</v>
      </c>
      <c r="G91" s="91">
        <f>SUM($F$4:F91)+SUM($H$4:H91)</f>
        <v>64650</v>
      </c>
      <c r="H91" s="93">
        <v>200</v>
      </c>
      <c r="I91" s="93" t="s">
        <v>33</v>
      </c>
      <c r="J91" s="93" t="s">
        <v>33</v>
      </c>
      <c r="K91" s="93" t="s">
        <v>33</v>
      </c>
      <c r="L91" s="93" t="s">
        <v>33</v>
      </c>
      <c r="M91" s="93" t="s">
        <v>33</v>
      </c>
      <c r="N91" s="93" t="s">
        <v>33</v>
      </c>
      <c r="O91" s="94" t="s">
        <v>33</v>
      </c>
      <c r="P91" s="94" t="s">
        <v>33</v>
      </c>
      <c r="Q91" s="93" t="s">
        <v>33</v>
      </c>
      <c r="R91" s="93" t="s">
        <v>33</v>
      </c>
      <c r="S91" s="93" t="s">
        <v>33</v>
      </c>
      <c r="T91" s="93" t="s">
        <v>33</v>
      </c>
      <c r="U91" s="93" t="s">
        <v>33</v>
      </c>
      <c r="V91" s="93" t="s">
        <v>33</v>
      </c>
      <c r="W91" s="94" t="s">
        <v>33</v>
      </c>
      <c r="X91" s="94" t="s">
        <v>33</v>
      </c>
      <c r="Y91" s="93" t="s">
        <v>33</v>
      </c>
      <c r="Z91" s="93" t="s">
        <v>33</v>
      </c>
      <c r="AA91" s="93" t="s">
        <v>33</v>
      </c>
      <c r="AB91" s="93" t="s">
        <v>33</v>
      </c>
      <c r="AC91" s="93" t="s">
        <v>33</v>
      </c>
      <c r="AD91" s="93" t="s">
        <v>33</v>
      </c>
      <c r="AE91" s="94" t="s">
        <v>33</v>
      </c>
      <c r="AF91" s="94" t="s">
        <v>33</v>
      </c>
      <c r="AG91" s="95">
        <f t="shared" si="11"/>
        <v>0</v>
      </c>
      <c r="AH91" s="97"/>
      <c r="AI91" s="97"/>
      <c r="AJ91" s="97"/>
      <c r="AK91" s="98" t="s">
        <v>51</v>
      </c>
    </row>
    <row r="92" spans="1:37">
      <c r="A92" s="90">
        <v>45727</v>
      </c>
      <c r="B92" s="93">
        <v>1600</v>
      </c>
      <c r="C92" s="93"/>
      <c r="D92" s="91">
        <f>(SUM(粮草!A92:X92)+AG92*10*IF(AK92="是",$AZ$4,$AZ$3))</f>
        <v>0</v>
      </c>
      <c r="E92" s="105">
        <f>SUM($B$4:B92)+SUM($C$4:C92)-SUM($D$4:D92)</f>
        <v>-1598</v>
      </c>
      <c r="F92" s="104">
        <f>SUM(经验!A92:X92)</f>
        <v>0</v>
      </c>
      <c r="G92" s="91">
        <f>SUM($F$4:F92)+SUM($H$4:H92)</f>
        <v>64750</v>
      </c>
      <c r="H92" s="93">
        <v>100</v>
      </c>
      <c r="I92" s="93" t="s">
        <v>33</v>
      </c>
      <c r="J92" s="93" t="s">
        <v>33</v>
      </c>
      <c r="K92" s="93" t="s">
        <v>33</v>
      </c>
      <c r="L92" s="93" t="s">
        <v>33</v>
      </c>
      <c r="M92" s="93" t="s">
        <v>33</v>
      </c>
      <c r="N92" s="93" t="s">
        <v>33</v>
      </c>
      <c r="O92" s="94" t="s">
        <v>33</v>
      </c>
      <c r="P92" s="94" t="s">
        <v>33</v>
      </c>
      <c r="Q92" s="93" t="s">
        <v>33</v>
      </c>
      <c r="R92" s="93" t="s">
        <v>33</v>
      </c>
      <c r="S92" s="93" t="s">
        <v>33</v>
      </c>
      <c r="T92" s="93" t="s">
        <v>33</v>
      </c>
      <c r="U92" s="93" t="s">
        <v>33</v>
      </c>
      <c r="V92" s="93" t="s">
        <v>33</v>
      </c>
      <c r="W92" s="94" t="s">
        <v>33</v>
      </c>
      <c r="X92" s="94" t="s">
        <v>33</v>
      </c>
      <c r="Y92" s="93" t="s">
        <v>33</v>
      </c>
      <c r="Z92" s="93" t="s">
        <v>33</v>
      </c>
      <c r="AA92" s="93" t="s">
        <v>33</v>
      </c>
      <c r="AB92" s="93" t="s">
        <v>33</v>
      </c>
      <c r="AC92" s="93" t="s">
        <v>33</v>
      </c>
      <c r="AD92" s="93" t="s">
        <v>33</v>
      </c>
      <c r="AE92" s="94" t="s">
        <v>33</v>
      </c>
      <c r="AF92" s="94" t="s">
        <v>33</v>
      </c>
      <c r="AG92" s="95">
        <f t="shared" si="11"/>
        <v>0</v>
      </c>
      <c r="AH92" s="97"/>
      <c r="AI92" s="97"/>
      <c r="AJ92" s="97"/>
      <c r="AK92" s="98" t="s">
        <v>51</v>
      </c>
    </row>
    <row r="93" spans="1:37">
      <c r="A93" s="90">
        <v>45728</v>
      </c>
      <c r="B93" s="93">
        <v>1600</v>
      </c>
      <c r="C93" s="93"/>
      <c r="D93" s="91">
        <f>(SUM(粮草!A93:X93)+AG93*10*IF(AK93="是",$AZ$4,$AZ$3))</f>
        <v>0</v>
      </c>
      <c r="E93" s="105">
        <f>SUM($B$4:B93)+SUM($C$4:C93)-SUM($D$4:D93)</f>
        <v>2</v>
      </c>
      <c r="F93" s="104">
        <f>SUM(经验!A93:X93)</f>
        <v>0</v>
      </c>
      <c r="G93" s="91">
        <f>SUM($F$4:F93)+SUM($H$4:H93)</f>
        <v>64950</v>
      </c>
      <c r="H93" s="93">
        <v>200</v>
      </c>
      <c r="I93" s="93" t="s">
        <v>33</v>
      </c>
      <c r="J93" s="93" t="s">
        <v>33</v>
      </c>
      <c r="K93" s="93" t="s">
        <v>33</v>
      </c>
      <c r="L93" s="93" t="s">
        <v>33</v>
      </c>
      <c r="M93" s="93" t="s">
        <v>33</v>
      </c>
      <c r="N93" s="93" t="s">
        <v>33</v>
      </c>
      <c r="O93" s="94" t="s">
        <v>33</v>
      </c>
      <c r="P93" s="94" t="s">
        <v>33</v>
      </c>
      <c r="Q93" s="93" t="s">
        <v>33</v>
      </c>
      <c r="R93" s="93" t="s">
        <v>33</v>
      </c>
      <c r="S93" s="93" t="s">
        <v>33</v>
      </c>
      <c r="T93" s="93" t="s">
        <v>33</v>
      </c>
      <c r="U93" s="93" t="s">
        <v>33</v>
      </c>
      <c r="V93" s="93" t="s">
        <v>33</v>
      </c>
      <c r="W93" s="94" t="s">
        <v>33</v>
      </c>
      <c r="X93" s="94" t="s">
        <v>33</v>
      </c>
      <c r="Y93" s="93" t="s">
        <v>33</v>
      </c>
      <c r="Z93" s="93" t="s">
        <v>33</v>
      </c>
      <c r="AA93" s="93" t="s">
        <v>33</v>
      </c>
      <c r="AB93" s="93" t="s">
        <v>33</v>
      </c>
      <c r="AC93" s="93" t="s">
        <v>33</v>
      </c>
      <c r="AD93" s="93" t="s">
        <v>33</v>
      </c>
      <c r="AE93" s="94" t="s">
        <v>33</v>
      </c>
      <c r="AF93" s="94" t="s">
        <v>33</v>
      </c>
      <c r="AG93" s="95">
        <f t="shared" si="11"/>
        <v>0</v>
      </c>
      <c r="AH93" s="97"/>
      <c r="AI93" s="97"/>
      <c r="AJ93" s="97"/>
      <c r="AK93" s="98" t="s">
        <v>51</v>
      </c>
    </row>
    <row r="95" spans="1:37">
      <c r="D95" t="s">
        <v>57</v>
      </c>
      <c r="E95" s="17">
        <f>COUNTIF(E4:E93,"&lt;0")</f>
        <v>45</v>
      </c>
    </row>
  </sheetData>
  <mergeCells count="14">
    <mergeCell ref="AO48:AP48"/>
    <mergeCell ref="AK2:AK3"/>
    <mergeCell ref="AY5:AZ8"/>
    <mergeCell ref="AM1:AO2"/>
    <mergeCell ref="A1:H1"/>
    <mergeCell ref="I1:AG1"/>
    <mergeCell ref="D2:E2"/>
    <mergeCell ref="F2:H2"/>
    <mergeCell ref="I2:J2"/>
    <mergeCell ref="M2:P2"/>
    <mergeCell ref="Q2:R2"/>
    <mergeCell ref="U2:X2"/>
    <mergeCell ref="Y2:Z2"/>
    <mergeCell ref="AC2:AF2"/>
  </mergeCells>
  <phoneticPr fontId="11" type="noConversion"/>
  <conditionalFormatting sqref="A1:H1">
    <cfRule type="dataBar" priority="6">
      <dataBar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{34A813B2-B8EE-4758-B4A7-DE62FC05F043}</x14:id>
        </ext>
      </extLst>
    </cfRule>
  </conditionalFormatting>
  <pageMargins left="0.7" right="0.7" top="0.75" bottom="0.75" header="0.3" footer="0.3"/>
  <pageSetup orientation="portrait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4A813B2-B8EE-4758-B4A7-DE62FC05F043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A1:H1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Z94"/>
  <sheetViews>
    <sheetView workbookViewId="0">
      <selection activeCell="Z17" sqref="B12:Z17"/>
    </sheetView>
  </sheetViews>
  <sheetFormatPr defaultColWidth="9" defaultRowHeight="15"/>
  <cols>
    <col min="26" max="26" width="10.7109375" bestFit="1" customWidth="1"/>
  </cols>
  <sheetData>
    <row r="2" spans="1:26">
      <c r="A2" s="147" t="s">
        <v>58</v>
      </c>
      <c r="B2" s="148"/>
      <c r="C2" s="1" t="s">
        <v>3</v>
      </c>
      <c r="D2" s="1">
        <f>COUNTIF(A4:H94,"&lt;&gt;空")</f>
        <v>728</v>
      </c>
      <c r="E2" s="148" t="s">
        <v>4</v>
      </c>
      <c r="F2" s="148"/>
      <c r="G2" s="148"/>
      <c r="H2" s="149"/>
      <c r="I2" s="150" t="s">
        <v>5</v>
      </c>
      <c r="J2" s="151"/>
      <c r="K2" s="6" t="s">
        <v>3</v>
      </c>
      <c r="L2" s="6">
        <f>COUNTIF(I4:P94,"&lt;&gt;空")</f>
        <v>728</v>
      </c>
      <c r="M2" s="151" t="s">
        <v>4</v>
      </c>
      <c r="N2" s="151"/>
      <c r="O2" s="151"/>
      <c r="P2" s="152"/>
      <c r="Q2" s="153" t="s">
        <v>6</v>
      </c>
      <c r="R2" s="145"/>
      <c r="S2" s="10" t="s">
        <v>7</v>
      </c>
      <c r="T2" s="9">
        <f>COUNTIF(Q4:X94,"&lt;&gt;空")</f>
        <v>728</v>
      </c>
      <c r="U2" s="145" t="s">
        <v>4</v>
      </c>
      <c r="V2" s="145"/>
      <c r="W2" s="145"/>
      <c r="X2" s="146"/>
      <c r="Y2" t="s">
        <v>63</v>
      </c>
    </row>
    <row r="3" spans="1:26">
      <c r="A3" s="2">
        <v>1</v>
      </c>
      <c r="B3" s="3">
        <v>2</v>
      </c>
      <c r="C3" s="3">
        <v>3</v>
      </c>
      <c r="D3" s="3">
        <v>4</v>
      </c>
      <c r="E3" s="3">
        <v>5</v>
      </c>
      <c r="F3" s="3">
        <v>6</v>
      </c>
      <c r="G3" s="3">
        <v>7</v>
      </c>
      <c r="H3" s="3">
        <v>8</v>
      </c>
      <c r="I3" s="7">
        <v>1</v>
      </c>
      <c r="J3" s="8">
        <v>2</v>
      </c>
      <c r="K3" s="8">
        <v>3</v>
      </c>
      <c r="L3" s="8">
        <v>4</v>
      </c>
      <c r="M3" s="8">
        <v>5</v>
      </c>
      <c r="N3" s="8">
        <v>6</v>
      </c>
      <c r="O3" s="8">
        <v>7</v>
      </c>
      <c r="P3" s="8">
        <v>8</v>
      </c>
      <c r="Q3" s="11">
        <v>1</v>
      </c>
      <c r="R3" s="12">
        <v>2</v>
      </c>
      <c r="S3" s="12">
        <v>3</v>
      </c>
      <c r="T3" s="12">
        <v>4</v>
      </c>
      <c r="U3" s="12">
        <v>5</v>
      </c>
      <c r="V3" s="12">
        <v>6</v>
      </c>
      <c r="W3" s="12">
        <v>7</v>
      </c>
      <c r="X3" s="13">
        <v>8</v>
      </c>
    </row>
    <row r="4" spans="1:26">
      <c r="A4" s="4">
        <f>IF(ISNUMBER(SEARCH("营",'18.04'!I4)),(-$Y4+50*IF('18.04'!$AK4="是",'18.04'!$AZ$4,'18.04'!$AZ$3)),(VLOOKUP('18.04'!I4,'18.04'!$AM$4:$AO$55,2,FALSE))*IF('18.04'!$AK4="是",'18.04'!$AZ$4,'18.04'!$AZ$3))</f>
        <v>150</v>
      </c>
      <c r="B4" s="4">
        <f>IF(ISNUMBER(SEARCH("营",'18.04'!J4)),(-$Y4+50*IF('18.04'!$AK4="是",'18.04'!$AZ$4,'18.04'!$AZ$3)),(VLOOKUP('18.04'!J4,'18.04'!$AM$4:$AO$55,2,FALSE))*IF('18.04'!$AK4="是",'18.04'!$AZ$4,'18.04'!$AZ$3))</f>
        <v>150</v>
      </c>
      <c r="C4" s="4">
        <f>IF(ISNUMBER(SEARCH("营",'18.04'!K4)),(-$Y4+50*IF('18.04'!$AK4="是",'18.04'!$AZ$4,'18.04'!$AZ$3)),(VLOOKUP('18.04'!K4,'18.04'!$AM$4:$AO$55,2,FALSE))*IF('18.04'!$AK4="是",'18.04'!$AZ$4,'18.04'!$AZ$3))</f>
        <v>150</v>
      </c>
      <c r="D4" s="4">
        <f>IF(ISNUMBER(SEARCH("营",'18.04'!L4)),(-$Y4+50*IF('18.04'!$AK4="是",'18.04'!$AZ$4,'18.04'!$AZ$3)),(VLOOKUP('18.04'!L4,'18.04'!$AM$4:$AO$55,2,FALSE))*IF('18.04'!$AK4="是",'18.04'!$AZ$4,'18.04'!$AZ$3))</f>
        <v>150</v>
      </c>
      <c r="E4" s="4">
        <f>IF(ISNUMBER(SEARCH("营",'18.04'!M4)),(-$Y4+50*IF('18.04'!$AK4="是",'18.04'!$AZ$4,'18.04'!$AZ$3)),(VLOOKUP('18.04'!M4,'18.04'!$AM$4:$AO$55,2,FALSE))*IF('18.04'!$AK4="是",'18.04'!$AZ$4,'18.04'!$AZ$3))</f>
        <v>150</v>
      </c>
      <c r="F4" s="4">
        <f>IF(ISNUMBER(SEARCH("营",'18.04'!N4)),(-$Y4+50*IF('18.04'!$AK4="是",'18.04'!$AZ$4,'18.04'!$AZ$3)),(VLOOKUP('18.04'!N4,'18.04'!$AM$4:$AO$55,2,FALSE))*IF('18.04'!$AK4="是",'18.04'!$AZ$4,'18.04'!$AZ$3))</f>
        <v>0</v>
      </c>
      <c r="G4" s="4">
        <f>IF(ISNUMBER(SEARCH("营",'18.04'!O4)),(-$Y4+50*IF('18.04'!$AK4="是",'18.04'!$AZ$4,'18.04'!$AZ$3)),(VLOOKUP('18.04'!O4,'18.04'!$AM$4:$AO$55,2,FALSE))*IF('18.04'!$AK4="是",'18.04'!$AZ$4,'18.04'!$AZ$3))</f>
        <v>0</v>
      </c>
      <c r="H4" s="4">
        <f>IF(ISNUMBER(SEARCH("营",'18.04'!P4)),(-$Y4+50*IF('18.04'!$AK4="是",'18.04'!$AZ$4,'18.04'!$AZ$3)),(VLOOKUP('18.04'!P4,'18.04'!$AM$4:$AO$55,2,FALSE))*IF('18.04'!$AK4="是",'18.04'!$AZ$4,'18.04'!$AZ$3))</f>
        <v>0</v>
      </c>
      <c r="I4" s="4">
        <f>IF(ISNUMBER(SEARCH("营",'18.04'!Q4)),(-$Y4+50*IF('18.04'!$AK4="是",'18.04'!$AZ$4,'18.04'!$AZ$3)),(VLOOKUP('18.04'!Q4,'18.04'!$AM$4:$AO$55,2,FALSE))*IF('18.04'!$AK4="是",'18.04'!$AZ$4,'18.04'!$AZ$3))</f>
        <v>50</v>
      </c>
      <c r="J4" s="4">
        <f>IF(ISNUMBER(SEARCH("营",'18.04'!R4)),(-$Y4+50*IF('18.04'!$AK4="是",'18.04'!$AZ$4,'18.04'!$AZ$3)),(VLOOKUP('18.04'!R4,'18.04'!$AM$4:$AO$55,2,FALSE))*IF('18.04'!$AK4="是",'18.04'!$AZ$4,'18.04'!$AZ$3))</f>
        <v>150</v>
      </c>
      <c r="K4" s="4">
        <f>IF(ISNUMBER(SEARCH("营",'18.04'!S4)),(-$Y4+50*IF('18.04'!$AK4="是",'18.04'!$AZ$4,'18.04'!$AZ$3)),(VLOOKUP('18.04'!S4,'18.04'!$AM$4:$AO$55,2,FALSE))*IF('18.04'!$AK4="是",'18.04'!$AZ$4,'18.04'!$AZ$3))</f>
        <v>150</v>
      </c>
      <c r="L4" s="4">
        <f>IF(ISNUMBER(SEARCH("营",'18.04'!T4)),(-$Y4+50*IF('18.04'!$AK4="是",'18.04'!$AZ$4,'18.04'!$AZ$3)),(VLOOKUP('18.04'!T4,'18.04'!$AM$4:$AO$55,2,FALSE))*IF('18.04'!$AK4="是",'18.04'!$AZ$4,'18.04'!$AZ$3))</f>
        <v>150</v>
      </c>
      <c r="M4" s="4">
        <f>IF(ISNUMBER(SEARCH("营",'18.04'!U4)),(-$Y4+50*IF('18.04'!$AK4="是",'18.04'!$AZ$4,'18.04'!$AZ$3)),(VLOOKUP('18.04'!U4,'18.04'!$AM$4:$AO$55,2,FALSE))*IF('18.04'!$AK4="是",'18.04'!$AZ$4,'18.04'!$AZ$3))</f>
        <v>150</v>
      </c>
      <c r="N4" s="4">
        <f>IF(ISNUMBER(SEARCH("营",'18.04'!V4)),(-$Y4+50*IF('18.04'!$AK4="是",'18.04'!$AZ$4,'18.04'!$AZ$3)),(VLOOKUP('18.04'!V4,'18.04'!$AM$4:$AO$55,2,FALSE))*IF('18.04'!$AK4="是",'18.04'!$AZ$4,'18.04'!$AZ$3))</f>
        <v>150</v>
      </c>
      <c r="O4" s="4">
        <f>IF(ISNUMBER(SEARCH("营",'18.04'!W4)),(-$Y4+50*IF('18.04'!$AK4="是",'18.04'!$AZ$4,'18.04'!$AZ$3)),(VLOOKUP('18.04'!W4,'18.04'!$AM$4:$AO$55,2,FALSE))*IF('18.04'!$AK4="是",'18.04'!$AZ$4,'18.04'!$AZ$3))</f>
        <v>0</v>
      </c>
      <c r="P4" s="4">
        <f>IF(ISNUMBER(SEARCH("营",'18.04'!X4)),(-$Y4+50*IF('18.04'!$AK4="是",'18.04'!$AZ$4,'18.04'!$AZ$3)),(VLOOKUP('18.04'!X4,'18.04'!$AM$4:$AO$55,2,FALSE))*IF('18.04'!$AK4="是",'18.04'!$AZ$4,'18.04'!$AZ$3))</f>
        <v>0</v>
      </c>
      <c r="Q4" s="4">
        <f>IF(ISNUMBER(SEARCH("营",'18.04'!Y4)),(-$Y4+50*IF('18.04'!$AK4="是",'18.04'!$AZ$4,'18.04'!$AZ$3)),(VLOOKUP('18.04'!Y4,'18.04'!$AM$4:$AO$55,2,FALSE))*IF('18.04'!$AK4="是",'18.04'!$AZ$4,'18.04'!$AZ$3))</f>
        <v>0</v>
      </c>
      <c r="R4" s="4">
        <f>IF(ISNUMBER(SEARCH("营",'18.04'!Z4)),(-$Y4+50*IF('18.04'!$AK4="是",'18.04'!$AZ$4,'18.04'!$AZ$3)),(VLOOKUP('18.04'!Z4,'18.04'!$AM$4:$AO$55,2,FALSE))*IF('18.04'!$AK4="是",'18.04'!$AZ$4,'18.04'!$AZ$3))</f>
        <v>0</v>
      </c>
      <c r="S4" s="4">
        <f>IF(ISNUMBER(SEARCH("营",'18.04'!AA4)),(-$Y4+50*IF('18.04'!$AK4="是",'18.04'!$AZ$4,'18.04'!$AZ$3)),(VLOOKUP('18.04'!AA4,'18.04'!$AM$4:$AO$55,2,FALSE))*IF('18.04'!$AK4="是",'18.04'!$AZ$4,'18.04'!$AZ$3))</f>
        <v>0</v>
      </c>
      <c r="T4" s="4">
        <f>IF(ISNUMBER(SEARCH("营",'18.04'!AB4)),(-$Y4+50*IF('18.04'!$AK4="是",'18.04'!$AZ$4,'18.04'!$AZ$3)),(VLOOKUP('18.04'!AB4,'18.04'!$AM$4:$AO$55,2,FALSE))*IF('18.04'!$AK4="是",'18.04'!$AZ$4,'18.04'!$AZ$3))</f>
        <v>0</v>
      </c>
      <c r="U4" s="4">
        <f>IF(ISNUMBER(SEARCH("营",'18.04'!AC4)),(-$Y4+50*IF('18.04'!$AK4="是",'18.04'!$AZ$4,'18.04'!$AZ$3)),(VLOOKUP('18.04'!AC4,'18.04'!$AM$4:$AO$55,2,FALSE))*IF('18.04'!$AK4="是",'18.04'!$AZ$4,'18.04'!$AZ$3))</f>
        <v>0</v>
      </c>
      <c r="V4" s="4">
        <f>IF(ISNUMBER(SEARCH("营",'18.04'!AD4)),(-$Y4+50*IF('18.04'!$AK4="是",'18.04'!$AZ$4,'18.04'!$AZ$3)),(VLOOKUP('18.04'!AD4,'18.04'!$AM$4:$AO$55,2,FALSE))*IF('18.04'!$AK4="是",'18.04'!$AZ$4,'18.04'!$AZ$3))</f>
        <v>0</v>
      </c>
      <c r="W4" s="4">
        <f>IF(ISNUMBER(SEARCH("营",'18.04'!AE4)),(-$Y4+50*IF('18.04'!$AK4="是",'18.04'!$AZ$4,'18.04'!$AZ$3)),(VLOOKUP('18.04'!AE4,'18.04'!$AM$4:$AO$55,2,FALSE))*IF('18.04'!$AK4="是",'18.04'!$AZ$4,'18.04'!$AZ$3))</f>
        <v>0</v>
      </c>
      <c r="X4" s="4">
        <f>IF(ISNUMBER(SEARCH("营",'18.04'!AF4)),(-$Y4+50*IF('18.04'!$AK4="是",'18.04'!$AZ$4,'18.04'!$AZ$3)),(VLOOKUP('18.04'!AF4,'18.04'!$AM$4:$AO$55,2,FALSE))*IF('18.04'!$AK4="是",'18.04'!$AZ$4,'18.04'!$AZ$3))</f>
        <v>0</v>
      </c>
      <c r="Y4" s="77">
        <v>300</v>
      </c>
      <c r="Z4" s="90">
        <v>45639</v>
      </c>
    </row>
    <row r="5" spans="1:26">
      <c r="A5" s="4">
        <f>IF(ISNUMBER(SEARCH("营",'18.04'!I5)),(-$Y5+50*IF('18.04'!$AK5="是",'18.04'!$AZ$4,'18.04'!$AZ$3)),(VLOOKUP('18.04'!I5,'18.04'!$AM$4:$AO$55,2,FALSE))*IF('18.04'!$AK5="是",'18.04'!$AZ$4,'18.04'!$AZ$3))</f>
        <v>0</v>
      </c>
      <c r="B5" s="4">
        <f>IF(ISNUMBER(SEARCH("营",'18.04'!J5)),(-$Y5+50*IF('18.04'!$AK5="是",'18.04'!$AZ$4,'18.04'!$AZ$3)),(VLOOKUP('18.04'!J5,'18.04'!$AM$4:$AO$55,2,FALSE))*IF('18.04'!$AK5="是",'18.04'!$AZ$4,'18.04'!$AZ$3))</f>
        <v>0</v>
      </c>
      <c r="C5" s="4">
        <f>IF(ISNUMBER(SEARCH("营",'18.04'!K5)),(-$Y5+50*IF('18.04'!$AK5="是",'18.04'!$AZ$4,'18.04'!$AZ$3)),(VLOOKUP('18.04'!K5,'18.04'!$AM$4:$AO$55,2,FALSE))*IF('18.04'!$AK5="是",'18.04'!$AZ$4,'18.04'!$AZ$3))</f>
        <v>0</v>
      </c>
      <c r="D5" s="4">
        <f>IF(ISNUMBER(SEARCH("营",'18.04'!L5)),(-$Y5+50*IF('18.04'!$AK5="是",'18.04'!$AZ$4,'18.04'!$AZ$3)),(VLOOKUP('18.04'!L5,'18.04'!$AM$4:$AO$55,2,FALSE))*IF('18.04'!$AK5="是",'18.04'!$AZ$4,'18.04'!$AZ$3))</f>
        <v>0</v>
      </c>
      <c r="E5" s="4">
        <f>IF(ISNUMBER(SEARCH("营",'18.04'!M5)),(-$Y5+50*IF('18.04'!$AK5="是",'18.04'!$AZ$4,'18.04'!$AZ$3)),(VLOOKUP('18.04'!M5,'18.04'!$AM$4:$AO$55,2,FALSE))*IF('18.04'!$AK5="是",'18.04'!$AZ$4,'18.04'!$AZ$3))</f>
        <v>0</v>
      </c>
      <c r="F5" s="4">
        <f>IF(ISNUMBER(SEARCH("营",'18.04'!N5)),(-$Y5+50*IF('18.04'!$AK5="是",'18.04'!$AZ$4,'18.04'!$AZ$3)),(VLOOKUP('18.04'!N5,'18.04'!$AM$4:$AO$55,2,FALSE))*IF('18.04'!$AK5="是",'18.04'!$AZ$4,'18.04'!$AZ$3))</f>
        <v>0</v>
      </c>
      <c r="G5" s="4">
        <f>IF(ISNUMBER(SEARCH("营",'18.04'!O5)),(-$Y5+50*IF('18.04'!$AK5="是",'18.04'!$AZ$4,'18.04'!$AZ$3)),(VLOOKUP('18.04'!O5,'18.04'!$AM$4:$AO$55,2,FALSE))*IF('18.04'!$AK5="是",'18.04'!$AZ$4,'18.04'!$AZ$3))</f>
        <v>0</v>
      </c>
      <c r="H5" s="4">
        <f>IF(ISNUMBER(SEARCH("营",'18.04'!P5)),(-$Y5+50*IF('18.04'!$AK5="是",'18.04'!$AZ$4,'18.04'!$AZ$3)),(VLOOKUP('18.04'!P5,'18.04'!$AM$4:$AO$55,2,FALSE))*IF('18.04'!$AK5="是",'18.04'!$AZ$4,'18.04'!$AZ$3))</f>
        <v>0</v>
      </c>
      <c r="I5" s="4">
        <f>IF(ISNUMBER(SEARCH("营",'18.04'!Q5)),(-$Y5+50*IF('18.04'!$AK5="是",'18.04'!$AZ$4,'18.04'!$AZ$3)),(VLOOKUP('18.04'!Q5,'18.04'!$AM$4:$AO$55,2,FALSE))*IF('18.04'!$AK5="是",'18.04'!$AZ$4,'18.04'!$AZ$3))</f>
        <v>150</v>
      </c>
      <c r="J5" s="4">
        <f>IF(ISNUMBER(SEARCH("营",'18.04'!R5)),(-$Y5+50*IF('18.04'!$AK5="是",'18.04'!$AZ$4,'18.04'!$AZ$3)),(VLOOKUP('18.04'!R5,'18.04'!$AM$4:$AO$55,2,FALSE))*IF('18.04'!$AK5="是",'18.04'!$AZ$4,'18.04'!$AZ$3))</f>
        <v>160</v>
      </c>
      <c r="K5" s="4">
        <f>IF(ISNUMBER(SEARCH("营",'18.04'!S5)),(-$Y5+50*IF('18.04'!$AK5="是",'18.04'!$AZ$4,'18.04'!$AZ$3)),(VLOOKUP('18.04'!S5,'18.04'!$AM$4:$AO$55,2,FALSE))*IF('18.04'!$AK5="是",'18.04'!$AZ$4,'18.04'!$AZ$3))</f>
        <v>160</v>
      </c>
      <c r="L5" s="4">
        <f>IF(ISNUMBER(SEARCH("营",'18.04'!T5)),(-$Y5+50*IF('18.04'!$AK5="是",'18.04'!$AZ$4,'18.04'!$AZ$3)),(VLOOKUP('18.04'!T5,'18.04'!$AM$4:$AO$55,2,FALSE))*IF('18.04'!$AK5="是",'18.04'!$AZ$4,'18.04'!$AZ$3))</f>
        <v>160</v>
      </c>
      <c r="M5" s="4">
        <f>IF(ISNUMBER(SEARCH("营",'18.04'!U5)),(-$Y5+50*IF('18.04'!$AK5="是",'18.04'!$AZ$4,'18.04'!$AZ$3)),(VLOOKUP('18.04'!U5,'18.04'!$AM$4:$AO$55,2,FALSE))*IF('18.04'!$AK5="是",'18.04'!$AZ$4,'18.04'!$AZ$3))</f>
        <v>160</v>
      </c>
      <c r="N5" s="4">
        <f>IF(ISNUMBER(SEARCH("营",'18.04'!V5)),(-$Y5+50*IF('18.04'!$AK5="是",'18.04'!$AZ$4,'18.04'!$AZ$3)),(VLOOKUP('18.04'!V5,'18.04'!$AM$4:$AO$55,2,FALSE))*IF('18.04'!$AK5="是",'18.04'!$AZ$4,'18.04'!$AZ$3))</f>
        <v>160</v>
      </c>
      <c r="O5" s="4">
        <f>IF(ISNUMBER(SEARCH("营",'18.04'!W5)),(-$Y5+50*IF('18.04'!$AK5="是",'18.04'!$AZ$4,'18.04'!$AZ$3)),(VLOOKUP('18.04'!W5,'18.04'!$AM$4:$AO$55,2,FALSE))*IF('18.04'!$AK5="是",'18.04'!$AZ$4,'18.04'!$AZ$3))</f>
        <v>0</v>
      </c>
      <c r="P5" s="4">
        <f>IF(ISNUMBER(SEARCH("营",'18.04'!X5)),(-$Y5+50*IF('18.04'!$AK5="是",'18.04'!$AZ$4,'18.04'!$AZ$3)),(VLOOKUP('18.04'!X5,'18.04'!$AM$4:$AO$55,2,FALSE))*IF('18.04'!$AK5="是",'18.04'!$AZ$4,'18.04'!$AZ$3))</f>
        <v>0</v>
      </c>
      <c r="Q5" s="4">
        <f>IF(ISNUMBER(SEARCH("营",'18.04'!Y5)),(-$Y5+50*IF('18.04'!$AK5="是",'18.04'!$AZ$4,'18.04'!$AZ$3)),(VLOOKUP('18.04'!Y5,'18.04'!$AM$4:$AO$55,2,FALSE))*IF('18.04'!$AK5="是",'18.04'!$AZ$4,'18.04'!$AZ$3))</f>
        <v>50</v>
      </c>
      <c r="R5" s="4">
        <f>IF(ISNUMBER(SEARCH("营",'18.04'!Z5)),(-$Y5+50*IF('18.04'!$AK5="是",'18.04'!$AZ$4,'18.04'!$AZ$3)),(VLOOKUP('18.04'!Z5,'18.04'!$AM$4:$AO$55,2,FALSE))*IF('18.04'!$AK5="是",'18.04'!$AZ$4,'18.04'!$AZ$3))</f>
        <v>150</v>
      </c>
      <c r="S5" s="4">
        <f>IF(ISNUMBER(SEARCH("营",'18.04'!AA5)),(-$Y5+50*IF('18.04'!$AK5="是",'18.04'!$AZ$4,'18.04'!$AZ$3)),(VLOOKUP('18.04'!AA5,'18.04'!$AM$4:$AO$55,2,FALSE))*IF('18.04'!$AK5="是",'18.04'!$AZ$4,'18.04'!$AZ$3))</f>
        <v>50</v>
      </c>
      <c r="T5" s="4">
        <f>IF(ISNUMBER(SEARCH("营",'18.04'!AB5)),(-$Y5+50*IF('18.04'!$AK5="是",'18.04'!$AZ$4,'18.04'!$AZ$3)),(VLOOKUP('18.04'!AB5,'18.04'!$AM$4:$AO$55,2,FALSE))*IF('18.04'!$AK5="是",'18.04'!$AZ$4,'18.04'!$AZ$3))</f>
        <v>160</v>
      </c>
      <c r="U5" s="4">
        <f>IF(ISNUMBER(SEARCH("营",'18.04'!AC5)),(-$Y5+50*IF('18.04'!$AK5="是",'18.04'!$AZ$4,'18.04'!$AZ$3)),(VLOOKUP('18.04'!AC5,'18.04'!$AM$4:$AO$55,2,FALSE))*IF('18.04'!$AK5="是",'18.04'!$AZ$4,'18.04'!$AZ$3))</f>
        <v>160</v>
      </c>
      <c r="V5" s="4">
        <f>IF(ISNUMBER(SEARCH("营",'18.04'!AD5)),(-$Y5+50*IF('18.04'!$AK5="是",'18.04'!$AZ$4,'18.04'!$AZ$3)),(VLOOKUP('18.04'!AD5,'18.04'!$AM$4:$AO$55,2,FALSE))*IF('18.04'!$AK5="是",'18.04'!$AZ$4,'18.04'!$AZ$3))</f>
        <v>160</v>
      </c>
      <c r="W5" s="4">
        <f>IF(ISNUMBER(SEARCH("营",'18.04'!AE5)),(-$Y5+50*IF('18.04'!$AK5="是",'18.04'!$AZ$4,'18.04'!$AZ$3)),(VLOOKUP('18.04'!AE5,'18.04'!$AM$4:$AO$55,2,FALSE))*IF('18.04'!$AK5="是",'18.04'!$AZ$4,'18.04'!$AZ$3))</f>
        <v>-250</v>
      </c>
      <c r="X5" s="4">
        <f>IF(ISNUMBER(SEARCH("营",'18.04'!AF5)),(-$Y5+50*IF('18.04'!$AK5="是",'18.04'!$AZ$4,'18.04'!$AZ$3)),(VLOOKUP('18.04'!AF5,'18.04'!$AM$4:$AO$55,2,FALSE))*IF('18.04'!$AK5="是",'18.04'!$AZ$4,'18.04'!$AZ$3))</f>
        <v>160</v>
      </c>
      <c r="Y5" s="77">
        <v>300</v>
      </c>
      <c r="Z5" s="90">
        <v>45640</v>
      </c>
    </row>
    <row r="6" spans="1:26">
      <c r="A6" s="4">
        <f>IF(ISNUMBER(SEARCH("营",'18.04'!I6)),(-$Y6+50*IF('18.04'!$AK6="是",'18.04'!$AZ$4,'18.04'!$AZ$3)),(VLOOKUP('18.04'!I6,'18.04'!$AM$4:$AO$55,2,FALSE))*IF('18.04'!$AK6="是",'18.04'!$AZ$4,'18.04'!$AZ$3))</f>
        <v>0</v>
      </c>
      <c r="B6" s="4">
        <f>IF(ISNUMBER(SEARCH("营",'18.04'!J6)),(-$Y6+50*IF('18.04'!$AK6="是",'18.04'!$AZ$4,'18.04'!$AZ$3)),(VLOOKUP('18.04'!J6,'18.04'!$AM$4:$AO$55,2,FALSE))*IF('18.04'!$AK6="是",'18.04'!$AZ$4,'18.04'!$AZ$3))</f>
        <v>0</v>
      </c>
      <c r="C6" s="4">
        <f>IF(ISNUMBER(SEARCH("营",'18.04'!K6)),(-$Y6+50*IF('18.04'!$AK6="是",'18.04'!$AZ$4,'18.04'!$AZ$3)),(VLOOKUP('18.04'!K6,'18.04'!$AM$4:$AO$55,2,FALSE))*IF('18.04'!$AK6="是",'18.04'!$AZ$4,'18.04'!$AZ$3))</f>
        <v>0</v>
      </c>
      <c r="D6" s="4">
        <f>IF(ISNUMBER(SEARCH("营",'18.04'!L6)),(-$Y6+50*IF('18.04'!$AK6="是",'18.04'!$AZ$4,'18.04'!$AZ$3)),(VLOOKUP('18.04'!L6,'18.04'!$AM$4:$AO$55,2,FALSE))*IF('18.04'!$AK6="是",'18.04'!$AZ$4,'18.04'!$AZ$3))</f>
        <v>0</v>
      </c>
      <c r="E6" s="4">
        <f>IF(ISNUMBER(SEARCH("营",'18.04'!M6)),(-$Y6+50*IF('18.04'!$AK6="是",'18.04'!$AZ$4,'18.04'!$AZ$3)),(VLOOKUP('18.04'!M6,'18.04'!$AM$4:$AO$55,2,FALSE))*IF('18.04'!$AK6="是",'18.04'!$AZ$4,'18.04'!$AZ$3))</f>
        <v>0</v>
      </c>
      <c r="F6" s="4">
        <f>IF(ISNUMBER(SEARCH("营",'18.04'!N6)),(-$Y6+50*IF('18.04'!$AK6="是",'18.04'!$AZ$4,'18.04'!$AZ$3)),(VLOOKUP('18.04'!N6,'18.04'!$AM$4:$AO$55,2,FALSE))*IF('18.04'!$AK6="是",'18.04'!$AZ$4,'18.04'!$AZ$3))</f>
        <v>0</v>
      </c>
      <c r="G6" s="4">
        <f>IF(ISNUMBER(SEARCH("营",'18.04'!O6)),(-$Y6+50*IF('18.04'!$AK6="是",'18.04'!$AZ$4,'18.04'!$AZ$3)),(VLOOKUP('18.04'!O6,'18.04'!$AM$4:$AO$55,2,FALSE))*IF('18.04'!$AK6="是",'18.04'!$AZ$4,'18.04'!$AZ$3))</f>
        <v>0</v>
      </c>
      <c r="H6" s="4">
        <f>IF(ISNUMBER(SEARCH("营",'18.04'!P6)),(-$Y6+50*IF('18.04'!$AK6="是",'18.04'!$AZ$4,'18.04'!$AZ$3)),(VLOOKUP('18.04'!P6,'18.04'!$AM$4:$AO$55,2,FALSE))*IF('18.04'!$AK6="是",'18.04'!$AZ$4,'18.04'!$AZ$3))</f>
        <v>0</v>
      </c>
      <c r="I6" s="4">
        <f>IF(ISNUMBER(SEARCH("营",'18.04'!Q6)),(-$Y6+50*IF('18.04'!$AK6="是",'18.04'!$AZ$4,'18.04'!$AZ$3)),(VLOOKUP('18.04'!Q6,'18.04'!$AM$4:$AO$55,2,FALSE))*IF('18.04'!$AK6="是",'18.04'!$AZ$4,'18.04'!$AZ$3))</f>
        <v>160</v>
      </c>
      <c r="J6" s="4">
        <f>IF(ISNUMBER(SEARCH("营",'18.04'!R6)),(-$Y6+50*IF('18.04'!$AK6="是",'18.04'!$AZ$4,'18.04'!$AZ$3)),(VLOOKUP('18.04'!R6,'18.04'!$AM$4:$AO$55,2,FALSE))*IF('18.04'!$AK6="是",'18.04'!$AZ$4,'18.04'!$AZ$3))</f>
        <v>50</v>
      </c>
      <c r="K6" s="4">
        <f>IF(ISNUMBER(SEARCH("营",'18.04'!S6)),(-$Y6+50*IF('18.04'!$AK6="是",'18.04'!$AZ$4,'18.04'!$AZ$3)),(VLOOKUP('18.04'!S6,'18.04'!$AM$4:$AO$55,2,FALSE))*IF('18.04'!$AK6="是",'18.04'!$AZ$4,'18.04'!$AZ$3))</f>
        <v>160</v>
      </c>
      <c r="L6" s="4">
        <f>IF(ISNUMBER(SEARCH("营",'18.04'!T6)),(-$Y6+50*IF('18.04'!$AK6="是",'18.04'!$AZ$4,'18.04'!$AZ$3)),(VLOOKUP('18.04'!T6,'18.04'!$AM$4:$AO$55,2,FALSE))*IF('18.04'!$AK6="是",'18.04'!$AZ$4,'18.04'!$AZ$3))</f>
        <v>160</v>
      </c>
      <c r="M6" s="4">
        <f>IF(ISNUMBER(SEARCH("营",'18.04'!U6)),(-$Y6+50*IF('18.04'!$AK6="是",'18.04'!$AZ$4,'18.04'!$AZ$3)),(VLOOKUP('18.04'!U6,'18.04'!$AM$4:$AO$55,2,FALSE))*IF('18.04'!$AK6="是",'18.04'!$AZ$4,'18.04'!$AZ$3))</f>
        <v>150</v>
      </c>
      <c r="N6" s="4">
        <f>IF(ISNUMBER(SEARCH("营",'18.04'!V6)),(-$Y6+50*IF('18.04'!$AK6="是",'18.04'!$AZ$4,'18.04'!$AZ$3)),(VLOOKUP('18.04'!V6,'18.04'!$AM$4:$AO$55,2,FALSE))*IF('18.04'!$AK6="是",'18.04'!$AZ$4,'18.04'!$AZ$3))</f>
        <v>160</v>
      </c>
      <c r="O6" s="4">
        <f>IF(ISNUMBER(SEARCH("营",'18.04'!W6)),(-$Y6+50*IF('18.04'!$AK6="是",'18.04'!$AZ$4,'18.04'!$AZ$3)),(VLOOKUP('18.04'!W6,'18.04'!$AM$4:$AO$55,2,FALSE))*IF('18.04'!$AK6="是",'18.04'!$AZ$4,'18.04'!$AZ$3))</f>
        <v>0</v>
      </c>
      <c r="P6" s="4">
        <f>IF(ISNUMBER(SEARCH("营",'18.04'!X6)),(-$Y6+50*IF('18.04'!$AK6="是",'18.04'!$AZ$4,'18.04'!$AZ$3)),(VLOOKUP('18.04'!X6,'18.04'!$AM$4:$AO$55,2,FALSE))*IF('18.04'!$AK6="是",'18.04'!$AZ$4,'18.04'!$AZ$3))</f>
        <v>0</v>
      </c>
      <c r="Q6" s="4">
        <f>IF(ISNUMBER(SEARCH("营",'18.04'!Y6)),(-$Y6+50*IF('18.04'!$AK6="是",'18.04'!$AZ$4,'18.04'!$AZ$3)),(VLOOKUP('18.04'!Y6,'18.04'!$AM$4:$AO$55,2,FALSE))*IF('18.04'!$AK6="是",'18.04'!$AZ$4,'18.04'!$AZ$3))</f>
        <v>160</v>
      </c>
      <c r="R6" s="4">
        <f>IF(ISNUMBER(SEARCH("营",'18.04'!Z6)),(-$Y6+50*IF('18.04'!$AK6="是",'18.04'!$AZ$4,'18.04'!$AZ$3)),(VLOOKUP('18.04'!Z6,'18.04'!$AM$4:$AO$55,2,FALSE))*IF('18.04'!$AK6="是",'18.04'!$AZ$4,'18.04'!$AZ$3))</f>
        <v>160</v>
      </c>
      <c r="S6" s="4">
        <f>IF(ISNUMBER(SEARCH("营",'18.04'!AA6)),(-$Y6+50*IF('18.04'!$AK6="是",'18.04'!$AZ$4,'18.04'!$AZ$3)),(VLOOKUP('18.04'!AA6,'18.04'!$AM$4:$AO$55,2,FALSE))*IF('18.04'!$AK6="是",'18.04'!$AZ$4,'18.04'!$AZ$3))</f>
        <v>50</v>
      </c>
      <c r="T6" s="4">
        <f>IF(ISNUMBER(SEARCH("营",'18.04'!AB6)),(-$Y6+50*IF('18.04'!$AK6="是",'18.04'!$AZ$4,'18.04'!$AZ$3)),(VLOOKUP('18.04'!AB6,'18.04'!$AM$4:$AO$55,2,FALSE))*IF('18.04'!$AK6="是",'18.04'!$AZ$4,'18.04'!$AZ$3))</f>
        <v>160</v>
      </c>
      <c r="U6" s="4">
        <f>IF(ISNUMBER(SEARCH("营",'18.04'!AC6)),(-$Y6+50*IF('18.04'!$AK6="是",'18.04'!$AZ$4,'18.04'!$AZ$3)),(VLOOKUP('18.04'!AC6,'18.04'!$AM$4:$AO$55,2,FALSE))*IF('18.04'!$AK6="是",'18.04'!$AZ$4,'18.04'!$AZ$3))</f>
        <v>160</v>
      </c>
      <c r="V6" s="4">
        <f>IF(ISNUMBER(SEARCH("营",'18.04'!AD6)),(-$Y6+50*IF('18.04'!$AK6="是",'18.04'!$AZ$4,'18.04'!$AZ$3)),(VLOOKUP('18.04'!AD6,'18.04'!$AM$4:$AO$55,2,FALSE))*IF('18.04'!$AK6="是",'18.04'!$AZ$4,'18.04'!$AZ$3))</f>
        <v>160</v>
      </c>
      <c r="W6" s="4">
        <f>IF(ISNUMBER(SEARCH("营",'18.04'!AE6)),(-$Y6+50*IF('18.04'!$AK6="是",'18.04'!$AZ$4,'18.04'!$AZ$3)),(VLOOKUP('18.04'!AE6,'18.04'!$AM$4:$AO$55,2,FALSE))*IF('18.04'!$AK6="是",'18.04'!$AZ$4,'18.04'!$AZ$3))</f>
        <v>160</v>
      </c>
      <c r="X6" s="4">
        <f>IF(ISNUMBER(SEARCH("营",'18.04'!AF6)),(-$Y6+50*IF('18.04'!$AK6="是",'18.04'!$AZ$4,'18.04'!$AZ$3)),(VLOOKUP('18.04'!AF6,'18.04'!$AM$4:$AO$55,2,FALSE))*IF('18.04'!$AK6="是",'18.04'!$AZ$4,'18.04'!$AZ$3))</f>
        <v>160</v>
      </c>
      <c r="Y6" s="77">
        <v>300</v>
      </c>
      <c r="Z6" s="90">
        <v>45641</v>
      </c>
    </row>
    <row r="7" spans="1:26">
      <c r="A7" s="4">
        <f>IF(ISNUMBER(SEARCH("营",'18.04'!I7)),(-$Y7+50*IF('18.04'!$AK7="是",'18.04'!$AZ$4,'18.04'!$AZ$3)),(VLOOKUP('18.04'!I7,'18.04'!$AM$4:$AO$55,2,FALSE))*IF('18.04'!$AK7="是",'18.04'!$AZ$4,'18.04'!$AZ$3))</f>
        <v>0</v>
      </c>
      <c r="B7" s="4">
        <f>IF(ISNUMBER(SEARCH("营",'18.04'!J7)),(-$Y7+50*IF('18.04'!$AK7="是",'18.04'!$AZ$4,'18.04'!$AZ$3)),(VLOOKUP('18.04'!J7,'18.04'!$AM$4:$AO$55,2,FALSE))*IF('18.04'!$AK7="是",'18.04'!$AZ$4,'18.04'!$AZ$3))</f>
        <v>0</v>
      </c>
      <c r="C7" s="4">
        <f>IF(ISNUMBER(SEARCH("营",'18.04'!K7)),(-$Y7+50*IF('18.04'!$AK7="是",'18.04'!$AZ$4,'18.04'!$AZ$3)),(VLOOKUP('18.04'!K7,'18.04'!$AM$4:$AO$55,2,FALSE))*IF('18.04'!$AK7="是",'18.04'!$AZ$4,'18.04'!$AZ$3))</f>
        <v>0</v>
      </c>
      <c r="D7" s="4">
        <f>IF(ISNUMBER(SEARCH("营",'18.04'!L7)),(-$Y7+50*IF('18.04'!$AK7="是",'18.04'!$AZ$4,'18.04'!$AZ$3)),(VLOOKUP('18.04'!L7,'18.04'!$AM$4:$AO$55,2,FALSE))*IF('18.04'!$AK7="是",'18.04'!$AZ$4,'18.04'!$AZ$3))</f>
        <v>0</v>
      </c>
      <c r="E7" s="4">
        <f>IF(ISNUMBER(SEARCH("营",'18.04'!M7)),(-$Y7+50*IF('18.04'!$AK7="是",'18.04'!$AZ$4,'18.04'!$AZ$3)),(VLOOKUP('18.04'!M7,'18.04'!$AM$4:$AO$55,2,FALSE))*IF('18.04'!$AK7="是",'18.04'!$AZ$4,'18.04'!$AZ$3))</f>
        <v>0</v>
      </c>
      <c r="F7" s="4">
        <f>IF(ISNUMBER(SEARCH("营",'18.04'!N7)),(-$Y7+50*IF('18.04'!$AK7="是",'18.04'!$AZ$4,'18.04'!$AZ$3)),(VLOOKUP('18.04'!N7,'18.04'!$AM$4:$AO$55,2,FALSE))*IF('18.04'!$AK7="是",'18.04'!$AZ$4,'18.04'!$AZ$3))</f>
        <v>0</v>
      </c>
      <c r="G7" s="4">
        <f>IF(ISNUMBER(SEARCH("营",'18.04'!O7)),(-$Y7+50*IF('18.04'!$AK7="是",'18.04'!$AZ$4,'18.04'!$AZ$3)),(VLOOKUP('18.04'!O7,'18.04'!$AM$4:$AO$55,2,FALSE))*IF('18.04'!$AK7="是",'18.04'!$AZ$4,'18.04'!$AZ$3))</f>
        <v>0</v>
      </c>
      <c r="H7" s="4">
        <f>IF(ISNUMBER(SEARCH("营",'18.04'!P7)),(-$Y7+50*IF('18.04'!$AK7="是",'18.04'!$AZ$4,'18.04'!$AZ$3)),(VLOOKUP('18.04'!P7,'18.04'!$AM$4:$AO$55,2,FALSE))*IF('18.04'!$AK7="是",'18.04'!$AZ$4,'18.04'!$AZ$3))</f>
        <v>0</v>
      </c>
      <c r="I7" s="4">
        <f>IF(ISNUMBER(SEARCH("营",'18.04'!Q7)),(-$Y7+50*IF('18.04'!$AK7="是",'18.04'!$AZ$4,'18.04'!$AZ$3)),(VLOOKUP('18.04'!Q7,'18.04'!$AM$4:$AO$55,2,FALSE))*IF('18.04'!$AK7="是",'18.04'!$AZ$4,'18.04'!$AZ$3))</f>
        <v>160</v>
      </c>
      <c r="J7" s="4">
        <f>IF(ISNUMBER(SEARCH("营",'18.04'!R7)),(-$Y7+50*IF('18.04'!$AK7="是",'18.04'!$AZ$4,'18.04'!$AZ$3)),(VLOOKUP('18.04'!R7,'18.04'!$AM$4:$AO$55,2,FALSE))*IF('18.04'!$AK7="是",'18.04'!$AZ$4,'18.04'!$AZ$3))</f>
        <v>160</v>
      </c>
      <c r="K7" s="4">
        <f>IF(ISNUMBER(SEARCH("营",'18.04'!S7)),(-$Y7+50*IF('18.04'!$AK7="是",'18.04'!$AZ$4,'18.04'!$AZ$3)),(VLOOKUP('18.04'!S7,'18.04'!$AM$4:$AO$55,2,FALSE))*IF('18.04'!$AK7="是",'18.04'!$AZ$4,'18.04'!$AZ$3))</f>
        <v>170</v>
      </c>
      <c r="L7" s="4">
        <f>IF(ISNUMBER(SEARCH("营",'18.04'!T7)),(-$Y7+50*IF('18.04'!$AK7="是",'18.04'!$AZ$4,'18.04'!$AZ$3)),(VLOOKUP('18.04'!T7,'18.04'!$AM$4:$AO$55,2,FALSE))*IF('18.04'!$AK7="是",'18.04'!$AZ$4,'18.04'!$AZ$3))</f>
        <v>170</v>
      </c>
      <c r="M7" s="4">
        <f>IF(ISNUMBER(SEARCH("营",'18.04'!U7)),(-$Y7+50*IF('18.04'!$AK7="是",'18.04'!$AZ$4,'18.04'!$AZ$3)),(VLOOKUP('18.04'!U7,'18.04'!$AM$4:$AO$55,2,FALSE))*IF('18.04'!$AK7="是",'18.04'!$AZ$4,'18.04'!$AZ$3))</f>
        <v>170</v>
      </c>
      <c r="N7" s="4">
        <f>IF(ISNUMBER(SEARCH("营",'18.04'!V7)),(-$Y7+50*IF('18.04'!$AK7="是",'18.04'!$AZ$4,'18.04'!$AZ$3)),(VLOOKUP('18.04'!V7,'18.04'!$AM$4:$AO$55,2,FALSE))*IF('18.04'!$AK7="是",'18.04'!$AZ$4,'18.04'!$AZ$3))</f>
        <v>170</v>
      </c>
      <c r="O7" s="4">
        <f>IF(ISNUMBER(SEARCH("营",'18.04'!W7)),(-$Y7+50*IF('18.04'!$AK7="是",'18.04'!$AZ$4,'18.04'!$AZ$3)),(VLOOKUP('18.04'!W7,'18.04'!$AM$4:$AO$55,2,FALSE))*IF('18.04'!$AK7="是",'18.04'!$AZ$4,'18.04'!$AZ$3))</f>
        <v>0</v>
      </c>
      <c r="P7" s="4">
        <f>IF(ISNUMBER(SEARCH("营",'18.04'!X7)),(-$Y7+50*IF('18.04'!$AK7="是",'18.04'!$AZ$4,'18.04'!$AZ$3)),(VLOOKUP('18.04'!X7,'18.04'!$AM$4:$AO$55,2,FALSE))*IF('18.04'!$AK7="是",'18.04'!$AZ$4,'18.04'!$AZ$3))</f>
        <v>0</v>
      </c>
      <c r="Q7" s="4">
        <f>IF(ISNUMBER(SEARCH("营",'18.04'!Y7)),(-$Y7+50*IF('18.04'!$AK7="是",'18.04'!$AZ$4,'18.04'!$AZ$3)),(VLOOKUP('18.04'!Y7,'18.04'!$AM$4:$AO$55,2,FALSE))*IF('18.04'!$AK7="是",'18.04'!$AZ$4,'18.04'!$AZ$3))</f>
        <v>160</v>
      </c>
      <c r="R7" s="4">
        <f>IF(ISNUMBER(SEARCH("营",'18.04'!Z7)),(-$Y7+50*IF('18.04'!$AK7="是",'18.04'!$AZ$4,'18.04'!$AZ$3)),(VLOOKUP('18.04'!Z7,'18.04'!$AM$4:$AO$55,2,FALSE))*IF('18.04'!$AK7="是",'18.04'!$AZ$4,'18.04'!$AZ$3))</f>
        <v>160</v>
      </c>
      <c r="S7" s="4">
        <f>IF(ISNUMBER(SEARCH("营",'18.04'!AA7)),(-$Y7+50*IF('18.04'!$AK7="是",'18.04'!$AZ$4,'18.04'!$AZ$3)),(VLOOKUP('18.04'!AA7,'18.04'!$AM$4:$AO$55,2,FALSE))*IF('18.04'!$AK7="是",'18.04'!$AZ$4,'18.04'!$AZ$3))</f>
        <v>160</v>
      </c>
      <c r="T7" s="4">
        <f>IF(ISNUMBER(SEARCH("营",'18.04'!AB7)),(-$Y7+50*IF('18.04'!$AK7="是",'18.04'!$AZ$4,'18.04'!$AZ$3)),(VLOOKUP('18.04'!AB7,'18.04'!$AM$4:$AO$55,2,FALSE))*IF('18.04'!$AK7="是",'18.04'!$AZ$4,'18.04'!$AZ$3))</f>
        <v>160</v>
      </c>
      <c r="U7" s="4">
        <f>IF(ISNUMBER(SEARCH("营",'18.04'!AC7)),(-$Y7+50*IF('18.04'!$AK7="是",'18.04'!$AZ$4,'18.04'!$AZ$3)),(VLOOKUP('18.04'!AC7,'18.04'!$AM$4:$AO$55,2,FALSE))*IF('18.04'!$AK7="是",'18.04'!$AZ$4,'18.04'!$AZ$3))</f>
        <v>160</v>
      </c>
      <c r="V7" s="4">
        <f>IF(ISNUMBER(SEARCH("营",'18.04'!AD7)),(-$Y7+50*IF('18.04'!$AK7="是",'18.04'!$AZ$4,'18.04'!$AZ$3)),(VLOOKUP('18.04'!AD7,'18.04'!$AM$4:$AO$55,2,FALSE))*IF('18.04'!$AK7="是",'18.04'!$AZ$4,'18.04'!$AZ$3))</f>
        <v>160</v>
      </c>
      <c r="W7" s="4">
        <f>IF(ISNUMBER(SEARCH("营",'18.04'!AE7)),(-$Y7+50*IF('18.04'!$AK7="是",'18.04'!$AZ$4,'18.04'!$AZ$3)),(VLOOKUP('18.04'!AE7,'18.04'!$AM$4:$AO$55,2,FALSE))*IF('18.04'!$AK7="是",'18.04'!$AZ$4,'18.04'!$AZ$3))</f>
        <v>170</v>
      </c>
      <c r="X7" s="4">
        <f>IF(ISNUMBER(SEARCH("营",'18.04'!AF7)),(-$Y7+50*IF('18.04'!$AK7="是",'18.04'!$AZ$4,'18.04'!$AZ$3)),(VLOOKUP('18.04'!AF7,'18.04'!$AM$4:$AO$55,2,FALSE))*IF('18.04'!$AK7="是",'18.04'!$AZ$4,'18.04'!$AZ$3))</f>
        <v>170</v>
      </c>
      <c r="Y7" s="77">
        <v>300</v>
      </c>
      <c r="Z7" s="90">
        <v>45642</v>
      </c>
    </row>
    <row r="8" spans="1:26">
      <c r="A8" s="4">
        <f>IF(ISNUMBER(SEARCH("营",'18.04'!I8)),(-$Y8+50*IF('18.04'!$AK8="是",'18.04'!$AZ$4,'18.04'!$AZ$3)),(VLOOKUP('18.04'!I8,'18.04'!$AM$4:$AO$55,2,FALSE))*IF('18.04'!$AK8="是",'18.04'!$AZ$4,'18.04'!$AZ$3))</f>
        <v>0</v>
      </c>
      <c r="B8" s="4">
        <f>IF(ISNUMBER(SEARCH("营",'18.04'!J8)),(-$Y8+50*IF('18.04'!$AK8="是",'18.04'!$AZ$4,'18.04'!$AZ$3)),(VLOOKUP('18.04'!J8,'18.04'!$AM$4:$AO$55,2,FALSE))*IF('18.04'!$AK8="是",'18.04'!$AZ$4,'18.04'!$AZ$3))</f>
        <v>0</v>
      </c>
      <c r="C8" s="4">
        <f>IF(ISNUMBER(SEARCH("营",'18.04'!K8)),(-$Y8+50*IF('18.04'!$AK8="是",'18.04'!$AZ$4,'18.04'!$AZ$3)),(VLOOKUP('18.04'!K8,'18.04'!$AM$4:$AO$55,2,FALSE))*IF('18.04'!$AK8="是",'18.04'!$AZ$4,'18.04'!$AZ$3))</f>
        <v>0</v>
      </c>
      <c r="D8" s="4">
        <f>IF(ISNUMBER(SEARCH("营",'18.04'!L8)),(-$Y8+50*IF('18.04'!$AK8="是",'18.04'!$AZ$4,'18.04'!$AZ$3)),(VLOOKUP('18.04'!L8,'18.04'!$AM$4:$AO$55,2,FALSE))*IF('18.04'!$AK8="是",'18.04'!$AZ$4,'18.04'!$AZ$3))</f>
        <v>0</v>
      </c>
      <c r="E8" s="4">
        <f>IF(ISNUMBER(SEARCH("营",'18.04'!M8)),(-$Y8+50*IF('18.04'!$AK8="是",'18.04'!$AZ$4,'18.04'!$AZ$3)),(VLOOKUP('18.04'!M8,'18.04'!$AM$4:$AO$55,2,FALSE))*IF('18.04'!$AK8="是",'18.04'!$AZ$4,'18.04'!$AZ$3))</f>
        <v>0</v>
      </c>
      <c r="F8" s="4">
        <f>IF(ISNUMBER(SEARCH("营",'18.04'!N8)),(-$Y8+50*IF('18.04'!$AK8="是",'18.04'!$AZ$4,'18.04'!$AZ$3)),(VLOOKUP('18.04'!N8,'18.04'!$AM$4:$AO$55,2,FALSE))*IF('18.04'!$AK8="是",'18.04'!$AZ$4,'18.04'!$AZ$3))</f>
        <v>0</v>
      </c>
      <c r="G8" s="4">
        <f>IF(ISNUMBER(SEARCH("营",'18.04'!O8)),(-$Y8+50*IF('18.04'!$AK8="是",'18.04'!$AZ$4,'18.04'!$AZ$3)),(VLOOKUP('18.04'!O8,'18.04'!$AM$4:$AO$55,2,FALSE))*IF('18.04'!$AK8="是",'18.04'!$AZ$4,'18.04'!$AZ$3))</f>
        <v>0</v>
      </c>
      <c r="H8" s="4">
        <f>IF(ISNUMBER(SEARCH("营",'18.04'!P8)),(-$Y8+50*IF('18.04'!$AK8="是",'18.04'!$AZ$4,'18.04'!$AZ$3)),(VLOOKUP('18.04'!P8,'18.04'!$AM$4:$AO$55,2,FALSE))*IF('18.04'!$AK8="是",'18.04'!$AZ$4,'18.04'!$AZ$3))</f>
        <v>0</v>
      </c>
      <c r="I8" s="4">
        <f>IF(ISNUMBER(SEARCH("营",'18.04'!Q8)),(-$Y8+50*IF('18.04'!$AK8="是",'18.04'!$AZ$4,'18.04'!$AZ$3)),(VLOOKUP('18.04'!Q8,'18.04'!$AM$4:$AO$55,2,FALSE))*IF('18.04'!$AK8="是",'18.04'!$AZ$4,'18.04'!$AZ$3))</f>
        <v>250</v>
      </c>
      <c r="J8" s="4">
        <f>IF(ISNUMBER(SEARCH("营",'18.04'!R8)),(-$Y8+50*IF('18.04'!$AK8="是",'18.04'!$AZ$4,'18.04'!$AZ$3)),(VLOOKUP('18.04'!R8,'18.04'!$AM$4:$AO$55,2,FALSE))*IF('18.04'!$AK8="是",'18.04'!$AZ$4,'18.04'!$AZ$3))</f>
        <v>170</v>
      </c>
      <c r="K8" s="4">
        <f>IF(ISNUMBER(SEARCH("营",'18.04'!S8)),(-$Y8+50*IF('18.04'!$AK8="是",'18.04'!$AZ$4,'18.04'!$AZ$3)),(VLOOKUP('18.04'!S8,'18.04'!$AM$4:$AO$55,2,FALSE))*IF('18.04'!$AK8="是",'18.04'!$AZ$4,'18.04'!$AZ$3))</f>
        <v>170</v>
      </c>
      <c r="L8" s="4">
        <f>IF(ISNUMBER(SEARCH("营",'18.04'!T8)),(-$Y8+50*IF('18.04'!$AK8="是",'18.04'!$AZ$4,'18.04'!$AZ$3)),(VLOOKUP('18.04'!T8,'18.04'!$AM$4:$AO$55,2,FALSE))*IF('18.04'!$AK8="是",'18.04'!$AZ$4,'18.04'!$AZ$3))</f>
        <v>170</v>
      </c>
      <c r="M8" s="4">
        <f>IF(ISNUMBER(SEARCH("营",'18.04'!U8)),(-$Y8+50*IF('18.04'!$AK8="是",'18.04'!$AZ$4,'18.04'!$AZ$3)),(VLOOKUP('18.04'!U8,'18.04'!$AM$4:$AO$55,2,FALSE))*IF('18.04'!$AK8="是",'18.04'!$AZ$4,'18.04'!$AZ$3))</f>
        <v>170</v>
      </c>
      <c r="N8" s="4">
        <f>IF(ISNUMBER(SEARCH("营",'18.04'!V8)),(-$Y8+50*IF('18.04'!$AK8="是",'18.04'!$AZ$4,'18.04'!$AZ$3)),(VLOOKUP('18.04'!V8,'18.04'!$AM$4:$AO$55,2,FALSE))*IF('18.04'!$AK8="是",'18.04'!$AZ$4,'18.04'!$AZ$3))</f>
        <v>170</v>
      </c>
      <c r="O8" s="4">
        <f>IF(ISNUMBER(SEARCH("营",'18.04'!W8)),(-$Y8+50*IF('18.04'!$AK8="是",'18.04'!$AZ$4,'18.04'!$AZ$3)),(VLOOKUP('18.04'!W8,'18.04'!$AM$4:$AO$55,2,FALSE))*IF('18.04'!$AK8="是",'18.04'!$AZ$4,'18.04'!$AZ$3))</f>
        <v>0</v>
      </c>
      <c r="P8" s="4">
        <f>IF(ISNUMBER(SEARCH("营",'18.04'!X8)),(-$Y8+50*IF('18.04'!$AK8="是",'18.04'!$AZ$4,'18.04'!$AZ$3)),(VLOOKUP('18.04'!X8,'18.04'!$AM$4:$AO$55,2,FALSE))*IF('18.04'!$AK8="是",'18.04'!$AZ$4,'18.04'!$AZ$3))</f>
        <v>0</v>
      </c>
      <c r="Q8" s="4">
        <f>IF(ISNUMBER(SEARCH("营",'18.04'!Y8)),(-$Y8+50*IF('18.04'!$AK8="是",'18.04'!$AZ$4,'18.04'!$AZ$3)),(VLOOKUP('18.04'!Y8,'18.04'!$AM$4:$AO$55,2,FALSE))*IF('18.04'!$AK8="是",'18.04'!$AZ$4,'18.04'!$AZ$3))</f>
        <v>170</v>
      </c>
      <c r="R8" s="4">
        <f>IF(ISNUMBER(SEARCH("营",'18.04'!Z8)),(-$Y8+50*IF('18.04'!$AK8="是",'18.04'!$AZ$4,'18.04'!$AZ$3)),(VLOOKUP('18.04'!Z8,'18.04'!$AM$4:$AO$55,2,FALSE))*IF('18.04'!$AK8="是",'18.04'!$AZ$4,'18.04'!$AZ$3))</f>
        <v>250</v>
      </c>
      <c r="S8" s="4">
        <f>IF(ISNUMBER(SEARCH("营",'18.04'!AA8)),(-$Y8+50*IF('18.04'!$AK8="是",'18.04'!$AZ$4,'18.04'!$AZ$3)),(VLOOKUP('18.04'!AA8,'18.04'!$AM$4:$AO$55,2,FALSE))*IF('18.04'!$AK8="是",'18.04'!$AZ$4,'18.04'!$AZ$3))</f>
        <v>170</v>
      </c>
      <c r="T8" s="4">
        <f>IF(ISNUMBER(SEARCH("营",'18.04'!AB8)),(-$Y8+50*IF('18.04'!$AK8="是",'18.04'!$AZ$4,'18.04'!$AZ$3)),(VLOOKUP('18.04'!AB8,'18.04'!$AM$4:$AO$55,2,FALSE))*IF('18.04'!$AK8="是",'18.04'!$AZ$4,'18.04'!$AZ$3))</f>
        <v>170</v>
      </c>
      <c r="U8" s="4">
        <f>IF(ISNUMBER(SEARCH("营",'18.04'!AC8)),(-$Y8+50*IF('18.04'!$AK8="是",'18.04'!$AZ$4,'18.04'!$AZ$3)),(VLOOKUP('18.04'!AC8,'18.04'!$AM$4:$AO$55,2,FALSE))*IF('18.04'!$AK8="是",'18.04'!$AZ$4,'18.04'!$AZ$3))</f>
        <v>170</v>
      </c>
      <c r="V8" s="4">
        <f>IF(ISNUMBER(SEARCH("营",'18.04'!AD8)),(-$Y8+50*IF('18.04'!$AK8="是",'18.04'!$AZ$4,'18.04'!$AZ$3)),(VLOOKUP('18.04'!AD8,'18.04'!$AM$4:$AO$55,2,FALSE))*IF('18.04'!$AK8="是",'18.04'!$AZ$4,'18.04'!$AZ$3))</f>
        <v>170</v>
      </c>
      <c r="W8" s="4">
        <f>IF(ISNUMBER(SEARCH("营",'18.04'!AE8)),(-$Y8+50*IF('18.04'!$AK8="是",'18.04'!$AZ$4,'18.04'!$AZ$3)),(VLOOKUP('18.04'!AE8,'18.04'!$AM$4:$AO$55,2,FALSE))*IF('18.04'!$AK8="是",'18.04'!$AZ$4,'18.04'!$AZ$3))</f>
        <v>170</v>
      </c>
      <c r="X8" s="4">
        <f>IF(ISNUMBER(SEARCH("营",'18.04'!AF8)),(-$Y8+50*IF('18.04'!$AK8="是",'18.04'!$AZ$4,'18.04'!$AZ$3)),(VLOOKUP('18.04'!AF8,'18.04'!$AM$4:$AO$55,2,FALSE))*IF('18.04'!$AK8="是",'18.04'!$AZ$4,'18.04'!$AZ$3))</f>
        <v>170</v>
      </c>
      <c r="Y8" s="77">
        <v>300</v>
      </c>
      <c r="Z8" s="90">
        <v>45643</v>
      </c>
    </row>
    <row r="9" spans="1:26">
      <c r="A9" s="4">
        <f>IF(ISNUMBER(SEARCH("营",'18.04'!I9)),(-$Y9+50*IF('18.04'!$AK9="是",'18.04'!$AZ$4,'18.04'!$AZ$3)),(VLOOKUP('18.04'!I9,'18.04'!$AM$4:$AO$55,2,FALSE))*IF('18.04'!$AK9="是",'18.04'!$AZ$4,'18.04'!$AZ$3))</f>
        <v>0</v>
      </c>
      <c r="B9" s="4">
        <f>IF(ISNUMBER(SEARCH("营",'18.04'!J9)),(-$Y9+50*IF('18.04'!$AK9="是",'18.04'!$AZ$4,'18.04'!$AZ$3)),(VLOOKUP('18.04'!J9,'18.04'!$AM$4:$AO$55,2,FALSE))*IF('18.04'!$AK9="是",'18.04'!$AZ$4,'18.04'!$AZ$3))</f>
        <v>0</v>
      </c>
      <c r="C9" s="4">
        <f>IF(ISNUMBER(SEARCH("营",'18.04'!K9)),(-$Y9+50*IF('18.04'!$AK9="是",'18.04'!$AZ$4,'18.04'!$AZ$3)),(VLOOKUP('18.04'!K9,'18.04'!$AM$4:$AO$55,2,FALSE))*IF('18.04'!$AK9="是",'18.04'!$AZ$4,'18.04'!$AZ$3))</f>
        <v>0</v>
      </c>
      <c r="D9" s="4">
        <f>IF(ISNUMBER(SEARCH("营",'18.04'!L9)),(-$Y9+50*IF('18.04'!$AK9="是",'18.04'!$AZ$4,'18.04'!$AZ$3)),(VLOOKUP('18.04'!L9,'18.04'!$AM$4:$AO$55,2,FALSE))*IF('18.04'!$AK9="是",'18.04'!$AZ$4,'18.04'!$AZ$3))</f>
        <v>0</v>
      </c>
      <c r="E9" s="4">
        <f>IF(ISNUMBER(SEARCH("营",'18.04'!M9)),(-$Y9+50*IF('18.04'!$AK9="是",'18.04'!$AZ$4,'18.04'!$AZ$3)),(VLOOKUP('18.04'!M9,'18.04'!$AM$4:$AO$55,2,FALSE))*IF('18.04'!$AK9="是",'18.04'!$AZ$4,'18.04'!$AZ$3))</f>
        <v>0</v>
      </c>
      <c r="F9" s="4">
        <f>IF(ISNUMBER(SEARCH("营",'18.04'!N9)),(-$Y9+50*IF('18.04'!$AK9="是",'18.04'!$AZ$4,'18.04'!$AZ$3)),(VLOOKUP('18.04'!N9,'18.04'!$AM$4:$AO$55,2,FALSE))*IF('18.04'!$AK9="是",'18.04'!$AZ$4,'18.04'!$AZ$3))</f>
        <v>0</v>
      </c>
      <c r="G9" s="4">
        <f>IF(ISNUMBER(SEARCH("营",'18.04'!O9)),(-$Y9+50*IF('18.04'!$AK9="是",'18.04'!$AZ$4,'18.04'!$AZ$3)),(VLOOKUP('18.04'!O9,'18.04'!$AM$4:$AO$55,2,FALSE))*IF('18.04'!$AK9="是",'18.04'!$AZ$4,'18.04'!$AZ$3))</f>
        <v>0</v>
      </c>
      <c r="H9" s="4">
        <f>IF(ISNUMBER(SEARCH("营",'18.04'!P9)),(-$Y9+50*IF('18.04'!$AK9="是",'18.04'!$AZ$4,'18.04'!$AZ$3)),(VLOOKUP('18.04'!P9,'18.04'!$AM$4:$AO$55,2,FALSE))*IF('18.04'!$AK9="是",'18.04'!$AZ$4,'18.04'!$AZ$3))</f>
        <v>0</v>
      </c>
      <c r="I9" s="4">
        <f>IF(ISNUMBER(SEARCH("营",'18.04'!Q9)),(-$Y9+50*IF('18.04'!$AK9="是",'18.04'!$AZ$4,'18.04'!$AZ$3)),(VLOOKUP('18.04'!Q9,'18.04'!$AM$4:$AO$55,2,FALSE))*IF('18.04'!$AK9="是",'18.04'!$AZ$4,'18.04'!$AZ$3))</f>
        <v>50</v>
      </c>
      <c r="J9" s="4">
        <f>IF(ISNUMBER(SEARCH("营",'18.04'!R9)),(-$Y9+50*IF('18.04'!$AK9="是",'18.04'!$AZ$4,'18.04'!$AZ$3)),(VLOOKUP('18.04'!R9,'18.04'!$AM$4:$AO$55,2,FALSE))*IF('18.04'!$AK9="是",'18.04'!$AZ$4,'18.04'!$AZ$3))</f>
        <v>170</v>
      </c>
      <c r="K9" s="4">
        <f>IF(ISNUMBER(SEARCH("营",'18.04'!S9)),(-$Y9+50*IF('18.04'!$AK9="是",'18.04'!$AZ$4,'18.04'!$AZ$3)),(VLOOKUP('18.04'!S9,'18.04'!$AM$4:$AO$55,2,FALSE))*IF('18.04'!$AK9="是",'18.04'!$AZ$4,'18.04'!$AZ$3))</f>
        <v>170</v>
      </c>
      <c r="L9" s="4">
        <f>IF(ISNUMBER(SEARCH("营",'18.04'!T9)),(-$Y9+50*IF('18.04'!$AK9="是",'18.04'!$AZ$4,'18.04'!$AZ$3)),(VLOOKUP('18.04'!T9,'18.04'!$AM$4:$AO$55,2,FALSE))*IF('18.04'!$AK9="是",'18.04'!$AZ$4,'18.04'!$AZ$3))</f>
        <v>170</v>
      </c>
      <c r="M9" s="4">
        <f>IF(ISNUMBER(SEARCH("营",'18.04'!U9)),(-$Y9+50*IF('18.04'!$AK9="是",'18.04'!$AZ$4,'18.04'!$AZ$3)),(VLOOKUP('18.04'!U9,'18.04'!$AM$4:$AO$55,2,FALSE))*IF('18.04'!$AK9="是",'18.04'!$AZ$4,'18.04'!$AZ$3))</f>
        <v>170</v>
      </c>
      <c r="N9" s="4">
        <f>IF(ISNUMBER(SEARCH("营",'18.04'!V9)),(-$Y9+50*IF('18.04'!$AK9="是",'18.04'!$AZ$4,'18.04'!$AZ$3)),(VLOOKUP('18.04'!V9,'18.04'!$AM$4:$AO$55,2,FALSE))*IF('18.04'!$AK9="是",'18.04'!$AZ$4,'18.04'!$AZ$3))</f>
        <v>170</v>
      </c>
      <c r="O9" s="4">
        <f>IF(ISNUMBER(SEARCH("营",'18.04'!W9)),(-$Y9+50*IF('18.04'!$AK9="是",'18.04'!$AZ$4,'18.04'!$AZ$3)),(VLOOKUP('18.04'!W9,'18.04'!$AM$4:$AO$55,2,FALSE))*IF('18.04'!$AK9="是",'18.04'!$AZ$4,'18.04'!$AZ$3))</f>
        <v>0</v>
      </c>
      <c r="P9" s="4">
        <f>IF(ISNUMBER(SEARCH("营",'18.04'!X9)),(-$Y9+50*IF('18.04'!$AK9="是",'18.04'!$AZ$4,'18.04'!$AZ$3)),(VLOOKUP('18.04'!X9,'18.04'!$AM$4:$AO$55,2,FALSE))*IF('18.04'!$AK9="是",'18.04'!$AZ$4,'18.04'!$AZ$3))</f>
        <v>0</v>
      </c>
      <c r="Q9" s="4">
        <f>IF(ISNUMBER(SEARCH("营",'18.04'!Y9)),(-$Y9+50*IF('18.04'!$AK9="是",'18.04'!$AZ$4,'18.04'!$AZ$3)),(VLOOKUP('18.04'!Y9,'18.04'!$AM$4:$AO$55,2,FALSE))*IF('18.04'!$AK9="是",'18.04'!$AZ$4,'18.04'!$AZ$3))</f>
        <v>170</v>
      </c>
      <c r="R9" s="4">
        <f>IF(ISNUMBER(SEARCH("营",'18.04'!Z9)),(-$Y9+50*IF('18.04'!$AK9="是",'18.04'!$AZ$4,'18.04'!$AZ$3)),(VLOOKUP('18.04'!Z9,'18.04'!$AM$4:$AO$55,2,FALSE))*IF('18.04'!$AK9="是",'18.04'!$AZ$4,'18.04'!$AZ$3))</f>
        <v>170</v>
      </c>
      <c r="S9" s="4">
        <f>IF(ISNUMBER(SEARCH("营",'18.04'!AA9)),(-$Y9+50*IF('18.04'!$AK9="是",'18.04'!$AZ$4,'18.04'!$AZ$3)),(VLOOKUP('18.04'!AA9,'18.04'!$AM$4:$AO$55,2,FALSE))*IF('18.04'!$AK9="是",'18.04'!$AZ$4,'18.04'!$AZ$3))</f>
        <v>170</v>
      </c>
      <c r="T9" s="4">
        <f>IF(ISNUMBER(SEARCH("营",'18.04'!AB9)),(-$Y9+50*IF('18.04'!$AK9="是",'18.04'!$AZ$4,'18.04'!$AZ$3)),(VLOOKUP('18.04'!AB9,'18.04'!$AM$4:$AO$55,2,FALSE))*IF('18.04'!$AK9="是",'18.04'!$AZ$4,'18.04'!$AZ$3))</f>
        <v>170</v>
      </c>
      <c r="U9" s="4">
        <f>IF(ISNUMBER(SEARCH("营",'18.04'!AC9)),(-$Y9+50*IF('18.04'!$AK9="是",'18.04'!$AZ$4,'18.04'!$AZ$3)),(VLOOKUP('18.04'!AC9,'18.04'!$AM$4:$AO$55,2,FALSE))*IF('18.04'!$AK9="是",'18.04'!$AZ$4,'18.04'!$AZ$3))</f>
        <v>170</v>
      </c>
      <c r="V9" s="4">
        <f>IF(ISNUMBER(SEARCH("营",'18.04'!AD9)),(-$Y9+50*IF('18.04'!$AK9="是",'18.04'!$AZ$4,'18.04'!$AZ$3)),(VLOOKUP('18.04'!AD9,'18.04'!$AM$4:$AO$55,2,FALSE))*IF('18.04'!$AK9="是",'18.04'!$AZ$4,'18.04'!$AZ$3))</f>
        <v>170</v>
      </c>
      <c r="W9" s="4">
        <f>IF(ISNUMBER(SEARCH("营",'18.04'!AE9)),(-$Y9+50*IF('18.04'!$AK9="是",'18.04'!$AZ$4,'18.04'!$AZ$3)),(VLOOKUP('18.04'!AE9,'18.04'!$AM$4:$AO$55,2,FALSE))*IF('18.04'!$AK9="是",'18.04'!$AZ$4,'18.04'!$AZ$3))</f>
        <v>0</v>
      </c>
      <c r="X9" s="4">
        <f>IF(ISNUMBER(SEARCH("营",'18.04'!AF9)),(-$Y9+50*IF('18.04'!$AK9="是",'18.04'!$AZ$4,'18.04'!$AZ$3)),(VLOOKUP('18.04'!AF9,'18.04'!$AM$4:$AO$55,2,FALSE))*IF('18.04'!$AK9="是",'18.04'!$AZ$4,'18.04'!$AZ$3))</f>
        <v>0</v>
      </c>
      <c r="Y9" s="77">
        <v>300</v>
      </c>
      <c r="Z9" s="90">
        <v>45644</v>
      </c>
    </row>
    <row r="10" spans="1:26">
      <c r="A10" s="4">
        <f>IF(ISNUMBER(SEARCH("营",'18.04'!I10)),(-$Y10+50*IF('18.04'!$AK10="是",'18.04'!$AZ$4,'18.04'!$AZ$3)),(VLOOKUP('18.04'!I10,'18.04'!$AM$4:$AO$55,2,FALSE))*IF('18.04'!$AK10="是",'18.04'!$AZ$4,'18.04'!$AZ$3))</f>
        <v>150</v>
      </c>
      <c r="B10" s="4">
        <f>IF(ISNUMBER(SEARCH("营",'18.04'!J10)),(-$Y10+50*IF('18.04'!$AK10="是",'18.04'!$AZ$4,'18.04'!$AZ$3)),(VLOOKUP('18.04'!J10,'18.04'!$AM$4:$AO$55,2,FALSE))*IF('18.04'!$AK10="是",'18.04'!$AZ$4,'18.04'!$AZ$3))</f>
        <v>150</v>
      </c>
      <c r="C10" s="4">
        <f>IF(ISNUMBER(SEARCH("营",'18.04'!K10)),(-$Y10+50*IF('18.04'!$AK10="是",'18.04'!$AZ$4,'18.04'!$AZ$3)),(VLOOKUP('18.04'!K10,'18.04'!$AM$4:$AO$55,2,FALSE))*IF('18.04'!$AK10="是",'18.04'!$AZ$4,'18.04'!$AZ$3))</f>
        <v>150</v>
      </c>
      <c r="D10" s="4">
        <f>IF(ISNUMBER(SEARCH("营",'18.04'!L10)),(-$Y10+50*IF('18.04'!$AK10="是",'18.04'!$AZ$4,'18.04'!$AZ$3)),(VLOOKUP('18.04'!L10,'18.04'!$AM$4:$AO$55,2,FALSE))*IF('18.04'!$AK10="是",'18.04'!$AZ$4,'18.04'!$AZ$3))</f>
        <v>150</v>
      </c>
      <c r="E10" s="4">
        <f>IF(ISNUMBER(SEARCH("营",'18.04'!M10)),(-$Y10+50*IF('18.04'!$AK10="是",'18.04'!$AZ$4,'18.04'!$AZ$3)),(VLOOKUP('18.04'!M10,'18.04'!$AM$4:$AO$55,2,FALSE))*IF('18.04'!$AK10="是",'18.04'!$AZ$4,'18.04'!$AZ$3))</f>
        <v>50</v>
      </c>
      <c r="F10" s="4">
        <f>IF(ISNUMBER(SEARCH("营",'18.04'!N10)),(-$Y10+50*IF('18.04'!$AK10="是",'18.04'!$AZ$4,'18.04'!$AZ$3)),(VLOOKUP('18.04'!N10,'18.04'!$AM$4:$AO$55,2,FALSE))*IF('18.04'!$AK10="是",'18.04'!$AZ$4,'18.04'!$AZ$3))</f>
        <v>150</v>
      </c>
      <c r="G10" s="4">
        <f>IF(ISNUMBER(SEARCH("营",'18.04'!O10)),(-$Y10+50*IF('18.04'!$AK10="是",'18.04'!$AZ$4,'18.04'!$AZ$3)),(VLOOKUP('18.04'!O10,'18.04'!$AM$4:$AO$55,2,FALSE))*IF('18.04'!$AK10="是",'18.04'!$AZ$4,'18.04'!$AZ$3))</f>
        <v>150</v>
      </c>
      <c r="H10" s="4">
        <f>IF(ISNUMBER(SEARCH("营",'18.04'!P10)),(-$Y10+50*IF('18.04'!$AK10="是",'18.04'!$AZ$4,'18.04'!$AZ$3)),(VLOOKUP('18.04'!P10,'18.04'!$AM$4:$AO$55,2,FALSE))*IF('18.04'!$AK10="是",'18.04'!$AZ$4,'18.04'!$AZ$3))</f>
        <v>150</v>
      </c>
      <c r="I10" s="4">
        <f>IF(ISNUMBER(SEARCH("营",'18.04'!Q10)),(-$Y10+50*IF('18.04'!$AK10="是",'18.04'!$AZ$4,'18.04'!$AZ$3)),(VLOOKUP('18.04'!Q10,'18.04'!$AM$4:$AO$55,2,FALSE))*IF('18.04'!$AK10="是",'18.04'!$AZ$4,'18.04'!$AZ$3))</f>
        <v>170</v>
      </c>
      <c r="J10" s="4">
        <f>IF(ISNUMBER(SEARCH("营",'18.04'!R10)),(-$Y10+50*IF('18.04'!$AK10="是",'18.04'!$AZ$4,'18.04'!$AZ$3)),(VLOOKUP('18.04'!R10,'18.04'!$AM$4:$AO$55,2,FALSE))*IF('18.04'!$AK10="是",'18.04'!$AZ$4,'18.04'!$AZ$3))</f>
        <v>170</v>
      </c>
      <c r="K10" s="4">
        <f>IF(ISNUMBER(SEARCH("营",'18.04'!S10)),(-$Y10+50*IF('18.04'!$AK10="是",'18.04'!$AZ$4,'18.04'!$AZ$3)),(VLOOKUP('18.04'!S10,'18.04'!$AM$4:$AO$55,2,FALSE))*IF('18.04'!$AK10="是",'18.04'!$AZ$4,'18.04'!$AZ$3))</f>
        <v>170</v>
      </c>
      <c r="L10" s="4">
        <f>IF(ISNUMBER(SEARCH("营",'18.04'!T10)),(-$Y10+50*IF('18.04'!$AK10="是",'18.04'!$AZ$4,'18.04'!$AZ$3)),(VLOOKUP('18.04'!T10,'18.04'!$AM$4:$AO$55,2,FALSE))*IF('18.04'!$AK10="是",'18.04'!$AZ$4,'18.04'!$AZ$3))</f>
        <v>250</v>
      </c>
      <c r="M10" s="4">
        <f>IF(ISNUMBER(SEARCH("营",'18.04'!U10)),(-$Y10+50*IF('18.04'!$AK10="是",'18.04'!$AZ$4,'18.04'!$AZ$3)),(VLOOKUP('18.04'!U10,'18.04'!$AM$4:$AO$55,2,FALSE))*IF('18.04'!$AK10="是",'18.04'!$AZ$4,'18.04'!$AZ$3))</f>
        <v>170</v>
      </c>
      <c r="N10" s="4">
        <f>IF(ISNUMBER(SEARCH("营",'18.04'!V10)),(-$Y10+50*IF('18.04'!$AK10="是",'18.04'!$AZ$4,'18.04'!$AZ$3)),(VLOOKUP('18.04'!V10,'18.04'!$AM$4:$AO$55,2,FALSE))*IF('18.04'!$AK10="是",'18.04'!$AZ$4,'18.04'!$AZ$3))</f>
        <v>170</v>
      </c>
      <c r="O10" s="4">
        <f>IF(ISNUMBER(SEARCH("营",'18.04'!W10)),(-$Y10+50*IF('18.04'!$AK10="是",'18.04'!$AZ$4,'18.04'!$AZ$3)),(VLOOKUP('18.04'!W10,'18.04'!$AM$4:$AO$55,2,FALSE))*IF('18.04'!$AK10="是",'18.04'!$AZ$4,'18.04'!$AZ$3))</f>
        <v>0</v>
      </c>
      <c r="P10" s="4">
        <f>IF(ISNUMBER(SEARCH("营",'18.04'!X10)),(-$Y10+50*IF('18.04'!$AK10="是",'18.04'!$AZ$4,'18.04'!$AZ$3)),(VLOOKUP('18.04'!X10,'18.04'!$AM$4:$AO$55,2,FALSE))*IF('18.04'!$AK10="是",'18.04'!$AZ$4,'18.04'!$AZ$3))</f>
        <v>0</v>
      </c>
      <c r="Q10" s="4">
        <f>IF(ISNUMBER(SEARCH("营",'18.04'!Y10)),(-$Y10+50*IF('18.04'!$AK10="是",'18.04'!$AZ$4,'18.04'!$AZ$3)),(VLOOKUP('18.04'!Y10,'18.04'!$AM$4:$AO$55,2,FALSE))*IF('18.04'!$AK10="是",'18.04'!$AZ$4,'18.04'!$AZ$3))</f>
        <v>150</v>
      </c>
      <c r="R10" s="4">
        <f>IF(ISNUMBER(SEARCH("营",'18.04'!Z10)),(-$Y10+50*IF('18.04'!$AK10="是",'18.04'!$AZ$4,'18.04'!$AZ$3)),(VLOOKUP('18.04'!Z10,'18.04'!$AM$4:$AO$55,2,FALSE))*IF('18.04'!$AK10="是",'18.04'!$AZ$4,'18.04'!$AZ$3))</f>
        <v>170</v>
      </c>
      <c r="S10" s="4">
        <f>IF(ISNUMBER(SEARCH("营",'18.04'!AA10)),(-$Y10+50*IF('18.04'!$AK10="是",'18.04'!$AZ$4,'18.04'!$AZ$3)),(VLOOKUP('18.04'!AA10,'18.04'!$AM$4:$AO$55,2,FALSE))*IF('18.04'!$AK10="是",'18.04'!$AZ$4,'18.04'!$AZ$3))</f>
        <v>50</v>
      </c>
      <c r="T10" s="4">
        <f>IF(ISNUMBER(SEARCH("营",'18.04'!AB10)),(-$Y10+50*IF('18.04'!$AK10="是",'18.04'!$AZ$4,'18.04'!$AZ$3)),(VLOOKUP('18.04'!AB10,'18.04'!$AM$4:$AO$55,2,FALSE))*IF('18.04'!$AK10="是",'18.04'!$AZ$4,'18.04'!$AZ$3))</f>
        <v>170</v>
      </c>
      <c r="U10" s="4">
        <f>IF(ISNUMBER(SEARCH("营",'18.04'!AC10)),(-$Y10+50*IF('18.04'!$AK10="是",'18.04'!$AZ$4,'18.04'!$AZ$3)),(VLOOKUP('18.04'!AC10,'18.04'!$AM$4:$AO$55,2,FALSE))*IF('18.04'!$AK10="是",'18.04'!$AZ$4,'18.04'!$AZ$3))</f>
        <v>170</v>
      </c>
      <c r="V10" s="4">
        <f>IF(ISNUMBER(SEARCH("营",'18.04'!AD10)),(-$Y10+50*IF('18.04'!$AK10="是",'18.04'!$AZ$4,'18.04'!$AZ$3)),(VLOOKUP('18.04'!AD10,'18.04'!$AM$4:$AO$55,2,FALSE))*IF('18.04'!$AK10="是",'18.04'!$AZ$4,'18.04'!$AZ$3))</f>
        <v>180</v>
      </c>
      <c r="W10" s="4">
        <f>IF(ISNUMBER(SEARCH("营",'18.04'!AE10)),(-$Y10+50*IF('18.04'!$AK10="是",'18.04'!$AZ$4,'18.04'!$AZ$3)),(VLOOKUP('18.04'!AE10,'18.04'!$AM$4:$AO$55,2,FALSE))*IF('18.04'!$AK10="是",'18.04'!$AZ$4,'18.04'!$AZ$3))</f>
        <v>0</v>
      </c>
      <c r="X10" s="4">
        <f>IF(ISNUMBER(SEARCH("营",'18.04'!AF10)),(-$Y10+50*IF('18.04'!$AK10="是",'18.04'!$AZ$4,'18.04'!$AZ$3)),(VLOOKUP('18.04'!AF10,'18.04'!$AM$4:$AO$55,2,FALSE))*IF('18.04'!$AK10="是",'18.04'!$AZ$4,'18.04'!$AZ$3))</f>
        <v>0</v>
      </c>
      <c r="Y10" s="77">
        <v>300</v>
      </c>
      <c r="Z10" s="90">
        <v>45645</v>
      </c>
    </row>
    <row r="11" spans="1:26">
      <c r="A11" s="4">
        <f>IF(ISNUMBER(SEARCH("营",'18.04'!I11)),(-$Y11+50*IF('18.04'!$AK11="是",'18.04'!$AZ$4,'18.04'!$AZ$3)),(VLOOKUP('18.04'!I11,'18.04'!$AM$4:$AO$55,2,FALSE))*IF('18.04'!$AK11="是",'18.04'!$AZ$4,'18.04'!$AZ$3))</f>
        <v>150</v>
      </c>
      <c r="B11" s="4">
        <f>IF(ISNUMBER(SEARCH("营",'18.04'!J11)),(-$Y11+50*IF('18.04'!$AK11="是",'18.04'!$AZ$4,'18.04'!$AZ$3)),(VLOOKUP('18.04'!J11,'18.04'!$AM$4:$AO$55,2,FALSE))*IF('18.04'!$AK11="是",'18.04'!$AZ$4,'18.04'!$AZ$3))</f>
        <v>150</v>
      </c>
      <c r="C11" s="4">
        <f>IF(ISNUMBER(SEARCH("营",'18.04'!K11)),(-$Y11+50*IF('18.04'!$AK11="是",'18.04'!$AZ$4,'18.04'!$AZ$3)),(VLOOKUP('18.04'!K11,'18.04'!$AM$4:$AO$55,2,FALSE))*IF('18.04'!$AK11="是",'18.04'!$AZ$4,'18.04'!$AZ$3))</f>
        <v>50</v>
      </c>
      <c r="D11" s="4">
        <f>IF(ISNUMBER(SEARCH("营",'18.04'!L11)),(-$Y11+50*IF('18.04'!$AK11="是",'18.04'!$AZ$4,'18.04'!$AZ$3)),(VLOOKUP('18.04'!L11,'18.04'!$AM$4:$AO$55,2,FALSE))*IF('18.04'!$AK11="是",'18.04'!$AZ$4,'18.04'!$AZ$3))</f>
        <v>150</v>
      </c>
      <c r="E11" s="4">
        <f>IF(ISNUMBER(SEARCH("营",'18.04'!M11)),(-$Y11+50*IF('18.04'!$AK11="是",'18.04'!$AZ$4,'18.04'!$AZ$3)),(VLOOKUP('18.04'!M11,'18.04'!$AM$4:$AO$55,2,FALSE))*IF('18.04'!$AK11="是",'18.04'!$AZ$4,'18.04'!$AZ$3))</f>
        <v>150</v>
      </c>
      <c r="F11" s="4">
        <f>IF(ISNUMBER(SEARCH("营",'18.04'!N11)),(-$Y11+50*IF('18.04'!$AK11="是",'18.04'!$AZ$4,'18.04'!$AZ$3)),(VLOOKUP('18.04'!N11,'18.04'!$AM$4:$AO$55,2,FALSE))*IF('18.04'!$AK11="是",'18.04'!$AZ$4,'18.04'!$AZ$3))</f>
        <v>150</v>
      </c>
      <c r="G11" s="4">
        <f>IF(ISNUMBER(SEARCH("营",'18.04'!O11)),(-$Y11+50*IF('18.04'!$AK11="是",'18.04'!$AZ$4,'18.04'!$AZ$3)),(VLOOKUP('18.04'!O11,'18.04'!$AM$4:$AO$55,2,FALSE))*IF('18.04'!$AK11="是",'18.04'!$AZ$4,'18.04'!$AZ$3))</f>
        <v>150</v>
      </c>
      <c r="H11" s="4">
        <f>IF(ISNUMBER(SEARCH("营",'18.04'!P11)),(-$Y11+50*IF('18.04'!$AK11="是",'18.04'!$AZ$4,'18.04'!$AZ$3)),(VLOOKUP('18.04'!P11,'18.04'!$AM$4:$AO$55,2,FALSE))*IF('18.04'!$AK11="是",'18.04'!$AZ$4,'18.04'!$AZ$3))</f>
        <v>150</v>
      </c>
      <c r="I11" s="4">
        <f>IF(ISNUMBER(SEARCH("营",'18.04'!Q11)),(-$Y11+50*IF('18.04'!$AK11="是",'18.04'!$AZ$4,'18.04'!$AZ$3)),(VLOOKUP('18.04'!Q11,'18.04'!$AM$4:$AO$55,2,FALSE))*IF('18.04'!$AK11="是",'18.04'!$AZ$4,'18.04'!$AZ$3))</f>
        <v>170</v>
      </c>
      <c r="J11" s="4">
        <f>IF(ISNUMBER(SEARCH("营",'18.04'!R11)),(-$Y11+50*IF('18.04'!$AK11="是",'18.04'!$AZ$4,'18.04'!$AZ$3)),(VLOOKUP('18.04'!R11,'18.04'!$AM$4:$AO$55,2,FALSE))*IF('18.04'!$AK11="是",'18.04'!$AZ$4,'18.04'!$AZ$3))</f>
        <v>50</v>
      </c>
      <c r="K11" s="4">
        <f>IF(ISNUMBER(SEARCH("营",'18.04'!S11)),(-$Y11+50*IF('18.04'!$AK11="是",'18.04'!$AZ$4,'18.04'!$AZ$3)),(VLOOKUP('18.04'!S11,'18.04'!$AM$4:$AO$55,2,FALSE))*IF('18.04'!$AK11="是",'18.04'!$AZ$4,'18.04'!$AZ$3))</f>
        <v>170</v>
      </c>
      <c r="L11" s="4">
        <f>IF(ISNUMBER(SEARCH("营",'18.04'!T11)),(-$Y11+50*IF('18.04'!$AK11="是",'18.04'!$AZ$4,'18.04'!$AZ$3)),(VLOOKUP('18.04'!T11,'18.04'!$AM$4:$AO$55,2,FALSE))*IF('18.04'!$AK11="是",'18.04'!$AZ$4,'18.04'!$AZ$3))</f>
        <v>170</v>
      </c>
      <c r="M11" s="4">
        <f>IF(ISNUMBER(SEARCH("营",'18.04'!U11)),(-$Y11+50*IF('18.04'!$AK11="是",'18.04'!$AZ$4,'18.04'!$AZ$3)),(VLOOKUP('18.04'!U11,'18.04'!$AM$4:$AO$55,2,FALSE))*IF('18.04'!$AK11="是",'18.04'!$AZ$4,'18.04'!$AZ$3))</f>
        <v>170</v>
      </c>
      <c r="N11" s="4">
        <f>IF(ISNUMBER(SEARCH("营",'18.04'!V11)),(-$Y11+50*IF('18.04'!$AK11="是",'18.04'!$AZ$4,'18.04'!$AZ$3)),(VLOOKUP('18.04'!V11,'18.04'!$AM$4:$AO$55,2,FALSE))*IF('18.04'!$AK11="是",'18.04'!$AZ$4,'18.04'!$AZ$3))</f>
        <v>170</v>
      </c>
      <c r="O11" s="4">
        <f>IF(ISNUMBER(SEARCH("营",'18.04'!W11)),(-$Y11+50*IF('18.04'!$AK11="是",'18.04'!$AZ$4,'18.04'!$AZ$3)),(VLOOKUP('18.04'!W11,'18.04'!$AM$4:$AO$55,2,FALSE))*IF('18.04'!$AK11="是",'18.04'!$AZ$4,'18.04'!$AZ$3))</f>
        <v>0</v>
      </c>
      <c r="P11" s="4">
        <f>IF(ISNUMBER(SEARCH("营",'18.04'!X11)),(-$Y11+50*IF('18.04'!$AK11="是",'18.04'!$AZ$4,'18.04'!$AZ$3)),(VLOOKUP('18.04'!X11,'18.04'!$AM$4:$AO$55,2,FALSE))*IF('18.04'!$AK11="是",'18.04'!$AZ$4,'18.04'!$AZ$3))</f>
        <v>0</v>
      </c>
      <c r="Q11" s="4">
        <f>IF(ISNUMBER(SEARCH("营",'18.04'!Y11)),(-$Y11+50*IF('18.04'!$AK11="是",'18.04'!$AZ$4,'18.04'!$AZ$3)),(VLOOKUP('18.04'!Y11,'18.04'!$AM$4:$AO$55,2,FALSE))*IF('18.04'!$AK11="是",'18.04'!$AZ$4,'18.04'!$AZ$3))</f>
        <v>180</v>
      </c>
      <c r="R11" s="4">
        <f>IF(ISNUMBER(SEARCH("营",'18.04'!Z11)),(-$Y11+50*IF('18.04'!$AK11="是",'18.04'!$AZ$4,'18.04'!$AZ$3)),(VLOOKUP('18.04'!Z11,'18.04'!$AM$4:$AO$55,2,FALSE))*IF('18.04'!$AK11="是",'18.04'!$AZ$4,'18.04'!$AZ$3))</f>
        <v>170</v>
      </c>
      <c r="S11" s="4">
        <f>IF(ISNUMBER(SEARCH("营",'18.04'!AA11)),(-$Y11+50*IF('18.04'!$AK11="是",'18.04'!$AZ$4,'18.04'!$AZ$3)),(VLOOKUP('18.04'!AA11,'18.04'!$AM$4:$AO$55,2,FALSE))*IF('18.04'!$AK11="是",'18.04'!$AZ$4,'18.04'!$AZ$3))</f>
        <v>170</v>
      </c>
      <c r="T11" s="4">
        <f>IF(ISNUMBER(SEARCH("营",'18.04'!AB11)),(-$Y11+50*IF('18.04'!$AK11="是",'18.04'!$AZ$4,'18.04'!$AZ$3)),(VLOOKUP('18.04'!AB11,'18.04'!$AM$4:$AO$55,2,FALSE))*IF('18.04'!$AK11="是",'18.04'!$AZ$4,'18.04'!$AZ$3))</f>
        <v>170</v>
      </c>
      <c r="U11" s="4">
        <f>IF(ISNUMBER(SEARCH("营",'18.04'!AC11)),(-$Y11+50*IF('18.04'!$AK11="是",'18.04'!$AZ$4,'18.04'!$AZ$3)),(VLOOKUP('18.04'!AC11,'18.04'!$AM$4:$AO$55,2,FALSE))*IF('18.04'!$AK11="是",'18.04'!$AZ$4,'18.04'!$AZ$3))</f>
        <v>170</v>
      </c>
      <c r="V11" s="4">
        <f>IF(ISNUMBER(SEARCH("营",'18.04'!AD11)),(-$Y11+50*IF('18.04'!$AK11="是",'18.04'!$AZ$4,'18.04'!$AZ$3)),(VLOOKUP('18.04'!AD11,'18.04'!$AM$4:$AO$55,2,FALSE))*IF('18.04'!$AK11="是",'18.04'!$AZ$4,'18.04'!$AZ$3))</f>
        <v>170</v>
      </c>
      <c r="W11" s="4">
        <f>IF(ISNUMBER(SEARCH("营",'18.04'!AE11)),(-$Y11+50*IF('18.04'!$AK11="是",'18.04'!$AZ$4,'18.04'!$AZ$3)),(VLOOKUP('18.04'!AE11,'18.04'!$AM$4:$AO$55,2,FALSE))*IF('18.04'!$AK11="是",'18.04'!$AZ$4,'18.04'!$AZ$3))</f>
        <v>0</v>
      </c>
      <c r="X11" s="4">
        <f>IF(ISNUMBER(SEARCH("营",'18.04'!AF11)),(-$Y11+50*IF('18.04'!$AK11="是",'18.04'!$AZ$4,'18.04'!$AZ$3)),(VLOOKUP('18.04'!AF11,'18.04'!$AM$4:$AO$55,2,FALSE))*IF('18.04'!$AK11="是",'18.04'!$AZ$4,'18.04'!$AZ$3))</f>
        <v>0</v>
      </c>
      <c r="Y11" s="77">
        <v>300</v>
      </c>
      <c r="Z11" s="90">
        <v>45646</v>
      </c>
    </row>
    <row r="12" spans="1:26">
      <c r="A12" s="4">
        <f>IF(ISNUMBER(SEARCH("营",'18.04'!I12)),(-$Y12+50*IF('18.04'!$AK12="是",'18.04'!$AZ$4,'18.04'!$AZ$3)),(VLOOKUP('18.04'!I12,'18.04'!$AM$4:$AO$55,2,FALSE))*IF('18.04'!$AK12="是",'18.04'!$AZ$4,'18.04'!$AZ$3))</f>
        <v>120</v>
      </c>
      <c r="B12" s="4">
        <f>IF(ISNUMBER(SEARCH("营",'18.04'!J12)),(-$Y12+50*IF('18.04'!$AK12="是",'18.04'!$AZ$4,'18.04'!$AZ$3)),(VLOOKUP('18.04'!J12,'18.04'!$AM$4:$AO$55,2,FALSE))*IF('18.04'!$AK12="是",'18.04'!$AZ$4,'18.04'!$AZ$3))</f>
        <v>120</v>
      </c>
      <c r="C12" s="4">
        <f>IF(ISNUMBER(SEARCH("营",'18.04'!K12)),(-$Y12+50*IF('18.04'!$AK12="是",'18.04'!$AZ$4,'18.04'!$AZ$3)),(VLOOKUP('18.04'!K12,'18.04'!$AM$4:$AO$55,2,FALSE))*IF('18.04'!$AK12="是",'18.04'!$AZ$4,'18.04'!$AZ$3))</f>
        <v>40</v>
      </c>
      <c r="D12" s="4">
        <f>IF(ISNUMBER(SEARCH("营",'18.04'!L12)),(-$Y12+50*IF('18.04'!$AK12="是",'18.04'!$AZ$4,'18.04'!$AZ$3)),(VLOOKUP('18.04'!L12,'18.04'!$AM$4:$AO$55,2,FALSE))*IF('18.04'!$AK12="是",'18.04'!$AZ$4,'18.04'!$AZ$3))</f>
        <v>128</v>
      </c>
      <c r="E12" s="4">
        <f>IF(ISNUMBER(SEARCH("营",'18.04'!M12)),(-$Y12+50*IF('18.04'!$AK12="是",'18.04'!$AZ$4,'18.04'!$AZ$3)),(VLOOKUP('18.04'!M12,'18.04'!$AM$4:$AO$55,2,FALSE))*IF('18.04'!$AK12="是",'18.04'!$AZ$4,'18.04'!$AZ$3))</f>
        <v>128</v>
      </c>
      <c r="F12" s="4">
        <f>IF(ISNUMBER(SEARCH("营",'18.04'!N12)),(-$Y12+50*IF('18.04'!$AK12="是",'18.04'!$AZ$4,'18.04'!$AZ$3)),(VLOOKUP('18.04'!N12,'18.04'!$AM$4:$AO$55,2,FALSE))*IF('18.04'!$AK12="是",'18.04'!$AZ$4,'18.04'!$AZ$3))</f>
        <v>128</v>
      </c>
      <c r="G12" s="4">
        <f>IF(ISNUMBER(SEARCH("营",'18.04'!O12)),(-$Y12+50*IF('18.04'!$AK12="是",'18.04'!$AZ$4,'18.04'!$AZ$3)),(VLOOKUP('18.04'!O12,'18.04'!$AM$4:$AO$55,2,FALSE))*IF('18.04'!$AK12="是",'18.04'!$AZ$4,'18.04'!$AZ$3))</f>
        <v>-260</v>
      </c>
      <c r="H12" s="4">
        <f>IF(ISNUMBER(SEARCH("营",'18.04'!P12)),(-$Y12+50*IF('18.04'!$AK12="是",'18.04'!$AZ$4,'18.04'!$AZ$3)),(VLOOKUP('18.04'!P12,'18.04'!$AM$4:$AO$55,2,FALSE))*IF('18.04'!$AK12="是",'18.04'!$AZ$4,'18.04'!$AZ$3))</f>
        <v>128</v>
      </c>
      <c r="I12" s="4">
        <f>IF(ISNUMBER(SEARCH("营",'18.04'!Q12)),(-$Y12+50*IF('18.04'!$AK12="是",'18.04'!$AZ$4,'18.04'!$AZ$3)),(VLOOKUP('18.04'!Q12,'18.04'!$AM$4:$AO$55,2,FALSE))*IF('18.04'!$AK12="是",'18.04'!$AZ$4,'18.04'!$AZ$3))</f>
        <v>136</v>
      </c>
      <c r="J12" s="4">
        <f>IF(ISNUMBER(SEARCH("营",'18.04'!R12)),(-$Y12+50*IF('18.04'!$AK12="是",'18.04'!$AZ$4,'18.04'!$AZ$3)),(VLOOKUP('18.04'!R12,'18.04'!$AM$4:$AO$55,2,FALSE))*IF('18.04'!$AK12="是",'18.04'!$AZ$4,'18.04'!$AZ$3))</f>
        <v>136</v>
      </c>
      <c r="K12" s="4">
        <f>IF(ISNUMBER(SEARCH("营",'18.04'!S12)),(-$Y12+50*IF('18.04'!$AK12="是",'18.04'!$AZ$4,'18.04'!$AZ$3)),(VLOOKUP('18.04'!S12,'18.04'!$AM$4:$AO$55,2,FALSE))*IF('18.04'!$AK12="是",'18.04'!$AZ$4,'18.04'!$AZ$3))</f>
        <v>136</v>
      </c>
      <c r="L12" s="4">
        <f>IF(ISNUMBER(SEARCH("营",'18.04'!T12)),(-$Y12+50*IF('18.04'!$AK12="是",'18.04'!$AZ$4,'18.04'!$AZ$3)),(VLOOKUP('18.04'!T12,'18.04'!$AM$4:$AO$55,2,FALSE))*IF('18.04'!$AK12="是",'18.04'!$AZ$4,'18.04'!$AZ$3))</f>
        <v>120</v>
      </c>
      <c r="M12" s="4">
        <f>IF(ISNUMBER(SEARCH("营",'18.04'!U12)),(-$Y12+50*IF('18.04'!$AK12="是",'18.04'!$AZ$4,'18.04'!$AZ$3)),(VLOOKUP('18.04'!U12,'18.04'!$AM$4:$AO$55,2,FALSE))*IF('18.04'!$AK12="是",'18.04'!$AZ$4,'18.04'!$AZ$3))</f>
        <v>136</v>
      </c>
      <c r="N12" s="4">
        <f>IF(ISNUMBER(SEARCH("营",'18.04'!V12)),(-$Y12+50*IF('18.04'!$AK12="是",'18.04'!$AZ$4,'18.04'!$AZ$3)),(VLOOKUP('18.04'!V12,'18.04'!$AM$4:$AO$55,2,FALSE))*IF('18.04'!$AK12="是",'18.04'!$AZ$4,'18.04'!$AZ$3))</f>
        <v>136</v>
      </c>
      <c r="O12" s="4">
        <f>IF(ISNUMBER(SEARCH("营",'18.04'!W12)),(-$Y12+50*IF('18.04'!$AK12="是",'18.04'!$AZ$4,'18.04'!$AZ$3)),(VLOOKUP('18.04'!W12,'18.04'!$AM$4:$AO$55,2,FALSE))*IF('18.04'!$AK12="是",'18.04'!$AZ$4,'18.04'!$AZ$3))</f>
        <v>0</v>
      </c>
      <c r="P12" s="4">
        <f>IF(ISNUMBER(SEARCH("营",'18.04'!X12)),(-$Y12+50*IF('18.04'!$AK12="是",'18.04'!$AZ$4,'18.04'!$AZ$3)),(VLOOKUP('18.04'!X12,'18.04'!$AM$4:$AO$55,2,FALSE))*IF('18.04'!$AK12="是",'18.04'!$AZ$4,'18.04'!$AZ$3))</f>
        <v>0</v>
      </c>
      <c r="Q12" s="4">
        <f>IF(ISNUMBER(SEARCH("营",'18.04'!Y12)),(-$Y12+50*IF('18.04'!$AK12="是",'18.04'!$AZ$4,'18.04'!$AZ$3)),(VLOOKUP('18.04'!Y12,'18.04'!$AM$4:$AO$55,2,FALSE))*IF('18.04'!$AK12="是",'18.04'!$AZ$4,'18.04'!$AZ$3))</f>
        <v>136</v>
      </c>
      <c r="R12" s="4">
        <f>IF(ISNUMBER(SEARCH("营",'18.04'!Z12)),(-$Y12+50*IF('18.04'!$AK12="是",'18.04'!$AZ$4,'18.04'!$AZ$3)),(VLOOKUP('18.04'!Z12,'18.04'!$AM$4:$AO$55,2,FALSE))*IF('18.04'!$AK12="是",'18.04'!$AZ$4,'18.04'!$AZ$3))</f>
        <v>136</v>
      </c>
      <c r="S12" s="4">
        <f>IF(ISNUMBER(SEARCH("营",'18.04'!AA12)),(-$Y12+50*IF('18.04'!$AK12="是",'18.04'!$AZ$4,'18.04'!$AZ$3)),(VLOOKUP('18.04'!AA12,'18.04'!$AM$4:$AO$55,2,FALSE))*IF('18.04'!$AK12="是",'18.04'!$AZ$4,'18.04'!$AZ$3))</f>
        <v>0</v>
      </c>
      <c r="T12" s="4">
        <f>IF(ISNUMBER(SEARCH("营",'18.04'!AB12)),(-$Y12+50*IF('18.04'!$AK12="是",'18.04'!$AZ$4,'18.04'!$AZ$3)),(VLOOKUP('18.04'!AB12,'18.04'!$AM$4:$AO$55,2,FALSE))*IF('18.04'!$AK12="是",'18.04'!$AZ$4,'18.04'!$AZ$3))</f>
        <v>0</v>
      </c>
      <c r="U12" s="4">
        <f>IF(ISNUMBER(SEARCH("营",'18.04'!AC12)),(-$Y12+50*IF('18.04'!$AK12="是",'18.04'!$AZ$4,'18.04'!$AZ$3)),(VLOOKUP('18.04'!AC12,'18.04'!$AM$4:$AO$55,2,FALSE))*IF('18.04'!$AK12="是",'18.04'!$AZ$4,'18.04'!$AZ$3))</f>
        <v>0</v>
      </c>
      <c r="V12" s="4">
        <f>IF(ISNUMBER(SEARCH("营",'18.04'!AD12)),(-$Y12+50*IF('18.04'!$AK12="是",'18.04'!$AZ$4,'18.04'!$AZ$3)),(VLOOKUP('18.04'!AD12,'18.04'!$AM$4:$AO$55,2,FALSE))*IF('18.04'!$AK12="是",'18.04'!$AZ$4,'18.04'!$AZ$3))</f>
        <v>0</v>
      </c>
      <c r="W12" s="4">
        <f>IF(ISNUMBER(SEARCH("营",'18.04'!AE12)),(-$Y12+50*IF('18.04'!$AK12="是",'18.04'!$AZ$4,'18.04'!$AZ$3)),(VLOOKUP('18.04'!AE12,'18.04'!$AM$4:$AO$55,2,FALSE))*IF('18.04'!$AK12="是",'18.04'!$AZ$4,'18.04'!$AZ$3))</f>
        <v>0</v>
      </c>
      <c r="X12" s="4">
        <f>IF(ISNUMBER(SEARCH("营",'18.04'!AF12)),(-$Y12+50*IF('18.04'!$AK12="是",'18.04'!$AZ$4,'18.04'!$AZ$3)),(VLOOKUP('18.04'!AF12,'18.04'!$AM$4:$AO$55,2,FALSE))*IF('18.04'!$AK12="是",'18.04'!$AZ$4,'18.04'!$AZ$3))</f>
        <v>0</v>
      </c>
      <c r="Y12" s="77">
        <v>300</v>
      </c>
      <c r="Z12" s="90">
        <v>45647</v>
      </c>
    </row>
    <row r="13" spans="1:26">
      <c r="A13" s="4">
        <f>IF(ISNUMBER(SEARCH("营",'18.04'!I13)),(-$Y13+50*IF('18.04'!$AK13="是",'18.04'!$AZ$4,'18.04'!$AZ$3)),(VLOOKUP('18.04'!I13,'18.04'!$AM$4:$AO$55,2,FALSE))*IF('18.04'!$AK13="是",'18.04'!$AZ$4,'18.04'!$AZ$3))</f>
        <v>40</v>
      </c>
      <c r="B13" s="4">
        <f>IF(ISNUMBER(SEARCH("营",'18.04'!J13)),(-$Y13+50*IF('18.04'!$AK13="是",'18.04'!$AZ$4,'18.04'!$AZ$3)),(VLOOKUP('18.04'!J13,'18.04'!$AM$4:$AO$55,2,FALSE))*IF('18.04'!$AK13="是",'18.04'!$AZ$4,'18.04'!$AZ$3))</f>
        <v>120</v>
      </c>
      <c r="C13" s="4">
        <f>IF(ISNUMBER(SEARCH("营",'18.04'!K13)),(-$Y13+50*IF('18.04'!$AK13="是",'18.04'!$AZ$4,'18.04'!$AZ$3)),(VLOOKUP('18.04'!K13,'18.04'!$AM$4:$AO$55,2,FALSE))*IF('18.04'!$AK13="是",'18.04'!$AZ$4,'18.04'!$AZ$3))</f>
        <v>128</v>
      </c>
      <c r="D13" s="4">
        <f>IF(ISNUMBER(SEARCH("营",'18.04'!L13)),(-$Y13+50*IF('18.04'!$AK13="是",'18.04'!$AZ$4,'18.04'!$AZ$3)),(VLOOKUP('18.04'!L13,'18.04'!$AM$4:$AO$55,2,FALSE))*IF('18.04'!$AK13="是",'18.04'!$AZ$4,'18.04'!$AZ$3))</f>
        <v>128</v>
      </c>
      <c r="E13" s="4">
        <f>IF(ISNUMBER(SEARCH("营",'18.04'!M13)),(-$Y13+50*IF('18.04'!$AK13="是",'18.04'!$AZ$4,'18.04'!$AZ$3)),(VLOOKUP('18.04'!M13,'18.04'!$AM$4:$AO$55,2,FALSE))*IF('18.04'!$AK13="是",'18.04'!$AZ$4,'18.04'!$AZ$3))</f>
        <v>128</v>
      </c>
      <c r="F13" s="4">
        <f>IF(ISNUMBER(SEARCH("营",'18.04'!N13)),(-$Y13+50*IF('18.04'!$AK13="是",'18.04'!$AZ$4,'18.04'!$AZ$3)),(VLOOKUP('18.04'!N13,'18.04'!$AM$4:$AO$55,2,FALSE))*IF('18.04'!$AK13="是",'18.04'!$AZ$4,'18.04'!$AZ$3))</f>
        <v>40</v>
      </c>
      <c r="G13" s="4">
        <f>IF(ISNUMBER(SEARCH("营",'18.04'!O13)),(-$Y13+50*IF('18.04'!$AK13="是",'18.04'!$AZ$4,'18.04'!$AZ$3)),(VLOOKUP('18.04'!O13,'18.04'!$AM$4:$AO$55,2,FALSE))*IF('18.04'!$AK13="是",'18.04'!$AZ$4,'18.04'!$AZ$3))</f>
        <v>0</v>
      </c>
      <c r="H13" s="4">
        <f>IF(ISNUMBER(SEARCH("营",'18.04'!P13)),(-$Y13+50*IF('18.04'!$AK13="是",'18.04'!$AZ$4,'18.04'!$AZ$3)),(VLOOKUP('18.04'!P13,'18.04'!$AM$4:$AO$55,2,FALSE))*IF('18.04'!$AK13="是",'18.04'!$AZ$4,'18.04'!$AZ$3))</f>
        <v>0</v>
      </c>
      <c r="I13" s="4">
        <f>IF(ISNUMBER(SEARCH("营",'18.04'!Q13)),(-$Y13+50*IF('18.04'!$AK13="是",'18.04'!$AZ$4,'18.04'!$AZ$3)),(VLOOKUP('18.04'!Q13,'18.04'!$AM$4:$AO$55,2,FALSE))*IF('18.04'!$AK13="是",'18.04'!$AZ$4,'18.04'!$AZ$3))</f>
        <v>136</v>
      </c>
      <c r="J13" s="4">
        <f>IF(ISNUMBER(SEARCH("营",'18.04'!R13)),(-$Y13+50*IF('18.04'!$AK13="是",'18.04'!$AZ$4,'18.04'!$AZ$3)),(VLOOKUP('18.04'!R13,'18.04'!$AM$4:$AO$55,2,FALSE))*IF('18.04'!$AK13="是",'18.04'!$AZ$4,'18.04'!$AZ$3))</f>
        <v>136</v>
      </c>
      <c r="K13" s="4">
        <f>IF(ISNUMBER(SEARCH("营",'18.04'!S13)),(-$Y13+50*IF('18.04'!$AK13="是",'18.04'!$AZ$4,'18.04'!$AZ$3)),(VLOOKUP('18.04'!S13,'18.04'!$AM$4:$AO$55,2,FALSE))*IF('18.04'!$AK13="是",'18.04'!$AZ$4,'18.04'!$AZ$3))</f>
        <v>-260</v>
      </c>
      <c r="L13" s="4">
        <f>IF(ISNUMBER(SEARCH("营",'18.04'!T13)),(-$Y13+50*IF('18.04'!$AK13="是",'18.04'!$AZ$4,'18.04'!$AZ$3)),(VLOOKUP('18.04'!T13,'18.04'!$AM$4:$AO$55,2,FALSE))*IF('18.04'!$AK13="是",'18.04'!$AZ$4,'18.04'!$AZ$3))</f>
        <v>136</v>
      </c>
      <c r="M13" s="4">
        <f>IF(ISNUMBER(SEARCH("营",'18.04'!U13)),(-$Y13+50*IF('18.04'!$AK13="是",'18.04'!$AZ$4,'18.04'!$AZ$3)),(VLOOKUP('18.04'!U13,'18.04'!$AM$4:$AO$55,2,FALSE))*IF('18.04'!$AK13="是",'18.04'!$AZ$4,'18.04'!$AZ$3))</f>
        <v>136</v>
      </c>
      <c r="N13" s="4">
        <f>IF(ISNUMBER(SEARCH("营",'18.04'!V13)),(-$Y13+50*IF('18.04'!$AK13="是",'18.04'!$AZ$4,'18.04'!$AZ$3)),(VLOOKUP('18.04'!V13,'18.04'!$AM$4:$AO$55,2,FALSE))*IF('18.04'!$AK13="是",'18.04'!$AZ$4,'18.04'!$AZ$3))</f>
        <v>40</v>
      </c>
      <c r="O13" s="4">
        <f>IF(ISNUMBER(SEARCH("营",'18.04'!W13)),(-$Y13+50*IF('18.04'!$AK13="是",'18.04'!$AZ$4,'18.04'!$AZ$3)),(VLOOKUP('18.04'!W13,'18.04'!$AM$4:$AO$55,2,FALSE))*IF('18.04'!$AK13="是",'18.04'!$AZ$4,'18.04'!$AZ$3))</f>
        <v>136</v>
      </c>
      <c r="P13" s="4">
        <f>IF(ISNUMBER(SEARCH("营",'18.04'!X13)),(-$Y13+50*IF('18.04'!$AK13="是",'18.04'!$AZ$4,'18.04'!$AZ$3)),(VLOOKUP('18.04'!X13,'18.04'!$AM$4:$AO$55,2,FALSE))*IF('18.04'!$AK13="是",'18.04'!$AZ$4,'18.04'!$AZ$3))</f>
        <v>136</v>
      </c>
      <c r="Q13" s="4">
        <f>IF(ISNUMBER(SEARCH("营",'18.04'!Y13)),(-$Y13+50*IF('18.04'!$AK13="是",'18.04'!$AZ$4,'18.04'!$AZ$3)),(VLOOKUP('18.04'!Y13,'18.04'!$AM$4:$AO$55,2,FALSE))*IF('18.04'!$AK13="是",'18.04'!$AZ$4,'18.04'!$AZ$3))</f>
        <v>120</v>
      </c>
      <c r="R13" s="4">
        <f>IF(ISNUMBER(SEARCH("营",'18.04'!Z13)),(-$Y13+50*IF('18.04'!$AK13="是",'18.04'!$AZ$4,'18.04'!$AZ$3)),(VLOOKUP('18.04'!Z13,'18.04'!$AM$4:$AO$55,2,FALSE))*IF('18.04'!$AK13="是",'18.04'!$AZ$4,'18.04'!$AZ$3))</f>
        <v>144</v>
      </c>
      <c r="S13" s="4">
        <f>IF(ISNUMBER(SEARCH("营",'18.04'!AA13)),(-$Y13+50*IF('18.04'!$AK13="是",'18.04'!$AZ$4,'18.04'!$AZ$3)),(VLOOKUP('18.04'!AA13,'18.04'!$AM$4:$AO$55,2,FALSE))*IF('18.04'!$AK13="是",'18.04'!$AZ$4,'18.04'!$AZ$3))</f>
        <v>-260</v>
      </c>
      <c r="T13" s="4">
        <f>IF(ISNUMBER(SEARCH("营",'18.04'!AB13)),(-$Y13+50*IF('18.04'!$AK13="是",'18.04'!$AZ$4,'18.04'!$AZ$3)),(VLOOKUP('18.04'!AB13,'18.04'!$AM$4:$AO$55,2,FALSE))*IF('18.04'!$AK13="是",'18.04'!$AZ$4,'18.04'!$AZ$3))</f>
        <v>144</v>
      </c>
      <c r="U13" s="4">
        <f>IF(ISNUMBER(SEARCH("营",'18.04'!AC13)),(-$Y13+50*IF('18.04'!$AK13="是",'18.04'!$AZ$4,'18.04'!$AZ$3)),(VLOOKUP('18.04'!AC13,'18.04'!$AM$4:$AO$55,2,FALSE))*IF('18.04'!$AK13="是",'18.04'!$AZ$4,'18.04'!$AZ$3))</f>
        <v>160</v>
      </c>
      <c r="V13" s="4">
        <f>IF(ISNUMBER(SEARCH("营",'18.04'!AD13)),(-$Y13+50*IF('18.04'!$AK13="是",'18.04'!$AZ$4,'18.04'!$AZ$3)),(VLOOKUP('18.04'!AD13,'18.04'!$AM$4:$AO$55,2,FALSE))*IF('18.04'!$AK13="是",'18.04'!$AZ$4,'18.04'!$AZ$3))</f>
        <v>160</v>
      </c>
      <c r="W13" s="4">
        <f>IF(ISNUMBER(SEARCH("营",'18.04'!AE13)),(-$Y13+50*IF('18.04'!$AK13="是",'18.04'!$AZ$4,'18.04'!$AZ$3)),(VLOOKUP('18.04'!AE13,'18.04'!$AM$4:$AO$55,2,FALSE))*IF('18.04'!$AK13="是",'18.04'!$AZ$4,'18.04'!$AZ$3))</f>
        <v>-260</v>
      </c>
      <c r="X13" s="4">
        <f>IF(ISNUMBER(SEARCH("营",'18.04'!AF13)),(-$Y13+50*IF('18.04'!$AK13="是",'18.04'!$AZ$4,'18.04'!$AZ$3)),(VLOOKUP('18.04'!AF13,'18.04'!$AM$4:$AO$55,2,FALSE))*IF('18.04'!$AK13="是",'18.04'!$AZ$4,'18.04'!$AZ$3))</f>
        <v>160</v>
      </c>
      <c r="Y13" s="77">
        <v>300</v>
      </c>
      <c r="Z13" s="90">
        <v>45648</v>
      </c>
    </row>
    <row r="14" spans="1:26">
      <c r="A14" s="4">
        <f>IF(ISNUMBER(SEARCH("营",'18.04'!I14)),(-$Y14+50*IF('18.04'!$AK14="是",'18.04'!$AZ$4,'18.04'!$AZ$3)),(VLOOKUP('18.04'!I14,'18.04'!$AM$4:$AO$55,2,FALSE))*IF('18.04'!$AK14="是",'18.04'!$AZ$4,'18.04'!$AZ$3))</f>
        <v>128</v>
      </c>
      <c r="B14" s="4">
        <f>IF(ISNUMBER(SEARCH("营",'18.04'!J14)),(-$Y14+50*IF('18.04'!$AK14="是",'18.04'!$AZ$4,'18.04'!$AZ$3)),(VLOOKUP('18.04'!J14,'18.04'!$AM$4:$AO$55,2,FALSE))*IF('18.04'!$AK14="是",'18.04'!$AZ$4,'18.04'!$AZ$3))</f>
        <v>128</v>
      </c>
      <c r="C14" s="4">
        <f>IF(ISNUMBER(SEARCH("营",'18.04'!K14)),(-$Y14+50*IF('18.04'!$AK14="是",'18.04'!$AZ$4,'18.04'!$AZ$3)),(VLOOKUP('18.04'!K14,'18.04'!$AM$4:$AO$55,2,FALSE))*IF('18.04'!$AK14="是",'18.04'!$AZ$4,'18.04'!$AZ$3))</f>
        <v>120</v>
      </c>
      <c r="D14" s="4">
        <f>IF(ISNUMBER(SEARCH("营",'18.04'!L14)),(-$Y14+50*IF('18.04'!$AK14="是",'18.04'!$AZ$4,'18.04'!$AZ$3)),(VLOOKUP('18.04'!L14,'18.04'!$AM$4:$AO$55,2,FALSE))*IF('18.04'!$AK14="是",'18.04'!$AZ$4,'18.04'!$AZ$3))</f>
        <v>128</v>
      </c>
      <c r="E14" s="4">
        <f>IF(ISNUMBER(SEARCH("营",'18.04'!M14)),(-$Y14+50*IF('18.04'!$AK14="是",'18.04'!$AZ$4,'18.04'!$AZ$3)),(VLOOKUP('18.04'!M14,'18.04'!$AM$4:$AO$55,2,FALSE))*IF('18.04'!$AK14="是",'18.04'!$AZ$4,'18.04'!$AZ$3))</f>
        <v>0</v>
      </c>
      <c r="F14" s="4">
        <f>IF(ISNUMBER(SEARCH("营",'18.04'!N14)),(-$Y14+50*IF('18.04'!$AK14="是",'18.04'!$AZ$4,'18.04'!$AZ$3)),(VLOOKUP('18.04'!N14,'18.04'!$AM$4:$AO$55,2,FALSE))*IF('18.04'!$AK14="是",'18.04'!$AZ$4,'18.04'!$AZ$3))</f>
        <v>0</v>
      </c>
      <c r="G14" s="4">
        <f>IF(ISNUMBER(SEARCH("营",'18.04'!O14)),(-$Y14+50*IF('18.04'!$AK14="是",'18.04'!$AZ$4,'18.04'!$AZ$3)),(VLOOKUP('18.04'!O14,'18.04'!$AM$4:$AO$55,2,FALSE))*IF('18.04'!$AK14="是",'18.04'!$AZ$4,'18.04'!$AZ$3))</f>
        <v>0</v>
      </c>
      <c r="H14" s="4">
        <f>IF(ISNUMBER(SEARCH("营",'18.04'!P14)),(-$Y14+50*IF('18.04'!$AK14="是",'18.04'!$AZ$4,'18.04'!$AZ$3)),(VLOOKUP('18.04'!P14,'18.04'!$AM$4:$AO$55,2,FALSE))*IF('18.04'!$AK14="是",'18.04'!$AZ$4,'18.04'!$AZ$3))</f>
        <v>0</v>
      </c>
      <c r="I14" s="4">
        <f>IF(ISNUMBER(SEARCH("营",'18.04'!Q14)),(-$Y14+50*IF('18.04'!$AK14="是",'18.04'!$AZ$4,'18.04'!$AZ$3)),(VLOOKUP('18.04'!Q14,'18.04'!$AM$4:$AO$55,2,FALSE))*IF('18.04'!$AK14="是",'18.04'!$AZ$4,'18.04'!$AZ$3))</f>
        <v>136</v>
      </c>
      <c r="J14" s="4">
        <f>IF(ISNUMBER(SEARCH("营",'18.04'!R14)),(-$Y14+50*IF('18.04'!$AK14="是",'18.04'!$AZ$4,'18.04'!$AZ$3)),(VLOOKUP('18.04'!R14,'18.04'!$AM$4:$AO$55,2,FALSE))*IF('18.04'!$AK14="是",'18.04'!$AZ$4,'18.04'!$AZ$3))</f>
        <v>144</v>
      </c>
      <c r="K14" s="4">
        <f>IF(ISNUMBER(SEARCH("营",'18.04'!S14)),(-$Y14+50*IF('18.04'!$AK14="是",'18.04'!$AZ$4,'18.04'!$AZ$3)),(VLOOKUP('18.04'!S14,'18.04'!$AM$4:$AO$55,2,FALSE))*IF('18.04'!$AK14="是",'18.04'!$AZ$4,'18.04'!$AZ$3))</f>
        <v>144</v>
      </c>
      <c r="L14" s="4">
        <f>IF(ISNUMBER(SEARCH("营",'18.04'!T14)),(-$Y14+50*IF('18.04'!$AK14="是",'18.04'!$AZ$4,'18.04'!$AZ$3)),(VLOOKUP('18.04'!T14,'18.04'!$AM$4:$AO$55,2,FALSE))*IF('18.04'!$AK14="是",'18.04'!$AZ$4,'18.04'!$AZ$3))</f>
        <v>144</v>
      </c>
      <c r="M14" s="4">
        <f>IF(ISNUMBER(SEARCH("营",'18.04'!U14)),(-$Y14+50*IF('18.04'!$AK14="是",'18.04'!$AZ$4,'18.04'!$AZ$3)),(VLOOKUP('18.04'!U14,'18.04'!$AM$4:$AO$55,2,FALSE))*IF('18.04'!$AK14="是",'18.04'!$AZ$4,'18.04'!$AZ$3))</f>
        <v>144</v>
      </c>
      <c r="N14" s="4">
        <f>IF(ISNUMBER(SEARCH("营",'18.04'!V14)),(-$Y14+50*IF('18.04'!$AK14="是",'18.04'!$AZ$4,'18.04'!$AZ$3)),(VLOOKUP('18.04'!V14,'18.04'!$AM$4:$AO$55,2,FALSE))*IF('18.04'!$AK14="是",'18.04'!$AZ$4,'18.04'!$AZ$3))</f>
        <v>152</v>
      </c>
      <c r="O14" s="4">
        <f>IF(ISNUMBER(SEARCH("营",'18.04'!W14)),(-$Y14+50*IF('18.04'!$AK14="是",'18.04'!$AZ$4,'18.04'!$AZ$3)),(VLOOKUP('18.04'!W14,'18.04'!$AM$4:$AO$55,2,FALSE))*IF('18.04'!$AK14="是",'18.04'!$AZ$4,'18.04'!$AZ$3))</f>
        <v>0</v>
      </c>
      <c r="P14" s="4">
        <f>IF(ISNUMBER(SEARCH("营",'18.04'!X14)),(-$Y14+50*IF('18.04'!$AK14="是",'18.04'!$AZ$4,'18.04'!$AZ$3)),(VLOOKUP('18.04'!X14,'18.04'!$AM$4:$AO$55,2,FALSE))*IF('18.04'!$AK14="是",'18.04'!$AZ$4,'18.04'!$AZ$3))</f>
        <v>0</v>
      </c>
      <c r="Q14" s="4">
        <f>IF(ISNUMBER(SEARCH("营",'18.04'!Y14)),(-$Y14+50*IF('18.04'!$AK14="是",'18.04'!$AZ$4,'18.04'!$AZ$3)),(VLOOKUP('18.04'!Y14,'18.04'!$AM$4:$AO$55,2,FALSE))*IF('18.04'!$AK14="是",'18.04'!$AZ$4,'18.04'!$AZ$3))</f>
        <v>160</v>
      </c>
      <c r="R14" s="4">
        <f>IF(ISNUMBER(SEARCH("营",'18.04'!Z14)),(-$Y14+50*IF('18.04'!$AK14="是",'18.04'!$AZ$4,'18.04'!$AZ$3)),(VLOOKUP('18.04'!Z14,'18.04'!$AM$4:$AO$55,2,FALSE))*IF('18.04'!$AK14="是",'18.04'!$AZ$4,'18.04'!$AZ$3))</f>
        <v>0</v>
      </c>
      <c r="S14" s="4">
        <f>IF(ISNUMBER(SEARCH("营",'18.04'!AA14)),(-$Y14+50*IF('18.04'!$AK14="是",'18.04'!$AZ$4,'18.04'!$AZ$3)),(VLOOKUP('18.04'!AA14,'18.04'!$AM$4:$AO$55,2,FALSE))*IF('18.04'!$AK14="是",'18.04'!$AZ$4,'18.04'!$AZ$3))</f>
        <v>0</v>
      </c>
      <c r="T14" s="4">
        <f>IF(ISNUMBER(SEARCH("营",'18.04'!AB14)),(-$Y14+50*IF('18.04'!$AK14="是",'18.04'!$AZ$4,'18.04'!$AZ$3)),(VLOOKUP('18.04'!AB14,'18.04'!$AM$4:$AO$55,2,FALSE))*IF('18.04'!$AK14="是",'18.04'!$AZ$4,'18.04'!$AZ$3))</f>
        <v>0</v>
      </c>
      <c r="U14" s="4">
        <f>IF(ISNUMBER(SEARCH("营",'18.04'!AC14)),(-$Y14+50*IF('18.04'!$AK14="是",'18.04'!$AZ$4,'18.04'!$AZ$3)),(VLOOKUP('18.04'!AC14,'18.04'!$AM$4:$AO$55,2,FALSE))*IF('18.04'!$AK14="是",'18.04'!$AZ$4,'18.04'!$AZ$3))</f>
        <v>0</v>
      </c>
      <c r="V14" s="4">
        <f>IF(ISNUMBER(SEARCH("营",'18.04'!AD14)),(-$Y14+50*IF('18.04'!$AK14="是",'18.04'!$AZ$4,'18.04'!$AZ$3)),(VLOOKUP('18.04'!AD14,'18.04'!$AM$4:$AO$55,2,FALSE))*IF('18.04'!$AK14="是",'18.04'!$AZ$4,'18.04'!$AZ$3))</f>
        <v>0</v>
      </c>
      <c r="W14" s="4">
        <f>IF(ISNUMBER(SEARCH("营",'18.04'!AE14)),(-$Y14+50*IF('18.04'!$AK14="是",'18.04'!$AZ$4,'18.04'!$AZ$3)),(VLOOKUP('18.04'!AE14,'18.04'!$AM$4:$AO$55,2,FALSE))*IF('18.04'!$AK14="是",'18.04'!$AZ$4,'18.04'!$AZ$3))</f>
        <v>0</v>
      </c>
      <c r="X14" s="4">
        <f>IF(ISNUMBER(SEARCH("营",'18.04'!AF14)),(-$Y14+50*IF('18.04'!$AK14="是",'18.04'!$AZ$4,'18.04'!$AZ$3)),(VLOOKUP('18.04'!AF14,'18.04'!$AM$4:$AO$55,2,FALSE))*IF('18.04'!$AK14="是",'18.04'!$AZ$4,'18.04'!$AZ$3))</f>
        <v>0</v>
      </c>
      <c r="Y14" s="77">
        <v>300</v>
      </c>
      <c r="Z14" s="90">
        <v>45649</v>
      </c>
    </row>
    <row r="15" spans="1:26">
      <c r="A15" s="4">
        <f>IF(ISNUMBER(SEARCH("营",'18.04'!I15)),(-$Y15+50*IF('18.04'!$AK15="是",'18.04'!$AZ$4,'18.04'!$AZ$3)),(VLOOKUP('18.04'!I15,'18.04'!$AM$4:$AO$55,2,FALSE))*IF('18.04'!$AK15="是",'18.04'!$AZ$4,'18.04'!$AZ$3))</f>
        <v>128</v>
      </c>
      <c r="B15" s="4">
        <f>IF(ISNUMBER(SEARCH("营",'18.04'!J15)),(-$Y15+50*IF('18.04'!$AK15="是",'18.04'!$AZ$4,'18.04'!$AZ$3)),(VLOOKUP('18.04'!J15,'18.04'!$AM$4:$AO$55,2,FALSE))*IF('18.04'!$AK15="是",'18.04'!$AZ$4,'18.04'!$AZ$3))</f>
        <v>-260</v>
      </c>
      <c r="C15" s="4">
        <f>IF(ISNUMBER(SEARCH("营",'18.04'!K15)),(-$Y15+50*IF('18.04'!$AK15="是",'18.04'!$AZ$4,'18.04'!$AZ$3)),(VLOOKUP('18.04'!K15,'18.04'!$AM$4:$AO$55,2,FALSE))*IF('18.04'!$AK15="是",'18.04'!$AZ$4,'18.04'!$AZ$3))</f>
        <v>128</v>
      </c>
      <c r="D15" s="4">
        <f>IF(ISNUMBER(SEARCH("营",'18.04'!L15)),(-$Y15+50*IF('18.04'!$AK15="是",'18.04'!$AZ$4,'18.04'!$AZ$3)),(VLOOKUP('18.04'!L15,'18.04'!$AM$4:$AO$55,2,FALSE))*IF('18.04'!$AK15="是",'18.04'!$AZ$4,'18.04'!$AZ$3))</f>
        <v>128</v>
      </c>
      <c r="E15" s="4">
        <f>IF(ISNUMBER(SEARCH("营",'18.04'!M15)),(-$Y15+50*IF('18.04'!$AK15="是",'18.04'!$AZ$4,'18.04'!$AZ$3)),(VLOOKUP('18.04'!M15,'18.04'!$AM$4:$AO$55,2,FALSE))*IF('18.04'!$AK15="是",'18.04'!$AZ$4,'18.04'!$AZ$3))</f>
        <v>128</v>
      </c>
      <c r="F15" s="4">
        <f>IF(ISNUMBER(SEARCH("营",'18.04'!N15)),(-$Y15+50*IF('18.04'!$AK15="是",'18.04'!$AZ$4,'18.04'!$AZ$3)),(VLOOKUP('18.04'!N15,'18.04'!$AM$4:$AO$55,2,FALSE))*IF('18.04'!$AK15="是",'18.04'!$AZ$4,'18.04'!$AZ$3))</f>
        <v>40</v>
      </c>
      <c r="G15" s="4">
        <f>IF(ISNUMBER(SEARCH("营",'18.04'!O15)),(-$Y15+50*IF('18.04'!$AK15="是",'18.04'!$AZ$4,'18.04'!$AZ$3)),(VLOOKUP('18.04'!O15,'18.04'!$AM$4:$AO$55,2,FALSE))*IF('18.04'!$AK15="是",'18.04'!$AZ$4,'18.04'!$AZ$3))</f>
        <v>0</v>
      </c>
      <c r="H15" s="4">
        <f>IF(ISNUMBER(SEARCH("营",'18.04'!P15)),(-$Y15+50*IF('18.04'!$AK15="是",'18.04'!$AZ$4,'18.04'!$AZ$3)),(VLOOKUP('18.04'!P15,'18.04'!$AM$4:$AO$55,2,FALSE))*IF('18.04'!$AK15="是",'18.04'!$AZ$4,'18.04'!$AZ$3))</f>
        <v>0</v>
      </c>
      <c r="I15" s="4">
        <f>IF(ISNUMBER(SEARCH("营",'18.04'!Q15)),(-$Y15+50*IF('18.04'!$AK15="是",'18.04'!$AZ$4,'18.04'!$AZ$3)),(VLOOKUP('18.04'!Q15,'18.04'!$AM$4:$AO$55,2,FALSE))*IF('18.04'!$AK15="是",'18.04'!$AZ$4,'18.04'!$AZ$3))</f>
        <v>152</v>
      </c>
      <c r="J15" s="4">
        <f>IF(ISNUMBER(SEARCH("营",'18.04'!R15)),(-$Y15+50*IF('18.04'!$AK15="是",'18.04'!$AZ$4,'18.04'!$AZ$3)),(VLOOKUP('18.04'!R15,'18.04'!$AM$4:$AO$55,2,FALSE))*IF('18.04'!$AK15="是",'18.04'!$AZ$4,'18.04'!$AZ$3))</f>
        <v>40</v>
      </c>
      <c r="K15" s="4">
        <f>IF(ISNUMBER(SEARCH("营",'18.04'!S15)),(-$Y15+50*IF('18.04'!$AK15="是",'18.04'!$AZ$4,'18.04'!$AZ$3)),(VLOOKUP('18.04'!S15,'18.04'!$AM$4:$AO$55,2,FALSE))*IF('18.04'!$AK15="是",'18.04'!$AZ$4,'18.04'!$AZ$3))</f>
        <v>152</v>
      </c>
      <c r="L15" s="4">
        <f>IF(ISNUMBER(SEARCH("营",'18.04'!T15)),(-$Y15+50*IF('18.04'!$AK15="是",'18.04'!$AZ$4,'18.04'!$AZ$3)),(VLOOKUP('18.04'!T15,'18.04'!$AM$4:$AO$55,2,FALSE))*IF('18.04'!$AK15="是",'18.04'!$AZ$4,'18.04'!$AZ$3))</f>
        <v>152</v>
      </c>
      <c r="M15" s="4">
        <f>IF(ISNUMBER(SEARCH("营",'18.04'!U15)),(-$Y15+50*IF('18.04'!$AK15="是",'18.04'!$AZ$4,'18.04'!$AZ$3)),(VLOOKUP('18.04'!U15,'18.04'!$AM$4:$AO$55,2,FALSE))*IF('18.04'!$AK15="是",'18.04'!$AZ$4,'18.04'!$AZ$3))</f>
        <v>152</v>
      </c>
      <c r="N15" s="4">
        <f>IF(ISNUMBER(SEARCH("营",'18.04'!V15)),(-$Y15+50*IF('18.04'!$AK15="是",'18.04'!$AZ$4,'18.04'!$AZ$3)),(VLOOKUP('18.04'!V15,'18.04'!$AM$4:$AO$55,2,FALSE))*IF('18.04'!$AK15="是",'18.04'!$AZ$4,'18.04'!$AZ$3))</f>
        <v>152</v>
      </c>
      <c r="O15" s="4">
        <f>IF(ISNUMBER(SEARCH("营",'18.04'!W15)),(-$Y15+50*IF('18.04'!$AK15="是",'18.04'!$AZ$4,'18.04'!$AZ$3)),(VLOOKUP('18.04'!W15,'18.04'!$AM$4:$AO$55,2,FALSE))*IF('18.04'!$AK15="是",'18.04'!$AZ$4,'18.04'!$AZ$3))</f>
        <v>-260</v>
      </c>
      <c r="P15" s="4">
        <f>IF(ISNUMBER(SEARCH("营",'18.04'!X15)),(-$Y15+50*IF('18.04'!$AK15="是",'18.04'!$AZ$4,'18.04'!$AZ$3)),(VLOOKUP('18.04'!X15,'18.04'!$AM$4:$AO$55,2,FALSE))*IF('18.04'!$AK15="是",'18.04'!$AZ$4,'18.04'!$AZ$3))</f>
        <v>152</v>
      </c>
      <c r="Q15" s="4">
        <f>IF(ISNUMBER(SEARCH("营",'18.04'!Y15)),(-$Y15+50*IF('18.04'!$AK15="是",'18.04'!$AZ$4,'18.04'!$AZ$3)),(VLOOKUP('18.04'!Y15,'18.04'!$AM$4:$AO$55,2,FALSE))*IF('18.04'!$AK15="是",'18.04'!$AZ$4,'18.04'!$AZ$3))</f>
        <v>160</v>
      </c>
      <c r="R15" s="4">
        <f>IF(ISNUMBER(SEARCH("营",'18.04'!Z15)),(-$Y15+50*IF('18.04'!$AK15="是",'18.04'!$AZ$4,'18.04'!$AZ$3)),(VLOOKUP('18.04'!Z15,'18.04'!$AM$4:$AO$55,2,FALSE))*IF('18.04'!$AK15="是",'18.04'!$AZ$4,'18.04'!$AZ$3))</f>
        <v>160</v>
      </c>
      <c r="S15" s="4">
        <f>IF(ISNUMBER(SEARCH("营",'18.04'!AA15)),(-$Y15+50*IF('18.04'!$AK15="是",'18.04'!$AZ$4,'18.04'!$AZ$3)),(VLOOKUP('18.04'!AA15,'18.04'!$AM$4:$AO$55,2,FALSE))*IF('18.04'!$AK15="是",'18.04'!$AZ$4,'18.04'!$AZ$3))</f>
        <v>160</v>
      </c>
      <c r="T15" s="4">
        <f>IF(ISNUMBER(SEARCH("营",'18.04'!AB15)),(-$Y15+50*IF('18.04'!$AK15="是",'18.04'!$AZ$4,'18.04'!$AZ$3)),(VLOOKUP('18.04'!AB15,'18.04'!$AM$4:$AO$55,2,FALSE))*IF('18.04'!$AK15="是",'18.04'!$AZ$4,'18.04'!$AZ$3))</f>
        <v>0</v>
      </c>
      <c r="U15" s="4">
        <f>IF(ISNUMBER(SEARCH("营",'18.04'!AC15)),(-$Y15+50*IF('18.04'!$AK15="是",'18.04'!$AZ$4,'18.04'!$AZ$3)),(VLOOKUP('18.04'!AC15,'18.04'!$AM$4:$AO$55,2,FALSE))*IF('18.04'!$AK15="是",'18.04'!$AZ$4,'18.04'!$AZ$3))</f>
        <v>0</v>
      </c>
      <c r="V15" s="4">
        <f>IF(ISNUMBER(SEARCH("营",'18.04'!AD15)),(-$Y15+50*IF('18.04'!$AK15="是",'18.04'!$AZ$4,'18.04'!$AZ$3)),(VLOOKUP('18.04'!AD15,'18.04'!$AM$4:$AO$55,2,FALSE))*IF('18.04'!$AK15="是",'18.04'!$AZ$4,'18.04'!$AZ$3))</f>
        <v>0</v>
      </c>
      <c r="W15" s="4">
        <f>IF(ISNUMBER(SEARCH("营",'18.04'!AE15)),(-$Y15+50*IF('18.04'!$AK15="是",'18.04'!$AZ$4,'18.04'!$AZ$3)),(VLOOKUP('18.04'!AE15,'18.04'!$AM$4:$AO$55,2,FALSE))*IF('18.04'!$AK15="是",'18.04'!$AZ$4,'18.04'!$AZ$3))</f>
        <v>0</v>
      </c>
      <c r="X15" s="4">
        <f>IF(ISNUMBER(SEARCH("营",'18.04'!AF15)),(-$Y15+50*IF('18.04'!$AK15="是",'18.04'!$AZ$4,'18.04'!$AZ$3)),(VLOOKUP('18.04'!AF15,'18.04'!$AM$4:$AO$55,2,FALSE))*IF('18.04'!$AK15="是",'18.04'!$AZ$4,'18.04'!$AZ$3))</f>
        <v>0</v>
      </c>
      <c r="Y15" s="77">
        <v>300</v>
      </c>
      <c r="Z15" s="90">
        <v>45650</v>
      </c>
    </row>
    <row r="16" spans="1:26">
      <c r="A16" s="4">
        <f>IF(ISNUMBER(SEARCH("营",'18.04'!I16)),(-$Y16+50*IF('18.04'!$AK16="是",'18.04'!$AZ$4,'18.04'!$AZ$3)),(VLOOKUP('18.04'!I16,'18.04'!$AM$4:$AO$55,2,FALSE))*IF('18.04'!$AK16="是",'18.04'!$AZ$4,'18.04'!$AZ$3))</f>
        <v>136</v>
      </c>
      <c r="B16" s="4">
        <f>IF(ISNUMBER(SEARCH("营",'18.04'!J16)),(-$Y16+50*IF('18.04'!$AK16="是",'18.04'!$AZ$4,'18.04'!$AZ$3)),(VLOOKUP('18.04'!J16,'18.04'!$AM$4:$AO$55,2,FALSE))*IF('18.04'!$AK16="是",'18.04'!$AZ$4,'18.04'!$AZ$3))</f>
        <v>136</v>
      </c>
      <c r="C16" s="4">
        <f>IF(ISNUMBER(SEARCH("营",'18.04'!K16)),(-$Y16+50*IF('18.04'!$AK16="是",'18.04'!$AZ$4,'18.04'!$AZ$3)),(VLOOKUP('18.04'!K16,'18.04'!$AM$4:$AO$55,2,FALSE))*IF('18.04'!$AK16="是",'18.04'!$AZ$4,'18.04'!$AZ$3))</f>
        <v>144</v>
      </c>
      <c r="D16" s="4">
        <f>IF(ISNUMBER(SEARCH("营",'18.04'!L16)),(-$Y16+50*IF('18.04'!$AK16="是",'18.04'!$AZ$4,'18.04'!$AZ$3)),(VLOOKUP('18.04'!L16,'18.04'!$AM$4:$AO$55,2,FALSE))*IF('18.04'!$AK16="是",'18.04'!$AZ$4,'18.04'!$AZ$3))</f>
        <v>-260</v>
      </c>
      <c r="E16" s="4">
        <f>IF(ISNUMBER(SEARCH("营",'18.04'!M16)),(-$Y16+50*IF('18.04'!$AK16="是",'18.04'!$AZ$4,'18.04'!$AZ$3)),(VLOOKUP('18.04'!M16,'18.04'!$AM$4:$AO$55,2,FALSE))*IF('18.04'!$AK16="是",'18.04'!$AZ$4,'18.04'!$AZ$3))</f>
        <v>144</v>
      </c>
      <c r="F16" s="4">
        <f>IF(ISNUMBER(SEARCH("营",'18.04'!N16)),(-$Y16+50*IF('18.04'!$AK16="是",'18.04'!$AZ$4,'18.04'!$AZ$3)),(VLOOKUP('18.04'!N16,'18.04'!$AM$4:$AO$55,2,FALSE))*IF('18.04'!$AK16="是",'18.04'!$AZ$4,'18.04'!$AZ$3))</f>
        <v>144</v>
      </c>
      <c r="G16" s="4">
        <f>IF(ISNUMBER(SEARCH("营",'18.04'!O16)),(-$Y16+50*IF('18.04'!$AK16="是",'18.04'!$AZ$4,'18.04'!$AZ$3)),(VLOOKUP('18.04'!O16,'18.04'!$AM$4:$AO$55,2,FALSE))*IF('18.04'!$AK16="是",'18.04'!$AZ$4,'18.04'!$AZ$3))</f>
        <v>144</v>
      </c>
      <c r="H16" s="4">
        <f>IF(ISNUMBER(SEARCH("营",'18.04'!P16)),(-$Y16+50*IF('18.04'!$AK16="是",'18.04'!$AZ$4,'18.04'!$AZ$3)),(VLOOKUP('18.04'!P16,'18.04'!$AM$4:$AO$55,2,FALSE))*IF('18.04'!$AK16="是",'18.04'!$AZ$4,'18.04'!$AZ$3))</f>
        <v>0</v>
      </c>
      <c r="I16" s="4">
        <f>IF(ISNUMBER(SEARCH("营",'18.04'!Q16)),(-$Y16+50*IF('18.04'!$AK16="是",'18.04'!$AZ$4,'18.04'!$AZ$3)),(VLOOKUP('18.04'!Q16,'18.04'!$AM$4:$AO$55,2,FALSE))*IF('18.04'!$AK16="是",'18.04'!$AZ$4,'18.04'!$AZ$3))</f>
        <v>152</v>
      </c>
      <c r="J16" s="4">
        <f>IF(ISNUMBER(SEARCH("营",'18.04'!R16)),(-$Y16+50*IF('18.04'!$AK16="是",'18.04'!$AZ$4,'18.04'!$AZ$3)),(VLOOKUP('18.04'!R16,'18.04'!$AM$4:$AO$55,2,FALSE))*IF('18.04'!$AK16="是",'18.04'!$AZ$4,'18.04'!$AZ$3))</f>
        <v>152</v>
      </c>
      <c r="K16" s="4">
        <f>IF(ISNUMBER(SEARCH("营",'18.04'!S16)),(-$Y16+50*IF('18.04'!$AK16="是",'18.04'!$AZ$4,'18.04'!$AZ$3)),(VLOOKUP('18.04'!S16,'18.04'!$AM$4:$AO$55,2,FALSE))*IF('18.04'!$AK16="是",'18.04'!$AZ$4,'18.04'!$AZ$3))</f>
        <v>144</v>
      </c>
      <c r="L16" s="4">
        <f>IF(ISNUMBER(SEARCH("营",'18.04'!T16)),(-$Y16+50*IF('18.04'!$AK16="是",'18.04'!$AZ$4,'18.04'!$AZ$3)),(VLOOKUP('18.04'!T16,'18.04'!$AM$4:$AO$55,2,FALSE))*IF('18.04'!$AK16="是",'18.04'!$AZ$4,'18.04'!$AZ$3))</f>
        <v>144</v>
      </c>
      <c r="M16" s="4">
        <f>IF(ISNUMBER(SEARCH("营",'18.04'!U16)),(-$Y16+50*IF('18.04'!$AK16="是",'18.04'!$AZ$4,'18.04'!$AZ$3)),(VLOOKUP('18.04'!U16,'18.04'!$AM$4:$AO$55,2,FALSE))*IF('18.04'!$AK16="是",'18.04'!$AZ$4,'18.04'!$AZ$3))</f>
        <v>144</v>
      </c>
      <c r="N16" s="4">
        <f>IF(ISNUMBER(SEARCH("营",'18.04'!V16)),(-$Y16+50*IF('18.04'!$AK16="是",'18.04'!$AZ$4,'18.04'!$AZ$3)),(VLOOKUP('18.04'!V16,'18.04'!$AM$4:$AO$55,2,FALSE))*IF('18.04'!$AK16="是",'18.04'!$AZ$4,'18.04'!$AZ$3))</f>
        <v>144</v>
      </c>
      <c r="O16" s="4">
        <f>IF(ISNUMBER(SEARCH("营",'18.04'!W16)),(-$Y16+50*IF('18.04'!$AK16="是",'18.04'!$AZ$4,'18.04'!$AZ$3)),(VLOOKUP('18.04'!W16,'18.04'!$AM$4:$AO$55,2,FALSE))*IF('18.04'!$AK16="是",'18.04'!$AZ$4,'18.04'!$AZ$3))</f>
        <v>0</v>
      </c>
      <c r="P16" s="4">
        <f>IF(ISNUMBER(SEARCH("营",'18.04'!X16)),(-$Y16+50*IF('18.04'!$AK16="是",'18.04'!$AZ$4,'18.04'!$AZ$3)),(VLOOKUP('18.04'!X16,'18.04'!$AM$4:$AO$55,2,FALSE))*IF('18.04'!$AK16="是",'18.04'!$AZ$4,'18.04'!$AZ$3))</f>
        <v>0</v>
      </c>
      <c r="Q16" s="4">
        <f>IF(ISNUMBER(SEARCH("营",'18.04'!Y16)),(-$Y16+50*IF('18.04'!$AK16="是",'18.04'!$AZ$4,'18.04'!$AZ$3)),(VLOOKUP('18.04'!Y16,'18.04'!$AM$4:$AO$55,2,FALSE))*IF('18.04'!$AK16="是",'18.04'!$AZ$4,'18.04'!$AZ$3))</f>
        <v>160</v>
      </c>
      <c r="R16" s="4">
        <f>IF(ISNUMBER(SEARCH("营",'18.04'!Z16)),(-$Y16+50*IF('18.04'!$AK16="是",'18.04'!$AZ$4,'18.04'!$AZ$3)),(VLOOKUP('18.04'!Z16,'18.04'!$AM$4:$AO$55,2,FALSE))*IF('18.04'!$AK16="是",'18.04'!$AZ$4,'18.04'!$AZ$3))</f>
        <v>200</v>
      </c>
      <c r="S16" s="4">
        <f>IF(ISNUMBER(SEARCH("营",'18.04'!AA16)),(-$Y16+50*IF('18.04'!$AK16="是",'18.04'!$AZ$4,'18.04'!$AZ$3)),(VLOOKUP('18.04'!AA16,'18.04'!$AM$4:$AO$55,2,FALSE))*IF('18.04'!$AK16="是",'18.04'!$AZ$4,'18.04'!$AZ$3))</f>
        <v>0</v>
      </c>
      <c r="T16" s="4">
        <f>IF(ISNUMBER(SEARCH("营",'18.04'!AB16)),(-$Y16+50*IF('18.04'!$AK16="是",'18.04'!$AZ$4,'18.04'!$AZ$3)),(VLOOKUP('18.04'!AB16,'18.04'!$AM$4:$AO$55,2,FALSE))*IF('18.04'!$AK16="是",'18.04'!$AZ$4,'18.04'!$AZ$3))</f>
        <v>0</v>
      </c>
      <c r="U16" s="4">
        <f>IF(ISNUMBER(SEARCH("营",'18.04'!AC16)),(-$Y16+50*IF('18.04'!$AK16="是",'18.04'!$AZ$4,'18.04'!$AZ$3)),(VLOOKUP('18.04'!AC16,'18.04'!$AM$4:$AO$55,2,FALSE))*IF('18.04'!$AK16="是",'18.04'!$AZ$4,'18.04'!$AZ$3))</f>
        <v>0</v>
      </c>
      <c r="V16" s="4">
        <f>IF(ISNUMBER(SEARCH("营",'18.04'!AD16)),(-$Y16+50*IF('18.04'!$AK16="是",'18.04'!$AZ$4,'18.04'!$AZ$3)),(VLOOKUP('18.04'!AD16,'18.04'!$AM$4:$AO$55,2,FALSE))*IF('18.04'!$AK16="是",'18.04'!$AZ$4,'18.04'!$AZ$3))</f>
        <v>0</v>
      </c>
      <c r="W16" s="4">
        <f>IF(ISNUMBER(SEARCH("营",'18.04'!AE16)),(-$Y16+50*IF('18.04'!$AK16="是",'18.04'!$AZ$4,'18.04'!$AZ$3)),(VLOOKUP('18.04'!AE16,'18.04'!$AM$4:$AO$55,2,FALSE))*IF('18.04'!$AK16="是",'18.04'!$AZ$4,'18.04'!$AZ$3))</f>
        <v>0</v>
      </c>
      <c r="X16" s="4">
        <f>IF(ISNUMBER(SEARCH("营",'18.04'!AF16)),(-$Y16+50*IF('18.04'!$AK16="是",'18.04'!$AZ$4,'18.04'!$AZ$3)),(VLOOKUP('18.04'!AF16,'18.04'!$AM$4:$AO$55,2,FALSE))*IF('18.04'!$AK16="是",'18.04'!$AZ$4,'18.04'!$AZ$3))</f>
        <v>0</v>
      </c>
      <c r="Y16" s="77">
        <v>300</v>
      </c>
      <c r="Z16" s="90">
        <v>45651</v>
      </c>
    </row>
    <row r="17" spans="1:26">
      <c r="A17" s="4">
        <f>IF(ISNUMBER(SEARCH("营",'18.04'!I17)),(-$Y17+50*IF('18.04'!$AK17="是",'18.04'!$AZ$4,'18.04'!$AZ$3)),(VLOOKUP('18.04'!I17,'18.04'!$AM$4:$AO$55,2,FALSE))*IF('18.04'!$AK17="是",'18.04'!$AZ$4,'18.04'!$AZ$3))</f>
        <v>144</v>
      </c>
      <c r="B17" s="4">
        <f>IF(ISNUMBER(SEARCH("营",'18.04'!J17)),(-$Y17+50*IF('18.04'!$AK17="是",'18.04'!$AZ$4,'18.04'!$AZ$3)),(VLOOKUP('18.04'!J17,'18.04'!$AM$4:$AO$55,2,FALSE))*IF('18.04'!$AK17="是",'18.04'!$AZ$4,'18.04'!$AZ$3))</f>
        <v>144</v>
      </c>
      <c r="C17" s="4">
        <f>IF(ISNUMBER(SEARCH("营",'18.04'!K17)),(-$Y17+50*IF('18.04'!$AK17="是",'18.04'!$AZ$4,'18.04'!$AZ$3)),(VLOOKUP('18.04'!K17,'18.04'!$AM$4:$AO$55,2,FALSE))*IF('18.04'!$AK17="是",'18.04'!$AZ$4,'18.04'!$AZ$3))</f>
        <v>144</v>
      </c>
      <c r="D17" s="4">
        <f>IF(ISNUMBER(SEARCH("营",'18.04'!L17)),(-$Y17+50*IF('18.04'!$AK17="是",'18.04'!$AZ$4,'18.04'!$AZ$3)),(VLOOKUP('18.04'!L17,'18.04'!$AM$4:$AO$55,2,FALSE))*IF('18.04'!$AK17="是",'18.04'!$AZ$4,'18.04'!$AZ$3))</f>
        <v>144</v>
      </c>
      <c r="E17" s="4">
        <f>IF(ISNUMBER(SEARCH("营",'18.04'!M17)),(-$Y17+50*IF('18.04'!$AK17="是",'18.04'!$AZ$4,'18.04'!$AZ$3)),(VLOOKUP('18.04'!M17,'18.04'!$AM$4:$AO$55,2,FALSE))*IF('18.04'!$AK17="是",'18.04'!$AZ$4,'18.04'!$AZ$3))</f>
        <v>144</v>
      </c>
      <c r="F17" s="4">
        <f>IF(ISNUMBER(SEARCH("营",'18.04'!N17)),(-$Y17+50*IF('18.04'!$AK17="是",'18.04'!$AZ$4,'18.04'!$AZ$3)),(VLOOKUP('18.04'!N17,'18.04'!$AM$4:$AO$55,2,FALSE))*IF('18.04'!$AK17="是",'18.04'!$AZ$4,'18.04'!$AZ$3))</f>
        <v>160</v>
      </c>
      <c r="G17" s="4">
        <f>IF(ISNUMBER(SEARCH("营",'18.04'!O17)),(-$Y17+50*IF('18.04'!$AK17="是",'18.04'!$AZ$4,'18.04'!$AZ$3)),(VLOOKUP('18.04'!O17,'18.04'!$AM$4:$AO$55,2,FALSE))*IF('18.04'!$AK17="是",'18.04'!$AZ$4,'18.04'!$AZ$3))</f>
        <v>160</v>
      </c>
      <c r="H17" s="4">
        <f>IF(ISNUMBER(SEARCH("营",'18.04'!P17)),(-$Y17+50*IF('18.04'!$AK17="是",'18.04'!$AZ$4,'18.04'!$AZ$3)),(VLOOKUP('18.04'!P17,'18.04'!$AM$4:$AO$55,2,FALSE))*IF('18.04'!$AK17="是",'18.04'!$AZ$4,'18.04'!$AZ$3))</f>
        <v>-260</v>
      </c>
      <c r="I17" s="4">
        <f>IF(ISNUMBER(SEARCH("营",'18.04'!Q17)),(-$Y17+50*IF('18.04'!$AK17="是",'18.04'!$AZ$4,'18.04'!$AZ$3)),(VLOOKUP('18.04'!Q17,'18.04'!$AM$4:$AO$55,2,FALSE))*IF('18.04'!$AK17="是",'18.04'!$AZ$4,'18.04'!$AZ$3))</f>
        <v>144</v>
      </c>
      <c r="J17" s="4">
        <f>IF(ISNUMBER(SEARCH("营",'18.04'!R17)),(-$Y17+50*IF('18.04'!$AK17="是",'18.04'!$AZ$4,'18.04'!$AZ$3)),(VLOOKUP('18.04'!R17,'18.04'!$AM$4:$AO$55,2,FALSE))*IF('18.04'!$AK17="是",'18.04'!$AZ$4,'18.04'!$AZ$3))</f>
        <v>144</v>
      </c>
      <c r="K17" s="4">
        <f>IF(ISNUMBER(SEARCH("营",'18.04'!S17)),(-$Y17+50*IF('18.04'!$AK17="是",'18.04'!$AZ$4,'18.04'!$AZ$3)),(VLOOKUP('18.04'!S17,'18.04'!$AM$4:$AO$55,2,FALSE))*IF('18.04'!$AK17="是",'18.04'!$AZ$4,'18.04'!$AZ$3))</f>
        <v>144</v>
      </c>
      <c r="L17" s="4">
        <f>IF(ISNUMBER(SEARCH("营",'18.04'!T17)),(-$Y17+50*IF('18.04'!$AK17="是",'18.04'!$AZ$4,'18.04'!$AZ$3)),(VLOOKUP('18.04'!T17,'18.04'!$AM$4:$AO$55,2,FALSE))*IF('18.04'!$AK17="是",'18.04'!$AZ$4,'18.04'!$AZ$3))</f>
        <v>144</v>
      </c>
      <c r="M17" s="4">
        <f>IF(ISNUMBER(SEARCH("营",'18.04'!U17)),(-$Y17+50*IF('18.04'!$AK17="是",'18.04'!$AZ$4,'18.04'!$AZ$3)),(VLOOKUP('18.04'!U17,'18.04'!$AM$4:$AO$55,2,FALSE))*IF('18.04'!$AK17="是",'18.04'!$AZ$4,'18.04'!$AZ$3))</f>
        <v>-260</v>
      </c>
      <c r="N17" s="4">
        <f>IF(ISNUMBER(SEARCH("营",'18.04'!V17)),(-$Y17+50*IF('18.04'!$AK17="是",'18.04'!$AZ$4,'18.04'!$AZ$3)),(VLOOKUP('18.04'!V17,'18.04'!$AM$4:$AO$55,2,FALSE))*IF('18.04'!$AK17="是",'18.04'!$AZ$4,'18.04'!$AZ$3))</f>
        <v>0</v>
      </c>
      <c r="O17" s="4">
        <f>IF(ISNUMBER(SEARCH("营",'18.04'!W17)),(-$Y17+50*IF('18.04'!$AK17="是",'18.04'!$AZ$4,'18.04'!$AZ$3)),(VLOOKUP('18.04'!W17,'18.04'!$AM$4:$AO$55,2,FALSE))*IF('18.04'!$AK17="是",'18.04'!$AZ$4,'18.04'!$AZ$3))</f>
        <v>0</v>
      </c>
      <c r="P17" s="4">
        <f>IF(ISNUMBER(SEARCH("营",'18.04'!X17)),(-$Y17+50*IF('18.04'!$AK17="是",'18.04'!$AZ$4,'18.04'!$AZ$3)),(VLOOKUP('18.04'!X17,'18.04'!$AM$4:$AO$55,2,FALSE))*IF('18.04'!$AK17="是",'18.04'!$AZ$4,'18.04'!$AZ$3))</f>
        <v>0</v>
      </c>
      <c r="Q17" s="4">
        <f>IF(ISNUMBER(SEARCH("营",'18.04'!Y17)),(-$Y17+50*IF('18.04'!$AK17="是",'18.04'!$AZ$4,'18.04'!$AZ$3)),(VLOOKUP('18.04'!Y17,'18.04'!$AM$4:$AO$55,2,FALSE))*IF('18.04'!$AK17="是",'18.04'!$AZ$4,'18.04'!$AZ$3))</f>
        <v>160</v>
      </c>
      <c r="R17" s="4">
        <f>IF(ISNUMBER(SEARCH("营",'18.04'!Z17)),(-$Y17+50*IF('18.04'!$AK17="是",'18.04'!$AZ$4,'18.04'!$AZ$3)),(VLOOKUP('18.04'!Z17,'18.04'!$AM$4:$AO$55,2,FALSE))*IF('18.04'!$AK17="是",'18.04'!$AZ$4,'18.04'!$AZ$3))</f>
        <v>160</v>
      </c>
      <c r="S17" s="4">
        <f>IF(ISNUMBER(SEARCH("营",'18.04'!AA17)),(-$Y17+50*IF('18.04'!$AK17="是",'18.04'!$AZ$4,'18.04'!$AZ$3)),(VLOOKUP('18.04'!AA17,'18.04'!$AM$4:$AO$55,2,FALSE))*IF('18.04'!$AK17="是",'18.04'!$AZ$4,'18.04'!$AZ$3))</f>
        <v>144</v>
      </c>
      <c r="T17" s="4">
        <f>IF(ISNUMBER(SEARCH("营",'18.04'!AB17)),(-$Y17+50*IF('18.04'!$AK17="是",'18.04'!$AZ$4,'18.04'!$AZ$3)),(VLOOKUP('18.04'!AB17,'18.04'!$AM$4:$AO$55,2,FALSE))*IF('18.04'!$AK17="是",'18.04'!$AZ$4,'18.04'!$AZ$3))</f>
        <v>0</v>
      </c>
      <c r="U17" s="4">
        <f>IF(ISNUMBER(SEARCH("营",'18.04'!AC17)),(-$Y17+50*IF('18.04'!$AK17="是",'18.04'!$AZ$4,'18.04'!$AZ$3)),(VLOOKUP('18.04'!AC17,'18.04'!$AM$4:$AO$55,2,FALSE))*IF('18.04'!$AK17="是",'18.04'!$AZ$4,'18.04'!$AZ$3))</f>
        <v>0</v>
      </c>
      <c r="V17" s="4">
        <f>IF(ISNUMBER(SEARCH("营",'18.04'!AD17)),(-$Y17+50*IF('18.04'!$AK17="是",'18.04'!$AZ$4,'18.04'!$AZ$3)),(VLOOKUP('18.04'!AD17,'18.04'!$AM$4:$AO$55,2,FALSE))*IF('18.04'!$AK17="是",'18.04'!$AZ$4,'18.04'!$AZ$3))</f>
        <v>0</v>
      </c>
      <c r="W17" s="4">
        <f>IF(ISNUMBER(SEARCH("营",'18.04'!AE17)),(-$Y17+50*IF('18.04'!$AK17="是",'18.04'!$AZ$4,'18.04'!$AZ$3)),(VLOOKUP('18.04'!AE17,'18.04'!$AM$4:$AO$55,2,FALSE))*IF('18.04'!$AK17="是",'18.04'!$AZ$4,'18.04'!$AZ$3))</f>
        <v>0</v>
      </c>
      <c r="X17" s="4">
        <f>IF(ISNUMBER(SEARCH("营",'18.04'!AF17)),(-$Y17+50*IF('18.04'!$AK17="是",'18.04'!$AZ$4,'18.04'!$AZ$3)),(VLOOKUP('18.04'!AF17,'18.04'!$AM$4:$AO$55,2,FALSE))*IF('18.04'!$AK17="是",'18.04'!$AZ$4,'18.04'!$AZ$3))</f>
        <v>0</v>
      </c>
      <c r="Y17" s="77">
        <v>300</v>
      </c>
      <c r="Z17" s="90">
        <v>45652</v>
      </c>
    </row>
    <row r="18" spans="1:26">
      <c r="A18" s="4">
        <f>IF(ISNUMBER(SEARCH("营",'18.04'!I18)),(-$Y18+50*IF('18.04'!$AK18="是",'18.04'!$AZ$4,'18.04'!$AZ$3)),(VLOOKUP('18.04'!I18,'18.04'!$AM$4:$AO$55,2,FALSE))*IF('18.04'!$AK18="是",'18.04'!$AZ$4,'18.04'!$AZ$3))</f>
        <v>160</v>
      </c>
      <c r="B18" s="4">
        <f>IF(ISNUMBER(SEARCH("营",'18.04'!J18)),(-$Y18+50*IF('18.04'!$AK18="是",'18.04'!$AZ$4,'18.04'!$AZ$3)),(VLOOKUP('18.04'!J18,'18.04'!$AM$4:$AO$55,2,FALSE))*IF('18.04'!$AK18="是",'18.04'!$AZ$4,'18.04'!$AZ$3))</f>
        <v>160</v>
      </c>
      <c r="C18" s="4">
        <f>IF(ISNUMBER(SEARCH("营",'18.04'!K18)),(-$Y18+50*IF('18.04'!$AK18="是",'18.04'!$AZ$4,'18.04'!$AZ$3)),(VLOOKUP('18.04'!K18,'18.04'!$AM$4:$AO$55,2,FALSE))*IF('18.04'!$AK18="是",'18.04'!$AZ$4,'18.04'!$AZ$3))</f>
        <v>160</v>
      </c>
      <c r="D18" s="4">
        <f>IF(ISNUMBER(SEARCH("营",'18.04'!L18)),(-$Y18+50*IF('18.04'!$AK18="是",'18.04'!$AZ$4,'18.04'!$AZ$3)),(VLOOKUP('18.04'!L18,'18.04'!$AM$4:$AO$55,2,FALSE))*IF('18.04'!$AK18="是",'18.04'!$AZ$4,'18.04'!$AZ$3))</f>
        <v>160</v>
      </c>
      <c r="E18" s="4">
        <f>IF(ISNUMBER(SEARCH("营",'18.04'!M18)),(-$Y18+50*IF('18.04'!$AK18="是",'18.04'!$AZ$4,'18.04'!$AZ$3)),(VLOOKUP('18.04'!M18,'18.04'!$AM$4:$AO$55,2,FALSE))*IF('18.04'!$AK18="是",'18.04'!$AZ$4,'18.04'!$AZ$3))</f>
        <v>160</v>
      </c>
      <c r="F18" s="4">
        <f>IF(ISNUMBER(SEARCH("营",'18.04'!N18)),(-$Y18+50*IF('18.04'!$AK18="是",'18.04'!$AZ$4,'18.04'!$AZ$3)),(VLOOKUP('18.04'!N18,'18.04'!$AM$4:$AO$55,2,FALSE))*IF('18.04'!$AK18="是",'18.04'!$AZ$4,'18.04'!$AZ$3))</f>
        <v>160</v>
      </c>
      <c r="G18" s="4">
        <f>IF(ISNUMBER(SEARCH("营",'18.04'!O18)),(-$Y18+50*IF('18.04'!$AK18="是",'18.04'!$AZ$4,'18.04'!$AZ$3)),(VLOOKUP('18.04'!O18,'18.04'!$AM$4:$AO$55,2,FALSE))*IF('18.04'!$AK18="是",'18.04'!$AZ$4,'18.04'!$AZ$3))</f>
        <v>160</v>
      </c>
      <c r="H18" s="4">
        <f>IF(ISNUMBER(SEARCH("营",'18.04'!P18)),(-$Y18+50*IF('18.04'!$AK18="是",'18.04'!$AZ$4,'18.04'!$AZ$3)),(VLOOKUP('18.04'!P18,'18.04'!$AM$4:$AO$55,2,FALSE))*IF('18.04'!$AK18="是",'18.04'!$AZ$4,'18.04'!$AZ$3))</f>
        <v>160</v>
      </c>
      <c r="I18" s="4">
        <f>IF(ISNUMBER(SEARCH("营",'18.04'!Q18)),(-$Y18+50*IF('18.04'!$AK18="是",'18.04'!$AZ$4,'18.04'!$AZ$3)),(VLOOKUP('18.04'!Q18,'18.04'!$AM$4:$AO$55,2,FALSE))*IF('18.04'!$AK18="是",'18.04'!$AZ$4,'18.04'!$AZ$3))</f>
        <v>0</v>
      </c>
      <c r="J18" s="4">
        <f>IF(ISNUMBER(SEARCH("营",'18.04'!R18)),(-$Y18+50*IF('18.04'!$AK18="是",'18.04'!$AZ$4,'18.04'!$AZ$3)),(VLOOKUP('18.04'!R18,'18.04'!$AM$4:$AO$55,2,FALSE))*IF('18.04'!$AK18="是",'18.04'!$AZ$4,'18.04'!$AZ$3))</f>
        <v>0</v>
      </c>
      <c r="K18" s="4">
        <f>IF(ISNUMBER(SEARCH("营",'18.04'!S18)),(-$Y18+50*IF('18.04'!$AK18="是",'18.04'!$AZ$4,'18.04'!$AZ$3)),(VLOOKUP('18.04'!S18,'18.04'!$AM$4:$AO$55,2,FALSE))*IF('18.04'!$AK18="是",'18.04'!$AZ$4,'18.04'!$AZ$3))</f>
        <v>0</v>
      </c>
      <c r="L18" s="4">
        <f>IF(ISNUMBER(SEARCH("营",'18.04'!T18)),(-$Y18+50*IF('18.04'!$AK18="是",'18.04'!$AZ$4,'18.04'!$AZ$3)),(VLOOKUP('18.04'!T18,'18.04'!$AM$4:$AO$55,2,FALSE))*IF('18.04'!$AK18="是",'18.04'!$AZ$4,'18.04'!$AZ$3))</f>
        <v>0</v>
      </c>
      <c r="M18" s="4">
        <f>IF(ISNUMBER(SEARCH("营",'18.04'!U18)),(-$Y18+50*IF('18.04'!$AK18="是",'18.04'!$AZ$4,'18.04'!$AZ$3)),(VLOOKUP('18.04'!U18,'18.04'!$AM$4:$AO$55,2,FALSE))*IF('18.04'!$AK18="是",'18.04'!$AZ$4,'18.04'!$AZ$3))</f>
        <v>0</v>
      </c>
      <c r="N18" s="4">
        <f>IF(ISNUMBER(SEARCH("营",'18.04'!V18)),(-$Y18+50*IF('18.04'!$AK18="是",'18.04'!$AZ$4,'18.04'!$AZ$3)),(VLOOKUP('18.04'!V18,'18.04'!$AM$4:$AO$55,2,FALSE))*IF('18.04'!$AK18="是",'18.04'!$AZ$4,'18.04'!$AZ$3))</f>
        <v>0</v>
      </c>
      <c r="O18" s="4">
        <f>IF(ISNUMBER(SEARCH("营",'18.04'!W18)),(-$Y18+50*IF('18.04'!$AK18="是",'18.04'!$AZ$4,'18.04'!$AZ$3)),(VLOOKUP('18.04'!W18,'18.04'!$AM$4:$AO$55,2,FALSE))*IF('18.04'!$AK18="是",'18.04'!$AZ$4,'18.04'!$AZ$3))</f>
        <v>0</v>
      </c>
      <c r="P18" s="4">
        <f>IF(ISNUMBER(SEARCH("营",'18.04'!X18)),(-$Y18+50*IF('18.04'!$AK18="是",'18.04'!$AZ$4,'18.04'!$AZ$3)),(VLOOKUP('18.04'!X18,'18.04'!$AM$4:$AO$55,2,FALSE))*IF('18.04'!$AK18="是",'18.04'!$AZ$4,'18.04'!$AZ$3))</f>
        <v>0</v>
      </c>
      <c r="Q18" s="4">
        <f>IF(ISNUMBER(SEARCH("营",'18.04'!Y18)),(-$Y18+50*IF('18.04'!$AK18="是",'18.04'!$AZ$4,'18.04'!$AZ$3)),(VLOOKUP('18.04'!Y18,'18.04'!$AM$4:$AO$55,2,FALSE))*IF('18.04'!$AK18="是",'18.04'!$AZ$4,'18.04'!$AZ$3))</f>
        <v>144</v>
      </c>
      <c r="R18" s="4">
        <f>IF(ISNUMBER(SEARCH("营",'18.04'!Z18)),(-$Y18+50*IF('18.04'!$AK18="是",'18.04'!$AZ$4,'18.04'!$AZ$3)),(VLOOKUP('18.04'!Z18,'18.04'!$AM$4:$AO$55,2,FALSE))*IF('18.04'!$AK18="是",'18.04'!$AZ$4,'18.04'!$AZ$3))</f>
        <v>0</v>
      </c>
      <c r="S18" s="4">
        <f>IF(ISNUMBER(SEARCH("营",'18.04'!AA18)),(-$Y18+50*IF('18.04'!$AK18="是",'18.04'!$AZ$4,'18.04'!$AZ$3)),(VLOOKUP('18.04'!AA18,'18.04'!$AM$4:$AO$55,2,FALSE))*IF('18.04'!$AK18="是",'18.04'!$AZ$4,'18.04'!$AZ$3))</f>
        <v>0</v>
      </c>
      <c r="T18" s="4">
        <f>IF(ISNUMBER(SEARCH("营",'18.04'!AB18)),(-$Y18+50*IF('18.04'!$AK18="是",'18.04'!$AZ$4,'18.04'!$AZ$3)),(VLOOKUP('18.04'!AB18,'18.04'!$AM$4:$AO$55,2,FALSE))*IF('18.04'!$AK18="是",'18.04'!$AZ$4,'18.04'!$AZ$3))</f>
        <v>0</v>
      </c>
      <c r="U18" s="4">
        <f>IF(ISNUMBER(SEARCH("营",'18.04'!AC18)),(-$Y18+50*IF('18.04'!$AK18="是",'18.04'!$AZ$4,'18.04'!$AZ$3)),(VLOOKUP('18.04'!AC18,'18.04'!$AM$4:$AO$55,2,FALSE))*IF('18.04'!$AK18="是",'18.04'!$AZ$4,'18.04'!$AZ$3))</f>
        <v>0</v>
      </c>
      <c r="V18" s="4">
        <f>IF(ISNUMBER(SEARCH("营",'18.04'!AD18)),(-$Y18+50*IF('18.04'!$AK18="是",'18.04'!$AZ$4,'18.04'!$AZ$3)),(VLOOKUP('18.04'!AD18,'18.04'!$AM$4:$AO$55,2,FALSE))*IF('18.04'!$AK18="是",'18.04'!$AZ$4,'18.04'!$AZ$3))</f>
        <v>0</v>
      </c>
      <c r="W18" s="4">
        <f>IF(ISNUMBER(SEARCH("营",'18.04'!AE18)),(-$Y18+50*IF('18.04'!$AK18="是",'18.04'!$AZ$4,'18.04'!$AZ$3)),(VLOOKUP('18.04'!AE18,'18.04'!$AM$4:$AO$55,2,FALSE))*IF('18.04'!$AK18="是",'18.04'!$AZ$4,'18.04'!$AZ$3))</f>
        <v>0</v>
      </c>
      <c r="X18" s="4">
        <f>IF(ISNUMBER(SEARCH("营",'18.04'!AF18)),(-$Y18+50*IF('18.04'!$AK18="是",'18.04'!$AZ$4,'18.04'!$AZ$3)),(VLOOKUP('18.04'!AF18,'18.04'!$AM$4:$AO$55,2,FALSE))*IF('18.04'!$AK18="是",'18.04'!$AZ$4,'18.04'!$AZ$3))</f>
        <v>0</v>
      </c>
      <c r="Y18" s="79">
        <v>250</v>
      </c>
      <c r="Z18" s="99">
        <v>45653</v>
      </c>
    </row>
    <row r="19" spans="1:26">
      <c r="A19" s="4">
        <f>IF(ISNUMBER(SEARCH("营",'18.04'!I19)),(-$Y19+50*IF('18.04'!$AK19="是",'18.04'!$AZ$4,'18.04'!$AZ$3)),(VLOOKUP('18.04'!I19,'18.04'!$AM$4:$AO$55,2,FALSE))*IF('18.04'!$AK19="是",'18.04'!$AZ$4,'18.04'!$AZ$3))</f>
        <v>160</v>
      </c>
      <c r="B19" s="4">
        <f>IF(ISNUMBER(SEARCH("营",'18.04'!J19)),(-$Y19+50*IF('18.04'!$AK19="是",'18.04'!$AZ$4,'18.04'!$AZ$3)),(VLOOKUP('18.04'!J19,'18.04'!$AM$4:$AO$55,2,FALSE))*IF('18.04'!$AK19="是",'18.04'!$AZ$4,'18.04'!$AZ$3))</f>
        <v>200</v>
      </c>
      <c r="C19" s="4">
        <f>IF(ISNUMBER(SEARCH("营",'18.04'!K19)),(-$Y19+50*IF('18.04'!$AK19="是",'18.04'!$AZ$4,'18.04'!$AZ$3)),(VLOOKUP('18.04'!K19,'18.04'!$AM$4:$AO$55,2,FALSE))*IF('18.04'!$AK19="是",'18.04'!$AZ$4,'18.04'!$AZ$3))</f>
        <v>160</v>
      </c>
      <c r="D19" s="4">
        <f>IF(ISNUMBER(SEARCH("营",'18.04'!L19)),(-$Y19+50*IF('18.04'!$AK19="是",'18.04'!$AZ$4,'18.04'!$AZ$3)),(VLOOKUP('18.04'!L19,'18.04'!$AM$4:$AO$55,2,FALSE))*IF('18.04'!$AK19="是",'18.04'!$AZ$4,'18.04'!$AZ$3))</f>
        <v>160</v>
      </c>
      <c r="E19" s="4">
        <f>IF(ISNUMBER(SEARCH("营",'18.04'!M19)),(-$Y19+50*IF('18.04'!$AK19="是",'18.04'!$AZ$4,'18.04'!$AZ$3)),(VLOOKUP('18.04'!M19,'18.04'!$AM$4:$AO$55,2,FALSE))*IF('18.04'!$AK19="是",'18.04'!$AZ$4,'18.04'!$AZ$3))</f>
        <v>160</v>
      </c>
      <c r="F19" s="4">
        <f>IF(ISNUMBER(SEARCH("营",'18.04'!N19)),(-$Y19+50*IF('18.04'!$AK19="是",'18.04'!$AZ$4,'18.04'!$AZ$3)),(VLOOKUP('18.04'!N19,'18.04'!$AM$4:$AO$55,2,FALSE))*IF('18.04'!$AK19="是",'18.04'!$AZ$4,'18.04'!$AZ$3))</f>
        <v>160</v>
      </c>
      <c r="G19" s="4">
        <f>IF(ISNUMBER(SEARCH("营",'18.04'!O19)),(-$Y19+50*IF('18.04'!$AK19="是",'18.04'!$AZ$4,'18.04'!$AZ$3)),(VLOOKUP('18.04'!O19,'18.04'!$AM$4:$AO$55,2,FALSE))*IF('18.04'!$AK19="是",'18.04'!$AZ$4,'18.04'!$AZ$3))</f>
        <v>-210</v>
      </c>
      <c r="H19" s="4">
        <f>IF(ISNUMBER(SEARCH("营",'18.04'!P19)),(-$Y19+50*IF('18.04'!$AK19="是",'18.04'!$AZ$4,'18.04'!$AZ$3)),(VLOOKUP('18.04'!P19,'18.04'!$AM$4:$AO$55,2,FALSE))*IF('18.04'!$AK19="是",'18.04'!$AZ$4,'18.04'!$AZ$3))</f>
        <v>0</v>
      </c>
      <c r="I19" s="4">
        <f>IF(ISNUMBER(SEARCH("营",'18.04'!Q19)),(-$Y19+50*IF('18.04'!$AK19="是",'18.04'!$AZ$4,'18.04'!$AZ$3)),(VLOOKUP('18.04'!Q19,'18.04'!$AM$4:$AO$55,2,FALSE))*IF('18.04'!$AK19="是",'18.04'!$AZ$4,'18.04'!$AZ$3))</f>
        <v>136</v>
      </c>
      <c r="J19" s="4">
        <f>IF(ISNUMBER(SEARCH("营",'18.04'!R19)),(-$Y19+50*IF('18.04'!$AK19="是",'18.04'!$AZ$4,'18.04'!$AZ$3)),(VLOOKUP('18.04'!R19,'18.04'!$AM$4:$AO$55,2,FALSE))*IF('18.04'!$AK19="是",'18.04'!$AZ$4,'18.04'!$AZ$3))</f>
        <v>136</v>
      </c>
      <c r="K19" s="4">
        <f>IF(ISNUMBER(SEARCH("营",'18.04'!S19)),(-$Y19+50*IF('18.04'!$AK19="是",'18.04'!$AZ$4,'18.04'!$AZ$3)),(VLOOKUP('18.04'!S19,'18.04'!$AM$4:$AO$55,2,FALSE))*IF('18.04'!$AK19="是",'18.04'!$AZ$4,'18.04'!$AZ$3))</f>
        <v>152</v>
      </c>
      <c r="L19" s="4">
        <f>IF(ISNUMBER(SEARCH("营",'18.04'!T19)),(-$Y19+50*IF('18.04'!$AK19="是",'18.04'!$AZ$4,'18.04'!$AZ$3)),(VLOOKUP('18.04'!T19,'18.04'!$AM$4:$AO$55,2,FALSE))*IF('18.04'!$AK19="是",'18.04'!$AZ$4,'18.04'!$AZ$3))</f>
        <v>152</v>
      </c>
      <c r="M19" s="4">
        <f>IF(ISNUMBER(SEARCH("营",'18.04'!U19)),(-$Y19+50*IF('18.04'!$AK19="是",'18.04'!$AZ$4,'18.04'!$AZ$3)),(VLOOKUP('18.04'!U19,'18.04'!$AM$4:$AO$55,2,FALSE))*IF('18.04'!$AK19="是",'18.04'!$AZ$4,'18.04'!$AZ$3))</f>
        <v>152</v>
      </c>
      <c r="N19" s="4">
        <f>IF(ISNUMBER(SEARCH("营",'18.04'!V19)),(-$Y19+50*IF('18.04'!$AK19="是",'18.04'!$AZ$4,'18.04'!$AZ$3)),(VLOOKUP('18.04'!V19,'18.04'!$AM$4:$AO$55,2,FALSE))*IF('18.04'!$AK19="是",'18.04'!$AZ$4,'18.04'!$AZ$3))</f>
        <v>40</v>
      </c>
      <c r="O19" s="4">
        <f>IF(ISNUMBER(SEARCH("营",'18.04'!W19)),(-$Y19+50*IF('18.04'!$AK19="是",'18.04'!$AZ$4,'18.04'!$AZ$3)),(VLOOKUP('18.04'!W19,'18.04'!$AM$4:$AO$55,2,FALSE))*IF('18.04'!$AK19="是",'18.04'!$AZ$4,'18.04'!$AZ$3))</f>
        <v>152</v>
      </c>
      <c r="P19" s="4">
        <f>IF(ISNUMBER(SEARCH("营",'18.04'!X19)),(-$Y19+50*IF('18.04'!$AK19="是",'18.04'!$AZ$4,'18.04'!$AZ$3)),(VLOOKUP('18.04'!X19,'18.04'!$AM$4:$AO$55,2,FALSE))*IF('18.04'!$AK19="是",'18.04'!$AZ$4,'18.04'!$AZ$3))</f>
        <v>152</v>
      </c>
      <c r="Q19" s="4">
        <f>IF(ISNUMBER(SEARCH("营",'18.04'!Y19)),(-$Y19+50*IF('18.04'!$AK19="是",'18.04'!$AZ$4,'18.04'!$AZ$3)),(VLOOKUP('18.04'!Y19,'18.04'!$AM$4:$AO$55,2,FALSE))*IF('18.04'!$AK19="是",'18.04'!$AZ$4,'18.04'!$AZ$3))</f>
        <v>0</v>
      </c>
      <c r="R19" s="4">
        <f>IF(ISNUMBER(SEARCH("营",'18.04'!Z19)),(-$Y19+50*IF('18.04'!$AK19="是",'18.04'!$AZ$4,'18.04'!$AZ$3)),(VLOOKUP('18.04'!Z19,'18.04'!$AM$4:$AO$55,2,FALSE))*IF('18.04'!$AK19="是",'18.04'!$AZ$4,'18.04'!$AZ$3))</f>
        <v>0</v>
      </c>
      <c r="S19" s="4">
        <f>IF(ISNUMBER(SEARCH("营",'18.04'!AA19)),(-$Y19+50*IF('18.04'!$AK19="是",'18.04'!$AZ$4,'18.04'!$AZ$3)),(VLOOKUP('18.04'!AA19,'18.04'!$AM$4:$AO$55,2,FALSE))*IF('18.04'!$AK19="是",'18.04'!$AZ$4,'18.04'!$AZ$3))</f>
        <v>0</v>
      </c>
      <c r="T19" s="4">
        <f>IF(ISNUMBER(SEARCH("营",'18.04'!AB19)),(-$Y19+50*IF('18.04'!$AK19="是",'18.04'!$AZ$4,'18.04'!$AZ$3)),(VLOOKUP('18.04'!AB19,'18.04'!$AM$4:$AO$55,2,FALSE))*IF('18.04'!$AK19="是",'18.04'!$AZ$4,'18.04'!$AZ$3))</f>
        <v>0</v>
      </c>
      <c r="U19" s="4">
        <f>IF(ISNUMBER(SEARCH("营",'18.04'!AC19)),(-$Y19+50*IF('18.04'!$AK19="是",'18.04'!$AZ$4,'18.04'!$AZ$3)),(VLOOKUP('18.04'!AC19,'18.04'!$AM$4:$AO$55,2,FALSE))*IF('18.04'!$AK19="是",'18.04'!$AZ$4,'18.04'!$AZ$3))</f>
        <v>0</v>
      </c>
      <c r="V19" s="4">
        <f>IF(ISNUMBER(SEARCH("营",'18.04'!AD19)),(-$Y19+50*IF('18.04'!$AK19="是",'18.04'!$AZ$4,'18.04'!$AZ$3)),(VLOOKUP('18.04'!AD19,'18.04'!$AM$4:$AO$55,2,FALSE))*IF('18.04'!$AK19="是",'18.04'!$AZ$4,'18.04'!$AZ$3))</f>
        <v>0</v>
      </c>
      <c r="W19" s="4">
        <f>IF(ISNUMBER(SEARCH("营",'18.04'!AE19)),(-$Y19+50*IF('18.04'!$AK19="是",'18.04'!$AZ$4,'18.04'!$AZ$3)),(VLOOKUP('18.04'!AE19,'18.04'!$AM$4:$AO$55,2,FALSE))*IF('18.04'!$AK19="是",'18.04'!$AZ$4,'18.04'!$AZ$3))</f>
        <v>0</v>
      </c>
      <c r="X19" s="4">
        <f>IF(ISNUMBER(SEARCH("营",'18.04'!AF19)),(-$Y19+50*IF('18.04'!$AK19="是",'18.04'!$AZ$4,'18.04'!$AZ$3)),(VLOOKUP('18.04'!AF19,'18.04'!$AM$4:$AO$55,2,FALSE))*IF('18.04'!$AK19="是",'18.04'!$AZ$4,'18.04'!$AZ$3))</f>
        <v>0</v>
      </c>
      <c r="Y19" s="79">
        <v>250</v>
      </c>
      <c r="Z19" s="99">
        <v>45654</v>
      </c>
    </row>
    <row r="20" spans="1:26">
      <c r="A20" s="4">
        <f>IF(ISNUMBER(SEARCH("营",'18.04'!I20)),(-$Y20+50*IF('18.04'!$AK20="是",'18.04'!$AZ$4,'18.04'!$AZ$3)),(VLOOKUP('18.04'!I20,'18.04'!$AM$4:$AO$55,2,FALSE))*IF('18.04'!$AK20="是",'18.04'!$AZ$4,'18.04'!$AZ$3))</f>
        <v>160</v>
      </c>
      <c r="B20" s="4">
        <f>IF(ISNUMBER(SEARCH("营",'18.04'!J20)),(-$Y20+50*IF('18.04'!$AK20="是",'18.04'!$AZ$4,'18.04'!$AZ$3)),(VLOOKUP('18.04'!J20,'18.04'!$AM$4:$AO$55,2,FALSE))*IF('18.04'!$AK20="是",'18.04'!$AZ$4,'18.04'!$AZ$3))</f>
        <v>160</v>
      </c>
      <c r="C20" s="4">
        <f>IF(ISNUMBER(SEARCH("营",'18.04'!K20)),(-$Y20+50*IF('18.04'!$AK20="是",'18.04'!$AZ$4,'18.04'!$AZ$3)),(VLOOKUP('18.04'!K20,'18.04'!$AM$4:$AO$55,2,FALSE))*IF('18.04'!$AK20="是",'18.04'!$AZ$4,'18.04'!$AZ$3))</f>
        <v>160</v>
      </c>
      <c r="D20" s="4">
        <f>IF(ISNUMBER(SEARCH("营",'18.04'!L20)),(-$Y20+50*IF('18.04'!$AK20="是",'18.04'!$AZ$4,'18.04'!$AZ$3)),(VLOOKUP('18.04'!L20,'18.04'!$AM$4:$AO$55,2,FALSE))*IF('18.04'!$AK20="是",'18.04'!$AZ$4,'18.04'!$AZ$3))</f>
        <v>160</v>
      </c>
      <c r="E20" s="4">
        <f>IF(ISNUMBER(SEARCH("营",'18.04'!M20)),(-$Y20+50*IF('18.04'!$AK20="是",'18.04'!$AZ$4,'18.04'!$AZ$3)),(VLOOKUP('18.04'!M20,'18.04'!$AM$4:$AO$55,2,FALSE))*IF('18.04'!$AK20="是",'18.04'!$AZ$4,'18.04'!$AZ$3))</f>
        <v>160</v>
      </c>
      <c r="F20" s="4">
        <f>IF(ISNUMBER(SEARCH("营",'18.04'!N20)),(-$Y20+50*IF('18.04'!$AK20="是",'18.04'!$AZ$4,'18.04'!$AZ$3)),(VLOOKUP('18.04'!N20,'18.04'!$AM$4:$AO$55,2,FALSE))*IF('18.04'!$AK20="是",'18.04'!$AZ$4,'18.04'!$AZ$3))</f>
        <v>160</v>
      </c>
      <c r="G20" s="4">
        <f>IF(ISNUMBER(SEARCH("营",'18.04'!O20)),(-$Y20+50*IF('18.04'!$AK20="是",'18.04'!$AZ$4,'18.04'!$AZ$3)),(VLOOKUP('18.04'!O20,'18.04'!$AM$4:$AO$55,2,FALSE))*IF('18.04'!$AK20="是",'18.04'!$AZ$4,'18.04'!$AZ$3))</f>
        <v>160</v>
      </c>
      <c r="H20" s="4">
        <f>IF(ISNUMBER(SEARCH("营",'18.04'!P20)),(-$Y20+50*IF('18.04'!$AK20="是",'18.04'!$AZ$4,'18.04'!$AZ$3)),(VLOOKUP('18.04'!P20,'18.04'!$AM$4:$AO$55,2,FALSE))*IF('18.04'!$AK20="是",'18.04'!$AZ$4,'18.04'!$AZ$3))</f>
        <v>0</v>
      </c>
      <c r="I20" s="4">
        <f>IF(ISNUMBER(SEARCH("营",'18.04'!Q20)),(-$Y20+50*IF('18.04'!$AK20="是",'18.04'!$AZ$4,'18.04'!$AZ$3)),(VLOOKUP('18.04'!Q20,'18.04'!$AM$4:$AO$55,2,FALSE))*IF('18.04'!$AK20="是",'18.04'!$AZ$4,'18.04'!$AZ$3))</f>
        <v>152</v>
      </c>
      <c r="J20" s="4">
        <f>IF(ISNUMBER(SEARCH("营",'18.04'!R20)),(-$Y20+50*IF('18.04'!$AK20="是",'18.04'!$AZ$4,'18.04'!$AZ$3)),(VLOOKUP('18.04'!R20,'18.04'!$AM$4:$AO$55,2,FALSE))*IF('18.04'!$AK20="是",'18.04'!$AZ$4,'18.04'!$AZ$3))</f>
        <v>152</v>
      </c>
      <c r="K20" s="4">
        <f>IF(ISNUMBER(SEARCH("营",'18.04'!S20)),(-$Y20+50*IF('18.04'!$AK20="是",'18.04'!$AZ$4,'18.04'!$AZ$3)),(VLOOKUP('18.04'!S20,'18.04'!$AM$4:$AO$55,2,FALSE))*IF('18.04'!$AK20="是",'18.04'!$AZ$4,'18.04'!$AZ$3))</f>
        <v>152</v>
      </c>
      <c r="L20" s="4">
        <f>IF(ISNUMBER(SEARCH("营",'18.04'!T20)),(-$Y20+50*IF('18.04'!$AK20="是",'18.04'!$AZ$4,'18.04'!$AZ$3)),(VLOOKUP('18.04'!T20,'18.04'!$AM$4:$AO$55,2,FALSE))*IF('18.04'!$AK20="是",'18.04'!$AZ$4,'18.04'!$AZ$3))</f>
        <v>152</v>
      </c>
      <c r="M20" s="4">
        <f>IF(ISNUMBER(SEARCH("营",'18.04'!U20)),(-$Y20+50*IF('18.04'!$AK20="是",'18.04'!$AZ$4,'18.04'!$AZ$3)),(VLOOKUP('18.04'!U20,'18.04'!$AM$4:$AO$55,2,FALSE))*IF('18.04'!$AK20="是",'18.04'!$AZ$4,'18.04'!$AZ$3))</f>
        <v>-210</v>
      </c>
      <c r="N20" s="4">
        <f>IF(ISNUMBER(SEARCH("营",'18.04'!V20)),(-$Y20+50*IF('18.04'!$AK20="是",'18.04'!$AZ$4,'18.04'!$AZ$3)),(VLOOKUP('18.04'!V20,'18.04'!$AM$4:$AO$55,2,FALSE))*IF('18.04'!$AK20="是",'18.04'!$AZ$4,'18.04'!$AZ$3))</f>
        <v>0</v>
      </c>
      <c r="O20" s="4">
        <f>IF(ISNUMBER(SEARCH("营",'18.04'!W20)),(-$Y20+50*IF('18.04'!$AK20="是",'18.04'!$AZ$4,'18.04'!$AZ$3)),(VLOOKUP('18.04'!W20,'18.04'!$AM$4:$AO$55,2,FALSE))*IF('18.04'!$AK20="是",'18.04'!$AZ$4,'18.04'!$AZ$3))</f>
        <v>0</v>
      </c>
      <c r="P20" s="4">
        <f>IF(ISNUMBER(SEARCH("营",'18.04'!X20)),(-$Y20+50*IF('18.04'!$AK20="是",'18.04'!$AZ$4,'18.04'!$AZ$3)),(VLOOKUP('18.04'!X20,'18.04'!$AM$4:$AO$55,2,FALSE))*IF('18.04'!$AK20="是",'18.04'!$AZ$4,'18.04'!$AZ$3))</f>
        <v>0</v>
      </c>
      <c r="Q20" s="4">
        <f>IF(ISNUMBER(SEARCH("营",'18.04'!Y20)),(-$Y20+50*IF('18.04'!$AK20="是",'18.04'!$AZ$4,'18.04'!$AZ$3)),(VLOOKUP('18.04'!Y20,'18.04'!$AM$4:$AO$55,2,FALSE))*IF('18.04'!$AK20="是",'18.04'!$AZ$4,'18.04'!$AZ$3))</f>
        <v>0</v>
      </c>
      <c r="R20" s="4">
        <f>IF(ISNUMBER(SEARCH("营",'18.04'!Z20)),(-$Y20+50*IF('18.04'!$AK20="是",'18.04'!$AZ$4,'18.04'!$AZ$3)),(VLOOKUP('18.04'!Z20,'18.04'!$AM$4:$AO$55,2,FALSE))*IF('18.04'!$AK20="是",'18.04'!$AZ$4,'18.04'!$AZ$3))</f>
        <v>0</v>
      </c>
      <c r="S20" s="4">
        <f>IF(ISNUMBER(SEARCH("营",'18.04'!AA20)),(-$Y20+50*IF('18.04'!$AK20="是",'18.04'!$AZ$4,'18.04'!$AZ$3)),(VLOOKUP('18.04'!AA20,'18.04'!$AM$4:$AO$55,2,FALSE))*IF('18.04'!$AK20="是",'18.04'!$AZ$4,'18.04'!$AZ$3))</f>
        <v>0</v>
      </c>
      <c r="T20" s="4">
        <f>IF(ISNUMBER(SEARCH("营",'18.04'!AB20)),(-$Y20+50*IF('18.04'!$AK20="是",'18.04'!$AZ$4,'18.04'!$AZ$3)),(VLOOKUP('18.04'!AB20,'18.04'!$AM$4:$AO$55,2,FALSE))*IF('18.04'!$AK20="是",'18.04'!$AZ$4,'18.04'!$AZ$3))</f>
        <v>0</v>
      </c>
      <c r="U20" s="4">
        <f>IF(ISNUMBER(SEARCH("营",'18.04'!AC20)),(-$Y20+50*IF('18.04'!$AK20="是",'18.04'!$AZ$4,'18.04'!$AZ$3)),(VLOOKUP('18.04'!AC20,'18.04'!$AM$4:$AO$55,2,FALSE))*IF('18.04'!$AK20="是",'18.04'!$AZ$4,'18.04'!$AZ$3))</f>
        <v>0</v>
      </c>
      <c r="V20" s="4">
        <f>IF(ISNUMBER(SEARCH("营",'18.04'!AD20)),(-$Y20+50*IF('18.04'!$AK20="是",'18.04'!$AZ$4,'18.04'!$AZ$3)),(VLOOKUP('18.04'!AD20,'18.04'!$AM$4:$AO$55,2,FALSE))*IF('18.04'!$AK20="是",'18.04'!$AZ$4,'18.04'!$AZ$3))</f>
        <v>0</v>
      </c>
      <c r="W20" s="4">
        <f>IF(ISNUMBER(SEARCH("营",'18.04'!AE20)),(-$Y20+50*IF('18.04'!$AK20="是",'18.04'!$AZ$4,'18.04'!$AZ$3)),(VLOOKUP('18.04'!AE20,'18.04'!$AM$4:$AO$55,2,FALSE))*IF('18.04'!$AK20="是",'18.04'!$AZ$4,'18.04'!$AZ$3))</f>
        <v>0</v>
      </c>
      <c r="X20" s="4">
        <f>IF(ISNUMBER(SEARCH("营",'18.04'!AF20)),(-$Y20+50*IF('18.04'!$AK20="是",'18.04'!$AZ$4,'18.04'!$AZ$3)),(VLOOKUP('18.04'!AF20,'18.04'!$AM$4:$AO$55,2,FALSE))*IF('18.04'!$AK20="是",'18.04'!$AZ$4,'18.04'!$AZ$3))</f>
        <v>0</v>
      </c>
      <c r="Y20" s="79">
        <v>250</v>
      </c>
      <c r="Z20" s="99">
        <v>45655</v>
      </c>
    </row>
    <row r="21" spans="1:26">
      <c r="A21" s="4">
        <f>IF(ISNUMBER(SEARCH("营",'18.04'!I21)),(-$Y21+50*IF('18.04'!$AK21="是",'18.04'!$AZ$4,'18.04'!$AZ$3)),(VLOOKUP('18.04'!I21,'18.04'!$AM$4:$AO$55,2,FALSE))*IF('18.04'!$AK21="是",'18.04'!$AZ$4,'18.04'!$AZ$3))</f>
        <v>160</v>
      </c>
      <c r="B21" s="4">
        <f>IF(ISNUMBER(SEARCH("营",'18.04'!J21)),(-$Y21+50*IF('18.04'!$AK21="是",'18.04'!$AZ$4,'18.04'!$AZ$3)),(VLOOKUP('18.04'!J21,'18.04'!$AM$4:$AO$55,2,FALSE))*IF('18.04'!$AK21="是",'18.04'!$AZ$4,'18.04'!$AZ$3))</f>
        <v>160</v>
      </c>
      <c r="C21" s="4">
        <f>IF(ISNUMBER(SEARCH("营",'18.04'!K21)),(-$Y21+50*IF('18.04'!$AK21="是",'18.04'!$AZ$4,'18.04'!$AZ$3)),(VLOOKUP('18.04'!K21,'18.04'!$AM$4:$AO$55,2,FALSE))*IF('18.04'!$AK21="是",'18.04'!$AZ$4,'18.04'!$AZ$3))</f>
        <v>160</v>
      </c>
      <c r="D21" s="4">
        <f>IF(ISNUMBER(SEARCH("营",'18.04'!L21)),(-$Y21+50*IF('18.04'!$AK21="是",'18.04'!$AZ$4,'18.04'!$AZ$3)),(VLOOKUP('18.04'!L21,'18.04'!$AM$4:$AO$55,2,FALSE))*IF('18.04'!$AK21="是",'18.04'!$AZ$4,'18.04'!$AZ$3))</f>
        <v>160</v>
      </c>
      <c r="E21" s="4">
        <f>IF(ISNUMBER(SEARCH("营",'18.04'!M21)),(-$Y21+50*IF('18.04'!$AK21="是",'18.04'!$AZ$4,'18.04'!$AZ$3)),(VLOOKUP('18.04'!M21,'18.04'!$AM$4:$AO$55,2,FALSE))*IF('18.04'!$AK21="是",'18.04'!$AZ$4,'18.04'!$AZ$3))</f>
        <v>160</v>
      </c>
      <c r="F21" s="4">
        <f>IF(ISNUMBER(SEARCH("营",'18.04'!N21)),(-$Y21+50*IF('18.04'!$AK21="是",'18.04'!$AZ$4,'18.04'!$AZ$3)),(VLOOKUP('18.04'!N21,'18.04'!$AM$4:$AO$55,2,FALSE))*IF('18.04'!$AK21="是",'18.04'!$AZ$4,'18.04'!$AZ$3))</f>
        <v>160</v>
      </c>
      <c r="G21" s="4">
        <f>IF(ISNUMBER(SEARCH("营",'18.04'!O21)),(-$Y21+50*IF('18.04'!$AK21="是",'18.04'!$AZ$4,'18.04'!$AZ$3)),(VLOOKUP('18.04'!O21,'18.04'!$AM$4:$AO$55,2,FALSE))*IF('18.04'!$AK21="是",'18.04'!$AZ$4,'18.04'!$AZ$3))</f>
        <v>160</v>
      </c>
      <c r="H21" s="4">
        <f>IF(ISNUMBER(SEARCH("营",'18.04'!P21)),(-$Y21+50*IF('18.04'!$AK21="是",'18.04'!$AZ$4,'18.04'!$AZ$3)),(VLOOKUP('18.04'!P21,'18.04'!$AM$4:$AO$55,2,FALSE))*IF('18.04'!$AK21="是",'18.04'!$AZ$4,'18.04'!$AZ$3))</f>
        <v>0</v>
      </c>
      <c r="I21" s="4">
        <f>IF(ISNUMBER(SEARCH("营",'18.04'!Q21)),(-$Y21+50*IF('18.04'!$AK21="是",'18.04'!$AZ$4,'18.04'!$AZ$3)),(VLOOKUP('18.04'!Q21,'18.04'!$AM$4:$AO$55,2,FALSE))*IF('18.04'!$AK21="是",'18.04'!$AZ$4,'18.04'!$AZ$3))</f>
        <v>0</v>
      </c>
      <c r="J21" s="4">
        <f>IF(ISNUMBER(SEARCH("营",'18.04'!R21)),(-$Y21+50*IF('18.04'!$AK21="是",'18.04'!$AZ$4,'18.04'!$AZ$3)),(VLOOKUP('18.04'!R21,'18.04'!$AM$4:$AO$55,2,FALSE))*IF('18.04'!$AK21="是",'18.04'!$AZ$4,'18.04'!$AZ$3))</f>
        <v>0</v>
      </c>
      <c r="K21" s="4">
        <f>IF(ISNUMBER(SEARCH("营",'18.04'!S21)),(-$Y21+50*IF('18.04'!$AK21="是",'18.04'!$AZ$4,'18.04'!$AZ$3)),(VLOOKUP('18.04'!S21,'18.04'!$AM$4:$AO$55,2,FALSE))*IF('18.04'!$AK21="是",'18.04'!$AZ$4,'18.04'!$AZ$3))</f>
        <v>0</v>
      </c>
      <c r="L21" s="4">
        <f>IF(ISNUMBER(SEARCH("营",'18.04'!T21)),(-$Y21+50*IF('18.04'!$AK21="是",'18.04'!$AZ$4,'18.04'!$AZ$3)),(VLOOKUP('18.04'!T21,'18.04'!$AM$4:$AO$55,2,FALSE))*IF('18.04'!$AK21="是",'18.04'!$AZ$4,'18.04'!$AZ$3))</f>
        <v>0</v>
      </c>
      <c r="M21" s="4">
        <f>IF(ISNUMBER(SEARCH("营",'18.04'!U21)),(-$Y21+50*IF('18.04'!$AK21="是",'18.04'!$AZ$4,'18.04'!$AZ$3)),(VLOOKUP('18.04'!U21,'18.04'!$AM$4:$AO$55,2,FALSE))*IF('18.04'!$AK21="是",'18.04'!$AZ$4,'18.04'!$AZ$3))</f>
        <v>0</v>
      </c>
      <c r="N21" s="4">
        <f>IF(ISNUMBER(SEARCH("营",'18.04'!V21)),(-$Y21+50*IF('18.04'!$AK21="是",'18.04'!$AZ$4,'18.04'!$AZ$3)),(VLOOKUP('18.04'!V21,'18.04'!$AM$4:$AO$55,2,FALSE))*IF('18.04'!$AK21="是",'18.04'!$AZ$4,'18.04'!$AZ$3))</f>
        <v>0</v>
      </c>
      <c r="O21" s="4">
        <f>IF(ISNUMBER(SEARCH("营",'18.04'!W21)),(-$Y21+50*IF('18.04'!$AK21="是",'18.04'!$AZ$4,'18.04'!$AZ$3)),(VLOOKUP('18.04'!W21,'18.04'!$AM$4:$AO$55,2,FALSE))*IF('18.04'!$AK21="是",'18.04'!$AZ$4,'18.04'!$AZ$3))</f>
        <v>0</v>
      </c>
      <c r="P21" s="4">
        <f>IF(ISNUMBER(SEARCH("营",'18.04'!X21)),(-$Y21+50*IF('18.04'!$AK21="是",'18.04'!$AZ$4,'18.04'!$AZ$3)),(VLOOKUP('18.04'!X21,'18.04'!$AM$4:$AO$55,2,FALSE))*IF('18.04'!$AK21="是",'18.04'!$AZ$4,'18.04'!$AZ$3))</f>
        <v>0</v>
      </c>
      <c r="Q21" s="4">
        <f>IF(ISNUMBER(SEARCH("营",'18.04'!Y21)),(-$Y21+50*IF('18.04'!$AK21="是",'18.04'!$AZ$4,'18.04'!$AZ$3)),(VLOOKUP('18.04'!Y21,'18.04'!$AM$4:$AO$55,2,FALSE))*IF('18.04'!$AK21="是",'18.04'!$AZ$4,'18.04'!$AZ$3))</f>
        <v>144</v>
      </c>
      <c r="R21" s="4">
        <f>IF(ISNUMBER(SEARCH("营",'18.04'!Z21)),(-$Y21+50*IF('18.04'!$AK21="是",'18.04'!$AZ$4,'18.04'!$AZ$3)),(VLOOKUP('18.04'!Z21,'18.04'!$AM$4:$AO$55,2,FALSE))*IF('18.04'!$AK21="是",'18.04'!$AZ$4,'18.04'!$AZ$3))</f>
        <v>160</v>
      </c>
      <c r="S21" s="4">
        <f>IF(ISNUMBER(SEARCH("营",'18.04'!AA21)),(-$Y21+50*IF('18.04'!$AK21="是",'18.04'!$AZ$4,'18.04'!$AZ$3)),(VLOOKUP('18.04'!AA21,'18.04'!$AM$4:$AO$55,2,FALSE))*IF('18.04'!$AK21="是",'18.04'!$AZ$4,'18.04'!$AZ$3))</f>
        <v>144</v>
      </c>
      <c r="T21" s="4">
        <f>IF(ISNUMBER(SEARCH("营",'18.04'!AB21)),(-$Y21+50*IF('18.04'!$AK21="是",'18.04'!$AZ$4,'18.04'!$AZ$3)),(VLOOKUP('18.04'!AB21,'18.04'!$AM$4:$AO$55,2,FALSE))*IF('18.04'!$AK21="是",'18.04'!$AZ$4,'18.04'!$AZ$3))</f>
        <v>0</v>
      </c>
      <c r="U21" s="4">
        <f>IF(ISNUMBER(SEARCH("营",'18.04'!AC21)),(-$Y21+50*IF('18.04'!$AK21="是",'18.04'!$AZ$4,'18.04'!$AZ$3)),(VLOOKUP('18.04'!AC21,'18.04'!$AM$4:$AO$55,2,FALSE))*IF('18.04'!$AK21="是",'18.04'!$AZ$4,'18.04'!$AZ$3))</f>
        <v>0</v>
      </c>
      <c r="V21" s="4">
        <f>IF(ISNUMBER(SEARCH("营",'18.04'!AD21)),(-$Y21+50*IF('18.04'!$AK21="是",'18.04'!$AZ$4,'18.04'!$AZ$3)),(VLOOKUP('18.04'!AD21,'18.04'!$AM$4:$AO$55,2,FALSE))*IF('18.04'!$AK21="是",'18.04'!$AZ$4,'18.04'!$AZ$3))</f>
        <v>0</v>
      </c>
      <c r="W21" s="4">
        <f>IF(ISNUMBER(SEARCH("营",'18.04'!AE21)),(-$Y21+50*IF('18.04'!$AK21="是",'18.04'!$AZ$4,'18.04'!$AZ$3)),(VLOOKUP('18.04'!AE21,'18.04'!$AM$4:$AO$55,2,FALSE))*IF('18.04'!$AK21="是",'18.04'!$AZ$4,'18.04'!$AZ$3))</f>
        <v>0</v>
      </c>
      <c r="X21" s="4">
        <f>IF(ISNUMBER(SEARCH("营",'18.04'!AF21)),(-$Y21+50*IF('18.04'!$AK21="是",'18.04'!$AZ$4,'18.04'!$AZ$3)),(VLOOKUP('18.04'!AF21,'18.04'!$AM$4:$AO$55,2,FALSE))*IF('18.04'!$AK21="是",'18.04'!$AZ$4,'18.04'!$AZ$3))</f>
        <v>0</v>
      </c>
      <c r="Y21" s="79">
        <v>250</v>
      </c>
      <c r="Z21" s="99">
        <v>45656</v>
      </c>
    </row>
    <row r="22" spans="1:26">
      <c r="A22" s="4">
        <f>IF(ISNUMBER(SEARCH("营",'18.04'!I22)),(-$Y22+50*IF('18.04'!$AK22="是",'18.04'!$AZ$4,'18.04'!$AZ$3)),(VLOOKUP('18.04'!I22,'18.04'!$AM$4:$AO$55,2,FALSE))*IF('18.04'!$AK22="是",'18.04'!$AZ$4,'18.04'!$AZ$3))</f>
        <v>136</v>
      </c>
      <c r="B22" s="4">
        <f>IF(ISNUMBER(SEARCH("营",'18.04'!J22)),(-$Y22+50*IF('18.04'!$AK22="是",'18.04'!$AZ$4,'18.04'!$AZ$3)),(VLOOKUP('18.04'!J22,'18.04'!$AM$4:$AO$55,2,FALSE))*IF('18.04'!$AK22="是",'18.04'!$AZ$4,'18.04'!$AZ$3))</f>
        <v>136</v>
      </c>
      <c r="C22" s="4">
        <f>IF(ISNUMBER(SEARCH("营",'18.04'!K22)),(-$Y22+50*IF('18.04'!$AK22="是",'18.04'!$AZ$4,'18.04'!$AZ$3)),(VLOOKUP('18.04'!K22,'18.04'!$AM$4:$AO$55,2,FALSE))*IF('18.04'!$AK22="是",'18.04'!$AZ$4,'18.04'!$AZ$3))</f>
        <v>136</v>
      </c>
      <c r="D22" s="4">
        <f>IF(ISNUMBER(SEARCH("营",'18.04'!L22)),(-$Y22+50*IF('18.04'!$AK22="是",'18.04'!$AZ$4,'18.04'!$AZ$3)),(VLOOKUP('18.04'!L22,'18.04'!$AM$4:$AO$55,2,FALSE))*IF('18.04'!$AK22="是",'18.04'!$AZ$4,'18.04'!$AZ$3))</f>
        <v>136</v>
      </c>
      <c r="E22" s="4">
        <f>IF(ISNUMBER(SEARCH("营",'18.04'!M22)),(-$Y22+50*IF('18.04'!$AK22="是",'18.04'!$AZ$4,'18.04'!$AZ$3)),(VLOOKUP('18.04'!M22,'18.04'!$AM$4:$AO$55,2,FALSE))*IF('18.04'!$AK22="是",'18.04'!$AZ$4,'18.04'!$AZ$3))</f>
        <v>136</v>
      </c>
      <c r="F22" s="4">
        <f>IF(ISNUMBER(SEARCH("营",'18.04'!N22)),(-$Y22+50*IF('18.04'!$AK22="是",'18.04'!$AZ$4,'18.04'!$AZ$3)),(VLOOKUP('18.04'!N22,'18.04'!$AM$4:$AO$55,2,FALSE))*IF('18.04'!$AK22="是",'18.04'!$AZ$4,'18.04'!$AZ$3))</f>
        <v>136</v>
      </c>
      <c r="G22" s="4">
        <f>IF(ISNUMBER(SEARCH("营",'18.04'!O22)),(-$Y22+50*IF('18.04'!$AK22="是",'18.04'!$AZ$4,'18.04'!$AZ$3)),(VLOOKUP('18.04'!O22,'18.04'!$AM$4:$AO$55,2,FALSE))*IF('18.04'!$AK22="是",'18.04'!$AZ$4,'18.04'!$AZ$3))</f>
        <v>0</v>
      </c>
      <c r="H22" s="4">
        <f>IF(ISNUMBER(SEARCH("营",'18.04'!P22)),(-$Y22+50*IF('18.04'!$AK22="是",'18.04'!$AZ$4,'18.04'!$AZ$3)),(VLOOKUP('18.04'!P22,'18.04'!$AM$4:$AO$55,2,FALSE))*IF('18.04'!$AK22="是",'18.04'!$AZ$4,'18.04'!$AZ$3))</f>
        <v>0</v>
      </c>
      <c r="I22" s="4">
        <f>IF(ISNUMBER(SEARCH("营",'18.04'!Q22)),(-$Y22+50*IF('18.04'!$AK22="是",'18.04'!$AZ$4,'18.04'!$AZ$3)),(VLOOKUP('18.04'!Q22,'18.04'!$AM$4:$AO$55,2,FALSE))*IF('18.04'!$AK22="是",'18.04'!$AZ$4,'18.04'!$AZ$3))</f>
        <v>0</v>
      </c>
      <c r="J22" s="4">
        <f>IF(ISNUMBER(SEARCH("营",'18.04'!R22)),(-$Y22+50*IF('18.04'!$AK22="是",'18.04'!$AZ$4,'18.04'!$AZ$3)),(VLOOKUP('18.04'!R22,'18.04'!$AM$4:$AO$55,2,FALSE))*IF('18.04'!$AK22="是",'18.04'!$AZ$4,'18.04'!$AZ$3))</f>
        <v>0</v>
      </c>
      <c r="K22" s="4">
        <f>IF(ISNUMBER(SEARCH("营",'18.04'!S22)),(-$Y22+50*IF('18.04'!$AK22="是",'18.04'!$AZ$4,'18.04'!$AZ$3)),(VLOOKUP('18.04'!S22,'18.04'!$AM$4:$AO$55,2,FALSE))*IF('18.04'!$AK22="是",'18.04'!$AZ$4,'18.04'!$AZ$3))</f>
        <v>0</v>
      </c>
      <c r="L22" s="4">
        <f>IF(ISNUMBER(SEARCH("营",'18.04'!T22)),(-$Y22+50*IF('18.04'!$AK22="是",'18.04'!$AZ$4,'18.04'!$AZ$3)),(VLOOKUP('18.04'!T22,'18.04'!$AM$4:$AO$55,2,FALSE))*IF('18.04'!$AK22="是",'18.04'!$AZ$4,'18.04'!$AZ$3))</f>
        <v>0</v>
      </c>
      <c r="M22" s="4">
        <f>IF(ISNUMBER(SEARCH("营",'18.04'!U22)),(-$Y22+50*IF('18.04'!$AK22="是",'18.04'!$AZ$4,'18.04'!$AZ$3)),(VLOOKUP('18.04'!U22,'18.04'!$AM$4:$AO$55,2,FALSE))*IF('18.04'!$AK22="是",'18.04'!$AZ$4,'18.04'!$AZ$3))</f>
        <v>0</v>
      </c>
      <c r="N22" s="4">
        <f>IF(ISNUMBER(SEARCH("营",'18.04'!V22)),(-$Y22+50*IF('18.04'!$AK22="是",'18.04'!$AZ$4,'18.04'!$AZ$3)),(VLOOKUP('18.04'!V22,'18.04'!$AM$4:$AO$55,2,FALSE))*IF('18.04'!$AK22="是",'18.04'!$AZ$4,'18.04'!$AZ$3))</f>
        <v>0</v>
      </c>
      <c r="O22" s="4">
        <f>IF(ISNUMBER(SEARCH("营",'18.04'!W22)),(-$Y22+50*IF('18.04'!$AK22="是",'18.04'!$AZ$4,'18.04'!$AZ$3)),(VLOOKUP('18.04'!W22,'18.04'!$AM$4:$AO$55,2,FALSE))*IF('18.04'!$AK22="是",'18.04'!$AZ$4,'18.04'!$AZ$3))</f>
        <v>0</v>
      </c>
      <c r="P22" s="4">
        <f>IF(ISNUMBER(SEARCH("营",'18.04'!X22)),(-$Y22+50*IF('18.04'!$AK22="是",'18.04'!$AZ$4,'18.04'!$AZ$3)),(VLOOKUP('18.04'!X22,'18.04'!$AM$4:$AO$55,2,FALSE))*IF('18.04'!$AK22="是",'18.04'!$AZ$4,'18.04'!$AZ$3))</f>
        <v>0</v>
      </c>
      <c r="Q22" s="4">
        <f>IF(ISNUMBER(SEARCH("营",'18.04'!Y22)),(-$Y22+50*IF('18.04'!$AK22="是",'18.04'!$AZ$4,'18.04'!$AZ$3)),(VLOOKUP('18.04'!Y22,'18.04'!$AM$4:$AO$55,2,FALSE))*IF('18.04'!$AK22="是",'18.04'!$AZ$4,'18.04'!$AZ$3))</f>
        <v>160</v>
      </c>
      <c r="R22" s="4">
        <f>IF(ISNUMBER(SEARCH("营",'18.04'!Z22)),(-$Y22+50*IF('18.04'!$AK22="是",'18.04'!$AZ$4,'18.04'!$AZ$3)),(VLOOKUP('18.04'!Z22,'18.04'!$AM$4:$AO$55,2,FALSE))*IF('18.04'!$AK22="是",'18.04'!$AZ$4,'18.04'!$AZ$3))</f>
        <v>160</v>
      </c>
      <c r="S22" s="4">
        <f>IF(ISNUMBER(SEARCH("营",'18.04'!AA22)),(-$Y22+50*IF('18.04'!$AK22="是",'18.04'!$AZ$4,'18.04'!$AZ$3)),(VLOOKUP('18.04'!AA22,'18.04'!$AM$4:$AO$55,2,FALSE))*IF('18.04'!$AK22="是",'18.04'!$AZ$4,'18.04'!$AZ$3))</f>
        <v>152</v>
      </c>
      <c r="T22" s="4">
        <f>IF(ISNUMBER(SEARCH("营",'18.04'!AB22)),(-$Y22+50*IF('18.04'!$AK22="是",'18.04'!$AZ$4,'18.04'!$AZ$3)),(VLOOKUP('18.04'!AB22,'18.04'!$AM$4:$AO$55,2,FALSE))*IF('18.04'!$AK22="是",'18.04'!$AZ$4,'18.04'!$AZ$3))</f>
        <v>152</v>
      </c>
      <c r="U22" s="4">
        <f>IF(ISNUMBER(SEARCH("营",'18.04'!AC22)),(-$Y22+50*IF('18.04'!$AK22="是",'18.04'!$AZ$4,'18.04'!$AZ$3)),(VLOOKUP('18.04'!AC22,'18.04'!$AM$4:$AO$55,2,FALSE))*IF('18.04'!$AK22="是",'18.04'!$AZ$4,'18.04'!$AZ$3))</f>
        <v>152</v>
      </c>
      <c r="V22" s="4">
        <f>IF(ISNUMBER(SEARCH("营",'18.04'!AD22)),(-$Y22+50*IF('18.04'!$AK22="是",'18.04'!$AZ$4,'18.04'!$AZ$3)),(VLOOKUP('18.04'!AD22,'18.04'!$AM$4:$AO$55,2,FALSE))*IF('18.04'!$AK22="是",'18.04'!$AZ$4,'18.04'!$AZ$3))</f>
        <v>0</v>
      </c>
      <c r="W22" s="4">
        <f>IF(ISNUMBER(SEARCH("营",'18.04'!AE22)),(-$Y22+50*IF('18.04'!$AK22="是",'18.04'!$AZ$4,'18.04'!$AZ$3)),(VLOOKUP('18.04'!AE22,'18.04'!$AM$4:$AO$55,2,FALSE))*IF('18.04'!$AK22="是",'18.04'!$AZ$4,'18.04'!$AZ$3))</f>
        <v>0</v>
      </c>
      <c r="X22" s="4">
        <f>IF(ISNUMBER(SEARCH("营",'18.04'!AF22)),(-$Y22+50*IF('18.04'!$AK22="是",'18.04'!$AZ$4,'18.04'!$AZ$3)),(VLOOKUP('18.04'!AF22,'18.04'!$AM$4:$AO$55,2,FALSE))*IF('18.04'!$AK22="是",'18.04'!$AZ$4,'18.04'!$AZ$3))</f>
        <v>0</v>
      </c>
      <c r="Y22" s="79">
        <v>250</v>
      </c>
      <c r="Z22" s="99">
        <v>45657</v>
      </c>
    </row>
    <row r="23" spans="1:26">
      <c r="A23" s="4">
        <f>IF(ISNUMBER(SEARCH("营",'18.04'!I23)),(-$Y23+50*IF('18.04'!$AK23="是",'18.04'!$AZ$4,'18.04'!$AZ$3)),(VLOOKUP('18.04'!I23,'18.04'!$AM$4:$AO$55,2,FALSE))*IF('18.04'!$AK23="是",'18.04'!$AZ$4,'18.04'!$AZ$3))</f>
        <v>136</v>
      </c>
      <c r="B23" s="4">
        <f>IF(ISNUMBER(SEARCH("营",'18.04'!J23)),(-$Y23+50*IF('18.04'!$AK23="是",'18.04'!$AZ$4,'18.04'!$AZ$3)),(VLOOKUP('18.04'!J23,'18.04'!$AM$4:$AO$55,2,FALSE))*IF('18.04'!$AK23="是",'18.04'!$AZ$4,'18.04'!$AZ$3))</f>
        <v>136</v>
      </c>
      <c r="C23" s="4">
        <f>IF(ISNUMBER(SEARCH("营",'18.04'!K23)),(-$Y23+50*IF('18.04'!$AK23="是",'18.04'!$AZ$4,'18.04'!$AZ$3)),(VLOOKUP('18.04'!K23,'18.04'!$AM$4:$AO$55,2,FALSE))*IF('18.04'!$AK23="是",'18.04'!$AZ$4,'18.04'!$AZ$3))</f>
        <v>136</v>
      </c>
      <c r="D23" s="4">
        <f>IF(ISNUMBER(SEARCH("营",'18.04'!L23)),(-$Y23+50*IF('18.04'!$AK23="是",'18.04'!$AZ$4,'18.04'!$AZ$3)),(VLOOKUP('18.04'!L23,'18.04'!$AM$4:$AO$55,2,FALSE))*IF('18.04'!$AK23="是",'18.04'!$AZ$4,'18.04'!$AZ$3))</f>
        <v>136</v>
      </c>
      <c r="E23" s="4">
        <f>IF(ISNUMBER(SEARCH("营",'18.04'!M23)),(-$Y23+50*IF('18.04'!$AK23="是",'18.04'!$AZ$4,'18.04'!$AZ$3)),(VLOOKUP('18.04'!M23,'18.04'!$AM$4:$AO$55,2,FALSE))*IF('18.04'!$AK23="是",'18.04'!$AZ$4,'18.04'!$AZ$3))</f>
        <v>144</v>
      </c>
      <c r="F23" s="4">
        <f>IF(ISNUMBER(SEARCH("营",'18.04'!N23)),(-$Y23+50*IF('18.04'!$AK23="是",'18.04'!$AZ$4,'18.04'!$AZ$3)),(VLOOKUP('18.04'!N23,'18.04'!$AM$4:$AO$55,2,FALSE))*IF('18.04'!$AK23="是",'18.04'!$AZ$4,'18.04'!$AZ$3))</f>
        <v>0</v>
      </c>
      <c r="G23" s="4">
        <f>IF(ISNUMBER(SEARCH("营",'18.04'!O23)),(-$Y23+50*IF('18.04'!$AK23="是",'18.04'!$AZ$4,'18.04'!$AZ$3)),(VLOOKUP('18.04'!O23,'18.04'!$AM$4:$AO$55,2,FALSE))*IF('18.04'!$AK23="是",'18.04'!$AZ$4,'18.04'!$AZ$3))</f>
        <v>0</v>
      </c>
      <c r="H23" s="4">
        <f>IF(ISNUMBER(SEARCH("营",'18.04'!P23)),(-$Y23+50*IF('18.04'!$AK23="是",'18.04'!$AZ$4,'18.04'!$AZ$3)),(VLOOKUP('18.04'!P23,'18.04'!$AM$4:$AO$55,2,FALSE))*IF('18.04'!$AK23="是",'18.04'!$AZ$4,'18.04'!$AZ$3))</f>
        <v>0</v>
      </c>
      <c r="I23" s="4">
        <f>IF(ISNUMBER(SEARCH("营",'18.04'!Q23)),(-$Y23+50*IF('18.04'!$AK23="是",'18.04'!$AZ$4,'18.04'!$AZ$3)),(VLOOKUP('18.04'!Q23,'18.04'!$AM$4:$AO$55,2,FALSE))*IF('18.04'!$AK23="是",'18.04'!$AZ$4,'18.04'!$AZ$3))</f>
        <v>0</v>
      </c>
      <c r="J23" s="4">
        <f>IF(ISNUMBER(SEARCH("营",'18.04'!R23)),(-$Y23+50*IF('18.04'!$AK23="是",'18.04'!$AZ$4,'18.04'!$AZ$3)),(VLOOKUP('18.04'!R23,'18.04'!$AM$4:$AO$55,2,FALSE))*IF('18.04'!$AK23="是",'18.04'!$AZ$4,'18.04'!$AZ$3))</f>
        <v>0</v>
      </c>
      <c r="K23" s="4">
        <f>IF(ISNUMBER(SEARCH("营",'18.04'!S23)),(-$Y23+50*IF('18.04'!$AK23="是",'18.04'!$AZ$4,'18.04'!$AZ$3)),(VLOOKUP('18.04'!S23,'18.04'!$AM$4:$AO$55,2,FALSE))*IF('18.04'!$AK23="是",'18.04'!$AZ$4,'18.04'!$AZ$3))</f>
        <v>0</v>
      </c>
      <c r="L23" s="4">
        <f>IF(ISNUMBER(SEARCH("营",'18.04'!T23)),(-$Y23+50*IF('18.04'!$AK23="是",'18.04'!$AZ$4,'18.04'!$AZ$3)),(VLOOKUP('18.04'!T23,'18.04'!$AM$4:$AO$55,2,FALSE))*IF('18.04'!$AK23="是",'18.04'!$AZ$4,'18.04'!$AZ$3))</f>
        <v>0</v>
      </c>
      <c r="M23" s="4">
        <f>IF(ISNUMBER(SEARCH("营",'18.04'!U23)),(-$Y23+50*IF('18.04'!$AK23="是",'18.04'!$AZ$4,'18.04'!$AZ$3)),(VLOOKUP('18.04'!U23,'18.04'!$AM$4:$AO$55,2,FALSE))*IF('18.04'!$AK23="是",'18.04'!$AZ$4,'18.04'!$AZ$3))</f>
        <v>0</v>
      </c>
      <c r="N23" s="4">
        <f>IF(ISNUMBER(SEARCH("营",'18.04'!V23)),(-$Y23+50*IF('18.04'!$AK23="是",'18.04'!$AZ$4,'18.04'!$AZ$3)),(VLOOKUP('18.04'!V23,'18.04'!$AM$4:$AO$55,2,FALSE))*IF('18.04'!$AK23="是",'18.04'!$AZ$4,'18.04'!$AZ$3))</f>
        <v>0</v>
      </c>
      <c r="O23" s="4">
        <f>IF(ISNUMBER(SEARCH("营",'18.04'!W23)),(-$Y23+50*IF('18.04'!$AK23="是",'18.04'!$AZ$4,'18.04'!$AZ$3)),(VLOOKUP('18.04'!W23,'18.04'!$AM$4:$AO$55,2,FALSE))*IF('18.04'!$AK23="是",'18.04'!$AZ$4,'18.04'!$AZ$3))</f>
        <v>0</v>
      </c>
      <c r="P23" s="4">
        <f>IF(ISNUMBER(SEARCH("营",'18.04'!X23)),(-$Y23+50*IF('18.04'!$AK23="是",'18.04'!$AZ$4,'18.04'!$AZ$3)),(VLOOKUP('18.04'!X23,'18.04'!$AM$4:$AO$55,2,FALSE))*IF('18.04'!$AK23="是",'18.04'!$AZ$4,'18.04'!$AZ$3))</f>
        <v>0</v>
      </c>
      <c r="Q23" s="4">
        <f>IF(ISNUMBER(SEARCH("营",'18.04'!Y23)),(-$Y23+50*IF('18.04'!$AK23="是",'18.04'!$AZ$4,'18.04'!$AZ$3)),(VLOOKUP('18.04'!Y23,'18.04'!$AM$4:$AO$55,2,FALSE))*IF('18.04'!$AK23="是",'18.04'!$AZ$4,'18.04'!$AZ$3))</f>
        <v>152</v>
      </c>
      <c r="R23" s="4">
        <f>IF(ISNUMBER(SEARCH("营",'18.04'!Z23)),(-$Y23+50*IF('18.04'!$AK23="是",'18.04'!$AZ$4,'18.04'!$AZ$3)),(VLOOKUP('18.04'!Z23,'18.04'!$AM$4:$AO$55,2,FALSE))*IF('18.04'!$AK23="是",'18.04'!$AZ$4,'18.04'!$AZ$3))</f>
        <v>152</v>
      </c>
      <c r="S23" s="4">
        <f>IF(ISNUMBER(SEARCH("营",'18.04'!AA23)),(-$Y23+50*IF('18.04'!$AK23="是",'18.04'!$AZ$4,'18.04'!$AZ$3)),(VLOOKUP('18.04'!AA23,'18.04'!$AM$4:$AO$55,2,FALSE))*IF('18.04'!$AK23="是",'18.04'!$AZ$4,'18.04'!$AZ$3))</f>
        <v>152</v>
      </c>
      <c r="T23" s="4">
        <f>IF(ISNUMBER(SEARCH("营",'18.04'!AB23)),(-$Y23+50*IF('18.04'!$AK23="是",'18.04'!$AZ$4,'18.04'!$AZ$3)),(VLOOKUP('18.04'!AB23,'18.04'!$AM$4:$AO$55,2,FALSE))*IF('18.04'!$AK23="是",'18.04'!$AZ$4,'18.04'!$AZ$3))</f>
        <v>152</v>
      </c>
      <c r="U23" s="4">
        <f>IF(ISNUMBER(SEARCH("营",'18.04'!AC23)),(-$Y23+50*IF('18.04'!$AK23="是",'18.04'!$AZ$4,'18.04'!$AZ$3)),(VLOOKUP('18.04'!AC23,'18.04'!$AM$4:$AO$55,2,FALSE))*IF('18.04'!$AK23="是",'18.04'!$AZ$4,'18.04'!$AZ$3))</f>
        <v>152</v>
      </c>
      <c r="V23" s="4">
        <f>IF(ISNUMBER(SEARCH("营",'18.04'!AD23)),(-$Y23+50*IF('18.04'!$AK23="是",'18.04'!$AZ$4,'18.04'!$AZ$3)),(VLOOKUP('18.04'!AD23,'18.04'!$AM$4:$AO$55,2,FALSE))*IF('18.04'!$AK23="是",'18.04'!$AZ$4,'18.04'!$AZ$3))</f>
        <v>152</v>
      </c>
      <c r="W23" s="4">
        <f>IF(ISNUMBER(SEARCH("营",'18.04'!AE23)),(-$Y23+50*IF('18.04'!$AK23="是",'18.04'!$AZ$4,'18.04'!$AZ$3)),(VLOOKUP('18.04'!AE23,'18.04'!$AM$4:$AO$55,2,FALSE))*IF('18.04'!$AK23="是",'18.04'!$AZ$4,'18.04'!$AZ$3))</f>
        <v>0</v>
      </c>
      <c r="X23" s="4">
        <f>IF(ISNUMBER(SEARCH("营",'18.04'!AF23)),(-$Y23+50*IF('18.04'!$AK23="是",'18.04'!$AZ$4,'18.04'!$AZ$3)),(VLOOKUP('18.04'!AF23,'18.04'!$AM$4:$AO$55,2,FALSE))*IF('18.04'!$AK23="是",'18.04'!$AZ$4,'18.04'!$AZ$3))</f>
        <v>0</v>
      </c>
      <c r="Y23" s="79">
        <v>250</v>
      </c>
      <c r="Z23" s="99">
        <v>45658</v>
      </c>
    </row>
    <row r="24" spans="1:26">
      <c r="A24" s="4">
        <f>IF(ISNUMBER(SEARCH("营",'18.04'!I24)),(-$Y24+50*IF('18.04'!$AK24="是",'18.04'!$AZ$4,'18.04'!$AZ$3)),(VLOOKUP('18.04'!I24,'18.04'!$AM$4:$AO$55,2,FALSE))*IF('18.04'!$AK24="是",'18.04'!$AZ$4,'18.04'!$AZ$3))</f>
        <v>144</v>
      </c>
      <c r="B24" s="4">
        <f>IF(ISNUMBER(SEARCH("营",'18.04'!J24)),(-$Y24+50*IF('18.04'!$AK24="是",'18.04'!$AZ$4,'18.04'!$AZ$3)),(VLOOKUP('18.04'!J24,'18.04'!$AM$4:$AO$55,2,FALSE))*IF('18.04'!$AK24="是",'18.04'!$AZ$4,'18.04'!$AZ$3))</f>
        <v>40</v>
      </c>
      <c r="C24" s="4">
        <f>IF(ISNUMBER(SEARCH("营",'18.04'!K24)),(-$Y24+50*IF('18.04'!$AK24="是",'18.04'!$AZ$4,'18.04'!$AZ$3)),(VLOOKUP('18.04'!K24,'18.04'!$AM$4:$AO$55,2,FALSE))*IF('18.04'!$AK24="是",'18.04'!$AZ$4,'18.04'!$AZ$3))</f>
        <v>144</v>
      </c>
      <c r="D24" s="4">
        <f>IF(ISNUMBER(SEARCH("营",'18.04'!L24)),(-$Y24+50*IF('18.04'!$AK24="是",'18.04'!$AZ$4,'18.04'!$AZ$3)),(VLOOKUP('18.04'!L24,'18.04'!$AM$4:$AO$55,2,FALSE))*IF('18.04'!$AK24="是",'18.04'!$AZ$4,'18.04'!$AZ$3))</f>
        <v>144</v>
      </c>
      <c r="E24" s="4">
        <f>IF(ISNUMBER(SEARCH("营",'18.04'!M24)),(-$Y24+50*IF('18.04'!$AK24="是",'18.04'!$AZ$4,'18.04'!$AZ$3)),(VLOOKUP('18.04'!M24,'18.04'!$AM$4:$AO$55,2,FALSE))*IF('18.04'!$AK24="是",'18.04'!$AZ$4,'18.04'!$AZ$3))</f>
        <v>144</v>
      </c>
      <c r="F24" s="4">
        <f>IF(ISNUMBER(SEARCH("营",'18.04'!N24)),(-$Y24+50*IF('18.04'!$AK24="是",'18.04'!$AZ$4,'18.04'!$AZ$3)),(VLOOKUP('18.04'!N24,'18.04'!$AM$4:$AO$55,2,FALSE))*IF('18.04'!$AK24="是",'18.04'!$AZ$4,'18.04'!$AZ$3))</f>
        <v>144</v>
      </c>
      <c r="G24" s="4">
        <f>IF(ISNUMBER(SEARCH("营",'18.04'!O24)),(-$Y24+50*IF('18.04'!$AK24="是",'18.04'!$AZ$4,'18.04'!$AZ$3)),(VLOOKUP('18.04'!O24,'18.04'!$AM$4:$AO$55,2,FALSE))*IF('18.04'!$AK24="是",'18.04'!$AZ$4,'18.04'!$AZ$3))</f>
        <v>144</v>
      </c>
      <c r="H24" s="4">
        <f>IF(ISNUMBER(SEARCH("营",'18.04'!P24)),(-$Y24+50*IF('18.04'!$AK24="是",'18.04'!$AZ$4,'18.04'!$AZ$3)),(VLOOKUP('18.04'!P24,'18.04'!$AM$4:$AO$55,2,FALSE))*IF('18.04'!$AK24="是",'18.04'!$AZ$4,'18.04'!$AZ$3))</f>
        <v>-210</v>
      </c>
      <c r="I24" s="4">
        <f>IF(ISNUMBER(SEARCH("营",'18.04'!Q24)),(-$Y24+50*IF('18.04'!$AK24="是",'18.04'!$AZ$4,'18.04'!$AZ$3)),(VLOOKUP('18.04'!Q24,'18.04'!$AM$4:$AO$55,2,FALSE))*IF('18.04'!$AK24="是",'18.04'!$AZ$4,'18.04'!$AZ$3))</f>
        <v>0</v>
      </c>
      <c r="J24" s="4">
        <f>IF(ISNUMBER(SEARCH("营",'18.04'!R24)),(-$Y24+50*IF('18.04'!$AK24="是",'18.04'!$AZ$4,'18.04'!$AZ$3)),(VLOOKUP('18.04'!R24,'18.04'!$AM$4:$AO$55,2,FALSE))*IF('18.04'!$AK24="是",'18.04'!$AZ$4,'18.04'!$AZ$3))</f>
        <v>0</v>
      </c>
      <c r="K24" s="4">
        <f>IF(ISNUMBER(SEARCH("营",'18.04'!S24)),(-$Y24+50*IF('18.04'!$AK24="是",'18.04'!$AZ$4,'18.04'!$AZ$3)),(VLOOKUP('18.04'!S24,'18.04'!$AM$4:$AO$55,2,FALSE))*IF('18.04'!$AK24="是",'18.04'!$AZ$4,'18.04'!$AZ$3))</f>
        <v>0</v>
      </c>
      <c r="L24" s="4">
        <f>IF(ISNUMBER(SEARCH("营",'18.04'!T24)),(-$Y24+50*IF('18.04'!$AK24="是",'18.04'!$AZ$4,'18.04'!$AZ$3)),(VLOOKUP('18.04'!T24,'18.04'!$AM$4:$AO$55,2,FALSE))*IF('18.04'!$AK24="是",'18.04'!$AZ$4,'18.04'!$AZ$3))</f>
        <v>0</v>
      </c>
      <c r="M24" s="4">
        <f>IF(ISNUMBER(SEARCH("营",'18.04'!U24)),(-$Y24+50*IF('18.04'!$AK24="是",'18.04'!$AZ$4,'18.04'!$AZ$3)),(VLOOKUP('18.04'!U24,'18.04'!$AM$4:$AO$55,2,FALSE))*IF('18.04'!$AK24="是",'18.04'!$AZ$4,'18.04'!$AZ$3))</f>
        <v>0</v>
      </c>
      <c r="N24" s="4">
        <f>IF(ISNUMBER(SEARCH("营",'18.04'!V24)),(-$Y24+50*IF('18.04'!$AK24="是",'18.04'!$AZ$4,'18.04'!$AZ$3)),(VLOOKUP('18.04'!V24,'18.04'!$AM$4:$AO$55,2,FALSE))*IF('18.04'!$AK24="是",'18.04'!$AZ$4,'18.04'!$AZ$3))</f>
        <v>0</v>
      </c>
      <c r="O24" s="4">
        <f>IF(ISNUMBER(SEARCH("营",'18.04'!W24)),(-$Y24+50*IF('18.04'!$AK24="是",'18.04'!$AZ$4,'18.04'!$AZ$3)),(VLOOKUP('18.04'!W24,'18.04'!$AM$4:$AO$55,2,FALSE))*IF('18.04'!$AK24="是",'18.04'!$AZ$4,'18.04'!$AZ$3))</f>
        <v>0</v>
      </c>
      <c r="P24" s="4">
        <f>IF(ISNUMBER(SEARCH("营",'18.04'!X24)),(-$Y24+50*IF('18.04'!$AK24="是",'18.04'!$AZ$4,'18.04'!$AZ$3)),(VLOOKUP('18.04'!X24,'18.04'!$AM$4:$AO$55,2,FALSE))*IF('18.04'!$AK24="是",'18.04'!$AZ$4,'18.04'!$AZ$3))</f>
        <v>0</v>
      </c>
      <c r="Q24" s="4">
        <f>IF(ISNUMBER(SEARCH("营",'18.04'!Y24)),(-$Y24+50*IF('18.04'!$AK24="是",'18.04'!$AZ$4,'18.04'!$AZ$3)),(VLOOKUP('18.04'!Y24,'18.04'!$AM$4:$AO$55,2,FALSE))*IF('18.04'!$AK24="是",'18.04'!$AZ$4,'18.04'!$AZ$3))</f>
        <v>152</v>
      </c>
      <c r="R24" s="4">
        <f>IF(ISNUMBER(SEARCH("营",'18.04'!Z24)),(-$Y24+50*IF('18.04'!$AK24="是",'18.04'!$AZ$4,'18.04'!$AZ$3)),(VLOOKUP('18.04'!Z24,'18.04'!$AM$4:$AO$55,2,FALSE))*IF('18.04'!$AK24="是",'18.04'!$AZ$4,'18.04'!$AZ$3))</f>
        <v>152</v>
      </c>
      <c r="S24" s="4">
        <f>IF(ISNUMBER(SEARCH("营",'18.04'!AA24)),(-$Y24+50*IF('18.04'!$AK24="是",'18.04'!$AZ$4,'18.04'!$AZ$3)),(VLOOKUP('18.04'!AA24,'18.04'!$AM$4:$AO$55,2,FALSE))*IF('18.04'!$AK24="是",'18.04'!$AZ$4,'18.04'!$AZ$3))</f>
        <v>152</v>
      </c>
      <c r="T24" s="4">
        <f>IF(ISNUMBER(SEARCH("营",'18.04'!AB24)),(-$Y24+50*IF('18.04'!$AK24="是",'18.04'!$AZ$4,'18.04'!$AZ$3)),(VLOOKUP('18.04'!AB24,'18.04'!$AM$4:$AO$55,2,FALSE))*IF('18.04'!$AK24="是",'18.04'!$AZ$4,'18.04'!$AZ$3))</f>
        <v>-210</v>
      </c>
      <c r="U24" s="4">
        <f>IF(ISNUMBER(SEARCH("营",'18.04'!AC24)),(-$Y24+50*IF('18.04'!$AK24="是",'18.04'!$AZ$4,'18.04'!$AZ$3)),(VLOOKUP('18.04'!AC24,'18.04'!$AM$4:$AO$55,2,FALSE))*IF('18.04'!$AK24="是",'18.04'!$AZ$4,'18.04'!$AZ$3))</f>
        <v>0</v>
      </c>
      <c r="V24" s="4">
        <f>IF(ISNUMBER(SEARCH("营",'18.04'!AD24)),(-$Y24+50*IF('18.04'!$AK24="是",'18.04'!$AZ$4,'18.04'!$AZ$3)),(VLOOKUP('18.04'!AD24,'18.04'!$AM$4:$AO$55,2,FALSE))*IF('18.04'!$AK24="是",'18.04'!$AZ$4,'18.04'!$AZ$3))</f>
        <v>0</v>
      </c>
      <c r="W24" s="4">
        <f>IF(ISNUMBER(SEARCH("营",'18.04'!AE24)),(-$Y24+50*IF('18.04'!$AK24="是",'18.04'!$AZ$4,'18.04'!$AZ$3)),(VLOOKUP('18.04'!AE24,'18.04'!$AM$4:$AO$55,2,FALSE))*IF('18.04'!$AK24="是",'18.04'!$AZ$4,'18.04'!$AZ$3))</f>
        <v>0</v>
      </c>
      <c r="X24" s="4">
        <f>IF(ISNUMBER(SEARCH("营",'18.04'!AF24)),(-$Y24+50*IF('18.04'!$AK24="是",'18.04'!$AZ$4,'18.04'!$AZ$3)),(VLOOKUP('18.04'!AF24,'18.04'!$AM$4:$AO$55,2,FALSE))*IF('18.04'!$AK24="是",'18.04'!$AZ$4,'18.04'!$AZ$3))</f>
        <v>0</v>
      </c>
      <c r="Y24" s="79">
        <v>250</v>
      </c>
      <c r="Z24" s="99">
        <v>45659</v>
      </c>
    </row>
    <row r="25" spans="1:26">
      <c r="A25" s="4">
        <f>IF(ISNUMBER(SEARCH("营",'18.04'!I25)),(-$Y25+50*IF('18.04'!$AK25="是",'18.04'!$AZ$4,'18.04'!$AZ$3)),(VLOOKUP('18.04'!I25,'18.04'!$AM$4:$AO$55,2,FALSE))*IF('18.04'!$AK25="是",'18.04'!$AZ$4,'18.04'!$AZ$3))</f>
        <v>0</v>
      </c>
      <c r="B25" s="4">
        <f>IF(ISNUMBER(SEARCH("营",'18.04'!J25)),(-$Y25+50*IF('18.04'!$AK25="是",'18.04'!$AZ$4,'18.04'!$AZ$3)),(VLOOKUP('18.04'!J25,'18.04'!$AM$4:$AO$55,2,FALSE))*IF('18.04'!$AK25="是",'18.04'!$AZ$4,'18.04'!$AZ$3))</f>
        <v>0</v>
      </c>
      <c r="C25" s="4">
        <f>IF(ISNUMBER(SEARCH("营",'18.04'!K25)),(-$Y25+50*IF('18.04'!$AK25="是",'18.04'!$AZ$4,'18.04'!$AZ$3)),(VLOOKUP('18.04'!K25,'18.04'!$AM$4:$AO$55,2,FALSE))*IF('18.04'!$AK25="是",'18.04'!$AZ$4,'18.04'!$AZ$3))</f>
        <v>0</v>
      </c>
      <c r="D25" s="4">
        <f>IF(ISNUMBER(SEARCH("营",'18.04'!L25)),(-$Y25+50*IF('18.04'!$AK25="是",'18.04'!$AZ$4,'18.04'!$AZ$3)),(VLOOKUP('18.04'!L25,'18.04'!$AM$4:$AO$55,2,FALSE))*IF('18.04'!$AK25="是",'18.04'!$AZ$4,'18.04'!$AZ$3))</f>
        <v>0</v>
      </c>
      <c r="E25" s="4">
        <f>IF(ISNUMBER(SEARCH("营",'18.04'!M25)),(-$Y25+50*IF('18.04'!$AK25="是",'18.04'!$AZ$4,'18.04'!$AZ$3)),(VLOOKUP('18.04'!M25,'18.04'!$AM$4:$AO$55,2,FALSE))*IF('18.04'!$AK25="是",'18.04'!$AZ$4,'18.04'!$AZ$3))</f>
        <v>0</v>
      </c>
      <c r="F25" s="4">
        <f>IF(ISNUMBER(SEARCH("营",'18.04'!N25)),(-$Y25+50*IF('18.04'!$AK25="是",'18.04'!$AZ$4,'18.04'!$AZ$3)),(VLOOKUP('18.04'!N25,'18.04'!$AM$4:$AO$55,2,FALSE))*IF('18.04'!$AK25="是",'18.04'!$AZ$4,'18.04'!$AZ$3))</f>
        <v>0</v>
      </c>
      <c r="G25" s="4">
        <f>IF(ISNUMBER(SEARCH("营",'18.04'!O25)),(-$Y25+50*IF('18.04'!$AK25="是",'18.04'!$AZ$4,'18.04'!$AZ$3)),(VLOOKUP('18.04'!O25,'18.04'!$AM$4:$AO$55,2,FALSE))*IF('18.04'!$AK25="是",'18.04'!$AZ$4,'18.04'!$AZ$3))</f>
        <v>0</v>
      </c>
      <c r="H25" s="4">
        <f>IF(ISNUMBER(SEARCH("营",'18.04'!P25)),(-$Y25+50*IF('18.04'!$AK25="是",'18.04'!$AZ$4,'18.04'!$AZ$3)),(VLOOKUP('18.04'!P25,'18.04'!$AM$4:$AO$55,2,FALSE))*IF('18.04'!$AK25="是",'18.04'!$AZ$4,'18.04'!$AZ$3))</f>
        <v>0</v>
      </c>
      <c r="I25" s="4">
        <f>IF(ISNUMBER(SEARCH("营",'18.04'!Q25)),(-$Y25+50*IF('18.04'!$AK25="是",'18.04'!$AZ$4,'18.04'!$AZ$3)),(VLOOKUP('18.04'!Q25,'18.04'!$AM$4:$AO$55,2,FALSE))*IF('18.04'!$AK25="是",'18.04'!$AZ$4,'18.04'!$AZ$3))</f>
        <v>0</v>
      </c>
      <c r="J25" s="4">
        <f>IF(ISNUMBER(SEARCH("营",'18.04'!R25)),(-$Y25+50*IF('18.04'!$AK25="是",'18.04'!$AZ$4,'18.04'!$AZ$3)),(VLOOKUP('18.04'!R25,'18.04'!$AM$4:$AO$55,2,FALSE))*IF('18.04'!$AK25="是",'18.04'!$AZ$4,'18.04'!$AZ$3))</f>
        <v>0</v>
      </c>
      <c r="K25" s="4">
        <f>IF(ISNUMBER(SEARCH("营",'18.04'!S25)),(-$Y25+50*IF('18.04'!$AK25="是",'18.04'!$AZ$4,'18.04'!$AZ$3)),(VLOOKUP('18.04'!S25,'18.04'!$AM$4:$AO$55,2,FALSE))*IF('18.04'!$AK25="是",'18.04'!$AZ$4,'18.04'!$AZ$3))</f>
        <v>0</v>
      </c>
      <c r="L25" s="4">
        <f>IF(ISNUMBER(SEARCH("营",'18.04'!T25)),(-$Y25+50*IF('18.04'!$AK25="是",'18.04'!$AZ$4,'18.04'!$AZ$3)),(VLOOKUP('18.04'!T25,'18.04'!$AM$4:$AO$55,2,FALSE))*IF('18.04'!$AK25="是",'18.04'!$AZ$4,'18.04'!$AZ$3))</f>
        <v>0</v>
      </c>
      <c r="M25" s="4">
        <f>IF(ISNUMBER(SEARCH("营",'18.04'!U25)),(-$Y25+50*IF('18.04'!$AK25="是",'18.04'!$AZ$4,'18.04'!$AZ$3)),(VLOOKUP('18.04'!U25,'18.04'!$AM$4:$AO$55,2,FALSE))*IF('18.04'!$AK25="是",'18.04'!$AZ$4,'18.04'!$AZ$3))</f>
        <v>0</v>
      </c>
      <c r="N25" s="4">
        <f>IF(ISNUMBER(SEARCH("营",'18.04'!V25)),(-$Y25+50*IF('18.04'!$AK25="是",'18.04'!$AZ$4,'18.04'!$AZ$3)),(VLOOKUP('18.04'!V25,'18.04'!$AM$4:$AO$55,2,FALSE))*IF('18.04'!$AK25="是",'18.04'!$AZ$4,'18.04'!$AZ$3))</f>
        <v>0</v>
      </c>
      <c r="O25" s="4">
        <f>IF(ISNUMBER(SEARCH("营",'18.04'!W25)),(-$Y25+50*IF('18.04'!$AK25="是",'18.04'!$AZ$4,'18.04'!$AZ$3)),(VLOOKUP('18.04'!W25,'18.04'!$AM$4:$AO$55,2,FALSE))*IF('18.04'!$AK25="是",'18.04'!$AZ$4,'18.04'!$AZ$3))</f>
        <v>0</v>
      </c>
      <c r="P25" s="4">
        <f>IF(ISNUMBER(SEARCH("营",'18.04'!X25)),(-$Y25+50*IF('18.04'!$AK25="是",'18.04'!$AZ$4,'18.04'!$AZ$3)),(VLOOKUP('18.04'!X25,'18.04'!$AM$4:$AO$55,2,FALSE))*IF('18.04'!$AK25="是",'18.04'!$AZ$4,'18.04'!$AZ$3))</f>
        <v>0</v>
      </c>
      <c r="Q25" s="4">
        <f>IF(ISNUMBER(SEARCH("营",'18.04'!Y25)),(-$Y25+50*IF('18.04'!$AK25="是",'18.04'!$AZ$4,'18.04'!$AZ$3)),(VLOOKUP('18.04'!Y25,'18.04'!$AM$4:$AO$55,2,FALSE))*IF('18.04'!$AK25="是",'18.04'!$AZ$4,'18.04'!$AZ$3))</f>
        <v>0</v>
      </c>
      <c r="R25" s="4">
        <f>IF(ISNUMBER(SEARCH("营",'18.04'!Z25)),(-$Y25+50*IF('18.04'!$AK25="是",'18.04'!$AZ$4,'18.04'!$AZ$3)),(VLOOKUP('18.04'!Z25,'18.04'!$AM$4:$AO$55,2,FALSE))*IF('18.04'!$AK25="是",'18.04'!$AZ$4,'18.04'!$AZ$3))</f>
        <v>0</v>
      </c>
      <c r="S25" s="4">
        <f>IF(ISNUMBER(SEARCH("营",'18.04'!AA25)),(-$Y25+50*IF('18.04'!$AK25="是",'18.04'!$AZ$4,'18.04'!$AZ$3)),(VLOOKUP('18.04'!AA25,'18.04'!$AM$4:$AO$55,2,FALSE))*IF('18.04'!$AK25="是",'18.04'!$AZ$4,'18.04'!$AZ$3))</f>
        <v>0</v>
      </c>
      <c r="T25" s="4">
        <f>IF(ISNUMBER(SEARCH("营",'18.04'!AB25)),(-$Y25+50*IF('18.04'!$AK25="是",'18.04'!$AZ$4,'18.04'!$AZ$3)),(VLOOKUP('18.04'!AB25,'18.04'!$AM$4:$AO$55,2,FALSE))*IF('18.04'!$AK25="是",'18.04'!$AZ$4,'18.04'!$AZ$3))</f>
        <v>0</v>
      </c>
      <c r="U25" s="4">
        <f>IF(ISNUMBER(SEARCH("营",'18.04'!AC25)),(-$Y25+50*IF('18.04'!$AK25="是",'18.04'!$AZ$4,'18.04'!$AZ$3)),(VLOOKUP('18.04'!AC25,'18.04'!$AM$4:$AO$55,2,FALSE))*IF('18.04'!$AK25="是",'18.04'!$AZ$4,'18.04'!$AZ$3))</f>
        <v>0</v>
      </c>
      <c r="V25" s="4">
        <f>IF(ISNUMBER(SEARCH("营",'18.04'!AD25)),(-$Y25+50*IF('18.04'!$AK25="是",'18.04'!$AZ$4,'18.04'!$AZ$3)),(VLOOKUP('18.04'!AD25,'18.04'!$AM$4:$AO$55,2,FALSE))*IF('18.04'!$AK25="是",'18.04'!$AZ$4,'18.04'!$AZ$3))</f>
        <v>0</v>
      </c>
      <c r="W25" s="4">
        <f>IF(ISNUMBER(SEARCH("营",'18.04'!AE25)),(-$Y25+50*IF('18.04'!$AK25="是",'18.04'!$AZ$4,'18.04'!$AZ$3)),(VLOOKUP('18.04'!AE25,'18.04'!$AM$4:$AO$55,2,FALSE))*IF('18.04'!$AK25="是",'18.04'!$AZ$4,'18.04'!$AZ$3))</f>
        <v>0</v>
      </c>
      <c r="X25" s="4">
        <f>IF(ISNUMBER(SEARCH("营",'18.04'!AF25)),(-$Y25+50*IF('18.04'!$AK25="是",'18.04'!$AZ$4,'18.04'!$AZ$3)),(VLOOKUP('18.04'!AF25,'18.04'!$AM$4:$AO$55,2,FALSE))*IF('18.04'!$AK25="是",'18.04'!$AZ$4,'18.04'!$AZ$3))</f>
        <v>0</v>
      </c>
      <c r="Y25" s="78">
        <v>200</v>
      </c>
      <c r="Z25" s="90">
        <v>45660</v>
      </c>
    </row>
    <row r="26" spans="1:26">
      <c r="A26" s="4">
        <f>IF(ISNUMBER(SEARCH("营",'18.04'!I26)),(-$Y26+50*IF('18.04'!$AK26="是",'18.04'!$AZ$4,'18.04'!$AZ$3)),(VLOOKUP('18.04'!I26,'18.04'!$AM$4:$AO$55,2,FALSE))*IF('18.04'!$AK26="是",'18.04'!$AZ$4,'18.04'!$AZ$3))</f>
        <v>0</v>
      </c>
      <c r="B26" s="4">
        <f>IF(ISNUMBER(SEARCH("营",'18.04'!J26)),(-$Y26+50*IF('18.04'!$AK26="是",'18.04'!$AZ$4,'18.04'!$AZ$3)),(VLOOKUP('18.04'!J26,'18.04'!$AM$4:$AO$55,2,FALSE))*IF('18.04'!$AK26="是",'18.04'!$AZ$4,'18.04'!$AZ$3))</f>
        <v>0</v>
      </c>
      <c r="C26" s="4">
        <f>IF(ISNUMBER(SEARCH("营",'18.04'!K26)),(-$Y26+50*IF('18.04'!$AK26="是",'18.04'!$AZ$4,'18.04'!$AZ$3)),(VLOOKUP('18.04'!K26,'18.04'!$AM$4:$AO$55,2,FALSE))*IF('18.04'!$AK26="是",'18.04'!$AZ$4,'18.04'!$AZ$3))</f>
        <v>0</v>
      </c>
      <c r="D26" s="4">
        <f>IF(ISNUMBER(SEARCH("营",'18.04'!L26)),(-$Y26+50*IF('18.04'!$AK26="是",'18.04'!$AZ$4,'18.04'!$AZ$3)),(VLOOKUP('18.04'!L26,'18.04'!$AM$4:$AO$55,2,FALSE))*IF('18.04'!$AK26="是",'18.04'!$AZ$4,'18.04'!$AZ$3))</f>
        <v>0</v>
      </c>
      <c r="E26" s="4">
        <f>IF(ISNUMBER(SEARCH("营",'18.04'!M26)),(-$Y26+50*IF('18.04'!$AK26="是",'18.04'!$AZ$4,'18.04'!$AZ$3)),(VLOOKUP('18.04'!M26,'18.04'!$AM$4:$AO$55,2,FALSE))*IF('18.04'!$AK26="是",'18.04'!$AZ$4,'18.04'!$AZ$3))</f>
        <v>0</v>
      </c>
      <c r="F26" s="4">
        <f>IF(ISNUMBER(SEARCH("营",'18.04'!N26)),(-$Y26+50*IF('18.04'!$AK26="是",'18.04'!$AZ$4,'18.04'!$AZ$3)),(VLOOKUP('18.04'!N26,'18.04'!$AM$4:$AO$55,2,FALSE))*IF('18.04'!$AK26="是",'18.04'!$AZ$4,'18.04'!$AZ$3))</f>
        <v>0</v>
      </c>
      <c r="G26" s="4">
        <f>IF(ISNUMBER(SEARCH("营",'18.04'!O26)),(-$Y26+50*IF('18.04'!$AK26="是",'18.04'!$AZ$4,'18.04'!$AZ$3)),(VLOOKUP('18.04'!O26,'18.04'!$AM$4:$AO$55,2,FALSE))*IF('18.04'!$AK26="是",'18.04'!$AZ$4,'18.04'!$AZ$3))</f>
        <v>0</v>
      </c>
      <c r="H26" s="4">
        <f>IF(ISNUMBER(SEARCH("营",'18.04'!P26)),(-$Y26+50*IF('18.04'!$AK26="是",'18.04'!$AZ$4,'18.04'!$AZ$3)),(VLOOKUP('18.04'!P26,'18.04'!$AM$4:$AO$55,2,FALSE))*IF('18.04'!$AK26="是",'18.04'!$AZ$4,'18.04'!$AZ$3))</f>
        <v>0</v>
      </c>
      <c r="I26" s="4">
        <f>IF(ISNUMBER(SEARCH("营",'18.04'!Q26)),(-$Y26+50*IF('18.04'!$AK26="是",'18.04'!$AZ$4,'18.04'!$AZ$3)),(VLOOKUP('18.04'!Q26,'18.04'!$AM$4:$AO$55,2,FALSE))*IF('18.04'!$AK26="是",'18.04'!$AZ$4,'18.04'!$AZ$3))</f>
        <v>0</v>
      </c>
      <c r="J26" s="4">
        <f>IF(ISNUMBER(SEARCH("营",'18.04'!R26)),(-$Y26+50*IF('18.04'!$AK26="是",'18.04'!$AZ$4,'18.04'!$AZ$3)),(VLOOKUP('18.04'!R26,'18.04'!$AM$4:$AO$55,2,FALSE))*IF('18.04'!$AK26="是",'18.04'!$AZ$4,'18.04'!$AZ$3))</f>
        <v>0</v>
      </c>
      <c r="K26" s="4">
        <f>IF(ISNUMBER(SEARCH("营",'18.04'!S26)),(-$Y26+50*IF('18.04'!$AK26="是",'18.04'!$AZ$4,'18.04'!$AZ$3)),(VLOOKUP('18.04'!S26,'18.04'!$AM$4:$AO$55,2,FALSE))*IF('18.04'!$AK26="是",'18.04'!$AZ$4,'18.04'!$AZ$3))</f>
        <v>0</v>
      </c>
      <c r="L26" s="4">
        <f>IF(ISNUMBER(SEARCH("营",'18.04'!T26)),(-$Y26+50*IF('18.04'!$AK26="是",'18.04'!$AZ$4,'18.04'!$AZ$3)),(VLOOKUP('18.04'!T26,'18.04'!$AM$4:$AO$55,2,FALSE))*IF('18.04'!$AK26="是",'18.04'!$AZ$4,'18.04'!$AZ$3))</f>
        <v>0</v>
      </c>
      <c r="M26" s="4">
        <f>IF(ISNUMBER(SEARCH("营",'18.04'!U26)),(-$Y26+50*IF('18.04'!$AK26="是",'18.04'!$AZ$4,'18.04'!$AZ$3)),(VLOOKUP('18.04'!U26,'18.04'!$AM$4:$AO$55,2,FALSE))*IF('18.04'!$AK26="是",'18.04'!$AZ$4,'18.04'!$AZ$3))</f>
        <v>0</v>
      </c>
      <c r="N26" s="4">
        <f>IF(ISNUMBER(SEARCH("营",'18.04'!V26)),(-$Y26+50*IF('18.04'!$AK26="是",'18.04'!$AZ$4,'18.04'!$AZ$3)),(VLOOKUP('18.04'!V26,'18.04'!$AM$4:$AO$55,2,FALSE))*IF('18.04'!$AK26="是",'18.04'!$AZ$4,'18.04'!$AZ$3))</f>
        <v>0</v>
      </c>
      <c r="O26" s="4">
        <f>IF(ISNUMBER(SEARCH("营",'18.04'!W26)),(-$Y26+50*IF('18.04'!$AK26="是",'18.04'!$AZ$4,'18.04'!$AZ$3)),(VLOOKUP('18.04'!W26,'18.04'!$AM$4:$AO$55,2,FALSE))*IF('18.04'!$AK26="是",'18.04'!$AZ$4,'18.04'!$AZ$3))</f>
        <v>0</v>
      </c>
      <c r="P26" s="4">
        <f>IF(ISNUMBER(SEARCH("营",'18.04'!X26)),(-$Y26+50*IF('18.04'!$AK26="是",'18.04'!$AZ$4,'18.04'!$AZ$3)),(VLOOKUP('18.04'!X26,'18.04'!$AM$4:$AO$55,2,FALSE))*IF('18.04'!$AK26="是",'18.04'!$AZ$4,'18.04'!$AZ$3))</f>
        <v>0</v>
      </c>
      <c r="Q26" s="4">
        <f>IF(ISNUMBER(SEARCH("营",'18.04'!Y26)),(-$Y26+50*IF('18.04'!$AK26="是",'18.04'!$AZ$4,'18.04'!$AZ$3)),(VLOOKUP('18.04'!Y26,'18.04'!$AM$4:$AO$55,2,FALSE))*IF('18.04'!$AK26="是",'18.04'!$AZ$4,'18.04'!$AZ$3))</f>
        <v>0</v>
      </c>
      <c r="R26" s="4">
        <f>IF(ISNUMBER(SEARCH("营",'18.04'!Z26)),(-$Y26+50*IF('18.04'!$AK26="是",'18.04'!$AZ$4,'18.04'!$AZ$3)),(VLOOKUP('18.04'!Z26,'18.04'!$AM$4:$AO$55,2,FALSE))*IF('18.04'!$AK26="是",'18.04'!$AZ$4,'18.04'!$AZ$3))</f>
        <v>0</v>
      </c>
      <c r="S26" s="4">
        <f>IF(ISNUMBER(SEARCH("营",'18.04'!AA26)),(-$Y26+50*IF('18.04'!$AK26="是",'18.04'!$AZ$4,'18.04'!$AZ$3)),(VLOOKUP('18.04'!AA26,'18.04'!$AM$4:$AO$55,2,FALSE))*IF('18.04'!$AK26="是",'18.04'!$AZ$4,'18.04'!$AZ$3))</f>
        <v>0</v>
      </c>
      <c r="T26" s="4">
        <f>IF(ISNUMBER(SEARCH("营",'18.04'!AB26)),(-$Y26+50*IF('18.04'!$AK26="是",'18.04'!$AZ$4,'18.04'!$AZ$3)),(VLOOKUP('18.04'!AB26,'18.04'!$AM$4:$AO$55,2,FALSE))*IF('18.04'!$AK26="是",'18.04'!$AZ$4,'18.04'!$AZ$3))</f>
        <v>0</v>
      </c>
      <c r="U26" s="4">
        <f>IF(ISNUMBER(SEARCH("营",'18.04'!AC26)),(-$Y26+50*IF('18.04'!$AK26="是",'18.04'!$AZ$4,'18.04'!$AZ$3)),(VLOOKUP('18.04'!AC26,'18.04'!$AM$4:$AO$55,2,FALSE))*IF('18.04'!$AK26="是",'18.04'!$AZ$4,'18.04'!$AZ$3))</f>
        <v>0</v>
      </c>
      <c r="V26" s="4">
        <f>IF(ISNUMBER(SEARCH("营",'18.04'!AD26)),(-$Y26+50*IF('18.04'!$AK26="是",'18.04'!$AZ$4,'18.04'!$AZ$3)),(VLOOKUP('18.04'!AD26,'18.04'!$AM$4:$AO$55,2,FALSE))*IF('18.04'!$AK26="是",'18.04'!$AZ$4,'18.04'!$AZ$3))</f>
        <v>0</v>
      </c>
      <c r="W26" s="4">
        <f>IF(ISNUMBER(SEARCH("营",'18.04'!AE26)),(-$Y26+50*IF('18.04'!$AK26="是",'18.04'!$AZ$4,'18.04'!$AZ$3)),(VLOOKUP('18.04'!AE26,'18.04'!$AM$4:$AO$55,2,FALSE))*IF('18.04'!$AK26="是",'18.04'!$AZ$4,'18.04'!$AZ$3))</f>
        <v>0</v>
      </c>
      <c r="X26" s="4">
        <f>IF(ISNUMBER(SEARCH("营",'18.04'!AF26)),(-$Y26+50*IF('18.04'!$AK26="是",'18.04'!$AZ$4,'18.04'!$AZ$3)),(VLOOKUP('18.04'!AF26,'18.04'!$AM$4:$AO$55,2,FALSE))*IF('18.04'!$AK26="是",'18.04'!$AZ$4,'18.04'!$AZ$3))</f>
        <v>0</v>
      </c>
      <c r="Y26" s="78">
        <v>200</v>
      </c>
      <c r="Z26" s="90">
        <v>45661</v>
      </c>
    </row>
    <row r="27" spans="1:26">
      <c r="A27" s="4">
        <f>IF(ISNUMBER(SEARCH("营",'18.04'!I27)),(-$Y27+50*IF('18.04'!$AK27="是",'18.04'!$AZ$4,'18.04'!$AZ$3)),(VLOOKUP('18.04'!I27,'18.04'!$AM$4:$AO$55,2,FALSE))*IF('18.04'!$AK27="是",'18.04'!$AZ$4,'18.04'!$AZ$3))</f>
        <v>120</v>
      </c>
      <c r="B27" s="4">
        <f>IF(ISNUMBER(SEARCH("营",'18.04'!J27)),(-$Y27+50*IF('18.04'!$AK27="是",'18.04'!$AZ$4,'18.04'!$AZ$3)),(VLOOKUP('18.04'!J27,'18.04'!$AM$4:$AO$55,2,FALSE))*IF('18.04'!$AK27="是",'18.04'!$AZ$4,'18.04'!$AZ$3))</f>
        <v>0</v>
      </c>
      <c r="C27" s="4">
        <f>IF(ISNUMBER(SEARCH("营",'18.04'!K27)),(-$Y27+50*IF('18.04'!$AK27="是",'18.04'!$AZ$4,'18.04'!$AZ$3)),(VLOOKUP('18.04'!K27,'18.04'!$AM$4:$AO$55,2,FALSE))*IF('18.04'!$AK27="是",'18.04'!$AZ$4,'18.04'!$AZ$3))</f>
        <v>0</v>
      </c>
      <c r="D27" s="4">
        <f>IF(ISNUMBER(SEARCH("营",'18.04'!L27)),(-$Y27+50*IF('18.04'!$AK27="是",'18.04'!$AZ$4,'18.04'!$AZ$3)),(VLOOKUP('18.04'!L27,'18.04'!$AM$4:$AO$55,2,FALSE))*IF('18.04'!$AK27="是",'18.04'!$AZ$4,'18.04'!$AZ$3))</f>
        <v>0</v>
      </c>
      <c r="E27" s="4">
        <f>IF(ISNUMBER(SEARCH("营",'18.04'!M27)),(-$Y27+50*IF('18.04'!$AK27="是",'18.04'!$AZ$4,'18.04'!$AZ$3)),(VLOOKUP('18.04'!M27,'18.04'!$AM$4:$AO$55,2,FALSE))*IF('18.04'!$AK27="是",'18.04'!$AZ$4,'18.04'!$AZ$3))</f>
        <v>0</v>
      </c>
      <c r="F27" s="4">
        <f>IF(ISNUMBER(SEARCH("营",'18.04'!N27)),(-$Y27+50*IF('18.04'!$AK27="是",'18.04'!$AZ$4,'18.04'!$AZ$3)),(VLOOKUP('18.04'!N27,'18.04'!$AM$4:$AO$55,2,FALSE))*IF('18.04'!$AK27="是",'18.04'!$AZ$4,'18.04'!$AZ$3))</f>
        <v>0</v>
      </c>
      <c r="G27" s="4">
        <f>IF(ISNUMBER(SEARCH("营",'18.04'!O27)),(-$Y27+50*IF('18.04'!$AK27="是",'18.04'!$AZ$4,'18.04'!$AZ$3)),(VLOOKUP('18.04'!O27,'18.04'!$AM$4:$AO$55,2,FALSE))*IF('18.04'!$AK27="是",'18.04'!$AZ$4,'18.04'!$AZ$3))</f>
        <v>0</v>
      </c>
      <c r="H27" s="4">
        <f>IF(ISNUMBER(SEARCH("营",'18.04'!P27)),(-$Y27+50*IF('18.04'!$AK27="是",'18.04'!$AZ$4,'18.04'!$AZ$3)),(VLOOKUP('18.04'!P27,'18.04'!$AM$4:$AO$55,2,FALSE))*IF('18.04'!$AK27="是",'18.04'!$AZ$4,'18.04'!$AZ$3))</f>
        <v>0</v>
      </c>
      <c r="I27" s="4">
        <f>IF(ISNUMBER(SEARCH("营",'18.04'!Q27)),(-$Y27+50*IF('18.04'!$AK27="是",'18.04'!$AZ$4,'18.04'!$AZ$3)),(VLOOKUP('18.04'!Q27,'18.04'!$AM$4:$AO$55,2,FALSE))*IF('18.04'!$AK27="是",'18.04'!$AZ$4,'18.04'!$AZ$3))</f>
        <v>0</v>
      </c>
      <c r="J27" s="4">
        <f>IF(ISNUMBER(SEARCH("营",'18.04'!R27)),(-$Y27+50*IF('18.04'!$AK27="是",'18.04'!$AZ$4,'18.04'!$AZ$3)),(VLOOKUP('18.04'!R27,'18.04'!$AM$4:$AO$55,2,FALSE))*IF('18.04'!$AK27="是",'18.04'!$AZ$4,'18.04'!$AZ$3))</f>
        <v>0</v>
      </c>
      <c r="K27" s="4">
        <f>IF(ISNUMBER(SEARCH("营",'18.04'!S27)),(-$Y27+50*IF('18.04'!$AK27="是",'18.04'!$AZ$4,'18.04'!$AZ$3)),(VLOOKUP('18.04'!S27,'18.04'!$AM$4:$AO$55,2,FALSE))*IF('18.04'!$AK27="是",'18.04'!$AZ$4,'18.04'!$AZ$3))</f>
        <v>0</v>
      </c>
      <c r="L27" s="4">
        <f>IF(ISNUMBER(SEARCH("营",'18.04'!T27)),(-$Y27+50*IF('18.04'!$AK27="是",'18.04'!$AZ$4,'18.04'!$AZ$3)),(VLOOKUP('18.04'!T27,'18.04'!$AM$4:$AO$55,2,FALSE))*IF('18.04'!$AK27="是",'18.04'!$AZ$4,'18.04'!$AZ$3))</f>
        <v>0</v>
      </c>
      <c r="M27" s="4">
        <f>IF(ISNUMBER(SEARCH("营",'18.04'!U27)),(-$Y27+50*IF('18.04'!$AK27="是",'18.04'!$AZ$4,'18.04'!$AZ$3)),(VLOOKUP('18.04'!U27,'18.04'!$AM$4:$AO$55,2,FALSE))*IF('18.04'!$AK27="是",'18.04'!$AZ$4,'18.04'!$AZ$3))</f>
        <v>0</v>
      </c>
      <c r="N27" s="4">
        <f>IF(ISNUMBER(SEARCH("营",'18.04'!V27)),(-$Y27+50*IF('18.04'!$AK27="是",'18.04'!$AZ$4,'18.04'!$AZ$3)),(VLOOKUP('18.04'!V27,'18.04'!$AM$4:$AO$55,2,FALSE))*IF('18.04'!$AK27="是",'18.04'!$AZ$4,'18.04'!$AZ$3))</f>
        <v>0</v>
      </c>
      <c r="O27" s="4">
        <f>IF(ISNUMBER(SEARCH("营",'18.04'!W27)),(-$Y27+50*IF('18.04'!$AK27="是",'18.04'!$AZ$4,'18.04'!$AZ$3)),(VLOOKUP('18.04'!W27,'18.04'!$AM$4:$AO$55,2,FALSE))*IF('18.04'!$AK27="是",'18.04'!$AZ$4,'18.04'!$AZ$3))</f>
        <v>0</v>
      </c>
      <c r="P27" s="4">
        <f>IF(ISNUMBER(SEARCH("营",'18.04'!X27)),(-$Y27+50*IF('18.04'!$AK27="是",'18.04'!$AZ$4,'18.04'!$AZ$3)),(VLOOKUP('18.04'!X27,'18.04'!$AM$4:$AO$55,2,FALSE))*IF('18.04'!$AK27="是",'18.04'!$AZ$4,'18.04'!$AZ$3))</f>
        <v>0</v>
      </c>
      <c r="Q27" s="4">
        <f>IF(ISNUMBER(SEARCH("营",'18.04'!Y27)),(-$Y27+50*IF('18.04'!$AK27="是",'18.04'!$AZ$4,'18.04'!$AZ$3)),(VLOOKUP('18.04'!Y27,'18.04'!$AM$4:$AO$55,2,FALSE))*IF('18.04'!$AK27="是",'18.04'!$AZ$4,'18.04'!$AZ$3))</f>
        <v>0</v>
      </c>
      <c r="R27" s="4">
        <f>IF(ISNUMBER(SEARCH("营",'18.04'!Z27)),(-$Y27+50*IF('18.04'!$AK27="是",'18.04'!$AZ$4,'18.04'!$AZ$3)),(VLOOKUP('18.04'!Z27,'18.04'!$AM$4:$AO$55,2,FALSE))*IF('18.04'!$AK27="是",'18.04'!$AZ$4,'18.04'!$AZ$3))</f>
        <v>0</v>
      </c>
      <c r="S27" s="4">
        <f>IF(ISNUMBER(SEARCH("营",'18.04'!AA27)),(-$Y27+50*IF('18.04'!$AK27="是",'18.04'!$AZ$4,'18.04'!$AZ$3)),(VLOOKUP('18.04'!AA27,'18.04'!$AM$4:$AO$55,2,FALSE))*IF('18.04'!$AK27="是",'18.04'!$AZ$4,'18.04'!$AZ$3))</f>
        <v>0</v>
      </c>
      <c r="T27" s="4">
        <f>IF(ISNUMBER(SEARCH("营",'18.04'!AB27)),(-$Y27+50*IF('18.04'!$AK27="是",'18.04'!$AZ$4,'18.04'!$AZ$3)),(VLOOKUP('18.04'!AB27,'18.04'!$AM$4:$AO$55,2,FALSE))*IF('18.04'!$AK27="是",'18.04'!$AZ$4,'18.04'!$AZ$3))</f>
        <v>0</v>
      </c>
      <c r="U27" s="4">
        <f>IF(ISNUMBER(SEARCH("营",'18.04'!AC27)),(-$Y27+50*IF('18.04'!$AK27="是",'18.04'!$AZ$4,'18.04'!$AZ$3)),(VLOOKUP('18.04'!AC27,'18.04'!$AM$4:$AO$55,2,FALSE))*IF('18.04'!$AK27="是",'18.04'!$AZ$4,'18.04'!$AZ$3))</f>
        <v>0</v>
      </c>
      <c r="V27" s="4">
        <f>IF(ISNUMBER(SEARCH("营",'18.04'!AD27)),(-$Y27+50*IF('18.04'!$AK27="是",'18.04'!$AZ$4,'18.04'!$AZ$3)),(VLOOKUP('18.04'!AD27,'18.04'!$AM$4:$AO$55,2,FALSE))*IF('18.04'!$AK27="是",'18.04'!$AZ$4,'18.04'!$AZ$3))</f>
        <v>0</v>
      </c>
      <c r="W27" s="4">
        <f>IF(ISNUMBER(SEARCH("营",'18.04'!AE27)),(-$Y27+50*IF('18.04'!$AK27="是",'18.04'!$AZ$4,'18.04'!$AZ$3)),(VLOOKUP('18.04'!AE27,'18.04'!$AM$4:$AO$55,2,FALSE))*IF('18.04'!$AK27="是",'18.04'!$AZ$4,'18.04'!$AZ$3))</f>
        <v>0</v>
      </c>
      <c r="X27" s="4">
        <f>IF(ISNUMBER(SEARCH("营",'18.04'!AF27)),(-$Y27+50*IF('18.04'!$AK27="是",'18.04'!$AZ$4,'18.04'!$AZ$3)),(VLOOKUP('18.04'!AF27,'18.04'!$AM$4:$AO$55,2,FALSE))*IF('18.04'!$AK27="是",'18.04'!$AZ$4,'18.04'!$AZ$3))</f>
        <v>0</v>
      </c>
      <c r="Y27" s="78">
        <v>200</v>
      </c>
      <c r="Z27" s="90">
        <v>45662</v>
      </c>
    </row>
    <row r="28" spans="1:26">
      <c r="A28" s="4">
        <f>IF(ISNUMBER(SEARCH("营",'18.04'!I28)),(-$Y28+50*IF('18.04'!$AK28="是",'18.04'!$AZ$4,'18.04'!$AZ$3)),(VLOOKUP('18.04'!I28,'18.04'!$AM$4:$AO$55,2,FALSE))*IF('18.04'!$AK28="是",'18.04'!$AZ$4,'18.04'!$AZ$3))</f>
        <v>128</v>
      </c>
      <c r="B28" s="4">
        <f>IF(ISNUMBER(SEARCH("营",'18.04'!J28)),(-$Y28+50*IF('18.04'!$AK28="是",'18.04'!$AZ$4,'18.04'!$AZ$3)),(VLOOKUP('18.04'!J28,'18.04'!$AM$4:$AO$55,2,FALSE))*IF('18.04'!$AK28="是",'18.04'!$AZ$4,'18.04'!$AZ$3))</f>
        <v>40</v>
      </c>
      <c r="C28" s="4">
        <f>IF(ISNUMBER(SEARCH("营",'18.04'!K28)),(-$Y28+50*IF('18.04'!$AK28="是",'18.04'!$AZ$4,'18.04'!$AZ$3)),(VLOOKUP('18.04'!K28,'18.04'!$AM$4:$AO$55,2,FALSE))*IF('18.04'!$AK28="是",'18.04'!$AZ$4,'18.04'!$AZ$3))</f>
        <v>0</v>
      </c>
      <c r="D28" s="4">
        <f>IF(ISNUMBER(SEARCH("营",'18.04'!L28)),(-$Y28+50*IF('18.04'!$AK28="是",'18.04'!$AZ$4,'18.04'!$AZ$3)),(VLOOKUP('18.04'!L28,'18.04'!$AM$4:$AO$55,2,FALSE))*IF('18.04'!$AK28="是",'18.04'!$AZ$4,'18.04'!$AZ$3))</f>
        <v>0</v>
      </c>
      <c r="E28" s="4">
        <f>IF(ISNUMBER(SEARCH("营",'18.04'!M28)),(-$Y28+50*IF('18.04'!$AK28="是",'18.04'!$AZ$4,'18.04'!$AZ$3)),(VLOOKUP('18.04'!M28,'18.04'!$AM$4:$AO$55,2,FALSE))*IF('18.04'!$AK28="是",'18.04'!$AZ$4,'18.04'!$AZ$3))</f>
        <v>0</v>
      </c>
      <c r="F28" s="4">
        <f>IF(ISNUMBER(SEARCH("营",'18.04'!N28)),(-$Y28+50*IF('18.04'!$AK28="是",'18.04'!$AZ$4,'18.04'!$AZ$3)),(VLOOKUP('18.04'!N28,'18.04'!$AM$4:$AO$55,2,FALSE))*IF('18.04'!$AK28="是",'18.04'!$AZ$4,'18.04'!$AZ$3))</f>
        <v>0</v>
      </c>
      <c r="G28" s="4">
        <f>IF(ISNUMBER(SEARCH("营",'18.04'!O28)),(-$Y28+50*IF('18.04'!$AK28="是",'18.04'!$AZ$4,'18.04'!$AZ$3)),(VLOOKUP('18.04'!O28,'18.04'!$AM$4:$AO$55,2,FALSE))*IF('18.04'!$AK28="是",'18.04'!$AZ$4,'18.04'!$AZ$3))</f>
        <v>0</v>
      </c>
      <c r="H28" s="4">
        <f>IF(ISNUMBER(SEARCH("营",'18.04'!P28)),(-$Y28+50*IF('18.04'!$AK28="是",'18.04'!$AZ$4,'18.04'!$AZ$3)),(VLOOKUP('18.04'!P28,'18.04'!$AM$4:$AO$55,2,FALSE))*IF('18.04'!$AK28="是",'18.04'!$AZ$4,'18.04'!$AZ$3))</f>
        <v>0</v>
      </c>
      <c r="I28" s="4">
        <f>IF(ISNUMBER(SEARCH("营",'18.04'!Q28)),(-$Y28+50*IF('18.04'!$AK28="是",'18.04'!$AZ$4,'18.04'!$AZ$3)),(VLOOKUP('18.04'!Q28,'18.04'!$AM$4:$AO$55,2,FALSE))*IF('18.04'!$AK28="是",'18.04'!$AZ$4,'18.04'!$AZ$3))</f>
        <v>-160</v>
      </c>
      <c r="J28" s="4">
        <f>IF(ISNUMBER(SEARCH("营",'18.04'!R28)),(-$Y28+50*IF('18.04'!$AK28="是",'18.04'!$AZ$4,'18.04'!$AZ$3)),(VLOOKUP('18.04'!R28,'18.04'!$AM$4:$AO$55,2,FALSE))*IF('18.04'!$AK28="是",'18.04'!$AZ$4,'18.04'!$AZ$3))</f>
        <v>0</v>
      </c>
      <c r="K28" s="4">
        <f>IF(ISNUMBER(SEARCH("营",'18.04'!S28)),(-$Y28+50*IF('18.04'!$AK28="是",'18.04'!$AZ$4,'18.04'!$AZ$3)),(VLOOKUP('18.04'!S28,'18.04'!$AM$4:$AO$55,2,FALSE))*IF('18.04'!$AK28="是",'18.04'!$AZ$4,'18.04'!$AZ$3))</f>
        <v>0</v>
      </c>
      <c r="L28" s="4">
        <f>IF(ISNUMBER(SEARCH("营",'18.04'!T28)),(-$Y28+50*IF('18.04'!$AK28="是",'18.04'!$AZ$4,'18.04'!$AZ$3)),(VLOOKUP('18.04'!T28,'18.04'!$AM$4:$AO$55,2,FALSE))*IF('18.04'!$AK28="是",'18.04'!$AZ$4,'18.04'!$AZ$3))</f>
        <v>0</v>
      </c>
      <c r="M28" s="4">
        <f>IF(ISNUMBER(SEARCH("营",'18.04'!U28)),(-$Y28+50*IF('18.04'!$AK28="是",'18.04'!$AZ$4,'18.04'!$AZ$3)),(VLOOKUP('18.04'!U28,'18.04'!$AM$4:$AO$55,2,FALSE))*IF('18.04'!$AK28="是",'18.04'!$AZ$4,'18.04'!$AZ$3))</f>
        <v>0</v>
      </c>
      <c r="N28" s="4">
        <f>IF(ISNUMBER(SEARCH("营",'18.04'!V28)),(-$Y28+50*IF('18.04'!$AK28="是",'18.04'!$AZ$4,'18.04'!$AZ$3)),(VLOOKUP('18.04'!V28,'18.04'!$AM$4:$AO$55,2,FALSE))*IF('18.04'!$AK28="是",'18.04'!$AZ$4,'18.04'!$AZ$3))</f>
        <v>0</v>
      </c>
      <c r="O28" s="4">
        <f>IF(ISNUMBER(SEARCH("营",'18.04'!W28)),(-$Y28+50*IF('18.04'!$AK28="是",'18.04'!$AZ$4,'18.04'!$AZ$3)),(VLOOKUP('18.04'!W28,'18.04'!$AM$4:$AO$55,2,FALSE))*IF('18.04'!$AK28="是",'18.04'!$AZ$4,'18.04'!$AZ$3))</f>
        <v>0</v>
      </c>
      <c r="P28" s="4">
        <f>IF(ISNUMBER(SEARCH("营",'18.04'!X28)),(-$Y28+50*IF('18.04'!$AK28="是",'18.04'!$AZ$4,'18.04'!$AZ$3)),(VLOOKUP('18.04'!X28,'18.04'!$AM$4:$AO$55,2,FALSE))*IF('18.04'!$AK28="是",'18.04'!$AZ$4,'18.04'!$AZ$3))</f>
        <v>0</v>
      </c>
      <c r="Q28" s="4">
        <f>IF(ISNUMBER(SEARCH("营",'18.04'!Y28)),(-$Y28+50*IF('18.04'!$AK28="是",'18.04'!$AZ$4,'18.04'!$AZ$3)),(VLOOKUP('18.04'!Y28,'18.04'!$AM$4:$AO$55,2,FALSE))*IF('18.04'!$AK28="是",'18.04'!$AZ$4,'18.04'!$AZ$3))</f>
        <v>0</v>
      </c>
      <c r="R28" s="4">
        <f>IF(ISNUMBER(SEARCH("营",'18.04'!Z28)),(-$Y28+50*IF('18.04'!$AK28="是",'18.04'!$AZ$4,'18.04'!$AZ$3)),(VLOOKUP('18.04'!Z28,'18.04'!$AM$4:$AO$55,2,FALSE))*IF('18.04'!$AK28="是",'18.04'!$AZ$4,'18.04'!$AZ$3))</f>
        <v>0</v>
      </c>
      <c r="S28" s="4">
        <f>IF(ISNUMBER(SEARCH("营",'18.04'!AA28)),(-$Y28+50*IF('18.04'!$AK28="是",'18.04'!$AZ$4,'18.04'!$AZ$3)),(VLOOKUP('18.04'!AA28,'18.04'!$AM$4:$AO$55,2,FALSE))*IF('18.04'!$AK28="是",'18.04'!$AZ$4,'18.04'!$AZ$3))</f>
        <v>0</v>
      </c>
      <c r="T28" s="4">
        <f>IF(ISNUMBER(SEARCH("营",'18.04'!AB28)),(-$Y28+50*IF('18.04'!$AK28="是",'18.04'!$AZ$4,'18.04'!$AZ$3)),(VLOOKUP('18.04'!AB28,'18.04'!$AM$4:$AO$55,2,FALSE))*IF('18.04'!$AK28="是",'18.04'!$AZ$4,'18.04'!$AZ$3))</f>
        <v>0</v>
      </c>
      <c r="U28" s="4">
        <f>IF(ISNUMBER(SEARCH("营",'18.04'!AC28)),(-$Y28+50*IF('18.04'!$AK28="是",'18.04'!$AZ$4,'18.04'!$AZ$3)),(VLOOKUP('18.04'!AC28,'18.04'!$AM$4:$AO$55,2,FALSE))*IF('18.04'!$AK28="是",'18.04'!$AZ$4,'18.04'!$AZ$3))</f>
        <v>0</v>
      </c>
      <c r="V28" s="4">
        <f>IF(ISNUMBER(SEARCH("营",'18.04'!AD28)),(-$Y28+50*IF('18.04'!$AK28="是",'18.04'!$AZ$4,'18.04'!$AZ$3)),(VLOOKUP('18.04'!AD28,'18.04'!$AM$4:$AO$55,2,FALSE))*IF('18.04'!$AK28="是",'18.04'!$AZ$4,'18.04'!$AZ$3))</f>
        <v>0</v>
      </c>
      <c r="W28" s="4">
        <f>IF(ISNUMBER(SEARCH("营",'18.04'!AE28)),(-$Y28+50*IF('18.04'!$AK28="是",'18.04'!$AZ$4,'18.04'!$AZ$3)),(VLOOKUP('18.04'!AE28,'18.04'!$AM$4:$AO$55,2,FALSE))*IF('18.04'!$AK28="是",'18.04'!$AZ$4,'18.04'!$AZ$3))</f>
        <v>0</v>
      </c>
      <c r="X28" s="4">
        <f>IF(ISNUMBER(SEARCH("营",'18.04'!AF28)),(-$Y28+50*IF('18.04'!$AK28="是",'18.04'!$AZ$4,'18.04'!$AZ$3)),(VLOOKUP('18.04'!AF28,'18.04'!$AM$4:$AO$55,2,FALSE))*IF('18.04'!$AK28="是",'18.04'!$AZ$4,'18.04'!$AZ$3))</f>
        <v>0</v>
      </c>
      <c r="Y28" s="78">
        <v>200</v>
      </c>
      <c r="Z28" s="90">
        <v>45663</v>
      </c>
    </row>
    <row r="29" spans="1:26">
      <c r="A29" s="4">
        <f>IF(ISNUMBER(SEARCH("营",'18.04'!I29)),(-$Y29+50*IF('18.04'!$AK29="是",'18.04'!$AZ$4,'18.04'!$AZ$3)),(VLOOKUP('18.04'!I29,'18.04'!$AM$4:$AO$55,2,FALSE))*IF('18.04'!$AK29="是",'18.04'!$AZ$4,'18.04'!$AZ$3))</f>
        <v>40</v>
      </c>
      <c r="B29" s="4">
        <f>IF(ISNUMBER(SEARCH("营",'18.04'!J29)),(-$Y29+50*IF('18.04'!$AK29="是",'18.04'!$AZ$4,'18.04'!$AZ$3)),(VLOOKUP('18.04'!J29,'18.04'!$AM$4:$AO$55,2,FALSE))*IF('18.04'!$AK29="是",'18.04'!$AZ$4,'18.04'!$AZ$3))</f>
        <v>128</v>
      </c>
      <c r="C29" s="4">
        <f>IF(ISNUMBER(SEARCH("营",'18.04'!K29)),(-$Y29+50*IF('18.04'!$AK29="是",'18.04'!$AZ$4,'18.04'!$AZ$3)),(VLOOKUP('18.04'!K29,'18.04'!$AM$4:$AO$55,2,FALSE))*IF('18.04'!$AK29="是",'18.04'!$AZ$4,'18.04'!$AZ$3))</f>
        <v>128</v>
      </c>
      <c r="D29" s="4">
        <f>IF(ISNUMBER(SEARCH("营",'18.04'!L29)),(-$Y29+50*IF('18.04'!$AK29="是",'18.04'!$AZ$4,'18.04'!$AZ$3)),(VLOOKUP('18.04'!L29,'18.04'!$AM$4:$AO$55,2,FALSE))*IF('18.04'!$AK29="是",'18.04'!$AZ$4,'18.04'!$AZ$3))</f>
        <v>128</v>
      </c>
      <c r="E29" s="4">
        <f>IF(ISNUMBER(SEARCH("营",'18.04'!M29)),(-$Y29+50*IF('18.04'!$AK29="是",'18.04'!$AZ$4,'18.04'!$AZ$3)),(VLOOKUP('18.04'!M29,'18.04'!$AM$4:$AO$55,2,FALSE))*IF('18.04'!$AK29="是",'18.04'!$AZ$4,'18.04'!$AZ$3))</f>
        <v>40</v>
      </c>
      <c r="F29" s="4">
        <f>IF(ISNUMBER(SEARCH("营",'18.04'!N29)),(-$Y29+50*IF('18.04'!$AK29="是",'18.04'!$AZ$4,'18.04'!$AZ$3)),(VLOOKUP('18.04'!N29,'18.04'!$AM$4:$AO$55,2,FALSE))*IF('18.04'!$AK29="是",'18.04'!$AZ$4,'18.04'!$AZ$3))</f>
        <v>0</v>
      </c>
      <c r="G29" s="4">
        <f>IF(ISNUMBER(SEARCH("营",'18.04'!O29)),(-$Y29+50*IF('18.04'!$AK29="是",'18.04'!$AZ$4,'18.04'!$AZ$3)),(VLOOKUP('18.04'!O29,'18.04'!$AM$4:$AO$55,2,FALSE))*IF('18.04'!$AK29="是",'18.04'!$AZ$4,'18.04'!$AZ$3))</f>
        <v>0</v>
      </c>
      <c r="H29" s="4">
        <f>IF(ISNUMBER(SEARCH("营",'18.04'!P29)),(-$Y29+50*IF('18.04'!$AK29="是",'18.04'!$AZ$4,'18.04'!$AZ$3)),(VLOOKUP('18.04'!P29,'18.04'!$AM$4:$AO$55,2,FALSE))*IF('18.04'!$AK29="是",'18.04'!$AZ$4,'18.04'!$AZ$3))</f>
        <v>0</v>
      </c>
      <c r="I29" s="4">
        <f>IF(ISNUMBER(SEARCH("营",'18.04'!Q29)),(-$Y29+50*IF('18.04'!$AK29="是",'18.04'!$AZ$4,'18.04'!$AZ$3)),(VLOOKUP('18.04'!Q29,'18.04'!$AM$4:$AO$55,2,FALSE))*IF('18.04'!$AK29="是",'18.04'!$AZ$4,'18.04'!$AZ$3))</f>
        <v>0</v>
      </c>
      <c r="J29" s="4">
        <f>IF(ISNUMBER(SEARCH("营",'18.04'!R29)),(-$Y29+50*IF('18.04'!$AK29="是",'18.04'!$AZ$4,'18.04'!$AZ$3)),(VLOOKUP('18.04'!R29,'18.04'!$AM$4:$AO$55,2,FALSE))*IF('18.04'!$AK29="是",'18.04'!$AZ$4,'18.04'!$AZ$3))</f>
        <v>0</v>
      </c>
      <c r="K29" s="4">
        <f>IF(ISNUMBER(SEARCH("营",'18.04'!S29)),(-$Y29+50*IF('18.04'!$AK29="是",'18.04'!$AZ$4,'18.04'!$AZ$3)),(VLOOKUP('18.04'!S29,'18.04'!$AM$4:$AO$55,2,FALSE))*IF('18.04'!$AK29="是",'18.04'!$AZ$4,'18.04'!$AZ$3))</f>
        <v>0</v>
      </c>
      <c r="L29" s="4">
        <f>IF(ISNUMBER(SEARCH("营",'18.04'!T29)),(-$Y29+50*IF('18.04'!$AK29="是",'18.04'!$AZ$4,'18.04'!$AZ$3)),(VLOOKUP('18.04'!T29,'18.04'!$AM$4:$AO$55,2,FALSE))*IF('18.04'!$AK29="是",'18.04'!$AZ$4,'18.04'!$AZ$3))</f>
        <v>0</v>
      </c>
      <c r="M29" s="4">
        <f>IF(ISNUMBER(SEARCH("营",'18.04'!U29)),(-$Y29+50*IF('18.04'!$AK29="是",'18.04'!$AZ$4,'18.04'!$AZ$3)),(VLOOKUP('18.04'!U29,'18.04'!$AM$4:$AO$55,2,FALSE))*IF('18.04'!$AK29="是",'18.04'!$AZ$4,'18.04'!$AZ$3))</f>
        <v>0</v>
      </c>
      <c r="N29" s="4">
        <f>IF(ISNUMBER(SEARCH("营",'18.04'!V29)),(-$Y29+50*IF('18.04'!$AK29="是",'18.04'!$AZ$4,'18.04'!$AZ$3)),(VLOOKUP('18.04'!V29,'18.04'!$AM$4:$AO$55,2,FALSE))*IF('18.04'!$AK29="是",'18.04'!$AZ$4,'18.04'!$AZ$3))</f>
        <v>0</v>
      </c>
      <c r="O29" s="4">
        <f>IF(ISNUMBER(SEARCH("营",'18.04'!W29)),(-$Y29+50*IF('18.04'!$AK29="是",'18.04'!$AZ$4,'18.04'!$AZ$3)),(VLOOKUP('18.04'!W29,'18.04'!$AM$4:$AO$55,2,FALSE))*IF('18.04'!$AK29="是",'18.04'!$AZ$4,'18.04'!$AZ$3))</f>
        <v>0</v>
      </c>
      <c r="P29" s="4">
        <f>IF(ISNUMBER(SEARCH("营",'18.04'!X29)),(-$Y29+50*IF('18.04'!$AK29="是",'18.04'!$AZ$4,'18.04'!$AZ$3)),(VLOOKUP('18.04'!X29,'18.04'!$AM$4:$AO$55,2,FALSE))*IF('18.04'!$AK29="是",'18.04'!$AZ$4,'18.04'!$AZ$3))</f>
        <v>0</v>
      </c>
      <c r="Q29" s="4">
        <f>IF(ISNUMBER(SEARCH("营",'18.04'!Y29)),(-$Y29+50*IF('18.04'!$AK29="是",'18.04'!$AZ$4,'18.04'!$AZ$3)),(VLOOKUP('18.04'!Y29,'18.04'!$AM$4:$AO$55,2,FALSE))*IF('18.04'!$AK29="是",'18.04'!$AZ$4,'18.04'!$AZ$3))</f>
        <v>0</v>
      </c>
      <c r="R29" s="4">
        <f>IF(ISNUMBER(SEARCH("营",'18.04'!Z29)),(-$Y29+50*IF('18.04'!$AK29="是",'18.04'!$AZ$4,'18.04'!$AZ$3)),(VLOOKUP('18.04'!Z29,'18.04'!$AM$4:$AO$55,2,FALSE))*IF('18.04'!$AK29="是",'18.04'!$AZ$4,'18.04'!$AZ$3))</f>
        <v>0</v>
      </c>
      <c r="S29" s="4">
        <f>IF(ISNUMBER(SEARCH("营",'18.04'!AA29)),(-$Y29+50*IF('18.04'!$AK29="是",'18.04'!$AZ$4,'18.04'!$AZ$3)),(VLOOKUP('18.04'!AA29,'18.04'!$AM$4:$AO$55,2,FALSE))*IF('18.04'!$AK29="是",'18.04'!$AZ$4,'18.04'!$AZ$3))</f>
        <v>0</v>
      </c>
      <c r="T29" s="4">
        <f>IF(ISNUMBER(SEARCH("营",'18.04'!AB29)),(-$Y29+50*IF('18.04'!$AK29="是",'18.04'!$AZ$4,'18.04'!$AZ$3)),(VLOOKUP('18.04'!AB29,'18.04'!$AM$4:$AO$55,2,FALSE))*IF('18.04'!$AK29="是",'18.04'!$AZ$4,'18.04'!$AZ$3))</f>
        <v>0</v>
      </c>
      <c r="U29" s="4">
        <f>IF(ISNUMBER(SEARCH("营",'18.04'!AC29)),(-$Y29+50*IF('18.04'!$AK29="是",'18.04'!$AZ$4,'18.04'!$AZ$3)),(VLOOKUP('18.04'!AC29,'18.04'!$AM$4:$AO$55,2,FALSE))*IF('18.04'!$AK29="是",'18.04'!$AZ$4,'18.04'!$AZ$3))</f>
        <v>0</v>
      </c>
      <c r="V29" s="4">
        <f>IF(ISNUMBER(SEARCH("营",'18.04'!AD29)),(-$Y29+50*IF('18.04'!$AK29="是",'18.04'!$AZ$4,'18.04'!$AZ$3)),(VLOOKUP('18.04'!AD29,'18.04'!$AM$4:$AO$55,2,FALSE))*IF('18.04'!$AK29="是",'18.04'!$AZ$4,'18.04'!$AZ$3))</f>
        <v>0</v>
      </c>
      <c r="W29" s="4">
        <f>IF(ISNUMBER(SEARCH("营",'18.04'!AE29)),(-$Y29+50*IF('18.04'!$AK29="是",'18.04'!$AZ$4,'18.04'!$AZ$3)),(VLOOKUP('18.04'!AE29,'18.04'!$AM$4:$AO$55,2,FALSE))*IF('18.04'!$AK29="是",'18.04'!$AZ$4,'18.04'!$AZ$3))</f>
        <v>0</v>
      </c>
      <c r="X29" s="4">
        <f>IF(ISNUMBER(SEARCH("营",'18.04'!AF29)),(-$Y29+50*IF('18.04'!$AK29="是",'18.04'!$AZ$4,'18.04'!$AZ$3)),(VLOOKUP('18.04'!AF29,'18.04'!$AM$4:$AO$55,2,FALSE))*IF('18.04'!$AK29="是",'18.04'!$AZ$4,'18.04'!$AZ$3))</f>
        <v>0</v>
      </c>
      <c r="Y29" s="78">
        <v>200</v>
      </c>
      <c r="Z29" s="90">
        <v>45664</v>
      </c>
    </row>
    <row r="30" spans="1:26">
      <c r="A30" s="4">
        <f>IF(ISNUMBER(SEARCH("营",'18.04'!I30)),(-$Y30+50*IF('18.04'!$AK30="是",'18.04'!$AZ$4,'18.04'!$AZ$3)),(VLOOKUP('18.04'!I30,'18.04'!$AM$4:$AO$55,2,FALSE))*IF('18.04'!$AK30="是",'18.04'!$AZ$4,'18.04'!$AZ$3))</f>
        <v>120</v>
      </c>
      <c r="B30" s="4">
        <f>IF(ISNUMBER(SEARCH("营",'18.04'!J30)),(-$Y30+50*IF('18.04'!$AK30="是",'18.04'!$AZ$4,'18.04'!$AZ$3)),(VLOOKUP('18.04'!J30,'18.04'!$AM$4:$AO$55,2,FALSE))*IF('18.04'!$AK30="是",'18.04'!$AZ$4,'18.04'!$AZ$3))</f>
        <v>128</v>
      </c>
      <c r="C30" s="4">
        <f>IF(ISNUMBER(SEARCH("营",'18.04'!K30)),(-$Y30+50*IF('18.04'!$AK30="是",'18.04'!$AZ$4,'18.04'!$AZ$3)),(VLOOKUP('18.04'!K30,'18.04'!$AM$4:$AO$55,2,FALSE))*IF('18.04'!$AK30="是",'18.04'!$AZ$4,'18.04'!$AZ$3))</f>
        <v>128</v>
      </c>
      <c r="D30" s="4">
        <f>IF(ISNUMBER(SEARCH("营",'18.04'!L30)),(-$Y30+50*IF('18.04'!$AK30="是",'18.04'!$AZ$4,'18.04'!$AZ$3)),(VLOOKUP('18.04'!L30,'18.04'!$AM$4:$AO$55,2,FALSE))*IF('18.04'!$AK30="是",'18.04'!$AZ$4,'18.04'!$AZ$3))</f>
        <v>40</v>
      </c>
      <c r="E30" s="4">
        <f>IF(ISNUMBER(SEARCH("营",'18.04'!M30)),(-$Y30+50*IF('18.04'!$AK30="是",'18.04'!$AZ$4,'18.04'!$AZ$3)),(VLOOKUP('18.04'!M30,'18.04'!$AM$4:$AO$55,2,FALSE))*IF('18.04'!$AK30="是",'18.04'!$AZ$4,'18.04'!$AZ$3))</f>
        <v>0</v>
      </c>
      <c r="F30" s="4">
        <f>IF(ISNUMBER(SEARCH("营",'18.04'!N30)),(-$Y30+50*IF('18.04'!$AK30="是",'18.04'!$AZ$4,'18.04'!$AZ$3)),(VLOOKUP('18.04'!N30,'18.04'!$AM$4:$AO$55,2,FALSE))*IF('18.04'!$AK30="是",'18.04'!$AZ$4,'18.04'!$AZ$3))</f>
        <v>0</v>
      </c>
      <c r="G30" s="4">
        <f>IF(ISNUMBER(SEARCH("营",'18.04'!O30)),(-$Y30+50*IF('18.04'!$AK30="是",'18.04'!$AZ$4,'18.04'!$AZ$3)),(VLOOKUP('18.04'!O30,'18.04'!$AM$4:$AO$55,2,FALSE))*IF('18.04'!$AK30="是",'18.04'!$AZ$4,'18.04'!$AZ$3))</f>
        <v>0</v>
      </c>
      <c r="H30" s="4">
        <f>IF(ISNUMBER(SEARCH("营",'18.04'!P30)),(-$Y30+50*IF('18.04'!$AK30="是",'18.04'!$AZ$4,'18.04'!$AZ$3)),(VLOOKUP('18.04'!P30,'18.04'!$AM$4:$AO$55,2,FALSE))*IF('18.04'!$AK30="是",'18.04'!$AZ$4,'18.04'!$AZ$3))</f>
        <v>0</v>
      </c>
      <c r="I30" s="4">
        <f>IF(ISNUMBER(SEARCH("营",'18.04'!Q30)),(-$Y30+50*IF('18.04'!$AK30="是",'18.04'!$AZ$4,'18.04'!$AZ$3)),(VLOOKUP('18.04'!Q30,'18.04'!$AM$4:$AO$55,2,FALSE))*IF('18.04'!$AK30="是",'18.04'!$AZ$4,'18.04'!$AZ$3))</f>
        <v>0</v>
      </c>
      <c r="J30" s="4">
        <f>IF(ISNUMBER(SEARCH("营",'18.04'!R30)),(-$Y30+50*IF('18.04'!$AK30="是",'18.04'!$AZ$4,'18.04'!$AZ$3)),(VLOOKUP('18.04'!R30,'18.04'!$AM$4:$AO$55,2,FALSE))*IF('18.04'!$AK30="是",'18.04'!$AZ$4,'18.04'!$AZ$3))</f>
        <v>0</v>
      </c>
      <c r="K30" s="4">
        <f>IF(ISNUMBER(SEARCH("营",'18.04'!S30)),(-$Y30+50*IF('18.04'!$AK30="是",'18.04'!$AZ$4,'18.04'!$AZ$3)),(VLOOKUP('18.04'!S30,'18.04'!$AM$4:$AO$55,2,FALSE))*IF('18.04'!$AK30="是",'18.04'!$AZ$4,'18.04'!$AZ$3))</f>
        <v>0</v>
      </c>
      <c r="L30" s="4">
        <f>IF(ISNUMBER(SEARCH("营",'18.04'!T30)),(-$Y30+50*IF('18.04'!$AK30="是",'18.04'!$AZ$4,'18.04'!$AZ$3)),(VLOOKUP('18.04'!T30,'18.04'!$AM$4:$AO$55,2,FALSE))*IF('18.04'!$AK30="是",'18.04'!$AZ$4,'18.04'!$AZ$3))</f>
        <v>0</v>
      </c>
      <c r="M30" s="4">
        <f>IF(ISNUMBER(SEARCH("营",'18.04'!U30)),(-$Y30+50*IF('18.04'!$AK30="是",'18.04'!$AZ$4,'18.04'!$AZ$3)),(VLOOKUP('18.04'!U30,'18.04'!$AM$4:$AO$55,2,FALSE))*IF('18.04'!$AK30="是",'18.04'!$AZ$4,'18.04'!$AZ$3))</f>
        <v>0</v>
      </c>
      <c r="N30" s="4">
        <f>IF(ISNUMBER(SEARCH("营",'18.04'!V30)),(-$Y30+50*IF('18.04'!$AK30="是",'18.04'!$AZ$4,'18.04'!$AZ$3)),(VLOOKUP('18.04'!V30,'18.04'!$AM$4:$AO$55,2,FALSE))*IF('18.04'!$AK30="是",'18.04'!$AZ$4,'18.04'!$AZ$3))</f>
        <v>0</v>
      </c>
      <c r="O30" s="4">
        <f>IF(ISNUMBER(SEARCH("营",'18.04'!W30)),(-$Y30+50*IF('18.04'!$AK30="是",'18.04'!$AZ$4,'18.04'!$AZ$3)),(VLOOKUP('18.04'!W30,'18.04'!$AM$4:$AO$55,2,FALSE))*IF('18.04'!$AK30="是",'18.04'!$AZ$4,'18.04'!$AZ$3))</f>
        <v>0</v>
      </c>
      <c r="P30" s="4">
        <f>IF(ISNUMBER(SEARCH("营",'18.04'!X30)),(-$Y30+50*IF('18.04'!$AK30="是",'18.04'!$AZ$4,'18.04'!$AZ$3)),(VLOOKUP('18.04'!X30,'18.04'!$AM$4:$AO$55,2,FALSE))*IF('18.04'!$AK30="是",'18.04'!$AZ$4,'18.04'!$AZ$3))</f>
        <v>0</v>
      </c>
      <c r="Q30" s="4">
        <f>IF(ISNUMBER(SEARCH("营",'18.04'!Y30)),(-$Y30+50*IF('18.04'!$AK30="是",'18.04'!$AZ$4,'18.04'!$AZ$3)),(VLOOKUP('18.04'!Y30,'18.04'!$AM$4:$AO$55,2,FALSE))*IF('18.04'!$AK30="是",'18.04'!$AZ$4,'18.04'!$AZ$3))</f>
        <v>0</v>
      </c>
      <c r="R30" s="4">
        <f>IF(ISNUMBER(SEARCH("营",'18.04'!Z30)),(-$Y30+50*IF('18.04'!$AK30="是",'18.04'!$AZ$4,'18.04'!$AZ$3)),(VLOOKUP('18.04'!Z30,'18.04'!$AM$4:$AO$55,2,FALSE))*IF('18.04'!$AK30="是",'18.04'!$AZ$4,'18.04'!$AZ$3))</f>
        <v>0</v>
      </c>
      <c r="S30" s="4">
        <f>IF(ISNUMBER(SEARCH("营",'18.04'!AA30)),(-$Y30+50*IF('18.04'!$AK30="是",'18.04'!$AZ$4,'18.04'!$AZ$3)),(VLOOKUP('18.04'!AA30,'18.04'!$AM$4:$AO$55,2,FALSE))*IF('18.04'!$AK30="是",'18.04'!$AZ$4,'18.04'!$AZ$3))</f>
        <v>0</v>
      </c>
      <c r="T30" s="4">
        <f>IF(ISNUMBER(SEARCH("营",'18.04'!AB30)),(-$Y30+50*IF('18.04'!$AK30="是",'18.04'!$AZ$4,'18.04'!$AZ$3)),(VLOOKUP('18.04'!AB30,'18.04'!$AM$4:$AO$55,2,FALSE))*IF('18.04'!$AK30="是",'18.04'!$AZ$4,'18.04'!$AZ$3))</f>
        <v>0</v>
      </c>
      <c r="U30" s="4">
        <f>IF(ISNUMBER(SEARCH("营",'18.04'!AC30)),(-$Y30+50*IF('18.04'!$AK30="是",'18.04'!$AZ$4,'18.04'!$AZ$3)),(VLOOKUP('18.04'!AC30,'18.04'!$AM$4:$AO$55,2,FALSE))*IF('18.04'!$AK30="是",'18.04'!$AZ$4,'18.04'!$AZ$3))</f>
        <v>0</v>
      </c>
      <c r="V30" s="4">
        <f>IF(ISNUMBER(SEARCH("营",'18.04'!AD30)),(-$Y30+50*IF('18.04'!$AK30="是",'18.04'!$AZ$4,'18.04'!$AZ$3)),(VLOOKUP('18.04'!AD30,'18.04'!$AM$4:$AO$55,2,FALSE))*IF('18.04'!$AK30="是",'18.04'!$AZ$4,'18.04'!$AZ$3))</f>
        <v>0</v>
      </c>
      <c r="W30" s="4">
        <f>IF(ISNUMBER(SEARCH("营",'18.04'!AE30)),(-$Y30+50*IF('18.04'!$AK30="是",'18.04'!$AZ$4,'18.04'!$AZ$3)),(VLOOKUP('18.04'!AE30,'18.04'!$AM$4:$AO$55,2,FALSE))*IF('18.04'!$AK30="是",'18.04'!$AZ$4,'18.04'!$AZ$3))</f>
        <v>0</v>
      </c>
      <c r="X30" s="4">
        <f>IF(ISNUMBER(SEARCH("营",'18.04'!AF30)),(-$Y30+50*IF('18.04'!$AK30="是",'18.04'!$AZ$4,'18.04'!$AZ$3)),(VLOOKUP('18.04'!AF30,'18.04'!$AM$4:$AO$55,2,FALSE))*IF('18.04'!$AK30="是",'18.04'!$AZ$4,'18.04'!$AZ$3))</f>
        <v>0</v>
      </c>
      <c r="Y30" s="78">
        <v>200</v>
      </c>
      <c r="Z30" s="90">
        <v>45665</v>
      </c>
    </row>
    <row r="31" spans="1:26">
      <c r="A31" s="4">
        <f>IF(ISNUMBER(SEARCH("营",'18.04'!I31)),(-$Y31+50*IF('18.04'!$AK31="是",'18.04'!$AZ$4,'18.04'!$AZ$3)),(VLOOKUP('18.04'!I31,'18.04'!$AM$4:$AO$55,2,FALSE))*IF('18.04'!$AK31="是",'18.04'!$AZ$4,'18.04'!$AZ$3))</f>
        <v>0</v>
      </c>
      <c r="B31" s="4">
        <f>IF(ISNUMBER(SEARCH("营",'18.04'!J31)),(-$Y31+50*IF('18.04'!$AK31="是",'18.04'!$AZ$4,'18.04'!$AZ$3)),(VLOOKUP('18.04'!J31,'18.04'!$AM$4:$AO$55,2,FALSE))*IF('18.04'!$AK31="是",'18.04'!$AZ$4,'18.04'!$AZ$3))</f>
        <v>0</v>
      </c>
      <c r="C31" s="4">
        <f>IF(ISNUMBER(SEARCH("营",'18.04'!K31)),(-$Y31+50*IF('18.04'!$AK31="是",'18.04'!$AZ$4,'18.04'!$AZ$3)),(VLOOKUP('18.04'!K31,'18.04'!$AM$4:$AO$55,2,FALSE))*IF('18.04'!$AK31="是",'18.04'!$AZ$4,'18.04'!$AZ$3))</f>
        <v>0</v>
      </c>
      <c r="D31" s="4">
        <f>IF(ISNUMBER(SEARCH("营",'18.04'!L31)),(-$Y31+50*IF('18.04'!$AK31="是",'18.04'!$AZ$4,'18.04'!$AZ$3)),(VLOOKUP('18.04'!L31,'18.04'!$AM$4:$AO$55,2,FALSE))*IF('18.04'!$AK31="是",'18.04'!$AZ$4,'18.04'!$AZ$3))</f>
        <v>0</v>
      </c>
      <c r="E31" s="4">
        <f>IF(ISNUMBER(SEARCH("营",'18.04'!M31)),(-$Y31+50*IF('18.04'!$AK31="是",'18.04'!$AZ$4,'18.04'!$AZ$3)),(VLOOKUP('18.04'!M31,'18.04'!$AM$4:$AO$55,2,FALSE))*IF('18.04'!$AK31="是",'18.04'!$AZ$4,'18.04'!$AZ$3))</f>
        <v>0</v>
      </c>
      <c r="F31" s="4">
        <f>IF(ISNUMBER(SEARCH("营",'18.04'!N31)),(-$Y31+50*IF('18.04'!$AK31="是",'18.04'!$AZ$4,'18.04'!$AZ$3)),(VLOOKUP('18.04'!N31,'18.04'!$AM$4:$AO$55,2,FALSE))*IF('18.04'!$AK31="是",'18.04'!$AZ$4,'18.04'!$AZ$3))</f>
        <v>0</v>
      </c>
      <c r="G31" s="4">
        <f>IF(ISNUMBER(SEARCH("营",'18.04'!O31)),(-$Y31+50*IF('18.04'!$AK31="是",'18.04'!$AZ$4,'18.04'!$AZ$3)),(VLOOKUP('18.04'!O31,'18.04'!$AM$4:$AO$55,2,FALSE))*IF('18.04'!$AK31="是",'18.04'!$AZ$4,'18.04'!$AZ$3))</f>
        <v>0</v>
      </c>
      <c r="H31" s="4">
        <f>IF(ISNUMBER(SEARCH("营",'18.04'!P31)),(-$Y31+50*IF('18.04'!$AK31="是",'18.04'!$AZ$4,'18.04'!$AZ$3)),(VLOOKUP('18.04'!P31,'18.04'!$AM$4:$AO$55,2,FALSE))*IF('18.04'!$AK31="是",'18.04'!$AZ$4,'18.04'!$AZ$3))</f>
        <v>0</v>
      </c>
      <c r="I31" s="4">
        <f>IF(ISNUMBER(SEARCH("营",'18.04'!Q31)),(-$Y31+50*IF('18.04'!$AK31="是",'18.04'!$AZ$4,'18.04'!$AZ$3)),(VLOOKUP('18.04'!Q31,'18.04'!$AM$4:$AO$55,2,FALSE))*IF('18.04'!$AK31="是",'18.04'!$AZ$4,'18.04'!$AZ$3))</f>
        <v>0</v>
      </c>
      <c r="J31" s="4">
        <f>IF(ISNUMBER(SEARCH("营",'18.04'!R31)),(-$Y31+50*IF('18.04'!$AK31="是",'18.04'!$AZ$4,'18.04'!$AZ$3)),(VLOOKUP('18.04'!R31,'18.04'!$AM$4:$AO$55,2,FALSE))*IF('18.04'!$AK31="是",'18.04'!$AZ$4,'18.04'!$AZ$3))</f>
        <v>0</v>
      </c>
      <c r="K31" s="4">
        <f>IF(ISNUMBER(SEARCH("营",'18.04'!S31)),(-$Y31+50*IF('18.04'!$AK31="是",'18.04'!$AZ$4,'18.04'!$AZ$3)),(VLOOKUP('18.04'!S31,'18.04'!$AM$4:$AO$55,2,FALSE))*IF('18.04'!$AK31="是",'18.04'!$AZ$4,'18.04'!$AZ$3))</f>
        <v>0</v>
      </c>
      <c r="L31" s="4">
        <f>IF(ISNUMBER(SEARCH("营",'18.04'!T31)),(-$Y31+50*IF('18.04'!$AK31="是",'18.04'!$AZ$4,'18.04'!$AZ$3)),(VLOOKUP('18.04'!T31,'18.04'!$AM$4:$AO$55,2,FALSE))*IF('18.04'!$AK31="是",'18.04'!$AZ$4,'18.04'!$AZ$3))</f>
        <v>0</v>
      </c>
      <c r="M31" s="4">
        <f>IF(ISNUMBER(SEARCH("营",'18.04'!U31)),(-$Y31+50*IF('18.04'!$AK31="是",'18.04'!$AZ$4,'18.04'!$AZ$3)),(VLOOKUP('18.04'!U31,'18.04'!$AM$4:$AO$55,2,FALSE))*IF('18.04'!$AK31="是",'18.04'!$AZ$4,'18.04'!$AZ$3))</f>
        <v>0</v>
      </c>
      <c r="N31" s="4">
        <f>IF(ISNUMBER(SEARCH("营",'18.04'!V31)),(-$Y31+50*IF('18.04'!$AK31="是",'18.04'!$AZ$4,'18.04'!$AZ$3)),(VLOOKUP('18.04'!V31,'18.04'!$AM$4:$AO$55,2,FALSE))*IF('18.04'!$AK31="是",'18.04'!$AZ$4,'18.04'!$AZ$3))</f>
        <v>0</v>
      </c>
      <c r="O31" s="4">
        <f>IF(ISNUMBER(SEARCH("营",'18.04'!W31)),(-$Y31+50*IF('18.04'!$AK31="是",'18.04'!$AZ$4,'18.04'!$AZ$3)),(VLOOKUP('18.04'!W31,'18.04'!$AM$4:$AO$55,2,FALSE))*IF('18.04'!$AK31="是",'18.04'!$AZ$4,'18.04'!$AZ$3))</f>
        <v>0</v>
      </c>
      <c r="P31" s="4">
        <f>IF(ISNUMBER(SEARCH("营",'18.04'!X31)),(-$Y31+50*IF('18.04'!$AK31="是",'18.04'!$AZ$4,'18.04'!$AZ$3)),(VLOOKUP('18.04'!X31,'18.04'!$AM$4:$AO$55,2,FALSE))*IF('18.04'!$AK31="是",'18.04'!$AZ$4,'18.04'!$AZ$3))</f>
        <v>0</v>
      </c>
      <c r="Q31" s="4">
        <f>IF(ISNUMBER(SEARCH("营",'18.04'!Y31)),(-$Y31+50*IF('18.04'!$AK31="是",'18.04'!$AZ$4,'18.04'!$AZ$3)),(VLOOKUP('18.04'!Y31,'18.04'!$AM$4:$AO$55,2,FALSE))*IF('18.04'!$AK31="是",'18.04'!$AZ$4,'18.04'!$AZ$3))</f>
        <v>0</v>
      </c>
      <c r="R31" s="4">
        <f>IF(ISNUMBER(SEARCH("营",'18.04'!Z31)),(-$Y31+50*IF('18.04'!$AK31="是",'18.04'!$AZ$4,'18.04'!$AZ$3)),(VLOOKUP('18.04'!Z31,'18.04'!$AM$4:$AO$55,2,FALSE))*IF('18.04'!$AK31="是",'18.04'!$AZ$4,'18.04'!$AZ$3))</f>
        <v>0</v>
      </c>
      <c r="S31" s="4">
        <f>IF(ISNUMBER(SEARCH("营",'18.04'!AA31)),(-$Y31+50*IF('18.04'!$AK31="是",'18.04'!$AZ$4,'18.04'!$AZ$3)),(VLOOKUP('18.04'!AA31,'18.04'!$AM$4:$AO$55,2,FALSE))*IF('18.04'!$AK31="是",'18.04'!$AZ$4,'18.04'!$AZ$3))</f>
        <v>0</v>
      </c>
      <c r="T31" s="4">
        <f>IF(ISNUMBER(SEARCH("营",'18.04'!AB31)),(-$Y31+50*IF('18.04'!$AK31="是",'18.04'!$AZ$4,'18.04'!$AZ$3)),(VLOOKUP('18.04'!AB31,'18.04'!$AM$4:$AO$55,2,FALSE))*IF('18.04'!$AK31="是",'18.04'!$AZ$4,'18.04'!$AZ$3))</f>
        <v>0</v>
      </c>
      <c r="U31" s="4">
        <f>IF(ISNUMBER(SEARCH("营",'18.04'!AC31)),(-$Y31+50*IF('18.04'!$AK31="是",'18.04'!$AZ$4,'18.04'!$AZ$3)),(VLOOKUP('18.04'!AC31,'18.04'!$AM$4:$AO$55,2,FALSE))*IF('18.04'!$AK31="是",'18.04'!$AZ$4,'18.04'!$AZ$3))</f>
        <v>0</v>
      </c>
      <c r="V31" s="4">
        <f>IF(ISNUMBER(SEARCH("营",'18.04'!AD31)),(-$Y31+50*IF('18.04'!$AK31="是",'18.04'!$AZ$4,'18.04'!$AZ$3)),(VLOOKUP('18.04'!AD31,'18.04'!$AM$4:$AO$55,2,FALSE))*IF('18.04'!$AK31="是",'18.04'!$AZ$4,'18.04'!$AZ$3))</f>
        <v>0</v>
      </c>
      <c r="W31" s="4">
        <f>IF(ISNUMBER(SEARCH("营",'18.04'!AE31)),(-$Y31+50*IF('18.04'!$AK31="是",'18.04'!$AZ$4,'18.04'!$AZ$3)),(VLOOKUP('18.04'!AE31,'18.04'!$AM$4:$AO$55,2,FALSE))*IF('18.04'!$AK31="是",'18.04'!$AZ$4,'18.04'!$AZ$3))</f>
        <v>0</v>
      </c>
      <c r="X31" s="4">
        <f>IF(ISNUMBER(SEARCH("营",'18.04'!AF31)),(-$Y31+50*IF('18.04'!$AK31="是",'18.04'!$AZ$4,'18.04'!$AZ$3)),(VLOOKUP('18.04'!AF31,'18.04'!$AM$4:$AO$55,2,FALSE))*IF('18.04'!$AK31="是",'18.04'!$AZ$4,'18.04'!$AZ$3))</f>
        <v>0</v>
      </c>
      <c r="Y31" s="78">
        <v>200</v>
      </c>
      <c r="Z31" s="90">
        <v>45666</v>
      </c>
    </row>
    <row r="32" spans="1:26">
      <c r="A32" s="4">
        <f>IF(ISNUMBER(SEARCH("营",'18.04'!I32)),(-$Y32+50*IF('18.04'!$AK32="是",'18.04'!$AZ$4,'18.04'!$AZ$3)),(VLOOKUP('18.04'!I32,'18.04'!$AM$4:$AO$55,2,FALSE))*IF('18.04'!$AK32="是",'18.04'!$AZ$4,'18.04'!$AZ$3))</f>
        <v>136</v>
      </c>
      <c r="B32" s="4">
        <f>IF(ISNUMBER(SEARCH("营",'18.04'!J32)),(-$Y32+50*IF('18.04'!$AK32="是",'18.04'!$AZ$4,'18.04'!$AZ$3)),(VLOOKUP('18.04'!J32,'18.04'!$AM$4:$AO$55,2,FALSE))*IF('18.04'!$AK32="是",'18.04'!$AZ$4,'18.04'!$AZ$3))</f>
        <v>136</v>
      </c>
      <c r="C32" s="4">
        <f>IF(ISNUMBER(SEARCH("营",'18.04'!K32)),(-$Y32+50*IF('18.04'!$AK32="是",'18.04'!$AZ$4,'18.04'!$AZ$3)),(VLOOKUP('18.04'!K32,'18.04'!$AM$4:$AO$55,2,FALSE))*IF('18.04'!$AK32="是",'18.04'!$AZ$4,'18.04'!$AZ$3))</f>
        <v>136</v>
      </c>
      <c r="D32" s="4">
        <f>IF(ISNUMBER(SEARCH("营",'18.04'!L32)),(-$Y32+50*IF('18.04'!$AK32="是",'18.04'!$AZ$4,'18.04'!$AZ$3)),(VLOOKUP('18.04'!L32,'18.04'!$AM$4:$AO$55,2,FALSE))*IF('18.04'!$AK32="是",'18.04'!$AZ$4,'18.04'!$AZ$3))</f>
        <v>136</v>
      </c>
      <c r="E32" s="4">
        <f>IF(ISNUMBER(SEARCH("营",'18.04'!M32)),(-$Y32+50*IF('18.04'!$AK32="是",'18.04'!$AZ$4,'18.04'!$AZ$3)),(VLOOKUP('18.04'!M32,'18.04'!$AM$4:$AO$55,2,FALSE))*IF('18.04'!$AK32="是",'18.04'!$AZ$4,'18.04'!$AZ$3))</f>
        <v>136</v>
      </c>
      <c r="F32" s="4">
        <f>IF(ISNUMBER(SEARCH("营",'18.04'!N32)),(-$Y32+50*IF('18.04'!$AK32="是",'18.04'!$AZ$4,'18.04'!$AZ$3)),(VLOOKUP('18.04'!N32,'18.04'!$AM$4:$AO$55,2,FALSE))*IF('18.04'!$AK32="是",'18.04'!$AZ$4,'18.04'!$AZ$3))</f>
        <v>136</v>
      </c>
      <c r="G32" s="4">
        <f>IF(ISNUMBER(SEARCH("营",'18.04'!O32)),(-$Y32+50*IF('18.04'!$AK32="是",'18.04'!$AZ$4,'18.04'!$AZ$3)),(VLOOKUP('18.04'!O32,'18.04'!$AM$4:$AO$55,2,FALSE))*IF('18.04'!$AK32="是",'18.04'!$AZ$4,'18.04'!$AZ$3))</f>
        <v>136</v>
      </c>
      <c r="H32" s="4">
        <f>IF(ISNUMBER(SEARCH("营",'18.04'!P32)),(-$Y32+50*IF('18.04'!$AK32="是",'18.04'!$AZ$4,'18.04'!$AZ$3)),(VLOOKUP('18.04'!P32,'18.04'!$AM$4:$AO$55,2,FALSE))*IF('18.04'!$AK32="是",'18.04'!$AZ$4,'18.04'!$AZ$3))</f>
        <v>0</v>
      </c>
      <c r="I32" s="4">
        <f>IF(ISNUMBER(SEARCH("营",'18.04'!Q32)),(-$Y32+50*IF('18.04'!$AK32="是",'18.04'!$AZ$4,'18.04'!$AZ$3)),(VLOOKUP('18.04'!Q32,'18.04'!$AM$4:$AO$55,2,FALSE))*IF('18.04'!$AK32="是",'18.04'!$AZ$4,'18.04'!$AZ$3))</f>
        <v>152</v>
      </c>
      <c r="J32" s="4">
        <f>IF(ISNUMBER(SEARCH("营",'18.04'!R32)),(-$Y32+50*IF('18.04'!$AK32="是",'18.04'!$AZ$4,'18.04'!$AZ$3)),(VLOOKUP('18.04'!R32,'18.04'!$AM$4:$AO$55,2,FALSE))*IF('18.04'!$AK32="是",'18.04'!$AZ$4,'18.04'!$AZ$3))</f>
        <v>152</v>
      </c>
      <c r="K32" s="4">
        <f>IF(ISNUMBER(SEARCH("营",'18.04'!S32)),(-$Y32+50*IF('18.04'!$AK32="是",'18.04'!$AZ$4,'18.04'!$AZ$3)),(VLOOKUP('18.04'!S32,'18.04'!$AM$4:$AO$55,2,FALSE))*IF('18.04'!$AK32="是",'18.04'!$AZ$4,'18.04'!$AZ$3))</f>
        <v>152</v>
      </c>
      <c r="L32" s="4">
        <f>IF(ISNUMBER(SEARCH("营",'18.04'!T32)),(-$Y32+50*IF('18.04'!$AK32="是",'18.04'!$AZ$4,'18.04'!$AZ$3)),(VLOOKUP('18.04'!T32,'18.04'!$AM$4:$AO$55,2,FALSE))*IF('18.04'!$AK32="是",'18.04'!$AZ$4,'18.04'!$AZ$3))</f>
        <v>152</v>
      </c>
      <c r="M32" s="4">
        <f>IF(ISNUMBER(SEARCH("营",'18.04'!U32)),(-$Y32+50*IF('18.04'!$AK32="是",'18.04'!$AZ$4,'18.04'!$AZ$3)),(VLOOKUP('18.04'!U32,'18.04'!$AM$4:$AO$55,2,FALSE))*IF('18.04'!$AK32="是",'18.04'!$AZ$4,'18.04'!$AZ$3))</f>
        <v>152</v>
      </c>
      <c r="N32" s="4">
        <f>IF(ISNUMBER(SEARCH("营",'18.04'!V32)),(-$Y32+50*IF('18.04'!$AK32="是",'18.04'!$AZ$4,'18.04'!$AZ$3)),(VLOOKUP('18.04'!V32,'18.04'!$AM$4:$AO$55,2,FALSE))*IF('18.04'!$AK32="是",'18.04'!$AZ$4,'18.04'!$AZ$3))</f>
        <v>152</v>
      </c>
      <c r="O32" s="4">
        <f>IF(ISNUMBER(SEARCH("营",'18.04'!W32)),(-$Y32+50*IF('18.04'!$AK32="是",'18.04'!$AZ$4,'18.04'!$AZ$3)),(VLOOKUP('18.04'!W32,'18.04'!$AM$4:$AO$55,2,FALSE))*IF('18.04'!$AK32="是",'18.04'!$AZ$4,'18.04'!$AZ$3))</f>
        <v>152</v>
      </c>
      <c r="P32" s="4">
        <f>IF(ISNUMBER(SEARCH("营",'18.04'!X32)),(-$Y32+50*IF('18.04'!$AK32="是",'18.04'!$AZ$4,'18.04'!$AZ$3)),(VLOOKUP('18.04'!X32,'18.04'!$AM$4:$AO$55,2,FALSE))*IF('18.04'!$AK32="是",'18.04'!$AZ$4,'18.04'!$AZ$3))</f>
        <v>152</v>
      </c>
      <c r="Q32" s="4">
        <f>IF(ISNUMBER(SEARCH("营",'18.04'!Y32)),(-$Y32+50*IF('18.04'!$AK32="是",'18.04'!$AZ$4,'18.04'!$AZ$3)),(VLOOKUP('18.04'!Y32,'18.04'!$AM$4:$AO$55,2,FALSE))*IF('18.04'!$AK32="是",'18.04'!$AZ$4,'18.04'!$AZ$3))</f>
        <v>120</v>
      </c>
      <c r="R32" s="4">
        <f>IF(ISNUMBER(SEARCH("营",'18.04'!Z32)),(-$Y32+50*IF('18.04'!$AK32="是",'18.04'!$AZ$4,'18.04'!$AZ$3)),(VLOOKUP('18.04'!Z32,'18.04'!$AM$4:$AO$55,2,FALSE))*IF('18.04'!$AK32="是",'18.04'!$AZ$4,'18.04'!$AZ$3))</f>
        <v>120</v>
      </c>
      <c r="S32" s="4">
        <f>IF(ISNUMBER(SEARCH("营",'18.04'!AA32)),(-$Y32+50*IF('18.04'!$AK32="是",'18.04'!$AZ$4,'18.04'!$AZ$3)),(VLOOKUP('18.04'!AA32,'18.04'!$AM$4:$AO$55,2,FALSE))*IF('18.04'!$AK32="是",'18.04'!$AZ$4,'18.04'!$AZ$3))</f>
        <v>120</v>
      </c>
      <c r="T32" s="4">
        <f>IF(ISNUMBER(SEARCH("营",'18.04'!AB32)),(-$Y32+50*IF('18.04'!$AK32="是",'18.04'!$AZ$4,'18.04'!$AZ$3)),(VLOOKUP('18.04'!AB32,'18.04'!$AM$4:$AO$55,2,FALSE))*IF('18.04'!$AK32="是",'18.04'!$AZ$4,'18.04'!$AZ$3))</f>
        <v>120</v>
      </c>
      <c r="U32" s="4">
        <f>IF(ISNUMBER(SEARCH("营",'18.04'!AC32)),(-$Y32+50*IF('18.04'!$AK32="是",'18.04'!$AZ$4,'18.04'!$AZ$3)),(VLOOKUP('18.04'!AC32,'18.04'!$AM$4:$AO$55,2,FALSE))*IF('18.04'!$AK32="是",'18.04'!$AZ$4,'18.04'!$AZ$3))</f>
        <v>0</v>
      </c>
      <c r="V32" s="4">
        <f>IF(ISNUMBER(SEARCH("营",'18.04'!AD32)),(-$Y32+50*IF('18.04'!$AK32="是",'18.04'!$AZ$4,'18.04'!$AZ$3)),(VLOOKUP('18.04'!AD32,'18.04'!$AM$4:$AO$55,2,FALSE))*IF('18.04'!$AK32="是",'18.04'!$AZ$4,'18.04'!$AZ$3))</f>
        <v>0</v>
      </c>
      <c r="W32" s="4">
        <f>IF(ISNUMBER(SEARCH("营",'18.04'!AE32)),(-$Y32+50*IF('18.04'!$AK32="是",'18.04'!$AZ$4,'18.04'!$AZ$3)),(VLOOKUP('18.04'!AE32,'18.04'!$AM$4:$AO$55,2,FALSE))*IF('18.04'!$AK32="是",'18.04'!$AZ$4,'18.04'!$AZ$3))</f>
        <v>0</v>
      </c>
      <c r="X32" s="4">
        <f>IF(ISNUMBER(SEARCH("营",'18.04'!AF32)),(-$Y32+50*IF('18.04'!$AK32="是",'18.04'!$AZ$4,'18.04'!$AZ$3)),(VLOOKUP('18.04'!AF32,'18.04'!$AM$4:$AO$55,2,FALSE))*IF('18.04'!$AK32="是",'18.04'!$AZ$4,'18.04'!$AZ$3))</f>
        <v>0</v>
      </c>
      <c r="Y32" s="78">
        <v>200</v>
      </c>
      <c r="Z32" s="90">
        <v>45667</v>
      </c>
    </row>
    <row r="33" spans="1:26">
      <c r="A33" s="4">
        <f>IF(ISNUMBER(SEARCH("营",'18.04'!I33)),(-$Y33+50*IF('18.04'!$AK33="是",'18.04'!$AZ$4,'18.04'!$AZ$3)),(VLOOKUP('18.04'!I33,'18.04'!$AM$4:$AO$55,2,FALSE))*IF('18.04'!$AK33="是",'18.04'!$AZ$4,'18.04'!$AZ$3))</f>
        <v>136</v>
      </c>
      <c r="B33" s="4">
        <f>IF(ISNUMBER(SEARCH("营",'18.04'!J33)),(-$Y33+50*IF('18.04'!$AK33="是",'18.04'!$AZ$4,'18.04'!$AZ$3)),(VLOOKUP('18.04'!J33,'18.04'!$AM$4:$AO$55,2,FALSE))*IF('18.04'!$AK33="是",'18.04'!$AZ$4,'18.04'!$AZ$3))</f>
        <v>136</v>
      </c>
      <c r="C33" s="4">
        <f>IF(ISNUMBER(SEARCH("营",'18.04'!K33)),(-$Y33+50*IF('18.04'!$AK33="是",'18.04'!$AZ$4,'18.04'!$AZ$3)),(VLOOKUP('18.04'!K33,'18.04'!$AM$4:$AO$55,2,FALSE))*IF('18.04'!$AK33="是",'18.04'!$AZ$4,'18.04'!$AZ$3))</f>
        <v>136</v>
      </c>
      <c r="D33" s="4">
        <f>IF(ISNUMBER(SEARCH("营",'18.04'!L33)),(-$Y33+50*IF('18.04'!$AK33="是",'18.04'!$AZ$4,'18.04'!$AZ$3)),(VLOOKUP('18.04'!L33,'18.04'!$AM$4:$AO$55,2,FALSE))*IF('18.04'!$AK33="是",'18.04'!$AZ$4,'18.04'!$AZ$3))</f>
        <v>136</v>
      </c>
      <c r="E33" s="4">
        <f>IF(ISNUMBER(SEARCH("营",'18.04'!M33)),(-$Y33+50*IF('18.04'!$AK33="是",'18.04'!$AZ$4,'18.04'!$AZ$3)),(VLOOKUP('18.04'!M33,'18.04'!$AM$4:$AO$55,2,FALSE))*IF('18.04'!$AK33="是",'18.04'!$AZ$4,'18.04'!$AZ$3))</f>
        <v>136</v>
      </c>
      <c r="F33" s="4">
        <f>IF(ISNUMBER(SEARCH("营",'18.04'!N33)),(-$Y33+50*IF('18.04'!$AK33="是",'18.04'!$AZ$4,'18.04'!$AZ$3)),(VLOOKUP('18.04'!N33,'18.04'!$AM$4:$AO$55,2,FALSE))*IF('18.04'!$AK33="是",'18.04'!$AZ$4,'18.04'!$AZ$3))</f>
        <v>136</v>
      </c>
      <c r="G33" s="4">
        <f>IF(ISNUMBER(SEARCH("营",'18.04'!O33)),(-$Y33+50*IF('18.04'!$AK33="是",'18.04'!$AZ$4,'18.04'!$AZ$3)),(VLOOKUP('18.04'!O33,'18.04'!$AM$4:$AO$55,2,FALSE))*IF('18.04'!$AK33="是",'18.04'!$AZ$4,'18.04'!$AZ$3))</f>
        <v>136</v>
      </c>
      <c r="H33" s="4">
        <f>IF(ISNUMBER(SEARCH("营",'18.04'!P33)),(-$Y33+50*IF('18.04'!$AK33="是",'18.04'!$AZ$4,'18.04'!$AZ$3)),(VLOOKUP('18.04'!P33,'18.04'!$AM$4:$AO$55,2,FALSE))*IF('18.04'!$AK33="是",'18.04'!$AZ$4,'18.04'!$AZ$3))</f>
        <v>0</v>
      </c>
      <c r="I33" s="4">
        <f>IF(ISNUMBER(SEARCH("营",'18.04'!Q33)),(-$Y33+50*IF('18.04'!$AK33="是",'18.04'!$AZ$4,'18.04'!$AZ$3)),(VLOOKUP('18.04'!Q33,'18.04'!$AM$4:$AO$55,2,FALSE))*IF('18.04'!$AK33="是",'18.04'!$AZ$4,'18.04'!$AZ$3))</f>
        <v>152</v>
      </c>
      <c r="J33" s="4">
        <f>IF(ISNUMBER(SEARCH("营",'18.04'!R33)),(-$Y33+50*IF('18.04'!$AK33="是",'18.04'!$AZ$4,'18.04'!$AZ$3)),(VLOOKUP('18.04'!R33,'18.04'!$AM$4:$AO$55,2,FALSE))*IF('18.04'!$AK33="是",'18.04'!$AZ$4,'18.04'!$AZ$3))</f>
        <v>152</v>
      </c>
      <c r="K33" s="4">
        <f>IF(ISNUMBER(SEARCH("营",'18.04'!S33)),(-$Y33+50*IF('18.04'!$AK33="是",'18.04'!$AZ$4,'18.04'!$AZ$3)),(VLOOKUP('18.04'!S33,'18.04'!$AM$4:$AO$55,2,FALSE))*IF('18.04'!$AK33="是",'18.04'!$AZ$4,'18.04'!$AZ$3))</f>
        <v>152</v>
      </c>
      <c r="L33" s="4">
        <f>IF(ISNUMBER(SEARCH("营",'18.04'!T33)),(-$Y33+50*IF('18.04'!$AK33="是",'18.04'!$AZ$4,'18.04'!$AZ$3)),(VLOOKUP('18.04'!T33,'18.04'!$AM$4:$AO$55,2,FALSE))*IF('18.04'!$AK33="是",'18.04'!$AZ$4,'18.04'!$AZ$3))</f>
        <v>152</v>
      </c>
      <c r="M33" s="4">
        <f>IF(ISNUMBER(SEARCH("营",'18.04'!U33)),(-$Y33+50*IF('18.04'!$AK33="是",'18.04'!$AZ$4,'18.04'!$AZ$3)),(VLOOKUP('18.04'!U33,'18.04'!$AM$4:$AO$55,2,FALSE))*IF('18.04'!$AK33="是",'18.04'!$AZ$4,'18.04'!$AZ$3))</f>
        <v>152</v>
      </c>
      <c r="N33" s="4">
        <f>IF(ISNUMBER(SEARCH("营",'18.04'!V33)),(-$Y33+50*IF('18.04'!$AK33="是",'18.04'!$AZ$4,'18.04'!$AZ$3)),(VLOOKUP('18.04'!V33,'18.04'!$AM$4:$AO$55,2,FALSE))*IF('18.04'!$AK33="是",'18.04'!$AZ$4,'18.04'!$AZ$3))</f>
        <v>152</v>
      </c>
      <c r="O33" s="4">
        <f>IF(ISNUMBER(SEARCH("营",'18.04'!W33)),(-$Y33+50*IF('18.04'!$AK33="是",'18.04'!$AZ$4,'18.04'!$AZ$3)),(VLOOKUP('18.04'!W33,'18.04'!$AM$4:$AO$55,2,FALSE))*IF('18.04'!$AK33="是",'18.04'!$AZ$4,'18.04'!$AZ$3))</f>
        <v>152</v>
      </c>
      <c r="P33" s="4">
        <f>IF(ISNUMBER(SEARCH("营",'18.04'!X33)),(-$Y33+50*IF('18.04'!$AK33="是",'18.04'!$AZ$4,'18.04'!$AZ$3)),(VLOOKUP('18.04'!X33,'18.04'!$AM$4:$AO$55,2,FALSE))*IF('18.04'!$AK33="是",'18.04'!$AZ$4,'18.04'!$AZ$3))</f>
        <v>152</v>
      </c>
      <c r="Q33" s="4">
        <f>IF(ISNUMBER(SEARCH("营",'18.04'!Y33)),(-$Y33+50*IF('18.04'!$AK33="是",'18.04'!$AZ$4,'18.04'!$AZ$3)),(VLOOKUP('18.04'!Y33,'18.04'!$AM$4:$AO$55,2,FALSE))*IF('18.04'!$AK33="是",'18.04'!$AZ$4,'18.04'!$AZ$3))</f>
        <v>120</v>
      </c>
      <c r="R33" s="4">
        <f>IF(ISNUMBER(SEARCH("营",'18.04'!Z33)),(-$Y33+50*IF('18.04'!$AK33="是",'18.04'!$AZ$4,'18.04'!$AZ$3)),(VLOOKUP('18.04'!Z33,'18.04'!$AM$4:$AO$55,2,FALSE))*IF('18.04'!$AK33="是",'18.04'!$AZ$4,'18.04'!$AZ$3))</f>
        <v>120</v>
      </c>
      <c r="S33" s="4">
        <f>IF(ISNUMBER(SEARCH("营",'18.04'!AA33)),(-$Y33+50*IF('18.04'!$AK33="是",'18.04'!$AZ$4,'18.04'!$AZ$3)),(VLOOKUP('18.04'!AA33,'18.04'!$AM$4:$AO$55,2,FALSE))*IF('18.04'!$AK33="是",'18.04'!$AZ$4,'18.04'!$AZ$3))</f>
        <v>0</v>
      </c>
      <c r="T33" s="4">
        <f>IF(ISNUMBER(SEARCH("营",'18.04'!AB33)),(-$Y33+50*IF('18.04'!$AK33="是",'18.04'!$AZ$4,'18.04'!$AZ$3)),(VLOOKUP('18.04'!AB33,'18.04'!$AM$4:$AO$55,2,FALSE))*IF('18.04'!$AK33="是",'18.04'!$AZ$4,'18.04'!$AZ$3))</f>
        <v>0</v>
      </c>
      <c r="U33" s="4">
        <f>IF(ISNUMBER(SEARCH("营",'18.04'!AC33)),(-$Y33+50*IF('18.04'!$AK33="是",'18.04'!$AZ$4,'18.04'!$AZ$3)),(VLOOKUP('18.04'!AC33,'18.04'!$AM$4:$AO$55,2,FALSE))*IF('18.04'!$AK33="是",'18.04'!$AZ$4,'18.04'!$AZ$3))</f>
        <v>0</v>
      </c>
      <c r="V33" s="4">
        <f>IF(ISNUMBER(SEARCH("营",'18.04'!AD33)),(-$Y33+50*IF('18.04'!$AK33="是",'18.04'!$AZ$4,'18.04'!$AZ$3)),(VLOOKUP('18.04'!AD33,'18.04'!$AM$4:$AO$55,2,FALSE))*IF('18.04'!$AK33="是",'18.04'!$AZ$4,'18.04'!$AZ$3))</f>
        <v>0</v>
      </c>
      <c r="W33" s="4">
        <f>IF(ISNUMBER(SEARCH("营",'18.04'!AE33)),(-$Y33+50*IF('18.04'!$AK33="是",'18.04'!$AZ$4,'18.04'!$AZ$3)),(VLOOKUP('18.04'!AE33,'18.04'!$AM$4:$AO$55,2,FALSE))*IF('18.04'!$AK33="是",'18.04'!$AZ$4,'18.04'!$AZ$3))</f>
        <v>0</v>
      </c>
      <c r="X33" s="4">
        <f>IF(ISNUMBER(SEARCH("营",'18.04'!AF33)),(-$Y33+50*IF('18.04'!$AK33="是",'18.04'!$AZ$4,'18.04'!$AZ$3)),(VLOOKUP('18.04'!AF33,'18.04'!$AM$4:$AO$55,2,FALSE))*IF('18.04'!$AK33="是",'18.04'!$AZ$4,'18.04'!$AZ$3))</f>
        <v>0</v>
      </c>
      <c r="Y33" s="78">
        <v>200</v>
      </c>
      <c r="Z33" s="90">
        <v>45668</v>
      </c>
    </row>
    <row r="34" spans="1:26">
      <c r="A34" s="4">
        <f>IF(ISNUMBER(SEARCH("营",'18.04'!I34)),(-$Y34+50*IF('18.04'!$AK34="是",'18.04'!$AZ$4,'18.04'!$AZ$3)),(VLOOKUP('18.04'!I34,'18.04'!$AM$4:$AO$55,2,FALSE))*IF('18.04'!$AK34="是",'18.04'!$AZ$4,'18.04'!$AZ$3))</f>
        <v>136</v>
      </c>
      <c r="B34" s="4">
        <f>IF(ISNUMBER(SEARCH("营",'18.04'!J34)),(-$Y34+50*IF('18.04'!$AK34="是",'18.04'!$AZ$4,'18.04'!$AZ$3)),(VLOOKUP('18.04'!J34,'18.04'!$AM$4:$AO$55,2,FALSE))*IF('18.04'!$AK34="是",'18.04'!$AZ$4,'18.04'!$AZ$3))</f>
        <v>136</v>
      </c>
      <c r="C34" s="4">
        <f>IF(ISNUMBER(SEARCH("营",'18.04'!K34)),(-$Y34+50*IF('18.04'!$AK34="是",'18.04'!$AZ$4,'18.04'!$AZ$3)),(VLOOKUP('18.04'!K34,'18.04'!$AM$4:$AO$55,2,FALSE))*IF('18.04'!$AK34="是",'18.04'!$AZ$4,'18.04'!$AZ$3))</f>
        <v>136</v>
      </c>
      <c r="D34" s="4">
        <f>IF(ISNUMBER(SEARCH("营",'18.04'!L34)),(-$Y34+50*IF('18.04'!$AK34="是",'18.04'!$AZ$4,'18.04'!$AZ$3)),(VLOOKUP('18.04'!L34,'18.04'!$AM$4:$AO$55,2,FALSE))*IF('18.04'!$AK34="是",'18.04'!$AZ$4,'18.04'!$AZ$3))</f>
        <v>136</v>
      </c>
      <c r="E34" s="4">
        <f>IF(ISNUMBER(SEARCH("营",'18.04'!M34)),(-$Y34+50*IF('18.04'!$AK34="是",'18.04'!$AZ$4,'18.04'!$AZ$3)),(VLOOKUP('18.04'!M34,'18.04'!$AM$4:$AO$55,2,FALSE))*IF('18.04'!$AK34="是",'18.04'!$AZ$4,'18.04'!$AZ$3))</f>
        <v>136</v>
      </c>
      <c r="F34" s="4">
        <f>IF(ISNUMBER(SEARCH("营",'18.04'!N34)),(-$Y34+50*IF('18.04'!$AK34="是",'18.04'!$AZ$4,'18.04'!$AZ$3)),(VLOOKUP('18.04'!N34,'18.04'!$AM$4:$AO$55,2,FALSE))*IF('18.04'!$AK34="是",'18.04'!$AZ$4,'18.04'!$AZ$3))</f>
        <v>136</v>
      </c>
      <c r="G34" s="4">
        <f>IF(ISNUMBER(SEARCH("营",'18.04'!O34)),(-$Y34+50*IF('18.04'!$AK34="是",'18.04'!$AZ$4,'18.04'!$AZ$3)),(VLOOKUP('18.04'!O34,'18.04'!$AM$4:$AO$55,2,FALSE))*IF('18.04'!$AK34="是",'18.04'!$AZ$4,'18.04'!$AZ$3))</f>
        <v>136</v>
      </c>
      <c r="H34" s="4">
        <f>IF(ISNUMBER(SEARCH("营",'18.04'!P34)),(-$Y34+50*IF('18.04'!$AK34="是",'18.04'!$AZ$4,'18.04'!$AZ$3)),(VLOOKUP('18.04'!P34,'18.04'!$AM$4:$AO$55,2,FALSE))*IF('18.04'!$AK34="是",'18.04'!$AZ$4,'18.04'!$AZ$3))</f>
        <v>0</v>
      </c>
      <c r="I34" s="4">
        <f>IF(ISNUMBER(SEARCH("营",'18.04'!Q34)),(-$Y34+50*IF('18.04'!$AK34="是",'18.04'!$AZ$4,'18.04'!$AZ$3)),(VLOOKUP('18.04'!Q34,'18.04'!$AM$4:$AO$55,2,FALSE))*IF('18.04'!$AK34="是",'18.04'!$AZ$4,'18.04'!$AZ$3))</f>
        <v>152</v>
      </c>
      <c r="J34" s="4">
        <f>IF(ISNUMBER(SEARCH("营",'18.04'!R34)),(-$Y34+50*IF('18.04'!$AK34="是",'18.04'!$AZ$4,'18.04'!$AZ$3)),(VLOOKUP('18.04'!R34,'18.04'!$AM$4:$AO$55,2,FALSE))*IF('18.04'!$AK34="是",'18.04'!$AZ$4,'18.04'!$AZ$3))</f>
        <v>152</v>
      </c>
      <c r="K34" s="4">
        <f>IF(ISNUMBER(SEARCH("营",'18.04'!S34)),(-$Y34+50*IF('18.04'!$AK34="是",'18.04'!$AZ$4,'18.04'!$AZ$3)),(VLOOKUP('18.04'!S34,'18.04'!$AM$4:$AO$55,2,FALSE))*IF('18.04'!$AK34="是",'18.04'!$AZ$4,'18.04'!$AZ$3))</f>
        <v>152</v>
      </c>
      <c r="L34" s="4">
        <f>IF(ISNUMBER(SEARCH("营",'18.04'!T34)),(-$Y34+50*IF('18.04'!$AK34="是",'18.04'!$AZ$4,'18.04'!$AZ$3)),(VLOOKUP('18.04'!T34,'18.04'!$AM$4:$AO$55,2,FALSE))*IF('18.04'!$AK34="是",'18.04'!$AZ$4,'18.04'!$AZ$3))</f>
        <v>152</v>
      </c>
      <c r="M34" s="4">
        <f>IF(ISNUMBER(SEARCH("营",'18.04'!U34)),(-$Y34+50*IF('18.04'!$AK34="是",'18.04'!$AZ$4,'18.04'!$AZ$3)),(VLOOKUP('18.04'!U34,'18.04'!$AM$4:$AO$55,2,FALSE))*IF('18.04'!$AK34="是",'18.04'!$AZ$4,'18.04'!$AZ$3))</f>
        <v>152</v>
      </c>
      <c r="N34" s="4">
        <f>IF(ISNUMBER(SEARCH("营",'18.04'!V34)),(-$Y34+50*IF('18.04'!$AK34="是",'18.04'!$AZ$4,'18.04'!$AZ$3)),(VLOOKUP('18.04'!V34,'18.04'!$AM$4:$AO$55,2,FALSE))*IF('18.04'!$AK34="是",'18.04'!$AZ$4,'18.04'!$AZ$3))</f>
        <v>152</v>
      </c>
      <c r="O34" s="4">
        <f>IF(ISNUMBER(SEARCH("营",'18.04'!W34)),(-$Y34+50*IF('18.04'!$AK34="是",'18.04'!$AZ$4,'18.04'!$AZ$3)),(VLOOKUP('18.04'!W34,'18.04'!$AM$4:$AO$55,2,FALSE))*IF('18.04'!$AK34="是",'18.04'!$AZ$4,'18.04'!$AZ$3))</f>
        <v>152</v>
      </c>
      <c r="P34" s="4">
        <f>IF(ISNUMBER(SEARCH("营",'18.04'!X34)),(-$Y34+50*IF('18.04'!$AK34="是",'18.04'!$AZ$4,'18.04'!$AZ$3)),(VLOOKUP('18.04'!X34,'18.04'!$AM$4:$AO$55,2,FALSE))*IF('18.04'!$AK34="是",'18.04'!$AZ$4,'18.04'!$AZ$3))</f>
        <v>152</v>
      </c>
      <c r="Q34" s="4">
        <f>IF(ISNUMBER(SEARCH("营",'18.04'!Y34)),(-$Y34+50*IF('18.04'!$AK34="是",'18.04'!$AZ$4,'18.04'!$AZ$3)),(VLOOKUP('18.04'!Y34,'18.04'!$AM$4:$AO$55,2,FALSE))*IF('18.04'!$AK34="是",'18.04'!$AZ$4,'18.04'!$AZ$3))</f>
        <v>120</v>
      </c>
      <c r="R34" s="4">
        <f>IF(ISNUMBER(SEARCH("营",'18.04'!Z34)),(-$Y34+50*IF('18.04'!$AK34="是",'18.04'!$AZ$4,'18.04'!$AZ$3)),(VLOOKUP('18.04'!Z34,'18.04'!$AM$4:$AO$55,2,FALSE))*IF('18.04'!$AK34="是",'18.04'!$AZ$4,'18.04'!$AZ$3))</f>
        <v>120</v>
      </c>
      <c r="S34" s="4">
        <f>IF(ISNUMBER(SEARCH("营",'18.04'!AA34)),(-$Y34+50*IF('18.04'!$AK34="是",'18.04'!$AZ$4,'18.04'!$AZ$3)),(VLOOKUP('18.04'!AA34,'18.04'!$AM$4:$AO$55,2,FALSE))*IF('18.04'!$AK34="是",'18.04'!$AZ$4,'18.04'!$AZ$3))</f>
        <v>120</v>
      </c>
      <c r="T34" s="4">
        <f>IF(ISNUMBER(SEARCH("营",'18.04'!AB34)),(-$Y34+50*IF('18.04'!$AK34="是",'18.04'!$AZ$4,'18.04'!$AZ$3)),(VLOOKUP('18.04'!AB34,'18.04'!$AM$4:$AO$55,2,FALSE))*IF('18.04'!$AK34="是",'18.04'!$AZ$4,'18.04'!$AZ$3))</f>
        <v>0</v>
      </c>
      <c r="U34" s="4">
        <f>IF(ISNUMBER(SEARCH("营",'18.04'!AC34)),(-$Y34+50*IF('18.04'!$AK34="是",'18.04'!$AZ$4,'18.04'!$AZ$3)),(VLOOKUP('18.04'!AC34,'18.04'!$AM$4:$AO$55,2,FALSE))*IF('18.04'!$AK34="是",'18.04'!$AZ$4,'18.04'!$AZ$3))</f>
        <v>0</v>
      </c>
      <c r="V34" s="4">
        <f>IF(ISNUMBER(SEARCH("营",'18.04'!AD34)),(-$Y34+50*IF('18.04'!$AK34="是",'18.04'!$AZ$4,'18.04'!$AZ$3)),(VLOOKUP('18.04'!AD34,'18.04'!$AM$4:$AO$55,2,FALSE))*IF('18.04'!$AK34="是",'18.04'!$AZ$4,'18.04'!$AZ$3))</f>
        <v>0</v>
      </c>
      <c r="W34" s="4">
        <f>IF(ISNUMBER(SEARCH("营",'18.04'!AE34)),(-$Y34+50*IF('18.04'!$AK34="是",'18.04'!$AZ$4,'18.04'!$AZ$3)),(VLOOKUP('18.04'!AE34,'18.04'!$AM$4:$AO$55,2,FALSE))*IF('18.04'!$AK34="是",'18.04'!$AZ$4,'18.04'!$AZ$3))</f>
        <v>0</v>
      </c>
      <c r="X34" s="4">
        <f>IF(ISNUMBER(SEARCH("营",'18.04'!AF34)),(-$Y34+50*IF('18.04'!$AK34="是",'18.04'!$AZ$4,'18.04'!$AZ$3)),(VLOOKUP('18.04'!AF34,'18.04'!$AM$4:$AO$55,2,FALSE))*IF('18.04'!$AK34="是",'18.04'!$AZ$4,'18.04'!$AZ$3))</f>
        <v>0</v>
      </c>
      <c r="Y34" s="78">
        <v>200</v>
      </c>
      <c r="Z34" s="90">
        <v>45669</v>
      </c>
    </row>
    <row r="35" spans="1:26">
      <c r="A35" s="4">
        <f>IF(ISNUMBER(SEARCH("营",'18.04'!I35)),(-$Y35+50*IF('18.04'!$AK35="是",'18.04'!$AZ$4,'18.04'!$AZ$3)),(VLOOKUP('18.04'!I35,'18.04'!$AM$4:$AO$55,2,FALSE))*IF('18.04'!$AK35="是",'18.04'!$AZ$4,'18.04'!$AZ$3))</f>
        <v>136</v>
      </c>
      <c r="B35" s="4">
        <f>IF(ISNUMBER(SEARCH("营",'18.04'!J35)),(-$Y35+50*IF('18.04'!$AK35="是",'18.04'!$AZ$4,'18.04'!$AZ$3)),(VLOOKUP('18.04'!J35,'18.04'!$AM$4:$AO$55,2,FALSE))*IF('18.04'!$AK35="是",'18.04'!$AZ$4,'18.04'!$AZ$3))</f>
        <v>136</v>
      </c>
      <c r="C35" s="4">
        <f>IF(ISNUMBER(SEARCH("营",'18.04'!K35)),(-$Y35+50*IF('18.04'!$AK35="是",'18.04'!$AZ$4,'18.04'!$AZ$3)),(VLOOKUP('18.04'!K35,'18.04'!$AM$4:$AO$55,2,FALSE))*IF('18.04'!$AK35="是",'18.04'!$AZ$4,'18.04'!$AZ$3))</f>
        <v>136</v>
      </c>
      <c r="D35" s="4">
        <f>IF(ISNUMBER(SEARCH("营",'18.04'!L35)),(-$Y35+50*IF('18.04'!$AK35="是",'18.04'!$AZ$4,'18.04'!$AZ$3)),(VLOOKUP('18.04'!L35,'18.04'!$AM$4:$AO$55,2,FALSE))*IF('18.04'!$AK35="是",'18.04'!$AZ$4,'18.04'!$AZ$3))</f>
        <v>136</v>
      </c>
      <c r="E35" s="4">
        <f>IF(ISNUMBER(SEARCH("营",'18.04'!M35)),(-$Y35+50*IF('18.04'!$AK35="是",'18.04'!$AZ$4,'18.04'!$AZ$3)),(VLOOKUP('18.04'!M35,'18.04'!$AM$4:$AO$55,2,FALSE))*IF('18.04'!$AK35="是",'18.04'!$AZ$4,'18.04'!$AZ$3))</f>
        <v>136</v>
      </c>
      <c r="F35" s="4">
        <f>IF(ISNUMBER(SEARCH("营",'18.04'!N35)),(-$Y35+50*IF('18.04'!$AK35="是",'18.04'!$AZ$4,'18.04'!$AZ$3)),(VLOOKUP('18.04'!N35,'18.04'!$AM$4:$AO$55,2,FALSE))*IF('18.04'!$AK35="是",'18.04'!$AZ$4,'18.04'!$AZ$3))</f>
        <v>136</v>
      </c>
      <c r="G35" s="4">
        <f>IF(ISNUMBER(SEARCH("营",'18.04'!O35)),(-$Y35+50*IF('18.04'!$AK35="是",'18.04'!$AZ$4,'18.04'!$AZ$3)),(VLOOKUP('18.04'!O35,'18.04'!$AM$4:$AO$55,2,FALSE))*IF('18.04'!$AK35="是",'18.04'!$AZ$4,'18.04'!$AZ$3))</f>
        <v>136</v>
      </c>
      <c r="H35" s="4">
        <f>IF(ISNUMBER(SEARCH("营",'18.04'!P35)),(-$Y35+50*IF('18.04'!$AK35="是",'18.04'!$AZ$4,'18.04'!$AZ$3)),(VLOOKUP('18.04'!P35,'18.04'!$AM$4:$AO$55,2,FALSE))*IF('18.04'!$AK35="是",'18.04'!$AZ$4,'18.04'!$AZ$3))</f>
        <v>0</v>
      </c>
      <c r="I35" s="4">
        <f>IF(ISNUMBER(SEARCH("营",'18.04'!Q35)),(-$Y35+50*IF('18.04'!$AK35="是",'18.04'!$AZ$4,'18.04'!$AZ$3)),(VLOOKUP('18.04'!Q35,'18.04'!$AM$4:$AO$55,2,FALSE))*IF('18.04'!$AK35="是",'18.04'!$AZ$4,'18.04'!$AZ$3))</f>
        <v>152</v>
      </c>
      <c r="J35" s="4">
        <f>IF(ISNUMBER(SEARCH("营",'18.04'!R35)),(-$Y35+50*IF('18.04'!$AK35="是",'18.04'!$AZ$4,'18.04'!$AZ$3)),(VLOOKUP('18.04'!R35,'18.04'!$AM$4:$AO$55,2,FALSE))*IF('18.04'!$AK35="是",'18.04'!$AZ$4,'18.04'!$AZ$3))</f>
        <v>152</v>
      </c>
      <c r="K35" s="4">
        <f>IF(ISNUMBER(SEARCH("营",'18.04'!S35)),(-$Y35+50*IF('18.04'!$AK35="是",'18.04'!$AZ$4,'18.04'!$AZ$3)),(VLOOKUP('18.04'!S35,'18.04'!$AM$4:$AO$55,2,FALSE))*IF('18.04'!$AK35="是",'18.04'!$AZ$4,'18.04'!$AZ$3))</f>
        <v>152</v>
      </c>
      <c r="L35" s="4">
        <f>IF(ISNUMBER(SEARCH("营",'18.04'!T35)),(-$Y35+50*IF('18.04'!$AK35="是",'18.04'!$AZ$4,'18.04'!$AZ$3)),(VLOOKUP('18.04'!T35,'18.04'!$AM$4:$AO$55,2,FALSE))*IF('18.04'!$AK35="是",'18.04'!$AZ$4,'18.04'!$AZ$3))</f>
        <v>152</v>
      </c>
      <c r="M35" s="4">
        <f>IF(ISNUMBER(SEARCH("营",'18.04'!U35)),(-$Y35+50*IF('18.04'!$AK35="是",'18.04'!$AZ$4,'18.04'!$AZ$3)),(VLOOKUP('18.04'!U35,'18.04'!$AM$4:$AO$55,2,FALSE))*IF('18.04'!$AK35="是",'18.04'!$AZ$4,'18.04'!$AZ$3))</f>
        <v>152</v>
      </c>
      <c r="N35" s="4">
        <f>IF(ISNUMBER(SEARCH("营",'18.04'!V35)),(-$Y35+50*IF('18.04'!$AK35="是",'18.04'!$AZ$4,'18.04'!$AZ$3)),(VLOOKUP('18.04'!V35,'18.04'!$AM$4:$AO$55,2,FALSE))*IF('18.04'!$AK35="是",'18.04'!$AZ$4,'18.04'!$AZ$3))</f>
        <v>152</v>
      </c>
      <c r="O35" s="4">
        <f>IF(ISNUMBER(SEARCH("营",'18.04'!W35)),(-$Y35+50*IF('18.04'!$AK35="是",'18.04'!$AZ$4,'18.04'!$AZ$3)),(VLOOKUP('18.04'!W35,'18.04'!$AM$4:$AO$55,2,FALSE))*IF('18.04'!$AK35="是",'18.04'!$AZ$4,'18.04'!$AZ$3))</f>
        <v>152</v>
      </c>
      <c r="P35" s="4">
        <f>IF(ISNUMBER(SEARCH("营",'18.04'!X35)),(-$Y35+50*IF('18.04'!$AK35="是",'18.04'!$AZ$4,'18.04'!$AZ$3)),(VLOOKUP('18.04'!X35,'18.04'!$AM$4:$AO$55,2,FALSE))*IF('18.04'!$AK35="是",'18.04'!$AZ$4,'18.04'!$AZ$3))</f>
        <v>152</v>
      </c>
      <c r="Q35" s="4">
        <f>IF(ISNUMBER(SEARCH("营",'18.04'!Y35)),(-$Y35+50*IF('18.04'!$AK35="是",'18.04'!$AZ$4,'18.04'!$AZ$3)),(VLOOKUP('18.04'!Y35,'18.04'!$AM$4:$AO$55,2,FALSE))*IF('18.04'!$AK35="是",'18.04'!$AZ$4,'18.04'!$AZ$3))</f>
        <v>120</v>
      </c>
      <c r="R35" s="4">
        <f>IF(ISNUMBER(SEARCH("营",'18.04'!Z35)),(-$Y35+50*IF('18.04'!$AK35="是",'18.04'!$AZ$4,'18.04'!$AZ$3)),(VLOOKUP('18.04'!Z35,'18.04'!$AM$4:$AO$55,2,FALSE))*IF('18.04'!$AK35="是",'18.04'!$AZ$4,'18.04'!$AZ$3))</f>
        <v>0</v>
      </c>
      <c r="S35" s="4">
        <f>IF(ISNUMBER(SEARCH("营",'18.04'!AA35)),(-$Y35+50*IF('18.04'!$AK35="是",'18.04'!$AZ$4,'18.04'!$AZ$3)),(VLOOKUP('18.04'!AA35,'18.04'!$AM$4:$AO$55,2,FALSE))*IF('18.04'!$AK35="是",'18.04'!$AZ$4,'18.04'!$AZ$3))</f>
        <v>0</v>
      </c>
      <c r="T35" s="4">
        <f>IF(ISNUMBER(SEARCH("营",'18.04'!AB35)),(-$Y35+50*IF('18.04'!$AK35="是",'18.04'!$AZ$4,'18.04'!$AZ$3)),(VLOOKUP('18.04'!AB35,'18.04'!$AM$4:$AO$55,2,FALSE))*IF('18.04'!$AK35="是",'18.04'!$AZ$4,'18.04'!$AZ$3))</f>
        <v>0</v>
      </c>
      <c r="U35" s="4">
        <f>IF(ISNUMBER(SEARCH("营",'18.04'!AC35)),(-$Y35+50*IF('18.04'!$AK35="是",'18.04'!$AZ$4,'18.04'!$AZ$3)),(VLOOKUP('18.04'!AC35,'18.04'!$AM$4:$AO$55,2,FALSE))*IF('18.04'!$AK35="是",'18.04'!$AZ$4,'18.04'!$AZ$3))</f>
        <v>0</v>
      </c>
      <c r="V35" s="4">
        <f>IF(ISNUMBER(SEARCH("营",'18.04'!AD35)),(-$Y35+50*IF('18.04'!$AK35="是",'18.04'!$AZ$4,'18.04'!$AZ$3)),(VLOOKUP('18.04'!AD35,'18.04'!$AM$4:$AO$55,2,FALSE))*IF('18.04'!$AK35="是",'18.04'!$AZ$4,'18.04'!$AZ$3))</f>
        <v>0</v>
      </c>
      <c r="W35" s="4">
        <f>IF(ISNUMBER(SEARCH("营",'18.04'!AE35)),(-$Y35+50*IF('18.04'!$AK35="是",'18.04'!$AZ$4,'18.04'!$AZ$3)),(VLOOKUP('18.04'!AE35,'18.04'!$AM$4:$AO$55,2,FALSE))*IF('18.04'!$AK35="是",'18.04'!$AZ$4,'18.04'!$AZ$3))</f>
        <v>0</v>
      </c>
      <c r="X35" s="4">
        <f>IF(ISNUMBER(SEARCH("营",'18.04'!AF35)),(-$Y35+50*IF('18.04'!$AK35="是",'18.04'!$AZ$4,'18.04'!$AZ$3)),(VLOOKUP('18.04'!AF35,'18.04'!$AM$4:$AO$55,2,FALSE))*IF('18.04'!$AK35="是",'18.04'!$AZ$4,'18.04'!$AZ$3))</f>
        <v>0</v>
      </c>
      <c r="Y35" s="78">
        <v>200</v>
      </c>
      <c r="Z35" s="90">
        <v>45670</v>
      </c>
    </row>
    <row r="36" spans="1:26">
      <c r="A36" s="4">
        <f>IF(ISNUMBER(SEARCH("营",'18.04'!I36)),(-$Y36+50*IF('18.04'!$AK36="是",'18.04'!$AZ$4,'18.04'!$AZ$3)),(VLOOKUP('18.04'!I36,'18.04'!$AM$4:$AO$55,2,FALSE))*IF('18.04'!$AK36="是",'18.04'!$AZ$4,'18.04'!$AZ$3))</f>
        <v>136</v>
      </c>
      <c r="B36" s="4">
        <f>IF(ISNUMBER(SEARCH("营",'18.04'!J36)),(-$Y36+50*IF('18.04'!$AK36="是",'18.04'!$AZ$4,'18.04'!$AZ$3)),(VLOOKUP('18.04'!J36,'18.04'!$AM$4:$AO$55,2,FALSE))*IF('18.04'!$AK36="是",'18.04'!$AZ$4,'18.04'!$AZ$3))</f>
        <v>136</v>
      </c>
      <c r="C36" s="4">
        <f>IF(ISNUMBER(SEARCH("营",'18.04'!K36)),(-$Y36+50*IF('18.04'!$AK36="是",'18.04'!$AZ$4,'18.04'!$AZ$3)),(VLOOKUP('18.04'!K36,'18.04'!$AM$4:$AO$55,2,FALSE))*IF('18.04'!$AK36="是",'18.04'!$AZ$4,'18.04'!$AZ$3))</f>
        <v>136</v>
      </c>
      <c r="D36" s="4">
        <f>IF(ISNUMBER(SEARCH("营",'18.04'!L36)),(-$Y36+50*IF('18.04'!$AK36="是",'18.04'!$AZ$4,'18.04'!$AZ$3)),(VLOOKUP('18.04'!L36,'18.04'!$AM$4:$AO$55,2,FALSE))*IF('18.04'!$AK36="是",'18.04'!$AZ$4,'18.04'!$AZ$3))</f>
        <v>136</v>
      </c>
      <c r="E36" s="4">
        <f>IF(ISNUMBER(SEARCH("营",'18.04'!M36)),(-$Y36+50*IF('18.04'!$AK36="是",'18.04'!$AZ$4,'18.04'!$AZ$3)),(VLOOKUP('18.04'!M36,'18.04'!$AM$4:$AO$55,2,FALSE))*IF('18.04'!$AK36="是",'18.04'!$AZ$4,'18.04'!$AZ$3))</f>
        <v>136</v>
      </c>
      <c r="F36" s="4">
        <f>IF(ISNUMBER(SEARCH("营",'18.04'!N36)),(-$Y36+50*IF('18.04'!$AK36="是",'18.04'!$AZ$4,'18.04'!$AZ$3)),(VLOOKUP('18.04'!N36,'18.04'!$AM$4:$AO$55,2,FALSE))*IF('18.04'!$AK36="是",'18.04'!$AZ$4,'18.04'!$AZ$3))</f>
        <v>136</v>
      </c>
      <c r="G36" s="4">
        <f>IF(ISNUMBER(SEARCH("营",'18.04'!O36)),(-$Y36+50*IF('18.04'!$AK36="是",'18.04'!$AZ$4,'18.04'!$AZ$3)),(VLOOKUP('18.04'!O36,'18.04'!$AM$4:$AO$55,2,FALSE))*IF('18.04'!$AK36="是",'18.04'!$AZ$4,'18.04'!$AZ$3))</f>
        <v>136</v>
      </c>
      <c r="H36" s="4">
        <f>IF(ISNUMBER(SEARCH("营",'18.04'!P36)),(-$Y36+50*IF('18.04'!$AK36="是",'18.04'!$AZ$4,'18.04'!$AZ$3)),(VLOOKUP('18.04'!P36,'18.04'!$AM$4:$AO$55,2,FALSE))*IF('18.04'!$AK36="是",'18.04'!$AZ$4,'18.04'!$AZ$3))</f>
        <v>0</v>
      </c>
      <c r="I36" s="4">
        <f>IF(ISNUMBER(SEARCH("营",'18.04'!Q36)),(-$Y36+50*IF('18.04'!$AK36="是",'18.04'!$AZ$4,'18.04'!$AZ$3)),(VLOOKUP('18.04'!Q36,'18.04'!$AM$4:$AO$55,2,FALSE))*IF('18.04'!$AK36="是",'18.04'!$AZ$4,'18.04'!$AZ$3))</f>
        <v>152</v>
      </c>
      <c r="J36" s="4">
        <f>IF(ISNUMBER(SEARCH("营",'18.04'!R36)),(-$Y36+50*IF('18.04'!$AK36="是",'18.04'!$AZ$4,'18.04'!$AZ$3)),(VLOOKUP('18.04'!R36,'18.04'!$AM$4:$AO$55,2,FALSE))*IF('18.04'!$AK36="是",'18.04'!$AZ$4,'18.04'!$AZ$3))</f>
        <v>152</v>
      </c>
      <c r="K36" s="4">
        <f>IF(ISNUMBER(SEARCH("营",'18.04'!S36)),(-$Y36+50*IF('18.04'!$AK36="是",'18.04'!$AZ$4,'18.04'!$AZ$3)),(VLOOKUP('18.04'!S36,'18.04'!$AM$4:$AO$55,2,FALSE))*IF('18.04'!$AK36="是",'18.04'!$AZ$4,'18.04'!$AZ$3))</f>
        <v>152</v>
      </c>
      <c r="L36" s="4">
        <f>IF(ISNUMBER(SEARCH("营",'18.04'!T36)),(-$Y36+50*IF('18.04'!$AK36="是",'18.04'!$AZ$4,'18.04'!$AZ$3)),(VLOOKUP('18.04'!T36,'18.04'!$AM$4:$AO$55,2,FALSE))*IF('18.04'!$AK36="是",'18.04'!$AZ$4,'18.04'!$AZ$3))</f>
        <v>152</v>
      </c>
      <c r="M36" s="4">
        <f>IF(ISNUMBER(SEARCH("营",'18.04'!U36)),(-$Y36+50*IF('18.04'!$AK36="是",'18.04'!$AZ$4,'18.04'!$AZ$3)),(VLOOKUP('18.04'!U36,'18.04'!$AM$4:$AO$55,2,FALSE))*IF('18.04'!$AK36="是",'18.04'!$AZ$4,'18.04'!$AZ$3))</f>
        <v>152</v>
      </c>
      <c r="N36" s="4">
        <f>IF(ISNUMBER(SEARCH("营",'18.04'!V36)),(-$Y36+50*IF('18.04'!$AK36="是",'18.04'!$AZ$4,'18.04'!$AZ$3)),(VLOOKUP('18.04'!V36,'18.04'!$AM$4:$AO$55,2,FALSE))*IF('18.04'!$AK36="是",'18.04'!$AZ$4,'18.04'!$AZ$3))</f>
        <v>152</v>
      </c>
      <c r="O36" s="4">
        <f>IF(ISNUMBER(SEARCH("营",'18.04'!W36)),(-$Y36+50*IF('18.04'!$AK36="是",'18.04'!$AZ$4,'18.04'!$AZ$3)),(VLOOKUP('18.04'!W36,'18.04'!$AM$4:$AO$55,2,FALSE))*IF('18.04'!$AK36="是",'18.04'!$AZ$4,'18.04'!$AZ$3))</f>
        <v>152</v>
      </c>
      <c r="P36" s="4">
        <f>IF(ISNUMBER(SEARCH("营",'18.04'!X36)),(-$Y36+50*IF('18.04'!$AK36="是",'18.04'!$AZ$4,'18.04'!$AZ$3)),(VLOOKUP('18.04'!X36,'18.04'!$AM$4:$AO$55,2,FALSE))*IF('18.04'!$AK36="是",'18.04'!$AZ$4,'18.04'!$AZ$3))</f>
        <v>152</v>
      </c>
      <c r="Q36" s="4">
        <f>IF(ISNUMBER(SEARCH("营",'18.04'!Y36)),(-$Y36+50*IF('18.04'!$AK36="是",'18.04'!$AZ$4,'18.04'!$AZ$3)),(VLOOKUP('18.04'!Y36,'18.04'!$AM$4:$AO$55,2,FALSE))*IF('18.04'!$AK36="是",'18.04'!$AZ$4,'18.04'!$AZ$3))</f>
        <v>200</v>
      </c>
      <c r="R36" s="4">
        <f>IF(ISNUMBER(SEARCH("营",'18.04'!Z36)),(-$Y36+50*IF('18.04'!$AK36="是",'18.04'!$AZ$4,'18.04'!$AZ$3)),(VLOOKUP('18.04'!Z36,'18.04'!$AM$4:$AO$55,2,FALSE))*IF('18.04'!$AK36="是",'18.04'!$AZ$4,'18.04'!$AZ$3))</f>
        <v>200</v>
      </c>
      <c r="S36" s="4">
        <f>IF(ISNUMBER(SEARCH("营",'18.04'!AA36)),(-$Y36+50*IF('18.04'!$AK36="是",'18.04'!$AZ$4,'18.04'!$AZ$3)),(VLOOKUP('18.04'!AA36,'18.04'!$AM$4:$AO$55,2,FALSE))*IF('18.04'!$AK36="是",'18.04'!$AZ$4,'18.04'!$AZ$3))</f>
        <v>0</v>
      </c>
      <c r="T36" s="4">
        <f>IF(ISNUMBER(SEARCH("营",'18.04'!AB36)),(-$Y36+50*IF('18.04'!$AK36="是",'18.04'!$AZ$4,'18.04'!$AZ$3)),(VLOOKUP('18.04'!AB36,'18.04'!$AM$4:$AO$55,2,FALSE))*IF('18.04'!$AK36="是",'18.04'!$AZ$4,'18.04'!$AZ$3))</f>
        <v>0</v>
      </c>
      <c r="U36" s="4">
        <f>IF(ISNUMBER(SEARCH("营",'18.04'!AC36)),(-$Y36+50*IF('18.04'!$AK36="是",'18.04'!$AZ$4,'18.04'!$AZ$3)),(VLOOKUP('18.04'!AC36,'18.04'!$AM$4:$AO$55,2,FALSE))*IF('18.04'!$AK36="是",'18.04'!$AZ$4,'18.04'!$AZ$3))</f>
        <v>0</v>
      </c>
      <c r="V36" s="4">
        <f>IF(ISNUMBER(SEARCH("营",'18.04'!AD36)),(-$Y36+50*IF('18.04'!$AK36="是",'18.04'!$AZ$4,'18.04'!$AZ$3)),(VLOOKUP('18.04'!AD36,'18.04'!$AM$4:$AO$55,2,FALSE))*IF('18.04'!$AK36="是",'18.04'!$AZ$4,'18.04'!$AZ$3))</f>
        <v>0</v>
      </c>
      <c r="W36" s="4">
        <f>IF(ISNUMBER(SEARCH("营",'18.04'!AE36)),(-$Y36+50*IF('18.04'!$AK36="是",'18.04'!$AZ$4,'18.04'!$AZ$3)),(VLOOKUP('18.04'!AE36,'18.04'!$AM$4:$AO$55,2,FALSE))*IF('18.04'!$AK36="是",'18.04'!$AZ$4,'18.04'!$AZ$3))</f>
        <v>0</v>
      </c>
      <c r="X36" s="4">
        <f>IF(ISNUMBER(SEARCH("营",'18.04'!AF36)),(-$Y36+50*IF('18.04'!$AK36="是",'18.04'!$AZ$4,'18.04'!$AZ$3)),(VLOOKUP('18.04'!AF36,'18.04'!$AM$4:$AO$55,2,FALSE))*IF('18.04'!$AK36="是",'18.04'!$AZ$4,'18.04'!$AZ$3))</f>
        <v>0</v>
      </c>
      <c r="Y36" s="78">
        <v>200</v>
      </c>
      <c r="Z36" s="90">
        <v>45671</v>
      </c>
    </row>
    <row r="37" spans="1:26">
      <c r="A37" s="4">
        <f>IF(ISNUMBER(SEARCH("营",'18.04'!I37)),(-$Y37+50*IF('18.04'!$AK37="是",'18.04'!$AZ$4,'18.04'!$AZ$3)),(VLOOKUP('18.04'!I37,'18.04'!$AM$4:$AO$55,2,FALSE))*IF('18.04'!$AK37="是",'18.04'!$AZ$4,'18.04'!$AZ$3))</f>
        <v>136</v>
      </c>
      <c r="B37" s="4">
        <f>IF(ISNUMBER(SEARCH("营",'18.04'!J37)),(-$Y37+50*IF('18.04'!$AK37="是",'18.04'!$AZ$4,'18.04'!$AZ$3)),(VLOOKUP('18.04'!J37,'18.04'!$AM$4:$AO$55,2,FALSE))*IF('18.04'!$AK37="是",'18.04'!$AZ$4,'18.04'!$AZ$3))</f>
        <v>136</v>
      </c>
      <c r="C37" s="4">
        <f>IF(ISNUMBER(SEARCH("营",'18.04'!K37)),(-$Y37+50*IF('18.04'!$AK37="是",'18.04'!$AZ$4,'18.04'!$AZ$3)),(VLOOKUP('18.04'!K37,'18.04'!$AM$4:$AO$55,2,FALSE))*IF('18.04'!$AK37="是",'18.04'!$AZ$4,'18.04'!$AZ$3))</f>
        <v>136</v>
      </c>
      <c r="D37" s="4">
        <f>IF(ISNUMBER(SEARCH("营",'18.04'!L37)),(-$Y37+50*IF('18.04'!$AK37="是",'18.04'!$AZ$4,'18.04'!$AZ$3)),(VLOOKUP('18.04'!L37,'18.04'!$AM$4:$AO$55,2,FALSE))*IF('18.04'!$AK37="是",'18.04'!$AZ$4,'18.04'!$AZ$3))</f>
        <v>136</v>
      </c>
      <c r="E37" s="4">
        <f>IF(ISNUMBER(SEARCH("营",'18.04'!M37)),(-$Y37+50*IF('18.04'!$AK37="是",'18.04'!$AZ$4,'18.04'!$AZ$3)),(VLOOKUP('18.04'!M37,'18.04'!$AM$4:$AO$55,2,FALSE))*IF('18.04'!$AK37="是",'18.04'!$AZ$4,'18.04'!$AZ$3))</f>
        <v>136</v>
      </c>
      <c r="F37" s="4">
        <f>IF(ISNUMBER(SEARCH("营",'18.04'!N37)),(-$Y37+50*IF('18.04'!$AK37="是",'18.04'!$AZ$4,'18.04'!$AZ$3)),(VLOOKUP('18.04'!N37,'18.04'!$AM$4:$AO$55,2,FALSE))*IF('18.04'!$AK37="是",'18.04'!$AZ$4,'18.04'!$AZ$3))</f>
        <v>136</v>
      </c>
      <c r="G37" s="4">
        <f>IF(ISNUMBER(SEARCH("营",'18.04'!O37)),(-$Y37+50*IF('18.04'!$AK37="是",'18.04'!$AZ$4,'18.04'!$AZ$3)),(VLOOKUP('18.04'!O37,'18.04'!$AM$4:$AO$55,2,FALSE))*IF('18.04'!$AK37="是",'18.04'!$AZ$4,'18.04'!$AZ$3))</f>
        <v>136</v>
      </c>
      <c r="H37" s="4">
        <f>IF(ISNUMBER(SEARCH("营",'18.04'!P37)),(-$Y37+50*IF('18.04'!$AK37="是",'18.04'!$AZ$4,'18.04'!$AZ$3)),(VLOOKUP('18.04'!P37,'18.04'!$AM$4:$AO$55,2,FALSE))*IF('18.04'!$AK37="是",'18.04'!$AZ$4,'18.04'!$AZ$3))</f>
        <v>0</v>
      </c>
      <c r="I37" s="4">
        <f>IF(ISNUMBER(SEARCH("营",'18.04'!Q37)),(-$Y37+50*IF('18.04'!$AK37="是",'18.04'!$AZ$4,'18.04'!$AZ$3)),(VLOOKUP('18.04'!Q37,'18.04'!$AM$4:$AO$55,2,FALSE))*IF('18.04'!$AK37="是",'18.04'!$AZ$4,'18.04'!$AZ$3))</f>
        <v>152</v>
      </c>
      <c r="J37" s="4">
        <f>IF(ISNUMBER(SEARCH("营",'18.04'!R37)),(-$Y37+50*IF('18.04'!$AK37="是",'18.04'!$AZ$4,'18.04'!$AZ$3)),(VLOOKUP('18.04'!R37,'18.04'!$AM$4:$AO$55,2,FALSE))*IF('18.04'!$AK37="是",'18.04'!$AZ$4,'18.04'!$AZ$3))</f>
        <v>152</v>
      </c>
      <c r="K37" s="4">
        <f>IF(ISNUMBER(SEARCH("营",'18.04'!S37)),(-$Y37+50*IF('18.04'!$AK37="是",'18.04'!$AZ$4,'18.04'!$AZ$3)),(VLOOKUP('18.04'!S37,'18.04'!$AM$4:$AO$55,2,FALSE))*IF('18.04'!$AK37="是",'18.04'!$AZ$4,'18.04'!$AZ$3))</f>
        <v>152</v>
      </c>
      <c r="L37" s="4">
        <f>IF(ISNUMBER(SEARCH("营",'18.04'!T37)),(-$Y37+50*IF('18.04'!$AK37="是",'18.04'!$AZ$4,'18.04'!$AZ$3)),(VLOOKUP('18.04'!T37,'18.04'!$AM$4:$AO$55,2,FALSE))*IF('18.04'!$AK37="是",'18.04'!$AZ$4,'18.04'!$AZ$3))</f>
        <v>152</v>
      </c>
      <c r="M37" s="4">
        <f>IF(ISNUMBER(SEARCH("营",'18.04'!U37)),(-$Y37+50*IF('18.04'!$AK37="是",'18.04'!$AZ$4,'18.04'!$AZ$3)),(VLOOKUP('18.04'!U37,'18.04'!$AM$4:$AO$55,2,FALSE))*IF('18.04'!$AK37="是",'18.04'!$AZ$4,'18.04'!$AZ$3))</f>
        <v>152</v>
      </c>
      <c r="N37" s="4">
        <f>IF(ISNUMBER(SEARCH("营",'18.04'!V37)),(-$Y37+50*IF('18.04'!$AK37="是",'18.04'!$AZ$4,'18.04'!$AZ$3)),(VLOOKUP('18.04'!V37,'18.04'!$AM$4:$AO$55,2,FALSE))*IF('18.04'!$AK37="是",'18.04'!$AZ$4,'18.04'!$AZ$3))</f>
        <v>152</v>
      </c>
      <c r="O37" s="4">
        <f>IF(ISNUMBER(SEARCH("营",'18.04'!W37)),(-$Y37+50*IF('18.04'!$AK37="是",'18.04'!$AZ$4,'18.04'!$AZ$3)),(VLOOKUP('18.04'!W37,'18.04'!$AM$4:$AO$55,2,FALSE))*IF('18.04'!$AK37="是",'18.04'!$AZ$4,'18.04'!$AZ$3))</f>
        <v>152</v>
      </c>
      <c r="P37" s="4">
        <f>IF(ISNUMBER(SEARCH("营",'18.04'!X37)),(-$Y37+50*IF('18.04'!$AK37="是",'18.04'!$AZ$4,'18.04'!$AZ$3)),(VLOOKUP('18.04'!X37,'18.04'!$AM$4:$AO$55,2,FALSE))*IF('18.04'!$AK37="是",'18.04'!$AZ$4,'18.04'!$AZ$3))</f>
        <v>152</v>
      </c>
      <c r="Q37" s="4">
        <f>IF(ISNUMBER(SEARCH("营",'18.04'!Y37)),(-$Y37+50*IF('18.04'!$AK37="是",'18.04'!$AZ$4,'18.04'!$AZ$3)),(VLOOKUP('18.04'!Y37,'18.04'!$AM$4:$AO$55,2,FALSE))*IF('18.04'!$AK37="是",'18.04'!$AZ$4,'18.04'!$AZ$3))</f>
        <v>40</v>
      </c>
      <c r="R37" s="4">
        <f>IF(ISNUMBER(SEARCH("营",'18.04'!Z37)),(-$Y37+50*IF('18.04'!$AK37="是",'18.04'!$AZ$4,'18.04'!$AZ$3)),(VLOOKUP('18.04'!Z37,'18.04'!$AM$4:$AO$55,2,FALSE))*IF('18.04'!$AK37="是",'18.04'!$AZ$4,'18.04'!$AZ$3))</f>
        <v>0</v>
      </c>
      <c r="S37" s="4">
        <f>IF(ISNUMBER(SEARCH("营",'18.04'!AA37)),(-$Y37+50*IF('18.04'!$AK37="是",'18.04'!$AZ$4,'18.04'!$AZ$3)),(VLOOKUP('18.04'!AA37,'18.04'!$AM$4:$AO$55,2,FALSE))*IF('18.04'!$AK37="是",'18.04'!$AZ$4,'18.04'!$AZ$3))</f>
        <v>0</v>
      </c>
      <c r="T37" s="4">
        <f>IF(ISNUMBER(SEARCH("营",'18.04'!AB37)),(-$Y37+50*IF('18.04'!$AK37="是",'18.04'!$AZ$4,'18.04'!$AZ$3)),(VLOOKUP('18.04'!AB37,'18.04'!$AM$4:$AO$55,2,FALSE))*IF('18.04'!$AK37="是",'18.04'!$AZ$4,'18.04'!$AZ$3))</f>
        <v>0</v>
      </c>
      <c r="U37" s="4">
        <f>IF(ISNUMBER(SEARCH("营",'18.04'!AC37)),(-$Y37+50*IF('18.04'!$AK37="是",'18.04'!$AZ$4,'18.04'!$AZ$3)),(VLOOKUP('18.04'!AC37,'18.04'!$AM$4:$AO$55,2,FALSE))*IF('18.04'!$AK37="是",'18.04'!$AZ$4,'18.04'!$AZ$3))</f>
        <v>0</v>
      </c>
      <c r="V37" s="4">
        <f>IF(ISNUMBER(SEARCH("营",'18.04'!AD37)),(-$Y37+50*IF('18.04'!$AK37="是",'18.04'!$AZ$4,'18.04'!$AZ$3)),(VLOOKUP('18.04'!AD37,'18.04'!$AM$4:$AO$55,2,FALSE))*IF('18.04'!$AK37="是",'18.04'!$AZ$4,'18.04'!$AZ$3))</f>
        <v>0</v>
      </c>
      <c r="W37" s="4">
        <f>IF(ISNUMBER(SEARCH("营",'18.04'!AE37)),(-$Y37+50*IF('18.04'!$AK37="是",'18.04'!$AZ$4,'18.04'!$AZ$3)),(VLOOKUP('18.04'!AE37,'18.04'!$AM$4:$AO$55,2,FALSE))*IF('18.04'!$AK37="是",'18.04'!$AZ$4,'18.04'!$AZ$3))</f>
        <v>0</v>
      </c>
      <c r="X37" s="4">
        <f>IF(ISNUMBER(SEARCH("营",'18.04'!AF37)),(-$Y37+50*IF('18.04'!$AK37="是",'18.04'!$AZ$4,'18.04'!$AZ$3)),(VLOOKUP('18.04'!AF37,'18.04'!$AM$4:$AO$55,2,FALSE))*IF('18.04'!$AK37="是",'18.04'!$AZ$4,'18.04'!$AZ$3))</f>
        <v>0</v>
      </c>
      <c r="Y37" s="78">
        <v>200</v>
      </c>
      <c r="Z37" s="90">
        <v>45672</v>
      </c>
    </row>
    <row r="38" spans="1:26">
      <c r="A38" s="4">
        <f>IF(ISNUMBER(SEARCH("营",'18.04'!I38)),(-$Y38+50*IF('18.04'!$AK38="是",'18.04'!$AZ$4,'18.04'!$AZ$3)),(VLOOKUP('18.04'!I38,'18.04'!$AM$4:$AO$55,2,FALSE))*IF('18.04'!$AK38="是",'18.04'!$AZ$4,'18.04'!$AZ$3))</f>
        <v>136</v>
      </c>
      <c r="B38" s="4">
        <f>IF(ISNUMBER(SEARCH("营",'18.04'!J38)),(-$Y38+50*IF('18.04'!$AK38="是",'18.04'!$AZ$4,'18.04'!$AZ$3)),(VLOOKUP('18.04'!J38,'18.04'!$AM$4:$AO$55,2,FALSE))*IF('18.04'!$AK38="是",'18.04'!$AZ$4,'18.04'!$AZ$3))</f>
        <v>136</v>
      </c>
      <c r="C38" s="4">
        <f>IF(ISNUMBER(SEARCH("营",'18.04'!K38)),(-$Y38+50*IF('18.04'!$AK38="是",'18.04'!$AZ$4,'18.04'!$AZ$3)),(VLOOKUP('18.04'!K38,'18.04'!$AM$4:$AO$55,2,FALSE))*IF('18.04'!$AK38="是",'18.04'!$AZ$4,'18.04'!$AZ$3))</f>
        <v>136</v>
      </c>
      <c r="D38" s="4">
        <f>IF(ISNUMBER(SEARCH("营",'18.04'!L38)),(-$Y38+50*IF('18.04'!$AK38="是",'18.04'!$AZ$4,'18.04'!$AZ$3)),(VLOOKUP('18.04'!L38,'18.04'!$AM$4:$AO$55,2,FALSE))*IF('18.04'!$AK38="是",'18.04'!$AZ$4,'18.04'!$AZ$3))</f>
        <v>136</v>
      </c>
      <c r="E38" s="4">
        <f>IF(ISNUMBER(SEARCH("营",'18.04'!M38)),(-$Y38+50*IF('18.04'!$AK38="是",'18.04'!$AZ$4,'18.04'!$AZ$3)),(VLOOKUP('18.04'!M38,'18.04'!$AM$4:$AO$55,2,FALSE))*IF('18.04'!$AK38="是",'18.04'!$AZ$4,'18.04'!$AZ$3))</f>
        <v>136</v>
      </c>
      <c r="F38" s="4">
        <f>IF(ISNUMBER(SEARCH("营",'18.04'!N38)),(-$Y38+50*IF('18.04'!$AK38="是",'18.04'!$AZ$4,'18.04'!$AZ$3)),(VLOOKUP('18.04'!N38,'18.04'!$AM$4:$AO$55,2,FALSE))*IF('18.04'!$AK38="是",'18.04'!$AZ$4,'18.04'!$AZ$3))</f>
        <v>136</v>
      </c>
      <c r="G38" s="4">
        <f>IF(ISNUMBER(SEARCH("营",'18.04'!O38)),(-$Y38+50*IF('18.04'!$AK38="是",'18.04'!$AZ$4,'18.04'!$AZ$3)),(VLOOKUP('18.04'!O38,'18.04'!$AM$4:$AO$55,2,FALSE))*IF('18.04'!$AK38="是",'18.04'!$AZ$4,'18.04'!$AZ$3))</f>
        <v>136</v>
      </c>
      <c r="H38" s="4">
        <f>IF(ISNUMBER(SEARCH("营",'18.04'!P38)),(-$Y38+50*IF('18.04'!$AK38="是",'18.04'!$AZ$4,'18.04'!$AZ$3)),(VLOOKUP('18.04'!P38,'18.04'!$AM$4:$AO$55,2,FALSE))*IF('18.04'!$AK38="是",'18.04'!$AZ$4,'18.04'!$AZ$3))</f>
        <v>0</v>
      </c>
      <c r="I38" s="4">
        <f>IF(ISNUMBER(SEARCH("营",'18.04'!Q38)),(-$Y38+50*IF('18.04'!$AK38="是",'18.04'!$AZ$4,'18.04'!$AZ$3)),(VLOOKUP('18.04'!Q38,'18.04'!$AM$4:$AO$55,2,FALSE))*IF('18.04'!$AK38="是",'18.04'!$AZ$4,'18.04'!$AZ$3))</f>
        <v>152</v>
      </c>
      <c r="J38" s="4">
        <f>IF(ISNUMBER(SEARCH("营",'18.04'!R38)),(-$Y38+50*IF('18.04'!$AK38="是",'18.04'!$AZ$4,'18.04'!$AZ$3)),(VLOOKUP('18.04'!R38,'18.04'!$AM$4:$AO$55,2,FALSE))*IF('18.04'!$AK38="是",'18.04'!$AZ$4,'18.04'!$AZ$3))</f>
        <v>152</v>
      </c>
      <c r="K38" s="4">
        <f>IF(ISNUMBER(SEARCH("营",'18.04'!S38)),(-$Y38+50*IF('18.04'!$AK38="是",'18.04'!$AZ$4,'18.04'!$AZ$3)),(VLOOKUP('18.04'!S38,'18.04'!$AM$4:$AO$55,2,FALSE))*IF('18.04'!$AK38="是",'18.04'!$AZ$4,'18.04'!$AZ$3))</f>
        <v>152</v>
      </c>
      <c r="L38" s="4">
        <f>IF(ISNUMBER(SEARCH("营",'18.04'!T38)),(-$Y38+50*IF('18.04'!$AK38="是",'18.04'!$AZ$4,'18.04'!$AZ$3)),(VLOOKUP('18.04'!T38,'18.04'!$AM$4:$AO$55,2,FALSE))*IF('18.04'!$AK38="是",'18.04'!$AZ$4,'18.04'!$AZ$3))</f>
        <v>152</v>
      </c>
      <c r="M38" s="4">
        <f>IF(ISNUMBER(SEARCH("营",'18.04'!U38)),(-$Y38+50*IF('18.04'!$AK38="是",'18.04'!$AZ$4,'18.04'!$AZ$3)),(VLOOKUP('18.04'!U38,'18.04'!$AM$4:$AO$55,2,FALSE))*IF('18.04'!$AK38="是",'18.04'!$AZ$4,'18.04'!$AZ$3))</f>
        <v>152</v>
      </c>
      <c r="N38" s="4">
        <f>IF(ISNUMBER(SEARCH("营",'18.04'!V38)),(-$Y38+50*IF('18.04'!$AK38="是",'18.04'!$AZ$4,'18.04'!$AZ$3)),(VLOOKUP('18.04'!V38,'18.04'!$AM$4:$AO$55,2,FALSE))*IF('18.04'!$AK38="是",'18.04'!$AZ$4,'18.04'!$AZ$3))</f>
        <v>152</v>
      </c>
      <c r="O38" s="4">
        <f>IF(ISNUMBER(SEARCH("营",'18.04'!W38)),(-$Y38+50*IF('18.04'!$AK38="是",'18.04'!$AZ$4,'18.04'!$AZ$3)),(VLOOKUP('18.04'!W38,'18.04'!$AM$4:$AO$55,2,FALSE))*IF('18.04'!$AK38="是",'18.04'!$AZ$4,'18.04'!$AZ$3))</f>
        <v>152</v>
      </c>
      <c r="P38" s="4">
        <f>IF(ISNUMBER(SEARCH("营",'18.04'!X38)),(-$Y38+50*IF('18.04'!$AK38="是",'18.04'!$AZ$4,'18.04'!$AZ$3)),(VLOOKUP('18.04'!X38,'18.04'!$AM$4:$AO$55,2,FALSE))*IF('18.04'!$AK38="是",'18.04'!$AZ$4,'18.04'!$AZ$3))</f>
        <v>152</v>
      </c>
      <c r="Q38" s="4">
        <f>IF(ISNUMBER(SEARCH("营",'18.04'!Y38)),(-$Y38+50*IF('18.04'!$AK38="是",'18.04'!$AZ$4,'18.04'!$AZ$3)),(VLOOKUP('18.04'!Y38,'18.04'!$AM$4:$AO$55,2,FALSE))*IF('18.04'!$AK38="是",'18.04'!$AZ$4,'18.04'!$AZ$3))</f>
        <v>0</v>
      </c>
      <c r="R38" s="4">
        <f>IF(ISNUMBER(SEARCH("营",'18.04'!Z38)),(-$Y38+50*IF('18.04'!$AK38="是",'18.04'!$AZ$4,'18.04'!$AZ$3)),(VLOOKUP('18.04'!Z38,'18.04'!$AM$4:$AO$55,2,FALSE))*IF('18.04'!$AK38="是",'18.04'!$AZ$4,'18.04'!$AZ$3))</f>
        <v>0</v>
      </c>
      <c r="S38" s="4">
        <f>IF(ISNUMBER(SEARCH("营",'18.04'!AA38)),(-$Y38+50*IF('18.04'!$AK38="是",'18.04'!$AZ$4,'18.04'!$AZ$3)),(VLOOKUP('18.04'!AA38,'18.04'!$AM$4:$AO$55,2,FALSE))*IF('18.04'!$AK38="是",'18.04'!$AZ$4,'18.04'!$AZ$3))</f>
        <v>0</v>
      </c>
      <c r="T38" s="4">
        <f>IF(ISNUMBER(SEARCH("营",'18.04'!AB38)),(-$Y38+50*IF('18.04'!$AK38="是",'18.04'!$AZ$4,'18.04'!$AZ$3)),(VLOOKUP('18.04'!AB38,'18.04'!$AM$4:$AO$55,2,FALSE))*IF('18.04'!$AK38="是",'18.04'!$AZ$4,'18.04'!$AZ$3))</f>
        <v>0</v>
      </c>
      <c r="U38" s="4">
        <f>IF(ISNUMBER(SEARCH("营",'18.04'!AC38)),(-$Y38+50*IF('18.04'!$AK38="是",'18.04'!$AZ$4,'18.04'!$AZ$3)),(VLOOKUP('18.04'!AC38,'18.04'!$AM$4:$AO$55,2,FALSE))*IF('18.04'!$AK38="是",'18.04'!$AZ$4,'18.04'!$AZ$3))</f>
        <v>0</v>
      </c>
      <c r="V38" s="4">
        <f>IF(ISNUMBER(SEARCH("营",'18.04'!AD38)),(-$Y38+50*IF('18.04'!$AK38="是",'18.04'!$AZ$4,'18.04'!$AZ$3)),(VLOOKUP('18.04'!AD38,'18.04'!$AM$4:$AO$55,2,FALSE))*IF('18.04'!$AK38="是",'18.04'!$AZ$4,'18.04'!$AZ$3))</f>
        <v>0</v>
      </c>
      <c r="W38" s="4">
        <f>IF(ISNUMBER(SEARCH("营",'18.04'!AE38)),(-$Y38+50*IF('18.04'!$AK38="是",'18.04'!$AZ$4,'18.04'!$AZ$3)),(VLOOKUP('18.04'!AE38,'18.04'!$AM$4:$AO$55,2,FALSE))*IF('18.04'!$AK38="是",'18.04'!$AZ$4,'18.04'!$AZ$3))</f>
        <v>0</v>
      </c>
      <c r="X38" s="4">
        <f>IF(ISNUMBER(SEARCH("营",'18.04'!AF38)),(-$Y38+50*IF('18.04'!$AK38="是",'18.04'!$AZ$4,'18.04'!$AZ$3)),(VLOOKUP('18.04'!AF38,'18.04'!$AM$4:$AO$55,2,FALSE))*IF('18.04'!$AK38="是",'18.04'!$AZ$4,'18.04'!$AZ$3))</f>
        <v>0</v>
      </c>
      <c r="Y38" s="78">
        <v>200</v>
      </c>
      <c r="Z38" s="90">
        <v>45673</v>
      </c>
    </row>
    <row r="39" spans="1:26">
      <c r="A39" s="4">
        <f>IF(ISNUMBER(SEARCH("营",'18.04'!I39)),(-$Y39+50*IF('18.04'!$AK39="是",'18.04'!$AZ$4,'18.04'!$AZ$3)),(VLOOKUP('18.04'!I39,'18.04'!$AM$4:$AO$55,2,FALSE))*IF('18.04'!$AK39="是",'18.04'!$AZ$4,'18.04'!$AZ$3))</f>
        <v>136</v>
      </c>
      <c r="B39" s="4">
        <f>IF(ISNUMBER(SEARCH("营",'18.04'!J39)),(-$Y39+50*IF('18.04'!$AK39="是",'18.04'!$AZ$4,'18.04'!$AZ$3)),(VLOOKUP('18.04'!J39,'18.04'!$AM$4:$AO$55,2,FALSE))*IF('18.04'!$AK39="是",'18.04'!$AZ$4,'18.04'!$AZ$3))</f>
        <v>136</v>
      </c>
      <c r="C39" s="4">
        <f>IF(ISNUMBER(SEARCH("营",'18.04'!K39)),(-$Y39+50*IF('18.04'!$AK39="是",'18.04'!$AZ$4,'18.04'!$AZ$3)),(VLOOKUP('18.04'!K39,'18.04'!$AM$4:$AO$55,2,FALSE))*IF('18.04'!$AK39="是",'18.04'!$AZ$4,'18.04'!$AZ$3))</f>
        <v>136</v>
      </c>
      <c r="D39" s="4">
        <f>IF(ISNUMBER(SEARCH("营",'18.04'!L39)),(-$Y39+50*IF('18.04'!$AK39="是",'18.04'!$AZ$4,'18.04'!$AZ$3)),(VLOOKUP('18.04'!L39,'18.04'!$AM$4:$AO$55,2,FALSE))*IF('18.04'!$AK39="是",'18.04'!$AZ$4,'18.04'!$AZ$3))</f>
        <v>136</v>
      </c>
      <c r="E39" s="4">
        <f>IF(ISNUMBER(SEARCH("营",'18.04'!M39)),(-$Y39+50*IF('18.04'!$AK39="是",'18.04'!$AZ$4,'18.04'!$AZ$3)),(VLOOKUP('18.04'!M39,'18.04'!$AM$4:$AO$55,2,FALSE))*IF('18.04'!$AK39="是",'18.04'!$AZ$4,'18.04'!$AZ$3))</f>
        <v>136</v>
      </c>
      <c r="F39" s="4">
        <f>IF(ISNUMBER(SEARCH("营",'18.04'!N39)),(-$Y39+50*IF('18.04'!$AK39="是",'18.04'!$AZ$4,'18.04'!$AZ$3)),(VLOOKUP('18.04'!N39,'18.04'!$AM$4:$AO$55,2,FALSE))*IF('18.04'!$AK39="是",'18.04'!$AZ$4,'18.04'!$AZ$3))</f>
        <v>136</v>
      </c>
      <c r="G39" s="4">
        <f>IF(ISNUMBER(SEARCH("营",'18.04'!O39)),(-$Y39+50*IF('18.04'!$AK39="是",'18.04'!$AZ$4,'18.04'!$AZ$3)),(VLOOKUP('18.04'!O39,'18.04'!$AM$4:$AO$55,2,FALSE))*IF('18.04'!$AK39="是",'18.04'!$AZ$4,'18.04'!$AZ$3))</f>
        <v>136</v>
      </c>
      <c r="H39" s="4">
        <f>IF(ISNUMBER(SEARCH("营",'18.04'!P39)),(-$Y39+50*IF('18.04'!$AK39="是",'18.04'!$AZ$4,'18.04'!$AZ$3)),(VLOOKUP('18.04'!P39,'18.04'!$AM$4:$AO$55,2,FALSE))*IF('18.04'!$AK39="是",'18.04'!$AZ$4,'18.04'!$AZ$3))</f>
        <v>0</v>
      </c>
      <c r="I39" s="4">
        <f>IF(ISNUMBER(SEARCH("营",'18.04'!Q39)),(-$Y39+50*IF('18.04'!$AK39="是",'18.04'!$AZ$4,'18.04'!$AZ$3)),(VLOOKUP('18.04'!Q39,'18.04'!$AM$4:$AO$55,2,FALSE))*IF('18.04'!$AK39="是",'18.04'!$AZ$4,'18.04'!$AZ$3))</f>
        <v>152</v>
      </c>
      <c r="J39" s="4">
        <f>IF(ISNUMBER(SEARCH("营",'18.04'!R39)),(-$Y39+50*IF('18.04'!$AK39="是",'18.04'!$AZ$4,'18.04'!$AZ$3)),(VLOOKUP('18.04'!R39,'18.04'!$AM$4:$AO$55,2,FALSE))*IF('18.04'!$AK39="是",'18.04'!$AZ$4,'18.04'!$AZ$3))</f>
        <v>152</v>
      </c>
      <c r="K39" s="4">
        <f>IF(ISNUMBER(SEARCH("营",'18.04'!S39)),(-$Y39+50*IF('18.04'!$AK39="是",'18.04'!$AZ$4,'18.04'!$AZ$3)),(VLOOKUP('18.04'!S39,'18.04'!$AM$4:$AO$55,2,FALSE))*IF('18.04'!$AK39="是",'18.04'!$AZ$4,'18.04'!$AZ$3))</f>
        <v>152</v>
      </c>
      <c r="L39" s="4">
        <f>IF(ISNUMBER(SEARCH("营",'18.04'!T39)),(-$Y39+50*IF('18.04'!$AK39="是",'18.04'!$AZ$4,'18.04'!$AZ$3)),(VLOOKUP('18.04'!T39,'18.04'!$AM$4:$AO$55,2,FALSE))*IF('18.04'!$AK39="是",'18.04'!$AZ$4,'18.04'!$AZ$3))</f>
        <v>152</v>
      </c>
      <c r="M39" s="4">
        <f>IF(ISNUMBER(SEARCH("营",'18.04'!U39)),(-$Y39+50*IF('18.04'!$AK39="是",'18.04'!$AZ$4,'18.04'!$AZ$3)),(VLOOKUP('18.04'!U39,'18.04'!$AM$4:$AO$55,2,FALSE))*IF('18.04'!$AK39="是",'18.04'!$AZ$4,'18.04'!$AZ$3))</f>
        <v>152</v>
      </c>
      <c r="N39" s="4">
        <f>IF(ISNUMBER(SEARCH("营",'18.04'!V39)),(-$Y39+50*IF('18.04'!$AK39="是",'18.04'!$AZ$4,'18.04'!$AZ$3)),(VLOOKUP('18.04'!V39,'18.04'!$AM$4:$AO$55,2,FALSE))*IF('18.04'!$AK39="是",'18.04'!$AZ$4,'18.04'!$AZ$3))</f>
        <v>152</v>
      </c>
      <c r="O39" s="4">
        <f>IF(ISNUMBER(SEARCH("营",'18.04'!W39)),(-$Y39+50*IF('18.04'!$AK39="是",'18.04'!$AZ$4,'18.04'!$AZ$3)),(VLOOKUP('18.04'!W39,'18.04'!$AM$4:$AO$55,2,FALSE))*IF('18.04'!$AK39="是",'18.04'!$AZ$4,'18.04'!$AZ$3))</f>
        <v>152</v>
      </c>
      <c r="P39" s="4">
        <f>IF(ISNUMBER(SEARCH("营",'18.04'!X39)),(-$Y39+50*IF('18.04'!$AK39="是",'18.04'!$AZ$4,'18.04'!$AZ$3)),(VLOOKUP('18.04'!X39,'18.04'!$AM$4:$AO$55,2,FALSE))*IF('18.04'!$AK39="是",'18.04'!$AZ$4,'18.04'!$AZ$3))</f>
        <v>152</v>
      </c>
      <c r="Q39" s="4">
        <f>IF(ISNUMBER(SEARCH("营",'18.04'!Y39)),(-$Y39+50*IF('18.04'!$AK39="是",'18.04'!$AZ$4,'18.04'!$AZ$3)),(VLOOKUP('18.04'!Y39,'18.04'!$AM$4:$AO$55,2,FALSE))*IF('18.04'!$AK39="是",'18.04'!$AZ$4,'18.04'!$AZ$3))</f>
        <v>0</v>
      </c>
      <c r="R39" s="4">
        <f>IF(ISNUMBER(SEARCH("营",'18.04'!Z39)),(-$Y39+50*IF('18.04'!$AK39="是",'18.04'!$AZ$4,'18.04'!$AZ$3)),(VLOOKUP('18.04'!Z39,'18.04'!$AM$4:$AO$55,2,FALSE))*IF('18.04'!$AK39="是",'18.04'!$AZ$4,'18.04'!$AZ$3))</f>
        <v>0</v>
      </c>
      <c r="S39" s="4">
        <f>IF(ISNUMBER(SEARCH("营",'18.04'!AA39)),(-$Y39+50*IF('18.04'!$AK39="是",'18.04'!$AZ$4,'18.04'!$AZ$3)),(VLOOKUP('18.04'!AA39,'18.04'!$AM$4:$AO$55,2,FALSE))*IF('18.04'!$AK39="是",'18.04'!$AZ$4,'18.04'!$AZ$3))</f>
        <v>0</v>
      </c>
      <c r="T39" s="4">
        <f>IF(ISNUMBER(SEARCH("营",'18.04'!AB39)),(-$Y39+50*IF('18.04'!$AK39="是",'18.04'!$AZ$4,'18.04'!$AZ$3)),(VLOOKUP('18.04'!AB39,'18.04'!$AM$4:$AO$55,2,FALSE))*IF('18.04'!$AK39="是",'18.04'!$AZ$4,'18.04'!$AZ$3))</f>
        <v>0</v>
      </c>
      <c r="U39" s="4">
        <f>IF(ISNUMBER(SEARCH("营",'18.04'!AC39)),(-$Y39+50*IF('18.04'!$AK39="是",'18.04'!$AZ$4,'18.04'!$AZ$3)),(VLOOKUP('18.04'!AC39,'18.04'!$AM$4:$AO$55,2,FALSE))*IF('18.04'!$AK39="是",'18.04'!$AZ$4,'18.04'!$AZ$3))</f>
        <v>0</v>
      </c>
      <c r="V39" s="4">
        <f>IF(ISNUMBER(SEARCH("营",'18.04'!AD39)),(-$Y39+50*IF('18.04'!$AK39="是",'18.04'!$AZ$4,'18.04'!$AZ$3)),(VLOOKUP('18.04'!AD39,'18.04'!$AM$4:$AO$55,2,FALSE))*IF('18.04'!$AK39="是",'18.04'!$AZ$4,'18.04'!$AZ$3))</f>
        <v>0</v>
      </c>
      <c r="W39" s="4">
        <f>IF(ISNUMBER(SEARCH("营",'18.04'!AE39)),(-$Y39+50*IF('18.04'!$AK39="是",'18.04'!$AZ$4,'18.04'!$AZ$3)),(VLOOKUP('18.04'!AE39,'18.04'!$AM$4:$AO$55,2,FALSE))*IF('18.04'!$AK39="是",'18.04'!$AZ$4,'18.04'!$AZ$3))</f>
        <v>0</v>
      </c>
      <c r="X39" s="4">
        <f>IF(ISNUMBER(SEARCH("营",'18.04'!AF39)),(-$Y39+50*IF('18.04'!$AK39="是",'18.04'!$AZ$4,'18.04'!$AZ$3)),(VLOOKUP('18.04'!AF39,'18.04'!$AM$4:$AO$55,2,FALSE))*IF('18.04'!$AK39="是",'18.04'!$AZ$4,'18.04'!$AZ$3))</f>
        <v>0</v>
      </c>
      <c r="Y39" s="79">
        <v>150</v>
      </c>
      <c r="Z39" s="99">
        <v>45674</v>
      </c>
    </row>
    <row r="40" spans="1:26">
      <c r="A40" s="4">
        <f>IF(ISNUMBER(SEARCH("营",'18.04'!I40)),(-$Y40+50*IF('18.04'!$AK40="是",'18.04'!$AZ$4,'18.04'!$AZ$3)),(VLOOKUP('18.04'!I40,'18.04'!$AM$4:$AO$55,2,FALSE))*IF('18.04'!$AK40="是",'18.04'!$AZ$4,'18.04'!$AZ$3))</f>
        <v>136</v>
      </c>
      <c r="B40" s="4">
        <f>IF(ISNUMBER(SEARCH("营",'18.04'!J40)),(-$Y40+50*IF('18.04'!$AK40="是",'18.04'!$AZ$4,'18.04'!$AZ$3)),(VLOOKUP('18.04'!J40,'18.04'!$AM$4:$AO$55,2,FALSE))*IF('18.04'!$AK40="是",'18.04'!$AZ$4,'18.04'!$AZ$3))</f>
        <v>136</v>
      </c>
      <c r="C40" s="4">
        <f>IF(ISNUMBER(SEARCH("营",'18.04'!K40)),(-$Y40+50*IF('18.04'!$AK40="是",'18.04'!$AZ$4,'18.04'!$AZ$3)),(VLOOKUP('18.04'!K40,'18.04'!$AM$4:$AO$55,2,FALSE))*IF('18.04'!$AK40="是",'18.04'!$AZ$4,'18.04'!$AZ$3))</f>
        <v>136</v>
      </c>
      <c r="D40" s="4">
        <f>IF(ISNUMBER(SEARCH("营",'18.04'!L40)),(-$Y40+50*IF('18.04'!$AK40="是",'18.04'!$AZ$4,'18.04'!$AZ$3)),(VLOOKUP('18.04'!L40,'18.04'!$AM$4:$AO$55,2,FALSE))*IF('18.04'!$AK40="是",'18.04'!$AZ$4,'18.04'!$AZ$3))</f>
        <v>136</v>
      </c>
      <c r="E40" s="4">
        <f>IF(ISNUMBER(SEARCH("营",'18.04'!M40)),(-$Y40+50*IF('18.04'!$AK40="是",'18.04'!$AZ$4,'18.04'!$AZ$3)),(VLOOKUP('18.04'!M40,'18.04'!$AM$4:$AO$55,2,FALSE))*IF('18.04'!$AK40="是",'18.04'!$AZ$4,'18.04'!$AZ$3))</f>
        <v>136</v>
      </c>
      <c r="F40" s="4">
        <f>IF(ISNUMBER(SEARCH("营",'18.04'!N40)),(-$Y40+50*IF('18.04'!$AK40="是",'18.04'!$AZ$4,'18.04'!$AZ$3)),(VLOOKUP('18.04'!N40,'18.04'!$AM$4:$AO$55,2,FALSE))*IF('18.04'!$AK40="是",'18.04'!$AZ$4,'18.04'!$AZ$3))</f>
        <v>136</v>
      </c>
      <c r="G40" s="4">
        <f>IF(ISNUMBER(SEARCH("营",'18.04'!O40)),(-$Y40+50*IF('18.04'!$AK40="是",'18.04'!$AZ$4,'18.04'!$AZ$3)),(VLOOKUP('18.04'!O40,'18.04'!$AM$4:$AO$55,2,FALSE))*IF('18.04'!$AK40="是",'18.04'!$AZ$4,'18.04'!$AZ$3))</f>
        <v>136</v>
      </c>
      <c r="H40" s="4">
        <f>IF(ISNUMBER(SEARCH("营",'18.04'!P40)),(-$Y40+50*IF('18.04'!$AK40="是",'18.04'!$AZ$4,'18.04'!$AZ$3)),(VLOOKUP('18.04'!P40,'18.04'!$AM$4:$AO$55,2,FALSE))*IF('18.04'!$AK40="是",'18.04'!$AZ$4,'18.04'!$AZ$3))</f>
        <v>0</v>
      </c>
      <c r="I40" s="4">
        <f>IF(ISNUMBER(SEARCH("营",'18.04'!Q40)),(-$Y40+50*IF('18.04'!$AK40="是",'18.04'!$AZ$4,'18.04'!$AZ$3)),(VLOOKUP('18.04'!Q40,'18.04'!$AM$4:$AO$55,2,FALSE))*IF('18.04'!$AK40="是",'18.04'!$AZ$4,'18.04'!$AZ$3))</f>
        <v>152</v>
      </c>
      <c r="J40" s="4">
        <f>IF(ISNUMBER(SEARCH("营",'18.04'!R40)),(-$Y40+50*IF('18.04'!$AK40="是",'18.04'!$AZ$4,'18.04'!$AZ$3)),(VLOOKUP('18.04'!R40,'18.04'!$AM$4:$AO$55,2,FALSE))*IF('18.04'!$AK40="是",'18.04'!$AZ$4,'18.04'!$AZ$3))</f>
        <v>152</v>
      </c>
      <c r="K40" s="4">
        <f>IF(ISNUMBER(SEARCH("营",'18.04'!S40)),(-$Y40+50*IF('18.04'!$AK40="是",'18.04'!$AZ$4,'18.04'!$AZ$3)),(VLOOKUP('18.04'!S40,'18.04'!$AM$4:$AO$55,2,FALSE))*IF('18.04'!$AK40="是",'18.04'!$AZ$4,'18.04'!$AZ$3))</f>
        <v>152</v>
      </c>
      <c r="L40" s="4">
        <f>IF(ISNUMBER(SEARCH("营",'18.04'!T40)),(-$Y40+50*IF('18.04'!$AK40="是",'18.04'!$AZ$4,'18.04'!$AZ$3)),(VLOOKUP('18.04'!T40,'18.04'!$AM$4:$AO$55,2,FALSE))*IF('18.04'!$AK40="是",'18.04'!$AZ$4,'18.04'!$AZ$3))</f>
        <v>152</v>
      </c>
      <c r="M40" s="4">
        <f>IF(ISNUMBER(SEARCH("营",'18.04'!U40)),(-$Y40+50*IF('18.04'!$AK40="是",'18.04'!$AZ$4,'18.04'!$AZ$3)),(VLOOKUP('18.04'!U40,'18.04'!$AM$4:$AO$55,2,FALSE))*IF('18.04'!$AK40="是",'18.04'!$AZ$4,'18.04'!$AZ$3))</f>
        <v>152</v>
      </c>
      <c r="N40" s="4">
        <f>IF(ISNUMBER(SEARCH("营",'18.04'!V40)),(-$Y40+50*IF('18.04'!$AK40="是",'18.04'!$AZ$4,'18.04'!$AZ$3)),(VLOOKUP('18.04'!V40,'18.04'!$AM$4:$AO$55,2,FALSE))*IF('18.04'!$AK40="是",'18.04'!$AZ$4,'18.04'!$AZ$3))</f>
        <v>152</v>
      </c>
      <c r="O40" s="4">
        <f>IF(ISNUMBER(SEARCH("营",'18.04'!W40)),(-$Y40+50*IF('18.04'!$AK40="是",'18.04'!$AZ$4,'18.04'!$AZ$3)),(VLOOKUP('18.04'!W40,'18.04'!$AM$4:$AO$55,2,FALSE))*IF('18.04'!$AK40="是",'18.04'!$AZ$4,'18.04'!$AZ$3))</f>
        <v>152</v>
      </c>
      <c r="P40" s="4">
        <f>IF(ISNUMBER(SEARCH("营",'18.04'!X40)),(-$Y40+50*IF('18.04'!$AK40="是",'18.04'!$AZ$4,'18.04'!$AZ$3)),(VLOOKUP('18.04'!X40,'18.04'!$AM$4:$AO$55,2,FALSE))*IF('18.04'!$AK40="是",'18.04'!$AZ$4,'18.04'!$AZ$3))</f>
        <v>152</v>
      </c>
      <c r="Q40" s="4">
        <f>IF(ISNUMBER(SEARCH("营",'18.04'!Y40)),(-$Y40+50*IF('18.04'!$AK40="是",'18.04'!$AZ$4,'18.04'!$AZ$3)),(VLOOKUP('18.04'!Y40,'18.04'!$AM$4:$AO$55,2,FALSE))*IF('18.04'!$AK40="是",'18.04'!$AZ$4,'18.04'!$AZ$3))</f>
        <v>0</v>
      </c>
      <c r="R40" s="4">
        <f>IF(ISNUMBER(SEARCH("营",'18.04'!Z40)),(-$Y40+50*IF('18.04'!$AK40="是",'18.04'!$AZ$4,'18.04'!$AZ$3)),(VLOOKUP('18.04'!Z40,'18.04'!$AM$4:$AO$55,2,FALSE))*IF('18.04'!$AK40="是",'18.04'!$AZ$4,'18.04'!$AZ$3))</f>
        <v>0</v>
      </c>
      <c r="S40" s="4">
        <f>IF(ISNUMBER(SEARCH("营",'18.04'!AA40)),(-$Y40+50*IF('18.04'!$AK40="是",'18.04'!$AZ$4,'18.04'!$AZ$3)),(VLOOKUP('18.04'!AA40,'18.04'!$AM$4:$AO$55,2,FALSE))*IF('18.04'!$AK40="是",'18.04'!$AZ$4,'18.04'!$AZ$3))</f>
        <v>0</v>
      </c>
      <c r="T40" s="4">
        <f>IF(ISNUMBER(SEARCH("营",'18.04'!AB40)),(-$Y40+50*IF('18.04'!$AK40="是",'18.04'!$AZ$4,'18.04'!$AZ$3)),(VLOOKUP('18.04'!AB40,'18.04'!$AM$4:$AO$55,2,FALSE))*IF('18.04'!$AK40="是",'18.04'!$AZ$4,'18.04'!$AZ$3))</f>
        <v>0</v>
      </c>
      <c r="U40" s="4">
        <f>IF(ISNUMBER(SEARCH("营",'18.04'!AC40)),(-$Y40+50*IF('18.04'!$AK40="是",'18.04'!$AZ$4,'18.04'!$AZ$3)),(VLOOKUP('18.04'!AC40,'18.04'!$AM$4:$AO$55,2,FALSE))*IF('18.04'!$AK40="是",'18.04'!$AZ$4,'18.04'!$AZ$3))</f>
        <v>0</v>
      </c>
      <c r="V40" s="4">
        <f>IF(ISNUMBER(SEARCH("营",'18.04'!AD40)),(-$Y40+50*IF('18.04'!$AK40="是",'18.04'!$AZ$4,'18.04'!$AZ$3)),(VLOOKUP('18.04'!AD40,'18.04'!$AM$4:$AO$55,2,FALSE))*IF('18.04'!$AK40="是",'18.04'!$AZ$4,'18.04'!$AZ$3))</f>
        <v>0</v>
      </c>
      <c r="W40" s="4">
        <f>IF(ISNUMBER(SEARCH("营",'18.04'!AE40)),(-$Y40+50*IF('18.04'!$AK40="是",'18.04'!$AZ$4,'18.04'!$AZ$3)),(VLOOKUP('18.04'!AE40,'18.04'!$AM$4:$AO$55,2,FALSE))*IF('18.04'!$AK40="是",'18.04'!$AZ$4,'18.04'!$AZ$3))</f>
        <v>0</v>
      </c>
      <c r="X40" s="4">
        <f>IF(ISNUMBER(SEARCH("营",'18.04'!AF40)),(-$Y40+50*IF('18.04'!$AK40="是",'18.04'!$AZ$4,'18.04'!$AZ$3)),(VLOOKUP('18.04'!AF40,'18.04'!$AM$4:$AO$55,2,FALSE))*IF('18.04'!$AK40="是",'18.04'!$AZ$4,'18.04'!$AZ$3))</f>
        <v>0</v>
      </c>
      <c r="Y40" s="79">
        <v>150</v>
      </c>
      <c r="Z40" s="99">
        <v>45675</v>
      </c>
    </row>
    <row r="41" spans="1:26">
      <c r="A41" s="4">
        <f>IF(ISNUMBER(SEARCH("营",'18.04'!I41)),(-$Y41+50*IF('18.04'!$AK41="是",'18.04'!$AZ$4,'18.04'!$AZ$3)),(VLOOKUP('18.04'!I41,'18.04'!$AM$4:$AO$55,2,FALSE))*IF('18.04'!$AK41="是",'18.04'!$AZ$4,'18.04'!$AZ$3))</f>
        <v>136</v>
      </c>
      <c r="B41" s="4">
        <f>IF(ISNUMBER(SEARCH("营",'18.04'!J41)),(-$Y41+50*IF('18.04'!$AK41="是",'18.04'!$AZ$4,'18.04'!$AZ$3)),(VLOOKUP('18.04'!J41,'18.04'!$AM$4:$AO$55,2,FALSE))*IF('18.04'!$AK41="是",'18.04'!$AZ$4,'18.04'!$AZ$3))</f>
        <v>136</v>
      </c>
      <c r="C41" s="4">
        <f>IF(ISNUMBER(SEARCH("营",'18.04'!K41)),(-$Y41+50*IF('18.04'!$AK41="是",'18.04'!$AZ$4,'18.04'!$AZ$3)),(VLOOKUP('18.04'!K41,'18.04'!$AM$4:$AO$55,2,FALSE))*IF('18.04'!$AK41="是",'18.04'!$AZ$4,'18.04'!$AZ$3))</f>
        <v>136</v>
      </c>
      <c r="D41" s="4">
        <f>IF(ISNUMBER(SEARCH("营",'18.04'!L41)),(-$Y41+50*IF('18.04'!$AK41="是",'18.04'!$AZ$4,'18.04'!$AZ$3)),(VLOOKUP('18.04'!L41,'18.04'!$AM$4:$AO$55,2,FALSE))*IF('18.04'!$AK41="是",'18.04'!$AZ$4,'18.04'!$AZ$3))</f>
        <v>136</v>
      </c>
      <c r="E41" s="4">
        <f>IF(ISNUMBER(SEARCH("营",'18.04'!M41)),(-$Y41+50*IF('18.04'!$AK41="是",'18.04'!$AZ$4,'18.04'!$AZ$3)),(VLOOKUP('18.04'!M41,'18.04'!$AM$4:$AO$55,2,FALSE))*IF('18.04'!$AK41="是",'18.04'!$AZ$4,'18.04'!$AZ$3))</f>
        <v>136</v>
      </c>
      <c r="F41" s="4">
        <f>IF(ISNUMBER(SEARCH("营",'18.04'!N41)),(-$Y41+50*IF('18.04'!$AK41="是",'18.04'!$AZ$4,'18.04'!$AZ$3)),(VLOOKUP('18.04'!N41,'18.04'!$AM$4:$AO$55,2,FALSE))*IF('18.04'!$AK41="是",'18.04'!$AZ$4,'18.04'!$AZ$3))</f>
        <v>136</v>
      </c>
      <c r="G41" s="4">
        <f>IF(ISNUMBER(SEARCH("营",'18.04'!O41)),(-$Y41+50*IF('18.04'!$AK41="是",'18.04'!$AZ$4,'18.04'!$AZ$3)),(VLOOKUP('18.04'!O41,'18.04'!$AM$4:$AO$55,2,FALSE))*IF('18.04'!$AK41="是",'18.04'!$AZ$4,'18.04'!$AZ$3))</f>
        <v>136</v>
      </c>
      <c r="H41" s="4">
        <f>IF(ISNUMBER(SEARCH("营",'18.04'!P41)),(-$Y41+50*IF('18.04'!$AK41="是",'18.04'!$AZ$4,'18.04'!$AZ$3)),(VLOOKUP('18.04'!P41,'18.04'!$AM$4:$AO$55,2,FALSE))*IF('18.04'!$AK41="是",'18.04'!$AZ$4,'18.04'!$AZ$3))</f>
        <v>0</v>
      </c>
      <c r="I41" s="4">
        <f>IF(ISNUMBER(SEARCH("营",'18.04'!Q41)),(-$Y41+50*IF('18.04'!$AK41="是",'18.04'!$AZ$4,'18.04'!$AZ$3)),(VLOOKUP('18.04'!Q41,'18.04'!$AM$4:$AO$55,2,FALSE))*IF('18.04'!$AK41="是",'18.04'!$AZ$4,'18.04'!$AZ$3))</f>
        <v>152</v>
      </c>
      <c r="J41" s="4">
        <f>IF(ISNUMBER(SEARCH("营",'18.04'!R41)),(-$Y41+50*IF('18.04'!$AK41="是",'18.04'!$AZ$4,'18.04'!$AZ$3)),(VLOOKUP('18.04'!R41,'18.04'!$AM$4:$AO$55,2,FALSE))*IF('18.04'!$AK41="是",'18.04'!$AZ$4,'18.04'!$AZ$3))</f>
        <v>152</v>
      </c>
      <c r="K41" s="4">
        <f>IF(ISNUMBER(SEARCH("营",'18.04'!S41)),(-$Y41+50*IF('18.04'!$AK41="是",'18.04'!$AZ$4,'18.04'!$AZ$3)),(VLOOKUP('18.04'!S41,'18.04'!$AM$4:$AO$55,2,FALSE))*IF('18.04'!$AK41="是",'18.04'!$AZ$4,'18.04'!$AZ$3))</f>
        <v>152</v>
      </c>
      <c r="L41" s="4">
        <f>IF(ISNUMBER(SEARCH("营",'18.04'!T41)),(-$Y41+50*IF('18.04'!$AK41="是",'18.04'!$AZ$4,'18.04'!$AZ$3)),(VLOOKUP('18.04'!T41,'18.04'!$AM$4:$AO$55,2,FALSE))*IF('18.04'!$AK41="是",'18.04'!$AZ$4,'18.04'!$AZ$3))</f>
        <v>152</v>
      </c>
      <c r="M41" s="4">
        <f>IF(ISNUMBER(SEARCH("营",'18.04'!U41)),(-$Y41+50*IF('18.04'!$AK41="是",'18.04'!$AZ$4,'18.04'!$AZ$3)),(VLOOKUP('18.04'!U41,'18.04'!$AM$4:$AO$55,2,FALSE))*IF('18.04'!$AK41="是",'18.04'!$AZ$4,'18.04'!$AZ$3))</f>
        <v>152</v>
      </c>
      <c r="N41" s="4">
        <f>IF(ISNUMBER(SEARCH("营",'18.04'!V41)),(-$Y41+50*IF('18.04'!$AK41="是",'18.04'!$AZ$4,'18.04'!$AZ$3)),(VLOOKUP('18.04'!V41,'18.04'!$AM$4:$AO$55,2,FALSE))*IF('18.04'!$AK41="是",'18.04'!$AZ$4,'18.04'!$AZ$3))</f>
        <v>152</v>
      </c>
      <c r="O41" s="4">
        <f>IF(ISNUMBER(SEARCH("营",'18.04'!W41)),(-$Y41+50*IF('18.04'!$AK41="是",'18.04'!$AZ$4,'18.04'!$AZ$3)),(VLOOKUP('18.04'!W41,'18.04'!$AM$4:$AO$55,2,FALSE))*IF('18.04'!$AK41="是",'18.04'!$AZ$4,'18.04'!$AZ$3))</f>
        <v>152</v>
      </c>
      <c r="P41" s="4">
        <f>IF(ISNUMBER(SEARCH("营",'18.04'!X41)),(-$Y41+50*IF('18.04'!$AK41="是",'18.04'!$AZ$4,'18.04'!$AZ$3)),(VLOOKUP('18.04'!X41,'18.04'!$AM$4:$AO$55,2,FALSE))*IF('18.04'!$AK41="是",'18.04'!$AZ$4,'18.04'!$AZ$3))</f>
        <v>152</v>
      </c>
      <c r="Q41" s="4">
        <f>IF(ISNUMBER(SEARCH("营",'18.04'!Y41)),(-$Y41+50*IF('18.04'!$AK41="是",'18.04'!$AZ$4,'18.04'!$AZ$3)),(VLOOKUP('18.04'!Y41,'18.04'!$AM$4:$AO$55,2,FALSE))*IF('18.04'!$AK41="是",'18.04'!$AZ$4,'18.04'!$AZ$3))</f>
        <v>0</v>
      </c>
      <c r="R41" s="4">
        <f>IF(ISNUMBER(SEARCH("营",'18.04'!Z41)),(-$Y41+50*IF('18.04'!$AK41="是",'18.04'!$AZ$4,'18.04'!$AZ$3)),(VLOOKUP('18.04'!Z41,'18.04'!$AM$4:$AO$55,2,FALSE))*IF('18.04'!$AK41="是",'18.04'!$AZ$4,'18.04'!$AZ$3))</f>
        <v>0</v>
      </c>
      <c r="S41" s="4">
        <f>IF(ISNUMBER(SEARCH("营",'18.04'!AA41)),(-$Y41+50*IF('18.04'!$AK41="是",'18.04'!$AZ$4,'18.04'!$AZ$3)),(VLOOKUP('18.04'!AA41,'18.04'!$AM$4:$AO$55,2,FALSE))*IF('18.04'!$AK41="是",'18.04'!$AZ$4,'18.04'!$AZ$3))</f>
        <v>0</v>
      </c>
      <c r="T41" s="4">
        <f>IF(ISNUMBER(SEARCH("营",'18.04'!AB41)),(-$Y41+50*IF('18.04'!$AK41="是",'18.04'!$AZ$4,'18.04'!$AZ$3)),(VLOOKUP('18.04'!AB41,'18.04'!$AM$4:$AO$55,2,FALSE))*IF('18.04'!$AK41="是",'18.04'!$AZ$4,'18.04'!$AZ$3))</f>
        <v>0</v>
      </c>
      <c r="U41" s="4">
        <f>IF(ISNUMBER(SEARCH("营",'18.04'!AC41)),(-$Y41+50*IF('18.04'!$AK41="是",'18.04'!$AZ$4,'18.04'!$AZ$3)),(VLOOKUP('18.04'!AC41,'18.04'!$AM$4:$AO$55,2,FALSE))*IF('18.04'!$AK41="是",'18.04'!$AZ$4,'18.04'!$AZ$3))</f>
        <v>0</v>
      </c>
      <c r="V41" s="4">
        <f>IF(ISNUMBER(SEARCH("营",'18.04'!AD41)),(-$Y41+50*IF('18.04'!$AK41="是",'18.04'!$AZ$4,'18.04'!$AZ$3)),(VLOOKUP('18.04'!AD41,'18.04'!$AM$4:$AO$55,2,FALSE))*IF('18.04'!$AK41="是",'18.04'!$AZ$4,'18.04'!$AZ$3))</f>
        <v>0</v>
      </c>
      <c r="W41" s="4">
        <f>IF(ISNUMBER(SEARCH("营",'18.04'!AE41)),(-$Y41+50*IF('18.04'!$AK41="是",'18.04'!$AZ$4,'18.04'!$AZ$3)),(VLOOKUP('18.04'!AE41,'18.04'!$AM$4:$AO$55,2,FALSE))*IF('18.04'!$AK41="是",'18.04'!$AZ$4,'18.04'!$AZ$3))</f>
        <v>0</v>
      </c>
      <c r="X41" s="4">
        <f>IF(ISNUMBER(SEARCH("营",'18.04'!AF41)),(-$Y41+50*IF('18.04'!$AK41="是",'18.04'!$AZ$4,'18.04'!$AZ$3)),(VLOOKUP('18.04'!AF41,'18.04'!$AM$4:$AO$55,2,FALSE))*IF('18.04'!$AK41="是",'18.04'!$AZ$4,'18.04'!$AZ$3))</f>
        <v>0</v>
      </c>
      <c r="Y41" s="79">
        <v>150</v>
      </c>
      <c r="Z41" s="99">
        <v>45676</v>
      </c>
    </row>
    <row r="42" spans="1:26">
      <c r="A42" s="4">
        <f>IF(ISNUMBER(SEARCH("营",'18.04'!I42)),(-$Y42+50*IF('18.04'!$AK42="是",'18.04'!$AZ$4,'18.04'!$AZ$3)),(VLOOKUP('18.04'!I42,'18.04'!$AM$4:$AO$55,2,FALSE))*IF('18.04'!$AK42="是",'18.04'!$AZ$4,'18.04'!$AZ$3))</f>
        <v>136</v>
      </c>
      <c r="B42" s="4">
        <f>IF(ISNUMBER(SEARCH("营",'18.04'!J42)),(-$Y42+50*IF('18.04'!$AK42="是",'18.04'!$AZ$4,'18.04'!$AZ$3)),(VLOOKUP('18.04'!J42,'18.04'!$AM$4:$AO$55,2,FALSE))*IF('18.04'!$AK42="是",'18.04'!$AZ$4,'18.04'!$AZ$3))</f>
        <v>136</v>
      </c>
      <c r="C42" s="4">
        <f>IF(ISNUMBER(SEARCH("营",'18.04'!K42)),(-$Y42+50*IF('18.04'!$AK42="是",'18.04'!$AZ$4,'18.04'!$AZ$3)),(VLOOKUP('18.04'!K42,'18.04'!$AM$4:$AO$55,2,FALSE))*IF('18.04'!$AK42="是",'18.04'!$AZ$4,'18.04'!$AZ$3))</f>
        <v>136</v>
      </c>
      <c r="D42" s="4">
        <f>IF(ISNUMBER(SEARCH("营",'18.04'!L42)),(-$Y42+50*IF('18.04'!$AK42="是",'18.04'!$AZ$4,'18.04'!$AZ$3)),(VLOOKUP('18.04'!L42,'18.04'!$AM$4:$AO$55,2,FALSE))*IF('18.04'!$AK42="是",'18.04'!$AZ$4,'18.04'!$AZ$3))</f>
        <v>136</v>
      </c>
      <c r="E42" s="4">
        <f>IF(ISNUMBER(SEARCH("营",'18.04'!M42)),(-$Y42+50*IF('18.04'!$AK42="是",'18.04'!$AZ$4,'18.04'!$AZ$3)),(VLOOKUP('18.04'!M42,'18.04'!$AM$4:$AO$55,2,FALSE))*IF('18.04'!$AK42="是",'18.04'!$AZ$4,'18.04'!$AZ$3))</f>
        <v>136</v>
      </c>
      <c r="F42" s="4">
        <f>IF(ISNUMBER(SEARCH("营",'18.04'!N42)),(-$Y42+50*IF('18.04'!$AK42="是",'18.04'!$AZ$4,'18.04'!$AZ$3)),(VLOOKUP('18.04'!N42,'18.04'!$AM$4:$AO$55,2,FALSE))*IF('18.04'!$AK42="是",'18.04'!$AZ$4,'18.04'!$AZ$3))</f>
        <v>136</v>
      </c>
      <c r="G42" s="4">
        <f>IF(ISNUMBER(SEARCH("营",'18.04'!O42)),(-$Y42+50*IF('18.04'!$AK42="是",'18.04'!$AZ$4,'18.04'!$AZ$3)),(VLOOKUP('18.04'!O42,'18.04'!$AM$4:$AO$55,2,FALSE))*IF('18.04'!$AK42="是",'18.04'!$AZ$4,'18.04'!$AZ$3))</f>
        <v>136</v>
      </c>
      <c r="H42" s="4">
        <f>IF(ISNUMBER(SEARCH("营",'18.04'!P42)),(-$Y42+50*IF('18.04'!$AK42="是",'18.04'!$AZ$4,'18.04'!$AZ$3)),(VLOOKUP('18.04'!P42,'18.04'!$AM$4:$AO$55,2,FALSE))*IF('18.04'!$AK42="是",'18.04'!$AZ$4,'18.04'!$AZ$3))</f>
        <v>0</v>
      </c>
      <c r="I42" s="4">
        <f>IF(ISNUMBER(SEARCH("营",'18.04'!Q42)),(-$Y42+50*IF('18.04'!$AK42="是",'18.04'!$AZ$4,'18.04'!$AZ$3)),(VLOOKUP('18.04'!Q42,'18.04'!$AM$4:$AO$55,2,FALSE))*IF('18.04'!$AK42="是",'18.04'!$AZ$4,'18.04'!$AZ$3))</f>
        <v>152</v>
      </c>
      <c r="J42" s="4">
        <f>IF(ISNUMBER(SEARCH("营",'18.04'!R42)),(-$Y42+50*IF('18.04'!$AK42="是",'18.04'!$AZ$4,'18.04'!$AZ$3)),(VLOOKUP('18.04'!R42,'18.04'!$AM$4:$AO$55,2,FALSE))*IF('18.04'!$AK42="是",'18.04'!$AZ$4,'18.04'!$AZ$3))</f>
        <v>152</v>
      </c>
      <c r="K42" s="4">
        <f>IF(ISNUMBER(SEARCH("营",'18.04'!S42)),(-$Y42+50*IF('18.04'!$AK42="是",'18.04'!$AZ$4,'18.04'!$AZ$3)),(VLOOKUP('18.04'!S42,'18.04'!$AM$4:$AO$55,2,FALSE))*IF('18.04'!$AK42="是",'18.04'!$AZ$4,'18.04'!$AZ$3))</f>
        <v>152</v>
      </c>
      <c r="L42" s="4">
        <f>IF(ISNUMBER(SEARCH("营",'18.04'!T42)),(-$Y42+50*IF('18.04'!$AK42="是",'18.04'!$AZ$4,'18.04'!$AZ$3)),(VLOOKUP('18.04'!T42,'18.04'!$AM$4:$AO$55,2,FALSE))*IF('18.04'!$AK42="是",'18.04'!$AZ$4,'18.04'!$AZ$3))</f>
        <v>152</v>
      </c>
      <c r="M42" s="4">
        <f>IF(ISNUMBER(SEARCH("营",'18.04'!U42)),(-$Y42+50*IF('18.04'!$AK42="是",'18.04'!$AZ$4,'18.04'!$AZ$3)),(VLOOKUP('18.04'!U42,'18.04'!$AM$4:$AO$55,2,FALSE))*IF('18.04'!$AK42="是",'18.04'!$AZ$4,'18.04'!$AZ$3))</f>
        <v>152</v>
      </c>
      <c r="N42" s="4">
        <f>IF(ISNUMBER(SEARCH("营",'18.04'!V42)),(-$Y42+50*IF('18.04'!$AK42="是",'18.04'!$AZ$4,'18.04'!$AZ$3)),(VLOOKUP('18.04'!V42,'18.04'!$AM$4:$AO$55,2,FALSE))*IF('18.04'!$AK42="是",'18.04'!$AZ$4,'18.04'!$AZ$3))</f>
        <v>152</v>
      </c>
      <c r="O42" s="4">
        <f>IF(ISNUMBER(SEARCH("营",'18.04'!W42)),(-$Y42+50*IF('18.04'!$AK42="是",'18.04'!$AZ$4,'18.04'!$AZ$3)),(VLOOKUP('18.04'!W42,'18.04'!$AM$4:$AO$55,2,FALSE))*IF('18.04'!$AK42="是",'18.04'!$AZ$4,'18.04'!$AZ$3))</f>
        <v>152</v>
      </c>
      <c r="P42" s="4">
        <f>IF(ISNUMBER(SEARCH("营",'18.04'!X42)),(-$Y42+50*IF('18.04'!$AK42="是",'18.04'!$AZ$4,'18.04'!$AZ$3)),(VLOOKUP('18.04'!X42,'18.04'!$AM$4:$AO$55,2,FALSE))*IF('18.04'!$AK42="是",'18.04'!$AZ$4,'18.04'!$AZ$3))</f>
        <v>152</v>
      </c>
      <c r="Q42" s="4">
        <f>IF(ISNUMBER(SEARCH("营",'18.04'!Y42)),(-$Y42+50*IF('18.04'!$AK42="是",'18.04'!$AZ$4,'18.04'!$AZ$3)),(VLOOKUP('18.04'!Y42,'18.04'!$AM$4:$AO$55,2,FALSE))*IF('18.04'!$AK42="是",'18.04'!$AZ$4,'18.04'!$AZ$3))</f>
        <v>0</v>
      </c>
      <c r="R42" s="4">
        <f>IF(ISNUMBER(SEARCH("营",'18.04'!Z42)),(-$Y42+50*IF('18.04'!$AK42="是",'18.04'!$AZ$4,'18.04'!$AZ$3)),(VLOOKUP('18.04'!Z42,'18.04'!$AM$4:$AO$55,2,FALSE))*IF('18.04'!$AK42="是",'18.04'!$AZ$4,'18.04'!$AZ$3))</f>
        <v>0</v>
      </c>
      <c r="S42" s="4">
        <f>IF(ISNUMBER(SEARCH("营",'18.04'!AA42)),(-$Y42+50*IF('18.04'!$AK42="是",'18.04'!$AZ$4,'18.04'!$AZ$3)),(VLOOKUP('18.04'!AA42,'18.04'!$AM$4:$AO$55,2,FALSE))*IF('18.04'!$AK42="是",'18.04'!$AZ$4,'18.04'!$AZ$3))</f>
        <v>0</v>
      </c>
      <c r="T42" s="4">
        <f>IF(ISNUMBER(SEARCH("营",'18.04'!AB42)),(-$Y42+50*IF('18.04'!$AK42="是",'18.04'!$AZ$4,'18.04'!$AZ$3)),(VLOOKUP('18.04'!AB42,'18.04'!$AM$4:$AO$55,2,FALSE))*IF('18.04'!$AK42="是",'18.04'!$AZ$4,'18.04'!$AZ$3))</f>
        <v>0</v>
      </c>
      <c r="U42" s="4">
        <f>IF(ISNUMBER(SEARCH("营",'18.04'!AC42)),(-$Y42+50*IF('18.04'!$AK42="是",'18.04'!$AZ$4,'18.04'!$AZ$3)),(VLOOKUP('18.04'!AC42,'18.04'!$AM$4:$AO$55,2,FALSE))*IF('18.04'!$AK42="是",'18.04'!$AZ$4,'18.04'!$AZ$3))</f>
        <v>0</v>
      </c>
      <c r="V42" s="4">
        <f>IF(ISNUMBER(SEARCH("营",'18.04'!AD42)),(-$Y42+50*IF('18.04'!$AK42="是",'18.04'!$AZ$4,'18.04'!$AZ$3)),(VLOOKUP('18.04'!AD42,'18.04'!$AM$4:$AO$55,2,FALSE))*IF('18.04'!$AK42="是",'18.04'!$AZ$4,'18.04'!$AZ$3))</f>
        <v>0</v>
      </c>
      <c r="W42" s="4">
        <f>IF(ISNUMBER(SEARCH("营",'18.04'!AE42)),(-$Y42+50*IF('18.04'!$AK42="是",'18.04'!$AZ$4,'18.04'!$AZ$3)),(VLOOKUP('18.04'!AE42,'18.04'!$AM$4:$AO$55,2,FALSE))*IF('18.04'!$AK42="是",'18.04'!$AZ$4,'18.04'!$AZ$3))</f>
        <v>0</v>
      </c>
      <c r="X42" s="4">
        <f>IF(ISNUMBER(SEARCH("营",'18.04'!AF42)),(-$Y42+50*IF('18.04'!$AK42="是",'18.04'!$AZ$4,'18.04'!$AZ$3)),(VLOOKUP('18.04'!AF42,'18.04'!$AM$4:$AO$55,2,FALSE))*IF('18.04'!$AK42="是",'18.04'!$AZ$4,'18.04'!$AZ$3))</f>
        <v>0</v>
      </c>
      <c r="Y42" s="79">
        <v>150</v>
      </c>
      <c r="Z42" s="99">
        <v>45677</v>
      </c>
    </row>
    <row r="43" spans="1:26">
      <c r="A43" s="4">
        <f>IF(ISNUMBER(SEARCH("营",'18.04'!I43)),(-$Y43+50*IF('18.04'!$AK43="是",'18.04'!$AZ$4,'18.04'!$AZ$3)),(VLOOKUP('18.04'!I43,'18.04'!$AM$4:$AO$55,2,FALSE))*IF('18.04'!$AK43="是",'18.04'!$AZ$4,'18.04'!$AZ$3))</f>
        <v>136</v>
      </c>
      <c r="B43" s="4">
        <f>IF(ISNUMBER(SEARCH("营",'18.04'!J43)),(-$Y43+50*IF('18.04'!$AK43="是",'18.04'!$AZ$4,'18.04'!$AZ$3)),(VLOOKUP('18.04'!J43,'18.04'!$AM$4:$AO$55,2,FALSE))*IF('18.04'!$AK43="是",'18.04'!$AZ$4,'18.04'!$AZ$3))</f>
        <v>136</v>
      </c>
      <c r="C43" s="4">
        <f>IF(ISNUMBER(SEARCH("营",'18.04'!K43)),(-$Y43+50*IF('18.04'!$AK43="是",'18.04'!$AZ$4,'18.04'!$AZ$3)),(VLOOKUP('18.04'!K43,'18.04'!$AM$4:$AO$55,2,FALSE))*IF('18.04'!$AK43="是",'18.04'!$AZ$4,'18.04'!$AZ$3))</f>
        <v>136</v>
      </c>
      <c r="D43" s="4">
        <f>IF(ISNUMBER(SEARCH("营",'18.04'!L43)),(-$Y43+50*IF('18.04'!$AK43="是",'18.04'!$AZ$4,'18.04'!$AZ$3)),(VLOOKUP('18.04'!L43,'18.04'!$AM$4:$AO$55,2,FALSE))*IF('18.04'!$AK43="是",'18.04'!$AZ$4,'18.04'!$AZ$3))</f>
        <v>136</v>
      </c>
      <c r="E43" s="4">
        <f>IF(ISNUMBER(SEARCH("营",'18.04'!M43)),(-$Y43+50*IF('18.04'!$AK43="是",'18.04'!$AZ$4,'18.04'!$AZ$3)),(VLOOKUP('18.04'!M43,'18.04'!$AM$4:$AO$55,2,FALSE))*IF('18.04'!$AK43="是",'18.04'!$AZ$4,'18.04'!$AZ$3))</f>
        <v>136</v>
      </c>
      <c r="F43" s="4">
        <f>IF(ISNUMBER(SEARCH("营",'18.04'!N43)),(-$Y43+50*IF('18.04'!$AK43="是",'18.04'!$AZ$4,'18.04'!$AZ$3)),(VLOOKUP('18.04'!N43,'18.04'!$AM$4:$AO$55,2,FALSE))*IF('18.04'!$AK43="是",'18.04'!$AZ$4,'18.04'!$AZ$3))</f>
        <v>136</v>
      </c>
      <c r="G43" s="4">
        <f>IF(ISNUMBER(SEARCH("营",'18.04'!O43)),(-$Y43+50*IF('18.04'!$AK43="是",'18.04'!$AZ$4,'18.04'!$AZ$3)),(VLOOKUP('18.04'!O43,'18.04'!$AM$4:$AO$55,2,FALSE))*IF('18.04'!$AK43="是",'18.04'!$AZ$4,'18.04'!$AZ$3))</f>
        <v>136</v>
      </c>
      <c r="H43" s="4">
        <f>IF(ISNUMBER(SEARCH("营",'18.04'!P43)),(-$Y43+50*IF('18.04'!$AK43="是",'18.04'!$AZ$4,'18.04'!$AZ$3)),(VLOOKUP('18.04'!P43,'18.04'!$AM$4:$AO$55,2,FALSE))*IF('18.04'!$AK43="是",'18.04'!$AZ$4,'18.04'!$AZ$3))</f>
        <v>0</v>
      </c>
      <c r="I43" s="4">
        <f>IF(ISNUMBER(SEARCH("营",'18.04'!Q43)),(-$Y43+50*IF('18.04'!$AK43="是",'18.04'!$AZ$4,'18.04'!$AZ$3)),(VLOOKUP('18.04'!Q43,'18.04'!$AM$4:$AO$55,2,FALSE))*IF('18.04'!$AK43="是",'18.04'!$AZ$4,'18.04'!$AZ$3))</f>
        <v>152</v>
      </c>
      <c r="J43" s="4">
        <f>IF(ISNUMBER(SEARCH("营",'18.04'!R43)),(-$Y43+50*IF('18.04'!$AK43="是",'18.04'!$AZ$4,'18.04'!$AZ$3)),(VLOOKUP('18.04'!R43,'18.04'!$AM$4:$AO$55,2,FALSE))*IF('18.04'!$AK43="是",'18.04'!$AZ$4,'18.04'!$AZ$3))</f>
        <v>152</v>
      </c>
      <c r="K43" s="4">
        <f>IF(ISNUMBER(SEARCH("营",'18.04'!S43)),(-$Y43+50*IF('18.04'!$AK43="是",'18.04'!$AZ$4,'18.04'!$AZ$3)),(VLOOKUP('18.04'!S43,'18.04'!$AM$4:$AO$55,2,FALSE))*IF('18.04'!$AK43="是",'18.04'!$AZ$4,'18.04'!$AZ$3))</f>
        <v>152</v>
      </c>
      <c r="L43" s="4">
        <f>IF(ISNUMBER(SEARCH("营",'18.04'!T43)),(-$Y43+50*IF('18.04'!$AK43="是",'18.04'!$AZ$4,'18.04'!$AZ$3)),(VLOOKUP('18.04'!T43,'18.04'!$AM$4:$AO$55,2,FALSE))*IF('18.04'!$AK43="是",'18.04'!$AZ$4,'18.04'!$AZ$3))</f>
        <v>152</v>
      </c>
      <c r="M43" s="4">
        <f>IF(ISNUMBER(SEARCH("营",'18.04'!U43)),(-$Y43+50*IF('18.04'!$AK43="是",'18.04'!$AZ$4,'18.04'!$AZ$3)),(VLOOKUP('18.04'!U43,'18.04'!$AM$4:$AO$55,2,FALSE))*IF('18.04'!$AK43="是",'18.04'!$AZ$4,'18.04'!$AZ$3))</f>
        <v>152</v>
      </c>
      <c r="N43" s="4">
        <f>IF(ISNUMBER(SEARCH("营",'18.04'!V43)),(-$Y43+50*IF('18.04'!$AK43="是",'18.04'!$AZ$4,'18.04'!$AZ$3)),(VLOOKUP('18.04'!V43,'18.04'!$AM$4:$AO$55,2,FALSE))*IF('18.04'!$AK43="是",'18.04'!$AZ$4,'18.04'!$AZ$3))</f>
        <v>152</v>
      </c>
      <c r="O43" s="4">
        <f>IF(ISNUMBER(SEARCH("营",'18.04'!W43)),(-$Y43+50*IF('18.04'!$AK43="是",'18.04'!$AZ$4,'18.04'!$AZ$3)),(VLOOKUP('18.04'!W43,'18.04'!$AM$4:$AO$55,2,FALSE))*IF('18.04'!$AK43="是",'18.04'!$AZ$4,'18.04'!$AZ$3))</f>
        <v>152</v>
      </c>
      <c r="P43" s="4">
        <f>IF(ISNUMBER(SEARCH("营",'18.04'!X43)),(-$Y43+50*IF('18.04'!$AK43="是",'18.04'!$AZ$4,'18.04'!$AZ$3)),(VLOOKUP('18.04'!X43,'18.04'!$AM$4:$AO$55,2,FALSE))*IF('18.04'!$AK43="是",'18.04'!$AZ$4,'18.04'!$AZ$3))</f>
        <v>152</v>
      </c>
      <c r="Q43" s="4">
        <f>IF(ISNUMBER(SEARCH("营",'18.04'!Y43)),(-$Y43+50*IF('18.04'!$AK43="是",'18.04'!$AZ$4,'18.04'!$AZ$3)),(VLOOKUP('18.04'!Y43,'18.04'!$AM$4:$AO$55,2,FALSE))*IF('18.04'!$AK43="是",'18.04'!$AZ$4,'18.04'!$AZ$3))</f>
        <v>0</v>
      </c>
      <c r="R43" s="4">
        <f>IF(ISNUMBER(SEARCH("营",'18.04'!Z43)),(-$Y43+50*IF('18.04'!$AK43="是",'18.04'!$AZ$4,'18.04'!$AZ$3)),(VLOOKUP('18.04'!Z43,'18.04'!$AM$4:$AO$55,2,FALSE))*IF('18.04'!$AK43="是",'18.04'!$AZ$4,'18.04'!$AZ$3))</f>
        <v>0</v>
      </c>
      <c r="S43" s="4">
        <f>IF(ISNUMBER(SEARCH("营",'18.04'!AA43)),(-$Y43+50*IF('18.04'!$AK43="是",'18.04'!$AZ$4,'18.04'!$AZ$3)),(VLOOKUP('18.04'!AA43,'18.04'!$AM$4:$AO$55,2,FALSE))*IF('18.04'!$AK43="是",'18.04'!$AZ$4,'18.04'!$AZ$3))</f>
        <v>0</v>
      </c>
      <c r="T43" s="4">
        <f>IF(ISNUMBER(SEARCH("营",'18.04'!AB43)),(-$Y43+50*IF('18.04'!$AK43="是",'18.04'!$AZ$4,'18.04'!$AZ$3)),(VLOOKUP('18.04'!AB43,'18.04'!$AM$4:$AO$55,2,FALSE))*IF('18.04'!$AK43="是",'18.04'!$AZ$4,'18.04'!$AZ$3))</f>
        <v>0</v>
      </c>
      <c r="U43" s="4">
        <f>IF(ISNUMBER(SEARCH("营",'18.04'!AC43)),(-$Y43+50*IF('18.04'!$AK43="是",'18.04'!$AZ$4,'18.04'!$AZ$3)),(VLOOKUP('18.04'!AC43,'18.04'!$AM$4:$AO$55,2,FALSE))*IF('18.04'!$AK43="是",'18.04'!$AZ$4,'18.04'!$AZ$3))</f>
        <v>0</v>
      </c>
      <c r="V43" s="4">
        <f>IF(ISNUMBER(SEARCH("营",'18.04'!AD43)),(-$Y43+50*IF('18.04'!$AK43="是",'18.04'!$AZ$4,'18.04'!$AZ$3)),(VLOOKUP('18.04'!AD43,'18.04'!$AM$4:$AO$55,2,FALSE))*IF('18.04'!$AK43="是",'18.04'!$AZ$4,'18.04'!$AZ$3))</f>
        <v>0</v>
      </c>
      <c r="W43" s="4">
        <f>IF(ISNUMBER(SEARCH("营",'18.04'!AE43)),(-$Y43+50*IF('18.04'!$AK43="是",'18.04'!$AZ$4,'18.04'!$AZ$3)),(VLOOKUP('18.04'!AE43,'18.04'!$AM$4:$AO$55,2,FALSE))*IF('18.04'!$AK43="是",'18.04'!$AZ$4,'18.04'!$AZ$3))</f>
        <v>0</v>
      </c>
      <c r="X43" s="4">
        <f>IF(ISNUMBER(SEARCH("营",'18.04'!AF43)),(-$Y43+50*IF('18.04'!$AK43="是",'18.04'!$AZ$4,'18.04'!$AZ$3)),(VLOOKUP('18.04'!AF43,'18.04'!$AM$4:$AO$55,2,FALSE))*IF('18.04'!$AK43="是",'18.04'!$AZ$4,'18.04'!$AZ$3))</f>
        <v>0</v>
      </c>
      <c r="Y43" s="79">
        <v>150</v>
      </c>
      <c r="Z43" s="99">
        <v>45678</v>
      </c>
    </row>
    <row r="44" spans="1:26">
      <c r="A44" s="4">
        <f>IF(ISNUMBER(SEARCH("营",'18.04'!I44)),(-$Y44+50*IF('18.04'!$AK44="是",'18.04'!$AZ$4,'18.04'!$AZ$3)),(VLOOKUP('18.04'!I44,'18.04'!$AM$4:$AO$55,2,FALSE))*IF('18.04'!$AK44="是",'18.04'!$AZ$4,'18.04'!$AZ$3))</f>
        <v>136</v>
      </c>
      <c r="B44" s="4">
        <f>IF(ISNUMBER(SEARCH("营",'18.04'!J44)),(-$Y44+50*IF('18.04'!$AK44="是",'18.04'!$AZ$4,'18.04'!$AZ$3)),(VLOOKUP('18.04'!J44,'18.04'!$AM$4:$AO$55,2,FALSE))*IF('18.04'!$AK44="是",'18.04'!$AZ$4,'18.04'!$AZ$3))</f>
        <v>136</v>
      </c>
      <c r="C44" s="4">
        <f>IF(ISNUMBER(SEARCH("营",'18.04'!K44)),(-$Y44+50*IF('18.04'!$AK44="是",'18.04'!$AZ$4,'18.04'!$AZ$3)),(VLOOKUP('18.04'!K44,'18.04'!$AM$4:$AO$55,2,FALSE))*IF('18.04'!$AK44="是",'18.04'!$AZ$4,'18.04'!$AZ$3))</f>
        <v>136</v>
      </c>
      <c r="D44" s="4">
        <f>IF(ISNUMBER(SEARCH("营",'18.04'!L44)),(-$Y44+50*IF('18.04'!$AK44="是",'18.04'!$AZ$4,'18.04'!$AZ$3)),(VLOOKUP('18.04'!L44,'18.04'!$AM$4:$AO$55,2,FALSE))*IF('18.04'!$AK44="是",'18.04'!$AZ$4,'18.04'!$AZ$3))</f>
        <v>136</v>
      </c>
      <c r="E44" s="4">
        <f>IF(ISNUMBER(SEARCH("营",'18.04'!M44)),(-$Y44+50*IF('18.04'!$AK44="是",'18.04'!$AZ$4,'18.04'!$AZ$3)),(VLOOKUP('18.04'!M44,'18.04'!$AM$4:$AO$55,2,FALSE))*IF('18.04'!$AK44="是",'18.04'!$AZ$4,'18.04'!$AZ$3))</f>
        <v>136</v>
      </c>
      <c r="F44" s="4">
        <f>IF(ISNUMBER(SEARCH("营",'18.04'!N44)),(-$Y44+50*IF('18.04'!$AK44="是",'18.04'!$AZ$4,'18.04'!$AZ$3)),(VLOOKUP('18.04'!N44,'18.04'!$AM$4:$AO$55,2,FALSE))*IF('18.04'!$AK44="是",'18.04'!$AZ$4,'18.04'!$AZ$3))</f>
        <v>136</v>
      </c>
      <c r="G44" s="4">
        <f>IF(ISNUMBER(SEARCH("营",'18.04'!O44)),(-$Y44+50*IF('18.04'!$AK44="是",'18.04'!$AZ$4,'18.04'!$AZ$3)),(VLOOKUP('18.04'!O44,'18.04'!$AM$4:$AO$55,2,FALSE))*IF('18.04'!$AK44="是",'18.04'!$AZ$4,'18.04'!$AZ$3))</f>
        <v>136</v>
      </c>
      <c r="H44" s="4">
        <f>IF(ISNUMBER(SEARCH("营",'18.04'!P44)),(-$Y44+50*IF('18.04'!$AK44="是",'18.04'!$AZ$4,'18.04'!$AZ$3)),(VLOOKUP('18.04'!P44,'18.04'!$AM$4:$AO$55,2,FALSE))*IF('18.04'!$AK44="是",'18.04'!$AZ$4,'18.04'!$AZ$3))</f>
        <v>0</v>
      </c>
      <c r="I44" s="4">
        <f>IF(ISNUMBER(SEARCH("营",'18.04'!Q44)),(-$Y44+50*IF('18.04'!$AK44="是",'18.04'!$AZ$4,'18.04'!$AZ$3)),(VLOOKUP('18.04'!Q44,'18.04'!$AM$4:$AO$55,2,FALSE))*IF('18.04'!$AK44="是",'18.04'!$AZ$4,'18.04'!$AZ$3))</f>
        <v>152</v>
      </c>
      <c r="J44" s="4">
        <f>IF(ISNUMBER(SEARCH("营",'18.04'!R44)),(-$Y44+50*IF('18.04'!$AK44="是",'18.04'!$AZ$4,'18.04'!$AZ$3)),(VLOOKUP('18.04'!R44,'18.04'!$AM$4:$AO$55,2,FALSE))*IF('18.04'!$AK44="是",'18.04'!$AZ$4,'18.04'!$AZ$3))</f>
        <v>152</v>
      </c>
      <c r="K44" s="4">
        <f>IF(ISNUMBER(SEARCH("营",'18.04'!S44)),(-$Y44+50*IF('18.04'!$AK44="是",'18.04'!$AZ$4,'18.04'!$AZ$3)),(VLOOKUP('18.04'!S44,'18.04'!$AM$4:$AO$55,2,FALSE))*IF('18.04'!$AK44="是",'18.04'!$AZ$4,'18.04'!$AZ$3))</f>
        <v>152</v>
      </c>
      <c r="L44" s="4">
        <f>IF(ISNUMBER(SEARCH("营",'18.04'!T44)),(-$Y44+50*IF('18.04'!$AK44="是",'18.04'!$AZ$4,'18.04'!$AZ$3)),(VLOOKUP('18.04'!T44,'18.04'!$AM$4:$AO$55,2,FALSE))*IF('18.04'!$AK44="是",'18.04'!$AZ$4,'18.04'!$AZ$3))</f>
        <v>152</v>
      </c>
      <c r="M44" s="4">
        <f>IF(ISNUMBER(SEARCH("营",'18.04'!U44)),(-$Y44+50*IF('18.04'!$AK44="是",'18.04'!$AZ$4,'18.04'!$AZ$3)),(VLOOKUP('18.04'!U44,'18.04'!$AM$4:$AO$55,2,FALSE))*IF('18.04'!$AK44="是",'18.04'!$AZ$4,'18.04'!$AZ$3))</f>
        <v>152</v>
      </c>
      <c r="N44" s="4">
        <f>IF(ISNUMBER(SEARCH("营",'18.04'!V44)),(-$Y44+50*IF('18.04'!$AK44="是",'18.04'!$AZ$4,'18.04'!$AZ$3)),(VLOOKUP('18.04'!V44,'18.04'!$AM$4:$AO$55,2,FALSE))*IF('18.04'!$AK44="是",'18.04'!$AZ$4,'18.04'!$AZ$3))</f>
        <v>152</v>
      </c>
      <c r="O44" s="4">
        <f>IF(ISNUMBER(SEARCH("营",'18.04'!W44)),(-$Y44+50*IF('18.04'!$AK44="是",'18.04'!$AZ$4,'18.04'!$AZ$3)),(VLOOKUP('18.04'!W44,'18.04'!$AM$4:$AO$55,2,FALSE))*IF('18.04'!$AK44="是",'18.04'!$AZ$4,'18.04'!$AZ$3))</f>
        <v>152</v>
      </c>
      <c r="P44" s="4">
        <f>IF(ISNUMBER(SEARCH("营",'18.04'!X44)),(-$Y44+50*IF('18.04'!$AK44="是",'18.04'!$AZ$4,'18.04'!$AZ$3)),(VLOOKUP('18.04'!X44,'18.04'!$AM$4:$AO$55,2,FALSE))*IF('18.04'!$AK44="是",'18.04'!$AZ$4,'18.04'!$AZ$3))</f>
        <v>152</v>
      </c>
      <c r="Q44" s="4">
        <f>IF(ISNUMBER(SEARCH("营",'18.04'!Y44)),(-$Y44+50*IF('18.04'!$AK44="是",'18.04'!$AZ$4,'18.04'!$AZ$3)),(VLOOKUP('18.04'!Y44,'18.04'!$AM$4:$AO$55,2,FALSE))*IF('18.04'!$AK44="是",'18.04'!$AZ$4,'18.04'!$AZ$3))</f>
        <v>0</v>
      </c>
      <c r="R44" s="4">
        <f>IF(ISNUMBER(SEARCH("营",'18.04'!Z44)),(-$Y44+50*IF('18.04'!$AK44="是",'18.04'!$AZ$4,'18.04'!$AZ$3)),(VLOOKUP('18.04'!Z44,'18.04'!$AM$4:$AO$55,2,FALSE))*IF('18.04'!$AK44="是",'18.04'!$AZ$4,'18.04'!$AZ$3))</f>
        <v>0</v>
      </c>
      <c r="S44" s="4">
        <f>IF(ISNUMBER(SEARCH("营",'18.04'!AA44)),(-$Y44+50*IF('18.04'!$AK44="是",'18.04'!$AZ$4,'18.04'!$AZ$3)),(VLOOKUP('18.04'!AA44,'18.04'!$AM$4:$AO$55,2,FALSE))*IF('18.04'!$AK44="是",'18.04'!$AZ$4,'18.04'!$AZ$3))</f>
        <v>0</v>
      </c>
      <c r="T44" s="4">
        <f>IF(ISNUMBER(SEARCH("营",'18.04'!AB44)),(-$Y44+50*IF('18.04'!$AK44="是",'18.04'!$AZ$4,'18.04'!$AZ$3)),(VLOOKUP('18.04'!AB44,'18.04'!$AM$4:$AO$55,2,FALSE))*IF('18.04'!$AK44="是",'18.04'!$AZ$4,'18.04'!$AZ$3))</f>
        <v>0</v>
      </c>
      <c r="U44" s="4">
        <f>IF(ISNUMBER(SEARCH("营",'18.04'!AC44)),(-$Y44+50*IF('18.04'!$AK44="是",'18.04'!$AZ$4,'18.04'!$AZ$3)),(VLOOKUP('18.04'!AC44,'18.04'!$AM$4:$AO$55,2,FALSE))*IF('18.04'!$AK44="是",'18.04'!$AZ$4,'18.04'!$AZ$3))</f>
        <v>0</v>
      </c>
      <c r="V44" s="4">
        <f>IF(ISNUMBER(SEARCH("营",'18.04'!AD44)),(-$Y44+50*IF('18.04'!$AK44="是",'18.04'!$AZ$4,'18.04'!$AZ$3)),(VLOOKUP('18.04'!AD44,'18.04'!$AM$4:$AO$55,2,FALSE))*IF('18.04'!$AK44="是",'18.04'!$AZ$4,'18.04'!$AZ$3))</f>
        <v>0</v>
      </c>
      <c r="W44" s="4">
        <f>IF(ISNUMBER(SEARCH("营",'18.04'!AE44)),(-$Y44+50*IF('18.04'!$AK44="是",'18.04'!$AZ$4,'18.04'!$AZ$3)),(VLOOKUP('18.04'!AE44,'18.04'!$AM$4:$AO$55,2,FALSE))*IF('18.04'!$AK44="是",'18.04'!$AZ$4,'18.04'!$AZ$3))</f>
        <v>0</v>
      </c>
      <c r="X44" s="4">
        <f>IF(ISNUMBER(SEARCH("营",'18.04'!AF44)),(-$Y44+50*IF('18.04'!$AK44="是",'18.04'!$AZ$4,'18.04'!$AZ$3)),(VLOOKUP('18.04'!AF44,'18.04'!$AM$4:$AO$55,2,FALSE))*IF('18.04'!$AK44="是",'18.04'!$AZ$4,'18.04'!$AZ$3))</f>
        <v>0</v>
      </c>
      <c r="Y44" s="79">
        <v>150</v>
      </c>
      <c r="Z44" s="99">
        <v>45679</v>
      </c>
    </row>
    <row r="45" spans="1:26">
      <c r="A45" s="4">
        <f>IF(ISNUMBER(SEARCH("营",'18.04'!I45)),(-$Y45+50*IF('18.04'!$AK45="是",'18.04'!$AZ$4,'18.04'!$AZ$3)),(VLOOKUP('18.04'!I45,'18.04'!$AM$4:$AO$55,2,FALSE))*IF('18.04'!$AK45="是",'18.04'!$AZ$4,'18.04'!$AZ$3))</f>
        <v>136</v>
      </c>
      <c r="B45" s="4">
        <f>IF(ISNUMBER(SEARCH("营",'18.04'!J45)),(-$Y45+50*IF('18.04'!$AK45="是",'18.04'!$AZ$4,'18.04'!$AZ$3)),(VLOOKUP('18.04'!J45,'18.04'!$AM$4:$AO$55,2,FALSE))*IF('18.04'!$AK45="是",'18.04'!$AZ$4,'18.04'!$AZ$3))</f>
        <v>136</v>
      </c>
      <c r="C45" s="4">
        <f>IF(ISNUMBER(SEARCH("营",'18.04'!K45)),(-$Y45+50*IF('18.04'!$AK45="是",'18.04'!$AZ$4,'18.04'!$AZ$3)),(VLOOKUP('18.04'!K45,'18.04'!$AM$4:$AO$55,2,FALSE))*IF('18.04'!$AK45="是",'18.04'!$AZ$4,'18.04'!$AZ$3))</f>
        <v>136</v>
      </c>
      <c r="D45" s="4">
        <f>IF(ISNUMBER(SEARCH("营",'18.04'!L45)),(-$Y45+50*IF('18.04'!$AK45="是",'18.04'!$AZ$4,'18.04'!$AZ$3)),(VLOOKUP('18.04'!L45,'18.04'!$AM$4:$AO$55,2,FALSE))*IF('18.04'!$AK45="是",'18.04'!$AZ$4,'18.04'!$AZ$3))</f>
        <v>136</v>
      </c>
      <c r="E45" s="4">
        <f>IF(ISNUMBER(SEARCH("营",'18.04'!M45)),(-$Y45+50*IF('18.04'!$AK45="是",'18.04'!$AZ$4,'18.04'!$AZ$3)),(VLOOKUP('18.04'!M45,'18.04'!$AM$4:$AO$55,2,FALSE))*IF('18.04'!$AK45="是",'18.04'!$AZ$4,'18.04'!$AZ$3))</f>
        <v>136</v>
      </c>
      <c r="F45" s="4">
        <f>IF(ISNUMBER(SEARCH("营",'18.04'!N45)),(-$Y45+50*IF('18.04'!$AK45="是",'18.04'!$AZ$4,'18.04'!$AZ$3)),(VLOOKUP('18.04'!N45,'18.04'!$AM$4:$AO$55,2,FALSE))*IF('18.04'!$AK45="是",'18.04'!$AZ$4,'18.04'!$AZ$3))</f>
        <v>136</v>
      </c>
      <c r="G45" s="4">
        <f>IF(ISNUMBER(SEARCH("营",'18.04'!O45)),(-$Y45+50*IF('18.04'!$AK45="是",'18.04'!$AZ$4,'18.04'!$AZ$3)),(VLOOKUP('18.04'!O45,'18.04'!$AM$4:$AO$55,2,FALSE))*IF('18.04'!$AK45="是",'18.04'!$AZ$4,'18.04'!$AZ$3))</f>
        <v>136</v>
      </c>
      <c r="H45" s="4">
        <f>IF(ISNUMBER(SEARCH("营",'18.04'!P45)),(-$Y45+50*IF('18.04'!$AK45="是",'18.04'!$AZ$4,'18.04'!$AZ$3)),(VLOOKUP('18.04'!P45,'18.04'!$AM$4:$AO$55,2,FALSE))*IF('18.04'!$AK45="是",'18.04'!$AZ$4,'18.04'!$AZ$3))</f>
        <v>0</v>
      </c>
      <c r="I45" s="4">
        <f>IF(ISNUMBER(SEARCH("营",'18.04'!Q45)),(-$Y45+50*IF('18.04'!$AK45="是",'18.04'!$AZ$4,'18.04'!$AZ$3)),(VLOOKUP('18.04'!Q45,'18.04'!$AM$4:$AO$55,2,FALSE))*IF('18.04'!$AK45="是",'18.04'!$AZ$4,'18.04'!$AZ$3))</f>
        <v>152</v>
      </c>
      <c r="J45" s="4">
        <f>IF(ISNUMBER(SEARCH("营",'18.04'!R45)),(-$Y45+50*IF('18.04'!$AK45="是",'18.04'!$AZ$4,'18.04'!$AZ$3)),(VLOOKUP('18.04'!R45,'18.04'!$AM$4:$AO$55,2,FALSE))*IF('18.04'!$AK45="是",'18.04'!$AZ$4,'18.04'!$AZ$3))</f>
        <v>152</v>
      </c>
      <c r="K45" s="4">
        <f>IF(ISNUMBER(SEARCH("营",'18.04'!S45)),(-$Y45+50*IF('18.04'!$AK45="是",'18.04'!$AZ$4,'18.04'!$AZ$3)),(VLOOKUP('18.04'!S45,'18.04'!$AM$4:$AO$55,2,FALSE))*IF('18.04'!$AK45="是",'18.04'!$AZ$4,'18.04'!$AZ$3))</f>
        <v>152</v>
      </c>
      <c r="L45" s="4">
        <f>IF(ISNUMBER(SEARCH("营",'18.04'!T45)),(-$Y45+50*IF('18.04'!$AK45="是",'18.04'!$AZ$4,'18.04'!$AZ$3)),(VLOOKUP('18.04'!T45,'18.04'!$AM$4:$AO$55,2,FALSE))*IF('18.04'!$AK45="是",'18.04'!$AZ$4,'18.04'!$AZ$3))</f>
        <v>152</v>
      </c>
      <c r="M45" s="4">
        <f>IF(ISNUMBER(SEARCH("营",'18.04'!U45)),(-$Y45+50*IF('18.04'!$AK45="是",'18.04'!$AZ$4,'18.04'!$AZ$3)),(VLOOKUP('18.04'!U45,'18.04'!$AM$4:$AO$55,2,FALSE))*IF('18.04'!$AK45="是",'18.04'!$AZ$4,'18.04'!$AZ$3))</f>
        <v>152</v>
      </c>
      <c r="N45" s="4">
        <f>IF(ISNUMBER(SEARCH("营",'18.04'!V45)),(-$Y45+50*IF('18.04'!$AK45="是",'18.04'!$AZ$4,'18.04'!$AZ$3)),(VLOOKUP('18.04'!V45,'18.04'!$AM$4:$AO$55,2,FALSE))*IF('18.04'!$AK45="是",'18.04'!$AZ$4,'18.04'!$AZ$3))</f>
        <v>152</v>
      </c>
      <c r="O45" s="4">
        <f>IF(ISNUMBER(SEARCH("营",'18.04'!W45)),(-$Y45+50*IF('18.04'!$AK45="是",'18.04'!$AZ$4,'18.04'!$AZ$3)),(VLOOKUP('18.04'!W45,'18.04'!$AM$4:$AO$55,2,FALSE))*IF('18.04'!$AK45="是",'18.04'!$AZ$4,'18.04'!$AZ$3))</f>
        <v>152</v>
      </c>
      <c r="P45" s="4">
        <f>IF(ISNUMBER(SEARCH("营",'18.04'!X45)),(-$Y45+50*IF('18.04'!$AK45="是",'18.04'!$AZ$4,'18.04'!$AZ$3)),(VLOOKUP('18.04'!X45,'18.04'!$AM$4:$AO$55,2,FALSE))*IF('18.04'!$AK45="是",'18.04'!$AZ$4,'18.04'!$AZ$3))</f>
        <v>152</v>
      </c>
      <c r="Q45" s="4">
        <f>IF(ISNUMBER(SEARCH("营",'18.04'!Y45)),(-$Y45+50*IF('18.04'!$AK45="是",'18.04'!$AZ$4,'18.04'!$AZ$3)),(VLOOKUP('18.04'!Y45,'18.04'!$AM$4:$AO$55,2,FALSE))*IF('18.04'!$AK45="是",'18.04'!$AZ$4,'18.04'!$AZ$3))</f>
        <v>0</v>
      </c>
      <c r="R45" s="4">
        <f>IF(ISNUMBER(SEARCH("营",'18.04'!Z45)),(-$Y45+50*IF('18.04'!$AK45="是",'18.04'!$AZ$4,'18.04'!$AZ$3)),(VLOOKUP('18.04'!Z45,'18.04'!$AM$4:$AO$55,2,FALSE))*IF('18.04'!$AK45="是",'18.04'!$AZ$4,'18.04'!$AZ$3))</f>
        <v>0</v>
      </c>
      <c r="S45" s="4">
        <f>IF(ISNUMBER(SEARCH("营",'18.04'!AA45)),(-$Y45+50*IF('18.04'!$AK45="是",'18.04'!$AZ$4,'18.04'!$AZ$3)),(VLOOKUP('18.04'!AA45,'18.04'!$AM$4:$AO$55,2,FALSE))*IF('18.04'!$AK45="是",'18.04'!$AZ$4,'18.04'!$AZ$3))</f>
        <v>0</v>
      </c>
      <c r="T45" s="4">
        <f>IF(ISNUMBER(SEARCH("营",'18.04'!AB45)),(-$Y45+50*IF('18.04'!$AK45="是",'18.04'!$AZ$4,'18.04'!$AZ$3)),(VLOOKUP('18.04'!AB45,'18.04'!$AM$4:$AO$55,2,FALSE))*IF('18.04'!$AK45="是",'18.04'!$AZ$4,'18.04'!$AZ$3))</f>
        <v>0</v>
      </c>
      <c r="U45" s="4">
        <f>IF(ISNUMBER(SEARCH("营",'18.04'!AC45)),(-$Y45+50*IF('18.04'!$AK45="是",'18.04'!$AZ$4,'18.04'!$AZ$3)),(VLOOKUP('18.04'!AC45,'18.04'!$AM$4:$AO$55,2,FALSE))*IF('18.04'!$AK45="是",'18.04'!$AZ$4,'18.04'!$AZ$3))</f>
        <v>0</v>
      </c>
      <c r="V45" s="4">
        <f>IF(ISNUMBER(SEARCH("营",'18.04'!AD45)),(-$Y45+50*IF('18.04'!$AK45="是",'18.04'!$AZ$4,'18.04'!$AZ$3)),(VLOOKUP('18.04'!AD45,'18.04'!$AM$4:$AO$55,2,FALSE))*IF('18.04'!$AK45="是",'18.04'!$AZ$4,'18.04'!$AZ$3))</f>
        <v>0</v>
      </c>
      <c r="W45" s="4">
        <f>IF(ISNUMBER(SEARCH("营",'18.04'!AE45)),(-$Y45+50*IF('18.04'!$AK45="是",'18.04'!$AZ$4,'18.04'!$AZ$3)),(VLOOKUP('18.04'!AE45,'18.04'!$AM$4:$AO$55,2,FALSE))*IF('18.04'!$AK45="是",'18.04'!$AZ$4,'18.04'!$AZ$3))</f>
        <v>0</v>
      </c>
      <c r="X45" s="4">
        <f>IF(ISNUMBER(SEARCH("营",'18.04'!AF45)),(-$Y45+50*IF('18.04'!$AK45="是",'18.04'!$AZ$4,'18.04'!$AZ$3)),(VLOOKUP('18.04'!AF45,'18.04'!$AM$4:$AO$55,2,FALSE))*IF('18.04'!$AK45="是",'18.04'!$AZ$4,'18.04'!$AZ$3))</f>
        <v>0</v>
      </c>
      <c r="Y45" s="79">
        <v>150</v>
      </c>
      <c r="Z45" s="99">
        <v>45680</v>
      </c>
    </row>
    <row r="46" spans="1:26">
      <c r="A46" s="4">
        <f>IF(ISNUMBER(SEARCH("营",'18.04'!I46)),(-$Y46+50*IF('18.04'!$AK46="是",'18.04'!$AZ$4,'18.04'!$AZ$3)),(VLOOKUP('18.04'!I46,'18.04'!$AM$4:$AO$55,2,FALSE))*IF('18.04'!$AK46="是",'18.04'!$AZ$4,'18.04'!$AZ$3))</f>
        <v>136</v>
      </c>
      <c r="B46" s="4">
        <f>IF(ISNUMBER(SEARCH("营",'18.04'!J46)),(-$Y46+50*IF('18.04'!$AK46="是",'18.04'!$AZ$4,'18.04'!$AZ$3)),(VLOOKUP('18.04'!J46,'18.04'!$AM$4:$AO$55,2,FALSE))*IF('18.04'!$AK46="是",'18.04'!$AZ$4,'18.04'!$AZ$3))</f>
        <v>136</v>
      </c>
      <c r="C46" s="4">
        <f>IF(ISNUMBER(SEARCH("营",'18.04'!K46)),(-$Y46+50*IF('18.04'!$AK46="是",'18.04'!$AZ$4,'18.04'!$AZ$3)),(VLOOKUP('18.04'!K46,'18.04'!$AM$4:$AO$55,2,FALSE))*IF('18.04'!$AK46="是",'18.04'!$AZ$4,'18.04'!$AZ$3))</f>
        <v>136</v>
      </c>
      <c r="D46" s="4">
        <f>IF(ISNUMBER(SEARCH("营",'18.04'!L46)),(-$Y46+50*IF('18.04'!$AK46="是",'18.04'!$AZ$4,'18.04'!$AZ$3)),(VLOOKUP('18.04'!L46,'18.04'!$AM$4:$AO$55,2,FALSE))*IF('18.04'!$AK46="是",'18.04'!$AZ$4,'18.04'!$AZ$3))</f>
        <v>136</v>
      </c>
      <c r="E46" s="4">
        <f>IF(ISNUMBER(SEARCH("营",'18.04'!M46)),(-$Y46+50*IF('18.04'!$AK46="是",'18.04'!$AZ$4,'18.04'!$AZ$3)),(VLOOKUP('18.04'!M46,'18.04'!$AM$4:$AO$55,2,FALSE))*IF('18.04'!$AK46="是",'18.04'!$AZ$4,'18.04'!$AZ$3))</f>
        <v>136</v>
      </c>
      <c r="F46" s="4">
        <f>IF(ISNUMBER(SEARCH("营",'18.04'!N46)),(-$Y46+50*IF('18.04'!$AK46="是",'18.04'!$AZ$4,'18.04'!$AZ$3)),(VLOOKUP('18.04'!N46,'18.04'!$AM$4:$AO$55,2,FALSE))*IF('18.04'!$AK46="是",'18.04'!$AZ$4,'18.04'!$AZ$3))</f>
        <v>136</v>
      </c>
      <c r="G46" s="4">
        <f>IF(ISNUMBER(SEARCH("营",'18.04'!O46)),(-$Y46+50*IF('18.04'!$AK46="是",'18.04'!$AZ$4,'18.04'!$AZ$3)),(VLOOKUP('18.04'!O46,'18.04'!$AM$4:$AO$55,2,FALSE))*IF('18.04'!$AK46="是",'18.04'!$AZ$4,'18.04'!$AZ$3))</f>
        <v>136</v>
      </c>
      <c r="H46" s="4">
        <f>IF(ISNUMBER(SEARCH("营",'18.04'!P46)),(-$Y46+50*IF('18.04'!$AK46="是",'18.04'!$AZ$4,'18.04'!$AZ$3)),(VLOOKUP('18.04'!P46,'18.04'!$AM$4:$AO$55,2,FALSE))*IF('18.04'!$AK46="是",'18.04'!$AZ$4,'18.04'!$AZ$3))</f>
        <v>0</v>
      </c>
      <c r="I46" s="4">
        <f>IF(ISNUMBER(SEARCH("营",'18.04'!Q46)),(-$Y46+50*IF('18.04'!$AK46="是",'18.04'!$AZ$4,'18.04'!$AZ$3)),(VLOOKUP('18.04'!Q46,'18.04'!$AM$4:$AO$55,2,FALSE))*IF('18.04'!$AK46="是",'18.04'!$AZ$4,'18.04'!$AZ$3))</f>
        <v>152</v>
      </c>
      <c r="J46" s="4">
        <f>IF(ISNUMBER(SEARCH("营",'18.04'!R46)),(-$Y46+50*IF('18.04'!$AK46="是",'18.04'!$AZ$4,'18.04'!$AZ$3)),(VLOOKUP('18.04'!R46,'18.04'!$AM$4:$AO$55,2,FALSE))*IF('18.04'!$AK46="是",'18.04'!$AZ$4,'18.04'!$AZ$3))</f>
        <v>152</v>
      </c>
      <c r="K46" s="4">
        <f>IF(ISNUMBER(SEARCH("营",'18.04'!S46)),(-$Y46+50*IF('18.04'!$AK46="是",'18.04'!$AZ$4,'18.04'!$AZ$3)),(VLOOKUP('18.04'!S46,'18.04'!$AM$4:$AO$55,2,FALSE))*IF('18.04'!$AK46="是",'18.04'!$AZ$4,'18.04'!$AZ$3))</f>
        <v>152</v>
      </c>
      <c r="L46" s="4">
        <f>IF(ISNUMBER(SEARCH("营",'18.04'!T46)),(-$Y46+50*IF('18.04'!$AK46="是",'18.04'!$AZ$4,'18.04'!$AZ$3)),(VLOOKUP('18.04'!T46,'18.04'!$AM$4:$AO$55,2,FALSE))*IF('18.04'!$AK46="是",'18.04'!$AZ$4,'18.04'!$AZ$3))</f>
        <v>152</v>
      </c>
      <c r="M46" s="4">
        <f>IF(ISNUMBER(SEARCH("营",'18.04'!U46)),(-$Y46+50*IF('18.04'!$AK46="是",'18.04'!$AZ$4,'18.04'!$AZ$3)),(VLOOKUP('18.04'!U46,'18.04'!$AM$4:$AO$55,2,FALSE))*IF('18.04'!$AK46="是",'18.04'!$AZ$4,'18.04'!$AZ$3))</f>
        <v>152</v>
      </c>
      <c r="N46" s="4">
        <f>IF(ISNUMBER(SEARCH("营",'18.04'!V46)),(-$Y46+50*IF('18.04'!$AK46="是",'18.04'!$AZ$4,'18.04'!$AZ$3)),(VLOOKUP('18.04'!V46,'18.04'!$AM$4:$AO$55,2,FALSE))*IF('18.04'!$AK46="是",'18.04'!$AZ$4,'18.04'!$AZ$3))</f>
        <v>152</v>
      </c>
      <c r="O46" s="4">
        <f>IF(ISNUMBER(SEARCH("营",'18.04'!W46)),(-$Y46+50*IF('18.04'!$AK46="是",'18.04'!$AZ$4,'18.04'!$AZ$3)),(VLOOKUP('18.04'!W46,'18.04'!$AM$4:$AO$55,2,FALSE))*IF('18.04'!$AK46="是",'18.04'!$AZ$4,'18.04'!$AZ$3))</f>
        <v>152</v>
      </c>
      <c r="P46" s="4">
        <f>IF(ISNUMBER(SEARCH("营",'18.04'!X46)),(-$Y46+50*IF('18.04'!$AK46="是",'18.04'!$AZ$4,'18.04'!$AZ$3)),(VLOOKUP('18.04'!X46,'18.04'!$AM$4:$AO$55,2,FALSE))*IF('18.04'!$AK46="是",'18.04'!$AZ$4,'18.04'!$AZ$3))</f>
        <v>152</v>
      </c>
      <c r="Q46" s="4">
        <f>IF(ISNUMBER(SEARCH("营",'18.04'!Y46)),(-$Y46+50*IF('18.04'!$AK46="是",'18.04'!$AZ$4,'18.04'!$AZ$3)),(VLOOKUP('18.04'!Y46,'18.04'!$AM$4:$AO$55,2,FALSE))*IF('18.04'!$AK46="是",'18.04'!$AZ$4,'18.04'!$AZ$3))</f>
        <v>0</v>
      </c>
      <c r="R46" s="4">
        <f>IF(ISNUMBER(SEARCH("营",'18.04'!Z46)),(-$Y46+50*IF('18.04'!$AK46="是",'18.04'!$AZ$4,'18.04'!$AZ$3)),(VLOOKUP('18.04'!Z46,'18.04'!$AM$4:$AO$55,2,FALSE))*IF('18.04'!$AK46="是",'18.04'!$AZ$4,'18.04'!$AZ$3))</f>
        <v>0</v>
      </c>
      <c r="S46" s="4">
        <f>IF(ISNUMBER(SEARCH("营",'18.04'!AA46)),(-$Y46+50*IF('18.04'!$AK46="是",'18.04'!$AZ$4,'18.04'!$AZ$3)),(VLOOKUP('18.04'!AA46,'18.04'!$AM$4:$AO$55,2,FALSE))*IF('18.04'!$AK46="是",'18.04'!$AZ$4,'18.04'!$AZ$3))</f>
        <v>0</v>
      </c>
      <c r="T46" s="4">
        <f>IF(ISNUMBER(SEARCH("营",'18.04'!AB46)),(-$Y46+50*IF('18.04'!$AK46="是",'18.04'!$AZ$4,'18.04'!$AZ$3)),(VLOOKUP('18.04'!AB46,'18.04'!$AM$4:$AO$55,2,FALSE))*IF('18.04'!$AK46="是",'18.04'!$AZ$4,'18.04'!$AZ$3))</f>
        <v>0</v>
      </c>
      <c r="U46" s="4">
        <f>IF(ISNUMBER(SEARCH("营",'18.04'!AC46)),(-$Y46+50*IF('18.04'!$AK46="是",'18.04'!$AZ$4,'18.04'!$AZ$3)),(VLOOKUP('18.04'!AC46,'18.04'!$AM$4:$AO$55,2,FALSE))*IF('18.04'!$AK46="是",'18.04'!$AZ$4,'18.04'!$AZ$3))</f>
        <v>0</v>
      </c>
      <c r="V46" s="4">
        <f>IF(ISNUMBER(SEARCH("营",'18.04'!AD46)),(-$Y46+50*IF('18.04'!$AK46="是",'18.04'!$AZ$4,'18.04'!$AZ$3)),(VLOOKUP('18.04'!AD46,'18.04'!$AM$4:$AO$55,2,FALSE))*IF('18.04'!$AK46="是",'18.04'!$AZ$4,'18.04'!$AZ$3))</f>
        <v>0</v>
      </c>
      <c r="W46" s="4">
        <f>IF(ISNUMBER(SEARCH("营",'18.04'!AE46)),(-$Y46+50*IF('18.04'!$AK46="是",'18.04'!$AZ$4,'18.04'!$AZ$3)),(VLOOKUP('18.04'!AE46,'18.04'!$AM$4:$AO$55,2,FALSE))*IF('18.04'!$AK46="是",'18.04'!$AZ$4,'18.04'!$AZ$3))</f>
        <v>0</v>
      </c>
      <c r="X46" s="4">
        <f>IF(ISNUMBER(SEARCH("营",'18.04'!AF46)),(-$Y46+50*IF('18.04'!$AK46="是",'18.04'!$AZ$4,'18.04'!$AZ$3)),(VLOOKUP('18.04'!AF46,'18.04'!$AM$4:$AO$55,2,FALSE))*IF('18.04'!$AK46="是",'18.04'!$AZ$4,'18.04'!$AZ$3))</f>
        <v>0</v>
      </c>
      <c r="Y46" s="79">
        <v>150</v>
      </c>
      <c r="Z46" s="99">
        <v>45681</v>
      </c>
    </row>
    <row r="47" spans="1:26">
      <c r="A47" s="4">
        <f>IF(ISNUMBER(SEARCH("营",'18.04'!I47)),(-$Y47+50*IF('18.04'!$AK47="是",'18.04'!$AZ$4,'18.04'!$AZ$3)),(VLOOKUP('18.04'!I47,'18.04'!$AM$4:$AO$55,2,FALSE))*IF('18.04'!$AK47="是",'18.04'!$AZ$4,'18.04'!$AZ$3))</f>
        <v>136</v>
      </c>
      <c r="B47" s="4">
        <f>IF(ISNUMBER(SEARCH("营",'18.04'!J47)),(-$Y47+50*IF('18.04'!$AK47="是",'18.04'!$AZ$4,'18.04'!$AZ$3)),(VLOOKUP('18.04'!J47,'18.04'!$AM$4:$AO$55,2,FALSE))*IF('18.04'!$AK47="是",'18.04'!$AZ$4,'18.04'!$AZ$3))</f>
        <v>136</v>
      </c>
      <c r="C47" s="4">
        <f>IF(ISNUMBER(SEARCH("营",'18.04'!K47)),(-$Y47+50*IF('18.04'!$AK47="是",'18.04'!$AZ$4,'18.04'!$AZ$3)),(VLOOKUP('18.04'!K47,'18.04'!$AM$4:$AO$55,2,FALSE))*IF('18.04'!$AK47="是",'18.04'!$AZ$4,'18.04'!$AZ$3))</f>
        <v>136</v>
      </c>
      <c r="D47" s="4">
        <f>IF(ISNUMBER(SEARCH("营",'18.04'!L47)),(-$Y47+50*IF('18.04'!$AK47="是",'18.04'!$AZ$4,'18.04'!$AZ$3)),(VLOOKUP('18.04'!L47,'18.04'!$AM$4:$AO$55,2,FALSE))*IF('18.04'!$AK47="是",'18.04'!$AZ$4,'18.04'!$AZ$3))</f>
        <v>136</v>
      </c>
      <c r="E47" s="4">
        <f>IF(ISNUMBER(SEARCH("营",'18.04'!M47)),(-$Y47+50*IF('18.04'!$AK47="是",'18.04'!$AZ$4,'18.04'!$AZ$3)),(VLOOKUP('18.04'!M47,'18.04'!$AM$4:$AO$55,2,FALSE))*IF('18.04'!$AK47="是",'18.04'!$AZ$4,'18.04'!$AZ$3))</f>
        <v>136</v>
      </c>
      <c r="F47" s="4">
        <f>IF(ISNUMBER(SEARCH("营",'18.04'!N47)),(-$Y47+50*IF('18.04'!$AK47="是",'18.04'!$AZ$4,'18.04'!$AZ$3)),(VLOOKUP('18.04'!N47,'18.04'!$AM$4:$AO$55,2,FALSE))*IF('18.04'!$AK47="是",'18.04'!$AZ$4,'18.04'!$AZ$3))</f>
        <v>136</v>
      </c>
      <c r="G47" s="4">
        <f>IF(ISNUMBER(SEARCH("营",'18.04'!O47)),(-$Y47+50*IF('18.04'!$AK47="是",'18.04'!$AZ$4,'18.04'!$AZ$3)),(VLOOKUP('18.04'!O47,'18.04'!$AM$4:$AO$55,2,FALSE))*IF('18.04'!$AK47="是",'18.04'!$AZ$4,'18.04'!$AZ$3))</f>
        <v>136</v>
      </c>
      <c r="H47" s="4">
        <f>IF(ISNUMBER(SEARCH("营",'18.04'!P47)),(-$Y47+50*IF('18.04'!$AK47="是",'18.04'!$AZ$4,'18.04'!$AZ$3)),(VLOOKUP('18.04'!P47,'18.04'!$AM$4:$AO$55,2,FALSE))*IF('18.04'!$AK47="是",'18.04'!$AZ$4,'18.04'!$AZ$3))</f>
        <v>0</v>
      </c>
      <c r="I47" s="4">
        <f>IF(ISNUMBER(SEARCH("营",'18.04'!Q47)),(-$Y47+50*IF('18.04'!$AK47="是",'18.04'!$AZ$4,'18.04'!$AZ$3)),(VLOOKUP('18.04'!Q47,'18.04'!$AM$4:$AO$55,2,FALSE))*IF('18.04'!$AK47="是",'18.04'!$AZ$4,'18.04'!$AZ$3))</f>
        <v>152</v>
      </c>
      <c r="J47" s="4">
        <f>IF(ISNUMBER(SEARCH("营",'18.04'!R47)),(-$Y47+50*IF('18.04'!$AK47="是",'18.04'!$AZ$4,'18.04'!$AZ$3)),(VLOOKUP('18.04'!R47,'18.04'!$AM$4:$AO$55,2,FALSE))*IF('18.04'!$AK47="是",'18.04'!$AZ$4,'18.04'!$AZ$3))</f>
        <v>152</v>
      </c>
      <c r="K47" s="4">
        <f>IF(ISNUMBER(SEARCH("营",'18.04'!S47)),(-$Y47+50*IF('18.04'!$AK47="是",'18.04'!$AZ$4,'18.04'!$AZ$3)),(VLOOKUP('18.04'!S47,'18.04'!$AM$4:$AO$55,2,FALSE))*IF('18.04'!$AK47="是",'18.04'!$AZ$4,'18.04'!$AZ$3))</f>
        <v>152</v>
      </c>
      <c r="L47" s="4">
        <f>IF(ISNUMBER(SEARCH("营",'18.04'!T47)),(-$Y47+50*IF('18.04'!$AK47="是",'18.04'!$AZ$4,'18.04'!$AZ$3)),(VLOOKUP('18.04'!T47,'18.04'!$AM$4:$AO$55,2,FALSE))*IF('18.04'!$AK47="是",'18.04'!$AZ$4,'18.04'!$AZ$3))</f>
        <v>152</v>
      </c>
      <c r="M47" s="4">
        <f>IF(ISNUMBER(SEARCH("营",'18.04'!U47)),(-$Y47+50*IF('18.04'!$AK47="是",'18.04'!$AZ$4,'18.04'!$AZ$3)),(VLOOKUP('18.04'!U47,'18.04'!$AM$4:$AO$55,2,FALSE))*IF('18.04'!$AK47="是",'18.04'!$AZ$4,'18.04'!$AZ$3))</f>
        <v>152</v>
      </c>
      <c r="N47" s="4">
        <f>IF(ISNUMBER(SEARCH("营",'18.04'!V47)),(-$Y47+50*IF('18.04'!$AK47="是",'18.04'!$AZ$4,'18.04'!$AZ$3)),(VLOOKUP('18.04'!V47,'18.04'!$AM$4:$AO$55,2,FALSE))*IF('18.04'!$AK47="是",'18.04'!$AZ$4,'18.04'!$AZ$3))</f>
        <v>152</v>
      </c>
      <c r="O47" s="4">
        <f>IF(ISNUMBER(SEARCH("营",'18.04'!W47)),(-$Y47+50*IF('18.04'!$AK47="是",'18.04'!$AZ$4,'18.04'!$AZ$3)),(VLOOKUP('18.04'!W47,'18.04'!$AM$4:$AO$55,2,FALSE))*IF('18.04'!$AK47="是",'18.04'!$AZ$4,'18.04'!$AZ$3))</f>
        <v>152</v>
      </c>
      <c r="P47" s="4">
        <f>IF(ISNUMBER(SEARCH("营",'18.04'!X47)),(-$Y47+50*IF('18.04'!$AK47="是",'18.04'!$AZ$4,'18.04'!$AZ$3)),(VLOOKUP('18.04'!X47,'18.04'!$AM$4:$AO$55,2,FALSE))*IF('18.04'!$AK47="是",'18.04'!$AZ$4,'18.04'!$AZ$3))</f>
        <v>152</v>
      </c>
      <c r="Q47" s="4">
        <f>IF(ISNUMBER(SEARCH("营",'18.04'!Y47)),(-$Y47+50*IF('18.04'!$AK47="是",'18.04'!$AZ$4,'18.04'!$AZ$3)),(VLOOKUP('18.04'!Y47,'18.04'!$AM$4:$AO$55,2,FALSE))*IF('18.04'!$AK47="是",'18.04'!$AZ$4,'18.04'!$AZ$3))</f>
        <v>0</v>
      </c>
      <c r="R47" s="4">
        <f>IF(ISNUMBER(SEARCH("营",'18.04'!Z47)),(-$Y47+50*IF('18.04'!$AK47="是",'18.04'!$AZ$4,'18.04'!$AZ$3)),(VLOOKUP('18.04'!Z47,'18.04'!$AM$4:$AO$55,2,FALSE))*IF('18.04'!$AK47="是",'18.04'!$AZ$4,'18.04'!$AZ$3))</f>
        <v>0</v>
      </c>
      <c r="S47" s="4">
        <f>IF(ISNUMBER(SEARCH("营",'18.04'!AA47)),(-$Y47+50*IF('18.04'!$AK47="是",'18.04'!$AZ$4,'18.04'!$AZ$3)),(VLOOKUP('18.04'!AA47,'18.04'!$AM$4:$AO$55,2,FALSE))*IF('18.04'!$AK47="是",'18.04'!$AZ$4,'18.04'!$AZ$3))</f>
        <v>0</v>
      </c>
      <c r="T47" s="4">
        <f>IF(ISNUMBER(SEARCH("营",'18.04'!AB47)),(-$Y47+50*IF('18.04'!$AK47="是",'18.04'!$AZ$4,'18.04'!$AZ$3)),(VLOOKUP('18.04'!AB47,'18.04'!$AM$4:$AO$55,2,FALSE))*IF('18.04'!$AK47="是",'18.04'!$AZ$4,'18.04'!$AZ$3))</f>
        <v>0</v>
      </c>
      <c r="U47" s="4">
        <f>IF(ISNUMBER(SEARCH("营",'18.04'!AC47)),(-$Y47+50*IF('18.04'!$AK47="是",'18.04'!$AZ$4,'18.04'!$AZ$3)),(VLOOKUP('18.04'!AC47,'18.04'!$AM$4:$AO$55,2,FALSE))*IF('18.04'!$AK47="是",'18.04'!$AZ$4,'18.04'!$AZ$3))</f>
        <v>0</v>
      </c>
      <c r="V47" s="4">
        <f>IF(ISNUMBER(SEARCH("营",'18.04'!AD47)),(-$Y47+50*IF('18.04'!$AK47="是",'18.04'!$AZ$4,'18.04'!$AZ$3)),(VLOOKUP('18.04'!AD47,'18.04'!$AM$4:$AO$55,2,FALSE))*IF('18.04'!$AK47="是",'18.04'!$AZ$4,'18.04'!$AZ$3))</f>
        <v>0</v>
      </c>
      <c r="W47" s="4">
        <f>IF(ISNUMBER(SEARCH("营",'18.04'!AE47)),(-$Y47+50*IF('18.04'!$AK47="是",'18.04'!$AZ$4,'18.04'!$AZ$3)),(VLOOKUP('18.04'!AE47,'18.04'!$AM$4:$AO$55,2,FALSE))*IF('18.04'!$AK47="是",'18.04'!$AZ$4,'18.04'!$AZ$3))</f>
        <v>0</v>
      </c>
      <c r="X47" s="4">
        <f>IF(ISNUMBER(SEARCH("营",'18.04'!AF47)),(-$Y47+50*IF('18.04'!$AK47="是",'18.04'!$AZ$4,'18.04'!$AZ$3)),(VLOOKUP('18.04'!AF47,'18.04'!$AM$4:$AO$55,2,FALSE))*IF('18.04'!$AK47="是",'18.04'!$AZ$4,'18.04'!$AZ$3))</f>
        <v>0</v>
      </c>
      <c r="Y47" s="79">
        <v>150</v>
      </c>
      <c r="Z47" s="99">
        <v>45682</v>
      </c>
    </row>
    <row r="48" spans="1:26">
      <c r="A48" s="4">
        <f>IF(ISNUMBER(SEARCH("营",'18.04'!I48)),(-$Y48+50*IF('18.04'!$AK48="是",'18.04'!$AZ$4,'18.04'!$AZ$3)),(VLOOKUP('18.04'!I48,'18.04'!$AM$4:$AO$55,2,FALSE))*IF('18.04'!$AK48="是",'18.04'!$AZ$4,'18.04'!$AZ$3))</f>
        <v>136</v>
      </c>
      <c r="B48" s="4">
        <f>IF(ISNUMBER(SEARCH("营",'18.04'!J48)),(-$Y48+50*IF('18.04'!$AK48="是",'18.04'!$AZ$4,'18.04'!$AZ$3)),(VLOOKUP('18.04'!J48,'18.04'!$AM$4:$AO$55,2,FALSE))*IF('18.04'!$AK48="是",'18.04'!$AZ$4,'18.04'!$AZ$3))</f>
        <v>136</v>
      </c>
      <c r="C48" s="4">
        <f>IF(ISNUMBER(SEARCH("营",'18.04'!K48)),(-$Y48+50*IF('18.04'!$AK48="是",'18.04'!$AZ$4,'18.04'!$AZ$3)),(VLOOKUP('18.04'!K48,'18.04'!$AM$4:$AO$55,2,FALSE))*IF('18.04'!$AK48="是",'18.04'!$AZ$4,'18.04'!$AZ$3))</f>
        <v>136</v>
      </c>
      <c r="D48" s="4">
        <f>IF(ISNUMBER(SEARCH("营",'18.04'!L48)),(-$Y48+50*IF('18.04'!$AK48="是",'18.04'!$AZ$4,'18.04'!$AZ$3)),(VLOOKUP('18.04'!L48,'18.04'!$AM$4:$AO$55,2,FALSE))*IF('18.04'!$AK48="是",'18.04'!$AZ$4,'18.04'!$AZ$3))</f>
        <v>136</v>
      </c>
      <c r="E48" s="4">
        <f>IF(ISNUMBER(SEARCH("营",'18.04'!M48)),(-$Y48+50*IF('18.04'!$AK48="是",'18.04'!$AZ$4,'18.04'!$AZ$3)),(VLOOKUP('18.04'!M48,'18.04'!$AM$4:$AO$55,2,FALSE))*IF('18.04'!$AK48="是",'18.04'!$AZ$4,'18.04'!$AZ$3))</f>
        <v>136</v>
      </c>
      <c r="F48" s="4">
        <f>IF(ISNUMBER(SEARCH("营",'18.04'!N48)),(-$Y48+50*IF('18.04'!$AK48="是",'18.04'!$AZ$4,'18.04'!$AZ$3)),(VLOOKUP('18.04'!N48,'18.04'!$AM$4:$AO$55,2,FALSE))*IF('18.04'!$AK48="是",'18.04'!$AZ$4,'18.04'!$AZ$3))</f>
        <v>136</v>
      </c>
      <c r="G48" s="4">
        <f>IF(ISNUMBER(SEARCH("营",'18.04'!O48)),(-$Y48+50*IF('18.04'!$AK48="是",'18.04'!$AZ$4,'18.04'!$AZ$3)),(VLOOKUP('18.04'!O48,'18.04'!$AM$4:$AO$55,2,FALSE))*IF('18.04'!$AK48="是",'18.04'!$AZ$4,'18.04'!$AZ$3))</f>
        <v>136</v>
      </c>
      <c r="H48" s="4">
        <f>IF(ISNUMBER(SEARCH("营",'18.04'!P48)),(-$Y48+50*IF('18.04'!$AK48="是",'18.04'!$AZ$4,'18.04'!$AZ$3)),(VLOOKUP('18.04'!P48,'18.04'!$AM$4:$AO$55,2,FALSE))*IF('18.04'!$AK48="是",'18.04'!$AZ$4,'18.04'!$AZ$3))</f>
        <v>0</v>
      </c>
      <c r="I48" s="4">
        <f>IF(ISNUMBER(SEARCH("营",'18.04'!Q48)),(-$Y48+50*IF('18.04'!$AK48="是",'18.04'!$AZ$4,'18.04'!$AZ$3)),(VLOOKUP('18.04'!Q48,'18.04'!$AM$4:$AO$55,2,FALSE))*IF('18.04'!$AK48="是",'18.04'!$AZ$4,'18.04'!$AZ$3))</f>
        <v>152</v>
      </c>
      <c r="J48" s="4">
        <f>IF(ISNUMBER(SEARCH("营",'18.04'!R48)),(-$Y48+50*IF('18.04'!$AK48="是",'18.04'!$AZ$4,'18.04'!$AZ$3)),(VLOOKUP('18.04'!R48,'18.04'!$AM$4:$AO$55,2,FALSE))*IF('18.04'!$AK48="是",'18.04'!$AZ$4,'18.04'!$AZ$3))</f>
        <v>152</v>
      </c>
      <c r="K48" s="4">
        <f>IF(ISNUMBER(SEARCH("营",'18.04'!S48)),(-$Y48+50*IF('18.04'!$AK48="是",'18.04'!$AZ$4,'18.04'!$AZ$3)),(VLOOKUP('18.04'!S48,'18.04'!$AM$4:$AO$55,2,FALSE))*IF('18.04'!$AK48="是",'18.04'!$AZ$4,'18.04'!$AZ$3))</f>
        <v>152</v>
      </c>
      <c r="L48" s="4">
        <f>IF(ISNUMBER(SEARCH("营",'18.04'!T48)),(-$Y48+50*IF('18.04'!$AK48="是",'18.04'!$AZ$4,'18.04'!$AZ$3)),(VLOOKUP('18.04'!T48,'18.04'!$AM$4:$AO$55,2,FALSE))*IF('18.04'!$AK48="是",'18.04'!$AZ$4,'18.04'!$AZ$3))</f>
        <v>152</v>
      </c>
      <c r="M48" s="4">
        <f>IF(ISNUMBER(SEARCH("营",'18.04'!U48)),(-$Y48+50*IF('18.04'!$AK48="是",'18.04'!$AZ$4,'18.04'!$AZ$3)),(VLOOKUP('18.04'!U48,'18.04'!$AM$4:$AO$55,2,FALSE))*IF('18.04'!$AK48="是",'18.04'!$AZ$4,'18.04'!$AZ$3))</f>
        <v>152</v>
      </c>
      <c r="N48" s="4">
        <f>IF(ISNUMBER(SEARCH("营",'18.04'!V48)),(-$Y48+50*IF('18.04'!$AK48="是",'18.04'!$AZ$4,'18.04'!$AZ$3)),(VLOOKUP('18.04'!V48,'18.04'!$AM$4:$AO$55,2,FALSE))*IF('18.04'!$AK48="是",'18.04'!$AZ$4,'18.04'!$AZ$3))</f>
        <v>152</v>
      </c>
      <c r="O48" s="4">
        <f>IF(ISNUMBER(SEARCH("营",'18.04'!W48)),(-$Y48+50*IF('18.04'!$AK48="是",'18.04'!$AZ$4,'18.04'!$AZ$3)),(VLOOKUP('18.04'!W48,'18.04'!$AM$4:$AO$55,2,FALSE))*IF('18.04'!$AK48="是",'18.04'!$AZ$4,'18.04'!$AZ$3))</f>
        <v>152</v>
      </c>
      <c r="P48" s="4">
        <f>IF(ISNUMBER(SEARCH("营",'18.04'!X48)),(-$Y48+50*IF('18.04'!$AK48="是",'18.04'!$AZ$4,'18.04'!$AZ$3)),(VLOOKUP('18.04'!X48,'18.04'!$AM$4:$AO$55,2,FALSE))*IF('18.04'!$AK48="是",'18.04'!$AZ$4,'18.04'!$AZ$3))</f>
        <v>152</v>
      </c>
      <c r="Q48" s="4">
        <f>IF(ISNUMBER(SEARCH("营",'18.04'!Y48)),(-$Y48+50*IF('18.04'!$AK48="是",'18.04'!$AZ$4,'18.04'!$AZ$3)),(VLOOKUP('18.04'!Y48,'18.04'!$AM$4:$AO$55,2,FALSE))*IF('18.04'!$AK48="是",'18.04'!$AZ$4,'18.04'!$AZ$3))</f>
        <v>0</v>
      </c>
      <c r="R48" s="4">
        <f>IF(ISNUMBER(SEARCH("营",'18.04'!Z48)),(-$Y48+50*IF('18.04'!$AK48="是",'18.04'!$AZ$4,'18.04'!$AZ$3)),(VLOOKUP('18.04'!Z48,'18.04'!$AM$4:$AO$55,2,FALSE))*IF('18.04'!$AK48="是",'18.04'!$AZ$4,'18.04'!$AZ$3))</f>
        <v>0</v>
      </c>
      <c r="S48" s="4">
        <f>IF(ISNUMBER(SEARCH("营",'18.04'!AA48)),(-$Y48+50*IF('18.04'!$AK48="是",'18.04'!$AZ$4,'18.04'!$AZ$3)),(VLOOKUP('18.04'!AA48,'18.04'!$AM$4:$AO$55,2,FALSE))*IF('18.04'!$AK48="是",'18.04'!$AZ$4,'18.04'!$AZ$3))</f>
        <v>0</v>
      </c>
      <c r="T48" s="4">
        <f>IF(ISNUMBER(SEARCH("营",'18.04'!AB48)),(-$Y48+50*IF('18.04'!$AK48="是",'18.04'!$AZ$4,'18.04'!$AZ$3)),(VLOOKUP('18.04'!AB48,'18.04'!$AM$4:$AO$55,2,FALSE))*IF('18.04'!$AK48="是",'18.04'!$AZ$4,'18.04'!$AZ$3))</f>
        <v>0</v>
      </c>
      <c r="U48" s="4">
        <f>IF(ISNUMBER(SEARCH("营",'18.04'!AC48)),(-$Y48+50*IF('18.04'!$AK48="是",'18.04'!$AZ$4,'18.04'!$AZ$3)),(VLOOKUP('18.04'!AC48,'18.04'!$AM$4:$AO$55,2,FALSE))*IF('18.04'!$AK48="是",'18.04'!$AZ$4,'18.04'!$AZ$3))</f>
        <v>0</v>
      </c>
      <c r="V48" s="4">
        <f>IF(ISNUMBER(SEARCH("营",'18.04'!AD48)),(-$Y48+50*IF('18.04'!$AK48="是",'18.04'!$AZ$4,'18.04'!$AZ$3)),(VLOOKUP('18.04'!AD48,'18.04'!$AM$4:$AO$55,2,FALSE))*IF('18.04'!$AK48="是",'18.04'!$AZ$4,'18.04'!$AZ$3))</f>
        <v>0</v>
      </c>
      <c r="W48" s="4">
        <f>IF(ISNUMBER(SEARCH("营",'18.04'!AE48)),(-$Y48+50*IF('18.04'!$AK48="是",'18.04'!$AZ$4,'18.04'!$AZ$3)),(VLOOKUP('18.04'!AE48,'18.04'!$AM$4:$AO$55,2,FALSE))*IF('18.04'!$AK48="是",'18.04'!$AZ$4,'18.04'!$AZ$3))</f>
        <v>0</v>
      </c>
      <c r="X48" s="4">
        <f>IF(ISNUMBER(SEARCH("营",'18.04'!AF48)),(-$Y48+50*IF('18.04'!$AK48="是",'18.04'!$AZ$4,'18.04'!$AZ$3)),(VLOOKUP('18.04'!AF48,'18.04'!$AM$4:$AO$55,2,FALSE))*IF('18.04'!$AK48="是",'18.04'!$AZ$4,'18.04'!$AZ$3))</f>
        <v>0</v>
      </c>
      <c r="Y48" s="79">
        <v>150</v>
      </c>
      <c r="Z48" s="99">
        <v>45683</v>
      </c>
    </row>
    <row r="49" spans="1:26">
      <c r="A49" s="4">
        <f>IF(ISNUMBER(SEARCH("营",'18.04'!I49)),(-$Y49+50*IF('18.04'!$AK49="是",'18.04'!$AZ$4,'18.04'!$AZ$3)),(VLOOKUP('18.04'!I49,'18.04'!$AM$4:$AO$55,2,FALSE))*IF('18.04'!$AK49="是",'18.04'!$AZ$4,'18.04'!$AZ$3))</f>
        <v>136</v>
      </c>
      <c r="B49" s="4">
        <f>IF(ISNUMBER(SEARCH("营",'18.04'!J49)),(-$Y49+50*IF('18.04'!$AK49="是",'18.04'!$AZ$4,'18.04'!$AZ$3)),(VLOOKUP('18.04'!J49,'18.04'!$AM$4:$AO$55,2,FALSE))*IF('18.04'!$AK49="是",'18.04'!$AZ$4,'18.04'!$AZ$3))</f>
        <v>136</v>
      </c>
      <c r="C49" s="4">
        <f>IF(ISNUMBER(SEARCH("营",'18.04'!K49)),(-$Y49+50*IF('18.04'!$AK49="是",'18.04'!$AZ$4,'18.04'!$AZ$3)),(VLOOKUP('18.04'!K49,'18.04'!$AM$4:$AO$55,2,FALSE))*IF('18.04'!$AK49="是",'18.04'!$AZ$4,'18.04'!$AZ$3))</f>
        <v>136</v>
      </c>
      <c r="D49" s="4">
        <f>IF(ISNUMBER(SEARCH("营",'18.04'!L49)),(-$Y49+50*IF('18.04'!$AK49="是",'18.04'!$AZ$4,'18.04'!$AZ$3)),(VLOOKUP('18.04'!L49,'18.04'!$AM$4:$AO$55,2,FALSE))*IF('18.04'!$AK49="是",'18.04'!$AZ$4,'18.04'!$AZ$3))</f>
        <v>136</v>
      </c>
      <c r="E49" s="4">
        <f>IF(ISNUMBER(SEARCH("营",'18.04'!M49)),(-$Y49+50*IF('18.04'!$AK49="是",'18.04'!$AZ$4,'18.04'!$AZ$3)),(VLOOKUP('18.04'!M49,'18.04'!$AM$4:$AO$55,2,FALSE))*IF('18.04'!$AK49="是",'18.04'!$AZ$4,'18.04'!$AZ$3))</f>
        <v>136</v>
      </c>
      <c r="F49" s="4">
        <f>IF(ISNUMBER(SEARCH("营",'18.04'!N49)),(-$Y49+50*IF('18.04'!$AK49="是",'18.04'!$AZ$4,'18.04'!$AZ$3)),(VLOOKUP('18.04'!N49,'18.04'!$AM$4:$AO$55,2,FALSE))*IF('18.04'!$AK49="是",'18.04'!$AZ$4,'18.04'!$AZ$3))</f>
        <v>136</v>
      </c>
      <c r="G49" s="4">
        <f>IF(ISNUMBER(SEARCH("营",'18.04'!O49)),(-$Y49+50*IF('18.04'!$AK49="是",'18.04'!$AZ$4,'18.04'!$AZ$3)),(VLOOKUP('18.04'!O49,'18.04'!$AM$4:$AO$55,2,FALSE))*IF('18.04'!$AK49="是",'18.04'!$AZ$4,'18.04'!$AZ$3))</f>
        <v>136</v>
      </c>
      <c r="H49" s="4">
        <f>IF(ISNUMBER(SEARCH("营",'18.04'!P49)),(-$Y49+50*IF('18.04'!$AK49="是",'18.04'!$AZ$4,'18.04'!$AZ$3)),(VLOOKUP('18.04'!P49,'18.04'!$AM$4:$AO$55,2,FALSE))*IF('18.04'!$AK49="是",'18.04'!$AZ$4,'18.04'!$AZ$3))</f>
        <v>0</v>
      </c>
      <c r="I49" s="4">
        <f>IF(ISNUMBER(SEARCH("营",'18.04'!Q49)),(-$Y49+50*IF('18.04'!$AK49="是",'18.04'!$AZ$4,'18.04'!$AZ$3)),(VLOOKUP('18.04'!Q49,'18.04'!$AM$4:$AO$55,2,FALSE))*IF('18.04'!$AK49="是",'18.04'!$AZ$4,'18.04'!$AZ$3))</f>
        <v>152</v>
      </c>
      <c r="J49" s="4">
        <f>IF(ISNUMBER(SEARCH("营",'18.04'!R49)),(-$Y49+50*IF('18.04'!$AK49="是",'18.04'!$AZ$4,'18.04'!$AZ$3)),(VLOOKUP('18.04'!R49,'18.04'!$AM$4:$AO$55,2,FALSE))*IF('18.04'!$AK49="是",'18.04'!$AZ$4,'18.04'!$AZ$3))</f>
        <v>152</v>
      </c>
      <c r="K49" s="4">
        <f>IF(ISNUMBER(SEARCH("营",'18.04'!S49)),(-$Y49+50*IF('18.04'!$AK49="是",'18.04'!$AZ$4,'18.04'!$AZ$3)),(VLOOKUP('18.04'!S49,'18.04'!$AM$4:$AO$55,2,FALSE))*IF('18.04'!$AK49="是",'18.04'!$AZ$4,'18.04'!$AZ$3))</f>
        <v>152</v>
      </c>
      <c r="L49" s="4">
        <f>IF(ISNUMBER(SEARCH("营",'18.04'!T49)),(-$Y49+50*IF('18.04'!$AK49="是",'18.04'!$AZ$4,'18.04'!$AZ$3)),(VLOOKUP('18.04'!T49,'18.04'!$AM$4:$AO$55,2,FALSE))*IF('18.04'!$AK49="是",'18.04'!$AZ$4,'18.04'!$AZ$3))</f>
        <v>152</v>
      </c>
      <c r="M49" s="4">
        <f>IF(ISNUMBER(SEARCH("营",'18.04'!U49)),(-$Y49+50*IF('18.04'!$AK49="是",'18.04'!$AZ$4,'18.04'!$AZ$3)),(VLOOKUP('18.04'!U49,'18.04'!$AM$4:$AO$55,2,FALSE))*IF('18.04'!$AK49="是",'18.04'!$AZ$4,'18.04'!$AZ$3))</f>
        <v>152</v>
      </c>
      <c r="N49" s="4">
        <f>IF(ISNUMBER(SEARCH("营",'18.04'!V49)),(-$Y49+50*IF('18.04'!$AK49="是",'18.04'!$AZ$4,'18.04'!$AZ$3)),(VLOOKUP('18.04'!V49,'18.04'!$AM$4:$AO$55,2,FALSE))*IF('18.04'!$AK49="是",'18.04'!$AZ$4,'18.04'!$AZ$3))</f>
        <v>152</v>
      </c>
      <c r="O49" s="4">
        <f>IF(ISNUMBER(SEARCH("营",'18.04'!W49)),(-$Y49+50*IF('18.04'!$AK49="是",'18.04'!$AZ$4,'18.04'!$AZ$3)),(VLOOKUP('18.04'!W49,'18.04'!$AM$4:$AO$55,2,FALSE))*IF('18.04'!$AK49="是",'18.04'!$AZ$4,'18.04'!$AZ$3))</f>
        <v>152</v>
      </c>
      <c r="P49" s="4">
        <f>IF(ISNUMBER(SEARCH("营",'18.04'!X49)),(-$Y49+50*IF('18.04'!$AK49="是",'18.04'!$AZ$4,'18.04'!$AZ$3)),(VLOOKUP('18.04'!X49,'18.04'!$AM$4:$AO$55,2,FALSE))*IF('18.04'!$AK49="是",'18.04'!$AZ$4,'18.04'!$AZ$3))</f>
        <v>152</v>
      </c>
      <c r="Q49" s="4">
        <f>IF(ISNUMBER(SEARCH("营",'18.04'!Y49)),(-$Y49+50*IF('18.04'!$AK49="是",'18.04'!$AZ$4,'18.04'!$AZ$3)),(VLOOKUP('18.04'!Y49,'18.04'!$AM$4:$AO$55,2,FALSE))*IF('18.04'!$AK49="是",'18.04'!$AZ$4,'18.04'!$AZ$3))</f>
        <v>0</v>
      </c>
      <c r="R49" s="4">
        <f>IF(ISNUMBER(SEARCH("营",'18.04'!Z49)),(-$Y49+50*IF('18.04'!$AK49="是",'18.04'!$AZ$4,'18.04'!$AZ$3)),(VLOOKUP('18.04'!Z49,'18.04'!$AM$4:$AO$55,2,FALSE))*IF('18.04'!$AK49="是",'18.04'!$AZ$4,'18.04'!$AZ$3))</f>
        <v>0</v>
      </c>
      <c r="S49" s="4">
        <f>IF(ISNUMBER(SEARCH("营",'18.04'!AA49)),(-$Y49+50*IF('18.04'!$AK49="是",'18.04'!$AZ$4,'18.04'!$AZ$3)),(VLOOKUP('18.04'!AA49,'18.04'!$AM$4:$AO$55,2,FALSE))*IF('18.04'!$AK49="是",'18.04'!$AZ$4,'18.04'!$AZ$3))</f>
        <v>0</v>
      </c>
      <c r="T49" s="4">
        <f>IF(ISNUMBER(SEARCH("营",'18.04'!AB49)),(-$Y49+50*IF('18.04'!$AK49="是",'18.04'!$AZ$4,'18.04'!$AZ$3)),(VLOOKUP('18.04'!AB49,'18.04'!$AM$4:$AO$55,2,FALSE))*IF('18.04'!$AK49="是",'18.04'!$AZ$4,'18.04'!$AZ$3))</f>
        <v>0</v>
      </c>
      <c r="U49" s="4">
        <f>IF(ISNUMBER(SEARCH("营",'18.04'!AC49)),(-$Y49+50*IF('18.04'!$AK49="是",'18.04'!$AZ$4,'18.04'!$AZ$3)),(VLOOKUP('18.04'!AC49,'18.04'!$AM$4:$AO$55,2,FALSE))*IF('18.04'!$AK49="是",'18.04'!$AZ$4,'18.04'!$AZ$3))</f>
        <v>0</v>
      </c>
      <c r="V49" s="4">
        <f>IF(ISNUMBER(SEARCH("营",'18.04'!AD49)),(-$Y49+50*IF('18.04'!$AK49="是",'18.04'!$AZ$4,'18.04'!$AZ$3)),(VLOOKUP('18.04'!AD49,'18.04'!$AM$4:$AO$55,2,FALSE))*IF('18.04'!$AK49="是",'18.04'!$AZ$4,'18.04'!$AZ$3))</f>
        <v>0</v>
      </c>
      <c r="W49" s="4">
        <f>IF(ISNUMBER(SEARCH("营",'18.04'!AE49)),(-$Y49+50*IF('18.04'!$AK49="是",'18.04'!$AZ$4,'18.04'!$AZ$3)),(VLOOKUP('18.04'!AE49,'18.04'!$AM$4:$AO$55,2,FALSE))*IF('18.04'!$AK49="是",'18.04'!$AZ$4,'18.04'!$AZ$3))</f>
        <v>0</v>
      </c>
      <c r="X49" s="4">
        <f>IF(ISNUMBER(SEARCH("营",'18.04'!AF49)),(-$Y49+50*IF('18.04'!$AK49="是",'18.04'!$AZ$4,'18.04'!$AZ$3)),(VLOOKUP('18.04'!AF49,'18.04'!$AM$4:$AO$55,2,FALSE))*IF('18.04'!$AK49="是",'18.04'!$AZ$4,'18.04'!$AZ$3))</f>
        <v>0</v>
      </c>
      <c r="Y49" s="79">
        <v>150</v>
      </c>
      <c r="Z49" s="99">
        <v>45684</v>
      </c>
    </row>
    <row r="50" spans="1:26">
      <c r="A50" s="4">
        <f>IF(ISNUMBER(SEARCH("营",'18.04'!I50)),(-$Y50+50*IF('18.04'!$AK50="是",'18.04'!$AZ$4,'18.04'!$AZ$3)),(VLOOKUP('18.04'!I50,'18.04'!$AM$4:$AO$55,2,FALSE))*IF('18.04'!$AK50="是",'18.04'!$AZ$4,'18.04'!$AZ$3))</f>
        <v>136</v>
      </c>
      <c r="B50" s="4">
        <f>IF(ISNUMBER(SEARCH("营",'18.04'!J50)),(-$Y50+50*IF('18.04'!$AK50="是",'18.04'!$AZ$4,'18.04'!$AZ$3)),(VLOOKUP('18.04'!J50,'18.04'!$AM$4:$AO$55,2,FALSE))*IF('18.04'!$AK50="是",'18.04'!$AZ$4,'18.04'!$AZ$3))</f>
        <v>136</v>
      </c>
      <c r="C50" s="4">
        <f>IF(ISNUMBER(SEARCH("营",'18.04'!K50)),(-$Y50+50*IF('18.04'!$AK50="是",'18.04'!$AZ$4,'18.04'!$AZ$3)),(VLOOKUP('18.04'!K50,'18.04'!$AM$4:$AO$55,2,FALSE))*IF('18.04'!$AK50="是",'18.04'!$AZ$4,'18.04'!$AZ$3))</f>
        <v>136</v>
      </c>
      <c r="D50" s="4">
        <f>IF(ISNUMBER(SEARCH("营",'18.04'!L50)),(-$Y50+50*IF('18.04'!$AK50="是",'18.04'!$AZ$4,'18.04'!$AZ$3)),(VLOOKUP('18.04'!L50,'18.04'!$AM$4:$AO$55,2,FALSE))*IF('18.04'!$AK50="是",'18.04'!$AZ$4,'18.04'!$AZ$3))</f>
        <v>136</v>
      </c>
      <c r="E50" s="4">
        <f>IF(ISNUMBER(SEARCH("营",'18.04'!M50)),(-$Y50+50*IF('18.04'!$AK50="是",'18.04'!$AZ$4,'18.04'!$AZ$3)),(VLOOKUP('18.04'!M50,'18.04'!$AM$4:$AO$55,2,FALSE))*IF('18.04'!$AK50="是",'18.04'!$AZ$4,'18.04'!$AZ$3))</f>
        <v>136</v>
      </c>
      <c r="F50" s="4">
        <f>IF(ISNUMBER(SEARCH("营",'18.04'!N50)),(-$Y50+50*IF('18.04'!$AK50="是",'18.04'!$AZ$4,'18.04'!$AZ$3)),(VLOOKUP('18.04'!N50,'18.04'!$AM$4:$AO$55,2,FALSE))*IF('18.04'!$AK50="是",'18.04'!$AZ$4,'18.04'!$AZ$3))</f>
        <v>136</v>
      </c>
      <c r="G50" s="4">
        <f>IF(ISNUMBER(SEARCH("营",'18.04'!O50)),(-$Y50+50*IF('18.04'!$AK50="是",'18.04'!$AZ$4,'18.04'!$AZ$3)),(VLOOKUP('18.04'!O50,'18.04'!$AM$4:$AO$55,2,FALSE))*IF('18.04'!$AK50="是",'18.04'!$AZ$4,'18.04'!$AZ$3))</f>
        <v>136</v>
      </c>
      <c r="H50" s="4">
        <f>IF(ISNUMBER(SEARCH("营",'18.04'!P50)),(-$Y50+50*IF('18.04'!$AK50="是",'18.04'!$AZ$4,'18.04'!$AZ$3)),(VLOOKUP('18.04'!P50,'18.04'!$AM$4:$AO$55,2,FALSE))*IF('18.04'!$AK50="是",'18.04'!$AZ$4,'18.04'!$AZ$3))</f>
        <v>0</v>
      </c>
      <c r="I50" s="4">
        <f>IF(ISNUMBER(SEARCH("营",'18.04'!Q50)),(-$Y50+50*IF('18.04'!$AK50="是",'18.04'!$AZ$4,'18.04'!$AZ$3)),(VLOOKUP('18.04'!Q50,'18.04'!$AM$4:$AO$55,2,FALSE))*IF('18.04'!$AK50="是",'18.04'!$AZ$4,'18.04'!$AZ$3))</f>
        <v>152</v>
      </c>
      <c r="J50" s="4">
        <f>IF(ISNUMBER(SEARCH("营",'18.04'!R50)),(-$Y50+50*IF('18.04'!$AK50="是",'18.04'!$AZ$4,'18.04'!$AZ$3)),(VLOOKUP('18.04'!R50,'18.04'!$AM$4:$AO$55,2,FALSE))*IF('18.04'!$AK50="是",'18.04'!$AZ$4,'18.04'!$AZ$3))</f>
        <v>152</v>
      </c>
      <c r="K50" s="4">
        <f>IF(ISNUMBER(SEARCH("营",'18.04'!S50)),(-$Y50+50*IF('18.04'!$AK50="是",'18.04'!$AZ$4,'18.04'!$AZ$3)),(VLOOKUP('18.04'!S50,'18.04'!$AM$4:$AO$55,2,FALSE))*IF('18.04'!$AK50="是",'18.04'!$AZ$4,'18.04'!$AZ$3))</f>
        <v>152</v>
      </c>
      <c r="L50" s="4">
        <f>IF(ISNUMBER(SEARCH("营",'18.04'!T50)),(-$Y50+50*IF('18.04'!$AK50="是",'18.04'!$AZ$4,'18.04'!$AZ$3)),(VLOOKUP('18.04'!T50,'18.04'!$AM$4:$AO$55,2,FALSE))*IF('18.04'!$AK50="是",'18.04'!$AZ$4,'18.04'!$AZ$3))</f>
        <v>152</v>
      </c>
      <c r="M50" s="4">
        <f>IF(ISNUMBER(SEARCH("营",'18.04'!U50)),(-$Y50+50*IF('18.04'!$AK50="是",'18.04'!$AZ$4,'18.04'!$AZ$3)),(VLOOKUP('18.04'!U50,'18.04'!$AM$4:$AO$55,2,FALSE))*IF('18.04'!$AK50="是",'18.04'!$AZ$4,'18.04'!$AZ$3))</f>
        <v>152</v>
      </c>
      <c r="N50" s="4">
        <f>IF(ISNUMBER(SEARCH("营",'18.04'!V50)),(-$Y50+50*IF('18.04'!$AK50="是",'18.04'!$AZ$4,'18.04'!$AZ$3)),(VLOOKUP('18.04'!V50,'18.04'!$AM$4:$AO$55,2,FALSE))*IF('18.04'!$AK50="是",'18.04'!$AZ$4,'18.04'!$AZ$3))</f>
        <v>152</v>
      </c>
      <c r="O50" s="4">
        <f>IF(ISNUMBER(SEARCH("营",'18.04'!W50)),(-$Y50+50*IF('18.04'!$AK50="是",'18.04'!$AZ$4,'18.04'!$AZ$3)),(VLOOKUP('18.04'!W50,'18.04'!$AM$4:$AO$55,2,FALSE))*IF('18.04'!$AK50="是",'18.04'!$AZ$4,'18.04'!$AZ$3))</f>
        <v>152</v>
      </c>
      <c r="P50" s="4">
        <f>IF(ISNUMBER(SEARCH("营",'18.04'!X50)),(-$Y50+50*IF('18.04'!$AK50="是",'18.04'!$AZ$4,'18.04'!$AZ$3)),(VLOOKUP('18.04'!X50,'18.04'!$AM$4:$AO$55,2,FALSE))*IF('18.04'!$AK50="是",'18.04'!$AZ$4,'18.04'!$AZ$3))</f>
        <v>152</v>
      </c>
      <c r="Q50" s="4">
        <f>IF(ISNUMBER(SEARCH("营",'18.04'!Y50)),(-$Y50+50*IF('18.04'!$AK50="是",'18.04'!$AZ$4,'18.04'!$AZ$3)),(VLOOKUP('18.04'!Y50,'18.04'!$AM$4:$AO$55,2,FALSE))*IF('18.04'!$AK50="是",'18.04'!$AZ$4,'18.04'!$AZ$3))</f>
        <v>0</v>
      </c>
      <c r="R50" s="4">
        <f>IF(ISNUMBER(SEARCH("营",'18.04'!Z50)),(-$Y50+50*IF('18.04'!$AK50="是",'18.04'!$AZ$4,'18.04'!$AZ$3)),(VLOOKUP('18.04'!Z50,'18.04'!$AM$4:$AO$55,2,FALSE))*IF('18.04'!$AK50="是",'18.04'!$AZ$4,'18.04'!$AZ$3))</f>
        <v>0</v>
      </c>
      <c r="S50" s="4">
        <f>IF(ISNUMBER(SEARCH("营",'18.04'!AA50)),(-$Y50+50*IF('18.04'!$AK50="是",'18.04'!$AZ$4,'18.04'!$AZ$3)),(VLOOKUP('18.04'!AA50,'18.04'!$AM$4:$AO$55,2,FALSE))*IF('18.04'!$AK50="是",'18.04'!$AZ$4,'18.04'!$AZ$3))</f>
        <v>0</v>
      </c>
      <c r="T50" s="4">
        <f>IF(ISNUMBER(SEARCH("营",'18.04'!AB50)),(-$Y50+50*IF('18.04'!$AK50="是",'18.04'!$AZ$4,'18.04'!$AZ$3)),(VLOOKUP('18.04'!AB50,'18.04'!$AM$4:$AO$55,2,FALSE))*IF('18.04'!$AK50="是",'18.04'!$AZ$4,'18.04'!$AZ$3))</f>
        <v>0</v>
      </c>
      <c r="U50" s="4">
        <f>IF(ISNUMBER(SEARCH("营",'18.04'!AC50)),(-$Y50+50*IF('18.04'!$AK50="是",'18.04'!$AZ$4,'18.04'!$AZ$3)),(VLOOKUP('18.04'!AC50,'18.04'!$AM$4:$AO$55,2,FALSE))*IF('18.04'!$AK50="是",'18.04'!$AZ$4,'18.04'!$AZ$3))</f>
        <v>0</v>
      </c>
      <c r="V50" s="4">
        <f>IF(ISNUMBER(SEARCH("营",'18.04'!AD50)),(-$Y50+50*IF('18.04'!$AK50="是",'18.04'!$AZ$4,'18.04'!$AZ$3)),(VLOOKUP('18.04'!AD50,'18.04'!$AM$4:$AO$55,2,FALSE))*IF('18.04'!$AK50="是",'18.04'!$AZ$4,'18.04'!$AZ$3))</f>
        <v>0</v>
      </c>
      <c r="W50" s="4">
        <f>IF(ISNUMBER(SEARCH("营",'18.04'!AE50)),(-$Y50+50*IF('18.04'!$AK50="是",'18.04'!$AZ$4,'18.04'!$AZ$3)),(VLOOKUP('18.04'!AE50,'18.04'!$AM$4:$AO$55,2,FALSE))*IF('18.04'!$AK50="是",'18.04'!$AZ$4,'18.04'!$AZ$3))</f>
        <v>0</v>
      </c>
      <c r="X50" s="4">
        <f>IF(ISNUMBER(SEARCH("营",'18.04'!AF50)),(-$Y50+50*IF('18.04'!$AK50="是",'18.04'!$AZ$4,'18.04'!$AZ$3)),(VLOOKUP('18.04'!AF50,'18.04'!$AM$4:$AO$55,2,FALSE))*IF('18.04'!$AK50="是",'18.04'!$AZ$4,'18.04'!$AZ$3))</f>
        <v>0</v>
      </c>
      <c r="Y50" s="79">
        <v>150</v>
      </c>
      <c r="Z50" s="99">
        <v>45685</v>
      </c>
    </row>
    <row r="51" spans="1:26">
      <c r="A51" s="4">
        <f>IF(ISNUMBER(SEARCH("营",'18.04'!I51)),(-$Y51+50*IF('18.04'!$AK51="是",'18.04'!$AZ$4,'18.04'!$AZ$3)),(VLOOKUP('18.04'!I51,'18.04'!$AM$4:$AO$55,2,FALSE))*IF('18.04'!$AK51="是",'18.04'!$AZ$4,'18.04'!$AZ$3))</f>
        <v>136</v>
      </c>
      <c r="B51" s="4">
        <f>IF(ISNUMBER(SEARCH("营",'18.04'!J51)),(-$Y51+50*IF('18.04'!$AK51="是",'18.04'!$AZ$4,'18.04'!$AZ$3)),(VLOOKUP('18.04'!J51,'18.04'!$AM$4:$AO$55,2,FALSE))*IF('18.04'!$AK51="是",'18.04'!$AZ$4,'18.04'!$AZ$3))</f>
        <v>136</v>
      </c>
      <c r="C51" s="4">
        <f>IF(ISNUMBER(SEARCH("营",'18.04'!K51)),(-$Y51+50*IF('18.04'!$AK51="是",'18.04'!$AZ$4,'18.04'!$AZ$3)),(VLOOKUP('18.04'!K51,'18.04'!$AM$4:$AO$55,2,FALSE))*IF('18.04'!$AK51="是",'18.04'!$AZ$4,'18.04'!$AZ$3))</f>
        <v>0</v>
      </c>
      <c r="D51" s="4">
        <f>IF(ISNUMBER(SEARCH("营",'18.04'!L51)),(-$Y51+50*IF('18.04'!$AK51="是",'18.04'!$AZ$4,'18.04'!$AZ$3)),(VLOOKUP('18.04'!L51,'18.04'!$AM$4:$AO$55,2,FALSE))*IF('18.04'!$AK51="是",'18.04'!$AZ$4,'18.04'!$AZ$3))</f>
        <v>0</v>
      </c>
      <c r="E51" s="4">
        <f>IF(ISNUMBER(SEARCH("营",'18.04'!M51)),(-$Y51+50*IF('18.04'!$AK51="是",'18.04'!$AZ$4,'18.04'!$AZ$3)),(VLOOKUP('18.04'!M51,'18.04'!$AM$4:$AO$55,2,FALSE))*IF('18.04'!$AK51="是",'18.04'!$AZ$4,'18.04'!$AZ$3))</f>
        <v>0</v>
      </c>
      <c r="F51" s="4">
        <f>IF(ISNUMBER(SEARCH("营",'18.04'!N51)),(-$Y51+50*IF('18.04'!$AK51="是",'18.04'!$AZ$4,'18.04'!$AZ$3)),(VLOOKUP('18.04'!N51,'18.04'!$AM$4:$AO$55,2,FALSE))*IF('18.04'!$AK51="是",'18.04'!$AZ$4,'18.04'!$AZ$3))</f>
        <v>0</v>
      </c>
      <c r="G51" s="4">
        <f>IF(ISNUMBER(SEARCH("营",'18.04'!O51)),(-$Y51+50*IF('18.04'!$AK51="是",'18.04'!$AZ$4,'18.04'!$AZ$3)),(VLOOKUP('18.04'!O51,'18.04'!$AM$4:$AO$55,2,FALSE))*IF('18.04'!$AK51="是",'18.04'!$AZ$4,'18.04'!$AZ$3))</f>
        <v>0</v>
      </c>
      <c r="H51" s="4">
        <f>IF(ISNUMBER(SEARCH("营",'18.04'!P51)),(-$Y51+50*IF('18.04'!$AK51="是",'18.04'!$AZ$4,'18.04'!$AZ$3)),(VLOOKUP('18.04'!P51,'18.04'!$AM$4:$AO$55,2,FALSE))*IF('18.04'!$AK51="是",'18.04'!$AZ$4,'18.04'!$AZ$3))</f>
        <v>0</v>
      </c>
      <c r="I51" s="4">
        <f>IF(ISNUMBER(SEARCH("营",'18.04'!Q51)),(-$Y51+50*IF('18.04'!$AK51="是",'18.04'!$AZ$4,'18.04'!$AZ$3)),(VLOOKUP('18.04'!Q51,'18.04'!$AM$4:$AO$55,2,FALSE))*IF('18.04'!$AK51="是",'18.04'!$AZ$4,'18.04'!$AZ$3))</f>
        <v>152</v>
      </c>
      <c r="J51" s="4">
        <f>IF(ISNUMBER(SEARCH("营",'18.04'!R51)),(-$Y51+50*IF('18.04'!$AK51="是",'18.04'!$AZ$4,'18.04'!$AZ$3)),(VLOOKUP('18.04'!R51,'18.04'!$AM$4:$AO$55,2,FALSE))*IF('18.04'!$AK51="是",'18.04'!$AZ$4,'18.04'!$AZ$3))</f>
        <v>152</v>
      </c>
      <c r="K51" s="4">
        <f>IF(ISNUMBER(SEARCH("营",'18.04'!S51)),(-$Y51+50*IF('18.04'!$AK51="是",'18.04'!$AZ$4,'18.04'!$AZ$3)),(VLOOKUP('18.04'!S51,'18.04'!$AM$4:$AO$55,2,FALSE))*IF('18.04'!$AK51="是",'18.04'!$AZ$4,'18.04'!$AZ$3))</f>
        <v>152</v>
      </c>
      <c r="L51" s="4">
        <f>IF(ISNUMBER(SEARCH("营",'18.04'!T51)),(-$Y51+50*IF('18.04'!$AK51="是",'18.04'!$AZ$4,'18.04'!$AZ$3)),(VLOOKUP('18.04'!T51,'18.04'!$AM$4:$AO$55,2,FALSE))*IF('18.04'!$AK51="是",'18.04'!$AZ$4,'18.04'!$AZ$3))</f>
        <v>152</v>
      </c>
      <c r="M51" s="4">
        <f>IF(ISNUMBER(SEARCH("营",'18.04'!U51)),(-$Y51+50*IF('18.04'!$AK51="是",'18.04'!$AZ$4,'18.04'!$AZ$3)),(VLOOKUP('18.04'!U51,'18.04'!$AM$4:$AO$55,2,FALSE))*IF('18.04'!$AK51="是",'18.04'!$AZ$4,'18.04'!$AZ$3))</f>
        <v>152</v>
      </c>
      <c r="N51" s="4">
        <f>IF(ISNUMBER(SEARCH("营",'18.04'!V51)),(-$Y51+50*IF('18.04'!$AK51="是",'18.04'!$AZ$4,'18.04'!$AZ$3)),(VLOOKUP('18.04'!V51,'18.04'!$AM$4:$AO$55,2,FALSE))*IF('18.04'!$AK51="是",'18.04'!$AZ$4,'18.04'!$AZ$3))</f>
        <v>152</v>
      </c>
      <c r="O51" s="4">
        <f>IF(ISNUMBER(SEARCH("营",'18.04'!W51)),(-$Y51+50*IF('18.04'!$AK51="是",'18.04'!$AZ$4,'18.04'!$AZ$3)),(VLOOKUP('18.04'!W51,'18.04'!$AM$4:$AO$55,2,FALSE))*IF('18.04'!$AK51="是",'18.04'!$AZ$4,'18.04'!$AZ$3))</f>
        <v>152</v>
      </c>
      <c r="P51" s="4">
        <f>IF(ISNUMBER(SEARCH("营",'18.04'!X51)),(-$Y51+50*IF('18.04'!$AK51="是",'18.04'!$AZ$4,'18.04'!$AZ$3)),(VLOOKUP('18.04'!X51,'18.04'!$AM$4:$AO$55,2,FALSE))*IF('18.04'!$AK51="是",'18.04'!$AZ$4,'18.04'!$AZ$3))</f>
        <v>152</v>
      </c>
      <c r="Q51" s="4">
        <f>IF(ISNUMBER(SEARCH("营",'18.04'!Y51)),(-$Y51+50*IF('18.04'!$AK51="是",'18.04'!$AZ$4,'18.04'!$AZ$3)),(VLOOKUP('18.04'!Y51,'18.04'!$AM$4:$AO$55,2,FALSE))*IF('18.04'!$AK51="是",'18.04'!$AZ$4,'18.04'!$AZ$3))</f>
        <v>0</v>
      </c>
      <c r="R51" s="4">
        <f>IF(ISNUMBER(SEARCH("营",'18.04'!Z51)),(-$Y51+50*IF('18.04'!$AK51="是",'18.04'!$AZ$4,'18.04'!$AZ$3)),(VLOOKUP('18.04'!Z51,'18.04'!$AM$4:$AO$55,2,FALSE))*IF('18.04'!$AK51="是",'18.04'!$AZ$4,'18.04'!$AZ$3))</f>
        <v>0</v>
      </c>
      <c r="S51" s="4">
        <f>IF(ISNUMBER(SEARCH("营",'18.04'!AA51)),(-$Y51+50*IF('18.04'!$AK51="是",'18.04'!$AZ$4,'18.04'!$AZ$3)),(VLOOKUP('18.04'!AA51,'18.04'!$AM$4:$AO$55,2,FALSE))*IF('18.04'!$AK51="是",'18.04'!$AZ$4,'18.04'!$AZ$3))</f>
        <v>0</v>
      </c>
      <c r="T51" s="4">
        <f>IF(ISNUMBER(SEARCH("营",'18.04'!AB51)),(-$Y51+50*IF('18.04'!$AK51="是",'18.04'!$AZ$4,'18.04'!$AZ$3)),(VLOOKUP('18.04'!AB51,'18.04'!$AM$4:$AO$55,2,FALSE))*IF('18.04'!$AK51="是",'18.04'!$AZ$4,'18.04'!$AZ$3))</f>
        <v>0</v>
      </c>
      <c r="U51" s="4">
        <f>IF(ISNUMBER(SEARCH("营",'18.04'!AC51)),(-$Y51+50*IF('18.04'!$AK51="是",'18.04'!$AZ$4,'18.04'!$AZ$3)),(VLOOKUP('18.04'!AC51,'18.04'!$AM$4:$AO$55,2,FALSE))*IF('18.04'!$AK51="是",'18.04'!$AZ$4,'18.04'!$AZ$3))</f>
        <v>0</v>
      </c>
      <c r="V51" s="4">
        <f>IF(ISNUMBER(SEARCH("营",'18.04'!AD51)),(-$Y51+50*IF('18.04'!$AK51="是",'18.04'!$AZ$4,'18.04'!$AZ$3)),(VLOOKUP('18.04'!AD51,'18.04'!$AM$4:$AO$55,2,FALSE))*IF('18.04'!$AK51="是",'18.04'!$AZ$4,'18.04'!$AZ$3))</f>
        <v>0</v>
      </c>
      <c r="W51" s="4">
        <f>IF(ISNUMBER(SEARCH("营",'18.04'!AE51)),(-$Y51+50*IF('18.04'!$AK51="是",'18.04'!$AZ$4,'18.04'!$AZ$3)),(VLOOKUP('18.04'!AE51,'18.04'!$AM$4:$AO$55,2,FALSE))*IF('18.04'!$AK51="是",'18.04'!$AZ$4,'18.04'!$AZ$3))</f>
        <v>0</v>
      </c>
      <c r="X51" s="4">
        <f>IF(ISNUMBER(SEARCH("营",'18.04'!AF51)),(-$Y51+50*IF('18.04'!$AK51="是",'18.04'!$AZ$4,'18.04'!$AZ$3)),(VLOOKUP('18.04'!AF51,'18.04'!$AM$4:$AO$55,2,FALSE))*IF('18.04'!$AK51="是",'18.04'!$AZ$4,'18.04'!$AZ$3))</f>
        <v>0</v>
      </c>
      <c r="Y51" s="79">
        <v>150</v>
      </c>
      <c r="Z51" s="99">
        <v>45686</v>
      </c>
    </row>
    <row r="52" spans="1:26">
      <c r="A52" s="4">
        <f>IF(ISNUMBER(SEARCH("营",'18.04'!I52)),(-$Y52+50*IF('18.04'!$AK52="是",'18.04'!$AZ$4,'18.04'!$AZ$3)),(VLOOKUP('18.04'!I52,'18.04'!$AM$4:$AO$55,2,FALSE))*IF('18.04'!$AK52="是",'18.04'!$AZ$4,'18.04'!$AZ$3))</f>
        <v>144</v>
      </c>
      <c r="B52" s="4">
        <f>IF(ISNUMBER(SEARCH("营",'18.04'!J52)),(-$Y52+50*IF('18.04'!$AK52="是",'18.04'!$AZ$4,'18.04'!$AZ$3)),(VLOOKUP('18.04'!J52,'18.04'!$AM$4:$AO$55,2,FALSE))*IF('18.04'!$AK52="是",'18.04'!$AZ$4,'18.04'!$AZ$3))</f>
        <v>144</v>
      </c>
      <c r="C52" s="4">
        <f>IF(ISNUMBER(SEARCH("营",'18.04'!K52)),(-$Y52+50*IF('18.04'!$AK52="是",'18.04'!$AZ$4,'18.04'!$AZ$3)),(VLOOKUP('18.04'!K52,'18.04'!$AM$4:$AO$55,2,FALSE))*IF('18.04'!$AK52="是",'18.04'!$AZ$4,'18.04'!$AZ$3))</f>
        <v>144</v>
      </c>
      <c r="D52" s="4">
        <f>IF(ISNUMBER(SEARCH("营",'18.04'!L52)),(-$Y52+50*IF('18.04'!$AK52="是",'18.04'!$AZ$4,'18.04'!$AZ$3)),(VLOOKUP('18.04'!L52,'18.04'!$AM$4:$AO$55,2,FALSE))*IF('18.04'!$AK52="是",'18.04'!$AZ$4,'18.04'!$AZ$3))</f>
        <v>144</v>
      </c>
      <c r="E52" s="4">
        <f>IF(ISNUMBER(SEARCH("营",'18.04'!M52)),(-$Y52+50*IF('18.04'!$AK52="是",'18.04'!$AZ$4,'18.04'!$AZ$3)),(VLOOKUP('18.04'!M52,'18.04'!$AM$4:$AO$55,2,FALSE))*IF('18.04'!$AK52="是",'18.04'!$AZ$4,'18.04'!$AZ$3))</f>
        <v>144</v>
      </c>
      <c r="F52" s="4">
        <f>IF(ISNUMBER(SEARCH("营",'18.04'!N52)),(-$Y52+50*IF('18.04'!$AK52="是",'18.04'!$AZ$4,'18.04'!$AZ$3)),(VLOOKUP('18.04'!N52,'18.04'!$AM$4:$AO$55,2,FALSE))*IF('18.04'!$AK52="是",'18.04'!$AZ$4,'18.04'!$AZ$3))</f>
        <v>144</v>
      </c>
      <c r="G52" s="4">
        <f>IF(ISNUMBER(SEARCH("营",'18.04'!O52)),(-$Y52+50*IF('18.04'!$AK52="是",'18.04'!$AZ$4,'18.04'!$AZ$3)),(VLOOKUP('18.04'!O52,'18.04'!$AM$4:$AO$55,2,FALSE))*IF('18.04'!$AK52="是",'18.04'!$AZ$4,'18.04'!$AZ$3))</f>
        <v>144</v>
      </c>
      <c r="H52" s="4">
        <f>IF(ISNUMBER(SEARCH("营",'18.04'!P52)),(-$Y52+50*IF('18.04'!$AK52="是",'18.04'!$AZ$4,'18.04'!$AZ$3)),(VLOOKUP('18.04'!P52,'18.04'!$AM$4:$AO$55,2,FALSE))*IF('18.04'!$AK52="是",'18.04'!$AZ$4,'18.04'!$AZ$3))</f>
        <v>144</v>
      </c>
      <c r="I52" s="4">
        <f>IF(ISNUMBER(SEARCH("营",'18.04'!Q52)),(-$Y52+50*IF('18.04'!$AK52="是",'18.04'!$AZ$4,'18.04'!$AZ$3)),(VLOOKUP('18.04'!Q52,'18.04'!$AM$4:$AO$55,2,FALSE))*IF('18.04'!$AK52="是",'18.04'!$AZ$4,'18.04'!$AZ$3))</f>
        <v>152</v>
      </c>
      <c r="J52" s="4">
        <f>IF(ISNUMBER(SEARCH("营",'18.04'!R52)),(-$Y52+50*IF('18.04'!$AK52="是",'18.04'!$AZ$4,'18.04'!$AZ$3)),(VLOOKUP('18.04'!R52,'18.04'!$AM$4:$AO$55,2,FALSE))*IF('18.04'!$AK52="是",'18.04'!$AZ$4,'18.04'!$AZ$3))</f>
        <v>152</v>
      </c>
      <c r="K52" s="4">
        <f>IF(ISNUMBER(SEARCH("营",'18.04'!S52)),(-$Y52+50*IF('18.04'!$AK52="是",'18.04'!$AZ$4,'18.04'!$AZ$3)),(VLOOKUP('18.04'!S52,'18.04'!$AM$4:$AO$55,2,FALSE))*IF('18.04'!$AK52="是",'18.04'!$AZ$4,'18.04'!$AZ$3))</f>
        <v>152</v>
      </c>
      <c r="L52" s="4">
        <f>IF(ISNUMBER(SEARCH("营",'18.04'!T52)),(-$Y52+50*IF('18.04'!$AK52="是",'18.04'!$AZ$4,'18.04'!$AZ$3)),(VLOOKUP('18.04'!T52,'18.04'!$AM$4:$AO$55,2,FALSE))*IF('18.04'!$AK52="是",'18.04'!$AZ$4,'18.04'!$AZ$3))</f>
        <v>152</v>
      </c>
      <c r="M52" s="4">
        <f>IF(ISNUMBER(SEARCH("营",'18.04'!U52)),(-$Y52+50*IF('18.04'!$AK52="是",'18.04'!$AZ$4,'18.04'!$AZ$3)),(VLOOKUP('18.04'!U52,'18.04'!$AM$4:$AO$55,2,FALSE))*IF('18.04'!$AK52="是",'18.04'!$AZ$4,'18.04'!$AZ$3))</f>
        <v>152</v>
      </c>
      <c r="N52" s="4">
        <f>IF(ISNUMBER(SEARCH("营",'18.04'!V52)),(-$Y52+50*IF('18.04'!$AK52="是",'18.04'!$AZ$4,'18.04'!$AZ$3)),(VLOOKUP('18.04'!V52,'18.04'!$AM$4:$AO$55,2,FALSE))*IF('18.04'!$AK52="是",'18.04'!$AZ$4,'18.04'!$AZ$3))</f>
        <v>152</v>
      </c>
      <c r="O52" s="4">
        <f>IF(ISNUMBER(SEARCH("营",'18.04'!W52)),(-$Y52+50*IF('18.04'!$AK52="是",'18.04'!$AZ$4,'18.04'!$AZ$3)),(VLOOKUP('18.04'!W52,'18.04'!$AM$4:$AO$55,2,FALSE))*IF('18.04'!$AK52="是",'18.04'!$AZ$4,'18.04'!$AZ$3))</f>
        <v>152</v>
      </c>
      <c r="P52" s="4">
        <f>IF(ISNUMBER(SEARCH("营",'18.04'!X52)),(-$Y52+50*IF('18.04'!$AK52="是",'18.04'!$AZ$4,'18.04'!$AZ$3)),(VLOOKUP('18.04'!X52,'18.04'!$AM$4:$AO$55,2,FALSE))*IF('18.04'!$AK52="是",'18.04'!$AZ$4,'18.04'!$AZ$3))</f>
        <v>152</v>
      </c>
      <c r="Q52" s="4">
        <f>IF(ISNUMBER(SEARCH("营",'18.04'!Y52)),(-$Y52+50*IF('18.04'!$AK52="是",'18.04'!$AZ$4,'18.04'!$AZ$3)),(VLOOKUP('18.04'!Y52,'18.04'!$AM$4:$AO$55,2,FALSE))*IF('18.04'!$AK52="是",'18.04'!$AZ$4,'18.04'!$AZ$3))</f>
        <v>0</v>
      </c>
      <c r="R52" s="4">
        <f>IF(ISNUMBER(SEARCH("营",'18.04'!Z52)),(-$Y52+50*IF('18.04'!$AK52="是",'18.04'!$AZ$4,'18.04'!$AZ$3)),(VLOOKUP('18.04'!Z52,'18.04'!$AM$4:$AO$55,2,FALSE))*IF('18.04'!$AK52="是",'18.04'!$AZ$4,'18.04'!$AZ$3))</f>
        <v>0</v>
      </c>
      <c r="S52" s="4">
        <f>IF(ISNUMBER(SEARCH("营",'18.04'!AA52)),(-$Y52+50*IF('18.04'!$AK52="是",'18.04'!$AZ$4,'18.04'!$AZ$3)),(VLOOKUP('18.04'!AA52,'18.04'!$AM$4:$AO$55,2,FALSE))*IF('18.04'!$AK52="是",'18.04'!$AZ$4,'18.04'!$AZ$3))</f>
        <v>0</v>
      </c>
      <c r="T52" s="4">
        <f>IF(ISNUMBER(SEARCH("营",'18.04'!AB52)),(-$Y52+50*IF('18.04'!$AK52="是",'18.04'!$AZ$4,'18.04'!$AZ$3)),(VLOOKUP('18.04'!AB52,'18.04'!$AM$4:$AO$55,2,FALSE))*IF('18.04'!$AK52="是",'18.04'!$AZ$4,'18.04'!$AZ$3))</f>
        <v>0</v>
      </c>
      <c r="U52" s="4">
        <f>IF(ISNUMBER(SEARCH("营",'18.04'!AC52)),(-$Y52+50*IF('18.04'!$AK52="是",'18.04'!$AZ$4,'18.04'!$AZ$3)),(VLOOKUP('18.04'!AC52,'18.04'!$AM$4:$AO$55,2,FALSE))*IF('18.04'!$AK52="是",'18.04'!$AZ$4,'18.04'!$AZ$3))</f>
        <v>0</v>
      </c>
      <c r="V52" s="4">
        <f>IF(ISNUMBER(SEARCH("营",'18.04'!AD52)),(-$Y52+50*IF('18.04'!$AK52="是",'18.04'!$AZ$4,'18.04'!$AZ$3)),(VLOOKUP('18.04'!AD52,'18.04'!$AM$4:$AO$55,2,FALSE))*IF('18.04'!$AK52="是",'18.04'!$AZ$4,'18.04'!$AZ$3))</f>
        <v>0</v>
      </c>
      <c r="W52" s="4">
        <f>IF(ISNUMBER(SEARCH("营",'18.04'!AE52)),(-$Y52+50*IF('18.04'!$AK52="是",'18.04'!$AZ$4,'18.04'!$AZ$3)),(VLOOKUP('18.04'!AE52,'18.04'!$AM$4:$AO$55,2,FALSE))*IF('18.04'!$AK52="是",'18.04'!$AZ$4,'18.04'!$AZ$3))</f>
        <v>0</v>
      </c>
      <c r="X52" s="4">
        <f>IF(ISNUMBER(SEARCH("营",'18.04'!AF52)),(-$Y52+50*IF('18.04'!$AK52="是",'18.04'!$AZ$4,'18.04'!$AZ$3)),(VLOOKUP('18.04'!AF52,'18.04'!$AM$4:$AO$55,2,FALSE))*IF('18.04'!$AK52="是",'18.04'!$AZ$4,'18.04'!$AZ$3))</f>
        <v>0</v>
      </c>
      <c r="Y52" s="79">
        <v>150</v>
      </c>
      <c r="Z52" s="99">
        <v>45687</v>
      </c>
    </row>
    <row r="53" spans="1:26">
      <c r="A53" s="4">
        <f>IF(ISNUMBER(SEARCH("营",'18.04'!I53)),(-$Y53+50*IF('18.04'!$AK53="是",'18.04'!$AZ$4,'18.04'!$AZ$3)),(VLOOKUP('18.04'!I53,'18.04'!$AM$4:$AO$55,2,FALSE))*IF('18.04'!$AK53="是",'18.04'!$AZ$4,'18.04'!$AZ$3))</f>
        <v>144</v>
      </c>
      <c r="B53" s="4">
        <f>IF(ISNUMBER(SEARCH("营",'18.04'!J53)),(-$Y53+50*IF('18.04'!$AK53="是",'18.04'!$AZ$4,'18.04'!$AZ$3)),(VLOOKUP('18.04'!J53,'18.04'!$AM$4:$AO$55,2,FALSE))*IF('18.04'!$AK53="是",'18.04'!$AZ$4,'18.04'!$AZ$3))</f>
        <v>144</v>
      </c>
      <c r="C53" s="4">
        <f>IF(ISNUMBER(SEARCH("营",'18.04'!K53)),(-$Y53+50*IF('18.04'!$AK53="是",'18.04'!$AZ$4,'18.04'!$AZ$3)),(VLOOKUP('18.04'!K53,'18.04'!$AM$4:$AO$55,2,FALSE))*IF('18.04'!$AK53="是",'18.04'!$AZ$4,'18.04'!$AZ$3))</f>
        <v>144</v>
      </c>
      <c r="D53" s="4">
        <f>IF(ISNUMBER(SEARCH("营",'18.04'!L53)),(-$Y53+50*IF('18.04'!$AK53="是",'18.04'!$AZ$4,'18.04'!$AZ$3)),(VLOOKUP('18.04'!L53,'18.04'!$AM$4:$AO$55,2,FALSE))*IF('18.04'!$AK53="是",'18.04'!$AZ$4,'18.04'!$AZ$3))</f>
        <v>144</v>
      </c>
      <c r="E53" s="4">
        <f>IF(ISNUMBER(SEARCH("营",'18.04'!M53)),(-$Y53+50*IF('18.04'!$AK53="是",'18.04'!$AZ$4,'18.04'!$AZ$3)),(VLOOKUP('18.04'!M53,'18.04'!$AM$4:$AO$55,2,FALSE))*IF('18.04'!$AK53="是",'18.04'!$AZ$4,'18.04'!$AZ$3))</f>
        <v>144</v>
      </c>
      <c r="F53" s="4">
        <f>IF(ISNUMBER(SEARCH("营",'18.04'!N53)),(-$Y53+50*IF('18.04'!$AK53="是",'18.04'!$AZ$4,'18.04'!$AZ$3)),(VLOOKUP('18.04'!N53,'18.04'!$AM$4:$AO$55,2,FALSE))*IF('18.04'!$AK53="是",'18.04'!$AZ$4,'18.04'!$AZ$3))</f>
        <v>144</v>
      </c>
      <c r="G53" s="4">
        <f>IF(ISNUMBER(SEARCH("营",'18.04'!O53)),(-$Y53+50*IF('18.04'!$AK53="是",'18.04'!$AZ$4,'18.04'!$AZ$3)),(VLOOKUP('18.04'!O53,'18.04'!$AM$4:$AO$55,2,FALSE))*IF('18.04'!$AK53="是",'18.04'!$AZ$4,'18.04'!$AZ$3))</f>
        <v>144</v>
      </c>
      <c r="H53" s="4">
        <f>IF(ISNUMBER(SEARCH("营",'18.04'!P53)),(-$Y53+50*IF('18.04'!$AK53="是",'18.04'!$AZ$4,'18.04'!$AZ$3)),(VLOOKUP('18.04'!P53,'18.04'!$AM$4:$AO$55,2,FALSE))*IF('18.04'!$AK53="是",'18.04'!$AZ$4,'18.04'!$AZ$3))</f>
        <v>144</v>
      </c>
      <c r="I53" s="4">
        <f>IF(ISNUMBER(SEARCH("营",'18.04'!Q53)),(-$Y53+50*IF('18.04'!$AK53="是",'18.04'!$AZ$4,'18.04'!$AZ$3)),(VLOOKUP('18.04'!Q53,'18.04'!$AM$4:$AO$55,2,FALSE))*IF('18.04'!$AK53="是",'18.04'!$AZ$4,'18.04'!$AZ$3))</f>
        <v>152</v>
      </c>
      <c r="J53" s="4">
        <f>IF(ISNUMBER(SEARCH("营",'18.04'!R53)),(-$Y53+50*IF('18.04'!$AK53="是",'18.04'!$AZ$4,'18.04'!$AZ$3)),(VLOOKUP('18.04'!R53,'18.04'!$AM$4:$AO$55,2,FALSE))*IF('18.04'!$AK53="是",'18.04'!$AZ$4,'18.04'!$AZ$3))</f>
        <v>152</v>
      </c>
      <c r="K53" s="4">
        <f>IF(ISNUMBER(SEARCH("营",'18.04'!S53)),(-$Y53+50*IF('18.04'!$AK53="是",'18.04'!$AZ$4,'18.04'!$AZ$3)),(VLOOKUP('18.04'!S53,'18.04'!$AM$4:$AO$55,2,FALSE))*IF('18.04'!$AK53="是",'18.04'!$AZ$4,'18.04'!$AZ$3))</f>
        <v>152</v>
      </c>
      <c r="L53" s="4">
        <f>IF(ISNUMBER(SEARCH("营",'18.04'!T53)),(-$Y53+50*IF('18.04'!$AK53="是",'18.04'!$AZ$4,'18.04'!$AZ$3)),(VLOOKUP('18.04'!T53,'18.04'!$AM$4:$AO$55,2,FALSE))*IF('18.04'!$AK53="是",'18.04'!$AZ$4,'18.04'!$AZ$3))</f>
        <v>152</v>
      </c>
      <c r="M53" s="4">
        <f>IF(ISNUMBER(SEARCH("营",'18.04'!U53)),(-$Y53+50*IF('18.04'!$AK53="是",'18.04'!$AZ$4,'18.04'!$AZ$3)),(VLOOKUP('18.04'!U53,'18.04'!$AM$4:$AO$55,2,FALSE))*IF('18.04'!$AK53="是",'18.04'!$AZ$4,'18.04'!$AZ$3))</f>
        <v>152</v>
      </c>
      <c r="N53" s="4">
        <f>IF(ISNUMBER(SEARCH("营",'18.04'!V53)),(-$Y53+50*IF('18.04'!$AK53="是",'18.04'!$AZ$4,'18.04'!$AZ$3)),(VLOOKUP('18.04'!V53,'18.04'!$AM$4:$AO$55,2,FALSE))*IF('18.04'!$AK53="是",'18.04'!$AZ$4,'18.04'!$AZ$3))</f>
        <v>152</v>
      </c>
      <c r="O53" s="4">
        <f>IF(ISNUMBER(SEARCH("营",'18.04'!W53)),(-$Y53+50*IF('18.04'!$AK53="是",'18.04'!$AZ$4,'18.04'!$AZ$3)),(VLOOKUP('18.04'!W53,'18.04'!$AM$4:$AO$55,2,FALSE))*IF('18.04'!$AK53="是",'18.04'!$AZ$4,'18.04'!$AZ$3))</f>
        <v>152</v>
      </c>
      <c r="P53" s="4">
        <f>IF(ISNUMBER(SEARCH("营",'18.04'!X53)),(-$Y53+50*IF('18.04'!$AK53="是",'18.04'!$AZ$4,'18.04'!$AZ$3)),(VLOOKUP('18.04'!X53,'18.04'!$AM$4:$AO$55,2,FALSE))*IF('18.04'!$AK53="是",'18.04'!$AZ$4,'18.04'!$AZ$3))</f>
        <v>152</v>
      </c>
      <c r="Q53" s="4">
        <f>IF(ISNUMBER(SEARCH("营",'18.04'!Y53)),(-$Y53+50*IF('18.04'!$AK53="是",'18.04'!$AZ$4,'18.04'!$AZ$3)),(VLOOKUP('18.04'!Y53,'18.04'!$AM$4:$AO$55,2,FALSE))*IF('18.04'!$AK53="是",'18.04'!$AZ$4,'18.04'!$AZ$3))</f>
        <v>0</v>
      </c>
      <c r="R53" s="4">
        <f>IF(ISNUMBER(SEARCH("营",'18.04'!Z53)),(-$Y53+50*IF('18.04'!$AK53="是",'18.04'!$AZ$4,'18.04'!$AZ$3)),(VLOOKUP('18.04'!Z53,'18.04'!$AM$4:$AO$55,2,FALSE))*IF('18.04'!$AK53="是",'18.04'!$AZ$4,'18.04'!$AZ$3))</f>
        <v>0</v>
      </c>
      <c r="S53" s="4">
        <f>IF(ISNUMBER(SEARCH("营",'18.04'!AA53)),(-$Y53+50*IF('18.04'!$AK53="是",'18.04'!$AZ$4,'18.04'!$AZ$3)),(VLOOKUP('18.04'!AA53,'18.04'!$AM$4:$AO$55,2,FALSE))*IF('18.04'!$AK53="是",'18.04'!$AZ$4,'18.04'!$AZ$3))</f>
        <v>0</v>
      </c>
      <c r="T53" s="4">
        <f>IF(ISNUMBER(SEARCH("营",'18.04'!AB53)),(-$Y53+50*IF('18.04'!$AK53="是",'18.04'!$AZ$4,'18.04'!$AZ$3)),(VLOOKUP('18.04'!AB53,'18.04'!$AM$4:$AO$55,2,FALSE))*IF('18.04'!$AK53="是",'18.04'!$AZ$4,'18.04'!$AZ$3))</f>
        <v>0</v>
      </c>
      <c r="U53" s="4">
        <f>IF(ISNUMBER(SEARCH("营",'18.04'!AC53)),(-$Y53+50*IF('18.04'!$AK53="是",'18.04'!$AZ$4,'18.04'!$AZ$3)),(VLOOKUP('18.04'!AC53,'18.04'!$AM$4:$AO$55,2,FALSE))*IF('18.04'!$AK53="是",'18.04'!$AZ$4,'18.04'!$AZ$3))</f>
        <v>0</v>
      </c>
      <c r="V53" s="4">
        <f>IF(ISNUMBER(SEARCH("营",'18.04'!AD53)),(-$Y53+50*IF('18.04'!$AK53="是",'18.04'!$AZ$4,'18.04'!$AZ$3)),(VLOOKUP('18.04'!AD53,'18.04'!$AM$4:$AO$55,2,FALSE))*IF('18.04'!$AK53="是",'18.04'!$AZ$4,'18.04'!$AZ$3))</f>
        <v>0</v>
      </c>
      <c r="W53" s="4">
        <f>IF(ISNUMBER(SEARCH("营",'18.04'!AE53)),(-$Y53+50*IF('18.04'!$AK53="是",'18.04'!$AZ$4,'18.04'!$AZ$3)),(VLOOKUP('18.04'!AE53,'18.04'!$AM$4:$AO$55,2,FALSE))*IF('18.04'!$AK53="是",'18.04'!$AZ$4,'18.04'!$AZ$3))</f>
        <v>0</v>
      </c>
      <c r="X53" s="4">
        <f>IF(ISNUMBER(SEARCH("营",'18.04'!AF53)),(-$Y53+50*IF('18.04'!$AK53="是",'18.04'!$AZ$4,'18.04'!$AZ$3)),(VLOOKUP('18.04'!AF53,'18.04'!$AM$4:$AO$55,2,FALSE))*IF('18.04'!$AK53="是",'18.04'!$AZ$4,'18.04'!$AZ$3))</f>
        <v>0</v>
      </c>
      <c r="Y53" s="79">
        <v>150</v>
      </c>
      <c r="Z53" s="99">
        <v>45688</v>
      </c>
    </row>
    <row r="54" spans="1:26">
      <c r="A54" s="4">
        <f>IF(ISNUMBER(SEARCH("营",'18.04'!I54)),(-$Y54+50*IF('18.04'!$AK54="是",'18.04'!$AZ$4,'18.04'!$AZ$3)),(VLOOKUP('18.04'!I54,'18.04'!$AM$4:$AO$55,2,FALSE))*IF('18.04'!$AK54="是",'18.04'!$AZ$4,'18.04'!$AZ$3))</f>
        <v>144</v>
      </c>
      <c r="B54" s="4">
        <f>IF(ISNUMBER(SEARCH("营",'18.04'!J54)),(-$Y54+50*IF('18.04'!$AK54="是",'18.04'!$AZ$4,'18.04'!$AZ$3)),(VLOOKUP('18.04'!J54,'18.04'!$AM$4:$AO$55,2,FALSE))*IF('18.04'!$AK54="是",'18.04'!$AZ$4,'18.04'!$AZ$3))</f>
        <v>144</v>
      </c>
      <c r="C54" s="4">
        <f>IF(ISNUMBER(SEARCH("营",'18.04'!K54)),(-$Y54+50*IF('18.04'!$AK54="是",'18.04'!$AZ$4,'18.04'!$AZ$3)),(VLOOKUP('18.04'!K54,'18.04'!$AM$4:$AO$55,2,FALSE))*IF('18.04'!$AK54="是",'18.04'!$AZ$4,'18.04'!$AZ$3))</f>
        <v>144</v>
      </c>
      <c r="D54" s="4">
        <f>IF(ISNUMBER(SEARCH("营",'18.04'!L54)),(-$Y54+50*IF('18.04'!$AK54="是",'18.04'!$AZ$4,'18.04'!$AZ$3)),(VLOOKUP('18.04'!L54,'18.04'!$AM$4:$AO$55,2,FALSE))*IF('18.04'!$AK54="是",'18.04'!$AZ$4,'18.04'!$AZ$3))</f>
        <v>144</v>
      </c>
      <c r="E54" s="4">
        <f>IF(ISNUMBER(SEARCH("营",'18.04'!M54)),(-$Y54+50*IF('18.04'!$AK54="是",'18.04'!$AZ$4,'18.04'!$AZ$3)),(VLOOKUP('18.04'!M54,'18.04'!$AM$4:$AO$55,2,FALSE))*IF('18.04'!$AK54="是",'18.04'!$AZ$4,'18.04'!$AZ$3))</f>
        <v>144</v>
      </c>
      <c r="F54" s="4">
        <f>IF(ISNUMBER(SEARCH("营",'18.04'!N54)),(-$Y54+50*IF('18.04'!$AK54="是",'18.04'!$AZ$4,'18.04'!$AZ$3)),(VLOOKUP('18.04'!N54,'18.04'!$AM$4:$AO$55,2,FALSE))*IF('18.04'!$AK54="是",'18.04'!$AZ$4,'18.04'!$AZ$3))</f>
        <v>144</v>
      </c>
      <c r="G54" s="4">
        <f>IF(ISNUMBER(SEARCH("营",'18.04'!O54)),(-$Y54+50*IF('18.04'!$AK54="是",'18.04'!$AZ$4,'18.04'!$AZ$3)),(VLOOKUP('18.04'!O54,'18.04'!$AM$4:$AO$55,2,FALSE))*IF('18.04'!$AK54="是",'18.04'!$AZ$4,'18.04'!$AZ$3))</f>
        <v>144</v>
      </c>
      <c r="H54" s="4">
        <f>IF(ISNUMBER(SEARCH("营",'18.04'!P54)),(-$Y54+50*IF('18.04'!$AK54="是",'18.04'!$AZ$4,'18.04'!$AZ$3)),(VLOOKUP('18.04'!P54,'18.04'!$AM$4:$AO$55,2,FALSE))*IF('18.04'!$AK54="是",'18.04'!$AZ$4,'18.04'!$AZ$3))</f>
        <v>144</v>
      </c>
      <c r="I54" s="4">
        <f>IF(ISNUMBER(SEARCH("营",'18.04'!Q54)),(-$Y54+50*IF('18.04'!$AK54="是",'18.04'!$AZ$4,'18.04'!$AZ$3)),(VLOOKUP('18.04'!Q54,'18.04'!$AM$4:$AO$55,2,FALSE))*IF('18.04'!$AK54="是",'18.04'!$AZ$4,'18.04'!$AZ$3))</f>
        <v>152</v>
      </c>
      <c r="J54" s="4">
        <f>IF(ISNUMBER(SEARCH("营",'18.04'!R54)),(-$Y54+50*IF('18.04'!$AK54="是",'18.04'!$AZ$4,'18.04'!$AZ$3)),(VLOOKUP('18.04'!R54,'18.04'!$AM$4:$AO$55,2,FALSE))*IF('18.04'!$AK54="是",'18.04'!$AZ$4,'18.04'!$AZ$3))</f>
        <v>152</v>
      </c>
      <c r="K54" s="4">
        <f>IF(ISNUMBER(SEARCH("营",'18.04'!S54)),(-$Y54+50*IF('18.04'!$AK54="是",'18.04'!$AZ$4,'18.04'!$AZ$3)),(VLOOKUP('18.04'!S54,'18.04'!$AM$4:$AO$55,2,FALSE))*IF('18.04'!$AK54="是",'18.04'!$AZ$4,'18.04'!$AZ$3))</f>
        <v>152</v>
      </c>
      <c r="L54" s="4">
        <f>IF(ISNUMBER(SEARCH("营",'18.04'!T54)),(-$Y54+50*IF('18.04'!$AK54="是",'18.04'!$AZ$4,'18.04'!$AZ$3)),(VLOOKUP('18.04'!T54,'18.04'!$AM$4:$AO$55,2,FALSE))*IF('18.04'!$AK54="是",'18.04'!$AZ$4,'18.04'!$AZ$3))</f>
        <v>152</v>
      </c>
      <c r="M54" s="4">
        <f>IF(ISNUMBER(SEARCH("营",'18.04'!U54)),(-$Y54+50*IF('18.04'!$AK54="是",'18.04'!$AZ$4,'18.04'!$AZ$3)),(VLOOKUP('18.04'!U54,'18.04'!$AM$4:$AO$55,2,FALSE))*IF('18.04'!$AK54="是",'18.04'!$AZ$4,'18.04'!$AZ$3))</f>
        <v>152</v>
      </c>
      <c r="N54" s="4">
        <f>IF(ISNUMBER(SEARCH("营",'18.04'!V54)),(-$Y54+50*IF('18.04'!$AK54="是",'18.04'!$AZ$4,'18.04'!$AZ$3)),(VLOOKUP('18.04'!V54,'18.04'!$AM$4:$AO$55,2,FALSE))*IF('18.04'!$AK54="是",'18.04'!$AZ$4,'18.04'!$AZ$3))</f>
        <v>152</v>
      </c>
      <c r="O54" s="4">
        <f>IF(ISNUMBER(SEARCH("营",'18.04'!W54)),(-$Y54+50*IF('18.04'!$AK54="是",'18.04'!$AZ$4,'18.04'!$AZ$3)),(VLOOKUP('18.04'!W54,'18.04'!$AM$4:$AO$55,2,FALSE))*IF('18.04'!$AK54="是",'18.04'!$AZ$4,'18.04'!$AZ$3))</f>
        <v>152</v>
      </c>
      <c r="P54" s="4">
        <f>IF(ISNUMBER(SEARCH("营",'18.04'!X54)),(-$Y54+50*IF('18.04'!$AK54="是",'18.04'!$AZ$4,'18.04'!$AZ$3)),(VLOOKUP('18.04'!X54,'18.04'!$AM$4:$AO$55,2,FALSE))*IF('18.04'!$AK54="是",'18.04'!$AZ$4,'18.04'!$AZ$3))</f>
        <v>152</v>
      </c>
      <c r="Q54" s="4">
        <f>IF(ISNUMBER(SEARCH("营",'18.04'!Y54)),(-$Y54+50*IF('18.04'!$AK54="是",'18.04'!$AZ$4,'18.04'!$AZ$3)),(VLOOKUP('18.04'!Y54,'18.04'!$AM$4:$AO$55,2,FALSE))*IF('18.04'!$AK54="是",'18.04'!$AZ$4,'18.04'!$AZ$3))</f>
        <v>0</v>
      </c>
      <c r="R54" s="4">
        <f>IF(ISNUMBER(SEARCH("营",'18.04'!Z54)),(-$Y54+50*IF('18.04'!$AK54="是",'18.04'!$AZ$4,'18.04'!$AZ$3)),(VLOOKUP('18.04'!Z54,'18.04'!$AM$4:$AO$55,2,FALSE))*IF('18.04'!$AK54="是",'18.04'!$AZ$4,'18.04'!$AZ$3))</f>
        <v>0</v>
      </c>
      <c r="S54" s="4">
        <f>IF(ISNUMBER(SEARCH("营",'18.04'!AA54)),(-$Y54+50*IF('18.04'!$AK54="是",'18.04'!$AZ$4,'18.04'!$AZ$3)),(VLOOKUP('18.04'!AA54,'18.04'!$AM$4:$AO$55,2,FALSE))*IF('18.04'!$AK54="是",'18.04'!$AZ$4,'18.04'!$AZ$3))</f>
        <v>0</v>
      </c>
      <c r="T54" s="4">
        <f>IF(ISNUMBER(SEARCH("营",'18.04'!AB54)),(-$Y54+50*IF('18.04'!$AK54="是",'18.04'!$AZ$4,'18.04'!$AZ$3)),(VLOOKUP('18.04'!AB54,'18.04'!$AM$4:$AO$55,2,FALSE))*IF('18.04'!$AK54="是",'18.04'!$AZ$4,'18.04'!$AZ$3))</f>
        <v>0</v>
      </c>
      <c r="U54" s="4">
        <f>IF(ISNUMBER(SEARCH("营",'18.04'!AC54)),(-$Y54+50*IF('18.04'!$AK54="是",'18.04'!$AZ$4,'18.04'!$AZ$3)),(VLOOKUP('18.04'!AC54,'18.04'!$AM$4:$AO$55,2,FALSE))*IF('18.04'!$AK54="是",'18.04'!$AZ$4,'18.04'!$AZ$3))</f>
        <v>0</v>
      </c>
      <c r="V54" s="4">
        <f>IF(ISNUMBER(SEARCH("营",'18.04'!AD54)),(-$Y54+50*IF('18.04'!$AK54="是",'18.04'!$AZ$4,'18.04'!$AZ$3)),(VLOOKUP('18.04'!AD54,'18.04'!$AM$4:$AO$55,2,FALSE))*IF('18.04'!$AK54="是",'18.04'!$AZ$4,'18.04'!$AZ$3))</f>
        <v>0</v>
      </c>
      <c r="W54" s="4">
        <f>IF(ISNUMBER(SEARCH("营",'18.04'!AE54)),(-$Y54+50*IF('18.04'!$AK54="是",'18.04'!$AZ$4,'18.04'!$AZ$3)),(VLOOKUP('18.04'!AE54,'18.04'!$AM$4:$AO$55,2,FALSE))*IF('18.04'!$AK54="是",'18.04'!$AZ$4,'18.04'!$AZ$3))</f>
        <v>0</v>
      </c>
      <c r="X54" s="4">
        <f>IF(ISNUMBER(SEARCH("营",'18.04'!AF54)),(-$Y54+50*IF('18.04'!$AK54="是",'18.04'!$AZ$4,'18.04'!$AZ$3)),(VLOOKUP('18.04'!AF54,'18.04'!$AM$4:$AO$55,2,FALSE))*IF('18.04'!$AK54="是",'18.04'!$AZ$4,'18.04'!$AZ$3))</f>
        <v>0</v>
      </c>
      <c r="Y54" s="79">
        <v>150</v>
      </c>
      <c r="Z54" s="99">
        <v>45689</v>
      </c>
    </row>
    <row r="55" spans="1:26">
      <c r="A55" s="4">
        <f>IF(ISNUMBER(SEARCH("营",'18.04'!I55)),(-$Y55+50*IF('18.04'!$AK55="是",'18.04'!$AZ$4,'18.04'!$AZ$3)),(VLOOKUP('18.04'!I55,'18.04'!$AM$4:$AO$55,2,FALSE))*IF('18.04'!$AK55="是",'18.04'!$AZ$4,'18.04'!$AZ$3))</f>
        <v>144</v>
      </c>
      <c r="B55" s="4">
        <f>IF(ISNUMBER(SEARCH("营",'18.04'!J55)),(-$Y55+50*IF('18.04'!$AK55="是",'18.04'!$AZ$4,'18.04'!$AZ$3)),(VLOOKUP('18.04'!J55,'18.04'!$AM$4:$AO$55,2,FALSE))*IF('18.04'!$AK55="是",'18.04'!$AZ$4,'18.04'!$AZ$3))</f>
        <v>144</v>
      </c>
      <c r="C55" s="4">
        <f>IF(ISNUMBER(SEARCH("营",'18.04'!K55)),(-$Y55+50*IF('18.04'!$AK55="是",'18.04'!$AZ$4,'18.04'!$AZ$3)),(VLOOKUP('18.04'!K55,'18.04'!$AM$4:$AO$55,2,FALSE))*IF('18.04'!$AK55="是",'18.04'!$AZ$4,'18.04'!$AZ$3))</f>
        <v>144</v>
      </c>
      <c r="D55" s="4">
        <f>IF(ISNUMBER(SEARCH("营",'18.04'!L55)),(-$Y55+50*IF('18.04'!$AK55="是",'18.04'!$AZ$4,'18.04'!$AZ$3)),(VLOOKUP('18.04'!L55,'18.04'!$AM$4:$AO$55,2,FALSE))*IF('18.04'!$AK55="是",'18.04'!$AZ$4,'18.04'!$AZ$3))</f>
        <v>144</v>
      </c>
      <c r="E55" s="4">
        <f>IF(ISNUMBER(SEARCH("营",'18.04'!M55)),(-$Y55+50*IF('18.04'!$AK55="是",'18.04'!$AZ$4,'18.04'!$AZ$3)),(VLOOKUP('18.04'!M55,'18.04'!$AM$4:$AO$55,2,FALSE))*IF('18.04'!$AK55="是",'18.04'!$AZ$4,'18.04'!$AZ$3))</f>
        <v>144</v>
      </c>
      <c r="F55" s="4">
        <f>IF(ISNUMBER(SEARCH("营",'18.04'!N55)),(-$Y55+50*IF('18.04'!$AK55="是",'18.04'!$AZ$4,'18.04'!$AZ$3)),(VLOOKUP('18.04'!N55,'18.04'!$AM$4:$AO$55,2,FALSE))*IF('18.04'!$AK55="是",'18.04'!$AZ$4,'18.04'!$AZ$3))</f>
        <v>144</v>
      </c>
      <c r="G55" s="4">
        <f>IF(ISNUMBER(SEARCH("营",'18.04'!O55)),(-$Y55+50*IF('18.04'!$AK55="是",'18.04'!$AZ$4,'18.04'!$AZ$3)),(VLOOKUP('18.04'!O55,'18.04'!$AM$4:$AO$55,2,FALSE))*IF('18.04'!$AK55="是",'18.04'!$AZ$4,'18.04'!$AZ$3))</f>
        <v>144</v>
      </c>
      <c r="H55" s="4">
        <f>IF(ISNUMBER(SEARCH("营",'18.04'!P55)),(-$Y55+50*IF('18.04'!$AK55="是",'18.04'!$AZ$4,'18.04'!$AZ$3)),(VLOOKUP('18.04'!P55,'18.04'!$AM$4:$AO$55,2,FALSE))*IF('18.04'!$AK55="是",'18.04'!$AZ$4,'18.04'!$AZ$3))</f>
        <v>144</v>
      </c>
      <c r="I55" s="4">
        <f>IF(ISNUMBER(SEARCH("营",'18.04'!Q55)),(-$Y55+50*IF('18.04'!$AK55="是",'18.04'!$AZ$4,'18.04'!$AZ$3)),(VLOOKUP('18.04'!Q55,'18.04'!$AM$4:$AO$55,2,FALSE))*IF('18.04'!$AK55="是",'18.04'!$AZ$4,'18.04'!$AZ$3))</f>
        <v>152</v>
      </c>
      <c r="J55" s="4">
        <f>IF(ISNUMBER(SEARCH("营",'18.04'!R55)),(-$Y55+50*IF('18.04'!$AK55="是",'18.04'!$AZ$4,'18.04'!$AZ$3)),(VLOOKUP('18.04'!R55,'18.04'!$AM$4:$AO$55,2,FALSE))*IF('18.04'!$AK55="是",'18.04'!$AZ$4,'18.04'!$AZ$3))</f>
        <v>152</v>
      </c>
      <c r="K55" s="4">
        <f>IF(ISNUMBER(SEARCH("营",'18.04'!S55)),(-$Y55+50*IF('18.04'!$AK55="是",'18.04'!$AZ$4,'18.04'!$AZ$3)),(VLOOKUP('18.04'!S55,'18.04'!$AM$4:$AO$55,2,FALSE))*IF('18.04'!$AK55="是",'18.04'!$AZ$4,'18.04'!$AZ$3))</f>
        <v>152</v>
      </c>
      <c r="L55" s="4">
        <f>IF(ISNUMBER(SEARCH("营",'18.04'!T55)),(-$Y55+50*IF('18.04'!$AK55="是",'18.04'!$AZ$4,'18.04'!$AZ$3)),(VLOOKUP('18.04'!T55,'18.04'!$AM$4:$AO$55,2,FALSE))*IF('18.04'!$AK55="是",'18.04'!$AZ$4,'18.04'!$AZ$3))</f>
        <v>152</v>
      </c>
      <c r="M55" s="4">
        <f>IF(ISNUMBER(SEARCH("营",'18.04'!U55)),(-$Y55+50*IF('18.04'!$AK55="是",'18.04'!$AZ$4,'18.04'!$AZ$3)),(VLOOKUP('18.04'!U55,'18.04'!$AM$4:$AO$55,2,FALSE))*IF('18.04'!$AK55="是",'18.04'!$AZ$4,'18.04'!$AZ$3))</f>
        <v>152</v>
      </c>
      <c r="N55" s="4">
        <f>IF(ISNUMBER(SEARCH("营",'18.04'!V55)),(-$Y55+50*IF('18.04'!$AK55="是",'18.04'!$AZ$4,'18.04'!$AZ$3)),(VLOOKUP('18.04'!V55,'18.04'!$AM$4:$AO$55,2,FALSE))*IF('18.04'!$AK55="是",'18.04'!$AZ$4,'18.04'!$AZ$3))</f>
        <v>152</v>
      </c>
      <c r="O55" s="4">
        <f>IF(ISNUMBER(SEARCH("营",'18.04'!W55)),(-$Y55+50*IF('18.04'!$AK55="是",'18.04'!$AZ$4,'18.04'!$AZ$3)),(VLOOKUP('18.04'!W55,'18.04'!$AM$4:$AO$55,2,FALSE))*IF('18.04'!$AK55="是",'18.04'!$AZ$4,'18.04'!$AZ$3))</f>
        <v>152</v>
      </c>
      <c r="P55" s="4">
        <f>IF(ISNUMBER(SEARCH("营",'18.04'!X55)),(-$Y55+50*IF('18.04'!$AK55="是",'18.04'!$AZ$4,'18.04'!$AZ$3)),(VLOOKUP('18.04'!X55,'18.04'!$AM$4:$AO$55,2,FALSE))*IF('18.04'!$AK55="是",'18.04'!$AZ$4,'18.04'!$AZ$3))</f>
        <v>152</v>
      </c>
      <c r="Q55" s="4">
        <f>IF(ISNUMBER(SEARCH("营",'18.04'!Y55)),(-$Y55+50*IF('18.04'!$AK55="是",'18.04'!$AZ$4,'18.04'!$AZ$3)),(VLOOKUP('18.04'!Y55,'18.04'!$AM$4:$AO$55,2,FALSE))*IF('18.04'!$AK55="是",'18.04'!$AZ$4,'18.04'!$AZ$3))</f>
        <v>0</v>
      </c>
      <c r="R55" s="4">
        <f>IF(ISNUMBER(SEARCH("营",'18.04'!Z55)),(-$Y55+50*IF('18.04'!$AK55="是",'18.04'!$AZ$4,'18.04'!$AZ$3)),(VLOOKUP('18.04'!Z55,'18.04'!$AM$4:$AO$55,2,FALSE))*IF('18.04'!$AK55="是",'18.04'!$AZ$4,'18.04'!$AZ$3))</f>
        <v>0</v>
      </c>
      <c r="S55" s="4">
        <f>IF(ISNUMBER(SEARCH("营",'18.04'!AA55)),(-$Y55+50*IF('18.04'!$AK55="是",'18.04'!$AZ$4,'18.04'!$AZ$3)),(VLOOKUP('18.04'!AA55,'18.04'!$AM$4:$AO$55,2,FALSE))*IF('18.04'!$AK55="是",'18.04'!$AZ$4,'18.04'!$AZ$3))</f>
        <v>0</v>
      </c>
      <c r="T55" s="4">
        <f>IF(ISNUMBER(SEARCH("营",'18.04'!AB55)),(-$Y55+50*IF('18.04'!$AK55="是",'18.04'!$AZ$4,'18.04'!$AZ$3)),(VLOOKUP('18.04'!AB55,'18.04'!$AM$4:$AO$55,2,FALSE))*IF('18.04'!$AK55="是",'18.04'!$AZ$4,'18.04'!$AZ$3))</f>
        <v>0</v>
      </c>
      <c r="U55" s="4">
        <f>IF(ISNUMBER(SEARCH("营",'18.04'!AC55)),(-$Y55+50*IF('18.04'!$AK55="是",'18.04'!$AZ$4,'18.04'!$AZ$3)),(VLOOKUP('18.04'!AC55,'18.04'!$AM$4:$AO$55,2,FALSE))*IF('18.04'!$AK55="是",'18.04'!$AZ$4,'18.04'!$AZ$3))</f>
        <v>0</v>
      </c>
      <c r="V55" s="4">
        <f>IF(ISNUMBER(SEARCH("营",'18.04'!AD55)),(-$Y55+50*IF('18.04'!$AK55="是",'18.04'!$AZ$4,'18.04'!$AZ$3)),(VLOOKUP('18.04'!AD55,'18.04'!$AM$4:$AO$55,2,FALSE))*IF('18.04'!$AK55="是",'18.04'!$AZ$4,'18.04'!$AZ$3))</f>
        <v>0</v>
      </c>
      <c r="W55" s="4">
        <f>IF(ISNUMBER(SEARCH("营",'18.04'!AE55)),(-$Y55+50*IF('18.04'!$AK55="是",'18.04'!$AZ$4,'18.04'!$AZ$3)),(VLOOKUP('18.04'!AE55,'18.04'!$AM$4:$AO$55,2,FALSE))*IF('18.04'!$AK55="是",'18.04'!$AZ$4,'18.04'!$AZ$3))</f>
        <v>0</v>
      </c>
      <c r="X55" s="4">
        <f>IF(ISNUMBER(SEARCH("营",'18.04'!AF55)),(-$Y55+50*IF('18.04'!$AK55="是",'18.04'!$AZ$4,'18.04'!$AZ$3)),(VLOOKUP('18.04'!AF55,'18.04'!$AM$4:$AO$55,2,FALSE))*IF('18.04'!$AK55="是",'18.04'!$AZ$4,'18.04'!$AZ$3))</f>
        <v>0</v>
      </c>
      <c r="Y55" s="79">
        <v>150</v>
      </c>
      <c r="Z55" s="99">
        <v>45690</v>
      </c>
    </row>
    <row r="56" spans="1:26">
      <c r="A56" s="4">
        <f>IF(ISNUMBER(SEARCH("营",'18.04'!I56)),(-$Y56+50*IF('18.04'!$AK56="是",'18.04'!$AZ$4,'18.04'!$AZ$3)),(VLOOKUP('18.04'!I56,'18.04'!$AM$4:$AO$55,2,FALSE))*IF('18.04'!$AK56="是",'18.04'!$AZ$4,'18.04'!$AZ$3))</f>
        <v>144</v>
      </c>
      <c r="B56" s="4">
        <f>IF(ISNUMBER(SEARCH("营",'18.04'!J56)),(-$Y56+50*IF('18.04'!$AK56="是",'18.04'!$AZ$4,'18.04'!$AZ$3)),(VLOOKUP('18.04'!J56,'18.04'!$AM$4:$AO$55,2,FALSE))*IF('18.04'!$AK56="是",'18.04'!$AZ$4,'18.04'!$AZ$3))</f>
        <v>144</v>
      </c>
      <c r="C56" s="4">
        <f>IF(ISNUMBER(SEARCH("营",'18.04'!K56)),(-$Y56+50*IF('18.04'!$AK56="是",'18.04'!$AZ$4,'18.04'!$AZ$3)),(VLOOKUP('18.04'!K56,'18.04'!$AM$4:$AO$55,2,FALSE))*IF('18.04'!$AK56="是",'18.04'!$AZ$4,'18.04'!$AZ$3))</f>
        <v>144</v>
      </c>
      <c r="D56" s="4">
        <f>IF(ISNUMBER(SEARCH("营",'18.04'!L56)),(-$Y56+50*IF('18.04'!$AK56="是",'18.04'!$AZ$4,'18.04'!$AZ$3)),(VLOOKUP('18.04'!L56,'18.04'!$AM$4:$AO$55,2,FALSE))*IF('18.04'!$AK56="是",'18.04'!$AZ$4,'18.04'!$AZ$3))</f>
        <v>144</v>
      </c>
      <c r="E56" s="4">
        <f>IF(ISNUMBER(SEARCH("营",'18.04'!M56)),(-$Y56+50*IF('18.04'!$AK56="是",'18.04'!$AZ$4,'18.04'!$AZ$3)),(VLOOKUP('18.04'!M56,'18.04'!$AM$4:$AO$55,2,FALSE))*IF('18.04'!$AK56="是",'18.04'!$AZ$4,'18.04'!$AZ$3))</f>
        <v>144</v>
      </c>
      <c r="F56" s="4">
        <f>IF(ISNUMBER(SEARCH("营",'18.04'!N56)),(-$Y56+50*IF('18.04'!$AK56="是",'18.04'!$AZ$4,'18.04'!$AZ$3)),(VLOOKUP('18.04'!N56,'18.04'!$AM$4:$AO$55,2,FALSE))*IF('18.04'!$AK56="是",'18.04'!$AZ$4,'18.04'!$AZ$3))</f>
        <v>144</v>
      </c>
      <c r="G56" s="4">
        <f>IF(ISNUMBER(SEARCH("营",'18.04'!O56)),(-$Y56+50*IF('18.04'!$AK56="是",'18.04'!$AZ$4,'18.04'!$AZ$3)),(VLOOKUP('18.04'!O56,'18.04'!$AM$4:$AO$55,2,FALSE))*IF('18.04'!$AK56="是",'18.04'!$AZ$4,'18.04'!$AZ$3))</f>
        <v>144</v>
      </c>
      <c r="H56" s="4">
        <f>IF(ISNUMBER(SEARCH("营",'18.04'!P56)),(-$Y56+50*IF('18.04'!$AK56="是",'18.04'!$AZ$4,'18.04'!$AZ$3)),(VLOOKUP('18.04'!P56,'18.04'!$AM$4:$AO$55,2,FALSE))*IF('18.04'!$AK56="是",'18.04'!$AZ$4,'18.04'!$AZ$3))</f>
        <v>144</v>
      </c>
      <c r="I56" s="4">
        <f>IF(ISNUMBER(SEARCH("营",'18.04'!Q56)),(-$Y56+50*IF('18.04'!$AK56="是",'18.04'!$AZ$4,'18.04'!$AZ$3)),(VLOOKUP('18.04'!Q56,'18.04'!$AM$4:$AO$55,2,FALSE))*IF('18.04'!$AK56="是",'18.04'!$AZ$4,'18.04'!$AZ$3))</f>
        <v>152</v>
      </c>
      <c r="J56" s="4">
        <f>IF(ISNUMBER(SEARCH("营",'18.04'!R56)),(-$Y56+50*IF('18.04'!$AK56="是",'18.04'!$AZ$4,'18.04'!$AZ$3)),(VLOOKUP('18.04'!R56,'18.04'!$AM$4:$AO$55,2,FALSE))*IF('18.04'!$AK56="是",'18.04'!$AZ$4,'18.04'!$AZ$3))</f>
        <v>152</v>
      </c>
      <c r="K56" s="4">
        <f>IF(ISNUMBER(SEARCH("营",'18.04'!S56)),(-$Y56+50*IF('18.04'!$AK56="是",'18.04'!$AZ$4,'18.04'!$AZ$3)),(VLOOKUP('18.04'!S56,'18.04'!$AM$4:$AO$55,2,FALSE))*IF('18.04'!$AK56="是",'18.04'!$AZ$4,'18.04'!$AZ$3))</f>
        <v>152</v>
      </c>
      <c r="L56" s="4">
        <f>IF(ISNUMBER(SEARCH("营",'18.04'!T56)),(-$Y56+50*IF('18.04'!$AK56="是",'18.04'!$AZ$4,'18.04'!$AZ$3)),(VLOOKUP('18.04'!T56,'18.04'!$AM$4:$AO$55,2,FALSE))*IF('18.04'!$AK56="是",'18.04'!$AZ$4,'18.04'!$AZ$3))</f>
        <v>152</v>
      </c>
      <c r="M56" s="4">
        <f>IF(ISNUMBER(SEARCH("营",'18.04'!U56)),(-$Y56+50*IF('18.04'!$AK56="是",'18.04'!$AZ$4,'18.04'!$AZ$3)),(VLOOKUP('18.04'!U56,'18.04'!$AM$4:$AO$55,2,FALSE))*IF('18.04'!$AK56="是",'18.04'!$AZ$4,'18.04'!$AZ$3))</f>
        <v>152</v>
      </c>
      <c r="N56" s="4">
        <f>IF(ISNUMBER(SEARCH("营",'18.04'!V56)),(-$Y56+50*IF('18.04'!$AK56="是",'18.04'!$AZ$4,'18.04'!$AZ$3)),(VLOOKUP('18.04'!V56,'18.04'!$AM$4:$AO$55,2,FALSE))*IF('18.04'!$AK56="是",'18.04'!$AZ$4,'18.04'!$AZ$3))</f>
        <v>152</v>
      </c>
      <c r="O56" s="4">
        <f>IF(ISNUMBER(SEARCH("营",'18.04'!W56)),(-$Y56+50*IF('18.04'!$AK56="是",'18.04'!$AZ$4,'18.04'!$AZ$3)),(VLOOKUP('18.04'!W56,'18.04'!$AM$4:$AO$55,2,FALSE))*IF('18.04'!$AK56="是",'18.04'!$AZ$4,'18.04'!$AZ$3))</f>
        <v>152</v>
      </c>
      <c r="P56" s="4">
        <f>IF(ISNUMBER(SEARCH("营",'18.04'!X56)),(-$Y56+50*IF('18.04'!$AK56="是",'18.04'!$AZ$4,'18.04'!$AZ$3)),(VLOOKUP('18.04'!X56,'18.04'!$AM$4:$AO$55,2,FALSE))*IF('18.04'!$AK56="是",'18.04'!$AZ$4,'18.04'!$AZ$3))</f>
        <v>152</v>
      </c>
      <c r="Q56" s="4">
        <f>IF(ISNUMBER(SEARCH("营",'18.04'!Y56)),(-$Y56+50*IF('18.04'!$AK56="是",'18.04'!$AZ$4,'18.04'!$AZ$3)),(VLOOKUP('18.04'!Y56,'18.04'!$AM$4:$AO$55,2,FALSE))*IF('18.04'!$AK56="是",'18.04'!$AZ$4,'18.04'!$AZ$3))</f>
        <v>0</v>
      </c>
      <c r="R56" s="4">
        <f>IF(ISNUMBER(SEARCH("营",'18.04'!Z56)),(-$Y56+50*IF('18.04'!$AK56="是",'18.04'!$AZ$4,'18.04'!$AZ$3)),(VLOOKUP('18.04'!Z56,'18.04'!$AM$4:$AO$55,2,FALSE))*IF('18.04'!$AK56="是",'18.04'!$AZ$4,'18.04'!$AZ$3))</f>
        <v>0</v>
      </c>
      <c r="S56" s="4">
        <f>IF(ISNUMBER(SEARCH("营",'18.04'!AA56)),(-$Y56+50*IF('18.04'!$AK56="是",'18.04'!$AZ$4,'18.04'!$AZ$3)),(VLOOKUP('18.04'!AA56,'18.04'!$AM$4:$AO$55,2,FALSE))*IF('18.04'!$AK56="是",'18.04'!$AZ$4,'18.04'!$AZ$3))</f>
        <v>0</v>
      </c>
      <c r="T56" s="4">
        <f>IF(ISNUMBER(SEARCH("营",'18.04'!AB56)),(-$Y56+50*IF('18.04'!$AK56="是",'18.04'!$AZ$4,'18.04'!$AZ$3)),(VLOOKUP('18.04'!AB56,'18.04'!$AM$4:$AO$55,2,FALSE))*IF('18.04'!$AK56="是",'18.04'!$AZ$4,'18.04'!$AZ$3))</f>
        <v>0</v>
      </c>
      <c r="U56" s="4">
        <f>IF(ISNUMBER(SEARCH("营",'18.04'!AC56)),(-$Y56+50*IF('18.04'!$AK56="是",'18.04'!$AZ$4,'18.04'!$AZ$3)),(VLOOKUP('18.04'!AC56,'18.04'!$AM$4:$AO$55,2,FALSE))*IF('18.04'!$AK56="是",'18.04'!$AZ$4,'18.04'!$AZ$3))</f>
        <v>0</v>
      </c>
      <c r="V56" s="4">
        <f>IF(ISNUMBER(SEARCH("营",'18.04'!AD56)),(-$Y56+50*IF('18.04'!$AK56="是",'18.04'!$AZ$4,'18.04'!$AZ$3)),(VLOOKUP('18.04'!AD56,'18.04'!$AM$4:$AO$55,2,FALSE))*IF('18.04'!$AK56="是",'18.04'!$AZ$4,'18.04'!$AZ$3))</f>
        <v>0</v>
      </c>
      <c r="W56" s="4">
        <f>IF(ISNUMBER(SEARCH("营",'18.04'!AE56)),(-$Y56+50*IF('18.04'!$AK56="是",'18.04'!$AZ$4,'18.04'!$AZ$3)),(VLOOKUP('18.04'!AE56,'18.04'!$AM$4:$AO$55,2,FALSE))*IF('18.04'!$AK56="是",'18.04'!$AZ$4,'18.04'!$AZ$3))</f>
        <v>0</v>
      </c>
      <c r="X56" s="4">
        <f>IF(ISNUMBER(SEARCH("营",'18.04'!AF56)),(-$Y56+50*IF('18.04'!$AK56="是",'18.04'!$AZ$4,'18.04'!$AZ$3)),(VLOOKUP('18.04'!AF56,'18.04'!$AM$4:$AO$55,2,FALSE))*IF('18.04'!$AK56="是",'18.04'!$AZ$4,'18.04'!$AZ$3))</f>
        <v>0</v>
      </c>
      <c r="Y56" s="79">
        <v>150</v>
      </c>
      <c r="Z56" s="99">
        <v>45691</v>
      </c>
    </row>
    <row r="57" spans="1:26">
      <c r="A57" s="4">
        <f>IF(ISNUMBER(SEARCH("营",'18.04'!I57)),(-$Y57+50*IF('18.04'!$AK57="是",'18.04'!$AZ$4,'18.04'!$AZ$3)),(VLOOKUP('18.04'!I57,'18.04'!$AM$4:$AO$55,2,FALSE))*IF('18.04'!$AK57="是",'18.04'!$AZ$4,'18.04'!$AZ$3))</f>
        <v>144</v>
      </c>
      <c r="B57" s="4">
        <f>IF(ISNUMBER(SEARCH("营",'18.04'!J57)),(-$Y57+50*IF('18.04'!$AK57="是",'18.04'!$AZ$4,'18.04'!$AZ$3)),(VLOOKUP('18.04'!J57,'18.04'!$AM$4:$AO$55,2,FALSE))*IF('18.04'!$AK57="是",'18.04'!$AZ$4,'18.04'!$AZ$3))</f>
        <v>144</v>
      </c>
      <c r="C57" s="4">
        <f>IF(ISNUMBER(SEARCH("营",'18.04'!K57)),(-$Y57+50*IF('18.04'!$AK57="是",'18.04'!$AZ$4,'18.04'!$AZ$3)),(VLOOKUP('18.04'!K57,'18.04'!$AM$4:$AO$55,2,FALSE))*IF('18.04'!$AK57="是",'18.04'!$AZ$4,'18.04'!$AZ$3))</f>
        <v>144</v>
      </c>
      <c r="D57" s="4">
        <f>IF(ISNUMBER(SEARCH("营",'18.04'!L57)),(-$Y57+50*IF('18.04'!$AK57="是",'18.04'!$AZ$4,'18.04'!$AZ$3)),(VLOOKUP('18.04'!L57,'18.04'!$AM$4:$AO$55,2,FALSE))*IF('18.04'!$AK57="是",'18.04'!$AZ$4,'18.04'!$AZ$3))</f>
        <v>144</v>
      </c>
      <c r="E57" s="4">
        <f>IF(ISNUMBER(SEARCH("营",'18.04'!M57)),(-$Y57+50*IF('18.04'!$AK57="是",'18.04'!$AZ$4,'18.04'!$AZ$3)),(VLOOKUP('18.04'!M57,'18.04'!$AM$4:$AO$55,2,FALSE))*IF('18.04'!$AK57="是",'18.04'!$AZ$4,'18.04'!$AZ$3))</f>
        <v>144</v>
      </c>
      <c r="F57" s="4">
        <f>IF(ISNUMBER(SEARCH("营",'18.04'!N57)),(-$Y57+50*IF('18.04'!$AK57="是",'18.04'!$AZ$4,'18.04'!$AZ$3)),(VLOOKUP('18.04'!N57,'18.04'!$AM$4:$AO$55,2,FALSE))*IF('18.04'!$AK57="是",'18.04'!$AZ$4,'18.04'!$AZ$3))</f>
        <v>144</v>
      </c>
      <c r="G57" s="4">
        <f>IF(ISNUMBER(SEARCH("营",'18.04'!O57)),(-$Y57+50*IF('18.04'!$AK57="是",'18.04'!$AZ$4,'18.04'!$AZ$3)),(VLOOKUP('18.04'!O57,'18.04'!$AM$4:$AO$55,2,FALSE))*IF('18.04'!$AK57="是",'18.04'!$AZ$4,'18.04'!$AZ$3))</f>
        <v>144</v>
      </c>
      <c r="H57" s="4">
        <f>IF(ISNUMBER(SEARCH("营",'18.04'!P57)),(-$Y57+50*IF('18.04'!$AK57="是",'18.04'!$AZ$4,'18.04'!$AZ$3)),(VLOOKUP('18.04'!P57,'18.04'!$AM$4:$AO$55,2,FALSE))*IF('18.04'!$AK57="是",'18.04'!$AZ$4,'18.04'!$AZ$3))</f>
        <v>144</v>
      </c>
      <c r="I57" s="4">
        <f>IF(ISNUMBER(SEARCH("营",'18.04'!Q57)),(-$Y57+50*IF('18.04'!$AK57="是",'18.04'!$AZ$4,'18.04'!$AZ$3)),(VLOOKUP('18.04'!Q57,'18.04'!$AM$4:$AO$55,2,FALSE))*IF('18.04'!$AK57="是",'18.04'!$AZ$4,'18.04'!$AZ$3))</f>
        <v>152</v>
      </c>
      <c r="J57" s="4">
        <f>IF(ISNUMBER(SEARCH("营",'18.04'!R57)),(-$Y57+50*IF('18.04'!$AK57="是",'18.04'!$AZ$4,'18.04'!$AZ$3)),(VLOOKUP('18.04'!R57,'18.04'!$AM$4:$AO$55,2,FALSE))*IF('18.04'!$AK57="是",'18.04'!$AZ$4,'18.04'!$AZ$3))</f>
        <v>152</v>
      </c>
      <c r="K57" s="4">
        <f>IF(ISNUMBER(SEARCH("营",'18.04'!S57)),(-$Y57+50*IF('18.04'!$AK57="是",'18.04'!$AZ$4,'18.04'!$AZ$3)),(VLOOKUP('18.04'!S57,'18.04'!$AM$4:$AO$55,2,FALSE))*IF('18.04'!$AK57="是",'18.04'!$AZ$4,'18.04'!$AZ$3))</f>
        <v>152</v>
      </c>
      <c r="L57" s="4">
        <f>IF(ISNUMBER(SEARCH("营",'18.04'!T57)),(-$Y57+50*IF('18.04'!$AK57="是",'18.04'!$AZ$4,'18.04'!$AZ$3)),(VLOOKUP('18.04'!T57,'18.04'!$AM$4:$AO$55,2,FALSE))*IF('18.04'!$AK57="是",'18.04'!$AZ$4,'18.04'!$AZ$3))</f>
        <v>152</v>
      </c>
      <c r="M57" s="4">
        <f>IF(ISNUMBER(SEARCH("营",'18.04'!U57)),(-$Y57+50*IF('18.04'!$AK57="是",'18.04'!$AZ$4,'18.04'!$AZ$3)),(VLOOKUP('18.04'!U57,'18.04'!$AM$4:$AO$55,2,FALSE))*IF('18.04'!$AK57="是",'18.04'!$AZ$4,'18.04'!$AZ$3))</f>
        <v>0</v>
      </c>
      <c r="N57" s="4">
        <f>IF(ISNUMBER(SEARCH("营",'18.04'!V57)),(-$Y57+50*IF('18.04'!$AK57="是",'18.04'!$AZ$4,'18.04'!$AZ$3)),(VLOOKUP('18.04'!V57,'18.04'!$AM$4:$AO$55,2,FALSE))*IF('18.04'!$AK57="是",'18.04'!$AZ$4,'18.04'!$AZ$3))</f>
        <v>0</v>
      </c>
      <c r="O57" s="4">
        <f>IF(ISNUMBER(SEARCH("营",'18.04'!W57)),(-$Y57+50*IF('18.04'!$AK57="是",'18.04'!$AZ$4,'18.04'!$AZ$3)),(VLOOKUP('18.04'!W57,'18.04'!$AM$4:$AO$55,2,FALSE))*IF('18.04'!$AK57="是",'18.04'!$AZ$4,'18.04'!$AZ$3))</f>
        <v>0</v>
      </c>
      <c r="P57" s="4">
        <f>IF(ISNUMBER(SEARCH("营",'18.04'!X57)),(-$Y57+50*IF('18.04'!$AK57="是",'18.04'!$AZ$4,'18.04'!$AZ$3)),(VLOOKUP('18.04'!X57,'18.04'!$AM$4:$AO$55,2,FALSE))*IF('18.04'!$AK57="是",'18.04'!$AZ$4,'18.04'!$AZ$3))</f>
        <v>0</v>
      </c>
      <c r="Q57" s="4">
        <f>IF(ISNUMBER(SEARCH("营",'18.04'!Y57)),(-$Y57+50*IF('18.04'!$AK57="是",'18.04'!$AZ$4,'18.04'!$AZ$3)),(VLOOKUP('18.04'!Y57,'18.04'!$AM$4:$AO$55,2,FALSE))*IF('18.04'!$AK57="是",'18.04'!$AZ$4,'18.04'!$AZ$3))</f>
        <v>0</v>
      </c>
      <c r="R57" s="4">
        <f>IF(ISNUMBER(SEARCH("营",'18.04'!Z57)),(-$Y57+50*IF('18.04'!$AK57="是",'18.04'!$AZ$4,'18.04'!$AZ$3)),(VLOOKUP('18.04'!Z57,'18.04'!$AM$4:$AO$55,2,FALSE))*IF('18.04'!$AK57="是",'18.04'!$AZ$4,'18.04'!$AZ$3))</f>
        <v>0</v>
      </c>
      <c r="S57" s="4">
        <f>IF(ISNUMBER(SEARCH("营",'18.04'!AA57)),(-$Y57+50*IF('18.04'!$AK57="是",'18.04'!$AZ$4,'18.04'!$AZ$3)),(VLOOKUP('18.04'!AA57,'18.04'!$AM$4:$AO$55,2,FALSE))*IF('18.04'!$AK57="是",'18.04'!$AZ$4,'18.04'!$AZ$3))</f>
        <v>0</v>
      </c>
      <c r="T57" s="4">
        <f>IF(ISNUMBER(SEARCH("营",'18.04'!AB57)),(-$Y57+50*IF('18.04'!$AK57="是",'18.04'!$AZ$4,'18.04'!$AZ$3)),(VLOOKUP('18.04'!AB57,'18.04'!$AM$4:$AO$55,2,FALSE))*IF('18.04'!$AK57="是",'18.04'!$AZ$4,'18.04'!$AZ$3))</f>
        <v>0</v>
      </c>
      <c r="U57" s="4">
        <f>IF(ISNUMBER(SEARCH("营",'18.04'!AC57)),(-$Y57+50*IF('18.04'!$AK57="是",'18.04'!$AZ$4,'18.04'!$AZ$3)),(VLOOKUP('18.04'!AC57,'18.04'!$AM$4:$AO$55,2,FALSE))*IF('18.04'!$AK57="是",'18.04'!$AZ$4,'18.04'!$AZ$3))</f>
        <v>0</v>
      </c>
      <c r="V57" s="4">
        <f>IF(ISNUMBER(SEARCH("营",'18.04'!AD57)),(-$Y57+50*IF('18.04'!$AK57="是",'18.04'!$AZ$4,'18.04'!$AZ$3)),(VLOOKUP('18.04'!AD57,'18.04'!$AM$4:$AO$55,2,FALSE))*IF('18.04'!$AK57="是",'18.04'!$AZ$4,'18.04'!$AZ$3))</f>
        <v>0</v>
      </c>
      <c r="W57" s="4">
        <f>IF(ISNUMBER(SEARCH("营",'18.04'!AE57)),(-$Y57+50*IF('18.04'!$AK57="是",'18.04'!$AZ$4,'18.04'!$AZ$3)),(VLOOKUP('18.04'!AE57,'18.04'!$AM$4:$AO$55,2,FALSE))*IF('18.04'!$AK57="是",'18.04'!$AZ$4,'18.04'!$AZ$3))</f>
        <v>0</v>
      </c>
      <c r="X57" s="4">
        <f>IF(ISNUMBER(SEARCH("营",'18.04'!AF57)),(-$Y57+50*IF('18.04'!$AK57="是",'18.04'!$AZ$4,'18.04'!$AZ$3)),(VLOOKUP('18.04'!AF57,'18.04'!$AM$4:$AO$55,2,FALSE))*IF('18.04'!$AK57="是",'18.04'!$AZ$4,'18.04'!$AZ$3))</f>
        <v>0</v>
      </c>
      <c r="Y57" s="79">
        <v>150</v>
      </c>
      <c r="Z57" s="99">
        <v>45692</v>
      </c>
    </row>
    <row r="58" spans="1:26">
      <c r="A58" s="4">
        <f>IF(ISNUMBER(SEARCH("营",'18.04'!I58)),(-$Y58+50*IF('18.04'!$AK58="是",'18.04'!$AZ$4,'18.04'!$AZ$3)),(VLOOKUP('18.04'!I58,'18.04'!$AM$4:$AO$55,2,FALSE))*IF('18.04'!$AK58="是",'18.04'!$AZ$4,'18.04'!$AZ$3))</f>
        <v>144</v>
      </c>
      <c r="B58" s="4">
        <f>IF(ISNUMBER(SEARCH("营",'18.04'!J58)),(-$Y58+50*IF('18.04'!$AK58="是",'18.04'!$AZ$4,'18.04'!$AZ$3)),(VLOOKUP('18.04'!J58,'18.04'!$AM$4:$AO$55,2,FALSE))*IF('18.04'!$AK58="是",'18.04'!$AZ$4,'18.04'!$AZ$3))</f>
        <v>144</v>
      </c>
      <c r="C58" s="4">
        <f>IF(ISNUMBER(SEARCH("营",'18.04'!K58)),(-$Y58+50*IF('18.04'!$AK58="是",'18.04'!$AZ$4,'18.04'!$AZ$3)),(VLOOKUP('18.04'!K58,'18.04'!$AM$4:$AO$55,2,FALSE))*IF('18.04'!$AK58="是",'18.04'!$AZ$4,'18.04'!$AZ$3))</f>
        <v>144</v>
      </c>
      <c r="D58" s="4">
        <f>IF(ISNUMBER(SEARCH("营",'18.04'!L58)),(-$Y58+50*IF('18.04'!$AK58="是",'18.04'!$AZ$4,'18.04'!$AZ$3)),(VLOOKUP('18.04'!L58,'18.04'!$AM$4:$AO$55,2,FALSE))*IF('18.04'!$AK58="是",'18.04'!$AZ$4,'18.04'!$AZ$3))</f>
        <v>144</v>
      </c>
      <c r="E58" s="4">
        <f>IF(ISNUMBER(SEARCH("营",'18.04'!M58)),(-$Y58+50*IF('18.04'!$AK58="是",'18.04'!$AZ$4,'18.04'!$AZ$3)),(VLOOKUP('18.04'!M58,'18.04'!$AM$4:$AO$55,2,FALSE))*IF('18.04'!$AK58="是",'18.04'!$AZ$4,'18.04'!$AZ$3))</f>
        <v>144</v>
      </c>
      <c r="F58" s="4">
        <f>IF(ISNUMBER(SEARCH("营",'18.04'!N58)),(-$Y58+50*IF('18.04'!$AK58="是",'18.04'!$AZ$4,'18.04'!$AZ$3)),(VLOOKUP('18.04'!N58,'18.04'!$AM$4:$AO$55,2,FALSE))*IF('18.04'!$AK58="是",'18.04'!$AZ$4,'18.04'!$AZ$3))</f>
        <v>144</v>
      </c>
      <c r="G58" s="4">
        <f>IF(ISNUMBER(SEARCH("营",'18.04'!O58)),(-$Y58+50*IF('18.04'!$AK58="是",'18.04'!$AZ$4,'18.04'!$AZ$3)),(VLOOKUP('18.04'!O58,'18.04'!$AM$4:$AO$55,2,FALSE))*IF('18.04'!$AK58="是",'18.04'!$AZ$4,'18.04'!$AZ$3))</f>
        <v>144</v>
      </c>
      <c r="H58" s="4">
        <f>IF(ISNUMBER(SEARCH("营",'18.04'!P58)),(-$Y58+50*IF('18.04'!$AK58="是",'18.04'!$AZ$4,'18.04'!$AZ$3)),(VLOOKUP('18.04'!P58,'18.04'!$AM$4:$AO$55,2,FALSE))*IF('18.04'!$AK58="是",'18.04'!$AZ$4,'18.04'!$AZ$3))</f>
        <v>144</v>
      </c>
      <c r="I58" s="4">
        <f>IF(ISNUMBER(SEARCH("营",'18.04'!Q58)),(-$Y58+50*IF('18.04'!$AK58="是",'18.04'!$AZ$4,'18.04'!$AZ$3)),(VLOOKUP('18.04'!Q58,'18.04'!$AM$4:$AO$55,2,FALSE))*IF('18.04'!$AK58="是",'18.04'!$AZ$4,'18.04'!$AZ$3))</f>
        <v>160</v>
      </c>
      <c r="J58" s="4">
        <f>IF(ISNUMBER(SEARCH("营",'18.04'!R58)),(-$Y58+50*IF('18.04'!$AK58="是",'18.04'!$AZ$4,'18.04'!$AZ$3)),(VLOOKUP('18.04'!R58,'18.04'!$AM$4:$AO$55,2,FALSE))*IF('18.04'!$AK58="是",'18.04'!$AZ$4,'18.04'!$AZ$3))</f>
        <v>160</v>
      </c>
      <c r="K58" s="4">
        <f>IF(ISNUMBER(SEARCH("营",'18.04'!S58)),(-$Y58+50*IF('18.04'!$AK58="是",'18.04'!$AZ$4,'18.04'!$AZ$3)),(VLOOKUP('18.04'!S58,'18.04'!$AM$4:$AO$55,2,FALSE))*IF('18.04'!$AK58="是",'18.04'!$AZ$4,'18.04'!$AZ$3))</f>
        <v>160</v>
      </c>
      <c r="L58" s="4">
        <f>IF(ISNUMBER(SEARCH("营",'18.04'!T58)),(-$Y58+50*IF('18.04'!$AK58="是",'18.04'!$AZ$4,'18.04'!$AZ$3)),(VLOOKUP('18.04'!T58,'18.04'!$AM$4:$AO$55,2,FALSE))*IF('18.04'!$AK58="是",'18.04'!$AZ$4,'18.04'!$AZ$3))</f>
        <v>160</v>
      </c>
      <c r="M58" s="4">
        <f>IF(ISNUMBER(SEARCH("营",'18.04'!U58)),(-$Y58+50*IF('18.04'!$AK58="是",'18.04'!$AZ$4,'18.04'!$AZ$3)),(VLOOKUP('18.04'!U58,'18.04'!$AM$4:$AO$55,2,FALSE))*IF('18.04'!$AK58="是",'18.04'!$AZ$4,'18.04'!$AZ$3))</f>
        <v>160</v>
      </c>
      <c r="N58" s="4">
        <f>IF(ISNUMBER(SEARCH("营",'18.04'!V58)),(-$Y58+50*IF('18.04'!$AK58="是",'18.04'!$AZ$4,'18.04'!$AZ$3)),(VLOOKUP('18.04'!V58,'18.04'!$AM$4:$AO$55,2,FALSE))*IF('18.04'!$AK58="是",'18.04'!$AZ$4,'18.04'!$AZ$3))</f>
        <v>160</v>
      </c>
      <c r="O58" s="4">
        <f>IF(ISNUMBER(SEARCH("营",'18.04'!W58)),(-$Y58+50*IF('18.04'!$AK58="是",'18.04'!$AZ$4,'18.04'!$AZ$3)),(VLOOKUP('18.04'!W58,'18.04'!$AM$4:$AO$55,2,FALSE))*IF('18.04'!$AK58="是",'18.04'!$AZ$4,'18.04'!$AZ$3))</f>
        <v>160</v>
      </c>
      <c r="P58" s="4">
        <f>IF(ISNUMBER(SEARCH("营",'18.04'!X58)),(-$Y58+50*IF('18.04'!$AK58="是",'18.04'!$AZ$4,'18.04'!$AZ$3)),(VLOOKUP('18.04'!X58,'18.04'!$AM$4:$AO$55,2,FALSE))*IF('18.04'!$AK58="是",'18.04'!$AZ$4,'18.04'!$AZ$3))</f>
        <v>160</v>
      </c>
      <c r="Q58" s="4">
        <f>IF(ISNUMBER(SEARCH("营",'18.04'!Y58)),(-$Y58+50*IF('18.04'!$AK58="是",'18.04'!$AZ$4,'18.04'!$AZ$3)),(VLOOKUP('18.04'!Y58,'18.04'!$AM$4:$AO$55,2,FALSE))*IF('18.04'!$AK58="是",'18.04'!$AZ$4,'18.04'!$AZ$3))</f>
        <v>0</v>
      </c>
      <c r="R58" s="4">
        <f>IF(ISNUMBER(SEARCH("营",'18.04'!Z58)),(-$Y58+50*IF('18.04'!$AK58="是",'18.04'!$AZ$4,'18.04'!$AZ$3)),(VLOOKUP('18.04'!Z58,'18.04'!$AM$4:$AO$55,2,FALSE))*IF('18.04'!$AK58="是",'18.04'!$AZ$4,'18.04'!$AZ$3))</f>
        <v>0</v>
      </c>
      <c r="S58" s="4">
        <f>IF(ISNUMBER(SEARCH("营",'18.04'!AA58)),(-$Y58+50*IF('18.04'!$AK58="是",'18.04'!$AZ$4,'18.04'!$AZ$3)),(VLOOKUP('18.04'!AA58,'18.04'!$AM$4:$AO$55,2,FALSE))*IF('18.04'!$AK58="是",'18.04'!$AZ$4,'18.04'!$AZ$3))</f>
        <v>0</v>
      </c>
      <c r="T58" s="4">
        <f>IF(ISNUMBER(SEARCH("营",'18.04'!AB58)),(-$Y58+50*IF('18.04'!$AK58="是",'18.04'!$AZ$4,'18.04'!$AZ$3)),(VLOOKUP('18.04'!AB58,'18.04'!$AM$4:$AO$55,2,FALSE))*IF('18.04'!$AK58="是",'18.04'!$AZ$4,'18.04'!$AZ$3))</f>
        <v>0</v>
      </c>
      <c r="U58" s="4">
        <f>IF(ISNUMBER(SEARCH("营",'18.04'!AC58)),(-$Y58+50*IF('18.04'!$AK58="是",'18.04'!$AZ$4,'18.04'!$AZ$3)),(VLOOKUP('18.04'!AC58,'18.04'!$AM$4:$AO$55,2,FALSE))*IF('18.04'!$AK58="是",'18.04'!$AZ$4,'18.04'!$AZ$3))</f>
        <v>0</v>
      </c>
      <c r="V58" s="4">
        <f>IF(ISNUMBER(SEARCH("营",'18.04'!AD58)),(-$Y58+50*IF('18.04'!$AK58="是",'18.04'!$AZ$4,'18.04'!$AZ$3)),(VLOOKUP('18.04'!AD58,'18.04'!$AM$4:$AO$55,2,FALSE))*IF('18.04'!$AK58="是",'18.04'!$AZ$4,'18.04'!$AZ$3))</f>
        <v>0</v>
      </c>
      <c r="W58" s="4">
        <f>IF(ISNUMBER(SEARCH("营",'18.04'!AE58)),(-$Y58+50*IF('18.04'!$AK58="是",'18.04'!$AZ$4,'18.04'!$AZ$3)),(VLOOKUP('18.04'!AE58,'18.04'!$AM$4:$AO$55,2,FALSE))*IF('18.04'!$AK58="是",'18.04'!$AZ$4,'18.04'!$AZ$3))</f>
        <v>0</v>
      </c>
      <c r="X58" s="4">
        <f>IF(ISNUMBER(SEARCH("营",'18.04'!AF58)),(-$Y58+50*IF('18.04'!$AK58="是",'18.04'!$AZ$4,'18.04'!$AZ$3)),(VLOOKUP('18.04'!AF58,'18.04'!$AM$4:$AO$55,2,FALSE))*IF('18.04'!$AK58="是",'18.04'!$AZ$4,'18.04'!$AZ$3))</f>
        <v>0</v>
      </c>
      <c r="Y58" s="79">
        <v>150</v>
      </c>
      <c r="Z58" s="99">
        <v>45693</v>
      </c>
    </row>
    <row r="59" spans="1:26">
      <c r="A59" s="4">
        <f>IF(ISNUMBER(SEARCH("营",'18.04'!I59)),(-$Y59+50*IF('18.04'!$AK59="是",'18.04'!$AZ$4,'18.04'!$AZ$3)),(VLOOKUP('18.04'!I59,'18.04'!$AM$4:$AO$55,2,FALSE))*IF('18.04'!$AK59="是",'18.04'!$AZ$4,'18.04'!$AZ$3))</f>
        <v>144</v>
      </c>
      <c r="B59" s="4">
        <f>IF(ISNUMBER(SEARCH("营",'18.04'!J59)),(-$Y59+50*IF('18.04'!$AK59="是",'18.04'!$AZ$4,'18.04'!$AZ$3)),(VLOOKUP('18.04'!J59,'18.04'!$AM$4:$AO$55,2,FALSE))*IF('18.04'!$AK59="是",'18.04'!$AZ$4,'18.04'!$AZ$3))</f>
        <v>144</v>
      </c>
      <c r="C59" s="4">
        <f>IF(ISNUMBER(SEARCH("营",'18.04'!K59)),(-$Y59+50*IF('18.04'!$AK59="是",'18.04'!$AZ$4,'18.04'!$AZ$3)),(VLOOKUP('18.04'!K59,'18.04'!$AM$4:$AO$55,2,FALSE))*IF('18.04'!$AK59="是",'18.04'!$AZ$4,'18.04'!$AZ$3))</f>
        <v>144</v>
      </c>
      <c r="D59" s="4">
        <f>IF(ISNUMBER(SEARCH("营",'18.04'!L59)),(-$Y59+50*IF('18.04'!$AK59="是",'18.04'!$AZ$4,'18.04'!$AZ$3)),(VLOOKUP('18.04'!L59,'18.04'!$AM$4:$AO$55,2,FALSE))*IF('18.04'!$AK59="是",'18.04'!$AZ$4,'18.04'!$AZ$3))</f>
        <v>144</v>
      </c>
      <c r="E59" s="4">
        <f>IF(ISNUMBER(SEARCH("营",'18.04'!M59)),(-$Y59+50*IF('18.04'!$AK59="是",'18.04'!$AZ$4,'18.04'!$AZ$3)),(VLOOKUP('18.04'!M59,'18.04'!$AM$4:$AO$55,2,FALSE))*IF('18.04'!$AK59="是",'18.04'!$AZ$4,'18.04'!$AZ$3))</f>
        <v>144</v>
      </c>
      <c r="F59" s="4">
        <f>IF(ISNUMBER(SEARCH("营",'18.04'!N59)),(-$Y59+50*IF('18.04'!$AK59="是",'18.04'!$AZ$4,'18.04'!$AZ$3)),(VLOOKUP('18.04'!N59,'18.04'!$AM$4:$AO$55,2,FALSE))*IF('18.04'!$AK59="是",'18.04'!$AZ$4,'18.04'!$AZ$3))</f>
        <v>144</v>
      </c>
      <c r="G59" s="4">
        <f>IF(ISNUMBER(SEARCH("营",'18.04'!O59)),(-$Y59+50*IF('18.04'!$AK59="是",'18.04'!$AZ$4,'18.04'!$AZ$3)),(VLOOKUP('18.04'!O59,'18.04'!$AM$4:$AO$55,2,FALSE))*IF('18.04'!$AK59="是",'18.04'!$AZ$4,'18.04'!$AZ$3))</f>
        <v>144</v>
      </c>
      <c r="H59" s="4">
        <f>IF(ISNUMBER(SEARCH("营",'18.04'!P59)),(-$Y59+50*IF('18.04'!$AK59="是",'18.04'!$AZ$4,'18.04'!$AZ$3)),(VLOOKUP('18.04'!P59,'18.04'!$AM$4:$AO$55,2,FALSE))*IF('18.04'!$AK59="是",'18.04'!$AZ$4,'18.04'!$AZ$3))</f>
        <v>144</v>
      </c>
      <c r="I59" s="4">
        <f>IF(ISNUMBER(SEARCH("营",'18.04'!Q59)),(-$Y59+50*IF('18.04'!$AK59="是",'18.04'!$AZ$4,'18.04'!$AZ$3)),(VLOOKUP('18.04'!Q59,'18.04'!$AM$4:$AO$55,2,FALSE))*IF('18.04'!$AK59="是",'18.04'!$AZ$4,'18.04'!$AZ$3))</f>
        <v>160</v>
      </c>
      <c r="J59" s="4">
        <f>IF(ISNUMBER(SEARCH("营",'18.04'!R59)),(-$Y59+50*IF('18.04'!$AK59="是",'18.04'!$AZ$4,'18.04'!$AZ$3)),(VLOOKUP('18.04'!R59,'18.04'!$AM$4:$AO$55,2,FALSE))*IF('18.04'!$AK59="是",'18.04'!$AZ$4,'18.04'!$AZ$3))</f>
        <v>160</v>
      </c>
      <c r="K59" s="4">
        <f>IF(ISNUMBER(SEARCH("营",'18.04'!S59)),(-$Y59+50*IF('18.04'!$AK59="是",'18.04'!$AZ$4,'18.04'!$AZ$3)),(VLOOKUP('18.04'!S59,'18.04'!$AM$4:$AO$55,2,FALSE))*IF('18.04'!$AK59="是",'18.04'!$AZ$4,'18.04'!$AZ$3))</f>
        <v>160</v>
      </c>
      <c r="L59" s="4">
        <f>IF(ISNUMBER(SEARCH("营",'18.04'!T59)),(-$Y59+50*IF('18.04'!$AK59="是",'18.04'!$AZ$4,'18.04'!$AZ$3)),(VLOOKUP('18.04'!T59,'18.04'!$AM$4:$AO$55,2,FALSE))*IF('18.04'!$AK59="是",'18.04'!$AZ$4,'18.04'!$AZ$3))</f>
        <v>160</v>
      </c>
      <c r="M59" s="4">
        <f>IF(ISNUMBER(SEARCH("营",'18.04'!U59)),(-$Y59+50*IF('18.04'!$AK59="是",'18.04'!$AZ$4,'18.04'!$AZ$3)),(VLOOKUP('18.04'!U59,'18.04'!$AM$4:$AO$55,2,FALSE))*IF('18.04'!$AK59="是",'18.04'!$AZ$4,'18.04'!$AZ$3))</f>
        <v>160</v>
      </c>
      <c r="N59" s="4">
        <f>IF(ISNUMBER(SEARCH("营",'18.04'!V59)),(-$Y59+50*IF('18.04'!$AK59="是",'18.04'!$AZ$4,'18.04'!$AZ$3)),(VLOOKUP('18.04'!V59,'18.04'!$AM$4:$AO$55,2,FALSE))*IF('18.04'!$AK59="是",'18.04'!$AZ$4,'18.04'!$AZ$3))</f>
        <v>160</v>
      </c>
      <c r="O59" s="4">
        <f>IF(ISNUMBER(SEARCH("营",'18.04'!W59)),(-$Y59+50*IF('18.04'!$AK59="是",'18.04'!$AZ$4,'18.04'!$AZ$3)),(VLOOKUP('18.04'!W59,'18.04'!$AM$4:$AO$55,2,FALSE))*IF('18.04'!$AK59="是",'18.04'!$AZ$4,'18.04'!$AZ$3))</f>
        <v>160</v>
      </c>
      <c r="P59" s="4">
        <f>IF(ISNUMBER(SEARCH("营",'18.04'!X59)),(-$Y59+50*IF('18.04'!$AK59="是",'18.04'!$AZ$4,'18.04'!$AZ$3)),(VLOOKUP('18.04'!X59,'18.04'!$AM$4:$AO$55,2,FALSE))*IF('18.04'!$AK59="是",'18.04'!$AZ$4,'18.04'!$AZ$3))</f>
        <v>160</v>
      </c>
      <c r="Q59" s="4">
        <f>IF(ISNUMBER(SEARCH("营",'18.04'!Y59)),(-$Y59+50*IF('18.04'!$AK59="是",'18.04'!$AZ$4,'18.04'!$AZ$3)),(VLOOKUP('18.04'!Y59,'18.04'!$AM$4:$AO$55,2,FALSE))*IF('18.04'!$AK59="是",'18.04'!$AZ$4,'18.04'!$AZ$3))</f>
        <v>0</v>
      </c>
      <c r="R59" s="4">
        <f>IF(ISNUMBER(SEARCH("营",'18.04'!Z59)),(-$Y59+50*IF('18.04'!$AK59="是",'18.04'!$AZ$4,'18.04'!$AZ$3)),(VLOOKUP('18.04'!Z59,'18.04'!$AM$4:$AO$55,2,FALSE))*IF('18.04'!$AK59="是",'18.04'!$AZ$4,'18.04'!$AZ$3))</f>
        <v>0</v>
      </c>
      <c r="S59" s="4">
        <f>IF(ISNUMBER(SEARCH("营",'18.04'!AA59)),(-$Y59+50*IF('18.04'!$AK59="是",'18.04'!$AZ$4,'18.04'!$AZ$3)),(VLOOKUP('18.04'!AA59,'18.04'!$AM$4:$AO$55,2,FALSE))*IF('18.04'!$AK59="是",'18.04'!$AZ$4,'18.04'!$AZ$3))</f>
        <v>0</v>
      </c>
      <c r="T59" s="4">
        <f>IF(ISNUMBER(SEARCH("营",'18.04'!AB59)),(-$Y59+50*IF('18.04'!$AK59="是",'18.04'!$AZ$4,'18.04'!$AZ$3)),(VLOOKUP('18.04'!AB59,'18.04'!$AM$4:$AO$55,2,FALSE))*IF('18.04'!$AK59="是",'18.04'!$AZ$4,'18.04'!$AZ$3))</f>
        <v>0</v>
      </c>
      <c r="U59" s="4">
        <f>IF(ISNUMBER(SEARCH("营",'18.04'!AC59)),(-$Y59+50*IF('18.04'!$AK59="是",'18.04'!$AZ$4,'18.04'!$AZ$3)),(VLOOKUP('18.04'!AC59,'18.04'!$AM$4:$AO$55,2,FALSE))*IF('18.04'!$AK59="是",'18.04'!$AZ$4,'18.04'!$AZ$3))</f>
        <v>0</v>
      </c>
      <c r="V59" s="4">
        <f>IF(ISNUMBER(SEARCH("营",'18.04'!AD59)),(-$Y59+50*IF('18.04'!$AK59="是",'18.04'!$AZ$4,'18.04'!$AZ$3)),(VLOOKUP('18.04'!AD59,'18.04'!$AM$4:$AO$55,2,FALSE))*IF('18.04'!$AK59="是",'18.04'!$AZ$4,'18.04'!$AZ$3))</f>
        <v>0</v>
      </c>
      <c r="W59" s="4">
        <f>IF(ISNUMBER(SEARCH("营",'18.04'!AE59)),(-$Y59+50*IF('18.04'!$AK59="是",'18.04'!$AZ$4,'18.04'!$AZ$3)),(VLOOKUP('18.04'!AE59,'18.04'!$AM$4:$AO$55,2,FALSE))*IF('18.04'!$AK59="是",'18.04'!$AZ$4,'18.04'!$AZ$3))</f>
        <v>0</v>
      </c>
      <c r="X59" s="4">
        <f>IF(ISNUMBER(SEARCH("营",'18.04'!AF59)),(-$Y59+50*IF('18.04'!$AK59="是",'18.04'!$AZ$4,'18.04'!$AZ$3)),(VLOOKUP('18.04'!AF59,'18.04'!$AM$4:$AO$55,2,FALSE))*IF('18.04'!$AK59="是",'18.04'!$AZ$4,'18.04'!$AZ$3))</f>
        <v>0</v>
      </c>
      <c r="Y59" s="79">
        <v>150</v>
      </c>
      <c r="Z59" s="99">
        <v>45694</v>
      </c>
    </row>
    <row r="60" spans="1:26">
      <c r="A60" s="4">
        <f>IF(ISNUMBER(SEARCH("营",'18.04'!I60)),(-$Y60+50*IF('18.04'!$AK60="是",'18.04'!$AZ$4,'18.04'!$AZ$3)),(VLOOKUP('18.04'!I60,'18.04'!$AM$4:$AO$55,2,FALSE))*IF('18.04'!$AK60="是",'18.04'!$AZ$4,'18.04'!$AZ$3))</f>
        <v>144</v>
      </c>
      <c r="B60" s="4">
        <f>IF(ISNUMBER(SEARCH("营",'18.04'!J60)),(-$Y60+50*IF('18.04'!$AK60="是",'18.04'!$AZ$4,'18.04'!$AZ$3)),(VLOOKUP('18.04'!J60,'18.04'!$AM$4:$AO$55,2,FALSE))*IF('18.04'!$AK60="是",'18.04'!$AZ$4,'18.04'!$AZ$3))</f>
        <v>144</v>
      </c>
      <c r="C60" s="4">
        <f>IF(ISNUMBER(SEARCH("营",'18.04'!K60)),(-$Y60+50*IF('18.04'!$AK60="是",'18.04'!$AZ$4,'18.04'!$AZ$3)),(VLOOKUP('18.04'!K60,'18.04'!$AM$4:$AO$55,2,FALSE))*IF('18.04'!$AK60="是",'18.04'!$AZ$4,'18.04'!$AZ$3))</f>
        <v>144</v>
      </c>
      <c r="D60" s="4">
        <f>IF(ISNUMBER(SEARCH("营",'18.04'!L60)),(-$Y60+50*IF('18.04'!$AK60="是",'18.04'!$AZ$4,'18.04'!$AZ$3)),(VLOOKUP('18.04'!L60,'18.04'!$AM$4:$AO$55,2,FALSE))*IF('18.04'!$AK60="是",'18.04'!$AZ$4,'18.04'!$AZ$3))</f>
        <v>144</v>
      </c>
      <c r="E60" s="4">
        <f>IF(ISNUMBER(SEARCH("营",'18.04'!M60)),(-$Y60+50*IF('18.04'!$AK60="是",'18.04'!$AZ$4,'18.04'!$AZ$3)),(VLOOKUP('18.04'!M60,'18.04'!$AM$4:$AO$55,2,FALSE))*IF('18.04'!$AK60="是",'18.04'!$AZ$4,'18.04'!$AZ$3))</f>
        <v>144</v>
      </c>
      <c r="F60" s="4">
        <f>IF(ISNUMBER(SEARCH("营",'18.04'!N60)),(-$Y60+50*IF('18.04'!$AK60="是",'18.04'!$AZ$4,'18.04'!$AZ$3)),(VLOOKUP('18.04'!N60,'18.04'!$AM$4:$AO$55,2,FALSE))*IF('18.04'!$AK60="是",'18.04'!$AZ$4,'18.04'!$AZ$3))</f>
        <v>144</v>
      </c>
      <c r="G60" s="4">
        <f>IF(ISNUMBER(SEARCH("营",'18.04'!O60)),(-$Y60+50*IF('18.04'!$AK60="是",'18.04'!$AZ$4,'18.04'!$AZ$3)),(VLOOKUP('18.04'!O60,'18.04'!$AM$4:$AO$55,2,FALSE))*IF('18.04'!$AK60="是",'18.04'!$AZ$4,'18.04'!$AZ$3))</f>
        <v>144</v>
      </c>
      <c r="H60" s="4">
        <f>IF(ISNUMBER(SEARCH("营",'18.04'!P60)),(-$Y60+50*IF('18.04'!$AK60="是",'18.04'!$AZ$4,'18.04'!$AZ$3)),(VLOOKUP('18.04'!P60,'18.04'!$AM$4:$AO$55,2,FALSE))*IF('18.04'!$AK60="是",'18.04'!$AZ$4,'18.04'!$AZ$3))</f>
        <v>144</v>
      </c>
      <c r="I60" s="4">
        <f>IF(ISNUMBER(SEARCH("营",'18.04'!Q60)),(-$Y60+50*IF('18.04'!$AK60="是",'18.04'!$AZ$4,'18.04'!$AZ$3)),(VLOOKUP('18.04'!Q60,'18.04'!$AM$4:$AO$55,2,FALSE))*IF('18.04'!$AK60="是",'18.04'!$AZ$4,'18.04'!$AZ$3))</f>
        <v>160</v>
      </c>
      <c r="J60" s="4">
        <f>IF(ISNUMBER(SEARCH("营",'18.04'!R60)),(-$Y60+50*IF('18.04'!$AK60="是",'18.04'!$AZ$4,'18.04'!$AZ$3)),(VLOOKUP('18.04'!R60,'18.04'!$AM$4:$AO$55,2,FALSE))*IF('18.04'!$AK60="是",'18.04'!$AZ$4,'18.04'!$AZ$3))</f>
        <v>160</v>
      </c>
      <c r="K60" s="4">
        <f>IF(ISNUMBER(SEARCH("营",'18.04'!S60)),(-$Y60+50*IF('18.04'!$AK60="是",'18.04'!$AZ$4,'18.04'!$AZ$3)),(VLOOKUP('18.04'!S60,'18.04'!$AM$4:$AO$55,2,FALSE))*IF('18.04'!$AK60="是",'18.04'!$AZ$4,'18.04'!$AZ$3))</f>
        <v>160</v>
      </c>
      <c r="L60" s="4">
        <f>IF(ISNUMBER(SEARCH("营",'18.04'!T60)),(-$Y60+50*IF('18.04'!$AK60="是",'18.04'!$AZ$4,'18.04'!$AZ$3)),(VLOOKUP('18.04'!T60,'18.04'!$AM$4:$AO$55,2,FALSE))*IF('18.04'!$AK60="是",'18.04'!$AZ$4,'18.04'!$AZ$3))</f>
        <v>160</v>
      </c>
      <c r="M60" s="4">
        <f>IF(ISNUMBER(SEARCH("营",'18.04'!U60)),(-$Y60+50*IF('18.04'!$AK60="是",'18.04'!$AZ$4,'18.04'!$AZ$3)),(VLOOKUP('18.04'!U60,'18.04'!$AM$4:$AO$55,2,FALSE))*IF('18.04'!$AK60="是",'18.04'!$AZ$4,'18.04'!$AZ$3))</f>
        <v>160</v>
      </c>
      <c r="N60" s="4">
        <f>IF(ISNUMBER(SEARCH("营",'18.04'!V60)),(-$Y60+50*IF('18.04'!$AK60="是",'18.04'!$AZ$4,'18.04'!$AZ$3)),(VLOOKUP('18.04'!V60,'18.04'!$AM$4:$AO$55,2,FALSE))*IF('18.04'!$AK60="是",'18.04'!$AZ$4,'18.04'!$AZ$3))</f>
        <v>160</v>
      </c>
      <c r="O60" s="4">
        <f>IF(ISNUMBER(SEARCH("营",'18.04'!W60)),(-$Y60+50*IF('18.04'!$AK60="是",'18.04'!$AZ$4,'18.04'!$AZ$3)),(VLOOKUP('18.04'!W60,'18.04'!$AM$4:$AO$55,2,FALSE))*IF('18.04'!$AK60="是",'18.04'!$AZ$4,'18.04'!$AZ$3))</f>
        <v>160</v>
      </c>
      <c r="P60" s="4">
        <f>IF(ISNUMBER(SEARCH("营",'18.04'!X60)),(-$Y60+50*IF('18.04'!$AK60="是",'18.04'!$AZ$4,'18.04'!$AZ$3)),(VLOOKUP('18.04'!X60,'18.04'!$AM$4:$AO$55,2,FALSE))*IF('18.04'!$AK60="是",'18.04'!$AZ$4,'18.04'!$AZ$3))</f>
        <v>160</v>
      </c>
      <c r="Q60" s="4">
        <f>IF(ISNUMBER(SEARCH("营",'18.04'!Y60)),(-$Y60+50*IF('18.04'!$AK60="是",'18.04'!$AZ$4,'18.04'!$AZ$3)),(VLOOKUP('18.04'!Y60,'18.04'!$AM$4:$AO$55,2,FALSE))*IF('18.04'!$AK60="是",'18.04'!$AZ$4,'18.04'!$AZ$3))</f>
        <v>0</v>
      </c>
      <c r="R60" s="4">
        <f>IF(ISNUMBER(SEARCH("营",'18.04'!Z60)),(-$Y60+50*IF('18.04'!$AK60="是",'18.04'!$AZ$4,'18.04'!$AZ$3)),(VLOOKUP('18.04'!Z60,'18.04'!$AM$4:$AO$55,2,FALSE))*IF('18.04'!$AK60="是",'18.04'!$AZ$4,'18.04'!$AZ$3))</f>
        <v>0</v>
      </c>
      <c r="S60" s="4">
        <f>IF(ISNUMBER(SEARCH("营",'18.04'!AA60)),(-$Y60+50*IF('18.04'!$AK60="是",'18.04'!$AZ$4,'18.04'!$AZ$3)),(VLOOKUP('18.04'!AA60,'18.04'!$AM$4:$AO$55,2,FALSE))*IF('18.04'!$AK60="是",'18.04'!$AZ$4,'18.04'!$AZ$3))</f>
        <v>0</v>
      </c>
      <c r="T60" s="4">
        <f>IF(ISNUMBER(SEARCH("营",'18.04'!AB60)),(-$Y60+50*IF('18.04'!$AK60="是",'18.04'!$AZ$4,'18.04'!$AZ$3)),(VLOOKUP('18.04'!AB60,'18.04'!$AM$4:$AO$55,2,FALSE))*IF('18.04'!$AK60="是",'18.04'!$AZ$4,'18.04'!$AZ$3))</f>
        <v>0</v>
      </c>
      <c r="U60" s="4">
        <f>IF(ISNUMBER(SEARCH("营",'18.04'!AC60)),(-$Y60+50*IF('18.04'!$AK60="是",'18.04'!$AZ$4,'18.04'!$AZ$3)),(VLOOKUP('18.04'!AC60,'18.04'!$AM$4:$AO$55,2,FALSE))*IF('18.04'!$AK60="是",'18.04'!$AZ$4,'18.04'!$AZ$3))</f>
        <v>0</v>
      </c>
      <c r="V60" s="4">
        <f>IF(ISNUMBER(SEARCH("营",'18.04'!AD60)),(-$Y60+50*IF('18.04'!$AK60="是",'18.04'!$AZ$4,'18.04'!$AZ$3)),(VLOOKUP('18.04'!AD60,'18.04'!$AM$4:$AO$55,2,FALSE))*IF('18.04'!$AK60="是",'18.04'!$AZ$4,'18.04'!$AZ$3))</f>
        <v>0</v>
      </c>
      <c r="W60" s="4">
        <f>IF(ISNUMBER(SEARCH("营",'18.04'!AE60)),(-$Y60+50*IF('18.04'!$AK60="是",'18.04'!$AZ$4,'18.04'!$AZ$3)),(VLOOKUP('18.04'!AE60,'18.04'!$AM$4:$AO$55,2,FALSE))*IF('18.04'!$AK60="是",'18.04'!$AZ$4,'18.04'!$AZ$3))</f>
        <v>0</v>
      </c>
      <c r="X60" s="4">
        <f>IF(ISNUMBER(SEARCH("营",'18.04'!AF60)),(-$Y60+50*IF('18.04'!$AK60="是",'18.04'!$AZ$4,'18.04'!$AZ$3)),(VLOOKUP('18.04'!AF60,'18.04'!$AM$4:$AO$55,2,FALSE))*IF('18.04'!$AK60="是",'18.04'!$AZ$4,'18.04'!$AZ$3))</f>
        <v>0</v>
      </c>
      <c r="Y60" s="78">
        <v>100</v>
      </c>
      <c r="Z60" s="90">
        <v>45695</v>
      </c>
    </row>
    <row r="61" spans="1:26">
      <c r="A61" s="4">
        <f>IF(ISNUMBER(SEARCH("营",'18.04'!I61)),(-$Y61+50*IF('18.04'!$AK61="是",'18.04'!$AZ$4,'18.04'!$AZ$3)),(VLOOKUP('18.04'!I61,'18.04'!$AM$4:$AO$55,2,FALSE))*IF('18.04'!$AK61="是",'18.04'!$AZ$4,'18.04'!$AZ$3))</f>
        <v>144</v>
      </c>
      <c r="B61" s="4">
        <f>IF(ISNUMBER(SEARCH("营",'18.04'!J61)),(-$Y61+50*IF('18.04'!$AK61="是",'18.04'!$AZ$4,'18.04'!$AZ$3)),(VLOOKUP('18.04'!J61,'18.04'!$AM$4:$AO$55,2,FALSE))*IF('18.04'!$AK61="是",'18.04'!$AZ$4,'18.04'!$AZ$3))</f>
        <v>144</v>
      </c>
      <c r="C61" s="4">
        <f>IF(ISNUMBER(SEARCH("营",'18.04'!K61)),(-$Y61+50*IF('18.04'!$AK61="是",'18.04'!$AZ$4,'18.04'!$AZ$3)),(VLOOKUP('18.04'!K61,'18.04'!$AM$4:$AO$55,2,FALSE))*IF('18.04'!$AK61="是",'18.04'!$AZ$4,'18.04'!$AZ$3))</f>
        <v>144</v>
      </c>
      <c r="D61" s="4">
        <f>IF(ISNUMBER(SEARCH("营",'18.04'!L61)),(-$Y61+50*IF('18.04'!$AK61="是",'18.04'!$AZ$4,'18.04'!$AZ$3)),(VLOOKUP('18.04'!L61,'18.04'!$AM$4:$AO$55,2,FALSE))*IF('18.04'!$AK61="是",'18.04'!$AZ$4,'18.04'!$AZ$3))</f>
        <v>144</v>
      </c>
      <c r="E61" s="4">
        <f>IF(ISNUMBER(SEARCH("营",'18.04'!M61)),(-$Y61+50*IF('18.04'!$AK61="是",'18.04'!$AZ$4,'18.04'!$AZ$3)),(VLOOKUP('18.04'!M61,'18.04'!$AM$4:$AO$55,2,FALSE))*IF('18.04'!$AK61="是",'18.04'!$AZ$4,'18.04'!$AZ$3))</f>
        <v>144</v>
      </c>
      <c r="F61" s="4">
        <f>IF(ISNUMBER(SEARCH("营",'18.04'!N61)),(-$Y61+50*IF('18.04'!$AK61="是",'18.04'!$AZ$4,'18.04'!$AZ$3)),(VLOOKUP('18.04'!N61,'18.04'!$AM$4:$AO$55,2,FALSE))*IF('18.04'!$AK61="是",'18.04'!$AZ$4,'18.04'!$AZ$3))</f>
        <v>144</v>
      </c>
      <c r="G61" s="4">
        <f>IF(ISNUMBER(SEARCH("营",'18.04'!O61)),(-$Y61+50*IF('18.04'!$AK61="是",'18.04'!$AZ$4,'18.04'!$AZ$3)),(VLOOKUP('18.04'!O61,'18.04'!$AM$4:$AO$55,2,FALSE))*IF('18.04'!$AK61="是",'18.04'!$AZ$4,'18.04'!$AZ$3))</f>
        <v>144</v>
      </c>
      <c r="H61" s="4">
        <f>IF(ISNUMBER(SEARCH("营",'18.04'!P61)),(-$Y61+50*IF('18.04'!$AK61="是",'18.04'!$AZ$4,'18.04'!$AZ$3)),(VLOOKUP('18.04'!P61,'18.04'!$AM$4:$AO$55,2,FALSE))*IF('18.04'!$AK61="是",'18.04'!$AZ$4,'18.04'!$AZ$3))</f>
        <v>144</v>
      </c>
      <c r="I61" s="4">
        <f>IF(ISNUMBER(SEARCH("营",'18.04'!Q61)),(-$Y61+50*IF('18.04'!$AK61="是",'18.04'!$AZ$4,'18.04'!$AZ$3)),(VLOOKUP('18.04'!Q61,'18.04'!$AM$4:$AO$55,2,FALSE))*IF('18.04'!$AK61="是",'18.04'!$AZ$4,'18.04'!$AZ$3))</f>
        <v>160</v>
      </c>
      <c r="J61" s="4">
        <f>IF(ISNUMBER(SEARCH("营",'18.04'!R61)),(-$Y61+50*IF('18.04'!$AK61="是",'18.04'!$AZ$4,'18.04'!$AZ$3)),(VLOOKUP('18.04'!R61,'18.04'!$AM$4:$AO$55,2,FALSE))*IF('18.04'!$AK61="是",'18.04'!$AZ$4,'18.04'!$AZ$3))</f>
        <v>160</v>
      </c>
      <c r="K61" s="4">
        <f>IF(ISNUMBER(SEARCH("营",'18.04'!S61)),(-$Y61+50*IF('18.04'!$AK61="是",'18.04'!$AZ$4,'18.04'!$AZ$3)),(VLOOKUP('18.04'!S61,'18.04'!$AM$4:$AO$55,2,FALSE))*IF('18.04'!$AK61="是",'18.04'!$AZ$4,'18.04'!$AZ$3))</f>
        <v>160</v>
      </c>
      <c r="L61" s="4">
        <f>IF(ISNUMBER(SEARCH("营",'18.04'!T61)),(-$Y61+50*IF('18.04'!$AK61="是",'18.04'!$AZ$4,'18.04'!$AZ$3)),(VLOOKUP('18.04'!T61,'18.04'!$AM$4:$AO$55,2,FALSE))*IF('18.04'!$AK61="是",'18.04'!$AZ$4,'18.04'!$AZ$3))</f>
        <v>160</v>
      </c>
      <c r="M61" s="4">
        <f>IF(ISNUMBER(SEARCH("营",'18.04'!U61)),(-$Y61+50*IF('18.04'!$AK61="是",'18.04'!$AZ$4,'18.04'!$AZ$3)),(VLOOKUP('18.04'!U61,'18.04'!$AM$4:$AO$55,2,FALSE))*IF('18.04'!$AK61="是",'18.04'!$AZ$4,'18.04'!$AZ$3))</f>
        <v>160</v>
      </c>
      <c r="N61" s="4">
        <f>IF(ISNUMBER(SEARCH("营",'18.04'!V61)),(-$Y61+50*IF('18.04'!$AK61="是",'18.04'!$AZ$4,'18.04'!$AZ$3)),(VLOOKUP('18.04'!V61,'18.04'!$AM$4:$AO$55,2,FALSE))*IF('18.04'!$AK61="是",'18.04'!$AZ$4,'18.04'!$AZ$3))</f>
        <v>160</v>
      </c>
      <c r="O61" s="4">
        <f>IF(ISNUMBER(SEARCH("营",'18.04'!W61)),(-$Y61+50*IF('18.04'!$AK61="是",'18.04'!$AZ$4,'18.04'!$AZ$3)),(VLOOKUP('18.04'!W61,'18.04'!$AM$4:$AO$55,2,FALSE))*IF('18.04'!$AK61="是",'18.04'!$AZ$4,'18.04'!$AZ$3))</f>
        <v>160</v>
      </c>
      <c r="P61" s="4">
        <f>IF(ISNUMBER(SEARCH("营",'18.04'!X61)),(-$Y61+50*IF('18.04'!$AK61="是",'18.04'!$AZ$4,'18.04'!$AZ$3)),(VLOOKUP('18.04'!X61,'18.04'!$AM$4:$AO$55,2,FALSE))*IF('18.04'!$AK61="是",'18.04'!$AZ$4,'18.04'!$AZ$3))</f>
        <v>160</v>
      </c>
      <c r="Q61" s="4">
        <f>IF(ISNUMBER(SEARCH("营",'18.04'!Y61)),(-$Y61+50*IF('18.04'!$AK61="是",'18.04'!$AZ$4,'18.04'!$AZ$3)),(VLOOKUP('18.04'!Y61,'18.04'!$AM$4:$AO$55,2,FALSE))*IF('18.04'!$AK61="是",'18.04'!$AZ$4,'18.04'!$AZ$3))</f>
        <v>0</v>
      </c>
      <c r="R61" s="4">
        <f>IF(ISNUMBER(SEARCH("营",'18.04'!Z61)),(-$Y61+50*IF('18.04'!$AK61="是",'18.04'!$AZ$4,'18.04'!$AZ$3)),(VLOOKUP('18.04'!Z61,'18.04'!$AM$4:$AO$55,2,FALSE))*IF('18.04'!$AK61="是",'18.04'!$AZ$4,'18.04'!$AZ$3))</f>
        <v>0</v>
      </c>
      <c r="S61" s="4">
        <f>IF(ISNUMBER(SEARCH("营",'18.04'!AA61)),(-$Y61+50*IF('18.04'!$AK61="是",'18.04'!$AZ$4,'18.04'!$AZ$3)),(VLOOKUP('18.04'!AA61,'18.04'!$AM$4:$AO$55,2,FALSE))*IF('18.04'!$AK61="是",'18.04'!$AZ$4,'18.04'!$AZ$3))</f>
        <v>0</v>
      </c>
      <c r="T61" s="4">
        <f>IF(ISNUMBER(SEARCH("营",'18.04'!AB61)),(-$Y61+50*IF('18.04'!$AK61="是",'18.04'!$AZ$4,'18.04'!$AZ$3)),(VLOOKUP('18.04'!AB61,'18.04'!$AM$4:$AO$55,2,FALSE))*IF('18.04'!$AK61="是",'18.04'!$AZ$4,'18.04'!$AZ$3))</f>
        <v>0</v>
      </c>
      <c r="U61" s="4">
        <f>IF(ISNUMBER(SEARCH("营",'18.04'!AC61)),(-$Y61+50*IF('18.04'!$AK61="是",'18.04'!$AZ$4,'18.04'!$AZ$3)),(VLOOKUP('18.04'!AC61,'18.04'!$AM$4:$AO$55,2,FALSE))*IF('18.04'!$AK61="是",'18.04'!$AZ$4,'18.04'!$AZ$3))</f>
        <v>0</v>
      </c>
      <c r="V61" s="4">
        <f>IF(ISNUMBER(SEARCH("营",'18.04'!AD61)),(-$Y61+50*IF('18.04'!$AK61="是",'18.04'!$AZ$4,'18.04'!$AZ$3)),(VLOOKUP('18.04'!AD61,'18.04'!$AM$4:$AO$55,2,FALSE))*IF('18.04'!$AK61="是",'18.04'!$AZ$4,'18.04'!$AZ$3))</f>
        <v>0</v>
      </c>
      <c r="W61" s="4">
        <f>IF(ISNUMBER(SEARCH("营",'18.04'!AE61)),(-$Y61+50*IF('18.04'!$AK61="是",'18.04'!$AZ$4,'18.04'!$AZ$3)),(VLOOKUP('18.04'!AE61,'18.04'!$AM$4:$AO$55,2,FALSE))*IF('18.04'!$AK61="是",'18.04'!$AZ$4,'18.04'!$AZ$3))</f>
        <v>0</v>
      </c>
      <c r="X61" s="4">
        <f>IF(ISNUMBER(SEARCH("营",'18.04'!AF61)),(-$Y61+50*IF('18.04'!$AK61="是",'18.04'!$AZ$4,'18.04'!$AZ$3)),(VLOOKUP('18.04'!AF61,'18.04'!$AM$4:$AO$55,2,FALSE))*IF('18.04'!$AK61="是",'18.04'!$AZ$4,'18.04'!$AZ$3))</f>
        <v>0</v>
      </c>
      <c r="Y61" s="78">
        <v>100</v>
      </c>
      <c r="Z61" s="90">
        <v>45696</v>
      </c>
    </row>
    <row r="62" spans="1:26">
      <c r="A62" s="4">
        <f>IF(ISNUMBER(SEARCH("营",'18.04'!I62)),(-$Y62+50*IF('18.04'!$AK62="是",'18.04'!$AZ$4,'18.04'!$AZ$3)),(VLOOKUP('18.04'!I62,'18.04'!$AM$4:$AO$55,2,FALSE))*IF('18.04'!$AK62="是",'18.04'!$AZ$4,'18.04'!$AZ$3))</f>
        <v>144</v>
      </c>
      <c r="B62" s="4">
        <f>IF(ISNUMBER(SEARCH("营",'18.04'!J62)),(-$Y62+50*IF('18.04'!$AK62="是",'18.04'!$AZ$4,'18.04'!$AZ$3)),(VLOOKUP('18.04'!J62,'18.04'!$AM$4:$AO$55,2,FALSE))*IF('18.04'!$AK62="是",'18.04'!$AZ$4,'18.04'!$AZ$3))</f>
        <v>144</v>
      </c>
      <c r="C62" s="4">
        <f>IF(ISNUMBER(SEARCH("营",'18.04'!K62)),(-$Y62+50*IF('18.04'!$AK62="是",'18.04'!$AZ$4,'18.04'!$AZ$3)),(VLOOKUP('18.04'!K62,'18.04'!$AM$4:$AO$55,2,FALSE))*IF('18.04'!$AK62="是",'18.04'!$AZ$4,'18.04'!$AZ$3))</f>
        <v>144</v>
      </c>
      <c r="D62" s="4">
        <f>IF(ISNUMBER(SEARCH("营",'18.04'!L62)),(-$Y62+50*IF('18.04'!$AK62="是",'18.04'!$AZ$4,'18.04'!$AZ$3)),(VLOOKUP('18.04'!L62,'18.04'!$AM$4:$AO$55,2,FALSE))*IF('18.04'!$AK62="是",'18.04'!$AZ$4,'18.04'!$AZ$3))</f>
        <v>144</v>
      </c>
      <c r="E62" s="4">
        <f>IF(ISNUMBER(SEARCH("营",'18.04'!M62)),(-$Y62+50*IF('18.04'!$AK62="是",'18.04'!$AZ$4,'18.04'!$AZ$3)),(VLOOKUP('18.04'!M62,'18.04'!$AM$4:$AO$55,2,FALSE))*IF('18.04'!$AK62="是",'18.04'!$AZ$4,'18.04'!$AZ$3))</f>
        <v>144</v>
      </c>
      <c r="F62" s="4">
        <f>IF(ISNUMBER(SEARCH("营",'18.04'!N62)),(-$Y62+50*IF('18.04'!$AK62="是",'18.04'!$AZ$4,'18.04'!$AZ$3)),(VLOOKUP('18.04'!N62,'18.04'!$AM$4:$AO$55,2,FALSE))*IF('18.04'!$AK62="是",'18.04'!$AZ$4,'18.04'!$AZ$3))</f>
        <v>144</v>
      </c>
      <c r="G62" s="4">
        <f>IF(ISNUMBER(SEARCH("营",'18.04'!O62)),(-$Y62+50*IF('18.04'!$AK62="是",'18.04'!$AZ$4,'18.04'!$AZ$3)),(VLOOKUP('18.04'!O62,'18.04'!$AM$4:$AO$55,2,FALSE))*IF('18.04'!$AK62="是",'18.04'!$AZ$4,'18.04'!$AZ$3))</f>
        <v>144</v>
      </c>
      <c r="H62" s="4">
        <f>IF(ISNUMBER(SEARCH("营",'18.04'!P62)),(-$Y62+50*IF('18.04'!$AK62="是",'18.04'!$AZ$4,'18.04'!$AZ$3)),(VLOOKUP('18.04'!P62,'18.04'!$AM$4:$AO$55,2,FALSE))*IF('18.04'!$AK62="是",'18.04'!$AZ$4,'18.04'!$AZ$3))</f>
        <v>144</v>
      </c>
      <c r="I62" s="4">
        <f>IF(ISNUMBER(SEARCH("营",'18.04'!Q62)),(-$Y62+50*IF('18.04'!$AK62="是",'18.04'!$AZ$4,'18.04'!$AZ$3)),(VLOOKUP('18.04'!Q62,'18.04'!$AM$4:$AO$55,2,FALSE))*IF('18.04'!$AK62="是",'18.04'!$AZ$4,'18.04'!$AZ$3))</f>
        <v>160</v>
      </c>
      <c r="J62" s="4">
        <f>IF(ISNUMBER(SEARCH("营",'18.04'!R62)),(-$Y62+50*IF('18.04'!$AK62="是",'18.04'!$AZ$4,'18.04'!$AZ$3)),(VLOOKUP('18.04'!R62,'18.04'!$AM$4:$AO$55,2,FALSE))*IF('18.04'!$AK62="是",'18.04'!$AZ$4,'18.04'!$AZ$3))</f>
        <v>160</v>
      </c>
      <c r="K62" s="4">
        <f>IF(ISNUMBER(SEARCH("营",'18.04'!S62)),(-$Y62+50*IF('18.04'!$AK62="是",'18.04'!$AZ$4,'18.04'!$AZ$3)),(VLOOKUP('18.04'!S62,'18.04'!$AM$4:$AO$55,2,FALSE))*IF('18.04'!$AK62="是",'18.04'!$AZ$4,'18.04'!$AZ$3))</f>
        <v>160</v>
      </c>
      <c r="L62" s="4">
        <f>IF(ISNUMBER(SEARCH("营",'18.04'!T62)),(-$Y62+50*IF('18.04'!$AK62="是",'18.04'!$AZ$4,'18.04'!$AZ$3)),(VLOOKUP('18.04'!T62,'18.04'!$AM$4:$AO$55,2,FALSE))*IF('18.04'!$AK62="是",'18.04'!$AZ$4,'18.04'!$AZ$3))</f>
        <v>160</v>
      </c>
      <c r="M62" s="4">
        <f>IF(ISNUMBER(SEARCH("营",'18.04'!U62)),(-$Y62+50*IF('18.04'!$AK62="是",'18.04'!$AZ$4,'18.04'!$AZ$3)),(VLOOKUP('18.04'!U62,'18.04'!$AM$4:$AO$55,2,FALSE))*IF('18.04'!$AK62="是",'18.04'!$AZ$4,'18.04'!$AZ$3))</f>
        <v>160</v>
      </c>
      <c r="N62" s="4">
        <f>IF(ISNUMBER(SEARCH("营",'18.04'!V62)),(-$Y62+50*IF('18.04'!$AK62="是",'18.04'!$AZ$4,'18.04'!$AZ$3)),(VLOOKUP('18.04'!V62,'18.04'!$AM$4:$AO$55,2,FALSE))*IF('18.04'!$AK62="是",'18.04'!$AZ$4,'18.04'!$AZ$3))</f>
        <v>160</v>
      </c>
      <c r="O62" s="4">
        <f>IF(ISNUMBER(SEARCH("营",'18.04'!W62)),(-$Y62+50*IF('18.04'!$AK62="是",'18.04'!$AZ$4,'18.04'!$AZ$3)),(VLOOKUP('18.04'!W62,'18.04'!$AM$4:$AO$55,2,FALSE))*IF('18.04'!$AK62="是",'18.04'!$AZ$4,'18.04'!$AZ$3))</f>
        <v>160</v>
      </c>
      <c r="P62" s="4">
        <f>IF(ISNUMBER(SEARCH("营",'18.04'!X62)),(-$Y62+50*IF('18.04'!$AK62="是",'18.04'!$AZ$4,'18.04'!$AZ$3)),(VLOOKUP('18.04'!X62,'18.04'!$AM$4:$AO$55,2,FALSE))*IF('18.04'!$AK62="是",'18.04'!$AZ$4,'18.04'!$AZ$3))</f>
        <v>160</v>
      </c>
      <c r="Q62" s="4">
        <f>IF(ISNUMBER(SEARCH("营",'18.04'!Y62)),(-$Y62+50*IF('18.04'!$AK62="是",'18.04'!$AZ$4,'18.04'!$AZ$3)),(VLOOKUP('18.04'!Y62,'18.04'!$AM$4:$AO$55,2,FALSE))*IF('18.04'!$AK62="是",'18.04'!$AZ$4,'18.04'!$AZ$3))</f>
        <v>0</v>
      </c>
      <c r="R62" s="4">
        <f>IF(ISNUMBER(SEARCH("营",'18.04'!Z62)),(-$Y62+50*IF('18.04'!$AK62="是",'18.04'!$AZ$4,'18.04'!$AZ$3)),(VLOOKUP('18.04'!Z62,'18.04'!$AM$4:$AO$55,2,FALSE))*IF('18.04'!$AK62="是",'18.04'!$AZ$4,'18.04'!$AZ$3))</f>
        <v>0</v>
      </c>
      <c r="S62" s="4">
        <f>IF(ISNUMBER(SEARCH("营",'18.04'!AA62)),(-$Y62+50*IF('18.04'!$AK62="是",'18.04'!$AZ$4,'18.04'!$AZ$3)),(VLOOKUP('18.04'!AA62,'18.04'!$AM$4:$AO$55,2,FALSE))*IF('18.04'!$AK62="是",'18.04'!$AZ$4,'18.04'!$AZ$3))</f>
        <v>0</v>
      </c>
      <c r="T62" s="4">
        <f>IF(ISNUMBER(SEARCH("营",'18.04'!AB62)),(-$Y62+50*IF('18.04'!$AK62="是",'18.04'!$AZ$4,'18.04'!$AZ$3)),(VLOOKUP('18.04'!AB62,'18.04'!$AM$4:$AO$55,2,FALSE))*IF('18.04'!$AK62="是",'18.04'!$AZ$4,'18.04'!$AZ$3))</f>
        <v>0</v>
      </c>
      <c r="U62" s="4">
        <f>IF(ISNUMBER(SEARCH("营",'18.04'!AC62)),(-$Y62+50*IF('18.04'!$AK62="是",'18.04'!$AZ$4,'18.04'!$AZ$3)),(VLOOKUP('18.04'!AC62,'18.04'!$AM$4:$AO$55,2,FALSE))*IF('18.04'!$AK62="是",'18.04'!$AZ$4,'18.04'!$AZ$3))</f>
        <v>0</v>
      </c>
      <c r="V62" s="4">
        <f>IF(ISNUMBER(SEARCH("营",'18.04'!AD62)),(-$Y62+50*IF('18.04'!$AK62="是",'18.04'!$AZ$4,'18.04'!$AZ$3)),(VLOOKUP('18.04'!AD62,'18.04'!$AM$4:$AO$55,2,FALSE))*IF('18.04'!$AK62="是",'18.04'!$AZ$4,'18.04'!$AZ$3))</f>
        <v>0</v>
      </c>
      <c r="W62" s="4">
        <f>IF(ISNUMBER(SEARCH("营",'18.04'!AE62)),(-$Y62+50*IF('18.04'!$AK62="是",'18.04'!$AZ$4,'18.04'!$AZ$3)),(VLOOKUP('18.04'!AE62,'18.04'!$AM$4:$AO$55,2,FALSE))*IF('18.04'!$AK62="是",'18.04'!$AZ$4,'18.04'!$AZ$3))</f>
        <v>0</v>
      </c>
      <c r="X62" s="4">
        <f>IF(ISNUMBER(SEARCH("营",'18.04'!AF62)),(-$Y62+50*IF('18.04'!$AK62="是",'18.04'!$AZ$4,'18.04'!$AZ$3)),(VLOOKUP('18.04'!AF62,'18.04'!$AM$4:$AO$55,2,FALSE))*IF('18.04'!$AK62="是",'18.04'!$AZ$4,'18.04'!$AZ$3))</f>
        <v>0</v>
      </c>
      <c r="Y62" s="78">
        <v>100</v>
      </c>
      <c r="Z62" s="90">
        <v>45697</v>
      </c>
    </row>
    <row r="63" spans="1:26">
      <c r="A63" s="4">
        <f>IF(ISNUMBER(SEARCH("营",'18.04'!I63)),(-$Y63+50*IF('18.04'!$AK63="是",'18.04'!$AZ$4,'18.04'!$AZ$3)),(VLOOKUP('18.04'!I63,'18.04'!$AM$4:$AO$55,2,FALSE))*IF('18.04'!$AK63="是",'18.04'!$AZ$4,'18.04'!$AZ$3))</f>
        <v>144</v>
      </c>
      <c r="B63" s="4">
        <f>IF(ISNUMBER(SEARCH("营",'18.04'!J63)),(-$Y63+50*IF('18.04'!$AK63="是",'18.04'!$AZ$4,'18.04'!$AZ$3)),(VLOOKUP('18.04'!J63,'18.04'!$AM$4:$AO$55,2,FALSE))*IF('18.04'!$AK63="是",'18.04'!$AZ$4,'18.04'!$AZ$3))</f>
        <v>144</v>
      </c>
      <c r="C63" s="4">
        <f>IF(ISNUMBER(SEARCH("营",'18.04'!K63)),(-$Y63+50*IF('18.04'!$AK63="是",'18.04'!$AZ$4,'18.04'!$AZ$3)),(VLOOKUP('18.04'!K63,'18.04'!$AM$4:$AO$55,2,FALSE))*IF('18.04'!$AK63="是",'18.04'!$AZ$4,'18.04'!$AZ$3))</f>
        <v>144</v>
      </c>
      <c r="D63" s="4">
        <f>IF(ISNUMBER(SEARCH("营",'18.04'!L63)),(-$Y63+50*IF('18.04'!$AK63="是",'18.04'!$AZ$4,'18.04'!$AZ$3)),(VLOOKUP('18.04'!L63,'18.04'!$AM$4:$AO$55,2,FALSE))*IF('18.04'!$AK63="是",'18.04'!$AZ$4,'18.04'!$AZ$3))</f>
        <v>144</v>
      </c>
      <c r="E63" s="4">
        <f>IF(ISNUMBER(SEARCH("营",'18.04'!M63)),(-$Y63+50*IF('18.04'!$AK63="是",'18.04'!$AZ$4,'18.04'!$AZ$3)),(VLOOKUP('18.04'!M63,'18.04'!$AM$4:$AO$55,2,FALSE))*IF('18.04'!$AK63="是",'18.04'!$AZ$4,'18.04'!$AZ$3))</f>
        <v>144</v>
      </c>
      <c r="F63" s="4">
        <f>IF(ISNUMBER(SEARCH("营",'18.04'!N63)),(-$Y63+50*IF('18.04'!$AK63="是",'18.04'!$AZ$4,'18.04'!$AZ$3)),(VLOOKUP('18.04'!N63,'18.04'!$AM$4:$AO$55,2,FALSE))*IF('18.04'!$AK63="是",'18.04'!$AZ$4,'18.04'!$AZ$3))</f>
        <v>144</v>
      </c>
      <c r="G63" s="4">
        <f>IF(ISNUMBER(SEARCH("营",'18.04'!O63)),(-$Y63+50*IF('18.04'!$AK63="是",'18.04'!$AZ$4,'18.04'!$AZ$3)),(VLOOKUP('18.04'!O63,'18.04'!$AM$4:$AO$55,2,FALSE))*IF('18.04'!$AK63="是",'18.04'!$AZ$4,'18.04'!$AZ$3))</f>
        <v>144</v>
      </c>
      <c r="H63" s="4">
        <f>IF(ISNUMBER(SEARCH("营",'18.04'!P63)),(-$Y63+50*IF('18.04'!$AK63="是",'18.04'!$AZ$4,'18.04'!$AZ$3)),(VLOOKUP('18.04'!P63,'18.04'!$AM$4:$AO$55,2,FALSE))*IF('18.04'!$AK63="是",'18.04'!$AZ$4,'18.04'!$AZ$3))</f>
        <v>144</v>
      </c>
      <c r="I63" s="4">
        <f>IF(ISNUMBER(SEARCH("营",'18.04'!Q63)),(-$Y63+50*IF('18.04'!$AK63="是",'18.04'!$AZ$4,'18.04'!$AZ$3)),(VLOOKUP('18.04'!Q63,'18.04'!$AM$4:$AO$55,2,FALSE))*IF('18.04'!$AK63="是",'18.04'!$AZ$4,'18.04'!$AZ$3))</f>
        <v>160</v>
      </c>
      <c r="J63" s="4">
        <f>IF(ISNUMBER(SEARCH("营",'18.04'!R63)),(-$Y63+50*IF('18.04'!$AK63="是",'18.04'!$AZ$4,'18.04'!$AZ$3)),(VLOOKUP('18.04'!R63,'18.04'!$AM$4:$AO$55,2,FALSE))*IF('18.04'!$AK63="是",'18.04'!$AZ$4,'18.04'!$AZ$3))</f>
        <v>160</v>
      </c>
      <c r="K63" s="4">
        <f>IF(ISNUMBER(SEARCH("营",'18.04'!S63)),(-$Y63+50*IF('18.04'!$AK63="是",'18.04'!$AZ$4,'18.04'!$AZ$3)),(VLOOKUP('18.04'!S63,'18.04'!$AM$4:$AO$55,2,FALSE))*IF('18.04'!$AK63="是",'18.04'!$AZ$4,'18.04'!$AZ$3))</f>
        <v>160</v>
      </c>
      <c r="L63" s="4">
        <f>IF(ISNUMBER(SEARCH("营",'18.04'!T63)),(-$Y63+50*IF('18.04'!$AK63="是",'18.04'!$AZ$4,'18.04'!$AZ$3)),(VLOOKUP('18.04'!T63,'18.04'!$AM$4:$AO$55,2,FALSE))*IF('18.04'!$AK63="是",'18.04'!$AZ$4,'18.04'!$AZ$3))</f>
        <v>160</v>
      </c>
      <c r="M63" s="4">
        <f>IF(ISNUMBER(SEARCH("营",'18.04'!U63)),(-$Y63+50*IF('18.04'!$AK63="是",'18.04'!$AZ$4,'18.04'!$AZ$3)),(VLOOKUP('18.04'!U63,'18.04'!$AM$4:$AO$55,2,FALSE))*IF('18.04'!$AK63="是",'18.04'!$AZ$4,'18.04'!$AZ$3))</f>
        <v>160</v>
      </c>
      <c r="N63" s="4">
        <f>IF(ISNUMBER(SEARCH("营",'18.04'!V63)),(-$Y63+50*IF('18.04'!$AK63="是",'18.04'!$AZ$4,'18.04'!$AZ$3)),(VLOOKUP('18.04'!V63,'18.04'!$AM$4:$AO$55,2,FALSE))*IF('18.04'!$AK63="是",'18.04'!$AZ$4,'18.04'!$AZ$3))</f>
        <v>160</v>
      </c>
      <c r="O63" s="4">
        <f>IF(ISNUMBER(SEARCH("营",'18.04'!W63)),(-$Y63+50*IF('18.04'!$AK63="是",'18.04'!$AZ$4,'18.04'!$AZ$3)),(VLOOKUP('18.04'!W63,'18.04'!$AM$4:$AO$55,2,FALSE))*IF('18.04'!$AK63="是",'18.04'!$AZ$4,'18.04'!$AZ$3))</f>
        <v>160</v>
      </c>
      <c r="P63" s="4">
        <f>IF(ISNUMBER(SEARCH("营",'18.04'!X63)),(-$Y63+50*IF('18.04'!$AK63="是",'18.04'!$AZ$4,'18.04'!$AZ$3)),(VLOOKUP('18.04'!X63,'18.04'!$AM$4:$AO$55,2,FALSE))*IF('18.04'!$AK63="是",'18.04'!$AZ$4,'18.04'!$AZ$3))</f>
        <v>160</v>
      </c>
      <c r="Q63" s="4">
        <f>IF(ISNUMBER(SEARCH("营",'18.04'!Y63)),(-$Y63+50*IF('18.04'!$AK63="是",'18.04'!$AZ$4,'18.04'!$AZ$3)),(VLOOKUP('18.04'!Y63,'18.04'!$AM$4:$AO$55,2,FALSE))*IF('18.04'!$AK63="是",'18.04'!$AZ$4,'18.04'!$AZ$3))</f>
        <v>0</v>
      </c>
      <c r="R63" s="4">
        <f>IF(ISNUMBER(SEARCH("营",'18.04'!Z63)),(-$Y63+50*IF('18.04'!$AK63="是",'18.04'!$AZ$4,'18.04'!$AZ$3)),(VLOOKUP('18.04'!Z63,'18.04'!$AM$4:$AO$55,2,FALSE))*IF('18.04'!$AK63="是",'18.04'!$AZ$4,'18.04'!$AZ$3))</f>
        <v>0</v>
      </c>
      <c r="S63" s="4">
        <f>IF(ISNUMBER(SEARCH("营",'18.04'!AA63)),(-$Y63+50*IF('18.04'!$AK63="是",'18.04'!$AZ$4,'18.04'!$AZ$3)),(VLOOKUP('18.04'!AA63,'18.04'!$AM$4:$AO$55,2,FALSE))*IF('18.04'!$AK63="是",'18.04'!$AZ$4,'18.04'!$AZ$3))</f>
        <v>0</v>
      </c>
      <c r="T63" s="4">
        <f>IF(ISNUMBER(SEARCH("营",'18.04'!AB63)),(-$Y63+50*IF('18.04'!$AK63="是",'18.04'!$AZ$4,'18.04'!$AZ$3)),(VLOOKUP('18.04'!AB63,'18.04'!$AM$4:$AO$55,2,FALSE))*IF('18.04'!$AK63="是",'18.04'!$AZ$4,'18.04'!$AZ$3))</f>
        <v>0</v>
      </c>
      <c r="U63" s="4">
        <f>IF(ISNUMBER(SEARCH("营",'18.04'!AC63)),(-$Y63+50*IF('18.04'!$AK63="是",'18.04'!$AZ$4,'18.04'!$AZ$3)),(VLOOKUP('18.04'!AC63,'18.04'!$AM$4:$AO$55,2,FALSE))*IF('18.04'!$AK63="是",'18.04'!$AZ$4,'18.04'!$AZ$3))</f>
        <v>0</v>
      </c>
      <c r="V63" s="4">
        <f>IF(ISNUMBER(SEARCH("营",'18.04'!AD63)),(-$Y63+50*IF('18.04'!$AK63="是",'18.04'!$AZ$4,'18.04'!$AZ$3)),(VLOOKUP('18.04'!AD63,'18.04'!$AM$4:$AO$55,2,FALSE))*IF('18.04'!$AK63="是",'18.04'!$AZ$4,'18.04'!$AZ$3))</f>
        <v>0</v>
      </c>
      <c r="W63" s="4">
        <f>IF(ISNUMBER(SEARCH("营",'18.04'!AE63)),(-$Y63+50*IF('18.04'!$AK63="是",'18.04'!$AZ$4,'18.04'!$AZ$3)),(VLOOKUP('18.04'!AE63,'18.04'!$AM$4:$AO$55,2,FALSE))*IF('18.04'!$AK63="是",'18.04'!$AZ$4,'18.04'!$AZ$3))</f>
        <v>0</v>
      </c>
      <c r="X63" s="4">
        <f>IF(ISNUMBER(SEARCH("营",'18.04'!AF63)),(-$Y63+50*IF('18.04'!$AK63="是",'18.04'!$AZ$4,'18.04'!$AZ$3)),(VLOOKUP('18.04'!AF63,'18.04'!$AM$4:$AO$55,2,FALSE))*IF('18.04'!$AK63="是",'18.04'!$AZ$4,'18.04'!$AZ$3))</f>
        <v>0</v>
      </c>
      <c r="Y63" s="78">
        <v>100</v>
      </c>
      <c r="Z63" s="90">
        <v>45698</v>
      </c>
    </row>
    <row r="64" spans="1:26">
      <c r="A64" s="4">
        <f>IF(ISNUMBER(SEARCH("营",'18.04'!I64)),(-$Y64+50*IF('18.04'!$AK64="是",'18.04'!$AZ$4,'18.04'!$AZ$3)),(VLOOKUP('18.04'!I64,'18.04'!$AM$4:$AO$55,2,FALSE))*IF('18.04'!$AK64="是",'18.04'!$AZ$4,'18.04'!$AZ$3))</f>
        <v>144</v>
      </c>
      <c r="B64" s="4">
        <f>IF(ISNUMBER(SEARCH("营",'18.04'!J64)),(-$Y64+50*IF('18.04'!$AK64="是",'18.04'!$AZ$4,'18.04'!$AZ$3)),(VLOOKUP('18.04'!J64,'18.04'!$AM$4:$AO$55,2,FALSE))*IF('18.04'!$AK64="是",'18.04'!$AZ$4,'18.04'!$AZ$3))</f>
        <v>144</v>
      </c>
      <c r="C64" s="4">
        <f>IF(ISNUMBER(SEARCH("营",'18.04'!K64)),(-$Y64+50*IF('18.04'!$AK64="是",'18.04'!$AZ$4,'18.04'!$AZ$3)),(VLOOKUP('18.04'!K64,'18.04'!$AM$4:$AO$55,2,FALSE))*IF('18.04'!$AK64="是",'18.04'!$AZ$4,'18.04'!$AZ$3))</f>
        <v>144</v>
      </c>
      <c r="D64" s="4">
        <f>IF(ISNUMBER(SEARCH("营",'18.04'!L64)),(-$Y64+50*IF('18.04'!$AK64="是",'18.04'!$AZ$4,'18.04'!$AZ$3)),(VLOOKUP('18.04'!L64,'18.04'!$AM$4:$AO$55,2,FALSE))*IF('18.04'!$AK64="是",'18.04'!$AZ$4,'18.04'!$AZ$3))</f>
        <v>144</v>
      </c>
      <c r="E64" s="4">
        <f>IF(ISNUMBER(SEARCH("营",'18.04'!M64)),(-$Y64+50*IF('18.04'!$AK64="是",'18.04'!$AZ$4,'18.04'!$AZ$3)),(VLOOKUP('18.04'!M64,'18.04'!$AM$4:$AO$55,2,FALSE))*IF('18.04'!$AK64="是",'18.04'!$AZ$4,'18.04'!$AZ$3))</f>
        <v>144</v>
      </c>
      <c r="F64" s="4">
        <f>IF(ISNUMBER(SEARCH("营",'18.04'!N64)),(-$Y64+50*IF('18.04'!$AK64="是",'18.04'!$AZ$4,'18.04'!$AZ$3)),(VLOOKUP('18.04'!N64,'18.04'!$AM$4:$AO$55,2,FALSE))*IF('18.04'!$AK64="是",'18.04'!$AZ$4,'18.04'!$AZ$3))</f>
        <v>144</v>
      </c>
      <c r="G64" s="4">
        <f>IF(ISNUMBER(SEARCH("营",'18.04'!O64)),(-$Y64+50*IF('18.04'!$AK64="是",'18.04'!$AZ$4,'18.04'!$AZ$3)),(VLOOKUP('18.04'!O64,'18.04'!$AM$4:$AO$55,2,FALSE))*IF('18.04'!$AK64="是",'18.04'!$AZ$4,'18.04'!$AZ$3))</f>
        <v>144</v>
      </c>
      <c r="H64" s="4">
        <f>IF(ISNUMBER(SEARCH("营",'18.04'!P64)),(-$Y64+50*IF('18.04'!$AK64="是",'18.04'!$AZ$4,'18.04'!$AZ$3)),(VLOOKUP('18.04'!P64,'18.04'!$AM$4:$AO$55,2,FALSE))*IF('18.04'!$AK64="是",'18.04'!$AZ$4,'18.04'!$AZ$3))</f>
        <v>144</v>
      </c>
      <c r="I64" s="4">
        <f>IF(ISNUMBER(SEARCH("营",'18.04'!Q64)),(-$Y64+50*IF('18.04'!$AK64="是",'18.04'!$AZ$4,'18.04'!$AZ$3)),(VLOOKUP('18.04'!Q64,'18.04'!$AM$4:$AO$55,2,FALSE))*IF('18.04'!$AK64="是",'18.04'!$AZ$4,'18.04'!$AZ$3))</f>
        <v>160</v>
      </c>
      <c r="J64" s="4">
        <f>IF(ISNUMBER(SEARCH("营",'18.04'!R64)),(-$Y64+50*IF('18.04'!$AK64="是",'18.04'!$AZ$4,'18.04'!$AZ$3)),(VLOOKUP('18.04'!R64,'18.04'!$AM$4:$AO$55,2,FALSE))*IF('18.04'!$AK64="是",'18.04'!$AZ$4,'18.04'!$AZ$3))</f>
        <v>160</v>
      </c>
      <c r="K64" s="4">
        <f>IF(ISNUMBER(SEARCH("营",'18.04'!S64)),(-$Y64+50*IF('18.04'!$AK64="是",'18.04'!$AZ$4,'18.04'!$AZ$3)),(VLOOKUP('18.04'!S64,'18.04'!$AM$4:$AO$55,2,FALSE))*IF('18.04'!$AK64="是",'18.04'!$AZ$4,'18.04'!$AZ$3))</f>
        <v>160</v>
      </c>
      <c r="L64" s="4">
        <f>IF(ISNUMBER(SEARCH("营",'18.04'!T64)),(-$Y64+50*IF('18.04'!$AK64="是",'18.04'!$AZ$4,'18.04'!$AZ$3)),(VLOOKUP('18.04'!T64,'18.04'!$AM$4:$AO$55,2,FALSE))*IF('18.04'!$AK64="是",'18.04'!$AZ$4,'18.04'!$AZ$3))</f>
        <v>160</v>
      </c>
      <c r="M64" s="4">
        <f>IF(ISNUMBER(SEARCH("营",'18.04'!U64)),(-$Y64+50*IF('18.04'!$AK64="是",'18.04'!$AZ$4,'18.04'!$AZ$3)),(VLOOKUP('18.04'!U64,'18.04'!$AM$4:$AO$55,2,FALSE))*IF('18.04'!$AK64="是",'18.04'!$AZ$4,'18.04'!$AZ$3))</f>
        <v>160</v>
      </c>
      <c r="N64" s="4">
        <f>IF(ISNUMBER(SEARCH("营",'18.04'!V64)),(-$Y64+50*IF('18.04'!$AK64="是",'18.04'!$AZ$4,'18.04'!$AZ$3)),(VLOOKUP('18.04'!V64,'18.04'!$AM$4:$AO$55,2,FALSE))*IF('18.04'!$AK64="是",'18.04'!$AZ$4,'18.04'!$AZ$3))</f>
        <v>160</v>
      </c>
      <c r="O64" s="4">
        <f>IF(ISNUMBER(SEARCH("营",'18.04'!W64)),(-$Y64+50*IF('18.04'!$AK64="是",'18.04'!$AZ$4,'18.04'!$AZ$3)),(VLOOKUP('18.04'!W64,'18.04'!$AM$4:$AO$55,2,FALSE))*IF('18.04'!$AK64="是",'18.04'!$AZ$4,'18.04'!$AZ$3))</f>
        <v>160</v>
      </c>
      <c r="P64" s="4">
        <f>IF(ISNUMBER(SEARCH("营",'18.04'!X64)),(-$Y64+50*IF('18.04'!$AK64="是",'18.04'!$AZ$4,'18.04'!$AZ$3)),(VLOOKUP('18.04'!X64,'18.04'!$AM$4:$AO$55,2,FALSE))*IF('18.04'!$AK64="是",'18.04'!$AZ$4,'18.04'!$AZ$3))</f>
        <v>160</v>
      </c>
      <c r="Q64" s="4">
        <f>IF(ISNUMBER(SEARCH("营",'18.04'!Y64)),(-$Y64+50*IF('18.04'!$AK64="是",'18.04'!$AZ$4,'18.04'!$AZ$3)),(VLOOKUP('18.04'!Y64,'18.04'!$AM$4:$AO$55,2,FALSE))*IF('18.04'!$AK64="是",'18.04'!$AZ$4,'18.04'!$AZ$3))</f>
        <v>0</v>
      </c>
      <c r="R64" s="4">
        <f>IF(ISNUMBER(SEARCH("营",'18.04'!Z64)),(-$Y64+50*IF('18.04'!$AK64="是",'18.04'!$AZ$4,'18.04'!$AZ$3)),(VLOOKUP('18.04'!Z64,'18.04'!$AM$4:$AO$55,2,FALSE))*IF('18.04'!$AK64="是",'18.04'!$AZ$4,'18.04'!$AZ$3))</f>
        <v>0</v>
      </c>
      <c r="S64" s="4">
        <f>IF(ISNUMBER(SEARCH("营",'18.04'!AA64)),(-$Y64+50*IF('18.04'!$AK64="是",'18.04'!$AZ$4,'18.04'!$AZ$3)),(VLOOKUP('18.04'!AA64,'18.04'!$AM$4:$AO$55,2,FALSE))*IF('18.04'!$AK64="是",'18.04'!$AZ$4,'18.04'!$AZ$3))</f>
        <v>0</v>
      </c>
      <c r="T64" s="4">
        <f>IF(ISNUMBER(SEARCH("营",'18.04'!AB64)),(-$Y64+50*IF('18.04'!$AK64="是",'18.04'!$AZ$4,'18.04'!$AZ$3)),(VLOOKUP('18.04'!AB64,'18.04'!$AM$4:$AO$55,2,FALSE))*IF('18.04'!$AK64="是",'18.04'!$AZ$4,'18.04'!$AZ$3))</f>
        <v>0</v>
      </c>
      <c r="U64" s="4">
        <f>IF(ISNUMBER(SEARCH("营",'18.04'!AC64)),(-$Y64+50*IF('18.04'!$AK64="是",'18.04'!$AZ$4,'18.04'!$AZ$3)),(VLOOKUP('18.04'!AC64,'18.04'!$AM$4:$AO$55,2,FALSE))*IF('18.04'!$AK64="是",'18.04'!$AZ$4,'18.04'!$AZ$3))</f>
        <v>0</v>
      </c>
      <c r="V64" s="4">
        <f>IF(ISNUMBER(SEARCH("营",'18.04'!AD64)),(-$Y64+50*IF('18.04'!$AK64="是",'18.04'!$AZ$4,'18.04'!$AZ$3)),(VLOOKUP('18.04'!AD64,'18.04'!$AM$4:$AO$55,2,FALSE))*IF('18.04'!$AK64="是",'18.04'!$AZ$4,'18.04'!$AZ$3))</f>
        <v>0</v>
      </c>
      <c r="W64" s="4">
        <f>IF(ISNUMBER(SEARCH("营",'18.04'!AE64)),(-$Y64+50*IF('18.04'!$AK64="是",'18.04'!$AZ$4,'18.04'!$AZ$3)),(VLOOKUP('18.04'!AE64,'18.04'!$AM$4:$AO$55,2,FALSE))*IF('18.04'!$AK64="是",'18.04'!$AZ$4,'18.04'!$AZ$3))</f>
        <v>0</v>
      </c>
      <c r="X64" s="4">
        <f>IF(ISNUMBER(SEARCH("营",'18.04'!AF64)),(-$Y64+50*IF('18.04'!$AK64="是",'18.04'!$AZ$4,'18.04'!$AZ$3)),(VLOOKUP('18.04'!AF64,'18.04'!$AM$4:$AO$55,2,FALSE))*IF('18.04'!$AK64="是",'18.04'!$AZ$4,'18.04'!$AZ$3))</f>
        <v>0</v>
      </c>
      <c r="Y64" s="78">
        <v>100</v>
      </c>
      <c r="Z64" s="90">
        <v>45699</v>
      </c>
    </row>
    <row r="65" spans="1:26">
      <c r="A65" s="4">
        <f>IF(ISNUMBER(SEARCH("营",'18.04'!I65)),(-$Y65+50*IF('18.04'!$AK65="是",'18.04'!$AZ$4,'18.04'!$AZ$3)),(VLOOKUP('18.04'!I65,'18.04'!$AM$4:$AO$55,2,FALSE))*IF('18.04'!$AK65="是",'18.04'!$AZ$4,'18.04'!$AZ$3))</f>
        <v>144</v>
      </c>
      <c r="B65" s="4">
        <f>IF(ISNUMBER(SEARCH("营",'18.04'!J65)),(-$Y65+50*IF('18.04'!$AK65="是",'18.04'!$AZ$4,'18.04'!$AZ$3)),(VLOOKUP('18.04'!J65,'18.04'!$AM$4:$AO$55,2,FALSE))*IF('18.04'!$AK65="是",'18.04'!$AZ$4,'18.04'!$AZ$3))</f>
        <v>144</v>
      </c>
      <c r="C65" s="4">
        <f>IF(ISNUMBER(SEARCH("营",'18.04'!K65)),(-$Y65+50*IF('18.04'!$AK65="是",'18.04'!$AZ$4,'18.04'!$AZ$3)),(VLOOKUP('18.04'!K65,'18.04'!$AM$4:$AO$55,2,FALSE))*IF('18.04'!$AK65="是",'18.04'!$AZ$4,'18.04'!$AZ$3))</f>
        <v>144</v>
      </c>
      <c r="D65" s="4">
        <f>IF(ISNUMBER(SEARCH("营",'18.04'!L65)),(-$Y65+50*IF('18.04'!$AK65="是",'18.04'!$AZ$4,'18.04'!$AZ$3)),(VLOOKUP('18.04'!L65,'18.04'!$AM$4:$AO$55,2,FALSE))*IF('18.04'!$AK65="是",'18.04'!$AZ$4,'18.04'!$AZ$3))</f>
        <v>144</v>
      </c>
      <c r="E65" s="4">
        <f>IF(ISNUMBER(SEARCH("营",'18.04'!M65)),(-$Y65+50*IF('18.04'!$AK65="是",'18.04'!$AZ$4,'18.04'!$AZ$3)),(VLOOKUP('18.04'!M65,'18.04'!$AM$4:$AO$55,2,FALSE))*IF('18.04'!$AK65="是",'18.04'!$AZ$4,'18.04'!$AZ$3))</f>
        <v>144</v>
      </c>
      <c r="F65" s="4">
        <f>IF(ISNUMBER(SEARCH("营",'18.04'!N65)),(-$Y65+50*IF('18.04'!$AK65="是",'18.04'!$AZ$4,'18.04'!$AZ$3)),(VLOOKUP('18.04'!N65,'18.04'!$AM$4:$AO$55,2,FALSE))*IF('18.04'!$AK65="是",'18.04'!$AZ$4,'18.04'!$AZ$3))</f>
        <v>144</v>
      </c>
      <c r="G65" s="4">
        <f>IF(ISNUMBER(SEARCH("营",'18.04'!O65)),(-$Y65+50*IF('18.04'!$AK65="是",'18.04'!$AZ$4,'18.04'!$AZ$3)),(VLOOKUP('18.04'!O65,'18.04'!$AM$4:$AO$55,2,FALSE))*IF('18.04'!$AK65="是",'18.04'!$AZ$4,'18.04'!$AZ$3))</f>
        <v>144</v>
      </c>
      <c r="H65" s="4">
        <f>IF(ISNUMBER(SEARCH("营",'18.04'!P65)),(-$Y65+50*IF('18.04'!$AK65="是",'18.04'!$AZ$4,'18.04'!$AZ$3)),(VLOOKUP('18.04'!P65,'18.04'!$AM$4:$AO$55,2,FALSE))*IF('18.04'!$AK65="是",'18.04'!$AZ$4,'18.04'!$AZ$3))</f>
        <v>144</v>
      </c>
      <c r="I65" s="4">
        <f>IF(ISNUMBER(SEARCH("营",'18.04'!Q65)),(-$Y65+50*IF('18.04'!$AK65="是",'18.04'!$AZ$4,'18.04'!$AZ$3)),(VLOOKUP('18.04'!Q65,'18.04'!$AM$4:$AO$55,2,FALSE))*IF('18.04'!$AK65="是",'18.04'!$AZ$4,'18.04'!$AZ$3))</f>
        <v>160</v>
      </c>
      <c r="J65" s="4">
        <f>IF(ISNUMBER(SEARCH("营",'18.04'!R65)),(-$Y65+50*IF('18.04'!$AK65="是",'18.04'!$AZ$4,'18.04'!$AZ$3)),(VLOOKUP('18.04'!R65,'18.04'!$AM$4:$AO$55,2,FALSE))*IF('18.04'!$AK65="是",'18.04'!$AZ$4,'18.04'!$AZ$3))</f>
        <v>160</v>
      </c>
      <c r="K65" s="4">
        <f>IF(ISNUMBER(SEARCH("营",'18.04'!S65)),(-$Y65+50*IF('18.04'!$AK65="是",'18.04'!$AZ$4,'18.04'!$AZ$3)),(VLOOKUP('18.04'!S65,'18.04'!$AM$4:$AO$55,2,FALSE))*IF('18.04'!$AK65="是",'18.04'!$AZ$4,'18.04'!$AZ$3))</f>
        <v>160</v>
      </c>
      <c r="L65" s="4">
        <f>IF(ISNUMBER(SEARCH("营",'18.04'!T65)),(-$Y65+50*IF('18.04'!$AK65="是",'18.04'!$AZ$4,'18.04'!$AZ$3)),(VLOOKUP('18.04'!T65,'18.04'!$AM$4:$AO$55,2,FALSE))*IF('18.04'!$AK65="是",'18.04'!$AZ$4,'18.04'!$AZ$3))</f>
        <v>160</v>
      </c>
      <c r="M65" s="4">
        <f>IF(ISNUMBER(SEARCH("营",'18.04'!U65)),(-$Y65+50*IF('18.04'!$AK65="是",'18.04'!$AZ$4,'18.04'!$AZ$3)),(VLOOKUP('18.04'!U65,'18.04'!$AM$4:$AO$55,2,FALSE))*IF('18.04'!$AK65="是",'18.04'!$AZ$4,'18.04'!$AZ$3))</f>
        <v>160</v>
      </c>
      <c r="N65" s="4">
        <f>IF(ISNUMBER(SEARCH("营",'18.04'!V65)),(-$Y65+50*IF('18.04'!$AK65="是",'18.04'!$AZ$4,'18.04'!$AZ$3)),(VLOOKUP('18.04'!V65,'18.04'!$AM$4:$AO$55,2,FALSE))*IF('18.04'!$AK65="是",'18.04'!$AZ$4,'18.04'!$AZ$3))</f>
        <v>160</v>
      </c>
      <c r="O65" s="4">
        <f>IF(ISNUMBER(SEARCH("营",'18.04'!W65)),(-$Y65+50*IF('18.04'!$AK65="是",'18.04'!$AZ$4,'18.04'!$AZ$3)),(VLOOKUP('18.04'!W65,'18.04'!$AM$4:$AO$55,2,FALSE))*IF('18.04'!$AK65="是",'18.04'!$AZ$4,'18.04'!$AZ$3))</f>
        <v>160</v>
      </c>
      <c r="P65" s="4">
        <f>IF(ISNUMBER(SEARCH("营",'18.04'!X65)),(-$Y65+50*IF('18.04'!$AK65="是",'18.04'!$AZ$4,'18.04'!$AZ$3)),(VLOOKUP('18.04'!X65,'18.04'!$AM$4:$AO$55,2,FALSE))*IF('18.04'!$AK65="是",'18.04'!$AZ$4,'18.04'!$AZ$3))</f>
        <v>160</v>
      </c>
      <c r="Q65" s="4">
        <f>IF(ISNUMBER(SEARCH("营",'18.04'!Y65)),(-$Y65+50*IF('18.04'!$AK65="是",'18.04'!$AZ$4,'18.04'!$AZ$3)),(VLOOKUP('18.04'!Y65,'18.04'!$AM$4:$AO$55,2,FALSE))*IF('18.04'!$AK65="是",'18.04'!$AZ$4,'18.04'!$AZ$3))</f>
        <v>0</v>
      </c>
      <c r="R65" s="4">
        <f>IF(ISNUMBER(SEARCH("营",'18.04'!Z65)),(-$Y65+50*IF('18.04'!$AK65="是",'18.04'!$AZ$4,'18.04'!$AZ$3)),(VLOOKUP('18.04'!Z65,'18.04'!$AM$4:$AO$55,2,FALSE))*IF('18.04'!$AK65="是",'18.04'!$AZ$4,'18.04'!$AZ$3))</f>
        <v>0</v>
      </c>
      <c r="S65" s="4">
        <f>IF(ISNUMBER(SEARCH("营",'18.04'!AA65)),(-$Y65+50*IF('18.04'!$AK65="是",'18.04'!$AZ$4,'18.04'!$AZ$3)),(VLOOKUP('18.04'!AA65,'18.04'!$AM$4:$AO$55,2,FALSE))*IF('18.04'!$AK65="是",'18.04'!$AZ$4,'18.04'!$AZ$3))</f>
        <v>0</v>
      </c>
      <c r="T65" s="4">
        <f>IF(ISNUMBER(SEARCH("营",'18.04'!AB65)),(-$Y65+50*IF('18.04'!$AK65="是",'18.04'!$AZ$4,'18.04'!$AZ$3)),(VLOOKUP('18.04'!AB65,'18.04'!$AM$4:$AO$55,2,FALSE))*IF('18.04'!$AK65="是",'18.04'!$AZ$4,'18.04'!$AZ$3))</f>
        <v>0</v>
      </c>
      <c r="U65" s="4">
        <f>IF(ISNUMBER(SEARCH("营",'18.04'!AC65)),(-$Y65+50*IF('18.04'!$AK65="是",'18.04'!$AZ$4,'18.04'!$AZ$3)),(VLOOKUP('18.04'!AC65,'18.04'!$AM$4:$AO$55,2,FALSE))*IF('18.04'!$AK65="是",'18.04'!$AZ$4,'18.04'!$AZ$3))</f>
        <v>0</v>
      </c>
      <c r="V65" s="4">
        <f>IF(ISNUMBER(SEARCH("营",'18.04'!AD65)),(-$Y65+50*IF('18.04'!$AK65="是",'18.04'!$AZ$4,'18.04'!$AZ$3)),(VLOOKUP('18.04'!AD65,'18.04'!$AM$4:$AO$55,2,FALSE))*IF('18.04'!$AK65="是",'18.04'!$AZ$4,'18.04'!$AZ$3))</f>
        <v>0</v>
      </c>
      <c r="W65" s="4">
        <f>IF(ISNUMBER(SEARCH("营",'18.04'!AE65)),(-$Y65+50*IF('18.04'!$AK65="是",'18.04'!$AZ$4,'18.04'!$AZ$3)),(VLOOKUP('18.04'!AE65,'18.04'!$AM$4:$AO$55,2,FALSE))*IF('18.04'!$AK65="是",'18.04'!$AZ$4,'18.04'!$AZ$3))</f>
        <v>0</v>
      </c>
      <c r="X65" s="4">
        <f>IF(ISNUMBER(SEARCH("营",'18.04'!AF65)),(-$Y65+50*IF('18.04'!$AK65="是",'18.04'!$AZ$4,'18.04'!$AZ$3)),(VLOOKUP('18.04'!AF65,'18.04'!$AM$4:$AO$55,2,FALSE))*IF('18.04'!$AK65="是",'18.04'!$AZ$4,'18.04'!$AZ$3))</f>
        <v>0</v>
      </c>
      <c r="Y65" s="78">
        <v>100</v>
      </c>
      <c r="Z65" s="90">
        <v>45700</v>
      </c>
    </row>
    <row r="66" spans="1:26">
      <c r="A66" s="4">
        <f>IF(ISNUMBER(SEARCH("营",'18.04'!I66)),(-$Y66+50*IF('18.04'!$AK66="是",'18.04'!$AZ$4,'18.04'!$AZ$3)),(VLOOKUP('18.04'!I66,'18.04'!$AM$4:$AO$55,2,FALSE))*IF('18.04'!$AK66="是",'18.04'!$AZ$4,'18.04'!$AZ$3))</f>
        <v>144</v>
      </c>
      <c r="B66" s="4">
        <f>IF(ISNUMBER(SEARCH("营",'18.04'!J66)),(-$Y66+50*IF('18.04'!$AK66="是",'18.04'!$AZ$4,'18.04'!$AZ$3)),(VLOOKUP('18.04'!J66,'18.04'!$AM$4:$AO$55,2,FALSE))*IF('18.04'!$AK66="是",'18.04'!$AZ$4,'18.04'!$AZ$3))</f>
        <v>144</v>
      </c>
      <c r="C66" s="4">
        <f>IF(ISNUMBER(SEARCH("营",'18.04'!K66)),(-$Y66+50*IF('18.04'!$AK66="是",'18.04'!$AZ$4,'18.04'!$AZ$3)),(VLOOKUP('18.04'!K66,'18.04'!$AM$4:$AO$55,2,FALSE))*IF('18.04'!$AK66="是",'18.04'!$AZ$4,'18.04'!$AZ$3))</f>
        <v>144</v>
      </c>
      <c r="D66" s="4">
        <f>IF(ISNUMBER(SEARCH("营",'18.04'!L66)),(-$Y66+50*IF('18.04'!$AK66="是",'18.04'!$AZ$4,'18.04'!$AZ$3)),(VLOOKUP('18.04'!L66,'18.04'!$AM$4:$AO$55,2,FALSE))*IF('18.04'!$AK66="是",'18.04'!$AZ$4,'18.04'!$AZ$3))</f>
        <v>144</v>
      </c>
      <c r="E66" s="4">
        <f>IF(ISNUMBER(SEARCH("营",'18.04'!M66)),(-$Y66+50*IF('18.04'!$AK66="是",'18.04'!$AZ$4,'18.04'!$AZ$3)),(VLOOKUP('18.04'!M66,'18.04'!$AM$4:$AO$55,2,FALSE))*IF('18.04'!$AK66="是",'18.04'!$AZ$4,'18.04'!$AZ$3))</f>
        <v>144</v>
      </c>
      <c r="F66" s="4">
        <f>IF(ISNUMBER(SEARCH("营",'18.04'!N66)),(-$Y66+50*IF('18.04'!$AK66="是",'18.04'!$AZ$4,'18.04'!$AZ$3)),(VLOOKUP('18.04'!N66,'18.04'!$AM$4:$AO$55,2,FALSE))*IF('18.04'!$AK66="是",'18.04'!$AZ$4,'18.04'!$AZ$3))</f>
        <v>144</v>
      </c>
      <c r="G66" s="4">
        <f>IF(ISNUMBER(SEARCH("营",'18.04'!O66)),(-$Y66+50*IF('18.04'!$AK66="是",'18.04'!$AZ$4,'18.04'!$AZ$3)),(VLOOKUP('18.04'!O66,'18.04'!$AM$4:$AO$55,2,FALSE))*IF('18.04'!$AK66="是",'18.04'!$AZ$4,'18.04'!$AZ$3))</f>
        <v>144</v>
      </c>
      <c r="H66" s="4">
        <f>IF(ISNUMBER(SEARCH("营",'18.04'!P66)),(-$Y66+50*IF('18.04'!$AK66="是",'18.04'!$AZ$4,'18.04'!$AZ$3)),(VLOOKUP('18.04'!P66,'18.04'!$AM$4:$AO$55,2,FALSE))*IF('18.04'!$AK66="是",'18.04'!$AZ$4,'18.04'!$AZ$3))</f>
        <v>144</v>
      </c>
      <c r="I66" s="4">
        <f>IF(ISNUMBER(SEARCH("营",'18.04'!Q66)),(-$Y66+50*IF('18.04'!$AK66="是",'18.04'!$AZ$4,'18.04'!$AZ$3)),(VLOOKUP('18.04'!Q66,'18.04'!$AM$4:$AO$55,2,FALSE))*IF('18.04'!$AK66="是",'18.04'!$AZ$4,'18.04'!$AZ$3))</f>
        <v>160</v>
      </c>
      <c r="J66" s="4">
        <f>IF(ISNUMBER(SEARCH("营",'18.04'!R66)),(-$Y66+50*IF('18.04'!$AK66="是",'18.04'!$AZ$4,'18.04'!$AZ$3)),(VLOOKUP('18.04'!R66,'18.04'!$AM$4:$AO$55,2,FALSE))*IF('18.04'!$AK66="是",'18.04'!$AZ$4,'18.04'!$AZ$3))</f>
        <v>160</v>
      </c>
      <c r="K66" s="4">
        <f>IF(ISNUMBER(SEARCH("营",'18.04'!S66)),(-$Y66+50*IF('18.04'!$AK66="是",'18.04'!$AZ$4,'18.04'!$AZ$3)),(VLOOKUP('18.04'!S66,'18.04'!$AM$4:$AO$55,2,FALSE))*IF('18.04'!$AK66="是",'18.04'!$AZ$4,'18.04'!$AZ$3))</f>
        <v>160</v>
      </c>
      <c r="L66" s="4">
        <f>IF(ISNUMBER(SEARCH("营",'18.04'!T66)),(-$Y66+50*IF('18.04'!$AK66="是",'18.04'!$AZ$4,'18.04'!$AZ$3)),(VLOOKUP('18.04'!T66,'18.04'!$AM$4:$AO$55,2,FALSE))*IF('18.04'!$AK66="是",'18.04'!$AZ$4,'18.04'!$AZ$3))</f>
        <v>160</v>
      </c>
      <c r="M66" s="4">
        <f>IF(ISNUMBER(SEARCH("营",'18.04'!U66)),(-$Y66+50*IF('18.04'!$AK66="是",'18.04'!$AZ$4,'18.04'!$AZ$3)),(VLOOKUP('18.04'!U66,'18.04'!$AM$4:$AO$55,2,FALSE))*IF('18.04'!$AK66="是",'18.04'!$AZ$4,'18.04'!$AZ$3))</f>
        <v>160</v>
      </c>
      <c r="N66" s="4">
        <f>IF(ISNUMBER(SEARCH("营",'18.04'!V66)),(-$Y66+50*IF('18.04'!$AK66="是",'18.04'!$AZ$4,'18.04'!$AZ$3)),(VLOOKUP('18.04'!V66,'18.04'!$AM$4:$AO$55,2,FALSE))*IF('18.04'!$AK66="是",'18.04'!$AZ$4,'18.04'!$AZ$3))</f>
        <v>160</v>
      </c>
      <c r="O66" s="4">
        <f>IF(ISNUMBER(SEARCH("营",'18.04'!W66)),(-$Y66+50*IF('18.04'!$AK66="是",'18.04'!$AZ$4,'18.04'!$AZ$3)),(VLOOKUP('18.04'!W66,'18.04'!$AM$4:$AO$55,2,FALSE))*IF('18.04'!$AK66="是",'18.04'!$AZ$4,'18.04'!$AZ$3))</f>
        <v>160</v>
      </c>
      <c r="P66" s="4">
        <f>IF(ISNUMBER(SEARCH("营",'18.04'!X66)),(-$Y66+50*IF('18.04'!$AK66="是",'18.04'!$AZ$4,'18.04'!$AZ$3)),(VLOOKUP('18.04'!X66,'18.04'!$AM$4:$AO$55,2,FALSE))*IF('18.04'!$AK66="是",'18.04'!$AZ$4,'18.04'!$AZ$3))</f>
        <v>160</v>
      </c>
      <c r="Q66" s="4">
        <f>IF(ISNUMBER(SEARCH("营",'18.04'!Y66)),(-$Y66+50*IF('18.04'!$AK66="是",'18.04'!$AZ$4,'18.04'!$AZ$3)),(VLOOKUP('18.04'!Y66,'18.04'!$AM$4:$AO$55,2,FALSE))*IF('18.04'!$AK66="是",'18.04'!$AZ$4,'18.04'!$AZ$3))</f>
        <v>0</v>
      </c>
      <c r="R66" s="4">
        <f>IF(ISNUMBER(SEARCH("营",'18.04'!Z66)),(-$Y66+50*IF('18.04'!$AK66="是",'18.04'!$AZ$4,'18.04'!$AZ$3)),(VLOOKUP('18.04'!Z66,'18.04'!$AM$4:$AO$55,2,FALSE))*IF('18.04'!$AK66="是",'18.04'!$AZ$4,'18.04'!$AZ$3))</f>
        <v>0</v>
      </c>
      <c r="S66" s="4">
        <f>IF(ISNUMBER(SEARCH("营",'18.04'!AA66)),(-$Y66+50*IF('18.04'!$AK66="是",'18.04'!$AZ$4,'18.04'!$AZ$3)),(VLOOKUP('18.04'!AA66,'18.04'!$AM$4:$AO$55,2,FALSE))*IF('18.04'!$AK66="是",'18.04'!$AZ$4,'18.04'!$AZ$3))</f>
        <v>0</v>
      </c>
      <c r="T66" s="4">
        <f>IF(ISNUMBER(SEARCH("营",'18.04'!AB66)),(-$Y66+50*IF('18.04'!$AK66="是",'18.04'!$AZ$4,'18.04'!$AZ$3)),(VLOOKUP('18.04'!AB66,'18.04'!$AM$4:$AO$55,2,FALSE))*IF('18.04'!$AK66="是",'18.04'!$AZ$4,'18.04'!$AZ$3))</f>
        <v>0</v>
      </c>
      <c r="U66" s="4">
        <f>IF(ISNUMBER(SEARCH("营",'18.04'!AC66)),(-$Y66+50*IF('18.04'!$AK66="是",'18.04'!$AZ$4,'18.04'!$AZ$3)),(VLOOKUP('18.04'!AC66,'18.04'!$AM$4:$AO$55,2,FALSE))*IF('18.04'!$AK66="是",'18.04'!$AZ$4,'18.04'!$AZ$3))</f>
        <v>0</v>
      </c>
      <c r="V66" s="4">
        <f>IF(ISNUMBER(SEARCH("营",'18.04'!AD66)),(-$Y66+50*IF('18.04'!$AK66="是",'18.04'!$AZ$4,'18.04'!$AZ$3)),(VLOOKUP('18.04'!AD66,'18.04'!$AM$4:$AO$55,2,FALSE))*IF('18.04'!$AK66="是",'18.04'!$AZ$4,'18.04'!$AZ$3))</f>
        <v>0</v>
      </c>
      <c r="W66" s="4">
        <f>IF(ISNUMBER(SEARCH("营",'18.04'!AE66)),(-$Y66+50*IF('18.04'!$AK66="是",'18.04'!$AZ$4,'18.04'!$AZ$3)),(VLOOKUP('18.04'!AE66,'18.04'!$AM$4:$AO$55,2,FALSE))*IF('18.04'!$AK66="是",'18.04'!$AZ$4,'18.04'!$AZ$3))</f>
        <v>0</v>
      </c>
      <c r="X66" s="4">
        <f>IF(ISNUMBER(SEARCH("营",'18.04'!AF66)),(-$Y66+50*IF('18.04'!$AK66="是",'18.04'!$AZ$4,'18.04'!$AZ$3)),(VLOOKUP('18.04'!AF66,'18.04'!$AM$4:$AO$55,2,FALSE))*IF('18.04'!$AK66="是",'18.04'!$AZ$4,'18.04'!$AZ$3))</f>
        <v>0</v>
      </c>
      <c r="Y66" s="78">
        <v>100</v>
      </c>
      <c r="Z66" s="90">
        <v>45701</v>
      </c>
    </row>
    <row r="67" spans="1:26">
      <c r="A67" s="4">
        <f>IF(ISNUMBER(SEARCH("营",'18.04'!I67)),(-$Y67+50*IF('18.04'!$AK67="是",'18.04'!$AZ$4,'18.04'!$AZ$3)),(VLOOKUP('18.04'!I67,'18.04'!$AM$4:$AO$55,2,FALSE))*IF('18.04'!$AK67="是",'18.04'!$AZ$4,'18.04'!$AZ$3))</f>
        <v>144</v>
      </c>
      <c r="B67" s="4">
        <f>IF(ISNUMBER(SEARCH("营",'18.04'!J67)),(-$Y67+50*IF('18.04'!$AK67="是",'18.04'!$AZ$4,'18.04'!$AZ$3)),(VLOOKUP('18.04'!J67,'18.04'!$AM$4:$AO$55,2,FALSE))*IF('18.04'!$AK67="是",'18.04'!$AZ$4,'18.04'!$AZ$3))</f>
        <v>144</v>
      </c>
      <c r="C67" s="4">
        <f>IF(ISNUMBER(SEARCH("营",'18.04'!K67)),(-$Y67+50*IF('18.04'!$AK67="是",'18.04'!$AZ$4,'18.04'!$AZ$3)),(VLOOKUP('18.04'!K67,'18.04'!$AM$4:$AO$55,2,FALSE))*IF('18.04'!$AK67="是",'18.04'!$AZ$4,'18.04'!$AZ$3))</f>
        <v>144</v>
      </c>
      <c r="D67" s="4">
        <f>IF(ISNUMBER(SEARCH("营",'18.04'!L67)),(-$Y67+50*IF('18.04'!$AK67="是",'18.04'!$AZ$4,'18.04'!$AZ$3)),(VLOOKUP('18.04'!L67,'18.04'!$AM$4:$AO$55,2,FALSE))*IF('18.04'!$AK67="是",'18.04'!$AZ$4,'18.04'!$AZ$3))</f>
        <v>144</v>
      </c>
      <c r="E67" s="4">
        <f>IF(ISNUMBER(SEARCH("营",'18.04'!M67)),(-$Y67+50*IF('18.04'!$AK67="是",'18.04'!$AZ$4,'18.04'!$AZ$3)),(VLOOKUP('18.04'!M67,'18.04'!$AM$4:$AO$55,2,FALSE))*IF('18.04'!$AK67="是",'18.04'!$AZ$4,'18.04'!$AZ$3))</f>
        <v>144</v>
      </c>
      <c r="F67" s="4">
        <f>IF(ISNUMBER(SEARCH("营",'18.04'!N67)),(-$Y67+50*IF('18.04'!$AK67="是",'18.04'!$AZ$4,'18.04'!$AZ$3)),(VLOOKUP('18.04'!N67,'18.04'!$AM$4:$AO$55,2,FALSE))*IF('18.04'!$AK67="是",'18.04'!$AZ$4,'18.04'!$AZ$3))</f>
        <v>144</v>
      </c>
      <c r="G67" s="4">
        <f>IF(ISNUMBER(SEARCH("营",'18.04'!O67)),(-$Y67+50*IF('18.04'!$AK67="是",'18.04'!$AZ$4,'18.04'!$AZ$3)),(VLOOKUP('18.04'!O67,'18.04'!$AM$4:$AO$55,2,FALSE))*IF('18.04'!$AK67="是",'18.04'!$AZ$4,'18.04'!$AZ$3))</f>
        <v>144</v>
      </c>
      <c r="H67" s="4">
        <f>IF(ISNUMBER(SEARCH("营",'18.04'!P67)),(-$Y67+50*IF('18.04'!$AK67="是",'18.04'!$AZ$4,'18.04'!$AZ$3)),(VLOOKUP('18.04'!P67,'18.04'!$AM$4:$AO$55,2,FALSE))*IF('18.04'!$AK67="是",'18.04'!$AZ$4,'18.04'!$AZ$3))</f>
        <v>144</v>
      </c>
      <c r="I67" s="4">
        <f>IF(ISNUMBER(SEARCH("营",'18.04'!Q67)),(-$Y67+50*IF('18.04'!$AK67="是",'18.04'!$AZ$4,'18.04'!$AZ$3)),(VLOOKUP('18.04'!Q67,'18.04'!$AM$4:$AO$55,2,FALSE))*IF('18.04'!$AK67="是",'18.04'!$AZ$4,'18.04'!$AZ$3))</f>
        <v>160</v>
      </c>
      <c r="J67" s="4">
        <f>IF(ISNUMBER(SEARCH("营",'18.04'!R67)),(-$Y67+50*IF('18.04'!$AK67="是",'18.04'!$AZ$4,'18.04'!$AZ$3)),(VLOOKUP('18.04'!R67,'18.04'!$AM$4:$AO$55,2,FALSE))*IF('18.04'!$AK67="是",'18.04'!$AZ$4,'18.04'!$AZ$3))</f>
        <v>160</v>
      </c>
      <c r="K67" s="4">
        <f>IF(ISNUMBER(SEARCH("营",'18.04'!S67)),(-$Y67+50*IF('18.04'!$AK67="是",'18.04'!$AZ$4,'18.04'!$AZ$3)),(VLOOKUP('18.04'!S67,'18.04'!$AM$4:$AO$55,2,FALSE))*IF('18.04'!$AK67="是",'18.04'!$AZ$4,'18.04'!$AZ$3))</f>
        <v>160</v>
      </c>
      <c r="L67" s="4">
        <f>IF(ISNUMBER(SEARCH("营",'18.04'!T67)),(-$Y67+50*IF('18.04'!$AK67="是",'18.04'!$AZ$4,'18.04'!$AZ$3)),(VLOOKUP('18.04'!T67,'18.04'!$AM$4:$AO$55,2,FALSE))*IF('18.04'!$AK67="是",'18.04'!$AZ$4,'18.04'!$AZ$3))</f>
        <v>160</v>
      </c>
      <c r="M67" s="4">
        <f>IF(ISNUMBER(SEARCH("营",'18.04'!U67)),(-$Y67+50*IF('18.04'!$AK67="是",'18.04'!$AZ$4,'18.04'!$AZ$3)),(VLOOKUP('18.04'!U67,'18.04'!$AM$4:$AO$55,2,FALSE))*IF('18.04'!$AK67="是",'18.04'!$AZ$4,'18.04'!$AZ$3))</f>
        <v>160</v>
      </c>
      <c r="N67" s="4">
        <f>IF(ISNUMBER(SEARCH("营",'18.04'!V67)),(-$Y67+50*IF('18.04'!$AK67="是",'18.04'!$AZ$4,'18.04'!$AZ$3)),(VLOOKUP('18.04'!V67,'18.04'!$AM$4:$AO$55,2,FALSE))*IF('18.04'!$AK67="是",'18.04'!$AZ$4,'18.04'!$AZ$3))</f>
        <v>160</v>
      </c>
      <c r="O67" s="4">
        <f>IF(ISNUMBER(SEARCH("营",'18.04'!W67)),(-$Y67+50*IF('18.04'!$AK67="是",'18.04'!$AZ$4,'18.04'!$AZ$3)),(VLOOKUP('18.04'!W67,'18.04'!$AM$4:$AO$55,2,FALSE))*IF('18.04'!$AK67="是",'18.04'!$AZ$4,'18.04'!$AZ$3))</f>
        <v>160</v>
      </c>
      <c r="P67" s="4">
        <f>IF(ISNUMBER(SEARCH("营",'18.04'!X67)),(-$Y67+50*IF('18.04'!$AK67="是",'18.04'!$AZ$4,'18.04'!$AZ$3)),(VLOOKUP('18.04'!X67,'18.04'!$AM$4:$AO$55,2,FALSE))*IF('18.04'!$AK67="是",'18.04'!$AZ$4,'18.04'!$AZ$3))</f>
        <v>160</v>
      </c>
      <c r="Q67" s="4">
        <f>IF(ISNUMBER(SEARCH("营",'18.04'!Y67)),(-$Y67+50*IF('18.04'!$AK67="是",'18.04'!$AZ$4,'18.04'!$AZ$3)),(VLOOKUP('18.04'!Y67,'18.04'!$AM$4:$AO$55,2,FALSE))*IF('18.04'!$AK67="是",'18.04'!$AZ$4,'18.04'!$AZ$3))</f>
        <v>0</v>
      </c>
      <c r="R67" s="4">
        <f>IF(ISNUMBER(SEARCH("营",'18.04'!Z67)),(-$Y67+50*IF('18.04'!$AK67="是",'18.04'!$AZ$4,'18.04'!$AZ$3)),(VLOOKUP('18.04'!Z67,'18.04'!$AM$4:$AO$55,2,FALSE))*IF('18.04'!$AK67="是",'18.04'!$AZ$4,'18.04'!$AZ$3))</f>
        <v>0</v>
      </c>
      <c r="S67" s="4">
        <f>IF(ISNUMBER(SEARCH("营",'18.04'!AA67)),(-$Y67+50*IF('18.04'!$AK67="是",'18.04'!$AZ$4,'18.04'!$AZ$3)),(VLOOKUP('18.04'!AA67,'18.04'!$AM$4:$AO$55,2,FALSE))*IF('18.04'!$AK67="是",'18.04'!$AZ$4,'18.04'!$AZ$3))</f>
        <v>0</v>
      </c>
      <c r="T67" s="4">
        <f>IF(ISNUMBER(SEARCH("营",'18.04'!AB67)),(-$Y67+50*IF('18.04'!$AK67="是",'18.04'!$AZ$4,'18.04'!$AZ$3)),(VLOOKUP('18.04'!AB67,'18.04'!$AM$4:$AO$55,2,FALSE))*IF('18.04'!$AK67="是",'18.04'!$AZ$4,'18.04'!$AZ$3))</f>
        <v>0</v>
      </c>
      <c r="U67" s="4">
        <f>IF(ISNUMBER(SEARCH("营",'18.04'!AC67)),(-$Y67+50*IF('18.04'!$AK67="是",'18.04'!$AZ$4,'18.04'!$AZ$3)),(VLOOKUP('18.04'!AC67,'18.04'!$AM$4:$AO$55,2,FALSE))*IF('18.04'!$AK67="是",'18.04'!$AZ$4,'18.04'!$AZ$3))</f>
        <v>0</v>
      </c>
      <c r="V67" s="4">
        <f>IF(ISNUMBER(SEARCH("营",'18.04'!AD67)),(-$Y67+50*IF('18.04'!$AK67="是",'18.04'!$AZ$4,'18.04'!$AZ$3)),(VLOOKUP('18.04'!AD67,'18.04'!$AM$4:$AO$55,2,FALSE))*IF('18.04'!$AK67="是",'18.04'!$AZ$4,'18.04'!$AZ$3))</f>
        <v>0</v>
      </c>
      <c r="W67" s="4">
        <f>IF(ISNUMBER(SEARCH("营",'18.04'!AE67)),(-$Y67+50*IF('18.04'!$AK67="是",'18.04'!$AZ$4,'18.04'!$AZ$3)),(VLOOKUP('18.04'!AE67,'18.04'!$AM$4:$AO$55,2,FALSE))*IF('18.04'!$AK67="是",'18.04'!$AZ$4,'18.04'!$AZ$3))</f>
        <v>0</v>
      </c>
      <c r="X67" s="4">
        <f>IF(ISNUMBER(SEARCH("营",'18.04'!AF67)),(-$Y67+50*IF('18.04'!$AK67="是",'18.04'!$AZ$4,'18.04'!$AZ$3)),(VLOOKUP('18.04'!AF67,'18.04'!$AM$4:$AO$55,2,FALSE))*IF('18.04'!$AK67="是",'18.04'!$AZ$4,'18.04'!$AZ$3))</f>
        <v>0</v>
      </c>
      <c r="Y67" s="78">
        <v>100</v>
      </c>
      <c r="Z67" s="90">
        <v>45702</v>
      </c>
    </row>
    <row r="68" spans="1:26">
      <c r="A68" s="4">
        <f>IF(ISNUMBER(SEARCH("营",'18.04'!I68)),(-$Y68+50*IF('18.04'!$AK68="是",'18.04'!$AZ$4,'18.04'!$AZ$3)),(VLOOKUP('18.04'!I68,'18.04'!$AM$4:$AO$55,2,FALSE))*IF('18.04'!$AK68="是",'18.04'!$AZ$4,'18.04'!$AZ$3))</f>
        <v>144</v>
      </c>
      <c r="B68" s="4">
        <f>IF(ISNUMBER(SEARCH("营",'18.04'!J68)),(-$Y68+50*IF('18.04'!$AK68="是",'18.04'!$AZ$4,'18.04'!$AZ$3)),(VLOOKUP('18.04'!J68,'18.04'!$AM$4:$AO$55,2,FALSE))*IF('18.04'!$AK68="是",'18.04'!$AZ$4,'18.04'!$AZ$3))</f>
        <v>144</v>
      </c>
      <c r="C68" s="4">
        <f>IF(ISNUMBER(SEARCH("营",'18.04'!K68)),(-$Y68+50*IF('18.04'!$AK68="是",'18.04'!$AZ$4,'18.04'!$AZ$3)),(VLOOKUP('18.04'!K68,'18.04'!$AM$4:$AO$55,2,FALSE))*IF('18.04'!$AK68="是",'18.04'!$AZ$4,'18.04'!$AZ$3))</f>
        <v>144</v>
      </c>
      <c r="D68" s="4">
        <f>IF(ISNUMBER(SEARCH("营",'18.04'!L68)),(-$Y68+50*IF('18.04'!$AK68="是",'18.04'!$AZ$4,'18.04'!$AZ$3)),(VLOOKUP('18.04'!L68,'18.04'!$AM$4:$AO$55,2,FALSE))*IF('18.04'!$AK68="是",'18.04'!$AZ$4,'18.04'!$AZ$3))</f>
        <v>144</v>
      </c>
      <c r="E68" s="4">
        <f>IF(ISNUMBER(SEARCH("营",'18.04'!M68)),(-$Y68+50*IF('18.04'!$AK68="是",'18.04'!$AZ$4,'18.04'!$AZ$3)),(VLOOKUP('18.04'!M68,'18.04'!$AM$4:$AO$55,2,FALSE))*IF('18.04'!$AK68="是",'18.04'!$AZ$4,'18.04'!$AZ$3))</f>
        <v>144</v>
      </c>
      <c r="F68" s="4">
        <f>IF(ISNUMBER(SEARCH("营",'18.04'!N68)),(-$Y68+50*IF('18.04'!$AK68="是",'18.04'!$AZ$4,'18.04'!$AZ$3)),(VLOOKUP('18.04'!N68,'18.04'!$AM$4:$AO$55,2,FALSE))*IF('18.04'!$AK68="是",'18.04'!$AZ$4,'18.04'!$AZ$3))</f>
        <v>144</v>
      </c>
      <c r="G68" s="4">
        <f>IF(ISNUMBER(SEARCH("营",'18.04'!O68)),(-$Y68+50*IF('18.04'!$AK68="是",'18.04'!$AZ$4,'18.04'!$AZ$3)),(VLOOKUP('18.04'!O68,'18.04'!$AM$4:$AO$55,2,FALSE))*IF('18.04'!$AK68="是",'18.04'!$AZ$4,'18.04'!$AZ$3))</f>
        <v>144</v>
      </c>
      <c r="H68" s="4">
        <f>IF(ISNUMBER(SEARCH("营",'18.04'!P68)),(-$Y68+50*IF('18.04'!$AK68="是",'18.04'!$AZ$4,'18.04'!$AZ$3)),(VLOOKUP('18.04'!P68,'18.04'!$AM$4:$AO$55,2,FALSE))*IF('18.04'!$AK68="是",'18.04'!$AZ$4,'18.04'!$AZ$3))</f>
        <v>144</v>
      </c>
      <c r="I68" s="4">
        <f>IF(ISNUMBER(SEARCH("营",'18.04'!Q68)),(-$Y68+50*IF('18.04'!$AK68="是",'18.04'!$AZ$4,'18.04'!$AZ$3)),(VLOOKUP('18.04'!Q68,'18.04'!$AM$4:$AO$55,2,FALSE))*IF('18.04'!$AK68="是",'18.04'!$AZ$4,'18.04'!$AZ$3))</f>
        <v>160</v>
      </c>
      <c r="J68" s="4">
        <f>IF(ISNUMBER(SEARCH("营",'18.04'!R68)),(-$Y68+50*IF('18.04'!$AK68="是",'18.04'!$AZ$4,'18.04'!$AZ$3)),(VLOOKUP('18.04'!R68,'18.04'!$AM$4:$AO$55,2,FALSE))*IF('18.04'!$AK68="是",'18.04'!$AZ$4,'18.04'!$AZ$3))</f>
        <v>160</v>
      </c>
      <c r="K68" s="4">
        <f>IF(ISNUMBER(SEARCH("营",'18.04'!S68)),(-$Y68+50*IF('18.04'!$AK68="是",'18.04'!$AZ$4,'18.04'!$AZ$3)),(VLOOKUP('18.04'!S68,'18.04'!$AM$4:$AO$55,2,FALSE))*IF('18.04'!$AK68="是",'18.04'!$AZ$4,'18.04'!$AZ$3))</f>
        <v>160</v>
      </c>
      <c r="L68" s="4">
        <f>IF(ISNUMBER(SEARCH("营",'18.04'!T68)),(-$Y68+50*IF('18.04'!$AK68="是",'18.04'!$AZ$4,'18.04'!$AZ$3)),(VLOOKUP('18.04'!T68,'18.04'!$AM$4:$AO$55,2,FALSE))*IF('18.04'!$AK68="是",'18.04'!$AZ$4,'18.04'!$AZ$3))</f>
        <v>160</v>
      </c>
      <c r="M68" s="4">
        <f>IF(ISNUMBER(SEARCH("营",'18.04'!U68)),(-$Y68+50*IF('18.04'!$AK68="是",'18.04'!$AZ$4,'18.04'!$AZ$3)),(VLOOKUP('18.04'!U68,'18.04'!$AM$4:$AO$55,2,FALSE))*IF('18.04'!$AK68="是",'18.04'!$AZ$4,'18.04'!$AZ$3))</f>
        <v>160</v>
      </c>
      <c r="N68" s="4">
        <f>IF(ISNUMBER(SEARCH("营",'18.04'!V68)),(-$Y68+50*IF('18.04'!$AK68="是",'18.04'!$AZ$4,'18.04'!$AZ$3)),(VLOOKUP('18.04'!V68,'18.04'!$AM$4:$AO$55,2,FALSE))*IF('18.04'!$AK68="是",'18.04'!$AZ$4,'18.04'!$AZ$3))</f>
        <v>160</v>
      </c>
      <c r="O68" s="4">
        <f>IF(ISNUMBER(SEARCH("营",'18.04'!W68)),(-$Y68+50*IF('18.04'!$AK68="是",'18.04'!$AZ$4,'18.04'!$AZ$3)),(VLOOKUP('18.04'!W68,'18.04'!$AM$4:$AO$55,2,FALSE))*IF('18.04'!$AK68="是",'18.04'!$AZ$4,'18.04'!$AZ$3))</f>
        <v>160</v>
      </c>
      <c r="P68" s="4">
        <f>IF(ISNUMBER(SEARCH("营",'18.04'!X68)),(-$Y68+50*IF('18.04'!$AK68="是",'18.04'!$AZ$4,'18.04'!$AZ$3)),(VLOOKUP('18.04'!X68,'18.04'!$AM$4:$AO$55,2,FALSE))*IF('18.04'!$AK68="是",'18.04'!$AZ$4,'18.04'!$AZ$3))</f>
        <v>160</v>
      </c>
      <c r="Q68" s="4">
        <f>IF(ISNUMBER(SEARCH("营",'18.04'!Y68)),(-$Y68+50*IF('18.04'!$AK68="是",'18.04'!$AZ$4,'18.04'!$AZ$3)),(VLOOKUP('18.04'!Y68,'18.04'!$AM$4:$AO$55,2,FALSE))*IF('18.04'!$AK68="是",'18.04'!$AZ$4,'18.04'!$AZ$3))</f>
        <v>0</v>
      </c>
      <c r="R68" s="4">
        <f>IF(ISNUMBER(SEARCH("营",'18.04'!Z68)),(-$Y68+50*IF('18.04'!$AK68="是",'18.04'!$AZ$4,'18.04'!$AZ$3)),(VLOOKUP('18.04'!Z68,'18.04'!$AM$4:$AO$55,2,FALSE))*IF('18.04'!$AK68="是",'18.04'!$AZ$4,'18.04'!$AZ$3))</f>
        <v>0</v>
      </c>
      <c r="S68" s="4">
        <f>IF(ISNUMBER(SEARCH("营",'18.04'!AA68)),(-$Y68+50*IF('18.04'!$AK68="是",'18.04'!$AZ$4,'18.04'!$AZ$3)),(VLOOKUP('18.04'!AA68,'18.04'!$AM$4:$AO$55,2,FALSE))*IF('18.04'!$AK68="是",'18.04'!$AZ$4,'18.04'!$AZ$3))</f>
        <v>0</v>
      </c>
      <c r="T68" s="4">
        <f>IF(ISNUMBER(SEARCH("营",'18.04'!AB68)),(-$Y68+50*IF('18.04'!$AK68="是",'18.04'!$AZ$4,'18.04'!$AZ$3)),(VLOOKUP('18.04'!AB68,'18.04'!$AM$4:$AO$55,2,FALSE))*IF('18.04'!$AK68="是",'18.04'!$AZ$4,'18.04'!$AZ$3))</f>
        <v>0</v>
      </c>
      <c r="U68" s="4">
        <f>IF(ISNUMBER(SEARCH("营",'18.04'!AC68)),(-$Y68+50*IF('18.04'!$AK68="是",'18.04'!$AZ$4,'18.04'!$AZ$3)),(VLOOKUP('18.04'!AC68,'18.04'!$AM$4:$AO$55,2,FALSE))*IF('18.04'!$AK68="是",'18.04'!$AZ$4,'18.04'!$AZ$3))</f>
        <v>0</v>
      </c>
      <c r="V68" s="4">
        <f>IF(ISNUMBER(SEARCH("营",'18.04'!AD68)),(-$Y68+50*IF('18.04'!$AK68="是",'18.04'!$AZ$4,'18.04'!$AZ$3)),(VLOOKUP('18.04'!AD68,'18.04'!$AM$4:$AO$55,2,FALSE))*IF('18.04'!$AK68="是",'18.04'!$AZ$4,'18.04'!$AZ$3))</f>
        <v>0</v>
      </c>
      <c r="W68" s="4">
        <f>IF(ISNUMBER(SEARCH("营",'18.04'!AE68)),(-$Y68+50*IF('18.04'!$AK68="是",'18.04'!$AZ$4,'18.04'!$AZ$3)),(VLOOKUP('18.04'!AE68,'18.04'!$AM$4:$AO$55,2,FALSE))*IF('18.04'!$AK68="是",'18.04'!$AZ$4,'18.04'!$AZ$3))</f>
        <v>0</v>
      </c>
      <c r="X68" s="4">
        <f>IF(ISNUMBER(SEARCH("营",'18.04'!AF68)),(-$Y68+50*IF('18.04'!$AK68="是",'18.04'!$AZ$4,'18.04'!$AZ$3)),(VLOOKUP('18.04'!AF68,'18.04'!$AM$4:$AO$55,2,FALSE))*IF('18.04'!$AK68="是",'18.04'!$AZ$4,'18.04'!$AZ$3))</f>
        <v>0</v>
      </c>
      <c r="Y68" s="78">
        <v>100</v>
      </c>
      <c r="Z68" s="90">
        <v>45703</v>
      </c>
    </row>
    <row r="69" spans="1:26">
      <c r="A69" s="4">
        <f>IF(ISNUMBER(SEARCH("营",'18.04'!I69)),(-$Y69+50*IF('18.04'!$AK69="是",'18.04'!$AZ$4,'18.04'!$AZ$3)),(VLOOKUP('18.04'!I69,'18.04'!$AM$4:$AO$55,2,FALSE))*IF('18.04'!$AK69="是",'18.04'!$AZ$4,'18.04'!$AZ$3))</f>
        <v>144</v>
      </c>
      <c r="B69" s="4">
        <f>IF(ISNUMBER(SEARCH("营",'18.04'!J69)),(-$Y69+50*IF('18.04'!$AK69="是",'18.04'!$AZ$4,'18.04'!$AZ$3)),(VLOOKUP('18.04'!J69,'18.04'!$AM$4:$AO$55,2,FALSE))*IF('18.04'!$AK69="是",'18.04'!$AZ$4,'18.04'!$AZ$3))</f>
        <v>144</v>
      </c>
      <c r="C69" s="4">
        <f>IF(ISNUMBER(SEARCH("营",'18.04'!K69)),(-$Y69+50*IF('18.04'!$AK69="是",'18.04'!$AZ$4,'18.04'!$AZ$3)),(VLOOKUP('18.04'!K69,'18.04'!$AM$4:$AO$55,2,FALSE))*IF('18.04'!$AK69="是",'18.04'!$AZ$4,'18.04'!$AZ$3))</f>
        <v>144</v>
      </c>
      <c r="D69" s="4">
        <f>IF(ISNUMBER(SEARCH("营",'18.04'!L69)),(-$Y69+50*IF('18.04'!$AK69="是",'18.04'!$AZ$4,'18.04'!$AZ$3)),(VLOOKUP('18.04'!L69,'18.04'!$AM$4:$AO$55,2,FALSE))*IF('18.04'!$AK69="是",'18.04'!$AZ$4,'18.04'!$AZ$3))</f>
        <v>144</v>
      </c>
      <c r="E69" s="4">
        <f>IF(ISNUMBER(SEARCH("营",'18.04'!M69)),(-$Y69+50*IF('18.04'!$AK69="是",'18.04'!$AZ$4,'18.04'!$AZ$3)),(VLOOKUP('18.04'!M69,'18.04'!$AM$4:$AO$55,2,FALSE))*IF('18.04'!$AK69="是",'18.04'!$AZ$4,'18.04'!$AZ$3))</f>
        <v>144</v>
      </c>
      <c r="F69" s="4">
        <f>IF(ISNUMBER(SEARCH("营",'18.04'!N69)),(-$Y69+50*IF('18.04'!$AK69="是",'18.04'!$AZ$4,'18.04'!$AZ$3)),(VLOOKUP('18.04'!N69,'18.04'!$AM$4:$AO$55,2,FALSE))*IF('18.04'!$AK69="是",'18.04'!$AZ$4,'18.04'!$AZ$3))</f>
        <v>144</v>
      </c>
      <c r="G69" s="4">
        <f>IF(ISNUMBER(SEARCH("营",'18.04'!O69)),(-$Y69+50*IF('18.04'!$AK69="是",'18.04'!$AZ$4,'18.04'!$AZ$3)),(VLOOKUP('18.04'!O69,'18.04'!$AM$4:$AO$55,2,FALSE))*IF('18.04'!$AK69="是",'18.04'!$AZ$4,'18.04'!$AZ$3))</f>
        <v>144</v>
      </c>
      <c r="H69" s="4">
        <f>IF(ISNUMBER(SEARCH("营",'18.04'!P69)),(-$Y69+50*IF('18.04'!$AK69="是",'18.04'!$AZ$4,'18.04'!$AZ$3)),(VLOOKUP('18.04'!P69,'18.04'!$AM$4:$AO$55,2,FALSE))*IF('18.04'!$AK69="是",'18.04'!$AZ$4,'18.04'!$AZ$3))</f>
        <v>144</v>
      </c>
      <c r="I69" s="4">
        <f>IF(ISNUMBER(SEARCH("营",'18.04'!Q69)),(-$Y69+50*IF('18.04'!$AK69="是",'18.04'!$AZ$4,'18.04'!$AZ$3)),(VLOOKUP('18.04'!Q69,'18.04'!$AM$4:$AO$55,2,FALSE))*IF('18.04'!$AK69="是",'18.04'!$AZ$4,'18.04'!$AZ$3))</f>
        <v>160</v>
      </c>
      <c r="J69" s="4">
        <f>IF(ISNUMBER(SEARCH("营",'18.04'!R69)),(-$Y69+50*IF('18.04'!$AK69="是",'18.04'!$AZ$4,'18.04'!$AZ$3)),(VLOOKUP('18.04'!R69,'18.04'!$AM$4:$AO$55,2,FALSE))*IF('18.04'!$AK69="是",'18.04'!$AZ$4,'18.04'!$AZ$3))</f>
        <v>160</v>
      </c>
      <c r="K69" s="4">
        <f>IF(ISNUMBER(SEARCH("营",'18.04'!S69)),(-$Y69+50*IF('18.04'!$AK69="是",'18.04'!$AZ$4,'18.04'!$AZ$3)),(VLOOKUP('18.04'!S69,'18.04'!$AM$4:$AO$55,2,FALSE))*IF('18.04'!$AK69="是",'18.04'!$AZ$4,'18.04'!$AZ$3))</f>
        <v>160</v>
      </c>
      <c r="L69" s="4">
        <f>IF(ISNUMBER(SEARCH("营",'18.04'!T69)),(-$Y69+50*IF('18.04'!$AK69="是",'18.04'!$AZ$4,'18.04'!$AZ$3)),(VLOOKUP('18.04'!T69,'18.04'!$AM$4:$AO$55,2,FALSE))*IF('18.04'!$AK69="是",'18.04'!$AZ$4,'18.04'!$AZ$3))</f>
        <v>160</v>
      </c>
      <c r="M69" s="4">
        <f>IF(ISNUMBER(SEARCH("营",'18.04'!U69)),(-$Y69+50*IF('18.04'!$AK69="是",'18.04'!$AZ$4,'18.04'!$AZ$3)),(VLOOKUP('18.04'!U69,'18.04'!$AM$4:$AO$55,2,FALSE))*IF('18.04'!$AK69="是",'18.04'!$AZ$4,'18.04'!$AZ$3))</f>
        <v>160</v>
      </c>
      <c r="N69" s="4">
        <f>IF(ISNUMBER(SEARCH("营",'18.04'!V69)),(-$Y69+50*IF('18.04'!$AK69="是",'18.04'!$AZ$4,'18.04'!$AZ$3)),(VLOOKUP('18.04'!V69,'18.04'!$AM$4:$AO$55,2,FALSE))*IF('18.04'!$AK69="是",'18.04'!$AZ$4,'18.04'!$AZ$3))</f>
        <v>160</v>
      </c>
      <c r="O69" s="4">
        <f>IF(ISNUMBER(SEARCH("营",'18.04'!W69)),(-$Y69+50*IF('18.04'!$AK69="是",'18.04'!$AZ$4,'18.04'!$AZ$3)),(VLOOKUP('18.04'!W69,'18.04'!$AM$4:$AO$55,2,FALSE))*IF('18.04'!$AK69="是",'18.04'!$AZ$4,'18.04'!$AZ$3))</f>
        <v>160</v>
      </c>
      <c r="P69" s="4">
        <f>IF(ISNUMBER(SEARCH("营",'18.04'!X69)),(-$Y69+50*IF('18.04'!$AK69="是",'18.04'!$AZ$4,'18.04'!$AZ$3)),(VLOOKUP('18.04'!X69,'18.04'!$AM$4:$AO$55,2,FALSE))*IF('18.04'!$AK69="是",'18.04'!$AZ$4,'18.04'!$AZ$3))</f>
        <v>160</v>
      </c>
      <c r="Q69" s="4">
        <f>IF(ISNUMBER(SEARCH("营",'18.04'!Y69)),(-$Y69+50*IF('18.04'!$AK69="是",'18.04'!$AZ$4,'18.04'!$AZ$3)),(VLOOKUP('18.04'!Y69,'18.04'!$AM$4:$AO$55,2,FALSE))*IF('18.04'!$AK69="是",'18.04'!$AZ$4,'18.04'!$AZ$3))</f>
        <v>0</v>
      </c>
      <c r="R69" s="4">
        <f>IF(ISNUMBER(SEARCH("营",'18.04'!Z69)),(-$Y69+50*IF('18.04'!$AK69="是",'18.04'!$AZ$4,'18.04'!$AZ$3)),(VLOOKUP('18.04'!Z69,'18.04'!$AM$4:$AO$55,2,FALSE))*IF('18.04'!$AK69="是",'18.04'!$AZ$4,'18.04'!$AZ$3))</f>
        <v>0</v>
      </c>
      <c r="S69" s="4">
        <f>IF(ISNUMBER(SEARCH("营",'18.04'!AA69)),(-$Y69+50*IF('18.04'!$AK69="是",'18.04'!$AZ$4,'18.04'!$AZ$3)),(VLOOKUP('18.04'!AA69,'18.04'!$AM$4:$AO$55,2,FALSE))*IF('18.04'!$AK69="是",'18.04'!$AZ$4,'18.04'!$AZ$3))</f>
        <v>0</v>
      </c>
      <c r="T69" s="4">
        <f>IF(ISNUMBER(SEARCH("营",'18.04'!AB69)),(-$Y69+50*IF('18.04'!$AK69="是",'18.04'!$AZ$4,'18.04'!$AZ$3)),(VLOOKUP('18.04'!AB69,'18.04'!$AM$4:$AO$55,2,FALSE))*IF('18.04'!$AK69="是",'18.04'!$AZ$4,'18.04'!$AZ$3))</f>
        <v>0</v>
      </c>
      <c r="U69" s="4">
        <f>IF(ISNUMBER(SEARCH("营",'18.04'!AC69)),(-$Y69+50*IF('18.04'!$AK69="是",'18.04'!$AZ$4,'18.04'!$AZ$3)),(VLOOKUP('18.04'!AC69,'18.04'!$AM$4:$AO$55,2,FALSE))*IF('18.04'!$AK69="是",'18.04'!$AZ$4,'18.04'!$AZ$3))</f>
        <v>0</v>
      </c>
      <c r="V69" s="4">
        <f>IF(ISNUMBER(SEARCH("营",'18.04'!AD69)),(-$Y69+50*IF('18.04'!$AK69="是",'18.04'!$AZ$4,'18.04'!$AZ$3)),(VLOOKUP('18.04'!AD69,'18.04'!$AM$4:$AO$55,2,FALSE))*IF('18.04'!$AK69="是",'18.04'!$AZ$4,'18.04'!$AZ$3))</f>
        <v>0</v>
      </c>
      <c r="W69" s="4">
        <f>IF(ISNUMBER(SEARCH("营",'18.04'!AE69)),(-$Y69+50*IF('18.04'!$AK69="是",'18.04'!$AZ$4,'18.04'!$AZ$3)),(VLOOKUP('18.04'!AE69,'18.04'!$AM$4:$AO$55,2,FALSE))*IF('18.04'!$AK69="是",'18.04'!$AZ$4,'18.04'!$AZ$3))</f>
        <v>0</v>
      </c>
      <c r="X69" s="4">
        <f>IF(ISNUMBER(SEARCH("营",'18.04'!AF69)),(-$Y69+50*IF('18.04'!$AK69="是",'18.04'!$AZ$4,'18.04'!$AZ$3)),(VLOOKUP('18.04'!AF69,'18.04'!$AM$4:$AO$55,2,FALSE))*IF('18.04'!$AK69="是",'18.04'!$AZ$4,'18.04'!$AZ$3))</f>
        <v>0</v>
      </c>
      <c r="Y69" s="78">
        <v>100</v>
      </c>
      <c r="Z69" s="90">
        <v>45704</v>
      </c>
    </row>
    <row r="70" spans="1:26">
      <c r="A70" s="4">
        <f>IF(ISNUMBER(SEARCH("营",'18.04'!I70)),(-$Y70+50*IF('18.04'!$AK70="是",'18.04'!$AZ$4,'18.04'!$AZ$3)),(VLOOKUP('18.04'!I70,'18.04'!$AM$4:$AO$55,2,FALSE))*IF('18.04'!$AK70="是",'18.04'!$AZ$4,'18.04'!$AZ$3))</f>
        <v>144</v>
      </c>
      <c r="B70" s="4">
        <f>IF(ISNUMBER(SEARCH("营",'18.04'!J70)),(-$Y70+50*IF('18.04'!$AK70="是",'18.04'!$AZ$4,'18.04'!$AZ$3)),(VLOOKUP('18.04'!J70,'18.04'!$AM$4:$AO$55,2,FALSE))*IF('18.04'!$AK70="是",'18.04'!$AZ$4,'18.04'!$AZ$3))</f>
        <v>144</v>
      </c>
      <c r="C70" s="4">
        <f>IF(ISNUMBER(SEARCH("营",'18.04'!K70)),(-$Y70+50*IF('18.04'!$AK70="是",'18.04'!$AZ$4,'18.04'!$AZ$3)),(VLOOKUP('18.04'!K70,'18.04'!$AM$4:$AO$55,2,FALSE))*IF('18.04'!$AK70="是",'18.04'!$AZ$4,'18.04'!$AZ$3))</f>
        <v>144</v>
      </c>
      <c r="D70" s="4">
        <f>IF(ISNUMBER(SEARCH("营",'18.04'!L70)),(-$Y70+50*IF('18.04'!$AK70="是",'18.04'!$AZ$4,'18.04'!$AZ$3)),(VLOOKUP('18.04'!L70,'18.04'!$AM$4:$AO$55,2,FALSE))*IF('18.04'!$AK70="是",'18.04'!$AZ$4,'18.04'!$AZ$3))</f>
        <v>144</v>
      </c>
      <c r="E70" s="4">
        <f>IF(ISNUMBER(SEARCH("营",'18.04'!M70)),(-$Y70+50*IF('18.04'!$AK70="是",'18.04'!$AZ$4,'18.04'!$AZ$3)),(VLOOKUP('18.04'!M70,'18.04'!$AM$4:$AO$55,2,FALSE))*IF('18.04'!$AK70="是",'18.04'!$AZ$4,'18.04'!$AZ$3))</f>
        <v>144</v>
      </c>
      <c r="F70" s="4">
        <f>IF(ISNUMBER(SEARCH("营",'18.04'!N70)),(-$Y70+50*IF('18.04'!$AK70="是",'18.04'!$AZ$4,'18.04'!$AZ$3)),(VLOOKUP('18.04'!N70,'18.04'!$AM$4:$AO$55,2,FALSE))*IF('18.04'!$AK70="是",'18.04'!$AZ$4,'18.04'!$AZ$3))</f>
        <v>144</v>
      </c>
      <c r="G70" s="4">
        <f>IF(ISNUMBER(SEARCH("营",'18.04'!O70)),(-$Y70+50*IF('18.04'!$AK70="是",'18.04'!$AZ$4,'18.04'!$AZ$3)),(VLOOKUP('18.04'!O70,'18.04'!$AM$4:$AO$55,2,FALSE))*IF('18.04'!$AK70="是",'18.04'!$AZ$4,'18.04'!$AZ$3))</f>
        <v>144</v>
      </c>
      <c r="H70" s="4">
        <f>IF(ISNUMBER(SEARCH("营",'18.04'!P70)),(-$Y70+50*IF('18.04'!$AK70="是",'18.04'!$AZ$4,'18.04'!$AZ$3)),(VLOOKUP('18.04'!P70,'18.04'!$AM$4:$AO$55,2,FALSE))*IF('18.04'!$AK70="是",'18.04'!$AZ$4,'18.04'!$AZ$3))</f>
        <v>144</v>
      </c>
      <c r="I70" s="4">
        <f>IF(ISNUMBER(SEARCH("营",'18.04'!Q70)),(-$Y70+50*IF('18.04'!$AK70="是",'18.04'!$AZ$4,'18.04'!$AZ$3)),(VLOOKUP('18.04'!Q70,'18.04'!$AM$4:$AO$55,2,FALSE))*IF('18.04'!$AK70="是",'18.04'!$AZ$4,'18.04'!$AZ$3))</f>
        <v>160</v>
      </c>
      <c r="J70" s="4">
        <f>IF(ISNUMBER(SEARCH("营",'18.04'!R70)),(-$Y70+50*IF('18.04'!$AK70="是",'18.04'!$AZ$4,'18.04'!$AZ$3)),(VLOOKUP('18.04'!R70,'18.04'!$AM$4:$AO$55,2,FALSE))*IF('18.04'!$AK70="是",'18.04'!$AZ$4,'18.04'!$AZ$3))</f>
        <v>160</v>
      </c>
      <c r="K70" s="4">
        <f>IF(ISNUMBER(SEARCH("营",'18.04'!S70)),(-$Y70+50*IF('18.04'!$AK70="是",'18.04'!$AZ$4,'18.04'!$AZ$3)),(VLOOKUP('18.04'!S70,'18.04'!$AM$4:$AO$55,2,FALSE))*IF('18.04'!$AK70="是",'18.04'!$AZ$4,'18.04'!$AZ$3))</f>
        <v>160</v>
      </c>
      <c r="L70" s="4">
        <f>IF(ISNUMBER(SEARCH("营",'18.04'!T70)),(-$Y70+50*IF('18.04'!$AK70="是",'18.04'!$AZ$4,'18.04'!$AZ$3)),(VLOOKUP('18.04'!T70,'18.04'!$AM$4:$AO$55,2,FALSE))*IF('18.04'!$AK70="是",'18.04'!$AZ$4,'18.04'!$AZ$3))</f>
        <v>160</v>
      </c>
      <c r="M70" s="4">
        <f>IF(ISNUMBER(SEARCH("营",'18.04'!U70)),(-$Y70+50*IF('18.04'!$AK70="是",'18.04'!$AZ$4,'18.04'!$AZ$3)),(VLOOKUP('18.04'!U70,'18.04'!$AM$4:$AO$55,2,FALSE))*IF('18.04'!$AK70="是",'18.04'!$AZ$4,'18.04'!$AZ$3))</f>
        <v>160</v>
      </c>
      <c r="N70" s="4">
        <f>IF(ISNUMBER(SEARCH("营",'18.04'!V70)),(-$Y70+50*IF('18.04'!$AK70="是",'18.04'!$AZ$4,'18.04'!$AZ$3)),(VLOOKUP('18.04'!V70,'18.04'!$AM$4:$AO$55,2,FALSE))*IF('18.04'!$AK70="是",'18.04'!$AZ$4,'18.04'!$AZ$3))</f>
        <v>160</v>
      </c>
      <c r="O70" s="4">
        <f>IF(ISNUMBER(SEARCH("营",'18.04'!W70)),(-$Y70+50*IF('18.04'!$AK70="是",'18.04'!$AZ$4,'18.04'!$AZ$3)),(VLOOKUP('18.04'!W70,'18.04'!$AM$4:$AO$55,2,FALSE))*IF('18.04'!$AK70="是",'18.04'!$AZ$4,'18.04'!$AZ$3))</f>
        <v>160</v>
      </c>
      <c r="P70" s="4">
        <f>IF(ISNUMBER(SEARCH("营",'18.04'!X70)),(-$Y70+50*IF('18.04'!$AK70="是",'18.04'!$AZ$4,'18.04'!$AZ$3)),(VLOOKUP('18.04'!X70,'18.04'!$AM$4:$AO$55,2,FALSE))*IF('18.04'!$AK70="是",'18.04'!$AZ$4,'18.04'!$AZ$3))</f>
        <v>160</v>
      </c>
      <c r="Q70" s="4">
        <f>IF(ISNUMBER(SEARCH("营",'18.04'!Y70)),(-$Y70+50*IF('18.04'!$AK70="是",'18.04'!$AZ$4,'18.04'!$AZ$3)),(VLOOKUP('18.04'!Y70,'18.04'!$AM$4:$AO$55,2,FALSE))*IF('18.04'!$AK70="是",'18.04'!$AZ$4,'18.04'!$AZ$3))</f>
        <v>0</v>
      </c>
      <c r="R70" s="4">
        <f>IF(ISNUMBER(SEARCH("营",'18.04'!Z70)),(-$Y70+50*IF('18.04'!$AK70="是",'18.04'!$AZ$4,'18.04'!$AZ$3)),(VLOOKUP('18.04'!Z70,'18.04'!$AM$4:$AO$55,2,FALSE))*IF('18.04'!$AK70="是",'18.04'!$AZ$4,'18.04'!$AZ$3))</f>
        <v>0</v>
      </c>
      <c r="S70" s="4">
        <f>IF(ISNUMBER(SEARCH("营",'18.04'!AA70)),(-$Y70+50*IF('18.04'!$AK70="是",'18.04'!$AZ$4,'18.04'!$AZ$3)),(VLOOKUP('18.04'!AA70,'18.04'!$AM$4:$AO$55,2,FALSE))*IF('18.04'!$AK70="是",'18.04'!$AZ$4,'18.04'!$AZ$3))</f>
        <v>0</v>
      </c>
      <c r="T70" s="4">
        <f>IF(ISNUMBER(SEARCH("营",'18.04'!AB70)),(-$Y70+50*IF('18.04'!$AK70="是",'18.04'!$AZ$4,'18.04'!$AZ$3)),(VLOOKUP('18.04'!AB70,'18.04'!$AM$4:$AO$55,2,FALSE))*IF('18.04'!$AK70="是",'18.04'!$AZ$4,'18.04'!$AZ$3))</f>
        <v>0</v>
      </c>
      <c r="U70" s="4">
        <f>IF(ISNUMBER(SEARCH("营",'18.04'!AC70)),(-$Y70+50*IF('18.04'!$AK70="是",'18.04'!$AZ$4,'18.04'!$AZ$3)),(VLOOKUP('18.04'!AC70,'18.04'!$AM$4:$AO$55,2,FALSE))*IF('18.04'!$AK70="是",'18.04'!$AZ$4,'18.04'!$AZ$3))</f>
        <v>0</v>
      </c>
      <c r="V70" s="4">
        <f>IF(ISNUMBER(SEARCH("营",'18.04'!AD70)),(-$Y70+50*IF('18.04'!$AK70="是",'18.04'!$AZ$4,'18.04'!$AZ$3)),(VLOOKUP('18.04'!AD70,'18.04'!$AM$4:$AO$55,2,FALSE))*IF('18.04'!$AK70="是",'18.04'!$AZ$4,'18.04'!$AZ$3))</f>
        <v>0</v>
      </c>
      <c r="W70" s="4">
        <f>IF(ISNUMBER(SEARCH("营",'18.04'!AE70)),(-$Y70+50*IF('18.04'!$AK70="是",'18.04'!$AZ$4,'18.04'!$AZ$3)),(VLOOKUP('18.04'!AE70,'18.04'!$AM$4:$AO$55,2,FALSE))*IF('18.04'!$AK70="是",'18.04'!$AZ$4,'18.04'!$AZ$3))</f>
        <v>0</v>
      </c>
      <c r="X70" s="4">
        <f>IF(ISNUMBER(SEARCH("营",'18.04'!AF70)),(-$Y70+50*IF('18.04'!$AK70="是",'18.04'!$AZ$4,'18.04'!$AZ$3)),(VLOOKUP('18.04'!AF70,'18.04'!$AM$4:$AO$55,2,FALSE))*IF('18.04'!$AK70="是",'18.04'!$AZ$4,'18.04'!$AZ$3))</f>
        <v>0</v>
      </c>
      <c r="Y70" s="78">
        <v>100</v>
      </c>
      <c r="Z70" s="90">
        <v>45705</v>
      </c>
    </row>
    <row r="71" spans="1:26">
      <c r="A71" s="4">
        <f>IF(ISNUMBER(SEARCH("营",'18.04'!I71)),(-$Y71+50*IF('18.04'!$AK71="是",'18.04'!$AZ$4,'18.04'!$AZ$3)),(VLOOKUP('18.04'!I71,'18.04'!$AM$4:$AO$55,2,FALSE))*IF('18.04'!$AK71="是",'18.04'!$AZ$4,'18.04'!$AZ$3))</f>
        <v>144</v>
      </c>
      <c r="B71" s="4">
        <f>IF(ISNUMBER(SEARCH("营",'18.04'!J71)),(-$Y71+50*IF('18.04'!$AK71="是",'18.04'!$AZ$4,'18.04'!$AZ$3)),(VLOOKUP('18.04'!J71,'18.04'!$AM$4:$AO$55,2,FALSE))*IF('18.04'!$AK71="是",'18.04'!$AZ$4,'18.04'!$AZ$3))</f>
        <v>144</v>
      </c>
      <c r="C71" s="4">
        <f>IF(ISNUMBER(SEARCH("营",'18.04'!K71)),(-$Y71+50*IF('18.04'!$AK71="是",'18.04'!$AZ$4,'18.04'!$AZ$3)),(VLOOKUP('18.04'!K71,'18.04'!$AM$4:$AO$55,2,FALSE))*IF('18.04'!$AK71="是",'18.04'!$AZ$4,'18.04'!$AZ$3))</f>
        <v>144</v>
      </c>
      <c r="D71" s="4">
        <f>IF(ISNUMBER(SEARCH("营",'18.04'!L71)),(-$Y71+50*IF('18.04'!$AK71="是",'18.04'!$AZ$4,'18.04'!$AZ$3)),(VLOOKUP('18.04'!L71,'18.04'!$AM$4:$AO$55,2,FALSE))*IF('18.04'!$AK71="是",'18.04'!$AZ$4,'18.04'!$AZ$3))</f>
        <v>144</v>
      </c>
      <c r="E71" s="4">
        <f>IF(ISNUMBER(SEARCH("营",'18.04'!M71)),(-$Y71+50*IF('18.04'!$AK71="是",'18.04'!$AZ$4,'18.04'!$AZ$3)),(VLOOKUP('18.04'!M71,'18.04'!$AM$4:$AO$55,2,FALSE))*IF('18.04'!$AK71="是",'18.04'!$AZ$4,'18.04'!$AZ$3))</f>
        <v>144</v>
      </c>
      <c r="F71" s="4">
        <f>IF(ISNUMBER(SEARCH("营",'18.04'!N71)),(-$Y71+50*IF('18.04'!$AK71="是",'18.04'!$AZ$4,'18.04'!$AZ$3)),(VLOOKUP('18.04'!N71,'18.04'!$AM$4:$AO$55,2,FALSE))*IF('18.04'!$AK71="是",'18.04'!$AZ$4,'18.04'!$AZ$3))</f>
        <v>144</v>
      </c>
      <c r="G71" s="4">
        <f>IF(ISNUMBER(SEARCH("营",'18.04'!O71)),(-$Y71+50*IF('18.04'!$AK71="是",'18.04'!$AZ$4,'18.04'!$AZ$3)),(VLOOKUP('18.04'!O71,'18.04'!$AM$4:$AO$55,2,FALSE))*IF('18.04'!$AK71="是",'18.04'!$AZ$4,'18.04'!$AZ$3))</f>
        <v>144</v>
      </c>
      <c r="H71" s="4">
        <f>IF(ISNUMBER(SEARCH("营",'18.04'!P71)),(-$Y71+50*IF('18.04'!$AK71="是",'18.04'!$AZ$4,'18.04'!$AZ$3)),(VLOOKUP('18.04'!P71,'18.04'!$AM$4:$AO$55,2,FALSE))*IF('18.04'!$AK71="是",'18.04'!$AZ$4,'18.04'!$AZ$3))</f>
        <v>144</v>
      </c>
      <c r="I71" s="4">
        <f>IF(ISNUMBER(SEARCH("营",'18.04'!Q71)),(-$Y71+50*IF('18.04'!$AK71="是",'18.04'!$AZ$4,'18.04'!$AZ$3)),(VLOOKUP('18.04'!Q71,'18.04'!$AM$4:$AO$55,2,FALSE))*IF('18.04'!$AK71="是",'18.04'!$AZ$4,'18.04'!$AZ$3))</f>
        <v>160</v>
      </c>
      <c r="J71" s="4">
        <f>IF(ISNUMBER(SEARCH("营",'18.04'!R71)),(-$Y71+50*IF('18.04'!$AK71="是",'18.04'!$AZ$4,'18.04'!$AZ$3)),(VLOOKUP('18.04'!R71,'18.04'!$AM$4:$AO$55,2,FALSE))*IF('18.04'!$AK71="是",'18.04'!$AZ$4,'18.04'!$AZ$3))</f>
        <v>160</v>
      </c>
      <c r="K71" s="4">
        <f>IF(ISNUMBER(SEARCH("营",'18.04'!S71)),(-$Y71+50*IF('18.04'!$AK71="是",'18.04'!$AZ$4,'18.04'!$AZ$3)),(VLOOKUP('18.04'!S71,'18.04'!$AM$4:$AO$55,2,FALSE))*IF('18.04'!$AK71="是",'18.04'!$AZ$4,'18.04'!$AZ$3))</f>
        <v>160</v>
      </c>
      <c r="L71" s="4">
        <f>IF(ISNUMBER(SEARCH("营",'18.04'!T71)),(-$Y71+50*IF('18.04'!$AK71="是",'18.04'!$AZ$4,'18.04'!$AZ$3)),(VLOOKUP('18.04'!T71,'18.04'!$AM$4:$AO$55,2,FALSE))*IF('18.04'!$AK71="是",'18.04'!$AZ$4,'18.04'!$AZ$3))</f>
        <v>160</v>
      </c>
      <c r="M71" s="4">
        <f>IF(ISNUMBER(SEARCH("营",'18.04'!U71)),(-$Y71+50*IF('18.04'!$AK71="是",'18.04'!$AZ$4,'18.04'!$AZ$3)),(VLOOKUP('18.04'!U71,'18.04'!$AM$4:$AO$55,2,FALSE))*IF('18.04'!$AK71="是",'18.04'!$AZ$4,'18.04'!$AZ$3))</f>
        <v>160</v>
      </c>
      <c r="N71" s="4">
        <f>IF(ISNUMBER(SEARCH("营",'18.04'!V71)),(-$Y71+50*IF('18.04'!$AK71="是",'18.04'!$AZ$4,'18.04'!$AZ$3)),(VLOOKUP('18.04'!V71,'18.04'!$AM$4:$AO$55,2,FALSE))*IF('18.04'!$AK71="是",'18.04'!$AZ$4,'18.04'!$AZ$3))</f>
        <v>160</v>
      </c>
      <c r="O71" s="4">
        <f>IF(ISNUMBER(SEARCH("营",'18.04'!W71)),(-$Y71+50*IF('18.04'!$AK71="是",'18.04'!$AZ$4,'18.04'!$AZ$3)),(VLOOKUP('18.04'!W71,'18.04'!$AM$4:$AO$55,2,FALSE))*IF('18.04'!$AK71="是",'18.04'!$AZ$4,'18.04'!$AZ$3))</f>
        <v>160</v>
      </c>
      <c r="P71" s="4">
        <f>IF(ISNUMBER(SEARCH("营",'18.04'!X71)),(-$Y71+50*IF('18.04'!$AK71="是",'18.04'!$AZ$4,'18.04'!$AZ$3)),(VLOOKUP('18.04'!X71,'18.04'!$AM$4:$AO$55,2,FALSE))*IF('18.04'!$AK71="是",'18.04'!$AZ$4,'18.04'!$AZ$3))</f>
        <v>160</v>
      </c>
      <c r="Q71" s="4">
        <f>IF(ISNUMBER(SEARCH("营",'18.04'!Y71)),(-$Y71+50*IF('18.04'!$AK71="是",'18.04'!$AZ$4,'18.04'!$AZ$3)),(VLOOKUP('18.04'!Y71,'18.04'!$AM$4:$AO$55,2,FALSE))*IF('18.04'!$AK71="是",'18.04'!$AZ$4,'18.04'!$AZ$3))</f>
        <v>0</v>
      </c>
      <c r="R71" s="4">
        <f>IF(ISNUMBER(SEARCH("营",'18.04'!Z71)),(-$Y71+50*IF('18.04'!$AK71="是",'18.04'!$AZ$4,'18.04'!$AZ$3)),(VLOOKUP('18.04'!Z71,'18.04'!$AM$4:$AO$55,2,FALSE))*IF('18.04'!$AK71="是",'18.04'!$AZ$4,'18.04'!$AZ$3))</f>
        <v>0</v>
      </c>
      <c r="S71" s="4">
        <f>IF(ISNUMBER(SEARCH("营",'18.04'!AA71)),(-$Y71+50*IF('18.04'!$AK71="是",'18.04'!$AZ$4,'18.04'!$AZ$3)),(VLOOKUP('18.04'!AA71,'18.04'!$AM$4:$AO$55,2,FALSE))*IF('18.04'!$AK71="是",'18.04'!$AZ$4,'18.04'!$AZ$3))</f>
        <v>0</v>
      </c>
      <c r="T71" s="4">
        <f>IF(ISNUMBER(SEARCH("营",'18.04'!AB71)),(-$Y71+50*IF('18.04'!$AK71="是",'18.04'!$AZ$4,'18.04'!$AZ$3)),(VLOOKUP('18.04'!AB71,'18.04'!$AM$4:$AO$55,2,FALSE))*IF('18.04'!$AK71="是",'18.04'!$AZ$4,'18.04'!$AZ$3))</f>
        <v>0</v>
      </c>
      <c r="U71" s="4">
        <f>IF(ISNUMBER(SEARCH("营",'18.04'!AC71)),(-$Y71+50*IF('18.04'!$AK71="是",'18.04'!$AZ$4,'18.04'!$AZ$3)),(VLOOKUP('18.04'!AC71,'18.04'!$AM$4:$AO$55,2,FALSE))*IF('18.04'!$AK71="是",'18.04'!$AZ$4,'18.04'!$AZ$3))</f>
        <v>0</v>
      </c>
      <c r="V71" s="4">
        <f>IF(ISNUMBER(SEARCH("营",'18.04'!AD71)),(-$Y71+50*IF('18.04'!$AK71="是",'18.04'!$AZ$4,'18.04'!$AZ$3)),(VLOOKUP('18.04'!AD71,'18.04'!$AM$4:$AO$55,2,FALSE))*IF('18.04'!$AK71="是",'18.04'!$AZ$4,'18.04'!$AZ$3))</f>
        <v>0</v>
      </c>
      <c r="W71" s="4">
        <f>IF(ISNUMBER(SEARCH("营",'18.04'!AE71)),(-$Y71+50*IF('18.04'!$AK71="是",'18.04'!$AZ$4,'18.04'!$AZ$3)),(VLOOKUP('18.04'!AE71,'18.04'!$AM$4:$AO$55,2,FALSE))*IF('18.04'!$AK71="是",'18.04'!$AZ$4,'18.04'!$AZ$3))</f>
        <v>0</v>
      </c>
      <c r="X71" s="4">
        <f>IF(ISNUMBER(SEARCH("营",'18.04'!AF71)),(-$Y71+50*IF('18.04'!$AK71="是",'18.04'!$AZ$4,'18.04'!$AZ$3)),(VLOOKUP('18.04'!AF71,'18.04'!$AM$4:$AO$55,2,FALSE))*IF('18.04'!$AK71="是",'18.04'!$AZ$4,'18.04'!$AZ$3))</f>
        <v>0</v>
      </c>
      <c r="Y71" s="78">
        <v>100</v>
      </c>
      <c r="Z71" s="90">
        <v>45706</v>
      </c>
    </row>
    <row r="72" spans="1:26">
      <c r="A72" s="4">
        <f>IF(ISNUMBER(SEARCH("营",'18.04'!I72)),(-$Y72+50*IF('18.04'!$AK72="是",'18.04'!$AZ$4,'18.04'!$AZ$3)),(VLOOKUP('18.04'!I72,'18.04'!$AM$4:$AO$55,2,FALSE))*IF('18.04'!$AK72="是",'18.04'!$AZ$4,'18.04'!$AZ$3))</f>
        <v>144</v>
      </c>
      <c r="B72" s="4">
        <f>IF(ISNUMBER(SEARCH("营",'18.04'!J72)),(-$Y72+50*IF('18.04'!$AK72="是",'18.04'!$AZ$4,'18.04'!$AZ$3)),(VLOOKUP('18.04'!J72,'18.04'!$AM$4:$AO$55,2,FALSE))*IF('18.04'!$AK72="是",'18.04'!$AZ$4,'18.04'!$AZ$3))</f>
        <v>144</v>
      </c>
      <c r="C72" s="4">
        <f>IF(ISNUMBER(SEARCH("营",'18.04'!K72)),(-$Y72+50*IF('18.04'!$AK72="是",'18.04'!$AZ$4,'18.04'!$AZ$3)),(VLOOKUP('18.04'!K72,'18.04'!$AM$4:$AO$55,2,FALSE))*IF('18.04'!$AK72="是",'18.04'!$AZ$4,'18.04'!$AZ$3))</f>
        <v>144</v>
      </c>
      <c r="D72" s="4">
        <f>IF(ISNUMBER(SEARCH("营",'18.04'!L72)),(-$Y72+50*IF('18.04'!$AK72="是",'18.04'!$AZ$4,'18.04'!$AZ$3)),(VLOOKUP('18.04'!L72,'18.04'!$AM$4:$AO$55,2,FALSE))*IF('18.04'!$AK72="是",'18.04'!$AZ$4,'18.04'!$AZ$3))</f>
        <v>144</v>
      </c>
      <c r="E72" s="4">
        <f>IF(ISNUMBER(SEARCH("营",'18.04'!M72)),(-$Y72+50*IF('18.04'!$AK72="是",'18.04'!$AZ$4,'18.04'!$AZ$3)),(VLOOKUP('18.04'!M72,'18.04'!$AM$4:$AO$55,2,FALSE))*IF('18.04'!$AK72="是",'18.04'!$AZ$4,'18.04'!$AZ$3))</f>
        <v>144</v>
      </c>
      <c r="F72" s="4">
        <f>IF(ISNUMBER(SEARCH("营",'18.04'!N72)),(-$Y72+50*IF('18.04'!$AK72="是",'18.04'!$AZ$4,'18.04'!$AZ$3)),(VLOOKUP('18.04'!N72,'18.04'!$AM$4:$AO$55,2,FALSE))*IF('18.04'!$AK72="是",'18.04'!$AZ$4,'18.04'!$AZ$3))</f>
        <v>144</v>
      </c>
      <c r="G72" s="4">
        <f>IF(ISNUMBER(SEARCH("营",'18.04'!O72)),(-$Y72+50*IF('18.04'!$AK72="是",'18.04'!$AZ$4,'18.04'!$AZ$3)),(VLOOKUP('18.04'!O72,'18.04'!$AM$4:$AO$55,2,FALSE))*IF('18.04'!$AK72="是",'18.04'!$AZ$4,'18.04'!$AZ$3))</f>
        <v>144</v>
      </c>
      <c r="H72" s="4">
        <f>IF(ISNUMBER(SEARCH("营",'18.04'!P72)),(-$Y72+50*IF('18.04'!$AK72="是",'18.04'!$AZ$4,'18.04'!$AZ$3)),(VLOOKUP('18.04'!P72,'18.04'!$AM$4:$AO$55,2,FALSE))*IF('18.04'!$AK72="是",'18.04'!$AZ$4,'18.04'!$AZ$3))</f>
        <v>144</v>
      </c>
      <c r="I72" s="4">
        <f>IF(ISNUMBER(SEARCH("营",'18.04'!Q72)),(-$Y72+50*IF('18.04'!$AK72="是",'18.04'!$AZ$4,'18.04'!$AZ$3)),(VLOOKUP('18.04'!Q72,'18.04'!$AM$4:$AO$55,2,FALSE))*IF('18.04'!$AK72="是",'18.04'!$AZ$4,'18.04'!$AZ$3))</f>
        <v>160</v>
      </c>
      <c r="J72" s="4">
        <f>IF(ISNUMBER(SEARCH("营",'18.04'!R72)),(-$Y72+50*IF('18.04'!$AK72="是",'18.04'!$AZ$4,'18.04'!$AZ$3)),(VLOOKUP('18.04'!R72,'18.04'!$AM$4:$AO$55,2,FALSE))*IF('18.04'!$AK72="是",'18.04'!$AZ$4,'18.04'!$AZ$3))</f>
        <v>160</v>
      </c>
      <c r="K72" s="4">
        <f>IF(ISNUMBER(SEARCH("营",'18.04'!S72)),(-$Y72+50*IF('18.04'!$AK72="是",'18.04'!$AZ$4,'18.04'!$AZ$3)),(VLOOKUP('18.04'!S72,'18.04'!$AM$4:$AO$55,2,FALSE))*IF('18.04'!$AK72="是",'18.04'!$AZ$4,'18.04'!$AZ$3))</f>
        <v>160</v>
      </c>
      <c r="L72" s="4">
        <f>IF(ISNUMBER(SEARCH("营",'18.04'!T72)),(-$Y72+50*IF('18.04'!$AK72="是",'18.04'!$AZ$4,'18.04'!$AZ$3)),(VLOOKUP('18.04'!T72,'18.04'!$AM$4:$AO$55,2,FALSE))*IF('18.04'!$AK72="是",'18.04'!$AZ$4,'18.04'!$AZ$3))</f>
        <v>160</v>
      </c>
      <c r="M72" s="4">
        <f>IF(ISNUMBER(SEARCH("营",'18.04'!U72)),(-$Y72+50*IF('18.04'!$AK72="是",'18.04'!$AZ$4,'18.04'!$AZ$3)),(VLOOKUP('18.04'!U72,'18.04'!$AM$4:$AO$55,2,FALSE))*IF('18.04'!$AK72="是",'18.04'!$AZ$4,'18.04'!$AZ$3))</f>
        <v>160</v>
      </c>
      <c r="N72" s="4">
        <f>IF(ISNUMBER(SEARCH("营",'18.04'!V72)),(-$Y72+50*IF('18.04'!$AK72="是",'18.04'!$AZ$4,'18.04'!$AZ$3)),(VLOOKUP('18.04'!V72,'18.04'!$AM$4:$AO$55,2,FALSE))*IF('18.04'!$AK72="是",'18.04'!$AZ$4,'18.04'!$AZ$3))</f>
        <v>160</v>
      </c>
      <c r="O72" s="4">
        <f>IF(ISNUMBER(SEARCH("营",'18.04'!W72)),(-$Y72+50*IF('18.04'!$AK72="是",'18.04'!$AZ$4,'18.04'!$AZ$3)),(VLOOKUP('18.04'!W72,'18.04'!$AM$4:$AO$55,2,FALSE))*IF('18.04'!$AK72="是",'18.04'!$AZ$4,'18.04'!$AZ$3))</f>
        <v>160</v>
      </c>
      <c r="P72" s="4">
        <f>IF(ISNUMBER(SEARCH("营",'18.04'!X72)),(-$Y72+50*IF('18.04'!$AK72="是",'18.04'!$AZ$4,'18.04'!$AZ$3)),(VLOOKUP('18.04'!X72,'18.04'!$AM$4:$AO$55,2,FALSE))*IF('18.04'!$AK72="是",'18.04'!$AZ$4,'18.04'!$AZ$3))</f>
        <v>160</v>
      </c>
      <c r="Q72" s="4">
        <f>IF(ISNUMBER(SEARCH("营",'18.04'!Y72)),(-$Y72+50*IF('18.04'!$AK72="是",'18.04'!$AZ$4,'18.04'!$AZ$3)),(VLOOKUP('18.04'!Y72,'18.04'!$AM$4:$AO$55,2,FALSE))*IF('18.04'!$AK72="是",'18.04'!$AZ$4,'18.04'!$AZ$3))</f>
        <v>0</v>
      </c>
      <c r="R72" s="4">
        <f>IF(ISNUMBER(SEARCH("营",'18.04'!Z72)),(-$Y72+50*IF('18.04'!$AK72="是",'18.04'!$AZ$4,'18.04'!$AZ$3)),(VLOOKUP('18.04'!Z72,'18.04'!$AM$4:$AO$55,2,FALSE))*IF('18.04'!$AK72="是",'18.04'!$AZ$4,'18.04'!$AZ$3))</f>
        <v>0</v>
      </c>
      <c r="S72" s="4">
        <f>IF(ISNUMBER(SEARCH("营",'18.04'!AA72)),(-$Y72+50*IF('18.04'!$AK72="是",'18.04'!$AZ$4,'18.04'!$AZ$3)),(VLOOKUP('18.04'!AA72,'18.04'!$AM$4:$AO$55,2,FALSE))*IF('18.04'!$AK72="是",'18.04'!$AZ$4,'18.04'!$AZ$3))</f>
        <v>0</v>
      </c>
      <c r="T72" s="4">
        <f>IF(ISNUMBER(SEARCH("营",'18.04'!AB72)),(-$Y72+50*IF('18.04'!$AK72="是",'18.04'!$AZ$4,'18.04'!$AZ$3)),(VLOOKUP('18.04'!AB72,'18.04'!$AM$4:$AO$55,2,FALSE))*IF('18.04'!$AK72="是",'18.04'!$AZ$4,'18.04'!$AZ$3))</f>
        <v>0</v>
      </c>
      <c r="U72" s="4">
        <f>IF(ISNUMBER(SEARCH("营",'18.04'!AC72)),(-$Y72+50*IF('18.04'!$AK72="是",'18.04'!$AZ$4,'18.04'!$AZ$3)),(VLOOKUP('18.04'!AC72,'18.04'!$AM$4:$AO$55,2,FALSE))*IF('18.04'!$AK72="是",'18.04'!$AZ$4,'18.04'!$AZ$3))</f>
        <v>0</v>
      </c>
      <c r="V72" s="4">
        <f>IF(ISNUMBER(SEARCH("营",'18.04'!AD72)),(-$Y72+50*IF('18.04'!$AK72="是",'18.04'!$AZ$4,'18.04'!$AZ$3)),(VLOOKUP('18.04'!AD72,'18.04'!$AM$4:$AO$55,2,FALSE))*IF('18.04'!$AK72="是",'18.04'!$AZ$4,'18.04'!$AZ$3))</f>
        <v>0</v>
      </c>
      <c r="W72" s="4">
        <f>IF(ISNUMBER(SEARCH("营",'18.04'!AE72)),(-$Y72+50*IF('18.04'!$AK72="是",'18.04'!$AZ$4,'18.04'!$AZ$3)),(VLOOKUP('18.04'!AE72,'18.04'!$AM$4:$AO$55,2,FALSE))*IF('18.04'!$AK72="是",'18.04'!$AZ$4,'18.04'!$AZ$3))</f>
        <v>0</v>
      </c>
      <c r="X72" s="4">
        <f>IF(ISNUMBER(SEARCH("营",'18.04'!AF72)),(-$Y72+50*IF('18.04'!$AK72="是",'18.04'!$AZ$4,'18.04'!$AZ$3)),(VLOOKUP('18.04'!AF72,'18.04'!$AM$4:$AO$55,2,FALSE))*IF('18.04'!$AK72="是",'18.04'!$AZ$4,'18.04'!$AZ$3))</f>
        <v>0</v>
      </c>
      <c r="Y72" s="78">
        <v>100</v>
      </c>
      <c r="Z72" s="90">
        <v>45707</v>
      </c>
    </row>
    <row r="73" spans="1:26">
      <c r="A73" s="4">
        <f>IF(ISNUMBER(SEARCH("营",'18.04'!I73)),(-$Y73+50*IF('18.04'!$AK73="是",'18.04'!$AZ$4,'18.04'!$AZ$3)),(VLOOKUP('18.04'!I73,'18.04'!$AM$4:$AO$55,2,FALSE))*IF('18.04'!$AK73="是",'18.04'!$AZ$4,'18.04'!$AZ$3))</f>
        <v>144</v>
      </c>
      <c r="B73" s="4">
        <f>IF(ISNUMBER(SEARCH("营",'18.04'!J73)),(-$Y73+50*IF('18.04'!$AK73="是",'18.04'!$AZ$4,'18.04'!$AZ$3)),(VLOOKUP('18.04'!J73,'18.04'!$AM$4:$AO$55,2,FALSE))*IF('18.04'!$AK73="是",'18.04'!$AZ$4,'18.04'!$AZ$3))</f>
        <v>144</v>
      </c>
      <c r="C73" s="4">
        <f>IF(ISNUMBER(SEARCH("营",'18.04'!K73)),(-$Y73+50*IF('18.04'!$AK73="是",'18.04'!$AZ$4,'18.04'!$AZ$3)),(VLOOKUP('18.04'!K73,'18.04'!$AM$4:$AO$55,2,FALSE))*IF('18.04'!$AK73="是",'18.04'!$AZ$4,'18.04'!$AZ$3))</f>
        <v>144</v>
      </c>
      <c r="D73" s="4">
        <f>IF(ISNUMBER(SEARCH("营",'18.04'!L73)),(-$Y73+50*IF('18.04'!$AK73="是",'18.04'!$AZ$4,'18.04'!$AZ$3)),(VLOOKUP('18.04'!L73,'18.04'!$AM$4:$AO$55,2,FALSE))*IF('18.04'!$AK73="是",'18.04'!$AZ$4,'18.04'!$AZ$3))</f>
        <v>144</v>
      </c>
      <c r="E73" s="4">
        <f>IF(ISNUMBER(SEARCH("营",'18.04'!M73)),(-$Y73+50*IF('18.04'!$AK73="是",'18.04'!$AZ$4,'18.04'!$AZ$3)),(VLOOKUP('18.04'!M73,'18.04'!$AM$4:$AO$55,2,FALSE))*IF('18.04'!$AK73="是",'18.04'!$AZ$4,'18.04'!$AZ$3))</f>
        <v>144</v>
      </c>
      <c r="F73" s="4">
        <f>IF(ISNUMBER(SEARCH("营",'18.04'!N73)),(-$Y73+50*IF('18.04'!$AK73="是",'18.04'!$AZ$4,'18.04'!$AZ$3)),(VLOOKUP('18.04'!N73,'18.04'!$AM$4:$AO$55,2,FALSE))*IF('18.04'!$AK73="是",'18.04'!$AZ$4,'18.04'!$AZ$3))</f>
        <v>144</v>
      </c>
      <c r="G73" s="4">
        <f>IF(ISNUMBER(SEARCH("营",'18.04'!O73)),(-$Y73+50*IF('18.04'!$AK73="是",'18.04'!$AZ$4,'18.04'!$AZ$3)),(VLOOKUP('18.04'!O73,'18.04'!$AM$4:$AO$55,2,FALSE))*IF('18.04'!$AK73="是",'18.04'!$AZ$4,'18.04'!$AZ$3))</f>
        <v>144</v>
      </c>
      <c r="H73" s="4">
        <f>IF(ISNUMBER(SEARCH("营",'18.04'!P73)),(-$Y73+50*IF('18.04'!$AK73="是",'18.04'!$AZ$4,'18.04'!$AZ$3)),(VLOOKUP('18.04'!P73,'18.04'!$AM$4:$AO$55,2,FALSE))*IF('18.04'!$AK73="是",'18.04'!$AZ$4,'18.04'!$AZ$3))</f>
        <v>144</v>
      </c>
      <c r="I73" s="4">
        <f>IF(ISNUMBER(SEARCH("营",'18.04'!Q73)),(-$Y73+50*IF('18.04'!$AK73="是",'18.04'!$AZ$4,'18.04'!$AZ$3)),(VLOOKUP('18.04'!Q73,'18.04'!$AM$4:$AO$55,2,FALSE))*IF('18.04'!$AK73="是",'18.04'!$AZ$4,'18.04'!$AZ$3))</f>
        <v>160</v>
      </c>
      <c r="J73" s="4">
        <f>IF(ISNUMBER(SEARCH("营",'18.04'!R73)),(-$Y73+50*IF('18.04'!$AK73="是",'18.04'!$AZ$4,'18.04'!$AZ$3)),(VLOOKUP('18.04'!R73,'18.04'!$AM$4:$AO$55,2,FALSE))*IF('18.04'!$AK73="是",'18.04'!$AZ$4,'18.04'!$AZ$3))</f>
        <v>160</v>
      </c>
      <c r="K73" s="4">
        <f>IF(ISNUMBER(SEARCH("营",'18.04'!S73)),(-$Y73+50*IF('18.04'!$AK73="是",'18.04'!$AZ$4,'18.04'!$AZ$3)),(VLOOKUP('18.04'!S73,'18.04'!$AM$4:$AO$55,2,FALSE))*IF('18.04'!$AK73="是",'18.04'!$AZ$4,'18.04'!$AZ$3))</f>
        <v>160</v>
      </c>
      <c r="L73" s="4">
        <f>IF(ISNUMBER(SEARCH("营",'18.04'!T73)),(-$Y73+50*IF('18.04'!$AK73="是",'18.04'!$AZ$4,'18.04'!$AZ$3)),(VLOOKUP('18.04'!T73,'18.04'!$AM$4:$AO$55,2,FALSE))*IF('18.04'!$AK73="是",'18.04'!$AZ$4,'18.04'!$AZ$3))</f>
        <v>160</v>
      </c>
      <c r="M73" s="4">
        <f>IF(ISNUMBER(SEARCH("营",'18.04'!U73)),(-$Y73+50*IF('18.04'!$AK73="是",'18.04'!$AZ$4,'18.04'!$AZ$3)),(VLOOKUP('18.04'!U73,'18.04'!$AM$4:$AO$55,2,FALSE))*IF('18.04'!$AK73="是",'18.04'!$AZ$4,'18.04'!$AZ$3))</f>
        <v>160</v>
      </c>
      <c r="N73" s="4">
        <f>IF(ISNUMBER(SEARCH("营",'18.04'!V73)),(-$Y73+50*IF('18.04'!$AK73="是",'18.04'!$AZ$4,'18.04'!$AZ$3)),(VLOOKUP('18.04'!V73,'18.04'!$AM$4:$AO$55,2,FALSE))*IF('18.04'!$AK73="是",'18.04'!$AZ$4,'18.04'!$AZ$3))</f>
        <v>160</v>
      </c>
      <c r="O73" s="4">
        <f>IF(ISNUMBER(SEARCH("营",'18.04'!W73)),(-$Y73+50*IF('18.04'!$AK73="是",'18.04'!$AZ$4,'18.04'!$AZ$3)),(VLOOKUP('18.04'!W73,'18.04'!$AM$4:$AO$55,2,FALSE))*IF('18.04'!$AK73="是",'18.04'!$AZ$4,'18.04'!$AZ$3))</f>
        <v>160</v>
      </c>
      <c r="P73" s="4">
        <f>IF(ISNUMBER(SEARCH("营",'18.04'!X73)),(-$Y73+50*IF('18.04'!$AK73="是",'18.04'!$AZ$4,'18.04'!$AZ$3)),(VLOOKUP('18.04'!X73,'18.04'!$AM$4:$AO$55,2,FALSE))*IF('18.04'!$AK73="是",'18.04'!$AZ$4,'18.04'!$AZ$3))</f>
        <v>160</v>
      </c>
      <c r="Q73" s="4">
        <f>IF(ISNUMBER(SEARCH("营",'18.04'!Y73)),(-$Y73+50*IF('18.04'!$AK73="是",'18.04'!$AZ$4,'18.04'!$AZ$3)),(VLOOKUP('18.04'!Y73,'18.04'!$AM$4:$AO$55,2,FALSE))*IF('18.04'!$AK73="是",'18.04'!$AZ$4,'18.04'!$AZ$3))</f>
        <v>0</v>
      </c>
      <c r="R73" s="4">
        <f>IF(ISNUMBER(SEARCH("营",'18.04'!Z73)),(-$Y73+50*IF('18.04'!$AK73="是",'18.04'!$AZ$4,'18.04'!$AZ$3)),(VLOOKUP('18.04'!Z73,'18.04'!$AM$4:$AO$55,2,FALSE))*IF('18.04'!$AK73="是",'18.04'!$AZ$4,'18.04'!$AZ$3))</f>
        <v>0</v>
      </c>
      <c r="S73" s="4">
        <f>IF(ISNUMBER(SEARCH("营",'18.04'!AA73)),(-$Y73+50*IF('18.04'!$AK73="是",'18.04'!$AZ$4,'18.04'!$AZ$3)),(VLOOKUP('18.04'!AA73,'18.04'!$AM$4:$AO$55,2,FALSE))*IF('18.04'!$AK73="是",'18.04'!$AZ$4,'18.04'!$AZ$3))</f>
        <v>0</v>
      </c>
      <c r="T73" s="4">
        <f>IF(ISNUMBER(SEARCH("营",'18.04'!AB73)),(-$Y73+50*IF('18.04'!$AK73="是",'18.04'!$AZ$4,'18.04'!$AZ$3)),(VLOOKUP('18.04'!AB73,'18.04'!$AM$4:$AO$55,2,FALSE))*IF('18.04'!$AK73="是",'18.04'!$AZ$4,'18.04'!$AZ$3))</f>
        <v>0</v>
      </c>
      <c r="U73" s="4">
        <f>IF(ISNUMBER(SEARCH("营",'18.04'!AC73)),(-$Y73+50*IF('18.04'!$AK73="是",'18.04'!$AZ$4,'18.04'!$AZ$3)),(VLOOKUP('18.04'!AC73,'18.04'!$AM$4:$AO$55,2,FALSE))*IF('18.04'!$AK73="是",'18.04'!$AZ$4,'18.04'!$AZ$3))</f>
        <v>0</v>
      </c>
      <c r="V73" s="4">
        <f>IF(ISNUMBER(SEARCH("营",'18.04'!AD73)),(-$Y73+50*IF('18.04'!$AK73="是",'18.04'!$AZ$4,'18.04'!$AZ$3)),(VLOOKUP('18.04'!AD73,'18.04'!$AM$4:$AO$55,2,FALSE))*IF('18.04'!$AK73="是",'18.04'!$AZ$4,'18.04'!$AZ$3))</f>
        <v>0</v>
      </c>
      <c r="W73" s="4">
        <f>IF(ISNUMBER(SEARCH("营",'18.04'!AE73)),(-$Y73+50*IF('18.04'!$AK73="是",'18.04'!$AZ$4,'18.04'!$AZ$3)),(VLOOKUP('18.04'!AE73,'18.04'!$AM$4:$AO$55,2,FALSE))*IF('18.04'!$AK73="是",'18.04'!$AZ$4,'18.04'!$AZ$3))</f>
        <v>0</v>
      </c>
      <c r="X73" s="4">
        <f>IF(ISNUMBER(SEARCH("营",'18.04'!AF73)),(-$Y73+50*IF('18.04'!$AK73="是",'18.04'!$AZ$4,'18.04'!$AZ$3)),(VLOOKUP('18.04'!AF73,'18.04'!$AM$4:$AO$55,2,FALSE))*IF('18.04'!$AK73="是",'18.04'!$AZ$4,'18.04'!$AZ$3))</f>
        <v>0</v>
      </c>
      <c r="Y73" s="78">
        <v>100</v>
      </c>
      <c r="Z73" s="90">
        <v>45708</v>
      </c>
    </row>
    <row r="74" spans="1:26">
      <c r="A74" s="4">
        <f>IF(ISNUMBER(SEARCH("营",'18.04'!I74)),(-$Y74+50*IF('18.04'!$AK74="是",'18.04'!$AZ$4,'18.04'!$AZ$3)),(VLOOKUP('18.04'!I74,'18.04'!$AM$4:$AO$55,2,FALSE))*IF('18.04'!$AK74="是",'18.04'!$AZ$4,'18.04'!$AZ$3))</f>
        <v>144</v>
      </c>
      <c r="B74" s="4">
        <f>IF(ISNUMBER(SEARCH("营",'18.04'!J74)),(-$Y74+50*IF('18.04'!$AK74="是",'18.04'!$AZ$4,'18.04'!$AZ$3)),(VLOOKUP('18.04'!J74,'18.04'!$AM$4:$AO$55,2,FALSE))*IF('18.04'!$AK74="是",'18.04'!$AZ$4,'18.04'!$AZ$3))</f>
        <v>144</v>
      </c>
      <c r="C74" s="4">
        <f>IF(ISNUMBER(SEARCH("营",'18.04'!K74)),(-$Y74+50*IF('18.04'!$AK74="是",'18.04'!$AZ$4,'18.04'!$AZ$3)),(VLOOKUP('18.04'!K74,'18.04'!$AM$4:$AO$55,2,FALSE))*IF('18.04'!$AK74="是",'18.04'!$AZ$4,'18.04'!$AZ$3))</f>
        <v>144</v>
      </c>
      <c r="D74" s="4">
        <f>IF(ISNUMBER(SEARCH("营",'18.04'!L74)),(-$Y74+50*IF('18.04'!$AK74="是",'18.04'!$AZ$4,'18.04'!$AZ$3)),(VLOOKUP('18.04'!L74,'18.04'!$AM$4:$AO$55,2,FALSE))*IF('18.04'!$AK74="是",'18.04'!$AZ$4,'18.04'!$AZ$3))</f>
        <v>144</v>
      </c>
      <c r="E74" s="4">
        <f>IF(ISNUMBER(SEARCH("营",'18.04'!M74)),(-$Y74+50*IF('18.04'!$AK74="是",'18.04'!$AZ$4,'18.04'!$AZ$3)),(VLOOKUP('18.04'!M74,'18.04'!$AM$4:$AO$55,2,FALSE))*IF('18.04'!$AK74="是",'18.04'!$AZ$4,'18.04'!$AZ$3))</f>
        <v>144</v>
      </c>
      <c r="F74" s="4">
        <f>IF(ISNUMBER(SEARCH("营",'18.04'!N74)),(-$Y74+50*IF('18.04'!$AK74="是",'18.04'!$AZ$4,'18.04'!$AZ$3)),(VLOOKUP('18.04'!N74,'18.04'!$AM$4:$AO$55,2,FALSE))*IF('18.04'!$AK74="是",'18.04'!$AZ$4,'18.04'!$AZ$3))</f>
        <v>144</v>
      </c>
      <c r="G74" s="4">
        <f>IF(ISNUMBER(SEARCH("营",'18.04'!O74)),(-$Y74+50*IF('18.04'!$AK74="是",'18.04'!$AZ$4,'18.04'!$AZ$3)),(VLOOKUP('18.04'!O74,'18.04'!$AM$4:$AO$55,2,FALSE))*IF('18.04'!$AK74="是",'18.04'!$AZ$4,'18.04'!$AZ$3))</f>
        <v>144</v>
      </c>
      <c r="H74" s="4">
        <f>IF(ISNUMBER(SEARCH("营",'18.04'!P74)),(-$Y74+50*IF('18.04'!$AK74="是",'18.04'!$AZ$4,'18.04'!$AZ$3)),(VLOOKUP('18.04'!P74,'18.04'!$AM$4:$AO$55,2,FALSE))*IF('18.04'!$AK74="是",'18.04'!$AZ$4,'18.04'!$AZ$3))</f>
        <v>144</v>
      </c>
      <c r="I74" s="4">
        <f>IF(ISNUMBER(SEARCH("营",'18.04'!Q74)),(-$Y74+50*IF('18.04'!$AK74="是",'18.04'!$AZ$4,'18.04'!$AZ$3)),(VLOOKUP('18.04'!Q74,'18.04'!$AM$4:$AO$55,2,FALSE))*IF('18.04'!$AK74="是",'18.04'!$AZ$4,'18.04'!$AZ$3))</f>
        <v>160</v>
      </c>
      <c r="J74" s="4">
        <f>IF(ISNUMBER(SEARCH("营",'18.04'!R74)),(-$Y74+50*IF('18.04'!$AK74="是",'18.04'!$AZ$4,'18.04'!$AZ$3)),(VLOOKUP('18.04'!R74,'18.04'!$AM$4:$AO$55,2,FALSE))*IF('18.04'!$AK74="是",'18.04'!$AZ$4,'18.04'!$AZ$3))</f>
        <v>160</v>
      </c>
      <c r="K74" s="4">
        <f>IF(ISNUMBER(SEARCH("营",'18.04'!S74)),(-$Y74+50*IF('18.04'!$AK74="是",'18.04'!$AZ$4,'18.04'!$AZ$3)),(VLOOKUP('18.04'!S74,'18.04'!$AM$4:$AO$55,2,FALSE))*IF('18.04'!$AK74="是",'18.04'!$AZ$4,'18.04'!$AZ$3))</f>
        <v>160</v>
      </c>
      <c r="L74" s="4">
        <f>IF(ISNUMBER(SEARCH("营",'18.04'!T74)),(-$Y74+50*IF('18.04'!$AK74="是",'18.04'!$AZ$4,'18.04'!$AZ$3)),(VLOOKUP('18.04'!T74,'18.04'!$AM$4:$AO$55,2,FALSE))*IF('18.04'!$AK74="是",'18.04'!$AZ$4,'18.04'!$AZ$3))</f>
        <v>160</v>
      </c>
      <c r="M74" s="4">
        <f>IF(ISNUMBER(SEARCH("营",'18.04'!U74)),(-$Y74+50*IF('18.04'!$AK74="是",'18.04'!$AZ$4,'18.04'!$AZ$3)),(VLOOKUP('18.04'!U74,'18.04'!$AM$4:$AO$55,2,FALSE))*IF('18.04'!$AK74="是",'18.04'!$AZ$4,'18.04'!$AZ$3))</f>
        <v>160</v>
      </c>
      <c r="N74" s="4">
        <f>IF(ISNUMBER(SEARCH("营",'18.04'!V74)),(-$Y74+50*IF('18.04'!$AK74="是",'18.04'!$AZ$4,'18.04'!$AZ$3)),(VLOOKUP('18.04'!V74,'18.04'!$AM$4:$AO$55,2,FALSE))*IF('18.04'!$AK74="是",'18.04'!$AZ$4,'18.04'!$AZ$3))</f>
        <v>160</v>
      </c>
      <c r="O74" s="4">
        <f>IF(ISNUMBER(SEARCH("营",'18.04'!W74)),(-$Y74+50*IF('18.04'!$AK74="是",'18.04'!$AZ$4,'18.04'!$AZ$3)),(VLOOKUP('18.04'!W74,'18.04'!$AM$4:$AO$55,2,FALSE))*IF('18.04'!$AK74="是",'18.04'!$AZ$4,'18.04'!$AZ$3))</f>
        <v>160</v>
      </c>
      <c r="P74" s="4">
        <f>IF(ISNUMBER(SEARCH("营",'18.04'!X74)),(-$Y74+50*IF('18.04'!$AK74="是",'18.04'!$AZ$4,'18.04'!$AZ$3)),(VLOOKUP('18.04'!X74,'18.04'!$AM$4:$AO$55,2,FALSE))*IF('18.04'!$AK74="是",'18.04'!$AZ$4,'18.04'!$AZ$3))</f>
        <v>160</v>
      </c>
      <c r="Q74" s="4">
        <f>IF(ISNUMBER(SEARCH("营",'18.04'!Y74)),(-$Y74+50*IF('18.04'!$AK74="是",'18.04'!$AZ$4,'18.04'!$AZ$3)),(VLOOKUP('18.04'!Y74,'18.04'!$AM$4:$AO$55,2,FALSE))*IF('18.04'!$AK74="是",'18.04'!$AZ$4,'18.04'!$AZ$3))</f>
        <v>0</v>
      </c>
      <c r="R74" s="4">
        <f>IF(ISNUMBER(SEARCH("营",'18.04'!Z74)),(-$Y74+50*IF('18.04'!$AK74="是",'18.04'!$AZ$4,'18.04'!$AZ$3)),(VLOOKUP('18.04'!Z74,'18.04'!$AM$4:$AO$55,2,FALSE))*IF('18.04'!$AK74="是",'18.04'!$AZ$4,'18.04'!$AZ$3))</f>
        <v>0</v>
      </c>
      <c r="S74" s="4">
        <f>IF(ISNUMBER(SEARCH("营",'18.04'!AA74)),(-$Y74+50*IF('18.04'!$AK74="是",'18.04'!$AZ$4,'18.04'!$AZ$3)),(VLOOKUP('18.04'!AA74,'18.04'!$AM$4:$AO$55,2,FALSE))*IF('18.04'!$AK74="是",'18.04'!$AZ$4,'18.04'!$AZ$3))</f>
        <v>0</v>
      </c>
      <c r="T74" s="4">
        <f>IF(ISNUMBER(SEARCH("营",'18.04'!AB74)),(-$Y74+50*IF('18.04'!$AK74="是",'18.04'!$AZ$4,'18.04'!$AZ$3)),(VLOOKUP('18.04'!AB74,'18.04'!$AM$4:$AO$55,2,FALSE))*IF('18.04'!$AK74="是",'18.04'!$AZ$4,'18.04'!$AZ$3))</f>
        <v>0</v>
      </c>
      <c r="U74" s="4">
        <f>IF(ISNUMBER(SEARCH("营",'18.04'!AC74)),(-$Y74+50*IF('18.04'!$AK74="是",'18.04'!$AZ$4,'18.04'!$AZ$3)),(VLOOKUP('18.04'!AC74,'18.04'!$AM$4:$AO$55,2,FALSE))*IF('18.04'!$AK74="是",'18.04'!$AZ$4,'18.04'!$AZ$3))</f>
        <v>0</v>
      </c>
      <c r="V74" s="4">
        <f>IF(ISNUMBER(SEARCH("营",'18.04'!AD74)),(-$Y74+50*IF('18.04'!$AK74="是",'18.04'!$AZ$4,'18.04'!$AZ$3)),(VLOOKUP('18.04'!AD74,'18.04'!$AM$4:$AO$55,2,FALSE))*IF('18.04'!$AK74="是",'18.04'!$AZ$4,'18.04'!$AZ$3))</f>
        <v>0</v>
      </c>
      <c r="W74" s="4">
        <f>IF(ISNUMBER(SEARCH("营",'18.04'!AE74)),(-$Y74+50*IF('18.04'!$AK74="是",'18.04'!$AZ$4,'18.04'!$AZ$3)),(VLOOKUP('18.04'!AE74,'18.04'!$AM$4:$AO$55,2,FALSE))*IF('18.04'!$AK74="是",'18.04'!$AZ$4,'18.04'!$AZ$3))</f>
        <v>0</v>
      </c>
      <c r="X74" s="4">
        <f>IF(ISNUMBER(SEARCH("营",'18.04'!AF74)),(-$Y74+50*IF('18.04'!$AK74="是",'18.04'!$AZ$4,'18.04'!$AZ$3)),(VLOOKUP('18.04'!AF74,'18.04'!$AM$4:$AO$55,2,FALSE))*IF('18.04'!$AK74="是",'18.04'!$AZ$4,'18.04'!$AZ$3))</f>
        <v>0</v>
      </c>
      <c r="Y74" s="78">
        <v>100</v>
      </c>
      <c r="Z74" s="90">
        <v>45709</v>
      </c>
    </row>
    <row r="75" spans="1:26">
      <c r="A75" s="4">
        <f>IF(ISNUMBER(SEARCH("营",'18.04'!I75)),(-$Y75+50*IF('18.04'!$AK75="是",'18.04'!$AZ$4,'18.04'!$AZ$3)),(VLOOKUP('18.04'!I75,'18.04'!$AM$4:$AO$55,2,FALSE))*IF('18.04'!$AK75="是",'18.04'!$AZ$4,'18.04'!$AZ$3))</f>
        <v>144</v>
      </c>
      <c r="B75" s="4">
        <f>IF(ISNUMBER(SEARCH("营",'18.04'!J75)),(-$Y75+50*IF('18.04'!$AK75="是",'18.04'!$AZ$4,'18.04'!$AZ$3)),(VLOOKUP('18.04'!J75,'18.04'!$AM$4:$AO$55,2,FALSE))*IF('18.04'!$AK75="是",'18.04'!$AZ$4,'18.04'!$AZ$3))</f>
        <v>144</v>
      </c>
      <c r="C75" s="4">
        <f>IF(ISNUMBER(SEARCH("营",'18.04'!K75)),(-$Y75+50*IF('18.04'!$AK75="是",'18.04'!$AZ$4,'18.04'!$AZ$3)),(VLOOKUP('18.04'!K75,'18.04'!$AM$4:$AO$55,2,FALSE))*IF('18.04'!$AK75="是",'18.04'!$AZ$4,'18.04'!$AZ$3))</f>
        <v>144</v>
      </c>
      <c r="D75" s="4">
        <f>IF(ISNUMBER(SEARCH("营",'18.04'!L75)),(-$Y75+50*IF('18.04'!$AK75="是",'18.04'!$AZ$4,'18.04'!$AZ$3)),(VLOOKUP('18.04'!L75,'18.04'!$AM$4:$AO$55,2,FALSE))*IF('18.04'!$AK75="是",'18.04'!$AZ$4,'18.04'!$AZ$3))</f>
        <v>144</v>
      </c>
      <c r="E75" s="4">
        <f>IF(ISNUMBER(SEARCH("营",'18.04'!M75)),(-$Y75+50*IF('18.04'!$AK75="是",'18.04'!$AZ$4,'18.04'!$AZ$3)),(VLOOKUP('18.04'!M75,'18.04'!$AM$4:$AO$55,2,FALSE))*IF('18.04'!$AK75="是",'18.04'!$AZ$4,'18.04'!$AZ$3))</f>
        <v>144</v>
      </c>
      <c r="F75" s="4">
        <f>IF(ISNUMBER(SEARCH("营",'18.04'!N75)),(-$Y75+50*IF('18.04'!$AK75="是",'18.04'!$AZ$4,'18.04'!$AZ$3)),(VLOOKUP('18.04'!N75,'18.04'!$AM$4:$AO$55,2,FALSE))*IF('18.04'!$AK75="是",'18.04'!$AZ$4,'18.04'!$AZ$3))</f>
        <v>144</v>
      </c>
      <c r="G75" s="4">
        <f>IF(ISNUMBER(SEARCH("营",'18.04'!O75)),(-$Y75+50*IF('18.04'!$AK75="是",'18.04'!$AZ$4,'18.04'!$AZ$3)),(VLOOKUP('18.04'!O75,'18.04'!$AM$4:$AO$55,2,FALSE))*IF('18.04'!$AK75="是",'18.04'!$AZ$4,'18.04'!$AZ$3))</f>
        <v>144</v>
      </c>
      <c r="H75" s="4">
        <f>IF(ISNUMBER(SEARCH("营",'18.04'!P75)),(-$Y75+50*IF('18.04'!$AK75="是",'18.04'!$AZ$4,'18.04'!$AZ$3)),(VLOOKUP('18.04'!P75,'18.04'!$AM$4:$AO$55,2,FALSE))*IF('18.04'!$AK75="是",'18.04'!$AZ$4,'18.04'!$AZ$3))</f>
        <v>144</v>
      </c>
      <c r="I75" s="4">
        <f>IF(ISNUMBER(SEARCH("营",'18.04'!Q75)),(-$Y75+50*IF('18.04'!$AK75="是",'18.04'!$AZ$4,'18.04'!$AZ$3)),(VLOOKUP('18.04'!Q75,'18.04'!$AM$4:$AO$55,2,FALSE))*IF('18.04'!$AK75="是",'18.04'!$AZ$4,'18.04'!$AZ$3))</f>
        <v>160</v>
      </c>
      <c r="J75" s="4">
        <f>IF(ISNUMBER(SEARCH("营",'18.04'!R75)),(-$Y75+50*IF('18.04'!$AK75="是",'18.04'!$AZ$4,'18.04'!$AZ$3)),(VLOOKUP('18.04'!R75,'18.04'!$AM$4:$AO$55,2,FALSE))*IF('18.04'!$AK75="是",'18.04'!$AZ$4,'18.04'!$AZ$3))</f>
        <v>160</v>
      </c>
      <c r="K75" s="4">
        <f>IF(ISNUMBER(SEARCH("营",'18.04'!S75)),(-$Y75+50*IF('18.04'!$AK75="是",'18.04'!$AZ$4,'18.04'!$AZ$3)),(VLOOKUP('18.04'!S75,'18.04'!$AM$4:$AO$55,2,FALSE))*IF('18.04'!$AK75="是",'18.04'!$AZ$4,'18.04'!$AZ$3))</f>
        <v>160</v>
      </c>
      <c r="L75" s="4">
        <f>IF(ISNUMBER(SEARCH("营",'18.04'!T75)),(-$Y75+50*IF('18.04'!$AK75="是",'18.04'!$AZ$4,'18.04'!$AZ$3)),(VLOOKUP('18.04'!T75,'18.04'!$AM$4:$AO$55,2,FALSE))*IF('18.04'!$AK75="是",'18.04'!$AZ$4,'18.04'!$AZ$3))</f>
        <v>160</v>
      </c>
      <c r="M75" s="4">
        <f>IF(ISNUMBER(SEARCH("营",'18.04'!U75)),(-$Y75+50*IF('18.04'!$AK75="是",'18.04'!$AZ$4,'18.04'!$AZ$3)),(VLOOKUP('18.04'!U75,'18.04'!$AM$4:$AO$55,2,FALSE))*IF('18.04'!$AK75="是",'18.04'!$AZ$4,'18.04'!$AZ$3))</f>
        <v>160</v>
      </c>
      <c r="N75" s="4">
        <f>IF(ISNUMBER(SEARCH("营",'18.04'!V75)),(-$Y75+50*IF('18.04'!$AK75="是",'18.04'!$AZ$4,'18.04'!$AZ$3)),(VLOOKUP('18.04'!V75,'18.04'!$AM$4:$AO$55,2,FALSE))*IF('18.04'!$AK75="是",'18.04'!$AZ$4,'18.04'!$AZ$3))</f>
        <v>160</v>
      </c>
      <c r="O75" s="4">
        <f>IF(ISNUMBER(SEARCH("营",'18.04'!W75)),(-$Y75+50*IF('18.04'!$AK75="是",'18.04'!$AZ$4,'18.04'!$AZ$3)),(VLOOKUP('18.04'!W75,'18.04'!$AM$4:$AO$55,2,FALSE))*IF('18.04'!$AK75="是",'18.04'!$AZ$4,'18.04'!$AZ$3))</f>
        <v>160</v>
      </c>
      <c r="P75" s="4">
        <f>IF(ISNUMBER(SEARCH("营",'18.04'!X75)),(-$Y75+50*IF('18.04'!$AK75="是",'18.04'!$AZ$4,'18.04'!$AZ$3)),(VLOOKUP('18.04'!X75,'18.04'!$AM$4:$AO$55,2,FALSE))*IF('18.04'!$AK75="是",'18.04'!$AZ$4,'18.04'!$AZ$3))</f>
        <v>160</v>
      </c>
      <c r="Q75" s="4">
        <f>IF(ISNUMBER(SEARCH("营",'18.04'!Y75)),(-$Y75+50*IF('18.04'!$AK75="是",'18.04'!$AZ$4,'18.04'!$AZ$3)),(VLOOKUP('18.04'!Y75,'18.04'!$AM$4:$AO$55,2,FALSE))*IF('18.04'!$AK75="是",'18.04'!$AZ$4,'18.04'!$AZ$3))</f>
        <v>0</v>
      </c>
      <c r="R75" s="4">
        <f>IF(ISNUMBER(SEARCH("营",'18.04'!Z75)),(-$Y75+50*IF('18.04'!$AK75="是",'18.04'!$AZ$4,'18.04'!$AZ$3)),(VLOOKUP('18.04'!Z75,'18.04'!$AM$4:$AO$55,2,FALSE))*IF('18.04'!$AK75="是",'18.04'!$AZ$4,'18.04'!$AZ$3))</f>
        <v>0</v>
      </c>
      <c r="S75" s="4">
        <f>IF(ISNUMBER(SEARCH("营",'18.04'!AA75)),(-$Y75+50*IF('18.04'!$AK75="是",'18.04'!$AZ$4,'18.04'!$AZ$3)),(VLOOKUP('18.04'!AA75,'18.04'!$AM$4:$AO$55,2,FALSE))*IF('18.04'!$AK75="是",'18.04'!$AZ$4,'18.04'!$AZ$3))</f>
        <v>0</v>
      </c>
      <c r="T75" s="4">
        <f>IF(ISNUMBER(SEARCH("营",'18.04'!AB75)),(-$Y75+50*IF('18.04'!$AK75="是",'18.04'!$AZ$4,'18.04'!$AZ$3)),(VLOOKUP('18.04'!AB75,'18.04'!$AM$4:$AO$55,2,FALSE))*IF('18.04'!$AK75="是",'18.04'!$AZ$4,'18.04'!$AZ$3))</f>
        <v>0</v>
      </c>
      <c r="U75" s="4">
        <f>IF(ISNUMBER(SEARCH("营",'18.04'!AC75)),(-$Y75+50*IF('18.04'!$AK75="是",'18.04'!$AZ$4,'18.04'!$AZ$3)),(VLOOKUP('18.04'!AC75,'18.04'!$AM$4:$AO$55,2,FALSE))*IF('18.04'!$AK75="是",'18.04'!$AZ$4,'18.04'!$AZ$3))</f>
        <v>0</v>
      </c>
      <c r="V75" s="4">
        <f>IF(ISNUMBER(SEARCH("营",'18.04'!AD75)),(-$Y75+50*IF('18.04'!$AK75="是",'18.04'!$AZ$4,'18.04'!$AZ$3)),(VLOOKUP('18.04'!AD75,'18.04'!$AM$4:$AO$55,2,FALSE))*IF('18.04'!$AK75="是",'18.04'!$AZ$4,'18.04'!$AZ$3))</f>
        <v>0</v>
      </c>
      <c r="W75" s="4">
        <f>IF(ISNUMBER(SEARCH("营",'18.04'!AE75)),(-$Y75+50*IF('18.04'!$AK75="是",'18.04'!$AZ$4,'18.04'!$AZ$3)),(VLOOKUP('18.04'!AE75,'18.04'!$AM$4:$AO$55,2,FALSE))*IF('18.04'!$AK75="是",'18.04'!$AZ$4,'18.04'!$AZ$3))</f>
        <v>0</v>
      </c>
      <c r="X75" s="4">
        <f>IF(ISNUMBER(SEARCH("营",'18.04'!AF75)),(-$Y75+50*IF('18.04'!$AK75="是",'18.04'!$AZ$4,'18.04'!$AZ$3)),(VLOOKUP('18.04'!AF75,'18.04'!$AM$4:$AO$55,2,FALSE))*IF('18.04'!$AK75="是",'18.04'!$AZ$4,'18.04'!$AZ$3))</f>
        <v>0</v>
      </c>
      <c r="Y75" s="78">
        <v>100</v>
      </c>
      <c r="Z75" s="90">
        <v>45710</v>
      </c>
    </row>
    <row r="76" spans="1:26">
      <c r="A76" s="4">
        <f>IF(ISNUMBER(SEARCH("营",'18.04'!I76)),(-$Y76+50*IF('18.04'!$AK76="是",'18.04'!$AZ$4,'18.04'!$AZ$3)),(VLOOKUP('18.04'!I76,'18.04'!$AM$4:$AO$55,2,FALSE))*IF('18.04'!$AK76="是",'18.04'!$AZ$4,'18.04'!$AZ$3))</f>
        <v>144</v>
      </c>
      <c r="B76" s="4">
        <f>IF(ISNUMBER(SEARCH("营",'18.04'!J76)),(-$Y76+50*IF('18.04'!$AK76="是",'18.04'!$AZ$4,'18.04'!$AZ$3)),(VLOOKUP('18.04'!J76,'18.04'!$AM$4:$AO$55,2,FALSE))*IF('18.04'!$AK76="是",'18.04'!$AZ$4,'18.04'!$AZ$3))</f>
        <v>144</v>
      </c>
      <c r="C76" s="4">
        <f>IF(ISNUMBER(SEARCH("营",'18.04'!K76)),(-$Y76+50*IF('18.04'!$AK76="是",'18.04'!$AZ$4,'18.04'!$AZ$3)),(VLOOKUP('18.04'!K76,'18.04'!$AM$4:$AO$55,2,FALSE))*IF('18.04'!$AK76="是",'18.04'!$AZ$4,'18.04'!$AZ$3))</f>
        <v>144</v>
      </c>
      <c r="D76" s="4">
        <f>IF(ISNUMBER(SEARCH("营",'18.04'!L76)),(-$Y76+50*IF('18.04'!$AK76="是",'18.04'!$AZ$4,'18.04'!$AZ$3)),(VLOOKUP('18.04'!L76,'18.04'!$AM$4:$AO$55,2,FALSE))*IF('18.04'!$AK76="是",'18.04'!$AZ$4,'18.04'!$AZ$3))</f>
        <v>144</v>
      </c>
      <c r="E76" s="4">
        <f>IF(ISNUMBER(SEARCH("营",'18.04'!M76)),(-$Y76+50*IF('18.04'!$AK76="是",'18.04'!$AZ$4,'18.04'!$AZ$3)),(VLOOKUP('18.04'!M76,'18.04'!$AM$4:$AO$55,2,FALSE))*IF('18.04'!$AK76="是",'18.04'!$AZ$4,'18.04'!$AZ$3))</f>
        <v>144</v>
      </c>
      <c r="F76" s="4">
        <f>IF(ISNUMBER(SEARCH("营",'18.04'!N76)),(-$Y76+50*IF('18.04'!$AK76="是",'18.04'!$AZ$4,'18.04'!$AZ$3)),(VLOOKUP('18.04'!N76,'18.04'!$AM$4:$AO$55,2,FALSE))*IF('18.04'!$AK76="是",'18.04'!$AZ$4,'18.04'!$AZ$3))</f>
        <v>144</v>
      </c>
      <c r="G76" s="4">
        <f>IF(ISNUMBER(SEARCH("营",'18.04'!O76)),(-$Y76+50*IF('18.04'!$AK76="是",'18.04'!$AZ$4,'18.04'!$AZ$3)),(VLOOKUP('18.04'!O76,'18.04'!$AM$4:$AO$55,2,FALSE))*IF('18.04'!$AK76="是",'18.04'!$AZ$4,'18.04'!$AZ$3))</f>
        <v>144</v>
      </c>
      <c r="H76" s="4">
        <f>IF(ISNUMBER(SEARCH("营",'18.04'!P76)),(-$Y76+50*IF('18.04'!$AK76="是",'18.04'!$AZ$4,'18.04'!$AZ$3)),(VLOOKUP('18.04'!P76,'18.04'!$AM$4:$AO$55,2,FALSE))*IF('18.04'!$AK76="是",'18.04'!$AZ$4,'18.04'!$AZ$3))</f>
        <v>144</v>
      </c>
      <c r="I76" s="4">
        <f>IF(ISNUMBER(SEARCH("营",'18.04'!Q76)),(-$Y76+50*IF('18.04'!$AK76="是",'18.04'!$AZ$4,'18.04'!$AZ$3)),(VLOOKUP('18.04'!Q76,'18.04'!$AM$4:$AO$55,2,FALSE))*IF('18.04'!$AK76="是",'18.04'!$AZ$4,'18.04'!$AZ$3))</f>
        <v>160</v>
      </c>
      <c r="J76" s="4">
        <f>IF(ISNUMBER(SEARCH("营",'18.04'!R76)),(-$Y76+50*IF('18.04'!$AK76="是",'18.04'!$AZ$4,'18.04'!$AZ$3)),(VLOOKUP('18.04'!R76,'18.04'!$AM$4:$AO$55,2,FALSE))*IF('18.04'!$AK76="是",'18.04'!$AZ$4,'18.04'!$AZ$3))</f>
        <v>160</v>
      </c>
      <c r="K76" s="4">
        <f>IF(ISNUMBER(SEARCH("营",'18.04'!S76)),(-$Y76+50*IF('18.04'!$AK76="是",'18.04'!$AZ$4,'18.04'!$AZ$3)),(VLOOKUP('18.04'!S76,'18.04'!$AM$4:$AO$55,2,FALSE))*IF('18.04'!$AK76="是",'18.04'!$AZ$4,'18.04'!$AZ$3))</f>
        <v>160</v>
      </c>
      <c r="L76" s="4">
        <f>IF(ISNUMBER(SEARCH("营",'18.04'!T76)),(-$Y76+50*IF('18.04'!$AK76="是",'18.04'!$AZ$4,'18.04'!$AZ$3)),(VLOOKUP('18.04'!T76,'18.04'!$AM$4:$AO$55,2,FALSE))*IF('18.04'!$AK76="是",'18.04'!$AZ$4,'18.04'!$AZ$3))</f>
        <v>160</v>
      </c>
      <c r="M76" s="4">
        <f>IF(ISNUMBER(SEARCH("营",'18.04'!U76)),(-$Y76+50*IF('18.04'!$AK76="是",'18.04'!$AZ$4,'18.04'!$AZ$3)),(VLOOKUP('18.04'!U76,'18.04'!$AM$4:$AO$55,2,FALSE))*IF('18.04'!$AK76="是",'18.04'!$AZ$4,'18.04'!$AZ$3))</f>
        <v>160</v>
      </c>
      <c r="N76" s="4">
        <f>IF(ISNUMBER(SEARCH("营",'18.04'!V76)),(-$Y76+50*IF('18.04'!$AK76="是",'18.04'!$AZ$4,'18.04'!$AZ$3)),(VLOOKUP('18.04'!V76,'18.04'!$AM$4:$AO$55,2,FALSE))*IF('18.04'!$AK76="是",'18.04'!$AZ$4,'18.04'!$AZ$3))</f>
        <v>0</v>
      </c>
      <c r="O76" s="4">
        <f>IF(ISNUMBER(SEARCH("营",'18.04'!W76)),(-$Y76+50*IF('18.04'!$AK76="是",'18.04'!$AZ$4,'18.04'!$AZ$3)),(VLOOKUP('18.04'!W76,'18.04'!$AM$4:$AO$55,2,FALSE))*IF('18.04'!$AK76="是",'18.04'!$AZ$4,'18.04'!$AZ$3))</f>
        <v>0</v>
      </c>
      <c r="P76" s="4">
        <f>IF(ISNUMBER(SEARCH("营",'18.04'!X76)),(-$Y76+50*IF('18.04'!$AK76="是",'18.04'!$AZ$4,'18.04'!$AZ$3)),(VLOOKUP('18.04'!X76,'18.04'!$AM$4:$AO$55,2,FALSE))*IF('18.04'!$AK76="是",'18.04'!$AZ$4,'18.04'!$AZ$3))</f>
        <v>0</v>
      </c>
      <c r="Q76" s="4">
        <f>IF(ISNUMBER(SEARCH("营",'18.04'!Y76)),(-$Y76+50*IF('18.04'!$AK76="是",'18.04'!$AZ$4,'18.04'!$AZ$3)),(VLOOKUP('18.04'!Y76,'18.04'!$AM$4:$AO$55,2,FALSE))*IF('18.04'!$AK76="是",'18.04'!$AZ$4,'18.04'!$AZ$3))</f>
        <v>0</v>
      </c>
      <c r="R76" s="4">
        <f>IF(ISNUMBER(SEARCH("营",'18.04'!Z76)),(-$Y76+50*IF('18.04'!$AK76="是",'18.04'!$AZ$4,'18.04'!$AZ$3)),(VLOOKUP('18.04'!Z76,'18.04'!$AM$4:$AO$55,2,FALSE))*IF('18.04'!$AK76="是",'18.04'!$AZ$4,'18.04'!$AZ$3))</f>
        <v>0</v>
      </c>
      <c r="S76" s="4">
        <f>IF(ISNUMBER(SEARCH("营",'18.04'!AA76)),(-$Y76+50*IF('18.04'!$AK76="是",'18.04'!$AZ$4,'18.04'!$AZ$3)),(VLOOKUP('18.04'!AA76,'18.04'!$AM$4:$AO$55,2,FALSE))*IF('18.04'!$AK76="是",'18.04'!$AZ$4,'18.04'!$AZ$3))</f>
        <v>0</v>
      </c>
      <c r="T76" s="4">
        <f>IF(ISNUMBER(SEARCH("营",'18.04'!AB76)),(-$Y76+50*IF('18.04'!$AK76="是",'18.04'!$AZ$4,'18.04'!$AZ$3)),(VLOOKUP('18.04'!AB76,'18.04'!$AM$4:$AO$55,2,FALSE))*IF('18.04'!$AK76="是",'18.04'!$AZ$4,'18.04'!$AZ$3))</f>
        <v>0</v>
      </c>
      <c r="U76" s="4">
        <f>IF(ISNUMBER(SEARCH("营",'18.04'!AC76)),(-$Y76+50*IF('18.04'!$AK76="是",'18.04'!$AZ$4,'18.04'!$AZ$3)),(VLOOKUP('18.04'!AC76,'18.04'!$AM$4:$AO$55,2,FALSE))*IF('18.04'!$AK76="是",'18.04'!$AZ$4,'18.04'!$AZ$3))</f>
        <v>0</v>
      </c>
      <c r="V76" s="4">
        <f>IF(ISNUMBER(SEARCH("营",'18.04'!AD76)),(-$Y76+50*IF('18.04'!$AK76="是",'18.04'!$AZ$4,'18.04'!$AZ$3)),(VLOOKUP('18.04'!AD76,'18.04'!$AM$4:$AO$55,2,FALSE))*IF('18.04'!$AK76="是",'18.04'!$AZ$4,'18.04'!$AZ$3))</f>
        <v>0</v>
      </c>
      <c r="W76" s="4">
        <f>IF(ISNUMBER(SEARCH("营",'18.04'!AE76)),(-$Y76+50*IF('18.04'!$AK76="是",'18.04'!$AZ$4,'18.04'!$AZ$3)),(VLOOKUP('18.04'!AE76,'18.04'!$AM$4:$AO$55,2,FALSE))*IF('18.04'!$AK76="是",'18.04'!$AZ$4,'18.04'!$AZ$3))</f>
        <v>0</v>
      </c>
      <c r="X76" s="4">
        <f>IF(ISNUMBER(SEARCH("营",'18.04'!AF76)),(-$Y76+50*IF('18.04'!$AK76="是",'18.04'!$AZ$4,'18.04'!$AZ$3)),(VLOOKUP('18.04'!AF76,'18.04'!$AM$4:$AO$55,2,FALSE))*IF('18.04'!$AK76="是",'18.04'!$AZ$4,'18.04'!$AZ$3))</f>
        <v>0</v>
      </c>
      <c r="Y76" s="78">
        <v>100</v>
      </c>
      <c r="Z76" s="90">
        <v>45711</v>
      </c>
    </row>
    <row r="77" spans="1:26">
      <c r="A77" s="4">
        <f>IF(ISNUMBER(SEARCH("营",'18.04'!I77)),(-$Y77+50*IF('18.04'!$AK77="是",'18.04'!$AZ$4,'18.04'!$AZ$3)),(VLOOKUP('18.04'!I77,'18.04'!$AM$4:$AO$55,2,FALSE))*IF('18.04'!$AK77="是",'18.04'!$AZ$4,'18.04'!$AZ$3))</f>
        <v>144</v>
      </c>
      <c r="B77" s="4">
        <f>IF(ISNUMBER(SEARCH("营",'18.04'!J77)),(-$Y77+50*IF('18.04'!$AK77="是",'18.04'!$AZ$4,'18.04'!$AZ$3)),(VLOOKUP('18.04'!J77,'18.04'!$AM$4:$AO$55,2,FALSE))*IF('18.04'!$AK77="是",'18.04'!$AZ$4,'18.04'!$AZ$3))</f>
        <v>144</v>
      </c>
      <c r="C77" s="4">
        <f>IF(ISNUMBER(SEARCH("营",'18.04'!K77)),(-$Y77+50*IF('18.04'!$AK77="是",'18.04'!$AZ$4,'18.04'!$AZ$3)),(VLOOKUP('18.04'!K77,'18.04'!$AM$4:$AO$55,2,FALSE))*IF('18.04'!$AK77="是",'18.04'!$AZ$4,'18.04'!$AZ$3))</f>
        <v>144</v>
      </c>
      <c r="D77" s="4">
        <f>IF(ISNUMBER(SEARCH("营",'18.04'!L77)),(-$Y77+50*IF('18.04'!$AK77="是",'18.04'!$AZ$4,'18.04'!$AZ$3)),(VLOOKUP('18.04'!L77,'18.04'!$AM$4:$AO$55,2,FALSE))*IF('18.04'!$AK77="是",'18.04'!$AZ$4,'18.04'!$AZ$3))</f>
        <v>144</v>
      </c>
      <c r="E77" s="4">
        <f>IF(ISNUMBER(SEARCH("营",'18.04'!M77)),(-$Y77+50*IF('18.04'!$AK77="是",'18.04'!$AZ$4,'18.04'!$AZ$3)),(VLOOKUP('18.04'!M77,'18.04'!$AM$4:$AO$55,2,FALSE))*IF('18.04'!$AK77="是",'18.04'!$AZ$4,'18.04'!$AZ$3))</f>
        <v>144</v>
      </c>
      <c r="F77" s="4">
        <f>IF(ISNUMBER(SEARCH("营",'18.04'!N77)),(-$Y77+50*IF('18.04'!$AK77="是",'18.04'!$AZ$4,'18.04'!$AZ$3)),(VLOOKUP('18.04'!N77,'18.04'!$AM$4:$AO$55,2,FALSE))*IF('18.04'!$AK77="是",'18.04'!$AZ$4,'18.04'!$AZ$3))</f>
        <v>144</v>
      </c>
      <c r="G77" s="4">
        <f>IF(ISNUMBER(SEARCH("营",'18.04'!O77)),(-$Y77+50*IF('18.04'!$AK77="是",'18.04'!$AZ$4,'18.04'!$AZ$3)),(VLOOKUP('18.04'!O77,'18.04'!$AM$4:$AO$55,2,FALSE))*IF('18.04'!$AK77="是",'18.04'!$AZ$4,'18.04'!$AZ$3))</f>
        <v>144</v>
      </c>
      <c r="H77" s="4">
        <f>IF(ISNUMBER(SEARCH("营",'18.04'!P77)),(-$Y77+50*IF('18.04'!$AK77="是",'18.04'!$AZ$4,'18.04'!$AZ$3)),(VLOOKUP('18.04'!P77,'18.04'!$AM$4:$AO$55,2,FALSE))*IF('18.04'!$AK77="是",'18.04'!$AZ$4,'18.04'!$AZ$3))</f>
        <v>144</v>
      </c>
      <c r="I77" s="4">
        <f>IF(ISNUMBER(SEARCH("营",'18.04'!Q77)),(-$Y77+50*IF('18.04'!$AK77="是",'18.04'!$AZ$4,'18.04'!$AZ$3)),(VLOOKUP('18.04'!Q77,'18.04'!$AM$4:$AO$55,2,FALSE))*IF('18.04'!$AK77="是",'18.04'!$AZ$4,'18.04'!$AZ$3))</f>
        <v>40</v>
      </c>
      <c r="J77" s="4">
        <f>IF(ISNUMBER(SEARCH("营",'18.04'!R77)),(-$Y77+50*IF('18.04'!$AK77="是",'18.04'!$AZ$4,'18.04'!$AZ$3)),(VLOOKUP('18.04'!R77,'18.04'!$AM$4:$AO$55,2,FALSE))*IF('18.04'!$AK77="是",'18.04'!$AZ$4,'18.04'!$AZ$3))</f>
        <v>40</v>
      </c>
      <c r="K77" s="4">
        <f>IF(ISNUMBER(SEARCH("营",'18.04'!S77)),(-$Y77+50*IF('18.04'!$AK77="是",'18.04'!$AZ$4,'18.04'!$AZ$3)),(VLOOKUP('18.04'!S77,'18.04'!$AM$4:$AO$55,2,FALSE))*IF('18.04'!$AK77="是",'18.04'!$AZ$4,'18.04'!$AZ$3))</f>
        <v>40</v>
      </c>
      <c r="L77" s="4">
        <f>IF(ISNUMBER(SEARCH("营",'18.04'!T77)),(-$Y77+50*IF('18.04'!$AK77="是",'18.04'!$AZ$4,'18.04'!$AZ$3)),(VLOOKUP('18.04'!T77,'18.04'!$AM$4:$AO$55,2,FALSE))*IF('18.04'!$AK77="是",'18.04'!$AZ$4,'18.04'!$AZ$3))</f>
        <v>40</v>
      </c>
      <c r="M77" s="4">
        <f>IF(ISNUMBER(SEARCH("营",'18.04'!U77)),(-$Y77+50*IF('18.04'!$AK77="是",'18.04'!$AZ$4,'18.04'!$AZ$3)),(VLOOKUP('18.04'!U77,'18.04'!$AM$4:$AO$55,2,FALSE))*IF('18.04'!$AK77="是",'18.04'!$AZ$4,'18.04'!$AZ$3))</f>
        <v>40</v>
      </c>
      <c r="N77" s="4">
        <f>IF(ISNUMBER(SEARCH("营",'18.04'!V77)),(-$Y77+50*IF('18.04'!$AK77="是",'18.04'!$AZ$4,'18.04'!$AZ$3)),(VLOOKUP('18.04'!V77,'18.04'!$AM$4:$AO$55,2,FALSE))*IF('18.04'!$AK77="是",'18.04'!$AZ$4,'18.04'!$AZ$3))</f>
        <v>40</v>
      </c>
      <c r="O77" s="4">
        <f>IF(ISNUMBER(SEARCH("营",'18.04'!W77)),(-$Y77+50*IF('18.04'!$AK77="是",'18.04'!$AZ$4,'18.04'!$AZ$3)),(VLOOKUP('18.04'!W77,'18.04'!$AM$4:$AO$55,2,FALSE))*IF('18.04'!$AK77="是",'18.04'!$AZ$4,'18.04'!$AZ$3))</f>
        <v>0</v>
      </c>
      <c r="P77" s="4">
        <f>IF(ISNUMBER(SEARCH("营",'18.04'!X77)),(-$Y77+50*IF('18.04'!$AK77="是",'18.04'!$AZ$4,'18.04'!$AZ$3)),(VLOOKUP('18.04'!X77,'18.04'!$AM$4:$AO$55,2,FALSE))*IF('18.04'!$AK77="是",'18.04'!$AZ$4,'18.04'!$AZ$3))</f>
        <v>0</v>
      </c>
      <c r="Q77" s="4">
        <f>IF(ISNUMBER(SEARCH("营",'18.04'!Y77)),(-$Y77+50*IF('18.04'!$AK77="是",'18.04'!$AZ$4,'18.04'!$AZ$3)),(VLOOKUP('18.04'!Y77,'18.04'!$AM$4:$AO$55,2,FALSE))*IF('18.04'!$AK77="是",'18.04'!$AZ$4,'18.04'!$AZ$3))</f>
        <v>0</v>
      </c>
      <c r="R77" s="4">
        <f>IF(ISNUMBER(SEARCH("营",'18.04'!Z77)),(-$Y77+50*IF('18.04'!$AK77="是",'18.04'!$AZ$4,'18.04'!$AZ$3)),(VLOOKUP('18.04'!Z77,'18.04'!$AM$4:$AO$55,2,FALSE))*IF('18.04'!$AK77="是",'18.04'!$AZ$4,'18.04'!$AZ$3))</f>
        <v>0</v>
      </c>
      <c r="S77" s="4">
        <f>IF(ISNUMBER(SEARCH("营",'18.04'!AA77)),(-$Y77+50*IF('18.04'!$AK77="是",'18.04'!$AZ$4,'18.04'!$AZ$3)),(VLOOKUP('18.04'!AA77,'18.04'!$AM$4:$AO$55,2,FALSE))*IF('18.04'!$AK77="是",'18.04'!$AZ$4,'18.04'!$AZ$3))</f>
        <v>0</v>
      </c>
      <c r="T77" s="4">
        <f>IF(ISNUMBER(SEARCH("营",'18.04'!AB77)),(-$Y77+50*IF('18.04'!$AK77="是",'18.04'!$AZ$4,'18.04'!$AZ$3)),(VLOOKUP('18.04'!AB77,'18.04'!$AM$4:$AO$55,2,FALSE))*IF('18.04'!$AK77="是",'18.04'!$AZ$4,'18.04'!$AZ$3))</f>
        <v>0</v>
      </c>
      <c r="U77" s="4">
        <f>IF(ISNUMBER(SEARCH("营",'18.04'!AC77)),(-$Y77+50*IF('18.04'!$AK77="是",'18.04'!$AZ$4,'18.04'!$AZ$3)),(VLOOKUP('18.04'!AC77,'18.04'!$AM$4:$AO$55,2,FALSE))*IF('18.04'!$AK77="是",'18.04'!$AZ$4,'18.04'!$AZ$3))</f>
        <v>0</v>
      </c>
      <c r="V77" s="4">
        <f>IF(ISNUMBER(SEARCH("营",'18.04'!AD77)),(-$Y77+50*IF('18.04'!$AK77="是",'18.04'!$AZ$4,'18.04'!$AZ$3)),(VLOOKUP('18.04'!AD77,'18.04'!$AM$4:$AO$55,2,FALSE))*IF('18.04'!$AK77="是",'18.04'!$AZ$4,'18.04'!$AZ$3))</f>
        <v>0</v>
      </c>
      <c r="W77" s="4">
        <f>IF(ISNUMBER(SEARCH("营",'18.04'!AE77)),(-$Y77+50*IF('18.04'!$AK77="是",'18.04'!$AZ$4,'18.04'!$AZ$3)),(VLOOKUP('18.04'!AE77,'18.04'!$AM$4:$AO$55,2,FALSE))*IF('18.04'!$AK77="是",'18.04'!$AZ$4,'18.04'!$AZ$3))</f>
        <v>0</v>
      </c>
      <c r="X77" s="4">
        <f>IF(ISNUMBER(SEARCH("营",'18.04'!AF77)),(-$Y77+50*IF('18.04'!$AK77="是",'18.04'!$AZ$4,'18.04'!$AZ$3)),(VLOOKUP('18.04'!AF77,'18.04'!$AM$4:$AO$55,2,FALSE))*IF('18.04'!$AK77="是",'18.04'!$AZ$4,'18.04'!$AZ$3))</f>
        <v>0</v>
      </c>
      <c r="Y77" s="78">
        <v>100</v>
      </c>
      <c r="Z77" s="90">
        <v>45712</v>
      </c>
    </row>
    <row r="78" spans="1:26">
      <c r="A78" s="4">
        <f>IF(ISNUMBER(SEARCH("营",'18.04'!I78)),(-$Y78+50*IF('18.04'!$AK78="是",'18.04'!$AZ$4,'18.04'!$AZ$3)),(VLOOKUP('18.04'!I78,'18.04'!$AM$4:$AO$55,2,FALSE))*IF('18.04'!$AK78="是",'18.04'!$AZ$4,'18.04'!$AZ$3))</f>
        <v>144</v>
      </c>
      <c r="B78" s="4">
        <f>IF(ISNUMBER(SEARCH("营",'18.04'!J78)),(-$Y78+50*IF('18.04'!$AK78="是",'18.04'!$AZ$4,'18.04'!$AZ$3)),(VLOOKUP('18.04'!J78,'18.04'!$AM$4:$AO$55,2,FALSE))*IF('18.04'!$AK78="是",'18.04'!$AZ$4,'18.04'!$AZ$3))</f>
        <v>144</v>
      </c>
      <c r="C78" s="4">
        <f>IF(ISNUMBER(SEARCH("营",'18.04'!K78)),(-$Y78+50*IF('18.04'!$AK78="是",'18.04'!$AZ$4,'18.04'!$AZ$3)),(VLOOKUP('18.04'!K78,'18.04'!$AM$4:$AO$55,2,FALSE))*IF('18.04'!$AK78="是",'18.04'!$AZ$4,'18.04'!$AZ$3))</f>
        <v>144</v>
      </c>
      <c r="D78" s="4">
        <f>IF(ISNUMBER(SEARCH("营",'18.04'!L78)),(-$Y78+50*IF('18.04'!$AK78="是",'18.04'!$AZ$4,'18.04'!$AZ$3)),(VLOOKUP('18.04'!L78,'18.04'!$AM$4:$AO$55,2,FALSE))*IF('18.04'!$AK78="是",'18.04'!$AZ$4,'18.04'!$AZ$3))</f>
        <v>144</v>
      </c>
      <c r="E78" s="4">
        <f>IF(ISNUMBER(SEARCH("营",'18.04'!M78)),(-$Y78+50*IF('18.04'!$AK78="是",'18.04'!$AZ$4,'18.04'!$AZ$3)),(VLOOKUP('18.04'!M78,'18.04'!$AM$4:$AO$55,2,FALSE))*IF('18.04'!$AK78="是",'18.04'!$AZ$4,'18.04'!$AZ$3))</f>
        <v>144</v>
      </c>
      <c r="F78" s="4">
        <f>IF(ISNUMBER(SEARCH("营",'18.04'!N78)),(-$Y78+50*IF('18.04'!$AK78="是",'18.04'!$AZ$4,'18.04'!$AZ$3)),(VLOOKUP('18.04'!N78,'18.04'!$AM$4:$AO$55,2,FALSE))*IF('18.04'!$AK78="是",'18.04'!$AZ$4,'18.04'!$AZ$3))</f>
        <v>144</v>
      </c>
      <c r="G78" s="4">
        <f>IF(ISNUMBER(SEARCH("营",'18.04'!O78)),(-$Y78+50*IF('18.04'!$AK78="是",'18.04'!$AZ$4,'18.04'!$AZ$3)),(VLOOKUP('18.04'!O78,'18.04'!$AM$4:$AO$55,2,FALSE))*IF('18.04'!$AK78="是",'18.04'!$AZ$4,'18.04'!$AZ$3))</f>
        <v>144</v>
      </c>
      <c r="H78" s="4">
        <f>IF(ISNUMBER(SEARCH("营",'18.04'!P78)),(-$Y78+50*IF('18.04'!$AK78="是",'18.04'!$AZ$4,'18.04'!$AZ$3)),(VLOOKUP('18.04'!P78,'18.04'!$AM$4:$AO$55,2,FALSE))*IF('18.04'!$AK78="是",'18.04'!$AZ$4,'18.04'!$AZ$3))</f>
        <v>144</v>
      </c>
      <c r="I78" s="4">
        <f>IF(ISNUMBER(SEARCH("营",'18.04'!Q78)),(-$Y78+50*IF('18.04'!$AK78="是",'18.04'!$AZ$4,'18.04'!$AZ$3)),(VLOOKUP('18.04'!Q78,'18.04'!$AM$4:$AO$55,2,FALSE))*IF('18.04'!$AK78="是",'18.04'!$AZ$4,'18.04'!$AZ$3))</f>
        <v>40</v>
      </c>
      <c r="J78" s="4">
        <f>IF(ISNUMBER(SEARCH("营",'18.04'!R78)),(-$Y78+50*IF('18.04'!$AK78="是",'18.04'!$AZ$4,'18.04'!$AZ$3)),(VLOOKUP('18.04'!R78,'18.04'!$AM$4:$AO$55,2,FALSE))*IF('18.04'!$AK78="是",'18.04'!$AZ$4,'18.04'!$AZ$3))</f>
        <v>40</v>
      </c>
      <c r="K78" s="4">
        <f>IF(ISNUMBER(SEARCH("营",'18.04'!S78)),(-$Y78+50*IF('18.04'!$AK78="是",'18.04'!$AZ$4,'18.04'!$AZ$3)),(VLOOKUP('18.04'!S78,'18.04'!$AM$4:$AO$55,2,FALSE))*IF('18.04'!$AK78="是",'18.04'!$AZ$4,'18.04'!$AZ$3))</f>
        <v>40</v>
      </c>
      <c r="L78" s="4">
        <f>IF(ISNUMBER(SEARCH("营",'18.04'!T78)),(-$Y78+50*IF('18.04'!$AK78="是",'18.04'!$AZ$4,'18.04'!$AZ$3)),(VLOOKUP('18.04'!T78,'18.04'!$AM$4:$AO$55,2,FALSE))*IF('18.04'!$AK78="是",'18.04'!$AZ$4,'18.04'!$AZ$3))</f>
        <v>40</v>
      </c>
      <c r="M78" s="4">
        <f>IF(ISNUMBER(SEARCH("营",'18.04'!U78)),(-$Y78+50*IF('18.04'!$AK78="是",'18.04'!$AZ$4,'18.04'!$AZ$3)),(VLOOKUP('18.04'!U78,'18.04'!$AM$4:$AO$55,2,FALSE))*IF('18.04'!$AK78="是",'18.04'!$AZ$4,'18.04'!$AZ$3))</f>
        <v>40</v>
      </c>
      <c r="N78" s="4">
        <f>IF(ISNUMBER(SEARCH("营",'18.04'!V78)),(-$Y78+50*IF('18.04'!$AK78="是",'18.04'!$AZ$4,'18.04'!$AZ$3)),(VLOOKUP('18.04'!V78,'18.04'!$AM$4:$AO$55,2,FALSE))*IF('18.04'!$AK78="是",'18.04'!$AZ$4,'18.04'!$AZ$3))</f>
        <v>40</v>
      </c>
      <c r="O78" s="4">
        <f>IF(ISNUMBER(SEARCH("营",'18.04'!W78)),(-$Y78+50*IF('18.04'!$AK78="是",'18.04'!$AZ$4,'18.04'!$AZ$3)),(VLOOKUP('18.04'!W78,'18.04'!$AM$4:$AO$55,2,FALSE))*IF('18.04'!$AK78="是",'18.04'!$AZ$4,'18.04'!$AZ$3))</f>
        <v>0</v>
      </c>
      <c r="P78" s="4">
        <f>IF(ISNUMBER(SEARCH("营",'18.04'!X78)),(-$Y78+50*IF('18.04'!$AK78="是",'18.04'!$AZ$4,'18.04'!$AZ$3)),(VLOOKUP('18.04'!X78,'18.04'!$AM$4:$AO$55,2,FALSE))*IF('18.04'!$AK78="是",'18.04'!$AZ$4,'18.04'!$AZ$3))</f>
        <v>0</v>
      </c>
      <c r="Q78" s="4">
        <f>IF(ISNUMBER(SEARCH("营",'18.04'!Y78)),(-$Y78+50*IF('18.04'!$AK78="是",'18.04'!$AZ$4,'18.04'!$AZ$3)),(VLOOKUP('18.04'!Y78,'18.04'!$AM$4:$AO$55,2,FALSE))*IF('18.04'!$AK78="是",'18.04'!$AZ$4,'18.04'!$AZ$3))</f>
        <v>0</v>
      </c>
      <c r="R78" s="4">
        <f>IF(ISNUMBER(SEARCH("营",'18.04'!Z78)),(-$Y78+50*IF('18.04'!$AK78="是",'18.04'!$AZ$4,'18.04'!$AZ$3)),(VLOOKUP('18.04'!Z78,'18.04'!$AM$4:$AO$55,2,FALSE))*IF('18.04'!$AK78="是",'18.04'!$AZ$4,'18.04'!$AZ$3))</f>
        <v>0</v>
      </c>
      <c r="S78" s="4">
        <f>IF(ISNUMBER(SEARCH("营",'18.04'!AA78)),(-$Y78+50*IF('18.04'!$AK78="是",'18.04'!$AZ$4,'18.04'!$AZ$3)),(VLOOKUP('18.04'!AA78,'18.04'!$AM$4:$AO$55,2,FALSE))*IF('18.04'!$AK78="是",'18.04'!$AZ$4,'18.04'!$AZ$3))</f>
        <v>0</v>
      </c>
      <c r="T78" s="4">
        <f>IF(ISNUMBER(SEARCH("营",'18.04'!AB78)),(-$Y78+50*IF('18.04'!$AK78="是",'18.04'!$AZ$4,'18.04'!$AZ$3)),(VLOOKUP('18.04'!AB78,'18.04'!$AM$4:$AO$55,2,FALSE))*IF('18.04'!$AK78="是",'18.04'!$AZ$4,'18.04'!$AZ$3))</f>
        <v>0</v>
      </c>
      <c r="U78" s="4">
        <f>IF(ISNUMBER(SEARCH("营",'18.04'!AC78)),(-$Y78+50*IF('18.04'!$AK78="是",'18.04'!$AZ$4,'18.04'!$AZ$3)),(VLOOKUP('18.04'!AC78,'18.04'!$AM$4:$AO$55,2,FALSE))*IF('18.04'!$AK78="是",'18.04'!$AZ$4,'18.04'!$AZ$3))</f>
        <v>0</v>
      </c>
      <c r="V78" s="4">
        <f>IF(ISNUMBER(SEARCH("营",'18.04'!AD78)),(-$Y78+50*IF('18.04'!$AK78="是",'18.04'!$AZ$4,'18.04'!$AZ$3)),(VLOOKUP('18.04'!AD78,'18.04'!$AM$4:$AO$55,2,FALSE))*IF('18.04'!$AK78="是",'18.04'!$AZ$4,'18.04'!$AZ$3))</f>
        <v>0</v>
      </c>
      <c r="W78" s="4">
        <f>IF(ISNUMBER(SEARCH("营",'18.04'!AE78)),(-$Y78+50*IF('18.04'!$AK78="是",'18.04'!$AZ$4,'18.04'!$AZ$3)),(VLOOKUP('18.04'!AE78,'18.04'!$AM$4:$AO$55,2,FALSE))*IF('18.04'!$AK78="是",'18.04'!$AZ$4,'18.04'!$AZ$3))</f>
        <v>0</v>
      </c>
      <c r="X78" s="4">
        <f>IF(ISNUMBER(SEARCH("营",'18.04'!AF78)),(-$Y78+50*IF('18.04'!$AK78="是",'18.04'!$AZ$4,'18.04'!$AZ$3)),(VLOOKUP('18.04'!AF78,'18.04'!$AM$4:$AO$55,2,FALSE))*IF('18.04'!$AK78="是",'18.04'!$AZ$4,'18.04'!$AZ$3))</f>
        <v>0</v>
      </c>
      <c r="Y78" s="78">
        <v>100</v>
      </c>
      <c r="Z78" s="90">
        <v>45713</v>
      </c>
    </row>
    <row r="79" spans="1:26">
      <c r="A79" s="4">
        <f>IF(ISNUMBER(SEARCH("营",'18.04'!I79)),(-$Y79+50*IF('18.04'!$AK79="是",'18.04'!$AZ$4,'18.04'!$AZ$3)),(VLOOKUP('18.04'!I79,'18.04'!$AM$4:$AO$55,2,FALSE))*IF('18.04'!$AK79="是",'18.04'!$AZ$4,'18.04'!$AZ$3))</f>
        <v>144</v>
      </c>
      <c r="B79" s="4">
        <f>IF(ISNUMBER(SEARCH("营",'18.04'!J79)),(-$Y79+50*IF('18.04'!$AK79="是",'18.04'!$AZ$4,'18.04'!$AZ$3)),(VLOOKUP('18.04'!J79,'18.04'!$AM$4:$AO$55,2,FALSE))*IF('18.04'!$AK79="是",'18.04'!$AZ$4,'18.04'!$AZ$3))</f>
        <v>144</v>
      </c>
      <c r="C79" s="4">
        <f>IF(ISNUMBER(SEARCH("营",'18.04'!K79)),(-$Y79+50*IF('18.04'!$AK79="是",'18.04'!$AZ$4,'18.04'!$AZ$3)),(VLOOKUP('18.04'!K79,'18.04'!$AM$4:$AO$55,2,FALSE))*IF('18.04'!$AK79="是",'18.04'!$AZ$4,'18.04'!$AZ$3))</f>
        <v>144</v>
      </c>
      <c r="D79" s="4">
        <f>IF(ISNUMBER(SEARCH("营",'18.04'!L79)),(-$Y79+50*IF('18.04'!$AK79="是",'18.04'!$AZ$4,'18.04'!$AZ$3)),(VLOOKUP('18.04'!L79,'18.04'!$AM$4:$AO$55,2,FALSE))*IF('18.04'!$AK79="是",'18.04'!$AZ$4,'18.04'!$AZ$3))</f>
        <v>144</v>
      </c>
      <c r="E79" s="4">
        <f>IF(ISNUMBER(SEARCH("营",'18.04'!M79)),(-$Y79+50*IF('18.04'!$AK79="是",'18.04'!$AZ$4,'18.04'!$AZ$3)),(VLOOKUP('18.04'!M79,'18.04'!$AM$4:$AO$55,2,FALSE))*IF('18.04'!$AK79="是",'18.04'!$AZ$4,'18.04'!$AZ$3))</f>
        <v>144</v>
      </c>
      <c r="F79" s="4">
        <f>IF(ISNUMBER(SEARCH("营",'18.04'!N79)),(-$Y79+50*IF('18.04'!$AK79="是",'18.04'!$AZ$4,'18.04'!$AZ$3)),(VLOOKUP('18.04'!N79,'18.04'!$AM$4:$AO$55,2,FALSE))*IF('18.04'!$AK79="是",'18.04'!$AZ$4,'18.04'!$AZ$3))</f>
        <v>144</v>
      </c>
      <c r="G79" s="4">
        <f>IF(ISNUMBER(SEARCH("营",'18.04'!O79)),(-$Y79+50*IF('18.04'!$AK79="是",'18.04'!$AZ$4,'18.04'!$AZ$3)),(VLOOKUP('18.04'!O79,'18.04'!$AM$4:$AO$55,2,FALSE))*IF('18.04'!$AK79="是",'18.04'!$AZ$4,'18.04'!$AZ$3))</f>
        <v>144</v>
      </c>
      <c r="H79" s="4">
        <f>IF(ISNUMBER(SEARCH("营",'18.04'!P79)),(-$Y79+50*IF('18.04'!$AK79="是",'18.04'!$AZ$4,'18.04'!$AZ$3)),(VLOOKUP('18.04'!P79,'18.04'!$AM$4:$AO$55,2,FALSE))*IF('18.04'!$AK79="是",'18.04'!$AZ$4,'18.04'!$AZ$3))</f>
        <v>144</v>
      </c>
      <c r="I79" s="4">
        <f>IF(ISNUMBER(SEARCH("营",'18.04'!Q79)),(-$Y79+50*IF('18.04'!$AK79="是",'18.04'!$AZ$4,'18.04'!$AZ$3)),(VLOOKUP('18.04'!Q79,'18.04'!$AM$4:$AO$55,2,FALSE))*IF('18.04'!$AK79="是",'18.04'!$AZ$4,'18.04'!$AZ$3))</f>
        <v>40</v>
      </c>
      <c r="J79" s="4">
        <f>IF(ISNUMBER(SEARCH("营",'18.04'!R79)),(-$Y79+50*IF('18.04'!$AK79="是",'18.04'!$AZ$4,'18.04'!$AZ$3)),(VLOOKUP('18.04'!R79,'18.04'!$AM$4:$AO$55,2,FALSE))*IF('18.04'!$AK79="是",'18.04'!$AZ$4,'18.04'!$AZ$3))</f>
        <v>40</v>
      </c>
      <c r="K79" s="4">
        <f>IF(ISNUMBER(SEARCH("营",'18.04'!S79)),(-$Y79+50*IF('18.04'!$AK79="是",'18.04'!$AZ$4,'18.04'!$AZ$3)),(VLOOKUP('18.04'!S79,'18.04'!$AM$4:$AO$55,2,FALSE))*IF('18.04'!$AK79="是",'18.04'!$AZ$4,'18.04'!$AZ$3))</f>
        <v>40</v>
      </c>
      <c r="L79" s="4">
        <f>IF(ISNUMBER(SEARCH("营",'18.04'!T79)),(-$Y79+50*IF('18.04'!$AK79="是",'18.04'!$AZ$4,'18.04'!$AZ$3)),(VLOOKUP('18.04'!T79,'18.04'!$AM$4:$AO$55,2,FALSE))*IF('18.04'!$AK79="是",'18.04'!$AZ$4,'18.04'!$AZ$3))</f>
        <v>40</v>
      </c>
      <c r="M79" s="4">
        <f>IF(ISNUMBER(SEARCH("营",'18.04'!U79)),(-$Y79+50*IF('18.04'!$AK79="是",'18.04'!$AZ$4,'18.04'!$AZ$3)),(VLOOKUP('18.04'!U79,'18.04'!$AM$4:$AO$55,2,FALSE))*IF('18.04'!$AK79="是",'18.04'!$AZ$4,'18.04'!$AZ$3))</f>
        <v>40</v>
      </c>
      <c r="N79" s="4">
        <f>IF(ISNUMBER(SEARCH("营",'18.04'!V79)),(-$Y79+50*IF('18.04'!$AK79="是",'18.04'!$AZ$4,'18.04'!$AZ$3)),(VLOOKUP('18.04'!V79,'18.04'!$AM$4:$AO$55,2,FALSE))*IF('18.04'!$AK79="是",'18.04'!$AZ$4,'18.04'!$AZ$3))</f>
        <v>40</v>
      </c>
      <c r="O79" s="4">
        <f>IF(ISNUMBER(SEARCH("营",'18.04'!W79)),(-$Y79+50*IF('18.04'!$AK79="是",'18.04'!$AZ$4,'18.04'!$AZ$3)),(VLOOKUP('18.04'!W79,'18.04'!$AM$4:$AO$55,2,FALSE))*IF('18.04'!$AK79="是",'18.04'!$AZ$4,'18.04'!$AZ$3))</f>
        <v>0</v>
      </c>
      <c r="P79" s="4">
        <f>IF(ISNUMBER(SEARCH("营",'18.04'!X79)),(-$Y79+50*IF('18.04'!$AK79="是",'18.04'!$AZ$4,'18.04'!$AZ$3)),(VLOOKUP('18.04'!X79,'18.04'!$AM$4:$AO$55,2,FALSE))*IF('18.04'!$AK79="是",'18.04'!$AZ$4,'18.04'!$AZ$3))</f>
        <v>0</v>
      </c>
      <c r="Q79" s="4">
        <f>IF(ISNUMBER(SEARCH("营",'18.04'!Y79)),(-$Y79+50*IF('18.04'!$AK79="是",'18.04'!$AZ$4,'18.04'!$AZ$3)),(VLOOKUP('18.04'!Y79,'18.04'!$AM$4:$AO$55,2,FALSE))*IF('18.04'!$AK79="是",'18.04'!$AZ$4,'18.04'!$AZ$3))</f>
        <v>0</v>
      </c>
      <c r="R79" s="4">
        <f>IF(ISNUMBER(SEARCH("营",'18.04'!Z79)),(-$Y79+50*IF('18.04'!$AK79="是",'18.04'!$AZ$4,'18.04'!$AZ$3)),(VLOOKUP('18.04'!Z79,'18.04'!$AM$4:$AO$55,2,FALSE))*IF('18.04'!$AK79="是",'18.04'!$AZ$4,'18.04'!$AZ$3))</f>
        <v>0</v>
      </c>
      <c r="S79" s="4">
        <f>IF(ISNUMBER(SEARCH("营",'18.04'!AA79)),(-$Y79+50*IF('18.04'!$AK79="是",'18.04'!$AZ$4,'18.04'!$AZ$3)),(VLOOKUP('18.04'!AA79,'18.04'!$AM$4:$AO$55,2,FALSE))*IF('18.04'!$AK79="是",'18.04'!$AZ$4,'18.04'!$AZ$3))</f>
        <v>0</v>
      </c>
      <c r="T79" s="4">
        <f>IF(ISNUMBER(SEARCH("营",'18.04'!AB79)),(-$Y79+50*IF('18.04'!$AK79="是",'18.04'!$AZ$4,'18.04'!$AZ$3)),(VLOOKUP('18.04'!AB79,'18.04'!$AM$4:$AO$55,2,FALSE))*IF('18.04'!$AK79="是",'18.04'!$AZ$4,'18.04'!$AZ$3))</f>
        <v>0</v>
      </c>
      <c r="U79" s="4">
        <f>IF(ISNUMBER(SEARCH("营",'18.04'!AC79)),(-$Y79+50*IF('18.04'!$AK79="是",'18.04'!$AZ$4,'18.04'!$AZ$3)),(VLOOKUP('18.04'!AC79,'18.04'!$AM$4:$AO$55,2,FALSE))*IF('18.04'!$AK79="是",'18.04'!$AZ$4,'18.04'!$AZ$3))</f>
        <v>0</v>
      </c>
      <c r="V79" s="4">
        <f>IF(ISNUMBER(SEARCH("营",'18.04'!AD79)),(-$Y79+50*IF('18.04'!$AK79="是",'18.04'!$AZ$4,'18.04'!$AZ$3)),(VLOOKUP('18.04'!AD79,'18.04'!$AM$4:$AO$55,2,FALSE))*IF('18.04'!$AK79="是",'18.04'!$AZ$4,'18.04'!$AZ$3))</f>
        <v>0</v>
      </c>
      <c r="W79" s="4">
        <f>IF(ISNUMBER(SEARCH("营",'18.04'!AE79)),(-$Y79+50*IF('18.04'!$AK79="是",'18.04'!$AZ$4,'18.04'!$AZ$3)),(VLOOKUP('18.04'!AE79,'18.04'!$AM$4:$AO$55,2,FALSE))*IF('18.04'!$AK79="是",'18.04'!$AZ$4,'18.04'!$AZ$3))</f>
        <v>0</v>
      </c>
      <c r="X79" s="4">
        <f>IF(ISNUMBER(SEARCH("营",'18.04'!AF79)),(-$Y79+50*IF('18.04'!$AK79="是",'18.04'!$AZ$4,'18.04'!$AZ$3)),(VLOOKUP('18.04'!AF79,'18.04'!$AM$4:$AO$55,2,FALSE))*IF('18.04'!$AK79="是",'18.04'!$AZ$4,'18.04'!$AZ$3))</f>
        <v>0</v>
      </c>
      <c r="Y79" s="78">
        <v>100</v>
      </c>
      <c r="Z79" s="90">
        <v>45714</v>
      </c>
    </row>
    <row r="80" spans="1:26">
      <c r="A80" s="4">
        <f>IF(ISNUMBER(SEARCH("营",'18.04'!I80)),(-$Y80+50*IF('18.04'!$AK80="是",'18.04'!$AZ$4,'18.04'!$AZ$3)),(VLOOKUP('18.04'!I80,'18.04'!$AM$4:$AO$55,2,FALSE))*IF('18.04'!$AK80="是",'18.04'!$AZ$4,'18.04'!$AZ$3))</f>
        <v>144</v>
      </c>
      <c r="B80" s="4">
        <f>IF(ISNUMBER(SEARCH("营",'18.04'!J80)),(-$Y80+50*IF('18.04'!$AK80="是",'18.04'!$AZ$4,'18.04'!$AZ$3)),(VLOOKUP('18.04'!J80,'18.04'!$AM$4:$AO$55,2,FALSE))*IF('18.04'!$AK80="是",'18.04'!$AZ$4,'18.04'!$AZ$3))</f>
        <v>144</v>
      </c>
      <c r="C80" s="4">
        <f>IF(ISNUMBER(SEARCH("营",'18.04'!K80)),(-$Y80+50*IF('18.04'!$AK80="是",'18.04'!$AZ$4,'18.04'!$AZ$3)),(VLOOKUP('18.04'!K80,'18.04'!$AM$4:$AO$55,2,FALSE))*IF('18.04'!$AK80="是",'18.04'!$AZ$4,'18.04'!$AZ$3))</f>
        <v>144</v>
      </c>
      <c r="D80" s="4">
        <f>IF(ISNUMBER(SEARCH("营",'18.04'!L80)),(-$Y80+50*IF('18.04'!$AK80="是",'18.04'!$AZ$4,'18.04'!$AZ$3)),(VLOOKUP('18.04'!L80,'18.04'!$AM$4:$AO$55,2,FALSE))*IF('18.04'!$AK80="是",'18.04'!$AZ$4,'18.04'!$AZ$3))</f>
        <v>144</v>
      </c>
      <c r="E80" s="4">
        <f>IF(ISNUMBER(SEARCH("营",'18.04'!M80)),(-$Y80+50*IF('18.04'!$AK80="是",'18.04'!$AZ$4,'18.04'!$AZ$3)),(VLOOKUP('18.04'!M80,'18.04'!$AM$4:$AO$55,2,FALSE))*IF('18.04'!$AK80="是",'18.04'!$AZ$4,'18.04'!$AZ$3))</f>
        <v>144</v>
      </c>
      <c r="F80" s="4">
        <f>IF(ISNUMBER(SEARCH("营",'18.04'!N80)),(-$Y80+50*IF('18.04'!$AK80="是",'18.04'!$AZ$4,'18.04'!$AZ$3)),(VLOOKUP('18.04'!N80,'18.04'!$AM$4:$AO$55,2,FALSE))*IF('18.04'!$AK80="是",'18.04'!$AZ$4,'18.04'!$AZ$3))</f>
        <v>144</v>
      </c>
      <c r="G80" s="4">
        <f>IF(ISNUMBER(SEARCH("营",'18.04'!O80)),(-$Y80+50*IF('18.04'!$AK80="是",'18.04'!$AZ$4,'18.04'!$AZ$3)),(VLOOKUP('18.04'!O80,'18.04'!$AM$4:$AO$55,2,FALSE))*IF('18.04'!$AK80="是",'18.04'!$AZ$4,'18.04'!$AZ$3))</f>
        <v>144</v>
      </c>
      <c r="H80" s="4">
        <f>IF(ISNUMBER(SEARCH("营",'18.04'!P80)),(-$Y80+50*IF('18.04'!$AK80="是",'18.04'!$AZ$4,'18.04'!$AZ$3)),(VLOOKUP('18.04'!P80,'18.04'!$AM$4:$AO$55,2,FALSE))*IF('18.04'!$AK80="是",'18.04'!$AZ$4,'18.04'!$AZ$3))</f>
        <v>144</v>
      </c>
      <c r="I80" s="4">
        <f>IF(ISNUMBER(SEARCH("营",'18.04'!Q80)),(-$Y80+50*IF('18.04'!$AK80="是",'18.04'!$AZ$4,'18.04'!$AZ$3)),(VLOOKUP('18.04'!Q80,'18.04'!$AM$4:$AO$55,2,FALSE))*IF('18.04'!$AK80="是",'18.04'!$AZ$4,'18.04'!$AZ$3))</f>
        <v>40</v>
      </c>
      <c r="J80" s="4">
        <f>IF(ISNUMBER(SEARCH("营",'18.04'!R80)),(-$Y80+50*IF('18.04'!$AK80="是",'18.04'!$AZ$4,'18.04'!$AZ$3)),(VLOOKUP('18.04'!R80,'18.04'!$AM$4:$AO$55,2,FALSE))*IF('18.04'!$AK80="是",'18.04'!$AZ$4,'18.04'!$AZ$3))</f>
        <v>0</v>
      </c>
      <c r="K80" s="4">
        <f>IF(ISNUMBER(SEARCH("营",'18.04'!S80)),(-$Y80+50*IF('18.04'!$AK80="是",'18.04'!$AZ$4,'18.04'!$AZ$3)),(VLOOKUP('18.04'!S80,'18.04'!$AM$4:$AO$55,2,FALSE))*IF('18.04'!$AK80="是",'18.04'!$AZ$4,'18.04'!$AZ$3))</f>
        <v>0</v>
      </c>
      <c r="L80" s="4">
        <f>IF(ISNUMBER(SEARCH("营",'18.04'!T80)),(-$Y80+50*IF('18.04'!$AK80="是",'18.04'!$AZ$4,'18.04'!$AZ$3)),(VLOOKUP('18.04'!T80,'18.04'!$AM$4:$AO$55,2,FALSE))*IF('18.04'!$AK80="是",'18.04'!$AZ$4,'18.04'!$AZ$3))</f>
        <v>0</v>
      </c>
      <c r="M80" s="4">
        <f>IF(ISNUMBER(SEARCH("营",'18.04'!U80)),(-$Y80+50*IF('18.04'!$AK80="是",'18.04'!$AZ$4,'18.04'!$AZ$3)),(VLOOKUP('18.04'!U80,'18.04'!$AM$4:$AO$55,2,FALSE))*IF('18.04'!$AK80="是",'18.04'!$AZ$4,'18.04'!$AZ$3))</f>
        <v>0</v>
      </c>
      <c r="N80" s="4">
        <f>IF(ISNUMBER(SEARCH("营",'18.04'!V80)),(-$Y80+50*IF('18.04'!$AK80="是",'18.04'!$AZ$4,'18.04'!$AZ$3)),(VLOOKUP('18.04'!V80,'18.04'!$AM$4:$AO$55,2,FALSE))*IF('18.04'!$AK80="是",'18.04'!$AZ$4,'18.04'!$AZ$3))</f>
        <v>0</v>
      </c>
      <c r="O80" s="4">
        <f>IF(ISNUMBER(SEARCH("营",'18.04'!W80)),(-$Y80+50*IF('18.04'!$AK80="是",'18.04'!$AZ$4,'18.04'!$AZ$3)),(VLOOKUP('18.04'!W80,'18.04'!$AM$4:$AO$55,2,FALSE))*IF('18.04'!$AK80="是",'18.04'!$AZ$4,'18.04'!$AZ$3))</f>
        <v>0</v>
      </c>
      <c r="P80" s="4">
        <f>IF(ISNUMBER(SEARCH("营",'18.04'!X80)),(-$Y80+50*IF('18.04'!$AK80="是",'18.04'!$AZ$4,'18.04'!$AZ$3)),(VLOOKUP('18.04'!X80,'18.04'!$AM$4:$AO$55,2,FALSE))*IF('18.04'!$AK80="是",'18.04'!$AZ$4,'18.04'!$AZ$3))</f>
        <v>0</v>
      </c>
      <c r="Q80" s="4">
        <f>IF(ISNUMBER(SEARCH("营",'18.04'!Y80)),(-$Y80+50*IF('18.04'!$AK80="是",'18.04'!$AZ$4,'18.04'!$AZ$3)),(VLOOKUP('18.04'!Y80,'18.04'!$AM$4:$AO$55,2,FALSE))*IF('18.04'!$AK80="是",'18.04'!$AZ$4,'18.04'!$AZ$3))</f>
        <v>0</v>
      </c>
      <c r="R80" s="4">
        <f>IF(ISNUMBER(SEARCH("营",'18.04'!Z80)),(-$Y80+50*IF('18.04'!$AK80="是",'18.04'!$AZ$4,'18.04'!$AZ$3)),(VLOOKUP('18.04'!Z80,'18.04'!$AM$4:$AO$55,2,FALSE))*IF('18.04'!$AK80="是",'18.04'!$AZ$4,'18.04'!$AZ$3))</f>
        <v>0</v>
      </c>
      <c r="S80" s="4">
        <f>IF(ISNUMBER(SEARCH("营",'18.04'!AA80)),(-$Y80+50*IF('18.04'!$AK80="是",'18.04'!$AZ$4,'18.04'!$AZ$3)),(VLOOKUP('18.04'!AA80,'18.04'!$AM$4:$AO$55,2,FALSE))*IF('18.04'!$AK80="是",'18.04'!$AZ$4,'18.04'!$AZ$3))</f>
        <v>0</v>
      </c>
      <c r="T80" s="4">
        <f>IF(ISNUMBER(SEARCH("营",'18.04'!AB80)),(-$Y80+50*IF('18.04'!$AK80="是",'18.04'!$AZ$4,'18.04'!$AZ$3)),(VLOOKUP('18.04'!AB80,'18.04'!$AM$4:$AO$55,2,FALSE))*IF('18.04'!$AK80="是",'18.04'!$AZ$4,'18.04'!$AZ$3))</f>
        <v>0</v>
      </c>
      <c r="U80" s="4">
        <f>IF(ISNUMBER(SEARCH("营",'18.04'!AC80)),(-$Y80+50*IF('18.04'!$AK80="是",'18.04'!$AZ$4,'18.04'!$AZ$3)),(VLOOKUP('18.04'!AC80,'18.04'!$AM$4:$AO$55,2,FALSE))*IF('18.04'!$AK80="是",'18.04'!$AZ$4,'18.04'!$AZ$3))</f>
        <v>0</v>
      </c>
      <c r="V80" s="4">
        <f>IF(ISNUMBER(SEARCH("营",'18.04'!AD80)),(-$Y80+50*IF('18.04'!$AK80="是",'18.04'!$AZ$4,'18.04'!$AZ$3)),(VLOOKUP('18.04'!AD80,'18.04'!$AM$4:$AO$55,2,FALSE))*IF('18.04'!$AK80="是",'18.04'!$AZ$4,'18.04'!$AZ$3))</f>
        <v>0</v>
      </c>
      <c r="W80" s="4">
        <f>IF(ISNUMBER(SEARCH("营",'18.04'!AE80)),(-$Y80+50*IF('18.04'!$AK80="是",'18.04'!$AZ$4,'18.04'!$AZ$3)),(VLOOKUP('18.04'!AE80,'18.04'!$AM$4:$AO$55,2,FALSE))*IF('18.04'!$AK80="是",'18.04'!$AZ$4,'18.04'!$AZ$3))</f>
        <v>0</v>
      </c>
      <c r="X80" s="4">
        <f>IF(ISNUMBER(SEARCH("营",'18.04'!AF80)),(-$Y80+50*IF('18.04'!$AK80="是",'18.04'!$AZ$4,'18.04'!$AZ$3)),(VLOOKUP('18.04'!AF80,'18.04'!$AM$4:$AO$55,2,FALSE))*IF('18.04'!$AK80="是",'18.04'!$AZ$4,'18.04'!$AZ$3))</f>
        <v>0</v>
      </c>
      <c r="Y80" s="78">
        <v>100</v>
      </c>
      <c r="Z80" s="90">
        <v>45715</v>
      </c>
    </row>
    <row r="81" spans="1:26">
      <c r="A81" s="4">
        <f>IF(ISNUMBER(SEARCH("营",'18.04'!I81)),(-$Y81+50*IF('18.04'!$AK81="是",'18.04'!$AZ$4,'18.04'!$AZ$3)),(VLOOKUP('18.04'!I81,'18.04'!$AM$4:$AO$55,2,FALSE))*IF('18.04'!$AK81="是",'18.04'!$AZ$4,'18.04'!$AZ$3))</f>
        <v>144</v>
      </c>
      <c r="B81" s="4">
        <f>IF(ISNUMBER(SEARCH("营",'18.04'!J81)),(-$Y81+50*IF('18.04'!$AK81="是",'18.04'!$AZ$4,'18.04'!$AZ$3)),(VLOOKUP('18.04'!J81,'18.04'!$AM$4:$AO$55,2,FALSE))*IF('18.04'!$AK81="是",'18.04'!$AZ$4,'18.04'!$AZ$3))</f>
        <v>144</v>
      </c>
      <c r="C81" s="4">
        <f>IF(ISNUMBER(SEARCH("营",'18.04'!K81)),(-$Y81+50*IF('18.04'!$AK81="是",'18.04'!$AZ$4,'18.04'!$AZ$3)),(VLOOKUP('18.04'!K81,'18.04'!$AM$4:$AO$55,2,FALSE))*IF('18.04'!$AK81="是",'18.04'!$AZ$4,'18.04'!$AZ$3))</f>
        <v>144</v>
      </c>
      <c r="D81" s="4">
        <f>IF(ISNUMBER(SEARCH("营",'18.04'!L81)),(-$Y81+50*IF('18.04'!$AK81="是",'18.04'!$AZ$4,'18.04'!$AZ$3)),(VLOOKUP('18.04'!L81,'18.04'!$AM$4:$AO$55,2,FALSE))*IF('18.04'!$AK81="是",'18.04'!$AZ$4,'18.04'!$AZ$3))</f>
        <v>144</v>
      </c>
      <c r="E81" s="4">
        <f>IF(ISNUMBER(SEARCH("营",'18.04'!M81)),(-$Y81+50*IF('18.04'!$AK81="是",'18.04'!$AZ$4,'18.04'!$AZ$3)),(VLOOKUP('18.04'!M81,'18.04'!$AM$4:$AO$55,2,FALSE))*IF('18.04'!$AK81="是",'18.04'!$AZ$4,'18.04'!$AZ$3))</f>
        <v>144</v>
      </c>
      <c r="F81" s="4">
        <f>IF(ISNUMBER(SEARCH("营",'18.04'!N81)),(-$Y81+50*IF('18.04'!$AK81="是",'18.04'!$AZ$4,'18.04'!$AZ$3)),(VLOOKUP('18.04'!N81,'18.04'!$AM$4:$AO$55,2,FALSE))*IF('18.04'!$AK81="是",'18.04'!$AZ$4,'18.04'!$AZ$3))</f>
        <v>144</v>
      </c>
      <c r="G81" s="4">
        <f>IF(ISNUMBER(SEARCH("营",'18.04'!O81)),(-$Y81+50*IF('18.04'!$AK81="是",'18.04'!$AZ$4,'18.04'!$AZ$3)),(VLOOKUP('18.04'!O81,'18.04'!$AM$4:$AO$55,2,FALSE))*IF('18.04'!$AK81="是",'18.04'!$AZ$4,'18.04'!$AZ$3))</f>
        <v>144</v>
      </c>
      <c r="H81" s="4">
        <f>IF(ISNUMBER(SEARCH("营",'18.04'!P81)),(-$Y81+50*IF('18.04'!$AK81="是",'18.04'!$AZ$4,'18.04'!$AZ$3)),(VLOOKUP('18.04'!P81,'18.04'!$AM$4:$AO$55,2,FALSE))*IF('18.04'!$AK81="是",'18.04'!$AZ$4,'18.04'!$AZ$3))</f>
        <v>144</v>
      </c>
      <c r="I81" s="4">
        <f>IF(ISNUMBER(SEARCH("营",'18.04'!Q81)),(-$Y81+50*IF('18.04'!$AK81="是",'18.04'!$AZ$4,'18.04'!$AZ$3)),(VLOOKUP('18.04'!Q81,'18.04'!$AM$4:$AO$55,2,FALSE))*IF('18.04'!$AK81="是",'18.04'!$AZ$4,'18.04'!$AZ$3))</f>
        <v>0</v>
      </c>
      <c r="J81" s="4">
        <f>IF(ISNUMBER(SEARCH("营",'18.04'!R81)),(-$Y81+50*IF('18.04'!$AK81="是",'18.04'!$AZ$4,'18.04'!$AZ$3)),(VLOOKUP('18.04'!R81,'18.04'!$AM$4:$AO$55,2,FALSE))*IF('18.04'!$AK81="是",'18.04'!$AZ$4,'18.04'!$AZ$3))</f>
        <v>0</v>
      </c>
      <c r="K81" s="4">
        <f>IF(ISNUMBER(SEARCH("营",'18.04'!S81)),(-$Y81+50*IF('18.04'!$AK81="是",'18.04'!$AZ$4,'18.04'!$AZ$3)),(VLOOKUP('18.04'!S81,'18.04'!$AM$4:$AO$55,2,FALSE))*IF('18.04'!$AK81="是",'18.04'!$AZ$4,'18.04'!$AZ$3))</f>
        <v>0</v>
      </c>
      <c r="L81" s="4">
        <f>IF(ISNUMBER(SEARCH("营",'18.04'!T81)),(-$Y81+50*IF('18.04'!$AK81="是",'18.04'!$AZ$4,'18.04'!$AZ$3)),(VLOOKUP('18.04'!T81,'18.04'!$AM$4:$AO$55,2,FALSE))*IF('18.04'!$AK81="是",'18.04'!$AZ$4,'18.04'!$AZ$3))</f>
        <v>0</v>
      </c>
      <c r="M81" s="4">
        <f>IF(ISNUMBER(SEARCH("营",'18.04'!U81)),(-$Y81+50*IF('18.04'!$AK81="是",'18.04'!$AZ$4,'18.04'!$AZ$3)),(VLOOKUP('18.04'!U81,'18.04'!$AM$4:$AO$55,2,FALSE))*IF('18.04'!$AK81="是",'18.04'!$AZ$4,'18.04'!$AZ$3))</f>
        <v>0</v>
      </c>
      <c r="N81" s="4">
        <f>IF(ISNUMBER(SEARCH("营",'18.04'!V81)),(-$Y81+50*IF('18.04'!$AK81="是",'18.04'!$AZ$4,'18.04'!$AZ$3)),(VLOOKUP('18.04'!V81,'18.04'!$AM$4:$AO$55,2,FALSE))*IF('18.04'!$AK81="是",'18.04'!$AZ$4,'18.04'!$AZ$3))</f>
        <v>0</v>
      </c>
      <c r="O81" s="4">
        <f>IF(ISNUMBER(SEARCH("营",'18.04'!W81)),(-$Y81+50*IF('18.04'!$AK81="是",'18.04'!$AZ$4,'18.04'!$AZ$3)),(VLOOKUP('18.04'!W81,'18.04'!$AM$4:$AO$55,2,FALSE))*IF('18.04'!$AK81="是",'18.04'!$AZ$4,'18.04'!$AZ$3))</f>
        <v>0</v>
      </c>
      <c r="P81" s="4">
        <f>IF(ISNUMBER(SEARCH("营",'18.04'!X81)),(-$Y81+50*IF('18.04'!$AK81="是",'18.04'!$AZ$4,'18.04'!$AZ$3)),(VLOOKUP('18.04'!X81,'18.04'!$AM$4:$AO$55,2,FALSE))*IF('18.04'!$AK81="是",'18.04'!$AZ$4,'18.04'!$AZ$3))</f>
        <v>0</v>
      </c>
      <c r="Q81" s="4">
        <f>IF(ISNUMBER(SEARCH("营",'18.04'!Y81)),(-$Y81+50*IF('18.04'!$AK81="是",'18.04'!$AZ$4,'18.04'!$AZ$3)),(VLOOKUP('18.04'!Y81,'18.04'!$AM$4:$AO$55,2,FALSE))*IF('18.04'!$AK81="是",'18.04'!$AZ$4,'18.04'!$AZ$3))</f>
        <v>0</v>
      </c>
      <c r="R81" s="4">
        <f>IF(ISNUMBER(SEARCH("营",'18.04'!Z81)),(-$Y81+50*IF('18.04'!$AK81="是",'18.04'!$AZ$4,'18.04'!$AZ$3)),(VLOOKUP('18.04'!Z81,'18.04'!$AM$4:$AO$55,2,FALSE))*IF('18.04'!$AK81="是",'18.04'!$AZ$4,'18.04'!$AZ$3))</f>
        <v>0</v>
      </c>
      <c r="S81" s="4">
        <f>IF(ISNUMBER(SEARCH("营",'18.04'!AA81)),(-$Y81+50*IF('18.04'!$AK81="是",'18.04'!$AZ$4,'18.04'!$AZ$3)),(VLOOKUP('18.04'!AA81,'18.04'!$AM$4:$AO$55,2,FALSE))*IF('18.04'!$AK81="是",'18.04'!$AZ$4,'18.04'!$AZ$3))</f>
        <v>0</v>
      </c>
      <c r="T81" s="4">
        <f>IF(ISNUMBER(SEARCH("营",'18.04'!AB81)),(-$Y81+50*IF('18.04'!$AK81="是",'18.04'!$AZ$4,'18.04'!$AZ$3)),(VLOOKUP('18.04'!AB81,'18.04'!$AM$4:$AO$55,2,FALSE))*IF('18.04'!$AK81="是",'18.04'!$AZ$4,'18.04'!$AZ$3))</f>
        <v>0</v>
      </c>
      <c r="U81" s="4">
        <f>IF(ISNUMBER(SEARCH("营",'18.04'!AC81)),(-$Y81+50*IF('18.04'!$AK81="是",'18.04'!$AZ$4,'18.04'!$AZ$3)),(VLOOKUP('18.04'!AC81,'18.04'!$AM$4:$AO$55,2,FALSE))*IF('18.04'!$AK81="是",'18.04'!$AZ$4,'18.04'!$AZ$3))</f>
        <v>0</v>
      </c>
      <c r="V81" s="4">
        <f>IF(ISNUMBER(SEARCH("营",'18.04'!AD81)),(-$Y81+50*IF('18.04'!$AK81="是",'18.04'!$AZ$4,'18.04'!$AZ$3)),(VLOOKUP('18.04'!AD81,'18.04'!$AM$4:$AO$55,2,FALSE))*IF('18.04'!$AK81="是",'18.04'!$AZ$4,'18.04'!$AZ$3))</f>
        <v>0</v>
      </c>
      <c r="W81" s="4">
        <f>IF(ISNUMBER(SEARCH("营",'18.04'!AE81)),(-$Y81+50*IF('18.04'!$AK81="是",'18.04'!$AZ$4,'18.04'!$AZ$3)),(VLOOKUP('18.04'!AE81,'18.04'!$AM$4:$AO$55,2,FALSE))*IF('18.04'!$AK81="是",'18.04'!$AZ$4,'18.04'!$AZ$3))</f>
        <v>0</v>
      </c>
      <c r="X81" s="4">
        <f>IF(ISNUMBER(SEARCH("营",'18.04'!AF81)),(-$Y81+50*IF('18.04'!$AK81="是",'18.04'!$AZ$4,'18.04'!$AZ$3)),(VLOOKUP('18.04'!AF81,'18.04'!$AM$4:$AO$55,2,FALSE))*IF('18.04'!$AK81="是",'18.04'!$AZ$4,'18.04'!$AZ$3))</f>
        <v>0</v>
      </c>
      <c r="Y81" s="78">
        <v>100</v>
      </c>
      <c r="Z81" s="90">
        <v>45716</v>
      </c>
    </row>
    <row r="82" spans="1:26">
      <c r="A82" s="4">
        <f>IF(ISNUMBER(SEARCH("营",'18.04'!I82)),(-$Y82+50*IF('18.04'!$AK82="是",'18.04'!$AZ$4,'18.04'!$AZ$3)),(VLOOKUP('18.04'!I82,'18.04'!$AM$4:$AO$55,2,FALSE))*IF('18.04'!$AK82="是",'18.04'!$AZ$4,'18.04'!$AZ$3))</f>
        <v>0</v>
      </c>
      <c r="B82" s="4">
        <f>IF(ISNUMBER(SEARCH("营",'18.04'!J82)),(-$Y82+50*IF('18.04'!$AK82="是",'18.04'!$AZ$4,'18.04'!$AZ$3)),(VLOOKUP('18.04'!J82,'18.04'!$AM$4:$AO$55,2,FALSE))*IF('18.04'!$AK82="是",'18.04'!$AZ$4,'18.04'!$AZ$3))</f>
        <v>0</v>
      </c>
      <c r="C82" s="4">
        <f>IF(ISNUMBER(SEARCH("营",'18.04'!K82)),(-$Y82+50*IF('18.04'!$AK82="是",'18.04'!$AZ$4,'18.04'!$AZ$3)),(VLOOKUP('18.04'!K82,'18.04'!$AM$4:$AO$55,2,FALSE))*IF('18.04'!$AK82="是",'18.04'!$AZ$4,'18.04'!$AZ$3))</f>
        <v>0</v>
      </c>
      <c r="D82" s="4">
        <f>IF(ISNUMBER(SEARCH("营",'18.04'!L82)),(-$Y82+50*IF('18.04'!$AK82="是",'18.04'!$AZ$4,'18.04'!$AZ$3)),(VLOOKUP('18.04'!L82,'18.04'!$AM$4:$AO$55,2,FALSE))*IF('18.04'!$AK82="是",'18.04'!$AZ$4,'18.04'!$AZ$3))</f>
        <v>0</v>
      </c>
      <c r="E82" s="4">
        <f>IF(ISNUMBER(SEARCH("营",'18.04'!M82)),(-$Y82+50*IF('18.04'!$AK82="是",'18.04'!$AZ$4,'18.04'!$AZ$3)),(VLOOKUP('18.04'!M82,'18.04'!$AM$4:$AO$55,2,FALSE))*IF('18.04'!$AK82="是",'18.04'!$AZ$4,'18.04'!$AZ$3))</f>
        <v>0</v>
      </c>
      <c r="F82" s="4">
        <f>IF(ISNUMBER(SEARCH("营",'18.04'!N82)),(-$Y82+50*IF('18.04'!$AK82="是",'18.04'!$AZ$4,'18.04'!$AZ$3)),(VLOOKUP('18.04'!N82,'18.04'!$AM$4:$AO$55,2,FALSE))*IF('18.04'!$AK82="是",'18.04'!$AZ$4,'18.04'!$AZ$3))</f>
        <v>0</v>
      </c>
      <c r="G82" s="4">
        <f>IF(ISNUMBER(SEARCH("营",'18.04'!O82)),(-$Y82+50*IF('18.04'!$AK82="是",'18.04'!$AZ$4,'18.04'!$AZ$3)),(VLOOKUP('18.04'!O82,'18.04'!$AM$4:$AO$55,2,FALSE))*IF('18.04'!$AK82="是",'18.04'!$AZ$4,'18.04'!$AZ$3))</f>
        <v>0</v>
      </c>
      <c r="H82" s="4">
        <f>IF(ISNUMBER(SEARCH("营",'18.04'!P82)),(-$Y82+50*IF('18.04'!$AK82="是",'18.04'!$AZ$4,'18.04'!$AZ$3)),(VLOOKUP('18.04'!P82,'18.04'!$AM$4:$AO$55,2,FALSE))*IF('18.04'!$AK82="是",'18.04'!$AZ$4,'18.04'!$AZ$3))</f>
        <v>0</v>
      </c>
      <c r="I82" s="4">
        <f>IF(ISNUMBER(SEARCH("营",'18.04'!Q82)),(-$Y82+50*IF('18.04'!$AK82="是",'18.04'!$AZ$4,'18.04'!$AZ$3)),(VLOOKUP('18.04'!Q82,'18.04'!$AM$4:$AO$55,2,FALSE))*IF('18.04'!$AK82="是",'18.04'!$AZ$4,'18.04'!$AZ$3))</f>
        <v>0</v>
      </c>
      <c r="J82" s="4">
        <f>IF(ISNUMBER(SEARCH("营",'18.04'!R82)),(-$Y82+50*IF('18.04'!$AK82="是",'18.04'!$AZ$4,'18.04'!$AZ$3)),(VLOOKUP('18.04'!R82,'18.04'!$AM$4:$AO$55,2,FALSE))*IF('18.04'!$AK82="是",'18.04'!$AZ$4,'18.04'!$AZ$3))</f>
        <v>0</v>
      </c>
      <c r="K82" s="4">
        <f>IF(ISNUMBER(SEARCH("营",'18.04'!S82)),(-$Y82+50*IF('18.04'!$AK82="是",'18.04'!$AZ$4,'18.04'!$AZ$3)),(VLOOKUP('18.04'!S82,'18.04'!$AM$4:$AO$55,2,FALSE))*IF('18.04'!$AK82="是",'18.04'!$AZ$4,'18.04'!$AZ$3))</f>
        <v>0</v>
      </c>
      <c r="L82" s="4">
        <f>IF(ISNUMBER(SEARCH("营",'18.04'!T82)),(-$Y82+50*IF('18.04'!$AK82="是",'18.04'!$AZ$4,'18.04'!$AZ$3)),(VLOOKUP('18.04'!T82,'18.04'!$AM$4:$AO$55,2,FALSE))*IF('18.04'!$AK82="是",'18.04'!$AZ$4,'18.04'!$AZ$3))</f>
        <v>0</v>
      </c>
      <c r="M82" s="4">
        <f>IF(ISNUMBER(SEARCH("营",'18.04'!U82)),(-$Y82+50*IF('18.04'!$AK82="是",'18.04'!$AZ$4,'18.04'!$AZ$3)),(VLOOKUP('18.04'!U82,'18.04'!$AM$4:$AO$55,2,FALSE))*IF('18.04'!$AK82="是",'18.04'!$AZ$4,'18.04'!$AZ$3))</f>
        <v>0</v>
      </c>
      <c r="N82" s="4">
        <f>IF(ISNUMBER(SEARCH("营",'18.04'!V82)),(-$Y82+50*IF('18.04'!$AK82="是",'18.04'!$AZ$4,'18.04'!$AZ$3)),(VLOOKUP('18.04'!V82,'18.04'!$AM$4:$AO$55,2,FALSE))*IF('18.04'!$AK82="是",'18.04'!$AZ$4,'18.04'!$AZ$3))</f>
        <v>0</v>
      </c>
      <c r="O82" s="4">
        <f>IF(ISNUMBER(SEARCH("营",'18.04'!W82)),(-$Y82+50*IF('18.04'!$AK82="是",'18.04'!$AZ$4,'18.04'!$AZ$3)),(VLOOKUP('18.04'!W82,'18.04'!$AM$4:$AO$55,2,FALSE))*IF('18.04'!$AK82="是",'18.04'!$AZ$4,'18.04'!$AZ$3))</f>
        <v>0</v>
      </c>
      <c r="P82" s="4">
        <f>IF(ISNUMBER(SEARCH("营",'18.04'!X82)),(-$Y82+50*IF('18.04'!$AK82="是",'18.04'!$AZ$4,'18.04'!$AZ$3)),(VLOOKUP('18.04'!X82,'18.04'!$AM$4:$AO$55,2,FALSE))*IF('18.04'!$AK82="是",'18.04'!$AZ$4,'18.04'!$AZ$3))</f>
        <v>0</v>
      </c>
      <c r="Q82" s="4">
        <f>IF(ISNUMBER(SEARCH("营",'18.04'!Y82)),(-$Y82+50*IF('18.04'!$AK82="是",'18.04'!$AZ$4,'18.04'!$AZ$3)),(VLOOKUP('18.04'!Y82,'18.04'!$AM$4:$AO$55,2,FALSE))*IF('18.04'!$AK82="是",'18.04'!$AZ$4,'18.04'!$AZ$3))</f>
        <v>0</v>
      </c>
      <c r="R82" s="4">
        <f>IF(ISNUMBER(SEARCH("营",'18.04'!Z82)),(-$Y82+50*IF('18.04'!$AK82="是",'18.04'!$AZ$4,'18.04'!$AZ$3)),(VLOOKUP('18.04'!Z82,'18.04'!$AM$4:$AO$55,2,FALSE))*IF('18.04'!$AK82="是",'18.04'!$AZ$4,'18.04'!$AZ$3))</f>
        <v>0</v>
      </c>
      <c r="S82" s="4">
        <f>IF(ISNUMBER(SEARCH("营",'18.04'!AA82)),(-$Y82+50*IF('18.04'!$AK82="是",'18.04'!$AZ$4,'18.04'!$AZ$3)),(VLOOKUP('18.04'!AA82,'18.04'!$AM$4:$AO$55,2,FALSE))*IF('18.04'!$AK82="是",'18.04'!$AZ$4,'18.04'!$AZ$3))</f>
        <v>0</v>
      </c>
      <c r="T82" s="4">
        <f>IF(ISNUMBER(SEARCH("营",'18.04'!AB82)),(-$Y82+50*IF('18.04'!$AK82="是",'18.04'!$AZ$4,'18.04'!$AZ$3)),(VLOOKUP('18.04'!AB82,'18.04'!$AM$4:$AO$55,2,FALSE))*IF('18.04'!$AK82="是",'18.04'!$AZ$4,'18.04'!$AZ$3))</f>
        <v>0</v>
      </c>
      <c r="U82" s="4">
        <f>IF(ISNUMBER(SEARCH("营",'18.04'!AC82)),(-$Y82+50*IF('18.04'!$AK82="是",'18.04'!$AZ$4,'18.04'!$AZ$3)),(VLOOKUP('18.04'!AC82,'18.04'!$AM$4:$AO$55,2,FALSE))*IF('18.04'!$AK82="是",'18.04'!$AZ$4,'18.04'!$AZ$3))</f>
        <v>0</v>
      </c>
      <c r="V82" s="4">
        <f>IF(ISNUMBER(SEARCH("营",'18.04'!AD82)),(-$Y82+50*IF('18.04'!$AK82="是",'18.04'!$AZ$4,'18.04'!$AZ$3)),(VLOOKUP('18.04'!AD82,'18.04'!$AM$4:$AO$55,2,FALSE))*IF('18.04'!$AK82="是",'18.04'!$AZ$4,'18.04'!$AZ$3))</f>
        <v>0</v>
      </c>
      <c r="W82" s="4">
        <f>IF(ISNUMBER(SEARCH("营",'18.04'!AE82)),(-$Y82+50*IF('18.04'!$AK82="是",'18.04'!$AZ$4,'18.04'!$AZ$3)),(VLOOKUP('18.04'!AE82,'18.04'!$AM$4:$AO$55,2,FALSE))*IF('18.04'!$AK82="是",'18.04'!$AZ$4,'18.04'!$AZ$3))</f>
        <v>0</v>
      </c>
      <c r="X82" s="4">
        <f>IF(ISNUMBER(SEARCH("营",'18.04'!AF82)),(-$Y82+50*IF('18.04'!$AK82="是",'18.04'!$AZ$4,'18.04'!$AZ$3)),(VLOOKUP('18.04'!AF82,'18.04'!$AM$4:$AO$55,2,FALSE))*IF('18.04'!$AK82="是",'18.04'!$AZ$4,'18.04'!$AZ$3))</f>
        <v>0</v>
      </c>
      <c r="Y82" s="78">
        <v>100</v>
      </c>
      <c r="Z82" s="90">
        <v>45717</v>
      </c>
    </row>
    <row r="83" spans="1:26">
      <c r="A83" s="4">
        <f>IF(ISNUMBER(SEARCH("营",'18.04'!I83)),(-$Y83+50*IF('18.04'!$AK83="是",'18.04'!$AZ$4,'18.04'!$AZ$3)),(VLOOKUP('18.04'!I83,'18.04'!$AM$4:$AO$55,2,FALSE))*IF('18.04'!$AK83="是",'18.04'!$AZ$4,'18.04'!$AZ$3))</f>
        <v>0</v>
      </c>
      <c r="B83" s="4">
        <f>IF(ISNUMBER(SEARCH("营",'18.04'!J83)),(-$Y83+50*IF('18.04'!$AK83="是",'18.04'!$AZ$4,'18.04'!$AZ$3)),(VLOOKUP('18.04'!J83,'18.04'!$AM$4:$AO$55,2,FALSE))*IF('18.04'!$AK83="是",'18.04'!$AZ$4,'18.04'!$AZ$3))</f>
        <v>0</v>
      </c>
      <c r="C83" s="4">
        <f>IF(ISNUMBER(SEARCH("营",'18.04'!K83)),(-$Y83+50*IF('18.04'!$AK83="是",'18.04'!$AZ$4,'18.04'!$AZ$3)),(VLOOKUP('18.04'!K83,'18.04'!$AM$4:$AO$55,2,FALSE))*IF('18.04'!$AK83="是",'18.04'!$AZ$4,'18.04'!$AZ$3))</f>
        <v>0</v>
      </c>
      <c r="D83" s="4">
        <f>IF(ISNUMBER(SEARCH("营",'18.04'!L83)),(-$Y83+50*IF('18.04'!$AK83="是",'18.04'!$AZ$4,'18.04'!$AZ$3)),(VLOOKUP('18.04'!L83,'18.04'!$AM$4:$AO$55,2,FALSE))*IF('18.04'!$AK83="是",'18.04'!$AZ$4,'18.04'!$AZ$3))</f>
        <v>0</v>
      </c>
      <c r="E83" s="4">
        <f>IF(ISNUMBER(SEARCH("营",'18.04'!M83)),(-$Y83+50*IF('18.04'!$AK83="是",'18.04'!$AZ$4,'18.04'!$AZ$3)),(VLOOKUP('18.04'!M83,'18.04'!$AM$4:$AO$55,2,FALSE))*IF('18.04'!$AK83="是",'18.04'!$AZ$4,'18.04'!$AZ$3))</f>
        <v>0</v>
      </c>
      <c r="F83" s="4">
        <f>IF(ISNUMBER(SEARCH("营",'18.04'!N83)),(-$Y83+50*IF('18.04'!$AK83="是",'18.04'!$AZ$4,'18.04'!$AZ$3)),(VLOOKUP('18.04'!N83,'18.04'!$AM$4:$AO$55,2,FALSE))*IF('18.04'!$AK83="是",'18.04'!$AZ$4,'18.04'!$AZ$3))</f>
        <v>0</v>
      </c>
      <c r="G83" s="4">
        <f>IF(ISNUMBER(SEARCH("营",'18.04'!O83)),(-$Y83+50*IF('18.04'!$AK83="是",'18.04'!$AZ$4,'18.04'!$AZ$3)),(VLOOKUP('18.04'!O83,'18.04'!$AM$4:$AO$55,2,FALSE))*IF('18.04'!$AK83="是",'18.04'!$AZ$4,'18.04'!$AZ$3))</f>
        <v>0</v>
      </c>
      <c r="H83" s="4">
        <f>IF(ISNUMBER(SEARCH("营",'18.04'!P83)),(-$Y83+50*IF('18.04'!$AK83="是",'18.04'!$AZ$4,'18.04'!$AZ$3)),(VLOOKUP('18.04'!P83,'18.04'!$AM$4:$AO$55,2,FALSE))*IF('18.04'!$AK83="是",'18.04'!$AZ$4,'18.04'!$AZ$3))</f>
        <v>0</v>
      </c>
      <c r="I83" s="4">
        <f>IF(ISNUMBER(SEARCH("营",'18.04'!Q83)),(-$Y83+50*IF('18.04'!$AK83="是",'18.04'!$AZ$4,'18.04'!$AZ$3)),(VLOOKUP('18.04'!Q83,'18.04'!$AM$4:$AO$55,2,FALSE))*IF('18.04'!$AK83="是",'18.04'!$AZ$4,'18.04'!$AZ$3))</f>
        <v>0</v>
      </c>
      <c r="J83" s="4">
        <f>IF(ISNUMBER(SEARCH("营",'18.04'!R83)),(-$Y83+50*IF('18.04'!$AK83="是",'18.04'!$AZ$4,'18.04'!$AZ$3)),(VLOOKUP('18.04'!R83,'18.04'!$AM$4:$AO$55,2,FALSE))*IF('18.04'!$AK83="是",'18.04'!$AZ$4,'18.04'!$AZ$3))</f>
        <v>0</v>
      </c>
      <c r="K83" s="4">
        <f>IF(ISNUMBER(SEARCH("营",'18.04'!S83)),(-$Y83+50*IF('18.04'!$AK83="是",'18.04'!$AZ$4,'18.04'!$AZ$3)),(VLOOKUP('18.04'!S83,'18.04'!$AM$4:$AO$55,2,FALSE))*IF('18.04'!$AK83="是",'18.04'!$AZ$4,'18.04'!$AZ$3))</f>
        <v>0</v>
      </c>
      <c r="L83" s="4">
        <f>IF(ISNUMBER(SEARCH("营",'18.04'!T83)),(-$Y83+50*IF('18.04'!$AK83="是",'18.04'!$AZ$4,'18.04'!$AZ$3)),(VLOOKUP('18.04'!T83,'18.04'!$AM$4:$AO$55,2,FALSE))*IF('18.04'!$AK83="是",'18.04'!$AZ$4,'18.04'!$AZ$3))</f>
        <v>0</v>
      </c>
      <c r="M83" s="4">
        <f>IF(ISNUMBER(SEARCH("营",'18.04'!U83)),(-$Y83+50*IF('18.04'!$AK83="是",'18.04'!$AZ$4,'18.04'!$AZ$3)),(VLOOKUP('18.04'!U83,'18.04'!$AM$4:$AO$55,2,FALSE))*IF('18.04'!$AK83="是",'18.04'!$AZ$4,'18.04'!$AZ$3))</f>
        <v>0</v>
      </c>
      <c r="N83" s="4">
        <f>IF(ISNUMBER(SEARCH("营",'18.04'!V83)),(-$Y83+50*IF('18.04'!$AK83="是",'18.04'!$AZ$4,'18.04'!$AZ$3)),(VLOOKUP('18.04'!V83,'18.04'!$AM$4:$AO$55,2,FALSE))*IF('18.04'!$AK83="是",'18.04'!$AZ$4,'18.04'!$AZ$3))</f>
        <v>0</v>
      </c>
      <c r="O83" s="4">
        <f>IF(ISNUMBER(SEARCH("营",'18.04'!W83)),(-$Y83+50*IF('18.04'!$AK83="是",'18.04'!$AZ$4,'18.04'!$AZ$3)),(VLOOKUP('18.04'!W83,'18.04'!$AM$4:$AO$55,2,FALSE))*IF('18.04'!$AK83="是",'18.04'!$AZ$4,'18.04'!$AZ$3))</f>
        <v>0</v>
      </c>
      <c r="P83" s="4">
        <f>IF(ISNUMBER(SEARCH("营",'18.04'!X83)),(-$Y83+50*IF('18.04'!$AK83="是",'18.04'!$AZ$4,'18.04'!$AZ$3)),(VLOOKUP('18.04'!X83,'18.04'!$AM$4:$AO$55,2,FALSE))*IF('18.04'!$AK83="是",'18.04'!$AZ$4,'18.04'!$AZ$3))</f>
        <v>0</v>
      </c>
      <c r="Q83" s="4">
        <f>IF(ISNUMBER(SEARCH("营",'18.04'!Y83)),(-$Y83+50*IF('18.04'!$AK83="是",'18.04'!$AZ$4,'18.04'!$AZ$3)),(VLOOKUP('18.04'!Y83,'18.04'!$AM$4:$AO$55,2,FALSE))*IF('18.04'!$AK83="是",'18.04'!$AZ$4,'18.04'!$AZ$3))</f>
        <v>0</v>
      </c>
      <c r="R83" s="4">
        <f>IF(ISNUMBER(SEARCH("营",'18.04'!Z83)),(-$Y83+50*IF('18.04'!$AK83="是",'18.04'!$AZ$4,'18.04'!$AZ$3)),(VLOOKUP('18.04'!Z83,'18.04'!$AM$4:$AO$55,2,FALSE))*IF('18.04'!$AK83="是",'18.04'!$AZ$4,'18.04'!$AZ$3))</f>
        <v>0</v>
      </c>
      <c r="S83" s="4">
        <f>IF(ISNUMBER(SEARCH("营",'18.04'!AA83)),(-$Y83+50*IF('18.04'!$AK83="是",'18.04'!$AZ$4,'18.04'!$AZ$3)),(VLOOKUP('18.04'!AA83,'18.04'!$AM$4:$AO$55,2,FALSE))*IF('18.04'!$AK83="是",'18.04'!$AZ$4,'18.04'!$AZ$3))</f>
        <v>0</v>
      </c>
      <c r="T83" s="4">
        <f>IF(ISNUMBER(SEARCH("营",'18.04'!AB83)),(-$Y83+50*IF('18.04'!$AK83="是",'18.04'!$AZ$4,'18.04'!$AZ$3)),(VLOOKUP('18.04'!AB83,'18.04'!$AM$4:$AO$55,2,FALSE))*IF('18.04'!$AK83="是",'18.04'!$AZ$4,'18.04'!$AZ$3))</f>
        <v>0</v>
      </c>
      <c r="U83" s="4">
        <f>IF(ISNUMBER(SEARCH("营",'18.04'!AC83)),(-$Y83+50*IF('18.04'!$AK83="是",'18.04'!$AZ$4,'18.04'!$AZ$3)),(VLOOKUP('18.04'!AC83,'18.04'!$AM$4:$AO$55,2,FALSE))*IF('18.04'!$AK83="是",'18.04'!$AZ$4,'18.04'!$AZ$3))</f>
        <v>0</v>
      </c>
      <c r="V83" s="4">
        <f>IF(ISNUMBER(SEARCH("营",'18.04'!AD83)),(-$Y83+50*IF('18.04'!$AK83="是",'18.04'!$AZ$4,'18.04'!$AZ$3)),(VLOOKUP('18.04'!AD83,'18.04'!$AM$4:$AO$55,2,FALSE))*IF('18.04'!$AK83="是",'18.04'!$AZ$4,'18.04'!$AZ$3))</f>
        <v>0</v>
      </c>
      <c r="W83" s="4">
        <f>IF(ISNUMBER(SEARCH("营",'18.04'!AE83)),(-$Y83+50*IF('18.04'!$AK83="是",'18.04'!$AZ$4,'18.04'!$AZ$3)),(VLOOKUP('18.04'!AE83,'18.04'!$AM$4:$AO$55,2,FALSE))*IF('18.04'!$AK83="是",'18.04'!$AZ$4,'18.04'!$AZ$3))</f>
        <v>0</v>
      </c>
      <c r="X83" s="4">
        <f>IF(ISNUMBER(SEARCH("营",'18.04'!AF83)),(-$Y83+50*IF('18.04'!$AK83="是",'18.04'!$AZ$4,'18.04'!$AZ$3)),(VLOOKUP('18.04'!AF83,'18.04'!$AM$4:$AO$55,2,FALSE))*IF('18.04'!$AK83="是",'18.04'!$AZ$4,'18.04'!$AZ$3))</f>
        <v>0</v>
      </c>
      <c r="Y83" s="78">
        <v>100</v>
      </c>
      <c r="Z83" s="90">
        <v>45718</v>
      </c>
    </row>
    <row r="84" spans="1:26">
      <c r="A84" s="4">
        <f>IF(ISNUMBER(SEARCH("营",'18.04'!I84)),(-$Y84+50*IF('18.04'!$AK84="是",'18.04'!$AZ$4,'18.04'!$AZ$3)),(VLOOKUP('18.04'!I84,'18.04'!$AM$4:$AO$55,2,FALSE))*IF('18.04'!$AK84="是",'18.04'!$AZ$4,'18.04'!$AZ$3))</f>
        <v>0</v>
      </c>
      <c r="B84" s="4">
        <f>IF(ISNUMBER(SEARCH("营",'18.04'!J84)),(-$Y84+50*IF('18.04'!$AK84="是",'18.04'!$AZ$4,'18.04'!$AZ$3)),(VLOOKUP('18.04'!J84,'18.04'!$AM$4:$AO$55,2,FALSE))*IF('18.04'!$AK84="是",'18.04'!$AZ$4,'18.04'!$AZ$3))</f>
        <v>0</v>
      </c>
      <c r="C84" s="4">
        <f>IF(ISNUMBER(SEARCH("营",'18.04'!K84)),(-$Y84+50*IF('18.04'!$AK84="是",'18.04'!$AZ$4,'18.04'!$AZ$3)),(VLOOKUP('18.04'!K84,'18.04'!$AM$4:$AO$55,2,FALSE))*IF('18.04'!$AK84="是",'18.04'!$AZ$4,'18.04'!$AZ$3))</f>
        <v>0</v>
      </c>
      <c r="D84" s="4">
        <f>IF(ISNUMBER(SEARCH("营",'18.04'!L84)),(-$Y84+50*IF('18.04'!$AK84="是",'18.04'!$AZ$4,'18.04'!$AZ$3)),(VLOOKUP('18.04'!L84,'18.04'!$AM$4:$AO$55,2,FALSE))*IF('18.04'!$AK84="是",'18.04'!$AZ$4,'18.04'!$AZ$3))</f>
        <v>0</v>
      </c>
      <c r="E84" s="4">
        <f>IF(ISNUMBER(SEARCH("营",'18.04'!M84)),(-$Y84+50*IF('18.04'!$AK84="是",'18.04'!$AZ$4,'18.04'!$AZ$3)),(VLOOKUP('18.04'!M84,'18.04'!$AM$4:$AO$55,2,FALSE))*IF('18.04'!$AK84="是",'18.04'!$AZ$4,'18.04'!$AZ$3))</f>
        <v>0</v>
      </c>
      <c r="F84" s="4">
        <f>IF(ISNUMBER(SEARCH("营",'18.04'!N84)),(-$Y84+50*IF('18.04'!$AK84="是",'18.04'!$AZ$4,'18.04'!$AZ$3)),(VLOOKUP('18.04'!N84,'18.04'!$AM$4:$AO$55,2,FALSE))*IF('18.04'!$AK84="是",'18.04'!$AZ$4,'18.04'!$AZ$3))</f>
        <v>0</v>
      </c>
      <c r="G84" s="4">
        <f>IF(ISNUMBER(SEARCH("营",'18.04'!O84)),(-$Y84+50*IF('18.04'!$AK84="是",'18.04'!$AZ$4,'18.04'!$AZ$3)),(VLOOKUP('18.04'!O84,'18.04'!$AM$4:$AO$55,2,FALSE))*IF('18.04'!$AK84="是",'18.04'!$AZ$4,'18.04'!$AZ$3))</f>
        <v>0</v>
      </c>
      <c r="H84" s="4">
        <f>IF(ISNUMBER(SEARCH("营",'18.04'!P84)),(-$Y84+50*IF('18.04'!$AK84="是",'18.04'!$AZ$4,'18.04'!$AZ$3)),(VLOOKUP('18.04'!P84,'18.04'!$AM$4:$AO$55,2,FALSE))*IF('18.04'!$AK84="是",'18.04'!$AZ$4,'18.04'!$AZ$3))</f>
        <v>0</v>
      </c>
      <c r="I84" s="4">
        <f>IF(ISNUMBER(SEARCH("营",'18.04'!Q84)),(-$Y84+50*IF('18.04'!$AK84="是",'18.04'!$AZ$4,'18.04'!$AZ$3)),(VLOOKUP('18.04'!Q84,'18.04'!$AM$4:$AO$55,2,FALSE))*IF('18.04'!$AK84="是",'18.04'!$AZ$4,'18.04'!$AZ$3))</f>
        <v>0</v>
      </c>
      <c r="J84" s="4">
        <f>IF(ISNUMBER(SEARCH("营",'18.04'!R84)),(-$Y84+50*IF('18.04'!$AK84="是",'18.04'!$AZ$4,'18.04'!$AZ$3)),(VLOOKUP('18.04'!R84,'18.04'!$AM$4:$AO$55,2,FALSE))*IF('18.04'!$AK84="是",'18.04'!$AZ$4,'18.04'!$AZ$3))</f>
        <v>0</v>
      </c>
      <c r="K84" s="4">
        <f>IF(ISNUMBER(SEARCH("营",'18.04'!S84)),(-$Y84+50*IF('18.04'!$AK84="是",'18.04'!$AZ$4,'18.04'!$AZ$3)),(VLOOKUP('18.04'!S84,'18.04'!$AM$4:$AO$55,2,FALSE))*IF('18.04'!$AK84="是",'18.04'!$AZ$4,'18.04'!$AZ$3))</f>
        <v>0</v>
      </c>
      <c r="L84" s="4">
        <f>IF(ISNUMBER(SEARCH("营",'18.04'!T84)),(-$Y84+50*IF('18.04'!$AK84="是",'18.04'!$AZ$4,'18.04'!$AZ$3)),(VLOOKUP('18.04'!T84,'18.04'!$AM$4:$AO$55,2,FALSE))*IF('18.04'!$AK84="是",'18.04'!$AZ$4,'18.04'!$AZ$3))</f>
        <v>0</v>
      </c>
      <c r="M84" s="4">
        <f>IF(ISNUMBER(SEARCH("营",'18.04'!U84)),(-$Y84+50*IF('18.04'!$AK84="是",'18.04'!$AZ$4,'18.04'!$AZ$3)),(VLOOKUP('18.04'!U84,'18.04'!$AM$4:$AO$55,2,FALSE))*IF('18.04'!$AK84="是",'18.04'!$AZ$4,'18.04'!$AZ$3))</f>
        <v>0</v>
      </c>
      <c r="N84" s="4">
        <f>IF(ISNUMBER(SEARCH("营",'18.04'!V84)),(-$Y84+50*IF('18.04'!$AK84="是",'18.04'!$AZ$4,'18.04'!$AZ$3)),(VLOOKUP('18.04'!V84,'18.04'!$AM$4:$AO$55,2,FALSE))*IF('18.04'!$AK84="是",'18.04'!$AZ$4,'18.04'!$AZ$3))</f>
        <v>0</v>
      </c>
      <c r="O84" s="4">
        <f>IF(ISNUMBER(SEARCH("营",'18.04'!W84)),(-$Y84+50*IF('18.04'!$AK84="是",'18.04'!$AZ$4,'18.04'!$AZ$3)),(VLOOKUP('18.04'!W84,'18.04'!$AM$4:$AO$55,2,FALSE))*IF('18.04'!$AK84="是",'18.04'!$AZ$4,'18.04'!$AZ$3))</f>
        <v>0</v>
      </c>
      <c r="P84" s="4">
        <f>IF(ISNUMBER(SEARCH("营",'18.04'!X84)),(-$Y84+50*IF('18.04'!$AK84="是",'18.04'!$AZ$4,'18.04'!$AZ$3)),(VLOOKUP('18.04'!X84,'18.04'!$AM$4:$AO$55,2,FALSE))*IF('18.04'!$AK84="是",'18.04'!$AZ$4,'18.04'!$AZ$3))</f>
        <v>0</v>
      </c>
      <c r="Q84" s="4">
        <f>IF(ISNUMBER(SEARCH("营",'18.04'!Y84)),(-$Y84+50*IF('18.04'!$AK84="是",'18.04'!$AZ$4,'18.04'!$AZ$3)),(VLOOKUP('18.04'!Y84,'18.04'!$AM$4:$AO$55,2,FALSE))*IF('18.04'!$AK84="是",'18.04'!$AZ$4,'18.04'!$AZ$3))</f>
        <v>0</v>
      </c>
      <c r="R84" s="4">
        <f>IF(ISNUMBER(SEARCH("营",'18.04'!Z84)),(-$Y84+50*IF('18.04'!$AK84="是",'18.04'!$AZ$4,'18.04'!$AZ$3)),(VLOOKUP('18.04'!Z84,'18.04'!$AM$4:$AO$55,2,FALSE))*IF('18.04'!$AK84="是",'18.04'!$AZ$4,'18.04'!$AZ$3))</f>
        <v>0</v>
      </c>
      <c r="S84" s="4">
        <f>IF(ISNUMBER(SEARCH("营",'18.04'!AA84)),(-$Y84+50*IF('18.04'!$AK84="是",'18.04'!$AZ$4,'18.04'!$AZ$3)),(VLOOKUP('18.04'!AA84,'18.04'!$AM$4:$AO$55,2,FALSE))*IF('18.04'!$AK84="是",'18.04'!$AZ$4,'18.04'!$AZ$3))</f>
        <v>0</v>
      </c>
      <c r="T84" s="4">
        <f>IF(ISNUMBER(SEARCH("营",'18.04'!AB84)),(-$Y84+50*IF('18.04'!$AK84="是",'18.04'!$AZ$4,'18.04'!$AZ$3)),(VLOOKUP('18.04'!AB84,'18.04'!$AM$4:$AO$55,2,FALSE))*IF('18.04'!$AK84="是",'18.04'!$AZ$4,'18.04'!$AZ$3))</f>
        <v>0</v>
      </c>
      <c r="U84" s="4">
        <f>IF(ISNUMBER(SEARCH("营",'18.04'!AC84)),(-$Y84+50*IF('18.04'!$AK84="是",'18.04'!$AZ$4,'18.04'!$AZ$3)),(VLOOKUP('18.04'!AC84,'18.04'!$AM$4:$AO$55,2,FALSE))*IF('18.04'!$AK84="是",'18.04'!$AZ$4,'18.04'!$AZ$3))</f>
        <v>0</v>
      </c>
      <c r="V84" s="4">
        <f>IF(ISNUMBER(SEARCH("营",'18.04'!AD84)),(-$Y84+50*IF('18.04'!$AK84="是",'18.04'!$AZ$4,'18.04'!$AZ$3)),(VLOOKUP('18.04'!AD84,'18.04'!$AM$4:$AO$55,2,FALSE))*IF('18.04'!$AK84="是",'18.04'!$AZ$4,'18.04'!$AZ$3))</f>
        <v>0</v>
      </c>
      <c r="W84" s="4">
        <f>IF(ISNUMBER(SEARCH("营",'18.04'!AE84)),(-$Y84+50*IF('18.04'!$AK84="是",'18.04'!$AZ$4,'18.04'!$AZ$3)),(VLOOKUP('18.04'!AE84,'18.04'!$AM$4:$AO$55,2,FALSE))*IF('18.04'!$AK84="是",'18.04'!$AZ$4,'18.04'!$AZ$3))</f>
        <v>0</v>
      </c>
      <c r="X84" s="4">
        <f>IF(ISNUMBER(SEARCH("营",'18.04'!AF84)),(-$Y84+50*IF('18.04'!$AK84="是",'18.04'!$AZ$4,'18.04'!$AZ$3)),(VLOOKUP('18.04'!AF84,'18.04'!$AM$4:$AO$55,2,FALSE))*IF('18.04'!$AK84="是",'18.04'!$AZ$4,'18.04'!$AZ$3))</f>
        <v>0</v>
      </c>
      <c r="Y84" s="78">
        <v>100</v>
      </c>
      <c r="Z84" s="90">
        <v>45719</v>
      </c>
    </row>
    <row r="85" spans="1:26">
      <c r="A85" s="4">
        <f>IF(ISNUMBER(SEARCH("营",'18.04'!I85)),(-$Y85+50*IF('18.04'!$AK85="是",'18.04'!$AZ$4,'18.04'!$AZ$3)),(VLOOKUP('18.04'!I85,'18.04'!$AM$4:$AO$55,2,FALSE))*IF('18.04'!$AK85="是",'18.04'!$AZ$4,'18.04'!$AZ$3))</f>
        <v>0</v>
      </c>
      <c r="B85" s="4">
        <f>IF(ISNUMBER(SEARCH("营",'18.04'!J85)),(-$Y85+50*IF('18.04'!$AK85="是",'18.04'!$AZ$4,'18.04'!$AZ$3)),(VLOOKUP('18.04'!J85,'18.04'!$AM$4:$AO$55,2,FALSE))*IF('18.04'!$AK85="是",'18.04'!$AZ$4,'18.04'!$AZ$3))</f>
        <v>0</v>
      </c>
      <c r="C85" s="4">
        <f>IF(ISNUMBER(SEARCH("营",'18.04'!K85)),(-$Y85+50*IF('18.04'!$AK85="是",'18.04'!$AZ$4,'18.04'!$AZ$3)),(VLOOKUP('18.04'!K85,'18.04'!$AM$4:$AO$55,2,FALSE))*IF('18.04'!$AK85="是",'18.04'!$AZ$4,'18.04'!$AZ$3))</f>
        <v>0</v>
      </c>
      <c r="D85" s="4">
        <f>IF(ISNUMBER(SEARCH("营",'18.04'!L85)),(-$Y85+50*IF('18.04'!$AK85="是",'18.04'!$AZ$4,'18.04'!$AZ$3)),(VLOOKUP('18.04'!L85,'18.04'!$AM$4:$AO$55,2,FALSE))*IF('18.04'!$AK85="是",'18.04'!$AZ$4,'18.04'!$AZ$3))</f>
        <v>0</v>
      </c>
      <c r="E85" s="4">
        <f>IF(ISNUMBER(SEARCH("营",'18.04'!M85)),(-$Y85+50*IF('18.04'!$AK85="是",'18.04'!$AZ$4,'18.04'!$AZ$3)),(VLOOKUP('18.04'!M85,'18.04'!$AM$4:$AO$55,2,FALSE))*IF('18.04'!$AK85="是",'18.04'!$AZ$4,'18.04'!$AZ$3))</f>
        <v>0</v>
      </c>
      <c r="F85" s="4">
        <f>IF(ISNUMBER(SEARCH("营",'18.04'!N85)),(-$Y85+50*IF('18.04'!$AK85="是",'18.04'!$AZ$4,'18.04'!$AZ$3)),(VLOOKUP('18.04'!N85,'18.04'!$AM$4:$AO$55,2,FALSE))*IF('18.04'!$AK85="是",'18.04'!$AZ$4,'18.04'!$AZ$3))</f>
        <v>0</v>
      </c>
      <c r="G85" s="4">
        <f>IF(ISNUMBER(SEARCH("营",'18.04'!O85)),(-$Y85+50*IF('18.04'!$AK85="是",'18.04'!$AZ$4,'18.04'!$AZ$3)),(VLOOKUP('18.04'!O85,'18.04'!$AM$4:$AO$55,2,FALSE))*IF('18.04'!$AK85="是",'18.04'!$AZ$4,'18.04'!$AZ$3))</f>
        <v>0</v>
      </c>
      <c r="H85" s="4">
        <f>IF(ISNUMBER(SEARCH("营",'18.04'!P85)),(-$Y85+50*IF('18.04'!$AK85="是",'18.04'!$AZ$4,'18.04'!$AZ$3)),(VLOOKUP('18.04'!P85,'18.04'!$AM$4:$AO$55,2,FALSE))*IF('18.04'!$AK85="是",'18.04'!$AZ$4,'18.04'!$AZ$3))</f>
        <v>0</v>
      </c>
      <c r="I85" s="4">
        <f>IF(ISNUMBER(SEARCH("营",'18.04'!Q85)),(-$Y85+50*IF('18.04'!$AK85="是",'18.04'!$AZ$4,'18.04'!$AZ$3)),(VLOOKUP('18.04'!Q85,'18.04'!$AM$4:$AO$55,2,FALSE))*IF('18.04'!$AK85="是",'18.04'!$AZ$4,'18.04'!$AZ$3))</f>
        <v>0</v>
      </c>
      <c r="J85" s="4">
        <f>IF(ISNUMBER(SEARCH("营",'18.04'!R85)),(-$Y85+50*IF('18.04'!$AK85="是",'18.04'!$AZ$4,'18.04'!$AZ$3)),(VLOOKUP('18.04'!R85,'18.04'!$AM$4:$AO$55,2,FALSE))*IF('18.04'!$AK85="是",'18.04'!$AZ$4,'18.04'!$AZ$3))</f>
        <v>0</v>
      </c>
      <c r="K85" s="4">
        <f>IF(ISNUMBER(SEARCH("营",'18.04'!S85)),(-$Y85+50*IF('18.04'!$AK85="是",'18.04'!$AZ$4,'18.04'!$AZ$3)),(VLOOKUP('18.04'!S85,'18.04'!$AM$4:$AO$55,2,FALSE))*IF('18.04'!$AK85="是",'18.04'!$AZ$4,'18.04'!$AZ$3))</f>
        <v>0</v>
      </c>
      <c r="L85" s="4">
        <f>IF(ISNUMBER(SEARCH("营",'18.04'!T85)),(-$Y85+50*IF('18.04'!$AK85="是",'18.04'!$AZ$4,'18.04'!$AZ$3)),(VLOOKUP('18.04'!T85,'18.04'!$AM$4:$AO$55,2,FALSE))*IF('18.04'!$AK85="是",'18.04'!$AZ$4,'18.04'!$AZ$3))</f>
        <v>0</v>
      </c>
      <c r="M85" s="4">
        <f>IF(ISNUMBER(SEARCH("营",'18.04'!U85)),(-$Y85+50*IF('18.04'!$AK85="是",'18.04'!$AZ$4,'18.04'!$AZ$3)),(VLOOKUP('18.04'!U85,'18.04'!$AM$4:$AO$55,2,FALSE))*IF('18.04'!$AK85="是",'18.04'!$AZ$4,'18.04'!$AZ$3))</f>
        <v>0</v>
      </c>
      <c r="N85" s="4">
        <f>IF(ISNUMBER(SEARCH("营",'18.04'!V85)),(-$Y85+50*IF('18.04'!$AK85="是",'18.04'!$AZ$4,'18.04'!$AZ$3)),(VLOOKUP('18.04'!V85,'18.04'!$AM$4:$AO$55,2,FALSE))*IF('18.04'!$AK85="是",'18.04'!$AZ$4,'18.04'!$AZ$3))</f>
        <v>0</v>
      </c>
      <c r="O85" s="4">
        <f>IF(ISNUMBER(SEARCH("营",'18.04'!W85)),(-$Y85+50*IF('18.04'!$AK85="是",'18.04'!$AZ$4,'18.04'!$AZ$3)),(VLOOKUP('18.04'!W85,'18.04'!$AM$4:$AO$55,2,FALSE))*IF('18.04'!$AK85="是",'18.04'!$AZ$4,'18.04'!$AZ$3))</f>
        <v>0</v>
      </c>
      <c r="P85" s="4">
        <f>IF(ISNUMBER(SEARCH("营",'18.04'!X85)),(-$Y85+50*IF('18.04'!$AK85="是",'18.04'!$AZ$4,'18.04'!$AZ$3)),(VLOOKUP('18.04'!X85,'18.04'!$AM$4:$AO$55,2,FALSE))*IF('18.04'!$AK85="是",'18.04'!$AZ$4,'18.04'!$AZ$3))</f>
        <v>0</v>
      </c>
      <c r="Q85" s="4">
        <f>IF(ISNUMBER(SEARCH("营",'18.04'!Y85)),(-$Y85+50*IF('18.04'!$AK85="是",'18.04'!$AZ$4,'18.04'!$AZ$3)),(VLOOKUP('18.04'!Y85,'18.04'!$AM$4:$AO$55,2,FALSE))*IF('18.04'!$AK85="是",'18.04'!$AZ$4,'18.04'!$AZ$3))</f>
        <v>0</v>
      </c>
      <c r="R85" s="4">
        <f>IF(ISNUMBER(SEARCH("营",'18.04'!Z85)),(-$Y85+50*IF('18.04'!$AK85="是",'18.04'!$AZ$4,'18.04'!$AZ$3)),(VLOOKUP('18.04'!Z85,'18.04'!$AM$4:$AO$55,2,FALSE))*IF('18.04'!$AK85="是",'18.04'!$AZ$4,'18.04'!$AZ$3))</f>
        <v>0</v>
      </c>
      <c r="S85" s="4">
        <f>IF(ISNUMBER(SEARCH("营",'18.04'!AA85)),(-$Y85+50*IF('18.04'!$AK85="是",'18.04'!$AZ$4,'18.04'!$AZ$3)),(VLOOKUP('18.04'!AA85,'18.04'!$AM$4:$AO$55,2,FALSE))*IF('18.04'!$AK85="是",'18.04'!$AZ$4,'18.04'!$AZ$3))</f>
        <v>0</v>
      </c>
      <c r="T85" s="4">
        <f>IF(ISNUMBER(SEARCH("营",'18.04'!AB85)),(-$Y85+50*IF('18.04'!$AK85="是",'18.04'!$AZ$4,'18.04'!$AZ$3)),(VLOOKUP('18.04'!AB85,'18.04'!$AM$4:$AO$55,2,FALSE))*IF('18.04'!$AK85="是",'18.04'!$AZ$4,'18.04'!$AZ$3))</f>
        <v>0</v>
      </c>
      <c r="U85" s="4">
        <f>IF(ISNUMBER(SEARCH("营",'18.04'!AC85)),(-$Y85+50*IF('18.04'!$AK85="是",'18.04'!$AZ$4,'18.04'!$AZ$3)),(VLOOKUP('18.04'!AC85,'18.04'!$AM$4:$AO$55,2,FALSE))*IF('18.04'!$AK85="是",'18.04'!$AZ$4,'18.04'!$AZ$3))</f>
        <v>0</v>
      </c>
      <c r="V85" s="4">
        <f>IF(ISNUMBER(SEARCH("营",'18.04'!AD85)),(-$Y85+50*IF('18.04'!$AK85="是",'18.04'!$AZ$4,'18.04'!$AZ$3)),(VLOOKUP('18.04'!AD85,'18.04'!$AM$4:$AO$55,2,FALSE))*IF('18.04'!$AK85="是",'18.04'!$AZ$4,'18.04'!$AZ$3))</f>
        <v>0</v>
      </c>
      <c r="W85" s="4">
        <f>IF(ISNUMBER(SEARCH("营",'18.04'!AE85)),(-$Y85+50*IF('18.04'!$AK85="是",'18.04'!$AZ$4,'18.04'!$AZ$3)),(VLOOKUP('18.04'!AE85,'18.04'!$AM$4:$AO$55,2,FALSE))*IF('18.04'!$AK85="是",'18.04'!$AZ$4,'18.04'!$AZ$3))</f>
        <v>0</v>
      </c>
      <c r="X85" s="4">
        <f>IF(ISNUMBER(SEARCH("营",'18.04'!AF85)),(-$Y85+50*IF('18.04'!$AK85="是",'18.04'!$AZ$4,'18.04'!$AZ$3)),(VLOOKUP('18.04'!AF85,'18.04'!$AM$4:$AO$55,2,FALSE))*IF('18.04'!$AK85="是",'18.04'!$AZ$4,'18.04'!$AZ$3))</f>
        <v>0</v>
      </c>
      <c r="Y85" s="78">
        <v>100</v>
      </c>
      <c r="Z85" s="90">
        <v>45720</v>
      </c>
    </row>
    <row r="86" spans="1:26">
      <c r="A86" s="4">
        <f>IF(ISNUMBER(SEARCH("营",'18.04'!I86)),(-$Y86+50*IF('18.04'!$AK86="是",'18.04'!$AZ$4,'18.04'!$AZ$3)),(VLOOKUP('18.04'!I86,'18.04'!$AM$4:$AO$55,2,FALSE))*IF('18.04'!$AK86="是",'18.04'!$AZ$4,'18.04'!$AZ$3))</f>
        <v>0</v>
      </c>
      <c r="B86" s="4">
        <f>IF(ISNUMBER(SEARCH("营",'18.04'!J86)),(-$Y86+50*IF('18.04'!$AK86="是",'18.04'!$AZ$4,'18.04'!$AZ$3)),(VLOOKUP('18.04'!J86,'18.04'!$AM$4:$AO$55,2,FALSE))*IF('18.04'!$AK86="是",'18.04'!$AZ$4,'18.04'!$AZ$3))</f>
        <v>0</v>
      </c>
      <c r="C86" s="4">
        <f>IF(ISNUMBER(SEARCH("营",'18.04'!K86)),(-$Y86+50*IF('18.04'!$AK86="是",'18.04'!$AZ$4,'18.04'!$AZ$3)),(VLOOKUP('18.04'!K86,'18.04'!$AM$4:$AO$55,2,FALSE))*IF('18.04'!$AK86="是",'18.04'!$AZ$4,'18.04'!$AZ$3))</f>
        <v>0</v>
      </c>
      <c r="D86" s="4">
        <f>IF(ISNUMBER(SEARCH("营",'18.04'!L86)),(-$Y86+50*IF('18.04'!$AK86="是",'18.04'!$AZ$4,'18.04'!$AZ$3)),(VLOOKUP('18.04'!L86,'18.04'!$AM$4:$AO$55,2,FALSE))*IF('18.04'!$AK86="是",'18.04'!$AZ$4,'18.04'!$AZ$3))</f>
        <v>0</v>
      </c>
      <c r="E86" s="4">
        <f>IF(ISNUMBER(SEARCH("营",'18.04'!M86)),(-$Y86+50*IF('18.04'!$AK86="是",'18.04'!$AZ$4,'18.04'!$AZ$3)),(VLOOKUP('18.04'!M86,'18.04'!$AM$4:$AO$55,2,FALSE))*IF('18.04'!$AK86="是",'18.04'!$AZ$4,'18.04'!$AZ$3))</f>
        <v>0</v>
      </c>
      <c r="F86" s="4">
        <f>IF(ISNUMBER(SEARCH("营",'18.04'!N86)),(-$Y86+50*IF('18.04'!$AK86="是",'18.04'!$AZ$4,'18.04'!$AZ$3)),(VLOOKUP('18.04'!N86,'18.04'!$AM$4:$AO$55,2,FALSE))*IF('18.04'!$AK86="是",'18.04'!$AZ$4,'18.04'!$AZ$3))</f>
        <v>0</v>
      </c>
      <c r="G86" s="4">
        <f>IF(ISNUMBER(SEARCH("营",'18.04'!O86)),(-$Y86+50*IF('18.04'!$AK86="是",'18.04'!$AZ$4,'18.04'!$AZ$3)),(VLOOKUP('18.04'!O86,'18.04'!$AM$4:$AO$55,2,FALSE))*IF('18.04'!$AK86="是",'18.04'!$AZ$4,'18.04'!$AZ$3))</f>
        <v>0</v>
      </c>
      <c r="H86" s="4">
        <f>IF(ISNUMBER(SEARCH("营",'18.04'!P86)),(-$Y86+50*IF('18.04'!$AK86="是",'18.04'!$AZ$4,'18.04'!$AZ$3)),(VLOOKUP('18.04'!P86,'18.04'!$AM$4:$AO$55,2,FALSE))*IF('18.04'!$AK86="是",'18.04'!$AZ$4,'18.04'!$AZ$3))</f>
        <v>0</v>
      </c>
      <c r="I86" s="4">
        <f>IF(ISNUMBER(SEARCH("营",'18.04'!Q86)),(-$Y86+50*IF('18.04'!$AK86="是",'18.04'!$AZ$4,'18.04'!$AZ$3)),(VLOOKUP('18.04'!Q86,'18.04'!$AM$4:$AO$55,2,FALSE))*IF('18.04'!$AK86="是",'18.04'!$AZ$4,'18.04'!$AZ$3))</f>
        <v>0</v>
      </c>
      <c r="J86" s="4">
        <f>IF(ISNUMBER(SEARCH("营",'18.04'!R86)),(-$Y86+50*IF('18.04'!$AK86="是",'18.04'!$AZ$4,'18.04'!$AZ$3)),(VLOOKUP('18.04'!R86,'18.04'!$AM$4:$AO$55,2,FALSE))*IF('18.04'!$AK86="是",'18.04'!$AZ$4,'18.04'!$AZ$3))</f>
        <v>0</v>
      </c>
      <c r="K86" s="4">
        <f>IF(ISNUMBER(SEARCH("营",'18.04'!S86)),(-$Y86+50*IF('18.04'!$AK86="是",'18.04'!$AZ$4,'18.04'!$AZ$3)),(VLOOKUP('18.04'!S86,'18.04'!$AM$4:$AO$55,2,FALSE))*IF('18.04'!$AK86="是",'18.04'!$AZ$4,'18.04'!$AZ$3))</f>
        <v>0</v>
      </c>
      <c r="L86" s="4">
        <f>IF(ISNUMBER(SEARCH("营",'18.04'!T86)),(-$Y86+50*IF('18.04'!$AK86="是",'18.04'!$AZ$4,'18.04'!$AZ$3)),(VLOOKUP('18.04'!T86,'18.04'!$AM$4:$AO$55,2,FALSE))*IF('18.04'!$AK86="是",'18.04'!$AZ$4,'18.04'!$AZ$3))</f>
        <v>0</v>
      </c>
      <c r="M86" s="4">
        <f>IF(ISNUMBER(SEARCH("营",'18.04'!U86)),(-$Y86+50*IF('18.04'!$AK86="是",'18.04'!$AZ$4,'18.04'!$AZ$3)),(VLOOKUP('18.04'!U86,'18.04'!$AM$4:$AO$55,2,FALSE))*IF('18.04'!$AK86="是",'18.04'!$AZ$4,'18.04'!$AZ$3))</f>
        <v>0</v>
      </c>
      <c r="N86" s="4">
        <f>IF(ISNUMBER(SEARCH("营",'18.04'!V86)),(-$Y86+50*IF('18.04'!$AK86="是",'18.04'!$AZ$4,'18.04'!$AZ$3)),(VLOOKUP('18.04'!V86,'18.04'!$AM$4:$AO$55,2,FALSE))*IF('18.04'!$AK86="是",'18.04'!$AZ$4,'18.04'!$AZ$3))</f>
        <v>0</v>
      </c>
      <c r="O86" s="4">
        <f>IF(ISNUMBER(SEARCH("营",'18.04'!W86)),(-$Y86+50*IF('18.04'!$AK86="是",'18.04'!$AZ$4,'18.04'!$AZ$3)),(VLOOKUP('18.04'!W86,'18.04'!$AM$4:$AO$55,2,FALSE))*IF('18.04'!$AK86="是",'18.04'!$AZ$4,'18.04'!$AZ$3))</f>
        <v>0</v>
      </c>
      <c r="P86" s="4">
        <f>IF(ISNUMBER(SEARCH("营",'18.04'!X86)),(-$Y86+50*IF('18.04'!$AK86="是",'18.04'!$AZ$4,'18.04'!$AZ$3)),(VLOOKUP('18.04'!X86,'18.04'!$AM$4:$AO$55,2,FALSE))*IF('18.04'!$AK86="是",'18.04'!$AZ$4,'18.04'!$AZ$3))</f>
        <v>0</v>
      </c>
      <c r="Q86" s="4">
        <f>IF(ISNUMBER(SEARCH("营",'18.04'!Y86)),(-$Y86+50*IF('18.04'!$AK86="是",'18.04'!$AZ$4,'18.04'!$AZ$3)),(VLOOKUP('18.04'!Y86,'18.04'!$AM$4:$AO$55,2,FALSE))*IF('18.04'!$AK86="是",'18.04'!$AZ$4,'18.04'!$AZ$3))</f>
        <v>0</v>
      </c>
      <c r="R86" s="4">
        <f>IF(ISNUMBER(SEARCH("营",'18.04'!Z86)),(-$Y86+50*IF('18.04'!$AK86="是",'18.04'!$AZ$4,'18.04'!$AZ$3)),(VLOOKUP('18.04'!Z86,'18.04'!$AM$4:$AO$55,2,FALSE))*IF('18.04'!$AK86="是",'18.04'!$AZ$4,'18.04'!$AZ$3))</f>
        <v>0</v>
      </c>
      <c r="S86" s="4">
        <f>IF(ISNUMBER(SEARCH("营",'18.04'!AA86)),(-$Y86+50*IF('18.04'!$AK86="是",'18.04'!$AZ$4,'18.04'!$AZ$3)),(VLOOKUP('18.04'!AA86,'18.04'!$AM$4:$AO$55,2,FALSE))*IF('18.04'!$AK86="是",'18.04'!$AZ$4,'18.04'!$AZ$3))</f>
        <v>0</v>
      </c>
      <c r="T86" s="4">
        <f>IF(ISNUMBER(SEARCH("营",'18.04'!AB86)),(-$Y86+50*IF('18.04'!$AK86="是",'18.04'!$AZ$4,'18.04'!$AZ$3)),(VLOOKUP('18.04'!AB86,'18.04'!$AM$4:$AO$55,2,FALSE))*IF('18.04'!$AK86="是",'18.04'!$AZ$4,'18.04'!$AZ$3))</f>
        <v>0</v>
      </c>
      <c r="U86" s="4">
        <f>IF(ISNUMBER(SEARCH("营",'18.04'!AC86)),(-$Y86+50*IF('18.04'!$AK86="是",'18.04'!$AZ$4,'18.04'!$AZ$3)),(VLOOKUP('18.04'!AC86,'18.04'!$AM$4:$AO$55,2,FALSE))*IF('18.04'!$AK86="是",'18.04'!$AZ$4,'18.04'!$AZ$3))</f>
        <v>0</v>
      </c>
      <c r="V86" s="4">
        <f>IF(ISNUMBER(SEARCH("营",'18.04'!AD86)),(-$Y86+50*IF('18.04'!$AK86="是",'18.04'!$AZ$4,'18.04'!$AZ$3)),(VLOOKUP('18.04'!AD86,'18.04'!$AM$4:$AO$55,2,FALSE))*IF('18.04'!$AK86="是",'18.04'!$AZ$4,'18.04'!$AZ$3))</f>
        <v>0</v>
      </c>
      <c r="W86" s="4">
        <f>IF(ISNUMBER(SEARCH("营",'18.04'!AE86)),(-$Y86+50*IF('18.04'!$AK86="是",'18.04'!$AZ$4,'18.04'!$AZ$3)),(VLOOKUP('18.04'!AE86,'18.04'!$AM$4:$AO$55,2,FALSE))*IF('18.04'!$AK86="是",'18.04'!$AZ$4,'18.04'!$AZ$3))</f>
        <v>0</v>
      </c>
      <c r="X86" s="4">
        <f>IF(ISNUMBER(SEARCH("营",'18.04'!AF86)),(-$Y86+50*IF('18.04'!$AK86="是",'18.04'!$AZ$4,'18.04'!$AZ$3)),(VLOOKUP('18.04'!AF86,'18.04'!$AM$4:$AO$55,2,FALSE))*IF('18.04'!$AK86="是",'18.04'!$AZ$4,'18.04'!$AZ$3))</f>
        <v>0</v>
      </c>
      <c r="Y86" s="78">
        <v>100</v>
      </c>
      <c r="Z86" s="90">
        <v>45721</v>
      </c>
    </row>
    <row r="87" spans="1:26">
      <c r="A87" s="4">
        <f>IF(ISNUMBER(SEARCH("营",'18.04'!I87)),(-$Y87+50*IF('18.04'!$AK87="是",'18.04'!$AZ$4,'18.04'!$AZ$3)),(VLOOKUP('18.04'!I87,'18.04'!$AM$4:$AO$55,2,FALSE))*IF('18.04'!$AK87="是",'18.04'!$AZ$4,'18.04'!$AZ$3))</f>
        <v>0</v>
      </c>
      <c r="B87" s="4">
        <f>IF(ISNUMBER(SEARCH("营",'18.04'!J87)),(-$Y87+50*IF('18.04'!$AK87="是",'18.04'!$AZ$4,'18.04'!$AZ$3)),(VLOOKUP('18.04'!J87,'18.04'!$AM$4:$AO$55,2,FALSE))*IF('18.04'!$AK87="是",'18.04'!$AZ$4,'18.04'!$AZ$3))</f>
        <v>0</v>
      </c>
      <c r="C87" s="4">
        <f>IF(ISNUMBER(SEARCH("营",'18.04'!K87)),(-$Y87+50*IF('18.04'!$AK87="是",'18.04'!$AZ$4,'18.04'!$AZ$3)),(VLOOKUP('18.04'!K87,'18.04'!$AM$4:$AO$55,2,FALSE))*IF('18.04'!$AK87="是",'18.04'!$AZ$4,'18.04'!$AZ$3))</f>
        <v>0</v>
      </c>
      <c r="D87" s="4">
        <f>IF(ISNUMBER(SEARCH("营",'18.04'!L87)),(-$Y87+50*IF('18.04'!$AK87="是",'18.04'!$AZ$4,'18.04'!$AZ$3)),(VLOOKUP('18.04'!L87,'18.04'!$AM$4:$AO$55,2,FALSE))*IF('18.04'!$AK87="是",'18.04'!$AZ$4,'18.04'!$AZ$3))</f>
        <v>0</v>
      </c>
      <c r="E87" s="4">
        <f>IF(ISNUMBER(SEARCH("营",'18.04'!M87)),(-$Y87+50*IF('18.04'!$AK87="是",'18.04'!$AZ$4,'18.04'!$AZ$3)),(VLOOKUP('18.04'!M87,'18.04'!$AM$4:$AO$55,2,FALSE))*IF('18.04'!$AK87="是",'18.04'!$AZ$4,'18.04'!$AZ$3))</f>
        <v>0</v>
      </c>
      <c r="F87" s="4">
        <f>IF(ISNUMBER(SEARCH("营",'18.04'!N87)),(-$Y87+50*IF('18.04'!$AK87="是",'18.04'!$AZ$4,'18.04'!$AZ$3)),(VLOOKUP('18.04'!N87,'18.04'!$AM$4:$AO$55,2,FALSE))*IF('18.04'!$AK87="是",'18.04'!$AZ$4,'18.04'!$AZ$3))</f>
        <v>0</v>
      </c>
      <c r="G87" s="4">
        <f>IF(ISNUMBER(SEARCH("营",'18.04'!O87)),(-$Y87+50*IF('18.04'!$AK87="是",'18.04'!$AZ$4,'18.04'!$AZ$3)),(VLOOKUP('18.04'!O87,'18.04'!$AM$4:$AO$55,2,FALSE))*IF('18.04'!$AK87="是",'18.04'!$AZ$4,'18.04'!$AZ$3))</f>
        <v>0</v>
      </c>
      <c r="H87" s="4">
        <f>IF(ISNUMBER(SEARCH("营",'18.04'!P87)),(-$Y87+50*IF('18.04'!$AK87="是",'18.04'!$AZ$4,'18.04'!$AZ$3)),(VLOOKUP('18.04'!P87,'18.04'!$AM$4:$AO$55,2,FALSE))*IF('18.04'!$AK87="是",'18.04'!$AZ$4,'18.04'!$AZ$3))</f>
        <v>0</v>
      </c>
      <c r="I87" s="4">
        <f>IF(ISNUMBER(SEARCH("营",'18.04'!Q87)),(-$Y87+50*IF('18.04'!$AK87="是",'18.04'!$AZ$4,'18.04'!$AZ$3)),(VLOOKUP('18.04'!Q87,'18.04'!$AM$4:$AO$55,2,FALSE))*IF('18.04'!$AK87="是",'18.04'!$AZ$4,'18.04'!$AZ$3))</f>
        <v>0</v>
      </c>
      <c r="J87" s="4">
        <f>IF(ISNUMBER(SEARCH("营",'18.04'!R87)),(-$Y87+50*IF('18.04'!$AK87="是",'18.04'!$AZ$4,'18.04'!$AZ$3)),(VLOOKUP('18.04'!R87,'18.04'!$AM$4:$AO$55,2,FALSE))*IF('18.04'!$AK87="是",'18.04'!$AZ$4,'18.04'!$AZ$3))</f>
        <v>0</v>
      </c>
      <c r="K87" s="4">
        <f>IF(ISNUMBER(SEARCH("营",'18.04'!S87)),(-$Y87+50*IF('18.04'!$AK87="是",'18.04'!$AZ$4,'18.04'!$AZ$3)),(VLOOKUP('18.04'!S87,'18.04'!$AM$4:$AO$55,2,FALSE))*IF('18.04'!$AK87="是",'18.04'!$AZ$4,'18.04'!$AZ$3))</f>
        <v>0</v>
      </c>
      <c r="L87" s="4">
        <f>IF(ISNUMBER(SEARCH("营",'18.04'!T87)),(-$Y87+50*IF('18.04'!$AK87="是",'18.04'!$AZ$4,'18.04'!$AZ$3)),(VLOOKUP('18.04'!T87,'18.04'!$AM$4:$AO$55,2,FALSE))*IF('18.04'!$AK87="是",'18.04'!$AZ$4,'18.04'!$AZ$3))</f>
        <v>0</v>
      </c>
      <c r="M87" s="4">
        <f>IF(ISNUMBER(SEARCH("营",'18.04'!U87)),(-$Y87+50*IF('18.04'!$AK87="是",'18.04'!$AZ$4,'18.04'!$AZ$3)),(VLOOKUP('18.04'!U87,'18.04'!$AM$4:$AO$55,2,FALSE))*IF('18.04'!$AK87="是",'18.04'!$AZ$4,'18.04'!$AZ$3))</f>
        <v>0</v>
      </c>
      <c r="N87" s="4">
        <f>IF(ISNUMBER(SEARCH("营",'18.04'!V87)),(-$Y87+50*IF('18.04'!$AK87="是",'18.04'!$AZ$4,'18.04'!$AZ$3)),(VLOOKUP('18.04'!V87,'18.04'!$AM$4:$AO$55,2,FALSE))*IF('18.04'!$AK87="是",'18.04'!$AZ$4,'18.04'!$AZ$3))</f>
        <v>0</v>
      </c>
      <c r="O87" s="4">
        <f>IF(ISNUMBER(SEARCH("营",'18.04'!W87)),(-$Y87+50*IF('18.04'!$AK87="是",'18.04'!$AZ$4,'18.04'!$AZ$3)),(VLOOKUP('18.04'!W87,'18.04'!$AM$4:$AO$55,2,FALSE))*IF('18.04'!$AK87="是",'18.04'!$AZ$4,'18.04'!$AZ$3))</f>
        <v>0</v>
      </c>
      <c r="P87" s="4">
        <f>IF(ISNUMBER(SEARCH("营",'18.04'!X87)),(-$Y87+50*IF('18.04'!$AK87="是",'18.04'!$AZ$4,'18.04'!$AZ$3)),(VLOOKUP('18.04'!X87,'18.04'!$AM$4:$AO$55,2,FALSE))*IF('18.04'!$AK87="是",'18.04'!$AZ$4,'18.04'!$AZ$3))</f>
        <v>0</v>
      </c>
      <c r="Q87" s="4">
        <f>IF(ISNUMBER(SEARCH("营",'18.04'!Y87)),(-$Y87+50*IF('18.04'!$AK87="是",'18.04'!$AZ$4,'18.04'!$AZ$3)),(VLOOKUP('18.04'!Y87,'18.04'!$AM$4:$AO$55,2,FALSE))*IF('18.04'!$AK87="是",'18.04'!$AZ$4,'18.04'!$AZ$3))</f>
        <v>0</v>
      </c>
      <c r="R87" s="4">
        <f>IF(ISNUMBER(SEARCH("营",'18.04'!Z87)),(-$Y87+50*IF('18.04'!$AK87="是",'18.04'!$AZ$4,'18.04'!$AZ$3)),(VLOOKUP('18.04'!Z87,'18.04'!$AM$4:$AO$55,2,FALSE))*IF('18.04'!$AK87="是",'18.04'!$AZ$4,'18.04'!$AZ$3))</f>
        <v>0</v>
      </c>
      <c r="S87" s="4">
        <f>IF(ISNUMBER(SEARCH("营",'18.04'!AA87)),(-$Y87+50*IF('18.04'!$AK87="是",'18.04'!$AZ$4,'18.04'!$AZ$3)),(VLOOKUP('18.04'!AA87,'18.04'!$AM$4:$AO$55,2,FALSE))*IF('18.04'!$AK87="是",'18.04'!$AZ$4,'18.04'!$AZ$3))</f>
        <v>0</v>
      </c>
      <c r="T87" s="4">
        <f>IF(ISNUMBER(SEARCH("营",'18.04'!AB87)),(-$Y87+50*IF('18.04'!$AK87="是",'18.04'!$AZ$4,'18.04'!$AZ$3)),(VLOOKUP('18.04'!AB87,'18.04'!$AM$4:$AO$55,2,FALSE))*IF('18.04'!$AK87="是",'18.04'!$AZ$4,'18.04'!$AZ$3))</f>
        <v>0</v>
      </c>
      <c r="U87" s="4">
        <f>IF(ISNUMBER(SEARCH("营",'18.04'!AC87)),(-$Y87+50*IF('18.04'!$AK87="是",'18.04'!$AZ$4,'18.04'!$AZ$3)),(VLOOKUP('18.04'!AC87,'18.04'!$AM$4:$AO$55,2,FALSE))*IF('18.04'!$AK87="是",'18.04'!$AZ$4,'18.04'!$AZ$3))</f>
        <v>0</v>
      </c>
      <c r="V87" s="4">
        <f>IF(ISNUMBER(SEARCH("营",'18.04'!AD87)),(-$Y87+50*IF('18.04'!$AK87="是",'18.04'!$AZ$4,'18.04'!$AZ$3)),(VLOOKUP('18.04'!AD87,'18.04'!$AM$4:$AO$55,2,FALSE))*IF('18.04'!$AK87="是",'18.04'!$AZ$4,'18.04'!$AZ$3))</f>
        <v>0</v>
      </c>
      <c r="W87" s="4">
        <f>IF(ISNUMBER(SEARCH("营",'18.04'!AE87)),(-$Y87+50*IF('18.04'!$AK87="是",'18.04'!$AZ$4,'18.04'!$AZ$3)),(VLOOKUP('18.04'!AE87,'18.04'!$AM$4:$AO$55,2,FALSE))*IF('18.04'!$AK87="是",'18.04'!$AZ$4,'18.04'!$AZ$3))</f>
        <v>0</v>
      </c>
      <c r="X87" s="4">
        <f>IF(ISNUMBER(SEARCH("营",'18.04'!AF87)),(-$Y87+50*IF('18.04'!$AK87="是",'18.04'!$AZ$4,'18.04'!$AZ$3)),(VLOOKUP('18.04'!AF87,'18.04'!$AM$4:$AO$55,2,FALSE))*IF('18.04'!$AK87="是",'18.04'!$AZ$4,'18.04'!$AZ$3))</f>
        <v>0</v>
      </c>
      <c r="Y87" s="78">
        <v>100</v>
      </c>
      <c r="Z87" s="90">
        <v>45722</v>
      </c>
    </row>
    <row r="88" spans="1:26">
      <c r="A88" s="4">
        <f>IF(ISNUMBER(SEARCH("营",'18.04'!I88)),(-$Y88+50*IF('18.04'!$AK88="是",'18.04'!$AZ$4,'18.04'!$AZ$3)),(VLOOKUP('18.04'!I88,'18.04'!$AM$4:$AO$55,2,FALSE))*IF('18.04'!$AK88="是",'18.04'!$AZ$4,'18.04'!$AZ$3))</f>
        <v>0</v>
      </c>
      <c r="B88" s="4">
        <f>IF(ISNUMBER(SEARCH("营",'18.04'!J88)),(-$Y88+50*IF('18.04'!$AK88="是",'18.04'!$AZ$4,'18.04'!$AZ$3)),(VLOOKUP('18.04'!J88,'18.04'!$AM$4:$AO$55,2,FALSE))*IF('18.04'!$AK88="是",'18.04'!$AZ$4,'18.04'!$AZ$3))</f>
        <v>0</v>
      </c>
      <c r="C88" s="4">
        <f>IF(ISNUMBER(SEARCH("营",'18.04'!K88)),(-$Y88+50*IF('18.04'!$AK88="是",'18.04'!$AZ$4,'18.04'!$AZ$3)),(VLOOKUP('18.04'!K88,'18.04'!$AM$4:$AO$55,2,FALSE))*IF('18.04'!$AK88="是",'18.04'!$AZ$4,'18.04'!$AZ$3))</f>
        <v>0</v>
      </c>
      <c r="D88" s="4">
        <f>IF(ISNUMBER(SEARCH("营",'18.04'!L88)),(-$Y88+50*IF('18.04'!$AK88="是",'18.04'!$AZ$4,'18.04'!$AZ$3)),(VLOOKUP('18.04'!L88,'18.04'!$AM$4:$AO$55,2,FALSE))*IF('18.04'!$AK88="是",'18.04'!$AZ$4,'18.04'!$AZ$3))</f>
        <v>0</v>
      </c>
      <c r="E88" s="4">
        <f>IF(ISNUMBER(SEARCH("营",'18.04'!M88)),(-$Y88+50*IF('18.04'!$AK88="是",'18.04'!$AZ$4,'18.04'!$AZ$3)),(VLOOKUP('18.04'!M88,'18.04'!$AM$4:$AO$55,2,FALSE))*IF('18.04'!$AK88="是",'18.04'!$AZ$4,'18.04'!$AZ$3))</f>
        <v>0</v>
      </c>
      <c r="F88" s="4">
        <f>IF(ISNUMBER(SEARCH("营",'18.04'!N88)),(-$Y88+50*IF('18.04'!$AK88="是",'18.04'!$AZ$4,'18.04'!$AZ$3)),(VLOOKUP('18.04'!N88,'18.04'!$AM$4:$AO$55,2,FALSE))*IF('18.04'!$AK88="是",'18.04'!$AZ$4,'18.04'!$AZ$3))</f>
        <v>0</v>
      </c>
      <c r="G88" s="4">
        <f>IF(ISNUMBER(SEARCH("营",'18.04'!O88)),(-$Y88+50*IF('18.04'!$AK88="是",'18.04'!$AZ$4,'18.04'!$AZ$3)),(VLOOKUP('18.04'!O88,'18.04'!$AM$4:$AO$55,2,FALSE))*IF('18.04'!$AK88="是",'18.04'!$AZ$4,'18.04'!$AZ$3))</f>
        <v>0</v>
      </c>
      <c r="H88" s="4">
        <f>IF(ISNUMBER(SEARCH("营",'18.04'!P88)),(-$Y88+50*IF('18.04'!$AK88="是",'18.04'!$AZ$4,'18.04'!$AZ$3)),(VLOOKUP('18.04'!P88,'18.04'!$AM$4:$AO$55,2,FALSE))*IF('18.04'!$AK88="是",'18.04'!$AZ$4,'18.04'!$AZ$3))</f>
        <v>0</v>
      </c>
      <c r="I88" s="4">
        <f>IF(ISNUMBER(SEARCH("营",'18.04'!Q88)),(-$Y88+50*IF('18.04'!$AK88="是",'18.04'!$AZ$4,'18.04'!$AZ$3)),(VLOOKUP('18.04'!Q88,'18.04'!$AM$4:$AO$55,2,FALSE))*IF('18.04'!$AK88="是",'18.04'!$AZ$4,'18.04'!$AZ$3))</f>
        <v>0</v>
      </c>
      <c r="J88" s="4">
        <f>IF(ISNUMBER(SEARCH("营",'18.04'!R88)),(-$Y88+50*IF('18.04'!$AK88="是",'18.04'!$AZ$4,'18.04'!$AZ$3)),(VLOOKUP('18.04'!R88,'18.04'!$AM$4:$AO$55,2,FALSE))*IF('18.04'!$AK88="是",'18.04'!$AZ$4,'18.04'!$AZ$3))</f>
        <v>0</v>
      </c>
      <c r="K88" s="4">
        <f>IF(ISNUMBER(SEARCH("营",'18.04'!S88)),(-$Y88+50*IF('18.04'!$AK88="是",'18.04'!$AZ$4,'18.04'!$AZ$3)),(VLOOKUP('18.04'!S88,'18.04'!$AM$4:$AO$55,2,FALSE))*IF('18.04'!$AK88="是",'18.04'!$AZ$4,'18.04'!$AZ$3))</f>
        <v>0</v>
      </c>
      <c r="L88" s="4">
        <f>IF(ISNUMBER(SEARCH("营",'18.04'!T88)),(-$Y88+50*IF('18.04'!$AK88="是",'18.04'!$AZ$4,'18.04'!$AZ$3)),(VLOOKUP('18.04'!T88,'18.04'!$AM$4:$AO$55,2,FALSE))*IF('18.04'!$AK88="是",'18.04'!$AZ$4,'18.04'!$AZ$3))</f>
        <v>0</v>
      </c>
      <c r="M88" s="4">
        <f>IF(ISNUMBER(SEARCH("营",'18.04'!U88)),(-$Y88+50*IF('18.04'!$AK88="是",'18.04'!$AZ$4,'18.04'!$AZ$3)),(VLOOKUP('18.04'!U88,'18.04'!$AM$4:$AO$55,2,FALSE))*IF('18.04'!$AK88="是",'18.04'!$AZ$4,'18.04'!$AZ$3))</f>
        <v>0</v>
      </c>
      <c r="N88" s="4">
        <f>IF(ISNUMBER(SEARCH("营",'18.04'!V88)),(-$Y88+50*IF('18.04'!$AK88="是",'18.04'!$AZ$4,'18.04'!$AZ$3)),(VLOOKUP('18.04'!V88,'18.04'!$AM$4:$AO$55,2,FALSE))*IF('18.04'!$AK88="是",'18.04'!$AZ$4,'18.04'!$AZ$3))</f>
        <v>0</v>
      </c>
      <c r="O88" s="4">
        <f>IF(ISNUMBER(SEARCH("营",'18.04'!W88)),(-$Y88+50*IF('18.04'!$AK88="是",'18.04'!$AZ$4,'18.04'!$AZ$3)),(VLOOKUP('18.04'!W88,'18.04'!$AM$4:$AO$55,2,FALSE))*IF('18.04'!$AK88="是",'18.04'!$AZ$4,'18.04'!$AZ$3))</f>
        <v>0</v>
      </c>
      <c r="P88" s="4">
        <f>IF(ISNUMBER(SEARCH("营",'18.04'!X88)),(-$Y88+50*IF('18.04'!$AK88="是",'18.04'!$AZ$4,'18.04'!$AZ$3)),(VLOOKUP('18.04'!X88,'18.04'!$AM$4:$AO$55,2,FALSE))*IF('18.04'!$AK88="是",'18.04'!$AZ$4,'18.04'!$AZ$3))</f>
        <v>0</v>
      </c>
      <c r="Q88" s="4">
        <f>IF(ISNUMBER(SEARCH("营",'18.04'!Y88)),(-$Y88+50*IF('18.04'!$AK88="是",'18.04'!$AZ$4,'18.04'!$AZ$3)),(VLOOKUP('18.04'!Y88,'18.04'!$AM$4:$AO$55,2,FALSE))*IF('18.04'!$AK88="是",'18.04'!$AZ$4,'18.04'!$AZ$3))</f>
        <v>0</v>
      </c>
      <c r="R88" s="4">
        <f>IF(ISNUMBER(SEARCH("营",'18.04'!Z88)),(-$Y88+50*IF('18.04'!$AK88="是",'18.04'!$AZ$4,'18.04'!$AZ$3)),(VLOOKUP('18.04'!Z88,'18.04'!$AM$4:$AO$55,2,FALSE))*IF('18.04'!$AK88="是",'18.04'!$AZ$4,'18.04'!$AZ$3))</f>
        <v>0</v>
      </c>
      <c r="S88" s="4">
        <f>IF(ISNUMBER(SEARCH("营",'18.04'!AA88)),(-$Y88+50*IF('18.04'!$AK88="是",'18.04'!$AZ$4,'18.04'!$AZ$3)),(VLOOKUP('18.04'!AA88,'18.04'!$AM$4:$AO$55,2,FALSE))*IF('18.04'!$AK88="是",'18.04'!$AZ$4,'18.04'!$AZ$3))</f>
        <v>0</v>
      </c>
      <c r="T88" s="4">
        <f>IF(ISNUMBER(SEARCH("营",'18.04'!AB88)),(-$Y88+50*IF('18.04'!$AK88="是",'18.04'!$AZ$4,'18.04'!$AZ$3)),(VLOOKUP('18.04'!AB88,'18.04'!$AM$4:$AO$55,2,FALSE))*IF('18.04'!$AK88="是",'18.04'!$AZ$4,'18.04'!$AZ$3))</f>
        <v>0</v>
      </c>
      <c r="U88" s="4">
        <f>IF(ISNUMBER(SEARCH("营",'18.04'!AC88)),(-$Y88+50*IF('18.04'!$AK88="是",'18.04'!$AZ$4,'18.04'!$AZ$3)),(VLOOKUP('18.04'!AC88,'18.04'!$AM$4:$AO$55,2,FALSE))*IF('18.04'!$AK88="是",'18.04'!$AZ$4,'18.04'!$AZ$3))</f>
        <v>0</v>
      </c>
      <c r="V88" s="4">
        <f>IF(ISNUMBER(SEARCH("营",'18.04'!AD88)),(-$Y88+50*IF('18.04'!$AK88="是",'18.04'!$AZ$4,'18.04'!$AZ$3)),(VLOOKUP('18.04'!AD88,'18.04'!$AM$4:$AO$55,2,FALSE))*IF('18.04'!$AK88="是",'18.04'!$AZ$4,'18.04'!$AZ$3))</f>
        <v>0</v>
      </c>
      <c r="W88" s="4">
        <f>IF(ISNUMBER(SEARCH("营",'18.04'!AE88)),(-$Y88+50*IF('18.04'!$AK88="是",'18.04'!$AZ$4,'18.04'!$AZ$3)),(VLOOKUP('18.04'!AE88,'18.04'!$AM$4:$AO$55,2,FALSE))*IF('18.04'!$AK88="是",'18.04'!$AZ$4,'18.04'!$AZ$3))</f>
        <v>0</v>
      </c>
      <c r="X88" s="4">
        <f>IF(ISNUMBER(SEARCH("营",'18.04'!AF88)),(-$Y88+50*IF('18.04'!$AK88="是",'18.04'!$AZ$4,'18.04'!$AZ$3)),(VLOOKUP('18.04'!AF88,'18.04'!$AM$4:$AO$55,2,FALSE))*IF('18.04'!$AK88="是",'18.04'!$AZ$4,'18.04'!$AZ$3))</f>
        <v>0</v>
      </c>
      <c r="Y88" s="78">
        <v>100</v>
      </c>
      <c r="Z88" s="90">
        <v>45723</v>
      </c>
    </row>
    <row r="89" spans="1:26">
      <c r="A89" s="4">
        <f>IF(ISNUMBER(SEARCH("营",'18.04'!I89)),(-$Y89+50*IF('18.04'!$AK89="是",'18.04'!$AZ$4,'18.04'!$AZ$3)),(VLOOKUP('18.04'!I89,'18.04'!$AM$4:$AO$55,2,FALSE))*IF('18.04'!$AK89="是",'18.04'!$AZ$4,'18.04'!$AZ$3))</f>
        <v>0</v>
      </c>
      <c r="B89" s="4">
        <f>IF(ISNUMBER(SEARCH("营",'18.04'!J89)),(-$Y89+50*IF('18.04'!$AK89="是",'18.04'!$AZ$4,'18.04'!$AZ$3)),(VLOOKUP('18.04'!J89,'18.04'!$AM$4:$AO$55,2,FALSE))*IF('18.04'!$AK89="是",'18.04'!$AZ$4,'18.04'!$AZ$3))</f>
        <v>0</v>
      </c>
      <c r="C89" s="4">
        <f>IF(ISNUMBER(SEARCH("营",'18.04'!K89)),(-$Y89+50*IF('18.04'!$AK89="是",'18.04'!$AZ$4,'18.04'!$AZ$3)),(VLOOKUP('18.04'!K89,'18.04'!$AM$4:$AO$55,2,FALSE))*IF('18.04'!$AK89="是",'18.04'!$AZ$4,'18.04'!$AZ$3))</f>
        <v>0</v>
      </c>
      <c r="D89" s="4">
        <f>IF(ISNUMBER(SEARCH("营",'18.04'!L89)),(-$Y89+50*IF('18.04'!$AK89="是",'18.04'!$AZ$4,'18.04'!$AZ$3)),(VLOOKUP('18.04'!L89,'18.04'!$AM$4:$AO$55,2,FALSE))*IF('18.04'!$AK89="是",'18.04'!$AZ$4,'18.04'!$AZ$3))</f>
        <v>0</v>
      </c>
      <c r="E89" s="4">
        <f>IF(ISNUMBER(SEARCH("营",'18.04'!M89)),(-$Y89+50*IF('18.04'!$AK89="是",'18.04'!$AZ$4,'18.04'!$AZ$3)),(VLOOKUP('18.04'!M89,'18.04'!$AM$4:$AO$55,2,FALSE))*IF('18.04'!$AK89="是",'18.04'!$AZ$4,'18.04'!$AZ$3))</f>
        <v>0</v>
      </c>
      <c r="F89" s="4">
        <f>IF(ISNUMBER(SEARCH("营",'18.04'!N89)),(-$Y89+50*IF('18.04'!$AK89="是",'18.04'!$AZ$4,'18.04'!$AZ$3)),(VLOOKUP('18.04'!N89,'18.04'!$AM$4:$AO$55,2,FALSE))*IF('18.04'!$AK89="是",'18.04'!$AZ$4,'18.04'!$AZ$3))</f>
        <v>0</v>
      </c>
      <c r="G89" s="4">
        <f>IF(ISNUMBER(SEARCH("营",'18.04'!O89)),(-$Y89+50*IF('18.04'!$AK89="是",'18.04'!$AZ$4,'18.04'!$AZ$3)),(VLOOKUP('18.04'!O89,'18.04'!$AM$4:$AO$55,2,FALSE))*IF('18.04'!$AK89="是",'18.04'!$AZ$4,'18.04'!$AZ$3))</f>
        <v>0</v>
      </c>
      <c r="H89" s="4">
        <f>IF(ISNUMBER(SEARCH("营",'18.04'!P89)),(-$Y89+50*IF('18.04'!$AK89="是",'18.04'!$AZ$4,'18.04'!$AZ$3)),(VLOOKUP('18.04'!P89,'18.04'!$AM$4:$AO$55,2,FALSE))*IF('18.04'!$AK89="是",'18.04'!$AZ$4,'18.04'!$AZ$3))</f>
        <v>0</v>
      </c>
      <c r="I89" s="4">
        <f>IF(ISNUMBER(SEARCH("营",'18.04'!Q89)),(-$Y89+50*IF('18.04'!$AK89="是",'18.04'!$AZ$4,'18.04'!$AZ$3)),(VLOOKUP('18.04'!Q89,'18.04'!$AM$4:$AO$55,2,FALSE))*IF('18.04'!$AK89="是",'18.04'!$AZ$4,'18.04'!$AZ$3))</f>
        <v>0</v>
      </c>
      <c r="J89" s="4">
        <f>IF(ISNUMBER(SEARCH("营",'18.04'!R89)),(-$Y89+50*IF('18.04'!$AK89="是",'18.04'!$AZ$4,'18.04'!$AZ$3)),(VLOOKUP('18.04'!R89,'18.04'!$AM$4:$AO$55,2,FALSE))*IF('18.04'!$AK89="是",'18.04'!$AZ$4,'18.04'!$AZ$3))</f>
        <v>0</v>
      </c>
      <c r="K89" s="4">
        <f>IF(ISNUMBER(SEARCH("营",'18.04'!S89)),(-$Y89+50*IF('18.04'!$AK89="是",'18.04'!$AZ$4,'18.04'!$AZ$3)),(VLOOKUP('18.04'!S89,'18.04'!$AM$4:$AO$55,2,FALSE))*IF('18.04'!$AK89="是",'18.04'!$AZ$4,'18.04'!$AZ$3))</f>
        <v>0</v>
      </c>
      <c r="L89" s="4">
        <f>IF(ISNUMBER(SEARCH("营",'18.04'!T89)),(-$Y89+50*IF('18.04'!$AK89="是",'18.04'!$AZ$4,'18.04'!$AZ$3)),(VLOOKUP('18.04'!T89,'18.04'!$AM$4:$AO$55,2,FALSE))*IF('18.04'!$AK89="是",'18.04'!$AZ$4,'18.04'!$AZ$3))</f>
        <v>0</v>
      </c>
      <c r="M89" s="4">
        <f>IF(ISNUMBER(SEARCH("营",'18.04'!U89)),(-$Y89+50*IF('18.04'!$AK89="是",'18.04'!$AZ$4,'18.04'!$AZ$3)),(VLOOKUP('18.04'!U89,'18.04'!$AM$4:$AO$55,2,FALSE))*IF('18.04'!$AK89="是",'18.04'!$AZ$4,'18.04'!$AZ$3))</f>
        <v>0</v>
      </c>
      <c r="N89" s="4">
        <f>IF(ISNUMBER(SEARCH("营",'18.04'!V89)),(-$Y89+50*IF('18.04'!$AK89="是",'18.04'!$AZ$4,'18.04'!$AZ$3)),(VLOOKUP('18.04'!V89,'18.04'!$AM$4:$AO$55,2,FALSE))*IF('18.04'!$AK89="是",'18.04'!$AZ$4,'18.04'!$AZ$3))</f>
        <v>0</v>
      </c>
      <c r="O89" s="4">
        <f>IF(ISNUMBER(SEARCH("营",'18.04'!W89)),(-$Y89+50*IF('18.04'!$AK89="是",'18.04'!$AZ$4,'18.04'!$AZ$3)),(VLOOKUP('18.04'!W89,'18.04'!$AM$4:$AO$55,2,FALSE))*IF('18.04'!$AK89="是",'18.04'!$AZ$4,'18.04'!$AZ$3))</f>
        <v>0</v>
      </c>
      <c r="P89" s="4">
        <f>IF(ISNUMBER(SEARCH("营",'18.04'!X89)),(-$Y89+50*IF('18.04'!$AK89="是",'18.04'!$AZ$4,'18.04'!$AZ$3)),(VLOOKUP('18.04'!X89,'18.04'!$AM$4:$AO$55,2,FALSE))*IF('18.04'!$AK89="是",'18.04'!$AZ$4,'18.04'!$AZ$3))</f>
        <v>0</v>
      </c>
      <c r="Q89" s="4">
        <f>IF(ISNUMBER(SEARCH("营",'18.04'!Y89)),(-$Y89+50*IF('18.04'!$AK89="是",'18.04'!$AZ$4,'18.04'!$AZ$3)),(VLOOKUP('18.04'!Y89,'18.04'!$AM$4:$AO$55,2,FALSE))*IF('18.04'!$AK89="是",'18.04'!$AZ$4,'18.04'!$AZ$3))</f>
        <v>0</v>
      </c>
      <c r="R89" s="4">
        <f>IF(ISNUMBER(SEARCH("营",'18.04'!Z89)),(-$Y89+50*IF('18.04'!$AK89="是",'18.04'!$AZ$4,'18.04'!$AZ$3)),(VLOOKUP('18.04'!Z89,'18.04'!$AM$4:$AO$55,2,FALSE))*IF('18.04'!$AK89="是",'18.04'!$AZ$4,'18.04'!$AZ$3))</f>
        <v>0</v>
      </c>
      <c r="S89" s="4">
        <f>IF(ISNUMBER(SEARCH("营",'18.04'!AA89)),(-$Y89+50*IF('18.04'!$AK89="是",'18.04'!$AZ$4,'18.04'!$AZ$3)),(VLOOKUP('18.04'!AA89,'18.04'!$AM$4:$AO$55,2,FALSE))*IF('18.04'!$AK89="是",'18.04'!$AZ$4,'18.04'!$AZ$3))</f>
        <v>0</v>
      </c>
      <c r="T89" s="4">
        <f>IF(ISNUMBER(SEARCH("营",'18.04'!AB89)),(-$Y89+50*IF('18.04'!$AK89="是",'18.04'!$AZ$4,'18.04'!$AZ$3)),(VLOOKUP('18.04'!AB89,'18.04'!$AM$4:$AO$55,2,FALSE))*IF('18.04'!$AK89="是",'18.04'!$AZ$4,'18.04'!$AZ$3))</f>
        <v>0</v>
      </c>
      <c r="U89" s="4">
        <f>IF(ISNUMBER(SEARCH("营",'18.04'!AC89)),(-$Y89+50*IF('18.04'!$AK89="是",'18.04'!$AZ$4,'18.04'!$AZ$3)),(VLOOKUP('18.04'!AC89,'18.04'!$AM$4:$AO$55,2,FALSE))*IF('18.04'!$AK89="是",'18.04'!$AZ$4,'18.04'!$AZ$3))</f>
        <v>0</v>
      </c>
      <c r="V89" s="4">
        <f>IF(ISNUMBER(SEARCH("营",'18.04'!AD89)),(-$Y89+50*IF('18.04'!$AK89="是",'18.04'!$AZ$4,'18.04'!$AZ$3)),(VLOOKUP('18.04'!AD89,'18.04'!$AM$4:$AO$55,2,FALSE))*IF('18.04'!$AK89="是",'18.04'!$AZ$4,'18.04'!$AZ$3))</f>
        <v>0</v>
      </c>
      <c r="W89" s="4">
        <f>IF(ISNUMBER(SEARCH("营",'18.04'!AE89)),(-$Y89+50*IF('18.04'!$AK89="是",'18.04'!$AZ$4,'18.04'!$AZ$3)),(VLOOKUP('18.04'!AE89,'18.04'!$AM$4:$AO$55,2,FALSE))*IF('18.04'!$AK89="是",'18.04'!$AZ$4,'18.04'!$AZ$3))</f>
        <v>0</v>
      </c>
      <c r="X89" s="4">
        <f>IF(ISNUMBER(SEARCH("营",'18.04'!AF89)),(-$Y89+50*IF('18.04'!$AK89="是",'18.04'!$AZ$4,'18.04'!$AZ$3)),(VLOOKUP('18.04'!AF89,'18.04'!$AM$4:$AO$55,2,FALSE))*IF('18.04'!$AK89="是",'18.04'!$AZ$4,'18.04'!$AZ$3))</f>
        <v>0</v>
      </c>
      <c r="Y89" s="78">
        <v>100</v>
      </c>
      <c r="Z89" s="90">
        <v>45724</v>
      </c>
    </row>
    <row r="90" spans="1:26">
      <c r="A90" s="4">
        <f>IF(ISNUMBER(SEARCH("营",'18.04'!I90)),(-$Y90+50*IF('18.04'!$AK90="是",'18.04'!$AZ$4,'18.04'!$AZ$3)),(VLOOKUP('18.04'!I90,'18.04'!$AM$4:$AO$55,2,FALSE))*IF('18.04'!$AK90="是",'18.04'!$AZ$4,'18.04'!$AZ$3))</f>
        <v>0</v>
      </c>
      <c r="B90" s="4">
        <f>IF(ISNUMBER(SEARCH("营",'18.04'!J90)),(-$Y90+50*IF('18.04'!$AK90="是",'18.04'!$AZ$4,'18.04'!$AZ$3)),(VLOOKUP('18.04'!J90,'18.04'!$AM$4:$AO$55,2,FALSE))*IF('18.04'!$AK90="是",'18.04'!$AZ$4,'18.04'!$AZ$3))</f>
        <v>0</v>
      </c>
      <c r="C90" s="4">
        <f>IF(ISNUMBER(SEARCH("营",'18.04'!K90)),(-$Y90+50*IF('18.04'!$AK90="是",'18.04'!$AZ$4,'18.04'!$AZ$3)),(VLOOKUP('18.04'!K90,'18.04'!$AM$4:$AO$55,2,FALSE))*IF('18.04'!$AK90="是",'18.04'!$AZ$4,'18.04'!$AZ$3))</f>
        <v>0</v>
      </c>
      <c r="D90" s="4">
        <f>IF(ISNUMBER(SEARCH("营",'18.04'!L90)),(-$Y90+50*IF('18.04'!$AK90="是",'18.04'!$AZ$4,'18.04'!$AZ$3)),(VLOOKUP('18.04'!L90,'18.04'!$AM$4:$AO$55,2,FALSE))*IF('18.04'!$AK90="是",'18.04'!$AZ$4,'18.04'!$AZ$3))</f>
        <v>0</v>
      </c>
      <c r="E90" s="4">
        <f>IF(ISNUMBER(SEARCH("营",'18.04'!M90)),(-$Y90+50*IF('18.04'!$AK90="是",'18.04'!$AZ$4,'18.04'!$AZ$3)),(VLOOKUP('18.04'!M90,'18.04'!$AM$4:$AO$55,2,FALSE))*IF('18.04'!$AK90="是",'18.04'!$AZ$4,'18.04'!$AZ$3))</f>
        <v>0</v>
      </c>
      <c r="F90" s="4">
        <f>IF(ISNUMBER(SEARCH("营",'18.04'!N90)),(-$Y90+50*IF('18.04'!$AK90="是",'18.04'!$AZ$4,'18.04'!$AZ$3)),(VLOOKUP('18.04'!N90,'18.04'!$AM$4:$AO$55,2,FALSE))*IF('18.04'!$AK90="是",'18.04'!$AZ$4,'18.04'!$AZ$3))</f>
        <v>0</v>
      </c>
      <c r="G90" s="4">
        <f>IF(ISNUMBER(SEARCH("营",'18.04'!O90)),(-$Y90+50*IF('18.04'!$AK90="是",'18.04'!$AZ$4,'18.04'!$AZ$3)),(VLOOKUP('18.04'!O90,'18.04'!$AM$4:$AO$55,2,FALSE))*IF('18.04'!$AK90="是",'18.04'!$AZ$4,'18.04'!$AZ$3))</f>
        <v>0</v>
      </c>
      <c r="H90" s="4">
        <f>IF(ISNUMBER(SEARCH("营",'18.04'!P90)),(-$Y90+50*IF('18.04'!$AK90="是",'18.04'!$AZ$4,'18.04'!$AZ$3)),(VLOOKUP('18.04'!P90,'18.04'!$AM$4:$AO$55,2,FALSE))*IF('18.04'!$AK90="是",'18.04'!$AZ$4,'18.04'!$AZ$3))</f>
        <v>0</v>
      </c>
      <c r="I90" s="4">
        <f>IF(ISNUMBER(SEARCH("营",'18.04'!Q90)),(-$Y90+50*IF('18.04'!$AK90="是",'18.04'!$AZ$4,'18.04'!$AZ$3)),(VLOOKUP('18.04'!Q90,'18.04'!$AM$4:$AO$55,2,FALSE))*IF('18.04'!$AK90="是",'18.04'!$AZ$4,'18.04'!$AZ$3))</f>
        <v>0</v>
      </c>
      <c r="J90" s="4">
        <f>IF(ISNUMBER(SEARCH("营",'18.04'!R90)),(-$Y90+50*IF('18.04'!$AK90="是",'18.04'!$AZ$4,'18.04'!$AZ$3)),(VLOOKUP('18.04'!R90,'18.04'!$AM$4:$AO$55,2,FALSE))*IF('18.04'!$AK90="是",'18.04'!$AZ$4,'18.04'!$AZ$3))</f>
        <v>0</v>
      </c>
      <c r="K90" s="4">
        <f>IF(ISNUMBER(SEARCH("营",'18.04'!S90)),(-$Y90+50*IF('18.04'!$AK90="是",'18.04'!$AZ$4,'18.04'!$AZ$3)),(VLOOKUP('18.04'!S90,'18.04'!$AM$4:$AO$55,2,FALSE))*IF('18.04'!$AK90="是",'18.04'!$AZ$4,'18.04'!$AZ$3))</f>
        <v>0</v>
      </c>
      <c r="L90" s="4">
        <f>IF(ISNUMBER(SEARCH("营",'18.04'!T90)),(-$Y90+50*IF('18.04'!$AK90="是",'18.04'!$AZ$4,'18.04'!$AZ$3)),(VLOOKUP('18.04'!T90,'18.04'!$AM$4:$AO$55,2,FALSE))*IF('18.04'!$AK90="是",'18.04'!$AZ$4,'18.04'!$AZ$3))</f>
        <v>0</v>
      </c>
      <c r="M90" s="4">
        <f>IF(ISNUMBER(SEARCH("营",'18.04'!U90)),(-$Y90+50*IF('18.04'!$AK90="是",'18.04'!$AZ$4,'18.04'!$AZ$3)),(VLOOKUP('18.04'!U90,'18.04'!$AM$4:$AO$55,2,FALSE))*IF('18.04'!$AK90="是",'18.04'!$AZ$4,'18.04'!$AZ$3))</f>
        <v>0</v>
      </c>
      <c r="N90" s="4">
        <f>IF(ISNUMBER(SEARCH("营",'18.04'!V90)),(-$Y90+50*IF('18.04'!$AK90="是",'18.04'!$AZ$4,'18.04'!$AZ$3)),(VLOOKUP('18.04'!V90,'18.04'!$AM$4:$AO$55,2,FALSE))*IF('18.04'!$AK90="是",'18.04'!$AZ$4,'18.04'!$AZ$3))</f>
        <v>0</v>
      </c>
      <c r="O90" s="4">
        <f>IF(ISNUMBER(SEARCH("营",'18.04'!W90)),(-$Y90+50*IF('18.04'!$AK90="是",'18.04'!$AZ$4,'18.04'!$AZ$3)),(VLOOKUP('18.04'!W90,'18.04'!$AM$4:$AO$55,2,FALSE))*IF('18.04'!$AK90="是",'18.04'!$AZ$4,'18.04'!$AZ$3))</f>
        <v>0</v>
      </c>
      <c r="P90" s="4">
        <f>IF(ISNUMBER(SEARCH("营",'18.04'!X90)),(-$Y90+50*IF('18.04'!$AK90="是",'18.04'!$AZ$4,'18.04'!$AZ$3)),(VLOOKUP('18.04'!X90,'18.04'!$AM$4:$AO$55,2,FALSE))*IF('18.04'!$AK90="是",'18.04'!$AZ$4,'18.04'!$AZ$3))</f>
        <v>0</v>
      </c>
      <c r="Q90" s="4">
        <f>IF(ISNUMBER(SEARCH("营",'18.04'!Y90)),(-$Y90+50*IF('18.04'!$AK90="是",'18.04'!$AZ$4,'18.04'!$AZ$3)),(VLOOKUP('18.04'!Y90,'18.04'!$AM$4:$AO$55,2,FALSE))*IF('18.04'!$AK90="是",'18.04'!$AZ$4,'18.04'!$AZ$3))</f>
        <v>0</v>
      </c>
      <c r="R90" s="4">
        <f>IF(ISNUMBER(SEARCH("营",'18.04'!Z90)),(-$Y90+50*IF('18.04'!$AK90="是",'18.04'!$AZ$4,'18.04'!$AZ$3)),(VLOOKUP('18.04'!Z90,'18.04'!$AM$4:$AO$55,2,FALSE))*IF('18.04'!$AK90="是",'18.04'!$AZ$4,'18.04'!$AZ$3))</f>
        <v>0</v>
      </c>
      <c r="S90" s="4">
        <f>IF(ISNUMBER(SEARCH("营",'18.04'!AA90)),(-$Y90+50*IF('18.04'!$AK90="是",'18.04'!$AZ$4,'18.04'!$AZ$3)),(VLOOKUP('18.04'!AA90,'18.04'!$AM$4:$AO$55,2,FALSE))*IF('18.04'!$AK90="是",'18.04'!$AZ$4,'18.04'!$AZ$3))</f>
        <v>0</v>
      </c>
      <c r="T90" s="4">
        <f>IF(ISNUMBER(SEARCH("营",'18.04'!AB90)),(-$Y90+50*IF('18.04'!$AK90="是",'18.04'!$AZ$4,'18.04'!$AZ$3)),(VLOOKUP('18.04'!AB90,'18.04'!$AM$4:$AO$55,2,FALSE))*IF('18.04'!$AK90="是",'18.04'!$AZ$4,'18.04'!$AZ$3))</f>
        <v>0</v>
      </c>
      <c r="U90" s="4">
        <f>IF(ISNUMBER(SEARCH("营",'18.04'!AC90)),(-$Y90+50*IF('18.04'!$AK90="是",'18.04'!$AZ$4,'18.04'!$AZ$3)),(VLOOKUP('18.04'!AC90,'18.04'!$AM$4:$AO$55,2,FALSE))*IF('18.04'!$AK90="是",'18.04'!$AZ$4,'18.04'!$AZ$3))</f>
        <v>0</v>
      </c>
      <c r="V90" s="4">
        <f>IF(ISNUMBER(SEARCH("营",'18.04'!AD90)),(-$Y90+50*IF('18.04'!$AK90="是",'18.04'!$AZ$4,'18.04'!$AZ$3)),(VLOOKUP('18.04'!AD90,'18.04'!$AM$4:$AO$55,2,FALSE))*IF('18.04'!$AK90="是",'18.04'!$AZ$4,'18.04'!$AZ$3))</f>
        <v>0</v>
      </c>
      <c r="W90" s="4">
        <f>IF(ISNUMBER(SEARCH("营",'18.04'!AE90)),(-$Y90+50*IF('18.04'!$AK90="是",'18.04'!$AZ$4,'18.04'!$AZ$3)),(VLOOKUP('18.04'!AE90,'18.04'!$AM$4:$AO$55,2,FALSE))*IF('18.04'!$AK90="是",'18.04'!$AZ$4,'18.04'!$AZ$3))</f>
        <v>0</v>
      </c>
      <c r="X90" s="4">
        <f>IF(ISNUMBER(SEARCH("营",'18.04'!AF90)),(-$Y90+50*IF('18.04'!$AK90="是",'18.04'!$AZ$4,'18.04'!$AZ$3)),(VLOOKUP('18.04'!AF90,'18.04'!$AM$4:$AO$55,2,FALSE))*IF('18.04'!$AK90="是",'18.04'!$AZ$4,'18.04'!$AZ$3))</f>
        <v>0</v>
      </c>
      <c r="Y90" s="78">
        <v>100</v>
      </c>
      <c r="Z90" s="90">
        <v>45725</v>
      </c>
    </row>
    <row r="91" spans="1:26">
      <c r="A91" s="4">
        <f>IF(ISNUMBER(SEARCH("营",'18.04'!I91)),(-$Y91+50*IF('18.04'!$AK91="是",'18.04'!$AZ$4,'18.04'!$AZ$3)),(VLOOKUP('18.04'!I91,'18.04'!$AM$4:$AO$55,2,FALSE))*IF('18.04'!$AK91="是",'18.04'!$AZ$4,'18.04'!$AZ$3))</f>
        <v>0</v>
      </c>
      <c r="B91" s="4">
        <f>IF(ISNUMBER(SEARCH("营",'18.04'!J91)),(-$Y91+50*IF('18.04'!$AK91="是",'18.04'!$AZ$4,'18.04'!$AZ$3)),(VLOOKUP('18.04'!J91,'18.04'!$AM$4:$AO$55,2,FALSE))*IF('18.04'!$AK91="是",'18.04'!$AZ$4,'18.04'!$AZ$3))</f>
        <v>0</v>
      </c>
      <c r="C91" s="4">
        <f>IF(ISNUMBER(SEARCH("营",'18.04'!K91)),(-$Y91+50*IF('18.04'!$AK91="是",'18.04'!$AZ$4,'18.04'!$AZ$3)),(VLOOKUP('18.04'!K91,'18.04'!$AM$4:$AO$55,2,FALSE))*IF('18.04'!$AK91="是",'18.04'!$AZ$4,'18.04'!$AZ$3))</f>
        <v>0</v>
      </c>
      <c r="D91" s="4">
        <f>IF(ISNUMBER(SEARCH("营",'18.04'!L91)),(-$Y91+50*IF('18.04'!$AK91="是",'18.04'!$AZ$4,'18.04'!$AZ$3)),(VLOOKUP('18.04'!L91,'18.04'!$AM$4:$AO$55,2,FALSE))*IF('18.04'!$AK91="是",'18.04'!$AZ$4,'18.04'!$AZ$3))</f>
        <v>0</v>
      </c>
      <c r="E91" s="4">
        <f>IF(ISNUMBER(SEARCH("营",'18.04'!M91)),(-$Y91+50*IF('18.04'!$AK91="是",'18.04'!$AZ$4,'18.04'!$AZ$3)),(VLOOKUP('18.04'!M91,'18.04'!$AM$4:$AO$55,2,FALSE))*IF('18.04'!$AK91="是",'18.04'!$AZ$4,'18.04'!$AZ$3))</f>
        <v>0</v>
      </c>
      <c r="F91" s="4">
        <f>IF(ISNUMBER(SEARCH("营",'18.04'!N91)),(-$Y91+50*IF('18.04'!$AK91="是",'18.04'!$AZ$4,'18.04'!$AZ$3)),(VLOOKUP('18.04'!N91,'18.04'!$AM$4:$AO$55,2,FALSE))*IF('18.04'!$AK91="是",'18.04'!$AZ$4,'18.04'!$AZ$3))</f>
        <v>0</v>
      </c>
      <c r="G91" s="4">
        <f>IF(ISNUMBER(SEARCH("营",'18.04'!O91)),(-$Y91+50*IF('18.04'!$AK91="是",'18.04'!$AZ$4,'18.04'!$AZ$3)),(VLOOKUP('18.04'!O91,'18.04'!$AM$4:$AO$55,2,FALSE))*IF('18.04'!$AK91="是",'18.04'!$AZ$4,'18.04'!$AZ$3))</f>
        <v>0</v>
      </c>
      <c r="H91" s="4">
        <f>IF(ISNUMBER(SEARCH("营",'18.04'!P91)),(-$Y91+50*IF('18.04'!$AK91="是",'18.04'!$AZ$4,'18.04'!$AZ$3)),(VLOOKUP('18.04'!P91,'18.04'!$AM$4:$AO$55,2,FALSE))*IF('18.04'!$AK91="是",'18.04'!$AZ$4,'18.04'!$AZ$3))</f>
        <v>0</v>
      </c>
      <c r="I91" s="4">
        <f>IF(ISNUMBER(SEARCH("营",'18.04'!Q91)),(-$Y91+50*IF('18.04'!$AK91="是",'18.04'!$AZ$4,'18.04'!$AZ$3)),(VLOOKUP('18.04'!Q91,'18.04'!$AM$4:$AO$55,2,FALSE))*IF('18.04'!$AK91="是",'18.04'!$AZ$4,'18.04'!$AZ$3))</f>
        <v>0</v>
      </c>
      <c r="J91" s="4">
        <f>IF(ISNUMBER(SEARCH("营",'18.04'!R91)),(-$Y91+50*IF('18.04'!$AK91="是",'18.04'!$AZ$4,'18.04'!$AZ$3)),(VLOOKUP('18.04'!R91,'18.04'!$AM$4:$AO$55,2,FALSE))*IF('18.04'!$AK91="是",'18.04'!$AZ$4,'18.04'!$AZ$3))</f>
        <v>0</v>
      </c>
      <c r="K91" s="4">
        <f>IF(ISNUMBER(SEARCH("营",'18.04'!S91)),(-$Y91+50*IF('18.04'!$AK91="是",'18.04'!$AZ$4,'18.04'!$AZ$3)),(VLOOKUP('18.04'!S91,'18.04'!$AM$4:$AO$55,2,FALSE))*IF('18.04'!$AK91="是",'18.04'!$AZ$4,'18.04'!$AZ$3))</f>
        <v>0</v>
      </c>
      <c r="L91" s="4">
        <f>IF(ISNUMBER(SEARCH("营",'18.04'!T91)),(-$Y91+50*IF('18.04'!$AK91="是",'18.04'!$AZ$4,'18.04'!$AZ$3)),(VLOOKUP('18.04'!T91,'18.04'!$AM$4:$AO$55,2,FALSE))*IF('18.04'!$AK91="是",'18.04'!$AZ$4,'18.04'!$AZ$3))</f>
        <v>0</v>
      </c>
      <c r="M91" s="4">
        <f>IF(ISNUMBER(SEARCH("营",'18.04'!U91)),(-$Y91+50*IF('18.04'!$AK91="是",'18.04'!$AZ$4,'18.04'!$AZ$3)),(VLOOKUP('18.04'!U91,'18.04'!$AM$4:$AO$55,2,FALSE))*IF('18.04'!$AK91="是",'18.04'!$AZ$4,'18.04'!$AZ$3))</f>
        <v>0</v>
      </c>
      <c r="N91" s="4">
        <f>IF(ISNUMBER(SEARCH("营",'18.04'!V91)),(-$Y91+50*IF('18.04'!$AK91="是",'18.04'!$AZ$4,'18.04'!$AZ$3)),(VLOOKUP('18.04'!V91,'18.04'!$AM$4:$AO$55,2,FALSE))*IF('18.04'!$AK91="是",'18.04'!$AZ$4,'18.04'!$AZ$3))</f>
        <v>0</v>
      </c>
      <c r="O91" s="4">
        <f>IF(ISNUMBER(SEARCH("营",'18.04'!W91)),(-$Y91+50*IF('18.04'!$AK91="是",'18.04'!$AZ$4,'18.04'!$AZ$3)),(VLOOKUP('18.04'!W91,'18.04'!$AM$4:$AO$55,2,FALSE))*IF('18.04'!$AK91="是",'18.04'!$AZ$4,'18.04'!$AZ$3))</f>
        <v>0</v>
      </c>
      <c r="P91" s="4">
        <f>IF(ISNUMBER(SEARCH("营",'18.04'!X91)),(-$Y91+50*IF('18.04'!$AK91="是",'18.04'!$AZ$4,'18.04'!$AZ$3)),(VLOOKUP('18.04'!X91,'18.04'!$AM$4:$AO$55,2,FALSE))*IF('18.04'!$AK91="是",'18.04'!$AZ$4,'18.04'!$AZ$3))</f>
        <v>0</v>
      </c>
      <c r="Q91" s="4">
        <f>IF(ISNUMBER(SEARCH("营",'18.04'!Y91)),(-$Y91+50*IF('18.04'!$AK91="是",'18.04'!$AZ$4,'18.04'!$AZ$3)),(VLOOKUP('18.04'!Y91,'18.04'!$AM$4:$AO$55,2,FALSE))*IF('18.04'!$AK91="是",'18.04'!$AZ$4,'18.04'!$AZ$3))</f>
        <v>0</v>
      </c>
      <c r="R91" s="4">
        <f>IF(ISNUMBER(SEARCH("营",'18.04'!Z91)),(-$Y91+50*IF('18.04'!$AK91="是",'18.04'!$AZ$4,'18.04'!$AZ$3)),(VLOOKUP('18.04'!Z91,'18.04'!$AM$4:$AO$55,2,FALSE))*IF('18.04'!$AK91="是",'18.04'!$AZ$4,'18.04'!$AZ$3))</f>
        <v>0</v>
      </c>
      <c r="S91" s="4">
        <f>IF(ISNUMBER(SEARCH("营",'18.04'!AA91)),(-$Y91+50*IF('18.04'!$AK91="是",'18.04'!$AZ$4,'18.04'!$AZ$3)),(VLOOKUP('18.04'!AA91,'18.04'!$AM$4:$AO$55,2,FALSE))*IF('18.04'!$AK91="是",'18.04'!$AZ$4,'18.04'!$AZ$3))</f>
        <v>0</v>
      </c>
      <c r="T91" s="4">
        <f>IF(ISNUMBER(SEARCH("营",'18.04'!AB91)),(-$Y91+50*IF('18.04'!$AK91="是",'18.04'!$AZ$4,'18.04'!$AZ$3)),(VLOOKUP('18.04'!AB91,'18.04'!$AM$4:$AO$55,2,FALSE))*IF('18.04'!$AK91="是",'18.04'!$AZ$4,'18.04'!$AZ$3))</f>
        <v>0</v>
      </c>
      <c r="U91" s="4">
        <f>IF(ISNUMBER(SEARCH("营",'18.04'!AC91)),(-$Y91+50*IF('18.04'!$AK91="是",'18.04'!$AZ$4,'18.04'!$AZ$3)),(VLOOKUP('18.04'!AC91,'18.04'!$AM$4:$AO$55,2,FALSE))*IF('18.04'!$AK91="是",'18.04'!$AZ$4,'18.04'!$AZ$3))</f>
        <v>0</v>
      </c>
      <c r="V91" s="4">
        <f>IF(ISNUMBER(SEARCH("营",'18.04'!AD91)),(-$Y91+50*IF('18.04'!$AK91="是",'18.04'!$AZ$4,'18.04'!$AZ$3)),(VLOOKUP('18.04'!AD91,'18.04'!$AM$4:$AO$55,2,FALSE))*IF('18.04'!$AK91="是",'18.04'!$AZ$4,'18.04'!$AZ$3))</f>
        <v>0</v>
      </c>
      <c r="W91" s="4">
        <f>IF(ISNUMBER(SEARCH("营",'18.04'!AE91)),(-$Y91+50*IF('18.04'!$AK91="是",'18.04'!$AZ$4,'18.04'!$AZ$3)),(VLOOKUP('18.04'!AE91,'18.04'!$AM$4:$AO$55,2,FALSE))*IF('18.04'!$AK91="是",'18.04'!$AZ$4,'18.04'!$AZ$3))</f>
        <v>0</v>
      </c>
      <c r="X91" s="4">
        <f>IF(ISNUMBER(SEARCH("营",'18.04'!AF91)),(-$Y91+50*IF('18.04'!$AK91="是",'18.04'!$AZ$4,'18.04'!$AZ$3)),(VLOOKUP('18.04'!AF91,'18.04'!$AM$4:$AO$55,2,FALSE))*IF('18.04'!$AK91="是",'18.04'!$AZ$4,'18.04'!$AZ$3))</f>
        <v>0</v>
      </c>
      <c r="Y91" s="78">
        <v>100</v>
      </c>
      <c r="Z91" s="90">
        <v>45726</v>
      </c>
    </row>
    <row r="92" spans="1:26">
      <c r="A92" s="4">
        <f>IF(ISNUMBER(SEARCH("营",'18.04'!I92)),(-$Y92+50*IF('18.04'!$AK92="是",'18.04'!$AZ$4,'18.04'!$AZ$3)),(VLOOKUP('18.04'!I92,'18.04'!$AM$4:$AO$55,2,FALSE))*IF('18.04'!$AK92="是",'18.04'!$AZ$4,'18.04'!$AZ$3))</f>
        <v>0</v>
      </c>
      <c r="B92" s="4">
        <f>IF(ISNUMBER(SEARCH("营",'18.04'!J92)),(-$Y92+50*IF('18.04'!$AK92="是",'18.04'!$AZ$4,'18.04'!$AZ$3)),(VLOOKUP('18.04'!J92,'18.04'!$AM$4:$AO$55,2,FALSE))*IF('18.04'!$AK92="是",'18.04'!$AZ$4,'18.04'!$AZ$3))</f>
        <v>0</v>
      </c>
      <c r="C92" s="4">
        <f>IF(ISNUMBER(SEARCH("营",'18.04'!K92)),(-$Y92+50*IF('18.04'!$AK92="是",'18.04'!$AZ$4,'18.04'!$AZ$3)),(VLOOKUP('18.04'!K92,'18.04'!$AM$4:$AO$55,2,FALSE))*IF('18.04'!$AK92="是",'18.04'!$AZ$4,'18.04'!$AZ$3))</f>
        <v>0</v>
      </c>
      <c r="D92" s="4">
        <f>IF(ISNUMBER(SEARCH("营",'18.04'!L92)),(-$Y92+50*IF('18.04'!$AK92="是",'18.04'!$AZ$4,'18.04'!$AZ$3)),(VLOOKUP('18.04'!L92,'18.04'!$AM$4:$AO$55,2,FALSE))*IF('18.04'!$AK92="是",'18.04'!$AZ$4,'18.04'!$AZ$3))</f>
        <v>0</v>
      </c>
      <c r="E92" s="4">
        <f>IF(ISNUMBER(SEARCH("营",'18.04'!M92)),(-$Y92+50*IF('18.04'!$AK92="是",'18.04'!$AZ$4,'18.04'!$AZ$3)),(VLOOKUP('18.04'!M92,'18.04'!$AM$4:$AO$55,2,FALSE))*IF('18.04'!$AK92="是",'18.04'!$AZ$4,'18.04'!$AZ$3))</f>
        <v>0</v>
      </c>
      <c r="F92" s="4">
        <f>IF(ISNUMBER(SEARCH("营",'18.04'!N92)),(-$Y92+50*IF('18.04'!$AK92="是",'18.04'!$AZ$4,'18.04'!$AZ$3)),(VLOOKUP('18.04'!N92,'18.04'!$AM$4:$AO$55,2,FALSE))*IF('18.04'!$AK92="是",'18.04'!$AZ$4,'18.04'!$AZ$3))</f>
        <v>0</v>
      </c>
      <c r="G92" s="4">
        <f>IF(ISNUMBER(SEARCH("营",'18.04'!O92)),(-$Y92+50*IF('18.04'!$AK92="是",'18.04'!$AZ$4,'18.04'!$AZ$3)),(VLOOKUP('18.04'!O92,'18.04'!$AM$4:$AO$55,2,FALSE))*IF('18.04'!$AK92="是",'18.04'!$AZ$4,'18.04'!$AZ$3))</f>
        <v>0</v>
      </c>
      <c r="H92" s="4">
        <f>IF(ISNUMBER(SEARCH("营",'18.04'!P92)),(-$Y92+50*IF('18.04'!$AK92="是",'18.04'!$AZ$4,'18.04'!$AZ$3)),(VLOOKUP('18.04'!P92,'18.04'!$AM$4:$AO$55,2,FALSE))*IF('18.04'!$AK92="是",'18.04'!$AZ$4,'18.04'!$AZ$3))</f>
        <v>0</v>
      </c>
      <c r="I92" s="4">
        <f>IF(ISNUMBER(SEARCH("营",'18.04'!Q92)),(-$Y92+50*IF('18.04'!$AK92="是",'18.04'!$AZ$4,'18.04'!$AZ$3)),(VLOOKUP('18.04'!Q92,'18.04'!$AM$4:$AO$55,2,FALSE))*IF('18.04'!$AK92="是",'18.04'!$AZ$4,'18.04'!$AZ$3))</f>
        <v>0</v>
      </c>
      <c r="J92" s="4">
        <f>IF(ISNUMBER(SEARCH("营",'18.04'!R92)),(-$Y92+50*IF('18.04'!$AK92="是",'18.04'!$AZ$4,'18.04'!$AZ$3)),(VLOOKUP('18.04'!R92,'18.04'!$AM$4:$AO$55,2,FALSE))*IF('18.04'!$AK92="是",'18.04'!$AZ$4,'18.04'!$AZ$3))</f>
        <v>0</v>
      </c>
      <c r="K92" s="4">
        <f>IF(ISNUMBER(SEARCH("营",'18.04'!S92)),(-$Y92+50*IF('18.04'!$AK92="是",'18.04'!$AZ$4,'18.04'!$AZ$3)),(VLOOKUP('18.04'!S92,'18.04'!$AM$4:$AO$55,2,FALSE))*IF('18.04'!$AK92="是",'18.04'!$AZ$4,'18.04'!$AZ$3))</f>
        <v>0</v>
      </c>
      <c r="L92" s="4">
        <f>IF(ISNUMBER(SEARCH("营",'18.04'!T92)),(-$Y92+50*IF('18.04'!$AK92="是",'18.04'!$AZ$4,'18.04'!$AZ$3)),(VLOOKUP('18.04'!T92,'18.04'!$AM$4:$AO$55,2,FALSE))*IF('18.04'!$AK92="是",'18.04'!$AZ$4,'18.04'!$AZ$3))</f>
        <v>0</v>
      </c>
      <c r="M92" s="4">
        <f>IF(ISNUMBER(SEARCH("营",'18.04'!U92)),(-$Y92+50*IF('18.04'!$AK92="是",'18.04'!$AZ$4,'18.04'!$AZ$3)),(VLOOKUP('18.04'!U92,'18.04'!$AM$4:$AO$55,2,FALSE))*IF('18.04'!$AK92="是",'18.04'!$AZ$4,'18.04'!$AZ$3))</f>
        <v>0</v>
      </c>
      <c r="N92" s="4">
        <f>IF(ISNUMBER(SEARCH("营",'18.04'!V92)),(-$Y92+50*IF('18.04'!$AK92="是",'18.04'!$AZ$4,'18.04'!$AZ$3)),(VLOOKUP('18.04'!V92,'18.04'!$AM$4:$AO$55,2,FALSE))*IF('18.04'!$AK92="是",'18.04'!$AZ$4,'18.04'!$AZ$3))</f>
        <v>0</v>
      </c>
      <c r="O92" s="4">
        <f>IF(ISNUMBER(SEARCH("营",'18.04'!W92)),(-$Y92+50*IF('18.04'!$AK92="是",'18.04'!$AZ$4,'18.04'!$AZ$3)),(VLOOKUP('18.04'!W92,'18.04'!$AM$4:$AO$55,2,FALSE))*IF('18.04'!$AK92="是",'18.04'!$AZ$4,'18.04'!$AZ$3))</f>
        <v>0</v>
      </c>
      <c r="P92" s="4">
        <f>IF(ISNUMBER(SEARCH("营",'18.04'!X92)),(-$Y92+50*IF('18.04'!$AK92="是",'18.04'!$AZ$4,'18.04'!$AZ$3)),(VLOOKUP('18.04'!X92,'18.04'!$AM$4:$AO$55,2,FALSE))*IF('18.04'!$AK92="是",'18.04'!$AZ$4,'18.04'!$AZ$3))</f>
        <v>0</v>
      </c>
      <c r="Q92" s="4">
        <f>IF(ISNUMBER(SEARCH("营",'18.04'!Y92)),(-$Y92+50*IF('18.04'!$AK92="是",'18.04'!$AZ$4,'18.04'!$AZ$3)),(VLOOKUP('18.04'!Y92,'18.04'!$AM$4:$AO$55,2,FALSE))*IF('18.04'!$AK92="是",'18.04'!$AZ$4,'18.04'!$AZ$3))</f>
        <v>0</v>
      </c>
      <c r="R92" s="4">
        <f>IF(ISNUMBER(SEARCH("营",'18.04'!Z92)),(-$Y92+50*IF('18.04'!$AK92="是",'18.04'!$AZ$4,'18.04'!$AZ$3)),(VLOOKUP('18.04'!Z92,'18.04'!$AM$4:$AO$55,2,FALSE))*IF('18.04'!$AK92="是",'18.04'!$AZ$4,'18.04'!$AZ$3))</f>
        <v>0</v>
      </c>
      <c r="S92" s="4">
        <f>IF(ISNUMBER(SEARCH("营",'18.04'!AA92)),(-$Y92+50*IF('18.04'!$AK92="是",'18.04'!$AZ$4,'18.04'!$AZ$3)),(VLOOKUP('18.04'!AA92,'18.04'!$AM$4:$AO$55,2,FALSE))*IF('18.04'!$AK92="是",'18.04'!$AZ$4,'18.04'!$AZ$3))</f>
        <v>0</v>
      </c>
      <c r="T92" s="4">
        <f>IF(ISNUMBER(SEARCH("营",'18.04'!AB92)),(-$Y92+50*IF('18.04'!$AK92="是",'18.04'!$AZ$4,'18.04'!$AZ$3)),(VLOOKUP('18.04'!AB92,'18.04'!$AM$4:$AO$55,2,FALSE))*IF('18.04'!$AK92="是",'18.04'!$AZ$4,'18.04'!$AZ$3))</f>
        <v>0</v>
      </c>
      <c r="U92" s="4">
        <f>IF(ISNUMBER(SEARCH("营",'18.04'!AC92)),(-$Y92+50*IF('18.04'!$AK92="是",'18.04'!$AZ$4,'18.04'!$AZ$3)),(VLOOKUP('18.04'!AC92,'18.04'!$AM$4:$AO$55,2,FALSE))*IF('18.04'!$AK92="是",'18.04'!$AZ$4,'18.04'!$AZ$3))</f>
        <v>0</v>
      </c>
      <c r="V92" s="4">
        <f>IF(ISNUMBER(SEARCH("营",'18.04'!AD92)),(-$Y92+50*IF('18.04'!$AK92="是",'18.04'!$AZ$4,'18.04'!$AZ$3)),(VLOOKUP('18.04'!AD92,'18.04'!$AM$4:$AO$55,2,FALSE))*IF('18.04'!$AK92="是",'18.04'!$AZ$4,'18.04'!$AZ$3))</f>
        <v>0</v>
      </c>
      <c r="W92" s="4">
        <f>IF(ISNUMBER(SEARCH("营",'18.04'!AE92)),(-$Y92+50*IF('18.04'!$AK92="是",'18.04'!$AZ$4,'18.04'!$AZ$3)),(VLOOKUP('18.04'!AE92,'18.04'!$AM$4:$AO$55,2,FALSE))*IF('18.04'!$AK92="是",'18.04'!$AZ$4,'18.04'!$AZ$3))</f>
        <v>0</v>
      </c>
      <c r="X92" s="4">
        <f>IF(ISNUMBER(SEARCH("营",'18.04'!AF92)),(-$Y92+50*IF('18.04'!$AK92="是",'18.04'!$AZ$4,'18.04'!$AZ$3)),(VLOOKUP('18.04'!AF92,'18.04'!$AM$4:$AO$55,2,FALSE))*IF('18.04'!$AK92="是",'18.04'!$AZ$4,'18.04'!$AZ$3))</f>
        <v>0</v>
      </c>
      <c r="Y92" s="78">
        <v>100</v>
      </c>
      <c r="Z92" s="90">
        <v>45727</v>
      </c>
    </row>
    <row r="93" spans="1:26">
      <c r="A93" s="4">
        <f>IF(ISNUMBER(SEARCH("营",'18.04'!I93)),(-$Y93+50*IF('18.04'!$AK93="是",'18.04'!$AZ$4,'18.04'!$AZ$3)),(VLOOKUP('18.04'!I93,'18.04'!$AM$4:$AO$55,2,FALSE))*IF('18.04'!$AK93="是",'18.04'!$AZ$4,'18.04'!$AZ$3))</f>
        <v>0</v>
      </c>
      <c r="B93" s="4">
        <f>IF(ISNUMBER(SEARCH("营",'18.04'!J93)),(-$Y93+50*IF('18.04'!$AK93="是",'18.04'!$AZ$4,'18.04'!$AZ$3)),(VLOOKUP('18.04'!J93,'18.04'!$AM$4:$AO$55,2,FALSE))*IF('18.04'!$AK93="是",'18.04'!$AZ$4,'18.04'!$AZ$3))</f>
        <v>0</v>
      </c>
      <c r="C93" s="4">
        <f>IF(ISNUMBER(SEARCH("营",'18.04'!K93)),(-$Y93+50*IF('18.04'!$AK93="是",'18.04'!$AZ$4,'18.04'!$AZ$3)),(VLOOKUP('18.04'!K93,'18.04'!$AM$4:$AO$55,2,FALSE))*IF('18.04'!$AK93="是",'18.04'!$AZ$4,'18.04'!$AZ$3))</f>
        <v>0</v>
      </c>
      <c r="D93" s="4">
        <f>IF(ISNUMBER(SEARCH("营",'18.04'!L93)),(-$Y93+50*IF('18.04'!$AK93="是",'18.04'!$AZ$4,'18.04'!$AZ$3)),(VLOOKUP('18.04'!L93,'18.04'!$AM$4:$AO$55,2,FALSE))*IF('18.04'!$AK93="是",'18.04'!$AZ$4,'18.04'!$AZ$3))</f>
        <v>0</v>
      </c>
      <c r="E93" s="4">
        <f>IF(ISNUMBER(SEARCH("营",'18.04'!M93)),(-$Y93+50*IF('18.04'!$AK93="是",'18.04'!$AZ$4,'18.04'!$AZ$3)),(VLOOKUP('18.04'!M93,'18.04'!$AM$4:$AO$55,2,FALSE))*IF('18.04'!$AK93="是",'18.04'!$AZ$4,'18.04'!$AZ$3))</f>
        <v>0</v>
      </c>
      <c r="F93" s="4">
        <f>IF(ISNUMBER(SEARCH("营",'18.04'!N93)),(-$Y93+50*IF('18.04'!$AK93="是",'18.04'!$AZ$4,'18.04'!$AZ$3)),(VLOOKUP('18.04'!N93,'18.04'!$AM$4:$AO$55,2,FALSE))*IF('18.04'!$AK93="是",'18.04'!$AZ$4,'18.04'!$AZ$3))</f>
        <v>0</v>
      </c>
      <c r="G93" s="4">
        <f>IF(ISNUMBER(SEARCH("营",'18.04'!O93)),(-$Y93+50*IF('18.04'!$AK93="是",'18.04'!$AZ$4,'18.04'!$AZ$3)),(VLOOKUP('18.04'!O93,'18.04'!$AM$4:$AO$55,2,FALSE))*IF('18.04'!$AK93="是",'18.04'!$AZ$4,'18.04'!$AZ$3))</f>
        <v>0</v>
      </c>
      <c r="H93" s="4">
        <f>IF(ISNUMBER(SEARCH("营",'18.04'!P93)),(-$Y93+50*IF('18.04'!$AK93="是",'18.04'!$AZ$4,'18.04'!$AZ$3)),(VLOOKUP('18.04'!P93,'18.04'!$AM$4:$AO$55,2,FALSE))*IF('18.04'!$AK93="是",'18.04'!$AZ$4,'18.04'!$AZ$3))</f>
        <v>0</v>
      </c>
      <c r="I93" s="4">
        <f>IF(ISNUMBER(SEARCH("营",'18.04'!Q93)),(-$Y93+50*IF('18.04'!$AK93="是",'18.04'!$AZ$4,'18.04'!$AZ$3)),(VLOOKUP('18.04'!Q93,'18.04'!$AM$4:$AO$55,2,FALSE))*IF('18.04'!$AK93="是",'18.04'!$AZ$4,'18.04'!$AZ$3))</f>
        <v>0</v>
      </c>
      <c r="J93" s="4">
        <f>IF(ISNUMBER(SEARCH("营",'18.04'!R93)),(-$Y93+50*IF('18.04'!$AK93="是",'18.04'!$AZ$4,'18.04'!$AZ$3)),(VLOOKUP('18.04'!R93,'18.04'!$AM$4:$AO$55,2,FALSE))*IF('18.04'!$AK93="是",'18.04'!$AZ$4,'18.04'!$AZ$3))</f>
        <v>0</v>
      </c>
      <c r="K93" s="4">
        <f>IF(ISNUMBER(SEARCH("营",'18.04'!S93)),(-$Y93+50*IF('18.04'!$AK93="是",'18.04'!$AZ$4,'18.04'!$AZ$3)),(VLOOKUP('18.04'!S93,'18.04'!$AM$4:$AO$55,2,FALSE))*IF('18.04'!$AK93="是",'18.04'!$AZ$4,'18.04'!$AZ$3))</f>
        <v>0</v>
      </c>
      <c r="L93" s="4">
        <f>IF(ISNUMBER(SEARCH("营",'18.04'!T93)),(-$Y93+50*IF('18.04'!$AK93="是",'18.04'!$AZ$4,'18.04'!$AZ$3)),(VLOOKUP('18.04'!T93,'18.04'!$AM$4:$AO$55,2,FALSE))*IF('18.04'!$AK93="是",'18.04'!$AZ$4,'18.04'!$AZ$3))</f>
        <v>0</v>
      </c>
      <c r="M93" s="4">
        <f>IF(ISNUMBER(SEARCH("营",'18.04'!U93)),(-$Y93+50*IF('18.04'!$AK93="是",'18.04'!$AZ$4,'18.04'!$AZ$3)),(VLOOKUP('18.04'!U93,'18.04'!$AM$4:$AO$55,2,FALSE))*IF('18.04'!$AK93="是",'18.04'!$AZ$4,'18.04'!$AZ$3))</f>
        <v>0</v>
      </c>
      <c r="N93" s="4">
        <f>IF(ISNUMBER(SEARCH("营",'18.04'!V93)),(-$Y93+50*IF('18.04'!$AK93="是",'18.04'!$AZ$4,'18.04'!$AZ$3)),(VLOOKUP('18.04'!V93,'18.04'!$AM$4:$AO$55,2,FALSE))*IF('18.04'!$AK93="是",'18.04'!$AZ$4,'18.04'!$AZ$3))</f>
        <v>0</v>
      </c>
      <c r="O93" s="4">
        <f>IF(ISNUMBER(SEARCH("营",'18.04'!W93)),(-$Y93+50*IF('18.04'!$AK93="是",'18.04'!$AZ$4,'18.04'!$AZ$3)),(VLOOKUP('18.04'!W93,'18.04'!$AM$4:$AO$55,2,FALSE))*IF('18.04'!$AK93="是",'18.04'!$AZ$4,'18.04'!$AZ$3))</f>
        <v>0</v>
      </c>
      <c r="P93" s="4">
        <f>IF(ISNUMBER(SEARCH("营",'18.04'!X93)),(-$Y93+50*IF('18.04'!$AK93="是",'18.04'!$AZ$4,'18.04'!$AZ$3)),(VLOOKUP('18.04'!X93,'18.04'!$AM$4:$AO$55,2,FALSE))*IF('18.04'!$AK93="是",'18.04'!$AZ$4,'18.04'!$AZ$3))</f>
        <v>0</v>
      </c>
      <c r="Q93" s="4">
        <f>IF(ISNUMBER(SEARCH("营",'18.04'!Y93)),(-$Y93+50*IF('18.04'!$AK93="是",'18.04'!$AZ$4,'18.04'!$AZ$3)),(VLOOKUP('18.04'!Y93,'18.04'!$AM$4:$AO$55,2,FALSE))*IF('18.04'!$AK93="是",'18.04'!$AZ$4,'18.04'!$AZ$3))</f>
        <v>0</v>
      </c>
      <c r="R93" s="4">
        <f>IF(ISNUMBER(SEARCH("营",'18.04'!Z93)),(-$Y93+50*IF('18.04'!$AK93="是",'18.04'!$AZ$4,'18.04'!$AZ$3)),(VLOOKUP('18.04'!Z93,'18.04'!$AM$4:$AO$55,2,FALSE))*IF('18.04'!$AK93="是",'18.04'!$AZ$4,'18.04'!$AZ$3))</f>
        <v>0</v>
      </c>
      <c r="S93" s="4">
        <f>IF(ISNUMBER(SEARCH("营",'18.04'!AA93)),(-$Y93+50*IF('18.04'!$AK93="是",'18.04'!$AZ$4,'18.04'!$AZ$3)),(VLOOKUP('18.04'!AA93,'18.04'!$AM$4:$AO$55,2,FALSE))*IF('18.04'!$AK93="是",'18.04'!$AZ$4,'18.04'!$AZ$3))</f>
        <v>0</v>
      </c>
      <c r="T93" s="4">
        <f>IF(ISNUMBER(SEARCH("营",'18.04'!AB93)),(-$Y93+50*IF('18.04'!$AK93="是",'18.04'!$AZ$4,'18.04'!$AZ$3)),(VLOOKUP('18.04'!AB93,'18.04'!$AM$4:$AO$55,2,FALSE))*IF('18.04'!$AK93="是",'18.04'!$AZ$4,'18.04'!$AZ$3))</f>
        <v>0</v>
      </c>
      <c r="U93" s="4">
        <f>IF(ISNUMBER(SEARCH("营",'18.04'!AC93)),(-$Y93+50*IF('18.04'!$AK93="是",'18.04'!$AZ$4,'18.04'!$AZ$3)),(VLOOKUP('18.04'!AC93,'18.04'!$AM$4:$AO$55,2,FALSE))*IF('18.04'!$AK93="是",'18.04'!$AZ$4,'18.04'!$AZ$3))</f>
        <v>0</v>
      </c>
      <c r="V93" s="4">
        <f>IF(ISNUMBER(SEARCH("营",'18.04'!AD93)),(-$Y93+50*IF('18.04'!$AK93="是",'18.04'!$AZ$4,'18.04'!$AZ$3)),(VLOOKUP('18.04'!AD93,'18.04'!$AM$4:$AO$55,2,FALSE))*IF('18.04'!$AK93="是",'18.04'!$AZ$4,'18.04'!$AZ$3))</f>
        <v>0</v>
      </c>
      <c r="W93" s="4">
        <f>IF(ISNUMBER(SEARCH("营",'18.04'!AE93)),(-$Y93+50*IF('18.04'!$AK93="是",'18.04'!$AZ$4,'18.04'!$AZ$3)),(VLOOKUP('18.04'!AE93,'18.04'!$AM$4:$AO$55,2,FALSE))*IF('18.04'!$AK93="是",'18.04'!$AZ$4,'18.04'!$AZ$3))</f>
        <v>0</v>
      </c>
      <c r="X93" s="4">
        <f>IF(ISNUMBER(SEARCH("营",'18.04'!AF93)),(-$Y93+50*IF('18.04'!$AK93="是",'18.04'!$AZ$4,'18.04'!$AZ$3)),(VLOOKUP('18.04'!AF93,'18.04'!$AM$4:$AO$55,2,FALSE))*IF('18.04'!$AK93="是",'18.04'!$AZ$4,'18.04'!$AZ$3))</f>
        <v>0</v>
      </c>
      <c r="Y93" s="78">
        <v>100</v>
      </c>
      <c r="Z93" s="90">
        <v>45728</v>
      </c>
    </row>
    <row r="94" spans="1:26">
      <c r="A94" s="4"/>
      <c r="B94" s="4"/>
      <c r="C94" s="4"/>
      <c r="D94" s="4"/>
      <c r="E94" s="4"/>
      <c r="F94" s="4"/>
      <c r="G94" s="5"/>
      <c r="H94" s="5"/>
      <c r="I94" s="4"/>
      <c r="J94" s="4"/>
      <c r="K94" s="4"/>
      <c r="L94" s="4"/>
      <c r="M94" s="4"/>
      <c r="N94" s="4"/>
      <c r="O94" s="5"/>
      <c r="P94" s="5"/>
      <c r="Q94" s="4"/>
      <c r="R94" s="4"/>
      <c r="S94" s="4"/>
      <c r="T94" s="4"/>
      <c r="U94" s="4"/>
      <c r="V94" s="4"/>
      <c r="W94" s="5"/>
      <c r="X94" s="5"/>
    </row>
  </sheetData>
  <mergeCells count="6">
    <mergeCell ref="U2:X2"/>
    <mergeCell ref="A2:B2"/>
    <mergeCell ref="E2:H2"/>
    <mergeCell ref="I2:J2"/>
    <mergeCell ref="M2:P2"/>
    <mergeCell ref="Q2:R2"/>
  </mergeCells>
  <phoneticPr fontId="1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X94"/>
  <sheetViews>
    <sheetView workbookViewId="0">
      <selection activeCell="A4" sqref="A4:X93"/>
    </sheetView>
  </sheetViews>
  <sheetFormatPr defaultColWidth="9" defaultRowHeight="15"/>
  <sheetData>
    <row r="2" spans="1:24">
      <c r="A2" s="147" t="s">
        <v>58</v>
      </c>
      <c r="B2" s="148"/>
      <c r="C2" s="1" t="s">
        <v>3</v>
      </c>
      <c r="D2" s="1">
        <f>COUNTIF(A4:H94,"&lt;&gt;空")</f>
        <v>728</v>
      </c>
      <c r="E2" s="148" t="s">
        <v>4</v>
      </c>
      <c r="F2" s="148"/>
      <c r="G2" s="148"/>
      <c r="H2" s="149"/>
      <c r="I2" s="150" t="s">
        <v>5</v>
      </c>
      <c r="J2" s="151"/>
      <c r="K2" s="6" t="s">
        <v>3</v>
      </c>
      <c r="L2" s="6">
        <f>COUNTIF(I4:P94,"&lt;&gt;空")</f>
        <v>728</v>
      </c>
      <c r="M2" s="151" t="s">
        <v>4</v>
      </c>
      <c r="N2" s="151"/>
      <c r="O2" s="151"/>
      <c r="P2" s="152"/>
      <c r="Q2" s="153" t="s">
        <v>6</v>
      </c>
      <c r="R2" s="145"/>
      <c r="S2" s="10" t="s">
        <v>7</v>
      </c>
      <c r="T2" s="9">
        <f>COUNTIF(Q4:X94,"&lt;&gt;空")</f>
        <v>728</v>
      </c>
      <c r="U2" s="145" t="s">
        <v>4</v>
      </c>
      <c r="V2" s="145"/>
      <c r="W2" s="145"/>
      <c r="X2" s="146"/>
    </row>
    <row r="3" spans="1:24">
      <c r="A3" s="2">
        <v>1</v>
      </c>
      <c r="B3" s="3">
        <v>2</v>
      </c>
      <c r="C3" s="3">
        <v>3</v>
      </c>
      <c r="D3" s="3">
        <v>4</v>
      </c>
      <c r="E3" s="3">
        <v>5</v>
      </c>
      <c r="F3" s="3">
        <v>6</v>
      </c>
      <c r="G3" s="3">
        <v>7</v>
      </c>
      <c r="H3" s="3">
        <v>8</v>
      </c>
      <c r="I3" s="7">
        <v>1</v>
      </c>
      <c r="J3" s="8">
        <v>2</v>
      </c>
      <c r="K3" s="8">
        <v>3</v>
      </c>
      <c r="L3" s="8">
        <v>4</v>
      </c>
      <c r="M3" s="8">
        <v>5</v>
      </c>
      <c r="N3" s="8">
        <v>6</v>
      </c>
      <c r="O3" s="8">
        <v>7</v>
      </c>
      <c r="P3" s="8">
        <v>8</v>
      </c>
      <c r="Q3" s="11">
        <v>1</v>
      </c>
      <c r="R3" s="12">
        <v>2</v>
      </c>
      <c r="S3" s="12">
        <v>3</v>
      </c>
      <c r="T3" s="12">
        <v>4</v>
      </c>
      <c r="U3" s="12">
        <v>5</v>
      </c>
      <c r="V3" s="12">
        <v>6</v>
      </c>
      <c r="W3" s="12">
        <v>7</v>
      </c>
      <c r="X3" s="13">
        <v>8</v>
      </c>
    </row>
    <row r="4" spans="1:24">
      <c r="A4" s="4">
        <f>(VLOOKUP('18.04'!I4,'18.04'!$AM$4:$AO$55,3,FALSE))</f>
        <v>35</v>
      </c>
      <c r="B4" s="4">
        <f>(VLOOKUP('18.04'!J4,'18.04'!$AM$4:$AO$55,3,FALSE))</f>
        <v>35</v>
      </c>
      <c r="C4" s="4">
        <f>(VLOOKUP('18.04'!K4,'18.04'!$AM$4:$AO$55,3,FALSE))</f>
        <v>35</v>
      </c>
      <c r="D4" s="4">
        <f>(VLOOKUP('18.04'!L4,'18.04'!$AM$4:$AO$55,3,FALSE))</f>
        <v>35</v>
      </c>
      <c r="E4" s="4">
        <f>(VLOOKUP('18.04'!M4,'18.04'!$AM$4:$AO$55,3,FALSE))</f>
        <v>35</v>
      </c>
      <c r="F4" s="4">
        <f>(VLOOKUP('18.04'!N4,'18.04'!$AM$4:$AO$55,3,FALSE))</f>
        <v>0</v>
      </c>
      <c r="G4" s="5">
        <f>(VLOOKUP('18.04'!O4,'18.04'!$AM$4:$AO$55,3,FALSE))</f>
        <v>0</v>
      </c>
      <c r="H4" s="5">
        <f>(VLOOKUP('18.04'!P4,'18.04'!$AM$4:$AO$55,3,FALSE))</f>
        <v>0</v>
      </c>
      <c r="I4" s="4">
        <f>(VLOOKUP('18.04'!Q4,'18.04'!$AM$4:$AO$55,3,FALSE))</f>
        <v>30</v>
      </c>
      <c r="J4" s="4">
        <f>(VLOOKUP('18.04'!R4,'18.04'!$AM$4:$AO$55,3,FALSE))</f>
        <v>35</v>
      </c>
      <c r="K4" s="4">
        <f>(VLOOKUP('18.04'!S4,'18.04'!$AM$4:$AO$55,3,FALSE))</f>
        <v>35</v>
      </c>
      <c r="L4" s="4">
        <f>(VLOOKUP('18.04'!T4,'18.04'!$AM$4:$AO$55,3,FALSE))</f>
        <v>35</v>
      </c>
      <c r="M4" s="4">
        <f>(VLOOKUP('18.04'!U4,'18.04'!$AM$4:$AO$55,3,FALSE))</f>
        <v>35</v>
      </c>
      <c r="N4" s="4">
        <f>(VLOOKUP('18.04'!V4,'18.04'!$AM$4:$AO$55,3,FALSE))</f>
        <v>35</v>
      </c>
      <c r="O4" s="5">
        <f>(VLOOKUP('18.04'!W4,'18.04'!$AM$4:$AO$55,3,FALSE))</f>
        <v>0</v>
      </c>
      <c r="P4" s="5">
        <f>(VLOOKUP('18.04'!X4,'18.04'!$AM$4:$AO$55,3,FALSE))</f>
        <v>0</v>
      </c>
      <c r="Q4" s="4">
        <f>(VLOOKUP('18.04'!Y4,'18.04'!$AM$4:$AO$55,3,FALSE))</f>
        <v>0</v>
      </c>
      <c r="R4" s="4">
        <f>(VLOOKUP('18.04'!Z4,'18.04'!$AM$4:$AO$55,3,FALSE))</f>
        <v>0</v>
      </c>
      <c r="S4" s="4">
        <f>(VLOOKUP('18.04'!AA4,'18.04'!$AM$4:$AO$55,3,FALSE))</f>
        <v>0</v>
      </c>
      <c r="T4" s="4">
        <f>(VLOOKUP('18.04'!AB4,'18.04'!$AM$4:$AO$55,3,FALSE))</f>
        <v>0</v>
      </c>
      <c r="U4" s="4">
        <f>(VLOOKUP('18.04'!AC4,'18.04'!$AM$4:$AO$55,3,FALSE))</f>
        <v>0</v>
      </c>
      <c r="V4" s="4">
        <f>(VLOOKUP('18.04'!AD4,'18.04'!$AM$4:$AO$55,3,FALSE))</f>
        <v>0</v>
      </c>
      <c r="W4" s="5">
        <f>(VLOOKUP('18.04'!AE4,'18.04'!$AM$4:$AO$55,3,FALSE))</f>
        <v>0</v>
      </c>
      <c r="X4" s="5">
        <f>(VLOOKUP('18.04'!AF4,'18.04'!$AM$4:$AO$55,3,FALSE))</f>
        <v>0</v>
      </c>
    </row>
    <row r="5" spans="1:24">
      <c r="A5" s="4">
        <f>(VLOOKUP('18.04'!I5,'18.04'!$AM$4:$AO$55,3,FALSE))</f>
        <v>0</v>
      </c>
      <c r="B5" s="4">
        <f>(VLOOKUP('18.04'!J5,'18.04'!$AM$4:$AO$55,3,FALSE))</f>
        <v>0</v>
      </c>
      <c r="C5" s="4">
        <f>(VLOOKUP('18.04'!K5,'18.04'!$AM$4:$AO$55,3,FALSE))</f>
        <v>0</v>
      </c>
      <c r="D5" s="4">
        <f>(VLOOKUP('18.04'!L5,'18.04'!$AM$4:$AO$55,3,FALSE))</f>
        <v>0</v>
      </c>
      <c r="E5" s="4">
        <f>(VLOOKUP('18.04'!M5,'18.04'!$AM$4:$AO$55,3,FALSE))</f>
        <v>0</v>
      </c>
      <c r="F5" s="4">
        <f>(VLOOKUP('18.04'!N5,'18.04'!$AM$4:$AO$55,3,FALSE))</f>
        <v>0</v>
      </c>
      <c r="G5" s="5">
        <f>(VLOOKUP('18.04'!O5,'18.04'!$AM$4:$AO$55,3,FALSE))</f>
        <v>0</v>
      </c>
      <c r="H5" s="5">
        <f>(VLOOKUP('18.04'!P5,'18.04'!$AM$4:$AO$55,3,FALSE))</f>
        <v>0</v>
      </c>
      <c r="I5" s="4">
        <f>(VLOOKUP('18.04'!Q5,'18.04'!$AM$4:$AO$55,3,FALSE))</f>
        <v>35</v>
      </c>
      <c r="J5" s="4">
        <f>(VLOOKUP('18.04'!R5,'18.04'!$AM$4:$AO$55,3,FALSE))</f>
        <v>40</v>
      </c>
      <c r="K5" s="4">
        <f>(VLOOKUP('18.04'!S5,'18.04'!$AM$4:$AO$55,3,FALSE))</f>
        <v>40</v>
      </c>
      <c r="L5" s="4">
        <f>(VLOOKUP('18.04'!T5,'18.04'!$AM$4:$AO$55,3,FALSE))</f>
        <v>40</v>
      </c>
      <c r="M5" s="4">
        <f>(VLOOKUP('18.04'!U5,'18.04'!$AM$4:$AO$55,3,FALSE))</f>
        <v>40</v>
      </c>
      <c r="N5" s="4">
        <f>(VLOOKUP('18.04'!V5,'18.04'!$AM$4:$AO$55,3,FALSE))</f>
        <v>40</v>
      </c>
      <c r="O5" s="5">
        <f>(VLOOKUP('18.04'!W5,'18.04'!$AM$4:$AO$55,3,FALSE))</f>
        <v>0</v>
      </c>
      <c r="P5" s="5">
        <f>(VLOOKUP('18.04'!X5,'18.04'!$AM$4:$AO$55,3,FALSE))</f>
        <v>0</v>
      </c>
      <c r="Q5" s="4">
        <f>(VLOOKUP('18.04'!Y5,'18.04'!$AM$4:$AO$55,3,FALSE))</f>
        <v>30</v>
      </c>
      <c r="R5" s="4">
        <f>(VLOOKUP('18.04'!Z5,'18.04'!$AM$4:$AO$55,3,FALSE))</f>
        <v>35</v>
      </c>
      <c r="S5" s="4">
        <f>(VLOOKUP('18.04'!AA5,'18.04'!$AM$4:$AO$55,3,FALSE))</f>
        <v>30</v>
      </c>
      <c r="T5" s="4">
        <f>(VLOOKUP('18.04'!AB5,'18.04'!$AM$4:$AO$55,3,FALSE))</f>
        <v>40</v>
      </c>
      <c r="U5" s="4">
        <f>(VLOOKUP('18.04'!AC5,'18.04'!$AM$4:$AO$55,3,FALSE))</f>
        <v>40</v>
      </c>
      <c r="V5" s="4">
        <f>(VLOOKUP('18.04'!AD5,'18.04'!$AM$4:$AO$55,3,FALSE))</f>
        <v>40</v>
      </c>
      <c r="W5" s="5">
        <f>(VLOOKUP('18.04'!AE5,'18.04'!$AM$4:$AO$55,3,FALSE))</f>
        <v>0</v>
      </c>
      <c r="X5" s="5">
        <f>(VLOOKUP('18.04'!AF5,'18.04'!$AM$4:$AO$55,3,FALSE))</f>
        <v>40</v>
      </c>
    </row>
    <row r="6" spans="1:24">
      <c r="A6" s="4">
        <f>(VLOOKUP('18.04'!I6,'18.04'!$AM$4:$AO$55,3,FALSE))</f>
        <v>0</v>
      </c>
      <c r="B6" s="4">
        <f>(VLOOKUP('18.04'!J6,'18.04'!$AM$4:$AO$55,3,FALSE))</f>
        <v>0</v>
      </c>
      <c r="C6" s="4">
        <f>(VLOOKUP('18.04'!K6,'18.04'!$AM$4:$AO$55,3,FALSE))</f>
        <v>0</v>
      </c>
      <c r="D6" s="4">
        <f>(VLOOKUP('18.04'!L6,'18.04'!$AM$4:$AO$55,3,FALSE))</f>
        <v>0</v>
      </c>
      <c r="E6" s="4">
        <f>(VLOOKUP('18.04'!M6,'18.04'!$AM$4:$AO$55,3,FALSE))</f>
        <v>0</v>
      </c>
      <c r="F6" s="4">
        <f>(VLOOKUP('18.04'!N6,'18.04'!$AM$4:$AO$55,3,FALSE))</f>
        <v>0</v>
      </c>
      <c r="G6" s="5">
        <f>(VLOOKUP('18.04'!O6,'18.04'!$AM$4:$AO$55,3,FALSE))</f>
        <v>0</v>
      </c>
      <c r="H6" s="5">
        <f>(VLOOKUP('18.04'!P6,'18.04'!$AM$4:$AO$55,3,FALSE))</f>
        <v>0</v>
      </c>
      <c r="I6" s="4">
        <f>(VLOOKUP('18.04'!Q6,'18.04'!$AM$4:$AO$55,3,FALSE))</f>
        <v>40</v>
      </c>
      <c r="J6" s="4">
        <f>(VLOOKUP('18.04'!R6,'18.04'!$AM$4:$AO$55,3,FALSE))</f>
        <v>30</v>
      </c>
      <c r="K6" s="4">
        <f>(VLOOKUP('18.04'!S6,'18.04'!$AM$4:$AO$55,3,FALSE))</f>
        <v>40</v>
      </c>
      <c r="L6" s="4">
        <f>(VLOOKUP('18.04'!T6,'18.04'!$AM$4:$AO$55,3,FALSE))</f>
        <v>40</v>
      </c>
      <c r="M6" s="4">
        <f>(VLOOKUP('18.04'!U6,'18.04'!$AM$4:$AO$55,3,FALSE))</f>
        <v>40</v>
      </c>
      <c r="N6" s="4">
        <f>(VLOOKUP('18.04'!V6,'18.04'!$AM$4:$AO$55,3,FALSE))</f>
        <v>40</v>
      </c>
      <c r="O6" s="5">
        <f>(VLOOKUP('18.04'!W6,'18.04'!$AM$4:$AO$55,3,FALSE))</f>
        <v>0</v>
      </c>
      <c r="P6" s="5">
        <f>(VLOOKUP('18.04'!X6,'18.04'!$AM$4:$AO$55,3,FALSE))</f>
        <v>0</v>
      </c>
      <c r="Q6" s="4">
        <f>(VLOOKUP('18.04'!Y6,'18.04'!$AM$4:$AO$55,3,FALSE))</f>
        <v>40</v>
      </c>
      <c r="R6" s="4">
        <f>(VLOOKUP('18.04'!Z6,'18.04'!$AM$4:$AO$55,3,FALSE))</f>
        <v>40</v>
      </c>
      <c r="S6" s="4">
        <f>(VLOOKUP('18.04'!AA6,'18.04'!$AM$4:$AO$55,3,FALSE))</f>
        <v>30</v>
      </c>
      <c r="T6" s="4">
        <f>(VLOOKUP('18.04'!AB6,'18.04'!$AM$4:$AO$55,3,FALSE))</f>
        <v>40</v>
      </c>
      <c r="U6" s="4">
        <f>(VLOOKUP('18.04'!AC6,'18.04'!$AM$4:$AO$55,3,FALSE))</f>
        <v>40</v>
      </c>
      <c r="V6" s="4">
        <f>(VLOOKUP('18.04'!AD6,'18.04'!$AM$4:$AO$55,3,FALSE))</f>
        <v>40</v>
      </c>
      <c r="W6" s="5">
        <f>(VLOOKUP('18.04'!AE6,'18.04'!$AM$4:$AO$55,3,FALSE))</f>
        <v>40</v>
      </c>
      <c r="X6" s="5">
        <f>(VLOOKUP('18.04'!AF6,'18.04'!$AM$4:$AO$55,3,FALSE))</f>
        <v>40</v>
      </c>
    </row>
    <row r="7" spans="1:24">
      <c r="A7" s="4">
        <f>(VLOOKUP('18.04'!I7,'18.04'!$AM$4:$AO$55,3,FALSE))</f>
        <v>0</v>
      </c>
      <c r="B7" s="4">
        <f>(VLOOKUP('18.04'!J7,'18.04'!$AM$4:$AO$55,3,FALSE))</f>
        <v>0</v>
      </c>
      <c r="C7" s="4">
        <f>(VLOOKUP('18.04'!K7,'18.04'!$AM$4:$AO$55,3,FALSE))</f>
        <v>0</v>
      </c>
      <c r="D7" s="4">
        <f>(VLOOKUP('18.04'!L7,'18.04'!$AM$4:$AO$55,3,FALSE))</f>
        <v>0</v>
      </c>
      <c r="E7" s="4">
        <f>(VLOOKUP('18.04'!M7,'18.04'!$AM$4:$AO$55,3,FALSE))</f>
        <v>0</v>
      </c>
      <c r="F7" s="4">
        <f>(VLOOKUP('18.04'!N7,'18.04'!$AM$4:$AO$55,3,FALSE))</f>
        <v>0</v>
      </c>
      <c r="G7" s="5">
        <f>(VLOOKUP('18.04'!O7,'18.04'!$AM$4:$AO$55,3,FALSE))</f>
        <v>0</v>
      </c>
      <c r="H7" s="5">
        <f>(VLOOKUP('18.04'!P7,'18.04'!$AM$4:$AO$55,3,FALSE))</f>
        <v>0</v>
      </c>
      <c r="I7" s="4">
        <f>(VLOOKUP('18.04'!Q7,'18.04'!$AM$4:$AO$55,3,FALSE))</f>
        <v>40</v>
      </c>
      <c r="J7" s="4">
        <f>(VLOOKUP('18.04'!R7,'18.04'!$AM$4:$AO$55,3,FALSE))</f>
        <v>40</v>
      </c>
      <c r="K7" s="4">
        <f>(VLOOKUP('18.04'!S7,'18.04'!$AM$4:$AO$55,3,FALSE))</f>
        <v>45</v>
      </c>
      <c r="L7" s="4">
        <f>(VLOOKUP('18.04'!T7,'18.04'!$AM$4:$AO$55,3,FALSE))</f>
        <v>45</v>
      </c>
      <c r="M7" s="4">
        <f>(VLOOKUP('18.04'!U7,'18.04'!$AM$4:$AO$55,3,FALSE))</f>
        <v>45</v>
      </c>
      <c r="N7" s="4">
        <f>(VLOOKUP('18.04'!V7,'18.04'!$AM$4:$AO$55,3,FALSE))</f>
        <v>45</v>
      </c>
      <c r="O7" s="5">
        <f>(VLOOKUP('18.04'!W7,'18.04'!$AM$4:$AO$55,3,FALSE))</f>
        <v>0</v>
      </c>
      <c r="P7" s="5">
        <f>(VLOOKUP('18.04'!X7,'18.04'!$AM$4:$AO$55,3,FALSE))</f>
        <v>0</v>
      </c>
      <c r="Q7" s="4">
        <f>(VLOOKUP('18.04'!Y7,'18.04'!$AM$4:$AO$55,3,FALSE))</f>
        <v>40</v>
      </c>
      <c r="R7" s="4">
        <f>(VLOOKUP('18.04'!Z7,'18.04'!$AM$4:$AO$55,3,FALSE))</f>
        <v>40</v>
      </c>
      <c r="S7" s="4">
        <f>(VLOOKUP('18.04'!AA7,'18.04'!$AM$4:$AO$55,3,FALSE))</f>
        <v>40</v>
      </c>
      <c r="T7" s="4">
        <f>(VLOOKUP('18.04'!AB7,'18.04'!$AM$4:$AO$55,3,FALSE))</f>
        <v>40</v>
      </c>
      <c r="U7" s="4">
        <f>(VLOOKUP('18.04'!AC7,'18.04'!$AM$4:$AO$55,3,FALSE))</f>
        <v>40</v>
      </c>
      <c r="V7" s="4">
        <f>(VLOOKUP('18.04'!AD7,'18.04'!$AM$4:$AO$55,3,FALSE))</f>
        <v>40</v>
      </c>
      <c r="W7" s="5">
        <f>(VLOOKUP('18.04'!AE7,'18.04'!$AM$4:$AO$55,3,FALSE))</f>
        <v>45</v>
      </c>
      <c r="X7" s="5">
        <f>(VLOOKUP('18.04'!AF7,'18.04'!$AM$4:$AO$55,3,FALSE))</f>
        <v>45</v>
      </c>
    </row>
    <row r="8" spans="1:24">
      <c r="A8" s="4">
        <f>(VLOOKUP('18.04'!I8,'18.04'!$AM$4:$AO$55,3,FALSE))</f>
        <v>0</v>
      </c>
      <c r="B8" s="4">
        <f>(VLOOKUP('18.04'!J8,'18.04'!$AM$4:$AO$55,3,FALSE))</f>
        <v>0</v>
      </c>
      <c r="C8" s="4">
        <f>(VLOOKUP('18.04'!K8,'18.04'!$AM$4:$AO$55,3,FALSE))</f>
        <v>0</v>
      </c>
      <c r="D8" s="4">
        <f>(VLOOKUP('18.04'!L8,'18.04'!$AM$4:$AO$55,3,FALSE))</f>
        <v>0</v>
      </c>
      <c r="E8" s="4">
        <f>(VLOOKUP('18.04'!M8,'18.04'!$AM$4:$AO$55,3,FALSE))</f>
        <v>0</v>
      </c>
      <c r="F8" s="4">
        <f>(VLOOKUP('18.04'!N8,'18.04'!$AM$4:$AO$55,3,FALSE))</f>
        <v>0</v>
      </c>
      <c r="G8" s="5">
        <f>(VLOOKUP('18.04'!O8,'18.04'!$AM$4:$AO$55,3,FALSE))</f>
        <v>0</v>
      </c>
      <c r="H8" s="5">
        <f>(VLOOKUP('18.04'!P8,'18.04'!$AM$4:$AO$55,3,FALSE))</f>
        <v>0</v>
      </c>
      <c r="I8" s="4">
        <f>(VLOOKUP('18.04'!Q8,'18.04'!$AM$4:$AO$55,3,FALSE))</f>
        <v>300</v>
      </c>
      <c r="J8" s="4">
        <f>(VLOOKUP('18.04'!R8,'18.04'!$AM$4:$AO$55,3,FALSE))</f>
        <v>45</v>
      </c>
      <c r="K8" s="4">
        <f>(VLOOKUP('18.04'!S8,'18.04'!$AM$4:$AO$55,3,FALSE))</f>
        <v>45</v>
      </c>
      <c r="L8" s="4">
        <f>(VLOOKUP('18.04'!T8,'18.04'!$AM$4:$AO$55,3,FALSE))</f>
        <v>45</v>
      </c>
      <c r="M8" s="4">
        <f>(VLOOKUP('18.04'!U8,'18.04'!$AM$4:$AO$55,3,FALSE))</f>
        <v>45</v>
      </c>
      <c r="N8" s="4">
        <f>(VLOOKUP('18.04'!V8,'18.04'!$AM$4:$AO$55,3,FALSE))</f>
        <v>45</v>
      </c>
      <c r="O8" s="5">
        <f>(VLOOKUP('18.04'!W8,'18.04'!$AM$4:$AO$55,3,FALSE))</f>
        <v>0</v>
      </c>
      <c r="P8" s="5">
        <f>(VLOOKUP('18.04'!X8,'18.04'!$AM$4:$AO$55,3,FALSE))</f>
        <v>0</v>
      </c>
      <c r="Q8" s="4">
        <f>(VLOOKUP('18.04'!Y8,'18.04'!$AM$4:$AO$55,3,FALSE))</f>
        <v>45</v>
      </c>
      <c r="R8" s="4">
        <f>(VLOOKUP('18.04'!Z8,'18.04'!$AM$4:$AO$55,3,FALSE))</f>
        <v>300</v>
      </c>
      <c r="S8" s="4">
        <f>(VLOOKUP('18.04'!AA8,'18.04'!$AM$4:$AO$55,3,FALSE))</f>
        <v>45</v>
      </c>
      <c r="T8" s="4">
        <f>(VLOOKUP('18.04'!AB8,'18.04'!$AM$4:$AO$55,3,FALSE))</f>
        <v>45</v>
      </c>
      <c r="U8" s="4">
        <f>(VLOOKUP('18.04'!AC8,'18.04'!$AM$4:$AO$55,3,FALSE))</f>
        <v>45</v>
      </c>
      <c r="V8" s="4">
        <f>(VLOOKUP('18.04'!AD8,'18.04'!$AM$4:$AO$55,3,FALSE))</f>
        <v>45</v>
      </c>
      <c r="W8" s="5">
        <f>(VLOOKUP('18.04'!AE8,'18.04'!$AM$4:$AO$55,3,FALSE))</f>
        <v>45</v>
      </c>
      <c r="X8" s="5">
        <f>(VLOOKUP('18.04'!AF8,'18.04'!$AM$4:$AO$55,3,FALSE))</f>
        <v>45</v>
      </c>
    </row>
    <row r="9" spans="1:24">
      <c r="A9" s="4">
        <f>(VLOOKUP('18.04'!I9,'18.04'!$AM$4:$AO$55,3,FALSE))</f>
        <v>0</v>
      </c>
      <c r="B9" s="4">
        <f>(VLOOKUP('18.04'!J9,'18.04'!$AM$4:$AO$55,3,FALSE))</f>
        <v>0</v>
      </c>
      <c r="C9" s="4">
        <f>(VLOOKUP('18.04'!K9,'18.04'!$AM$4:$AO$55,3,FALSE))</f>
        <v>0</v>
      </c>
      <c r="D9" s="4">
        <f>(VLOOKUP('18.04'!L9,'18.04'!$AM$4:$AO$55,3,FALSE))</f>
        <v>0</v>
      </c>
      <c r="E9" s="4">
        <f>(VLOOKUP('18.04'!M9,'18.04'!$AM$4:$AO$55,3,FALSE))</f>
        <v>0</v>
      </c>
      <c r="F9" s="4">
        <f>(VLOOKUP('18.04'!N9,'18.04'!$AM$4:$AO$55,3,FALSE))</f>
        <v>0</v>
      </c>
      <c r="G9" s="5">
        <f>(VLOOKUP('18.04'!O9,'18.04'!$AM$4:$AO$55,3,FALSE))</f>
        <v>0</v>
      </c>
      <c r="H9" s="5">
        <f>(VLOOKUP('18.04'!P9,'18.04'!$AM$4:$AO$55,3,FALSE))</f>
        <v>0</v>
      </c>
      <c r="I9" s="4">
        <f>(VLOOKUP('18.04'!Q9,'18.04'!$AM$4:$AO$55,3,FALSE))</f>
        <v>30</v>
      </c>
      <c r="J9" s="4">
        <f>(VLOOKUP('18.04'!R9,'18.04'!$AM$4:$AO$55,3,FALSE))</f>
        <v>45</v>
      </c>
      <c r="K9" s="4">
        <f>(VLOOKUP('18.04'!S9,'18.04'!$AM$4:$AO$55,3,FALSE))</f>
        <v>45</v>
      </c>
      <c r="L9" s="4">
        <f>(VLOOKUP('18.04'!T9,'18.04'!$AM$4:$AO$55,3,FALSE))</f>
        <v>45</v>
      </c>
      <c r="M9" s="4">
        <f>(VLOOKUP('18.04'!U9,'18.04'!$AM$4:$AO$55,3,FALSE))</f>
        <v>45</v>
      </c>
      <c r="N9" s="4">
        <f>(VLOOKUP('18.04'!V9,'18.04'!$AM$4:$AO$55,3,FALSE))</f>
        <v>45</v>
      </c>
      <c r="O9" s="5">
        <f>(VLOOKUP('18.04'!W9,'18.04'!$AM$4:$AO$55,3,FALSE))</f>
        <v>0</v>
      </c>
      <c r="P9" s="5">
        <f>(VLOOKUP('18.04'!X9,'18.04'!$AM$4:$AO$55,3,FALSE))</f>
        <v>0</v>
      </c>
      <c r="Q9" s="4">
        <f>(VLOOKUP('18.04'!Y9,'18.04'!$AM$4:$AO$55,3,FALSE))</f>
        <v>45</v>
      </c>
      <c r="R9" s="4">
        <f>(VLOOKUP('18.04'!Z9,'18.04'!$AM$4:$AO$55,3,FALSE))</f>
        <v>45</v>
      </c>
      <c r="S9" s="4">
        <f>(VLOOKUP('18.04'!AA9,'18.04'!$AM$4:$AO$55,3,FALSE))</f>
        <v>45</v>
      </c>
      <c r="T9" s="4">
        <f>(VLOOKUP('18.04'!AB9,'18.04'!$AM$4:$AO$55,3,FALSE))</f>
        <v>45</v>
      </c>
      <c r="U9" s="4">
        <f>(VLOOKUP('18.04'!AC9,'18.04'!$AM$4:$AO$55,3,FALSE))</f>
        <v>45</v>
      </c>
      <c r="V9" s="4">
        <f>(VLOOKUP('18.04'!AD9,'18.04'!$AM$4:$AO$55,3,FALSE))</f>
        <v>45</v>
      </c>
      <c r="W9" s="5">
        <f>(VLOOKUP('18.04'!AE9,'18.04'!$AM$4:$AO$55,3,FALSE))</f>
        <v>0</v>
      </c>
      <c r="X9" s="5">
        <f>(VLOOKUP('18.04'!AF9,'18.04'!$AM$4:$AO$55,3,FALSE))</f>
        <v>0</v>
      </c>
    </row>
    <row r="10" spans="1:24">
      <c r="A10" s="4">
        <f>(VLOOKUP('18.04'!I10,'18.04'!$AM$4:$AO$55,3,FALSE))</f>
        <v>35</v>
      </c>
      <c r="B10" s="4">
        <f>(VLOOKUP('18.04'!J10,'18.04'!$AM$4:$AO$55,3,FALSE))</f>
        <v>35</v>
      </c>
      <c r="C10" s="4">
        <f>(VLOOKUP('18.04'!K10,'18.04'!$AM$4:$AO$55,3,FALSE))</f>
        <v>35</v>
      </c>
      <c r="D10" s="4">
        <f>(VLOOKUP('18.04'!L10,'18.04'!$AM$4:$AO$55,3,FALSE))</f>
        <v>35</v>
      </c>
      <c r="E10" s="4">
        <f>(VLOOKUP('18.04'!M10,'18.04'!$AM$4:$AO$55,3,FALSE))</f>
        <v>30</v>
      </c>
      <c r="F10" s="4">
        <f>(VLOOKUP('18.04'!N10,'18.04'!$AM$4:$AO$55,3,FALSE))</f>
        <v>35</v>
      </c>
      <c r="G10" s="5">
        <f>(VLOOKUP('18.04'!O10,'18.04'!$AM$4:$AO$55,3,FALSE))</f>
        <v>35</v>
      </c>
      <c r="H10" s="5">
        <f>(VLOOKUP('18.04'!P10,'18.04'!$AM$4:$AO$55,3,FALSE))</f>
        <v>35</v>
      </c>
      <c r="I10" s="4">
        <f>(VLOOKUP('18.04'!Q10,'18.04'!$AM$4:$AO$55,3,FALSE))</f>
        <v>45</v>
      </c>
      <c r="J10" s="4">
        <f>(VLOOKUP('18.04'!R10,'18.04'!$AM$4:$AO$55,3,FALSE))</f>
        <v>45</v>
      </c>
      <c r="K10" s="4">
        <f>(VLOOKUP('18.04'!S10,'18.04'!$AM$4:$AO$55,3,FALSE))</f>
        <v>45</v>
      </c>
      <c r="L10" s="4">
        <f>(VLOOKUP('18.04'!T10,'18.04'!$AM$4:$AO$55,3,FALSE))</f>
        <v>300</v>
      </c>
      <c r="M10" s="4">
        <f>(VLOOKUP('18.04'!U10,'18.04'!$AM$4:$AO$55,3,FALSE))</f>
        <v>45</v>
      </c>
      <c r="N10" s="4">
        <f>(VLOOKUP('18.04'!V10,'18.04'!$AM$4:$AO$55,3,FALSE))</f>
        <v>45</v>
      </c>
      <c r="O10" s="5">
        <f>(VLOOKUP('18.04'!W10,'18.04'!$AM$4:$AO$55,3,FALSE))</f>
        <v>0</v>
      </c>
      <c r="P10" s="5">
        <f>(VLOOKUP('18.04'!X10,'18.04'!$AM$4:$AO$55,3,FALSE))</f>
        <v>0</v>
      </c>
      <c r="Q10" s="4">
        <f>(VLOOKUP('18.04'!Y10,'18.04'!$AM$4:$AO$55,3,FALSE))</f>
        <v>45</v>
      </c>
      <c r="R10" s="4">
        <f>(VLOOKUP('18.04'!Z10,'18.04'!$AM$4:$AO$55,3,FALSE))</f>
        <v>45</v>
      </c>
      <c r="S10" s="4">
        <f>(VLOOKUP('18.04'!AA10,'18.04'!$AM$4:$AO$55,3,FALSE))</f>
        <v>30</v>
      </c>
      <c r="T10" s="4">
        <f>(VLOOKUP('18.04'!AB10,'18.04'!$AM$4:$AO$55,3,FALSE))</f>
        <v>45</v>
      </c>
      <c r="U10" s="4">
        <f>(VLOOKUP('18.04'!AC10,'18.04'!$AM$4:$AO$55,3,FALSE))</f>
        <v>45</v>
      </c>
      <c r="V10" s="4">
        <f>(VLOOKUP('18.04'!AD10,'18.04'!$AM$4:$AO$55,3,FALSE))</f>
        <v>50</v>
      </c>
      <c r="W10" s="5">
        <f>(VLOOKUP('18.04'!AE10,'18.04'!$AM$4:$AO$55,3,FALSE))</f>
        <v>0</v>
      </c>
      <c r="X10" s="5">
        <f>(VLOOKUP('18.04'!AF10,'18.04'!$AM$4:$AO$55,3,FALSE))</f>
        <v>0</v>
      </c>
    </row>
    <row r="11" spans="1:24">
      <c r="A11" s="4">
        <f>(VLOOKUP('18.04'!I11,'18.04'!$AM$4:$AO$55,3,FALSE))</f>
        <v>35</v>
      </c>
      <c r="B11" s="4">
        <f>(VLOOKUP('18.04'!J11,'18.04'!$AM$4:$AO$55,3,FALSE))</f>
        <v>35</v>
      </c>
      <c r="C11" s="4">
        <f>(VLOOKUP('18.04'!K11,'18.04'!$AM$4:$AO$55,3,FALSE))</f>
        <v>30</v>
      </c>
      <c r="D11" s="4">
        <f>(VLOOKUP('18.04'!L11,'18.04'!$AM$4:$AO$55,3,FALSE))</f>
        <v>35</v>
      </c>
      <c r="E11" s="4">
        <f>(VLOOKUP('18.04'!M11,'18.04'!$AM$4:$AO$55,3,FALSE))</f>
        <v>35</v>
      </c>
      <c r="F11" s="4">
        <f>(VLOOKUP('18.04'!N11,'18.04'!$AM$4:$AO$55,3,FALSE))</f>
        <v>35</v>
      </c>
      <c r="G11" s="5">
        <f>(VLOOKUP('18.04'!O11,'18.04'!$AM$4:$AO$55,3,FALSE))</f>
        <v>35</v>
      </c>
      <c r="H11" s="5">
        <f>(VLOOKUP('18.04'!P11,'18.04'!$AM$4:$AO$55,3,FALSE))</f>
        <v>35</v>
      </c>
      <c r="I11" s="4">
        <f>(VLOOKUP('18.04'!Q11,'18.04'!$AM$4:$AO$55,3,FALSE))</f>
        <v>45</v>
      </c>
      <c r="J11" s="4">
        <f>(VLOOKUP('18.04'!R11,'18.04'!$AM$4:$AO$55,3,FALSE))</f>
        <v>30</v>
      </c>
      <c r="K11" s="4">
        <f>(VLOOKUP('18.04'!S11,'18.04'!$AM$4:$AO$55,3,FALSE))</f>
        <v>45</v>
      </c>
      <c r="L11" s="4">
        <f>(VLOOKUP('18.04'!T11,'18.04'!$AM$4:$AO$55,3,FALSE))</f>
        <v>45</v>
      </c>
      <c r="M11" s="4">
        <f>(VLOOKUP('18.04'!U11,'18.04'!$AM$4:$AO$55,3,FALSE))</f>
        <v>45</v>
      </c>
      <c r="N11" s="4">
        <f>(VLOOKUP('18.04'!V11,'18.04'!$AM$4:$AO$55,3,FALSE))</f>
        <v>45</v>
      </c>
      <c r="O11" s="5">
        <f>(VLOOKUP('18.04'!W11,'18.04'!$AM$4:$AO$55,3,FALSE))</f>
        <v>0</v>
      </c>
      <c r="P11" s="5">
        <f>(VLOOKUP('18.04'!X11,'18.04'!$AM$4:$AO$55,3,FALSE))</f>
        <v>0</v>
      </c>
      <c r="Q11" s="4">
        <f>(VLOOKUP('18.04'!Y11,'18.04'!$AM$4:$AO$55,3,FALSE))</f>
        <v>50</v>
      </c>
      <c r="R11" s="4">
        <f>(VLOOKUP('18.04'!Z11,'18.04'!$AM$4:$AO$55,3,FALSE))</f>
        <v>45</v>
      </c>
      <c r="S11" s="4">
        <f>(VLOOKUP('18.04'!AA11,'18.04'!$AM$4:$AO$55,3,FALSE))</f>
        <v>45</v>
      </c>
      <c r="T11" s="4">
        <f>(VLOOKUP('18.04'!AB11,'18.04'!$AM$4:$AO$55,3,FALSE))</f>
        <v>45</v>
      </c>
      <c r="U11" s="4">
        <f>(VLOOKUP('18.04'!AC11,'18.04'!$AM$4:$AO$55,3,FALSE))</f>
        <v>45</v>
      </c>
      <c r="V11" s="4">
        <f>(VLOOKUP('18.04'!AD11,'18.04'!$AM$4:$AO$55,3,FALSE))</f>
        <v>45</v>
      </c>
      <c r="W11" s="5">
        <f>(VLOOKUP('18.04'!AE11,'18.04'!$AM$4:$AO$55,3,FALSE))</f>
        <v>0</v>
      </c>
      <c r="X11" s="5">
        <f>(VLOOKUP('18.04'!AF11,'18.04'!$AM$4:$AO$55,3,FALSE))</f>
        <v>0</v>
      </c>
    </row>
    <row r="12" spans="1:24">
      <c r="A12" s="4">
        <f>(VLOOKUP('18.04'!I12,'18.04'!$AM$4:$AO$55,3,FALSE))</f>
        <v>35</v>
      </c>
      <c r="B12" s="4">
        <f>(VLOOKUP('18.04'!J12,'18.04'!$AM$4:$AO$55,3,FALSE))</f>
        <v>35</v>
      </c>
      <c r="C12" s="4">
        <f>(VLOOKUP('18.04'!K12,'18.04'!$AM$4:$AO$55,3,FALSE))</f>
        <v>30</v>
      </c>
      <c r="D12" s="4">
        <f>(VLOOKUP('18.04'!L12,'18.04'!$AM$4:$AO$55,3,FALSE))</f>
        <v>40</v>
      </c>
      <c r="E12" s="4">
        <f>(VLOOKUP('18.04'!M12,'18.04'!$AM$4:$AO$55,3,FALSE))</f>
        <v>40</v>
      </c>
      <c r="F12" s="4">
        <f>(VLOOKUP('18.04'!N12,'18.04'!$AM$4:$AO$55,3,FALSE))</f>
        <v>40</v>
      </c>
      <c r="G12" s="5">
        <f>(VLOOKUP('18.04'!O12,'18.04'!$AM$4:$AO$55,3,FALSE))</f>
        <v>0</v>
      </c>
      <c r="H12" s="5">
        <f>(VLOOKUP('18.04'!P12,'18.04'!$AM$4:$AO$55,3,FALSE))</f>
        <v>40</v>
      </c>
      <c r="I12" s="4">
        <f>(VLOOKUP('18.04'!Q12,'18.04'!$AM$4:$AO$55,3,FALSE))</f>
        <v>45</v>
      </c>
      <c r="J12" s="4">
        <f>(VLOOKUP('18.04'!R12,'18.04'!$AM$4:$AO$55,3,FALSE))</f>
        <v>45</v>
      </c>
      <c r="K12" s="4">
        <f>(VLOOKUP('18.04'!S12,'18.04'!$AM$4:$AO$55,3,FALSE))</f>
        <v>45</v>
      </c>
      <c r="L12" s="4">
        <f>(VLOOKUP('18.04'!T12,'18.04'!$AM$4:$AO$55,3,FALSE))</f>
        <v>45</v>
      </c>
      <c r="M12" s="4">
        <f>(VLOOKUP('18.04'!U12,'18.04'!$AM$4:$AO$55,3,FALSE))</f>
        <v>45</v>
      </c>
      <c r="N12" s="4">
        <f>(VLOOKUP('18.04'!V12,'18.04'!$AM$4:$AO$55,3,FALSE))</f>
        <v>45</v>
      </c>
      <c r="O12" s="5">
        <f>(VLOOKUP('18.04'!W12,'18.04'!$AM$4:$AO$55,3,FALSE))</f>
        <v>0</v>
      </c>
      <c r="P12" s="5">
        <f>(VLOOKUP('18.04'!X12,'18.04'!$AM$4:$AO$55,3,FALSE))</f>
        <v>0</v>
      </c>
      <c r="Q12" s="4">
        <f>(VLOOKUP('18.04'!Y12,'18.04'!$AM$4:$AO$55,3,FALSE))</f>
        <v>45</v>
      </c>
      <c r="R12" s="4">
        <f>(VLOOKUP('18.04'!Z12,'18.04'!$AM$4:$AO$55,3,FALSE))</f>
        <v>45</v>
      </c>
      <c r="S12" s="4">
        <f>(VLOOKUP('18.04'!AA12,'18.04'!$AM$4:$AO$55,3,FALSE))</f>
        <v>0</v>
      </c>
      <c r="T12" s="4">
        <f>(VLOOKUP('18.04'!AB12,'18.04'!$AM$4:$AO$55,3,FALSE))</f>
        <v>0</v>
      </c>
      <c r="U12" s="4">
        <f>(VLOOKUP('18.04'!AC12,'18.04'!$AM$4:$AO$55,3,FALSE))</f>
        <v>0</v>
      </c>
      <c r="V12" s="4">
        <f>(VLOOKUP('18.04'!AD12,'18.04'!$AM$4:$AO$55,3,FALSE))</f>
        <v>0</v>
      </c>
      <c r="W12" s="5">
        <f>(VLOOKUP('18.04'!AE12,'18.04'!$AM$4:$AO$55,3,FALSE))</f>
        <v>0</v>
      </c>
      <c r="X12" s="5">
        <f>(VLOOKUP('18.04'!AF12,'18.04'!$AM$4:$AO$55,3,FALSE))</f>
        <v>0</v>
      </c>
    </row>
    <row r="13" spans="1:24">
      <c r="A13" s="4">
        <f>(VLOOKUP('18.04'!I13,'18.04'!$AM$4:$AO$55,3,FALSE))</f>
        <v>520</v>
      </c>
      <c r="B13" s="4">
        <f>(VLOOKUP('18.04'!J13,'18.04'!$AM$4:$AO$55,3,FALSE))</f>
        <v>35</v>
      </c>
      <c r="C13" s="4">
        <f>(VLOOKUP('18.04'!K13,'18.04'!$AM$4:$AO$55,3,FALSE))</f>
        <v>40</v>
      </c>
      <c r="D13" s="4">
        <f>(VLOOKUP('18.04'!L13,'18.04'!$AM$4:$AO$55,3,FALSE))</f>
        <v>40</v>
      </c>
      <c r="E13" s="4">
        <f>(VLOOKUP('18.04'!M13,'18.04'!$AM$4:$AO$55,3,FALSE))</f>
        <v>40</v>
      </c>
      <c r="F13" s="4">
        <f>(VLOOKUP('18.04'!N13,'18.04'!$AM$4:$AO$55,3,FALSE))</f>
        <v>30</v>
      </c>
      <c r="G13" s="5">
        <f>(VLOOKUP('18.04'!O13,'18.04'!$AM$4:$AO$55,3,FALSE))</f>
        <v>0</v>
      </c>
      <c r="H13" s="5">
        <f>(VLOOKUP('18.04'!P13,'18.04'!$AM$4:$AO$55,3,FALSE))</f>
        <v>0</v>
      </c>
      <c r="I13" s="4">
        <f>(VLOOKUP('18.04'!Q13,'18.04'!$AM$4:$AO$55,3,FALSE))</f>
        <v>45</v>
      </c>
      <c r="J13" s="4">
        <f>(VLOOKUP('18.04'!R13,'18.04'!$AM$4:$AO$55,3,FALSE))</f>
        <v>45</v>
      </c>
      <c r="K13" s="4">
        <f>(VLOOKUP('18.04'!S13,'18.04'!$AM$4:$AO$55,3,FALSE))</f>
        <v>0</v>
      </c>
      <c r="L13" s="4">
        <f>(VLOOKUP('18.04'!T13,'18.04'!$AM$4:$AO$55,3,FALSE))</f>
        <v>45</v>
      </c>
      <c r="M13" s="4">
        <f>(VLOOKUP('18.04'!U13,'18.04'!$AM$4:$AO$55,3,FALSE))</f>
        <v>45</v>
      </c>
      <c r="N13" s="4">
        <f>(VLOOKUP('18.04'!V13,'18.04'!$AM$4:$AO$55,3,FALSE))</f>
        <v>30</v>
      </c>
      <c r="O13" s="5">
        <f>(VLOOKUP('18.04'!W13,'18.04'!$AM$4:$AO$55,3,FALSE))</f>
        <v>45</v>
      </c>
      <c r="P13" s="5">
        <f>(VLOOKUP('18.04'!X13,'18.04'!$AM$4:$AO$55,3,FALSE))</f>
        <v>45</v>
      </c>
      <c r="Q13" s="4">
        <f>(VLOOKUP('18.04'!Y13,'18.04'!$AM$4:$AO$55,3,FALSE))</f>
        <v>50</v>
      </c>
      <c r="R13" s="4">
        <f>(VLOOKUP('18.04'!Z13,'18.04'!$AM$4:$AO$55,3,FALSE))</f>
        <v>50</v>
      </c>
      <c r="S13" s="4">
        <f>(VLOOKUP('18.04'!AA13,'18.04'!$AM$4:$AO$55,3,FALSE))</f>
        <v>0</v>
      </c>
      <c r="T13" s="4">
        <f>(VLOOKUP('18.04'!AB13,'18.04'!$AM$4:$AO$55,3,FALSE))</f>
        <v>50</v>
      </c>
      <c r="U13" s="4">
        <f>(VLOOKUP('18.04'!AC13,'18.04'!$AM$4:$AO$55,3,FALSE))</f>
        <v>60</v>
      </c>
      <c r="V13" s="4">
        <f>(VLOOKUP('18.04'!AD13,'18.04'!$AM$4:$AO$55,3,FALSE))</f>
        <v>60</v>
      </c>
      <c r="W13" s="5">
        <f>(VLOOKUP('18.04'!AE13,'18.04'!$AM$4:$AO$55,3,FALSE))</f>
        <v>0</v>
      </c>
      <c r="X13" s="5">
        <f>(VLOOKUP('18.04'!AF13,'18.04'!$AM$4:$AO$55,3,FALSE))</f>
        <v>60</v>
      </c>
    </row>
    <row r="14" spans="1:24">
      <c r="A14" s="4">
        <f>(VLOOKUP('18.04'!I14,'18.04'!$AM$4:$AO$55,3,FALSE))</f>
        <v>40</v>
      </c>
      <c r="B14" s="4">
        <f>(VLOOKUP('18.04'!J14,'18.04'!$AM$4:$AO$55,3,FALSE))</f>
        <v>40</v>
      </c>
      <c r="C14" s="4">
        <f>(VLOOKUP('18.04'!K14,'18.04'!$AM$4:$AO$55,3,FALSE))</f>
        <v>40</v>
      </c>
      <c r="D14" s="4">
        <f>(VLOOKUP('18.04'!L14,'18.04'!$AM$4:$AO$55,3,FALSE))</f>
        <v>40</v>
      </c>
      <c r="E14" s="4">
        <f>(VLOOKUP('18.04'!M14,'18.04'!$AM$4:$AO$55,3,FALSE))</f>
        <v>0</v>
      </c>
      <c r="F14" s="4">
        <f>(VLOOKUP('18.04'!N14,'18.04'!$AM$4:$AO$55,3,FALSE))</f>
        <v>0</v>
      </c>
      <c r="G14" s="5">
        <f>(VLOOKUP('18.04'!O14,'18.04'!$AM$4:$AO$55,3,FALSE))</f>
        <v>0</v>
      </c>
      <c r="H14" s="5">
        <f>(VLOOKUP('18.04'!P14,'18.04'!$AM$4:$AO$55,3,FALSE))</f>
        <v>0</v>
      </c>
      <c r="I14" s="4">
        <f>(VLOOKUP('18.04'!Q14,'18.04'!$AM$4:$AO$55,3,FALSE))</f>
        <v>45</v>
      </c>
      <c r="J14" s="4">
        <f>(VLOOKUP('18.04'!R14,'18.04'!$AM$4:$AO$55,3,FALSE))</f>
        <v>50</v>
      </c>
      <c r="K14" s="4">
        <f>(VLOOKUP('18.04'!S14,'18.04'!$AM$4:$AO$55,3,FALSE))</f>
        <v>50</v>
      </c>
      <c r="L14" s="4">
        <f>(VLOOKUP('18.04'!T14,'18.04'!$AM$4:$AO$55,3,FALSE))</f>
        <v>50</v>
      </c>
      <c r="M14" s="4">
        <f>(VLOOKUP('18.04'!U14,'18.04'!$AM$4:$AO$55,3,FALSE))</f>
        <v>50</v>
      </c>
      <c r="N14" s="4">
        <f>(VLOOKUP('18.04'!V14,'18.04'!$AM$4:$AO$55,3,FALSE))</f>
        <v>55</v>
      </c>
      <c r="O14" s="5">
        <f>(VLOOKUP('18.04'!W14,'18.04'!$AM$4:$AO$55,3,FALSE))</f>
        <v>0</v>
      </c>
      <c r="P14" s="5">
        <f>(VLOOKUP('18.04'!X14,'18.04'!$AM$4:$AO$55,3,FALSE))</f>
        <v>0</v>
      </c>
      <c r="Q14" s="4">
        <f>(VLOOKUP('18.04'!Y14,'18.04'!$AM$4:$AO$55,3,FALSE))</f>
        <v>60</v>
      </c>
      <c r="R14" s="4">
        <f>(VLOOKUP('18.04'!Z14,'18.04'!$AM$4:$AO$55,3,FALSE))</f>
        <v>0</v>
      </c>
      <c r="S14" s="4">
        <f>(VLOOKUP('18.04'!AA14,'18.04'!$AM$4:$AO$55,3,FALSE))</f>
        <v>0</v>
      </c>
      <c r="T14" s="4">
        <f>(VLOOKUP('18.04'!AB14,'18.04'!$AM$4:$AO$55,3,FALSE))</f>
        <v>0</v>
      </c>
      <c r="U14" s="4">
        <f>(VLOOKUP('18.04'!AC14,'18.04'!$AM$4:$AO$55,3,FALSE))</f>
        <v>0</v>
      </c>
      <c r="V14" s="4">
        <f>(VLOOKUP('18.04'!AD14,'18.04'!$AM$4:$AO$55,3,FALSE))</f>
        <v>0</v>
      </c>
      <c r="W14" s="5">
        <f>(VLOOKUP('18.04'!AE14,'18.04'!$AM$4:$AO$55,3,FALSE))</f>
        <v>0</v>
      </c>
      <c r="X14" s="5">
        <f>(VLOOKUP('18.04'!AF14,'18.04'!$AM$4:$AO$55,3,FALSE))</f>
        <v>0</v>
      </c>
    </row>
    <row r="15" spans="1:24">
      <c r="A15" s="4">
        <f>(VLOOKUP('18.04'!I15,'18.04'!$AM$4:$AO$55,3,FALSE))</f>
        <v>40</v>
      </c>
      <c r="B15" s="4">
        <f>(VLOOKUP('18.04'!J15,'18.04'!$AM$4:$AO$55,3,FALSE))</f>
        <v>0</v>
      </c>
      <c r="C15" s="4">
        <f>(VLOOKUP('18.04'!K15,'18.04'!$AM$4:$AO$55,3,FALSE))</f>
        <v>40</v>
      </c>
      <c r="D15" s="4">
        <f>(VLOOKUP('18.04'!L15,'18.04'!$AM$4:$AO$55,3,FALSE))</f>
        <v>40</v>
      </c>
      <c r="E15" s="4">
        <f>(VLOOKUP('18.04'!M15,'18.04'!$AM$4:$AO$55,3,FALSE))</f>
        <v>40</v>
      </c>
      <c r="F15" s="4">
        <f>(VLOOKUP('18.04'!N15,'18.04'!$AM$4:$AO$55,3,FALSE))</f>
        <v>30</v>
      </c>
      <c r="G15" s="5">
        <f>(VLOOKUP('18.04'!O15,'18.04'!$AM$4:$AO$55,3,FALSE))</f>
        <v>0</v>
      </c>
      <c r="H15" s="5">
        <f>(VLOOKUP('18.04'!P15,'18.04'!$AM$4:$AO$55,3,FALSE))</f>
        <v>0</v>
      </c>
      <c r="I15" s="4">
        <f>(VLOOKUP('18.04'!Q15,'18.04'!$AM$4:$AO$55,3,FALSE))</f>
        <v>55</v>
      </c>
      <c r="J15" s="4">
        <f>(VLOOKUP('18.04'!R15,'18.04'!$AM$4:$AO$55,3,FALSE))</f>
        <v>30</v>
      </c>
      <c r="K15" s="4">
        <f>(VLOOKUP('18.04'!S15,'18.04'!$AM$4:$AO$55,3,FALSE))</f>
        <v>55</v>
      </c>
      <c r="L15" s="4">
        <f>(VLOOKUP('18.04'!T15,'18.04'!$AM$4:$AO$55,3,FALSE))</f>
        <v>55</v>
      </c>
      <c r="M15" s="4">
        <f>(VLOOKUP('18.04'!U15,'18.04'!$AM$4:$AO$55,3,FALSE))</f>
        <v>55</v>
      </c>
      <c r="N15" s="4">
        <f>(VLOOKUP('18.04'!V15,'18.04'!$AM$4:$AO$55,3,FALSE))</f>
        <v>55</v>
      </c>
      <c r="O15" s="5">
        <f>(VLOOKUP('18.04'!W15,'18.04'!$AM$4:$AO$55,3,FALSE))</f>
        <v>0</v>
      </c>
      <c r="P15" s="5">
        <f>(VLOOKUP('18.04'!X15,'18.04'!$AM$4:$AO$55,3,FALSE))</f>
        <v>55</v>
      </c>
      <c r="Q15" s="4">
        <f>(VLOOKUP('18.04'!Y15,'18.04'!$AM$4:$AO$55,3,FALSE))</f>
        <v>60</v>
      </c>
      <c r="R15" s="4">
        <f>(VLOOKUP('18.04'!Z15,'18.04'!$AM$4:$AO$55,3,FALSE))</f>
        <v>60</v>
      </c>
      <c r="S15" s="4">
        <f>(VLOOKUP('18.04'!AA15,'18.04'!$AM$4:$AO$55,3,FALSE))</f>
        <v>60</v>
      </c>
      <c r="T15" s="4">
        <f>(VLOOKUP('18.04'!AB15,'18.04'!$AM$4:$AO$55,3,FALSE))</f>
        <v>0</v>
      </c>
      <c r="U15" s="4">
        <f>(VLOOKUP('18.04'!AC15,'18.04'!$AM$4:$AO$55,3,FALSE))</f>
        <v>0</v>
      </c>
      <c r="V15" s="4">
        <f>(VLOOKUP('18.04'!AD15,'18.04'!$AM$4:$AO$55,3,FALSE))</f>
        <v>0</v>
      </c>
      <c r="W15" s="5">
        <f>(VLOOKUP('18.04'!AE15,'18.04'!$AM$4:$AO$55,3,FALSE))</f>
        <v>0</v>
      </c>
      <c r="X15" s="5">
        <f>(VLOOKUP('18.04'!AF15,'18.04'!$AM$4:$AO$55,3,FALSE))</f>
        <v>0</v>
      </c>
    </row>
    <row r="16" spans="1:24">
      <c r="A16" s="4">
        <f>(VLOOKUP('18.04'!I16,'18.04'!$AM$4:$AO$55,3,FALSE))</f>
        <v>45</v>
      </c>
      <c r="B16" s="4">
        <f>(VLOOKUP('18.04'!J16,'18.04'!$AM$4:$AO$55,3,FALSE))</f>
        <v>45</v>
      </c>
      <c r="C16" s="4">
        <f>(VLOOKUP('18.04'!K16,'18.04'!$AM$4:$AO$55,3,FALSE))</f>
        <v>50</v>
      </c>
      <c r="D16" s="4">
        <f>(VLOOKUP('18.04'!L16,'18.04'!$AM$4:$AO$55,3,FALSE))</f>
        <v>0</v>
      </c>
      <c r="E16" s="4">
        <f>(VLOOKUP('18.04'!M16,'18.04'!$AM$4:$AO$55,3,FALSE))</f>
        <v>50</v>
      </c>
      <c r="F16" s="4">
        <f>(VLOOKUP('18.04'!N16,'18.04'!$AM$4:$AO$55,3,FALSE))</f>
        <v>50</v>
      </c>
      <c r="G16" s="5">
        <f>(VLOOKUP('18.04'!O16,'18.04'!$AM$4:$AO$55,3,FALSE))</f>
        <v>50</v>
      </c>
      <c r="H16" s="5">
        <f>(VLOOKUP('18.04'!P16,'18.04'!$AM$4:$AO$55,3,FALSE))</f>
        <v>0</v>
      </c>
      <c r="I16" s="4">
        <f>(VLOOKUP('18.04'!Q16,'18.04'!$AM$4:$AO$55,3,FALSE))</f>
        <v>55</v>
      </c>
      <c r="J16" s="4">
        <f>(VLOOKUP('18.04'!R16,'18.04'!$AM$4:$AO$55,3,FALSE))</f>
        <v>55</v>
      </c>
      <c r="K16" s="4">
        <f>(VLOOKUP('18.04'!S16,'18.04'!$AM$4:$AO$55,3,FALSE))</f>
        <v>50</v>
      </c>
      <c r="L16" s="4">
        <f>(VLOOKUP('18.04'!T16,'18.04'!$AM$4:$AO$55,3,FALSE))</f>
        <v>50</v>
      </c>
      <c r="M16" s="4">
        <f>(VLOOKUP('18.04'!U16,'18.04'!$AM$4:$AO$55,3,FALSE))</f>
        <v>50</v>
      </c>
      <c r="N16" s="4">
        <f>(VLOOKUP('18.04'!V16,'18.04'!$AM$4:$AO$55,3,FALSE))</f>
        <v>50</v>
      </c>
      <c r="O16" s="5">
        <f>(VLOOKUP('18.04'!W16,'18.04'!$AM$4:$AO$55,3,FALSE))</f>
        <v>0</v>
      </c>
      <c r="P16" s="5">
        <f>(VLOOKUP('18.04'!X16,'18.04'!$AM$4:$AO$55,3,FALSE))</f>
        <v>0</v>
      </c>
      <c r="Q16" s="4">
        <f>(VLOOKUP('18.04'!Y16,'18.04'!$AM$4:$AO$55,3,FALSE))</f>
        <v>60</v>
      </c>
      <c r="R16" s="4">
        <f>(VLOOKUP('18.04'!Z16,'18.04'!$AM$4:$AO$55,3,FALSE))</f>
        <v>1000</v>
      </c>
      <c r="S16" s="4">
        <f>(VLOOKUP('18.04'!AA16,'18.04'!$AM$4:$AO$55,3,FALSE))</f>
        <v>0</v>
      </c>
      <c r="T16" s="4">
        <f>(VLOOKUP('18.04'!AB16,'18.04'!$AM$4:$AO$55,3,FALSE))</f>
        <v>0</v>
      </c>
      <c r="U16" s="4">
        <f>(VLOOKUP('18.04'!AC16,'18.04'!$AM$4:$AO$55,3,FALSE))</f>
        <v>0</v>
      </c>
      <c r="V16" s="4">
        <f>(VLOOKUP('18.04'!AD16,'18.04'!$AM$4:$AO$55,3,FALSE))</f>
        <v>0</v>
      </c>
      <c r="W16" s="5">
        <f>(VLOOKUP('18.04'!AE16,'18.04'!$AM$4:$AO$55,3,FALSE))</f>
        <v>0</v>
      </c>
      <c r="X16" s="5">
        <f>(VLOOKUP('18.04'!AF16,'18.04'!$AM$4:$AO$55,3,FALSE))</f>
        <v>0</v>
      </c>
    </row>
    <row r="17" spans="1:24">
      <c r="A17" s="4">
        <f>(VLOOKUP('18.04'!I17,'18.04'!$AM$4:$AO$55,3,FALSE))</f>
        <v>50</v>
      </c>
      <c r="B17" s="4">
        <f>(VLOOKUP('18.04'!J17,'18.04'!$AM$4:$AO$55,3,FALSE))</f>
        <v>50</v>
      </c>
      <c r="C17" s="4">
        <f>(VLOOKUP('18.04'!K17,'18.04'!$AM$4:$AO$55,3,FALSE))</f>
        <v>50</v>
      </c>
      <c r="D17" s="4">
        <f>(VLOOKUP('18.04'!L17,'18.04'!$AM$4:$AO$55,3,FALSE))</f>
        <v>50</v>
      </c>
      <c r="E17" s="4">
        <f>(VLOOKUP('18.04'!M17,'18.04'!$AM$4:$AO$55,3,FALSE))</f>
        <v>50</v>
      </c>
      <c r="F17" s="4">
        <f>(VLOOKUP('18.04'!N17,'18.04'!$AM$4:$AO$55,3,FALSE))</f>
        <v>60</v>
      </c>
      <c r="G17" s="5">
        <f>(VLOOKUP('18.04'!O17,'18.04'!$AM$4:$AO$55,3,FALSE))</f>
        <v>60</v>
      </c>
      <c r="H17" s="5">
        <f>(VLOOKUP('18.04'!P17,'18.04'!$AM$4:$AO$55,3,FALSE))</f>
        <v>0</v>
      </c>
      <c r="I17" s="4">
        <f>(VLOOKUP('18.04'!Q17,'18.04'!$AM$4:$AO$55,3,FALSE))</f>
        <v>50</v>
      </c>
      <c r="J17" s="4">
        <f>(VLOOKUP('18.04'!R17,'18.04'!$AM$4:$AO$55,3,FALSE))</f>
        <v>50</v>
      </c>
      <c r="K17" s="4">
        <f>(VLOOKUP('18.04'!S17,'18.04'!$AM$4:$AO$55,3,FALSE))</f>
        <v>50</v>
      </c>
      <c r="L17" s="4">
        <f>(VLOOKUP('18.04'!T17,'18.04'!$AM$4:$AO$55,3,FALSE))</f>
        <v>50</v>
      </c>
      <c r="M17" s="4">
        <f>(VLOOKUP('18.04'!U17,'18.04'!$AM$4:$AO$55,3,FALSE))</f>
        <v>0</v>
      </c>
      <c r="N17" s="4">
        <f>(VLOOKUP('18.04'!V17,'18.04'!$AM$4:$AO$55,3,FALSE))</f>
        <v>0</v>
      </c>
      <c r="O17" s="5">
        <f>(VLOOKUP('18.04'!W17,'18.04'!$AM$4:$AO$55,3,FALSE))</f>
        <v>0</v>
      </c>
      <c r="P17" s="5">
        <f>(VLOOKUP('18.04'!X17,'18.04'!$AM$4:$AO$55,3,FALSE))</f>
        <v>0</v>
      </c>
      <c r="Q17" s="4">
        <f>(VLOOKUP('18.04'!Y17,'18.04'!$AM$4:$AO$55,3,FALSE))</f>
        <v>60</v>
      </c>
      <c r="R17" s="4">
        <f>(VLOOKUP('18.04'!Z17,'18.04'!$AM$4:$AO$55,3,FALSE))</f>
        <v>60</v>
      </c>
      <c r="S17" s="4">
        <f>(VLOOKUP('18.04'!AA17,'18.04'!$AM$4:$AO$55,3,FALSE))</f>
        <v>50</v>
      </c>
      <c r="T17" s="4">
        <f>(VLOOKUP('18.04'!AB17,'18.04'!$AM$4:$AO$55,3,FALSE))</f>
        <v>0</v>
      </c>
      <c r="U17" s="4">
        <f>(VLOOKUP('18.04'!AC17,'18.04'!$AM$4:$AO$55,3,FALSE))</f>
        <v>0</v>
      </c>
      <c r="V17" s="4">
        <f>(VLOOKUP('18.04'!AD17,'18.04'!$AM$4:$AO$55,3,FALSE))</f>
        <v>0</v>
      </c>
      <c r="W17" s="5">
        <f>(VLOOKUP('18.04'!AE17,'18.04'!$AM$4:$AO$55,3,FALSE))</f>
        <v>0</v>
      </c>
      <c r="X17" s="5">
        <f>(VLOOKUP('18.04'!AF17,'18.04'!$AM$4:$AO$55,3,FALSE))</f>
        <v>0</v>
      </c>
    </row>
    <row r="18" spans="1:24">
      <c r="A18" s="4">
        <f>(VLOOKUP('18.04'!I18,'18.04'!$AM$4:$AO$55,3,FALSE))</f>
        <v>60</v>
      </c>
      <c r="B18" s="4">
        <f>(VLOOKUP('18.04'!J18,'18.04'!$AM$4:$AO$55,3,FALSE))</f>
        <v>60</v>
      </c>
      <c r="C18" s="4">
        <f>(VLOOKUP('18.04'!K18,'18.04'!$AM$4:$AO$55,3,FALSE))</f>
        <v>60</v>
      </c>
      <c r="D18" s="4">
        <f>(VLOOKUP('18.04'!L18,'18.04'!$AM$4:$AO$55,3,FALSE))</f>
        <v>60</v>
      </c>
      <c r="E18" s="4">
        <f>(VLOOKUP('18.04'!M18,'18.04'!$AM$4:$AO$55,3,FALSE))</f>
        <v>60</v>
      </c>
      <c r="F18" s="4">
        <f>(VLOOKUP('18.04'!N18,'18.04'!$AM$4:$AO$55,3,FALSE))</f>
        <v>60</v>
      </c>
      <c r="G18" s="5">
        <f>(VLOOKUP('18.04'!O18,'18.04'!$AM$4:$AO$55,3,FALSE))</f>
        <v>60</v>
      </c>
      <c r="H18" s="5">
        <f>(VLOOKUP('18.04'!P18,'18.04'!$AM$4:$AO$55,3,FALSE))</f>
        <v>60</v>
      </c>
      <c r="I18" s="4">
        <f>(VLOOKUP('18.04'!Q18,'18.04'!$AM$4:$AO$55,3,FALSE))</f>
        <v>0</v>
      </c>
      <c r="J18" s="4">
        <f>(VLOOKUP('18.04'!R18,'18.04'!$AM$4:$AO$55,3,FALSE))</f>
        <v>0</v>
      </c>
      <c r="K18" s="4">
        <f>(VLOOKUP('18.04'!S18,'18.04'!$AM$4:$AO$55,3,FALSE))</f>
        <v>0</v>
      </c>
      <c r="L18" s="4">
        <f>(VLOOKUP('18.04'!T18,'18.04'!$AM$4:$AO$55,3,FALSE))</f>
        <v>0</v>
      </c>
      <c r="M18" s="4">
        <f>(VLOOKUP('18.04'!U18,'18.04'!$AM$4:$AO$55,3,FALSE))</f>
        <v>0</v>
      </c>
      <c r="N18" s="4">
        <f>(VLOOKUP('18.04'!V18,'18.04'!$AM$4:$AO$55,3,FALSE))</f>
        <v>0</v>
      </c>
      <c r="O18" s="5">
        <f>(VLOOKUP('18.04'!W18,'18.04'!$AM$4:$AO$55,3,FALSE))</f>
        <v>0</v>
      </c>
      <c r="P18" s="5">
        <f>(VLOOKUP('18.04'!X18,'18.04'!$AM$4:$AO$55,3,FALSE))</f>
        <v>0</v>
      </c>
      <c r="Q18" s="4">
        <f>(VLOOKUP('18.04'!Y18,'18.04'!$AM$4:$AO$55,3,FALSE))</f>
        <v>50</v>
      </c>
      <c r="R18" s="4">
        <f>(VLOOKUP('18.04'!Z18,'18.04'!$AM$4:$AO$55,3,FALSE))</f>
        <v>0</v>
      </c>
      <c r="S18" s="4">
        <f>(VLOOKUP('18.04'!AA18,'18.04'!$AM$4:$AO$55,3,FALSE))</f>
        <v>0</v>
      </c>
      <c r="T18" s="4">
        <f>(VLOOKUP('18.04'!AB18,'18.04'!$AM$4:$AO$55,3,FALSE))</f>
        <v>0</v>
      </c>
      <c r="U18" s="4">
        <f>(VLOOKUP('18.04'!AC18,'18.04'!$AM$4:$AO$55,3,FALSE))</f>
        <v>0</v>
      </c>
      <c r="V18" s="4">
        <f>(VLOOKUP('18.04'!AD18,'18.04'!$AM$4:$AO$55,3,FALSE))</f>
        <v>0</v>
      </c>
      <c r="W18" s="5">
        <f>(VLOOKUP('18.04'!AE18,'18.04'!$AM$4:$AO$55,3,FALSE))</f>
        <v>0</v>
      </c>
      <c r="X18" s="5">
        <f>(VLOOKUP('18.04'!AF18,'18.04'!$AM$4:$AO$55,3,FALSE))</f>
        <v>0</v>
      </c>
    </row>
    <row r="19" spans="1:24">
      <c r="A19" s="4">
        <f>(VLOOKUP('18.04'!I19,'18.04'!$AM$4:$AO$55,3,FALSE))</f>
        <v>60</v>
      </c>
      <c r="B19" s="4">
        <f>(VLOOKUP('18.04'!J19,'18.04'!$AM$4:$AO$55,3,FALSE))</f>
        <v>1000</v>
      </c>
      <c r="C19" s="4">
        <f>(VLOOKUP('18.04'!K19,'18.04'!$AM$4:$AO$55,3,FALSE))</f>
        <v>60</v>
      </c>
      <c r="D19" s="4">
        <f>(VLOOKUP('18.04'!L19,'18.04'!$AM$4:$AO$55,3,FALSE))</f>
        <v>60</v>
      </c>
      <c r="E19" s="4">
        <f>(VLOOKUP('18.04'!M19,'18.04'!$AM$4:$AO$55,3,FALSE))</f>
        <v>60</v>
      </c>
      <c r="F19" s="4">
        <f>(VLOOKUP('18.04'!N19,'18.04'!$AM$4:$AO$55,3,FALSE))</f>
        <v>60</v>
      </c>
      <c r="G19" s="5">
        <f>(VLOOKUP('18.04'!O19,'18.04'!$AM$4:$AO$55,3,FALSE))</f>
        <v>0</v>
      </c>
      <c r="H19" s="5">
        <f>(VLOOKUP('18.04'!P19,'18.04'!$AM$4:$AO$55,3,FALSE))</f>
        <v>0</v>
      </c>
      <c r="I19" s="4">
        <f>(VLOOKUP('18.04'!Q19,'18.04'!$AM$4:$AO$55,3,FALSE))</f>
        <v>45</v>
      </c>
      <c r="J19" s="4">
        <f>(VLOOKUP('18.04'!R19,'18.04'!$AM$4:$AO$55,3,FALSE))</f>
        <v>45</v>
      </c>
      <c r="K19" s="4">
        <f>(VLOOKUP('18.04'!S19,'18.04'!$AM$4:$AO$55,3,FALSE))</f>
        <v>55</v>
      </c>
      <c r="L19" s="4">
        <f>(VLOOKUP('18.04'!T19,'18.04'!$AM$4:$AO$55,3,FALSE))</f>
        <v>55</v>
      </c>
      <c r="M19" s="4">
        <f>(VLOOKUP('18.04'!U19,'18.04'!$AM$4:$AO$55,3,FALSE))</f>
        <v>55</v>
      </c>
      <c r="N19" s="4">
        <f>(VLOOKUP('18.04'!V19,'18.04'!$AM$4:$AO$55,3,FALSE))</f>
        <v>520</v>
      </c>
      <c r="O19" s="5">
        <f>(VLOOKUP('18.04'!W19,'18.04'!$AM$4:$AO$55,3,FALSE))</f>
        <v>55</v>
      </c>
      <c r="P19" s="5">
        <f>(VLOOKUP('18.04'!X19,'18.04'!$AM$4:$AO$55,3,FALSE))</f>
        <v>55</v>
      </c>
      <c r="Q19" s="4">
        <f>(VLOOKUP('18.04'!Y19,'18.04'!$AM$4:$AO$55,3,FALSE))</f>
        <v>0</v>
      </c>
      <c r="R19" s="4">
        <f>(VLOOKUP('18.04'!Z19,'18.04'!$AM$4:$AO$55,3,FALSE))</f>
        <v>0</v>
      </c>
      <c r="S19" s="4">
        <f>(VLOOKUP('18.04'!AA19,'18.04'!$AM$4:$AO$55,3,FALSE))</f>
        <v>0</v>
      </c>
      <c r="T19" s="4">
        <f>(VLOOKUP('18.04'!AB19,'18.04'!$AM$4:$AO$55,3,FALSE))</f>
        <v>0</v>
      </c>
      <c r="U19" s="4">
        <f>(VLOOKUP('18.04'!AC19,'18.04'!$AM$4:$AO$55,3,FALSE))</f>
        <v>0</v>
      </c>
      <c r="V19" s="4">
        <f>(VLOOKUP('18.04'!AD19,'18.04'!$AM$4:$AO$55,3,FALSE))</f>
        <v>0</v>
      </c>
      <c r="W19" s="5">
        <f>(VLOOKUP('18.04'!AE19,'18.04'!$AM$4:$AO$55,3,FALSE))</f>
        <v>0</v>
      </c>
      <c r="X19" s="5">
        <f>(VLOOKUP('18.04'!AF19,'18.04'!$AM$4:$AO$55,3,FALSE))</f>
        <v>0</v>
      </c>
    </row>
    <row r="20" spans="1:24">
      <c r="A20" s="4">
        <f>(VLOOKUP('18.04'!I20,'18.04'!$AM$4:$AO$55,3,FALSE))</f>
        <v>60</v>
      </c>
      <c r="B20" s="4">
        <f>(VLOOKUP('18.04'!J20,'18.04'!$AM$4:$AO$55,3,FALSE))</f>
        <v>60</v>
      </c>
      <c r="C20" s="4">
        <f>(VLOOKUP('18.04'!K20,'18.04'!$AM$4:$AO$55,3,FALSE))</f>
        <v>60</v>
      </c>
      <c r="D20" s="4">
        <f>(VLOOKUP('18.04'!L20,'18.04'!$AM$4:$AO$55,3,FALSE))</f>
        <v>60</v>
      </c>
      <c r="E20" s="4">
        <f>(VLOOKUP('18.04'!M20,'18.04'!$AM$4:$AO$55,3,FALSE))</f>
        <v>60</v>
      </c>
      <c r="F20" s="4">
        <f>(VLOOKUP('18.04'!N20,'18.04'!$AM$4:$AO$55,3,FALSE))</f>
        <v>60</v>
      </c>
      <c r="G20" s="5">
        <f>(VLOOKUP('18.04'!O20,'18.04'!$AM$4:$AO$55,3,FALSE))</f>
        <v>60</v>
      </c>
      <c r="H20" s="5">
        <f>(VLOOKUP('18.04'!P20,'18.04'!$AM$4:$AO$55,3,FALSE))</f>
        <v>0</v>
      </c>
      <c r="I20" s="4">
        <f>(VLOOKUP('18.04'!Q20,'18.04'!$AM$4:$AO$55,3,FALSE))</f>
        <v>55</v>
      </c>
      <c r="J20" s="4">
        <f>(VLOOKUP('18.04'!R20,'18.04'!$AM$4:$AO$55,3,FALSE))</f>
        <v>55</v>
      </c>
      <c r="K20" s="4">
        <f>(VLOOKUP('18.04'!S20,'18.04'!$AM$4:$AO$55,3,FALSE))</f>
        <v>55</v>
      </c>
      <c r="L20" s="4">
        <f>(VLOOKUP('18.04'!T20,'18.04'!$AM$4:$AO$55,3,FALSE))</f>
        <v>55</v>
      </c>
      <c r="M20" s="4">
        <f>(VLOOKUP('18.04'!U20,'18.04'!$AM$4:$AO$55,3,FALSE))</f>
        <v>0</v>
      </c>
      <c r="N20" s="4">
        <f>(VLOOKUP('18.04'!V20,'18.04'!$AM$4:$AO$55,3,FALSE))</f>
        <v>0</v>
      </c>
      <c r="O20" s="5">
        <f>(VLOOKUP('18.04'!W20,'18.04'!$AM$4:$AO$55,3,FALSE))</f>
        <v>0</v>
      </c>
      <c r="P20" s="5">
        <f>(VLOOKUP('18.04'!X20,'18.04'!$AM$4:$AO$55,3,FALSE))</f>
        <v>0</v>
      </c>
      <c r="Q20" s="4">
        <f>(VLOOKUP('18.04'!Y20,'18.04'!$AM$4:$AO$55,3,FALSE))</f>
        <v>0</v>
      </c>
      <c r="R20" s="4">
        <f>(VLOOKUP('18.04'!Z20,'18.04'!$AM$4:$AO$55,3,FALSE))</f>
        <v>0</v>
      </c>
      <c r="S20" s="4">
        <f>(VLOOKUP('18.04'!AA20,'18.04'!$AM$4:$AO$55,3,FALSE))</f>
        <v>0</v>
      </c>
      <c r="T20" s="4">
        <f>(VLOOKUP('18.04'!AB20,'18.04'!$AM$4:$AO$55,3,FALSE))</f>
        <v>0</v>
      </c>
      <c r="U20" s="4">
        <f>(VLOOKUP('18.04'!AC20,'18.04'!$AM$4:$AO$55,3,FALSE))</f>
        <v>0</v>
      </c>
      <c r="V20" s="4">
        <f>(VLOOKUP('18.04'!AD20,'18.04'!$AM$4:$AO$55,3,FALSE))</f>
        <v>0</v>
      </c>
      <c r="W20" s="5">
        <f>(VLOOKUP('18.04'!AE20,'18.04'!$AM$4:$AO$55,3,FALSE))</f>
        <v>0</v>
      </c>
      <c r="X20" s="5">
        <f>(VLOOKUP('18.04'!AF20,'18.04'!$AM$4:$AO$55,3,FALSE))</f>
        <v>0</v>
      </c>
    </row>
    <row r="21" spans="1:24">
      <c r="A21" s="4">
        <f>(VLOOKUP('18.04'!I21,'18.04'!$AM$4:$AO$55,3,FALSE))</f>
        <v>60</v>
      </c>
      <c r="B21" s="4">
        <f>(VLOOKUP('18.04'!J21,'18.04'!$AM$4:$AO$55,3,FALSE))</f>
        <v>60</v>
      </c>
      <c r="C21" s="4">
        <f>(VLOOKUP('18.04'!K21,'18.04'!$AM$4:$AO$55,3,FALSE))</f>
        <v>60</v>
      </c>
      <c r="D21" s="4">
        <f>(VLOOKUP('18.04'!L21,'18.04'!$AM$4:$AO$55,3,FALSE))</f>
        <v>60</v>
      </c>
      <c r="E21" s="4">
        <f>(VLOOKUP('18.04'!M21,'18.04'!$AM$4:$AO$55,3,FALSE))</f>
        <v>60</v>
      </c>
      <c r="F21" s="4">
        <f>(VLOOKUP('18.04'!N21,'18.04'!$AM$4:$AO$55,3,FALSE))</f>
        <v>60</v>
      </c>
      <c r="G21" s="5">
        <f>(VLOOKUP('18.04'!O21,'18.04'!$AM$4:$AO$55,3,FALSE))</f>
        <v>60</v>
      </c>
      <c r="H21" s="5">
        <f>(VLOOKUP('18.04'!P21,'18.04'!$AM$4:$AO$55,3,FALSE))</f>
        <v>0</v>
      </c>
      <c r="I21" s="4">
        <f>(VLOOKUP('18.04'!Q21,'18.04'!$AM$4:$AO$55,3,FALSE))</f>
        <v>0</v>
      </c>
      <c r="J21" s="4">
        <f>(VLOOKUP('18.04'!R21,'18.04'!$AM$4:$AO$55,3,FALSE))</f>
        <v>0</v>
      </c>
      <c r="K21" s="4">
        <f>(VLOOKUP('18.04'!S21,'18.04'!$AM$4:$AO$55,3,FALSE))</f>
        <v>0</v>
      </c>
      <c r="L21" s="4">
        <f>(VLOOKUP('18.04'!T21,'18.04'!$AM$4:$AO$55,3,FALSE))</f>
        <v>0</v>
      </c>
      <c r="M21" s="4">
        <f>(VLOOKUP('18.04'!U21,'18.04'!$AM$4:$AO$55,3,FALSE))</f>
        <v>0</v>
      </c>
      <c r="N21" s="4">
        <f>(VLOOKUP('18.04'!V21,'18.04'!$AM$4:$AO$55,3,FALSE))</f>
        <v>0</v>
      </c>
      <c r="O21" s="5">
        <f>(VLOOKUP('18.04'!W21,'18.04'!$AM$4:$AO$55,3,FALSE))</f>
        <v>0</v>
      </c>
      <c r="P21" s="5">
        <f>(VLOOKUP('18.04'!X21,'18.04'!$AM$4:$AO$55,3,FALSE))</f>
        <v>0</v>
      </c>
      <c r="Q21" s="4">
        <f>(VLOOKUP('18.04'!Y21,'18.04'!$AM$4:$AO$55,3,FALSE))</f>
        <v>50</v>
      </c>
      <c r="R21" s="4">
        <f>(VLOOKUP('18.04'!Z21,'18.04'!$AM$4:$AO$55,3,FALSE))</f>
        <v>60</v>
      </c>
      <c r="S21" s="4">
        <f>(VLOOKUP('18.04'!AA21,'18.04'!$AM$4:$AO$55,3,FALSE))</f>
        <v>50</v>
      </c>
      <c r="T21" s="4">
        <f>(VLOOKUP('18.04'!AB21,'18.04'!$AM$4:$AO$55,3,FALSE))</f>
        <v>0</v>
      </c>
      <c r="U21" s="4">
        <f>(VLOOKUP('18.04'!AC21,'18.04'!$AM$4:$AO$55,3,FALSE))</f>
        <v>0</v>
      </c>
      <c r="V21" s="4">
        <f>(VLOOKUP('18.04'!AD21,'18.04'!$AM$4:$AO$55,3,FALSE))</f>
        <v>0</v>
      </c>
      <c r="W21" s="5">
        <f>(VLOOKUP('18.04'!AE21,'18.04'!$AM$4:$AO$55,3,FALSE))</f>
        <v>0</v>
      </c>
      <c r="X21" s="5">
        <f>(VLOOKUP('18.04'!AF21,'18.04'!$AM$4:$AO$55,3,FALSE))</f>
        <v>0</v>
      </c>
    </row>
    <row r="22" spans="1:24">
      <c r="A22" s="4">
        <f>(VLOOKUP('18.04'!I22,'18.04'!$AM$4:$AO$55,3,FALSE))</f>
        <v>45</v>
      </c>
      <c r="B22" s="4">
        <f>(VLOOKUP('18.04'!J22,'18.04'!$AM$4:$AO$55,3,FALSE))</f>
        <v>45</v>
      </c>
      <c r="C22" s="4">
        <f>(VLOOKUP('18.04'!K22,'18.04'!$AM$4:$AO$55,3,FALSE))</f>
        <v>45</v>
      </c>
      <c r="D22" s="4">
        <f>(VLOOKUP('18.04'!L22,'18.04'!$AM$4:$AO$55,3,FALSE))</f>
        <v>45</v>
      </c>
      <c r="E22" s="4">
        <f>(VLOOKUP('18.04'!M22,'18.04'!$AM$4:$AO$55,3,FALSE))</f>
        <v>45</v>
      </c>
      <c r="F22" s="4">
        <f>(VLOOKUP('18.04'!N22,'18.04'!$AM$4:$AO$55,3,FALSE))</f>
        <v>45</v>
      </c>
      <c r="G22" s="5">
        <f>(VLOOKUP('18.04'!O22,'18.04'!$AM$4:$AO$55,3,FALSE))</f>
        <v>0</v>
      </c>
      <c r="H22" s="5">
        <f>(VLOOKUP('18.04'!P22,'18.04'!$AM$4:$AO$55,3,FALSE))</f>
        <v>0</v>
      </c>
      <c r="I22" s="4">
        <f>(VLOOKUP('18.04'!Q22,'18.04'!$AM$4:$AO$55,3,FALSE))</f>
        <v>0</v>
      </c>
      <c r="J22" s="4">
        <f>(VLOOKUP('18.04'!R22,'18.04'!$AM$4:$AO$55,3,FALSE))</f>
        <v>0</v>
      </c>
      <c r="K22" s="4">
        <f>(VLOOKUP('18.04'!S22,'18.04'!$AM$4:$AO$55,3,FALSE))</f>
        <v>0</v>
      </c>
      <c r="L22" s="4">
        <f>(VLOOKUP('18.04'!T22,'18.04'!$AM$4:$AO$55,3,FALSE))</f>
        <v>0</v>
      </c>
      <c r="M22" s="4">
        <f>(VLOOKUP('18.04'!U22,'18.04'!$AM$4:$AO$55,3,FALSE))</f>
        <v>0</v>
      </c>
      <c r="N22" s="4">
        <f>(VLOOKUP('18.04'!V22,'18.04'!$AM$4:$AO$55,3,FALSE))</f>
        <v>0</v>
      </c>
      <c r="O22" s="5">
        <f>(VLOOKUP('18.04'!W22,'18.04'!$AM$4:$AO$55,3,FALSE))</f>
        <v>0</v>
      </c>
      <c r="P22" s="5">
        <f>(VLOOKUP('18.04'!X22,'18.04'!$AM$4:$AO$55,3,FALSE))</f>
        <v>0</v>
      </c>
      <c r="Q22" s="4">
        <f>(VLOOKUP('18.04'!Y22,'18.04'!$AM$4:$AO$55,3,FALSE))</f>
        <v>60</v>
      </c>
      <c r="R22" s="4">
        <f>(VLOOKUP('18.04'!Z22,'18.04'!$AM$4:$AO$55,3,FALSE))</f>
        <v>60</v>
      </c>
      <c r="S22" s="4">
        <f>(VLOOKUP('18.04'!AA22,'18.04'!$AM$4:$AO$55,3,FALSE))</f>
        <v>55</v>
      </c>
      <c r="T22" s="4">
        <f>(VLOOKUP('18.04'!AB22,'18.04'!$AM$4:$AO$55,3,FALSE))</f>
        <v>55</v>
      </c>
      <c r="U22" s="4">
        <f>(VLOOKUP('18.04'!AC22,'18.04'!$AM$4:$AO$55,3,FALSE))</f>
        <v>55</v>
      </c>
      <c r="V22" s="4">
        <f>(VLOOKUP('18.04'!AD22,'18.04'!$AM$4:$AO$55,3,FALSE))</f>
        <v>0</v>
      </c>
      <c r="W22" s="5">
        <f>(VLOOKUP('18.04'!AE22,'18.04'!$AM$4:$AO$55,3,FALSE))</f>
        <v>0</v>
      </c>
      <c r="X22" s="5">
        <f>(VLOOKUP('18.04'!AF22,'18.04'!$AM$4:$AO$55,3,FALSE))</f>
        <v>0</v>
      </c>
    </row>
    <row r="23" spans="1:24">
      <c r="A23" s="4">
        <f>(VLOOKUP('18.04'!I23,'18.04'!$AM$4:$AO$55,3,FALSE))</f>
        <v>45</v>
      </c>
      <c r="B23" s="4">
        <f>(VLOOKUP('18.04'!J23,'18.04'!$AM$4:$AO$55,3,FALSE))</f>
        <v>45</v>
      </c>
      <c r="C23" s="4">
        <f>(VLOOKUP('18.04'!K23,'18.04'!$AM$4:$AO$55,3,FALSE))</f>
        <v>45</v>
      </c>
      <c r="D23" s="4">
        <f>(VLOOKUP('18.04'!L23,'18.04'!$AM$4:$AO$55,3,FALSE))</f>
        <v>45</v>
      </c>
      <c r="E23" s="4">
        <f>(VLOOKUP('18.04'!M23,'18.04'!$AM$4:$AO$55,3,FALSE))</f>
        <v>50</v>
      </c>
      <c r="F23" s="4">
        <f>(VLOOKUP('18.04'!N23,'18.04'!$AM$4:$AO$55,3,FALSE))</f>
        <v>0</v>
      </c>
      <c r="G23" s="5">
        <f>(VLOOKUP('18.04'!O23,'18.04'!$AM$4:$AO$55,3,FALSE))</f>
        <v>0</v>
      </c>
      <c r="H23" s="5">
        <f>(VLOOKUP('18.04'!P23,'18.04'!$AM$4:$AO$55,3,FALSE))</f>
        <v>0</v>
      </c>
      <c r="I23" s="4">
        <f>(VLOOKUP('18.04'!Q23,'18.04'!$AM$4:$AO$55,3,FALSE))</f>
        <v>0</v>
      </c>
      <c r="J23" s="4">
        <f>(VLOOKUP('18.04'!R23,'18.04'!$AM$4:$AO$55,3,FALSE))</f>
        <v>0</v>
      </c>
      <c r="K23" s="4">
        <f>(VLOOKUP('18.04'!S23,'18.04'!$AM$4:$AO$55,3,FALSE))</f>
        <v>0</v>
      </c>
      <c r="L23" s="4">
        <f>(VLOOKUP('18.04'!T23,'18.04'!$AM$4:$AO$55,3,FALSE))</f>
        <v>0</v>
      </c>
      <c r="M23" s="4">
        <f>(VLOOKUP('18.04'!U23,'18.04'!$AM$4:$AO$55,3,FALSE))</f>
        <v>0</v>
      </c>
      <c r="N23" s="4">
        <f>(VLOOKUP('18.04'!V23,'18.04'!$AM$4:$AO$55,3,FALSE))</f>
        <v>0</v>
      </c>
      <c r="O23" s="5">
        <f>(VLOOKUP('18.04'!W23,'18.04'!$AM$4:$AO$55,3,FALSE))</f>
        <v>0</v>
      </c>
      <c r="P23" s="5">
        <f>(VLOOKUP('18.04'!X23,'18.04'!$AM$4:$AO$55,3,FALSE))</f>
        <v>0</v>
      </c>
      <c r="Q23" s="4">
        <f>(VLOOKUP('18.04'!Y23,'18.04'!$AM$4:$AO$55,3,FALSE))</f>
        <v>55</v>
      </c>
      <c r="R23" s="4">
        <f>(VLOOKUP('18.04'!Z23,'18.04'!$AM$4:$AO$55,3,FALSE))</f>
        <v>55</v>
      </c>
      <c r="S23" s="4">
        <f>(VLOOKUP('18.04'!AA23,'18.04'!$AM$4:$AO$55,3,FALSE))</f>
        <v>55</v>
      </c>
      <c r="T23" s="4">
        <f>(VLOOKUP('18.04'!AB23,'18.04'!$AM$4:$AO$55,3,FALSE))</f>
        <v>55</v>
      </c>
      <c r="U23" s="4">
        <f>(VLOOKUP('18.04'!AC23,'18.04'!$AM$4:$AO$55,3,FALSE))</f>
        <v>55</v>
      </c>
      <c r="V23" s="4">
        <f>(VLOOKUP('18.04'!AD23,'18.04'!$AM$4:$AO$55,3,FALSE))</f>
        <v>55</v>
      </c>
      <c r="W23" s="5">
        <f>(VLOOKUP('18.04'!AE23,'18.04'!$AM$4:$AO$55,3,FALSE))</f>
        <v>0</v>
      </c>
      <c r="X23" s="5">
        <f>(VLOOKUP('18.04'!AF23,'18.04'!$AM$4:$AO$55,3,FALSE))</f>
        <v>0</v>
      </c>
    </row>
    <row r="24" spans="1:24">
      <c r="A24" s="4">
        <f>(VLOOKUP('18.04'!I24,'18.04'!$AM$4:$AO$55,3,FALSE))</f>
        <v>50</v>
      </c>
      <c r="B24" s="4">
        <f>(VLOOKUP('18.04'!J24,'18.04'!$AM$4:$AO$55,3,FALSE))</f>
        <v>30</v>
      </c>
      <c r="C24" s="4">
        <f>(VLOOKUP('18.04'!K24,'18.04'!$AM$4:$AO$55,3,FALSE))</f>
        <v>50</v>
      </c>
      <c r="D24" s="4">
        <f>(VLOOKUP('18.04'!L24,'18.04'!$AM$4:$AO$55,3,FALSE))</f>
        <v>50</v>
      </c>
      <c r="E24" s="4">
        <f>(VLOOKUP('18.04'!M24,'18.04'!$AM$4:$AO$55,3,FALSE))</f>
        <v>50</v>
      </c>
      <c r="F24" s="4">
        <f>(VLOOKUP('18.04'!N24,'18.04'!$AM$4:$AO$55,3,FALSE))</f>
        <v>50</v>
      </c>
      <c r="G24" s="5">
        <f>(VLOOKUP('18.04'!O24,'18.04'!$AM$4:$AO$55,3,FALSE))</f>
        <v>50</v>
      </c>
      <c r="H24" s="5">
        <f>(VLOOKUP('18.04'!P24,'18.04'!$AM$4:$AO$55,3,FALSE))</f>
        <v>0</v>
      </c>
      <c r="I24" s="4">
        <f>(VLOOKUP('18.04'!Q24,'18.04'!$AM$4:$AO$55,3,FALSE))</f>
        <v>0</v>
      </c>
      <c r="J24" s="4">
        <f>(VLOOKUP('18.04'!R24,'18.04'!$AM$4:$AO$55,3,FALSE))</f>
        <v>0</v>
      </c>
      <c r="K24" s="4">
        <f>(VLOOKUP('18.04'!S24,'18.04'!$AM$4:$AO$55,3,FALSE))</f>
        <v>0</v>
      </c>
      <c r="L24" s="4">
        <f>(VLOOKUP('18.04'!T24,'18.04'!$AM$4:$AO$55,3,FALSE))</f>
        <v>0</v>
      </c>
      <c r="M24" s="4">
        <f>(VLOOKUP('18.04'!U24,'18.04'!$AM$4:$AO$55,3,FALSE))</f>
        <v>0</v>
      </c>
      <c r="N24" s="4">
        <f>(VLOOKUP('18.04'!V24,'18.04'!$AM$4:$AO$55,3,FALSE))</f>
        <v>0</v>
      </c>
      <c r="O24" s="5">
        <f>(VLOOKUP('18.04'!W24,'18.04'!$AM$4:$AO$55,3,FALSE))</f>
        <v>0</v>
      </c>
      <c r="P24" s="5">
        <f>(VLOOKUP('18.04'!X24,'18.04'!$AM$4:$AO$55,3,FALSE))</f>
        <v>0</v>
      </c>
      <c r="Q24" s="4">
        <f>(VLOOKUP('18.04'!Y24,'18.04'!$AM$4:$AO$55,3,FALSE))</f>
        <v>55</v>
      </c>
      <c r="R24" s="4">
        <f>(VLOOKUP('18.04'!Z24,'18.04'!$AM$4:$AO$55,3,FALSE))</f>
        <v>55</v>
      </c>
      <c r="S24" s="4">
        <f>(VLOOKUP('18.04'!AA24,'18.04'!$AM$4:$AO$55,3,FALSE))</f>
        <v>55</v>
      </c>
      <c r="T24" s="4">
        <f>(VLOOKUP('18.04'!AB24,'18.04'!$AM$4:$AO$55,3,FALSE))</f>
        <v>0</v>
      </c>
      <c r="U24" s="4">
        <f>(VLOOKUP('18.04'!AC24,'18.04'!$AM$4:$AO$55,3,FALSE))</f>
        <v>0</v>
      </c>
      <c r="V24" s="4">
        <f>(VLOOKUP('18.04'!AD24,'18.04'!$AM$4:$AO$55,3,FALSE))</f>
        <v>0</v>
      </c>
      <c r="W24" s="5">
        <f>(VLOOKUP('18.04'!AE24,'18.04'!$AM$4:$AO$55,3,FALSE))</f>
        <v>0</v>
      </c>
      <c r="X24" s="5">
        <f>(VLOOKUP('18.04'!AF24,'18.04'!$AM$4:$AO$55,3,FALSE))</f>
        <v>0</v>
      </c>
    </row>
    <row r="25" spans="1:24">
      <c r="A25" s="4">
        <f>(VLOOKUP('18.04'!I25,'18.04'!$AM$4:$AO$55,3,FALSE))</f>
        <v>0</v>
      </c>
      <c r="B25" s="4">
        <f>(VLOOKUP('18.04'!J25,'18.04'!$AM$4:$AO$55,3,FALSE))</f>
        <v>0</v>
      </c>
      <c r="C25" s="4">
        <f>(VLOOKUP('18.04'!K25,'18.04'!$AM$4:$AO$55,3,FALSE))</f>
        <v>0</v>
      </c>
      <c r="D25" s="4">
        <f>(VLOOKUP('18.04'!L25,'18.04'!$AM$4:$AO$55,3,FALSE))</f>
        <v>0</v>
      </c>
      <c r="E25" s="4">
        <f>(VLOOKUP('18.04'!M25,'18.04'!$AM$4:$AO$55,3,FALSE))</f>
        <v>0</v>
      </c>
      <c r="F25" s="4">
        <f>(VLOOKUP('18.04'!N25,'18.04'!$AM$4:$AO$55,3,FALSE))</f>
        <v>0</v>
      </c>
      <c r="G25" s="5">
        <f>(VLOOKUP('18.04'!O25,'18.04'!$AM$4:$AO$55,3,FALSE))</f>
        <v>0</v>
      </c>
      <c r="H25" s="5">
        <f>(VLOOKUP('18.04'!P25,'18.04'!$AM$4:$AO$55,3,FALSE))</f>
        <v>0</v>
      </c>
      <c r="I25" s="4">
        <f>(VLOOKUP('18.04'!Q25,'18.04'!$AM$4:$AO$55,3,FALSE))</f>
        <v>0</v>
      </c>
      <c r="J25" s="4">
        <f>(VLOOKUP('18.04'!R25,'18.04'!$AM$4:$AO$55,3,FALSE))</f>
        <v>0</v>
      </c>
      <c r="K25" s="4">
        <f>(VLOOKUP('18.04'!S25,'18.04'!$AM$4:$AO$55,3,FALSE))</f>
        <v>0</v>
      </c>
      <c r="L25" s="4">
        <f>(VLOOKUP('18.04'!T25,'18.04'!$AM$4:$AO$55,3,FALSE))</f>
        <v>0</v>
      </c>
      <c r="M25" s="4">
        <f>(VLOOKUP('18.04'!U25,'18.04'!$AM$4:$AO$55,3,FALSE))</f>
        <v>0</v>
      </c>
      <c r="N25" s="4">
        <f>(VLOOKUP('18.04'!V25,'18.04'!$AM$4:$AO$55,3,FALSE))</f>
        <v>0</v>
      </c>
      <c r="O25" s="5">
        <f>(VLOOKUP('18.04'!W25,'18.04'!$AM$4:$AO$55,3,FALSE))</f>
        <v>0</v>
      </c>
      <c r="P25" s="5">
        <f>(VLOOKUP('18.04'!X25,'18.04'!$AM$4:$AO$55,3,FALSE))</f>
        <v>0</v>
      </c>
      <c r="Q25" s="4">
        <f>(VLOOKUP('18.04'!Y25,'18.04'!$AM$4:$AO$55,3,FALSE))</f>
        <v>0</v>
      </c>
      <c r="R25" s="4">
        <f>(VLOOKUP('18.04'!Z25,'18.04'!$AM$4:$AO$55,3,FALSE))</f>
        <v>0</v>
      </c>
      <c r="S25" s="4">
        <f>(VLOOKUP('18.04'!AA25,'18.04'!$AM$4:$AO$55,3,FALSE))</f>
        <v>0</v>
      </c>
      <c r="T25" s="4">
        <f>(VLOOKUP('18.04'!AB25,'18.04'!$AM$4:$AO$55,3,FALSE))</f>
        <v>0</v>
      </c>
      <c r="U25" s="4">
        <f>(VLOOKUP('18.04'!AC25,'18.04'!$AM$4:$AO$55,3,FALSE))</f>
        <v>0</v>
      </c>
      <c r="V25" s="4">
        <f>(VLOOKUP('18.04'!AD25,'18.04'!$AM$4:$AO$55,3,FALSE))</f>
        <v>0</v>
      </c>
      <c r="W25" s="5">
        <f>(VLOOKUP('18.04'!AE25,'18.04'!$AM$4:$AO$55,3,FALSE))</f>
        <v>0</v>
      </c>
      <c r="X25" s="5">
        <f>(VLOOKUP('18.04'!AF25,'18.04'!$AM$4:$AO$55,3,FALSE))</f>
        <v>0</v>
      </c>
    </row>
    <row r="26" spans="1:24">
      <c r="A26" s="4">
        <f>(VLOOKUP('18.04'!I26,'18.04'!$AM$4:$AO$55,3,FALSE))</f>
        <v>0</v>
      </c>
      <c r="B26" s="4">
        <f>(VLOOKUP('18.04'!J26,'18.04'!$AM$4:$AO$55,3,FALSE))</f>
        <v>0</v>
      </c>
      <c r="C26" s="4">
        <f>(VLOOKUP('18.04'!K26,'18.04'!$AM$4:$AO$55,3,FALSE))</f>
        <v>0</v>
      </c>
      <c r="D26" s="4">
        <f>(VLOOKUP('18.04'!L26,'18.04'!$AM$4:$AO$55,3,FALSE))</f>
        <v>0</v>
      </c>
      <c r="E26" s="4">
        <f>(VLOOKUP('18.04'!M26,'18.04'!$AM$4:$AO$55,3,FALSE))</f>
        <v>0</v>
      </c>
      <c r="F26" s="4">
        <f>(VLOOKUP('18.04'!N26,'18.04'!$AM$4:$AO$55,3,FALSE))</f>
        <v>0</v>
      </c>
      <c r="G26" s="5">
        <f>(VLOOKUP('18.04'!O26,'18.04'!$AM$4:$AO$55,3,FALSE))</f>
        <v>0</v>
      </c>
      <c r="H26" s="5">
        <f>(VLOOKUP('18.04'!P26,'18.04'!$AM$4:$AO$55,3,FALSE))</f>
        <v>0</v>
      </c>
      <c r="I26" s="4">
        <f>(VLOOKUP('18.04'!Q26,'18.04'!$AM$4:$AO$55,3,FALSE))</f>
        <v>0</v>
      </c>
      <c r="J26" s="4">
        <f>(VLOOKUP('18.04'!R26,'18.04'!$AM$4:$AO$55,3,FALSE))</f>
        <v>0</v>
      </c>
      <c r="K26" s="4">
        <f>(VLOOKUP('18.04'!S26,'18.04'!$AM$4:$AO$55,3,FALSE))</f>
        <v>0</v>
      </c>
      <c r="L26" s="4">
        <f>(VLOOKUP('18.04'!T26,'18.04'!$AM$4:$AO$55,3,FALSE))</f>
        <v>0</v>
      </c>
      <c r="M26" s="4">
        <f>(VLOOKUP('18.04'!U26,'18.04'!$AM$4:$AO$55,3,FALSE))</f>
        <v>0</v>
      </c>
      <c r="N26" s="4">
        <f>(VLOOKUP('18.04'!V26,'18.04'!$AM$4:$AO$55,3,FALSE))</f>
        <v>0</v>
      </c>
      <c r="O26" s="5">
        <f>(VLOOKUP('18.04'!W26,'18.04'!$AM$4:$AO$55,3,FALSE))</f>
        <v>0</v>
      </c>
      <c r="P26" s="5">
        <f>(VLOOKUP('18.04'!X26,'18.04'!$AM$4:$AO$55,3,FALSE))</f>
        <v>0</v>
      </c>
      <c r="Q26" s="4">
        <f>(VLOOKUP('18.04'!Y26,'18.04'!$AM$4:$AO$55,3,FALSE))</f>
        <v>0</v>
      </c>
      <c r="R26" s="4">
        <f>(VLOOKUP('18.04'!Z26,'18.04'!$AM$4:$AO$55,3,FALSE))</f>
        <v>0</v>
      </c>
      <c r="S26" s="4">
        <f>(VLOOKUP('18.04'!AA26,'18.04'!$AM$4:$AO$55,3,FALSE))</f>
        <v>0</v>
      </c>
      <c r="T26" s="4">
        <f>(VLOOKUP('18.04'!AB26,'18.04'!$AM$4:$AO$55,3,FALSE))</f>
        <v>0</v>
      </c>
      <c r="U26" s="4">
        <f>(VLOOKUP('18.04'!AC26,'18.04'!$AM$4:$AO$55,3,FALSE))</f>
        <v>0</v>
      </c>
      <c r="V26" s="4">
        <f>(VLOOKUP('18.04'!AD26,'18.04'!$AM$4:$AO$55,3,FALSE))</f>
        <v>0</v>
      </c>
      <c r="W26" s="5">
        <f>(VLOOKUP('18.04'!AE26,'18.04'!$AM$4:$AO$55,3,FALSE))</f>
        <v>0</v>
      </c>
      <c r="X26" s="5">
        <f>(VLOOKUP('18.04'!AF26,'18.04'!$AM$4:$AO$55,3,FALSE))</f>
        <v>0</v>
      </c>
    </row>
    <row r="27" spans="1:24">
      <c r="A27" s="4">
        <f>(VLOOKUP('18.04'!I27,'18.04'!$AM$4:$AO$55,3,FALSE))</f>
        <v>40</v>
      </c>
      <c r="B27" s="4">
        <f>(VLOOKUP('18.04'!J27,'18.04'!$AM$4:$AO$55,3,FALSE))</f>
        <v>0</v>
      </c>
      <c r="C27" s="4">
        <f>(VLOOKUP('18.04'!K27,'18.04'!$AM$4:$AO$55,3,FALSE))</f>
        <v>0</v>
      </c>
      <c r="D27" s="4">
        <f>(VLOOKUP('18.04'!L27,'18.04'!$AM$4:$AO$55,3,FALSE))</f>
        <v>0</v>
      </c>
      <c r="E27" s="4">
        <f>(VLOOKUP('18.04'!M27,'18.04'!$AM$4:$AO$55,3,FALSE))</f>
        <v>0</v>
      </c>
      <c r="F27" s="4">
        <f>(VLOOKUP('18.04'!N27,'18.04'!$AM$4:$AO$55,3,FALSE))</f>
        <v>0</v>
      </c>
      <c r="G27" s="5">
        <f>(VLOOKUP('18.04'!O27,'18.04'!$AM$4:$AO$55,3,FALSE))</f>
        <v>0</v>
      </c>
      <c r="H27" s="5">
        <f>(VLOOKUP('18.04'!P27,'18.04'!$AM$4:$AO$55,3,FALSE))</f>
        <v>0</v>
      </c>
      <c r="I27" s="4">
        <f>(VLOOKUP('18.04'!Q27,'18.04'!$AM$4:$AO$55,3,FALSE))</f>
        <v>0</v>
      </c>
      <c r="J27" s="4">
        <f>(VLOOKUP('18.04'!R27,'18.04'!$AM$4:$AO$55,3,FALSE))</f>
        <v>0</v>
      </c>
      <c r="K27" s="4">
        <f>(VLOOKUP('18.04'!S27,'18.04'!$AM$4:$AO$55,3,FALSE))</f>
        <v>0</v>
      </c>
      <c r="L27" s="4">
        <f>(VLOOKUP('18.04'!T27,'18.04'!$AM$4:$AO$55,3,FALSE))</f>
        <v>0</v>
      </c>
      <c r="M27" s="4">
        <f>(VLOOKUP('18.04'!U27,'18.04'!$AM$4:$AO$55,3,FALSE))</f>
        <v>0</v>
      </c>
      <c r="N27" s="4">
        <f>(VLOOKUP('18.04'!V27,'18.04'!$AM$4:$AO$55,3,FALSE))</f>
        <v>0</v>
      </c>
      <c r="O27" s="5">
        <f>(VLOOKUP('18.04'!W27,'18.04'!$AM$4:$AO$55,3,FALSE))</f>
        <v>0</v>
      </c>
      <c r="P27" s="5">
        <f>(VLOOKUP('18.04'!X27,'18.04'!$AM$4:$AO$55,3,FALSE))</f>
        <v>0</v>
      </c>
      <c r="Q27" s="4">
        <f>(VLOOKUP('18.04'!Y27,'18.04'!$AM$4:$AO$55,3,FALSE))</f>
        <v>0</v>
      </c>
      <c r="R27" s="4">
        <f>(VLOOKUP('18.04'!Z27,'18.04'!$AM$4:$AO$55,3,FALSE))</f>
        <v>0</v>
      </c>
      <c r="S27" s="4">
        <f>(VLOOKUP('18.04'!AA27,'18.04'!$AM$4:$AO$55,3,FALSE))</f>
        <v>0</v>
      </c>
      <c r="T27" s="4">
        <f>(VLOOKUP('18.04'!AB27,'18.04'!$AM$4:$AO$55,3,FALSE))</f>
        <v>0</v>
      </c>
      <c r="U27" s="4">
        <f>(VLOOKUP('18.04'!AC27,'18.04'!$AM$4:$AO$55,3,FALSE))</f>
        <v>0</v>
      </c>
      <c r="V27" s="4">
        <f>(VLOOKUP('18.04'!AD27,'18.04'!$AM$4:$AO$55,3,FALSE))</f>
        <v>0</v>
      </c>
      <c r="W27" s="5">
        <f>(VLOOKUP('18.04'!AE27,'18.04'!$AM$4:$AO$55,3,FALSE))</f>
        <v>0</v>
      </c>
      <c r="X27" s="5">
        <f>(VLOOKUP('18.04'!AF27,'18.04'!$AM$4:$AO$55,3,FALSE))</f>
        <v>0</v>
      </c>
    </row>
    <row r="28" spans="1:24">
      <c r="A28" s="4">
        <f>(VLOOKUP('18.04'!I28,'18.04'!$AM$4:$AO$55,3,FALSE))</f>
        <v>40</v>
      </c>
      <c r="B28" s="4">
        <f>(VLOOKUP('18.04'!J28,'18.04'!$AM$4:$AO$55,3,FALSE))</f>
        <v>30</v>
      </c>
      <c r="C28" s="4">
        <f>(VLOOKUP('18.04'!K28,'18.04'!$AM$4:$AO$55,3,FALSE))</f>
        <v>0</v>
      </c>
      <c r="D28" s="4">
        <f>(VLOOKUP('18.04'!L28,'18.04'!$AM$4:$AO$55,3,FALSE))</f>
        <v>0</v>
      </c>
      <c r="E28" s="4">
        <f>(VLOOKUP('18.04'!M28,'18.04'!$AM$4:$AO$55,3,FALSE))</f>
        <v>0</v>
      </c>
      <c r="F28" s="4">
        <f>(VLOOKUP('18.04'!N28,'18.04'!$AM$4:$AO$55,3,FALSE))</f>
        <v>0</v>
      </c>
      <c r="G28" s="5">
        <f>(VLOOKUP('18.04'!O28,'18.04'!$AM$4:$AO$55,3,FALSE))</f>
        <v>0</v>
      </c>
      <c r="H28" s="5">
        <f>(VLOOKUP('18.04'!P28,'18.04'!$AM$4:$AO$55,3,FALSE))</f>
        <v>0</v>
      </c>
      <c r="I28" s="4">
        <f>(VLOOKUP('18.04'!Q28,'18.04'!$AM$4:$AO$55,3,FALSE))</f>
        <v>0</v>
      </c>
      <c r="J28" s="4">
        <f>(VLOOKUP('18.04'!R28,'18.04'!$AM$4:$AO$55,3,FALSE))</f>
        <v>0</v>
      </c>
      <c r="K28" s="4">
        <f>(VLOOKUP('18.04'!S28,'18.04'!$AM$4:$AO$55,3,FALSE))</f>
        <v>0</v>
      </c>
      <c r="L28" s="4">
        <f>(VLOOKUP('18.04'!T28,'18.04'!$AM$4:$AO$55,3,FALSE))</f>
        <v>0</v>
      </c>
      <c r="M28" s="4">
        <f>(VLOOKUP('18.04'!U28,'18.04'!$AM$4:$AO$55,3,FALSE))</f>
        <v>0</v>
      </c>
      <c r="N28" s="4">
        <f>(VLOOKUP('18.04'!V28,'18.04'!$AM$4:$AO$55,3,FALSE))</f>
        <v>0</v>
      </c>
      <c r="O28" s="5">
        <f>(VLOOKUP('18.04'!W28,'18.04'!$AM$4:$AO$55,3,FALSE))</f>
        <v>0</v>
      </c>
      <c r="P28" s="5">
        <f>(VLOOKUP('18.04'!X28,'18.04'!$AM$4:$AO$55,3,FALSE))</f>
        <v>0</v>
      </c>
      <c r="Q28" s="4">
        <f>(VLOOKUP('18.04'!Y28,'18.04'!$AM$4:$AO$55,3,FALSE))</f>
        <v>0</v>
      </c>
      <c r="R28" s="4">
        <f>(VLOOKUP('18.04'!Z28,'18.04'!$AM$4:$AO$55,3,FALSE))</f>
        <v>0</v>
      </c>
      <c r="S28" s="4">
        <f>(VLOOKUP('18.04'!AA28,'18.04'!$AM$4:$AO$55,3,FALSE))</f>
        <v>0</v>
      </c>
      <c r="T28" s="4">
        <f>(VLOOKUP('18.04'!AB28,'18.04'!$AM$4:$AO$55,3,FALSE))</f>
        <v>0</v>
      </c>
      <c r="U28" s="4">
        <f>(VLOOKUP('18.04'!AC28,'18.04'!$AM$4:$AO$55,3,FALSE))</f>
        <v>0</v>
      </c>
      <c r="V28" s="4">
        <f>(VLOOKUP('18.04'!AD28,'18.04'!$AM$4:$AO$55,3,FALSE))</f>
        <v>0</v>
      </c>
      <c r="W28" s="5">
        <f>(VLOOKUP('18.04'!AE28,'18.04'!$AM$4:$AO$55,3,FALSE))</f>
        <v>0</v>
      </c>
      <c r="X28" s="5">
        <f>(VLOOKUP('18.04'!AF28,'18.04'!$AM$4:$AO$55,3,FALSE))</f>
        <v>0</v>
      </c>
    </row>
    <row r="29" spans="1:24">
      <c r="A29" s="4">
        <f>(VLOOKUP('18.04'!I29,'18.04'!$AM$4:$AO$55,3,FALSE))</f>
        <v>30</v>
      </c>
      <c r="B29" s="4">
        <f>(VLOOKUP('18.04'!J29,'18.04'!$AM$4:$AO$55,3,FALSE))</f>
        <v>40</v>
      </c>
      <c r="C29" s="4">
        <f>(VLOOKUP('18.04'!K29,'18.04'!$AM$4:$AO$55,3,FALSE))</f>
        <v>40</v>
      </c>
      <c r="D29" s="4">
        <f>(VLOOKUP('18.04'!L29,'18.04'!$AM$4:$AO$55,3,FALSE))</f>
        <v>40</v>
      </c>
      <c r="E29" s="4">
        <f>(VLOOKUP('18.04'!M29,'18.04'!$AM$4:$AO$55,3,FALSE))</f>
        <v>30</v>
      </c>
      <c r="F29" s="4">
        <f>(VLOOKUP('18.04'!N29,'18.04'!$AM$4:$AO$55,3,FALSE))</f>
        <v>0</v>
      </c>
      <c r="G29" s="5">
        <f>(VLOOKUP('18.04'!O29,'18.04'!$AM$4:$AO$55,3,FALSE))</f>
        <v>0</v>
      </c>
      <c r="H29" s="5">
        <f>(VLOOKUP('18.04'!P29,'18.04'!$AM$4:$AO$55,3,FALSE))</f>
        <v>0</v>
      </c>
      <c r="I29" s="4">
        <f>(VLOOKUP('18.04'!Q29,'18.04'!$AM$4:$AO$55,3,FALSE))</f>
        <v>0</v>
      </c>
      <c r="J29" s="4">
        <f>(VLOOKUP('18.04'!R29,'18.04'!$AM$4:$AO$55,3,FALSE))</f>
        <v>0</v>
      </c>
      <c r="K29" s="4">
        <f>(VLOOKUP('18.04'!S29,'18.04'!$AM$4:$AO$55,3,FALSE))</f>
        <v>0</v>
      </c>
      <c r="L29" s="4">
        <f>(VLOOKUP('18.04'!T29,'18.04'!$AM$4:$AO$55,3,FALSE))</f>
        <v>0</v>
      </c>
      <c r="M29" s="4">
        <f>(VLOOKUP('18.04'!U29,'18.04'!$AM$4:$AO$55,3,FALSE))</f>
        <v>0</v>
      </c>
      <c r="N29" s="4">
        <f>(VLOOKUP('18.04'!V29,'18.04'!$AM$4:$AO$55,3,FALSE))</f>
        <v>0</v>
      </c>
      <c r="O29" s="5">
        <f>(VLOOKUP('18.04'!W29,'18.04'!$AM$4:$AO$55,3,FALSE))</f>
        <v>0</v>
      </c>
      <c r="P29" s="5">
        <f>(VLOOKUP('18.04'!X29,'18.04'!$AM$4:$AO$55,3,FALSE))</f>
        <v>0</v>
      </c>
      <c r="Q29" s="4">
        <f>(VLOOKUP('18.04'!Y29,'18.04'!$AM$4:$AO$55,3,FALSE))</f>
        <v>0</v>
      </c>
      <c r="R29" s="4">
        <f>(VLOOKUP('18.04'!Z29,'18.04'!$AM$4:$AO$55,3,FALSE))</f>
        <v>0</v>
      </c>
      <c r="S29" s="4">
        <f>(VLOOKUP('18.04'!AA29,'18.04'!$AM$4:$AO$55,3,FALSE))</f>
        <v>0</v>
      </c>
      <c r="T29" s="4">
        <f>(VLOOKUP('18.04'!AB29,'18.04'!$AM$4:$AO$55,3,FALSE))</f>
        <v>0</v>
      </c>
      <c r="U29" s="4">
        <f>(VLOOKUP('18.04'!AC29,'18.04'!$AM$4:$AO$55,3,FALSE))</f>
        <v>0</v>
      </c>
      <c r="V29" s="4">
        <f>(VLOOKUP('18.04'!AD29,'18.04'!$AM$4:$AO$55,3,FALSE))</f>
        <v>0</v>
      </c>
      <c r="W29" s="5">
        <f>(VLOOKUP('18.04'!AE29,'18.04'!$AM$4:$AO$55,3,FALSE))</f>
        <v>0</v>
      </c>
      <c r="X29" s="5">
        <f>(VLOOKUP('18.04'!AF29,'18.04'!$AM$4:$AO$55,3,FALSE))</f>
        <v>0</v>
      </c>
    </row>
    <row r="30" spans="1:24">
      <c r="A30" s="4">
        <f>(VLOOKUP('18.04'!I30,'18.04'!$AM$4:$AO$55,3,FALSE))</f>
        <v>40</v>
      </c>
      <c r="B30" s="4">
        <f>(VLOOKUP('18.04'!J30,'18.04'!$AM$4:$AO$55,3,FALSE))</f>
        <v>40</v>
      </c>
      <c r="C30" s="4">
        <f>(VLOOKUP('18.04'!K30,'18.04'!$AM$4:$AO$55,3,FALSE))</f>
        <v>40</v>
      </c>
      <c r="D30" s="4">
        <f>(VLOOKUP('18.04'!L30,'18.04'!$AM$4:$AO$55,3,FALSE))</f>
        <v>30</v>
      </c>
      <c r="E30" s="4">
        <f>(VLOOKUP('18.04'!M30,'18.04'!$AM$4:$AO$55,3,FALSE))</f>
        <v>0</v>
      </c>
      <c r="F30" s="4">
        <f>(VLOOKUP('18.04'!N30,'18.04'!$AM$4:$AO$55,3,FALSE))</f>
        <v>0</v>
      </c>
      <c r="G30" s="5">
        <f>(VLOOKUP('18.04'!O30,'18.04'!$AM$4:$AO$55,3,FALSE))</f>
        <v>0</v>
      </c>
      <c r="H30" s="5">
        <f>(VLOOKUP('18.04'!P30,'18.04'!$AM$4:$AO$55,3,FALSE))</f>
        <v>0</v>
      </c>
      <c r="I30" s="4">
        <f>(VLOOKUP('18.04'!Q30,'18.04'!$AM$4:$AO$55,3,FALSE))</f>
        <v>0</v>
      </c>
      <c r="J30" s="4">
        <f>(VLOOKUP('18.04'!R30,'18.04'!$AM$4:$AO$55,3,FALSE))</f>
        <v>0</v>
      </c>
      <c r="K30" s="4">
        <f>(VLOOKUP('18.04'!S30,'18.04'!$AM$4:$AO$55,3,FALSE))</f>
        <v>0</v>
      </c>
      <c r="L30" s="4">
        <f>(VLOOKUP('18.04'!T30,'18.04'!$AM$4:$AO$55,3,FALSE))</f>
        <v>0</v>
      </c>
      <c r="M30" s="4">
        <f>(VLOOKUP('18.04'!U30,'18.04'!$AM$4:$AO$55,3,FALSE))</f>
        <v>0</v>
      </c>
      <c r="N30" s="4">
        <f>(VLOOKUP('18.04'!V30,'18.04'!$AM$4:$AO$55,3,FALSE))</f>
        <v>0</v>
      </c>
      <c r="O30" s="5">
        <f>(VLOOKUP('18.04'!W30,'18.04'!$AM$4:$AO$55,3,FALSE))</f>
        <v>0</v>
      </c>
      <c r="P30" s="5">
        <f>(VLOOKUP('18.04'!X30,'18.04'!$AM$4:$AO$55,3,FALSE))</f>
        <v>0</v>
      </c>
      <c r="Q30" s="4">
        <f>(VLOOKUP('18.04'!Y30,'18.04'!$AM$4:$AO$55,3,FALSE))</f>
        <v>0</v>
      </c>
      <c r="R30" s="4">
        <f>(VLOOKUP('18.04'!Z30,'18.04'!$AM$4:$AO$55,3,FALSE))</f>
        <v>0</v>
      </c>
      <c r="S30" s="4">
        <f>(VLOOKUP('18.04'!AA30,'18.04'!$AM$4:$AO$55,3,FALSE))</f>
        <v>0</v>
      </c>
      <c r="T30" s="4">
        <f>(VLOOKUP('18.04'!AB30,'18.04'!$AM$4:$AO$55,3,FALSE))</f>
        <v>0</v>
      </c>
      <c r="U30" s="4">
        <f>(VLOOKUP('18.04'!AC30,'18.04'!$AM$4:$AO$55,3,FALSE))</f>
        <v>0</v>
      </c>
      <c r="V30" s="4">
        <f>(VLOOKUP('18.04'!AD30,'18.04'!$AM$4:$AO$55,3,FALSE))</f>
        <v>0</v>
      </c>
      <c r="W30" s="5">
        <f>(VLOOKUP('18.04'!AE30,'18.04'!$AM$4:$AO$55,3,FALSE))</f>
        <v>0</v>
      </c>
      <c r="X30" s="5">
        <f>(VLOOKUP('18.04'!AF30,'18.04'!$AM$4:$AO$55,3,FALSE))</f>
        <v>0</v>
      </c>
    </row>
    <row r="31" spans="1:24">
      <c r="A31" s="4">
        <f>(VLOOKUP('18.04'!I31,'18.04'!$AM$4:$AO$55,3,FALSE))</f>
        <v>0</v>
      </c>
      <c r="B31" s="4">
        <f>(VLOOKUP('18.04'!J31,'18.04'!$AM$4:$AO$55,3,FALSE))</f>
        <v>0</v>
      </c>
      <c r="C31" s="4">
        <f>(VLOOKUP('18.04'!K31,'18.04'!$AM$4:$AO$55,3,FALSE))</f>
        <v>0</v>
      </c>
      <c r="D31" s="4">
        <f>(VLOOKUP('18.04'!L31,'18.04'!$AM$4:$AO$55,3,FALSE))</f>
        <v>0</v>
      </c>
      <c r="E31" s="4">
        <f>(VLOOKUP('18.04'!M31,'18.04'!$AM$4:$AO$55,3,FALSE))</f>
        <v>0</v>
      </c>
      <c r="F31" s="4">
        <f>(VLOOKUP('18.04'!N31,'18.04'!$AM$4:$AO$55,3,FALSE))</f>
        <v>0</v>
      </c>
      <c r="G31" s="5">
        <f>(VLOOKUP('18.04'!O31,'18.04'!$AM$4:$AO$55,3,FALSE))</f>
        <v>0</v>
      </c>
      <c r="H31" s="5">
        <f>(VLOOKUP('18.04'!P31,'18.04'!$AM$4:$AO$55,3,FALSE))</f>
        <v>0</v>
      </c>
      <c r="I31" s="4">
        <f>(VLOOKUP('18.04'!Q31,'18.04'!$AM$4:$AO$55,3,FALSE))</f>
        <v>0</v>
      </c>
      <c r="J31" s="4">
        <f>(VLOOKUP('18.04'!R31,'18.04'!$AM$4:$AO$55,3,FALSE))</f>
        <v>0</v>
      </c>
      <c r="K31" s="4">
        <f>(VLOOKUP('18.04'!S31,'18.04'!$AM$4:$AO$55,3,FALSE))</f>
        <v>0</v>
      </c>
      <c r="L31" s="4">
        <f>(VLOOKUP('18.04'!T31,'18.04'!$AM$4:$AO$55,3,FALSE))</f>
        <v>0</v>
      </c>
      <c r="M31" s="4">
        <f>(VLOOKUP('18.04'!U31,'18.04'!$AM$4:$AO$55,3,FALSE))</f>
        <v>0</v>
      </c>
      <c r="N31" s="4">
        <f>(VLOOKUP('18.04'!V31,'18.04'!$AM$4:$AO$55,3,FALSE))</f>
        <v>0</v>
      </c>
      <c r="O31" s="5">
        <f>(VLOOKUP('18.04'!W31,'18.04'!$AM$4:$AO$55,3,FALSE))</f>
        <v>0</v>
      </c>
      <c r="P31" s="5">
        <f>(VLOOKUP('18.04'!X31,'18.04'!$AM$4:$AO$55,3,FALSE))</f>
        <v>0</v>
      </c>
      <c r="Q31" s="4">
        <f>(VLOOKUP('18.04'!Y31,'18.04'!$AM$4:$AO$55,3,FALSE))</f>
        <v>0</v>
      </c>
      <c r="R31" s="4">
        <f>(VLOOKUP('18.04'!Z31,'18.04'!$AM$4:$AO$55,3,FALSE))</f>
        <v>0</v>
      </c>
      <c r="S31" s="4">
        <f>(VLOOKUP('18.04'!AA31,'18.04'!$AM$4:$AO$55,3,FALSE))</f>
        <v>0</v>
      </c>
      <c r="T31" s="4">
        <f>(VLOOKUP('18.04'!AB31,'18.04'!$AM$4:$AO$55,3,FALSE))</f>
        <v>0</v>
      </c>
      <c r="U31" s="4">
        <f>(VLOOKUP('18.04'!AC31,'18.04'!$AM$4:$AO$55,3,FALSE))</f>
        <v>0</v>
      </c>
      <c r="V31" s="4">
        <f>(VLOOKUP('18.04'!AD31,'18.04'!$AM$4:$AO$55,3,FALSE))</f>
        <v>0</v>
      </c>
      <c r="W31" s="5">
        <f>(VLOOKUP('18.04'!AE31,'18.04'!$AM$4:$AO$55,3,FALSE))</f>
        <v>0</v>
      </c>
      <c r="X31" s="5">
        <f>(VLOOKUP('18.04'!AF31,'18.04'!$AM$4:$AO$55,3,FALSE))</f>
        <v>0</v>
      </c>
    </row>
    <row r="32" spans="1:24">
      <c r="A32" s="4">
        <f>(VLOOKUP('18.04'!I32,'18.04'!$AM$4:$AO$55,3,FALSE))</f>
        <v>45</v>
      </c>
      <c r="B32" s="4">
        <f>(VLOOKUP('18.04'!J32,'18.04'!$AM$4:$AO$55,3,FALSE))</f>
        <v>45</v>
      </c>
      <c r="C32" s="4">
        <f>(VLOOKUP('18.04'!K32,'18.04'!$AM$4:$AO$55,3,FALSE))</f>
        <v>45</v>
      </c>
      <c r="D32" s="4">
        <f>(VLOOKUP('18.04'!L32,'18.04'!$AM$4:$AO$55,3,FALSE))</f>
        <v>45</v>
      </c>
      <c r="E32" s="4">
        <f>(VLOOKUP('18.04'!M32,'18.04'!$AM$4:$AO$55,3,FALSE))</f>
        <v>45</v>
      </c>
      <c r="F32" s="4">
        <f>(VLOOKUP('18.04'!N32,'18.04'!$AM$4:$AO$55,3,FALSE))</f>
        <v>45</v>
      </c>
      <c r="G32" s="5">
        <f>(VLOOKUP('18.04'!O32,'18.04'!$AM$4:$AO$55,3,FALSE))</f>
        <v>45</v>
      </c>
      <c r="H32" s="5">
        <f>(VLOOKUP('18.04'!P32,'18.04'!$AM$4:$AO$55,3,FALSE))</f>
        <v>0</v>
      </c>
      <c r="I32" s="4">
        <f>(VLOOKUP('18.04'!Q32,'18.04'!$AM$4:$AO$55,3,FALSE))</f>
        <v>55</v>
      </c>
      <c r="J32" s="4">
        <f>(VLOOKUP('18.04'!R32,'18.04'!$AM$4:$AO$55,3,FALSE))</f>
        <v>55</v>
      </c>
      <c r="K32" s="4">
        <f>(VLOOKUP('18.04'!S32,'18.04'!$AM$4:$AO$55,3,FALSE))</f>
        <v>55</v>
      </c>
      <c r="L32" s="4">
        <f>(VLOOKUP('18.04'!T32,'18.04'!$AM$4:$AO$55,3,FALSE))</f>
        <v>55</v>
      </c>
      <c r="M32" s="4">
        <f>(VLOOKUP('18.04'!U32,'18.04'!$AM$4:$AO$55,3,FALSE))</f>
        <v>55</v>
      </c>
      <c r="N32" s="4">
        <f>(VLOOKUP('18.04'!V32,'18.04'!$AM$4:$AO$55,3,FALSE))</f>
        <v>55</v>
      </c>
      <c r="O32" s="5">
        <f>(VLOOKUP('18.04'!W32,'18.04'!$AM$4:$AO$55,3,FALSE))</f>
        <v>55</v>
      </c>
      <c r="P32" s="5">
        <f>(VLOOKUP('18.04'!X32,'18.04'!$AM$4:$AO$55,3,FALSE))</f>
        <v>55</v>
      </c>
      <c r="Q32" s="4">
        <f>(VLOOKUP('18.04'!Y32,'18.04'!$AM$4:$AO$55,3,FALSE))</f>
        <v>45</v>
      </c>
      <c r="R32" s="4">
        <f>(VLOOKUP('18.04'!Z32,'18.04'!$AM$4:$AO$55,3,FALSE))</f>
        <v>45</v>
      </c>
      <c r="S32" s="4">
        <f>(VLOOKUP('18.04'!AA32,'18.04'!$AM$4:$AO$55,3,FALSE))</f>
        <v>45</v>
      </c>
      <c r="T32" s="4">
        <f>(VLOOKUP('18.04'!AB32,'18.04'!$AM$4:$AO$55,3,FALSE))</f>
        <v>45</v>
      </c>
      <c r="U32" s="4">
        <f>(VLOOKUP('18.04'!AC32,'18.04'!$AM$4:$AO$55,3,FALSE))</f>
        <v>0</v>
      </c>
      <c r="V32" s="4">
        <f>(VLOOKUP('18.04'!AD32,'18.04'!$AM$4:$AO$55,3,FALSE))</f>
        <v>0</v>
      </c>
      <c r="W32" s="5">
        <f>(VLOOKUP('18.04'!AE32,'18.04'!$AM$4:$AO$55,3,FALSE))</f>
        <v>0</v>
      </c>
      <c r="X32" s="5">
        <f>(VLOOKUP('18.04'!AF32,'18.04'!$AM$4:$AO$55,3,FALSE))</f>
        <v>0</v>
      </c>
    </row>
    <row r="33" spans="1:24">
      <c r="A33" s="4">
        <f>(VLOOKUP('18.04'!I33,'18.04'!$AM$4:$AO$55,3,FALSE))</f>
        <v>45</v>
      </c>
      <c r="B33" s="4">
        <f>(VLOOKUP('18.04'!J33,'18.04'!$AM$4:$AO$55,3,FALSE))</f>
        <v>45</v>
      </c>
      <c r="C33" s="4">
        <f>(VLOOKUP('18.04'!K33,'18.04'!$AM$4:$AO$55,3,FALSE))</f>
        <v>45</v>
      </c>
      <c r="D33" s="4">
        <f>(VLOOKUP('18.04'!L33,'18.04'!$AM$4:$AO$55,3,FALSE))</f>
        <v>45</v>
      </c>
      <c r="E33" s="4">
        <f>(VLOOKUP('18.04'!M33,'18.04'!$AM$4:$AO$55,3,FALSE))</f>
        <v>45</v>
      </c>
      <c r="F33" s="4">
        <f>(VLOOKUP('18.04'!N33,'18.04'!$AM$4:$AO$55,3,FALSE))</f>
        <v>45</v>
      </c>
      <c r="G33" s="5">
        <f>(VLOOKUP('18.04'!O33,'18.04'!$AM$4:$AO$55,3,FALSE))</f>
        <v>45</v>
      </c>
      <c r="H33" s="5">
        <f>(VLOOKUP('18.04'!P33,'18.04'!$AM$4:$AO$55,3,FALSE))</f>
        <v>0</v>
      </c>
      <c r="I33" s="4">
        <f>(VLOOKUP('18.04'!Q33,'18.04'!$AM$4:$AO$55,3,FALSE))</f>
        <v>55</v>
      </c>
      <c r="J33" s="4">
        <f>(VLOOKUP('18.04'!R33,'18.04'!$AM$4:$AO$55,3,FALSE))</f>
        <v>55</v>
      </c>
      <c r="K33" s="4">
        <f>(VLOOKUP('18.04'!S33,'18.04'!$AM$4:$AO$55,3,FALSE))</f>
        <v>55</v>
      </c>
      <c r="L33" s="4">
        <f>(VLOOKUP('18.04'!T33,'18.04'!$AM$4:$AO$55,3,FALSE))</f>
        <v>55</v>
      </c>
      <c r="M33" s="4">
        <f>(VLOOKUP('18.04'!U33,'18.04'!$AM$4:$AO$55,3,FALSE))</f>
        <v>55</v>
      </c>
      <c r="N33" s="4">
        <f>(VLOOKUP('18.04'!V33,'18.04'!$AM$4:$AO$55,3,FALSE))</f>
        <v>55</v>
      </c>
      <c r="O33" s="5">
        <f>(VLOOKUP('18.04'!W33,'18.04'!$AM$4:$AO$55,3,FALSE))</f>
        <v>55</v>
      </c>
      <c r="P33" s="5">
        <f>(VLOOKUP('18.04'!X33,'18.04'!$AM$4:$AO$55,3,FALSE))</f>
        <v>55</v>
      </c>
      <c r="Q33" s="4">
        <f>(VLOOKUP('18.04'!Y33,'18.04'!$AM$4:$AO$55,3,FALSE))</f>
        <v>50</v>
      </c>
      <c r="R33" s="4">
        <f>(VLOOKUP('18.04'!Z33,'18.04'!$AM$4:$AO$55,3,FALSE))</f>
        <v>50</v>
      </c>
      <c r="S33" s="4">
        <f>(VLOOKUP('18.04'!AA33,'18.04'!$AM$4:$AO$55,3,FALSE))</f>
        <v>0</v>
      </c>
      <c r="T33" s="4">
        <f>(VLOOKUP('18.04'!AB33,'18.04'!$AM$4:$AO$55,3,FALSE))</f>
        <v>0</v>
      </c>
      <c r="U33" s="4">
        <f>(VLOOKUP('18.04'!AC33,'18.04'!$AM$4:$AO$55,3,FALSE))</f>
        <v>0</v>
      </c>
      <c r="V33" s="4">
        <f>(VLOOKUP('18.04'!AD33,'18.04'!$AM$4:$AO$55,3,FALSE))</f>
        <v>0</v>
      </c>
      <c r="W33" s="5">
        <f>(VLOOKUP('18.04'!AE33,'18.04'!$AM$4:$AO$55,3,FALSE))</f>
        <v>0</v>
      </c>
      <c r="X33" s="5">
        <f>(VLOOKUP('18.04'!AF33,'18.04'!$AM$4:$AO$55,3,FALSE))</f>
        <v>0</v>
      </c>
    </row>
    <row r="34" spans="1:24">
      <c r="A34" s="4">
        <f>(VLOOKUP('18.04'!I34,'18.04'!$AM$4:$AO$55,3,FALSE))</f>
        <v>45</v>
      </c>
      <c r="B34" s="4">
        <f>(VLOOKUP('18.04'!J34,'18.04'!$AM$4:$AO$55,3,FALSE))</f>
        <v>45</v>
      </c>
      <c r="C34" s="4">
        <f>(VLOOKUP('18.04'!K34,'18.04'!$AM$4:$AO$55,3,FALSE))</f>
        <v>45</v>
      </c>
      <c r="D34" s="4">
        <f>(VLOOKUP('18.04'!L34,'18.04'!$AM$4:$AO$55,3,FALSE))</f>
        <v>45</v>
      </c>
      <c r="E34" s="4">
        <f>(VLOOKUP('18.04'!M34,'18.04'!$AM$4:$AO$55,3,FALSE))</f>
        <v>45</v>
      </c>
      <c r="F34" s="4">
        <f>(VLOOKUP('18.04'!N34,'18.04'!$AM$4:$AO$55,3,FALSE))</f>
        <v>45</v>
      </c>
      <c r="G34" s="5">
        <f>(VLOOKUP('18.04'!O34,'18.04'!$AM$4:$AO$55,3,FALSE))</f>
        <v>45</v>
      </c>
      <c r="H34" s="5">
        <f>(VLOOKUP('18.04'!P34,'18.04'!$AM$4:$AO$55,3,FALSE))</f>
        <v>0</v>
      </c>
      <c r="I34" s="4">
        <f>(VLOOKUP('18.04'!Q34,'18.04'!$AM$4:$AO$55,3,FALSE))</f>
        <v>55</v>
      </c>
      <c r="J34" s="4">
        <f>(VLOOKUP('18.04'!R34,'18.04'!$AM$4:$AO$55,3,FALSE))</f>
        <v>55</v>
      </c>
      <c r="K34" s="4">
        <f>(VLOOKUP('18.04'!S34,'18.04'!$AM$4:$AO$55,3,FALSE))</f>
        <v>55</v>
      </c>
      <c r="L34" s="4">
        <f>(VLOOKUP('18.04'!T34,'18.04'!$AM$4:$AO$55,3,FALSE))</f>
        <v>55</v>
      </c>
      <c r="M34" s="4">
        <f>(VLOOKUP('18.04'!U34,'18.04'!$AM$4:$AO$55,3,FALSE))</f>
        <v>55</v>
      </c>
      <c r="N34" s="4">
        <f>(VLOOKUP('18.04'!V34,'18.04'!$AM$4:$AO$55,3,FALSE))</f>
        <v>55</v>
      </c>
      <c r="O34" s="5">
        <f>(VLOOKUP('18.04'!W34,'18.04'!$AM$4:$AO$55,3,FALSE))</f>
        <v>55</v>
      </c>
      <c r="P34" s="5">
        <f>(VLOOKUP('18.04'!X34,'18.04'!$AM$4:$AO$55,3,FALSE))</f>
        <v>55</v>
      </c>
      <c r="Q34" s="4">
        <f>(VLOOKUP('18.04'!Y34,'18.04'!$AM$4:$AO$55,3,FALSE))</f>
        <v>55</v>
      </c>
      <c r="R34" s="4">
        <f>(VLOOKUP('18.04'!Z34,'18.04'!$AM$4:$AO$55,3,FALSE))</f>
        <v>55</v>
      </c>
      <c r="S34" s="4">
        <f>(VLOOKUP('18.04'!AA34,'18.04'!$AM$4:$AO$55,3,FALSE))</f>
        <v>55</v>
      </c>
      <c r="T34" s="4">
        <f>(VLOOKUP('18.04'!AB34,'18.04'!$AM$4:$AO$55,3,FALSE))</f>
        <v>0</v>
      </c>
      <c r="U34" s="4">
        <f>(VLOOKUP('18.04'!AC34,'18.04'!$AM$4:$AO$55,3,FALSE))</f>
        <v>0</v>
      </c>
      <c r="V34" s="4">
        <f>(VLOOKUP('18.04'!AD34,'18.04'!$AM$4:$AO$55,3,FALSE))</f>
        <v>0</v>
      </c>
      <c r="W34" s="5">
        <f>(VLOOKUP('18.04'!AE34,'18.04'!$AM$4:$AO$55,3,FALSE))</f>
        <v>0</v>
      </c>
      <c r="X34" s="5">
        <f>(VLOOKUP('18.04'!AF34,'18.04'!$AM$4:$AO$55,3,FALSE))</f>
        <v>0</v>
      </c>
    </row>
    <row r="35" spans="1:24">
      <c r="A35" s="4">
        <f>(VLOOKUP('18.04'!I35,'18.04'!$AM$4:$AO$55,3,FALSE))</f>
        <v>45</v>
      </c>
      <c r="B35" s="4">
        <f>(VLOOKUP('18.04'!J35,'18.04'!$AM$4:$AO$55,3,FALSE))</f>
        <v>45</v>
      </c>
      <c r="C35" s="4">
        <f>(VLOOKUP('18.04'!K35,'18.04'!$AM$4:$AO$55,3,FALSE))</f>
        <v>45</v>
      </c>
      <c r="D35" s="4">
        <f>(VLOOKUP('18.04'!L35,'18.04'!$AM$4:$AO$55,3,FALSE))</f>
        <v>45</v>
      </c>
      <c r="E35" s="4">
        <f>(VLOOKUP('18.04'!M35,'18.04'!$AM$4:$AO$55,3,FALSE))</f>
        <v>45</v>
      </c>
      <c r="F35" s="4">
        <f>(VLOOKUP('18.04'!N35,'18.04'!$AM$4:$AO$55,3,FALSE))</f>
        <v>45</v>
      </c>
      <c r="G35" s="5">
        <f>(VLOOKUP('18.04'!O35,'18.04'!$AM$4:$AO$55,3,FALSE))</f>
        <v>45</v>
      </c>
      <c r="H35" s="5">
        <f>(VLOOKUP('18.04'!P35,'18.04'!$AM$4:$AO$55,3,FALSE))</f>
        <v>0</v>
      </c>
      <c r="I35" s="4">
        <f>(VLOOKUP('18.04'!Q35,'18.04'!$AM$4:$AO$55,3,FALSE))</f>
        <v>55</v>
      </c>
      <c r="J35" s="4">
        <f>(VLOOKUP('18.04'!R35,'18.04'!$AM$4:$AO$55,3,FALSE))</f>
        <v>55</v>
      </c>
      <c r="K35" s="4">
        <f>(VLOOKUP('18.04'!S35,'18.04'!$AM$4:$AO$55,3,FALSE))</f>
        <v>55</v>
      </c>
      <c r="L35" s="4">
        <f>(VLOOKUP('18.04'!T35,'18.04'!$AM$4:$AO$55,3,FALSE))</f>
        <v>55</v>
      </c>
      <c r="M35" s="4">
        <f>(VLOOKUP('18.04'!U35,'18.04'!$AM$4:$AO$55,3,FALSE))</f>
        <v>55</v>
      </c>
      <c r="N35" s="4">
        <f>(VLOOKUP('18.04'!V35,'18.04'!$AM$4:$AO$55,3,FALSE))</f>
        <v>55</v>
      </c>
      <c r="O35" s="5">
        <f>(VLOOKUP('18.04'!W35,'18.04'!$AM$4:$AO$55,3,FALSE))</f>
        <v>55</v>
      </c>
      <c r="P35" s="5">
        <f>(VLOOKUP('18.04'!X35,'18.04'!$AM$4:$AO$55,3,FALSE))</f>
        <v>55</v>
      </c>
      <c r="Q35" s="4">
        <f>(VLOOKUP('18.04'!Y35,'18.04'!$AM$4:$AO$55,3,FALSE))</f>
        <v>60</v>
      </c>
      <c r="R35" s="4">
        <f>(VLOOKUP('18.04'!Z35,'18.04'!$AM$4:$AO$55,3,FALSE))</f>
        <v>0</v>
      </c>
      <c r="S35" s="4">
        <f>(VLOOKUP('18.04'!AA35,'18.04'!$AM$4:$AO$55,3,FALSE))</f>
        <v>0</v>
      </c>
      <c r="T35" s="4">
        <f>(VLOOKUP('18.04'!AB35,'18.04'!$AM$4:$AO$55,3,FALSE))</f>
        <v>0</v>
      </c>
      <c r="U35" s="4">
        <f>(VLOOKUP('18.04'!AC35,'18.04'!$AM$4:$AO$55,3,FALSE))</f>
        <v>0</v>
      </c>
      <c r="V35" s="4">
        <f>(VLOOKUP('18.04'!AD35,'18.04'!$AM$4:$AO$55,3,FALSE))</f>
        <v>0</v>
      </c>
      <c r="W35" s="5">
        <f>(VLOOKUP('18.04'!AE35,'18.04'!$AM$4:$AO$55,3,FALSE))</f>
        <v>0</v>
      </c>
      <c r="X35" s="5">
        <f>(VLOOKUP('18.04'!AF35,'18.04'!$AM$4:$AO$55,3,FALSE))</f>
        <v>0</v>
      </c>
    </row>
    <row r="36" spans="1:24">
      <c r="A36" s="4">
        <f>(VLOOKUP('18.04'!I36,'18.04'!$AM$4:$AO$55,3,FALSE))</f>
        <v>45</v>
      </c>
      <c r="B36" s="4">
        <f>(VLOOKUP('18.04'!J36,'18.04'!$AM$4:$AO$55,3,FALSE))</f>
        <v>45</v>
      </c>
      <c r="C36" s="4">
        <f>(VLOOKUP('18.04'!K36,'18.04'!$AM$4:$AO$55,3,FALSE))</f>
        <v>45</v>
      </c>
      <c r="D36" s="4">
        <f>(VLOOKUP('18.04'!L36,'18.04'!$AM$4:$AO$55,3,FALSE))</f>
        <v>45</v>
      </c>
      <c r="E36" s="4">
        <f>(VLOOKUP('18.04'!M36,'18.04'!$AM$4:$AO$55,3,FALSE))</f>
        <v>45</v>
      </c>
      <c r="F36" s="4">
        <f>(VLOOKUP('18.04'!N36,'18.04'!$AM$4:$AO$55,3,FALSE))</f>
        <v>45</v>
      </c>
      <c r="G36" s="5">
        <f>(VLOOKUP('18.04'!O36,'18.04'!$AM$4:$AO$55,3,FALSE))</f>
        <v>45</v>
      </c>
      <c r="H36" s="5">
        <f>(VLOOKUP('18.04'!P36,'18.04'!$AM$4:$AO$55,3,FALSE))</f>
        <v>0</v>
      </c>
      <c r="I36" s="4">
        <f>(VLOOKUP('18.04'!Q36,'18.04'!$AM$4:$AO$55,3,FALSE))</f>
        <v>55</v>
      </c>
      <c r="J36" s="4">
        <f>(VLOOKUP('18.04'!R36,'18.04'!$AM$4:$AO$55,3,FALSE))</f>
        <v>55</v>
      </c>
      <c r="K36" s="4">
        <f>(VLOOKUP('18.04'!S36,'18.04'!$AM$4:$AO$55,3,FALSE))</f>
        <v>55</v>
      </c>
      <c r="L36" s="4">
        <f>(VLOOKUP('18.04'!T36,'18.04'!$AM$4:$AO$55,3,FALSE))</f>
        <v>55</v>
      </c>
      <c r="M36" s="4">
        <f>(VLOOKUP('18.04'!U36,'18.04'!$AM$4:$AO$55,3,FALSE))</f>
        <v>55</v>
      </c>
      <c r="N36" s="4">
        <f>(VLOOKUP('18.04'!V36,'18.04'!$AM$4:$AO$55,3,FALSE))</f>
        <v>55</v>
      </c>
      <c r="O36" s="5">
        <f>(VLOOKUP('18.04'!W36,'18.04'!$AM$4:$AO$55,3,FALSE))</f>
        <v>55</v>
      </c>
      <c r="P36" s="5">
        <f>(VLOOKUP('18.04'!X36,'18.04'!$AM$4:$AO$55,3,FALSE))</f>
        <v>55</v>
      </c>
      <c r="Q36" s="4">
        <f>(VLOOKUP('18.04'!Y36,'18.04'!$AM$4:$AO$55,3,FALSE))</f>
        <v>500</v>
      </c>
      <c r="R36" s="4">
        <f>(VLOOKUP('18.04'!Z36,'18.04'!$AM$4:$AO$55,3,FALSE))</f>
        <v>500</v>
      </c>
      <c r="S36" s="4">
        <f>(VLOOKUP('18.04'!AA36,'18.04'!$AM$4:$AO$55,3,FALSE))</f>
        <v>0</v>
      </c>
      <c r="T36" s="4">
        <f>(VLOOKUP('18.04'!AB36,'18.04'!$AM$4:$AO$55,3,FALSE))</f>
        <v>0</v>
      </c>
      <c r="U36" s="4">
        <f>(VLOOKUP('18.04'!AC36,'18.04'!$AM$4:$AO$55,3,FALSE))</f>
        <v>0</v>
      </c>
      <c r="V36" s="4">
        <f>(VLOOKUP('18.04'!AD36,'18.04'!$AM$4:$AO$55,3,FALSE))</f>
        <v>0</v>
      </c>
      <c r="W36" s="5">
        <f>(VLOOKUP('18.04'!AE36,'18.04'!$AM$4:$AO$55,3,FALSE))</f>
        <v>0</v>
      </c>
      <c r="X36" s="5">
        <f>(VLOOKUP('18.04'!AF36,'18.04'!$AM$4:$AO$55,3,FALSE))</f>
        <v>0</v>
      </c>
    </row>
    <row r="37" spans="1:24">
      <c r="A37" s="4">
        <f>(VLOOKUP('18.04'!I37,'18.04'!$AM$4:$AO$55,3,FALSE))</f>
        <v>45</v>
      </c>
      <c r="B37" s="4">
        <f>(VLOOKUP('18.04'!J37,'18.04'!$AM$4:$AO$55,3,FALSE))</f>
        <v>45</v>
      </c>
      <c r="C37" s="4">
        <f>(VLOOKUP('18.04'!K37,'18.04'!$AM$4:$AO$55,3,FALSE))</f>
        <v>45</v>
      </c>
      <c r="D37" s="4">
        <f>(VLOOKUP('18.04'!L37,'18.04'!$AM$4:$AO$55,3,FALSE))</f>
        <v>45</v>
      </c>
      <c r="E37" s="4">
        <f>(VLOOKUP('18.04'!M37,'18.04'!$AM$4:$AO$55,3,FALSE))</f>
        <v>45</v>
      </c>
      <c r="F37" s="4">
        <f>(VLOOKUP('18.04'!N37,'18.04'!$AM$4:$AO$55,3,FALSE))</f>
        <v>45</v>
      </c>
      <c r="G37" s="5">
        <f>(VLOOKUP('18.04'!O37,'18.04'!$AM$4:$AO$55,3,FALSE))</f>
        <v>45</v>
      </c>
      <c r="H37" s="5">
        <f>(VLOOKUP('18.04'!P37,'18.04'!$AM$4:$AO$55,3,FALSE))</f>
        <v>0</v>
      </c>
      <c r="I37" s="4">
        <f>(VLOOKUP('18.04'!Q37,'18.04'!$AM$4:$AO$55,3,FALSE))</f>
        <v>55</v>
      </c>
      <c r="J37" s="4">
        <f>(VLOOKUP('18.04'!R37,'18.04'!$AM$4:$AO$55,3,FALSE))</f>
        <v>55</v>
      </c>
      <c r="K37" s="4">
        <f>(VLOOKUP('18.04'!S37,'18.04'!$AM$4:$AO$55,3,FALSE))</f>
        <v>55</v>
      </c>
      <c r="L37" s="4">
        <f>(VLOOKUP('18.04'!T37,'18.04'!$AM$4:$AO$55,3,FALSE))</f>
        <v>55</v>
      </c>
      <c r="M37" s="4">
        <f>(VLOOKUP('18.04'!U37,'18.04'!$AM$4:$AO$55,3,FALSE))</f>
        <v>55</v>
      </c>
      <c r="N37" s="4">
        <f>(VLOOKUP('18.04'!V37,'18.04'!$AM$4:$AO$55,3,FALSE))</f>
        <v>55</v>
      </c>
      <c r="O37" s="5">
        <f>(VLOOKUP('18.04'!W37,'18.04'!$AM$4:$AO$55,3,FALSE))</f>
        <v>55</v>
      </c>
      <c r="P37" s="5">
        <f>(VLOOKUP('18.04'!X37,'18.04'!$AM$4:$AO$55,3,FALSE))</f>
        <v>55</v>
      </c>
      <c r="Q37" s="4">
        <f>(VLOOKUP('18.04'!Y37,'18.04'!$AM$4:$AO$55,3,FALSE))</f>
        <v>520</v>
      </c>
      <c r="R37" s="4">
        <f>(VLOOKUP('18.04'!Z37,'18.04'!$AM$4:$AO$55,3,FALSE))</f>
        <v>0</v>
      </c>
      <c r="S37" s="4">
        <f>(VLOOKUP('18.04'!AA37,'18.04'!$AM$4:$AO$55,3,FALSE))</f>
        <v>0</v>
      </c>
      <c r="T37" s="4">
        <f>(VLOOKUP('18.04'!AB37,'18.04'!$AM$4:$AO$55,3,FALSE))</f>
        <v>0</v>
      </c>
      <c r="U37" s="4">
        <f>(VLOOKUP('18.04'!AC37,'18.04'!$AM$4:$AO$55,3,FALSE))</f>
        <v>0</v>
      </c>
      <c r="V37" s="4">
        <f>(VLOOKUP('18.04'!AD37,'18.04'!$AM$4:$AO$55,3,FALSE))</f>
        <v>0</v>
      </c>
      <c r="W37" s="5">
        <f>(VLOOKUP('18.04'!AE37,'18.04'!$AM$4:$AO$55,3,FALSE))</f>
        <v>0</v>
      </c>
      <c r="X37" s="5">
        <f>(VLOOKUP('18.04'!AF37,'18.04'!$AM$4:$AO$55,3,FALSE))</f>
        <v>0</v>
      </c>
    </row>
    <row r="38" spans="1:24">
      <c r="A38" s="4">
        <f>(VLOOKUP('18.04'!I38,'18.04'!$AM$4:$AO$55,3,FALSE))</f>
        <v>45</v>
      </c>
      <c r="B38" s="4">
        <f>(VLOOKUP('18.04'!J38,'18.04'!$AM$4:$AO$55,3,FALSE))</f>
        <v>45</v>
      </c>
      <c r="C38" s="4">
        <f>(VLOOKUP('18.04'!K38,'18.04'!$AM$4:$AO$55,3,FALSE))</f>
        <v>45</v>
      </c>
      <c r="D38" s="4">
        <f>(VLOOKUP('18.04'!L38,'18.04'!$AM$4:$AO$55,3,FALSE))</f>
        <v>45</v>
      </c>
      <c r="E38" s="4">
        <f>(VLOOKUP('18.04'!M38,'18.04'!$AM$4:$AO$55,3,FALSE))</f>
        <v>45</v>
      </c>
      <c r="F38" s="4">
        <f>(VLOOKUP('18.04'!N38,'18.04'!$AM$4:$AO$55,3,FALSE))</f>
        <v>45</v>
      </c>
      <c r="G38" s="5">
        <f>(VLOOKUP('18.04'!O38,'18.04'!$AM$4:$AO$55,3,FALSE))</f>
        <v>45</v>
      </c>
      <c r="H38" s="5">
        <f>(VLOOKUP('18.04'!P38,'18.04'!$AM$4:$AO$55,3,FALSE))</f>
        <v>0</v>
      </c>
      <c r="I38" s="4">
        <f>(VLOOKUP('18.04'!Q38,'18.04'!$AM$4:$AO$55,3,FALSE))</f>
        <v>55</v>
      </c>
      <c r="J38" s="4">
        <f>(VLOOKUP('18.04'!R38,'18.04'!$AM$4:$AO$55,3,FALSE))</f>
        <v>55</v>
      </c>
      <c r="K38" s="4">
        <f>(VLOOKUP('18.04'!S38,'18.04'!$AM$4:$AO$55,3,FALSE))</f>
        <v>55</v>
      </c>
      <c r="L38" s="4">
        <f>(VLOOKUP('18.04'!T38,'18.04'!$AM$4:$AO$55,3,FALSE))</f>
        <v>55</v>
      </c>
      <c r="M38" s="4">
        <f>(VLOOKUP('18.04'!U38,'18.04'!$AM$4:$AO$55,3,FALSE))</f>
        <v>55</v>
      </c>
      <c r="N38" s="4">
        <f>(VLOOKUP('18.04'!V38,'18.04'!$AM$4:$AO$55,3,FALSE))</f>
        <v>55</v>
      </c>
      <c r="O38" s="5">
        <f>(VLOOKUP('18.04'!W38,'18.04'!$AM$4:$AO$55,3,FALSE))</f>
        <v>55</v>
      </c>
      <c r="P38" s="5">
        <f>(VLOOKUP('18.04'!X38,'18.04'!$AM$4:$AO$55,3,FALSE))</f>
        <v>55</v>
      </c>
      <c r="Q38" s="4">
        <f>(VLOOKUP('18.04'!Y38,'18.04'!$AM$4:$AO$55,3,FALSE))</f>
        <v>0</v>
      </c>
      <c r="R38" s="4">
        <f>(VLOOKUP('18.04'!Z38,'18.04'!$AM$4:$AO$55,3,FALSE))</f>
        <v>0</v>
      </c>
      <c r="S38" s="4">
        <f>(VLOOKUP('18.04'!AA38,'18.04'!$AM$4:$AO$55,3,FALSE))</f>
        <v>0</v>
      </c>
      <c r="T38" s="4">
        <f>(VLOOKUP('18.04'!AB38,'18.04'!$AM$4:$AO$55,3,FALSE))</f>
        <v>0</v>
      </c>
      <c r="U38" s="4">
        <f>(VLOOKUP('18.04'!AC38,'18.04'!$AM$4:$AO$55,3,FALSE))</f>
        <v>0</v>
      </c>
      <c r="V38" s="4">
        <f>(VLOOKUP('18.04'!AD38,'18.04'!$AM$4:$AO$55,3,FALSE))</f>
        <v>0</v>
      </c>
      <c r="W38" s="5">
        <f>(VLOOKUP('18.04'!AE38,'18.04'!$AM$4:$AO$55,3,FALSE))</f>
        <v>0</v>
      </c>
      <c r="X38" s="5">
        <f>(VLOOKUP('18.04'!AF38,'18.04'!$AM$4:$AO$55,3,FALSE))</f>
        <v>0</v>
      </c>
    </row>
    <row r="39" spans="1:24">
      <c r="A39" s="4">
        <f>(VLOOKUP('18.04'!I39,'18.04'!$AM$4:$AO$55,3,FALSE))</f>
        <v>45</v>
      </c>
      <c r="B39" s="4">
        <f>(VLOOKUP('18.04'!J39,'18.04'!$AM$4:$AO$55,3,FALSE))</f>
        <v>45</v>
      </c>
      <c r="C39" s="4">
        <f>(VLOOKUP('18.04'!K39,'18.04'!$AM$4:$AO$55,3,FALSE))</f>
        <v>45</v>
      </c>
      <c r="D39" s="4">
        <f>(VLOOKUP('18.04'!L39,'18.04'!$AM$4:$AO$55,3,FALSE))</f>
        <v>45</v>
      </c>
      <c r="E39" s="4">
        <f>(VLOOKUP('18.04'!M39,'18.04'!$AM$4:$AO$55,3,FALSE))</f>
        <v>45</v>
      </c>
      <c r="F39" s="4">
        <f>(VLOOKUP('18.04'!N39,'18.04'!$AM$4:$AO$55,3,FALSE))</f>
        <v>45</v>
      </c>
      <c r="G39" s="5">
        <f>(VLOOKUP('18.04'!O39,'18.04'!$AM$4:$AO$55,3,FALSE))</f>
        <v>45</v>
      </c>
      <c r="H39" s="5">
        <f>(VLOOKUP('18.04'!P39,'18.04'!$AM$4:$AO$55,3,FALSE))</f>
        <v>0</v>
      </c>
      <c r="I39" s="4">
        <f>(VLOOKUP('18.04'!Q39,'18.04'!$AM$4:$AO$55,3,FALSE))</f>
        <v>55</v>
      </c>
      <c r="J39" s="4">
        <f>(VLOOKUP('18.04'!R39,'18.04'!$AM$4:$AO$55,3,FALSE))</f>
        <v>55</v>
      </c>
      <c r="K39" s="4">
        <f>(VLOOKUP('18.04'!S39,'18.04'!$AM$4:$AO$55,3,FALSE))</f>
        <v>55</v>
      </c>
      <c r="L39" s="4">
        <f>(VLOOKUP('18.04'!T39,'18.04'!$AM$4:$AO$55,3,FALSE))</f>
        <v>55</v>
      </c>
      <c r="M39" s="4">
        <f>(VLOOKUP('18.04'!U39,'18.04'!$AM$4:$AO$55,3,FALSE))</f>
        <v>55</v>
      </c>
      <c r="N39" s="4">
        <f>(VLOOKUP('18.04'!V39,'18.04'!$AM$4:$AO$55,3,FALSE))</f>
        <v>55</v>
      </c>
      <c r="O39" s="5">
        <f>(VLOOKUP('18.04'!W39,'18.04'!$AM$4:$AO$55,3,FALSE))</f>
        <v>55</v>
      </c>
      <c r="P39" s="5">
        <f>(VLOOKUP('18.04'!X39,'18.04'!$AM$4:$AO$55,3,FALSE))</f>
        <v>55</v>
      </c>
      <c r="Q39" s="4">
        <f>(VLOOKUP('18.04'!Y39,'18.04'!$AM$4:$AO$55,3,FALSE))</f>
        <v>0</v>
      </c>
      <c r="R39" s="4">
        <f>(VLOOKUP('18.04'!Z39,'18.04'!$AM$4:$AO$55,3,FALSE))</f>
        <v>0</v>
      </c>
      <c r="S39" s="4">
        <f>(VLOOKUP('18.04'!AA39,'18.04'!$AM$4:$AO$55,3,FALSE))</f>
        <v>0</v>
      </c>
      <c r="T39" s="4">
        <f>(VLOOKUP('18.04'!AB39,'18.04'!$AM$4:$AO$55,3,FALSE))</f>
        <v>0</v>
      </c>
      <c r="U39" s="4">
        <f>(VLOOKUP('18.04'!AC39,'18.04'!$AM$4:$AO$55,3,FALSE))</f>
        <v>0</v>
      </c>
      <c r="V39" s="4">
        <f>(VLOOKUP('18.04'!AD39,'18.04'!$AM$4:$AO$55,3,FALSE))</f>
        <v>0</v>
      </c>
      <c r="W39" s="5">
        <f>(VLOOKUP('18.04'!AE39,'18.04'!$AM$4:$AO$55,3,FALSE))</f>
        <v>0</v>
      </c>
      <c r="X39" s="5">
        <f>(VLOOKUP('18.04'!AF39,'18.04'!$AM$4:$AO$55,3,FALSE))</f>
        <v>0</v>
      </c>
    </row>
    <row r="40" spans="1:24">
      <c r="A40" s="4">
        <f>(VLOOKUP('18.04'!I40,'18.04'!$AM$4:$AO$55,3,FALSE))</f>
        <v>45</v>
      </c>
      <c r="B40" s="4">
        <f>(VLOOKUP('18.04'!J40,'18.04'!$AM$4:$AO$55,3,FALSE))</f>
        <v>45</v>
      </c>
      <c r="C40" s="4">
        <f>(VLOOKUP('18.04'!K40,'18.04'!$AM$4:$AO$55,3,FALSE))</f>
        <v>45</v>
      </c>
      <c r="D40" s="4">
        <f>(VLOOKUP('18.04'!L40,'18.04'!$AM$4:$AO$55,3,FALSE))</f>
        <v>45</v>
      </c>
      <c r="E40" s="4">
        <f>(VLOOKUP('18.04'!M40,'18.04'!$AM$4:$AO$55,3,FALSE))</f>
        <v>45</v>
      </c>
      <c r="F40" s="4">
        <f>(VLOOKUP('18.04'!N40,'18.04'!$AM$4:$AO$55,3,FALSE))</f>
        <v>45</v>
      </c>
      <c r="G40" s="5">
        <f>(VLOOKUP('18.04'!O40,'18.04'!$AM$4:$AO$55,3,FALSE))</f>
        <v>45</v>
      </c>
      <c r="H40" s="5">
        <f>(VLOOKUP('18.04'!P40,'18.04'!$AM$4:$AO$55,3,FALSE))</f>
        <v>0</v>
      </c>
      <c r="I40" s="4">
        <f>(VLOOKUP('18.04'!Q40,'18.04'!$AM$4:$AO$55,3,FALSE))</f>
        <v>55</v>
      </c>
      <c r="J40" s="4">
        <f>(VLOOKUP('18.04'!R40,'18.04'!$AM$4:$AO$55,3,FALSE))</f>
        <v>55</v>
      </c>
      <c r="K40" s="4">
        <f>(VLOOKUP('18.04'!S40,'18.04'!$AM$4:$AO$55,3,FALSE))</f>
        <v>55</v>
      </c>
      <c r="L40" s="4">
        <f>(VLOOKUP('18.04'!T40,'18.04'!$AM$4:$AO$55,3,FALSE))</f>
        <v>55</v>
      </c>
      <c r="M40" s="4">
        <f>(VLOOKUP('18.04'!U40,'18.04'!$AM$4:$AO$55,3,FALSE))</f>
        <v>55</v>
      </c>
      <c r="N40" s="4">
        <f>(VLOOKUP('18.04'!V40,'18.04'!$AM$4:$AO$55,3,FALSE))</f>
        <v>55</v>
      </c>
      <c r="O40" s="5">
        <f>(VLOOKUP('18.04'!W40,'18.04'!$AM$4:$AO$55,3,FALSE))</f>
        <v>55</v>
      </c>
      <c r="P40" s="5">
        <f>(VLOOKUP('18.04'!X40,'18.04'!$AM$4:$AO$55,3,FALSE))</f>
        <v>55</v>
      </c>
      <c r="Q40" s="4">
        <f>(VLOOKUP('18.04'!Y40,'18.04'!$AM$4:$AO$55,3,FALSE))</f>
        <v>0</v>
      </c>
      <c r="R40" s="4">
        <f>(VLOOKUP('18.04'!Z40,'18.04'!$AM$4:$AO$55,3,FALSE))</f>
        <v>0</v>
      </c>
      <c r="S40" s="4">
        <f>(VLOOKUP('18.04'!AA40,'18.04'!$AM$4:$AO$55,3,FALSE))</f>
        <v>0</v>
      </c>
      <c r="T40" s="4">
        <f>(VLOOKUP('18.04'!AB40,'18.04'!$AM$4:$AO$55,3,FALSE))</f>
        <v>0</v>
      </c>
      <c r="U40" s="4">
        <f>(VLOOKUP('18.04'!AC40,'18.04'!$AM$4:$AO$55,3,FALSE))</f>
        <v>0</v>
      </c>
      <c r="V40" s="4">
        <f>(VLOOKUP('18.04'!AD40,'18.04'!$AM$4:$AO$55,3,FALSE))</f>
        <v>0</v>
      </c>
      <c r="W40" s="5">
        <f>(VLOOKUP('18.04'!AE40,'18.04'!$AM$4:$AO$55,3,FALSE))</f>
        <v>0</v>
      </c>
      <c r="X40" s="5">
        <f>(VLOOKUP('18.04'!AF40,'18.04'!$AM$4:$AO$55,3,FALSE))</f>
        <v>0</v>
      </c>
    </row>
    <row r="41" spans="1:24">
      <c r="A41" s="4">
        <f>(VLOOKUP('18.04'!I41,'18.04'!$AM$4:$AO$55,3,FALSE))</f>
        <v>45</v>
      </c>
      <c r="B41" s="4">
        <f>(VLOOKUP('18.04'!J41,'18.04'!$AM$4:$AO$55,3,FALSE))</f>
        <v>45</v>
      </c>
      <c r="C41" s="4">
        <f>(VLOOKUP('18.04'!K41,'18.04'!$AM$4:$AO$55,3,FALSE))</f>
        <v>45</v>
      </c>
      <c r="D41" s="4">
        <f>(VLOOKUP('18.04'!L41,'18.04'!$AM$4:$AO$55,3,FALSE))</f>
        <v>45</v>
      </c>
      <c r="E41" s="4">
        <f>(VLOOKUP('18.04'!M41,'18.04'!$AM$4:$AO$55,3,FALSE))</f>
        <v>45</v>
      </c>
      <c r="F41" s="4">
        <f>(VLOOKUP('18.04'!N41,'18.04'!$AM$4:$AO$55,3,FALSE))</f>
        <v>45</v>
      </c>
      <c r="G41" s="5">
        <f>(VLOOKUP('18.04'!O41,'18.04'!$AM$4:$AO$55,3,FALSE))</f>
        <v>45</v>
      </c>
      <c r="H41" s="5">
        <f>(VLOOKUP('18.04'!P41,'18.04'!$AM$4:$AO$55,3,FALSE))</f>
        <v>0</v>
      </c>
      <c r="I41" s="4">
        <f>(VLOOKUP('18.04'!Q41,'18.04'!$AM$4:$AO$55,3,FALSE))</f>
        <v>55</v>
      </c>
      <c r="J41" s="4">
        <f>(VLOOKUP('18.04'!R41,'18.04'!$AM$4:$AO$55,3,FALSE))</f>
        <v>55</v>
      </c>
      <c r="K41" s="4">
        <f>(VLOOKUP('18.04'!S41,'18.04'!$AM$4:$AO$55,3,FALSE))</f>
        <v>55</v>
      </c>
      <c r="L41" s="4">
        <f>(VLOOKUP('18.04'!T41,'18.04'!$AM$4:$AO$55,3,FALSE))</f>
        <v>55</v>
      </c>
      <c r="M41" s="4">
        <f>(VLOOKUP('18.04'!U41,'18.04'!$AM$4:$AO$55,3,FALSE))</f>
        <v>55</v>
      </c>
      <c r="N41" s="4">
        <f>(VLOOKUP('18.04'!V41,'18.04'!$AM$4:$AO$55,3,FALSE))</f>
        <v>55</v>
      </c>
      <c r="O41" s="5">
        <f>(VLOOKUP('18.04'!W41,'18.04'!$AM$4:$AO$55,3,FALSE))</f>
        <v>55</v>
      </c>
      <c r="P41" s="5">
        <f>(VLOOKUP('18.04'!X41,'18.04'!$AM$4:$AO$55,3,FALSE))</f>
        <v>55</v>
      </c>
      <c r="Q41" s="4">
        <f>(VLOOKUP('18.04'!Y41,'18.04'!$AM$4:$AO$55,3,FALSE))</f>
        <v>0</v>
      </c>
      <c r="R41" s="4">
        <f>(VLOOKUP('18.04'!Z41,'18.04'!$AM$4:$AO$55,3,FALSE))</f>
        <v>0</v>
      </c>
      <c r="S41" s="4">
        <f>(VLOOKUP('18.04'!AA41,'18.04'!$AM$4:$AO$55,3,FALSE))</f>
        <v>0</v>
      </c>
      <c r="T41" s="4">
        <f>(VLOOKUP('18.04'!AB41,'18.04'!$AM$4:$AO$55,3,FALSE))</f>
        <v>0</v>
      </c>
      <c r="U41" s="4">
        <f>(VLOOKUP('18.04'!AC41,'18.04'!$AM$4:$AO$55,3,FALSE))</f>
        <v>0</v>
      </c>
      <c r="V41" s="4">
        <f>(VLOOKUP('18.04'!AD41,'18.04'!$AM$4:$AO$55,3,FALSE))</f>
        <v>0</v>
      </c>
      <c r="W41" s="5">
        <f>(VLOOKUP('18.04'!AE41,'18.04'!$AM$4:$AO$55,3,FALSE))</f>
        <v>0</v>
      </c>
      <c r="X41" s="5">
        <f>(VLOOKUP('18.04'!AF41,'18.04'!$AM$4:$AO$55,3,FALSE))</f>
        <v>0</v>
      </c>
    </row>
    <row r="42" spans="1:24">
      <c r="A42" s="4">
        <f>(VLOOKUP('18.04'!I42,'18.04'!$AM$4:$AO$55,3,FALSE))</f>
        <v>45</v>
      </c>
      <c r="B42" s="4">
        <f>(VLOOKUP('18.04'!J42,'18.04'!$AM$4:$AO$55,3,FALSE))</f>
        <v>45</v>
      </c>
      <c r="C42" s="4">
        <f>(VLOOKUP('18.04'!K42,'18.04'!$AM$4:$AO$55,3,FALSE))</f>
        <v>45</v>
      </c>
      <c r="D42" s="4">
        <f>(VLOOKUP('18.04'!L42,'18.04'!$AM$4:$AO$55,3,FALSE))</f>
        <v>45</v>
      </c>
      <c r="E42" s="4">
        <f>(VLOOKUP('18.04'!M42,'18.04'!$AM$4:$AO$55,3,FALSE))</f>
        <v>45</v>
      </c>
      <c r="F42" s="4">
        <f>(VLOOKUP('18.04'!N42,'18.04'!$AM$4:$AO$55,3,FALSE))</f>
        <v>45</v>
      </c>
      <c r="G42" s="5">
        <f>(VLOOKUP('18.04'!O42,'18.04'!$AM$4:$AO$55,3,FALSE))</f>
        <v>45</v>
      </c>
      <c r="H42" s="5">
        <f>(VLOOKUP('18.04'!P42,'18.04'!$AM$4:$AO$55,3,FALSE))</f>
        <v>0</v>
      </c>
      <c r="I42" s="4">
        <f>(VLOOKUP('18.04'!Q42,'18.04'!$AM$4:$AO$55,3,FALSE))</f>
        <v>55</v>
      </c>
      <c r="J42" s="4">
        <f>(VLOOKUP('18.04'!R42,'18.04'!$AM$4:$AO$55,3,FALSE))</f>
        <v>55</v>
      </c>
      <c r="K42" s="4">
        <f>(VLOOKUP('18.04'!S42,'18.04'!$AM$4:$AO$55,3,FALSE))</f>
        <v>55</v>
      </c>
      <c r="L42" s="4">
        <f>(VLOOKUP('18.04'!T42,'18.04'!$AM$4:$AO$55,3,FALSE))</f>
        <v>55</v>
      </c>
      <c r="M42" s="4">
        <f>(VLOOKUP('18.04'!U42,'18.04'!$AM$4:$AO$55,3,FALSE))</f>
        <v>55</v>
      </c>
      <c r="N42" s="4">
        <f>(VLOOKUP('18.04'!V42,'18.04'!$AM$4:$AO$55,3,FALSE))</f>
        <v>55</v>
      </c>
      <c r="O42" s="5">
        <f>(VLOOKUP('18.04'!W42,'18.04'!$AM$4:$AO$55,3,FALSE))</f>
        <v>55</v>
      </c>
      <c r="P42" s="5">
        <f>(VLOOKUP('18.04'!X42,'18.04'!$AM$4:$AO$55,3,FALSE))</f>
        <v>55</v>
      </c>
      <c r="Q42" s="4">
        <f>(VLOOKUP('18.04'!Y42,'18.04'!$AM$4:$AO$55,3,FALSE))</f>
        <v>0</v>
      </c>
      <c r="R42" s="4">
        <f>(VLOOKUP('18.04'!Z42,'18.04'!$AM$4:$AO$55,3,FALSE))</f>
        <v>0</v>
      </c>
      <c r="S42" s="4">
        <f>(VLOOKUP('18.04'!AA42,'18.04'!$AM$4:$AO$55,3,FALSE))</f>
        <v>0</v>
      </c>
      <c r="T42" s="4">
        <f>(VLOOKUP('18.04'!AB42,'18.04'!$AM$4:$AO$55,3,FALSE))</f>
        <v>0</v>
      </c>
      <c r="U42" s="4">
        <f>(VLOOKUP('18.04'!AC42,'18.04'!$AM$4:$AO$55,3,FALSE))</f>
        <v>0</v>
      </c>
      <c r="V42" s="4">
        <f>(VLOOKUP('18.04'!AD42,'18.04'!$AM$4:$AO$55,3,FALSE))</f>
        <v>0</v>
      </c>
      <c r="W42" s="5">
        <f>(VLOOKUP('18.04'!AE42,'18.04'!$AM$4:$AO$55,3,FALSE))</f>
        <v>0</v>
      </c>
      <c r="X42" s="5">
        <f>(VLOOKUP('18.04'!AF42,'18.04'!$AM$4:$AO$55,3,FALSE))</f>
        <v>0</v>
      </c>
    </row>
    <row r="43" spans="1:24">
      <c r="A43" s="4">
        <f>(VLOOKUP('18.04'!I43,'18.04'!$AM$4:$AO$55,3,FALSE))</f>
        <v>45</v>
      </c>
      <c r="B43" s="4">
        <f>(VLOOKUP('18.04'!J43,'18.04'!$AM$4:$AO$55,3,FALSE))</f>
        <v>45</v>
      </c>
      <c r="C43" s="4">
        <f>(VLOOKUP('18.04'!K43,'18.04'!$AM$4:$AO$55,3,FALSE))</f>
        <v>45</v>
      </c>
      <c r="D43" s="4">
        <f>(VLOOKUP('18.04'!L43,'18.04'!$AM$4:$AO$55,3,FALSE))</f>
        <v>45</v>
      </c>
      <c r="E43" s="4">
        <f>(VLOOKUP('18.04'!M43,'18.04'!$AM$4:$AO$55,3,FALSE))</f>
        <v>45</v>
      </c>
      <c r="F43" s="4">
        <f>(VLOOKUP('18.04'!N43,'18.04'!$AM$4:$AO$55,3,FALSE))</f>
        <v>45</v>
      </c>
      <c r="G43" s="5">
        <f>(VLOOKUP('18.04'!O43,'18.04'!$AM$4:$AO$55,3,FALSE))</f>
        <v>45</v>
      </c>
      <c r="H43" s="5">
        <f>(VLOOKUP('18.04'!P43,'18.04'!$AM$4:$AO$55,3,FALSE))</f>
        <v>0</v>
      </c>
      <c r="I43" s="4">
        <f>(VLOOKUP('18.04'!Q43,'18.04'!$AM$4:$AO$55,3,FALSE))</f>
        <v>55</v>
      </c>
      <c r="J43" s="4">
        <f>(VLOOKUP('18.04'!R43,'18.04'!$AM$4:$AO$55,3,FALSE))</f>
        <v>55</v>
      </c>
      <c r="K43" s="4">
        <f>(VLOOKUP('18.04'!S43,'18.04'!$AM$4:$AO$55,3,FALSE))</f>
        <v>55</v>
      </c>
      <c r="L43" s="4">
        <f>(VLOOKUP('18.04'!T43,'18.04'!$AM$4:$AO$55,3,FALSE))</f>
        <v>55</v>
      </c>
      <c r="M43" s="4">
        <f>(VLOOKUP('18.04'!U43,'18.04'!$AM$4:$AO$55,3,FALSE))</f>
        <v>55</v>
      </c>
      <c r="N43" s="4">
        <f>(VLOOKUP('18.04'!V43,'18.04'!$AM$4:$AO$55,3,FALSE))</f>
        <v>55</v>
      </c>
      <c r="O43" s="5">
        <f>(VLOOKUP('18.04'!W43,'18.04'!$AM$4:$AO$55,3,FALSE))</f>
        <v>55</v>
      </c>
      <c r="P43" s="5">
        <f>(VLOOKUP('18.04'!X43,'18.04'!$AM$4:$AO$55,3,FALSE))</f>
        <v>55</v>
      </c>
      <c r="Q43" s="4">
        <f>(VLOOKUP('18.04'!Y43,'18.04'!$AM$4:$AO$55,3,FALSE))</f>
        <v>0</v>
      </c>
      <c r="R43" s="4">
        <f>(VLOOKUP('18.04'!Z43,'18.04'!$AM$4:$AO$55,3,FALSE))</f>
        <v>0</v>
      </c>
      <c r="S43" s="4">
        <f>(VLOOKUP('18.04'!AA43,'18.04'!$AM$4:$AO$55,3,FALSE))</f>
        <v>0</v>
      </c>
      <c r="T43" s="4">
        <f>(VLOOKUP('18.04'!AB43,'18.04'!$AM$4:$AO$55,3,FALSE))</f>
        <v>0</v>
      </c>
      <c r="U43" s="4">
        <f>(VLOOKUP('18.04'!AC43,'18.04'!$AM$4:$AO$55,3,FALSE))</f>
        <v>0</v>
      </c>
      <c r="V43" s="4">
        <f>(VLOOKUP('18.04'!AD43,'18.04'!$AM$4:$AO$55,3,FALSE))</f>
        <v>0</v>
      </c>
      <c r="W43" s="5">
        <f>(VLOOKUP('18.04'!AE43,'18.04'!$AM$4:$AO$55,3,FALSE))</f>
        <v>0</v>
      </c>
      <c r="X43" s="5">
        <f>(VLOOKUP('18.04'!AF43,'18.04'!$AM$4:$AO$55,3,FALSE))</f>
        <v>0</v>
      </c>
    </row>
    <row r="44" spans="1:24">
      <c r="A44" s="4">
        <f>(VLOOKUP('18.04'!I44,'18.04'!$AM$4:$AO$55,3,FALSE))</f>
        <v>45</v>
      </c>
      <c r="B44" s="4">
        <f>(VLOOKUP('18.04'!J44,'18.04'!$AM$4:$AO$55,3,FALSE))</f>
        <v>45</v>
      </c>
      <c r="C44" s="4">
        <f>(VLOOKUP('18.04'!K44,'18.04'!$AM$4:$AO$55,3,FALSE))</f>
        <v>45</v>
      </c>
      <c r="D44" s="4">
        <f>(VLOOKUP('18.04'!L44,'18.04'!$AM$4:$AO$55,3,FALSE))</f>
        <v>45</v>
      </c>
      <c r="E44" s="4">
        <f>(VLOOKUP('18.04'!M44,'18.04'!$AM$4:$AO$55,3,FALSE))</f>
        <v>45</v>
      </c>
      <c r="F44" s="4">
        <f>(VLOOKUP('18.04'!N44,'18.04'!$AM$4:$AO$55,3,FALSE))</f>
        <v>45</v>
      </c>
      <c r="G44" s="5">
        <f>(VLOOKUP('18.04'!O44,'18.04'!$AM$4:$AO$55,3,FALSE))</f>
        <v>45</v>
      </c>
      <c r="H44" s="5">
        <f>(VLOOKUP('18.04'!P44,'18.04'!$AM$4:$AO$55,3,FALSE))</f>
        <v>0</v>
      </c>
      <c r="I44" s="4">
        <f>(VLOOKUP('18.04'!Q44,'18.04'!$AM$4:$AO$55,3,FALSE))</f>
        <v>55</v>
      </c>
      <c r="J44" s="4">
        <f>(VLOOKUP('18.04'!R44,'18.04'!$AM$4:$AO$55,3,FALSE))</f>
        <v>55</v>
      </c>
      <c r="K44" s="4">
        <f>(VLOOKUP('18.04'!S44,'18.04'!$AM$4:$AO$55,3,FALSE))</f>
        <v>55</v>
      </c>
      <c r="L44" s="4">
        <f>(VLOOKUP('18.04'!T44,'18.04'!$AM$4:$AO$55,3,FALSE))</f>
        <v>55</v>
      </c>
      <c r="M44" s="4">
        <f>(VLOOKUP('18.04'!U44,'18.04'!$AM$4:$AO$55,3,FALSE))</f>
        <v>55</v>
      </c>
      <c r="N44" s="4">
        <f>(VLOOKUP('18.04'!V44,'18.04'!$AM$4:$AO$55,3,FALSE))</f>
        <v>55</v>
      </c>
      <c r="O44" s="5">
        <f>(VLOOKUP('18.04'!W44,'18.04'!$AM$4:$AO$55,3,FALSE))</f>
        <v>55</v>
      </c>
      <c r="P44" s="5">
        <f>(VLOOKUP('18.04'!X44,'18.04'!$AM$4:$AO$55,3,FALSE))</f>
        <v>55</v>
      </c>
      <c r="Q44" s="4">
        <f>(VLOOKUP('18.04'!Y44,'18.04'!$AM$4:$AO$55,3,FALSE))</f>
        <v>0</v>
      </c>
      <c r="R44" s="4">
        <f>(VLOOKUP('18.04'!Z44,'18.04'!$AM$4:$AO$55,3,FALSE))</f>
        <v>0</v>
      </c>
      <c r="S44" s="4">
        <f>(VLOOKUP('18.04'!AA44,'18.04'!$AM$4:$AO$55,3,FALSE))</f>
        <v>0</v>
      </c>
      <c r="T44" s="4">
        <f>(VLOOKUP('18.04'!AB44,'18.04'!$AM$4:$AO$55,3,FALSE))</f>
        <v>0</v>
      </c>
      <c r="U44" s="4">
        <f>(VLOOKUP('18.04'!AC44,'18.04'!$AM$4:$AO$55,3,FALSE))</f>
        <v>0</v>
      </c>
      <c r="V44" s="4">
        <f>(VLOOKUP('18.04'!AD44,'18.04'!$AM$4:$AO$55,3,FALSE))</f>
        <v>0</v>
      </c>
      <c r="W44" s="5">
        <f>(VLOOKUP('18.04'!AE44,'18.04'!$AM$4:$AO$55,3,FALSE))</f>
        <v>0</v>
      </c>
      <c r="X44" s="5">
        <f>(VLOOKUP('18.04'!AF44,'18.04'!$AM$4:$AO$55,3,FALSE))</f>
        <v>0</v>
      </c>
    </row>
    <row r="45" spans="1:24">
      <c r="A45" s="4">
        <f>(VLOOKUP('18.04'!I45,'18.04'!$AM$4:$AO$55,3,FALSE))</f>
        <v>45</v>
      </c>
      <c r="B45" s="4">
        <f>(VLOOKUP('18.04'!J45,'18.04'!$AM$4:$AO$55,3,FALSE))</f>
        <v>45</v>
      </c>
      <c r="C45" s="4">
        <f>(VLOOKUP('18.04'!K45,'18.04'!$AM$4:$AO$55,3,FALSE))</f>
        <v>45</v>
      </c>
      <c r="D45" s="4">
        <f>(VLOOKUP('18.04'!L45,'18.04'!$AM$4:$AO$55,3,FALSE))</f>
        <v>45</v>
      </c>
      <c r="E45" s="4">
        <f>(VLOOKUP('18.04'!M45,'18.04'!$AM$4:$AO$55,3,FALSE))</f>
        <v>45</v>
      </c>
      <c r="F45" s="4">
        <f>(VLOOKUP('18.04'!N45,'18.04'!$AM$4:$AO$55,3,FALSE))</f>
        <v>45</v>
      </c>
      <c r="G45" s="5">
        <f>(VLOOKUP('18.04'!O45,'18.04'!$AM$4:$AO$55,3,FALSE))</f>
        <v>45</v>
      </c>
      <c r="H45" s="5">
        <f>(VLOOKUP('18.04'!P45,'18.04'!$AM$4:$AO$55,3,FALSE))</f>
        <v>0</v>
      </c>
      <c r="I45" s="4">
        <f>(VLOOKUP('18.04'!Q45,'18.04'!$AM$4:$AO$55,3,FALSE))</f>
        <v>55</v>
      </c>
      <c r="J45" s="4">
        <f>(VLOOKUP('18.04'!R45,'18.04'!$AM$4:$AO$55,3,FALSE))</f>
        <v>55</v>
      </c>
      <c r="K45" s="4">
        <f>(VLOOKUP('18.04'!S45,'18.04'!$AM$4:$AO$55,3,FALSE))</f>
        <v>55</v>
      </c>
      <c r="L45" s="4">
        <f>(VLOOKUP('18.04'!T45,'18.04'!$AM$4:$AO$55,3,FALSE))</f>
        <v>55</v>
      </c>
      <c r="M45" s="4">
        <f>(VLOOKUP('18.04'!U45,'18.04'!$AM$4:$AO$55,3,FALSE))</f>
        <v>55</v>
      </c>
      <c r="N45" s="4">
        <f>(VLOOKUP('18.04'!V45,'18.04'!$AM$4:$AO$55,3,FALSE))</f>
        <v>55</v>
      </c>
      <c r="O45" s="5">
        <f>(VLOOKUP('18.04'!W45,'18.04'!$AM$4:$AO$55,3,FALSE))</f>
        <v>55</v>
      </c>
      <c r="P45" s="5">
        <f>(VLOOKUP('18.04'!X45,'18.04'!$AM$4:$AO$55,3,FALSE))</f>
        <v>55</v>
      </c>
      <c r="Q45" s="4">
        <f>(VLOOKUP('18.04'!Y45,'18.04'!$AM$4:$AO$55,3,FALSE))</f>
        <v>0</v>
      </c>
      <c r="R45" s="4">
        <f>(VLOOKUP('18.04'!Z45,'18.04'!$AM$4:$AO$55,3,FALSE))</f>
        <v>0</v>
      </c>
      <c r="S45" s="4">
        <f>(VLOOKUP('18.04'!AA45,'18.04'!$AM$4:$AO$55,3,FALSE))</f>
        <v>0</v>
      </c>
      <c r="T45" s="4">
        <f>(VLOOKUP('18.04'!AB45,'18.04'!$AM$4:$AO$55,3,FALSE))</f>
        <v>0</v>
      </c>
      <c r="U45" s="4">
        <f>(VLOOKUP('18.04'!AC45,'18.04'!$AM$4:$AO$55,3,FALSE))</f>
        <v>0</v>
      </c>
      <c r="V45" s="4">
        <f>(VLOOKUP('18.04'!AD45,'18.04'!$AM$4:$AO$55,3,FALSE))</f>
        <v>0</v>
      </c>
      <c r="W45" s="5">
        <f>(VLOOKUP('18.04'!AE45,'18.04'!$AM$4:$AO$55,3,FALSE))</f>
        <v>0</v>
      </c>
      <c r="X45" s="5">
        <f>(VLOOKUP('18.04'!AF45,'18.04'!$AM$4:$AO$55,3,FALSE))</f>
        <v>0</v>
      </c>
    </row>
    <row r="46" spans="1:24">
      <c r="A46" s="4">
        <f>(VLOOKUP('18.04'!I46,'18.04'!$AM$4:$AO$55,3,FALSE))</f>
        <v>45</v>
      </c>
      <c r="B46" s="4">
        <f>(VLOOKUP('18.04'!J46,'18.04'!$AM$4:$AO$55,3,FALSE))</f>
        <v>45</v>
      </c>
      <c r="C46" s="4">
        <f>(VLOOKUP('18.04'!K46,'18.04'!$AM$4:$AO$55,3,FALSE))</f>
        <v>45</v>
      </c>
      <c r="D46" s="4">
        <f>(VLOOKUP('18.04'!L46,'18.04'!$AM$4:$AO$55,3,FALSE))</f>
        <v>45</v>
      </c>
      <c r="E46" s="4">
        <f>(VLOOKUP('18.04'!M46,'18.04'!$AM$4:$AO$55,3,FALSE))</f>
        <v>45</v>
      </c>
      <c r="F46" s="4">
        <f>(VLOOKUP('18.04'!N46,'18.04'!$AM$4:$AO$55,3,FALSE))</f>
        <v>45</v>
      </c>
      <c r="G46" s="5">
        <f>(VLOOKUP('18.04'!O46,'18.04'!$AM$4:$AO$55,3,FALSE))</f>
        <v>45</v>
      </c>
      <c r="H46" s="5">
        <f>(VLOOKUP('18.04'!P46,'18.04'!$AM$4:$AO$55,3,FALSE))</f>
        <v>0</v>
      </c>
      <c r="I46" s="4">
        <f>(VLOOKUP('18.04'!Q46,'18.04'!$AM$4:$AO$55,3,FALSE))</f>
        <v>55</v>
      </c>
      <c r="J46" s="4">
        <f>(VLOOKUP('18.04'!R46,'18.04'!$AM$4:$AO$55,3,FALSE))</f>
        <v>55</v>
      </c>
      <c r="K46" s="4">
        <f>(VLOOKUP('18.04'!S46,'18.04'!$AM$4:$AO$55,3,FALSE))</f>
        <v>55</v>
      </c>
      <c r="L46" s="4">
        <f>(VLOOKUP('18.04'!T46,'18.04'!$AM$4:$AO$55,3,FALSE))</f>
        <v>55</v>
      </c>
      <c r="M46" s="4">
        <f>(VLOOKUP('18.04'!U46,'18.04'!$AM$4:$AO$55,3,FALSE))</f>
        <v>55</v>
      </c>
      <c r="N46" s="4">
        <f>(VLOOKUP('18.04'!V46,'18.04'!$AM$4:$AO$55,3,FALSE))</f>
        <v>55</v>
      </c>
      <c r="O46" s="5">
        <f>(VLOOKUP('18.04'!W46,'18.04'!$AM$4:$AO$55,3,FALSE))</f>
        <v>55</v>
      </c>
      <c r="P46" s="5">
        <f>(VLOOKUP('18.04'!X46,'18.04'!$AM$4:$AO$55,3,FALSE))</f>
        <v>55</v>
      </c>
      <c r="Q46" s="4">
        <f>(VLOOKUP('18.04'!Y46,'18.04'!$AM$4:$AO$55,3,FALSE))</f>
        <v>0</v>
      </c>
      <c r="R46" s="4">
        <f>(VLOOKUP('18.04'!Z46,'18.04'!$AM$4:$AO$55,3,FALSE))</f>
        <v>0</v>
      </c>
      <c r="S46" s="4">
        <f>(VLOOKUP('18.04'!AA46,'18.04'!$AM$4:$AO$55,3,FALSE))</f>
        <v>0</v>
      </c>
      <c r="T46" s="4">
        <f>(VLOOKUP('18.04'!AB46,'18.04'!$AM$4:$AO$55,3,FALSE))</f>
        <v>0</v>
      </c>
      <c r="U46" s="4">
        <f>(VLOOKUP('18.04'!AC46,'18.04'!$AM$4:$AO$55,3,FALSE))</f>
        <v>0</v>
      </c>
      <c r="V46" s="4">
        <f>(VLOOKUP('18.04'!AD46,'18.04'!$AM$4:$AO$55,3,FALSE))</f>
        <v>0</v>
      </c>
      <c r="W46" s="5">
        <f>(VLOOKUP('18.04'!AE46,'18.04'!$AM$4:$AO$55,3,FALSE))</f>
        <v>0</v>
      </c>
      <c r="X46" s="5">
        <f>(VLOOKUP('18.04'!AF46,'18.04'!$AM$4:$AO$55,3,FALSE))</f>
        <v>0</v>
      </c>
    </row>
    <row r="47" spans="1:24">
      <c r="A47" s="4">
        <f>(VLOOKUP('18.04'!I47,'18.04'!$AM$4:$AO$55,3,FALSE))</f>
        <v>45</v>
      </c>
      <c r="B47" s="4">
        <f>(VLOOKUP('18.04'!J47,'18.04'!$AM$4:$AO$55,3,FALSE))</f>
        <v>45</v>
      </c>
      <c r="C47" s="4">
        <f>(VLOOKUP('18.04'!K47,'18.04'!$AM$4:$AO$55,3,FALSE))</f>
        <v>45</v>
      </c>
      <c r="D47" s="4">
        <f>(VLOOKUP('18.04'!L47,'18.04'!$AM$4:$AO$55,3,FALSE))</f>
        <v>45</v>
      </c>
      <c r="E47" s="4">
        <f>(VLOOKUP('18.04'!M47,'18.04'!$AM$4:$AO$55,3,FALSE))</f>
        <v>45</v>
      </c>
      <c r="F47" s="4">
        <f>(VLOOKUP('18.04'!N47,'18.04'!$AM$4:$AO$55,3,FALSE))</f>
        <v>45</v>
      </c>
      <c r="G47" s="5">
        <f>(VLOOKUP('18.04'!O47,'18.04'!$AM$4:$AO$55,3,FALSE))</f>
        <v>45</v>
      </c>
      <c r="H47" s="5">
        <f>(VLOOKUP('18.04'!P47,'18.04'!$AM$4:$AO$55,3,FALSE))</f>
        <v>0</v>
      </c>
      <c r="I47" s="4">
        <f>(VLOOKUP('18.04'!Q47,'18.04'!$AM$4:$AO$55,3,FALSE))</f>
        <v>55</v>
      </c>
      <c r="J47" s="4">
        <f>(VLOOKUP('18.04'!R47,'18.04'!$AM$4:$AO$55,3,FALSE))</f>
        <v>55</v>
      </c>
      <c r="K47" s="4">
        <f>(VLOOKUP('18.04'!S47,'18.04'!$AM$4:$AO$55,3,FALSE))</f>
        <v>55</v>
      </c>
      <c r="L47" s="4">
        <f>(VLOOKUP('18.04'!T47,'18.04'!$AM$4:$AO$55,3,FALSE))</f>
        <v>55</v>
      </c>
      <c r="M47" s="4">
        <f>(VLOOKUP('18.04'!U47,'18.04'!$AM$4:$AO$55,3,FALSE))</f>
        <v>55</v>
      </c>
      <c r="N47" s="4">
        <f>(VLOOKUP('18.04'!V47,'18.04'!$AM$4:$AO$55,3,FALSE))</f>
        <v>55</v>
      </c>
      <c r="O47" s="5">
        <f>(VLOOKUP('18.04'!W47,'18.04'!$AM$4:$AO$55,3,FALSE))</f>
        <v>55</v>
      </c>
      <c r="P47" s="5">
        <f>(VLOOKUP('18.04'!X47,'18.04'!$AM$4:$AO$55,3,FALSE))</f>
        <v>55</v>
      </c>
      <c r="Q47" s="4">
        <f>(VLOOKUP('18.04'!Y47,'18.04'!$AM$4:$AO$55,3,FALSE))</f>
        <v>0</v>
      </c>
      <c r="R47" s="4">
        <f>(VLOOKUP('18.04'!Z47,'18.04'!$AM$4:$AO$55,3,FALSE))</f>
        <v>0</v>
      </c>
      <c r="S47" s="4">
        <f>(VLOOKUP('18.04'!AA47,'18.04'!$AM$4:$AO$55,3,FALSE))</f>
        <v>0</v>
      </c>
      <c r="T47" s="4">
        <f>(VLOOKUP('18.04'!AB47,'18.04'!$AM$4:$AO$55,3,FALSE))</f>
        <v>0</v>
      </c>
      <c r="U47" s="4">
        <f>(VLOOKUP('18.04'!AC47,'18.04'!$AM$4:$AO$55,3,FALSE))</f>
        <v>0</v>
      </c>
      <c r="V47" s="4">
        <f>(VLOOKUP('18.04'!AD47,'18.04'!$AM$4:$AO$55,3,FALSE))</f>
        <v>0</v>
      </c>
      <c r="W47" s="5">
        <f>(VLOOKUP('18.04'!AE47,'18.04'!$AM$4:$AO$55,3,FALSE))</f>
        <v>0</v>
      </c>
      <c r="X47" s="5">
        <f>(VLOOKUP('18.04'!AF47,'18.04'!$AM$4:$AO$55,3,FALSE))</f>
        <v>0</v>
      </c>
    </row>
    <row r="48" spans="1:24">
      <c r="A48" s="4">
        <f>(VLOOKUP('18.04'!I48,'18.04'!$AM$4:$AO$55,3,FALSE))</f>
        <v>45</v>
      </c>
      <c r="B48" s="4">
        <f>(VLOOKUP('18.04'!J48,'18.04'!$AM$4:$AO$55,3,FALSE))</f>
        <v>45</v>
      </c>
      <c r="C48" s="4">
        <f>(VLOOKUP('18.04'!K48,'18.04'!$AM$4:$AO$55,3,FALSE))</f>
        <v>45</v>
      </c>
      <c r="D48" s="4">
        <f>(VLOOKUP('18.04'!L48,'18.04'!$AM$4:$AO$55,3,FALSE))</f>
        <v>45</v>
      </c>
      <c r="E48" s="4">
        <f>(VLOOKUP('18.04'!M48,'18.04'!$AM$4:$AO$55,3,FALSE))</f>
        <v>45</v>
      </c>
      <c r="F48" s="4">
        <f>(VLOOKUP('18.04'!N48,'18.04'!$AM$4:$AO$55,3,FALSE))</f>
        <v>45</v>
      </c>
      <c r="G48" s="5">
        <f>(VLOOKUP('18.04'!O48,'18.04'!$AM$4:$AO$55,3,FALSE))</f>
        <v>45</v>
      </c>
      <c r="H48" s="5">
        <f>(VLOOKUP('18.04'!P48,'18.04'!$AM$4:$AO$55,3,FALSE))</f>
        <v>0</v>
      </c>
      <c r="I48" s="4">
        <f>(VLOOKUP('18.04'!Q48,'18.04'!$AM$4:$AO$55,3,FALSE))</f>
        <v>55</v>
      </c>
      <c r="J48" s="4">
        <f>(VLOOKUP('18.04'!R48,'18.04'!$AM$4:$AO$55,3,FALSE))</f>
        <v>55</v>
      </c>
      <c r="K48" s="4">
        <f>(VLOOKUP('18.04'!S48,'18.04'!$AM$4:$AO$55,3,FALSE))</f>
        <v>55</v>
      </c>
      <c r="L48" s="4">
        <f>(VLOOKUP('18.04'!T48,'18.04'!$AM$4:$AO$55,3,FALSE))</f>
        <v>55</v>
      </c>
      <c r="M48" s="4">
        <f>(VLOOKUP('18.04'!U48,'18.04'!$AM$4:$AO$55,3,FALSE))</f>
        <v>55</v>
      </c>
      <c r="N48" s="4">
        <f>(VLOOKUP('18.04'!V48,'18.04'!$AM$4:$AO$55,3,FALSE))</f>
        <v>55</v>
      </c>
      <c r="O48" s="5">
        <f>(VLOOKUP('18.04'!W48,'18.04'!$AM$4:$AO$55,3,FALSE))</f>
        <v>55</v>
      </c>
      <c r="P48" s="5">
        <f>(VLOOKUP('18.04'!X48,'18.04'!$AM$4:$AO$55,3,FALSE))</f>
        <v>55</v>
      </c>
      <c r="Q48" s="4">
        <f>(VLOOKUP('18.04'!Y48,'18.04'!$AM$4:$AO$55,3,FALSE))</f>
        <v>0</v>
      </c>
      <c r="R48" s="4">
        <f>(VLOOKUP('18.04'!Z48,'18.04'!$AM$4:$AO$55,3,FALSE))</f>
        <v>0</v>
      </c>
      <c r="S48" s="4">
        <f>(VLOOKUP('18.04'!AA48,'18.04'!$AM$4:$AO$55,3,FALSE))</f>
        <v>0</v>
      </c>
      <c r="T48" s="4">
        <f>(VLOOKUP('18.04'!AB48,'18.04'!$AM$4:$AO$55,3,FALSE))</f>
        <v>0</v>
      </c>
      <c r="U48" s="4">
        <f>(VLOOKUP('18.04'!AC48,'18.04'!$AM$4:$AO$55,3,FALSE))</f>
        <v>0</v>
      </c>
      <c r="V48" s="4">
        <f>(VLOOKUP('18.04'!AD48,'18.04'!$AM$4:$AO$55,3,FALSE))</f>
        <v>0</v>
      </c>
      <c r="W48" s="5">
        <f>(VLOOKUP('18.04'!AE48,'18.04'!$AM$4:$AO$55,3,FALSE))</f>
        <v>0</v>
      </c>
      <c r="X48" s="5">
        <f>(VLOOKUP('18.04'!AF48,'18.04'!$AM$4:$AO$55,3,FALSE))</f>
        <v>0</v>
      </c>
    </row>
    <row r="49" spans="1:24">
      <c r="A49" s="4">
        <f>(VLOOKUP('18.04'!I49,'18.04'!$AM$4:$AO$55,3,FALSE))</f>
        <v>45</v>
      </c>
      <c r="B49" s="4">
        <f>(VLOOKUP('18.04'!J49,'18.04'!$AM$4:$AO$55,3,FALSE))</f>
        <v>45</v>
      </c>
      <c r="C49" s="4">
        <f>(VLOOKUP('18.04'!K49,'18.04'!$AM$4:$AO$55,3,FALSE))</f>
        <v>45</v>
      </c>
      <c r="D49" s="4">
        <f>(VLOOKUP('18.04'!L49,'18.04'!$AM$4:$AO$55,3,FALSE))</f>
        <v>45</v>
      </c>
      <c r="E49" s="4">
        <f>(VLOOKUP('18.04'!M49,'18.04'!$AM$4:$AO$55,3,FALSE))</f>
        <v>45</v>
      </c>
      <c r="F49" s="4">
        <f>(VLOOKUP('18.04'!N49,'18.04'!$AM$4:$AO$55,3,FALSE))</f>
        <v>45</v>
      </c>
      <c r="G49" s="5">
        <f>(VLOOKUP('18.04'!O49,'18.04'!$AM$4:$AO$55,3,FALSE))</f>
        <v>45</v>
      </c>
      <c r="H49" s="5">
        <f>(VLOOKUP('18.04'!P49,'18.04'!$AM$4:$AO$55,3,FALSE))</f>
        <v>0</v>
      </c>
      <c r="I49" s="4">
        <f>(VLOOKUP('18.04'!Q49,'18.04'!$AM$4:$AO$55,3,FALSE))</f>
        <v>55</v>
      </c>
      <c r="J49" s="4">
        <f>(VLOOKUP('18.04'!R49,'18.04'!$AM$4:$AO$55,3,FALSE))</f>
        <v>55</v>
      </c>
      <c r="K49" s="4">
        <f>(VLOOKUP('18.04'!S49,'18.04'!$AM$4:$AO$55,3,FALSE))</f>
        <v>55</v>
      </c>
      <c r="L49" s="4">
        <f>(VLOOKUP('18.04'!T49,'18.04'!$AM$4:$AO$55,3,FALSE))</f>
        <v>55</v>
      </c>
      <c r="M49" s="4">
        <f>(VLOOKUP('18.04'!U49,'18.04'!$AM$4:$AO$55,3,FALSE))</f>
        <v>55</v>
      </c>
      <c r="N49" s="4">
        <f>(VLOOKUP('18.04'!V49,'18.04'!$AM$4:$AO$55,3,FALSE))</f>
        <v>55</v>
      </c>
      <c r="O49" s="5">
        <f>(VLOOKUP('18.04'!W49,'18.04'!$AM$4:$AO$55,3,FALSE))</f>
        <v>55</v>
      </c>
      <c r="P49" s="5">
        <f>(VLOOKUP('18.04'!X49,'18.04'!$AM$4:$AO$55,3,FALSE))</f>
        <v>55</v>
      </c>
      <c r="Q49" s="4">
        <f>(VLOOKUP('18.04'!Y49,'18.04'!$AM$4:$AO$55,3,FALSE))</f>
        <v>0</v>
      </c>
      <c r="R49" s="4">
        <f>(VLOOKUP('18.04'!Z49,'18.04'!$AM$4:$AO$55,3,FALSE))</f>
        <v>0</v>
      </c>
      <c r="S49" s="4">
        <f>(VLOOKUP('18.04'!AA49,'18.04'!$AM$4:$AO$55,3,FALSE))</f>
        <v>0</v>
      </c>
      <c r="T49" s="4">
        <f>(VLOOKUP('18.04'!AB49,'18.04'!$AM$4:$AO$55,3,FALSE))</f>
        <v>0</v>
      </c>
      <c r="U49" s="4">
        <f>(VLOOKUP('18.04'!AC49,'18.04'!$AM$4:$AO$55,3,FALSE))</f>
        <v>0</v>
      </c>
      <c r="V49" s="4">
        <f>(VLOOKUP('18.04'!AD49,'18.04'!$AM$4:$AO$55,3,FALSE))</f>
        <v>0</v>
      </c>
      <c r="W49" s="5">
        <f>(VLOOKUP('18.04'!AE49,'18.04'!$AM$4:$AO$55,3,FALSE))</f>
        <v>0</v>
      </c>
      <c r="X49" s="5">
        <f>(VLOOKUP('18.04'!AF49,'18.04'!$AM$4:$AO$55,3,FALSE))</f>
        <v>0</v>
      </c>
    </row>
    <row r="50" spans="1:24">
      <c r="A50" s="4">
        <f>(VLOOKUP('18.04'!I50,'18.04'!$AM$4:$AO$55,3,FALSE))</f>
        <v>45</v>
      </c>
      <c r="B50" s="4">
        <f>(VLOOKUP('18.04'!J50,'18.04'!$AM$4:$AO$55,3,FALSE))</f>
        <v>45</v>
      </c>
      <c r="C50" s="4">
        <f>(VLOOKUP('18.04'!K50,'18.04'!$AM$4:$AO$55,3,FALSE))</f>
        <v>45</v>
      </c>
      <c r="D50" s="4">
        <f>(VLOOKUP('18.04'!L50,'18.04'!$AM$4:$AO$55,3,FALSE))</f>
        <v>45</v>
      </c>
      <c r="E50" s="4">
        <f>(VLOOKUP('18.04'!M50,'18.04'!$AM$4:$AO$55,3,FALSE))</f>
        <v>45</v>
      </c>
      <c r="F50" s="4">
        <f>(VLOOKUP('18.04'!N50,'18.04'!$AM$4:$AO$55,3,FALSE))</f>
        <v>45</v>
      </c>
      <c r="G50" s="5">
        <f>(VLOOKUP('18.04'!O50,'18.04'!$AM$4:$AO$55,3,FALSE))</f>
        <v>45</v>
      </c>
      <c r="H50" s="5">
        <f>(VLOOKUP('18.04'!P50,'18.04'!$AM$4:$AO$55,3,FALSE))</f>
        <v>0</v>
      </c>
      <c r="I50" s="4">
        <f>(VLOOKUP('18.04'!Q50,'18.04'!$AM$4:$AO$55,3,FALSE))</f>
        <v>55</v>
      </c>
      <c r="J50" s="4">
        <f>(VLOOKUP('18.04'!R50,'18.04'!$AM$4:$AO$55,3,FALSE))</f>
        <v>55</v>
      </c>
      <c r="K50" s="4">
        <f>(VLOOKUP('18.04'!S50,'18.04'!$AM$4:$AO$55,3,FALSE))</f>
        <v>55</v>
      </c>
      <c r="L50" s="4">
        <f>(VLOOKUP('18.04'!T50,'18.04'!$AM$4:$AO$55,3,FALSE))</f>
        <v>55</v>
      </c>
      <c r="M50" s="4">
        <f>(VLOOKUP('18.04'!U50,'18.04'!$AM$4:$AO$55,3,FALSE))</f>
        <v>55</v>
      </c>
      <c r="N50" s="4">
        <f>(VLOOKUP('18.04'!V50,'18.04'!$AM$4:$AO$55,3,FALSE))</f>
        <v>55</v>
      </c>
      <c r="O50" s="5">
        <f>(VLOOKUP('18.04'!W50,'18.04'!$AM$4:$AO$55,3,FALSE))</f>
        <v>55</v>
      </c>
      <c r="P50" s="5">
        <f>(VLOOKUP('18.04'!X50,'18.04'!$AM$4:$AO$55,3,FALSE))</f>
        <v>55</v>
      </c>
      <c r="Q50" s="4">
        <f>(VLOOKUP('18.04'!Y50,'18.04'!$AM$4:$AO$55,3,FALSE))</f>
        <v>0</v>
      </c>
      <c r="R50" s="4">
        <f>(VLOOKUP('18.04'!Z50,'18.04'!$AM$4:$AO$55,3,FALSE))</f>
        <v>0</v>
      </c>
      <c r="S50" s="4">
        <f>(VLOOKUP('18.04'!AA50,'18.04'!$AM$4:$AO$55,3,FALSE))</f>
        <v>0</v>
      </c>
      <c r="T50" s="4">
        <f>(VLOOKUP('18.04'!AB50,'18.04'!$AM$4:$AO$55,3,FALSE))</f>
        <v>0</v>
      </c>
      <c r="U50" s="4">
        <f>(VLOOKUP('18.04'!AC50,'18.04'!$AM$4:$AO$55,3,FALSE))</f>
        <v>0</v>
      </c>
      <c r="V50" s="4">
        <f>(VLOOKUP('18.04'!AD50,'18.04'!$AM$4:$AO$55,3,FALSE))</f>
        <v>0</v>
      </c>
      <c r="W50" s="5">
        <f>(VLOOKUP('18.04'!AE50,'18.04'!$AM$4:$AO$55,3,FALSE))</f>
        <v>0</v>
      </c>
      <c r="X50" s="5">
        <f>(VLOOKUP('18.04'!AF50,'18.04'!$AM$4:$AO$55,3,FALSE))</f>
        <v>0</v>
      </c>
    </row>
    <row r="51" spans="1:24">
      <c r="A51" s="4">
        <f>(VLOOKUP('18.04'!I51,'18.04'!$AM$4:$AO$55,3,FALSE))</f>
        <v>45</v>
      </c>
      <c r="B51" s="4">
        <f>(VLOOKUP('18.04'!J51,'18.04'!$AM$4:$AO$55,3,FALSE))</f>
        <v>45</v>
      </c>
      <c r="C51" s="4">
        <f>(VLOOKUP('18.04'!K51,'18.04'!$AM$4:$AO$55,3,FALSE))</f>
        <v>0</v>
      </c>
      <c r="D51" s="4">
        <f>(VLOOKUP('18.04'!L51,'18.04'!$AM$4:$AO$55,3,FALSE))</f>
        <v>0</v>
      </c>
      <c r="E51" s="4">
        <f>(VLOOKUP('18.04'!M51,'18.04'!$AM$4:$AO$55,3,FALSE))</f>
        <v>0</v>
      </c>
      <c r="F51" s="4">
        <f>(VLOOKUP('18.04'!N51,'18.04'!$AM$4:$AO$55,3,FALSE))</f>
        <v>0</v>
      </c>
      <c r="G51" s="5">
        <f>(VLOOKUP('18.04'!O51,'18.04'!$AM$4:$AO$55,3,FALSE))</f>
        <v>0</v>
      </c>
      <c r="H51" s="5">
        <f>(VLOOKUP('18.04'!P51,'18.04'!$AM$4:$AO$55,3,FALSE))</f>
        <v>0</v>
      </c>
      <c r="I51" s="4">
        <f>(VLOOKUP('18.04'!Q51,'18.04'!$AM$4:$AO$55,3,FALSE))</f>
        <v>55</v>
      </c>
      <c r="J51" s="4">
        <f>(VLOOKUP('18.04'!R51,'18.04'!$AM$4:$AO$55,3,FALSE))</f>
        <v>55</v>
      </c>
      <c r="K51" s="4">
        <f>(VLOOKUP('18.04'!S51,'18.04'!$AM$4:$AO$55,3,FALSE))</f>
        <v>55</v>
      </c>
      <c r="L51" s="4">
        <f>(VLOOKUP('18.04'!T51,'18.04'!$AM$4:$AO$55,3,FALSE))</f>
        <v>55</v>
      </c>
      <c r="M51" s="4">
        <f>(VLOOKUP('18.04'!U51,'18.04'!$AM$4:$AO$55,3,FALSE))</f>
        <v>55</v>
      </c>
      <c r="N51" s="4">
        <f>(VLOOKUP('18.04'!V51,'18.04'!$AM$4:$AO$55,3,FALSE))</f>
        <v>55</v>
      </c>
      <c r="O51" s="5">
        <f>(VLOOKUP('18.04'!W51,'18.04'!$AM$4:$AO$55,3,FALSE))</f>
        <v>55</v>
      </c>
      <c r="P51" s="5">
        <f>(VLOOKUP('18.04'!X51,'18.04'!$AM$4:$AO$55,3,FALSE))</f>
        <v>55</v>
      </c>
      <c r="Q51" s="4">
        <f>(VLOOKUP('18.04'!Y51,'18.04'!$AM$4:$AO$55,3,FALSE))</f>
        <v>0</v>
      </c>
      <c r="R51" s="4">
        <f>(VLOOKUP('18.04'!Z51,'18.04'!$AM$4:$AO$55,3,FALSE))</f>
        <v>0</v>
      </c>
      <c r="S51" s="4">
        <f>(VLOOKUP('18.04'!AA51,'18.04'!$AM$4:$AO$55,3,FALSE))</f>
        <v>0</v>
      </c>
      <c r="T51" s="4">
        <f>(VLOOKUP('18.04'!AB51,'18.04'!$AM$4:$AO$55,3,FALSE))</f>
        <v>0</v>
      </c>
      <c r="U51" s="4">
        <f>(VLOOKUP('18.04'!AC51,'18.04'!$AM$4:$AO$55,3,FALSE))</f>
        <v>0</v>
      </c>
      <c r="V51" s="4">
        <f>(VLOOKUP('18.04'!AD51,'18.04'!$AM$4:$AO$55,3,FALSE))</f>
        <v>0</v>
      </c>
      <c r="W51" s="5">
        <f>(VLOOKUP('18.04'!AE51,'18.04'!$AM$4:$AO$55,3,FALSE))</f>
        <v>0</v>
      </c>
      <c r="X51" s="5">
        <f>(VLOOKUP('18.04'!AF51,'18.04'!$AM$4:$AO$55,3,FALSE))</f>
        <v>0</v>
      </c>
    </row>
    <row r="52" spans="1:24">
      <c r="A52" s="4">
        <f>(VLOOKUP('18.04'!I52,'18.04'!$AM$4:$AO$55,3,FALSE))</f>
        <v>50</v>
      </c>
      <c r="B52" s="4">
        <f>(VLOOKUP('18.04'!J52,'18.04'!$AM$4:$AO$55,3,FALSE))</f>
        <v>50</v>
      </c>
      <c r="C52" s="4">
        <f>(VLOOKUP('18.04'!K52,'18.04'!$AM$4:$AO$55,3,FALSE))</f>
        <v>50</v>
      </c>
      <c r="D52" s="4">
        <f>(VLOOKUP('18.04'!L52,'18.04'!$AM$4:$AO$55,3,FALSE))</f>
        <v>50</v>
      </c>
      <c r="E52" s="4">
        <f>(VLOOKUP('18.04'!M52,'18.04'!$AM$4:$AO$55,3,FALSE))</f>
        <v>50</v>
      </c>
      <c r="F52" s="4">
        <f>(VLOOKUP('18.04'!N52,'18.04'!$AM$4:$AO$55,3,FALSE))</f>
        <v>50</v>
      </c>
      <c r="G52" s="5">
        <f>(VLOOKUP('18.04'!O52,'18.04'!$AM$4:$AO$55,3,FALSE))</f>
        <v>50</v>
      </c>
      <c r="H52" s="5">
        <f>(VLOOKUP('18.04'!P52,'18.04'!$AM$4:$AO$55,3,FALSE))</f>
        <v>50</v>
      </c>
      <c r="I52" s="4">
        <f>(VLOOKUP('18.04'!Q52,'18.04'!$AM$4:$AO$55,3,FALSE))</f>
        <v>55</v>
      </c>
      <c r="J52" s="4">
        <f>(VLOOKUP('18.04'!R52,'18.04'!$AM$4:$AO$55,3,FALSE))</f>
        <v>55</v>
      </c>
      <c r="K52" s="4">
        <f>(VLOOKUP('18.04'!S52,'18.04'!$AM$4:$AO$55,3,FALSE))</f>
        <v>55</v>
      </c>
      <c r="L52" s="4">
        <f>(VLOOKUP('18.04'!T52,'18.04'!$AM$4:$AO$55,3,FALSE))</f>
        <v>55</v>
      </c>
      <c r="M52" s="4">
        <f>(VLOOKUP('18.04'!U52,'18.04'!$AM$4:$AO$55,3,FALSE))</f>
        <v>55</v>
      </c>
      <c r="N52" s="4">
        <f>(VLOOKUP('18.04'!V52,'18.04'!$AM$4:$AO$55,3,FALSE))</f>
        <v>55</v>
      </c>
      <c r="O52" s="5">
        <f>(VLOOKUP('18.04'!W52,'18.04'!$AM$4:$AO$55,3,FALSE))</f>
        <v>55</v>
      </c>
      <c r="P52" s="5">
        <f>(VLOOKUP('18.04'!X52,'18.04'!$AM$4:$AO$55,3,FALSE))</f>
        <v>55</v>
      </c>
      <c r="Q52" s="4">
        <f>(VLOOKUP('18.04'!Y52,'18.04'!$AM$4:$AO$55,3,FALSE))</f>
        <v>0</v>
      </c>
      <c r="R52" s="4">
        <f>(VLOOKUP('18.04'!Z52,'18.04'!$AM$4:$AO$55,3,FALSE))</f>
        <v>0</v>
      </c>
      <c r="S52" s="4">
        <f>(VLOOKUP('18.04'!AA52,'18.04'!$AM$4:$AO$55,3,FALSE))</f>
        <v>0</v>
      </c>
      <c r="T52" s="4">
        <f>(VLOOKUP('18.04'!AB52,'18.04'!$AM$4:$AO$55,3,FALSE))</f>
        <v>0</v>
      </c>
      <c r="U52" s="4">
        <f>(VLOOKUP('18.04'!AC52,'18.04'!$AM$4:$AO$55,3,FALSE))</f>
        <v>0</v>
      </c>
      <c r="V52" s="4">
        <f>(VLOOKUP('18.04'!AD52,'18.04'!$AM$4:$AO$55,3,FALSE))</f>
        <v>0</v>
      </c>
      <c r="W52" s="5">
        <f>(VLOOKUP('18.04'!AE52,'18.04'!$AM$4:$AO$55,3,FALSE))</f>
        <v>0</v>
      </c>
      <c r="X52" s="5">
        <f>(VLOOKUP('18.04'!AF52,'18.04'!$AM$4:$AO$55,3,FALSE))</f>
        <v>0</v>
      </c>
    </row>
    <row r="53" spans="1:24">
      <c r="A53" s="4">
        <f>(VLOOKUP('18.04'!I53,'18.04'!$AM$4:$AO$55,3,FALSE))</f>
        <v>50</v>
      </c>
      <c r="B53" s="4">
        <f>(VLOOKUP('18.04'!J53,'18.04'!$AM$4:$AO$55,3,FALSE))</f>
        <v>50</v>
      </c>
      <c r="C53" s="4">
        <f>(VLOOKUP('18.04'!K53,'18.04'!$AM$4:$AO$55,3,FALSE))</f>
        <v>50</v>
      </c>
      <c r="D53" s="4">
        <f>(VLOOKUP('18.04'!L53,'18.04'!$AM$4:$AO$55,3,FALSE))</f>
        <v>50</v>
      </c>
      <c r="E53" s="4">
        <f>(VLOOKUP('18.04'!M53,'18.04'!$AM$4:$AO$55,3,FALSE))</f>
        <v>50</v>
      </c>
      <c r="F53" s="4">
        <f>(VLOOKUP('18.04'!N53,'18.04'!$AM$4:$AO$55,3,FALSE))</f>
        <v>50</v>
      </c>
      <c r="G53" s="5">
        <f>(VLOOKUP('18.04'!O53,'18.04'!$AM$4:$AO$55,3,FALSE))</f>
        <v>50</v>
      </c>
      <c r="H53" s="5">
        <f>(VLOOKUP('18.04'!P53,'18.04'!$AM$4:$AO$55,3,FALSE))</f>
        <v>50</v>
      </c>
      <c r="I53" s="4">
        <f>(VLOOKUP('18.04'!Q53,'18.04'!$AM$4:$AO$55,3,FALSE))</f>
        <v>55</v>
      </c>
      <c r="J53" s="4">
        <f>(VLOOKUP('18.04'!R53,'18.04'!$AM$4:$AO$55,3,FALSE))</f>
        <v>55</v>
      </c>
      <c r="K53" s="4">
        <f>(VLOOKUP('18.04'!S53,'18.04'!$AM$4:$AO$55,3,FALSE))</f>
        <v>55</v>
      </c>
      <c r="L53" s="4">
        <f>(VLOOKUP('18.04'!T53,'18.04'!$AM$4:$AO$55,3,FALSE))</f>
        <v>55</v>
      </c>
      <c r="M53" s="4">
        <f>(VLOOKUP('18.04'!U53,'18.04'!$AM$4:$AO$55,3,FALSE))</f>
        <v>55</v>
      </c>
      <c r="N53" s="4">
        <f>(VLOOKUP('18.04'!V53,'18.04'!$AM$4:$AO$55,3,FALSE))</f>
        <v>55</v>
      </c>
      <c r="O53" s="5">
        <f>(VLOOKUP('18.04'!W53,'18.04'!$AM$4:$AO$55,3,FALSE))</f>
        <v>55</v>
      </c>
      <c r="P53" s="5">
        <f>(VLOOKUP('18.04'!X53,'18.04'!$AM$4:$AO$55,3,FALSE))</f>
        <v>55</v>
      </c>
      <c r="Q53" s="4">
        <f>(VLOOKUP('18.04'!Y53,'18.04'!$AM$4:$AO$55,3,FALSE))</f>
        <v>0</v>
      </c>
      <c r="R53" s="4">
        <f>(VLOOKUP('18.04'!Z53,'18.04'!$AM$4:$AO$55,3,FALSE))</f>
        <v>0</v>
      </c>
      <c r="S53" s="4">
        <f>(VLOOKUP('18.04'!AA53,'18.04'!$AM$4:$AO$55,3,FALSE))</f>
        <v>0</v>
      </c>
      <c r="T53" s="4">
        <f>(VLOOKUP('18.04'!AB53,'18.04'!$AM$4:$AO$55,3,FALSE))</f>
        <v>0</v>
      </c>
      <c r="U53" s="4">
        <f>(VLOOKUP('18.04'!AC53,'18.04'!$AM$4:$AO$55,3,FALSE))</f>
        <v>0</v>
      </c>
      <c r="V53" s="4">
        <f>(VLOOKUP('18.04'!AD53,'18.04'!$AM$4:$AO$55,3,FALSE))</f>
        <v>0</v>
      </c>
      <c r="W53" s="5">
        <f>(VLOOKUP('18.04'!AE53,'18.04'!$AM$4:$AO$55,3,FALSE))</f>
        <v>0</v>
      </c>
      <c r="X53" s="5">
        <f>(VLOOKUP('18.04'!AF53,'18.04'!$AM$4:$AO$55,3,FALSE))</f>
        <v>0</v>
      </c>
    </row>
    <row r="54" spans="1:24">
      <c r="A54" s="4">
        <f>(VLOOKUP('18.04'!I54,'18.04'!$AM$4:$AO$55,3,FALSE))</f>
        <v>50</v>
      </c>
      <c r="B54" s="4">
        <f>(VLOOKUP('18.04'!J54,'18.04'!$AM$4:$AO$55,3,FALSE))</f>
        <v>50</v>
      </c>
      <c r="C54" s="4">
        <f>(VLOOKUP('18.04'!K54,'18.04'!$AM$4:$AO$55,3,FALSE))</f>
        <v>50</v>
      </c>
      <c r="D54" s="4">
        <f>(VLOOKUP('18.04'!L54,'18.04'!$AM$4:$AO$55,3,FALSE))</f>
        <v>50</v>
      </c>
      <c r="E54" s="4">
        <f>(VLOOKUP('18.04'!M54,'18.04'!$AM$4:$AO$55,3,FALSE))</f>
        <v>50</v>
      </c>
      <c r="F54" s="4">
        <f>(VLOOKUP('18.04'!N54,'18.04'!$AM$4:$AO$55,3,FALSE))</f>
        <v>50</v>
      </c>
      <c r="G54" s="5">
        <f>(VLOOKUP('18.04'!O54,'18.04'!$AM$4:$AO$55,3,FALSE))</f>
        <v>50</v>
      </c>
      <c r="H54" s="5">
        <f>(VLOOKUP('18.04'!P54,'18.04'!$AM$4:$AO$55,3,FALSE))</f>
        <v>50</v>
      </c>
      <c r="I54" s="4">
        <f>(VLOOKUP('18.04'!Q54,'18.04'!$AM$4:$AO$55,3,FALSE))</f>
        <v>55</v>
      </c>
      <c r="J54" s="4">
        <f>(VLOOKUP('18.04'!R54,'18.04'!$AM$4:$AO$55,3,FALSE))</f>
        <v>55</v>
      </c>
      <c r="K54" s="4">
        <f>(VLOOKUP('18.04'!S54,'18.04'!$AM$4:$AO$55,3,FALSE))</f>
        <v>55</v>
      </c>
      <c r="L54" s="4">
        <f>(VLOOKUP('18.04'!T54,'18.04'!$AM$4:$AO$55,3,FALSE))</f>
        <v>55</v>
      </c>
      <c r="M54" s="4">
        <f>(VLOOKUP('18.04'!U54,'18.04'!$AM$4:$AO$55,3,FALSE))</f>
        <v>55</v>
      </c>
      <c r="N54" s="4">
        <f>(VLOOKUP('18.04'!V54,'18.04'!$AM$4:$AO$55,3,FALSE))</f>
        <v>55</v>
      </c>
      <c r="O54" s="5">
        <f>(VLOOKUP('18.04'!W54,'18.04'!$AM$4:$AO$55,3,FALSE))</f>
        <v>55</v>
      </c>
      <c r="P54" s="5">
        <f>(VLOOKUP('18.04'!X54,'18.04'!$AM$4:$AO$55,3,FALSE))</f>
        <v>55</v>
      </c>
      <c r="Q54" s="4">
        <f>(VLOOKUP('18.04'!Y54,'18.04'!$AM$4:$AO$55,3,FALSE))</f>
        <v>0</v>
      </c>
      <c r="R54" s="4">
        <f>(VLOOKUP('18.04'!Z54,'18.04'!$AM$4:$AO$55,3,FALSE))</f>
        <v>0</v>
      </c>
      <c r="S54" s="4">
        <f>(VLOOKUP('18.04'!AA54,'18.04'!$AM$4:$AO$55,3,FALSE))</f>
        <v>0</v>
      </c>
      <c r="T54" s="4">
        <f>(VLOOKUP('18.04'!AB54,'18.04'!$AM$4:$AO$55,3,FALSE))</f>
        <v>0</v>
      </c>
      <c r="U54" s="4">
        <f>(VLOOKUP('18.04'!AC54,'18.04'!$AM$4:$AO$55,3,FALSE))</f>
        <v>0</v>
      </c>
      <c r="V54" s="4">
        <f>(VLOOKUP('18.04'!AD54,'18.04'!$AM$4:$AO$55,3,FALSE))</f>
        <v>0</v>
      </c>
      <c r="W54" s="5">
        <f>(VLOOKUP('18.04'!AE54,'18.04'!$AM$4:$AO$55,3,FALSE))</f>
        <v>0</v>
      </c>
      <c r="X54" s="5">
        <f>(VLOOKUP('18.04'!AF54,'18.04'!$AM$4:$AO$55,3,FALSE))</f>
        <v>0</v>
      </c>
    </row>
    <row r="55" spans="1:24">
      <c r="A55" s="4">
        <f>(VLOOKUP('18.04'!I55,'18.04'!$AM$4:$AO$55,3,FALSE))</f>
        <v>50</v>
      </c>
      <c r="B55" s="4">
        <f>(VLOOKUP('18.04'!J55,'18.04'!$AM$4:$AO$55,3,FALSE))</f>
        <v>50</v>
      </c>
      <c r="C55" s="4">
        <f>(VLOOKUP('18.04'!K55,'18.04'!$AM$4:$AO$55,3,FALSE))</f>
        <v>50</v>
      </c>
      <c r="D55" s="4">
        <f>(VLOOKUP('18.04'!L55,'18.04'!$AM$4:$AO$55,3,FALSE))</f>
        <v>50</v>
      </c>
      <c r="E55" s="4">
        <f>(VLOOKUP('18.04'!M55,'18.04'!$AM$4:$AO$55,3,FALSE))</f>
        <v>50</v>
      </c>
      <c r="F55" s="4">
        <f>(VLOOKUP('18.04'!N55,'18.04'!$AM$4:$AO$55,3,FALSE))</f>
        <v>50</v>
      </c>
      <c r="G55" s="5">
        <f>(VLOOKUP('18.04'!O55,'18.04'!$AM$4:$AO$55,3,FALSE))</f>
        <v>50</v>
      </c>
      <c r="H55" s="5">
        <f>(VLOOKUP('18.04'!P55,'18.04'!$AM$4:$AO$55,3,FALSE))</f>
        <v>50</v>
      </c>
      <c r="I55" s="4">
        <f>(VLOOKUP('18.04'!Q55,'18.04'!$AM$4:$AO$55,3,FALSE))</f>
        <v>55</v>
      </c>
      <c r="J55" s="4">
        <f>(VLOOKUP('18.04'!R55,'18.04'!$AM$4:$AO$55,3,FALSE))</f>
        <v>55</v>
      </c>
      <c r="K55" s="4">
        <f>(VLOOKUP('18.04'!S55,'18.04'!$AM$4:$AO$55,3,FALSE))</f>
        <v>55</v>
      </c>
      <c r="L55" s="4">
        <f>(VLOOKUP('18.04'!T55,'18.04'!$AM$4:$AO$55,3,FALSE))</f>
        <v>55</v>
      </c>
      <c r="M55" s="4">
        <f>(VLOOKUP('18.04'!U55,'18.04'!$AM$4:$AO$55,3,FALSE))</f>
        <v>55</v>
      </c>
      <c r="N55" s="4">
        <f>(VLOOKUP('18.04'!V55,'18.04'!$AM$4:$AO$55,3,FALSE))</f>
        <v>55</v>
      </c>
      <c r="O55" s="5">
        <f>(VLOOKUP('18.04'!W55,'18.04'!$AM$4:$AO$55,3,FALSE))</f>
        <v>55</v>
      </c>
      <c r="P55" s="5">
        <f>(VLOOKUP('18.04'!X55,'18.04'!$AM$4:$AO$55,3,FALSE))</f>
        <v>55</v>
      </c>
      <c r="Q55" s="4">
        <f>(VLOOKUP('18.04'!Y55,'18.04'!$AM$4:$AO$55,3,FALSE))</f>
        <v>0</v>
      </c>
      <c r="R55" s="4">
        <f>(VLOOKUP('18.04'!Z55,'18.04'!$AM$4:$AO$55,3,FALSE))</f>
        <v>0</v>
      </c>
      <c r="S55" s="4">
        <f>(VLOOKUP('18.04'!AA55,'18.04'!$AM$4:$AO$55,3,FALSE))</f>
        <v>0</v>
      </c>
      <c r="T55" s="4">
        <f>(VLOOKUP('18.04'!AB55,'18.04'!$AM$4:$AO$55,3,FALSE))</f>
        <v>0</v>
      </c>
      <c r="U55" s="4">
        <f>(VLOOKUP('18.04'!AC55,'18.04'!$AM$4:$AO$55,3,FALSE))</f>
        <v>0</v>
      </c>
      <c r="V55" s="4">
        <f>(VLOOKUP('18.04'!AD55,'18.04'!$AM$4:$AO$55,3,FALSE))</f>
        <v>0</v>
      </c>
      <c r="W55" s="5">
        <f>(VLOOKUP('18.04'!AE55,'18.04'!$AM$4:$AO$55,3,FALSE))</f>
        <v>0</v>
      </c>
      <c r="X55" s="5">
        <f>(VLOOKUP('18.04'!AF55,'18.04'!$AM$4:$AO$55,3,FALSE))</f>
        <v>0</v>
      </c>
    </row>
    <row r="56" spans="1:24">
      <c r="A56" s="4">
        <f>(VLOOKUP('18.04'!I56,'18.04'!$AM$4:$AO$55,3,FALSE))</f>
        <v>50</v>
      </c>
      <c r="B56" s="4">
        <f>(VLOOKUP('18.04'!J56,'18.04'!$AM$4:$AO$55,3,FALSE))</f>
        <v>50</v>
      </c>
      <c r="C56" s="4">
        <f>(VLOOKUP('18.04'!K56,'18.04'!$AM$4:$AO$55,3,FALSE))</f>
        <v>50</v>
      </c>
      <c r="D56" s="4">
        <f>(VLOOKUP('18.04'!L56,'18.04'!$AM$4:$AO$55,3,FALSE))</f>
        <v>50</v>
      </c>
      <c r="E56" s="4">
        <f>(VLOOKUP('18.04'!M56,'18.04'!$AM$4:$AO$55,3,FALSE))</f>
        <v>50</v>
      </c>
      <c r="F56" s="4">
        <f>(VLOOKUP('18.04'!N56,'18.04'!$AM$4:$AO$55,3,FALSE))</f>
        <v>50</v>
      </c>
      <c r="G56" s="5">
        <f>(VLOOKUP('18.04'!O56,'18.04'!$AM$4:$AO$55,3,FALSE))</f>
        <v>50</v>
      </c>
      <c r="H56" s="5">
        <f>(VLOOKUP('18.04'!P56,'18.04'!$AM$4:$AO$55,3,FALSE))</f>
        <v>50</v>
      </c>
      <c r="I56" s="4">
        <f>(VLOOKUP('18.04'!Q56,'18.04'!$AM$4:$AO$55,3,FALSE))</f>
        <v>55</v>
      </c>
      <c r="J56" s="4">
        <f>(VLOOKUP('18.04'!R56,'18.04'!$AM$4:$AO$55,3,FALSE))</f>
        <v>55</v>
      </c>
      <c r="K56" s="4">
        <f>(VLOOKUP('18.04'!S56,'18.04'!$AM$4:$AO$55,3,FALSE))</f>
        <v>55</v>
      </c>
      <c r="L56" s="4">
        <f>(VLOOKUP('18.04'!T56,'18.04'!$AM$4:$AO$55,3,FALSE))</f>
        <v>55</v>
      </c>
      <c r="M56" s="4">
        <f>(VLOOKUP('18.04'!U56,'18.04'!$AM$4:$AO$55,3,FALSE))</f>
        <v>55</v>
      </c>
      <c r="N56" s="4">
        <f>(VLOOKUP('18.04'!V56,'18.04'!$AM$4:$AO$55,3,FALSE))</f>
        <v>55</v>
      </c>
      <c r="O56" s="5">
        <f>(VLOOKUP('18.04'!W56,'18.04'!$AM$4:$AO$55,3,FALSE))</f>
        <v>55</v>
      </c>
      <c r="P56" s="5">
        <f>(VLOOKUP('18.04'!X56,'18.04'!$AM$4:$AO$55,3,FALSE))</f>
        <v>55</v>
      </c>
      <c r="Q56" s="4">
        <f>(VLOOKUP('18.04'!Y56,'18.04'!$AM$4:$AO$55,3,FALSE))</f>
        <v>0</v>
      </c>
      <c r="R56" s="4">
        <f>(VLOOKUP('18.04'!Z56,'18.04'!$AM$4:$AO$55,3,FALSE))</f>
        <v>0</v>
      </c>
      <c r="S56" s="4">
        <f>(VLOOKUP('18.04'!AA56,'18.04'!$AM$4:$AO$55,3,FALSE))</f>
        <v>0</v>
      </c>
      <c r="T56" s="4">
        <f>(VLOOKUP('18.04'!AB56,'18.04'!$AM$4:$AO$55,3,FALSE))</f>
        <v>0</v>
      </c>
      <c r="U56" s="4">
        <f>(VLOOKUP('18.04'!AC56,'18.04'!$AM$4:$AO$55,3,FALSE))</f>
        <v>0</v>
      </c>
      <c r="V56" s="4">
        <f>(VLOOKUP('18.04'!AD56,'18.04'!$AM$4:$AO$55,3,FALSE))</f>
        <v>0</v>
      </c>
      <c r="W56" s="5">
        <f>(VLOOKUP('18.04'!AE56,'18.04'!$AM$4:$AO$55,3,FALSE))</f>
        <v>0</v>
      </c>
      <c r="X56" s="5">
        <f>(VLOOKUP('18.04'!AF56,'18.04'!$AM$4:$AO$55,3,FALSE))</f>
        <v>0</v>
      </c>
    </row>
    <row r="57" spans="1:24">
      <c r="A57" s="4">
        <f>(VLOOKUP('18.04'!I57,'18.04'!$AM$4:$AO$55,3,FALSE))</f>
        <v>50</v>
      </c>
      <c r="B57" s="4">
        <f>(VLOOKUP('18.04'!J57,'18.04'!$AM$4:$AO$55,3,FALSE))</f>
        <v>50</v>
      </c>
      <c r="C57" s="4">
        <f>(VLOOKUP('18.04'!K57,'18.04'!$AM$4:$AO$55,3,FALSE))</f>
        <v>50</v>
      </c>
      <c r="D57" s="4">
        <f>(VLOOKUP('18.04'!L57,'18.04'!$AM$4:$AO$55,3,FALSE))</f>
        <v>50</v>
      </c>
      <c r="E57" s="4">
        <f>(VLOOKUP('18.04'!M57,'18.04'!$AM$4:$AO$55,3,FALSE))</f>
        <v>50</v>
      </c>
      <c r="F57" s="4">
        <f>(VLOOKUP('18.04'!N57,'18.04'!$AM$4:$AO$55,3,FALSE))</f>
        <v>50</v>
      </c>
      <c r="G57" s="5">
        <f>(VLOOKUP('18.04'!O57,'18.04'!$AM$4:$AO$55,3,FALSE))</f>
        <v>50</v>
      </c>
      <c r="H57" s="5">
        <f>(VLOOKUP('18.04'!P57,'18.04'!$AM$4:$AO$55,3,FALSE))</f>
        <v>50</v>
      </c>
      <c r="I57" s="4">
        <f>(VLOOKUP('18.04'!Q57,'18.04'!$AM$4:$AO$55,3,FALSE))</f>
        <v>55</v>
      </c>
      <c r="J57" s="4">
        <f>(VLOOKUP('18.04'!R57,'18.04'!$AM$4:$AO$55,3,FALSE))</f>
        <v>55</v>
      </c>
      <c r="K57" s="4">
        <f>(VLOOKUP('18.04'!S57,'18.04'!$AM$4:$AO$55,3,FALSE))</f>
        <v>55</v>
      </c>
      <c r="L57" s="4">
        <f>(VLOOKUP('18.04'!T57,'18.04'!$AM$4:$AO$55,3,FALSE))</f>
        <v>55</v>
      </c>
      <c r="M57" s="4">
        <f>(VLOOKUP('18.04'!U57,'18.04'!$AM$4:$AO$55,3,FALSE))</f>
        <v>0</v>
      </c>
      <c r="N57" s="4">
        <f>(VLOOKUP('18.04'!V57,'18.04'!$AM$4:$AO$55,3,FALSE))</f>
        <v>0</v>
      </c>
      <c r="O57" s="5">
        <f>(VLOOKUP('18.04'!W57,'18.04'!$AM$4:$AO$55,3,FALSE))</f>
        <v>0</v>
      </c>
      <c r="P57" s="5">
        <f>(VLOOKUP('18.04'!X57,'18.04'!$AM$4:$AO$55,3,FALSE))</f>
        <v>0</v>
      </c>
      <c r="Q57" s="4">
        <f>(VLOOKUP('18.04'!Y57,'18.04'!$AM$4:$AO$55,3,FALSE))</f>
        <v>0</v>
      </c>
      <c r="R57" s="4">
        <f>(VLOOKUP('18.04'!Z57,'18.04'!$AM$4:$AO$55,3,FALSE))</f>
        <v>0</v>
      </c>
      <c r="S57" s="4">
        <f>(VLOOKUP('18.04'!AA57,'18.04'!$AM$4:$AO$55,3,FALSE))</f>
        <v>0</v>
      </c>
      <c r="T57" s="4">
        <f>(VLOOKUP('18.04'!AB57,'18.04'!$AM$4:$AO$55,3,FALSE))</f>
        <v>0</v>
      </c>
      <c r="U57" s="4">
        <f>(VLOOKUP('18.04'!AC57,'18.04'!$AM$4:$AO$55,3,FALSE))</f>
        <v>0</v>
      </c>
      <c r="V57" s="4">
        <f>(VLOOKUP('18.04'!AD57,'18.04'!$AM$4:$AO$55,3,FALSE))</f>
        <v>0</v>
      </c>
      <c r="W57" s="5">
        <f>(VLOOKUP('18.04'!AE57,'18.04'!$AM$4:$AO$55,3,FALSE))</f>
        <v>0</v>
      </c>
      <c r="X57" s="5">
        <f>(VLOOKUP('18.04'!AF57,'18.04'!$AM$4:$AO$55,3,FALSE))</f>
        <v>0</v>
      </c>
    </row>
    <row r="58" spans="1:24">
      <c r="A58" s="4">
        <f>(VLOOKUP('18.04'!I58,'18.04'!$AM$4:$AO$55,3,FALSE))</f>
        <v>50</v>
      </c>
      <c r="B58" s="4">
        <f>(VLOOKUP('18.04'!J58,'18.04'!$AM$4:$AO$55,3,FALSE))</f>
        <v>50</v>
      </c>
      <c r="C58" s="4">
        <f>(VLOOKUP('18.04'!K58,'18.04'!$AM$4:$AO$55,3,FALSE))</f>
        <v>50</v>
      </c>
      <c r="D58" s="4">
        <f>(VLOOKUP('18.04'!L58,'18.04'!$AM$4:$AO$55,3,FALSE))</f>
        <v>50</v>
      </c>
      <c r="E58" s="4">
        <f>(VLOOKUP('18.04'!M58,'18.04'!$AM$4:$AO$55,3,FALSE))</f>
        <v>50</v>
      </c>
      <c r="F58" s="4">
        <f>(VLOOKUP('18.04'!N58,'18.04'!$AM$4:$AO$55,3,FALSE))</f>
        <v>50</v>
      </c>
      <c r="G58" s="5">
        <f>(VLOOKUP('18.04'!O58,'18.04'!$AM$4:$AO$55,3,FALSE))</f>
        <v>50</v>
      </c>
      <c r="H58" s="5">
        <f>(VLOOKUP('18.04'!P58,'18.04'!$AM$4:$AO$55,3,FALSE))</f>
        <v>50</v>
      </c>
      <c r="I58" s="4">
        <f>(VLOOKUP('18.04'!Q58,'18.04'!$AM$4:$AO$55,3,FALSE))</f>
        <v>60</v>
      </c>
      <c r="J58" s="4">
        <f>(VLOOKUP('18.04'!R58,'18.04'!$AM$4:$AO$55,3,FALSE))</f>
        <v>60</v>
      </c>
      <c r="K58" s="4">
        <f>(VLOOKUP('18.04'!S58,'18.04'!$AM$4:$AO$55,3,FALSE))</f>
        <v>60</v>
      </c>
      <c r="L58" s="4">
        <f>(VLOOKUP('18.04'!T58,'18.04'!$AM$4:$AO$55,3,FALSE))</f>
        <v>60</v>
      </c>
      <c r="M58" s="4">
        <f>(VLOOKUP('18.04'!U58,'18.04'!$AM$4:$AO$55,3,FALSE))</f>
        <v>60</v>
      </c>
      <c r="N58" s="4">
        <f>(VLOOKUP('18.04'!V58,'18.04'!$AM$4:$AO$55,3,FALSE))</f>
        <v>60</v>
      </c>
      <c r="O58" s="5">
        <f>(VLOOKUP('18.04'!W58,'18.04'!$AM$4:$AO$55,3,FALSE))</f>
        <v>60</v>
      </c>
      <c r="P58" s="5">
        <f>(VLOOKUP('18.04'!X58,'18.04'!$AM$4:$AO$55,3,FALSE))</f>
        <v>60</v>
      </c>
      <c r="Q58" s="4">
        <f>(VLOOKUP('18.04'!Y58,'18.04'!$AM$4:$AO$55,3,FALSE))</f>
        <v>0</v>
      </c>
      <c r="R58" s="4">
        <f>(VLOOKUP('18.04'!Z58,'18.04'!$AM$4:$AO$55,3,FALSE))</f>
        <v>0</v>
      </c>
      <c r="S58" s="4">
        <f>(VLOOKUP('18.04'!AA58,'18.04'!$AM$4:$AO$55,3,FALSE))</f>
        <v>0</v>
      </c>
      <c r="T58" s="4">
        <f>(VLOOKUP('18.04'!AB58,'18.04'!$AM$4:$AO$55,3,FALSE))</f>
        <v>0</v>
      </c>
      <c r="U58" s="4">
        <f>(VLOOKUP('18.04'!AC58,'18.04'!$AM$4:$AO$55,3,FALSE))</f>
        <v>0</v>
      </c>
      <c r="V58" s="4">
        <f>(VLOOKUP('18.04'!AD58,'18.04'!$AM$4:$AO$55,3,FALSE))</f>
        <v>0</v>
      </c>
      <c r="W58" s="5">
        <f>(VLOOKUP('18.04'!AE58,'18.04'!$AM$4:$AO$55,3,FALSE))</f>
        <v>0</v>
      </c>
      <c r="X58" s="5">
        <f>(VLOOKUP('18.04'!AF58,'18.04'!$AM$4:$AO$55,3,FALSE))</f>
        <v>0</v>
      </c>
    </row>
    <row r="59" spans="1:24">
      <c r="A59" s="4">
        <f>(VLOOKUP('18.04'!I59,'18.04'!$AM$4:$AO$55,3,FALSE))</f>
        <v>50</v>
      </c>
      <c r="B59" s="4">
        <f>(VLOOKUP('18.04'!J59,'18.04'!$AM$4:$AO$55,3,FALSE))</f>
        <v>50</v>
      </c>
      <c r="C59" s="4">
        <f>(VLOOKUP('18.04'!K59,'18.04'!$AM$4:$AO$55,3,FALSE))</f>
        <v>50</v>
      </c>
      <c r="D59" s="4">
        <f>(VLOOKUP('18.04'!L59,'18.04'!$AM$4:$AO$55,3,FALSE))</f>
        <v>50</v>
      </c>
      <c r="E59" s="4">
        <f>(VLOOKUP('18.04'!M59,'18.04'!$AM$4:$AO$55,3,FALSE))</f>
        <v>50</v>
      </c>
      <c r="F59" s="4">
        <f>(VLOOKUP('18.04'!N59,'18.04'!$AM$4:$AO$55,3,FALSE))</f>
        <v>50</v>
      </c>
      <c r="G59" s="5">
        <f>(VLOOKUP('18.04'!O59,'18.04'!$AM$4:$AO$55,3,FALSE))</f>
        <v>50</v>
      </c>
      <c r="H59" s="5">
        <f>(VLOOKUP('18.04'!P59,'18.04'!$AM$4:$AO$55,3,FALSE))</f>
        <v>50</v>
      </c>
      <c r="I59" s="4">
        <f>(VLOOKUP('18.04'!Q59,'18.04'!$AM$4:$AO$55,3,FALSE))</f>
        <v>60</v>
      </c>
      <c r="J59" s="4">
        <f>(VLOOKUP('18.04'!R59,'18.04'!$AM$4:$AO$55,3,FALSE))</f>
        <v>60</v>
      </c>
      <c r="K59" s="4">
        <f>(VLOOKUP('18.04'!S59,'18.04'!$AM$4:$AO$55,3,FALSE))</f>
        <v>60</v>
      </c>
      <c r="L59" s="4">
        <f>(VLOOKUP('18.04'!T59,'18.04'!$AM$4:$AO$55,3,FALSE))</f>
        <v>60</v>
      </c>
      <c r="M59" s="4">
        <f>(VLOOKUP('18.04'!U59,'18.04'!$AM$4:$AO$55,3,FALSE))</f>
        <v>60</v>
      </c>
      <c r="N59" s="4">
        <f>(VLOOKUP('18.04'!V59,'18.04'!$AM$4:$AO$55,3,FALSE))</f>
        <v>60</v>
      </c>
      <c r="O59" s="5">
        <f>(VLOOKUP('18.04'!W59,'18.04'!$AM$4:$AO$55,3,FALSE))</f>
        <v>60</v>
      </c>
      <c r="P59" s="5">
        <f>(VLOOKUP('18.04'!X59,'18.04'!$AM$4:$AO$55,3,FALSE))</f>
        <v>60</v>
      </c>
      <c r="Q59" s="4">
        <f>(VLOOKUP('18.04'!Y59,'18.04'!$AM$4:$AO$55,3,FALSE))</f>
        <v>0</v>
      </c>
      <c r="R59" s="4">
        <f>(VLOOKUP('18.04'!Z59,'18.04'!$AM$4:$AO$55,3,FALSE))</f>
        <v>0</v>
      </c>
      <c r="S59" s="4">
        <f>(VLOOKUP('18.04'!AA59,'18.04'!$AM$4:$AO$55,3,FALSE))</f>
        <v>0</v>
      </c>
      <c r="T59" s="4">
        <f>(VLOOKUP('18.04'!AB59,'18.04'!$AM$4:$AO$55,3,FALSE))</f>
        <v>0</v>
      </c>
      <c r="U59" s="4">
        <f>(VLOOKUP('18.04'!AC59,'18.04'!$AM$4:$AO$55,3,FALSE))</f>
        <v>0</v>
      </c>
      <c r="V59" s="4">
        <f>(VLOOKUP('18.04'!AD59,'18.04'!$AM$4:$AO$55,3,FALSE))</f>
        <v>0</v>
      </c>
      <c r="W59" s="5">
        <f>(VLOOKUP('18.04'!AE59,'18.04'!$AM$4:$AO$55,3,FALSE))</f>
        <v>0</v>
      </c>
      <c r="X59" s="5">
        <f>(VLOOKUP('18.04'!AF59,'18.04'!$AM$4:$AO$55,3,FALSE))</f>
        <v>0</v>
      </c>
    </row>
    <row r="60" spans="1:24">
      <c r="A60" s="4">
        <f>(VLOOKUP('18.04'!I60,'18.04'!$AM$4:$AO$55,3,FALSE))</f>
        <v>50</v>
      </c>
      <c r="B60" s="4">
        <f>(VLOOKUP('18.04'!J60,'18.04'!$AM$4:$AO$55,3,FALSE))</f>
        <v>50</v>
      </c>
      <c r="C60" s="4">
        <f>(VLOOKUP('18.04'!K60,'18.04'!$AM$4:$AO$55,3,FALSE))</f>
        <v>50</v>
      </c>
      <c r="D60" s="4">
        <f>(VLOOKUP('18.04'!L60,'18.04'!$AM$4:$AO$55,3,FALSE))</f>
        <v>50</v>
      </c>
      <c r="E60" s="4">
        <f>(VLOOKUP('18.04'!M60,'18.04'!$AM$4:$AO$55,3,FALSE))</f>
        <v>50</v>
      </c>
      <c r="F60" s="4">
        <f>(VLOOKUP('18.04'!N60,'18.04'!$AM$4:$AO$55,3,FALSE))</f>
        <v>50</v>
      </c>
      <c r="G60" s="5">
        <f>(VLOOKUP('18.04'!O60,'18.04'!$AM$4:$AO$55,3,FALSE))</f>
        <v>50</v>
      </c>
      <c r="H60" s="5">
        <f>(VLOOKUP('18.04'!P60,'18.04'!$AM$4:$AO$55,3,FALSE))</f>
        <v>50</v>
      </c>
      <c r="I60" s="4">
        <f>(VLOOKUP('18.04'!Q60,'18.04'!$AM$4:$AO$55,3,FALSE))</f>
        <v>60</v>
      </c>
      <c r="J60" s="4">
        <f>(VLOOKUP('18.04'!R60,'18.04'!$AM$4:$AO$55,3,FALSE))</f>
        <v>60</v>
      </c>
      <c r="K60" s="4">
        <f>(VLOOKUP('18.04'!S60,'18.04'!$AM$4:$AO$55,3,FALSE))</f>
        <v>60</v>
      </c>
      <c r="L60" s="4">
        <f>(VLOOKUP('18.04'!T60,'18.04'!$AM$4:$AO$55,3,FALSE))</f>
        <v>60</v>
      </c>
      <c r="M60" s="4">
        <f>(VLOOKUP('18.04'!U60,'18.04'!$AM$4:$AO$55,3,FALSE))</f>
        <v>60</v>
      </c>
      <c r="N60" s="4">
        <f>(VLOOKUP('18.04'!V60,'18.04'!$AM$4:$AO$55,3,FALSE))</f>
        <v>60</v>
      </c>
      <c r="O60" s="5">
        <f>(VLOOKUP('18.04'!W60,'18.04'!$AM$4:$AO$55,3,FALSE))</f>
        <v>60</v>
      </c>
      <c r="P60" s="5">
        <f>(VLOOKUP('18.04'!X60,'18.04'!$AM$4:$AO$55,3,FALSE))</f>
        <v>60</v>
      </c>
      <c r="Q60" s="4">
        <f>(VLOOKUP('18.04'!Y60,'18.04'!$AM$4:$AO$55,3,FALSE))</f>
        <v>0</v>
      </c>
      <c r="R60" s="4">
        <f>(VLOOKUP('18.04'!Z60,'18.04'!$AM$4:$AO$55,3,FALSE))</f>
        <v>0</v>
      </c>
      <c r="S60" s="4">
        <f>(VLOOKUP('18.04'!AA60,'18.04'!$AM$4:$AO$55,3,FALSE))</f>
        <v>0</v>
      </c>
      <c r="T60" s="4">
        <f>(VLOOKUP('18.04'!AB60,'18.04'!$AM$4:$AO$55,3,FALSE))</f>
        <v>0</v>
      </c>
      <c r="U60" s="4">
        <f>(VLOOKUP('18.04'!AC60,'18.04'!$AM$4:$AO$55,3,FALSE))</f>
        <v>0</v>
      </c>
      <c r="V60" s="4">
        <f>(VLOOKUP('18.04'!AD60,'18.04'!$AM$4:$AO$55,3,FALSE))</f>
        <v>0</v>
      </c>
      <c r="W60" s="5">
        <f>(VLOOKUP('18.04'!AE60,'18.04'!$AM$4:$AO$55,3,FALSE))</f>
        <v>0</v>
      </c>
      <c r="X60" s="5">
        <f>(VLOOKUP('18.04'!AF60,'18.04'!$AM$4:$AO$55,3,FALSE))</f>
        <v>0</v>
      </c>
    </row>
    <row r="61" spans="1:24">
      <c r="A61" s="4">
        <f>(VLOOKUP('18.04'!I61,'18.04'!$AM$4:$AO$55,3,FALSE))</f>
        <v>50</v>
      </c>
      <c r="B61" s="4">
        <f>(VLOOKUP('18.04'!J61,'18.04'!$AM$4:$AO$55,3,FALSE))</f>
        <v>50</v>
      </c>
      <c r="C61" s="4">
        <f>(VLOOKUP('18.04'!K61,'18.04'!$AM$4:$AO$55,3,FALSE))</f>
        <v>50</v>
      </c>
      <c r="D61" s="4">
        <f>(VLOOKUP('18.04'!L61,'18.04'!$AM$4:$AO$55,3,FALSE))</f>
        <v>50</v>
      </c>
      <c r="E61" s="4">
        <f>(VLOOKUP('18.04'!M61,'18.04'!$AM$4:$AO$55,3,FALSE))</f>
        <v>50</v>
      </c>
      <c r="F61" s="4">
        <f>(VLOOKUP('18.04'!N61,'18.04'!$AM$4:$AO$55,3,FALSE))</f>
        <v>50</v>
      </c>
      <c r="G61" s="5">
        <f>(VLOOKUP('18.04'!O61,'18.04'!$AM$4:$AO$55,3,FALSE))</f>
        <v>50</v>
      </c>
      <c r="H61" s="5">
        <f>(VLOOKUP('18.04'!P61,'18.04'!$AM$4:$AO$55,3,FALSE))</f>
        <v>50</v>
      </c>
      <c r="I61" s="4">
        <f>(VLOOKUP('18.04'!Q61,'18.04'!$AM$4:$AO$55,3,FALSE))</f>
        <v>60</v>
      </c>
      <c r="J61" s="4">
        <f>(VLOOKUP('18.04'!R61,'18.04'!$AM$4:$AO$55,3,FALSE))</f>
        <v>60</v>
      </c>
      <c r="K61" s="4">
        <f>(VLOOKUP('18.04'!S61,'18.04'!$AM$4:$AO$55,3,FALSE))</f>
        <v>60</v>
      </c>
      <c r="L61" s="4">
        <f>(VLOOKUP('18.04'!T61,'18.04'!$AM$4:$AO$55,3,FALSE))</f>
        <v>60</v>
      </c>
      <c r="M61" s="4">
        <f>(VLOOKUP('18.04'!U61,'18.04'!$AM$4:$AO$55,3,FALSE))</f>
        <v>60</v>
      </c>
      <c r="N61" s="4">
        <f>(VLOOKUP('18.04'!V61,'18.04'!$AM$4:$AO$55,3,FALSE))</f>
        <v>60</v>
      </c>
      <c r="O61" s="5">
        <f>(VLOOKUP('18.04'!W61,'18.04'!$AM$4:$AO$55,3,FALSE))</f>
        <v>60</v>
      </c>
      <c r="P61" s="5">
        <f>(VLOOKUP('18.04'!X61,'18.04'!$AM$4:$AO$55,3,FALSE))</f>
        <v>60</v>
      </c>
      <c r="Q61" s="4">
        <f>(VLOOKUP('18.04'!Y61,'18.04'!$AM$4:$AO$55,3,FALSE))</f>
        <v>0</v>
      </c>
      <c r="R61" s="4">
        <f>(VLOOKUP('18.04'!Z61,'18.04'!$AM$4:$AO$55,3,FALSE))</f>
        <v>0</v>
      </c>
      <c r="S61" s="4">
        <f>(VLOOKUP('18.04'!AA61,'18.04'!$AM$4:$AO$55,3,FALSE))</f>
        <v>0</v>
      </c>
      <c r="T61" s="4">
        <f>(VLOOKUP('18.04'!AB61,'18.04'!$AM$4:$AO$55,3,FALSE))</f>
        <v>0</v>
      </c>
      <c r="U61" s="4">
        <f>(VLOOKUP('18.04'!AC61,'18.04'!$AM$4:$AO$55,3,FALSE))</f>
        <v>0</v>
      </c>
      <c r="V61" s="4">
        <f>(VLOOKUP('18.04'!AD61,'18.04'!$AM$4:$AO$55,3,FALSE))</f>
        <v>0</v>
      </c>
      <c r="W61" s="5">
        <f>(VLOOKUP('18.04'!AE61,'18.04'!$AM$4:$AO$55,3,FALSE))</f>
        <v>0</v>
      </c>
      <c r="X61" s="5">
        <f>(VLOOKUP('18.04'!AF61,'18.04'!$AM$4:$AO$55,3,FALSE))</f>
        <v>0</v>
      </c>
    </row>
    <row r="62" spans="1:24">
      <c r="A62" s="4">
        <f>(VLOOKUP('18.04'!I62,'18.04'!$AM$4:$AO$55,3,FALSE))</f>
        <v>50</v>
      </c>
      <c r="B62" s="4">
        <f>(VLOOKUP('18.04'!J62,'18.04'!$AM$4:$AO$55,3,FALSE))</f>
        <v>50</v>
      </c>
      <c r="C62" s="4">
        <f>(VLOOKUP('18.04'!K62,'18.04'!$AM$4:$AO$55,3,FALSE))</f>
        <v>50</v>
      </c>
      <c r="D62" s="4">
        <f>(VLOOKUP('18.04'!L62,'18.04'!$AM$4:$AO$55,3,FALSE))</f>
        <v>50</v>
      </c>
      <c r="E62" s="4">
        <f>(VLOOKUP('18.04'!M62,'18.04'!$AM$4:$AO$55,3,FALSE))</f>
        <v>50</v>
      </c>
      <c r="F62" s="4">
        <f>(VLOOKUP('18.04'!N62,'18.04'!$AM$4:$AO$55,3,FALSE))</f>
        <v>50</v>
      </c>
      <c r="G62" s="5">
        <f>(VLOOKUP('18.04'!O62,'18.04'!$AM$4:$AO$55,3,FALSE))</f>
        <v>50</v>
      </c>
      <c r="H62" s="5">
        <f>(VLOOKUP('18.04'!P62,'18.04'!$AM$4:$AO$55,3,FALSE))</f>
        <v>50</v>
      </c>
      <c r="I62" s="4">
        <f>(VLOOKUP('18.04'!Q62,'18.04'!$AM$4:$AO$55,3,FALSE))</f>
        <v>60</v>
      </c>
      <c r="J62" s="4">
        <f>(VLOOKUP('18.04'!R62,'18.04'!$AM$4:$AO$55,3,FALSE))</f>
        <v>60</v>
      </c>
      <c r="K62" s="4">
        <f>(VLOOKUP('18.04'!S62,'18.04'!$AM$4:$AO$55,3,FALSE))</f>
        <v>60</v>
      </c>
      <c r="L62" s="4">
        <f>(VLOOKUP('18.04'!T62,'18.04'!$AM$4:$AO$55,3,FALSE))</f>
        <v>60</v>
      </c>
      <c r="M62" s="4">
        <f>(VLOOKUP('18.04'!U62,'18.04'!$AM$4:$AO$55,3,FALSE))</f>
        <v>60</v>
      </c>
      <c r="N62" s="4">
        <f>(VLOOKUP('18.04'!V62,'18.04'!$AM$4:$AO$55,3,FALSE))</f>
        <v>60</v>
      </c>
      <c r="O62" s="5">
        <f>(VLOOKUP('18.04'!W62,'18.04'!$AM$4:$AO$55,3,FALSE))</f>
        <v>60</v>
      </c>
      <c r="P62" s="5">
        <f>(VLOOKUP('18.04'!X62,'18.04'!$AM$4:$AO$55,3,FALSE))</f>
        <v>60</v>
      </c>
      <c r="Q62" s="4">
        <f>(VLOOKUP('18.04'!Y62,'18.04'!$AM$4:$AO$55,3,FALSE))</f>
        <v>0</v>
      </c>
      <c r="R62" s="4">
        <f>(VLOOKUP('18.04'!Z62,'18.04'!$AM$4:$AO$55,3,FALSE))</f>
        <v>0</v>
      </c>
      <c r="S62" s="4">
        <f>(VLOOKUP('18.04'!AA62,'18.04'!$AM$4:$AO$55,3,FALSE))</f>
        <v>0</v>
      </c>
      <c r="T62" s="4">
        <f>(VLOOKUP('18.04'!AB62,'18.04'!$AM$4:$AO$55,3,FALSE))</f>
        <v>0</v>
      </c>
      <c r="U62" s="4">
        <f>(VLOOKUP('18.04'!AC62,'18.04'!$AM$4:$AO$55,3,FALSE))</f>
        <v>0</v>
      </c>
      <c r="V62" s="4">
        <f>(VLOOKUP('18.04'!AD62,'18.04'!$AM$4:$AO$55,3,FALSE))</f>
        <v>0</v>
      </c>
      <c r="W62" s="5">
        <f>(VLOOKUP('18.04'!AE62,'18.04'!$AM$4:$AO$55,3,FALSE))</f>
        <v>0</v>
      </c>
      <c r="X62" s="5">
        <f>(VLOOKUP('18.04'!AF62,'18.04'!$AM$4:$AO$55,3,FALSE))</f>
        <v>0</v>
      </c>
    </row>
    <row r="63" spans="1:24">
      <c r="A63" s="4">
        <f>(VLOOKUP('18.04'!I63,'18.04'!$AM$4:$AO$55,3,FALSE))</f>
        <v>50</v>
      </c>
      <c r="B63" s="4">
        <f>(VLOOKUP('18.04'!J63,'18.04'!$AM$4:$AO$55,3,FALSE))</f>
        <v>50</v>
      </c>
      <c r="C63" s="4">
        <f>(VLOOKUP('18.04'!K63,'18.04'!$AM$4:$AO$55,3,FALSE))</f>
        <v>50</v>
      </c>
      <c r="D63" s="4">
        <f>(VLOOKUP('18.04'!L63,'18.04'!$AM$4:$AO$55,3,FALSE))</f>
        <v>50</v>
      </c>
      <c r="E63" s="4">
        <f>(VLOOKUP('18.04'!M63,'18.04'!$AM$4:$AO$55,3,FALSE))</f>
        <v>50</v>
      </c>
      <c r="F63" s="4">
        <f>(VLOOKUP('18.04'!N63,'18.04'!$AM$4:$AO$55,3,FALSE))</f>
        <v>50</v>
      </c>
      <c r="G63" s="5">
        <f>(VLOOKUP('18.04'!O63,'18.04'!$AM$4:$AO$55,3,FALSE))</f>
        <v>50</v>
      </c>
      <c r="H63" s="5">
        <f>(VLOOKUP('18.04'!P63,'18.04'!$AM$4:$AO$55,3,FALSE))</f>
        <v>50</v>
      </c>
      <c r="I63" s="4">
        <f>(VLOOKUP('18.04'!Q63,'18.04'!$AM$4:$AO$55,3,FALSE))</f>
        <v>60</v>
      </c>
      <c r="J63" s="4">
        <f>(VLOOKUP('18.04'!R63,'18.04'!$AM$4:$AO$55,3,FALSE))</f>
        <v>60</v>
      </c>
      <c r="K63" s="4">
        <f>(VLOOKUP('18.04'!S63,'18.04'!$AM$4:$AO$55,3,FALSE))</f>
        <v>60</v>
      </c>
      <c r="L63" s="4">
        <f>(VLOOKUP('18.04'!T63,'18.04'!$AM$4:$AO$55,3,FALSE))</f>
        <v>60</v>
      </c>
      <c r="M63" s="4">
        <f>(VLOOKUP('18.04'!U63,'18.04'!$AM$4:$AO$55,3,FALSE))</f>
        <v>60</v>
      </c>
      <c r="N63" s="4">
        <f>(VLOOKUP('18.04'!V63,'18.04'!$AM$4:$AO$55,3,FALSE))</f>
        <v>60</v>
      </c>
      <c r="O63" s="5">
        <f>(VLOOKUP('18.04'!W63,'18.04'!$AM$4:$AO$55,3,FALSE))</f>
        <v>60</v>
      </c>
      <c r="P63" s="5">
        <f>(VLOOKUP('18.04'!X63,'18.04'!$AM$4:$AO$55,3,FALSE))</f>
        <v>60</v>
      </c>
      <c r="Q63" s="4">
        <f>(VLOOKUP('18.04'!Y63,'18.04'!$AM$4:$AO$55,3,FALSE))</f>
        <v>0</v>
      </c>
      <c r="R63" s="4">
        <f>(VLOOKUP('18.04'!Z63,'18.04'!$AM$4:$AO$55,3,FALSE))</f>
        <v>0</v>
      </c>
      <c r="S63" s="4">
        <f>(VLOOKUP('18.04'!AA63,'18.04'!$AM$4:$AO$55,3,FALSE))</f>
        <v>0</v>
      </c>
      <c r="T63" s="4">
        <f>(VLOOKUP('18.04'!AB63,'18.04'!$AM$4:$AO$55,3,FALSE))</f>
        <v>0</v>
      </c>
      <c r="U63" s="4">
        <f>(VLOOKUP('18.04'!AC63,'18.04'!$AM$4:$AO$55,3,FALSE))</f>
        <v>0</v>
      </c>
      <c r="V63" s="4">
        <f>(VLOOKUP('18.04'!AD63,'18.04'!$AM$4:$AO$55,3,FALSE))</f>
        <v>0</v>
      </c>
      <c r="W63" s="5">
        <f>(VLOOKUP('18.04'!AE63,'18.04'!$AM$4:$AO$55,3,FALSE))</f>
        <v>0</v>
      </c>
      <c r="X63" s="5">
        <f>(VLOOKUP('18.04'!AF63,'18.04'!$AM$4:$AO$55,3,FALSE))</f>
        <v>0</v>
      </c>
    </row>
    <row r="64" spans="1:24">
      <c r="A64" s="4">
        <f>(VLOOKUP('18.04'!I64,'18.04'!$AM$4:$AO$55,3,FALSE))</f>
        <v>50</v>
      </c>
      <c r="B64" s="4">
        <f>(VLOOKUP('18.04'!J64,'18.04'!$AM$4:$AO$55,3,FALSE))</f>
        <v>50</v>
      </c>
      <c r="C64" s="4">
        <f>(VLOOKUP('18.04'!K64,'18.04'!$AM$4:$AO$55,3,FALSE))</f>
        <v>50</v>
      </c>
      <c r="D64" s="4">
        <f>(VLOOKUP('18.04'!L64,'18.04'!$AM$4:$AO$55,3,FALSE))</f>
        <v>50</v>
      </c>
      <c r="E64" s="4">
        <f>(VLOOKUP('18.04'!M64,'18.04'!$AM$4:$AO$55,3,FALSE))</f>
        <v>50</v>
      </c>
      <c r="F64" s="4">
        <f>(VLOOKUP('18.04'!N64,'18.04'!$AM$4:$AO$55,3,FALSE))</f>
        <v>50</v>
      </c>
      <c r="G64" s="5">
        <f>(VLOOKUP('18.04'!O64,'18.04'!$AM$4:$AO$55,3,FALSE))</f>
        <v>50</v>
      </c>
      <c r="H64" s="5">
        <f>(VLOOKUP('18.04'!P64,'18.04'!$AM$4:$AO$55,3,FALSE))</f>
        <v>50</v>
      </c>
      <c r="I64" s="4">
        <f>(VLOOKUP('18.04'!Q64,'18.04'!$AM$4:$AO$55,3,FALSE))</f>
        <v>60</v>
      </c>
      <c r="J64" s="4">
        <f>(VLOOKUP('18.04'!R64,'18.04'!$AM$4:$AO$55,3,FALSE))</f>
        <v>60</v>
      </c>
      <c r="K64" s="4">
        <f>(VLOOKUP('18.04'!S64,'18.04'!$AM$4:$AO$55,3,FALSE))</f>
        <v>60</v>
      </c>
      <c r="L64" s="4">
        <f>(VLOOKUP('18.04'!T64,'18.04'!$AM$4:$AO$55,3,FALSE))</f>
        <v>60</v>
      </c>
      <c r="M64" s="4">
        <f>(VLOOKUP('18.04'!U64,'18.04'!$AM$4:$AO$55,3,FALSE))</f>
        <v>60</v>
      </c>
      <c r="N64" s="4">
        <f>(VLOOKUP('18.04'!V64,'18.04'!$AM$4:$AO$55,3,FALSE))</f>
        <v>60</v>
      </c>
      <c r="O64" s="5">
        <f>(VLOOKUP('18.04'!W64,'18.04'!$AM$4:$AO$55,3,FALSE))</f>
        <v>60</v>
      </c>
      <c r="P64" s="5">
        <f>(VLOOKUP('18.04'!X64,'18.04'!$AM$4:$AO$55,3,FALSE))</f>
        <v>60</v>
      </c>
      <c r="Q64" s="4">
        <f>(VLOOKUP('18.04'!Y64,'18.04'!$AM$4:$AO$55,3,FALSE))</f>
        <v>0</v>
      </c>
      <c r="R64" s="4">
        <f>(VLOOKUP('18.04'!Z64,'18.04'!$AM$4:$AO$55,3,FALSE))</f>
        <v>0</v>
      </c>
      <c r="S64" s="4">
        <f>(VLOOKUP('18.04'!AA64,'18.04'!$AM$4:$AO$55,3,FALSE))</f>
        <v>0</v>
      </c>
      <c r="T64" s="4">
        <f>(VLOOKUP('18.04'!AB64,'18.04'!$AM$4:$AO$55,3,FALSE))</f>
        <v>0</v>
      </c>
      <c r="U64" s="4">
        <f>(VLOOKUP('18.04'!AC64,'18.04'!$AM$4:$AO$55,3,FALSE))</f>
        <v>0</v>
      </c>
      <c r="V64" s="4">
        <f>(VLOOKUP('18.04'!AD64,'18.04'!$AM$4:$AO$55,3,FALSE))</f>
        <v>0</v>
      </c>
      <c r="W64" s="5">
        <f>(VLOOKUP('18.04'!AE64,'18.04'!$AM$4:$AO$55,3,FALSE))</f>
        <v>0</v>
      </c>
      <c r="X64" s="5">
        <f>(VLOOKUP('18.04'!AF64,'18.04'!$AM$4:$AO$55,3,FALSE))</f>
        <v>0</v>
      </c>
    </row>
    <row r="65" spans="1:24">
      <c r="A65" s="4">
        <f>(VLOOKUP('18.04'!I65,'18.04'!$AM$4:$AO$55,3,FALSE))</f>
        <v>50</v>
      </c>
      <c r="B65" s="4">
        <f>(VLOOKUP('18.04'!J65,'18.04'!$AM$4:$AO$55,3,FALSE))</f>
        <v>50</v>
      </c>
      <c r="C65" s="4">
        <f>(VLOOKUP('18.04'!K65,'18.04'!$AM$4:$AO$55,3,FALSE))</f>
        <v>50</v>
      </c>
      <c r="D65" s="4">
        <f>(VLOOKUP('18.04'!L65,'18.04'!$AM$4:$AO$55,3,FALSE))</f>
        <v>50</v>
      </c>
      <c r="E65" s="4">
        <f>(VLOOKUP('18.04'!M65,'18.04'!$AM$4:$AO$55,3,FALSE))</f>
        <v>50</v>
      </c>
      <c r="F65" s="4">
        <f>(VLOOKUP('18.04'!N65,'18.04'!$AM$4:$AO$55,3,FALSE))</f>
        <v>50</v>
      </c>
      <c r="G65" s="5">
        <f>(VLOOKUP('18.04'!O65,'18.04'!$AM$4:$AO$55,3,FALSE))</f>
        <v>50</v>
      </c>
      <c r="H65" s="5">
        <f>(VLOOKUP('18.04'!P65,'18.04'!$AM$4:$AO$55,3,FALSE))</f>
        <v>50</v>
      </c>
      <c r="I65" s="4">
        <f>(VLOOKUP('18.04'!Q65,'18.04'!$AM$4:$AO$55,3,FALSE))</f>
        <v>60</v>
      </c>
      <c r="J65" s="4">
        <f>(VLOOKUP('18.04'!R65,'18.04'!$AM$4:$AO$55,3,FALSE))</f>
        <v>60</v>
      </c>
      <c r="K65" s="4">
        <f>(VLOOKUP('18.04'!S65,'18.04'!$AM$4:$AO$55,3,FALSE))</f>
        <v>60</v>
      </c>
      <c r="L65" s="4">
        <f>(VLOOKUP('18.04'!T65,'18.04'!$AM$4:$AO$55,3,FALSE))</f>
        <v>60</v>
      </c>
      <c r="M65" s="4">
        <f>(VLOOKUP('18.04'!U65,'18.04'!$AM$4:$AO$55,3,FALSE))</f>
        <v>60</v>
      </c>
      <c r="N65" s="4">
        <f>(VLOOKUP('18.04'!V65,'18.04'!$AM$4:$AO$55,3,FALSE))</f>
        <v>60</v>
      </c>
      <c r="O65" s="5">
        <f>(VLOOKUP('18.04'!W65,'18.04'!$AM$4:$AO$55,3,FALSE))</f>
        <v>60</v>
      </c>
      <c r="P65" s="5">
        <f>(VLOOKUP('18.04'!X65,'18.04'!$AM$4:$AO$55,3,FALSE))</f>
        <v>60</v>
      </c>
      <c r="Q65" s="4">
        <f>(VLOOKUP('18.04'!Y65,'18.04'!$AM$4:$AO$55,3,FALSE))</f>
        <v>0</v>
      </c>
      <c r="R65" s="4">
        <f>(VLOOKUP('18.04'!Z65,'18.04'!$AM$4:$AO$55,3,FALSE))</f>
        <v>0</v>
      </c>
      <c r="S65" s="4">
        <f>(VLOOKUP('18.04'!AA65,'18.04'!$AM$4:$AO$55,3,FALSE))</f>
        <v>0</v>
      </c>
      <c r="T65" s="4">
        <f>(VLOOKUP('18.04'!AB65,'18.04'!$AM$4:$AO$55,3,FALSE))</f>
        <v>0</v>
      </c>
      <c r="U65" s="4">
        <f>(VLOOKUP('18.04'!AC65,'18.04'!$AM$4:$AO$55,3,FALSE))</f>
        <v>0</v>
      </c>
      <c r="V65" s="4">
        <f>(VLOOKUP('18.04'!AD65,'18.04'!$AM$4:$AO$55,3,FALSE))</f>
        <v>0</v>
      </c>
      <c r="W65" s="5">
        <f>(VLOOKUP('18.04'!AE65,'18.04'!$AM$4:$AO$55,3,FALSE))</f>
        <v>0</v>
      </c>
      <c r="X65" s="5">
        <f>(VLOOKUP('18.04'!AF65,'18.04'!$AM$4:$AO$55,3,FALSE))</f>
        <v>0</v>
      </c>
    </row>
    <row r="66" spans="1:24">
      <c r="A66" s="4">
        <f>(VLOOKUP('18.04'!I66,'18.04'!$AM$4:$AO$55,3,FALSE))</f>
        <v>50</v>
      </c>
      <c r="B66" s="4">
        <f>(VLOOKUP('18.04'!J66,'18.04'!$AM$4:$AO$55,3,FALSE))</f>
        <v>50</v>
      </c>
      <c r="C66" s="4">
        <f>(VLOOKUP('18.04'!K66,'18.04'!$AM$4:$AO$55,3,FALSE))</f>
        <v>50</v>
      </c>
      <c r="D66" s="4">
        <f>(VLOOKUP('18.04'!L66,'18.04'!$AM$4:$AO$55,3,FALSE))</f>
        <v>50</v>
      </c>
      <c r="E66" s="4">
        <f>(VLOOKUP('18.04'!M66,'18.04'!$AM$4:$AO$55,3,FALSE))</f>
        <v>50</v>
      </c>
      <c r="F66" s="4">
        <f>(VLOOKUP('18.04'!N66,'18.04'!$AM$4:$AO$55,3,FALSE))</f>
        <v>50</v>
      </c>
      <c r="G66" s="5">
        <f>(VLOOKUP('18.04'!O66,'18.04'!$AM$4:$AO$55,3,FALSE))</f>
        <v>50</v>
      </c>
      <c r="H66" s="5">
        <f>(VLOOKUP('18.04'!P66,'18.04'!$AM$4:$AO$55,3,FALSE))</f>
        <v>50</v>
      </c>
      <c r="I66" s="4">
        <f>(VLOOKUP('18.04'!Q66,'18.04'!$AM$4:$AO$55,3,FALSE))</f>
        <v>60</v>
      </c>
      <c r="J66" s="4">
        <f>(VLOOKUP('18.04'!R66,'18.04'!$AM$4:$AO$55,3,FALSE))</f>
        <v>60</v>
      </c>
      <c r="K66" s="4">
        <f>(VLOOKUP('18.04'!S66,'18.04'!$AM$4:$AO$55,3,FALSE))</f>
        <v>60</v>
      </c>
      <c r="L66" s="4">
        <f>(VLOOKUP('18.04'!T66,'18.04'!$AM$4:$AO$55,3,FALSE))</f>
        <v>60</v>
      </c>
      <c r="M66" s="4">
        <f>(VLOOKUP('18.04'!U66,'18.04'!$AM$4:$AO$55,3,FALSE))</f>
        <v>60</v>
      </c>
      <c r="N66" s="4">
        <f>(VLOOKUP('18.04'!V66,'18.04'!$AM$4:$AO$55,3,FALSE))</f>
        <v>60</v>
      </c>
      <c r="O66" s="5">
        <f>(VLOOKUP('18.04'!W66,'18.04'!$AM$4:$AO$55,3,FALSE))</f>
        <v>60</v>
      </c>
      <c r="P66" s="5">
        <f>(VLOOKUP('18.04'!X66,'18.04'!$AM$4:$AO$55,3,FALSE))</f>
        <v>60</v>
      </c>
      <c r="Q66" s="4">
        <f>(VLOOKUP('18.04'!Y66,'18.04'!$AM$4:$AO$55,3,FALSE))</f>
        <v>0</v>
      </c>
      <c r="R66" s="4">
        <f>(VLOOKUP('18.04'!Z66,'18.04'!$AM$4:$AO$55,3,FALSE))</f>
        <v>0</v>
      </c>
      <c r="S66" s="4">
        <f>(VLOOKUP('18.04'!AA66,'18.04'!$AM$4:$AO$55,3,FALSE))</f>
        <v>0</v>
      </c>
      <c r="T66" s="4">
        <f>(VLOOKUP('18.04'!AB66,'18.04'!$AM$4:$AO$55,3,FALSE))</f>
        <v>0</v>
      </c>
      <c r="U66" s="4">
        <f>(VLOOKUP('18.04'!AC66,'18.04'!$AM$4:$AO$55,3,FALSE))</f>
        <v>0</v>
      </c>
      <c r="V66" s="4">
        <f>(VLOOKUP('18.04'!AD66,'18.04'!$AM$4:$AO$55,3,FALSE))</f>
        <v>0</v>
      </c>
      <c r="W66" s="5">
        <f>(VLOOKUP('18.04'!AE66,'18.04'!$AM$4:$AO$55,3,FALSE))</f>
        <v>0</v>
      </c>
      <c r="X66" s="5">
        <f>(VLOOKUP('18.04'!AF66,'18.04'!$AM$4:$AO$55,3,FALSE))</f>
        <v>0</v>
      </c>
    </row>
    <row r="67" spans="1:24">
      <c r="A67" s="4">
        <f>(VLOOKUP('18.04'!I67,'18.04'!$AM$4:$AO$55,3,FALSE))</f>
        <v>50</v>
      </c>
      <c r="B67" s="4">
        <f>(VLOOKUP('18.04'!J67,'18.04'!$AM$4:$AO$55,3,FALSE))</f>
        <v>50</v>
      </c>
      <c r="C67" s="4">
        <f>(VLOOKUP('18.04'!K67,'18.04'!$AM$4:$AO$55,3,FALSE))</f>
        <v>50</v>
      </c>
      <c r="D67" s="4">
        <f>(VLOOKUP('18.04'!L67,'18.04'!$AM$4:$AO$55,3,FALSE))</f>
        <v>50</v>
      </c>
      <c r="E67" s="4">
        <f>(VLOOKUP('18.04'!M67,'18.04'!$AM$4:$AO$55,3,FALSE))</f>
        <v>50</v>
      </c>
      <c r="F67" s="4">
        <f>(VLOOKUP('18.04'!N67,'18.04'!$AM$4:$AO$55,3,FALSE))</f>
        <v>50</v>
      </c>
      <c r="G67" s="5">
        <f>(VLOOKUP('18.04'!O67,'18.04'!$AM$4:$AO$55,3,FALSE))</f>
        <v>50</v>
      </c>
      <c r="H67" s="5">
        <f>(VLOOKUP('18.04'!P67,'18.04'!$AM$4:$AO$55,3,FALSE))</f>
        <v>50</v>
      </c>
      <c r="I67" s="4">
        <f>(VLOOKUP('18.04'!Q67,'18.04'!$AM$4:$AO$55,3,FALSE))</f>
        <v>60</v>
      </c>
      <c r="J67" s="4">
        <f>(VLOOKUP('18.04'!R67,'18.04'!$AM$4:$AO$55,3,FALSE))</f>
        <v>60</v>
      </c>
      <c r="K67" s="4">
        <f>(VLOOKUP('18.04'!S67,'18.04'!$AM$4:$AO$55,3,FALSE))</f>
        <v>60</v>
      </c>
      <c r="L67" s="4">
        <f>(VLOOKUP('18.04'!T67,'18.04'!$AM$4:$AO$55,3,FALSE))</f>
        <v>60</v>
      </c>
      <c r="M67" s="4">
        <f>(VLOOKUP('18.04'!U67,'18.04'!$AM$4:$AO$55,3,FALSE))</f>
        <v>60</v>
      </c>
      <c r="N67" s="4">
        <f>(VLOOKUP('18.04'!V67,'18.04'!$AM$4:$AO$55,3,FALSE))</f>
        <v>60</v>
      </c>
      <c r="O67" s="5">
        <f>(VLOOKUP('18.04'!W67,'18.04'!$AM$4:$AO$55,3,FALSE))</f>
        <v>60</v>
      </c>
      <c r="P67" s="5">
        <f>(VLOOKUP('18.04'!X67,'18.04'!$AM$4:$AO$55,3,FALSE))</f>
        <v>60</v>
      </c>
      <c r="Q67" s="4">
        <f>(VLOOKUP('18.04'!Y67,'18.04'!$AM$4:$AO$55,3,FALSE))</f>
        <v>0</v>
      </c>
      <c r="R67" s="4">
        <f>(VLOOKUP('18.04'!Z67,'18.04'!$AM$4:$AO$55,3,FALSE))</f>
        <v>0</v>
      </c>
      <c r="S67" s="4">
        <f>(VLOOKUP('18.04'!AA67,'18.04'!$AM$4:$AO$55,3,FALSE))</f>
        <v>0</v>
      </c>
      <c r="T67" s="4">
        <f>(VLOOKUP('18.04'!AB67,'18.04'!$AM$4:$AO$55,3,FALSE))</f>
        <v>0</v>
      </c>
      <c r="U67" s="4">
        <f>(VLOOKUP('18.04'!AC67,'18.04'!$AM$4:$AO$55,3,FALSE))</f>
        <v>0</v>
      </c>
      <c r="V67" s="4">
        <f>(VLOOKUP('18.04'!AD67,'18.04'!$AM$4:$AO$55,3,FALSE))</f>
        <v>0</v>
      </c>
      <c r="W67" s="5">
        <f>(VLOOKUP('18.04'!AE67,'18.04'!$AM$4:$AO$55,3,FALSE))</f>
        <v>0</v>
      </c>
      <c r="X67" s="5">
        <f>(VLOOKUP('18.04'!AF67,'18.04'!$AM$4:$AO$55,3,FALSE))</f>
        <v>0</v>
      </c>
    </row>
    <row r="68" spans="1:24">
      <c r="A68" s="4">
        <f>(VLOOKUP('18.04'!I68,'18.04'!$AM$4:$AO$55,3,FALSE))</f>
        <v>50</v>
      </c>
      <c r="B68" s="4">
        <f>(VLOOKUP('18.04'!J68,'18.04'!$AM$4:$AO$55,3,FALSE))</f>
        <v>50</v>
      </c>
      <c r="C68" s="4">
        <f>(VLOOKUP('18.04'!K68,'18.04'!$AM$4:$AO$55,3,FALSE))</f>
        <v>50</v>
      </c>
      <c r="D68" s="4">
        <f>(VLOOKUP('18.04'!L68,'18.04'!$AM$4:$AO$55,3,FALSE))</f>
        <v>50</v>
      </c>
      <c r="E68" s="4">
        <f>(VLOOKUP('18.04'!M68,'18.04'!$AM$4:$AO$55,3,FALSE))</f>
        <v>50</v>
      </c>
      <c r="F68" s="4">
        <f>(VLOOKUP('18.04'!N68,'18.04'!$AM$4:$AO$55,3,FALSE))</f>
        <v>50</v>
      </c>
      <c r="G68" s="5">
        <f>(VLOOKUP('18.04'!O68,'18.04'!$AM$4:$AO$55,3,FALSE))</f>
        <v>50</v>
      </c>
      <c r="H68" s="5">
        <f>(VLOOKUP('18.04'!P68,'18.04'!$AM$4:$AO$55,3,FALSE))</f>
        <v>50</v>
      </c>
      <c r="I68" s="4">
        <f>(VLOOKUP('18.04'!Q68,'18.04'!$AM$4:$AO$55,3,FALSE))</f>
        <v>60</v>
      </c>
      <c r="J68" s="4">
        <f>(VLOOKUP('18.04'!R68,'18.04'!$AM$4:$AO$55,3,FALSE))</f>
        <v>60</v>
      </c>
      <c r="K68" s="4">
        <f>(VLOOKUP('18.04'!S68,'18.04'!$AM$4:$AO$55,3,FALSE))</f>
        <v>60</v>
      </c>
      <c r="L68" s="4">
        <f>(VLOOKUP('18.04'!T68,'18.04'!$AM$4:$AO$55,3,FALSE))</f>
        <v>60</v>
      </c>
      <c r="M68" s="4">
        <f>(VLOOKUP('18.04'!U68,'18.04'!$AM$4:$AO$55,3,FALSE))</f>
        <v>60</v>
      </c>
      <c r="N68" s="4">
        <f>(VLOOKUP('18.04'!V68,'18.04'!$AM$4:$AO$55,3,FALSE))</f>
        <v>60</v>
      </c>
      <c r="O68" s="5">
        <f>(VLOOKUP('18.04'!W68,'18.04'!$AM$4:$AO$55,3,FALSE))</f>
        <v>60</v>
      </c>
      <c r="P68" s="5">
        <f>(VLOOKUP('18.04'!X68,'18.04'!$AM$4:$AO$55,3,FALSE))</f>
        <v>60</v>
      </c>
      <c r="Q68" s="4">
        <f>(VLOOKUP('18.04'!Y68,'18.04'!$AM$4:$AO$55,3,FALSE))</f>
        <v>0</v>
      </c>
      <c r="R68" s="4">
        <f>(VLOOKUP('18.04'!Z68,'18.04'!$AM$4:$AO$55,3,FALSE))</f>
        <v>0</v>
      </c>
      <c r="S68" s="4">
        <f>(VLOOKUP('18.04'!AA68,'18.04'!$AM$4:$AO$55,3,FALSE))</f>
        <v>0</v>
      </c>
      <c r="T68" s="4">
        <f>(VLOOKUP('18.04'!AB68,'18.04'!$AM$4:$AO$55,3,FALSE))</f>
        <v>0</v>
      </c>
      <c r="U68" s="4">
        <f>(VLOOKUP('18.04'!AC68,'18.04'!$AM$4:$AO$55,3,FALSE))</f>
        <v>0</v>
      </c>
      <c r="V68" s="4">
        <f>(VLOOKUP('18.04'!AD68,'18.04'!$AM$4:$AO$55,3,FALSE))</f>
        <v>0</v>
      </c>
      <c r="W68" s="5">
        <f>(VLOOKUP('18.04'!AE68,'18.04'!$AM$4:$AO$55,3,FALSE))</f>
        <v>0</v>
      </c>
      <c r="X68" s="5">
        <f>(VLOOKUP('18.04'!AF68,'18.04'!$AM$4:$AO$55,3,FALSE))</f>
        <v>0</v>
      </c>
    </row>
    <row r="69" spans="1:24">
      <c r="A69" s="4">
        <f>(VLOOKUP('18.04'!I69,'18.04'!$AM$4:$AO$55,3,FALSE))</f>
        <v>50</v>
      </c>
      <c r="B69" s="4">
        <f>(VLOOKUP('18.04'!J69,'18.04'!$AM$4:$AO$55,3,FALSE))</f>
        <v>50</v>
      </c>
      <c r="C69" s="4">
        <f>(VLOOKUP('18.04'!K69,'18.04'!$AM$4:$AO$55,3,FALSE))</f>
        <v>50</v>
      </c>
      <c r="D69" s="4">
        <f>(VLOOKUP('18.04'!L69,'18.04'!$AM$4:$AO$55,3,FALSE))</f>
        <v>50</v>
      </c>
      <c r="E69" s="4">
        <f>(VLOOKUP('18.04'!M69,'18.04'!$AM$4:$AO$55,3,FALSE))</f>
        <v>50</v>
      </c>
      <c r="F69" s="4">
        <f>(VLOOKUP('18.04'!N69,'18.04'!$AM$4:$AO$55,3,FALSE))</f>
        <v>50</v>
      </c>
      <c r="G69" s="5">
        <f>(VLOOKUP('18.04'!O69,'18.04'!$AM$4:$AO$55,3,FALSE))</f>
        <v>50</v>
      </c>
      <c r="H69" s="5">
        <f>(VLOOKUP('18.04'!P69,'18.04'!$AM$4:$AO$55,3,FALSE))</f>
        <v>50</v>
      </c>
      <c r="I69" s="4">
        <f>(VLOOKUP('18.04'!Q69,'18.04'!$AM$4:$AO$55,3,FALSE))</f>
        <v>60</v>
      </c>
      <c r="J69" s="4">
        <f>(VLOOKUP('18.04'!R69,'18.04'!$AM$4:$AO$55,3,FALSE))</f>
        <v>60</v>
      </c>
      <c r="K69" s="4">
        <f>(VLOOKUP('18.04'!S69,'18.04'!$AM$4:$AO$55,3,FALSE))</f>
        <v>60</v>
      </c>
      <c r="L69" s="4">
        <f>(VLOOKUP('18.04'!T69,'18.04'!$AM$4:$AO$55,3,FALSE))</f>
        <v>60</v>
      </c>
      <c r="M69" s="4">
        <f>(VLOOKUP('18.04'!U69,'18.04'!$AM$4:$AO$55,3,FALSE))</f>
        <v>60</v>
      </c>
      <c r="N69" s="4">
        <f>(VLOOKUP('18.04'!V69,'18.04'!$AM$4:$AO$55,3,FALSE))</f>
        <v>60</v>
      </c>
      <c r="O69" s="5">
        <f>(VLOOKUP('18.04'!W69,'18.04'!$AM$4:$AO$55,3,FALSE))</f>
        <v>60</v>
      </c>
      <c r="P69" s="5">
        <f>(VLOOKUP('18.04'!X69,'18.04'!$AM$4:$AO$55,3,FALSE))</f>
        <v>60</v>
      </c>
      <c r="Q69" s="4">
        <f>(VLOOKUP('18.04'!Y69,'18.04'!$AM$4:$AO$55,3,FALSE))</f>
        <v>0</v>
      </c>
      <c r="R69" s="4">
        <f>(VLOOKUP('18.04'!Z69,'18.04'!$AM$4:$AO$55,3,FALSE))</f>
        <v>0</v>
      </c>
      <c r="S69" s="4">
        <f>(VLOOKUP('18.04'!AA69,'18.04'!$AM$4:$AO$55,3,FALSE))</f>
        <v>0</v>
      </c>
      <c r="T69" s="4">
        <f>(VLOOKUP('18.04'!AB69,'18.04'!$AM$4:$AO$55,3,FALSE))</f>
        <v>0</v>
      </c>
      <c r="U69" s="4">
        <f>(VLOOKUP('18.04'!AC69,'18.04'!$AM$4:$AO$55,3,FALSE))</f>
        <v>0</v>
      </c>
      <c r="V69" s="4">
        <f>(VLOOKUP('18.04'!AD69,'18.04'!$AM$4:$AO$55,3,FALSE))</f>
        <v>0</v>
      </c>
      <c r="W69" s="5">
        <f>(VLOOKUP('18.04'!AE69,'18.04'!$AM$4:$AO$55,3,FALSE))</f>
        <v>0</v>
      </c>
      <c r="X69" s="5">
        <f>(VLOOKUP('18.04'!AF69,'18.04'!$AM$4:$AO$55,3,FALSE))</f>
        <v>0</v>
      </c>
    </row>
    <row r="70" spans="1:24">
      <c r="A70" s="4">
        <f>(VLOOKUP('18.04'!I70,'18.04'!$AM$4:$AO$55,3,FALSE))</f>
        <v>50</v>
      </c>
      <c r="B70" s="4">
        <f>(VLOOKUP('18.04'!J70,'18.04'!$AM$4:$AO$55,3,FALSE))</f>
        <v>50</v>
      </c>
      <c r="C70" s="4">
        <f>(VLOOKUP('18.04'!K70,'18.04'!$AM$4:$AO$55,3,FALSE))</f>
        <v>50</v>
      </c>
      <c r="D70" s="4">
        <f>(VLOOKUP('18.04'!L70,'18.04'!$AM$4:$AO$55,3,FALSE))</f>
        <v>50</v>
      </c>
      <c r="E70" s="4">
        <f>(VLOOKUP('18.04'!M70,'18.04'!$AM$4:$AO$55,3,FALSE))</f>
        <v>50</v>
      </c>
      <c r="F70" s="4">
        <f>(VLOOKUP('18.04'!N70,'18.04'!$AM$4:$AO$55,3,FALSE))</f>
        <v>50</v>
      </c>
      <c r="G70" s="5">
        <f>(VLOOKUP('18.04'!O70,'18.04'!$AM$4:$AO$55,3,FALSE))</f>
        <v>50</v>
      </c>
      <c r="H70" s="5">
        <f>(VLOOKUP('18.04'!P70,'18.04'!$AM$4:$AO$55,3,FALSE))</f>
        <v>50</v>
      </c>
      <c r="I70" s="4">
        <f>(VLOOKUP('18.04'!Q70,'18.04'!$AM$4:$AO$55,3,FALSE))</f>
        <v>60</v>
      </c>
      <c r="J70" s="4">
        <f>(VLOOKUP('18.04'!R70,'18.04'!$AM$4:$AO$55,3,FALSE))</f>
        <v>60</v>
      </c>
      <c r="K70" s="4">
        <f>(VLOOKUP('18.04'!S70,'18.04'!$AM$4:$AO$55,3,FALSE))</f>
        <v>60</v>
      </c>
      <c r="L70" s="4">
        <f>(VLOOKUP('18.04'!T70,'18.04'!$AM$4:$AO$55,3,FALSE))</f>
        <v>60</v>
      </c>
      <c r="M70" s="4">
        <f>(VLOOKUP('18.04'!U70,'18.04'!$AM$4:$AO$55,3,FALSE))</f>
        <v>60</v>
      </c>
      <c r="N70" s="4">
        <f>(VLOOKUP('18.04'!V70,'18.04'!$AM$4:$AO$55,3,FALSE))</f>
        <v>60</v>
      </c>
      <c r="O70" s="5">
        <f>(VLOOKUP('18.04'!W70,'18.04'!$AM$4:$AO$55,3,FALSE))</f>
        <v>60</v>
      </c>
      <c r="P70" s="5">
        <f>(VLOOKUP('18.04'!X70,'18.04'!$AM$4:$AO$55,3,FALSE))</f>
        <v>60</v>
      </c>
      <c r="Q70" s="4">
        <f>(VLOOKUP('18.04'!Y70,'18.04'!$AM$4:$AO$55,3,FALSE))</f>
        <v>0</v>
      </c>
      <c r="R70" s="4">
        <f>(VLOOKUP('18.04'!Z70,'18.04'!$AM$4:$AO$55,3,FALSE))</f>
        <v>0</v>
      </c>
      <c r="S70" s="4">
        <f>(VLOOKUP('18.04'!AA70,'18.04'!$AM$4:$AO$55,3,FALSE))</f>
        <v>0</v>
      </c>
      <c r="T70" s="4">
        <f>(VLOOKUP('18.04'!AB70,'18.04'!$AM$4:$AO$55,3,FALSE))</f>
        <v>0</v>
      </c>
      <c r="U70" s="4">
        <f>(VLOOKUP('18.04'!AC70,'18.04'!$AM$4:$AO$55,3,FALSE))</f>
        <v>0</v>
      </c>
      <c r="V70" s="4">
        <f>(VLOOKUP('18.04'!AD70,'18.04'!$AM$4:$AO$55,3,FALSE))</f>
        <v>0</v>
      </c>
      <c r="W70" s="5">
        <f>(VLOOKUP('18.04'!AE70,'18.04'!$AM$4:$AO$55,3,FALSE))</f>
        <v>0</v>
      </c>
      <c r="X70" s="5">
        <f>(VLOOKUP('18.04'!AF70,'18.04'!$AM$4:$AO$55,3,FALSE))</f>
        <v>0</v>
      </c>
    </row>
    <row r="71" spans="1:24">
      <c r="A71" s="4">
        <f>(VLOOKUP('18.04'!I71,'18.04'!$AM$4:$AO$55,3,FALSE))</f>
        <v>50</v>
      </c>
      <c r="B71" s="4">
        <f>(VLOOKUP('18.04'!J71,'18.04'!$AM$4:$AO$55,3,FALSE))</f>
        <v>50</v>
      </c>
      <c r="C71" s="4">
        <f>(VLOOKUP('18.04'!K71,'18.04'!$AM$4:$AO$55,3,FALSE))</f>
        <v>50</v>
      </c>
      <c r="D71" s="4">
        <f>(VLOOKUP('18.04'!L71,'18.04'!$AM$4:$AO$55,3,FALSE))</f>
        <v>50</v>
      </c>
      <c r="E71" s="4">
        <f>(VLOOKUP('18.04'!M71,'18.04'!$AM$4:$AO$55,3,FALSE))</f>
        <v>50</v>
      </c>
      <c r="F71" s="4">
        <f>(VLOOKUP('18.04'!N71,'18.04'!$AM$4:$AO$55,3,FALSE))</f>
        <v>50</v>
      </c>
      <c r="G71" s="5">
        <f>(VLOOKUP('18.04'!O71,'18.04'!$AM$4:$AO$55,3,FALSE))</f>
        <v>50</v>
      </c>
      <c r="H71" s="5">
        <f>(VLOOKUP('18.04'!P71,'18.04'!$AM$4:$AO$55,3,FALSE))</f>
        <v>50</v>
      </c>
      <c r="I71" s="4">
        <f>(VLOOKUP('18.04'!Q71,'18.04'!$AM$4:$AO$55,3,FALSE))</f>
        <v>60</v>
      </c>
      <c r="J71" s="4">
        <f>(VLOOKUP('18.04'!R71,'18.04'!$AM$4:$AO$55,3,FALSE))</f>
        <v>60</v>
      </c>
      <c r="K71" s="4">
        <f>(VLOOKUP('18.04'!S71,'18.04'!$AM$4:$AO$55,3,FALSE))</f>
        <v>60</v>
      </c>
      <c r="L71" s="4">
        <f>(VLOOKUP('18.04'!T71,'18.04'!$AM$4:$AO$55,3,FALSE))</f>
        <v>60</v>
      </c>
      <c r="M71" s="4">
        <f>(VLOOKUP('18.04'!U71,'18.04'!$AM$4:$AO$55,3,FALSE))</f>
        <v>60</v>
      </c>
      <c r="N71" s="4">
        <f>(VLOOKUP('18.04'!V71,'18.04'!$AM$4:$AO$55,3,FALSE))</f>
        <v>60</v>
      </c>
      <c r="O71" s="5">
        <f>(VLOOKUP('18.04'!W71,'18.04'!$AM$4:$AO$55,3,FALSE))</f>
        <v>60</v>
      </c>
      <c r="P71" s="5">
        <f>(VLOOKUP('18.04'!X71,'18.04'!$AM$4:$AO$55,3,FALSE))</f>
        <v>60</v>
      </c>
      <c r="Q71" s="4">
        <f>(VLOOKUP('18.04'!Y71,'18.04'!$AM$4:$AO$55,3,FALSE))</f>
        <v>0</v>
      </c>
      <c r="R71" s="4">
        <f>(VLOOKUP('18.04'!Z71,'18.04'!$AM$4:$AO$55,3,FALSE))</f>
        <v>0</v>
      </c>
      <c r="S71" s="4">
        <f>(VLOOKUP('18.04'!AA71,'18.04'!$AM$4:$AO$55,3,FALSE))</f>
        <v>0</v>
      </c>
      <c r="T71" s="4">
        <f>(VLOOKUP('18.04'!AB71,'18.04'!$AM$4:$AO$55,3,FALSE))</f>
        <v>0</v>
      </c>
      <c r="U71" s="4">
        <f>(VLOOKUP('18.04'!AC71,'18.04'!$AM$4:$AO$55,3,FALSE))</f>
        <v>0</v>
      </c>
      <c r="V71" s="4">
        <f>(VLOOKUP('18.04'!AD71,'18.04'!$AM$4:$AO$55,3,FALSE))</f>
        <v>0</v>
      </c>
      <c r="W71" s="5">
        <f>(VLOOKUP('18.04'!AE71,'18.04'!$AM$4:$AO$55,3,FALSE))</f>
        <v>0</v>
      </c>
      <c r="X71" s="5">
        <f>(VLOOKUP('18.04'!AF71,'18.04'!$AM$4:$AO$55,3,FALSE))</f>
        <v>0</v>
      </c>
    </row>
    <row r="72" spans="1:24">
      <c r="A72" s="4">
        <f>(VLOOKUP('18.04'!I72,'18.04'!$AM$4:$AO$55,3,FALSE))</f>
        <v>50</v>
      </c>
      <c r="B72" s="4">
        <f>(VLOOKUP('18.04'!J72,'18.04'!$AM$4:$AO$55,3,FALSE))</f>
        <v>50</v>
      </c>
      <c r="C72" s="4">
        <f>(VLOOKUP('18.04'!K72,'18.04'!$AM$4:$AO$55,3,FALSE))</f>
        <v>50</v>
      </c>
      <c r="D72" s="4">
        <f>(VLOOKUP('18.04'!L72,'18.04'!$AM$4:$AO$55,3,FALSE))</f>
        <v>50</v>
      </c>
      <c r="E72" s="4">
        <f>(VLOOKUP('18.04'!M72,'18.04'!$AM$4:$AO$55,3,FALSE))</f>
        <v>50</v>
      </c>
      <c r="F72" s="4">
        <f>(VLOOKUP('18.04'!N72,'18.04'!$AM$4:$AO$55,3,FALSE))</f>
        <v>50</v>
      </c>
      <c r="G72" s="5">
        <f>(VLOOKUP('18.04'!O72,'18.04'!$AM$4:$AO$55,3,FALSE))</f>
        <v>50</v>
      </c>
      <c r="H72" s="5">
        <f>(VLOOKUP('18.04'!P72,'18.04'!$AM$4:$AO$55,3,FALSE))</f>
        <v>50</v>
      </c>
      <c r="I72" s="4">
        <f>(VLOOKUP('18.04'!Q72,'18.04'!$AM$4:$AO$55,3,FALSE))</f>
        <v>60</v>
      </c>
      <c r="J72" s="4">
        <f>(VLOOKUP('18.04'!R72,'18.04'!$AM$4:$AO$55,3,FALSE))</f>
        <v>60</v>
      </c>
      <c r="K72" s="4">
        <f>(VLOOKUP('18.04'!S72,'18.04'!$AM$4:$AO$55,3,FALSE))</f>
        <v>60</v>
      </c>
      <c r="L72" s="4">
        <f>(VLOOKUP('18.04'!T72,'18.04'!$AM$4:$AO$55,3,FALSE))</f>
        <v>60</v>
      </c>
      <c r="M72" s="4">
        <f>(VLOOKUP('18.04'!U72,'18.04'!$AM$4:$AO$55,3,FALSE))</f>
        <v>60</v>
      </c>
      <c r="N72" s="4">
        <f>(VLOOKUP('18.04'!V72,'18.04'!$AM$4:$AO$55,3,FALSE))</f>
        <v>60</v>
      </c>
      <c r="O72" s="5">
        <f>(VLOOKUP('18.04'!W72,'18.04'!$AM$4:$AO$55,3,FALSE))</f>
        <v>60</v>
      </c>
      <c r="P72" s="5">
        <f>(VLOOKUP('18.04'!X72,'18.04'!$AM$4:$AO$55,3,FALSE))</f>
        <v>60</v>
      </c>
      <c r="Q72" s="4">
        <f>(VLOOKUP('18.04'!Y72,'18.04'!$AM$4:$AO$55,3,FALSE))</f>
        <v>0</v>
      </c>
      <c r="R72" s="4">
        <f>(VLOOKUP('18.04'!Z72,'18.04'!$AM$4:$AO$55,3,FALSE))</f>
        <v>0</v>
      </c>
      <c r="S72" s="4">
        <f>(VLOOKUP('18.04'!AA72,'18.04'!$AM$4:$AO$55,3,FALSE))</f>
        <v>0</v>
      </c>
      <c r="T72" s="4">
        <f>(VLOOKUP('18.04'!AB72,'18.04'!$AM$4:$AO$55,3,FALSE))</f>
        <v>0</v>
      </c>
      <c r="U72" s="4">
        <f>(VLOOKUP('18.04'!AC72,'18.04'!$AM$4:$AO$55,3,FALSE))</f>
        <v>0</v>
      </c>
      <c r="V72" s="4">
        <f>(VLOOKUP('18.04'!AD72,'18.04'!$AM$4:$AO$55,3,FALSE))</f>
        <v>0</v>
      </c>
      <c r="W72" s="5">
        <f>(VLOOKUP('18.04'!AE72,'18.04'!$AM$4:$AO$55,3,FALSE))</f>
        <v>0</v>
      </c>
      <c r="X72" s="5">
        <f>(VLOOKUP('18.04'!AF72,'18.04'!$AM$4:$AO$55,3,FALSE))</f>
        <v>0</v>
      </c>
    </row>
    <row r="73" spans="1:24">
      <c r="A73" s="4">
        <f>(VLOOKUP('18.04'!I73,'18.04'!$AM$4:$AO$55,3,FALSE))</f>
        <v>50</v>
      </c>
      <c r="B73" s="4">
        <f>(VLOOKUP('18.04'!J73,'18.04'!$AM$4:$AO$55,3,FALSE))</f>
        <v>50</v>
      </c>
      <c r="C73" s="4">
        <f>(VLOOKUP('18.04'!K73,'18.04'!$AM$4:$AO$55,3,FALSE))</f>
        <v>50</v>
      </c>
      <c r="D73" s="4">
        <f>(VLOOKUP('18.04'!L73,'18.04'!$AM$4:$AO$55,3,FALSE))</f>
        <v>50</v>
      </c>
      <c r="E73" s="4">
        <f>(VLOOKUP('18.04'!M73,'18.04'!$AM$4:$AO$55,3,FALSE))</f>
        <v>50</v>
      </c>
      <c r="F73" s="4">
        <f>(VLOOKUP('18.04'!N73,'18.04'!$AM$4:$AO$55,3,FALSE))</f>
        <v>50</v>
      </c>
      <c r="G73" s="5">
        <f>(VLOOKUP('18.04'!O73,'18.04'!$AM$4:$AO$55,3,FALSE))</f>
        <v>50</v>
      </c>
      <c r="H73" s="5">
        <f>(VLOOKUP('18.04'!P73,'18.04'!$AM$4:$AO$55,3,FALSE))</f>
        <v>50</v>
      </c>
      <c r="I73" s="4">
        <f>(VLOOKUP('18.04'!Q73,'18.04'!$AM$4:$AO$55,3,FALSE))</f>
        <v>60</v>
      </c>
      <c r="J73" s="4">
        <f>(VLOOKUP('18.04'!R73,'18.04'!$AM$4:$AO$55,3,FALSE))</f>
        <v>60</v>
      </c>
      <c r="K73" s="4">
        <f>(VLOOKUP('18.04'!S73,'18.04'!$AM$4:$AO$55,3,FALSE))</f>
        <v>60</v>
      </c>
      <c r="L73" s="4">
        <f>(VLOOKUP('18.04'!T73,'18.04'!$AM$4:$AO$55,3,FALSE))</f>
        <v>60</v>
      </c>
      <c r="M73" s="4">
        <f>(VLOOKUP('18.04'!U73,'18.04'!$AM$4:$AO$55,3,FALSE))</f>
        <v>60</v>
      </c>
      <c r="N73" s="4">
        <f>(VLOOKUP('18.04'!V73,'18.04'!$AM$4:$AO$55,3,FALSE))</f>
        <v>60</v>
      </c>
      <c r="O73" s="5">
        <f>(VLOOKUP('18.04'!W73,'18.04'!$AM$4:$AO$55,3,FALSE))</f>
        <v>60</v>
      </c>
      <c r="P73" s="5">
        <f>(VLOOKUP('18.04'!X73,'18.04'!$AM$4:$AO$55,3,FALSE))</f>
        <v>60</v>
      </c>
      <c r="Q73" s="4">
        <f>(VLOOKUP('18.04'!Y73,'18.04'!$AM$4:$AO$55,3,FALSE))</f>
        <v>0</v>
      </c>
      <c r="R73" s="4">
        <f>(VLOOKUP('18.04'!Z73,'18.04'!$AM$4:$AO$55,3,FALSE))</f>
        <v>0</v>
      </c>
      <c r="S73" s="4">
        <f>(VLOOKUP('18.04'!AA73,'18.04'!$AM$4:$AO$55,3,FALSE))</f>
        <v>0</v>
      </c>
      <c r="T73" s="4">
        <f>(VLOOKUP('18.04'!AB73,'18.04'!$AM$4:$AO$55,3,FALSE))</f>
        <v>0</v>
      </c>
      <c r="U73" s="4">
        <f>(VLOOKUP('18.04'!AC73,'18.04'!$AM$4:$AO$55,3,FALSE))</f>
        <v>0</v>
      </c>
      <c r="V73" s="4">
        <f>(VLOOKUP('18.04'!AD73,'18.04'!$AM$4:$AO$55,3,FALSE))</f>
        <v>0</v>
      </c>
      <c r="W73" s="5">
        <f>(VLOOKUP('18.04'!AE73,'18.04'!$AM$4:$AO$55,3,FALSE))</f>
        <v>0</v>
      </c>
      <c r="X73" s="5">
        <f>(VLOOKUP('18.04'!AF73,'18.04'!$AM$4:$AO$55,3,FALSE))</f>
        <v>0</v>
      </c>
    </row>
    <row r="74" spans="1:24">
      <c r="A74" s="4">
        <f>(VLOOKUP('18.04'!I74,'18.04'!$AM$4:$AO$55,3,FALSE))</f>
        <v>50</v>
      </c>
      <c r="B74" s="4">
        <f>(VLOOKUP('18.04'!J74,'18.04'!$AM$4:$AO$55,3,FALSE))</f>
        <v>50</v>
      </c>
      <c r="C74" s="4">
        <f>(VLOOKUP('18.04'!K74,'18.04'!$AM$4:$AO$55,3,FALSE))</f>
        <v>50</v>
      </c>
      <c r="D74" s="4">
        <f>(VLOOKUP('18.04'!L74,'18.04'!$AM$4:$AO$55,3,FALSE))</f>
        <v>50</v>
      </c>
      <c r="E74" s="4">
        <f>(VLOOKUP('18.04'!M74,'18.04'!$AM$4:$AO$55,3,FALSE))</f>
        <v>50</v>
      </c>
      <c r="F74" s="4">
        <f>(VLOOKUP('18.04'!N74,'18.04'!$AM$4:$AO$55,3,FALSE))</f>
        <v>50</v>
      </c>
      <c r="G74" s="5">
        <f>(VLOOKUP('18.04'!O74,'18.04'!$AM$4:$AO$55,3,FALSE))</f>
        <v>50</v>
      </c>
      <c r="H74" s="5">
        <f>(VLOOKUP('18.04'!P74,'18.04'!$AM$4:$AO$55,3,FALSE))</f>
        <v>50</v>
      </c>
      <c r="I74" s="4">
        <f>(VLOOKUP('18.04'!Q74,'18.04'!$AM$4:$AO$55,3,FALSE))</f>
        <v>60</v>
      </c>
      <c r="J74" s="4">
        <f>(VLOOKUP('18.04'!R74,'18.04'!$AM$4:$AO$55,3,FALSE))</f>
        <v>60</v>
      </c>
      <c r="K74" s="4">
        <f>(VLOOKUP('18.04'!S74,'18.04'!$AM$4:$AO$55,3,FALSE))</f>
        <v>60</v>
      </c>
      <c r="L74" s="4">
        <f>(VLOOKUP('18.04'!T74,'18.04'!$AM$4:$AO$55,3,FALSE))</f>
        <v>60</v>
      </c>
      <c r="M74" s="4">
        <f>(VLOOKUP('18.04'!U74,'18.04'!$AM$4:$AO$55,3,FALSE))</f>
        <v>60</v>
      </c>
      <c r="N74" s="4">
        <f>(VLOOKUP('18.04'!V74,'18.04'!$AM$4:$AO$55,3,FALSE))</f>
        <v>60</v>
      </c>
      <c r="O74" s="5">
        <f>(VLOOKUP('18.04'!W74,'18.04'!$AM$4:$AO$55,3,FALSE))</f>
        <v>60</v>
      </c>
      <c r="P74" s="5">
        <f>(VLOOKUP('18.04'!X74,'18.04'!$AM$4:$AO$55,3,FALSE))</f>
        <v>60</v>
      </c>
      <c r="Q74" s="4">
        <f>(VLOOKUP('18.04'!Y74,'18.04'!$AM$4:$AO$55,3,FALSE))</f>
        <v>0</v>
      </c>
      <c r="R74" s="4">
        <f>(VLOOKUP('18.04'!Z74,'18.04'!$AM$4:$AO$55,3,FALSE))</f>
        <v>0</v>
      </c>
      <c r="S74" s="4">
        <f>(VLOOKUP('18.04'!AA74,'18.04'!$AM$4:$AO$55,3,FALSE))</f>
        <v>0</v>
      </c>
      <c r="T74" s="4">
        <f>(VLOOKUP('18.04'!AB74,'18.04'!$AM$4:$AO$55,3,FALSE))</f>
        <v>0</v>
      </c>
      <c r="U74" s="4">
        <f>(VLOOKUP('18.04'!AC74,'18.04'!$AM$4:$AO$55,3,FALSE))</f>
        <v>0</v>
      </c>
      <c r="V74" s="4">
        <f>(VLOOKUP('18.04'!AD74,'18.04'!$AM$4:$AO$55,3,FALSE))</f>
        <v>0</v>
      </c>
      <c r="W74" s="5">
        <f>(VLOOKUP('18.04'!AE74,'18.04'!$AM$4:$AO$55,3,FALSE))</f>
        <v>0</v>
      </c>
      <c r="X74" s="5">
        <f>(VLOOKUP('18.04'!AF74,'18.04'!$AM$4:$AO$55,3,FALSE))</f>
        <v>0</v>
      </c>
    </row>
    <row r="75" spans="1:24">
      <c r="A75" s="4">
        <f>(VLOOKUP('18.04'!I75,'18.04'!$AM$4:$AO$55,3,FALSE))</f>
        <v>50</v>
      </c>
      <c r="B75" s="4">
        <f>(VLOOKUP('18.04'!J75,'18.04'!$AM$4:$AO$55,3,FALSE))</f>
        <v>50</v>
      </c>
      <c r="C75" s="4">
        <f>(VLOOKUP('18.04'!K75,'18.04'!$AM$4:$AO$55,3,FALSE))</f>
        <v>50</v>
      </c>
      <c r="D75" s="4">
        <f>(VLOOKUP('18.04'!L75,'18.04'!$AM$4:$AO$55,3,FALSE))</f>
        <v>50</v>
      </c>
      <c r="E75" s="4">
        <f>(VLOOKUP('18.04'!M75,'18.04'!$AM$4:$AO$55,3,FALSE))</f>
        <v>50</v>
      </c>
      <c r="F75" s="4">
        <f>(VLOOKUP('18.04'!N75,'18.04'!$AM$4:$AO$55,3,FALSE))</f>
        <v>50</v>
      </c>
      <c r="G75" s="5">
        <f>(VLOOKUP('18.04'!O75,'18.04'!$AM$4:$AO$55,3,FALSE))</f>
        <v>50</v>
      </c>
      <c r="H75" s="5">
        <f>(VLOOKUP('18.04'!P75,'18.04'!$AM$4:$AO$55,3,FALSE))</f>
        <v>50</v>
      </c>
      <c r="I75" s="4">
        <f>(VLOOKUP('18.04'!Q75,'18.04'!$AM$4:$AO$55,3,FALSE))</f>
        <v>60</v>
      </c>
      <c r="J75" s="4">
        <f>(VLOOKUP('18.04'!R75,'18.04'!$AM$4:$AO$55,3,FALSE))</f>
        <v>60</v>
      </c>
      <c r="K75" s="4">
        <f>(VLOOKUP('18.04'!S75,'18.04'!$AM$4:$AO$55,3,FALSE))</f>
        <v>60</v>
      </c>
      <c r="L75" s="4">
        <f>(VLOOKUP('18.04'!T75,'18.04'!$AM$4:$AO$55,3,FALSE))</f>
        <v>60</v>
      </c>
      <c r="M75" s="4">
        <f>(VLOOKUP('18.04'!U75,'18.04'!$AM$4:$AO$55,3,FALSE))</f>
        <v>60</v>
      </c>
      <c r="N75" s="4">
        <f>(VLOOKUP('18.04'!V75,'18.04'!$AM$4:$AO$55,3,FALSE))</f>
        <v>60</v>
      </c>
      <c r="O75" s="5">
        <f>(VLOOKUP('18.04'!W75,'18.04'!$AM$4:$AO$55,3,FALSE))</f>
        <v>60</v>
      </c>
      <c r="P75" s="5">
        <f>(VLOOKUP('18.04'!X75,'18.04'!$AM$4:$AO$55,3,FALSE))</f>
        <v>60</v>
      </c>
      <c r="Q75" s="4">
        <f>(VLOOKUP('18.04'!Y75,'18.04'!$AM$4:$AO$55,3,FALSE))</f>
        <v>0</v>
      </c>
      <c r="R75" s="4">
        <f>(VLOOKUP('18.04'!Z75,'18.04'!$AM$4:$AO$55,3,FALSE))</f>
        <v>0</v>
      </c>
      <c r="S75" s="4">
        <f>(VLOOKUP('18.04'!AA75,'18.04'!$AM$4:$AO$55,3,FALSE))</f>
        <v>0</v>
      </c>
      <c r="T75" s="4">
        <f>(VLOOKUP('18.04'!AB75,'18.04'!$AM$4:$AO$55,3,FALSE))</f>
        <v>0</v>
      </c>
      <c r="U75" s="4">
        <f>(VLOOKUP('18.04'!AC75,'18.04'!$AM$4:$AO$55,3,FALSE))</f>
        <v>0</v>
      </c>
      <c r="V75" s="4">
        <f>(VLOOKUP('18.04'!AD75,'18.04'!$AM$4:$AO$55,3,FALSE))</f>
        <v>0</v>
      </c>
      <c r="W75" s="5">
        <f>(VLOOKUP('18.04'!AE75,'18.04'!$AM$4:$AO$55,3,FALSE))</f>
        <v>0</v>
      </c>
      <c r="X75" s="5">
        <f>(VLOOKUP('18.04'!AF75,'18.04'!$AM$4:$AO$55,3,FALSE))</f>
        <v>0</v>
      </c>
    </row>
    <row r="76" spans="1:24">
      <c r="A76" s="4">
        <f>(VLOOKUP('18.04'!I76,'18.04'!$AM$4:$AO$55,3,FALSE))</f>
        <v>50</v>
      </c>
      <c r="B76" s="4">
        <f>(VLOOKUP('18.04'!J76,'18.04'!$AM$4:$AO$55,3,FALSE))</f>
        <v>50</v>
      </c>
      <c r="C76" s="4">
        <f>(VLOOKUP('18.04'!K76,'18.04'!$AM$4:$AO$55,3,FALSE))</f>
        <v>50</v>
      </c>
      <c r="D76" s="4">
        <f>(VLOOKUP('18.04'!L76,'18.04'!$AM$4:$AO$55,3,FALSE))</f>
        <v>50</v>
      </c>
      <c r="E76" s="4">
        <f>(VLOOKUP('18.04'!M76,'18.04'!$AM$4:$AO$55,3,FALSE))</f>
        <v>50</v>
      </c>
      <c r="F76" s="4">
        <f>(VLOOKUP('18.04'!N76,'18.04'!$AM$4:$AO$55,3,FALSE))</f>
        <v>50</v>
      </c>
      <c r="G76" s="5">
        <f>(VLOOKUP('18.04'!O76,'18.04'!$AM$4:$AO$55,3,FALSE))</f>
        <v>50</v>
      </c>
      <c r="H76" s="5">
        <f>(VLOOKUP('18.04'!P76,'18.04'!$AM$4:$AO$55,3,FALSE))</f>
        <v>50</v>
      </c>
      <c r="I76" s="4">
        <f>(VLOOKUP('18.04'!Q76,'18.04'!$AM$4:$AO$55,3,FALSE))</f>
        <v>60</v>
      </c>
      <c r="J76" s="4">
        <f>(VLOOKUP('18.04'!R76,'18.04'!$AM$4:$AO$55,3,FALSE))</f>
        <v>60</v>
      </c>
      <c r="K76" s="4">
        <f>(VLOOKUP('18.04'!S76,'18.04'!$AM$4:$AO$55,3,FALSE))</f>
        <v>60</v>
      </c>
      <c r="L76" s="4">
        <f>(VLOOKUP('18.04'!T76,'18.04'!$AM$4:$AO$55,3,FALSE))</f>
        <v>60</v>
      </c>
      <c r="M76" s="4">
        <f>(VLOOKUP('18.04'!U76,'18.04'!$AM$4:$AO$55,3,FALSE))</f>
        <v>60</v>
      </c>
      <c r="N76" s="4">
        <f>(VLOOKUP('18.04'!V76,'18.04'!$AM$4:$AO$55,3,FALSE))</f>
        <v>0</v>
      </c>
      <c r="O76" s="5">
        <f>(VLOOKUP('18.04'!W76,'18.04'!$AM$4:$AO$55,3,FALSE))</f>
        <v>0</v>
      </c>
      <c r="P76" s="5">
        <f>(VLOOKUP('18.04'!X76,'18.04'!$AM$4:$AO$55,3,FALSE))</f>
        <v>0</v>
      </c>
      <c r="Q76" s="4">
        <f>(VLOOKUP('18.04'!Y76,'18.04'!$AM$4:$AO$55,3,FALSE))</f>
        <v>0</v>
      </c>
      <c r="R76" s="4">
        <f>(VLOOKUP('18.04'!Z76,'18.04'!$AM$4:$AO$55,3,FALSE))</f>
        <v>0</v>
      </c>
      <c r="S76" s="4">
        <f>(VLOOKUP('18.04'!AA76,'18.04'!$AM$4:$AO$55,3,FALSE))</f>
        <v>0</v>
      </c>
      <c r="T76" s="4">
        <f>(VLOOKUP('18.04'!AB76,'18.04'!$AM$4:$AO$55,3,FALSE))</f>
        <v>0</v>
      </c>
      <c r="U76" s="4">
        <f>(VLOOKUP('18.04'!AC76,'18.04'!$AM$4:$AO$55,3,FALSE))</f>
        <v>0</v>
      </c>
      <c r="V76" s="4">
        <f>(VLOOKUP('18.04'!AD76,'18.04'!$AM$4:$AO$55,3,FALSE))</f>
        <v>0</v>
      </c>
      <c r="W76" s="5">
        <f>(VLOOKUP('18.04'!AE76,'18.04'!$AM$4:$AO$55,3,FALSE))</f>
        <v>0</v>
      </c>
      <c r="X76" s="5">
        <f>(VLOOKUP('18.04'!AF76,'18.04'!$AM$4:$AO$55,3,FALSE))</f>
        <v>0</v>
      </c>
    </row>
    <row r="77" spans="1:24">
      <c r="A77" s="4">
        <f>(VLOOKUP('18.04'!I77,'18.04'!$AM$4:$AO$55,3,FALSE))</f>
        <v>50</v>
      </c>
      <c r="B77" s="4">
        <f>(VLOOKUP('18.04'!J77,'18.04'!$AM$4:$AO$55,3,FALSE))</f>
        <v>50</v>
      </c>
      <c r="C77" s="4">
        <f>(VLOOKUP('18.04'!K77,'18.04'!$AM$4:$AO$55,3,FALSE))</f>
        <v>50</v>
      </c>
      <c r="D77" s="4">
        <f>(VLOOKUP('18.04'!L77,'18.04'!$AM$4:$AO$55,3,FALSE))</f>
        <v>50</v>
      </c>
      <c r="E77" s="4">
        <f>(VLOOKUP('18.04'!M77,'18.04'!$AM$4:$AO$55,3,FALSE))</f>
        <v>50</v>
      </c>
      <c r="F77" s="4">
        <f>(VLOOKUP('18.04'!N77,'18.04'!$AM$4:$AO$55,3,FALSE))</f>
        <v>50</v>
      </c>
      <c r="G77" s="5">
        <f>(VLOOKUP('18.04'!O77,'18.04'!$AM$4:$AO$55,3,FALSE))</f>
        <v>50</v>
      </c>
      <c r="H77" s="5">
        <f>(VLOOKUP('18.04'!P77,'18.04'!$AM$4:$AO$55,3,FALSE))</f>
        <v>50</v>
      </c>
      <c r="I77" s="4">
        <f>(VLOOKUP('18.04'!Q77,'18.04'!$AM$4:$AO$55,3,FALSE))</f>
        <v>30</v>
      </c>
      <c r="J77" s="4">
        <f>(VLOOKUP('18.04'!R77,'18.04'!$AM$4:$AO$55,3,FALSE))</f>
        <v>30</v>
      </c>
      <c r="K77" s="4">
        <f>(VLOOKUP('18.04'!S77,'18.04'!$AM$4:$AO$55,3,FALSE))</f>
        <v>30</v>
      </c>
      <c r="L77" s="4">
        <f>(VLOOKUP('18.04'!T77,'18.04'!$AM$4:$AO$55,3,FALSE))</f>
        <v>30</v>
      </c>
      <c r="M77" s="4">
        <f>(VLOOKUP('18.04'!U77,'18.04'!$AM$4:$AO$55,3,FALSE))</f>
        <v>30</v>
      </c>
      <c r="N77" s="4">
        <f>(VLOOKUP('18.04'!V77,'18.04'!$AM$4:$AO$55,3,FALSE))</f>
        <v>30</v>
      </c>
      <c r="O77" s="5">
        <f>(VLOOKUP('18.04'!W77,'18.04'!$AM$4:$AO$55,3,FALSE))</f>
        <v>0</v>
      </c>
      <c r="P77" s="5">
        <f>(VLOOKUP('18.04'!X77,'18.04'!$AM$4:$AO$55,3,FALSE))</f>
        <v>0</v>
      </c>
      <c r="Q77" s="4">
        <f>(VLOOKUP('18.04'!Y77,'18.04'!$AM$4:$AO$55,3,FALSE))</f>
        <v>0</v>
      </c>
      <c r="R77" s="4">
        <f>(VLOOKUP('18.04'!Z77,'18.04'!$AM$4:$AO$55,3,FALSE))</f>
        <v>0</v>
      </c>
      <c r="S77" s="4">
        <f>(VLOOKUP('18.04'!AA77,'18.04'!$AM$4:$AO$55,3,FALSE))</f>
        <v>0</v>
      </c>
      <c r="T77" s="4">
        <f>(VLOOKUP('18.04'!AB77,'18.04'!$AM$4:$AO$55,3,FALSE))</f>
        <v>0</v>
      </c>
      <c r="U77" s="4">
        <f>(VLOOKUP('18.04'!AC77,'18.04'!$AM$4:$AO$55,3,FALSE))</f>
        <v>0</v>
      </c>
      <c r="V77" s="4">
        <f>(VLOOKUP('18.04'!AD77,'18.04'!$AM$4:$AO$55,3,FALSE))</f>
        <v>0</v>
      </c>
      <c r="W77" s="5">
        <f>(VLOOKUP('18.04'!AE77,'18.04'!$AM$4:$AO$55,3,FALSE))</f>
        <v>0</v>
      </c>
      <c r="X77" s="5">
        <f>(VLOOKUP('18.04'!AF77,'18.04'!$AM$4:$AO$55,3,FALSE))</f>
        <v>0</v>
      </c>
    </row>
    <row r="78" spans="1:24">
      <c r="A78" s="4">
        <f>(VLOOKUP('18.04'!I78,'18.04'!$AM$4:$AO$55,3,FALSE))</f>
        <v>50</v>
      </c>
      <c r="B78" s="4">
        <f>(VLOOKUP('18.04'!J78,'18.04'!$AM$4:$AO$55,3,FALSE))</f>
        <v>50</v>
      </c>
      <c r="C78" s="4">
        <f>(VLOOKUP('18.04'!K78,'18.04'!$AM$4:$AO$55,3,FALSE))</f>
        <v>50</v>
      </c>
      <c r="D78" s="4">
        <f>(VLOOKUP('18.04'!L78,'18.04'!$AM$4:$AO$55,3,FALSE))</f>
        <v>50</v>
      </c>
      <c r="E78" s="4">
        <f>(VLOOKUP('18.04'!M78,'18.04'!$AM$4:$AO$55,3,FALSE))</f>
        <v>50</v>
      </c>
      <c r="F78" s="4">
        <f>(VLOOKUP('18.04'!N78,'18.04'!$AM$4:$AO$55,3,FALSE))</f>
        <v>50</v>
      </c>
      <c r="G78" s="5">
        <f>(VLOOKUP('18.04'!O78,'18.04'!$AM$4:$AO$55,3,FALSE))</f>
        <v>50</v>
      </c>
      <c r="H78" s="5">
        <f>(VLOOKUP('18.04'!P78,'18.04'!$AM$4:$AO$55,3,FALSE))</f>
        <v>50</v>
      </c>
      <c r="I78" s="4">
        <f>(VLOOKUP('18.04'!Q78,'18.04'!$AM$4:$AO$55,3,FALSE))</f>
        <v>30</v>
      </c>
      <c r="J78" s="4">
        <f>(VLOOKUP('18.04'!R78,'18.04'!$AM$4:$AO$55,3,FALSE))</f>
        <v>30</v>
      </c>
      <c r="K78" s="4">
        <f>(VLOOKUP('18.04'!S78,'18.04'!$AM$4:$AO$55,3,FALSE))</f>
        <v>30</v>
      </c>
      <c r="L78" s="4">
        <f>(VLOOKUP('18.04'!T78,'18.04'!$AM$4:$AO$55,3,FALSE))</f>
        <v>30</v>
      </c>
      <c r="M78" s="4">
        <f>(VLOOKUP('18.04'!U78,'18.04'!$AM$4:$AO$55,3,FALSE))</f>
        <v>30</v>
      </c>
      <c r="N78" s="4">
        <f>(VLOOKUP('18.04'!V78,'18.04'!$AM$4:$AO$55,3,FALSE))</f>
        <v>30</v>
      </c>
      <c r="O78" s="5">
        <f>(VLOOKUP('18.04'!W78,'18.04'!$AM$4:$AO$55,3,FALSE))</f>
        <v>0</v>
      </c>
      <c r="P78" s="5">
        <f>(VLOOKUP('18.04'!X78,'18.04'!$AM$4:$AO$55,3,FALSE))</f>
        <v>0</v>
      </c>
      <c r="Q78" s="4">
        <f>(VLOOKUP('18.04'!Y78,'18.04'!$AM$4:$AO$55,3,FALSE))</f>
        <v>0</v>
      </c>
      <c r="R78" s="4">
        <f>(VLOOKUP('18.04'!Z78,'18.04'!$AM$4:$AO$55,3,FALSE))</f>
        <v>0</v>
      </c>
      <c r="S78" s="4">
        <f>(VLOOKUP('18.04'!AA78,'18.04'!$AM$4:$AO$55,3,FALSE))</f>
        <v>0</v>
      </c>
      <c r="T78" s="4">
        <f>(VLOOKUP('18.04'!AB78,'18.04'!$AM$4:$AO$55,3,FALSE))</f>
        <v>0</v>
      </c>
      <c r="U78" s="4">
        <f>(VLOOKUP('18.04'!AC78,'18.04'!$AM$4:$AO$55,3,FALSE))</f>
        <v>0</v>
      </c>
      <c r="V78" s="4">
        <f>(VLOOKUP('18.04'!AD78,'18.04'!$AM$4:$AO$55,3,FALSE))</f>
        <v>0</v>
      </c>
      <c r="W78" s="5">
        <f>(VLOOKUP('18.04'!AE78,'18.04'!$AM$4:$AO$55,3,FALSE))</f>
        <v>0</v>
      </c>
      <c r="X78" s="5">
        <f>(VLOOKUP('18.04'!AF78,'18.04'!$AM$4:$AO$55,3,FALSE))</f>
        <v>0</v>
      </c>
    </row>
    <row r="79" spans="1:24">
      <c r="A79" s="4">
        <f>(VLOOKUP('18.04'!I79,'18.04'!$AM$4:$AO$55,3,FALSE))</f>
        <v>50</v>
      </c>
      <c r="B79" s="4">
        <f>(VLOOKUP('18.04'!J79,'18.04'!$AM$4:$AO$55,3,FALSE))</f>
        <v>50</v>
      </c>
      <c r="C79" s="4">
        <f>(VLOOKUP('18.04'!K79,'18.04'!$AM$4:$AO$55,3,FALSE))</f>
        <v>50</v>
      </c>
      <c r="D79" s="4">
        <f>(VLOOKUP('18.04'!L79,'18.04'!$AM$4:$AO$55,3,FALSE))</f>
        <v>50</v>
      </c>
      <c r="E79" s="4">
        <f>(VLOOKUP('18.04'!M79,'18.04'!$AM$4:$AO$55,3,FALSE))</f>
        <v>50</v>
      </c>
      <c r="F79" s="4">
        <f>(VLOOKUP('18.04'!N79,'18.04'!$AM$4:$AO$55,3,FALSE))</f>
        <v>50</v>
      </c>
      <c r="G79" s="5">
        <f>(VLOOKUP('18.04'!O79,'18.04'!$AM$4:$AO$55,3,FALSE))</f>
        <v>50</v>
      </c>
      <c r="H79" s="5">
        <f>(VLOOKUP('18.04'!P79,'18.04'!$AM$4:$AO$55,3,FALSE))</f>
        <v>50</v>
      </c>
      <c r="I79" s="4">
        <f>(VLOOKUP('18.04'!Q79,'18.04'!$AM$4:$AO$55,3,FALSE))</f>
        <v>30</v>
      </c>
      <c r="J79" s="4">
        <f>(VLOOKUP('18.04'!R79,'18.04'!$AM$4:$AO$55,3,FALSE))</f>
        <v>30</v>
      </c>
      <c r="K79" s="4">
        <f>(VLOOKUP('18.04'!S79,'18.04'!$AM$4:$AO$55,3,FALSE))</f>
        <v>30</v>
      </c>
      <c r="L79" s="4">
        <f>(VLOOKUP('18.04'!T79,'18.04'!$AM$4:$AO$55,3,FALSE))</f>
        <v>30</v>
      </c>
      <c r="M79" s="4">
        <f>(VLOOKUP('18.04'!U79,'18.04'!$AM$4:$AO$55,3,FALSE))</f>
        <v>30</v>
      </c>
      <c r="N79" s="4">
        <f>(VLOOKUP('18.04'!V79,'18.04'!$AM$4:$AO$55,3,FALSE))</f>
        <v>30</v>
      </c>
      <c r="O79" s="5">
        <f>(VLOOKUP('18.04'!W79,'18.04'!$AM$4:$AO$55,3,FALSE))</f>
        <v>0</v>
      </c>
      <c r="P79" s="5">
        <f>(VLOOKUP('18.04'!X79,'18.04'!$AM$4:$AO$55,3,FALSE))</f>
        <v>0</v>
      </c>
      <c r="Q79" s="4">
        <f>(VLOOKUP('18.04'!Y79,'18.04'!$AM$4:$AO$55,3,FALSE))</f>
        <v>0</v>
      </c>
      <c r="R79" s="4">
        <f>(VLOOKUP('18.04'!Z79,'18.04'!$AM$4:$AO$55,3,FALSE))</f>
        <v>0</v>
      </c>
      <c r="S79" s="4">
        <f>(VLOOKUP('18.04'!AA79,'18.04'!$AM$4:$AO$55,3,FALSE))</f>
        <v>0</v>
      </c>
      <c r="T79" s="4">
        <f>(VLOOKUP('18.04'!AB79,'18.04'!$AM$4:$AO$55,3,FALSE))</f>
        <v>0</v>
      </c>
      <c r="U79" s="4">
        <f>(VLOOKUP('18.04'!AC79,'18.04'!$AM$4:$AO$55,3,FALSE))</f>
        <v>0</v>
      </c>
      <c r="V79" s="4">
        <f>(VLOOKUP('18.04'!AD79,'18.04'!$AM$4:$AO$55,3,FALSE))</f>
        <v>0</v>
      </c>
      <c r="W79" s="5">
        <f>(VLOOKUP('18.04'!AE79,'18.04'!$AM$4:$AO$55,3,FALSE))</f>
        <v>0</v>
      </c>
      <c r="X79" s="5">
        <f>(VLOOKUP('18.04'!AF79,'18.04'!$AM$4:$AO$55,3,FALSE))</f>
        <v>0</v>
      </c>
    </row>
    <row r="80" spans="1:24">
      <c r="A80" s="4">
        <f>(VLOOKUP('18.04'!I80,'18.04'!$AM$4:$AO$55,3,FALSE))</f>
        <v>50</v>
      </c>
      <c r="B80" s="4">
        <f>(VLOOKUP('18.04'!J80,'18.04'!$AM$4:$AO$55,3,FALSE))</f>
        <v>50</v>
      </c>
      <c r="C80" s="4">
        <f>(VLOOKUP('18.04'!K80,'18.04'!$AM$4:$AO$55,3,FALSE))</f>
        <v>50</v>
      </c>
      <c r="D80" s="4">
        <f>(VLOOKUP('18.04'!L80,'18.04'!$AM$4:$AO$55,3,FALSE))</f>
        <v>50</v>
      </c>
      <c r="E80" s="4">
        <f>(VLOOKUP('18.04'!M80,'18.04'!$AM$4:$AO$55,3,FALSE))</f>
        <v>50</v>
      </c>
      <c r="F80" s="4">
        <f>(VLOOKUP('18.04'!N80,'18.04'!$AM$4:$AO$55,3,FALSE))</f>
        <v>50</v>
      </c>
      <c r="G80" s="5">
        <f>(VLOOKUP('18.04'!O80,'18.04'!$AM$4:$AO$55,3,FALSE))</f>
        <v>50</v>
      </c>
      <c r="H80" s="5">
        <f>(VLOOKUP('18.04'!P80,'18.04'!$AM$4:$AO$55,3,FALSE))</f>
        <v>50</v>
      </c>
      <c r="I80" s="4">
        <f>(VLOOKUP('18.04'!Q80,'18.04'!$AM$4:$AO$55,3,FALSE))</f>
        <v>30</v>
      </c>
      <c r="J80" s="4">
        <f>(VLOOKUP('18.04'!R80,'18.04'!$AM$4:$AO$55,3,FALSE))</f>
        <v>0</v>
      </c>
      <c r="K80" s="4">
        <f>(VLOOKUP('18.04'!S80,'18.04'!$AM$4:$AO$55,3,FALSE))</f>
        <v>0</v>
      </c>
      <c r="L80" s="4">
        <f>(VLOOKUP('18.04'!T80,'18.04'!$AM$4:$AO$55,3,FALSE))</f>
        <v>0</v>
      </c>
      <c r="M80" s="4">
        <f>(VLOOKUP('18.04'!U80,'18.04'!$AM$4:$AO$55,3,FALSE))</f>
        <v>0</v>
      </c>
      <c r="N80" s="4">
        <f>(VLOOKUP('18.04'!V80,'18.04'!$AM$4:$AO$55,3,FALSE))</f>
        <v>0</v>
      </c>
      <c r="O80" s="5">
        <f>(VLOOKUP('18.04'!W80,'18.04'!$AM$4:$AO$55,3,FALSE))</f>
        <v>0</v>
      </c>
      <c r="P80" s="5">
        <f>(VLOOKUP('18.04'!X80,'18.04'!$AM$4:$AO$55,3,FALSE))</f>
        <v>0</v>
      </c>
      <c r="Q80" s="4">
        <f>(VLOOKUP('18.04'!Y80,'18.04'!$AM$4:$AO$55,3,FALSE))</f>
        <v>0</v>
      </c>
      <c r="R80" s="4">
        <f>(VLOOKUP('18.04'!Z80,'18.04'!$AM$4:$AO$55,3,FALSE))</f>
        <v>0</v>
      </c>
      <c r="S80" s="4">
        <f>(VLOOKUP('18.04'!AA80,'18.04'!$AM$4:$AO$55,3,FALSE))</f>
        <v>0</v>
      </c>
      <c r="T80" s="4">
        <f>(VLOOKUP('18.04'!AB80,'18.04'!$AM$4:$AO$55,3,FALSE))</f>
        <v>0</v>
      </c>
      <c r="U80" s="4">
        <f>(VLOOKUP('18.04'!AC80,'18.04'!$AM$4:$AO$55,3,FALSE))</f>
        <v>0</v>
      </c>
      <c r="V80" s="4">
        <f>(VLOOKUP('18.04'!AD80,'18.04'!$AM$4:$AO$55,3,FALSE))</f>
        <v>0</v>
      </c>
      <c r="W80" s="5">
        <f>(VLOOKUP('18.04'!AE80,'18.04'!$AM$4:$AO$55,3,FALSE))</f>
        <v>0</v>
      </c>
      <c r="X80" s="5">
        <f>(VLOOKUP('18.04'!AF80,'18.04'!$AM$4:$AO$55,3,FALSE))</f>
        <v>0</v>
      </c>
    </row>
    <row r="81" spans="1:24">
      <c r="A81" s="4">
        <f>(VLOOKUP('18.04'!I81,'18.04'!$AM$4:$AO$55,3,FALSE))</f>
        <v>50</v>
      </c>
      <c r="B81" s="4">
        <f>(VLOOKUP('18.04'!J81,'18.04'!$AM$4:$AO$55,3,FALSE))</f>
        <v>50</v>
      </c>
      <c r="C81" s="4">
        <f>(VLOOKUP('18.04'!K81,'18.04'!$AM$4:$AO$55,3,FALSE))</f>
        <v>50</v>
      </c>
      <c r="D81" s="4">
        <f>(VLOOKUP('18.04'!L81,'18.04'!$AM$4:$AO$55,3,FALSE))</f>
        <v>50</v>
      </c>
      <c r="E81" s="4">
        <f>(VLOOKUP('18.04'!M81,'18.04'!$AM$4:$AO$55,3,FALSE))</f>
        <v>50</v>
      </c>
      <c r="F81" s="4">
        <f>(VLOOKUP('18.04'!N81,'18.04'!$AM$4:$AO$55,3,FALSE))</f>
        <v>50</v>
      </c>
      <c r="G81" s="5">
        <f>(VLOOKUP('18.04'!O81,'18.04'!$AM$4:$AO$55,3,FALSE))</f>
        <v>50</v>
      </c>
      <c r="H81" s="5">
        <f>(VLOOKUP('18.04'!P81,'18.04'!$AM$4:$AO$55,3,FALSE))</f>
        <v>50</v>
      </c>
      <c r="I81" s="4">
        <f>(VLOOKUP('18.04'!Q81,'18.04'!$AM$4:$AO$55,3,FALSE))</f>
        <v>0</v>
      </c>
      <c r="J81" s="4">
        <f>(VLOOKUP('18.04'!R81,'18.04'!$AM$4:$AO$55,3,FALSE))</f>
        <v>0</v>
      </c>
      <c r="K81" s="4">
        <f>(VLOOKUP('18.04'!S81,'18.04'!$AM$4:$AO$55,3,FALSE))</f>
        <v>0</v>
      </c>
      <c r="L81" s="4">
        <f>(VLOOKUP('18.04'!T81,'18.04'!$AM$4:$AO$55,3,FALSE))</f>
        <v>0</v>
      </c>
      <c r="M81" s="4">
        <f>(VLOOKUP('18.04'!U81,'18.04'!$AM$4:$AO$55,3,FALSE))</f>
        <v>0</v>
      </c>
      <c r="N81" s="4">
        <f>(VLOOKUP('18.04'!V81,'18.04'!$AM$4:$AO$55,3,FALSE))</f>
        <v>0</v>
      </c>
      <c r="O81" s="5">
        <f>(VLOOKUP('18.04'!W81,'18.04'!$AM$4:$AO$55,3,FALSE))</f>
        <v>0</v>
      </c>
      <c r="P81" s="5">
        <f>(VLOOKUP('18.04'!X81,'18.04'!$AM$4:$AO$55,3,FALSE))</f>
        <v>0</v>
      </c>
      <c r="Q81" s="4">
        <f>(VLOOKUP('18.04'!Y81,'18.04'!$AM$4:$AO$55,3,FALSE))</f>
        <v>0</v>
      </c>
      <c r="R81" s="4">
        <f>(VLOOKUP('18.04'!Z81,'18.04'!$AM$4:$AO$55,3,FALSE))</f>
        <v>0</v>
      </c>
      <c r="S81" s="4">
        <f>(VLOOKUP('18.04'!AA81,'18.04'!$AM$4:$AO$55,3,FALSE))</f>
        <v>0</v>
      </c>
      <c r="T81" s="4">
        <f>(VLOOKUP('18.04'!AB81,'18.04'!$AM$4:$AO$55,3,FALSE))</f>
        <v>0</v>
      </c>
      <c r="U81" s="4">
        <f>(VLOOKUP('18.04'!AC81,'18.04'!$AM$4:$AO$55,3,FALSE))</f>
        <v>0</v>
      </c>
      <c r="V81" s="4">
        <f>(VLOOKUP('18.04'!AD81,'18.04'!$AM$4:$AO$55,3,FALSE))</f>
        <v>0</v>
      </c>
      <c r="W81" s="5">
        <f>(VLOOKUP('18.04'!AE81,'18.04'!$AM$4:$AO$55,3,FALSE))</f>
        <v>0</v>
      </c>
      <c r="X81" s="5">
        <f>(VLOOKUP('18.04'!AF81,'18.04'!$AM$4:$AO$55,3,FALSE))</f>
        <v>0</v>
      </c>
    </row>
    <row r="82" spans="1:24">
      <c r="A82" s="4">
        <f>(VLOOKUP('18.04'!I82,'18.04'!$AM$4:$AO$55,3,FALSE))</f>
        <v>0</v>
      </c>
      <c r="B82" s="4">
        <f>(VLOOKUP('18.04'!J82,'18.04'!$AM$4:$AO$55,3,FALSE))</f>
        <v>0</v>
      </c>
      <c r="C82" s="4">
        <f>(VLOOKUP('18.04'!K82,'18.04'!$AM$4:$AO$55,3,FALSE))</f>
        <v>0</v>
      </c>
      <c r="D82" s="4">
        <f>(VLOOKUP('18.04'!L82,'18.04'!$AM$4:$AO$55,3,FALSE))</f>
        <v>0</v>
      </c>
      <c r="E82" s="4">
        <f>(VLOOKUP('18.04'!M82,'18.04'!$AM$4:$AO$55,3,FALSE))</f>
        <v>0</v>
      </c>
      <c r="F82" s="4">
        <f>(VLOOKUP('18.04'!N82,'18.04'!$AM$4:$AO$55,3,FALSE))</f>
        <v>0</v>
      </c>
      <c r="G82" s="5">
        <f>(VLOOKUP('18.04'!O82,'18.04'!$AM$4:$AO$55,3,FALSE))</f>
        <v>0</v>
      </c>
      <c r="H82" s="5">
        <f>(VLOOKUP('18.04'!P82,'18.04'!$AM$4:$AO$55,3,FALSE))</f>
        <v>0</v>
      </c>
      <c r="I82" s="4">
        <f>(VLOOKUP('18.04'!Q82,'18.04'!$AM$4:$AO$55,3,FALSE))</f>
        <v>0</v>
      </c>
      <c r="J82" s="4">
        <f>(VLOOKUP('18.04'!R82,'18.04'!$AM$4:$AO$55,3,FALSE))</f>
        <v>0</v>
      </c>
      <c r="K82" s="4">
        <f>(VLOOKUP('18.04'!S82,'18.04'!$AM$4:$AO$55,3,FALSE))</f>
        <v>0</v>
      </c>
      <c r="L82" s="4">
        <f>(VLOOKUP('18.04'!T82,'18.04'!$AM$4:$AO$55,3,FALSE))</f>
        <v>0</v>
      </c>
      <c r="M82" s="4">
        <f>(VLOOKUP('18.04'!U82,'18.04'!$AM$4:$AO$55,3,FALSE))</f>
        <v>0</v>
      </c>
      <c r="N82" s="4">
        <f>(VLOOKUP('18.04'!V82,'18.04'!$AM$4:$AO$55,3,FALSE))</f>
        <v>0</v>
      </c>
      <c r="O82" s="5">
        <f>(VLOOKUP('18.04'!W82,'18.04'!$AM$4:$AO$55,3,FALSE))</f>
        <v>0</v>
      </c>
      <c r="P82" s="5">
        <f>(VLOOKUP('18.04'!X82,'18.04'!$AM$4:$AO$55,3,FALSE))</f>
        <v>0</v>
      </c>
      <c r="Q82" s="4">
        <f>(VLOOKUP('18.04'!Y82,'18.04'!$AM$4:$AO$55,3,FALSE))</f>
        <v>0</v>
      </c>
      <c r="R82" s="4">
        <f>(VLOOKUP('18.04'!Z82,'18.04'!$AM$4:$AO$55,3,FALSE))</f>
        <v>0</v>
      </c>
      <c r="S82" s="4">
        <f>(VLOOKUP('18.04'!AA82,'18.04'!$AM$4:$AO$55,3,FALSE))</f>
        <v>0</v>
      </c>
      <c r="T82" s="4">
        <f>(VLOOKUP('18.04'!AB82,'18.04'!$AM$4:$AO$55,3,FALSE))</f>
        <v>0</v>
      </c>
      <c r="U82" s="4">
        <f>(VLOOKUP('18.04'!AC82,'18.04'!$AM$4:$AO$55,3,FALSE))</f>
        <v>0</v>
      </c>
      <c r="V82" s="4">
        <f>(VLOOKUP('18.04'!AD82,'18.04'!$AM$4:$AO$55,3,FALSE))</f>
        <v>0</v>
      </c>
      <c r="W82" s="5">
        <f>(VLOOKUP('18.04'!AE82,'18.04'!$AM$4:$AO$55,3,FALSE))</f>
        <v>0</v>
      </c>
      <c r="X82" s="5">
        <f>(VLOOKUP('18.04'!AF82,'18.04'!$AM$4:$AO$55,3,FALSE))</f>
        <v>0</v>
      </c>
    </row>
    <row r="83" spans="1:24">
      <c r="A83" s="4">
        <f>(VLOOKUP('18.04'!I83,'18.04'!$AM$4:$AO$55,3,FALSE))</f>
        <v>0</v>
      </c>
      <c r="B83" s="4">
        <f>(VLOOKUP('18.04'!J83,'18.04'!$AM$4:$AO$55,3,FALSE))</f>
        <v>0</v>
      </c>
      <c r="C83" s="4">
        <f>(VLOOKUP('18.04'!K83,'18.04'!$AM$4:$AO$55,3,FALSE))</f>
        <v>0</v>
      </c>
      <c r="D83" s="4">
        <f>(VLOOKUP('18.04'!L83,'18.04'!$AM$4:$AO$55,3,FALSE))</f>
        <v>0</v>
      </c>
      <c r="E83" s="4">
        <f>(VLOOKUP('18.04'!M83,'18.04'!$AM$4:$AO$55,3,FALSE))</f>
        <v>0</v>
      </c>
      <c r="F83" s="4">
        <f>(VLOOKUP('18.04'!N83,'18.04'!$AM$4:$AO$55,3,FALSE))</f>
        <v>0</v>
      </c>
      <c r="G83" s="5">
        <f>(VLOOKUP('18.04'!O83,'18.04'!$AM$4:$AO$55,3,FALSE))</f>
        <v>0</v>
      </c>
      <c r="H83" s="5">
        <f>(VLOOKUP('18.04'!P83,'18.04'!$AM$4:$AO$55,3,FALSE))</f>
        <v>0</v>
      </c>
      <c r="I83" s="4">
        <f>(VLOOKUP('18.04'!Q83,'18.04'!$AM$4:$AO$55,3,FALSE))</f>
        <v>0</v>
      </c>
      <c r="J83" s="4">
        <f>(VLOOKUP('18.04'!R83,'18.04'!$AM$4:$AO$55,3,FALSE))</f>
        <v>0</v>
      </c>
      <c r="K83" s="4">
        <f>(VLOOKUP('18.04'!S83,'18.04'!$AM$4:$AO$55,3,FALSE))</f>
        <v>0</v>
      </c>
      <c r="L83" s="4">
        <f>(VLOOKUP('18.04'!T83,'18.04'!$AM$4:$AO$55,3,FALSE))</f>
        <v>0</v>
      </c>
      <c r="M83" s="4">
        <f>(VLOOKUP('18.04'!U83,'18.04'!$AM$4:$AO$55,3,FALSE))</f>
        <v>0</v>
      </c>
      <c r="N83" s="4">
        <f>(VLOOKUP('18.04'!V83,'18.04'!$AM$4:$AO$55,3,FALSE))</f>
        <v>0</v>
      </c>
      <c r="O83" s="5">
        <f>(VLOOKUP('18.04'!W83,'18.04'!$AM$4:$AO$55,3,FALSE))</f>
        <v>0</v>
      </c>
      <c r="P83" s="5">
        <f>(VLOOKUP('18.04'!X83,'18.04'!$AM$4:$AO$55,3,FALSE))</f>
        <v>0</v>
      </c>
      <c r="Q83" s="4">
        <f>(VLOOKUP('18.04'!Y83,'18.04'!$AM$4:$AO$55,3,FALSE))</f>
        <v>0</v>
      </c>
      <c r="R83" s="4">
        <f>(VLOOKUP('18.04'!Z83,'18.04'!$AM$4:$AO$55,3,FALSE))</f>
        <v>0</v>
      </c>
      <c r="S83" s="4">
        <f>(VLOOKUP('18.04'!AA83,'18.04'!$AM$4:$AO$55,3,FALSE))</f>
        <v>0</v>
      </c>
      <c r="T83" s="4">
        <f>(VLOOKUP('18.04'!AB83,'18.04'!$AM$4:$AO$55,3,FALSE))</f>
        <v>0</v>
      </c>
      <c r="U83" s="4">
        <f>(VLOOKUP('18.04'!AC83,'18.04'!$AM$4:$AO$55,3,FALSE))</f>
        <v>0</v>
      </c>
      <c r="V83" s="4">
        <f>(VLOOKUP('18.04'!AD83,'18.04'!$AM$4:$AO$55,3,FALSE))</f>
        <v>0</v>
      </c>
      <c r="W83" s="5">
        <f>(VLOOKUP('18.04'!AE83,'18.04'!$AM$4:$AO$55,3,FALSE))</f>
        <v>0</v>
      </c>
      <c r="X83" s="5">
        <f>(VLOOKUP('18.04'!AF83,'18.04'!$AM$4:$AO$55,3,FALSE))</f>
        <v>0</v>
      </c>
    </row>
    <row r="84" spans="1:24">
      <c r="A84" s="4">
        <f>(VLOOKUP('18.04'!I84,'18.04'!$AM$4:$AO$55,3,FALSE))</f>
        <v>0</v>
      </c>
      <c r="B84" s="4">
        <f>(VLOOKUP('18.04'!J84,'18.04'!$AM$4:$AO$55,3,FALSE))</f>
        <v>0</v>
      </c>
      <c r="C84" s="4">
        <f>(VLOOKUP('18.04'!K84,'18.04'!$AM$4:$AO$55,3,FALSE))</f>
        <v>0</v>
      </c>
      <c r="D84" s="4">
        <f>(VLOOKUP('18.04'!L84,'18.04'!$AM$4:$AO$55,3,FALSE))</f>
        <v>0</v>
      </c>
      <c r="E84" s="4">
        <f>(VLOOKUP('18.04'!M84,'18.04'!$AM$4:$AO$55,3,FALSE))</f>
        <v>0</v>
      </c>
      <c r="F84" s="4">
        <f>(VLOOKUP('18.04'!N84,'18.04'!$AM$4:$AO$55,3,FALSE))</f>
        <v>0</v>
      </c>
      <c r="G84" s="5">
        <f>(VLOOKUP('18.04'!O84,'18.04'!$AM$4:$AO$55,3,FALSE))</f>
        <v>0</v>
      </c>
      <c r="H84" s="5">
        <f>(VLOOKUP('18.04'!P84,'18.04'!$AM$4:$AO$55,3,FALSE))</f>
        <v>0</v>
      </c>
      <c r="I84" s="4">
        <f>(VLOOKUP('18.04'!Q84,'18.04'!$AM$4:$AO$55,3,FALSE))</f>
        <v>0</v>
      </c>
      <c r="J84" s="4">
        <f>(VLOOKUP('18.04'!R84,'18.04'!$AM$4:$AO$55,3,FALSE))</f>
        <v>0</v>
      </c>
      <c r="K84" s="4">
        <f>(VLOOKUP('18.04'!S84,'18.04'!$AM$4:$AO$55,3,FALSE))</f>
        <v>0</v>
      </c>
      <c r="L84" s="4">
        <f>(VLOOKUP('18.04'!T84,'18.04'!$AM$4:$AO$55,3,FALSE))</f>
        <v>0</v>
      </c>
      <c r="M84" s="4">
        <f>(VLOOKUP('18.04'!U84,'18.04'!$AM$4:$AO$55,3,FALSE))</f>
        <v>0</v>
      </c>
      <c r="N84" s="4">
        <f>(VLOOKUP('18.04'!V84,'18.04'!$AM$4:$AO$55,3,FALSE))</f>
        <v>0</v>
      </c>
      <c r="O84" s="5">
        <f>(VLOOKUP('18.04'!W84,'18.04'!$AM$4:$AO$55,3,FALSE))</f>
        <v>0</v>
      </c>
      <c r="P84" s="5">
        <f>(VLOOKUP('18.04'!X84,'18.04'!$AM$4:$AO$55,3,FALSE))</f>
        <v>0</v>
      </c>
      <c r="Q84" s="4">
        <f>(VLOOKUP('18.04'!Y84,'18.04'!$AM$4:$AO$55,3,FALSE))</f>
        <v>0</v>
      </c>
      <c r="R84" s="4">
        <f>(VLOOKUP('18.04'!Z84,'18.04'!$AM$4:$AO$55,3,FALSE))</f>
        <v>0</v>
      </c>
      <c r="S84" s="4">
        <f>(VLOOKUP('18.04'!AA84,'18.04'!$AM$4:$AO$55,3,FALSE))</f>
        <v>0</v>
      </c>
      <c r="T84" s="4">
        <f>(VLOOKUP('18.04'!AB84,'18.04'!$AM$4:$AO$55,3,FALSE))</f>
        <v>0</v>
      </c>
      <c r="U84" s="4">
        <f>(VLOOKUP('18.04'!AC84,'18.04'!$AM$4:$AO$55,3,FALSE))</f>
        <v>0</v>
      </c>
      <c r="V84" s="4">
        <f>(VLOOKUP('18.04'!AD84,'18.04'!$AM$4:$AO$55,3,FALSE))</f>
        <v>0</v>
      </c>
      <c r="W84" s="5">
        <f>(VLOOKUP('18.04'!AE84,'18.04'!$AM$4:$AO$55,3,FALSE))</f>
        <v>0</v>
      </c>
      <c r="X84" s="5">
        <f>(VLOOKUP('18.04'!AF84,'18.04'!$AM$4:$AO$55,3,FALSE))</f>
        <v>0</v>
      </c>
    </row>
    <row r="85" spans="1:24">
      <c r="A85" s="4">
        <f>(VLOOKUP('18.04'!I85,'18.04'!$AM$4:$AO$55,3,FALSE))</f>
        <v>0</v>
      </c>
      <c r="B85" s="4">
        <f>(VLOOKUP('18.04'!J85,'18.04'!$AM$4:$AO$55,3,FALSE))</f>
        <v>0</v>
      </c>
      <c r="C85" s="4">
        <f>(VLOOKUP('18.04'!K85,'18.04'!$AM$4:$AO$55,3,FALSE))</f>
        <v>0</v>
      </c>
      <c r="D85" s="4">
        <f>(VLOOKUP('18.04'!L85,'18.04'!$AM$4:$AO$55,3,FALSE))</f>
        <v>0</v>
      </c>
      <c r="E85" s="4">
        <f>(VLOOKUP('18.04'!M85,'18.04'!$AM$4:$AO$55,3,FALSE))</f>
        <v>0</v>
      </c>
      <c r="F85" s="4">
        <f>(VLOOKUP('18.04'!N85,'18.04'!$AM$4:$AO$55,3,FALSE))</f>
        <v>0</v>
      </c>
      <c r="G85" s="5">
        <f>(VLOOKUP('18.04'!O85,'18.04'!$AM$4:$AO$55,3,FALSE))</f>
        <v>0</v>
      </c>
      <c r="H85" s="5">
        <f>(VLOOKUP('18.04'!P85,'18.04'!$AM$4:$AO$55,3,FALSE))</f>
        <v>0</v>
      </c>
      <c r="I85" s="4">
        <f>(VLOOKUP('18.04'!Q85,'18.04'!$AM$4:$AO$55,3,FALSE))</f>
        <v>0</v>
      </c>
      <c r="J85" s="4">
        <f>(VLOOKUP('18.04'!R85,'18.04'!$AM$4:$AO$55,3,FALSE))</f>
        <v>0</v>
      </c>
      <c r="K85" s="4">
        <f>(VLOOKUP('18.04'!S85,'18.04'!$AM$4:$AO$55,3,FALSE))</f>
        <v>0</v>
      </c>
      <c r="L85" s="4">
        <f>(VLOOKUP('18.04'!T85,'18.04'!$AM$4:$AO$55,3,FALSE))</f>
        <v>0</v>
      </c>
      <c r="M85" s="4">
        <f>(VLOOKUP('18.04'!U85,'18.04'!$AM$4:$AO$55,3,FALSE))</f>
        <v>0</v>
      </c>
      <c r="N85" s="4">
        <f>(VLOOKUP('18.04'!V85,'18.04'!$AM$4:$AO$55,3,FALSE))</f>
        <v>0</v>
      </c>
      <c r="O85" s="5">
        <f>(VLOOKUP('18.04'!W85,'18.04'!$AM$4:$AO$55,3,FALSE))</f>
        <v>0</v>
      </c>
      <c r="P85" s="5">
        <f>(VLOOKUP('18.04'!X85,'18.04'!$AM$4:$AO$55,3,FALSE))</f>
        <v>0</v>
      </c>
      <c r="Q85" s="4">
        <f>(VLOOKUP('18.04'!Y85,'18.04'!$AM$4:$AO$55,3,FALSE))</f>
        <v>0</v>
      </c>
      <c r="R85" s="4">
        <f>(VLOOKUP('18.04'!Z85,'18.04'!$AM$4:$AO$55,3,FALSE))</f>
        <v>0</v>
      </c>
      <c r="S85" s="4">
        <f>(VLOOKUP('18.04'!AA85,'18.04'!$AM$4:$AO$55,3,FALSE))</f>
        <v>0</v>
      </c>
      <c r="T85" s="4">
        <f>(VLOOKUP('18.04'!AB85,'18.04'!$AM$4:$AO$55,3,FALSE))</f>
        <v>0</v>
      </c>
      <c r="U85" s="4">
        <f>(VLOOKUP('18.04'!AC85,'18.04'!$AM$4:$AO$55,3,FALSE))</f>
        <v>0</v>
      </c>
      <c r="V85" s="4">
        <f>(VLOOKUP('18.04'!AD85,'18.04'!$AM$4:$AO$55,3,FALSE))</f>
        <v>0</v>
      </c>
      <c r="W85" s="5">
        <f>(VLOOKUP('18.04'!AE85,'18.04'!$AM$4:$AO$55,3,FALSE))</f>
        <v>0</v>
      </c>
      <c r="X85" s="5">
        <f>(VLOOKUP('18.04'!AF85,'18.04'!$AM$4:$AO$55,3,FALSE))</f>
        <v>0</v>
      </c>
    </row>
    <row r="86" spans="1:24">
      <c r="A86" s="4">
        <f>(VLOOKUP('18.04'!I86,'18.04'!$AM$4:$AO$55,3,FALSE))</f>
        <v>0</v>
      </c>
      <c r="B86" s="4">
        <f>(VLOOKUP('18.04'!J86,'18.04'!$AM$4:$AO$55,3,FALSE))</f>
        <v>0</v>
      </c>
      <c r="C86" s="4">
        <f>(VLOOKUP('18.04'!K86,'18.04'!$AM$4:$AO$55,3,FALSE))</f>
        <v>0</v>
      </c>
      <c r="D86" s="4">
        <f>(VLOOKUP('18.04'!L86,'18.04'!$AM$4:$AO$55,3,FALSE))</f>
        <v>0</v>
      </c>
      <c r="E86" s="4">
        <f>(VLOOKUP('18.04'!M86,'18.04'!$AM$4:$AO$55,3,FALSE))</f>
        <v>0</v>
      </c>
      <c r="F86" s="4">
        <f>(VLOOKUP('18.04'!N86,'18.04'!$AM$4:$AO$55,3,FALSE))</f>
        <v>0</v>
      </c>
      <c r="G86" s="5">
        <f>(VLOOKUP('18.04'!O86,'18.04'!$AM$4:$AO$55,3,FALSE))</f>
        <v>0</v>
      </c>
      <c r="H86" s="5">
        <f>(VLOOKUP('18.04'!P86,'18.04'!$AM$4:$AO$55,3,FALSE))</f>
        <v>0</v>
      </c>
      <c r="I86" s="4">
        <f>(VLOOKUP('18.04'!Q86,'18.04'!$AM$4:$AO$55,3,FALSE))</f>
        <v>0</v>
      </c>
      <c r="J86" s="4">
        <f>(VLOOKUP('18.04'!R86,'18.04'!$AM$4:$AO$55,3,FALSE))</f>
        <v>0</v>
      </c>
      <c r="K86" s="4">
        <f>(VLOOKUP('18.04'!S86,'18.04'!$AM$4:$AO$55,3,FALSE))</f>
        <v>0</v>
      </c>
      <c r="L86" s="4">
        <f>(VLOOKUP('18.04'!T86,'18.04'!$AM$4:$AO$55,3,FALSE))</f>
        <v>0</v>
      </c>
      <c r="M86" s="4">
        <f>(VLOOKUP('18.04'!U86,'18.04'!$AM$4:$AO$55,3,FALSE))</f>
        <v>0</v>
      </c>
      <c r="N86" s="4">
        <f>(VLOOKUP('18.04'!V86,'18.04'!$AM$4:$AO$55,3,FALSE))</f>
        <v>0</v>
      </c>
      <c r="O86" s="5">
        <f>(VLOOKUP('18.04'!W86,'18.04'!$AM$4:$AO$55,3,FALSE))</f>
        <v>0</v>
      </c>
      <c r="P86" s="5">
        <f>(VLOOKUP('18.04'!X86,'18.04'!$AM$4:$AO$55,3,FALSE))</f>
        <v>0</v>
      </c>
      <c r="Q86" s="4">
        <f>(VLOOKUP('18.04'!Y86,'18.04'!$AM$4:$AO$55,3,FALSE))</f>
        <v>0</v>
      </c>
      <c r="R86" s="4">
        <f>(VLOOKUP('18.04'!Z86,'18.04'!$AM$4:$AO$55,3,FALSE))</f>
        <v>0</v>
      </c>
      <c r="S86" s="4">
        <f>(VLOOKUP('18.04'!AA86,'18.04'!$AM$4:$AO$55,3,FALSE))</f>
        <v>0</v>
      </c>
      <c r="T86" s="4">
        <f>(VLOOKUP('18.04'!AB86,'18.04'!$AM$4:$AO$55,3,FALSE))</f>
        <v>0</v>
      </c>
      <c r="U86" s="4">
        <f>(VLOOKUP('18.04'!AC86,'18.04'!$AM$4:$AO$55,3,FALSE))</f>
        <v>0</v>
      </c>
      <c r="V86" s="4">
        <f>(VLOOKUP('18.04'!AD86,'18.04'!$AM$4:$AO$55,3,FALSE))</f>
        <v>0</v>
      </c>
      <c r="W86" s="5">
        <f>(VLOOKUP('18.04'!AE86,'18.04'!$AM$4:$AO$55,3,FALSE))</f>
        <v>0</v>
      </c>
      <c r="X86" s="5">
        <f>(VLOOKUP('18.04'!AF86,'18.04'!$AM$4:$AO$55,3,FALSE))</f>
        <v>0</v>
      </c>
    </row>
    <row r="87" spans="1:24">
      <c r="A87" s="4">
        <f>(VLOOKUP('18.04'!I87,'18.04'!$AM$4:$AO$55,3,FALSE))</f>
        <v>0</v>
      </c>
      <c r="B87" s="4">
        <f>(VLOOKUP('18.04'!J87,'18.04'!$AM$4:$AO$55,3,FALSE))</f>
        <v>0</v>
      </c>
      <c r="C87" s="4">
        <f>(VLOOKUP('18.04'!K87,'18.04'!$AM$4:$AO$55,3,FALSE))</f>
        <v>0</v>
      </c>
      <c r="D87" s="4">
        <f>(VLOOKUP('18.04'!L87,'18.04'!$AM$4:$AO$55,3,FALSE))</f>
        <v>0</v>
      </c>
      <c r="E87" s="4">
        <f>(VLOOKUP('18.04'!M87,'18.04'!$AM$4:$AO$55,3,FALSE))</f>
        <v>0</v>
      </c>
      <c r="F87" s="4">
        <f>(VLOOKUP('18.04'!N87,'18.04'!$AM$4:$AO$55,3,FALSE))</f>
        <v>0</v>
      </c>
      <c r="G87" s="5">
        <f>(VLOOKUP('18.04'!O87,'18.04'!$AM$4:$AO$55,3,FALSE))</f>
        <v>0</v>
      </c>
      <c r="H87" s="5">
        <f>(VLOOKUP('18.04'!P87,'18.04'!$AM$4:$AO$55,3,FALSE))</f>
        <v>0</v>
      </c>
      <c r="I87" s="4">
        <f>(VLOOKUP('18.04'!Q87,'18.04'!$AM$4:$AO$55,3,FALSE))</f>
        <v>0</v>
      </c>
      <c r="J87" s="4">
        <f>(VLOOKUP('18.04'!R87,'18.04'!$AM$4:$AO$55,3,FALSE))</f>
        <v>0</v>
      </c>
      <c r="K87" s="4">
        <f>(VLOOKUP('18.04'!S87,'18.04'!$AM$4:$AO$55,3,FALSE))</f>
        <v>0</v>
      </c>
      <c r="L87" s="4">
        <f>(VLOOKUP('18.04'!T87,'18.04'!$AM$4:$AO$55,3,FALSE))</f>
        <v>0</v>
      </c>
      <c r="M87" s="4">
        <f>(VLOOKUP('18.04'!U87,'18.04'!$AM$4:$AO$55,3,FALSE))</f>
        <v>0</v>
      </c>
      <c r="N87" s="4">
        <f>(VLOOKUP('18.04'!V87,'18.04'!$AM$4:$AO$55,3,FALSE))</f>
        <v>0</v>
      </c>
      <c r="O87" s="5">
        <f>(VLOOKUP('18.04'!W87,'18.04'!$AM$4:$AO$55,3,FALSE))</f>
        <v>0</v>
      </c>
      <c r="P87" s="5">
        <f>(VLOOKUP('18.04'!X87,'18.04'!$AM$4:$AO$55,3,FALSE))</f>
        <v>0</v>
      </c>
      <c r="Q87" s="4">
        <f>(VLOOKUP('18.04'!Y87,'18.04'!$AM$4:$AO$55,3,FALSE))</f>
        <v>0</v>
      </c>
      <c r="R87" s="4">
        <f>(VLOOKUP('18.04'!Z87,'18.04'!$AM$4:$AO$55,3,FALSE))</f>
        <v>0</v>
      </c>
      <c r="S87" s="4">
        <f>(VLOOKUP('18.04'!AA87,'18.04'!$AM$4:$AO$55,3,FALSE))</f>
        <v>0</v>
      </c>
      <c r="T87" s="4">
        <f>(VLOOKUP('18.04'!AB87,'18.04'!$AM$4:$AO$55,3,FALSE))</f>
        <v>0</v>
      </c>
      <c r="U87" s="4">
        <f>(VLOOKUP('18.04'!AC87,'18.04'!$AM$4:$AO$55,3,FALSE))</f>
        <v>0</v>
      </c>
      <c r="V87" s="4">
        <f>(VLOOKUP('18.04'!AD87,'18.04'!$AM$4:$AO$55,3,FALSE))</f>
        <v>0</v>
      </c>
      <c r="W87" s="5">
        <f>(VLOOKUP('18.04'!AE87,'18.04'!$AM$4:$AO$55,3,FALSE))</f>
        <v>0</v>
      </c>
      <c r="X87" s="5">
        <f>(VLOOKUP('18.04'!AF87,'18.04'!$AM$4:$AO$55,3,FALSE))</f>
        <v>0</v>
      </c>
    </row>
    <row r="88" spans="1:24">
      <c r="A88" s="4">
        <f>(VLOOKUP('18.04'!I88,'18.04'!$AM$4:$AO$55,3,FALSE))</f>
        <v>0</v>
      </c>
      <c r="B88" s="4">
        <f>(VLOOKUP('18.04'!J88,'18.04'!$AM$4:$AO$55,3,FALSE))</f>
        <v>0</v>
      </c>
      <c r="C88" s="4">
        <f>(VLOOKUP('18.04'!K88,'18.04'!$AM$4:$AO$55,3,FALSE))</f>
        <v>0</v>
      </c>
      <c r="D88" s="4">
        <f>(VLOOKUP('18.04'!L88,'18.04'!$AM$4:$AO$55,3,FALSE))</f>
        <v>0</v>
      </c>
      <c r="E88" s="4">
        <f>(VLOOKUP('18.04'!M88,'18.04'!$AM$4:$AO$55,3,FALSE))</f>
        <v>0</v>
      </c>
      <c r="F88" s="4">
        <f>(VLOOKUP('18.04'!N88,'18.04'!$AM$4:$AO$55,3,FALSE))</f>
        <v>0</v>
      </c>
      <c r="G88" s="5">
        <f>(VLOOKUP('18.04'!O88,'18.04'!$AM$4:$AO$55,3,FALSE))</f>
        <v>0</v>
      </c>
      <c r="H88" s="5">
        <f>(VLOOKUP('18.04'!P88,'18.04'!$AM$4:$AO$55,3,FALSE))</f>
        <v>0</v>
      </c>
      <c r="I88" s="4">
        <f>(VLOOKUP('18.04'!Q88,'18.04'!$AM$4:$AO$55,3,FALSE))</f>
        <v>0</v>
      </c>
      <c r="J88" s="4">
        <f>(VLOOKUP('18.04'!R88,'18.04'!$AM$4:$AO$55,3,FALSE))</f>
        <v>0</v>
      </c>
      <c r="K88" s="4">
        <f>(VLOOKUP('18.04'!S88,'18.04'!$AM$4:$AO$55,3,FALSE))</f>
        <v>0</v>
      </c>
      <c r="L88" s="4">
        <f>(VLOOKUP('18.04'!T88,'18.04'!$AM$4:$AO$55,3,FALSE))</f>
        <v>0</v>
      </c>
      <c r="M88" s="4">
        <f>(VLOOKUP('18.04'!U88,'18.04'!$AM$4:$AO$55,3,FALSE))</f>
        <v>0</v>
      </c>
      <c r="N88" s="4">
        <f>(VLOOKUP('18.04'!V88,'18.04'!$AM$4:$AO$55,3,FALSE))</f>
        <v>0</v>
      </c>
      <c r="O88" s="5">
        <f>(VLOOKUP('18.04'!W88,'18.04'!$AM$4:$AO$55,3,FALSE))</f>
        <v>0</v>
      </c>
      <c r="P88" s="5">
        <f>(VLOOKUP('18.04'!X88,'18.04'!$AM$4:$AO$55,3,FALSE))</f>
        <v>0</v>
      </c>
      <c r="Q88" s="4">
        <f>(VLOOKUP('18.04'!Y88,'18.04'!$AM$4:$AO$55,3,FALSE))</f>
        <v>0</v>
      </c>
      <c r="R88" s="4">
        <f>(VLOOKUP('18.04'!Z88,'18.04'!$AM$4:$AO$55,3,FALSE))</f>
        <v>0</v>
      </c>
      <c r="S88" s="4">
        <f>(VLOOKUP('18.04'!AA88,'18.04'!$AM$4:$AO$55,3,FALSE))</f>
        <v>0</v>
      </c>
      <c r="T88" s="4">
        <f>(VLOOKUP('18.04'!AB88,'18.04'!$AM$4:$AO$55,3,FALSE))</f>
        <v>0</v>
      </c>
      <c r="U88" s="4">
        <f>(VLOOKUP('18.04'!AC88,'18.04'!$AM$4:$AO$55,3,FALSE))</f>
        <v>0</v>
      </c>
      <c r="V88" s="4">
        <f>(VLOOKUP('18.04'!AD88,'18.04'!$AM$4:$AO$55,3,FALSE))</f>
        <v>0</v>
      </c>
      <c r="W88" s="5">
        <f>(VLOOKUP('18.04'!AE88,'18.04'!$AM$4:$AO$55,3,FALSE))</f>
        <v>0</v>
      </c>
      <c r="X88" s="5">
        <f>(VLOOKUP('18.04'!AF88,'18.04'!$AM$4:$AO$55,3,FALSE))</f>
        <v>0</v>
      </c>
    </row>
    <row r="89" spans="1:24">
      <c r="A89" s="4">
        <f>(VLOOKUP('18.04'!I89,'18.04'!$AM$4:$AO$55,3,FALSE))</f>
        <v>0</v>
      </c>
      <c r="B89" s="4">
        <f>(VLOOKUP('18.04'!J89,'18.04'!$AM$4:$AO$55,3,FALSE))</f>
        <v>0</v>
      </c>
      <c r="C89" s="4">
        <f>(VLOOKUP('18.04'!K89,'18.04'!$AM$4:$AO$55,3,FALSE))</f>
        <v>0</v>
      </c>
      <c r="D89" s="4">
        <f>(VLOOKUP('18.04'!L89,'18.04'!$AM$4:$AO$55,3,FALSE))</f>
        <v>0</v>
      </c>
      <c r="E89" s="4">
        <f>(VLOOKUP('18.04'!M89,'18.04'!$AM$4:$AO$55,3,FALSE))</f>
        <v>0</v>
      </c>
      <c r="F89" s="4">
        <f>(VLOOKUP('18.04'!N89,'18.04'!$AM$4:$AO$55,3,FALSE))</f>
        <v>0</v>
      </c>
      <c r="G89" s="5">
        <f>(VLOOKUP('18.04'!O89,'18.04'!$AM$4:$AO$55,3,FALSE))</f>
        <v>0</v>
      </c>
      <c r="H89" s="5">
        <f>(VLOOKUP('18.04'!P89,'18.04'!$AM$4:$AO$55,3,FALSE))</f>
        <v>0</v>
      </c>
      <c r="I89" s="4">
        <f>(VLOOKUP('18.04'!Q89,'18.04'!$AM$4:$AO$55,3,FALSE))</f>
        <v>0</v>
      </c>
      <c r="J89" s="4">
        <f>(VLOOKUP('18.04'!R89,'18.04'!$AM$4:$AO$55,3,FALSE))</f>
        <v>0</v>
      </c>
      <c r="K89" s="4">
        <f>(VLOOKUP('18.04'!S89,'18.04'!$AM$4:$AO$55,3,FALSE))</f>
        <v>0</v>
      </c>
      <c r="L89" s="4">
        <f>(VLOOKUP('18.04'!T89,'18.04'!$AM$4:$AO$55,3,FALSE))</f>
        <v>0</v>
      </c>
      <c r="M89" s="4">
        <f>(VLOOKUP('18.04'!U89,'18.04'!$AM$4:$AO$55,3,FALSE))</f>
        <v>0</v>
      </c>
      <c r="N89" s="4">
        <f>(VLOOKUP('18.04'!V89,'18.04'!$AM$4:$AO$55,3,FALSE))</f>
        <v>0</v>
      </c>
      <c r="O89" s="5">
        <f>(VLOOKUP('18.04'!W89,'18.04'!$AM$4:$AO$55,3,FALSE))</f>
        <v>0</v>
      </c>
      <c r="P89" s="5">
        <f>(VLOOKUP('18.04'!X89,'18.04'!$AM$4:$AO$55,3,FALSE))</f>
        <v>0</v>
      </c>
      <c r="Q89" s="4">
        <f>(VLOOKUP('18.04'!Y89,'18.04'!$AM$4:$AO$55,3,FALSE))</f>
        <v>0</v>
      </c>
      <c r="R89" s="4">
        <f>(VLOOKUP('18.04'!Z89,'18.04'!$AM$4:$AO$55,3,FALSE))</f>
        <v>0</v>
      </c>
      <c r="S89" s="4">
        <f>(VLOOKUP('18.04'!AA89,'18.04'!$AM$4:$AO$55,3,FALSE))</f>
        <v>0</v>
      </c>
      <c r="T89" s="4">
        <f>(VLOOKUP('18.04'!AB89,'18.04'!$AM$4:$AO$55,3,FALSE))</f>
        <v>0</v>
      </c>
      <c r="U89" s="4">
        <f>(VLOOKUP('18.04'!AC89,'18.04'!$AM$4:$AO$55,3,FALSE))</f>
        <v>0</v>
      </c>
      <c r="V89" s="4">
        <f>(VLOOKUP('18.04'!AD89,'18.04'!$AM$4:$AO$55,3,FALSE))</f>
        <v>0</v>
      </c>
      <c r="W89" s="5">
        <f>(VLOOKUP('18.04'!AE89,'18.04'!$AM$4:$AO$55,3,FALSE))</f>
        <v>0</v>
      </c>
      <c r="X89" s="5">
        <f>(VLOOKUP('18.04'!AF89,'18.04'!$AM$4:$AO$55,3,FALSE))</f>
        <v>0</v>
      </c>
    </row>
    <row r="90" spans="1:24">
      <c r="A90" s="4">
        <f>(VLOOKUP('18.04'!I90,'18.04'!$AM$4:$AO$55,3,FALSE))</f>
        <v>0</v>
      </c>
      <c r="B90" s="4">
        <f>(VLOOKUP('18.04'!J90,'18.04'!$AM$4:$AO$55,3,FALSE))</f>
        <v>0</v>
      </c>
      <c r="C90" s="4">
        <f>(VLOOKUP('18.04'!K90,'18.04'!$AM$4:$AO$55,3,FALSE))</f>
        <v>0</v>
      </c>
      <c r="D90" s="4">
        <f>(VLOOKUP('18.04'!L90,'18.04'!$AM$4:$AO$55,3,FALSE))</f>
        <v>0</v>
      </c>
      <c r="E90" s="4">
        <f>(VLOOKUP('18.04'!M90,'18.04'!$AM$4:$AO$55,3,FALSE))</f>
        <v>0</v>
      </c>
      <c r="F90" s="4">
        <f>(VLOOKUP('18.04'!N90,'18.04'!$AM$4:$AO$55,3,FALSE))</f>
        <v>0</v>
      </c>
      <c r="G90" s="5">
        <f>(VLOOKUP('18.04'!O90,'18.04'!$AM$4:$AO$55,3,FALSE))</f>
        <v>0</v>
      </c>
      <c r="H90" s="5">
        <f>(VLOOKUP('18.04'!P90,'18.04'!$AM$4:$AO$55,3,FALSE))</f>
        <v>0</v>
      </c>
      <c r="I90" s="4">
        <f>(VLOOKUP('18.04'!Q90,'18.04'!$AM$4:$AO$55,3,FALSE))</f>
        <v>0</v>
      </c>
      <c r="J90" s="4">
        <f>(VLOOKUP('18.04'!R90,'18.04'!$AM$4:$AO$55,3,FALSE))</f>
        <v>0</v>
      </c>
      <c r="K90" s="4">
        <f>(VLOOKUP('18.04'!S90,'18.04'!$AM$4:$AO$55,3,FALSE))</f>
        <v>0</v>
      </c>
      <c r="L90" s="4">
        <f>(VLOOKUP('18.04'!T90,'18.04'!$AM$4:$AO$55,3,FALSE))</f>
        <v>0</v>
      </c>
      <c r="M90" s="4">
        <f>(VLOOKUP('18.04'!U90,'18.04'!$AM$4:$AO$55,3,FALSE))</f>
        <v>0</v>
      </c>
      <c r="N90" s="4">
        <f>(VLOOKUP('18.04'!V90,'18.04'!$AM$4:$AO$55,3,FALSE))</f>
        <v>0</v>
      </c>
      <c r="O90" s="5">
        <f>(VLOOKUP('18.04'!W90,'18.04'!$AM$4:$AO$55,3,FALSE))</f>
        <v>0</v>
      </c>
      <c r="P90" s="5">
        <f>(VLOOKUP('18.04'!X90,'18.04'!$AM$4:$AO$55,3,FALSE))</f>
        <v>0</v>
      </c>
      <c r="Q90" s="4">
        <f>(VLOOKUP('18.04'!Y90,'18.04'!$AM$4:$AO$55,3,FALSE))</f>
        <v>0</v>
      </c>
      <c r="R90" s="4">
        <f>(VLOOKUP('18.04'!Z90,'18.04'!$AM$4:$AO$55,3,FALSE))</f>
        <v>0</v>
      </c>
      <c r="S90" s="4">
        <f>(VLOOKUP('18.04'!AA90,'18.04'!$AM$4:$AO$55,3,FALSE))</f>
        <v>0</v>
      </c>
      <c r="T90" s="4">
        <f>(VLOOKUP('18.04'!AB90,'18.04'!$AM$4:$AO$55,3,FALSE))</f>
        <v>0</v>
      </c>
      <c r="U90" s="4">
        <f>(VLOOKUP('18.04'!AC90,'18.04'!$AM$4:$AO$55,3,FALSE))</f>
        <v>0</v>
      </c>
      <c r="V90" s="4">
        <f>(VLOOKUP('18.04'!AD90,'18.04'!$AM$4:$AO$55,3,FALSE))</f>
        <v>0</v>
      </c>
      <c r="W90" s="5">
        <f>(VLOOKUP('18.04'!AE90,'18.04'!$AM$4:$AO$55,3,FALSE))</f>
        <v>0</v>
      </c>
      <c r="X90" s="5">
        <f>(VLOOKUP('18.04'!AF90,'18.04'!$AM$4:$AO$55,3,FALSE))</f>
        <v>0</v>
      </c>
    </row>
    <row r="91" spans="1:24">
      <c r="A91" s="4">
        <f>(VLOOKUP('18.04'!I91,'18.04'!$AM$4:$AO$55,3,FALSE))</f>
        <v>0</v>
      </c>
      <c r="B91" s="4">
        <f>(VLOOKUP('18.04'!J91,'18.04'!$AM$4:$AO$55,3,FALSE))</f>
        <v>0</v>
      </c>
      <c r="C91" s="4">
        <f>(VLOOKUP('18.04'!K91,'18.04'!$AM$4:$AO$55,3,FALSE))</f>
        <v>0</v>
      </c>
      <c r="D91" s="4">
        <f>(VLOOKUP('18.04'!L91,'18.04'!$AM$4:$AO$55,3,FALSE))</f>
        <v>0</v>
      </c>
      <c r="E91" s="4">
        <f>(VLOOKUP('18.04'!M91,'18.04'!$AM$4:$AO$55,3,FALSE))</f>
        <v>0</v>
      </c>
      <c r="F91" s="4">
        <f>(VLOOKUP('18.04'!N91,'18.04'!$AM$4:$AO$55,3,FALSE))</f>
        <v>0</v>
      </c>
      <c r="G91" s="5">
        <f>(VLOOKUP('18.04'!O91,'18.04'!$AM$4:$AO$55,3,FALSE))</f>
        <v>0</v>
      </c>
      <c r="H91" s="5">
        <f>(VLOOKUP('18.04'!P91,'18.04'!$AM$4:$AO$55,3,FALSE))</f>
        <v>0</v>
      </c>
      <c r="I91" s="4">
        <f>(VLOOKUP('18.04'!Q91,'18.04'!$AM$4:$AO$55,3,FALSE))</f>
        <v>0</v>
      </c>
      <c r="J91" s="4">
        <f>(VLOOKUP('18.04'!R91,'18.04'!$AM$4:$AO$55,3,FALSE))</f>
        <v>0</v>
      </c>
      <c r="K91" s="4">
        <f>(VLOOKUP('18.04'!S91,'18.04'!$AM$4:$AO$55,3,FALSE))</f>
        <v>0</v>
      </c>
      <c r="L91" s="4">
        <f>(VLOOKUP('18.04'!T91,'18.04'!$AM$4:$AO$55,3,FALSE))</f>
        <v>0</v>
      </c>
      <c r="M91" s="4">
        <f>(VLOOKUP('18.04'!U91,'18.04'!$AM$4:$AO$55,3,FALSE))</f>
        <v>0</v>
      </c>
      <c r="N91" s="4">
        <f>(VLOOKUP('18.04'!V91,'18.04'!$AM$4:$AO$55,3,FALSE))</f>
        <v>0</v>
      </c>
      <c r="O91" s="5">
        <f>(VLOOKUP('18.04'!W91,'18.04'!$AM$4:$AO$55,3,FALSE))</f>
        <v>0</v>
      </c>
      <c r="P91" s="5">
        <f>(VLOOKUP('18.04'!X91,'18.04'!$AM$4:$AO$55,3,FALSE))</f>
        <v>0</v>
      </c>
      <c r="Q91" s="4">
        <f>(VLOOKUP('18.04'!Y91,'18.04'!$AM$4:$AO$55,3,FALSE))</f>
        <v>0</v>
      </c>
      <c r="R91" s="4">
        <f>(VLOOKUP('18.04'!Z91,'18.04'!$AM$4:$AO$55,3,FALSE))</f>
        <v>0</v>
      </c>
      <c r="S91" s="4">
        <f>(VLOOKUP('18.04'!AA91,'18.04'!$AM$4:$AO$55,3,FALSE))</f>
        <v>0</v>
      </c>
      <c r="T91" s="4">
        <f>(VLOOKUP('18.04'!AB91,'18.04'!$AM$4:$AO$55,3,FALSE))</f>
        <v>0</v>
      </c>
      <c r="U91" s="4">
        <f>(VLOOKUP('18.04'!AC91,'18.04'!$AM$4:$AO$55,3,FALSE))</f>
        <v>0</v>
      </c>
      <c r="V91" s="4">
        <f>(VLOOKUP('18.04'!AD91,'18.04'!$AM$4:$AO$55,3,FALSE))</f>
        <v>0</v>
      </c>
      <c r="W91" s="5">
        <f>(VLOOKUP('18.04'!AE91,'18.04'!$AM$4:$AO$55,3,FALSE))</f>
        <v>0</v>
      </c>
      <c r="X91" s="5">
        <f>(VLOOKUP('18.04'!AF91,'18.04'!$AM$4:$AO$55,3,FALSE))</f>
        <v>0</v>
      </c>
    </row>
    <row r="92" spans="1:24">
      <c r="A92" s="4">
        <f>(VLOOKUP('18.04'!I92,'18.04'!$AM$4:$AO$55,3,FALSE))</f>
        <v>0</v>
      </c>
      <c r="B92" s="4">
        <f>(VLOOKUP('18.04'!J92,'18.04'!$AM$4:$AO$55,3,FALSE))</f>
        <v>0</v>
      </c>
      <c r="C92" s="4">
        <f>(VLOOKUP('18.04'!K92,'18.04'!$AM$4:$AO$55,3,FALSE))</f>
        <v>0</v>
      </c>
      <c r="D92" s="4">
        <f>(VLOOKUP('18.04'!L92,'18.04'!$AM$4:$AO$55,3,FALSE))</f>
        <v>0</v>
      </c>
      <c r="E92" s="4">
        <f>(VLOOKUP('18.04'!M92,'18.04'!$AM$4:$AO$55,3,FALSE))</f>
        <v>0</v>
      </c>
      <c r="F92" s="4">
        <f>(VLOOKUP('18.04'!N92,'18.04'!$AM$4:$AO$55,3,FALSE))</f>
        <v>0</v>
      </c>
      <c r="G92" s="5">
        <f>(VLOOKUP('18.04'!O92,'18.04'!$AM$4:$AO$55,3,FALSE))</f>
        <v>0</v>
      </c>
      <c r="H92" s="5">
        <f>(VLOOKUP('18.04'!P92,'18.04'!$AM$4:$AO$55,3,FALSE))</f>
        <v>0</v>
      </c>
      <c r="I92" s="4">
        <f>(VLOOKUP('18.04'!Q92,'18.04'!$AM$4:$AO$55,3,FALSE))</f>
        <v>0</v>
      </c>
      <c r="J92" s="4">
        <f>(VLOOKUP('18.04'!R92,'18.04'!$AM$4:$AO$55,3,FALSE))</f>
        <v>0</v>
      </c>
      <c r="K92" s="4">
        <f>(VLOOKUP('18.04'!S92,'18.04'!$AM$4:$AO$55,3,FALSE))</f>
        <v>0</v>
      </c>
      <c r="L92" s="4">
        <f>(VLOOKUP('18.04'!T92,'18.04'!$AM$4:$AO$55,3,FALSE))</f>
        <v>0</v>
      </c>
      <c r="M92" s="4">
        <f>(VLOOKUP('18.04'!U92,'18.04'!$AM$4:$AO$55,3,FALSE))</f>
        <v>0</v>
      </c>
      <c r="N92" s="4">
        <f>(VLOOKUP('18.04'!V92,'18.04'!$AM$4:$AO$55,3,FALSE))</f>
        <v>0</v>
      </c>
      <c r="O92" s="5">
        <f>(VLOOKUP('18.04'!W92,'18.04'!$AM$4:$AO$55,3,FALSE))</f>
        <v>0</v>
      </c>
      <c r="P92" s="5">
        <f>(VLOOKUP('18.04'!X92,'18.04'!$AM$4:$AO$55,3,FALSE))</f>
        <v>0</v>
      </c>
      <c r="Q92" s="4">
        <f>(VLOOKUP('18.04'!Y92,'18.04'!$AM$4:$AO$55,3,FALSE))</f>
        <v>0</v>
      </c>
      <c r="R92" s="4">
        <f>(VLOOKUP('18.04'!Z92,'18.04'!$AM$4:$AO$55,3,FALSE))</f>
        <v>0</v>
      </c>
      <c r="S92" s="4">
        <f>(VLOOKUP('18.04'!AA92,'18.04'!$AM$4:$AO$55,3,FALSE))</f>
        <v>0</v>
      </c>
      <c r="T92" s="4">
        <f>(VLOOKUP('18.04'!AB92,'18.04'!$AM$4:$AO$55,3,FALSE))</f>
        <v>0</v>
      </c>
      <c r="U92" s="4">
        <f>(VLOOKUP('18.04'!AC92,'18.04'!$AM$4:$AO$55,3,FALSE))</f>
        <v>0</v>
      </c>
      <c r="V92" s="4">
        <f>(VLOOKUP('18.04'!AD92,'18.04'!$AM$4:$AO$55,3,FALSE))</f>
        <v>0</v>
      </c>
      <c r="W92" s="5">
        <f>(VLOOKUP('18.04'!AE92,'18.04'!$AM$4:$AO$55,3,FALSE))</f>
        <v>0</v>
      </c>
      <c r="X92" s="5">
        <f>(VLOOKUP('18.04'!AF92,'18.04'!$AM$4:$AO$55,3,FALSE))</f>
        <v>0</v>
      </c>
    </row>
    <row r="93" spans="1:24">
      <c r="A93" s="4">
        <f>(VLOOKUP('18.04'!I93,'18.04'!$AM$4:$AO$55,3,FALSE))</f>
        <v>0</v>
      </c>
      <c r="B93" s="4">
        <f>(VLOOKUP('18.04'!J93,'18.04'!$AM$4:$AO$55,3,FALSE))</f>
        <v>0</v>
      </c>
      <c r="C93" s="4">
        <f>(VLOOKUP('18.04'!K93,'18.04'!$AM$4:$AO$55,3,FALSE))</f>
        <v>0</v>
      </c>
      <c r="D93" s="4">
        <f>(VLOOKUP('18.04'!L93,'18.04'!$AM$4:$AO$55,3,FALSE))</f>
        <v>0</v>
      </c>
      <c r="E93" s="4">
        <f>(VLOOKUP('18.04'!M93,'18.04'!$AM$4:$AO$55,3,FALSE))</f>
        <v>0</v>
      </c>
      <c r="F93" s="4">
        <f>(VLOOKUP('18.04'!N93,'18.04'!$AM$4:$AO$55,3,FALSE))</f>
        <v>0</v>
      </c>
      <c r="G93" s="5">
        <f>(VLOOKUP('18.04'!O93,'18.04'!$AM$4:$AO$55,3,FALSE))</f>
        <v>0</v>
      </c>
      <c r="H93" s="5">
        <f>(VLOOKUP('18.04'!P93,'18.04'!$AM$4:$AO$55,3,FALSE))</f>
        <v>0</v>
      </c>
      <c r="I93" s="4">
        <f>(VLOOKUP('18.04'!Q93,'18.04'!$AM$4:$AO$55,3,FALSE))</f>
        <v>0</v>
      </c>
      <c r="J93" s="4">
        <f>(VLOOKUP('18.04'!R93,'18.04'!$AM$4:$AO$55,3,FALSE))</f>
        <v>0</v>
      </c>
      <c r="K93" s="4">
        <f>(VLOOKUP('18.04'!S93,'18.04'!$AM$4:$AO$55,3,FALSE))</f>
        <v>0</v>
      </c>
      <c r="L93" s="4">
        <f>(VLOOKUP('18.04'!T93,'18.04'!$AM$4:$AO$55,3,FALSE))</f>
        <v>0</v>
      </c>
      <c r="M93" s="4">
        <f>(VLOOKUP('18.04'!U93,'18.04'!$AM$4:$AO$55,3,FALSE))</f>
        <v>0</v>
      </c>
      <c r="N93" s="4">
        <f>(VLOOKUP('18.04'!V93,'18.04'!$AM$4:$AO$55,3,FALSE))</f>
        <v>0</v>
      </c>
      <c r="O93" s="5">
        <f>(VLOOKUP('18.04'!W93,'18.04'!$AM$4:$AO$55,3,FALSE))</f>
        <v>0</v>
      </c>
      <c r="P93" s="5">
        <f>(VLOOKUP('18.04'!X93,'18.04'!$AM$4:$AO$55,3,FALSE))</f>
        <v>0</v>
      </c>
      <c r="Q93" s="4">
        <f>(VLOOKUP('18.04'!Y93,'18.04'!$AM$4:$AO$55,3,FALSE))</f>
        <v>0</v>
      </c>
      <c r="R93" s="4">
        <f>(VLOOKUP('18.04'!Z93,'18.04'!$AM$4:$AO$55,3,FALSE))</f>
        <v>0</v>
      </c>
      <c r="S93" s="4">
        <f>(VLOOKUP('18.04'!AA93,'18.04'!$AM$4:$AO$55,3,FALSE))</f>
        <v>0</v>
      </c>
      <c r="T93" s="4">
        <f>(VLOOKUP('18.04'!AB93,'18.04'!$AM$4:$AO$55,3,FALSE))</f>
        <v>0</v>
      </c>
      <c r="U93" s="4">
        <f>(VLOOKUP('18.04'!AC93,'18.04'!$AM$4:$AO$55,3,FALSE))</f>
        <v>0</v>
      </c>
      <c r="V93" s="4">
        <f>(VLOOKUP('18.04'!AD93,'18.04'!$AM$4:$AO$55,3,FALSE))</f>
        <v>0</v>
      </c>
      <c r="W93" s="5">
        <f>(VLOOKUP('18.04'!AE93,'18.04'!$AM$4:$AO$55,3,FALSE))</f>
        <v>0</v>
      </c>
      <c r="X93" s="5">
        <f>(VLOOKUP('18.04'!AF93,'18.04'!$AM$4:$AO$55,3,FALSE))</f>
        <v>0</v>
      </c>
    </row>
    <row r="94" spans="1:24">
      <c r="A94" s="4"/>
      <c r="B94" s="4"/>
      <c r="C94" s="4"/>
      <c r="D94" s="4"/>
      <c r="E94" s="4"/>
      <c r="F94" s="4"/>
      <c r="G94" s="5"/>
      <c r="H94" s="5"/>
      <c r="I94" s="4"/>
      <c r="J94" s="4"/>
      <c r="K94" s="4"/>
      <c r="L94" s="4"/>
      <c r="M94" s="4"/>
      <c r="N94" s="4"/>
      <c r="O94" s="5"/>
      <c r="P94" s="5"/>
      <c r="Q94" s="4"/>
      <c r="R94" s="4"/>
      <c r="S94" s="4"/>
      <c r="T94" s="4"/>
      <c r="U94" s="4"/>
      <c r="V94" s="4"/>
      <c r="W94" s="5"/>
      <c r="X94" s="5"/>
    </row>
  </sheetData>
  <mergeCells count="6">
    <mergeCell ref="U2:X2"/>
    <mergeCell ref="A2:B2"/>
    <mergeCell ref="E2:H2"/>
    <mergeCell ref="I2:J2"/>
    <mergeCell ref="M2:P2"/>
    <mergeCell ref="Q2:R2"/>
  </mergeCells>
  <phoneticPr fontId="1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917BE4-490C-4BFC-B9A4-BA3010A288CC}">
  <dimension ref="A1:X94"/>
  <sheetViews>
    <sheetView workbookViewId="0">
      <selection activeCell="A4" sqref="A4:X93"/>
    </sheetView>
  </sheetViews>
  <sheetFormatPr defaultColWidth="9" defaultRowHeight="15"/>
  <sheetData>
    <row r="1" spans="1:24" ht="15.75" thickBot="1"/>
    <row r="2" spans="1:24">
      <c r="A2" s="147" t="s">
        <v>58</v>
      </c>
      <c r="B2" s="148"/>
      <c r="C2" s="43" t="s">
        <v>3</v>
      </c>
      <c r="D2" s="43">
        <f>COUNTIF(A4:H94,"&lt;&gt;空")</f>
        <v>728</v>
      </c>
      <c r="E2" s="148" t="s">
        <v>4</v>
      </c>
      <c r="F2" s="148"/>
      <c r="G2" s="148"/>
      <c r="H2" s="149"/>
      <c r="I2" s="150" t="s">
        <v>5</v>
      </c>
      <c r="J2" s="151"/>
      <c r="K2" s="44" t="s">
        <v>3</v>
      </c>
      <c r="L2" s="44">
        <f>COUNTIF(I4:P94,"&lt;&gt;空")</f>
        <v>728</v>
      </c>
      <c r="M2" s="151" t="s">
        <v>4</v>
      </c>
      <c r="N2" s="151"/>
      <c r="O2" s="151"/>
      <c r="P2" s="152"/>
      <c r="Q2" s="153" t="s">
        <v>6</v>
      </c>
      <c r="R2" s="145"/>
      <c r="S2" s="10" t="s">
        <v>7</v>
      </c>
      <c r="T2" s="45">
        <f>COUNTIF(Q4:X94,"&lt;&gt;空")</f>
        <v>728</v>
      </c>
      <c r="U2" s="145" t="s">
        <v>4</v>
      </c>
      <c r="V2" s="145"/>
      <c r="W2" s="145"/>
      <c r="X2" s="146"/>
    </row>
    <row r="3" spans="1:24">
      <c r="A3" s="2">
        <v>1</v>
      </c>
      <c r="B3" s="3">
        <v>2</v>
      </c>
      <c r="C3" s="3">
        <v>3</v>
      </c>
      <c r="D3" s="3">
        <v>4</v>
      </c>
      <c r="E3" s="3">
        <v>5</v>
      </c>
      <c r="F3" s="3">
        <v>6</v>
      </c>
      <c r="G3" s="3">
        <v>7</v>
      </c>
      <c r="H3" s="3">
        <v>8</v>
      </c>
      <c r="I3" s="7">
        <v>1</v>
      </c>
      <c r="J3" s="8">
        <v>2</v>
      </c>
      <c r="K3" s="8">
        <v>3</v>
      </c>
      <c r="L3" s="8">
        <v>4</v>
      </c>
      <c r="M3" s="8">
        <v>5</v>
      </c>
      <c r="N3" s="8">
        <v>6</v>
      </c>
      <c r="O3" s="8">
        <v>7</v>
      </c>
      <c r="P3" s="8">
        <v>8</v>
      </c>
      <c r="Q3" s="11">
        <v>1</v>
      </c>
      <c r="R3" s="12">
        <v>2</v>
      </c>
      <c r="S3" s="12">
        <v>3</v>
      </c>
      <c r="T3" s="12">
        <v>4</v>
      </c>
      <c r="U3" s="12">
        <v>5</v>
      </c>
      <c r="V3" s="12">
        <v>6</v>
      </c>
      <c r="W3" s="12">
        <v>7</v>
      </c>
      <c r="X3" s="13">
        <v>8</v>
      </c>
    </row>
    <row r="4" spans="1:24">
      <c r="A4" s="4">
        <f>(VLOOKUP('18.04'!I4,'18.04'!$AM$4:$AP$55,4,FALSE))</f>
        <v>44.222109392472248</v>
      </c>
      <c r="B4" s="4">
        <f>(VLOOKUP('18.04'!J4,'18.04'!$AM$4:$AP$55,4,FALSE))</f>
        <v>44.222109392472248</v>
      </c>
      <c r="C4" s="4">
        <f>(VLOOKUP('18.04'!K4,'18.04'!$AM$4:$AP$55,4,FALSE))</f>
        <v>44.222109392472248</v>
      </c>
      <c r="D4" s="4">
        <f>(VLOOKUP('18.04'!L4,'18.04'!$AM$4:$AP$55,4,FALSE))</f>
        <v>44.222109392472248</v>
      </c>
      <c r="E4" s="4">
        <f>(VLOOKUP('18.04'!M4,'18.04'!$AM$4:$AP$55,4,FALSE))</f>
        <v>44.222109392472248</v>
      </c>
      <c r="F4" s="4">
        <f>(VLOOKUP('18.04'!N4,'18.04'!$AM$4:$AP$55,4,FALSE))</f>
        <v>0</v>
      </c>
      <c r="G4" s="4">
        <f>(VLOOKUP('18.04'!O4,'18.04'!$AM$4:$AP$55,4,FALSE))</f>
        <v>0</v>
      </c>
      <c r="H4" s="4">
        <f>(VLOOKUP('18.04'!P4,'18.04'!$AM$4:$AP$55,4,FALSE))</f>
        <v>0</v>
      </c>
      <c r="I4" s="4">
        <f>(VLOOKUP('18.04'!Q4,'18.04'!$AM$4:$AP$55,4,FALSE))</f>
        <v>10</v>
      </c>
      <c r="J4" s="4">
        <f>(VLOOKUP('18.04'!R4,'18.04'!$AM$4:$AP$55,4,FALSE))</f>
        <v>44.222109392472248</v>
      </c>
      <c r="K4" s="4">
        <f>(VLOOKUP('18.04'!S4,'18.04'!$AM$4:$AP$55,4,FALSE))</f>
        <v>44.222109392472248</v>
      </c>
      <c r="L4" s="4">
        <f>(VLOOKUP('18.04'!T4,'18.04'!$AM$4:$AP$55,4,FALSE))</f>
        <v>44.222109392472248</v>
      </c>
      <c r="M4" s="4">
        <f>(VLOOKUP('18.04'!U4,'18.04'!$AM$4:$AP$55,4,FALSE))</f>
        <v>44.222109392472248</v>
      </c>
      <c r="N4" s="4">
        <f>(VLOOKUP('18.04'!V4,'18.04'!$AM$4:$AP$55,4,FALSE))</f>
        <v>44.222109392472248</v>
      </c>
      <c r="O4" s="4">
        <f>(VLOOKUP('18.04'!W4,'18.04'!$AM$4:$AP$55,4,FALSE))</f>
        <v>0</v>
      </c>
      <c r="P4" s="4">
        <f>(VLOOKUP('18.04'!X4,'18.04'!$AM$4:$AP$55,4,FALSE))</f>
        <v>0</v>
      </c>
      <c r="Q4" s="4">
        <f>(VLOOKUP('18.04'!Y4,'18.04'!$AM$4:$AP$55,4,FALSE))</f>
        <v>0</v>
      </c>
      <c r="R4" s="4">
        <f>(VLOOKUP('18.04'!Z4,'18.04'!$AM$4:$AP$55,4,FALSE))</f>
        <v>0</v>
      </c>
      <c r="S4" s="4">
        <f>(VLOOKUP('18.04'!AA4,'18.04'!$AM$4:$AP$55,4,FALSE))</f>
        <v>0</v>
      </c>
      <c r="T4" s="4">
        <f>(VLOOKUP('18.04'!AB4,'18.04'!$AM$4:$AP$55,4,FALSE))</f>
        <v>0</v>
      </c>
      <c r="U4" s="4">
        <f>(VLOOKUP('18.04'!AC4,'18.04'!$AM$4:$AP$55,4,FALSE))</f>
        <v>0</v>
      </c>
      <c r="V4" s="4">
        <f>(VLOOKUP('18.04'!AD4,'18.04'!$AM$4:$AP$55,4,FALSE))</f>
        <v>0</v>
      </c>
      <c r="W4" s="4">
        <f>(VLOOKUP('18.04'!AE4,'18.04'!$AM$4:$AP$55,4,FALSE))</f>
        <v>0</v>
      </c>
      <c r="X4" s="4">
        <f>(VLOOKUP('18.04'!AF4,'18.04'!$AM$4:$AP$55,4,FALSE))</f>
        <v>0</v>
      </c>
    </row>
    <row r="5" spans="1:24">
      <c r="A5" s="4">
        <f>(VLOOKUP('18.04'!I5,'18.04'!$AM$4:$AP$55,4,FALSE))</f>
        <v>0</v>
      </c>
      <c r="B5" s="4">
        <f>(VLOOKUP('18.04'!J5,'18.04'!$AM$4:$AP$55,4,FALSE))</f>
        <v>0</v>
      </c>
      <c r="C5" s="4">
        <f>(VLOOKUP('18.04'!K5,'18.04'!$AM$4:$AP$55,4,FALSE))</f>
        <v>0</v>
      </c>
      <c r="D5" s="4">
        <f>(VLOOKUP('18.04'!L5,'18.04'!$AM$4:$AP$55,4,FALSE))</f>
        <v>0</v>
      </c>
      <c r="E5" s="4">
        <f>(VLOOKUP('18.04'!M5,'18.04'!$AM$4:$AP$55,4,FALSE))</f>
        <v>0</v>
      </c>
      <c r="F5" s="4">
        <f>(VLOOKUP('18.04'!N5,'18.04'!$AM$4:$AP$55,4,FALSE))</f>
        <v>0</v>
      </c>
      <c r="G5" s="4">
        <f>(VLOOKUP('18.04'!O5,'18.04'!$AM$4:$AP$55,4,FALSE))</f>
        <v>0</v>
      </c>
      <c r="H5" s="4">
        <f>(VLOOKUP('18.04'!P5,'18.04'!$AM$4:$AP$55,4,FALSE))</f>
        <v>0</v>
      </c>
      <c r="I5" s="4">
        <f>(VLOOKUP('18.04'!Q5,'18.04'!$AM$4:$AP$55,4,FALSE))</f>
        <v>44.222109392472248</v>
      </c>
      <c r="J5" s="4">
        <f>(VLOOKUP('18.04'!R5,'18.04'!$AM$4:$AP$55,4,FALSE))</f>
        <v>39.110982162825422</v>
      </c>
      <c r="K5" s="4">
        <f>(VLOOKUP('18.04'!S5,'18.04'!$AM$4:$AP$55,4,FALSE))</f>
        <v>39.110982162825422</v>
      </c>
      <c r="L5" s="4">
        <f>(VLOOKUP('18.04'!T5,'18.04'!$AM$4:$AP$55,4,FALSE))</f>
        <v>39.110982162825422</v>
      </c>
      <c r="M5" s="4">
        <f>(VLOOKUP('18.04'!U5,'18.04'!$AM$4:$AP$55,4,FALSE))</f>
        <v>39.110982162825422</v>
      </c>
      <c r="N5" s="4">
        <f>(VLOOKUP('18.04'!V5,'18.04'!$AM$4:$AP$55,4,FALSE))</f>
        <v>39.110982162825422</v>
      </c>
      <c r="O5" s="4">
        <f>(VLOOKUP('18.04'!W5,'18.04'!$AM$4:$AP$55,4,FALSE))</f>
        <v>0</v>
      </c>
      <c r="P5" s="4">
        <f>(VLOOKUP('18.04'!X5,'18.04'!$AM$4:$AP$55,4,FALSE))</f>
        <v>0</v>
      </c>
      <c r="Q5" s="4">
        <f>(VLOOKUP('18.04'!Y5,'18.04'!$AM$4:$AP$55,4,FALSE))</f>
        <v>10</v>
      </c>
      <c r="R5" s="4">
        <f>(VLOOKUP('18.04'!Z5,'18.04'!$AM$4:$AP$55,4,FALSE))</f>
        <v>44.222109392472248</v>
      </c>
      <c r="S5" s="4">
        <f>(VLOOKUP('18.04'!AA5,'18.04'!$AM$4:$AP$55,4,FALSE))</f>
        <v>10</v>
      </c>
      <c r="T5" s="4">
        <f>(VLOOKUP('18.04'!AB5,'18.04'!$AM$4:$AP$55,4,FALSE))</f>
        <v>39.110982162825422</v>
      </c>
      <c r="U5" s="4">
        <f>(VLOOKUP('18.04'!AC5,'18.04'!$AM$4:$AP$55,4,FALSE))</f>
        <v>39.110982162825422</v>
      </c>
      <c r="V5" s="4">
        <f>(VLOOKUP('18.04'!AD5,'18.04'!$AM$4:$AP$55,4,FALSE))</f>
        <v>39.110982162825422</v>
      </c>
      <c r="W5" s="4">
        <f>(VLOOKUP('18.04'!AE5,'18.04'!$AM$4:$AP$55,4,FALSE))</f>
        <v>10</v>
      </c>
      <c r="X5" s="4">
        <f>(VLOOKUP('18.04'!AF5,'18.04'!$AM$4:$AP$55,4,FALSE))</f>
        <v>39.110982162825422</v>
      </c>
    </row>
    <row r="6" spans="1:24">
      <c r="A6" s="4">
        <f>(VLOOKUP('18.04'!I6,'18.04'!$AM$4:$AP$55,4,FALSE))</f>
        <v>0</v>
      </c>
      <c r="B6" s="4">
        <f>(VLOOKUP('18.04'!J6,'18.04'!$AM$4:$AP$55,4,FALSE))</f>
        <v>0</v>
      </c>
      <c r="C6" s="4">
        <f>(VLOOKUP('18.04'!K6,'18.04'!$AM$4:$AP$55,4,FALSE))</f>
        <v>0</v>
      </c>
      <c r="D6" s="4">
        <f>(VLOOKUP('18.04'!L6,'18.04'!$AM$4:$AP$55,4,FALSE))</f>
        <v>0</v>
      </c>
      <c r="E6" s="4">
        <f>(VLOOKUP('18.04'!M6,'18.04'!$AM$4:$AP$55,4,FALSE))</f>
        <v>0</v>
      </c>
      <c r="F6" s="4">
        <f>(VLOOKUP('18.04'!N6,'18.04'!$AM$4:$AP$55,4,FALSE))</f>
        <v>0</v>
      </c>
      <c r="G6" s="4">
        <f>(VLOOKUP('18.04'!O6,'18.04'!$AM$4:$AP$55,4,FALSE))</f>
        <v>0</v>
      </c>
      <c r="H6" s="4">
        <f>(VLOOKUP('18.04'!P6,'18.04'!$AM$4:$AP$55,4,FALSE))</f>
        <v>0</v>
      </c>
      <c r="I6" s="4">
        <f>(VLOOKUP('18.04'!Q6,'18.04'!$AM$4:$AP$55,4,FALSE))</f>
        <v>39.110982162825422</v>
      </c>
      <c r="J6" s="4">
        <f>(VLOOKUP('18.04'!R6,'18.04'!$AM$4:$AP$55,4,FALSE))</f>
        <v>10</v>
      </c>
      <c r="K6" s="4">
        <f>(VLOOKUP('18.04'!S6,'18.04'!$AM$4:$AP$55,4,FALSE))</f>
        <v>39.110982162825422</v>
      </c>
      <c r="L6" s="4">
        <f>(VLOOKUP('18.04'!T6,'18.04'!$AM$4:$AP$55,4,FALSE))</f>
        <v>39.110982162825422</v>
      </c>
      <c r="M6" s="4">
        <f>(VLOOKUP('18.04'!U6,'18.04'!$AM$4:$AP$55,4,FALSE))</f>
        <v>29.110982162825422</v>
      </c>
      <c r="N6" s="4">
        <f>(VLOOKUP('18.04'!V6,'18.04'!$AM$4:$AP$55,4,FALSE))</f>
        <v>39.110982162825422</v>
      </c>
      <c r="O6" s="4">
        <f>(VLOOKUP('18.04'!W6,'18.04'!$AM$4:$AP$55,4,FALSE))</f>
        <v>0</v>
      </c>
      <c r="P6" s="4">
        <f>(VLOOKUP('18.04'!X6,'18.04'!$AM$4:$AP$55,4,FALSE))</f>
        <v>0</v>
      </c>
      <c r="Q6" s="4">
        <f>(VLOOKUP('18.04'!Y6,'18.04'!$AM$4:$AP$55,4,FALSE))</f>
        <v>39.110982162825422</v>
      </c>
      <c r="R6" s="4">
        <f>(VLOOKUP('18.04'!Z6,'18.04'!$AM$4:$AP$55,4,FALSE))</f>
        <v>39.110982162825422</v>
      </c>
      <c r="S6" s="4">
        <f>(VLOOKUP('18.04'!AA6,'18.04'!$AM$4:$AP$55,4,FALSE))</f>
        <v>10</v>
      </c>
      <c r="T6" s="4">
        <f>(VLOOKUP('18.04'!AB6,'18.04'!$AM$4:$AP$55,4,FALSE))</f>
        <v>39.110982162825422</v>
      </c>
      <c r="U6" s="4">
        <f>(VLOOKUP('18.04'!AC6,'18.04'!$AM$4:$AP$55,4,FALSE))</f>
        <v>39.110982162825422</v>
      </c>
      <c r="V6" s="4">
        <f>(VLOOKUP('18.04'!AD6,'18.04'!$AM$4:$AP$55,4,FALSE))</f>
        <v>39.110982162825422</v>
      </c>
      <c r="W6" s="4">
        <f>(VLOOKUP('18.04'!AE6,'18.04'!$AM$4:$AP$55,4,FALSE))</f>
        <v>39.110982162825422</v>
      </c>
      <c r="X6" s="4">
        <f>(VLOOKUP('18.04'!AF6,'18.04'!$AM$4:$AP$55,4,FALSE))</f>
        <v>39.110982162825422</v>
      </c>
    </row>
    <row r="7" spans="1:24">
      <c r="A7" s="4">
        <f>(VLOOKUP('18.04'!I7,'18.04'!$AM$4:$AP$55,4,FALSE))</f>
        <v>0</v>
      </c>
      <c r="B7" s="4">
        <f>(VLOOKUP('18.04'!J7,'18.04'!$AM$4:$AP$55,4,FALSE))</f>
        <v>0</v>
      </c>
      <c r="C7" s="4">
        <f>(VLOOKUP('18.04'!K7,'18.04'!$AM$4:$AP$55,4,FALSE))</f>
        <v>0</v>
      </c>
      <c r="D7" s="4">
        <f>(VLOOKUP('18.04'!L7,'18.04'!$AM$4:$AP$55,4,FALSE))</f>
        <v>0</v>
      </c>
      <c r="E7" s="4">
        <f>(VLOOKUP('18.04'!M7,'18.04'!$AM$4:$AP$55,4,FALSE))</f>
        <v>0</v>
      </c>
      <c r="F7" s="4">
        <f>(VLOOKUP('18.04'!N7,'18.04'!$AM$4:$AP$55,4,FALSE))</f>
        <v>0</v>
      </c>
      <c r="G7" s="4">
        <f>(VLOOKUP('18.04'!O7,'18.04'!$AM$4:$AP$55,4,FALSE))</f>
        <v>0</v>
      </c>
      <c r="H7" s="4">
        <f>(VLOOKUP('18.04'!P7,'18.04'!$AM$4:$AP$55,4,FALSE))</f>
        <v>0</v>
      </c>
      <c r="I7" s="4">
        <f>(VLOOKUP('18.04'!Q7,'18.04'!$AM$4:$AP$55,4,FALSE))</f>
        <v>39.110982162825422</v>
      </c>
      <c r="J7" s="4">
        <f>(VLOOKUP('18.04'!R7,'18.04'!$AM$4:$AP$55,4,FALSE))</f>
        <v>39.110982162825422</v>
      </c>
      <c r="K7" s="4">
        <f>(VLOOKUP('18.04'!S7,'18.04'!$AM$4:$AP$55,4,FALSE))</f>
        <v>34</v>
      </c>
      <c r="L7" s="4">
        <f>(VLOOKUP('18.04'!T7,'18.04'!$AM$4:$AP$55,4,FALSE))</f>
        <v>34</v>
      </c>
      <c r="M7" s="4">
        <f>(VLOOKUP('18.04'!U7,'18.04'!$AM$4:$AP$55,4,FALSE))</f>
        <v>34</v>
      </c>
      <c r="N7" s="4">
        <f>(VLOOKUP('18.04'!V7,'18.04'!$AM$4:$AP$55,4,FALSE))</f>
        <v>34</v>
      </c>
      <c r="O7" s="4">
        <f>(VLOOKUP('18.04'!W7,'18.04'!$AM$4:$AP$55,4,FALSE))</f>
        <v>0</v>
      </c>
      <c r="P7" s="4">
        <f>(VLOOKUP('18.04'!X7,'18.04'!$AM$4:$AP$55,4,FALSE))</f>
        <v>0</v>
      </c>
      <c r="Q7" s="4">
        <f>(VLOOKUP('18.04'!Y7,'18.04'!$AM$4:$AP$55,4,FALSE))</f>
        <v>39.110982162825422</v>
      </c>
      <c r="R7" s="4">
        <f>(VLOOKUP('18.04'!Z7,'18.04'!$AM$4:$AP$55,4,FALSE))</f>
        <v>39.110982162825422</v>
      </c>
      <c r="S7" s="4">
        <f>(VLOOKUP('18.04'!AA7,'18.04'!$AM$4:$AP$55,4,FALSE))</f>
        <v>39.110982162825422</v>
      </c>
      <c r="T7" s="4">
        <f>(VLOOKUP('18.04'!AB7,'18.04'!$AM$4:$AP$55,4,FALSE))</f>
        <v>39.110982162825422</v>
      </c>
      <c r="U7" s="4">
        <f>(VLOOKUP('18.04'!AC7,'18.04'!$AM$4:$AP$55,4,FALSE))</f>
        <v>39.110982162825422</v>
      </c>
      <c r="V7" s="4">
        <f>(VLOOKUP('18.04'!AD7,'18.04'!$AM$4:$AP$55,4,FALSE))</f>
        <v>39.110982162825422</v>
      </c>
      <c r="W7" s="4">
        <f>(VLOOKUP('18.04'!AE7,'18.04'!$AM$4:$AP$55,4,FALSE))</f>
        <v>34</v>
      </c>
      <c r="X7" s="4">
        <f>(VLOOKUP('18.04'!AF7,'18.04'!$AM$4:$AP$55,4,FALSE))</f>
        <v>34</v>
      </c>
    </row>
    <row r="8" spans="1:24">
      <c r="A8" s="4">
        <f>(VLOOKUP('18.04'!I8,'18.04'!$AM$4:$AP$55,4,FALSE))</f>
        <v>0</v>
      </c>
      <c r="B8" s="4">
        <f>(VLOOKUP('18.04'!J8,'18.04'!$AM$4:$AP$55,4,FALSE))</f>
        <v>0</v>
      </c>
      <c r="C8" s="4">
        <f>(VLOOKUP('18.04'!K8,'18.04'!$AM$4:$AP$55,4,FALSE))</f>
        <v>0</v>
      </c>
      <c r="D8" s="4">
        <f>(VLOOKUP('18.04'!L8,'18.04'!$AM$4:$AP$55,4,FALSE))</f>
        <v>0</v>
      </c>
      <c r="E8" s="4">
        <f>(VLOOKUP('18.04'!M8,'18.04'!$AM$4:$AP$55,4,FALSE))</f>
        <v>0</v>
      </c>
      <c r="F8" s="4">
        <f>(VLOOKUP('18.04'!N8,'18.04'!$AM$4:$AP$55,4,FALSE))</f>
        <v>0</v>
      </c>
      <c r="G8" s="4">
        <f>(VLOOKUP('18.04'!O8,'18.04'!$AM$4:$AP$55,4,FALSE))</f>
        <v>0</v>
      </c>
      <c r="H8" s="4">
        <f>(VLOOKUP('18.04'!P8,'18.04'!$AM$4:$AP$55,4,FALSE))</f>
        <v>0</v>
      </c>
      <c r="I8" s="4">
        <f>(VLOOKUP('18.04'!Q8,'18.04'!$AM$4:$AP$55,4,FALSE))</f>
        <v>0</v>
      </c>
      <c r="J8" s="4">
        <f>(VLOOKUP('18.04'!R8,'18.04'!$AM$4:$AP$55,4,FALSE))</f>
        <v>34</v>
      </c>
      <c r="K8" s="4">
        <f>(VLOOKUP('18.04'!S8,'18.04'!$AM$4:$AP$55,4,FALSE))</f>
        <v>34</v>
      </c>
      <c r="L8" s="4">
        <f>(VLOOKUP('18.04'!T8,'18.04'!$AM$4:$AP$55,4,FALSE))</f>
        <v>34</v>
      </c>
      <c r="M8" s="4">
        <f>(VLOOKUP('18.04'!U8,'18.04'!$AM$4:$AP$55,4,FALSE))</f>
        <v>34</v>
      </c>
      <c r="N8" s="4">
        <f>(VLOOKUP('18.04'!V8,'18.04'!$AM$4:$AP$55,4,FALSE))</f>
        <v>34</v>
      </c>
      <c r="O8" s="4">
        <f>(VLOOKUP('18.04'!W8,'18.04'!$AM$4:$AP$55,4,FALSE))</f>
        <v>0</v>
      </c>
      <c r="P8" s="4">
        <f>(VLOOKUP('18.04'!X8,'18.04'!$AM$4:$AP$55,4,FALSE))</f>
        <v>0</v>
      </c>
      <c r="Q8" s="4">
        <f>(VLOOKUP('18.04'!Y8,'18.04'!$AM$4:$AP$55,4,FALSE))</f>
        <v>34</v>
      </c>
      <c r="R8" s="4">
        <f>(VLOOKUP('18.04'!Z8,'18.04'!$AM$4:$AP$55,4,FALSE))</f>
        <v>0</v>
      </c>
      <c r="S8" s="4">
        <f>(VLOOKUP('18.04'!AA8,'18.04'!$AM$4:$AP$55,4,FALSE))</f>
        <v>34</v>
      </c>
      <c r="T8" s="4">
        <f>(VLOOKUP('18.04'!AB8,'18.04'!$AM$4:$AP$55,4,FALSE))</f>
        <v>34</v>
      </c>
      <c r="U8" s="4">
        <f>(VLOOKUP('18.04'!AC8,'18.04'!$AM$4:$AP$55,4,FALSE))</f>
        <v>34</v>
      </c>
      <c r="V8" s="4">
        <f>(VLOOKUP('18.04'!AD8,'18.04'!$AM$4:$AP$55,4,FALSE))</f>
        <v>34</v>
      </c>
      <c r="W8" s="4">
        <f>(VLOOKUP('18.04'!AE8,'18.04'!$AM$4:$AP$55,4,FALSE))</f>
        <v>0</v>
      </c>
      <c r="X8" s="4">
        <f>(VLOOKUP('18.04'!AF8,'18.04'!$AM$4:$AP$55,4,FALSE))</f>
        <v>34</v>
      </c>
    </row>
    <row r="9" spans="1:24">
      <c r="A9" s="4">
        <f>(VLOOKUP('18.04'!I9,'18.04'!$AM$4:$AP$55,4,FALSE))</f>
        <v>0</v>
      </c>
      <c r="B9" s="4">
        <f>(VLOOKUP('18.04'!J9,'18.04'!$AM$4:$AP$55,4,FALSE))</f>
        <v>0</v>
      </c>
      <c r="C9" s="4">
        <f>(VLOOKUP('18.04'!K9,'18.04'!$AM$4:$AP$55,4,FALSE))</f>
        <v>0</v>
      </c>
      <c r="D9" s="4">
        <f>(VLOOKUP('18.04'!L9,'18.04'!$AM$4:$AP$55,4,FALSE))</f>
        <v>0</v>
      </c>
      <c r="E9" s="4">
        <f>(VLOOKUP('18.04'!M9,'18.04'!$AM$4:$AP$55,4,FALSE))</f>
        <v>0</v>
      </c>
      <c r="F9" s="4">
        <f>(VLOOKUP('18.04'!N9,'18.04'!$AM$4:$AP$55,4,FALSE))</f>
        <v>0</v>
      </c>
      <c r="G9" s="4">
        <f>(VLOOKUP('18.04'!O9,'18.04'!$AM$4:$AP$55,4,FALSE))</f>
        <v>0</v>
      </c>
      <c r="H9" s="4">
        <f>(VLOOKUP('18.04'!P9,'18.04'!$AM$4:$AP$55,4,FALSE))</f>
        <v>0</v>
      </c>
      <c r="I9" s="4">
        <f>(VLOOKUP('18.04'!Q9,'18.04'!$AM$4:$AP$55,4,FALSE))</f>
        <v>10</v>
      </c>
      <c r="J9" s="4">
        <f>(VLOOKUP('18.04'!R9,'18.04'!$AM$4:$AP$55,4,FALSE))</f>
        <v>34</v>
      </c>
      <c r="K9" s="4">
        <f>(VLOOKUP('18.04'!S9,'18.04'!$AM$4:$AP$55,4,FALSE))</f>
        <v>34</v>
      </c>
      <c r="L9" s="4">
        <f>(VLOOKUP('18.04'!T9,'18.04'!$AM$4:$AP$55,4,FALSE))</f>
        <v>34</v>
      </c>
      <c r="M9" s="4">
        <f>(VLOOKUP('18.04'!U9,'18.04'!$AM$4:$AP$55,4,FALSE))</f>
        <v>34</v>
      </c>
      <c r="N9" s="4">
        <f>(VLOOKUP('18.04'!V9,'18.04'!$AM$4:$AP$55,4,FALSE))</f>
        <v>34</v>
      </c>
      <c r="O9" s="4">
        <f>(VLOOKUP('18.04'!W9,'18.04'!$AM$4:$AP$55,4,FALSE))</f>
        <v>0</v>
      </c>
      <c r="P9" s="4">
        <f>(VLOOKUP('18.04'!X9,'18.04'!$AM$4:$AP$55,4,FALSE))</f>
        <v>0</v>
      </c>
      <c r="Q9" s="4">
        <f>(VLOOKUP('18.04'!Y9,'18.04'!$AM$4:$AP$55,4,FALSE))</f>
        <v>34</v>
      </c>
      <c r="R9" s="4">
        <f>(VLOOKUP('18.04'!Z9,'18.04'!$AM$4:$AP$55,4,FALSE))</f>
        <v>34</v>
      </c>
      <c r="S9" s="4">
        <f>(VLOOKUP('18.04'!AA9,'18.04'!$AM$4:$AP$55,4,FALSE))</f>
        <v>34</v>
      </c>
      <c r="T9" s="4">
        <f>(VLOOKUP('18.04'!AB9,'18.04'!$AM$4:$AP$55,4,FALSE))</f>
        <v>34</v>
      </c>
      <c r="U9" s="4">
        <f>(VLOOKUP('18.04'!AC9,'18.04'!$AM$4:$AP$55,4,FALSE))</f>
        <v>34</v>
      </c>
      <c r="V9" s="4">
        <f>(VLOOKUP('18.04'!AD9,'18.04'!$AM$4:$AP$55,4,FALSE))</f>
        <v>0</v>
      </c>
      <c r="W9" s="4">
        <f>(VLOOKUP('18.04'!AE9,'18.04'!$AM$4:$AP$55,4,FALSE))</f>
        <v>0</v>
      </c>
      <c r="X9" s="4">
        <f>(VLOOKUP('18.04'!AF9,'18.04'!$AM$4:$AP$55,4,FALSE))</f>
        <v>0</v>
      </c>
    </row>
    <row r="10" spans="1:24">
      <c r="A10" s="4">
        <f>(VLOOKUP('18.04'!I10,'18.04'!$AM$4:$AP$55,4,FALSE))</f>
        <v>44.222109392472248</v>
      </c>
      <c r="B10" s="4">
        <f>(VLOOKUP('18.04'!J10,'18.04'!$AM$4:$AP$55,4,FALSE))</f>
        <v>44.222109392472248</v>
      </c>
      <c r="C10" s="4">
        <f>(VLOOKUP('18.04'!K10,'18.04'!$AM$4:$AP$55,4,FALSE))</f>
        <v>44.222109392472248</v>
      </c>
      <c r="D10" s="4">
        <f>(VLOOKUP('18.04'!L10,'18.04'!$AM$4:$AP$55,4,FALSE))</f>
        <v>44.222109392472248</v>
      </c>
      <c r="E10" s="4">
        <f>(VLOOKUP('18.04'!M10,'18.04'!$AM$4:$AP$55,4,FALSE))</f>
        <v>10</v>
      </c>
      <c r="F10" s="4">
        <f>(VLOOKUP('18.04'!N10,'18.04'!$AM$4:$AP$55,4,FALSE))</f>
        <v>44.222109392472248</v>
      </c>
      <c r="G10" s="4">
        <f>(VLOOKUP('18.04'!O10,'18.04'!$AM$4:$AP$55,4,FALSE))</f>
        <v>44.222109392472248</v>
      </c>
      <c r="H10" s="4">
        <f>(VLOOKUP('18.04'!P10,'18.04'!$AM$4:$AP$55,4,FALSE))</f>
        <v>44.222109392472248</v>
      </c>
      <c r="I10" s="4">
        <f>(VLOOKUP('18.04'!Q10,'18.04'!$AM$4:$AP$55,4,FALSE))</f>
        <v>0</v>
      </c>
      <c r="J10" s="4">
        <f>(VLOOKUP('18.04'!R10,'18.04'!$AM$4:$AP$55,4,FALSE))</f>
        <v>34</v>
      </c>
      <c r="K10" s="4">
        <f>(VLOOKUP('18.04'!S10,'18.04'!$AM$4:$AP$55,4,FALSE))</f>
        <v>34</v>
      </c>
      <c r="L10" s="4">
        <f>(VLOOKUP('18.04'!T10,'18.04'!$AM$4:$AP$55,4,FALSE))</f>
        <v>0</v>
      </c>
      <c r="M10" s="4">
        <f>(VLOOKUP('18.04'!U10,'18.04'!$AM$4:$AP$55,4,FALSE))</f>
        <v>34</v>
      </c>
      <c r="N10" s="4">
        <f>(VLOOKUP('18.04'!V10,'18.04'!$AM$4:$AP$55,4,FALSE))</f>
        <v>34</v>
      </c>
      <c r="O10" s="4">
        <f>(VLOOKUP('18.04'!W10,'18.04'!$AM$4:$AP$55,4,FALSE))</f>
        <v>0</v>
      </c>
      <c r="P10" s="4">
        <f>(VLOOKUP('18.04'!X10,'18.04'!$AM$4:$AP$55,4,FALSE))</f>
        <v>0</v>
      </c>
      <c r="Q10" s="4">
        <f>(VLOOKUP('18.04'!Y10,'18.04'!$AM$4:$AP$55,4,FALSE))</f>
        <v>13.999854933178597</v>
      </c>
      <c r="R10" s="4">
        <f>(VLOOKUP('18.04'!Z10,'18.04'!$AM$4:$AP$55,4,FALSE))</f>
        <v>34</v>
      </c>
      <c r="S10" s="4">
        <f>(VLOOKUP('18.04'!AA10,'18.04'!$AM$4:$AP$55,4,FALSE))</f>
        <v>10</v>
      </c>
      <c r="T10" s="4">
        <f>(VLOOKUP('18.04'!AB10,'18.04'!$AM$4:$AP$55,4,FALSE))</f>
        <v>34</v>
      </c>
      <c r="U10" s="4">
        <f>(VLOOKUP('18.04'!AC10,'18.04'!$AM$4:$AP$55,4,FALSE))</f>
        <v>34</v>
      </c>
      <c r="V10" s="4">
        <f>(VLOOKUP('18.04'!AD10,'18.04'!$AM$4:$AP$55,4,FALSE))</f>
        <v>36</v>
      </c>
      <c r="W10" s="4">
        <f>(VLOOKUP('18.04'!AE10,'18.04'!$AM$4:$AP$55,4,FALSE))</f>
        <v>0</v>
      </c>
      <c r="X10" s="4">
        <f>(VLOOKUP('18.04'!AF10,'18.04'!$AM$4:$AP$55,4,FALSE))</f>
        <v>0</v>
      </c>
    </row>
    <row r="11" spans="1:24">
      <c r="A11" s="4">
        <f>(VLOOKUP('18.04'!I11,'18.04'!$AM$4:$AP$55,4,FALSE))</f>
        <v>44.222109392472248</v>
      </c>
      <c r="B11" s="4">
        <f>(VLOOKUP('18.04'!J11,'18.04'!$AM$4:$AP$55,4,FALSE))</f>
        <v>44.222109392472248</v>
      </c>
      <c r="C11" s="4">
        <f>(VLOOKUP('18.04'!K11,'18.04'!$AM$4:$AP$55,4,FALSE))</f>
        <v>10</v>
      </c>
      <c r="D11" s="4">
        <f>(VLOOKUP('18.04'!L11,'18.04'!$AM$4:$AP$55,4,FALSE))</f>
        <v>44.222109392472248</v>
      </c>
      <c r="E11" s="4">
        <f>(VLOOKUP('18.04'!M11,'18.04'!$AM$4:$AP$55,4,FALSE))</f>
        <v>44.222109392472248</v>
      </c>
      <c r="F11" s="4">
        <f>(VLOOKUP('18.04'!N11,'18.04'!$AM$4:$AP$55,4,FALSE))</f>
        <v>44.222109392472248</v>
      </c>
      <c r="G11" s="4">
        <f>(VLOOKUP('18.04'!O11,'18.04'!$AM$4:$AP$55,4,FALSE))</f>
        <v>44.222109392472248</v>
      </c>
      <c r="H11" s="4">
        <f>(VLOOKUP('18.04'!P11,'18.04'!$AM$4:$AP$55,4,FALSE))</f>
        <v>44.222109392472248</v>
      </c>
      <c r="I11" s="4">
        <f>(VLOOKUP('18.04'!Q11,'18.04'!$AM$4:$AP$55,4,FALSE))</f>
        <v>34</v>
      </c>
      <c r="J11" s="4">
        <f>(VLOOKUP('18.04'!R11,'18.04'!$AM$4:$AP$55,4,FALSE))</f>
        <v>10</v>
      </c>
      <c r="K11" s="4">
        <f>(VLOOKUP('18.04'!S11,'18.04'!$AM$4:$AP$55,4,FALSE))</f>
        <v>34</v>
      </c>
      <c r="L11" s="4">
        <f>(VLOOKUP('18.04'!T11,'18.04'!$AM$4:$AP$55,4,FALSE))</f>
        <v>34</v>
      </c>
      <c r="M11" s="4">
        <f>(VLOOKUP('18.04'!U11,'18.04'!$AM$4:$AP$55,4,FALSE))</f>
        <v>34</v>
      </c>
      <c r="N11" s="4">
        <f>(VLOOKUP('18.04'!V11,'18.04'!$AM$4:$AP$55,4,FALSE))</f>
        <v>0</v>
      </c>
      <c r="O11" s="4">
        <f>(VLOOKUP('18.04'!W11,'18.04'!$AM$4:$AP$55,4,FALSE))</f>
        <v>0</v>
      </c>
      <c r="P11" s="4">
        <f>(VLOOKUP('18.04'!X11,'18.04'!$AM$4:$AP$55,4,FALSE))</f>
        <v>0</v>
      </c>
      <c r="Q11" s="4">
        <f>(VLOOKUP('18.04'!Y11,'18.04'!$AM$4:$AP$55,4,FALSE))</f>
        <v>36</v>
      </c>
      <c r="R11" s="4">
        <f>(VLOOKUP('18.04'!Z11,'18.04'!$AM$4:$AP$55,4,FALSE))</f>
        <v>34</v>
      </c>
      <c r="S11" s="4">
        <f>(VLOOKUP('18.04'!AA11,'18.04'!$AM$4:$AP$55,4,FALSE))</f>
        <v>34</v>
      </c>
      <c r="T11" s="4">
        <f>(VLOOKUP('18.04'!AB11,'18.04'!$AM$4:$AP$55,4,FALSE))</f>
        <v>34</v>
      </c>
      <c r="U11" s="4">
        <f>(VLOOKUP('18.04'!AC11,'18.04'!$AM$4:$AP$55,4,FALSE))</f>
        <v>34</v>
      </c>
      <c r="V11" s="4">
        <f>(VLOOKUP('18.04'!AD11,'18.04'!$AM$4:$AP$55,4,FALSE))</f>
        <v>0</v>
      </c>
      <c r="W11" s="4">
        <f>(VLOOKUP('18.04'!AE11,'18.04'!$AM$4:$AP$55,4,FALSE))</f>
        <v>0</v>
      </c>
      <c r="X11" s="4">
        <f>(VLOOKUP('18.04'!AF11,'18.04'!$AM$4:$AP$55,4,FALSE))</f>
        <v>0</v>
      </c>
    </row>
    <row r="12" spans="1:24">
      <c r="A12" s="4">
        <f>(VLOOKUP('18.04'!I12,'18.04'!$AM$4:$AP$55,4,FALSE))</f>
        <v>44.222109392472248</v>
      </c>
      <c r="B12" s="4">
        <f>(VLOOKUP('18.04'!J12,'18.04'!$AM$4:$AP$55,4,FALSE))</f>
        <v>44.222109392472248</v>
      </c>
      <c r="C12" s="4">
        <f>(VLOOKUP('18.04'!K12,'18.04'!$AM$4:$AP$55,4,FALSE))</f>
        <v>10</v>
      </c>
      <c r="D12" s="4">
        <f>(VLOOKUP('18.04'!L12,'18.04'!$AM$4:$AP$55,4,FALSE))</f>
        <v>39.110982162825422</v>
      </c>
      <c r="E12" s="4">
        <f>(VLOOKUP('18.04'!M12,'18.04'!$AM$4:$AP$55,4,FALSE))</f>
        <v>39.110982162825422</v>
      </c>
      <c r="F12" s="4">
        <f>(VLOOKUP('18.04'!N12,'18.04'!$AM$4:$AP$55,4,FALSE))</f>
        <v>39.110982162825422</v>
      </c>
      <c r="G12" s="4">
        <f>(VLOOKUP('18.04'!O12,'18.04'!$AM$4:$AP$55,4,FALSE))</f>
        <v>10</v>
      </c>
      <c r="H12" s="4">
        <f>(VLOOKUP('18.04'!P12,'18.04'!$AM$4:$AP$55,4,FALSE))</f>
        <v>39.110982162825422</v>
      </c>
      <c r="I12" s="4">
        <f>(VLOOKUP('18.04'!Q12,'18.04'!$AM$4:$AP$55,4,FALSE))</f>
        <v>34</v>
      </c>
      <c r="J12" s="4">
        <f>(VLOOKUP('18.04'!R12,'18.04'!$AM$4:$AP$55,4,FALSE))</f>
        <v>34</v>
      </c>
      <c r="K12" s="4">
        <f>(VLOOKUP('18.04'!S12,'18.04'!$AM$4:$AP$55,4,FALSE))</f>
        <v>34</v>
      </c>
      <c r="L12" s="4">
        <f>(VLOOKUP('18.04'!T12,'18.04'!$AM$4:$AP$55,4,FALSE))</f>
        <v>13.999854933178597</v>
      </c>
      <c r="M12" s="4">
        <f>(VLOOKUP('18.04'!U12,'18.04'!$AM$4:$AP$55,4,FALSE))</f>
        <v>34</v>
      </c>
      <c r="N12" s="4">
        <f>(VLOOKUP('18.04'!V12,'18.04'!$AM$4:$AP$55,4,FALSE))</f>
        <v>34</v>
      </c>
      <c r="O12" s="4">
        <f>(VLOOKUP('18.04'!W12,'18.04'!$AM$4:$AP$55,4,FALSE))</f>
        <v>0</v>
      </c>
      <c r="P12" s="4">
        <f>(VLOOKUP('18.04'!X12,'18.04'!$AM$4:$AP$55,4,FALSE))</f>
        <v>0</v>
      </c>
      <c r="Q12" s="4">
        <f>(VLOOKUP('18.04'!Y12,'18.04'!$AM$4:$AP$55,4,FALSE))</f>
        <v>34</v>
      </c>
      <c r="R12" s="4">
        <f>(VLOOKUP('18.04'!Z12,'18.04'!$AM$4:$AP$55,4,FALSE))</f>
        <v>34</v>
      </c>
      <c r="S12" s="4">
        <f>(VLOOKUP('18.04'!AA12,'18.04'!$AM$4:$AP$55,4,FALSE))</f>
        <v>0</v>
      </c>
      <c r="T12" s="4">
        <f>(VLOOKUP('18.04'!AB12,'18.04'!$AM$4:$AP$55,4,FALSE))</f>
        <v>0</v>
      </c>
      <c r="U12" s="4">
        <f>(VLOOKUP('18.04'!AC12,'18.04'!$AM$4:$AP$55,4,FALSE))</f>
        <v>0</v>
      </c>
      <c r="V12" s="4">
        <f>(VLOOKUP('18.04'!AD12,'18.04'!$AM$4:$AP$55,4,FALSE))</f>
        <v>0</v>
      </c>
      <c r="W12" s="4">
        <f>(VLOOKUP('18.04'!AE12,'18.04'!$AM$4:$AP$55,4,FALSE))</f>
        <v>0</v>
      </c>
      <c r="X12" s="4">
        <f>(VLOOKUP('18.04'!AF12,'18.04'!$AM$4:$AP$55,4,FALSE))</f>
        <v>0</v>
      </c>
    </row>
    <row r="13" spans="1:24">
      <c r="A13" s="4">
        <f>(VLOOKUP('18.04'!I13,'18.04'!$AM$4:$AP$55,4,FALSE))</f>
        <v>0</v>
      </c>
      <c r="B13" s="4">
        <f>(VLOOKUP('18.04'!J13,'18.04'!$AM$4:$AP$55,4,FALSE))</f>
        <v>44.222109392472248</v>
      </c>
      <c r="C13" s="4">
        <f>(VLOOKUP('18.04'!K13,'18.04'!$AM$4:$AP$55,4,FALSE))</f>
        <v>39.110982162825422</v>
      </c>
      <c r="D13" s="4">
        <f>(VLOOKUP('18.04'!L13,'18.04'!$AM$4:$AP$55,4,FALSE))</f>
        <v>39.110982162825422</v>
      </c>
      <c r="E13" s="4">
        <f>(VLOOKUP('18.04'!M13,'18.04'!$AM$4:$AP$55,4,FALSE))</f>
        <v>39.110982162825422</v>
      </c>
      <c r="F13" s="4">
        <f>(VLOOKUP('18.04'!N13,'18.04'!$AM$4:$AP$55,4,FALSE))</f>
        <v>10</v>
      </c>
      <c r="G13" s="4">
        <f>(VLOOKUP('18.04'!O13,'18.04'!$AM$4:$AP$55,4,FALSE))</f>
        <v>0</v>
      </c>
      <c r="H13" s="4">
        <f>(VLOOKUP('18.04'!P13,'18.04'!$AM$4:$AP$55,4,FALSE))</f>
        <v>0</v>
      </c>
      <c r="I13" s="4">
        <f>(VLOOKUP('18.04'!Q13,'18.04'!$AM$4:$AP$55,4,FALSE))</f>
        <v>34</v>
      </c>
      <c r="J13" s="4">
        <f>(VLOOKUP('18.04'!R13,'18.04'!$AM$4:$AP$55,4,FALSE))</f>
        <v>34</v>
      </c>
      <c r="K13" s="4">
        <f>(VLOOKUP('18.04'!S13,'18.04'!$AM$4:$AP$55,4,FALSE))</f>
        <v>10</v>
      </c>
      <c r="L13" s="4">
        <f>(VLOOKUP('18.04'!T13,'18.04'!$AM$4:$AP$55,4,FALSE))</f>
        <v>34</v>
      </c>
      <c r="M13" s="4">
        <f>(VLOOKUP('18.04'!U13,'18.04'!$AM$4:$AP$55,4,FALSE))</f>
        <v>34</v>
      </c>
      <c r="N13" s="4">
        <f>(VLOOKUP('18.04'!V13,'18.04'!$AM$4:$AP$55,4,FALSE))</f>
        <v>10</v>
      </c>
      <c r="O13" s="4">
        <f>(VLOOKUP('18.04'!W13,'18.04'!$AM$4:$AP$55,4,FALSE))</f>
        <v>34</v>
      </c>
      <c r="P13" s="4">
        <f>(VLOOKUP('18.04'!X13,'18.04'!$AM$4:$AP$55,4,FALSE))</f>
        <v>34</v>
      </c>
      <c r="Q13" s="4">
        <f>(VLOOKUP('18.04'!Y13,'18.04'!$AM$4:$AP$55,4,FALSE))</f>
        <v>0</v>
      </c>
      <c r="R13" s="4">
        <f>(VLOOKUP('18.04'!Z13,'18.04'!$AM$4:$AP$55,4,FALSE))</f>
        <v>36</v>
      </c>
      <c r="S13" s="4">
        <f>(VLOOKUP('18.04'!AA13,'18.04'!$AM$4:$AP$55,4,FALSE))</f>
        <v>10</v>
      </c>
      <c r="T13" s="4">
        <f>(VLOOKUP('18.04'!AB13,'18.04'!$AM$4:$AP$55,4,FALSE))</f>
        <v>36</v>
      </c>
      <c r="U13" s="4">
        <f>(VLOOKUP('18.04'!AC13,'18.04'!$AM$4:$AP$55,4,FALSE))</f>
        <v>0</v>
      </c>
      <c r="V13" s="4">
        <f>(VLOOKUP('18.04'!AD13,'18.04'!$AM$4:$AP$55,4,FALSE))</f>
        <v>0</v>
      </c>
      <c r="W13" s="4">
        <f>(VLOOKUP('18.04'!AE13,'18.04'!$AM$4:$AP$55,4,FALSE))</f>
        <v>10</v>
      </c>
      <c r="X13" s="4">
        <f>(VLOOKUP('18.04'!AF13,'18.04'!$AM$4:$AP$55,4,FALSE))</f>
        <v>0</v>
      </c>
    </row>
    <row r="14" spans="1:24">
      <c r="A14" s="4">
        <f>(VLOOKUP('18.04'!I14,'18.04'!$AM$4:$AP$55,4,FALSE))</f>
        <v>39.110982162825422</v>
      </c>
      <c r="B14" s="4">
        <f>(VLOOKUP('18.04'!J14,'18.04'!$AM$4:$AP$55,4,FALSE))</f>
        <v>39.110982162825422</v>
      </c>
      <c r="C14" s="4">
        <f>(VLOOKUP('18.04'!K14,'18.04'!$AM$4:$AP$55,4,FALSE))</f>
        <v>29.110982162825422</v>
      </c>
      <c r="D14" s="4">
        <f>(VLOOKUP('18.04'!L14,'18.04'!$AM$4:$AP$55,4,FALSE))</f>
        <v>39.110982162825422</v>
      </c>
      <c r="E14" s="4">
        <f>(VLOOKUP('18.04'!M14,'18.04'!$AM$4:$AP$55,4,FALSE))</f>
        <v>0</v>
      </c>
      <c r="F14" s="4">
        <f>(VLOOKUP('18.04'!N14,'18.04'!$AM$4:$AP$55,4,FALSE))</f>
        <v>0</v>
      </c>
      <c r="G14" s="4">
        <f>(VLOOKUP('18.04'!O14,'18.04'!$AM$4:$AP$55,4,FALSE))</f>
        <v>0</v>
      </c>
      <c r="H14" s="4">
        <f>(VLOOKUP('18.04'!P14,'18.04'!$AM$4:$AP$55,4,FALSE))</f>
        <v>0</v>
      </c>
      <c r="I14" s="4">
        <f>(VLOOKUP('18.04'!Q14,'18.04'!$AM$4:$AP$55,4,FALSE))</f>
        <v>34</v>
      </c>
      <c r="J14" s="4">
        <f>(VLOOKUP('18.04'!R14,'18.04'!$AM$4:$AP$55,4,FALSE))</f>
        <v>36</v>
      </c>
      <c r="K14" s="4">
        <f>(VLOOKUP('18.04'!S14,'18.04'!$AM$4:$AP$55,4,FALSE))</f>
        <v>36</v>
      </c>
      <c r="L14" s="4">
        <f>(VLOOKUP('18.04'!T14,'18.04'!$AM$4:$AP$55,4,FALSE))</f>
        <v>36</v>
      </c>
      <c r="M14" s="4">
        <f>(VLOOKUP('18.04'!U14,'18.04'!$AM$4:$AP$55,4,FALSE))</f>
        <v>36</v>
      </c>
      <c r="N14" s="4">
        <f>(VLOOKUP('18.04'!V14,'18.04'!$AM$4:$AP$55,4,FALSE))</f>
        <v>38</v>
      </c>
      <c r="O14" s="4">
        <f>(VLOOKUP('18.04'!W14,'18.04'!$AM$4:$AP$55,4,FALSE))</f>
        <v>0</v>
      </c>
      <c r="P14" s="4">
        <f>(VLOOKUP('18.04'!X14,'18.04'!$AM$4:$AP$55,4,FALSE))</f>
        <v>0</v>
      </c>
      <c r="Q14" s="4">
        <f>(VLOOKUP('18.04'!Y14,'18.04'!$AM$4:$AP$55,4,FALSE))</f>
        <v>0</v>
      </c>
      <c r="R14" s="4">
        <f>(VLOOKUP('18.04'!Z14,'18.04'!$AM$4:$AP$55,4,FALSE))</f>
        <v>0</v>
      </c>
      <c r="S14" s="4">
        <f>(VLOOKUP('18.04'!AA14,'18.04'!$AM$4:$AP$55,4,FALSE))</f>
        <v>0</v>
      </c>
      <c r="T14" s="4">
        <f>(VLOOKUP('18.04'!AB14,'18.04'!$AM$4:$AP$55,4,FALSE))</f>
        <v>0</v>
      </c>
      <c r="U14" s="4">
        <f>(VLOOKUP('18.04'!AC14,'18.04'!$AM$4:$AP$55,4,FALSE))</f>
        <v>0</v>
      </c>
      <c r="V14" s="4">
        <f>(VLOOKUP('18.04'!AD14,'18.04'!$AM$4:$AP$55,4,FALSE))</f>
        <v>0</v>
      </c>
      <c r="W14" s="4">
        <f>(VLOOKUP('18.04'!AE14,'18.04'!$AM$4:$AP$55,4,FALSE))</f>
        <v>0</v>
      </c>
      <c r="X14" s="4">
        <f>(VLOOKUP('18.04'!AF14,'18.04'!$AM$4:$AP$55,4,FALSE))</f>
        <v>0</v>
      </c>
    </row>
    <row r="15" spans="1:24">
      <c r="A15" s="4">
        <f>(VLOOKUP('18.04'!I15,'18.04'!$AM$4:$AP$55,4,FALSE))</f>
        <v>39.110982162825422</v>
      </c>
      <c r="B15" s="4">
        <f>(VLOOKUP('18.04'!J15,'18.04'!$AM$4:$AP$55,4,FALSE))</f>
        <v>10</v>
      </c>
      <c r="C15" s="4">
        <f>(VLOOKUP('18.04'!K15,'18.04'!$AM$4:$AP$55,4,FALSE))</f>
        <v>39.110982162825422</v>
      </c>
      <c r="D15" s="4">
        <f>(VLOOKUP('18.04'!L15,'18.04'!$AM$4:$AP$55,4,FALSE))</f>
        <v>39.110982162825422</v>
      </c>
      <c r="E15" s="4">
        <f>(VLOOKUP('18.04'!M15,'18.04'!$AM$4:$AP$55,4,FALSE))</f>
        <v>39.110982162825422</v>
      </c>
      <c r="F15" s="4">
        <f>(VLOOKUP('18.04'!N15,'18.04'!$AM$4:$AP$55,4,FALSE))</f>
        <v>10</v>
      </c>
      <c r="G15" s="4">
        <f>(VLOOKUP('18.04'!O15,'18.04'!$AM$4:$AP$55,4,FALSE))</f>
        <v>0</v>
      </c>
      <c r="H15" s="4">
        <f>(VLOOKUP('18.04'!P15,'18.04'!$AM$4:$AP$55,4,FALSE))</f>
        <v>0</v>
      </c>
      <c r="I15" s="4">
        <f>(VLOOKUP('18.04'!Q15,'18.04'!$AM$4:$AP$55,4,FALSE))</f>
        <v>38</v>
      </c>
      <c r="J15" s="4">
        <f>(VLOOKUP('18.04'!R15,'18.04'!$AM$4:$AP$55,4,FALSE))</f>
        <v>10</v>
      </c>
      <c r="K15" s="4">
        <f>(VLOOKUP('18.04'!S15,'18.04'!$AM$4:$AP$55,4,FALSE))</f>
        <v>38</v>
      </c>
      <c r="L15" s="4">
        <f>(VLOOKUP('18.04'!T15,'18.04'!$AM$4:$AP$55,4,FALSE))</f>
        <v>38</v>
      </c>
      <c r="M15" s="4">
        <f>(VLOOKUP('18.04'!U15,'18.04'!$AM$4:$AP$55,4,FALSE))</f>
        <v>38</v>
      </c>
      <c r="N15" s="4">
        <f>(VLOOKUP('18.04'!V15,'18.04'!$AM$4:$AP$55,4,FALSE))</f>
        <v>38</v>
      </c>
      <c r="O15" s="4">
        <f>(VLOOKUP('18.04'!W15,'18.04'!$AM$4:$AP$55,4,FALSE))</f>
        <v>10</v>
      </c>
      <c r="P15" s="4">
        <f>(VLOOKUP('18.04'!X15,'18.04'!$AM$4:$AP$55,4,FALSE))</f>
        <v>38</v>
      </c>
      <c r="Q15" s="4">
        <f>(VLOOKUP('18.04'!Y15,'18.04'!$AM$4:$AP$55,4,FALSE))</f>
        <v>0</v>
      </c>
      <c r="R15" s="4">
        <f>(VLOOKUP('18.04'!Z15,'18.04'!$AM$4:$AP$55,4,FALSE))</f>
        <v>0</v>
      </c>
      <c r="S15" s="4">
        <f>(VLOOKUP('18.04'!AA15,'18.04'!$AM$4:$AP$55,4,FALSE))</f>
        <v>0</v>
      </c>
      <c r="T15" s="4">
        <f>(VLOOKUP('18.04'!AB15,'18.04'!$AM$4:$AP$55,4,FALSE))</f>
        <v>0</v>
      </c>
      <c r="U15" s="4">
        <f>(VLOOKUP('18.04'!AC15,'18.04'!$AM$4:$AP$55,4,FALSE))</f>
        <v>0</v>
      </c>
      <c r="V15" s="4">
        <f>(VLOOKUP('18.04'!AD15,'18.04'!$AM$4:$AP$55,4,FALSE))</f>
        <v>0</v>
      </c>
      <c r="W15" s="4">
        <f>(VLOOKUP('18.04'!AE15,'18.04'!$AM$4:$AP$55,4,FALSE))</f>
        <v>0</v>
      </c>
      <c r="X15" s="4">
        <f>(VLOOKUP('18.04'!AF15,'18.04'!$AM$4:$AP$55,4,FALSE))</f>
        <v>0</v>
      </c>
    </row>
    <row r="16" spans="1:24">
      <c r="A16" s="4">
        <f>(VLOOKUP('18.04'!I16,'18.04'!$AM$4:$AP$55,4,FALSE))</f>
        <v>34</v>
      </c>
      <c r="B16" s="4">
        <f>(VLOOKUP('18.04'!J16,'18.04'!$AM$4:$AP$55,4,FALSE))</f>
        <v>34</v>
      </c>
      <c r="C16" s="4">
        <f>(VLOOKUP('18.04'!K16,'18.04'!$AM$4:$AP$55,4,FALSE))</f>
        <v>36</v>
      </c>
      <c r="D16" s="4">
        <f>(VLOOKUP('18.04'!L16,'18.04'!$AM$4:$AP$55,4,FALSE))</f>
        <v>10</v>
      </c>
      <c r="E16" s="4">
        <f>(VLOOKUP('18.04'!M16,'18.04'!$AM$4:$AP$55,4,FALSE))</f>
        <v>36</v>
      </c>
      <c r="F16" s="4">
        <f>(VLOOKUP('18.04'!N16,'18.04'!$AM$4:$AP$55,4,FALSE))</f>
        <v>36</v>
      </c>
      <c r="G16" s="4">
        <f>(VLOOKUP('18.04'!O16,'18.04'!$AM$4:$AP$55,4,FALSE))</f>
        <v>36</v>
      </c>
      <c r="H16" s="4">
        <f>(VLOOKUP('18.04'!P16,'18.04'!$AM$4:$AP$55,4,FALSE))</f>
        <v>0</v>
      </c>
      <c r="I16" s="4">
        <f>(VLOOKUP('18.04'!Q16,'18.04'!$AM$4:$AP$55,4,FALSE))</f>
        <v>38</v>
      </c>
      <c r="J16" s="4">
        <f>(VLOOKUP('18.04'!R16,'18.04'!$AM$4:$AP$55,4,FALSE))</f>
        <v>38</v>
      </c>
      <c r="K16" s="4">
        <f>(VLOOKUP('18.04'!S16,'18.04'!$AM$4:$AP$55,4,FALSE))</f>
        <v>36</v>
      </c>
      <c r="L16" s="4">
        <f>(VLOOKUP('18.04'!T16,'18.04'!$AM$4:$AP$55,4,FALSE))</f>
        <v>36</v>
      </c>
      <c r="M16" s="4">
        <f>(VLOOKUP('18.04'!U16,'18.04'!$AM$4:$AP$55,4,FALSE))</f>
        <v>36</v>
      </c>
      <c r="N16" s="4">
        <f>(VLOOKUP('18.04'!V16,'18.04'!$AM$4:$AP$55,4,FALSE))</f>
        <v>36</v>
      </c>
      <c r="O16" s="4">
        <f>(VLOOKUP('18.04'!W16,'18.04'!$AM$4:$AP$55,4,FALSE))</f>
        <v>0</v>
      </c>
      <c r="P16" s="4">
        <f>(VLOOKUP('18.04'!X16,'18.04'!$AM$4:$AP$55,4,FALSE))</f>
        <v>0</v>
      </c>
      <c r="Q16" s="4">
        <f>(VLOOKUP('18.04'!Y16,'18.04'!$AM$4:$AP$55,4,FALSE))</f>
        <v>0</v>
      </c>
      <c r="R16" s="4">
        <f>(VLOOKUP('18.04'!Z16,'18.04'!$AM$4:$AP$55,4,FALSE))</f>
        <v>0</v>
      </c>
      <c r="S16" s="4">
        <f>(VLOOKUP('18.04'!AA16,'18.04'!$AM$4:$AP$55,4,FALSE))</f>
        <v>0</v>
      </c>
      <c r="T16" s="4">
        <f>(VLOOKUP('18.04'!AB16,'18.04'!$AM$4:$AP$55,4,FALSE))</f>
        <v>0</v>
      </c>
      <c r="U16" s="4">
        <f>(VLOOKUP('18.04'!AC16,'18.04'!$AM$4:$AP$55,4,FALSE))</f>
        <v>0</v>
      </c>
      <c r="V16" s="4">
        <f>(VLOOKUP('18.04'!AD16,'18.04'!$AM$4:$AP$55,4,FALSE))</f>
        <v>0</v>
      </c>
      <c r="W16" s="4">
        <f>(VLOOKUP('18.04'!AE16,'18.04'!$AM$4:$AP$55,4,FALSE))</f>
        <v>0</v>
      </c>
      <c r="X16" s="4">
        <f>(VLOOKUP('18.04'!AF16,'18.04'!$AM$4:$AP$55,4,FALSE))</f>
        <v>0</v>
      </c>
    </row>
    <row r="17" spans="1:24">
      <c r="A17" s="4">
        <f>(VLOOKUP('18.04'!I17,'18.04'!$AM$4:$AP$55,4,FALSE))</f>
        <v>36</v>
      </c>
      <c r="B17" s="4">
        <f>(VLOOKUP('18.04'!J17,'18.04'!$AM$4:$AP$55,4,FALSE))</f>
        <v>36</v>
      </c>
      <c r="C17" s="4">
        <f>(VLOOKUP('18.04'!K17,'18.04'!$AM$4:$AP$55,4,FALSE))</f>
        <v>36</v>
      </c>
      <c r="D17" s="4">
        <f>(VLOOKUP('18.04'!L17,'18.04'!$AM$4:$AP$55,4,FALSE))</f>
        <v>36</v>
      </c>
      <c r="E17" s="4">
        <f>(VLOOKUP('18.04'!M17,'18.04'!$AM$4:$AP$55,4,FALSE))</f>
        <v>36</v>
      </c>
      <c r="F17" s="4">
        <f>(VLOOKUP('18.04'!N17,'18.04'!$AM$4:$AP$55,4,FALSE))</f>
        <v>0</v>
      </c>
      <c r="G17" s="4">
        <f>(VLOOKUP('18.04'!O17,'18.04'!$AM$4:$AP$55,4,FALSE))</f>
        <v>0</v>
      </c>
      <c r="H17" s="4">
        <f>(VLOOKUP('18.04'!P17,'18.04'!$AM$4:$AP$55,4,FALSE))</f>
        <v>10</v>
      </c>
      <c r="I17" s="4">
        <f>(VLOOKUP('18.04'!Q17,'18.04'!$AM$4:$AP$55,4,FALSE))</f>
        <v>36</v>
      </c>
      <c r="J17" s="4">
        <f>(VLOOKUP('18.04'!R17,'18.04'!$AM$4:$AP$55,4,FALSE))</f>
        <v>36</v>
      </c>
      <c r="K17" s="4">
        <f>(VLOOKUP('18.04'!S17,'18.04'!$AM$4:$AP$55,4,FALSE))</f>
        <v>36</v>
      </c>
      <c r="L17" s="4">
        <f>(VLOOKUP('18.04'!T17,'18.04'!$AM$4:$AP$55,4,FALSE))</f>
        <v>36</v>
      </c>
      <c r="M17" s="4">
        <f>(VLOOKUP('18.04'!U17,'18.04'!$AM$4:$AP$55,4,FALSE))</f>
        <v>10</v>
      </c>
      <c r="N17" s="4">
        <f>(VLOOKUP('18.04'!V17,'18.04'!$AM$4:$AP$55,4,FALSE))</f>
        <v>0</v>
      </c>
      <c r="O17" s="4">
        <f>(VLOOKUP('18.04'!W17,'18.04'!$AM$4:$AP$55,4,FALSE))</f>
        <v>0</v>
      </c>
      <c r="P17" s="4">
        <f>(VLOOKUP('18.04'!X17,'18.04'!$AM$4:$AP$55,4,FALSE))</f>
        <v>0</v>
      </c>
      <c r="Q17" s="4">
        <f>(VLOOKUP('18.04'!Y17,'18.04'!$AM$4:$AP$55,4,FALSE))</f>
        <v>0</v>
      </c>
      <c r="R17" s="4">
        <f>(VLOOKUP('18.04'!Z17,'18.04'!$AM$4:$AP$55,4,FALSE))</f>
        <v>0</v>
      </c>
      <c r="S17" s="4">
        <f>(VLOOKUP('18.04'!AA17,'18.04'!$AM$4:$AP$55,4,FALSE))</f>
        <v>36</v>
      </c>
      <c r="T17" s="4">
        <f>(VLOOKUP('18.04'!AB17,'18.04'!$AM$4:$AP$55,4,FALSE))</f>
        <v>0</v>
      </c>
      <c r="U17" s="4">
        <f>(VLOOKUP('18.04'!AC17,'18.04'!$AM$4:$AP$55,4,FALSE))</f>
        <v>0</v>
      </c>
      <c r="V17" s="4">
        <f>(VLOOKUP('18.04'!AD17,'18.04'!$AM$4:$AP$55,4,FALSE))</f>
        <v>0</v>
      </c>
      <c r="W17" s="4">
        <f>(VLOOKUP('18.04'!AE17,'18.04'!$AM$4:$AP$55,4,FALSE))</f>
        <v>0</v>
      </c>
      <c r="X17" s="4">
        <f>(VLOOKUP('18.04'!AF17,'18.04'!$AM$4:$AP$55,4,FALSE))</f>
        <v>0</v>
      </c>
    </row>
    <row r="18" spans="1:24">
      <c r="A18" s="4">
        <f>(VLOOKUP('18.04'!I18,'18.04'!$AM$4:$AP$55,4,FALSE))</f>
        <v>0</v>
      </c>
      <c r="B18" s="4">
        <f>(VLOOKUP('18.04'!J18,'18.04'!$AM$4:$AP$55,4,FALSE))</f>
        <v>0</v>
      </c>
      <c r="C18" s="4">
        <f>(VLOOKUP('18.04'!K18,'18.04'!$AM$4:$AP$55,4,FALSE))</f>
        <v>0</v>
      </c>
      <c r="D18" s="4">
        <f>(VLOOKUP('18.04'!L18,'18.04'!$AM$4:$AP$55,4,FALSE))</f>
        <v>0</v>
      </c>
      <c r="E18" s="4">
        <f>(VLOOKUP('18.04'!M18,'18.04'!$AM$4:$AP$55,4,FALSE))</f>
        <v>0</v>
      </c>
      <c r="F18" s="4">
        <f>(VLOOKUP('18.04'!N18,'18.04'!$AM$4:$AP$55,4,FALSE))</f>
        <v>0</v>
      </c>
      <c r="G18" s="4">
        <f>(VLOOKUP('18.04'!O18,'18.04'!$AM$4:$AP$55,4,FALSE))</f>
        <v>0</v>
      </c>
      <c r="H18" s="4">
        <f>(VLOOKUP('18.04'!P18,'18.04'!$AM$4:$AP$55,4,FALSE))</f>
        <v>0</v>
      </c>
      <c r="I18" s="4">
        <f>(VLOOKUP('18.04'!Q18,'18.04'!$AM$4:$AP$55,4,FALSE))</f>
        <v>0</v>
      </c>
      <c r="J18" s="4">
        <f>(VLOOKUP('18.04'!R18,'18.04'!$AM$4:$AP$55,4,FALSE))</f>
        <v>0</v>
      </c>
      <c r="K18" s="4">
        <f>(VLOOKUP('18.04'!S18,'18.04'!$AM$4:$AP$55,4,FALSE))</f>
        <v>0</v>
      </c>
      <c r="L18" s="4">
        <f>(VLOOKUP('18.04'!T18,'18.04'!$AM$4:$AP$55,4,FALSE))</f>
        <v>0</v>
      </c>
      <c r="M18" s="4">
        <f>(VLOOKUP('18.04'!U18,'18.04'!$AM$4:$AP$55,4,FALSE))</f>
        <v>0</v>
      </c>
      <c r="N18" s="4">
        <f>(VLOOKUP('18.04'!V18,'18.04'!$AM$4:$AP$55,4,FALSE))</f>
        <v>0</v>
      </c>
      <c r="O18" s="4">
        <f>(VLOOKUP('18.04'!W18,'18.04'!$AM$4:$AP$55,4,FALSE))</f>
        <v>0</v>
      </c>
      <c r="P18" s="4">
        <f>(VLOOKUP('18.04'!X18,'18.04'!$AM$4:$AP$55,4,FALSE))</f>
        <v>0</v>
      </c>
      <c r="Q18" s="4">
        <f>(VLOOKUP('18.04'!Y18,'18.04'!$AM$4:$AP$55,4,FALSE))</f>
        <v>36</v>
      </c>
      <c r="R18" s="4">
        <f>(VLOOKUP('18.04'!Z18,'18.04'!$AM$4:$AP$55,4,FALSE))</f>
        <v>0</v>
      </c>
      <c r="S18" s="4">
        <f>(VLOOKUP('18.04'!AA18,'18.04'!$AM$4:$AP$55,4,FALSE))</f>
        <v>0</v>
      </c>
      <c r="T18" s="4">
        <f>(VLOOKUP('18.04'!AB18,'18.04'!$AM$4:$AP$55,4,FALSE))</f>
        <v>0</v>
      </c>
      <c r="U18" s="4">
        <f>(VLOOKUP('18.04'!AC18,'18.04'!$AM$4:$AP$55,4,FALSE))</f>
        <v>0</v>
      </c>
      <c r="V18" s="4">
        <f>(VLOOKUP('18.04'!AD18,'18.04'!$AM$4:$AP$55,4,FALSE))</f>
        <v>0</v>
      </c>
      <c r="W18" s="4">
        <f>(VLOOKUP('18.04'!AE18,'18.04'!$AM$4:$AP$55,4,FALSE))</f>
        <v>0</v>
      </c>
      <c r="X18" s="4">
        <f>(VLOOKUP('18.04'!AF18,'18.04'!$AM$4:$AP$55,4,FALSE))</f>
        <v>0</v>
      </c>
    </row>
    <row r="19" spans="1:24">
      <c r="A19" s="4">
        <f>(VLOOKUP('18.04'!I19,'18.04'!$AM$4:$AP$55,4,FALSE))</f>
        <v>0</v>
      </c>
      <c r="B19" s="4">
        <f>(VLOOKUP('18.04'!J19,'18.04'!$AM$4:$AP$55,4,FALSE))</f>
        <v>0</v>
      </c>
      <c r="C19" s="4">
        <f>(VLOOKUP('18.04'!K19,'18.04'!$AM$4:$AP$55,4,FALSE))</f>
        <v>0</v>
      </c>
      <c r="D19" s="4">
        <f>(VLOOKUP('18.04'!L19,'18.04'!$AM$4:$AP$55,4,FALSE))</f>
        <v>0</v>
      </c>
      <c r="E19" s="4">
        <f>(VLOOKUP('18.04'!M19,'18.04'!$AM$4:$AP$55,4,FALSE))</f>
        <v>0</v>
      </c>
      <c r="F19" s="4">
        <f>(VLOOKUP('18.04'!N19,'18.04'!$AM$4:$AP$55,4,FALSE))</f>
        <v>0</v>
      </c>
      <c r="G19" s="4">
        <f>(VLOOKUP('18.04'!O19,'18.04'!$AM$4:$AP$55,4,FALSE))</f>
        <v>10</v>
      </c>
      <c r="H19" s="4">
        <f>(VLOOKUP('18.04'!P19,'18.04'!$AM$4:$AP$55,4,FALSE))</f>
        <v>0</v>
      </c>
      <c r="I19" s="4">
        <f>(VLOOKUP('18.04'!Q19,'18.04'!$AM$4:$AP$55,4,FALSE))</f>
        <v>34</v>
      </c>
      <c r="J19" s="4">
        <f>(VLOOKUP('18.04'!R19,'18.04'!$AM$4:$AP$55,4,FALSE))</f>
        <v>34</v>
      </c>
      <c r="K19" s="4">
        <f>(VLOOKUP('18.04'!S19,'18.04'!$AM$4:$AP$55,4,FALSE))</f>
        <v>38</v>
      </c>
      <c r="L19" s="4">
        <f>(VLOOKUP('18.04'!T19,'18.04'!$AM$4:$AP$55,4,FALSE))</f>
        <v>38</v>
      </c>
      <c r="M19" s="4">
        <f>(VLOOKUP('18.04'!U19,'18.04'!$AM$4:$AP$55,4,FALSE))</f>
        <v>38</v>
      </c>
      <c r="N19" s="4">
        <f>(VLOOKUP('18.04'!V19,'18.04'!$AM$4:$AP$55,4,FALSE))</f>
        <v>0</v>
      </c>
      <c r="O19" s="4">
        <f>(VLOOKUP('18.04'!W19,'18.04'!$AM$4:$AP$55,4,FALSE))</f>
        <v>38</v>
      </c>
      <c r="P19" s="4">
        <f>(VLOOKUP('18.04'!X19,'18.04'!$AM$4:$AP$55,4,FALSE))</f>
        <v>38</v>
      </c>
      <c r="Q19" s="4">
        <f>(VLOOKUP('18.04'!Y19,'18.04'!$AM$4:$AP$55,4,FALSE))</f>
        <v>0</v>
      </c>
      <c r="R19" s="4">
        <f>(VLOOKUP('18.04'!Z19,'18.04'!$AM$4:$AP$55,4,FALSE))</f>
        <v>0</v>
      </c>
      <c r="S19" s="4">
        <f>(VLOOKUP('18.04'!AA19,'18.04'!$AM$4:$AP$55,4,FALSE))</f>
        <v>0</v>
      </c>
      <c r="T19" s="4">
        <f>(VLOOKUP('18.04'!AB19,'18.04'!$AM$4:$AP$55,4,FALSE))</f>
        <v>0</v>
      </c>
      <c r="U19" s="4">
        <f>(VLOOKUP('18.04'!AC19,'18.04'!$AM$4:$AP$55,4,FALSE))</f>
        <v>0</v>
      </c>
      <c r="V19" s="4">
        <f>(VLOOKUP('18.04'!AD19,'18.04'!$AM$4:$AP$55,4,FALSE))</f>
        <v>0</v>
      </c>
      <c r="W19" s="4">
        <f>(VLOOKUP('18.04'!AE19,'18.04'!$AM$4:$AP$55,4,FALSE))</f>
        <v>0</v>
      </c>
      <c r="X19" s="4">
        <f>(VLOOKUP('18.04'!AF19,'18.04'!$AM$4:$AP$55,4,FALSE))</f>
        <v>0</v>
      </c>
    </row>
    <row r="20" spans="1:24">
      <c r="A20" s="4">
        <f>(VLOOKUP('18.04'!I20,'18.04'!$AM$4:$AP$55,4,FALSE))</f>
        <v>0</v>
      </c>
      <c r="B20" s="4">
        <f>(VLOOKUP('18.04'!J20,'18.04'!$AM$4:$AP$55,4,FALSE))</f>
        <v>0</v>
      </c>
      <c r="C20" s="4">
        <f>(VLOOKUP('18.04'!K20,'18.04'!$AM$4:$AP$55,4,FALSE))</f>
        <v>0</v>
      </c>
      <c r="D20" s="4">
        <f>(VLOOKUP('18.04'!L20,'18.04'!$AM$4:$AP$55,4,FALSE))</f>
        <v>0</v>
      </c>
      <c r="E20" s="4">
        <f>(VLOOKUP('18.04'!M20,'18.04'!$AM$4:$AP$55,4,FALSE))</f>
        <v>0</v>
      </c>
      <c r="F20" s="4">
        <f>(VLOOKUP('18.04'!N20,'18.04'!$AM$4:$AP$55,4,FALSE))</f>
        <v>0</v>
      </c>
      <c r="G20" s="4">
        <f>(VLOOKUP('18.04'!O20,'18.04'!$AM$4:$AP$55,4,FALSE))</f>
        <v>0</v>
      </c>
      <c r="H20" s="4">
        <f>(VLOOKUP('18.04'!P20,'18.04'!$AM$4:$AP$55,4,FALSE))</f>
        <v>0</v>
      </c>
      <c r="I20" s="4">
        <f>(VLOOKUP('18.04'!Q20,'18.04'!$AM$4:$AP$55,4,FALSE))</f>
        <v>38</v>
      </c>
      <c r="J20" s="4">
        <f>(VLOOKUP('18.04'!R20,'18.04'!$AM$4:$AP$55,4,FALSE))</f>
        <v>38</v>
      </c>
      <c r="K20" s="4">
        <f>(VLOOKUP('18.04'!S20,'18.04'!$AM$4:$AP$55,4,FALSE))</f>
        <v>38</v>
      </c>
      <c r="L20" s="4">
        <f>(VLOOKUP('18.04'!T20,'18.04'!$AM$4:$AP$55,4,FALSE))</f>
        <v>38</v>
      </c>
      <c r="M20" s="4">
        <f>(VLOOKUP('18.04'!U20,'18.04'!$AM$4:$AP$55,4,FALSE))</f>
        <v>10</v>
      </c>
      <c r="N20" s="4">
        <f>(VLOOKUP('18.04'!V20,'18.04'!$AM$4:$AP$55,4,FALSE))</f>
        <v>0</v>
      </c>
      <c r="O20" s="4">
        <f>(VLOOKUP('18.04'!W20,'18.04'!$AM$4:$AP$55,4,FALSE))</f>
        <v>0</v>
      </c>
      <c r="P20" s="4">
        <f>(VLOOKUP('18.04'!X20,'18.04'!$AM$4:$AP$55,4,FALSE))</f>
        <v>0</v>
      </c>
      <c r="Q20" s="4">
        <f>(VLOOKUP('18.04'!Y20,'18.04'!$AM$4:$AP$55,4,FALSE))</f>
        <v>0</v>
      </c>
      <c r="R20" s="4">
        <f>(VLOOKUP('18.04'!Z20,'18.04'!$AM$4:$AP$55,4,FALSE))</f>
        <v>0</v>
      </c>
      <c r="S20" s="4">
        <f>(VLOOKUP('18.04'!AA20,'18.04'!$AM$4:$AP$55,4,FALSE))</f>
        <v>0</v>
      </c>
      <c r="T20" s="4">
        <f>(VLOOKUP('18.04'!AB20,'18.04'!$AM$4:$AP$55,4,FALSE))</f>
        <v>0</v>
      </c>
      <c r="U20" s="4">
        <f>(VLOOKUP('18.04'!AC20,'18.04'!$AM$4:$AP$55,4,FALSE))</f>
        <v>0</v>
      </c>
      <c r="V20" s="4">
        <f>(VLOOKUP('18.04'!AD20,'18.04'!$AM$4:$AP$55,4,FALSE))</f>
        <v>0</v>
      </c>
      <c r="W20" s="4">
        <f>(VLOOKUP('18.04'!AE20,'18.04'!$AM$4:$AP$55,4,FALSE))</f>
        <v>0</v>
      </c>
      <c r="X20" s="4">
        <f>(VLOOKUP('18.04'!AF20,'18.04'!$AM$4:$AP$55,4,FALSE))</f>
        <v>0</v>
      </c>
    </row>
    <row r="21" spans="1:24">
      <c r="A21" s="4">
        <f>(VLOOKUP('18.04'!I21,'18.04'!$AM$4:$AP$55,4,FALSE))</f>
        <v>0</v>
      </c>
      <c r="B21" s="4">
        <f>(VLOOKUP('18.04'!J21,'18.04'!$AM$4:$AP$55,4,FALSE))</f>
        <v>0</v>
      </c>
      <c r="C21" s="4">
        <f>(VLOOKUP('18.04'!K21,'18.04'!$AM$4:$AP$55,4,FALSE))</f>
        <v>0</v>
      </c>
      <c r="D21" s="4">
        <f>(VLOOKUP('18.04'!L21,'18.04'!$AM$4:$AP$55,4,FALSE))</f>
        <v>0</v>
      </c>
      <c r="E21" s="4">
        <f>(VLOOKUP('18.04'!M21,'18.04'!$AM$4:$AP$55,4,FALSE))</f>
        <v>0</v>
      </c>
      <c r="F21" s="4">
        <f>(VLOOKUP('18.04'!N21,'18.04'!$AM$4:$AP$55,4,FALSE))</f>
        <v>0</v>
      </c>
      <c r="G21" s="4">
        <f>(VLOOKUP('18.04'!O21,'18.04'!$AM$4:$AP$55,4,FALSE))</f>
        <v>0</v>
      </c>
      <c r="H21" s="4">
        <f>(VLOOKUP('18.04'!P21,'18.04'!$AM$4:$AP$55,4,FALSE))</f>
        <v>0</v>
      </c>
      <c r="I21" s="4">
        <f>(VLOOKUP('18.04'!Q21,'18.04'!$AM$4:$AP$55,4,FALSE))</f>
        <v>0</v>
      </c>
      <c r="J21" s="4">
        <f>(VLOOKUP('18.04'!R21,'18.04'!$AM$4:$AP$55,4,FALSE))</f>
        <v>0</v>
      </c>
      <c r="K21" s="4">
        <f>(VLOOKUP('18.04'!S21,'18.04'!$AM$4:$AP$55,4,FALSE))</f>
        <v>0</v>
      </c>
      <c r="L21" s="4">
        <f>(VLOOKUP('18.04'!T21,'18.04'!$AM$4:$AP$55,4,FALSE))</f>
        <v>0</v>
      </c>
      <c r="M21" s="4">
        <f>(VLOOKUP('18.04'!U21,'18.04'!$AM$4:$AP$55,4,FALSE))</f>
        <v>0</v>
      </c>
      <c r="N21" s="4">
        <f>(VLOOKUP('18.04'!V21,'18.04'!$AM$4:$AP$55,4,FALSE))</f>
        <v>0</v>
      </c>
      <c r="O21" s="4">
        <f>(VLOOKUP('18.04'!W21,'18.04'!$AM$4:$AP$55,4,FALSE))</f>
        <v>0</v>
      </c>
      <c r="P21" s="4">
        <f>(VLOOKUP('18.04'!X21,'18.04'!$AM$4:$AP$55,4,FALSE))</f>
        <v>0</v>
      </c>
      <c r="Q21" s="4">
        <f>(VLOOKUP('18.04'!Y21,'18.04'!$AM$4:$AP$55,4,FALSE))</f>
        <v>36</v>
      </c>
      <c r="R21" s="4">
        <f>(VLOOKUP('18.04'!Z21,'18.04'!$AM$4:$AP$55,4,FALSE))</f>
        <v>0</v>
      </c>
      <c r="S21" s="4">
        <f>(VLOOKUP('18.04'!AA21,'18.04'!$AM$4:$AP$55,4,FALSE))</f>
        <v>36</v>
      </c>
      <c r="T21" s="4">
        <f>(VLOOKUP('18.04'!AB21,'18.04'!$AM$4:$AP$55,4,FALSE))</f>
        <v>0</v>
      </c>
      <c r="U21" s="4">
        <f>(VLOOKUP('18.04'!AC21,'18.04'!$AM$4:$AP$55,4,FALSE))</f>
        <v>0</v>
      </c>
      <c r="V21" s="4">
        <f>(VLOOKUP('18.04'!AD21,'18.04'!$AM$4:$AP$55,4,FALSE))</f>
        <v>0</v>
      </c>
      <c r="W21" s="4">
        <f>(VLOOKUP('18.04'!AE21,'18.04'!$AM$4:$AP$55,4,FALSE))</f>
        <v>0</v>
      </c>
      <c r="X21" s="4">
        <f>(VLOOKUP('18.04'!AF21,'18.04'!$AM$4:$AP$55,4,FALSE))</f>
        <v>0</v>
      </c>
    </row>
    <row r="22" spans="1:24">
      <c r="A22" s="4">
        <f>(VLOOKUP('18.04'!I22,'18.04'!$AM$4:$AP$55,4,FALSE))</f>
        <v>34</v>
      </c>
      <c r="B22" s="4">
        <f>(VLOOKUP('18.04'!J22,'18.04'!$AM$4:$AP$55,4,FALSE))</f>
        <v>34</v>
      </c>
      <c r="C22" s="4">
        <f>(VLOOKUP('18.04'!K22,'18.04'!$AM$4:$AP$55,4,FALSE))</f>
        <v>34</v>
      </c>
      <c r="D22" s="4">
        <f>(VLOOKUP('18.04'!L22,'18.04'!$AM$4:$AP$55,4,FALSE))</f>
        <v>34</v>
      </c>
      <c r="E22" s="4">
        <f>(VLOOKUP('18.04'!M22,'18.04'!$AM$4:$AP$55,4,FALSE))</f>
        <v>34</v>
      </c>
      <c r="F22" s="4">
        <f>(VLOOKUP('18.04'!N22,'18.04'!$AM$4:$AP$55,4,FALSE))</f>
        <v>34</v>
      </c>
      <c r="G22" s="4">
        <f>(VLOOKUP('18.04'!O22,'18.04'!$AM$4:$AP$55,4,FALSE))</f>
        <v>0</v>
      </c>
      <c r="H22" s="4">
        <f>(VLOOKUP('18.04'!P22,'18.04'!$AM$4:$AP$55,4,FALSE))</f>
        <v>0</v>
      </c>
      <c r="I22" s="4">
        <f>(VLOOKUP('18.04'!Q22,'18.04'!$AM$4:$AP$55,4,FALSE))</f>
        <v>0</v>
      </c>
      <c r="J22" s="4">
        <f>(VLOOKUP('18.04'!R22,'18.04'!$AM$4:$AP$55,4,FALSE))</f>
        <v>0</v>
      </c>
      <c r="K22" s="4">
        <f>(VLOOKUP('18.04'!S22,'18.04'!$AM$4:$AP$55,4,FALSE))</f>
        <v>0</v>
      </c>
      <c r="L22" s="4">
        <f>(VLOOKUP('18.04'!T22,'18.04'!$AM$4:$AP$55,4,FALSE))</f>
        <v>0</v>
      </c>
      <c r="M22" s="4">
        <f>(VLOOKUP('18.04'!U22,'18.04'!$AM$4:$AP$55,4,FALSE))</f>
        <v>0</v>
      </c>
      <c r="N22" s="4">
        <f>(VLOOKUP('18.04'!V22,'18.04'!$AM$4:$AP$55,4,FALSE))</f>
        <v>0</v>
      </c>
      <c r="O22" s="4">
        <f>(VLOOKUP('18.04'!W22,'18.04'!$AM$4:$AP$55,4,FALSE))</f>
        <v>0</v>
      </c>
      <c r="P22" s="4">
        <f>(VLOOKUP('18.04'!X22,'18.04'!$AM$4:$AP$55,4,FALSE))</f>
        <v>0</v>
      </c>
      <c r="Q22" s="4">
        <f>(VLOOKUP('18.04'!Y22,'18.04'!$AM$4:$AP$55,4,FALSE))</f>
        <v>0</v>
      </c>
      <c r="R22" s="4">
        <f>(VLOOKUP('18.04'!Z22,'18.04'!$AM$4:$AP$55,4,FALSE))</f>
        <v>0</v>
      </c>
      <c r="S22" s="4">
        <f>(VLOOKUP('18.04'!AA22,'18.04'!$AM$4:$AP$55,4,FALSE))</f>
        <v>38</v>
      </c>
      <c r="T22" s="4">
        <f>(VLOOKUP('18.04'!AB22,'18.04'!$AM$4:$AP$55,4,FALSE))</f>
        <v>38</v>
      </c>
      <c r="U22" s="4">
        <f>(VLOOKUP('18.04'!AC22,'18.04'!$AM$4:$AP$55,4,FALSE))</f>
        <v>38</v>
      </c>
      <c r="V22" s="4">
        <f>(VLOOKUP('18.04'!AD22,'18.04'!$AM$4:$AP$55,4,FALSE))</f>
        <v>0</v>
      </c>
      <c r="W22" s="4">
        <f>(VLOOKUP('18.04'!AE22,'18.04'!$AM$4:$AP$55,4,FALSE))</f>
        <v>0</v>
      </c>
      <c r="X22" s="4">
        <f>(VLOOKUP('18.04'!AF22,'18.04'!$AM$4:$AP$55,4,FALSE))</f>
        <v>0</v>
      </c>
    </row>
    <row r="23" spans="1:24">
      <c r="A23" s="4">
        <f>(VLOOKUP('18.04'!I23,'18.04'!$AM$4:$AP$55,4,FALSE))</f>
        <v>34</v>
      </c>
      <c r="B23" s="4">
        <f>(VLOOKUP('18.04'!J23,'18.04'!$AM$4:$AP$55,4,FALSE))</f>
        <v>34</v>
      </c>
      <c r="C23" s="4">
        <f>(VLOOKUP('18.04'!K23,'18.04'!$AM$4:$AP$55,4,FALSE))</f>
        <v>34</v>
      </c>
      <c r="D23" s="4">
        <f>(VLOOKUP('18.04'!L23,'18.04'!$AM$4:$AP$55,4,FALSE))</f>
        <v>34</v>
      </c>
      <c r="E23" s="4">
        <f>(VLOOKUP('18.04'!M23,'18.04'!$AM$4:$AP$55,4,FALSE))</f>
        <v>36</v>
      </c>
      <c r="F23" s="4">
        <f>(VLOOKUP('18.04'!N23,'18.04'!$AM$4:$AP$55,4,FALSE))</f>
        <v>0</v>
      </c>
      <c r="G23" s="4">
        <f>(VLOOKUP('18.04'!O23,'18.04'!$AM$4:$AP$55,4,FALSE))</f>
        <v>0</v>
      </c>
      <c r="H23" s="4">
        <f>(VLOOKUP('18.04'!P23,'18.04'!$AM$4:$AP$55,4,FALSE))</f>
        <v>0</v>
      </c>
      <c r="I23" s="4">
        <f>(VLOOKUP('18.04'!Q23,'18.04'!$AM$4:$AP$55,4,FALSE))</f>
        <v>0</v>
      </c>
      <c r="J23" s="4">
        <f>(VLOOKUP('18.04'!R23,'18.04'!$AM$4:$AP$55,4,FALSE))</f>
        <v>0</v>
      </c>
      <c r="K23" s="4">
        <f>(VLOOKUP('18.04'!S23,'18.04'!$AM$4:$AP$55,4,FALSE))</f>
        <v>0</v>
      </c>
      <c r="L23" s="4">
        <f>(VLOOKUP('18.04'!T23,'18.04'!$AM$4:$AP$55,4,FALSE))</f>
        <v>0</v>
      </c>
      <c r="M23" s="4">
        <f>(VLOOKUP('18.04'!U23,'18.04'!$AM$4:$AP$55,4,FALSE))</f>
        <v>0</v>
      </c>
      <c r="N23" s="4">
        <f>(VLOOKUP('18.04'!V23,'18.04'!$AM$4:$AP$55,4,FALSE))</f>
        <v>0</v>
      </c>
      <c r="O23" s="4">
        <f>(VLOOKUP('18.04'!W23,'18.04'!$AM$4:$AP$55,4,FALSE))</f>
        <v>0</v>
      </c>
      <c r="P23" s="4">
        <f>(VLOOKUP('18.04'!X23,'18.04'!$AM$4:$AP$55,4,FALSE))</f>
        <v>0</v>
      </c>
      <c r="Q23" s="4">
        <f>(VLOOKUP('18.04'!Y23,'18.04'!$AM$4:$AP$55,4,FALSE))</f>
        <v>38</v>
      </c>
      <c r="R23" s="4">
        <f>(VLOOKUP('18.04'!Z23,'18.04'!$AM$4:$AP$55,4,FALSE))</f>
        <v>38</v>
      </c>
      <c r="S23" s="4">
        <f>(VLOOKUP('18.04'!AA23,'18.04'!$AM$4:$AP$55,4,FALSE))</f>
        <v>38</v>
      </c>
      <c r="T23" s="4">
        <f>(VLOOKUP('18.04'!AB23,'18.04'!$AM$4:$AP$55,4,FALSE))</f>
        <v>38</v>
      </c>
      <c r="U23" s="4">
        <f>(VLOOKUP('18.04'!AC23,'18.04'!$AM$4:$AP$55,4,FALSE))</f>
        <v>38</v>
      </c>
      <c r="V23" s="4">
        <f>(VLOOKUP('18.04'!AD23,'18.04'!$AM$4:$AP$55,4,FALSE))</f>
        <v>38</v>
      </c>
      <c r="W23" s="4">
        <f>(VLOOKUP('18.04'!AE23,'18.04'!$AM$4:$AP$55,4,FALSE))</f>
        <v>0</v>
      </c>
      <c r="X23" s="4">
        <f>(VLOOKUP('18.04'!AF23,'18.04'!$AM$4:$AP$55,4,FALSE))</f>
        <v>0</v>
      </c>
    </row>
    <row r="24" spans="1:24">
      <c r="A24" s="4">
        <f>(VLOOKUP('18.04'!I24,'18.04'!$AM$4:$AP$55,4,FALSE))</f>
        <v>36</v>
      </c>
      <c r="B24" s="4">
        <f>(VLOOKUP('18.04'!J24,'18.04'!$AM$4:$AP$55,4,FALSE))</f>
        <v>10</v>
      </c>
      <c r="C24" s="4">
        <f>(VLOOKUP('18.04'!K24,'18.04'!$AM$4:$AP$55,4,FALSE))</f>
        <v>36</v>
      </c>
      <c r="D24" s="4">
        <f>(VLOOKUP('18.04'!L24,'18.04'!$AM$4:$AP$55,4,FALSE))</f>
        <v>36</v>
      </c>
      <c r="E24" s="4">
        <f>(VLOOKUP('18.04'!M24,'18.04'!$AM$4:$AP$55,4,FALSE))</f>
        <v>36</v>
      </c>
      <c r="F24" s="4">
        <f>(VLOOKUP('18.04'!N24,'18.04'!$AM$4:$AP$55,4,FALSE))</f>
        <v>36</v>
      </c>
      <c r="G24" s="4">
        <f>(VLOOKUP('18.04'!O24,'18.04'!$AM$4:$AP$55,4,FALSE))</f>
        <v>36</v>
      </c>
      <c r="H24" s="4">
        <f>(VLOOKUP('18.04'!P24,'18.04'!$AM$4:$AP$55,4,FALSE))</f>
        <v>10</v>
      </c>
      <c r="I24" s="4">
        <f>(VLOOKUP('18.04'!Q24,'18.04'!$AM$4:$AP$55,4,FALSE))</f>
        <v>0</v>
      </c>
      <c r="J24" s="4">
        <f>(VLOOKUP('18.04'!R24,'18.04'!$AM$4:$AP$55,4,FALSE))</f>
        <v>0</v>
      </c>
      <c r="K24" s="4">
        <f>(VLOOKUP('18.04'!S24,'18.04'!$AM$4:$AP$55,4,FALSE))</f>
        <v>0</v>
      </c>
      <c r="L24" s="4">
        <f>(VLOOKUP('18.04'!T24,'18.04'!$AM$4:$AP$55,4,FALSE))</f>
        <v>0</v>
      </c>
      <c r="M24" s="4">
        <f>(VLOOKUP('18.04'!U24,'18.04'!$AM$4:$AP$55,4,FALSE))</f>
        <v>0</v>
      </c>
      <c r="N24" s="4">
        <f>(VLOOKUP('18.04'!V24,'18.04'!$AM$4:$AP$55,4,FALSE))</f>
        <v>0</v>
      </c>
      <c r="O24" s="4">
        <f>(VLOOKUP('18.04'!W24,'18.04'!$AM$4:$AP$55,4,FALSE))</f>
        <v>0</v>
      </c>
      <c r="P24" s="4">
        <f>(VLOOKUP('18.04'!X24,'18.04'!$AM$4:$AP$55,4,FALSE))</f>
        <v>0</v>
      </c>
      <c r="Q24" s="4">
        <f>(VLOOKUP('18.04'!Y24,'18.04'!$AM$4:$AP$55,4,FALSE))</f>
        <v>38</v>
      </c>
      <c r="R24" s="4">
        <f>(VLOOKUP('18.04'!Z24,'18.04'!$AM$4:$AP$55,4,FALSE))</f>
        <v>38</v>
      </c>
      <c r="S24" s="4">
        <f>(VLOOKUP('18.04'!AA24,'18.04'!$AM$4:$AP$55,4,FALSE))</f>
        <v>38</v>
      </c>
      <c r="T24" s="4">
        <f>(VLOOKUP('18.04'!AB24,'18.04'!$AM$4:$AP$55,4,FALSE))</f>
        <v>10</v>
      </c>
      <c r="U24" s="4">
        <f>(VLOOKUP('18.04'!AC24,'18.04'!$AM$4:$AP$55,4,FALSE))</f>
        <v>0</v>
      </c>
      <c r="V24" s="4">
        <f>(VLOOKUP('18.04'!AD24,'18.04'!$AM$4:$AP$55,4,FALSE))</f>
        <v>0</v>
      </c>
      <c r="W24" s="4">
        <f>(VLOOKUP('18.04'!AE24,'18.04'!$AM$4:$AP$55,4,FALSE))</f>
        <v>0</v>
      </c>
      <c r="X24" s="4">
        <f>(VLOOKUP('18.04'!AF24,'18.04'!$AM$4:$AP$55,4,FALSE))</f>
        <v>0</v>
      </c>
    </row>
    <row r="25" spans="1:24">
      <c r="A25" s="4">
        <f>(VLOOKUP('18.04'!I25,'18.04'!$AM$4:$AP$55,4,FALSE))</f>
        <v>0</v>
      </c>
      <c r="B25" s="4">
        <f>(VLOOKUP('18.04'!J25,'18.04'!$AM$4:$AP$55,4,FALSE))</f>
        <v>0</v>
      </c>
      <c r="C25" s="4">
        <f>(VLOOKUP('18.04'!K25,'18.04'!$AM$4:$AP$55,4,FALSE))</f>
        <v>0</v>
      </c>
      <c r="D25" s="4">
        <f>(VLOOKUP('18.04'!L25,'18.04'!$AM$4:$AP$55,4,FALSE))</f>
        <v>0</v>
      </c>
      <c r="E25" s="4">
        <f>(VLOOKUP('18.04'!M25,'18.04'!$AM$4:$AP$55,4,FALSE))</f>
        <v>0</v>
      </c>
      <c r="F25" s="4">
        <f>(VLOOKUP('18.04'!N25,'18.04'!$AM$4:$AP$55,4,FALSE))</f>
        <v>0</v>
      </c>
      <c r="G25" s="4">
        <f>(VLOOKUP('18.04'!O25,'18.04'!$AM$4:$AP$55,4,FALSE))</f>
        <v>0</v>
      </c>
      <c r="H25" s="4">
        <f>(VLOOKUP('18.04'!P25,'18.04'!$AM$4:$AP$55,4,FALSE))</f>
        <v>0</v>
      </c>
      <c r="I25" s="4">
        <f>(VLOOKUP('18.04'!Q25,'18.04'!$AM$4:$AP$55,4,FALSE))</f>
        <v>0</v>
      </c>
      <c r="J25" s="4">
        <f>(VLOOKUP('18.04'!R25,'18.04'!$AM$4:$AP$55,4,FALSE))</f>
        <v>0</v>
      </c>
      <c r="K25" s="4">
        <f>(VLOOKUP('18.04'!S25,'18.04'!$AM$4:$AP$55,4,FALSE))</f>
        <v>0</v>
      </c>
      <c r="L25" s="4">
        <f>(VLOOKUP('18.04'!T25,'18.04'!$AM$4:$AP$55,4,FALSE))</f>
        <v>0</v>
      </c>
      <c r="M25" s="4">
        <f>(VLOOKUP('18.04'!U25,'18.04'!$AM$4:$AP$55,4,FALSE))</f>
        <v>0</v>
      </c>
      <c r="N25" s="4">
        <f>(VLOOKUP('18.04'!V25,'18.04'!$AM$4:$AP$55,4,FALSE))</f>
        <v>0</v>
      </c>
      <c r="O25" s="4">
        <f>(VLOOKUP('18.04'!W25,'18.04'!$AM$4:$AP$55,4,FALSE))</f>
        <v>0</v>
      </c>
      <c r="P25" s="4">
        <f>(VLOOKUP('18.04'!X25,'18.04'!$AM$4:$AP$55,4,FALSE))</f>
        <v>0</v>
      </c>
      <c r="Q25" s="4">
        <f>(VLOOKUP('18.04'!Y25,'18.04'!$AM$4:$AP$55,4,FALSE))</f>
        <v>0</v>
      </c>
      <c r="R25" s="4">
        <f>(VLOOKUP('18.04'!Z25,'18.04'!$AM$4:$AP$55,4,FALSE))</f>
        <v>0</v>
      </c>
      <c r="S25" s="4">
        <f>(VLOOKUP('18.04'!AA25,'18.04'!$AM$4:$AP$55,4,FALSE))</f>
        <v>0</v>
      </c>
      <c r="T25" s="4">
        <f>(VLOOKUP('18.04'!AB25,'18.04'!$AM$4:$AP$55,4,FALSE))</f>
        <v>0</v>
      </c>
      <c r="U25" s="4">
        <f>(VLOOKUP('18.04'!AC25,'18.04'!$AM$4:$AP$55,4,FALSE))</f>
        <v>0</v>
      </c>
      <c r="V25" s="4">
        <f>(VLOOKUP('18.04'!AD25,'18.04'!$AM$4:$AP$55,4,FALSE))</f>
        <v>0</v>
      </c>
      <c r="W25" s="4">
        <f>(VLOOKUP('18.04'!AE25,'18.04'!$AM$4:$AP$55,4,FALSE))</f>
        <v>0</v>
      </c>
      <c r="X25" s="4">
        <f>(VLOOKUP('18.04'!AF25,'18.04'!$AM$4:$AP$55,4,FALSE))</f>
        <v>0</v>
      </c>
    </row>
    <row r="26" spans="1:24">
      <c r="A26" s="4">
        <f>(VLOOKUP('18.04'!I26,'18.04'!$AM$4:$AP$55,4,FALSE))</f>
        <v>0</v>
      </c>
      <c r="B26" s="4">
        <f>(VLOOKUP('18.04'!J26,'18.04'!$AM$4:$AP$55,4,FALSE))</f>
        <v>0</v>
      </c>
      <c r="C26" s="4">
        <f>(VLOOKUP('18.04'!K26,'18.04'!$AM$4:$AP$55,4,FALSE))</f>
        <v>0</v>
      </c>
      <c r="D26" s="4">
        <f>(VLOOKUP('18.04'!L26,'18.04'!$AM$4:$AP$55,4,FALSE))</f>
        <v>0</v>
      </c>
      <c r="E26" s="4">
        <f>(VLOOKUP('18.04'!M26,'18.04'!$AM$4:$AP$55,4,FALSE))</f>
        <v>0</v>
      </c>
      <c r="F26" s="4">
        <f>(VLOOKUP('18.04'!N26,'18.04'!$AM$4:$AP$55,4,FALSE))</f>
        <v>0</v>
      </c>
      <c r="G26" s="4">
        <f>(VLOOKUP('18.04'!O26,'18.04'!$AM$4:$AP$55,4,FALSE))</f>
        <v>0</v>
      </c>
      <c r="H26" s="4">
        <f>(VLOOKUP('18.04'!P26,'18.04'!$AM$4:$AP$55,4,FALSE))</f>
        <v>0</v>
      </c>
      <c r="I26" s="4">
        <f>(VLOOKUP('18.04'!Q26,'18.04'!$AM$4:$AP$55,4,FALSE))</f>
        <v>0</v>
      </c>
      <c r="J26" s="4">
        <f>(VLOOKUP('18.04'!R26,'18.04'!$AM$4:$AP$55,4,FALSE))</f>
        <v>0</v>
      </c>
      <c r="K26" s="4">
        <f>(VLOOKUP('18.04'!S26,'18.04'!$AM$4:$AP$55,4,FALSE))</f>
        <v>0</v>
      </c>
      <c r="L26" s="4">
        <f>(VLOOKUP('18.04'!T26,'18.04'!$AM$4:$AP$55,4,FALSE))</f>
        <v>0</v>
      </c>
      <c r="M26" s="4">
        <f>(VLOOKUP('18.04'!U26,'18.04'!$AM$4:$AP$55,4,FALSE))</f>
        <v>0</v>
      </c>
      <c r="N26" s="4">
        <f>(VLOOKUP('18.04'!V26,'18.04'!$AM$4:$AP$55,4,FALSE))</f>
        <v>0</v>
      </c>
      <c r="O26" s="4">
        <f>(VLOOKUP('18.04'!W26,'18.04'!$AM$4:$AP$55,4,FALSE))</f>
        <v>0</v>
      </c>
      <c r="P26" s="4">
        <f>(VLOOKUP('18.04'!X26,'18.04'!$AM$4:$AP$55,4,FALSE))</f>
        <v>0</v>
      </c>
      <c r="Q26" s="4">
        <f>(VLOOKUP('18.04'!Y26,'18.04'!$AM$4:$AP$55,4,FALSE))</f>
        <v>0</v>
      </c>
      <c r="R26" s="4">
        <f>(VLOOKUP('18.04'!Z26,'18.04'!$AM$4:$AP$55,4,FALSE))</f>
        <v>0</v>
      </c>
      <c r="S26" s="4">
        <f>(VLOOKUP('18.04'!AA26,'18.04'!$AM$4:$AP$55,4,FALSE))</f>
        <v>0</v>
      </c>
      <c r="T26" s="4">
        <f>(VLOOKUP('18.04'!AB26,'18.04'!$AM$4:$AP$55,4,FALSE))</f>
        <v>0</v>
      </c>
      <c r="U26" s="4">
        <f>(VLOOKUP('18.04'!AC26,'18.04'!$AM$4:$AP$55,4,FALSE))</f>
        <v>0</v>
      </c>
      <c r="V26" s="4">
        <f>(VLOOKUP('18.04'!AD26,'18.04'!$AM$4:$AP$55,4,FALSE))</f>
        <v>0</v>
      </c>
      <c r="W26" s="4">
        <f>(VLOOKUP('18.04'!AE26,'18.04'!$AM$4:$AP$55,4,FALSE))</f>
        <v>0</v>
      </c>
      <c r="X26" s="4">
        <f>(VLOOKUP('18.04'!AF26,'18.04'!$AM$4:$AP$55,4,FALSE))</f>
        <v>0</v>
      </c>
    </row>
    <row r="27" spans="1:24">
      <c r="A27" s="4">
        <f>(VLOOKUP('18.04'!I27,'18.04'!$AM$4:$AP$55,4,FALSE))</f>
        <v>29.110982162825422</v>
      </c>
      <c r="B27" s="4">
        <f>(VLOOKUP('18.04'!J27,'18.04'!$AM$4:$AP$55,4,FALSE))</f>
        <v>0</v>
      </c>
      <c r="C27" s="4">
        <f>(VLOOKUP('18.04'!K27,'18.04'!$AM$4:$AP$55,4,FALSE))</f>
        <v>0</v>
      </c>
      <c r="D27" s="4">
        <f>(VLOOKUP('18.04'!L27,'18.04'!$AM$4:$AP$55,4,FALSE))</f>
        <v>0</v>
      </c>
      <c r="E27" s="4">
        <f>(VLOOKUP('18.04'!M27,'18.04'!$AM$4:$AP$55,4,FALSE))</f>
        <v>0</v>
      </c>
      <c r="F27" s="4">
        <f>(VLOOKUP('18.04'!N27,'18.04'!$AM$4:$AP$55,4,FALSE))</f>
        <v>0</v>
      </c>
      <c r="G27" s="4">
        <f>(VLOOKUP('18.04'!O27,'18.04'!$AM$4:$AP$55,4,FALSE))</f>
        <v>0</v>
      </c>
      <c r="H27" s="4">
        <f>(VLOOKUP('18.04'!P27,'18.04'!$AM$4:$AP$55,4,FALSE))</f>
        <v>0</v>
      </c>
      <c r="I27" s="4">
        <f>(VLOOKUP('18.04'!Q27,'18.04'!$AM$4:$AP$55,4,FALSE))</f>
        <v>0</v>
      </c>
      <c r="J27" s="4">
        <f>(VLOOKUP('18.04'!R27,'18.04'!$AM$4:$AP$55,4,FALSE))</f>
        <v>0</v>
      </c>
      <c r="K27" s="4">
        <f>(VLOOKUP('18.04'!S27,'18.04'!$AM$4:$AP$55,4,FALSE))</f>
        <v>0</v>
      </c>
      <c r="L27" s="4">
        <f>(VLOOKUP('18.04'!T27,'18.04'!$AM$4:$AP$55,4,FALSE))</f>
        <v>0</v>
      </c>
      <c r="M27" s="4">
        <f>(VLOOKUP('18.04'!U27,'18.04'!$AM$4:$AP$55,4,FALSE))</f>
        <v>0</v>
      </c>
      <c r="N27" s="4">
        <f>(VLOOKUP('18.04'!V27,'18.04'!$AM$4:$AP$55,4,FALSE))</f>
        <v>0</v>
      </c>
      <c r="O27" s="4">
        <f>(VLOOKUP('18.04'!W27,'18.04'!$AM$4:$AP$55,4,FALSE))</f>
        <v>0</v>
      </c>
      <c r="P27" s="4">
        <f>(VLOOKUP('18.04'!X27,'18.04'!$AM$4:$AP$55,4,FALSE))</f>
        <v>0</v>
      </c>
      <c r="Q27" s="4">
        <f>(VLOOKUP('18.04'!Y27,'18.04'!$AM$4:$AP$55,4,FALSE))</f>
        <v>0</v>
      </c>
      <c r="R27" s="4">
        <f>(VLOOKUP('18.04'!Z27,'18.04'!$AM$4:$AP$55,4,FALSE))</f>
        <v>0</v>
      </c>
      <c r="S27" s="4">
        <f>(VLOOKUP('18.04'!AA27,'18.04'!$AM$4:$AP$55,4,FALSE))</f>
        <v>0</v>
      </c>
      <c r="T27" s="4">
        <f>(VLOOKUP('18.04'!AB27,'18.04'!$AM$4:$AP$55,4,FALSE))</f>
        <v>0</v>
      </c>
      <c r="U27" s="4">
        <f>(VLOOKUP('18.04'!AC27,'18.04'!$AM$4:$AP$55,4,FALSE))</f>
        <v>0</v>
      </c>
      <c r="V27" s="4">
        <f>(VLOOKUP('18.04'!AD27,'18.04'!$AM$4:$AP$55,4,FALSE))</f>
        <v>0</v>
      </c>
      <c r="W27" s="4">
        <f>(VLOOKUP('18.04'!AE27,'18.04'!$AM$4:$AP$55,4,FALSE))</f>
        <v>0</v>
      </c>
      <c r="X27" s="4">
        <f>(VLOOKUP('18.04'!AF27,'18.04'!$AM$4:$AP$55,4,FALSE))</f>
        <v>0</v>
      </c>
    </row>
    <row r="28" spans="1:24">
      <c r="A28" s="4">
        <f>(VLOOKUP('18.04'!I28,'18.04'!$AM$4:$AP$55,4,FALSE))</f>
        <v>39.110982162825422</v>
      </c>
      <c r="B28" s="4">
        <f>(VLOOKUP('18.04'!J28,'18.04'!$AM$4:$AP$55,4,FALSE))</f>
        <v>10</v>
      </c>
      <c r="C28" s="4">
        <f>(VLOOKUP('18.04'!K28,'18.04'!$AM$4:$AP$55,4,FALSE))</f>
        <v>0</v>
      </c>
      <c r="D28" s="4">
        <f>(VLOOKUP('18.04'!L28,'18.04'!$AM$4:$AP$55,4,FALSE))</f>
        <v>0</v>
      </c>
      <c r="E28" s="4">
        <f>(VLOOKUP('18.04'!M28,'18.04'!$AM$4:$AP$55,4,FALSE))</f>
        <v>0</v>
      </c>
      <c r="F28" s="4">
        <f>(VLOOKUP('18.04'!N28,'18.04'!$AM$4:$AP$55,4,FALSE))</f>
        <v>0</v>
      </c>
      <c r="G28" s="4">
        <f>(VLOOKUP('18.04'!O28,'18.04'!$AM$4:$AP$55,4,FALSE))</f>
        <v>0</v>
      </c>
      <c r="H28" s="4">
        <f>(VLOOKUP('18.04'!P28,'18.04'!$AM$4:$AP$55,4,FALSE))</f>
        <v>0</v>
      </c>
      <c r="I28" s="4">
        <f>(VLOOKUP('18.04'!Q28,'18.04'!$AM$4:$AP$55,4,FALSE))</f>
        <v>10</v>
      </c>
      <c r="J28" s="4">
        <f>(VLOOKUP('18.04'!R28,'18.04'!$AM$4:$AP$55,4,FALSE))</f>
        <v>0</v>
      </c>
      <c r="K28" s="4">
        <f>(VLOOKUP('18.04'!S28,'18.04'!$AM$4:$AP$55,4,FALSE))</f>
        <v>0</v>
      </c>
      <c r="L28" s="4">
        <f>(VLOOKUP('18.04'!T28,'18.04'!$AM$4:$AP$55,4,FALSE))</f>
        <v>0</v>
      </c>
      <c r="M28" s="4">
        <f>(VLOOKUP('18.04'!U28,'18.04'!$AM$4:$AP$55,4,FALSE))</f>
        <v>0</v>
      </c>
      <c r="N28" s="4">
        <f>(VLOOKUP('18.04'!V28,'18.04'!$AM$4:$AP$55,4,FALSE))</f>
        <v>0</v>
      </c>
      <c r="O28" s="4">
        <f>(VLOOKUP('18.04'!W28,'18.04'!$AM$4:$AP$55,4,FALSE))</f>
        <v>0</v>
      </c>
      <c r="P28" s="4">
        <f>(VLOOKUP('18.04'!X28,'18.04'!$AM$4:$AP$55,4,FALSE))</f>
        <v>0</v>
      </c>
      <c r="Q28" s="4">
        <f>(VLOOKUP('18.04'!Y28,'18.04'!$AM$4:$AP$55,4,FALSE))</f>
        <v>0</v>
      </c>
      <c r="R28" s="4">
        <f>(VLOOKUP('18.04'!Z28,'18.04'!$AM$4:$AP$55,4,FALSE))</f>
        <v>0</v>
      </c>
      <c r="S28" s="4">
        <f>(VLOOKUP('18.04'!AA28,'18.04'!$AM$4:$AP$55,4,FALSE))</f>
        <v>0</v>
      </c>
      <c r="T28" s="4">
        <f>(VLOOKUP('18.04'!AB28,'18.04'!$AM$4:$AP$55,4,FALSE))</f>
        <v>0</v>
      </c>
      <c r="U28" s="4">
        <f>(VLOOKUP('18.04'!AC28,'18.04'!$AM$4:$AP$55,4,FALSE))</f>
        <v>0</v>
      </c>
      <c r="V28" s="4">
        <f>(VLOOKUP('18.04'!AD28,'18.04'!$AM$4:$AP$55,4,FALSE))</f>
        <v>0</v>
      </c>
      <c r="W28" s="4">
        <f>(VLOOKUP('18.04'!AE28,'18.04'!$AM$4:$AP$55,4,FALSE))</f>
        <v>0</v>
      </c>
      <c r="X28" s="4">
        <f>(VLOOKUP('18.04'!AF28,'18.04'!$AM$4:$AP$55,4,FALSE))</f>
        <v>0</v>
      </c>
    </row>
    <row r="29" spans="1:24">
      <c r="A29" s="4">
        <f>(VLOOKUP('18.04'!I29,'18.04'!$AM$4:$AP$55,4,FALSE))</f>
        <v>10</v>
      </c>
      <c r="B29" s="4">
        <f>(VLOOKUP('18.04'!J29,'18.04'!$AM$4:$AP$55,4,FALSE))</f>
        <v>39.110982162825422</v>
      </c>
      <c r="C29" s="4">
        <f>(VLOOKUP('18.04'!K29,'18.04'!$AM$4:$AP$55,4,FALSE))</f>
        <v>39.110982162825422</v>
      </c>
      <c r="D29" s="4">
        <f>(VLOOKUP('18.04'!L29,'18.04'!$AM$4:$AP$55,4,FALSE))</f>
        <v>39.110982162825422</v>
      </c>
      <c r="E29" s="4">
        <f>(VLOOKUP('18.04'!M29,'18.04'!$AM$4:$AP$55,4,FALSE))</f>
        <v>10</v>
      </c>
      <c r="F29" s="4">
        <f>(VLOOKUP('18.04'!N29,'18.04'!$AM$4:$AP$55,4,FALSE))</f>
        <v>0</v>
      </c>
      <c r="G29" s="4">
        <f>(VLOOKUP('18.04'!O29,'18.04'!$AM$4:$AP$55,4,FALSE))</f>
        <v>0</v>
      </c>
      <c r="H29" s="4">
        <f>(VLOOKUP('18.04'!P29,'18.04'!$AM$4:$AP$55,4,FALSE))</f>
        <v>0</v>
      </c>
      <c r="I29" s="4">
        <f>(VLOOKUP('18.04'!Q29,'18.04'!$AM$4:$AP$55,4,FALSE))</f>
        <v>0</v>
      </c>
      <c r="J29" s="4">
        <f>(VLOOKUP('18.04'!R29,'18.04'!$AM$4:$AP$55,4,FALSE))</f>
        <v>0</v>
      </c>
      <c r="K29" s="4">
        <f>(VLOOKUP('18.04'!S29,'18.04'!$AM$4:$AP$55,4,FALSE))</f>
        <v>0</v>
      </c>
      <c r="L29" s="4">
        <f>(VLOOKUP('18.04'!T29,'18.04'!$AM$4:$AP$55,4,FALSE))</f>
        <v>0</v>
      </c>
      <c r="M29" s="4">
        <f>(VLOOKUP('18.04'!U29,'18.04'!$AM$4:$AP$55,4,FALSE))</f>
        <v>0</v>
      </c>
      <c r="N29" s="4">
        <f>(VLOOKUP('18.04'!V29,'18.04'!$AM$4:$AP$55,4,FALSE))</f>
        <v>0</v>
      </c>
      <c r="O29" s="4">
        <f>(VLOOKUP('18.04'!W29,'18.04'!$AM$4:$AP$55,4,FALSE))</f>
        <v>0</v>
      </c>
      <c r="P29" s="4">
        <f>(VLOOKUP('18.04'!X29,'18.04'!$AM$4:$AP$55,4,FALSE))</f>
        <v>0</v>
      </c>
      <c r="Q29" s="4">
        <f>(VLOOKUP('18.04'!Y29,'18.04'!$AM$4:$AP$55,4,FALSE))</f>
        <v>0</v>
      </c>
      <c r="R29" s="4">
        <f>(VLOOKUP('18.04'!Z29,'18.04'!$AM$4:$AP$55,4,FALSE))</f>
        <v>0</v>
      </c>
      <c r="S29" s="4">
        <f>(VLOOKUP('18.04'!AA29,'18.04'!$AM$4:$AP$55,4,FALSE))</f>
        <v>0</v>
      </c>
      <c r="T29" s="4">
        <f>(VLOOKUP('18.04'!AB29,'18.04'!$AM$4:$AP$55,4,FALSE))</f>
        <v>0</v>
      </c>
      <c r="U29" s="4">
        <f>(VLOOKUP('18.04'!AC29,'18.04'!$AM$4:$AP$55,4,FALSE))</f>
        <v>0</v>
      </c>
      <c r="V29" s="4">
        <f>(VLOOKUP('18.04'!AD29,'18.04'!$AM$4:$AP$55,4,FALSE))</f>
        <v>0</v>
      </c>
      <c r="W29" s="4">
        <f>(VLOOKUP('18.04'!AE29,'18.04'!$AM$4:$AP$55,4,FALSE))</f>
        <v>0</v>
      </c>
      <c r="X29" s="4">
        <f>(VLOOKUP('18.04'!AF29,'18.04'!$AM$4:$AP$55,4,FALSE))</f>
        <v>0</v>
      </c>
    </row>
    <row r="30" spans="1:24">
      <c r="A30" s="4">
        <f>(VLOOKUP('18.04'!I30,'18.04'!$AM$4:$AP$55,4,FALSE))</f>
        <v>29.110982162825422</v>
      </c>
      <c r="B30" s="4">
        <f>(VLOOKUP('18.04'!J30,'18.04'!$AM$4:$AP$55,4,FALSE))</f>
        <v>39.110982162825422</v>
      </c>
      <c r="C30" s="4">
        <f>(VLOOKUP('18.04'!K30,'18.04'!$AM$4:$AP$55,4,FALSE))</f>
        <v>39.110982162825422</v>
      </c>
      <c r="D30" s="4">
        <f>(VLOOKUP('18.04'!L30,'18.04'!$AM$4:$AP$55,4,FALSE))</f>
        <v>10</v>
      </c>
      <c r="E30" s="4">
        <f>(VLOOKUP('18.04'!M30,'18.04'!$AM$4:$AP$55,4,FALSE))</f>
        <v>0</v>
      </c>
      <c r="F30" s="4">
        <f>(VLOOKUP('18.04'!N30,'18.04'!$AM$4:$AP$55,4,FALSE))</f>
        <v>0</v>
      </c>
      <c r="G30" s="4">
        <f>(VLOOKUP('18.04'!O30,'18.04'!$AM$4:$AP$55,4,FALSE))</f>
        <v>0</v>
      </c>
      <c r="H30" s="4">
        <f>(VLOOKUP('18.04'!P30,'18.04'!$AM$4:$AP$55,4,FALSE))</f>
        <v>0</v>
      </c>
      <c r="I30" s="4">
        <f>(VLOOKUP('18.04'!Q30,'18.04'!$AM$4:$AP$55,4,FALSE))</f>
        <v>0</v>
      </c>
      <c r="J30" s="4">
        <f>(VLOOKUP('18.04'!R30,'18.04'!$AM$4:$AP$55,4,FALSE))</f>
        <v>0</v>
      </c>
      <c r="K30" s="4">
        <f>(VLOOKUP('18.04'!S30,'18.04'!$AM$4:$AP$55,4,FALSE))</f>
        <v>0</v>
      </c>
      <c r="L30" s="4">
        <f>(VLOOKUP('18.04'!T30,'18.04'!$AM$4:$AP$55,4,FALSE))</f>
        <v>0</v>
      </c>
      <c r="M30" s="4">
        <f>(VLOOKUP('18.04'!U30,'18.04'!$AM$4:$AP$55,4,FALSE))</f>
        <v>0</v>
      </c>
      <c r="N30" s="4">
        <f>(VLOOKUP('18.04'!V30,'18.04'!$AM$4:$AP$55,4,FALSE))</f>
        <v>0</v>
      </c>
      <c r="O30" s="4">
        <f>(VLOOKUP('18.04'!W30,'18.04'!$AM$4:$AP$55,4,FALSE))</f>
        <v>0</v>
      </c>
      <c r="P30" s="4">
        <f>(VLOOKUP('18.04'!X30,'18.04'!$AM$4:$AP$55,4,FALSE))</f>
        <v>0</v>
      </c>
      <c r="Q30" s="4">
        <f>(VLOOKUP('18.04'!Y30,'18.04'!$AM$4:$AP$55,4,FALSE))</f>
        <v>0</v>
      </c>
      <c r="R30" s="4">
        <f>(VLOOKUP('18.04'!Z30,'18.04'!$AM$4:$AP$55,4,FALSE))</f>
        <v>0</v>
      </c>
      <c r="S30" s="4">
        <f>(VLOOKUP('18.04'!AA30,'18.04'!$AM$4:$AP$55,4,FALSE))</f>
        <v>0</v>
      </c>
      <c r="T30" s="4">
        <f>(VLOOKUP('18.04'!AB30,'18.04'!$AM$4:$AP$55,4,FALSE))</f>
        <v>0</v>
      </c>
      <c r="U30" s="4">
        <f>(VLOOKUP('18.04'!AC30,'18.04'!$AM$4:$AP$55,4,FALSE))</f>
        <v>0</v>
      </c>
      <c r="V30" s="4">
        <f>(VLOOKUP('18.04'!AD30,'18.04'!$AM$4:$AP$55,4,FALSE))</f>
        <v>0</v>
      </c>
      <c r="W30" s="4">
        <f>(VLOOKUP('18.04'!AE30,'18.04'!$AM$4:$AP$55,4,FALSE))</f>
        <v>0</v>
      </c>
      <c r="X30" s="4">
        <f>(VLOOKUP('18.04'!AF30,'18.04'!$AM$4:$AP$55,4,FALSE))</f>
        <v>0</v>
      </c>
    </row>
    <row r="31" spans="1:24">
      <c r="A31" s="4">
        <f>(VLOOKUP('18.04'!I31,'18.04'!$AM$4:$AP$55,4,FALSE))</f>
        <v>0</v>
      </c>
      <c r="B31" s="4">
        <f>(VLOOKUP('18.04'!J31,'18.04'!$AM$4:$AP$55,4,FALSE))</f>
        <v>0</v>
      </c>
      <c r="C31" s="4">
        <f>(VLOOKUP('18.04'!K31,'18.04'!$AM$4:$AP$55,4,FALSE))</f>
        <v>0</v>
      </c>
      <c r="D31" s="4">
        <f>(VLOOKUP('18.04'!L31,'18.04'!$AM$4:$AP$55,4,FALSE))</f>
        <v>0</v>
      </c>
      <c r="E31" s="4">
        <f>(VLOOKUP('18.04'!M31,'18.04'!$AM$4:$AP$55,4,FALSE))</f>
        <v>0</v>
      </c>
      <c r="F31" s="4">
        <f>(VLOOKUP('18.04'!N31,'18.04'!$AM$4:$AP$55,4,FALSE))</f>
        <v>0</v>
      </c>
      <c r="G31" s="4">
        <f>(VLOOKUP('18.04'!O31,'18.04'!$AM$4:$AP$55,4,FALSE))</f>
        <v>0</v>
      </c>
      <c r="H31" s="4">
        <f>(VLOOKUP('18.04'!P31,'18.04'!$AM$4:$AP$55,4,FALSE))</f>
        <v>0</v>
      </c>
      <c r="I31" s="4">
        <f>(VLOOKUP('18.04'!Q31,'18.04'!$AM$4:$AP$55,4,FALSE))</f>
        <v>0</v>
      </c>
      <c r="J31" s="4">
        <f>(VLOOKUP('18.04'!R31,'18.04'!$AM$4:$AP$55,4,FALSE))</f>
        <v>0</v>
      </c>
      <c r="K31" s="4">
        <f>(VLOOKUP('18.04'!S31,'18.04'!$AM$4:$AP$55,4,FALSE))</f>
        <v>0</v>
      </c>
      <c r="L31" s="4">
        <f>(VLOOKUP('18.04'!T31,'18.04'!$AM$4:$AP$55,4,FALSE))</f>
        <v>0</v>
      </c>
      <c r="M31" s="4">
        <f>(VLOOKUP('18.04'!U31,'18.04'!$AM$4:$AP$55,4,FALSE))</f>
        <v>0</v>
      </c>
      <c r="N31" s="4">
        <f>(VLOOKUP('18.04'!V31,'18.04'!$AM$4:$AP$55,4,FALSE))</f>
        <v>0</v>
      </c>
      <c r="O31" s="4">
        <f>(VLOOKUP('18.04'!W31,'18.04'!$AM$4:$AP$55,4,FALSE))</f>
        <v>0</v>
      </c>
      <c r="P31" s="4">
        <f>(VLOOKUP('18.04'!X31,'18.04'!$AM$4:$AP$55,4,FALSE))</f>
        <v>0</v>
      </c>
      <c r="Q31" s="4">
        <f>(VLOOKUP('18.04'!Y31,'18.04'!$AM$4:$AP$55,4,FALSE))</f>
        <v>0</v>
      </c>
      <c r="R31" s="4">
        <f>(VLOOKUP('18.04'!Z31,'18.04'!$AM$4:$AP$55,4,FALSE))</f>
        <v>0</v>
      </c>
      <c r="S31" s="4">
        <f>(VLOOKUP('18.04'!AA31,'18.04'!$AM$4:$AP$55,4,FALSE))</f>
        <v>0</v>
      </c>
      <c r="T31" s="4">
        <f>(VLOOKUP('18.04'!AB31,'18.04'!$AM$4:$AP$55,4,FALSE))</f>
        <v>0</v>
      </c>
      <c r="U31" s="4">
        <f>(VLOOKUP('18.04'!AC31,'18.04'!$AM$4:$AP$55,4,FALSE))</f>
        <v>0</v>
      </c>
      <c r="V31" s="4">
        <f>(VLOOKUP('18.04'!AD31,'18.04'!$AM$4:$AP$55,4,FALSE))</f>
        <v>0</v>
      </c>
      <c r="W31" s="4">
        <f>(VLOOKUP('18.04'!AE31,'18.04'!$AM$4:$AP$55,4,FALSE))</f>
        <v>0</v>
      </c>
      <c r="X31" s="4">
        <f>(VLOOKUP('18.04'!AF31,'18.04'!$AM$4:$AP$55,4,FALSE))</f>
        <v>0</v>
      </c>
    </row>
    <row r="32" spans="1:24">
      <c r="A32" s="4">
        <f>(VLOOKUP('18.04'!I32,'18.04'!$AM$4:$AP$55,4,FALSE))</f>
        <v>34</v>
      </c>
      <c r="B32" s="4">
        <f>(VLOOKUP('18.04'!J32,'18.04'!$AM$4:$AP$55,4,FALSE))</f>
        <v>34</v>
      </c>
      <c r="C32" s="4">
        <f>(VLOOKUP('18.04'!K32,'18.04'!$AM$4:$AP$55,4,FALSE))</f>
        <v>34</v>
      </c>
      <c r="D32" s="4">
        <f>(VLOOKUP('18.04'!L32,'18.04'!$AM$4:$AP$55,4,FALSE))</f>
        <v>34</v>
      </c>
      <c r="E32" s="4">
        <f>(VLOOKUP('18.04'!M32,'18.04'!$AM$4:$AP$55,4,FALSE))</f>
        <v>34</v>
      </c>
      <c r="F32" s="4">
        <f>(VLOOKUP('18.04'!N32,'18.04'!$AM$4:$AP$55,4,FALSE))</f>
        <v>34</v>
      </c>
      <c r="G32" s="4">
        <f>(VLOOKUP('18.04'!O32,'18.04'!$AM$4:$AP$55,4,FALSE))</f>
        <v>34</v>
      </c>
      <c r="H32" s="4">
        <f>(VLOOKUP('18.04'!P32,'18.04'!$AM$4:$AP$55,4,FALSE))</f>
        <v>0</v>
      </c>
      <c r="I32" s="4">
        <f>(VLOOKUP('18.04'!Q32,'18.04'!$AM$4:$AP$55,4,FALSE))</f>
        <v>38</v>
      </c>
      <c r="J32" s="4">
        <f>(VLOOKUP('18.04'!R32,'18.04'!$AM$4:$AP$55,4,FALSE))</f>
        <v>38</v>
      </c>
      <c r="K32" s="4">
        <f>(VLOOKUP('18.04'!S32,'18.04'!$AM$4:$AP$55,4,FALSE))</f>
        <v>38</v>
      </c>
      <c r="L32" s="4">
        <f>(VLOOKUP('18.04'!T32,'18.04'!$AM$4:$AP$55,4,FALSE))</f>
        <v>38</v>
      </c>
      <c r="M32" s="4">
        <f>(VLOOKUP('18.04'!U32,'18.04'!$AM$4:$AP$55,4,FALSE))</f>
        <v>38</v>
      </c>
      <c r="N32" s="4">
        <f>(VLOOKUP('18.04'!V32,'18.04'!$AM$4:$AP$55,4,FALSE))</f>
        <v>38</v>
      </c>
      <c r="O32" s="4">
        <f>(VLOOKUP('18.04'!W32,'18.04'!$AM$4:$AP$55,4,FALSE))</f>
        <v>38</v>
      </c>
      <c r="P32" s="4">
        <f>(VLOOKUP('18.04'!X32,'18.04'!$AM$4:$AP$55,4,FALSE))</f>
        <v>38</v>
      </c>
      <c r="Q32" s="4">
        <f>(VLOOKUP('18.04'!Y32,'18.04'!$AM$4:$AP$55,4,FALSE))</f>
        <v>13.999854933178597</v>
      </c>
      <c r="R32" s="4">
        <f>(VLOOKUP('18.04'!Z32,'18.04'!$AM$4:$AP$55,4,FALSE))</f>
        <v>13.999854933178597</v>
      </c>
      <c r="S32" s="4">
        <f>(VLOOKUP('18.04'!AA32,'18.04'!$AM$4:$AP$55,4,FALSE))</f>
        <v>13.999854933178597</v>
      </c>
      <c r="T32" s="4">
        <f>(VLOOKUP('18.04'!AB32,'18.04'!$AM$4:$AP$55,4,FALSE))</f>
        <v>13.999854933178597</v>
      </c>
      <c r="U32" s="4">
        <f>(VLOOKUP('18.04'!AC32,'18.04'!$AM$4:$AP$55,4,FALSE))</f>
        <v>0</v>
      </c>
      <c r="V32" s="4">
        <f>(VLOOKUP('18.04'!AD32,'18.04'!$AM$4:$AP$55,4,FALSE))</f>
        <v>0</v>
      </c>
      <c r="W32" s="4">
        <f>(VLOOKUP('18.04'!AE32,'18.04'!$AM$4:$AP$55,4,FALSE))</f>
        <v>0</v>
      </c>
      <c r="X32" s="4">
        <f>(VLOOKUP('18.04'!AF32,'18.04'!$AM$4:$AP$55,4,FALSE))</f>
        <v>0</v>
      </c>
    </row>
    <row r="33" spans="1:24">
      <c r="A33" s="4">
        <f>(VLOOKUP('18.04'!I33,'18.04'!$AM$4:$AP$55,4,FALSE))</f>
        <v>34</v>
      </c>
      <c r="B33" s="4">
        <f>(VLOOKUP('18.04'!J33,'18.04'!$AM$4:$AP$55,4,FALSE))</f>
        <v>34</v>
      </c>
      <c r="C33" s="4">
        <f>(VLOOKUP('18.04'!K33,'18.04'!$AM$4:$AP$55,4,FALSE))</f>
        <v>34</v>
      </c>
      <c r="D33" s="4">
        <f>(VLOOKUP('18.04'!L33,'18.04'!$AM$4:$AP$55,4,FALSE))</f>
        <v>34</v>
      </c>
      <c r="E33" s="4">
        <f>(VLOOKUP('18.04'!M33,'18.04'!$AM$4:$AP$55,4,FALSE))</f>
        <v>34</v>
      </c>
      <c r="F33" s="4">
        <f>(VLOOKUP('18.04'!N33,'18.04'!$AM$4:$AP$55,4,FALSE))</f>
        <v>34</v>
      </c>
      <c r="G33" s="4">
        <f>(VLOOKUP('18.04'!O33,'18.04'!$AM$4:$AP$55,4,FALSE))</f>
        <v>34</v>
      </c>
      <c r="H33" s="4">
        <f>(VLOOKUP('18.04'!P33,'18.04'!$AM$4:$AP$55,4,FALSE))</f>
        <v>0</v>
      </c>
      <c r="I33" s="4">
        <f>(VLOOKUP('18.04'!Q33,'18.04'!$AM$4:$AP$55,4,FALSE))</f>
        <v>38</v>
      </c>
      <c r="J33" s="4">
        <f>(VLOOKUP('18.04'!R33,'18.04'!$AM$4:$AP$55,4,FALSE))</f>
        <v>38</v>
      </c>
      <c r="K33" s="4">
        <f>(VLOOKUP('18.04'!S33,'18.04'!$AM$4:$AP$55,4,FALSE))</f>
        <v>38</v>
      </c>
      <c r="L33" s="4">
        <f>(VLOOKUP('18.04'!T33,'18.04'!$AM$4:$AP$55,4,FALSE))</f>
        <v>38</v>
      </c>
      <c r="M33" s="4">
        <f>(VLOOKUP('18.04'!U33,'18.04'!$AM$4:$AP$55,4,FALSE))</f>
        <v>38</v>
      </c>
      <c r="N33" s="4">
        <f>(VLOOKUP('18.04'!V33,'18.04'!$AM$4:$AP$55,4,FALSE))</f>
        <v>38</v>
      </c>
      <c r="O33" s="4">
        <f>(VLOOKUP('18.04'!W33,'18.04'!$AM$4:$AP$55,4,FALSE))</f>
        <v>38</v>
      </c>
      <c r="P33" s="4">
        <f>(VLOOKUP('18.04'!X33,'18.04'!$AM$4:$AP$55,4,FALSE))</f>
        <v>38</v>
      </c>
      <c r="Q33" s="4">
        <f>(VLOOKUP('18.04'!Y33,'18.04'!$AM$4:$AP$55,4,FALSE))</f>
        <v>0</v>
      </c>
      <c r="R33" s="4">
        <f>(VLOOKUP('18.04'!Z33,'18.04'!$AM$4:$AP$55,4,FALSE))</f>
        <v>0</v>
      </c>
      <c r="S33" s="4">
        <f>(VLOOKUP('18.04'!AA33,'18.04'!$AM$4:$AP$55,4,FALSE))</f>
        <v>0</v>
      </c>
      <c r="T33" s="4">
        <f>(VLOOKUP('18.04'!AB33,'18.04'!$AM$4:$AP$55,4,FALSE))</f>
        <v>0</v>
      </c>
      <c r="U33" s="4">
        <f>(VLOOKUP('18.04'!AC33,'18.04'!$AM$4:$AP$55,4,FALSE))</f>
        <v>0</v>
      </c>
      <c r="V33" s="4">
        <f>(VLOOKUP('18.04'!AD33,'18.04'!$AM$4:$AP$55,4,FALSE))</f>
        <v>0</v>
      </c>
      <c r="W33" s="4">
        <f>(VLOOKUP('18.04'!AE33,'18.04'!$AM$4:$AP$55,4,FALSE))</f>
        <v>0</v>
      </c>
      <c r="X33" s="4">
        <f>(VLOOKUP('18.04'!AF33,'18.04'!$AM$4:$AP$55,4,FALSE))</f>
        <v>0</v>
      </c>
    </row>
    <row r="34" spans="1:24">
      <c r="A34" s="4">
        <f>(VLOOKUP('18.04'!I34,'18.04'!$AM$4:$AP$55,4,FALSE))</f>
        <v>34</v>
      </c>
      <c r="B34" s="4">
        <f>(VLOOKUP('18.04'!J34,'18.04'!$AM$4:$AP$55,4,FALSE))</f>
        <v>34</v>
      </c>
      <c r="C34" s="4">
        <f>(VLOOKUP('18.04'!K34,'18.04'!$AM$4:$AP$55,4,FALSE))</f>
        <v>34</v>
      </c>
      <c r="D34" s="4">
        <f>(VLOOKUP('18.04'!L34,'18.04'!$AM$4:$AP$55,4,FALSE))</f>
        <v>34</v>
      </c>
      <c r="E34" s="4">
        <f>(VLOOKUP('18.04'!M34,'18.04'!$AM$4:$AP$55,4,FALSE))</f>
        <v>34</v>
      </c>
      <c r="F34" s="4">
        <f>(VLOOKUP('18.04'!N34,'18.04'!$AM$4:$AP$55,4,FALSE))</f>
        <v>34</v>
      </c>
      <c r="G34" s="4">
        <f>(VLOOKUP('18.04'!O34,'18.04'!$AM$4:$AP$55,4,FALSE))</f>
        <v>34</v>
      </c>
      <c r="H34" s="4">
        <f>(VLOOKUP('18.04'!P34,'18.04'!$AM$4:$AP$55,4,FALSE))</f>
        <v>0</v>
      </c>
      <c r="I34" s="4">
        <f>(VLOOKUP('18.04'!Q34,'18.04'!$AM$4:$AP$55,4,FALSE))</f>
        <v>38</v>
      </c>
      <c r="J34" s="4">
        <f>(VLOOKUP('18.04'!R34,'18.04'!$AM$4:$AP$55,4,FALSE))</f>
        <v>38</v>
      </c>
      <c r="K34" s="4">
        <f>(VLOOKUP('18.04'!S34,'18.04'!$AM$4:$AP$55,4,FALSE))</f>
        <v>38</v>
      </c>
      <c r="L34" s="4">
        <f>(VLOOKUP('18.04'!T34,'18.04'!$AM$4:$AP$55,4,FALSE))</f>
        <v>38</v>
      </c>
      <c r="M34" s="4">
        <f>(VLOOKUP('18.04'!U34,'18.04'!$AM$4:$AP$55,4,FALSE))</f>
        <v>38</v>
      </c>
      <c r="N34" s="4">
        <f>(VLOOKUP('18.04'!V34,'18.04'!$AM$4:$AP$55,4,FALSE))</f>
        <v>38</v>
      </c>
      <c r="O34" s="4">
        <f>(VLOOKUP('18.04'!W34,'18.04'!$AM$4:$AP$55,4,FALSE))</f>
        <v>38</v>
      </c>
      <c r="P34" s="4">
        <f>(VLOOKUP('18.04'!X34,'18.04'!$AM$4:$AP$55,4,FALSE))</f>
        <v>38</v>
      </c>
      <c r="Q34" s="4">
        <f>(VLOOKUP('18.04'!Y34,'18.04'!$AM$4:$AP$55,4,FALSE))</f>
        <v>0</v>
      </c>
      <c r="R34" s="4">
        <f>(VLOOKUP('18.04'!Z34,'18.04'!$AM$4:$AP$55,4,FALSE))</f>
        <v>0</v>
      </c>
      <c r="S34" s="4">
        <f>(VLOOKUP('18.04'!AA34,'18.04'!$AM$4:$AP$55,4,FALSE))</f>
        <v>0</v>
      </c>
      <c r="T34" s="4">
        <f>(VLOOKUP('18.04'!AB34,'18.04'!$AM$4:$AP$55,4,FALSE))</f>
        <v>0</v>
      </c>
      <c r="U34" s="4">
        <f>(VLOOKUP('18.04'!AC34,'18.04'!$AM$4:$AP$55,4,FALSE))</f>
        <v>0</v>
      </c>
      <c r="V34" s="4">
        <f>(VLOOKUP('18.04'!AD34,'18.04'!$AM$4:$AP$55,4,FALSE))</f>
        <v>0</v>
      </c>
      <c r="W34" s="4">
        <f>(VLOOKUP('18.04'!AE34,'18.04'!$AM$4:$AP$55,4,FALSE))</f>
        <v>0</v>
      </c>
      <c r="X34" s="4">
        <f>(VLOOKUP('18.04'!AF34,'18.04'!$AM$4:$AP$55,4,FALSE))</f>
        <v>0</v>
      </c>
    </row>
    <row r="35" spans="1:24">
      <c r="A35" s="4">
        <f>(VLOOKUP('18.04'!I35,'18.04'!$AM$4:$AP$55,4,FALSE))</f>
        <v>34</v>
      </c>
      <c r="B35" s="4">
        <f>(VLOOKUP('18.04'!J35,'18.04'!$AM$4:$AP$55,4,FALSE))</f>
        <v>34</v>
      </c>
      <c r="C35" s="4">
        <f>(VLOOKUP('18.04'!K35,'18.04'!$AM$4:$AP$55,4,FALSE))</f>
        <v>34</v>
      </c>
      <c r="D35" s="4">
        <f>(VLOOKUP('18.04'!L35,'18.04'!$AM$4:$AP$55,4,FALSE))</f>
        <v>34</v>
      </c>
      <c r="E35" s="4">
        <f>(VLOOKUP('18.04'!M35,'18.04'!$AM$4:$AP$55,4,FALSE))</f>
        <v>34</v>
      </c>
      <c r="F35" s="4">
        <f>(VLOOKUP('18.04'!N35,'18.04'!$AM$4:$AP$55,4,FALSE))</f>
        <v>34</v>
      </c>
      <c r="G35" s="4">
        <f>(VLOOKUP('18.04'!O35,'18.04'!$AM$4:$AP$55,4,FALSE))</f>
        <v>34</v>
      </c>
      <c r="H35" s="4">
        <f>(VLOOKUP('18.04'!P35,'18.04'!$AM$4:$AP$55,4,FALSE))</f>
        <v>0</v>
      </c>
      <c r="I35" s="4">
        <f>(VLOOKUP('18.04'!Q35,'18.04'!$AM$4:$AP$55,4,FALSE))</f>
        <v>38</v>
      </c>
      <c r="J35" s="4">
        <f>(VLOOKUP('18.04'!R35,'18.04'!$AM$4:$AP$55,4,FALSE))</f>
        <v>38</v>
      </c>
      <c r="K35" s="4">
        <f>(VLOOKUP('18.04'!S35,'18.04'!$AM$4:$AP$55,4,FALSE))</f>
        <v>38</v>
      </c>
      <c r="L35" s="4">
        <f>(VLOOKUP('18.04'!T35,'18.04'!$AM$4:$AP$55,4,FALSE))</f>
        <v>38</v>
      </c>
      <c r="M35" s="4">
        <f>(VLOOKUP('18.04'!U35,'18.04'!$AM$4:$AP$55,4,FALSE))</f>
        <v>38</v>
      </c>
      <c r="N35" s="4">
        <f>(VLOOKUP('18.04'!V35,'18.04'!$AM$4:$AP$55,4,FALSE))</f>
        <v>38</v>
      </c>
      <c r="O35" s="4">
        <f>(VLOOKUP('18.04'!W35,'18.04'!$AM$4:$AP$55,4,FALSE))</f>
        <v>38</v>
      </c>
      <c r="P35" s="4">
        <f>(VLOOKUP('18.04'!X35,'18.04'!$AM$4:$AP$55,4,FALSE))</f>
        <v>38</v>
      </c>
      <c r="Q35" s="4">
        <f>(VLOOKUP('18.04'!Y35,'18.04'!$AM$4:$AP$55,4,FALSE))</f>
        <v>0</v>
      </c>
      <c r="R35" s="4">
        <f>(VLOOKUP('18.04'!Z35,'18.04'!$AM$4:$AP$55,4,FALSE))</f>
        <v>0</v>
      </c>
      <c r="S35" s="4">
        <f>(VLOOKUP('18.04'!AA35,'18.04'!$AM$4:$AP$55,4,FALSE))</f>
        <v>0</v>
      </c>
      <c r="T35" s="4">
        <f>(VLOOKUP('18.04'!AB35,'18.04'!$AM$4:$AP$55,4,FALSE))</f>
        <v>0</v>
      </c>
      <c r="U35" s="4">
        <f>(VLOOKUP('18.04'!AC35,'18.04'!$AM$4:$AP$55,4,FALSE))</f>
        <v>0</v>
      </c>
      <c r="V35" s="4">
        <f>(VLOOKUP('18.04'!AD35,'18.04'!$AM$4:$AP$55,4,FALSE))</f>
        <v>0</v>
      </c>
      <c r="W35" s="4">
        <f>(VLOOKUP('18.04'!AE35,'18.04'!$AM$4:$AP$55,4,FALSE))</f>
        <v>0</v>
      </c>
      <c r="X35" s="4">
        <f>(VLOOKUP('18.04'!AF35,'18.04'!$AM$4:$AP$55,4,FALSE))</f>
        <v>0</v>
      </c>
    </row>
    <row r="36" spans="1:24">
      <c r="A36" s="4">
        <f>(VLOOKUP('18.04'!I36,'18.04'!$AM$4:$AP$55,4,FALSE))</f>
        <v>34</v>
      </c>
      <c r="B36" s="4">
        <f>(VLOOKUP('18.04'!J36,'18.04'!$AM$4:$AP$55,4,FALSE))</f>
        <v>34</v>
      </c>
      <c r="C36" s="4">
        <f>(VLOOKUP('18.04'!K36,'18.04'!$AM$4:$AP$55,4,FALSE))</f>
        <v>34</v>
      </c>
      <c r="D36" s="4">
        <f>(VLOOKUP('18.04'!L36,'18.04'!$AM$4:$AP$55,4,FALSE))</f>
        <v>34</v>
      </c>
      <c r="E36" s="4">
        <f>(VLOOKUP('18.04'!M36,'18.04'!$AM$4:$AP$55,4,FALSE))</f>
        <v>34</v>
      </c>
      <c r="F36" s="4">
        <f>(VLOOKUP('18.04'!N36,'18.04'!$AM$4:$AP$55,4,FALSE))</f>
        <v>34</v>
      </c>
      <c r="G36" s="4">
        <f>(VLOOKUP('18.04'!O36,'18.04'!$AM$4:$AP$55,4,FALSE))</f>
        <v>34</v>
      </c>
      <c r="H36" s="4">
        <f>(VLOOKUP('18.04'!P36,'18.04'!$AM$4:$AP$55,4,FALSE))</f>
        <v>0</v>
      </c>
      <c r="I36" s="4">
        <f>(VLOOKUP('18.04'!Q36,'18.04'!$AM$4:$AP$55,4,FALSE))</f>
        <v>38</v>
      </c>
      <c r="J36" s="4">
        <f>(VLOOKUP('18.04'!R36,'18.04'!$AM$4:$AP$55,4,FALSE))</f>
        <v>38</v>
      </c>
      <c r="K36" s="4">
        <f>(VLOOKUP('18.04'!S36,'18.04'!$AM$4:$AP$55,4,FALSE))</f>
        <v>38</v>
      </c>
      <c r="L36" s="4">
        <f>(VLOOKUP('18.04'!T36,'18.04'!$AM$4:$AP$55,4,FALSE))</f>
        <v>38</v>
      </c>
      <c r="M36" s="4">
        <f>(VLOOKUP('18.04'!U36,'18.04'!$AM$4:$AP$55,4,FALSE))</f>
        <v>38</v>
      </c>
      <c r="N36" s="4">
        <f>(VLOOKUP('18.04'!V36,'18.04'!$AM$4:$AP$55,4,FALSE))</f>
        <v>38</v>
      </c>
      <c r="O36" s="4">
        <f>(VLOOKUP('18.04'!W36,'18.04'!$AM$4:$AP$55,4,FALSE))</f>
        <v>38</v>
      </c>
      <c r="P36" s="4">
        <f>(VLOOKUP('18.04'!X36,'18.04'!$AM$4:$AP$55,4,FALSE))</f>
        <v>38</v>
      </c>
      <c r="Q36" s="4">
        <f>(VLOOKUP('18.04'!Y36,'18.04'!$AM$4:$AP$55,4,FALSE))</f>
        <v>0</v>
      </c>
      <c r="R36" s="4">
        <f>(VLOOKUP('18.04'!Z36,'18.04'!$AM$4:$AP$55,4,FALSE))</f>
        <v>0</v>
      </c>
      <c r="S36" s="4">
        <f>(VLOOKUP('18.04'!AA36,'18.04'!$AM$4:$AP$55,4,FALSE))</f>
        <v>0</v>
      </c>
      <c r="T36" s="4">
        <f>(VLOOKUP('18.04'!AB36,'18.04'!$AM$4:$AP$55,4,FALSE))</f>
        <v>0</v>
      </c>
      <c r="U36" s="4">
        <f>(VLOOKUP('18.04'!AC36,'18.04'!$AM$4:$AP$55,4,FALSE))</f>
        <v>0</v>
      </c>
      <c r="V36" s="4">
        <f>(VLOOKUP('18.04'!AD36,'18.04'!$AM$4:$AP$55,4,FALSE))</f>
        <v>0</v>
      </c>
      <c r="W36" s="4">
        <f>(VLOOKUP('18.04'!AE36,'18.04'!$AM$4:$AP$55,4,FALSE))</f>
        <v>0</v>
      </c>
      <c r="X36" s="4">
        <f>(VLOOKUP('18.04'!AF36,'18.04'!$AM$4:$AP$55,4,FALSE))</f>
        <v>0</v>
      </c>
    </row>
    <row r="37" spans="1:24">
      <c r="A37" s="4">
        <f>(VLOOKUP('18.04'!I37,'18.04'!$AM$4:$AP$55,4,FALSE))</f>
        <v>34</v>
      </c>
      <c r="B37" s="4">
        <f>(VLOOKUP('18.04'!J37,'18.04'!$AM$4:$AP$55,4,FALSE))</f>
        <v>34</v>
      </c>
      <c r="C37" s="4">
        <f>(VLOOKUP('18.04'!K37,'18.04'!$AM$4:$AP$55,4,FALSE))</f>
        <v>34</v>
      </c>
      <c r="D37" s="4">
        <f>(VLOOKUP('18.04'!L37,'18.04'!$AM$4:$AP$55,4,FALSE))</f>
        <v>34</v>
      </c>
      <c r="E37" s="4">
        <f>(VLOOKUP('18.04'!M37,'18.04'!$AM$4:$AP$55,4,FALSE))</f>
        <v>34</v>
      </c>
      <c r="F37" s="4">
        <f>(VLOOKUP('18.04'!N37,'18.04'!$AM$4:$AP$55,4,FALSE))</f>
        <v>34</v>
      </c>
      <c r="G37" s="4">
        <f>(VLOOKUP('18.04'!O37,'18.04'!$AM$4:$AP$55,4,FALSE))</f>
        <v>34</v>
      </c>
      <c r="H37" s="4">
        <f>(VLOOKUP('18.04'!P37,'18.04'!$AM$4:$AP$55,4,FALSE))</f>
        <v>0</v>
      </c>
      <c r="I37" s="4">
        <f>(VLOOKUP('18.04'!Q37,'18.04'!$AM$4:$AP$55,4,FALSE))</f>
        <v>38</v>
      </c>
      <c r="J37" s="4">
        <f>(VLOOKUP('18.04'!R37,'18.04'!$AM$4:$AP$55,4,FALSE))</f>
        <v>38</v>
      </c>
      <c r="K37" s="4">
        <f>(VLOOKUP('18.04'!S37,'18.04'!$AM$4:$AP$55,4,FALSE))</f>
        <v>38</v>
      </c>
      <c r="L37" s="4">
        <f>(VLOOKUP('18.04'!T37,'18.04'!$AM$4:$AP$55,4,FALSE))</f>
        <v>38</v>
      </c>
      <c r="M37" s="4">
        <f>(VLOOKUP('18.04'!U37,'18.04'!$AM$4:$AP$55,4,FALSE))</f>
        <v>38</v>
      </c>
      <c r="N37" s="4">
        <f>(VLOOKUP('18.04'!V37,'18.04'!$AM$4:$AP$55,4,FALSE))</f>
        <v>38</v>
      </c>
      <c r="O37" s="4">
        <f>(VLOOKUP('18.04'!W37,'18.04'!$AM$4:$AP$55,4,FALSE))</f>
        <v>38</v>
      </c>
      <c r="P37" s="4">
        <f>(VLOOKUP('18.04'!X37,'18.04'!$AM$4:$AP$55,4,FALSE))</f>
        <v>38</v>
      </c>
      <c r="Q37" s="4">
        <f>(VLOOKUP('18.04'!Y37,'18.04'!$AM$4:$AP$55,4,FALSE))</f>
        <v>0</v>
      </c>
      <c r="R37" s="4">
        <f>(VLOOKUP('18.04'!Z37,'18.04'!$AM$4:$AP$55,4,FALSE))</f>
        <v>0</v>
      </c>
      <c r="S37" s="4">
        <f>(VLOOKUP('18.04'!AA37,'18.04'!$AM$4:$AP$55,4,FALSE))</f>
        <v>0</v>
      </c>
      <c r="T37" s="4">
        <f>(VLOOKUP('18.04'!AB37,'18.04'!$AM$4:$AP$55,4,FALSE))</f>
        <v>0</v>
      </c>
      <c r="U37" s="4">
        <f>(VLOOKUP('18.04'!AC37,'18.04'!$AM$4:$AP$55,4,FALSE))</f>
        <v>0</v>
      </c>
      <c r="V37" s="4">
        <f>(VLOOKUP('18.04'!AD37,'18.04'!$AM$4:$AP$55,4,FALSE))</f>
        <v>0</v>
      </c>
      <c r="W37" s="4">
        <f>(VLOOKUP('18.04'!AE37,'18.04'!$AM$4:$AP$55,4,FALSE))</f>
        <v>0</v>
      </c>
      <c r="X37" s="4">
        <f>(VLOOKUP('18.04'!AF37,'18.04'!$AM$4:$AP$55,4,FALSE))</f>
        <v>0</v>
      </c>
    </row>
    <row r="38" spans="1:24">
      <c r="A38" s="4">
        <f>(VLOOKUP('18.04'!I38,'18.04'!$AM$4:$AP$55,4,FALSE))</f>
        <v>34</v>
      </c>
      <c r="B38" s="4">
        <f>(VLOOKUP('18.04'!J38,'18.04'!$AM$4:$AP$55,4,FALSE))</f>
        <v>34</v>
      </c>
      <c r="C38" s="4">
        <f>(VLOOKUP('18.04'!K38,'18.04'!$AM$4:$AP$55,4,FALSE))</f>
        <v>34</v>
      </c>
      <c r="D38" s="4">
        <f>(VLOOKUP('18.04'!L38,'18.04'!$AM$4:$AP$55,4,FALSE))</f>
        <v>34</v>
      </c>
      <c r="E38" s="4">
        <f>(VLOOKUP('18.04'!M38,'18.04'!$AM$4:$AP$55,4,FALSE))</f>
        <v>34</v>
      </c>
      <c r="F38" s="4">
        <f>(VLOOKUP('18.04'!N38,'18.04'!$AM$4:$AP$55,4,FALSE))</f>
        <v>34</v>
      </c>
      <c r="G38" s="4">
        <f>(VLOOKUP('18.04'!O38,'18.04'!$AM$4:$AP$55,4,FALSE))</f>
        <v>34</v>
      </c>
      <c r="H38" s="4">
        <f>(VLOOKUP('18.04'!P38,'18.04'!$AM$4:$AP$55,4,FALSE))</f>
        <v>0</v>
      </c>
      <c r="I38" s="4">
        <f>(VLOOKUP('18.04'!Q38,'18.04'!$AM$4:$AP$55,4,FALSE))</f>
        <v>38</v>
      </c>
      <c r="J38" s="4">
        <f>(VLOOKUP('18.04'!R38,'18.04'!$AM$4:$AP$55,4,FALSE))</f>
        <v>38</v>
      </c>
      <c r="K38" s="4">
        <f>(VLOOKUP('18.04'!S38,'18.04'!$AM$4:$AP$55,4,FALSE))</f>
        <v>38</v>
      </c>
      <c r="L38" s="4">
        <f>(VLOOKUP('18.04'!T38,'18.04'!$AM$4:$AP$55,4,FALSE))</f>
        <v>38</v>
      </c>
      <c r="M38" s="4">
        <f>(VLOOKUP('18.04'!U38,'18.04'!$AM$4:$AP$55,4,FALSE))</f>
        <v>38</v>
      </c>
      <c r="N38" s="4">
        <f>(VLOOKUP('18.04'!V38,'18.04'!$AM$4:$AP$55,4,FALSE))</f>
        <v>38</v>
      </c>
      <c r="O38" s="4">
        <f>(VLOOKUP('18.04'!W38,'18.04'!$AM$4:$AP$55,4,FALSE))</f>
        <v>38</v>
      </c>
      <c r="P38" s="4">
        <f>(VLOOKUP('18.04'!X38,'18.04'!$AM$4:$AP$55,4,FALSE))</f>
        <v>38</v>
      </c>
      <c r="Q38" s="4">
        <f>(VLOOKUP('18.04'!Y38,'18.04'!$AM$4:$AP$55,4,FALSE))</f>
        <v>0</v>
      </c>
      <c r="R38" s="4">
        <f>(VLOOKUP('18.04'!Z38,'18.04'!$AM$4:$AP$55,4,FALSE))</f>
        <v>0</v>
      </c>
      <c r="S38" s="4">
        <f>(VLOOKUP('18.04'!AA38,'18.04'!$AM$4:$AP$55,4,FALSE))</f>
        <v>0</v>
      </c>
      <c r="T38" s="4">
        <f>(VLOOKUP('18.04'!AB38,'18.04'!$AM$4:$AP$55,4,FALSE))</f>
        <v>0</v>
      </c>
      <c r="U38" s="4">
        <f>(VLOOKUP('18.04'!AC38,'18.04'!$AM$4:$AP$55,4,FALSE))</f>
        <v>0</v>
      </c>
      <c r="V38" s="4">
        <f>(VLOOKUP('18.04'!AD38,'18.04'!$AM$4:$AP$55,4,FALSE))</f>
        <v>0</v>
      </c>
      <c r="W38" s="4">
        <f>(VLOOKUP('18.04'!AE38,'18.04'!$AM$4:$AP$55,4,FALSE))</f>
        <v>0</v>
      </c>
      <c r="X38" s="4">
        <f>(VLOOKUP('18.04'!AF38,'18.04'!$AM$4:$AP$55,4,FALSE))</f>
        <v>0</v>
      </c>
    </row>
    <row r="39" spans="1:24">
      <c r="A39" s="4">
        <f>(VLOOKUP('18.04'!I39,'18.04'!$AM$4:$AP$55,4,FALSE))</f>
        <v>34</v>
      </c>
      <c r="B39" s="4">
        <f>(VLOOKUP('18.04'!J39,'18.04'!$AM$4:$AP$55,4,FALSE))</f>
        <v>34</v>
      </c>
      <c r="C39" s="4">
        <f>(VLOOKUP('18.04'!K39,'18.04'!$AM$4:$AP$55,4,FALSE))</f>
        <v>34</v>
      </c>
      <c r="D39" s="4">
        <f>(VLOOKUP('18.04'!L39,'18.04'!$AM$4:$AP$55,4,FALSE))</f>
        <v>34</v>
      </c>
      <c r="E39" s="4">
        <f>(VLOOKUP('18.04'!M39,'18.04'!$AM$4:$AP$55,4,FALSE))</f>
        <v>34</v>
      </c>
      <c r="F39" s="4">
        <f>(VLOOKUP('18.04'!N39,'18.04'!$AM$4:$AP$55,4,FALSE))</f>
        <v>34</v>
      </c>
      <c r="G39" s="4">
        <f>(VLOOKUP('18.04'!O39,'18.04'!$AM$4:$AP$55,4,FALSE))</f>
        <v>34</v>
      </c>
      <c r="H39" s="4">
        <f>(VLOOKUP('18.04'!P39,'18.04'!$AM$4:$AP$55,4,FALSE))</f>
        <v>0</v>
      </c>
      <c r="I39" s="4">
        <f>(VLOOKUP('18.04'!Q39,'18.04'!$AM$4:$AP$55,4,FALSE))</f>
        <v>38</v>
      </c>
      <c r="J39" s="4">
        <f>(VLOOKUP('18.04'!R39,'18.04'!$AM$4:$AP$55,4,FALSE))</f>
        <v>38</v>
      </c>
      <c r="K39" s="4">
        <f>(VLOOKUP('18.04'!S39,'18.04'!$AM$4:$AP$55,4,FALSE))</f>
        <v>38</v>
      </c>
      <c r="L39" s="4">
        <f>(VLOOKUP('18.04'!T39,'18.04'!$AM$4:$AP$55,4,FALSE))</f>
        <v>38</v>
      </c>
      <c r="M39" s="4">
        <f>(VLOOKUP('18.04'!U39,'18.04'!$AM$4:$AP$55,4,FALSE))</f>
        <v>38</v>
      </c>
      <c r="N39" s="4">
        <f>(VLOOKUP('18.04'!V39,'18.04'!$AM$4:$AP$55,4,FALSE))</f>
        <v>38</v>
      </c>
      <c r="O39" s="4">
        <f>(VLOOKUP('18.04'!W39,'18.04'!$AM$4:$AP$55,4,FALSE))</f>
        <v>38</v>
      </c>
      <c r="P39" s="4">
        <f>(VLOOKUP('18.04'!X39,'18.04'!$AM$4:$AP$55,4,FALSE))</f>
        <v>38</v>
      </c>
      <c r="Q39" s="4">
        <f>(VLOOKUP('18.04'!Y39,'18.04'!$AM$4:$AP$55,4,FALSE))</f>
        <v>0</v>
      </c>
      <c r="R39" s="4">
        <f>(VLOOKUP('18.04'!Z39,'18.04'!$AM$4:$AP$55,4,FALSE))</f>
        <v>0</v>
      </c>
      <c r="S39" s="4">
        <f>(VLOOKUP('18.04'!AA39,'18.04'!$AM$4:$AP$55,4,FALSE))</f>
        <v>0</v>
      </c>
      <c r="T39" s="4">
        <f>(VLOOKUP('18.04'!AB39,'18.04'!$AM$4:$AP$55,4,FALSE))</f>
        <v>0</v>
      </c>
      <c r="U39" s="4">
        <f>(VLOOKUP('18.04'!AC39,'18.04'!$AM$4:$AP$55,4,FALSE))</f>
        <v>0</v>
      </c>
      <c r="V39" s="4">
        <f>(VLOOKUP('18.04'!AD39,'18.04'!$AM$4:$AP$55,4,FALSE))</f>
        <v>0</v>
      </c>
      <c r="W39" s="4">
        <f>(VLOOKUP('18.04'!AE39,'18.04'!$AM$4:$AP$55,4,FALSE))</f>
        <v>0</v>
      </c>
      <c r="X39" s="4">
        <f>(VLOOKUP('18.04'!AF39,'18.04'!$AM$4:$AP$55,4,FALSE))</f>
        <v>0</v>
      </c>
    </row>
    <row r="40" spans="1:24">
      <c r="A40" s="4">
        <f>(VLOOKUP('18.04'!I40,'18.04'!$AM$4:$AP$55,4,FALSE))</f>
        <v>34</v>
      </c>
      <c r="B40" s="4">
        <f>(VLOOKUP('18.04'!J40,'18.04'!$AM$4:$AP$55,4,FALSE))</f>
        <v>34</v>
      </c>
      <c r="C40" s="4">
        <f>(VLOOKUP('18.04'!K40,'18.04'!$AM$4:$AP$55,4,FALSE))</f>
        <v>34</v>
      </c>
      <c r="D40" s="4">
        <f>(VLOOKUP('18.04'!L40,'18.04'!$AM$4:$AP$55,4,FALSE))</f>
        <v>34</v>
      </c>
      <c r="E40" s="4">
        <f>(VLOOKUP('18.04'!M40,'18.04'!$AM$4:$AP$55,4,FALSE))</f>
        <v>34</v>
      </c>
      <c r="F40" s="4">
        <f>(VLOOKUP('18.04'!N40,'18.04'!$AM$4:$AP$55,4,FALSE))</f>
        <v>34</v>
      </c>
      <c r="G40" s="4">
        <f>(VLOOKUP('18.04'!O40,'18.04'!$AM$4:$AP$55,4,FALSE))</f>
        <v>34</v>
      </c>
      <c r="H40" s="4">
        <f>(VLOOKUP('18.04'!P40,'18.04'!$AM$4:$AP$55,4,FALSE))</f>
        <v>0</v>
      </c>
      <c r="I40" s="4">
        <f>(VLOOKUP('18.04'!Q40,'18.04'!$AM$4:$AP$55,4,FALSE))</f>
        <v>38</v>
      </c>
      <c r="J40" s="4">
        <f>(VLOOKUP('18.04'!R40,'18.04'!$AM$4:$AP$55,4,FALSE))</f>
        <v>38</v>
      </c>
      <c r="K40" s="4">
        <f>(VLOOKUP('18.04'!S40,'18.04'!$AM$4:$AP$55,4,FALSE))</f>
        <v>38</v>
      </c>
      <c r="L40" s="4">
        <f>(VLOOKUP('18.04'!T40,'18.04'!$AM$4:$AP$55,4,FALSE))</f>
        <v>38</v>
      </c>
      <c r="M40" s="4">
        <f>(VLOOKUP('18.04'!U40,'18.04'!$AM$4:$AP$55,4,FALSE))</f>
        <v>38</v>
      </c>
      <c r="N40" s="4">
        <f>(VLOOKUP('18.04'!V40,'18.04'!$AM$4:$AP$55,4,FALSE))</f>
        <v>38</v>
      </c>
      <c r="O40" s="4">
        <f>(VLOOKUP('18.04'!W40,'18.04'!$AM$4:$AP$55,4,FALSE))</f>
        <v>38</v>
      </c>
      <c r="P40" s="4">
        <f>(VLOOKUP('18.04'!X40,'18.04'!$AM$4:$AP$55,4,FALSE))</f>
        <v>38</v>
      </c>
      <c r="Q40" s="4">
        <f>(VLOOKUP('18.04'!Y40,'18.04'!$AM$4:$AP$55,4,FALSE))</f>
        <v>0</v>
      </c>
      <c r="R40" s="4">
        <f>(VLOOKUP('18.04'!Z40,'18.04'!$AM$4:$AP$55,4,FALSE))</f>
        <v>0</v>
      </c>
      <c r="S40" s="4">
        <f>(VLOOKUP('18.04'!AA40,'18.04'!$AM$4:$AP$55,4,FALSE))</f>
        <v>0</v>
      </c>
      <c r="T40" s="4">
        <f>(VLOOKUP('18.04'!AB40,'18.04'!$AM$4:$AP$55,4,FALSE))</f>
        <v>0</v>
      </c>
      <c r="U40" s="4">
        <f>(VLOOKUP('18.04'!AC40,'18.04'!$AM$4:$AP$55,4,FALSE))</f>
        <v>0</v>
      </c>
      <c r="V40" s="4">
        <f>(VLOOKUP('18.04'!AD40,'18.04'!$AM$4:$AP$55,4,FALSE))</f>
        <v>0</v>
      </c>
      <c r="W40" s="4">
        <f>(VLOOKUP('18.04'!AE40,'18.04'!$AM$4:$AP$55,4,FALSE))</f>
        <v>0</v>
      </c>
      <c r="X40" s="4">
        <f>(VLOOKUP('18.04'!AF40,'18.04'!$AM$4:$AP$55,4,FALSE))</f>
        <v>0</v>
      </c>
    </row>
    <row r="41" spans="1:24">
      <c r="A41" s="4">
        <f>(VLOOKUP('18.04'!I41,'18.04'!$AM$4:$AP$55,4,FALSE))</f>
        <v>34</v>
      </c>
      <c r="B41" s="4">
        <f>(VLOOKUP('18.04'!J41,'18.04'!$AM$4:$AP$55,4,FALSE))</f>
        <v>34</v>
      </c>
      <c r="C41" s="4">
        <f>(VLOOKUP('18.04'!K41,'18.04'!$AM$4:$AP$55,4,FALSE))</f>
        <v>34</v>
      </c>
      <c r="D41" s="4">
        <f>(VLOOKUP('18.04'!L41,'18.04'!$AM$4:$AP$55,4,FALSE))</f>
        <v>34</v>
      </c>
      <c r="E41" s="4">
        <f>(VLOOKUP('18.04'!M41,'18.04'!$AM$4:$AP$55,4,FALSE))</f>
        <v>34</v>
      </c>
      <c r="F41" s="4">
        <f>(VLOOKUP('18.04'!N41,'18.04'!$AM$4:$AP$55,4,FALSE))</f>
        <v>34</v>
      </c>
      <c r="G41" s="4">
        <f>(VLOOKUP('18.04'!O41,'18.04'!$AM$4:$AP$55,4,FALSE))</f>
        <v>34</v>
      </c>
      <c r="H41" s="4">
        <f>(VLOOKUP('18.04'!P41,'18.04'!$AM$4:$AP$55,4,FALSE))</f>
        <v>0</v>
      </c>
      <c r="I41" s="4">
        <f>(VLOOKUP('18.04'!Q41,'18.04'!$AM$4:$AP$55,4,FALSE))</f>
        <v>38</v>
      </c>
      <c r="J41" s="4">
        <f>(VLOOKUP('18.04'!R41,'18.04'!$AM$4:$AP$55,4,FALSE))</f>
        <v>38</v>
      </c>
      <c r="K41" s="4">
        <f>(VLOOKUP('18.04'!S41,'18.04'!$AM$4:$AP$55,4,FALSE))</f>
        <v>38</v>
      </c>
      <c r="L41" s="4">
        <f>(VLOOKUP('18.04'!T41,'18.04'!$AM$4:$AP$55,4,FALSE))</f>
        <v>38</v>
      </c>
      <c r="M41" s="4">
        <f>(VLOOKUP('18.04'!U41,'18.04'!$AM$4:$AP$55,4,FALSE))</f>
        <v>38</v>
      </c>
      <c r="N41" s="4">
        <f>(VLOOKUP('18.04'!V41,'18.04'!$AM$4:$AP$55,4,FALSE))</f>
        <v>38</v>
      </c>
      <c r="O41" s="4">
        <f>(VLOOKUP('18.04'!W41,'18.04'!$AM$4:$AP$55,4,FALSE))</f>
        <v>38</v>
      </c>
      <c r="P41" s="4">
        <f>(VLOOKUP('18.04'!X41,'18.04'!$AM$4:$AP$55,4,FALSE))</f>
        <v>38</v>
      </c>
      <c r="Q41" s="4">
        <f>(VLOOKUP('18.04'!Y41,'18.04'!$AM$4:$AP$55,4,FALSE))</f>
        <v>0</v>
      </c>
      <c r="R41" s="4">
        <f>(VLOOKUP('18.04'!Z41,'18.04'!$AM$4:$AP$55,4,FALSE))</f>
        <v>0</v>
      </c>
      <c r="S41" s="4">
        <f>(VLOOKUP('18.04'!AA41,'18.04'!$AM$4:$AP$55,4,FALSE))</f>
        <v>0</v>
      </c>
      <c r="T41" s="4">
        <f>(VLOOKUP('18.04'!AB41,'18.04'!$AM$4:$AP$55,4,FALSE))</f>
        <v>0</v>
      </c>
      <c r="U41" s="4">
        <f>(VLOOKUP('18.04'!AC41,'18.04'!$AM$4:$AP$55,4,FALSE))</f>
        <v>0</v>
      </c>
      <c r="V41" s="4">
        <f>(VLOOKUP('18.04'!AD41,'18.04'!$AM$4:$AP$55,4,FALSE))</f>
        <v>0</v>
      </c>
      <c r="W41" s="4">
        <f>(VLOOKUP('18.04'!AE41,'18.04'!$AM$4:$AP$55,4,FALSE))</f>
        <v>0</v>
      </c>
      <c r="X41" s="4">
        <f>(VLOOKUP('18.04'!AF41,'18.04'!$AM$4:$AP$55,4,FALSE))</f>
        <v>0</v>
      </c>
    </row>
    <row r="42" spans="1:24">
      <c r="A42" s="4">
        <f>(VLOOKUP('18.04'!I42,'18.04'!$AM$4:$AP$55,4,FALSE))</f>
        <v>34</v>
      </c>
      <c r="B42" s="4">
        <f>(VLOOKUP('18.04'!J42,'18.04'!$AM$4:$AP$55,4,FALSE))</f>
        <v>34</v>
      </c>
      <c r="C42" s="4">
        <f>(VLOOKUP('18.04'!K42,'18.04'!$AM$4:$AP$55,4,FALSE))</f>
        <v>34</v>
      </c>
      <c r="D42" s="4">
        <f>(VLOOKUP('18.04'!L42,'18.04'!$AM$4:$AP$55,4,FALSE))</f>
        <v>34</v>
      </c>
      <c r="E42" s="4">
        <f>(VLOOKUP('18.04'!M42,'18.04'!$AM$4:$AP$55,4,FALSE))</f>
        <v>34</v>
      </c>
      <c r="F42" s="4">
        <f>(VLOOKUP('18.04'!N42,'18.04'!$AM$4:$AP$55,4,FALSE))</f>
        <v>34</v>
      </c>
      <c r="G42" s="4">
        <f>(VLOOKUP('18.04'!O42,'18.04'!$AM$4:$AP$55,4,FALSE))</f>
        <v>34</v>
      </c>
      <c r="H42" s="4">
        <f>(VLOOKUP('18.04'!P42,'18.04'!$AM$4:$AP$55,4,FALSE))</f>
        <v>0</v>
      </c>
      <c r="I42" s="4">
        <f>(VLOOKUP('18.04'!Q42,'18.04'!$AM$4:$AP$55,4,FALSE))</f>
        <v>38</v>
      </c>
      <c r="J42" s="4">
        <f>(VLOOKUP('18.04'!R42,'18.04'!$AM$4:$AP$55,4,FALSE))</f>
        <v>38</v>
      </c>
      <c r="K42" s="4">
        <f>(VLOOKUP('18.04'!S42,'18.04'!$AM$4:$AP$55,4,FALSE))</f>
        <v>38</v>
      </c>
      <c r="L42" s="4">
        <f>(VLOOKUP('18.04'!T42,'18.04'!$AM$4:$AP$55,4,FALSE))</f>
        <v>38</v>
      </c>
      <c r="M42" s="4">
        <f>(VLOOKUP('18.04'!U42,'18.04'!$AM$4:$AP$55,4,FALSE))</f>
        <v>38</v>
      </c>
      <c r="N42" s="4">
        <f>(VLOOKUP('18.04'!V42,'18.04'!$AM$4:$AP$55,4,FALSE))</f>
        <v>38</v>
      </c>
      <c r="O42" s="4">
        <f>(VLOOKUP('18.04'!W42,'18.04'!$AM$4:$AP$55,4,FALSE))</f>
        <v>38</v>
      </c>
      <c r="P42" s="4">
        <f>(VLOOKUP('18.04'!X42,'18.04'!$AM$4:$AP$55,4,FALSE))</f>
        <v>38</v>
      </c>
      <c r="Q42" s="4">
        <f>(VLOOKUP('18.04'!Y42,'18.04'!$AM$4:$AP$55,4,FALSE))</f>
        <v>0</v>
      </c>
      <c r="R42" s="4">
        <f>(VLOOKUP('18.04'!Z42,'18.04'!$AM$4:$AP$55,4,FALSE))</f>
        <v>0</v>
      </c>
      <c r="S42" s="4">
        <f>(VLOOKUP('18.04'!AA42,'18.04'!$AM$4:$AP$55,4,FALSE))</f>
        <v>0</v>
      </c>
      <c r="T42" s="4">
        <f>(VLOOKUP('18.04'!AB42,'18.04'!$AM$4:$AP$55,4,FALSE))</f>
        <v>0</v>
      </c>
      <c r="U42" s="4">
        <f>(VLOOKUP('18.04'!AC42,'18.04'!$AM$4:$AP$55,4,FALSE))</f>
        <v>0</v>
      </c>
      <c r="V42" s="4">
        <f>(VLOOKUP('18.04'!AD42,'18.04'!$AM$4:$AP$55,4,FALSE))</f>
        <v>0</v>
      </c>
      <c r="W42" s="4">
        <f>(VLOOKUP('18.04'!AE42,'18.04'!$AM$4:$AP$55,4,FALSE))</f>
        <v>0</v>
      </c>
      <c r="X42" s="4">
        <f>(VLOOKUP('18.04'!AF42,'18.04'!$AM$4:$AP$55,4,FALSE))</f>
        <v>0</v>
      </c>
    </row>
    <row r="43" spans="1:24">
      <c r="A43" s="4">
        <f>(VLOOKUP('18.04'!I43,'18.04'!$AM$4:$AP$55,4,FALSE))</f>
        <v>34</v>
      </c>
      <c r="B43" s="4">
        <f>(VLOOKUP('18.04'!J43,'18.04'!$AM$4:$AP$55,4,FALSE))</f>
        <v>34</v>
      </c>
      <c r="C43" s="4">
        <f>(VLOOKUP('18.04'!K43,'18.04'!$AM$4:$AP$55,4,FALSE))</f>
        <v>34</v>
      </c>
      <c r="D43" s="4">
        <f>(VLOOKUP('18.04'!L43,'18.04'!$AM$4:$AP$55,4,FALSE))</f>
        <v>34</v>
      </c>
      <c r="E43" s="4">
        <f>(VLOOKUP('18.04'!M43,'18.04'!$AM$4:$AP$55,4,FALSE))</f>
        <v>34</v>
      </c>
      <c r="F43" s="4">
        <f>(VLOOKUP('18.04'!N43,'18.04'!$AM$4:$AP$55,4,FALSE))</f>
        <v>34</v>
      </c>
      <c r="G43" s="4">
        <f>(VLOOKUP('18.04'!O43,'18.04'!$AM$4:$AP$55,4,FALSE))</f>
        <v>34</v>
      </c>
      <c r="H43" s="4">
        <f>(VLOOKUP('18.04'!P43,'18.04'!$AM$4:$AP$55,4,FALSE))</f>
        <v>0</v>
      </c>
      <c r="I43" s="4">
        <f>(VLOOKUP('18.04'!Q43,'18.04'!$AM$4:$AP$55,4,FALSE))</f>
        <v>38</v>
      </c>
      <c r="J43" s="4">
        <f>(VLOOKUP('18.04'!R43,'18.04'!$AM$4:$AP$55,4,FALSE))</f>
        <v>38</v>
      </c>
      <c r="K43" s="4">
        <f>(VLOOKUP('18.04'!S43,'18.04'!$AM$4:$AP$55,4,FALSE))</f>
        <v>38</v>
      </c>
      <c r="L43" s="4">
        <f>(VLOOKUP('18.04'!T43,'18.04'!$AM$4:$AP$55,4,FALSE))</f>
        <v>38</v>
      </c>
      <c r="M43" s="4">
        <f>(VLOOKUP('18.04'!U43,'18.04'!$AM$4:$AP$55,4,FALSE))</f>
        <v>38</v>
      </c>
      <c r="N43" s="4">
        <f>(VLOOKUP('18.04'!V43,'18.04'!$AM$4:$AP$55,4,FALSE))</f>
        <v>38</v>
      </c>
      <c r="O43" s="4">
        <f>(VLOOKUP('18.04'!W43,'18.04'!$AM$4:$AP$55,4,FALSE))</f>
        <v>38</v>
      </c>
      <c r="P43" s="4">
        <f>(VLOOKUP('18.04'!X43,'18.04'!$AM$4:$AP$55,4,FALSE))</f>
        <v>38</v>
      </c>
      <c r="Q43" s="4">
        <f>(VLOOKUP('18.04'!Y43,'18.04'!$AM$4:$AP$55,4,FALSE))</f>
        <v>0</v>
      </c>
      <c r="R43" s="4">
        <f>(VLOOKUP('18.04'!Z43,'18.04'!$AM$4:$AP$55,4,FALSE))</f>
        <v>0</v>
      </c>
      <c r="S43" s="4">
        <f>(VLOOKUP('18.04'!AA43,'18.04'!$AM$4:$AP$55,4,FALSE))</f>
        <v>0</v>
      </c>
      <c r="T43" s="4">
        <f>(VLOOKUP('18.04'!AB43,'18.04'!$AM$4:$AP$55,4,FALSE))</f>
        <v>0</v>
      </c>
      <c r="U43" s="4">
        <f>(VLOOKUP('18.04'!AC43,'18.04'!$AM$4:$AP$55,4,FALSE))</f>
        <v>0</v>
      </c>
      <c r="V43" s="4">
        <f>(VLOOKUP('18.04'!AD43,'18.04'!$AM$4:$AP$55,4,FALSE))</f>
        <v>0</v>
      </c>
      <c r="W43" s="4">
        <f>(VLOOKUP('18.04'!AE43,'18.04'!$AM$4:$AP$55,4,FALSE))</f>
        <v>0</v>
      </c>
      <c r="X43" s="4">
        <f>(VLOOKUP('18.04'!AF43,'18.04'!$AM$4:$AP$55,4,FALSE))</f>
        <v>0</v>
      </c>
    </row>
    <row r="44" spans="1:24">
      <c r="A44" s="4">
        <f>(VLOOKUP('18.04'!I44,'18.04'!$AM$4:$AP$55,4,FALSE))</f>
        <v>34</v>
      </c>
      <c r="B44" s="4">
        <f>(VLOOKUP('18.04'!J44,'18.04'!$AM$4:$AP$55,4,FALSE))</f>
        <v>34</v>
      </c>
      <c r="C44" s="4">
        <f>(VLOOKUP('18.04'!K44,'18.04'!$AM$4:$AP$55,4,FALSE))</f>
        <v>34</v>
      </c>
      <c r="D44" s="4">
        <f>(VLOOKUP('18.04'!L44,'18.04'!$AM$4:$AP$55,4,FALSE))</f>
        <v>34</v>
      </c>
      <c r="E44" s="4">
        <f>(VLOOKUP('18.04'!M44,'18.04'!$AM$4:$AP$55,4,FALSE))</f>
        <v>34</v>
      </c>
      <c r="F44" s="4">
        <f>(VLOOKUP('18.04'!N44,'18.04'!$AM$4:$AP$55,4,FALSE))</f>
        <v>34</v>
      </c>
      <c r="G44" s="4">
        <f>(VLOOKUP('18.04'!O44,'18.04'!$AM$4:$AP$55,4,FALSE))</f>
        <v>34</v>
      </c>
      <c r="H44" s="4">
        <f>(VLOOKUP('18.04'!P44,'18.04'!$AM$4:$AP$55,4,FALSE))</f>
        <v>0</v>
      </c>
      <c r="I44" s="4">
        <f>(VLOOKUP('18.04'!Q44,'18.04'!$AM$4:$AP$55,4,FALSE))</f>
        <v>38</v>
      </c>
      <c r="J44" s="4">
        <f>(VLOOKUP('18.04'!R44,'18.04'!$AM$4:$AP$55,4,FALSE))</f>
        <v>38</v>
      </c>
      <c r="K44" s="4">
        <f>(VLOOKUP('18.04'!S44,'18.04'!$AM$4:$AP$55,4,FALSE))</f>
        <v>38</v>
      </c>
      <c r="L44" s="4">
        <f>(VLOOKUP('18.04'!T44,'18.04'!$AM$4:$AP$55,4,FALSE))</f>
        <v>38</v>
      </c>
      <c r="M44" s="4">
        <f>(VLOOKUP('18.04'!U44,'18.04'!$AM$4:$AP$55,4,FALSE))</f>
        <v>38</v>
      </c>
      <c r="N44" s="4">
        <f>(VLOOKUP('18.04'!V44,'18.04'!$AM$4:$AP$55,4,FALSE))</f>
        <v>38</v>
      </c>
      <c r="O44" s="4">
        <f>(VLOOKUP('18.04'!W44,'18.04'!$AM$4:$AP$55,4,FALSE))</f>
        <v>38</v>
      </c>
      <c r="P44" s="4">
        <f>(VLOOKUP('18.04'!X44,'18.04'!$AM$4:$AP$55,4,FALSE))</f>
        <v>38</v>
      </c>
      <c r="Q44" s="4">
        <f>(VLOOKUP('18.04'!Y44,'18.04'!$AM$4:$AP$55,4,FALSE))</f>
        <v>0</v>
      </c>
      <c r="R44" s="4">
        <f>(VLOOKUP('18.04'!Z44,'18.04'!$AM$4:$AP$55,4,FALSE))</f>
        <v>0</v>
      </c>
      <c r="S44" s="4">
        <f>(VLOOKUP('18.04'!AA44,'18.04'!$AM$4:$AP$55,4,FALSE))</f>
        <v>0</v>
      </c>
      <c r="T44" s="4">
        <f>(VLOOKUP('18.04'!AB44,'18.04'!$AM$4:$AP$55,4,FALSE))</f>
        <v>0</v>
      </c>
      <c r="U44" s="4">
        <f>(VLOOKUP('18.04'!AC44,'18.04'!$AM$4:$AP$55,4,FALSE))</f>
        <v>0</v>
      </c>
      <c r="V44" s="4">
        <f>(VLOOKUP('18.04'!AD44,'18.04'!$AM$4:$AP$55,4,FALSE))</f>
        <v>0</v>
      </c>
      <c r="W44" s="4">
        <f>(VLOOKUP('18.04'!AE44,'18.04'!$AM$4:$AP$55,4,FALSE))</f>
        <v>0</v>
      </c>
      <c r="X44" s="4">
        <f>(VLOOKUP('18.04'!AF44,'18.04'!$AM$4:$AP$55,4,FALSE))</f>
        <v>0</v>
      </c>
    </row>
    <row r="45" spans="1:24">
      <c r="A45" s="4">
        <f>(VLOOKUP('18.04'!I45,'18.04'!$AM$4:$AP$55,4,FALSE))</f>
        <v>34</v>
      </c>
      <c r="B45" s="4">
        <f>(VLOOKUP('18.04'!J45,'18.04'!$AM$4:$AP$55,4,FALSE))</f>
        <v>34</v>
      </c>
      <c r="C45" s="4">
        <f>(VLOOKUP('18.04'!K45,'18.04'!$AM$4:$AP$55,4,FALSE))</f>
        <v>34</v>
      </c>
      <c r="D45" s="4">
        <f>(VLOOKUP('18.04'!L45,'18.04'!$AM$4:$AP$55,4,FALSE))</f>
        <v>34</v>
      </c>
      <c r="E45" s="4">
        <f>(VLOOKUP('18.04'!M45,'18.04'!$AM$4:$AP$55,4,FALSE))</f>
        <v>34</v>
      </c>
      <c r="F45" s="4">
        <f>(VLOOKUP('18.04'!N45,'18.04'!$AM$4:$AP$55,4,FALSE))</f>
        <v>34</v>
      </c>
      <c r="G45" s="4">
        <f>(VLOOKUP('18.04'!O45,'18.04'!$AM$4:$AP$55,4,FALSE))</f>
        <v>34</v>
      </c>
      <c r="H45" s="4">
        <f>(VLOOKUP('18.04'!P45,'18.04'!$AM$4:$AP$55,4,FALSE))</f>
        <v>0</v>
      </c>
      <c r="I45" s="4">
        <f>(VLOOKUP('18.04'!Q45,'18.04'!$AM$4:$AP$55,4,FALSE))</f>
        <v>38</v>
      </c>
      <c r="J45" s="4">
        <f>(VLOOKUP('18.04'!R45,'18.04'!$AM$4:$AP$55,4,FALSE))</f>
        <v>38</v>
      </c>
      <c r="K45" s="4">
        <f>(VLOOKUP('18.04'!S45,'18.04'!$AM$4:$AP$55,4,FALSE))</f>
        <v>38</v>
      </c>
      <c r="L45" s="4">
        <f>(VLOOKUP('18.04'!T45,'18.04'!$AM$4:$AP$55,4,FALSE))</f>
        <v>38</v>
      </c>
      <c r="M45" s="4">
        <f>(VLOOKUP('18.04'!U45,'18.04'!$AM$4:$AP$55,4,FALSE))</f>
        <v>38</v>
      </c>
      <c r="N45" s="4">
        <f>(VLOOKUP('18.04'!V45,'18.04'!$AM$4:$AP$55,4,FALSE))</f>
        <v>38</v>
      </c>
      <c r="O45" s="4">
        <f>(VLOOKUP('18.04'!W45,'18.04'!$AM$4:$AP$55,4,FALSE))</f>
        <v>38</v>
      </c>
      <c r="P45" s="4">
        <f>(VLOOKUP('18.04'!X45,'18.04'!$AM$4:$AP$55,4,FALSE))</f>
        <v>38</v>
      </c>
      <c r="Q45" s="4">
        <f>(VLOOKUP('18.04'!Y45,'18.04'!$AM$4:$AP$55,4,FALSE))</f>
        <v>0</v>
      </c>
      <c r="R45" s="4">
        <f>(VLOOKUP('18.04'!Z45,'18.04'!$AM$4:$AP$55,4,FALSE))</f>
        <v>0</v>
      </c>
      <c r="S45" s="4">
        <f>(VLOOKUP('18.04'!AA45,'18.04'!$AM$4:$AP$55,4,FALSE))</f>
        <v>0</v>
      </c>
      <c r="T45" s="4">
        <f>(VLOOKUP('18.04'!AB45,'18.04'!$AM$4:$AP$55,4,FALSE))</f>
        <v>0</v>
      </c>
      <c r="U45" s="4">
        <f>(VLOOKUP('18.04'!AC45,'18.04'!$AM$4:$AP$55,4,FALSE))</f>
        <v>0</v>
      </c>
      <c r="V45" s="4">
        <f>(VLOOKUP('18.04'!AD45,'18.04'!$AM$4:$AP$55,4,FALSE))</f>
        <v>0</v>
      </c>
      <c r="W45" s="4">
        <f>(VLOOKUP('18.04'!AE45,'18.04'!$AM$4:$AP$55,4,FALSE))</f>
        <v>0</v>
      </c>
      <c r="X45" s="4">
        <f>(VLOOKUP('18.04'!AF45,'18.04'!$AM$4:$AP$55,4,FALSE))</f>
        <v>0</v>
      </c>
    </row>
    <row r="46" spans="1:24">
      <c r="A46" s="4">
        <f>(VLOOKUP('18.04'!I46,'18.04'!$AM$4:$AP$55,4,FALSE))</f>
        <v>34</v>
      </c>
      <c r="B46" s="4">
        <f>(VLOOKUP('18.04'!J46,'18.04'!$AM$4:$AP$55,4,FALSE))</f>
        <v>34</v>
      </c>
      <c r="C46" s="4">
        <f>(VLOOKUP('18.04'!K46,'18.04'!$AM$4:$AP$55,4,FALSE))</f>
        <v>34</v>
      </c>
      <c r="D46" s="4">
        <f>(VLOOKUP('18.04'!L46,'18.04'!$AM$4:$AP$55,4,FALSE))</f>
        <v>34</v>
      </c>
      <c r="E46" s="4">
        <f>(VLOOKUP('18.04'!M46,'18.04'!$AM$4:$AP$55,4,FALSE))</f>
        <v>34</v>
      </c>
      <c r="F46" s="4">
        <f>(VLOOKUP('18.04'!N46,'18.04'!$AM$4:$AP$55,4,FALSE))</f>
        <v>34</v>
      </c>
      <c r="G46" s="4">
        <f>(VLOOKUP('18.04'!O46,'18.04'!$AM$4:$AP$55,4,FALSE))</f>
        <v>34</v>
      </c>
      <c r="H46" s="4">
        <f>(VLOOKUP('18.04'!P46,'18.04'!$AM$4:$AP$55,4,FALSE))</f>
        <v>0</v>
      </c>
      <c r="I46" s="4">
        <f>(VLOOKUP('18.04'!Q46,'18.04'!$AM$4:$AP$55,4,FALSE))</f>
        <v>38</v>
      </c>
      <c r="J46" s="4">
        <f>(VLOOKUP('18.04'!R46,'18.04'!$AM$4:$AP$55,4,FALSE))</f>
        <v>38</v>
      </c>
      <c r="K46" s="4">
        <f>(VLOOKUP('18.04'!S46,'18.04'!$AM$4:$AP$55,4,FALSE))</f>
        <v>38</v>
      </c>
      <c r="L46" s="4">
        <f>(VLOOKUP('18.04'!T46,'18.04'!$AM$4:$AP$55,4,FALSE))</f>
        <v>38</v>
      </c>
      <c r="M46" s="4">
        <f>(VLOOKUP('18.04'!U46,'18.04'!$AM$4:$AP$55,4,FALSE))</f>
        <v>38</v>
      </c>
      <c r="N46" s="4">
        <f>(VLOOKUP('18.04'!V46,'18.04'!$AM$4:$AP$55,4,FALSE))</f>
        <v>38</v>
      </c>
      <c r="O46" s="4">
        <f>(VLOOKUP('18.04'!W46,'18.04'!$AM$4:$AP$55,4,FALSE))</f>
        <v>38</v>
      </c>
      <c r="P46" s="4">
        <f>(VLOOKUP('18.04'!X46,'18.04'!$AM$4:$AP$55,4,FALSE))</f>
        <v>38</v>
      </c>
      <c r="Q46" s="4">
        <f>(VLOOKUP('18.04'!Y46,'18.04'!$AM$4:$AP$55,4,FALSE))</f>
        <v>0</v>
      </c>
      <c r="R46" s="4">
        <f>(VLOOKUP('18.04'!Z46,'18.04'!$AM$4:$AP$55,4,FALSE))</f>
        <v>0</v>
      </c>
      <c r="S46" s="4">
        <f>(VLOOKUP('18.04'!AA46,'18.04'!$AM$4:$AP$55,4,FALSE))</f>
        <v>0</v>
      </c>
      <c r="T46" s="4">
        <f>(VLOOKUP('18.04'!AB46,'18.04'!$AM$4:$AP$55,4,FALSE))</f>
        <v>0</v>
      </c>
      <c r="U46" s="4">
        <f>(VLOOKUP('18.04'!AC46,'18.04'!$AM$4:$AP$55,4,FALSE))</f>
        <v>0</v>
      </c>
      <c r="V46" s="4">
        <f>(VLOOKUP('18.04'!AD46,'18.04'!$AM$4:$AP$55,4,FALSE))</f>
        <v>0</v>
      </c>
      <c r="W46" s="4">
        <f>(VLOOKUP('18.04'!AE46,'18.04'!$AM$4:$AP$55,4,FALSE))</f>
        <v>0</v>
      </c>
      <c r="X46" s="4">
        <f>(VLOOKUP('18.04'!AF46,'18.04'!$AM$4:$AP$55,4,FALSE))</f>
        <v>0</v>
      </c>
    </row>
    <row r="47" spans="1:24">
      <c r="A47" s="4">
        <f>(VLOOKUP('18.04'!I47,'18.04'!$AM$4:$AP$55,4,FALSE))</f>
        <v>34</v>
      </c>
      <c r="B47" s="4">
        <f>(VLOOKUP('18.04'!J47,'18.04'!$AM$4:$AP$55,4,FALSE))</f>
        <v>34</v>
      </c>
      <c r="C47" s="4">
        <f>(VLOOKUP('18.04'!K47,'18.04'!$AM$4:$AP$55,4,FALSE))</f>
        <v>34</v>
      </c>
      <c r="D47" s="4">
        <f>(VLOOKUP('18.04'!L47,'18.04'!$AM$4:$AP$55,4,FALSE))</f>
        <v>34</v>
      </c>
      <c r="E47" s="4">
        <f>(VLOOKUP('18.04'!M47,'18.04'!$AM$4:$AP$55,4,FALSE))</f>
        <v>34</v>
      </c>
      <c r="F47" s="4">
        <f>(VLOOKUP('18.04'!N47,'18.04'!$AM$4:$AP$55,4,FALSE))</f>
        <v>34</v>
      </c>
      <c r="G47" s="4">
        <f>(VLOOKUP('18.04'!O47,'18.04'!$AM$4:$AP$55,4,FALSE))</f>
        <v>34</v>
      </c>
      <c r="H47" s="4">
        <f>(VLOOKUP('18.04'!P47,'18.04'!$AM$4:$AP$55,4,FALSE))</f>
        <v>0</v>
      </c>
      <c r="I47" s="4">
        <f>(VLOOKUP('18.04'!Q47,'18.04'!$AM$4:$AP$55,4,FALSE))</f>
        <v>38</v>
      </c>
      <c r="J47" s="4">
        <f>(VLOOKUP('18.04'!R47,'18.04'!$AM$4:$AP$55,4,FALSE))</f>
        <v>38</v>
      </c>
      <c r="K47" s="4">
        <f>(VLOOKUP('18.04'!S47,'18.04'!$AM$4:$AP$55,4,FALSE))</f>
        <v>38</v>
      </c>
      <c r="L47" s="4">
        <f>(VLOOKUP('18.04'!T47,'18.04'!$AM$4:$AP$55,4,FALSE))</f>
        <v>38</v>
      </c>
      <c r="M47" s="4">
        <f>(VLOOKUP('18.04'!U47,'18.04'!$AM$4:$AP$55,4,FALSE))</f>
        <v>38</v>
      </c>
      <c r="N47" s="4">
        <f>(VLOOKUP('18.04'!V47,'18.04'!$AM$4:$AP$55,4,FALSE))</f>
        <v>38</v>
      </c>
      <c r="O47" s="4">
        <f>(VLOOKUP('18.04'!W47,'18.04'!$AM$4:$AP$55,4,FALSE))</f>
        <v>38</v>
      </c>
      <c r="P47" s="4">
        <f>(VLOOKUP('18.04'!X47,'18.04'!$AM$4:$AP$55,4,FALSE))</f>
        <v>38</v>
      </c>
      <c r="Q47" s="4">
        <f>(VLOOKUP('18.04'!Y47,'18.04'!$AM$4:$AP$55,4,FALSE))</f>
        <v>0</v>
      </c>
      <c r="R47" s="4">
        <f>(VLOOKUP('18.04'!Z47,'18.04'!$AM$4:$AP$55,4,FALSE))</f>
        <v>0</v>
      </c>
      <c r="S47" s="4">
        <f>(VLOOKUP('18.04'!AA47,'18.04'!$AM$4:$AP$55,4,FALSE))</f>
        <v>0</v>
      </c>
      <c r="T47" s="4">
        <f>(VLOOKUP('18.04'!AB47,'18.04'!$AM$4:$AP$55,4,FALSE))</f>
        <v>0</v>
      </c>
      <c r="U47" s="4">
        <f>(VLOOKUP('18.04'!AC47,'18.04'!$AM$4:$AP$55,4,FALSE))</f>
        <v>0</v>
      </c>
      <c r="V47" s="4">
        <f>(VLOOKUP('18.04'!AD47,'18.04'!$AM$4:$AP$55,4,FALSE))</f>
        <v>0</v>
      </c>
      <c r="W47" s="4">
        <f>(VLOOKUP('18.04'!AE47,'18.04'!$AM$4:$AP$55,4,FALSE))</f>
        <v>0</v>
      </c>
      <c r="X47" s="4">
        <f>(VLOOKUP('18.04'!AF47,'18.04'!$AM$4:$AP$55,4,FALSE))</f>
        <v>0</v>
      </c>
    </row>
    <row r="48" spans="1:24">
      <c r="A48" s="4">
        <f>(VLOOKUP('18.04'!I48,'18.04'!$AM$4:$AP$55,4,FALSE))</f>
        <v>34</v>
      </c>
      <c r="B48" s="4">
        <f>(VLOOKUP('18.04'!J48,'18.04'!$AM$4:$AP$55,4,FALSE))</f>
        <v>34</v>
      </c>
      <c r="C48" s="4">
        <f>(VLOOKUP('18.04'!K48,'18.04'!$AM$4:$AP$55,4,FALSE))</f>
        <v>34</v>
      </c>
      <c r="D48" s="4">
        <f>(VLOOKUP('18.04'!L48,'18.04'!$AM$4:$AP$55,4,FALSE))</f>
        <v>34</v>
      </c>
      <c r="E48" s="4">
        <f>(VLOOKUP('18.04'!M48,'18.04'!$AM$4:$AP$55,4,FALSE))</f>
        <v>34</v>
      </c>
      <c r="F48" s="4">
        <f>(VLOOKUP('18.04'!N48,'18.04'!$AM$4:$AP$55,4,FALSE))</f>
        <v>34</v>
      </c>
      <c r="G48" s="4">
        <f>(VLOOKUP('18.04'!O48,'18.04'!$AM$4:$AP$55,4,FALSE))</f>
        <v>34</v>
      </c>
      <c r="H48" s="4">
        <f>(VLOOKUP('18.04'!P48,'18.04'!$AM$4:$AP$55,4,FALSE))</f>
        <v>0</v>
      </c>
      <c r="I48" s="4">
        <f>(VLOOKUP('18.04'!Q48,'18.04'!$AM$4:$AP$55,4,FALSE))</f>
        <v>38</v>
      </c>
      <c r="J48" s="4">
        <f>(VLOOKUP('18.04'!R48,'18.04'!$AM$4:$AP$55,4,FALSE))</f>
        <v>38</v>
      </c>
      <c r="K48" s="4">
        <f>(VLOOKUP('18.04'!S48,'18.04'!$AM$4:$AP$55,4,FALSE))</f>
        <v>38</v>
      </c>
      <c r="L48" s="4">
        <f>(VLOOKUP('18.04'!T48,'18.04'!$AM$4:$AP$55,4,FALSE))</f>
        <v>38</v>
      </c>
      <c r="M48" s="4">
        <f>(VLOOKUP('18.04'!U48,'18.04'!$AM$4:$AP$55,4,FALSE))</f>
        <v>38</v>
      </c>
      <c r="N48" s="4">
        <f>(VLOOKUP('18.04'!V48,'18.04'!$AM$4:$AP$55,4,FALSE))</f>
        <v>38</v>
      </c>
      <c r="O48" s="4">
        <f>(VLOOKUP('18.04'!W48,'18.04'!$AM$4:$AP$55,4,FALSE))</f>
        <v>38</v>
      </c>
      <c r="P48" s="4">
        <f>(VLOOKUP('18.04'!X48,'18.04'!$AM$4:$AP$55,4,FALSE))</f>
        <v>38</v>
      </c>
      <c r="Q48" s="4">
        <f>(VLOOKUP('18.04'!Y48,'18.04'!$AM$4:$AP$55,4,FALSE))</f>
        <v>0</v>
      </c>
      <c r="R48" s="4">
        <f>(VLOOKUP('18.04'!Z48,'18.04'!$AM$4:$AP$55,4,FALSE))</f>
        <v>0</v>
      </c>
      <c r="S48" s="4">
        <f>(VLOOKUP('18.04'!AA48,'18.04'!$AM$4:$AP$55,4,FALSE))</f>
        <v>0</v>
      </c>
      <c r="T48" s="4">
        <f>(VLOOKUP('18.04'!AB48,'18.04'!$AM$4:$AP$55,4,FALSE))</f>
        <v>0</v>
      </c>
      <c r="U48" s="4">
        <f>(VLOOKUP('18.04'!AC48,'18.04'!$AM$4:$AP$55,4,FALSE))</f>
        <v>0</v>
      </c>
      <c r="V48" s="4">
        <f>(VLOOKUP('18.04'!AD48,'18.04'!$AM$4:$AP$55,4,FALSE))</f>
        <v>0</v>
      </c>
      <c r="W48" s="4">
        <f>(VLOOKUP('18.04'!AE48,'18.04'!$AM$4:$AP$55,4,FALSE))</f>
        <v>0</v>
      </c>
      <c r="X48" s="4">
        <f>(VLOOKUP('18.04'!AF48,'18.04'!$AM$4:$AP$55,4,FALSE))</f>
        <v>0</v>
      </c>
    </row>
    <row r="49" spans="1:24">
      <c r="A49" s="4">
        <f>(VLOOKUP('18.04'!I49,'18.04'!$AM$4:$AP$55,4,FALSE))</f>
        <v>34</v>
      </c>
      <c r="B49" s="4">
        <f>(VLOOKUP('18.04'!J49,'18.04'!$AM$4:$AP$55,4,FALSE))</f>
        <v>34</v>
      </c>
      <c r="C49" s="4">
        <f>(VLOOKUP('18.04'!K49,'18.04'!$AM$4:$AP$55,4,FALSE))</f>
        <v>34</v>
      </c>
      <c r="D49" s="4">
        <f>(VLOOKUP('18.04'!L49,'18.04'!$AM$4:$AP$55,4,FALSE))</f>
        <v>34</v>
      </c>
      <c r="E49" s="4">
        <f>(VLOOKUP('18.04'!M49,'18.04'!$AM$4:$AP$55,4,FALSE))</f>
        <v>34</v>
      </c>
      <c r="F49" s="4">
        <f>(VLOOKUP('18.04'!N49,'18.04'!$AM$4:$AP$55,4,FALSE))</f>
        <v>34</v>
      </c>
      <c r="G49" s="4">
        <f>(VLOOKUP('18.04'!O49,'18.04'!$AM$4:$AP$55,4,FALSE))</f>
        <v>34</v>
      </c>
      <c r="H49" s="4">
        <f>(VLOOKUP('18.04'!P49,'18.04'!$AM$4:$AP$55,4,FALSE))</f>
        <v>0</v>
      </c>
      <c r="I49" s="4">
        <f>(VLOOKUP('18.04'!Q49,'18.04'!$AM$4:$AP$55,4,FALSE))</f>
        <v>38</v>
      </c>
      <c r="J49" s="4">
        <f>(VLOOKUP('18.04'!R49,'18.04'!$AM$4:$AP$55,4,FALSE))</f>
        <v>38</v>
      </c>
      <c r="K49" s="4">
        <f>(VLOOKUP('18.04'!S49,'18.04'!$AM$4:$AP$55,4,FALSE))</f>
        <v>38</v>
      </c>
      <c r="L49" s="4">
        <f>(VLOOKUP('18.04'!T49,'18.04'!$AM$4:$AP$55,4,FALSE))</f>
        <v>38</v>
      </c>
      <c r="M49" s="4">
        <f>(VLOOKUP('18.04'!U49,'18.04'!$AM$4:$AP$55,4,FALSE))</f>
        <v>38</v>
      </c>
      <c r="N49" s="4">
        <f>(VLOOKUP('18.04'!V49,'18.04'!$AM$4:$AP$55,4,FALSE))</f>
        <v>38</v>
      </c>
      <c r="O49" s="4">
        <f>(VLOOKUP('18.04'!W49,'18.04'!$AM$4:$AP$55,4,FALSE))</f>
        <v>38</v>
      </c>
      <c r="P49" s="4">
        <f>(VLOOKUP('18.04'!X49,'18.04'!$AM$4:$AP$55,4,FALSE))</f>
        <v>38</v>
      </c>
      <c r="Q49" s="4">
        <f>(VLOOKUP('18.04'!Y49,'18.04'!$AM$4:$AP$55,4,FALSE))</f>
        <v>0</v>
      </c>
      <c r="R49" s="4">
        <f>(VLOOKUP('18.04'!Z49,'18.04'!$AM$4:$AP$55,4,FALSE))</f>
        <v>0</v>
      </c>
      <c r="S49" s="4">
        <f>(VLOOKUP('18.04'!AA49,'18.04'!$AM$4:$AP$55,4,FALSE))</f>
        <v>0</v>
      </c>
      <c r="T49" s="4">
        <f>(VLOOKUP('18.04'!AB49,'18.04'!$AM$4:$AP$55,4,FALSE))</f>
        <v>0</v>
      </c>
      <c r="U49" s="4">
        <f>(VLOOKUP('18.04'!AC49,'18.04'!$AM$4:$AP$55,4,FALSE))</f>
        <v>0</v>
      </c>
      <c r="V49" s="4">
        <f>(VLOOKUP('18.04'!AD49,'18.04'!$AM$4:$AP$55,4,FALSE))</f>
        <v>0</v>
      </c>
      <c r="W49" s="4">
        <f>(VLOOKUP('18.04'!AE49,'18.04'!$AM$4:$AP$55,4,FALSE))</f>
        <v>0</v>
      </c>
      <c r="X49" s="4">
        <f>(VLOOKUP('18.04'!AF49,'18.04'!$AM$4:$AP$55,4,FALSE))</f>
        <v>0</v>
      </c>
    </row>
    <row r="50" spans="1:24">
      <c r="A50" s="4">
        <f>(VLOOKUP('18.04'!I50,'18.04'!$AM$4:$AP$55,4,FALSE))</f>
        <v>34</v>
      </c>
      <c r="B50" s="4">
        <f>(VLOOKUP('18.04'!J50,'18.04'!$AM$4:$AP$55,4,FALSE))</f>
        <v>34</v>
      </c>
      <c r="C50" s="4">
        <f>(VLOOKUP('18.04'!K50,'18.04'!$AM$4:$AP$55,4,FALSE))</f>
        <v>34</v>
      </c>
      <c r="D50" s="4">
        <f>(VLOOKUP('18.04'!L50,'18.04'!$AM$4:$AP$55,4,FALSE))</f>
        <v>34</v>
      </c>
      <c r="E50" s="4">
        <f>(VLOOKUP('18.04'!M50,'18.04'!$AM$4:$AP$55,4,FALSE))</f>
        <v>34</v>
      </c>
      <c r="F50" s="4">
        <f>(VLOOKUP('18.04'!N50,'18.04'!$AM$4:$AP$55,4,FALSE))</f>
        <v>34</v>
      </c>
      <c r="G50" s="4">
        <f>(VLOOKUP('18.04'!O50,'18.04'!$AM$4:$AP$55,4,FALSE))</f>
        <v>34</v>
      </c>
      <c r="H50" s="4">
        <f>(VLOOKUP('18.04'!P50,'18.04'!$AM$4:$AP$55,4,FALSE))</f>
        <v>0</v>
      </c>
      <c r="I50" s="4">
        <f>(VLOOKUP('18.04'!Q50,'18.04'!$AM$4:$AP$55,4,FALSE))</f>
        <v>38</v>
      </c>
      <c r="J50" s="4">
        <f>(VLOOKUP('18.04'!R50,'18.04'!$AM$4:$AP$55,4,FALSE))</f>
        <v>38</v>
      </c>
      <c r="K50" s="4">
        <f>(VLOOKUP('18.04'!S50,'18.04'!$AM$4:$AP$55,4,FALSE))</f>
        <v>38</v>
      </c>
      <c r="L50" s="4">
        <f>(VLOOKUP('18.04'!T50,'18.04'!$AM$4:$AP$55,4,FALSE))</f>
        <v>38</v>
      </c>
      <c r="M50" s="4">
        <f>(VLOOKUP('18.04'!U50,'18.04'!$AM$4:$AP$55,4,FALSE))</f>
        <v>38</v>
      </c>
      <c r="N50" s="4">
        <f>(VLOOKUP('18.04'!V50,'18.04'!$AM$4:$AP$55,4,FALSE))</f>
        <v>38</v>
      </c>
      <c r="O50" s="4">
        <f>(VLOOKUP('18.04'!W50,'18.04'!$AM$4:$AP$55,4,FALSE))</f>
        <v>38</v>
      </c>
      <c r="P50" s="4">
        <f>(VLOOKUP('18.04'!X50,'18.04'!$AM$4:$AP$55,4,FALSE))</f>
        <v>38</v>
      </c>
      <c r="Q50" s="4">
        <f>(VLOOKUP('18.04'!Y50,'18.04'!$AM$4:$AP$55,4,FALSE))</f>
        <v>0</v>
      </c>
      <c r="R50" s="4">
        <f>(VLOOKUP('18.04'!Z50,'18.04'!$AM$4:$AP$55,4,FALSE))</f>
        <v>0</v>
      </c>
      <c r="S50" s="4">
        <f>(VLOOKUP('18.04'!AA50,'18.04'!$AM$4:$AP$55,4,FALSE))</f>
        <v>0</v>
      </c>
      <c r="T50" s="4">
        <f>(VLOOKUP('18.04'!AB50,'18.04'!$AM$4:$AP$55,4,FALSE))</f>
        <v>0</v>
      </c>
      <c r="U50" s="4">
        <f>(VLOOKUP('18.04'!AC50,'18.04'!$AM$4:$AP$55,4,FALSE))</f>
        <v>0</v>
      </c>
      <c r="V50" s="4">
        <f>(VLOOKUP('18.04'!AD50,'18.04'!$AM$4:$AP$55,4,FALSE))</f>
        <v>0</v>
      </c>
      <c r="W50" s="4">
        <f>(VLOOKUP('18.04'!AE50,'18.04'!$AM$4:$AP$55,4,FALSE))</f>
        <v>0</v>
      </c>
      <c r="X50" s="4">
        <f>(VLOOKUP('18.04'!AF50,'18.04'!$AM$4:$AP$55,4,FALSE))</f>
        <v>0</v>
      </c>
    </row>
    <row r="51" spans="1:24">
      <c r="A51" s="4">
        <f>(VLOOKUP('18.04'!I51,'18.04'!$AM$4:$AP$55,4,FALSE))</f>
        <v>34</v>
      </c>
      <c r="B51" s="4">
        <f>(VLOOKUP('18.04'!J51,'18.04'!$AM$4:$AP$55,4,FALSE))</f>
        <v>34</v>
      </c>
      <c r="C51" s="4">
        <f>(VLOOKUP('18.04'!K51,'18.04'!$AM$4:$AP$55,4,FALSE))</f>
        <v>0</v>
      </c>
      <c r="D51" s="4">
        <f>(VLOOKUP('18.04'!L51,'18.04'!$AM$4:$AP$55,4,FALSE))</f>
        <v>0</v>
      </c>
      <c r="E51" s="4">
        <f>(VLOOKUP('18.04'!M51,'18.04'!$AM$4:$AP$55,4,FALSE))</f>
        <v>0</v>
      </c>
      <c r="F51" s="4">
        <f>(VLOOKUP('18.04'!N51,'18.04'!$AM$4:$AP$55,4,FALSE))</f>
        <v>0</v>
      </c>
      <c r="G51" s="4">
        <f>(VLOOKUP('18.04'!O51,'18.04'!$AM$4:$AP$55,4,FALSE))</f>
        <v>0</v>
      </c>
      <c r="H51" s="4">
        <f>(VLOOKUP('18.04'!P51,'18.04'!$AM$4:$AP$55,4,FALSE))</f>
        <v>0</v>
      </c>
      <c r="I51" s="4">
        <f>(VLOOKUP('18.04'!Q51,'18.04'!$AM$4:$AP$55,4,FALSE))</f>
        <v>38</v>
      </c>
      <c r="J51" s="4">
        <f>(VLOOKUP('18.04'!R51,'18.04'!$AM$4:$AP$55,4,FALSE))</f>
        <v>38</v>
      </c>
      <c r="K51" s="4">
        <f>(VLOOKUP('18.04'!S51,'18.04'!$AM$4:$AP$55,4,FALSE))</f>
        <v>38</v>
      </c>
      <c r="L51" s="4">
        <f>(VLOOKUP('18.04'!T51,'18.04'!$AM$4:$AP$55,4,FALSE))</f>
        <v>38</v>
      </c>
      <c r="M51" s="4">
        <f>(VLOOKUP('18.04'!U51,'18.04'!$AM$4:$AP$55,4,FALSE))</f>
        <v>38</v>
      </c>
      <c r="N51" s="4">
        <f>(VLOOKUP('18.04'!V51,'18.04'!$AM$4:$AP$55,4,FALSE))</f>
        <v>38</v>
      </c>
      <c r="O51" s="4">
        <f>(VLOOKUP('18.04'!W51,'18.04'!$AM$4:$AP$55,4,FALSE))</f>
        <v>38</v>
      </c>
      <c r="P51" s="4">
        <f>(VLOOKUP('18.04'!X51,'18.04'!$AM$4:$AP$55,4,FALSE))</f>
        <v>38</v>
      </c>
      <c r="Q51" s="4">
        <f>(VLOOKUP('18.04'!Y51,'18.04'!$AM$4:$AP$55,4,FALSE))</f>
        <v>0</v>
      </c>
      <c r="R51" s="4">
        <f>(VLOOKUP('18.04'!Z51,'18.04'!$AM$4:$AP$55,4,FALSE))</f>
        <v>0</v>
      </c>
      <c r="S51" s="4">
        <f>(VLOOKUP('18.04'!AA51,'18.04'!$AM$4:$AP$55,4,FALSE))</f>
        <v>0</v>
      </c>
      <c r="T51" s="4">
        <f>(VLOOKUP('18.04'!AB51,'18.04'!$AM$4:$AP$55,4,FALSE))</f>
        <v>0</v>
      </c>
      <c r="U51" s="4">
        <f>(VLOOKUP('18.04'!AC51,'18.04'!$AM$4:$AP$55,4,FALSE))</f>
        <v>0</v>
      </c>
      <c r="V51" s="4">
        <f>(VLOOKUP('18.04'!AD51,'18.04'!$AM$4:$AP$55,4,FALSE))</f>
        <v>0</v>
      </c>
      <c r="W51" s="4">
        <f>(VLOOKUP('18.04'!AE51,'18.04'!$AM$4:$AP$55,4,FALSE))</f>
        <v>0</v>
      </c>
      <c r="X51" s="4">
        <f>(VLOOKUP('18.04'!AF51,'18.04'!$AM$4:$AP$55,4,FALSE))</f>
        <v>0</v>
      </c>
    </row>
    <row r="52" spans="1:24">
      <c r="A52" s="4">
        <f>(VLOOKUP('18.04'!I52,'18.04'!$AM$4:$AP$55,4,FALSE))</f>
        <v>36</v>
      </c>
      <c r="B52" s="4">
        <f>(VLOOKUP('18.04'!J52,'18.04'!$AM$4:$AP$55,4,FALSE))</f>
        <v>36</v>
      </c>
      <c r="C52" s="4">
        <f>(VLOOKUP('18.04'!K52,'18.04'!$AM$4:$AP$55,4,FALSE))</f>
        <v>36</v>
      </c>
      <c r="D52" s="4">
        <f>(VLOOKUP('18.04'!L52,'18.04'!$AM$4:$AP$55,4,FALSE))</f>
        <v>36</v>
      </c>
      <c r="E52" s="4">
        <f>(VLOOKUP('18.04'!M52,'18.04'!$AM$4:$AP$55,4,FALSE))</f>
        <v>36</v>
      </c>
      <c r="F52" s="4">
        <f>(VLOOKUP('18.04'!N52,'18.04'!$AM$4:$AP$55,4,FALSE))</f>
        <v>36</v>
      </c>
      <c r="G52" s="4">
        <f>(VLOOKUP('18.04'!O52,'18.04'!$AM$4:$AP$55,4,FALSE))</f>
        <v>36</v>
      </c>
      <c r="H52" s="4">
        <f>(VLOOKUP('18.04'!P52,'18.04'!$AM$4:$AP$55,4,FALSE))</f>
        <v>36</v>
      </c>
      <c r="I52" s="4">
        <f>(VLOOKUP('18.04'!Q52,'18.04'!$AM$4:$AP$55,4,FALSE))</f>
        <v>38</v>
      </c>
      <c r="J52" s="4">
        <f>(VLOOKUP('18.04'!R52,'18.04'!$AM$4:$AP$55,4,FALSE))</f>
        <v>38</v>
      </c>
      <c r="K52" s="4">
        <f>(VLOOKUP('18.04'!S52,'18.04'!$AM$4:$AP$55,4,FALSE))</f>
        <v>38</v>
      </c>
      <c r="L52" s="4">
        <f>(VLOOKUP('18.04'!T52,'18.04'!$AM$4:$AP$55,4,FALSE))</f>
        <v>38</v>
      </c>
      <c r="M52" s="4">
        <f>(VLOOKUP('18.04'!U52,'18.04'!$AM$4:$AP$55,4,FALSE))</f>
        <v>38</v>
      </c>
      <c r="N52" s="4">
        <f>(VLOOKUP('18.04'!V52,'18.04'!$AM$4:$AP$55,4,FALSE))</f>
        <v>38</v>
      </c>
      <c r="O52" s="4">
        <f>(VLOOKUP('18.04'!W52,'18.04'!$AM$4:$AP$55,4,FALSE))</f>
        <v>38</v>
      </c>
      <c r="P52" s="4">
        <f>(VLOOKUP('18.04'!X52,'18.04'!$AM$4:$AP$55,4,FALSE))</f>
        <v>38</v>
      </c>
      <c r="Q52" s="4">
        <f>(VLOOKUP('18.04'!Y52,'18.04'!$AM$4:$AP$55,4,FALSE))</f>
        <v>0</v>
      </c>
      <c r="R52" s="4">
        <f>(VLOOKUP('18.04'!Z52,'18.04'!$AM$4:$AP$55,4,FALSE))</f>
        <v>0</v>
      </c>
      <c r="S52" s="4">
        <f>(VLOOKUP('18.04'!AA52,'18.04'!$AM$4:$AP$55,4,FALSE))</f>
        <v>0</v>
      </c>
      <c r="T52" s="4">
        <f>(VLOOKUP('18.04'!AB52,'18.04'!$AM$4:$AP$55,4,FALSE))</f>
        <v>0</v>
      </c>
      <c r="U52" s="4">
        <f>(VLOOKUP('18.04'!AC52,'18.04'!$AM$4:$AP$55,4,FALSE))</f>
        <v>0</v>
      </c>
      <c r="V52" s="4">
        <f>(VLOOKUP('18.04'!AD52,'18.04'!$AM$4:$AP$55,4,FALSE))</f>
        <v>0</v>
      </c>
      <c r="W52" s="4">
        <f>(VLOOKUP('18.04'!AE52,'18.04'!$AM$4:$AP$55,4,FALSE))</f>
        <v>0</v>
      </c>
      <c r="X52" s="4">
        <f>(VLOOKUP('18.04'!AF52,'18.04'!$AM$4:$AP$55,4,FALSE))</f>
        <v>0</v>
      </c>
    </row>
    <row r="53" spans="1:24">
      <c r="A53" s="4">
        <f>(VLOOKUP('18.04'!I53,'18.04'!$AM$4:$AP$55,4,FALSE))</f>
        <v>36</v>
      </c>
      <c r="B53" s="4">
        <f>(VLOOKUP('18.04'!J53,'18.04'!$AM$4:$AP$55,4,FALSE))</f>
        <v>36</v>
      </c>
      <c r="C53" s="4">
        <f>(VLOOKUP('18.04'!K53,'18.04'!$AM$4:$AP$55,4,FALSE))</f>
        <v>36</v>
      </c>
      <c r="D53" s="4">
        <f>(VLOOKUP('18.04'!L53,'18.04'!$AM$4:$AP$55,4,FALSE))</f>
        <v>36</v>
      </c>
      <c r="E53" s="4">
        <f>(VLOOKUP('18.04'!M53,'18.04'!$AM$4:$AP$55,4,FALSE))</f>
        <v>36</v>
      </c>
      <c r="F53" s="4">
        <f>(VLOOKUP('18.04'!N53,'18.04'!$AM$4:$AP$55,4,FALSE))</f>
        <v>36</v>
      </c>
      <c r="G53" s="4">
        <f>(VLOOKUP('18.04'!O53,'18.04'!$AM$4:$AP$55,4,FALSE))</f>
        <v>36</v>
      </c>
      <c r="H53" s="4">
        <f>(VLOOKUP('18.04'!P53,'18.04'!$AM$4:$AP$55,4,FALSE))</f>
        <v>36</v>
      </c>
      <c r="I53" s="4">
        <f>(VLOOKUP('18.04'!Q53,'18.04'!$AM$4:$AP$55,4,FALSE))</f>
        <v>38</v>
      </c>
      <c r="J53" s="4">
        <f>(VLOOKUP('18.04'!R53,'18.04'!$AM$4:$AP$55,4,FALSE))</f>
        <v>38</v>
      </c>
      <c r="K53" s="4">
        <f>(VLOOKUP('18.04'!S53,'18.04'!$AM$4:$AP$55,4,FALSE))</f>
        <v>38</v>
      </c>
      <c r="L53" s="4">
        <f>(VLOOKUP('18.04'!T53,'18.04'!$AM$4:$AP$55,4,FALSE))</f>
        <v>38</v>
      </c>
      <c r="M53" s="4">
        <f>(VLOOKUP('18.04'!U53,'18.04'!$AM$4:$AP$55,4,FALSE))</f>
        <v>38</v>
      </c>
      <c r="N53" s="4">
        <f>(VLOOKUP('18.04'!V53,'18.04'!$AM$4:$AP$55,4,FALSE))</f>
        <v>38</v>
      </c>
      <c r="O53" s="4">
        <f>(VLOOKUP('18.04'!W53,'18.04'!$AM$4:$AP$55,4,FALSE))</f>
        <v>38</v>
      </c>
      <c r="P53" s="4">
        <f>(VLOOKUP('18.04'!X53,'18.04'!$AM$4:$AP$55,4,FALSE))</f>
        <v>38</v>
      </c>
      <c r="Q53" s="4">
        <f>(VLOOKUP('18.04'!Y53,'18.04'!$AM$4:$AP$55,4,FALSE))</f>
        <v>0</v>
      </c>
      <c r="R53" s="4">
        <f>(VLOOKUP('18.04'!Z53,'18.04'!$AM$4:$AP$55,4,FALSE))</f>
        <v>0</v>
      </c>
      <c r="S53" s="4">
        <f>(VLOOKUP('18.04'!AA53,'18.04'!$AM$4:$AP$55,4,FALSE))</f>
        <v>0</v>
      </c>
      <c r="T53" s="4">
        <f>(VLOOKUP('18.04'!AB53,'18.04'!$AM$4:$AP$55,4,FALSE))</f>
        <v>0</v>
      </c>
      <c r="U53" s="4">
        <f>(VLOOKUP('18.04'!AC53,'18.04'!$AM$4:$AP$55,4,FALSE))</f>
        <v>0</v>
      </c>
      <c r="V53" s="4">
        <f>(VLOOKUP('18.04'!AD53,'18.04'!$AM$4:$AP$55,4,FALSE))</f>
        <v>0</v>
      </c>
      <c r="W53" s="4">
        <f>(VLOOKUP('18.04'!AE53,'18.04'!$AM$4:$AP$55,4,FALSE))</f>
        <v>0</v>
      </c>
      <c r="X53" s="4">
        <f>(VLOOKUP('18.04'!AF53,'18.04'!$AM$4:$AP$55,4,FALSE))</f>
        <v>0</v>
      </c>
    </row>
    <row r="54" spans="1:24">
      <c r="A54" s="4">
        <f>(VLOOKUP('18.04'!I54,'18.04'!$AM$4:$AP$55,4,FALSE))</f>
        <v>36</v>
      </c>
      <c r="B54" s="4">
        <f>(VLOOKUP('18.04'!J54,'18.04'!$AM$4:$AP$55,4,FALSE))</f>
        <v>36</v>
      </c>
      <c r="C54" s="4">
        <f>(VLOOKUP('18.04'!K54,'18.04'!$AM$4:$AP$55,4,FALSE))</f>
        <v>36</v>
      </c>
      <c r="D54" s="4">
        <f>(VLOOKUP('18.04'!L54,'18.04'!$AM$4:$AP$55,4,FALSE))</f>
        <v>36</v>
      </c>
      <c r="E54" s="4">
        <f>(VLOOKUP('18.04'!M54,'18.04'!$AM$4:$AP$55,4,FALSE))</f>
        <v>36</v>
      </c>
      <c r="F54" s="4">
        <f>(VLOOKUP('18.04'!N54,'18.04'!$AM$4:$AP$55,4,FALSE))</f>
        <v>36</v>
      </c>
      <c r="G54" s="4">
        <f>(VLOOKUP('18.04'!O54,'18.04'!$AM$4:$AP$55,4,FALSE))</f>
        <v>36</v>
      </c>
      <c r="H54" s="4">
        <f>(VLOOKUP('18.04'!P54,'18.04'!$AM$4:$AP$55,4,FALSE))</f>
        <v>36</v>
      </c>
      <c r="I54" s="4">
        <f>(VLOOKUP('18.04'!Q54,'18.04'!$AM$4:$AP$55,4,FALSE))</f>
        <v>38</v>
      </c>
      <c r="J54" s="4">
        <f>(VLOOKUP('18.04'!R54,'18.04'!$AM$4:$AP$55,4,FALSE))</f>
        <v>38</v>
      </c>
      <c r="K54" s="4">
        <f>(VLOOKUP('18.04'!S54,'18.04'!$AM$4:$AP$55,4,FALSE))</f>
        <v>38</v>
      </c>
      <c r="L54" s="4">
        <f>(VLOOKUP('18.04'!T54,'18.04'!$AM$4:$AP$55,4,FALSE))</f>
        <v>38</v>
      </c>
      <c r="M54" s="4">
        <f>(VLOOKUP('18.04'!U54,'18.04'!$AM$4:$AP$55,4,FALSE))</f>
        <v>38</v>
      </c>
      <c r="N54" s="4">
        <f>(VLOOKUP('18.04'!V54,'18.04'!$AM$4:$AP$55,4,FALSE))</f>
        <v>38</v>
      </c>
      <c r="O54" s="4">
        <f>(VLOOKUP('18.04'!W54,'18.04'!$AM$4:$AP$55,4,FALSE))</f>
        <v>38</v>
      </c>
      <c r="P54" s="4">
        <f>(VLOOKUP('18.04'!X54,'18.04'!$AM$4:$AP$55,4,FALSE))</f>
        <v>38</v>
      </c>
      <c r="Q54" s="4">
        <f>(VLOOKUP('18.04'!Y54,'18.04'!$AM$4:$AP$55,4,FALSE))</f>
        <v>0</v>
      </c>
      <c r="R54" s="4">
        <f>(VLOOKUP('18.04'!Z54,'18.04'!$AM$4:$AP$55,4,FALSE))</f>
        <v>0</v>
      </c>
      <c r="S54" s="4">
        <f>(VLOOKUP('18.04'!AA54,'18.04'!$AM$4:$AP$55,4,FALSE))</f>
        <v>0</v>
      </c>
      <c r="T54" s="4">
        <f>(VLOOKUP('18.04'!AB54,'18.04'!$AM$4:$AP$55,4,FALSE))</f>
        <v>0</v>
      </c>
      <c r="U54" s="4">
        <f>(VLOOKUP('18.04'!AC54,'18.04'!$AM$4:$AP$55,4,FALSE))</f>
        <v>0</v>
      </c>
      <c r="V54" s="4">
        <f>(VLOOKUP('18.04'!AD54,'18.04'!$AM$4:$AP$55,4,FALSE))</f>
        <v>0</v>
      </c>
      <c r="W54" s="4">
        <f>(VLOOKUP('18.04'!AE54,'18.04'!$AM$4:$AP$55,4,FALSE))</f>
        <v>0</v>
      </c>
      <c r="X54" s="4">
        <f>(VLOOKUP('18.04'!AF54,'18.04'!$AM$4:$AP$55,4,FALSE))</f>
        <v>0</v>
      </c>
    </row>
    <row r="55" spans="1:24">
      <c r="A55" s="4">
        <f>(VLOOKUP('18.04'!I55,'18.04'!$AM$4:$AP$55,4,FALSE))</f>
        <v>36</v>
      </c>
      <c r="B55" s="4">
        <f>(VLOOKUP('18.04'!J55,'18.04'!$AM$4:$AP$55,4,FALSE))</f>
        <v>36</v>
      </c>
      <c r="C55" s="4">
        <f>(VLOOKUP('18.04'!K55,'18.04'!$AM$4:$AP$55,4,FALSE))</f>
        <v>36</v>
      </c>
      <c r="D55" s="4">
        <f>(VLOOKUP('18.04'!L55,'18.04'!$AM$4:$AP$55,4,FALSE))</f>
        <v>36</v>
      </c>
      <c r="E55" s="4">
        <f>(VLOOKUP('18.04'!M55,'18.04'!$AM$4:$AP$55,4,FALSE))</f>
        <v>36</v>
      </c>
      <c r="F55" s="4">
        <f>(VLOOKUP('18.04'!N55,'18.04'!$AM$4:$AP$55,4,FALSE))</f>
        <v>36</v>
      </c>
      <c r="G55" s="4">
        <f>(VLOOKUP('18.04'!O55,'18.04'!$AM$4:$AP$55,4,FALSE))</f>
        <v>36</v>
      </c>
      <c r="H55" s="4">
        <f>(VLOOKUP('18.04'!P55,'18.04'!$AM$4:$AP$55,4,FALSE))</f>
        <v>36</v>
      </c>
      <c r="I55" s="4">
        <f>(VLOOKUP('18.04'!Q55,'18.04'!$AM$4:$AP$55,4,FALSE))</f>
        <v>38</v>
      </c>
      <c r="J55" s="4">
        <f>(VLOOKUP('18.04'!R55,'18.04'!$AM$4:$AP$55,4,FALSE))</f>
        <v>38</v>
      </c>
      <c r="K55" s="4">
        <f>(VLOOKUP('18.04'!S55,'18.04'!$AM$4:$AP$55,4,FALSE))</f>
        <v>38</v>
      </c>
      <c r="L55" s="4">
        <f>(VLOOKUP('18.04'!T55,'18.04'!$AM$4:$AP$55,4,FALSE))</f>
        <v>38</v>
      </c>
      <c r="M55" s="4">
        <f>(VLOOKUP('18.04'!U55,'18.04'!$AM$4:$AP$55,4,FALSE))</f>
        <v>38</v>
      </c>
      <c r="N55" s="4">
        <f>(VLOOKUP('18.04'!V55,'18.04'!$AM$4:$AP$55,4,FALSE))</f>
        <v>38</v>
      </c>
      <c r="O55" s="4">
        <f>(VLOOKUP('18.04'!W55,'18.04'!$AM$4:$AP$55,4,FALSE))</f>
        <v>38</v>
      </c>
      <c r="P55" s="4">
        <f>(VLOOKUP('18.04'!X55,'18.04'!$AM$4:$AP$55,4,FALSE))</f>
        <v>38</v>
      </c>
      <c r="Q55" s="4">
        <f>(VLOOKUP('18.04'!Y55,'18.04'!$AM$4:$AP$55,4,FALSE))</f>
        <v>0</v>
      </c>
      <c r="R55" s="4">
        <f>(VLOOKUP('18.04'!Z55,'18.04'!$AM$4:$AP$55,4,FALSE))</f>
        <v>0</v>
      </c>
      <c r="S55" s="4">
        <f>(VLOOKUP('18.04'!AA55,'18.04'!$AM$4:$AP$55,4,FALSE))</f>
        <v>0</v>
      </c>
      <c r="T55" s="4">
        <f>(VLOOKUP('18.04'!AB55,'18.04'!$AM$4:$AP$55,4,FALSE))</f>
        <v>0</v>
      </c>
      <c r="U55" s="4">
        <f>(VLOOKUP('18.04'!AC55,'18.04'!$AM$4:$AP$55,4,FALSE))</f>
        <v>0</v>
      </c>
      <c r="V55" s="4">
        <f>(VLOOKUP('18.04'!AD55,'18.04'!$AM$4:$AP$55,4,FALSE))</f>
        <v>0</v>
      </c>
      <c r="W55" s="4">
        <f>(VLOOKUP('18.04'!AE55,'18.04'!$AM$4:$AP$55,4,FALSE))</f>
        <v>0</v>
      </c>
      <c r="X55" s="4">
        <f>(VLOOKUP('18.04'!AF55,'18.04'!$AM$4:$AP$55,4,FALSE))</f>
        <v>0</v>
      </c>
    </row>
    <row r="56" spans="1:24">
      <c r="A56" s="4">
        <f>(VLOOKUP('18.04'!I56,'18.04'!$AM$4:$AP$55,4,FALSE))</f>
        <v>36</v>
      </c>
      <c r="B56" s="4">
        <f>(VLOOKUP('18.04'!J56,'18.04'!$AM$4:$AP$55,4,FALSE))</f>
        <v>36</v>
      </c>
      <c r="C56" s="4">
        <f>(VLOOKUP('18.04'!K56,'18.04'!$AM$4:$AP$55,4,FALSE))</f>
        <v>36</v>
      </c>
      <c r="D56" s="4">
        <f>(VLOOKUP('18.04'!L56,'18.04'!$AM$4:$AP$55,4,FALSE))</f>
        <v>36</v>
      </c>
      <c r="E56" s="4">
        <f>(VLOOKUP('18.04'!M56,'18.04'!$AM$4:$AP$55,4,FALSE))</f>
        <v>36</v>
      </c>
      <c r="F56" s="4">
        <f>(VLOOKUP('18.04'!N56,'18.04'!$AM$4:$AP$55,4,FALSE))</f>
        <v>36</v>
      </c>
      <c r="G56" s="4">
        <f>(VLOOKUP('18.04'!O56,'18.04'!$AM$4:$AP$55,4,FALSE))</f>
        <v>36</v>
      </c>
      <c r="H56" s="4">
        <f>(VLOOKUP('18.04'!P56,'18.04'!$AM$4:$AP$55,4,FALSE))</f>
        <v>36</v>
      </c>
      <c r="I56" s="4">
        <f>(VLOOKUP('18.04'!Q56,'18.04'!$AM$4:$AP$55,4,FALSE))</f>
        <v>38</v>
      </c>
      <c r="J56" s="4">
        <f>(VLOOKUP('18.04'!R56,'18.04'!$AM$4:$AP$55,4,FALSE))</f>
        <v>38</v>
      </c>
      <c r="K56" s="4">
        <f>(VLOOKUP('18.04'!S56,'18.04'!$AM$4:$AP$55,4,FALSE))</f>
        <v>38</v>
      </c>
      <c r="L56" s="4">
        <f>(VLOOKUP('18.04'!T56,'18.04'!$AM$4:$AP$55,4,FALSE))</f>
        <v>38</v>
      </c>
      <c r="M56" s="4">
        <f>(VLOOKUP('18.04'!U56,'18.04'!$AM$4:$AP$55,4,FALSE))</f>
        <v>38</v>
      </c>
      <c r="N56" s="4">
        <f>(VLOOKUP('18.04'!V56,'18.04'!$AM$4:$AP$55,4,FALSE))</f>
        <v>38</v>
      </c>
      <c r="O56" s="4">
        <f>(VLOOKUP('18.04'!W56,'18.04'!$AM$4:$AP$55,4,FALSE))</f>
        <v>38</v>
      </c>
      <c r="P56" s="4">
        <f>(VLOOKUP('18.04'!X56,'18.04'!$AM$4:$AP$55,4,FALSE))</f>
        <v>38</v>
      </c>
      <c r="Q56" s="4">
        <f>(VLOOKUP('18.04'!Y56,'18.04'!$AM$4:$AP$55,4,FALSE))</f>
        <v>0</v>
      </c>
      <c r="R56" s="4">
        <f>(VLOOKUP('18.04'!Z56,'18.04'!$AM$4:$AP$55,4,FALSE))</f>
        <v>0</v>
      </c>
      <c r="S56" s="4">
        <f>(VLOOKUP('18.04'!AA56,'18.04'!$AM$4:$AP$55,4,FALSE))</f>
        <v>0</v>
      </c>
      <c r="T56" s="4">
        <f>(VLOOKUP('18.04'!AB56,'18.04'!$AM$4:$AP$55,4,FALSE))</f>
        <v>0</v>
      </c>
      <c r="U56" s="4">
        <f>(VLOOKUP('18.04'!AC56,'18.04'!$AM$4:$AP$55,4,FALSE))</f>
        <v>0</v>
      </c>
      <c r="V56" s="4">
        <f>(VLOOKUP('18.04'!AD56,'18.04'!$AM$4:$AP$55,4,FALSE))</f>
        <v>0</v>
      </c>
      <c r="W56" s="4">
        <f>(VLOOKUP('18.04'!AE56,'18.04'!$AM$4:$AP$55,4,FALSE))</f>
        <v>0</v>
      </c>
      <c r="X56" s="4">
        <f>(VLOOKUP('18.04'!AF56,'18.04'!$AM$4:$AP$55,4,FALSE))</f>
        <v>0</v>
      </c>
    </row>
    <row r="57" spans="1:24">
      <c r="A57" s="4">
        <f>(VLOOKUP('18.04'!I57,'18.04'!$AM$4:$AP$55,4,FALSE))</f>
        <v>36</v>
      </c>
      <c r="B57" s="4">
        <f>(VLOOKUP('18.04'!J57,'18.04'!$AM$4:$AP$55,4,FALSE))</f>
        <v>36</v>
      </c>
      <c r="C57" s="4">
        <f>(VLOOKUP('18.04'!K57,'18.04'!$AM$4:$AP$55,4,FALSE))</f>
        <v>36</v>
      </c>
      <c r="D57" s="4">
        <f>(VLOOKUP('18.04'!L57,'18.04'!$AM$4:$AP$55,4,FALSE))</f>
        <v>36</v>
      </c>
      <c r="E57" s="4">
        <f>(VLOOKUP('18.04'!M57,'18.04'!$AM$4:$AP$55,4,FALSE))</f>
        <v>36</v>
      </c>
      <c r="F57" s="4">
        <f>(VLOOKUP('18.04'!N57,'18.04'!$AM$4:$AP$55,4,FALSE))</f>
        <v>36</v>
      </c>
      <c r="G57" s="4">
        <f>(VLOOKUP('18.04'!O57,'18.04'!$AM$4:$AP$55,4,FALSE))</f>
        <v>36</v>
      </c>
      <c r="H57" s="4">
        <f>(VLOOKUP('18.04'!P57,'18.04'!$AM$4:$AP$55,4,FALSE))</f>
        <v>36</v>
      </c>
      <c r="I57" s="4">
        <f>(VLOOKUP('18.04'!Q57,'18.04'!$AM$4:$AP$55,4,FALSE))</f>
        <v>38</v>
      </c>
      <c r="J57" s="4">
        <f>(VLOOKUP('18.04'!R57,'18.04'!$AM$4:$AP$55,4,FALSE))</f>
        <v>38</v>
      </c>
      <c r="K57" s="4">
        <f>(VLOOKUP('18.04'!S57,'18.04'!$AM$4:$AP$55,4,FALSE))</f>
        <v>38</v>
      </c>
      <c r="L57" s="4">
        <f>(VLOOKUP('18.04'!T57,'18.04'!$AM$4:$AP$55,4,FALSE))</f>
        <v>38</v>
      </c>
      <c r="M57" s="4">
        <f>(VLOOKUP('18.04'!U57,'18.04'!$AM$4:$AP$55,4,FALSE))</f>
        <v>0</v>
      </c>
      <c r="N57" s="4">
        <f>(VLOOKUP('18.04'!V57,'18.04'!$AM$4:$AP$55,4,FALSE))</f>
        <v>0</v>
      </c>
      <c r="O57" s="4">
        <f>(VLOOKUP('18.04'!W57,'18.04'!$AM$4:$AP$55,4,FALSE))</f>
        <v>0</v>
      </c>
      <c r="P57" s="4">
        <f>(VLOOKUP('18.04'!X57,'18.04'!$AM$4:$AP$55,4,FALSE))</f>
        <v>0</v>
      </c>
      <c r="Q57" s="4">
        <f>(VLOOKUP('18.04'!Y57,'18.04'!$AM$4:$AP$55,4,FALSE))</f>
        <v>0</v>
      </c>
      <c r="R57" s="4">
        <f>(VLOOKUP('18.04'!Z57,'18.04'!$AM$4:$AP$55,4,FALSE))</f>
        <v>0</v>
      </c>
      <c r="S57" s="4">
        <f>(VLOOKUP('18.04'!AA57,'18.04'!$AM$4:$AP$55,4,FALSE))</f>
        <v>0</v>
      </c>
      <c r="T57" s="4">
        <f>(VLOOKUP('18.04'!AB57,'18.04'!$AM$4:$AP$55,4,FALSE))</f>
        <v>0</v>
      </c>
      <c r="U57" s="4">
        <f>(VLOOKUP('18.04'!AC57,'18.04'!$AM$4:$AP$55,4,FALSE))</f>
        <v>0</v>
      </c>
      <c r="V57" s="4">
        <f>(VLOOKUP('18.04'!AD57,'18.04'!$AM$4:$AP$55,4,FALSE))</f>
        <v>0</v>
      </c>
      <c r="W57" s="4">
        <f>(VLOOKUP('18.04'!AE57,'18.04'!$AM$4:$AP$55,4,FALSE))</f>
        <v>0</v>
      </c>
      <c r="X57" s="4">
        <f>(VLOOKUP('18.04'!AF57,'18.04'!$AM$4:$AP$55,4,FALSE))</f>
        <v>0</v>
      </c>
    </row>
    <row r="58" spans="1:24">
      <c r="A58" s="4">
        <f>(VLOOKUP('18.04'!I58,'18.04'!$AM$4:$AP$55,4,FALSE))</f>
        <v>36</v>
      </c>
      <c r="B58" s="4">
        <f>(VLOOKUP('18.04'!J58,'18.04'!$AM$4:$AP$55,4,FALSE))</f>
        <v>36</v>
      </c>
      <c r="C58" s="4">
        <f>(VLOOKUP('18.04'!K58,'18.04'!$AM$4:$AP$55,4,FALSE))</f>
        <v>36</v>
      </c>
      <c r="D58" s="4">
        <f>(VLOOKUP('18.04'!L58,'18.04'!$AM$4:$AP$55,4,FALSE))</f>
        <v>36</v>
      </c>
      <c r="E58" s="4">
        <f>(VLOOKUP('18.04'!M58,'18.04'!$AM$4:$AP$55,4,FALSE))</f>
        <v>36</v>
      </c>
      <c r="F58" s="4">
        <f>(VLOOKUP('18.04'!N58,'18.04'!$AM$4:$AP$55,4,FALSE))</f>
        <v>36</v>
      </c>
      <c r="G58" s="4">
        <f>(VLOOKUP('18.04'!O58,'18.04'!$AM$4:$AP$55,4,FALSE))</f>
        <v>36</v>
      </c>
      <c r="H58" s="4">
        <f>(VLOOKUP('18.04'!P58,'18.04'!$AM$4:$AP$55,4,FALSE))</f>
        <v>36</v>
      </c>
      <c r="I58" s="4">
        <f>(VLOOKUP('18.04'!Q58,'18.04'!$AM$4:$AP$55,4,FALSE))</f>
        <v>0</v>
      </c>
      <c r="J58" s="4">
        <f>(VLOOKUP('18.04'!R58,'18.04'!$AM$4:$AP$55,4,FALSE))</f>
        <v>0</v>
      </c>
      <c r="K58" s="4">
        <f>(VLOOKUP('18.04'!S58,'18.04'!$AM$4:$AP$55,4,FALSE))</f>
        <v>0</v>
      </c>
      <c r="L58" s="4">
        <f>(VLOOKUP('18.04'!T58,'18.04'!$AM$4:$AP$55,4,FALSE))</f>
        <v>0</v>
      </c>
      <c r="M58" s="4">
        <f>(VLOOKUP('18.04'!U58,'18.04'!$AM$4:$AP$55,4,FALSE))</f>
        <v>0</v>
      </c>
      <c r="N58" s="4">
        <f>(VLOOKUP('18.04'!V58,'18.04'!$AM$4:$AP$55,4,FALSE))</f>
        <v>0</v>
      </c>
      <c r="O58" s="4">
        <f>(VLOOKUP('18.04'!W58,'18.04'!$AM$4:$AP$55,4,FALSE))</f>
        <v>0</v>
      </c>
      <c r="P58" s="4">
        <f>(VLOOKUP('18.04'!X58,'18.04'!$AM$4:$AP$55,4,FALSE))</f>
        <v>0</v>
      </c>
      <c r="Q58" s="4">
        <f>(VLOOKUP('18.04'!Y58,'18.04'!$AM$4:$AP$55,4,FALSE))</f>
        <v>0</v>
      </c>
      <c r="R58" s="4">
        <f>(VLOOKUP('18.04'!Z58,'18.04'!$AM$4:$AP$55,4,FALSE))</f>
        <v>0</v>
      </c>
      <c r="S58" s="4">
        <f>(VLOOKUP('18.04'!AA58,'18.04'!$AM$4:$AP$55,4,FALSE))</f>
        <v>0</v>
      </c>
      <c r="T58" s="4">
        <f>(VLOOKUP('18.04'!AB58,'18.04'!$AM$4:$AP$55,4,FALSE))</f>
        <v>0</v>
      </c>
      <c r="U58" s="4">
        <f>(VLOOKUP('18.04'!AC58,'18.04'!$AM$4:$AP$55,4,FALSE))</f>
        <v>0</v>
      </c>
      <c r="V58" s="4">
        <f>(VLOOKUP('18.04'!AD58,'18.04'!$AM$4:$AP$55,4,FALSE))</f>
        <v>0</v>
      </c>
      <c r="W58" s="4">
        <f>(VLOOKUP('18.04'!AE58,'18.04'!$AM$4:$AP$55,4,FALSE))</f>
        <v>0</v>
      </c>
      <c r="X58" s="4">
        <f>(VLOOKUP('18.04'!AF58,'18.04'!$AM$4:$AP$55,4,FALSE))</f>
        <v>0</v>
      </c>
    </row>
    <row r="59" spans="1:24">
      <c r="A59" s="4">
        <f>(VLOOKUP('18.04'!I59,'18.04'!$AM$4:$AP$55,4,FALSE))</f>
        <v>36</v>
      </c>
      <c r="B59" s="4">
        <f>(VLOOKUP('18.04'!J59,'18.04'!$AM$4:$AP$55,4,FALSE))</f>
        <v>36</v>
      </c>
      <c r="C59" s="4">
        <f>(VLOOKUP('18.04'!K59,'18.04'!$AM$4:$AP$55,4,FALSE))</f>
        <v>36</v>
      </c>
      <c r="D59" s="4">
        <f>(VLOOKUP('18.04'!L59,'18.04'!$AM$4:$AP$55,4,FALSE))</f>
        <v>36</v>
      </c>
      <c r="E59" s="4">
        <f>(VLOOKUP('18.04'!M59,'18.04'!$AM$4:$AP$55,4,FALSE))</f>
        <v>36</v>
      </c>
      <c r="F59" s="4">
        <f>(VLOOKUP('18.04'!N59,'18.04'!$AM$4:$AP$55,4,FALSE))</f>
        <v>36</v>
      </c>
      <c r="G59" s="4">
        <f>(VLOOKUP('18.04'!O59,'18.04'!$AM$4:$AP$55,4,FALSE))</f>
        <v>36</v>
      </c>
      <c r="H59" s="4">
        <f>(VLOOKUP('18.04'!P59,'18.04'!$AM$4:$AP$55,4,FALSE))</f>
        <v>36</v>
      </c>
      <c r="I59" s="4">
        <f>(VLOOKUP('18.04'!Q59,'18.04'!$AM$4:$AP$55,4,FALSE))</f>
        <v>0</v>
      </c>
      <c r="J59" s="4">
        <f>(VLOOKUP('18.04'!R59,'18.04'!$AM$4:$AP$55,4,FALSE))</f>
        <v>0</v>
      </c>
      <c r="K59" s="4">
        <f>(VLOOKUP('18.04'!S59,'18.04'!$AM$4:$AP$55,4,FALSE))</f>
        <v>0</v>
      </c>
      <c r="L59" s="4">
        <f>(VLOOKUP('18.04'!T59,'18.04'!$AM$4:$AP$55,4,FALSE))</f>
        <v>0</v>
      </c>
      <c r="M59" s="4">
        <f>(VLOOKUP('18.04'!U59,'18.04'!$AM$4:$AP$55,4,FALSE))</f>
        <v>0</v>
      </c>
      <c r="N59" s="4">
        <f>(VLOOKUP('18.04'!V59,'18.04'!$AM$4:$AP$55,4,FALSE))</f>
        <v>0</v>
      </c>
      <c r="O59" s="4">
        <f>(VLOOKUP('18.04'!W59,'18.04'!$AM$4:$AP$55,4,FALSE))</f>
        <v>0</v>
      </c>
      <c r="P59" s="4">
        <f>(VLOOKUP('18.04'!X59,'18.04'!$AM$4:$AP$55,4,FALSE))</f>
        <v>0</v>
      </c>
      <c r="Q59" s="4">
        <f>(VLOOKUP('18.04'!Y59,'18.04'!$AM$4:$AP$55,4,FALSE))</f>
        <v>0</v>
      </c>
      <c r="R59" s="4">
        <f>(VLOOKUP('18.04'!Z59,'18.04'!$AM$4:$AP$55,4,FALSE))</f>
        <v>0</v>
      </c>
      <c r="S59" s="4">
        <f>(VLOOKUP('18.04'!AA59,'18.04'!$AM$4:$AP$55,4,FALSE))</f>
        <v>0</v>
      </c>
      <c r="T59" s="4">
        <f>(VLOOKUP('18.04'!AB59,'18.04'!$AM$4:$AP$55,4,FALSE))</f>
        <v>0</v>
      </c>
      <c r="U59" s="4">
        <f>(VLOOKUP('18.04'!AC59,'18.04'!$AM$4:$AP$55,4,FALSE))</f>
        <v>0</v>
      </c>
      <c r="V59" s="4">
        <f>(VLOOKUP('18.04'!AD59,'18.04'!$AM$4:$AP$55,4,FALSE))</f>
        <v>0</v>
      </c>
      <c r="W59" s="4">
        <f>(VLOOKUP('18.04'!AE59,'18.04'!$AM$4:$AP$55,4,FALSE))</f>
        <v>0</v>
      </c>
      <c r="X59" s="4">
        <f>(VLOOKUP('18.04'!AF59,'18.04'!$AM$4:$AP$55,4,FALSE))</f>
        <v>0</v>
      </c>
    </row>
    <row r="60" spans="1:24">
      <c r="A60" s="4">
        <f>(VLOOKUP('18.04'!I60,'18.04'!$AM$4:$AP$55,4,FALSE))</f>
        <v>36</v>
      </c>
      <c r="B60" s="4">
        <f>(VLOOKUP('18.04'!J60,'18.04'!$AM$4:$AP$55,4,FALSE))</f>
        <v>36</v>
      </c>
      <c r="C60" s="4">
        <f>(VLOOKUP('18.04'!K60,'18.04'!$AM$4:$AP$55,4,FALSE))</f>
        <v>36</v>
      </c>
      <c r="D60" s="4">
        <f>(VLOOKUP('18.04'!L60,'18.04'!$AM$4:$AP$55,4,FALSE))</f>
        <v>36</v>
      </c>
      <c r="E60" s="4">
        <f>(VLOOKUP('18.04'!M60,'18.04'!$AM$4:$AP$55,4,FALSE))</f>
        <v>36</v>
      </c>
      <c r="F60" s="4">
        <f>(VLOOKUP('18.04'!N60,'18.04'!$AM$4:$AP$55,4,FALSE))</f>
        <v>36</v>
      </c>
      <c r="G60" s="4">
        <f>(VLOOKUP('18.04'!O60,'18.04'!$AM$4:$AP$55,4,FALSE))</f>
        <v>36</v>
      </c>
      <c r="H60" s="4">
        <f>(VLOOKUP('18.04'!P60,'18.04'!$AM$4:$AP$55,4,FALSE))</f>
        <v>36</v>
      </c>
      <c r="I60" s="4">
        <f>(VLOOKUP('18.04'!Q60,'18.04'!$AM$4:$AP$55,4,FALSE))</f>
        <v>0</v>
      </c>
      <c r="J60" s="4">
        <f>(VLOOKUP('18.04'!R60,'18.04'!$AM$4:$AP$55,4,FALSE))</f>
        <v>0</v>
      </c>
      <c r="K60" s="4">
        <f>(VLOOKUP('18.04'!S60,'18.04'!$AM$4:$AP$55,4,FALSE))</f>
        <v>0</v>
      </c>
      <c r="L60" s="4">
        <f>(VLOOKUP('18.04'!T60,'18.04'!$AM$4:$AP$55,4,FALSE))</f>
        <v>0</v>
      </c>
      <c r="M60" s="4">
        <f>(VLOOKUP('18.04'!U60,'18.04'!$AM$4:$AP$55,4,FALSE))</f>
        <v>0</v>
      </c>
      <c r="N60" s="4">
        <f>(VLOOKUP('18.04'!V60,'18.04'!$AM$4:$AP$55,4,FALSE))</f>
        <v>0</v>
      </c>
      <c r="O60" s="4">
        <f>(VLOOKUP('18.04'!W60,'18.04'!$AM$4:$AP$55,4,FALSE))</f>
        <v>0</v>
      </c>
      <c r="P60" s="4">
        <f>(VLOOKUP('18.04'!X60,'18.04'!$AM$4:$AP$55,4,FALSE))</f>
        <v>0</v>
      </c>
      <c r="Q60" s="4">
        <f>(VLOOKUP('18.04'!Y60,'18.04'!$AM$4:$AP$55,4,FALSE))</f>
        <v>0</v>
      </c>
      <c r="R60" s="4">
        <f>(VLOOKUP('18.04'!Z60,'18.04'!$AM$4:$AP$55,4,FALSE))</f>
        <v>0</v>
      </c>
      <c r="S60" s="4">
        <f>(VLOOKUP('18.04'!AA60,'18.04'!$AM$4:$AP$55,4,FALSE))</f>
        <v>0</v>
      </c>
      <c r="T60" s="4">
        <f>(VLOOKUP('18.04'!AB60,'18.04'!$AM$4:$AP$55,4,FALSE))</f>
        <v>0</v>
      </c>
      <c r="U60" s="4">
        <f>(VLOOKUP('18.04'!AC60,'18.04'!$AM$4:$AP$55,4,FALSE))</f>
        <v>0</v>
      </c>
      <c r="V60" s="4">
        <f>(VLOOKUP('18.04'!AD60,'18.04'!$AM$4:$AP$55,4,FALSE))</f>
        <v>0</v>
      </c>
      <c r="W60" s="4">
        <f>(VLOOKUP('18.04'!AE60,'18.04'!$AM$4:$AP$55,4,FALSE))</f>
        <v>0</v>
      </c>
      <c r="X60" s="4">
        <f>(VLOOKUP('18.04'!AF60,'18.04'!$AM$4:$AP$55,4,FALSE))</f>
        <v>0</v>
      </c>
    </row>
    <row r="61" spans="1:24">
      <c r="A61" s="4">
        <f>(VLOOKUP('18.04'!I61,'18.04'!$AM$4:$AP$55,4,FALSE))</f>
        <v>36</v>
      </c>
      <c r="B61" s="4">
        <f>(VLOOKUP('18.04'!J61,'18.04'!$AM$4:$AP$55,4,FALSE))</f>
        <v>36</v>
      </c>
      <c r="C61" s="4">
        <f>(VLOOKUP('18.04'!K61,'18.04'!$AM$4:$AP$55,4,FALSE))</f>
        <v>36</v>
      </c>
      <c r="D61" s="4">
        <f>(VLOOKUP('18.04'!L61,'18.04'!$AM$4:$AP$55,4,FALSE))</f>
        <v>36</v>
      </c>
      <c r="E61" s="4">
        <f>(VLOOKUP('18.04'!M61,'18.04'!$AM$4:$AP$55,4,FALSE))</f>
        <v>36</v>
      </c>
      <c r="F61" s="4">
        <f>(VLOOKUP('18.04'!N61,'18.04'!$AM$4:$AP$55,4,FALSE))</f>
        <v>36</v>
      </c>
      <c r="G61" s="4">
        <f>(VLOOKUP('18.04'!O61,'18.04'!$AM$4:$AP$55,4,FALSE))</f>
        <v>36</v>
      </c>
      <c r="H61" s="4">
        <f>(VLOOKUP('18.04'!P61,'18.04'!$AM$4:$AP$55,4,FALSE))</f>
        <v>36</v>
      </c>
      <c r="I61" s="4">
        <f>(VLOOKUP('18.04'!Q61,'18.04'!$AM$4:$AP$55,4,FALSE))</f>
        <v>0</v>
      </c>
      <c r="J61" s="4">
        <f>(VLOOKUP('18.04'!R61,'18.04'!$AM$4:$AP$55,4,FALSE))</f>
        <v>0</v>
      </c>
      <c r="K61" s="4">
        <f>(VLOOKUP('18.04'!S61,'18.04'!$AM$4:$AP$55,4,FALSE))</f>
        <v>0</v>
      </c>
      <c r="L61" s="4">
        <f>(VLOOKUP('18.04'!T61,'18.04'!$AM$4:$AP$55,4,FALSE))</f>
        <v>0</v>
      </c>
      <c r="M61" s="4">
        <f>(VLOOKUP('18.04'!U61,'18.04'!$AM$4:$AP$55,4,FALSE))</f>
        <v>0</v>
      </c>
      <c r="N61" s="4">
        <f>(VLOOKUP('18.04'!V61,'18.04'!$AM$4:$AP$55,4,FALSE))</f>
        <v>0</v>
      </c>
      <c r="O61" s="4">
        <f>(VLOOKUP('18.04'!W61,'18.04'!$AM$4:$AP$55,4,FALSE))</f>
        <v>0</v>
      </c>
      <c r="P61" s="4">
        <f>(VLOOKUP('18.04'!X61,'18.04'!$AM$4:$AP$55,4,FALSE))</f>
        <v>0</v>
      </c>
      <c r="Q61" s="4">
        <f>(VLOOKUP('18.04'!Y61,'18.04'!$AM$4:$AP$55,4,FALSE))</f>
        <v>0</v>
      </c>
      <c r="R61" s="4">
        <f>(VLOOKUP('18.04'!Z61,'18.04'!$AM$4:$AP$55,4,FALSE))</f>
        <v>0</v>
      </c>
      <c r="S61" s="4">
        <f>(VLOOKUP('18.04'!AA61,'18.04'!$AM$4:$AP$55,4,FALSE))</f>
        <v>0</v>
      </c>
      <c r="T61" s="4">
        <f>(VLOOKUP('18.04'!AB61,'18.04'!$AM$4:$AP$55,4,FALSE))</f>
        <v>0</v>
      </c>
      <c r="U61" s="4">
        <f>(VLOOKUP('18.04'!AC61,'18.04'!$AM$4:$AP$55,4,FALSE))</f>
        <v>0</v>
      </c>
      <c r="V61" s="4">
        <f>(VLOOKUP('18.04'!AD61,'18.04'!$AM$4:$AP$55,4,FALSE))</f>
        <v>0</v>
      </c>
      <c r="W61" s="4">
        <f>(VLOOKUP('18.04'!AE61,'18.04'!$AM$4:$AP$55,4,FALSE))</f>
        <v>0</v>
      </c>
      <c r="X61" s="4">
        <f>(VLOOKUP('18.04'!AF61,'18.04'!$AM$4:$AP$55,4,FALSE))</f>
        <v>0</v>
      </c>
    </row>
    <row r="62" spans="1:24">
      <c r="A62" s="4">
        <f>(VLOOKUP('18.04'!I62,'18.04'!$AM$4:$AP$55,4,FALSE))</f>
        <v>36</v>
      </c>
      <c r="B62" s="4">
        <f>(VLOOKUP('18.04'!J62,'18.04'!$AM$4:$AP$55,4,FALSE))</f>
        <v>36</v>
      </c>
      <c r="C62" s="4">
        <f>(VLOOKUP('18.04'!K62,'18.04'!$AM$4:$AP$55,4,FALSE))</f>
        <v>36</v>
      </c>
      <c r="D62" s="4">
        <f>(VLOOKUP('18.04'!L62,'18.04'!$AM$4:$AP$55,4,FALSE))</f>
        <v>36</v>
      </c>
      <c r="E62" s="4">
        <f>(VLOOKUP('18.04'!M62,'18.04'!$AM$4:$AP$55,4,FALSE))</f>
        <v>36</v>
      </c>
      <c r="F62" s="4">
        <f>(VLOOKUP('18.04'!N62,'18.04'!$AM$4:$AP$55,4,FALSE))</f>
        <v>36</v>
      </c>
      <c r="G62" s="4">
        <f>(VLOOKUP('18.04'!O62,'18.04'!$AM$4:$AP$55,4,FALSE))</f>
        <v>36</v>
      </c>
      <c r="H62" s="4">
        <f>(VLOOKUP('18.04'!P62,'18.04'!$AM$4:$AP$55,4,FALSE))</f>
        <v>36</v>
      </c>
      <c r="I62" s="4">
        <f>(VLOOKUP('18.04'!Q62,'18.04'!$AM$4:$AP$55,4,FALSE))</f>
        <v>0</v>
      </c>
      <c r="J62" s="4">
        <f>(VLOOKUP('18.04'!R62,'18.04'!$AM$4:$AP$55,4,FALSE))</f>
        <v>0</v>
      </c>
      <c r="K62" s="4">
        <f>(VLOOKUP('18.04'!S62,'18.04'!$AM$4:$AP$55,4,FALSE))</f>
        <v>0</v>
      </c>
      <c r="L62" s="4">
        <f>(VLOOKUP('18.04'!T62,'18.04'!$AM$4:$AP$55,4,FALSE))</f>
        <v>0</v>
      </c>
      <c r="M62" s="4">
        <f>(VLOOKUP('18.04'!U62,'18.04'!$AM$4:$AP$55,4,FALSE))</f>
        <v>0</v>
      </c>
      <c r="N62" s="4">
        <f>(VLOOKUP('18.04'!V62,'18.04'!$AM$4:$AP$55,4,FALSE))</f>
        <v>0</v>
      </c>
      <c r="O62" s="4">
        <f>(VLOOKUP('18.04'!W62,'18.04'!$AM$4:$AP$55,4,FALSE))</f>
        <v>0</v>
      </c>
      <c r="P62" s="4">
        <f>(VLOOKUP('18.04'!X62,'18.04'!$AM$4:$AP$55,4,FALSE))</f>
        <v>0</v>
      </c>
      <c r="Q62" s="4">
        <f>(VLOOKUP('18.04'!Y62,'18.04'!$AM$4:$AP$55,4,FALSE))</f>
        <v>0</v>
      </c>
      <c r="R62" s="4">
        <f>(VLOOKUP('18.04'!Z62,'18.04'!$AM$4:$AP$55,4,FALSE))</f>
        <v>0</v>
      </c>
      <c r="S62" s="4">
        <f>(VLOOKUP('18.04'!AA62,'18.04'!$AM$4:$AP$55,4,FALSE))</f>
        <v>0</v>
      </c>
      <c r="T62" s="4">
        <f>(VLOOKUP('18.04'!AB62,'18.04'!$AM$4:$AP$55,4,FALSE))</f>
        <v>0</v>
      </c>
      <c r="U62" s="4">
        <f>(VLOOKUP('18.04'!AC62,'18.04'!$AM$4:$AP$55,4,FALSE))</f>
        <v>0</v>
      </c>
      <c r="V62" s="4">
        <f>(VLOOKUP('18.04'!AD62,'18.04'!$AM$4:$AP$55,4,FALSE))</f>
        <v>0</v>
      </c>
      <c r="W62" s="4">
        <f>(VLOOKUP('18.04'!AE62,'18.04'!$AM$4:$AP$55,4,FALSE))</f>
        <v>0</v>
      </c>
      <c r="X62" s="4">
        <f>(VLOOKUP('18.04'!AF62,'18.04'!$AM$4:$AP$55,4,FALSE))</f>
        <v>0</v>
      </c>
    </row>
    <row r="63" spans="1:24">
      <c r="A63" s="4">
        <f>(VLOOKUP('18.04'!I63,'18.04'!$AM$4:$AP$55,4,FALSE))</f>
        <v>36</v>
      </c>
      <c r="B63" s="4">
        <f>(VLOOKUP('18.04'!J63,'18.04'!$AM$4:$AP$55,4,FALSE))</f>
        <v>36</v>
      </c>
      <c r="C63" s="4">
        <f>(VLOOKUP('18.04'!K63,'18.04'!$AM$4:$AP$55,4,FALSE))</f>
        <v>36</v>
      </c>
      <c r="D63" s="4">
        <f>(VLOOKUP('18.04'!L63,'18.04'!$AM$4:$AP$55,4,FALSE))</f>
        <v>36</v>
      </c>
      <c r="E63" s="4">
        <f>(VLOOKUP('18.04'!M63,'18.04'!$AM$4:$AP$55,4,FALSE))</f>
        <v>36</v>
      </c>
      <c r="F63" s="4">
        <f>(VLOOKUP('18.04'!N63,'18.04'!$AM$4:$AP$55,4,FALSE))</f>
        <v>36</v>
      </c>
      <c r="G63" s="4">
        <f>(VLOOKUP('18.04'!O63,'18.04'!$AM$4:$AP$55,4,FALSE))</f>
        <v>36</v>
      </c>
      <c r="H63" s="4">
        <f>(VLOOKUP('18.04'!P63,'18.04'!$AM$4:$AP$55,4,FALSE))</f>
        <v>36</v>
      </c>
      <c r="I63" s="4">
        <f>(VLOOKUP('18.04'!Q63,'18.04'!$AM$4:$AP$55,4,FALSE))</f>
        <v>0</v>
      </c>
      <c r="J63" s="4">
        <f>(VLOOKUP('18.04'!R63,'18.04'!$AM$4:$AP$55,4,FALSE))</f>
        <v>0</v>
      </c>
      <c r="K63" s="4">
        <f>(VLOOKUP('18.04'!S63,'18.04'!$AM$4:$AP$55,4,FALSE))</f>
        <v>0</v>
      </c>
      <c r="L63" s="4">
        <f>(VLOOKUP('18.04'!T63,'18.04'!$AM$4:$AP$55,4,FALSE))</f>
        <v>0</v>
      </c>
      <c r="M63" s="4">
        <f>(VLOOKUP('18.04'!U63,'18.04'!$AM$4:$AP$55,4,FALSE))</f>
        <v>0</v>
      </c>
      <c r="N63" s="4">
        <f>(VLOOKUP('18.04'!V63,'18.04'!$AM$4:$AP$55,4,FALSE))</f>
        <v>0</v>
      </c>
      <c r="O63" s="4">
        <f>(VLOOKUP('18.04'!W63,'18.04'!$AM$4:$AP$55,4,FALSE))</f>
        <v>0</v>
      </c>
      <c r="P63" s="4">
        <f>(VLOOKUP('18.04'!X63,'18.04'!$AM$4:$AP$55,4,FALSE))</f>
        <v>0</v>
      </c>
      <c r="Q63" s="4">
        <f>(VLOOKUP('18.04'!Y63,'18.04'!$AM$4:$AP$55,4,FALSE))</f>
        <v>0</v>
      </c>
      <c r="R63" s="4">
        <f>(VLOOKUP('18.04'!Z63,'18.04'!$AM$4:$AP$55,4,FALSE))</f>
        <v>0</v>
      </c>
      <c r="S63" s="4">
        <f>(VLOOKUP('18.04'!AA63,'18.04'!$AM$4:$AP$55,4,FALSE))</f>
        <v>0</v>
      </c>
      <c r="T63" s="4">
        <f>(VLOOKUP('18.04'!AB63,'18.04'!$AM$4:$AP$55,4,FALSE))</f>
        <v>0</v>
      </c>
      <c r="U63" s="4">
        <f>(VLOOKUP('18.04'!AC63,'18.04'!$AM$4:$AP$55,4,FALSE))</f>
        <v>0</v>
      </c>
      <c r="V63" s="4">
        <f>(VLOOKUP('18.04'!AD63,'18.04'!$AM$4:$AP$55,4,FALSE))</f>
        <v>0</v>
      </c>
      <c r="W63" s="4">
        <f>(VLOOKUP('18.04'!AE63,'18.04'!$AM$4:$AP$55,4,FALSE))</f>
        <v>0</v>
      </c>
      <c r="X63" s="4">
        <f>(VLOOKUP('18.04'!AF63,'18.04'!$AM$4:$AP$55,4,FALSE))</f>
        <v>0</v>
      </c>
    </row>
    <row r="64" spans="1:24">
      <c r="A64" s="4">
        <f>(VLOOKUP('18.04'!I64,'18.04'!$AM$4:$AP$55,4,FALSE))</f>
        <v>36</v>
      </c>
      <c r="B64" s="4">
        <f>(VLOOKUP('18.04'!J64,'18.04'!$AM$4:$AP$55,4,FALSE))</f>
        <v>36</v>
      </c>
      <c r="C64" s="4">
        <f>(VLOOKUP('18.04'!K64,'18.04'!$AM$4:$AP$55,4,FALSE))</f>
        <v>36</v>
      </c>
      <c r="D64" s="4">
        <f>(VLOOKUP('18.04'!L64,'18.04'!$AM$4:$AP$55,4,FALSE))</f>
        <v>36</v>
      </c>
      <c r="E64" s="4">
        <f>(VLOOKUP('18.04'!M64,'18.04'!$AM$4:$AP$55,4,FALSE))</f>
        <v>36</v>
      </c>
      <c r="F64" s="4">
        <f>(VLOOKUP('18.04'!N64,'18.04'!$AM$4:$AP$55,4,FALSE))</f>
        <v>36</v>
      </c>
      <c r="G64" s="4">
        <f>(VLOOKUP('18.04'!O64,'18.04'!$AM$4:$AP$55,4,FALSE))</f>
        <v>36</v>
      </c>
      <c r="H64" s="4">
        <f>(VLOOKUP('18.04'!P64,'18.04'!$AM$4:$AP$55,4,FALSE))</f>
        <v>36</v>
      </c>
      <c r="I64" s="4">
        <f>(VLOOKUP('18.04'!Q64,'18.04'!$AM$4:$AP$55,4,FALSE))</f>
        <v>0</v>
      </c>
      <c r="J64" s="4">
        <f>(VLOOKUP('18.04'!R64,'18.04'!$AM$4:$AP$55,4,FALSE))</f>
        <v>0</v>
      </c>
      <c r="K64" s="4">
        <f>(VLOOKUP('18.04'!S64,'18.04'!$AM$4:$AP$55,4,FALSE))</f>
        <v>0</v>
      </c>
      <c r="L64" s="4">
        <f>(VLOOKUP('18.04'!T64,'18.04'!$AM$4:$AP$55,4,FALSE))</f>
        <v>0</v>
      </c>
      <c r="M64" s="4">
        <f>(VLOOKUP('18.04'!U64,'18.04'!$AM$4:$AP$55,4,FALSE))</f>
        <v>0</v>
      </c>
      <c r="N64" s="4">
        <f>(VLOOKUP('18.04'!V64,'18.04'!$AM$4:$AP$55,4,FALSE))</f>
        <v>0</v>
      </c>
      <c r="O64" s="4">
        <f>(VLOOKUP('18.04'!W64,'18.04'!$AM$4:$AP$55,4,FALSE))</f>
        <v>0</v>
      </c>
      <c r="P64" s="4">
        <f>(VLOOKUP('18.04'!X64,'18.04'!$AM$4:$AP$55,4,FALSE))</f>
        <v>0</v>
      </c>
      <c r="Q64" s="4">
        <f>(VLOOKUP('18.04'!Y64,'18.04'!$AM$4:$AP$55,4,FALSE))</f>
        <v>0</v>
      </c>
      <c r="R64" s="4">
        <f>(VLOOKUP('18.04'!Z64,'18.04'!$AM$4:$AP$55,4,FALSE))</f>
        <v>0</v>
      </c>
      <c r="S64" s="4">
        <f>(VLOOKUP('18.04'!AA64,'18.04'!$AM$4:$AP$55,4,FALSE))</f>
        <v>0</v>
      </c>
      <c r="T64" s="4">
        <f>(VLOOKUP('18.04'!AB64,'18.04'!$AM$4:$AP$55,4,FALSE))</f>
        <v>0</v>
      </c>
      <c r="U64" s="4">
        <f>(VLOOKUP('18.04'!AC64,'18.04'!$AM$4:$AP$55,4,FALSE))</f>
        <v>0</v>
      </c>
      <c r="V64" s="4">
        <f>(VLOOKUP('18.04'!AD64,'18.04'!$AM$4:$AP$55,4,FALSE))</f>
        <v>0</v>
      </c>
      <c r="W64" s="4">
        <f>(VLOOKUP('18.04'!AE64,'18.04'!$AM$4:$AP$55,4,FALSE))</f>
        <v>0</v>
      </c>
      <c r="X64" s="4">
        <f>(VLOOKUP('18.04'!AF64,'18.04'!$AM$4:$AP$55,4,FALSE))</f>
        <v>0</v>
      </c>
    </row>
    <row r="65" spans="1:24">
      <c r="A65" s="4">
        <f>(VLOOKUP('18.04'!I65,'18.04'!$AM$4:$AP$55,4,FALSE))</f>
        <v>36</v>
      </c>
      <c r="B65" s="4">
        <f>(VLOOKUP('18.04'!J65,'18.04'!$AM$4:$AP$55,4,FALSE))</f>
        <v>36</v>
      </c>
      <c r="C65" s="4">
        <f>(VLOOKUP('18.04'!K65,'18.04'!$AM$4:$AP$55,4,FALSE))</f>
        <v>36</v>
      </c>
      <c r="D65" s="4">
        <f>(VLOOKUP('18.04'!L65,'18.04'!$AM$4:$AP$55,4,FALSE))</f>
        <v>36</v>
      </c>
      <c r="E65" s="4">
        <f>(VLOOKUP('18.04'!M65,'18.04'!$AM$4:$AP$55,4,FALSE))</f>
        <v>36</v>
      </c>
      <c r="F65" s="4">
        <f>(VLOOKUP('18.04'!N65,'18.04'!$AM$4:$AP$55,4,FALSE))</f>
        <v>36</v>
      </c>
      <c r="G65" s="4">
        <f>(VLOOKUP('18.04'!O65,'18.04'!$AM$4:$AP$55,4,FALSE))</f>
        <v>36</v>
      </c>
      <c r="H65" s="4">
        <f>(VLOOKUP('18.04'!P65,'18.04'!$AM$4:$AP$55,4,FALSE))</f>
        <v>36</v>
      </c>
      <c r="I65" s="4">
        <f>(VLOOKUP('18.04'!Q65,'18.04'!$AM$4:$AP$55,4,FALSE))</f>
        <v>0</v>
      </c>
      <c r="J65" s="4">
        <f>(VLOOKUP('18.04'!R65,'18.04'!$AM$4:$AP$55,4,FALSE))</f>
        <v>0</v>
      </c>
      <c r="K65" s="4">
        <f>(VLOOKUP('18.04'!S65,'18.04'!$AM$4:$AP$55,4,FALSE))</f>
        <v>0</v>
      </c>
      <c r="L65" s="4">
        <f>(VLOOKUP('18.04'!T65,'18.04'!$AM$4:$AP$55,4,FALSE))</f>
        <v>0</v>
      </c>
      <c r="M65" s="4">
        <f>(VLOOKUP('18.04'!U65,'18.04'!$AM$4:$AP$55,4,FALSE))</f>
        <v>0</v>
      </c>
      <c r="N65" s="4">
        <f>(VLOOKUP('18.04'!V65,'18.04'!$AM$4:$AP$55,4,FALSE))</f>
        <v>0</v>
      </c>
      <c r="O65" s="4">
        <f>(VLOOKUP('18.04'!W65,'18.04'!$AM$4:$AP$55,4,FALSE))</f>
        <v>0</v>
      </c>
      <c r="P65" s="4">
        <f>(VLOOKUP('18.04'!X65,'18.04'!$AM$4:$AP$55,4,FALSE))</f>
        <v>0</v>
      </c>
      <c r="Q65" s="4">
        <f>(VLOOKUP('18.04'!Y65,'18.04'!$AM$4:$AP$55,4,FALSE))</f>
        <v>0</v>
      </c>
      <c r="R65" s="4">
        <f>(VLOOKUP('18.04'!Z65,'18.04'!$AM$4:$AP$55,4,FALSE))</f>
        <v>0</v>
      </c>
      <c r="S65" s="4">
        <f>(VLOOKUP('18.04'!AA65,'18.04'!$AM$4:$AP$55,4,FALSE))</f>
        <v>0</v>
      </c>
      <c r="T65" s="4">
        <f>(VLOOKUP('18.04'!AB65,'18.04'!$AM$4:$AP$55,4,FALSE))</f>
        <v>0</v>
      </c>
      <c r="U65" s="4">
        <f>(VLOOKUP('18.04'!AC65,'18.04'!$AM$4:$AP$55,4,FALSE))</f>
        <v>0</v>
      </c>
      <c r="V65" s="4">
        <f>(VLOOKUP('18.04'!AD65,'18.04'!$AM$4:$AP$55,4,FALSE))</f>
        <v>0</v>
      </c>
      <c r="W65" s="4">
        <f>(VLOOKUP('18.04'!AE65,'18.04'!$AM$4:$AP$55,4,FALSE))</f>
        <v>0</v>
      </c>
      <c r="X65" s="4">
        <f>(VLOOKUP('18.04'!AF65,'18.04'!$AM$4:$AP$55,4,FALSE))</f>
        <v>0</v>
      </c>
    </row>
    <row r="66" spans="1:24">
      <c r="A66" s="4">
        <f>(VLOOKUP('18.04'!I66,'18.04'!$AM$4:$AP$55,4,FALSE))</f>
        <v>36</v>
      </c>
      <c r="B66" s="4">
        <f>(VLOOKUP('18.04'!J66,'18.04'!$AM$4:$AP$55,4,FALSE))</f>
        <v>36</v>
      </c>
      <c r="C66" s="4">
        <f>(VLOOKUP('18.04'!K66,'18.04'!$AM$4:$AP$55,4,FALSE))</f>
        <v>36</v>
      </c>
      <c r="D66" s="4">
        <f>(VLOOKUP('18.04'!L66,'18.04'!$AM$4:$AP$55,4,FALSE))</f>
        <v>36</v>
      </c>
      <c r="E66" s="4">
        <f>(VLOOKUP('18.04'!M66,'18.04'!$AM$4:$AP$55,4,FALSE))</f>
        <v>36</v>
      </c>
      <c r="F66" s="4">
        <f>(VLOOKUP('18.04'!N66,'18.04'!$AM$4:$AP$55,4,FALSE))</f>
        <v>36</v>
      </c>
      <c r="G66" s="4">
        <f>(VLOOKUP('18.04'!O66,'18.04'!$AM$4:$AP$55,4,FALSE))</f>
        <v>36</v>
      </c>
      <c r="H66" s="4">
        <f>(VLOOKUP('18.04'!P66,'18.04'!$AM$4:$AP$55,4,FALSE))</f>
        <v>36</v>
      </c>
      <c r="I66" s="4">
        <f>(VLOOKUP('18.04'!Q66,'18.04'!$AM$4:$AP$55,4,FALSE))</f>
        <v>0</v>
      </c>
      <c r="J66" s="4">
        <f>(VLOOKUP('18.04'!R66,'18.04'!$AM$4:$AP$55,4,FALSE))</f>
        <v>0</v>
      </c>
      <c r="K66" s="4">
        <f>(VLOOKUP('18.04'!S66,'18.04'!$AM$4:$AP$55,4,FALSE))</f>
        <v>0</v>
      </c>
      <c r="L66" s="4">
        <f>(VLOOKUP('18.04'!T66,'18.04'!$AM$4:$AP$55,4,FALSE))</f>
        <v>0</v>
      </c>
      <c r="M66" s="4">
        <f>(VLOOKUP('18.04'!U66,'18.04'!$AM$4:$AP$55,4,FALSE))</f>
        <v>0</v>
      </c>
      <c r="N66" s="4">
        <f>(VLOOKUP('18.04'!V66,'18.04'!$AM$4:$AP$55,4,FALSE))</f>
        <v>0</v>
      </c>
      <c r="O66" s="4">
        <f>(VLOOKUP('18.04'!W66,'18.04'!$AM$4:$AP$55,4,FALSE))</f>
        <v>0</v>
      </c>
      <c r="P66" s="4">
        <f>(VLOOKUP('18.04'!X66,'18.04'!$AM$4:$AP$55,4,FALSE))</f>
        <v>0</v>
      </c>
      <c r="Q66" s="4">
        <f>(VLOOKUP('18.04'!Y66,'18.04'!$AM$4:$AP$55,4,FALSE))</f>
        <v>0</v>
      </c>
      <c r="R66" s="4">
        <f>(VLOOKUP('18.04'!Z66,'18.04'!$AM$4:$AP$55,4,FALSE))</f>
        <v>0</v>
      </c>
      <c r="S66" s="4">
        <f>(VLOOKUP('18.04'!AA66,'18.04'!$AM$4:$AP$55,4,FALSE))</f>
        <v>0</v>
      </c>
      <c r="T66" s="4">
        <f>(VLOOKUP('18.04'!AB66,'18.04'!$AM$4:$AP$55,4,FALSE))</f>
        <v>0</v>
      </c>
      <c r="U66" s="4">
        <f>(VLOOKUP('18.04'!AC66,'18.04'!$AM$4:$AP$55,4,FALSE))</f>
        <v>0</v>
      </c>
      <c r="V66" s="4">
        <f>(VLOOKUP('18.04'!AD66,'18.04'!$AM$4:$AP$55,4,FALSE))</f>
        <v>0</v>
      </c>
      <c r="W66" s="4">
        <f>(VLOOKUP('18.04'!AE66,'18.04'!$AM$4:$AP$55,4,FALSE))</f>
        <v>0</v>
      </c>
      <c r="X66" s="4">
        <f>(VLOOKUP('18.04'!AF66,'18.04'!$AM$4:$AP$55,4,FALSE))</f>
        <v>0</v>
      </c>
    </row>
    <row r="67" spans="1:24">
      <c r="A67" s="4">
        <f>(VLOOKUP('18.04'!I67,'18.04'!$AM$4:$AP$55,4,FALSE))</f>
        <v>36</v>
      </c>
      <c r="B67" s="4">
        <f>(VLOOKUP('18.04'!J67,'18.04'!$AM$4:$AP$55,4,FALSE))</f>
        <v>36</v>
      </c>
      <c r="C67" s="4">
        <f>(VLOOKUP('18.04'!K67,'18.04'!$AM$4:$AP$55,4,FALSE))</f>
        <v>36</v>
      </c>
      <c r="D67" s="4">
        <f>(VLOOKUP('18.04'!L67,'18.04'!$AM$4:$AP$55,4,FALSE))</f>
        <v>36</v>
      </c>
      <c r="E67" s="4">
        <f>(VLOOKUP('18.04'!M67,'18.04'!$AM$4:$AP$55,4,FALSE))</f>
        <v>36</v>
      </c>
      <c r="F67" s="4">
        <f>(VLOOKUP('18.04'!N67,'18.04'!$AM$4:$AP$55,4,FALSE))</f>
        <v>36</v>
      </c>
      <c r="G67" s="4">
        <f>(VLOOKUP('18.04'!O67,'18.04'!$AM$4:$AP$55,4,FALSE))</f>
        <v>36</v>
      </c>
      <c r="H67" s="4">
        <f>(VLOOKUP('18.04'!P67,'18.04'!$AM$4:$AP$55,4,FALSE))</f>
        <v>36</v>
      </c>
      <c r="I67" s="4">
        <f>(VLOOKUP('18.04'!Q67,'18.04'!$AM$4:$AP$55,4,FALSE))</f>
        <v>0</v>
      </c>
      <c r="J67" s="4">
        <f>(VLOOKUP('18.04'!R67,'18.04'!$AM$4:$AP$55,4,FALSE))</f>
        <v>0</v>
      </c>
      <c r="K67" s="4">
        <f>(VLOOKUP('18.04'!S67,'18.04'!$AM$4:$AP$55,4,FALSE))</f>
        <v>0</v>
      </c>
      <c r="L67" s="4">
        <f>(VLOOKUP('18.04'!T67,'18.04'!$AM$4:$AP$55,4,FALSE))</f>
        <v>0</v>
      </c>
      <c r="M67" s="4">
        <f>(VLOOKUP('18.04'!U67,'18.04'!$AM$4:$AP$55,4,FALSE))</f>
        <v>0</v>
      </c>
      <c r="N67" s="4">
        <f>(VLOOKUP('18.04'!V67,'18.04'!$AM$4:$AP$55,4,FALSE))</f>
        <v>0</v>
      </c>
      <c r="O67" s="4">
        <f>(VLOOKUP('18.04'!W67,'18.04'!$AM$4:$AP$55,4,FALSE))</f>
        <v>0</v>
      </c>
      <c r="P67" s="4">
        <f>(VLOOKUP('18.04'!X67,'18.04'!$AM$4:$AP$55,4,FALSE))</f>
        <v>0</v>
      </c>
      <c r="Q67" s="4">
        <f>(VLOOKUP('18.04'!Y67,'18.04'!$AM$4:$AP$55,4,FALSE))</f>
        <v>0</v>
      </c>
      <c r="R67" s="4">
        <f>(VLOOKUP('18.04'!Z67,'18.04'!$AM$4:$AP$55,4,FALSE))</f>
        <v>0</v>
      </c>
      <c r="S67" s="4">
        <f>(VLOOKUP('18.04'!AA67,'18.04'!$AM$4:$AP$55,4,FALSE))</f>
        <v>0</v>
      </c>
      <c r="T67" s="4">
        <f>(VLOOKUP('18.04'!AB67,'18.04'!$AM$4:$AP$55,4,FALSE))</f>
        <v>0</v>
      </c>
      <c r="U67" s="4">
        <f>(VLOOKUP('18.04'!AC67,'18.04'!$AM$4:$AP$55,4,FALSE))</f>
        <v>0</v>
      </c>
      <c r="V67" s="4">
        <f>(VLOOKUP('18.04'!AD67,'18.04'!$AM$4:$AP$55,4,FALSE))</f>
        <v>0</v>
      </c>
      <c r="W67" s="4">
        <f>(VLOOKUP('18.04'!AE67,'18.04'!$AM$4:$AP$55,4,FALSE))</f>
        <v>0</v>
      </c>
      <c r="X67" s="4">
        <f>(VLOOKUP('18.04'!AF67,'18.04'!$AM$4:$AP$55,4,FALSE))</f>
        <v>0</v>
      </c>
    </row>
    <row r="68" spans="1:24">
      <c r="A68" s="4">
        <f>(VLOOKUP('18.04'!I68,'18.04'!$AM$4:$AP$55,4,FALSE))</f>
        <v>36</v>
      </c>
      <c r="B68" s="4">
        <f>(VLOOKUP('18.04'!J68,'18.04'!$AM$4:$AP$55,4,FALSE))</f>
        <v>36</v>
      </c>
      <c r="C68" s="4">
        <f>(VLOOKUP('18.04'!K68,'18.04'!$AM$4:$AP$55,4,FALSE))</f>
        <v>36</v>
      </c>
      <c r="D68" s="4">
        <f>(VLOOKUP('18.04'!L68,'18.04'!$AM$4:$AP$55,4,FALSE))</f>
        <v>36</v>
      </c>
      <c r="E68" s="4">
        <f>(VLOOKUP('18.04'!M68,'18.04'!$AM$4:$AP$55,4,FALSE))</f>
        <v>36</v>
      </c>
      <c r="F68" s="4">
        <f>(VLOOKUP('18.04'!N68,'18.04'!$AM$4:$AP$55,4,FALSE))</f>
        <v>36</v>
      </c>
      <c r="G68" s="4">
        <f>(VLOOKUP('18.04'!O68,'18.04'!$AM$4:$AP$55,4,FALSE))</f>
        <v>36</v>
      </c>
      <c r="H68" s="4">
        <f>(VLOOKUP('18.04'!P68,'18.04'!$AM$4:$AP$55,4,FALSE))</f>
        <v>36</v>
      </c>
      <c r="I68" s="4">
        <f>(VLOOKUP('18.04'!Q68,'18.04'!$AM$4:$AP$55,4,FALSE))</f>
        <v>0</v>
      </c>
      <c r="J68" s="4">
        <f>(VLOOKUP('18.04'!R68,'18.04'!$AM$4:$AP$55,4,FALSE))</f>
        <v>0</v>
      </c>
      <c r="K68" s="4">
        <f>(VLOOKUP('18.04'!S68,'18.04'!$AM$4:$AP$55,4,FALSE))</f>
        <v>0</v>
      </c>
      <c r="L68" s="4">
        <f>(VLOOKUP('18.04'!T68,'18.04'!$AM$4:$AP$55,4,FALSE))</f>
        <v>0</v>
      </c>
      <c r="M68" s="4">
        <f>(VLOOKUP('18.04'!U68,'18.04'!$AM$4:$AP$55,4,FALSE))</f>
        <v>0</v>
      </c>
      <c r="N68" s="4">
        <f>(VLOOKUP('18.04'!V68,'18.04'!$AM$4:$AP$55,4,FALSE))</f>
        <v>0</v>
      </c>
      <c r="O68" s="4">
        <f>(VLOOKUP('18.04'!W68,'18.04'!$AM$4:$AP$55,4,FALSE))</f>
        <v>0</v>
      </c>
      <c r="P68" s="4">
        <f>(VLOOKUP('18.04'!X68,'18.04'!$AM$4:$AP$55,4,FALSE))</f>
        <v>0</v>
      </c>
      <c r="Q68" s="4">
        <f>(VLOOKUP('18.04'!Y68,'18.04'!$AM$4:$AP$55,4,FALSE))</f>
        <v>0</v>
      </c>
      <c r="R68" s="4">
        <f>(VLOOKUP('18.04'!Z68,'18.04'!$AM$4:$AP$55,4,FALSE))</f>
        <v>0</v>
      </c>
      <c r="S68" s="4">
        <f>(VLOOKUP('18.04'!AA68,'18.04'!$AM$4:$AP$55,4,FALSE))</f>
        <v>0</v>
      </c>
      <c r="T68" s="4">
        <f>(VLOOKUP('18.04'!AB68,'18.04'!$AM$4:$AP$55,4,FALSE))</f>
        <v>0</v>
      </c>
      <c r="U68" s="4">
        <f>(VLOOKUP('18.04'!AC68,'18.04'!$AM$4:$AP$55,4,FALSE))</f>
        <v>0</v>
      </c>
      <c r="V68" s="4">
        <f>(VLOOKUP('18.04'!AD68,'18.04'!$AM$4:$AP$55,4,FALSE))</f>
        <v>0</v>
      </c>
      <c r="W68" s="4">
        <f>(VLOOKUP('18.04'!AE68,'18.04'!$AM$4:$AP$55,4,FALSE))</f>
        <v>0</v>
      </c>
      <c r="X68" s="4">
        <f>(VLOOKUP('18.04'!AF68,'18.04'!$AM$4:$AP$55,4,FALSE))</f>
        <v>0</v>
      </c>
    </row>
    <row r="69" spans="1:24">
      <c r="A69" s="4">
        <f>(VLOOKUP('18.04'!I69,'18.04'!$AM$4:$AP$55,4,FALSE))</f>
        <v>36</v>
      </c>
      <c r="B69" s="4">
        <f>(VLOOKUP('18.04'!J69,'18.04'!$AM$4:$AP$55,4,FALSE))</f>
        <v>36</v>
      </c>
      <c r="C69" s="4">
        <f>(VLOOKUP('18.04'!K69,'18.04'!$AM$4:$AP$55,4,FALSE))</f>
        <v>36</v>
      </c>
      <c r="D69" s="4">
        <f>(VLOOKUP('18.04'!L69,'18.04'!$AM$4:$AP$55,4,FALSE))</f>
        <v>36</v>
      </c>
      <c r="E69" s="4">
        <f>(VLOOKUP('18.04'!M69,'18.04'!$AM$4:$AP$55,4,FALSE))</f>
        <v>36</v>
      </c>
      <c r="F69" s="4">
        <f>(VLOOKUP('18.04'!N69,'18.04'!$AM$4:$AP$55,4,FALSE))</f>
        <v>36</v>
      </c>
      <c r="G69" s="4">
        <f>(VLOOKUP('18.04'!O69,'18.04'!$AM$4:$AP$55,4,FALSE))</f>
        <v>36</v>
      </c>
      <c r="H69" s="4">
        <f>(VLOOKUP('18.04'!P69,'18.04'!$AM$4:$AP$55,4,FALSE))</f>
        <v>36</v>
      </c>
      <c r="I69" s="4">
        <f>(VLOOKUP('18.04'!Q69,'18.04'!$AM$4:$AP$55,4,FALSE))</f>
        <v>0</v>
      </c>
      <c r="J69" s="4">
        <f>(VLOOKUP('18.04'!R69,'18.04'!$AM$4:$AP$55,4,FALSE))</f>
        <v>0</v>
      </c>
      <c r="K69" s="4">
        <f>(VLOOKUP('18.04'!S69,'18.04'!$AM$4:$AP$55,4,FALSE))</f>
        <v>0</v>
      </c>
      <c r="L69" s="4">
        <f>(VLOOKUP('18.04'!T69,'18.04'!$AM$4:$AP$55,4,FALSE))</f>
        <v>0</v>
      </c>
      <c r="M69" s="4">
        <f>(VLOOKUP('18.04'!U69,'18.04'!$AM$4:$AP$55,4,FALSE))</f>
        <v>0</v>
      </c>
      <c r="N69" s="4">
        <f>(VLOOKUP('18.04'!V69,'18.04'!$AM$4:$AP$55,4,FALSE))</f>
        <v>0</v>
      </c>
      <c r="O69" s="4">
        <f>(VLOOKUP('18.04'!W69,'18.04'!$AM$4:$AP$55,4,FALSE))</f>
        <v>0</v>
      </c>
      <c r="P69" s="4">
        <f>(VLOOKUP('18.04'!X69,'18.04'!$AM$4:$AP$55,4,FALSE))</f>
        <v>0</v>
      </c>
      <c r="Q69" s="4">
        <f>(VLOOKUP('18.04'!Y69,'18.04'!$AM$4:$AP$55,4,FALSE))</f>
        <v>0</v>
      </c>
      <c r="R69" s="4">
        <f>(VLOOKUP('18.04'!Z69,'18.04'!$AM$4:$AP$55,4,FALSE))</f>
        <v>0</v>
      </c>
      <c r="S69" s="4">
        <f>(VLOOKUP('18.04'!AA69,'18.04'!$AM$4:$AP$55,4,FALSE))</f>
        <v>0</v>
      </c>
      <c r="T69" s="4">
        <f>(VLOOKUP('18.04'!AB69,'18.04'!$AM$4:$AP$55,4,FALSE))</f>
        <v>0</v>
      </c>
      <c r="U69" s="4">
        <f>(VLOOKUP('18.04'!AC69,'18.04'!$AM$4:$AP$55,4,FALSE))</f>
        <v>0</v>
      </c>
      <c r="V69" s="4">
        <f>(VLOOKUP('18.04'!AD69,'18.04'!$AM$4:$AP$55,4,FALSE))</f>
        <v>0</v>
      </c>
      <c r="W69" s="4">
        <f>(VLOOKUP('18.04'!AE69,'18.04'!$AM$4:$AP$55,4,FALSE))</f>
        <v>0</v>
      </c>
      <c r="X69" s="4">
        <f>(VLOOKUP('18.04'!AF69,'18.04'!$AM$4:$AP$55,4,FALSE))</f>
        <v>0</v>
      </c>
    </row>
    <row r="70" spans="1:24">
      <c r="A70" s="4">
        <f>(VLOOKUP('18.04'!I70,'18.04'!$AM$4:$AP$55,4,FALSE))</f>
        <v>36</v>
      </c>
      <c r="B70" s="4">
        <f>(VLOOKUP('18.04'!J70,'18.04'!$AM$4:$AP$55,4,FALSE))</f>
        <v>36</v>
      </c>
      <c r="C70" s="4">
        <f>(VLOOKUP('18.04'!K70,'18.04'!$AM$4:$AP$55,4,FALSE))</f>
        <v>36</v>
      </c>
      <c r="D70" s="4">
        <f>(VLOOKUP('18.04'!L70,'18.04'!$AM$4:$AP$55,4,FALSE))</f>
        <v>36</v>
      </c>
      <c r="E70" s="4">
        <f>(VLOOKUP('18.04'!M70,'18.04'!$AM$4:$AP$55,4,FALSE))</f>
        <v>36</v>
      </c>
      <c r="F70" s="4">
        <f>(VLOOKUP('18.04'!N70,'18.04'!$AM$4:$AP$55,4,FALSE))</f>
        <v>36</v>
      </c>
      <c r="G70" s="4">
        <f>(VLOOKUP('18.04'!O70,'18.04'!$AM$4:$AP$55,4,FALSE))</f>
        <v>36</v>
      </c>
      <c r="H70" s="4">
        <f>(VLOOKUP('18.04'!P70,'18.04'!$AM$4:$AP$55,4,FALSE))</f>
        <v>36</v>
      </c>
      <c r="I70" s="4">
        <f>(VLOOKUP('18.04'!Q70,'18.04'!$AM$4:$AP$55,4,FALSE))</f>
        <v>0</v>
      </c>
      <c r="J70" s="4">
        <f>(VLOOKUP('18.04'!R70,'18.04'!$AM$4:$AP$55,4,FALSE))</f>
        <v>0</v>
      </c>
      <c r="K70" s="4">
        <f>(VLOOKUP('18.04'!S70,'18.04'!$AM$4:$AP$55,4,FALSE))</f>
        <v>0</v>
      </c>
      <c r="L70" s="4">
        <f>(VLOOKUP('18.04'!T70,'18.04'!$AM$4:$AP$55,4,FALSE))</f>
        <v>0</v>
      </c>
      <c r="M70" s="4">
        <f>(VLOOKUP('18.04'!U70,'18.04'!$AM$4:$AP$55,4,FALSE))</f>
        <v>0</v>
      </c>
      <c r="N70" s="4">
        <f>(VLOOKUP('18.04'!V70,'18.04'!$AM$4:$AP$55,4,FALSE))</f>
        <v>0</v>
      </c>
      <c r="O70" s="4">
        <f>(VLOOKUP('18.04'!W70,'18.04'!$AM$4:$AP$55,4,FALSE))</f>
        <v>0</v>
      </c>
      <c r="P70" s="4">
        <f>(VLOOKUP('18.04'!X70,'18.04'!$AM$4:$AP$55,4,FALSE))</f>
        <v>0</v>
      </c>
      <c r="Q70" s="4">
        <f>(VLOOKUP('18.04'!Y70,'18.04'!$AM$4:$AP$55,4,FALSE))</f>
        <v>0</v>
      </c>
      <c r="R70" s="4">
        <f>(VLOOKUP('18.04'!Z70,'18.04'!$AM$4:$AP$55,4,FALSE))</f>
        <v>0</v>
      </c>
      <c r="S70" s="4">
        <f>(VLOOKUP('18.04'!AA70,'18.04'!$AM$4:$AP$55,4,FALSE))</f>
        <v>0</v>
      </c>
      <c r="T70" s="4">
        <f>(VLOOKUP('18.04'!AB70,'18.04'!$AM$4:$AP$55,4,FALSE))</f>
        <v>0</v>
      </c>
      <c r="U70" s="4">
        <f>(VLOOKUP('18.04'!AC70,'18.04'!$AM$4:$AP$55,4,FALSE))</f>
        <v>0</v>
      </c>
      <c r="V70" s="4">
        <f>(VLOOKUP('18.04'!AD70,'18.04'!$AM$4:$AP$55,4,FALSE))</f>
        <v>0</v>
      </c>
      <c r="W70" s="4">
        <f>(VLOOKUP('18.04'!AE70,'18.04'!$AM$4:$AP$55,4,FALSE))</f>
        <v>0</v>
      </c>
      <c r="X70" s="4">
        <f>(VLOOKUP('18.04'!AF70,'18.04'!$AM$4:$AP$55,4,FALSE))</f>
        <v>0</v>
      </c>
    </row>
    <row r="71" spans="1:24">
      <c r="A71" s="4">
        <f>(VLOOKUP('18.04'!I71,'18.04'!$AM$4:$AP$55,4,FALSE))</f>
        <v>36</v>
      </c>
      <c r="B71" s="4">
        <f>(VLOOKUP('18.04'!J71,'18.04'!$AM$4:$AP$55,4,FALSE))</f>
        <v>36</v>
      </c>
      <c r="C71" s="4">
        <f>(VLOOKUP('18.04'!K71,'18.04'!$AM$4:$AP$55,4,FALSE))</f>
        <v>36</v>
      </c>
      <c r="D71" s="4">
        <f>(VLOOKUP('18.04'!L71,'18.04'!$AM$4:$AP$55,4,FALSE))</f>
        <v>36</v>
      </c>
      <c r="E71" s="4">
        <f>(VLOOKUP('18.04'!M71,'18.04'!$AM$4:$AP$55,4,FALSE))</f>
        <v>36</v>
      </c>
      <c r="F71" s="4">
        <f>(VLOOKUP('18.04'!N71,'18.04'!$AM$4:$AP$55,4,FALSE))</f>
        <v>36</v>
      </c>
      <c r="G71" s="4">
        <f>(VLOOKUP('18.04'!O71,'18.04'!$AM$4:$AP$55,4,FALSE))</f>
        <v>36</v>
      </c>
      <c r="H71" s="4">
        <f>(VLOOKUP('18.04'!P71,'18.04'!$AM$4:$AP$55,4,FALSE))</f>
        <v>36</v>
      </c>
      <c r="I71" s="4">
        <f>(VLOOKUP('18.04'!Q71,'18.04'!$AM$4:$AP$55,4,FALSE))</f>
        <v>0</v>
      </c>
      <c r="J71" s="4">
        <f>(VLOOKUP('18.04'!R71,'18.04'!$AM$4:$AP$55,4,FALSE))</f>
        <v>0</v>
      </c>
      <c r="K71" s="4">
        <f>(VLOOKUP('18.04'!S71,'18.04'!$AM$4:$AP$55,4,FALSE))</f>
        <v>0</v>
      </c>
      <c r="L71" s="4">
        <f>(VLOOKUP('18.04'!T71,'18.04'!$AM$4:$AP$55,4,FALSE))</f>
        <v>0</v>
      </c>
      <c r="M71" s="4">
        <f>(VLOOKUP('18.04'!U71,'18.04'!$AM$4:$AP$55,4,FALSE))</f>
        <v>0</v>
      </c>
      <c r="N71" s="4">
        <f>(VLOOKUP('18.04'!V71,'18.04'!$AM$4:$AP$55,4,FALSE))</f>
        <v>0</v>
      </c>
      <c r="O71" s="4">
        <f>(VLOOKUP('18.04'!W71,'18.04'!$AM$4:$AP$55,4,FALSE))</f>
        <v>0</v>
      </c>
      <c r="P71" s="4">
        <f>(VLOOKUP('18.04'!X71,'18.04'!$AM$4:$AP$55,4,FALSE))</f>
        <v>0</v>
      </c>
      <c r="Q71" s="4">
        <f>(VLOOKUP('18.04'!Y71,'18.04'!$AM$4:$AP$55,4,FALSE))</f>
        <v>0</v>
      </c>
      <c r="R71" s="4">
        <f>(VLOOKUP('18.04'!Z71,'18.04'!$AM$4:$AP$55,4,FALSE))</f>
        <v>0</v>
      </c>
      <c r="S71" s="4">
        <f>(VLOOKUP('18.04'!AA71,'18.04'!$AM$4:$AP$55,4,FALSE))</f>
        <v>0</v>
      </c>
      <c r="T71" s="4">
        <f>(VLOOKUP('18.04'!AB71,'18.04'!$AM$4:$AP$55,4,FALSE))</f>
        <v>0</v>
      </c>
      <c r="U71" s="4">
        <f>(VLOOKUP('18.04'!AC71,'18.04'!$AM$4:$AP$55,4,FALSE))</f>
        <v>0</v>
      </c>
      <c r="V71" s="4">
        <f>(VLOOKUP('18.04'!AD71,'18.04'!$AM$4:$AP$55,4,FALSE))</f>
        <v>0</v>
      </c>
      <c r="W71" s="4">
        <f>(VLOOKUP('18.04'!AE71,'18.04'!$AM$4:$AP$55,4,FALSE))</f>
        <v>0</v>
      </c>
      <c r="X71" s="4">
        <f>(VLOOKUP('18.04'!AF71,'18.04'!$AM$4:$AP$55,4,FALSE))</f>
        <v>0</v>
      </c>
    </row>
    <row r="72" spans="1:24">
      <c r="A72" s="4">
        <f>(VLOOKUP('18.04'!I72,'18.04'!$AM$4:$AP$55,4,FALSE))</f>
        <v>36</v>
      </c>
      <c r="B72" s="4">
        <f>(VLOOKUP('18.04'!J72,'18.04'!$AM$4:$AP$55,4,FALSE))</f>
        <v>36</v>
      </c>
      <c r="C72" s="4">
        <f>(VLOOKUP('18.04'!K72,'18.04'!$AM$4:$AP$55,4,FALSE))</f>
        <v>36</v>
      </c>
      <c r="D72" s="4">
        <f>(VLOOKUP('18.04'!L72,'18.04'!$AM$4:$AP$55,4,FALSE))</f>
        <v>36</v>
      </c>
      <c r="E72" s="4">
        <f>(VLOOKUP('18.04'!M72,'18.04'!$AM$4:$AP$55,4,FALSE))</f>
        <v>36</v>
      </c>
      <c r="F72" s="4">
        <f>(VLOOKUP('18.04'!N72,'18.04'!$AM$4:$AP$55,4,FALSE))</f>
        <v>36</v>
      </c>
      <c r="G72" s="4">
        <f>(VLOOKUP('18.04'!O72,'18.04'!$AM$4:$AP$55,4,FALSE))</f>
        <v>36</v>
      </c>
      <c r="H72" s="4">
        <f>(VLOOKUP('18.04'!P72,'18.04'!$AM$4:$AP$55,4,FALSE))</f>
        <v>36</v>
      </c>
      <c r="I72" s="4">
        <f>(VLOOKUP('18.04'!Q72,'18.04'!$AM$4:$AP$55,4,FALSE))</f>
        <v>0</v>
      </c>
      <c r="J72" s="4">
        <f>(VLOOKUP('18.04'!R72,'18.04'!$AM$4:$AP$55,4,FALSE))</f>
        <v>0</v>
      </c>
      <c r="K72" s="4">
        <f>(VLOOKUP('18.04'!S72,'18.04'!$AM$4:$AP$55,4,FALSE))</f>
        <v>0</v>
      </c>
      <c r="L72" s="4">
        <f>(VLOOKUP('18.04'!T72,'18.04'!$AM$4:$AP$55,4,FALSE))</f>
        <v>0</v>
      </c>
      <c r="M72" s="4">
        <f>(VLOOKUP('18.04'!U72,'18.04'!$AM$4:$AP$55,4,FALSE))</f>
        <v>0</v>
      </c>
      <c r="N72" s="4">
        <f>(VLOOKUP('18.04'!V72,'18.04'!$AM$4:$AP$55,4,FALSE))</f>
        <v>0</v>
      </c>
      <c r="O72" s="4">
        <f>(VLOOKUP('18.04'!W72,'18.04'!$AM$4:$AP$55,4,FALSE))</f>
        <v>0</v>
      </c>
      <c r="P72" s="4">
        <f>(VLOOKUP('18.04'!X72,'18.04'!$AM$4:$AP$55,4,FALSE))</f>
        <v>0</v>
      </c>
      <c r="Q72" s="4">
        <f>(VLOOKUP('18.04'!Y72,'18.04'!$AM$4:$AP$55,4,FALSE))</f>
        <v>0</v>
      </c>
      <c r="R72" s="4">
        <f>(VLOOKUP('18.04'!Z72,'18.04'!$AM$4:$AP$55,4,FALSE))</f>
        <v>0</v>
      </c>
      <c r="S72" s="4">
        <f>(VLOOKUP('18.04'!AA72,'18.04'!$AM$4:$AP$55,4,FALSE))</f>
        <v>0</v>
      </c>
      <c r="T72" s="4">
        <f>(VLOOKUP('18.04'!AB72,'18.04'!$AM$4:$AP$55,4,FALSE))</f>
        <v>0</v>
      </c>
      <c r="U72" s="4">
        <f>(VLOOKUP('18.04'!AC72,'18.04'!$AM$4:$AP$55,4,FALSE))</f>
        <v>0</v>
      </c>
      <c r="V72" s="4">
        <f>(VLOOKUP('18.04'!AD72,'18.04'!$AM$4:$AP$55,4,FALSE))</f>
        <v>0</v>
      </c>
      <c r="W72" s="4">
        <f>(VLOOKUP('18.04'!AE72,'18.04'!$AM$4:$AP$55,4,FALSE))</f>
        <v>0</v>
      </c>
      <c r="X72" s="4">
        <f>(VLOOKUP('18.04'!AF72,'18.04'!$AM$4:$AP$55,4,FALSE))</f>
        <v>0</v>
      </c>
    </row>
    <row r="73" spans="1:24">
      <c r="A73" s="4">
        <f>(VLOOKUP('18.04'!I73,'18.04'!$AM$4:$AP$55,4,FALSE))</f>
        <v>36</v>
      </c>
      <c r="B73" s="4">
        <f>(VLOOKUP('18.04'!J73,'18.04'!$AM$4:$AP$55,4,FALSE))</f>
        <v>36</v>
      </c>
      <c r="C73" s="4">
        <f>(VLOOKUP('18.04'!K73,'18.04'!$AM$4:$AP$55,4,FALSE))</f>
        <v>36</v>
      </c>
      <c r="D73" s="4">
        <f>(VLOOKUP('18.04'!L73,'18.04'!$AM$4:$AP$55,4,FALSE))</f>
        <v>36</v>
      </c>
      <c r="E73" s="4">
        <f>(VLOOKUP('18.04'!M73,'18.04'!$AM$4:$AP$55,4,FALSE))</f>
        <v>36</v>
      </c>
      <c r="F73" s="4">
        <f>(VLOOKUP('18.04'!N73,'18.04'!$AM$4:$AP$55,4,FALSE))</f>
        <v>36</v>
      </c>
      <c r="G73" s="4">
        <f>(VLOOKUP('18.04'!O73,'18.04'!$AM$4:$AP$55,4,FALSE))</f>
        <v>36</v>
      </c>
      <c r="H73" s="4">
        <f>(VLOOKUP('18.04'!P73,'18.04'!$AM$4:$AP$55,4,FALSE))</f>
        <v>36</v>
      </c>
      <c r="I73" s="4">
        <f>(VLOOKUP('18.04'!Q73,'18.04'!$AM$4:$AP$55,4,FALSE))</f>
        <v>0</v>
      </c>
      <c r="J73" s="4">
        <f>(VLOOKUP('18.04'!R73,'18.04'!$AM$4:$AP$55,4,FALSE))</f>
        <v>0</v>
      </c>
      <c r="K73" s="4">
        <f>(VLOOKUP('18.04'!S73,'18.04'!$AM$4:$AP$55,4,FALSE))</f>
        <v>0</v>
      </c>
      <c r="L73" s="4">
        <f>(VLOOKUP('18.04'!T73,'18.04'!$AM$4:$AP$55,4,FALSE))</f>
        <v>0</v>
      </c>
      <c r="M73" s="4">
        <f>(VLOOKUP('18.04'!U73,'18.04'!$AM$4:$AP$55,4,FALSE))</f>
        <v>0</v>
      </c>
      <c r="N73" s="4">
        <f>(VLOOKUP('18.04'!V73,'18.04'!$AM$4:$AP$55,4,FALSE))</f>
        <v>0</v>
      </c>
      <c r="O73" s="4">
        <f>(VLOOKUP('18.04'!W73,'18.04'!$AM$4:$AP$55,4,FALSE))</f>
        <v>0</v>
      </c>
      <c r="P73" s="4">
        <f>(VLOOKUP('18.04'!X73,'18.04'!$AM$4:$AP$55,4,FALSE))</f>
        <v>0</v>
      </c>
      <c r="Q73" s="4">
        <f>(VLOOKUP('18.04'!Y73,'18.04'!$AM$4:$AP$55,4,FALSE))</f>
        <v>0</v>
      </c>
      <c r="R73" s="4">
        <f>(VLOOKUP('18.04'!Z73,'18.04'!$AM$4:$AP$55,4,FALSE))</f>
        <v>0</v>
      </c>
      <c r="S73" s="4">
        <f>(VLOOKUP('18.04'!AA73,'18.04'!$AM$4:$AP$55,4,FALSE))</f>
        <v>0</v>
      </c>
      <c r="T73" s="4">
        <f>(VLOOKUP('18.04'!AB73,'18.04'!$AM$4:$AP$55,4,FALSE))</f>
        <v>0</v>
      </c>
      <c r="U73" s="4">
        <f>(VLOOKUP('18.04'!AC73,'18.04'!$AM$4:$AP$55,4,FALSE))</f>
        <v>0</v>
      </c>
      <c r="V73" s="4">
        <f>(VLOOKUP('18.04'!AD73,'18.04'!$AM$4:$AP$55,4,FALSE))</f>
        <v>0</v>
      </c>
      <c r="W73" s="4">
        <f>(VLOOKUP('18.04'!AE73,'18.04'!$AM$4:$AP$55,4,FALSE))</f>
        <v>0</v>
      </c>
      <c r="X73" s="4">
        <f>(VLOOKUP('18.04'!AF73,'18.04'!$AM$4:$AP$55,4,FALSE))</f>
        <v>0</v>
      </c>
    </row>
    <row r="74" spans="1:24">
      <c r="A74" s="4">
        <f>(VLOOKUP('18.04'!I74,'18.04'!$AM$4:$AP$55,4,FALSE))</f>
        <v>36</v>
      </c>
      <c r="B74" s="4">
        <f>(VLOOKUP('18.04'!J74,'18.04'!$AM$4:$AP$55,4,FALSE))</f>
        <v>36</v>
      </c>
      <c r="C74" s="4">
        <f>(VLOOKUP('18.04'!K74,'18.04'!$AM$4:$AP$55,4,FALSE))</f>
        <v>36</v>
      </c>
      <c r="D74" s="4">
        <f>(VLOOKUP('18.04'!L74,'18.04'!$AM$4:$AP$55,4,FALSE))</f>
        <v>36</v>
      </c>
      <c r="E74" s="4">
        <f>(VLOOKUP('18.04'!M74,'18.04'!$AM$4:$AP$55,4,FALSE))</f>
        <v>36</v>
      </c>
      <c r="F74" s="4">
        <f>(VLOOKUP('18.04'!N74,'18.04'!$AM$4:$AP$55,4,FALSE))</f>
        <v>36</v>
      </c>
      <c r="G74" s="4">
        <f>(VLOOKUP('18.04'!O74,'18.04'!$AM$4:$AP$55,4,FALSE))</f>
        <v>36</v>
      </c>
      <c r="H74" s="4">
        <f>(VLOOKUP('18.04'!P74,'18.04'!$AM$4:$AP$55,4,FALSE))</f>
        <v>36</v>
      </c>
      <c r="I74" s="4">
        <f>(VLOOKUP('18.04'!Q74,'18.04'!$AM$4:$AP$55,4,FALSE))</f>
        <v>0</v>
      </c>
      <c r="J74" s="4">
        <f>(VLOOKUP('18.04'!R74,'18.04'!$AM$4:$AP$55,4,FALSE))</f>
        <v>0</v>
      </c>
      <c r="K74" s="4">
        <f>(VLOOKUP('18.04'!S74,'18.04'!$AM$4:$AP$55,4,FALSE))</f>
        <v>0</v>
      </c>
      <c r="L74" s="4">
        <f>(VLOOKUP('18.04'!T74,'18.04'!$AM$4:$AP$55,4,FALSE))</f>
        <v>0</v>
      </c>
      <c r="M74" s="4">
        <f>(VLOOKUP('18.04'!U74,'18.04'!$AM$4:$AP$55,4,FALSE))</f>
        <v>0</v>
      </c>
      <c r="N74" s="4">
        <f>(VLOOKUP('18.04'!V74,'18.04'!$AM$4:$AP$55,4,FALSE))</f>
        <v>0</v>
      </c>
      <c r="O74" s="4">
        <f>(VLOOKUP('18.04'!W74,'18.04'!$AM$4:$AP$55,4,FALSE))</f>
        <v>0</v>
      </c>
      <c r="P74" s="4">
        <f>(VLOOKUP('18.04'!X74,'18.04'!$AM$4:$AP$55,4,FALSE))</f>
        <v>0</v>
      </c>
      <c r="Q74" s="4">
        <f>(VLOOKUP('18.04'!Y74,'18.04'!$AM$4:$AP$55,4,FALSE))</f>
        <v>0</v>
      </c>
      <c r="R74" s="4">
        <f>(VLOOKUP('18.04'!Z74,'18.04'!$AM$4:$AP$55,4,FALSE))</f>
        <v>0</v>
      </c>
      <c r="S74" s="4">
        <f>(VLOOKUP('18.04'!AA74,'18.04'!$AM$4:$AP$55,4,FALSE))</f>
        <v>0</v>
      </c>
      <c r="T74" s="4">
        <f>(VLOOKUP('18.04'!AB74,'18.04'!$AM$4:$AP$55,4,FALSE))</f>
        <v>0</v>
      </c>
      <c r="U74" s="4">
        <f>(VLOOKUP('18.04'!AC74,'18.04'!$AM$4:$AP$55,4,FALSE))</f>
        <v>0</v>
      </c>
      <c r="V74" s="4">
        <f>(VLOOKUP('18.04'!AD74,'18.04'!$AM$4:$AP$55,4,FALSE))</f>
        <v>0</v>
      </c>
      <c r="W74" s="4">
        <f>(VLOOKUP('18.04'!AE74,'18.04'!$AM$4:$AP$55,4,FALSE))</f>
        <v>0</v>
      </c>
      <c r="X74" s="4">
        <f>(VLOOKUP('18.04'!AF74,'18.04'!$AM$4:$AP$55,4,FALSE))</f>
        <v>0</v>
      </c>
    </row>
    <row r="75" spans="1:24">
      <c r="A75" s="4">
        <f>(VLOOKUP('18.04'!I75,'18.04'!$AM$4:$AP$55,4,FALSE))</f>
        <v>36</v>
      </c>
      <c r="B75" s="4">
        <f>(VLOOKUP('18.04'!J75,'18.04'!$AM$4:$AP$55,4,FALSE))</f>
        <v>36</v>
      </c>
      <c r="C75" s="4">
        <f>(VLOOKUP('18.04'!K75,'18.04'!$AM$4:$AP$55,4,FALSE))</f>
        <v>36</v>
      </c>
      <c r="D75" s="4">
        <f>(VLOOKUP('18.04'!L75,'18.04'!$AM$4:$AP$55,4,FALSE))</f>
        <v>36</v>
      </c>
      <c r="E75" s="4">
        <f>(VLOOKUP('18.04'!M75,'18.04'!$AM$4:$AP$55,4,FALSE))</f>
        <v>36</v>
      </c>
      <c r="F75" s="4">
        <f>(VLOOKUP('18.04'!N75,'18.04'!$AM$4:$AP$55,4,FALSE))</f>
        <v>36</v>
      </c>
      <c r="G75" s="4">
        <f>(VLOOKUP('18.04'!O75,'18.04'!$AM$4:$AP$55,4,FALSE))</f>
        <v>36</v>
      </c>
      <c r="H75" s="4">
        <f>(VLOOKUP('18.04'!P75,'18.04'!$AM$4:$AP$55,4,FALSE))</f>
        <v>36</v>
      </c>
      <c r="I75" s="4">
        <f>(VLOOKUP('18.04'!Q75,'18.04'!$AM$4:$AP$55,4,FALSE))</f>
        <v>0</v>
      </c>
      <c r="J75" s="4">
        <f>(VLOOKUP('18.04'!R75,'18.04'!$AM$4:$AP$55,4,FALSE))</f>
        <v>0</v>
      </c>
      <c r="K75" s="4">
        <f>(VLOOKUP('18.04'!S75,'18.04'!$AM$4:$AP$55,4,FALSE))</f>
        <v>0</v>
      </c>
      <c r="L75" s="4">
        <f>(VLOOKUP('18.04'!T75,'18.04'!$AM$4:$AP$55,4,FALSE))</f>
        <v>0</v>
      </c>
      <c r="M75" s="4">
        <f>(VLOOKUP('18.04'!U75,'18.04'!$AM$4:$AP$55,4,FALSE))</f>
        <v>0</v>
      </c>
      <c r="N75" s="4">
        <f>(VLOOKUP('18.04'!V75,'18.04'!$AM$4:$AP$55,4,FALSE))</f>
        <v>0</v>
      </c>
      <c r="O75" s="4">
        <f>(VLOOKUP('18.04'!W75,'18.04'!$AM$4:$AP$55,4,FALSE))</f>
        <v>0</v>
      </c>
      <c r="P75" s="4">
        <f>(VLOOKUP('18.04'!X75,'18.04'!$AM$4:$AP$55,4,FALSE))</f>
        <v>0</v>
      </c>
      <c r="Q75" s="4">
        <f>(VLOOKUP('18.04'!Y75,'18.04'!$AM$4:$AP$55,4,FALSE))</f>
        <v>0</v>
      </c>
      <c r="R75" s="4">
        <f>(VLOOKUP('18.04'!Z75,'18.04'!$AM$4:$AP$55,4,FALSE))</f>
        <v>0</v>
      </c>
      <c r="S75" s="4">
        <f>(VLOOKUP('18.04'!AA75,'18.04'!$AM$4:$AP$55,4,FALSE))</f>
        <v>0</v>
      </c>
      <c r="T75" s="4">
        <f>(VLOOKUP('18.04'!AB75,'18.04'!$AM$4:$AP$55,4,FALSE))</f>
        <v>0</v>
      </c>
      <c r="U75" s="4">
        <f>(VLOOKUP('18.04'!AC75,'18.04'!$AM$4:$AP$55,4,FALSE))</f>
        <v>0</v>
      </c>
      <c r="V75" s="4">
        <f>(VLOOKUP('18.04'!AD75,'18.04'!$AM$4:$AP$55,4,FALSE))</f>
        <v>0</v>
      </c>
      <c r="W75" s="4">
        <f>(VLOOKUP('18.04'!AE75,'18.04'!$AM$4:$AP$55,4,FALSE))</f>
        <v>0</v>
      </c>
      <c r="X75" s="4">
        <f>(VLOOKUP('18.04'!AF75,'18.04'!$AM$4:$AP$55,4,FALSE))</f>
        <v>0</v>
      </c>
    </row>
    <row r="76" spans="1:24">
      <c r="A76" s="4">
        <f>(VLOOKUP('18.04'!I76,'18.04'!$AM$4:$AP$55,4,FALSE))</f>
        <v>36</v>
      </c>
      <c r="B76" s="4">
        <f>(VLOOKUP('18.04'!J76,'18.04'!$AM$4:$AP$55,4,FALSE))</f>
        <v>36</v>
      </c>
      <c r="C76" s="4">
        <f>(VLOOKUP('18.04'!K76,'18.04'!$AM$4:$AP$55,4,FALSE))</f>
        <v>36</v>
      </c>
      <c r="D76" s="4">
        <f>(VLOOKUP('18.04'!L76,'18.04'!$AM$4:$AP$55,4,FALSE))</f>
        <v>36</v>
      </c>
      <c r="E76" s="4">
        <f>(VLOOKUP('18.04'!M76,'18.04'!$AM$4:$AP$55,4,FALSE))</f>
        <v>36</v>
      </c>
      <c r="F76" s="4">
        <f>(VLOOKUP('18.04'!N76,'18.04'!$AM$4:$AP$55,4,FALSE))</f>
        <v>36</v>
      </c>
      <c r="G76" s="4">
        <f>(VLOOKUP('18.04'!O76,'18.04'!$AM$4:$AP$55,4,FALSE))</f>
        <v>36</v>
      </c>
      <c r="H76" s="4">
        <f>(VLOOKUP('18.04'!P76,'18.04'!$AM$4:$AP$55,4,FALSE))</f>
        <v>36</v>
      </c>
      <c r="I76" s="4">
        <f>(VLOOKUP('18.04'!Q76,'18.04'!$AM$4:$AP$55,4,FALSE))</f>
        <v>0</v>
      </c>
      <c r="J76" s="4">
        <f>(VLOOKUP('18.04'!R76,'18.04'!$AM$4:$AP$55,4,FALSE))</f>
        <v>0</v>
      </c>
      <c r="K76" s="4">
        <f>(VLOOKUP('18.04'!S76,'18.04'!$AM$4:$AP$55,4,FALSE))</f>
        <v>0</v>
      </c>
      <c r="L76" s="4">
        <f>(VLOOKUP('18.04'!T76,'18.04'!$AM$4:$AP$55,4,FALSE))</f>
        <v>0</v>
      </c>
      <c r="M76" s="4">
        <f>(VLOOKUP('18.04'!U76,'18.04'!$AM$4:$AP$55,4,FALSE))</f>
        <v>0</v>
      </c>
      <c r="N76" s="4">
        <f>(VLOOKUP('18.04'!V76,'18.04'!$AM$4:$AP$55,4,FALSE))</f>
        <v>0</v>
      </c>
      <c r="O76" s="4">
        <f>(VLOOKUP('18.04'!W76,'18.04'!$AM$4:$AP$55,4,FALSE))</f>
        <v>0</v>
      </c>
      <c r="P76" s="4">
        <f>(VLOOKUP('18.04'!X76,'18.04'!$AM$4:$AP$55,4,FALSE))</f>
        <v>0</v>
      </c>
      <c r="Q76" s="4">
        <f>(VLOOKUP('18.04'!Y76,'18.04'!$AM$4:$AP$55,4,FALSE))</f>
        <v>0</v>
      </c>
      <c r="R76" s="4">
        <f>(VLOOKUP('18.04'!Z76,'18.04'!$AM$4:$AP$55,4,FALSE))</f>
        <v>0</v>
      </c>
      <c r="S76" s="4">
        <f>(VLOOKUP('18.04'!AA76,'18.04'!$AM$4:$AP$55,4,FALSE))</f>
        <v>0</v>
      </c>
      <c r="T76" s="4">
        <f>(VLOOKUP('18.04'!AB76,'18.04'!$AM$4:$AP$55,4,FALSE))</f>
        <v>0</v>
      </c>
      <c r="U76" s="4">
        <f>(VLOOKUP('18.04'!AC76,'18.04'!$AM$4:$AP$55,4,FALSE))</f>
        <v>0</v>
      </c>
      <c r="V76" s="4">
        <f>(VLOOKUP('18.04'!AD76,'18.04'!$AM$4:$AP$55,4,FALSE))</f>
        <v>0</v>
      </c>
      <c r="W76" s="4">
        <f>(VLOOKUP('18.04'!AE76,'18.04'!$AM$4:$AP$55,4,FALSE))</f>
        <v>0</v>
      </c>
      <c r="X76" s="4">
        <f>(VLOOKUP('18.04'!AF76,'18.04'!$AM$4:$AP$55,4,FALSE))</f>
        <v>0</v>
      </c>
    </row>
    <row r="77" spans="1:24">
      <c r="A77" s="4">
        <f>(VLOOKUP('18.04'!I77,'18.04'!$AM$4:$AP$55,4,FALSE))</f>
        <v>36</v>
      </c>
      <c r="B77" s="4">
        <f>(VLOOKUP('18.04'!J77,'18.04'!$AM$4:$AP$55,4,FALSE))</f>
        <v>36</v>
      </c>
      <c r="C77" s="4">
        <f>(VLOOKUP('18.04'!K77,'18.04'!$AM$4:$AP$55,4,FALSE))</f>
        <v>36</v>
      </c>
      <c r="D77" s="4">
        <f>(VLOOKUP('18.04'!L77,'18.04'!$AM$4:$AP$55,4,FALSE))</f>
        <v>36</v>
      </c>
      <c r="E77" s="4">
        <f>(VLOOKUP('18.04'!M77,'18.04'!$AM$4:$AP$55,4,FALSE))</f>
        <v>36</v>
      </c>
      <c r="F77" s="4">
        <f>(VLOOKUP('18.04'!N77,'18.04'!$AM$4:$AP$55,4,FALSE))</f>
        <v>36</v>
      </c>
      <c r="G77" s="4">
        <f>(VLOOKUP('18.04'!O77,'18.04'!$AM$4:$AP$55,4,FALSE))</f>
        <v>36</v>
      </c>
      <c r="H77" s="4">
        <f>(VLOOKUP('18.04'!P77,'18.04'!$AM$4:$AP$55,4,FALSE))</f>
        <v>36</v>
      </c>
      <c r="I77" s="4">
        <f>(VLOOKUP('18.04'!Q77,'18.04'!$AM$4:$AP$55,4,FALSE))</f>
        <v>10</v>
      </c>
      <c r="J77" s="4">
        <f>(VLOOKUP('18.04'!R77,'18.04'!$AM$4:$AP$55,4,FALSE))</f>
        <v>10</v>
      </c>
      <c r="K77" s="4">
        <f>(VLOOKUP('18.04'!S77,'18.04'!$AM$4:$AP$55,4,FALSE))</f>
        <v>10</v>
      </c>
      <c r="L77" s="4">
        <f>(VLOOKUP('18.04'!T77,'18.04'!$AM$4:$AP$55,4,FALSE))</f>
        <v>10</v>
      </c>
      <c r="M77" s="4">
        <f>(VLOOKUP('18.04'!U77,'18.04'!$AM$4:$AP$55,4,FALSE))</f>
        <v>10</v>
      </c>
      <c r="N77" s="4">
        <f>(VLOOKUP('18.04'!V77,'18.04'!$AM$4:$AP$55,4,FALSE))</f>
        <v>10</v>
      </c>
      <c r="O77" s="4">
        <f>(VLOOKUP('18.04'!W77,'18.04'!$AM$4:$AP$55,4,FALSE))</f>
        <v>0</v>
      </c>
      <c r="P77" s="4">
        <f>(VLOOKUP('18.04'!X77,'18.04'!$AM$4:$AP$55,4,FALSE))</f>
        <v>0</v>
      </c>
      <c r="Q77" s="4">
        <f>(VLOOKUP('18.04'!Y77,'18.04'!$AM$4:$AP$55,4,FALSE))</f>
        <v>0</v>
      </c>
      <c r="R77" s="4">
        <f>(VLOOKUP('18.04'!Z77,'18.04'!$AM$4:$AP$55,4,FALSE))</f>
        <v>0</v>
      </c>
      <c r="S77" s="4">
        <f>(VLOOKUP('18.04'!AA77,'18.04'!$AM$4:$AP$55,4,FALSE))</f>
        <v>0</v>
      </c>
      <c r="T77" s="4">
        <f>(VLOOKUP('18.04'!AB77,'18.04'!$AM$4:$AP$55,4,FALSE))</f>
        <v>0</v>
      </c>
      <c r="U77" s="4">
        <f>(VLOOKUP('18.04'!AC77,'18.04'!$AM$4:$AP$55,4,FALSE))</f>
        <v>0</v>
      </c>
      <c r="V77" s="4">
        <f>(VLOOKUP('18.04'!AD77,'18.04'!$AM$4:$AP$55,4,FALSE))</f>
        <v>0</v>
      </c>
      <c r="W77" s="4">
        <f>(VLOOKUP('18.04'!AE77,'18.04'!$AM$4:$AP$55,4,FALSE))</f>
        <v>0</v>
      </c>
      <c r="X77" s="4">
        <f>(VLOOKUP('18.04'!AF77,'18.04'!$AM$4:$AP$55,4,FALSE))</f>
        <v>0</v>
      </c>
    </row>
    <row r="78" spans="1:24">
      <c r="A78" s="4">
        <f>(VLOOKUP('18.04'!I78,'18.04'!$AM$4:$AP$55,4,FALSE))</f>
        <v>36</v>
      </c>
      <c r="B78" s="4">
        <f>(VLOOKUP('18.04'!J78,'18.04'!$AM$4:$AP$55,4,FALSE))</f>
        <v>36</v>
      </c>
      <c r="C78" s="4">
        <f>(VLOOKUP('18.04'!K78,'18.04'!$AM$4:$AP$55,4,FALSE))</f>
        <v>36</v>
      </c>
      <c r="D78" s="4">
        <f>(VLOOKUP('18.04'!L78,'18.04'!$AM$4:$AP$55,4,FALSE))</f>
        <v>36</v>
      </c>
      <c r="E78" s="4">
        <f>(VLOOKUP('18.04'!M78,'18.04'!$AM$4:$AP$55,4,FALSE))</f>
        <v>36</v>
      </c>
      <c r="F78" s="4">
        <f>(VLOOKUP('18.04'!N78,'18.04'!$AM$4:$AP$55,4,FALSE))</f>
        <v>36</v>
      </c>
      <c r="G78" s="4">
        <f>(VLOOKUP('18.04'!O78,'18.04'!$AM$4:$AP$55,4,FALSE))</f>
        <v>36</v>
      </c>
      <c r="H78" s="4">
        <f>(VLOOKUP('18.04'!P78,'18.04'!$AM$4:$AP$55,4,FALSE))</f>
        <v>36</v>
      </c>
      <c r="I78" s="4">
        <f>(VLOOKUP('18.04'!Q78,'18.04'!$AM$4:$AP$55,4,FALSE))</f>
        <v>10</v>
      </c>
      <c r="J78" s="4">
        <f>(VLOOKUP('18.04'!R78,'18.04'!$AM$4:$AP$55,4,FALSE))</f>
        <v>10</v>
      </c>
      <c r="K78" s="4">
        <f>(VLOOKUP('18.04'!S78,'18.04'!$AM$4:$AP$55,4,FALSE))</f>
        <v>10</v>
      </c>
      <c r="L78" s="4">
        <f>(VLOOKUP('18.04'!T78,'18.04'!$AM$4:$AP$55,4,FALSE))</f>
        <v>10</v>
      </c>
      <c r="M78" s="4">
        <f>(VLOOKUP('18.04'!U78,'18.04'!$AM$4:$AP$55,4,FALSE))</f>
        <v>10</v>
      </c>
      <c r="N78" s="4">
        <f>(VLOOKUP('18.04'!V78,'18.04'!$AM$4:$AP$55,4,FALSE))</f>
        <v>10</v>
      </c>
      <c r="O78" s="4">
        <f>(VLOOKUP('18.04'!W78,'18.04'!$AM$4:$AP$55,4,FALSE))</f>
        <v>0</v>
      </c>
      <c r="P78" s="4">
        <f>(VLOOKUP('18.04'!X78,'18.04'!$AM$4:$AP$55,4,FALSE))</f>
        <v>0</v>
      </c>
      <c r="Q78" s="4">
        <f>(VLOOKUP('18.04'!Y78,'18.04'!$AM$4:$AP$55,4,FALSE))</f>
        <v>0</v>
      </c>
      <c r="R78" s="4">
        <f>(VLOOKUP('18.04'!Z78,'18.04'!$AM$4:$AP$55,4,FALSE))</f>
        <v>0</v>
      </c>
      <c r="S78" s="4">
        <f>(VLOOKUP('18.04'!AA78,'18.04'!$AM$4:$AP$55,4,FALSE))</f>
        <v>0</v>
      </c>
      <c r="T78" s="4">
        <f>(VLOOKUP('18.04'!AB78,'18.04'!$AM$4:$AP$55,4,FALSE))</f>
        <v>0</v>
      </c>
      <c r="U78" s="4">
        <f>(VLOOKUP('18.04'!AC78,'18.04'!$AM$4:$AP$55,4,FALSE))</f>
        <v>0</v>
      </c>
      <c r="V78" s="4">
        <f>(VLOOKUP('18.04'!AD78,'18.04'!$AM$4:$AP$55,4,FALSE))</f>
        <v>0</v>
      </c>
      <c r="W78" s="4">
        <f>(VLOOKUP('18.04'!AE78,'18.04'!$AM$4:$AP$55,4,FALSE))</f>
        <v>0</v>
      </c>
      <c r="X78" s="4">
        <f>(VLOOKUP('18.04'!AF78,'18.04'!$AM$4:$AP$55,4,FALSE))</f>
        <v>0</v>
      </c>
    </row>
    <row r="79" spans="1:24">
      <c r="A79" s="4">
        <f>(VLOOKUP('18.04'!I79,'18.04'!$AM$4:$AP$55,4,FALSE))</f>
        <v>36</v>
      </c>
      <c r="B79" s="4">
        <f>(VLOOKUP('18.04'!J79,'18.04'!$AM$4:$AP$55,4,FALSE))</f>
        <v>36</v>
      </c>
      <c r="C79" s="4">
        <f>(VLOOKUP('18.04'!K79,'18.04'!$AM$4:$AP$55,4,FALSE))</f>
        <v>36</v>
      </c>
      <c r="D79" s="4">
        <f>(VLOOKUP('18.04'!L79,'18.04'!$AM$4:$AP$55,4,FALSE))</f>
        <v>36</v>
      </c>
      <c r="E79" s="4">
        <f>(VLOOKUP('18.04'!M79,'18.04'!$AM$4:$AP$55,4,FALSE))</f>
        <v>36</v>
      </c>
      <c r="F79" s="4">
        <f>(VLOOKUP('18.04'!N79,'18.04'!$AM$4:$AP$55,4,FALSE))</f>
        <v>36</v>
      </c>
      <c r="G79" s="4">
        <f>(VLOOKUP('18.04'!O79,'18.04'!$AM$4:$AP$55,4,FALSE))</f>
        <v>36</v>
      </c>
      <c r="H79" s="4">
        <f>(VLOOKUP('18.04'!P79,'18.04'!$AM$4:$AP$55,4,FALSE))</f>
        <v>36</v>
      </c>
      <c r="I79" s="4">
        <f>(VLOOKUP('18.04'!Q79,'18.04'!$AM$4:$AP$55,4,FALSE))</f>
        <v>10</v>
      </c>
      <c r="J79" s="4">
        <f>(VLOOKUP('18.04'!R79,'18.04'!$AM$4:$AP$55,4,FALSE))</f>
        <v>10</v>
      </c>
      <c r="K79" s="4">
        <f>(VLOOKUP('18.04'!S79,'18.04'!$AM$4:$AP$55,4,FALSE))</f>
        <v>10</v>
      </c>
      <c r="L79" s="4">
        <f>(VLOOKUP('18.04'!T79,'18.04'!$AM$4:$AP$55,4,FALSE))</f>
        <v>10</v>
      </c>
      <c r="M79" s="4">
        <f>(VLOOKUP('18.04'!U79,'18.04'!$AM$4:$AP$55,4,FALSE))</f>
        <v>10</v>
      </c>
      <c r="N79" s="4">
        <f>(VLOOKUP('18.04'!V79,'18.04'!$AM$4:$AP$55,4,FALSE))</f>
        <v>10</v>
      </c>
      <c r="O79" s="4">
        <f>(VLOOKUP('18.04'!W79,'18.04'!$AM$4:$AP$55,4,FALSE))</f>
        <v>0</v>
      </c>
      <c r="P79" s="4">
        <f>(VLOOKUP('18.04'!X79,'18.04'!$AM$4:$AP$55,4,FALSE))</f>
        <v>0</v>
      </c>
      <c r="Q79" s="4">
        <f>(VLOOKUP('18.04'!Y79,'18.04'!$AM$4:$AP$55,4,FALSE))</f>
        <v>0</v>
      </c>
      <c r="R79" s="4">
        <f>(VLOOKUP('18.04'!Z79,'18.04'!$AM$4:$AP$55,4,FALSE))</f>
        <v>0</v>
      </c>
      <c r="S79" s="4">
        <f>(VLOOKUP('18.04'!AA79,'18.04'!$AM$4:$AP$55,4,FALSE))</f>
        <v>0</v>
      </c>
      <c r="T79" s="4">
        <f>(VLOOKUP('18.04'!AB79,'18.04'!$AM$4:$AP$55,4,FALSE))</f>
        <v>0</v>
      </c>
      <c r="U79" s="4">
        <f>(VLOOKUP('18.04'!AC79,'18.04'!$AM$4:$AP$55,4,FALSE))</f>
        <v>0</v>
      </c>
      <c r="V79" s="4">
        <f>(VLOOKUP('18.04'!AD79,'18.04'!$AM$4:$AP$55,4,FALSE))</f>
        <v>0</v>
      </c>
      <c r="W79" s="4">
        <f>(VLOOKUP('18.04'!AE79,'18.04'!$AM$4:$AP$55,4,FALSE))</f>
        <v>0</v>
      </c>
      <c r="X79" s="4">
        <f>(VLOOKUP('18.04'!AF79,'18.04'!$AM$4:$AP$55,4,FALSE))</f>
        <v>0</v>
      </c>
    </row>
    <row r="80" spans="1:24">
      <c r="A80" s="4">
        <f>(VLOOKUP('18.04'!I80,'18.04'!$AM$4:$AP$55,4,FALSE))</f>
        <v>36</v>
      </c>
      <c r="B80" s="4">
        <f>(VLOOKUP('18.04'!J80,'18.04'!$AM$4:$AP$55,4,FALSE))</f>
        <v>36</v>
      </c>
      <c r="C80" s="4">
        <f>(VLOOKUP('18.04'!K80,'18.04'!$AM$4:$AP$55,4,FALSE))</f>
        <v>36</v>
      </c>
      <c r="D80" s="4">
        <f>(VLOOKUP('18.04'!L80,'18.04'!$AM$4:$AP$55,4,FALSE))</f>
        <v>36</v>
      </c>
      <c r="E80" s="4">
        <f>(VLOOKUP('18.04'!M80,'18.04'!$AM$4:$AP$55,4,FALSE))</f>
        <v>36</v>
      </c>
      <c r="F80" s="4">
        <f>(VLOOKUP('18.04'!N80,'18.04'!$AM$4:$AP$55,4,FALSE))</f>
        <v>36</v>
      </c>
      <c r="G80" s="4">
        <f>(VLOOKUP('18.04'!O80,'18.04'!$AM$4:$AP$55,4,FALSE))</f>
        <v>36</v>
      </c>
      <c r="H80" s="4">
        <f>(VLOOKUP('18.04'!P80,'18.04'!$AM$4:$AP$55,4,FALSE))</f>
        <v>36</v>
      </c>
      <c r="I80" s="4">
        <f>(VLOOKUP('18.04'!Q80,'18.04'!$AM$4:$AP$55,4,FALSE))</f>
        <v>10</v>
      </c>
      <c r="J80" s="4">
        <f>(VLOOKUP('18.04'!R80,'18.04'!$AM$4:$AP$55,4,FALSE))</f>
        <v>0</v>
      </c>
      <c r="K80" s="4">
        <f>(VLOOKUP('18.04'!S80,'18.04'!$AM$4:$AP$55,4,FALSE))</f>
        <v>0</v>
      </c>
      <c r="L80" s="4">
        <f>(VLOOKUP('18.04'!T80,'18.04'!$AM$4:$AP$55,4,FALSE))</f>
        <v>0</v>
      </c>
      <c r="M80" s="4">
        <f>(VLOOKUP('18.04'!U80,'18.04'!$AM$4:$AP$55,4,FALSE))</f>
        <v>0</v>
      </c>
      <c r="N80" s="4">
        <f>(VLOOKUP('18.04'!V80,'18.04'!$AM$4:$AP$55,4,FALSE))</f>
        <v>0</v>
      </c>
      <c r="O80" s="4">
        <f>(VLOOKUP('18.04'!W80,'18.04'!$AM$4:$AP$55,4,FALSE))</f>
        <v>0</v>
      </c>
      <c r="P80" s="4">
        <f>(VLOOKUP('18.04'!X80,'18.04'!$AM$4:$AP$55,4,FALSE))</f>
        <v>0</v>
      </c>
      <c r="Q80" s="4">
        <f>(VLOOKUP('18.04'!Y80,'18.04'!$AM$4:$AP$55,4,FALSE))</f>
        <v>0</v>
      </c>
      <c r="R80" s="4">
        <f>(VLOOKUP('18.04'!Z80,'18.04'!$AM$4:$AP$55,4,FALSE))</f>
        <v>0</v>
      </c>
      <c r="S80" s="4">
        <f>(VLOOKUP('18.04'!AA80,'18.04'!$AM$4:$AP$55,4,FALSE))</f>
        <v>0</v>
      </c>
      <c r="T80" s="4">
        <f>(VLOOKUP('18.04'!AB80,'18.04'!$AM$4:$AP$55,4,FALSE))</f>
        <v>0</v>
      </c>
      <c r="U80" s="4">
        <f>(VLOOKUP('18.04'!AC80,'18.04'!$AM$4:$AP$55,4,FALSE))</f>
        <v>0</v>
      </c>
      <c r="V80" s="4">
        <f>(VLOOKUP('18.04'!AD80,'18.04'!$AM$4:$AP$55,4,FALSE))</f>
        <v>0</v>
      </c>
      <c r="W80" s="4">
        <f>(VLOOKUP('18.04'!AE80,'18.04'!$AM$4:$AP$55,4,FALSE))</f>
        <v>0</v>
      </c>
      <c r="X80" s="4">
        <f>(VLOOKUP('18.04'!AF80,'18.04'!$AM$4:$AP$55,4,FALSE))</f>
        <v>0</v>
      </c>
    </row>
    <row r="81" spans="1:24">
      <c r="A81" s="4">
        <f>(VLOOKUP('18.04'!I81,'18.04'!$AM$4:$AP$55,4,FALSE))</f>
        <v>36</v>
      </c>
      <c r="B81" s="4">
        <f>(VLOOKUP('18.04'!J81,'18.04'!$AM$4:$AP$55,4,FALSE))</f>
        <v>36</v>
      </c>
      <c r="C81" s="4">
        <f>(VLOOKUP('18.04'!K81,'18.04'!$AM$4:$AP$55,4,FALSE))</f>
        <v>36</v>
      </c>
      <c r="D81" s="4">
        <f>(VLOOKUP('18.04'!L81,'18.04'!$AM$4:$AP$55,4,FALSE))</f>
        <v>36</v>
      </c>
      <c r="E81" s="4">
        <f>(VLOOKUP('18.04'!M81,'18.04'!$AM$4:$AP$55,4,FALSE))</f>
        <v>36</v>
      </c>
      <c r="F81" s="4">
        <f>(VLOOKUP('18.04'!N81,'18.04'!$AM$4:$AP$55,4,FALSE))</f>
        <v>36</v>
      </c>
      <c r="G81" s="4">
        <f>(VLOOKUP('18.04'!O81,'18.04'!$AM$4:$AP$55,4,FALSE))</f>
        <v>36</v>
      </c>
      <c r="H81" s="4">
        <f>(VLOOKUP('18.04'!P81,'18.04'!$AM$4:$AP$55,4,FALSE))</f>
        <v>36</v>
      </c>
      <c r="I81" s="4">
        <f>(VLOOKUP('18.04'!Q81,'18.04'!$AM$4:$AP$55,4,FALSE))</f>
        <v>0</v>
      </c>
      <c r="J81" s="4">
        <f>(VLOOKUP('18.04'!R81,'18.04'!$AM$4:$AP$55,4,FALSE))</f>
        <v>0</v>
      </c>
      <c r="K81" s="4">
        <f>(VLOOKUP('18.04'!S81,'18.04'!$AM$4:$AP$55,4,FALSE))</f>
        <v>0</v>
      </c>
      <c r="L81" s="4">
        <f>(VLOOKUP('18.04'!T81,'18.04'!$AM$4:$AP$55,4,FALSE))</f>
        <v>0</v>
      </c>
      <c r="M81" s="4">
        <f>(VLOOKUP('18.04'!U81,'18.04'!$AM$4:$AP$55,4,FALSE))</f>
        <v>0</v>
      </c>
      <c r="N81" s="4">
        <f>(VLOOKUP('18.04'!V81,'18.04'!$AM$4:$AP$55,4,FALSE))</f>
        <v>0</v>
      </c>
      <c r="O81" s="4">
        <f>(VLOOKUP('18.04'!W81,'18.04'!$AM$4:$AP$55,4,FALSE))</f>
        <v>0</v>
      </c>
      <c r="P81" s="4">
        <f>(VLOOKUP('18.04'!X81,'18.04'!$AM$4:$AP$55,4,FALSE))</f>
        <v>0</v>
      </c>
      <c r="Q81" s="4">
        <f>(VLOOKUP('18.04'!Y81,'18.04'!$AM$4:$AP$55,4,FALSE))</f>
        <v>0</v>
      </c>
      <c r="R81" s="4">
        <f>(VLOOKUP('18.04'!Z81,'18.04'!$AM$4:$AP$55,4,FALSE))</f>
        <v>0</v>
      </c>
      <c r="S81" s="4">
        <f>(VLOOKUP('18.04'!AA81,'18.04'!$AM$4:$AP$55,4,FALSE))</f>
        <v>0</v>
      </c>
      <c r="T81" s="4">
        <f>(VLOOKUP('18.04'!AB81,'18.04'!$AM$4:$AP$55,4,FALSE))</f>
        <v>0</v>
      </c>
      <c r="U81" s="4">
        <f>(VLOOKUP('18.04'!AC81,'18.04'!$AM$4:$AP$55,4,FALSE))</f>
        <v>0</v>
      </c>
      <c r="V81" s="4">
        <f>(VLOOKUP('18.04'!AD81,'18.04'!$AM$4:$AP$55,4,FALSE))</f>
        <v>0</v>
      </c>
      <c r="W81" s="4">
        <f>(VLOOKUP('18.04'!AE81,'18.04'!$AM$4:$AP$55,4,FALSE))</f>
        <v>0</v>
      </c>
      <c r="X81" s="4">
        <f>(VLOOKUP('18.04'!AF81,'18.04'!$AM$4:$AP$55,4,FALSE))</f>
        <v>0</v>
      </c>
    </row>
    <row r="82" spans="1:24">
      <c r="A82" s="4">
        <f>(VLOOKUP('18.04'!I82,'18.04'!$AM$4:$AP$55,4,FALSE))</f>
        <v>0</v>
      </c>
      <c r="B82" s="4">
        <f>(VLOOKUP('18.04'!J82,'18.04'!$AM$4:$AP$55,4,FALSE))</f>
        <v>0</v>
      </c>
      <c r="C82" s="4">
        <f>(VLOOKUP('18.04'!K82,'18.04'!$AM$4:$AP$55,4,FALSE))</f>
        <v>0</v>
      </c>
      <c r="D82" s="4">
        <f>(VLOOKUP('18.04'!L82,'18.04'!$AM$4:$AP$55,4,FALSE))</f>
        <v>0</v>
      </c>
      <c r="E82" s="4">
        <f>(VLOOKUP('18.04'!M82,'18.04'!$AM$4:$AP$55,4,FALSE))</f>
        <v>0</v>
      </c>
      <c r="F82" s="4">
        <f>(VLOOKUP('18.04'!N82,'18.04'!$AM$4:$AP$55,4,FALSE))</f>
        <v>0</v>
      </c>
      <c r="G82" s="4">
        <f>(VLOOKUP('18.04'!O82,'18.04'!$AM$4:$AP$55,4,FALSE))</f>
        <v>0</v>
      </c>
      <c r="H82" s="4">
        <f>(VLOOKUP('18.04'!P82,'18.04'!$AM$4:$AP$55,4,FALSE))</f>
        <v>0</v>
      </c>
      <c r="I82" s="4">
        <f>(VLOOKUP('18.04'!Q82,'18.04'!$AM$4:$AP$55,4,FALSE))</f>
        <v>0</v>
      </c>
      <c r="J82" s="4">
        <f>(VLOOKUP('18.04'!R82,'18.04'!$AM$4:$AP$55,4,FALSE))</f>
        <v>0</v>
      </c>
      <c r="K82" s="4">
        <f>(VLOOKUP('18.04'!S82,'18.04'!$AM$4:$AP$55,4,FALSE))</f>
        <v>0</v>
      </c>
      <c r="L82" s="4">
        <f>(VLOOKUP('18.04'!T82,'18.04'!$AM$4:$AP$55,4,FALSE))</f>
        <v>0</v>
      </c>
      <c r="M82" s="4">
        <f>(VLOOKUP('18.04'!U82,'18.04'!$AM$4:$AP$55,4,FALSE))</f>
        <v>0</v>
      </c>
      <c r="N82" s="4">
        <f>(VLOOKUP('18.04'!V82,'18.04'!$AM$4:$AP$55,4,FALSE))</f>
        <v>0</v>
      </c>
      <c r="O82" s="4">
        <f>(VLOOKUP('18.04'!W82,'18.04'!$AM$4:$AP$55,4,FALSE))</f>
        <v>0</v>
      </c>
      <c r="P82" s="4">
        <f>(VLOOKUP('18.04'!X82,'18.04'!$AM$4:$AP$55,4,FALSE))</f>
        <v>0</v>
      </c>
      <c r="Q82" s="4">
        <f>(VLOOKUP('18.04'!Y82,'18.04'!$AM$4:$AP$55,4,FALSE))</f>
        <v>0</v>
      </c>
      <c r="R82" s="4">
        <f>(VLOOKUP('18.04'!Z82,'18.04'!$AM$4:$AP$55,4,FALSE))</f>
        <v>0</v>
      </c>
      <c r="S82" s="4">
        <f>(VLOOKUP('18.04'!AA82,'18.04'!$AM$4:$AP$55,4,FALSE))</f>
        <v>0</v>
      </c>
      <c r="T82" s="4">
        <f>(VLOOKUP('18.04'!AB82,'18.04'!$AM$4:$AP$55,4,FALSE))</f>
        <v>0</v>
      </c>
      <c r="U82" s="4">
        <f>(VLOOKUP('18.04'!AC82,'18.04'!$AM$4:$AP$55,4,FALSE))</f>
        <v>0</v>
      </c>
      <c r="V82" s="4">
        <f>(VLOOKUP('18.04'!AD82,'18.04'!$AM$4:$AP$55,4,FALSE))</f>
        <v>0</v>
      </c>
      <c r="W82" s="4">
        <f>(VLOOKUP('18.04'!AE82,'18.04'!$AM$4:$AP$55,4,FALSE))</f>
        <v>0</v>
      </c>
      <c r="X82" s="4">
        <f>(VLOOKUP('18.04'!AF82,'18.04'!$AM$4:$AP$55,4,FALSE))</f>
        <v>0</v>
      </c>
    </row>
    <row r="83" spans="1:24">
      <c r="A83" s="4">
        <f>(VLOOKUP('18.04'!I83,'18.04'!$AM$4:$AP$55,4,FALSE))</f>
        <v>0</v>
      </c>
      <c r="B83" s="4">
        <f>(VLOOKUP('18.04'!J83,'18.04'!$AM$4:$AP$55,4,FALSE))</f>
        <v>0</v>
      </c>
      <c r="C83" s="4">
        <f>(VLOOKUP('18.04'!K83,'18.04'!$AM$4:$AP$55,4,FALSE))</f>
        <v>0</v>
      </c>
      <c r="D83" s="4">
        <f>(VLOOKUP('18.04'!L83,'18.04'!$AM$4:$AP$55,4,FALSE))</f>
        <v>0</v>
      </c>
      <c r="E83" s="4">
        <f>(VLOOKUP('18.04'!M83,'18.04'!$AM$4:$AP$55,4,FALSE))</f>
        <v>0</v>
      </c>
      <c r="F83" s="4">
        <f>(VLOOKUP('18.04'!N83,'18.04'!$AM$4:$AP$55,4,FALSE))</f>
        <v>0</v>
      </c>
      <c r="G83" s="4">
        <f>(VLOOKUP('18.04'!O83,'18.04'!$AM$4:$AP$55,4,FALSE))</f>
        <v>0</v>
      </c>
      <c r="H83" s="4">
        <f>(VLOOKUP('18.04'!P83,'18.04'!$AM$4:$AP$55,4,FALSE))</f>
        <v>0</v>
      </c>
      <c r="I83" s="4">
        <f>(VLOOKUP('18.04'!Q83,'18.04'!$AM$4:$AP$55,4,FALSE))</f>
        <v>0</v>
      </c>
      <c r="J83" s="4">
        <f>(VLOOKUP('18.04'!R83,'18.04'!$AM$4:$AP$55,4,FALSE))</f>
        <v>0</v>
      </c>
      <c r="K83" s="4">
        <f>(VLOOKUP('18.04'!S83,'18.04'!$AM$4:$AP$55,4,FALSE))</f>
        <v>0</v>
      </c>
      <c r="L83" s="4">
        <f>(VLOOKUP('18.04'!T83,'18.04'!$AM$4:$AP$55,4,FALSE))</f>
        <v>0</v>
      </c>
      <c r="M83" s="4">
        <f>(VLOOKUP('18.04'!U83,'18.04'!$AM$4:$AP$55,4,FALSE))</f>
        <v>0</v>
      </c>
      <c r="N83" s="4">
        <f>(VLOOKUP('18.04'!V83,'18.04'!$AM$4:$AP$55,4,FALSE))</f>
        <v>0</v>
      </c>
      <c r="O83" s="4">
        <f>(VLOOKUP('18.04'!W83,'18.04'!$AM$4:$AP$55,4,FALSE))</f>
        <v>0</v>
      </c>
      <c r="P83" s="4">
        <f>(VLOOKUP('18.04'!X83,'18.04'!$AM$4:$AP$55,4,FALSE))</f>
        <v>0</v>
      </c>
      <c r="Q83" s="4">
        <f>(VLOOKUP('18.04'!Y83,'18.04'!$AM$4:$AP$55,4,FALSE))</f>
        <v>0</v>
      </c>
      <c r="R83" s="4">
        <f>(VLOOKUP('18.04'!Z83,'18.04'!$AM$4:$AP$55,4,FALSE))</f>
        <v>0</v>
      </c>
      <c r="S83" s="4">
        <f>(VLOOKUP('18.04'!AA83,'18.04'!$AM$4:$AP$55,4,FALSE))</f>
        <v>0</v>
      </c>
      <c r="T83" s="4">
        <f>(VLOOKUP('18.04'!AB83,'18.04'!$AM$4:$AP$55,4,FALSE))</f>
        <v>0</v>
      </c>
      <c r="U83" s="4">
        <f>(VLOOKUP('18.04'!AC83,'18.04'!$AM$4:$AP$55,4,FALSE))</f>
        <v>0</v>
      </c>
      <c r="V83" s="4">
        <f>(VLOOKUP('18.04'!AD83,'18.04'!$AM$4:$AP$55,4,FALSE))</f>
        <v>0</v>
      </c>
      <c r="W83" s="4">
        <f>(VLOOKUP('18.04'!AE83,'18.04'!$AM$4:$AP$55,4,FALSE))</f>
        <v>0</v>
      </c>
      <c r="X83" s="4">
        <f>(VLOOKUP('18.04'!AF83,'18.04'!$AM$4:$AP$55,4,FALSE))</f>
        <v>0</v>
      </c>
    </row>
    <row r="84" spans="1:24">
      <c r="A84" s="4">
        <f>(VLOOKUP('18.04'!I84,'18.04'!$AM$4:$AP$55,4,FALSE))</f>
        <v>0</v>
      </c>
      <c r="B84" s="4">
        <f>(VLOOKUP('18.04'!J84,'18.04'!$AM$4:$AP$55,4,FALSE))</f>
        <v>0</v>
      </c>
      <c r="C84" s="4">
        <f>(VLOOKUP('18.04'!K84,'18.04'!$AM$4:$AP$55,4,FALSE))</f>
        <v>0</v>
      </c>
      <c r="D84" s="4">
        <f>(VLOOKUP('18.04'!L84,'18.04'!$AM$4:$AP$55,4,FALSE))</f>
        <v>0</v>
      </c>
      <c r="E84" s="4">
        <f>(VLOOKUP('18.04'!M84,'18.04'!$AM$4:$AP$55,4,FALSE))</f>
        <v>0</v>
      </c>
      <c r="F84" s="4">
        <f>(VLOOKUP('18.04'!N84,'18.04'!$AM$4:$AP$55,4,FALSE))</f>
        <v>0</v>
      </c>
      <c r="G84" s="4">
        <f>(VLOOKUP('18.04'!O84,'18.04'!$AM$4:$AP$55,4,FALSE))</f>
        <v>0</v>
      </c>
      <c r="H84" s="4">
        <f>(VLOOKUP('18.04'!P84,'18.04'!$AM$4:$AP$55,4,FALSE))</f>
        <v>0</v>
      </c>
      <c r="I84" s="4">
        <f>(VLOOKUP('18.04'!Q84,'18.04'!$AM$4:$AP$55,4,FALSE))</f>
        <v>0</v>
      </c>
      <c r="J84" s="4">
        <f>(VLOOKUP('18.04'!R84,'18.04'!$AM$4:$AP$55,4,FALSE))</f>
        <v>0</v>
      </c>
      <c r="K84" s="4">
        <f>(VLOOKUP('18.04'!S84,'18.04'!$AM$4:$AP$55,4,FALSE))</f>
        <v>0</v>
      </c>
      <c r="L84" s="4">
        <f>(VLOOKUP('18.04'!T84,'18.04'!$AM$4:$AP$55,4,FALSE))</f>
        <v>0</v>
      </c>
      <c r="M84" s="4">
        <f>(VLOOKUP('18.04'!U84,'18.04'!$AM$4:$AP$55,4,FALSE))</f>
        <v>0</v>
      </c>
      <c r="N84" s="4">
        <f>(VLOOKUP('18.04'!V84,'18.04'!$AM$4:$AP$55,4,FALSE))</f>
        <v>0</v>
      </c>
      <c r="O84" s="4">
        <f>(VLOOKUP('18.04'!W84,'18.04'!$AM$4:$AP$55,4,FALSE))</f>
        <v>0</v>
      </c>
      <c r="P84" s="4">
        <f>(VLOOKUP('18.04'!X84,'18.04'!$AM$4:$AP$55,4,FALSE))</f>
        <v>0</v>
      </c>
      <c r="Q84" s="4">
        <f>(VLOOKUP('18.04'!Y84,'18.04'!$AM$4:$AP$55,4,FALSE))</f>
        <v>0</v>
      </c>
      <c r="R84" s="4">
        <f>(VLOOKUP('18.04'!Z84,'18.04'!$AM$4:$AP$55,4,FALSE))</f>
        <v>0</v>
      </c>
      <c r="S84" s="4">
        <f>(VLOOKUP('18.04'!AA84,'18.04'!$AM$4:$AP$55,4,FALSE))</f>
        <v>0</v>
      </c>
      <c r="T84" s="4">
        <f>(VLOOKUP('18.04'!AB84,'18.04'!$AM$4:$AP$55,4,FALSE))</f>
        <v>0</v>
      </c>
      <c r="U84" s="4">
        <f>(VLOOKUP('18.04'!AC84,'18.04'!$AM$4:$AP$55,4,FALSE))</f>
        <v>0</v>
      </c>
      <c r="V84" s="4">
        <f>(VLOOKUP('18.04'!AD84,'18.04'!$AM$4:$AP$55,4,FALSE))</f>
        <v>0</v>
      </c>
      <c r="W84" s="4">
        <f>(VLOOKUP('18.04'!AE84,'18.04'!$AM$4:$AP$55,4,FALSE))</f>
        <v>0</v>
      </c>
      <c r="X84" s="4">
        <f>(VLOOKUP('18.04'!AF84,'18.04'!$AM$4:$AP$55,4,FALSE))</f>
        <v>0</v>
      </c>
    </row>
    <row r="85" spans="1:24">
      <c r="A85" s="4">
        <f>(VLOOKUP('18.04'!I85,'18.04'!$AM$4:$AP$55,4,FALSE))</f>
        <v>0</v>
      </c>
      <c r="B85" s="4">
        <f>(VLOOKUP('18.04'!J85,'18.04'!$AM$4:$AP$55,4,FALSE))</f>
        <v>0</v>
      </c>
      <c r="C85" s="4">
        <f>(VLOOKUP('18.04'!K85,'18.04'!$AM$4:$AP$55,4,FALSE))</f>
        <v>0</v>
      </c>
      <c r="D85" s="4">
        <f>(VLOOKUP('18.04'!L85,'18.04'!$AM$4:$AP$55,4,FALSE))</f>
        <v>0</v>
      </c>
      <c r="E85" s="4">
        <f>(VLOOKUP('18.04'!M85,'18.04'!$AM$4:$AP$55,4,FALSE))</f>
        <v>0</v>
      </c>
      <c r="F85" s="4">
        <f>(VLOOKUP('18.04'!N85,'18.04'!$AM$4:$AP$55,4,FALSE))</f>
        <v>0</v>
      </c>
      <c r="G85" s="4">
        <f>(VLOOKUP('18.04'!O85,'18.04'!$AM$4:$AP$55,4,FALSE))</f>
        <v>0</v>
      </c>
      <c r="H85" s="4">
        <f>(VLOOKUP('18.04'!P85,'18.04'!$AM$4:$AP$55,4,FALSE))</f>
        <v>0</v>
      </c>
      <c r="I85" s="4">
        <f>(VLOOKUP('18.04'!Q85,'18.04'!$AM$4:$AP$55,4,FALSE))</f>
        <v>0</v>
      </c>
      <c r="J85" s="4">
        <f>(VLOOKUP('18.04'!R85,'18.04'!$AM$4:$AP$55,4,FALSE))</f>
        <v>0</v>
      </c>
      <c r="K85" s="4">
        <f>(VLOOKUP('18.04'!S85,'18.04'!$AM$4:$AP$55,4,FALSE))</f>
        <v>0</v>
      </c>
      <c r="L85" s="4">
        <f>(VLOOKUP('18.04'!T85,'18.04'!$AM$4:$AP$55,4,FALSE))</f>
        <v>0</v>
      </c>
      <c r="M85" s="4">
        <f>(VLOOKUP('18.04'!U85,'18.04'!$AM$4:$AP$55,4,FALSE))</f>
        <v>0</v>
      </c>
      <c r="N85" s="4">
        <f>(VLOOKUP('18.04'!V85,'18.04'!$AM$4:$AP$55,4,FALSE))</f>
        <v>0</v>
      </c>
      <c r="O85" s="4">
        <f>(VLOOKUP('18.04'!W85,'18.04'!$AM$4:$AP$55,4,FALSE))</f>
        <v>0</v>
      </c>
      <c r="P85" s="4">
        <f>(VLOOKUP('18.04'!X85,'18.04'!$AM$4:$AP$55,4,FALSE))</f>
        <v>0</v>
      </c>
      <c r="Q85" s="4">
        <f>(VLOOKUP('18.04'!Y85,'18.04'!$AM$4:$AP$55,4,FALSE))</f>
        <v>0</v>
      </c>
      <c r="R85" s="4">
        <f>(VLOOKUP('18.04'!Z85,'18.04'!$AM$4:$AP$55,4,FALSE))</f>
        <v>0</v>
      </c>
      <c r="S85" s="4">
        <f>(VLOOKUP('18.04'!AA85,'18.04'!$AM$4:$AP$55,4,FALSE))</f>
        <v>0</v>
      </c>
      <c r="T85" s="4">
        <f>(VLOOKUP('18.04'!AB85,'18.04'!$AM$4:$AP$55,4,FALSE))</f>
        <v>0</v>
      </c>
      <c r="U85" s="4">
        <f>(VLOOKUP('18.04'!AC85,'18.04'!$AM$4:$AP$55,4,FALSE))</f>
        <v>0</v>
      </c>
      <c r="V85" s="4">
        <f>(VLOOKUP('18.04'!AD85,'18.04'!$AM$4:$AP$55,4,FALSE))</f>
        <v>0</v>
      </c>
      <c r="W85" s="4">
        <f>(VLOOKUP('18.04'!AE85,'18.04'!$AM$4:$AP$55,4,FALSE))</f>
        <v>0</v>
      </c>
      <c r="X85" s="4">
        <f>(VLOOKUP('18.04'!AF85,'18.04'!$AM$4:$AP$55,4,FALSE))</f>
        <v>0</v>
      </c>
    </row>
    <row r="86" spans="1:24">
      <c r="A86" s="4">
        <f>(VLOOKUP('18.04'!I86,'18.04'!$AM$4:$AP$55,4,FALSE))</f>
        <v>0</v>
      </c>
      <c r="B86" s="4">
        <f>(VLOOKUP('18.04'!J86,'18.04'!$AM$4:$AP$55,4,FALSE))</f>
        <v>0</v>
      </c>
      <c r="C86" s="4">
        <f>(VLOOKUP('18.04'!K86,'18.04'!$AM$4:$AP$55,4,FALSE))</f>
        <v>0</v>
      </c>
      <c r="D86" s="4">
        <f>(VLOOKUP('18.04'!L86,'18.04'!$AM$4:$AP$55,4,FALSE))</f>
        <v>0</v>
      </c>
      <c r="E86" s="4">
        <f>(VLOOKUP('18.04'!M86,'18.04'!$AM$4:$AP$55,4,FALSE))</f>
        <v>0</v>
      </c>
      <c r="F86" s="4">
        <f>(VLOOKUP('18.04'!N86,'18.04'!$AM$4:$AP$55,4,FALSE))</f>
        <v>0</v>
      </c>
      <c r="G86" s="4">
        <f>(VLOOKUP('18.04'!O86,'18.04'!$AM$4:$AP$55,4,FALSE))</f>
        <v>0</v>
      </c>
      <c r="H86" s="4">
        <f>(VLOOKUP('18.04'!P86,'18.04'!$AM$4:$AP$55,4,FALSE))</f>
        <v>0</v>
      </c>
      <c r="I86" s="4">
        <f>(VLOOKUP('18.04'!Q86,'18.04'!$AM$4:$AP$55,4,FALSE))</f>
        <v>0</v>
      </c>
      <c r="J86" s="4">
        <f>(VLOOKUP('18.04'!R86,'18.04'!$AM$4:$AP$55,4,FALSE))</f>
        <v>0</v>
      </c>
      <c r="K86" s="4">
        <f>(VLOOKUP('18.04'!S86,'18.04'!$AM$4:$AP$55,4,FALSE))</f>
        <v>0</v>
      </c>
      <c r="L86" s="4">
        <f>(VLOOKUP('18.04'!T86,'18.04'!$AM$4:$AP$55,4,FALSE))</f>
        <v>0</v>
      </c>
      <c r="M86" s="4">
        <f>(VLOOKUP('18.04'!U86,'18.04'!$AM$4:$AP$55,4,FALSE))</f>
        <v>0</v>
      </c>
      <c r="N86" s="4">
        <f>(VLOOKUP('18.04'!V86,'18.04'!$AM$4:$AP$55,4,FALSE))</f>
        <v>0</v>
      </c>
      <c r="O86" s="4">
        <f>(VLOOKUP('18.04'!W86,'18.04'!$AM$4:$AP$55,4,FALSE))</f>
        <v>0</v>
      </c>
      <c r="P86" s="4">
        <f>(VLOOKUP('18.04'!X86,'18.04'!$AM$4:$AP$55,4,FALSE))</f>
        <v>0</v>
      </c>
      <c r="Q86" s="4">
        <f>(VLOOKUP('18.04'!Y86,'18.04'!$AM$4:$AP$55,4,FALSE))</f>
        <v>0</v>
      </c>
      <c r="R86" s="4">
        <f>(VLOOKUP('18.04'!Z86,'18.04'!$AM$4:$AP$55,4,FALSE))</f>
        <v>0</v>
      </c>
      <c r="S86" s="4">
        <f>(VLOOKUP('18.04'!AA86,'18.04'!$AM$4:$AP$55,4,FALSE))</f>
        <v>0</v>
      </c>
      <c r="T86" s="4">
        <f>(VLOOKUP('18.04'!AB86,'18.04'!$AM$4:$AP$55,4,FALSE))</f>
        <v>0</v>
      </c>
      <c r="U86" s="4">
        <f>(VLOOKUP('18.04'!AC86,'18.04'!$AM$4:$AP$55,4,FALSE))</f>
        <v>0</v>
      </c>
      <c r="V86" s="4">
        <f>(VLOOKUP('18.04'!AD86,'18.04'!$AM$4:$AP$55,4,FALSE))</f>
        <v>0</v>
      </c>
      <c r="W86" s="4">
        <f>(VLOOKUP('18.04'!AE86,'18.04'!$AM$4:$AP$55,4,FALSE))</f>
        <v>0</v>
      </c>
      <c r="X86" s="4">
        <f>(VLOOKUP('18.04'!AF86,'18.04'!$AM$4:$AP$55,4,FALSE))</f>
        <v>0</v>
      </c>
    </row>
    <row r="87" spans="1:24">
      <c r="A87" s="4">
        <f>(VLOOKUP('18.04'!I87,'18.04'!$AM$4:$AP$55,4,FALSE))</f>
        <v>0</v>
      </c>
      <c r="B87" s="4">
        <f>(VLOOKUP('18.04'!J87,'18.04'!$AM$4:$AP$55,4,FALSE))</f>
        <v>0</v>
      </c>
      <c r="C87" s="4">
        <f>(VLOOKUP('18.04'!K87,'18.04'!$AM$4:$AP$55,4,FALSE))</f>
        <v>0</v>
      </c>
      <c r="D87" s="4">
        <f>(VLOOKUP('18.04'!L87,'18.04'!$AM$4:$AP$55,4,FALSE))</f>
        <v>0</v>
      </c>
      <c r="E87" s="4">
        <f>(VLOOKUP('18.04'!M87,'18.04'!$AM$4:$AP$55,4,FALSE))</f>
        <v>0</v>
      </c>
      <c r="F87" s="4">
        <f>(VLOOKUP('18.04'!N87,'18.04'!$AM$4:$AP$55,4,FALSE))</f>
        <v>0</v>
      </c>
      <c r="G87" s="4">
        <f>(VLOOKUP('18.04'!O87,'18.04'!$AM$4:$AP$55,4,FALSE))</f>
        <v>0</v>
      </c>
      <c r="H87" s="4">
        <f>(VLOOKUP('18.04'!P87,'18.04'!$AM$4:$AP$55,4,FALSE))</f>
        <v>0</v>
      </c>
      <c r="I87" s="4">
        <f>(VLOOKUP('18.04'!Q87,'18.04'!$AM$4:$AP$55,4,FALSE))</f>
        <v>0</v>
      </c>
      <c r="J87" s="4">
        <f>(VLOOKUP('18.04'!R87,'18.04'!$AM$4:$AP$55,4,FALSE))</f>
        <v>0</v>
      </c>
      <c r="K87" s="4">
        <f>(VLOOKUP('18.04'!S87,'18.04'!$AM$4:$AP$55,4,FALSE))</f>
        <v>0</v>
      </c>
      <c r="L87" s="4">
        <f>(VLOOKUP('18.04'!T87,'18.04'!$AM$4:$AP$55,4,FALSE))</f>
        <v>0</v>
      </c>
      <c r="M87" s="4">
        <f>(VLOOKUP('18.04'!U87,'18.04'!$AM$4:$AP$55,4,FALSE))</f>
        <v>0</v>
      </c>
      <c r="N87" s="4">
        <f>(VLOOKUP('18.04'!V87,'18.04'!$AM$4:$AP$55,4,FALSE))</f>
        <v>0</v>
      </c>
      <c r="O87" s="4">
        <f>(VLOOKUP('18.04'!W87,'18.04'!$AM$4:$AP$55,4,FALSE))</f>
        <v>0</v>
      </c>
      <c r="P87" s="4">
        <f>(VLOOKUP('18.04'!X87,'18.04'!$AM$4:$AP$55,4,FALSE))</f>
        <v>0</v>
      </c>
      <c r="Q87" s="4">
        <f>(VLOOKUP('18.04'!Y87,'18.04'!$AM$4:$AP$55,4,FALSE))</f>
        <v>0</v>
      </c>
      <c r="R87" s="4">
        <f>(VLOOKUP('18.04'!Z87,'18.04'!$AM$4:$AP$55,4,FALSE))</f>
        <v>0</v>
      </c>
      <c r="S87" s="4">
        <f>(VLOOKUP('18.04'!AA87,'18.04'!$AM$4:$AP$55,4,FALSE))</f>
        <v>0</v>
      </c>
      <c r="T87" s="4">
        <f>(VLOOKUP('18.04'!AB87,'18.04'!$AM$4:$AP$55,4,FALSE))</f>
        <v>0</v>
      </c>
      <c r="U87" s="4">
        <f>(VLOOKUP('18.04'!AC87,'18.04'!$AM$4:$AP$55,4,FALSE))</f>
        <v>0</v>
      </c>
      <c r="V87" s="4">
        <f>(VLOOKUP('18.04'!AD87,'18.04'!$AM$4:$AP$55,4,FALSE))</f>
        <v>0</v>
      </c>
      <c r="W87" s="4">
        <f>(VLOOKUP('18.04'!AE87,'18.04'!$AM$4:$AP$55,4,FALSE))</f>
        <v>0</v>
      </c>
      <c r="X87" s="4">
        <f>(VLOOKUP('18.04'!AF87,'18.04'!$AM$4:$AP$55,4,FALSE))</f>
        <v>0</v>
      </c>
    </row>
    <row r="88" spans="1:24">
      <c r="A88" s="4">
        <f>(VLOOKUP('18.04'!I88,'18.04'!$AM$4:$AP$55,4,FALSE))</f>
        <v>0</v>
      </c>
      <c r="B88" s="4">
        <f>(VLOOKUP('18.04'!J88,'18.04'!$AM$4:$AP$55,4,FALSE))</f>
        <v>0</v>
      </c>
      <c r="C88" s="4">
        <f>(VLOOKUP('18.04'!K88,'18.04'!$AM$4:$AP$55,4,FALSE))</f>
        <v>0</v>
      </c>
      <c r="D88" s="4">
        <f>(VLOOKUP('18.04'!L88,'18.04'!$AM$4:$AP$55,4,FALSE))</f>
        <v>0</v>
      </c>
      <c r="E88" s="4">
        <f>(VLOOKUP('18.04'!M88,'18.04'!$AM$4:$AP$55,4,FALSE))</f>
        <v>0</v>
      </c>
      <c r="F88" s="4">
        <f>(VLOOKUP('18.04'!N88,'18.04'!$AM$4:$AP$55,4,FALSE))</f>
        <v>0</v>
      </c>
      <c r="G88" s="4">
        <f>(VLOOKUP('18.04'!O88,'18.04'!$AM$4:$AP$55,4,FALSE))</f>
        <v>0</v>
      </c>
      <c r="H88" s="4">
        <f>(VLOOKUP('18.04'!P88,'18.04'!$AM$4:$AP$55,4,FALSE))</f>
        <v>0</v>
      </c>
      <c r="I88" s="4">
        <f>(VLOOKUP('18.04'!Q88,'18.04'!$AM$4:$AP$55,4,FALSE))</f>
        <v>0</v>
      </c>
      <c r="J88" s="4">
        <f>(VLOOKUP('18.04'!R88,'18.04'!$AM$4:$AP$55,4,FALSE))</f>
        <v>0</v>
      </c>
      <c r="K88" s="4">
        <f>(VLOOKUP('18.04'!S88,'18.04'!$AM$4:$AP$55,4,FALSE))</f>
        <v>0</v>
      </c>
      <c r="L88" s="4">
        <f>(VLOOKUP('18.04'!T88,'18.04'!$AM$4:$AP$55,4,FALSE))</f>
        <v>0</v>
      </c>
      <c r="M88" s="4">
        <f>(VLOOKUP('18.04'!U88,'18.04'!$AM$4:$AP$55,4,FALSE))</f>
        <v>0</v>
      </c>
      <c r="N88" s="4">
        <f>(VLOOKUP('18.04'!V88,'18.04'!$AM$4:$AP$55,4,FALSE))</f>
        <v>0</v>
      </c>
      <c r="O88" s="4">
        <f>(VLOOKUP('18.04'!W88,'18.04'!$AM$4:$AP$55,4,FALSE))</f>
        <v>0</v>
      </c>
      <c r="P88" s="4">
        <f>(VLOOKUP('18.04'!X88,'18.04'!$AM$4:$AP$55,4,FALSE))</f>
        <v>0</v>
      </c>
      <c r="Q88" s="4">
        <f>(VLOOKUP('18.04'!Y88,'18.04'!$AM$4:$AP$55,4,FALSE))</f>
        <v>0</v>
      </c>
      <c r="R88" s="4">
        <f>(VLOOKUP('18.04'!Z88,'18.04'!$AM$4:$AP$55,4,FALSE))</f>
        <v>0</v>
      </c>
      <c r="S88" s="4">
        <f>(VLOOKUP('18.04'!AA88,'18.04'!$AM$4:$AP$55,4,FALSE))</f>
        <v>0</v>
      </c>
      <c r="T88" s="4">
        <f>(VLOOKUP('18.04'!AB88,'18.04'!$AM$4:$AP$55,4,FALSE))</f>
        <v>0</v>
      </c>
      <c r="U88" s="4">
        <f>(VLOOKUP('18.04'!AC88,'18.04'!$AM$4:$AP$55,4,FALSE))</f>
        <v>0</v>
      </c>
      <c r="V88" s="4">
        <f>(VLOOKUP('18.04'!AD88,'18.04'!$AM$4:$AP$55,4,FALSE))</f>
        <v>0</v>
      </c>
      <c r="W88" s="4">
        <f>(VLOOKUP('18.04'!AE88,'18.04'!$AM$4:$AP$55,4,FALSE))</f>
        <v>0</v>
      </c>
      <c r="X88" s="4">
        <f>(VLOOKUP('18.04'!AF88,'18.04'!$AM$4:$AP$55,4,FALSE))</f>
        <v>0</v>
      </c>
    </row>
    <row r="89" spans="1:24">
      <c r="A89" s="4">
        <f>(VLOOKUP('18.04'!I89,'18.04'!$AM$4:$AP$55,4,FALSE))</f>
        <v>0</v>
      </c>
      <c r="B89" s="4">
        <f>(VLOOKUP('18.04'!J89,'18.04'!$AM$4:$AP$55,4,FALSE))</f>
        <v>0</v>
      </c>
      <c r="C89" s="4">
        <f>(VLOOKUP('18.04'!K89,'18.04'!$AM$4:$AP$55,4,FALSE))</f>
        <v>0</v>
      </c>
      <c r="D89" s="4">
        <f>(VLOOKUP('18.04'!L89,'18.04'!$AM$4:$AP$55,4,FALSE))</f>
        <v>0</v>
      </c>
      <c r="E89" s="4">
        <f>(VLOOKUP('18.04'!M89,'18.04'!$AM$4:$AP$55,4,FALSE))</f>
        <v>0</v>
      </c>
      <c r="F89" s="4">
        <f>(VLOOKUP('18.04'!N89,'18.04'!$AM$4:$AP$55,4,FALSE))</f>
        <v>0</v>
      </c>
      <c r="G89" s="4">
        <f>(VLOOKUP('18.04'!O89,'18.04'!$AM$4:$AP$55,4,FALSE))</f>
        <v>0</v>
      </c>
      <c r="H89" s="4">
        <f>(VLOOKUP('18.04'!P89,'18.04'!$AM$4:$AP$55,4,FALSE))</f>
        <v>0</v>
      </c>
      <c r="I89" s="4">
        <f>(VLOOKUP('18.04'!Q89,'18.04'!$AM$4:$AP$55,4,FALSE))</f>
        <v>0</v>
      </c>
      <c r="J89" s="4">
        <f>(VLOOKUP('18.04'!R89,'18.04'!$AM$4:$AP$55,4,FALSE))</f>
        <v>0</v>
      </c>
      <c r="K89" s="4">
        <f>(VLOOKUP('18.04'!S89,'18.04'!$AM$4:$AP$55,4,FALSE))</f>
        <v>0</v>
      </c>
      <c r="L89" s="4">
        <f>(VLOOKUP('18.04'!T89,'18.04'!$AM$4:$AP$55,4,FALSE))</f>
        <v>0</v>
      </c>
      <c r="M89" s="4">
        <f>(VLOOKUP('18.04'!U89,'18.04'!$AM$4:$AP$55,4,FALSE))</f>
        <v>0</v>
      </c>
      <c r="N89" s="4">
        <f>(VLOOKUP('18.04'!V89,'18.04'!$AM$4:$AP$55,4,FALSE))</f>
        <v>0</v>
      </c>
      <c r="O89" s="4">
        <f>(VLOOKUP('18.04'!W89,'18.04'!$AM$4:$AP$55,4,FALSE))</f>
        <v>0</v>
      </c>
      <c r="P89" s="4">
        <f>(VLOOKUP('18.04'!X89,'18.04'!$AM$4:$AP$55,4,FALSE))</f>
        <v>0</v>
      </c>
      <c r="Q89" s="4">
        <f>(VLOOKUP('18.04'!Y89,'18.04'!$AM$4:$AP$55,4,FALSE))</f>
        <v>0</v>
      </c>
      <c r="R89" s="4">
        <f>(VLOOKUP('18.04'!Z89,'18.04'!$AM$4:$AP$55,4,FALSE))</f>
        <v>0</v>
      </c>
      <c r="S89" s="4">
        <f>(VLOOKUP('18.04'!AA89,'18.04'!$AM$4:$AP$55,4,FALSE))</f>
        <v>0</v>
      </c>
      <c r="T89" s="4">
        <f>(VLOOKUP('18.04'!AB89,'18.04'!$AM$4:$AP$55,4,FALSE))</f>
        <v>0</v>
      </c>
      <c r="U89" s="4">
        <f>(VLOOKUP('18.04'!AC89,'18.04'!$AM$4:$AP$55,4,FALSE))</f>
        <v>0</v>
      </c>
      <c r="V89" s="4">
        <f>(VLOOKUP('18.04'!AD89,'18.04'!$AM$4:$AP$55,4,FALSE))</f>
        <v>0</v>
      </c>
      <c r="W89" s="4">
        <f>(VLOOKUP('18.04'!AE89,'18.04'!$AM$4:$AP$55,4,FALSE))</f>
        <v>0</v>
      </c>
      <c r="X89" s="4">
        <f>(VLOOKUP('18.04'!AF89,'18.04'!$AM$4:$AP$55,4,FALSE))</f>
        <v>0</v>
      </c>
    </row>
    <row r="90" spans="1:24">
      <c r="A90" s="4">
        <f>(VLOOKUP('18.04'!I90,'18.04'!$AM$4:$AP$55,4,FALSE))</f>
        <v>0</v>
      </c>
      <c r="B90" s="4">
        <f>(VLOOKUP('18.04'!J90,'18.04'!$AM$4:$AP$55,4,FALSE))</f>
        <v>0</v>
      </c>
      <c r="C90" s="4">
        <f>(VLOOKUP('18.04'!K90,'18.04'!$AM$4:$AP$55,4,FALSE))</f>
        <v>0</v>
      </c>
      <c r="D90" s="4">
        <f>(VLOOKUP('18.04'!L90,'18.04'!$AM$4:$AP$55,4,FALSE))</f>
        <v>0</v>
      </c>
      <c r="E90" s="4">
        <f>(VLOOKUP('18.04'!M90,'18.04'!$AM$4:$AP$55,4,FALSE))</f>
        <v>0</v>
      </c>
      <c r="F90" s="4">
        <f>(VLOOKUP('18.04'!N90,'18.04'!$AM$4:$AP$55,4,FALSE))</f>
        <v>0</v>
      </c>
      <c r="G90" s="4">
        <f>(VLOOKUP('18.04'!O90,'18.04'!$AM$4:$AP$55,4,FALSE))</f>
        <v>0</v>
      </c>
      <c r="H90" s="4">
        <f>(VLOOKUP('18.04'!P90,'18.04'!$AM$4:$AP$55,4,FALSE))</f>
        <v>0</v>
      </c>
      <c r="I90" s="4">
        <f>(VLOOKUP('18.04'!Q90,'18.04'!$AM$4:$AP$55,4,FALSE))</f>
        <v>0</v>
      </c>
      <c r="J90" s="4">
        <f>(VLOOKUP('18.04'!R90,'18.04'!$AM$4:$AP$55,4,FALSE))</f>
        <v>0</v>
      </c>
      <c r="K90" s="4">
        <f>(VLOOKUP('18.04'!S90,'18.04'!$AM$4:$AP$55,4,FALSE))</f>
        <v>0</v>
      </c>
      <c r="L90" s="4">
        <f>(VLOOKUP('18.04'!T90,'18.04'!$AM$4:$AP$55,4,FALSE))</f>
        <v>0</v>
      </c>
      <c r="M90" s="4">
        <f>(VLOOKUP('18.04'!U90,'18.04'!$AM$4:$AP$55,4,FALSE))</f>
        <v>0</v>
      </c>
      <c r="N90" s="4">
        <f>(VLOOKUP('18.04'!V90,'18.04'!$AM$4:$AP$55,4,FALSE))</f>
        <v>0</v>
      </c>
      <c r="O90" s="4">
        <f>(VLOOKUP('18.04'!W90,'18.04'!$AM$4:$AP$55,4,FALSE))</f>
        <v>0</v>
      </c>
      <c r="P90" s="4">
        <f>(VLOOKUP('18.04'!X90,'18.04'!$AM$4:$AP$55,4,FALSE))</f>
        <v>0</v>
      </c>
      <c r="Q90" s="4">
        <f>(VLOOKUP('18.04'!Y90,'18.04'!$AM$4:$AP$55,4,FALSE))</f>
        <v>0</v>
      </c>
      <c r="R90" s="4">
        <f>(VLOOKUP('18.04'!Z90,'18.04'!$AM$4:$AP$55,4,FALSE))</f>
        <v>0</v>
      </c>
      <c r="S90" s="4">
        <f>(VLOOKUP('18.04'!AA90,'18.04'!$AM$4:$AP$55,4,FALSE))</f>
        <v>0</v>
      </c>
      <c r="T90" s="4">
        <f>(VLOOKUP('18.04'!AB90,'18.04'!$AM$4:$AP$55,4,FALSE))</f>
        <v>0</v>
      </c>
      <c r="U90" s="4">
        <f>(VLOOKUP('18.04'!AC90,'18.04'!$AM$4:$AP$55,4,FALSE))</f>
        <v>0</v>
      </c>
      <c r="V90" s="4">
        <f>(VLOOKUP('18.04'!AD90,'18.04'!$AM$4:$AP$55,4,FALSE))</f>
        <v>0</v>
      </c>
      <c r="W90" s="4">
        <f>(VLOOKUP('18.04'!AE90,'18.04'!$AM$4:$AP$55,4,FALSE))</f>
        <v>0</v>
      </c>
      <c r="X90" s="4">
        <f>(VLOOKUP('18.04'!AF90,'18.04'!$AM$4:$AP$55,4,FALSE))</f>
        <v>0</v>
      </c>
    </row>
    <row r="91" spans="1:24">
      <c r="A91" s="4">
        <f>(VLOOKUP('18.04'!I91,'18.04'!$AM$4:$AP$55,4,FALSE))</f>
        <v>0</v>
      </c>
      <c r="B91" s="4">
        <f>(VLOOKUP('18.04'!J91,'18.04'!$AM$4:$AP$55,4,FALSE))</f>
        <v>0</v>
      </c>
      <c r="C91" s="4">
        <f>(VLOOKUP('18.04'!K91,'18.04'!$AM$4:$AP$55,4,FALSE))</f>
        <v>0</v>
      </c>
      <c r="D91" s="4">
        <f>(VLOOKUP('18.04'!L91,'18.04'!$AM$4:$AP$55,4,FALSE))</f>
        <v>0</v>
      </c>
      <c r="E91" s="4">
        <f>(VLOOKUP('18.04'!M91,'18.04'!$AM$4:$AP$55,4,FALSE))</f>
        <v>0</v>
      </c>
      <c r="F91" s="4">
        <f>(VLOOKUP('18.04'!N91,'18.04'!$AM$4:$AP$55,4,FALSE))</f>
        <v>0</v>
      </c>
      <c r="G91" s="4">
        <f>(VLOOKUP('18.04'!O91,'18.04'!$AM$4:$AP$55,4,FALSE))</f>
        <v>0</v>
      </c>
      <c r="H91" s="4">
        <f>(VLOOKUP('18.04'!P91,'18.04'!$AM$4:$AP$55,4,FALSE))</f>
        <v>0</v>
      </c>
      <c r="I91" s="4">
        <f>(VLOOKUP('18.04'!Q91,'18.04'!$AM$4:$AP$55,4,FALSE))</f>
        <v>0</v>
      </c>
      <c r="J91" s="4">
        <f>(VLOOKUP('18.04'!R91,'18.04'!$AM$4:$AP$55,4,FALSE))</f>
        <v>0</v>
      </c>
      <c r="K91" s="4">
        <f>(VLOOKUP('18.04'!S91,'18.04'!$AM$4:$AP$55,4,FALSE))</f>
        <v>0</v>
      </c>
      <c r="L91" s="4">
        <f>(VLOOKUP('18.04'!T91,'18.04'!$AM$4:$AP$55,4,FALSE))</f>
        <v>0</v>
      </c>
      <c r="M91" s="4">
        <f>(VLOOKUP('18.04'!U91,'18.04'!$AM$4:$AP$55,4,FALSE))</f>
        <v>0</v>
      </c>
      <c r="N91" s="4">
        <f>(VLOOKUP('18.04'!V91,'18.04'!$AM$4:$AP$55,4,FALSE))</f>
        <v>0</v>
      </c>
      <c r="O91" s="4">
        <f>(VLOOKUP('18.04'!W91,'18.04'!$AM$4:$AP$55,4,FALSE))</f>
        <v>0</v>
      </c>
      <c r="P91" s="4">
        <f>(VLOOKUP('18.04'!X91,'18.04'!$AM$4:$AP$55,4,FALSE))</f>
        <v>0</v>
      </c>
      <c r="Q91" s="4">
        <f>(VLOOKUP('18.04'!Y91,'18.04'!$AM$4:$AP$55,4,FALSE))</f>
        <v>0</v>
      </c>
      <c r="R91" s="4">
        <f>(VLOOKUP('18.04'!Z91,'18.04'!$AM$4:$AP$55,4,FALSE))</f>
        <v>0</v>
      </c>
      <c r="S91" s="4">
        <f>(VLOOKUP('18.04'!AA91,'18.04'!$AM$4:$AP$55,4,FALSE))</f>
        <v>0</v>
      </c>
      <c r="T91" s="4">
        <f>(VLOOKUP('18.04'!AB91,'18.04'!$AM$4:$AP$55,4,FALSE))</f>
        <v>0</v>
      </c>
      <c r="U91" s="4">
        <f>(VLOOKUP('18.04'!AC91,'18.04'!$AM$4:$AP$55,4,FALSE))</f>
        <v>0</v>
      </c>
      <c r="V91" s="4">
        <f>(VLOOKUP('18.04'!AD91,'18.04'!$AM$4:$AP$55,4,FALSE))</f>
        <v>0</v>
      </c>
      <c r="W91" s="4">
        <f>(VLOOKUP('18.04'!AE91,'18.04'!$AM$4:$AP$55,4,FALSE))</f>
        <v>0</v>
      </c>
      <c r="X91" s="4">
        <f>(VLOOKUP('18.04'!AF91,'18.04'!$AM$4:$AP$55,4,FALSE))</f>
        <v>0</v>
      </c>
    </row>
    <row r="92" spans="1:24">
      <c r="A92" s="4">
        <f>(VLOOKUP('18.04'!I92,'18.04'!$AM$4:$AP$55,4,FALSE))</f>
        <v>0</v>
      </c>
      <c r="B92" s="4">
        <f>(VLOOKUP('18.04'!J92,'18.04'!$AM$4:$AP$55,4,FALSE))</f>
        <v>0</v>
      </c>
      <c r="C92" s="4">
        <f>(VLOOKUP('18.04'!K92,'18.04'!$AM$4:$AP$55,4,FALSE))</f>
        <v>0</v>
      </c>
      <c r="D92" s="4">
        <f>(VLOOKUP('18.04'!L92,'18.04'!$AM$4:$AP$55,4,FALSE))</f>
        <v>0</v>
      </c>
      <c r="E92" s="4">
        <f>(VLOOKUP('18.04'!M92,'18.04'!$AM$4:$AP$55,4,FALSE))</f>
        <v>0</v>
      </c>
      <c r="F92" s="4">
        <f>(VLOOKUP('18.04'!N92,'18.04'!$AM$4:$AP$55,4,FALSE))</f>
        <v>0</v>
      </c>
      <c r="G92" s="4">
        <f>(VLOOKUP('18.04'!O92,'18.04'!$AM$4:$AP$55,4,FALSE))</f>
        <v>0</v>
      </c>
      <c r="H92" s="4">
        <f>(VLOOKUP('18.04'!P92,'18.04'!$AM$4:$AP$55,4,FALSE))</f>
        <v>0</v>
      </c>
      <c r="I92" s="4">
        <f>(VLOOKUP('18.04'!Q92,'18.04'!$AM$4:$AP$55,4,FALSE))</f>
        <v>0</v>
      </c>
      <c r="J92" s="4">
        <f>(VLOOKUP('18.04'!R92,'18.04'!$AM$4:$AP$55,4,FALSE))</f>
        <v>0</v>
      </c>
      <c r="K92" s="4">
        <f>(VLOOKUP('18.04'!S92,'18.04'!$AM$4:$AP$55,4,FALSE))</f>
        <v>0</v>
      </c>
      <c r="L92" s="4">
        <f>(VLOOKUP('18.04'!T92,'18.04'!$AM$4:$AP$55,4,FALSE))</f>
        <v>0</v>
      </c>
      <c r="M92" s="4">
        <f>(VLOOKUP('18.04'!U92,'18.04'!$AM$4:$AP$55,4,FALSE))</f>
        <v>0</v>
      </c>
      <c r="N92" s="4">
        <f>(VLOOKUP('18.04'!V92,'18.04'!$AM$4:$AP$55,4,FALSE))</f>
        <v>0</v>
      </c>
      <c r="O92" s="4">
        <f>(VLOOKUP('18.04'!W92,'18.04'!$AM$4:$AP$55,4,FALSE))</f>
        <v>0</v>
      </c>
      <c r="P92" s="4">
        <f>(VLOOKUP('18.04'!X92,'18.04'!$AM$4:$AP$55,4,FALSE))</f>
        <v>0</v>
      </c>
      <c r="Q92" s="4">
        <f>(VLOOKUP('18.04'!Y92,'18.04'!$AM$4:$AP$55,4,FALSE))</f>
        <v>0</v>
      </c>
      <c r="R92" s="4">
        <f>(VLOOKUP('18.04'!Z92,'18.04'!$AM$4:$AP$55,4,FALSE))</f>
        <v>0</v>
      </c>
      <c r="S92" s="4">
        <f>(VLOOKUP('18.04'!AA92,'18.04'!$AM$4:$AP$55,4,FALSE))</f>
        <v>0</v>
      </c>
      <c r="T92" s="4">
        <f>(VLOOKUP('18.04'!AB92,'18.04'!$AM$4:$AP$55,4,FALSE))</f>
        <v>0</v>
      </c>
      <c r="U92" s="4">
        <f>(VLOOKUP('18.04'!AC92,'18.04'!$AM$4:$AP$55,4,FALSE))</f>
        <v>0</v>
      </c>
      <c r="V92" s="4">
        <f>(VLOOKUP('18.04'!AD92,'18.04'!$AM$4:$AP$55,4,FALSE))</f>
        <v>0</v>
      </c>
      <c r="W92" s="4">
        <f>(VLOOKUP('18.04'!AE92,'18.04'!$AM$4:$AP$55,4,FALSE))</f>
        <v>0</v>
      </c>
      <c r="X92" s="4">
        <f>(VLOOKUP('18.04'!AF92,'18.04'!$AM$4:$AP$55,4,FALSE))</f>
        <v>0</v>
      </c>
    </row>
    <row r="93" spans="1:24">
      <c r="A93" s="4">
        <f>(VLOOKUP('18.04'!I93,'18.04'!$AM$4:$AP$55,4,FALSE))</f>
        <v>0</v>
      </c>
      <c r="B93" s="4">
        <f>(VLOOKUP('18.04'!J93,'18.04'!$AM$4:$AP$55,4,FALSE))</f>
        <v>0</v>
      </c>
      <c r="C93" s="4">
        <f>(VLOOKUP('18.04'!K93,'18.04'!$AM$4:$AP$55,4,FALSE))</f>
        <v>0</v>
      </c>
      <c r="D93" s="4">
        <f>(VLOOKUP('18.04'!L93,'18.04'!$AM$4:$AP$55,4,FALSE))</f>
        <v>0</v>
      </c>
      <c r="E93" s="4">
        <f>(VLOOKUP('18.04'!M93,'18.04'!$AM$4:$AP$55,4,FALSE))</f>
        <v>0</v>
      </c>
      <c r="F93" s="4">
        <f>(VLOOKUP('18.04'!N93,'18.04'!$AM$4:$AP$55,4,FALSE))</f>
        <v>0</v>
      </c>
      <c r="G93" s="4">
        <f>(VLOOKUP('18.04'!O93,'18.04'!$AM$4:$AP$55,4,FALSE))</f>
        <v>0</v>
      </c>
      <c r="H93" s="4">
        <f>(VLOOKUP('18.04'!P93,'18.04'!$AM$4:$AP$55,4,FALSE))</f>
        <v>0</v>
      </c>
      <c r="I93" s="4">
        <f>(VLOOKUP('18.04'!Q93,'18.04'!$AM$4:$AP$55,4,FALSE))</f>
        <v>0</v>
      </c>
      <c r="J93" s="4">
        <f>(VLOOKUP('18.04'!R93,'18.04'!$AM$4:$AP$55,4,FALSE))</f>
        <v>0</v>
      </c>
      <c r="K93" s="4">
        <f>(VLOOKUP('18.04'!S93,'18.04'!$AM$4:$AP$55,4,FALSE))</f>
        <v>0</v>
      </c>
      <c r="L93" s="4">
        <f>(VLOOKUP('18.04'!T93,'18.04'!$AM$4:$AP$55,4,FALSE))</f>
        <v>0</v>
      </c>
      <c r="M93" s="4">
        <f>(VLOOKUP('18.04'!U93,'18.04'!$AM$4:$AP$55,4,FALSE))</f>
        <v>0</v>
      </c>
      <c r="N93" s="4">
        <f>(VLOOKUP('18.04'!V93,'18.04'!$AM$4:$AP$55,4,FALSE))</f>
        <v>0</v>
      </c>
      <c r="O93" s="4">
        <f>(VLOOKUP('18.04'!W93,'18.04'!$AM$4:$AP$55,4,FALSE))</f>
        <v>0</v>
      </c>
      <c r="P93" s="4">
        <f>(VLOOKUP('18.04'!X93,'18.04'!$AM$4:$AP$55,4,FALSE))</f>
        <v>0</v>
      </c>
      <c r="Q93" s="4">
        <f>(VLOOKUP('18.04'!Y93,'18.04'!$AM$4:$AP$55,4,FALSE))</f>
        <v>0</v>
      </c>
      <c r="R93" s="4">
        <f>(VLOOKUP('18.04'!Z93,'18.04'!$AM$4:$AP$55,4,FALSE))</f>
        <v>0</v>
      </c>
      <c r="S93" s="4">
        <f>(VLOOKUP('18.04'!AA93,'18.04'!$AM$4:$AP$55,4,FALSE))</f>
        <v>0</v>
      </c>
      <c r="T93" s="4">
        <f>(VLOOKUP('18.04'!AB93,'18.04'!$AM$4:$AP$55,4,FALSE))</f>
        <v>0</v>
      </c>
      <c r="U93" s="4">
        <f>(VLOOKUP('18.04'!AC93,'18.04'!$AM$4:$AP$55,4,FALSE))</f>
        <v>0</v>
      </c>
      <c r="V93" s="4">
        <f>(VLOOKUP('18.04'!AD93,'18.04'!$AM$4:$AP$55,4,FALSE))</f>
        <v>0</v>
      </c>
      <c r="W93" s="4">
        <f>(VLOOKUP('18.04'!AE93,'18.04'!$AM$4:$AP$55,4,FALSE))</f>
        <v>0</v>
      </c>
      <c r="X93" s="4">
        <f>(VLOOKUP('18.04'!AF93,'18.04'!$AM$4:$AP$55,4,FALSE))</f>
        <v>0</v>
      </c>
    </row>
    <row r="94" spans="1:2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</row>
  </sheetData>
  <mergeCells count="6">
    <mergeCell ref="U2:X2"/>
    <mergeCell ref="A2:B2"/>
    <mergeCell ref="E2:H2"/>
    <mergeCell ref="I2:J2"/>
    <mergeCell ref="M2:P2"/>
    <mergeCell ref="Q2:R2"/>
  </mergeCells>
  <phoneticPr fontId="1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18.04</vt:lpstr>
      <vt:lpstr>粮草</vt:lpstr>
      <vt:lpstr>经验</vt:lpstr>
      <vt:lpstr>亏损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Jiang, Ruoli</cp:lastModifiedBy>
  <dcterms:created xsi:type="dcterms:W3CDTF">2021-06-17T16:09:00Z</dcterms:created>
  <dcterms:modified xsi:type="dcterms:W3CDTF">2024-12-16T07:25:20Z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2052-11.1.0.10314</vt:lpwstr>
  </property>
</Properties>
</file>