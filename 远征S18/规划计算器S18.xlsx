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BEDB947A-108E-442C-A3D3-783937D2E8E4}" xr6:coauthVersionLast="47" xr6:coauthVersionMax="47" xr10:uidLastSave="{00000000-0000-0000-0000-000000000000}"/>
  <bookViews>
    <workbookView xWindow="-108" yWindow="-108" windowWidth="23256" windowHeight="12456" activeTab="1" xr2:uid="{ECD4D7EE-2D5D-4083-A820-495883BB0745}"/>
  </bookViews>
  <sheets>
    <sheet name="18.03" sheetId="100" r:id="rId1"/>
    <sheet name="18.03 (2)" sheetId="10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101" l="1"/>
  <c r="AA28" i="101"/>
  <c r="Z28" i="101"/>
  <c r="AB28" i="101" s="1"/>
  <c r="AA27" i="101"/>
  <c r="Z27" i="101"/>
  <c r="AB27" i="101" s="1"/>
  <c r="W26" i="101"/>
  <c r="AA25" i="101"/>
  <c r="Z25" i="101"/>
  <c r="AB25" i="101" s="1"/>
  <c r="W25" i="101"/>
  <c r="AA24" i="101"/>
  <c r="Z24" i="101"/>
  <c r="AB24" i="101" s="1"/>
  <c r="W24" i="101"/>
  <c r="AA23" i="101"/>
  <c r="Z23" i="101"/>
  <c r="AB23" i="101" s="1"/>
  <c r="W23" i="101"/>
  <c r="AA22" i="101"/>
  <c r="Z22" i="101"/>
  <c r="AB22" i="101" s="1"/>
  <c r="AA21" i="101"/>
  <c r="Z21" i="101"/>
  <c r="AB21" i="101" s="1"/>
  <c r="AA20" i="101"/>
  <c r="Z20" i="101"/>
  <c r="AA19" i="101"/>
  <c r="Z19" i="101"/>
  <c r="AA18" i="101"/>
  <c r="Z18" i="101"/>
  <c r="AB18" i="101" s="1"/>
  <c r="AA17" i="101"/>
  <c r="Z17" i="101"/>
  <c r="AB17" i="101" s="1"/>
  <c r="AA16" i="101"/>
  <c r="Z16" i="101"/>
  <c r="AB16" i="101" s="1"/>
  <c r="AA15" i="101"/>
  <c r="Z15" i="101"/>
  <c r="W15" i="101"/>
  <c r="AA14" i="101"/>
  <c r="Z14" i="101"/>
  <c r="AB14" i="101" s="1"/>
  <c r="AA13" i="101"/>
  <c r="Z13" i="101"/>
  <c r="AB13" i="101" s="1"/>
  <c r="AA12" i="101"/>
  <c r="Z12" i="101"/>
  <c r="AB12" i="101" s="1"/>
  <c r="AA11" i="101"/>
  <c r="Z11" i="101"/>
  <c r="AB11" i="101" s="1"/>
  <c r="W11" i="101"/>
  <c r="AA10" i="101"/>
  <c r="Z10" i="101"/>
  <c r="AB10" i="101" s="1"/>
  <c r="W10" i="101"/>
  <c r="AA9" i="101"/>
  <c r="Z9" i="101"/>
  <c r="AB9" i="101" s="1"/>
  <c r="W9" i="101"/>
  <c r="AA8" i="101"/>
  <c r="Z8" i="101"/>
  <c r="AB8" i="101" s="1"/>
  <c r="P8" i="101"/>
  <c r="H8" i="101"/>
  <c r="AA7" i="101"/>
  <c r="Z7" i="101"/>
  <c r="AB7" i="101" s="1"/>
  <c r="O7" i="101"/>
  <c r="N7" i="101"/>
  <c r="M7" i="101"/>
  <c r="P7" i="101" s="1"/>
  <c r="G7" i="101"/>
  <c r="F7" i="101"/>
  <c r="E7" i="101"/>
  <c r="H7" i="101" s="1"/>
  <c r="AA6" i="101"/>
  <c r="Z6" i="101"/>
  <c r="AB6" i="101" s="1"/>
  <c r="R6" i="101"/>
  <c r="R14" i="101" s="1"/>
  <c r="R15" i="101" s="1"/>
  <c r="O6" i="101" a="1"/>
  <c r="O6" i="101" s="1"/>
  <c r="O9" i="101" s="1"/>
  <c r="N6" i="101" a="1"/>
  <c r="N6" i="101" s="1"/>
  <c r="N9" i="101" s="1"/>
  <c r="M6" i="101" a="1"/>
  <c r="M6" i="101" s="1"/>
  <c r="G6" i="101" a="1"/>
  <c r="G6" i="101" s="1"/>
  <c r="F6" i="101" a="1"/>
  <c r="F6" i="101" s="1"/>
  <c r="E6" i="101" a="1"/>
  <c r="E6" i="101" s="1"/>
  <c r="H6" i="101" s="1"/>
  <c r="AA5" i="101"/>
  <c r="Z5" i="101"/>
  <c r="AB5" i="101" s="1"/>
  <c r="O5" i="101" a="1"/>
  <c r="O5" i="101" s="1"/>
  <c r="N5" i="101" a="1"/>
  <c r="N5" i="101" s="1"/>
  <c r="M5" i="101" a="1"/>
  <c r="M5" i="101" s="1"/>
  <c r="P5" i="101" s="1"/>
  <c r="G5" i="101" a="1"/>
  <c r="G5" i="101" s="1"/>
  <c r="F5" i="101" a="1"/>
  <c r="F5" i="101" s="1"/>
  <c r="E5" i="101" a="1"/>
  <c r="E5" i="101" s="1"/>
  <c r="H5" i="101" s="1"/>
  <c r="P11" i="101" s="1"/>
  <c r="AA4" i="101"/>
  <c r="Z4" i="101"/>
  <c r="AB4" i="101" s="1"/>
  <c r="W4" i="101"/>
  <c r="P4" i="101"/>
  <c r="H4" i="101"/>
  <c r="AA3" i="101"/>
  <c r="Z3" i="101"/>
  <c r="AB3" i="101" s="1"/>
  <c r="W3" i="101"/>
  <c r="H1" i="101" a="1"/>
  <c r="H1" i="101" s="1"/>
  <c r="Y31" i="100"/>
  <c r="AA28" i="100"/>
  <c r="Z28" i="100"/>
  <c r="AA27" i="100"/>
  <c r="Z27" i="100"/>
  <c r="W26" i="100"/>
  <c r="AA25" i="100"/>
  <c r="Z25" i="100"/>
  <c r="W25" i="100"/>
  <c r="AA24" i="100"/>
  <c r="Z24" i="100"/>
  <c r="AB24" i="100" s="1"/>
  <c r="W24" i="100"/>
  <c r="AA23" i="100"/>
  <c r="Z23" i="100"/>
  <c r="AB23" i="100" s="1"/>
  <c r="W23" i="100"/>
  <c r="AA22" i="100"/>
  <c r="Z22" i="100"/>
  <c r="AA21" i="100"/>
  <c r="Z21" i="100"/>
  <c r="AA20" i="100"/>
  <c r="Z20" i="100"/>
  <c r="AA19" i="100"/>
  <c r="Z19" i="100"/>
  <c r="AA18" i="100"/>
  <c r="Z18" i="100"/>
  <c r="AA17" i="100"/>
  <c r="Z17" i="100"/>
  <c r="AA16" i="100"/>
  <c r="Z16" i="100"/>
  <c r="AA15" i="100"/>
  <c r="Z15" i="100"/>
  <c r="W15" i="100"/>
  <c r="R15" i="100"/>
  <c r="AA14" i="100"/>
  <c r="Z14" i="100"/>
  <c r="R14" i="100"/>
  <c r="AA13" i="100"/>
  <c r="Z13" i="100"/>
  <c r="AA12" i="100"/>
  <c r="Z12" i="100"/>
  <c r="AA11" i="100"/>
  <c r="Z11" i="100"/>
  <c r="W11" i="100"/>
  <c r="AA10" i="100"/>
  <c r="Z10" i="100"/>
  <c r="W10" i="100"/>
  <c r="AA9" i="100"/>
  <c r="Z9" i="100"/>
  <c r="W9" i="100"/>
  <c r="AA8" i="100"/>
  <c r="Z8" i="100"/>
  <c r="P8" i="100"/>
  <c r="H8" i="100"/>
  <c r="AA7" i="100"/>
  <c r="Z7" i="100"/>
  <c r="O7" i="100"/>
  <c r="N7" i="100"/>
  <c r="M7" i="100"/>
  <c r="P7" i="100" s="1"/>
  <c r="G7" i="100"/>
  <c r="F7" i="100"/>
  <c r="E7" i="100"/>
  <c r="AA6" i="100"/>
  <c r="Z6" i="100"/>
  <c r="R6" i="100"/>
  <c r="O6" i="100" a="1"/>
  <c r="O6" i="100" s="1"/>
  <c r="N6" i="100" a="1"/>
  <c r="N6" i="100" s="1"/>
  <c r="M6" i="100" a="1"/>
  <c r="M6" i="100" s="1"/>
  <c r="G6" i="100" a="1"/>
  <c r="G6" i="100" s="1"/>
  <c r="F6" i="100" a="1"/>
  <c r="F6" i="100" s="1"/>
  <c r="E6" i="100" a="1"/>
  <c r="E6" i="100" s="1"/>
  <c r="AA5" i="100"/>
  <c r="Z5" i="100"/>
  <c r="O5" i="100" a="1"/>
  <c r="O5" i="100" s="1"/>
  <c r="N5" i="100" a="1"/>
  <c r="N5" i="100" s="1"/>
  <c r="M5" i="100" a="1"/>
  <c r="M5" i="100" s="1"/>
  <c r="G5" i="100" a="1"/>
  <c r="G5" i="100" s="1"/>
  <c r="F5" i="100" a="1"/>
  <c r="F5" i="100" s="1"/>
  <c r="E5" i="100" a="1"/>
  <c r="E5" i="100" s="1"/>
  <c r="AA4" i="100"/>
  <c r="Z4" i="100"/>
  <c r="W4" i="100"/>
  <c r="P4" i="100"/>
  <c r="H4" i="100"/>
  <c r="AA3" i="100"/>
  <c r="Z3" i="100"/>
  <c r="AB3" i="100" s="1"/>
  <c r="W3" i="100"/>
  <c r="H1" i="100" s="1" a="1"/>
  <c r="H1" i="100" s="1"/>
  <c r="AB19" i="101" l="1"/>
  <c r="AB20" i="101"/>
  <c r="AB15" i="101"/>
  <c r="P6" i="101"/>
  <c r="P9" i="101" s="1"/>
  <c r="M9" i="101"/>
  <c r="P12" i="101"/>
  <c r="AB14" i="100"/>
  <c r="AB7" i="100"/>
  <c r="AB16" i="100"/>
  <c r="AB10" i="100"/>
  <c r="N9" i="100"/>
  <c r="O9" i="100"/>
  <c r="AB6" i="100"/>
  <c r="AB8" i="100"/>
  <c r="P5" i="100"/>
  <c r="AB19" i="100"/>
  <c r="AB4" i="100"/>
  <c r="AB20" i="100"/>
  <c r="AB25" i="100"/>
  <c r="AB15" i="100"/>
  <c r="AB21" i="100"/>
  <c r="AB12" i="100"/>
  <c r="AB22" i="100"/>
  <c r="AB27" i="100"/>
  <c r="AB13" i="100"/>
  <c r="AB17" i="100"/>
  <c r="AB28" i="100"/>
  <c r="AB5" i="100"/>
  <c r="AB18" i="100"/>
  <c r="H6" i="100"/>
  <c r="P12" i="100" s="1"/>
  <c r="AB11" i="100"/>
  <c r="H7" i="100"/>
  <c r="AB9" i="100"/>
  <c r="P6" i="100"/>
  <c r="M9" i="100"/>
  <c r="H5" i="100"/>
  <c r="AB31" i="101" l="1"/>
  <c r="R2" i="101" a="1"/>
  <c r="R2" i="101" s="1"/>
  <c r="R8" i="101" a="1"/>
  <c r="R8" i="101" s="1"/>
  <c r="R2" i="100" a="1"/>
  <c r="R2" i="100" s="1"/>
  <c r="AB31" i="100"/>
  <c r="P11" i="100"/>
  <c r="P9" i="100"/>
  <c r="R8" i="100" a="1"/>
  <c r="R8" i="10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<sst xmlns="http://schemas.openxmlformats.org/spreadsheetml/2006/main" count="1332" uniqueCount="66">
  <si>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</si>
  <si>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</si>
  <si>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</si>
  <si>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</si>
  <si>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</si>
  <si>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</si>
  <si>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</si>
  <si>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</si>
  <si>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</si>
  <si>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</si>
  <si>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</si>
  <si>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</si>
  <si>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</si>
  <si>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</si>
  <si>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</si>
  <si>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</si>
  <si>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</si>
  <si>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</si>
  <si>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</si>
  <si>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</si>
  <si>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大boss</t>
  </si>
  <si>
    <t>中boss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</si>
  <si>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</si>
  <si>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</si>
  <si>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</si>
  <si>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</si>
  <si>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</si>
  <si>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</si>
  <si>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</si>
  <si>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</si>
  <si>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</si>
  <si>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</si>
  <si>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</si>
  <si>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</si>
  <si>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</si>
  <si>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</si>
  <si>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</si>
  <si>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</si>
  <si>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</si>
  <si>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</si>
  <si>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</si>
  <si>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</si>
  <si>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</si>
  <si>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</si>
  <si>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</si>
  <si>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</si>
  <si>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</si>
  <si>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</si>
  <si>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</si>
  <si>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</si>
  <si>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</si>
  <si>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</si>
  <si>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</si>
  <si>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</si>
  <si>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</si>
  <si>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</si>
  <si>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</si>
  <si>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</si>
  <si>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</si>
  <si>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</si>
  <si>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</si>
  <si>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飞雷神</t>
  </si>
  <si>
    <t>根据剩余粮草，调整占领的三级地个数，直至粮草小于136</t>
  </si>
  <si>
    <t>巨卦</t>
  </si>
  <si>
    <t>3级卦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</si>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</sst>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0" borderId="1" xfId="0" applyFont="1" applyBorder="1"/>
    <xf numFmtId="0" fontId="1" fillId="15" borderId="1" xfId="0" applyFont="1" applyFill="1" applyBorder="1"/>
    <xf numFmtId="0" fontId="3" fillId="16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7" borderId="1" xfId="0" applyFont="1" applyFill="1" applyBorder="1"/>
    <xf numFmtId="0" fontId="4" fillId="17" borderId="6" xfId="0" applyFont="1" applyFill="1" applyBorder="1"/>
    <xf numFmtId="0" fontId="5" fillId="17" borderId="1" xfId="0" applyFont="1" applyFill="1" applyBorder="1"/>
    <xf numFmtId="0" fontId="5" fillId="17" borderId="6" xfId="0" applyFont="1" applyFill="1" applyBorder="1"/>
    <xf numFmtId="0" fontId="0" fillId="17" borderId="1" xfId="0" applyFill="1" applyBorder="1"/>
    <xf numFmtId="0" fontId="0" fillId="17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7" borderId="21" xfId="0" applyFont="1" applyFill="1" applyBorder="1"/>
    <xf numFmtId="0" fontId="4" fillId="18" borderId="21" xfId="0" applyFont="1" applyFill="1" applyBorder="1"/>
    <xf numFmtId="0" fontId="4" fillId="18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8" borderId="1" xfId="0" applyFill="1" applyBorder="1"/>
    <xf numFmtId="0" fontId="0" fillId="0" borderId="1" xfId="0" applyFill="1" applyBorder="1"/>
    <xf numFmtId="0" fontId="8" fillId="17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8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7" borderId="6" xfId="0" applyFont="1" applyFill="1" applyBorder="1"/>
    <xf numFmtId="0" fontId="9" fillId="14" borderId="1" xfId="0" applyFont="1" applyFill="1" applyBorder="1"/>
    <xf numFmtId="0" fontId="0" fillId="0" borderId="0" xfId="0" applyFill="1" applyBorder="1"/>
    <xf numFmtId="0" fontId="1" fillId="19" borderId="5" xfId="0" applyFont="1" applyFill="1" applyBorder="1"/>
    <xf numFmtId="0" fontId="1" fillId="20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4" fillId="17" borderId="15" xfId="0" applyFont="1" applyFill="1" applyBorder="1" applyAlignment="1">
      <alignment horizontal="center"/>
    </xf>
    <xf numFmtId="0" fontId="4" fillId="17" borderId="16" xfId="0" applyFont="1" applyFill="1" applyBorder="1" applyAlignment="1">
      <alignment horizontal="center"/>
    </xf>
    <xf numFmtId="0" fontId="1" fillId="18" borderId="12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F2038-F65C-4DC8-9448-501C70A1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69A0F-DFB8-429E-A42A-0C91220F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7E2C-1291-4DBA-8D29-54071DE0D540}">
  <dimension ref="A1:AE100"/>
  <sheetViews>
    <sheetView zoomScaleNormal="100" workbookViewId="0">
      <selection activeCell="A4" sqref="A4:A27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2" t="s">
        <v>27</v>
      </c>
      <c r="B1" s="63"/>
      <c r="C1" s="63"/>
      <c r="D1" s="63"/>
      <c r="E1" s="63"/>
      <c r="F1" s="64" t="s">
        <v>3</v>
      </c>
      <c r="G1" s="64"/>
      <c r="H1" s="22" cm="1">
        <f t="array" ref="H1">SUM(VLOOKUP(A4:C100,$T$3:$W$36,4,FALSE))+H4*10-H8*50</f>
        <v>653.99985493317854</v>
      </c>
      <c r="I1" s="65" t="s">
        <v>38</v>
      </c>
      <c r="J1" s="66"/>
      <c r="K1" s="66"/>
      <c r="L1" s="66"/>
      <c r="M1" s="66"/>
      <c r="N1" s="66"/>
      <c r="O1" s="66"/>
      <c r="P1" s="67"/>
      <c r="Q1" s="65" t="s">
        <v>45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31" ht="30" x14ac:dyDescent="0.25">
      <c r="A2" s="68" t="s">
        <v>32</v>
      </c>
      <c r="B2" s="69"/>
      <c r="C2" s="69"/>
      <c r="D2" s="70" t="s">
        <v>34</v>
      </c>
      <c r="E2" s="71"/>
      <c r="F2" s="71"/>
      <c r="G2" s="71"/>
      <c r="H2" s="72"/>
      <c r="I2" s="73" t="s">
        <v>32</v>
      </c>
      <c r="J2" s="74"/>
      <c r="K2" s="74"/>
      <c r="L2" s="75" t="s">
        <v>34</v>
      </c>
      <c r="M2" s="75"/>
      <c r="N2" s="75"/>
      <c r="O2" s="75"/>
      <c r="P2" s="76"/>
      <c r="Q2" s="46" t="s">
        <v>40</v>
      </c>
      <c r="R2" s="47" cm="1">
        <f t="array" ref="R2">SUM(V3:V28*AB3:AB28)+H6+P6+R4*500</f>
        <v>64590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25">
      <c r="A3" s="57" t="s">
        <v>28</v>
      </c>
      <c r="B3" s="58" t="s">
        <v>29</v>
      </c>
      <c r="C3" s="59" t="s">
        <v>30</v>
      </c>
      <c r="D3" s="30"/>
      <c r="E3" s="57" t="s">
        <v>28</v>
      </c>
      <c r="F3" s="58" t="s">
        <v>29</v>
      </c>
      <c r="G3" s="59" t="s">
        <v>30</v>
      </c>
      <c r="H3" s="31" t="s">
        <v>33</v>
      </c>
      <c r="I3" s="57" t="s">
        <v>28</v>
      </c>
      <c r="J3" s="58" t="s">
        <v>29</v>
      </c>
      <c r="K3" s="59" t="s">
        <v>30</v>
      </c>
      <c r="L3" s="30"/>
      <c r="M3" s="57" t="s">
        <v>28</v>
      </c>
      <c r="N3" s="58" t="s">
        <v>29</v>
      </c>
      <c r="O3" s="5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27</v>
      </c>
      <c r="Z3" s="1">
        <f>COUNTIF($A$4:$C$100,T3)</f>
        <v>0</v>
      </c>
      <c r="AA3" s="1">
        <f>COUNTIF($I$4:$K$100,T3)</f>
        <v>0</v>
      </c>
      <c r="AB3" s="50">
        <f>Y3-Z3-AA3</f>
        <v>27</v>
      </c>
      <c r="AD3" s="56"/>
    </row>
    <row r="4" spans="1:31" x14ac:dyDescent="0.25">
      <c r="A4" s="4" t="s">
        <v>6</v>
      </c>
      <c r="B4" s="1" t="s">
        <v>24</v>
      </c>
      <c r="C4" s="1" t="s">
        <v>24</v>
      </c>
      <c r="D4" s="40" t="s">
        <v>31</v>
      </c>
      <c r="E4" s="36">
        <v>3</v>
      </c>
      <c r="F4" s="36">
        <v>0</v>
      </c>
      <c r="G4" s="36">
        <v>0</v>
      </c>
      <c r="H4" s="33">
        <f>SUM(E4:G4)</f>
        <v>3</v>
      </c>
      <c r="I4" s="1" t="s">
        <v>24</v>
      </c>
      <c r="J4" s="1" t="s">
        <v>24</v>
      </c>
      <c r="K4" s="1" t="s">
        <v>24</v>
      </c>
      <c r="L4" s="40" t="s">
        <v>31</v>
      </c>
      <c r="M4" s="36">
        <v>3</v>
      </c>
      <c r="N4" s="36">
        <v>5</v>
      </c>
      <c r="O4" s="36">
        <v>20</v>
      </c>
      <c r="P4" s="33">
        <f>SUM(M4:O4)</f>
        <v>28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49</v>
      </c>
      <c r="Z4" s="1">
        <f t="shared" ref="Z4:Z28" si="1">COUNTIF($A$4:$C$100,T4)</f>
        <v>0</v>
      </c>
      <c r="AA4" s="1">
        <f>COUNTIF($I$4:$K$100,T4)</f>
        <v>0</v>
      </c>
      <c r="AB4" s="50">
        <f t="shared" ref="AB4:AB28" si="2">Y4-Z4-AA4</f>
        <v>49</v>
      </c>
      <c r="AD4" s="56"/>
    </row>
    <row r="5" spans="1:31" x14ac:dyDescent="0.25">
      <c r="A5" s="4" t="s">
        <v>6</v>
      </c>
      <c r="B5" s="1" t="s">
        <v>24</v>
      </c>
      <c r="C5" s="1" t="s">
        <v>24</v>
      </c>
      <c r="D5" s="30" t="s">
        <v>35</v>
      </c>
      <c r="E5" s="32" cm="1">
        <f t="array" ref="E5">(SUM(VLOOKUP(A4:A100,$T$3:$W$41,2,FALSE))+E4*10)-E8*50</f>
        <v>3990</v>
      </c>
      <c r="F5" s="32" cm="1">
        <f t="array" ref="F5">(SUM(VLOOKUP(B4:B100,$T$3:$W$41,2,FALSE))+F4*10)-F8*50</f>
        <v>0</v>
      </c>
      <c r="G5" s="32" cm="1">
        <f t="array" ref="G5">(SUM(VLOOKUP(C4:C100,$T$3:$W$41,2,FALSE))+G4*10)-G8*50</f>
        <v>-50</v>
      </c>
      <c r="H5" s="54">
        <f t="shared" ref="H5:H8" si="3">SUM(E5:G5)</f>
        <v>3940</v>
      </c>
      <c r="I5" s="1" t="s">
        <v>24</v>
      </c>
      <c r="J5" s="1" t="s">
        <v>24</v>
      </c>
      <c r="K5" s="1" t="s">
        <v>24</v>
      </c>
      <c r="L5" s="30" t="s">
        <v>35</v>
      </c>
      <c r="M5" s="32" cm="1">
        <f t="array" ref="M5">(SUM(VLOOKUP(I4:I100,$T$3:$W$41,2,FALSE))+M4*10)*0.8-M8*40</f>
        <v>-56</v>
      </c>
      <c r="N5" s="32" cm="1">
        <f t="array" ref="N5">(SUM(VLOOKUP(J4:J100,$T$3:$W$41,2,FALSE))+N4*10)*0.8-N8*40</f>
        <v>40</v>
      </c>
      <c r="O5" s="32" cm="1">
        <f t="array" ref="O5">(SUM(VLOOKUP(K4:K100,$T$3:$W$41,2,FALSE))+O4*10)*0.8-O8*40</f>
        <v>160</v>
      </c>
      <c r="P5" s="54">
        <f>SUM(M5:O5)</f>
        <v>144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203</v>
      </c>
      <c r="Z5" s="1">
        <f t="shared" si="1"/>
        <v>17</v>
      </c>
      <c r="AA5" s="1">
        <f t="shared" ref="AA5:AA28" si="4">COUNTIF($I$4:$K$100,T5)</f>
        <v>0</v>
      </c>
      <c r="AB5" s="50">
        <f t="shared" si="2"/>
        <v>186</v>
      </c>
      <c r="AD5" s="56"/>
    </row>
    <row r="6" spans="1:31" x14ac:dyDescent="0.25">
      <c r="A6" s="4" t="s">
        <v>6</v>
      </c>
      <c r="B6" s="1" t="s">
        <v>24</v>
      </c>
      <c r="C6" s="1" t="s">
        <v>24</v>
      </c>
      <c r="D6" s="30" t="s">
        <v>36</v>
      </c>
      <c r="E6" s="32" cm="1">
        <f t="array" ref="E6">(SUM(VLOOKUP(A4:A100,$T$3:$W$41,3,FALSE)))</f>
        <v>1075</v>
      </c>
      <c r="F6" s="32" cm="1">
        <f t="array" ref="F6">(SUM(VLOOKUP(B4:B100,$T$3:$W$41,3,FALSE)))</f>
        <v>0</v>
      </c>
      <c r="G6" s="32" cm="1">
        <f t="array" ref="G6">(SUM(VLOOKUP(C4:C100,$T$3:$W$41,3,FALSE)))</f>
        <v>0</v>
      </c>
      <c r="H6" s="45">
        <f t="shared" si="3"/>
        <v>1075</v>
      </c>
      <c r="I6" s="1" t="s">
        <v>24</v>
      </c>
      <c r="J6" s="1" t="s">
        <v>24</v>
      </c>
      <c r="K6" s="1" t="s">
        <v>24</v>
      </c>
      <c r="L6" s="30" t="s">
        <v>36</v>
      </c>
      <c r="M6" s="32" cm="1">
        <f t="array" ref="M6">(SUM(VLOOKUP(I4:I100,$T$3:$W$41,3,FALSE)))</f>
        <v>0</v>
      </c>
      <c r="N6" s="32" cm="1">
        <f t="array" ref="N6">(SUM(VLOOKUP(J4:J100,$T$3:$W$41,3,FALSE)))</f>
        <v>0</v>
      </c>
      <c r="O6" s="32" cm="1">
        <f t="array" ref="O6">(SUM(VLOOKUP(K4:K100,$T$3:$W$41,3,FALSE)))</f>
        <v>0</v>
      </c>
      <c r="P6" s="45">
        <f t="shared" ref="P6:P8" si="5">SUM(M6:O6)</f>
        <v>0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269</v>
      </c>
      <c r="Y6" s="43">
        <v>269</v>
      </c>
      <c r="Z6" s="1">
        <f t="shared" si="1"/>
        <v>2</v>
      </c>
      <c r="AA6" s="1">
        <f t="shared" si="4"/>
        <v>0</v>
      </c>
      <c r="AB6" s="50">
        <f t="shared" si="2"/>
        <v>267</v>
      </c>
      <c r="AD6" s="56"/>
    </row>
    <row r="7" spans="1:31" x14ac:dyDescent="0.25">
      <c r="A7" s="4" t="s">
        <v>6</v>
      </c>
      <c r="B7" s="1" t="s">
        <v>24</v>
      </c>
      <c r="C7" s="1" t="s">
        <v>24</v>
      </c>
      <c r="D7" s="30" t="s">
        <v>37</v>
      </c>
      <c r="E7" s="32">
        <f>COUNTIF(A4:A100,"&lt;&gt;空")</f>
        <v>24</v>
      </c>
      <c r="F7" s="32">
        <f>COUNTIF(B4:B100,"&lt;&gt;空")</f>
        <v>0</v>
      </c>
      <c r="G7" s="32">
        <f>COUNTIF(C4:C100,"&lt;&gt;空")</f>
        <v>0</v>
      </c>
      <c r="H7" s="33">
        <f t="shared" si="3"/>
        <v>24</v>
      </c>
      <c r="I7" s="1" t="s">
        <v>24</v>
      </c>
      <c r="J7" s="1" t="s">
        <v>24</v>
      </c>
      <c r="K7" s="1" t="s">
        <v>24</v>
      </c>
      <c r="L7" s="30" t="s">
        <v>37</v>
      </c>
      <c r="M7" s="32">
        <f>COUNTIF(I4:I100,"&lt;&gt;空")</f>
        <v>0</v>
      </c>
      <c r="N7" s="32">
        <f>COUNTIF(J4:J100,"&lt;&gt;空")</f>
        <v>0</v>
      </c>
      <c r="O7" s="32">
        <f>COUNTIF(K4:K100,"&lt;&gt;空")</f>
        <v>0</v>
      </c>
      <c r="P7" s="33">
        <f t="shared" si="5"/>
        <v>0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235</v>
      </c>
      <c r="Y7" s="43">
        <v>235</v>
      </c>
      <c r="Z7" s="1">
        <f t="shared" si="1"/>
        <v>0</v>
      </c>
      <c r="AA7" s="1">
        <f t="shared" si="4"/>
        <v>0</v>
      </c>
      <c r="AB7" s="50">
        <f t="shared" si="2"/>
        <v>235</v>
      </c>
      <c r="AD7" s="56"/>
    </row>
    <row r="8" spans="1:31" x14ac:dyDescent="0.25">
      <c r="A8" s="17" t="s">
        <v>64</v>
      </c>
      <c r="B8" s="1" t="s">
        <v>24</v>
      </c>
      <c r="C8" s="1" t="s">
        <v>24</v>
      </c>
      <c r="D8" s="39" t="s">
        <v>61</v>
      </c>
      <c r="E8" s="38">
        <v>0</v>
      </c>
      <c r="F8" s="38">
        <v>0</v>
      </c>
      <c r="G8" s="38">
        <v>1</v>
      </c>
      <c r="H8" s="33">
        <f t="shared" si="3"/>
        <v>1</v>
      </c>
      <c r="I8" s="1" t="s">
        <v>24</v>
      </c>
      <c r="J8" s="1" t="s">
        <v>24</v>
      </c>
      <c r="K8" s="1" t="s">
        <v>24</v>
      </c>
      <c r="L8" s="39" t="s">
        <v>61</v>
      </c>
      <c r="M8" s="38">
        <v>2</v>
      </c>
      <c r="N8" s="38">
        <v>0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2900</v>
      </c>
      <c r="S8" s="23"/>
      <c r="T8" s="7" t="s">
        <v>9</v>
      </c>
      <c r="U8" s="1">
        <v>200</v>
      </c>
      <c r="V8" s="1">
        <v>60</v>
      </c>
      <c r="W8" s="42"/>
      <c r="X8" s="60">
        <v>191</v>
      </c>
      <c r="Y8" s="43">
        <v>191</v>
      </c>
      <c r="Z8" s="1">
        <f t="shared" si="1"/>
        <v>0</v>
      </c>
      <c r="AA8" s="1">
        <f t="shared" si="4"/>
        <v>0</v>
      </c>
      <c r="AB8" s="50">
        <f t="shared" si="2"/>
        <v>191</v>
      </c>
      <c r="AD8" s="56"/>
    </row>
    <row r="9" spans="1:31" x14ac:dyDescent="0.25">
      <c r="A9" s="4" t="s">
        <v>6</v>
      </c>
      <c r="B9" s="1" t="s">
        <v>24</v>
      </c>
      <c r="C9" s="1" t="s">
        <v>24</v>
      </c>
      <c r="D9" s="23"/>
      <c r="E9" s="23"/>
      <c r="F9" s="23"/>
      <c r="G9" s="23"/>
      <c r="H9" s="24"/>
      <c r="I9" s="1" t="s">
        <v>24</v>
      </c>
      <c r="J9" s="1" t="s">
        <v>24</v>
      </c>
      <c r="K9" s="1" t="s">
        <v>24</v>
      </c>
      <c r="L9" s="30" t="s">
        <v>39</v>
      </c>
      <c r="M9" s="34">
        <f>M6/M5</f>
        <v>0</v>
      </c>
      <c r="N9" s="34">
        <f>N6/N5</f>
        <v>0</v>
      </c>
      <c r="O9" s="34">
        <f>O6/O5</f>
        <v>0</v>
      </c>
      <c r="P9" s="35">
        <f>P6/P5</f>
        <v>0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25">
      <c r="A10" s="4" t="s">
        <v>6</v>
      </c>
      <c r="B10" s="1" t="s">
        <v>24</v>
      </c>
      <c r="C10" s="1" t="s">
        <v>24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2</v>
      </c>
      <c r="Z10" s="1">
        <f t="shared" si="1"/>
        <v>0</v>
      </c>
      <c r="AA10" s="1">
        <f t="shared" si="4"/>
        <v>0</v>
      </c>
      <c r="AB10" s="50">
        <f t="shared" si="2"/>
        <v>2</v>
      </c>
      <c r="AD10" s="56">
        <v>4</v>
      </c>
      <c r="AE10">
        <v>2</v>
      </c>
    </row>
    <row r="11" spans="1:31" x14ac:dyDescent="0.25">
      <c r="A11" s="4" t="s">
        <v>6</v>
      </c>
      <c r="B11" s="1" t="s">
        <v>24</v>
      </c>
      <c r="C11" s="1" t="s">
        <v>24</v>
      </c>
      <c r="D11" s="23"/>
      <c r="E11" s="23"/>
      <c r="F11" s="23"/>
      <c r="G11" s="23"/>
      <c r="H11" s="24"/>
      <c r="I11" s="1" t="s">
        <v>24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4084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25">
      <c r="A12" s="4" t="s">
        <v>6</v>
      </c>
      <c r="B12" s="1" t="s">
        <v>24</v>
      </c>
      <c r="C12" s="1" t="s">
        <v>24</v>
      </c>
      <c r="D12" s="23"/>
      <c r="E12" s="23"/>
      <c r="F12" s="23"/>
      <c r="G12" s="23"/>
      <c r="H12" s="24"/>
      <c r="I12" s="1" t="s">
        <v>24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1075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25">
      <c r="A13" s="4" t="s">
        <v>6</v>
      </c>
      <c r="B13" s="1" t="s">
        <v>24</v>
      </c>
      <c r="C13" s="1" t="s">
        <v>24</v>
      </c>
      <c r="D13" s="23"/>
      <c r="E13" s="23"/>
      <c r="F13" s="23"/>
      <c r="G13" s="23"/>
      <c r="H13" s="24"/>
      <c r="I13" s="1" t="s">
        <v>24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25">
      <c r="A14" s="4" t="s">
        <v>6</v>
      </c>
      <c r="B14" s="1" t="s">
        <v>24</v>
      </c>
      <c r="C14" s="1" t="s">
        <v>24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25">
      <c r="A15" s="17" t="s">
        <v>64</v>
      </c>
      <c r="B15" s="1" t="s">
        <v>24</v>
      </c>
      <c r="C15" s="1" t="s">
        <v>24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25">
      <c r="A16" s="10" t="s">
        <v>12</v>
      </c>
      <c r="B16" s="1" t="s">
        <v>24</v>
      </c>
      <c r="C16" s="1" t="s">
        <v>24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1</v>
      </c>
      <c r="AA16" s="1">
        <f t="shared" si="4"/>
        <v>0</v>
      </c>
      <c r="AB16" s="50">
        <f t="shared" si="2"/>
        <v>39</v>
      </c>
      <c r="AD16" s="56"/>
    </row>
    <row r="17" spans="1:30" x14ac:dyDescent="0.25">
      <c r="A17" s="4" t="s">
        <v>6</v>
      </c>
      <c r="B17" s="1" t="s">
        <v>24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1</v>
      </c>
      <c r="Y17" s="43">
        <v>1</v>
      </c>
      <c r="Z17" s="1">
        <f t="shared" si="1"/>
        <v>0</v>
      </c>
      <c r="AA17" s="1">
        <f t="shared" si="4"/>
        <v>0</v>
      </c>
      <c r="AB17" s="50">
        <f t="shared" si="2"/>
        <v>1</v>
      </c>
      <c r="AD17" s="56"/>
    </row>
    <row r="18" spans="1:30" x14ac:dyDescent="0.25">
      <c r="A18" s="15" t="s">
        <v>17</v>
      </c>
      <c r="B18" s="1" t="s">
        <v>24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2</v>
      </c>
      <c r="Y18" s="43">
        <v>2</v>
      </c>
      <c r="Z18" s="1">
        <f t="shared" si="1"/>
        <v>0</v>
      </c>
      <c r="AA18" s="1">
        <f t="shared" si="4"/>
        <v>0</v>
      </c>
      <c r="AB18" s="50">
        <f t="shared" si="2"/>
        <v>2</v>
      </c>
      <c r="AD18" s="56"/>
    </row>
    <row r="19" spans="1:30" x14ac:dyDescent="0.25">
      <c r="A19" s="4" t="s">
        <v>6</v>
      </c>
      <c r="B19" s="1" t="s">
        <v>24</v>
      </c>
      <c r="C19" s="1" t="s">
        <v>24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4</v>
      </c>
      <c r="Y19" s="43">
        <v>4</v>
      </c>
      <c r="Z19" s="1">
        <f t="shared" si="1"/>
        <v>3</v>
      </c>
      <c r="AA19" s="1">
        <f t="shared" si="4"/>
        <v>0</v>
      </c>
      <c r="AB19" s="50">
        <f t="shared" si="2"/>
        <v>1</v>
      </c>
      <c r="AD19" s="56"/>
    </row>
    <row r="20" spans="1:30" x14ac:dyDescent="0.25">
      <c r="A20" s="4" t="s">
        <v>6</v>
      </c>
      <c r="B20" s="1" t="s">
        <v>24</v>
      </c>
      <c r="C20" s="1" t="s">
        <v>24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1</v>
      </c>
      <c r="Y20" s="43">
        <v>1</v>
      </c>
      <c r="Z20" s="1">
        <f t="shared" si="1"/>
        <v>0</v>
      </c>
      <c r="AA20" s="1">
        <f t="shared" si="4"/>
        <v>0</v>
      </c>
      <c r="AB20" s="50">
        <f t="shared" si="2"/>
        <v>1</v>
      </c>
      <c r="AD20" s="56"/>
    </row>
    <row r="21" spans="1:30" x14ac:dyDescent="0.25">
      <c r="A21" s="5" t="s">
        <v>7</v>
      </c>
      <c r="B21" s="1" t="s">
        <v>24</v>
      </c>
      <c r="C21" s="1" t="s">
        <v>24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25">
      <c r="A22" s="5" t="s">
        <v>7</v>
      </c>
      <c r="B22" s="1" t="s">
        <v>24</v>
      </c>
      <c r="C22" s="1" t="s">
        <v>24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25">
      <c r="A23" s="4" t="s">
        <v>6</v>
      </c>
      <c r="B23" s="1" t="s">
        <v>24</v>
      </c>
      <c r="C23" s="1" t="s">
        <v>24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1</v>
      </c>
      <c r="Y23" s="43">
        <v>1</v>
      </c>
      <c r="Z23" s="1">
        <f t="shared" si="1"/>
        <v>0</v>
      </c>
      <c r="AA23" s="1">
        <f t="shared" si="4"/>
        <v>0</v>
      </c>
      <c r="AB23" s="50">
        <f t="shared" si="2"/>
        <v>1</v>
      </c>
      <c r="AD23" s="56"/>
    </row>
    <row r="24" spans="1:30" x14ac:dyDescent="0.25">
      <c r="A24" s="4" t="s">
        <v>6</v>
      </c>
      <c r="B24" s="1" t="s">
        <v>24</v>
      </c>
      <c r="C24" s="1" t="s">
        <v>24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25">
      <c r="A25" s="4" t="s">
        <v>6</v>
      </c>
      <c r="B25" s="1" t="s">
        <v>24</v>
      </c>
      <c r="C25" s="1" t="s">
        <v>24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25">
      <c r="A26" s="4" t="s">
        <v>6</v>
      </c>
      <c r="B26" s="1" t="s">
        <v>24</v>
      </c>
      <c r="C26" s="1" t="s">
        <v>24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25">
      <c r="A27" s="17" t="s">
        <v>64</v>
      </c>
      <c r="B27" s="1" t="s">
        <v>24</v>
      </c>
      <c r="C27" s="1" t="s">
        <v>24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14</v>
      </c>
      <c r="Y27" s="43">
        <v>14</v>
      </c>
      <c r="Z27" s="1">
        <f t="shared" si="1"/>
        <v>0</v>
      </c>
      <c r="AA27" s="1">
        <f t="shared" si="4"/>
        <v>0</v>
      </c>
      <c r="AB27" s="50">
        <f t="shared" si="2"/>
        <v>14</v>
      </c>
      <c r="AD27" s="56"/>
    </row>
    <row r="28" spans="1:30" x14ac:dyDescent="0.25">
      <c r="A28" s="1" t="s">
        <v>24</v>
      </c>
      <c r="B28" s="1" t="s">
        <v>24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0</v>
      </c>
      <c r="AB28" s="50">
        <f t="shared" si="2"/>
        <v>3</v>
      </c>
      <c r="AD28" s="56"/>
    </row>
    <row r="29" spans="1:30" ht="15.75" thickBot="1" x14ac:dyDescent="0.3">
      <c r="A29" s="1" t="s">
        <v>24</v>
      </c>
      <c r="B29" s="1" t="s">
        <v>24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25">
      <c r="A30" s="1" t="s">
        <v>24</v>
      </c>
      <c r="B30" s="1" t="s">
        <v>24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1" t="s">
        <v>24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1059</v>
      </c>
      <c r="AB31">
        <f>SUM(AB3:AB28)</f>
        <v>1035</v>
      </c>
    </row>
    <row r="32" spans="1:30" x14ac:dyDescent="0.25">
      <c r="A32" s="1" t="s">
        <v>24</v>
      </c>
      <c r="B32" s="1" t="s">
        <v>24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1" t="s">
        <v>24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1" t="s">
        <v>24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1" t="s">
        <v>24</v>
      </c>
      <c r="D43" s="23">
        <v>1</v>
      </c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993D-642A-4A14-9C28-01B8200D6B7A}">
  <dimension ref="A1:AE100"/>
  <sheetViews>
    <sheetView tabSelected="1" zoomScaleNormal="100" workbookViewId="0">
      <selection activeCell="D31" sqref="D31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2" t="s">
        <v>27</v>
      </c>
      <c r="B1" s="63"/>
      <c r="C1" s="63"/>
      <c r="D1" s="63"/>
      <c r="E1" s="63"/>
      <c r="F1" s="64" t="s">
        <v>3</v>
      </c>
      <c r="G1" s="64"/>
      <c r="H1" s="22" cm="1">
        <f t="array" ref="H1">SUM(VLOOKUP(A4:C100,$T$3:$W$36,4,FALSE))+H4*10-H8*50</f>
        <v>680.22196432565079</v>
      </c>
      <c r="I1" s="65" t="s">
        <v>38</v>
      </c>
      <c r="J1" s="66"/>
      <c r="K1" s="66"/>
      <c r="L1" s="66"/>
      <c r="M1" s="66"/>
      <c r="N1" s="66"/>
      <c r="O1" s="66"/>
      <c r="P1" s="67"/>
      <c r="Q1" s="65" t="s">
        <v>45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31" ht="30" x14ac:dyDescent="0.25">
      <c r="A2" s="68" t="s">
        <v>32</v>
      </c>
      <c r="B2" s="69"/>
      <c r="C2" s="69"/>
      <c r="D2" s="70" t="s">
        <v>34</v>
      </c>
      <c r="E2" s="71"/>
      <c r="F2" s="71"/>
      <c r="G2" s="71"/>
      <c r="H2" s="72"/>
      <c r="I2" s="73" t="s">
        <v>32</v>
      </c>
      <c r="J2" s="74"/>
      <c r="K2" s="74"/>
      <c r="L2" s="75" t="s">
        <v>34</v>
      </c>
      <c r="M2" s="75"/>
      <c r="N2" s="75"/>
      <c r="O2" s="75"/>
      <c r="P2" s="76"/>
      <c r="Q2" s="46" t="s">
        <v>40</v>
      </c>
      <c r="R2" s="47" cm="1">
        <f t="array" ref="R2">SUM(V3:V28*AB3:AB28)+H6+P6+R4*500</f>
        <v>64590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25">
      <c r="A3" s="57" t="s">
        <v>28</v>
      </c>
      <c r="B3" s="58" t="s">
        <v>29</v>
      </c>
      <c r="C3" s="59" t="s">
        <v>30</v>
      </c>
      <c r="D3" s="30"/>
      <c r="E3" s="57" t="s">
        <v>28</v>
      </c>
      <c r="F3" s="58" t="s">
        <v>29</v>
      </c>
      <c r="G3" s="59" t="s">
        <v>30</v>
      </c>
      <c r="H3" s="31" t="s">
        <v>33</v>
      </c>
      <c r="I3" s="57" t="s">
        <v>28</v>
      </c>
      <c r="J3" s="58" t="s">
        <v>29</v>
      </c>
      <c r="K3" s="59" t="s">
        <v>30</v>
      </c>
      <c r="L3" s="30"/>
      <c r="M3" s="57" t="s">
        <v>28</v>
      </c>
      <c r="N3" s="58" t="s">
        <v>29</v>
      </c>
      <c r="O3" s="5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27</v>
      </c>
      <c r="Z3" s="1">
        <f>COUNTIF($A$4:$C$100,T3)</f>
        <v>1</v>
      </c>
      <c r="AA3" s="1">
        <f>COUNTIF($I$4:$K$100,T3)</f>
        <v>0</v>
      </c>
      <c r="AB3" s="50">
        <f>Y3-Z3-AA3</f>
        <v>26</v>
      </c>
      <c r="AD3" s="56"/>
    </row>
    <row r="4" spans="1:31" x14ac:dyDescent="0.25">
      <c r="A4" s="4" t="s">
        <v>6</v>
      </c>
      <c r="B4" s="1" t="s">
        <v>24</v>
      </c>
      <c r="C4" s="1" t="s">
        <v>24</v>
      </c>
      <c r="D4" s="40" t="s">
        <v>31</v>
      </c>
      <c r="E4" s="36">
        <v>6</v>
      </c>
      <c r="F4" s="36">
        <v>0</v>
      </c>
      <c r="G4" s="36">
        <v>0</v>
      </c>
      <c r="H4" s="33">
        <f>SUM(E4:G4)</f>
        <v>6</v>
      </c>
      <c r="I4" s="1" t="s">
        <v>24</v>
      </c>
      <c r="J4" s="1" t="s">
        <v>24</v>
      </c>
      <c r="K4" s="1" t="s">
        <v>24</v>
      </c>
      <c r="L4" s="40" t="s">
        <v>31</v>
      </c>
      <c r="M4" s="36">
        <v>3</v>
      </c>
      <c r="N4" s="36">
        <v>5</v>
      </c>
      <c r="O4" s="36">
        <v>20</v>
      </c>
      <c r="P4" s="33">
        <f>SUM(M4:O4)</f>
        <v>28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49</v>
      </c>
      <c r="Z4" s="1">
        <f t="shared" ref="Z4:Z28" si="1">COUNTIF($A$4:$C$100,T4)</f>
        <v>0</v>
      </c>
      <c r="AA4" s="1">
        <f>COUNTIF($I$4:$K$100,T4)</f>
        <v>0</v>
      </c>
      <c r="AB4" s="50">
        <f t="shared" ref="AB4:AB28" si="2">Y4-Z4-AA4</f>
        <v>49</v>
      </c>
      <c r="AD4" s="56"/>
    </row>
    <row r="5" spans="1:31" x14ac:dyDescent="0.25">
      <c r="A5" s="4" t="s">
        <v>6</v>
      </c>
      <c r="B5" s="1" t="s">
        <v>24</v>
      </c>
      <c r="C5" s="1" t="s">
        <v>24</v>
      </c>
      <c r="D5" s="30" t="s">
        <v>35</v>
      </c>
      <c r="E5" s="32" cm="1">
        <f t="array" ref="E5">(SUM(VLOOKUP(A4:A100,$T$3:$W$41,2,FALSE))+E4*10)-E8*50</f>
        <v>3930</v>
      </c>
      <c r="F5" s="32" cm="1">
        <f t="array" ref="F5">(SUM(VLOOKUP(B4:B100,$T$3:$W$41,2,FALSE))+F4*10)-F8*50</f>
        <v>0</v>
      </c>
      <c r="G5" s="32" cm="1">
        <f t="array" ref="G5">(SUM(VLOOKUP(C4:C100,$T$3:$W$41,2,FALSE))+G4*10)-G8*50</f>
        <v>-50</v>
      </c>
      <c r="H5" s="54">
        <f t="shared" ref="H5:H8" si="3">SUM(E5:G5)</f>
        <v>3880</v>
      </c>
      <c r="I5" s="1" t="s">
        <v>24</v>
      </c>
      <c r="J5" s="1" t="s">
        <v>24</v>
      </c>
      <c r="K5" s="1" t="s">
        <v>24</v>
      </c>
      <c r="L5" s="30" t="s">
        <v>35</v>
      </c>
      <c r="M5" s="32" cm="1">
        <f t="array" ref="M5">(SUM(VLOOKUP(I4:I100,$T$3:$W$41,2,FALSE))+M4*10)*0.8-M8*40</f>
        <v>-56</v>
      </c>
      <c r="N5" s="32" cm="1">
        <f t="array" ref="N5">(SUM(VLOOKUP(J4:J100,$T$3:$W$41,2,FALSE))+N4*10)*0.8-N8*40</f>
        <v>40</v>
      </c>
      <c r="O5" s="32" cm="1">
        <f t="array" ref="O5">(SUM(VLOOKUP(K4:K100,$T$3:$W$41,2,FALSE))+O4*10)*0.8-O8*40</f>
        <v>160</v>
      </c>
      <c r="P5" s="54">
        <f>SUM(M5:O5)</f>
        <v>144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203</v>
      </c>
      <c r="Z5" s="1">
        <f t="shared" si="1"/>
        <v>18</v>
      </c>
      <c r="AA5" s="1">
        <f t="shared" ref="AA5:AA28" si="4">COUNTIF($I$4:$K$100,T5)</f>
        <v>0</v>
      </c>
      <c r="AB5" s="50">
        <f t="shared" si="2"/>
        <v>185</v>
      </c>
      <c r="AD5" s="56"/>
    </row>
    <row r="6" spans="1:31" x14ac:dyDescent="0.25">
      <c r="A6" s="4" t="s">
        <v>6</v>
      </c>
      <c r="B6" s="1" t="s">
        <v>24</v>
      </c>
      <c r="C6" s="1" t="s">
        <v>24</v>
      </c>
      <c r="D6" s="30" t="s">
        <v>36</v>
      </c>
      <c r="E6" s="32" cm="1">
        <f t="array" ref="E6">(SUM(VLOOKUP(A4:A100,$T$3:$W$41,3,FALSE)))</f>
        <v>1025</v>
      </c>
      <c r="F6" s="32" cm="1">
        <f t="array" ref="F6">(SUM(VLOOKUP(B4:B100,$T$3:$W$41,3,FALSE)))</f>
        <v>0</v>
      </c>
      <c r="G6" s="32" cm="1">
        <f t="array" ref="G6">(SUM(VLOOKUP(C4:C100,$T$3:$W$41,3,FALSE)))</f>
        <v>0</v>
      </c>
      <c r="H6" s="45">
        <f t="shared" si="3"/>
        <v>1025</v>
      </c>
      <c r="I6" s="1" t="s">
        <v>24</v>
      </c>
      <c r="J6" s="1" t="s">
        <v>24</v>
      </c>
      <c r="K6" s="1" t="s">
        <v>24</v>
      </c>
      <c r="L6" s="30" t="s">
        <v>36</v>
      </c>
      <c r="M6" s="32" cm="1">
        <f t="array" ref="M6">(SUM(VLOOKUP(I4:I100,$T$3:$W$41,3,FALSE)))</f>
        <v>0</v>
      </c>
      <c r="N6" s="32" cm="1">
        <f t="array" ref="N6">(SUM(VLOOKUP(J4:J100,$T$3:$W$41,3,FALSE)))</f>
        <v>0</v>
      </c>
      <c r="O6" s="32" cm="1">
        <f t="array" ref="O6">(SUM(VLOOKUP(K4:K100,$T$3:$W$41,3,FALSE)))</f>
        <v>0</v>
      </c>
      <c r="P6" s="45">
        <f t="shared" ref="P6:P8" si="5">SUM(M6:O6)</f>
        <v>0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269</v>
      </c>
      <c r="Y6" s="43">
        <v>269</v>
      </c>
      <c r="Z6" s="1">
        <f t="shared" si="1"/>
        <v>0</v>
      </c>
      <c r="AA6" s="1">
        <f t="shared" si="4"/>
        <v>0</v>
      </c>
      <c r="AB6" s="50">
        <f t="shared" si="2"/>
        <v>269</v>
      </c>
      <c r="AD6" s="56"/>
    </row>
    <row r="7" spans="1:31" x14ac:dyDescent="0.25">
      <c r="A7" s="4" t="s">
        <v>6</v>
      </c>
      <c r="B7" s="1" t="s">
        <v>24</v>
      </c>
      <c r="C7" s="1" t="s">
        <v>24</v>
      </c>
      <c r="D7" s="30" t="s">
        <v>37</v>
      </c>
      <c r="E7" s="32">
        <f>COUNTIF(A4:A100,"&lt;&gt;空")</f>
        <v>23</v>
      </c>
      <c r="F7" s="32">
        <f>COUNTIF(B4:B100,"&lt;&gt;空")</f>
        <v>0</v>
      </c>
      <c r="G7" s="32">
        <f>COUNTIF(C4:C100,"&lt;&gt;空")</f>
        <v>0</v>
      </c>
      <c r="H7" s="33">
        <f t="shared" si="3"/>
        <v>23</v>
      </c>
      <c r="I7" s="1" t="s">
        <v>24</v>
      </c>
      <c r="J7" s="1" t="s">
        <v>24</v>
      </c>
      <c r="K7" s="1" t="s">
        <v>24</v>
      </c>
      <c r="L7" s="30" t="s">
        <v>37</v>
      </c>
      <c r="M7" s="32">
        <f>COUNTIF(I4:I100,"&lt;&gt;空")</f>
        <v>0</v>
      </c>
      <c r="N7" s="32">
        <f>COUNTIF(J4:J100,"&lt;&gt;空")</f>
        <v>0</v>
      </c>
      <c r="O7" s="32">
        <f>COUNTIF(K4:K100,"&lt;&gt;空")</f>
        <v>0</v>
      </c>
      <c r="P7" s="33">
        <f t="shared" si="5"/>
        <v>0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235</v>
      </c>
      <c r="Y7" s="43">
        <v>235</v>
      </c>
      <c r="Z7" s="1">
        <f t="shared" si="1"/>
        <v>0</v>
      </c>
      <c r="AA7" s="1">
        <f t="shared" si="4"/>
        <v>0</v>
      </c>
      <c r="AB7" s="50">
        <f t="shared" si="2"/>
        <v>235</v>
      </c>
      <c r="AD7" s="56"/>
    </row>
    <row r="8" spans="1:31" x14ac:dyDescent="0.25">
      <c r="A8" s="4" t="s">
        <v>6</v>
      </c>
      <c r="B8" s="1" t="s">
        <v>24</v>
      </c>
      <c r="C8" s="1" t="s">
        <v>24</v>
      </c>
      <c r="D8" s="39" t="s">
        <v>61</v>
      </c>
      <c r="E8" s="38">
        <v>0</v>
      </c>
      <c r="F8" s="38">
        <v>0</v>
      </c>
      <c r="G8" s="38">
        <v>1</v>
      </c>
      <c r="H8" s="33">
        <f t="shared" si="3"/>
        <v>1</v>
      </c>
      <c r="I8" s="1" t="s">
        <v>24</v>
      </c>
      <c r="J8" s="1" t="s">
        <v>24</v>
      </c>
      <c r="K8" s="1" t="s">
        <v>24</v>
      </c>
      <c r="L8" s="39" t="s">
        <v>61</v>
      </c>
      <c r="M8" s="38">
        <v>2</v>
      </c>
      <c r="N8" s="38">
        <v>0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2888</v>
      </c>
      <c r="S8" s="23"/>
      <c r="T8" s="7" t="s">
        <v>9</v>
      </c>
      <c r="U8" s="1">
        <v>200</v>
      </c>
      <c r="V8" s="1">
        <v>60</v>
      </c>
      <c r="W8" s="42"/>
      <c r="X8" s="60">
        <v>191</v>
      </c>
      <c r="Y8" s="43">
        <v>191</v>
      </c>
      <c r="Z8" s="1">
        <f t="shared" si="1"/>
        <v>0</v>
      </c>
      <c r="AA8" s="1">
        <f t="shared" si="4"/>
        <v>0</v>
      </c>
      <c r="AB8" s="50">
        <f t="shared" si="2"/>
        <v>191</v>
      </c>
      <c r="AD8" s="56"/>
    </row>
    <row r="9" spans="1:31" x14ac:dyDescent="0.25">
      <c r="A9" s="4" t="s">
        <v>6</v>
      </c>
      <c r="B9" s="1" t="s">
        <v>24</v>
      </c>
      <c r="C9" s="1" t="s">
        <v>24</v>
      </c>
      <c r="D9" s="23"/>
      <c r="E9" s="23"/>
      <c r="F9" s="23"/>
      <c r="G9" s="23"/>
      <c r="H9" s="24"/>
      <c r="I9" s="1" t="s">
        <v>24</v>
      </c>
      <c r="J9" s="1" t="s">
        <v>24</v>
      </c>
      <c r="K9" s="1" t="s">
        <v>24</v>
      </c>
      <c r="L9" s="30" t="s">
        <v>39</v>
      </c>
      <c r="M9" s="34">
        <f>M6/M5</f>
        <v>0</v>
      </c>
      <c r="N9" s="34">
        <f>N6/N5</f>
        <v>0</v>
      </c>
      <c r="O9" s="34">
        <f>O6/O5</f>
        <v>0</v>
      </c>
      <c r="P9" s="35">
        <f>P6/P5</f>
        <v>0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25">
      <c r="A10" s="4" t="s">
        <v>6</v>
      </c>
      <c r="B10" s="1" t="s">
        <v>24</v>
      </c>
      <c r="C10" s="1" t="s">
        <v>24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2</v>
      </c>
      <c r="Z10" s="1">
        <f t="shared" si="1"/>
        <v>0</v>
      </c>
      <c r="AA10" s="1">
        <f t="shared" si="4"/>
        <v>0</v>
      </c>
      <c r="AB10" s="50">
        <f t="shared" si="2"/>
        <v>2</v>
      </c>
      <c r="AD10" s="56">
        <v>4</v>
      </c>
      <c r="AE10">
        <v>2</v>
      </c>
    </row>
    <row r="11" spans="1:31" x14ac:dyDescent="0.25">
      <c r="A11" s="2" t="s">
        <v>4</v>
      </c>
      <c r="B11" s="1" t="s">
        <v>24</v>
      </c>
      <c r="C11" s="1" t="s">
        <v>24</v>
      </c>
      <c r="D11" s="23"/>
      <c r="E11" s="23"/>
      <c r="F11" s="23"/>
      <c r="G11" s="23"/>
      <c r="H11" s="24"/>
      <c r="I11" s="1" t="s">
        <v>24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4024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1</v>
      </c>
      <c r="AA11" s="1">
        <f t="shared" si="4"/>
        <v>0</v>
      </c>
      <c r="AB11" s="50">
        <f t="shared" si="2"/>
        <v>5</v>
      </c>
      <c r="AD11" s="56">
        <v>4</v>
      </c>
      <c r="AE11">
        <v>2</v>
      </c>
    </row>
    <row r="12" spans="1:31" x14ac:dyDescent="0.25">
      <c r="A12" s="4" t="s">
        <v>6</v>
      </c>
      <c r="B12" s="1" t="s">
        <v>24</v>
      </c>
      <c r="C12" s="1" t="s">
        <v>24</v>
      </c>
      <c r="D12" s="23"/>
      <c r="E12" s="23"/>
      <c r="F12" s="23"/>
      <c r="G12" s="23"/>
      <c r="H12" s="24"/>
      <c r="I12" s="1" t="s">
        <v>24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1025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25">
      <c r="A13" s="17" t="s">
        <v>64</v>
      </c>
      <c r="B13" s="1" t="s">
        <v>24</v>
      </c>
      <c r="C13" s="1" t="s">
        <v>24</v>
      </c>
      <c r="D13" s="23"/>
      <c r="E13" s="23"/>
      <c r="F13" s="23"/>
      <c r="G13" s="23"/>
      <c r="H13" s="24"/>
      <c r="I13" s="1" t="s">
        <v>24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25">
      <c r="A14" s="17" t="s">
        <v>64</v>
      </c>
      <c r="B14" s="1" t="s">
        <v>24</v>
      </c>
      <c r="C14" s="1" t="s">
        <v>24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25">
      <c r="A15" s="4" t="s">
        <v>6</v>
      </c>
      <c r="B15" s="1" t="s">
        <v>24</v>
      </c>
      <c r="C15" s="1" t="s">
        <v>24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25">
      <c r="A16" s="4" t="s">
        <v>6</v>
      </c>
      <c r="B16" s="1" t="s">
        <v>24</v>
      </c>
      <c r="C16" s="1" t="s">
        <v>24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0</v>
      </c>
      <c r="AA16" s="1">
        <f t="shared" si="4"/>
        <v>0</v>
      </c>
      <c r="AB16" s="50">
        <f t="shared" si="2"/>
        <v>40</v>
      </c>
      <c r="AD16" s="56"/>
    </row>
    <row r="17" spans="1:30" x14ac:dyDescent="0.25">
      <c r="A17" s="4" t="s">
        <v>6</v>
      </c>
      <c r="B17" s="1" t="s">
        <v>24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1</v>
      </c>
      <c r="Y17" s="43">
        <v>1</v>
      </c>
      <c r="Z17" s="1">
        <f t="shared" si="1"/>
        <v>0</v>
      </c>
      <c r="AA17" s="1">
        <f t="shared" si="4"/>
        <v>0</v>
      </c>
      <c r="AB17" s="50">
        <f t="shared" si="2"/>
        <v>1</v>
      </c>
      <c r="AD17" s="56"/>
    </row>
    <row r="18" spans="1:30" x14ac:dyDescent="0.25">
      <c r="A18" s="4" t="s">
        <v>6</v>
      </c>
      <c r="B18" s="1" t="s">
        <v>24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2</v>
      </c>
      <c r="Y18" s="43">
        <v>2</v>
      </c>
      <c r="Z18" s="1">
        <f t="shared" si="1"/>
        <v>0</v>
      </c>
      <c r="AA18" s="1">
        <f t="shared" si="4"/>
        <v>0</v>
      </c>
      <c r="AB18" s="50">
        <f t="shared" si="2"/>
        <v>2</v>
      </c>
      <c r="AD18" s="56"/>
    </row>
    <row r="19" spans="1:30" x14ac:dyDescent="0.25">
      <c r="A19" s="4" t="s">
        <v>6</v>
      </c>
      <c r="B19" s="1" t="s">
        <v>24</v>
      </c>
      <c r="C19" s="1" t="s">
        <v>24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4</v>
      </c>
      <c r="Y19" s="43">
        <v>4</v>
      </c>
      <c r="Z19" s="1">
        <f t="shared" si="1"/>
        <v>3</v>
      </c>
      <c r="AA19" s="1">
        <f t="shared" si="4"/>
        <v>0</v>
      </c>
      <c r="AB19" s="50">
        <f t="shared" si="2"/>
        <v>1</v>
      </c>
      <c r="AD19" s="56"/>
    </row>
    <row r="20" spans="1:30" x14ac:dyDescent="0.25">
      <c r="A20" s="4" t="s">
        <v>6</v>
      </c>
      <c r="B20" s="1" t="s">
        <v>24</v>
      </c>
      <c r="C20" s="1" t="s">
        <v>24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1</v>
      </c>
      <c r="Y20" s="43">
        <v>1</v>
      </c>
      <c r="Z20" s="1">
        <f t="shared" si="1"/>
        <v>0</v>
      </c>
      <c r="AA20" s="1">
        <f t="shared" si="4"/>
        <v>0</v>
      </c>
      <c r="AB20" s="50">
        <f t="shared" si="2"/>
        <v>1</v>
      </c>
      <c r="AD20" s="56"/>
    </row>
    <row r="21" spans="1:30" x14ac:dyDescent="0.25">
      <c r="A21" s="4" t="s">
        <v>6</v>
      </c>
      <c r="B21" s="1" t="s">
        <v>24</v>
      </c>
      <c r="C21" s="1" t="s">
        <v>24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25">
      <c r="A22" s="10" t="s">
        <v>12</v>
      </c>
      <c r="B22" s="1" t="s">
        <v>24</v>
      </c>
      <c r="C22" s="1" t="s">
        <v>24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25">
      <c r="A23" s="4" t="s">
        <v>6</v>
      </c>
      <c r="B23" s="1" t="s">
        <v>24</v>
      </c>
      <c r="C23" s="1" t="s">
        <v>24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1</v>
      </c>
      <c r="Y23" s="43">
        <v>1</v>
      </c>
      <c r="Z23" s="1">
        <f t="shared" si="1"/>
        <v>0</v>
      </c>
      <c r="AA23" s="1">
        <f t="shared" si="4"/>
        <v>0</v>
      </c>
      <c r="AB23" s="50">
        <f t="shared" si="2"/>
        <v>1</v>
      </c>
      <c r="AD23" s="56"/>
    </row>
    <row r="24" spans="1:30" x14ac:dyDescent="0.25">
      <c r="A24" s="4" t="s">
        <v>6</v>
      </c>
      <c r="B24" s="1" t="s">
        <v>24</v>
      </c>
      <c r="C24" s="1" t="s">
        <v>24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25">
      <c r="A25" s="4" t="s">
        <v>6</v>
      </c>
      <c r="B25" s="1" t="s">
        <v>24</v>
      </c>
      <c r="C25" s="1" t="s">
        <v>24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25">
      <c r="A26" s="17" t="s">
        <v>64</v>
      </c>
      <c r="B26" s="1" t="s">
        <v>24</v>
      </c>
      <c r="C26" s="1" t="s">
        <v>24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25">
      <c r="A27" s="1" t="s">
        <v>24</v>
      </c>
      <c r="B27" s="1" t="s">
        <v>24</v>
      </c>
      <c r="C27" s="1" t="s">
        <v>24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14</v>
      </c>
      <c r="Y27" s="43">
        <v>14</v>
      </c>
      <c r="Z27" s="1">
        <f t="shared" si="1"/>
        <v>0</v>
      </c>
      <c r="AA27" s="1">
        <f t="shared" si="4"/>
        <v>0</v>
      </c>
      <c r="AB27" s="50">
        <f t="shared" si="2"/>
        <v>14</v>
      </c>
      <c r="AD27" s="56"/>
    </row>
    <row r="28" spans="1:30" x14ac:dyDescent="0.25">
      <c r="A28" s="1" t="s">
        <v>24</v>
      </c>
      <c r="B28" s="1" t="s">
        <v>24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0</v>
      </c>
      <c r="AB28" s="50">
        <f t="shared" si="2"/>
        <v>3</v>
      </c>
      <c r="AD28" s="56"/>
    </row>
    <row r="29" spans="1:30" ht="15.75" thickBot="1" x14ac:dyDescent="0.3">
      <c r="A29" s="1" t="s">
        <v>24</v>
      </c>
      <c r="B29" s="1" t="s">
        <v>24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25">
      <c r="A30" s="1" t="s">
        <v>24</v>
      </c>
      <c r="B30" s="1" t="s">
        <v>24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1" t="s">
        <v>24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1059</v>
      </c>
      <c r="AB31">
        <f>SUM(AB3:AB28)</f>
        <v>1036</v>
      </c>
    </row>
    <row r="32" spans="1:30" x14ac:dyDescent="0.25">
      <c r="A32" s="1" t="s">
        <v>24</v>
      </c>
      <c r="B32" s="1" t="s">
        <v>24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1" t="s">
        <v>24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1" t="s">
        <v>24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1" t="s">
        <v>24</v>
      </c>
      <c r="D43" s="23">
        <v>1</v>
      </c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18.03</vt:lpstr>
      <vt:lpstr>18.03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2024-12-14T19:54:02Z</dcterms:modified>
</cp:coreProperties>
</file>