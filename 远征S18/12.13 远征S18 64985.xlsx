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FB464025-7E0D-4A1C-ABDB-2A0D7B4603B7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<sst xmlns="http://schemas.openxmlformats.org/spreadsheetml/2006/main" count="2377" uniqueCount="81">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</sst>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1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/>
    <xf numFmtId="0" fontId="5" fillId="0" borderId="0" xfId="0" applyFont="1"/>
    <xf numFmtId="0" fontId="0" fillId="22" borderId="4" xfId="0" applyFill="1" applyBorder="1"/>
    <xf numFmtId="0" fontId="0" fillId="22" borderId="0" xfId="0" applyFill="1"/>
    <xf numFmtId="0" fontId="0" fillId="23" borderId="4" xfId="0" applyFill="1" applyBorder="1"/>
    <xf numFmtId="0" fontId="0" fillId="23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/>
    <xf numFmtId="0" fontId="19" fillId="27" borderId="0" xfId="1" applyFont="1" applyFill="1"/>
    <xf numFmtId="0" fontId="19" fillId="28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14" fillId="25" borderId="19" xfId="0" applyFont="1" applyFill="1" applyBorder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24" fillId="22" borderId="0" xfId="0" applyFont="1" applyFill="1"/>
    <xf numFmtId="0" fontId="1" fillId="13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4" fillId="10" borderId="0" xfId="0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="115" zoomScaleNormal="115" workbookViewId="0">
      <pane ySplit="3" topLeftCell="A69" activePane="bottomLeft" state="frozen"/>
      <selection activeCell="AO32" sqref="AO32"/>
      <selection pane="bottomLeft" activeCell="N90" sqref="N90"/>
    </sheetView>
  </sheetViews>
  <sheetFormatPr defaultColWidth="9" defaultRowHeight="15"/>
  <cols>
    <col min="1" max="1" width="11.85546875" customWidth="1"/>
    <col min="2" max="2" width="8.5703125" hidden="1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12">
        <f ca="1">(_xlfn.DAYS(TODAY(),A4)+2)/((_xlfn.DAYS(A93,A4))+1)</f>
        <v>0.8666666666666667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O1" s="110"/>
      <c r="AP1" s="110"/>
      <c r="AQ1" s="110"/>
      <c r="AR1" s="37"/>
    </row>
    <row r="2" spans="1:57" ht="16.149999999999999" customHeight="1" thickBot="1">
      <c r="A2" s="47">
        <v>18.05</v>
      </c>
      <c r="B2" s="39" t="s">
        <v>60</v>
      </c>
      <c r="C2" s="74">
        <f>SUM(D4:D15)</f>
        <v>23130</v>
      </c>
      <c r="D2" s="118" t="s">
        <v>1</v>
      </c>
      <c r="E2" s="119"/>
      <c r="F2" s="120">
        <f>SUM(F4:F93)+SUM(H4:H93)</f>
        <v>64985</v>
      </c>
      <c r="G2" s="120"/>
      <c r="H2" s="121"/>
      <c r="I2" s="122" t="s">
        <v>2</v>
      </c>
      <c r="J2" s="123"/>
      <c r="K2" s="44" t="s">
        <v>3</v>
      </c>
      <c r="L2" s="44">
        <f>COUNTIF(I4:P93,"&lt;&gt;空")</f>
        <v>400</v>
      </c>
      <c r="M2" s="123" t="s">
        <v>4</v>
      </c>
      <c r="N2" s="123"/>
      <c r="O2" s="123"/>
      <c r="P2" s="124"/>
      <c r="Q2" s="125" t="s">
        <v>5</v>
      </c>
      <c r="R2" s="126"/>
      <c r="S2" s="86" t="s">
        <v>3</v>
      </c>
      <c r="T2" s="86">
        <f>COUNTIF(Q4:X93,"&lt;&gt;空")</f>
        <v>528</v>
      </c>
      <c r="U2" s="126" t="s">
        <v>4</v>
      </c>
      <c r="V2" s="126"/>
      <c r="W2" s="126"/>
      <c r="X2" s="127"/>
      <c r="Y2" s="128" t="s">
        <v>6</v>
      </c>
      <c r="Z2" s="129"/>
      <c r="AA2" s="87" t="s">
        <v>7</v>
      </c>
      <c r="AB2" s="85">
        <f>COUNTIF(Y4:AF93,"&lt;&gt;空")</f>
        <v>140</v>
      </c>
      <c r="AC2" s="129" t="s">
        <v>4</v>
      </c>
      <c r="AD2" s="129"/>
      <c r="AE2" s="129"/>
      <c r="AF2" s="130"/>
      <c r="AG2" s="32">
        <f>SUM(AG4:AG93)</f>
        <v>47</v>
      </c>
      <c r="AH2" s="32">
        <f>SUM(AH4:AH93)</f>
        <v>15</v>
      </c>
      <c r="AI2" s="32">
        <f>SUM(AI4:AI93)</f>
        <v>25</v>
      </c>
      <c r="AJ2" s="18">
        <f>SUM(AJ4:AJ93)</f>
        <v>7</v>
      </c>
      <c r="AK2" s="107" t="s">
        <v>8</v>
      </c>
      <c r="AO2" s="111"/>
      <c r="AP2" s="111"/>
      <c r="AQ2" s="111"/>
      <c r="AR2" s="37"/>
      <c r="AU2" t="s">
        <v>27</v>
      </c>
      <c r="AV2">
        <f>SUM(AV4:AV29)</f>
        <v>1068</v>
      </c>
      <c r="AW2" s="94" t="s">
        <v>13</v>
      </c>
      <c r="AX2">
        <f>AR47</f>
        <v>2</v>
      </c>
      <c r="AY2" t="s">
        <v>56</v>
      </c>
      <c r="AZ2">
        <f>SUM(AX4:AZ29)+7000</f>
        <v>64985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45">
        <v>1</v>
      </c>
      <c r="J3" s="46">
        <v>2</v>
      </c>
      <c r="K3" s="46">
        <v>3</v>
      </c>
      <c r="L3" s="46">
        <v>4</v>
      </c>
      <c r="M3" s="46">
        <v>5</v>
      </c>
      <c r="N3" s="46">
        <v>6</v>
      </c>
      <c r="O3" s="46">
        <v>7</v>
      </c>
      <c r="P3" s="46">
        <v>8</v>
      </c>
      <c r="Q3" s="50">
        <v>1</v>
      </c>
      <c r="R3" s="51">
        <v>2</v>
      </c>
      <c r="S3" s="51">
        <v>3</v>
      </c>
      <c r="T3" s="51">
        <v>4</v>
      </c>
      <c r="U3" s="51">
        <v>5</v>
      </c>
      <c r="V3" s="51">
        <v>6</v>
      </c>
      <c r="W3" s="51">
        <v>7</v>
      </c>
      <c r="X3" s="51">
        <v>8</v>
      </c>
      <c r="Y3" s="48">
        <v>1</v>
      </c>
      <c r="Z3" s="49">
        <v>2</v>
      </c>
      <c r="AA3" s="49">
        <v>3</v>
      </c>
      <c r="AB3" s="49">
        <v>4</v>
      </c>
      <c r="AC3" s="49">
        <v>5</v>
      </c>
      <c r="AD3" s="49">
        <v>6</v>
      </c>
      <c r="AE3" s="49">
        <v>7</v>
      </c>
      <c r="AF3" s="88">
        <v>8</v>
      </c>
      <c r="AG3" s="33" t="s">
        <v>17</v>
      </c>
      <c r="AH3" s="103" t="s">
        <v>18</v>
      </c>
      <c r="AI3" s="34" t="s">
        <v>19</v>
      </c>
      <c r="AJ3" s="102" t="s">
        <v>20</v>
      </c>
      <c r="AK3" s="108"/>
      <c r="AL3" s="98" t="s">
        <v>78</v>
      </c>
      <c r="AM3" s="99" t="s">
        <v>79</v>
      </c>
      <c r="AN3" s="100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75">
        <v>45639</v>
      </c>
      <c r="B4" s="76">
        <v>800</v>
      </c>
      <c r="C4" s="77">
        <v>4800</v>
      </c>
      <c r="D4" s="76">
        <f>(SUM(粮草!A4:X4)+AG4*10*IF(AK4="是",$BB$4,$BB$3))</f>
        <v>1550</v>
      </c>
      <c r="E4" s="90">
        <f>SUM($B$4:B4)+SUM($C$4:C4)-SUM($D$4:D4)</f>
        <v>4050</v>
      </c>
      <c r="F4" s="89">
        <f>SUM(经验!A4:X4)</f>
        <v>380</v>
      </c>
      <c r="G4" s="76">
        <f>SUM($F$4:F4)+SUM($H$4:H4)</f>
        <v>880</v>
      </c>
      <c r="H4" s="76">
        <v>500</v>
      </c>
      <c r="I4" s="52" t="s">
        <v>32</v>
      </c>
      <c r="J4" s="52" t="s">
        <v>32</v>
      </c>
      <c r="K4" s="52" t="s">
        <v>32</v>
      </c>
      <c r="L4" s="52" t="s">
        <v>32</v>
      </c>
      <c r="M4" s="52" t="s">
        <v>32</v>
      </c>
      <c r="N4" s="78" t="s">
        <v>33</v>
      </c>
      <c r="O4" s="79" t="s">
        <v>33</v>
      </c>
      <c r="P4" s="79" t="s">
        <v>33</v>
      </c>
      <c r="Q4" s="62" t="s">
        <v>38</v>
      </c>
      <c r="R4" s="52" t="s">
        <v>32</v>
      </c>
      <c r="S4" s="52" t="s">
        <v>32</v>
      </c>
      <c r="T4" s="52" t="s">
        <v>32</v>
      </c>
      <c r="U4" s="52" t="s">
        <v>32</v>
      </c>
      <c r="V4" s="52" t="s">
        <v>32</v>
      </c>
      <c r="W4" s="79" t="s">
        <v>33</v>
      </c>
      <c r="X4" s="79" t="s">
        <v>33</v>
      </c>
      <c r="Y4" s="78" t="s">
        <v>33</v>
      </c>
      <c r="Z4" s="78" t="s">
        <v>33</v>
      </c>
      <c r="AA4" s="78" t="s">
        <v>33</v>
      </c>
      <c r="AB4" s="78" t="s">
        <v>33</v>
      </c>
      <c r="AC4" s="78" t="s">
        <v>33</v>
      </c>
      <c r="AD4" s="78" t="s">
        <v>33</v>
      </c>
      <c r="AE4" s="79" t="s">
        <v>33</v>
      </c>
      <c r="AF4" s="79" t="s">
        <v>33</v>
      </c>
      <c r="AG4" s="80">
        <f>AH4+AI4+AJ4</f>
        <v>0</v>
      </c>
      <c r="AH4" s="80"/>
      <c r="AI4" s="80"/>
      <c r="AJ4" s="80"/>
      <c r="AK4" s="81" t="s">
        <v>34</v>
      </c>
      <c r="AL4" s="101">
        <f>6-COUNTIF(I4:P4,"&lt;&gt;空")</f>
        <v>1</v>
      </c>
      <c r="AM4" s="101">
        <f>6-COUNTIF(Q4:X4,"&lt;&gt;空")</f>
        <v>0</v>
      </c>
      <c r="AN4" s="101">
        <f>6-COUNTIF(Y4:AF4,"&lt;&gt;空")</f>
        <v>6</v>
      </c>
      <c r="AO4" s="52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9</v>
      </c>
      <c r="AV4" s="96">
        <f>AS4+AT4+AU4</f>
        <v>20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315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75">
        <v>45640</v>
      </c>
      <c r="B5" s="76">
        <v>1600</v>
      </c>
      <c r="C5" s="77">
        <v>1200</v>
      </c>
      <c r="D5" s="76">
        <f>(SUM(粮草!A5:X5)+AG5*10*IF(AK5="是",$BB$4,$BB$3))</f>
        <v>1650</v>
      </c>
      <c r="E5" s="90">
        <f>SUM($B$4:B5)+SUM($C$4:C5)-SUM($D$4:D5)</f>
        <v>5200</v>
      </c>
      <c r="F5" s="89">
        <f>SUM(经验!A5:X5)</f>
        <v>490</v>
      </c>
      <c r="G5" s="76">
        <f>SUM($F$4:F5)+SUM($H$4:H5)</f>
        <v>1370</v>
      </c>
      <c r="H5" s="76">
        <v>0</v>
      </c>
      <c r="I5" s="78" t="s">
        <v>33</v>
      </c>
      <c r="J5" s="78" t="s">
        <v>33</v>
      </c>
      <c r="K5" s="78" t="s">
        <v>33</v>
      </c>
      <c r="L5" s="78" t="s">
        <v>33</v>
      </c>
      <c r="M5" s="78" t="s">
        <v>33</v>
      </c>
      <c r="N5" s="78" t="s">
        <v>33</v>
      </c>
      <c r="O5" s="79" t="s">
        <v>33</v>
      </c>
      <c r="P5" s="79" t="s">
        <v>33</v>
      </c>
      <c r="Q5" s="52" t="s">
        <v>32</v>
      </c>
      <c r="R5" s="53" t="s">
        <v>36</v>
      </c>
      <c r="S5" s="53" t="s">
        <v>36</v>
      </c>
      <c r="T5" s="53" t="s">
        <v>36</v>
      </c>
      <c r="U5" s="53" t="s">
        <v>36</v>
      </c>
      <c r="V5" s="53" t="s">
        <v>36</v>
      </c>
      <c r="W5" s="79" t="s">
        <v>33</v>
      </c>
      <c r="X5" s="79" t="s">
        <v>33</v>
      </c>
      <c r="Y5" s="62" t="s">
        <v>38</v>
      </c>
      <c r="Z5" s="52" t="s">
        <v>32</v>
      </c>
      <c r="AA5" s="62" t="s">
        <v>38</v>
      </c>
      <c r="AB5" s="53" t="s">
        <v>36</v>
      </c>
      <c r="AC5" s="53" t="s">
        <v>36</v>
      </c>
      <c r="AD5" s="53" t="s">
        <v>36</v>
      </c>
      <c r="AE5" s="63" t="s">
        <v>45</v>
      </c>
      <c r="AF5" s="53" t="s">
        <v>36</v>
      </c>
      <c r="AG5" s="80">
        <f t="shared" ref="AG5:AG68" si="6">AH5+AI5+AJ5</f>
        <v>6</v>
      </c>
      <c r="AH5" s="80"/>
      <c r="AI5" s="80">
        <v>2</v>
      </c>
      <c r="AJ5" s="80">
        <v>4</v>
      </c>
      <c r="AK5" s="81" t="s">
        <v>34</v>
      </c>
      <c r="AL5" s="101">
        <f t="shared" ref="AL5:AL36" si="7">MIN(AL4+6,18)-COUNTIF(I5:P5,"&lt;&gt;空")+COUNTIF(I5:P5,"历练")+COUNTIF(I5:P5,"营地")*2</f>
        <v>7</v>
      </c>
      <c r="AM5" s="101">
        <f t="shared" ref="AM5:AM36" si="8">MIN(AM4+6,18)-COUNTIF(Q5:X5,"&lt;&gt;空")+COUNTIF(Q5:X5,"历练")+COUNTIF(Q5:X5,"营地")*2</f>
        <v>0</v>
      </c>
      <c r="AN5" s="101">
        <f t="shared" ref="AN5:AN36" si="9">MIN(AN4+6,18)-COUNTIF(Y5:AF5,"&lt;&gt;空")+COUNTIF(Y5:AF5,"历练")+COUNTIF(Y5:AF5,"营地")*2</f>
        <v>6</v>
      </c>
      <c r="AO5" s="53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12</v>
      </c>
      <c r="AT5" s="36">
        <f t="shared" si="1"/>
        <v>16</v>
      </c>
      <c r="AU5" s="36">
        <f t="shared" si="2"/>
        <v>24</v>
      </c>
      <c r="AV5" s="96">
        <f t="shared" ref="AV5:AV26" si="10">AS5+AT5+AU5</f>
        <v>52</v>
      </c>
      <c r="AW5" s="35">
        <v>54</v>
      </c>
      <c r="AX5" s="35">
        <f t="shared" si="3"/>
        <v>480</v>
      </c>
      <c r="AY5" s="35">
        <f t="shared" si="4"/>
        <v>640</v>
      </c>
      <c r="AZ5" s="35">
        <f t="shared" si="4"/>
        <v>960</v>
      </c>
      <c r="BA5" s="109" t="s">
        <v>37</v>
      </c>
      <c r="BB5" s="109"/>
      <c r="BD5" s="35">
        <f t="shared" si="5"/>
        <v>128</v>
      </c>
    </row>
    <row r="6" spans="1:57" s="29" customFormat="1">
      <c r="A6" s="75">
        <v>45641</v>
      </c>
      <c r="B6" s="76">
        <v>1600</v>
      </c>
      <c r="C6" s="77"/>
      <c r="D6" s="76">
        <f>(SUM(粮草!A6:X6)+AG6*10*IF(AK6="是",$BB$4,$BB$3))</f>
        <v>2010</v>
      </c>
      <c r="E6" s="90">
        <f>SUM($B$4:B6)+SUM($C$4:C6)-SUM($D$4:D6)</f>
        <v>4790</v>
      </c>
      <c r="F6" s="89">
        <f>SUM(经验!A6:X6)</f>
        <v>540</v>
      </c>
      <c r="G6" s="76">
        <f>SUM($F$4:F6)+SUM($H$4:H6)</f>
        <v>1910</v>
      </c>
      <c r="H6" s="76">
        <v>0</v>
      </c>
      <c r="I6" s="78" t="s">
        <v>33</v>
      </c>
      <c r="J6" s="78" t="s">
        <v>33</v>
      </c>
      <c r="K6" s="78" t="s">
        <v>33</v>
      </c>
      <c r="L6" s="78" t="s">
        <v>33</v>
      </c>
      <c r="M6" s="78" t="s">
        <v>33</v>
      </c>
      <c r="N6" s="78" t="s">
        <v>33</v>
      </c>
      <c r="O6" s="79" t="s">
        <v>33</v>
      </c>
      <c r="P6" s="79" t="s">
        <v>33</v>
      </c>
      <c r="Q6" s="53" t="s">
        <v>36</v>
      </c>
      <c r="R6" s="62" t="s">
        <v>38</v>
      </c>
      <c r="S6" s="53" t="s">
        <v>36</v>
      </c>
      <c r="T6" s="53" t="s">
        <v>36</v>
      </c>
      <c r="U6" s="58" t="s">
        <v>40</v>
      </c>
      <c r="V6" s="53" t="s">
        <v>36</v>
      </c>
      <c r="W6" s="79" t="s">
        <v>33</v>
      </c>
      <c r="X6" s="79" t="s">
        <v>33</v>
      </c>
      <c r="Y6" s="53" t="s">
        <v>36</v>
      </c>
      <c r="Z6" s="53" t="s">
        <v>36</v>
      </c>
      <c r="AA6" s="62" t="s">
        <v>38</v>
      </c>
      <c r="AB6" s="53" t="s">
        <v>36</v>
      </c>
      <c r="AC6" s="53" t="s">
        <v>36</v>
      </c>
      <c r="AD6" s="53" t="s">
        <v>36</v>
      </c>
      <c r="AE6" s="53" t="s">
        <v>36</v>
      </c>
      <c r="AF6" s="53" t="s">
        <v>36</v>
      </c>
      <c r="AG6" s="80">
        <f t="shared" si="6"/>
        <v>0</v>
      </c>
      <c r="AH6" s="80"/>
      <c r="AI6" s="80">
        <v>0</v>
      </c>
      <c r="AJ6" s="80"/>
      <c r="AK6" s="81" t="s">
        <v>34</v>
      </c>
      <c r="AL6" s="101">
        <f t="shared" si="7"/>
        <v>13</v>
      </c>
      <c r="AM6" s="101">
        <f t="shared" si="8"/>
        <v>0</v>
      </c>
      <c r="AN6" s="101">
        <f t="shared" si="9"/>
        <v>4</v>
      </c>
      <c r="AO6" s="54" t="s">
        <v>39</v>
      </c>
      <c r="AP6" s="20">
        <v>170</v>
      </c>
      <c r="AQ6" s="20">
        <v>45</v>
      </c>
      <c r="AR6" s="36">
        <v>34</v>
      </c>
      <c r="AS6" s="36">
        <f t="shared" si="0"/>
        <v>98</v>
      </c>
      <c r="AT6" s="36">
        <f t="shared" si="1"/>
        <v>89</v>
      </c>
      <c r="AU6" s="36">
        <f t="shared" si="2"/>
        <v>22</v>
      </c>
      <c r="AV6" s="96">
        <f t="shared" si="10"/>
        <v>209</v>
      </c>
      <c r="AW6" s="35">
        <v>180</v>
      </c>
      <c r="AX6" s="35">
        <f t="shared" si="3"/>
        <v>4410</v>
      </c>
      <c r="AY6" s="35">
        <f t="shared" si="4"/>
        <v>4005</v>
      </c>
      <c r="AZ6" s="35">
        <f t="shared" si="4"/>
        <v>990</v>
      </c>
      <c r="BA6" s="110"/>
      <c r="BB6" s="110"/>
      <c r="BD6" s="35">
        <f t="shared" si="5"/>
        <v>136</v>
      </c>
    </row>
    <row r="7" spans="1:57">
      <c r="A7" s="75">
        <v>45642</v>
      </c>
      <c r="B7" s="78">
        <v>1600</v>
      </c>
      <c r="C7" s="78"/>
      <c r="D7" s="76">
        <f>(SUM(粮草!A7:X7)+AG7*10*IF(AK7="是",$BB$4,$BB$3))</f>
        <v>2350</v>
      </c>
      <c r="E7" s="90">
        <f>SUM($B$4:B7)+SUM($C$4:C7)-SUM($D$4:D7)</f>
        <v>4040</v>
      </c>
      <c r="F7" s="89">
        <f>SUM(经验!A7:X7)</f>
        <v>590</v>
      </c>
      <c r="G7" s="76">
        <f>SUM($F$4:F7)+SUM($H$4:H7)</f>
        <v>2700</v>
      </c>
      <c r="H7" s="78">
        <v>200</v>
      </c>
      <c r="I7" s="78" t="s">
        <v>33</v>
      </c>
      <c r="J7" s="78" t="s">
        <v>33</v>
      </c>
      <c r="K7" s="78" t="s">
        <v>33</v>
      </c>
      <c r="L7" s="78" t="s">
        <v>33</v>
      </c>
      <c r="M7" s="78" t="s">
        <v>33</v>
      </c>
      <c r="N7" s="78" t="s">
        <v>33</v>
      </c>
      <c r="O7" s="79" t="s">
        <v>33</v>
      </c>
      <c r="P7" s="79" t="s">
        <v>33</v>
      </c>
      <c r="Q7" s="53" t="s">
        <v>36</v>
      </c>
      <c r="R7" s="53" t="s">
        <v>36</v>
      </c>
      <c r="S7" s="54" t="s">
        <v>39</v>
      </c>
      <c r="T7" s="54" t="s">
        <v>39</v>
      </c>
      <c r="U7" s="54" t="s">
        <v>39</v>
      </c>
      <c r="V7" s="54" t="s">
        <v>39</v>
      </c>
      <c r="W7" s="79" t="s">
        <v>33</v>
      </c>
      <c r="X7" s="79" t="s">
        <v>33</v>
      </c>
      <c r="Y7" s="53" t="s">
        <v>36</v>
      </c>
      <c r="Z7" s="53" t="s">
        <v>36</v>
      </c>
      <c r="AA7" s="53" t="s">
        <v>36</v>
      </c>
      <c r="AB7" s="53" t="s">
        <v>36</v>
      </c>
      <c r="AC7" s="53" t="s">
        <v>36</v>
      </c>
      <c r="AD7" s="53" t="s">
        <v>36</v>
      </c>
      <c r="AE7" s="54" t="s">
        <v>39</v>
      </c>
      <c r="AF7" s="54" t="s">
        <v>39</v>
      </c>
      <c r="AG7" s="80">
        <f t="shared" si="6"/>
        <v>5</v>
      </c>
      <c r="AH7" s="80"/>
      <c r="AI7" s="80">
        <v>5</v>
      </c>
      <c r="AJ7" s="80"/>
      <c r="AK7" s="81" t="s">
        <v>34</v>
      </c>
      <c r="AL7" s="101">
        <f t="shared" si="7"/>
        <v>18</v>
      </c>
      <c r="AM7" s="101">
        <f t="shared" si="8"/>
        <v>0</v>
      </c>
      <c r="AN7" s="101">
        <f t="shared" si="9"/>
        <v>2</v>
      </c>
      <c r="AO7" s="55" t="s">
        <v>41</v>
      </c>
      <c r="AP7" s="20">
        <v>180</v>
      </c>
      <c r="AQ7" s="20">
        <v>50</v>
      </c>
      <c r="AR7" s="20">
        <v>36</v>
      </c>
      <c r="AS7" s="20">
        <f t="shared" si="0"/>
        <v>95</v>
      </c>
      <c r="AT7" s="20">
        <f t="shared" si="1"/>
        <v>168</v>
      </c>
      <c r="AU7" s="20">
        <f t="shared" si="2"/>
        <v>13</v>
      </c>
      <c r="AV7" s="97">
        <f t="shared" si="10"/>
        <v>276</v>
      </c>
      <c r="AW7">
        <v>104</v>
      </c>
      <c r="AX7">
        <f t="shared" si="3"/>
        <v>4750</v>
      </c>
      <c r="AY7">
        <f t="shared" si="4"/>
        <v>8400</v>
      </c>
      <c r="AZ7">
        <f t="shared" si="4"/>
        <v>650</v>
      </c>
      <c r="BA7" s="110"/>
      <c r="BB7" s="110"/>
      <c r="BD7">
        <f t="shared" si="5"/>
        <v>144</v>
      </c>
      <c r="BE7" s="29"/>
    </row>
    <row r="8" spans="1:57">
      <c r="A8" s="75">
        <v>45643</v>
      </c>
      <c r="B8" s="78">
        <v>1600</v>
      </c>
      <c r="C8" s="78"/>
      <c r="D8" s="76">
        <f>(SUM(粮草!A8:X8)+AG8*10*IF(AK8="是",$BB$4,$BB$3))</f>
        <v>2590</v>
      </c>
      <c r="E8" s="90">
        <f>SUM($B$4:B8)+SUM($C$4:C8)-SUM($D$4:D8)</f>
        <v>3050</v>
      </c>
      <c r="F8" s="89">
        <f>SUM(经验!A8:X8)</f>
        <v>1140</v>
      </c>
      <c r="G8" s="76">
        <f>SUM($F$4:F8)+SUM($H$4:H8)</f>
        <v>3940</v>
      </c>
      <c r="H8" s="78">
        <v>100</v>
      </c>
      <c r="I8" s="78" t="s">
        <v>33</v>
      </c>
      <c r="J8" s="78" t="s">
        <v>33</v>
      </c>
      <c r="K8" s="78" t="s">
        <v>33</v>
      </c>
      <c r="L8" s="78" t="s">
        <v>33</v>
      </c>
      <c r="M8" s="78" t="s">
        <v>33</v>
      </c>
      <c r="N8" s="78" t="s">
        <v>33</v>
      </c>
      <c r="O8" s="79" t="s">
        <v>33</v>
      </c>
      <c r="P8" s="79" t="s">
        <v>33</v>
      </c>
      <c r="Q8" s="38" t="s">
        <v>62</v>
      </c>
      <c r="R8" s="54" t="s">
        <v>39</v>
      </c>
      <c r="S8" s="54" t="s">
        <v>39</v>
      </c>
      <c r="T8" s="54" t="s">
        <v>39</v>
      </c>
      <c r="U8" s="54" t="s">
        <v>39</v>
      </c>
      <c r="V8" s="54" t="s">
        <v>39</v>
      </c>
      <c r="W8" s="79" t="s">
        <v>33</v>
      </c>
      <c r="X8" s="79" t="s">
        <v>33</v>
      </c>
      <c r="Y8" s="54" t="s">
        <v>39</v>
      </c>
      <c r="Z8" s="38" t="s">
        <v>62</v>
      </c>
      <c r="AA8" s="54" t="s">
        <v>39</v>
      </c>
      <c r="AB8" s="54" t="s">
        <v>39</v>
      </c>
      <c r="AC8" s="54" t="s">
        <v>39</v>
      </c>
      <c r="AD8" s="54" t="s">
        <v>39</v>
      </c>
      <c r="AE8" s="38" t="s">
        <v>64</v>
      </c>
      <c r="AF8" s="54" t="s">
        <v>39</v>
      </c>
      <c r="AG8" s="80">
        <f t="shared" si="6"/>
        <v>5</v>
      </c>
      <c r="AH8" s="80"/>
      <c r="AI8" s="80">
        <v>5</v>
      </c>
      <c r="AJ8" s="80"/>
      <c r="AK8" s="81" t="s">
        <v>34</v>
      </c>
      <c r="AL8" s="101">
        <f t="shared" si="7"/>
        <v>18</v>
      </c>
      <c r="AM8" s="101">
        <f t="shared" si="8"/>
        <v>0</v>
      </c>
      <c r="AN8" s="101">
        <f t="shared" si="9"/>
        <v>0</v>
      </c>
      <c r="AO8" s="56" t="s">
        <v>42</v>
      </c>
      <c r="AP8" s="20">
        <v>190</v>
      </c>
      <c r="AQ8" s="20">
        <v>55</v>
      </c>
      <c r="AR8" s="20">
        <v>38</v>
      </c>
      <c r="AS8" s="20">
        <f t="shared" si="0"/>
        <v>20</v>
      </c>
      <c r="AT8" s="20">
        <f t="shared" si="1"/>
        <v>179</v>
      </c>
      <c r="AU8" s="20">
        <f t="shared" si="2"/>
        <v>35</v>
      </c>
      <c r="AV8" s="97">
        <f t="shared" si="10"/>
        <v>234</v>
      </c>
      <c r="AW8">
        <v>31</v>
      </c>
      <c r="AX8">
        <f t="shared" si="3"/>
        <v>1100</v>
      </c>
      <c r="AY8">
        <f t="shared" si="4"/>
        <v>9845</v>
      </c>
      <c r="AZ8">
        <f t="shared" si="4"/>
        <v>1925</v>
      </c>
      <c r="BA8" s="110"/>
      <c r="BB8" s="110"/>
      <c r="BD8">
        <f t="shared" si="5"/>
        <v>152</v>
      </c>
      <c r="BE8" s="29"/>
    </row>
    <row r="9" spans="1:57">
      <c r="A9" s="75">
        <v>45644</v>
      </c>
      <c r="B9" s="78">
        <v>1600</v>
      </c>
      <c r="C9" s="78"/>
      <c r="D9" s="76">
        <f>(SUM(粮草!A9:X9)+AG9*10*IF(AK9="是",$BB$4,$BB$3))</f>
        <v>1920</v>
      </c>
      <c r="E9" s="90">
        <f>SUM($B$4:B9)+SUM($C$4:C9)-SUM($D$4:D9)</f>
        <v>2730</v>
      </c>
      <c r="F9" s="89">
        <f>SUM(经验!A9:X9)</f>
        <v>525</v>
      </c>
      <c r="G9" s="76">
        <f>SUM($F$4:F9)+SUM($H$4:H9)</f>
        <v>4665</v>
      </c>
      <c r="H9" s="78">
        <v>200</v>
      </c>
      <c r="I9" s="78" t="s">
        <v>33</v>
      </c>
      <c r="J9" s="78" t="s">
        <v>33</v>
      </c>
      <c r="K9" s="78" t="s">
        <v>33</v>
      </c>
      <c r="L9" s="78" t="s">
        <v>33</v>
      </c>
      <c r="M9" s="78" t="s">
        <v>33</v>
      </c>
      <c r="N9" s="78" t="s">
        <v>33</v>
      </c>
      <c r="O9" s="79" t="s">
        <v>33</v>
      </c>
      <c r="P9" s="79" t="s">
        <v>33</v>
      </c>
      <c r="Q9" s="62" t="s">
        <v>38</v>
      </c>
      <c r="R9" s="54" t="s">
        <v>39</v>
      </c>
      <c r="S9" s="54" t="s">
        <v>39</v>
      </c>
      <c r="T9" s="54" t="s">
        <v>39</v>
      </c>
      <c r="U9" s="54" t="s">
        <v>39</v>
      </c>
      <c r="V9" s="54" t="s">
        <v>39</v>
      </c>
      <c r="W9" s="79" t="s">
        <v>33</v>
      </c>
      <c r="X9" s="79" t="s">
        <v>33</v>
      </c>
      <c r="Y9" s="54" t="s">
        <v>39</v>
      </c>
      <c r="Z9" s="54" t="s">
        <v>39</v>
      </c>
      <c r="AA9" s="54" t="s">
        <v>39</v>
      </c>
      <c r="AB9" s="54" t="s">
        <v>39</v>
      </c>
      <c r="AC9" s="54" t="s">
        <v>39</v>
      </c>
      <c r="AD9" s="38" t="s">
        <v>64</v>
      </c>
      <c r="AE9" s="79" t="s">
        <v>33</v>
      </c>
      <c r="AF9" s="79" t="s">
        <v>33</v>
      </c>
      <c r="AG9" s="80">
        <f t="shared" si="6"/>
        <v>0</v>
      </c>
      <c r="AH9" s="80"/>
      <c r="AI9" s="80"/>
      <c r="AJ9" s="80"/>
      <c r="AK9" s="81" t="s">
        <v>34</v>
      </c>
      <c r="AL9" s="101">
        <f t="shared" si="7"/>
        <v>18</v>
      </c>
      <c r="AM9" s="101">
        <f t="shared" si="8"/>
        <v>0</v>
      </c>
      <c r="AN9" s="101">
        <f t="shared" si="9"/>
        <v>0</v>
      </c>
      <c r="AO9" s="57" t="s">
        <v>43</v>
      </c>
      <c r="AP9" s="20">
        <v>200</v>
      </c>
      <c r="AQ9" s="20">
        <v>60</v>
      </c>
      <c r="AR9" s="20"/>
      <c r="AS9" s="20">
        <f t="shared" si="0"/>
        <v>148</v>
      </c>
      <c r="AT9" s="20">
        <f t="shared" si="1"/>
        <v>30</v>
      </c>
      <c r="AU9" s="20">
        <f t="shared" si="2"/>
        <v>13</v>
      </c>
      <c r="AV9" s="97">
        <f t="shared" si="10"/>
        <v>191</v>
      </c>
      <c r="AW9">
        <v>98</v>
      </c>
      <c r="AX9">
        <f t="shared" si="3"/>
        <v>8880</v>
      </c>
      <c r="AY9">
        <f t="shared" si="4"/>
        <v>1800</v>
      </c>
      <c r="AZ9">
        <f t="shared" si="4"/>
        <v>780</v>
      </c>
      <c r="BD9">
        <f t="shared" si="5"/>
        <v>160</v>
      </c>
      <c r="BE9" s="29"/>
    </row>
    <row r="10" spans="1:57">
      <c r="A10" s="75">
        <v>45645</v>
      </c>
      <c r="B10" s="78">
        <v>1600</v>
      </c>
      <c r="C10" s="78"/>
      <c r="D10" s="76">
        <f>(SUM(粮草!A10:X10)+AG10*10*IF(AK10="是",$BB$4,$BB$3))</f>
        <v>2050</v>
      </c>
      <c r="E10" s="90">
        <f>SUM($B$4:B10)+SUM($C$4:C10)-SUM($D$4:D10)</f>
        <v>2280</v>
      </c>
      <c r="F10" s="89">
        <f>SUM(经验!A10:X10)</f>
        <v>785</v>
      </c>
      <c r="G10" s="76">
        <f>SUM($F$4:F10)+SUM($H$4:H10)</f>
        <v>5450</v>
      </c>
      <c r="H10" s="78">
        <v>0</v>
      </c>
      <c r="I10" s="78" t="s">
        <v>33</v>
      </c>
      <c r="J10" s="78" t="s">
        <v>33</v>
      </c>
      <c r="K10" s="78" t="s">
        <v>33</v>
      </c>
      <c r="L10" s="78" t="s">
        <v>33</v>
      </c>
      <c r="M10" s="78" t="s">
        <v>33</v>
      </c>
      <c r="N10" s="78" t="s">
        <v>33</v>
      </c>
      <c r="O10" s="79" t="s">
        <v>33</v>
      </c>
      <c r="P10" s="79" t="s">
        <v>33</v>
      </c>
      <c r="Q10" s="91" t="s">
        <v>64</v>
      </c>
      <c r="R10" s="54" t="s">
        <v>39</v>
      </c>
      <c r="S10" s="54" t="s">
        <v>39</v>
      </c>
      <c r="T10" s="38" t="s">
        <v>62</v>
      </c>
      <c r="U10" s="54" t="s">
        <v>39</v>
      </c>
      <c r="V10" s="54" t="s">
        <v>39</v>
      </c>
      <c r="W10" s="79" t="s">
        <v>33</v>
      </c>
      <c r="X10" s="79" t="s">
        <v>33</v>
      </c>
      <c r="Y10" s="59" t="s">
        <v>46</v>
      </c>
      <c r="Z10" s="54" t="s">
        <v>39</v>
      </c>
      <c r="AA10" s="62" t="s">
        <v>38</v>
      </c>
      <c r="AB10" s="54" t="s">
        <v>39</v>
      </c>
      <c r="AC10" s="54" t="s">
        <v>39</v>
      </c>
      <c r="AD10" s="55" t="s">
        <v>41</v>
      </c>
      <c r="AE10" s="79" t="s">
        <v>33</v>
      </c>
      <c r="AF10" s="79" t="s">
        <v>33</v>
      </c>
      <c r="AG10" s="80">
        <f t="shared" si="6"/>
        <v>6</v>
      </c>
      <c r="AH10" s="80"/>
      <c r="AI10" s="80">
        <v>3</v>
      </c>
      <c r="AJ10" s="80">
        <v>3</v>
      </c>
      <c r="AK10" s="81" t="s">
        <v>34</v>
      </c>
      <c r="AL10" s="101">
        <f t="shared" si="7"/>
        <v>18</v>
      </c>
      <c r="AM10" s="101">
        <f t="shared" si="8"/>
        <v>0</v>
      </c>
      <c r="AN10" s="101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97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75">
        <v>45646</v>
      </c>
      <c r="B11" s="78">
        <v>1600</v>
      </c>
      <c r="C11" s="78"/>
      <c r="D11" s="76">
        <f>(SUM(粮草!A11:X11)+AG11*10*IF(AK11="是",$BB$4,$BB$3))</f>
        <v>1930</v>
      </c>
      <c r="E11" s="90">
        <f>SUM($B$4:B11)+SUM($C$4:C11)-SUM($D$4:D11)</f>
        <v>1950</v>
      </c>
      <c r="F11" s="89">
        <f>SUM(经验!A11:X11)</f>
        <v>530</v>
      </c>
      <c r="G11" s="76">
        <f>SUM($F$4:F11)+SUM($H$4:H11)</f>
        <v>5980</v>
      </c>
      <c r="H11" s="78">
        <v>0</v>
      </c>
      <c r="I11" s="78" t="s">
        <v>33</v>
      </c>
      <c r="J11" s="78" t="s">
        <v>33</v>
      </c>
      <c r="K11" s="78" t="s">
        <v>33</v>
      </c>
      <c r="L11" s="78" t="s">
        <v>33</v>
      </c>
      <c r="M11" s="78" t="s">
        <v>33</v>
      </c>
      <c r="N11" s="78" t="s">
        <v>33</v>
      </c>
      <c r="O11" s="79" t="s">
        <v>33</v>
      </c>
      <c r="P11" s="79" t="s">
        <v>33</v>
      </c>
      <c r="Q11" s="92" t="s">
        <v>39</v>
      </c>
      <c r="R11" s="62" t="s">
        <v>38</v>
      </c>
      <c r="S11" s="54" t="s">
        <v>39</v>
      </c>
      <c r="T11" s="54" t="s">
        <v>39</v>
      </c>
      <c r="U11" s="54" t="s">
        <v>39</v>
      </c>
      <c r="V11" s="38" t="s">
        <v>64</v>
      </c>
      <c r="W11" s="79" t="s">
        <v>33</v>
      </c>
      <c r="X11" s="79" t="s">
        <v>33</v>
      </c>
      <c r="Y11" s="55" t="s">
        <v>41</v>
      </c>
      <c r="Z11" s="54" t="s">
        <v>39</v>
      </c>
      <c r="AA11" s="54" t="s">
        <v>39</v>
      </c>
      <c r="AB11" s="54" t="s">
        <v>39</v>
      </c>
      <c r="AC11" s="54" t="s">
        <v>39</v>
      </c>
      <c r="AD11" s="38" t="s">
        <v>64</v>
      </c>
      <c r="AE11" s="79" t="s">
        <v>33</v>
      </c>
      <c r="AF11" s="79" t="s">
        <v>33</v>
      </c>
      <c r="AG11" s="80">
        <f t="shared" si="6"/>
        <v>0</v>
      </c>
      <c r="AH11" s="80"/>
      <c r="AI11" s="80"/>
      <c r="AJ11" s="80"/>
      <c r="AK11" s="81" t="s">
        <v>34</v>
      </c>
      <c r="AL11" s="101">
        <f t="shared" si="7"/>
        <v>18</v>
      </c>
      <c r="AM11" s="101">
        <f t="shared" si="8"/>
        <v>0</v>
      </c>
      <c r="AN11" s="101">
        <f t="shared" si="9"/>
        <v>0</v>
      </c>
      <c r="AO11" s="58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3</v>
      </c>
      <c r="AU11" s="20">
        <f t="shared" si="2"/>
        <v>0</v>
      </c>
      <c r="AV11" s="97">
        <f t="shared" si="10"/>
        <v>5</v>
      </c>
      <c r="AW11">
        <v>2</v>
      </c>
      <c r="AX11">
        <f t="shared" si="3"/>
        <v>80</v>
      </c>
      <c r="AY11">
        <f t="shared" si="4"/>
        <v>120</v>
      </c>
      <c r="AZ11">
        <f t="shared" si="4"/>
        <v>0</v>
      </c>
      <c r="BD11">
        <f t="shared" si="5"/>
        <v>120</v>
      </c>
      <c r="BE11" s="29"/>
    </row>
    <row r="12" spans="1:57">
      <c r="A12" s="75">
        <v>45647</v>
      </c>
      <c r="B12" s="78">
        <v>1600</v>
      </c>
      <c r="C12" s="78"/>
      <c r="D12" s="76">
        <f>(SUM(粮草!A12:X12)+AG12*10*IF(AK12="是",$BB$4,$BB$3))</f>
        <v>2348</v>
      </c>
      <c r="E12" s="90">
        <f>SUM($B$4:B12)+SUM($C$4:C12)-SUM($D$4:D12)</f>
        <v>1202</v>
      </c>
      <c r="F12" s="89">
        <f>SUM(经验!A12:X12)</f>
        <v>900</v>
      </c>
      <c r="G12" s="76">
        <f>SUM($F$4:F12)+SUM($H$4:H12)</f>
        <v>6880</v>
      </c>
      <c r="H12" s="78">
        <v>0</v>
      </c>
      <c r="I12" s="53" t="s">
        <v>36</v>
      </c>
      <c r="J12" s="53" t="s">
        <v>36</v>
      </c>
      <c r="K12" s="53" t="s">
        <v>36</v>
      </c>
      <c r="L12" s="62" t="s">
        <v>38</v>
      </c>
      <c r="M12" s="53" t="s">
        <v>36</v>
      </c>
      <c r="N12" s="58" t="s">
        <v>40</v>
      </c>
      <c r="O12" s="53" t="s">
        <v>36</v>
      </c>
      <c r="P12" s="79" t="s">
        <v>33</v>
      </c>
      <c r="Q12" s="54" t="s">
        <v>39</v>
      </c>
      <c r="R12" s="54" t="s">
        <v>39</v>
      </c>
      <c r="S12" s="54" t="s">
        <v>39</v>
      </c>
      <c r="T12" s="59" t="s">
        <v>46</v>
      </c>
      <c r="U12" s="54" t="s">
        <v>39</v>
      </c>
      <c r="V12" s="54" t="s">
        <v>39</v>
      </c>
      <c r="W12" s="79" t="s">
        <v>33</v>
      </c>
      <c r="X12" s="79" t="s">
        <v>33</v>
      </c>
      <c r="Y12" s="54" t="s">
        <v>39</v>
      </c>
      <c r="Z12" s="54" t="s">
        <v>39</v>
      </c>
      <c r="AA12" s="60" t="s">
        <v>47</v>
      </c>
      <c r="AB12" s="55" t="s">
        <v>41</v>
      </c>
      <c r="AC12" s="63" t="s">
        <v>45</v>
      </c>
      <c r="AD12" s="55" t="s">
        <v>41</v>
      </c>
      <c r="AE12" s="57" t="s">
        <v>43</v>
      </c>
      <c r="AF12" s="57" t="s">
        <v>43</v>
      </c>
      <c r="AG12" s="80">
        <f t="shared" si="6"/>
        <v>1</v>
      </c>
      <c r="AH12" s="80">
        <v>1</v>
      </c>
      <c r="AI12" s="80"/>
      <c r="AJ12" s="80"/>
      <c r="AK12" s="83" t="s">
        <v>51</v>
      </c>
      <c r="AL12" s="101">
        <f t="shared" si="7"/>
        <v>11</v>
      </c>
      <c r="AM12" s="101">
        <f t="shared" si="8"/>
        <v>0</v>
      </c>
      <c r="AN12" s="101">
        <f t="shared" si="9"/>
        <v>0</v>
      </c>
      <c r="AO12" s="59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3</v>
      </c>
      <c r="AU12" s="20">
        <f t="shared" si="2"/>
        <v>1</v>
      </c>
      <c r="AV12" s="97">
        <f t="shared" si="10"/>
        <v>6</v>
      </c>
      <c r="AW12">
        <v>5</v>
      </c>
      <c r="AX12">
        <f t="shared" si="3"/>
        <v>90</v>
      </c>
      <c r="AY12">
        <f t="shared" si="4"/>
        <v>135</v>
      </c>
      <c r="AZ12">
        <f t="shared" si="4"/>
        <v>45</v>
      </c>
      <c r="BD12">
        <f t="shared" si="5"/>
        <v>120</v>
      </c>
      <c r="BE12" s="29"/>
    </row>
    <row r="13" spans="1:57">
      <c r="A13" s="75">
        <v>45648</v>
      </c>
      <c r="B13" s="78">
        <v>1600</v>
      </c>
      <c r="C13" s="78">
        <v>40</v>
      </c>
      <c r="D13" s="76">
        <f>(SUM(粮草!A13:X13)+AG13*10*IF(AK13="是",$BB$4,$BB$3))</f>
        <v>1956</v>
      </c>
      <c r="E13" s="90">
        <f>SUM($B$4:B13)+SUM($C$4:C13)-SUM($D$4:D13)</f>
        <v>886</v>
      </c>
      <c r="F13" s="89">
        <f>SUM(经验!A13:X13)</f>
        <v>1895</v>
      </c>
      <c r="G13" s="76">
        <f>SUM($F$4:F13)+SUM($H$4:H13)</f>
        <v>8775</v>
      </c>
      <c r="H13" s="78">
        <v>0</v>
      </c>
      <c r="I13" s="53" t="s">
        <v>36</v>
      </c>
      <c r="J13" s="63" t="s">
        <v>45</v>
      </c>
      <c r="K13" s="53" t="s">
        <v>36</v>
      </c>
      <c r="L13" s="53" t="s">
        <v>36</v>
      </c>
      <c r="M13" s="53" t="s">
        <v>36</v>
      </c>
      <c r="N13" s="62" t="s">
        <v>38</v>
      </c>
      <c r="O13" s="54" t="s">
        <v>39</v>
      </c>
      <c r="P13" s="54" t="s">
        <v>39</v>
      </c>
      <c r="Q13" s="54" t="s">
        <v>39</v>
      </c>
      <c r="R13" s="54" t="s">
        <v>39</v>
      </c>
      <c r="S13" s="63" t="s">
        <v>45</v>
      </c>
      <c r="T13" s="54" t="s">
        <v>39</v>
      </c>
      <c r="U13" s="54" t="s">
        <v>39</v>
      </c>
      <c r="V13" s="62" t="s">
        <v>38</v>
      </c>
      <c r="W13" s="54" t="s">
        <v>39</v>
      </c>
      <c r="X13" s="79" t="s">
        <v>33</v>
      </c>
      <c r="Y13" s="63" t="s">
        <v>45</v>
      </c>
      <c r="Z13" s="57" t="s">
        <v>43</v>
      </c>
      <c r="AA13" s="57" t="s">
        <v>43</v>
      </c>
      <c r="AB13" s="57" t="s">
        <v>43</v>
      </c>
      <c r="AC13" s="57" t="s">
        <v>43</v>
      </c>
      <c r="AD13" s="57" t="s">
        <v>43</v>
      </c>
      <c r="AE13" s="57" t="s">
        <v>43</v>
      </c>
      <c r="AF13" s="64" t="s">
        <v>52</v>
      </c>
      <c r="AG13" s="80">
        <f t="shared" si="6"/>
        <v>4</v>
      </c>
      <c r="AH13" s="82">
        <v>3</v>
      </c>
      <c r="AI13" s="82">
        <v>1</v>
      </c>
      <c r="AJ13" s="82"/>
      <c r="AK13" s="83" t="s">
        <v>51</v>
      </c>
      <c r="AL13" s="101">
        <f t="shared" si="7"/>
        <v>11</v>
      </c>
      <c r="AM13" s="101">
        <f t="shared" si="8"/>
        <v>1</v>
      </c>
      <c r="AN13" s="101">
        <f t="shared" si="9"/>
        <v>0</v>
      </c>
      <c r="AO13" s="60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2</v>
      </c>
      <c r="AU13" s="20">
        <f t="shared" si="2"/>
        <v>1</v>
      </c>
      <c r="AV13" s="97">
        <f t="shared" si="10"/>
        <v>3</v>
      </c>
      <c r="AW13">
        <v>1</v>
      </c>
      <c r="AX13">
        <f t="shared" si="3"/>
        <v>0</v>
      </c>
      <c r="AY13">
        <f t="shared" si="4"/>
        <v>100</v>
      </c>
      <c r="AZ13">
        <f t="shared" si="4"/>
        <v>50</v>
      </c>
      <c r="BD13">
        <f t="shared" si="5"/>
        <v>120</v>
      </c>
      <c r="BE13" s="29"/>
    </row>
    <row r="14" spans="1:57">
      <c r="A14" s="75">
        <v>45649</v>
      </c>
      <c r="B14" s="76">
        <v>1600</v>
      </c>
      <c r="C14" s="77"/>
      <c r="D14" s="76">
        <f>(SUM(粮草!A14:X14)+AG14*10*IF(AK14="是",$BB$4,$BB$3))</f>
        <v>1668</v>
      </c>
      <c r="E14" s="90">
        <f>SUM($B$4:B14)+SUM($C$4:C14)-SUM($D$4:D14)</f>
        <v>818</v>
      </c>
      <c r="F14" s="89">
        <f>SUM(经验!A14:X14)</f>
        <v>670</v>
      </c>
      <c r="G14" s="76">
        <f>SUM($F$4:F14)+SUM($H$4:H14)</f>
        <v>9745</v>
      </c>
      <c r="H14" s="76">
        <v>300</v>
      </c>
      <c r="I14" s="55" t="s">
        <v>41</v>
      </c>
      <c r="J14" s="63" t="s">
        <v>45</v>
      </c>
      <c r="K14" s="55" t="s">
        <v>41</v>
      </c>
      <c r="L14" s="55" t="s">
        <v>41</v>
      </c>
      <c r="M14" s="55" t="s">
        <v>41</v>
      </c>
      <c r="N14" s="55" t="s">
        <v>41</v>
      </c>
      <c r="O14" s="55" t="s">
        <v>41</v>
      </c>
      <c r="P14" s="55" t="s">
        <v>41</v>
      </c>
      <c r="Q14" s="78" t="s">
        <v>33</v>
      </c>
      <c r="R14" s="78" t="s">
        <v>33</v>
      </c>
      <c r="S14" s="78" t="s">
        <v>33</v>
      </c>
      <c r="T14" s="78" t="s">
        <v>33</v>
      </c>
      <c r="U14" s="78" t="s">
        <v>33</v>
      </c>
      <c r="V14" s="78" t="s">
        <v>33</v>
      </c>
      <c r="W14" s="79" t="s">
        <v>33</v>
      </c>
      <c r="X14" s="79" t="s">
        <v>33</v>
      </c>
      <c r="Y14" s="57" t="s">
        <v>43</v>
      </c>
      <c r="Z14" s="57" t="s">
        <v>43</v>
      </c>
      <c r="AA14" s="55" t="s">
        <v>41</v>
      </c>
      <c r="AB14" s="55" t="s">
        <v>41</v>
      </c>
      <c r="AC14" s="55" t="s">
        <v>41</v>
      </c>
      <c r="AD14" s="55" t="s">
        <v>41</v>
      </c>
      <c r="AE14" s="79" t="s">
        <v>33</v>
      </c>
      <c r="AF14" s="79" t="s">
        <v>33</v>
      </c>
      <c r="AG14" s="80">
        <f t="shared" si="6"/>
        <v>3</v>
      </c>
      <c r="AH14" s="82"/>
      <c r="AI14" s="82">
        <v>3</v>
      </c>
      <c r="AJ14" s="82"/>
      <c r="AK14" s="83" t="s">
        <v>51</v>
      </c>
      <c r="AL14" s="101">
        <f t="shared" si="7"/>
        <v>11</v>
      </c>
      <c r="AM14" s="101">
        <f t="shared" si="8"/>
        <v>7</v>
      </c>
      <c r="AN14" s="101">
        <f t="shared" si="9"/>
        <v>0</v>
      </c>
      <c r="AO14" s="71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2</v>
      </c>
      <c r="AU14" s="20">
        <f t="shared" si="2"/>
        <v>0</v>
      </c>
      <c r="AV14" s="97">
        <f t="shared" si="10"/>
        <v>3</v>
      </c>
      <c r="AW14">
        <v>0</v>
      </c>
      <c r="AX14">
        <f t="shared" si="3"/>
        <v>55</v>
      </c>
      <c r="AY14">
        <f t="shared" si="4"/>
        <v>110</v>
      </c>
      <c r="AZ14">
        <f t="shared" si="4"/>
        <v>0</v>
      </c>
      <c r="BD14">
        <f t="shared" si="5"/>
        <v>120</v>
      </c>
      <c r="BE14" s="29"/>
    </row>
    <row r="15" spans="1:57">
      <c r="A15" s="75">
        <v>45650</v>
      </c>
      <c r="B15" s="76">
        <v>1600</v>
      </c>
      <c r="C15" s="77"/>
      <c r="D15" s="76">
        <f>(SUM(粮草!A15:X15)+AG15*10*IF(AK15="是",$BB$4,$BB$3))</f>
        <v>1108</v>
      </c>
      <c r="E15" s="90">
        <f>SUM($B$4:B15)+SUM($C$4:C15)-SUM($D$4:D15)</f>
        <v>1310</v>
      </c>
      <c r="F15" s="89">
        <f>SUM(经验!A15:X15)</f>
        <v>500</v>
      </c>
      <c r="G15" s="76">
        <f>SUM($F$4:F15)+SUM($H$4:H15)</f>
        <v>10245</v>
      </c>
      <c r="H15" s="76">
        <v>0</v>
      </c>
      <c r="I15" s="55" t="s">
        <v>41</v>
      </c>
      <c r="J15" s="55" t="s">
        <v>41</v>
      </c>
      <c r="K15" s="57" t="s">
        <v>43</v>
      </c>
      <c r="L15" s="57" t="s">
        <v>43</v>
      </c>
      <c r="M15" s="63" t="s">
        <v>45</v>
      </c>
      <c r="N15" s="78" t="s">
        <v>33</v>
      </c>
      <c r="O15" s="79" t="s">
        <v>33</v>
      </c>
      <c r="P15" s="79" t="s">
        <v>33</v>
      </c>
      <c r="Q15" s="78" t="s">
        <v>33</v>
      </c>
      <c r="R15" s="78" t="s">
        <v>33</v>
      </c>
      <c r="S15" s="78" t="s">
        <v>33</v>
      </c>
      <c r="T15" s="78" t="s">
        <v>33</v>
      </c>
      <c r="U15" s="78" t="s">
        <v>33</v>
      </c>
      <c r="V15" s="78" t="s">
        <v>33</v>
      </c>
      <c r="W15" s="79" t="s">
        <v>33</v>
      </c>
      <c r="X15" s="79" t="s">
        <v>33</v>
      </c>
      <c r="Y15" s="55" t="s">
        <v>41</v>
      </c>
      <c r="Z15" s="55" t="s">
        <v>41</v>
      </c>
      <c r="AA15" s="55" t="s">
        <v>41</v>
      </c>
      <c r="AB15" s="55" t="s">
        <v>41</v>
      </c>
      <c r="AC15" s="55" t="s">
        <v>41</v>
      </c>
      <c r="AD15" s="62" t="s">
        <v>38</v>
      </c>
      <c r="AE15" s="79" t="s">
        <v>33</v>
      </c>
      <c r="AF15" s="79" t="s">
        <v>33</v>
      </c>
      <c r="AG15" s="80">
        <f t="shared" si="6"/>
        <v>0</v>
      </c>
      <c r="AH15" s="82"/>
      <c r="AI15" s="82"/>
      <c r="AJ15" s="82"/>
      <c r="AK15" s="83" t="s">
        <v>51</v>
      </c>
      <c r="AL15" s="101">
        <f t="shared" si="7"/>
        <v>14</v>
      </c>
      <c r="AM15" s="101">
        <f t="shared" si="8"/>
        <v>13</v>
      </c>
      <c r="AN15" s="101">
        <f t="shared" si="9"/>
        <v>0</v>
      </c>
      <c r="AO15" s="72" t="s">
        <v>49</v>
      </c>
      <c r="AP15" s="20">
        <v>150</v>
      </c>
      <c r="AQ15" s="20">
        <v>60</v>
      </c>
      <c r="AR15" s="20"/>
      <c r="AS15" s="20">
        <f t="shared" si="0"/>
        <v>1</v>
      </c>
      <c r="AT15" s="20">
        <f t="shared" si="1"/>
        <v>0</v>
      </c>
      <c r="AU15" s="20">
        <f t="shared" si="2"/>
        <v>0</v>
      </c>
      <c r="AV15" s="97">
        <f t="shared" si="10"/>
        <v>1</v>
      </c>
      <c r="AW15">
        <v>0</v>
      </c>
      <c r="AX15">
        <f t="shared" si="3"/>
        <v>60</v>
      </c>
      <c r="AY15">
        <f t="shared" si="4"/>
        <v>0</v>
      </c>
      <c r="AZ15">
        <f t="shared" si="4"/>
        <v>0</v>
      </c>
      <c r="BD15">
        <f t="shared" si="5"/>
        <v>120</v>
      </c>
      <c r="BE15" s="29"/>
    </row>
    <row r="16" spans="1:57">
      <c r="A16" s="75">
        <v>45651</v>
      </c>
      <c r="B16" s="76">
        <v>1600</v>
      </c>
      <c r="C16" s="77"/>
      <c r="D16" s="76">
        <f>(SUM(粮草!A16:X16)+AG16*10*IF(AK16="是",$BB$4,$BB$3))</f>
        <v>2512</v>
      </c>
      <c r="E16" s="90">
        <f>SUM($B$4:B16)+SUM($C$4:C16)-SUM($D$4:D16)</f>
        <v>398</v>
      </c>
      <c r="F16" s="89">
        <f>SUM(经验!A16:X16)</f>
        <v>900</v>
      </c>
      <c r="G16" s="76">
        <f>SUM($F$4:F16)+SUM($H$4:H16)</f>
        <v>11345</v>
      </c>
      <c r="H16" s="76">
        <v>200</v>
      </c>
      <c r="I16" s="57" t="s">
        <v>43</v>
      </c>
      <c r="J16" s="57" t="s">
        <v>43</v>
      </c>
      <c r="K16" s="57" t="s">
        <v>43</v>
      </c>
      <c r="L16" s="57" t="s">
        <v>43</v>
      </c>
      <c r="M16" s="57" t="s">
        <v>43</v>
      </c>
      <c r="N16" s="78" t="s">
        <v>33</v>
      </c>
      <c r="O16" s="79" t="s">
        <v>33</v>
      </c>
      <c r="P16" s="79" t="s">
        <v>33</v>
      </c>
      <c r="Q16" s="54" t="s">
        <v>39</v>
      </c>
      <c r="R16" s="54" t="s">
        <v>39</v>
      </c>
      <c r="S16" s="54" t="s">
        <v>39</v>
      </c>
      <c r="T16" s="59" t="s">
        <v>46</v>
      </c>
      <c r="U16" s="54" t="s">
        <v>39</v>
      </c>
      <c r="V16" s="54" t="s">
        <v>39</v>
      </c>
      <c r="W16" s="79" t="s">
        <v>33</v>
      </c>
      <c r="X16" s="79" t="s">
        <v>33</v>
      </c>
      <c r="Y16" s="56" t="s">
        <v>42</v>
      </c>
      <c r="Z16" s="56" t="s">
        <v>42</v>
      </c>
      <c r="AA16" s="56" t="s">
        <v>42</v>
      </c>
      <c r="AB16" s="56" t="s">
        <v>42</v>
      </c>
      <c r="AC16" s="56" t="s">
        <v>42</v>
      </c>
      <c r="AD16" s="56" t="s">
        <v>42</v>
      </c>
      <c r="AE16" s="79" t="s">
        <v>33</v>
      </c>
      <c r="AF16" s="79" t="s">
        <v>33</v>
      </c>
      <c r="AG16" s="80">
        <f t="shared" si="6"/>
        <v>0</v>
      </c>
      <c r="AH16" s="82"/>
      <c r="AI16" s="82"/>
      <c r="AJ16" s="82"/>
      <c r="AK16" s="83" t="s">
        <v>51</v>
      </c>
      <c r="AL16" s="101">
        <f t="shared" si="7"/>
        <v>13</v>
      </c>
      <c r="AM16" s="101">
        <f t="shared" si="8"/>
        <v>12</v>
      </c>
      <c r="AN16" s="101">
        <f t="shared" si="9"/>
        <v>0</v>
      </c>
      <c r="AO16" s="61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97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75">
        <v>45652</v>
      </c>
      <c r="B17" s="76">
        <v>1600</v>
      </c>
      <c r="C17" s="77"/>
      <c r="D17" s="76">
        <f>(SUM(粮草!A17:X17)+AG17*10*IF(AK17="是",$BB$4,$BB$3))</f>
        <v>1780</v>
      </c>
      <c r="E17" s="104">
        <f>SUM($B$4:B17)+SUM($C$4:C17)-SUM($D$4:D17)</f>
        <v>218</v>
      </c>
      <c r="F17" s="89">
        <f>SUM(经验!A17:X17)</f>
        <v>945</v>
      </c>
      <c r="G17" s="76">
        <f>SUM($F$4:F17)+SUM($H$4:H17)</f>
        <v>12290</v>
      </c>
      <c r="H17" s="76">
        <v>0</v>
      </c>
      <c r="I17" s="57" t="s">
        <v>43</v>
      </c>
      <c r="J17" s="57" t="s">
        <v>43</v>
      </c>
      <c r="K17" s="57" t="s">
        <v>43</v>
      </c>
      <c r="L17" s="57" t="s">
        <v>43</v>
      </c>
      <c r="M17" s="57" t="s">
        <v>43</v>
      </c>
      <c r="N17" s="57" t="s">
        <v>43</v>
      </c>
      <c r="O17" s="57" t="s">
        <v>43</v>
      </c>
      <c r="P17" s="63" t="s">
        <v>45</v>
      </c>
      <c r="Q17" s="54" t="s">
        <v>39</v>
      </c>
      <c r="R17" s="62" t="s">
        <v>38</v>
      </c>
      <c r="S17" s="54" t="s">
        <v>39</v>
      </c>
      <c r="T17" s="54" t="s">
        <v>39</v>
      </c>
      <c r="U17" s="63" t="s">
        <v>45</v>
      </c>
      <c r="V17" s="78" t="s">
        <v>33</v>
      </c>
      <c r="W17" s="79" t="s">
        <v>33</v>
      </c>
      <c r="X17" s="79" t="s">
        <v>33</v>
      </c>
      <c r="Y17" s="56" t="s">
        <v>42</v>
      </c>
      <c r="Z17" s="56" t="s">
        <v>42</v>
      </c>
      <c r="AA17" s="56" t="s">
        <v>42</v>
      </c>
      <c r="AB17" s="62" t="s">
        <v>38</v>
      </c>
      <c r="AC17" s="56" t="s">
        <v>42</v>
      </c>
      <c r="AD17" s="56" t="s">
        <v>42</v>
      </c>
      <c r="AE17" s="63" t="s">
        <v>45</v>
      </c>
      <c r="AF17" s="56" t="s">
        <v>42</v>
      </c>
      <c r="AG17" s="80">
        <f t="shared" si="6"/>
        <v>5</v>
      </c>
      <c r="AH17" s="82">
        <v>5</v>
      </c>
      <c r="AI17" s="82"/>
      <c r="AJ17" s="82"/>
      <c r="AK17" s="83" t="s">
        <v>51</v>
      </c>
      <c r="AL17" s="101">
        <f t="shared" si="7"/>
        <v>12</v>
      </c>
      <c r="AM17" s="101">
        <f t="shared" si="8"/>
        <v>15</v>
      </c>
      <c r="AN17" s="101">
        <f t="shared" si="9"/>
        <v>0</v>
      </c>
      <c r="AO17" s="62" t="s">
        <v>38</v>
      </c>
      <c r="AP17" s="20">
        <v>50</v>
      </c>
      <c r="AQ17" s="20">
        <v>30</v>
      </c>
      <c r="AR17" s="20">
        <v>10</v>
      </c>
      <c r="AS17" s="20">
        <f t="shared" si="0"/>
        <v>10</v>
      </c>
      <c r="AT17" s="20">
        <f t="shared" si="1"/>
        <v>20</v>
      </c>
      <c r="AU17" s="20">
        <f t="shared" si="2"/>
        <v>8</v>
      </c>
      <c r="AV17" s="97">
        <f t="shared" si="10"/>
        <v>38</v>
      </c>
      <c r="AW17">
        <v>34</v>
      </c>
      <c r="AX17">
        <f t="shared" si="3"/>
        <v>300</v>
      </c>
      <c r="AY17">
        <f t="shared" si="4"/>
        <v>600</v>
      </c>
      <c r="AZ17">
        <f t="shared" si="4"/>
        <v>240</v>
      </c>
      <c r="BD17">
        <f t="shared" si="5"/>
        <v>40</v>
      </c>
      <c r="BE17" s="29"/>
    </row>
    <row r="18" spans="1:57">
      <c r="A18" s="84">
        <v>45653</v>
      </c>
      <c r="B18" s="76">
        <v>1600</v>
      </c>
      <c r="C18" s="77"/>
      <c r="D18" s="76">
        <f>(SUM(粮草!A18:X18)+AG18*10*IF(AK18="是",$BB$4,$BB$3))</f>
        <v>1464</v>
      </c>
      <c r="E18" s="90">
        <f>SUM($B$4:B18)+SUM($C$4:C18)-SUM($D$4:D18)</f>
        <v>354</v>
      </c>
      <c r="F18" s="89">
        <f>SUM(经验!A18:X18)</f>
        <v>510</v>
      </c>
      <c r="G18" s="76">
        <f>SUM($F$4:F18)+SUM($H$4:H18)</f>
        <v>12800</v>
      </c>
      <c r="H18" s="76">
        <v>0</v>
      </c>
      <c r="I18" s="78" t="s">
        <v>33</v>
      </c>
      <c r="J18" s="78" t="s">
        <v>33</v>
      </c>
      <c r="K18" s="78" t="s">
        <v>33</v>
      </c>
      <c r="L18" s="78" t="s">
        <v>33</v>
      </c>
      <c r="M18" s="78" t="s">
        <v>33</v>
      </c>
      <c r="N18" s="78" t="s">
        <v>33</v>
      </c>
      <c r="O18" s="79" t="s">
        <v>33</v>
      </c>
      <c r="P18" s="79" t="s">
        <v>33</v>
      </c>
      <c r="Q18" s="54" t="s">
        <v>39</v>
      </c>
      <c r="R18" s="54" t="s">
        <v>39</v>
      </c>
      <c r="S18" s="54" t="s">
        <v>39</v>
      </c>
      <c r="T18" s="54" t="s">
        <v>39</v>
      </c>
      <c r="U18" s="78" t="s">
        <v>33</v>
      </c>
      <c r="V18" s="78" t="s">
        <v>33</v>
      </c>
      <c r="W18" s="79" t="s">
        <v>33</v>
      </c>
      <c r="X18" s="79" t="s">
        <v>33</v>
      </c>
      <c r="Y18" s="56" t="s">
        <v>42</v>
      </c>
      <c r="Z18" s="56" t="s">
        <v>42</v>
      </c>
      <c r="AA18" s="56" t="s">
        <v>42</v>
      </c>
      <c r="AB18" s="56" t="s">
        <v>42</v>
      </c>
      <c r="AC18" s="56" t="s">
        <v>42</v>
      </c>
      <c r="AD18" s="56" t="s">
        <v>42</v>
      </c>
      <c r="AE18" s="79" t="s">
        <v>33</v>
      </c>
      <c r="AF18" s="79" t="s">
        <v>33</v>
      </c>
      <c r="AG18" s="80">
        <f t="shared" si="6"/>
        <v>1</v>
      </c>
      <c r="AH18" s="82"/>
      <c r="AI18" s="82">
        <v>1</v>
      </c>
      <c r="AJ18" s="82"/>
      <c r="AK18" s="83" t="s">
        <v>51</v>
      </c>
      <c r="AL18" s="101">
        <f t="shared" si="7"/>
        <v>18</v>
      </c>
      <c r="AM18" s="101">
        <f t="shared" si="8"/>
        <v>14</v>
      </c>
      <c r="AN18" s="101">
        <f t="shared" si="9"/>
        <v>0</v>
      </c>
      <c r="AO18" s="63" t="s">
        <v>45</v>
      </c>
      <c r="AP18" s="20">
        <v>-150</v>
      </c>
      <c r="AQ18" s="20">
        <v>0</v>
      </c>
      <c r="AR18" s="20">
        <v>10</v>
      </c>
      <c r="AS18" s="20">
        <f t="shared" si="0"/>
        <v>5</v>
      </c>
      <c r="AT18" s="20">
        <f t="shared" si="1"/>
        <v>4</v>
      </c>
      <c r="AU18" s="20">
        <f t="shared" si="2"/>
        <v>6</v>
      </c>
      <c r="AV18" s="97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4">
        <v>45654</v>
      </c>
      <c r="B19" s="76">
        <v>1600</v>
      </c>
      <c r="C19" s="77"/>
      <c r="D19" s="76">
        <f>(SUM(粮草!A19:X19)+AG19*10*IF(AK19="是",$BB$4,$BB$3))</f>
        <v>1928</v>
      </c>
      <c r="E19" s="90">
        <f>SUM($B$4:B19)+SUM($C$4:C19)-SUM($D$4:D19)</f>
        <v>26</v>
      </c>
      <c r="F19" s="89">
        <f>SUM(经验!A19:X19)</f>
        <v>690</v>
      </c>
      <c r="G19" s="76">
        <f>SUM($F$4:F19)+SUM($H$4:H19)</f>
        <v>13490</v>
      </c>
      <c r="H19" s="76">
        <v>0</v>
      </c>
      <c r="I19" s="78" t="s">
        <v>33</v>
      </c>
      <c r="J19" s="78" t="s">
        <v>33</v>
      </c>
      <c r="K19" s="78" t="s">
        <v>33</v>
      </c>
      <c r="L19" s="78" t="s">
        <v>33</v>
      </c>
      <c r="M19" s="78" t="s">
        <v>33</v>
      </c>
      <c r="N19" s="78" t="s">
        <v>33</v>
      </c>
      <c r="O19" s="79" t="s">
        <v>33</v>
      </c>
      <c r="P19" s="79" t="s">
        <v>33</v>
      </c>
      <c r="Q19" s="54" t="s">
        <v>39</v>
      </c>
      <c r="R19" s="54" t="s">
        <v>39</v>
      </c>
      <c r="S19" s="62" t="s">
        <v>38</v>
      </c>
      <c r="T19" s="54" t="s">
        <v>39</v>
      </c>
      <c r="U19" s="54" t="s">
        <v>39</v>
      </c>
      <c r="V19" s="54" t="s">
        <v>39</v>
      </c>
      <c r="W19" s="54" t="s">
        <v>39</v>
      </c>
      <c r="X19" s="54" t="s">
        <v>39</v>
      </c>
      <c r="Y19" s="56" t="s">
        <v>42</v>
      </c>
      <c r="Z19" s="57" t="s">
        <v>43</v>
      </c>
      <c r="AA19" s="57" t="s">
        <v>43</v>
      </c>
      <c r="AB19" s="57" t="s">
        <v>43</v>
      </c>
      <c r="AC19" s="56" t="s">
        <v>42</v>
      </c>
      <c r="AD19" s="56" t="s">
        <v>42</v>
      </c>
      <c r="AE19" s="79" t="s">
        <v>33</v>
      </c>
      <c r="AF19" s="79" t="s">
        <v>33</v>
      </c>
      <c r="AG19" s="80">
        <f>AH19+AI19+AJ19</f>
        <v>0</v>
      </c>
      <c r="AH19" s="82"/>
      <c r="AI19" s="82"/>
      <c r="AJ19" s="82"/>
      <c r="AK19" s="83" t="s">
        <v>51</v>
      </c>
      <c r="AL19" s="101">
        <f t="shared" si="7"/>
        <v>18</v>
      </c>
      <c r="AM19" s="101">
        <f t="shared" si="8"/>
        <v>10</v>
      </c>
      <c r="AN19" s="101">
        <f t="shared" si="9"/>
        <v>0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97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84">
        <v>45655</v>
      </c>
      <c r="B20" s="76">
        <v>1600</v>
      </c>
      <c r="C20" s="77"/>
      <c r="D20" s="76">
        <f>(SUM(粮草!A20:X20)+AG20*10*IF(AK20="是",$BB$4,$BB$3))</f>
        <v>1592</v>
      </c>
      <c r="E20" s="90">
        <f>SUM($B$4:B20)+SUM($C$4:C20)-SUM($D$4:D20)</f>
        <v>34</v>
      </c>
      <c r="F20" s="89">
        <f>SUM(经验!A20:X20)</f>
        <v>1090</v>
      </c>
      <c r="G20" s="76">
        <f>SUM($F$4:F20)+SUM($H$4:H20)</f>
        <v>14580</v>
      </c>
      <c r="H20" s="76">
        <v>0</v>
      </c>
      <c r="I20" s="78" t="s">
        <v>33</v>
      </c>
      <c r="J20" s="78" t="s">
        <v>33</v>
      </c>
      <c r="K20" s="78" t="s">
        <v>33</v>
      </c>
      <c r="L20" s="78" t="s">
        <v>33</v>
      </c>
      <c r="M20" s="78" t="s">
        <v>33</v>
      </c>
      <c r="N20" s="78" t="s">
        <v>33</v>
      </c>
      <c r="O20" s="79" t="s">
        <v>33</v>
      </c>
      <c r="P20" s="79" t="s">
        <v>33</v>
      </c>
      <c r="Q20" s="54" t="s">
        <v>39</v>
      </c>
      <c r="R20" s="56" t="s">
        <v>42</v>
      </c>
      <c r="S20" s="56" t="s">
        <v>42</v>
      </c>
      <c r="T20" s="56" t="s">
        <v>42</v>
      </c>
      <c r="U20" s="62" t="s">
        <v>38</v>
      </c>
      <c r="V20" s="78" t="s">
        <v>33</v>
      </c>
      <c r="W20" s="79" t="s">
        <v>33</v>
      </c>
      <c r="X20" s="79" t="s">
        <v>33</v>
      </c>
      <c r="Y20" s="56" t="s">
        <v>42</v>
      </c>
      <c r="Z20" s="56" t="s">
        <v>42</v>
      </c>
      <c r="AA20" s="56" t="s">
        <v>42</v>
      </c>
      <c r="AB20" s="56" t="s">
        <v>42</v>
      </c>
      <c r="AC20" s="56" t="s">
        <v>42</v>
      </c>
      <c r="AD20" s="56" t="s">
        <v>42</v>
      </c>
      <c r="AE20" s="40" t="s">
        <v>61</v>
      </c>
      <c r="AF20" s="79" t="s">
        <v>33</v>
      </c>
      <c r="AG20" s="80">
        <f>AH20+AI20+AJ20</f>
        <v>1</v>
      </c>
      <c r="AH20" s="82"/>
      <c r="AI20" s="82">
        <v>1</v>
      </c>
      <c r="AJ20" s="82"/>
      <c r="AK20" s="83" t="s">
        <v>51</v>
      </c>
      <c r="AL20" s="101">
        <f t="shared" si="7"/>
        <v>18</v>
      </c>
      <c r="AM20" s="101">
        <f t="shared" si="8"/>
        <v>11</v>
      </c>
      <c r="AN20" s="101">
        <f t="shared" si="9"/>
        <v>0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97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4">
        <v>45656</v>
      </c>
      <c r="B21" s="78">
        <v>1600</v>
      </c>
      <c r="C21" s="78"/>
      <c r="D21" s="76">
        <f>(SUM(粮草!A21:X21)+AG21*10*IF(AK21="是",$BB$4,$BB$3))</f>
        <v>1616</v>
      </c>
      <c r="E21" s="90">
        <f>SUM($B$4:B21)+SUM($C$4:C21)-SUM($D$4:D21)</f>
        <v>18</v>
      </c>
      <c r="F21" s="89">
        <f>SUM(经验!A21:X21)</f>
        <v>1025</v>
      </c>
      <c r="G21" s="76">
        <f>SUM($F$4:F21)+SUM($H$4:H21)</f>
        <v>15805</v>
      </c>
      <c r="H21" s="78">
        <v>200</v>
      </c>
      <c r="I21" s="57" t="s">
        <v>43</v>
      </c>
      <c r="J21" s="57" t="s">
        <v>43</v>
      </c>
      <c r="K21" s="57" t="s">
        <v>43</v>
      </c>
      <c r="L21" s="57" t="s">
        <v>43</v>
      </c>
      <c r="M21" s="57" t="s">
        <v>43</v>
      </c>
      <c r="N21" s="57" t="s">
        <v>43</v>
      </c>
      <c r="O21" s="79" t="s">
        <v>33</v>
      </c>
      <c r="P21" s="79" t="s">
        <v>33</v>
      </c>
      <c r="Q21" s="78" t="s">
        <v>33</v>
      </c>
      <c r="R21" s="78" t="s">
        <v>33</v>
      </c>
      <c r="S21" s="78" t="s">
        <v>33</v>
      </c>
      <c r="T21" s="78" t="s">
        <v>33</v>
      </c>
      <c r="U21" s="78" t="s">
        <v>33</v>
      </c>
      <c r="V21" s="78" t="s">
        <v>33</v>
      </c>
      <c r="W21" s="79" t="s">
        <v>33</v>
      </c>
      <c r="X21" s="79" t="s">
        <v>33</v>
      </c>
      <c r="Y21" s="56" t="s">
        <v>42</v>
      </c>
      <c r="Z21" s="56" t="s">
        <v>42</v>
      </c>
      <c r="AA21" s="56" t="s">
        <v>42</v>
      </c>
      <c r="AB21" s="65" t="s">
        <v>53</v>
      </c>
      <c r="AC21" s="78" t="s">
        <v>33</v>
      </c>
      <c r="AD21" s="78" t="s">
        <v>33</v>
      </c>
      <c r="AE21" s="79" t="s">
        <v>33</v>
      </c>
      <c r="AF21" s="79" t="s">
        <v>33</v>
      </c>
      <c r="AG21" s="80">
        <f>AH21+AI21+AJ21</f>
        <v>0</v>
      </c>
      <c r="AH21" s="82"/>
      <c r="AI21" s="82"/>
      <c r="AJ21" s="82"/>
      <c r="AK21" s="83" t="s">
        <v>51</v>
      </c>
      <c r="AL21" s="101">
        <f t="shared" si="7"/>
        <v>12</v>
      </c>
      <c r="AM21" s="101">
        <f t="shared" si="8"/>
        <v>17</v>
      </c>
      <c r="AN21" s="101">
        <f t="shared" si="9"/>
        <v>2</v>
      </c>
      <c r="AO21" s="67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97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4">
        <v>45657</v>
      </c>
      <c r="B22" s="78">
        <v>1600</v>
      </c>
      <c r="C22" s="78"/>
      <c r="D22" s="76">
        <f>(SUM(粮草!A22:X22)+AG22*10*IF(AK22="是",$BB$4,$BB$3))</f>
        <v>1404</v>
      </c>
      <c r="E22" s="90">
        <f>SUM($B$4:B22)+SUM($C$4:C22)-SUM($D$4:D22)</f>
        <v>214</v>
      </c>
      <c r="F22" s="89">
        <f>SUM(经验!A22:X22)</f>
        <v>660</v>
      </c>
      <c r="G22" s="76">
        <f>SUM($F$4:F22)+SUM($H$4:H22)</f>
        <v>16565</v>
      </c>
      <c r="H22" s="78">
        <v>100</v>
      </c>
      <c r="I22" s="78" t="s">
        <v>33</v>
      </c>
      <c r="J22" s="78" t="s">
        <v>33</v>
      </c>
      <c r="K22" s="78" t="s">
        <v>33</v>
      </c>
      <c r="L22" s="78" t="s">
        <v>33</v>
      </c>
      <c r="M22" s="78" t="s">
        <v>33</v>
      </c>
      <c r="N22" s="78" t="s">
        <v>33</v>
      </c>
      <c r="O22" s="79" t="s">
        <v>33</v>
      </c>
      <c r="P22" s="79" t="s">
        <v>33</v>
      </c>
      <c r="Q22" s="56" t="s">
        <v>42</v>
      </c>
      <c r="R22" s="56" t="s">
        <v>42</v>
      </c>
      <c r="S22" s="56" t="s">
        <v>42</v>
      </c>
      <c r="T22" s="56" t="s">
        <v>42</v>
      </c>
      <c r="U22" s="63" t="s">
        <v>45</v>
      </c>
      <c r="V22" s="56" t="s">
        <v>42</v>
      </c>
      <c r="W22" s="56" t="s">
        <v>42</v>
      </c>
      <c r="X22" s="56" t="s">
        <v>42</v>
      </c>
      <c r="Y22" s="56" t="s">
        <v>42</v>
      </c>
      <c r="Z22" s="56" t="s">
        <v>42</v>
      </c>
      <c r="AA22" s="56" t="s">
        <v>42</v>
      </c>
      <c r="AB22" s="56" t="s">
        <v>42</v>
      </c>
      <c r="AC22" s="56" t="s">
        <v>42</v>
      </c>
      <c r="AD22" s="63" t="s">
        <v>45</v>
      </c>
      <c r="AE22" s="79" t="s">
        <v>33</v>
      </c>
      <c r="AF22" s="79" t="s">
        <v>33</v>
      </c>
      <c r="AG22" s="80">
        <f t="shared" si="6"/>
        <v>0</v>
      </c>
      <c r="AH22" s="82"/>
      <c r="AI22" s="82"/>
      <c r="AJ22" s="82"/>
      <c r="AK22" s="83" t="s">
        <v>51</v>
      </c>
      <c r="AL22" s="101">
        <f t="shared" si="7"/>
        <v>18</v>
      </c>
      <c r="AM22" s="101">
        <f t="shared" si="8"/>
        <v>12</v>
      </c>
      <c r="AN22" s="101">
        <f t="shared" si="9"/>
        <v>4</v>
      </c>
      <c r="AO22" s="64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1</v>
      </c>
      <c r="AV22" s="97">
        <f t="shared" si="10"/>
        <v>2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1000</v>
      </c>
      <c r="BD22">
        <f t="shared" si="5"/>
        <v>200</v>
      </c>
      <c r="BE22" s="29"/>
    </row>
    <row r="23" spans="1:57">
      <c r="A23" s="84">
        <v>45658</v>
      </c>
      <c r="B23" s="78">
        <v>1600</v>
      </c>
      <c r="C23" s="78">
        <v>40</v>
      </c>
      <c r="D23" s="76">
        <f>(SUM(粮草!A23:X23)+AG23*10*IF(AK23="是",$BB$4,$BB$3))</f>
        <v>1816</v>
      </c>
      <c r="E23" s="90">
        <f>SUM($B$4:B23)+SUM($C$4:C23)-SUM($D$4:D23)</f>
        <v>38</v>
      </c>
      <c r="F23" s="89">
        <f>SUM(经验!A23:X23)</f>
        <v>1545</v>
      </c>
      <c r="G23" s="76">
        <f>SUM($F$4:F23)+SUM($H$4:H23)</f>
        <v>18310</v>
      </c>
      <c r="H23" s="78">
        <v>200</v>
      </c>
      <c r="I23" s="57" t="s">
        <v>43</v>
      </c>
      <c r="J23" s="64" t="s">
        <v>52</v>
      </c>
      <c r="K23" s="78" t="s">
        <v>33</v>
      </c>
      <c r="L23" s="78" t="s">
        <v>33</v>
      </c>
      <c r="M23" s="78" t="s">
        <v>33</v>
      </c>
      <c r="N23" s="78" t="s">
        <v>33</v>
      </c>
      <c r="O23" s="79" t="s">
        <v>33</v>
      </c>
      <c r="P23" s="79" t="s">
        <v>33</v>
      </c>
      <c r="Q23" s="55" t="s">
        <v>41</v>
      </c>
      <c r="R23" s="60" t="s">
        <v>47</v>
      </c>
      <c r="S23" s="55" t="s">
        <v>41</v>
      </c>
      <c r="T23" s="55" t="s">
        <v>41</v>
      </c>
      <c r="U23" s="78" t="s">
        <v>33</v>
      </c>
      <c r="V23" s="78" t="s">
        <v>33</v>
      </c>
      <c r="W23" s="79" t="s">
        <v>33</v>
      </c>
      <c r="X23" s="79" t="s">
        <v>33</v>
      </c>
      <c r="Y23" s="53" t="s">
        <v>36</v>
      </c>
      <c r="Z23" s="53" t="s">
        <v>36</v>
      </c>
      <c r="AA23" s="52" t="s">
        <v>32</v>
      </c>
      <c r="AB23" s="52" t="s">
        <v>32</v>
      </c>
      <c r="AC23" s="62" t="s">
        <v>38</v>
      </c>
      <c r="AD23" s="52" t="s">
        <v>32</v>
      </c>
      <c r="AE23" s="52" t="s">
        <v>32</v>
      </c>
      <c r="AF23" s="52" t="s">
        <v>32</v>
      </c>
      <c r="AG23" s="80">
        <f t="shared" si="6"/>
        <v>1</v>
      </c>
      <c r="AH23" s="82">
        <v>1</v>
      </c>
      <c r="AI23" s="82"/>
      <c r="AJ23" s="82"/>
      <c r="AK23" s="83" t="s">
        <v>51</v>
      </c>
      <c r="AL23" s="101">
        <f t="shared" si="7"/>
        <v>16</v>
      </c>
      <c r="AM23" s="101">
        <f t="shared" si="8"/>
        <v>14</v>
      </c>
      <c r="AN23" s="101">
        <f t="shared" si="9"/>
        <v>2</v>
      </c>
      <c r="AO23" s="65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97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84">
        <v>45659</v>
      </c>
      <c r="B24" s="78">
        <v>1600</v>
      </c>
      <c r="C24" s="78"/>
      <c r="D24" s="76">
        <f>(SUM(粮草!A24:X24)+AG24*10*IF(AK24="是",$BB$4,$BB$3))</f>
        <v>1372</v>
      </c>
      <c r="E24" s="104">
        <f>SUM($B$4:B24)+SUM($C$4:C24)-SUM($D$4:D24)</f>
        <v>266</v>
      </c>
      <c r="F24" s="89">
        <f>SUM(经验!A24:X24)</f>
        <v>605</v>
      </c>
      <c r="G24" s="76">
        <f>SUM($F$4:F24)+SUM($H$4:H24)</f>
        <v>18915</v>
      </c>
      <c r="H24" s="78">
        <v>0</v>
      </c>
      <c r="I24" s="78" t="s">
        <v>33</v>
      </c>
      <c r="J24" s="78" t="s">
        <v>33</v>
      </c>
      <c r="K24" s="78" t="s">
        <v>33</v>
      </c>
      <c r="L24" s="78" t="s">
        <v>33</v>
      </c>
      <c r="M24" s="78" t="s">
        <v>33</v>
      </c>
      <c r="N24" s="78" t="s">
        <v>33</v>
      </c>
      <c r="O24" s="79" t="s">
        <v>33</v>
      </c>
      <c r="P24" s="79" t="s">
        <v>33</v>
      </c>
      <c r="Q24" s="55" t="s">
        <v>41</v>
      </c>
      <c r="R24" s="55" t="s">
        <v>41</v>
      </c>
      <c r="S24" s="55" t="s">
        <v>41</v>
      </c>
      <c r="T24" s="55" t="s">
        <v>41</v>
      </c>
      <c r="U24" s="55" t="s">
        <v>41</v>
      </c>
      <c r="V24" s="55" t="s">
        <v>41</v>
      </c>
      <c r="W24" s="55" t="s">
        <v>41</v>
      </c>
      <c r="X24" s="63" t="s">
        <v>45</v>
      </c>
      <c r="Y24" s="52" t="s">
        <v>32</v>
      </c>
      <c r="Z24" s="52" t="s">
        <v>32</v>
      </c>
      <c r="AA24" s="52" t="s">
        <v>32</v>
      </c>
      <c r="AB24" s="62" t="s">
        <v>38</v>
      </c>
      <c r="AC24" s="53" t="s">
        <v>36</v>
      </c>
      <c r="AD24" s="53" t="s">
        <v>36</v>
      </c>
      <c r="AE24" s="53" t="s">
        <v>36</v>
      </c>
      <c r="AF24" s="63" t="s">
        <v>45</v>
      </c>
      <c r="AG24" s="80">
        <f t="shared" si="6"/>
        <v>0</v>
      </c>
      <c r="AH24" s="82"/>
      <c r="AI24" s="82"/>
      <c r="AJ24" s="82"/>
      <c r="AK24" s="83" t="s">
        <v>51</v>
      </c>
      <c r="AL24" s="101">
        <f t="shared" si="7"/>
        <v>18</v>
      </c>
      <c r="AM24" s="101">
        <f t="shared" si="8"/>
        <v>12</v>
      </c>
      <c r="AN24" s="101">
        <f t="shared" si="9"/>
        <v>2</v>
      </c>
      <c r="AO24" s="67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97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75">
        <v>45660</v>
      </c>
      <c r="B25" s="78">
        <v>1600</v>
      </c>
      <c r="C25" s="78"/>
      <c r="D25" s="76">
        <f>(SUM(粮草!A25:X25)+AG25*10*IF(AK25="是",$BB$4,$BB$3))</f>
        <v>1824</v>
      </c>
      <c r="E25" s="90">
        <f>SUM($B$4:B25)+SUM($C$4:C25)-SUM($D$4:D25)</f>
        <v>42</v>
      </c>
      <c r="F25" s="89">
        <f>SUM(经验!A25:X25)</f>
        <v>660</v>
      </c>
      <c r="G25" s="76">
        <f>SUM($F$4:F25)+SUM($H$4:H25)</f>
        <v>19575</v>
      </c>
      <c r="H25" s="78">
        <v>0</v>
      </c>
      <c r="I25" s="57" t="s">
        <v>43</v>
      </c>
      <c r="J25" s="57" t="s">
        <v>43</v>
      </c>
      <c r="K25" s="57" t="s">
        <v>43</v>
      </c>
      <c r="L25" s="57" t="s">
        <v>43</v>
      </c>
      <c r="M25" s="57" t="s">
        <v>43</v>
      </c>
      <c r="N25" s="57" t="s">
        <v>43</v>
      </c>
      <c r="O25" s="79" t="s">
        <v>33</v>
      </c>
      <c r="P25" s="79" t="s">
        <v>33</v>
      </c>
      <c r="Q25" s="55" t="s">
        <v>41</v>
      </c>
      <c r="R25" s="55" t="s">
        <v>41</v>
      </c>
      <c r="S25" s="55" t="s">
        <v>41</v>
      </c>
      <c r="T25" s="55" t="s">
        <v>41</v>
      </c>
      <c r="U25" s="55" t="s">
        <v>41</v>
      </c>
      <c r="V25" s="55" t="s">
        <v>41</v>
      </c>
      <c r="W25" s="79" t="s">
        <v>33</v>
      </c>
      <c r="X25" s="79" t="s">
        <v>33</v>
      </c>
      <c r="Y25" s="78" t="s">
        <v>33</v>
      </c>
      <c r="Z25" s="78" t="s">
        <v>33</v>
      </c>
      <c r="AA25" s="78" t="s">
        <v>33</v>
      </c>
      <c r="AB25" s="78" t="s">
        <v>33</v>
      </c>
      <c r="AC25" s="78" t="s">
        <v>33</v>
      </c>
      <c r="AD25" s="78" t="s">
        <v>33</v>
      </c>
      <c r="AE25" s="79" t="s">
        <v>33</v>
      </c>
      <c r="AF25" s="79" t="s">
        <v>33</v>
      </c>
      <c r="AG25" s="80">
        <f t="shared" si="6"/>
        <v>0</v>
      </c>
      <c r="AH25" s="82"/>
      <c r="AI25" s="82"/>
      <c r="AJ25" s="82"/>
      <c r="AK25" s="83" t="s">
        <v>51</v>
      </c>
      <c r="AL25" s="101">
        <f t="shared" si="7"/>
        <v>12</v>
      </c>
      <c r="AM25" s="101">
        <f t="shared" si="8"/>
        <v>12</v>
      </c>
      <c r="AN25" s="101">
        <f t="shared" si="9"/>
        <v>8</v>
      </c>
      <c r="AO25" s="66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97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75">
        <v>45661</v>
      </c>
      <c r="B26" s="78">
        <v>1600</v>
      </c>
      <c r="C26" s="78"/>
      <c r="D26" s="76">
        <f>(SUM(粮草!A26:X26)+AG26*10*IF(AK26="是",$BB$4,$BB$3))</f>
        <v>864</v>
      </c>
      <c r="E26" s="90">
        <f>SUM($B$4:B26)+SUM($C$4:C26)-SUM($D$4:D26)</f>
        <v>778</v>
      </c>
      <c r="F26" s="89">
        <f>SUM(经验!A26:X26)</f>
        <v>300</v>
      </c>
      <c r="G26" s="76">
        <f>SUM($F$4:F26)+SUM($H$4:H26)</f>
        <v>19875</v>
      </c>
      <c r="H26" s="78">
        <v>0</v>
      </c>
      <c r="I26" s="78" t="s">
        <v>33</v>
      </c>
      <c r="J26" s="78" t="s">
        <v>33</v>
      </c>
      <c r="K26" s="78" t="s">
        <v>33</v>
      </c>
      <c r="L26" s="78" t="s">
        <v>33</v>
      </c>
      <c r="M26" s="78" t="s">
        <v>33</v>
      </c>
      <c r="N26" s="78" t="s">
        <v>33</v>
      </c>
      <c r="O26" s="79" t="s">
        <v>33</v>
      </c>
      <c r="P26" s="79" t="s">
        <v>33</v>
      </c>
      <c r="Q26" s="55" t="s">
        <v>41</v>
      </c>
      <c r="R26" s="55" t="s">
        <v>41</v>
      </c>
      <c r="S26" s="55" t="s">
        <v>41</v>
      </c>
      <c r="T26" s="55" t="s">
        <v>41</v>
      </c>
      <c r="U26" s="55" t="s">
        <v>41</v>
      </c>
      <c r="V26" s="55" t="s">
        <v>41</v>
      </c>
      <c r="W26" s="79" t="s">
        <v>33</v>
      </c>
      <c r="X26" s="79" t="s">
        <v>33</v>
      </c>
      <c r="Y26" s="78" t="s">
        <v>33</v>
      </c>
      <c r="Z26" s="78" t="s">
        <v>33</v>
      </c>
      <c r="AA26" s="78" t="s">
        <v>33</v>
      </c>
      <c r="AB26" s="78" t="s">
        <v>33</v>
      </c>
      <c r="AC26" s="78" t="s">
        <v>33</v>
      </c>
      <c r="AD26" s="78" t="s">
        <v>33</v>
      </c>
      <c r="AE26" s="79" t="s">
        <v>33</v>
      </c>
      <c r="AF26" s="79" t="s">
        <v>33</v>
      </c>
      <c r="AG26" s="80">
        <f t="shared" si="6"/>
        <v>0</v>
      </c>
      <c r="AH26" s="82"/>
      <c r="AI26" s="82"/>
      <c r="AJ26" s="82"/>
      <c r="AK26" s="83" t="s">
        <v>51</v>
      </c>
      <c r="AL26" s="101">
        <f t="shared" si="7"/>
        <v>18</v>
      </c>
      <c r="AM26" s="101">
        <f t="shared" si="8"/>
        <v>12</v>
      </c>
      <c r="AN26" s="101">
        <f t="shared" si="9"/>
        <v>14</v>
      </c>
      <c r="AO26" s="66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97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75">
        <v>45662</v>
      </c>
      <c r="B27" s="78">
        <v>1600</v>
      </c>
      <c r="C27" s="78"/>
      <c r="D27" s="76">
        <f>(SUM(粮草!A27:X27)+AG27*10*IF(AK27="是",$BB$4,$BB$3))</f>
        <v>1824</v>
      </c>
      <c r="E27" s="90">
        <f>SUM($B$4:B27)+SUM($C$4:C27)-SUM($D$4:D27)</f>
        <v>554</v>
      </c>
      <c r="F27" s="89">
        <f>SUM(经验!A27:X27)</f>
        <v>660</v>
      </c>
      <c r="G27" s="76">
        <f>SUM($F$4:F27)+SUM($H$4:H27)</f>
        <v>20535</v>
      </c>
      <c r="H27" s="78">
        <v>0</v>
      </c>
      <c r="I27" s="57" t="s">
        <v>43</v>
      </c>
      <c r="J27" s="57" t="s">
        <v>43</v>
      </c>
      <c r="K27" s="57" t="s">
        <v>43</v>
      </c>
      <c r="L27" s="57" t="s">
        <v>43</v>
      </c>
      <c r="M27" s="57" t="s">
        <v>43</v>
      </c>
      <c r="N27" s="57" t="s">
        <v>43</v>
      </c>
      <c r="O27" s="79" t="s">
        <v>33</v>
      </c>
      <c r="P27" s="79" t="s">
        <v>33</v>
      </c>
      <c r="Q27" s="55" t="s">
        <v>41</v>
      </c>
      <c r="R27" s="55" t="s">
        <v>41</v>
      </c>
      <c r="S27" s="55" t="s">
        <v>41</v>
      </c>
      <c r="T27" s="55" t="s">
        <v>41</v>
      </c>
      <c r="U27" s="55" t="s">
        <v>41</v>
      </c>
      <c r="V27" s="55" t="s">
        <v>41</v>
      </c>
      <c r="W27" s="79" t="s">
        <v>33</v>
      </c>
      <c r="X27" s="79" t="s">
        <v>33</v>
      </c>
      <c r="Y27" s="78" t="s">
        <v>33</v>
      </c>
      <c r="Z27" s="78" t="s">
        <v>33</v>
      </c>
      <c r="AA27" s="78" t="s">
        <v>33</v>
      </c>
      <c r="AB27" s="78" t="s">
        <v>33</v>
      </c>
      <c r="AC27" s="78" t="s">
        <v>33</v>
      </c>
      <c r="AD27" s="78" t="s">
        <v>33</v>
      </c>
      <c r="AE27" s="79" t="s">
        <v>33</v>
      </c>
      <c r="AF27" s="79" t="s">
        <v>33</v>
      </c>
      <c r="AG27" s="80">
        <f t="shared" si="6"/>
        <v>0</v>
      </c>
      <c r="AH27" s="82"/>
      <c r="AI27" s="82"/>
      <c r="AJ27" s="82"/>
      <c r="AK27" s="83" t="s">
        <v>51</v>
      </c>
      <c r="AL27" s="101">
        <f t="shared" si="7"/>
        <v>12</v>
      </c>
      <c r="AM27" s="101">
        <f t="shared" si="8"/>
        <v>12</v>
      </c>
      <c r="AN27" s="101">
        <f t="shared" si="9"/>
        <v>18</v>
      </c>
      <c r="AO27" s="67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97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75">
        <v>45663</v>
      </c>
      <c r="B28" s="76">
        <v>1600</v>
      </c>
      <c r="C28" s="77"/>
      <c r="D28" s="76">
        <f>(SUM(粮草!A28:X28)+AG28*10*IF(AK28="是",$BB$4,$BB$3))</f>
        <v>1600</v>
      </c>
      <c r="E28" s="90">
        <f>SUM($B$4:B28)+SUM($C$4:C28)-SUM($D$4:D28)</f>
        <v>554</v>
      </c>
      <c r="F28" s="89">
        <f>SUM(经验!A28:X28)</f>
        <v>610</v>
      </c>
      <c r="G28" s="76">
        <f>SUM($F$4:F28)+SUM($H$4:H28)</f>
        <v>21345</v>
      </c>
      <c r="H28" s="76">
        <v>200</v>
      </c>
      <c r="I28" s="57" t="s">
        <v>43</v>
      </c>
      <c r="J28" s="57" t="s">
        <v>43</v>
      </c>
      <c r="K28" s="57" t="s">
        <v>43</v>
      </c>
      <c r="L28" s="62" t="s">
        <v>38</v>
      </c>
      <c r="M28" s="57" t="s">
        <v>43</v>
      </c>
      <c r="N28" s="57" t="s">
        <v>43</v>
      </c>
      <c r="O28" s="79" t="s">
        <v>33</v>
      </c>
      <c r="P28" s="79" t="s">
        <v>33</v>
      </c>
      <c r="Q28" s="55" t="s">
        <v>41</v>
      </c>
      <c r="R28" s="62" t="s">
        <v>38</v>
      </c>
      <c r="S28" s="55" t="s">
        <v>41</v>
      </c>
      <c r="T28" s="55" t="s">
        <v>41</v>
      </c>
      <c r="U28" s="55" t="s">
        <v>41</v>
      </c>
      <c r="V28" s="55" t="s">
        <v>41</v>
      </c>
      <c r="W28" s="79" t="s">
        <v>33</v>
      </c>
      <c r="X28" s="79" t="s">
        <v>33</v>
      </c>
      <c r="Y28" s="78" t="s">
        <v>33</v>
      </c>
      <c r="Z28" s="78" t="s">
        <v>33</v>
      </c>
      <c r="AA28" s="78" t="s">
        <v>33</v>
      </c>
      <c r="AB28" s="78" t="s">
        <v>33</v>
      </c>
      <c r="AC28" s="78" t="s">
        <v>33</v>
      </c>
      <c r="AD28" s="78" t="s">
        <v>33</v>
      </c>
      <c r="AE28" s="79" t="s">
        <v>33</v>
      </c>
      <c r="AF28" s="79" t="s">
        <v>33</v>
      </c>
      <c r="AG28" s="80">
        <f t="shared" si="6"/>
        <v>0</v>
      </c>
      <c r="AH28" s="82"/>
      <c r="AI28" s="82"/>
      <c r="AJ28" s="82"/>
      <c r="AK28" s="83" t="s">
        <v>51</v>
      </c>
      <c r="AL28" s="101">
        <f t="shared" si="7"/>
        <v>12</v>
      </c>
      <c r="AM28" s="101">
        <f t="shared" si="8"/>
        <v>12</v>
      </c>
      <c r="AN28" s="101">
        <f t="shared" si="9"/>
        <v>18</v>
      </c>
      <c r="AO28" s="67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97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75">
        <v>45664</v>
      </c>
      <c r="B29" s="76">
        <v>1600</v>
      </c>
      <c r="C29" s="77"/>
      <c r="D29" s="76">
        <f>(SUM(粮草!A29:X29)+AG29*10*IF(AK29="是",$BB$4,$BB$3))</f>
        <v>1848</v>
      </c>
      <c r="E29" s="90">
        <f>SUM($B$4:B29)+SUM($C$4:C29)-SUM($D$4:D29)</f>
        <v>306</v>
      </c>
      <c r="F29" s="89">
        <f>SUM(经验!A29:X29)</f>
        <v>675</v>
      </c>
      <c r="G29" s="76">
        <f>SUM($F$4:F29)+SUM($H$4:H29)</f>
        <v>22120</v>
      </c>
      <c r="H29" s="76">
        <v>100</v>
      </c>
      <c r="I29" s="57" t="s">
        <v>43</v>
      </c>
      <c r="J29" s="57" t="s">
        <v>43</v>
      </c>
      <c r="K29" s="57" t="s">
        <v>43</v>
      </c>
      <c r="L29" s="57" t="s">
        <v>43</v>
      </c>
      <c r="M29" s="57" t="s">
        <v>43</v>
      </c>
      <c r="N29" s="57" t="s">
        <v>43</v>
      </c>
      <c r="O29" s="79" t="s">
        <v>33</v>
      </c>
      <c r="P29" s="79" t="s">
        <v>33</v>
      </c>
      <c r="Q29" s="55" t="s">
        <v>41</v>
      </c>
      <c r="R29" s="55" t="s">
        <v>41</v>
      </c>
      <c r="S29" s="55" t="s">
        <v>41</v>
      </c>
      <c r="T29" s="56" t="s">
        <v>42</v>
      </c>
      <c r="U29" s="56" t="s">
        <v>42</v>
      </c>
      <c r="V29" s="56" t="s">
        <v>42</v>
      </c>
      <c r="W29" s="79" t="s">
        <v>33</v>
      </c>
      <c r="X29" s="79" t="s">
        <v>33</v>
      </c>
      <c r="Y29" s="78" t="s">
        <v>33</v>
      </c>
      <c r="Z29" s="78" t="s">
        <v>33</v>
      </c>
      <c r="AA29" s="78" t="s">
        <v>33</v>
      </c>
      <c r="AB29" s="78" t="s">
        <v>33</v>
      </c>
      <c r="AC29" s="78" t="s">
        <v>33</v>
      </c>
      <c r="AD29" s="78" t="s">
        <v>33</v>
      </c>
      <c r="AE29" s="79" t="s">
        <v>33</v>
      </c>
      <c r="AF29" s="79" t="s">
        <v>33</v>
      </c>
      <c r="AG29" s="80">
        <f t="shared" si="6"/>
        <v>0</v>
      </c>
      <c r="AH29" s="82"/>
      <c r="AI29" s="82"/>
      <c r="AJ29" s="82"/>
      <c r="AK29" s="83" t="s">
        <v>51</v>
      </c>
      <c r="AL29" s="101">
        <f t="shared" si="7"/>
        <v>12</v>
      </c>
      <c r="AM29" s="101">
        <f t="shared" si="8"/>
        <v>12</v>
      </c>
      <c r="AN29" s="101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2</v>
      </c>
      <c r="AV29" s="97">
        <f>AS29+AT29+AU29</f>
        <v>3</v>
      </c>
      <c r="AW29">
        <v>1</v>
      </c>
      <c r="AX29">
        <f>AS29*$AQ29</f>
        <v>0</v>
      </c>
      <c r="AY29">
        <f>AT29*$AQ29</f>
        <v>520</v>
      </c>
      <c r="AZ29">
        <f>AU29*$AQ29</f>
        <v>1040</v>
      </c>
      <c r="BD29">
        <f>AP29*0.8</f>
        <v>40</v>
      </c>
      <c r="BE29" s="29"/>
    </row>
    <row r="30" spans="1:57">
      <c r="A30" s="75">
        <v>45665</v>
      </c>
      <c r="B30" s="76">
        <v>1600</v>
      </c>
      <c r="C30" s="77"/>
      <c r="D30" s="76">
        <f>(SUM(粮草!A30:X30)+AG30*10*IF(AK30="是",$BB$4,$BB$3))</f>
        <v>912</v>
      </c>
      <c r="E30" s="90">
        <f>SUM($B$4:B30)+SUM($C$4:C30)-SUM($D$4:D30)</f>
        <v>994</v>
      </c>
      <c r="F30" s="89">
        <f>SUM(经验!A30:X30)</f>
        <v>330</v>
      </c>
      <c r="G30" s="76">
        <f>SUM($F$4:F30)+SUM($H$4:H30)</f>
        <v>22650</v>
      </c>
      <c r="H30" s="76">
        <v>200</v>
      </c>
      <c r="I30" s="78" t="s">
        <v>33</v>
      </c>
      <c r="J30" s="78" t="s">
        <v>33</v>
      </c>
      <c r="K30" s="78" t="s">
        <v>33</v>
      </c>
      <c r="L30" s="78" t="s">
        <v>33</v>
      </c>
      <c r="M30" s="78" t="s">
        <v>33</v>
      </c>
      <c r="N30" s="78" t="s">
        <v>33</v>
      </c>
      <c r="O30" s="79" t="s">
        <v>33</v>
      </c>
      <c r="P30" s="79" t="s">
        <v>33</v>
      </c>
      <c r="Q30" s="56" t="s">
        <v>42</v>
      </c>
      <c r="R30" s="56" t="s">
        <v>42</v>
      </c>
      <c r="S30" s="56" t="s">
        <v>42</v>
      </c>
      <c r="T30" s="56" t="s">
        <v>42</v>
      </c>
      <c r="U30" s="56" t="s">
        <v>42</v>
      </c>
      <c r="V30" s="56" t="s">
        <v>42</v>
      </c>
      <c r="W30" s="79" t="s">
        <v>33</v>
      </c>
      <c r="X30" s="79" t="s">
        <v>33</v>
      </c>
      <c r="Y30" s="78" t="s">
        <v>33</v>
      </c>
      <c r="Z30" s="78" t="s">
        <v>33</v>
      </c>
      <c r="AA30" s="78" t="s">
        <v>33</v>
      </c>
      <c r="AB30" s="78" t="s">
        <v>33</v>
      </c>
      <c r="AC30" s="78" t="s">
        <v>33</v>
      </c>
      <c r="AD30" s="78" t="s">
        <v>33</v>
      </c>
      <c r="AE30" s="79" t="s">
        <v>33</v>
      </c>
      <c r="AF30" s="79" t="s">
        <v>33</v>
      </c>
      <c r="AG30" s="80">
        <f t="shared" si="6"/>
        <v>0</v>
      </c>
      <c r="AH30" s="82"/>
      <c r="AI30" s="82"/>
      <c r="AJ30" s="82"/>
      <c r="AK30" s="83" t="s">
        <v>51</v>
      </c>
      <c r="AL30" s="101">
        <f t="shared" si="7"/>
        <v>18</v>
      </c>
      <c r="AM30" s="101">
        <f t="shared" si="8"/>
        <v>12</v>
      </c>
      <c r="AN30" s="101">
        <f t="shared" si="9"/>
        <v>18</v>
      </c>
      <c r="AO30" s="20"/>
      <c r="AP30" s="20"/>
      <c r="AQ30" s="20"/>
      <c r="BE30" s="29"/>
    </row>
    <row r="31" spans="1:57">
      <c r="A31" s="75">
        <v>45666</v>
      </c>
      <c r="B31" s="76">
        <v>1600</v>
      </c>
      <c r="C31" s="77"/>
      <c r="D31" s="76">
        <f>(SUM(粮草!A31:X31)+AG31*10*IF(AK31="是",$BB$4,$BB$3))</f>
        <v>2000</v>
      </c>
      <c r="E31" s="90">
        <f>SUM($B$4:B31)+SUM($C$4:C31)-SUM($D$4:D31)</f>
        <v>594</v>
      </c>
      <c r="F31" s="89">
        <f>SUM(经验!A31:X31)</f>
        <v>750</v>
      </c>
      <c r="G31" s="76">
        <f>SUM($F$4:F31)+SUM($H$4:H31)</f>
        <v>23400</v>
      </c>
      <c r="H31" s="76">
        <v>0</v>
      </c>
      <c r="I31" s="72" t="s">
        <v>49</v>
      </c>
      <c r="J31" s="57" t="s">
        <v>43</v>
      </c>
      <c r="K31" s="57" t="s">
        <v>43</v>
      </c>
      <c r="L31" s="57" t="s">
        <v>43</v>
      </c>
      <c r="M31" s="57" t="s">
        <v>43</v>
      </c>
      <c r="N31" s="57" t="s">
        <v>43</v>
      </c>
      <c r="O31" s="57" t="s">
        <v>43</v>
      </c>
      <c r="P31" s="79" t="s">
        <v>33</v>
      </c>
      <c r="Q31" s="56" t="s">
        <v>42</v>
      </c>
      <c r="R31" s="56" t="s">
        <v>42</v>
      </c>
      <c r="S31" s="56" t="s">
        <v>42</v>
      </c>
      <c r="T31" s="56" t="s">
        <v>42</v>
      </c>
      <c r="U31" s="56" t="s">
        <v>42</v>
      </c>
      <c r="V31" s="56" t="s">
        <v>42</v>
      </c>
      <c r="W31" s="79" t="s">
        <v>33</v>
      </c>
      <c r="X31" s="79" t="s">
        <v>33</v>
      </c>
      <c r="Y31" s="78" t="s">
        <v>33</v>
      </c>
      <c r="Z31" s="78" t="s">
        <v>33</v>
      </c>
      <c r="AA31" s="78" t="s">
        <v>33</v>
      </c>
      <c r="AB31" s="78" t="s">
        <v>33</v>
      </c>
      <c r="AC31" s="78" t="s">
        <v>33</v>
      </c>
      <c r="AD31" s="78" t="s">
        <v>33</v>
      </c>
      <c r="AE31" s="79" t="s">
        <v>33</v>
      </c>
      <c r="AF31" s="79" t="s">
        <v>33</v>
      </c>
      <c r="AG31" s="80">
        <f t="shared" si="6"/>
        <v>1</v>
      </c>
      <c r="AH31" s="82">
        <v>1</v>
      </c>
      <c r="AI31" s="82"/>
      <c r="AJ31" s="82"/>
      <c r="AK31" s="83" t="s">
        <v>51</v>
      </c>
      <c r="AL31" s="101">
        <f t="shared" si="7"/>
        <v>11</v>
      </c>
      <c r="AM31" s="101">
        <f t="shared" si="8"/>
        <v>12</v>
      </c>
      <c r="AN31" s="101">
        <f t="shared" si="9"/>
        <v>18</v>
      </c>
      <c r="AO31" s="20"/>
      <c r="AP31" s="20"/>
      <c r="AQ31" s="20"/>
      <c r="BE31" s="29"/>
    </row>
    <row r="32" spans="1:57">
      <c r="A32" s="75">
        <v>45667</v>
      </c>
      <c r="B32" s="76">
        <v>1600</v>
      </c>
      <c r="C32" s="77"/>
      <c r="D32" s="76">
        <f>(SUM(粮草!A32:X32)+AG32*10*IF(AK32="是",$BB$4,$BB$3))</f>
        <v>1880</v>
      </c>
      <c r="E32" s="90">
        <f>SUM($B$4:B32)+SUM($C$4:C32)-SUM($D$4:D32)</f>
        <v>314</v>
      </c>
      <c r="F32" s="89">
        <f>SUM(经验!A32:X32)</f>
        <v>690</v>
      </c>
      <c r="G32" s="76">
        <f>SUM($F$4:F32)+SUM($H$4:H32)</f>
        <v>24090</v>
      </c>
      <c r="H32" s="76">
        <v>0</v>
      </c>
      <c r="I32" s="57" t="s">
        <v>43</v>
      </c>
      <c r="J32" s="57" t="s">
        <v>43</v>
      </c>
      <c r="K32" s="57" t="s">
        <v>43</v>
      </c>
      <c r="L32" s="57" t="s">
        <v>43</v>
      </c>
      <c r="M32" s="57" t="s">
        <v>43</v>
      </c>
      <c r="N32" s="57" t="s">
        <v>43</v>
      </c>
      <c r="O32" s="79" t="s">
        <v>33</v>
      </c>
      <c r="P32" s="79" t="s">
        <v>33</v>
      </c>
      <c r="Q32" s="56" t="s">
        <v>42</v>
      </c>
      <c r="R32" s="56" t="s">
        <v>42</v>
      </c>
      <c r="S32" s="56" t="s">
        <v>42</v>
      </c>
      <c r="T32" s="56" t="s">
        <v>42</v>
      </c>
      <c r="U32" s="56" t="s">
        <v>42</v>
      </c>
      <c r="V32" s="56" t="s">
        <v>42</v>
      </c>
      <c r="W32" s="79" t="s">
        <v>33</v>
      </c>
      <c r="X32" s="79" t="s">
        <v>33</v>
      </c>
      <c r="Y32" s="78" t="s">
        <v>33</v>
      </c>
      <c r="Z32" s="78" t="s">
        <v>33</v>
      </c>
      <c r="AA32" s="78" t="s">
        <v>33</v>
      </c>
      <c r="AB32" s="78" t="s">
        <v>33</v>
      </c>
      <c r="AC32" s="78" t="s">
        <v>33</v>
      </c>
      <c r="AD32" s="78" t="s">
        <v>33</v>
      </c>
      <c r="AE32" s="79" t="s">
        <v>33</v>
      </c>
      <c r="AF32" s="79" t="s">
        <v>33</v>
      </c>
      <c r="AG32" s="80">
        <f t="shared" si="6"/>
        <v>1</v>
      </c>
      <c r="AH32" s="82"/>
      <c r="AI32" s="82">
        <v>1</v>
      </c>
      <c r="AJ32" s="82"/>
      <c r="AK32" s="83" t="s">
        <v>51</v>
      </c>
      <c r="AL32" s="101">
        <f t="shared" si="7"/>
        <v>11</v>
      </c>
      <c r="AM32" s="101">
        <f t="shared" si="8"/>
        <v>12</v>
      </c>
      <c r="AN32" s="101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94" t="s">
        <v>76</v>
      </c>
      <c r="BE32" s="29"/>
    </row>
    <row r="33" spans="1:57">
      <c r="A33" s="75">
        <v>45668</v>
      </c>
      <c r="B33" s="76">
        <v>1600</v>
      </c>
      <c r="C33" s="77"/>
      <c r="D33" s="76">
        <f>(SUM(粮草!A33:X33)+AG33*10*IF(AK33="是",$BB$4,$BB$3))</f>
        <v>1672</v>
      </c>
      <c r="E33" s="90">
        <f>SUM($B$4:B33)+SUM($C$4:C33)-SUM($D$4:D33)</f>
        <v>242</v>
      </c>
      <c r="F33" s="89">
        <f>SUM(经验!A33:X33)</f>
        <v>605</v>
      </c>
      <c r="G33" s="76">
        <f>SUM($F$4:F33)+SUM($H$4:H33)</f>
        <v>24695</v>
      </c>
      <c r="H33" s="76">
        <v>0</v>
      </c>
      <c r="I33" s="57" t="s">
        <v>43</v>
      </c>
      <c r="J33" s="57" t="s">
        <v>43</v>
      </c>
      <c r="K33" s="57" t="s">
        <v>43</v>
      </c>
      <c r="L33" s="57" t="s">
        <v>43</v>
      </c>
      <c r="M33" s="57" t="s">
        <v>43</v>
      </c>
      <c r="N33" s="78" t="s">
        <v>33</v>
      </c>
      <c r="O33" s="79" t="s">
        <v>33</v>
      </c>
      <c r="P33" s="79" t="s">
        <v>33</v>
      </c>
      <c r="Q33" s="56" t="s">
        <v>42</v>
      </c>
      <c r="R33" s="55" t="s">
        <v>41</v>
      </c>
      <c r="S33" s="55" t="s">
        <v>41</v>
      </c>
      <c r="T33" s="55" t="s">
        <v>41</v>
      </c>
      <c r="U33" s="55" t="s">
        <v>41</v>
      </c>
      <c r="V33" s="55" t="s">
        <v>41</v>
      </c>
      <c r="W33" s="79" t="s">
        <v>33</v>
      </c>
      <c r="X33" s="79" t="s">
        <v>33</v>
      </c>
      <c r="Y33" s="78" t="s">
        <v>33</v>
      </c>
      <c r="Z33" s="78" t="s">
        <v>33</v>
      </c>
      <c r="AA33" s="78" t="s">
        <v>33</v>
      </c>
      <c r="AB33" s="78" t="s">
        <v>33</v>
      </c>
      <c r="AC33" s="78" t="s">
        <v>33</v>
      </c>
      <c r="AD33" s="78" t="s">
        <v>33</v>
      </c>
      <c r="AE33" s="79" t="s">
        <v>33</v>
      </c>
      <c r="AF33" s="79" t="s">
        <v>33</v>
      </c>
      <c r="AG33" s="80">
        <f t="shared" si="6"/>
        <v>0</v>
      </c>
      <c r="AH33" s="82"/>
      <c r="AI33" s="82"/>
      <c r="AJ33" s="82"/>
      <c r="AK33" s="83" t="s">
        <v>51</v>
      </c>
      <c r="AL33" s="101">
        <f t="shared" si="7"/>
        <v>12</v>
      </c>
      <c r="AM33" s="101">
        <f t="shared" si="8"/>
        <v>12</v>
      </c>
      <c r="AN33" s="101">
        <f t="shared" si="9"/>
        <v>18</v>
      </c>
      <c r="AO33" s="54" t="s">
        <v>39</v>
      </c>
      <c r="AP33" s="20">
        <v>209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75">
        <v>45669</v>
      </c>
      <c r="B34" s="76">
        <v>1600</v>
      </c>
      <c r="C34" s="77"/>
      <c r="D34" s="76">
        <f>(SUM(粮草!A34:X34)+AG34*10*IF(AK34="是",$BB$4,$BB$3))</f>
        <v>1832</v>
      </c>
      <c r="E34" s="90">
        <f>SUM($B$4:B34)+SUM($C$4:C34)-SUM($D$4:D34)</f>
        <v>10</v>
      </c>
      <c r="F34" s="89">
        <f>SUM(经验!A34:X34)</f>
        <v>665</v>
      </c>
      <c r="G34" s="76">
        <f>SUM($F$4:F34)+SUM($H$4:H34)</f>
        <v>25360</v>
      </c>
      <c r="H34" s="76">
        <v>0</v>
      </c>
      <c r="I34" s="57" t="s">
        <v>43</v>
      </c>
      <c r="J34" s="57" t="s">
        <v>43</v>
      </c>
      <c r="K34" s="57" t="s">
        <v>43</v>
      </c>
      <c r="L34" s="57" t="s">
        <v>43</v>
      </c>
      <c r="M34" s="57" t="s">
        <v>43</v>
      </c>
      <c r="N34" s="57" t="s">
        <v>43</v>
      </c>
      <c r="O34" s="79" t="s">
        <v>33</v>
      </c>
      <c r="P34" s="79" t="s">
        <v>33</v>
      </c>
      <c r="Q34" s="55" t="s">
        <v>41</v>
      </c>
      <c r="R34" s="55" t="s">
        <v>41</v>
      </c>
      <c r="S34" s="55" t="s">
        <v>41</v>
      </c>
      <c r="T34" s="55" t="s">
        <v>41</v>
      </c>
      <c r="U34" s="55" t="s">
        <v>41</v>
      </c>
      <c r="V34" s="56" t="s">
        <v>42</v>
      </c>
      <c r="W34" s="79" t="s">
        <v>33</v>
      </c>
      <c r="X34" s="79" t="s">
        <v>33</v>
      </c>
      <c r="Y34" s="78" t="s">
        <v>33</v>
      </c>
      <c r="Z34" s="78" t="s">
        <v>33</v>
      </c>
      <c r="AA34" s="78" t="s">
        <v>33</v>
      </c>
      <c r="AB34" s="78" t="s">
        <v>33</v>
      </c>
      <c r="AC34" s="78" t="s">
        <v>33</v>
      </c>
      <c r="AD34" s="78" t="s">
        <v>33</v>
      </c>
      <c r="AE34" s="79" t="s">
        <v>33</v>
      </c>
      <c r="AF34" s="79" t="s">
        <v>33</v>
      </c>
      <c r="AG34" s="80">
        <f t="shared" si="6"/>
        <v>0</v>
      </c>
      <c r="AH34" s="82"/>
      <c r="AI34" s="82"/>
      <c r="AJ34" s="82"/>
      <c r="AK34" s="83" t="s">
        <v>51</v>
      </c>
      <c r="AL34" s="101">
        <f t="shared" si="7"/>
        <v>12</v>
      </c>
      <c r="AM34" s="101">
        <f t="shared" si="8"/>
        <v>12</v>
      </c>
      <c r="AN34" s="101">
        <f t="shared" si="9"/>
        <v>18</v>
      </c>
      <c r="AO34" s="55" t="s">
        <v>41</v>
      </c>
      <c r="AP34" s="20">
        <v>276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75">
        <v>45670</v>
      </c>
      <c r="B35" s="78">
        <v>1600</v>
      </c>
      <c r="C35" s="78"/>
      <c r="D35" s="76">
        <f>(SUM(粮草!A35:X35)+AG35*10*IF(AK35="是",$BB$4,$BB$3))</f>
        <v>1528</v>
      </c>
      <c r="E35" s="90">
        <f>SUM($B$4:B35)+SUM($C$4:C35)-SUM($D$4:D35)</f>
        <v>82</v>
      </c>
      <c r="F35" s="89">
        <f>SUM(经验!A35:X35)</f>
        <v>550</v>
      </c>
      <c r="G35" s="76">
        <f>SUM($F$4:F35)+SUM($H$4:H35)</f>
        <v>26110</v>
      </c>
      <c r="H35" s="78">
        <v>200</v>
      </c>
      <c r="I35" s="57" t="s">
        <v>43</v>
      </c>
      <c r="J35" s="55" t="s">
        <v>41</v>
      </c>
      <c r="K35" s="55" t="s">
        <v>41</v>
      </c>
      <c r="L35" s="57" t="s">
        <v>43</v>
      </c>
      <c r="M35" s="78" t="s">
        <v>33</v>
      </c>
      <c r="N35" s="78" t="s">
        <v>33</v>
      </c>
      <c r="O35" s="79" t="s">
        <v>33</v>
      </c>
      <c r="P35" s="79" t="s">
        <v>33</v>
      </c>
      <c r="Q35" s="56" t="s">
        <v>42</v>
      </c>
      <c r="R35" s="56" t="s">
        <v>42</v>
      </c>
      <c r="S35" s="56" t="s">
        <v>42</v>
      </c>
      <c r="T35" s="56" t="s">
        <v>42</v>
      </c>
      <c r="U35" s="56" t="s">
        <v>42</v>
      </c>
      <c r="V35" s="56" t="s">
        <v>42</v>
      </c>
      <c r="W35" s="79" t="s">
        <v>33</v>
      </c>
      <c r="X35" s="79" t="s">
        <v>33</v>
      </c>
      <c r="Y35" s="78" t="s">
        <v>33</v>
      </c>
      <c r="Z35" s="78" t="s">
        <v>33</v>
      </c>
      <c r="AA35" s="78" t="s">
        <v>33</v>
      </c>
      <c r="AB35" s="78" t="s">
        <v>33</v>
      </c>
      <c r="AC35" s="78" t="s">
        <v>33</v>
      </c>
      <c r="AD35" s="78" t="s">
        <v>33</v>
      </c>
      <c r="AE35" s="79" t="s">
        <v>33</v>
      </c>
      <c r="AF35" s="79" t="s">
        <v>33</v>
      </c>
      <c r="AG35" s="80">
        <f t="shared" si="6"/>
        <v>1</v>
      </c>
      <c r="AH35" s="82"/>
      <c r="AI35" s="82">
        <v>1</v>
      </c>
      <c r="AJ35" s="82"/>
      <c r="AK35" s="83" t="s">
        <v>51</v>
      </c>
      <c r="AL35" s="101">
        <f t="shared" si="7"/>
        <v>14</v>
      </c>
      <c r="AM35" s="101">
        <f t="shared" si="8"/>
        <v>12</v>
      </c>
      <c r="AN35" s="101">
        <f t="shared" si="9"/>
        <v>18</v>
      </c>
      <c r="AO35" s="56" t="s">
        <v>42</v>
      </c>
      <c r="AP35" s="20">
        <v>234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75">
        <v>45671</v>
      </c>
      <c r="B36" s="78">
        <v>1600</v>
      </c>
      <c r="C36" s="78"/>
      <c r="D36" s="76">
        <f>(SUM(粮草!A36:X36)+AG36*10*IF(AK36="是",$BB$4,$BB$3))</f>
        <v>1560</v>
      </c>
      <c r="E36" s="90">
        <f>SUM($B$4:B36)+SUM($C$4:C36)-SUM($D$4:D36)</f>
        <v>122</v>
      </c>
      <c r="F36" s="89">
        <f>SUM(经验!A36:X36)</f>
        <v>555</v>
      </c>
      <c r="G36" s="76">
        <f>SUM($F$4:F36)+SUM($H$4:H36)</f>
        <v>26765</v>
      </c>
      <c r="H36" s="78">
        <v>100</v>
      </c>
      <c r="I36" s="54" t="s">
        <v>39</v>
      </c>
      <c r="J36" s="54" t="s">
        <v>39</v>
      </c>
      <c r="K36" s="54" t="s">
        <v>39</v>
      </c>
      <c r="L36" s="54" t="s">
        <v>39</v>
      </c>
      <c r="M36" s="54" t="s">
        <v>39</v>
      </c>
      <c r="N36" s="78" t="s">
        <v>33</v>
      </c>
      <c r="O36" s="79" t="s">
        <v>33</v>
      </c>
      <c r="P36" s="79" t="s">
        <v>33</v>
      </c>
      <c r="Q36" s="56" t="s">
        <v>42</v>
      </c>
      <c r="R36" s="56" t="s">
        <v>42</v>
      </c>
      <c r="S36" s="56" t="s">
        <v>42</v>
      </c>
      <c r="T36" s="56" t="s">
        <v>42</v>
      </c>
      <c r="U36" s="56" t="s">
        <v>42</v>
      </c>
      <c r="V36" s="71" t="s">
        <v>48</v>
      </c>
      <c r="W36" s="79" t="s">
        <v>33</v>
      </c>
      <c r="X36" s="79" t="s">
        <v>33</v>
      </c>
      <c r="Y36" s="78" t="s">
        <v>33</v>
      </c>
      <c r="Z36" s="78" t="s">
        <v>33</v>
      </c>
      <c r="AA36" s="78" t="s">
        <v>33</v>
      </c>
      <c r="AB36" s="78" t="s">
        <v>33</v>
      </c>
      <c r="AC36" s="78" t="s">
        <v>33</v>
      </c>
      <c r="AD36" s="78" t="s">
        <v>33</v>
      </c>
      <c r="AE36" s="79" t="s">
        <v>33</v>
      </c>
      <c r="AF36" s="79" t="s">
        <v>33</v>
      </c>
      <c r="AG36" s="80">
        <f t="shared" si="6"/>
        <v>0</v>
      </c>
      <c r="AH36" s="82"/>
      <c r="AI36" s="82"/>
      <c r="AJ36" s="82"/>
      <c r="AK36" s="83" t="s">
        <v>51</v>
      </c>
      <c r="AL36" s="101">
        <f t="shared" si="7"/>
        <v>13</v>
      </c>
      <c r="AM36" s="101">
        <f t="shared" si="8"/>
        <v>12</v>
      </c>
      <c r="AN36" s="101">
        <f t="shared" si="9"/>
        <v>18</v>
      </c>
      <c r="AO36" s="57" t="s">
        <v>43</v>
      </c>
      <c r="AP36" s="20">
        <v>191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75">
        <v>45672</v>
      </c>
      <c r="B37" s="78">
        <v>1600</v>
      </c>
      <c r="C37" s="78"/>
      <c r="D37" s="76">
        <f>(SUM(粮草!A37:X37)+AG37*10*IF(AK37="是",$BB$4,$BB$3))</f>
        <v>1592</v>
      </c>
      <c r="E37" s="90">
        <f>SUM($B$4:B37)+SUM($C$4:C37)-SUM($D$4:D37)</f>
        <v>130</v>
      </c>
      <c r="F37" s="89">
        <f>SUM(经验!A37:X37)</f>
        <v>550</v>
      </c>
      <c r="G37" s="76">
        <f>SUM($F$4:F37)+SUM($H$4:H37)</f>
        <v>27515</v>
      </c>
      <c r="H37" s="78">
        <v>200</v>
      </c>
      <c r="I37" s="54" t="s">
        <v>39</v>
      </c>
      <c r="J37" s="54" t="s">
        <v>39</v>
      </c>
      <c r="K37" s="54" t="s">
        <v>39</v>
      </c>
      <c r="L37" s="54" t="s">
        <v>39</v>
      </c>
      <c r="M37" s="54" t="s">
        <v>39</v>
      </c>
      <c r="N37" s="55" t="s">
        <v>41</v>
      </c>
      <c r="O37" s="79" t="s">
        <v>33</v>
      </c>
      <c r="P37" s="79" t="s">
        <v>33</v>
      </c>
      <c r="Q37" s="56" t="s">
        <v>42</v>
      </c>
      <c r="R37" s="56" t="s">
        <v>42</v>
      </c>
      <c r="S37" s="56" t="s">
        <v>42</v>
      </c>
      <c r="T37" s="56" t="s">
        <v>42</v>
      </c>
      <c r="U37" s="56" t="s">
        <v>42</v>
      </c>
      <c r="V37" s="78" t="s">
        <v>33</v>
      </c>
      <c r="W37" s="79" t="s">
        <v>33</v>
      </c>
      <c r="X37" s="79" t="s">
        <v>33</v>
      </c>
      <c r="Y37" s="78" t="s">
        <v>33</v>
      </c>
      <c r="Z37" s="78" t="s">
        <v>33</v>
      </c>
      <c r="AA37" s="78" t="s">
        <v>33</v>
      </c>
      <c r="AB37" s="78" t="s">
        <v>33</v>
      </c>
      <c r="AC37" s="78" t="s">
        <v>33</v>
      </c>
      <c r="AD37" s="78" t="s">
        <v>33</v>
      </c>
      <c r="AE37" s="79" t="s">
        <v>33</v>
      </c>
      <c r="AF37" s="79" t="s">
        <v>33</v>
      </c>
      <c r="AG37" s="80">
        <f t="shared" si="6"/>
        <v>1</v>
      </c>
      <c r="AH37" s="82">
        <v>1</v>
      </c>
      <c r="AI37" s="82"/>
      <c r="AJ37" s="82"/>
      <c r="AK37" s="83" t="s">
        <v>51</v>
      </c>
      <c r="AL37" s="101">
        <f t="shared" ref="AL37:AL68" si="14">MIN(AL36+6,18)-COUNTIF(I37:P37,"&lt;&gt;空")+COUNTIF(I37:P37,"历练")+COUNTIF(I37:P37,"营地")*2</f>
        <v>12</v>
      </c>
      <c r="AM37" s="101">
        <f t="shared" ref="AM37:AM68" si="15">MIN(AM36+6,18)-COUNTIF(Q37:X37,"&lt;&gt;空")+COUNTIF(Q37:X37,"历练")+COUNTIF(Q37:X37,"营地")*2</f>
        <v>13</v>
      </c>
      <c r="AN37" s="101">
        <f t="shared" ref="AN37:AN68" si="16">MIN(AN36+6,18)-COUNTIF(Y37:AF37,"&lt;&gt;空")+COUNTIF(Y37:AF37,"历练")+COUNTIF(Y37:AF37,"营地")*2</f>
        <v>18</v>
      </c>
      <c r="AO37" s="62" t="s">
        <v>38</v>
      </c>
      <c r="AP37" s="20">
        <v>38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75">
        <v>45673</v>
      </c>
      <c r="B38" s="78">
        <v>1600</v>
      </c>
      <c r="C38" s="78"/>
      <c r="D38" s="76">
        <f>(SUM(粮草!A38:X38)+AG38*10*IF(AK38="是",$BB$4,$BB$3))</f>
        <v>1616</v>
      </c>
      <c r="E38" s="90">
        <f>SUM($B$4:B38)+SUM($C$4:C38)-SUM($D$4:D38)</f>
        <v>114</v>
      </c>
      <c r="F38" s="89">
        <f>SUM(经验!A38:X38)</f>
        <v>635</v>
      </c>
      <c r="G38" s="76">
        <f>SUM($F$4:F38)+SUM($H$4:H38)</f>
        <v>28150</v>
      </c>
      <c r="H38" s="78">
        <v>0</v>
      </c>
      <c r="I38" s="55" t="s">
        <v>41</v>
      </c>
      <c r="J38" s="62" t="s">
        <v>38</v>
      </c>
      <c r="K38" s="55" t="s">
        <v>41</v>
      </c>
      <c r="L38" s="55" t="s">
        <v>41</v>
      </c>
      <c r="M38" s="55" t="s">
        <v>41</v>
      </c>
      <c r="N38" s="55" t="s">
        <v>41</v>
      </c>
      <c r="O38" s="55" t="s">
        <v>41</v>
      </c>
      <c r="P38" s="63" t="s">
        <v>45</v>
      </c>
      <c r="Q38" s="56" t="s">
        <v>42</v>
      </c>
      <c r="R38" s="55" t="s">
        <v>41</v>
      </c>
      <c r="S38" s="55" t="s">
        <v>41</v>
      </c>
      <c r="T38" s="55" t="s">
        <v>41</v>
      </c>
      <c r="U38" s="55" t="s">
        <v>41</v>
      </c>
      <c r="V38" s="55" t="s">
        <v>41</v>
      </c>
      <c r="W38" s="79" t="s">
        <v>33</v>
      </c>
      <c r="X38" s="79" t="s">
        <v>33</v>
      </c>
      <c r="Y38" s="78" t="s">
        <v>33</v>
      </c>
      <c r="Z38" s="78" t="s">
        <v>33</v>
      </c>
      <c r="AA38" s="78" t="s">
        <v>33</v>
      </c>
      <c r="AB38" s="78" t="s">
        <v>33</v>
      </c>
      <c r="AC38" s="78" t="s">
        <v>33</v>
      </c>
      <c r="AD38" s="78" t="s">
        <v>33</v>
      </c>
      <c r="AE38" s="79" t="s">
        <v>33</v>
      </c>
      <c r="AF38" s="79" t="s">
        <v>33</v>
      </c>
      <c r="AG38" s="80">
        <f t="shared" si="6"/>
        <v>0</v>
      </c>
      <c r="AH38" s="82"/>
      <c r="AI38" s="82"/>
      <c r="AJ38" s="82"/>
      <c r="AK38" s="83" t="s">
        <v>51</v>
      </c>
      <c r="AL38" s="101">
        <f t="shared" si="14"/>
        <v>12</v>
      </c>
      <c r="AM38" s="101">
        <f t="shared" si="15"/>
        <v>12</v>
      </c>
      <c r="AN38" s="101">
        <f t="shared" si="16"/>
        <v>18</v>
      </c>
      <c r="AO38" s="58" t="s">
        <v>40</v>
      </c>
      <c r="AP38" s="20">
        <v>5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84">
        <v>45674</v>
      </c>
      <c r="B39" s="78">
        <v>1600</v>
      </c>
      <c r="C39" s="78"/>
      <c r="D39" s="76">
        <f>(SUM(粮草!A39:X39)+AG39*10*IF(AK39="是",$BB$4,$BB$3))</f>
        <v>1176</v>
      </c>
      <c r="E39" s="90">
        <f>SUM($B$4:B39)+SUM($C$4:C39)-SUM($D$4:D39)</f>
        <v>538</v>
      </c>
      <c r="F39" s="89">
        <f>SUM(经验!A39:X39)</f>
        <v>415</v>
      </c>
      <c r="G39" s="76">
        <f>SUM($F$4:F39)+SUM($H$4:H39)</f>
        <v>28565</v>
      </c>
      <c r="H39" s="78">
        <v>0</v>
      </c>
      <c r="I39" s="78" t="s">
        <v>33</v>
      </c>
      <c r="J39" s="78" t="s">
        <v>33</v>
      </c>
      <c r="K39" s="78" t="s">
        <v>33</v>
      </c>
      <c r="L39" s="78" t="s">
        <v>33</v>
      </c>
      <c r="M39" s="78" t="s">
        <v>33</v>
      </c>
      <c r="N39" s="78" t="s">
        <v>33</v>
      </c>
      <c r="O39" s="78" t="s">
        <v>33</v>
      </c>
      <c r="P39" s="79" t="s">
        <v>33</v>
      </c>
      <c r="Q39" s="55" t="s">
        <v>41</v>
      </c>
      <c r="R39" s="56" t="s">
        <v>42</v>
      </c>
      <c r="S39" s="56" t="s">
        <v>42</v>
      </c>
      <c r="T39" s="56" t="s">
        <v>42</v>
      </c>
      <c r="U39" s="55" t="s">
        <v>41</v>
      </c>
      <c r="V39" s="55" t="s">
        <v>41</v>
      </c>
      <c r="W39" s="55" t="s">
        <v>41</v>
      </c>
      <c r="X39" s="55" t="s">
        <v>41</v>
      </c>
      <c r="Y39" s="78" t="s">
        <v>33</v>
      </c>
      <c r="Z39" s="78" t="s">
        <v>33</v>
      </c>
      <c r="AA39" s="78" t="s">
        <v>33</v>
      </c>
      <c r="AB39" s="78" t="s">
        <v>33</v>
      </c>
      <c r="AC39" s="78" t="s">
        <v>33</v>
      </c>
      <c r="AD39" s="78" t="s">
        <v>33</v>
      </c>
      <c r="AE39" s="79" t="s">
        <v>33</v>
      </c>
      <c r="AF39" s="79" t="s">
        <v>33</v>
      </c>
      <c r="AG39" s="80">
        <f t="shared" si="6"/>
        <v>0</v>
      </c>
      <c r="AH39" s="82"/>
      <c r="AI39" s="82"/>
      <c r="AJ39" s="82"/>
      <c r="AK39" s="83" t="s">
        <v>51</v>
      </c>
      <c r="AL39" s="101">
        <f t="shared" si="14"/>
        <v>18</v>
      </c>
      <c r="AM39" s="101">
        <f t="shared" si="15"/>
        <v>10</v>
      </c>
      <c r="AN39" s="101">
        <f t="shared" si="16"/>
        <v>18</v>
      </c>
      <c r="AO39" s="59" t="s">
        <v>46</v>
      </c>
      <c r="AP39" s="73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84">
        <v>45675</v>
      </c>
      <c r="B40" s="78">
        <v>1600</v>
      </c>
      <c r="C40" s="78"/>
      <c r="D40" s="76">
        <f>(SUM(粮草!A40:X40)+AG40*10*IF(AK40="是",$BB$4,$BB$3))</f>
        <v>864</v>
      </c>
      <c r="E40" s="90">
        <f>SUM($B$4:B40)+SUM($C$4:C40)-SUM($D$4:D40)</f>
        <v>1274</v>
      </c>
      <c r="F40" s="89">
        <f>SUM(经验!A40:X40)</f>
        <v>300</v>
      </c>
      <c r="G40" s="76">
        <f>SUM($F$4:F40)+SUM($H$4:H40)</f>
        <v>28865</v>
      </c>
      <c r="H40" s="78">
        <v>0</v>
      </c>
      <c r="I40" s="78" t="s">
        <v>33</v>
      </c>
      <c r="J40" s="78" t="s">
        <v>33</v>
      </c>
      <c r="K40" s="78" t="s">
        <v>33</v>
      </c>
      <c r="L40" s="78" t="s">
        <v>33</v>
      </c>
      <c r="M40" s="78" t="s">
        <v>33</v>
      </c>
      <c r="N40" s="78" t="s">
        <v>33</v>
      </c>
      <c r="O40" s="79" t="s">
        <v>33</v>
      </c>
      <c r="P40" s="79" t="s">
        <v>33</v>
      </c>
      <c r="Q40" s="55" t="s">
        <v>41</v>
      </c>
      <c r="R40" s="55" t="s">
        <v>41</v>
      </c>
      <c r="S40" s="55" t="s">
        <v>41</v>
      </c>
      <c r="T40" s="55" t="s">
        <v>41</v>
      </c>
      <c r="U40" s="55" t="s">
        <v>41</v>
      </c>
      <c r="V40" s="55" t="s">
        <v>41</v>
      </c>
      <c r="W40" s="79" t="s">
        <v>33</v>
      </c>
      <c r="X40" s="79" t="s">
        <v>33</v>
      </c>
      <c r="Y40" s="78" t="s">
        <v>33</v>
      </c>
      <c r="Z40" s="78" t="s">
        <v>33</v>
      </c>
      <c r="AA40" s="78" t="s">
        <v>33</v>
      </c>
      <c r="AB40" s="78" t="s">
        <v>33</v>
      </c>
      <c r="AC40" s="78" t="s">
        <v>33</v>
      </c>
      <c r="AD40" s="78" t="s">
        <v>33</v>
      </c>
      <c r="AE40" s="79" t="s">
        <v>33</v>
      </c>
      <c r="AF40" s="79" t="s">
        <v>33</v>
      </c>
      <c r="AG40" s="80">
        <f t="shared" si="6"/>
        <v>0</v>
      </c>
      <c r="AH40" s="82"/>
      <c r="AI40" s="82"/>
      <c r="AJ40" s="82"/>
      <c r="AK40" s="83" t="s">
        <v>51</v>
      </c>
      <c r="AL40" s="101">
        <f t="shared" si="14"/>
        <v>18</v>
      </c>
      <c r="AM40" s="101">
        <f t="shared" si="15"/>
        <v>10</v>
      </c>
      <c r="AN40" s="101">
        <f t="shared" si="16"/>
        <v>18</v>
      </c>
      <c r="AO40" s="60" t="s">
        <v>47</v>
      </c>
      <c r="AP40" s="73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84">
        <v>45676</v>
      </c>
      <c r="B41" s="78">
        <v>1600</v>
      </c>
      <c r="C41" s="78"/>
      <c r="D41" s="76">
        <f>(SUM(粮草!A41:X41)+AG41*10*IF(AK41="是",$BB$4,$BB$3))</f>
        <v>1728</v>
      </c>
      <c r="E41" s="90">
        <f>SUM($B$4:B41)+SUM($C$4:C41)-SUM($D$4:D41)</f>
        <v>1146</v>
      </c>
      <c r="F41" s="89">
        <f>SUM(经验!A41:X41)</f>
        <v>600</v>
      </c>
      <c r="G41" s="76">
        <f>SUM($F$4:F41)+SUM($H$4:H41)</f>
        <v>29465</v>
      </c>
      <c r="H41" s="78">
        <v>0</v>
      </c>
      <c r="I41" s="55" t="s">
        <v>41</v>
      </c>
      <c r="J41" s="55" t="s">
        <v>41</v>
      </c>
      <c r="K41" s="55" t="s">
        <v>41</v>
      </c>
      <c r="L41" s="55" t="s">
        <v>41</v>
      </c>
      <c r="M41" s="55" t="s">
        <v>41</v>
      </c>
      <c r="N41" s="55" t="s">
        <v>41</v>
      </c>
      <c r="O41" s="79" t="s">
        <v>33</v>
      </c>
      <c r="P41" s="79" t="s">
        <v>33</v>
      </c>
      <c r="Q41" s="55" t="s">
        <v>41</v>
      </c>
      <c r="R41" s="55" t="s">
        <v>41</v>
      </c>
      <c r="S41" s="55" t="s">
        <v>41</v>
      </c>
      <c r="T41" s="55" t="s">
        <v>41</v>
      </c>
      <c r="U41" s="55" t="s">
        <v>41</v>
      </c>
      <c r="V41" s="55" t="s">
        <v>41</v>
      </c>
      <c r="W41" s="79" t="s">
        <v>33</v>
      </c>
      <c r="X41" s="79" t="s">
        <v>33</v>
      </c>
      <c r="Y41" s="78" t="s">
        <v>33</v>
      </c>
      <c r="Z41" s="78" t="s">
        <v>33</v>
      </c>
      <c r="AA41" s="78" t="s">
        <v>33</v>
      </c>
      <c r="AB41" s="78" t="s">
        <v>33</v>
      </c>
      <c r="AC41" s="78" t="s">
        <v>33</v>
      </c>
      <c r="AD41" s="78" t="s">
        <v>33</v>
      </c>
      <c r="AE41" s="79" t="s">
        <v>33</v>
      </c>
      <c r="AF41" s="79" t="s">
        <v>33</v>
      </c>
      <c r="AG41" s="80">
        <f t="shared" si="6"/>
        <v>0</v>
      </c>
      <c r="AH41" s="82"/>
      <c r="AI41" s="82"/>
      <c r="AJ41" s="82"/>
      <c r="AK41" s="83" t="s">
        <v>51</v>
      </c>
      <c r="AL41" s="101">
        <f t="shared" si="14"/>
        <v>12</v>
      </c>
      <c r="AM41" s="101">
        <f t="shared" si="15"/>
        <v>10</v>
      </c>
      <c r="AN41" s="101">
        <f t="shared" si="16"/>
        <v>18</v>
      </c>
      <c r="AO41" s="71" t="s">
        <v>48</v>
      </c>
      <c r="AP41" s="73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84">
        <v>45677</v>
      </c>
      <c r="B42" s="76">
        <v>1600</v>
      </c>
      <c r="C42" s="77"/>
      <c r="D42" s="76">
        <f>(SUM(粮草!A42:X42)+AG42*10*IF(AK42="是",$BB$4,$BB$3))</f>
        <v>1744</v>
      </c>
      <c r="E42" s="90">
        <f>SUM($B$4:B42)+SUM($C$4:C42)-SUM($D$4:D42)</f>
        <v>1002</v>
      </c>
      <c r="F42" s="89">
        <f>SUM(经验!A42:X42)</f>
        <v>610</v>
      </c>
      <c r="G42" s="76">
        <f>SUM($F$4:F42)+SUM($H$4:H42)</f>
        <v>30375</v>
      </c>
      <c r="H42" s="76">
        <v>300</v>
      </c>
      <c r="I42" s="55" t="s">
        <v>41</v>
      </c>
      <c r="J42" s="55" t="s">
        <v>41</v>
      </c>
      <c r="K42" s="55" t="s">
        <v>41</v>
      </c>
      <c r="L42" s="55" t="s">
        <v>41</v>
      </c>
      <c r="M42" s="55" t="s">
        <v>41</v>
      </c>
      <c r="N42" s="55" t="s">
        <v>41</v>
      </c>
      <c r="O42" s="79" t="s">
        <v>33</v>
      </c>
      <c r="P42" s="79" t="s">
        <v>33</v>
      </c>
      <c r="Q42" s="55" t="s">
        <v>41</v>
      </c>
      <c r="R42" s="55" t="s">
        <v>41</v>
      </c>
      <c r="S42" s="55" t="s">
        <v>41</v>
      </c>
      <c r="T42" s="55" t="s">
        <v>41</v>
      </c>
      <c r="U42" s="56" t="s">
        <v>42</v>
      </c>
      <c r="V42" s="56" t="s">
        <v>42</v>
      </c>
      <c r="W42" s="79" t="s">
        <v>33</v>
      </c>
      <c r="X42" s="79" t="s">
        <v>33</v>
      </c>
      <c r="Y42" s="78" t="s">
        <v>33</v>
      </c>
      <c r="Z42" s="78" t="s">
        <v>33</v>
      </c>
      <c r="AA42" s="78" t="s">
        <v>33</v>
      </c>
      <c r="AB42" s="78" t="s">
        <v>33</v>
      </c>
      <c r="AC42" s="78" t="s">
        <v>33</v>
      </c>
      <c r="AD42" s="78" t="s">
        <v>33</v>
      </c>
      <c r="AE42" s="79" t="s">
        <v>33</v>
      </c>
      <c r="AF42" s="79" t="s">
        <v>33</v>
      </c>
      <c r="AG42" s="80">
        <f t="shared" si="6"/>
        <v>0</v>
      </c>
      <c r="AH42" s="82"/>
      <c r="AI42" s="82"/>
      <c r="AJ42" s="82"/>
      <c r="AK42" s="83" t="s">
        <v>51</v>
      </c>
      <c r="AL42" s="101">
        <f t="shared" si="14"/>
        <v>12</v>
      </c>
      <c r="AM42" s="101">
        <f t="shared" si="15"/>
        <v>10</v>
      </c>
      <c r="AN42" s="101">
        <f t="shared" si="16"/>
        <v>18</v>
      </c>
      <c r="AO42" s="72" t="s">
        <v>49</v>
      </c>
      <c r="AP42" s="73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84">
        <v>45678</v>
      </c>
      <c r="B43" s="76">
        <v>1600</v>
      </c>
      <c r="C43" s="77"/>
      <c r="D43" s="76">
        <f>(SUM(粮草!A43:X43)+AG43*10*IF(AK43="是",$BB$4,$BB$3))</f>
        <v>1768</v>
      </c>
      <c r="E43" s="90">
        <f>SUM($B$4:B43)+SUM($C$4:C43)-SUM($D$4:D43)</f>
        <v>834</v>
      </c>
      <c r="F43" s="89">
        <f>SUM(经验!A43:X43)</f>
        <v>625</v>
      </c>
      <c r="G43" s="76">
        <f>SUM($F$4:F43)+SUM($H$4:H43)</f>
        <v>31000</v>
      </c>
      <c r="H43" s="76">
        <v>0</v>
      </c>
      <c r="I43" s="55" t="s">
        <v>41</v>
      </c>
      <c r="J43" s="55" t="s">
        <v>41</v>
      </c>
      <c r="K43" s="55" t="s">
        <v>41</v>
      </c>
      <c r="L43" s="55" t="s">
        <v>41</v>
      </c>
      <c r="M43" s="55" t="s">
        <v>41</v>
      </c>
      <c r="N43" s="55" t="s">
        <v>41</v>
      </c>
      <c r="O43" s="79" t="s">
        <v>33</v>
      </c>
      <c r="P43" s="79" t="s">
        <v>33</v>
      </c>
      <c r="Q43" s="55" t="s">
        <v>41</v>
      </c>
      <c r="R43" s="105" t="s">
        <v>42</v>
      </c>
      <c r="S43" s="56" t="s">
        <v>42</v>
      </c>
      <c r="T43" s="56" t="s">
        <v>42</v>
      </c>
      <c r="U43" s="56" t="s">
        <v>42</v>
      </c>
      <c r="V43" s="56" t="s">
        <v>42</v>
      </c>
      <c r="W43" s="79" t="s">
        <v>33</v>
      </c>
      <c r="X43" s="79" t="s">
        <v>33</v>
      </c>
      <c r="Y43" s="78" t="s">
        <v>33</v>
      </c>
      <c r="Z43" s="78" t="s">
        <v>33</v>
      </c>
      <c r="AA43" s="78" t="s">
        <v>33</v>
      </c>
      <c r="AB43" s="78" t="s">
        <v>33</v>
      </c>
      <c r="AC43" s="78" t="s">
        <v>33</v>
      </c>
      <c r="AD43" s="78" t="s">
        <v>33</v>
      </c>
      <c r="AE43" s="79" t="s">
        <v>33</v>
      </c>
      <c r="AF43" s="79" t="s">
        <v>33</v>
      </c>
      <c r="AG43" s="80">
        <f t="shared" si="6"/>
        <v>0</v>
      </c>
      <c r="AH43" s="82"/>
      <c r="AI43" s="82"/>
      <c r="AJ43" s="82"/>
      <c r="AK43" s="83" t="s">
        <v>51</v>
      </c>
      <c r="AL43" s="101">
        <f t="shared" si="14"/>
        <v>12</v>
      </c>
      <c r="AM43" s="101">
        <f t="shared" si="15"/>
        <v>10</v>
      </c>
      <c r="AN43" s="101">
        <f t="shared" si="16"/>
        <v>18</v>
      </c>
      <c r="AO43" s="65" t="s">
        <v>53</v>
      </c>
      <c r="AP43" s="73">
        <v>2</v>
      </c>
      <c r="AQ43" s="73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84">
        <v>45679</v>
      </c>
      <c r="B44" s="76">
        <v>1600</v>
      </c>
      <c r="C44" s="77"/>
      <c r="D44" s="76">
        <f>(SUM(粮草!A44:X44)+AG44*10*IF(AK44="是",$BB$4,$BB$3))</f>
        <v>1704</v>
      </c>
      <c r="E44" s="90">
        <f>SUM($B$4:B44)+SUM($C$4:C44)-SUM($D$4:D44)</f>
        <v>730</v>
      </c>
      <c r="F44" s="89">
        <f>SUM(经验!A44:X44)</f>
        <v>580</v>
      </c>
      <c r="G44" s="76">
        <f>SUM($F$4:F44)+SUM($H$4:H44)</f>
        <v>31780</v>
      </c>
      <c r="H44" s="76">
        <v>200</v>
      </c>
      <c r="I44" s="55" t="s">
        <v>41</v>
      </c>
      <c r="J44" s="55" t="s">
        <v>41</v>
      </c>
      <c r="K44" s="55" t="s">
        <v>41</v>
      </c>
      <c r="L44" s="55" t="s">
        <v>41</v>
      </c>
      <c r="M44" s="55" t="s">
        <v>41</v>
      </c>
      <c r="N44" s="55" t="s">
        <v>41</v>
      </c>
      <c r="O44" s="79" t="s">
        <v>33</v>
      </c>
      <c r="P44" s="79" t="s">
        <v>33</v>
      </c>
      <c r="Q44" s="56" t="s">
        <v>42</v>
      </c>
      <c r="R44" s="54" t="s">
        <v>39</v>
      </c>
      <c r="S44" s="54" t="s">
        <v>39</v>
      </c>
      <c r="T44" s="54" t="s">
        <v>39</v>
      </c>
      <c r="U44" s="54" t="s">
        <v>39</v>
      </c>
      <c r="V44" s="54" t="s">
        <v>39</v>
      </c>
      <c r="W44" s="79" t="s">
        <v>33</v>
      </c>
      <c r="X44" s="79" t="s">
        <v>33</v>
      </c>
      <c r="Y44" s="78" t="s">
        <v>33</v>
      </c>
      <c r="Z44" s="78" t="s">
        <v>33</v>
      </c>
      <c r="AA44" s="78" t="s">
        <v>33</v>
      </c>
      <c r="AB44" s="78" t="s">
        <v>33</v>
      </c>
      <c r="AC44" s="78" t="s">
        <v>33</v>
      </c>
      <c r="AD44" s="78" t="s">
        <v>33</v>
      </c>
      <c r="AE44" s="79" t="s">
        <v>33</v>
      </c>
      <c r="AF44" s="79" t="s">
        <v>33</v>
      </c>
      <c r="AG44" s="80">
        <f t="shared" si="6"/>
        <v>1</v>
      </c>
      <c r="AH44" s="82"/>
      <c r="AI44" s="82">
        <v>1</v>
      </c>
      <c r="AJ44" s="82"/>
      <c r="AK44" s="83" t="s">
        <v>51</v>
      </c>
      <c r="AL44" s="101">
        <f t="shared" si="14"/>
        <v>12</v>
      </c>
      <c r="AM44" s="101">
        <f t="shared" si="15"/>
        <v>10</v>
      </c>
      <c r="AN44" s="101">
        <f t="shared" si="16"/>
        <v>18</v>
      </c>
      <c r="AO44" s="40" t="s">
        <v>61</v>
      </c>
      <c r="AP44" s="73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84">
        <v>45680</v>
      </c>
      <c r="B45" s="76">
        <v>1600</v>
      </c>
      <c r="C45" s="77"/>
      <c r="D45" s="76">
        <f>(SUM(粮草!A45:X45)+AG45*10*IF(AK45="是",$BB$4,$BB$3))</f>
        <v>1504</v>
      </c>
      <c r="E45" s="90">
        <f>SUM($B$4:B45)+SUM($C$4:C45)-SUM($D$4:D45)</f>
        <v>826</v>
      </c>
      <c r="F45" s="89">
        <f>SUM(经验!A45:X45)</f>
        <v>500</v>
      </c>
      <c r="G45" s="76">
        <f>SUM($F$4:F45)+SUM($H$4:H45)</f>
        <v>32280</v>
      </c>
      <c r="H45" s="76">
        <v>0</v>
      </c>
      <c r="I45" s="55" t="s">
        <v>41</v>
      </c>
      <c r="J45" s="54" t="s">
        <v>39</v>
      </c>
      <c r="K45" s="54" t="s">
        <v>39</v>
      </c>
      <c r="L45" s="54" t="s">
        <v>39</v>
      </c>
      <c r="M45" s="54" t="s">
        <v>39</v>
      </c>
      <c r="N45" s="78" t="s">
        <v>33</v>
      </c>
      <c r="O45" s="79" t="s">
        <v>33</v>
      </c>
      <c r="P45" s="79" t="s">
        <v>33</v>
      </c>
      <c r="Q45" s="54" t="s">
        <v>39</v>
      </c>
      <c r="R45" s="54" t="s">
        <v>39</v>
      </c>
      <c r="S45" s="54" t="s">
        <v>39</v>
      </c>
      <c r="T45" s="54" t="s">
        <v>39</v>
      </c>
      <c r="U45" s="54" t="s">
        <v>39</v>
      </c>
      <c r="V45" s="54" t="s">
        <v>39</v>
      </c>
      <c r="W45" s="79" t="s">
        <v>33</v>
      </c>
      <c r="X45" s="79" t="s">
        <v>33</v>
      </c>
      <c r="Y45" s="78" t="s">
        <v>33</v>
      </c>
      <c r="Z45" s="78" t="s">
        <v>33</v>
      </c>
      <c r="AA45" s="78" t="s">
        <v>33</v>
      </c>
      <c r="AB45" s="78" t="s">
        <v>33</v>
      </c>
      <c r="AC45" s="78" t="s">
        <v>33</v>
      </c>
      <c r="AD45" s="78" t="s">
        <v>33</v>
      </c>
      <c r="AE45" s="79" t="s">
        <v>33</v>
      </c>
      <c r="AF45" s="79" t="s">
        <v>33</v>
      </c>
      <c r="AG45" s="80">
        <f t="shared" si="6"/>
        <v>0</v>
      </c>
      <c r="AH45" s="82"/>
      <c r="AI45" s="82"/>
      <c r="AJ45" s="82"/>
      <c r="AK45" s="83" t="s">
        <v>51</v>
      </c>
      <c r="AL45" s="101">
        <f t="shared" si="14"/>
        <v>13</v>
      </c>
      <c r="AM45" s="101">
        <f t="shared" si="15"/>
        <v>10</v>
      </c>
      <c r="AN45" s="101">
        <f t="shared" si="16"/>
        <v>18</v>
      </c>
      <c r="AO45" s="64" t="s">
        <v>52</v>
      </c>
      <c r="AP45" s="73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84">
        <v>45681</v>
      </c>
      <c r="B46" s="76">
        <v>1600</v>
      </c>
      <c r="C46" s="77"/>
      <c r="D46" s="76">
        <f>(SUM(粮草!A46:X46)+AG46*10*IF(AK46="是",$BB$4,$BB$3))</f>
        <v>1712</v>
      </c>
      <c r="E46" s="90">
        <f>SUM($B$4:B46)+SUM($C$4:C46)-SUM($D$4:D46)</f>
        <v>714</v>
      </c>
      <c r="F46" s="89">
        <f>SUM(经验!A46:X46)</f>
        <v>600</v>
      </c>
      <c r="G46" s="76">
        <f>SUM($F$4:F46)+SUM($H$4:H46)</f>
        <v>32880</v>
      </c>
      <c r="H46" s="76">
        <v>0</v>
      </c>
      <c r="I46" s="54" t="s">
        <v>39</v>
      </c>
      <c r="J46" s="59" t="s">
        <v>46</v>
      </c>
      <c r="K46" s="54" t="s">
        <v>39</v>
      </c>
      <c r="L46" s="54" t="s">
        <v>39</v>
      </c>
      <c r="M46" s="54" t="s">
        <v>39</v>
      </c>
      <c r="N46" s="54" t="s">
        <v>39</v>
      </c>
      <c r="O46" s="79" t="s">
        <v>33</v>
      </c>
      <c r="P46" s="79" t="s">
        <v>33</v>
      </c>
      <c r="Q46" s="56" t="s">
        <v>42</v>
      </c>
      <c r="R46" s="56" t="s">
        <v>42</v>
      </c>
      <c r="S46" s="56" t="s">
        <v>42</v>
      </c>
      <c r="T46" s="56" t="s">
        <v>42</v>
      </c>
      <c r="U46" s="56" t="s">
        <v>42</v>
      </c>
      <c r="V46" s="56" t="s">
        <v>42</v>
      </c>
      <c r="W46" s="79" t="s">
        <v>33</v>
      </c>
      <c r="X46" s="79" t="s">
        <v>33</v>
      </c>
      <c r="Y46" s="78" t="s">
        <v>33</v>
      </c>
      <c r="Z46" s="78" t="s">
        <v>33</v>
      </c>
      <c r="AA46" s="78" t="s">
        <v>33</v>
      </c>
      <c r="AB46" s="78" t="s">
        <v>33</v>
      </c>
      <c r="AC46" s="78" t="s">
        <v>33</v>
      </c>
      <c r="AD46" s="78" t="s">
        <v>33</v>
      </c>
      <c r="AE46" s="79" t="s">
        <v>33</v>
      </c>
      <c r="AF46" s="79" t="s">
        <v>33</v>
      </c>
      <c r="AG46" s="80">
        <f t="shared" si="6"/>
        <v>0</v>
      </c>
      <c r="AH46" s="82"/>
      <c r="AI46" s="82"/>
      <c r="AJ46" s="82"/>
      <c r="AK46" s="83" t="s">
        <v>51</v>
      </c>
      <c r="AL46" s="101">
        <f t="shared" si="14"/>
        <v>12</v>
      </c>
      <c r="AM46" s="101">
        <f t="shared" si="15"/>
        <v>10</v>
      </c>
      <c r="AN46" s="101">
        <f t="shared" si="16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84">
        <v>45682</v>
      </c>
      <c r="B47" s="76">
        <v>1600</v>
      </c>
      <c r="C47" s="77"/>
      <c r="D47" s="76">
        <f>(SUM(粮草!A47:X47)+AG47*10*IF(AK47="是",$BB$4,$BB$3))</f>
        <v>1632</v>
      </c>
      <c r="E47" s="90">
        <f>SUM($B$4:B47)+SUM($C$4:C47)-SUM($D$4:D47)</f>
        <v>682</v>
      </c>
      <c r="F47" s="89">
        <f>SUM(经验!A47:X47)</f>
        <v>585</v>
      </c>
      <c r="G47" s="76">
        <f>SUM($F$4:F47)+SUM($H$4:H47)</f>
        <v>33465</v>
      </c>
      <c r="H47" s="76">
        <v>0</v>
      </c>
      <c r="I47" s="54" t="s">
        <v>39</v>
      </c>
      <c r="J47" s="54" t="s">
        <v>39</v>
      </c>
      <c r="K47" s="54" t="s">
        <v>39</v>
      </c>
      <c r="L47" s="54" t="s">
        <v>39</v>
      </c>
      <c r="M47" s="62" t="s">
        <v>38</v>
      </c>
      <c r="N47" s="54" t="s">
        <v>39</v>
      </c>
      <c r="O47" s="79" t="s">
        <v>33</v>
      </c>
      <c r="P47" s="79" t="s">
        <v>33</v>
      </c>
      <c r="Q47" s="56" t="s">
        <v>42</v>
      </c>
      <c r="R47" s="56" t="s">
        <v>42</v>
      </c>
      <c r="S47" s="56" t="s">
        <v>42</v>
      </c>
      <c r="T47" s="56" t="s">
        <v>42</v>
      </c>
      <c r="U47" s="56" t="s">
        <v>42</v>
      </c>
      <c r="V47" s="56" t="s">
        <v>42</v>
      </c>
      <c r="W47" s="79" t="s">
        <v>33</v>
      </c>
      <c r="X47" s="79" t="s">
        <v>33</v>
      </c>
      <c r="Y47" s="78" t="s">
        <v>33</v>
      </c>
      <c r="Z47" s="78" t="s">
        <v>33</v>
      </c>
      <c r="AA47" s="78" t="s">
        <v>33</v>
      </c>
      <c r="AB47" s="78" t="s">
        <v>33</v>
      </c>
      <c r="AC47" s="78" t="s">
        <v>33</v>
      </c>
      <c r="AD47" s="78" t="s">
        <v>33</v>
      </c>
      <c r="AE47" s="79" t="s">
        <v>33</v>
      </c>
      <c r="AF47" s="79" t="s">
        <v>33</v>
      </c>
      <c r="AG47" s="80">
        <f t="shared" si="6"/>
        <v>0</v>
      </c>
      <c r="AH47" s="82"/>
      <c r="AI47" s="82"/>
      <c r="AJ47" s="82"/>
      <c r="AK47" s="83" t="s">
        <v>51</v>
      </c>
      <c r="AL47" s="101">
        <f t="shared" si="14"/>
        <v>12</v>
      </c>
      <c r="AM47" s="101">
        <f t="shared" si="15"/>
        <v>10</v>
      </c>
      <c r="AN47" s="101">
        <f t="shared" si="16"/>
        <v>18</v>
      </c>
      <c r="AQ47" s="95" t="s">
        <v>77</v>
      </c>
      <c r="AR47" s="49">
        <f>E93-AR46</f>
        <v>2</v>
      </c>
      <c r="AS47" s="49">
        <f>AS46+G93</f>
        <v>64985</v>
      </c>
      <c r="BE47" s="29"/>
    </row>
    <row r="48" spans="1:57">
      <c r="A48" s="84">
        <v>45683</v>
      </c>
      <c r="B48" s="76">
        <v>1600</v>
      </c>
      <c r="C48" s="77"/>
      <c r="D48" s="76">
        <f>(SUM(粮草!A48:X48)+AG48*10*IF(AK48="是",$BB$4,$BB$3))</f>
        <v>1592</v>
      </c>
      <c r="E48" s="90">
        <f>SUM($B$4:B48)+SUM($C$4:C48)-SUM($D$4:D48)</f>
        <v>690</v>
      </c>
      <c r="F48" s="89">
        <f>SUM(经验!A48:X48)</f>
        <v>555</v>
      </c>
      <c r="G48" s="76">
        <f>SUM($F$4:F48)+SUM($H$4:H48)</f>
        <v>34020</v>
      </c>
      <c r="H48" s="76">
        <v>0</v>
      </c>
      <c r="I48" s="54" t="s">
        <v>39</v>
      </c>
      <c r="J48" s="54" t="s">
        <v>39</v>
      </c>
      <c r="K48" s="54" t="s">
        <v>39</v>
      </c>
      <c r="L48" s="54" t="s">
        <v>39</v>
      </c>
      <c r="M48" s="54" t="s">
        <v>39</v>
      </c>
      <c r="N48" s="78" t="s">
        <v>33</v>
      </c>
      <c r="O48" s="79" t="s">
        <v>33</v>
      </c>
      <c r="P48" s="79" t="s">
        <v>33</v>
      </c>
      <c r="Q48" s="56" t="s">
        <v>42</v>
      </c>
      <c r="R48" s="56" t="s">
        <v>42</v>
      </c>
      <c r="S48" s="56" t="s">
        <v>42</v>
      </c>
      <c r="T48" s="56" t="s">
        <v>42</v>
      </c>
      <c r="U48" s="56" t="s">
        <v>42</v>
      </c>
      <c r="V48" s="56" t="s">
        <v>42</v>
      </c>
      <c r="W48" s="79" t="s">
        <v>33</v>
      </c>
      <c r="X48" s="79" t="s">
        <v>33</v>
      </c>
      <c r="Y48" s="78" t="s">
        <v>33</v>
      </c>
      <c r="Z48" s="78" t="s">
        <v>33</v>
      </c>
      <c r="AA48" s="78" t="s">
        <v>33</v>
      </c>
      <c r="AB48" s="78" t="s">
        <v>33</v>
      </c>
      <c r="AC48" s="78" t="s">
        <v>33</v>
      </c>
      <c r="AD48" s="78" t="s">
        <v>33</v>
      </c>
      <c r="AE48" s="79" t="s">
        <v>33</v>
      </c>
      <c r="AF48" s="79" t="s">
        <v>33</v>
      </c>
      <c r="AG48" s="80">
        <f t="shared" si="6"/>
        <v>0</v>
      </c>
      <c r="AH48" s="82"/>
      <c r="AI48" s="82"/>
      <c r="AJ48" s="82"/>
      <c r="AK48" s="83" t="s">
        <v>51</v>
      </c>
      <c r="AL48" s="101">
        <f t="shared" si="14"/>
        <v>13</v>
      </c>
      <c r="AM48" s="101">
        <f t="shared" si="15"/>
        <v>10</v>
      </c>
      <c r="AN48" s="101">
        <f t="shared" si="16"/>
        <v>18</v>
      </c>
      <c r="AQ48" s="106" t="s">
        <v>70</v>
      </c>
      <c r="AR48" s="106"/>
      <c r="BE48" s="29"/>
    </row>
    <row r="49" spans="1:57">
      <c r="A49" s="84">
        <v>45684</v>
      </c>
      <c r="B49" s="78">
        <v>1600</v>
      </c>
      <c r="C49" s="78"/>
      <c r="D49" s="76">
        <f>(SUM(粮草!A49:X49)+AG49*10*IF(AK49="是",$BB$4,$BB$3))</f>
        <v>1728</v>
      </c>
      <c r="E49" s="90">
        <f>SUM($B$4:B49)+SUM($C$4:C49)-SUM($D$4:D49)</f>
        <v>562</v>
      </c>
      <c r="F49" s="89">
        <f>SUM(经验!A49:X49)</f>
        <v>600</v>
      </c>
      <c r="G49" s="76">
        <f>SUM($F$4:F49)+SUM($H$4:H49)</f>
        <v>34820</v>
      </c>
      <c r="H49" s="78">
        <v>200</v>
      </c>
      <c r="I49" s="54" t="s">
        <v>39</v>
      </c>
      <c r="J49" s="54" t="s">
        <v>39</v>
      </c>
      <c r="K49" s="54" t="s">
        <v>39</v>
      </c>
      <c r="L49" s="54" t="s">
        <v>39</v>
      </c>
      <c r="M49" s="54" t="s">
        <v>39</v>
      </c>
      <c r="N49" s="54" t="s">
        <v>39</v>
      </c>
      <c r="O49" s="79" t="s">
        <v>33</v>
      </c>
      <c r="P49" s="79" t="s">
        <v>33</v>
      </c>
      <c r="Q49" s="56" t="s">
        <v>42</v>
      </c>
      <c r="R49" s="56" t="s">
        <v>42</v>
      </c>
      <c r="S49" s="56" t="s">
        <v>42</v>
      </c>
      <c r="T49" s="56" t="s">
        <v>42</v>
      </c>
      <c r="U49" s="56" t="s">
        <v>42</v>
      </c>
      <c r="V49" s="56" t="s">
        <v>42</v>
      </c>
      <c r="W49" s="79" t="s">
        <v>33</v>
      </c>
      <c r="X49" s="79" t="s">
        <v>33</v>
      </c>
      <c r="Y49" s="78" t="s">
        <v>33</v>
      </c>
      <c r="Z49" s="78" t="s">
        <v>33</v>
      </c>
      <c r="AA49" s="78" t="s">
        <v>33</v>
      </c>
      <c r="AB49" s="78" t="s">
        <v>33</v>
      </c>
      <c r="AC49" s="78" t="s">
        <v>33</v>
      </c>
      <c r="AD49" s="78" t="s">
        <v>33</v>
      </c>
      <c r="AE49" s="79" t="s">
        <v>33</v>
      </c>
      <c r="AF49" s="79" t="s">
        <v>33</v>
      </c>
      <c r="AG49" s="80">
        <f t="shared" si="6"/>
        <v>0</v>
      </c>
      <c r="AH49" s="82"/>
      <c r="AI49" s="82"/>
      <c r="AJ49" s="82"/>
      <c r="AK49" s="83" t="s">
        <v>51</v>
      </c>
      <c r="AL49" s="101">
        <f t="shared" si="14"/>
        <v>12</v>
      </c>
      <c r="AM49" s="101">
        <f t="shared" si="15"/>
        <v>10</v>
      </c>
      <c r="AN49" s="101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4">
        <v>45685</v>
      </c>
      <c r="B50" s="78">
        <v>1600</v>
      </c>
      <c r="C50" s="78"/>
      <c r="D50" s="76">
        <f>(SUM(粮草!A50:X50)+AG50*10*IF(AK50="是",$BB$4,$BB$3))</f>
        <v>1728</v>
      </c>
      <c r="E50" s="90">
        <f>SUM($B$4:B50)+SUM($C$4:C50)-SUM($D$4:D50)</f>
        <v>434</v>
      </c>
      <c r="F50" s="89">
        <f>SUM(经验!A50:X50)</f>
        <v>600</v>
      </c>
      <c r="G50" s="76">
        <f>SUM($F$4:F50)+SUM($H$4:H50)</f>
        <v>35520</v>
      </c>
      <c r="H50" s="78">
        <v>100</v>
      </c>
      <c r="I50" s="54" t="s">
        <v>39</v>
      </c>
      <c r="J50" s="54" t="s">
        <v>39</v>
      </c>
      <c r="K50" s="54" t="s">
        <v>39</v>
      </c>
      <c r="L50" s="54" t="s">
        <v>39</v>
      </c>
      <c r="M50" s="54" t="s">
        <v>39</v>
      </c>
      <c r="N50" s="54" t="s">
        <v>39</v>
      </c>
      <c r="O50" s="79" t="s">
        <v>33</v>
      </c>
      <c r="P50" s="79" t="s">
        <v>33</v>
      </c>
      <c r="Q50" s="56" t="s">
        <v>42</v>
      </c>
      <c r="R50" s="56" t="s">
        <v>42</v>
      </c>
      <c r="S50" s="56" t="s">
        <v>42</v>
      </c>
      <c r="T50" s="56" t="s">
        <v>42</v>
      </c>
      <c r="U50" s="56" t="s">
        <v>42</v>
      </c>
      <c r="V50" s="56" t="s">
        <v>42</v>
      </c>
      <c r="W50" s="79" t="s">
        <v>33</v>
      </c>
      <c r="X50" s="79" t="s">
        <v>33</v>
      </c>
      <c r="Y50" s="78" t="s">
        <v>33</v>
      </c>
      <c r="Z50" s="78" t="s">
        <v>33</v>
      </c>
      <c r="AA50" s="78" t="s">
        <v>33</v>
      </c>
      <c r="AB50" s="78" t="s">
        <v>33</v>
      </c>
      <c r="AC50" s="78" t="s">
        <v>33</v>
      </c>
      <c r="AD50" s="78" t="s">
        <v>33</v>
      </c>
      <c r="AE50" s="79" t="s">
        <v>33</v>
      </c>
      <c r="AF50" s="79" t="s">
        <v>33</v>
      </c>
      <c r="AG50" s="80">
        <f t="shared" si="6"/>
        <v>0</v>
      </c>
      <c r="AH50" s="82"/>
      <c r="AI50" s="82"/>
      <c r="AJ50" s="82"/>
      <c r="AK50" s="83" t="s">
        <v>51</v>
      </c>
      <c r="AL50" s="101">
        <f t="shared" si="14"/>
        <v>12</v>
      </c>
      <c r="AM50" s="101">
        <f t="shared" si="15"/>
        <v>10</v>
      </c>
      <c r="AN50" s="101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 ht="13.5" customHeight="1">
      <c r="A51" s="84">
        <v>45686</v>
      </c>
      <c r="B51" s="78">
        <v>1600</v>
      </c>
      <c r="C51" s="78"/>
      <c r="D51" s="76">
        <f>(SUM(粮草!A51:X51)+AG51*10*IF(AK51="是",$BB$4,$BB$3))</f>
        <v>1528</v>
      </c>
      <c r="E51" s="90">
        <f>SUM($B$4:B51)+SUM($C$4:C51)-SUM($D$4:D51)</f>
        <v>506</v>
      </c>
      <c r="F51" s="89">
        <f>SUM(经验!A51:X51)</f>
        <v>560</v>
      </c>
      <c r="G51" s="76">
        <f>SUM($F$4:F51)+SUM($H$4:H51)</f>
        <v>36280</v>
      </c>
      <c r="H51" s="78">
        <v>200</v>
      </c>
      <c r="I51" s="54" t="s">
        <v>39</v>
      </c>
      <c r="J51" s="54" t="s">
        <v>39</v>
      </c>
      <c r="K51" s="54" t="s">
        <v>39</v>
      </c>
      <c r="L51" s="54" t="s">
        <v>39</v>
      </c>
      <c r="M51" s="62" t="s">
        <v>38</v>
      </c>
      <c r="N51" s="54" t="s">
        <v>39</v>
      </c>
      <c r="O51" s="79" t="s">
        <v>33</v>
      </c>
      <c r="P51" s="79" t="s">
        <v>33</v>
      </c>
      <c r="Q51" s="56" t="s">
        <v>42</v>
      </c>
      <c r="R51" s="56" t="s">
        <v>42</v>
      </c>
      <c r="S51" s="56" t="s">
        <v>42</v>
      </c>
      <c r="T51" s="93" t="s">
        <v>38</v>
      </c>
      <c r="U51" s="56" t="s">
        <v>42</v>
      </c>
      <c r="V51" s="56" t="s">
        <v>42</v>
      </c>
      <c r="W51" s="79" t="s">
        <v>33</v>
      </c>
      <c r="X51" s="79" t="s">
        <v>33</v>
      </c>
      <c r="Y51" s="78" t="s">
        <v>33</v>
      </c>
      <c r="Z51" s="78" t="s">
        <v>33</v>
      </c>
      <c r="AA51" s="78" t="s">
        <v>33</v>
      </c>
      <c r="AB51" s="78" t="s">
        <v>33</v>
      </c>
      <c r="AC51" s="78" t="s">
        <v>33</v>
      </c>
      <c r="AD51" s="78" t="s">
        <v>33</v>
      </c>
      <c r="AE51" s="79" t="s">
        <v>33</v>
      </c>
      <c r="AF51" s="79" t="s">
        <v>33</v>
      </c>
      <c r="AG51" s="80">
        <f t="shared" si="6"/>
        <v>1</v>
      </c>
      <c r="AH51" s="82"/>
      <c r="AI51" s="82">
        <v>1</v>
      </c>
      <c r="AJ51" s="82"/>
      <c r="AK51" s="83" t="s">
        <v>51</v>
      </c>
      <c r="AL51" s="101">
        <f t="shared" si="14"/>
        <v>12</v>
      </c>
      <c r="AM51" s="101">
        <f t="shared" si="15"/>
        <v>10</v>
      </c>
      <c r="AN51" s="101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3</v>
      </c>
      <c r="AV51">
        <v>1</v>
      </c>
      <c r="AW51">
        <v>160</v>
      </c>
      <c r="BE51" s="29"/>
    </row>
    <row r="52" spans="1:57" ht="13.5" customHeight="1">
      <c r="A52" s="84">
        <v>45687</v>
      </c>
      <c r="B52" s="78">
        <v>1600</v>
      </c>
      <c r="C52" s="78"/>
      <c r="D52" s="76">
        <f>(SUM(粮草!A52:X52)+AG52*10*IF(AK52="是",$BB$4,$BB$3))</f>
        <v>1728</v>
      </c>
      <c r="E52" s="90">
        <f>SUM($B$4:B52)+SUM($C$4:C52)-SUM($D$4:D52)</f>
        <v>378</v>
      </c>
      <c r="F52" s="89">
        <f>SUM(经验!A52:X52)</f>
        <v>600</v>
      </c>
      <c r="G52" s="76">
        <f>SUM($F$4:F52)+SUM($H$4:H52)</f>
        <v>36880</v>
      </c>
      <c r="H52" s="78">
        <v>0</v>
      </c>
      <c r="I52" s="54" t="s">
        <v>39</v>
      </c>
      <c r="J52" s="54" t="s">
        <v>39</v>
      </c>
      <c r="K52" s="54" t="s">
        <v>39</v>
      </c>
      <c r="L52" s="54" t="s">
        <v>39</v>
      </c>
      <c r="M52" s="54" t="s">
        <v>39</v>
      </c>
      <c r="N52" s="54" t="s">
        <v>39</v>
      </c>
      <c r="O52" s="79" t="s">
        <v>33</v>
      </c>
      <c r="P52" s="79" t="s">
        <v>33</v>
      </c>
      <c r="Q52" s="56" t="s">
        <v>42</v>
      </c>
      <c r="R52" s="56" t="s">
        <v>42</v>
      </c>
      <c r="S52" s="56" t="s">
        <v>42</v>
      </c>
      <c r="T52" s="56" t="s">
        <v>42</v>
      </c>
      <c r="U52" s="56" t="s">
        <v>42</v>
      </c>
      <c r="V52" s="56" t="s">
        <v>42</v>
      </c>
      <c r="W52" s="79" t="s">
        <v>33</v>
      </c>
      <c r="X52" s="79" t="s">
        <v>33</v>
      </c>
      <c r="Y52" s="78" t="s">
        <v>33</v>
      </c>
      <c r="Z52" s="78" t="s">
        <v>33</v>
      </c>
      <c r="AA52" s="78" t="s">
        <v>33</v>
      </c>
      <c r="AB52" s="78" t="s">
        <v>33</v>
      </c>
      <c r="AC52" s="78" t="s">
        <v>33</v>
      </c>
      <c r="AD52" s="78" t="s">
        <v>33</v>
      </c>
      <c r="AE52" s="79" t="s">
        <v>33</v>
      </c>
      <c r="AF52" s="79" t="s">
        <v>33</v>
      </c>
      <c r="AG52" s="80">
        <f t="shared" si="6"/>
        <v>0</v>
      </c>
      <c r="AH52" s="82"/>
      <c r="AI52" s="82"/>
      <c r="AJ52" s="82"/>
      <c r="AK52" s="83" t="s">
        <v>51</v>
      </c>
      <c r="AL52" s="101">
        <f t="shared" si="14"/>
        <v>12</v>
      </c>
      <c r="AM52" s="101">
        <f t="shared" si="15"/>
        <v>10</v>
      </c>
      <c r="AN52" s="101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1</v>
      </c>
      <c r="BE52" s="29"/>
    </row>
    <row r="53" spans="1:57">
      <c r="A53" s="84">
        <v>45688</v>
      </c>
      <c r="B53" s="78">
        <v>1600</v>
      </c>
      <c r="C53" s="78"/>
      <c r="D53" s="76">
        <f>(SUM(粮草!A53:X53)+AG53*10*IF(AK53="是",$BB$4,$BB$3))</f>
        <v>1632</v>
      </c>
      <c r="E53" s="90">
        <f>SUM($B$4:B53)+SUM($C$4:C53)-SUM($D$4:D53)</f>
        <v>346</v>
      </c>
      <c r="F53" s="89">
        <f>SUM(经验!A53:X53)</f>
        <v>585</v>
      </c>
      <c r="G53" s="76">
        <f>SUM($F$4:F53)+SUM($H$4:H53)</f>
        <v>37465</v>
      </c>
      <c r="H53" s="78">
        <v>0</v>
      </c>
      <c r="I53" s="54" t="s">
        <v>39</v>
      </c>
      <c r="J53" s="54" t="s">
        <v>39</v>
      </c>
      <c r="K53" s="62" t="s">
        <v>38</v>
      </c>
      <c r="L53" s="54" t="s">
        <v>39</v>
      </c>
      <c r="M53" s="54" t="s">
        <v>39</v>
      </c>
      <c r="N53" s="54" t="s">
        <v>39</v>
      </c>
      <c r="O53" s="79" t="s">
        <v>33</v>
      </c>
      <c r="P53" s="79" t="s">
        <v>33</v>
      </c>
      <c r="Q53" s="56" t="s">
        <v>42</v>
      </c>
      <c r="R53" s="56" t="s">
        <v>42</v>
      </c>
      <c r="S53" s="56" t="s">
        <v>42</v>
      </c>
      <c r="T53" s="56" t="s">
        <v>42</v>
      </c>
      <c r="U53" s="56" t="s">
        <v>42</v>
      </c>
      <c r="V53" s="56" t="s">
        <v>42</v>
      </c>
      <c r="W53" s="79" t="s">
        <v>33</v>
      </c>
      <c r="X53" s="79" t="s">
        <v>33</v>
      </c>
      <c r="Y53" s="78" t="s">
        <v>33</v>
      </c>
      <c r="Z53" s="78" t="s">
        <v>33</v>
      </c>
      <c r="AA53" s="78" t="s">
        <v>33</v>
      </c>
      <c r="AB53" s="78" t="s">
        <v>33</v>
      </c>
      <c r="AC53" s="78" t="s">
        <v>33</v>
      </c>
      <c r="AD53" s="78" t="s">
        <v>33</v>
      </c>
      <c r="AE53" s="79" t="s">
        <v>33</v>
      </c>
      <c r="AF53" s="79" t="s">
        <v>33</v>
      </c>
      <c r="AG53" s="80">
        <f t="shared" si="6"/>
        <v>0</v>
      </c>
      <c r="AH53" s="82"/>
      <c r="AI53" s="82"/>
      <c r="AJ53" s="82"/>
      <c r="AK53" s="83" t="s">
        <v>51</v>
      </c>
      <c r="AL53" s="101">
        <f t="shared" si="14"/>
        <v>12</v>
      </c>
      <c r="AM53" s="101">
        <f t="shared" si="15"/>
        <v>10</v>
      </c>
      <c r="AN53" s="101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4">
        <v>45689</v>
      </c>
      <c r="B54" s="78">
        <v>1600</v>
      </c>
      <c r="C54" s="78"/>
      <c r="D54" s="76">
        <f>(SUM(粮草!A54:X54)+AG54*10*IF(AK54="是",$BB$4,$BB$3))</f>
        <v>1600</v>
      </c>
      <c r="E54" s="90">
        <f>SUM($B$4:B54)+SUM($C$4:C54)-SUM($D$4:D54)</f>
        <v>346</v>
      </c>
      <c r="F54" s="89">
        <f>SUM(经验!A54:X54)</f>
        <v>565</v>
      </c>
      <c r="G54" s="76">
        <f>SUM($F$4:F54)+SUM($H$4:H54)</f>
        <v>38030</v>
      </c>
      <c r="H54" s="78">
        <v>0</v>
      </c>
      <c r="I54" s="53" t="s">
        <v>36</v>
      </c>
      <c r="J54" s="62" t="s">
        <v>38</v>
      </c>
      <c r="K54" s="53" t="s">
        <v>36</v>
      </c>
      <c r="L54" s="53" t="s">
        <v>36</v>
      </c>
      <c r="M54" s="58" t="s">
        <v>40</v>
      </c>
      <c r="N54" s="54" t="s">
        <v>39</v>
      </c>
      <c r="O54" s="79" t="s">
        <v>33</v>
      </c>
      <c r="P54" s="79" t="s">
        <v>33</v>
      </c>
      <c r="Q54" s="56" t="s">
        <v>42</v>
      </c>
      <c r="R54" s="56" t="s">
        <v>42</v>
      </c>
      <c r="S54" s="56" t="s">
        <v>42</v>
      </c>
      <c r="T54" s="56" t="s">
        <v>42</v>
      </c>
      <c r="U54" s="56" t="s">
        <v>42</v>
      </c>
      <c r="V54" s="56" t="s">
        <v>42</v>
      </c>
      <c r="W54" s="79" t="s">
        <v>33</v>
      </c>
      <c r="X54" s="79" t="s">
        <v>33</v>
      </c>
      <c r="Y54" s="78" t="s">
        <v>33</v>
      </c>
      <c r="Z54" s="78" t="s">
        <v>33</v>
      </c>
      <c r="AA54" s="78" t="s">
        <v>33</v>
      </c>
      <c r="AB54" s="78" t="s">
        <v>33</v>
      </c>
      <c r="AC54" s="78" t="s">
        <v>33</v>
      </c>
      <c r="AD54" s="78" t="s">
        <v>33</v>
      </c>
      <c r="AE54" s="79" t="s">
        <v>33</v>
      </c>
      <c r="AF54" s="79" t="s">
        <v>33</v>
      </c>
      <c r="AG54" s="80">
        <f t="shared" si="6"/>
        <v>1</v>
      </c>
      <c r="AH54" s="82">
        <v>1</v>
      </c>
      <c r="AI54" s="82"/>
      <c r="AJ54" s="82"/>
      <c r="AK54" s="83" t="s">
        <v>51</v>
      </c>
      <c r="AL54" s="101">
        <f t="shared" si="14"/>
        <v>12</v>
      </c>
      <c r="AM54" s="101">
        <f t="shared" si="15"/>
        <v>10</v>
      </c>
      <c r="AN54" s="101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4">
        <v>45690</v>
      </c>
      <c r="B55" s="78">
        <v>1600</v>
      </c>
      <c r="C55" s="78"/>
      <c r="D55" s="76">
        <f>(SUM(粮草!A55:X55)+AG55*10*IF(AK55="是",$BB$4,$BB$3))</f>
        <v>880</v>
      </c>
      <c r="E55" s="90">
        <f>SUM($B$4:B55)+SUM($C$4:C55)-SUM($D$4:D55)</f>
        <v>1066</v>
      </c>
      <c r="F55" s="89">
        <f>SUM(经验!A55:X55)</f>
        <v>330</v>
      </c>
      <c r="G55" s="76">
        <f>SUM($F$4:F55)+SUM($H$4:H55)</f>
        <v>38360</v>
      </c>
      <c r="H55" s="78">
        <v>0</v>
      </c>
      <c r="I55" s="78" t="s">
        <v>33</v>
      </c>
      <c r="J55" s="78" t="s">
        <v>33</v>
      </c>
      <c r="K55" s="78" t="s">
        <v>33</v>
      </c>
      <c r="L55" s="78" t="s">
        <v>33</v>
      </c>
      <c r="M55" s="78" t="s">
        <v>33</v>
      </c>
      <c r="N55" s="78" t="s">
        <v>33</v>
      </c>
      <c r="O55" s="79" t="s">
        <v>33</v>
      </c>
      <c r="P55" s="79" t="s">
        <v>33</v>
      </c>
      <c r="Q55" s="56" t="s">
        <v>42</v>
      </c>
      <c r="R55" s="56" t="s">
        <v>42</v>
      </c>
      <c r="S55" s="71" t="s">
        <v>48</v>
      </c>
      <c r="T55" s="56" t="s">
        <v>42</v>
      </c>
      <c r="U55" s="56" t="s">
        <v>42</v>
      </c>
      <c r="V55" s="56" t="s">
        <v>42</v>
      </c>
      <c r="W55" s="79" t="s">
        <v>33</v>
      </c>
      <c r="X55" s="79" t="s">
        <v>33</v>
      </c>
      <c r="Y55" s="78" t="s">
        <v>33</v>
      </c>
      <c r="Z55" s="78" t="s">
        <v>33</v>
      </c>
      <c r="AA55" s="78" t="s">
        <v>33</v>
      </c>
      <c r="AB55" s="78" t="s">
        <v>33</v>
      </c>
      <c r="AC55" s="78" t="s">
        <v>33</v>
      </c>
      <c r="AD55" s="78" t="s">
        <v>33</v>
      </c>
      <c r="AE55" s="79" t="s">
        <v>33</v>
      </c>
      <c r="AF55" s="79" t="s">
        <v>33</v>
      </c>
      <c r="AG55" s="80">
        <f t="shared" si="6"/>
        <v>0</v>
      </c>
      <c r="AH55" s="82"/>
      <c r="AI55" s="82"/>
      <c r="AJ55" s="82"/>
      <c r="AK55" s="83" t="s">
        <v>51</v>
      </c>
      <c r="AL55" s="101">
        <f t="shared" si="14"/>
        <v>18</v>
      </c>
      <c r="AM55" s="101">
        <f t="shared" si="15"/>
        <v>10</v>
      </c>
      <c r="AN55" s="101">
        <f t="shared" si="16"/>
        <v>18</v>
      </c>
      <c r="BE55" s="29"/>
    </row>
    <row r="56" spans="1:57">
      <c r="A56" s="84">
        <v>45691</v>
      </c>
      <c r="B56" s="76">
        <v>1600</v>
      </c>
      <c r="C56" s="77"/>
      <c r="D56" s="76">
        <f>(SUM(粮草!A56:X56)+AG56*10*IF(AK56="是",$BB$4,$BB$3))</f>
        <v>1776</v>
      </c>
      <c r="E56" s="90">
        <f>SUM($B$4:B56)+SUM($C$4:C56)-SUM($D$4:D56)</f>
        <v>890</v>
      </c>
      <c r="F56" s="89">
        <f>SUM(经验!A56:X56)</f>
        <v>1045</v>
      </c>
      <c r="G56" s="76">
        <f>SUM($F$4:F56)+SUM($H$4:H56)</f>
        <v>39705</v>
      </c>
      <c r="H56" s="76">
        <v>300</v>
      </c>
      <c r="I56" s="54" t="s">
        <v>39</v>
      </c>
      <c r="J56" s="54" t="s">
        <v>39</v>
      </c>
      <c r="K56" s="54" t="s">
        <v>39</v>
      </c>
      <c r="L56" s="54" t="s">
        <v>39</v>
      </c>
      <c r="M56" s="54" t="s">
        <v>39</v>
      </c>
      <c r="N56" s="54" t="s">
        <v>39</v>
      </c>
      <c r="O56" s="79" t="s">
        <v>33</v>
      </c>
      <c r="P56" s="79" t="s">
        <v>33</v>
      </c>
      <c r="Q56" s="56" t="s">
        <v>42</v>
      </c>
      <c r="R56" s="56" t="s">
        <v>42</v>
      </c>
      <c r="S56" s="65" t="s">
        <v>53</v>
      </c>
      <c r="T56" s="56" t="s">
        <v>42</v>
      </c>
      <c r="U56" s="56" t="s">
        <v>42</v>
      </c>
      <c r="V56" s="56" t="s">
        <v>42</v>
      </c>
      <c r="W56" s="79" t="s">
        <v>33</v>
      </c>
      <c r="X56" s="79" t="s">
        <v>33</v>
      </c>
      <c r="Y56" s="78" t="s">
        <v>33</v>
      </c>
      <c r="Z56" s="78" t="s">
        <v>33</v>
      </c>
      <c r="AA56" s="78" t="s">
        <v>33</v>
      </c>
      <c r="AB56" s="78" t="s">
        <v>33</v>
      </c>
      <c r="AC56" s="78" t="s">
        <v>33</v>
      </c>
      <c r="AD56" s="78" t="s">
        <v>33</v>
      </c>
      <c r="AE56" s="79" t="s">
        <v>33</v>
      </c>
      <c r="AF56" s="79" t="s">
        <v>33</v>
      </c>
      <c r="AG56" s="80">
        <f t="shared" si="6"/>
        <v>0</v>
      </c>
      <c r="AH56" s="82"/>
      <c r="AI56" s="82"/>
      <c r="AJ56" s="82"/>
      <c r="AK56" s="83" t="s">
        <v>51</v>
      </c>
      <c r="AL56" s="101">
        <f t="shared" si="14"/>
        <v>12</v>
      </c>
      <c r="AM56" s="101">
        <f t="shared" si="15"/>
        <v>10</v>
      </c>
      <c r="AN56" s="101">
        <f t="shared" si="16"/>
        <v>18</v>
      </c>
      <c r="BE56" s="29"/>
    </row>
    <row r="57" spans="1:57">
      <c r="A57" s="84">
        <v>45692</v>
      </c>
      <c r="B57" s="76">
        <v>1600</v>
      </c>
      <c r="C57" s="77"/>
      <c r="D57" s="76">
        <f>(SUM(粮草!A57:X57)+AG57*10*IF(AK57="是",$BB$4,$BB$3))</f>
        <v>1632</v>
      </c>
      <c r="E57" s="90">
        <f>SUM($B$4:B57)+SUM($C$4:C57)-SUM($D$4:D57)</f>
        <v>858</v>
      </c>
      <c r="F57" s="89">
        <f>SUM(经验!A57:X57)</f>
        <v>585</v>
      </c>
      <c r="G57" s="76">
        <f>SUM($F$4:F57)+SUM($H$4:H57)</f>
        <v>40290</v>
      </c>
      <c r="H57" s="76">
        <v>0</v>
      </c>
      <c r="I57" s="54" t="s">
        <v>39</v>
      </c>
      <c r="J57" s="54" t="s">
        <v>39</v>
      </c>
      <c r="K57" s="54" t="s">
        <v>39</v>
      </c>
      <c r="L57" s="54" t="s">
        <v>39</v>
      </c>
      <c r="M57" s="62" t="s">
        <v>38</v>
      </c>
      <c r="N57" s="54" t="s">
        <v>39</v>
      </c>
      <c r="O57" s="79" t="s">
        <v>33</v>
      </c>
      <c r="P57" s="79" t="s">
        <v>33</v>
      </c>
      <c r="Q57" s="56" t="s">
        <v>42</v>
      </c>
      <c r="R57" s="56" t="s">
        <v>42</v>
      </c>
      <c r="S57" s="56" t="s">
        <v>42</v>
      </c>
      <c r="T57" s="56" t="s">
        <v>42</v>
      </c>
      <c r="U57" s="56" t="s">
        <v>42</v>
      </c>
      <c r="V57" s="56" t="s">
        <v>42</v>
      </c>
      <c r="W57" s="79" t="s">
        <v>33</v>
      </c>
      <c r="X57" s="79" t="s">
        <v>33</v>
      </c>
      <c r="Y57" s="78" t="s">
        <v>33</v>
      </c>
      <c r="Z57" s="78" t="s">
        <v>33</v>
      </c>
      <c r="AA57" s="78" t="s">
        <v>33</v>
      </c>
      <c r="AB57" s="78" t="s">
        <v>33</v>
      </c>
      <c r="AC57" s="78" t="s">
        <v>33</v>
      </c>
      <c r="AD57" s="78" t="s">
        <v>33</v>
      </c>
      <c r="AE57" s="79" t="s">
        <v>33</v>
      </c>
      <c r="AF57" s="79" t="s">
        <v>33</v>
      </c>
      <c r="AG57" s="80">
        <f t="shared" si="6"/>
        <v>0</v>
      </c>
      <c r="AH57" s="82"/>
      <c r="AI57" s="82"/>
      <c r="AJ57" s="82"/>
      <c r="AK57" s="83" t="s">
        <v>51</v>
      </c>
      <c r="AL57" s="101">
        <f t="shared" si="14"/>
        <v>12</v>
      </c>
      <c r="AM57" s="101">
        <f t="shared" si="15"/>
        <v>10</v>
      </c>
      <c r="AN57" s="101">
        <f t="shared" si="16"/>
        <v>18</v>
      </c>
      <c r="BE57" s="29"/>
    </row>
    <row r="58" spans="1:57">
      <c r="A58" s="84">
        <v>45693</v>
      </c>
      <c r="B58" s="76">
        <v>1600</v>
      </c>
      <c r="C58" s="77"/>
      <c r="D58" s="76">
        <f>(SUM(粮草!A58:X58)+AG58*10*IF(AK58="是",$BB$4,$BB$3))</f>
        <v>1616</v>
      </c>
      <c r="E58" s="90">
        <f>SUM($B$4:B58)+SUM($C$4:C58)-SUM($D$4:D58)</f>
        <v>842</v>
      </c>
      <c r="F58" s="89">
        <f>SUM(经验!A58:X58)</f>
        <v>575</v>
      </c>
      <c r="G58" s="76">
        <f>SUM($F$4:F58)+SUM($H$4:H58)</f>
        <v>41065</v>
      </c>
      <c r="H58" s="76">
        <v>200</v>
      </c>
      <c r="I58" s="54" t="s">
        <v>39</v>
      </c>
      <c r="J58" s="54" t="s">
        <v>39</v>
      </c>
      <c r="K58" s="54" t="s">
        <v>39</v>
      </c>
      <c r="L58" s="54" t="s">
        <v>39</v>
      </c>
      <c r="M58" s="54" t="s">
        <v>39</v>
      </c>
      <c r="N58" s="54" t="s">
        <v>39</v>
      </c>
      <c r="O58" s="79" t="s">
        <v>33</v>
      </c>
      <c r="P58" s="79" t="s">
        <v>33</v>
      </c>
      <c r="Q58" s="56" t="s">
        <v>42</v>
      </c>
      <c r="R58" s="56" t="s">
        <v>42</v>
      </c>
      <c r="S58" s="93" t="s">
        <v>38</v>
      </c>
      <c r="T58" s="56" t="s">
        <v>42</v>
      </c>
      <c r="U58" s="56" t="s">
        <v>42</v>
      </c>
      <c r="V58" s="56" t="s">
        <v>42</v>
      </c>
      <c r="W58" s="79" t="s">
        <v>33</v>
      </c>
      <c r="X58" s="79" t="s">
        <v>33</v>
      </c>
      <c r="Y58" s="78" t="s">
        <v>33</v>
      </c>
      <c r="Z58" s="78" t="s">
        <v>33</v>
      </c>
      <c r="AA58" s="78" t="s">
        <v>33</v>
      </c>
      <c r="AB58" s="78" t="s">
        <v>33</v>
      </c>
      <c r="AC58" s="78" t="s">
        <v>33</v>
      </c>
      <c r="AD58" s="78" t="s">
        <v>33</v>
      </c>
      <c r="AE58" s="79" t="s">
        <v>33</v>
      </c>
      <c r="AF58" s="79" t="s">
        <v>33</v>
      </c>
      <c r="AG58" s="80">
        <f t="shared" si="6"/>
        <v>0</v>
      </c>
      <c r="AH58" s="82"/>
      <c r="AI58" s="82"/>
      <c r="AJ58" s="82"/>
      <c r="AK58" s="83" t="s">
        <v>51</v>
      </c>
      <c r="AL58" s="101">
        <f t="shared" si="14"/>
        <v>12</v>
      </c>
      <c r="AM58" s="101">
        <f t="shared" si="15"/>
        <v>10</v>
      </c>
      <c r="AN58" s="101">
        <f t="shared" si="16"/>
        <v>18</v>
      </c>
      <c r="BE58" s="29"/>
    </row>
    <row r="59" spans="1:57">
      <c r="A59" s="84">
        <v>45694</v>
      </c>
      <c r="B59" s="76">
        <v>1600</v>
      </c>
      <c r="C59" s="77"/>
      <c r="D59" s="76">
        <f>(SUM(粮草!A59:X59)+AG59*10*IF(AK59="是",$BB$4,$BB$3))</f>
        <v>1616</v>
      </c>
      <c r="E59" s="90">
        <f>SUM($B$4:B59)+SUM($C$4:C59)-SUM($D$4:D59)</f>
        <v>826</v>
      </c>
      <c r="F59" s="89">
        <f>SUM(经验!A59:X59)</f>
        <v>1065</v>
      </c>
      <c r="G59" s="76">
        <f>SUM($F$4:F59)+SUM($H$4:H59)</f>
        <v>42130</v>
      </c>
      <c r="H59" s="76">
        <v>0</v>
      </c>
      <c r="I59" s="54" t="s">
        <v>39</v>
      </c>
      <c r="J59" s="54" t="s">
        <v>39</v>
      </c>
      <c r="K59" s="54" t="s">
        <v>39</v>
      </c>
      <c r="L59" s="54" t="s">
        <v>39</v>
      </c>
      <c r="M59" s="54" t="s">
        <v>39</v>
      </c>
      <c r="N59" s="54" t="s">
        <v>39</v>
      </c>
      <c r="O59" s="79" t="s">
        <v>33</v>
      </c>
      <c r="P59" s="79" t="s">
        <v>33</v>
      </c>
      <c r="Q59" s="56" t="s">
        <v>42</v>
      </c>
      <c r="R59" s="40" t="s">
        <v>61</v>
      </c>
      <c r="S59" s="56" t="s">
        <v>42</v>
      </c>
      <c r="T59" s="56" t="s">
        <v>42</v>
      </c>
      <c r="U59" s="56" t="s">
        <v>42</v>
      </c>
      <c r="V59" s="56" t="s">
        <v>42</v>
      </c>
      <c r="W59" s="79" t="s">
        <v>33</v>
      </c>
      <c r="X59" s="79" t="s">
        <v>33</v>
      </c>
      <c r="Y59" s="78" t="s">
        <v>33</v>
      </c>
      <c r="Z59" s="78" t="s">
        <v>33</v>
      </c>
      <c r="AA59" s="78" t="s">
        <v>33</v>
      </c>
      <c r="AB59" s="78" t="s">
        <v>33</v>
      </c>
      <c r="AC59" s="78" t="s">
        <v>33</v>
      </c>
      <c r="AD59" s="78" t="s">
        <v>33</v>
      </c>
      <c r="AE59" s="79" t="s">
        <v>33</v>
      </c>
      <c r="AF59" s="79" t="s">
        <v>33</v>
      </c>
      <c r="AG59" s="80">
        <f t="shared" si="6"/>
        <v>0</v>
      </c>
      <c r="AH59" s="82"/>
      <c r="AI59" s="82"/>
      <c r="AJ59" s="82"/>
      <c r="AK59" s="83" t="s">
        <v>51</v>
      </c>
      <c r="AL59" s="101">
        <f t="shared" si="14"/>
        <v>12</v>
      </c>
      <c r="AM59" s="101">
        <f t="shared" si="15"/>
        <v>11</v>
      </c>
      <c r="AN59" s="101">
        <f t="shared" si="16"/>
        <v>18</v>
      </c>
      <c r="BE59" s="29"/>
    </row>
    <row r="60" spans="1:57">
      <c r="A60" s="75">
        <v>45695</v>
      </c>
      <c r="B60" s="76">
        <v>1600</v>
      </c>
      <c r="C60" s="77"/>
      <c r="D60" s="76">
        <f>(SUM(粮草!A60:X60)+AG60*10*IF(AK60="是",$BB$4,$BB$3))</f>
        <v>1728</v>
      </c>
      <c r="E60" s="90">
        <f>SUM($B$4:B60)+SUM($C$4:C60)-SUM($D$4:D60)</f>
        <v>698</v>
      </c>
      <c r="F60" s="89">
        <f>SUM(经验!A60:X60)</f>
        <v>600</v>
      </c>
      <c r="G60" s="76">
        <f>SUM($F$4:F60)+SUM($H$4:H60)</f>
        <v>42730</v>
      </c>
      <c r="H60" s="76">
        <v>0</v>
      </c>
      <c r="I60" s="54" t="s">
        <v>39</v>
      </c>
      <c r="J60" s="54" t="s">
        <v>39</v>
      </c>
      <c r="K60" s="54" t="s">
        <v>39</v>
      </c>
      <c r="L60" s="54" t="s">
        <v>39</v>
      </c>
      <c r="M60" s="54" t="s">
        <v>39</v>
      </c>
      <c r="N60" s="54" t="s">
        <v>39</v>
      </c>
      <c r="O60" s="79" t="s">
        <v>33</v>
      </c>
      <c r="P60" s="79" t="s">
        <v>33</v>
      </c>
      <c r="Q60" s="56" t="s">
        <v>42</v>
      </c>
      <c r="R60" s="56" t="s">
        <v>42</v>
      </c>
      <c r="S60" s="56" t="s">
        <v>42</v>
      </c>
      <c r="T60" s="56" t="s">
        <v>42</v>
      </c>
      <c r="U60" s="56" t="s">
        <v>42</v>
      </c>
      <c r="V60" s="56" t="s">
        <v>42</v>
      </c>
      <c r="W60" s="79" t="s">
        <v>33</v>
      </c>
      <c r="X60" s="79" t="s">
        <v>33</v>
      </c>
      <c r="Y60" s="78" t="s">
        <v>33</v>
      </c>
      <c r="Z60" s="78" t="s">
        <v>33</v>
      </c>
      <c r="AA60" s="78" t="s">
        <v>33</v>
      </c>
      <c r="AB60" s="78" t="s">
        <v>33</v>
      </c>
      <c r="AC60" s="78" t="s">
        <v>33</v>
      </c>
      <c r="AD60" s="78" t="s">
        <v>33</v>
      </c>
      <c r="AE60" s="79" t="s">
        <v>33</v>
      </c>
      <c r="AF60" s="79" t="s">
        <v>33</v>
      </c>
      <c r="AG60" s="80">
        <f t="shared" si="6"/>
        <v>0</v>
      </c>
      <c r="AH60" s="82"/>
      <c r="AI60" s="82"/>
      <c r="AJ60" s="82"/>
      <c r="AK60" s="83" t="s">
        <v>51</v>
      </c>
      <c r="AL60" s="101">
        <f t="shared" si="14"/>
        <v>12</v>
      </c>
      <c r="AM60" s="101">
        <f t="shared" si="15"/>
        <v>11</v>
      </c>
      <c r="AN60" s="101">
        <f t="shared" si="16"/>
        <v>18</v>
      </c>
      <c r="BE60" s="29"/>
    </row>
    <row r="61" spans="1:57">
      <c r="A61" s="75">
        <v>45696</v>
      </c>
      <c r="B61" s="76">
        <v>1600</v>
      </c>
      <c r="C61" s="77"/>
      <c r="D61" s="76">
        <f>(SUM(粮草!A61:X61)+AG61*10*IF(AK61="是",$BB$4,$BB$3))</f>
        <v>1704</v>
      </c>
      <c r="E61" s="90">
        <f>SUM($B$4:B61)+SUM($C$4:C61)-SUM($D$4:D61)</f>
        <v>594</v>
      </c>
      <c r="F61" s="89">
        <f>SUM(经验!A61:X61)</f>
        <v>590</v>
      </c>
      <c r="G61" s="76">
        <f>SUM($F$4:F61)+SUM($H$4:H61)</f>
        <v>43320</v>
      </c>
      <c r="H61" s="76">
        <v>0</v>
      </c>
      <c r="I61" s="54" t="s">
        <v>39</v>
      </c>
      <c r="J61" s="54" t="s">
        <v>39</v>
      </c>
      <c r="K61" s="59" t="s">
        <v>46</v>
      </c>
      <c r="L61" s="54" t="s">
        <v>39</v>
      </c>
      <c r="M61" s="55" t="s">
        <v>41</v>
      </c>
      <c r="N61" s="55" t="s">
        <v>41</v>
      </c>
      <c r="O61" s="79" t="s">
        <v>33</v>
      </c>
      <c r="P61" s="79" t="s">
        <v>33</v>
      </c>
      <c r="Q61" s="56" t="s">
        <v>42</v>
      </c>
      <c r="R61" s="56" t="s">
        <v>42</v>
      </c>
      <c r="S61" s="56" t="s">
        <v>42</v>
      </c>
      <c r="T61" s="56" t="s">
        <v>42</v>
      </c>
      <c r="U61" s="54" t="s">
        <v>39</v>
      </c>
      <c r="V61" s="54" t="s">
        <v>39</v>
      </c>
      <c r="W61" s="79" t="s">
        <v>33</v>
      </c>
      <c r="X61" s="79" t="s">
        <v>33</v>
      </c>
      <c r="Y61" s="78" t="s">
        <v>33</v>
      </c>
      <c r="Z61" s="78" t="s">
        <v>33</v>
      </c>
      <c r="AA61" s="78" t="s">
        <v>33</v>
      </c>
      <c r="AB61" s="78" t="s">
        <v>33</v>
      </c>
      <c r="AC61" s="78" t="s">
        <v>33</v>
      </c>
      <c r="AD61" s="78" t="s">
        <v>33</v>
      </c>
      <c r="AE61" s="79" t="s">
        <v>33</v>
      </c>
      <c r="AF61" s="79" t="s">
        <v>33</v>
      </c>
      <c r="AG61" s="80">
        <f t="shared" si="6"/>
        <v>1</v>
      </c>
      <c r="AH61" s="82">
        <v>1</v>
      </c>
      <c r="AI61" s="82"/>
      <c r="AJ61" s="82"/>
      <c r="AK61" s="83" t="s">
        <v>51</v>
      </c>
      <c r="AL61" s="101">
        <f t="shared" si="14"/>
        <v>12</v>
      </c>
      <c r="AM61" s="101">
        <f t="shared" si="15"/>
        <v>11</v>
      </c>
      <c r="AN61" s="101">
        <f t="shared" si="16"/>
        <v>18</v>
      </c>
      <c r="BE61" s="29"/>
    </row>
    <row r="62" spans="1:57">
      <c r="A62" s="75">
        <v>45697</v>
      </c>
      <c r="B62" s="76">
        <v>1600</v>
      </c>
      <c r="C62" s="77"/>
      <c r="D62" s="76">
        <f>(SUM(粮草!A62:X62)+AG62*10*IF(AK62="是",$BB$4,$BB$3))</f>
        <v>1768</v>
      </c>
      <c r="E62" s="90">
        <f>SUM($B$4:B62)+SUM($C$4:C62)-SUM($D$4:D62)</f>
        <v>426</v>
      </c>
      <c r="F62" s="89">
        <f>SUM(经验!A62:X62)</f>
        <v>625</v>
      </c>
      <c r="G62" s="76">
        <f>SUM($F$4:F62)+SUM($H$4:H62)</f>
        <v>43945</v>
      </c>
      <c r="H62" s="76">
        <v>0</v>
      </c>
      <c r="I62" s="55" t="s">
        <v>41</v>
      </c>
      <c r="J62" s="55" t="s">
        <v>41</v>
      </c>
      <c r="K62" s="54" t="s">
        <v>39</v>
      </c>
      <c r="L62" s="55" t="s">
        <v>41</v>
      </c>
      <c r="M62" s="55" t="s">
        <v>41</v>
      </c>
      <c r="N62" s="55" t="s">
        <v>41</v>
      </c>
      <c r="O62" s="79" t="s">
        <v>33</v>
      </c>
      <c r="P62" s="79" t="s">
        <v>33</v>
      </c>
      <c r="Q62" s="56" t="s">
        <v>42</v>
      </c>
      <c r="R62" s="56" t="s">
        <v>42</v>
      </c>
      <c r="S62" s="56" t="s">
        <v>42</v>
      </c>
      <c r="T62" s="56" t="s">
        <v>42</v>
      </c>
      <c r="U62" s="56" t="s">
        <v>42</v>
      </c>
      <c r="V62" s="56" t="s">
        <v>42</v>
      </c>
      <c r="W62" s="79" t="s">
        <v>33</v>
      </c>
      <c r="X62" s="79" t="s">
        <v>33</v>
      </c>
      <c r="Y62" s="78" t="s">
        <v>33</v>
      </c>
      <c r="Z62" s="78" t="s">
        <v>33</v>
      </c>
      <c r="AA62" s="78" t="s">
        <v>33</v>
      </c>
      <c r="AB62" s="78" t="s">
        <v>33</v>
      </c>
      <c r="AC62" s="78" t="s">
        <v>33</v>
      </c>
      <c r="AD62" s="78" t="s">
        <v>33</v>
      </c>
      <c r="AE62" s="79" t="s">
        <v>33</v>
      </c>
      <c r="AF62" s="79" t="s">
        <v>33</v>
      </c>
      <c r="AG62" s="80">
        <f t="shared" si="6"/>
        <v>0</v>
      </c>
      <c r="AH62" s="82"/>
      <c r="AI62" s="82"/>
      <c r="AJ62" s="82"/>
      <c r="AK62" s="83" t="s">
        <v>51</v>
      </c>
      <c r="AL62" s="101">
        <f t="shared" si="14"/>
        <v>12</v>
      </c>
      <c r="AM62" s="101">
        <f t="shared" si="15"/>
        <v>11</v>
      </c>
      <c r="AN62" s="101">
        <f t="shared" si="16"/>
        <v>18</v>
      </c>
      <c r="BE62" s="29"/>
    </row>
    <row r="63" spans="1:57">
      <c r="A63" s="75">
        <v>45698</v>
      </c>
      <c r="B63" s="78">
        <v>1600</v>
      </c>
      <c r="C63" s="78"/>
      <c r="D63" s="76">
        <f>(SUM(粮草!A63:X63)+AG63*10*IF(AK63="是",$BB$4,$BB$3))</f>
        <v>1808</v>
      </c>
      <c r="E63" s="90">
        <f>SUM($B$4:B63)+SUM($C$4:C63)-SUM($D$4:D63)</f>
        <v>218</v>
      </c>
      <c r="F63" s="89">
        <f>SUM(经验!A63:X63)</f>
        <v>650</v>
      </c>
      <c r="G63" s="76">
        <f>SUM($F$4:F63)+SUM($H$4:H63)</f>
        <v>44895</v>
      </c>
      <c r="H63" s="78">
        <v>300</v>
      </c>
      <c r="I63" s="57" t="s">
        <v>43</v>
      </c>
      <c r="J63" s="57" t="s">
        <v>43</v>
      </c>
      <c r="K63" s="55" t="s">
        <v>41</v>
      </c>
      <c r="L63" s="55" t="s">
        <v>41</v>
      </c>
      <c r="M63" s="55" t="s">
        <v>41</v>
      </c>
      <c r="N63" s="55" t="s">
        <v>41</v>
      </c>
      <c r="O63" s="79" t="s">
        <v>33</v>
      </c>
      <c r="P63" s="79" t="s">
        <v>33</v>
      </c>
      <c r="Q63" s="56" t="s">
        <v>42</v>
      </c>
      <c r="R63" s="56" t="s">
        <v>42</v>
      </c>
      <c r="S63" s="56" t="s">
        <v>42</v>
      </c>
      <c r="T63" s="56" t="s">
        <v>42</v>
      </c>
      <c r="U63" s="56" t="s">
        <v>42</v>
      </c>
      <c r="V63" s="56" t="s">
        <v>42</v>
      </c>
      <c r="W63" s="79" t="s">
        <v>33</v>
      </c>
      <c r="X63" s="79" t="s">
        <v>33</v>
      </c>
      <c r="Y63" s="78" t="s">
        <v>33</v>
      </c>
      <c r="Z63" s="78" t="s">
        <v>33</v>
      </c>
      <c r="AA63" s="78" t="s">
        <v>33</v>
      </c>
      <c r="AB63" s="78" t="s">
        <v>33</v>
      </c>
      <c r="AC63" s="78" t="s">
        <v>33</v>
      </c>
      <c r="AD63" s="78" t="s">
        <v>33</v>
      </c>
      <c r="AE63" s="79" t="s">
        <v>33</v>
      </c>
      <c r="AF63" s="79" t="s">
        <v>33</v>
      </c>
      <c r="AG63" s="80">
        <f t="shared" si="6"/>
        <v>0</v>
      </c>
      <c r="AH63" s="82"/>
      <c r="AI63" s="82"/>
      <c r="AJ63" s="82"/>
      <c r="AK63" s="83" t="s">
        <v>51</v>
      </c>
      <c r="AL63" s="101">
        <f t="shared" si="14"/>
        <v>12</v>
      </c>
      <c r="AM63" s="101">
        <f t="shared" si="15"/>
        <v>11</v>
      </c>
      <c r="AN63" s="101">
        <f t="shared" si="16"/>
        <v>18</v>
      </c>
      <c r="BE63" s="29"/>
    </row>
    <row r="64" spans="1:57">
      <c r="A64" s="75">
        <v>45699</v>
      </c>
      <c r="B64" s="78">
        <v>1600</v>
      </c>
      <c r="C64" s="78"/>
      <c r="D64" s="76">
        <f>(SUM(粮草!A64:X64)+AG64*10*IF(AK64="是",$BB$4,$BB$3))</f>
        <v>1816</v>
      </c>
      <c r="E64" s="90">
        <f>SUM($B$4:B64)+SUM($C$4:C64)-SUM($D$4:D64)</f>
        <v>2</v>
      </c>
      <c r="F64" s="89">
        <f>SUM(经验!A64:X64)</f>
        <v>655</v>
      </c>
      <c r="G64" s="76">
        <f>SUM($F$4:F64)+SUM($H$4:H64)</f>
        <v>45550</v>
      </c>
      <c r="H64" s="78">
        <v>0</v>
      </c>
      <c r="I64" s="55" t="s">
        <v>41</v>
      </c>
      <c r="J64" s="57" t="s">
        <v>43</v>
      </c>
      <c r="K64" s="57" t="s">
        <v>43</v>
      </c>
      <c r="L64" s="57" t="s">
        <v>43</v>
      </c>
      <c r="M64" s="57" t="s">
        <v>43</v>
      </c>
      <c r="N64" s="57" t="s">
        <v>43</v>
      </c>
      <c r="O64" s="79" t="s">
        <v>33</v>
      </c>
      <c r="P64" s="79" t="s">
        <v>33</v>
      </c>
      <c r="Q64" s="56" t="s">
        <v>42</v>
      </c>
      <c r="R64" s="55" t="s">
        <v>41</v>
      </c>
      <c r="S64" s="55" t="s">
        <v>41</v>
      </c>
      <c r="T64" s="55" t="s">
        <v>41</v>
      </c>
      <c r="U64" s="55" t="s">
        <v>41</v>
      </c>
      <c r="V64" s="55" t="s">
        <v>41</v>
      </c>
      <c r="W64" s="79" t="s">
        <v>33</v>
      </c>
      <c r="X64" s="79" t="s">
        <v>33</v>
      </c>
      <c r="Y64" s="78" t="s">
        <v>33</v>
      </c>
      <c r="Z64" s="78" t="s">
        <v>33</v>
      </c>
      <c r="AA64" s="78" t="s">
        <v>33</v>
      </c>
      <c r="AB64" s="78" t="s">
        <v>33</v>
      </c>
      <c r="AC64" s="78" t="s">
        <v>33</v>
      </c>
      <c r="AD64" s="78" t="s">
        <v>33</v>
      </c>
      <c r="AE64" s="79" t="s">
        <v>33</v>
      </c>
      <c r="AF64" s="79" t="s">
        <v>33</v>
      </c>
      <c r="AG64" s="80">
        <f t="shared" si="6"/>
        <v>0</v>
      </c>
      <c r="AH64" s="82"/>
      <c r="AI64" s="82"/>
      <c r="AJ64" s="82"/>
      <c r="AK64" s="83" t="s">
        <v>51</v>
      </c>
      <c r="AL64" s="101">
        <f t="shared" si="14"/>
        <v>12</v>
      </c>
      <c r="AM64" s="101">
        <f t="shared" si="15"/>
        <v>11</v>
      </c>
      <c r="AN64" s="101">
        <f t="shared" si="16"/>
        <v>18</v>
      </c>
      <c r="BE64" s="29"/>
    </row>
    <row r="65" spans="1:57">
      <c r="A65" s="75">
        <v>45700</v>
      </c>
      <c r="B65" s="78">
        <v>1600</v>
      </c>
      <c r="C65" s="78"/>
      <c r="D65" s="76">
        <f>(SUM(粮草!A65:X65)+AG65*10*IF(AK65="是",$BB$4,$BB$3))</f>
        <v>880</v>
      </c>
      <c r="E65" s="90">
        <f>SUM($B$4:B65)+SUM($C$4:C65)-SUM($D$4:D65)</f>
        <v>722</v>
      </c>
      <c r="F65" s="89">
        <f>SUM(经验!A65:X65)</f>
        <v>310</v>
      </c>
      <c r="G65" s="76">
        <f>SUM($F$4:F65)+SUM($H$4:H65)</f>
        <v>46060</v>
      </c>
      <c r="H65" s="78">
        <v>200</v>
      </c>
      <c r="I65" s="78" t="s">
        <v>33</v>
      </c>
      <c r="J65" s="78" t="s">
        <v>33</v>
      </c>
      <c r="K65" s="78" t="s">
        <v>33</v>
      </c>
      <c r="L65" s="78" t="s">
        <v>33</v>
      </c>
      <c r="M65" s="78" t="s">
        <v>33</v>
      </c>
      <c r="N65" s="78" t="s">
        <v>33</v>
      </c>
      <c r="O65" s="79" t="s">
        <v>33</v>
      </c>
      <c r="P65" s="79" t="s">
        <v>33</v>
      </c>
      <c r="Q65" s="55" t="s">
        <v>41</v>
      </c>
      <c r="R65" s="55" t="s">
        <v>41</v>
      </c>
      <c r="S65" s="55" t="s">
        <v>41</v>
      </c>
      <c r="T65" s="55" t="s">
        <v>41</v>
      </c>
      <c r="U65" s="57" t="s">
        <v>43</v>
      </c>
      <c r="V65" s="55" t="s">
        <v>41</v>
      </c>
      <c r="W65" s="79" t="s">
        <v>33</v>
      </c>
      <c r="X65" s="79" t="s">
        <v>33</v>
      </c>
      <c r="Y65" s="78" t="s">
        <v>33</v>
      </c>
      <c r="Z65" s="78" t="s">
        <v>33</v>
      </c>
      <c r="AA65" s="78" t="s">
        <v>33</v>
      </c>
      <c r="AB65" s="78" t="s">
        <v>33</v>
      </c>
      <c r="AC65" s="78" t="s">
        <v>33</v>
      </c>
      <c r="AD65" s="78" t="s">
        <v>33</v>
      </c>
      <c r="AE65" s="79" t="s">
        <v>33</v>
      </c>
      <c r="AF65" s="79" t="s">
        <v>33</v>
      </c>
      <c r="AG65" s="80">
        <f t="shared" si="6"/>
        <v>0</v>
      </c>
      <c r="AH65" s="82"/>
      <c r="AI65" s="82"/>
      <c r="AJ65" s="82"/>
      <c r="AK65" s="83" t="s">
        <v>51</v>
      </c>
      <c r="AL65" s="101">
        <f t="shared" si="14"/>
        <v>18</v>
      </c>
      <c r="AM65" s="101">
        <f t="shared" si="15"/>
        <v>11</v>
      </c>
      <c r="AN65" s="101">
        <f t="shared" si="16"/>
        <v>18</v>
      </c>
      <c r="BE65" s="29"/>
    </row>
    <row r="66" spans="1:57">
      <c r="A66" s="75">
        <v>45701</v>
      </c>
      <c r="B66" s="78">
        <v>1600</v>
      </c>
      <c r="C66" s="78"/>
      <c r="D66" s="76">
        <f>(SUM(粮草!A66:X66)+AG66*10*IF(AK66="是",$BB$4,$BB$3))</f>
        <v>896</v>
      </c>
      <c r="E66" s="90">
        <f>SUM($B$4:B66)+SUM($C$4:C66)-SUM($D$4:D66)</f>
        <v>1426</v>
      </c>
      <c r="F66" s="89">
        <f>SUM(经验!A66:X66)</f>
        <v>320</v>
      </c>
      <c r="G66" s="76">
        <f>SUM($F$4:F66)+SUM($H$4:H66)</f>
        <v>46380</v>
      </c>
      <c r="H66" s="78">
        <v>0</v>
      </c>
      <c r="I66" s="78" t="s">
        <v>33</v>
      </c>
      <c r="J66" s="78" t="s">
        <v>33</v>
      </c>
      <c r="K66" s="78" t="s">
        <v>33</v>
      </c>
      <c r="L66" s="78" t="s">
        <v>33</v>
      </c>
      <c r="M66" s="78" t="s">
        <v>33</v>
      </c>
      <c r="N66" s="78" t="s">
        <v>33</v>
      </c>
      <c r="O66" s="79" t="s">
        <v>33</v>
      </c>
      <c r="P66" s="79" t="s">
        <v>33</v>
      </c>
      <c r="Q66" s="55" t="s">
        <v>41</v>
      </c>
      <c r="R66" s="55" t="s">
        <v>41</v>
      </c>
      <c r="S66" s="57" t="s">
        <v>43</v>
      </c>
      <c r="T66" s="57" t="s">
        <v>43</v>
      </c>
      <c r="U66" s="55" t="s">
        <v>41</v>
      </c>
      <c r="V66" s="55" t="s">
        <v>41</v>
      </c>
      <c r="W66" s="79" t="s">
        <v>33</v>
      </c>
      <c r="X66" s="79" t="s">
        <v>33</v>
      </c>
      <c r="Y66" s="78" t="s">
        <v>33</v>
      </c>
      <c r="Z66" s="78" t="s">
        <v>33</v>
      </c>
      <c r="AA66" s="78" t="s">
        <v>33</v>
      </c>
      <c r="AB66" s="78" t="s">
        <v>33</v>
      </c>
      <c r="AC66" s="78" t="s">
        <v>33</v>
      </c>
      <c r="AD66" s="78" t="s">
        <v>33</v>
      </c>
      <c r="AE66" s="79" t="s">
        <v>33</v>
      </c>
      <c r="AF66" s="79" t="s">
        <v>33</v>
      </c>
      <c r="AG66" s="80">
        <f t="shared" si="6"/>
        <v>0</v>
      </c>
      <c r="AH66" s="82"/>
      <c r="AI66" s="82"/>
      <c r="AJ66" s="82"/>
      <c r="AK66" s="83" t="s">
        <v>51</v>
      </c>
      <c r="AL66" s="101">
        <f t="shared" si="14"/>
        <v>18</v>
      </c>
      <c r="AM66" s="101">
        <f t="shared" si="15"/>
        <v>11</v>
      </c>
      <c r="AN66" s="101">
        <f t="shared" si="16"/>
        <v>18</v>
      </c>
      <c r="BE66" s="29"/>
    </row>
    <row r="67" spans="1:57">
      <c r="A67" s="75">
        <v>45702</v>
      </c>
      <c r="B67" s="78">
        <v>1600</v>
      </c>
      <c r="C67" s="78"/>
      <c r="D67" s="76">
        <f>(SUM(粮草!A67:X67)+AG67*10*IF(AK67="是",$BB$4,$BB$3))</f>
        <v>1856</v>
      </c>
      <c r="E67" s="90">
        <f>SUM($B$4:B67)+SUM($C$4:C67)-SUM($D$4:D67)</f>
        <v>1170</v>
      </c>
      <c r="F67" s="89">
        <f>SUM(经验!A67:X67)</f>
        <v>680</v>
      </c>
      <c r="G67" s="76">
        <f>SUM($F$4:F67)+SUM($H$4:H67)</f>
        <v>47060</v>
      </c>
      <c r="H67" s="78">
        <v>0</v>
      </c>
      <c r="I67" s="57" t="s">
        <v>43</v>
      </c>
      <c r="J67" s="57" t="s">
        <v>43</v>
      </c>
      <c r="K67" s="57" t="s">
        <v>43</v>
      </c>
      <c r="L67" s="57" t="s">
        <v>43</v>
      </c>
      <c r="M67" s="57" t="s">
        <v>43</v>
      </c>
      <c r="N67" s="57" t="s">
        <v>43</v>
      </c>
      <c r="O67" s="79" t="s">
        <v>33</v>
      </c>
      <c r="P67" s="79" t="s">
        <v>33</v>
      </c>
      <c r="Q67" s="55" t="s">
        <v>41</v>
      </c>
      <c r="R67" s="55" t="s">
        <v>41</v>
      </c>
      <c r="S67" s="56" t="s">
        <v>42</v>
      </c>
      <c r="T67" s="56" t="s">
        <v>42</v>
      </c>
      <c r="U67" s="56" t="s">
        <v>42</v>
      </c>
      <c r="V67" s="56" t="s">
        <v>42</v>
      </c>
      <c r="W67" s="79" t="s">
        <v>33</v>
      </c>
      <c r="X67" s="79" t="s">
        <v>33</v>
      </c>
      <c r="Y67" s="78" t="s">
        <v>33</v>
      </c>
      <c r="Z67" s="78" t="s">
        <v>33</v>
      </c>
      <c r="AA67" s="78" t="s">
        <v>33</v>
      </c>
      <c r="AB67" s="78" t="s">
        <v>33</v>
      </c>
      <c r="AC67" s="78" t="s">
        <v>33</v>
      </c>
      <c r="AD67" s="78" t="s">
        <v>33</v>
      </c>
      <c r="AE67" s="79" t="s">
        <v>33</v>
      </c>
      <c r="AF67" s="79" t="s">
        <v>33</v>
      </c>
      <c r="AG67" s="80">
        <f t="shared" si="6"/>
        <v>0</v>
      </c>
      <c r="AH67" s="82"/>
      <c r="AI67" s="82"/>
      <c r="AJ67" s="82"/>
      <c r="AK67" s="83" t="s">
        <v>51</v>
      </c>
      <c r="AL67" s="101">
        <f t="shared" si="14"/>
        <v>12</v>
      </c>
      <c r="AM67" s="101">
        <f t="shared" si="15"/>
        <v>11</v>
      </c>
      <c r="AN67" s="101">
        <f t="shared" si="16"/>
        <v>18</v>
      </c>
      <c r="BE67" s="29"/>
    </row>
    <row r="68" spans="1:57">
      <c r="A68" s="75">
        <v>45703</v>
      </c>
      <c r="B68" s="78">
        <v>1600</v>
      </c>
      <c r="C68" s="78"/>
      <c r="D68" s="76">
        <f>(SUM(粮草!A68:X68)+AG68*10*IF(AK68="是",$BB$4,$BB$3))</f>
        <v>1832</v>
      </c>
      <c r="E68" s="90">
        <f>SUM($B$4:B68)+SUM($C$4:C68)-SUM($D$4:D68)</f>
        <v>938</v>
      </c>
      <c r="F68" s="89">
        <f>SUM(经验!A68:X68)</f>
        <v>675</v>
      </c>
      <c r="G68" s="76">
        <f>SUM($F$4:F68)+SUM($H$4:H68)</f>
        <v>47735</v>
      </c>
      <c r="H68" s="78">
        <v>0</v>
      </c>
      <c r="I68" s="57" t="s">
        <v>43</v>
      </c>
      <c r="J68" s="57" t="s">
        <v>43</v>
      </c>
      <c r="K68" s="57" t="s">
        <v>43</v>
      </c>
      <c r="L68" s="57" t="s">
        <v>43</v>
      </c>
      <c r="M68" s="57" t="s">
        <v>43</v>
      </c>
      <c r="N68" s="57" t="s">
        <v>43</v>
      </c>
      <c r="O68" s="79" t="s">
        <v>33</v>
      </c>
      <c r="P68" s="79" t="s">
        <v>33</v>
      </c>
      <c r="Q68" s="59" t="s">
        <v>46</v>
      </c>
      <c r="R68" s="56" t="s">
        <v>42</v>
      </c>
      <c r="S68" s="56" t="s">
        <v>42</v>
      </c>
      <c r="T68" s="56" t="s">
        <v>42</v>
      </c>
      <c r="U68" s="56" t="s">
        <v>42</v>
      </c>
      <c r="V68" s="55" t="s">
        <v>41</v>
      </c>
      <c r="W68" s="79" t="s">
        <v>33</v>
      </c>
      <c r="X68" s="79" t="s">
        <v>33</v>
      </c>
      <c r="Y68" s="78" t="s">
        <v>33</v>
      </c>
      <c r="Z68" s="78" t="s">
        <v>33</v>
      </c>
      <c r="AA68" s="78" t="s">
        <v>33</v>
      </c>
      <c r="AB68" s="78" t="s">
        <v>33</v>
      </c>
      <c r="AC68" s="78" t="s">
        <v>33</v>
      </c>
      <c r="AD68" s="78" t="s">
        <v>33</v>
      </c>
      <c r="AE68" s="79" t="s">
        <v>33</v>
      </c>
      <c r="AF68" s="79" t="s">
        <v>33</v>
      </c>
      <c r="AG68" s="80">
        <f t="shared" si="6"/>
        <v>0</v>
      </c>
      <c r="AH68" s="82"/>
      <c r="AI68" s="82"/>
      <c r="AJ68" s="82"/>
      <c r="AK68" s="83" t="s">
        <v>51</v>
      </c>
      <c r="AL68" s="101">
        <f t="shared" si="14"/>
        <v>12</v>
      </c>
      <c r="AM68" s="101">
        <f t="shared" si="15"/>
        <v>11</v>
      </c>
      <c r="AN68" s="101">
        <f t="shared" si="16"/>
        <v>18</v>
      </c>
      <c r="BE68" s="29"/>
    </row>
    <row r="69" spans="1:57">
      <c r="A69" s="75">
        <v>45704</v>
      </c>
      <c r="B69" s="78">
        <v>1600</v>
      </c>
      <c r="C69" s="78"/>
      <c r="D69" s="76">
        <f>(SUM(粮草!A69:X69)+AG69*10*IF(AK69="是",$BB$4,$BB$3))</f>
        <v>1824</v>
      </c>
      <c r="E69" s="90">
        <f>SUM($B$4:B69)+SUM($C$4:C69)-SUM($D$4:D69)</f>
        <v>714</v>
      </c>
      <c r="F69" s="89">
        <f>SUM(经验!A69:X69)</f>
        <v>660</v>
      </c>
      <c r="G69" s="76">
        <f>SUM($F$4:F69)+SUM($H$4:H69)</f>
        <v>48395</v>
      </c>
      <c r="H69" s="78">
        <v>0</v>
      </c>
      <c r="I69" s="57" t="s">
        <v>43</v>
      </c>
      <c r="J69" s="57" t="s">
        <v>43</v>
      </c>
      <c r="K69" s="57" t="s">
        <v>43</v>
      </c>
      <c r="L69" s="57" t="s">
        <v>43</v>
      </c>
      <c r="M69" s="57" t="s">
        <v>43</v>
      </c>
      <c r="N69" s="57" t="s">
        <v>43</v>
      </c>
      <c r="O69" s="79" t="s">
        <v>33</v>
      </c>
      <c r="P69" s="79" t="s">
        <v>33</v>
      </c>
      <c r="Q69" s="55" t="s">
        <v>41</v>
      </c>
      <c r="R69" s="55" t="s">
        <v>41</v>
      </c>
      <c r="S69" s="55" t="s">
        <v>41</v>
      </c>
      <c r="T69" s="55" t="s">
        <v>41</v>
      </c>
      <c r="U69" s="55" t="s">
        <v>41</v>
      </c>
      <c r="V69" s="55" t="s">
        <v>41</v>
      </c>
      <c r="W69" s="79" t="s">
        <v>33</v>
      </c>
      <c r="X69" s="79" t="s">
        <v>33</v>
      </c>
      <c r="Y69" s="78" t="s">
        <v>33</v>
      </c>
      <c r="Z69" s="78" t="s">
        <v>33</v>
      </c>
      <c r="AA69" s="78" t="s">
        <v>33</v>
      </c>
      <c r="AB69" s="78" t="s">
        <v>33</v>
      </c>
      <c r="AC69" s="78" t="s">
        <v>33</v>
      </c>
      <c r="AD69" s="78" t="s">
        <v>33</v>
      </c>
      <c r="AE69" s="79" t="s">
        <v>33</v>
      </c>
      <c r="AF69" s="79" t="s">
        <v>33</v>
      </c>
      <c r="AG69" s="80">
        <f t="shared" ref="AG69:AG93" si="17">AH69+AI69+AJ69</f>
        <v>0</v>
      </c>
      <c r="AH69" s="82"/>
      <c r="AI69" s="82"/>
      <c r="AJ69" s="82"/>
      <c r="AK69" s="83" t="s">
        <v>51</v>
      </c>
      <c r="AL69" s="101">
        <f t="shared" ref="AL69:AL93" si="18">MIN(AL68+6,18)-COUNTIF(I69:P69,"&lt;&gt;空")+COUNTIF(I69:P69,"历练")+COUNTIF(I69:P69,"营地")*2</f>
        <v>12</v>
      </c>
      <c r="AM69" s="101">
        <f t="shared" ref="AM69:AM93" si="19">MIN(AM68+6,18)-COUNTIF(Q69:X69,"&lt;&gt;空")+COUNTIF(Q69:X69,"历练")+COUNTIF(Q69:X69,"营地")*2</f>
        <v>11</v>
      </c>
      <c r="AN69" s="101">
        <f t="shared" ref="AN69:AN93" si="20">MIN(AN68+6,18)-COUNTIF(Y69:AF69,"&lt;&gt;空")+COUNTIF(Y69:AF69,"历练")+COUNTIF(Y69:AF69,"营地")*2</f>
        <v>18</v>
      </c>
      <c r="BE69" s="29"/>
    </row>
    <row r="70" spans="1:57">
      <c r="A70" s="75">
        <v>45705</v>
      </c>
      <c r="B70" s="76">
        <v>1600</v>
      </c>
      <c r="C70" s="77"/>
      <c r="D70" s="76">
        <f>(SUM(粮草!A70:X70)+AG70*10*IF(AK70="是",$BB$4,$BB$3))</f>
        <v>1856</v>
      </c>
      <c r="E70" s="90">
        <f>SUM($B$4:B70)+SUM($C$4:C70)-SUM($D$4:D70)</f>
        <v>458</v>
      </c>
      <c r="F70" s="89">
        <f>SUM(经验!A70:X70)</f>
        <v>680</v>
      </c>
      <c r="G70" s="76">
        <f>SUM($F$4:F70)+SUM($H$4:H70)</f>
        <v>49375</v>
      </c>
      <c r="H70" s="76">
        <v>300</v>
      </c>
      <c r="I70" s="57" t="s">
        <v>43</v>
      </c>
      <c r="J70" s="55" t="s">
        <v>41</v>
      </c>
      <c r="K70" s="55" t="s">
        <v>41</v>
      </c>
      <c r="L70" s="55" t="s">
        <v>41</v>
      </c>
      <c r="M70" s="57" t="s">
        <v>43</v>
      </c>
      <c r="N70" s="55" t="s">
        <v>41</v>
      </c>
      <c r="O70" s="79" t="s">
        <v>33</v>
      </c>
      <c r="P70" s="79" t="s">
        <v>33</v>
      </c>
      <c r="Q70" s="57" t="s">
        <v>43</v>
      </c>
      <c r="R70" s="57" t="s">
        <v>43</v>
      </c>
      <c r="S70" s="57" t="s">
        <v>43</v>
      </c>
      <c r="T70" s="57" t="s">
        <v>43</v>
      </c>
      <c r="U70" s="57" t="s">
        <v>43</v>
      </c>
      <c r="V70" s="57" t="s">
        <v>43</v>
      </c>
      <c r="W70" s="79" t="s">
        <v>33</v>
      </c>
      <c r="X70" s="79" t="s">
        <v>33</v>
      </c>
      <c r="Y70" s="78" t="s">
        <v>33</v>
      </c>
      <c r="Z70" s="78" t="s">
        <v>33</v>
      </c>
      <c r="AA70" s="78" t="s">
        <v>33</v>
      </c>
      <c r="AB70" s="78" t="s">
        <v>33</v>
      </c>
      <c r="AC70" s="78" t="s">
        <v>33</v>
      </c>
      <c r="AD70" s="78" t="s">
        <v>33</v>
      </c>
      <c r="AE70" s="79" t="s">
        <v>33</v>
      </c>
      <c r="AF70" s="79" t="s">
        <v>33</v>
      </c>
      <c r="AG70" s="80">
        <f t="shared" si="17"/>
        <v>0</v>
      </c>
      <c r="AH70" s="82"/>
      <c r="AI70" s="82"/>
      <c r="AJ70" s="82"/>
      <c r="AK70" s="83" t="s">
        <v>51</v>
      </c>
      <c r="AL70" s="101">
        <f t="shared" si="18"/>
        <v>12</v>
      </c>
      <c r="AM70" s="101">
        <f t="shared" si="19"/>
        <v>11</v>
      </c>
      <c r="AN70" s="101">
        <f t="shared" si="20"/>
        <v>18</v>
      </c>
      <c r="BE70" s="29"/>
    </row>
    <row r="71" spans="1:57">
      <c r="A71" s="75">
        <v>45706</v>
      </c>
      <c r="B71" s="76">
        <v>1600</v>
      </c>
      <c r="C71" s="77"/>
      <c r="D71" s="76">
        <f>(SUM(粮草!A71:X71)+AG71*10*IF(AK71="是",$BB$4,$BB$3))</f>
        <v>1840</v>
      </c>
      <c r="E71" s="90">
        <f>SUM($B$4:B71)+SUM($C$4:C71)-SUM($D$4:D71)</f>
        <v>218</v>
      </c>
      <c r="F71" s="89">
        <f>SUM(经验!A71:X71)</f>
        <v>670</v>
      </c>
      <c r="G71" s="76">
        <f>SUM($F$4:F71)+SUM($H$4:H71)</f>
        <v>50045</v>
      </c>
      <c r="H71" s="76">
        <v>0</v>
      </c>
      <c r="I71" s="55" t="s">
        <v>41</v>
      </c>
      <c r="J71" s="55" t="s">
        <v>41</v>
      </c>
      <c r="K71" s="55" t="s">
        <v>41</v>
      </c>
      <c r="L71" s="57" t="s">
        <v>43</v>
      </c>
      <c r="M71" s="55" t="s">
        <v>41</v>
      </c>
      <c r="N71" s="55" t="s">
        <v>41</v>
      </c>
      <c r="O71" s="79" t="s">
        <v>33</v>
      </c>
      <c r="P71" s="79" t="s">
        <v>33</v>
      </c>
      <c r="Q71" s="57" t="s">
        <v>43</v>
      </c>
      <c r="R71" s="57" t="s">
        <v>43</v>
      </c>
      <c r="S71" s="57" t="s">
        <v>43</v>
      </c>
      <c r="T71" s="57" t="s">
        <v>43</v>
      </c>
      <c r="U71" s="57" t="s">
        <v>43</v>
      </c>
      <c r="V71" s="57" t="s">
        <v>43</v>
      </c>
      <c r="W71" s="79" t="s">
        <v>33</v>
      </c>
      <c r="X71" s="79" t="s">
        <v>33</v>
      </c>
      <c r="Y71" s="78" t="s">
        <v>33</v>
      </c>
      <c r="Z71" s="78" t="s">
        <v>33</v>
      </c>
      <c r="AA71" s="78" t="s">
        <v>33</v>
      </c>
      <c r="AB71" s="78" t="s">
        <v>33</v>
      </c>
      <c r="AC71" s="78" t="s">
        <v>33</v>
      </c>
      <c r="AD71" s="78" t="s">
        <v>33</v>
      </c>
      <c r="AE71" s="79" t="s">
        <v>33</v>
      </c>
      <c r="AF71" s="79" t="s">
        <v>33</v>
      </c>
      <c r="AG71" s="80">
        <f t="shared" si="17"/>
        <v>0</v>
      </c>
      <c r="AH71" s="82"/>
      <c r="AI71" s="82"/>
      <c r="AJ71" s="82"/>
      <c r="AK71" s="83" t="s">
        <v>51</v>
      </c>
      <c r="AL71" s="101">
        <f t="shared" si="18"/>
        <v>12</v>
      </c>
      <c r="AM71" s="101">
        <f t="shared" si="19"/>
        <v>11</v>
      </c>
      <c r="AN71" s="101">
        <f t="shared" si="20"/>
        <v>18</v>
      </c>
      <c r="BE71" s="29"/>
    </row>
    <row r="72" spans="1:57">
      <c r="A72" s="75">
        <v>45707</v>
      </c>
      <c r="B72" s="76">
        <v>1600</v>
      </c>
      <c r="C72" s="77"/>
      <c r="D72" s="76">
        <f>(SUM(粮草!A72:X72)+AG72*10*IF(AK72="是",$BB$4,$BB$3))</f>
        <v>1600</v>
      </c>
      <c r="E72" s="90">
        <f>SUM($B$4:B72)+SUM($C$4:C72)-SUM($D$4:D72)</f>
        <v>218</v>
      </c>
      <c r="F72" s="89">
        <f>SUM(经验!A72:X72)</f>
        <v>565</v>
      </c>
      <c r="G72" s="76">
        <f>SUM($F$4:F72)+SUM($H$4:H72)</f>
        <v>50810</v>
      </c>
      <c r="H72" s="76">
        <v>200</v>
      </c>
      <c r="I72" s="55" t="s">
        <v>41</v>
      </c>
      <c r="J72" s="55" t="s">
        <v>41</v>
      </c>
      <c r="K72" s="55" t="s">
        <v>41</v>
      </c>
      <c r="L72" s="55" t="s">
        <v>41</v>
      </c>
      <c r="M72" s="55" t="s">
        <v>41</v>
      </c>
      <c r="N72" s="55" t="s">
        <v>41</v>
      </c>
      <c r="O72" s="79" t="s">
        <v>33</v>
      </c>
      <c r="P72" s="79" t="s">
        <v>33</v>
      </c>
      <c r="Q72" s="56" t="s">
        <v>42</v>
      </c>
      <c r="R72" s="54" t="s">
        <v>39</v>
      </c>
      <c r="S72" s="93" t="s">
        <v>38</v>
      </c>
      <c r="T72" s="54" t="s">
        <v>39</v>
      </c>
      <c r="U72" s="54" t="s">
        <v>39</v>
      </c>
      <c r="V72" s="54" t="s">
        <v>39</v>
      </c>
      <c r="W72" s="79" t="s">
        <v>33</v>
      </c>
      <c r="X72" s="79" t="s">
        <v>33</v>
      </c>
      <c r="Y72" s="78" t="s">
        <v>33</v>
      </c>
      <c r="Z72" s="78" t="s">
        <v>33</v>
      </c>
      <c r="AA72" s="78" t="s">
        <v>33</v>
      </c>
      <c r="AB72" s="78" t="s">
        <v>33</v>
      </c>
      <c r="AC72" s="78" t="s">
        <v>33</v>
      </c>
      <c r="AD72" s="78" t="s">
        <v>33</v>
      </c>
      <c r="AE72" s="79" t="s">
        <v>33</v>
      </c>
      <c r="AF72" s="79" t="s">
        <v>33</v>
      </c>
      <c r="AG72" s="80">
        <f t="shared" si="17"/>
        <v>0</v>
      </c>
      <c r="AH72" s="82"/>
      <c r="AI72" s="82"/>
      <c r="AJ72" s="82"/>
      <c r="AK72" s="83" t="s">
        <v>51</v>
      </c>
      <c r="AL72" s="101">
        <f t="shared" si="18"/>
        <v>12</v>
      </c>
      <c r="AM72" s="101">
        <f t="shared" si="19"/>
        <v>11</v>
      </c>
      <c r="AN72" s="101">
        <f t="shared" si="20"/>
        <v>18</v>
      </c>
      <c r="BE72" s="29"/>
    </row>
    <row r="73" spans="1:57">
      <c r="A73" s="75">
        <v>45708</v>
      </c>
      <c r="B73" s="76">
        <v>1600</v>
      </c>
      <c r="C73" s="77"/>
      <c r="D73" s="76">
        <f>(SUM(粮草!A73:X73)+AG73*10*IF(AK73="是",$BB$4,$BB$3))</f>
        <v>1640</v>
      </c>
      <c r="E73" s="90">
        <f>SUM($B$4:B73)+SUM($C$4:C73)-SUM($D$4:D73)</f>
        <v>178</v>
      </c>
      <c r="F73" s="89">
        <f>SUM(经验!A73:X73)</f>
        <v>590</v>
      </c>
      <c r="G73" s="76">
        <f>SUM($F$4:F73)+SUM($H$4:H73)</f>
        <v>51400</v>
      </c>
      <c r="H73" s="76">
        <v>0</v>
      </c>
      <c r="I73" s="55" t="s">
        <v>41</v>
      </c>
      <c r="J73" s="55" t="s">
        <v>41</v>
      </c>
      <c r="K73" s="55" t="s">
        <v>41</v>
      </c>
      <c r="L73" s="55" t="s">
        <v>41</v>
      </c>
      <c r="M73" s="55" t="s">
        <v>41</v>
      </c>
      <c r="N73" s="54" t="s">
        <v>39</v>
      </c>
      <c r="O73" s="79" t="s">
        <v>33</v>
      </c>
      <c r="P73" s="79" t="s">
        <v>33</v>
      </c>
      <c r="Q73" s="93" t="s">
        <v>38</v>
      </c>
      <c r="R73" s="54" t="s">
        <v>39</v>
      </c>
      <c r="S73" s="56" t="s">
        <v>42</v>
      </c>
      <c r="T73" s="56" t="s">
        <v>42</v>
      </c>
      <c r="U73" s="56" t="s">
        <v>42</v>
      </c>
      <c r="V73" s="56" t="s">
        <v>42</v>
      </c>
      <c r="W73" s="79" t="s">
        <v>33</v>
      </c>
      <c r="X73" s="79" t="s">
        <v>33</v>
      </c>
      <c r="Y73" s="78" t="s">
        <v>33</v>
      </c>
      <c r="Z73" s="78" t="s">
        <v>33</v>
      </c>
      <c r="AA73" s="78" t="s">
        <v>33</v>
      </c>
      <c r="AB73" s="78" t="s">
        <v>33</v>
      </c>
      <c r="AC73" s="78" t="s">
        <v>33</v>
      </c>
      <c r="AD73" s="78" t="s">
        <v>33</v>
      </c>
      <c r="AE73" s="79" t="s">
        <v>33</v>
      </c>
      <c r="AF73" s="79" t="s">
        <v>33</v>
      </c>
      <c r="AG73" s="80">
        <f t="shared" si="17"/>
        <v>0</v>
      </c>
      <c r="AH73" s="82"/>
      <c r="AI73" s="82"/>
      <c r="AJ73" s="82"/>
      <c r="AK73" s="83" t="s">
        <v>51</v>
      </c>
      <c r="AL73" s="101">
        <f t="shared" si="18"/>
        <v>12</v>
      </c>
      <c r="AM73" s="101">
        <f t="shared" si="19"/>
        <v>11</v>
      </c>
      <c r="AN73" s="101">
        <f t="shared" si="20"/>
        <v>18</v>
      </c>
      <c r="BE73" s="29"/>
    </row>
    <row r="74" spans="1:57">
      <c r="A74" s="75">
        <v>45709</v>
      </c>
      <c r="B74" s="76">
        <v>1600</v>
      </c>
      <c r="C74" s="77"/>
      <c r="D74" s="76">
        <f>(SUM(粮草!A74:X74)+AG74*10*IF(AK74="是",$BB$4,$BB$3))</f>
        <v>1520</v>
      </c>
      <c r="E74" s="90">
        <f>SUM($B$4:B74)+SUM($C$4:C74)-SUM($D$4:D74)</f>
        <v>258</v>
      </c>
      <c r="F74" s="89">
        <f>SUM(经验!A74:X74)</f>
        <v>555</v>
      </c>
      <c r="G74" s="76">
        <f>SUM($F$4:F74)+SUM($H$4:H74)</f>
        <v>51955</v>
      </c>
      <c r="H74" s="76">
        <v>0</v>
      </c>
      <c r="I74" s="54" t="s">
        <v>39</v>
      </c>
      <c r="J74" s="54" t="s">
        <v>39</v>
      </c>
      <c r="K74" s="93" t="s">
        <v>38</v>
      </c>
      <c r="L74" s="54" t="s">
        <v>39</v>
      </c>
      <c r="M74" s="54" t="s">
        <v>39</v>
      </c>
      <c r="N74" s="78" t="s">
        <v>33</v>
      </c>
      <c r="O74" s="79" t="s">
        <v>33</v>
      </c>
      <c r="P74" s="79" t="s">
        <v>33</v>
      </c>
      <c r="Q74" s="56" t="s">
        <v>42</v>
      </c>
      <c r="R74" s="56" t="s">
        <v>42</v>
      </c>
      <c r="S74" s="56" t="s">
        <v>42</v>
      </c>
      <c r="T74" s="57" t="s">
        <v>43</v>
      </c>
      <c r="U74" s="57" t="s">
        <v>43</v>
      </c>
      <c r="V74" s="57" t="s">
        <v>43</v>
      </c>
      <c r="W74" s="79" t="s">
        <v>33</v>
      </c>
      <c r="X74" s="79" t="s">
        <v>33</v>
      </c>
      <c r="Y74" s="78" t="s">
        <v>33</v>
      </c>
      <c r="Z74" s="78" t="s">
        <v>33</v>
      </c>
      <c r="AA74" s="78" t="s">
        <v>33</v>
      </c>
      <c r="AB74" s="78" t="s">
        <v>33</v>
      </c>
      <c r="AC74" s="78" t="s">
        <v>33</v>
      </c>
      <c r="AD74" s="78" t="s">
        <v>33</v>
      </c>
      <c r="AE74" s="79" t="s">
        <v>33</v>
      </c>
      <c r="AF74" s="79" t="s">
        <v>33</v>
      </c>
      <c r="AG74" s="80">
        <f t="shared" si="17"/>
        <v>0</v>
      </c>
      <c r="AH74" s="82"/>
      <c r="AI74" s="82"/>
      <c r="AJ74" s="82"/>
      <c r="AK74" s="83" t="s">
        <v>51</v>
      </c>
      <c r="AL74" s="101">
        <f t="shared" si="18"/>
        <v>13</v>
      </c>
      <c r="AM74" s="101">
        <f t="shared" si="19"/>
        <v>11</v>
      </c>
      <c r="AN74" s="101">
        <f t="shared" si="20"/>
        <v>18</v>
      </c>
      <c r="BE74" s="29"/>
    </row>
    <row r="75" spans="1:57">
      <c r="A75" s="75">
        <v>45710</v>
      </c>
      <c r="B75" s="76">
        <v>1600</v>
      </c>
      <c r="C75" s="77"/>
      <c r="D75" s="76">
        <f>(SUM(粮草!A75:X75)+AG75*10*IF(AK75="是",$BB$4,$BB$3))</f>
        <v>1704</v>
      </c>
      <c r="E75" s="90">
        <f>SUM($B$4:B75)+SUM($C$4:C75)-SUM($D$4:D75)</f>
        <v>154</v>
      </c>
      <c r="F75" s="89">
        <f>SUM(经验!A75:X75)</f>
        <v>630</v>
      </c>
      <c r="G75" s="76">
        <f>SUM($F$4:F75)+SUM($H$4:H75)</f>
        <v>52585</v>
      </c>
      <c r="H75" s="76">
        <v>0</v>
      </c>
      <c r="I75" s="55" t="s">
        <v>41</v>
      </c>
      <c r="J75" s="55" t="s">
        <v>41</v>
      </c>
      <c r="K75" s="55" t="s">
        <v>41</v>
      </c>
      <c r="L75" s="55" t="s">
        <v>41</v>
      </c>
      <c r="M75" s="55" t="s">
        <v>41</v>
      </c>
      <c r="N75" s="57" t="s">
        <v>43</v>
      </c>
      <c r="O75" s="79" t="s">
        <v>33</v>
      </c>
      <c r="P75" s="79" t="s">
        <v>33</v>
      </c>
      <c r="Q75" s="93" t="s">
        <v>38</v>
      </c>
      <c r="R75" s="55" t="s">
        <v>41</v>
      </c>
      <c r="S75" s="57" t="s">
        <v>43</v>
      </c>
      <c r="T75" s="57" t="s">
        <v>43</v>
      </c>
      <c r="U75" s="57" t="s">
        <v>43</v>
      </c>
      <c r="V75" s="57" t="s">
        <v>43</v>
      </c>
      <c r="W75" s="79" t="s">
        <v>33</v>
      </c>
      <c r="X75" s="79" t="s">
        <v>33</v>
      </c>
      <c r="Y75" s="78" t="s">
        <v>33</v>
      </c>
      <c r="Z75" s="78" t="s">
        <v>33</v>
      </c>
      <c r="AA75" s="78" t="s">
        <v>33</v>
      </c>
      <c r="AB75" s="78" t="s">
        <v>33</v>
      </c>
      <c r="AC75" s="78" t="s">
        <v>33</v>
      </c>
      <c r="AD75" s="78" t="s">
        <v>33</v>
      </c>
      <c r="AE75" s="79" t="s">
        <v>33</v>
      </c>
      <c r="AF75" s="79" t="s">
        <v>33</v>
      </c>
      <c r="AG75" s="80">
        <f t="shared" si="17"/>
        <v>0</v>
      </c>
      <c r="AH75" s="82"/>
      <c r="AI75" s="82"/>
      <c r="AJ75" s="82"/>
      <c r="AK75" s="83" t="s">
        <v>51</v>
      </c>
      <c r="AL75" s="101">
        <f t="shared" si="18"/>
        <v>12</v>
      </c>
      <c r="AM75" s="101">
        <f t="shared" si="19"/>
        <v>11</v>
      </c>
      <c r="AN75" s="101">
        <f t="shared" si="20"/>
        <v>18</v>
      </c>
      <c r="BE75" s="29"/>
    </row>
    <row r="76" spans="1:57">
      <c r="A76" s="75">
        <v>45711</v>
      </c>
      <c r="B76" s="76">
        <v>1600</v>
      </c>
      <c r="C76" s="77"/>
      <c r="D76" s="76">
        <f>(SUM(粮草!A76:X76)+AG76*10*IF(AK76="是",$BB$4,$BB$3))</f>
        <v>960</v>
      </c>
      <c r="E76" s="90">
        <f>SUM($B$4:B76)+SUM($C$4:C76)-SUM($D$4:D76)</f>
        <v>794</v>
      </c>
      <c r="F76" s="89">
        <f>SUM(经验!A76:X76)</f>
        <v>360</v>
      </c>
      <c r="G76" s="76">
        <f>SUM($F$4:F76)+SUM($H$4:H76)</f>
        <v>52945</v>
      </c>
      <c r="H76" s="76">
        <v>0</v>
      </c>
      <c r="I76" s="78" t="s">
        <v>33</v>
      </c>
      <c r="J76" s="78" t="s">
        <v>33</v>
      </c>
      <c r="K76" s="78" t="s">
        <v>33</v>
      </c>
      <c r="L76" s="78" t="s">
        <v>33</v>
      </c>
      <c r="M76" s="78" t="s">
        <v>33</v>
      </c>
      <c r="N76" s="78" t="s">
        <v>33</v>
      </c>
      <c r="O76" s="79" t="s">
        <v>33</v>
      </c>
      <c r="P76" s="79" t="s">
        <v>33</v>
      </c>
      <c r="Q76" s="57" t="s">
        <v>43</v>
      </c>
      <c r="R76" s="57" t="s">
        <v>43</v>
      </c>
      <c r="S76" s="57" t="s">
        <v>43</v>
      </c>
      <c r="T76" s="57" t="s">
        <v>43</v>
      </c>
      <c r="U76" s="57" t="s">
        <v>43</v>
      </c>
      <c r="V76" s="57" t="s">
        <v>43</v>
      </c>
      <c r="W76" s="79" t="s">
        <v>33</v>
      </c>
      <c r="X76" s="79" t="s">
        <v>33</v>
      </c>
      <c r="Y76" s="78" t="s">
        <v>33</v>
      </c>
      <c r="Z76" s="78" t="s">
        <v>33</v>
      </c>
      <c r="AA76" s="78" t="s">
        <v>33</v>
      </c>
      <c r="AB76" s="78" t="s">
        <v>33</v>
      </c>
      <c r="AC76" s="78" t="s">
        <v>33</v>
      </c>
      <c r="AD76" s="78" t="s">
        <v>33</v>
      </c>
      <c r="AE76" s="79" t="s">
        <v>33</v>
      </c>
      <c r="AF76" s="79" t="s">
        <v>33</v>
      </c>
      <c r="AG76" s="80">
        <f t="shared" si="17"/>
        <v>0</v>
      </c>
      <c r="AH76" s="82"/>
      <c r="AI76" s="82"/>
      <c r="AJ76" s="82"/>
      <c r="AK76" s="83" t="s">
        <v>51</v>
      </c>
      <c r="AL76" s="101">
        <f t="shared" si="18"/>
        <v>18</v>
      </c>
      <c r="AM76" s="101">
        <f t="shared" si="19"/>
        <v>11</v>
      </c>
      <c r="AN76" s="101">
        <f t="shared" si="20"/>
        <v>18</v>
      </c>
      <c r="BE76" s="29"/>
    </row>
    <row r="77" spans="1:57">
      <c r="A77" s="75">
        <v>45712</v>
      </c>
      <c r="B77" s="78">
        <v>1600</v>
      </c>
      <c r="C77" s="78"/>
      <c r="D77" s="76">
        <f>(SUM(粮草!A77:X77)+AG77*10*IF(AK77="是",$BB$4,$BB$3))</f>
        <v>2144</v>
      </c>
      <c r="E77" s="90">
        <f>SUM($B$4:B77)+SUM($C$4:C77)-SUM($D$4:D77)</f>
        <v>250</v>
      </c>
      <c r="F77" s="89">
        <f>SUM(经验!A77:X77)</f>
        <v>1275</v>
      </c>
      <c r="G77" s="76">
        <f>SUM($F$4:F77)+SUM($H$4:H77)</f>
        <v>54520</v>
      </c>
      <c r="H77" s="78">
        <v>300</v>
      </c>
      <c r="I77" s="57" t="s">
        <v>43</v>
      </c>
      <c r="J77" s="57" t="s">
        <v>43</v>
      </c>
      <c r="K77" s="57" t="s">
        <v>43</v>
      </c>
      <c r="L77" s="57" t="s">
        <v>43</v>
      </c>
      <c r="M77" s="57" t="s">
        <v>43</v>
      </c>
      <c r="N77" s="57" t="s">
        <v>43</v>
      </c>
      <c r="O77" s="79" t="s">
        <v>33</v>
      </c>
      <c r="P77" s="79" t="s">
        <v>33</v>
      </c>
      <c r="Q77" s="57" t="s">
        <v>43</v>
      </c>
      <c r="R77" s="57" t="s">
        <v>43</v>
      </c>
      <c r="S77" s="55" t="s">
        <v>41</v>
      </c>
      <c r="T77" s="55" t="s">
        <v>41</v>
      </c>
      <c r="U77" s="55" t="s">
        <v>41</v>
      </c>
      <c r="V77" s="54" t="s">
        <v>39</v>
      </c>
      <c r="W77" s="79" t="s">
        <v>33</v>
      </c>
      <c r="X77" s="79" t="s">
        <v>33</v>
      </c>
      <c r="Y77" s="53" t="s">
        <v>36</v>
      </c>
      <c r="Z77" s="53" t="s">
        <v>36</v>
      </c>
      <c r="AA77" s="40" t="s">
        <v>61</v>
      </c>
      <c r="AB77" s="78" t="s">
        <v>33</v>
      </c>
      <c r="AC77" s="78" t="s">
        <v>33</v>
      </c>
      <c r="AD77" s="78" t="s">
        <v>33</v>
      </c>
      <c r="AE77" s="79" t="s">
        <v>33</v>
      </c>
      <c r="AF77" s="79" t="s">
        <v>33</v>
      </c>
      <c r="AG77" s="80">
        <f t="shared" si="17"/>
        <v>0</v>
      </c>
      <c r="AH77" s="82"/>
      <c r="AI77" s="82"/>
      <c r="AJ77" s="82"/>
      <c r="AK77" s="83" t="s">
        <v>51</v>
      </c>
      <c r="AL77" s="101">
        <f t="shared" si="18"/>
        <v>12</v>
      </c>
      <c r="AM77" s="101">
        <f t="shared" si="19"/>
        <v>11</v>
      </c>
      <c r="AN77" s="101">
        <f t="shared" si="20"/>
        <v>16</v>
      </c>
      <c r="BE77" s="29"/>
    </row>
    <row r="78" spans="1:57">
      <c r="A78" s="75">
        <v>45713</v>
      </c>
      <c r="B78" s="78">
        <v>1600</v>
      </c>
      <c r="C78" s="78"/>
      <c r="D78" s="76">
        <f>(SUM(粮草!A78:X78)+AG78*10*IF(AK78="是",$BB$4,$BB$3))</f>
        <v>1640</v>
      </c>
      <c r="E78" s="90">
        <f>SUM($B$4:B78)+SUM($C$4:C78)-SUM($D$4:D78)</f>
        <v>210</v>
      </c>
      <c r="F78" s="89">
        <f>SUM(经验!A78:X78)</f>
        <v>585</v>
      </c>
      <c r="G78" s="76">
        <f>SUM($F$4:F78)+SUM($H$4:H78)</f>
        <v>55105</v>
      </c>
      <c r="H78" s="78">
        <v>0</v>
      </c>
      <c r="I78" s="57" t="s">
        <v>43</v>
      </c>
      <c r="J78" s="57" t="s">
        <v>43</v>
      </c>
      <c r="K78" s="57" t="s">
        <v>43</v>
      </c>
      <c r="L78" s="57" t="s">
        <v>43</v>
      </c>
      <c r="M78" s="57" t="s">
        <v>43</v>
      </c>
      <c r="N78" s="57" t="s">
        <v>43</v>
      </c>
      <c r="O78" s="79" t="s">
        <v>33</v>
      </c>
      <c r="P78" s="79" t="s">
        <v>33</v>
      </c>
      <c r="Q78" s="54" t="s">
        <v>39</v>
      </c>
      <c r="R78" s="54" t="s">
        <v>39</v>
      </c>
      <c r="S78" s="54" t="s">
        <v>39</v>
      </c>
      <c r="T78" s="54" t="s">
        <v>39</v>
      </c>
      <c r="U78" s="54" t="s">
        <v>39</v>
      </c>
      <c r="V78" s="78" t="s">
        <v>33</v>
      </c>
      <c r="W78" s="79" t="s">
        <v>33</v>
      </c>
      <c r="X78" s="79" t="s">
        <v>33</v>
      </c>
      <c r="Y78" s="78" t="s">
        <v>33</v>
      </c>
      <c r="Z78" s="78" t="s">
        <v>33</v>
      </c>
      <c r="AA78" s="78" t="s">
        <v>33</v>
      </c>
      <c r="AB78" s="78" t="s">
        <v>33</v>
      </c>
      <c r="AC78" s="78" t="s">
        <v>33</v>
      </c>
      <c r="AD78" s="78" t="s">
        <v>33</v>
      </c>
      <c r="AE78" s="79" t="s">
        <v>33</v>
      </c>
      <c r="AF78" s="79" t="s">
        <v>33</v>
      </c>
      <c r="AG78" s="80">
        <f t="shared" si="17"/>
        <v>0</v>
      </c>
      <c r="AH78" s="82"/>
      <c r="AI78" s="82"/>
      <c r="AJ78" s="82"/>
      <c r="AK78" s="83" t="s">
        <v>51</v>
      </c>
      <c r="AL78" s="101">
        <f t="shared" si="18"/>
        <v>12</v>
      </c>
      <c r="AM78" s="101">
        <f t="shared" si="19"/>
        <v>12</v>
      </c>
      <c r="AN78" s="101">
        <f t="shared" si="20"/>
        <v>18</v>
      </c>
      <c r="BE78" s="29"/>
    </row>
    <row r="79" spans="1:57">
      <c r="A79" s="75">
        <v>45714</v>
      </c>
      <c r="B79" s="78">
        <v>1600</v>
      </c>
      <c r="C79" s="78"/>
      <c r="D79" s="76">
        <f>(SUM(粮草!A79:X79)+AG79*10*IF(AK79="是",$BB$4,$BB$3))</f>
        <v>1784</v>
      </c>
      <c r="E79" s="90">
        <f>SUM($B$4:B79)+SUM($C$4:C79)-SUM($D$4:D79)</f>
        <v>26</v>
      </c>
      <c r="F79" s="89">
        <f>SUM(经验!A79:X79)</f>
        <v>630</v>
      </c>
      <c r="G79" s="76">
        <f>SUM($F$4:F79)+SUM($H$4:H79)</f>
        <v>55935</v>
      </c>
      <c r="H79" s="78">
        <v>200</v>
      </c>
      <c r="I79" s="57" t="s">
        <v>43</v>
      </c>
      <c r="J79" s="57" t="s">
        <v>43</v>
      </c>
      <c r="K79" s="57" t="s">
        <v>43</v>
      </c>
      <c r="L79" s="57" t="s">
        <v>43</v>
      </c>
      <c r="M79" s="57" t="s">
        <v>43</v>
      </c>
      <c r="N79" s="57" t="s">
        <v>43</v>
      </c>
      <c r="O79" s="79" t="s">
        <v>33</v>
      </c>
      <c r="P79" s="79" t="s">
        <v>33</v>
      </c>
      <c r="Q79" s="54" t="s">
        <v>39</v>
      </c>
      <c r="R79" s="54" t="s">
        <v>39</v>
      </c>
      <c r="S79" s="54" t="s">
        <v>39</v>
      </c>
      <c r="T79" s="54" t="s">
        <v>39</v>
      </c>
      <c r="U79" s="54" t="s">
        <v>39</v>
      </c>
      <c r="V79" s="54" t="s">
        <v>39</v>
      </c>
      <c r="W79" s="79" t="s">
        <v>33</v>
      </c>
      <c r="X79" s="79" t="s">
        <v>33</v>
      </c>
      <c r="Y79" s="78" t="s">
        <v>33</v>
      </c>
      <c r="Z79" s="78" t="s">
        <v>33</v>
      </c>
      <c r="AA79" s="78" t="s">
        <v>33</v>
      </c>
      <c r="AB79" s="78" t="s">
        <v>33</v>
      </c>
      <c r="AC79" s="78" t="s">
        <v>33</v>
      </c>
      <c r="AD79" s="78" t="s">
        <v>33</v>
      </c>
      <c r="AE79" s="79" t="s">
        <v>33</v>
      </c>
      <c r="AF79" s="79" t="s">
        <v>33</v>
      </c>
      <c r="AG79" s="80">
        <f t="shared" si="17"/>
        <v>1</v>
      </c>
      <c r="AH79" s="82">
        <v>1</v>
      </c>
      <c r="AI79" s="82"/>
      <c r="AJ79" s="82"/>
      <c r="AK79" s="83" t="s">
        <v>51</v>
      </c>
      <c r="AL79" s="101">
        <f t="shared" si="18"/>
        <v>12</v>
      </c>
      <c r="AM79" s="101">
        <f t="shared" si="19"/>
        <v>12</v>
      </c>
      <c r="AN79" s="101">
        <f t="shared" si="20"/>
        <v>18</v>
      </c>
      <c r="BE79" s="29"/>
    </row>
    <row r="80" spans="1:57">
      <c r="A80" s="75">
        <v>45715</v>
      </c>
      <c r="B80" s="78">
        <v>1600</v>
      </c>
      <c r="C80" s="78"/>
      <c r="D80" s="76">
        <f>(SUM(粮草!A80:X80)+AG80*10*IF(AK80="是",$BB$4,$BB$3))</f>
        <v>1776</v>
      </c>
      <c r="E80" s="90">
        <f>SUM($B$4:B80)+SUM($C$4:C80)-SUM($D$4:D80)</f>
        <v>-150</v>
      </c>
      <c r="F80" s="89">
        <f>SUM(经验!A80:X80)</f>
        <v>630</v>
      </c>
      <c r="G80" s="76">
        <f>SUM($F$4:F80)+SUM($H$4:H80)</f>
        <v>56565</v>
      </c>
      <c r="H80" s="78">
        <v>0</v>
      </c>
      <c r="I80" s="57" t="s">
        <v>43</v>
      </c>
      <c r="J80" s="57" t="s">
        <v>43</v>
      </c>
      <c r="K80" s="57" t="s">
        <v>43</v>
      </c>
      <c r="L80" s="57" t="s">
        <v>43</v>
      </c>
      <c r="M80" s="57" t="s">
        <v>43</v>
      </c>
      <c r="N80" s="57" t="s">
        <v>43</v>
      </c>
      <c r="O80" s="79" t="s">
        <v>33</v>
      </c>
      <c r="P80" s="79" t="s">
        <v>33</v>
      </c>
      <c r="Q80" s="54" t="s">
        <v>39</v>
      </c>
      <c r="R80" s="54" t="s">
        <v>39</v>
      </c>
      <c r="S80" s="54" t="s">
        <v>39</v>
      </c>
      <c r="T80" s="54" t="s">
        <v>39</v>
      </c>
      <c r="U80" s="54" t="s">
        <v>39</v>
      </c>
      <c r="V80" s="54" t="s">
        <v>39</v>
      </c>
      <c r="W80" s="79" t="s">
        <v>33</v>
      </c>
      <c r="X80" s="79" t="s">
        <v>33</v>
      </c>
      <c r="Y80" s="78" t="s">
        <v>33</v>
      </c>
      <c r="Z80" s="78" t="s">
        <v>33</v>
      </c>
      <c r="AA80" s="78" t="s">
        <v>33</v>
      </c>
      <c r="AB80" s="78" t="s">
        <v>33</v>
      </c>
      <c r="AC80" s="78" t="s">
        <v>33</v>
      </c>
      <c r="AD80" s="78" t="s">
        <v>33</v>
      </c>
      <c r="AE80" s="79" t="s">
        <v>33</v>
      </c>
      <c r="AF80" s="79" t="s">
        <v>33</v>
      </c>
      <c r="AG80" s="80">
        <f t="shared" si="17"/>
        <v>0</v>
      </c>
      <c r="AH80" s="82"/>
      <c r="AI80" s="82"/>
      <c r="AJ80" s="82"/>
      <c r="AK80" s="83" t="s">
        <v>51</v>
      </c>
      <c r="AL80" s="101">
        <f t="shared" si="18"/>
        <v>12</v>
      </c>
      <c r="AM80" s="101">
        <f t="shared" si="19"/>
        <v>12</v>
      </c>
      <c r="AN80" s="101">
        <f t="shared" si="20"/>
        <v>18</v>
      </c>
      <c r="BE80" s="29"/>
    </row>
    <row r="81" spans="1:57">
      <c r="A81" s="75">
        <v>45716</v>
      </c>
      <c r="B81" s="78">
        <v>1600</v>
      </c>
      <c r="C81" s="78"/>
      <c r="D81" s="76">
        <f>(SUM(粮草!A81:X81)+AG81*10*IF(AK81="是",$BB$4,$BB$3))</f>
        <v>1376</v>
      </c>
      <c r="E81" s="140">
        <f>SUM($B$4:B81)+SUM($C$4:C81)-SUM($D$4:D81)</f>
        <v>74</v>
      </c>
      <c r="F81" s="89">
        <f>SUM(经验!A81:X81)</f>
        <v>505</v>
      </c>
      <c r="G81" s="76">
        <f>SUM($F$4:F81)+SUM($H$4:H81)</f>
        <v>57070</v>
      </c>
      <c r="H81" s="78">
        <v>0</v>
      </c>
      <c r="I81" s="57" t="s">
        <v>43</v>
      </c>
      <c r="J81" s="57" t="s">
        <v>43</v>
      </c>
      <c r="K81" s="57" t="s">
        <v>43</v>
      </c>
      <c r="L81" s="78" t="s">
        <v>33</v>
      </c>
      <c r="M81" s="78" t="s">
        <v>33</v>
      </c>
      <c r="N81" s="78" t="s">
        <v>33</v>
      </c>
      <c r="O81" s="79" t="s">
        <v>33</v>
      </c>
      <c r="P81" s="79" t="s">
        <v>33</v>
      </c>
      <c r="Q81" s="54" t="s">
        <v>39</v>
      </c>
      <c r="R81" s="93" t="s">
        <v>38</v>
      </c>
      <c r="S81" s="55" t="s">
        <v>41</v>
      </c>
      <c r="T81" s="55" t="s">
        <v>41</v>
      </c>
      <c r="U81" s="55" t="s">
        <v>41</v>
      </c>
      <c r="V81" s="55" t="s">
        <v>41</v>
      </c>
      <c r="W81" s="55" t="s">
        <v>41</v>
      </c>
      <c r="X81" s="79" t="s">
        <v>33</v>
      </c>
      <c r="Y81" s="78" t="s">
        <v>33</v>
      </c>
      <c r="Z81" s="78" t="s">
        <v>33</v>
      </c>
      <c r="AA81" s="78" t="s">
        <v>33</v>
      </c>
      <c r="AB81" s="78" t="s">
        <v>33</v>
      </c>
      <c r="AC81" s="78" t="s">
        <v>33</v>
      </c>
      <c r="AD81" s="78" t="s">
        <v>33</v>
      </c>
      <c r="AE81" s="79" t="s">
        <v>33</v>
      </c>
      <c r="AF81" s="79" t="s">
        <v>33</v>
      </c>
      <c r="AG81" s="80">
        <f t="shared" si="17"/>
        <v>0</v>
      </c>
      <c r="AH81" s="82"/>
      <c r="AI81" s="82"/>
      <c r="AJ81" s="82"/>
      <c r="AK81" s="83" t="s">
        <v>51</v>
      </c>
      <c r="AL81" s="101">
        <f t="shared" si="18"/>
        <v>15</v>
      </c>
      <c r="AM81" s="101">
        <f t="shared" si="19"/>
        <v>11</v>
      </c>
      <c r="AN81" s="101">
        <f t="shared" si="20"/>
        <v>18</v>
      </c>
      <c r="BE81" s="29"/>
    </row>
    <row r="82" spans="1:57">
      <c r="A82" s="75">
        <v>45717</v>
      </c>
      <c r="B82" s="78">
        <v>1600</v>
      </c>
      <c r="C82" s="78"/>
      <c r="D82" s="76">
        <f>(SUM(粮草!A82:X82)+AG82*10*IF(AK82="是",$BB$4,$BB$3))</f>
        <v>1200</v>
      </c>
      <c r="E82" s="90">
        <f>SUM($B$4:B82)+SUM($C$4:C82)-SUM($D$4:D82)</f>
        <v>474</v>
      </c>
      <c r="F82" s="89">
        <f>SUM(经验!A82:X82)</f>
        <v>430</v>
      </c>
      <c r="G82" s="76">
        <f>SUM($F$4:F82)+SUM($H$4:H82)</f>
        <v>57500</v>
      </c>
      <c r="H82" s="78">
        <v>0</v>
      </c>
      <c r="I82" s="57" t="s">
        <v>43</v>
      </c>
      <c r="J82" s="57" t="s">
        <v>43</v>
      </c>
      <c r="K82" s="57" t="s">
        <v>43</v>
      </c>
      <c r="L82" s="78" t="s">
        <v>33</v>
      </c>
      <c r="M82" s="78" t="s">
        <v>33</v>
      </c>
      <c r="N82" s="78" t="s">
        <v>33</v>
      </c>
      <c r="O82" s="79" t="s">
        <v>33</v>
      </c>
      <c r="P82" s="79" t="s">
        <v>33</v>
      </c>
      <c r="Q82" s="55" t="s">
        <v>41</v>
      </c>
      <c r="R82" s="55" t="s">
        <v>41</v>
      </c>
      <c r="S82" s="55" t="s">
        <v>41</v>
      </c>
      <c r="T82" s="55" t="s">
        <v>41</v>
      </c>
      <c r="U82" s="55" t="s">
        <v>41</v>
      </c>
      <c r="V82" s="78" t="s">
        <v>33</v>
      </c>
      <c r="W82" s="79" t="s">
        <v>33</v>
      </c>
      <c r="X82" s="79" t="s">
        <v>33</v>
      </c>
      <c r="Y82" s="78" t="s">
        <v>33</v>
      </c>
      <c r="Z82" s="78" t="s">
        <v>33</v>
      </c>
      <c r="AA82" s="78" t="s">
        <v>33</v>
      </c>
      <c r="AB82" s="78" t="s">
        <v>33</v>
      </c>
      <c r="AC82" s="78" t="s">
        <v>33</v>
      </c>
      <c r="AD82" s="78" t="s">
        <v>33</v>
      </c>
      <c r="AE82" s="79" t="s">
        <v>33</v>
      </c>
      <c r="AF82" s="79" t="s">
        <v>33</v>
      </c>
      <c r="AG82" s="80">
        <f t="shared" si="17"/>
        <v>0</v>
      </c>
      <c r="AH82" s="82"/>
      <c r="AI82" s="82"/>
      <c r="AJ82" s="82"/>
      <c r="AK82" s="83" t="s">
        <v>51</v>
      </c>
      <c r="AL82" s="101">
        <f t="shared" si="18"/>
        <v>15</v>
      </c>
      <c r="AM82" s="101">
        <f t="shared" si="19"/>
        <v>12</v>
      </c>
      <c r="AN82" s="101">
        <f t="shared" si="20"/>
        <v>18</v>
      </c>
      <c r="BE82" s="29"/>
    </row>
    <row r="83" spans="1:57">
      <c r="A83" s="75">
        <v>45718</v>
      </c>
      <c r="B83" s="78">
        <v>1600</v>
      </c>
      <c r="C83" s="78"/>
      <c r="D83" s="76">
        <f>(SUM(粮草!A83:X83)+AG83*10*IF(AK83="是",$BB$4,$BB$3))</f>
        <v>1808</v>
      </c>
      <c r="E83" s="90">
        <f>SUM($B$4:B83)+SUM($C$4:C83)-SUM($D$4:D83)</f>
        <v>266</v>
      </c>
      <c r="F83" s="89">
        <f>SUM(经验!A83:X83)</f>
        <v>650</v>
      </c>
      <c r="G83" s="76">
        <f>SUM($F$4:F83)+SUM($H$4:H83)</f>
        <v>58150</v>
      </c>
      <c r="H83" s="78">
        <v>0</v>
      </c>
      <c r="I83" s="57" t="s">
        <v>43</v>
      </c>
      <c r="J83" s="57" t="s">
        <v>43</v>
      </c>
      <c r="K83" s="55" t="s">
        <v>41</v>
      </c>
      <c r="L83" s="57" t="s">
        <v>43</v>
      </c>
      <c r="M83" s="57" t="s">
        <v>43</v>
      </c>
      <c r="N83" s="57" t="s">
        <v>43</v>
      </c>
      <c r="O83" s="79" t="s">
        <v>33</v>
      </c>
      <c r="P83" s="79" t="s">
        <v>33</v>
      </c>
      <c r="Q83" s="55" t="s">
        <v>41</v>
      </c>
      <c r="R83" s="55" t="s">
        <v>41</v>
      </c>
      <c r="S83" s="55" t="s">
        <v>41</v>
      </c>
      <c r="T83" s="55" t="s">
        <v>41</v>
      </c>
      <c r="U83" s="55" t="s">
        <v>41</v>
      </c>
      <c r="V83" s="55" t="s">
        <v>41</v>
      </c>
      <c r="W83" s="79" t="s">
        <v>33</v>
      </c>
      <c r="X83" s="79" t="s">
        <v>33</v>
      </c>
      <c r="Y83" s="78" t="s">
        <v>33</v>
      </c>
      <c r="Z83" s="78" t="s">
        <v>33</v>
      </c>
      <c r="AA83" s="78" t="s">
        <v>33</v>
      </c>
      <c r="AB83" s="78" t="s">
        <v>33</v>
      </c>
      <c r="AC83" s="78" t="s">
        <v>33</v>
      </c>
      <c r="AD83" s="78" t="s">
        <v>33</v>
      </c>
      <c r="AE83" s="79" t="s">
        <v>33</v>
      </c>
      <c r="AF83" s="79" t="s">
        <v>33</v>
      </c>
      <c r="AG83" s="80">
        <f t="shared" si="17"/>
        <v>0</v>
      </c>
      <c r="AH83" s="82"/>
      <c r="AI83" s="82"/>
      <c r="AJ83" s="82"/>
      <c r="AK83" s="83" t="s">
        <v>51</v>
      </c>
      <c r="AL83" s="101">
        <f t="shared" si="18"/>
        <v>12</v>
      </c>
      <c r="AM83" s="101">
        <f t="shared" si="19"/>
        <v>12</v>
      </c>
      <c r="AN83" s="101">
        <f t="shared" si="20"/>
        <v>18</v>
      </c>
      <c r="BE83" s="29"/>
    </row>
    <row r="84" spans="1:57">
      <c r="A84" s="75">
        <v>45719</v>
      </c>
      <c r="B84" s="76">
        <v>1600</v>
      </c>
      <c r="C84" s="77"/>
      <c r="D84" s="76">
        <f>(SUM(粮草!A84:X84)+AG84*10*IF(AK84="是",$BB$4,$BB$3))</f>
        <v>1656</v>
      </c>
      <c r="E84" s="90">
        <f>SUM($B$4:B84)+SUM($C$4:C84)-SUM($D$4:D84)</f>
        <v>210</v>
      </c>
      <c r="F84" s="89">
        <f>SUM(经验!A84:X84)</f>
        <v>600</v>
      </c>
      <c r="G84" s="76">
        <f>SUM($F$4:F84)+SUM($H$4:H84)</f>
        <v>58950</v>
      </c>
      <c r="H84" s="76">
        <v>200</v>
      </c>
      <c r="I84" s="57" t="s">
        <v>43</v>
      </c>
      <c r="J84" s="55" t="s">
        <v>41</v>
      </c>
      <c r="K84" s="55" t="s">
        <v>41</v>
      </c>
      <c r="L84" s="55" t="s">
        <v>41</v>
      </c>
      <c r="M84" s="55" t="s">
        <v>41</v>
      </c>
      <c r="N84" s="57" t="s">
        <v>43</v>
      </c>
      <c r="O84" s="79" t="s">
        <v>33</v>
      </c>
      <c r="P84" s="79" t="s">
        <v>33</v>
      </c>
      <c r="Q84" s="55" t="s">
        <v>41</v>
      </c>
      <c r="R84" s="55" t="s">
        <v>41</v>
      </c>
      <c r="S84" s="93" t="s">
        <v>38</v>
      </c>
      <c r="T84" s="55" t="s">
        <v>41</v>
      </c>
      <c r="U84" s="55" t="s">
        <v>41</v>
      </c>
      <c r="V84" s="55" t="s">
        <v>41</v>
      </c>
      <c r="W84" s="79" t="s">
        <v>33</v>
      </c>
      <c r="X84" s="79" t="s">
        <v>33</v>
      </c>
      <c r="Y84" s="78" t="s">
        <v>33</v>
      </c>
      <c r="Z84" s="78" t="s">
        <v>33</v>
      </c>
      <c r="AA84" s="78" t="s">
        <v>33</v>
      </c>
      <c r="AB84" s="78" t="s">
        <v>33</v>
      </c>
      <c r="AC84" s="78" t="s">
        <v>33</v>
      </c>
      <c r="AD84" s="78" t="s">
        <v>33</v>
      </c>
      <c r="AE84" s="79" t="s">
        <v>33</v>
      </c>
      <c r="AF84" s="79" t="s">
        <v>33</v>
      </c>
      <c r="AG84" s="80">
        <f t="shared" si="17"/>
        <v>0</v>
      </c>
      <c r="AH84" s="82"/>
      <c r="AI84" s="82"/>
      <c r="AJ84" s="82"/>
      <c r="AK84" s="83" t="s">
        <v>51</v>
      </c>
      <c r="AL84" s="101">
        <f t="shared" si="18"/>
        <v>12</v>
      </c>
      <c r="AM84" s="101">
        <f t="shared" si="19"/>
        <v>12</v>
      </c>
      <c r="AN84" s="101">
        <f t="shared" si="20"/>
        <v>18</v>
      </c>
      <c r="BE84" s="29"/>
    </row>
    <row r="85" spans="1:57">
      <c r="A85" s="75">
        <v>45720</v>
      </c>
      <c r="B85" s="76">
        <v>1600</v>
      </c>
      <c r="C85" s="77"/>
      <c r="D85" s="76">
        <f>(SUM(粮草!A85:X85)+AG85*10*IF(AK85="是",$BB$4,$BB$3))</f>
        <v>1808</v>
      </c>
      <c r="E85" s="90">
        <f>SUM($B$4:B85)+SUM($C$4:C85)-SUM($D$4:D85)</f>
        <v>2</v>
      </c>
      <c r="F85" s="89">
        <f>SUM(经验!A85:X85)</f>
        <v>650</v>
      </c>
      <c r="G85" s="76">
        <f>SUM($F$4:F85)+SUM($H$4:H85)</f>
        <v>59600</v>
      </c>
      <c r="H85" s="76">
        <v>0</v>
      </c>
      <c r="I85" s="57" t="s">
        <v>43</v>
      </c>
      <c r="J85" s="57" t="s">
        <v>43</v>
      </c>
      <c r="K85" s="57" t="s">
        <v>43</v>
      </c>
      <c r="L85" s="55" t="s">
        <v>41</v>
      </c>
      <c r="M85" s="57" t="s">
        <v>43</v>
      </c>
      <c r="N85" s="57" t="s">
        <v>43</v>
      </c>
      <c r="O85" s="79" t="s">
        <v>33</v>
      </c>
      <c r="P85" s="79" t="s">
        <v>33</v>
      </c>
      <c r="Q85" s="55" t="s">
        <v>41</v>
      </c>
      <c r="R85" s="55" t="s">
        <v>41</v>
      </c>
      <c r="S85" s="55" t="s">
        <v>41</v>
      </c>
      <c r="T85" s="55" t="s">
        <v>41</v>
      </c>
      <c r="U85" s="55" t="s">
        <v>41</v>
      </c>
      <c r="V85" s="55" t="s">
        <v>41</v>
      </c>
      <c r="W85" s="79" t="s">
        <v>33</v>
      </c>
      <c r="X85" s="79" t="s">
        <v>33</v>
      </c>
      <c r="Y85" s="78" t="s">
        <v>33</v>
      </c>
      <c r="Z85" s="78" t="s">
        <v>33</v>
      </c>
      <c r="AA85" s="78" t="s">
        <v>33</v>
      </c>
      <c r="AB85" s="78" t="s">
        <v>33</v>
      </c>
      <c r="AC85" s="78" t="s">
        <v>33</v>
      </c>
      <c r="AD85" s="78" t="s">
        <v>33</v>
      </c>
      <c r="AE85" s="79" t="s">
        <v>33</v>
      </c>
      <c r="AF85" s="79" t="s">
        <v>33</v>
      </c>
      <c r="AG85" s="80">
        <f t="shared" si="17"/>
        <v>0</v>
      </c>
      <c r="AH85" s="82"/>
      <c r="AI85" s="82"/>
      <c r="AJ85" s="82"/>
      <c r="AK85" s="83" t="s">
        <v>51</v>
      </c>
      <c r="AL85" s="101">
        <f t="shared" si="18"/>
        <v>12</v>
      </c>
      <c r="AM85" s="101">
        <f t="shared" si="19"/>
        <v>12</v>
      </c>
      <c r="AN85" s="101">
        <f t="shared" si="20"/>
        <v>18</v>
      </c>
      <c r="BE85" s="29"/>
    </row>
    <row r="86" spans="1:57">
      <c r="A86" s="75">
        <v>45721</v>
      </c>
      <c r="B86" s="76">
        <v>1600</v>
      </c>
      <c r="C86" s="77"/>
      <c r="D86" s="76">
        <f>(SUM(粮草!A86:X86)+AG86*10*IF(AK86="是",$BB$4,$BB$3))</f>
        <v>760</v>
      </c>
      <c r="E86" s="90">
        <f>SUM($B$4:B86)+SUM($C$4:C86)-SUM($D$4:D86)</f>
        <v>842</v>
      </c>
      <c r="F86" s="89">
        <f>SUM(经验!A86:X86)</f>
        <v>280</v>
      </c>
      <c r="G86" s="76">
        <f>SUM($F$4:F86)+SUM($H$4:H86)</f>
        <v>60180</v>
      </c>
      <c r="H86" s="76">
        <v>300</v>
      </c>
      <c r="I86" s="78" t="s">
        <v>33</v>
      </c>
      <c r="J86" s="78" t="s">
        <v>33</v>
      </c>
      <c r="K86" s="78" t="s">
        <v>33</v>
      </c>
      <c r="L86" s="78" t="s">
        <v>33</v>
      </c>
      <c r="M86" s="78" t="s">
        <v>33</v>
      </c>
      <c r="N86" s="78" t="s">
        <v>33</v>
      </c>
      <c r="O86" s="79" t="s">
        <v>33</v>
      </c>
      <c r="P86" s="79" t="s">
        <v>33</v>
      </c>
      <c r="Q86" s="55" t="s">
        <v>41</v>
      </c>
      <c r="R86" s="55" t="s">
        <v>41</v>
      </c>
      <c r="S86" s="55" t="s">
        <v>41</v>
      </c>
      <c r="T86" s="55" t="s">
        <v>41</v>
      </c>
      <c r="U86" s="55" t="s">
        <v>41</v>
      </c>
      <c r="V86" s="93" t="s">
        <v>38</v>
      </c>
      <c r="W86" s="79" t="s">
        <v>33</v>
      </c>
      <c r="X86" s="79" t="s">
        <v>33</v>
      </c>
      <c r="Y86" s="78" t="s">
        <v>33</v>
      </c>
      <c r="Z86" s="78" t="s">
        <v>33</v>
      </c>
      <c r="AA86" s="78" t="s">
        <v>33</v>
      </c>
      <c r="AB86" s="78" t="s">
        <v>33</v>
      </c>
      <c r="AC86" s="78" t="s">
        <v>33</v>
      </c>
      <c r="AD86" s="78" t="s">
        <v>33</v>
      </c>
      <c r="AE86" s="79" t="s">
        <v>33</v>
      </c>
      <c r="AF86" s="79" t="s">
        <v>33</v>
      </c>
      <c r="AG86" s="80">
        <f t="shared" si="17"/>
        <v>0</v>
      </c>
      <c r="AH86" s="82"/>
      <c r="AI86" s="82"/>
      <c r="AJ86" s="82"/>
      <c r="AK86" s="83" t="s">
        <v>51</v>
      </c>
      <c r="AL86" s="101">
        <f t="shared" si="18"/>
        <v>18</v>
      </c>
      <c r="AM86" s="101">
        <f t="shared" si="19"/>
        <v>12</v>
      </c>
      <c r="AN86" s="101">
        <f t="shared" si="20"/>
        <v>18</v>
      </c>
      <c r="BE86" s="29"/>
    </row>
    <row r="87" spans="1:57">
      <c r="A87" s="75">
        <v>45722</v>
      </c>
      <c r="B87" s="76">
        <v>1600</v>
      </c>
      <c r="C87" s="77"/>
      <c r="D87" s="76">
        <f>(SUM(粮草!A87:X87)+AG87*10*IF(AK87="是",$BB$4,$BB$3))</f>
        <v>1792</v>
      </c>
      <c r="E87" s="90">
        <f>SUM($B$4:B87)+SUM($C$4:C87)-SUM($D$4:D87)</f>
        <v>650</v>
      </c>
      <c r="F87" s="89">
        <f>SUM(经验!A87:X87)</f>
        <v>640</v>
      </c>
      <c r="G87" s="76">
        <f>SUM($F$4:F87)+SUM($H$4:H87)</f>
        <v>60820</v>
      </c>
      <c r="H87" s="76">
        <v>0</v>
      </c>
      <c r="I87" s="55" t="s">
        <v>41</v>
      </c>
      <c r="J87" s="57" t="s">
        <v>43</v>
      </c>
      <c r="K87" s="57" t="s">
        <v>43</v>
      </c>
      <c r="L87" s="57" t="s">
        <v>43</v>
      </c>
      <c r="M87" s="57" t="s">
        <v>43</v>
      </c>
      <c r="N87" s="55" t="s">
        <v>41</v>
      </c>
      <c r="O87" s="79" t="s">
        <v>33</v>
      </c>
      <c r="P87" s="79" t="s">
        <v>33</v>
      </c>
      <c r="Q87" s="55" t="s">
        <v>41</v>
      </c>
      <c r="R87" s="55" t="s">
        <v>41</v>
      </c>
      <c r="S87" s="55" t="s">
        <v>41</v>
      </c>
      <c r="T87" s="55" t="s">
        <v>41</v>
      </c>
      <c r="U87" s="55" t="s">
        <v>41</v>
      </c>
      <c r="V87" s="55" t="s">
        <v>41</v>
      </c>
      <c r="W87" s="79" t="s">
        <v>33</v>
      </c>
      <c r="X87" s="79" t="s">
        <v>33</v>
      </c>
      <c r="Y87" s="78" t="s">
        <v>33</v>
      </c>
      <c r="Z87" s="78" t="s">
        <v>33</v>
      </c>
      <c r="AA87" s="78" t="s">
        <v>33</v>
      </c>
      <c r="AB87" s="78" t="s">
        <v>33</v>
      </c>
      <c r="AC87" s="78" t="s">
        <v>33</v>
      </c>
      <c r="AD87" s="78" t="s">
        <v>33</v>
      </c>
      <c r="AE87" s="79" t="s">
        <v>33</v>
      </c>
      <c r="AF87" s="79" t="s">
        <v>33</v>
      </c>
      <c r="AG87" s="80">
        <f t="shared" si="17"/>
        <v>0</v>
      </c>
      <c r="AH87" s="82"/>
      <c r="AI87" s="82"/>
      <c r="AJ87" s="82"/>
      <c r="AK87" s="83" t="s">
        <v>51</v>
      </c>
      <c r="AL87" s="101">
        <f t="shared" si="18"/>
        <v>12</v>
      </c>
      <c r="AM87" s="101">
        <f t="shared" si="19"/>
        <v>12</v>
      </c>
      <c r="AN87" s="101">
        <f t="shared" si="20"/>
        <v>18</v>
      </c>
      <c r="BE87" s="29"/>
    </row>
    <row r="88" spans="1:57">
      <c r="A88" s="75">
        <v>45723</v>
      </c>
      <c r="B88" s="76">
        <v>1600</v>
      </c>
      <c r="C88" s="77"/>
      <c r="D88" s="76">
        <f>(SUM(粮草!A88:X88)+AG88*10*IF(AK88="是",$BB$4,$BB$3))</f>
        <v>1736</v>
      </c>
      <c r="E88" s="90">
        <f>SUM($B$4:B88)+SUM($C$4:C88)-SUM($D$4:D88)</f>
        <v>514</v>
      </c>
      <c r="F88" s="89">
        <f>SUM(经验!A88:X88)</f>
        <v>605</v>
      </c>
      <c r="G88" s="76">
        <f>SUM($F$4:F88)+SUM($H$4:H88)</f>
        <v>61425</v>
      </c>
      <c r="H88" s="76">
        <v>0</v>
      </c>
      <c r="I88" s="55" t="s">
        <v>41</v>
      </c>
      <c r="J88" s="55" t="s">
        <v>41</v>
      </c>
      <c r="K88" s="55" t="s">
        <v>41</v>
      </c>
      <c r="L88" s="55" t="s">
        <v>41</v>
      </c>
      <c r="M88" s="55" t="s">
        <v>41</v>
      </c>
      <c r="N88" s="56" t="s">
        <v>42</v>
      </c>
      <c r="O88" s="79" t="s">
        <v>33</v>
      </c>
      <c r="P88" s="79" t="s">
        <v>33</v>
      </c>
      <c r="Q88" s="55" t="s">
        <v>41</v>
      </c>
      <c r="R88" s="55" t="s">
        <v>41</v>
      </c>
      <c r="S88" s="55" t="s">
        <v>41</v>
      </c>
      <c r="T88" s="55" t="s">
        <v>41</v>
      </c>
      <c r="U88" s="55" t="s">
        <v>41</v>
      </c>
      <c r="V88" s="55" t="s">
        <v>41</v>
      </c>
      <c r="W88" s="79" t="s">
        <v>33</v>
      </c>
      <c r="X88" s="79" t="s">
        <v>33</v>
      </c>
      <c r="Y88" s="78" t="s">
        <v>33</v>
      </c>
      <c r="Z88" s="78" t="s">
        <v>33</v>
      </c>
      <c r="AA88" s="78" t="s">
        <v>33</v>
      </c>
      <c r="AB88" s="78" t="s">
        <v>33</v>
      </c>
      <c r="AC88" s="78" t="s">
        <v>33</v>
      </c>
      <c r="AD88" s="78" t="s">
        <v>33</v>
      </c>
      <c r="AE88" s="79" t="s">
        <v>33</v>
      </c>
      <c r="AF88" s="79" t="s">
        <v>33</v>
      </c>
      <c r="AG88" s="80">
        <f t="shared" si="17"/>
        <v>0</v>
      </c>
      <c r="AH88" s="82"/>
      <c r="AI88" s="82"/>
      <c r="AJ88" s="82"/>
      <c r="AK88" s="83" t="s">
        <v>51</v>
      </c>
      <c r="AL88" s="101">
        <f t="shared" si="18"/>
        <v>12</v>
      </c>
      <c r="AM88" s="101">
        <f t="shared" si="19"/>
        <v>12</v>
      </c>
      <c r="AN88" s="101">
        <f t="shared" si="20"/>
        <v>18</v>
      </c>
      <c r="BE88" s="29"/>
    </row>
    <row r="89" spans="1:57">
      <c r="A89" s="75">
        <v>45724</v>
      </c>
      <c r="B89" s="76">
        <v>1600</v>
      </c>
      <c r="C89" s="77"/>
      <c r="D89" s="76">
        <f>(SUM(粮草!A89:X89)+AG89*10*IF(AK89="是",$BB$4,$BB$3))</f>
        <v>2048</v>
      </c>
      <c r="E89" s="90">
        <f>SUM($B$4:B89)+SUM($C$4:C89)-SUM($D$4:D89)</f>
        <v>66</v>
      </c>
      <c r="F89" s="89">
        <f>SUM(经验!A89:X89)</f>
        <v>735</v>
      </c>
      <c r="G89" s="76">
        <f>SUM($F$4:F89)+SUM($H$4:H89)</f>
        <v>62160</v>
      </c>
      <c r="H89" s="76">
        <v>0</v>
      </c>
      <c r="I89" s="56" t="s">
        <v>42</v>
      </c>
      <c r="J89" s="57" t="s">
        <v>43</v>
      </c>
      <c r="K89" s="57" t="s">
        <v>43</v>
      </c>
      <c r="L89" s="55" t="s">
        <v>41</v>
      </c>
      <c r="M89" s="55" t="s">
        <v>41</v>
      </c>
      <c r="N89" s="57" t="s">
        <v>43</v>
      </c>
      <c r="O89" s="79" t="s">
        <v>33</v>
      </c>
      <c r="P89" s="79" t="s">
        <v>33</v>
      </c>
      <c r="Q89" s="55" t="s">
        <v>41</v>
      </c>
      <c r="R89" s="60" t="s">
        <v>47</v>
      </c>
      <c r="S89" s="55" t="s">
        <v>41</v>
      </c>
      <c r="T89" s="55" t="s">
        <v>41</v>
      </c>
      <c r="U89" s="55" t="s">
        <v>41</v>
      </c>
      <c r="V89" s="55" t="s">
        <v>41</v>
      </c>
      <c r="W89" s="55" t="s">
        <v>41</v>
      </c>
      <c r="X89" s="55" t="s">
        <v>41</v>
      </c>
      <c r="Y89" s="78" t="s">
        <v>33</v>
      </c>
      <c r="Z89" s="78" t="s">
        <v>33</v>
      </c>
      <c r="AA89" s="78" t="s">
        <v>33</v>
      </c>
      <c r="AB89" s="78" t="s">
        <v>33</v>
      </c>
      <c r="AC89" s="78" t="s">
        <v>33</v>
      </c>
      <c r="AD89" s="78" t="s">
        <v>33</v>
      </c>
      <c r="AE89" s="79" t="s">
        <v>33</v>
      </c>
      <c r="AF89" s="79" t="s">
        <v>33</v>
      </c>
      <c r="AG89" s="80">
        <f t="shared" si="17"/>
        <v>0</v>
      </c>
      <c r="AH89" s="82"/>
      <c r="AI89" s="82"/>
      <c r="AJ89" s="82"/>
      <c r="AK89" s="83" t="s">
        <v>51</v>
      </c>
      <c r="AL89" s="101">
        <f t="shared" si="18"/>
        <v>12</v>
      </c>
      <c r="AM89" s="101">
        <f t="shared" si="19"/>
        <v>10</v>
      </c>
      <c r="AN89" s="101">
        <f t="shared" si="20"/>
        <v>18</v>
      </c>
      <c r="BE89" s="29"/>
    </row>
    <row r="90" spans="1:57">
      <c r="A90" s="75">
        <v>45725</v>
      </c>
      <c r="B90" s="76">
        <v>1600</v>
      </c>
      <c r="C90" s="77"/>
      <c r="D90" s="76">
        <f>(SUM(粮草!A90:X90)+AG90*10*IF(AK90="是",$BB$4,$BB$3))</f>
        <v>1936</v>
      </c>
      <c r="E90" s="90">
        <f>SUM($B$4:B90)+SUM($C$4:C90)-SUM($D$4:D90)</f>
        <v>-270</v>
      </c>
      <c r="F90" s="89">
        <f>SUM(经验!A90:X90)</f>
        <v>715</v>
      </c>
      <c r="G90" s="76">
        <f>SUM($F$4:F90)+SUM($H$4:H90)</f>
        <v>62875</v>
      </c>
      <c r="H90" s="76">
        <v>0</v>
      </c>
      <c r="I90" s="57" t="s">
        <v>43</v>
      </c>
      <c r="J90" s="56" t="s">
        <v>42</v>
      </c>
      <c r="K90" s="56" t="s">
        <v>42</v>
      </c>
      <c r="L90" s="56" t="s">
        <v>42</v>
      </c>
      <c r="M90" s="71" t="s">
        <v>48</v>
      </c>
      <c r="N90" s="56" t="s">
        <v>42</v>
      </c>
      <c r="O90" s="79" t="s">
        <v>33</v>
      </c>
      <c r="P90" s="79" t="s">
        <v>33</v>
      </c>
      <c r="Q90" s="55" t="s">
        <v>41</v>
      </c>
      <c r="R90" s="55" t="s">
        <v>41</v>
      </c>
      <c r="S90" s="55" t="s">
        <v>41</v>
      </c>
      <c r="T90" s="55" t="s">
        <v>41</v>
      </c>
      <c r="U90" s="93" t="s">
        <v>38</v>
      </c>
      <c r="V90" s="55" t="s">
        <v>41</v>
      </c>
      <c r="W90" s="55" t="s">
        <v>41</v>
      </c>
      <c r="X90" s="55" t="s">
        <v>41</v>
      </c>
      <c r="Y90" s="78" t="s">
        <v>33</v>
      </c>
      <c r="Z90" s="78" t="s">
        <v>33</v>
      </c>
      <c r="AA90" s="78" t="s">
        <v>33</v>
      </c>
      <c r="AB90" s="78" t="s">
        <v>33</v>
      </c>
      <c r="AC90" s="78" t="s">
        <v>33</v>
      </c>
      <c r="AD90" s="78" t="s">
        <v>33</v>
      </c>
      <c r="AE90" s="79" t="s">
        <v>33</v>
      </c>
      <c r="AF90" s="79" t="s">
        <v>33</v>
      </c>
      <c r="AG90" s="80">
        <f t="shared" si="17"/>
        <v>0</v>
      </c>
      <c r="AH90" s="82"/>
      <c r="AI90" s="82"/>
      <c r="AJ90" s="82"/>
      <c r="AK90" s="83" t="s">
        <v>51</v>
      </c>
      <c r="AL90" s="101">
        <f t="shared" si="18"/>
        <v>12</v>
      </c>
      <c r="AM90" s="101">
        <f t="shared" si="19"/>
        <v>8</v>
      </c>
      <c r="AN90" s="101">
        <f t="shared" si="20"/>
        <v>18</v>
      </c>
      <c r="BE90" s="29"/>
    </row>
    <row r="91" spans="1:57">
      <c r="A91" s="75">
        <v>45726</v>
      </c>
      <c r="B91" s="78">
        <v>1600</v>
      </c>
      <c r="C91" s="78"/>
      <c r="D91" s="76">
        <f>(SUM(粮草!A91:X91)+AG91*10*IF(AK91="是",$BB$4,$BB$3))</f>
        <v>1152</v>
      </c>
      <c r="E91" s="90">
        <f>SUM($B$4:B91)+SUM($C$4:C91)-SUM($D$4:D91)</f>
        <v>178</v>
      </c>
      <c r="F91" s="89">
        <f>SUM(经验!A91:X91)</f>
        <v>400</v>
      </c>
      <c r="G91" s="76">
        <f>SUM($F$4:F91)+SUM($H$4:H91)</f>
        <v>63475</v>
      </c>
      <c r="H91" s="78">
        <v>200</v>
      </c>
      <c r="I91" s="78" t="s">
        <v>33</v>
      </c>
      <c r="J91" s="78" t="s">
        <v>33</v>
      </c>
      <c r="K91" s="78" t="s">
        <v>33</v>
      </c>
      <c r="L91" s="78" t="s">
        <v>33</v>
      </c>
      <c r="M91" s="78" t="s">
        <v>33</v>
      </c>
      <c r="N91" s="78" t="s">
        <v>33</v>
      </c>
      <c r="O91" s="79" t="s">
        <v>33</v>
      </c>
      <c r="P91" s="79" t="s">
        <v>33</v>
      </c>
      <c r="Q91" s="55" t="s">
        <v>41</v>
      </c>
      <c r="R91" s="55" t="s">
        <v>41</v>
      </c>
      <c r="S91" s="55" t="s">
        <v>41</v>
      </c>
      <c r="T91" s="55" t="s">
        <v>41</v>
      </c>
      <c r="U91" s="55" t="s">
        <v>41</v>
      </c>
      <c r="V91" s="55" t="s">
        <v>41</v>
      </c>
      <c r="W91" s="55" t="s">
        <v>41</v>
      </c>
      <c r="X91" s="55" t="s">
        <v>41</v>
      </c>
      <c r="Y91" s="78" t="s">
        <v>33</v>
      </c>
      <c r="Z91" s="78" t="s">
        <v>33</v>
      </c>
      <c r="AA91" s="78" t="s">
        <v>33</v>
      </c>
      <c r="AB91" s="78" t="s">
        <v>33</v>
      </c>
      <c r="AC91" s="78" t="s">
        <v>33</v>
      </c>
      <c r="AD91" s="78" t="s">
        <v>33</v>
      </c>
      <c r="AE91" s="79" t="s">
        <v>33</v>
      </c>
      <c r="AF91" s="79" t="s">
        <v>33</v>
      </c>
      <c r="AG91" s="80">
        <f t="shared" si="17"/>
        <v>0</v>
      </c>
      <c r="AH91" s="82"/>
      <c r="AI91" s="82"/>
      <c r="AJ91" s="82"/>
      <c r="AK91" s="83" t="s">
        <v>51</v>
      </c>
      <c r="AL91" s="101">
        <f t="shared" si="18"/>
        <v>18</v>
      </c>
      <c r="AM91" s="101">
        <f t="shared" si="19"/>
        <v>6</v>
      </c>
      <c r="AN91" s="101">
        <f t="shared" si="20"/>
        <v>18</v>
      </c>
      <c r="BE91" s="29"/>
    </row>
    <row r="92" spans="1:57">
      <c r="A92" s="75">
        <v>45727</v>
      </c>
      <c r="B92" s="78">
        <v>1600</v>
      </c>
      <c r="C92" s="78"/>
      <c r="D92" s="76">
        <f>(SUM(粮草!A92:X92)+AG92*10*IF(AK92="是",$BB$4,$BB$3))</f>
        <v>1872</v>
      </c>
      <c r="E92" s="90">
        <f>SUM($B$4:B92)+SUM($C$4:C92)-SUM($D$4:D92)</f>
        <v>-94</v>
      </c>
      <c r="F92" s="89">
        <f>SUM(经验!A92:X92)</f>
        <v>660</v>
      </c>
      <c r="G92" s="76">
        <f>SUM($F$4:F92)+SUM($H$4:H92)</f>
        <v>64235</v>
      </c>
      <c r="H92" s="78">
        <v>100</v>
      </c>
      <c r="I92" s="56" t="s">
        <v>42</v>
      </c>
      <c r="J92" s="56" t="s">
        <v>42</v>
      </c>
      <c r="K92" s="56" t="s">
        <v>42</v>
      </c>
      <c r="L92" s="56" t="s">
        <v>42</v>
      </c>
      <c r="M92" s="56" t="s">
        <v>42</v>
      </c>
      <c r="N92" s="56" t="s">
        <v>42</v>
      </c>
      <c r="O92" s="79" t="s">
        <v>33</v>
      </c>
      <c r="P92" s="79" t="s">
        <v>33</v>
      </c>
      <c r="Q92" s="55" t="s">
        <v>41</v>
      </c>
      <c r="R92" s="55" t="s">
        <v>41</v>
      </c>
      <c r="S92" s="58" t="s">
        <v>40</v>
      </c>
      <c r="T92" s="53" t="s">
        <v>36</v>
      </c>
      <c r="U92" s="53" t="s">
        <v>36</v>
      </c>
      <c r="V92" s="93" t="s">
        <v>38</v>
      </c>
      <c r="W92" s="53" t="s">
        <v>36</v>
      </c>
      <c r="X92" s="53" t="s">
        <v>36</v>
      </c>
      <c r="Y92" s="78" t="s">
        <v>33</v>
      </c>
      <c r="Z92" s="78" t="s">
        <v>33</v>
      </c>
      <c r="AA92" s="78" t="s">
        <v>33</v>
      </c>
      <c r="AB92" s="78" t="s">
        <v>33</v>
      </c>
      <c r="AC92" s="78" t="s">
        <v>33</v>
      </c>
      <c r="AD92" s="78" t="s">
        <v>33</v>
      </c>
      <c r="AE92" s="79" t="s">
        <v>33</v>
      </c>
      <c r="AF92" s="79" t="s">
        <v>33</v>
      </c>
      <c r="AG92" s="80">
        <f t="shared" si="17"/>
        <v>0</v>
      </c>
      <c r="AH92" s="82"/>
      <c r="AI92" s="82"/>
      <c r="AJ92" s="82"/>
      <c r="AK92" s="83" t="s">
        <v>51</v>
      </c>
      <c r="AL92" s="101">
        <f t="shared" si="18"/>
        <v>12</v>
      </c>
      <c r="AM92" s="101">
        <f t="shared" si="19"/>
        <v>4</v>
      </c>
      <c r="AN92" s="101">
        <f t="shared" si="20"/>
        <v>18</v>
      </c>
      <c r="BE92" s="29"/>
    </row>
    <row r="93" spans="1:57">
      <c r="A93" s="75">
        <v>45728</v>
      </c>
      <c r="B93" s="78">
        <v>1600</v>
      </c>
      <c r="C93" s="78"/>
      <c r="D93" s="76">
        <f>(SUM(粮草!A93:X93)+AG93*10*IF(AK93="是",$BB$4,$BB$3))</f>
        <v>1504</v>
      </c>
      <c r="E93" s="90">
        <f>SUM($B$4:B93)+SUM($C$4:C93)-SUM($D$4:D93)</f>
        <v>2</v>
      </c>
      <c r="F93" s="89">
        <f>SUM(经验!A93:X93)</f>
        <v>550</v>
      </c>
      <c r="G93" s="76">
        <f>SUM($F$4:F93)+SUM($H$4:H93)</f>
        <v>64985</v>
      </c>
      <c r="H93" s="78">
        <v>200</v>
      </c>
      <c r="I93" s="56" t="s">
        <v>42</v>
      </c>
      <c r="J93" s="56" t="s">
        <v>42</v>
      </c>
      <c r="K93" s="56" t="s">
        <v>42</v>
      </c>
      <c r="L93" s="56" t="s">
        <v>42</v>
      </c>
      <c r="M93" s="56" t="s">
        <v>42</v>
      </c>
      <c r="N93" s="56" t="s">
        <v>42</v>
      </c>
      <c r="O93" s="56" t="s">
        <v>42</v>
      </c>
      <c r="P93" s="56" t="s">
        <v>42</v>
      </c>
      <c r="Q93" s="58" t="s">
        <v>40</v>
      </c>
      <c r="R93" s="53" t="s">
        <v>36</v>
      </c>
      <c r="S93" s="93" t="s">
        <v>38</v>
      </c>
      <c r="T93" s="78" t="s">
        <v>33</v>
      </c>
      <c r="U93" s="78" t="s">
        <v>33</v>
      </c>
      <c r="V93" s="78" t="s">
        <v>33</v>
      </c>
      <c r="W93" s="79" t="s">
        <v>33</v>
      </c>
      <c r="X93" s="79" t="s">
        <v>33</v>
      </c>
      <c r="Y93" s="78" t="s">
        <v>33</v>
      </c>
      <c r="Z93" s="78" t="s">
        <v>33</v>
      </c>
      <c r="AA93" s="78" t="s">
        <v>33</v>
      </c>
      <c r="AB93" s="78" t="s">
        <v>33</v>
      </c>
      <c r="AC93" s="78" t="s">
        <v>33</v>
      </c>
      <c r="AD93" s="78" t="s">
        <v>33</v>
      </c>
      <c r="AE93" s="79" t="s">
        <v>33</v>
      </c>
      <c r="AF93" s="79" t="s">
        <v>33</v>
      </c>
      <c r="AG93" s="80">
        <f t="shared" si="17"/>
        <v>0</v>
      </c>
      <c r="AH93" s="82"/>
      <c r="AI93" s="82"/>
      <c r="AJ93" s="82"/>
      <c r="AK93" s="83" t="s">
        <v>51</v>
      </c>
      <c r="AL93" s="101">
        <f t="shared" si="18"/>
        <v>10</v>
      </c>
      <c r="AM93" s="101">
        <f t="shared" si="19"/>
        <v>7</v>
      </c>
      <c r="AN93" s="101">
        <f t="shared" si="20"/>
        <v>18</v>
      </c>
      <c r="BE93" s="29"/>
    </row>
    <row r="95" spans="1:57">
      <c r="D95" t="s">
        <v>57</v>
      </c>
      <c r="E95" s="17">
        <f>COUNTIF(E4:E93,"&lt;0")</f>
        <v>3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IF(ISNUMBER(SEARCH("营",'18.05'!I4)),(-$Y4+50*IF('18.05'!$AK4="是",'18.05'!$BB$4,'18.05'!$BB$3)),(VLOOKUP('18.05'!I4,'18.05'!$AO$4:$AQ$55,2,FALSE))*IF('18.05'!$AK4="是",'18.05'!$BB$4,'18.05'!$BB$3))</f>
        <v>150</v>
      </c>
      <c r="B4" s="4">
        <f>IF(ISNUMBER(SEARCH("营",'18.05'!J4)),(-$Y4+50*IF('18.05'!$AK4="是",'18.05'!$BB$4,'18.05'!$BB$3)),(VLOOKUP('18.05'!J4,'18.05'!$AO$4:$AQ$55,2,FALSE))*IF('18.05'!$AK4="是",'18.05'!$BB$4,'18.05'!$BB$3))</f>
        <v>150</v>
      </c>
      <c r="C4" s="4">
        <f>IF(ISNUMBER(SEARCH("营",'18.05'!K4)),(-$Y4+50*IF('18.05'!$AK4="是",'18.05'!$BB$4,'18.05'!$BB$3)),(VLOOKUP('18.05'!K4,'18.05'!$AO$4:$AQ$55,2,FALSE))*IF('18.05'!$AK4="是",'18.05'!$BB$4,'18.05'!$BB$3))</f>
        <v>150</v>
      </c>
      <c r="D4" s="4">
        <f>IF(ISNUMBER(SEARCH("营",'18.05'!L4)),(-$Y4+50*IF('18.05'!$AK4="是",'18.05'!$BB$4,'18.05'!$BB$3)),(VLOOKUP('18.05'!L4,'18.05'!$AO$4:$AQ$55,2,FALSE))*IF('18.05'!$AK4="是",'18.05'!$BB$4,'18.05'!$BB$3))</f>
        <v>150</v>
      </c>
      <c r="E4" s="4">
        <f>IF(ISNUMBER(SEARCH("营",'18.05'!M4)),(-$Y4+50*IF('18.05'!$AK4="是",'18.05'!$BB$4,'18.05'!$BB$3)),(VLOOKUP('18.05'!M4,'18.05'!$AO$4:$AQ$55,2,FALSE))*IF('18.05'!$AK4="是",'18.05'!$BB$4,'18.05'!$BB$3))</f>
        <v>150</v>
      </c>
      <c r="F4" s="4">
        <f>IF(ISNUMBER(SEARCH("营",'18.05'!N4)),(-$Y4+50*IF('18.05'!$AK4="是",'18.05'!$BB$4,'18.05'!$BB$3)),(VLOOKUP('18.05'!N4,'18.05'!$AO$4:$AQ$55,2,FALSE))*IF('18.05'!$AK4="是",'18.05'!$BB$4,'18.05'!$BB$3))</f>
        <v>0</v>
      </c>
      <c r="G4" s="4">
        <f>IF(ISNUMBER(SEARCH("营",'18.05'!O4)),(-$Y4+50*IF('18.05'!$AK4="是",'18.05'!$BB$4,'18.05'!$BB$3)),(VLOOKUP('18.05'!O4,'18.05'!$AO$4:$AQ$55,2,FALSE))*IF('18.05'!$AK4="是",'18.05'!$BB$4,'18.05'!$BB$3))</f>
        <v>0</v>
      </c>
      <c r="H4" s="4">
        <f>IF(ISNUMBER(SEARCH("营",'18.05'!P4)),(-$Y4+50*IF('18.05'!$AK4="是",'18.05'!$BB$4,'18.05'!$BB$3)),(VLOOKUP('18.05'!P4,'18.05'!$AO$4:$AQ$55,2,FALSE))*IF('18.05'!$AK4="是",'18.05'!$BB$4,'18.05'!$BB$3))</f>
        <v>0</v>
      </c>
      <c r="I4" s="4">
        <f>IF(ISNUMBER(SEARCH("营",'18.05'!Q4)),(-$Y4+50*IF('18.05'!$AK4="是",'18.05'!$BB$4,'18.05'!$BB$3)),(VLOOKUP('18.05'!Q4,'18.05'!$AO$4:$AQ$55,2,FALSE))*IF('18.05'!$AK4="是",'18.05'!$BB$4,'18.05'!$BB$3))</f>
        <v>50</v>
      </c>
      <c r="J4" s="4">
        <f>IF(ISNUMBER(SEARCH("营",'18.05'!R4)),(-$Y4+50*IF('18.05'!$AK4="是",'18.05'!$BB$4,'18.05'!$BB$3)),(VLOOKUP('18.05'!R4,'18.05'!$AO$4:$AQ$55,2,FALSE))*IF('18.05'!$AK4="是",'18.05'!$BB$4,'18.05'!$BB$3))</f>
        <v>150</v>
      </c>
      <c r="K4" s="4">
        <f>IF(ISNUMBER(SEARCH("营",'18.05'!S4)),(-$Y4+50*IF('18.05'!$AK4="是",'18.05'!$BB$4,'18.05'!$BB$3)),(VLOOKUP('18.05'!S4,'18.05'!$AO$4:$AQ$55,2,FALSE))*IF('18.05'!$AK4="是",'18.05'!$BB$4,'18.05'!$BB$3))</f>
        <v>150</v>
      </c>
      <c r="L4" s="4">
        <f>IF(ISNUMBER(SEARCH("营",'18.05'!T4)),(-$Y4+50*IF('18.05'!$AK4="是",'18.05'!$BB$4,'18.05'!$BB$3)),(VLOOKUP('18.05'!T4,'18.05'!$AO$4:$AQ$55,2,FALSE))*IF('18.05'!$AK4="是",'18.05'!$BB$4,'18.05'!$BB$3))</f>
        <v>150</v>
      </c>
      <c r="M4" s="4">
        <f>IF(ISNUMBER(SEARCH("营",'18.05'!U4)),(-$Y4+50*IF('18.05'!$AK4="是",'18.05'!$BB$4,'18.05'!$BB$3)),(VLOOKUP('18.05'!U4,'18.05'!$AO$4:$AQ$55,2,FALSE))*IF('18.05'!$AK4="是",'18.05'!$BB$4,'18.05'!$BB$3))</f>
        <v>150</v>
      </c>
      <c r="N4" s="4">
        <f>IF(ISNUMBER(SEARCH("营",'18.05'!V4)),(-$Y4+50*IF('18.05'!$AK4="是",'18.05'!$BB$4,'18.05'!$BB$3)),(VLOOKUP('18.05'!V4,'18.05'!$AO$4:$AQ$55,2,FALSE))*IF('18.05'!$AK4="是",'18.05'!$BB$4,'18.05'!$BB$3))</f>
        <v>150</v>
      </c>
      <c r="O4" s="4">
        <f>IF(ISNUMBER(SEARCH("营",'18.05'!W4)),(-$Y4+50*IF('18.05'!$AK4="是",'18.05'!$BB$4,'18.05'!$BB$3)),(VLOOKUP('18.05'!W4,'18.05'!$AO$4:$AQ$55,2,FALSE))*IF('18.05'!$AK4="是",'18.05'!$BB$4,'18.05'!$BB$3))</f>
        <v>0</v>
      </c>
      <c r="P4" s="4">
        <f>IF(ISNUMBER(SEARCH("营",'18.05'!X4)),(-$Y4+50*IF('18.05'!$AK4="是",'18.05'!$BB$4,'18.05'!$BB$3)),(VLOOKUP('18.05'!X4,'18.05'!$AO$4:$AQ$55,2,FALSE))*IF('18.05'!$AK4="是",'18.05'!$BB$4,'18.05'!$BB$3))</f>
        <v>0</v>
      </c>
      <c r="Q4" s="4">
        <f>IF(ISNUMBER(SEARCH("营",'18.05'!Y4)),(-$Y4+50*IF('18.05'!$AK4="是",'18.05'!$BB$4,'18.05'!$BB$3)),(VLOOKUP('18.05'!Y4,'18.05'!$AO$4:$AQ$55,2,FALSE))*IF('18.05'!$AK4="是",'18.05'!$BB$4,'18.05'!$BB$3))</f>
        <v>0</v>
      </c>
      <c r="R4" s="4">
        <f>IF(ISNUMBER(SEARCH("营",'18.05'!Z4)),(-$Y4+50*IF('18.05'!$AK4="是",'18.05'!$BB$4,'18.05'!$BB$3)),(VLOOKUP('18.05'!Z4,'18.05'!$AO$4:$AQ$55,2,FALSE))*IF('18.05'!$AK4="是",'18.05'!$BB$4,'18.05'!$BB$3))</f>
        <v>0</v>
      </c>
      <c r="S4" s="4">
        <f>IF(ISNUMBER(SEARCH("营",'18.05'!AA4)),(-$Y4+50*IF('18.05'!$AK4="是",'18.05'!$BB$4,'18.05'!$BB$3)),(VLOOKUP('18.05'!AA4,'18.05'!$AO$4:$AQ$55,2,FALSE))*IF('18.05'!$AK4="是",'18.05'!$BB$4,'18.05'!$BB$3))</f>
        <v>0</v>
      </c>
      <c r="T4" s="4">
        <f>IF(ISNUMBER(SEARCH("营",'18.05'!AB4)),(-$Y4+50*IF('18.05'!$AK4="是",'18.05'!$BB$4,'18.05'!$BB$3)),(VLOOKUP('18.05'!AB4,'18.05'!$AO$4:$AQ$55,2,FALSE))*IF('18.05'!$AK4="是",'18.05'!$BB$4,'18.05'!$BB$3))</f>
        <v>0</v>
      </c>
      <c r="U4" s="4">
        <f>IF(ISNUMBER(SEARCH("营",'18.05'!AC4)),(-$Y4+50*IF('18.05'!$AK4="是",'18.05'!$BB$4,'18.05'!$BB$3)),(VLOOKUP('18.05'!AC4,'18.05'!$AO$4:$AQ$55,2,FALSE))*IF('18.05'!$AK4="是",'18.05'!$BB$4,'18.05'!$BB$3))</f>
        <v>0</v>
      </c>
      <c r="V4" s="4">
        <f>IF(ISNUMBER(SEARCH("营",'18.05'!AD4)),(-$Y4+50*IF('18.05'!$AK4="是",'18.05'!$BB$4,'18.05'!$BB$3)),(VLOOKUP('18.05'!AD4,'18.05'!$AO$4:$AQ$55,2,FALSE))*IF('18.05'!$AK4="是",'18.05'!$BB$4,'18.05'!$BB$3))</f>
        <v>0</v>
      </c>
      <c r="W4" s="4">
        <f>IF(ISNUMBER(SEARCH("营",'18.05'!AE4)),(-$Y4+50*IF('18.05'!$AK4="是",'18.05'!$BB$4,'18.05'!$BB$3)),(VLOOKUP('18.05'!AE4,'18.05'!$AO$4:$AQ$55,2,FALSE))*IF('18.05'!$AK4="是",'18.05'!$BB$4,'18.05'!$BB$3))</f>
        <v>0</v>
      </c>
      <c r="X4" s="4">
        <f>IF(ISNUMBER(SEARCH("营",'18.05'!AF4)),(-$Y4+50*IF('18.05'!$AK4="是",'18.05'!$BB$4,'18.05'!$BB$3)),(VLOOKUP('18.05'!AF4,'18.05'!$AO$4:$AQ$55,2,FALSE))*IF('18.05'!$AK4="是",'18.05'!$BB$4,'18.05'!$BB$3))</f>
        <v>0</v>
      </c>
      <c r="Y4" s="68">
        <v>300</v>
      </c>
      <c r="Z4" s="75">
        <v>45639</v>
      </c>
    </row>
    <row r="5" spans="1:26">
      <c r="A5" s="4">
        <f>IF(ISNUMBER(SEARCH("营",'18.05'!I5)),(-$Y5+50*IF('18.05'!$AK5="是",'18.05'!$BB$4,'18.05'!$BB$3)),(VLOOKUP('18.05'!I5,'18.05'!$AO$4:$AQ$55,2,FALSE))*IF('18.05'!$AK5="是",'18.05'!$BB$4,'18.05'!$BB$3))</f>
        <v>0</v>
      </c>
      <c r="B5" s="4">
        <f>IF(ISNUMBER(SEARCH("营",'18.05'!J5)),(-$Y5+50*IF('18.05'!$AK5="是",'18.05'!$BB$4,'18.05'!$BB$3)),(VLOOKUP('18.05'!J5,'18.05'!$AO$4:$AQ$55,2,FALSE))*IF('18.05'!$AK5="是",'18.05'!$BB$4,'18.05'!$BB$3))</f>
        <v>0</v>
      </c>
      <c r="C5" s="4">
        <f>IF(ISNUMBER(SEARCH("营",'18.05'!K5)),(-$Y5+50*IF('18.05'!$AK5="是",'18.05'!$BB$4,'18.05'!$BB$3)),(VLOOKUP('18.05'!K5,'18.05'!$AO$4:$AQ$55,2,FALSE))*IF('18.05'!$AK5="是",'18.05'!$BB$4,'18.05'!$BB$3))</f>
        <v>0</v>
      </c>
      <c r="D5" s="4">
        <f>IF(ISNUMBER(SEARCH("营",'18.05'!L5)),(-$Y5+50*IF('18.05'!$AK5="是",'18.05'!$BB$4,'18.05'!$BB$3)),(VLOOKUP('18.05'!L5,'18.05'!$AO$4:$AQ$55,2,FALSE))*IF('18.05'!$AK5="是",'18.05'!$BB$4,'18.05'!$BB$3))</f>
        <v>0</v>
      </c>
      <c r="E5" s="4">
        <f>IF(ISNUMBER(SEARCH("营",'18.05'!M5)),(-$Y5+50*IF('18.05'!$AK5="是",'18.05'!$BB$4,'18.05'!$BB$3)),(VLOOKUP('18.05'!M5,'18.05'!$AO$4:$AQ$55,2,FALSE))*IF('18.05'!$AK5="是",'18.05'!$BB$4,'18.05'!$BB$3))</f>
        <v>0</v>
      </c>
      <c r="F5" s="4">
        <f>IF(ISNUMBER(SEARCH("营",'18.05'!N5)),(-$Y5+50*IF('18.05'!$AK5="是",'18.05'!$BB$4,'18.05'!$BB$3)),(VLOOKUP('18.05'!N5,'18.05'!$AO$4:$AQ$55,2,FALSE))*IF('18.05'!$AK5="是",'18.05'!$BB$4,'18.05'!$BB$3))</f>
        <v>0</v>
      </c>
      <c r="G5" s="4">
        <f>IF(ISNUMBER(SEARCH("营",'18.05'!O5)),(-$Y5+50*IF('18.05'!$AK5="是",'18.05'!$BB$4,'18.05'!$BB$3)),(VLOOKUP('18.05'!O5,'18.05'!$AO$4:$AQ$55,2,FALSE))*IF('18.05'!$AK5="是",'18.05'!$BB$4,'18.05'!$BB$3))</f>
        <v>0</v>
      </c>
      <c r="H5" s="4">
        <f>IF(ISNUMBER(SEARCH("营",'18.05'!P5)),(-$Y5+50*IF('18.05'!$AK5="是",'18.05'!$BB$4,'18.05'!$BB$3)),(VLOOKUP('18.05'!P5,'18.05'!$AO$4:$AQ$55,2,FALSE))*IF('18.05'!$AK5="是",'18.05'!$BB$4,'18.05'!$BB$3))</f>
        <v>0</v>
      </c>
      <c r="I5" s="4">
        <f>IF(ISNUMBER(SEARCH("营",'18.05'!Q5)),(-$Y5+50*IF('18.05'!$AK5="是",'18.05'!$BB$4,'18.05'!$BB$3)),(VLOOKUP('18.05'!Q5,'18.05'!$AO$4:$AQ$55,2,FALSE))*IF('18.05'!$AK5="是",'18.05'!$BB$4,'18.05'!$BB$3))</f>
        <v>150</v>
      </c>
      <c r="J5" s="4">
        <f>IF(ISNUMBER(SEARCH("营",'18.05'!R5)),(-$Y5+50*IF('18.05'!$AK5="是",'18.05'!$BB$4,'18.05'!$BB$3)),(VLOOKUP('18.05'!R5,'18.05'!$AO$4:$AQ$55,2,FALSE))*IF('18.05'!$AK5="是",'18.05'!$BB$4,'18.05'!$BB$3))</f>
        <v>160</v>
      </c>
      <c r="K5" s="4">
        <f>IF(ISNUMBER(SEARCH("营",'18.05'!S5)),(-$Y5+50*IF('18.05'!$AK5="是",'18.05'!$BB$4,'18.05'!$BB$3)),(VLOOKUP('18.05'!S5,'18.05'!$AO$4:$AQ$55,2,FALSE))*IF('18.05'!$AK5="是",'18.05'!$BB$4,'18.05'!$BB$3))</f>
        <v>160</v>
      </c>
      <c r="L5" s="4">
        <f>IF(ISNUMBER(SEARCH("营",'18.05'!T5)),(-$Y5+50*IF('18.05'!$AK5="是",'18.05'!$BB$4,'18.05'!$BB$3)),(VLOOKUP('18.05'!T5,'18.05'!$AO$4:$AQ$55,2,FALSE))*IF('18.05'!$AK5="是",'18.05'!$BB$4,'18.05'!$BB$3))</f>
        <v>160</v>
      </c>
      <c r="M5" s="4">
        <f>IF(ISNUMBER(SEARCH("营",'18.05'!U5)),(-$Y5+50*IF('18.05'!$AK5="是",'18.05'!$BB$4,'18.05'!$BB$3)),(VLOOKUP('18.05'!U5,'18.05'!$AO$4:$AQ$55,2,FALSE))*IF('18.05'!$AK5="是",'18.05'!$BB$4,'18.05'!$BB$3))</f>
        <v>160</v>
      </c>
      <c r="N5" s="4">
        <f>IF(ISNUMBER(SEARCH("营",'18.05'!V5)),(-$Y5+50*IF('18.05'!$AK5="是",'18.05'!$BB$4,'18.05'!$BB$3)),(VLOOKUP('18.05'!V5,'18.05'!$AO$4:$AQ$55,2,FALSE))*IF('18.05'!$AK5="是",'18.05'!$BB$4,'18.05'!$BB$3))</f>
        <v>160</v>
      </c>
      <c r="O5" s="4">
        <f>IF(ISNUMBER(SEARCH("营",'18.05'!W5)),(-$Y5+50*IF('18.05'!$AK5="是",'18.05'!$BB$4,'18.05'!$BB$3)),(VLOOKUP('18.05'!W5,'18.05'!$AO$4:$AQ$55,2,FALSE))*IF('18.05'!$AK5="是",'18.05'!$BB$4,'18.05'!$BB$3))</f>
        <v>0</v>
      </c>
      <c r="P5" s="4">
        <f>IF(ISNUMBER(SEARCH("营",'18.05'!X5)),(-$Y5+50*IF('18.05'!$AK5="是",'18.05'!$BB$4,'18.05'!$BB$3)),(VLOOKUP('18.05'!X5,'18.05'!$AO$4:$AQ$55,2,FALSE))*IF('18.05'!$AK5="是",'18.05'!$BB$4,'18.05'!$BB$3))</f>
        <v>0</v>
      </c>
      <c r="Q5" s="4">
        <f>IF(ISNUMBER(SEARCH("营",'18.05'!Y5)),(-$Y5+50*IF('18.05'!$AK5="是",'18.05'!$BB$4,'18.05'!$BB$3)),(VLOOKUP('18.05'!Y5,'18.05'!$AO$4:$AQ$55,2,FALSE))*IF('18.05'!$AK5="是",'18.05'!$BB$4,'18.05'!$BB$3))</f>
        <v>50</v>
      </c>
      <c r="R5" s="4">
        <f>IF(ISNUMBER(SEARCH("营",'18.05'!Z5)),(-$Y5+50*IF('18.05'!$AK5="是",'18.05'!$BB$4,'18.05'!$BB$3)),(VLOOKUP('18.05'!Z5,'18.05'!$AO$4:$AQ$55,2,FALSE))*IF('18.05'!$AK5="是",'18.05'!$BB$4,'18.05'!$BB$3))</f>
        <v>150</v>
      </c>
      <c r="S5" s="4">
        <f>IF(ISNUMBER(SEARCH("营",'18.05'!AA5)),(-$Y5+50*IF('18.05'!$AK5="是",'18.05'!$BB$4,'18.05'!$BB$3)),(VLOOKUP('18.05'!AA5,'18.05'!$AO$4:$AQ$55,2,FALSE))*IF('18.05'!$AK5="是",'18.05'!$BB$4,'18.05'!$BB$3))</f>
        <v>50</v>
      </c>
      <c r="T5" s="4">
        <f>IF(ISNUMBER(SEARCH("营",'18.05'!AB5)),(-$Y5+50*IF('18.05'!$AK5="是",'18.05'!$BB$4,'18.05'!$BB$3)),(VLOOKUP('18.05'!AB5,'18.05'!$AO$4:$AQ$55,2,FALSE))*IF('18.05'!$AK5="是",'18.05'!$BB$4,'18.05'!$BB$3))</f>
        <v>160</v>
      </c>
      <c r="U5" s="4">
        <f>IF(ISNUMBER(SEARCH("营",'18.05'!AC5)),(-$Y5+50*IF('18.05'!$AK5="是",'18.05'!$BB$4,'18.05'!$BB$3)),(VLOOKUP('18.05'!AC5,'18.05'!$AO$4:$AQ$55,2,FALSE))*IF('18.05'!$AK5="是",'18.05'!$BB$4,'18.05'!$BB$3))</f>
        <v>160</v>
      </c>
      <c r="V5" s="4">
        <f>IF(ISNUMBER(SEARCH("营",'18.05'!AD5)),(-$Y5+50*IF('18.05'!$AK5="是",'18.05'!$BB$4,'18.05'!$BB$3)),(VLOOKUP('18.05'!AD5,'18.05'!$AO$4:$AQ$55,2,FALSE))*IF('18.05'!$AK5="是",'18.05'!$BB$4,'18.05'!$BB$3))</f>
        <v>160</v>
      </c>
      <c r="W5" s="4">
        <f>IF(ISNUMBER(SEARCH("营",'18.05'!AE5)),(-$Y5+50*IF('18.05'!$AK5="是",'18.05'!$BB$4,'18.05'!$BB$3)),(VLOOKUP('18.05'!AE5,'18.05'!$AO$4:$AQ$55,2,FALSE))*IF('18.05'!$AK5="是",'18.05'!$BB$4,'18.05'!$BB$3))</f>
        <v>-250</v>
      </c>
      <c r="X5" s="4">
        <f>IF(ISNUMBER(SEARCH("营",'18.05'!AF5)),(-$Y5+50*IF('18.05'!$AK5="是",'18.05'!$BB$4,'18.05'!$BB$3)),(VLOOKUP('18.05'!AF5,'18.05'!$AO$4:$AQ$55,2,FALSE))*IF('18.05'!$AK5="是",'18.05'!$BB$4,'18.05'!$BB$3))</f>
        <v>160</v>
      </c>
      <c r="Y5" s="68">
        <v>300</v>
      </c>
      <c r="Z5" s="75">
        <v>45640</v>
      </c>
    </row>
    <row r="6" spans="1:26">
      <c r="A6" s="4">
        <f>IF(ISNUMBER(SEARCH("营",'18.05'!I6)),(-$Y6+50*IF('18.05'!$AK6="是",'18.05'!$BB$4,'18.05'!$BB$3)),(VLOOKUP('18.05'!I6,'18.05'!$AO$4:$AQ$55,2,FALSE))*IF('18.05'!$AK6="是",'18.05'!$BB$4,'18.05'!$BB$3))</f>
        <v>0</v>
      </c>
      <c r="B6" s="4">
        <f>IF(ISNUMBER(SEARCH("营",'18.05'!J6)),(-$Y6+50*IF('18.05'!$AK6="是",'18.05'!$BB$4,'18.05'!$BB$3)),(VLOOKUP('18.05'!J6,'18.05'!$AO$4:$AQ$55,2,FALSE))*IF('18.05'!$AK6="是",'18.05'!$BB$4,'18.05'!$BB$3))</f>
        <v>0</v>
      </c>
      <c r="C6" s="4">
        <f>IF(ISNUMBER(SEARCH("营",'18.05'!K6)),(-$Y6+50*IF('18.05'!$AK6="是",'18.05'!$BB$4,'18.05'!$BB$3)),(VLOOKUP('18.05'!K6,'18.05'!$AO$4:$AQ$55,2,FALSE))*IF('18.05'!$AK6="是",'18.05'!$BB$4,'18.05'!$BB$3))</f>
        <v>0</v>
      </c>
      <c r="D6" s="4">
        <f>IF(ISNUMBER(SEARCH("营",'18.05'!L6)),(-$Y6+50*IF('18.05'!$AK6="是",'18.05'!$BB$4,'18.05'!$BB$3)),(VLOOKUP('18.05'!L6,'18.05'!$AO$4:$AQ$55,2,FALSE))*IF('18.05'!$AK6="是",'18.05'!$BB$4,'18.05'!$BB$3))</f>
        <v>0</v>
      </c>
      <c r="E6" s="4">
        <f>IF(ISNUMBER(SEARCH("营",'18.05'!M6)),(-$Y6+50*IF('18.05'!$AK6="是",'18.05'!$BB$4,'18.05'!$BB$3)),(VLOOKUP('18.05'!M6,'18.05'!$AO$4:$AQ$55,2,FALSE))*IF('18.05'!$AK6="是",'18.05'!$BB$4,'18.05'!$BB$3))</f>
        <v>0</v>
      </c>
      <c r="F6" s="4">
        <f>IF(ISNUMBER(SEARCH("营",'18.05'!N6)),(-$Y6+50*IF('18.05'!$AK6="是",'18.05'!$BB$4,'18.05'!$BB$3)),(VLOOKUP('18.05'!N6,'18.05'!$AO$4:$AQ$55,2,FALSE))*IF('18.05'!$AK6="是",'18.05'!$BB$4,'18.05'!$BB$3))</f>
        <v>0</v>
      </c>
      <c r="G6" s="4">
        <f>IF(ISNUMBER(SEARCH("营",'18.05'!O6)),(-$Y6+50*IF('18.05'!$AK6="是",'18.05'!$BB$4,'18.05'!$BB$3)),(VLOOKUP('18.05'!O6,'18.05'!$AO$4:$AQ$55,2,FALSE))*IF('18.05'!$AK6="是",'18.05'!$BB$4,'18.05'!$BB$3))</f>
        <v>0</v>
      </c>
      <c r="H6" s="4">
        <f>IF(ISNUMBER(SEARCH("营",'18.05'!P6)),(-$Y6+50*IF('18.05'!$AK6="是",'18.05'!$BB$4,'18.05'!$BB$3)),(VLOOKUP('18.05'!P6,'18.05'!$AO$4:$AQ$55,2,FALSE))*IF('18.05'!$AK6="是",'18.05'!$BB$4,'18.05'!$BB$3))</f>
        <v>0</v>
      </c>
      <c r="I6" s="4">
        <f>IF(ISNUMBER(SEARCH("营",'18.05'!Q6)),(-$Y6+50*IF('18.05'!$AK6="是",'18.05'!$BB$4,'18.05'!$BB$3)),(VLOOKUP('18.05'!Q6,'18.05'!$AO$4:$AQ$55,2,FALSE))*IF('18.05'!$AK6="是",'18.05'!$BB$4,'18.05'!$BB$3))</f>
        <v>160</v>
      </c>
      <c r="J6" s="4">
        <f>IF(ISNUMBER(SEARCH("营",'18.05'!R6)),(-$Y6+50*IF('18.05'!$AK6="是",'18.05'!$BB$4,'18.05'!$BB$3)),(VLOOKUP('18.05'!R6,'18.05'!$AO$4:$AQ$55,2,FALSE))*IF('18.05'!$AK6="是",'18.05'!$BB$4,'18.05'!$BB$3))</f>
        <v>50</v>
      </c>
      <c r="K6" s="4">
        <f>IF(ISNUMBER(SEARCH("营",'18.05'!S6)),(-$Y6+50*IF('18.05'!$AK6="是",'18.05'!$BB$4,'18.05'!$BB$3)),(VLOOKUP('18.05'!S6,'18.05'!$AO$4:$AQ$55,2,FALSE))*IF('18.05'!$AK6="是",'18.05'!$BB$4,'18.05'!$BB$3))</f>
        <v>160</v>
      </c>
      <c r="L6" s="4">
        <f>IF(ISNUMBER(SEARCH("营",'18.05'!T6)),(-$Y6+50*IF('18.05'!$AK6="是",'18.05'!$BB$4,'18.05'!$BB$3)),(VLOOKUP('18.05'!T6,'18.05'!$AO$4:$AQ$55,2,FALSE))*IF('18.05'!$AK6="是",'18.05'!$BB$4,'18.05'!$BB$3))</f>
        <v>160</v>
      </c>
      <c r="M6" s="4">
        <f>IF(ISNUMBER(SEARCH("营",'18.05'!U6)),(-$Y6+50*IF('18.05'!$AK6="是",'18.05'!$BB$4,'18.05'!$BB$3)),(VLOOKUP('18.05'!U6,'18.05'!$AO$4:$AQ$55,2,FALSE))*IF('18.05'!$AK6="是",'18.05'!$BB$4,'18.05'!$BB$3))</f>
        <v>150</v>
      </c>
      <c r="N6" s="4">
        <f>IF(ISNUMBER(SEARCH("营",'18.05'!V6)),(-$Y6+50*IF('18.05'!$AK6="是",'18.05'!$BB$4,'18.05'!$BB$3)),(VLOOKUP('18.05'!V6,'18.05'!$AO$4:$AQ$55,2,FALSE))*IF('18.05'!$AK6="是",'18.05'!$BB$4,'18.05'!$BB$3))</f>
        <v>160</v>
      </c>
      <c r="O6" s="4">
        <f>IF(ISNUMBER(SEARCH("营",'18.05'!W6)),(-$Y6+50*IF('18.05'!$AK6="是",'18.05'!$BB$4,'18.05'!$BB$3)),(VLOOKUP('18.05'!W6,'18.05'!$AO$4:$AQ$55,2,FALSE))*IF('18.05'!$AK6="是",'18.05'!$BB$4,'18.05'!$BB$3))</f>
        <v>0</v>
      </c>
      <c r="P6" s="4">
        <f>IF(ISNUMBER(SEARCH("营",'18.05'!X6)),(-$Y6+50*IF('18.05'!$AK6="是",'18.05'!$BB$4,'18.05'!$BB$3)),(VLOOKUP('18.05'!X6,'18.05'!$AO$4:$AQ$55,2,FALSE))*IF('18.05'!$AK6="是",'18.05'!$BB$4,'18.05'!$BB$3))</f>
        <v>0</v>
      </c>
      <c r="Q6" s="4">
        <f>IF(ISNUMBER(SEARCH("营",'18.05'!Y6)),(-$Y6+50*IF('18.05'!$AK6="是",'18.05'!$BB$4,'18.05'!$BB$3)),(VLOOKUP('18.05'!Y6,'18.05'!$AO$4:$AQ$55,2,FALSE))*IF('18.05'!$AK6="是",'18.05'!$BB$4,'18.05'!$BB$3))</f>
        <v>160</v>
      </c>
      <c r="R6" s="4">
        <f>IF(ISNUMBER(SEARCH("营",'18.05'!Z6)),(-$Y6+50*IF('18.05'!$AK6="是",'18.05'!$BB$4,'18.05'!$BB$3)),(VLOOKUP('18.05'!Z6,'18.05'!$AO$4:$AQ$55,2,FALSE))*IF('18.05'!$AK6="是",'18.05'!$BB$4,'18.05'!$BB$3))</f>
        <v>160</v>
      </c>
      <c r="S6" s="4">
        <f>IF(ISNUMBER(SEARCH("营",'18.05'!AA6)),(-$Y6+50*IF('18.05'!$AK6="是",'18.05'!$BB$4,'18.05'!$BB$3)),(VLOOKUP('18.05'!AA6,'18.05'!$AO$4:$AQ$55,2,FALSE))*IF('18.05'!$AK6="是",'18.05'!$BB$4,'18.05'!$BB$3))</f>
        <v>50</v>
      </c>
      <c r="T6" s="4">
        <f>IF(ISNUMBER(SEARCH("营",'18.05'!AB6)),(-$Y6+50*IF('18.05'!$AK6="是",'18.05'!$BB$4,'18.05'!$BB$3)),(VLOOKUP('18.05'!AB6,'18.05'!$AO$4:$AQ$55,2,FALSE))*IF('18.05'!$AK6="是",'18.05'!$BB$4,'18.05'!$BB$3))</f>
        <v>160</v>
      </c>
      <c r="U6" s="4">
        <f>IF(ISNUMBER(SEARCH("营",'18.05'!AC6)),(-$Y6+50*IF('18.05'!$AK6="是",'18.05'!$BB$4,'18.05'!$BB$3)),(VLOOKUP('18.05'!AC6,'18.05'!$AO$4:$AQ$55,2,FALSE))*IF('18.05'!$AK6="是",'18.05'!$BB$4,'18.05'!$BB$3))</f>
        <v>160</v>
      </c>
      <c r="V6" s="4">
        <f>IF(ISNUMBER(SEARCH("营",'18.05'!AD6)),(-$Y6+50*IF('18.05'!$AK6="是",'18.05'!$BB$4,'18.05'!$BB$3)),(VLOOKUP('18.05'!AD6,'18.05'!$AO$4:$AQ$55,2,FALSE))*IF('18.05'!$AK6="是",'18.05'!$BB$4,'18.05'!$BB$3))</f>
        <v>160</v>
      </c>
      <c r="W6" s="4">
        <f>IF(ISNUMBER(SEARCH("营",'18.05'!AE6)),(-$Y6+50*IF('18.05'!$AK6="是",'18.05'!$BB$4,'18.05'!$BB$3)),(VLOOKUP('18.05'!AE6,'18.05'!$AO$4:$AQ$55,2,FALSE))*IF('18.05'!$AK6="是",'18.05'!$BB$4,'18.05'!$BB$3))</f>
        <v>160</v>
      </c>
      <c r="X6" s="4">
        <f>IF(ISNUMBER(SEARCH("营",'18.05'!AF6)),(-$Y6+50*IF('18.05'!$AK6="是",'18.05'!$BB$4,'18.05'!$BB$3)),(VLOOKUP('18.05'!AF6,'18.05'!$AO$4:$AQ$55,2,FALSE))*IF('18.05'!$AK6="是",'18.05'!$BB$4,'18.05'!$BB$3))</f>
        <v>160</v>
      </c>
      <c r="Y6" s="68">
        <v>300</v>
      </c>
      <c r="Z6" s="75">
        <v>45641</v>
      </c>
    </row>
    <row r="7" spans="1:26">
      <c r="A7" s="4">
        <f>IF(ISNUMBER(SEARCH("营",'18.05'!I7)),(-$Y7+50*IF('18.05'!$AK7="是",'18.05'!$BB$4,'18.05'!$BB$3)),(VLOOKUP('18.05'!I7,'18.05'!$AO$4:$AQ$55,2,FALSE))*IF('18.05'!$AK7="是",'18.05'!$BB$4,'18.05'!$BB$3))</f>
        <v>0</v>
      </c>
      <c r="B7" s="4">
        <f>IF(ISNUMBER(SEARCH("营",'18.05'!J7)),(-$Y7+50*IF('18.05'!$AK7="是",'18.05'!$BB$4,'18.05'!$BB$3)),(VLOOKUP('18.05'!J7,'18.05'!$AO$4:$AQ$55,2,FALSE))*IF('18.05'!$AK7="是",'18.05'!$BB$4,'18.05'!$BB$3))</f>
        <v>0</v>
      </c>
      <c r="C7" s="4">
        <f>IF(ISNUMBER(SEARCH("营",'18.05'!K7)),(-$Y7+50*IF('18.05'!$AK7="是",'18.05'!$BB$4,'18.05'!$BB$3)),(VLOOKUP('18.05'!K7,'18.05'!$AO$4:$AQ$55,2,FALSE))*IF('18.05'!$AK7="是",'18.05'!$BB$4,'18.05'!$BB$3))</f>
        <v>0</v>
      </c>
      <c r="D7" s="4">
        <f>IF(ISNUMBER(SEARCH("营",'18.05'!L7)),(-$Y7+50*IF('18.05'!$AK7="是",'18.05'!$BB$4,'18.05'!$BB$3)),(VLOOKUP('18.05'!L7,'18.05'!$AO$4:$AQ$55,2,FALSE))*IF('18.05'!$AK7="是",'18.05'!$BB$4,'18.05'!$BB$3))</f>
        <v>0</v>
      </c>
      <c r="E7" s="4">
        <f>IF(ISNUMBER(SEARCH("营",'18.05'!M7)),(-$Y7+50*IF('18.05'!$AK7="是",'18.05'!$BB$4,'18.05'!$BB$3)),(VLOOKUP('18.05'!M7,'18.05'!$AO$4:$AQ$55,2,FALSE))*IF('18.05'!$AK7="是",'18.05'!$BB$4,'18.05'!$BB$3))</f>
        <v>0</v>
      </c>
      <c r="F7" s="4">
        <f>IF(ISNUMBER(SEARCH("营",'18.05'!N7)),(-$Y7+50*IF('18.05'!$AK7="是",'18.05'!$BB$4,'18.05'!$BB$3)),(VLOOKUP('18.05'!N7,'18.05'!$AO$4:$AQ$55,2,FALSE))*IF('18.05'!$AK7="是",'18.05'!$BB$4,'18.05'!$BB$3))</f>
        <v>0</v>
      </c>
      <c r="G7" s="4">
        <f>IF(ISNUMBER(SEARCH("营",'18.05'!O7)),(-$Y7+50*IF('18.05'!$AK7="是",'18.05'!$BB$4,'18.05'!$BB$3)),(VLOOKUP('18.05'!O7,'18.05'!$AO$4:$AQ$55,2,FALSE))*IF('18.05'!$AK7="是",'18.05'!$BB$4,'18.05'!$BB$3))</f>
        <v>0</v>
      </c>
      <c r="H7" s="4">
        <f>IF(ISNUMBER(SEARCH("营",'18.05'!P7)),(-$Y7+50*IF('18.05'!$AK7="是",'18.05'!$BB$4,'18.05'!$BB$3)),(VLOOKUP('18.05'!P7,'18.05'!$AO$4:$AQ$55,2,FALSE))*IF('18.05'!$AK7="是",'18.05'!$BB$4,'18.05'!$BB$3))</f>
        <v>0</v>
      </c>
      <c r="I7" s="4">
        <f>IF(ISNUMBER(SEARCH("营",'18.05'!Q7)),(-$Y7+50*IF('18.05'!$AK7="是",'18.05'!$BB$4,'18.05'!$BB$3)),(VLOOKUP('18.05'!Q7,'18.05'!$AO$4:$AQ$55,2,FALSE))*IF('18.05'!$AK7="是",'18.05'!$BB$4,'18.05'!$BB$3))</f>
        <v>160</v>
      </c>
      <c r="J7" s="4">
        <f>IF(ISNUMBER(SEARCH("营",'18.05'!R7)),(-$Y7+50*IF('18.05'!$AK7="是",'18.05'!$BB$4,'18.05'!$BB$3)),(VLOOKUP('18.05'!R7,'18.05'!$AO$4:$AQ$55,2,FALSE))*IF('18.05'!$AK7="是",'18.05'!$BB$4,'18.05'!$BB$3))</f>
        <v>160</v>
      </c>
      <c r="K7" s="4">
        <f>IF(ISNUMBER(SEARCH("营",'18.05'!S7)),(-$Y7+50*IF('18.05'!$AK7="是",'18.05'!$BB$4,'18.05'!$BB$3)),(VLOOKUP('18.05'!S7,'18.05'!$AO$4:$AQ$55,2,FALSE))*IF('18.05'!$AK7="是",'18.05'!$BB$4,'18.05'!$BB$3))</f>
        <v>170</v>
      </c>
      <c r="L7" s="4">
        <f>IF(ISNUMBER(SEARCH("营",'18.05'!T7)),(-$Y7+50*IF('18.05'!$AK7="是",'18.05'!$BB$4,'18.05'!$BB$3)),(VLOOKUP('18.05'!T7,'18.05'!$AO$4:$AQ$55,2,FALSE))*IF('18.05'!$AK7="是",'18.05'!$BB$4,'18.05'!$BB$3))</f>
        <v>170</v>
      </c>
      <c r="M7" s="4">
        <f>IF(ISNUMBER(SEARCH("营",'18.05'!U7)),(-$Y7+50*IF('18.05'!$AK7="是",'18.05'!$BB$4,'18.05'!$BB$3)),(VLOOKUP('18.05'!U7,'18.05'!$AO$4:$AQ$55,2,FALSE))*IF('18.05'!$AK7="是",'18.05'!$BB$4,'18.05'!$BB$3))</f>
        <v>170</v>
      </c>
      <c r="N7" s="4">
        <f>IF(ISNUMBER(SEARCH("营",'18.05'!V7)),(-$Y7+50*IF('18.05'!$AK7="是",'18.05'!$BB$4,'18.05'!$BB$3)),(VLOOKUP('18.05'!V7,'18.05'!$AO$4:$AQ$55,2,FALSE))*IF('18.05'!$AK7="是",'18.05'!$BB$4,'18.05'!$BB$3))</f>
        <v>170</v>
      </c>
      <c r="O7" s="4">
        <f>IF(ISNUMBER(SEARCH("营",'18.05'!W7)),(-$Y7+50*IF('18.05'!$AK7="是",'18.05'!$BB$4,'18.05'!$BB$3)),(VLOOKUP('18.05'!W7,'18.05'!$AO$4:$AQ$55,2,FALSE))*IF('18.05'!$AK7="是",'18.05'!$BB$4,'18.05'!$BB$3))</f>
        <v>0</v>
      </c>
      <c r="P7" s="4">
        <f>IF(ISNUMBER(SEARCH("营",'18.05'!X7)),(-$Y7+50*IF('18.05'!$AK7="是",'18.05'!$BB$4,'18.05'!$BB$3)),(VLOOKUP('18.05'!X7,'18.05'!$AO$4:$AQ$55,2,FALSE))*IF('18.05'!$AK7="是",'18.05'!$BB$4,'18.05'!$BB$3))</f>
        <v>0</v>
      </c>
      <c r="Q7" s="4">
        <f>IF(ISNUMBER(SEARCH("营",'18.05'!Y7)),(-$Y7+50*IF('18.05'!$AK7="是",'18.05'!$BB$4,'18.05'!$BB$3)),(VLOOKUP('18.05'!Y7,'18.05'!$AO$4:$AQ$55,2,FALSE))*IF('18.05'!$AK7="是",'18.05'!$BB$4,'18.05'!$BB$3))</f>
        <v>160</v>
      </c>
      <c r="R7" s="4">
        <f>IF(ISNUMBER(SEARCH("营",'18.05'!Z7)),(-$Y7+50*IF('18.05'!$AK7="是",'18.05'!$BB$4,'18.05'!$BB$3)),(VLOOKUP('18.05'!Z7,'18.05'!$AO$4:$AQ$55,2,FALSE))*IF('18.05'!$AK7="是",'18.05'!$BB$4,'18.05'!$BB$3))</f>
        <v>160</v>
      </c>
      <c r="S7" s="4">
        <f>IF(ISNUMBER(SEARCH("营",'18.05'!AA7)),(-$Y7+50*IF('18.05'!$AK7="是",'18.05'!$BB$4,'18.05'!$BB$3)),(VLOOKUP('18.05'!AA7,'18.05'!$AO$4:$AQ$55,2,FALSE))*IF('18.05'!$AK7="是",'18.05'!$BB$4,'18.05'!$BB$3))</f>
        <v>160</v>
      </c>
      <c r="T7" s="4">
        <f>IF(ISNUMBER(SEARCH("营",'18.05'!AB7)),(-$Y7+50*IF('18.05'!$AK7="是",'18.05'!$BB$4,'18.05'!$BB$3)),(VLOOKUP('18.05'!AB7,'18.05'!$AO$4:$AQ$55,2,FALSE))*IF('18.05'!$AK7="是",'18.05'!$BB$4,'18.05'!$BB$3))</f>
        <v>160</v>
      </c>
      <c r="U7" s="4">
        <f>IF(ISNUMBER(SEARCH("营",'18.05'!AC7)),(-$Y7+50*IF('18.05'!$AK7="是",'18.05'!$BB$4,'18.05'!$BB$3)),(VLOOKUP('18.05'!AC7,'18.05'!$AO$4:$AQ$55,2,FALSE))*IF('18.05'!$AK7="是",'18.05'!$BB$4,'18.05'!$BB$3))</f>
        <v>160</v>
      </c>
      <c r="V7" s="4">
        <f>IF(ISNUMBER(SEARCH("营",'18.05'!AD7)),(-$Y7+50*IF('18.05'!$AK7="是",'18.05'!$BB$4,'18.05'!$BB$3)),(VLOOKUP('18.05'!AD7,'18.05'!$AO$4:$AQ$55,2,FALSE))*IF('18.05'!$AK7="是",'18.05'!$BB$4,'18.05'!$BB$3))</f>
        <v>160</v>
      </c>
      <c r="W7" s="4">
        <f>IF(ISNUMBER(SEARCH("营",'18.05'!AE7)),(-$Y7+50*IF('18.05'!$AK7="是",'18.05'!$BB$4,'18.05'!$BB$3)),(VLOOKUP('18.05'!AE7,'18.05'!$AO$4:$AQ$55,2,FALSE))*IF('18.05'!$AK7="是",'18.05'!$BB$4,'18.05'!$BB$3))</f>
        <v>170</v>
      </c>
      <c r="X7" s="4">
        <f>IF(ISNUMBER(SEARCH("营",'18.05'!AF7)),(-$Y7+50*IF('18.05'!$AK7="是",'18.05'!$BB$4,'18.05'!$BB$3)),(VLOOKUP('18.05'!AF7,'18.05'!$AO$4:$AQ$55,2,FALSE))*IF('18.05'!$AK7="是",'18.05'!$BB$4,'18.05'!$BB$3))</f>
        <v>170</v>
      </c>
      <c r="Y7" s="68">
        <v>300</v>
      </c>
      <c r="Z7" s="75">
        <v>45642</v>
      </c>
    </row>
    <row r="8" spans="1:26">
      <c r="A8" s="4">
        <f>IF(ISNUMBER(SEARCH("营",'18.05'!I8)),(-$Y8+50*IF('18.05'!$AK8="是",'18.05'!$BB$4,'18.05'!$BB$3)),(VLOOKUP('18.05'!I8,'18.05'!$AO$4:$AQ$55,2,FALSE))*IF('18.05'!$AK8="是",'18.05'!$BB$4,'18.05'!$BB$3))</f>
        <v>0</v>
      </c>
      <c r="B8" s="4">
        <f>IF(ISNUMBER(SEARCH("营",'18.05'!J8)),(-$Y8+50*IF('18.05'!$AK8="是",'18.05'!$BB$4,'18.05'!$BB$3)),(VLOOKUP('18.05'!J8,'18.05'!$AO$4:$AQ$55,2,FALSE))*IF('18.05'!$AK8="是",'18.05'!$BB$4,'18.05'!$BB$3))</f>
        <v>0</v>
      </c>
      <c r="C8" s="4">
        <f>IF(ISNUMBER(SEARCH("营",'18.05'!K8)),(-$Y8+50*IF('18.05'!$AK8="是",'18.05'!$BB$4,'18.05'!$BB$3)),(VLOOKUP('18.05'!K8,'18.05'!$AO$4:$AQ$55,2,FALSE))*IF('18.05'!$AK8="是",'18.05'!$BB$4,'18.05'!$BB$3))</f>
        <v>0</v>
      </c>
      <c r="D8" s="4">
        <f>IF(ISNUMBER(SEARCH("营",'18.05'!L8)),(-$Y8+50*IF('18.05'!$AK8="是",'18.05'!$BB$4,'18.05'!$BB$3)),(VLOOKUP('18.05'!L8,'18.05'!$AO$4:$AQ$55,2,FALSE))*IF('18.05'!$AK8="是",'18.05'!$BB$4,'18.05'!$BB$3))</f>
        <v>0</v>
      </c>
      <c r="E8" s="4">
        <f>IF(ISNUMBER(SEARCH("营",'18.05'!M8)),(-$Y8+50*IF('18.05'!$AK8="是",'18.05'!$BB$4,'18.05'!$BB$3)),(VLOOKUP('18.05'!M8,'18.05'!$AO$4:$AQ$55,2,FALSE))*IF('18.05'!$AK8="是",'18.05'!$BB$4,'18.05'!$BB$3))</f>
        <v>0</v>
      </c>
      <c r="F8" s="4">
        <f>IF(ISNUMBER(SEARCH("营",'18.05'!N8)),(-$Y8+50*IF('18.05'!$AK8="是",'18.05'!$BB$4,'18.05'!$BB$3)),(VLOOKUP('18.05'!N8,'18.05'!$AO$4:$AQ$55,2,FALSE))*IF('18.05'!$AK8="是",'18.05'!$BB$4,'18.05'!$BB$3))</f>
        <v>0</v>
      </c>
      <c r="G8" s="4">
        <f>IF(ISNUMBER(SEARCH("营",'18.05'!O8)),(-$Y8+50*IF('18.05'!$AK8="是",'18.05'!$BB$4,'18.05'!$BB$3)),(VLOOKUP('18.05'!O8,'18.05'!$AO$4:$AQ$55,2,FALSE))*IF('18.05'!$AK8="是",'18.05'!$BB$4,'18.05'!$BB$3))</f>
        <v>0</v>
      </c>
      <c r="H8" s="4">
        <f>IF(ISNUMBER(SEARCH("营",'18.05'!P8)),(-$Y8+50*IF('18.05'!$AK8="是",'18.05'!$BB$4,'18.05'!$BB$3)),(VLOOKUP('18.05'!P8,'18.05'!$AO$4:$AQ$55,2,FALSE))*IF('18.05'!$AK8="是",'18.05'!$BB$4,'18.05'!$BB$3))</f>
        <v>0</v>
      </c>
      <c r="I8" s="4">
        <f>IF(ISNUMBER(SEARCH("营",'18.05'!Q8)),(-$Y8+50*IF('18.05'!$AK8="是",'18.05'!$BB$4,'18.05'!$BB$3)),(VLOOKUP('18.05'!Q8,'18.05'!$AO$4:$AQ$55,2,FALSE))*IF('18.05'!$AK8="是",'18.05'!$BB$4,'18.05'!$BB$3))</f>
        <v>250</v>
      </c>
      <c r="J8" s="4">
        <f>IF(ISNUMBER(SEARCH("营",'18.05'!R8)),(-$Y8+50*IF('18.05'!$AK8="是",'18.05'!$BB$4,'18.05'!$BB$3)),(VLOOKUP('18.05'!R8,'18.05'!$AO$4:$AQ$55,2,FALSE))*IF('18.05'!$AK8="是",'18.05'!$BB$4,'18.05'!$BB$3))</f>
        <v>170</v>
      </c>
      <c r="K8" s="4">
        <f>IF(ISNUMBER(SEARCH("营",'18.05'!S8)),(-$Y8+50*IF('18.05'!$AK8="是",'18.05'!$BB$4,'18.05'!$BB$3)),(VLOOKUP('18.05'!S8,'18.05'!$AO$4:$AQ$55,2,FALSE))*IF('18.05'!$AK8="是",'18.05'!$BB$4,'18.05'!$BB$3))</f>
        <v>170</v>
      </c>
      <c r="L8" s="4">
        <f>IF(ISNUMBER(SEARCH("营",'18.05'!T8)),(-$Y8+50*IF('18.05'!$AK8="是",'18.05'!$BB$4,'18.05'!$BB$3)),(VLOOKUP('18.05'!T8,'18.05'!$AO$4:$AQ$55,2,FALSE))*IF('18.05'!$AK8="是",'18.05'!$BB$4,'18.05'!$BB$3))</f>
        <v>170</v>
      </c>
      <c r="M8" s="4">
        <f>IF(ISNUMBER(SEARCH("营",'18.05'!U8)),(-$Y8+50*IF('18.05'!$AK8="是",'18.05'!$BB$4,'18.05'!$BB$3)),(VLOOKUP('18.05'!U8,'18.05'!$AO$4:$AQ$55,2,FALSE))*IF('18.05'!$AK8="是",'18.05'!$BB$4,'18.05'!$BB$3))</f>
        <v>170</v>
      </c>
      <c r="N8" s="4">
        <f>IF(ISNUMBER(SEARCH("营",'18.05'!V8)),(-$Y8+50*IF('18.05'!$AK8="是",'18.05'!$BB$4,'18.05'!$BB$3)),(VLOOKUP('18.05'!V8,'18.05'!$AO$4:$AQ$55,2,FALSE))*IF('18.05'!$AK8="是",'18.05'!$BB$4,'18.05'!$BB$3))</f>
        <v>170</v>
      </c>
      <c r="O8" s="4">
        <f>IF(ISNUMBER(SEARCH("营",'18.05'!W8)),(-$Y8+50*IF('18.05'!$AK8="是",'18.05'!$BB$4,'18.05'!$BB$3)),(VLOOKUP('18.05'!W8,'18.05'!$AO$4:$AQ$55,2,FALSE))*IF('18.05'!$AK8="是",'18.05'!$BB$4,'18.05'!$BB$3))</f>
        <v>0</v>
      </c>
      <c r="P8" s="4">
        <f>IF(ISNUMBER(SEARCH("营",'18.05'!X8)),(-$Y8+50*IF('18.05'!$AK8="是",'18.05'!$BB$4,'18.05'!$BB$3)),(VLOOKUP('18.05'!X8,'18.05'!$AO$4:$AQ$55,2,FALSE))*IF('18.05'!$AK8="是",'18.05'!$BB$4,'18.05'!$BB$3))</f>
        <v>0</v>
      </c>
      <c r="Q8" s="4">
        <f>IF(ISNUMBER(SEARCH("营",'18.05'!Y8)),(-$Y8+50*IF('18.05'!$AK8="是",'18.05'!$BB$4,'18.05'!$BB$3)),(VLOOKUP('18.05'!Y8,'18.05'!$AO$4:$AQ$55,2,FALSE))*IF('18.05'!$AK8="是",'18.05'!$BB$4,'18.05'!$BB$3))</f>
        <v>170</v>
      </c>
      <c r="R8" s="4">
        <f>IF(ISNUMBER(SEARCH("营",'18.05'!Z8)),(-$Y8+50*IF('18.05'!$AK8="是",'18.05'!$BB$4,'18.05'!$BB$3)),(VLOOKUP('18.05'!Z8,'18.05'!$AO$4:$AQ$55,2,FALSE))*IF('18.05'!$AK8="是",'18.05'!$BB$4,'18.05'!$BB$3))</f>
        <v>250</v>
      </c>
      <c r="S8" s="4">
        <f>IF(ISNUMBER(SEARCH("营",'18.05'!AA8)),(-$Y8+50*IF('18.05'!$AK8="是",'18.05'!$BB$4,'18.05'!$BB$3)),(VLOOKUP('18.05'!AA8,'18.05'!$AO$4:$AQ$55,2,FALSE))*IF('18.05'!$AK8="是",'18.05'!$BB$4,'18.05'!$BB$3))</f>
        <v>170</v>
      </c>
      <c r="T8" s="4">
        <f>IF(ISNUMBER(SEARCH("营",'18.05'!AB8)),(-$Y8+50*IF('18.05'!$AK8="是",'18.05'!$BB$4,'18.05'!$BB$3)),(VLOOKUP('18.05'!AB8,'18.05'!$AO$4:$AQ$55,2,FALSE))*IF('18.05'!$AK8="是",'18.05'!$BB$4,'18.05'!$BB$3))</f>
        <v>170</v>
      </c>
      <c r="U8" s="4">
        <f>IF(ISNUMBER(SEARCH("营",'18.05'!AC8)),(-$Y8+50*IF('18.05'!$AK8="是",'18.05'!$BB$4,'18.05'!$BB$3)),(VLOOKUP('18.05'!AC8,'18.05'!$AO$4:$AQ$55,2,FALSE))*IF('18.05'!$AK8="是",'18.05'!$BB$4,'18.05'!$BB$3))</f>
        <v>170</v>
      </c>
      <c r="V8" s="4">
        <f>IF(ISNUMBER(SEARCH("营",'18.05'!AD8)),(-$Y8+50*IF('18.05'!$AK8="是",'18.05'!$BB$4,'18.05'!$BB$3)),(VLOOKUP('18.05'!AD8,'18.05'!$AO$4:$AQ$55,2,FALSE))*IF('18.05'!$AK8="是",'18.05'!$BB$4,'18.05'!$BB$3))</f>
        <v>170</v>
      </c>
      <c r="W8" s="4">
        <f>IF(ISNUMBER(SEARCH("营",'18.05'!AE8)),(-$Y8+50*IF('18.05'!$AK8="是",'18.05'!$BB$4,'18.05'!$BB$3)),(VLOOKUP('18.05'!AE8,'18.05'!$AO$4:$AQ$55,2,FALSE))*IF('18.05'!$AK8="是",'18.05'!$BB$4,'18.05'!$BB$3))</f>
        <v>170</v>
      </c>
      <c r="X8" s="4">
        <f>IF(ISNUMBER(SEARCH("营",'18.05'!AF8)),(-$Y8+50*IF('18.05'!$AK8="是",'18.05'!$BB$4,'18.05'!$BB$3)),(VLOOKUP('18.05'!AF8,'18.05'!$AO$4:$AQ$55,2,FALSE))*IF('18.05'!$AK8="是",'18.05'!$BB$4,'18.05'!$BB$3))</f>
        <v>170</v>
      </c>
      <c r="Y8" s="68">
        <v>300</v>
      </c>
      <c r="Z8" s="75">
        <v>45643</v>
      </c>
    </row>
    <row r="9" spans="1:26">
      <c r="A9" s="4">
        <f>IF(ISNUMBER(SEARCH("营",'18.05'!I9)),(-$Y9+50*IF('18.05'!$AK9="是",'18.05'!$BB$4,'18.05'!$BB$3)),(VLOOKUP('18.05'!I9,'18.05'!$AO$4:$AQ$55,2,FALSE))*IF('18.05'!$AK9="是",'18.05'!$BB$4,'18.05'!$BB$3))</f>
        <v>0</v>
      </c>
      <c r="B9" s="4">
        <f>IF(ISNUMBER(SEARCH("营",'18.05'!J9)),(-$Y9+50*IF('18.05'!$AK9="是",'18.05'!$BB$4,'18.05'!$BB$3)),(VLOOKUP('18.05'!J9,'18.05'!$AO$4:$AQ$55,2,FALSE))*IF('18.05'!$AK9="是",'18.05'!$BB$4,'18.05'!$BB$3))</f>
        <v>0</v>
      </c>
      <c r="C9" s="4">
        <f>IF(ISNUMBER(SEARCH("营",'18.05'!K9)),(-$Y9+50*IF('18.05'!$AK9="是",'18.05'!$BB$4,'18.05'!$BB$3)),(VLOOKUP('18.05'!K9,'18.05'!$AO$4:$AQ$55,2,FALSE))*IF('18.05'!$AK9="是",'18.05'!$BB$4,'18.05'!$BB$3))</f>
        <v>0</v>
      </c>
      <c r="D9" s="4">
        <f>IF(ISNUMBER(SEARCH("营",'18.05'!L9)),(-$Y9+50*IF('18.05'!$AK9="是",'18.05'!$BB$4,'18.05'!$BB$3)),(VLOOKUP('18.05'!L9,'18.05'!$AO$4:$AQ$55,2,FALSE))*IF('18.05'!$AK9="是",'18.05'!$BB$4,'18.05'!$BB$3))</f>
        <v>0</v>
      </c>
      <c r="E9" s="4">
        <f>IF(ISNUMBER(SEARCH("营",'18.05'!M9)),(-$Y9+50*IF('18.05'!$AK9="是",'18.05'!$BB$4,'18.05'!$BB$3)),(VLOOKUP('18.05'!M9,'18.05'!$AO$4:$AQ$55,2,FALSE))*IF('18.05'!$AK9="是",'18.05'!$BB$4,'18.05'!$BB$3))</f>
        <v>0</v>
      </c>
      <c r="F9" s="4">
        <f>IF(ISNUMBER(SEARCH("营",'18.05'!N9)),(-$Y9+50*IF('18.05'!$AK9="是",'18.05'!$BB$4,'18.05'!$BB$3)),(VLOOKUP('18.05'!N9,'18.05'!$AO$4:$AQ$55,2,FALSE))*IF('18.05'!$AK9="是",'18.05'!$BB$4,'18.05'!$BB$3))</f>
        <v>0</v>
      </c>
      <c r="G9" s="4">
        <f>IF(ISNUMBER(SEARCH("营",'18.05'!O9)),(-$Y9+50*IF('18.05'!$AK9="是",'18.05'!$BB$4,'18.05'!$BB$3)),(VLOOKUP('18.05'!O9,'18.05'!$AO$4:$AQ$55,2,FALSE))*IF('18.05'!$AK9="是",'18.05'!$BB$4,'18.05'!$BB$3))</f>
        <v>0</v>
      </c>
      <c r="H9" s="4">
        <f>IF(ISNUMBER(SEARCH("营",'18.05'!P9)),(-$Y9+50*IF('18.05'!$AK9="是",'18.05'!$BB$4,'18.05'!$BB$3)),(VLOOKUP('18.05'!P9,'18.05'!$AO$4:$AQ$55,2,FALSE))*IF('18.05'!$AK9="是",'18.05'!$BB$4,'18.05'!$BB$3))</f>
        <v>0</v>
      </c>
      <c r="I9" s="4">
        <f>IF(ISNUMBER(SEARCH("营",'18.05'!Q9)),(-$Y9+50*IF('18.05'!$AK9="是",'18.05'!$BB$4,'18.05'!$BB$3)),(VLOOKUP('18.05'!Q9,'18.05'!$AO$4:$AQ$55,2,FALSE))*IF('18.05'!$AK9="是",'18.05'!$BB$4,'18.05'!$BB$3))</f>
        <v>50</v>
      </c>
      <c r="J9" s="4">
        <f>IF(ISNUMBER(SEARCH("营",'18.05'!R9)),(-$Y9+50*IF('18.05'!$AK9="是",'18.05'!$BB$4,'18.05'!$BB$3)),(VLOOKUP('18.05'!R9,'18.05'!$AO$4:$AQ$55,2,FALSE))*IF('18.05'!$AK9="是",'18.05'!$BB$4,'18.05'!$BB$3))</f>
        <v>170</v>
      </c>
      <c r="K9" s="4">
        <f>IF(ISNUMBER(SEARCH("营",'18.05'!S9)),(-$Y9+50*IF('18.05'!$AK9="是",'18.05'!$BB$4,'18.05'!$BB$3)),(VLOOKUP('18.05'!S9,'18.05'!$AO$4:$AQ$55,2,FALSE))*IF('18.05'!$AK9="是",'18.05'!$BB$4,'18.05'!$BB$3))</f>
        <v>170</v>
      </c>
      <c r="L9" s="4">
        <f>IF(ISNUMBER(SEARCH("营",'18.05'!T9)),(-$Y9+50*IF('18.05'!$AK9="是",'18.05'!$BB$4,'18.05'!$BB$3)),(VLOOKUP('18.05'!T9,'18.05'!$AO$4:$AQ$55,2,FALSE))*IF('18.05'!$AK9="是",'18.05'!$BB$4,'18.05'!$BB$3))</f>
        <v>170</v>
      </c>
      <c r="M9" s="4">
        <f>IF(ISNUMBER(SEARCH("营",'18.05'!U9)),(-$Y9+50*IF('18.05'!$AK9="是",'18.05'!$BB$4,'18.05'!$BB$3)),(VLOOKUP('18.05'!U9,'18.05'!$AO$4:$AQ$55,2,FALSE))*IF('18.05'!$AK9="是",'18.05'!$BB$4,'18.05'!$BB$3))</f>
        <v>170</v>
      </c>
      <c r="N9" s="4">
        <f>IF(ISNUMBER(SEARCH("营",'18.05'!V9)),(-$Y9+50*IF('18.05'!$AK9="是",'18.05'!$BB$4,'18.05'!$BB$3)),(VLOOKUP('18.05'!V9,'18.05'!$AO$4:$AQ$55,2,FALSE))*IF('18.05'!$AK9="是",'18.05'!$BB$4,'18.05'!$BB$3))</f>
        <v>170</v>
      </c>
      <c r="O9" s="4">
        <f>IF(ISNUMBER(SEARCH("营",'18.05'!W9)),(-$Y9+50*IF('18.05'!$AK9="是",'18.05'!$BB$4,'18.05'!$BB$3)),(VLOOKUP('18.05'!W9,'18.05'!$AO$4:$AQ$55,2,FALSE))*IF('18.05'!$AK9="是",'18.05'!$BB$4,'18.05'!$BB$3))</f>
        <v>0</v>
      </c>
      <c r="P9" s="4">
        <f>IF(ISNUMBER(SEARCH("营",'18.05'!X9)),(-$Y9+50*IF('18.05'!$AK9="是",'18.05'!$BB$4,'18.05'!$BB$3)),(VLOOKUP('18.05'!X9,'18.05'!$AO$4:$AQ$55,2,FALSE))*IF('18.05'!$AK9="是",'18.05'!$BB$4,'18.05'!$BB$3))</f>
        <v>0</v>
      </c>
      <c r="Q9" s="4">
        <f>IF(ISNUMBER(SEARCH("营",'18.05'!Y9)),(-$Y9+50*IF('18.05'!$AK9="是",'18.05'!$BB$4,'18.05'!$BB$3)),(VLOOKUP('18.05'!Y9,'18.05'!$AO$4:$AQ$55,2,FALSE))*IF('18.05'!$AK9="是",'18.05'!$BB$4,'18.05'!$BB$3))</f>
        <v>170</v>
      </c>
      <c r="R9" s="4">
        <f>IF(ISNUMBER(SEARCH("营",'18.05'!Z9)),(-$Y9+50*IF('18.05'!$AK9="是",'18.05'!$BB$4,'18.05'!$BB$3)),(VLOOKUP('18.05'!Z9,'18.05'!$AO$4:$AQ$55,2,FALSE))*IF('18.05'!$AK9="是",'18.05'!$BB$4,'18.05'!$BB$3))</f>
        <v>170</v>
      </c>
      <c r="S9" s="4">
        <f>IF(ISNUMBER(SEARCH("营",'18.05'!AA9)),(-$Y9+50*IF('18.05'!$AK9="是",'18.05'!$BB$4,'18.05'!$BB$3)),(VLOOKUP('18.05'!AA9,'18.05'!$AO$4:$AQ$55,2,FALSE))*IF('18.05'!$AK9="是",'18.05'!$BB$4,'18.05'!$BB$3))</f>
        <v>170</v>
      </c>
      <c r="T9" s="4">
        <f>IF(ISNUMBER(SEARCH("营",'18.05'!AB9)),(-$Y9+50*IF('18.05'!$AK9="是",'18.05'!$BB$4,'18.05'!$BB$3)),(VLOOKUP('18.05'!AB9,'18.05'!$AO$4:$AQ$55,2,FALSE))*IF('18.05'!$AK9="是",'18.05'!$BB$4,'18.05'!$BB$3))</f>
        <v>170</v>
      </c>
      <c r="U9" s="4">
        <f>IF(ISNUMBER(SEARCH("营",'18.05'!AC9)),(-$Y9+50*IF('18.05'!$AK9="是",'18.05'!$BB$4,'18.05'!$BB$3)),(VLOOKUP('18.05'!AC9,'18.05'!$AO$4:$AQ$55,2,FALSE))*IF('18.05'!$AK9="是",'18.05'!$BB$4,'18.05'!$BB$3))</f>
        <v>170</v>
      </c>
      <c r="V9" s="4">
        <f>IF(ISNUMBER(SEARCH("营",'18.05'!AD9)),(-$Y9+50*IF('18.05'!$AK9="是",'18.05'!$BB$4,'18.05'!$BB$3)),(VLOOKUP('18.05'!AD9,'18.05'!$AO$4:$AQ$55,2,FALSE))*IF('18.05'!$AK9="是",'18.05'!$BB$4,'18.05'!$BB$3))</f>
        <v>170</v>
      </c>
      <c r="W9" s="4">
        <f>IF(ISNUMBER(SEARCH("营",'18.05'!AE9)),(-$Y9+50*IF('18.05'!$AK9="是",'18.05'!$BB$4,'18.05'!$BB$3)),(VLOOKUP('18.05'!AE9,'18.05'!$AO$4:$AQ$55,2,FALSE))*IF('18.05'!$AK9="是",'18.05'!$BB$4,'18.05'!$BB$3))</f>
        <v>0</v>
      </c>
      <c r="X9" s="4">
        <f>IF(ISNUMBER(SEARCH("营",'18.05'!AF9)),(-$Y9+50*IF('18.05'!$AK9="是",'18.05'!$BB$4,'18.05'!$BB$3)),(VLOOKUP('18.05'!AF9,'18.05'!$AO$4:$AQ$55,2,FALSE))*IF('18.05'!$AK9="是",'18.05'!$BB$4,'18.05'!$BB$3))</f>
        <v>0</v>
      </c>
      <c r="Y9" s="68">
        <v>300</v>
      </c>
      <c r="Z9" s="75">
        <v>45644</v>
      </c>
    </row>
    <row r="10" spans="1:26">
      <c r="A10" s="4">
        <f>IF(ISNUMBER(SEARCH("营",'18.05'!I10)),(-$Y10+50*IF('18.05'!$AK10="是",'18.05'!$BB$4,'18.05'!$BB$3)),(VLOOKUP('18.05'!I10,'18.05'!$AO$4:$AQ$55,2,FALSE))*IF('18.05'!$AK10="是",'18.05'!$BB$4,'18.05'!$BB$3))</f>
        <v>0</v>
      </c>
      <c r="B10" s="4">
        <f>IF(ISNUMBER(SEARCH("营",'18.05'!J10)),(-$Y10+50*IF('18.05'!$AK10="是",'18.05'!$BB$4,'18.05'!$BB$3)),(VLOOKUP('18.05'!J10,'18.05'!$AO$4:$AQ$55,2,FALSE))*IF('18.05'!$AK10="是",'18.05'!$BB$4,'18.05'!$BB$3))</f>
        <v>0</v>
      </c>
      <c r="C10" s="4">
        <f>IF(ISNUMBER(SEARCH("营",'18.05'!K10)),(-$Y10+50*IF('18.05'!$AK10="是",'18.05'!$BB$4,'18.05'!$BB$3)),(VLOOKUP('18.05'!K10,'18.05'!$AO$4:$AQ$55,2,FALSE))*IF('18.05'!$AK10="是",'18.05'!$BB$4,'18.05'!$BB$3))</f>
        <v>0</v>
      </c>
      <c r="D10" s="4">
        <f>IF(ISNUMBER(SEARCH("营",'18.05'!L10)),(-$Y10+50*IF('18.05'!$AK10="是",'18.05'!$BB$4,'18.05'!$BB$3)),(VLOOKUP('18.05'!L10,'18.05'!$AO$4:$AQ$55,2,FALSE))*IF('18.05'!$AK10="是",'18.05'!$BB$4,'18.05'!$BB$3))</f>
        <v>0</v>
      </c>
      <c r="E10" s="4">
        <f>IF(ISNUMBER(SEARCH("营",'18.05'!M10)),(-$Y10+50*IF('18.05'!$AK10="是",'18.05'!$BB$4,'18.05'!$BB$3)),(VLOOKUP('18.05'!M10,'18.05'!$AO$4:$AQ$55,2,FALSE))*IF('18.05'!$AK10="是",'18.05'!$BB$4,'18.05'!$BB$3))</f>
        <v>0</v>
      </c>
      <c r="F10" s="4">
        <f>IF(ISNUMBER(SEARCH("营",'18.05'!N10)),(-$Y10+50*IF('18.05'!$AK10="是",'18.05'!$BB$4,'18.05'!$BB$3)),(VLOOKUP('18.05'!N10,'18.05'!$AO$4:$AQ$55,2,FALSE))*IF('18.05'!$AK10="是",'18.05'!$BB$4,'18.05'!$BB$3))</f>
        <v>0</v>
      </c>
      <c r="G10" s="4">
        <f>IF(ISNUMBER(SEARCH("营",'18.05'!O10)),(-$Y10+50*IF('18.05'!$AK10="是",'18.05'!$BB$4,'18.05'!$BB$3)),(VLOOKUP('18.05'!O10,'18.05'!$AO$4:$AQ$55,2,FALSE))*IF('18.05'!$AK10="是",'18.05'!$BB$4,'18.05'!$BB$3))</f>
        <v>0</v>
      </c>
      <c r="H10" s="4">
        <f>IF(ISNUMBER(SEARCH("营",'18.05'!P10)),(-$Y10+50*IF('18.05'!$AK10="是",'18.05'!$BB$4,'18.05'!$BB$3)),(VLOOKUP('18.05'!P10,'18.05'!$AO$4:$AQ$55,2,FALSE))*IF('18.05'!$AK10="是",'18.05'!$BB$4,'18.05'!$BB$3))</f>
        <v>0</v>
      </c>
      <c r="I10" s="4">
        <f>IF(ISNUMBER(SEARCH("营",'18.05'!Q10)),(-$Y10+50*IF('18.05'!$AK10="是",'18.05'!$BB$4,'18.05'!$BB$3)),(VLOOKUP('18.05'!Q10,'18.05'!$AO$4:$AQ$55,2,FALSE))*IF('18.05'!$AK10="是",'18.05'!$BB$4,'18.05'!$BB$3))</f>
        <v>170</v>
      </c>
      <c r="J10" s="4">
        <f>IF(ISNUMBER(SEARCH("营",'18.05'!R10)),(-$Y10+50*IF('18.05'!$AK10="是",'18.05'!$BB$4,'18.05'!$BB$3)),(VLOOKUP('18.05'!R10,'18.05'!$AO$4:$AQ$55,2,FALSE))*IF('18.05'!$AK10="是",'18.05'!$BB$4,'18.05'!$BB$3))</f>
        <v>170</v>
      </c>
      <c r="K10" s="4">
        <f>IF(ISNUMBER(SEARCH("营",'18.05'!S10)),(-$Y10+50*IF('18.05'!$AK10="是",'18.05'!$BB$4,'18.05'!$BB$3)),(VLOOKUP('18.05'!S10,'18.05'!$AO$4:$AQ$55,2,FALSE))*IF('18.05'!$AK10="是",'18.05'!$BB$4,'18.05'!$BB$3))</f>
        <v>170</v>
      </c>
      <c r="L10" s="4">
        <f>IF(ISNUMBER(SEARCH("营",'18.05'!T10)),(-$Y10+50*IF('18.05'!$AK10="是",'18.05'!$BB$4,'18.05'!$BB$3)),(VLOOKUP('18.05'!T10,'18.05'!$AO$4:$AQ$55,2,FALSE))*IF('18.05'!$AK10="是",'18.05'!$BB$4,'18.05'!$BB$3))</f>
        <v>250</v>
      </c>
      <c r="M10" s="4">
        <f>IF(ISNUMBER(SEARCH("营",'18.05'!U10)),(-$Y10+50*IF('18.05'!$AK10="是",'18.05'!$BB$4,'18.05'!$BB$3)),(VLOOKUP('18.05'!U10,'18.05'!$AO$4:$AQ$55,2,FALSE))*IF('18.05'!$AK10="是",'18.05'!$BB$4,'18.05'!$BB$3))</f>
        <v>170</v>
      </c>
      <c r="N10" s="4">
        <f>IF(ISNUMBER(SEARCH("营",'18.05'!V10)),(-$Y10+50*IF('18.05'!$AK10="是",'18.05'!$BB$4,'18.05'!$BB$3)),(VLOOKUP('18.05'!V10,'18.05'!$AO$4:$AQ$55,2,FALSE))*IF('18.05'!$AK10="是",'18.05'!$BB$4,'18.05'!$BB$3))</f>
        <v>170</v>
      </c>
      <c r="O10" s="4">
        <f>IF(ISNUMBER(SEARCH("营",'18.05'!W10)),(-$Y10+50*IF('18.05'!$AK10="是",'18.05'!$BB$4,'18.05'!$BB$3)),(VLOOKUP('18.05'!W10,'18.05'!$AO$4:$AQ$55,2,FALSE))*IF('18.05'!$AK10="是",'18.05'!$BB$4,'18.05'!$BB$3))</f>
        <v>0</v>
      </c>
      <c r="P10" s="4">
        <f>IF(ISNUMBER(SEARCH("营",'18.05'!X10)),(-$Y10+50*IF('18.05'!$AK10="是",'18.05'!$BB$4,'18.05'!$BB$3)),(VLOOKUP('18.05'!X10,'18.05'!$AO$4:$AQ$55,2,FALSE))*IF('18.05'!$AK10="是",'18.05'!$BB$4,'18.05'!$BB$3))</f>
        <v>0</v>
      </c>
      <c r="Q10" s="4">
        <f>IF(ISNUMBER(SEARCH("营",'18.05'!Y10)),(-$Y10+50*IF('18.05'!$AK10="是",'18.05'!$BB$4,'18.05'!$BB$3)),(VLOOKUP('18.05'!Y10,'18.05'!$AO$4:$AQ$55,2,FALSE))*IF('18.05'!$AK10="是",'18.05'!$BB$4,'18.05'!$BB$3))</f>
        <v>150</v>
      </c>
      <c r="R10" s="4">
        <f>IF(ISNUMBER(SEARCH("营",'18.05'!Z10)),(-$Y10+50*IF('18.05'!$AK10="是",'18.05'!$BB$4,'18.05'!$BB$3)),(VLOOKUP('18.05'!Z10,'18.05'!$AO$4:$AQ$55,2,FALSE))*IF('18.05'!$AK10="是",'18.05'!$BB$4,'18.05'!$BB$3))</f>
        <v>170</v>
      </c>
      <c r="S10" s="4">
        <f>IF(ISNUMBER(SEARCH("营",'18.05'!AA10)),(-$Y10+50*IF('18.05'!$AK10="是",'18.05'!$BB$4,'18.05'!$BB$3)),(VLOOKUP('18.05'!AA10,'18.05'!$AO$4:$AQ$55,2,FALSE))*IF('18.05'!$AK10="是",'18.05'!$BB$4,'18.05'!$BB$3))</f>
        <v>50</v>
      </c>
      <c r="T10" s="4">
        <f>IF(ISNUMBER(SEARCH("营",'18.05'!AB10)),(-$Y10+50*IF('18.05'!$AK10="是",'18.05'!$BB$4,'18.05'!$BB$3)),(VLOOKUP('18.05'!AB10,'18.05'!$AO$4:$AQ$55,2,FALSE))*IF('18.05'!$AK10="是",'18.05'!$BB$4,'18.05'!$BB$3))</f>
        <v>170</v>
      </c>
      <c r="U10" s="4">
        <f>IF(ISNUMBER(SEARCH("营",'18.05'!AC10)),(-$Y10+50*IF('18.05'!$AK10="是",'18.05'!$BB$4,'18.05'!$BB$3)),(VLOOKUP('18.05'!AC10,'18.05'!$AO$4:$AQ$55,2,FALSE))*IF('18.05'!$AK10="是",'18.05'!$BB$4,'18.05'!$BB$3))</f>
        <v>170</v>
      </c>
      <c r="V10" s="4">
        <f>IF(ISNUMBER(SEARCH("营",'18.05'!AD10)),(-$Y10+50*IF('18.05'!$AK10="是",'18.05'!$BB$4,'18.05'!$BB$3)),(VLOOKUP('18.05'!AD10,'18.05'!$AO$4:$AQ$55,2,FALSE))*IF('18.05'!$AK10="是",'18.05'!$BB$4,'18.05'!$BB$3))</f>
        <v>180</v>
      </c>
      <c r="W10" s="4">
        <f>IF(ISNUMBER(SEARCH("营",'18.05'!AE10)),(-$Y10+50*IF('18.05'!$AK10="是",'18.05'!$BB$4,'18.05'!$BB$3)),(VLOOKUP('18.05'!AE10,'18.05'!$AO$4:$AQ$55,2,FALSE))*IF('18.05'!$AK10="是",'18.05'!$BB$4,'18.05'!$BB$3))</f>
        <v>0</v>
      </c>
      <c r="X10" s="4">
        <f>IF(ISNUMBER(SEARCH("营",'18.05'!AF10)),(-$Y10+50*IF('18.05'!$AK10="是",'18.05'!$BB$4,'18.05'!$BB$3)),(VLOOKUP('18.05'!AF10,'18.05'!$AO$4:$AQ$55,2,FALSE))*IF('18.05'!$AK10="是",'18.05'!$BB$4,'18.05'!$BB$3))</f>
        <v>0</v>
      </c>
      <c r="Y10" s="68">
        <v>300</v>
      </c>
      <c r="Z10" s="75">
        <v>45645</v>
      </c>
    </row>
    <row r="11" spans="1:26">
      <c r="A11" s="4">
        <f>IF(ISNUMBER(SEARCH("营",'18.05'!I11)),(-$Y11+50*IF('18.05'!$AK11="是",'18.05'!$BB$4,'18.05'!$BB$3)),(VLOOKUP('18.05'!I11,'18.05'!$AO$4:$AQ$55,2,FALSE))*IF('18.05'!$AK11="是",'18.05'!$BB$4,'18.05'!$BB$3))</f>
        <v>0</v>
      </c>
      <c r="B11" s="4">
        <f>IF(ISNUMBER(SEARCH("营",'18.05'!J11)),(-$Y11+50*IF('18.05'!$AK11="是",'18.05'!$BB$4,'18.05'!$BB$3)),(VLOOKUP('18.05'!J11,'18.05'!$AO$4:$AQ$55,2,FALSE))*IF('18.05'!$AK11="是",'18.05'!$BB$4,'18.05'!$BB$3))</f>
        <v>0</v>
      </c>
      <c r="C11" s="4">
        <f>IF(ISNUMBER(SEARCH("营",'18.05'!K11)),(-$Y11+50*IF('18.05'!$AK11="是",'18.05'!$BB$4,'18.05'!$BB$3)),(VLOOKUP('18.05'!K11,'18.05'!$AO$4:$AQ$55,2,FALSE))*IF('18.05'!$AK11="是",'18.05'!$BB$4,'18.05'!$BB$3))</f>
        <v>0</v>
      </c>
      <c r="D11" s="4">
        <f>IF(ISNUMBER(SEARCH("营",'18.05'!L11)),(-$Y11+50*IF('18.05'!$AK11="是",'18.05'!$BB$4,'18.05'!$BB$3)),(VLOOKUP('18.05'!L11,'18.05'!$AO$4:$AQ$55,2,FALSE))*IF('18.05'!$AK11="是",'18.05'!$BB$4,'18.05'!$BB$3))</f>
        <v>0</v>
      </c>
      <c r="E11" s="4">
        <f>IF(ISNUMBER(SEARCH("营",'18.05'!M11)),(-$Y11+50*IF('18.05'!$AK11="是",'18.05'!$BB$4,'18.05'!$BB$3)),(VLOOKUP('18.05'!M11,'18.05'!$AO$4:$AQ$55,2,FALSE))*IF('18.05'!$AK11="是",'18.05'!$BB$4,'18.05'!$BB$3))</f>
        <v>0</v>
      </c>
      <c r="F11" s="4">
        <f>IF(ISNUMBER(SEARCH("营",'18.05'!N11)),(-$Y11+50*IF('18.05'!$AK11="是",'18.05'!$BB$4,'18.05'!$BB$3)),(VLOOKUP('18.05'!N11,'18.05'!$AO$4:$AQ$55,2,FALSE))*IF('18.05'!$AK11="是",'18.05'!$BB$4,'18.05'!$BB$3))</f>
        <v>0</v>
      </c>
      <c r="G11" s="4">
        <f>IF(ISNUMBER(SEARCH("营",'18.05'!O11)),(-$Y11+50*IF('18.05'!$AK11="是",'18.05'!$BB$4,'18.05'!$BB$3)),(VLOOKUP('18.05'!O11,'18.05'!$AO$4:$AQ$55,2,FALSE))*IF('18.05'!$AK11="是",'18.05'!$BB$4,'18.05'!$BB$3))</f>
        <v>0</v>
      </c>
      <c r="H11" s="4">
        <f>IF(ISNUMBER(SEARCH("营",'18.05'!P11)),(-$Y11+50*IF('18.05'!$AK11="是",'18.05'!$BB$4,'18.05'!$BB$3)),(VLOOKUP('18.05'!P11,'18.05'!$AO$4:$AQ$55,2,FALSE))*IF('18.05'!$AK11="是",'18.05'!$BB$4,'18.05'!$BB$3))</f>
        <v>0</v>
      </c>
      <c r="I11" s="4">
        <f>IF(ISNUMBER(SEARCH("营",'18.05'!Q11)),(-$Y11+50*IF('18.05'!$AK11="是",'18.05'!$BB$4,'18.05'!$BB$3)),(VLOOKUP('18.05'!Q11,'18.05'!$AO$4:$AQ$55,2,FALSE))*IF('18.05'!$AK11="是",'18.05'!$BB$4,'18.05'!$BB$3))</f>
        <v>170</v>
      </c>
      <c r="J11" s="4">
        <f>IF(ISNUMBER(SEARCH("营",'18.05'!R11)),(-$Y11+50*IF('18.05'!$AK11="是",'18.05'!$BB$4,'18.05'!$BB$3)),(VLOOKUP('18.05'!R11,'18.05'!$AO$4:$AQ$55,2,FALSE))*IF('18.05'!$AK11="是",'18.05'!$BB$4,'18.05'!$BB$3))</f>
        <v>50</v>
      </c>
      <c r="K11" s="4">
        <f>IF(ISNUMBER(SEARCH("营",'18.05'!S11)),(-$Y11+50*IF('18.05'!$AK11="是",'18.05'!$BB$4,'18.05'!$BB$3)),(VLOOKUP('18.05'!S11,'18.05'!$AO$4:$AQ$55,2,FALSE))*IF('18.05'!$AK11="是",'18.05'!$BB$4,'18.05'!$BB$3))</f>
        <v>170</v>
      </c>
      <c r="L11" s="4">
        <f>IF(ISNUMBER(SEARCH("营",'18.05'!T11)),(-$Y11+50*IF('18.05'!$AK11="是",'18.05'!$BB$4,'18.05'!$BB$3)),(VLOOKUP('18.05'!T11,'18.05'!$AO$4:$AQ$55,2,FALSE))*IF('18.05'!$AK11="是",'18.05'!$BB$4,'18.05'!$BB$3))</f>
        <v>170</v>
      </c>
      <c r="M11" s="4">
        <f>IF(ISNUMBER(SEARCH("营",'18.05'!U11)),(-$Y11+50*IF('18.05'!$AK11="是",'18.05'!$BB$4,'18.05'!$BB$3)),(VLOOKUP('18.05'!U11,'18.05'!$AO$4:$AQ$55,2,FALSE))*IF('18.05'!$AK11="是",'18.05'!$BB$4,'18.05'!$BB$3))</f>
        <v>170</v>
      </c>
      <c r="N11" s="4">
        <f>IF(ISNUMBER(SEARCH("营",'18.05'!V11)),(-$Y11+50*IF('18.05'!$AK11="是",'18.05'!$BB$4,'18.05'!$BB$3)),(VLOOKUP('18.05'!V11,'18.05'!$AO$4:$AQ$55,2,FALSE))*IF('18.05'!$AK11="是",'18.05'!$BB$4,'18.05'!$BB$3))</f>
        <v>170</v>
      </c>
      <c r="O11" s="4">
        <f>IF(ISNUMBER(SEARCH("营",'18.05'!W11)),(-$Y11+50*IF('18.05'!$AK11="是",'18.05'!$BB$4,'18.05'!$BB$3)),(VLOOKUP('18.05'!W11,'18.05'!$AO$4:$AQ$55,2,FALSE))*IF('18.05'!$AK11="是",'18.05'!$BB$4,'18.05'!$BB$3))</f>
        <v>0</v>
      </c>
      <c r="P11" s="4">
        <f>IF(ISNUMBER(SEARCH("营",'18.05'!X11)),(-$Y11+50*IF('18.05'!$AK11="是",'18.05'!$BB$4,'18.05'!$BB$3)),(VLOOKUP('18.05'!X11,'18.05'!$AO$4:$AQ$55,2,FALSE))*IF('18.05'!$AK11="是",'18.05'!$BB$4,'18.05'!$BB$3))</f>
        <v>0</v>
      </c>
      <c r="Q11" s="4">
        <f>IF(ISNUMBER(SEARCH("营",'18.05'!Y11)),(-$Y11+50*IF('18.05'!$AK11="是",'18.05'!$BB$4,'18.05'!$BB$3)),(VLOOKUP('18.05'!Y11,'18.05'!$AO$4:$AQ$55,2,FALSE))*IF('18.05'!$AK11="是",'18.05'!$BB$4,'18.05'!$BB$3))</f>
        <v>180</v>
      </c>
      <c r="R11" s="4">
        <f>IF(ISNUMBER(SEARCH("营",'18.05'!Z11)),(-$Y11+50*IF('18.05'!$AK11="是",'18.05'!$BB$4,'18.05'!$BB$3)),(VLOOKUP('18.05'!Z11,'18.05'!$AO$4:$AQ$55,2,FALSE))*IF('18.05'!$AK11="是",'18.05'!$BB$4,'18.05'!$BB$3))</f>
        <v>170</v>
      </c>
      <c r="S11" s="4">
        <f>IF(ISNUMBER(SEARCH("营",'18.05'!AA11)),(-$Y11+50*IF('18.05'!$AK11="是",'18.05'!$BB$4,'18.05'!$BB$3)),(VLOOKUP('18.05'!AA11,'18.05'!$AO$4:$AQ$55,2,FALSE))*IF('18.05'!$AK11="是",'18.05'!$BB$4,'18.05'!$BB$3))</f>
        <v>170</v>
      </c>
      <c r="T11" s="4">
        <f>IF(ISNUMBER(SEARCH("营",'18.05'!AB11)),(-$Y11+50*IF('18.05'!$AK11="是",'18.05'!$BB$4,'18.05'!$BB$3)),(VLOOKUP('18.05'!AB11,'18.05'!$AO$4:$AQ$55,2,FALSE))*IF('18.05'!$AK11="是",'18.05'!$BB$4,'18.05'!$BB$3))</f>
        <v>170</v>
      </c>
      <c r="U11" s="4">
        <f>IF(ISNUMBER(SEARCH("营",'18.05'!AC11)),(-$Y11+50*IF('18.05'!$AK11="是",'18.05'!$BB$4,'18.05'!$BB$3)),(VLOOKUP('18.05'!AC11,'18.05'!$AO$4:$AQ$55,2,FALSE))*IF('18.05'!$AK11="是",'18.05'!$BB$4,'18.05'!$BB$3))</f>
        <v>170</v>
      </c>
      <c r="V11" s="4">
        <f>IF(ISNUMBER(SEARCH("营",'18.05'!AD11)),(-$Y11+50*IF('18.05'!$AK11="是",'18.05'!$BB$4,'18.05'!$BB$3)),(VLOOKUP('18.05'!AD11,'18.05'!$AO$4:$AQ$55,2,FALSE))*IF('18.05'!$AK11="是",'18.05'!$BB$4,'18.05'!$BB$3))</f>
        <v>170</v>
      </c>
      <c r="W11" s="4">
        <f>IF(ISNUMBER(SEARCH("营",'18.05'!AE11)),(-$Y11+50*IF('18.05'!$AK11="是",'18.05'!$BB$4,'18.05'!$BB$3)),(VLOOKUP('18.05'!AE11,'18.05'!$AO$4:$AQ$55,2,FALSE))*IF('18.05'!$AK11="是",'18.05'!$BB$4,'18.05'!$BB$3))</f>
        <v>0</v>
      </c>
      <c r="X11" s="4">
        <f>IF(ISNUMBER(SEARCH("营",'18.05'!AF11)),(-$Y11+50*IF('18.05'!$AK11="是",'18.05'!$BB$4,'18.05'!$BB$3)),(VLOOKUP('18.05'!AF11,'18.05'!$AO$4:$AQ$55,2,FALSE))*IF('18.05'!$AK11="是",'18.05'!$BB$4,'18.05'!$BB$3))</f>
        <v>0</v>
      </c>
      <c r="Y11" s="68">
        <v>300</v>
      </c>
      <c r="Z11" s="75">
        <v>45646</v>
      </c>
    </row>
    <row r="12" spans="1:26">
      <c r="A12" s="4">
        <f>IF(ISNUMBER(SEARCH("营",'18.05'!I12)),(-$Y12+50*IF('18.05'!$AK12="是",'18.05'!$BB$4,'18.05'!$BB$3)),(VLOOKUP('18.05'!I12,'18.05'!$AO$4:$AQ$55,2,FALSE))*IF('18.05'!$AK12="是",'18.05'!$BB$4,'18.05'!$BB$3))</f>
        <v>128</v>
      </c>
      <c r="B12" s="4">
        <f>IF(ISNUMBER(SEARCH("营",'18.05'!J12)),(-$Y12+50*IF('18.05'!$AK12="是",'18.05'!$BB$4,'18.05'!$BB$3)),(VLOOKUP('18.05'!J12,'18.05'!$AO$4:$AQ$55,2,FALSE))*IF('18.05'!$AK12="是",'18.05'!$BB$4,'18.05'!$BB$3))</f>
        <v>128</v>
      </c>
      <c r="C12" s="4">
        <f>IF(ISNUMBER(SEARCH("营",'18.05'!K12)),(-$Y12+50*IF('18.05'!$AK12="是",'18.05'!$BB$4,'18.05'!$BB$3)),(VLOOKUP('18.05'!K12,'18.05'!$AO$4:$AQ$55,2,FALSE))*IF('18.05'!$AK12="是",'18.05'!$BB$4,'18.05'!$BB$3))</f>
        <v>128</v>
      </c>
      <c r="D12" s="4">
        <f>IF(ISNUMBER(SEARCH("营",'18.05'!L12)),(-$Y12+50*IF('18.05'!$AK12="是",'18.05'!$BB$4,'18.05'!$BB$3)),(VLOOKUP('18.05'!L12,'18.05'!$AO$4:$AQ$55,2,FALSE))*IF('18.05'!$AK12="是",'18.05'!$BB$4,'18.05'!$BB$3))</f>
        <v>40</v>
      </c>
      <c r="E12" s="4">
        <f>IF(ISNUMBER(SEARCH("营",'18.05'!M12)),(-$Y12+50*IF('18.05'!$AK12="是",'18.05'!$BB$4,'18.05'!$BB$3)),(VLOOKUP('18.05'!M12,'18.05'!$AO$4:$AQ$55,2,FALSE))*IF('18.05'!$AK12="是",'18.05'!$BB$4,'18.05'!$BB$3))</f>
        <v>128</v>
      </c>
      <c r="F12" s="4">
        <f>IF(ISNUMBER(SEARCH("营",'18.05'!N12)),(-$Y12+50*IF('18.05'!$AK12="是",'18.05'!$BB$4,'18.05'!$BB$3)),(VLOOKUP('18.05'!N12,'18.05'!$AO$4:$AQ$55,2,FALSE))*IF('18.05'!$AK12="是",'18.05'!$BB$4,'18.05'!$BB$3))</f>
        <v>120</v>
      </c>
      <c r="G12" s="4">
        <f>IF(ISNUMBER(SEARCH("营",'18.05'!O12)),(-$Y12+50*IF('18.05'!$AK12="是",'18.05'!$BB$4,'18.05'!$BB$3)),(VLOOKUP('18.05'!O12,'18.05'!$AO$4:$AQ$55,2,FALSE))*IF('18.05'!$AK12="是",'18.05'!$BB$4,'18.05'!$BB$3))</f>
        <v>128</v>
      </c>
      <c r="H12" s="4">
        <f>IF(ISNUMBER(SEARCH("营",'18.05'!P12)),(-$Y12+50*IF('18.05'!$AK12="是",'18.05'!$BB$4,'18.05'!$BB$3)),(VLOOKUP('18.05'!P12,'18.05'!$AO$4:$AQ$55,2,FALSE))*IF('18.05'!$AK12="是",'18.05'!$BB$4,'18.05'!$BB$3))</f>
        <v>0</v>
      </c>
      <c r="I12" s="4">
        <f>IF(ISNUMBER(SEARCH("营",'18.05'!Q12)),(-$Y12+50*IF('18.05'!$AK12="是",'18.05'!$BB$4,'18.05'!$BB$3)),(VLOOKUP('18.05'!Q12,'18.05'!$AO$4:$AQ$55,2,FALSE))*IF('18.05'!$AK12="是",'18.05'!$BB$4,'18.05'!$BB$3))</f>
        <v>136</v>
      </c>
      <c r="J12" s="4">
        <f>IF(ISNUMBER(SEARCH("营",'18.05'!R12)),(-$Y12+50*IF('18.05'!$AK12="是",'18.05'!$BB$4,'18.05'!$BB$3)),(VLOOKUP('18.05'!R12,'18.05'!$AO$4:$AQ$55,2,FALSE))*IF('18.05'!$AK12="是",'18.05'!$BB$4,'18.05'!$BB$3))</f>
        <v>136</v>
      </c>
      <c r="K12" s="4">
        <f>IF(ISNUMBER(SEARCH("营",'18.05'!S12)),(-$Y12+50*IF('18.05'!$AK12="是",'18.05'!$BB$4,'18.05'!$BB$3)),(VLOOKUP('18.05'!S12,'18.05'!$AO$4:$AQ$55,2,FALSE))*IF('18.05'!$AK12="是",'18.05'!$BB$4,'18.05'!$BB$3))</f>
        <v>136</v>
      </c>
      <c r="L12" s="4">
        <f>IF(ISNUMBER(SEARCH("营",'18.05'!T12)),(-$Y12+50*IF('18.05'!$AK12="是",'18.05'!$BB$4,'18.05'!$BB$3)),(VLOOKUP('18.05'!T12,'18.05'!$AO$4:$AQ$55,2,FALSE))*IF('18.05'!$AK12="是",'18.05'!$BB$4,'18.05'!$BB$3))</f>
        <v>120</v>
      </c>
      <c r="M12" s="4">
        <f>IF(ISNUMBER(SEARCH("营",'18.05'!U12)),(-$Y12+50*IF('18.05'!$AK12="是",'18.05'!$BB$4,'18.05'!$BB$3)),(VLOOKUP('18.05'!U12,'18.05'!$AO$4:$AQ$55,2,FALSE))*IF('18.05'!$AK12="是",'18.05'!$BB$4,'18.05'!$BB$3))</f>
        <v>136</v>
      </c>
      <c r="N12" s="4">
        <f>IF(ISNUMBER(SEARCH("营",'18.05'!V12)),(-$Y12+50*IF('18.05'!$AK12="是",'18.05'!$BB$4,'18.05'!$BB$3)),(VLOOKUP('18.05'!V12,'18.05'!$AO$4:$AQ$55,2,FALSE))*IF('18.05'!$AK12="是",'18.05'!$BB$4,'18.05'!$BB$3))</f>
        <v>136</v>
      </c>
      <c r="O12" s="4">
        <f>IF(ISNUMBER(SEARCH("营",'18.05'!W12)),(-$Y12+50*IF('18.05'!$AK12="是",'18.05'!$BB$4,'18.05'!$BB$3)),(VLOOKUP('18.05'!W12,'18.05'!$AO$4:$AQ$55,2,FALSE))*IF('18.05'!$AK12="是",'18.05'!$BB$4,'18.05'!$BB$3))</f>
        <v>0</v>
      </c>
      <c r="P12" s="4">
        <f>IF(ISNUMBER(SEARCH("营",'18.05'!X12)),(-$Y12+50*IF('18.05'!$AK12="是",'18.05'!$BB$4,'18.05'!$BB$3)),(VLOOKUP('18.05'!X12,'18.05'!$AO$4:$AQ$55,2,FALSE))*IF('18.05'!$AK12="是",'18.05'!$BB$4,'18.05'!$BB$3))</f>
        <v>0</v>
      </c>
      <c r="Q12" s="4">
        <f>IF(ISNUMBER(SEARCH("营",'18.05'!Y12)),(-$Y12+50*IF('18.05'!$AK12="是",'18.05'!$BB$4,'18.05'!$BB$3)),(VLOOKUP('18.05'!Y12,'18.05'!$AO$4:$AQ$55,2,FALSE))*IF('18.05'!$AK12="是",'18.05'!$BB$4,'18.05'!$BB$3))</f>
        <v>136</v>
      </c>
      <c r="R12" s="4">
        <f>IF(ISNUMBER(SEARCH("营",'18.05'!Z12)),(-$Y12+50*IF('18.05'!$AK12="是",'18.05'!$BB$4,'18.05'!$BB$3)),(VLOOKUP('18.05'!Z12,'18.05'!$AO$4:$AQ$55,2,FALSE))*IF('18.05'!$AK12="是",'18.05'!$BB$4,'18.05'!$BB$3))</f>
        <v>136</v>
      </c>
      <c r="S12" s="4">
        <f>IF(ISNUMBER(SEARCH("营",'18.05'!AA12)),(-$Y12+50*IF('18.05'!$AK12="是",'18.05'!$BB$4,'18.05'!$BB$3)),(VLOOKUP('18.05'!AA12,'18.05'!$AO$4:$AQ$55,2,FALSE))*IF('18.05'!$AK12="是",'18.05'!$BB$4,'18.05'!$BB$3))</f>
        <v>120</v>
      </c>
      <c r="T12" s="4">
        <f>IF(ISNUMBER(SEARCH("营",'18.05'!AB12)),(-$Y12+50*IF('18.05'!$AK12="是",'18.05'!$BB$4,'18.05'!$BB$3)),(VLOOKUP('18.05'!AB12,'18.05'!$AO$4:$AQ$55,2,FALSE))*IF('18.05'!$AK12="是",'18.05'!$BB$4,'18.05'!$BB$3))</f>
        <v>144</v>
      </c>
      <c r="U12" s="4">
        <f>IF(ISNUMBER(SEARCH("营",'18.05'!AC12)),(-$Y12+50*IF('18.05'!$AK12="是",'18.05'!$BB$4,'18.05'!$BB$3)),(VLOOKUP('18.05'!AC12,'18.05'!$AO$4:$AQ$55,2,FALSE))*IF('18.05'!$AK12="是",'18.05'!$BB$4,'18.05'!$BB$3))</f>
        <v>-260</v>
      </c>
      <c r="V12" s="4">
        <f>IF(ISNUMBER(SEARCH("营",'18.05'!AD12)),(-$Y12+50*IF('18.05'!$AK12="是",'18.05'!$BB$4,'18.05'!$BB$3)),(VLOOKUP('18.05'!AD12,'18.05'!$AO$4:$AQ$55,2,FALSE))*IF('18.05'!$AK12="是",'18.05'!$BB$4,'18.05'!$BB$3))</f>
        <v>144</v>
      </c>
      <c r="W12" s="4">
        <f>IF(ISNUMBER(SEARCH("营",'18.05'!AE12)),(-$Y12+50*IF('18.05'!$AK12="是",'18.05'!$BB$4,'18.05'!$BB$3)),(VLOOKUP('18.05'!AE12,'18.05'!$AO$4:$AQ$55,2,FALSE))*IF('18.05'!$AK12="是",'18.05'!$BB$4,'18.05'!$BB$3))</f>
        <v>160</v>
      </c>
      <c r="X12" s="4">
        <f>IF(ISNUMBER(SEARCH("营",'18.05'!AF12)),(-$Y12+50*IF('18.05'!$AK12="是",'18.05'!$BB$4,'18.05'!$BB$3)),(VLOOKUP('18.05'!AF12,'18.05'!$AO$4:$AQ$55,2,FALSE))*IF('18.05'!$AK12="是",'18.05'!$BB$4,'18.05'!$BB$3))</f>
        <v>160</v>
      </c>
      <c r="Y12" s="68">
        <v>300</v>
      </c>
      <c r="Z12" s="75">
        <v>45647</v>
      </c>
    </row>
    <row r="13" spans="1:26">
      <c r="A13" s="4">
        <f>IF(ISNUMBER(SEARCH("营",'18.05'!I13)),(-$Y13+50*IF('18.05'!$AK13="是",'18.05'!$BB$4,'18.05'!$BB$3)),(VLOOKUP('18.05'!I13,'18.05'!$AO$4:$AQ$55,2,FALSE))*IF('18.05'!$AK13="是",'18.05'!$BB$4,'18.05'!$BB$3))</f>
        <v>128</v>
      </c>
      <c r="B13" s="4">
        <f>IF(ISNUMBER(SEARCH("营",'18.05'!J13)),(-$Y13+50*IF('18.05'!$AK13="是",'18.05'!$BB$4,'18.05'!$BB$3)),(VLOOKUP('18.05'!J13,'18.05'!$AO$4:$AQ$55,2,FALSE))*IF('18.05'!$AK13="是",'18.05'!$BB$4,'18.05'!$BB$3))</f>
        <v>-260</v>
      </c>
      <c r="C13" s="4">
        <f>IF(ISNUMBER(SEARCH("营",'18.05'!K13)),(-$Y13+50*IF('18.05'!$AK13="是",'18.05'!$BB$4,'18.05'!$BB$3)),(VLOOKUP('18.05'!K13,'18.05'!$AO$4:$AQ$55,2,FALSE))*IF('18.05'!$AK13="是",'18.05'!$BB$4,'18.05'!$BB$3))</f>
        <v>128</v>
      </c>
      <c r="D13" s="4">
        <f>IF(ISNUMBER(SEARCH("营",'18.05'!L13)),(-$Y13+50*IF('18.05'!$AK13="是",'18.05'!$BB$4,'18.05'!$BB$3)),(VLOOKUP('18.05'!L13,'18.05'!$AO$4:$AQ$55,2,FALSE))*IF('18.05'!$AK13="是",'18.05'!$BB$4,'18.05'!$BB$3))</f>
        <v>128</v>
      </c>
      <c r="E13" s="4">
        <f>IF(ISNUMBER(SEARCH("营",'18.05'!M13)),(-$Y13+50*IF('18.05'!$AK13="是",'18.05'!$BB$4,'18.05'!$BB$3)),(VLOOKUP('18.05'!M13,'18.05'!$AO$4:$AQ$55,2,FALSE))*IF('18.05'!$AK13="是",'18.05'!$BB$4,'18.05'!$BB$3))</f>
        <v>128</v>
      </c>
      <c r="F13" s="4">
        <f>IF(ISNUMBER(SEARCH("营",'18.05'!N13)),(-$Y13+50*IF('18.05'!$AK13="是",'18.05'!$BB$4,'18.05'!$BB$3)),(VLOOKUP('18.05'!N13,'18.05'!$AO$4:$AQ$55,2,FALSE))*IF('18.05'!$AK13="是",'18.05'!$BB$4,'18.05'!$BB$3))</f>
        <v>40</v>
      </c>
      <c r="G13" s="4">
        <f>IF(ISNUMBER(SEARCH("营",'18.05'!O13)),(-$Y13+50*IF('18.05'!$AK13="是",'18.05'!$BB$4,'18.05'!$BB$3)),(VLOOKUP('18.05'!O13,'18.05'!$AO$4:$AQ$55,2,FALSE))*IF('18.05'!$AK13="是",'18.05'!$BB$4,'18.05'!$BB$3))</f>
        <v>136</v>
      </c>
      <c r="H13" s="4">
        <f>IF(ISNUMBER(SEARCH("营",'18.05'!P13)),(-$Y13+50*IF('18.05'!$AK13="是",'18.05'!$BB$4,'18.05'!$BB$3)),(VLOOKUP('18.05'!P13,'18.05'!$AO$4:$AQ$55,2,FALSE))*IF('18.05'!$AK13="是",'18.05'!$BB$4,'18.05'!$BB$3))</f>
        <v>136</v>
      </c>
      <c r="I13" s="4">
        <f>IF(ISNUMBER(SEARCH("营",'18.05'!Q13)),(-$Y13+50*IF('18.05'!$AK13="是",'18.05'!$BB$4,'18.05'!$BB$3)),(VLOOKUP('18.05'!Q13,'18.05'!$AO$4:$AQ$55,2,FALSE))*IF('18.05'!$AK13="是",'18.05'!$BB$4,'18.05'!$BB$3))</f>
        <v>136</v>
      </c>
      <c r="J13" s="4">
        <f>IF(ISNUMBER(SEARCH("营",'18.05'!R13)),(-$Y13+50*IF('18.05'!$AK13="是",'18.05'!$BB$4,'18.05'!$BB$3)),(VLOOKUP('18.05'!R13,'18.05'!$AO$4:$AQ$55,2,FALSE))*IF('18.05'!$AK13="是",'18.05'!$BB$4,'18.05'!$BB$3))</f>
        <v>136</v>
      </c>
      <c r="K13" s="4">
        <f>IF(ISNUMBER(SEARCH("营",'18.05'!S13)),(-$Y13+50*IF('18.05'!$AK13="是",'18.05'!$BB$4,'18.05'!$BB$3)),(VLOOKUP('18.05'!S13,'18.05'!$AO$4:$AQ$55,2,FALSE))*IF('18.05'!$AK13="是",'18.05'!$BB$4,'18.05'!$BB$3))</f>
        <v>-260</v>
      </c>
      <c r="L13" s="4">
        <f>IF(ISNUMBER(SEARCH("营",'18.05'!T13)),(-$Y13+50*IF('18.05'!$AK13="是",'18.05'!$BB$4,'18.05'!$BB$3)),(VLOOKUP('18.05'!T13,'18.05'!$AO$4:$AQ$55,2,FALSE))*IF('18.05'!$AK13="是",'18.05'!$BB$4,'18.05'!$BB$3))</f>
        <v>136</v>
      </c>
      <c r="M13" s="4">
        <f>IF(ISNUMBER(SEARCH("营",'18.05'!U13)),(-$Y13+50*IF('18.05'!$AK13="是",'18.05'!$BB$4,'18.05'!$BB$3)),(VLOOKUP('18.05'!U13,'18.05'!$AO$4:$AQ$55,2,FALSE))*IF('18.05'!$AK13="是",'18.05'!$BB$4,'18.05'!$BB$3))</f>
        <v>136</v>
      </c>
      <c r="N13" s="4">
        <f>IF(ISNUMBER(SEARCH("营",'18.05'!V13)),(-$Y13+50*IF('18.05'!$AK13="是",'18.05'!$BB$4,'18.05'!$BB$3)),(VLOOKUP('18.05'!V13,'18.05'!$AO$4:$AQ$55,2,FALSE))*IF('18.05'!$AK13="是",'18.05'!$BB$4,'18.05'!$BB$3))</f>
        <v>40</v>
      </c>
      <c r="O13" s="4">
        <f>IF(ISNUMBER(SEARCH("营",'18.05'!W13)),(-$Y13+50*IF('18.05'!$AK13="是",'18.05'!$BB$4,'18.05'!$BB$3)),(VLOOKUP('18.05'!W13,'18.05'!$AO$4:$AQ$55,2,FALSE))*IF('18.05'!$AK13="是",'18.05'!$BB$4,'18.05'!$BB$3))</f>
        <v>136</v>
      </c>
      <c r="P13" s="4">
        <f>IF(ISNUMBER(SEARCH("营",'18.05'!X13)),(-$Y13+50*IF('18.05'!$AK13="是",'18.05'!$BB$4,'18.05'!$BB$3)),(VLOOKUP('18.05'!X13,'18.05'!$AO$4:$AQ$55,2,FALSE))*IF('18.05'!$AK13="是",'18.05'!$BB$4,'18.05'!$BB$3))</f>
        <v>0</v>
      </c>
      <c r="Q13" s="4">
        <f>IF(ISNUMBER(SEARCH("营",'18.05'!Y13)),(-$Y13+50*IF('18.05'!$AK13="是",'18.05'!$BB$4,'18.05'!$BB$3)),(VLOOKUP('18.05'!Y13,'18.05'!$AO$4:$AQ$55,2,FALSE))*IF('18.05'!$AK13="是",'18.05'!$BB$4,'18.05'!$BB$3))</f>
        <v>-260</v>
      </c>
      <c r="R13" s="4">
        <f>IF(ISNUMBER(SEARCH("营",'18.05'!Z13)),(-$Y13+50*IF('18.05'!$AK13="是",'18.05'!$BB$4,'18.05'!$BB$3)),(VLOOKUP('18.05'!Z13,'18.05'!$AO$4:$AQ$55,2,FALSE))*IF('18.05'!$AK13="是",'18.05'!$BB$4,'18.05'!$BB$3))</f>
        <v>160</v>
      </c>
      <c r="S13" s="4">
        <f>IF(ISNUMBER(SEARCH("营",'18.05'!AA13)),(-$Y13+50*IF('18.05'!$AK13="是",'18.05'!$BB$4,'18.05'!$BB$3)),(VLOOKUP('18.05'!AA13,'18.05'!$AO$4:$AQ$55,2,FALSE))*IF('18.05'!$AK13="是",'18.05'!$BB$4,'18.05'!$BB$3))</f>
        <v>160</v>
      </c>
      <c r="T13" s="4">
        <f>IF(ISNUMBER(SEARCH("营",'18.05'!AB13)),(-$Y13+50*IF('18.05'!$AK13="是",'18.05'!$BB$4,'18.05'!$BB$3)),(VLOOKUP('18.05'!AB13,'18.05'!$AO$4:$AQ$55,2,FALSE))*IF('18.05'!$AK13="是",'18.05'!$BB$4,'18.05'!$BB$3))</f>
        <v>160</v>
      </c>
      <c r="U13" s="4">
        <f>IF(ISNUMBER(SEARCH("营",'18.05'!AC13)),(-$Y13+50*IF('18.05'!$AK13="是",'18.05'!$BB$4,'18.05'!$BB$3)),(VLOOKUP('18.05'!AC13,'18.05'!$AO$4:$AQ$55,2,FALSE))*IF('18.05'!$AK13="是",'18.05'!$BB$4,'18.05'!$BB$3))</f>
        <v>160</v>
      </c>
      <c r="V13" s="4">
        <f>IF(ISNUMBER(SEARCH("营",'18.05'!AD13)),(-$Y13+50*IF('18.05'!$AK13="是",'18.05'!$BB$4,'18.05'!$BB$3)),(VLOOKUP('18.05'!AD13,'18.05'!$AO$4:$AQ$55,2,FALSE))*IF('18.05'!$AK13="是",'18.05'!$BB$4,'18.05'!$BB$3))</f>
        <v>160</v>
      </c>
      <c r="W13" s="4">
        <f>IF(ISNUMBER(SEARCH("营",'18.05'!AE13)),(-$Y13+50*IF('18.05'!$AK13="是",'18.05'!$BB$4,'18.05'!$BB$3)),(VLOOKUP('18.05'!AE13,'18.05'!$AO$4:$AQ$55,2,FALSE))*IF('18.05'!$AK13="是",'18.05'!$BB$4,'18.05'!$BB$3))</f>
        <v>160</v>
      </c>
      <c r="X13" s="4">
        <f>IF(ISNUMBER(SEARCH("营",'18.05'!AF13)),(-$Y13+50*IF('18.05'!$AK13="是",'18.05'!$BB$4,'18.05'!$BB$3)),(VLOOKUP('18.05'!AF13,'18.05'!$AO$4:$AQ$55,2,FALSE))*IF('18.05'!$AK13="是",'18.05'!$BB$4,'18.05'!$BB$3))</f>
        <v>200</v>
      </c>
      <c r="Y13" s="68">
        <v>300</v>
      </c>
      <c r="Z13" s="75">
        <v>45648</v>
      </c>
    </row>
    <row r="14" spans="1:26">
      <c r="A14" s="4">
        <f>IF(ISNUMBER(SEARCH("营",'18.05'!I14)),(-$Y14+50*IF('18.05'!$AK14="是",'18.05'!$BB$4,'18.05'!$BB$3)),(VLOOKUP('18.05'!I14,'18.05'!$AO$4:$AQ$55,2,FALSE))*IF('18.05'!$AK14="是",'18.05'!$BB$4,'18.05'!$BB$3))</f>
        <v>144</v>
      </c>
      <c r="B14" s="4">
        <f>IF(ISNUMBER(SEARCH("营",'18.05'!J14)),(-$Y14+50*IF('18.05'!$AK14="是",'18.05'!$BB$4,'18.05'!$BB$3)),(VLOOKUP('18.05'!J14,'18.05'!$AO$4:$AQ$55,2,FALSE))*IF('18.05'!$AK14="是",'18.05'!$BB$4,'18.05'!$BB$3))</f>
        <v>-260</v>
      </c>
      <c r="C14" s="4">
        <f>IF(ISNUMBER(SEARCH("营",'18.05'!K14)),(-$Y14+50*IF('18.05'!$AK14="是",'18.05'!$BB$4,'18.05'!$BB$3)),(VLOOKUP('18.05'!K14,'18.05'!$AO$4:$AQ$55,2,FALSE))*IF('18.05'!$AK14="是",'18.05'!$BB$4,'18.05'!$BB$3))</f>
        <v>144</v>
      </c>
      <c r="D14" s="4">
        <f>IF(ISNUMBER(SEARCH("营",'18.05'!L14)),(-$Y14+50*IF('18.05'!$AK14="是",'18.05'!$BB$4,'18.05'!$BB$3)),(VLOOKUP('18.05'!L14,'18.05'!$AO$4:$AQ$55,2,FALSE))*IF('18.05'!$AK14="是",'18.05'!$BB$4,'18.05'!$BB$3))</f>
        <v>144</v>
      </c>
      <c r="E14" s="4">
        <f>IF(ISNUMBER(SEARCH("营",'18.05'!M14)),(-$Y14+50*IF('18.05'!$AK14="是",'18.05'!$BB$4,'18.05'!$BB$3)),(VLOOKUP('18.05'!M14,'18.05'!$AO$4:$AQ$55,2,FALSE))*IF('18.05'!$AK14="是",'18.05'!$BB$4,'18.05'!$BB$3))</f>
        <v>144</v>
      </c>
      <c r="F14" s="4">
        <f>IF(ISNUMBER(SEARCH("营",'18.05'!N14)),(-$Y14+50*IF('18.05'!$AK14="是",'18.05'!$BB$4,'18.05'!$BB$3)),(VLOOKUP('18.05'!N14,'18.05'!$AO$4:$AQ$55,2,FALSE))*IF('18.05'!$AK14="是",'18.05'!$BB$4,'18.05'!$BB$3))</f>
        <v>144</v>
      </c>
      <c r="G14" s="4">
        <f>IF(ISNUMBER(SEARCH("营",'18.05'!O14)),(-$Y14+50*IF('18.05'!$AK14="是",'18.05'!$BB$4,'18.05'!$BB$3)),(VLOOKUP('18.05'!O14,'18.05'!$AO$4:$AQ$55,2,FALSE))*IF('18.05'!$AK14="是",'18.05'!$BB$4,'18.05'!$BB$3))</f>
        <v>144</v>
      </c>
      <c r="H14" s="4">
        <f>IF(ISNUMBER(SEARCH("营",'18.05'!P14)),(-$Y14+50*IF('18.05'!$AK14="是",'18.05'!$BB$4,'18.05'!$BB$3)),(VLOOKUP('18.05'!P14,'18.05'!$AO$4:$AQ$55,2,FALSE))*IF('18.05'!$AK14="是",'18.05'!$BB$4,'18.05'!$BB$3))</f>
        <v>144</v>
      </c>
      <c r="I14" s="4">
        <f>IF(ISNUMBER(SEARCH("营",'18.05'!Q14)),(-$Y14+50*IF('18.05'!$AK14="是",'18.05'!$BB$4,'18.05'!$BB$3)),(VLOOKUP('18.05'!Q14,'18.05'!$AO$4:$AQ$55,2,FALSE))*IF('18.05'!$AK14="是",'18.05'!$BB$4,'18.05'!$BB$3))</f>
        <v>0</v>
      </c>
      <c r="J14" s="4">
        <f>IF(ISNUMBER(SEARCH("营",'18.05'!R14)),(-$Y14+50*IF('18.05'!$AK14="是",'18.05'!$BB$4,'18.05'!$BB$3)),(VLOOKUP('18.05'!R14,'18.05'!$AO$4:$AQ$55,2,FALSE))*IF('18.05'!$AK14="是",'18.05'!$BB$4,'18.05'!$BB$3))</f>
        <v>0</v>
      </c>
      <c r="K14" s="4">
        <f>IF(ISNUMBER(SEARCH("营",'18.05'!S14)),(-$Y14+50*IF('18.05'!$AK14="是",'18.05'!$BB$4,'18.05'!$BB$3)),(VLOOKUP('18.05'!S14,'18.05'!$AO$4:$AQ$55,2,FALSE))*IF('18.05'!$AK14="是",'18.05'!$BB$4,'18.05'!$BB$3))</f>
        <v>0</v>
      </c>
      <c r="L14" s="4">
        <f>IF(ISNUMBER(SEARCH("营",'18.05'!T14)),(-$Y14+50*IF('18.05'!$AK14="是",'18.05'!$BB$4,'18.05'!$BB$3)),(VLOOKUP('18.05'!T14,'18.05'!$AO$4:$AQ$55,2,FALSE))*IF('18.05'!$AK14="是",'18.05'!$BB$4,'18.05'!$BB$3))</f>
        <v>0</v>
      </c>
      <c r="M14" s="4">
        <f>IF(ISNUMBER(SEARCH("营",'18.05'!U14)),(-$Y14+50*IF('18.05'!$AK14="是",'18.05'!$BB$4,'18.05'!$BB$3)),(VLOOKUP('18.05'!U14,'18.05'!$AO$4:$AQ$55,2,FALSE))*IF('18.05'!$AK14="是",'18.05'!$BB$4,'18.05'!$BB$3))</f>
        <v>0</v>
      </c>
      <c r="N14" s="4">
        <f>IF(ISNUMBER(SEARCH("营",'18.05'!V14)),(-$Y14+50*IF('18.05'!$AK14="是",'18.05'!$BB$4,'18.05'!$BB$3)),(VLOOKUP('18.05'!V14,'18.05'!$AO$4:$AQ$55,2,FALSE))*IF('18.05'!$AK14="是",'18.05'!$BB$4,'18.05'!$BB$3))</f>
        <v>0</v>
      </c>
      <c r="O14" s="4">
        <f>IF(ISNUMBER(SEARCH("营",'18.05'!W14)),(-$Y14+50*IF('18.05'!$AK14="是",'18.05'!$BB$4,'18.05'!$BB$3)),(VLOOKUP('18.05'!W14,'18.05'!$AO$4:$AQ$55,2,FALSE))*IF('18.05'!$AK14="是",'18.05'!$BB$4,'18.05'!$BB$3))</f>
        <v>0</v>
      </c>
      <c r="P14" s="4">
        <f>IF(ISNUMBER(SEARCH("营",'18.05'!X14)),(-$Y14+50*IF('18.05'!$AK14="是",'18.05'!$BB$4,'18.05'!$BB$3)),(VLOOKUP('18.05'!X14,'18.05'!$AO$4:$AQ$55,2,FALSE))*IF('18.05'!$AK14="是",'18.05'!$BB$4,'18.05'!$BB$3))</f>
        <v>0</v>
      </c>
      <c r="Q14" s="4">
        <f>IF(ISNUMBER(SEARCH("营",'18.05'!Y14)),(-$Y14+50*IF('18.05'!$AK14="是",'18.05'!$BB$4,'18.05'!$BB$3)),(VLOOKUP('18.05'!Y14,'18.05'!$AO$4:$AQ$55,2,FALSE))*IF('18.05'!$AK14="是",'18.05'!$BB$4,'18.05'!$BB$3))</f>
        <v>160</v>
      </c>
      <c r="R14" s="4">
        <f>IF(ISNUMBER(SEARCH("营",'18.05'!Z14)),(-$Y14+50*IF('18.05'!$AK14="是",'18.05'!$BB$4,'18.05'!$BB$3)),(VLOOKUP('18.05'!Z14,'18.05'!$AO$4:$AQ$55,2,FALSE))*IF('18.05'!$AK14="是",'18.05'!$BB$4,'18.05'!$BB$3))</f>
        <v>160</v>
      </c>
      <c r="S14" s="4">
        <f>IF(ISNUMBER(SEARCH("营",'18.05'!AA14)),(-$Y14+50*IF('18.05'!$AK14="是",'18.05'!$BB$4,'18.05'!$BB$3)),(VLOOKUP('18.05'!AA14,'18.05'!$AO$4:$AQ$55,2,FALSE))*IF('18.05'!$AK14="是",'18.05'!$BB$4,'18.05'!$BB$3))</f>
        <v>144</v>
      </c>
      <c r="T14" s="4">
        <f>IF(ISNUMBER(SEARCH("营",'18.05'!AB14)),(-$Y14+50*IF('18.05'!$AK14="是",'18.05'!$BB$4,'18.05'!$BB$3)),(VLOOKUP('18.05'!AB14,'18.05'!$AO$4:$AQ$55,2,FALSE))*IF('18.05'!$AK14="是",'18.05'!$BB$4,'18.05'!$BB$3))</f>
        <v>144</v>
      </c>
      <c r="U14" s="4">
        <f>IF(ISNUMBER(SEARCH("营",'18.05'!AC14)),(-$Y14+50*IF('18.05'!$AK14="是",'18.05'!$BB$4,'18.05'!$BB$3)),(VLOOKUP('18.05'!AC14,'18.05'!$AO$4:$AQ$55,2,FALSE))*IF('18.05'!$AK14="是",'18.05'!$BB$4,'18.05'!$BB$3))</f>
        <v>144</v>
      </c>
      <c r="V14" s="4">
        <f>IF(ISNUMBER(SEARCH("营",'18.05'!AD14)),(-$Y14+50*IF('18.05'!$AK14="是",'18.05'!$BB$4,'18.05'!$BB$3)),(VLOOKUP('18.05'!AD14,'18.05'!$AO$4:$AQ$55,2,FALSE))*IF('18.05'!$AK14="是",'18.05'!$BB$4,'18.05'!$BB$3))</f>
        <v>144</v>
      </c>
      <c r="W14" s="4">
        <f>IF(ISNUMBER(SEARCH("营",'18.05'!AE14)),(-$Y14+50*IF('18.05'!$AK14="是",'18.05'!$BB$4,'18.05'!$BB$3)),(VLOOKUP('18.05'!AE14,'18.05'!$AO$4:$AQ$55,2,FALSE))*IF('18.05'!$AK14="是",'18.05'!$BB$4,'18.05'!$BB$3))</f>
        <v>0</v>
      </c>
      <c r="X14" s="4">
        <f>IF(ISNUMBER(SEARCH("营",'18.05'!AF14)),(-$Y14+50*IF('18.05'!$AK14="是",'18.05'!$BB$4,'18.05'!$BB$3)),(VLOOKUP('18.05'!AF14,'18.05'!$AO$4:$AQ$55,2,FALSE))*IF('18.05'!$AK14="是",'18.05'!$BB$4,'18.05'!$BB$3))</f>
        <v>0</v>
      </c>
      <c r="Y14" s="68">
        <v>300</v>
      </c>
      <c r="Z14" s="75">
        <v>45649</v>
      </c>
    </row>
    <row r="15" spans="1:26">
      <c r="A15" s="4">
        <f>IF(ISNUMBER(SEARCH("营",'18.05'!I15)),(-$Y15+50*IF('18.05'!$AK15="是",'18.05'!$BB$4,'18.05'!$BB$3)),(VLOOKUP('18.05'!I15,'18.05'!$AO$4:$AQ$55,2,FALSE))*IF('18.05'!$AK15="是",'18.05'!$BB$4,'18.05'!$BB$3))</f>
        <v>144</v>
      </c>
      <c r="B15" s="4">
        <f>IF(ISNUMBER(SEARCH("营",'18.05'!J15)),(-$Y15+50*IF('18.05'!$AK15="是",'18.05'!$BB$4,'18.05'!$BB$3)),(VLOOKUP('18.05'!J15,'18.05'!$AO$4:$AQ$55,2,FALSE))*IF('18.05'!$AK15="是",'18.05'!$BB$4,'18.05'!$BB$3))</f>
        <v>144</v>
      </c>
      <c r="C15" s="4">
        <f>IF(ISNUMBER(SEARCH("营",'18.05'!K15)),(-$Y15+50*IF('18.05'!$AK15="是",'18.05'!$BB$4,'18.05'!$BB$3)),(VLOOKUP('18.05'!K15,'18.05'!$AO$4:$AQ$55,2,FALSE))*IF('18.05'!$AK15="是",'18.05'!$BB$4,'18.05'!$BB$3))</f>
        <v>160</v>
      </c>
      <c r="D15" s="4">
        <f>IF(ISNUMBER(SEARCH("营",'18.05'!L15)),(-$Y15+50*IF('18.05'!$AK15="是",'18.05'!$BB$4,'18.05'!$BB$3)),(VLOOKUP('18.05'!L15,'18.05'!$AO$4:$AQ$55,2,FALSE))*IF('18.05'!$AK15="是",'18.05'!$BB$4,'18.05'!$BB$3))</f>
        <v>160</v>
      </c>
      <c r="E15" s="4">
        <f>IF(ISNUMBER(SEARCH("营",'18.05'!M15)),(-$Y15+50*IF('18.05'!$AK15="是",'18.05'!$BB$4,'18.05'!$BB$3)),(VLOOKUP('18.05'!M15,'18.05'!$AO$4:$AQ$55,2,FALSE))*IF('18.05'!$AK15="是",'18.05'!$BB$4,'18.05'!$BB$3))</f>
        <v>-260</v>
      </c>
      <c r="F15" s="4">
        <f>IF(ISNUMBER(SEARCH("营",'18.05'!N15)),(-$Y15+50*IF('18.05'!$AK15="是",'18.05'!$BB$4,'18.05'!$BB$3)),(VLOOKUP('18.05'!N15,'18.05'!$AO$4:$AQ$55,2,FALSE))*IF('18.05'!$AK15="是",'18.05'!$BB$4,'18.05'!$BB$3))</f>
        <v>0</v>
      </c>
      <c r="G15" s="4">
        <f>IF(ISNUMBER(SEARCH("营",'18.05'!O15)),(-$Y15+50*IF('18.05'!$AK15="是",'18.05'!$BB$4,'18.05'!$BB$3)),(VLOOKUP('18.05'!O15,'18.05'!$AO$4:$AQ$55,2,FALSE))*IF('18.05'!$AK15="是",'18.05'!$BB$4,'18.05'!$BB$3))</f>
        <v>0</v>
      </c>
      <c r="H15" s="4">
        <f>IF(ISNUMBER(SEARCH("营",'18.05'!P15)),(-$Y15+50*IF('18.05'!$AK15="是",'18.05'!$BB$4,'18.05'!$BB$3)),(VLOOKUP('18.05'!P15,'18.05'!$AO$4:$AQ$55,2,FALSE))*IF('18.05'!$AK15="是",'18.05'!$BB$4,'18.05'!$BB$3))</f>
        <v>0</v>
      </c>
      <c r="I15" s="4">
        <f>IF(ISNUMBER(SEARCH("营",'18.05'!Q15)),(-$Y15+50*IF('18.05'!$AK15="是",'18.05'!$BB$4,'18.05'!$BB$3)),(VLOOKUP('18.05'!Q15,'18.05'!$AO$4:$AQ$55,2,FALSE))*IF('18.05'!$AK15="是",'18.05'!$BB$4,'18.05'!$BB$3))</f>
        <v>0</v>
      </c>
      <c r="J15" s="4">
        <f>IF(ISNUMBER(SEARCH("营",'18.05'!R15)),(-$Y15+50*IF('18.05'!$AK15="是",'18.05'!$BB$4,'18.05'!$BB$3)),(VLOOKUP('18.05'!R15,'18.05'!$AO$4:$AQ$55,2,FALSE))*IF('18.05'!$AK15="是",'18.05'!$BB$4,'18.05'!$BB$3))</f>
        <v>0</v>
      </c>
      <c r="K15" s="4">
        <f>IF(ISNUMBER(SEARCH("营",'18.05'!S15)),(-$Y15+50*IF('18.05'!$AK15="是",'18.05'!$BB$4,'18.05'!$BB$3)),(VLOOKUP('18.05'!S15,'18.05'!$AO$4:$AQ$55,2,FALSE))*IF('18.05'!$AK15="是",'18.05'!$BB$4,'18.05'!$BB$3))</f>
        <v>0</v>
      </c>
      <c r="L15" s="4">
        <f>IF(ISNUMBER(SEARCH("营",'18.05'!T15)),(-$Y15+50*IF('18.05'!$AK15="是",'18.05'!$BB$4,'18.05'!$BB$3)),(VLOOKUP('18.05'!T15,'18.05'!$AO$4:$AQ$55,2,FALSE))*IF('18.05'!$AK15="是",'18.05'!$BB$4,'18.05'!$BB$3))</f>
        <v>0</v>
      </c>
      <c r="M15" s="4">
        <f>IF(ISNUMBER(SEARCH("营",'18.05'!U15)),(-$Y15+50*IF('18.05'!$AK15="是",'18.05'!$BB$4,'18.05'!$BB$3)),(VLOOKUP('18.05'!U15,'18.05'!$AO$4:$AQ$55,2,FALSE))*IF('18.05'!$AK15="是",'18.05'!$BB$4,'18.05'!$BB$3))</f>
        <v>0</v>
      </c>
      <c r="N15" s="4">
        <f>IF(ISNUMBER(SEARCH("营",'18.05'!V15)),(-$Y15+50*IF('18.05'!$AK15="是",'18.05'!$BB$4,'18.05'!$BB$3)),(VLOOKUP('18.05'!V15,'18.05'!$AO$4:$AQ$55,2,FALSE))*IF('18.05'!$AK15="是",'18.05'!$BB$4,'18.05'!$BB$3))</f>
        <v>0</v>
      </c>
      <c r="O15" s="4">
        <f>IF(ISNUMBER(SEARCH("营",'18.05'!W15)),(-$Y15+50*IF('18.05'!$AK15="是",'18.05'!$BB$4,'18.05'!$BB$3)),(VLOOKUP('18.05'!W15,'18.05'!$AO$4:$AQ$55,2,FALSE))*IF('18.05'!$AK15="是",'18.05'!$BB$4,'18.05'!$BB$3))</f>
        <v>0</v>
      </c>
      <c r="P15" s="4">
        <f>IF(ISNUMBER(SEARCH("营",'18.05'!X15)),(-$Y15+50*IF('18.05'!$AK15="是",'18.05'!$BB$4,'18.05'!$BB$3)),(VLOOKUP('18.05'!X15,'18.05'!$AO$4:$AQ$55,2,FALSE))*IF('18.05'!$AK15="是",'18.05'!$BB$4,'18.05'!$BB$3))</f>
        <v>0</v>
      </c>
      <c r="Q15" s="4">
        <f>IF(ISNUMBER(SEARCH("营",'18.05'!Y15)),(-$Y15+50*IF('18.05'!$AK15="是",'18.05'!$BB$4,'18.05'!$BB$3)),(VLOOKUP('18.05'!Y15,'18.05'!$AO$4:$AQ$55,2,FALSE))*IF('18.05'!$AK15="是",'18.05'!$BB$4,'18.05'!$BB$3))</f>
        <v>144</v>
      </c>
      <c r="R15" s="4">
        <f>IF(ISNUMBER(SEARCH("营",'18.05'!Z15)),(-$Y15+50*IF('18.05'!$AK15="是",'18.05'!$BB$4,'18.05'!$BB$3)),(VLOOKUP('18.05'!Z15,'18.05'!$AO$4:$AQ$55,2,FALSE))*IF('18.05'!$AK15="是",'18.05'!$BB$4,'18.05'!$BB$3))</f>
        <v>144</v>
      </c>
      <c r="S15" s="4">
        <f>IF(ISNUMBER(SEARCH("营",'18.05'!AA15)),(-$Y15+50*IF('18.05'!$AK15="是",'18.05'!$BB$4,'18.05'!$BB$3)),(VLOOKUP('18.05'!AA15,'18.05'!$AO$4:$AQ$55,2,FALSE))*IF('18.05'!$AK15="是",'18.05'!$BB$4,'18.05'!$BB$3))</f>
        <v>144</v>
      </c>
      <c r="T15" s="4">
        <f>IF(ISNUMBER(SEARCH("营",'18.05'!AB15)),(-$Y15+50*IF('18.05'!$AK15="是",'18.05'!$BB$4,'18.05'!$BB$3)),(VLOOKUP('18.05'!AB15,'18.05'!$AO$4:$AQ$55,2,FALSE))*IF('18.05'!$AK15="是",'18.05'!$BB$4,'18.05'!$BB$3))</f>
        <v>144</v>
      </c>
      <c r="U15" s="4">
        <f>IF(ISNUMBER(SEARCH("营",'18.05'!AC15)),(-$Y15+50*IF('18.05'!$AK15="是",'18.05'!$BB$4,'18.05'!$BB$3)),(VLOOKUP('18.05'!AC15,'18.05'!$AO$4:$AQ$55,2,FALSE))*IF('18.05'!$AK15="是",'18.05'!$BB$4,'18.05'!$BB$3))</f>
        <v>144</v>
      </c>
      <c r="V15" s="4">
        <f>IF(ISNUMBER(SEARCH("营",'18.05'!AD15)),(-$Y15+50*IF('18.05'!$AK15="是",'18.05'!$BB$4,'18.05'!$BB$3)),(VLOOKUP('18.05'!AD15,'18.05'!$AO$4:$AQ$55,2,FALSE))*IF('18.05'!$AK15="是",'18.05'!$BB$4,'18.05'!$BB$3))</f>
        <v>40</v>
      </c>
      <c r="W15" s="4">
        <f>IF(ISNUMBER(SEARCH("营",'18.05'!AE15)),(-$Y15+50*IF('18.05'!$AK15="是",'18.05'!$BB$4,'18.05'!$BB$3)),(VLOOKUP('18.05'!AE15,'18.05'!$AO$4:$AQ$55,2,FALSE))*IF('18.05'!$AK15="是",'18.05'!$BB$4,'18.05'!$BB$3))</f>
        <v>0</v>
      </c>
      <c r="X15" s="4">
        <f>IF(ISNUMBER(SEARCH("营",'18.05'!AF15)),(-$Y15+50*IF('18.05'!$AK15="是",'18.05'!$BB$4,'18.05'!$BB$3)),(VLOOKUP('18.05'!AF15,'18.05'!$AO$4:$AQ$55,2,FALSE))*IF('18.05'!$AK15="是",'18.05'!$BB$4,'18.05'!$BB$3))</f>
        <v>0</v>
      </c>
      <c r="Y15" s="68">
        <v>300</v>
      </c>
      <c r="Z15" s="75">
        <v>45650</v>
      </c>
    </row>
    <row r="16" spans="1:26">
      <c r="A16" s="4">
        <f>IF(ISNUMBER(SEARCH("营",'18.05'!I16)),(-$Y16+50*IF('18.05'!$AK16="是",'18.05'!$BB$4,'18.05'!$BB$3)),(VLOOKUP('18.05'!I16,'18.05'!$AO$4:$AQ$55,2,FALSE))*IF('18.05'!$AK16="是",'18.05'!$BB$4,'18.05'!$BB$3))</f>
        <v>160</v>
      </c>
      <c r="B16" s="4">
        <f>IF(ISNUMBER(SEARCH("营",'18.05'!J16)),(-$Y16+50*IF('18.05'!$AK16="是",'18.05'!$BB$4,'18.05'!$BB$3)),(VLOOKUP('18.05'!J16,'18.05'!$AO$4:$AQ$55,2,FALSE))*IF('18.05'!$AK16="是",'18.05'!$BB$4,'18.05'!$BB$3))</f>
        <v>160</v>
      </c>
      <c r="C16" s="4">
        <f>IF(ISNUMBER(SEARCH("营",'18.05'!K16)),(-$Y16+50*IF('18.05'!$AK16="是",'18.05'!$BB$4,'18.05'!$BB$3)),(VLOOKUP('18.05'!K16,'18.05'!$AO$4:$AQ$55,2,FALSE))*IF('18.05'!$AK16="是",'18.05'!$BB$4,'18.05'!$BB$3))</f>
        <v>160</v>
      </c>
      <c r="D16" s="4">
        <f>IF(ISNUMBER(SEARCH("营",'18.05'!L16)),(-$Y16+50*IF('18.05'!$AK16="是",'18.05'!$BB$4,'18.05'!$BB$3)),(VLOOKUP('18.05'!L16,'18.05'!$AO$4:$AQ$55,2,FALSE))*IF('18.05'!$AK16="是",'18.05'!$BB$4,'18.05'!$BB$3))</f>
        <v>160</v>
      </c>
      <c r="E16" s="4">
        <f>IF(ISNUMBER(SEARCH("营",'18.05'!M16)),(-$Y16+50*IF('18.05'!$AK16="是",'18.05'!$BB$4,'18.05'!$BB$3)),(VLOOKUP('18.05'!M16,'18.05'!$AO$4:$AQ$55,2,FALSE))*IF('18.05'!$AK16="是",'18.05'!$BB$4,'18.05'!$BB$3))</f>
        <v>160</v>
      </c>
      <c r="F16" s="4">
        <f>IF(ISNUMBER(SEARCH("营",'18.05'!N16)),(-$Y16+50*IF('18.05'!$AK16="是",'18.05'!$BB$4,'18.05'!$BB$3)),(VLOOKUP('18.05'!N16,'18.05'!$AO$4:$AQ$55,2,FALSE))*IF('18.05'!$AK16="是",'18.05'!$BB$4,'18.05'!$BB$3))</f>
        <v>0</v>
      </c>
      <c r="G16" s="4">
        <f>IF(ISNUMBER(SEARCH("营",'18.05'!O16)),(-$Y16+50*IF('18.05'!$AK16="是",'18.05'!$BB$4,'18.05'!$BB$3)),(VLOOKUP('18.05'!O16,'18.05'!$AO$4:$AQ$55,2,FALSE))*IF('18.05'!$AK16="是",'18.05'!$BB$4,'18.05'!$BB$3))</f>
        <v>0</v>
      </c>
      <c r="H16" s="4">
        <f>IF(ISNUMBER(SEARCH("营",'18.05'!P16)),(-$Y16+50*IF('18.05'!$AK16="是",'18.05'!$BB$4,'18.05'!$BB$3)),(VLOOKUP('18.05'!P16,'18.05'!$AO$4:$AQ$55,2,FALSE))*IF('18.05'!$AK16="是",'18.05'!$BB$4,'18.05'!$BB$3))</f>
        <v>0</v>
      </c>
      <c r="I16" s="4">
        <f>IF(ISNUMBER(SEARCH("营",'18.05'!Q16)),(-$Y16+50*IF('18.05'!$AK16="是",'18.05'!$BB$4,'18.05'!$BB$3)),(VLOOKUP('18.05'!Q16,'18.05'!$AO$4:$AQ$55,2,FALSE))*IF('18.05'!$AK16="是",'18.05'!$BB$4,'18.05'!$BB$3))</f>
        <v>136</v>
      </c>
      <c r="J16" s="4">
        <f>IF(ISNUMBER(SEARCH("营",'18.05'!R16)),(-$Y16+50*IF('18.05'!$AK16="是",'18.05'!$BB$4,'18.05'!$BB$3)),(VLOOKUP('18.05'!R16,'18.05'!$AO$4:$AQ$55,2,FALSE))*IF('18.05'!$AK16="是",'18.05'!$BB$4,'18.05'!$BB$3))</f>
        <v>136</v>
      </c>
      <c r="K16" s="4">
        <f>IF(ISNUMBER(SEARCH("营",'18.05'!S16)),(-$Y16+50*IF('18.05'!$AK16="是",'18.05'!$BB$4,'18.05'!$BB$3)),(VLOOKUP('18.05'!S16,'18.05'!$AO$4:$AQ$55,2,FALSE))*IF('18.05'!$AK16="是",'18.05'!$BB$4,'18.05'!$BB$3))</f>
        <v>136</v>
      </c>
      <c r="L16" s="4">
        <f>IF(ISNUMBER(SEARCH("营",'18.05'!T16)),(-$Y16+50*IF('18.05'!$AK16="是",'18.05'!$BB$4,'18.05'!$BB$3)),(VLOOKUP('18.05'!T16,'18.05'!$AO$4:$AQ$55,2,FALSE))*IF('18.05'!$AK16="是",'18.05'!$BB$4,'18.05'!$BB$3))</f>
        <v>120</v>
      </c>
      <c r="M16" s="4">
        <f>IF(ISNUMBER(SEARCH("营",'18.05'!U16)),(-$Y16+50*IF('18.05'!$AK16="是",'18.05'!$BB$4,'18.05'!$BB$3)),(VLOOKUP('18.05'!U16,'18.05'!$AO$4:$AQ$55,2,FALSE))*IF('18.05'!$AK16="是",'18.05'!$BB$4,'18.05'!$BB$3))</f>
        <v>136</v>
      </c>
      <c r="N16" s="4">
        <f>IF(ISNUMBER(SEARCH("营",'18.05'!V16)),(-$Y16+50*IF('18.05'!$AK16="是",'18.05'!$BB$4,'18.05'!$BB$3)),(VLOOKUP('18.05'!V16,'18.05'!$AO$4:$AQ$55,2,FALSE))*IF('18.05'!$AK16="是",'18.05'!$BB$4,'18.05'!$BB$3))</f>
        <v>136</v>
      </c>
      <c r="O16" s="4">
        <f>IF(ISNUMBER(SEARCH("营",'18.05'!W16)),(-$Y16+50*IF('18.05'!$AK16="是",'18.05'!$BB$4,'18.05'!$BB$3)),(VLOOKUP('18.05'!W16,'18.05'!$AO$4:$AQ$55,2,FALSE))*IF('18.05'!$AK16="是",'18.05'!$BB$4,'18.05'!$BB$3))</f>
        <v>0</v>
      </c>
      <c r="P16" s="4">
        <f>IF(ISNUMBER(SEARCH("营",'18.05'!X16)),(-$Y16+50*IF('18.05'!$AK16="是",'18.05'!$BB$4,'18.05'!$BB$3)),(VLOOKUP('18.05'!X16,'18.05'!$AO$4:$AQ$55,2,FALSE))*IF('18.05'!$AK16="是",'18.05'!$BB$4,'18.05'!$BB$3))</f>
        <v>0</v>
      </c>
      <c r="Q16" s="4">
        <f>IF(ISNUMBER(SEARCH("营",'18.05'!Y16)),(-$Y16+50*IF('18.05'!$AK16="是",'18.05'!$BB$4,'18.05'!$BB$3)),(VLOOKUP('18.05'!Y16,'18.05'!$AO$4:$AQ$55,2,FALSE))*IF('18.05'!$AK16="是",'18.05'!$BB$4,'18.05'!$BB$3))</f>
        <v>152</v>
      </c>
      <c r="R16" s="4">
        <f>IF(ISNUMBER(SEARCH("营",'18.05'!Z16)),(-$Y16+50*IF('18.05'!$AK16="是",'18.05'!$BB$4,'18.05'!$BB$3)),(VLOOKUP('18.05'!Z16,'18.05'!$AO$4:$AQ$55,2,FALSE))*IF('18.05'!$AK16="是",'18.05'!$BB$4,'18.05'!$BB$3))</f>
        <v>152</v>
      </c>
      <c r="S16" s="4">
        <f>IF(ISNUMBER(SEARCH("营",'18.05'!AA16)),(-$Y16+50*IF('18.05'!$AK16="是",'18.05'!$BB$4,'18.05'!$BB$3)),(VLOOKUP('18.05'!AA16,'18.05'!$AO$4:$AQ$55,2,FALSE))*IF('18.05'!$AK16="是",'18.05'!$BB$4,'18.05'!$BB$3))</f>
        <v>152</v>
      </c>
      <c r="T16" s="4">
        <f>IF(ISNUMBER(SEARCH("营",'18.05'!AB16)),(-$Y16+50*IF('18.05'!$AK16="是",'18.05'!$BB$4,'18.05'!$BB$3)),(VLOOKUP('18.05'!AB16,'18.05'!$AO$4:$AQ$55,2,FALSE))*IF('18.05'!$AK16="是",'18.05'!$BB$4,'18.05'!$BB$3))</f>
        <v>152</v>
      </c>
      <c r="U16" s="4">
        <f>IF(ISNUMBER(SEARCH("营",'18.05'!AC16)),(-$Y16+50*IF('18.05'!$AK16="是",'18.05'!$BB$4,'18.05'!$BB$3)),(VLOOKUP('18.05'!AC16,'18.05'!$AO$4:$AQ$55,2,FALSE))*IF('18.05'!$AK16="是",'18.05'!$BB$4,'18.05'!$BB$3))</f>
        <v>152</v>
      </c>
      <c r="V16" s="4">
        <f>IF(ISNUMBER(SEARCH("营",'18.05'!AD16)),(-$Y16+50*IF('18.05'!$AK16="是",'18.05'!$BB$4,'18.05'!$BB$3)),(VLOOKUP('18.05'!AD16,'18.05'!$AO$4:$AQ$55,2,FALSE))*IF('18.05'!$AK16="是",'18.05'!$BB$4,'18.05'!$BB$3))</f>
        <v>152</v>
      </c>
      <c r="W16" s="4">
        <f>IF(ISNUMBER(SEARCH("营",'18.05'!AE16)),(-$Y16+50*IF('18.05'!$AK16="是",'18.05'!$BB$4,'18.05'!$BB$3)),(VLOOKUP('18.05'!AE16,'18.05'!$AO$4:$AQ$55,2,FALSE))*IF('18.05'!$AK16="是",'18.05'!$BB$4,'18.05'!$BB$3))</f>
        <v>0</v>
      </c>
      <c r="X16" s="4">
        <f>IF(ISNUMBER(SEARCH("营",'18.05'!AF16)),(-$Y16+50*IF('18.05'!$AK16="是",'18.05'!$BB$4,'18.05'!$BB$3)),(VLOOKUP('18.05'!AF16,'18.05'!$AO$4:$AQ$55,2,FALSE))*IF('18.05'!$AK16="是",'18.05'!$BB$4,'18.05'!$BB$3))</f>
        <v>0</v>
      </c>
      <c r="Y16" s="68">
        <v>300</v>
      </c>
      <c r="Z16" s="75">
        <v>45651</v>
      </c>
    </row>
    <row r="17" spans="1:26">
      <c r="A17" s="4">
        <f>IF(ISNUMBER(SEARCH("营",'18.05'!I17)),(-$Y17+50*IF('18.05'!$AK17="是",'18.05'!$BB$4,'18.05'!$BB$3)),(VLOOKUP('18.05'!I17,'18.05'!$AO$4:$AQ$55,2,FALSE))*IF('18.05'!$AK17="是",'18.05'!$BB$4,'18.05'!$BB$3))</f>
        <v>160</v>
      </c>
      <c r="B17" s="4">
        <f>IF(ISNUMBER(SEARCH("营",'18.05'!J17)),(-$Y17+50*IF('18.05'!$AK17="是",'18.05'!$BB$4,'18.05'!$BB$3)),(VLOOKUP('18.05'!J17,'18.05'!$AO$4:$AQ$55,2,FALSE))*IF('18.05'!$AK17="是",'18.05'!$BB$4,'18.05'!$BB$3))</f>
        <v>160</v>
      </c>
      <c r="C17" s="4">
        <f>IF(ISNUMBER(SEARCH("营",'18.05'!K17)),(-$Y17+50*IF('18.05'!$AK17="是",'18.05'!$BB$4,'18.05'!$BB$3)),(VLOOKUP('18.05'!K17,'18.05'!$AO$4:$AQ$55,2,FALSE))*IF('18.05'!$AK17="是",'18.05'!$BB$4,'18.05'!$BB$3))</f>
        <v>160</v>
      </c>
      <c r="D17" s="4">
        <f>IF(ISNUMBER(SEARCH("营",'18.05'!L17)),(-$Y17+50*IF('18.05'!$AK17="是",'18.05'!$BB$4,'18.05'!$BB$3)),(VLOOKUP('18.05'!L17,'18.05'!$AO$4:$AQ$55,2,FALSE))*IF('18.05'!$AK17="是",'18.05'!$BB$4,'18.05'!$BB$3))</f>
        <v>160</v>
      </c>
      <c r="E17" s="4">
        <f>IF(ISNUMBER(SEARCH("营",'18.05'!M17)),(-$Y17+50*IF('18.05'!$AK17="是",'18.05'!$BB$4,'18.05'!$BB$3)),(VLOOKUP('18.05'!M17,'18.05'!$AO$4:$AQ$55,2,FALSE))*IF('18.05'!$AK17="是",'18.05'!$BB$4,'18.05'!$BB$3))</f>
        <v>160</v>
      </c>
      <c r="F17" s="4">
        <f>IF(ISNUMBER(SEARCH("营",'18.05'!N17)),(-$Y17+50*IF('18.05'!$AK17="是",'18.05'!$BB$4,'18.05'!$BB$3)),(VLOOKUP('18.05'!N17,'18.05'!$AO$4:$AQ$55,2,FALSE))*IF('18.05'!$AK17="是",'18.05'!$BB$4,'18.05'!$BB$3))</f>
        <v>160</v>
      </c>
      <c r="G17" s="4">
        <f>IF(ISNUMBER(SEARCH("营",'18.05'!O17)),(-$Y17+50*IF('18.05'!$AK17="是",'18.05'!$BB$4,'18.05'!$BB$3)),(VLOOKUP('18.05'!O17,'18.05'!$AO$4:$AQ$55,2,FALSE))*IF('18.05'!$AK17="是",'18.05'!$BB$4,'18.05'!$BB$3))</f>
        <v>160</v>
      </c>
      <c r="H17" s="4">
        <f>IF(ISNUMBER(SEARCH("营",'18.05'!P17)),(-$Y17+50*IF('18.05'!$AK17="是",'18.05'!$BB$4,'18.05'!$BB$3)),(VLOOKUP('18.05'!P17,'18.05'!$AO$4:$AQ$55,2,FALSE))*IF('18.05'!$AK17="是",'18.05'!$BB$4,'18.05'!$BB$3))</f>
        <v>-260</v>
      </c>
      <c r="I17" s="4">
        <f>IF(ISNUMBER(SEARCH("营",'18.05'!Q17)),(-$Y17+50*IF('18.05'!$AK17="是",'18.05'!$BB$4,'18.05'!$BB$3)),(VLOOKUP('18.05'!Q17,'18.05'!$AO$4:$AQ$55,2,FALSE))*IF('18.05'!$AK17="是",'18.05'!$BB$4,'18.05'!$BB$3))</f>
        <v>136</v>
      </c>
      <c r="J17" s="4">
        <f>IF(ISNUMBER(SEARCH("营",'18.05'!R17)),(-$Y17+50*IF('18.05'!$AK17="是",'18.05'!$BB$4,'18.05'!$BB$3)),(VLOOKUP('18.05'!R17,'18.05'!$AO$4:$AQ$55,2,FALSE))*IF('18.05'!$AK17="是",'18.05'!$BB$4,'18.05'!$BB$3))</f>
        <v>40</v>
      </c>
      <c r="K17" s="4">
        <f>IF(ISNUMBER(SEARCH("营",'18.05'!S17)),(-$Y17+50*IF('18.05'!$AK17="是",'18.05'!$BB$4,'18.05'!$BB$3)),(VLOOKUP('18.05'!S17,'18.05'!$AO$4:$AQ$55,2,FALSE))*IF('18.05'!$AK17="是",'18.05'!$BB$4,'18.05'!$BB$3))</f>
        <v>136</v>
      </c>
      <c r="L17" s="4">
        <f>IF(ISNUMBER(SEARCH("营",'18.05'!T17)),(-$Y17+50*IF('18.05'!$AK17="是",'18.05'!$BB$4,'18.05'!$BB$3)),(VLOOKUP('18.05'!T17,'18.05'!$AO$4:$AQ$55,2,FALSE))*IF('18.05'!$AK17="是",'18.05'!$BB$4,'18.05'!$BB$3))</f>
        <v>136</v>
      </c>
      <c r="M17" s="4">
        <f>IF(ISNUMBER(SEARCH("营",'18.05'!U17)),(-$Y17+50*IF('18.05'!$AK17="是",'18.05'!$BB$4,'18.05'!$BB$3)),(VLOOKUP('18.05'!U17,'18.05'!$AO$4:$AQ$55,2,FALSE))*IF('18.05'!$AK17="是",'18.05'!$BB$4,'18.05'!$BB$3))</f>
        <v>-260</v>
      </c>
      <c r="N17" s="4">
        <f>IF(ISNUMBER(SEARCH("营",'18.05'!V17)),(-$Y17+50*IF('18.05'!$AK17="是",'18.05'!$BB$4,'18.05'!$BB$3)),(VLOOKUP('18.05'!V17,'18.05'!$AO$4:$AQ$55,2,FALSE))*IF('18.05'!$AK17="是",'18.05'!$BB$4,'18.05'!$BB$3))</f>
        <v>0</v>
      </c>
      <c r="O17" s="4">
        <f>IF(ISNUMBER(SEARCH("营",'18.05'!W17)),(-$Y17+50*IF('18.05'!$AK17="是",'18.05'!$BB$4,'18.05'!$BB$3)),(VLOOKUP('18.05'!W17,'18.05'!$AO$4:$AQ$55,2,FALSE))*IF('18.05'!$AK17="是",'18.05'!$BB$4,'18.05'!$BB$3))</f>
        <v>0</v>
      </c>
      <c r="P17" s="4">
        <f>IF(ISNUMBER(SEARCH("营",'18.05'!X17)),(-$Y17+50*IF('18.05'!$AK17="是",'18.05'!$BB$4,'18.05'!$BB$3)),(VLOOKUP('18.05'!X17,'18.05'!$AO$4:$AQ$55,2,FALSE))*IF('18.05'!$AK17="是",'18.05'!$BB$4,'18.05'!$BB$3))</f>
        <v>0</v>
      </c>
      <c r="Q17" s="4">
        <f>IF(ISNUMBER(SEARCH("营",'18.05'!Y17)),(-$Y17+50*IF('18.05'!$AK17="是",'18.05'!$BB$4,'18.05'!$BB$3)),(VLOOKUP('18.05'!Y17,'18.05'!$AO$4:$AQ$55,2,FALSE))*IF('18.05'!$AK17="是",'18.05'!$BB$4,'18.05'!$BB$3))</f>
        <v>152</v>
      </c>
      <c r="R17" s="4">
        <f>IF(ISNUMBER(SEARCH("营",'18.05'!Z17)),(-$Y17+50*IF('18.05'!$AK17="是",'18.05'!$BB$4,'18.05'!$BB$3)),(VLOOKUP('18.05'!Z17,'18.05'!$AO$4:$AQ$55,2,FALSE))*IF('18.05'!$AK17="是",'18.05'!$BB$4,'18.05'!$BB$3))</f>
        <v>152</v>
      </c>
      <c r="S17" s="4">
        <f>IF(ISNUMBER(SEARCH("营",'18.05'!AA17)),(-$Y17+50*IF('18.05'!$AK17="是",'18.05'!$BB$4,'18.05'!$BB$3)),(VLOOKUP('18.05'!AA17,'18.05'!$AO$4:$AQ$55,2,FALSE))*IF('18.05'!$AK17="是",'18.05'!$BB$4,'18.05'!$BB$3))</f>
        <v>152</v>
      </c>
      <c r="T17" s="4">
        <f>IF(ISNUMBER(SEARCH("营",'18.05'!AB17)),(-$Y17+50*IF('18.05'!$AK17="是",'18.05'!$BB$4,'18.05'!$BB$3)),(VLOOKUP('18.05'!AB17,'18.05'!$AO$4:$AQ$55,2,FALSE))*IF('18.05'!$AK17="是",'18.05'!$BB$4,'18.05'!$BB$3))</f>
        <v>40</v>
      </c>
      <c r="U17" s="4">
        <f>IF(ISNUMBER(SEARCH("营",'18.05'!AC17)),(-$Y17+50*IF('18.05'!$AK17="是",'18.05'!$BB$4,'18.05'!$BB$3)),(VLOOKUP('18.05'!AC17,'18.05'!$AO$4:$AQ$55,2,FALSE))*IF('18.05'!$AK17="是",'18.05'!$BB$4,'18.05'!$BB$3))</f>
        <v>152</v>
      </c>
      <c r="V17" s="4">
        <f>IF(ISNUMBER(SEARCH("营",'18.05'!AD17)),(-$Y17+50*IF('18.05'!$AK17="是",'18.05'!$BB$4,'18.05'!$BB$3)),(VLOOKUP('18.05'!AD17,'18.05'!$AO$4:$AQ$55,2,FALSE))*IF('18.05'!$AK17="是",'18.05'!$BB$4,'18.05'!$BB$3))</f>
        <v>152</v>
      </c>
      <c r="W17" s="4">
        <f>IF(ISNUMBER(SEARCH("营",'18.05'!AE17)),(-$Y17+50*IF('18.05'!$AK17="是",'18.05'!$BB$4,'18.05'!$BB$3)),(VLOOKUP('18.05'!AE17,'18.05'!$AO$4:$AQ$55,2,FALSE))*IF('18.05'!$AK17="是",'18.05'!$BB$4,'18.05'!$BB$3))</f>
        <v>-260</v>
      </c>
      <c r="X17" s="4">
        <f>IF(ISNUMBER(SEARCH("营",'18.05'!AF17)),(-$Y17+50*IF('18.05'!$AK17="是",'18.05'!$BB$4,'18.05'!$BB$3)),(VLOOKUP('18.05'!AF17,'18.05'!$AO$4:$AQ$55,2,FALSE))*IF('18.05'!$AK17="是",'18.05'!$BB$4,'18.05'!$BB$3))</f>
        <v>152</v>
      </c>
      <c r="Y17" s="68">
        <v>300</v>
      </c>
      <c r="Z17" s="75">
        <v>45652</v>
      </c>
    </row>
    <row r="18" spans="1:26">
      <c r="A18" s="4">
        <f>IF(ISNUMBER(SEARCH("营",'18.05'!I18)),(-$Y18+50*IF('18.05'!$AK18="是",'18.05'!$BB$4,'18.05'!$BB$3)),(VLOOKUP('18.05'!I18,'18.05'!$AO$4:$AQ$55,2,FALSE))*IF('18.05'!$AK18="是",'18.05'!$BB$4,'18.05'!$BB$3))</f>
        <v>0</v>
      </c>
      <c r="B18" s="4">
        <f>IF(ISNUMBER(SEARCH("营",'18.05'!J18)),(-$Y18+50*IF('18.05'!$AK18="是",'18.05'!$BB$4,'18.05'!$BB$3)),(VLOOKUP('18.05'!J18,'18.05'!$AO$4:$AQ$55,2,FALSE))*IF('18.05'!$AK18="是",'18.05'!$BB$4,'18.05'!$BB$3))</f>
        <v>0</v>
      </c>
      <c r="C18" s="4">
        <f>IF(ISNUMBER(SEARCH("营",'18.05'!K18)),(-$Y18+50*IF('18.05'!$AK18="是",'18.05'!$BB$4,'18.05'!$BB$3)),(VLOOKUP('18.05'!K18,'18.05'!$AO$4:$AQ$55,2,FALSE))*IF('18.05'!$AK18="是",'18.05'!$BB$4,'18.05'!$BB$3))</f>
        <v>0</v>
      </c>
      <c r="D18" s="4">
        <f>IF(ISNUMBER(SEARCH("营",'18.05'!L18)),(-$Y18+50*IF('18.05'!$AK18="是",'18.05'!$BB$4,'18.05'!$BB$3)),(VLOOKUP('18.05'!L18,'18.05'!$AO$4:$AQ$55,2,FALSE))*IF('18.05'!$AK18="是",'18.05'!$BB$4,'18.05'!$BB$3))</f>
        <v>0</v>
      </c>
      <c r="E18" s="4">
        <f>IF(ISNUMBER(SEARCH("营",'18.05'!M18)),(-$Y18+50*IF('18.05'!$AK18="是",'18.05'!$BB$4,'18.05'!$BB$3)),(VLOOKUP('18.05'!M18,'18.05'!$AO$4:$AQ$55,2,FALSE))*IF('18.05'!$AK18="是",'18.05'!$BB$4,'18.05'!$BB$3))</f>
        <v>0</v>
      </c>
      <c r="F18" s="4">
        <f>IF(ISNUMBER(SEARCH("营",'18.05'!N18)),(-$Y18+50*IF('18.05'!$AK18="是",'18.05'!$BB$4,'18.05'!$BB$3)),(VLOOKUP('18.05'!N18,'18.05'!$AO$4:$AQ$55,2,FALSE))*IF('18.05'!$AK18="是",'18.05'!$BB$4,'18.05'!$BB$3))</f>
        <v>0</v>
      </c>
      <c r="G18" s="4">
        <f>IF(ISNUMBER(SEARCH("营",'18.05'!O18)),(-$Y18+50*IF('18.05'!$AK18="是",'18.05'!$BB$4,'18.05'!$BB$3)),(VLOOKUP('18.05'!O18,'18.05'!$AO$4:$AQ$55,2,FALSE))*IF('18.05'!$AK18="是",'18.05'!$BB$4,'18.05'!$BB$3))</f>
        <v>0</v>
      </c>
      <c r="H18" s="4">
        <f>IF(ISNUMBER(SEARCH("营",'18.05'!P18)),(-$Y18+50*IF('18.05'!$AK18="是",'18.05'!$BB$4,'18.05'!$BB$3)),(VLOOKUP('18.05'!P18,'18.05'!$AO$4:$AQ$55,2,FALSE))*IF('18.05'!$AK18="是",'18.05'!$BB$4,'18.05'!$BB$3))</f>
        <v>0</v>
      </c>
      <c r="I18" s="4">
        <f>IF(ISNUMBER(SEARCH("营",'18.05'!Q18)),(-$Y18+50*IF('18.05'!$AK18="是",'18.05'!$BB$4,'18.05'!$BB$3)),(VLOOKUP('18.05'!Q18,'18.05'!$AO$4:$AQ$55,2,FALSE))*IF('18.05'!$AK18="是",'18.05'!$BB$4,'18.05'!$BB$3))</f>
        <v>136</v>
      </c>
      <c r="J18" s="4">
        <f>IF(ISNUMBER(SEARCH("营",'18.05'!R18)),(-$Y18+50*IF('18.05'!$AK18="是",'18.05'!$BB$4,'18.05'!$BB$3)),(VLOOKUP('18.05'!R18,'18.05'!$AO$4:$AQ$55,2,FALSE))*IF('18.05'!$AK18="是",'18.05'!$BB$4,'18.05'!$BB$3))</f>
        <v>136</v>
      </c>
      <c r="K18" s="4">
        <f>IF(ISNUMBER(SEARCH("营",'18.05'!S18)),(-$Y18+50*IF('18.05'!$AK18="是",'18.05'!$BB$4,'18.05'!$BB$3)),(VLOOKUP('18.05'!S18,'18.05'!$AO$4:$AQ$55,2,FALSE))*IF('18.05'!$AK18="是",'18.05'!$BB$4,'18.05'!$BB$3))</f>
        <v>136</v>
      </c>
      <c r="L18" s="4">
        <f>IF(ISNUMBER(SEARCH("营",'18.05'!T18)),(-$Y18+50*IF('18.05'!$AK18="是",'18.05'!$BB$4,'18.05'!$BB$3)),(VLOOKUP('18.05'!T18,'18.05'!$AO$4:$AQ$55,2,FALSE))*IF('18.05'!$AK18="是",'18.05'!$BB$4,'18.05'!$BB$3))</f>
        <v>136</v>
      </c>
      <c r="M18" s="4">
        <f>IF(ISNUMBER(SEARCH("营",'18.05'!U18)),(-$Y18+50*IF('18.05'!$AK18="是",'18.05'!$BB$4,'18.05'!$BB$3)),(VLOOKUP('18.05'!U18,'18.05'!$AO$4:$AQ$55,2,FALSE))*IF('18.05'!$AK18="是",'18.05'!$BB$4,'18.05'!$BB$3))</f>
        <v>0</v>
      </c>
      <c r="N18" s="4">
        <f>IF(ISNUMBER(SEARCH("营",'18.05'!V18)),(-$Y18+50*IF('18.05'!$AK18="是",'18.05'!$BB$4,'18.05'!$BB$3)),(VLOOKUP('18.05'!V18,'18.05'!$AO$4:$AQ$55,2,FALSE))*IF('18.05'!$AK18="是",'18.05'!$BB$4,'18.05'!$BB$3))</f>
        <v>0</v>
      </c>
      <c r="O18" s="4">
        <f>IF(ISNUMBER(SEARCH("营",'18.05'!W18)),(-$Y18+50*IF('18.05'!$AK18="是",'18.05'!$BB$4,'18.05'!$BB$3)),(VLOOKUP('18.05'!W18,'18.05'!$AO$4:$AQ$55,2,FALSE))*IF('18.05'!$AK18="是",'18.05'!$BB$4,'18.05'!$BB$3))</f>
        <v>0</v>
      </c>
      <c r="P18" s="4">
        <f>IF(ISNUMBER(SEARCH("营",'18.05'!X18)),(-$Y18+50*IF('18.05'!$AK18="是",'18.05'!$BB$4,'18.05'!$BB$3)),(VLOOKUP('18.05'!X18,'18.05'!$AO$4:$AQ$55,2,FALSE))*IF('18.05'!$AK18="是",'18.05'!$BB$4,'18.05'!$BB$3))</f>
        <v>0</v>
      </c>
      <c r="Q18" s="4">
        <f>IF(ISNUMBER(SEARCH("营",'18.05'!Y18)),(-$Y18+50*IF('18.05'!$AK18="是",'18.05'!$BB$4,'18.05'!$BB$3)),(VLOOKUP('18.05'!Y18,'18.05'!$AO$4:$AQ$55,2,FALSE))*IF('18.05'!$AK18="是",'18.05'!$BB$4,'18.05'!$BB$3))</f>
        <v>152</v>
      </c>
      <c r="R18" s="4">
        <f>IF(ISNUMBER(SEARCH("营",'18.05'!Z18)),(-$Y18+50*IF('18.05'!$AK18="是",'18.05'!$BB$4,'18.05'!$BB$3)),(VLOOKUP('18.05'!Z18,'18.05'!$AO$4:$AQ$55,2,FALSE))*IF('18.05'!$AK18="是",'18.05'!$BB$4,'18.05'!$BB$3))</f>
        <v>152</v>
      </c>
      <c r="S18" s="4">
        <f>IF(ISNUMBER(SEARCH("营",'18.05'!AA18)),(-$Y18+50*IF('18.05'!$AK18="是",'18.05'!$BB$4,'18.05'!$BB$3)),(VLOOKUP('18.05'!AA18,'18.05'!$AO$4:$AQ$55,2,FALSE))*IF('18.05'!$AK18="是",'18.05'!$BB$4,'18.05'!$BB$3))</f>
        <v>152</v>
      </c>
      <c r="T18" s="4">
        <f>IF(ISNUMBER(SEARCH("营",'18.05'!AB18)),(-$Y18+50*IF('18.05'!$AK18="是",'18.05'!$BB$4,'18.05'!$BB$3)),(VLOOKUP('18.05'!AB18,'18.05'!$AO$4:$AQ$55,2,FALSE))*IF('18.05'!$AK18="是",'18.05'!$BB$4,'18.05'!$BB$3))</f>
        <v>152</v>
      </c>
      <c r="U18" s="4">
        <f>IF(ISNUMBER(SEARCH("营",'18.05'!AC18)),(-$Y18+50*IF('18.05'!$AK18="是",'18.05'!$BB$4,'18.05'!$BB$3)),(VLOOKUP('18.05'!AC18,'18.05'!$AO$4:$AQ$55,2,FALSE))*IF('18.05'!$AK18="是",'18.05'!$BB$4,'18.05'!$BB$3))</f>
        <v>152</v>
      </c>
      <c r="V18" s="4">
        <f>IF(ISNUMBER(SEARCH("营",'18.05'!AD18)),(-$Y18+50*IF('18.05'!$AK18="是",'18.05'!$BB$4,'18.05'!$BB$3)),(VLOOKUP('18.05'!AD18,'18.05'!$AO$4:$AQ$55,2,FALSE))*IF('18.05'!$AK18="是",'18.05'!$BB$4,'18.05'!$BB$3))</f>
        <v>152</v>
      </c>
      <c r="W18" s="4">
        <f>IF(ISNUMBER(SEARCH("营",'18.05'!AE18)),(-$Y18+50*IF('18.05'!$AK18="是",'18.05'!$BB$4,'18.05'!$BB$3)),(VLOOKUP('18.05'!AE18,'18.05'!$AO$4:$AQ$55,2,FALSE))*IF('18.05'!$AK18="是",'18.05'!$BB$4,'18.05'!$BB$3))</f>
        <v>0</v>
      </c>
      <c r="X18" s="4">
        <f>IF(ISNUMBER(SEARCH("营",'18.05'!AF18)),(-$Y18+50*IF('18.05'!$AK18="是",'18.05'!$BB$4,'18.05'!$BB$3)),(VLOOKUP('18.05'!AF18,'18.05'!$AO$4:$AQ$55,2,FALSE))*IF('18.05'!$AK18="是",'18.05'!$BB$4,'18.05'!$BB$3))</f>
        <v>0</v>
      </c>
      <c r="Y18" s="70">
        <v>250</v>
      </c>
      <c r="Z18" s="84">
        <v>45653</v>
      </c>
    </row>
    <row r="19" spans="1:26">
      <c r="A19" s="4">
        <f>IF(ISNUMBER(SEARCH("营",'18.05'!I19)),(-$Y19+50*IF('18.05'!$AK19="是",'18.05'!$BB$4,'18.05'!$BB$3)),(VLOOKUP('18.05'!I19,'18.05'!$AO$4:$AQ$55,2,FALSE))*IF('18.05'!$AK19="是",'18.05'!$BB$4,'18.05'!$BB$3))</f>
        <v>0</v>
      </c>
      <c r="B19" s="4">
        <f>IF(ISNUMBER(SEARCH("营",'18.05'!J19)),(-$Y19+50*IF('18.05'!$AK19="是",'18.05'!$BB$4,'18.05'!$BB$3)),(VLOOKUP('18.05'!J19,'18.05'!$AO$4:$AQ$55,2,FALSE))*IF('18.05'!$AK19="是",'18.05'!$BB$4,'18.05'!$BB$3))</f>
        <v>0</v>
      </c>
      <c r="C19" s="4">
        <f>IF(ISNUMBER(SEARCH("营",'18.05'!K19)),(-$Y19+50*IF('18.05'!$AK19="是",'18.05'!$BB$4,'18.05'!$BB$3)),(VLOOKUP('18.05'!K19,'18.05'!$AO$4:$AQ$55,2,FALSE))*IF('18.05'!$AK19="是",'18.05'!$BB$4,'18.05'!$BB$3))</f>
        <v>0</v>
      </c>
      <c r="D19" s="4">
        <f>IF(ISNUMBER(SEARCH("营",'18.05'!L19)),(-$Y19+50*IF('18.05'!$AK19="是",'18.05'!$BB$4,'18.05'!$BB$3)),(VLOOKUP('18.05'!L19,'18.05'!$AO$4:$AQ$55,2,FALSE))*IF('18.05'!$AK19="是",'18.05'!$BB$4,'18.05'!$BB$3))</f>
        <v>0</v>
      </c>
      <c r="E19" s="4">
        <f>IF(ISNUMBER(SEARCH("营",'18.05'!M19)),(-$Y19+50*IF('18.05'!$AK19="是",'18.05'!$BB$4,'18.05'!$BB$3)),(VLOOKUP('18.05'!M19,'18.05'!$AO$4:$AQ$55,2,FALSE))*IF('18.05'!$AK19="是",'18.05'!$BB$4,'18.05'!$BB$3))</f>
        <v>0</v>
      </c>
      <c r="F19" s="4">
        <f>IF(ISNUMBER(SEARCH("营",'18.05'!N19)),(-$Y19+50*IF('18.05'!$AK19="是",'18.05'!$BB$4,'18.05'!$BB$3)),(VLOOKUP('18.05'!N19,'18.05'!$AO$4:$AQ$55,2,FALSE))*IF('18.05'!$AK19="是",'18.05'!$BB$4,'18.05'!$BB$3))</f>
        <v>0</v>
      </c>
      <c r="G19" s="4">
        <f>IF(ISNUMBER(SEARCH("营",'18.05'!O19)),(-$Y19+50*IF('18.05'!$AK19="是",'18.05'!$BB$4,'18.05'!$BB$3)),(VLOOKUP('18.05'!O19,'18.05'!$AO$4:$AQ$55,2,FALSE))*IF('18.05'!$AK19="是",'18.05'!$BB$4,'18.05'!$BB$3))</f>
        <v>0</v>
      </c>
      <c r="H19" s="4">
        <f>IF(ISNUMBER(SEARCH("营",'18.05'!P19)),(-$Y19+50*IF('18.05'!$AK19="是",'18.05'!$BB$4,'18.05'!$BB$3)),(VLOOKUP('18.05'!P19,'18.05'!$AO$4:$AQ$55,2,FALSE))*IF('18.05'!$AK19="是",'18.05'!$BB$4,'18.05'!$BB$3))</f>
        <v>0</v>
      </c>
      <c r="I19" s="4">
        <f>IF(ISNUMBER(SEARCH("营",'18.05'!Q19)),(-$Y19+50*IF('18.05'!$AK19="是",'18.05'!$BB$4,'18.05'!$BB$3)),(VLOOKUP('18.05'!Q19,'18.05'!$AO$4:$AQ$55,2,FALSE))*IF('18.05'!$AK19="是",'18.05'!$BB$4,'18.05'!$BB$3))</f>
        <v>136</v>
      </c>
      <c r="J19" s="4">
        <f>IF(ISNUMBER(SEARCH("营",'18.05'!R19)),(-$Y19+50*IF('18.05'!$AK19="是",'18.05'!$BB$4,'18.05'!$BB$3)),(VLOOKUP('18.05'!R19,'18.05'!$AO$4:$AQ$55,2,FALSE))*IF('18.05'!$AK19="是",'18.05'!$BB$4,'18.05'!$BB$3))</f>
        <v>136</v>
      </c>
      <c r="K19" s="4">
        <f>IF(ISNUMBER(SEARCH("营",'18.05'!S19)),(-$Y19+50*IF('18.05'!$AK19="是",'18.05'!$BB$4,'18.05'!$BB$3)),(VLOOKUP('18.05'!S19,'18.05'!$AO$4:$AQ$55,2,FALSE))*IF('18.05'!$AK19="是",'18.05'!$BB$4,'18.05'!$BB$3))</f>
        <v>40</v>
      </c>
      <c r="L19" s="4">
        <f>IF(ISNUMBER(SEARCH("营",'18.05'!T19)),(-$Y19+50*IF('18.05'!$AK19="是",'18.05'!$BB$4,'18.05'!$BB$3)),(VLOOKUP('18.05'!T19,'18.05'!$AO$4:$AQ$55,2,FALSE))*IF('18.05'!$AK19="是",'18.05'!$BB$4,'18.05'!$BB$3))</f>
        <v>136</v>
      </c>
      <c r="M19" s="4">
        <f>IF(ISNUMBER(SEARCH("营",'18.05'!U19)),(-$Y19+50*IF('18.05'!$AK19="是",'18.05'!$BB$4,'18.05'!$BB$3)),(VLOOKUP('18.05'!U19,'18.05'!$AO$4:$AQ$55,2,FALSE))*IF('18.05'!$AK19="是",'18.05'!$BB$4,'18.05'!$BB$3))</f>
        <v>136</v>
      </c>
      <c r="N19" s="4">
        <f>IF(ISNUMBER(SEARCH("营",'18.05'!V19)),(-$Y19+50*IF('18.05'!$AK19="是",'18.05'!$BB$4,'18.05'!$BB$3)),(VLOOKUP('18.05'!V19,'18.05'!$AO$4:$AQ$55,2,FALSE))*IF('18.05'!$AK19="是",'18.05'!$BB$4,'18.05'!$BB$3))</f>
        <v>136</v>
      </c>
      <c r="O19" s="4">
        <f>IF(ISNUMBER(SEARCH("营",'18.05'!W19)),(-$Y19+50*IF('18.05'!$AK19="是",'18.05'!$BB$4,'18.05'!$BB$3)),(VLOOKUP('18.05'!W19,'18.05'!$AO$4:$AQ$55,2,FALSE))*IF('18.05'!$AK19="是",'18.05'!$BB$4,'18.05'!$BB$3))</f>
        <v>136</v>
      </c>
      <c r="P19" s="4">
        <f>IF(ISNUMBER(SEARCH("营",'18.05'!X19)),(-$Y19+50*IF('18.05'!$AK19="是",'18.05'!$BB$4,'18.05'!$BB$3)),(VLOOKUP('18.05'!X19,'18.05'!$AO$4:$AQ$55,2,FALSE))*IF('18.05'!$AK19="是",'18.05'!$BB$4,'18.05'!$BB$3))</f>
        <v>136</v>
      </c>
      <c r="Q19" s="4">
        <f>IF(ISNUMBER(SEARCH("营",'18.05'!Y19)),(-$Y19+50*IF('18.05'!$AK19="是",'18.05'!$BB$4,'18.05'!$BB$3)),(VLOOKUP('18.05'!Y19,'18.05'!$AO$4:$AQ$55,2,FALSE))*IF('18.05'!$AK19="是",'18.05'!$BB$4,'18.05'!$BB$3))</f>
        <v>152</v>
      </c>
      <c r="R19" s="4">
        <f>IF(ISNUMBER(SEARCH("营",'18.05'!Z19)),(-$Y19+50*IF('18.05'!$AK19="是",'18.05'!$BB$4,'18.05'!$BB$3)),(VLOOKUP('18.05'!Z19,'18.05'!$AO$4:$AQ$55,2,FALSE))*IF('18.05'!$AK19="是",'18.05'!$BB$4,'18.05'!$BB$3))</f>
        <v>160</v>
      </c>
      <c r="S19" s="4">
        <f>IF(ISNUMBER(SEARCH("营",'18.05'!AA19)),(-$Y19+50*IF('18.05'!$AK19="是",'18.05'!$BB$4,'18.05'!$BB$3)),(VLOOKUP('18.05'!AA19,'18.05'!$AO$4:$AQ$55,2,FALSE))*IF('18.05'!$AK19="是",'18.05'!$BB$4,'18.05'!$BB$3))</f>
        <v>160</v>
      </c>
      <c r="T19" s="4">
        <f>IF(ISNUMBER(SEARCH("营",'18.05'!AB19)),(-$Y19+50*IF('18.05'!$AK19="是",'18.05'!$BB$4,'18.05'!$BB$3)),(VLOOKUP('18.05'!AB19,'18.05'!$AO$4:$AQ$55,2,FALSE))*IF('18.05'!$AK19="是",'18.05'!$BB$4,'18.05'!$BB$3))</f>
        <v>160</v>
      </c>
      <c r="U19" s="4">
        <f>IF(ISNUMBER(SEARCH("营",'18.05'!AC19)),(-$Y19+50*IF('18.05'!$AK19="是",'18.05'!$BB$4,'18.05'!$BB$3)),(VLOOKUP('18.05'!AC19,'18.05'!$AO$4:$AQ$55,2,FALSE))*IF('18.05'!$AK19="是",'18.05'!$BB$4,'18.05'!$BB$3))</f>
        <v>152</v>
      </c>
      <c r="V19" s="4">
        <f>IF(ISNUMBER(SEARCH("营",'18.05'!AD19)),(-$Y19+50*IF('18.05'!$AK19="是",'18.05'!$BB$4,'18.05'!$BB$3)),(VLOOKUP('18.05'!AD19,'18.05'!$AO$4:$AQ$55,2,FALSE))*IF('18.05'!$AK19="是",'18.05'!$BB$4,'18.05'!$BB$3))</f>
        <v>152</v>
      </c>
      <c r="W19" s="4">
        <f>IF(ISNUMBER(SEARCH("营",'18.05'!AE19)),(-$Y19+50*IF('18.05'!$AK19="是",'18.05'!$BB$4,'18.05'!$BB$3)),(VLOOKUP('18.05'!AE19,'18.05'!$AO$4:$AQ$55,2,FALSE))*IF('18.05'!$AK19="是",'18.05'!$BB$4,'18.05'!$BB$3))</f>
        <v>0</v>
      </c>
      <c r="X19" s="4">
        <f>IF(ISNUMBER(SEARCH("营",'18.05'!AF19)),(-$Y19+50*IF('18.05'!$AK19="是",'18.05'!$BB$4,'18.05'!$BB$3)),(VLOOKUP('18.05'!AF19,'18.05'!$AO$4:$AQ$55,2,FALSE))*IF('18.05'!$AK19="是",'18.05'!$BB$4,'18.05'!$BB$3))</f>
        <v>0</v>
      </c>
      <c r="Y19" s="70">
        <v>250</v>
      </c>
      <c r="Z19" s="84">
        <v>45654</v>
      </c>
    </row>
    <row r="20" spans="1:26">
      <c r="A20" s="4">
        <f>IF(ISNUMBER(SEARCH("营",'18.05'!I20)),(-$Y20+50*IF('18.05'!$AK20="是",'18.05'!$BB$4,'18.05'!$BB$3)),(VLOOKUP('18.05'!I20,'18.05'!$AO$4:$AQ$55,2,FALSE))*IF('18.05'!$AK20="是",'18.05'!$BB$4,'18.05'!$BB$3))</f>
        <v>0</v>
      </c>
      <c r="B20" s="4">
        <f>IF(ISNUMBER(SEARCH("营",'18.05'!J20)),(-$Y20+50*IF('18.05'!$AK20="是",'18.05'!$BB$4,'18.05'!$BB$3)),(VLOOKUP('18.05'!J20,'18.05'!$AO$4:$AQ$55,2,FALSE))*IF('18.05'!$AK20="是",'18.05'!$BB$4,'18.05'!$BB$3))</f>
        <v>0</v>
      </c>
      <c r="C20" s="4">
        <f>IF(ISNUMBER(SEARCH("营",'18.05'!K20)),(-$Y20+50*IF('18.05'!$AK20="是",'18.05'!$BB$4,'18.05'!$BB$3)),(VLOOKUP('18.05'!K20,'18.05'!$AO$4:$AQ$55,2,FALSE))*IF('18.05'!$AK20="是",'18.05'!$BB$4,'18.05'!$BB$3))</f>
        <v>0</v>
      </c>
      <c r="D20" s="4">
        <f>IF(ISNUMBER(SEARCH("营",'18.05'!L20)),(-$Y20+50*IF('18.05'!$AK20="是",'18.05'!$BB$4,'18.05'!$BB$3)),(VLOOKUP('18.05'!L20,'18.05'!$AO$4:$AQ$55,2,FALSE))*IF('18.05'!$AK20="是",'18.05'!$BB$4,'18.05'!$BB$3))</f>
        <v>0</v>
      </c>
      <c r="E20" s="4">
        <f>IF(ISNUMBER(SEARCH("营",'18.05'!M20)),(-$Y20+50*IF('18.05'!$AK20="是",'18.05'!$BB$4,'18.05'!$BB$3)),(VLOOKUP('18.05'!M20,'18.05'!$AO$4:$AQ$55,2,FALSE))*IF('18.05'!$AK20="是",'18.05'!$BB$4,'18.05'!$BB$3))</f>
        <v>0</v>
      </c>
      <c r="F20" s="4">
        <f>IF(ISNUMBER(SEARCH("营",'18.05'!N20)),(-$Y20+50*IF('18.05'!$AK20="是",'18.05'!$BB$4,'18.05'!$BB$3)),(VLOOKUP('18.05'!N20,'18.05'!$AO$4:$AQ$55,2,FALSE))*IF('18.05'!$AK20="是",'18.05'!$BB$4,'18.05'!$BB$3))</f>
        <v>0</v>
      </c>
      <c r="G20" s="4">
        <f>IF(ISNUMBER(SEARCH("营",'18.05'!O20)),(-$Y20+50*IF('18.05'!$AK20="是",'18.05'!$BB$4,'18.05'!$BB$3)),(VLOOKUP('18.05'!O20,'18.05'!$AO$4:$AQ$55,2,FALSE))*IF('18.05'!$AK20="是",'18.05'!$BB$4,'18.05'!$BB$3))</f>
        <v>0</v>
      </c>
      <c r="H20" s="4">
        <f>IF(ISNUMBER(SEARCH("营",'18.05'!P20)),(-$Y20+50*IF('18.05'!$AK20="是",'18.05'!$BB$4,'18.05'!$BB$3)),(VLOOKUP('18.05'!P20,'18.05'!$AO$4:$AQ$55,2,FALSE))*IF('18.05'!$AK20="是",'18.05'!$BB$4,'18.05'!$BB$3))</f>
        <v>0</v>
      </c>
      <c r="I20" s="4">
        <f>IF(ISNUMBER(SEARCH("营",'18.05'!Q20)),(-$Y20+50*IF('18.05'!$AK20="是",'18.05'!$BB$4,'18.05'!$BB$3)),(VLOOKUP('18.05'!Q20,'18.05'!$AO$4:$AQ$55,2,FALSE))*IF('18.05'!$AK20="是",'18.05'!$BB$4,'18.05'!$BB$3))</f>
        <v>136</v>
      </c>
      <c r="J20" s="4">
        <f>IF(ISNUMBER(SEARCH("营",'18.05'!R20)),(-$Y20+50*IF('18.05'!$AK20="是",'18.05'!$BB$4,'18.05'!$BB$3)),(VLOOKUP('18.05'!R20,'18.05'!$AO$4:$AQ$55,2,FALSE))*IF('18.05'!$AK20="是",'18.05'!$BB$4,'18.05'!$BB$3))</f>
        <v>152</v>
      </c>
      <c r="K20" s="4">
        <f>IF(ISNUMBER(SEARCH("营",'18.05'!S20)),(-$Y20+50*IF('18.05'!$AK20="是",'18.05'!$BB$4,'18.05'!$BB$3)),(VLOOKUP('18.05'!S20,'18.05'!$AO$4:$AQ$55,2,FALSE))*IF('18.05'!$AK20="是",'18.05'!$BB$4,'18.05'!$BB$3))</f>
        <v>152</v>
      </c>
      <c r="L20" s="4">
        <f>IF(ISNUMBER(SEARCH("营",'18.05'!T20)),(-$Y20+50*IF('18.05'!$AK20="是",'18.05'!$BB$4,'18.05'!$BB$3)),(VLOOKUP('18.05'!T20,'18.05'!$AO$4:$AQ$55,2,FALSE))*IF('18.05'!$AK20="是",'18.05'!$BB$4,'18.05'!$BB$3))</f>
        <v>152</v>
      </c>
      <c r="M20" s="4">
        <f>IF(ISNUMBER(SEARCH("营",'18.05'!U20)),(-$Y20+50*IF('18.05'!$AK20="是",'18.05'!$BB$4,'18.05'!$BB$3)),(VLOOKUP('18.05'!U20,'18.05'!$AO$4:$AQ$55,2,FALSE))*IF('18.05'!$AK20="是",'18.05'!$BB$4,'18.05'!$BB$3))</f>
        <v>40</v>
      </c>
      <c r="N20" s="4">
        <f>IF(ISNUMBER(SEARCH("营",'18.05'!V20)),(-$Y20+50*IF('18.05'!$AK20="是",'18.05'!$BB$4,'18.05'!$BB$3)),(VLOOKUP('18.05'!V20,'18.05'!$AO$4:$AQ$55,2,FALSE))*IF('18.05'!$AK20="是",'18.05'!$BB$4,'18.05'!$BB$3))</f>
        <v>0</v>
      </c>
      <c r="O20" s="4">
        <f>IF(ISNUMBER(SEARCH("营",'18.05'!W20)),(-$Y20+50*IF('18.05'!$AK20="是",'18.05'!$BB$4,'18.05'!$BB$3)),(VLOOKUP('18.05'!W20,'18.05'!$AO$4:$AQ$55,2,FALSE))*IF('18.05'!$AK20="是",'18.05'!$BB$4,'18.05'!$BB$3))</f>
        <v>0</v>
      </c>
      <c r="P20" s="4">
        <f>IF(ISNUMBER(SEARCH("营",'18.05'!X20)),(-$Y20+50*IF('18.05'!$AK20="是",'18.05'!$BB$4,'18.05'!$BB$3)),(VLOOKUP('18.05'!X20,'18.05'!$AO$4:$AQ$55,2,FALSE))*IF('18.05'!$AK20="是",'18.05'!$BB$4,'18.05'!$BB$3))</f>
        <v>0</v>
      </c>
      <c r="Q20" s="4">
        <f>IF(ISNUMBER(SEARCH("营",'18.05'!Y20)),(-$Y20+50*IF('18.05'!$AK20="是",'18.05'!$BB$4,'18.05'!$BB$3)),(VLOOKUP('18.05'!Y20,'18.05'!$AO$4:$AQ$55,2,FALSE))*IF('18.05'!$AK20="是",'18.05'!$BB$4,'18.05'!$BB$3))</f>
        <v>152</v>
      </c>
      <c r="R20" s="4">
        <f>IF(ISNUMBER(SEARCH("营",'18.05'!Z20)),(-$Y20+50*IF('18.05'!$AK20="是",'18.05'!$BB$4,'18.05'!$BB$3)),(VLOOKUP('18.05'!Z20,'18.05'!$AO$4:$AQ$55,2,FALSE))*IF('18.05'!$AK20="是",'18.05'!$BB$4,'18.05'!$BB$3))</f>
        <v>152</v>
      </c>
      <c r="S20" s="4">
        <f>IF(ISNUMBER(SEARCH("营",'18.05'!AA20)),(-$Y20+50*IF('18.05'!$AK20="是",'18.05'!$BB$4,'18.05'!$BB$3)),(VLOOKUP('18.05'!AA20,'18.05'!$AO$4:$AQ$55,2,FALSE))*IF('18.05'!$AK20="是",'18.05'!$BB$4,'18.05'!$BB$3))</f>
        <v>152</v>
      </c>
      <c r="T20" s="4">
        <f>IF(ISNUMBER(SEARCH("营",'18.05'!AB20)),(-$Y20+50*IF('18.05'!$AK20="是",'18.05'!$BB$4,'18.05'!$BB$3)),(VLOOKUP('18.05'!AB20,'18.05'!$AO$4:$AQ$55,2,FALSE))*IF('18.05'!$AK20="是",'18.05'!$BB$4,'18.05'!$BB$3))</f>
        <v>152</v>
      </c>
      <c r="U20" s="4">
        <f>IF(ISNUMBER(SEARCH("营",'18.05'!AC20)),(-$Y20+50*IF('18.05'!$AK20="是",'18.05'!$BB$4,'18.05'!$BB$3)),(VLOOKUP('18.05'!AC20,'18.05'!$AO$4:$AQ$55,2,FALSE))*IF('18.05'!$AK20="是",'18.05'!$BB$4,'18.05'!$BB$3))</f>
        <v>152</v>
      </c>
      <c r="V20" s="4">
        <f>IF(ISNUMBER(SEARCH("营",'18.05'!AD20)),(-$Y20+50*IF('18.05'!$AK20="是",'18.05'!$BB$4,'18.05'!$BB$3)),(VLOOKUP('18.05'!AD20,'18.05'!$AO$4:$AQ$55,2,FALSE))*IF('18.05'!$AK20="是",'18.05'!$BB$4,'18.05'!$BB$3))</f>
        <v>152</v>
      </c>
      <c r="W20" s="4">
        <f>IF(ISNUMBER(SEARCH("营",'18.05'!AE20)),(-$Y20+50*IF('18.05'!$AK20="是",'18.05'!$BB$4,'18.05'!$BB$3)),(VLOOKUP('18.05'!AE20,'18.05'!$AO$4:$AQ$55,2,FALSE))*IF('18.05'!$AK20="是",'18.05'!$BB$4,'18.05'!$BB$3))</f>
        <v>40</v>
      </c>
      <c r="X20" s="4">
        <f>IF(ISNUMBER(SEARCH("营",'18.05'!AF20)),(-$Y20+50*IF('18.05'!$AK20="是",'18.05'!$BB$4,'18.05'!$BB$3)),(VLOOKUP('18.05'!AF20,'18.05'!$AO$4:$AQ$55,2,FALSE))*IF('18.05'!$AK20="是",'18.05'!$BB$4,'18.05'!$BB$3))</f>
        <v>0</v>
      </c>
      <c r="Y20" s="70">
        <v>250</v>
      </c>
      <c r="Z20" s="84">
        <v>45655</v>
      </c>
    </row>
    <row r="21" spans="1:26">
      <c r="A21" s="4">
        <f>IF(ISNUMBER(SEARCH("营",'18.05'!I21)),(-$Y21+50*IF('18.05'!$AK21="是",'18.05'!$BB$4,'18.05'!$BB$3)),(VLOOKUP('18.05'!I21,'18.05'!$AO$4:$AQ$55,2,FALSE))*IF('18.05'!$AK21="是",'18.05'!$BB$4,'18.05'!$BB$3))</f>
        <v>160</v>
      </c>
      <c r="B21" s="4">
        <f>IF(ISNUMBER(SEARCH("营",'18.05'!J21)),(-$Y21+50*IF('18.05'!$AK21="是",'18.05'!$BB$4,'18.05'!$BB$3)),(VLOOKUP('18.05'!J21,'18.05'!$AO$4:$AQ$55,2,FALSE))*IF('18.05'!$AK21="是",'18.05'!$BB$4,'18.05'!$BB$3))</f>
        <v>160</v>
      </c>
      <c r="C21" s="4">
        <f>IF(ISNUMBER(SEARCH("营",'18.05'!K21)),(-$Y21+50*IF('18.05'!$AK21="是",'18.05'!$BB$4,'18.05'!$BB$3)),(VLOOKUP('18.05'!K21,'18.05'!$AO$4:$AQ$55,2,FALSE))*IF('18.05'!$AK21="是",'18.05'!$BB$4,'18.05'!$BB$3))</f>
        <v>160</v>
      </c>
      <c r="D21" s="4">
        <f>IF(ISNUMBER(SEARCH("营",'18.05'!L21)),(-$Y21+50*IF('18.05'!$AK21="是",'18.05'!$BB$4,'18.05'!$BB$3)),(VLOOKUP('18.05'!L21,'18.05'!$AO$4:$AQ$55,2,FALSE))*IF('18.05'!$AK21="是",'18.05'!$BB$4,'18.05'!$BB$3))</f>
        <v>160</v>
      </c>
      <c r="E21" s="4">
        <f>IF(ISNUMBER(SEARCH("营",'18.05'!M21)),(-$Y21+50*IF('18.05'!$AK21="是",'18.05'!$BB$4,'18.05'!$BB$3)),(VLOOKUP('18.05'!M21,'18.05'!$AO$4:$AQ$55,2,FALSE))*IF('18.05'!$AK21="是",'18.05'!$BB$4,'18.05'!$BB$3))</f>
        <v>160</v>
      </c>
      <c r="F21" s="4">
        <f>IF(ISNUMBER(SEARCH("营",'18.05'!N21)),(-$Y21+50*IF('18.05'!$AK21="是",'18.05'!$BB$4,'18.05'!$BB$3)),(VLOOKUP('18.05'!N21,'18.05'!$AO$4:$AQ$55,2,FALSE))*IF('18.05'!$AK21="是",'18.05'!$BB$4,'18.05'!$BB$3))</f>
        <v>160</v>
      </c>
      <c r="G21" s="4">
        <f>IF(ISNUMBER(SEARCH("营",'18.05'!O21)),(-$Y21+50*IF('18.05'!$AK21="是",'18.05'!$BB$4,'18.05'!$BB$3)),(VLOOKUP('18.05'!O21,'18.05'!$AO$4:$AQ$55,2,FALSE))*IF('18.05'!$AK21="是",'18.05'!$BB$4,'18.05'!$BB$3))</f>
        <v>0</v>
      </c>
      <c r="H21" s="4">
        <f>IF(ISNUMBER(SEARCH("营",'18.05'!P21)),(-$Y21+50*IF('18.05'!$AK21="是",'18.05'!$BB$4,'18.05'!$BB$3)),(VLOOKUP('18.05'!P21,'18.05'!$AO$4:$AQ$55,2,FALSE))*IF('18.05'!$AK21="是",'18.05'!$BB$4,'18.05'!$BB$3))</f>
        <v>0</v>
      </c>
      <c r="I21" s="4">
        <f>IF(ISNUMBER(SEARCH("营",'18.05'!Q21)),(-$Y21+50*IF('18.05'!$AK21="是",'18.05'!$BB$4,'18.05'!$BB$3)),(VLOOKUP('18.05'!Q21,'18.05'!$AO$4:$AQ$55,2,FALSE))*IF('18.05'!$AK21="是",'18.05'!$BB$4,'18.05'!$BB$3))</f>
        <v>0</v>
      </c>
      <c r="J21" s="4">
        <f>IF(ISNUMBER(SEARCH("营",'18.05'!R21)),(-$Y21+50*IF('18.05'!$AK21="是",'18.05'!$BB$4,'18.05'!$BB$3)),(VLOOKUP('18.05'!R21,'18.05'!$AO$4:$AQ$55,2,FALSE))*IF('18.05'!$AK21="是",'18.05'!$BB$4,'18.05'!$BB$3))</f>
        <v>0</v>
      </c>
      <c r="K21" s="4">
        <f>IF(ISNUMBER(SEARCH("营",'18.05'!S21)),(-$Y21+50*IF('18.05'!$AK21="是",'18.05'!$BB$4,'18.05'!$BB$3)),(VLOOKUP('18.05'!S21,'18.05'!$AO$4:$AQ$55,2,FALSE))*IF('18.05'!$AK21="是",'18.05'!$BB$4,'18.05'!$BB$3))</f>
        <v>0</v>
      </c>
      <c r="L21" s="4">
        <f>IF(ISNUMBER(SEARCH("营",'18.05'!T21)),(-$Y21+50*IF('18.05'!$AK21="是",'18.05'!$BB$4,'18.05'!$BB$3)),(VLOOKUP('18.05'!T21,'18.05'!$AO$4:$AQ$55,2,FALSE))*IF('18.05'!$AK21="是",'18.05'!$BB$4,'18.05'!$BB$3))</f>
        <v>0</v>
      </c>
      <c r="M21" s="4">
        <f>IF(ISNUMBER(SEARCH("营",'18.05'!U21)),(-$Y21+50*IF('18.05'!$AK21="是",'18.05'!$BB$4,'18.05'!$BB$3)),(VLOOKUP('18.05'!U21,'18.05'!$AO$4:$AQ$55,2,FALSE))*IF('18.05'!$AK21="是",'18.05'!$BB$4,'18.05'!$BB$3))</f>
        <v>0</v>
      </c>
      <c r="N21" s="4">
        <f>IF(ISNUMBER(SEARCH("营",'18.05'!V21)),(-$Y21+50*IF('18.05'!$AK21="是",'18.05'!$BB$4,'18.05'!$BB$3)),(VLOOKUP('18.05'!V21,'18.05'!$AO$4:$AQ$55,2,FALSE))*IF('18.05'!$AK21="是",'18.05'!$BB$4,'18.05'!$BB$3))</f>
        <v>0</v>
      </c>
      <c r="O21" s="4">
        <f>IF(ISNUMBER(SEARCH("营",'18.05'!W21)),(-$Y21+50*IF('18.05'!$AK21="是",'18.05'!$BB$4,'18.05'!$BB$3)),(VLOOKUP('18.05'!W21,'18.05'!$AO$4:$AQ$55,2,FALSE))*IF('18.05'!$AK21="是",'18.05'!$BB$4,'18.05'!$BB$3))</f>
        <v>0</v>
      </c>
      <c r="P21" s="4">
        <f>IF(ISNUMBER(SEARCH("营",'18.05'!X21)),(-$Y21+50*IF('18.05'!$AK21="是",'18.05'!$BB$4,'18.05'!$BB$3)),(VLOOKUP('18.05'!X21,'18.05'!$AO$4:$AQ$55,2,FALSE))*IF('18.05'!$AK21="是",'18.05'!$BB$4,'18.05'!$BB$3))</f>
        <v>0</v>
      </c>
      <c r="Q21" s="4">
        <f>IF(ISNUMBER(SEARCH("营",'18.05'!Y21)),(-$Y21+50*IF('18.05'!$AK21="是",'18.05'!$BB$4,'18.05'!$BB$3)),(VLOOKUP('18.05'!Y21,'18.05'!$AO$4:$AQ$55,2,FALSE))*IF('18.05'!$AK21="是",'18.05'!$BB$4,'18.05'!$BB$3))</f>
        <v>152</v>
      </c>
      <c r="R21" s="4">
        <f>IF(ISNUMBER(SEARCH("营",'18.05'!Z21)),(-$Y21+50*IF('18.05'!$AK21="是",'18.05'!$BB$4,'18.05'!$BB$3)),(VLOOKUP('18.05'!Z21,'18.05'!$AO$4:$AQ$55,2,FALSE))*IF('18.05'!$AK21="是",'18.05'!$BB$4,'18.05'!$BB$3))</f>
        <v>152</v>
      </c>
      <c r="S21" s="4">
        <f>IF(ISNUMBER(SEARCH("营",'18.05'!AA21)),(-$Y21+50*IF('18.05'!$AK21="是",'18.05'!$BB$4,'18.05'!$BB$3)),(VLOOKUP('18.05'!AA21,'18.05'!$AO$4:$AQ$55,2,FALSE))*IF('18.05'!$AK21="是",'18.05'!$BB$4,'18.05'!$BB$3))</f>
        <v>152</v>
      </c>
      <c r="T21" s="4">
        <f>IF(ISNUMBER(SEARCH("营",'18.05'!AB21)),(-$Y21+50*IF('18.05'!$AK21="是",'18.05'!$BB$4,'18.05'!$BB$3)),(VLOOKUP('18.05'!AB21,'18.05'!$AO$4:$AQ$55,2,FALSE))*IF('18.05'!$AK21="是",'18.05'!$BB$4,'18.05'!$BB$3))</f>
        <v>200</v>
      </c>
      <c r="U21" s="4">
        <f>IF(ISNUMBER(SEARCH("营",'18.05'!AC21)),(-$Y21+50*IF('18.05'!$AK21="是",'18.05'!$BB$4,'18.05'!$BB$3)),(VLOOKUP('18.05'!AC21,'18.05'!$AO$4:$AQ$55,2,FALSE))*IF('18.05'!$AK21="是",'18.05'!$BB$4,'18.05'!$BB$3))</f>
        <v>0</v>
      </c>
      <c r="V21" s="4">
        <f>IF(ISNUMBER(SEARCH("营",'18.05'!AD21)),(-$Y21+50*IF('18.05'!$AK21="是",'18.05'!$BB$4,'18.05'!$BB$3)),(VLOOKUP('18.05'!AD21,'18.05'!$AO$4:$AQ$55,2,FALSE))*IF('18.05'!$AK21="是",'18.05'!$BB$4,'18.05'!$BB$3))</f>
        <v>0</v>
      </c>
      <c r="W21" s="4">
        <f>IF(ISNUMBER(SEARCH("营",'18.05'!AE21)),(-$Y21+50*IF('18.05'!$AK21="是",'18.05'!$BB$4,'18.05'!$BB$3)),(VLOOKUP('18.05'!AE21,'18.05'!$AO$4:$AQ$55,2,FALSE))*IF('18.05'!$AK21="是",'18.05'!$BB$4,'18.05'!$BB$3))</f>
        <v>0</v>
      </c>
      <c r="X21" s="4">
        <f>IF(ISNUMBER(SEARCH("营",'18.05'!AF21)),(-$Y21+50*IF('18.05'!$AK21="是",'18.05'!$BB$4,'18.05'!$BB$3)),(VLOOKUP('18.05'!AF21,'18.05'!$AO$4:$AQ$55,2,FALSE))*IF('18.05'!$AK21="是",'18.05'!$BB$4,'18.05'!$BB$3))</f>
        <v>0</v>
      </c>
      <c r="Y21" s="70">
        <v>250</v>
      </c>
      <c r="Z21" s="84">
        <v>45656</v>
      </c>
    </row>
    <row r="22" spans="1:26">
      <c r="A22" s="4">
        <f>IF(ISNUMBER(SEARCH("营",'18.05'!I22)),(-$Y22+50*IF('18.05'!$AK22="是",'18.05'!$BB$4,'18.05'!$BB$3)),(VLOOKUP('18.05'!I22,'18.05'!$AO$4:$AQ$55,2,FALSE))*IF('18.05'!$AK22="是",'18.05'!$BB$4,'18.05'!$BB$3))</f>
        <v>0</v>
      </c>
      <c r="B22" s="4">
        <f>IF(ISNUMBER(SEARCH("营",'18.05'!J22)),(-$Y22+50*IF('18.05'!$AK22="是",'18.05'!$BB$4,'18.05'!$BB$3)),(VLOOKUP('18.05'!J22,'18.05'!$AO$4:$AQ$55,2,FALSE))*IF('18.05'!$AK22="是",'18.05'!$BB$4,'18.05'!$BB$3))</f>
        <v>0</v>
      </c>
      <c r="C22" s="4">
        <f>IF(ISNUMBER(SEARCH("营",'18.05'!K22)),(-$Y22+50*IF('18.05'!$AK22="是",'18.05'!$BB$4,'18.05'!$BB$3)),(VLOOKUP('18.05'!K22,'18.05'!$AO$4:$AQ$55,2,FALSE))*IF('18.05'!$AK22="是",'18.05'!$BB$4,'18.05'!$BB$3))</f>
        <v>0</v>
      </c>
      <c r="D22" s="4">
        <f>IF(ISNUMBER(SEARCH("营",'18.05'!L22)),(-$Y22+50*IF('18.05'!$AK22="是",'18.05'!$BB$4,'18.05'!$BB$3)),(VLOOKUP('18.05'!L22,'18.05'!$AO$4:$AQ$55,2,FALSE))*IF('18.05'!$AK22="是",'18.05'!$BB$4,'18.05'!$BB$3))</f>
        <v>0</v>
      </c>
      <c r="E22" s="4">
        <f>IF(ISNUMBER(SEARCH("营",'18.05'!M22)),(-$Y22+50*IF('18.05'!$AK22="是",'18.05'!$BB$4,'18.05'!$BB$3)),(VLOOKUP('18.05'!M22,'18.05'!$AO$4:$AQ$55,2,FALSE))*IF('18.05'!$AK22="是",'18.05'!$BB$4,'18.05'!$BB$3))</f>
        <v>0</v>
      </c>
      <c r="F22" s="4">
        <f>IF(ISNUMBER(SEARCH("营",'18.05'!N22)),(-$Y22+50*IF('18.05'!$AK22="是",'18.05'!$BB$4,'18.05'!$BB$3)),(VLOOKUP('18.05'!N22,'18.05'!$AO$4:$AQ$55,2,FALSE))*IF('18.05'!$AK22="是",'18.05'!$BB$4,'18.05'!$BB$3))</f>
        <v>0</v>
      </c>
      <c r="G22" s="4">
        <f>IF(ISNUMBER(SEARCH("营",'18.05'!O22)),(-$Y22+50*IF('18.05'!$AK22="是",'18.05'!$BB$4,'18.05'!$BB$3)),(VLOOKUP('18.05'!O22,'18.05'!$AO$4:$AQ$55,2,FALSE))*IF('18.05'!$AK22="是",'18.05'!$BB$4,'18.05'!$BB$3))</f>
        <v>0</v>
      </c>
      <c r="H22" s="4">
        <f>IF(ISNUMBER(SEARCH("营",'18.05'!P22)),(-$Y22+50*IF('18.05'!$AK22="是",'18.05'!$BB$4,'18.05'!$BB$3)),(VLOOKUP('18.05'!P22,'18.05'!$AO$4:$AQ$55,2,FALSE))*IF('18.05'!$AK22="是",'18.05'!$BB$4,'18.05'!$BB$3))</f>
        <v>0</v>
      </c>
      <c r="I22" s="4">
        <f>IF(ISNUMBER(SEARCH("营",'18.05'!Q22)),(-$Y22+50*IF('18.05'!$AK22="是",'18.05'!$BB$4,'18.05'!$BB$3)),(VLOOKUP('18.05'!Q22,'18.05'!$AO$4:$AQ$55,2,FALSE))*IF('18.05'!$AK22="是",'18.05'!$BB$4,'18.05'!$BB$3))</f>
        <v>152</v>
      </c>
      <c r="J22" s="4">
        <f>IF(ISNUMBER(SEARCH("营",'18.05'!R22)),(-$Y22+50*IF('18.05'!$AK22="是",'18.05'!$BB$4,'18.05'!$BB$3)),(VLOOKUP('18.05'!R22,'18.05'!$AO$4:$AQ$55,2,FALSE))*IF('18.05'!$AK22="是",'18.05'!$BB$4,'18.05'!$BB$3))</f>
        <v>152</v>
      </c>
      <c r="K22" s="4">
        <f>IF(ISNUMBER(SEARCH("营",'18.05'!S22)),(-$Y22+50*IF('18.05'!$AK22="是",'18.05'!$BB$4,'18.05'!$BB$3)),(VLOOKUP('18.05'!S22,'18.05'!$AO$4:$AQ$55,2,FALSE))*IF('18.05'!$AK22="是",'18.05'!$BB$4,'18.05'!$BB$3))</f>
        <v>152</v>
      </c>
      <c r="L22" s="4">
        <f>IF(ISNUMBER(SEARCH("营",'18.05'!T22)),(-$Y22+50*IF('18.05'!$AK22="是",'18.05'!$BB$4,'18.05'!$BB$3)),(VLOOKUP('18.05'!T22,'18.05'!$AO$4:$AQ$55,2,FALSE))*IF('18.05'!$AK22="是",'18.05'!$BB$4,'18.05'!$BB$3))</f>
        <v>152</v>
      </c>
      <c r="M22" s="4">
        <f>IF(ISNUMBER(SEARCH("营",'18.05'!U22)),(-$Y22+50*IF('18.05'!$AK22="是",'18.05'!$BB$4,'18.05'!$BB$3)),(VLOOKUP('18.05'!U22,'18.05'!$AO$4:$AQ$55,2,FALSE))*IF('18.05'!$AK22="是",'18.05'!$BB$4,'18.05'!$BB$3))</f>
        <v>-210</v>
      </c>
      <c r="N22" s="4">
        <f>IF(ISNUMBER(SEARCH("营",'18.05'!V22)),(-$Y22+50*IF('18.05'!$AK22="是",'18.05'!$BB$4,'18.05'!$BB$3)),(VLOOKUP('18.05'!V22,'18.05'!$AO$4:$AQ$55,2,FALSE))*IF('18.05'!$AK22="是",'18.05'!$BB$4,'18.05'!$BB$3))</f>
        <v>152</v>
      </c>
      <c r="O22" s="4">
        <f>IF(ISNUMBER(SEARCH("营",'18.05'!W22)),(-$Y22+50*IF('18.05'!$AK22="是",'18.05'!$BB$4,'18.05'!$BB$3)),(VLOOKUP('18.05'!W22,'18.05'!$AO$4:$AQ$55,2,FALSE))*IF('18.05'!$AK22="是",'18.05'!$BB$4,'18.05'!$BB$3))</f>
        <v>152</v>
      </c>
      <c r="P22" s="4">
        <f>IF(ISNUMBER(SEARCH("营",'18.05'!X22)),(-$Y22+50*IF('18.05'!$AK22="是",'18.05'!$BB$4,'18.05'!$BB$3)),(VLOOKUP('18.05'!X22,'18.05'!$AO$4:$AQ$55,2,FALSE))*IF('18.05'!$AK22="是",'18.05'!$BB$4,'18.05'!$BB$3))</f>
        <v>152</v>
      </c>
      <c r="Q22" s="4">
        <f>IF(ISNUMBER(SEARCH("营",'18.05'!Y22)),(-$Y22+50*IF('18.05'!$AK22="是",'18.05'!$BB$4,'18.05'!$BB$3)),(VLOOKUP('18.05'!Y22,'18.05'!$AO$4:$AQ$55,2,FALSE))*IF('18.05'!$AK22="是",'18.05'!$BB$4,'18.05'!$BB$3))</f>
        <v>152</v>
      </c>
      <c r="R22" s="4">
        <f>IF(ISNUMBER(SEARCH("营",'18.05'!Z22)),(-$Y22+50*IF('18.05'!$AK22="是",'18.05'!$BB$4,'18.05'!$BB$3)),(VLOOKUP('18.05'!Z22,'18.05'!$AO$4:$AQ$55,2,FALSE))*IF('18.05'!$AK22="是",'18.05'!$BB$4,'18.05'!$BB$3))</f>
        <v>152</v>
      </c>
      <c r="S22" s="4">
        <f>IF(ISNUMBER(SEARCH("营",'18.05'!AA22)),(-$Y22+50*IF('18.05'!$AK22="是",'18.05'!$BB$4,'18.05'!$BB$3)),(VLOOKUP('18.05'!AA22,'18.05'!$AO$4:$AQ$55,2,FALSE))*IF('18.05'!$AK22="是",'18.05'!$BB$4,'18.05'!$BB$3))</f>
        <v>152</v>
      </c>
      <c r="T22" s="4">
        <f>IF(ISNUMBER(SEARCH("营",'18.05'!AB22)),(-$Y22+50*IF('18.05'!$AK22="是",'18.05'!$BB$4,'18.05'!$BB$3)),(VLOOKUP('18.05'!AB22,'18.05'!$AO$4:$AQ$55,2,FALSE))*IF('18.05'!$AK22="是",'18.05'!$BB$4,'18.05'!$BB$3))</f>
        <v>152</v>
      </c>
      <c r="U22" s="4">
        <f>IF(ISNUMBER(SEARCH("营",'18.05'!AC22)),(-$Y22+50*IF('18.05'!$AK22="是",'18.05'!$BB$4,'18.05'!$BB$3)),(VLOOKUP('18.05'!AC22,'18.05'!$AO$4:$AQ$55,2,FALSE))*IF('18.05'!$AK22="是",'18.05'!$BB$4,'18.05'!$BB$3))</f>
        <v>152</v>
      </c>
      <c r="V22" s="4">
        <f>IF(ISNUMBER(SEARCH("营",'18.05'!AD22)),(-$Y22+50*IF('18.05'!$AK22="是",'18.05'!$BB$4,'18.05'!$BB$3)),(VLOOKUP('18.05'!AD22,'18.05'!$AO$4:$AQ$55,2,FALSE))*IF('18.05'!$AK22="是",'18.05'!$BB$4,'18.05'!$BB$3))</f>
        <v>-210</v>
      </c>
      <c r="W22" s="4">
        <f>IF(ISNUMBER(SEARCH("营",'18.05'!AE22)),(-$Y22+50*IF('18.05'!$AK22="是",'18.05'!$BB$4,'18.05'!$BB$3)),(VLOOKUP('18.05'!AE22,'18.05'!$AO$4:$AQ$55,2,FALSE))*IF('18.05'!$AK22="是",'18.05'!$BB$4,'18.05'!$BB$3))</f>
        <v>0</v>
      </c>
      <c r="X22" s="4">
        <f>IF(ISNUMBER(SEARCH("营",'18.05'!AF22)),(-$Y22+50*IF('18.05'!$AK22="是",'18.05'!$BB$4,'18.05'!$BB$3)),(VLOOKUP('18.05'!AF22,'18.05'!$AO$4:$AQ$55,2,FALSE))*IF('18.05'!$AK22="是",'18.05'!$BB$4,'18.05'!$BB$3))</f>
        <v>0</v>
      </c>
      <c r="Y22" s="70">
        <v>250</v>
      </c>
      <c r="Z22" s="84">
        <v>45657</v>
      </c>
    </row>
    <row r="23" spans="1:26">
      <c r="A23" s="4">
        <f>IF(ISNUMBER(SEARCH("营",'18.05'!I23)),(-$Y23+50*IF('18.05'!$AK23="是",'18.05'!$BB$4,'18.05'!$BB$3)),(VLOOKUP('18.05'!I23,'18.05'!$AO$4:$AQ$55,2,FALSE))*IF('18.05'!$AK23="是",'18.05'!$BB$4,'18.05'!$BB$3))</f>
        <v>160</v>
      </c>
      <c r="B23" s="4">
        <f>IF(ISNUMBER(SEARCH("营",'18.05'!J23)),(-$Y23+50*IF('18.05'!$AK23="是",'18.05'!$BB$4,'18.05'!$BB$3)),(VLOOKUP('18.05'!J23,'18.05'!$AO$4:$AQ$55,2,FALSE))*IF('18.05'!$AK23="是",'18.05'!$BB$4,'18.05'!$BB$3))</f>
        <v>200</v>
      </c>
      <c r="C23" s="4">
        <f>IF(ISNUMBER(SEARCH("营",'18.05'!K23)),(-$Y23+50*IF('18.05'!$AK23="是",'18.05'!$BB$4,'18.05'!$BB$3)),(VLOOKUP('18.05'!K23,'18.05'!$AO$4:$AQ$55,2,FALSE))*IF('18.05'!$AK23="是",'18.05'!$BB$4,'18.05'!$BB$3))</f>
        <v>0</v>
      </c>
      <c r="D23" s="4">
        <f>IF(ISNUMBER(SEARCH("营",'18.05'!L23)),(-$Y23+50*IF('18.05'!$AK23="是",'18.05'!$BB$4,'18.05'!$BB$3)),(VLOOKUP('18.05'!L23,'18.05'!$AO$4:$AQ$55,2,FALSE))*IF('18.05'!$AK23="是",'18.05'!$BB$4,'18.05'!$BB$3))</f>
        <v>0</v>
      </c>
      <c r="E23" s="4">
        <f>IF(ISNUMBER(SEARCH("营",'18.05'!M23)),(-$Y23+50*IF('18.05'!$AK23="是",'18.05'!$BB$4,'18.05'!$BB$3)),(VLOOKUP('18.05'!M23,'18.05'!$AO$4:$AQ$55,2,FALSE))*IF('18.05'!$AK23="是",'18.05'!$BB$4,'18.05'!$BB$3))</f>
        <v>0</v>
      </c>
      <c r="F23" s="4">
        <f>IF(ISNUMBER(SEARCH("营",'18.05'!N23)),(-$Y23+50*IF('18.05'!$AK23="是",'18.05'!$BB$4,'18.05'!$BB$3)),(VLOOKUP('18.05'!N23,'18.05'!$AO$4:$AQ$55,2,FALSE))*IF('18.05'!$AK23="是",'18.05'!$BB$4,'18.05'!$BB$3))</f>
        <v>0</v>
      </c>
      <c r="G23" s="4">
        <f>IF(ISNUMBER(SEARCH("营",'18.05'!O23)),(-$Y23+50*IF('18.05'!$AK23="是",'18.05'!$BB$4,'18.05'!$BB$3)),(VLOOKUP('18.05'!O23,'18.05'!$AO$4:$AQ$55,2,FALSE))*IF('18.05'!$AK23="是",'18.05'!$BB$4,'18.05'!$BB$3))</f>
        <v>0</v>
      </c>
      <c r="H23" s="4">
        <f>IF(ISNUMBER(SEARCH("营",'18.05'!P23)),(-$Y23+50*IF('18.05'!$AK23="是",'18.05'!$BB$4,'18.05'!$BB$3)),(VLOOKUP('18.05'!P23,'18.05'!$AO$4:$AQ$55,2,FALSE))*IF('18.05'!$AK23="是",'18.05'!$BB$4,'18.05'!$BB$3))</f>
        <v>0</v>
      </c>
      <c r="I23" s="4">
        <f>IF(ISNUMBER(SEARCH("营",'18.05'!Q23)),(-$Y23+50*IF('18.05'!$AK23="是",'18.05'!$BB$4,'18.05'!$BB$3)),(VLOOKUP('18.05'!Q23,'18.05'!$AO$4:$AQ$55,2,FALSE))*IF('18.05'!$AK23="是",'18.05'!$BB$4,'18.05'!$BB$3))</f>
        <v>144</v>
      </c>
      <c r="J23" s="4">
        <f>IF(ISNUMBER(SEARCH("营",'18.05'!R23)),(-$Y23+50*IF('18.05'!$AK23="是",'18.05'!$BB$4,'18.05'!$BB$3)),(VLOOKUP('18.05'!R23,'18.05'!$AO$4:$AQ$55,2,FALSE))*IF('18.05'!$AK23="是",'18.05'!$BB$4,'18.05'!$BB$3))</f>
        <v>120</v>
      </c>
      <c r="K23" s="4">
        <f>IF(ISNUMBER(SEARCH("营",'18.05'!S23)),(-$Y23+50*IF('18.05'!$AK23="是",'18.05'!$BB$4,'18.05'!$BB$3)),(VLOOKUP('18.05'!S23,'18.05'!$AO$4:$AQ$55,2,FALSE))*IF('18.05'!$AK23="是",'18.05'!$BB$4,'18.05'!$BB$3))</f>
        <v>144</v>
      </c>
      <c r="L23" s="4">
        <f>IF(ISNUMBER(SEARCH("营",'18.05'!T23)),(-$Y23+50*IF('18.05'!$AK23="是",'18.05'!$BB$4,'18.05'!$BB$3)),(VLOOKUP('18.05'!T23,'18.05'!$AO$4:$AQ$55,2,FALSE))*IF('18.05'!$AK23="是",'18.05'!$BB$4,'18.05'!$BB$3))</f>
        <v>144</v>
      </c>
      <c r="M23" s="4">
        <f>IF(ISNUMBER(SEARCH("营",'18.05'!U23)),(-$Y23+50*IF('18.05'!$AK23="是",'18.05'!$BB$4,'18.05'!$BB$3)),(VLOOKUP('18.05'!U23,'18.05'!$AO$4:$AQ$55,2,FALSE))*IF('18.05'!$AK23="是",'18.05'!$BB$4,'18.05'!$BB$3))</f>
        <v>0</v>
      </c>
      <c r="N23" s="4">
        <f>IF(ISNUMBER(SEARCH("营",'18.05'!V23)),(-$Y23+50*IF('18.05'!$AK23="是",'18.05'!$BB$4,'18.05'!$BB$3)),(VLOOKUP('18.05'!V23,'18.05'!$AO$4:$AQ$55,2,FALSE))*IF('18.05'!$AK23="是",'18.05'!$BB$4,'18.05'!$BB$3))</f>
        <v>0</v>
      </c>
      <c r="O23" s="4">
        <f>IF(ISNUMBER(SEARCH("营",'18.05'!W23)),(-$Y23+50*IF('18.05'!$AK23="是",'18.05'!$BB$4,'18.05'!$BB$3)),(VLOOKUP('18.05'!W23,'18.05'!$AO$4:$AQ$55,2,FALSE))*IF('18.05'!$AK23="是",'18.05'!$BB$4,'18.05'!$BB$3))</f>
        <v>0</v>
      </c>
      <c r="P23" s="4">
        <f>IF(ISNUMBER(SEARCH("营",'18.05'!X23)),(-$Y23+50*IF('18.05'!$AK23="是",'18.05'!$BB$4,'18.05'!$BB$3)),(VLOOKUP('18.05'!X23,'18.05'!$AO$4:$AQ$55,2,FALSE))*IF('18.05'!$AK23="是",'18.05'!$BB$4,'18.05'!$BB$3))</f>
        <v>0</v>
      </c>
      <c r="Q23" s="4">
        <f>IF(ISNUMBER(SEARCH("营",'18.05'!Y23)),(-$Y23+50*IF('18.05'!$AK23="是",'18.05'!$BB$4,'18.05'!$BB$3)),(VLOOKUP('18.05'!Y23,'18.05'!$AO$4:$AQ$55,2,FALSE))*IF('18.05'!$AK23="是",'18.05'!$BB$4,'18.05'!$BB$3))</f>
        <v>128</v>
      </c>
      <c r="R23" s="4">
        <f>IF(ISNUMBER(SEARCH("营",'18.05'!Z23)),(-$Y23+50*IF('18.05'!$AK23="是",'18.05'!$BB$4,'18.05'!$BB$3)),(VLOOKUP('18.05'!Z23,'18.05'!$AO$4:$AQ$55,2,FALSE))*IF('18.05'!$AK23="是",'18.05'!$BB$4,'18.05'!$BB$3))</f>
        <v>128</v>
      </c>
      <c r="S23" s="4">
        <f>IF(ISNUMBER(SEARCH("营",'18.05'!AA23)),(-$Y23+50*IF('18.05'!$AK23="是",'18.05'!$BB$4,'18.05'!$BB$3)),(VLOOKUP('18.05'!AA23,'18.05'!$AO$4:$AQ$55,2,FALSE))*IF('18.05'!$AK23="是",'18.05'!$BB$4,'18.05'!$BB$3))</f>
        <v>120</v>
      </c>
      <c r="T23" s="4">
        <f>IF(ISNUMBER(SEARCH("营",'18.05'!AB23)),(-$Y23+50*IF('18.05'!$AK23="是",'18.05'!$BB$4,'18.05'!$BB$3)),(VLOOKUP('18.05'!AB23,'18.05'!$AO$4:$AQ$55,2,FALSE))*IF('18.05'!$AK23="是",'18.05'!$BB$4,'18.05'!$BB$3))</f>
        <v>120</v>
      </c>
      <c r="U23" s="4">
        <f>IF(ISNUMBER(SEARCH("营",'18.05'!AC23)),(-$Y23+50*IF('18.05'!$AK23="是",'18.05'!$BB$4,'18.05'!$BB$3)),(VLOOKUP('18.05'!AC23,'18.05'!$AO$4:$AQ$55,2,FALSE))*IF('18.05'!$AK23="是",'18.05'!$BB$4,'18.05'!$BB$3))</f>
        <v>40</v>
      </c>
      <c r="V23" s="4">
        <f>IF(ISNUMBER(SEARCH("营",'18.05'!AD23)),(-$Y23+50*IF('18.05'!$AK23="是",'18.05'!$BB$4,'18.05'!$BB$3)),(VLOOKUP('18.05'!AD23,'18.05'!$AO$4:$AQ$55,2,FALSE))*IF('18.05'!$AK23="是",'18.05'!$BB$4,'18.05'!$BB$3))</f>
        <v>120</v>
      </c>
      <c r="W23" s="4">
        <f>IF(ISNUMBER(SEARCH("营",'18.05'!AE23)),(-$Y23+50*IF('18.05'!$AK23="是",'18.05'!$BB$4,'18.05'!$BB$3)),(VLOOKUP('18.05'!AE23,'18.05'!$AO$4:$AQ$55,2,FALSE))*IF('18.05'!$AK23="是",'18.05'!$BB$4,'18.05'!$BB$3))</f>
        <v>120</v>
      </c>
      <c r="X23" s="4">
        <f>IF(ISNUMBER(SEARCH("营",'18.05'!AF23)),(-$Y23+50*IF('18.05'!$AK23="是",'18.05'!$BB$4,'18.05'!$BB$3)),(VLOOKUP('18.05'!AF23,'18.05'!$AO$4:$AQ$55,2,FALSE))*IF('18.05'!$AK23="是",'18.05'!$BB$4,'18.05'!$BB$3))</f>
        <v>120</v>
      </c>
      <c r="Y23" s="70">
        <v>250</v>
      </c>
      <c r="Z23" s="84">
        <v>45658</v>
      </c>
    </row>
    <row r="24" spans="1:26">
      <c r="A24" s="4">
        <f>IF(ISNUMBER(SEARCH("营",'18.05'!I24)),(-$Y24+50*IF('18.05'!$AK24="是",'18.05'!$BB$4,'18.05'!$BB$3)),(VLOOKUP('18.05'!I24,'18.05'!$AO$4:$AQ$55,2,FALSE))*IF('18.05'!$AK24="是",'18.05'!$BB$4,'18.05'!$BB$3))</f>
        <v>0</v>
      </c>
      <c r="B24" s="4">
        <f>IF(ISNUMBER(SEARCH("营",'18.05'!J24)),(-$Y24+50*IF('18.05'!$AK24="是",'18.05'!$BB$4,'18.05'!$BB$3)),(VLOOKUP('18.05'!J24,'18.05'!$AO$4:$AQ$55,2,FALSE))*IF('18.05'!$AK24="是",'18.05'!$BB$4,'18.05'!$BB$3))</f>
        <v>0</v>
      </c>
      <c r="C24" s="4">
        <f>IF(ISNUMBER(SEARCH("营",'18.05'!K24)),(-$Y24+50*IF('18.05'!$AK24="是",'18.05'!$BB$4,'18.05'!$BB$3)),(VLOOKUP('18.05'!K24,'18.05'!$AO$4:$AQ$55,2,FALSE))*IF('18.05'!$AK24="是",'18.05'!$BB$4,'18.05'!$BB$3))</f>
        <v>0</v>
      </c>
      <c r="D24" s="4">
        <f>IF(ISNUMBER(SEARCH("营",'18.05'!L24)),(-$Y24+50*IF('18.05'!$AK24="是",'18.05'!$BB$4,'18.05'!$BB$3)),(VLOOKUP('18.05'!L24,'18.05'!$AO$4:$AQ$55,2,FALSE))*IF('18.05'!$AK24="是",'18.05'!$BB$4,'18.05'!$BB$3))</f>
        <v>0</v>
      </c>
      <c r="E24" s="4">
        <f>IF(ISNUMBER(SEARCH("营",'18.05'!M24)),(-$Y24+50*IF('18.05'!$AK24="是",'18.05'!$BB$4,'18.05'!$BB$3)),(VLOOKUP('18.05'!M24,'18.05'!$AO$4:$AQ$55,2,FALSE))*IF('18.05'!$AK24="是",'18.05'!$BB$4,'18.05'!$BB$3))</f>
        <v>0</v>
      </c>
      <c r="F24" s="4">
        <f>IF(ISNUMBER(SEARCH("营",'18.05'!N24)),(-$Y24+50*IF('18.05'!$AK24="是",'18.05'!$BB$4,'18.05'!$BB$3)),(VLOOKUP('18.05'!N24,'18.05'!$AO$4:$AQ$55,2,FALSE))*IF('18.05'!$AK24="是",'18.05'!$BB$4,'18.05'!$BB$3))</f>
        <v>0</v>
      </c>
      <c r="G24" s="4">
        <f>IF(ISNUMBER(SEARCH("营",'18.05'!O24)),(-$Y24+50*IF('18.05'!$AK24="是",'18.05'!$BB$4,'18.05'!$BB$3)),(VLOOKUP('18.05'!O24,'18.05'!$AO$4:$AQ$55,2,FALSE))*IF('18.05'!$AK24="是",'18.05'!$BB$4,'18.05'!$BB$3))</f>
        <v>0</v>
      </c>
      <c r="H24" s="4">
        <f>IF(ISNUMBER(SEARCH("营",'18.05'!P24)),(-$Y24+50*IF('18.05'!$AK24="是",'18.05'!$BB$4,'18.05'!$BB$3)),(VLOOKUP('18.05'!P24,'18.05'!$AO$4:$AQ$55,2,FALSE))*IF('18.05'!$AK24="是",'18.05'!$BB$4,'18.05'!$BB$3))</f>
        <v>0</v>
      </c>
      <c r="I24" s="4">
        <f>IF(ISNUMBER(SEARCH("营",'18.05'!Q24)),(-$Y24+50*IF('18.05'!$AK24="是",'18.05'!$BB$4,'18.05'!$BB$3)),(VLOOKUP('18.05'!Q24,'18.05'!$AO$4:$AQ$55,2,FALSE))*IF('18.05'!$AK24="是",'18.05'!$BB$4,'18.05'!$BB$3))</f>
        <v>144</v>
      </c>
      <c r="J24" s="4">
        <f>IF(ISNUMBER(SEARCH("营",'18.05'!R24)),(-$Y24+50*IF('18.05'!$AK24="是",'18.05'!$BB$4,'18.05'!$BB$3)),(VLOOKUP('18.05'!R24,'18.05'!$AO$4:$AQ$55,2,FALSE))*IF('18.05'!$AK24="是",'18.05'!$BB$4,'18.05'!$BB$3))</f>
        <v>144</v>
      </c>
      <c r="K24" s="4">
        <f>IF(ISNUMBER(SEARCH("营",'18.05'!S24)),(-$Y24+50*IF('18.05'!$AK24="是",'18.05'!$BB$4,'18.05'!$BB$3)),(VLOOKUP('18.05'!S24,'18.05'!$AO$4:$AQ$55,2,FALSE))*IF('18.05'!$AK24="是",'18.05'!$BB$4,'18.05'!$BB$3))</f>
        <v>144</v>
      </c>
      <c r="L24" s="4">
        <f>IF(ISNUMBER(SEARCH("营",'18.05'!T24)),(-$Y24+50*IF('18.05'!$AK24="是",'18.05'!$BB$4,'18.05'!$BB$3)),(VLOOKUP('18.05'!T24,'18.05'!$AO$4:$AQ$55,2,FALSE))*IF('18.05'!$AK24="是",'18.05'!$BB$4,'18.05'!$BB$3))</f>
        <v>144</v>
      </c>
      <c r="M24" s="4">
        <f>IF(ISNUMBER(SEARCH("营",'18.05'!U24)),(-$Y24+50*IF('18.05'!$AK24="是",'18.05'!$BB$4,'18.05'!$BB$3)),(VLOOKUP('18.05'!U24,'18.05'!$AO$4:$AQ$55,2,FALSE))*IF('18.05'!$AK24="是",'18.05'!$BB$4,'18.05'!$BB$3))</f>
        <v>144</v>
      </c>
      <c r="N24" s="4">
        <f>IF(ISNUMBER(SEARCH("营",'18.05'!V24)),(-$Y24+50*IF('18.05'!$AK24="是",'18.05'!$BB$4,'18.05'!$BB$3)),(VLOOKUP('18.05'!V24,'18.05'!$AO$4:$AQ$55,2,FALSE))*IF('18.05'!$AK24="是",'18.05'!$BB$4,'18.05'!$BB$3))</f>
        <v>144</v>
      </c>
      <c r="O24" s="4">
        <f>IF(ISNUMBER(SEARCH("营",'18.05'!W24)),(-$Y24+50*IF('18.05'!$AK24="是",'18.05'!$BB$4,'18.05'!$BB$3)),(VLOOKUP('18.05'!W24,'18.05'!$AO$4:$AQ$55,2,FALSE))*IF('18.05'!$AK24="是",'18.05'!$BB$4,'18.05'!$BB$3))</f>
        <v>144</v>
      </c>
      <c r="P24" s="4">
        <f>IF(ISNUMBER(SEARCH("营",'18.05'!X24)),(-$Y24+50*IF('18.05'!$AK24="是",'18.05'!$BB$4,'18.05'!$BB$3)),(VLOOKUP('18.05'!X24,'18.05'!$AO$4:$AQ$55,2,FALSE))*IF('18.05'!$AK24="是",'18.05'!$BB$4,'18.05'!$BB$3))</f>
        <v>-210</v>
      </c>
      <c r="Q24" s="4">
        <f>IF(ISNUMBER(SEARCH("营",'18.05'!Y24)),(-$Y24+50*IF('18.05'!$AK24="是",'18.05'!$BB$4,'18.05'!$BB$3)),(VLOOKUP('18.05'!Y24,'18.05'!$AO$4:$AQ$55,2,FALSE))*IF('18.05'!$AK24="是",'18.05'!$BB$4,'18.05'!$BB$3))</f>
        <v>120</v>
      </c>
      <c r="R24" s="4">
        <f>IF(ISNUMBER(SEARCH("营",'18.05'!Z24)),(-$Y24+50*IF('18.05'!$AK24="是",'18.05'!$BB$4,'18.05'!$BB$3)),(VLOOKUP('18.05'!Z24,'18.05'!$AO$4:$AQ$55,2,FALSE))*IF('18.05'!$AK24="是",'18.05'!$BB$4,'18.05'!$BB$3))</f>
        <v>120</v>
      </c>
      <c r="S24" s="4">
        <f>IF(ISNUMBER(SEARCH("营",'18.05'!AA24)),(-$Y24+50*IF('18.05'!$AK24="是",'18.05'!$BB$4,'18.05'!$BB$3)),(VLOOKUP('18.05'!AA24,'18.05'!$AO$4:$AQ$55,2,FALSE))*IF('18.05'!$AK24="是",'18.05'!$BB$4,'18.05'!$BB$3))</f>
        <v>120</v>
      </c>
      <c r="T24" s="4">
        <f>IF(ISNUMBER(SEARCH("营",'18.05'!AB24)),(-$Y24+50*IF('18.05'!$AK24="是",'18.05'!$BB$4,'18.05'!$BB$3)),(VLOOKUP('18.05'!AB24,'18.05'!$AO$4:$AQ$55,2,FALSE))*IF('18.05'!$AK24="是",'18.05'!$BB$4,'18.05'!$BB$3))</f>
        <v>40</v>
      </c>
      <c r="U24" s="4">
        <f>IF(ISNUMBER(SEARCH("营",'18.05'!AC24)),(-$Y24+50*IF('18.05'!$AK24="是",'18.05'!$BB$4,'18.05'!$BB$3)),(VLOOKUP('18.05'!AC24,'18.05'!$AO$4:$AQ$55,2,FALSE))*IF('18.05'!$AK24="是",'18.05'!$BB$4,'18.05'!$BB$3))</f>
        <v>128</v>
      </c>
      <c r="V24" s="4">
        <f>IF(ISNUMBER(SEARCH("营",'18.05'!AD24)),(-$Y24+50*IF('18.05'!$AK24="是",'18.05'!$BB$4,'18.05'!$BB$3)),(VLOOKUP('18.05'!AD24,'18.05'!$AO$4:$AQ$55,2,FALSE))*IF('18.05'!$AK24="是",'18.05'!$BB$4,'18.05'!$BB$3))</f>
        <v>128</v>
      </c>
      <c r="W24" s="4">
        <f>IF(ISNUMBER(SEARCH("营",'18.05'!AE24)),(-$Y24+50*IF('18.05'!$AK24="是",'18.05'!$BB$4,'18.05'!$BB$3)),(VLOOKUP('18.05'!AE24,'18.05'!$AO$4:$AQ$55,2,FALSE))*IF('18.05'!$AK24="是",'18.05'!$BB$4,'18.05'!$BB$3))</f>
        <v>128</v>
      </c>
      <c r="X24" s="4">
        <f>IF(ISNUMBER(SEARCH("营",'18.05'!AF24)),(-$Y24+50*IF('18.05'!$AK24="是",'18.05'!$BB$4,'18.05'!$BB$3)),(VLOOKUP('18.05'!AF24,'18.05'!$AO$4:$AQ$55,2,FALSE))*IF('18.05'!$AK24="是",'18.05'!$BB$4,'18.05'!$BB$3))</f>
        <v>-210</v>
      </c>
      <c r="Y24" s="70">
        <v>250</v>
      </c>
      <c r="Z24" s="84">
        <v>45659</v>
      </c>
    </row>
    <row r="25" spans="1:26">
      <c r="A25" s="4">
        <f>IF(ISNUMBER(SEARCH("营",'18.05'!I25)),(-$Y25+50*IF('18.05'!$AK25="是",'18.05'!$BB$4,'18.05'!$BB$3)),(VLOOKUP('18.05'!I25,'18.05'!$AO$4:$AQ$55,2,FALSE))*IF('18.05'!$AK25="是",'18.05'!$BB$4,'18.05'!$BB$3))</f>
        <v>160</v>
      </c>
      <c r="B25" s="4">
        <f>IF(ISNUMBER(SEARCH("营",'18.05'!J25)),(-$Y25+50*IF('18.05'!$AK25="是",'18.05'!$BB$4,'18.05'!$BB$3)),(VLOOKUP('18.05'!J25,'18.05'!$AO$4:$AQ$55,2,FALSE))*IF('18.05'!$AK25="是",'18.05'!$BB$4,'18.05'!$BB$3))</f>
        <v>160</v>
      </c>
      <c r="C25" s="4">
        <f>IF(ISNUMBER(SEARCH("营",'18.05'!K25)),(-$Y25+50*IF('18.05'!$AK25="是",'18.05'!$BB$4,'18.05'!$BB$3)),(VLOOKUP('18.05'!K25,'18.05'!$AO$4:$AQ$55,2,FALSE))*IF('18.05'!$AK25="是",'18.05'!$BB$4,'18.05'!$BB$3))</f>
        <v>160</v>
      </c>
      <c r="D25" s="4">
        <f>IF(ISNUMBER(SEARCH("营",'18.05'!L25)),(-$Y25+50*IF('18.05'!$AK25="是",'18.05'!$BB$4,'18.05'!$BB$3)),(VLOOKUP('18.05'!L25,'18.05'!$AO$4:$AQ$55,2,FALSE))*IF('18.05'!$AK25="是",'18.05'!$BB$4,'18.05'!$BB$3))</f>
        <v>160</v>
      </c>
      <c r="E25" s="4">
        <f>IF(ISNUMBER(SEARCH("营",'18.05'!M25)),(-$Y25+50*IF('18.05'!$AK25="是",'18.05'!$BB$4,'18.05'!$BB$3)),(VLOOKUP('18.05'!M25,'18.05'!$AO$4:$AQ$55,2,FALSE))*IF('18.05'!$AK25="是",'18.05'!$BB$4,'18.05'!$BB$3))</f>
        <v>160</v>
      </c>
      <c r="F25" s="4">
        <f>IF(ISNUMBER(SEARCH("营",'18.05'!N25)),(-$Y25+50*IF('18.05'!$AK25="是",'18.05'!$BB$4,'18.05'!$BB$3)),(VLOOKUP('18.05'!N25,'18.05'!$AO$4:$AQ$55,2,FALSE))*IF('18.05'!$AK25="是",'18.05'!$BB$4,'18.05'!$BB$3))</f>
        <v>160</v>
      </c>
      <c r="G25" s="4">
        <f>IF(ISNUMBER(SEARCH("营",'18.05'!O25)),(-$Y25+50*IF('18.05'!$AK25="是",'18.05'!$BB$4,'18.05'!$BB$3)),(VLOOKUP('18.05'!O25,'18.05'!$AO$4:$AQ$55,2,FALSE))*IF('18.05'!$AK25="是",'18.05'!$BB$4,'18.05'!$BB$3))</f>
        <v>0</v>
      </c>
      <c r="H25" s="4">
        <f>IF(ISNUMBER(SEARCH("营",'18.05'!P25)),(-$Y25+50*IF('18.05'!$AK25="是",'18.05'!$BB$4,'18.05'!$BB$3)),(VLOOKUP('18.05'!P25,'18.05'!$AO$4:$AQ$55,2,FALSE))*IF('18.05'!$AK25="是",'18.05'!$BB$4,'18.05'!$BB$3))</f>
        <v>0</v>
      </c>
      <c r="I25" s="4">
        <f>IF(ISNUMBER(SEARCH("营",'18.05'!Q25)),(-$Y25+50*IF('18.05'!$AK25="是",'18.05'!$BB$4,'18.05'!$BB$3)),(VLOOKUP('18.05'!Q25,'18.05'!$AO$4:$AQ$55,2,FALSE))*IF('18.05'!$AK25="是",'18.05'!$BB$4,'18.05'!$BB$3))</f>
        <v>144</v>
      </c>
      <c r="J25" s="4">
        <f>IF(ISNUMBER(SEARCH("营",'18.05'!R25)),(-$Y25+50*IF('18.05'!$AK25="是",'18.05'!$BB$4,'18.05'!$BB$3)),(VLOOKUP('18.05'!R25,'18.05'!$AO$4:$AQ$55,2,FALSE))*IF('18.05'!$AK25="是",'18.05'!$BB$4,'18.05'!$BB$3))</f>
        <v>144</v>
      </c>
      <c r="K25" s="4">
        <f>IF(ISNUMBER(SEARCH("营",'18.05'!S25)),(-$Y25+50*IF('18.05'!$AK25="是",'18.05'!$BB$4,'18.05'!$BB$3)),(VLOOKUP('18.05'!S25,'18.05'!$AO$4:$AQ$55,2,FALSE))*IF('18.05'!$AK25="是",'18.05'!$BB$4,'18.05'!$BB$3))</f>
        <v>144</v>
      </c>
      <c r="L25" s="4">
        <f>IF(ISNUMBER(SEARCH("营",'18.05'!T25)),(-$Y25+50*IF('18.05'!$AK25="是",'18.05'!$BB$4,'18.05'!$BB$3)),(VLOOKUP('18.05'!T25,'18.05'!$AO$4:$AQ$55,2,FALSE))*IF('18.05'!$AK25="是",'18.05'!$BB$4,'18.05'!$BB$3))</f>
        <v>144</v>
      </c>
      <c r="M25" s="4">
        <f>IF(ISNUMBER(SEARCH("营",'18.05'!U25)),(-$Y25+50*IF('18.05'!$AK25="是",'18.05'!$BB$4,'18.05'!$BB$3)),(VLOOKUP('18.05'!U25,'18.05'!$AO$4:$AQ$55,2,FALSE))*IF('18.05'!$AK25="是",'18.05'!$BB$4,'18.05'!$BB$3))</f>
        <v>144</v>
      </c>
      <c r="N25" s="4">
        <f>IF(ISNUMBER(SEARCH("营",'18.05'!V25)),(-$Y25+50*IF('18.05'!$AK25="是",'18.05'!$BB$4,'18.05'!$BB$3)),(VLOOKUP('18.05'!V25,'18.05'!$AO$4:$AQ$55,2,FALSE))*IF('18.05'!$AK25="是",'18.05'!$BB$4,'18.05'!$BB$3))</f>
        <v>144</v>
      </c>
      <c r="O25" s="4">
        <f>IF(ISNUMBER(SEARCH("营",'18.05'!W25)),(-$Y25+50*IF('18.05'!$AK25="是",'18.05'!$BB$4,'18.05'!$BB$3)),(VLOOKUP('18.05'!W25,'18.05'!$AO$4:$AQ$55,2,FALSE))*IF('18.05'!$AK25="是",'18.05'!$BB$4,'18.05'!$BB$3))</f>
        <v>0</v>
      </c>
      <c r="P25" s="4">
        <f>IF(ISNUMBER(SEARCH("营",'18.05'!X25)),(-$Y25+50*IF('18.05'!$AK25="是",'18.05'!$BB$4,'18.05'!$BB$3)),(VLOOKUP('18.05'!X25,'18.05'!$AO$4:$AQ$55,2,FALSE))*IF('18.05'!$AK25="是",'18.05'!$BB$4,'18.05'!$BB$3))</f>
        <v>0</v>
      </c>
      <c r="Q25" s="4">
        <f>IF(ISNUMBER(SEARCH("营",'18.05'!Y25)),(-$Y25+50*IF('18.05'!$AK25="是",'18.05'!$BB$4,'18.05'!$BB$3)),(VLOOKUP('18.05'!Y25,'18.05'!$AO$4:$AQ$55,2,FALSE))*IF('18.05'!$AK25="是",'18.05'!$BB$4,'18.05'!$BB$3))</f>
        <v>0</v>
      </c>
      <c r="R25" s="4">
        <f>IF(ISNUMBER(SEARCH("营",'18.05'!Z25)),(-$Y25+50*IF('18.05'!$AK25="是",'18.05'!$BB$4,'18.05'!$BB$3)),(VLOOKUP('18.05'!Z25,'18.05'!$AO$4:$AQ$55,2,FALSE))*IF('18.05'!$AK25="是",'18.05'!$BB$4,'18.05'!$BB$3))</f>
        <v>0</v>
      </c>
      <c r="S25" s="4">
        <f>IF(ISNUMBER(SEARCH("营",'18.05'!AA25)),(-$Y25+50*IF('18.05'!$AK25="是",'18.05'!$BB$4,'18.05'!$BB$3)),(VLOOKUP('18.05'!AA25,'18.05'!$AO$4:$AQ$55,2,FALSE))*IF('18.05'!$AK25="是",'18.05'!$BB$4,'18.05'!$BB$3))</f>
        <v>0</v>
      </c>
      <c r="T25" s="4">
        <f>IF(ISNUMBER(SEARCH("营",'18.05'!AB25)),(-$Y25+50*IF('18.05'!$AK25="是",'18.05'!$BB$4,'18.05'!$BB$3)),(VLOOKUP('18.05'!AB25,'18.05'!$AO$4:$AQ$55,2,FALSE))*IF('18.05'!$AK25="是",'18.05'!$BB$4,'18.05'!$BB$3))</f>
        <v>0</v>
      </c>
      <c r="U25" s="4">
        <f>IF(ISNUMBER(SEARCH("营",'18.05'!AC25)),(-$Y25+50*IF('18.05'!$AK25="是",'18.05'!$BB$4,'18.05'!$BB$3)),(VLOOKUP('18.05'!AC25,'18.05'!$AO$4:$AQ$55,2,FALSE))*IF('18.05'!$AK25="是",'18.05'!$BB$4,'18.05'!$BB$3))</f>
        <v>0</v>
      </c>
      <c r="V25" s="4">
        <f>IF(ISNUMBER(SEARCH("营",'18.05'!AD25)),(-$Y25+50*IF('18.05'!$AK25="是",'18.05'!$BB$4,'18.05'!$BB$3)),(VLOOKUP('18.05'!AD25,'18.05'!$AO$4:$AQ$55,2,FALSE))*IF('18.05'!$AK25="是",'18.05'!$BB$4,'18.05'!$BB$3))</f>
        <v>0</v>
      </c>
      <c r="W25" s="4">
        <f>IF(ISNUMBER(SEARCH("营",'18.05'!AE25)),(-$Y25+50*IF('18.05'!$AK25="是",'18.05'!$BB$4,'18.05'!$BB$3)),(VLOOKUP('18.05'!AE25,'18.05'!$AO$4:$AQ$55,2,FALSE))*IF('18.05'!$AK25="是",'18.05'!$BB$4,'18.05'!$BB$3))</f>
        <v>0</v>
      </c>
      <c r="X25" s="4">
        <f>IF(ISNUMBER(SEARCH("营",'18.05'!AF25)),(-$Y25+50*IF('18.05'!$AK25="是",'18.05'!$BB$4,'18.05'!$BB$3)),(VLOOKUP('18.05'!AF25,'18.05'!$AO$4:$AQ$55,2,FALSE))*IF('18.05'!$AK25="是",'18.05'!$BB$4,'18.05'!$BB$3))</f>
        <v>0</v>
      </c>
      <c r="Y25" s="69">
        <v>200</v>
      </c>
      <c r="Z25" s="75">
        <v>45660</v>
      </c>
    </row>
    <row r="26" spans="1:26">
      <c r="A26" s="4">
        <f>IF(ISNUMBER(SEARCH("营",'18.05'!I26)),(-$Y26+50*IF('18.05'!$AK26="是",'18.05'!$BB$4,'18.05'!$BB$3)),(VLOOKUP('18.05'!I26,'18.05'!$AO$4:$AQ$55,2,FALSE))*IF('18.05'!$AK26="是",'18.05'!$BB$4,'18.05'!$BB$3))</f>
        <v>0</v>
      </c>
      <c r="B26" s="4">
        <f>IF(ISNUMBER(SEARCH("营",'18.05'!J26)),(-$Y26+50*IF('18.05'!$AK26="是",'18.05'!$BB$4,'18.05'!$BB$3)),(VLOOKUP('18.05'!J26,'18.05'!$AO$4:$AQ$55,2,FALSE))*IF('18.05'!$AK26="是",'18.05'!$BB$4,'18.05'!$BB$3))</f>
        <v>0</v>
      </c>
      <c r="C26" s="4">
        <f>IF(ISNUMBER(SEARCH("营",'18.05'!K26)),(-$Y26+50*IF('18.05'!$AK26="是",'18.05'!$BB$4,'18.05'!$BB$3)),(VLOOKUP('18.05'!K26,'18.05'!$AO$4:$AQ$55,2,FALSE))*IF('18.05'!$AK26="是",'18.05'!$BB$4,'18.05'!$BB$3))</f>
        <v>0</v>
      </c>
      <c r="D26" s="4">
        <f>IF(ISNUMBER(SEARCH("营",'18.05'!L26)),(-$Y26+50*IF('18.05'!$AK26="是",'18.05'!$BB$4,'18.05'!$BB$3)),(VLOOKUP('18.05'!L26,'18.05'!$AO$4:$AQ$55,2,FALSE))*IF('18.05'!$AK26="是",'18.05'!$BB$4,'18.05'!$BB$3))</f>
        <v>0</v>
      </c>
      <c r="E26" s="4">
        <f>IF(ISNUMBER(SEARCH("营",'18.05'!M26)),(-$Y26+50*IF('18.05'!$AK26="是",'18.05'!$BB$4,'18.05'!$BB$3)),(VLOOKUP('18.05'!M26,'18.05'!$AO$4:$AQ$55,2,FALSE))*IF('18.05'!$AK26="是",'18.05'!$BB$4,'18.05'!$BB$3))</f>
        <v>0</v>
      </c>
      <c r="F26" s="4">
        <f>IF(ISNUMBER(SEARCH("营",'18.05'!N26)),(-$Y26+50*IF('18.05'!$AK26="是",'18.05'!$BB$4,'18.05'!$BB$3)),(VLOOKUP('18.05'!N26,'18.05'!$AO$4:$AQ$55,2,FALSE))*IF('18.05'!$AK26="是",'18.05'!$BB$4,'18.05'!$BB$3))</f>
        <v>0</v>
      </c>
      <c r="G26" s="4">
        <f>IF(ISNUMBER(SEARCH("营",'18.05'!O26)),(-$Y26+50*IF('18.05'!$AK26="是",'18.05'!$BB$4,'18.05'!$BB$3)),(VLOOKUP('18.05'!O26,'18.05'!$AO$4:$AQ$55,2,FALSE))*IF('18.05'!$AK26="是",'18.05'!$BB$4,'18.05'!$BB$3))</f>
        <v>0</v>
      </c>
      <c r="H26" s="4">
        <f>IF(ISNUMBER(SEARCH("营",'18.05'!P26)),(-$Y26+50*IF('18.05'!$AK26="是",'18.05'!$BB$4,'18.05'!$BB$3)),(VLOOKUP('18.05'!P26,'18.05'!$AO$4:$AQ$55,2,FALSE))*IF('18.05'!$AK26="是",'18.05'!$BB$4,'18.05'!$BB$3))</f>
        <v>0</v>
      </c>
      <c r="I26" s="4">
        <f>IF(ISNUMBER(SEARCH("营",'18.05'!Q26)),(-$Y26+50*IF('18.05'!$AK26="是",'18.05'!$BB$4,'18.05'!$BB$3)),(VLOOKUP('18.05'!Q26,'18.05'!$AO$4:$AQ$55,2,FALSE))*IF('18.05'!$AK26="是",'18.05'!$BB$4,'18.05'!$BB$3))</f>
        <v>144</v>
      </c>
      <c r="J26" s="4">
        <f>IF(ISNUMBER(SEARCH("营",'18.05'!R26)),(-$Y26+50*IF('18.05'!$AK26="是",'18.05'!$BB$4,'18.05'!$BB$3)),(VLOOKUP('18.05'!R26,'18.05'!$AO$4:$AQ$55,2,FALSE))*IF('18.05'!$AK26="是",'18.05'!$BB$4,'18.05'!$BB$3))</f>
        <v>144</v>
      </c>
      <c r="K26" s="4">
        <f>IF(ISNUMBER(SEARCH("营",'18.05'!S26)),(-$Y26+50*IF('18.05'!$AK26="是",'18.05'!$BB$4,'18.05'!$BB$3)),(VLOOKUP('18.05'!S26,'18.05'!$AO$4:$AQ$55,2,FALSE))*IF('18.05'!$AK26="是",'18.05'!$BB$4,'18.05'!$BB$3))</f>
        <v>144</v>
      </c>
      <c r="L26" s="4">
        <f>IF(ISNUMBER(SEARCH("营",'18.05'!T26)),(-$Y26+50*IF('18.05'!$AK26="是",'18.05'!$BB$4,'18.05'!$BB$3)),(VLOOKUP('18.05'!T26,'18.05'!$AO$4:$AQ$55,2,FALSE))*IF('18.05'!$AK26="是",'18.05'!$BB$4,'18.05'!$BB$3))</f>
        <v>144</v>
      </c>
      <c r="M26" s="4">
        <f>IF(ISNUMBER(SEARCH("营",'18.05'!U26)),(-$Y26+50*IF('18.05'!$AK26="是",'18.05'!$BB$4,'18.05'!$BB$3)),(VLOOKUP('18.05'!U26,'18.05'!$AO$4:$AQ$55,2,FALSE))*IF('18.05'!$AK26="是",'18.05'!$BB$4,'18.05'!$BB$3))</f>
        <v>144</v>
      </c>
      <c r="N26" s="4">
        <f>IF(ISNUMBER(SEARCH("营",'18.05'!V26)),(-$Y26+50*IF('18.05'!$AK26="是",'18.05'!$BB$4,'18.05'!$BB$3)),(VLOOKUP('18.05'!V26,'18.05'!$AO$4:$AQ$55,2,FALSE))*IF('18.05'!$AK26="是",'18.05'!$BB$4,'18.05'!$BB$3))</f>
        <v>144</v>
      </c>
      <c r="O26" s="4">
        <f>IF(ISNUMBER(SEARCH("营",'18.05'!W26)),(-$Y26+50*IF('18.05'!$AK26="是",'18.05'!$BB$4,'18.05'!$BB$3)),(VLOOKUP('18.05'!W26,'18.05'!$AO$4:$AQ$55,2,FALSE))*IF('18.05'!$AK26="是",'18.05'!$BB$4,'18.05'!$BB$3))</f>
        <v>0</v>
      </c>
      <c r="P26" s="4">
        <f>IF(ISNUMBER(SEARCH("营",'18.05'!X26)),(-$Y26+50*IF('18.05'!$AK26="是",'18.05'!$BB$4,'18.05'!$BB$3)),(VLOOKUP('18.05'!X26,'18.05'!$AO$4:$AQ$55,2,FALSE))*IF('18.05'!$AK26="是",'18.05'!$BB$4,'18.05'!$BB$3))</f>
        <v>0</v>
      </c>
      <c r="Q26" s="4">
        <f>IF(ISNUMBER(SEARCH("营",'18.05'!Y26)),(-$Y26+50*IF('18.05'!$AK26="是",'18.05'!$BB$4,'18.05'!$BB$3)),(VLOOKUP('18.05'!Y26,'18.05'!$AO$4:$AQ$55,2,FALSE))*IF('18.05'!$AK26="是",'18.05'!$BB$4,'18.05'!$BB$3))</f>
        <v>0</v>
      </c>
      <c r="R26" s="4">
        <f>IF(ISNUMBER(SEARCH("营",'18.05'!Z26)),(-$Y26+50*IF('18.05'!$AK26="是",'18.05'!$BB$4,'18.05'!$BB$3)),(VLOOKUP('18.05'!Z26,'18.05'!$AO$4:$AQ$55,2,FALSE))*IF('18.05'!$AK26="是",'18.05'!$BB$4,'18.05'!$BB$3))</f>
        <v>0</v>
      </c>
      <c r="S26" s="4">
        <f>IF(ISNUMBER(SEARCH("营",'18.05'!AA26)),(-$Y26+50*IF('18.05'!$AK26="是",'18.05'!$BB$4,'18.05'!$BB$3)),(VLOOKUP('18.05'!AA26,'18.05'!$AO$4:$AQ$55,2,FALSE))*IF('18.05'!$AK26="是",'18.05'!$BB$4,'18.05'!$BB$3))</f>
        <v>0</v>
      </c>
      <c r="T26" s="4">
        <f>IF(ISNUMBER(SEARCH("营",'18.05'!AB26)),(-$Y26+50*IF('18.05'!$AK26="是",'18.05'!$BB$4,'18.05'!$BB$3)),(VLOOKUP('18.05'!AB26,'18.05'!$AO$4:$AQ$55,2,FALSE))*IF('18.05'!$AK26="是",'18.05'!$BB$4,'18.05'!$BB$3))</f>
        <v>0</v>
      </c>
      <c r="U26" s="4">
        <f>IF(ISNUMBER(SEARCH("营",'18.05'!AC26)),(-$Y26+50*IF('18.05'!$AK26="是",'18.05'!$BB$4,'18.05'!$BB$3)),(VLOOKUP('18.05'!AC26,'18.05'!$AO$4:$AQ$55,2,FALSE))*IF('18.05'!$AK26="是",'18.05'!$BB$4,'18.05'!$BB$3))</f>
        <v>0</v>
      </c>
      <c r="V26" s="4">
        <f>IF(ISNUMBER(SEARCH("营",'18.05'!AD26)),(-$Y26+50*IF('18.05'!$AK26="是",'18.05'!$BB$4,'18.05'!$BB$3)),(VLOOKUP('18.05'!AD26,'18.05'!$AO$4:$AQ$55,2,FALSE))*IF('18.05'!$AK26="是",'18.05'!$BB$4,'18.05'!$BB$3))</f>
        <v>0</v>
      </c>
      <c r="W26" s="4">
        <f>IF(ISNUMBER(SEARCH("营",'18.05'!AE26)),(-$Y26+50*IF('18.05'!$AK26="是",'18.05'!$BB$4,'18.05'!$BB$3)),(VLOOKUP('18.05'!AE26,'18.05'!$AO$4:$AQ$55,2,FALSE))*IF('18.05'!$AK26="是",'18.05'!$BB$4,'18.05'!$BB$3))</f>
        <v>0</v>
      </c>
      <c r="X26" s="4">
        <f>IF(ISNUMBER(SEARCH("营",'18.05'!AF26)),(-$Y26+50*IF('18.05'!$AK26="是",'18.05'!$BB$4,'18.05'!$BB$3)),(VLOOKUP('18.05'!AF26,'18.05'!$AO$4:$AQ$55,2,FALSE))*IF('18.05'!$AK26="是",'18.05'!$BB$4,'18.05'!$BB$3))</f>
        <v>0</v>
      </c>
      <c r="Y26" s="69">
        <v>200</v>
      </c>
      <c r="Z26" s="75">
        <v>45661</v>
      </c>
    </row>
    <row r="27" spans="1:26">
      <c r="A27" s="4">
        <f>IF(ISNUMBER(SEARCH("营",'18.05'!I27)),(-$Y27+50*IF('18.05'!$AK27="是",'18.05'!$BB$4,'18.05'!$BB$3)),(VLOOKUP('18.05'!I27,'18.05'!$AO$4:$AQ$55,2,FALSE))*IF('18.05'!$AK27="是",'18.05'!$BB$4,'18.05'!$BB$3))</f>
        <v>160</v>
      </c>
      <c r="B27" s="4">
        <f>IF(ISNUMBER(SEARCH("营",'18.05'!J27)),(-$Y27+50*IF('18.05'!$AK27="是",'18.05'!$BB$4,'18.05'!$BB$3)),(VLOOKUP('18.05'!J27,'18.05'!$AO$4:$AQ$55,2,FALSE))*IF('18.05'!$AK27="是",'18.05'!$BB$4,'18.05'!$BB$3))</f>
        <v>160</v>
      </c>
      <c r="C27" s="4">
        <f>IF(ISNUMBER(SEARCH("营",'18.05'!K27)),(-$Y27+50*IF('18.05'!$AK27="是",'18.05'!$BB$4,'18.05'!$BB$3)),(VLOOKUP('18.05'!K27,'18.05'!$AO$4:$AQ$55,2,FALSE))*IF('18.05'!$AK27="是",'18.05'!$BB$4,'18.05'!$BB$3))</f>
        <v>160</v>
      </c>
      <c r="D27" s="4">
        <f>IF(ISNUMBER(SEARCH("营",'18.05'!L27)),(-$Y27+50*IF('18.05'!$AK27="是",'18.05'!$BB$4,'18.05'!$BB$3)),(VLOOKUP('18.05'!L27,'18.05'!$AO$4:$AQ$55,2,FALSE))*IF('18.05'!$AK27="是",'18.05'!$BB$4,'18.05'!$BB$3))</f>
        <v>160</v>
      </c>
      <c r="E27" s="4">
        <f>IF(ISNUMBER(SEARCH("营",'18.05'!M27)),(-$Y27+50*IF('18.05'!$AK27="是",'18.05'!$BB$4,'18.05'!$BB$3)),(VLOOKUP('18.05'!M27,'18.05'!$AO$4:$AQ$55,2,FALSE))*IF('18.05'!$AK27="是",'18.05'!$BB$4,'18.05'!$BB$3))</f>
        <v>160</v>
      </c>
      <c r="F27" s="4">
        <f>IF(ISNUMBER(SEARCH("营",'18.05'!N27)),(-$Y27+50*IF('18.05'!$AK27="是",'18.05'!$BB$4,'18.05'!$BB$3)),(VLOOKUP('18.05'!N27,'18.05'!$AO$4:$AQ$55,2,FALSE))*IF('18.05'!$AK27="是",'18.05'!$BB$4,'18.05'!$BB$3))</f>
        <v>160</v>
      </c>
      <c r="G27" s="4">
        <f>IF(ISNUMBER(SEARCH("营",'18.05'!O27)),(-$Y27+50*IF('18.05'!$AK27="是",'18.05'!$BB$4,'18.05'!$BB$3)),(VLOOKUP('18.05'!O27,'18.05'!$AO$4:$AQ$55,2,FALSE))*IF('18.05'!$AK27="是",'18.05'!$BB$4,'18.05'!$BB$3))</f>
        <v>0</v>
      </c>
      <c r="H27" s="4">
        <f>IF(ISNUMBER(SEARCH("营",'18.05'!P27)),(-$Y27+50*IF('18.05'!$AK27="是",'18.05'!$BB$4,'18.05'!$BB$3)),(VLOOKUP('18.05'!P27,'18.05'!$AO$4:$AQ$55,2,FALSE))*IF('18.05'!$AK27="是",'18.05'!$BB$4,'18.05'!$BB$3))</f>
        <v>0</v>
      </c>
      <c r="I27" s="4">
        <f>IF(ISNUMBER(SEARCH("营",'18.05'!Q27)),(-$Y27+50*IF('18.05'!$AK27="是",'18.05'!$BB$4,'18.05'!$BB$3)),(VLOOKUP('18.05'!Q27,'18.05'!$AO$4:$AQ$55,2,FALSE))*IF('18.05'!$AK27="是",'18.05'!$BB$4,'18.05'!$BB$3))</f>
        <v>144</v>
      </c>
      <c r="J27" s="4">
        <f>IF(ISNUMBER(SEARCH("营",'18.05'!R27)),(-$Y27+50*IF('18.05'!$AK27="是",'18.05'!$BB$4,'18.05'!$BB$3)),(VLOOKUP('18.05'!R27,'18.05'!$AO$4:$AQ$55,2,FALSE))*IF('18.05'!$AK27="是",'18.05'!$BB$4,'18.05'!$BB$3))</f>
        <v>144</v>
      </c>
      <c r="K27" s="4">
        <f>IF(ISNUMBER(SEARCH("营",'18.05'!S27)),(-$Y27+50*IF('18.05'!$AK27="是",'18.05'!$BB$4,'18.05'!$BB$3)),(VLOOKUP('18.05'!S27,'18.05'!$AO$4:$AQ$55,2,FALSE))*IF('18.05'!$AK27="是",'18.05'!$BB$4,'18.05'!$BB$3))</f>
        <v>144</v>
      </c>
      <c r="L27" s="4">
        <f>IF(ISNUMBER(SEARCH("营",'18.05'!T27)),(-$Y27+50*IF('18.05'!$AK27="是",'18.05'!$BB$4,'18.05'!$BB$3)),(VLOOKUP('18.05'!T27,'18.05'!$AO$4:$AQ$55,2,FALSE))*IF('18.05'!$AK27="是",'18.05'!$BB$4,'18.05'!$BB$3))</f>
        <v>144</v>
      </c>
      <c r="M27" s="4">
        <f>IF(ISNUMBER(SEARCH("营",'18.05'!U27)),(-$Y27+50*IF('18.05'!$AK27="是",'18.05'!$BB$4,'18.05'!$BB$3)),(VLOOKUP('18.05'!U27,'18.05'!$AO$4:$AQ$55,2,FALSE))*IF('18.05'!$AK27="是",'18.05'!$BB$4,'18.05'!$BB$3))</f>
        <v>144</v>
      </c>
      <c r="N27" s="4">
        <f>IF(ISNUMBER(SEARCH("营",'18.05'!V27)),(-$Y27+50*IF('18.05'!$AK27="是",'18.05'!$BB$4,'18.05'!$BB$3)),(VLOOKUP('18.05'!V27,'18.05'!$AO$4:$AQ$55,2,FALSE))*IF('18.05'!$AK27="是",'18.05'!$BB$4,'18.05'!$BB$3))</f>
        <v>144</v>
      </c>
      <c r="O27" s="4">
        <f>IF(ISNUMBER(SEARCH("营",'18.05'!W27)),(-$Y27+50*IF('18.05'!$AK27="是",'18.05'!$BB$4,'18.05'!$BB$3)),(VLOOKUP('18.05'!W27,'18.05'!$AO$4:$AQ$55,2,FALSE))*IF('18.05'!$AK27="是",'18.05'!$BB$4,'18.05'!$BB$3))</f>
        <v>0</v>
      </c>
      <c r="P27" s="4">
        <f>IF(ISNUMBER(SEARCH("营",'18.05'!X27)),(-$Y27+50*IF('18.05'!$AK27="是",'18.05'!$BB$4,'18.05'!$BB$3)),(VLOOKUP('18.05'!X27,'18.05'!$AO$4:$AQ$55,2,FALSE))*IF('18.05'!$AK27="是",'18.05'!$BB$4,'18.05'!$BB$3))</f>
        <v>0</v>
      </c>
      <c r="Q27" s="4">
        <f>IF(ISNUMBER(SEARCH("营",'18.05'!Y27)),(-$Y27+50*IF('18.05'!$AK27="是",'18.05'!$BB$4,'18.05'!$BB$3)),(VLOOKUP('18.05'!Y27,'18.05'!$AO$4:$AQ$55,2,FALSE))*IF('18.05'!$AK27="是",'18.05'!$BB$4,'18.05'!$BB$3))</f>
        <v>0</v>
      </c>
      <c r="R27" s="4">
        <f>IF(ISNUMBER(SEARCH("营",'18.05'!Z27)),(-$Y27+50*IF('18.05'!$AK27="是",'18.05'!$BB$4,'18.05'!$BB$3)),(VLOOKUP('18.05'!Z27,'18.05'!$AO$4:$AQ$55,2,FALSE))*IF('18.05'!$AK27="是",'18.05'!$BB$4,'18.05'!$BB$3))</f>
        <v>0</v>
      </c>
      <c r="S27" s="4">
        <f>IF(ISNUMBER(SEARCH("营",'18.05'!AA27)),(-$Y27+50*IF('18.05'!$AK27="是",'18.05'!$BB$4,'18.05'!$BB$3)),(VLOOKUP('18.05'!AA27,'18.05'!$AO$4:$AQ$55,2,FALSE))*IF('18.05'!$AK27="是",'18.05'!$BB$4,'18.05'!$BB$3))</f>
        <v>0</v>
      </c>
      <c r="T27" s="4">
        <f>IF(ISNUMBER(SEARCH("营",'18.05'!AB27)),(-$Y27+50*IF('18.05'!$AK27="是",'18.05'!$BB$4,'18.05'!$BB$3)),(VLOOKUP('18.05'!AB27,'18.05'!$AO$4:$AQ$55,2,FALSE))*IF('18.05'!$AK27="是",'18.05'!$BB$4,'18.05'!$BB$3))</f>
        <v>0</v>
      </c>
      <c r="U27" s="4">
        <f>IF(ISNUMBER(SEARCH("营",'18.05'!AC27)),(-$Y27+50*IF('18.05'!$AK27="是",'18.05'!$BB$4,'18.05'!$BB$3)),(VLOOKUP('18.05'!AC27,'18.05'!$AO$4:$AQ$55,2,FALSE))*IF('18.05'!$AK27="是",'18.05'!$BB$4,'18.05'!$BB$3))</f>
        <v>0</v>
      </c>
      <c r="V27" s="4">
        <f>IF(ISNUMBER(SEARCH("营",'18.05'!AD27)),(-$Y27+50*IF('18.05'!$AK27="是",'18.05'!$BB$4,'18.05'!$BB$3)),(VLOOKUP('18.05'!AD27,'18.05'!$AO$4:$AQ$55,2,FALSE))*IF('18.05'!$AK27="是",'18.05'!$BB$4,'18.05'!$BB$3))</f>
        <v>0</v>
      </c>
      <c r="W27" s="4">
        <f>IF(ISNUMBER(SEARCH("营",'18.05'!AE27)),(-$Y27+50*IF('18.05'!$AK27="是",'18.05'!$BB$4,'18.05'!$BB$3)),(VLOOKUP('18.05'!AE27,'18.05'!$AO$4:$AQ$55,2,FALSE))*IF('18.05'!$AK27="是",'18.05'!$BB$4,'18.05'!$BB$3))</f>
        <v>0</v>
      </c>
      <c r="X27" s="4">
        <f>IF(ISNUMBER(SEARCH("营",'18.05'!AF27)),(-$Y27+50*IF('18.05'!$AK27="是",'18.05'!$BB$4,'18.05'!$BB$3)),(VLOOKUP('18.05'!AF27,'18.05'!$AO$4:$AQ$55,2,FALSE))*IF('18.05'!$AK27="是",'18.05'!$BB$4,'18.05'!$BB$3))</f>
        <v>0</v>
      </c>
      <c r="Y27" s="69">
        <v>200</v>
      </c>
      <c r="Z27" s="75">
        <v>45662</v>
      </c>
    </row>
    <row r="28" spans="1:26">
      <c r="A28" s="4">
        <f>IF(ISNUMBER(SEARCH("营",'18.05'!I28)),(-$Y28+50*IF('18.05'!$AK28="是",'18.05'!$BB$4,'18.05'!$BB$3)),(VLOOKUP('18.05'!I28,'18.05'!$AO$4:$AQ$55,2,FALSE))*IF('18.05'!$AK28="是",'18.05'!$BB$4,'18.05'!$BB$3))</f>
        <v>160</v>
      </c>
      <c r="B28" s="4">
        <f>IF(ISNUMBER(SEARCH("营",'18.05'!J28)),(-$Y28+50*IF('18.05'!$AK28="是",'18.05'!$BB$4,'18.05'!$BB$3)),(VLOOKUP('18.05'!J28,'18.05'!$AO$4:$AQ$55,2,FALSE))*IF('18.05'!$AK28="是",'18.05'!$BB$4,'18.05'!$BB$3))</f>
        <v>160</v>
      </c>
      <c r="C28" s="4">
        <f>IF(ISNUMBER(SEARCH("营",'18.05'!K28)),(-$Y28+50*IF('18.05'!$AK28="是",'18.05'!$BB$4,'18.05'!$BB$3)),(VLOOKUP('18.05'!K28,'18.05'!$AO$4:$AQ$55,2,FALSE))*IF('18.05'!$AK28="是",'18.05'!$BB$4,'18.05'!$BB$3))</f>
        <v>160</v>
      </c>
      <c r="D28" s="4">
        <f>IF(ISNUMBER(SEARCH("营",'18.05'!L28)),(-$Y28+50*IF('18.05'!$AK28="是",'18.05'!$BB$4,'18.05'!$BB$3)),(VLOOKUP('18.05'!L28,'18.05'!$AO$4:$AQ$55,2,FALSE))*IF('18.05'!$AK28="是",'18.05'!$BB$4,'18.05'!$BB$3))</f>
        <v>40</v>
      </c>
      <c r="E28" s="4">
        <f>IF(ISNUMBER(SEARCH("营",'18.05'!M28)),(-$Y28+50*IF('18.05'!$AK28="是",'18.05'!$BB$4,'18.05'!$BB$3)),(VLOOKUP('18.05'!M28,'18.05'!$AO$4:$AQ$55,2,FALSE))*IF('18.05'!$AK28="是",'18.05'!$BB$4,'18.05'!$BB$3))</f>
        <v>160</v>
      </c>
      <c r="F28" s="4">
        <f>IF(ISNUMBER(SEARCH("营",'18.05'!N28)),(-$Y28+50*IF('18.05'!$AK28="是",'18.05'!$BB$4,'18.05'!$BB$3)),(VLOOKUP('18.05'!N28,'18.05'!$AO$4:$AQ$55,2,FALSE))*IF('18.05'!$AK28="是",'18.05'!$BB$4,'18.05'!$BB$3))</f>
        <v>160</v>
      </c>
      <c r="G28" s="4">
        <f>IF(ISNUMBER(SEARCH("营",'18.05'!O28)),(-$Y28+50*IF('18.05'!$AK28="是",'18.05'!$BB$4,'18.05'!$BB$3)),(VLOOKUP('18.05'!O28,'18.05'!$AO$4:$AQ$55,2,FALSE))*IF('18.05'!$AK28="是",'18.05'!$BB$4,'18.05'!$BB$3))</f>
        <v>0</v>
      </c>
      <c r="H28" s="4">
        <f>IF(ISNUMBER(SEARCH("营",'18.05'!P28)),(-$Y28+50*IF('18.05'!$AK28="是",'18.05'!$BB$4,'18.05'!$BB$3)),(VLOOKUP('18.05'!P28,'18.05'!$AO$4:$AQ$55,2,FALSE))*IF('18.05'!$AK28="是",'18.05'!$BB$4,'18.05'!$BB$3))</f>
        <v>0</v>
      </c>
      <c r="I28" s="4">
        <f>IF(ISNUMBER(SEARCH("营",'18.05'!Q28)),(-$Y28+50*IF('18.05'!$AK28="是",'18.05'!$BB$4,'18.05'!$BB$3)),(VLOOKUP('18.05'!Q28,'18.05'!$AO$4:$AQ$55,2,FALSE))*IF('18.05'!$AK28="是",'18.05'!$BB$4,'18.05'!$BB$3))</f>
        <v>144</v>
      </c>
      <c r="J28" s="4">
        <f>IF(ISNUMBER(SEARCH("营",'18.05'!R28)),(-$Y28+50*IF('18.05'!$AK28="是",'18.05'!$BB$4,'18.05'!$BB$3)),(VLOOKUP('18.05'!R28,'18.05'!$AO$4:$AQ$55,2,FALSE))*IF('18.05'!$AK28="是",'18.05'!$BB$4,'18.05'!$BB$3))</f>
        <v>40</v>
      </c>
      <c r="K28" s="4">
        <f>IF(ISNUMBER(SEARCH("营",'18.05'!S28)),(-$Y28+50*IF('18.05'!$AK28="是",'18.05'!$BB$4,'18.05'!$BB$3)),(VLOOKUP('18.05'!S28,'18.05'!$AO$4:$AQ$55,2,FALSE))*IF('18.05'!$AK28="是",'18.05'!$BB$4,'18.05'!$BB$3))</f>
        <v>144</v>
      </c>
      <c r="L28" s="4">
        <f>IF(ISNUMBER(SEARCH("营",'18.05'!T28)),(-$Y28+50*IF('18.05'!$AK28="是",'18.05'!$BB$4,'18.05'!$BB$3)),(VLOOKUP('18.05'!T28,'18.05'!$AO$4:$AQ$55,2,FALSE))*IF('18.05'!$AK28="是",'18.05'!$BB$4,'18.05'!$BB$3))</f>
        <v>144</v>
      </c>
      <c r="M28" s="4">
        <f>IF(ISNUMBER(SEARCH("营",'18.05'!U28)),(-$Y28+50*IF('18.05'!$AK28="是",'18.05'!$BB$4,'18.05'!$BB$3)),(VLOOKUP('18.05'!U28,'18.05'!$AO$4:$AQ$55,2,FALSE))*IF('18.05'!$AK28="是",'18.05'!$BB$4,'18.05'!$BB$3))</f>
        <v>144</v>
      </c>
      <c r="N28" s="4">
        <f>IF(ISNUMBER(SEARCH("营",'18.05'!V28)),(-$Y28+50*IF('18.05'!$AK28="是",'18.05'!$BB$4,'18.05'!$BB$3)),(VLOOKUP('18.05'!V28,'18.05'!$AO$4:$AQ$55,2,FALSE))*IF('18.05'!$AK28="是",'18.05'!$BB$4,'18.05'!$BB$3))</f>
        <v>144</v>
      </c>
      <c r="O28" s="4">
        <f>IF(ISNUMBER(SEARCH("营",'18.05'!W28)),(-$Y28+50*IF('18.05'!$AK28="是",'18.05'!$BB$4,'18.05'!$BB$3)),(VLOOKUP('18.05'!W28,'18.05'!$AO$4:$AQ$55,2,FALSE))*IF('18.05'!$AK28="是",'18.05'!$BB$4,'18.05'!$BB$3))</f>
        <v>0</v>
      </c>
      <c r="P28" s="4">
        <f>IF(ISNUMBER(SEARCH("营",'18.05'!X28)),(-$Y28+50*IF('18.05'!$AK28="是",'18.05'!$BB$4,'18.05'!$BB$3)),(VLOOKUP('18.05'!X28,'18.05'!$AO$4:$AQ$55,2,FALSE))*IF('18.05'!$AK28="是",'18.05'!$BB$4,'18.05'!$BB$3))</f>
        <v>0</v>
      </c>
      <c r="Q28" s="4">
        <f>IF(ISNUMBER(SEARCH("营",'18.05'!Y28)),(-$Y28+50*IF('18.05'!$AK28="是",'18.05'!$BB$4,'18.05'!$BB$3)),(VLOOKUP('18.05'!Y28,'18.05'!$AO$4:$AQ$55,2,FALSE))*IF('18.05'!$AK28="是",'18.05'!$BB$4,'18.05'!$BB$3))</f>
        <v>0</v>
      </c>
      <c r="R28" s="4">
        <f>IF(ISNUMBER(SEARCH("营",'18.05'!Z28)),(-$Y28+50*IF('18.05'!$AK28="是",'18.05'!$BB$4,'18.05'!$BB$3)),(VLOOKUP('18.05'!Z28,'18.05'!$AO$4:$AQ$55,2,FALSE))*IF('18.05'!$AK28="是",'18.05'!$BB$4,'18.05'!$BB$3))</f>
        <v>0</v>
      </c>
      <c r="S28" s="4">
        <f>IF(ISNUMBER(SEARCH("营",'18.05'!AA28)),(-$Y28+50*IF('18.05'!$AK28="是",'18.05'!$BB$4,'18.05'!$BB$3)),(VLOOKUP('18.05'!AA28,'18.05'!$AO$4:$AQ$55,2,FALSE))*IF('18.05'!$AK28="是",'18.05'!$BB$4,'18.05'!$BB$3))</f>
        <v>0</v>
      </c>
      <c r="T28" s="4">
        <f>IF(ISNUMBER(SEARCH("营",'18.05'!AB28)),(-$Y28+50*IF('18.05'!$AK28="是",'18.05'!$BB$4,'18.05'!$BB$3)),(VLOOKUP('18.05'!AB28,'18.05'!$AO$4:$AQ$55,2,FALSE))*IF('18.05'!$AK28="是",'18.05'!$BB$4,'18.05'!$BB$3))</f>
        <v>0</v>
      </c>
      <c r="U28" s="4">
        <f>IF(ISNUMBER(SEARCH("营",'18.05'!AC28)),(-$Y28+50*IF('18.05'!$AK28="是",'18.05'!$BB$4,'18.05'!$BB$3)),(VLOOKUP('18.05'!AC28,'18.05'!$AO$4:$AQ$55,2,FALSE))*IF('18.05'!$AK28="是",'18.05'!$BB$4,'18.05'!$BB$3))</f>
        <v>0</v>
      </c>
      <c r="V28" s="4">
        <f>IF(ISNUMBER(SEARCH("营",'18.05'!AD28)),(-$Y28+50*IF('18.05'!$AK28="是",'18.05'!$BB$4,'18.05'!$BB$3)),(VLOOKUP('18.05'!AD28,'18.05'!$AO$4:$AQ$55,2,FALSE))*IF('18.05'!$AK28="是",'18.05'!$BB$4,'18.05'!$BB$3))</f>
        <v>0</v>
      </c>
      <c r="W28" s="4">
        <f>IF(ISNUMBER(SEARCH("营",'18.05'!AE28)),(-$Y28+50*IF('18.05'!$AK28="是",'18.05'!$BB$4,'18.05'!$BB$3)),(VLOOKUP('18.05'!AE28,'18.05'!$AO$4:$AQ$55,2,FALSE))*IF('18.05'!$AK28="是",'18.05'!$BB$4,'18.05'!$BB$3))</f>
        <v>0</v>
      </c>
      <c r="X28" s="4">
        <f>IF(ISNUMBER(SEARCH("营",'18.05'!AF28)),(-$Y28+50*IF('18.05'!$AK28="是",'18.05'!$BB$4,'18.05'!$BB$3)),(VLOOKUP('18.05'!AF28,'18.05'!$AO$4:$AQ$55,2,FALSE))*IF('18.05'!$AK28="是",'18.05'!$BB$4,'18.05'!$BB$3))</f>
        <v>0</v>
      </c>
      <c r="Y28" s="69">
        <v>200</v>
      </c>
      <c r="Z28" s="75">
        <v>45663</v>
      </c>
    </row>
    <row r="29" spans="1:26">
      <c r="A29" s="4">
        <f>IF(ISNUMBER(SEARCH("营",'18.05'!I29)),(-$Y29+50*IF('18.05'!$AK29="是",'18.05'!$BB$4,'18.05'!$BB$3)),(VLOOKUP('18.05'!I29,'18.05'!$AO$4:$AQ$55,2,FALSE))*IF('18.05'!$AK29="是",'18.05'!$BB$4,'18.05'!$BB$3))</f>
        <v>160</v>
      </c>
      <c r="B29" s="4">
        <f>IF(ISNUMBER(SEARCH("营",'18.05'!J29)),(-$Y29+50*IF('18.05'!$AK29="是",'18.05'!$BB$4,'18.05'!$BB$3)),(VLOOKUP('18.05'!J29,'18.05'!$AO$4:$AQ$55,2,FALSE))*IF('18.05'!$AK29="是",'18.05'!$BB$4,'18.05'!$BB$3))</f>
        <v>160</v>
      </c>
      <c r="C29" s="4">
        <f>IF(ISNUMBER(SEARCH("营",'18.05'!K29)),(-$Y29+50*IF('18.05'!$AK29="是",'18.05'!$BB$4,'18.05'!$BB$3)),(VLOOKUP('18.05'!K29,'18.05'!$AO$4:$AQ$55,2,FALSE))*IF('18.05'!$AK29="是",'18.05'!$BB$4,'18.05'!$BB$3))</f>
        <v>160</v>
      </c>
      <c r="D29" s="4">
        <f>IF(ISNUMBER(SEARCH("营",'18.05'!L29)),(-$Y29+50*IF('18.05'!$AK29="是",'18.05'!$BB$4,'18.05'!$BB$3)),(VLOOKUP('18.05'!L29,'18.05'!$AO$4:$AQ$55,2,FALSE))*IF('18.05'!$AK29="是",'18.05'!$BB$4,'18.05'!$BB$3))</f>
        <v>160</v>
      </c>
      <c r="E29" s="4">
        <f>IF(ISNUMBER(SEARCH("营",'18.05'!M29)),(-$Y29+50*IF('18.05'!$AK29="是",'18.05'!$BB$4,'18.05'!$BB$3)),(VLOOKUP('18.05'!M29,'18.05'!$AO$4:$AQ$55,2,FALSE))*IF('18.05'!$AK29="是",'18.05'!$BB$4,'18.05'!$BB$3))</f>
        <v>160</v>
      </c>
      <c r="F29" s="4">
        <f>IF(ISNUMBER(SEARCH("营",'18.05'!N29)),(-$Y29+50*IF('18.05'!$AK29="是",'18.05'!$BB$4,'18.05'!$BB$3)),(VLOOKUP('18.05'!N29,'18.05'!$AO$4:$AQ$55,2,FALSE))*IF('18.05'!$AK29="是",'18.05'!$BB$4,'18.05'!$BB$3))</f>
        <v>160</v>
      </c>
      <c r="G29" s="4">
        <f>IF(ISNUMBER(SEARCH("营",'18.05'!O29)),(-$Y29+50*IF('18.05'!$AK29="是",'18.05'!$BB$4,'18.05'!$BB$3)),(VLOOKUP('18.05'!O29,'18.05'!$AO$4:$AQ$55,2,FALSE))*IF('18.05'!$AK29="是",'18.05'!$BB$4,'18.05'!$BB$3))</f>
        <v>0</v>
      </c>
      <c r="H29" s="4">
        <f>IF(ISNUMBER(SEARCH("营",'18.05'!P29)),(-$Y29+50*IF('18.05'!$AK29="是",'18.05'!$BB$4,'18.05'!$BB$3)),(VLOOKUP('18.05'!P29,'18.05'!$AO$4:$AQ$55,2,FALSE))*IF('18.05'!$AK29="是",'18.05'!$BB$4,'18.05'!$BB$3))</f>
        <v>0</v>
      </c>
      <c r="I29" s="4">
        <f>IF(ISNUMBER(SEARCH("营",'18.05'!Q29)),(-$Y29+50*IF('18.05'!$AK29="是",'18.05'!$BB$4,'18.05'!$BB$3)),(VLOOKUP('18.05'!Q29,'18.05'!$AO$4:$AQ$55,2,FALSE))*IF('18.05'!$AK29="是",'18.05'!$BB$4,'18.05'!$BB$3))</f>
        <v>144</v>
      </c>
      <c r="J29" s="4">
        <f>IF(ISNUMBER(SEARCH("营",'18.05'!R29)),(-$Y29+50*IF('18.05'!$AK29="是",'18.05'!$BB$4,'18.05'!$BB$3)),(VLOOKUP('18.05'!R29,'18.05'!$AO$4:$AQ$55,2,FALSE))*IF('18.05'!$AK29="是",'18.05'!$BB$4,'18.05'!$BB$3))</f>
        <v>144</v>
      </c>
      <c r="K29" s="4">
        <f>IF(ISNUMBER(SEARCH("营",'18.05'!S29)),(-$Y29+50*IF('18.05'!$AK29="是",'18.05'!$BB$4,'18.05'!$BB$3)),(VLOOKUP('18.05'!S29,'18.05'!$AO$4:$AQ$55,2,FALSE))*IF('18.05'!$AK29="是",'18.05'!$BB$4,'18.05'!$BB$3))</f>
        <v>144</v>
      </c>
      <c r="L29" s="4">
        <f>IF(ISNUMBER(SEARCH("营",'18.05'!T29)),(-$Y29+50*IF('18.05'!$AK29="是",'18.05'!$BB$4,'18.05'!$BB$3)),(VLOOKUP('18.05'!T29,'18.05'!$AO$4:$AQ$55,2,FALSE))*IF('18.05'!$AK29="是",'18.05'!$BB$4,'18.05'!$BB$3))</f>
        <v>152</v>
      </c>
      <c r="M29" s="4">
        <f>IF(ISNUMBER(SEARCH("营",'18.05'!U29)),(-$Y29+50*IF('18.05'!$AK29="是",'18.05'!$BB$4,'18.05'!$BB$3)),(VLOOKUP('18.05'!U29,'18.05'!$AO$4:$AQ$55,2,FALSE))*IF('18.05'!$AK29="是",'18.05'!$BB$4,'18.05'!$BB$3))</f>
        <v>152</v>
      </c>
      <c r="N29" s="4">
        <f>IF(ISNUMBER(SEARCH("营",'18.05'!V29)),(-$Y29+50*IF('18.05'!$AK29="是",'18.05'!$BB$4,'18.05'!$BB$3)),(VLOOKUP('18.05'!V29,'18.05'!$AO$4:$AQ$55,2,FALSE))*IF('18.05'!$AK29="是",'18.05'!$BB$4,'18.05'!$BB$3))</f>
        <v>152</v>
      </c>
      <c r="O29" s="4">
        <f>IF(ISNUMBER(SEARCH("营",'18.05'!W29)),(-$Y29+50*IF('18.05'!$AK29="是",'18.05'!$BB$4,'18.05'!$BB$3)),(VLOOKUP('18.05'!W29,'18.05'!$AO$4:$AQ$55,2,FALSE))*IF('18.05'!$AK29="是",'18.05'!$BB$4,'18.05'!$BB$3))</f>
        <v>0</v>
      </c>
      <c r="P29" s="4">
        <f>IF(ISNUMBER(SEARCH("营",'18.05'!X29)),(-$Y29+50*IF('18.05'!$AK29="是",'18.05'!$BB$4,'18.05'!$BB$3)),(VLOOKUP('18.05'!X29,'18.05'!$AO$4:$AQ$55,2,FALSE))*IF('18.05'!$AK29="是",'18.05'!$BB$4,'18.05'!$BB$3))</f>
        <v>0</v>
      </c>
      <c r="Q29" s="4">
        <f>IF(ISNUMBER(SEARCH("营",'18.05'!Y29)),(-$Y29+50*IF('18.05'!$AK29="是",'18.05'!$BB$4,'18.05'!$BB$3)),(VLOOKUP('18.05'!Y29,'18.05'!$AO$4:$AQ$55,2,FALSE))*IF('18.05'!$AK29="是",'18.05'!$BB$4,'18.05'!$BB$3))</f>
        <v>0</v>
      </c>
      <c r="R29" s="4">
        <f>IF(ISNUMBER(SEARCH("营",'18.05'!Z29)),(-$Y29+50*IF('18.05'!$AK29="是",'18.05'!$BB$4,'18.05'!$BB$3)),(VLOOKUP('18.05'!Z29,'18.05'!$AO$4:$AQ$55,2,FALSE))*IF('18.05'!$AK29="是",'18.05'!$BB$4,'18.05'!$BB$3))</f>
        <v>0</v>
      </c>
      <c r="S29" s="4">
        <f>IF(ISNUMBER(SEARCH("营",'18.05'!AA29)),(-$Y29+50*IF('18.05'!$AK29="是",'18.05'!$BB$4,'18.05'!$BB$3)),(VLOOKUP('18.05'!AA29,'18.05'!$AO$4:$AQ$55,2,FALSE))*IF('18.05'!$AK29="是",'18.05'!$BB$4,'18.05'!$BB$3))</f>
        <v>0</v>
      </c>
      <c r="T29" s="4">
        <f>IF(ISNUMBER(SEARCH("营",'18.05'!AB29)),(-$Y29+50*IF('18.05'!$AK29="是",'18.05'!$BB$4,'18.05'!$BB$3)),(VLOOKUP('18.05'!AB29,'18.05'!$AO$4:$AQ$55,2,FALSE))*IF('18.05'!$AK29="是",'18.05'!$BB$4,'18.05'!$BB$3))</f>
        <v>0</v>
      </c>
      <c r="U29" s="4">
        <f>IF(ISNUMBER(SEARCH("营",'18.05'!AC29)),(-$Y29+50*IF('18.05'!$AK29="是",'18.05'!$BB$4,'18.05'!$BB$3)),(VLOOKUP('18.05'!AC29,'18.05'!$AO$4:$AQ$55,2,FALSE))*IF('18.05'!$AK29="是",'18.05'!$BB$4,'18.05'!$BB$3))</f>
        <v>0</v>
      </c>
      <c r="V29" s="4">
        <f>IF(ISNUMBER(SEARCH("营",'18.05'!AD29)),(-$Y29+50*IF('18.05'!$AK29="是",'18.05'!$BB$4,'18.05'!$BB$3)),(VLOOKUP('18.05'!AD29,'18.05'!$AO$4:$AQ$55,2,FALSE))*IF('18.05'!$AK29="是",'18.05'!$BB$4,'18.05'!$BB$3))</f>
        <v>0</v>
      </c>
      <c r="W29" s="4">
        <f>IF(ISNUMBER(SEARCH("营",'18.05'!AE29)),(-$Y29+50*IF('18.05'!$AK29="是",'18.05'!$BB$4,'18.05'!$BB$3)),(VLOOKUP('18.05'!AE29,'18.05'!$AO$4:$AQ$55,2,FALSE))*IF('18.05'!$AK29="是",'18.05'!$BB$4,'18.05'!$BB$3))</f>
        <v>0</v>
      </c>
      <c r="X29" s="4">
        <f>IF(ISNUMBER(SEARCH("营",'18.05'!AF29)),(-$Y29+50*IF('18.05'!$AK29="是",'18.05'!$BB$4,'18.05'!$BB$3)),(VLOOKUP('18.05'!AF29,'18.05'!$AO$4:$AQ$55,2,FALSE))*IF('18.05'!$AK29="是",'18.05'!$BB$4,'18.05'!$BB$3))</f>
        <v>0</v>
      </c>
      <c r="Y29" s="69">
        <v>200</v>
      </c>
      <c r="Z29" s="75">
        <v>45664</v>
      </c>
    </row>
    <row r="30" spans="1:26">
      <c r="A30" s="4">
        <f>IF(ISNUMBER(SEARCH("营",'18.05'!I30)),(-$Y30+50*IF('18.05'!$AK30="是",'18.05'!$BB$4,'18.05'!$BB$3)),(VLOOKUP('18.05'!I30,'18.05'!$AO$4:$AQ$55,2,FALSE))*IF('18.05'!$AK30="是",'18.05'!$BB$4,'18.05'!$BB$3))</f>
        <v>0</v>
      </c>
      <c r="B30" s="4">
        <f>IF(ISNUMBER(SEARCH("营",'18.05'!J30)),(-$Y30+50*IF('18.05'!$AK30="是",'18.05'!$BB$4,'18.05'!$BB$3)),(VLOOKUP('18.05'!J30,'18.05'!$AO$4:$AQ$55,2,FALSE))*IF('18.05'!$AK30="是",'18.05'!$BB$4,'18.05'!$BB$3))</f>
        <v>0</v>
      </c>
      <c r="C30" s="4">
        <f>IF(ISNUMBER(SEARCH("营",'18.05'!K30)),(-$Y30+50*IF('18.05'!$AK30="是",'18.05'!$BB$4,'18.05'!$BB$3)),(VLOOKUP('18.05'!K30,'18.05'!$AO$4:$AQ$55,2,FALSE))*IF('18.05'!$AK30="是",'18.05'!$BB$4,'18.05'!$BB$3))</f>
        <v>0</v>
      </c>
      <c r="D30" s="4">
        <f>IF(ISNUMBER(SEARCH("营",'18.05'!L30)),(-$Y30+50*IF('18.05'!$AK30="是",'18.05'!$BB$4,'18.05'!$BB$3)),(VLOOKUP('18.05'!L30,'18.05'!$AO$4:$AQ$55,2,FALSE))*IF('18.05'!$AK30="是",'18.05'!$BB$4,'18.05'!$BB$3))</f>
        <v>0</v>
      </c>
      <c r="E30" s="4">
        <f>IF(ISNUMBER(SEARCH("营",'18.05'!M30)),(-$Y30+50*IF('18.05'!$AK30="是",'18.05'!$BB$4,'18.05'!$BB$3)),(VLOOKUP('18.05'!M30,'18.05'!$AO$4:$AQ$55,2,FALSE))*IF('18.05'!$AK30="是",'18.05'!$BB$4,'18.05'!$BB$3))</f>
        <v>0</v>
      </c>
      <c r="F30" s="4">
        <f>IF(ISNUMBER(SEARCH("营",'18.05'!N30)),(-$Y30+50*IF('18.05'!$AK30="是",'18.05'!$BB$4,'18.05'!$BB$3)),(VLOOKUP('18.05'!N30,'18.05'!$AO$4:$AQ$55,2,FALSE))*IF('18.05'!$AK30="是",'18.05'!$BB$4,'18.05'!$BB$3))</f>
        <v>0</v>
      </c>
      <c r="G30" s="4">
        <f>IF(ISNUMBER(SEARCH("营",'18.05'!O30)),(-$Y30+50*IF('18.05'!$AK30="是",'18.05'!$BB$4,'18.05'!$BB$3)),(VLOOKUP('18.05'!O30,'18.05'!$AO$4:$AQ$55,2,FALSE))*IF('18.05'!$AK30="是",'18.05'!$BB$4,'18.05'!$BB$3))</f>
        <v>0</v>
      </c>
      <c r="H30" s="4">
        <f>IF(ISNUMBER(SEARCH("营",'18.05'!P30)),(-$Y30+50*IF('18.05'!$AK30="是",'18.05'!$BB$4,'18.05'!$BB$3)),(VLOOKUP('18.05'!P30,'18.05'!$AO$4:$AQ$55,2,FALSE))*IF('18.05'!$AK30="是",'18.05'!$BB$4,'18.05'!$BB$3))</f>
        <v>0</v>
      </c>
      <c r="I30" s="4">
        <f>IF(ISNUMBER(SEARCH("营",'18.05'!Q30)),(-$Y30+50*IF('18.05'!$AK30="是",'18.05'!$BB$4,'18.05'!$BB$3)),(VLOOKUP('18.05'!Q30,'18.05'!$AO$4:$AQ$55,2,FALSE))*IF('18.05'!$AK30="是",'18.05'!$BB$4,'18.05'!$BB$3))</f>
        <v>152</v>
      </c>
      <c r="J30" s="4">
        <f>IF(ISNUMBER(SEARCH("营",'18.05'!R30)),(-$Y30+50*IF('18.05'!$AK30="是",'18.05'!$BB$4,'18.05'!$BB$3)),(VLOOKUP('18.05'!R30,'18.05'!$AO$4:$AQ$55,2,FALSE))*IF('18.05'!$AK30="是",'18.05'!$BB$4,'18.05'!$BB$3))</f>
        <v>152</v>
      </c>
      <c r="K30" s="4">
        <f>IF(ISNUMBER(SEARCH("营",'18.05'!S30)),(-$Y30+50*IF('18.05'!$AK30="是",'18.05'!$BB$4,'18.05'!$BB$3)),(VLOOKUP('18.05'!S30,'18.05'!$AO$4:$AQ$55,2,FALSE))*IF('18.05'!$AK30="是",'18.05'!$BB$4,'18.05'!$BB$3))</f>
        <v>152</v>
      </c>
      <c r="L30" s="4">
        <f>IF(ISNUMBER(SEARCH("营",'18.05'!T30)),(-$Y30+50*IF('18.05'!$AK30="是",'18.05'!$BB$4,'18.05'!$BB$3)),(VLOOKUP('18.05'!T30,'18.05'!$AO$4:$AQ$55,2,FALSE))*IF('18.05'!$AK30="是",'18.05'!$BB$4,'18.05'!$BB$3))</f>
        <v>152</v>
      </c>
      <c r="M30" s="4">
        <f>IF(ISNUMBER(SEARCH("营",'18.05'!U30)),(-$Y30+50*IF('18.05'!$AK30="是",'18.05'!$BB$4,'18.05'!$BB$3)),(VLOOKUP('18.05'!U30,'18.05'!$AO$4:$AQ$55,2,FALSE))*IF('18.05'!$AK30="是",'18.05'!$BB$4,'18.05'!$BB$3))</f>
        <v>152</v>
      </c>
      <c r="N30" s="4">
        <f>IF(ISNUMBER(SEARCH("营",'18.05'!V30)),(-$Y30+50*IF('18.05'!$AK30="是",'18.05'!$BB$4,'18.05'!$BB$3)),(VLOOKUP('18.05'!V30,'18.05'!$AO$4:$AQ$55,2,FALSE))*IF('18.05'!$AK30="是",'18.05'!$BB$4,'18.05'!$BB$3))</f>
        <v>152</v>
      </c>
      <c r="O30" s="4">
        <f>IF(ISNUMBER(SEARCH("营",'18.05'!W30)),(-$Y30+50*IF('18.05'!$AK30="是",'18.05'!$BB$4,'18.05'!$BB$3)),(VLOOKUP('18.05'!W30,'18.05'!$AO$4:$AQ$55,2,FALSE))*IF('18.05'!$AK30="是",'18.05'!$BB$4,'18.05'!$BB$3))</f>
        <v>0</v>
      </c>
      <c r="P30" s="4">
        <f>IF(ISNUMBER(SEARCH("营",'18.05'!X30)),(-$Y30+50*IF('18.05'!$AK30="是",'18.05'!$BB$4,'18.05'!$BB$3)),(VLOOKUP('18.05'!X30,'18.05'!$AO$4:$AQ$55,2,FALSE))*IF('18.05'!$AK30="是",'18.05'!$BB$4,'18.05'!$BB$3))</f>
        <v>0</v>
      </c>
      <c r="Q30" s="4">
        <f>IF(ISNUMBER(SEARCH("营",'18.05'!Y30)),(-$Y30+50*IF('18.05'!$AK30="是",'18.05'!$BB$4,'18.05'!$BB$3)),(VLOOKUP('18.05'!Y30,'18.05'!$AO$4:$AQ$55,2,FALSE))*IF('18.05'!$AK30="是",'18.05'!$BB$4,'18.05'!$BB$3))</f>
        <v>0</v>
      </c>
      <c r="R30" s="4">
        <f>IF(ISNUMBER(SEARCH("营",'18.05'!Z30)),(-$Y30+50*IF('18.05'!$AK30="是",'18.05'!$BB$4,'18.05'!$BB$3)),(VLOOKUP('18.05'!Z30,'18.05'!$AO$4:$AQ$55,2,FALSE))*IF('18.05'!$AK30="是",'18.05'!$BB$4,'18.05'!$BB$3))</f>
        <v>0</v>
      </c>
      <c r="S30" s="4">
        <f>IF(ISNUMBER(SEARCH("营",'18.05'!AA30)),(-$Y30+50*IF('18.05'!$AK30="是",'18.05'!$BB$4,'18.05'!$BB$3)),(VLOOKUP('18.05'!AA30,'18.05'!$AO$4:$AQ$55,2,FALSE))*IF('18.05'!$AK30="是",'18.05'!$BB$4,'18.05'!$BB$3))</f>
        <v>0</v>
      </c>
      <c r="T30" s="4">
        <f>IF(ISNUMBER(SEARCH("营",'18.05'!AB30)),(-$Y30+50*IF('18.05'!$AK30="是",'18.05'!$BB$4,'18.05'!$BB$3)),(VLOOKUP('18.05'!AB30,'18.05'!$AO$4:$AQ$55,2,FALSE))*IF('18.05'!$AK30="是",'18.05'!$BB$4,'18.05'!$BB$3))</f>
        <v>0</v>
      </c>
      <c r="U30" s="4">
        <f>IF(ISNUMBER(SEARCH("营",'18.05'!AC30)),(-$Y30+50*IF('18.05'!$AK30="是",'18.05'!$BB$4,'18.05'!$BB$3)),(VLOOKUP('18.05'!AC30,'18.05'!$AO$4:$AQ$55,2,FALSE))*IF('18.05'!$AK30="是",'18.05'!$BB$4,'18.05'!$BB$3))</f>
        <v>0</v>
      </c>
      <c r="V30" s="4">
        <f>IF(ISNUMBER(SEARCH("营",'18.05'!AD30)),(-$Y30+50*IF('18.05'!$AK30="是",'18.05'!$BB$4,'18.05'!$BB$3)),(VLOOKUP('18.05'!AD30,'18.05'!$AO$4:$AQ$55,2,FALSE))*IF('18.05'!$AK30="是",'18.05'!$BB$4,'18.05'!$BB$3))</f>
        <v>0</v>
      </c>
      <c r="W30" s="4">
        <f>IF(ISNUMBER(SEARCH("营",'18.05'!AE30)),(-$Y30+50*IF('18.05'!$AK30="是",'18.05'!$BB$4,'18.05'!$BB$3)),(VLOOKUP('18.05'!AE30,'18.05'!$AO$4:$AQ$55,2,FALSE))*IF('18.05'!$AK30="是",'18.05'!$BB$4,'18.05'!$BB$3))</f>
        <v>0</v>
      </c>
      <c r="X30" s="4">
        <f>IF(ISNUMBER(SEARCH("营",'18.05'!AF30)),(-$Y30+50*IF('18.05'!$AK30="是",'18.05'!$BB$4,'18.05'!$BB$3)),(VLOOKUP('18.05'!AF30,'18.05'!$AO$4:$AQ$55,2,FALSE))*IF('18.05'!$AK30="是",'18.05'!$BB$4,'18.05'!$BB$3))</f>
        <v>0</v>
      </c>
      <c r="Y30" s="69">
        <v>200</v>
      </c>
      <c r="Z30" s="75">
        <v>45665</v>
      </c>
    </row>
    <row r="31" spans="1:26">
      <c r="A31" s="4">
        <f>IF(ISNUMBER(SEARCH("营",'18.05'!I31)),(-$Y31+50*IF('18.05'!$AK31="是",'18.05'!$BB$4,'18.05'!$BB$3)),(VLOOKUP('18.05'!I31,'18.05'!$AO$4:$AQ$55,2,FALSE))*IF('18.05'!$AK31="是",'18.05'!$BB$4,'18.05'!$BB$3))</f>
        <v>120</v>
      </c>
      <c r="B31" s="4">
        <f>IF(ISNUMBER(SEARCH("营",'18.05'!J31)),(-$Y31+50*IF('18.05'!$AK31="是",'18.05'!$BB$4,'18.05'!$BB$3)),(VLOOKUP('18.05'!J31,'18.05'!$AO$4:$AQ$55,2,FALSE))*IF('18.05'!$AK31="是",'18.05'!$BB$4,'18.05'!$BB$3))</f>
        <v>160</v>
      </c>
      <c r="C31" s="4">
        <f>IF(ISNUMBER(SEARCH("营",'18.05'!K31)),(-$Y31+50*IF('18.05'!$AK31="是",'18.05'!$BB$4,'18.05'!$BB$3)),(VLOOKUP('18.05'!K31,'18.05'!$AO$4:$AQ$55,2,FALSE))*IF('18.05'!$AK31="是",'18.05'!$BB$4,'18.05'!$BB$3))</f>
        <v>160</v>
      </c>
      <c r="D31" s="4">
        <f>IF(ISNUMBER(SEARCH("营",'18.05'!L31)),(-$Y31+50*IF('18.05'!$AK31="是",'18.05'!$BB$4,'18.05'!$BB$3)),(VLOOKUP('18.05'!L31,'18.05'!$AO$4:$AQ$55,2,FALSE))*IF('18.05'!$AK31="是",'18.05'!$BB$4,'18.05'!$BB$3))</f>
        <v>160</v>
      </c>
      <c r="E31" s="4">
        <f>IF(ISNUMBER(SEARCH("营",'18.05'!M31)),(-$Y31+50*IF('18.05'!$AK31="是",'18.05'!$BB$4,'18.05'!$BB$3)),(VLOOKUP('18.05'!M31,'18.05'!$AO$4:$AQ$55,2,FALSE))*IF('18.05'!$AK31="是",'18.05'!$BB$4,'18.05'!$BB$3))</f>
        <v>160</v>
      </c>
      <c r="F31" s="4">
        <f>IF(ISNUMBER(SEARCH("营",'18.05'!N31)),(-$Y31+50*IF('18.05'!$AK31="是",'18.05'!$BB$4,'18.05'!$BB$3)),(VLOOKUP('18.05'!N31,'18.05'!$AO$4:$AQ$55,2,FALSE))*IF('18.05'!$AK31="是",'18.05'!$BB$4,'18.05'!$BB$3))</f>
        <v>160</v>
      </c>
      <c r="G31" s="4">
        <f>IF(ISNUMBER(SEARCH("营",'18.05'!O31)),(-$Y31+50*IF('18.05'!$AK31="是",'18.05'!$BB$4,'18.05'!$BB$3)),(VLOOKUP('18.05'!O31,'18.05'!$AO$4:$AQ$55,2,FALSE))*IF('18.05'!$AK31="是",'18.05'!$BB$4,'18.05'!$BB$3))</f>
        <v>160</v>
      </c>
      <c r="H31" s="4">
        <f>IF(ISNUMBER(SEARCH("营",'18.05'!P31)),(-$Y31+50*IF('18.05'!$AK31="是",'18.05'!$BB$4,'18.05'!$BB$3)),(VLOOKUP('18.05'!P31,'18.05'!$AO$4:$AQ$55,2,FALSE))*IF('18.05'!$AK31="是",'18.05'!$BB$4,'18.05'!$BB$3))</f>
        <v>0</v>
      </c>
      <c r="I31" s="4">
        <f>IF(ISNUMBER(SEARCH("营",'18.05'!Q31)),(-$Y31+50*IF('18.05'!$AK31="是",'18.05'!$BB$4,'18.05'!$BB$3)),(VLOOKUP('18.05'!Q31,'18.05'!$AO$4:$AQ$55,2,FALSE))*IF('18.05'!$AK31="是",'18.05'!$BB$4,'18.05'!$BB$3))</f>
        <v>152</v>
      </c>
      <c r="J31" s="4">
        <f>IF(ISNUMBER(SEARCH("营",'18.05'!R31)),(-$Y31+50*IF('18.05'!$AK31="是",'18.05'!$BB$4,'18.05'!$BB$3)),(VLOOKUP('18.05'!R31,'18.05'!$AO$4:$AQ$55,2,FALSE))*IF('18.05'!$AK31="是",'18.05'!$BB$4,'18.05'!$BB$3))</f>
        <v>152</v>
      </c>
      <c r="K31" s="4">
        <f>IF(ISNUMBER(SEARCH("营",'18.05'!S31)),(-$Y31+50*IF('18.05'!$AK31="是",'18.05'!$BB$4,'18.05'!$BB$3)),(VLOOKUP('18.05'!S31,'18.05'!$AO$4:$AQ$55,2,FALSE))*IF('18.05'!$AK31="是",'18.05'!$BB$4,'18.05'!$BB$3))</f>
        <v>152</v>
      </c>
      <c r="L31" s="4">
        <f>IF(ISNUMBER(SEARCH("营",'18.05'!T31)),(-$Y31+50*IF('18.05'!$AK31="是",'18.05'!$BB$4,'18.05'!$BB$3)),(VLOOKUP('18.05'!T31,'18.05'!$AO$4:$AQ$55,2,FALSE))*IF('18.05'!$AK31="是",'18.05'!$BB$4,'18.05'!$BB$3))</f>
        <v>152</v>
      </c>
      <c r="M31" s="4">
        <f>IF(ISNUMBER(SEARCH("营",'18.05'!U31)),(-$Y31+50*IF('18.05'!$AK31="是",'18.05'!$BB$4,'18.05'!$BB$3)),(VLOOKUP('18.05'!U31,'18.05'!$AO$4:$AQ$55,2,FALSE))*IF('18.05'!$AK31="是",'18.05'!$BB$4,'18.05'!$BB$3))</f>
        <v>152</v>
      </c>
      <c r="N31" s="4">
        <f>IF(ISNUMBER(SEARCH("营",'18.05'!V31)),(-$Y31+50*IF('18.05'!$AK31="是",'18.05'!$BB$4,'18.05'!$BB$3)),(VLOOKUP('18.05'!V31,'18.05'!$AO$4:$AQ$55,2,FALSE))*IF('18.05'!$AK31="是",'18.05'!$BB$4,'18.05'!$BB$3))</f>
        <v>152</v>
      </c>
      <c r="O31" s="4">
        <f>IF(ISNUMBER(SEARCH("营",'18.05'!W31)),(-$Y31+50*IF('18.05'!$AK31="是",'18.05'!$BB$4,'18.05'!$BB$3)),(VLOOKUP('18.05'!W31,'18.05'!$AO$4:$AQ$55,2,FALSE))*IF('18.05'!$AK31="是",'18.05'!$BB$4,'18.05'!$BB$3))</f>
        <v>0</v>
      </c>
      <c r="P31" s="4">
        <f>IF(ISNUMBER(SEARCH("营",'18.05'!X31)),(-$Y31+50*IF('18.05'!$AK31="是",'18.05'!$BB$4,'18.05'!$BB$3)),(VLOOKUP('18.05'!X31,'18.05'!$AO$4:$AQ$55,2,FALSE))*IF('18.05'!$AK31="是",'18.05'!$BB$4,'18.05'!$BB$3))</f>
        <v>0</v>
      </c>
      <c r="Q31" s="4">
        <f>IF(ISNUMBER(SEARCH("营",'18.05'!Y31)),(-$Y31+50*IF('18.05'!$AK31="是",'18.05'!$BB$4,'18.05'!$BB$3)),(VLOOKUP('18.05'!Y31,'18.05'!$AO$4:$AQ$55,2,FALSE))*IF('18.05'!$AK31="是",'18.05'!$BB$4,'18.05'!$BB$3))</f>
        <v>0</v>
      </c>
      <c r="R31" s="4">
        <f>IF(ISNUMBER(SEARCH("营",'18.05'!Z31)),(-$Y31+50*IF('18.05'!$AK31="是",'18.05'!$BB$4,'18.05'!$BB$3)),(VLOOKUP('18.05'!Z31,'18.05'!$AO$4:$AQ$55,2,FALSE))*IF('18.05'!$AK31="是",'18.05'!$BB$4,'18.05'!$BB$3))</f>
        <v>0</v>
      </c>
      <c r="S31" s="4">
        <f>IF(ISNUMBER(SEARCH("营",'18.05'!AA31)),(-$Y31+50*IF('18.05'!$AK31="是",'18.05'!$BB$4,'18.05'!$BB$3)),(VLOOKUP('18.05'!AA31,'18.05'!$AO$4:$AQ$55,2,FALSE))*IF('18.05'!$AK31="是",'18.05'!$BB$4,'18.05'!$BB$3))</f>
        <v>0</v>
      </c>
      <c r="T31" s="4">
        <f>IF(ISNUMBER(SEARCH("营",'18.05'!AB31)),(-$Y31+50*IF('18.05'!$AK31="是",'18.05'!$BB$4,'18.05'!$BB$3)),(VLOOKUP('18.05'!AB31,'18.05'!$AO$4:$AQ$55,2,FALSE))*IF('18.05'!$AK31="是",'18.05'!$BB$4,'18.05'!$BB$3))</f>
        <v>0</v>
      </c>
      <c r="U31" s="4">
        <f>IF(ISNUMBER(SEARCH("营",'18.05'!AC31)),(-$Y31+50*IF('18.05'!$AK31="是",'18.05'!$BB$4,'18.05'!$BB$3)),(VLOOKUP('18.05'!AC31,'18.05'!$AO$4:$AQ$55,2,FALSE))*IF('18.05'!$AK31="是",'18.05'!$BB$4,'18.05'!$BB$3))</f>
        <v>0</v>
      </c>
      <c r="V31" s="4">
        <f>IF(ISNUMBER(SEARCH("营",'18.05'!AD31)),(-$Y31+50*IF('18.05'!$AK31="是",'18.05'!$BB$4,'18.05'!$BB$3)),(VLOOKUP('18.05'!AD31,'18.05'!$AO$4:$AQ$55,2,FALSE))*IF('18.05'!$AK31="是",'18.05'!$BB$4,'18.05'!$BB$3))</f>
        <v>0</v>
      </c>
      <c r="W31" s="4">
        <f>IF(ISNUMBER(SEARCH("营",'18.05'!AE31)),(-$Y31+50*IF('18.05'!$AK31="是",'18.05'!$BB$4,'18.05'!$BB$3)),(VLOOKUP('18.05'!AE31,'18.05'!$AO$4:$AQ$55,2,FALSE))*IF('18.05'!$AK31="是",'18.05'!$BB$4,'18.05'!$BB$3))</f>
        <v>0</v>
      </c>
      <c r="X31" s="4">
        <f>IF(ISNUMBER(SEARCH("营",'18.05'!AF31)),(-$Y31+50*IF('18.05'!$AK31="是",'18.05'!$BB$4,'18.05'!$BB$3)),(VLOOKUP('18.05'!AF31,'18.05'!$AO$4:$AQ$55,2,FALSE))*IF('18.05'!$AK31="是",'18.05'!$BB$4,'18.05'!$BB$3))</f>
        <v>0</v>
      </c>
      <c r="Y31" s="69">
        <v>200</v>
      </c>
      <c r="Z31" s="75">
        <v>45666</v>
      </c>
    </row>
    <row r="32" spans="1:26">
      <c r="A32" s="4">
        <f>IF(ISNUMBER(SEARCH("营",'18.05'!I32)),(-$Y32+50*IF('18.05'!$AK32="是",'18.05'!$BB$4,'18.05'!$BB$3)),(VLOOKUP('18.05'!I32,'18.05'!$AO$4:$AQ$55,2,FALSE))*IF('18.05'!$AK32="是",'18.05'!$BB$4,'18.05'!$BB$3))</f>
        <v>160</v>
      </c>
      <c r="B32" s="4">
        <f>IF(ISNUMBER(SEARCH("营",'18.05'!J32)),(-$Y32+50*IF('18.05'!$AK32="是",'18.05'!$BB$4,'18.05'!$BB$3)),(VLOOKUP('18.05'!J32,'18.05'!$AO$4:$AQ$55,2,FALSE))*IF('18.05'!$AK32="是",'18.05'!$BB$4,'18.05'!$BB$3))</f>
        <v>160</v>
      </c>
      <c r="C32" s="4">
        <f>IF(ISNUMBER(SEARCH("营",'18.05'!K32)),(-$Y32+50*IF('18.05'!$AK32="是",'18.05'!$BB$4,'18.05'!$BB$3)),(VLOOKUP('18.05'!K32,'18.05'!$AO$4:$AQ$55,2,FALSE))*IF('18.05'!$AK32="是",'18.05'!$BB$4,'18.05'!$BB$3))</f>
        <v>160</v>
      </c>
      <c r="D32" s="4">
        <f>IF(ISNUMBER(SEARCH("营",'18.05'!L32)),(-$Y32+50*IF('18.05'!$AK32="是",'18.05'!$BB$4,'18.05'!$BB$3)),(VLOOKUP('18.05'!L32,'18.05'!$AO$4:$AQ$55,2,FALSE))*IF('18.05'!$AK32="是",'18.05'!$BB$4,'18.05'!$BB$3))</f>
        <v>160</v>
      </c>
      <c r="E32" s="4">
        <f>IF(ISNUMBER(SEARCH("营",'18.05'!M32)),(-$Y32+50*IF('18.05'!$AK32="是",'18.05'!$BB$4,'18.05'!$BB$3)),(VLOOKUP('18.05'!M32,'18.05'!$AO$4:$AQ$55,2,FALSE))*IF('18.05'!$AK32="是",'18.05'!$BB$4,'18.05'!$BB$3))</f>
        <v>160</v>
      </c>
      <c r="F32" s="4">
        <f>IF(ISNUMBER(SEARCH("营",'18.05'!N32)),(-$Y32+50*IF('18.05'!$AK32="是",'18.05'!$BB$4,'18.05'!$BB$3)),(VLOOKUP('18.05'!N32,'18.05'!$AO$4:$AQ$55,2,FALSE))*IF('18.05'!$AK32="是",'18.05'!$BB$4,'18.05'!$BB$3))</f>
        <v>160</v>
      </c>
      <c r="G32" s="4">
        <f>IF(ISNUMBER(SEARCH("营",'18.05'!O32)),(-$Y32+50*IF('18.05'!$AK32="是",'18.05'!$BB$4,'18.05'!$BB$3)),(VLOOKUP('18.05'!O32,'18.05'!$AO$4:$AQ$55,2,FALSE))*IF('18.05'!$AK32="是",'18.05'!$BB$4,'18.05'!$BB$3))</f>
        <v>0</v>
      </c>
      <c r="H32" s="4">
        <f>IF(ISNUMBER(SEARCH("营",'18.05'!P32)),(-$Y32+50*IF('18.05'!$AK32="是",'18.05'!$BB$4,'18.05'!$BB$3)),(VLOOKUP('18.05'!P32,'18.05'!$AO$4:$AQ$55,2,FALSE))*IF('18.05'!$AK32="是",'18.05'!$BB$4,'18.05'!$BB$3))</f>
        <v>0</v>
      </c>
      <c r="I32" s="4">
        <f>IF(ISNUMBER(SEARCH("营",'18.05'!Q32)),(-$Y32+50*IF('18.05'!$AK32="是",'18.05'!$BB$4,'18.05'!$BB$3)),(VLOOKUP('18.05'!Q32,'18.05'!$AO$4:$AQ$55,2,FALSE))*IF('18.05'!$AK32="是",'18.05'!$BB$4,'18.05'!$BB$3))</f>
        <v>152</v>
      </c>
      <c r="J32" s="4">
        <f>IF(ISNUMBER(SEARCH("营",'18.05'!R32)),(-$Y32+50*IF('18.05'!$AK32="是",'18.05'!$BB$4,'18.05'!$BB$3)),(VLOOKUP('18.05'!R32,'18.05'!$AO$4:$AQ$55,2,FALSE))*IF('18.05'!$AK32="是",'18.05'!$BB$4,'18.05'!$BB$3))</f>
        <v>152</v>
      </c>
      <c r="K32" s="4">
        <f>IF(ISNUMBER(SEARCH("营",'18.05'!S32)),(-$Y32+50*IF('18.05'!$AK32="是",'18.05'!$BB$4,'18.05'!$BB$3)),(VLOOKUP('18.05'!S32,'18.05'!$AO$4:$AQ$55,2,FALSE))*IF('18.05'!$AK32="是",'18.05'!$BB$4,'18.05'!$BB$3))</f>
        <v>152</v>
      </c>
      <c r="L32" s="4">
        <f>IF(ISNUMBER(SEARCH("营",'18.05'!T32)),(-$Y32+50*IF('18.05'!$AK32="是",'18.05'!$BB$4,'18.05'!$BB$3)),(VLOOKUP('18.05'!T32,'18.05'!$AO$4:$AQ$55,2,FALSE))*IF('18.05'!$AK32="是",'18.05'!$BB$4,'18.05'!$BB$3))</f>
        <v>152</v>
      </c>
      <c r="M32" s="4">
        <f>IF(ISNUMBER(SEARCH("营",'18.05'!U32)),(-$Y32+50*IF('18.05'!$AK32="是",'18.05'!$BB$4,'18.05'!$BB$3)),(VLOOKUP('18.05'!U32,'18.05'!$AO$4:$AQ$55,2,FALSE))*IF('18.05'!$AK32="是",'18.05'!$BB$4,'18.05'!$BB$3))</f>
        <v>152</v>
      </c>
      <c r="N32" s="4">
        <f>IF(ISNUMBER(SEARCH("营",'18.05'!V32)),(-$Y32+50*IF('18.05'!$AK32="是",'18.05'!$BB$4,'18.05'!$BB$3)),(VLOOKUP('18.05'!V32,'18.05'!$AO$4:$AQ$55,2,FALSE))*IF('18.05'!$AK32="是",'18.05'!$BB$4,'18.05'!$BB$3))</f>
        <v>152</v>
      </c>
      <c r="O32" s="4">
        <f>IF(ISNUMBER(SEARCH("营",'18.05'!W32)),(-$Y32+50*IF('18.05'!$AK32="是",'18.05'!$BB$4,'18.05'!$BB$3)),(VLOOKUP('18.05'!W32,'18.05'!$AO$4:$AQ$55,2,FALSE))*IF('18.05'!$AK32="是",'18.05'!$BB$4,'18.05'!$BB$3))</f>
        <v>0</v>
      </c>
      <c r="P32" s="4">
        <f>IF(ISNUMBER(SEARCH("营",'18.05'!X32)),(-$Y32+50*IF('18.05'!$AK32="是",'18.05'!$BB$4,'18.05'!$BB$3)),(VLOOKUP('18.05'!X32,'18.05'!$AO$4:$AQ$55,2,FALSE))*IF('18.05'!$AK32="是",'18.05'!$BB$4,'18.05'!$BB$3))</f>
        <v>0</v>
      </c>
      <c r="Q32" s="4">
        <f>IF(ISNUMBER(SEARCH("营",'18.05'!Y32)),(-$Y32+50*IF('18.05'!$AK32="是",'18.05'!$BB$4,'18.05'!$BB$3)),(VLOOKUP('18.05'!Y32,'18.05'!$AO$4:$AQ$55,2,FALSE))*IF('18.05'!$AK32="是",'18.05'!$BB$4,'18.05'!$BB$3))</f>
        <v>0</v>
      </c>
      <c r="R32" s="4">
        <f>IF(ISNUMBER(SEARCH("营",'18.05'!Z32)),(-$Y32+50*IF('18.05'!$AK32="是",'18.05'!$BB$4,'18.05'!$BB$3)),(VLOOKUP('18.05'!Z32,'18.05'!$AO$4:$AQ$55,2,FALSE))*IF('18.05'!$AK32="是",'18.05'!$BB$4,'18.05'!$BB$3))</f>
        <v>0</v>
      </c>
      <c r="S32" s="4">
        <f>IF(ISNUMBER(SEARCH("营",'18.05'!AA32)),(-$Y32+50*IF('18.05'!$AK32="是",'18.05'!$BB$4,'18.05'!$BB$3)),(VLOOKUP('18.05'!AA32,'18.05'!$AO$4:$AQ$55,2,FALSE))*IF('18.05'!$AK32="是",'18.05'!$BB$4,'18.05'!$BB$3))</f>
        <v>0</v>
      </c>
      <c r="T32" s="4">
        <f>IF(ISNUMBER(SEARCH("营",'18.05'!AB32)),(-$Y32+50*IF('18.05'!$AK32="是",'18.05'!$BB$4,'18.05'!$BB$3)),(VLOOKUP('18.05'!AB32,'18.05'!$AO$4:$AQ$55,2,FALSE))*IF('18.05'!$AK32="是",'18.05'!$BB$4,'18.05'!$BB$3))</f>
        <v>0</v>
      </c>
      <c r="U32" s="4">
        <f>IF(ISNUMBER(SEARCH("营",'18.05'!AC32)),(-$Y32+50*IF('18.05'!$AK32="是",'18.05'!$BB$4,'18.05'!$BB$3)),(VLOOKUP('18.05'!AC32,'18.05'!$AO$4:$AQ$55,2,FALSE))*IF('18.05'!$AK32="是",'18.05'!$BB$4,'18.05'!$BB$3))</f>
        <v>0</v>
      </c>
      <c r="V32" s="4">
        <f>IF(ISNUMBER(SEARCH("营",'18.05'!AD32)),(-$Y32+50*IF('18.05'!$AK32="是",'18.05'!$BB$4,'18.05'!$BB$3)),(VLOOKUP('18.05'!AD32,'18.05'!$AO$4:$AQ$55,2,FALSE))*IF('18.05'!$AK32="是",'18.05'!$BB$4,'18.05'!$BB$3))</f>
        <v>0</v>
      </c>
      <c r="W32" s="4">
        <f>IF(ISNUMBER(SEARCH("营",'18.05'!AE32)),(-$Y32+50*IF('18.05'!$AK32="是",'18.05'!$BB$4,'18.05'!$BB$3)),(VLOOKUP('18.05'!AE32,'18.05'!$AO$4:$AQ$55,2,FALSE))*IF('18.05'!$AK32="是",'18.05'!$BB$4,'18.05'!$BB$3))</f>
        <v>0</v>
      </c>
      <c r="X32" s="4">
        <f>IF(ISNUMBER(SEARCH("营",'18.05'!AF32)),(-$Y32+50*IF('18.05'!$AK32="是",'18.05'!$BB$4,'18.05'!$BB$3)),(VLOOKUP('18.05'!AF32,'18.05'!$AO$4:$AQ$55,2,FALSE))*IF('18.05'!$AK32="是",'18.05'!$BB$4,'18.05'!$BB$3))</f>
        <v>0</v>
      </c>
      <c r="Y32" s="69">
        <v>200</v>
      </c>
      <c r="Z32" s="75">
        <v>45667</v>
      </c>
    </row>
    <row r="33" spans="1:26">
      <c r="A33" s="4">
        <f>IF(ISNUMBER(SEARCH("营",'18.05'!I33)),(-$Y33+50*IF('18.05'!$AK33="是",'18.05'!$BB$4,'18.05'!$BB$3)),(VLOOKUP('18.05'!I33,'18.05'!$AO$4:$AQ$55,2,FALSE))*IF('18.05'!$AK33="是",'18.05'!$BB$4,'18.05'!$BB$3))</f>
        <v>160</v>
      </c>
      <c r="B33" s="4">
        <f>IF(ISNUMBER(SEARCH("营",'18.05'!J33)),(-$Y33+50*IF('18.05'!$AK33="是",'18.05'!$BB$4,'18.05'!$BB$3)),(VLOOKUP('18.05'!J33,'18.05'!$AO$4:$AQ$55,2,FALSE))*IF('18.05'!$AK33="是",'18.05'!$BB$4,'18.05'!$BB$3))</f>
        <v>160</v>
      </c>
      <c r="C33" s="4">
        <f>IF(ISNUMBER(SEARCH("营",'18.05'!K33)),(-$Y33+50*IF('18.05'!$AK33="是",'18.05'!$BB$4,'18.05'!$BB$3)),(VLOOKUP('18.05'!K33,'18.05'!$AO$4:$AQ$55,2,FALSE))*IF('18.05'!$AK33="是",'18.05'!$BB$4,'18.05'!$BB$3))</f>
        <v>160</v>
      </c>
      <c r="D33" s="4">
        <f>IF(ISNUMBER(SEARCH("营",'18.05'!L33)),(-$Y33+50*IF('18.05'!$AK33="是",'18.05'!$BB$4,'18.05'!$BB$3)),(VLOOKUP('18.05'!L33,'18.05'!$AO$4:$AQ$55,2,FALSE))*IF('18.05'!$AK33="是",'18.05'!$BB$4,'18.05'!$BB$3))</f>
        <v>160</v>
      </c>
      <c r="E33" s="4">
        <f>IF(ISNUMBER(SEARCH("营",'18.05'!M33)),(-$Y33+50*IF('18.05'!$AK33="是",'18.05'!$BB$4,'18.05'!$BB$3)),(VLOOKUP('18.05'!M33,'18.05'!$AO$4:$AQ$55,2,FALSE))*IF('18.05'!$AK33="是",'18.05'!$BB$4,'18.05'!$BB$3))</f>
        <v>160</v>
      </c>
      <c r="F33" s="4">
        <f>IF(ISNUMBER(SEARCH("营",'18.05'!N33)),(-$Y33+50*IF('18.05'!$AK33="是",'18.05'!$BB$4,'18.05'!$BB$3)),(VLOOKUP('18.05'!N33,'18.05'!$AO$4:$AQ$55,2,FALSE))*IF('18.05'!$AK33="是",'18.05'!$BB$4,'18.05'!$BB$3))</f>
        <v>0</v>
      </c>
      <c r="G33" s="4">
        <f>IF(ISNUMBER(SEARCH("营",'18.05'!O33)),(-$Y33+50*IF('18.05'!$AK33="是",'18.05'!$BB$4,'18.05'!$BB$3)),(VLOOKUP('18.05'!O33,'18.05'!$AO$4:$AQ$55,2,FALSE))*IF('18.05'!$AK33="是",'18.05'!$BB$4,'18.05'!$BB$3))</f>
        <v>0</v>
      </c>
      <c r="H33" s="4">
        <f>IF(ISNUMBER(SEARCH("营",'18.05'!P33)),(-$Y33+50*IF('18.05'!$AK33="是",'18.05'!$BB$4,'18.05'!$BB$3)),(VLOOKUP('18.05'!P33,'18.05'!$AO$4:$AQ$55,2,FALSE))*IF('18.05'!$AK33="是",'18.05'!$BB$4,'18.05'!$BB$3))</f>
        <v>0</v>
      </c>
      <c r="I33" s="4">
        <f>IF(ISNUMBER(SEARCH("营",'18.05'!Q33)),(-$Y33+50*IF('18.05'!$AK33="是",'18.05'!$BB$4,'18.05'!$BB$3)),(VLOOKUP('18.05'!Q33,'18.05'!$AO$4:$AQ$55,2,FALSE))*IF('18.05'!$AK33="是",'18.05'!$BB$4,'18.05'!$BB$3))</f>
        <v>152</v>
      </c>
      <c r="J33" s="4">
        <f>IF(ISNUMBER(SEARCH("营",'18.05'!R33)),(-$Y33+50*IF('18.05'!$AK33="是",'18.05'!$BB$4,'18.05'!$BB$3)),(VLOOKUP('18.05'!R33,'18.05'!$AO$4:$AQ$55,2,FALSE))*IF('18.05'!$AK33="是",'18.05'!$BB$4,'18.05'!$BB$3))</f>
        <v>144</v>
      </c>
      <c r="K33" s="4">
        <f>IF(ISNUMBER(SEARCH("营",'18.05'!S33)),(-$Y33+50*IF('18.05'!$AK33="是",'18.05'!$BB$4,'18.05'!$BB$3)),(VLOOKUP('18.05'!S33,'18.05'!$AO$4:$AQ$55,2,FALSE))*IF('18.05'!$AK33="是",'18.05'!$BB$4,'18.05'!$BB$3))</f>
        <v>144</v>
      </c>
      <c r="L33" s="4">
        <f>IF(ISNUMBER(SEARCH("营",'18.05'!T33)),(-$Y33+50*IF('18.05'!$AK33="是",'18.05'!$BB$4,'18.05'!$BB$3)),(VLOOKUP('18.05'!T33,'18.05'!$AO$4:$AQ$55,2,FALSE))*IF('18.05'!$AK33="是",'18.05'!$BB$4,'18.05'!$BB$3))</f>
        <v>144</v>
      </c>
      <c r="M33" s="4">
        <f>IF(ISNUMBER(SEARCH("营",'18.05'!U33)),(-$Y33+50*IF('18.05'!$AK33="是",'18.05'!$BB$4,'18.05'!$BB$3)),(VLOOKUP('18.05'!U33,'18.05'!$AO$4:$AQ$55,2,FALSE))*IF('18.05'!$AK33="是",'18.05'!$BB$4,'18.05'!$BB$3))</f>
        <v>144</v>
      </c>
      <c r="N33" s="4">
        <f>IF(ISNUMBER(SEARCH("营",'18.05'!V33)),(-$Y33+50*IF('18.05'!$AK33="是",'18.05'!$BB$4,'18.05'!$BB$3)),(VLOOKUP('18.05'!V33,'18.05'!$AO$4:$AQ$55,2,FALSE))*IF('18.05'!$AK33="是",'18.05'!$BB$4,'18.05'!$BB$3))</f>
        <v>144</v>
      </c>
      <c r="O33" s="4">
        <f>IF(ISNUMBER(SEARCH("营",'18.05'!W33)),(-$Y33+50*IF('18.05'!$AK33="是",'18.05'!$BB$4,'18.05'!$BB$3)),(VLOOKUP('18.05'!W33,'18.05'!$AO$4:$AQ$55,2,FALSE))*IF('18.05'!$AK33="是",'18.05'!$BB$4,'18.05'!$BB$3))</f>
        <v>0</v>
      </c>
      <c r="P33" s="4">
        <f>IF(ISNUMBER(SEARCH("营",'18.05'!X33)),(-$Y33+50*IF('18.05'!$AK33="是",'18.05'!$BB$4,'18.05'!$BB$3)),(VLOOKUP('18.05'!X33,'18.05'!$AO$4:$AQ$55,2,FALSE))*IF('18.05'!$AK33="是",'18.05'!$BB$4,'18.05'!$BB$3))</f>
        <v>0</v>
      </c>
      <c r="Q33" s="4">
        <f>IF(ISNUMBER(SEARCH("营",'18.05'!Y33)),(-$Y33+50*IF('18.05'!$AK33="是",'18.05'!$BB$4,'18.05'!$BB$3)),(VLOOKUP('18.05'!Y33,'18.05'!$AO$4:$AQ$55,2,FALSE))*IF('18.05'!$AK33="是",'18.05'!$BB$4,'18.05'!$BB$3))</f>
        <v>0</v>
      </c>
      <c r="R33" s="4">
        <f>IF(ISNUMBER(SEARCH("营",'18.05'!Z33)),(-$Y33+50*IF('18.05'!$AK33="是",'18.05'!$BB$4,'18.05'!$BB$3)),(VLOOKUP('18.05'!Z33,'18.05'!$AO$4:$AQ$55,2,FALSE))*IF('18.05'!$AK33="是",'18.05'!$BB$4,'18.05'!$BB$3))</f>
        <v>0</v>
      </c>
      <c r="S33" s="4">
        <f>IF(ISNUMBER(SEARCH("营",'18.05'!AA33)),(-$Y33+50*IF('18.05'!$AK33="是",'18.05'!$BB$4,'18.05'!$BB$3)),(VLOOKUP('18.05'!AA33,'18.05'!$AO$4:$AQ$55,2,FALSE))*IF('18.05'!$AK33="是",'18.05'!$BB$4,'18.05'!$BB$3))</f>
        <v>0</v>
      </c>
      <c r="T33" s="4">
        <f>IF(ISNUMBER(SEARCH("营",'18.05'!AB33)),(-$Y33+50*IF('18.05'!$AK33="是",'18.05'!$BB$4,'18.05'!$BB$3)),(VLOOKUP('18.05'!AB33,'18.05'!$AO$4:$AQ$55,2,FALSE))*IF('18.05'!$AK33="是",'18.05'!$BB$4,'18.05'!$BB$3))</f>
        <v>0</v>
      </c>
      <c r="U33" s="4">
        <f>IF(ISNUMBER(SEARCH("营",'18.05'!AC33)),(-$Y33+50*IF('18.05'!$AK33="是",'18.05'!$BB$4,'18.05'!$BB$3)),(VLOOKUP('18.05'!AC33,'18.05'!$AO$4:$AQ$55,2,FALSE))*IF('18.05'!$AK33="是",'18.05'!$BB$4,'18.05'!$BB$3))</f>
        <v>0</v>
      </c>
      <c r="V33" s="4">
        <f>IF(ISNUMBER(SEARCH("营",'18.05'!AD33)),(-$Y33+50*IF('18.05'!$AK33="是",'18.05'!$BB$4,'18.05'!$BB$3)),(VLOOKUP('18.05'!AD33,'18.05'!$AO$4:$AQ$55,2,FALSE))*IF('18.05'!$AK33="是",'18.05'!$BB$4,'18.05'!$BB$3))</f>
        <v>0</v>
      </c>
      <c r="W33" s="4">
        <f>IF(ISNUMBER(SEARCH("营",'18.05'!AE33)),(-$Y33+50*IF('18.05'!$AK33="是",'18.05'!$BB$4,'18.05'!$BB$3)),(VLOOKUP('18.05'!AE33,'18.05'!$AO$4:$AQ$55,2,FALSE))*IF('18.05'!$AK33="是",'18.05'!$BB$4,'18.05'!$BB$3))</f>
        <v>0</v>
      </c>
      <c r="X33" s="4">
        <f>IF(ISNUMBER(SEARCH("营",'18.05'!AF33)),(-$Y33+50*IF('18.05'!$AK33="是",'18.05'!$BB$4,'18.05'!$BB$3)),(VLOOKUP('18.05'!AF33,'18.05'!$AO$4:$AQ$55,2,FALSE))*IF('18.05'!$AK33="是",'18.05'!$BB$4,'18.05'!$BB$3))</f>
        <v>0</v>
      </c>
      <c r="Y33" s="69">
        <v>200</v>
      </c>
      <c r="Z33" s="75">
        <v>45668</v>
      </c>
    </row>
    <row r="34" spans="1:26">
      <c r="A34" s="4">
        <f>IF(ISNUMBER(SEARCH("营",'18.05'!I34)),(-$Y34+50*IF('18.05'!$AK34="是",'18.05'!$BB$4,'18.05'!$BB$3)),(VLOOKUP('18.05'!I34,'18.05'!$AO$4:$AQ$55,2,FALSE))*IF('18.05'!$AK34="是",'18.05'!$BB$4,'18.05'!$BB$3))</f>
        <v>160</v>
      </c>
      <c r="B34" s="4">
        <f>IF(ISNUMBER(SEARCH("营",'18.05'!J34)),(-$Y34+50*IF('18.05'!$AK34="是",'18.05'!$BB$4,'18.05'!$BB$3)),(VLOOKUP('18.05'!J34,'18.05'!$AO$4:$AQ$55,2,FALSE))*IF('18.05'!$AK34="是",'18.05'!$BB$4,'18.05'!$BB$3))</f>
        <v>160</v>
      </c>
      <c r="C34" s="4">
        <f>IF(ISNUMBER(SEARCH("营",'18.05'!K34)),(-$Y34+50*IF('18.05'!$AK34="是",'18.05'!$BB$4,'18.05'!$BB$3)),(VLOOKUP('18.05'!K34,'18.05'!$AO$4:$AQ$55,2,FALSE))*IF('18.05'!$AK34="是",'18.05'!$BB$4,'18.05'!$BB$3))</f>
        <v>160</v>
      </c>
      <c r="D34" s="4">
        <f>IF(ISNUMBER(SEARCH("营",'18.05'!L34)),(-$Y34+50*IF('18.05'!$AK34="是",'18.05'!$BB$4,'18.05'!$BB$3)),(VLOOKUP('18.05'!L34,'18.05'!$AO$4:$AQ$55,2,FALSE))*IF('18.05'!$AK34="是",'18.05'!$BB$4,'18.05'!$BB$3))</f>
        <v>160</v>
      </c>
      <c r="E34" s="4">
        <f>IF(ISNUMBER(SEARCH("营",'18.05'!M34)),(-$Y34+50*IF('18.05'!$AK34="是",'18.05'!$BB$4,'18.05'!$BB$3)),(VLOOKUP('18.05'!M34,'18.05'!$AO$4:$AQ$55,2,FALSE))*IF('18.05'!$AK34="是",'18.05'!$BB$4,'18.05'!$BB$3))</f>
        <v>160</v>
      </c>
      <c r="F34" s="4">
        <f>IF(ISNUMBER(SEARCH("营",'18.05'!N34)),(-$Y34+50*IF('18.05'!$AK34="是",'18.05'!$BB$4,'18.05'!$BB$3)),(VLOOKUP('18.05'!N34,'18.05'!$AO$4:$AQ$55,2,FALSE))*IF('18.05'!$AK34="是",'18.05'!$BB$4,'18.05'!$BB$3))</f>
        <v>160</v>
      </c>
      <c r="G34" s="4">
        <f>IF(ISNUMBER(SEARCH("营",'18.05'!O34)),(-$Y34+50*IF('18.05'!$AK34="是",'18.05'!$BB$4,'18.05'!$BB$3)),(VLOOKUP('18.05'!O34,'18.05'!$AO$4:$AQ$55,2,FALSE))*IF('18.05'!$AK34="是",'18.05'!$BB$4,'18.05'!$BB$3))</f>
        <v>0</v>
      </c>
      <c r="H34" s="4">
        <f>IF(ISNUMBER(SEARCH("营",'18.05'!P34)),(-$Y34+50*IF('18.05'!$AK34="是",'18.05'!$BB$4,'18.05'!$BB$3)),(VLOOKUP('18.05'!P34,'18.05'!$AO$4:$AQ$55,2,FALSE))*IF('18.05'!$AK34="是",'18.05'!$BB$4,'18.05'!$BB$3))</f>
        <v>0</v>
      </c>
      <c r="I34" s="4">
        <f>IF(ISNUMBER(SEARCH("营",'18.05'!Q34)),(-$Y34+50*IF('18.05'!$AK34="是",'18.05'!$BB$4,'18.05'!$BB$3)),(VLOOKUP('18.05'!Q34,'18.05'!$AO$4:$AQ$55,2,FALSE))*IF('18.05'!$AK34="是",'18.05'!$BB$4,'18.05'!$BB$3))</f>
        <v>144</v>
      </c>
      <c r="J34" s="4">
        <f>IF(ISNUMBER(SEARCH("营",'18.05'!R34)),(-$Y34+50*IF('18.05'!$AK34="是",'18.05'!$BB$4,'18.05'!$BB$3)),(VLOOKUP('18.05'!R34,'18.05'!$AO$4:$AQ$55,2,FALSE))*IF('18.05'!$AK34="是",'18.05'!$BB$4,'18.05'!$BB$3))</f>
        <v>144</v>
      </c>
      <c r="K34" s="4">
        <f>IF(ISNUMBER(SEARCH("营",'18.05'!S34)),(-$Y34+50*IF('18.05'!$AK34="是",'18.05'!$BB$4,'18.05'!$BB$3)),(VLOOKUP('18.05'!S34,'18.05'!$AO$4:$AQ$55,2,FALSE))*IF('18.05'!$AK34="是",'18.05'!$BB$4,'18.05'!$BB$3))</f>
        <v>144</v>
      </c>
      <c r="L34" s="4">
        <f>IF(ISNUMBER(SEARCH("营",'18.05'!T34)),(-$Y34+50*IF('18.05'!$AK34="是",'18.05'!$BB$4,'18.05'!$BB$3)),(VLOOKUP('18.05'!T34,'18.05'!$AO$4:$AQ$55,2,FALSE))*IF('18.05'!$AK34="是",'18.05'!$BB$4,'18.05'!$BB$3))</f>
        <v>144</v>
      </c>
      <c r="M34" s="4">
        <f>IF(ISNUMBER(SEARCH("营",'18.05'!U34)),(-$Y34+50*IF('18.05'!$AK34="是",'18.05'!$BB$4,'18.05'!$BB$3)),(VLOOKUP('18.05'!U34,'18.05'!$AO$4:$AQ$55,2,FALSE))*IF('18.05'!$AK34="是",'18.05'!$BB$4,'18.05'!$BB$3))</f>
        <v>144</v>
      </c>
      <c r="N34" s="4">
        <f>IF(ISNUMBER(SEARCH("营",'18.05'!V34)),(-$Y34+50*IF('18.05'!$AK34="是",'18.05'!$BB$4,'18.05'!$BB$3)),(VLOOKUP('18.05'!V34,'18.05'!$AO$4:$AQ$55,2,FALSE))*IF('18.05'!$AK34="是",'18.05'!$BB$4,'18.05'!$BB$3))</f>
        <v>152</v>
      </c>
      <c r="O34" s="4">
        <f>IF(ISNUMBER(SEARCH("营",'18.05'!W34)),(-$Y34+50*IF('18.05'!$AK34="是",'18.05'!$BB$4,'18.05'!$BB$3)),(VLOOKUP('18.05'!W34,'18.05'!$AO$4:$AQ$55,2,FALSE))*IF('18.05'!$AK34="是",'18.05'!$BB$4,'18.05'!$BB$3))</f>
        <v>0</v>
      </c>
      <c r="P34" s="4">
        <f>IF(ISNUMBER(SEARCH("营",'18.05'!X34)),(-$Y34+50*IF('18.05'!$AK34="是",'18.05'!$BB$4,'18.05'!$BB$3)),(VLOOKUP('18.05'!X34,'18.05'!$AO$4:$AQ$55,2,FALSE))*IF('18.05'!$AK34="是",'18.05'!$BB$4,'18.05'!$BB$3))</f>
        <v>0</v>
      </c>
      <c r="Q34" s="4">
        <f>IF(ISNUMBER(SEARCH("营",'18.05'!Y34)),(-$Y34+50*IF('18.05'!$AK34="是",'18.05'!$BB$4,'18.05'!$BB$3)),(VLOOKUP('18.05'!Y34,'18.05'!$AO$4:$AQ$55,2,FALSE))*IF('18.05'!$AK34="是",'18.05'!$BB$4,'18.05'!$BB$3))</f>
        <v>0</v>
      </c>
      <c r="R34" s="4">
        <f>IF(ISNUMBER(SEARCH("营",'18.05'!Z34)),(-$Y34+50*IF('18.05'!$AK34="是",'18.05'!$BB$4,'18.05'!$BB$3)),(VLOOKUP('18.05'!Z34,'18.05'!$AO$4:$AQ$55,2,FALSE))*IF('18.05'!$AK34="是",'18.05'!$BB$4,'18.05'!$BB$3))</f>
        <v>0</v>
      </c>
      <c r="S34" s="4">
        <f>IF(ISNUMBER(SEARCH("营",'18.05'!AA34)),(-$Y34+50*IF('18.05'!$AK34="是",'18.05'!$BB$4,'18.05'!$BB$3)),(VLOOKUP('18.05'!AA34,'18.05'!$AO$4:$AQ$55,2,FALSE))*IF('18.05'!$AK34="是",'18.05'!$BB$4,'18.05'!$BB$3))</f>
        <v>0</v>
      </c>
      <c r="T34" s="4">
        <f>IF(ISNUMBER(SEARCH("营",'18.05'!AB34)),(-$Y34+50*IF('18.05'!$AK34="是",'18.05'!$BB$4,'18.05'!$BB$3)),(VLOOKUP('18.05'!AB34,'18.05'!$AO$4:$AQ$55,2,FALSE))*IF('18.05'!$AK34="是",'18.05'!$BB$4,'18.05'!$BB$3))</f>
        <v>0</v>
      </c>
      <c r="U34" s="4">
        <f>IF(ISNUMBER(SEARCH("营",'18.05'!AC34)),(-$Y34+50*IF('18.05'!$AK34="是",'18.05'!$BB$4,'18.05'!$BB$3)),(VLOOKUP('18.05'!AC34,'18.05'!$AO$4:$AQ$55,2,FALSE))*IF('18.05'!$AK34="是",'18.05'!$BB$4,'18.05'!$BB$3))</f>
        <v>0</v>
      </c>
      <c r="V34" s="4">
        <f>IF(ISNUMBER(SEARCH("营",'18.05'!AD34)),(-$Y34+50*IF('18.05'!$AK34="是",'18.05'!$BB$4,'18.05'!$BB$3)),(VLOOKUP('18.05'!AD34,'18.05'!$AO$4:$AQ$55,2,FALSE))*IF('18.05'!$AK34="是",'18.05'!$BB$4,'18.05'!$BB$3))</f>
        <v>0</v>
      </c>
      <c r="W34" s="4">
        <f>IF(ISNUMBER(SEARCH("营",'18.05'!AE34)),(-$Y34+50*IF('18.05'!$AK34="是",'18.05'!$BB$4,'18.05'!$BB$3)),(VLOOKUP('18.05'!AE34,'18.05'!$AO$4:$AQ$55,2,FALSE))*IF('18.05'!$AK34="是",'18.05'!$BB$4,'18.05'!$BB$3))</f>
        <v>0</v>
      </c>
      <c r="X34" s="4">
        <f>IF(ISNUMBER(SEARCH("营",'18.05'!AF34)),(-$Y34+50*IF('18.05'!$AK34="是",'18.05'!$BB$4,'18.05'!$BB$3)),(VLOOKUP('18.05'!AF34,'18.05'!$AO$4:$AQ$55,2,FALSE))*IF('18.05'!$AK34="是",'18.05'!$BB$4,'18.05'!$BB$3))</f>
        <v>0</v>
      </c>
      <c r="Y34" s="69">
        <v>200</v>
      </c>
      <c r="Z34" s="75">
        <v>45669</v>
      </c>
    </row>
    <row r="35" spans="1:26">
      <c r="A35" s="4">
        <f>IF(ISNUMBER(SEARCH("营",'18.05'!I35)),(-$Y35+50*IF('18.05'!$AK35="是",'18.05'!$BB$4,'18.05'!$BB$3)),(VLOOKUP('18.05'!I35,'18.05'!$AO$4:$AQ$55,2,FALSE))*IF('18.05'!$AK35="是",'18.05'!$BB$4,'18.05'!$BB$3))</f>
        <v>160</v>
      </c>
      <c r="B35" s="4">
        <f>IF(ISNUMBER(SEARCH("营",'18.05'!J35)),(-$Y35+50*IF('18.05'!$AK35="是",'18.05'!$BB$4,'18.05'!$BB$3)),(VLOOKUP('18.05'!J35,'18.05'!$AO$4:$AQ$55,2,FALSE))*IF('18.05'!$AK35="是",'18.05'!$BB$4,'18.05'!$BB$3))</f>
        <v>144</v>
      </c>
      <c r="C35" s="4">
        <f>IF(ISNUMBER(SEARCH("营",'18.05'!K35)),(-$Y35+50*IF('18.05'!$AK35="是",'18.05'!$BB$4,'18.05'!$BB$3)),(VLOOKUP('18.05'!K35,'18.05'!$AO$4:$AQ$55,2,FALSE))*IF('18.05'!$AK35="是",'18.05'!$BB$4,'18.05'!$BB$3))</f>
        <v>144</v>
      </c>
      <c r="D35" s="4">
        <f>IF(ISNUMBER(SEARCH("营",'18.05'!L35)),(-$Y35+50*IF('18.05'!$AK35="是",'18.05'!$BB$4,'18.05'!$BB$3)),(VLOOKUP('18.05'!L35,'18.05'!$AO$4:$AQ$55,2,FALSE))*IF('18.05'!$AK35="是",'18.05'!$BB$4,'18.05'!$BB$3))</f>
        <v>160</v>
      </c>
      <c r="E35" s="4">
        <f>IF(ISNUMBER(SEARCH("营",'18.05'!M35)),(-$Y35+50*IF('18.05'!$AK35="是",'18.05'!$BB$4,'18.05'!$BB$3)),(VLOOKUP('18.05'!M35,'18.05'!$AO$4:$AQ$55,2,FALSE))*IF('18.05'!$AK35="是",'18.05'!$BB$4,'18.05'!$BB$3))</f>
        <v>0</v>
      </c>
      <c r="F35" s="4">
        <f>IF(ISNUMBER(SEARCH("营",'18.05'!N35)),(-$Y35+50*IF('18.05'!$AK35="是",'18.05'!$BB$4,'18.05'!$BB$3)),(VLOOKUP('18.05'!N35,'18.05'!$AO$4:$AQ$55,2,FALSE))*IF('18.05'!$AK35="是",'18.05'!$BB$4,'18.05'!$BB$3))</f>
        <v>0</v>
      </c>
      <c r="G35" s="4">
        <f>IF(ISNUMBER(SEARCH("营",'18.05'!O35)),(-$Y35+50*IF('18.05'!$AK35="是",'18.05'!$BB$4,'18.05'!$BB$3)),(VLOOKUP('18.05'!O35,'18.05'!$AO$4:$AQ$55,2,FALSE))*IF('18.05'!$AK35="是",'18.05'!$BB$4,'18.05'!$BB$3))</f>
        <v>0</v>
      </c>
      <c r="H35" s="4">
        <f>IF(ISNUMBER(SEARCH("营",'18.05'!P35)),(-$Y35+50*IF('18.05'!$AK35="是",'18.05'!$BB$4,'18.05'!$BB$3)),(VLOOKUP('18.05'!P35,'18.05'!$AO$4:$AQ$55,2,FALSE))*IF('18.05'!$AK35="是",'18.05'!$BB$4,'18.05'!$BB$3))</f>
        <v>0</v>
      </c>
      <c r="I35" s="4">
        <f>IF(ISNUMBER(SEARCH("营",'18.05'!Q35)),(-$Y35+50*IF('18.05'!$AK35="是",'18.05'!$BB$4,'18.05'!$BB$3)),(VLOOKUP('18.05'!Q35,'18.05'!$AO$4:$AQ$55,2,FALSE))*IF('18.05'!$AK35="是",'18.05'!$BB$4,'18.05'!$BB$3))</f>
        <v>152</v>
      </c>
      <c r="J35" s="4">
        <f>IF(ISNUMBER(SEARCH("营",'18.05'!R35)),(-$Y35+50*IF('18.05'!$AK35="是",'18.05'!$BB$4,'18.05'!$BB$3)),(VLOOKUP('18.05'!R35,'18.05'!$AO$4:$AQ$55,2,FALSE))*IF('18.05'!$AK35="是",'18.05'!$BB$4,'18.05'!$BB$3))</f>
        <v>152</v>
      </c>
      <c r="K35" s="4">
        <f>IF(ISNUMBER(SEARCH("营",'18.05'!S35)),(-$Y35+50*IF('18.05'!$AK35="是",'18.05'!$BB$4,'18.05'!$BB$3)),(VLOOKUP('18.05'!S35,'18.05'!$AO$4:$AQ$55,2,FALSE))*IF('18.05'!$AK35="是",'18.05'!$BB$4,'18.05'!$BB$3))</f>
        <v>152</v>
      </c>
      <c r="L35" s="4">
        <f>IF(ISNUMBER(SEARCH("营",'18.05'!T35)),(-$Y35+50*IF('18.05'!$AK35="是",'18.05'!$BB$4,'18.05'!$BB$3)),(VLOOKUP('18.05'!T35,'18.05'!$AO$4:$AQ$55,2,FALSE))*IF('18.05'!$AK35="是",'18.05'!$BB$4,'18.05'!$BB$3))</f>
        <v>152</v>
      </c>
      <c r="M35" s="4">
        <f>IF(ISNUMBER(SEARCH("营",'18.05'!U35)),(-$Y35+50*IF('18.05'!$AK35="是",'18.05'!$BB$4,'18.05'!$BB$3)),(VLOOKUP('18.05'!U35,'18.05'!$AO$4:$AQ$55,2,FALSE))*IF('18.05'!$AK35="是",'18.05'!$BB$4,'18.05'!$BB$3))</f>
        <v>152</v>
      </c>
      <c r="N35" s="4">
        <f>IF(ISNUMBER(SEARCH("营",'18.05'!V35)),(-$Y35+50*IF('18.05'!$AK35="是",'18.05'!$BB$4,'18.05'!$BB$3)),(VLOOKUP('18.05'!V35,'18.05'!$AO$4:$AQ$55,2,FALSE))*IF('18.05'!$AK35="是",'18.05'!$BB$4,'18.05'!$BB$3))</f>
        <v>152</v>
      </c>
      <c r="O35" s="4">
        <f>IF(ISNUMBER(SEARCH("营",'18.05'!W35)),(-$Y35+50*IF('18.05'!$AK35="是",'18.05'!$BB$4,'18.05'!$BB$3)),(VLOOKUP('18.05'!W35,'18.05'!$AO$4:$AQ$55,2,FALSE))*IF('18.05'!$AK35="是",'18.05'!$BB$4,'18.05'!$BB$3))</f>
        <v>0</v>
      </c>
      <c r="P35" s="4">
        <f>IF(ISNUMBER(SEARCH("营",'18.05'!X35)),(-$Y35+50*IF('18.05'!$AK35="是",'18.05'!$BB$4,'18.05'!$BB$3)),(VLOOKUP('18.05'!X35,'18.05'!$AO$4:$AQ$55,2,FALSE))*IF('18.05'!$AK35="是",'18.05'!$BB$4,'18.05'!$BB$3))</f>
        <v>0</v>
      </c>
      <c r="Q35" s="4">
        <f>IF(ISNUMBER(SEARCH("营",'18.05'!Y35)),(-$Y35+50*IF('18.05'!$AK35="是",'18.05'!$BB$4,'18.05'!$BB$3)),(VLOOKUP('18.05'!Y35,'18.05'!$AO$4:$AQ$55,2,FALSE))*IF('18.05'!$AK35="是",'18.05'!$BB$4,'18.05'!$BB$3))</f>
        <v>0</v>
      </c>
      <c r="R35" s="4">
        <f>IF(ISNUMBER(SEARCH("营",'18.05'!Z35)),(-$Y35+50*IF('18.05'!$AK35="是",'18.05'!$BB$4,'18.05'!$BB$3)),(VLOOKUP('18.05'!Z35,'18.05'!$AO$4:$AQ$55,2,FALSE))*IF('18.05'!$AK35="是",'18.05'!$BB$4,'18.05'!$BB$3))</f>
        <v>0</v>
      </c>
      <c r="S35" s="4">
        <f>IF(ISNUMBER(SEARCH("营",'18.05'!AA35)),(-$Y35+50*IF('18.05'!$AK35="是",'18.05'!$BB$4,'18.05'!$BB$3)),(VLOOKUP('18.05'!AA35,'18.05'!$AO$4:$AQ$55,2,FALSE))*IF('18.05'!$AK35="是",'18.05'!$BB$4,'18.05'!$BB$3))</f>
        <v>0</v>
      </c>
      <c r="T35" s="4">
        <f>IF(ISNUMBER(SEARCH("营",'18.05'!AB35)),(-$Y35+50*IF('18.05'!$AK35="是",'18.05'!$BB$4,'18.05'!$BB$3)),(VLOOKUP('18.05'!AB35,'18.05'!$AO$4:$AQ$55,2,FALSE))*IF('18.05'!$AK35="是",'18.05'!$BB$4,'18.05'!$BB$3))</f>
        <v>0</v>
      </c>
      <c r="U35" s="4">
        <f>IF(ISNUMBER(SEARCH("营",'18.05'!AC35)),(-$Y35+50*IF('18.05'!$AK35="是",'18.05'!$BB$4,'18.05'!$BB$3)),(VLOOKUP('18.05'!AC35,'18.05'!$AO$4:$AQ$55,2,FALSE))*IF('18.05'!$AK35="是",'18.05'!$BB$4,'18.05'!$BB$3))</f>
        <v>0</v>
      </c>
      <c r="V35" s="4">
        <f>IF(ISNUMBER(SEARCH("营",'18.05'!AD35)),(-$Y35+50*IF('18.05'!$AK35="是",'18.05'!$BB$4,'18.05'!$BB$3)),(VLOOKUP('18.05'!AD35,'18.05'!$AO$4:$AQ$55,2,FALSE))*IF('18.05'!$AK35="是",'18.05'!$BB$4,'18.05'!$BB$3))</f>
        <v>0</v>
      </c>
      <c r="W35" s="4">
        <f>IF(ISNUMBER(SEARCH("营",'18.05'!AE35)),(-$Y35+50*IF('18.05'!$AK35="是",'18.05'!$BB$4,'18.05'!$BB$3)),(VLOOKUP('18.05'!AE35,'18.05'!$AO$4:$AQ$55,2,FALSE))*IF('18.05'!$AK35="是",'18.05'!$BB$4,'18.05'!$BB$3))</f>
        <v>0</v>
      </c>
      <c r="X35" s="4">
        <f>IF(ISNUMBER(SEARCH("营",'18.05'!AF35)),(-$Y35+50*IF('18.05'!$AK35="是",'18.05'!$BB$4,'18.05'!$BB$3)),(VLOOKUP('18.05'!AF35,'18.05'!$AO$4:$AQ$55,2,FALSE))*IF('18.05'!$AK35="是",'18.05'!$BB$4,'18.05'!$BB$3))</f>
        <v>0</v>
      </c>
      <c r="Y35" s="69">
        <v>200</v>
      </c>
      <c r="Z35" s="75">
        <v>45670</v>
      </c>
    </row>
    <row r="36" spans="1:26">
      <c r="A36" s="4">
        <f>IF(ISNUMBER(SEARCH("营",'18.05'!I36)),(-$Y36+50*IF('18.05'!$AK36="是",'18.05'!$BB$4,'18.05'!$BB$3)),(VLOOKUP('18.05'!I36,'18.05'!$AO$4:$AQ$55,2,FALSE))*IF('18.05'!$AK36="是",'18.05'!$BB$4,'18.05'!$BB$3))</f>
        <v>136</v>
      </c>
      <c r="B36" s="4">
        <f>IF(ISNUMBER(SEARCH("营",'18.05'!J36)),(-$Y36+50*IF('18.05'!$AK36="是",'18.05'!$BB$4,'18.05'!$BB$3)),(VLOOKUP('18.05'!J36,'18.05'!$AO$4:$AQ$55,2,FALSE))*IF('18.05'!$AK36="是",'18.05'!$BB$4,'18.05'!$BB$3))</f>
        <v>136</v>
      </c>
      <c r="C36" s="4">
        <f>IF(ISNUMBER(SEARCH("营",'18.05'!K36)),(-$Y36+50*IF('18.05'!$AK36="是",'18.05'!$BB$4,'18.05'!$BB$3)),(VLOOKUP('18.05'!K36,'18.05'!$AO$4:$AQ$55,2,FALSE))*IF('18.05'!$AK36="是",'18.05'!$BB$4,'18.05'!$BB$3))</f>
        <v>136</v>
      </c>
      <c r="D36" s="4">
        <f>IF(ISNUMBER(SEARCH("营",'18.05'!L36)),(-$Y36+50*IF('18.05'!$AK36="是",'18.05'!$BB$4,'18.05'!$BB$3)),(VLOOKUP('18.05'!L36,'18.05'!$AO$4:$AQ$55,2,FALSE))*IF('18.05'!$AK36="是",'18.05'!$BB$4,'18.05'!$BB$3))</f>
        <v>136</v>
      </c>
      <c r="E36" s="4">
        <f>IF(ISNUMBER(SEARCH("营",'18.05'!M36)),(-$Y36+50*IF('18.05'!$AK36="是",'18.05'!$BB$4,'18.05'!$BB$3)),(VLOOKUP('18.05'!M36,'18.05'!$AO$4:$AQ$55,2,FALSE))*IF('18.05'!$AK36="是",'18.05'!$BB$4,'18.05'!$BB$3))</f>
        <v>136</v>
      </c>
      <c r="F36" s="4">
        <f>IF(ISNUMBER(SEARCH("营",'18.05'!N36)),(-$Y36+50*IF('18.05'!$AK36="是",'18.05'!$BB$4,'18.05'!$BB$3)),(VLOOKUP('18.05'!N36,'18.05'!$AO$4:$AQ$55,2,FALSE))*IF('18.05'!$AK36="是",'18.05'!$BB$4,'18.05'!$BB$3))</f>
        <v>0</v>
      </c>
      <c r="G36" s="4">
        <f>IF(ISNUMBER(SEARCH("营",'18.05'!O36)),(-$Y36+50*IF('18.05'!$AK36="是",'18.05'!$BB$4,'18.05'!$BB$3)),(VLOOKUP('18.05'!O36,'18.05'!$AO$4:$AQ$55,2,FALSE))*IF('18.05'!$AK36="是",'18.05'!$BB$4,'18.05'!$BB$3))</f>
        <v>0</v>
      </c>
      <c r="H36" s="4">
        <f>IF(ISNUMBER(SEARCH("营",'18.05'!P36)),(-$Y36+50*IF('18.05'!$AK36="是",'18.05'!$BB$4,'18.05'!$BB$3)),(VLOOKUP('18.05'!P36,'18.05'!$AO$4:$AQ$55,2,FALSE))*IF('18.05'!$AK36="是",'18.05'!$BB$4,'18.05'!$BB$3))</f>
        <v>0</v>
      </c>
      <c r="I36" s="4">
        <f>IF(ISNUMBER(SEARCH("营",'18.05'!Q36)),(-$Y36+50*IF('18.05'!$AK36="是",'18.05'!$BB$4,'18.05'!$BB$3)),(VLOOKUP('18.05'!Q36,'18.05'!$AO$4:$AQ$55,2,FALSE))*IF('18.05'!$AK36="是",'18.05'!$BB$4,'18.05'!$BB$3))</f>
        <v>152</v>
      </c>
      <c r="J36" s="4">
        <f>IF(ISNUMBER(SEARCH("营",'18.05'!R36)),(-$Y36+50*IF('18.05'!$AK36="是",'18.05'!$BB$4,'18.05'!$BB$3)),(VLOOKUP('18.05'!R36,'18.05'!$AO$4:$AQ$55,2,FALSE))*IF('18.05'!$AK36="是",'18.05'!$BB$4,'18.05'!$BB$3))</f>
        <v>152</v>
      </c>
      <c r="K36" s="4">
        <f>IF(ISNUMBER(SEARCH("营",'18.05'!S36)),(-$Y36+50*IF('18.05'!$AK36="是",'18.05'!$BB$4,'18.05'!$BB$3)),(VLOOKUP('18.05'!S36,'18.05'!$AO$4:$AQ$55,2,FALSE))*IF('18.05'!$AK36="是",'18.05'!$BB$4,'18.05'!$BB$3))</f>
        <v>152</v>
      </c>
      <c r="L36" s="4">
        <f>IF(ISNUMBER(SEARCH("营",'18.05'!T36)),(-$Y36+50*IF('18.05'!$AK36="是",'18.05'!$BB$4,'18.05'!$BB$3)),(VLOOKUP('18.05'!T36,'18.05'!$AO$4:$AQ$55,2,FALSE))*IF('18.05'!$AK36="是",'18.05'!$BB$4,'18.05'!$BB$3))</f>
        <v>152</v>
      </c>
      <c r="M36" s="4">
        <f>IF(ISNUMBER(SEARCH("营",'18.05'!U36)),(-$Y36+50*IF('18.05'!$AK36="是",'18.05'!$BB$4,'18.05'!$BB$3)),(VLOOKUP('18.05'!U36,'18.05'!$AO$4:$AQ$55,2,FALSE))*IF('18.05'!$AK36="是",'18.05'!$BB$4,'18.05'!$BB$3))</f>
        <v>152</v>
      </c>
      <c r="N36" s="4">
        <f>IF(ISNUMBER(SEARCH("营",'18.05'!V36)),(-$Y36+50*IF('18.05'!$AK36="是",'18.05'!$BB$4,'18.05'!$BB$3)),(VLOOKUP('18.05'!V36,'18.05'!$AO$4:$AQ$55,2,FALSE))*IF('18.05'!$AK36="是",'18.05'!$BB$4,'18.05'!$BB$3))</f>
        <v>120</v>
      </c>
      <c r="O36" s="4">
        <f>IF(ISNUMBER(SEARCH("营",'18.05'!W36)),(-$Y36+50*IF('18.05'!$AK36="是",'18.05'!$BB$4,'18.05'!$BB$3)),(VLOOKUP('18.05'!W36,'18.05'!$AO$4:$AQ$55,2,FALSE))*IF('18.05'!$AK36="是",'18.05'!$BB$4,'18.05'!$BB$3))</f>
        <v>0</v>
      </c>
      <c r="P36" s="4">
        <f>IF(ISNUMBER(SEARCH("营",'18.05'!X36)),(-$Y36+50*IF('18.05'!$AK36="是",'18.05'!$BB$4,'18.05'!$BB$3)),(VLOOKUP('18.05'!X36,'18.05'!$AO$4:$AQ$55,2,FALSE))*IF('18.05'!$AK36="是",'18.05'!$BB$4,'18.05'!$BB$3))</f>
        <v>0</v>
      </c>
      <c r="Q36" s="4">
        <f>IF(ISNUMBER(SEARCH("营",'18.05'!Y36)),(-$Y36+50*IF('18.05'!$AK36="是",'18.05'!$BB$4,'18.05'!$BB$3)),(VLOOKUP('18.05'!Y36,'18.05'!$AO$4:$AQ$55,2,FALSE))*IF('18.05'!$AK36="是",'18.05'!$BB$4,'18.05'!$BB$3))</f>
        <v>0</v>
      </c>
      <c r="R36" s="4">
        <f>IF(ISNUMBER(SEARCH("营",'18.05'!Z36)),(-$Y36+50*IF('18.05'!$AK36="是",'18.05'!$BB$4,'18.05'!$BB$3)),(VLOOKUP('18.05'!Z36,'18.05'!$AO$4:$AQ$55,2,FALSE))*IF('18.05'!$AK36="是",'18.05'!$BB$4,'18.05'!$BB$3))</f>
        <v>0</v>
      </c>
      <c r="S36" s="4">
        <f>IF(ISNUMBER(SEARCH("营",'18.05'!AA36)),(-$Y36+50*IF('18.05'!$AK36="是",'18.05'!$BB$4,'18.05'!$BB$3)),(VLOOKUP('18.05'!AA36,'18.05'!$AO$4:$AQ$55,2,FALSE))*IF('18.05'!$AK36="是",'18.05'!$BB$4,'18.05'!$BB$3))</f>
        <v>0</v>
      </c>
      <c r="T36" s="4">
        <f>IF(ISNUMBER(SEARCH("营",'18.05'!AB36)),(-$Y36+50*IF('18.05'!$AK36="是",'18.05'!$BB$4,'18.05'!$BB$3)),(VLOOKUP('18.05'!AB36,'18.05'!$AO$4:$AQ$55,2,FALSE))*IF('18.05'!$AK36="是",'18.05'!$BB$4,'18.05'!$BB$3))</f>
        <v>0</v>
      </c>
      <c r="U36" s="4">
        <f>IF(ISNUMBER(SEARCH("营",'18.05'!AC36)),(-$Y36+50*IF('18.05'!$AK36="是",'18.05'!$BB$4,'18.05'!$BB$3)),(VLOOKUP('18.05'!AC36,'18.05'!$AO$4:$AQ$55,2,FALSE))*IF('18.05'!$AK36="是",'18.05'!$BB$4,'18.05'!$BB$3))</f>
        <v>0</v>
      </c>
      <c r="V36" s="4">
        <f>IF(ISNUMBER(SEARCH("营",'18.05'!AD36)),(-$Y36+50*IF('18.05'!$AK36="是",'18.05'!$BB$4,'18.05'!$BB$3)),(VLOOKUP('18.05'!AD36,'18.05'!$AO$4:$AQ$55,2,FALSE))*IF('18.05'!$AK36="是",'18.05'!$BB$4,'18.05'!$BB$3))</f>
        <v>0</v>
      </c>
      <c r="W36" s="4">
        <f>IF(ISNUMBER(SEARCH("营",'18.05'!AE36)),(-$Y36+50*IF('18.05'!$AK36="是",'18.05'!$BB$4,'18.05'!$BB$3)),(VLOOKUP('18.05'!AE36,'18.05'!$AO$4:$AQ$55,2,FALSE))*IF('18.05'!$AK36="是",'18.05'!$BB$4,'18.05'!$BB$3))</f>
        <v>0</v>
      </c>
      <c r="X36" s="4">
        <f>IF(ISNUMBER(SEARCH("营",'18.05'!AF36)),(-$Y36+50*IF('18.05'!$AK36="是",'18.05'!$BB$4,'18.05'!$BB$3)),(VLOOKUP('18.05'!AF36,'18.05'!$AO$4:$AQ$55,2,FALSE))*IF('18.05'!$AK36="是",'18.05'!$BB$4,'18.05'!$BB$3))</f>
        <v>0</v>
      </c>
      <c r="Y36" s="69">
        <v>200</v>
      </c>
      <c r="Z36" s="75">
        <v>45671</v>
      </c>
    </row>
    <row r="37" spans="1:26">
      <c r="A37" s="4">
        <f>IF(ISNUMBER(SEARCH("营",'18.05'!I37)),(-$Y37+50*IF('18.05'!$AK37="是",'18.05'!$BB$4,'18.05'!$BB$3)),(VLOOKUP('18.05'!I37,'18.05'!$AO$4:$AQ$55,2,FALSE))*IF('18.05'!$AK37="是",'18.05'!$BB$4,'18.05'!$BB$3))</f>
        <v>136</v>
      </c>
      <c r="B37" s="4">
        <f>IF(ISNUMBER(SEARCH("营",'18.05'!J37)),(-$Y37+50*IF('18.05'!$AK37="是",'18.05'!$BB$4,'18.05'!$BB$3)),(VLOOKUP('18.05'!J37,'18.05'!$AO$4:$AQ$55,2,FALSE))*IF('18.05'!$AK37="是",'18.05'!$BB$4,'18.05'!$BB$3))</f>
        <v>136</v>
      </c>
      <c r="C37" s="4">
        <f>IF(ISNUMBER(SEARCH("营",'18.05'!K37)),(-$Y37+50*IF('18.05'!$AK37="是",'18.05'!$BB$4,'18.05'!$BB$3)),(VLOOKUP('18.05'!K37,'18.05'!$AO$4:$AQ$55,2,FALSE))*IF('18.05'!$AK37="是",'18.05'!$BB$4,'18.05'!$BB$3))</f>
        <v>136</v>
      </c>
      <c r="D37" s="4">
        <f>IF(ISNUMBER(SEARCH("营",'18.05'!L37)),(-$Y37+50*IF('18.05'!$AK37="是",'18.05'!$BB$4,'18.05'!$BB$3)),(VLOOKUP('18.05'!L37,'18.05'!$AO$4:$AQ$55,2,FALSE))*IF('18.05'!$AK37="是",'18.05'!$BB$4,'18.05'!$BB$3))</f>
        <v>136</v>
      </c>
      <c r="E37" s="4">
        <f>IF(ISNUMBER(SEARCH("营",'18.05'!M37)),(-$Y37+50*IF('18.05'!$AK37="是",'18.05'!$BB$4,'18.05'!$BB$3)),(VLOOKUP('18.05'!M37,'18.05'!$AO$4:$AQ$55,2,FALSE))*IF('18.05'!$AK37="是",'18.05'!$BB$4,'18.05'!$BB$3))</f>
        <v>136</v>
      </c>
      <c r="F37" s="4">
        <f>IF(ISNUMBER(SEARCH("营",'18.05'!N37)),(-$Y37+50*IF('18.05'!$AK37="是",'18.05'!$BB$4,'18.05'!$BB$3)),(VLOOKUP('18.05'!N37,'18.05'!$AO$4:$AQ$55,2,FALSE))*IF('18.05'!$AK37="是",'18.05'!$BB$4,'18.05'!$BB$3))</f>
        <v>144</v>
      </c>
      <c r="G37" s="4">
        <f>IF(ISNUMBER(SEARCH("营",'18.05'!O37)),(-$Y37+50*IF('18.05'!$AK37="是",'18.05'!$BB$4,'18.05'!$BB$3)),(VLOOKUP('18.05'!O37,'18.05'!$AO$4:$AQ$55,2,FALSE))*IF('18.05'!$AK37="是",'18.05'!$BB$4,'18.05'!$BB$3))</f>
        <v>0</v>
      </c>
      <c r="H37" s="4">
        <f>IF(ISNUMBER(SEARCH("营",'18.05'!P37)),(-$Y37+50*IF('18.05'!$AK37="是",'18.05'!$BB$4,'18.05'!$BB$3)),(VLOOKUP('18.05'!P37,'18.05'!$AO$4:$AQ$55,2,FALSE))*IF('18.05'!$AK37="是",'18.05'!$BB$4,'18.05'!$BB$3))</f>
        <v>0</v>
      </c>
      <c r="I37" s="4">
        <f>IF(ISNUMBER(SEARCH("营",'18.05'!Q37)),(-$Y37+50*IF('18.05'!$AK37="是",'18.05'!$BB$4,'18.05'!$BB$3)),(VLOOKUP('18.05'!Q37,'18.05'!$AO$4:$AQ$55,2,FALSE))*IF('18.05'!$AK37="是",'18.05'!$BB$4,'18.05'!$BB$3))</f>
        <v>152</v>
      </c>
      <c r="J37" s="4">
        <f>IF(ISNUMBER(SEARCH("营",'18.05'!R37)),(-$Y37+50*IF('18.05'!$AK37="是",'18.05'!$BB$4,'18.05'!$BB$3)),(VLOOKUP('18.05'!R37,'18.05'!$AO$4:$AQ$55,2,FALSE))*IF('18.05'!$AK37="是",'18.05'!$BB$4,'18.05'!$BB$3))</f>
        <v>152</v>
      </c>
      <c r="K37" s="4">
        <f>IF(ISNUMBER(SEARCH("营",'18.05'!S37)),(-$Y37+50*IF('18.05'!$AK37="是",'18.05'!$BB$4,'18.05'!$BB$3)),(VLOOKUP('18.05'!S37,'18.05'!$AO$4:$AQ$55,2,FALSE))*IF('18.05'!$AK37="是",'18.05'!$BB$4,'18.05'!$BB$3))</f>
        <v>152</v>
      </c>
      <c r="L37" s="4">
        <f>IF(ISNUMBER(SEARCH("营",'18.05'!T37)),(-$Y37+50*IF('18.05'!$AK37="是",'18.05'!$BB$4,'18.05'!$BB$3)),(VLOOKUP('18.05'!T37,'18.05'!$AO$4:$AQ$55,2,FALSE))*IF('18.05'!$AK37="是",'18.05'!$BB$4,'18.05'!$BB$3))</f>
        <v>152</v>
      </c>
      <c r="M37" s="4">
        <f>IF(ISNUMBER(SEARCH("营",'18.05'!U37)),(-$Y37+50*IF('18.05'!$AK37="是",'18.05'!$BB$4,'18.05'!$BB$3)),(VLOOKUP('18.05'!U37,'18.05'!$AO$4:$AQ$55,2,FALSE))*IF('18.05'!$AK37="是",'18.05'!$BB$4,'18.05'!$BB$3))</f>
        <v>152</v>
      </c>
      <c r="N37" s="4">
        <f>IF(ISNUMBER(SEARCH("营",'18.05'!V37)),(-$Y37+50*IF('18.05'!$AK37="是",'18.05'!$BB$4,'18.05'!$BB$3)),(VLOOKUP('18.05'!V37,'18.05'!$AO$4:$AQ$55,2,FALSE))*IF('18.05'!$AK37="是",'18.05'!$BB$4,'18.05'!$BB$3))</f>
        <v>0</v>
      </c>
      <c r="O37" s="4">
        <f>IF(ISNUMBER(SEARCH("营",'18.05'!W37)),(-$Y37+50*IF('18.05'!$AK37="是",'18.05'!$BB$4,'18.05'!$BB$3)),(VLOOKUP('18.05'!W37,'18.05'!$AO$4:$AQ$55,2,FALSE))*IF('18.05'!$AK37="是",'18.05'!$BB$4,'18.05'!$BB$3))</f>
        <v>0</v>
      </c>
      <c r="P37" s="4">
        <f>IF(ISNUMBER(SEARCH("营",'18.05'!X37)),(-$Y37+50*IF('18.05'!$AK37="是",'18.05'!$BB$4,'18.05'!$BB$3)),(VLOOKUP('18.05'!X37,'18.05'!$AO$4:$AQ$55,2,FALSE))*IF('18.05'!$AK37="是",'18.05'!$BB$4,'18.05'!$BB$3))</f>
        <v>0</v>
      </c>
      <c r="Q37" s="4">
        <f>IF(ISNUMBER(SEARCH("营",'18.05'!Y37)),(-$Y37+50*IF('18.05'!$AK37="是",'18.05'!$BB$4,'18.05'!$BB$3)),(VLOOKUP('18.05'!Y37,'18.05'!$AO$4:$AQ$55,2,FALSE))*IF('18.05'!$AK37="是",'18.05'!$BB$4,'18.05'!$BB$3))</f>
        <v>0</v>
      </c>
      <c r="R37" s="4">
        <f>IF(ISNUMBER(SEARCH("营",'18.05'!Z37)),(-$Y37+50*IF('18.05'!$AK37="是",'18.05'!$BB$4,'18.05'!$BB$3)),(VLOOKUP('18.05'!Z37,'18.05'!$AO$4:$AQ$55,2,FALSE))*IF('18.05'!$AK37="是",'18.05'!$BB$4,'18.05'!$BB$3))</f>
        <v>0</v>
      </c>
      <c r="S37" s="4">
        <f>IF(ISNUMBER(SEARCH("营",'18.05'!AA37)),(-$Y37+50*IF('18.05'!$AK37="是",'18.05'!$BB$4,'18.05'!$BB$3)),(VLOOKUP('18.05'!AA37,'18.05'!$AO$4:$AQ$55,2,FALSE))*IF('18.05'!$AK37="是",'18.05'!$BB$4,'18.05'!$BB$3))</f>
        <v>0</v>
      </c>
      <c r="T37" s="4">
        <f>IF(ISNUMBER(SEARCH("营",'18.05'!AB37)),(-$Y37+50*IF('18.05'!$AK37="是",'18.05'!$BB$4,'18.05'!$BB$3)),(VLOOKUP('18.05'!AB37,'18.05'!$AO$4:$AQ$55,2,FALSE))*IF('18.05'!$AK37="是",'18.05'!$BB$4,'18.05'!$BB$3))</f>
        <v>0</v>
      </c>
      <c r="U37" s="4">
        <f>IF(ISNUMBER(SEARCH("营",'18.05'!AC37)),(-$Y37+50*IF('18.05'!$AK37="是",'18.05'!$BB$4,'18.05'!$BB$3)),(VLOOKUP('18.05'!AC37,'18.05'!$AO$4:$AQ$55,2,FALSE))*IF('18.05'!$AK37="是",'18.05'!$BB$4,'18.05'!$BB$3))</f>
        <v>0</v>
      </c>
      <c r="V37" s="4">
        <f>IF(ISNUMBER(SEARCH("营",'18.05'!AD37)),(-$Y37+50*IF('18.05'!$AK37="是",'18.05'!$BB$4,'18.05'!$BB$3)),(VLOOKUP('18.05'!AD37,'18.05'!$AO$4:$AQ$55,2,FALSE))*IF('18.05'!$AK37="是",'18.05'!$BB$4,'18.05'!$BB$3))</f>
        <v>0</v>
      </c>
      <c r="W37" s="4">
        <f>IF(ISNUMBER(SEARCH("营",'18.05'!AE37)),(-$Y37+50*IF('18.05'!$AK37="是",'18.05'!$BB$4,'18.05'!$BB$3)),(VLOOKUP('18.05'!AE37,'18.05'!$AO$4:$AQ$55,2,FALSE))*IF('18.05'!$AK37="是",'18.05'!$BB$4,'18.05'!$BB$3))</f>
        <v>0</v>
      </c>
      <c r="X37" s="4">
        <f>IF(ISNUMBER(SEARCH("营",'18.05'!AF37)),(-$Y37+50*IF('18.05'!$AK37="是",'18.05'!$BB$4,'18.05'!$BB$3)),(VLOOKUP('18.05'!AF37,'18.05'!$AO$4:$AQ$55,2,FALSE))*IF('18.05'!$AK37="是",'18.05'!$BB$4,'18.05'!$BB$3))</f>
        <v>0</v>
      </c>
      <c r="Y37" s="69">
        <v>200</v>
      </c>
      <c r="Z37" s="75">
        <v>45672</v>
      </c>
    </row>
    <row r="38" spans="1:26">
      <c r="A38" s="4">
        <f>IF(ISNUMBER(SEARCH("营",'18.05'!I38)),(-$Y38+50*IF('18.05'!$AK38="是",'18.05'!$BB$4,'18.05'!$BB$3)),(VLOOKUP('18.05'!I38,'18.05'!$AO$4:$AQ$55,2,FALSE))*IF('18.05'!$AK38="是",'18.05'!$BB$4,'18.05'!$BB$3))</f>
        <v>144</v>
      </c>
      <c r="B38" s="4">
        <f>IF(ISNUMBER(SEARCH("营",'18.05'!J38)),(-$Y38+50*IF('18.05'!$AK38="是",'18.05'!$BB$4,'18.05'!$BB$3)),(VLOOKUP('18.05'!J38,'18.05'!$AO$4:$AQ$55,2,FALSE))*IF('18.05'!$AK38="是",'18.05'!$BB$4,'18.05'!$BB$3))</f>
        <v>40</v>
      </c>
      <c r="C38" s="4">
        <f>IF(ISNUMBER(SEARCH("营",'18.05'!K38)),(-$Y38+50*IF('18.05'!$AK38="是",'18.05'!$BB$4,'18.05'!$BB$3)),(VLOOKUP('18.05'!K38,'18.05'!$AO$4:$AQ$55,2,FALSE))*IF('18.05'!$AK38="是",'18.05'!$BB$4,'18.05'!$BB$3))</f>
        <v>144</v>
      </c>
      <c r="D38" s="4">
        <f>IF(ISNUMBER(SEARCH("营",'18.05'!L38)),(-$Y38+50*IF('18.05'!$AK38="是",'18.05'!$BB$4,'18.05'!$BB$3)),(VLOOKUP('18.05'!L38,'18.05'!$AO$4:$AQ$55,2,FALSE))*IF('18.05'!$AK38="是",'18.05'!$BB$4,'18.05'!$BB$3))</f>
        <v>144</v>
      </c>
      <c r="E38" s="4">
        <f>IF(ISNUMBER(SEARCH("营",'18.05'!M38)),(-$Y38+50*IF('18.05'!$AK38="是",'18.05'!$BB$4,'18.05'!$BB$3)),(VLOOKUP('18.05'!M38,'18.05'!$AO$4:$AQ$55,2,FALSE))*IF('18.05'!$AK38="是",'18.05'!$BB$4,'18.05'!$BB$3))</f>
        <v>144</v>
      </c>
      <c r="F38" s="4">
        <f>IF(ISNUMBER(SEARCH("营",'18.05'!N38)),(-$Y38+50*IF('18.05'!$AK38="是",'18.05'!$BB$4,'18.05'!$BB$3)),(VLOOKUP('18.05'!N38,'18.05'!$AO$4:$AQ$55,2,FALSE))*IF('18.05'!$AK38="是",'18.05'!$BB$4,'18.05'!$BB$3))</f>
        <v>144</v>
      </c>
      <c r="G38" s="4">
        <f>IF(ISNUMBER(SEARCH("营",'18.05'!O38)),(-$Y38+50*IF('18.05'!$AK38="是",'18.05'!$BB$4,'18.05'!$BB$3)),(VLOOKUP('18.05'!O38,'18.05'!$AO$4:$AQ$55,2,FALSE))*IF('18.05'!$AK38="是",'18.05'!$BB$4,'18.05'!$BB$3))</f>
        <v>144</v>
      </c>
      <c r="H38" s="4">
        <f>IF(ISNUMBER(SEARCH("营",'18.05'!P38)),(-$Y38+50*IF('18.05'!$AK38="是",'18.05'!$BB$4,'18.05'!$BB$3)),(VLOOKUP('18.05'!P38,'18.05'!$AO$4:$AQ$55,2,FALSE))*IF('18.05'!$AK38="是",'18.05'!$BB$4,'18.05'!$BB$3))</f>
        <v>-160</v>
      </c>
      <c r="I38" s="4">
        <f>IF(ISNUMBER(SEARCH("营",'18.05'!Q38)),(-$Y38+50*IF('18.05'!$AK38="是",'18.05'!$BB$4,'18.05'!$BB$3)),(VLOOKUP('18.05'!Q38,'18.05'!$AO$4:$AQ$55,2,FALSE))*IF('18.05'!$AK38="是",'18.05'!$BB$4,'18.05'!$BB$3))</f>
        <v>152</v>
      </c>
      <c r="J38" s="4">
        <f>IF(ISNUMBER(SEARCH("营",'18.05'!R38)),(-$Y38+50*IF('18.05'!$AK38="是",'18.05'!$BB$4,'18.05'!$BB$3)),(VLOOKUP('18.05'!R38,'18.05'!$AO$4:$AQ$55,2,FALSE))*IF('18.05'!$AK38="是",'18.05'!$BB$4,'18.05'!$BB$3))</f>
        <v>144</v>
      </c>
      <c r="K38" s="4">
        <f>IF(ISNUMBER(SEARCH("营",'18.05'!S38)),(-$Y38+50*IF('18.05'!$AK38="是",'18.05'!$BB$4,'18.05'!$BB$3)),(VLOOKUP('18.05'!S38,'18.05'!$AO$4:$AQ$55,2,FALSE))*IF('18.05'!$AK38="是",'18.05'!$BB$4,'18.05'!$BB$3))</f>
        <v>144</v>
      </c>
      <c r="L38" s="4">
        <f>IF(ISNUMBER(SEARCH("营",'18.05'!T38)),(-$Y38+50*IF('18.05'!$AK38="是",'18.05'!$BB$4,'18.05'!$BB$3)),(VLOOKUP('18.05'!T38,'18.05'!$AO$4:$AQ$55,2,FALSE))*IF('18.05'!$AK38="是",'18.05'!$BB$4,'18.05'!$BB$3))</f>
        <v>144</v>
      </c>
      <c r="M38" s="4">
        <f>IF(ISNUMBER(SEARCH("营",'18.05'!U38)),(-$Y38+50*IF('18.05'!$AK38="是",'18.05'!$BB$4,'18.05'!$BB$3)),(VLOOKUP('18.05'!U38,'18.05'!$AO$4:$AQ$55,2,FALSE))*IF('18.05'!$AK38="是",'18.05'!$BB$4,'18.05'!$BB$3))</f>
        <v>144</v>
      </c>
      <c r="N38" s="4">
        <f>IF(ISNUMBER(SEARCH("营",'18.05'!V38)),(-$Y38+50*IF('18.05'!$AK38="是",'18.05'!$BB$4,'18.05'!$BB$3)),(VLOOKUP('18.05'!V38,'18.05'!$AO$4:$AQ$55,2,FALSE))*IF('18.05'!$AK38="是",'18.05'!$BB$4,'18.05'!$BB$3))</f>
        <v>144</v>
      </c>
      <c r="O38" s="4">
        <f>IF(ISNUMBER(SEARCH("营",'18.05'!W38)),(-$Y38+50*IF('18.05'!$AK38="是",'18.05'!$BB$4,'18.05'!$BB$3)),(VLOOKUP('18.05'!W38,'18.05'!$AO$4:$AQ$55,2,FALSE))*IF('18.05'!$AK38="是",'18.05'!$BB$4,'18.05'!$BB$3))</f>
        <v>0</v>
      </c>
      <c r="P38" s="4">
        <f>IF(ISNUMBER(SEARCH("营",'18.05'!X38)),(-$Y38+50*IF('18.05'!$AK38="是",'18.05'!$BB$4,'18.05'!$BB$3)),(VLOOKUP('18.05'!X38,'18.05'!$AO$4:$AQ$55,2,FALSE))*IF('18.05'!$AK38="是",'18.05'!$BB$4,'18.05'!$BB$3))</f>
        <v>0</v>
      </c>
      <c r="Q38" s="4">
        <f>IF(ISNUMBER(SEARCH("营",'18.05'!Y38)),(-$Y38+50*IF('18.05'!$AK38="是",'18.05'!$BB$4,'18.05'!$BB$3)),(VLOOKUP('18.05'!Y38,'18.05'!$AO$4:$AQ$55,2,FALSE))*IF('18.05'!$AK38="是",'18.05'!$BB$4,'18.05'!$BB$3))</f>
        <v>0</v>
      </c>
      <c r="R38" s="4">
        <f>IF(ISNUMBER(SEARCH("营",'18.05'!Z38)),(-$Y38+50*IF('18.05'!$AK38="是",'18.05'!$BB$4,'18.05'!$BB$3)),(VLOOKUP('18.05'!Z38,'18.05'!$AO$4:$AQ$55,2,FALSE))*IF('18.05'!$AK38="是",'18.05'!$BB$4,'18.05'!$BB$3))</f>
        <v>0</v>
      </c>
      <c r="S38" s="4">
        <f>IF(ISNUMBER(SEARCH("营",'18.05'!AA38)),(-$Y38+50*IF('18.05'!$AK38="是",'18.05'!$BB$4,'18.05'!$BB$3)),(VLOOKUP('18.05'!AA38,'18.05'!$AO$4:$AQ$55,2,FALSE))*IF('18.05'!$AK38="是",'18.05'!$BB$4,'18.05'!$BB$3))</f>
        <v>0</v>
      </c>
      <c r="T38" s="4">
        <f>IF(ISNUMBER(SEARCH("营",'18.05'!AB38)),(-$Y38+50*IF('18.05'!$AK38="是",'18.05'!$BB$4,'18.05'!$BB$3)),(VLOOKUP('18.05'!AB38,'18.05'!$AO$4:$AQ$55,2,FALSE))*IF('18.05'!$AK38="是",'18.05'!$BB$4,'18.05'!$BB$3))</f>
        <v>0</v>
      </c>
      <c r="U38" s="4">
        <f>IF(ISNUMBER(SEARCH("营",'18.05'!AC38)),(-$Y38+50*IF('18.05'!$AK38="是",'18.05'!$BB$4,'18.05'!$BB$3)),(VLOOKUP('18.05'!AC38,'18.05'!$AO$4:$AQ$55,2,FALSE))*IF('18.05'!$AK38="是",'18.05'!$BB$4,'18.05'!$BB$3))</f>
        <v>0</v>
      </c>
      <c r="V38" s="4">
        <f>IF(ISNUMBER(SEARCH("营",'18.05'!AD38)),(-$Y38+50*IF('18.05'!$AK38="是",'18.05'!$BB$4,'18.05'!$BB$3)),(VLOOKUP('18.05'!AD38,'18.05'!$AO$4:$AQ$55,2,FALSE))*IF('18.05'!$AK38="是",'18.05'!$BB$4,'18.05'!$BB$3))</f>
        <v>0</v>
      </c>
      <c r="W38" s="4">
        <f>IF(ISNUMBER(SEARCH("营",'18.05'!AE38)),(-$Y38+50*IF('18.05'!$AK38="是",'18.05'!$BB$4,'18.05'!$BB$3)),(VLOOKUP('18.05'!AE38,'18.05'!$AO$4:$AQ$55,2,FALSE))*IF('18.05'!$AK38="是",'18.05'!$BB$4,'18.05'!$BB$3))</f>
        <v>0</v>
      </c>
      <c r="X38" s="4">
        <f>IF(ISNUMBER(SEARCH("营",'18.05'!AF38)),(-$Y38+50*IF('18.05'!$AK38="是",'18.05'!$BB$4,'18.05'!$BB$3)),(VLOOKUP('18.05'!AF38,'18.05'!$AO$4:$AQ$55,2,FALSE))*IF('18.05'!$AK38="是",'18.05'!$BB$4,'18.05'!$BB$3))</f>
        <v>0</v>
      </c>
      <c r="Y38" s="69">
        <v>200</v>
      </c>
      <c r="Z38" s="75">
        <v>45673</v>
      </c>
    </row>
    <row r="39" spans="1:26">
      <c r="A39" s="4">
        <f>IF(ISNUMBER(SEARCH("营",'18.05'!I39)),(-$Y39+50*IF('18.05'!$AK39="是",'18.05'!$BB$4,'18.05'!$BB$3)),(VLOOKUP('18.05'!I39,'18.05'!$AO$4:$AQ$55,2,FALSE))*IF('18.05'!$AK39="是",'18.05'!$BB$4,'18.05'!$BB$3))</f>
        <v>0</v>
      </c>
      <c r="B39" s="4">
        <f>IF(ISNUMBER(SEARCH("营",'18.05'!J39)),(-$Y39+50*IF('18.05'!$AK39="是",'18.05'!$BB$4,'18.05'!$BB$3)),(VLOOKUP('18.05'!J39,'18.05'!$AO$4:$AQ$55,2,FALSE))*IF('18.05'!$AK39="是",'18.05'!$BB$4,'18.05'!$BB$3))</f>
        <v>0</v>
      </c>
      <c r="C39" s="4">
        <f>IF(ISNUMBER(SEARCH("营",'18.05'!K39)),(-$Y39+50*IF('18.05'!$AK39="是",'18.05'!$BB$4,'18.05'!$BB$3)),(VLOOKUP('18.05'!K39,'18.05'!$AO$4:$AQ$55,2,FALSE))*IF('18.05'!$AK39="是",'18.05'!$BB$4,'18.05'!$BB$3))</f>
        <v>0</v>
      </c>
      <c r="D39" s="4">
        <f>IF(ISNUMBER(SEARCH("营",'18.05'!L39)),(-$Y39+50*IF('18.05'!$AK39="是",'18.05'!$BB$4,'18.05'!$BB$3)),(VLOOKUP('18.05'!L39,'18.05'!$AO$4:$AQ$55,2,FALSE))*IF('18.05'!$AK39="是",'18.05'!$BB$4,'18.05'!$BB$3))</f>
        <v>0</v>
      </c>
      <c r="E39" s="4">
        <f>IF(ISNUMBER(SEARCH("营",'18.05'!M39)),(-$Y39+50*IF('18.05'!$AK39="是",'18.05'!$BB$4,'18.05'!$BB$3)),(VLOOKUP('18.05'!M39,'18.05'!$AO$4:$AQ$55,2,FALSE))*IF('18.05'!$AK39="是",'18.05'!$BB$4,'18.05'!$BB$3))</f>
        <v>0</v>
      </c>
      <c r="F39" s="4">
        <f>IF(ISNUMBER(SEARCH("营",'18.05'!N39)),(-$Y39+50*IF('18.05'!$AK39="是",'18.05'!$BB$4,'18.05'!$BB$3)),(VLOOKUP('18.05'!N39,'18.05'!$AO$4:$AQ$55,2,FALSE))*IF('18.05'!$AK39="是",'18.05'!$BB$4,'18.05'!$BB$3))</f>
        <v>0</v>
      </c>
      <c r="G39" s="4">
        <f>IF(ISNUMBER(SEARCH("营",'18.05'!O39)),(-$Y39+50*IF('18.05'!$AK39="是",'18.05'!$BB$4,'18.05'!$BB$3)),(VLOOKUP('18.05'!O39,'18.05'!$AO$4:$AQ$55,2,FALSE))*IF('18.05'!$AK39="是",'18.05'!$BB$4,'18.05'!$BB$3))</f>
        <v>0</v>
      </c>
      <c r="H39" s="4">
        <f>IF(ISNUMBER(SEARCH("营",'18.05'!P39)),(-$Y39+50*IF('18.05'!$AK39="是",'18.05'!$BB$4,'18.05'!$BB$3)),(VLOOKUP('18.05'!P39,'18.05'!$AO$4:$AQ$55,2,FALSE))*IF('18.05'!$AK39="是",'18.05'!$BB$4,'18.05'!$BB$3))</f>
        <v>0</v>
      </c>
      <c r="I39" s="4">
        <f>IF(ISNUMBER(SEARCH("营",'18.05'!Q39)),(-$Y39+50*IF('18.05'!$AK39="是",'18.05'!$BB$4,'18.05'!$BB$3)),(VLOOKUP('18.05'!Q39,'18.05'!$AO$4:$AQ$55,2,FALSE))*IF('18.05'!$AK39="是",'18.05'!$BB$4,'18.05'!$BB$3))</f>
        <v>144</v>
      </c>
      <c r="J39" s="4">
        <f>IF(ISNUMBER(SEARCH("营",'18.05'!R39)),(-$Y39+50*IF('18.05'!$AK39="是",'18.05'!$BB$4,'18.05'!$BB$3)),(VLOOKUP('18.05'!R39,'18.05'!$AO$4:$AQ$55,2,FALSE))*IF('18.05'!$AK39="是",'18.05'!$BB$4,'18.05'!$BB$3))</f>
        <v>152</v>
      </c>
      <c r="K39" s="4">
        <f>IF(ISNUMBER(SEARCH("营",'18.05'!S39)),(-$Y39+50*IF('18.05'!$AK39="是",'18.05'!$BB$4,'18.05'!$BB$3)),(VLOOKUP('18.05'!S39,'18.05'!$AO$4:$AQ$55,2,FALSE))*IF('18.05'!$AK39="是",'18.05'!$BB$4,'18.05'!$BB$3))</f>
        <v>152</v>
      </c>
      <c r="L39" s="4">
        <f>IF(ISNUMBER(SEARCH("营",'18.05'!T39)),(-$Y39+50*IF('18.05'!$AK39="是",'18.05'!$BB$4,'18.05'!$BB$3)),(VLOOKUP('18.05'!T39,'18.05'!$AO$4:$AQ$55,2,FALSE))*IF('18.05'!$AK39="是",'18.05'!$BB$4,'18.05'!$BB$3))</f>
        <v>152</v>
      </c>
      <c r="M39" s="4">
        <f>IF(ISNUMBER(SEARCH("营",'18.05'!U39)),(-$Y39+50*IF('18.05'!$AK39="是",'18.05'!$BB$4,'18.05'!$BB$3)),(VLOOKUP('18.05'!U39,'18.05'!$AO$4:$AQ$55,2,FALSE))*IF('18.05'!$AK39="是",'18.05'!$BB$4,'18.05'!$BB$3))</f>
        <v>144</v>
      </c>
      <c r="N39" s="4">
        <f>IF(ISNUMBER(SEARCH("营",'18.05'!V39)),(-$Y39+50*IF('18.05'!$AK39="是",'18.05'!$BB$4,'18.05'!$BB$3)),(VLOOKUP('18.05'!V39,'18.05'!$AO$4:$AQ$55,2,FALSE))*IF('18.05'!$AK39="是",'18.05'!$BB$4,'18.05'!$BB$3))</f>
        <v>144</v>
      </c>
      <c r="O39" s="4">
        <f>IF(ISNUMBER(SEARCH("营",'18.05'!W39)),(-$Y39+50*IF('18.05'!$AK39="是",'18.05'!$BB$4,'18.05'!$BB$3)),(VLOOKUP('18.05'!W39,'18.05'!$AO$4:$AQ$55,2,FALSE))*IF('18.05'!$AK39="是",'18.05'!$BB$4,'18.05'!$BB$3))</f>
        <v>144</v>
      </c>
      <c r="P39" s="4">
        <f>IF(ISNUMBER(SEARCH("营",'18.05'!X39)),(-$Y39+50*IF('18.05'!$AK39="是",'18.05'!$BB$4,'18.05'!$BB$3)),(VLOOKUP('18.05'!X39,'18.05'!$AO$4:$AQ$55,2,FALSE))*IF('18.05'!$AK39="是",'18.05'!$BB$4,'18.05'!$BB$3))</f>
        <v>144</v>
      </c>
      <c r="Q39" s="4">
        <f>IF(ISNUMBER(SEARCH("营",'18.05'!Y39)),(-$Y39+50*IF('18.05'!$AK39="是",'18.05'!$BB$4,'18.05'!$BB$3)),(VLOOKUP('18.05'!Y39,'18.05'!$AO$4:$AQ$55,2,FALSE))*IF('18.05'!$AK39="是",'18.05'!$BB$4,'18.05'!$BB$3))</f>
        <v>0</v>
      </c>
      <c r="R39" s="4">
        <f>IF(ISNUMBER(SEARCH("营",'18.05'!Z39)),(-$Y39+50*IF('18.05'!$AK39="是",'18.05'!$BB$4,'18.05'!$BB$3)),(VLOOKUP('18.05'!Z39,'18.05'!$AO$4:$AQ$55,2,FALSE))*IF('18.05'!$AK39="是",'18.05'!$BB$4,'18.05'!$BB$3))</f>
        <v>0</v>
      </c>
      <c r="S39" s="4">
        <f>IF(ISNUMBER(SEARCH("营",'18.05'!AA39)),(-$Y39+50*IF('18.05'!$AK39="是",'18.05'!$BB$4,'18.05'!$BB$3)),(VLOOKUP('18.05'!AA39,'18.05'!$AO$4:$AQ$55,2,FALSE))*IF('18.05'!$AK39="是",'18.05'!$BB$4,'18.05'!$BB$3))</f>
        <v>0</v>
      </c>
      <c r="T39" s="4">
        <f>IF(ISNUMBER(SEARCH("营",'18.05'!AB39)),(-$Y39+50*IF('18.05'!$AK39="是",'18.05'!$BB$4,'18.05'!$BB$3)),(VLOOKUP('18.05'!AB39,'18.05'!$AO$4:$AQ$55,2,FALSE))*IF('18.05'!$AK39="是",'18.05'!$BB$4,'18.05'!$BB$3))</f>
        <v>0</v>
      </c>
      <c r="U39" s="4">
        <f>IF(ISNUMBER(SEARCH("营",'18.05'!AC39)),(-$Y39+50*IF('18.05'!$AK39="是",'18.05'!$BB$4,'18.05'!$BB$3)),(VLOOKUP('18.05'!AC39,'18.05'!$AO$4:$AQ$55,2,FALSE))*IF('18.05'!$AK39="是",'18.05'!$BB$4,'18.05'!$BB$3))</f>
        <v>0</v>
      </c>
      <c r="V39" s="4">
        <f>IF(ISNUMBER(SEARCH("营",'18.05'!AD39)),(-$Y39+50*IF('18.05'!$AK39="是",'18.05'!$BB$4,'18.05'!$BB$3)),(VLOOKUP('18.05'!AD39,'18.05'!$AO$4:$AQ$55,2,FALSE))*IF('18.05'!$AK39="是",'18.05'!$BB$4,'18.05'!$BB$3))</f>
        <v>0</v>
      </c>
      <c r="W39" s="4">
        <f>IF(ISNUMBER(SEARCH("营",'18.05'!AE39)),(-$Y39+50*IF('18.05'!$AK39="是",'18.05'!$BB$4,'18.05'!$BB$3)),(VLOOKUP('18.05'!AE39,'18.05'!$AO$4:$AQ$55,2,FALSE))*IF('18.05'!$AK39="是",'18.05'!$BB$4,'18.05'!$BB$3))</f>
        <v>0</v>
      </c>
      <c r="X39" s="4">
        <f>IF(ISNUMBER(SEARCH("营",'18.05'!AF39)),(-$Y39+50*IF('18.05'!$AK39="是",'18.05'!$BB$4,'18.05'!$BB$3)),(VLOOKUP('18.05'!AF39,'18.05'!$AO$4:$AQ$55,2,FALSE))*IF('18.05'!$AK39="是",'18.05'!$BB$4,'18.05'!$BB$3))</f>
        <v>0</v>
      </c>
      <c r="Y39" s="70">
        <v>150</v>
      </c>
      <c r="Z39" s="84">
        <v>45674</v>
      </c>
    </row>
    <row r="40" spans="1:26">
      <c r="A40" s="4">
        <f>IF(ISNUMBER(SEARCH("营",'18.05'!I40)),(-$Y40+50*IF('18.05'!$AK40="是",'18.05'!$BB$4,'18.05'!$BB$3)),(VLOOKUP('18.05'!I40,'18.05'!$AO$4:$AQ$55,2,FALSE))*IF('18.05'!$AK40="是",'18.05'!$BB$4,'18.05'!$BB$3))</f>
        <v>0</v>
      </c>
      <c r="B40" s="4">
        <f>IF(ISNUMBER(SEARCH("营",'18.05'!J40)),(-$Y40+50*IF('18.05'!$AK40="是",'18.05'!$BB$4,'18.05'!$BB$3)),(VLOOKUP('18.05'!J40,'18.05'!$AO$4:$AQ$55,2,FALSE))*IF('18.05'!$AK40="是",'18.05'!$BB$4,'18.05'!$BB$3))</f>
        <v>0</v>
      </c>
      <c r="C40" s="4">
        <f>IF(ISNUMBER(SEARCH("营",'18.05'!K40)),(-$Y40+50*IF('18.05'!$AK40="是",'18.05'!$BB$4,'18.05'!$BB$3)),(VLOOKUP('18.05'!K40,'18.05'!$AO$4:$AQ$55,2,FALSE))*IF('18.05'!$AK40="是",'18.05'!$BB$4,'18.05'!$BB$3))</f>
        <v>0</v>
      </c>
      <c r="D40" s="4">
        <f>IF(ISNUMBER(SEARCH("营",'18.05'!L40)),(-$Y40+50*IF('18.05'!$AK40="是",'18.05'!$BB$4,'18.05'!$BB$3)),(VLOOKUP('18.05'!L40,'18.05'!$AO$4:$AQ$55,2,FALSE))*IF('18.05'!$AK40="是",'18.05'!$BB$4,'18.05'!$BB$3))</f>
        <v>0</v>
      </c>
      <c r="E40" s="4">
        <f>IF(ISNUMBER(SEARCH("营",'18.05'!M40)),(-$Y40+50*IF('18.05'!$AK40="是",'18.05'!$BB$4,'18.05'!$BB$3)),(VLOOKUP('18.05'!M40,'18.05'!$AO$4:$AQ$55,2,FALSE))*IF('18.05'!$AK40="是",'18.05'!$BB$4,'18.05'!$BB$3))</f>
        <v>0</v>
      </c>
      <c r="F40" s="4">
        <f>IF(ISNUMBER(SEARCH("营",'18.05'!N40)),(-$Y40+50*IF('18.05'!$AK40="是",'18.05'!$BB$4,'18.05'!$BB$3)),(VLOOKUP('18.05'!N40,'18.05'!$AO$4:$AQ$55,2,FALSE))*IF('18.05'!$AK40="是",'18.05'!$BB$4,'18.05'!$BB$3))</f>
        <v>0</v>
      </c>
      <c r="G40" s="4">
        <f>IF(ISNUMBER(SEARCH("营",'18.05'!O40)),(-$Y40+50*IF('18.05'!$AK40="是",'18.05'!$BB$4,'18.05'!$BB$3)),(VLOOKUP('18.05'!O40,'18.05'!$AO$4:$AQ$55,2,FALSE))*IF('18.05'!$AK40="是",'18.05'!$BB$4,'18.05'!$BB$3))</f>
        <v>0</v>
      </c>
      <c r="H40" s="4">
        <f>IF(ISNUMBER(SEARCH("营",'18.05'!P40)),(-$Y40+50*IF('18.05'!$AK40="是",'18.05'!$BB$4,'18.05'!$BB$3)),(VLOOKUP('18.05'!P40,'18.05'!$AO$4:$AQ$55,2,FALSE))*IF('18.05'!$AK40="是",'18.05'!$BB$4,'18.05'!$BB$3))</f>
        <v>0</v>
      </c>
      <c r="I40" s="4">
        <f>IF(ISNUMBER(SEARCH("营",'18.05'!Q40)),(-$Y40+50*IF('18.05'!$AK40="是",'18.05'!$BB$4,'18.05'!$BB$3)),(VLOOKUP('18.05'!Q40,'18.05'!$AO$4:$AQ$55,2,FALSE))*IF('18.05'!$AK40="是",'18.05'!$BB$4,'18.05'!$BB$3))</f>
        <v>144</v>
      </c>
      <c r="J40" s="4">
        <f>IF(ISNUMBER(SEARCH("营",'18.05'!R40)),(-$Y40+50*IF('18.05'!$AK40="是",'18.05'!$BB$4,'18.05'!$BB$3)),(VLOOKUP('18.05'!R40,'18.05'!$AO$4:$AQ$55,2,FALSE))*IF('18.05'!$AK40="是",'18.05'!$BB$4,'18.05'!$BB$3))</f>
        <v>144</v>
      </c>
      <c r="K40" s="4">
        <f>IF(ISNUMBER(SEARCH("营",'18.05'!S40)),(-$Y40+50*IF('18.05'!$AK40="是",'18.05'!$BB$4,'18.05'!$BB$3)),(VLOOKUP('18.05'!S40,'18.05'!$AO$4:$AQ$55,2,FALSE))*IF('18.05'!$AK40="是",'18.05'!$BB$4,'18.05'!$BB$3))</f>
        <v>144</v>
      </c>
      <c r="L40" s="4">
        <f>IF(ISNUMBER(SEARCH("营",'18.05'!T40)),(-$Y40+50*IF('18.05'!$AK40="是",'18.05'!$BB$4,'18.05'!$BB$3)),(VLOOKUP('18.05'!T40,'18.05'!$AO$4:$AQ$55,2,FALSE))*IF('18.05'!$AK40="是",'18.05'!$BB$4,'18.05'!$BB$3))</f>
        <v>144</v>
      </c>
      <c r="M40" s="4">
        <f>IF(ISNUMBER(SEARCH("营",'18.05'!U40)),(-$Y40+50*IF('18.05'!$AK40="是",'18.05'!$BB$4,'18.05'!$BB$3)),(VLOOKUP('18.05'!U40,'18.05'!$AO$4:$AQ$55,2,FALSE))*IF('18.05'!$AK40="是",'18.05'!$BB$4,'18.05'!$BB$3))</f>
        <v>144</v>
      </c>
      <c r="N40" s="4">
        <f>IF(ISNUMBER(SEARCH("营",'18.05'!V40)),(-$Y40+50*IF('18.05'!$AK40="是",'18.05'!$BB$4,'18.05'!$BB$3)),(VLOOKUP('18.05'!V40,'18.05'!$AO$4:$AQ$55,2,FALSE))*IF('18.05'!$AK40="是",'18.05'!$BB$4,'18.05'!$BB$3))</f>
        <v>144</v>
      </c>
      <c r="O40" s="4">
        <f>IF(ISNUMBER(SEARCH("营",'18.05'!W40)),(-$Y40+50*IF('18.05'!$AK40="是",'18.05'!$BB$4,'18.05'!$BB$3)),(VLOOKUP('18.05'!W40,'18.05'!$AO$4:$AQ$55,2,FALSE))*IF('18.05'!$AK40="是",'18.05'!$BB$4,'18.05'!$BB$3))</f>
        <v>0</v>
      </c>
      <c r="P40" s="4">
        <f>IF(ISNUMBER(SEARCH("营",'18.05'!X40)),(-$Y40+50*IF('18.05'!$AK40="是",'18.05'!$BB$4,'18.05'!$BB$3)),(VLOOKUP('18.05'!X40,'18.05'!$AO$4:$AQ$55,2,FALSE))*IF('18.05'!$AK40="是",'18.05'!$BB$4,'18.05'!$BB$3))</f>
        <v>0</v>
      </c>
      <c r="Q40" s="4">
        <f>IF(ISNUMBER(SEARCH("营",'18.05'!Y40)),(-$Y40+50*IF('18.05'!$AK40="是",'18.05'!$BB$4,'18.05'!$BB$3)),(VLOOKUP('18.05'!Y40,'18.05'!$AO$4:$AQ$55,2,FALSE))*IF('18.05'!$AK40="是",'18.05'!$BB$4,'18.05'!$BB$3))</f>
        <v>0</v>
      </c>
      <c r="R40" s="4">
        <f>IF(ISNUMBER(SEARCH("营",'18.05'!Z40)),(-$Y40+50*IF('18.05'!$AK40="是",'18.05'!$BB$4,'18.05'!$BB$3)),(VLOOKUP('18.05'!Z40,'18.05'!$AO$4:$AQ$55,2,FALSE))*IF('18.05'!$AK40="是",'18.05'!$BB$4,'18.05'!$BB$3))</f>
        <v>0</v>
      </c>
      <c r="S40" s="4">
        <f>IF(ISNUMBER(SEARCH("营",'18.05'!AA40)),(-$Y40+50*IF('18.05'!$AK40="是",'18.05'!$BB$4,'18.05'!$BB$3)),(VLOOKUP('18.05'!AA40,'18.05'!$AO$4:$AQ$55,2,FALSE))*IF('18.05'!$AK40="是",'18.05'!$BB$4,'18.05'!$BB$3))</f>
        <v>0</v>
      </c>
      <c r="T40" s="4">
        <f>IF(ISNUMBER(SEARCH("营",'18.05'!AB40)),(-$Y40+50*IF('18.05'!$AK40="是",'18.05'!$BB$4,'18.05'!$BB$3)),(VLOOKUP('18.05'!AB40,'18.05'!$AO$4:$AQ$55,2,FALSE))*IF('18.05'!$AK40="是",'18.05'!$BB$4,'18.05'!$BB$3))</f>
        <v>0</v>
      </c>
      <c r="U40" s="4">
        <f>IF(ISNUMBER(SEARCH("营",'18.05'!AC40)),(-$Y40+50*IF('18.05'!$AK40="是",'18.05'!$BB$4,'18.05'!$BB$3)),(VLOOKUP('18.05'!AC40,'18.05'!$AO$4:$AQ$55,2,FALSE))*IF('18.05'!$AK40="是",'18.05'!$BB$4,'18.05'!$BB$3))</f>
        <v>0</v>
      </c>
      <c r="V40" s="4">
        <f>IF(ISNUMBER(SEARCH("营",'18.05'!AD40)),(-$Y40+50*IF('18.05'!$AK40="是",'18.05'!$BB$4,'18.05'!$BB$3)),(VLOOKUP('18.05'!AD40,'18.05'!$AO$4:$AQ$55,2,FALSE))*IF('18.05'!$AK40="是",'18.05'!$BB$4,'18.05'!$BB$3))</f>
        <v>0</v>
      </c>
      <c r="W40" s="4">
        <f>IF(ISNUMBER(SEARCH("营",'18.05'!AE40)),(-$Y40+50*IF('18.05'!$AK40="是",'18.05'!$BB$4,'18.05'!$BB$3)),(VLOOKUP('18.05'!AE40,'18.05'!$AO$4:$AQ$55,2,FALSE))*IF('18.05'!$AK40="是",'18.05'!$BB$4,'18.05'!$BB$3))</f>
        <v>0</v>
      </c>
      <c r="X40" s="4">
        <f>IF(ISNUMBER(SEARCH("营",'18.05'!AF40)),(-$Y40+50*IF('18.05'!$AK40="是",'18.05'!$BB$4,'18.05'!$BB$3)),(VLOOKUP('18.05'!AF40,'18.05'!$AO$4:$AQ$55,2,FALSE))*IF('18.05'!$AK40="是",'18.05'!$BB$4,'18.05'!$BB$3))</f>
        <v>0</v>
      </c>
      <c r="Y40" s="70">
        <v>150</v>
      </c>
      <c r="Z40" s="84">
        <v>45675</v>
      </c>
    </row>
    <row r="41" spans="1:26">
      <c r="A41" s="4">
        <f>IF(ISNUMBER(SEARCH("营",'18.05'!I41)),(-$Y41+50*IF('18.05'!$AK41="是",'18.05'!$BB$4,'18.05'!$BB$3)),(VLOOKUP('18.05'!I41,'18.05'!$AO$4:$AQ$55,2,FALSE))*IF('18.05'!$AK41="是",'18.05'!$BB$4,'18.05'!$BB$3))</f>
        <v>144</v>
      </c>
      <c r="B41" s="4">
        <f>IF(ISNUMBER(SEARCH("营",'18.05'!J41)),(-$Y41+50*IF('18.05'!$AK41="是",'18.05'!$BB$4,'18.05'!$BB$3)),(VLOOKUP('18.05'!J41,'18.05'!$AO$4:$AQ$55,2,FALSE))*IF('18.05'!$AK41="是",'18.05'!$BB$4,'18.05'!$BB$3))</f>
        <v>144</v>
      </c>
      <c r="C41" s="4">
        <f>IF(ISNUMBER(SEARCH("营",'18.05'!K41)),(-$Y41+50*IF('18.05'!$AK41="是",'18.05'!$BB$4,'18.05'!$BB$3)),(VLOOKUP('18.05'!K41,'18.05'!$AO$4:$AQ$55,2,FALSE))*IF('18.05'!$AK41="是",'18.05'!$BB$4,'18.05'!$BB$3))</f>
        <v>144</v>
      </c>
      <c r="D41" s="4">
        <f>IF(ISNUMBER(SEARCH("营",'18.05'!L41)),(-$Y41+50*IF('18.05'!$AK41="是",'18.05'!$BB$4,'18.05'!$BB$3)),(VLOOKUP('18.05'!L41,'18.05'!$AO$4:$AQ$55,2,FALSE))*IF('18.05'!$AK41="是",'18.05'!$BB$4,'18.05'!$BB$3))</f>
        <v>144</v>
      </c>
      <c r="E41" s="4">
        <f>IF(ISNUMBER(SEARCH("营",'18.05'!M41)),(-$Y41+50*IF('18.05'!$AK41="是",'18.05'!$BB$4,'18.05'!$BB$3)),(VLOOKUP('18.05'!M41,'18.05'!$AO$4:$AQ$55,2,FALSE))*IF('18.05'!$AK41="是",'18.05'!$BB$4,'18.05'!$BB$3))</f>
        <v>144</v>
      </c>
      <c r="F41" s="4">
        <f>IF(ISNUMBER(SEARCH("营",'18.05'!N41)),(-$Y41+50*IF('18.05'!$AK41="是",'18.05'!$BB$4,'18.05'!$BB$3)),(VLOOKUP('18.05'!N41,'18.05'!$AO$4:$AQ$55,2,FALSE))*IF('18.05'!$AK41="是",'18.05'!$BB$4,'18.05'!$BB$3))</f>
        <v>144</v>
      </c>
      <c r="G41" s="4">
        <f>IF(ISNUMBER(SEARCH("营",'18.05'!O41)),(-$Y41+50*IF('18.05'!$AK41="是",'18.05'!$BB$4,'18.05'!$BB$3)),(VLOOKUP('18.05'!O41,'18.05'!$AO$4:$AQ$55,2,FALSE))*IF('18.05'!$AK41="是",'18.05'!$BB$4,'18.05'!$BB$3))</f>
        <v>0</v>
      </c>
      <c r="H41" s="4">
        <f>IF(ISNUMBER(SEARCH("营",'18.05'!P41)),(-$Y41+50*IF('18.05'!$AK41="是",'18.05'!$BB$4,'18.05'!$BB$3)),(VLOOKUP('18.05'!P41,'18.05'!$AO$4:$AQ$55,2,FALSE))*IF('18.05'!$AK41="是",'18.05'!$BB$4,'18.05'!$BB$3))</f>
        <v>0</v>
      </c>
      <c r="I41" s="4">
        <f>IF(ISNUMBER(SEARCH("营",'18.05'!Q41)),(-$Y41+50*IF('18.05'!$AK41="是",'18.05'!$BB$4,'18.05'!$BB$3)),(VLOOKUP('18.05'!Q41,'18.05'!$AO$4:$AQ$55,2,FALSE))*IF('18.05'!$AK41="是",'18.05'!$BB$4,'18.05'!$BB$3))</f>
        <v>144</v>
      </c>
      <c r="J41" s="4">
        <f>IF(ISNUMBER(SEARCH("营",'18.05'!R41)),(-$Y41+50*IF('18.05'!$AK41="是",'18.05'!$BB$4,'18.05'!$BB$3)),(VLOOKUP('18.05'!R41,'18.05'!$AO$4:$AQ$55,2,FALSE))*IF('18.05'!$AK41="是",'18.05'!$BB$4,'18.05'!$BB$3))</f>
        <v>144</v>
      </c>
      <c r="K41" s="4">
        <f>IF(ISNUMBER(SEARCH("营",'18.05'!S41)),(-$Y41+50*IF('18.05'!$AK41="是",'18.05'!$BB$4,'18.05'!$BB$3)),(VLOOKUP('18.05'!S41,'18.05'!$AO$4:$AQ$55,2,FALSE))*IF('18.05'!$AK41="是",'18.05'!$BB$4,'18.05'!$BB$3))</f>
        <v>144</v>
      </c>
      <c r="L41" s="4">
        <f>IF(ISNUMBER(SEARCH("营",'18.05'!T41)),(-$Y41+50*IF('18.05'!$AK41="是",'18.05'!$BB$4,'18.05'!$BB$3)),(VLOOKUP('18.05'!T41,'18.05'!$AO$4:$AQ$55,2,FALSE))*IF('18.05'!$AK41="是",'18.05'!$BB$4,'18.05'!$BB$3))</f>
        <v>144</v>
      </c>
      <c r="M41" s="4">
        <f>IF(ISNUMBER(SEARCH("营",'18.05'!U41)),(-$Y41+50*IF('18.05'!$AK41="是",'18.05'!$BB$4,'18.05'!$BB$3)),(VLOOKUP('18.05'!U41,'18.05'!$AO$4:$AQ$55,2,FALSE))*IF('18.05'!$AK41="是",'18.05'!$BB$4,'18.05'!$BB$3))</f>
        <v>144</v>
      </c>
      <c r="N41" s="4">
        <f>IF(ISNUMBER(SEARCH("营",'18.05'!V41)),(-$Y41+50*IF('18.05'!$AK41="是",'18.05'!$BB$4,'18.05'!$BB$3)),(VLOOKUP('18.05'!V41,'18.05'!$AO$4:$AQ$55,2,FALSE))*IF('18.05'!$AK41="是",'18.05'!$BB$4,'18.05'!$BB$3))</f>
        <v>144</v>
      </c>
      <c r="O41" s="4">
        <f>IF(ISNUMBER(SEARCH("营",'18.05'!W41)),(-$Y41+50*IF('18.05'!$AK41="是",'18.05'!$BB$4,'18.05'!$BB$3)),(VLOOKUP('18.05'!W41,'18.05'!$AO$4:$AQ$55,2,FALSE))*IF('18.05'!$AK41="是",'18.05'!$BB$4,'18.05'!$BB$3))</f>
        <v>0</v>
      </c>
      <c r="P41" s="4">
        <f>IF(ISNUMBER(SEARCH("营",'18.05'!X41)),(-$Y41+50*IF('18.05'!$AK41="是",'18.05'!$BB$4,'18.05'!$BB$3)),(VLOOKUP('18.05'!X41,'18.05'!$AO$4:$AQ$55,2,FALSE))*IF('18.05'!$AK41="是",'18.05'!$BB$4,'18.05'!$BB$3))</f>
        <v>0</v>
      </c>
      <c r="Q41" s="4">
        <f>IF(ISNUMBER(SEARCH("营",'18.05'!Y41)),(-$Y41+50*IF('18.05'!$AK41="是",'18.05'!$BB$4,'18.05'!$BB$3)),(VLOOKUP('18.05'!Y41,'18.05'!$AO$4:$AQ$55,2,FALSE))*IF('18.05'!$AK41="是",'18.05'!$BB$4,'18.05'!$BB$3))</f>
        <v>0</v>
      </c>
      <c r="R41" s="4">
        <f>IF(ISNUMBER(SEARCH("营",'18.05'!Z41)),(-$Y41+50*IF('18.05'!$AK41="是",'18.05'!$BB$4,'18.05'!$BB$3)),(VLOOKUP('18.05'!Z41,'18.05'!$AO$4:$AQ$55,2,FALSE))*IF('18.05'!$AK41="是",'18.05'!$BB$4,'18.05'!$BB$3))</f>
        <v>0</v>
      </c>
      <c r="S41" s="4">
        <f>IF(ISNUMBER(SEARCH("营",'18.05'!AA41)),(-$Y41+50*IF('18.05'!$AK41="是",'18.05'!$BB$4,'18.05'!$BB$3)),(VLOOKUP('18.05'!AA41,'18.05'!$AO$4:$AQ$55,2,FALSE))*IF('18.05'!$AK41="是",'18.05'!$BB$4,'18.05'!$BB$3))</f>
        <v>0</v>
      </c>
      <c r="T41" s="4">
        <f>IF(ISNUMBER(SEARCH("营",'18.05'!AB41)),(-$Y41+50*IF('18.05'!$AK41="是",'18.05'!$BB$4,'18.05'!$BB$3)),(VLOOKUP('18.05'!AB41,'18.05'!$AO$4:$AQ$55,2,FALSE))*IF('18.05'!$AK41="是",'18.05'!$BB$4,'18.05'!$BB$3))</f>
        <v>0</v>
      </c>
      <c r="U41" s="4">
        <f>IF(ISNUMBER(SEARCH("营",'18.05'!AC41)),(-$Y41+50*IF('18.05'!$AK41="是",'18.05'!$BB$4,'18.05'!$BB$3)),(VLOOKUP('18.05'!AC41,'18.05'!$AO$4:$AQ$55,2,FALSE))*IF('18.05'!$AK41="是",'18.05'!$BB$4,'18.05'!$BB$3))</f>
        <v>0</v>
      </c>
      <c r="V41" s="4">
        <f>IF(ISNUMBER(SEARCH("营",'18.05'!AD41)),(-$Y41+50*IF('18.05'!$AK41="是",'18.05'!$BB$4,'18.05'!$BB$3)),(VLOOKUP('18.05'!AD41,'18.05'!$AO$4:$AQ$55,2,FALSE))*IF('18.05'!$AK41="是",'18.05'!$BB$4,'18.05'!$BB$3))</f>
        <v>0</v>
      </c>
      <c r="W41" s="4">
        <f>IF(ISNUMBER(SEARCH("营",'18.05'!AE41)),(-$Y41+50*IF('18.05'!$AK41="是",'18.05'!$BB$4,'18.05'!$BB$3)),(VLOOKUP('18.05'!AE41,'18.05'!$AO$4:$AQ$55,2,FALSE))*IF('18.05'!$AK41="是",'18.05'!$BB$4,'18.05'!$BB$3))</f>
        <v>0</v>
      </c>
      <c r="X41" s="4">
        <f>IF(ISNUMBER(SEARCH("营",'18.05'!AF41)),(-$Y41+50*IF('18.05'!$AK41="是",'18.05'!$BB$4,'18.05'!$BB$3)),(VLOOKUP('18.05'!AF41,'18.05'!$AO$4:$AQ$55,2,FALSE))*IF('18.05'!$AK41="是",'18.05'!$BB$4,'18.05'!$BB$3))</f>
        <v>0</v>
      </c>
      <c r="Y41" s="70">
        <v>150</v>
      </c>
      <c r="Z41" s="84">
        <v>45676</v>
      </c>
    </row>
    <row r="42" spans="1:26">
      <c r="A42" s="4">
        <f>IF(ISNUMBER(SEARCH("营",'18.05'!I42)),(-$Y42+50*IF('18.05'!$AK42="是",'18.05'!$BB$4,'18.05'!$BB$3)),(VLOOKUP('18.05'!I42,'18.05'!$AO$4:$AQ$55,2,FALSE))*IF('18.05'!$AK42="是",'18.05'!$BB$4,'18.05'!$BB$3))</f>
        <v>144</v>
      </c>
      <c r="B42" s="4">
        <f>IF(ISNUMBER(SEARCH("营",'18.05'!J42)),(-$Y42+50*IF('18.05'!$AK42="是",'18.05'!$BB$4,'18.05'!$BB$3)),(VLOOKUP('18.05'!J42,'18.05'!$AO$4:$AQ$55,2,FALSE))*IF('18.05'!$AK42="是",'18.05'!$BB$4,'18.05'!$BB$3))</f>
        <v>144</v>
      </c>
      <c r="C42" s="4">
        <f>IF(ISNUMBER(SEARCH("营",'18.05'!K42)),(-$Y42+50*IF('18.05'!$AK42="是",'18.05'!$BB$4,'18.05'!$BB$3)),(VLOOKUP('18.05'!K42,'18.05'!$AO$4:$AQ$55,2,FALSE))*IF('18.05'!$AK42="是",'18.05'!$BB$4,'18.05'!$BB$3))</f>
        <v>144</v>
      </c>
      <c r="D42" s="4">
        <f>IF(ISNUMBER(SEARCH("营",'18.05'!L42)),(-$Y42+50*IF('18.05'!$AK42="是",'18.05'!$BB$4,'18.05'!$BB$3)),(VLOOKUP('18.05'!L42,'18.05'!$AO$4:$AQ$55,2,FALSE))*IF('18.05'!$AK42="是",'18.05'!$BB$4,'18.05'!$BB$3))</f>
        <v>144</v>
      </c>
      <c r="E42" s="4">
        <f>IF(ISNUMBER(SEARCH("营",'18.05'!M42)),(-$Y42+50*IF('18.05'!$AK42="是",'18.05'!$BB$4,'18.05'!$BB$3)),(VLOOKUP('18.05'!M42,'18.05'!$AO$4:$AQ$55,2,FALSE))*IF('18.05'!$AK42="是",'18.05'!$BB$4,'18.05'!$BB$3))</f>
        <v>144</v>
      </c>
      <c r="F42" s="4">
        <f>IF(ISNUMBER(SEARCH("营",'18.05'!N42)),(-$Y42+50*IF('18.05'!$AK42="是",'18.05'!$BB$4,'18.05'!$BB$3)),(VLOOKUP('18.05'!N42,'18.05'!$AO$4:$AQ$55,2,FALSE))*IF('18.05'!$AK42="是",'18.05'!$BB$4,'18.05'!$BB$3))</f>
        <v>144</v>
      </c>
      <c r="G42" s="4">
        <f>IF(ISNUMBER(SEARCH("营",'18.05'!O42)),(-$Y42+50*IF('18.05'!$AK42="是",'18.05'!$BB$4,'18.05'!$BB$3)),(VLOOKUP('18.05'!O42,'18.05'!$AO$4:$AQ$55,2,FALSE))*IF('18.05'!$AK42="是",'18.05'!$BB$4,'18.05'!$BB$3))</f>
        <v>0</v>
      </c>
      <c r="H42" s="4">
        <f>IF(ISNUMBER(SEARCH("营",'18.05'!P42)),(-$Y42+50*IF('18.05'!$AK42="是",'18.05'!$BB$4,'18.05'!$BB$3)),(VLOOKUP('18.05'!P42,'18.05'!$AO$4:$AQ$55,2,FALSE))*IF('18.05'!$AK42="是",'18.05'!$BB$4,'18.05'!$BB$3))</f>
        <v>0</v>
      </c>
      <c r="I42" s="4">
        <f>IF(ISNUMBER(SEARCH("营",'18.05'!Q42)),(-$Y42+50*IF('18.05'!$AK42="是",'18.05'!$BB$4,'18.05'!$BB$3)),(VLOOKUP('18.05'!Q42,'18.05'!$AO$4:$AQ$55,2,FALSE))*IF('18.05'!$AK42="是",'18.05'!$BB$4,'18.05'!$BB$3))</f>
        <v>144</v>
      </c>
      <c r="J42" s="4">
        <f>IF(ISNUMBER(SEARCH("营",'18.05'!R42)),(-$Y42+50*IF('18.05'!$AK42="是",'18.05'!$BB$4,'18.05'!$BB$3)),(VLOOKUP('18.05'!R42,'18.05'!$AO$4:$AQ$55,2,FALSE))*IF('18.05'!$AK42="是",'18.05'!$BB$4,'18.05'!$BB$3))</f>
        <v>144</v>
      </c>
      <c r="K42" s="4">
        <f>IF(ISNUMBER(SEARCH("营",'18.05'!S42)),(-$Y42+50*IF('18.05'!$AK42="是",'18.05'!$BB$4,'18.05'!$BB$3)),(VLOOKUP('18.05'!S42,'18.05'!$AO$4:$AQ$55,2,FALSE))*IF('18.05'!$AK42="是",'18.05'!$BB$4,'18.05'!$BB$3))</f>
        <v>144</v>
      </c>
      <c r="L42" s="4">
        <f>IF(ISNUMBER(SEARCH("营",'18.05'!T42)),(-$Y42+50*IF('18.05'!$AK42="是",'18.05'!$BB$4,'18.05'!$BB$3)),(VLOOKUP('18.05'!T42,'18.05'!$AO$4:$AQ$55,2,FALSE))*IF('18.05'!$AK42="是",'18.05'!$BB$4,'18.05'!$BB$3))</f>
        <v>144</v>
      </c>
      <c r="M42" s="4">
        <f>IF(ISNUMBER(SEARCH("营",'18.05'!U42)),(-$Y42+50*IF('18.05'!$AK42="是",'18.05'!$BB$4,'18.05'!$BB$3)),(VLOOKUP('18.05'!U42,'18.05'!$AO$4:$AQ$55,2,FALSE))*IF('18.05'!$AK42="是",'18.05'!$BB$4,'18.05'!$BB$3))</f>
        <v>152</v>
      </c>
      <c r="N42" s="4">
        <f>IF(ISNUMBER(SEARCH("营",'18.05'!V42)),(-$Y42+50*IF('18.05'!$AK42="是",'18.05'!$BB$4,'18.05'!$BB$3)),(VLOOKUP('18.05'!V42,'18.05'!$AO$4:$AQ$55,2,FALSE))*IF('18.05'!$AK42="是",'18.05'!$BB$4,'18.05'!$BB$3))</f>
        <v>152</v>
      </c>
      <c r="O42" s="4">
        <f>IF(ISNUMBER(SEARCH("营",'18.05'!W42)),(-$Y42+50*IF('18.05'!$AK42="是",'18.05'!$BB$4,'18.05'!$BB$3)),(VLOOKUP('18.05'!W42,'18.05'!$AO$4:$AQ$55,2,FALSE))*IF('18.05'!$AK42="是",'18.05'!$BB$4,'18.05'!$BB$3))</f>
        <v>0</v>
      </c>
      <c r="P42" s="4">
        <f>IF(ISNUMBER(SEARCH("营",'18.05'!X42)),(-$Y42+50*IF('18.05'!$AK42="是",'18.05'!$BB$4,'18.05'!$BB$3)),(VLOOKUP('18.05'!X42,'18.05'!$AO$4:$AQ$55,2,FALSE))*IF('18.05'!$AK42="是",'18.05'!$BB$4,'18.05'!$BB$3))</f>
        <v>0</v>
      </c>
      <c r="Q42" s="4">
        <f>IF(ISNUMBER(SEARCH("营",'18.05'!Y42)),(-$Y42+50*IF('18.05'!$AK42="是",'18.05'!$BB$4,'18.05'!$BB$3)),(VLOOKUP('18.05'!Y42,'18.05'!$AO$4:$AQ$55,2,FALSE))*IF('18.05'!$AK42="是",'18.05'!$BB$4,'18.05'!$BB$3))</f>
        <v>0</v>
      </c>
      <c r="R42" s="4">
        <f>IF(ISNUMBER(SEARCH("营",'18.05'!Z42)),(-$Y42+50*IF('18.05'!$AK42="是",'18.05'!$BB$4,'18.05'!$BB$3)),(VLOOKUP('18.05'!Z42,'18.05'!$AO$4:$AQ$55,2,FALSE))*IF('18.05'!$AK42="是",'18.05'!$BB$4,'18.05'!$BB$3))</f>
        <v>0</v>
      </c>
      <c r="S42" s="4">
        <f>IF(ISNUMBER(SEARCH("营",'18.05'!AA42)),(-$Y42+50*IF('18.05'!$AK42="是",'18.05'!$BB$4,'18.05'!$BB$3)),(VLOOKUP('18.05'!AA42,'18.05'!$AO$4:$AQ$55,2,FALSE))*IF('18.05'!$AK42="是",'18.05'!$BB$4,'18.05'!$BB$3))</f>
        <v>0</v>
      </c>
      <c r="T42" s="4">
        <f>IF(ISNUMBER(SEARCH("营",'18.05'!AB42)),(-$Y42+50*IF('18.05'!$AK42="是",'18.05'!$BB$4,'18.05'!$BB$3)),(VLOOKUP('18.05'!AB42,'18.05'!$AO$4:$AQ$55,2,FALSE))*IF('18.05'!$AK42="是",'18.05'!$BB$4,'18.05'!$BB$3))</f>
        <v>0</v>
      </c>
      <c r="U42" s="4">
        <f>IF(ISNUMBER(SEARCH("营",'18.05'!AC42)),(-$Y42+50*IF('18.05'!$AK42="是",'18.05'!$BB$4,'18.05'!$BB$3)),(VLOOKUP('18.05'!AC42,'18.05'!$AO$4:$AQ$55,2,FALSE))*IF('18.05'!$AK42="是",'18.05'!$BB$4,'18.05'!$BB$3))</f>
        <v>0</v>
      </c>
      <c r="V42" s="4">
        <f>IF(ISNUMBER(SEARCH("营",'18.05'!AD42)),(-$Y42+50*IF('18.05'!$AK42="是",'18.05'!$BB$4,'18.05'!$BB$3)),(VLOOKUP('18.05'!AD42,'18.05'!$AO$4:$AQ$55,2,FALSE))*IF('18.05'!$AK42="是",'18.05'!$BB$4,'18.05'!$BB$3))</f>
        <v>0</v>
      </c>
      <c r="W42" s="4">
        <f>IF(ISNUMBER(SEARCH("营",'18.05'!AE42)),(-$Y42+50*IF('18.05'!$AK42="是",'18.05'!$BB$4,'18.05'!$BB$3)),(VLOOKUP('18.05'!AE42,'18.05'!$AO$4:$AQ$55,2,FALSE))*IF('18.05'!$AK42="是",'18.05'!$BB$4,'18.05'!$BB$3))</f>
        <v>0</v>
      </c>
      <c r="X42" s="4">
        <f>IF(ISNUMBER(SEARCH("营",'18.05'!AF42)),(-$Y42+50*IF('18.05'!$AK42="是",'18.05'!$BB$4,'18.05'!$BB$3)),(VLOOKUP('18.05'!AF42,'18.05'!$AO$4:$AQ$55,2,FALSE))*IF('18.05'!$AK42="是",'18.05'!$BB$4,'18.05'!$BB$3))</f>
        <v>0</v>
      </c>
      <c r="Y42" s="70">
        <v>150</v>
      </c>
      <c r="Z42" s="84">
        <v>45677</v>
      </c>
    </row>
    <row r="43" spans="1:26">
      <c r="A43" s="4">
        <f>IF(ISNUMBER(SEARCH("营",'18.05'!I43)),(-$Y43+50*IF('18.05'!$AK43="是",'18.05'!$BB$4,'18.05'!$BB$3)),(VLOOKUP('18.05'!I43,'18.05'!$AO$4:$AQ$55,2,FALSE))*IF('18.05'!$AK43="是",'18.05'!$BB$4,'18.05'!$BB$3))</f>
        <v>144</v>
      </c>
      <c r="B43" s="4">
        <f>IF(ISNUMBER(SEARCH("营",'18.05'!J43)),(-$Y43+50*IF('18.05'!$AK43="是",'18.05'!$BB$4,'18.05'!$BB$3)),(VLOOKUP('18.05'!J43,'18.05'!$AO$4:$AQ$55,2,FALSE))*IF('18.05'!$AK43="是",'18.05'!$BB$4,'18.05'!$BB$3))</f>
        <v>144</v>
      </c>
      <c r="C43" s="4">
        <f>IF(ISNUMBER(SEARCH("营",'18.05'!K43)),(-$Y43+50*IF('18.05'!$AK43="是",'18.05'!$BB$4,'18.05'!$BB$3)),(VLOOKUP('18.05'!K43,'18.05'!$AO$4:$AQ$55,2,FALSE))*IF('18.05'!$AK43="是",'18.05'!$BB$4,'18.05'!$BB$3))</f>
        <v>144</v>
      </c>
      <c r="D43" s="4">
        <f>IF(ISNUMBER(SEARCH("营",'18.05'!L43)),(-$Y43+50*IF('18.05'!$AK43="是",'18.05'!$BB$4,'18.05'!$BB$3)),(VLOOKUP('18.05'!L43,'18.05'!$AO$4:$AQ$55,2,FALSE))*IF('18.05'!$AK43="是",'18.05'!$BB$4,'18.05'!$BB$3))</f>
        <v>144</v>
      </c>
      <c r="E43" s="4">
        <f>IF(ISNUMBER(SEARCH("营",'18.05'!M43)),(-$Y43+50*IF('18.05'!$AK43="是",'18.05'!$BB$4,'18.05'!$BB$3)),(VLOOKUP('18.05'!M43,'18.05'!$AO$4:$AQ$55,2,FALSE))*IF('18.05'!$AK43="是",'18.05'!$BB$4,'18.05'!$BB$3))</f>
        <v>144</v>
      </c>
      <c r="F43" s="4">
        <f>IF(ISNUMBER(SEARCH("营",'18.05'!N43)),(-$Y43+50*IF('18.05'!$AK43="是",'18.05'!$BB$4,'18.05'!$BB$3)),(VLOOKUP('18.05'!N43,'18.05'!$AO$4:$AQ$55,2,FALSE))*IF('18.05'!$AK43="是",'18.05'!$BB$4,'18.05'!$BB$3))</f>
        <v>144</v>
      </c>
      <c r="G43" s="4">
        <f>IF(ISNUMBER(SEARCH("营",'18.05'!O43)),(-$Y43+50*IF('18.05'!$AK43="是",'18.05'!$BB$4,'18.05'!$BB$3)),(VLOOKUP('18.05'!O43,'18.05'!$AO$4:$AQ$55,2,FALSE))*IF('18.05'!$AK43="是",'18.05'!$BB$4,'18.05'!$BB$3))</f>
        <v>0</v>
      </c>
      <c r="H43" s="4">
        <f>IF(ISNUMBER(SEARCH("营",'18.05'!P43)),(-$Y43+50*IF('18.05'!$AK43="是",'18.05'!$BB$4,'18.05'!$BB$3)),(VLOOKUP('18.05'!P43,'18.05'!$AO$4:$AQ$55,2,FALSE))*IF('18.05'!$AK43="是",'18.05'!$BB$4,'18.05'!$BB$3))</f>
        <v>0</v>
      </c>
      <c r="I43" s="4">
        <f>IF(ISNUMBER(SEARCH("营",'18.05'!Q43)),(-$Y43+50*IF('18.05'!$AK43="是",'18.05'!$BB$4,'18.05'!$BB$3)),(VLOOKUP('18.05'!Q43,'18.05'!$AO$4:$AQ$55,2,FALSE))*IF('18.05'!$AK43="是",'18.05'!$BB$4,'18.05'!$BB$3))</f>
        <v>144</v>
      </c>
      <c r="J43" s="4">
        <f>IF(ISNUMBER(SEARCH("营",'18.05'!R43)),(-$Y43+50*IF('18.05'!$AK43="是",'18.05'!$BB$4,'18.05'!$BB$3)),(VLOOKUP('18.05'!R43,'18.05'!$AO$4:$AQ$55,2,FALSE))*IF('18.05'!$AK43="是",'18.05'!$BB$4,'18.05'!$BB$3))</f>
        <v>152</v>
      </c>
      <c r="K43" s="4">
        <f>IF(ISNUMBER(SEARCH("营",'18.05'!S43)),(-$Y43+50*IF('18.05'!$AK43="是",'18.05'!$BB$4,'18.05'!$BB$3)),(VLOOKUP('18.05'!S43,'18.05'!$AO$4:$AQ$55,2,FALSE))*IF('18.05'!$AK43="是",'18.05'!$BB$4,'18.05'!$BB$3))</f>
        <v>152</v>
      </c>
      <c r="L43" s="4">
        <f>IF(ISNUMBER(SEARCH("营",'18.05'!T43)),(-$Y43+50*IF('18.05'!$AK43="是",'18.05'!$BB$4,'18.05'!$BB$3)),(VLOOKUP('18.05'!T43,'18.05'!$AO$4:$AQ$55,2,FALSE))*IF('18.05'!$AK43="是",'18.05'!$BB$4,'18.05'!$BB$3))</f>
        <v>152</v>
      </c>
      <c r="M43" s="4">
        <f>IF(ISNUMBER(SEARCH("营",'18.05'!U43)),(-$Y43+50*IF('18.05'!$AK43="是",'18.05'!$BB$4,'18.05'!$BB$3)),(VLOOKUP('18.05'!U43,'18.05'!$AO$4:$AQ$55,2,FALSE))*IF('18.05'!$AK43="是",'18.05'!$BB$4,'18.05'!$BB$3))</f>
        <v>152</v>
      </c>
      <c r="N43" s="4">
        <f>IF(ISNUMBER(SEARCH("营",'18.05'!V43)),(-$Y43+50*IF('18.05'!$AK43="是",'18.05'!$BB$4,'18.05'!$BB$3)),(VLOOKUP('18.05'!V43,'18.05'!$AO$4:$AQ$55,2,FALSE))*IF('18.05'!$AK43="是",'18.05'!$BB$4,'18.05'!$BB$3))</f>
        <v>152</v>
      </c>
      <c r="O43" s="4">
        <f>IF(ISNUMBER(SEARCH("营",'18.05'!W43)),(-$Y43+50*IF('18.05'!$AK43="是",'18.05'!$BB$4,'18.05'!$BB$3)),(VLOOKUP('18.05'!W43,'18.05'!$AO$4:$AQ$55,2,FALSE))*IF('18.05'!$AK43="是",'18.05'!$BB$4,'18.05'!$BB$3))</f>
        <v>0</v>
      </c>
      <c r="P43" s="4">
        <f>IF(ISNUMBER(SEARCH("营",'18.05'!X43)),(-$Y43+50*IF('18.05'!$AK43="是",'18.05'!$BB$4,'18.05'!$BB$3)),(VLOOKUP('18.05'!X43,'18.05'!$AO$4:$AQ$55,2,FALSE))*IF('18.05'!$AK43="是",'18.05'!$BB$4,'18.05'!$BB$3))</f>
        <v>0</v>
      </c>
      <c r="Q43" s="4">
        <f>IF(ISNUMBER(SEARCH("营",'18.05'!Y43)),(-$Y43+50*IF('18.05'!$AK43="是",'18.05'!$BB$4,'18.05'!$BB$3)),(VLOOKUP('18.05'!Y43,'18.05'!$AO$4:$AQ$55,2,FALSE))*IF('18.05'!$AK43="是",'18.05'!$BB$4,'18.05'!$BB$3))</f>
        <v>0</v>
      </c>
      <c r="R43" s="4">
        <f>IF(ISNUMBER(SEARCH("营",'18.05'!Z43)),(-$Y43+50*IF('18.05'!$AK43="是",'18.05'!$BB$4,'18.05'!$BB$3)),(VLOOKUP('18.05'!Z43,'18.05'!$AO$4:$AQ$55,2,FALSE))*IF('18.05'!$AK43="是",'18.05'!$BB$4,'18.05'!$BB$3))</f>
        <v>0</v>
      </c>
      <c r="S43" s="4">
        <f>IF(ISNUMBER(SEARCH("营",'18.05'!AA43)),(-$Y43+50*IF('18.05'!$AK43="是",'18.05'!$BB$4,'18.05'!$BB$3)),(VLOOKUP('18.05'!AA43,'18.05'!$AO$4:$AQ$55,2,FALSE))*IF('18.05'!$AK43="是",'18.05'!$BB$4,'18.05'!$BB$3))</f>
        <v>0</v>
      </c>
      <c r="T43" s="4">
        <f>IF(ISNUMBER(SEARCH("营",'18.05'!AB43)),(-$Y43+50*IF('18.05'!$AK43="是",'18.05'!$BB$4,'18.05'!$BB$3)),(VLOOKUP('18.05'!AB43,'18.05'!$AO$4:$AQ$55,2,FALSE))*IF('18.05'!$AK43="是",'18.05'!$BB$4,'18.05'!$BB$3))</f>
        <v>0</v>
      </c>
      <c r="U43" s="4">
        <f>IF(ISNUMBER(SEARCH("营",'18.05'!AC43)),(-$Y43+50*IF('18.05'!$AK43="是",'18.05'!$BB$4,'18.05'!$BB$3)),(VLOOKUP('18.05'!AC43,'18.05'!$AO$4:$AQ$55,2,FALSE))*IF('18.05'!$AK43="是",'18.05'!$BB$4,'18.05'!$BB$3))</f>
        <v>0</v>
      </c>
      <c r="V43" s="4">
        <f>IF(ISNUMBER(SEARCH("营",'18.05'!AD43)),(-$Y43+50*IF('18.05'!$AK43="是",'18.05'!$BB$4,'18.05'!$BB$3)),(VLOOKUP('18.05'!AD43,'18.05'!$AO$4:$AQ$55,2,FALSE))*IF('18.05'!$AK43="是",'18.05'!$BB$4,'18.05'!$BB$3))</f>
        <v>0</v>
      </c>
      <c r="W43" s="4">
        <f>IF(ISNUMBER(SEARCH("营",'18.05'!AE43)),(-$Y43+50*IF('18.05'!$AK43="是",'18.05'!$BB$4,'18.05'!$BB$3)),(VLOOKUP('18.05'!AE43,'18.05'!$AO$4:$AQ$55,2,FALSE))*IF('18.05'!$AK43="是",'18.05'!$BB$4,'18.05'!$BB$3))</f>
        <v>0</v>
      </c>
      <c r="X43" s="4">
        <f>IF(ISNUMBER(SEARCH("营",'18.05'!AF43)),(-$Y43+50*IF('18.05'!$AK43="是",'18.05'!$BB$4,'18.05'!$BB$3)),(VLOOKUP('18.05'!AF43,'18.05'!$AO$4:$AQ$55,2,FALSE))*IF('18.05'!$AK43="是",'18.05'!$BB$4,'18.05'!$BB$3))</f>
        <v>0</v>
      </c>
      <c r="Y43" s="70">
        <v>150</v>
      </c>
      <c r="Z43" s="84">
        <v>45678</v>
      </c>
    </row>
    <row r="44" spans="1:26">
      <c r="A44" s="4">
        <f>IF(ISNUMBER(SEARCH("营",'18.05'!I44)),(-$Y44+50*IF('18.05'!$AK44="是",'18.05'!$BB$4,'18.05'!$BB$3)),(VLOOKUP('18.05'!I44,'18.05'!$AO$4:$AQ$55,2,FALSE))*IF('18.05'!$AK44="是",'18.05'!$BB$4,'18.05'!$BB$3))</f>
        <v>144</v>
      </c>
      <c r="B44" s="4">
        <f>IF(ISNUMBER(SEARCH("营",'18.05'!J44)),(-$Y44+50*IF('18.05'!$AK44="是",'18.05'!$BB$4,'18.05'!$BB$3)),(VLOOKUP('18.05'!J44,'18.05'!$AO$4:$AQ$55,2,FALSE))*IF('18.05'!$AK44="是",'18.05'!$BB$4,'18.05'!$BB$3))</f>
        <v>144</v>
      </c>
      <c r="C44" s="4">
        <f>IF(ISNUMBER(SEARCH("营",'18.05'!K44)),(-$Y44+50*IF('18.05'!$AK44="是",'18.05'!$BB$4,'18.05'!$BB$3)),(VLOOKUP('18.05'!K44,'18.05'!$AO$4:$AQ$55,2,FALSE))*IF('18.05'!$AK44="是",'18.05'!$BB$4,'18.05'!$BB$3))</f>
        <v>144</v>
      </c>
      <c r="D44" s="4">
        <f>IF(ISNUMBER(SEARCH("营",'18.05'!L44)),(-$Y44+50*IF('18.05'!$AK44="是",'18.05'!$BB$4,'18.05'!$BB$3)),(VLOOKUP('18.05'!L44,'18.05'!$AO$4:$AQ$55,2,FALSE))*IF('18.05'!$AK44="是",'18.05'!$BB$4,'18.05'!$BB$3))</f>
        <v>144</v>
      </c>
      <c r="E44" s="4">
        <f>IF(ISNUMBER(SEARCH("营",'18.05'!M44)),(-$Y44+50*IF('18.05'!$AK44="是",'18.05'!$BB$4,'18.05'!$BB$3)),(VLOOKUP('18.05'!M44,'18.05'!$AO$4:$AQ$55,2,FALSE))*IF('18.05'!$AK44="是",'18.05'!$BB$4,'18.05'!$BB$3))</f>
        <v>144</v>
      </c>
      <c r="F44" s="4">
        <f>IF(ISNUMBER(SEARCH("营",'18.05'!N44)),(-$Y44+50*IF('18.05'!$AK44="是",'18.05'!$BB$4,'18.05'!$BB$3)),(VLOOKUP('18.05'!N44,'18.05'!$AO$4:$AQ$55,2,FALSE))*IF('18.05'!$AK44="是",'18.05'!$BB$4,'18.05'!$BB$3))</f>
        <v>144</v>
      </c>
      <c r="G44" s="4">
        <f>IF(ISNUMBER(SEARCH("营",'18.05'!O44)),(-$Y44+50*IF('18.05'!$AK44="是",'18.05'!$BB$4,'18.05'!$BB$3)),(VLOOKUP('18.05'!O44,'18.05'!$AO$4:$AQ$55,2,FALSE))*IF('18.05'!$AK44="是",'18.05'!$BB$4,'18.05'!$BB$3))</f>
        <v>0</v>
      </c>
      <c r="H44" s="4">
        <f>IF(ISNUMBER(SEARCH("营",'18.05'!P44)),(-$Y44+50*IF('18.05'!$AK44="是",'18.05'!$BB$4,'18.05'!$BB$3)),(VLOOKUP('18.05'!P44,'18.05'!$AO$4:$AQ$55,2,FALSE))*IF('18.05'!$AK44="是",'18.05'!$BB$4,'18.05'!$BB$3))</f>
        <v>0</v>
      </c>
      <c r="I44" s="4">
        <f>IF(ISNUMBER(SEARCH("营",'18.05'!Q44)),(-$Y44+50*IF('18.05'!$AK44="是",'18.05'!$BB$4,'18.05'!$BB$3)),(VLOOKUP('18.05'!Q44,'18.05'!$AO$4:$AQ$55,2,FALSE))*IF('18.05'!$AK44="是",'18.05'!$BB$4,'18.05'!$BB$3))</f>
        <v>152</v>
      </c>
      <c r="J44" s="4">
        <f>IF(ISNUMBER(SEARCH("营",'18.05'!R44)),(-$Y44+50*IF('18.05'!$AK44="是",'18.05'!$BB$4,'18.05'!$BB$3)),(VLOOKUP('18.05'!R44,'18.05'!$AO$4:$AQ$55,2,FALSE))*IF('18.05'!$AK44="是",'18.05'!$BB$4,'18.05'!$BB$3))</f>
        <v>136</v>
      </c>
      <c r="K44" s="4">
        <f>IF(ISNUMBER(SEARCH("营",'18.05'!S44)),(-$Y44+50*IF('18.05'!$AK44="是",'18.05'!$BB$4,'18.05'!$BB$3)),(VLOOKUP('18.05'!S44,'18.05'!$AO$4:$AQ$55,2,FALSE))*IF('18.05'!$AK44="是",'18.05'!$BB$4,'18.05'!$BB$3))</f>
        <v>136</v>
      </c>
      <c r="L44" s="4">
        <f>IF(ISNUMBER(SEARCH("营",'18.05'!T44)),(-$Y44+50*IF('18.05'!$AK44="是",'18.05'!$BB$4,'18.05'!$BB$3)),(VLOOKUP('18.05'!T44,'18.05'!$AO$4:$AQ$55,2,FALSE))*IF('18.05'!$AK44="是",'18.05'!$BB$4,'18.05'!$BB$3))</f>
        <v>136</v>
      </c>
      <c r="M44" s="4">
        <f>IF(ISNUMBER(SEARCH("营",'18.05'!U44)),(-$Y44+50*IF('18.05'!$AK44="是",'18.05'!$BB$4,'18.05'!$BB$3)),(VLOOKUP('18.05'!U44,'18.05'!$AO$4:$AQ$55,2,FALSE))*IF('18.05'!$AK44="是",'18.05'!$BB$4,'18.05'!$BB$3))</f>
        <v>136</v>
      </c>
      <c r="N44" s="4">
        <f>IF(ISNUMBER(SEARCH("营",'18.05'!V44)),(-$Y44+50*IF('18.05'!$AK44="是",'18.05'!$BB$4,'18.05'!$BB$3)),(VLOOKUP('18.05'!V44,'18.05'!$AO$4:$AQ$55,2,FALSE))*IF('18.05'!$AK44="是",'18.05'!$BB$4,'18.05'!$BB$3))</f>
        <v>136</v>
      </c>
      <c r="O44" s="4">
        <f>IF(ISNUMBER(SEARCH("营",'18.05'!W44)),(-$Y44+50*IF('18.05'!$AK44="是",'18.05'!$BB$4,'18.05'!$BB$3)),(VLOOKUP('18.05'!W44,'18.05'!$AO$4:$AQ$55,2,FALSE))*IF('18.05'!$AK44="是",'18.05'!$BB$4,'18.05'!$BB$3))</f>
        <v>0</v>
      </c>
      <c r="P44" s="4">
        <f>IF(ISNUMBER(SEARCH("营",'18.05'!X44)),(-$Y44+50*IF('18.05'!$AK44="是",'18.05'!$BB$4,'18.05'!$BB$3)),(VLOOKUP('18.05'!X44,'18.05'!$AO$4:$AQ$55,2,FALSE))*IF('18.05'!$AK44="是",'18.05'!$BB$4,'18.05'!$BB$3))</f>
        <v>0</v>
      </c>
      <c r="Q44" s="4">
        <f>IF(ISNUMBER(SEARCH("营",'18.05'!Y44)),(-$Y44+50*IF('18.05'!$AK44="是",'18.05'!$BB$4,'18.05'!$BB$3)),(VLOOKUP('18.05'!Y44,'18.05'!$AO$4:$AQ$55,2,FALSE))*IF('18.05'!$AK44="是",'18.05'!$BB$4,'18.05'!$BB$3))</f>
        <v>0</v>
      </c>
      <c r="R44" s="4">
        <f>IF(ISNUMBER(SEARCH("营",'18.05'!Z44)),(-$Y44+50*IF('18.05'!$AK44="是",'18.05'!$BB$4,'18.05'!$BB$3)),(VLOOKUP('18.05'!Z44,'18.05'!$AO$4:$AQ$55,2,FALSE))*IF('18.05'!$AK44="是",'18.05'!$BB$4,'18.05'!$BB$3))</f>
        <v>0</v>
      </c>
      <c r="S44" s="4">
        <f>IF(ISNUMBER(SEARCH("营",'18.05'!AA44)),(-$Y44+50*IF('18.05'!$AK44="是",'18.05'!$BB$4,'18.05'!$BB$3)),(VLOOKUP('18.05'!AA44,'18.05'!$AO$4:$AQ$55,2,FALSE))*IF('18.05'!$AK44="是",'18.05'!$BB$4,'18.05'!$BB$3))</f>
        <v>0</v>
      </c>
      <c r="T44" s="4">
        <f>IF(ISNUMBER(SEARCH("营",'18.05'!AB44)),(-$Y44+50*IF('18.05'!$AK44="是",'18.05'!$BB$4,'18.05'!$BB$3)),(VLOOKUP('18.05'!AB44,'18.05'!$AO$4:$AQ$55,2,FALSE))*IF('18.05'!$AK44="是",'18.05'!$BB$4,'18.05'!$BB$3))</f>
        <v>0</v>
      </c>
      <c r="U44" s="4">
        <f>IF(ISNUMBER(SEARCH("营",'18.05'!AC44)),(-$Y44+50*IF('18.05'!$AK44="是",'18.05'!$BB$4,'18.05'!$BB$3)),(VLOOKUP('18.05'!AC44,'18.05'!$AO$4:$AQ$55,2,FALSE))*IF('18.05'!$AK44="是",'18.05'!$BB$4,'18.05'!$BB$3))</f>
        <v>0</v>
      </c>
      <c r="V44" s="4">
        <f>IF(ISNUMBER(SEARCH("营",'18.05'!AD44)),(-$Y44+50*IF('18.05'!$AK44="是",'18.05'!$BB$4,'18.05'!$BB$3)),(VLOOKUP('18.05'!AD44,'18.05'!$AO$4:$AQ$55,2,FALSE))*IF('18.05'!$AK44="是",'18.05'!$BB$4,'18.05'!$BB$3))</f>
        <v>0</v>
      </c>
      <c r="W44" s="4">
        <f>IF(ISNUMBER(SEARCH("营",'18.05'!AE44)),(-$Y44+50*IF('18.05'!$AK44="是",'18.05'!$BB$4,'18.05'!$BB$3)),(VLOOKUP('18.05'!AE44,'18.05'!$AO$4:$AQ$55,2,FALSE))*IF('18.05'!$AK44="是",'18.05'!$BB$4,'18.05'!$BB$3))</f>
        <v>0</v>
      </c>
      <c r="X44" s="4">
        <f>IF(ISNUMBER(SEARCH("营",'18.05'!AF44)),(-$Y44+50*IF('18.05'!$AK44="是",'18.05'!$BB$4,'18.05'!$BB$3)),(VLOOKUP('18.05'!AF44,'18.05'!$AO$4:$AQ$55,2,FALSE))*IF('18.05'!$AK44="是",'18.05'!$BB$4,'18.05'!$BB$3))</f>
        <v>0</v>
      </c>
      <c r="Y44" s="70">
        <v>150</v>
      </c>
      <c r="Z44" s="84">
        <v>45679</v>
      </c>
    </row>
    <row r="45" spans="1:26">
      <c r="A45" s="4">
        <f>IF(ISNUMBER(SEARCH("营",'18.05'!I45)),(-$Y45+50*IF('18.05'!$AK45="是",'18.05'!$BB$4,'18.05'!$BB$3)),(VLOOKUP('18.05'!I45,'18.05'!$AO$4:$AQ$55,2,FALSE))*IF('18.05'!$AK45="是",'18.05'!$BB$4,'18.05'!$BB$3))</f>
        <v>144</v>
      </c>
      <c r="B45" s="4">
        <f>IF(ISNUMBER(SEARCH("营",'18.05'!J45)),(-$Y45+50*IF('18.05'!$AK45="是",'18.05'!$BB$4,'18.05'!$BB$3)),(VLOOKUP('18.05'!J45,'18.05'!$AO$4:$AQ$55,2,FALSE))*IF('18.05'!$AK45="是",'18.05'!$BB$4,'18.05'!$BB$3))</f>
        <v>136</v>
      </c>
      <c r="C45" s="4">
        <f>IF(ISNUMBER(SEARCH("营",'18.05'!K45)),(-$Y45+50*IF('18.05'!$AK45="是",'18.05'!$BB$4,'18.05'!$BB$3)),(VLOOKUP('18.05'!K45,'18.05'!$AO$4:$AQ$55,2,FALSE))*IF('18.05'!$AK45="是",'18.05'!$BB$4,'18.05'!$BB$3))</f>
        <v>136</v>
      </c>
      <c r="D45" s="4">
        <f>IF(ISNUMBER(SEARCH("营",'18.05'!L45)),(-$Y45+50*IF('18.05'!$AK45="是",'18.05'!$BB$4,'18.05'!$BB$3)),(VLOOKUP('18.05'!L45,'18.05'!$AO$4:$AQ$55,2,FALSE))*IF('18.05'!$AK45="是",'18.05'!$BB$4,'18.05'!$BB$3))</f>
        <v>136</v>
      </c>
      <c r="E45" s="4">
        <f>IF(ISNUMBER(SEARCH("营",'18.05'!M45)),(-$Y45+50*IF('18.05'!$AK45="是",'18.05'!$BB$4,'18.05'!$BB$3)),(VLOOKUP('18.05'!M45,'18.05'!$AO$4:$AQ$55,2,FALSE))*IF('18.05'!$AK45="是",'18.05'!$BB$4,'18.05'!$BB$3))</f>
        <v>136</v>
      </c>
      <c r="F45" s="4">
        <f>IF(ISNUMBER(SEARCH("营",'18.05'!N45)),(-$Y45+50*IF('18.05'!$AK45="是",'18.05'!$BB$4,'18.05'!$BB$3)),(VLOOKUP('18.05'!N45,'18.05'!$AO$4:$AQ$55,2,FALSE))*IF('18.05'!$AK45="是",'18.05'!$BB$4,'18.05'!$BB$3))</f>
        <v>0</v>
      </c>
      <c r="G45" s="4">
        <f>IF(ISNUMBER(SEARCH("营",'18.05'!O45)),(-$Y45+50*IF('18.05'!$AK45="是",'18.05'!$BB$4,'18.05'!$BB$3)),(VLOOKUP('18.05'!O45,'18.05'!$AO$4:$AQ$55,2,FALSE))*IF('18.05'!$AK45="是",'18.05'!$BB$4,'18.05'!$BB$3))</f>
        <v>0</v>
      </c>
      <c r="H45" s="4">
        <f>IF(ISNUMBER(SEARCH("营",'18.05'!P45)),(-$Y45+50*IF('18.05'!$AK45="是",'18.05'!$BB$4,'18.05'!$BB$3)),(VLOOKUP('18.05'!P45,'18.05'!$AO$4:$AQ$55,2,FALSE))*IF('18.05'!$AK45="是",'18.05'!$BB$4,'18.05'!$BB$3))</f>
        <v>0</v>
      </c>
      <c r="I45" s="4">
        <f>IF(ISNUMBER(SEARCH("营",'18.05'!Q45)),(-$Y45+50*IF('18.05'!$AK45="是",'18.05'!$BB$4,'18.05'!$BB$3)),(VLOOKUP('18.05'!Q45,'18.05'!$AO$4:$AQ$55,2,FALSE))*IF('18.05'!$AK45="是",'18.05'!$BB$4,'18.05'!$BB$3))</f>
        <v>136</v>
      </c>
      <c r="J45" s="4">
        <f>IF(ISNUMBER(SEARCH("营",'18.05'!R45)),(-$Y45+50*IF('18.05'!$AK45="是",'18.05'!$BB$4,'18.05'!$BB$3)),(VLOOKUP('18.05'!R45,'18.05'!$AO$4:$AQ$55,2,FALSE))*IF('18.05'!$AK45="是",'18.05'!$BB$4,'18.05'!$BB$3))</f>
        <v>136</v>
      </c>
      <c r="K45" s="4">
        <f>IF(ISNUMBER(SEARCH("营",'18.05'!S45)),(-$Y45+50*IF('18.05'!$AK45="是",'18.05'!$BB$4,'18.05'!$BB$3)),(VLOOKUP('18.05'!S45,'18.05'!$AO$4:$AQ$55,2,FALSE))*IF('18.05'!$AK45="是",'18.05'!$BB$4,'18.05'!$BB$3))</f>
        <v>136</v>
      </c>
      <c r="L45" s="4">
        <f>IF(ISNUMBER(SEARCH("营",'18.05'!T45)),(-$Y45+50*IF('18.05'!$AK45="是",'18.05'!$BB$4,'18.05'!$BB$3)),(VLOOKUP('18.05'!T45,'18.05'!$AO$4:$AQ$55,2,FALSE))*IF('18.05'!$AK45="是",'18.05'!$BB$4,'18.05'!$BB$3))</f>
        <v>136</v>
      </c>
      <c r="M45" s="4">
        <f>IF(ISNUMBER(SEARCH("营",'18.05'!U45)),(-$Y45+50*IF('18.05'!$AK45="是",'18.05'!$BB$4,'18.05'!$BB$3)),(VLOOKUP('18.05'!U45,'18.05'!$AO$4:$AQ$55,2,FALSE))*IF('18.05'!$AK45="是",'18.05'!$BB$4,'18.05'!$BB$3))</f>
        <v>136</v>
      </c>
      <c r="N45" s="4">
        <f>IF(ISNUMBER(SEARCH("营",'18.05'!V45)),(-$Y45+50*IF('18.05'!$AK45="是",'18.05'!$BB$4,'18.05'!$BB$3)),(VLOOKUP('18.05'!V45,'18.05'!$AO$4:$AQ$55,2,FALSE))*IF('18.05'!$AK45="是",'18.05'!$BB$4,'18.05'!$BB$3))</f>
        <v>136</v>
      </c>
      <c r="O45" s="4">
        <f>IF(ISNUMBER(SEARCH("营",'18.05'!W45)),(-$Y45+50*IF('18.05'!$AK45="是",'18.05'!$BB$4,'18.05'!$BB$3)),(VLOOKUP('18.05'!W45,'18.05'!$AO$4:$AQ$55,2,FALSE))*IF('18.05'!$AK45="是",'18.05'!$BB$4,'18.05'!$BB$3))</f>
        <v>0</v>
      </c>
      <c r="P45" s="4">
        <f>IF(ISNUMBER(SEARCH("营",'18.05'!X45)),(-$Y45+50*IF('18.05'!$AK45="是",'18.05'!$BB$4,'18.05'!$BB$3)),(VLOOKUP('18.05'!X45,'18.05'!$AO$4:$AQ$55,2,FALSE))*IF('18.05'!$AK45="是",'18.05'!$BB$4,'18.05'!$BB$3))</f>
        <v>0</v>
      </c>
      <c r="Q45" s="4">
        <f>IF(ISNUMBER(SEARCH("营",'18.05'!Y45)),(-$Y45+50*IF('18.05'!$AK45="是",'18.05'!$BB$4,'18.05'!$BB$3)),(VLOOKUP('18.05'!Y45,'18.05'!$AO$4:$AQ$55,2,FALSE))*IF('18.05'!$AK45="是",'18.05'!$BB$4,'18.05'!$BB$3))</f>
        <v>0</v>
      </c>
      <c r="R45" s="4">
        <f>IF(ISNUMBER(SEARCH("营",'18.05'!Z45)),(-$Y45+50*IF('18.05'!$AK45="是",'18.05'!$BB$4,'18.05'!$BB$3)),(VLOOKUP('18.05'!Z45,'18.05'!$AO$4:$AQ$55,2,FALSE))*IF('18.05'!$AK45="是",'18.05'!$BB$4,'18.05'!$BB$3))</f>
        <v>0</v>
      </c>
      <c r="S45" s="4">
        <f>IF(ISNUMBER(SEARCH("营",'18.05'!AA45)),(-$Y45+50*IF('18.05'!$AK45="是",'18.05'!$BB$4,'18.05'!$BB$3)),(VLOOKUP('18.05'!AA45,'18.05'!$AO$4:$AQ$55,2,FALSE))*IF('18.05'!$AK45="是",'18.05'!$BB$4,'18.05'!$BB$3))</f>
        <v>0</v>
      </c>
      <c r="T45" s="4">
        <f>IF(ISNUMBER(SEARCH("营",'18.05'!AB45)),(-$Y45+50*IF('18.05'!$AK45="是",'18.05'!$BB$4,'18.05'!$BB$3)),(VLOOKUP('18.05'!AB45,'18.05'!$AO$4:$AQ$55,2,FALSE))*IF('18.05'!$AK45="是",'18.05'!$BB$4,'18.05'!$BB$3))</f>
        <v>0</v>
      </c>
      <c r="U45" s="4">
        <f>IF(ISNUMBER(SEARCH("营",'18.05'!AC45)),(-$Y45+50*IF('18.05'!$AK45="是",'18.05'!$BB$4,'18.05'!$BB$3)),(VLOOKUP('18.05'!AC45,'18.05'!$AO$4:$AQ$55,2,FALSE))*IF('18.05'!$AK45="是",'18.05'!$BB$4,'18.05'!$BB$3))</f>
        <v>0</v>
      </c>
      <c r="V45" s="4">
        <f>IF(ISNUMBER(SEARCH("营",'18.05'!AD45)),(-$Y45+50*IF('18.05'!$AK45="是",'18.05'!$BB$4,'18.05'!$BB$3)),(VLOOKUP('18.05'!AD45,'18.05'!$AO$4:$AQ$55,2,FALSE))*IF('18.05'!$AK45="是",'18.05'!$BB$4,'18.05'!$BB$3))</f>
        <v>0</v>
      </c>
      <c r="W45" s="4">
        <f>IF(ISNUMBER(SEARCH("营",'18.05'!AE45)),(-$Y45+50*IF('18.05'!$AK45="是",'18.05'!$BB$4,'18.05'!$BB$3)),(VLOOKUP('18.05'!AE45,'18.05'!$AO$4:$AQ$55,2,FALSE))*IF('18.05'!$AK45="是",'18.05'!$BB$4,'18.05'!$BB$3))</f>
        <v>0</v>
      </c>
      <c r="X45" s="4">
        <f>IF(ISNUMBER(SEARCH("营",'18.05'!AF45)),(-$Y45+50*IF('18.05'!$AK45="是",'18.05'!$BB$4,'18.05'!$BB$3)),(VLOOKUP('18.05'!AF45,'18.05'!$AO$4:$AQ$55,2,FALSE))*IF('18.05'!$AK45="是",'18.05'!$BB$4,'18.05'!$BB$3))</f>
        <v>0</v>
      </c>
      <c r="Y45" s="70">
        <v>150</v>
      </c>
      <c r="Z45" s="84">
        <v>45680</v>
      </c>
    </row>
    <row r="46" spans="1:26">
      <c r="A46" s="4">
        <f>IF(ISNUMBER(SEARCH("营",'18.05'!I46)),(-$Y46+50*IF('18.05'!$AK46="是",'18.05'!$BB$4,'18.05'!$BB$3)),(VLOOKUP('18.05'!I46,'18.05'!$AO$4:$AQ$55,2,FALSE))*IF('18.05'!$AK46="是",'18.05'!$BB$4,'18.05'!$BB$3))</f>
        <v>136</v>
      </c>
      <c r="B46" s="4">
        <f>IF(ISNUMBER(SEARCH("营",'18.05'!J46)),(-$Y46+50*IF('18.05'!$AK46="是",'18.05'!$BB$4,'18.05'!$BB$3)),(VLOOKUP('18.05'!J46,'18.05'!$AO$4:$AQ$55,2,FALSE))*IF('18.05'!$AK46="是",'18.05'!$BB$4,'18.05'!$BB$3))</f>
        <v>120</v>
      </c>
      <c r="C46" s="4">
        <f>IF(ISNUMBER(SEARCH("营",'18.05'!K46)),(-$Y46+50*IF('18.05'!$AK46="是",'18.05'!$BB$4,'18.05'!$BB$3)),(VLOOKUP('18.05'!K46,'18.05'!$AO$4:$AQ$55,2,FALSE))*IF('18.05'!$AK46="是",'18.05'!$BB$4,'18.05'!$BB$3))</f>
        <v>136</v>
      </c>
      <c r="D46" s="4">
        <f>IF(ISNUMBER(SEARCH("营",'18.05'!L46)),(-$Y46+50*IF('18.05'!$AK46="是",'18.05'!$BB$4,'18.05'!$BB$3)),(VLOOKUP('18.05'!L46,'18.05'!$AO$4:$AQ$55,2,FALSE))*IF('18.05'!$AK46="是",'18.05'!$BB$4,'18.05'!$BB$3))</f>
        <v>136</v>
      </c>
      <c r="E46" s="4">
        <f>IF(ISNUMBER(SEARCH("营",'18.05'!M46)),(-$Y46+50*IF('18.05'!$AK46="是",'18.05'!$BB$4,'18.05'!$BB$3)),(VLOOKUP('18.05'!M46,'18.05'!$AO$4:$AQ$55,2,FALSE))*IF('18.05'!$AK46="是",'18.05'!$BB$4,'18.05'!$BB$3))</f>
        <v>136</v>
      </c>
      <c r="F46" s="4">
        <f>IF(ISNUMBER(SEARCH("营",'18.05'!N46)),(-$Y46+50*IF('18.05'!$AK46="是",'18.05'!$BB$4,'18.05'!$BB$3)),(VLOOKUP('18.05'!N46,'18.05'!$AO$4:$AQ$55,2,FALSE))*IF('18.05'!$AK46="是",'18.05'!$BB$4,'18.05'!$BB$3))</f>
        <v>136</v>
      </c>
      <c r="G46" s="4">
        <f>IF(ISNUMBER(SEARCH("营",'18.05'!O46)),(-$Y46+50*IF('18.05'!$AK46="是",'18.05'!$BB$4,'18.05'!$BB$3)),(VLOOKUP('18.05'!O46,'18.05'!$AO$4:$AQ$55,2,FALSE))*IF('18.05'!$AK46="是",'18.05'!$BB$4,'18.05'!$BB$3))</f>
        <v>0</v>
      </c>
      <c r="H46" s="4">
        <f>IF(ISNUMBER(SEARCH("营",'18.05'!P46)),(-$Y46+50*IF('18.05'!$AK46="是",'18.05'!$BB$4,'18.05'!$BB$3)),(VLOOKUP('18.05'!P46,'18.05'!$AO$4:$AQ$55,2,FALSE))*IF('18.05'!$AK46="是",'18.05'!$BB$4,'18.05'!$BB$3))</f>
        <v>0</v>
      </c>
      <c r="I46" s="4">
        <f>IF(ISNUMBER(SEARCH("营",'18.05'!Q46)),(-$Y46+50*IF('18.05'!$AK46="是",'18.05'!$BB$4,'18.05'!$BB$3)),(VLOOKUP('18.05'!Q46,'18.05'!$AO$4:$AQ$55,2,FALSE))*IF('18.05'!$AK46="是",'18.05'!$BB$4,'18.05'!$BB$3))</f>
        <v>152</v>
      </c>
      <c r="J46" s="4">
        <f>IF(ISNUMBER(SEARCH("营",'18.05'!R46)),(-$Y46+50*IF('18.05'!$AK46="是",'18.05'!$BB$4,'18.05'!$BB$3)),(VLOOKUP('18.05'!R46,'18.05'!$AO$4:$AQ$55,2,FALSE))*IF('18.05'!$AK46="是",'18.05'!$BB$4,'18.05'!$BB$3))</f>
        <v>152</v>
      </c>
      <c r="K46" s="4">
        <f>IF(ISNUMBER(SEARCH("营",'18.05'!S46)),(-$Y46+50*IF('18.05'!$AK46="是",'18.05'!$BB$4,'18.05'!$BB$3)),(VLOOKUP('18.05'!S46,'18.05'!$AO$4:$AQ$55,2,FALSE))*IF('18.05'!$AK46="是",'18.05'!$BB$4,'18.05'!$BB$3))</f>
        <v>152</v>
      </c>
      <c r="L46" s="4">
        <f>IF(ISNUMBER(SEARCH("营",'18.05'!T46)),(-$Y46+50*IF('18.05'!$AK46="是",'18.05'!$BB$4,'18.05'!$BB$3)),(VLOOKUP('18.05'!T46,'18.05'!$AO$4:$AQ$55,2,FALSE))*IF('18.05'!$AK46="是",'18.05'!$BB$4,'18.05'!$BB$3))</f>
        <v>152</v>
      </c>
      <c r="M46" s="4">
        <f>IF(ISNUMBER(SEARCH("营",'18.05'!U46)),(-$Y46+50*IF('18.05'!$AK46="是",'18.05'!$BB$4,'18.05'!$BB$3)),(VLOOKUP('18.05'!U46,'18.05'!$AO$4:$AQ$55,2,FALSE))*IF('18.05'!$AK46="是",'18.05'!$BB$4,'18.05'!$BB$3))</f>
        <v>152</v>
      </c>
      <c r="N46" s="4">
        <f>IF(ISNUMBER(SEARCH("营",'18.05'!V46)),(-$Y46+50*IF('18.05'!$AK46="是",'18.05'!$BB$4,'18.05'!$BB$3)),(VLOOKUP('18.05'!V46,'18.05'!$AO$4:$AQ$55,2,FALSE))*IF('18.05'!$AK46="是",'18.05'!$BB$4,'18.05'!$BB$3))</f>
        <v>152</v>
      </c>
      <c r="O46" s="4">
        <f>IF(ISNUMBER(SEARCH("营",'18.05'!W46)),(-$Y46+50*IF('18.05'!$AK46="是",'18.05'!$BB$4,'18.05'!$BB$3)),(VLOOKUP('18.05'!W46,'18.05'!$AO$4:$AQ$55,2,FALSE))*IF('18.05'!$AK46="是",'18.05'!$BB$4,'18.05'!$BB$3))</f>
        <v>0</v>
      </c>
      <c r="P46" s="4">
        <f>IF(ISNUMBER(SEARCH("营",'18.05'!X46)),(-$Y46+50*IF('18.05'!$AK46="是",'18.05'!$BB$4,'18.05'!$BB$3)),(VLOOKUP('18.05'!X46,'18.05'!$AO$4:$AQ$55,2,FALSE))*IF('18.05'!$AK46="是",'18.05'!$BB$4,'18.05'!$BB$3))</f>
        <v>0</v>
      </c>
      <c r="Q46" s="4">
        <f>IF(ISNUMBER(SEARCH("营",'18.05'!Y46)),(-$Y46+50*IF('18.05'!$AK46="是",'18.05'!$BB$4,'18.05'!$BB$3)),(VLOOKUP('18.05'!Y46,'18.05'!$AO$4:$AQ$55,2,FALSE))*IF('18.05'!$AK46="是",'18.05'!$BB$4,'18.05'!$BB$3))</f>
        <v>0</v>
      </c>
      <c r="R46" s="4">
        <f>IF(ISNUMBER(SEARCH("营",'18.05'!Z46)),(-$Y46+50*IF('18.05'!$AK46="是",'18.05'!$BB$4,'18.05'!$BB$3)),(VLOOKUP('18.05'!Z46,'18.05'!$AO$4:$AQ$55,2,FALSE))*IF('18.05'!$AK46="是",'18.05'!$BB$4,'18.05'!$BB$3))</f>
        <v>0</v>
      </c>
      <c r="S46" s="4">
        <f>IF(ISNUMBER(SEARCH("营",'18.05'!AA46)),(-$Y46+50*IF('18.05'!$AK46="是",'18.05'!$BB$4,'18.05'!$BB$3)),(VLOOKUP('18.05'!AA46,'18.05'!$AO$4:$AQ$55,2,FALSE))*IF('18.05'!$AK46="是",'18.05'!$BB$4,'18.05'!$BB$3))</f>
        <v>0</v>
      </c>
      <c r="T46" s="4">
        <f>IF(ISNUMBER(SEARCH("营",'18.05'!AB46)),(-$Y46+50*IF('18.05'!$AK46="是",'18.05'!$BB$4,'18.05'!$BB$3)),(VLOOKUP('18.05'!AB46,'18.05'!$AO$4:$AQ$55,2,FALSE))*IF('18.05'!$AK46="是",'18.05'!$BB$4,'18.05'!$BB$3))</f>
        <v>0</v>
      </c>
      <c r="U46" s="4">
        <f>IF(ISNUMBER(SEARCH("营",'18.05'!AC46)),(-$Y46+50*IF('18.05'!$AK46="是",'18.05'!$BB$4,'18.05'!$BB$3)),(VLOOKUP('18.05'!AC46,'18.05'!$AO$4:$AQ$55,2,FALSE))*IF('18.05'!$AK46="是",'18.05'!$BB$4,'18.05'!$BB$3))</f>
        <v>0</v>
      </c>
      <c r="V46" s="4">
        <f>IF(ISNUMBER(SEARCH("营",'18.05'!AD46)),(-$Y46+50*IF('18.05'!$AK46="是",'18.05'!$BB$4,'18.05'!$BB$3)),(VLOOKUP('18.05'!AD46,'18.05'!$AO$4:$AQ$55,2,FALSE))*IF('18.05'!$AK46="是",'18.05'!$BB$4,'18.05'!$BB$3))</f>
        <v>0</v>
      </c>
      <c r="W46" s="4">
        <f>IF(ISNUMBER(SEARCH("营",'18.05'!AE46)),(-$Y46+50*IF('18.05'!$AK46="是",'18.05'!$BB$4,'18.05'!$BB$3)),(VLOOKUP('18.05'!AE46,'18.05'!$AO$4:$AQ$55,2,FALSE))*IF('18.05'!$AK46="是",'18.05'!$BB$4,'18.05'!$BB$3))</f>
        <v>0</v>
      </c>
      <c r="X46" s="4">
        <f>IF(ISNUMBER(SEARCH("营",'18.05'!AF46)),(-$Y46+50*IF('18.05'!$AK46="是",'18.05'!$BB$4,'18.05'!$BB$3)),(VLOOKUP('18.05'!AF46,'18.05'!$AO$4:$AQ$55,2,FALSE))*IF('18.05'!$AK46="是",'18.05'!$BB$4,'18.05'!$BB$3))</f>
        <v>0</v>
      </c>
      <c r="Y46" s="70">
        <v>150</v>
      </c>
      <c r="Z46" s="84">
        <v>45681</v>
      </c>
    </row>
    <row r="47" spans="1:26">
      <c r="A47" s="4">
        <f>IF(ISNUMBER(SEARCH("营",'18.05'!I47)),(-$Y47+50*IF('18.05'!$AK47="是",'18.05'!$BB$4,'18.05'!$BB$3)),(VLOOKUP('18.05'!I47,'18.05'!$AO$4:$AQ$55,2,FALSE))*IF('18.05'!$AK47="是",'18.05'!$BB$4,'18.05'!$BB$3))</f>
        <v>136</v>
      </c>
      <c r="B47" s="4">
        <f>IF(ISNUMBER(SEARCH("营",'18.05'!J47)),(-$Y47+50*IF('18.05'!$AK47="是",'18.05'!$BB$4,'18.05'!$BB$3)),(VLOOKUP('18.05'!J47,'18.05'!$AO$4:$AQ$55,2,FALSE))*IF('18.05'!$AK47="是",'18.05'!$BB$4,'18.05'!$BB$3))</f>
        <v>136</v>
      </c>
      <c r="C47" s="4">
        <f>IF(ISNUMBER(SEARCH("营",'18.05'!K47)),(-$Y47+50*IF('18.05'!$AK47="是",'18.05'!$BB$4,'18.05'!$BB$3)),(VLOOKUP('18.05'!K47,'18.05'!$AO$4:$AQ$55,2,FALSE))*IF('18.05'!$AK47="是",'18.05'!$BB$4,'18.05'!$BB$3))</f>
        <v>136</v>
      </c>
      <c r="D47" s="4">
        <f>IF(ISNUMBER(SEARCH("营",'18.05'!L47)),(-$Y47+50*IF('18.05'!$AK47="是",'18.05'!$BB$4,'18.05'!$BB$3)),(VLOOKUP('18.05'!L47,'18.05'!$AO$4:$AQ$55,2,FALSE))*IF('18.05'!$AK47="是",'18.05'!$BB$4,'18.05'!$BB$3))</f>
        <v>136</v>
      </c>
      <c r="E47" s="4">
        <f>IF(ISNUMBER(SEARCH("营",'18.05'!M47)),(-$Y47+50*IF('18.05'!$AK47="是",'18.05'!$BB$4,'18.05'!$BB$3)),(VLOOKUP('18.05'!M47,'18.05'!$AO$4:$AQ$55,2,FALSE))*IF('18.05'!$AK47="是",'18.05'!$BB$4,'18.05'!$BB$3))</f>
        <v>40</v>
      </c>
      <c r="F47" s="4">
        <f>IF(ISNUMBER(SEARCH("营",'18.05'!N47)),(-$Y47+50*IF('18.05'!$AK47="是",'18.05'!$BB$4,'18.05'!$BB$3)),(VLOOKUP('18.05'!N47,'18.05'!$AO$4:$AQ$55,2,FALSE))*IF('18.05'!$AK47="是",'18.05'!$BB$4,'18.05'!$BB$3))</f>
        <v>136</v>
      </c>
      <c r="G47" s="4">
        <f>IF(ISNUMBER(SEARCH("营",'18.05'!O47)),(-$Y47+50*IF('18.05'!$AK47="是",'18.05'!$BB$4,'18.05'!$BB$3)),(VLOOKUP('18.05'!O47,'18.05'!$AO$4:$AQ$55,2,FALSE))*IF('18.05'!$AK47="是",'18.05'!$BB$4,'18.05'!$BB$3))</f>
        <v>0</v>
      </c>
      <c r="H47" s="4">
        <f>IF(ISNUMBER(SEARCH("营",'18.05'!P47)),(-$Y47+50*IF('18.05'!$AK47="是",'18.05'!$BB$4,'18.05'!$BB$3)),(VLOOKUP('18.05'!P47,'18.05'!$AO$4:$AQ$55,2,FALSE))*IF('18.05'!$AK47="是",'18.05'!$BB$4,'18.05'!$BB$3))</f>
        <v>0</v>
      </c>
      <c r="I47" s="4">
        <f>IF(ISNUMBER(SEARCH("营",'18.05'!Q47)),(-$Y47+50*IF('18.05'!$AK47="是",'18.05'!$BB$4,'18.05'!$BB$3)),(VLOOKUP('18.05'!Q47,'18.05'!$AO$4:$AQ$55,2,FALSE))*IF('18.05'!$AK47="是",'18.05'!$BB$4,'18.05'!$BB$3))</f>
        <v>152</v>
      </c>
      <c r="J47" s="4">
        <f>IF(ISNUMBER(SEARCH("营",'18.05'!R47)),(-$Y47+50*IF('18.05'!$AK47="是",'18.05'!$BB$4,'18.05'!$BB$3)),(VLOOKUP('18.05'!R47,'18.05'!$AO$4:$AQ$55,2,FALSE))*IF('18.05'!$AK47="是",'18.05'!$BB$4,'18.05'!$BB$3))</f>
        <v>152</v>
      </c>
      <c r="K47" s="4">
        <f>IF(ISNUMBER(SEARCH("营",'18.05'!S47)),(-$Y47+50*IF('18.05'!$AK47="是",'18.05'!$BB$4,'18.05'!$BB$3)),(VLOOKUP('18.05'!S47,'18.05'!$AO$4:$AQ$55,2,FALSE))*IF('18.05'!$AK47="是",'18.05'!$BB$4,'18.05'!$BB$3))</f>
        <v>152</v>
      </c>
      <c r="L47" s="4">
        <f>IF(ISNUMBER(SEARCH("营",'18.05'!T47)),(-$Y47+50*IF('18.05'!$AK47="是",'18.05'!$BB$4,'18.05'!$BB$3)),(VLOOKUP('18.05'!T47,'18.05'!$AO$4:$AQ$55,2,FALSE))*IF('18.05'!$AK47="是",'18.05'!$BB$4,'18.05'!$BB$3))</f>
        <v>152</v>
      </c>
      <c r="M47" s="4">
        <f>IF(ISNUMBER(SEARCH("营",'18.05'!U47)),(-$Y47+50*IF('18.05'!$AK47="是",'18.05'!$BB$4,'18.05'!$BB$3)),(VLOOKUP('18.05'!U47,'18.05'!$AO$4:$AQ$55,2,FALSE))*IF('18.05'!$AK47="是",'18.05'!$BB$4,'18.05'!$BB$3))</f>
        <v>152</v>
      </c>
      <c r="N47" s="4">
        <f>IF(ISNUMBER(SEARCH("营",'18.05'!V47)),(-$Y47+50*IF('18.05'!$AK47="是",'18.05'!$BB$4,'18.05'!$BB$3)),(VLOOKUP('18.05'!V47,'18.05'!$AO$4:$AQ$55,2,FALSE))*IF('18.05'!$AK47="是",'18.05'!$BB$4,'18.05'!$BB$3))</f>
        <v>152</v>
      </c>
      <c r="O47" s="4">
        <f>IF(ISNUMBER(SEARCH("营",'18.05'!W47)),(-$Y47+50*IF('18.05'!$AK47="是",'18.05'!$BB$4,'18.05'!$BB$3)),(VLOOKUP('18.05'!W47,'18.05'!$AO$4:$AQ$55,2,FALSE))*IF('18.05'!$AK47="是",'18.05'!$BB$4,'18.05'!$BB$3))</f>
        <v>0</v>
      </c>
      <c r="P47" s="4">
        <f>IF(ISNUMBER(SEARCH("营",'18.05'!X47)),(-$Y47+50*IF('18.05'!$AK47="是",'18.05'!$BB$4,'18.05'!$BB$3)),(VLOOKUP('18.05'!X47,'18.05'!$AO$4:$AQ$55,2,FALSE))*IF('18.05'!$AK47="是",'18.05'!$BB$4,'18.05'!$BB$3))</f>
        <v>0</v>
      </c>
      <c r="Q47" s="4">
        <f>IF(ISNUMBER(SEARCH("营",'18.05'!Y47)),(-$Y47+50*IF('18.05'!$AK47="是",'18.05'!$BB$4,'18.05'!$BB$3)),(VLOOKUP('18.05'!Y47,'18.05'!$AO$4:$AQ$55,2,FALSE))*IF('18.05'!$AK47="是",'18.05'!$BB$4,'18.05'!$BB$3))</f>
        <v>0</v>
      </c>
      <c r="R47" s="4">
        <f>IF(ISNUMBER(SEARCH("营",'18.05'!Z47)),(-$Y47+50*IF('18.05'!$AK47="是",'18.05'!$BB$4,'18.05'!$BB$3)),(VLOOKUP('18.05'!Z47,'18.05'!$AO$4:$AQ$55,2,FALSE))*IF('18.05'!$AK47="是",'18.05'!$BB$4,'18.05'!$BB$3))</f>
        <v>0</v>
      </c>
      <c r="S47" s="4">
        <f>IF(ISNUMBER(SEARCH("营",'18.05'!AA47)),(-$Y47+50*IF('18.05'!$AK47="是",'18.05'!$BB$4,'18.05'!$BB$3)),(VLOOKUP('18.05'!AA47,'18.05'!$AO$4:$AQ$55,2,FALSE))*IF('18.05'!$AK47="是",'18.05'!$BB$4,'18.05'!$BB$3))</f>
        <v>0</v>
      </c>
      <c r="T47" s="4">
        <f>IF(ISNUMBER(SEARCH("营",'18.05'!AB47)),(-$Y47+50*IF('18.05'!$AK47="是",'18.05'!$BB$4,'18.05'!$BB$3)),(VLOOKUP('18.05'!AB47,'18.05'!$AO$4:$AQ$55,2,FALSE))*IF('18.05'!$AK47="是",'18.05'!$BB$4,'18.05'!$BB$3))</f>
        <v>0</v>
      </c>
      <c r="U47" s="4">
        <f>IF(ISNUMBER(SEARCH("营",'18.05'!AC47)),(-$Y47+50*IF('18.05'!$AK47="是",'18.05'!$BB$4,'18.05'!$BB$3)),(VLOOKUP('18.05'!AC47,'18.05'!$AO$4:$AQ$55,2,FALSE))*IF('18.05'!$AK47="是",'18.05'!$BB$4,'18.05'!$BB$3))</f>
        <v>0</v>
      </c>
      <c r="V47" s="4">
        <f>IF(ISNUMBER(SEARCH("营",'18.05'!AD47)),(-$Y47+50*IF('18.05'!$AK47="是",'18.05'!$BB$4,'18.05'!$BB$3)),(VLOOKUP('18.05'!AD47,'18.05'!$AO$4:$AQ$55,2,FALSE))*IF('18.05'!$AK47="是",'18.05'!$BB$4,'18.05'!$BB$3))</f>
        <v>0</v>
      </c>
      <c r="W47" s="4">
        <f>IF(ISNUMBER(SEARCH("营",'18.05'!AE47)),(-$Y47+50*IF('18.05'!$AK47="是",'18.05'!$BB$4,'18.05'!$BB$3)),(VLOOKUP('18.05'!AE47,'18.05'!$AO$4:$AQ$55,2,FALSE))*IF('18.05'!$AK47="是",'18.05'!$BB$4,'18.05'!$BB$3))</f>
        <v>0</v>
      </c>
      <c r="X47" s="4">
        <f>IF(ISNUMBER(SEARCH("营",'18.05'!AF47)),(-$Y47+50*IF('18.05'!$AK47="是",'18.05'!$BB$4,'18.05'!$BB$3)),(VLOOKUP('18.05'!AF47,'18.05'!$AO$4:$AQ$55,2,FALSE))*IF('18.05'!$AK47="是",'18.05'!$BB$4,'18.05'!$BB$3))</f>
        <v>0</v>
      </c>
      <c r="Y47" s="70">
        <v>150</v>
      </c>
      <c r="Z47" s="84">
        <v>45682</v>
      </c>
    </row>
    <row r="48" spans="1:26">
      <c r="A48" s="4">
        <f>IF(ISNUMBER(SEARCH("营",'18.05'!I48)),(-$Y48+50*IF('18.05'!$AK48="是",'18.05'!$BB$4,'18.05'!$BB$3)),(VLOOKUP('18.05'!I48,'18.05'!$AO$4:$AQ$55,2,FALSE))*IF('18.05'!$AK48="是",'18.05'!$BB$4,'18.05'!$BB$3))</f>
        <v>136</v>
      </c>
      <c r="B48" s="4">
        <f>IF(ISNUMBER(SEARCH("营",'18.05'!J48)),(-$Y48+50*IF('18.05'!$AK48="是",'18.05'!$BB$4,'18.05'!$BB$3)),(VLOOKUP('18.05'!J48,'18.05'!$AO$4:$AQ$55,2,FALSE))*IF('18.05'!$AK48="是",'18.05'!$BB$4,'18.05'!$BB$3))</f>
        <v>136</v>
      </c>
      <c r="C48" s="4">
        <f>IF(ISNUMBER(SEARCH("营",'18.05'!K48)),(-$Y48+50*IF('18.05'!$AK48="是",'18.05'!$BB$4,'18.05'!$BB$3)),(VLOOKUP('18.05'!K48,'18.05'!$AO$4:$AQ$55,2,FALSE))*IF('18.05'!$AK48="是",'18.05'!$BB$4,'18.05'!$BB$3))</f>
        <v>136</v>
      </c>
      <c r="D48" s="4">
        <f>IF(ISNUMBER(SEARCH("营",'18.05'!L48)),(-$Y48+50*IF('18.05'!$AK48="是",'18.05'!$BB$4,'18.05'!$BB$3)),(VLOOKUP('18.05'!L48,'18.05'!$AO$4:$AQ$55,2,FALSE))*IF('18.05'!$AK48="是",'18.05'!$BB$4,'18.05'!$BB$3))</f>
        <v>136</v>
      </c>
      <c r="E48" s="4">
        <f>IF(ISNUMBER(SEARCH("营",'18.05'!M48)),(-$Y48+50*IF('18.05'!$AK48="是",'18.05'!$BB$4,'18.05'!$BB$3)),(VLOOKUP('18.05'!M48,'18.05'!$AO$4:$AQ$55,2,FALSE))*IF('18.05'!$AK48="是",'18.05'!$BB$4,'18.05'!$BB$3))</f>
        <v>136</v>
      </c>
      <c r="F48" s="4">
        <f>IF(ISNUMBER(SEARCH("营",'18.05'!N48)),(-$Y48+50*IF('18.05'!$AK48="是",'18.05'!$BB$4,'18.05'!$BB$3)),(VLOOKUP('18.05'!N48,'18.05'!$AO$4:$AQ$55,2,FALSE))*IF('18.05'!$AK48="是",'18.05'!$BB$4,'18.05'!$BB$3))</f>
        <v>0</v>
      </c>
      <c r="G48" s="4">
        <f>IF(ISNUMBER(SEARCH("营",'18.05'!O48)),(-$Y48+50*IF('18.05'!$AK48="是",'18.05'!$BB$4,'18.05'!$BB$3)),(VLOOKUP('18.05'!O48,'18.05'!$AO$4:$AQ$55,2,FALSE))*IF('18.05'!$AK48="是",'18.05'!$BB$4,'18.05'!$BB$3))</f>
        <v>0</v>
      </c>
      <c r="H48" s="4">
        <f>IF(ISNUMBER(SEARCH("营",'18.05'!P48)),(-$Y48+50*IF('18.05'!$AK48="是",'18.05'!$BB$4,'18.05'!$BB$3)),(VLOOKUP('18.05'!P48,'18.05'!$AO$4:$AQ$55,2,FALSE))*IF('18.05'!$AK48="是",'18.05'!$BB$4,'18.05'!$BB$3))</f>
        <v>0</v>
      </c>
      <c r="I48" s="4">
        <f>IF(ISNUMBER(SEARCH("营",'18.05'!Q48)),(-$Y48+50*IF('18.05'!$AK48="是",'18.05'!$BB$4,'18.05'!$BB$3)),(VLOOKUP('18.05'!Q48,'18.05'!$AO$4:$AQ$55,2,FALSE))*IF('18.05'!$AK48="是",'18.05'!$BB$4,'18.05'!$BB$3))</f>
        <v>152</v>
      </c>
      <c r="J48" s="4">
        <f>IF(ISNUMBER(SEARCH("营",'18.05'!R48)),(-$Y48+50*IF('18.05'!$AK48="是",'18.05'!$BB$4,'18.05'!$BB$3)),(VLOOKUP('18.05'!R48,'18.05'!$AO$4:$AQ$55,2,FALSE))*IF('18.05'!$AK48="是",'18.05'!$BB$4,'18.05'!$BB$3))</f>
        <v>152</v>
      </c>
      <c r="K48" s="4">
        <f>IF(ISNUMBER(SEARCH("营",'18.05'!S48)),(-$Y48+50*IF('18.05'!$AK48="是",'18.05'!$BB$4,'18.05'!$BB$3)),(VLOOKUP('18.05'!S48,'18.05'!$AO$4:$AQ$55,2,FALSE))*IF('18.05'!$AK48="是",'18.05'!$BB$4,'18.05'!$BB$3))</f>
        <v>152</v>
      </c>
      <c r="L48" s="4">
        <f>IF(ISNUMBER(SEARCH("营",'18.05'!T48)),(-$Y48+50*IF('18.05'!$AK48="是",'18.05'!$BB$4,'18.05'!$BB$3)),(VLOOKUP('18.05'!T48,'18.05'!$AO$4:$AQ$55,2,FALSE))*IF('18.05'!$AK48="是",'18.05'!$BB$4,'18.05'!$BB$3))</f>
        <v>152</v>
      </c>
      <c r="M48" s="4">
        <f>IF(ISNUMBER(SEARCH("营",'18.05'!U48)),(-$Y48+50*IF('18.05'!$AK48="是",'18.05'!$BB$4,'18.05'!$BB$3)),(VLOOKUP('18.05'!U48,'18.05'!$AO$4:$AQ$55,2,FALSE))*IF('18.05'!$AK48="是",'18.05'!$BB$4,'18.05'!$BB$3))</f>
        <v>152</v>
      </c>
      <c r="N48" s="4">
        <f>IF(ISNUMBER(SEARCH("营",'18.05'!V48)),(-$Y48+50*IF('18.05'!$AK48="是",'18.05'!$BB$4,'18.05'!$BB$3)),(VLOOKUP('18.05'!V48,'18.05'!$AO$4:$AQ$55,2,FALSE))*IF('18.05'!$AK48="是",'18.05'!$BB$4,'18.05'!$BB$3))</f>
        <v>152</v>
      </c>
      <c r="O48" s="4">
        <f>IF(ISNUMBER(SEARCH("营",'18.05'!W48)),(-$Y48+50*IF('18.05'!$AK48="是",'18.05'!$BB$4,'18.05'!$BB$3)),(VLOOKUP('18.05'!W48,'18.05'!$AO$4:$AQ$55,2,FALSE))*IF('18.05'!$AK48="是",'18.05'!$BB$4,'18.05'!$BB$3))</f>
        <v>0</v>
      </c>
      <c r="P48" s="4">
        <f>IF(ISNUMBER(SEARCH("营",'18.05'!X48)),(-$Y48+50*IF('18.05'!$AK48="是",'18.05'!$BB$4,'18.05'!$BB$3)),(VLOOKUP('18.05'!X48,'18.05'!$AO$4:$AQ$55,2,FALSE))*IF('18.05'!$AK48="是",'18.05'!$BB$4,'18.05'!$BB$3))</f>
        <v>0</v>
      </c>
      <c r="Q48" s="4">
        <f>IF(ISNUMBER(SEARCH("营",'18.05'!Y48)),(-$Y48+50*IF('18.05'!$AK48="是",'18.05'!$BB$4,'18.05'!$BB$3)),(VLOOKUP('18.05'!Y48,'18.05'!$AO$4:$AQ$55,2,FALSE))*IF('18.05'!$AK48="是",'18.05'!$BB$4,'18.05'!$BB$3))</f>
        <v>0</v>
      </c>
      <c r="R48" s="4">
        <f>IF(ISNUMBER(SEARCH("营",'18.05'!Z48)),(-$Y48+50*IF('18.05'!$AK48="是",'18.05'!$BB$4,'18.05'!$BB$3)),(VLOOKUP('18.05'!Z48,'18.05'!$AO$4:$AQ$55,2,FALSE))*IF('18.05'!$AK48="是",'18.05'!$BB$4,'18.05'!$BB$3))</f>
        <v>0</v>
      </c>
      <c r="S48" s="4">
        <f>IF(ISNUMBER(SEARCH("营",'18.05'!AA48)),(-$Y48+50*IF('18.05'!$AK48="是",'18.05'!$BB$4,'18.05'!$BB$3)),(VLOOKUP('18.05'!AA48,'18.05'!$AO$4:$AQ$55,2,FALSE))*IF('18.05'!$AK48="是",'18.05'!$BB$4,'18.05'!$BB$3))</f>
        <v>0</v>
      </c>
      <c r="T48" s="4">
        <f>IF(ISNUMBER(SEARCH("营",'18.05'!AB48)),(-$Y48+50*IF('18.05'!$AK48="是",'18.05'!$BB$4,'18.05'!$BB$3)),(VLOOKUP('18.05'!AB48,'18.05'!$AO$4:$AQ$55,2,FALSE))*IF('18.05'!$AK48="是",'18.05'!$BB$4,'18.05'!$BB$3))</f>
        <v>0</v>
      </c>
      <c r="U48" s="4">
        <f>IF(ISNUMBER(SEARCH("营",'18.05'!AC48)),(-$Y48+50*IF('18.05'!$AK48="是",'18.05'!$BB$4,'18.05'!$BB$3)),(VLOOKUP('18.05'!AC48,'18.05'!$AO$4:$AQ$55,2,FALSE))*IF('18.05'!$AK48="是",'18.05'!$BB$4,'18.05'!$BB$3))</f>
        <v>0</v>
      </c>
      <c r="V48" s="4">
        <f>IF(ISNUMBER(SEARCH("营",'18.05'!AD48)),(-$Y48+50*IF('18.05'!$AK48="是",'18.05'!$BB$4,'18.05'!$BB$3)),(VLOOKUP('18.05'!AD48,'18.05'!$AO$4:$AQ$55,2,FALSE))*IF('18.05'!$AK48="是",'18.05'!$BB$4,'18.05'!$BB$3))</f>
        <v>0</v>
      </c>
      <c r="W48" s="4">
        <f>IF(ISNUMBER(SEARCH("营",'18.05'!AE48)),(-$Y48+50*IF('18.05'!$AK48="是",'18.05'!$BB$4,'18.05'!$BB$3)),(VLOOKUP('18.05'!AE48,'18.05'!$AO$4:$AQ$55,2,FALSE))*IF('18.05'!$AK48="是",'18.05'!$BB$4,'18.05'!$BB$3))</f>
        <v>0</v>
      </c>
      <c r="X48" s="4">
        <f>IF(ISNUMBER(SEARCH("营",'18.05'!AF48)),(-$Y48+50*IF('18.05'!$AK48="是",'18.05'!$BB$4,'18.05'!$BB$3)),(VLOOKUP('18.05'!AF48,'18.05'!$AO$4:$AQ$55,2,FALSE))*IF('18.05'!$AK48="是",'18.05'!$BB$4,'18.05'!$BB$3))</f>
        <v>0</v>
      </c>
      <c r="Y48" s="70">
        <v>150</v>
      </c>
      <c r="Z48" s="84">
        <v>45683</v>
      </c>
    </row>
    <row r="49" spans="1:26">
      <c r="A49" s="4">
        <f>IF(ISNUMBER(SEARCH("营",'18.05'!I49)),(-$Y49+50*IF('18.05'!$AK49="是",'18.05'!$BB$4,'18.05'!$BB$3)),(VLOOKUP('18.05'!I49,'18.05'!$AO$4:$AQ$55,2,FALSE))*IF('18.05'!$AK49="是",'18.05'!$BB$4,'18.05'!$BB$3))</f>
        <v>136</v>
      </c>
      <c r="B49" s="4">
        <f>IF(ISNUMBER(SEARCH("营",'18.05'!J49)),(-$Y49+50*IF('18.05'!$AK49="是",'18.05'!$BB$4,'18.05'!$BB$3)),(VLOOKUP('18.05'!J49,'18.05'!$AO$4:$AQ$55,2,FALSE))*IF('18.05'!$AK49="是",'18.05'!$BB$4,'18.05'!$BB$3))</f>
        <v>136</v>
      </c>
      <c r="C49" s="4">
        <f>IF(ISNUMBER(SEARCH("营",'18.05'!K49)),(-$Y49+50*IF('18.05'!$AK49="是",'18.05'!$BB$4,'18.05'!$BB$3)),(VLOOKUP('18.05'!K49,'18.05'!$AO$4:$AQ$55,2,FALSE))*IF('18.05'!$AK49="是",'18.05'!$BB$4,'18.05'!$BB$3))</f>
        <v>136</v>
      </c>
      <c r="D49" s="4">
        <f>IF(ISNUMBER(SEARCH("营",'18.05'!L49)),(-$Y49+50*IF('18.05'!$AK49="是",'18.05'!$BB$4,'18.05'!$BB$3)),(VLOOKUP('18.05'!L49,'18.05'!$AO$4:$AQ$55,2,FALSE))*IF('18.05'!$AK49="是",'18.05'!$BB$4,'18.05'!$BB$3))</f>
        <v>136</v>
      </c>
      <c r="E49" s="4">
        <f>IF(ISNUMBER(SEARCH("营",'18.05'!M49)),(-$Y49+50*IF('18.05'!$AK49="是",'18.05'!$BB$4,'18.05'!$BB$3)),(VLOOKUP('18.05'!M49,'18.05'!$AO$4:$AQ$55,2,FALSE))*IF('18.05'!$AK49="是",'18.05'!$BB$4,'18.05'!$BB$3))</f>
        <v>136</v>
      </c>
      <c r="F49" s="4">
        <f>IF(ISNUMBER(SEARCH("营",'18.05'!N49)),(-$Y49+50*IF('18.05'!$AK49="是",'18.05'!$BB$4,'18.05'!$BB$3)),(VLOOKUP('18.05'!N49,'18.05'!$AO$4:$AQ$55,2,FALSE))*IF('18.05'!$AK49="是",'18.05'!$BB$4,'18.05'!$BB$3))</f>
        <v>136</v>
      </c>
      <c r="G49" s="4">
        <f>IF(ISNUMBER(SEARCH("营",'18.05'!O49)),(-$Y49+50*IF('18.05'!$AK49="是",'18.05'!$BB$4,'18.05'!$BB$3)),(VLOOKUP('18.05'!O49,'18.05'!$AO$4:$AQ$55,2,FALSE))*IF('18.05'!$AK49="是",'18.05'!$BB$4,'18.05'!$BB$3))</f>
        <v>0</v>
      </c>
      <c r="H49" s="4">
        <f>IF(ISNUMBER(SEARCH("营",'18.05'!P49)),(-$Y49+50*IF('18.05'!$AK49="是",'18.05'!$BB$4,'18.05'!$BB$3)),(VLOOKUP('18.05'!P49,'18.05'!$AO$4:$AQ$55,2,FALSE))*IF('18.05'!$AK49="是",'18.05'!$BB$4,'18.05'!$BB$3))</f>
        <v>0</v>
      </c>
      <c r="I49" s="4">
        <f>IF(ISNUMBER(SEARCH("营",'18.05'!Q49)),(-$Y49+50*IF('18.05'!$AK49="是",'18.05'!$BB$4,'18.05'!$BB$3)),(VLOOKUP('18.05'!Q49,'18.05'!$AO$4:$AQ$55,2,FALSE))*IF('18.05'!$AK49="是",'18.05'!$BB$4,'18.05'!$BB$3))</f>
        <v>152</v>
      </c>
      <c r="J49" s="4">
        <f>IF(ISNUMBER(SEARCH("营",'18.05'!R49)),(-$Y49+50*IF('18.05'!$AK49="是",'18.05'!$BB$4,'18.05'!$BB$3)),(VLOOKUP('18.05'!R49,'18.05'!$AO$4:$AQ$55,2,FALSE))*IF('18.05'!$AK49="是",'18.05'!$BB$4,'18.05'!$BB$3))</f>
        <v>152</v>
      </c>
      <c r="K49" s="4">
        <f>IF(ISNUMBER(SEARCH("营",'18.05'!S49)),(-$Y49+50*IF('18.05'!$AK49="是",'18.05'!$BB$4,'18.05'!$BB$3)),(VLOOKUP('18.05'!S49,'18.05'!$AO$4:$AQ$55,2,FALSE))*IF('18.05'!$AK49="是",'18.05'!$BB$4,'18.05'!$BB$3))</f>
        <v>152</v>
      </c>
      <c r="L49" s="4">
        <f>IF(ISNUMBER(SEARCH("营",'18.05'!T49)),(-$Y49+50*IF('18.05'!$AK49="是",'18.05'!$BB$4,'18.05'!$BB$3)),(VLOOKUP('18.05'!T49,'18.05'!$AO$4:$AQ$55,2,FALSE))*IF('18.05'!$AK49="是",'18.05'!$BB$4,'18.05'!$BB$3))</f>
        <v>152</v>
      </c>
      <c r="M49" s="4">
        <f>IF(ISNUMBER(SEARCH("营",'18.05'!U49)),(-$Y49+50*IF('18.05'!$AK49="是",'18.05'!$BB$4,'18.05'!$BB$3)),(VLOOKUP('18.05'!U49,'18.05'!$AO$4:$AQ$55,2,FALSE))*IF('18.05'!$AK49="是",'18.05'!$BB$4,'18.05'!$BB$3))</f>
        <v>152</v>
      </c>
      <c r="N49" s="4">
        <f>IF(ISNUMBER(SEARCH("营",'18.05'!V49)),(-$Y49+50*IF('18.05'!$AK49="是",'18.05'!$BB$4,'18.05'!$BB$3)),(VLOOKUP('18.05'!V49,'18.05'!$AO$4:$AQ$55,2,FALSE))*IF('18.05'!$AK49="是",'18.05'!$BB$4,'18.05'!$BB$3))</f>
        <v>152</v>
      </c>
      <c r="O49" s="4">
        <f>IF(ISNUMBER(SEARCH("营",'18.05'!W49)),(-$Y49+50*IF('18.05'!$AK49="是",'18.05'!$BB$4,'18.05'!$BB$3)),(VLOOKUP('18.05'!W49,'18.05'!$AO$4:$AQ$55,2,FALSE))*IF('18.05'!$AK49="是",'18.05'!$BB$4,'18.05'!$BB$3))</f>
        <v>0</v>
      </c>
      <c r="P49" s="4">
        <f>IF(ISNUMBER(SEARCH("营",'18.05'!X49)),(-$Y49+50*IF('18.05'!$AK49="是",'18.05'!$BB$4,'18.05'!$BB$3)),(VLOOKUP('18.05'!X49,'18.05'!$AO$4:$AQ$55,2,FALSE))*IF('18.05'!$AK49="是",'18.05'!$BB$4,'18.05'!$BB$3))</f>
        <v>0</v>
      </c>
      <c r="Q49" s="4">
        <f>IF(ISNUMBER(SEARCH("营",'18.05'!Y49)),(-$Y49+50*IF('18.05'!$AK49="是",'18.05'!$BB$4,'18.05'!$BB$3)),(VLOOKUP('18.05'!Y49,'18.05'!$AO$4:$AQ$55,2,FALSE))*IF('18.05'!$AK49="是",'18.05'!$BB$4,'18.05'!$BB$3))</f>
        <v>0</v>
      </c>
      <c r="R49" s="4">
        <f>IF(ISNUMBER(SEARCH("营",'18.05'!Z49)),(-$Y49+50*IF('18.05'!$AK49="是",'18.05'!$BB$4,'18.05'!$BB$3)),(VLOOKUP('18.05'!Z49,'18.05'!$AO$4:$AQ$55,2,FALSE))*IF('18.05'!$AK49="是",'18.05'!$BB$4,'18.05'!$BB$3))</f>
        <v>0</v>
      </c>
      <c r="S49" s="4">
        <f>IF(ISNUMBER(SEARCH("营",'18.05'!AA49)),(-$Y49+50*IF('18.05'!$AK49="是",'18.05'!$BB$4,'18.05'!$BB$3)),(VLOOKUP('18.05'!AA49,'18.05'!$AO$4:$AQ$55,2,FALSE))*IF('18.05'!$AK49="是",'18.05'!$BB$4,'18.05'!$BB$3))</f>
        <v>0</v>
      </c>
      <c r="T49" s="4">
        <f>IF(ISNUMBER(SEARCH("营",'18.05'!AB49)),(-$Y49+50*IF('18.05'!$AK49="是",'18.05'!$BB$4,'18.05'!$BB$3)),(VLOOKUP('18.05'!AB49,'18.05'!$AO$4:$AQ$55,2,FALSE))*IF('18.05'!$AK49="是",'18.05'!$BB$4,'18.05'!$BB$3))</f>
        <v>0</v>
      </c>
      <c r="U49" s="4">
        <f>IF(ISNUMBER(SEARCH("营",'18.05'!AC49)),(-$Y49+50*IF('18.05'!$AK49="是",'18.05'!$BB$4,'18.05'!$BB$3)),(VLOOKUP('18.05'!AC49,'18.05'!$AO$4:$AQ$55,2,FALSE))*IF('18.05'!$AK49="是",'18.05'!$BB$4,'18.05'!$BB$3))</f>
        <v>0</v>
      </c>
      <c r="V49" s="4">
        <f>IF(ISNUMBER(SEARCH("营",'18.05'!AD49)),(-$Y49+50*IF('18.05'!$AK49="是",'18.05'!$BB$4,'18.05'!$BB$3)),(VLOOKUP('18.05'!AD49,'18.05'!$AO$4:$AQ$55,2,FALSE))*IF('18.05'!$AK49="是",'18.05'!$BB$4,'18.05'!$BB$3))</f>
        <v>0</v>
      </c>
      <c r="W49" s="4">
        <f>IF(ISNUMBER(SEARCH("营",'18.05'!AE49)),(-$Y49+50*IF('18.05'!$AK49="是",'18.05'!$BB$4,'18.05'!$BB$3)),(VLOOKUP('18.05'!AE49,'18.05'!$AO$4:$AQ$55,2,FALSE))*IF('18.05'!$AK49="是",'18.05'!$BB$4,'18.05'!$BB$3))</f>
        <v>0</v>
      </c>
      <c r="X49" s="4">
        <f>IF(ISNUMBER(SEARCH("营",'18.05'!AF49)),(-$Y49+50*IF('18.05'!$AK49="是",'18.05'!$BB$4,'18.05'!$BB$3)),(VLOOKUP('18.05'!AF49,'18.05'!$AO$4:$AQ$55,2,FALSE))*IF('18.05'!$AK49="是",'18.05'!$BB$4,'18.05'!$BB$3))</f>
        <v>0</v>
      </c>
      <c r="Y49" s="70">
        <v>150</v>
      </c>
      <c r="Z49" s="84">
        <v>45684</v>
      </c>
    </row>
    <row r="50" spans="1:26">
      <c r="A50" s="4">
        <f>IF(ISNUMBER(SEARCH("营",'18.05'!I50)),(-$Y50+50*IF('18.05'!$AK50="是",'18.05'!$BB$4,'18.05'!$BB$3)),(VLOOKUP('18.05'!I50,'18.05'!$AO$4:$AQ$55,2,FALSE))*IF('18.05'!$AK50="是",'18.05'!$BB$4,'18.05'!$BB$3))</f>
        <v>136</v>
      </c>
      <c r="B50" s="4">
        <f>IF(ISNUMBER(SEARCH("营",'18.05'!J50)),(-$Y50+50*IF('18.05'!$AK50="是",'18.05'!$BB$4,'18.05'!$BB$3)),(VLOOKUP('18.05'!J50,'18.05'!$AO$4:$AQ$55,2,FALSE))*IF('18.05'!$AK50="是",'18.05'!$BB$4,'18.05'!$BB$3))</f>
        <v>136</v>
      </c>
      <c r="C50" s="4">
        <f>IF(ISNUMBER(SEARCH("营",'18.05'!K50)),(-$Y50+50*IF('18.05'!$AK50="是",'18.05'!$BB$4,'18.05'!$BB$3)),(VLOOKUP('18.05'!K50,'18.05'!$AO$4:$AQ$55,2,FALSE))*IF('18.05'!$AK50="是",'18.05'!$BB$4,'18.05'!$BB$3))</f>
        <v>136</v>
      </c>
      <c r="D50" s="4">
        <f>IF(ISNUMBER(SEARCH("营",'18.05'!L50)),(-$Y50+50*IF('18.05'!$AK50="是",'18.05'!$BB$4,'18.05'!$BB$3)),(VLOOKUP('18.05'!L50,'18.05'!$AO$4:$AQ$55,2,FALSE))*IF('18.05'!$AK50="是",'18.05'!$BB$4,'18.05'!$BB$3))</f>
        <v>136</v>
      </c>
      <c r="E50" s="4">
        <f>IF(ISNUMBER(SEARCH("营",'18.05'!M50)),(-$Y50+50*IF('18.05'!$AK50="是",'18.05'!$BB$4,'18.05'!$BB$3)),(VLOOKUP('18.05'!M50,'18.05'!$AO$4:$AQ$55,2,FALSE))*IF('18.05'!$AK50="是",'18.05'!$BB$4,'18.05'!$BB$3))</f>
        <v>136</v>
      </c>
      <c r="F50" s="4">
        <f>IF(ISNUMBER(SEARCH("营",'18.05'!N50)),(-$Y50+50*IF('18.05'!$AK50="是",'18.05'!$BB$4,'18.05'!$BB$3)),(VLOOKUP('18.05'!N50,'18.05'!$AO$4:$AQ$55,2,FALSE))*IF('18.05'!$AK50="是",'18.05'!$BB$4,'18.05'!$BB$3))</f>
        <v>136</v>
      </c>
      <c r="G50" s="4">
        <f>IF(ISNUMBER(SEARCH("营",'18.05'!O50)),(-$Y50+50*IF('18.05'!$AK50="是",'18.05'!$BB$4,'18.05'!$BB$3)),(VLOOKUP('18.05'!O50,'18.05'!$AO$4:$AQ$55,2,FALSE))*IF('18.05'!$AK50="是",'18.05'!$BB$4,'18.05'!$BB$3))</f>
        <v>0</v>
      </c>
      <c r="H50" s="4">
        <f>IF(ISNUMBER(SEARCH("营",'18.05'!P50)),(-$Y50+50*IF('18.05'!$AK50="是",'18.05'!$BB$4,'18.05'!$BB$3)),(VLOOKUP('18.05'!P50,'18.05'!$AO$4:$AQ$55,2,FALSE))*IF('18.05'!$AK50="是",'18.05'!$BB$4,'18.05'!$BB$3))</f>
        <v>0</v>
      </c>
      <c r="I50" s="4">
        <f>IF(ISNUMBER(SEARCH("营",'18.05'!Q50)),(-$Y50+50*IF('18.05'!$AK50="是",'18.05'!$BB$4,'18.05'!$BB$3)),(VLOOKUP('18.05'!Q50,'18.05'!$AO$4:$AQ$55,2,FALSE))*IF('18.05'!$AK50="是",'18.05'!$BB$4,'18.05'!$BB$3))</f>
        <v>152</v>
      </c>
      <c r="J50" s="4">
        <f>IF(ISNUMBER(SEARCH("营",'18.05'!R50)),(-$Y50+50*IF('18.05'!$AK50="是",'18.05'!$BB$4,'18.05'!$BB$3)),(VLOOKUP('18.05'!R50,'18.05'!$AO$4:$AQ$55,2,FALSE))*IF('18.05'!$AK50="是",'18.05'!$BB$4,'18.05'!$BB$3))</f>
        <v>152</v>
      </c>
      <c r="K50" s="4">
        <f>IF(ISNUMBER(SEARCH("营",'18.05'!S50)),(-$Y50+50*IF('18.05'!$AK50="是",'18.05'!$BB$4,'18.05'!$BB$3)),(VLOOKUP('18.05'!S50,'18.05'!$AO$4:$AQ$55,2,FALSE))*IF('18.05'!$AK50="是",'18.05'!$BB$4,'18.05'!$BB$3))</f>
        <v>152</v>
      </c>
      <c r="L50" s="4">
        <f>IF(ISNUMBER(SEARCH("营",'18.05'!T50)),(-$Y50+50*IF('18.05'!$AK50="是",'18.05'!$BB$4,'18.05'!$BB$3)),(VLOOKUP('18.05'!T50,'18.05'!$AO$4:$AQ$55,2,FALSE))*IF('18.05'!$AK50="是",'18.05'!$BB$4,'18.05'!$BB$3))</f>
        <v>152</v>
      </c>
      <c r="M50" s="4">
        <f>IF(ISNUMBER(SEARCH("营",'18.05'!U50)),(-$Y50+50*IF('18.05'!$AK50="是",'18.05'!$BB$4,'18.05'!$BB$3)),(VLOOKUP('18.05'!U50,'18.05'!$AO$4:$AQ$55,2,FALSE))*IF('18.05'!$AK50="是",'18.05'!$BB$4,'18.05'!$BB$3))</f>
        <v>152</v>
      </c>
      <c r="N50" s="4">
        <f>IF(ISNUMBER(SEARCH("营",'18.05'!V50)),(-$Y50+50*IF('18.05'!$AK50="是",'18.05'!$BB$4,'18.05'!$BB$3)),(VLOOKUP('18.05'!V50,'18.05'!$AO$4:$AQ$55,2,FALSE))*IF('18.05'!$AK50="是",'18.05'!$BB$4,'18.05'!$BB$3))</f>
        <v>152</v>
      </c>
      <c r="O50" s="4">
        <f>IF(ISNUMBER(SEARCH("营",'18.05'!W50)),(-$Y50+50*IF('18.05'!$AK50="是",'18.05'!$BB$4,'18.05'!$BB$3)),(VLOOKUP('18.05'!W50,'18.05'!$AO$4:$AQ$55,2,FALSE))*IF('18.05'!$AK50="是",'18.05'!$BB$4,'18.05'!$BB$3))</f>
        <v>0</v>
      </c>
      <c r="P50" s="4">
        <f>IF(ISNUMBER(SEARCH("营",'18.05'!X50)),(-$Y50+50*IF('18.05'!$AK50="是",'18.05'!$BB$4,'18.05'!$BB$3)),(VLOOKUP('18.05'!X50,'18.05'!$AO$4:$AQ$55,2,FALSE))*IF('18.05'!$AK50="是",'18.05'!$BB$4,'18.05'!$BB$3))</f>
        <v>0</v>
      </c>
      <c r="Q50" s="4">
        <f>IF(ISNUMBER(SEARCH("营",'18.05'!Y50)),(-$Y50+50*IF('18.05'!$AK50="是",'18.05'!$BB$4,'18.05'!$BB$3)),(VLOOKUP('18.05'!Y50,'18.05'!$AO$4:$AQ$55,2,FALSE))*IF('18.05'!$AK50="是",'18.05'!$BB$4,'18.05'!$BB$3))</f>
        <v>0</v>
      </c>
      <c r="R50" s="4">
        <f>IF(ISNUMBER(SEARCH("营",'18.05'!Z50)),(-$Y50+50*IF('18.05'!$AK50="是",'18.05'!$BB$4,'18.05'!$BB$3)),(VLOOKUP('18.05'!Z50,'18.05'!$AO$4:$AQ$55,2,FALSE))*IF('18.05'!$AK50="是",'18.05'!$BB$4,'18.05'!$BB$3))</f>
        <v>0</v>
      </c>
      <c r="S50" s="4">
        <f>IF(ISNUMBER(SEARCH("营",'18.05'!AA50)),(-$Y50+50*IF('18.05'!$AK50="是",'18.05'!$BB$4,'18.05'!$BB$3)),(VLOOKUP('18.05'!AA50,'18.05'!$AO$4:$AQ$55,2,FALSE))*IF('18.05'!$AK50="是",'18.05'!$BB$4,'18.05'!$BB$3))</f>
        <v>0</v>
      </c>
      <c r="T50" s="4">
        <f>IF(ISNUMBER(SEARCH("营",'18.05'!AB50)),(-$Y50+50*IF('18.05'!$AK50="是",'18.05'!$BB$4,'18.05'!$BB$3)),(VLOOKUP('18.05'!AB50,'18.05'!$AO$4:$AQ$55,2,FALSE))*IF('18.05'!$AK50="是",'18.05'!$BB$4,'18.05'!$BB$3))</f>
        <v>0</v>
      </c>
      <c r="U50" s="4">
        <f>IF(ISNUMBER(SEARCH("营",'18.05'!AC50)),(-$Y50+50*IF('18.05'!$AK50="是",'18.05'!$BB$4,'18.05'!$BB$3)),(VLOOKUP('18.05'!AC50,'18.05'!$AO$4:$AQ$55,2,FALSE))*IF('18.05'!$AK50="是",'18.05'!$BB$4,'18.05'!$BB$3))</f>
        <v>0</v>
      </c>
      <c r="V50" s="4">
        <f>IF(ISNUMBER(SEARCH("营",'18.05'!AD50)),(-$Y50+50*IF('18.05'!$AK50="是",'18.05'!$BB$4,'18.05'!$BB$3)),(VLOOKUP('18.05'!AD50,'18.05'!$AO$4:$AQ$55,2,FALSE))*IF('18.05'!$AK50="是",'18.05'!$BB$4,'18.05'!$BB$3))</f>
        <v>0</v>
      </c>
      <c r="W50" s="4">
        <f>IF(ISNUMBER(SEARCH("营",'18.05'!AE50)),(-$Y50+50*IF('18.05'!$AK50="是",'18.05'!$BB$4,'18.05'!$BB$3)),(VLOOKUP('18.05'!AE50,'18.05'!$AO$4:$AQ$55,2,FALSE))*IF('18.05'!$AK50="是",'18.05'!$BB$4,'18.05'!$BB$3))</f>
        <v>0</v>
      </c>
      <c r="X50" s="4">
        <f>IF(ISNUMBER(SEARCH("营",'18.05'!AF50)),(-$Y50+50*IF('18.05'!$AK50="是",'18.05'!$BB$4,'18.05'!$BB$3)),(VLOOKUP('18.05'!AF50,'18.05'!$AO$4:$AQ$55,2,FALSE))*IF('18.05'!$AK50="是",'18.05'!$BB$4,'18.05'!$BB$3))</f>
        <v>0</v>
      </c>
      <c r="Y50" s="70">
        <v>150</v>
      </c>
      <c r="Z50" s="84">
        <v>45685</v>
      </c>
    </row>
    <row r="51" spans="1:26">
      <c r="A51" s="4">
        <f>IF(ISNUMBER(SEARCH("营",'18.05'!I51)),(-$Y51+50*IF('18.05'!$AK51="是",'18.05'!$BB$4,'18.05'!$BB$3)),(VLOOKUP('18.05'!I51,'18.05'!$AO$4:$AQ$55,2,FALSE))*IF('18.05'!$AK51="是",'18.05'!$BB$4,'18.05'!$BB$3))</f>
        <v>136</v>
      </c>
      <c r="B51" s="4">
        <f>IF(ISNUMBER(SEARCH("营",'18.05'!J51)),(-$Y51+50*IF('18.05'!$AK51="是",'18.05'!$BB$4,'18.05'!$BB$3)),(VLOOKUP('18.05'!J51,'18.05'!$AO$4:$AQ$55,2,FALSE))*IF('18.05'!$AK51="是",'18.05'!$BB$4,'18.05'!$BB$3))</f>
        <v>136</v>
      </c>
      <c r="C51" s="4">
        <f>IF(ISNUMBER(SEARCH("营",'18.05'!K51)),(-$Y51+50*IF('18.05'!$AK51="是",'18.05'!$BB$4,'18.05'!$BB$3)),(VLOOKUP('18.05'!K51,'18.05'!$AO$4:$AQ$55,2,FALSE))*IF('18.05'!$AK51="是",'18.05'!$BB$4,'18.05'!$BB$3))</f>
        <v>136</v>
      </c>
      <c r="D51" s="4">
        <f>IF(ISNUMBER(SEARCH("营",'18.05'!L51)),(-$Y51+50*IF('18.05'!$AK51="是",'18.05'!$BB$4,'18.05'!$BB$3)),(VLOOKUP('18.05'!L51,'18.05'!$AO$4:$AQ$55,2,FALSE))*IF('18.05'!$AK51="是",'18.05'!$BB$4,'18.05'!$BB$3))</f>
        <v>136</v>
      </c>
      <c r="E51" s="4">
        <f>IF(ISNUMBER(SEARCH("营",'18.05'!M51)),(-$Y51+50*IF('18.05'!$AK51="是",'18.05'!$BB$4,'18.05'!$BB$3)),(VLOOKUP('18.05'!M51,'18.05'!$AO$4:$AQ$55,2,FALSE))*IF('18.05'!$AK51="是",'18.05'!$BB$4,'18.05'!$BB$3))</f>
        <v>40</v>
      </c>
      <c r="F51" s="4">
        <f>IF(ISNUMBER(SEARCH("营",'18.05'!N51)),(-$Y51+50*IF('18.05'!$AK51="是",'18.05'!$BB$4,'18.05'!$BB$3)),(VLOOKUP('18.05'!N51,'18.05'!$AO$4:$AQ$55,2,FALSE))*IF('18.05'!$AK51="是",'18.05'!$BB$4,'18.05'!$BB$3))</f>
        <v>136</v>
      </c>
      <c r="G51" s="4">
        <f>IF(ISNUMBER(SEARCH("营",'18.05'!O51)),(-$Y51+50*IF('18.05'!$AK51="是",'18.05'!$BB$4,'18.05'!$BB$3)),(VLOOKUP('18.05'!O51,'18.05'!$AO$4:$AQ$55,2,FALSE))*IF('18.05'!$AK51="是",'18.05'!$BB$4,'18.05'!$BB$3))</f>
        <v>0</v>
      </c>
      <c r="H51" s="4">
        <f>IF(ISNUMBER(SEARCH("营",'18.05'!P51)),(-$Y51+50*IF('18.05'!$AK51="是",'18.05'!$BB$4,'18.05'!$BB$3)),(VLOOKUP('18.05'!P51,'18.05'!$AO$4:$AQ$55,2,FALSE))*IF('18.05'!$AK51="是",'18.05'!$BB$4,'18.05'!$BB$3))</f>
        <v>0</v>
      </c>
      <c r="I51" s="4">
        <f>IF(ISNUMBER(SEARCH("营",'18.05'!Q51)),(-$Y51+50*IF('18.05'!$AK51="是",'18.05'!$BB$4,'18.05'!$BB$3)),(VLOOKUP('18.05'!Q51,'18.05'!$AO$4:$AQ$55,2,FALSE))*IF('18.05'!$AK51="是",'18.05'!$BB$4,'18.05'!$BB$3))</f>
        <v>152</v>
      </c>
      <c r="J51" s="4">
        <f>IF(ISNUMBER(SEARCH("营",'18.05'!R51)),(-$Y51+50*IF('18.05'!$AK51="是",'18.05'!$BB$4,'18.05'!$BB$3)),(VLOOKUP('18.05'!R51,'18.05'!$AO$4:$AQ$55,2,FALSE))*IF('18.05'!$AK51="是",'18.05'!$BB$4,'18.05'!$BB$3))</f>
        <v>152</v>
      </c>
      <c r="K51" s="4">
        <f>IF(ISNUMBER(SEARCH("营",'18.05'!S51)),(-$Y51+50*IF('18.05'!$AK51="是",'18.05'!$BB$4,'18.05'!$BB$3)),(VLOOKUP('18.05'!S51,'18.05'!$AO$4:$AQ$55,2,FALSE))*IF('18.05'!$AK51="是",'18.05'!$BB$4,'18.05'!$BB$3))</f>
        <v>152</v>
      </c>
      <c r="L51" s="4">
        <f>IF(ISNUMBER(SEARCH("营",'18.05'!T51)),(-$Y51+50*IF('18.05'!$AK51="是",'18.05'!$BB$4,'18.05'!$BB$3)),(VLOOKUP('18.05'!T51,'18.05'!$AO$4:$AQ$55,2,FALSE))*IF('18.05'!$AK51="是",'18.05'!$BB$4,'18.05'!$BB$3))</f>
        <v>40</v>
      </c>
      <c r="M51" s="4">
        <f>IF(ISNUMBER(SEARCH("营",'18.05'!U51)),(-$Y51+50*IF('18.05'!$AK51="是",'18.05'!$BB$4,'18.05'!$BB$3)),(VLOOKUP('18.05'!U51,'18.05'!$AO$4:$AQ$55,2,FALSE))*IF('18.05'!$AK51="是",'18.05'!$BB$4,'18.05'!$BB$3))</f>
        <v>152</v>
      </c>
      <c r="N51" s="4">
        <f>IF(ISNUMBER(SEARCH("营",'18.05'!V51)),(-$Y51+50*IF('18.05'!$AK51="是",'18.05'!$BB$4,'18.05'!$BB$3)),(VLOOKUP('18.05'!V51,'18.05'!$AO$4:$AQ$55,2,FALSE))*IF('18.05'!$AK51="是",'18.05'!$BB$4,'18.05'!$BB$3))</f>
        <v>152</v>
      </c>
      <c r="O51" s="4">
        <f>IF(ISNUMBER(SEARCH("营",'18.05'!W51)),(-$Y51+50*IF('18.05'!$AK51="是",'18.05'!$BB$4,'18.05'!$BB$3)),(VLOOKUP('18.05'!W51,'18.05'!$AO$4:$AQ$55,2,FALSE))*IF('18.05'!$AK51="是",'18.05'!$BB$4,'18.05'!$BB$3))</f>
        <v>0</v>
      </c>
      <c r="P51" s="4">
        <f>IF(ISNUMBER(SEARCH("营",'18.05'!X51)),(-$Y51+50*IF('18.05'!$AK51="是",'18.05'!$BB$4,'18.05'!$BB$3)),(VLOOKUP('18.05'!X51,'18.05'!$AO$4:$AQ$55,2,FALSE))*IF('18.05'!$AK51="是",'18.05'!$BB$4,'18.05'!$BB$3))</f>
        <v>0</v>
      </c>
      <c r="Q51" s="4">
        <f>IF(ISNUMBER(SEARCH("营",'18.05'!Y51)),(-$Y51+50*IF('18.05'!$AK51="是",'18.05'!$BB$4,'18.05'!$BB$3)),(VLOOKUP('18.05'!Y51,'18.05'!$AO$4:$AQ$55,2,FALSE))*IF('18.05'!$AK51="是",'18.05'!$BB$4,'18.05'!$BB$3))</f>
        <v>0</v>
      </c>
      <c r="R51" s="4">
        <f>IF(ISNUMBER(SEARCH("营",'18.05'!Z51)),(-$Y51+50*IF('18.05'!$AK51="是",'18.05'!$BB$4,'18.05'!$BB$3)),(VLOOKUP('18.05'!Z51,'18.05'!$AO$4:$AQ$55,2,FALSE))*IF('18.05'!$AK51="是",'18.05'!$BB$4,'18.05'!$BB$3))</f>
        <v>0</v>
      </c>
      <c r="S51" s="4">
        <f>IF(ISNUMBER(SEARCH("营",'18.05'!AA51)),(-$Y51+50*IF('18.05'!$AK51="是",'18.05'!$BB$4,'18.05'!$BB$3)),(VLOOKUP('18.05'!AA51,'18.05'!$AO$4:$AQ$55,2,FALSE))*IF('18.05'!$AK51="是",'18.05'!$BB$4,'18.05'!$BB$3))</f>
        <v>0</v>
      </c>
      <c r="T51" s="4">
        <f>IF(ISNUMBER(SEARCH("营",'18.05'!AB51)),(-$Y51+50*IF('18.05'!$AK51="是",'18.05'!$BB$4,'18.05'!$BB$3)),(VLOOKUP('18.05'!AB51,'18.05'!$AO$4:$AQ$55,2,FALSE))*IF('18.05'!$AK51="是",'18.05'!$BB$4,'18.05'!$BB$3))</f>
        <v>0</v>
      </c>
      <c r="U51" s="4">
        <f>IF(ISNUMBER(SEARCH("营",'18.05'!AC51)),(-$Y51+50*IF('18.05'!$AK51="是",'18.05'!$BB$4,'18.05'!$BB$3)),(VLOOKUP('18.05'!AC51,'18.05'!$AO$4:$AQ$55,2,FALSE))*IF('18.05'!$AK51="是",'18.05'!$BB$4,'18.05'!$BB$3))</f>
        <v>0</v>
      </c>
      <c r="V51" s="4">
        <f>IF(ISNUMBER(SEARCH("营",'18.05'!AD51)),(-$Y51+50*IF('18.05'!$AK51="是",'18.05'!$BB$4,'18.05'!$BB$3)),(VLOOKUP('18.05'!AD51,'18.05'!$AO$4:$AQ$55,2,FALSE))*IF('18.05'!$AK51="是",'18.05'!$BB$4,'18.05'!$BB$3))</f>
        <v>0</v>
      </c>
      <c r="W51" s="4">
        <f>IF(ISNUMBER(SEARCH("营",'18.05'!AE51)),(-$Y51+50*IF('18.05'!$AK51="是",'18.05'!$BB$4,'18.05'!$BB$3)),(VLOOKUP('18.05'!AE51,'18.05'!$AO$4:$AQ$55,2,FALSE))*IF('18.05'!$AK51="是",'18.05'!$BB$4,'18.05'!$BB$3))</f>
        <v>0</v>
      </c>
      <c r="X51" s="4">
        <f>IF(ISNUMBER(SEARCH("营",'18.05'!AF51)),(-$Y51+50*IF('18.05'!$AK51="是",'18.05'!$BB$4,'18.05'!$BB$3)),(VLOOKUP('18.05'!AF51,'18.05'!$AO$4:$AQ$55,2,FALSE))*IF('18.05'!$AK51="是",'18.05'!$BB$4,'18.05'!$BB$3))</f>
        <v>0</v>
      </c>
      <c r="Y51" s="70">
        <v>150</v>
      </c>
      <c r="Z51" s="84">
        <v>45686</v>
      </c>
    </row>
    <row r="52" spans="1:26">
      <c r="A52" s="4">
        <f>IF(ISNUMBER(SEARCH("营",'18.05'!I52)),(-$Y52+50*IF('18.05'!$AK52="是",'18.05'!$BB$4,'18.05'!$BB$3)),(VLOOKUP('18.05'!I52,'18.05'!$AO$4:$AQ$55,2,FALSE))*IF('18.05'!$AK52="是",'18.05'!$BB$4,'18.05'!$BB$3))</f>
        <v>136</v>
      </c>
      <c r="B52" s="4">
        <f>IF(ISNUMBER(SEARCH("营",'18.05'!J52)),(-$Y52+50*IF('18.05'!$AK52="是",'18.05'!$BB$4,'18.05'!$BB$3)),(VLOOKUP('18.05'!J52,'18.05'!$AO$4:$AQ$55,2,FALSE))*IF('18.05'!$AK52="是",'18.05'!$BB$4,'18.05'!$BB$3))</f>
        <v>136</v>
      </c>
      <c r="C52" s="4">
        <f>IF(ISNUMBER(SEARCH("营",'18.05'!K52)),(-$Y52+50*IF('18.05'!$AK52="是",'18.05'!$BB$4,'18.05'!$BB$3)),(VLOOKUP('18.05'!K52,'18.05'!$AO$4:$AQ$55,2,FALSE))*IF('18.05'!$AK52="是",'18.05'!$BB$4,'18.05'!$BB$3))</f>
        <v>136</v>
      </c>
      <c r="D52" s="4">
        <f>IF(ISNUMBER(SEARCH("营",'18.05'!L52)),(-$Y52+50*IF('18.05'!$AK52="是",'18.05'!$BB$4,'18.05'!$BB$3)),(VLOOKUP('18.05'!L52,'18.05'!$AO$4:$AQ$55,2,FALSE))*IF('18.05'!$AK52="是",'18.05'!$BB$4,'18.05'!$BB$3))</f>
        <v>136</v>
      </c>
      <c r="E52" s="4">
        <f>IF(ISNUMBER(SEARCH("营",'18.05'!M52)),(-$Y52+50*IF('18.05'!$AK52="是",'18.05'!$BB$4,'18.05'!$BB$3)),(VLOOKUP('18.05'!M52,'18.05'!$AO$4:$AQ$55,2,FALSE))*IF('18.05'!$AK52="是",'18.05'!$BB$4,'18.05'!$BB$3))</f>
        <v>136</v>
      </c>
      <c r="F52" s="4">
        <f>IF(ISNUMBER(SEARCH("营",'18.05'!N52)),(-$Y52+50*IF('18.05'!$AK52="是",'18.05'!$BB$4,'18.05'!$BB$3)),(VLOOKUP('18.05'!N52,'18.05'!$AO$4:$AQ$55,2,FALSE))*IF('18.05'!$AK52="是",'18.05'!$BB$4,'18.05'!$BB$3))</f>
        <v>136</v>
      </c>
      <c r="G52" s="4">
        <f>IF(ISNUMBER(SEARCH("营",'18.05'!O52)),(-$Y52+50*IF('18.05'!$AK52="是",'18.05'!$BB$4,'18.05'!$BB$3)),(VLOOKUP('18.05'!O52,'18.05'!$AO$4:$AQ$55,2,FALSE))*IF('18.05'!$AK52="是",'18.05'!$BB$4,'18.05'!$BB$3))</f>
        <v>0</v>
      </c>
      <c r="H52" s="4">
        <f>IF(ISNUMBER(SEARCH("营",'18.05'!P52)),(-$Y52+50*IF('18.05'!$AK52="是",'18.05'!$BB$4,'18.05'!$BB$3)),(VLOOKUP('18.05'!P52,'18.05'!$AO$4:$AQ$55,2,FALSE))*IF('18.05'!$AK52="是",'18.05'!$BB$4,'18.05'!$BB$3))</f>
        <v>0</v>
      </c>
      <c r="I52" s="4">
        <f>IF(ISNUMBER(SEARCH("营",'18.05'!Q52)),(-$Y52+50*IF('18.05'!$AK52="是",'18.05'!$BB$4,'18.05'!$BB$3)),(VLOOKUP('18.05'!Q52,'18.05'!$AO$4:$AQ$55,2,FALSE))*IF('18.05'!$AK52="是",'18.05'!$BB$4,'18.05'!$BB$3))</f>
        <v>152</v>
      </c>
      <c r="J52" s="4">
        <f>IF(ISNUMBER(SEARCH("营",'18.05'!R52)),(-$Y52+50*IF('18.05'!$AK52="是",'18.05'!$BB$4,'18.05'!$BB$3)),(VLOOKUP('18.05'!R52,'18.05'!$AO$4:$AQ$55,2,FALSE))*IF('18.05'!$AK52="是",'18.05'!$BB$4,'18.05'!$BB$3))</f>
        <v>152</v>
      </c>
      <c r="K52" s="4">
        <f>IF(ISNUMBER(SEARCH("营",'18.05'!S52)),(-$Y52+50*IF('18.05'!$AK52="是",'18.05'!$BB$4,'18.05'!$BB$3)),(VLOOKUP('18.05'!S52,'18.05'!$AO$4:$AQ$55,2,FALSE))*IF('18.05'!$AK52="是",'18.05'!$BB$4,'18.05'!$BB$3))</f>
        <v>152</v>
      </c>
      <c r="L52" s="4">
        <f>IF(ISNUMBER(SEARCH("营",'18.05'!T52)),(-$Y52+50*IF('18.05'!$AK52="是",'18.05'!$BB$4,'18.05'!$BB$3)),(VLOOKUP('18.05'!T52,'18.05'!$AO$4:$AQ$55,2,FALSE))*IF('18.05'!$AK52="是",'18.05'!$BB$4,'18.05'!$BB$3))</f>
        <v>152</v>
      </c>
      <c r="M52" s="4">
        <f>IF(ISNUMBER(SEARCH("营",'18.05'!U52)),(-$Y52+50*IF('18.05'!$AK52="是",'18.05'!$BB$4,'18.05'!$BB$3)),(VLOOKUP('18.05'!U52,'18.05'!$AO$4:$AQ$55,2,FALSE))*IF('18.05'!$AK52="是",'18.05'!$BB$4,'18.05'!$BB$3))</f>
        <v>152</v>
      </c>
      <c r="N52" s="4">
        <f>IF(ISNUMBER(SEARCH("营",'18.05'!V52)),(-$Y52+50*IF('18.05'!$AK52="是",'18.05'!$BB$4,'18.05'!$BB$3)),(VLOOKUP('18.05'!V52,'18.05'!$AO$4:$AQ$55,2,FALSE))*IF('18.05'!$AK52="是",'18.05'!$BB$4,'18.05'!$BB$3))</f>
        <v>152</v>
      </c>
      <c r="O52" s="4">
        <f>IF(ISNUMBER(SEARCH("营",'18.05'!W52)),(-$Y52+50*IF('18.05'!$AK52="是",'18.05'!$BB$4,'18.05'!$BB$3)),(VLOOKUP('18.05'!W52,'18.05'!$AO$4:$AQ$55,2,FALSE))*IF('18.05'!$AK52="是",'18.05'!$BB$4,'18.05'!$BB$3))</f>
        <v>0</v>
      </c>
      <c r="P52" s="4">
        <f>IF(ISNUMBER(SEARCH("营",'18.05'!X52)),(-$Y52+50*IF('18.05'!$AK52="是",'18.05'!$BB$4,'18.05'!$BB$3)),(VLOOKUP('18.05'!X52,'18.05'!$AO$4:$AQ$55,2,FALSE))*IF('18.05'!$AK52="是",'18.05'!$BB$4,'18.05'!$BB$3))</f>
        <v>0</v>
      </c>
      <c r="Q52" s="4">
        <f>IF(ISNUMBER(SEARCH("营",'18.05'!Y52)),(-$Y52+50*IF('18.05'!$AK52="是",'18.05'!$BB$4,'18.05'!$BB$3)),(VLOOKUP('18.05'!Y52,'18.05'!$AO$4:$AQ$55,2,FALSE))*IF('18.05'!$AK52="是",'18.05'!$BB$4,'18.05'!$BB$3))</f>
        <v>0</v>
      </c>
      <c r="R52" s="4">
        <f>IF(ISNUMBER(SEARCH("营",'18.05'!Z52)),(-$Y52+50*IF('18.05'!$AK52="是",'18.05'!$BB$4,'18.05'!$BB$3)),(VLOOKUP('18.05'!Z52,'18.05'!$AO$4:$AQ$55,2,FALSE))*IF('18.05'!$AK52="是",'18.05'!$BB$4,'18.05'!$BB$3))</f>
        <v>0</v>
      </c>
      <c r="S52" s="4">
        <f>IF(ISNUMBER(SEARCH("营",'18.05'!AA52)),(-$Y52+50*IF('18.05'!$AK52="是",'18.05'!$BB$4,'18.05'!$BB$3)),(VLOOKUP('18.05'!AA52,'18.05'!$AO$4:$AQ$55,2,FALSE))*IF('18.05'!$AK52="是",'18.05'!$BB$4,'18.05'!$BB$3))</f>
        <v>0</v>
      </c>
      <c r="T52" s="4">
        <f>IF(ISNUMBER(SEARCH("营",'18.05'!AB52)),(-$Y52+50*IF('18.05'!$AK52="是",'18.05'!$BB$4,'18.05'!$BB$3)),(VLOOKUP('18.05'!AB52,'18.05'!$AO$4:$AQ$55,2,FALSE))*IF('18.05'!$AK52="是",'18.05'!$BB$4,'18.05'!$BB$3))</f>
        <v>0</v>
      </c>
      <c r="U52" s="4">
        <f>IF(ISNUMBER(SEARCH("营",'18.05'!AC52)),(-$Y52+50*IF('18.05'!$AK52="是",'18.05'!$BB$4,'18.05'!$BB$3)),(VLOOKUP('18.05'!AC52,'18.05'!$AO$4:$AQ$55,2,FALSE))*IF('18.05'!$AK52="是",'18.05'!$BB$4,'18.05'!$BB$3))</f>
        <v>0</v>
      </c>
      <c r="V52" s="4">
        <f>IF(ISNUMBER(SEARCH("营",'18.05'!AD52)),(-$Y52+50*IF('18.05'!$AK52="是",'18.05'!$BB$4,'18.05'!$BB$3)),(VLOOKUP('18.05'!AD52,'18.05'!$AO$4:$AQ$55,2,FALSE))*IF('18.05'!$AK52="是",'18.05'!$BB$4,'18.05'!$BB$3))</f>
        <v>0</v>
      </c>
      <c r="W52" s="4">
        <f>IF(ISNUMBER(SEARCH("营",'18.05'!AE52)),(-$Y52+50*IF('18.05'!$AK52="是",'18.05'!$BB$4,'18.05'!$BB$3)),(VLOOKUP('18.05'!AE52,'18.05'!$AO$4:$AQ$55,2,FALSE))*IF('18.05'!$AK52="是",'18.05'!$BB$4,'18.05'!$BB$3))</f>
        <v>0</v>
      </c>
      <c r="X52" s="4">
        <f>IF(ISNUMBER(SEARCH("营",'18.05'!AF52)),(-$Y52+50*IF('18.05'!$AK52="是",'18.05'!$BB$4,'18.05'!$BB$3)),(VLOOKUP('18.05'!AF52,'18.05'!$AO$4:$AQ$55,2,FALSE))*IF('18.05'!$AK52="是",'18.05'!$BB$4,'18.05'!$BB$3))</f>
        <v>0</v>
      </c>
      <c r="Y52" s="70">
        <v>150</v>
      </c>
      <c r="Z52" s="84">
        <v>45687</v>
      </c>
    </row>
    <row r="53" spans="1:26">
      <c r="A53" s="4">
        <f>IF(ISNUMBER(SEARCH("营",'18.05'!I53)),(-$Y53+50*IF('18.05'!$AK53="是",'18.05'!$BB$4,'18.05'!$BB$3)),(VLOOKUP('18.05'!I53,'18.05'!$AO$4:$AQ$55,2,FALSE))*IF('18.05'!$AK53="是",'18.05'!$BB$4,'18.05'!$BB$3))</f>
        <v>136</v>
      </c>
      <c r="B53" s="4">
        <f>IF(ISNUMBER(SEARCH("营",'18.05'!J53)),(-$Y53+50*IF('18.05'!$AK53="是",'18.05'!$BB$4,'18.05'!$BB$3)),(VLOOKUP('18.05'!J53,'18.05'!$AO$4:$AQ$55,2,FALSE))*IF('18.05'!$AK53="是",'18.05'!$BB$4,'18.05'!$BB$3))</f>
        <v>136</v>
      </c>
      <c r="C53" s="4">
        <f>IF(ISNUMBER(SEARCH("营",'18.05'!K53)),(-$Y53+50*IF('18.05'!$AK53="是",'18.05'!$BB$4,'18.05'!$BB$3)),(VLOOKUP('18.05'!K53,'18.05'!$AO$4:$AQ$55,2,FALSE))*IF('18.05'!$AK53="是",'18.05'!$BB$4,'18.05'!$BB$3))</f>
        <v>40</v>
      </c>
      <c r="D53" s="4">
        <f>IF(ISNUMBER(SEARCH("营",'18.05'!L53)),(-$Y53+50*IF('18.05'!$AK53="是",'18.05'!$BB$4,'18.05'!$BB$3)),(VLOOKUP('18.05'!L53,'18.05'!$AO$4:$AQ$55,2,FALSE))*IF('18.05'!$AK53="是",'18.05'!$BB$4,'18.05'!$BB$3))</f>
        <v>136</v>
      </c>
      <c r="E53" s="4">
        <f>IF(ISNUMBER(SEARCH("营",'18.05'!M53)),(-$Y53+50*IF('18.05'!$AK53="是",'18.05'!$BB$4,'18.05'!$BB$3)),(VLOOKUP('18.05'!M53,'18.05'!$AO$4:$AQ$55,2,FALSE))*IF('18.05'!$AK53="是",'18.05'!$BB$4,'18.05'!$BB$3))</f>
        <v>136</v>
      </c>
      <c r="F53" s="4">
        <f>IF(ISNUMBER(SEARCH("营",'18.05'!N53)),(-$Y53+50*IF('18.05'!$AK53="是",'18.05'!$BB$4,'18.05'!$BB$3)),(VLOOKUP('18.05'!N53,'18.05'!$AO$4:$AQ$55,2,FALSE))*IF('18.05'!$AK53="是",'18.05'!$BB$4,'18.05'!$BB$3))</f>
        <v>136</v>
      </c>
      <c r="G53" s="4">
        <f>IF(ISNUMBER(SEARCH("营",'18.05'!O53)),(-$Y53+50*IF('18.05'!$AK53="是",'18.05'!$BB$4,'18.05'!$BB$3)),(VLOOKUP('18.05'!O53,'18.05'!$AO$4:$AQ$55,2,FALSE))*IF('18.05'!$AK53="是",'18.05'!$BB$4,'18.05'!$BB$3))</f>
        <v>0</v>
      </c>
      <c r="H53" s="4">
        <f>IF(ISNUMBER(SEARCH("营",'18.05'!P53)),(-$Y53+50*IF('18.05'!$AK53="是",'18.05'!$BB$4,'18.05'!$BB$3)),(VLOOKUP('18.05'!P53,'18.05'!$AO$4:$AQ$55,2,FALSE))*IF('18.05'!$AK53="是",'18.05'!$BB$4,'18.05'!$BB$3))</f>
        <v>0</v>
      </c>
      <c r="I53" s="4">
        <f>IF(ISNUMBER(SEARCH("营",'18.05'!Q53)),(-$Y53+50*IF('18.05'!$AK53="是",'18.05'!$BB$4,'18.05'!$BB$3)),(VLOOKUP('18.05'!Q53,'18.05'!$AO$4:$AQ$55,2,FALSE))*IF('18.05'!$AK53="是",'18.05'!$BB$4,'18.05'!$BB$3))</f>
        <v>152</v>
      </c>
      <c r="J53" s="4">
        <f>IF(ISNUMBER(SEARCH("营",'18.05'!R53)),(-$Y53+50*IF('18.05'!$AK53="是",'18.05'!$BB$4,'18.05'!$BB$3)),(VLOOKUP('18.05'!R53,'18.05'!$AO$4:$AQ$55,2,FALSE))*IF('18.05'!$AK53="是",'18.05'!$BB$4,'18.05'!$BB$3))</f>
        <v>152</v>
      </c>
      <c r="K53" s="4">
        <f>IF(ISNUMBER(SEARCH("营",'18.05'!S53)),(-$Y53+50*IF('18.05'!$AK53="是",'18.05'!$BB$4,'18.05'!$BB$3)),(VLOOKUP('18.05'!S53,'18.05'!$AO$4:$AQ$55,2,FALSE))*IF('18.05'!$AK53="是",'18.05'!$BB$4,'18.05'!$BB$3))</f>
        <v>152</v>
      </c>
      <c r="L53" s="4">
        <f>IF(ISNUMBER(SEARCH("营",'18.05'!T53)),(-$Y53+50*IF('18.05'!$AK53="是",'18.05'!$BB$4,'18.05'!$BB$3)),(VLOOKUP('18.05'!T53,'18.05'!$AO$4:$AQ$55,2,FALSE))*IF('18.05'!$AK53="是",'18.05'!$BB$4,'18.05'!$BB$3))</f>
        <v>152</v>
      </c>
      <c r="M53" s="4">
        <f>IF(ISNUMBER(SEARCH("营",'18.05'!U53)),(-$Y53+50*IF('18.05'!$AK53="是",'18.05'!$BB$4,'18.05'!$BB$3)),(VLOOKUP('18.05'!U53,'18.05'!$AO$4:$AQ$55,2,FALSE))*IF('18.05'!$AK53="是",'18.05'!$BB$4,'18.05'!$BB$3))</f>
        <v>152</v>
      </c>
      <c r="N53" s="4">
        <f>IF(ISNUMBER(SEARCH("营",'18.05'!V53)),(-$Y53+50*IF('18.05'!$AK53="是",'18.05'!$BB$4,'18.05'!$BB$3)),(VLOOKUP('18.05'!V53,'18.05'!$AO$4:$AQ$55,2,FALSE))*IF('18.05'!$AK53="是",'18.05'!$BB$4,'18.05'!$BB$3))</f>
        <v>152</v>
      </c>
      <c r="O53" s="4">
        <f>IF(ISNUMBER(SEARCH("营",'18.05'!W53)),(-$Y53+50*IF('18.05'!$AK53="是",'18.05'!$BB$4,'18.05'!$BB$3)),(VLOOKUP('18.05'!W53,'18.05'!$AO$4:$AQ$55,2,FALSE))*IF('18.05'!$AK53="是",'18.05'!$BB$4,'18.05'!$BB$3))</f>
        <v>0</v>
      </c>
      <c r="P53" s="4">
        <f>IF(ISNUMBER(SEARCH("营",'18.05'!X53)),(-$Y53+50*IF('18.05'!$AK53="是",'18.05'!$BB$4,'18.05'!$BB$3)),(VLOOKUP('18.05'!X53,'18.05'!$AO$4:$AQ$55,2,FALSE))*IF('18.05'!$AK53="是",'18.05'!$BB$4,'18.05'!$BB$3))</f>
        <v>0</v>
      </c>
      <c r="Q53" s="4">
        <f>IF(ISNUMBER(SEARCH("营",'18.05'!Y53)),(-$Y53+50*IF('18.05'!$AK53="是",'18.05'!$BB$4,'18.05'!$BB$3)),(VLOOKUP('18.05'!Y53,'18.05'!$AO$4:$AQ$55,2,FALSE))*IF('18.05'!$AK53="是",'18.05'!$BB$4,'18.05'!$BB$3))</f>
        <v>0</v>
      </c>
      <c r="R53" s="4">
        <f>IF(ISNUMBER(SEARCH("营",'18.05'!Z53)),(-$Y53+50*IF('18.05'!$AK53="是",'18.05'!$BB$4,'18.05'!$BB$3)),(VLOOKUP('18.05'!Z53,'18.05'!$AO$4:$AQ$55,2,FALSE))*IF('18.05'!$AK53="是",'18.05'!$BB$4,'18.05'!$BB$3))</f>
        <v>0</v>
      </c>
      <c r="S53" s="4">
        <f>IF(ISNUMBER(SEARCH("营",'18.05'!AA53)),(-$Y53+50*IF('18.05'!$AK53="是",'18.05'!$BB$4,'18.05'!$BB$3)),(VLOOKUP('18.05'!AA53,'18.05'!$AO$4:$AQ$55,2,FALSE))*IF('18.05'!$AK53="是",'18.05'!$BB$4,'18.05'!$BB$3))</f>
        <v>0</v>
      </c>
      <c r="T53" s="4">
        <f>IF(ISNUMBER(SEARCH("营",'18.05'!AB53)),(-$Y53+50*IF('18.05'!$AK53="是",'18.05'!$BB$4,'18.05'!$BB$3)),(VLOOKUP('18.05'!AB53,'18.05'!$AO$4:$AQ$55,2,FALSE))*IF('18.05'!$AK53="是",'18.05'!$BB$4,'18.05'!$BB$3))</f>
        <v>0</v>
      </c>
      <c r="U53" s="4">
        <f>IF(ISNUMBER(SEARCH("营",'18.05'!AC53)),(-$Y53+50*IF('18.05'!$AK53="是",'18.05'!$BB$4,'18.05'!$BB$3)),(VLOOKUP('18.05'!AC53,'18.05'!$AO$4:$AQ$55,2,FALSE))*IF('18.05'!$AK53="是",'18.05'!$BB$4,'18.05'!$BB$3))</f>
        <v>0</v>
      </c>
      <c r="V53" s="4">
        <f>IF(ISNUMBER(SEARCH("营",'18.05'!AD53)),(-$Y53+50*IF('18.05'!$AK53="是",'18.05'!$BB$4,'18.05'!$BB$3)),(VLOOKUP('18.05'!AD53,'18.05'!$AO$4:$AQ$55,2,FALSE))*IF('18.05'!$AK53="是",'18.05'!$BB$4,'18.05'!$BB$3))</f>
        <v>0</v>
      </c>
      <c r="W53" s="4">
        <f>IF(ISNUMBER(SEARCH("营",'18.05'!AE53)),(-$Y53+50*IF('18.05'!$AK53="是",'18.05'!$BB$4,'18.05'!$BB$3)),(VLOOKUP('18.05'!AE53,'18.05'!$AO$4:$AQ$55,2,FALSE))*IF('18.05'!$AK53="是",'18.05'!$BB$4,'18.05'!$BB$3))</f>
        <v>0</v>
      </c>
      <c r="X53" s="4">
        <f>IF(ISNUMBER(SEARCH("营",'18.05'!AF53)),(-$Y53+50*IF('18.05'!$AK53="是",'18.05'!$BB$4,'18.05'!$BB$3)),(VLOOKUP('18.05'!AF53,'18.05'!$AO$4:$AQ$55,2,FALSE))*IF('18.05'!$AK53="是",'18.05'!$BB$4,'18.05'!$BB$3))</f>
        <v>0</v>
      </c>
      <c r="Y53" s="70">
        <v>150</v>
      </c>
      <c r="Z53" s="84">
        <v>45688</v>
      </c>
    </row>
    <row r="54" spans="1:26">
      <c r="A54" s="4">
        <f>IF(ISNUMBER(SEARCH("营",'18.05'!I54)),(-$Y54+50*IF('18.05'!$AK54="是",'18.05'!$BB$4,'18.05'!$BB$3)),(VLOOKUP('18.05'!I54,'18.05'!$AO$4:$AQ$55,2,FALSE))*IF('18.05'!$AK54="是",'18.05'!$BB$4,'18.05'!$BB$3))</f>
        <v>128</v>
      </c>
      <c r="B54" s="4">
        <f>IF(ISNUMBER(SEARCH("营",'18.05'!J54)),(-$Y54+50*IF('18.05'!$AK54="是",'18.05'!$BB$4,'18.05'!$BB$3)),(VLOOKUP('18.05'!J54,'18.05'!$AO$4:$AQ$55,2,FALSE))*IF('18.05'!$AK54="是",'18.05'!$BB$4,'18.05'!$BB$3))</f>
        <v>40</v>
      </c>
      <c r="C54" s="4">
        <f>IF(ISNUMBER(SEARCH("营",'18.05'!K54)),(-$Y54+50*IF('18.05'!$AK54="是",'18.05'!$BB$4,'18.05'!$BB$3)),(VLOOKUP('18.05'!K54,'18.05'!$AO$4:$AQ$55,2,FALSE))*IF('18.05'!$AK54="是",'18.05'!$BB$4,'18.05'!$BB$3))</f>
        <v>128</v>
      </c>
      <c r="D54" s="4">
        <f>IF(ISNUMBER(SEARCH("营",'18.05'!L54)),(-$Y54+50*IF('18.05'!$AK54="是",'18.05'!$BB$4,'18.05'!$BB$3)),(VLOOKUP('18.05'!L54,'18.05'!$AO$4:$AQ$55,2,FALSE))*IF('18.05'!$AK54="是",'18.05'!$BB$4,'18.05'!$BB$3))</f>
        <v>128</v>
      </c>
      <c r="E54" s="4">
        <f>IF(ISNUMBER(SEARCH("营",'18.05'!M54)),(-$Y54+50*IF('18.05'!$AK54="是",'18.05'!$BB$4,'18.05'!$BB$3)),(VLOOKUP('18.05'!M54,'18.05'!$AO$4:$AQ$55,2,FALSE))*IF('18.05'!$AK54="是",'18.05'!$BB$4,'18.05'!$BB$3))</f>
        <v>120</v>
      </c>
      <c r="F54" s="4">
        <f>IF(ISNUMBER(SEARCH("营",'18.05'!N54)),(-$Y54+50*IF('18.05'!$AK54="是",'18.05'!$BB$4,'18.05'!$BB$3)),(VLOOKUP('18.05'!N54,'18.05'!$AO$4:$AQ$55,2,FALSE))*IF('18.05'!$AK54="是",'18.05'!$BB$4,'18.05'!$BB$3))</f>
        <v>136</v>
      </c>
      <c r="G54" s="4">
        <f>IF(ISNUMBER(SEARCH("营",'18.05'!O54)),(-$Y54+50*IF('18.05'!$AK54="是",'18.05'!$BB$4,'18.05'!$BB$3)),(VLOOKUP('18.05'!O54,'18.05'!$AO$4:$AQ$55,2,FALSE))*IF('18.05'!$AK54="是",'18.05'!$BB$4,'18.05'!$BB$3))</f>
        <v>0</v>
      </c>
      <c r="H54" s="4">
        <f>IF(ISNUMBER(SEARCH("营",'18.05'!P54)),(-$Y54+50*IF('18.05'!$AK54="是",'18.05'!$BB$4,'18.05'!$BB$3)),(VLOOKUP('18.05'!P54,'18.05'!$AO$4:$AQ$55,2,FALSE))*IF('18.05'!$AK54="是",'18.05'!$BB$4,'18.05'!$BB$3))</f>
        <v>0</v>
      </c>
      <c r="I54" s="4">
        <f>IF(ISNUMBER(SEARCH("营",'18.05'!Q54)),(-$Y54+50*IF('18.05'!$AK54="是",'18.05'!$BB$4,'18.05'!$BB$3)),(VLOOKUP('18.05'!Q54,'18.05'!$AO$4:$AQ$55,2,FALSE))*IF('18.05'!$AK54="是",'18.05'!$BB$4,'18.05'!$BB$3))</f>
        <v>152</v>
      </c>
      <c r="J54" s="4">
        <f>IF(ISNUMBER(SEARCH("营",'18.05'!R54)),(-$Y54+50*IF('18.05'!$AK54="是",'18.05'!$BB$4,'18.05'!$BB$3)),(VLOOKUP('18.05'!R54,'18.05'!$AO$4:$AQ$55,2,FALSE))*IF('18.05'!$AK54="是",'18.05'!$BB$4,'18.05'!$BB$3))</f>
        <v>152</v>
      </c>
      <c r="K54" s="4">
        <f>IF(ISNUMBER(SEARCH("营",'18.05'!S54)),(-$Y54+50*IF('18.05'!$AK54="是",'18.05'!$BB$4,'18.05'!$BB$3)),(VLOOKUP('18.05'!S54,'18.05'!$AO$4:$AQ$55,2,FALSE))*IF('18.05'!$AK54="是",'18.05'!$BB$4,'18.05'!$BB$3))</f>
        <v>152</v>
      </c>
      <c r="L54" s="4">
        <f>IF(ISNUMBER(SEARCH("营",'18.05'!T54)),(-$Y54+50*IF('18.05'!$AK54="是",'18.05'!$BB$4,'18.05'!$BB$3)),(VLOOKUP('18.05'!T54,'18.05'!$AO$4:$AQ$55,2,FALSE))*IF('18.05'!$AK54="是",'18.05'!$BB$4,'18.05'!$BB$3))</f>
        <v>152</v>
      </c>
      <c r="M54" s="4">
        <f>IF(ISNUMBER(SEARCH("营",'18.05'!U54)),(-$Y54+50*IF('18.05'!$AK54="是",'18.05'!$BB$4,'18.05'!$BB$3)),(VLOOKUP('18.05'!U54,'18.05'!$AO$4:$AQ$55,2,FALSE))*IF('18.05'!$AK54="是",'18.05'!$BB$4,'18.05'!$BB$3))</f>
        <v>152</v>
      </c>
      <c r="N54" s="4">
        <f>IF(ISNUMBER(SEARCH("营",'18.05'!V54)),(-$Y54+50*IF('18.05'!$AK54="是",'18.05'!$BB$4,'18.05'!$BB$3)),(VLOOKUP('18.05'!V54,'18.05'!$AO$4:$AQ$55,2,FALSE))*IF('18.05'!$AK54="是",'18.05'!$BB$4,'18.05'!$BB$3))</f>
        <v>152</v>
      </c>
      <c r="O54" s="4">
        <f>IF(ISNUMBER(SEARCH("营",'18.05'!W54)),(-$Y54+50*IF('18.05'!$AK54="是",'18.05'!$BB$4,'18.05'!$BB$3)),(VLOOKUP('18.05'!W54,'18.05'!$AO$4:$AQ$55,2,FALSE))*IF('18.05'!$AK54="是",'18.05'!$BB$4,'18.05'!$BB$3))</f>
        <v>0</v>
      </c>
      <c r="P54" s="4">
        <f>IF(ISNUMBER(SEARCH("营",'18.05'!X54)),(-$Y54+50*IF('18.05'!$AK54="是",'18.05'!$BB$4,'18.05'!$BB$3)),(VLOOKUP('18.05'!X54,'18.05'!$AO$4:$AQ$55,2,FALSE))*IF('18.05'!$AK54="是",'18.05'!$BB$4,'18.05'!$BB$3))</f>
        <v>0</v>
      </c>
      <c r="Q54" s="4">
        <f>IF(ISNUMBER(SEARCH("营",'18.05'!Y54)),(-$Y54+50*IF('18.05'!$AK54="是",'18.05'!$BB$4,'18.05'!$BB$3)),(VLOOKUP('18.05'!Y54,'18.05'!$AO$4:$AQ$55,2,FALSE))*IF('18.05'!$AK54="是",'18.05'!$BB$4,'18.05'!$BB$3))</f>
        <v>0</v>
      </c>
      <c r="R54" s="4">
        <f>IF(ISNUMBER(SEARCH("营",'18.05'!Z54)),(-$Y54+50*IF('18.05'!$AK54="是",'18.05'!$BB$4,'18.05'!$BB$3)),(VLOOKUP('18.05'!Z54,'18.05'!$AO$4:$AQ$55,2,FALSE))*IF('18.05'!$AK54="是",'18.05'!$BB$4,'18.05'!$BB$3))</f>
        <v>0</v>
      </c>
      <c r="S54" s="4">
        <f>IF(ISNUMBER(SEARCH("营",'18.05'!AA54)),(-$Y54+50*IF('18.05'!$AK54="是",'18.05'!$BB$4,'18.05'!$BB$3)),(VLOOKUP('18.05'!AA54,'18.05'!$AO$4:$AQ$55,2,FALSE))*IF('18.05'!$AK54="是",'18.05'!$BB$4,'18.05'!$BB$3))</f>
        <v>0</v>
      </c>
      <c r="T54" s="4">
        <f>IF(ISNUMBER(SEARCH("营",'18.05'!AB54)),(-$Y54+50*IF('18.05'!$AK54="是",'18.05'!$BB$4,'18.05'!$BB$3)),(VLOOKUP('18.05'!AB54,'18.05'!$AO$4:$AQ$55,2,FALSE))*IF('18.05'!$AK54="是",'18.05'!$BB$4,'18.05'!$BB$3))</f>
        <v>0</v>
      </c>
      <c r="U54" s="4">
        <f>IF(ISNUMBER(SEARCH("营",'18.05'!AC54)),(-$Y54+50*IF('18.05'!$AK54="是",'18.05'!$BB$4,'18.05'!$BB$3)),(VLOOKUP('18.05'!AC54,'18.05'!$AO$4:$AQ$55,2,FALSE))*IF('18.05'!$AK54="是",'18.05'!$BB$4,'18.05'!$BB$3))</f>
        <v>0</v>
      </c>
      <c r="V54" s="4">
        <f>IF(ISNUMBER(SEARCH("营",'18.05'!AD54)),(-$Y54+50*IF('18.05'!$AK54="是",'18.05'!$BB$4,'18.05'!$BB$3)),(VLOOKUP('18.05'!AD54,'18.05'!$AO$4:$AQ$55,2,FALSE))*IF('18.05'!$AK54="是",'18.05'!$BB$4,'18.05'!$BB$3))</f>
        <v>0</v>
      </c>
      <c r="W54" s="4">
        <f>IF(ISNUMBER(SEARCH("营",'18.05'!AE54)),(-$Y54+50*IF('18.05'!$AK54="是",'18.05'!$BB$4,'18.05'!$BB$3)),(VLOOKUP('18.05'!AE54,'18.05'!$AO$4:$AQ$55,2,FALSE))*IF('18.05'!$AK54="是",'18.05'!$BB$4,'18.05'!$BB$3))</f>
        <v>0</v>
      </c>
      <c r="X54" s="4">
        <f>IF(ISNUMBER(SEARCH("营",'18.05'!AF54)),(-$Y54+50*IF('18.05'!$AK54="是",'18.05'!$BB$4,'18.05'!$BB$3)),(VLOOKUP('18.05'!AF54,'18.05'!$AO$4:$AQ$55,2,FALSE))*IF('18.05'!$AK54="是",'18.05'!$BB$4,'18.05'!$BB$3))</f>
        <v>0</v>
      </c>
      <c r="Y54" s="70">
        <v>150</v>
      </c>
      <c r="Z54" s="84">
        <v>45689</v>
      </c>
    </row>
    <row r="55" spans="1:26">
      <c r="A55" s="4">
        <f>IF(ISNUMBER(SEARCH("营",'18.05'!I55)),(-$Y55+50*IF('18.05'!$AK55="是",'18.05'!$BB$4,'18.05'!$BB$3)),(VLOOKUP('18.05'!I55,'18.05'!$AO$4:$AQ$55,2,FALSE))*IF('18.05'!$AK55="是",'18.05'!$BB$4,'18.05'!$BB$3))</f>
        <v>0</v>
      </c>
      <c r="B55" s="4">
        <f>IF(ISNUMBER(SEARCH("营",'18.05'!J55)),(-$Y55+50*IF('18.05'!$AK55="是",'18.05'!$BB$4,'18.05'!$BB$3)),(VLOOKUP('18.05'!J55,'18.05'!$AO$4:$AQ$55,2,FALSE))*IF('18.05'!$AK55="是",'18.05'!$BB$4,'18.05'!$BB$3))</f>
        <v>0</v>
      </c>
      <c r="C55" s="4">
        <f>IF(ISNUMBER(SEARCH("营",'18.05'!K55)),(-$Y55+50*IF('18.05'!$AK55="是",'18.05'!$BB$4,'18.05'!$BB$3)),(VLOOKUP('18.05'!K55,'18.05'!$AO$4:$AQ$55,2,FALSE))*IF('18.05'!$AK55="是",'18.05'!$BB$4,'18.05'!$BB$3))</f>
        <v>0</v>
      </c>
      <c r="D55" s="4">
        <f>IF(ISNUMBER(SEARCH("营",'18.05'!L55)),(-$Y55+50*IF('18.05'!$AK55="是",'18.05'!$BB$4,'18.05'!$BB$3)),(VLOOKUP('18.05'!L55,'18.05'!$AO$4:$AQ$55,2,FALSE))*IF('18.05'!$AK55="是",'18.05'!$BB$4,'18.05'!$BB$3))</f>
        <v>0</v>
      </c>
      <c r="E55" s="4">
        <f>IF(ISNUMBER(SEARCH("营",'18.05'!M55)),(-$Y55+50*IF('18.05'!$AK55="是",'18.05'!$BB$4,'18.05'!$BB$3)),(VLOOKUP('18.05'!M55,'18.05'!$AO$4:$AQ$55,2,FALSE))*IF('18.05'!$AK55="是",'18.05'!$BB$4,'18.05'!$BB$3))</f>
        <v>0</v>
      </c>
      <c r="F55" s="4">
        <f>IF(ISNUMBER(SEARCH("营",'18.05'!N55)),(-$Y55+50*IF('18.05'!$AK55="是",'18.05'!$BB$4,'18.05'!$BB$3)),(VLOOKUP('18.05'!N55,'18.05'!$AO$4:$AQ$55,2,FALSE))*IF('18.05'!$AK55="是",'18.05'!$BB$4,'18.05'!$BB$3))</f>
        <v>0</v>
      </c>
      <c r="G55" s="4">
        <f>IF(ISNUMBER(SEARCH("营",'18.05'!O55)),(-$Y55+50*IF('18.05'!$AK55="是",'18.05'!$BB$4,'18.05'!$BB$3)),(VLOOKUP('18.05'!O55,'18.05'!$AO$4:$AQ$55,2,FALSE))*IF('18.05'!$AK55="是",'18.05'!$BB$4,'18.05'!$BB$3))</f>
        <v>0</v>
      </c>
      <c r="H55" s="4">
        <f>IF(ISNUMBER(SEARCH("营",'18.05'!P55)),(-$Y55+50*IF('18.05'!$AK55="是",'18.05'!$BB$4,'18.05'!$BB$3)),(VLOOKUP('18.05'!P55,'18.05'!$AO$4:$AQ$55,2,FALSE))*IF('18.05'!$AK55="是",'18.05'!$BB$4,'18.05'!$BB$3))</f>
        <v>0</v>
      </c>
      <c r="I55" s="4">
        <f>IF(ISNUMBER(SEARCH("营",'18.05'!Q55)),(-$Y55+50*IF('18.05'!$AK55="是",'18.05'!$BB$4,'18.05'!$BB$3)),(VLOOKUP('18.05'!Q55,'18.05'!$AO$4:$AQ$55,2,FALSE))*IF('18.05'!$AK55="是",'18.05'!$BB$4,'18.05'!$BB$3))</f>
        <v>152</v>
      </c>
      <c r="J55" s="4">
        <f>IF(ISNUMBER(SEARCH("营",'18.05'!R55)),(-$Y55+50*IF('18.05'!$AK55="是",'18.05'!$BB$4,'18.05'!$BB$3)),(VLOOKUP('18.05'!R55,'18.05'!$AO$4:$AQ$55,2,FALSE))*IF('18.05'!$AK55="是",'18.05'!$BB$4,'18.05'!$BB$3))</f>
        <v>152</v>
      </c>
      <c r="K55" s="4">
        <f>IF(ISNUMBER(SEARCH("营",'18.05'!S55)),(-$Y55+50*IF('18.05'!$AK55="是",'18.05'!$BB$4,'18.05'!$BB$3)),(VLOOKUP('18.05'!S55,'18.05'!$AO$4:$AQ$55,2,FALSE))*IF('18.05'!$AK55="是",'18.05'!$BB$4,'18.05'!$BB$3))</f>
        <v>120</v>
      </c>
      <c r="L55" s="4">
        <f>IF(ISNUMBER(SEARCH("营",'18.05'!T55)),(-$Y55+50*IF('18.05'!$AK55="是",'18.05'!$BB$4,'18.05'!$BB$3)),(VLOOKUP('18.05'!T55,'18.05'!$AO$4:$AQ$55,2,FALSE))*IF('18.05'!$AK55="是",'18.05'!$BB$4,'18.05'!$BB$3))</f>
        <v>152</v>
      </c>
      <c r="M55" s="4">
        <f>IF(ISNUMBER(SEARCH("营",'18.05'!U55)),(-$Y55+50*IF('18.05'!$AK55="是",'18.05'!$BB$4,'18.05'!$BB$3)),(VLOOKUP('18.05'!U55,'18.05'!$AO$4:$AQ$55,2,FALSE))*IF('18.05'!$AK55="是",'18.05'!$BB$4,'18.05'!$BB$3))</f>
        <v>152</v>
      </c>
      <c r="N55" s="4">
        <f>IF(ISNUMBER(SEARCH("营",'18.05'!V55)),(-$Y55+50*IF('18.05'!$AK55="是",'18.05'!$BB$4,'18.05'!$BB$3)),(VLOOKUP('18.05'!V55,'18.05'!$AO$4:$AQ$55,2,FALSE))*IF('18.05'!$AK55="是",'18.05'!$BB$4,'18.05'!$BB$3))</f>
        <v>152</v>
      </c>
      <c r="O55" s="4">
        <f>IF(ISNUMBER(SEARCH("营",'18.05'!W55)),(-$Y55+50*IF('18.05'!$AK55="是",'18.05'!$BB$4,'18.05'!$BB$3)),(VLOOKUP('18.05'!W55,'18.05'!$AO$4:$AQ$55,2,FALSE))*IF('18.05'!$AK55="是",'18.05'!$BB$4,'18.05'!$BB$3))</f>
        <v>0</v>
      </c>
      <c r="P55" s="4">
        <f>IF(ISNUMBER(SEARCH("营",'18.05'!X55)),(-$Y55+50*IF('18.05'!$AK55="是",'18.05'!$BB$4,'18.05'!$BB$3)),(VLOOKUP('18.05'!X55,'18.05'!$AO$4:$AQ$55,2,FALSE))*IF('18.05'!$AK55="是",'18.05'!$BB$4,'18.05'!$BB$3))</f>
        <v>0</v>
      </c>
      <c r="Q55" s="4">
        <f>IF(ISNUMBER(SEARCH("营",'18.05'!Y55)),(-$Y55+50*IF('18.05'!$AK55="是",'18.05'!$BB$4,'18.05'!$BB$3)),(VLOOKUP('18.05'!Y55,'18.05'!$AO$4:$AQ$55,2,FALSE))*IF('18.05'!$AK55="是",'18.05'!$BB$4,'18.05'!$BB$3))</f>
        <v>0</v>
      </c>
      <c r="R55" s="4">
        <f>IF(ISNUMBER(SEARCH("营",'18.05'!Z55)),(-$Y55+50*IF('18.05'!$AK55="是",'18.05'!$BB$4,'18.05'!$BB$3)),(VLOOKUP('18.05'!Z55,'18.05'!$AO$4:$AQ$55,2,FALSE))*IF('18.05'!$AK55="是",'18.05'!$BB$4,'18.05'!$BB$3))</f>
        <v>0</v>
      </c>
      <c r="S55" s="4">
        <f>IF(ISNUMBER(SEARCH("营",'18.05'!AA55)),(-$Y55+50*IF('18.05'!$AK55="是",'18.05'!$BB$4,'18.05'!$BB$3)),(VLOOKUP('18.05'!AA55,'18.05'!$AO$4:$AQ$55,2,FALSE))*IF('18.05'!$AK55="是",'18.05'!$BB$4,'18.05'!$BB$3))</f>
        <v>0</v>
      </c>
      <c r="T55" s="4">
        <f>IF(ISNUMBER(SEARCH("营",'18.05'!AB55)),(-$Y55+50*IF('18.05'!$AK55="是",'18.05'!$BB$4,'18.05'!$BB$3)),(VLOOKUP('18.05'!AB55,'18.05'!$AO$4:$AQ$55,2,FALSE))*IF('18.05'!$AK55="是",'18.05'!$BB$4,'18.05'!$BB$3))</f>
        <v>0</v>
      </c>
      <c r="U55" s="4">
        <f>IF(ISNUMBER(SEARCH("营",'18.05'!AC55)),(-$Y55+50*IF('18.05'!$AK55="是",'18.05'!$BB$4,'18.05'!$BB$3)),(VLOOKUP('18.05'!AC55,'18.05'!$AO$4:$AQ$55,2,FALSE))*IF('18.05'!$AK55="是",'18.05'!$BB$4,'18.05'!$BB$3))</f>
        <v>0</v>
      </c>
      <c r="V55" s="4">
        <f>IF(ISNUMBER(SEARCH("营",'18.05'!AD55)),(-$Y55+50*IF('18.05'!$AK55="是",'18.05'!$BB$4,'18.05'!$BB$3)),(VLOOKUP('18.05'!AD55,'18.05'!$AO$4:$AQ$55,2,FALSE))*IF('18.05'!$AK55="是",'18.05'!$BB$4,'18.05'!$BB$3))</f>
        <v>0</v>
      </c>
      <c r="W55" s="4">
        <f>IF(ISNUMBER(SEARCH("营",'18.05'!AE55)),(-$Y55+50*IF('18.05'!$AK55="是",'18.05'!$BB$4,'18.05'!$BB$3)),(VLOOKUP('18.05'!AE55,'18.05'!$AO$4:$AQ$55,2,FALSE))*IF('18.05'!$AK55="是",'18.05'!$BB$4,'18.05'!$BB$3))</f>
        <v>0</v>
      </c>
      <c r="X55" s="4">
        <f>IF(ISNUMBER(SEARCH("营",'18.05'!AF55)),(-$Y55+50*IF('18.05'!$AK55="是",'18.05'!$BB$4,'18.05'!$BB$3)),(VLOOKUP('18.05'!AF55,'18.05'!$AO$4:$AQ$55,2,FALSE))*IF('18.05'!$AK55="是",'18.05'!$BB$4,'18.05'!$BB$3))</f>
        <v>0</v>
      </c>
      <c r="Y55" s="70">
        <v>150</v>
      </c>
      <c r="Z55" s="84">
        <v>45690</v>
      </c>
    </row>
    <row r="56" spans="1:26">
      <c r="A56" s="4">
        <f>IF(ISNUMBER(SEARCH("营",'18.05'!I56)),(-$Y56+50*IF('18.05'!$AK56="是",'18.05'!$BB$4,'18.05'!$BB$3)),(VLOOKUP('18.05'!I56,'18.05'!$AO$4:$AQ$55,2,FALSE))*IF('18.05'!$AK56="是",'18.05'!$BB$4,'18.05'!$BB$3))</f>
        <v>136</v>
      </c>
      <c r="B56" s="4">
        <f>IF(ISNUMBER(SEARCH("营",'18.05'!J56)),(-$Y56+50*IF('18.05'!$AK56="是",'18.05'!$BB$4,'18.05'!$BB$3)),(VLOOKUP('18.05'!J56,'18.05'!$AO$4:$AQ$55,2,FALSE))*IF('18.05'!$AK56="是",'18.05'!$BB$4,'18.05'!$BB$3))</f>
        <v>136</v>
      </c>
      <c r="C56" s="4">
        <f>IF(ISNUMBER(SEARCH("营",'18.05'!K56)),(-$Y56+50*IF('18.05'!$AK56="是",'18.05'!$BB$4,'18.05'!$BB$3)),(VLOOKUP('18.05'!K56,'18.05'!$AO$4:$AQ$55,2,FALSE))*IF('18.05'!$AK56="是",'18.05'!$BB$4,'18.05'!$BB$3))</f>
        <v>136</v>
      </c>
      <c r="D56" s="4">
        <f>IF(ISNUMBER(SEARCH("营",'18.05'!L56)),(-$Y56+50*IF('18.05'!$AK56="是",'18.05'!$BB$4,'18.05'!$BB$3)),(VLOOKUP('18.05'!L56,'18.05'!$AO$4:$AQ$55,2,FALSE))*IF('18.05'!$AK56="是",'18.05'!$BB$4,'18.05'!$BB$3))</f>
        <v>136</v>
      </c>
      <c r="E56" s="4">
        <f>IF(ISNUMBER(SEARCH("营",'18.05'!M56)),(-$Y56+50*IF('18.05'!$AK56="是",'18.05'!$BB$4,'18.05'!$BB$3)),(VLOOKUP('18.05'!M56,'18.05'!$AO$4:$AQ$55,2,FALSE))*IF('18.05'!$AK56="是",'18.05'!$BB$4,'18.05'!$BB$3))</f>
        <v>136</v>
      </c>
      <c r="F56" s="4">
        <f>IF(ISNUMBER(SEARCH("营",'18.05'!N56)),(-$Y56+50*IF('18.05'!$AK56="是",'18.05'!$BB$4,'18.05'!$BB$3)),(VLOOKUP('18.05'!N56,'18.05'!$AO$4:$AQ$55,2,FALSE))*IF('18.05'!$AK56="是",'18.05'!$BB$4,'18.05'!$BB$3))</f>
        <v>136</v>
      </c>
      <c r="G56" s="4">
        <f>IF(ISNUMBER(SEARCH("营",'18.05'!O56)),(-$Y56+50*IF('18.05'!$AK56="是",'18.05'!$BB$4,'18.05'!$BB$3)),(VLOOKUP('18.05'!O56,'18.05'!$AO$4:$AQ$55,2,FALSE))*IF('18.05'!$AK56="是",'18.05'!$BB$4,'18.05'!$BB$3))</f>
        <v>0</v>
      </c>
      <c r="H56" s="4">
        <f>IF(ISNUMBER(SEARCH("营",'18.05'!P56)),(-$Y56+50*IF('18.05'!$AK56="是",'18.05'!$BB$4,'18.05'!$BB$3)),(VLOOKUP('18.05'!P56,'18.05'!$AO$4:$AQ$55,2,FALSE))*IF('18.05'!$AK56="是",'18.05'!$BB$4,'18.05'!$BB$3))</f>
        <v>0</v>
      </c>
      <c r="I56" s="4">
        <f>IF(ISNUMBER(SEARCH("营",'18.05'!Q56)),(-$Y56+50*IF('18.05'!$AK56="是",'18.05'!$BB$4,'18.05'!$BB$3)),(VLOOKUP('18.05'!Q56,'18.05'!$AO$4:$AQ$55,2,FALSE))*IF('18.05'!$AK56="是",'18.05'!$BB$4,'18.05'!$BB$3))</f>
        <v>152</v>
      </c>
      <c r="J56" s="4">
        <f>IF(ISNUMBER(SEARCH("营",'18.05'!R56)),(-$Y56+50*IF('18.05'!$AK56="是",'18.05'!$BB$4,'18.05'!$BB$3)),(VLOOKUP('18.05'!R56,'18.05'!$AO$4:$AQ$55,2,FALSE))*IF('18.05'!$AK56="是",'18.05'!$BB$4,'18.05'!$BB$3))</f>
        <v>152</v>
      </c>
      <c r="K56" s="4">
        <f>IF(ISNUMBER(SEARCH("营",'18.05'!S56)),(-$Y56+50*IF('18.05'!$AK56="是",'18.05'!$BB$4,'18.05'!$BB$3)),(VLOOKUP('18.05'!S56,'18.05'!$AO$4:$AQ$55,2,FALSE))*IF('18.05'!$AK56="是",'18.05'!$BB$4,'18.05'!$BB$3))</f>
        <v>200</v>
      </c>
      <c r="L56" s="4">
        <f>IF(ISNUMBER(SEARCH("营",'18.05'!T56)),(-$Y56+50*IF('18.05'!$AK56="是",'18.05'!$BB$4,'18.05'!$BB$3)),(VLOOKUP('18.05'!T56,'18.05'!$AO$4:$AQ$55,2,FALSE))*IF('18.05'!$AK56="是",'18.05'!$BB$4,'18.05'!$BB$3))</f>
        <v>152</v>
      </c>
      <c r="M56" s="4">
        <f>IF(ISNUMBER(SEARCH("营",'18.05'!U56)),(-$Y56+50*IF('18.05'!$AK56="是",'18.05'!$BB$4,'18.05'!$BB$3)),(VLOOKUP('18.05'!U56,'18.05'!$AO$4:$AQ$55,2,FALSE))*IF('18.05'!$AK56="是",'18.05'!$BB$4,'18.05'!$BB$3))</f>
        <v>152</v>
      </c>
      <c r="N56" s="4">
        <f>IF(ISNUMBER(SEARCH("营",'18.05'!V56)),(-$Y56+50*IF('18.05'!$AK56="是",'18.05'!$BB$4,'18.05'!$BB$3)),(VLOOKUP('18.05'!V56,'18.05'!$AO$4:$AQ$55,2,FALSE))*IF('18.05'!$AK56="是",'18.05'!$BB$4,'18.05'!$BB$3))</f>
        <v>152</v>
      </c>
      <c r="O56" s="4">
        <f>IF(ISNUMBER(SEARCH("营",'18.05'!W56)),(-$Y56+50*IF('18.05'!$AK56="是",'18.05'!$BB$4,'18.05'!$BB$3)),(VLOOKUP('18.05'!W56,'18.05'!$AO$4:$AQ$55,2,FALSE))*IF('18.05'!$AK56="是",'18.05'!$BB$4,'18.05'!$BB$3))</f>
        <v>0</v>
      </c>
      <c r="P56" s="4">
        <f>IF(ISNUMBER(SEARCH("营",'18.05'!X56)),(-$Y56+50*IF('18.05'!$AK56="是",'18.05'!$BB$4,'18.05'!$BB$3)),(VLOOKUP('18.05'!X56,'18.05'!$AO$4:$AQ$55,2,FALSE))*IF('18.05'!$AK56="是",'18.05'!$BB$4,'18.05'!$BB$3))</f>
        <v>0</v>
      </c>
      <c r="Q56" s="4">
        <f>IF(ISNUMBER(SEARCH("营",'18.05'!Y56)),(-$Y56+50*IF('18.05'!$AK56="是",'18.05'!$BB$4,'18.05'!$BB$3)),(VLOOKUP('18.05'!Y56,'18.05'!$AO$4:$AQ$55,2,FALSE))*IF('18.05'!$AK56="是",'18.05'!$BB$4,'18.05'!$BB$3))</f>
        <v>0</v>
      </c>
      <c r="R56" s="4">
        <f>IF(ISNUMBER(SEARCH("营",'18.05'!Z56)),(-$Y56+50*IF('18.05'!$AK56="是",'18.05'!$BB$4,'18.05'!$BB$3)),(VLOOKUP('18.05'!Z56,'18.05'!$AO$4:$AQ$55,2,FALSE))*IF('18.05'!$AK56="是",'18.05'!$BB$4,'18.05'!$BB$3))</f>
        <v>0</v>
      </c>
      <c r="S56" s="4">
        <f>IF(ISNUMBER(SEARCH("营",'18.05'!AA56)),(-$Y56+50*IF('18.05'!$AK56="是",'18.05'!$BB$4,'18.05'!$BB$3)),(VLOOKUP('18.05'!AA56,'18.05'!$AO$4:$AQ$55,2,FALSE))*IF('18.05'!$AK56="是",'18.05'!$BB$4,'18.05'!$BB$3))</f>
        <v>0</v>
      </c>
      <c r="T56" s="4">
        <f>IF(ISNUMBER(SEARCH("营",'18.05'!AB56)),(-$Y56+50*IF('18.05'!$AK56="是",'18.05'!$BB$4,'18.05'!$BB$3)),(VLOOKUP('18.05'!AB56,'18.05'!$AO$4:$AQ$55,2,FALSE))*IF('18.05'!$AK56="是",'18.05'!$BB$4,'18.05'!$BB$3))</f>
        <v>0</v>
      </c>
      <c r="U56" s="4">
        <f>IF(ISNUMBER(SEARCH("营",'18.05'!AC56)),(-$Y56+50*IF('18.05'!$AK56="是",'18.05'!$BB$4,'18.05'!$BB$3)),(VLOOKUP('18.05'!AC56,'18.05'!$AO$4:$AQ$55,2,FALSE))*IF('18.05'!$AK56="是",'18.05'!$BB$4,'18.05'!$BB$3))</f>
        <v>0</v>
      </c>
      <c r="V56" s="4">
        <f>IF(ISNUMBER(SEARCH("营",'18.05'!AD56)),(-$Y56+50*IF('18.05'!$AK56="是",'18.05'!$BB$4,'18.05'!$BB$3)),(VLOOKUP('18.05'!AD56,'18.05'!$AO$4:$AQ$55,2,FALSE))*IF('18.05'!$AK56="是",'18.05'!$BB$4,'18.05'!$BB$3))</f>
        <v>0</v>
      </c>
      <c r="W56" s="4">
        <f>IF(ISNUMBER(SEARCH("营",'18.05'!AE56)),(-$Y56+50*IF('18.05'!$AK56="是",'18.05'!$BB$4,'18.05'!$BB$3)),(VLOOKUP('18.05'!AE56,'18.05'!$AO$4:$AQ$55,2,FALSE))*IF('18.05'!$AK56="是",'18.05'!$BB$4,'18.05'!$BB$3))</f>
        <v>0</v>
      </c>
      <c r="X56" s="4">
        <f>IF(ISNUMBER(SEARCH("营",'18.05'!AF56)),(-$Y56+50*IF('18.05'!$AK56="是",'18.05'!$BB$4,'18.05'!$BB$3)),(VLOOKUP('18.05'!AF56,'18.05'!$AO$4:$AQ$55,2,FALSE))*IF('18.05'!$AK56="是",'18.05'!$BB$4,'18.05'!$BB$3))</f>
        <v>0</v>
      </c>
      <c r="Y56" s="70">
        <v>150</v>
      </c>
      <c r="Z56" s="84">
        <v>45691</v>
      </c>
    </row>
    <row r="57" spans="1:26">
      <c r="A57" s="4">
        <f>IF(ISNUMBER(SEARCH("营",'18.05'!I57)),(-$Y57+50*IF('18.05'!$AK57="是",'18.05'!$BB$4,'18.05'!$BB$3)),(VLOOKUP('18.05'!I57,'18.05'!$AO$4:$AQ$55,2,FALSE))*IF('18.05'!$AK57="是",'18.05'!$BB$4,'18.05'!$BB$3))</f>
        <v>136</v>
      </c>
      <c r="B57" s="4">
        <f>IF(ISNUMBER(SEARCH("营",'18.05'!J57)),(-$Y57+50*IF('18.05'!$AK57="是",'18.05'!$BB$4,'18.05'!$BB$3)),(VLOOKUP('18.05'!J57,'18.05'!$AO$4:$AQ$55,2,FALSE))*IF('18.05'!$AK57="是",'18.05'!$BB$4,'18.05'!$BB$3))</f>
        <v>136</v>
      </c>
      <c r="C57" s="4">
        <f>IF(ISNUMBER(SEARCH("营",'18.05'!K57)),(-$Y57+50*IF('18.05'!$AK57="是",'18.05'!$BB$4,'18.05'!$BB$3)),(VLOOKUP('18.05'!K57,'18.05'!$AO$4:$AQ$55,2,FALSE))*IF('18.05'!$AK57="是",'18.05'!$BB$4,'18.05'!$BB$3))</f>
        <v>136</v>
      </c>
      <c r="D57" s="4">
        <f>IF(ISNUMBER(SEARCH("营",'18.05'!L57)),(-$Y57+50*IF('18.05'!$AK57="是",'18.05'!$BB$4,'18.05'!$BB$3)),(VLOOKUP('18.05'!L57,'18.05'!$AO$4:$AQ$55,2,FALSE))*IF('18.05'!$AK57="是",'18.05'!$BB$4,'18.05'!$BB$3))</f>
        <v>136</v>
      </c>
      <c r="E57" s="4">
        <f>IF(ISNUMBER(SEARCH("营",'18.05'!M57)),(-$Y57+50*IF('18.05'!$AK57="是",'18.05'!$BB$4,'18.05'!$BB$3)),(VLOOKUP('18.05'!M57,'18.05'!$AO$4:$AQ$55,2,FALSE))*IF('18.05'!$AK57="是",'18.05'!$BB$4,'18.05'!$BB$3))</f>
        <v>40</v>
      </c>
      <c r="F57" s="4">
        <f>IF(ISNUMBER(SEARCH("营",'18.05'!N57)),(-$Y57+50*IF('18.05'!$AK57="是",'18.05'!$BB$4,'18.05'!$BB$3)),(VLOOKUP('18.05'!N57,'18.05'!$AO$4:$AQ$55,2,FALSE))*IF('18.05'!$AK57="是",'18.05'!$BB$4,'18.05'!$BB$3))</f>
        <v>136</v>
      </c>
      <c r="G57" s="4">
        <f>IF(ISNUMBER(SEARCH("营",'18.05'!O57)),(-$Y57+50*IF('18.05'!$AK57="是",'18.05'!$BB$4,'18.05'!$BB$3)),(VLOOKUP('18.05'!O57,'18.05'!$AO$4:$AQ$55,2,FALSE))*IF('18.05'!$AK57="是",'18.05'!$BB$4,'18.05'!$BB$3))</f>
        <v>0</v>
      </c>
      <c r="H57" s="4">
        <f>IF(ISNUMBER(SEARCH("营",'18.05'!P57)),(-$Y57+50*IF('18.05'!$AK57="是",'18.05'!$BB$4,'18.05'!$BB$3)),(VLOOKUP('18.05'!P57,'18.05'!$AO$4:$AQ$55,2,FALSE))*IF('18.05'!$AK57="是",'18.05'!$BB$4,'18.05'!$BB$3))</f>
        <v>0</v>
      </c>
      <c r="I57" s="4">
        <f>IF(ISNUMBER(SEARCH("营",'18.05'!Q57)),(-$Y57+50*IF('18.05'!$AK57="是",'18.05'!$BB$4,'18.05'!$BB$3)),(VLOOKUP('18.05'!Q57,'18.05'!$AO$4:$AQ$55,2,FALSE))*IF('18.05'!$AK57="是",'18.05'!$BB$4,'18.05'!$BB$3))</f>
        <v>152</v>
      </c>
      <c r="J57" s="4">
        <f>IF(ISNUMBER(SEARCH("营",'18.05'!R57)),(-$Y57+50*IF('18.05'!$AK57="是",'18.05'!$BB$4,'18.05'!$BB$3)),(VLOOKUP('18.05'!R57,'18.05'!$AO$4:$AQ$55,2,FALSE))*IF('18.05'!$AK57="是",'18.05'!$BB$4,'18.05'!$BB$3))</f>
        <v>152</v>
      </c>
      <c r="K57" s="4">
        <f>IF(ISNUMBER(SEARCH("营",'18.05'!S57)),(-$Y57+50*IF('18.05'!$AK57="是",'18.05'!$BB$4,'18.05'!$BB$3)),(VLOOKUP('18.05'!S57,'18.05'!$AO$4:$AQ$55,2,FALSE))*IF('18.05'!$AK57="是",'18.05'!$BB$4,'18.05'!$BB$3))</f>
        <v>152</v>
      </c>
      <c r="L57" s="4">
        <f>IF(ISNUMBER(SEARCH("营",'18.05'!T57)),(-$Y57+50*IF('18.05'!$AK57="是",'18.05'!$BB$4,'18.05'!$BB$3)),(VLOOKUP('18.05'!T57,'18.05'!$AO$4:$AQ$55,2,FALSE))*IF('18.05'!$AK57="是",'18.05'!$BB$4,'18.05'!$BB$3))</f>
        <v>152</v>
      </c>
      <c r="M57" s="4">
        <f>IF(ISNUMBER(SEARCH("营",'18.05'!U57)),(-$Y57+50*IF('18.05'!$AK57="是",'18.05'!$BB$4,'18.05'!$BB$3)),(VLOOKUP('18.05'!U57,'18.05'!$AO$4:$AQ$55,2,FALSE))*IF('18.05'!$AK57="是",'18.05'!$BB$4,'18.05'!$BB$3))</f>
        <v>152</v>
      </c>
      <c r="N57" s="4">
        <f>IF(ISNUMBER(SEARCH("营",'18.05'!V57)),(-$Y57+50*IF('18.05'!$AK57="是",'18.05'!$BB$4,'18.05'!$BB$3)),(VLOOKUP('18.05'!V57,'18.05'!$AO$4:$AQ$55,2,FALSE))*IF('18.05'!$AK57="是",'18.05'!$BB$4,'18.05'!$BB$3))</f>
        <v>152</v>
      </c>
      <c r="O57" s="4">
        <f>IF(ISNUMBER(SEARCH("营",'18.05'!W57)),(-$Y57+50*IF('18.05'!$AK57="是",'18.05'!$BB$4,'18.05'!$BB$3)),(VLOOKUP('18.05'!W57,'18.05'!$AO$4:$AQ$55,2,FALSE))*IF('18.05'!$AK57="是",'18.05'!$BB$4,'18.05'!$BB$3))</f>
        <v>0</v>
      </c>
      <c r="P57" s="4">
        <f>IF(ISNUMBER(SEARCH("营",'18.05'!X57)),(-$Y57+50*IF('18.05'!$AK57="是",'18.05'!$BB$4,'18.05'!$BB$3)),(VLOOKUP('18.05'!X57,'18.05'!$AO$4:$AQ$55,2,FALSE))*IF('18.05'!$AK57="是",'18.05'!$BB$4,'18.05'!$BB$3))</f>
        <v>0</v>
      </c>
      <c r="Q57" s="4">
        <f>IF(ISNUMBER(SEARCH("营",'18.05'!Y57)),(-$Y57+50*IF('18.05'!$AK57="是",'18.05'!$BB$4,'18.05'!$BB$3)),(VLOOKUP('18.05'!Y57,'18.05'!$AO$4:$AQ$55,2,FALSE))*IF('18.05'!$AK57="是",'18.05'!$BB$4,'18.05'!$BB$3))</f>
        <v>0</v>
      </c>
      <c r="R57" s="4">
        <f>IF(ISNUMBER(SEARCH("营",'18.05'!Z57)),(-$Y57+50*IF('18.05'!$AK57="是",'18.05'!$BB$4,'18.05'!$BB$3)),(VLOOKUP('18.05'!Z57,'18.05'!$AO$4:$AQ$55,2,FALSE))*IF('18.05'!$AK57="是",'18.05'!$BB$4,'18.05'!$BB$3))</f>
        <v>0</v>
      </c>
      <c r="S57" s="4">
        <f>IF(ISNUMBER(SEARCH("营",'18.05'!AA57)),(-$Y57+50*IF('18.05'!$AK57="是",'18.05'!$BB$4,'18.05'!$BB$3)),(VLOOKUP('18.05'!AA57,'18.05'!$AO$4:$AQ$55,2,FALSE))*IF('18.05'!$AK57="是",'18.05'!$BB$4,'18.05'!$BB$3))</f>
        <v>0</v>
      </c>
      <c r="T57" s="4">
        <f>IF(ISNUMBER(SEARCH("营",'18.05'!AB57)),(-$Y57+50*IF('18.05'!$AK57="是",'18.05'!$BB$4,'18.05'!$BB$3)),(VLOOKUP('18.05'!AB57,'18.05'!$AO$4:$AQ$55,2,FALSE))*IF('18.05'!$AK57="是",'18.05'!$BB$4,'18.05'!$BB$3))</f>
        <v>0</v>
      </c>
      <c r="U57" s="4">
        <f>IF(ISNUMBER(SEARCH("营",'18.05'!AC57)),(-$Y57+50*IF('18.05'!$AK57="是",'18.05'!$BB$4,'18.05'!$BB$3)),(VLOOKUP('18.05'!AC57,'18.05'!$AO$4:$AQ$55,2,FALSE))*IF('18.05'!$AK57="是",'18.05'!$BB$4,'18.05'!$BB$3))</f>
        <v>0</v>
      </c>
      <c r="V57" s="4">
        <f>IF(ISNUMBER(SEARCH("营",'18.05'!AD57)),(-$Y57+50*IF('18.05'!$AK57="是",'18.05'!$BB$4,'18.05'!$BB$3)),(VLOOKUP('18.05'!AD57,'18.05'!$AO$4:$AQ$55,2,FALSE))*IF('18.05'!$AK57="是",'18.05'!$BB$4,'18.05'!$BB$3))</f>
        <v>0</v>
      </c>
      <c r="W57" s="4">
        <f>IF(ISNUMBER(SEARCH("营",'18.05'!AE57)),(-$Y57+50*IF('18.05'!$AK57="是",'18.05'!$BB$4,'18.05'!$BB$3)),(VLOOKUP('18.05'!AE57,'18.05'!$AO$4:$AQ$55,2,FALSE))*IF('18.05'!$AK57="是",'18.05'!$BB$4,'18.05'!$BB$3))</f>
        <v>0</v>
      </c>
      <c r="X57" s="4">
        <f>IF(ISNUMBER(SEARCH("营",'18.05'!AF57)),(-$Y57+50*IF('18.05'!$AK57="是",'18.05'!$BB$4,'18.05'!$BB$3)),(VLOOKUP('18.05'!AF57,'18.05'!$AO$4:$AQ$55,2,FALSE))*IF('18.05'!$AK57="是",'18.05'!$BB$4,'18.05'!$BB$3))</f>
        <v>0</v>
      </c>
      <c r="Y57" s="70">
        <v>150</v>
      </c>
      <c r="Z57" s="84">
        <v>45692</v>
      </c>
    </row>
    <row r="58" spans="1:26">
      <c r="A58" s="4">
        <f>IF(ISNUMBER(SEARCH("营",'18.05'!I58)),(-$Y58+50*IF('18.05'!$AK58="是",'18.05'!$BB$4,'18.05'!$BB$3)),(VLOOKUP('18.05'!I58,'18.05'!$AO$4:$AQ$55,2,FALSE))*IF('18.05'!$AK58="是",'18.05'!$BB$4,'18.05'!$BB$3))</f>
        <v>136</v>
      </c>
      <c r="B58" s="4">
        <f>IF(ISNUMBER(SEARCH("营",'18.05'!J58)),(-$Y58+50*IF('18.05'!$AK58="是",'18.05'!$BB$4,'18.05'!$BB$3)),(VLOOKUP('18.05'!J58,'18.05'!$AO$4:$AQ$55,2,FALSE))*IF('18.05'!$AK58="是",'18.05'!$BB$4,'18.05'!$BB$3))</f>
        <v>136</v>
      </c>
      <c r="C58" s="4">
        <f>IF(ISNUMBER(SEARCH("营",'18.05'!K58)),(-$Y58+50*IF('18.05'!$AK58="是",'18.05'!$BB$4,'18.05'!$BB$3)),(VLOOKUP('18.05'!K58,'18.05'!$AO$4:$AQ$55,2,FALSE))*IF('18.05'!$AK58="是",'18.05'!$BB$4,'18.05'!$BB$3))</f>
        <v>136</v>
      </c>
      <c r="D58" s="4">
        <f>IF(ISNUMBER(SEARCH("营",'18.05'!L58)),(-$Y58+50*IF('18.05'!$AK58="是",'18.05'!$BB$4,'18.05'!$BB$3)),(VLOOKUP('18.05'!L58,'18.05'!$AO$4:$AQ$55,2,FALSE))*IF('18.05'!$AK58="是",'18.05'!$BB$4,'18.05'!$BB$3))</f>
        <v>136</v>
      </c>
      <c r="E58" s="4">
        <f>IF(ISNUMBER(SEARCH("营",'18.05'!M58)),(-$Y58+50*IF('18.05'!$AK58="是",'18.05'!$BB$4,'18.05'!$BB$3)),(VLOOKUP('18.05'!M58,'18.05'!$AO$4:$AQ$55,2,FALSE))*IF('18.05'!$AK58="是",'18.05'!$BB$4,'18.05'!$BB$3))</f>
        <v>136</v>
      </c>
      <c r="F58" s="4">
        <f>IF(ISNUMBER(SEARCH("营",'18.05'!N58)),(-$Y58+50*IF('18.05'!$AK58="是",'18.05'!$BB$4,'18.05'!$BB$3)),(VLOOKUP('18.05'!N58,'18.05'!$AO$4:$AQ$55,2,FALSE))*IF('18.05'!$AK58="是",'18.05'!$BB$4,'18.05'!$BB$3))</f>
        <v>136</v>
      </c>
      <c r="G58" s="4">
        <f>IF(ISNUMBER(SEARCH("营",'18.05'!O58)),(-$Y58+50*IF('18.05'!$AK58="是",'18.05'!$BB$4,'18.05'!$BB$3)),(VLOOKUP('18.05'!O58,'18.05'!$AO$4:$AQ$55,2,FALSE))*IF('18.05'!$AK58="是",'18.05'!$BB$4,'18.05'!$BB$3))</f>
        <v>0</v>
      </c>
      <c r="H58" s="4">
        <f>IF(ISNUMBER(SEARCH("营",'18.05'!P58)),(-$Y58+50*IF('18.05'!$AK58="是",'18.05'!$BB$4,'18.05'!$BB$3)),(VLOOKUP('18.05'!P58,'18.05'!$AO$4:$AQ$55,2,FALSE))*IF('18.05'!$AK58="是",'18.05'!$BB$4,'18.05'!$BB$3))</f>
        <v>0</v>
      </c>
      <c r="I58" s="4">
        <f>IF(ISNUMBER(SEARCH("营",'18.05'!Q58)),(-$Y58+50*IF('18.05'!$AK58="是",'18.05'!$BB$4,'18.05'!$BB$3)),(VLOOKUP('18.05'!Q58,'18.05'!$AO$4:$AQ$55,2,FALSE))*IF('18.05'!$AK58="是",'18.05'!$BB$4,'18.05'!$BB$3))</f>
        <v>152</v>
      </c>
      <c r="J58" s="4">
        <f>IF(ISNUMBER(SEARCH("营",'18.05'!R58)),(-$Y58+50*IF('18.05'!$AK58="是",'18.05'!$BB$4,'18.05'!$BB$3)),(VLOOKUP('18.05'!R58,'18.05'!$AO$4:$AQ$55,2,FALSE))*IF('18.05'!$AK58="是",'18.05'!$BB$4,'18.05'!$BB$3))</f>
        <v>152</v>
      </c>
      <c r="K58" s="4">
        <f>IF(ISNUMBER(SEARCH("营",'18.05'!S58)),(-$Y58+50*IF('18.05'!$AK58="是",'18.05'!$BB$4,'18.05'!$BB$3)),(VLOOKUP('18.05'!S58,'18.05'!$AO$4:$AQ$55,2,FALSE))*IF('18.05'!$AK58="是",'18.05'!$BB$4,'18.05'!$BB$3))</f>
        <v>40</v>
      </c>
      <c r="L58" s="4">
        <f>IF(ISNUMBER(SEARCH("营",'18.05'!T58)),(-$Y58+50*IF('18.05'!$AK58="是",'18.05'!$BB$4,'18.05'!$BB$3)),(VLOOKUP('18.05'!T58,'18.05'!$AO$4:$AQ$55,2,FALSE))*IF('18.05'!$AK58="是",'18.05'!$BB$4,'18.05'!$BB$3))</f>
        <v>152</v>
      </c>
      <c r="M58" s="4">
        <f>IF(ISNUMBER(SEARCH("营",'18.05'!U58)),(-$Y58+50*IF('18.05'!$AK58="是",'18.05'!$BB$4,'18.05'!$BB$3)),(VLOOKUP('18.05'!U58,'18.05'!$AO$4:$AQ$55,2,FALSE))*IF('18.05'!$AK58="是",'18.05'!$BB$4,'18.05'!$BB$3))</f>
        <v>152</v>
      </c>
      <c r="N58" s="4">
        <f>IF(ISNUMBER(SEARCH("营",'18.05'!V58)),(-$Y58+50*IF('18.05'!$AK58="是",'18.05'!$BB$4,'18.05'!$BB$3)),(VLOOKUP('18.05'!V58,'18.05'!$AO$4:$AQ$55,2,FALSE))*IF('18.05'!$AK58="是",'18.05'!$BB$4,'18.05'!$BB$3))</f>
        <v>152</v>
      </c>
      <c r="O58" s="4">
        <f>IF(ISNUMBER(SEARCH("营",'18.05'!W58)),(-$Y58+50*IF('18.05'!$AK58="是",'18.05'!$BB$4,'18.05'!$BB$3)),(VLOOKUP('18.05'!W58,'18.05'!$AO$4:$AQ$55,2,FALSE))*IF('18.05'!$AK58="是",'18.05'!$BB$4,'18.05'!$BB$3))</f>
        <v>0</v>
      </c>
      <c r="P58" s="4">
        <f>IF(ISNUMBER(SEARCH("营",'18.05'!X58)),(-$Y58+50*IF('18.05'!$AK58="是",'18.05'!$BB$4,'18.05'!$BB$3)),(VLOOKUP('18.05'!X58,'18.05'!$AO$4:$AQ$55,2,FALSE))*IF('18.05'!$AK58="是",'18.05'!$BB$4,'18.05'!$BB$3))</f>
        <v>0</v>
      </c>
      <c r="Q58" s="4">
        <f>IF(ISNUMBER(SEARCH("营",'18.05'!Y58)),(-$Y58+50*IF('18.05'!$AK58="是",'18.05'!$BB$4,'18.05'!$BB$3)),(VLOOKUP('18.05'!Y58,'18.05'!$AO$4:$AQ$55,2,FALSE))*IF('18.05'!$AK58="是",'18.05'!$BB$4,'18.05'!$BB$3))</f>
        <v>0</v>
      </c>
      <c r="R58" s="4">
        <f>IF(ISNUMBER(SEARCH("营",'18.05'!Z58)),(-$Y58+50*IF('18.05'!$AK58="是",'18.05'!$BB$4,'18.05'!$BB$3)),(VLOOKUP('18.05'!Z58,'18.05'!$AO$4:$AQ$55,2,FALSE))*IF('18.05'!$AK58="是",'18.05'!$BB$4,'18.05'!$BB$3))</f>
        <v>0</v>
      </c>
      <c r="S58" s="4">
        <f>IF(ISNUMBER(SEARCH("营",'18.05'!AA58)),(-$Y58+50*IF('18.05'!$AK58="是",'18.05'!$BB$4,'18.05'!$BB$3)),(VLOOKUP('18.05'!AA58,'18.05'!$AO$4:$AQ$55,2,FALSE))*IF('18.05'!$AK58="是",'18.05'!$BB$4,'18.05'!$BB$3))</f>
        <v>0</v>
      </c>
      <c r="T58" s="4">
        <f>IF(ISNUMBER(SEARCH("营",'18.05'!AB58)),(-$Y58+50*IF('18.05'!$AK58="是",'18.05'!$BB$4,'18.05'!$BB$3)),(VLOOKUP('18.05'!AB58,'18.05'!$AO$4:$AQ$55,2,FALSE))*IF('18.05'!$AK58="是",'18.05'!$BB$4,'18.05'!$BB$3))</f>
        <v>0</v>
      </c>
      <c r="U58" s="4">
        <f>IF(ISNUMBER(SEARCH("营",'18.05'!AC58)),(-$Y58+50*IF('18.05'!$AK58="是",'18.05'!$BB$4,'18.05'!$BB$3)),(VLOOKUP('18.05'!AC58,'18.05'!$AO$4:$AQ$55,2,FALSE))*IF('18.05'!$AK58="是",'18.05'!$BB$4,'18.05'!$BB$3))</f>
        <v>0</v>
      </c>
      <c r="V58" s="4">
        <f>IF(ISNUMBER(SEARCH("营",'18.05'!AD58)),(-$Y58+50*IF('18.05'!$AK58="是",'18.05'!$BB$4,'18.05'!$BB$3)),(VLOOKUP('18.05'!AD58,'18.05'!$AO$4:$AQ$55,2,FALSE))*IF('18.05'!$AK58="是",'18.05'!$BB$4,'18.05'!$BB$3))</f>
        <v>0</v>
      </c>
      <c r="W58" s="4">
        <f>IF(ISNUMBER(SEARCH("营",'18.05'!AE58)),(-$Y58+50*IF('18.05'!$AK58="是",'18.05'!$BB$4,'18.05'!$BB$3)),(VLOOKUP('18.05'!AE58,'18.05'!$AO$4:$AQ$55,2,FALSE))*IF('18.05'!$AK58="是",'18.05'!$BB$4,'18.05'!$BB$3))</f>
        <v>0</v>
      </c>
      <c r="X58" s="4">
        <f>IF(ISNUMBER(SEARCH("营",'18.05'!AF58)),(-$Y58+50*IF('18.05'!$AK58="是",'18.05'!$BB$4,'18.05'!$BB$3)),(VLOOKUP('18.05'!AF58,'18.05'!$AO$4:$AQ$55,2,FALSE))*IF('18.05'!$AK58="是",'18.05'!$BB$4,'18.05'!$BB$3))</f>
        <v>0</v>
      </c>
      <c r="Y58" s="70">
        <v>150</v>
      </c>
      <c r="Z58" s="84">
        <v>45693</v>
      </c>
    </row>
    <row r="59" spans="1:26">
      <c r="A59" s="4">
        <f>IF(ISNUMBER(SEARCH("营",'18.05'!I59)),(-$Y59+50*IF('18.05'!$AK59="是",'18.05'!$BB$4,'18.05'!$BB$3)),(VLOOKUP('18.05'!I59,'18.05'!$AO$4:$AQ$55,2,FALSE))*IF('18.05'!$AK59="是",'18.05'!$BB$4,'18.05'!$BB$3))</f>
        <v>136</v>
      </c>
      <c r="B59" s="4">
        <f>IF(ISNUMBER(SEARCH("营",'18.05'!J59)),(-$Y59+50*IF('18.05'!$AK59="是",'18.05'!$BB$4,'18.05'!$BB$3)),(VLOOKUP('18.05'!J59,'18.05'!$AO$4:$AQ$55,2,FALSE))*IF('18.05'!$AK59="是",'18.05'!$BB$4,'18.05'!$BB$3))</f>
        <v>136</v>
      </c>
      <c r="C59" s="4">
        <f>IF(ISNUMBER(SEARCH("营",'18.05'!K59)),(-$Y59+50*IF('18.05'!$AK59="是",'18.05'!$BB$4,'18.05'!$BB$3)),(VLOOKUP('18.05'!K59,'18.05'!$AO$4:$AQ$55,2,FALSE))*IF('18.05'!$AK59="是",'18.05'!$BB$4,'18.05'!$BB$3))</f>
        <v>136</v>
      </c>
      <c r="D59" s="4">
        <f>IF(ISNUMBER(SEARCH("营",'18.05'!L59)),(-$Y59+50*IF('18.05'!$AK59="是",'18.05'!$BB$4,'18.05'!$BB$3)),(VLOOKUP('18.05'!L59,'18.05'!$AO$4:$AQ$55,2,FALSE))*IF('18.05'!$AK59="是",'18.05'!$BB$4,'18.05'!$BB$3))</f>
        <v>136</v>
      </c>
      <c r="E59" s="4">
        <f>IF(ISNUMBER(SEARCH("营",'18.05'!M59)),(-$Y59+50*IF('18.05'!$AK59="是",'18.05'!$BB$4,'18.05'!$BB$3)),(VLOOKUP('18.05'!M59,'18.05'!$AO$4:$AQ$55,2,FALSE))*IF('18.05'!$AK59="是",'18.05'!$BB$4,'18.05'!$BB$3))</f>
        <v>136</v>
      </c>
      <c r="F59" s="4">
        <f>IF(ISNUMBER(SEARCH("营",'18.05'!N59)),(-$Y59+50*IF('18.05'!$AK59="是",'18.05'!$BB$4,'18.05'!$BB$3)),(VLOOKUP('18.05'!N59,'18.05'!$AO$4:$AQ$55,2,FALSE))*IF('18.05'!$AK59="是",'18.05'!$BB$4,'18.05'!$BB$3))</f>
        <v>136</v>
      </c>
      <c r="G59" s="4">
        <f>IF(ISNUMBER(SEARCH("营",'18.05'!O59)),(-$Y59+50*IF('18.05'!$AK59="是",'18.05'!$BB$4,'18.05'!$BB$3)),(VLOOKUP('18.05'!O59,'18.05'!$AO$4:$AQ$55,2,FALSE))*IF('18.05'!$AK59="是",'18.05'!$BB$4,'18.05'!$BB$3))</f>
        <v>0</v>
      </c>
      <c r="H59" s="4">
        <f>IF(ISNUMBER(SEARCH("营",'18.05'!P59)),(-$Y59+50*IF('18.05'!$AK59="是",'18.05'!$BB$4,'18.05'!$BB$3)),(VLOOKUP('18.05'!P59,'18.05'!$AO$4:$AQ$55,2,FALSE))*IF('18.05'!$AK59="是",'18.05'!$BB$4,'18.05'!$BB$3))</f>
        <v>0</v>
      </c>
      <c r="I59" s="4">
        <f>IF(ISNUMBER(SEARCH("营",'18.05'!Q59)),(-$Y59+50*IF('18.05'!$AK59="是",'18.05'!$BB$4,'18.05'!$BB$3)),(VLOOKUP('18.05'!Q59,'18.05'!$AO$4:$AQ$55,2,FALSE))*IF('18.05'!$AK59="是",'18.05'!$BB$4,'18.05'!$BB$3))</f>
        <v>152</v>
      </c>
      <c r="J59" s="4">
        <f>IF(ISNUMBER(SEARCH("营",'18.05'!R59)),(-$Y59+50*IF('18.05'!$AK59="是",'18.05'!$BB$4,'18.05'!$BB$3)),(VLOOKUP('18.05'!R59,'18.05'!$AO$4:$AQ$55,2,FALSE))*IF('18.05'!$AK59="是",'18.05'!$BB$4,'18.05'!$BB$3))</f>
        <v>40</v>
      </c>
      <c r="K59" s="4">
        <f>IF(ISNUMBER(SEARCH("营",'18.05'!S59)),(-$Y59+50*IF('18.05'!$AK59="是",'18.05'!$BB$4,'18.05'!$BB$3)),(VLOOKUP('18.05'!S59,'18.05'!$AO$4:$AQ$55,2,FALSE))*IF('18.05'!$AK59="是",'18.05'!$BB$4,'18.05'!$BB$3))</f>
        <v>152</v>
      </c>
      <c r="L59" s="4">
        <f>IF(ISNUMBER(SEARCH("营",'18.05'!T59)),(-$Y59+50*IF('18.05'!$AK59="是",'18.05'!$BB$4,'18.05'!$BB$3)),(VLOOKUP('18.05'!T59,'18.05'!$AO$4:$AQ$55,2,FALSE))*IF('18.05'!$AK59="是",'18.05'!$BB$4,'18.05'!$BB$3))</f>
        <v>152</v>
      </c>
      <c r="M59" s="4">
        <f>IF(ISNUMBER(SEARCH("营",'18.05'!U59)),(-$Y59+50*IF('18.05'!$AK59="是",'18.05'!$BB$4,'18.05'!$BB$3)),(VLOOKUP('18.05'!U59,'18.05'!$AO$4:$AQ$55,2,FALSE))*IF('18.05'!$AK59="是",'18.05'!$BB$4,'18.05'!$BB$3))</f>
        <v>152</v>
      </c>
      <c r="N59" s="4">
        <f>IF(ISNUMBER(SEARCH("营",'18.05'!V59)),(-$Y59+50*IF('18.05'!$AK59="是",'18.05'!$BB$4,'18.05'!$BB$3)),(VLOOKUP('18.05'!V59,'18.05'!$AO$4:$AQ$55,2,FALSE))*IF('18.05'!$AK59="是",'18.05'!$BB$4,'18.05'!$BB$3))</f>
        <v>152</v>
      </c>
      <c r="O59" s="4">
        <f>IF(ISNUMBER(SEARCH("营",'18.05'!W59)),(-$Y59+50*IF('18.05'!$AK59="是",'18.05'!$BB$4,'18.05'!$BB$3)),(VLOOKUP('18.05'!W59,'18.05'!$AO$4:$AQ$55,2,FALSE))*IF('18.05'!$AK59="是",'18.05'!$BB$4,'18.05'!$BB$3))</f>
        <v>0</v>
      </c>
      <c r="P59" s="4">
        <f>IF(ISNUMBER(SEARCH("营",'18.05'!X59)),(-$Y59+50*IF('18.05'!$AK59="是",'18.05'!$BB$4,'18.05'!$BB$3)),(VLOOKUP('18.05'!X59,'18.05'!$AO$4:$AQ$55,2,FALSE))*IF('18.05'!$AK59="是",'18.05'!$BB$4,'18.05'!$BB$3))</f>
        <v>0</v>
      </c>
      <c r="Q59" s="4">
        <f>IF(ISNUMBER(SEARCH("营",'18.05'!Y59)),(-$Y59+50*IF('18.05'!$AK59="是",'18.05'!$BB$4,'18.05'!$BB$3)),(VLOOKUP('18.05'!Y59,'18.05'!$AO$4:$AQ$55,2,FALSE))*IF('18.05'!$AK59="是",'18.05'!$BB$4,'18.05'!$BB$3))</f>
        <v>0</v>
      </c>
      <c r="R59" s="4">
        <f>IF(ISNUMBER(SEARCH("营",'18.05'!Z59)),(-$Y59+50*IF('18.05'!$AK59="是",'18.05'!$BB$4,'18.05'!$BB$3)),(VLOOKUP('18.05'!Z59,'18.05'!$AO$4:$AQ$55,2,FALSE))*IF('18.05'!$AK59="是",'18.05'!$BB$4,'18.05'!$BB$3))</f>
        <v>0</v>
      </c>
      <c r="S59" s="4">
        <f>IF(ISNUMBER(SEARCH("营",'18.05'!AA59)),(-$Y59+50*IF('18.05'!$AK59="是",'18.05'!$BB$4,'18.05'!$BB$3)),(VLOOKUP('18.05'!AA59,'18.05'!$AO$4:$AQ$55,2,FALSE))*IF('18.05'!$AK59="是",'18.05'!$BB$4,'18.05'!$BB$3))</f>
        <v>0</v>
      </c>
      <c r="T59" s="4">
        <f>IF(ISNUMBER(SEARCH("营",'18.05'!AB59)),(-$Y59+50*IF('18.05'!$AK59="是",'18.05'!$BB$4,'18.05'!$BB$3)),(VLOOKUP('18.05'!AB59,'18.05'!$AO$4:$AQ$55,2,FALSE))*IF('18.05'!$AK59="是",'18.05'!$BB$4,'18.05'!$BB$3))</f>
        <v>0</v>
      </c>
      <c r="U59" s="4">
        <f>IF(ISNUMBER(SEARCH("营",'18.05'!AC59)),(-$Y59+50*IF('18.05'!$AK59="是",'18.05'!$BB$4,'18.05'!$BB$3)),(VLOOKUP('18.05'!AC59,'18.05'!$AO$4:$AQ$55,2,FALSE))*IF('18.05'!$AK59="是",'18.05'!$BB$4,'18.05'!$BB$3))</f>
        <v>0</v>
      </c>
      <c r="V59" s="4">
        <f>IF(ISNUMBER(SEARCH("营",'18.05'!AD59)),(-$Y59+50*IF('18.05'!$AK59="是",'18.05'!$BB$4,'18.05'!$BB$3)),(VLOOKUP('18.05'!AD59,'18.05'!$AO$4:$AQ$55,2,FALSE))*IF('18.05'!$AK59="是",'18.05'!$BB$4,'18.05'!$BB$3))</f>
        <v>0</v>
      </c>
      <c r="W59" s="4">
        <f>IF(ISNUMBER(SEARCH("营",'18.05'!AE59)),(-$Y59+50*IF('18.05'!$AK59="是",'18.05'!$BB$4,'18.05'!$BB$3)),(VLOOKUP('18.05'!AE59,'18.05'!$AO$4:$AQ$55,2,FALSE))*IF('18.05'!$AK59="是",'18.05'!$BB$4,'18.05'!$BB$3))</f>
        <v>0</v>
      </c>
      <c r="X59" s="4">
        <f>IF(ISNUMBER(SEARCH("营",'18.05'!AF59)),(-$Y59+50*IF('18.05'!$AK59="是",'18.05'!$BB$4,'18.05'!$BB$3)),(VLOOKUP('18.05'!AF59,'18.05'!$AO$4:$AQ$55,2,FALSE))*IF('18.05'!$AK59="是",'18.05'!$BB$4,'18.05'!$BB$3))</f>
        <v>0</v>
      </c>
      <c r="Y59" s="70">
        <v>150</v>
      </c>
      <c r="Z59" s="84">
        <v>45694</v>
      </c>
    </row>
    <row r="60" spans="1:26">
      <c r="A60" s="4">
        <f>IF(ISNUMBER(SEARCH("营",'18.05'!I60)),(-$Y60+50*IF('18.05'!$AK60="是",'18.05'!$BB$4,'18.05'!$BB$3)),(VLOOKUP('18.05'!I60,'18.05'!$AO$4:$AQ$55,2,FALSE))*IF('18.05'!$AK60="是",'18.05'!$BB$4,'18.05'!$BB$3))</f>
        <v>136</v>
      </c>
      <c r="B60" s="4">
        <f>IF(ISNUMBER(SEARCH("营",'18.05'!J60)),(-$Y60+50*IF('18.05'!$AK60="是",'18.05'!$BB$4,'18.05'!$BB$3)),(VLOOKUP('18.05'!J60,'18.05'!$AO$4:$AQ$55,2,FALSE))*IF('18.05'!$AK60="是",'18.05'!$BB$4,'18.05'!$BB$3))</f>
        <v>136</v>
      </c>
      <c r="C60" s="4">
        <f>IF(ISNUMBER(SEARCH("营",'18.05'!K60)),(-$Y60+50*IF('18.05'!$AK60="是",'18.05'!$BB$4,'18.05'!$BB$3)),(VLOOKUP('18.05'!K60,'18.05'!$AO$4:$AQ$55,2,FALSE))*IF('18.05'!$AK60="是",'18.05'!$BB$4,'18.05'!$BB$3))</f>
        <v>136</v>
      </c>
      <c r="D60" s="4">
        <f>IF(ISNUMBER(SEARCH("营",'18.05'!L60)),(-$Y60+50*IF('18.05'!$AK60="是",'18.05'!$BB$4,'18.05'!$BB$3)),(VLOOKUP('18.05'!L60,'18.05'!$AO$4:$AQ$55,2,FALSE))*IF('18.05'!$AK60="是",'18.05'!$BB$4,'18.05'!$BB$3))</f>
        <v>136</v>
      </c>
      <c r="E60" s="4">
        <f>IF(ISNUMBER(SEARCH("营",'18.05'!M60)),(-$Y60+50*IF('18.05'!$AK60="是",'18.05'!$BB$4,'18.05'!$BB$3)),(VLOOKUP('18.05'!M60,'18.05'!$AO$4:$AQ$55,2,FALSE))*IF('18.05'!$AK60="是",'18.05'!$BB$4,'18.05'!$BB$3))</f>
        <v>136</v>
      </c>
      <c r="F60" s="4">
        <f>IF(ISNUMBER(SEARCH("营",'18.05'!N60)),(-$Y60+50*IF('18.05'!$AK60="是",'18.05'!$BB$4,'18.05'!$BB$3)),(VLOOKUP('18.05'!N60,'18.05'!$AO$4:$AQ$55,2,FALSE))*IF('18.05'!$AK60="是",'18.05'!$BB$4,'18.05'!$BB$3))</f>
        <v>136</v>
      </c>
      <c r="G60" s="4">
        <f>IF(ISNUMBER(SEARCH("营",'18.05'!O60)),(-$Y60+50*IF('18.05'!$AK60="是",'18.05'!$BB$4,'18.05'!$BB$3)),(VLOOKUP('18.05'!O60,'18.05'!$AO$4:$AQ$55,2,FALSE))*IF('18.05'!$AK60="是",'18.05'!$BB$4,'18.05'!$BB$3))</f>
        <v>0</v>
      </c>
      <c r="H60" s="4">
        <f>IF(ISNUMBER(SEARCH("营",'18.05'!P60)),(-$Y60+50*IF('18.05'!$AK60="是",'18.05'!$BB$4,'18.05'!$BB$3)),(VLOOKUP('18.05'!P60,'18.05'!$AO$4:$AQ$55,2,FALSE))*IF('18.05'!$AK60="是",'18.05'!$BB$4,'18.05'!$BB$3))</f>
        <v>0</v>
      </c>
      <c r="I60" s="4">
        <f>IF(ISNUMBER(SEARCH("营",'18.05'!Q60)),(-$Y60+50*IF('18.05'!$AK60="是",'18.05'!$BB$4,'18.05'!$BB$3)),(VLOOKUP('18.05'!Q60,'18.05'!$AO$4:$AQ$55,2,FALSE))*IF('18.05'!$AK60="是",'18.05'!$BB$4,'18.05'!$BB$3))</f>
        <v>152</v>
      </c>
      <c r="J60" s="4">
        <f>IF(ISNUMBER(SEARCH("营",'18.05'!R60)),(-$Y60+50*IF('18.05'!$AK60="是",'18.05'!$BB$4,'18.05'!$BB$3)),(VLOOKUP('18.05'!R60,'18.05'!$AO$4:$AQ$55,2,FALSE))*IF('18.05'!$AK60="是",'18.05'!$BB$4,'18.05'!$BB$3))</f>
        <v>152</v>
      </c>
      <c r="K60" s="4">
        <f>IF(ISNUMBER(SEARCH("营",'18.05'!S60)),(-$Y60+50*IF('18.05'!$AK60="是",'18.05'!$BB$4,'18.05'!$BB$3)),(VLOOKUP('18.05'!S60,'18.05'!$AO$4:$AQ$55,2,FALSE))*IF('18.05'!$AK60="是",'18.05'!$BB$4,'18.05'!$BB$3))</f>
        <v>152</v>
      </c>
      <c r="L60" s="4">
        <f>IF(ISNUMBER(SEARCH("营",'18.05'!T60)),(-$Y60+50*IF('18.05'!$AK60="是",'18.05'!$BB$4,'18.05'!$BB$3)),(VLOOKUP('18.05'!T60,'18.05'!$AO$4:$AQ$55,2,FALSE))*IF('18.05'!$AK60="是",'18.05'!$BB$4,'18.05'!$BB$3))</f>
        <v>152</v>
      </c>
      <c r="M60" s="4">
        <f>IF(ISNUMBER(SEARCH("营",'18.05'!U60)),(-$Y60+50*IF('18.05'!$AK60="是",'18.05'!$BB$4,'18.05'!$BB$3)),(VLOOKUP('18.05'!U60,'18.05'!$AO$4:$AQ$55,2,FALSE))*IF('18.05'!$AK60="是",'18.05'!$BB$4,'18.05'!$BB$3))</f>
        <v>152</v>
      </c>
      <c r="N60" s="4">
        <f>IF(ISNUMBER(SEARCH("营",'18.05'!V60)),(-$Y60+50*IF('18.05'!$AK60="是",'18.05'!$BB$4,'18.05'!$BB$3)),(VLOOKUP('18.05'!V60,'18.05'!$AO$4:$AQ$55,2,FALSE))*IF('18.05'!$AK60="是",'18.05'!$BB$4,'18.05'!$BB$3))</f>
        <v>152</v>
      </c>
      <c r="O60" s="4">
        <f>IF(ISNUMBER(SEARCH("营",'18.05'!W60)),(-$Y60+50*IF('18.05'!$AK60="是",'18.05'!$BB$4,'18.05'!$BB$3)),(VLOOKUP('18.05'!W60,'18.05'!$AO$4:$AQ$55,2,FALSE))*IF('18.05'!$AK60="是",'18.05'!$BB$4,'18.05'!$BB$3))</f>
        <v>0</v>
      </c>
      <c r="P60" s="4">
        <f>IF(ISNUMBER(SEARCH("营",'18.05'!X60)),(-$Y60+50*IF('18.05'!$AK60="是",'18.05'!$BB$4,'18.05'!$BB$3)),(VLOOKUP('18.05'!X60,'18.05'!$AO$4:$AQ$55,2,FALSE))*IF('18.05'!$AK60="是",'18.05'!$BB$4,'18.05'!$BB$3))</f>
        <v>0</v>
      </c>
      <c r="Q60" s="4">
        <f>IF(ISNUMBER(SEARCH("营",'18.05'!Y60)),(-$Y60+50*IF('18.05'!$AK60="是",'18.05'!$BB$4,'18.05'!$BB$3)),(VLOOKUP('18.05'!Y60,'18.05'!$AO$4:$AQ$55,2,FALSE))*IF('18.05'!$AK60="是",'18.05'!$BB$4,'18.05'!$BB$3))</f>
        <v>0</v>
      </c>
      <c r="R60" s="4">
        <f>IF(ISNUMBER(SEARCH("营",'18.05'!Z60)),(-$Y60+50*IF('18.05'!$AK60="是",'18.05'!$BB$4,'18.05'!$BB$3)),(VLOOKUP('18.05'!Z60,'18.05'!$AO$4:$AQ$55,2,FALSE))*IF('18.05'!$AK60="是",'18.05'!$BB$4,'18.05'!$BB$3))</f>
        <v>0</v>
      </c>
      <c r="S60" s="4">
        <f>IF(ISNUMBER(SEARCH("营",'18.05'!AA60)),(-$Y60+50*IF('18.05'!$AK60="是",'18.05'!$BB$4,'18.05'!$BB$3)),(VLOOKUP('18.05'!AA60,'18.05'!$AO$4:$AQ$55,2,FALSE))*IF('18.05'!$AK60="是",'18.05'!$BB$4,'18.05'!$BB$3))</f>
        <v>0</v>
      </c>
      <c r="T60" s="4">
        <f>IF(ISNUMBER(SEARCH("营",'18.05'!AB60)),(-$Y60+50*IF('18.05'!$AK60="是",'18.05'!$BB$4,'18.05'!$BB$3)),(VLOOKUP('18.05'!AB60,'18.05'!$AO$4:$AQ$55,2,FALSE))*IF('18.05'!$AK60="是",'18.05'!$BB$4,'18.05'!$BB$3))</f>
        <v>0</v>
      </c>
      <c r="U60" s="4">
        <f>IF(ISNUMBER(SEARCH("营",'18.05'!AC60)),(-$Y60+50*IF('18.05'!$AK60="是",'18.05'!$BB$4,'18.05'!$BB$3)),(VLOOKUP('18.05'!AC60,'18.05'!$AO$4:$AQ$55,2,FALSE))*IF('18.05'!$AK60="是",'18.05'!$BB$4,'18.05'!$BB$3))</f>
        <v>0</v>
      </c>
      <c r="V60" s="4">
        <f>IF(ISNUMBER(SEARCH("营",'18.05'!AD60)),(-$Y60+50*IF('18.05'!$AK60="是",'18.05'!$BB$4,'18.05'!$BB$3)),(VLOOKUP('18.05'!AD60,'18.05'!$AO$4:$AQ$55,2,FALSE))*IF('18.05'!$AK60="是",'18.05'!$BB$4,'18.05'!$BB$3))</f>
        <v>0</v>
      </c>
      <c r="W60" s="4">
        <f>IF(ISNUMBER(SEARCH("营",'18.05'!AE60)),(-$Y60+50*IF('18.05'!$AK60="是",'18.05'!$BB$4,'18.05'!$BB$3)),(VLOOKUP('18.05'!AE60,'18.05'!$AO$4:$AQ$55,2,FALSE))*IF('18.05'!$AK60="是",'18.05'!$BB$4,'18.05'!$BB$3))</f>
        <v>0</v>
      </c>
      <c r="X60" s="4">
        <f>IF(ISNUMBER(SEARCH("营",'18.05'!AF60)),(-$Y60+50*IF('18.05'!$AK60="是",'18.05'!$BB$4,'18.05'!$BB$3)),(VLOOKUP('18.05'!AF60,'18.05'!$AO$4:$AQ$55,2,FALSE))*IF('18.05'!$AK60="是",'18.05'!$BB$4,'18.05'!$BB$3))</f>
        <v>0</v>
      </c>
      <c r="Y60" s="69">
        <v>100</v>
      </c>
      <c r="Z60" s="75">
        <v>45695</v>
      </c>
    </row>
    <row r="61" spans="1:26">
      <c r="A61" s="4">
        <f>IF(ISNUMBER(SEARCH("营",'18.05'!I61)),(-$Y61+50*IF('18.05'!$AK61="是",'18.05'!$BB$4,'18.05'!$BB$3)),(VLOOKUP('18.05'!I61,'18.05'!$AO$4:$AQ$55,2,FALSE))*IF('18.05'!$AK61="是",'18.05'!$BB$4,'18.05'!$BB$3))</f>
        <v>136</v>
      </c>
      <c r="B61" s="4">
        <f>IF(ISNUMBER(SEARCH("营",'18.05'!J61)),(-$Y61+50*IF('18.05'!$AK61="是",'18.05'!$BB$4,'18.05'!$BB$3)),(VLOOKUP('18.05'!J61,'18.05'!$AO$4:$AQ$55,2,FALSE))*IF('18.05'!$AK61="是",'18.05'!$BB$4,'18.05'!$BB$3))</f>
        <v>136</v>
      </c>
      <c r="C61" s="4">
        <f>IF(ISNUMBER(SEARCH("营",'18.05'!K61)),(-$Y61+50*IF('18.05'!$AK61="是",'18.05'!$BB$4,'18.05'!$BB$3)),(VLOOKUP('18.05'!K61,'18.05'!$AO$4:$AQ$55,2,FALSE))*IF('18.05'!$AK61="是",'18.05'!$BB$4,'18.05'!$BB$3))</f>
        <v>120</v>
      </c>
      <c r="D61" s="4">
        <f>IF(ISNUMBER(SEARCH("营",'18.05'!L61)),(-$Y61+50*IF('18.05'!$AK61="是",'18.05'!$BB$4,'18.05'!$BB$3)),(VLOOKUP('18.05'!L61,'18.05'!$AO$4:$AQ$55,2,FALSE))*IF('18.05'!$AK61="是",'18.05'!$BB$4,'18.05'!$BB$3))</f>
        <v>136</v>
      </c>
      <c r="E61" s="4">
        <f>IF(ISNUMBER(SEARCH("营",'18.05'!M61)),(-$Y61+50*IF('18.05'!$AK61="是",'18.05'!$BB$4,'18.05'!$BB$3)),(VLOOKUP('18.05'!M61,'18.05'!$AO$4:$AQ$55,2,FALSE))*IF('18.05'!$AK61="是",'18.05'!$BB$4,'18.05'!$BB$3))</f>
        <v>144</v>
      </c>
      <c r="F61" s="4">
        <f>IF(ISNUMBER(SEARCH("营",'18.05'!N61)),(-$Y61+50*IF('18.05'!$AK61="是",'18.05'!$BB$4,'18.05'!$BB$3)),(VLOOKUP('18.05'!N61,'18.05'!$AO$4:$AQ$55,2,FALSE))*IF('18.05'!$AK61="是",'18.05'!$BB$4,'18.05'!$BB$3))</f>
        <v>144</v>
      </c>
      <c r="G61" s="4">
        <f>IF(ISNUMBER(SEARCH("营",'18.05'!O61)),(-$Y61+50*IF('18.05'!$AK61="是",'18.05'!$BB$4,'18.05'!$BB$3)),(VLOOKUP('18.05'!O61,'18.05'!$AO$4:$AQ$55,2,FALSE))*IF('18.05'!$AK61="是",'18.05'!$BB$4,'18.05'!$BB$3))</f>
        <v>0</v>
      </c>
      <c r="H61" s="4">
        <f>IF(ISNUMBER(SEARCH("营",'18.05'!P61)),(-$Y61+50*IF('18.05'!$AK61="是",'18.05'!$BB$4,'18.05'!$BB$3)),(VLOOKUP('18.05'!P61,'18.05'!$AO$4:$AQ$55,2,FALSE))*IF('18.05'!$AK61="是",'18.05'!$BB$4,'18.05'!$BB$3))</f>
        <v>0</v>
      </c>
      <c r="I61" s="4">
        <f>IF(ISNUMBER(SEARCH("营",'18.05'!Q61)),(-$Y61+50*IF('18.05'!$AK61="是",'18.05'!$BB$4,'18.05'!$BB$3)),(VLOOKUP('18.05'!Q61,'18.05'!$AO$4:$AQ$55,2,FALSE))*IF('18.05'!$AK61="是",'18.05'!$BB$4,'18.05'!$BB$3))</f>
        <v>152</v>
      </c>
      <c r="J61" s="4">
        <f>IF(ISNUMBER(SEARCH("营",'18.05'!R61)),(-$Y61+50*IF('18.05'!$AK61="是",'18.05'!$BB$4,'18.05'!$BB$3)),(VLOOKUP('18.05'!R61,'18.05'!$AO$4:$AQ$55,2,FALSE))*IF('18.05'!$AK61="是",'18.05'!$BB$4,'18.05'!$BB$3))</f>
        <v>152</v>
      </c>
      <c r="K61" s="4">
        <f>IF(ISNUMBER(SEARCH("营",'18.05'!S61)),(-$Y61+50*IF('18.05'!$AK61="是",'18.05'!$BB$4,'18.05'!$BB$3)),(VLOOKUP('18.05'!S61,'18.05'!$AO$4:$AQ$55,2,FALSE))*IF('18.05'!$AK61="是",'18.05'!$BB$4,'18.05'!$BB$3))</f>
        <v>152</v>
      </c>
      <c r="L61" s="4">
        <f>IF(ISNUMBER(SEARCH("营",'18.05'!T61)),(-$Y61+50*IF('18.05'!$AK61="是",'18.05'!$BB$4,'18.05'!$BB$3)),(VLOOKUP('18.05'!T61,'18.05'!$AO$4:$AQ$55,2,FALSE))*IF('18.05'!$AK61="是",'18.05'!$BB$4,'18.05'!$BB$3))</f>
        <v>152</v>
      </c>
      <c r="M61" s="4">
        <f>IF(ISNUMBER(SEARCH("营",'18.05'!U61)),(-$Y61+50*IF('18.05'!$AK61="是",'18.05'!$BB$4,'18.05'!$BB$3)),(VLOOKUP('18.05'!U61,'18.05'!$AO$4:$AQ$55,2,FALSE))*IF('18.05'!$AK61="是",'18.05'!$BB$4,'18.05'!$BB$3))</f>
        <v>136</v>
      </c>
      <c r="N61" s="4">
        <f>IF(ISNUMBER(SEARCH("营",'18.05'!V61)),(-$Y61+50*IF('18.05'!$AK61="是",'18.05'!$BB$4,'18.05'!$BB$3)),(VLOOKUP('18.05'!V61,'18.05'!$AO$4:$AQ$55,2,FALSE))*IF('18.05'!$AK61="是",'18.05'!$BB$4,'18.05'!$BB$3))</f>
        <v>136</v>
      </c>
      <c r="O61" s="4">
        <f>IF(ISNUMBER(SEARCH("营",'18.05'!W61)),(-$Y61+50*IF('18.05'!$AK61="是",'18.05'!$BB$4,'18.05'!$BB$3)),(VLOOKUP('18.05'!W61,'18.05'!$AO$4:$AQ$55,2,FALSE))*IF('18.05'!$AK61="是",'18.05'!$BB$4,'18.05'!$BB$3))</f>
        <v>0</v>
      </c>
      <c r="P61" s="4">
        <f>IF(ISNUMBER(SEARCH("营",'18.05'!X61)),(-$Y61+50*IF('18.05'!$AK61="是",'18.05'!$BB$4,'18.05'!$BB$3)),(VLOOKUP('18.05'!X61,'18.05'!$AO$4:$AQ$55,2,FALSE))*IF('18.05'!$AK61="是",'18.05'!$BB$4,'18.05'!$BB$3))</f>
        <v>0</v>
      </c>
      <c r="Q61" s="4">
        <f>IF(ISNUMBER(SEARCH("营",'18.05'!Y61)),(-$Y61+50*IF('18.05'!$AK61="是",'18.05'!$BB$4,'18.05'!$BB$3)),(VLOOKUP('18.05'!Y61,'18.05'!$AO$4:$AQ$55,2,FALSE))*IF('18.05'!$AK61="是",'18.05'!$BB$4,'18.05'!$BB$3))</f>
        <v>0</v>
      </c>
      <c r="R61" s="4">
        <f>IF(ISNUMBER(SEARCH("营",'18.05'!Z61)),(-$Y61+50*IF('18.05'!$AK61="是",'18.05'!$BB$4,'18.05'!$BB$3)),(VLOOKUP('18.05'!Z61,'18.05'!$AO$4:$AQ$55,2,FALSE))*IF('18.05'!$AK61="是",'18.05'!$BB$4,'18.05'!$BB$3))</f>
        <v>0</v>
      </c>
      <c r="S61" s="4">
        <f>IF(ISNUMBER(SEARCH("营",'18.05'!AA61)),(-$Y61+50*IF('18.05'!$AK61="是",'18.05'!$BB$4,'18.05'!$BB$3)),(VLOOKUP('18.05'!AA61,'18.05'!$AO$4:$AQ$55,2,FALSE))*IF('18.05'!$AK61="是",'18.05'!$BB$4,'18.05'!$BB$3))</f>
        <v>0</v>
      </c>
      <c r="T61" s="4">
        <f>IF(ISNUMBER(SEARCH("营",'18.05'!AB61)),(-$Y61+50*IF('18.05'!$AK61="是",'18.05'!$BB$4,'18.05'!$BB$3)),(VLOOKUP('18.05'!AB61,'18.05'!$AO$4:$AQ$55,2,FALSE))*IF('18.05'!$AK61="是",'18.05'!$BB$4,'18.05'!$BB$3))</f>
        <v>0</v>
      </c>
      <c r="U61" s="4">
        <f>IF(ISNUMBER(SEARCH("营",'18.05'!AC61)),(-$Y61+50*IF('18.05'!$AK61="是",'18.05'!$BB$4,'18.05'!$BB$3)),(VLOOKUP('18.05'!AC61,'18.05'!$AO$4:$AQ$55,2,FALSE))*IF('18.05'!$AK61="是",'18.05'!$BB$4,'18.05'!$BB$3))</f>
        <v>0</v>
      </c>
      <c r="V61" s="4">
        <f>IF(ISNUMBER(SEARCH("营",'18.05'!AD61)),(-$Y61+50*IF('18.05'!$AK61="是",'18.05'!$BB$4,'18.05'!$BB$3)),(VLOOKUP('18.05'!AD61,'18.05'!$AO$4:$AQ$55,2,FALSE))*IF('18.05'!$AK61="是",'18.05'!$BB$4,'18.05'!$BB$3))</f>
        <v>0</v>
      </c>
      <c r="W61" s="4">
        <f>IF(ISNUMBER(SEARCH("营",'18.05'!AE61)),(-$Y61+50*IF('18.05'!$AK61="是",'18.05'!$BB$4,'18.05'!$BB$3)),(VLOOKUP('18.05'!AE61,'18.05'!$AO$4:$AQ$55,2,FALSE))*IF('18.05'!$AK61="是",'18.05'!$BB$4,'18.05'!$BB$3))</f>
        <v>0</v>
      </c>
      <c r="X61" s="4">
        <f>IF(ISNUMBER(SEARCH("营",'18.05'!AF61)),(-$Y61+50*IF('18.05'!$AK61="是",'18.05'!$BB$4,'18.05'!$BB$3)),(VLOOKUP('18.05'!AF61,'18.05'!$AO$4:$AQ$55,2,FALSE))*IF('18.05'!$AK61="是",'18.05'!$BB$4,'18.05'!$BB$3))</f>
        <v>0</v>
      </c>
      <c r="Y61" s="69">
        <v>100</v>
      </c>
      <c r="Z61" s="75">
        <v>45696</v>
      </c>
    </row>
    <row r="62" spans="1:26">
      <c r="A62" s="4">
        <f>IF(ISNUMBER(SEARCH("营",'18.05'!I62)),(-$Y62+50*IF('18.05'!$AK62="是",'18.05'!$BB$4,'18.05'!$BB$3)),(VLOOKUP('18.05'!I62,'18.05'!$AO$4:$AQ$55,2,FALSE))*IF('18.05'!$AK62="是",'18.05'!$BB$4,'18.05'!$BB$3))</f>
        <v>144</v>
      </c>
      <c r="B62" s="4">
        <f>IF(ISNUMBER(SEARCH("营",'18.05'!J62)),(-$Y62+50*IF('18.05'!$AK62="是",'18.05'!$BB$4,'18.05'!$BB$3)),(VLOOKUP('18.05'!J62,'18.05'!$AO$4:$AQ$55,2,FALSE))*IF('18.05'!$AK62="是",'18.05'!$BB$4,'18.05'!$BB$3))</f>
        <v>144</v>
      </c>
      <c r="C62" s="4">
        <f>IF(ISNUMBER(SEARCH("营",'18.05'!K62)),(-$Y62+50*IF('18.05'!$AK62="是",'18.05'!$BB$4,'18.05'!$BB$3)),(VLOOKUP('18.05'!K62,'18.05'!$AO$4:$AQ$55,2,FALSE))*IF('18.05'!$AK62="是",'18.05'!$BB$4,'18.05'!$BB$3))</f>
        <v>136</v>
      </c>
      <c r="D62" s="4">
        <f>IF(ISNUMBER(SEARCH("营",'18.05'!L62)),(-$Y62+50*IF('18.05'!$AK62="是",'18.05'!$BB$4,'18.05'!$BB$3)),(VLOOKUP('18.05'!L62,'18.05'!$AO$4:$AQ$55,2,FALSE))*IF('18.05'!$AK62="是",'18.05'!$BB$4,'18.05'!$BB$3))</f>
        <v>144</v>
      </c>
      <c r="E62" s="4">
        <f>IF(ISNUMBER(SEARCH("营",'18.05'!M62)),(-$Y62+50*IF('18.05'!$AK62="是",'18.05'!$BB$4,'18.05'!$BB$3)),(VLOOKUP('18.05'!M62,'18.05'!$AO$4:$AQ$55,2,FALSE))*IF('18.05'!$AK62="是",'18.05'!$BB$4,'18.05'!$BB$3))</f>
        <v>144</v>
      </c>
      <c r="F62" s="4">
        <f>IF(ISNUMBER(SEARCH("营",'18.05'!N62)),(-$Y62+50*IF('18.05'!$AK62="是",'18.05'!$BB$4,'18.05'!$BB$3)),(VLOOKUP('18.05'!N62,'18.05'!$AO$4:$AQ$55,2,FALSE))*IF('18.05'!$AK62="是",'18.05'!$BB$4,'18.05'!$BB$3))</f>
        <v>144</v>
      </c>
      <c r="G62" s="4">
        <f>IF(ISNUMBER(SEARCH("营",'18.05'!O62)),(-$Y62+50*IF('18.05'!$AK62="是",'18.05'!$BB$4,'18.05'!$BB$3)),(VLOOKUP('18.05'!O62,'18.05'!$AO$4:$AQ$55,2,FALSE))*IF('18.05'!$AK62="是",'18.05'!$BB$4,'18.05'!$BB$3))</f>
        <v>0</v>
      </c>
      <c r="H62" s="4">
        <f>IF(ISNUMBER(SEARCH("营",'18.05'!P62)),(-$Y62+50*IF('18.05'!$AK62="是",'18.05'!$BB$4,'18.05'!$BB$3)),(VLOOKUP('18.05'!P62,'18.05'!$AO$4:$AQ$55,2,FALSE))*IF('18.05'!$AK62="是",'18.05'!$BB$4,'18.05'!$BB$3))</f>
        <v>0</v>
      </c>
      <c r="I62" s="4">
        <f>IF(ISNUMBER(SEARCH("营",'18.05'!Q62)),(-$Y62+50*IF('18.05'!$AK62="是",'18.05'!$BB$4,'18.05'!$BB$3)),(VLOOKUP('18.05'!Q62,'18.05'!$AO$4:$AQ$55,2,FALSE))*IF('18.05'!$AK62="是",'18.05'!$BB$4,'18.05'!$BB$3))</f>
        <v>152</v>
      </c>
      <c r="J62" s="4">
        <f>IF(ISNUMBER(SEARCH("营",'18.05'!R62)),(-$Y62+50*IF('18.05'!$AK62="是",'18.05'!$BB$4,'18.05'!$BB$3)),(VLOOKUP('18.05'!R62,'18.05'!$AO$4:$AQ$55,2,FALSE))*IF('18.05'!$AK62="是",'18.05'!$BB$4,'18.05'!$BB$3))</f>
        <v>152</v>
      </c>
      <c r="K62" s="4">
        <f>IF(ISNUMBER(SEARCH("营",'18.05'!S62)),(-$Y62+50*IF('18.05'!$AK62="是",'18.05'!$BB$4,'18.05'!$BB$3)),(VLOOKUP('18.05'!S62,'18.05'!$AO$4:$AQ$55,2,FALSE))*IF('18.05'!$AK62="是",'18.05'!$BB$4,'18.05'!$BB$3))</f>
        <v>152</v>
      </c>
      <c r="L62" s="4">
        <f>IF(ISNUMBER(SEARCH("营",'18.05'!T62)),(-$Y62+50*IF('18.05'!$AK62="是",'18.05'!$BB$4,'18.05'!$BB$3)),(VLOOKUP('18.05'!T62,'18.05'!$AO$4:$AQ$55,2,FALSE))*IF('18.05'!$AK62="是",'18.05'!$BB$4,'18.05'!$BB$3))</f>
        <v>152</v>
      </c>
      <c r="M62" s="4">
        <f>IF(ISNUMBER(SEARCH("营",'18.05'!U62)),(-$Y62+50*IF('18.05'!$AK62="是",'18.05'!$BB$4,'18.05'!$BB$3)),(VLOOKUP('18.05'!U62,'18.05'!$AO$4:$AQ$55,2,FALSE))*IF('18.05'!$AK62="是",'18.05'!$BB$4,'18.05'!$BB$3))</f>
        <v>152</v>
      </c>
      <c r="N62" s="4">
        <f>IF(ISNUMBER(SEARCH("营",'18.05'!V62)),(-$Y62+50*IF('18.05'!$AK62="是",'18.05'!$BB$4,'18.05'!$BB$3)),(VLOOKUP('18.05'!V62,'18.05'!$AO$4:$AQ$55,2,FALSE))*IF('18.05'!$AK62="是",'18.05'!$BB$4,'18.05'!$BB$3))</f>
        <v>152</v>
      </c>
      <c r="O62" s="4">
        <f>IF(ISNUMBER(SEARCH("营",'18.05'!W62)),(-$Y62+50*IF('18.05'!$AK62="是",'18.05'!$BB$4,'18.05'!$BB$3)),(VLOOKUP('18.05'!W62,'18.05'!$AO$4:$AQ$55,2,FALSE))*IF('18.05'!$AK62="是",'18.05'!$BB$4,'18.05'!$BB$3))</f>
        <v>0</v>
      </c>
      <c r="P62" s="4">
        <f>IF(ISNUMBER(SEARCH("营",'18.05'!X62)),(-$Y62+50*IF('18.05'!$AK62="是",'18.05'!$BB$4,'18.05'!$BB$3)),(VLOOKUP('18.05'!X62,'18.05'!$AO$4:$AQ$55,2,FALSE))*IF('18.05'!$AK62="是",'18.05'!$BB$4,'18.05'!$BB$3))</f>
        <v>0</v>
      </c>
      <c r="Q62" s="4">
        <f>IF(ISNUMBER(SEARCH("营",'18.05'!Y62)),(-$Y62+50*IF('18.05'!$AK62="是",'18.05'!$BB$4,'18.05'!$BB$3)),(VLOOKUP('18.05'!Y62,'18.05'!$AO$4:$AQ$55,2,FALSE))*IF('18.05'!$AK62="是",'18.05'!$BB$4,'18.05'!$BB$3))</f>
        <v>0</v>
      </c>
      <c r="R62" s="4">
        <f>IF(ISNUMBER(SEARCH("营",'18.05'!Z62)),(-$Y62+50*IF('18.05'!$AK62="是",'18.05'!$BB$4,'18.05'!$BB$3)),(VLOOKUP('18.05'!Z62,'18.05'!$AO$4:$AQ$55,2,FALSE))*IF('18.05'!$AK62="是",'18.05'!$BB$4,'18.05'!$BB$3))</f>
        <v>0</v>
      </c>
      <c r="S62" s="4">
        <f>IF(ISNUMBER(SEARCH("营",'18.05'!AA62)),(-$Y62+50*IF('18.05'!$AK62="是",'18.05'!$BB$4,'18.05'!$BB$3)),(VLOOKUP('18.05'!AA62,'18.05'!$AO$4:$AQ$55,2,FALSE))*IF('18.05'!$AK62="是",'18.05'!$BB$4,'18.05'!$BB$3))</f>
        <v>0</v>
      </c>
      <c r="T62" s="4">
        <f>IF(ISNUMBER(SEARCH("营",'18.05'!AB62)),(-$Y62+50*IF('18.05'!$AK62="是",'18.05'!$BB$4,'18.05'!$BB$3)),(VLOOKUP('18.05'!AB62,'18.05'!$AO$4:$AQ$55,2,FALSE))*IF('18.05'!$AK62="是",'18.05'!$BB$4,'18.05'!$BB$3))</f>
        <v>0</v>
      </c>
      <c r="U62" s="4">
        <f>IF(ISNUMBER(SEARCH("营",'18.05'!AC62)),(-$Y62+50*IF('18.05'!$AK62="是",'18.05'!$BB$4,'18.05'!$BB$3)),(VLOOKUP('18.05'!AC62,'18.05'!$AO$4:$AQ$55,2,FALSE))*IF('18.05'!$AK62="是",'18.05'!$BB$4,'18.05'!$BB$3))</f>
        <v>0</v>
      </c>
      <c r="V62" s="4">
        <f>IF(ISNUMBER(SEARCH("营",'18.05'!AD62)),(-$Y62+50*IF('18.05'!$AK62="是",'18.05'!$BB$4,'18.05'!$BB$3)),(VLOOKUP('18.05'!AD62,'18.05'!$AO$4:$AQ$55,2,FALSE))*IF('18.05'!$AK62="是",'18.05'!$BB$4,'18.05'!$BB$3))</f>
        <v>0</v>
      </c>
      <c r="W62" s="4">
        <f>IF(ISNUMBER(SEARCH("营",'18.05'!AE62)),(-$Y62+50*IF('18.05'!$AK62="是",'18.05'!$BB$4,'18.05'!$BB$3)),(VLOOKUP('18.05'!AE62,'18.05'!$AO$4:$AQ$55,2,FALSE))*IF('18.05'!$AK62="是",'18.05'!$BB$4,'18.05'!$BB$3))</f>
        <v>0</v>
      </c>
      <c r="X62" s="4">
        <f>IF(ISNUMBER(SEARCH("营",'18.05'!AF62)),(-$Y62+50*IF('18.05'!$AK62="是",'18.05'!$BB$4,'18.05'!$BB$3)),(VLOOKUP('18.05'!AF62,'18.05'!$AO$4:$AQ$55,2,FALSE))*IF('18.05'!$AK62="是",'18.05'!$BB$4,'18.05'!$BB$3))</f>
        <v>0</v>
      </c>
      <c r="Y62" s="69">
        <v>100</v>
      </c>
      <c r="Z62" s="75">
        <v>45697</v>
      </c>
    </row>
    <row r="63" spans="1:26">
      <c r="A63" s="4">
        <f>IF(ISNUMBER(SEARCH("营",'18.05'!I63)),(-$Y63+50*IF('18.05'!$AK63="是",'18.05'!$BB$4,'18.05'!$BB$3)),(VLOOKUP('18.05'!I63,'18.05'!$AO$4:$AQ$55,2,FALSE))*IF('18.05'!$AK63="是",'18.05'!$BB$4,'18.05'!$BB$3))</f>
        <v>160</v>
      </c>
      <c r="B63" s="4">
        <f>IF(ISNUMBER(SEARCH("营",'18.05'!J63)),(-$Y63+50*IF('18.05'!$AK63="是",'18.05'!$BB$4,'18.05'!$BB$3)),(VLOOKUP('18.05'!J63,'18.05'!$AO$4:$AQ$55,2,FALSE))*IF('18.05'!$AK63="是",'18.05'!$BB$4,'18.05'!$BB$3))</f>
        <v>160</v>
      </c>
      <c r="C63" s="4">
        <f>IF(ISNUMBER(SEARCH("营",'18.05'!K63)),(-$Y63+50*IF('18.05'!$AK63="是",'18.05'!$BB$4,'18.05'!$BB$3)),(VLOOKUP('18.05'!K63,'18.05'!$AO$4:$AQ$55,2,FALSE))*IF('18.05'!$AK63="是",'18.05'!$BB$4,'18.05'!$BB$3))</f>
        <v>144</v>
      </c>
      <c r="D63" s="4">
        <f>IF(ISNUMBER(SEARCH("营",'18.05'!L63)),(-$Y63+50*IF('18.05'!$AK63="是",'18.05'!$BB$4,'18.05'!$BB$3)),(VLOOKUP('18.05'!L63,'18.05'!$AO$4:$AQ$55,2,FALSE))*IF('18.05'!$AK63="是",'18.05'!$BB$4,'18.05'!$BB$3))</f>
        <v>144</v>
      </c>
      <c r="E63" s="4">
        <f>IF(ISNUMBER(SEARCH("营",'18.05'!M63)),(-$Y63+50*IF('18.05'!$AK63="是",'18.05'!$BB$4,'18.05'!$BB$3)),(VLOOKUP('18.05'!M63,'18.05'!$AO$4:$AQ$55,2,FALSE))*IF('18.05'!$AK63="是",'18.05'!$BB$4,'18.05'!$BB$3))</f>
        <v>144</v>
      </c>
      <c r="F63" s="4">
        <f>IF(ISNUMBER(SEARCH("营",'18.05'!N63)),(-$Y63+50*IF('18.05'!$AK63="是",'18.05'!$BB$4,'18.05'!$BB$3)),(VLOOKUP('18.05'!N63,'18.05'!$AO$4:$AQ$55,2,FALSE))*IF('18.05'!$AK63="是",'18.05'!$BB$4,'18.05'!$BB$3))</f>
        <v>144</v>
      </c>
      <c r="G63" s="4">
        <f>IF(ISNUMBER(SEARCH("营",'18.05'!O63)),(-$Y63+50*IF('18.05'!$AK63="是",'18.05'!$BB$4,'18.05'!$BB$3)),(VLOOKUP('18.05'!O63,'18.05'!$AO$4:$AQ$55,2,FALSE))*IF('18.05'!$AK63="是",'18.05'!$BB$4,'18.05'!$BB$3))</f>
        <v>0</v>
      </c>
      <c r="H63" s="4">
        <f>IF(ISNUMBER(SEARCH("营",'18.05'!P63)),(-$Y63+50*IF('18.05'!$AK63="是",'18.05'!$BB$4,'18.05'!$BB$3)),(VLOOKUP('18.05'!P63,'18.05'!$AO$4:$AQ$55,2,FALSE))*IF('18.05'!$AK63="是",'18.05'!$BB$4,'18.05'!$BB$3))</f>
        <v>0</v>
      </c>
      <c r="I63" s="4">
        <f>IF(ISNUMBER(SEARCH("营",'18.05'!Q63)),(-$Y63+50*IF('18.05'!$AK63="是",'18.05'!$BB$4,'18.05'!$BB$3)),(VLOOKUP('18.05'!Q63,'18.05'!$AO$4:$AQ$55,2,FALSE))*IF('18.05'!$AK63="是",'18.05'!$BB$4,'18.05'!$BB$3))</f>
        <v>152</v>
      </c>
      <c r="J63" s="4">
        <f>IF(ISNUMBER(SEARCH("营",'18.05'!R63)),(-$Y63+50*IF('18.05'!$AK63="是",'18.05'!$BB$4,'18.05'!$BB$3)),(VLOOKUP('18.05'!R63,'18.05'!$AO$4:$AQ$55,2,FALSE))*IF('18.05'!$AK63="是",'18.05'!$BB$4,'18.05'!$BB$3))</f>
        <v>152</v>
      </c>
      <c r="K63" s="4">
        <f>IF(ISNUMBER(SEARCH("营",'18.05'!S63)),(-$Y63+50*IF('18.05'!$AK63="是",'18.05'!$BB$4,'18.05'!$BB$3)),(VLOOKUP('18.05'!S63,'18.05'!$AO$4:$AQ$55,2,FALSE))*IF('18.05'!$AK63="是",'18.05'!$BB$4,'18.05'!$BB$3))</f>
        <v>152</v>
      </c>
      <c r="L63" s="4">
        <f>IF(ISNUMBER(SEARCH("营",'18.05'!T63)),(-$Y63+50*IF('18.05'!$AK63="是",'18.05'!$BB$4,'18.05'!$BB$3)),(VLOOKUP('18.05'!T63,'18.05'!$AO$4:$AQ$55,2,FALSE))*IF('18.05'!$AK63="是",'18.05'!$BB$4,'18.05'!$BB$3))</f>
        <v>152</v>
      </c>
      <c r="M63" s="4">
        <f>IF(ISNUMBER(SEARCH("营",'18.05'!U63)),(-$Y63+50*IF('18.05'!$AK63="是",'18.05'!$BB$4,'18.05'!$BB$3)),(VLOOKUP('18.05'!U63,'18.05'!$AO$4:$AQ$55,2,FALSE))*IF('18.05'!$AK63="是",'18.05'!$BB$4,'18.05'!$BB$3))</f>
        <v>152</v>
      </c>
      <c r="N63" s="4">
        <f>IF(ISNUMBER(SEARCH("营",'18.05'!V63)),(-$Y63+50*IF('18.05'!$AK63="是",'18.05'!$BB$4,'18.05'!$BB$3)),(VLOOKUP('18.05'!V63,'18.05'!$AO$4:$AQ$55,2,FALSE))*IF('18.05'!$AK63="是",'18.05'!$BB$4,'18.05'!$BB$3))</f>
        <v>152</v>
      </c>
      <c r="O63" s="4">
        <f>IF(ISNUMBER(SEARCH("营",'18.05'!W63)),(-$Y63+50*IF('18.05'!$AK63="是",'18.05'!$BB$4,'18.05'!$BB$3)),(VLOOKUP('18.05'!W63,'18.05'!$AO$4:$AQ$55,2,FALSE))*IF('18.05'!$AK63="是",'18.05'!$BB$4,'18.05'!$BB$3))</f>
        <v>0</v>
      </c>
      <c r="P63" s="4">
        <f>IF(ISNUMBER(SEARCH("营",'18.05'!X63)),(-$Y63+50*IF('18.05'!$AK63="是",'18.05'!$BB$4,'18.05'!$BB$3)),(VLOOKUP('18.05'!X63,'18.05'!$AO$4:$AQ$55,2,FALSE))*IF('18.05'!$AK63="是",'18.05'!$BB$4,'18.05'!$BB$3))</f>
        <v>0</v>
      </c>
      <c r="Q63" s="4">
        <f>IF(ISNUMBER(SEARCH("营",'18.05'!Y63)),(-$Y63+50*IF('18.05'!$AK63="是",'18.05'!$BB$4,'18.05'!$BB$3)),(VLOOKUP('18.05'!Y63,'18.05'!$AO$4:$AQ$55,2,FALSE))*IF('18.05'!$AK63="是",'18.05'!$BB$4,'18.05'!$BB$3))</f>
        <v>0</v>
      </c>
      <c r="R63" s="4">
        <f>IF(ISNUMBER(SEARCH("营",'18.05'!Z63)),(-$Y63+50*IF('18.05'!$AK63="是",'18.05'!$BB$4,'18.05'!$BB$3)),(VLOOKUP('18.05'!Z63,'18.05'!$AO$4:$AQ$55,2,FALSE))*IF('18.05'!$AK63="是",'18.05'!$BB$4,'18.05'!$BB$3))</f>
        <v>0</v>
      </c>
      <c r="S63" s="4">
        <f>IF(ISNUMBER(SEARCH("营",'18.05'!AA63)),(-$Y63+50*IF('18.05'!$AK63="是",'18.05'!$BB$4,'18.05'!$BB$3)),(VLOOKUP('18.05'!AA63,'18.05'!$AO$4:$AQ$55,2,FALSE))*IF('18.05'!$AK63="是",'18.05'!$BB$4,'18.05'!$BB$3))</f>
        <v>0</v>
      </c>
      <c r="T63" s="4">
        <f>IF(ISNUMBER(SEARCH("营",'18.05'!AB63)),(-$Y63+50*IF('18.05'!$AK63="是",'18.05'!$BB$4,'18.05'!$BB$3)),(VLOOKUP('18.05'!AB63,'18.05'!$AO$4:$AQ$55,2,FALSE))*IF('18.05'!$AK63="是",'18.05'!$BB$4,'18.05'!$BB$3))</f>
        <v>0</v>
      </c>
      <c r="U63" s="4">
        <f>IF(ISNUMBER(SEARCH("营",'18.05'!AC63)),(-$Y63+50*IF('18.05'!$AK63="是",'18.05'!$BB$4,'18.05'!$BB$3)),(VLOOKUP('18.05'!AC63,'18.05'!$AO$4:$AQ$55,2,FALSE))*IF('18.05'!$AK63="是",'18.05'!$BB$4,'18.05'!$BB$3))</f>
        <v>0</v>
      </c>
      <c r="V63" s="4">
        <f>IF(ISNUMBER(SEARCH("营",'18.05'!AD63)),(-$Y63+50*IF('18.05'!$AK63="是",'18.05'!$BB$4,'18.05'!$BB$3)),(VLOOKUP('18.05'!AD63,'18.05'!$AO$4:$AQ$55,2,FALSE))*IF('18.05'!$AK63="是",'18.05'!$BB$4,'18.05'!$BB$3))</f>
        <v>0</v>
      </c>
      <c r="W63" s="4">
        <f>IF(ISNUMBER(SEARCH("营",'18.05'!AE63)),(-$Y63+50*IF('18.05'!$AK63="是",'18.05'!$BB$4,'18.05'!$BB$3)),(VLOOKUP('18.05'!AE63,'18.05'!$AO$4:$AQ$55,2,FALSE))*IF('18.05'!$AK63="是",'18.05'!$BB$4,'18.05'!$BB$3))</f>
        <v>0</v>
      </c>
      <c r="X63" s="4">
        <f>IF(ISNUMBER(SEARCH("营",'18.05'!AF63)),(-$Y63+50*IF('18.05'!$AK63="是",'18.05'!$BB$4,'18.05'!$BB$3)),(VLOOKUP('18.05'!AF63,'18.05'!$AO$4:$AQ$55,2,FALSE))*IF('18.05'!$AK63="是",'18.05'!$BB$4,'18.05'!$BB$3))</f>
        <v>0</v>
      </c>
      <c r="Y63" s="69">
        <v>100</v>
      </c>
      <c r="Z63" s="75">
        <v>45698</v>
      </c>
    </row>
    <row r="64" spans="1:26">
      <c r="A64" s="4">
        <f>IF(ISNUMBER(SEARCH("营",'18.05'!I64)),(-$Y64+50*IF('18.05'!$AK64="是",'18.05'!$BB$4,'18.05'!$BB$3)),(VLOOKUP('18.05'!I64,'18.05'!$AO$4:$AQ$55,2,FALSE))*IF('18.05'!$AK64="是",'18.05'!$BB$4,'18.05'!$BB$3))</f>
        <v>144</v>
      </c>
      <c r="B64" s="4">
        <f>IF(ISNUMBER(SEARCH("营",'18.05'!J64)),(-$Y64+50*IF('18.05'!$AK64="是",'18.05'!$BB$4,'18.05'!$BB$3)),(VLOOKUP('18.05'!J64,'18.05'!$AO$4:$AQ$55,2,FALSE))*IF('18.05'!$AK64="是",'18.05'!$BB$4,'18.05'!$BB$3))</f>
        <v>160</v>
      </c>
      <c r="C64" s="4">
        <f>IF(ISNUMBER(SEARCH("营",'18.05'!K64)),(-$Y64+50*IF('18.05'!$AK64="是",'18.05'!$BB$4,'18.05'!$BB$3)),(VLOOKUP('18.05'!K64,'18.05'!$AO$4:$AQ$55,2,FALSE))*IF('18.05'!$AK64="是",'18.05'!$BB$4,'18.05'!$BB$3))</f>
        <v>160</v>
      </c>
      <c r="D64" s="4">
        <f>IF(ISNUMBER(SEARCH("营",'18.05'!L64)),(-$Y64+50*IF('18.05'!$AK64="是",'18.05'!$BB$4,'18.05'!$BB$3)),(VLOOKUP('18.05'!L64,'18.05'!$AO$4:$AQ$55,2,FALSE))*IF('18.05'!$AK64="是",'18.05'!$BB$4,'18.05'!$BB$3))</f>
        <v>160</v>
      </c>
      <c r="E64" s="4">
        <f>IF(ISNUMBER(SEARCH("营",'18.05'!M64)),(-$Y64+50*IF('18.05'!$AK64="是",'18.05'!$BB$4,'18.05'!$BB$3)),(VLOOKUP('18.05'!M64,'18.05'!$AO$4:$AQ$55,2,FALSE))*IF('18.05'!$AK64="是",'18.05'!$BB$4,'18.05'!$BB$3))</f>
        <v>160</v>
      </c>
      <c r="F64" s="4">
        <f>IF(ISNUMBER(SEARCH("营",'18.05'!N64)),(-$Y64+50*IF('18.05'!$AK64="是",'18.05'!$BB$4,'18.05'!$BB$3)),(VLOOKUP('18.05'!N64,'18.05'!$AO$4:$AQ$55,2,FALSE))*IF('18.05'!$AK64="是",'18.05'!$BB$4,'18.05'!$BB$3))</f>
        <v>160</v>
      </c>
      <c r="G64" s="4">
        <f>IF(ISNUMBER(SEARCH("营",'18.05'!O64)),(-$Y64+50*IF('18.05'!$AK64="是",'18.05'!$BB$4,'18.05'!$BB$3)),(VLOOKUP('18.05'!O64,'18.05'!$AO$4:$AQ$55,2,FALSE))*IF('18.05'!$AK64="是",'18.05'!$BB$4,'18.05'!$BB$3))</f>
        <v>0</v>
      </c>
      <c r="H64" s="4">
        <f>IF(ISNUMBER(SEARCH("营",'18.05'!P64)),(-$Y64+50*IF('18.05'!$AK64="是",'18.05'!$BB$4,'18.05'!$BB$3)),(VLOOKUP('18.05'!P64,'18.05'!$AO$4:$AQ$55,2,FALSE))*IF('18.05'!$AK64="是",'18.05'!$BB$4,'18.05'!$BB$3))</f>
        <v>0</v>
      </c>
      <c r="I64" s="4">
        <f>IF(ISNUMBER(SEARCH("营",'18.05'!Q64)),(-$Y64+50*IF('18.05'!$AK64="是",'18.05'!$BB$4,'18.05'!$BB$3)),(VLOOKUP('18.05'!Q64,'18.05'!$AO$4:$AQ$55,2,FALSE))*IF('18.05'!$AK64="是",'18.05'!$BB$4,'18.05'!$BB$3))</f>
        <v>152</v>
      </c>
      <c r="J64" s="4">
        <f>IF(ISNUMBER(SEARCH("营",'18.05'!R64)),(-$Y64+50*IF('18.05'!$AK64="是",'18.05'!$BB$4,'18.05'!$BB$3)),(VLOOKUP('18.05'!R64,'18.05'!$AO$4:$AQ$55,2,FALSE))*IF('18.05'!$AK64="是",'18.05'!$BB$4,'18.05'!$BB$3))</f>
        <v>144</v>
      </c>
      <c r="K64" s="4">
        <f>IF(ISNUMBER(SEARCH("营",'18.05'!S64)),(-$Y64+50*IF('18.05'!$AK64="是",'18.05'!$BB$4,'18.05'!$BB$3)),(VLOOKUP('18.05'!S64,'18.05'!$AO$4:$AQ$55,2,FALSE))*IF('18.05'!$AK64="是",'18.05'!$BB$4,'18.05'!$BB$3))</f>
        <v>144</v>
      </c>
      <c r="L64" s="4">
        <f>IF(ISNUMBER(SEARCH("营",'18.05'!T64)),(-$Y64+50*IF('18.05'!$AK64="是",'18.05'!$BB$4,'18.05'!$BB$3)),(VLOOKUP('18.05'!T64,'18.05'!$AO$4:$AQ$55,2,FALSE))*IF('18.05'!$AK64="是",'18.05'!$BB$4,'18.05'!$BB$3))</f>
        <v>144</v>
      </c>
      <c r="M64" s="4">
        <f>IF(ISNUMBER(SEARCH("营",'18.05'!U64)),(-$Y64+50*IF('18.05'!$AK64="是",'18.05'!$BB$4,'18.05'!$BB$3)),(VLOOKUP('18.05'!U64,'18.05'!$AO$4:$AQ$55,2,FALSE))*IF('18.05'!$AK64="是",'18.05'!$BB$4,'18.05'!$BB$3))</f>
        <v>144</v>
      </c>
      <c r="N64" s="4">
        <f>IF(ISNUMBER(SEARCH("营",'18.05'!V64)),(-$Y64+50*IF('18.05'!$AK64="是",'18.05'!$BB$4,'18.05'!$BB$3)),(VLOOKUP('18.05'!V64,'18.05'!$AO$4:$AQ$55,2,FALSE))*IF('18.05'!$AK64="是",'18.05'!$BB$4,'18.05'!$BB$3))</f>
        <v>144</v>
      </c>
      <c r="O64" s="4">
        <f>IF(ISNUMBER(SEARCH("营",'18.05'!W64)),(-$Y64+50*IF('18.05'!$AK64="是",'18.05'!$BB$4,'18.05'!$BB$3)),(VLOOKUP('18.05'!W64,'18.05'!$AO$4:$AQ$55,2,FALSE))*IF('18.05'!$AK64="是",'18.05'!$BB$4,'18.05'!$BB$3))</f>
        <v>0</v>
      </c>
      <c r="P64" s="4">
        <f>IF(ISNUMBER(SEARCH("营",'18.05'!X64)),(-$Y64+50*IF('18.05'!$AK64="是",'18.05'!$BB$4,'18.05'!$BB$3)),(VLOOKUP('18.05'!X64,'18.05'!$AO$4:$AQ$55,2,FALSE))*IF('18.05'!$AK64="是",'18.05'!$BB$4,'18.05'!$BB$3))</f>
        <v>0</v>
      </c>
      <c r="Q64" s="4">
        <f>IF(ISNUMBER(SEARCH("营",'18.05'!Y64)),(-$Y64+50*IF('18.05'!$AK64="是",'18.05'!$BB$4,'18.05'!$BB$3)),(VLOOKUP('18.05'!Y64,'18.05'!$AO$4:$AQ$55,2,FALSE))*IF('18.05'!$AK64="是",'18.05'!$BB$4,'18.05'!$BB$3))</f>
        <v>0</v>
      </c>
      <c r="R64" s="4">
        <f>IF(ISNUMBER(SEARCH("营",'18.05'!Z64)),(-$Y64+50*IF('18.05'!$AK64="是",'18.05'!$BB$4,'18.05'!$BB$3)),(VLOOKUP('18.05'!Z64,'18.05'!$AO$4:$AQ$55,2,FALSE))*IF('18.05'!$AK64="是",'18.05'!$BB$4,'18.05'!$BB$3))</f>
        <v>0</v>
      </c>
      <c r="S64" s="4">
        <f>IF(ISNUMBER(SEARCH("营",'18.05'!AA64)),(-$Y64+50*IF('18.05'!$AK64="是",'18.05'!$BB$4,'18.05'!$BB$3)),(VLOOKUP('18.05'!AA64,'18.05'!$AO$4:$AQ$55,2,FALSE))*IF('18.05'!$AK64="是",'18.05'!$BB$4,'18.05'!$BB$3))</f>
        <v>0</v>
      </c>
      <c r="T64" s="4">
        <f>IF(ISNUMBER(SEARCH("营",'18.05'!AB64)),(-$Y64+50*IF('18.05'!$AK64="是",'18.05'!$BB$4,'18.05'!$BB$3)),(VLOOKUP('18.05'!AB64,'18.05'!$AO$4:$AQ$55,2,FALSE))*IF('18.05'!$AK64="是",'18.05'!$BB$4,'18.05'!$BB$3))</f>
        <v>0</v>
      </c>
      <c r="U64" s="4">
        <f>IF(ISNUMBER(SEARCH("营",'18.05'!AC64)),(-$Y64+50*IF('18.05'!$AK64="是",'18.05'!$BB$4,'18.05'!$BB$3)),(VLOOKUP('18.05'!AC64,'18.05'!$AO$4:$AQ$55,2,FALSE))*IF('18.05'!$AK64="是",'18.05'!$BB$4,'18.05'!$BB$3))</f>
        <v>0</v>
      </c>
      <c r="V64" s="4">
        <f>IF(ISNUMBER(SEARCH("营",'18.05'!AD64)),(-$Y64+50*IF('18.05'!$AK64="是",'18.05'!$BB$4,'18.05'!$BB$3)),(VLOOKUP('18.05'!AD64,'18.05'!$AO$4:$AQ$55,2,FALSE))*IF('18.05'!$AK64="是",'18.05'!$BB$4,'18.05'!$BB$3))</f>
        <v>0</v>
      </c>
      <c r="W64" s="4">
        <f>IF(ISNUMBER(SEARCH("营",'18.05'!AE64)),(-$Y64+50*IF('18.05'!$AK64="是",'18.05'!$BB$4,'18.05'!$BB$3)),(VLOOKUP('18.05'!AE64,'18.05'!$AO$4:$AQ$55,2,FALSE))*IF('18.05'!$AK64="是",'18.05'!$BB$4,'18.05'!$BB$3))</f>
        <v>0</v>
      </c>
      <c r="X64" s="4">
        <f>IF(ISNUMBER(SEARCH("营",'18.05'!AF64)),(-$Y64+50*IF('18.05'!$AK64="是",'18.05'!$BB$4,'18.05'!$BB$3)),(VLOOKUP('18.05'!AF64,'18.05'!$AO$4:$AQ$55,2,FALSE))*IF('18.05'!$AK64="是",'18.05'!$BB$4,'18.05'!$BB$3))</f>
        <v>0</v>
      </c>
      <c r="Y64" s="69">
        <v>100</v>
      </c>
      <c r="Z64" s="75">
        <v>45699</v>
      </c>
    </row>
    <row r="65" spans="1:26">
      <c r="A65" s="4">
        <f>IF(ISNUMBER(SEARCH("营",'18.05'!I65)),(-$Y65+50*IF('18.05'!$AK65="是",'18.05'!$BB$4,'18.05'!$BB$3)),(VLOOKUP('18.05'!I65,'18.05'!$AO$4:$AQ$55,2,FALSE))*IF('18.05'!$AK65="是",'18.05'!$BB$4,'18.05'!$BB$3))</f>
        <v>0</v>
      </c>
      <c r="B65" s="4">
        <f>IF(ISNUMBER(SEARCH("营",'18.05'!J65)),(-$Y65+50*IF('18.05'!$AK65="是",'18.05'!$BB$4,'18.05'!$BB$3)),(VLOOKUP('18.05'!J65,'18.05'!$AO$4:$AQ$55,2,FALSE))*IF('18.05'!$AK65="是",'18.05'!$BB$4,'18.05'!$BB$3))</f>
        <v>0</v>
      </c>
      <c r="C65" s="4">
        <f>IF(ISNUMBER(SEARCH("营",'18.05'!K65)),(-$Y65+50*IF('18.05'!$AK65="是",'18.05'!$BB$4,'18.05'!$BB$3)),(VLOOKUP('18.05'!K65,'18.05'!$AO$4:$AQ$55,2,FALSE))*IF('18.05'!$AK65="是",'18.05'!$BB$4,'18.05'!$BB$3))</f>
        <v>0</v>
      </c>
      <c r="D65" s="4">
        <f>IF(ISNUMBER(SEARCH("营",'18.05'!L65)),(-$Y65+50*IF('18.05'!$AK65="是",'18.05'!$BB$4,'18.05'!$BB$3)),(VLOOKUP('18.05'!L65,'18.05'!$AO$4:$AQ$55,2,FALSE))*IF('18.05'!$AK65="是",'18.05'!$BB$4,'18.05'!$BB$3))</f>
        <v>0</v>
      </c>
      <c r="E65" s="4">
        <f>IF(ISNUMBER(SEARCH("营",'18.05'!M65)),(-$Y65+50*IF('18.05'!$AK65="是",'18.05'!$BB$4,'18.05'!$BB$3)),(VLOOKUP('18.05'!M65,'18.05'!$AO$4:$AQ$55,2,FALSE))*IF('18.05'!$AK65="是",'18.05'!$BB$4,'18.05'!$BB$3))</f>
        <v>0</v>
      </c>
      <c r="F65" s="4">
        <f>IF(ISNUMBER(SEARCH("营",'18.05'!N65)),(-$Y65+50*IF('18.05'!$AK65="是",'18.05'!$BB$4,'18.05'!$BB$3)),(VLOOKUP('18.05'!N65,'18.05'!$AO$4:$AQ$55,2,FALSE))*IF('18.05'!$AK65="是",'18.05'!$BB$4,'18.05'!$BB$3))</f>
        <v>0</v>
      </c>
      <c r="G65" s="4">
        <f>IF(ISNUMBER(SEARCH("营",'18.05'!O65)),(-$Y65+50*IF('18.05'!$AK65="是",'18.05'!$BB$4,'18.05'!$BB$3)),(VLOOKUP('18.05'!O65,'18.05'!$AO$4:$AQ$55,2,FALSE))*IF('18.05'!$AK65="是",'18.05'!$BB$4,'18.05'!$BB$3))</f>
        <v>0</v>
      </c>
      <c r="H65" s="4">
        <f>IF(ISNUMBER(SEARCH("营",'18.05'!P65)),(-$Y65+50*IF('18.05'!$AK65="是",'18.05'!$BB$4,'18.05'!$BB$3)),(VLOOKUP('18.05'!P65,'18.05'!$AO$4:$AQ$55,2,FALSE))*IF('18.05'!$AK65="是",'18.05'!$BB$4,'18.05'!$BB$3))</f>
        <v>0</v>
      </c>
      <c r="I65" s="4">
        <f>IF(ISNUMBER(SEARCH("营",'18.05'!Q65)),(-$Y65+50*IF('18.05'!$AK65="是",'18.05'!$BB$4,'18.05'!$BB$3)),(VLOOKUP('18.05'!Q65,'18.05'!$AO$4:$AQ$55,2,FALSE))*IF('18.05'!$AK65="是",'18.05'!$BB$4,'18.05'!$BB$3))</f>
        <v>144</v>
      </c>
      <c r="J65" s="4">
        <f>IF(ISNUMBER(SEARCH("营",'18.05'!R65)),(-$Y65+50*IF('18.05'!$AK65="是",'18.05'!$BB$4,'18.05'!$BB$3)),(VLOOKUP('18.05'!R65,'18.05'!$AO$4:$AQ$55,2,FALSE))*IF('18.05'!$AK65="是",'18.05'!$BB$4,'18.05'!$BB$3))</f>
        <v>144</v>
      </c>
      <c r="K65" s="4">
        <f>IF(ISNUMBER(SEARCH("营",'18.05'!S65)),(-$Y65+50*IF('18.05'!$AK65="是",'18.05'!$BB$4,'18.05'!$BB$3)),(VLOOKUP('18.05'!S65,'18.05'!$AO$4:$AQ$55,2,FALSE))*IF('18.05'!$AK65="是",'18.05'!$BB$4,'18.05'!$BB$3))</f>
        <v>144</v>
      </c>
      <c r="L65" s="4">
        <f>IF(ISNUMBER(SEARCH("营",'18.05'!T65)),(-$Y65+50*IF('18.05'!$AK65="是",'18.05'!$BB$4,'18.05'!$BB$3)),(VLOOKUP('18.05'!T65,'18.05'!$AO$4:$AQ$55,2,FALSE))*IF('18.05'!$AK65="是",'18.05'!$BB$4,'18.05'!$BB$3))</f>
        <v>144</v>
      </c>
      <c r="M65" s="4">
        <f>IF(ISNUMBER(SEARCH("营",'18.05'!U65)),(-$Y65+50*IF('18.05'!$AK65="是",'18.05'!$BB$4,'18.05'!$BB$3)),(VLOOKUP('18.05'!U65,'18.05'!$AO$4:$AQ$55,2,FALSE))*IF('18.05'!$AK65="是",'18.05'!$BB$4,'18.05'!$BB$3))</f>
        <v>160</v>
      </c>
      <c r="N65" s="4">
        <f>IF(ISNUMBER(SEARCH("营",'18.05'!V65)),(-$Y65+50*IF('18.05'!$AK65="是",'18.05'!$BB$4,'18.05'!$BB$3)),(VLOOKUP('18.05'!V65,'18.05'!$AO$4:$AQ$55,2,FALSE))*IF('18.05'!$AK65="是",'18.05'!$BB$4,'18.05'!$BB$3))</f>
        <v>144</v>
      </c>
      <c r="O65" s="4">
        <f>IF(ISNUMBER(SEARCH("营",'18.05'!W65)),(-$Y65+50*IF('18.05'!$AK65="是",'18.05'!$BB$4,'18.05'!$BB$3)),(VLOOKUP('18.05'!W65,'18.05'!$AO$4:$AQ$55,2,FALSE))*IF('18.05'!$AK65="是",'18.05'!$BB$4,'18.05'!$BB$3))</f>
        <v>0</v>
      </c>
      <c r="P65" s="4">
        <f>IF(ISNUMBER(SEARCH("营",'18.05'!X65)),(-$Y65+50*IF('18.05'!$AK65="是",'18.05'!$BB$4,'18.05'!$BB$3)),(VLOOKUP('18.05'!X65,'18.05'!$AO$4:$AQ$55,2,FALSE))*IF('18.05'!$AK65="是",'18.05'!$BB$4,'18.05'!$BB$3))</f>
        <v>0</v>
      </c>
      <c r="Q65" s="4">
        <f>IF(ISNUMBER(SEARCH("营",'18.05'!Y65)),(-$Y65+50*IF('18.05'!$AK65="是",'18.05'!$BB$4,'18.05'!$BB$3)),(VLOOKUP('18.05'!Y65,'18.05'!$AO$4:$AQ$55,2,FALSE))*IF('18.05'!$AK65="是",'18.05'!$BB$4,'18.05'!$BB$3))</f>
        <v>0</v>
      </c>
      <c r="R65" s="4">
        <f>IF(ISNUMBER(SEARCH("营",'18.05'!Z65)),(-$Y65+50*IF('18.05'!$AK65="是",'18.05'!$BB$4,'18.05'!$BB$3)),(VLOOKUP('18.05'!Z65,'18.05'!$AO$4:$AQ$55,2,FALSE))*IF('18.05'!$AK65="是",'18.05'!$BB$4,'18.05'!$BB$3))</f>
        <v>0</v>
      </c>
      <c r="S65" s="4">
        <f>IF(ISNUMBER(SEARCH("营",'18.05'!AA65)),(-$Y65+50*IF('18.05'!$AK65="是",'18.05'!$BB$4,'18.05'!$BB$3)),(VLOOKUP('18.05'!AA65,'18.05'!$AO$4:$AQ$55,2,FALSE))*IF('18.05'!$AK65="是",'18.05'!$BB$4,'18.05'!$BB$3))</f>
        <v>0</v>
      </c>
      <c r="T65" s="4">
        <f>IF(ISNUMBER(SEARCH("营",'18.05'!AB65)),(-$Y65+50*IF('18.05'!$AK65="是",'18.05'!$BB$4,'18.05'!$BB$3)),(VLOOKUP('18.05'!AB65,'18.05'!$AO$4:$AQ$55,2,FALSE))*IF('18.05'!$AK65="是",'18.05'!$BB$4,'18.05'!$BB$3))</f>
        <v>0</v>
      </c>
      <c r="U65" s="4">
        <f>IF(ISNUMBER(SEARCH("营",'18.05'!AC65)),(-$Y65+50*IF('18.05'!$AK65="是",'18.05'!$BB$4,'18.05'!$BB$3)),(VLOOKUP('18.05'!AC65,'18.05'!$AO$4:$AQ$55,2,FALSE))*IF('18.05'!$AK65="是",'18.05'!$BB$4,'18.05'!$BB$3))</f>
        <v>0</v>
      </c>
      <c r="V65" s="4">
        <f>IF(ISNUMBER(SEARCH("营",'18.05'!AD65)),(-$Y65+50*IF('18.05'!$AK65="是",'18.05'!$BB$4,'18.05'!$BB$3)),(VLOOKUP('18.05'!AD65,'18.05'!$AO$4:$AQ$55,2,FALSE))*IF('18.05'!$AK65="是",'18.05'!$BB$4,'18.05'!$BB$3))</f>
        <v>0</v>
      </c>
      <c r="W65" s="4">
        <f>IF(ISNUMBER(SEARCH("营",'18.05'!AE65)),(-$Y65+50*IF('18.05'!$AK65="是",'18.05'!$BB$4,'18.05'!$BB$3)),(VLOOKUP('18.05'!AE65,'18.05'!$AO$4:$AQ$55,2,FALSE))*IF('18.05'!$AK65="是",'18.05'!$BB$4,'18.05'!$BB$3))</f>
        <v>0</v>
      </c>
      <c r="X65" s="4">
        <f>IF(ISNUMBER(SEARCH("营",'18.05'!AF65)),(-$Y65+50*IF('18.05'!$AK65="是",'18.05'!$BB$4,'18.05'!$BB$3)),(VLOOKUP('18.05'!AF65,'18.05'!$AO$4:$AQ$55,2,FALSE))*IF('18.05'!$AK65="是",'18.05'!$BB$4,'18.05'!$BB$3))</f>
        <v>0</v>
      </c>
      <c r="Y65" s="69">
        <v>100</v>
      </c>
      <c r="Z65" s="75">
        <v>45700</v>
      </c>
    </row>
    <row r="66" spans="1:26">
      <c r="A66" s="4">
        <f>IF(ISNUMBER(SEARCH("营",'18.05'!I66)),(-$Y66+50*IF('18.05'!$AK66="是",'18.05'!$BB$4,'18.05'!$BB$3)),(VLOOKUP('18.05'!I66,'18.05'!$AO$4:$AQ$55,2,FALSE))*IF('18.05'!$AK66="是",'18.05'!$BB$4,'18.05'!$BB$3))</f>
        <v>0</v>
      </c>
      <c r="B66" s="4">
        <f>IF(ISNUMBER(SEARCH("营",'18.05'!J66)),(-$Y66+50*IF('18.05'!$AK66="是",'18.05'!$BB$4,'18.05'!$BB$3)),(VLOOKUP('18.05'!J66,'18.05'!$AO$4:$AQ$55,2,FALSE))*IF('18.05'!$AK66="是",'18.05'!$BB$4,'18.05'!$BB$3))</f>
        <v>0</v>
      </c>
      <c r="C66" s="4">
        <f>IF(ISNUMBER(SEARCH("营",'18.05'!K66)),(-$Y66+50*IF('18.05'!$AK66="是",'18.05'!$BB$4,'18.05'!$BB$3)),(VLOOKUP('18.05'!K66,'18.05'!$AO$4:$AQ$55,2,FALSE))*IF('18.05'!$AK66="是",'18.05'!$BB$4,'18.05'!$BB$3))</f>
        <v>0</v>
      </c>
      <c r="D66" s="4">
        <f>IF(ISNUMBER(SEARCH("营",'18.05'!L66)),(-$Y66+50*IF('18.05'!$AK66="是",'18.05'!$BB$4,'18.05'!$BB$3)),(VLOOKUP('18.05'!L66,'18.05'!$AO$4:$AQ$55,2,FALSE))*IF('18.05'!$AK66="是",'18.05'!$BB$4,'18.05'!$BB$3))</f>
        <v>0</v>
      </c>
      <c r="E66" s="4">
        <f>IF(ISNUMBER(SEARCH("营",'18.05'!M66)),(-$Y66+50*IF('18.05'!$AK66="是",'18.05'!$BB$4,'18.05'!$BB$3)),(VLOOKUP('18.05'!M66,'18.05'!$AO$4:$AQ$55,2,FALSE))*IF('18.05'!$AK66="是",'18.05'!$BB$4,'18.05'!$BB$3))</f>
        <v>0</v>
      </c>
      <c r="F66" s="4">
        <f>IF(ISNUMBER(SEARCH("营",'18.05'!N66)),(-$Y66+50*IF('18.05'!$AK66="是",'18.05'!$BB$4,'18.05'!$BB$3)),(VLOOKUP('18.05'!N66,'18.05'!$AO$4:$AQ$55,2,FALSE))*IF('18.05'!$AK66="是",'18.05'!$BB$4,'18.05'!$BB$3))</f>
        <v>0</v>
      </c>
      <c r="G66" s="4">
        <f>IF(ISNUMBER(SEARCH("营",'18.05'!O66)),(-$Y66+50*IF('18.05'!$AK66="是",'18.05'!$BB$4,'18.05'!$BB$3)),(VLOOKUP('18.05'!O66,'18.05'!$AO$4:$AQ$55,2,FALSE))*IF('18.05'!$AK66="是",'18.05'!$BB$4,'18.05'!$BB$3))</f>
        <v>0</v>
      </c>
      <c r="H66" s="4">
        <f>IF(ISNUMBER(SEARCH("营",'18.05'!P66)),(-$Y66+50*IF('18.05'!$AK66="是",'18.05'!$BB$4,'18.05'!$BB$3)),(VLOOKUP('18.05'!P66,'18.05'!$AO$4:$AQ$55,2,FALSE))*IF('18.05'!$AK66="是",'18.05'!$BB$4,'18.05'!$BB$3))</f>
        <v>0</v>
      </c>
      <c r="I66" s="4">
        <f>IF(ISNUMBER(SEARCH("营",'18.05'!Q66)),(-$Y66+50*IF('18.05'!$AK66="是",'18.05'!$BB$4,'18.05'!$BB$3)),(VLOOKUP('18.05'!Q66,'18.05'!$AO$4:$AQ$55,2,FALSE))*IF('18.05'!$AK66="是",'18.05'!$BB$4,'18.05'!$BB$3))</f>
        <v>144</v>
      </c>
      <c r="J66" s="4">
        <f>IF(ISNUMBER(SEARCH("营",'18.05'!R66)),(-$Y66+50*IF('18.05'!$AK66="是",'18.05'!$BB$4,'18.05'!$BB$3)),(VLOOKUP('18.05'!R66,'18.05'!$AO$4:$AQ$55,2,FALSE))*IF('18.05'!$AK66="是",'18.05'!$BB$4,'18.05'!$BB$3))</f>
        <v>144</v>
      </c>
      <c r="K66" s="4">
        <f>IF(ISNUMBER(SEARCH("营",'18.05'!S66)),(-$Y66+50*IF('18.05'!$AK66="是",'18.05'!$BB$4,'18.05'!$BB$3)),(VLOOKUP('18.05'!S66,'18.05'!$AO$4:$AQ$55,2,FALSE))*IF('18.05'!$AK66="是",'18.05'!$BB$4,'18.05'!$BB$3))</f>
        <v>160</v>
      </c>
      <c r="L66" s="4">
        <f>IF(ISNUMBER(SEARCH("营",'18.05'!T66)),(-$Y66+50*IF('18.05'!$AK66="是",'18.05'!$BB$4,'18.05'!$BB$3)),(VLOOKUP('18.05'!T66,'18.05'!$AO$4:$AQ$55,2,FALSE))*IF('18.05'!$AK66="是",'18.05'!$BB$4,'18.05'!$BB$3))</f>
        <v>160</v>
      </c>
      <c r="M66" s="4">
        <f>IF(ISNUMBER(SEARCH("营",'18.05'!U66)),(-$Y66+50*IF('18.05'!$AK66="是",'18.05'!$BB$4,'18.05'!$BB$3)),(VLOOKUP('18.05'!U66,'18.05'!$AO$4:$AQ$55,2,FALSE))*IF('18.05'!$AK66="是",'18.05'!$BB$4,'18.05'!$BB$3))</f>
        <v>144</v>
      </c>
      <c r="N66" s="4">
        <f>IF(ISNUMBER(SEARCH("营",'18.05'!V66)),(-$Y66+50*IF('18.05'!$AK66="是",'18.05'!$BB$4,'18.05'!$BB$3)),(VLOOKUP('18.05'!V66,'18.05'!$AO$4:$AQ$55,2,FALSE))*IF('18.05'!$AK66="是",'18.05'!$BB$4,'18.05'!$BB$3))</f>
        <v>144</v>
      </c>
      <c r="O66" s="4">
        <f>IF(ISNUMBER(SEARCH("营",'18.05'!W66)),(-$Y66+50*IF('18.05'!$AK66="是",'18.05'!$BB$4,'18.05'!$BB$3)),(VLOOKUP('18.05'!W66,'18.05'!$AO$4:$AQ$55,2,FALSE))*IF('18.05'!$AK66="是",'18.05'!$BB$4,'18.05'!$BB$3))</f>
        <v>0</v>
      </c>
      <c r="P66" s="4">
        <f>IF(ISNUMBER(SEARCH("营",'18.05'!X66)),(-$Y66+50*IF('18.05'!$AK66="是",'18.05'!$BB$4,'18.05'!$BB$3)),(VLOOKUP('18.05'!X66,'18.05'!$AO$4:$AQ$55,2,FALSE))*IF('18.05'!$AK66="是",'18.05'!$BB$4,'18.05'!$BB$3))</f>
        <v>0</v>
      </c>
      <c r="Q66" s="4">
        <f>IF(ISNUMBER(SEARCH("营",'18.05'!Y66)),(-$Y66+50*IF('18.05'!$AK66="是",'18.05'!$BB$4,'18.05'!$BB$3)),(VLOOKUP('18.05'!Y66,'18.05'!$AO$4:$AQ$55,2,FALSE))*IF('18.05'!$AK66="是",'18.05'!$BB$4,'18.05'!$BB$3))</f>
        <v>0</v>
      </c>
      <c r="R66" s="4">
        <f>IF(ISNUMBER(SEARCH("营",'18.05'!Z66)),(-$Y66+50*IF('18.05'!$AK66="是",'18.05'!$BB$4,'18.05'!$BB$3)),(VLOOKUP('18.05'!Z66,'18.05'!$AO$4:$AQ$55,2,FALSE))*IF('18.05'!$AK66="是",'18.05'!$BB$4,'18.05'!$BB$3))</f>
        <v>0</v>
      </c>
      <c r="S66" s="4">
        <f>IF(ISNUMBER(SEARCH("营",'18.05'!AA66)),(-$Y66+50*IF('18.05'!$AK66="是",'18.05'!$BB$4,'18.05'!$BB$3)),(VLOOKUP('18.05'!AA66,'18.05'!$AO$4:$AQ$55,2,FALSE))*IF('18.05'!$AK66="是",'18.05'!$BB$4,'18.05'!$BB$3))</f>
        <v>0</v>
      </c>
      <c r="T66" s="4">
        <f>IF(ISNUMBER(SEARCH("营",'18.05'!AB66)),(-$Y66+50*IF('18.05'!$AK66="是",'18.05'!$BB$4,'18.05'!$BB$3)),(VLOOKUP('18.05'!AB66,'18.05'!$AO$4:$AQ$55,2,FALSE))*IF('18.05'!$AK66="是",'18.05'!$BB$4,'18.05'!$BB$3))</f>
        <v>0</v>
      </c>
      <c r="U66" s="4">
        <f>IF(ISNUMBER(SEARCH("营",'18.05'!AC66)),(-$Y66+50*IF('18.05'!$AK66="是",'18.05'!$BB$4,'18.05'!$BB$3)),(VLOOKUP('18.05'!AC66,'18.05'!$AO$4:$AQ$55,2,FALSE))*IF('18.05'!$AK66="是",'18.05'!$BB$4,'18.05'!$BB$3))</f>
        <v>0</v>
      </c>
      <c r="V66" s="4">
        <f>IF(ISNUMBER(SEARCH("营",'18.05'!AD66)),(-$Y66+50*IF('18.05'!$AK66="是",'18.05'!$BB$4,'18.05'!$BB$3)),(VLOOKUP('18.05'!AD66,'18.05'!$AO$4:$AQ$55,2,FALSE))*IF('18.05'!$AK66="是",'18.05'!$BB$4,'18.05'!$BB$3))</f>
        <v>0</v>
      </c>
      <c r="W66" s="4">
        <f>IF(ISNUMBER(SEARCH("营",'18.05'!AE66)),(-$Y66+50*IF('18.05'!$AK66="是",'18.05'!$BB$4,'18.05'!$BB$3)),(VLOOKUP('18.05'!AE66,'18.05'!$AO$4:$AQ$55,2,FALSE))*IF('18.05'!$AK66="是",'18.05'!$BB$4,'18.05'!$BB$3))</f>
        <v>0</v>
      </c>
      <c r="X66" s="4">
        <f>IF(ISNUMBER(SEARCH("营",'18.05'!AF66)),(-$Y66+50*IF('18.05'!$AK66="是",'18.05'!$BB$4,'18.05'!$BB$3)),(VLOOKUP('18.05'!AF66,'18.05'!$AO$4:$AQ$55,2,FALSE))*IF('18.05'!$AK66="是",'18.05'!$BB$4,'18.05'!$BB$3))</f>
        <v>0</v>
      </c>
      <c r="Y66" s="69">
        <v>100</v>
      </c>
      <c r="Z66" s="75">
        <v>45701</v>
      </c>
    </row>
    <row r="67" spans="1:26">
      <c r="A67" s="4">
        <f>IF(ISNUMBER(SEARCH("营",'18.05'!I67)),(-$Y67+50*IF('18.05'!$AK67="是",'18.05'!$BB$4,'18.05'!$BB$3)),(VLOOKUP('18.05'!I67,'18.05'!$AO$4:$AQ$55,2,FALSE))*IF('18.05'!$AK67="是",'18.05'!$BB$4,'18.05'!$BB$3))</f>
        <v>160</v>
      </c>
      <c r="B67" s="4">
        <f>IF(ISNUMBER(SEARCH("营",'18.05'!J67)),(-$Y67+50*IF('18.05'!$AK67="是",'18.05'!$BB$4,'18.05'!$BB$3)),(VLOOKUP('18.05'!J67,'18.05'!$AO$4:$AQ$55,2,FALSE))*IF('18.05'!$AK67="是",'18.05'!$BB$4,'18.05'!$BB$3))</f>
        <v>160</v>
      </c>
      <c r="C67" s="4">
        <f>IF(ISNUMBER(SEARCH("营",'18.05'!K67)),(-$Y67+50*IF('18.05'!$AK67="是",'18.05'!$BB$4,'18.05'!$BB$3)),(VLOOKUP('18.05'!K67,'18.05'!$AO$4:$AQ$55,2,FALSE))*IF('18.05'!$AK67="是",'18.05'!$BB$4,'18.05'!$BB$3))</f>
        <v>160</v>
      </c>
      <c r="D67" s="4">
        <f>IF(ISNUMBER(SEARCH("营",'18.05'!L67)),(-$Y67+50*IF('18.05'!$AK67="是",'18.05'!$BB$4,'18.05'!$BB$3)),(VLOOKUP('18.05'!L67,'18.05'!$AO$4:$AQ$55,2,FALSE))*IF('18.05'!$AK67="是",'18.05'!$BB$4,'18.05'!$BB$3))</f>
        <v>160</v>
      </c>
      <c r="E67" s="4">
        <f>IF(ISNUMBER(SEARCH("营",'18.05'!M67)),(-$Y67+50*IF('18.05'!$AK67="是",'18.05'!$BB$4,'18.05'!$BB$3)),(VLOOKUP('18.05'!M67,'18.05'!$AO$4:$AQ$55,2,FALSE))*IF('18.05'!$AK67="是",'18.05'!$BB$4,'18.05'!$BB$3))</f>
        <v>160</v>
      </c>
      <c r="F67" s="4">
        <f>IF(ISNUMBER(SEARCH("营",'18.05'!N67)),(-$Y67+50*IF('18.05'!$AK67="是",'18.05'!$BB$4,'18.05'!$BB$3)),(VLOOKUP('18.05'!N67,'18.05'!$AO$4:$AQ$55,2,FALSE))*IF('18.05'!$AK67="是",'18.05'!$BB$4,'18.05'!$BB$3))</f>
        <v>160</v>
      </c>
      <c r="G67" s="4">
        <f>IF(ISNUMBER(SEARCH("营",'18.05'!O67)),(-$Y67+50*IF('18.05'!$AK67="是",'18.05'!$BB$4,'18.05'!$BB$3)),(VLOOKUP('18.05'!O67,'18.05'!$AO$4:$AQ$55,2,FALSE))*IF('18.05'!$AK67="是",'18.05'!$BB$4,'18.05'!$BB$3))</f>
        <v>0</v>
      </c>
      <c r="H67" s="4">
        <f>IF(ISNUMBER(SEARCH("营",'18.05'!P67)),(-$Y67+50*IF('18.05'!$AK67="是",'18.05'!$BB$4,'18.05'!$BB$3)),(VLOOKUP('18.05'!P67,'18.05'!$AO$4:$AQ$55,2,FALSE))*IF('18.05'!$AK67="是",'18.05'!$BB$4,'18.05'!$BB$3))</f>
        <v>0</v>
      </c>
      <c r="I67" s="4">
        <f>IF(ISNUMBER(SEARCH("营",'18.05'!Q67)),(-$Y67+50*IF('18.05'!$AK67="是",'18.05'!$BB$4,'18.05'!$BB$3)),(VLOOKUP('18.05'!Q67,'18.05'!$AO$4:$AQ$55,2,FALSE))*IF('18.05'!$AK67="是",'18.05'!$BB$4,'18.05'!$BB$3))</f>
        <v>144</v>
      </c>
      <c r="J67" s="4">
        <f>IF(ISNUMBER(SEARCH("营",'18.05'!R67)),(-$Y67+50*IF('18.05'!$AK67="是",'18.05'!$BB$4,'18.05'!$BB$3)),(VLOOKUP('18.05'!R67,'18.05'!$AO$4:$AQ$55,2,FALSE))*IF('18.05'!$AK67="是",'18.05'!$BB$4,'18.05'!$BB$3))</f>
        <v>144</v>
      </c>
      <c r="K67" s="4">
        <f>IF(ISNUMBER(SEARCH("营",'18.05'!S67)),(-$Y67+50*IF('18.05'!$AK67="是",'18.05'!$BB$4,'18.05'!$BB$3)),(VLOOKUP('18.05'!S67,'18.05'!$AO$4:$AQ$55,2,FALSE))*IF('18.05'!$AK67="是",'18.05'!$BB$4,'18.05'!$BB$3))</f>
        <v>152</v>
      </c>
      <c r="L67" s="4">
        <f>IF(ISNUMBER(SEARCH("营",'18.05'!T67)),(-$Y67+50*IF('18.05'!$AK67="是",'18.05'!$BB$4,'18.05'!$BB$3)),(VLOOKUP('18.05'!T67,'18.05'!$AO$4:$AQ$55,2,FALSE))*IF('18.05'!$AK67="是",'18.05'!$BB$4,'18.05'!$BB$3))</f>
        <v>152</v>
      </c>
      <c r="M67" s="4">
        <f>IF(ISNUMBER(SEARCH("营",'18.05'!U67)),(-$Y67+50*IF('18.05'!$AK67="是",'18.05'!$BB$4,'18.05'!$BB$3)),(VLOOKUP('18.05'!U67,'18.05'!$AO$4:$AQ$55,2,FALSE))*IF('18.05'!$AK67="是",'18.05'!$BB$4,'18.05'!$BB$3))</f>
        <v>152</v>
      </c>
      <c r="N67" s="4">
        <f>IF(ISNUMBER(SEARCH("营",'18.05'!V67)),(-$Y67+50*IF('18.05'!$AK67="是",'18.05'!$BB$4,'18.05'!$BB$3)),(VLOOKUP('18.05'!V67,'18.05'!$AO$4:$AQ$55,2,FALSE))*IF('18.05'!$AK67="是",'18.05'!$BB$4,'18.05'!$BB$3))</f>
        <v>152</v>
      </c>
      <c r="O67" s="4">
        <f>IF(ISNUMBER(SEARCH("营",'18.05'!W67)),(-$Y67+50*IF('18.05'!$AK67="是",'18.05'!$BB$4,'18.05'!$BB$3)),(VLOOKUP('18.05'!W67,'18.05'!$AO$4:$AQ$55,2,FALSE))*IF('18.05'!$AK67="是",'18.05'!$BB$4,'18.05'!$BB$3))</f>
        <v>0</v>
      </c>
      <c r="P67" s="4">
        <f>IF(ISNUMBER(SEARCH("营",'18.05'!X67)),(-$Y67+50*IF('18.05'!$AK67="是",'18.05'!$BB$4,'18.05'!$BB$3)),(VLOOKUP('18.05'!X67,'18.05'!$AO$4:$AQ$55,2,FALSE))*IF('18.05'!$AK67="是",'18.05'!$BB$4,'18.05'!$BB$3))</f>
        <v>0</v>
      </c>
      <c r="Q67" s="4">
        <f>IF(ISNUMBER(SEARCH("营",'18.05'!Y67)),(-$Y67+50*IF('18.05'!$AK67="是",'18.05'!$BB$4,'18.05'!$BB$3)),(VLOOKUP('18.05'!Y67,'18.05'!$AO$4:$AQ$55,2,FALSE))*IF('18.05'!$AK67="是",'18.05'!$BB$4,'18.05'!$BB$3))</f>
        <v>0</v>
      </c>
      <c r="R67" s="4">
        <f>IF(ISNUMBER(SEARCH("营",'18.05'!Z67)),(-$Y67+50*IF('18.05'!$AK67="是",'18.05'!$BB$4,'18.05'!$BB$3)),(VLOOKUP('18.05'!Z67,'18.05'!$AO$4:$AQ$55,2,FALSE))*IF('18.05'!$AK67="是",'18.05'!$BB$4,'18.05'!$BB$3))</f>
        <v>0</v>
      </c>
      <c r="S67" s="4">
        <f>IF(ISNUMBER(SEARCH("营",'18.05'!AA67)),(-$Y67+50*IF('18.05'!$AK67="是",'18.05'!$BB$4,'18.05'!$BB$3)),(VLOOKUP('18.05'!AA67,'18.05'!$AO$4:$AQ$55,2,FALSE))*IF('18.05'!$AK67="是",'18.05'!$BB$4,'18.05'!$BB$3))</f>
        <v>0</v>
      </c>
      <c r="T67" s="4">
        <f>IF(ISNUMBER(SEARCH("营",'18.05'!AB67)),(-$Y67+50*IF('18.05'!$AK67="是",'18.05'!$BB$4,'18.05'!$BB$3)),(VLOOKUP('18.05'!AB67,'18.05'!$AO$4:$AQ$55,2,FALSE))*IF('18.05'!$AK67="是",'18.05'!$BB$4,'18.05'!$BB$3))</f>
        <v>0</v>
      </c>
      <c r="U67" s="4">
        <f>IF(ISNUMBER(SEARCH("营",'18.05'!AC67)),(-$Y67+50*IF('18.05'!$AK67="是",'18.05'!$BB$4,'18.05'!$BB$3)),(VLOOKUP('18.05'!AC67,'18.05'!$AO$4:$AQ$55,2,FALSE))*IF('18.05'!$AK67="是",'18.05'!$BB$4,'18.05'!$BB$3))</f>
        <v>0</v>
      </c>
      <c r="V67" s="4">
        <f>IF(ISNUMBER(SEARCH("营",'18.05'!AD67)),(-$Y67+50*IF('18.05'!$AK67="是",'18.05'!$BB$4,'18.05'!$BB$3)),(VLOOKUP('18.05'!AD67,'18.05'!$AO$4:$AQ$55,2,FALSE))*IF('18.05'!$AK67="是",'18.05'!$BB$4,'18.05'!$BB$3))</f>
        <v>0</v>
      </c>
      <c r="W67" s="4">
        <f>IF(ISNUMBER(SEARCH("营",'18.05'!AE67)),(-$Y67+50*IF('18.05'!$AK67="是",'18.05'!$BB$4,'18.05'!$BB$3)),(VLOOKUP('18.05'!AE67,'18.05'!$AO$4:$AQ$55,2,FALSE))*IF('18.05'!$AK67="是",'18.05'!$BB$4,'18.05'!$BB$3))</f>
        <v>0</v>
      </c>
      <c r="X67" s="4">
        <f>IF(ISNUMBER(SEARCH("营",'18.05'!AF67)),(-$Y67+50*IF('18.05'!$AK67="是",'18.05'!$BB$4,'18.05'!$BB$3)),(VLOOKUP('18.05'!AF67,'18.05'!$AO$4:$AQ$55,2,FALSE))*IF('18.05'!$AK67="是",'18.05'!$BB$4,'18.05'!$BB$3))</f>
        <v>0</v>
      </c>
      <c r="Y67" s="69">
        <v>100</v>
      </c>
      <c r="Z67" s="75">
        <v>45702</v>
      </c>
    </row>
    <row r="68" spans="1:26">
      <c r="A68" s="4">
        <f>IF(ISNUMBER(SEARCH("营",'18.05'!I68)),(-$Y68+50*IF('18.05'!$AK68="是",'18.05'!$BB$4,'18.05'!$BB$3)),(VLOOKUP('18.05'!I68,'18.05'!$AO$4:$AQ$55,2,FALSE))*IF('18.05'!$AK68="是",'18.05'!$BB$4,'18.05'!$BB$3))</f>
        <v>160</v>
      </c>
      <c r="B68" s="4">
        <f>IF(ISNUMBER(SEARCH("营",'18.05'!J68)),(-$Y68+50*IF('18.05'!$AK68="是",'18.05'!$BB$4,'18.05'!$BB$3)),(VLOOKUP('18.05'!J68,'18.05'!$AO$4:$AQ$55,2,FALSE))*IF('18.05'!$AK68="是",'18.05'!$BB$4,'18.05'!$BB$3))</f>
        <v>160</v>
      </c>
      <c r="C68" s="4">
        <f>IF(ISNUMBER(SEARCH("营",'18.05'!K68)),(-$Y68+50*IF('18.05'!$AK68="是",'18.05'!$BB$4,'18.05'!$BB$3)),(VLOOKUP('18.05'!K68,'18.05'!$AO$4:$AQ$55,2,FALSE))*IF('18.05'!$AK68="是",'18.05'!$BB$4,'18.05'!$BB$3))</f>
        <v>160</v>
      </c>
      <c r="D68" s="4">
        <f>IF(ISNUMBER(SEARCH("营",'18.05'!L68)),(-$Y68+50*IF('18.05'!$AK68="是",'18.05'!$BB$4,'18.05'!$BB$3)),(VLOOKUP('18.05'!L68,'18.05'!$AO$4:$AQ$55,2,FALSE))*IF('18.05'!$AK68="是",'18.05'!$BB$4,'18.05'!$BB$3))</f>
        <v>160</v>
      </c>
      <c r="E68" s="4">
        <f>IF(ISNUMBER(SEARCH("营",'18.05'!M68)),(-$Y68+50*IF('18.05'!$AK68="是",'18.05'!$BB$4,'18.05'!$BB$3)),(VLOOKUP('18.05'!M68,'18.05'!$AO$4:$AQ$55,2,FALSE))*IF('18.05'!$AK68="是",'18.05'!$BB$4,'18.05'!$BB$3))</f>
        <v>160</v>
      </c>
      <c r="F68" s="4">
        <f>IF(ISNUMBER(SEARCH("营",'18.05'!N68)),(-$Y68+50*IF('18.05'!$AK68="是",'18.05'!$BB$4,'18.05'!$BB$3)),(VLOOKUP('18.05'!N68,'18.05'!$AO$4:$AQ$55,2,FALSE))*IF('18.05'!$AK68="是",'18.05'!$BB$4,'18.05'!$BB$3))</f>
        <v>160</v>
      </c>
      <c r="G68" s="4">
        <f>IF(ISNUMBER(SEARCH("营",'18.05'!O68)),(-$Y68+50*IF('18.05'!$AK68="是",'18.05'!$BB$4,'18.05'!$BB$3)),(VLOOKUP('18.05'!O68,'18.05'!$AO$4:$AQ$55,2,FALSE))*IF('18.05'!$AK68="是",'18.05'!$BB$4,'18.05'!$BB$3))</f>
        <v>0</v>
      </c>
      <c r="H68" s="4">
        <f>IF(ISNUMBER(SEARCH("营",'18.05'!P68)),(-$Y68+50*IF('18.05'!$AK68="是",'18.05'!$BB$4,'18.05'!$BB$3)),(VLOOKUP('18.05'!P68,'18.05'!$AO$4:$AQ$55,2,FALSE))*IF('18.05'!$AK68="是",'18.05'!$BB$4,'18.05'!$BB$3))</f>
        <v>0</v>
      </c>
      <c r="I68" s="4">
        <f>IF(ISNUMBER(SEARCH("营",'18.05'!Q68)),(-$Y68+50*IF('18.05'!$AK68="是",'18.05'!$BB$4,'18.05'!$BB$3)),(VLOOKUP('18.05'!Q68,'18.05'!$AO$4:$AQ$55,2,FALSE))*IF('18.05'!$AK68="是",'18.05'!$BB$4,'18.05'!$BB$3))</f>
        <v>120</v>
      </c>
      <c r="J68" s="4">
        <f>IF(ISNUMBER(SEARCH("营",'18.05'!R68)),(-$Y68+50*IF('18.05'!$AK68="是",'18.05'!$BB$4,'18.05'!$BB$3)),(VLOOKUP('18.05'!R68,'18.05'!$AO$4:$AQ$55,2,FALSE))*IF('18.05'!$AK68="是",'18.05'!$BB$4,'18.05'!$BB$3))</f>
        <v>152</v>
      </c>
      <c r="K68" s="4">
        <f>IF(ISNUMBER(SEARCH("营",'18.05'!S68)),(-$Y68+50*IF('18.05'!$AK68="是",'18.05'!$BB$4,'18.05'!$BB$3)),(VLOOKUP('18.05'!S68,'18.05'!$AO$4:$AQ$55,2,FALSE))*IF('18.05'!$AK68="是",'18.05'!$BB$4,'18.05'!$BB$3))</f>
        <v>152</v>
      </c>
      <c r="L68" s="4">
        <f>IF(ISNUMBER(SEARCH("营",'18.05'!T68)),(-$Y68+50*IF('18.05'!$AK68="是",'18.05'!$BB$4,'18.05'!$BB$3)),(VLOOKUP('18.05'!T68,'18.05'!$AO$4:$AQ$55,2,FALSE))*IF('18.05'!$AK68="是",'18.05'!$BB$4,'18.05'!$BB$3))</f>
        <v>152</v>
      </c>
      <c r="M68" s="4">
        <f>IF(ISNUMBER(SEARCH("营",'18.05'!U68)),(-$Y68+50*IF('18.05'!$AK68="是",'18.05'!$BB$4,'18.05'!$BB$3)),(VLOOKUP('18.05'!U68,'18.05'!$AO$4:$AQ$55,2,FALSE))*IF('18.05'!$AK68="是",'18.05'!$BB$4,'18.05'!$BB$3))</f>
        <v>152</v>
      </c>
      <c r="N68" s="4">
        <f>IF(ISNUMBER(SEARCH("营",'18.05'!V68)),(-$Y68+50*IF('18.05'!$AK68="是",'18.05'!$BB$4,'18.05'!$BB$3)),(VLOOKUP('18.05'!V68,'18.05'!$AO$4:$AQ$55,2,FALSE))*IF('18.05'!$AK68="是",'18.05'!$BB$4,'18.05'!$BB$3))</f>
        <v>144</v>
      </c>
      <c r="O68" s="4">
        <f>IF(ISNUMBER(SEARCH("营",'18.05'!W68)),(-$Y68+50*IF('18.05'!$AK68="是",'18.05'!$BB$4,'18.05'!$BB$3)),(VLOOKUP('18.05'!W68,'18.05'!$AO$4:$AQ$55,2,FALSE))*IF('18.05'!$AK68="是",'18.05'!$BB$4,'18.05'!$BB$3))</f>
        <v>0</v>
      </c>
      <c r="P68" s="4">
        <f>IF(ISNUMBER(SEARCH("营",'18.05'!X68)),(-$Y68+50*IF('18.05'!$AK68="是",'18.05'!$BB$4,'18.05'!$BB$3)),(VLOOKUP('18.05'!X68,'18.05'!$AO$4:$AQ$55,2,FALSE))*IF('18.05'!$AK68="是",'18.05'!$BB$4,'18.05'!$BB$3))</f>
        <v>0</v>
      </c>
      <c r="Q68" s="4">
        <f>IF(ISNUMBER(SEARCH("营",'18.05'!Y68)),(-$Y68+50*IF('18.05'!$AK68="是",'18.05'!$BB$4,'18.05'!$BB$3)),(VLOOKUP('18.05'!Y68,'18.05'!$AO$4:$AQ$55,2,FALSE))*IF('18.05'!$AK68="是",'18.05'!$BB$4,'18.05'!$BB$3))</f>
        <v>0</v>
      </c>
      <c r="R68" s="4">
        <f>IF(ISNUMBER(SEARCH("营",'18.05'!Z68)),(-$Y68+50*IF('18.05'!$AK68="是",'18.05'!$BB$4,'18.05'!$BB$3)),(VLOOKUP('18.05'!Z68,'18.05'!$AO$4:$AQ$55,2,FALSE))*IF('18.05'!$AK68="是",'18.05'!$BB$4,'18.05'!$BB$3))</f>
        <v>0</v>
      </c>
      <c r="S68" s="4">
        <f>IF(ISNUMBER(SEARCH("营",'18.05'!AA68)),(-$Y68+50*IF('18.05'!$AK68="是",'18.05'!$BB$4,'18.05'!$BB$3)),(VLOOKUP('18.05'!AA68,'18.05'!$AO$4:$AQ$55,2,FALSE))*IF('18.05'!$AK68="是",'18.05'!$BB$4,'18.05'!$BB$3))</f>
        <v>0</v>
      </c>
      <c r="T68" s="4">
        <f>IF(ISNUMBER(SEARCH("营",'18.05'!AB68)),(-$Y68+50*IF('18.05'!$AK68="是",'18.05'!$BB$4,'18.05'!$BB$3)),(VLOOKUP('18.05'!AB68,'18.05'!$AO$4:$AQ$55,2,FALSE))*IF('18.05'!$AK68="是",'18.05'!$BB$4,'18.05'!$BB$3))</f>
        <v>0</v>
      </c>
      <c r="U68" s="4">
        <f>IF(ISNUMBER(SEARCH("营",'18.05'!AC68)),(-$Y68+50*IF('18.05'!$AK68="是",'18.05'!$BB$4,'18.05'!$BB$3)),(VLOOKUP('18.05'!AC68,'18.05'!$AO$4:$AQ$55,2,FALSE))*IF('18.05'!$AK68="是",'18.05'!$BB$4,'18.05'!$BB$3))</f>
        <v>0</v>
      </c>
      <c r="V68" s="4">
        <f>IF(ISNUMBER(SEARCH("营",'18.05'!AD68)),(-$Y68+50*IF('18.05'!$AK68="是",'18.05'!$BB$4,'18.05'!$BB$3)),(VLOOKUP('18.05'!AD68,'18.05'!$AO$4:$AQ$55,2,FALSE))*IF('18.05'!$AK68="是",'18.05'!$BB$4,'18.05'!$BB$3))</f>
        <v>0</v>
      </c>
      <c r="W68" s="4">
        <f>IF(ISNUMBER(SEARCH("营",'18.05'!AE68)),(-$Y68+50*IF('18.05'!$AK68="是",'18.05'!$BB$4,'18.05'!$BB$3)),(VLOOKUP('18.05'!AE68,'18.05'!$AO$4:$AQ$55,2,FALSE))*IF('18.05'!$AK68="是",'18.05'!$BB$4,'18.05'!$BB$3))</f>
        <v>0</v>
      </c>
      <c r="X68" s="4">
        <f>IF(ISNUMBER(SEARCH("营",'18.05'!AF68)),(-$Y68+50*IF('18.05'!$AK68="是",'18.05'!$BB$4,'18.05'!$BB$3)),(VLOOKUP('18.05'!AF68,'18.05'!$AO$4:$AQ$55,2,FALSE))*IF('18.05'!$AK68="是",'18.05'!$BB$4,'18.05'!$BB$3))</f>
        <v>0</v>
      </c>
      <c r="Y68" s="69">
        <v>100</v>
      </c>
      <c r="Z68" s="75">
        <v>45703</v>
      </c>
    </row>
    <row r="69" spans="1:26">
      <c r="A69" s="4">
        <f>IF(ISNUMBER(SEARCH("营",'18.05'!I69)),(-$Y69+50*IF('18.05'!$AK69="是",'18.05'!$BB$4,'18.05'!$BB$3)),(VLOOKUP('18.05'!I69,'18.05'!$AO$4:$AQ$55,2,FALSE))*IF('18.05'!$AK69="是",'18.05'!$BB$4,'18.05'!$BB$3))</f>
        <v>160</v>
      </c>
      <c r="B69" s="4">
        <f>IF(ISNUMBER(SEARCH("营",'18.05'!J69)),(-$Y69+50*IF('18.05'!$AK69="是",'18.05'!$BB$4,'18.05'!$BB$3)),(VLOOKUP('18.05'!J69,'18.05'!$AO$4:$AQ$55,2,FALSE))*IF('18.05'!$AK69="是",'18.05'!$BB$4,'18.05'!$BB$3))</f>
        <v>160</v>
      </c>
      <c r="C69" s="4">
        <f>IF(ISNUMBER(SEARCH("营",'18.05'!K69)),(-$Y69+50*IF('18.05'!$AK69="是",'18.05'!$BB$4,'18.05'!$BB$3)),(VLOOKUP('18.05'!K69,'18.05'!$AO$4:$AQ$55,2,FALSE))*IF('18.05'!$AK69="是",'18.05'!$BB$4,'18.05'!$BB$3))</f>
        <v>160</v>
      </c>
      <c r="D69" s="4">
        <f>IF(ISNUMBER(SEARCH("营",'18.05'!L69)),(-$Y69+50*IF('18.05'!$AK69="是",'18.05'!$BB$4,'18.05'!$BB$3)),(VLOOKUP('18.05'!L69,'18.05'!$AO$4:$AQ$55,2,FALSE))*IF('18.05'!$AK69="是",'18.05'!$BB$4,'18.05'!$BB$3))</f>
        <v>160</v>
      </c>
      <c r="E69" s="4">
        <f>IF(ISNUMBER(SEARCH("营",'18.05'!M69)),(-$Y69+50*IF('18.05'!$AK69="是",'18.05'!$BB$4,'18.05'!$BB$3)),(VLOOKUP('18.05'!M69,'18.05'!$AO$4:$AQ$55,2,FALSE))*IF('18.05'!$AK69="是",'18.05'!$BB$4,'18.05'!$BB$3))</f>
        <v>160</v>
      </c>
      <c r="F69" s="4">
        <f>IF(ISNUMBER(SEARCH("营",'18.05'!N69)),(-$Y69+50*IF('18.05'!$AK69="是",'18.05'!$BB$4,'18.05'!$BB$3)),(VLOOKUP('18.05'!N69,'18.05'!$AO$4:$AQ$55,2,FALSE))*IF('18.05'!$AK69="是",'18.05'!$BB$4,'18.05'!$BB$3))</f>
        <v>160</v>
      </c>
      <c r="G69" s="4">
        <f>IF(ISNUMBER(SEARCH("营",'18.05'!O69)),(-$Y69+50*IF('18.05'!$AK69="是",'18.05'!$BB$4,'18.05'!$BB$3)),(VLOOKUP('18.05'!O69,'18.05'!$AO$4:$AQ$55,2,FALSE))*IF('18.05'!$AK69="是",'18.05'!$BB$4,'18.05'!$BB$3))</f>
        <v>0</v>
      </c>
      <c r="H69" s="4">
        <f>IF(ISNUMBER(SEARCH("营",'18.05'!P69)),(-$Y69+50*IF('18.05'!$AK69="是",'18.05'!$BB$4,'18.05'!$BB$3)),(VLOOKUP('18.05'!P69,'18.05'!$AO$4:$AQ$55,2,FALSE))*IF('18.05'!$AK69="是",'18.05'!$BB$4,'18.05'!$BB$3))</f>
        <v>0</v>
      </c>
      <c r="I69" s="4">
        <f>IF(ISNUMBER(SEARCH("营",'18.05'!Q69)),(-$Y69+50*IF('18.05'!$AK69="是",'18.05'!$BB$4,'18.05'!$BB$3)),(VLOOKUP('18.05'!Q69,'18.05'!$AO$4:$AQ$55,2,FALSE))*IF('18.05'!$AK69="是",'18.05'!$BB$4,'18.05'!$BB$3))</f>
        <v>144</v>
      </c>
      <c r="J69" s="4">
        <f>IF(ISNUMBER(SEARCH("营",'18.05'!R69)),(-$Y69+50*IF('18.05'!$AK69="是",'18.05'!$BB$4,'18.05'!$BB$3)),(VLOOKUP('18.05'!R69,'18.05'!$AO$4:$AQ$55,2,FALSE))*IF('18.05'!$AK69="是",'18.05'!$BB$4,'18.05'!$BB$3))</f>
        <v>144</v>
      </c>
      <c r="K69" s="4">
        <f>IF(ISNUMBER(SEARCH("营",'18.05'!S69)),(-$Y69+50*IF('18.05'!$AK69="是",'18.05'!$BB$4,'18.05'!$BB$3)),(VLOOKUP('18.05'!S69,'18.05'!$AO$4:$AQ$55,2,FALSE))*IF('18.05'!$AK69="是",'18.05'!$BB$4,'18.05'!$BB$3))</f>
        <v>144</v>
      </c>
      <c r="L69" s="4">
        <f>IF(ISNUMBER(SEARCH("营",'18.05'!T69)),(-$Y69+50*IF('18.05'!$AK69="是",'18.05'!$BB$4,'18.05'!$BB$3)),(VLOOKUP('18.05'!T69,'18.05'!$AO$4:$AQ$55,2,FALSE))*IF('18.05'!$AK69="是",'18.05'!$BB$4,'18.05'!$BB$3))</f>
        <v>144</v>
      </c>
      <c r="M69" s="4">
        <f>IF(ISNUMBER(SEARCH("营",'18.05'!U69)),(-$Y69+50*IF('18.05'!$AK69="是",'18.05'!$BB$4,'18.05'!$BB$3)),(VLOOKUP('18.05'!U69,'18.05'!$AO$4:$AQ$55,2,FALSE))*IF('18.05'!$AK69="是",'18.05'!$BB$4,'18.05'!$BB$3))</f>
        <v>144</v>
      </c>
      <c r="N69" s="4">
        <f>IF(ISNUMBER(SEARCH("营",'18.05'!V69)),(-$Y69+50*IF('18.05'!$AK69="是",'18.05'!$BB$4,'18.05'!$BB$3)),(VLOOKUP('18.05'!V69,'18.05'!$AO$4:$AQ$55,2,FALSE))*IF('18.05'!$AK69="是",'18.05'!$BB$4,'18.05'!$BB$3))</f>
        <v>144</v>
      </c>
      <c r="O69" s="4">
        <f>IF(ISNUMBER(SEARCH("营",'18.05'!W69)),(-$Y69+50*IF('18.05'!$AK69="是",'18.05'!$BB$4,'18.05'!$BB$3)),(VLOOKUP('18.05'!W69,'18.05'!$AO$4:$AQ$55,2,FALSE))*IF('18.05'!$AK69="是",'18.05'!$BB$4,'18.05'!$BB$3))</f>
        <v>0</v>
      </c>
      <c r="P69" s="4">
        <f>IF(ISNUMBER(SEARCH("营",'18.05'!X69)),(-$Y69+50*IF('18.05'!$AK69="是",'18.05'!$BB$4,'18.05'!$BB$3)),(VLOOKUP('18.05'!X69,'18.05'!$AO$4:$AQ$55,2,FALSE))*IF('18.05'!$AK69="是",'18.05'!$BB$4,'18.05'!$BB$3))</f>
        <v>0</v>
      </c>
      <c r="Q69" s="4">
        <f>IF(ISNUMBER(SEARCH("营",'18.05'!Y69)),(-$Y69+50*IF('18.05'!$AK69="是",'18.05'!$BB$4,'18.05'!$BB$3)),(VLOOKUP('18.05'!Y69,'18.05'!$AO$4:$AQ$55,2,FALSE))*IF('18.05'!$AK69="是",'18.05'!$BB$4,'18.05'!$BB$3))</f>
        <v>0</v>
      </c>
      <c r="R69" s="4">
        <f>IF(ISNUMBER(SEARCH("营",'18.05'!Z69)),(-$Y69+50*IF('18.05'!$AK69="是",'18.05'!$BB$4,'18.05'!$BB$3)),(VLOOKUP('18.05'!Z69,'18.05'!$AO$4:$AQ$55,2,FALSE))*IF('18.05'!$AK69="是",'18.05'!$BB$4,'18.05'!$BB$3))</f>
        <v>0</v>
      </c>
      <c r="S69" s="4">
        <f>IF(ISNUMBER(SEARCH("营",'18.05'!AA69)),(-$Y69+50*IF('18.05'!$AK69="是",'18.05'!$BB$4,'18.05'!$BB$3)),(VLOOKUP('18.05'!AA69,'18.05'!$AO$4:$AQ$55,2,FALSE))*IF('18.05'!$AK69="是",'18.05'!$BB$4,'18.05'!$BB$3))</f>
        <v>0</v>
      </c>
      <c r="T69" s="4">
        <f>IF(ISNUMBER(SEARCH("营",'18.05'!AB69)),(-$Y69+50*IF('18.05'!$AK69="是",'18.05'!$BB$4,'18.05'!$BB$3)),(VLOOKUP('18.05'!AB69,'18.05'!$AO$4:$AQ$55,2,FALSE))*IF('18.05'!$AK69="是",'18.05'!$BB$4,'18.05'!$BB$3))</f>
        <v>0</v>
      </c>
      <c r="U69" s="4">
        <f>IF(ISNUMBER(SEARCH("营",'18.05'!AC69)),(-$Y69+50*IF('18.05'!$AK69="是",'18.05'!$BB$4,'18.05'!$BB$3)),(VLOOKUP('18.05'!AC69,'18.05'!$AO$4:$AQ$55,2,FALSE))*IF('18.05'!$AK69="是",'18.05'!$BB$4,'18.05'!$BB$3))</f>
        <v>0</v>
      </c>
      <c r="V69" s="4">
        <f>IF(ISNUMBER(SEARCH("营",'18.05'!AD69)),(-$Y69+50*IF('18.05'!$AK69="是",'18.05'!$BB$4,'18.05'!$BB$3)),(VLOOKUP('18.05'!AD69,'18.05'!$AO$4:$AQ$55,2,FALSE))*IF('18.05'!$AK69="是",'18.05'!$BB$4,'18.05'!$BB$3))</f>
        <v>0</v>
      </c>
      <c r="W69" s="4">
        <f>IF(ISNUMBER(SEARCH("营",'18.05'!AE69)),(-$Y69+50*IF('18.05'!$AK69="是",'18.05'!$BB$4,'18.05'!$BB$3)),(VLOOKUP('18.05'!AE69,'18.05'!$AO$4:$AQ$55,2,FALSE))*IF('18.05'!$AK69="是",'18.05'!$BB$4,'18.05'!$BB$3))</f>
        <v>0</v>
      </c>
      <c r="X69" s="4">
        <f>IF(ISNUMBER(SEARCH("营",'18.05'!AF69)),(-$Y69+50*IF('18.05'!$AK69="是",'18.05'!$BB$4,'18.05'!$BB$3)),(VLOOKUP('18.05'!AF69,'18.05'!$AO$4:$AQ$55,2,FALSE))*IF('18.05'!$AK69="是",'18.05'!$BB$4,'18.05'!$BB$3))</f>
        <v>0</v>
      </c>
      <c r="Y69" s="69">
        <v>100</v>
      </c>
      <c r="Z69" s="75">
        <v>45704</v>
      </c>
    </row>
    <row r="70" spans="1:26">
      <c r="A70" s="4">
        <f>IF(ISNUMBER(SEARCH("营",'18.05'!I70)),(-$Y70+50*IF('18.05'!$AK70="是",'18.05'!$BB$4,'18.05'!$BB$3)),(VLOOKUP('18.05'!I70,'18.05'!$AO$4:$AQ$55,2,FALSE))*IF('18.05'!$AK70="是",'18.05'!$BB$4,'18.05'!$BB$3))</f>
        <v>160</v>
      </c>
      <c r="B70" s="4">
        <f>IF(ISNUMBER(SEARCH("营",'18.05'!J70)),(-$Y70+50*IF('18.05'!$AK70="是",'18.05'!$BB$4,'18.05'!$BB$3)),(VLOOKUP('18.05'!J70,'18.05'!$AO$4:$AQ$55,2,FALSE))*IF('18.05'!$AK70="是",'18.05'!$BB$4,'18.05'!$BB$3))</f>
        <v>144</v>
      </c>
      <c r="C70" s="4">
        <f>IF(ISNUMBER(SEARCH("营",'18.05'!K70)),(-$Y70+50*IF('18.05'!$AK70="是",'18.05'!$BB$4,'18.05'!$BB$3)),(VLOOKUP('18.05'!K70,'18.05'!$AO$4:$AQ$55,2,FALSE))*IF('18.05'!$AK70="是",'18.05'!$BB$4,'18.05'!$BB$3))</f>
        <v>144</v>
      </c>
      <c r="D70" s="4">
        <f>IF(ISNUMBER(SEARCH("营",'18.05'!L70)),(-$Y70+50*IF('18.05'!$AK70="是",'18.05'!$BB$4,'18.05'!$BB$3)),(VLOOKUP('18.05'!L70,'18.05'!$AO$4:$AQ$55,2,FALSE))*IF('18.05'!$AK70="是",'18.05'!$BB$4,'18.05'!$BB$3))</f>
        <v>144</v>
      </c>
      <c r="E70" s="4">
        <f>IF(ISNUMBER(SEARCH("营",'18.05'!M70)),(-$Y70+50*IF('18.05'!$AK70="是",'18.05'!$BB$4,'18.05'!$BB$3)),(VLOOKUP('18.05'!M70,'18.05'!$AO$4:$AQ$55,2,FALSE))*IF('18.05'!$AK70="是",'18.05'!$BB$4,'18.05'!$BB$3))</f>
        <v>160</v>
      </c>
      <c r="F70" s="4">
        <f>IF(ISNUMBER(SEARCH("营",'18.05'!N70)),(-$Y70+50*IF('18.05'!$AK70="是",'18.05'!$BB$4,'18.05'!$BB$3)),(VLOOKUP('18.05'!N70,'18.05'!$AO$4:$AQ$55,2,FALSE))*IF('18.05'!$AK70="是",'18.05'!$BB$4,'18.05'!$BB$3))</f>
        <v>144</v>
      </c>
      <c r="G70" s="4">
        <f>IF(ISNUMBER(SEARCH("营",'18.05'!O70)),(-$Y70+50*IF('18.05'!$AK70="是",'18.05'!$BB$4,'18.05'!$BB$3)),(VLOOKUP('18.05'!O70,'18.05'!$AO$4:$AQ$55,2,FALSE))*IF('18.05'!$AK70="是",'18.05'!$BB$4,'18.05'!$BB$3))</f>
        <v>0</v>
      </c>
      <c r="H70" s="4">
        <f>IF(ISNUMBER(SEARCH("营",'18.05'!P70)),(-$Y70+50*IF('18.05'!$AK70="是",'18.05'!$BB$4,'18.05'!$BB$3)),(VLOOKUP('18.05'!P70,'18.05'!$AO$4:$AQ$55,2,FALSE))*IF('18.05'!$AK70="是",'18.05'!$BB$4,'18.05'!$BB$3))</f>
        <v>0</v>
      </c>
      <c r="I70" s="4">
        <f>IF(ISNUMBER(SEARCH("营",'18.05'!Q70)),(-$Y70+50*IF('18.05'!$AK70="是",'18.05'!$BB$4,'18.05'!$BB$3)),(VLOOKUP('18.05'!Q70,'18.05'!$AO$4:$AQ$55,2,FALSE))*IF('18.05'!$AK70="是",'18.05'!$BB$4,'18.05'!$BB$3))</f>
        <v>160</v>
      </c>
      <c r="J70" s="4">
        <f>IF(ISNUMBER(SEARCH("营",'18.05'!R70)),(-$Y70+50*IF('18.05'!$AK70="是",'18.05'!$BB$4,'18.05'!$BB$3)),(VLOOKUP('18.05'!R70,'18.05'!$AO$4:$AQ$55,2,FALSE))*IF('18.05'!$AK70="是",'18.05'!$BB$4,'18.05'!$BB$3))</f>
        <v>160</v>
      </c>
      <c r="K70" s="4">
        <f>IF(ISNUMBER(SEARCH("营",'18.05'!S70)),(-$Y70+50*IF('18.05'!$AK70="是",'18.05'!$BB$4,'18.05'!$BB$3)),(VLOOKUP('18.05'!S70,'18.05'!$AO$4:$AQ$55,2,FALSE))*IF('18.05'!$AK70="是",'18.05'!$BB$4,'18.05'!$BB$3))</f>
        <v>160</v>
      </c>
      <c r="L70" s="4">
        <f>IF(ISNUMBER(SEARCH("营",'18.05'!T70)),(-$Y70+50*IF('18.05'!$AK70="是",'18.05'!$BB$4,'18.05'!$BB$3)),(VLOOKUP('18.05'!T70,'18.05'!$AO$4:$AQ$55,2,FALSE))*IF('18.05'!$AK70="是",'18.05'!$BB$4,'18.05'!$BB$3))</f>
        <v>160</v>
      </c>
      <c r="M70" s="4">
        <f>IF(ISNUMBER(SEARCH("营",'18.05'!U70)),(-$Y70+50*IF('18.05'!$AK70="是",'18.05'!$BB$4,'18.05'!$BB$3)),(VLOOKUP('18.05'!U70,'18.05'!$AO$4:$AQ$55,2,FALSE))*IF('18.05'!$AK70="是",'18.05'!$BB$4,'18.05'!$BB$3))</f>
        <v>160</v>
      </c>
      <c r="N70" s="4">
        <f>IF(ISNUMBER(SEARCH("营",'18.05'!V70)),(-$Y70+50*IF('18.05'!$AK70="是",'18.05'!$BB$4,'18.05'!$BB$3)),(VLOOKUP('18.05'!V70,'18.05'!$AO$4:$AQ$55,2,FALSE))*IF('18.05'!$AK70="是",'18.05'!$BB$4,'18.05'!$BB$3))</f>
        <v>160</v>
      </c>
      <c r="O70" s="4">
        <f>IF(ISNUMBER(SEARCH("营",'18.05'!W70)),(-$Y70+50*IF('18.05'!$AK70="是",'18.05'!$BB$4,'18.05'!$BB$3)),(VLOOKUP('18.05'!W70,'18.05'!$AO$4:$AQ$55,2,FALSE))*IF('18.05'!$AK70="是",'18.05'!$BB$4,'18.05'!$BB$3))</f>
        <v>0</v>
      </c>
      <c r="P70" s="4">
        <f>IF(ISNUMBER(SEARCH("营",'18.05'!X70)),(-$Y70+50*IF('18.05'!$AK70="是",'18.05'!$BB$4,'18.05'!$BB$3)),(VLOOKUP('18.05'!X70,'18.05'!$AO$4:$AQ$55,2,FALSE))*IF('18.05'!$AK70="是",'18.05'!$BB$4,'18.05'!$BB$3))</f>
        <v>0</v>
      </c>
      <c r="Q70" s="4">
        <f>IF(ISNUMBER(SEARCH("营",'18.05'!Y70)),(-$Y70+50*IF('18.05'!$AK70="是",'18.05'!$BB$4,'18.05'!$BB$3)),(VLOOKUP('18.05'!Y70,'18.05'!$AO$4:$AQ$55,2,FALSE))*IF('18.05'!$AK70="是",'18.05'!$BB$4,'18.05'!$BB$3))</f>
        <v>0</v>
      </c>
      <c r="R70" s="4">
        <f>IF(ISNUMBER(SEARCH("营",'18.05'!Z70)),(-$Y70+50*IF('18.05'!$AK70="是",'18.05'!$BB$4,'18.05'!$BB$3)),(VLOOKUP('18.05'!Z70,'18.05'!$AO$4:$AQ$55,2,FALSE))*IF('18.05'!$AK70="是",'18.05'!$BB$4,'18.05'!$BB$3))</f>
        <v>0</v>
      </c>
      <c r="S70" s="4">
        <f>IF(ISNUMBER(SEARCH("营",'18.05'!AA70)),(-$Y70+50*IF('18.05'!$AK70="是",'18.05'!$BB$4,'18.05'!$BB$3)),(VLOOKUP('18.05'!AA70,'18.05'!$AO$4:$AQ$55,2,FALSE))*IF('18.05'!$AK70="是",'18.05'!$BB$4,'18.05'!$BB$3))</f>
        <v>0</v>
      </c>
      <c r="T70" s="4">
        <f>IF(ISNUMBER(SEARCH("营",'18.05'!AB70)),(-$Y70+50*IF('18.05'!$AK70="是",'18.05'!$BB$4,'18.05'!$BB$3)),(VLOOKUP('18.05'!AB70,'18.05'!$AO$4:$AQ$55,2,FALSE))*IF('18.05'!$AK70="是",'18.05'!$BB$4,'18.05'!$BB$3))</f>
        <v>0</v>
      </c>
      <c r="U70" s="4">
        <f>IF(ISNUMBER(SEARCH("营",'18.05'!AC70)),(-$Y70+50*IF('18.05'!$AK70="是",'18.05'!$BB$4,'18.05'!$BB$3)),(VLOOKUP('18.05'!AC70,'18.05'!$AO$4:$AQ$55,2,FALSE))*IF('18.05'!$AK70="是",'18.05'!$BB$4,'18.05'!$BB$3))</f>
        <v>0</v>
      </c>
      <c r="V70" s="4">
        <f>IF(ISNUMBER(SEARCH("营",'18.05'!AD70)),(-$Y70+50*IF('18.05'!$AK70="是",'18.05'!$BB$4,'18.05'!$BB$3)),(VLOOKUP('18.05'!AD70,'18.05'!$AO$4:$AQ$55,2,FALSE))*IF('18.05'!$AK70="是",'18.05'!$BB$4,'18.05'!$BB$3))</f>
        <v>0</v>
      </c>
      <c r="W70" s="4">
        <f>IF(ISNUMBER(SEARCH("营",'18.05'!AE70)),(-$Y70+50*IF('18.05'!$AK70="是",'18.05'!$BB$4,'18.05'!$BB$3)),(VLOOKUP('18.05'!AE70,'18.05'!$AO$4:$AQ$55,2,FALSE))*IF('18.05'!$AK70="是",'18.05'!$BB$4,'18.05'!$BB$3))</f>
        <v>0</v>
      </c>
      <c r="X70" s="4">
        <f>IF(ISNUMBER(SEARCH("营",'18.05'!AF70)),(-$Y70+50*IF('18.05'!$AK70="是",'18.05'!$BB$4,'18.05'!$BB$3)),(VLOOKUP('18.05'!AF70,'18.05'!$AO$4:$AQ$55,2,FALSE))*IF('18.05'!$AK70="是",'18.05'!$BB$4,'18.05'!$BB$3))</f>
        <v>0</v>
      </c>
      <c r="Y70" s="69">
        <v>100</v>
      </c>
      <c r="Z70" s="75">
        <v>45705</v>
      </c>
    </row>
    <row r="71" spans="1:26">
      <c r="A71" s="4">
        <f>IF(ISNUMBER(SEARCH("营",'18.05'!I71)),(-$Y71+50*IF('18.05'!$AK71="是",'18.05'!$BB$4,'18.05'!$BB$3)),(VLOOKUP('18.05'!I71,'18.05'!$AO$4:$AQ$55,2,FALSE))*IF('18.05'!$AK71="是",'18.05'!$BB$4,'18.05'!$BB$3))</f>
        <v>144</v>
      </c>
      <c r="B71" s="4">
        <f>IF(ISNUMBER(SEARCH("营",'18.05'!J71)),(-$Y71+50*IF('18.05'!$AK71="是",'18.05'!$BB$4,'18.05'!$BB$3)),(VLOOKUP('18.05'!J71,'18.05'!$AO$4:$AQ$55,2,FALSE))*IF('18.05'!$AK71="是",'18.05'!$BB$4,'18.05'!$BB$3))</f>
        <v>144</v>
      </c>
      <c r="C71" s="4">
        <f>IF(ISNUMBER(SEARCH("营",'18.05'!K71)),(-$Y71+50*IF('18.05'!$AK71="是",'18.05'!$BB$4,'18.05'!$BB$3)),(VLOOKUP('18.05'!K71,'18.05'!$AO$4:$AQ$55,2,FALSE))*IF('18.05'!$AK71="是",'18.05'!$BB$4,'18.05'!$BB$3))</f>
        <v>144</v>
      </c>
      <c r="D71" s="4">
        <f>IF(ISNUMBER(SEARCH("营",'18.05'!L71)),(-$Y71+50*IF('18.05'!$AK71="是",'18.05'!$BB$4,'18.05'!$BB$3)),(VLOOKUP('18.05'!L71,'18.05'!$AO$4:$AQ$55,2,FALSE))*IF('18.05'!$AK71="是",'18.05'!$BB$4,'18.05'!$BB$3))</f>
        <v>160</v>
      </c>
      <c r="E71" s="4">
        <f>IF(ISNUMBER(SEARCH("营",'18.05'!M71)),(-$Y71+50*IF('18.05'!$AK71="是",'18.05'!$BB$4,'18.05'!$BB$3)),(VLOOKUP('18.05'!M71,'18.05'!$AO$4:$AQ$55,2,FALSE))*IF('18.05'!$AK71="是",'18.05'!$BB$4,'18.05'!$BB$3))</f>
        <v>144</v>
      </c>
      <c r="F71" s="4">
        <f>IF(ISNUMBER(SEARCH("营",'18.05'!N71)),(-$Y71+50*IF('18.05'!$AK71="是",'18.05'!$BB$4,'18.05'!$BB$3)),(VLOOKUP('18.05'!N71,'18.05'!$AO$4:$AQ$55,2,FALSE))*IF('18.05'!$AK71="是",'18.05'!$BB$4,'18.05'!$BB$3))</f>
        <v>144</v>
      </c>
      <c r="G71" s="4">
        <f>IF(ISNUMBER(SEARCH("营",'18.05'!O71)),(-$Y71+50*IF('18.05'!$AK71="是",'18.05'!$BB$4,'18.05'!$BB$3)),(VLOOKUP('18.05'!O71,'18.05'!$AO$4:$AQ$55,2,FALSE))*IF('18.05'!$AK71="是",'18.05'!$BB$4,'18.05'!$BB$3))</f>
        <v>0</v>
      </c>
      <c r="H71" s="4">
        <f>IF(ISNUMBER(SEARCH("营",'18.05'!P71)),(-$Y71+50*IF('18.05'!$AK71="是",'18.05'!$BB$4,'18.05'!$BB$3)),(VLOOKUP('18.05'!P71,'18.05'!$AO$4:$AQ$55,2,FALSE))*IF('18.05'!$AK71="是",'18.05'!$BB$4,'18.05'!$BB$3))</f>
        <v>0</v>
      </c>
      <c r="I71" s="4">
        <f>IF(ISNUMBER(SEARCH("营",'18.05'!Q71)),(-$Y71+50*IF('18.05'!$AK71="是",'18.05'!$BB$4,'18.05'!$BB$3)),(VLOOKUP('18.05'!Q71,'18.05'!$AO$4:$AQ$55,2,FALSE))*IF('18.05'!$AK71="是",'18.05'!$BB$4,'18.05'!$BB$3))</f>
        <v>160</v>
      </c>
      <c r="J71" s="4">
        <f>IF(ISNUMBER(SEARCH("营",'18.05'!R71)),(-$Y71+50*IF('18.05'!$AK71="是",'18.05'!$BB$4,'18.05'!$BB$3)),(VLOOKUP('18.05'!R71,'18.05'!$AO$4:$AQ$55,2,FALSE))*IF('18.05'!$AK71="是",'18.05'!$BB$4,'18.05'!$BB$3))</f>
        <v>160</v>
      </c>
      <c r="K71" s="4">
        <f>IF(ISNUMBER(SEARCH("营",'18.05'!S71)),(-$Y71+50*IF('18.05'!$AK71="是",'18.05'!$BB$4,'18.05'!$BB$3)),(VLOOKUP('18.05'!S71,'18.05'!$AO$4:$AQ$55,2,FALSE))*IF('18.05'!$AK71="是",'18.05'!$BB$4,'18.05'!$BB$3))</f>
        <v>160</v>
      </c>
      <c r="L71" s="4">
        <f>IF(ISNUMBER(SEARCH("营",'18.05'!T71)),(-$Y71+50*IF('18.05'!$AK71="是",'18.05'!$BB$4,'18.05'!$BB$3)),(VLOOKUP('18.05'!T71,'18.05'!$AO$4:$AQ$55,2,FALSE))*IF('18.05'!$AK71="是",'18.05'!$BB$4,'18.05'!$BB$3))</f>
        <v>160</v>
      </c>
      <c r="M71" s="4">
        <f>IF(ISNUMBER(SEARCH("营",'18.05'!U71)),(-$Y71+50*IF('18.05'!$AK71="是",'18.05'!$BB$4,'18.05'!$BB$3)),(VLOOKUP('18.05'!U71,'18.05'!$AO$4:$AQ$55,2,FALSE))*IF('18.05'!$AK71="是",'18.05'!$BB$4,'18.05'!$BB$3))</f>
        <v>160</v>
      </c>
      <c r="N71" s="4">
        <f>IF(ISNUMBER(SEARCH("营",'18.05'!V71)),(-$Y71+50*IF('18.05'!$AK71="是",'18.05'!$BB$4,'18.05'!$BB$3)),(VLOOKUP('18.05'!V71,'18.05'!$AO$4:$AQ$55,2,FALSE))*IF('18.05'!$AK71="是",'18.05'!$BB$4,'18.05'!$BB$3))</f>
        <v>160</v>
      </c>
      <c r="O71" s="4">
        <f>IF(ISNUMBER(SEARCH("营",'18.05'!W71)),(-$Y71+50*IF('18.05'!$AK71="是",'18.05'!$BB$4,'18.05'!$BB$3)),(VLOOKUP('18.05'!W71,'18.05'!$AO$4:$AQ$55,2,FALSE))*IF('18.05'!$AK71="是",'18.05'!$BB$4,'18.05'!$BB$3))</f>
        <v>0</v>
      </c>
      <c r="P71" s="4">
        <f>IF(ISNUMBER(SEARCH("营",'18.05'!X71)),(-$Y71+50*IF('18.05'!$AK71="是",'18.05'!$BB$4,'18.05'!$BB$3)),(VLOOKUP('18.05'!X71,'18.05'!$AO$4:$AQ$55,2,FALSE))*IF('18.05'!$AK71="是",'18.05'!$BB$4,'18.05'!$BB$3))</f>
        <v>0</v>
      </c>
      <c r="Q71" s="4">
        <f>IF(ISNUMBER(SEARCH("营",'18.05'!Y71)),(-$Y71+50*IF('18.05'!$AK71="是",'18.05'!$BB$4,'18.05'!$BB$3)),(VLOOKUP('18.05'!Y71,'18.05'!$AO$4:$AQ$55,2,FALSE))*IF('18.05'!$AK71="是",'18.05'!$BB$4,'18.05'!$BB$3))</f>
        <v>0</v>
      </c>
      <c r="R71" s="4">
        <f>IF(ISNUMBER(SEARCH("营",'18.05'!Z71)),(-$Y71+50*IF('18.05'!$AK71="是",'18.05'!$BB$4,'18.05'!$BB$3)),(VLOOKUP('18.05'!Z71,'18.05'!$AO$4:$AQ$55,2,FALSE))*IF('18.05'!$AK71="是",'18.05'!$BB$4,'18.05'!$BB$3))</f>
        <v>0</v>
      </c>
      <c r="S71" s="4">
        <f>IF(ISNUMBER(SEARCH("营",'18.05'!AA71)),(-$Y71+50*IF('18.05'!$AK71="是",'18.05'!$BB$4,'18.05'!$BB$3)),(VLOOKUP('18.05'!AA71,'18.05'!$AO$4:$AQ$55,2,FALSE))*IF('18.05'!$AK71="是",'18.05'!$BB$4,'18.05'!$BB$3))</f>
        <v>0</v>
      </c>
      <c r="T71" s="4">
        <f>IF(ISNUMBER(SEARCH("营",'18.05'!AB71)),(-$Y71+50*IF('18.05'!$AK71="是",'18.05'!$BB$4,'18.05'!$BB$3)),(VLOOKUP('18.05'!AB71,'18.05'!$AO$4:$AQ$55,2,FALSE))*IF('18.05'!$AK71="是",'18.05'!$BB$4,'18.05'!$BB$3))</f>
        <v>0</v>
      </c>
      <c r="U71" s="4">
        <f>IF(ISNUMBER(SEARCH("营",'18.05'!AC71)),(-$Y71+50*IF('18.05'!$AK71="是",'18.05'!$BB$4,'18.05'!$BB$3)),(VLOOKUP('18.05'!AC71,'18.05'!$AO$4:$AQ$55,2,FALSE))*IF('18.05'!$AK71="是",'18.05'!$BB$4,'18.05'!$BB$3))</f>
        <v>0</v>
      </c>
      <c r="V71" s="4">
        <f>IF(ISNUMBER(SEARCH("营",'18.05'!AD71)),(-$Y71+50*IF('18.05'!$AK71="是",'18.05'!$BB$4,'18.05'!$BB$3)),(VLOOKUP('18.05'!AD71,'18.05'!$AO$4:$AQ$55,2,FALSE))*IF('18.05'!$AK71="是",'18.05'!$BB$4,'18.05'!$BB$3))</f>
        <v>0</v>
      </c>
      <c r="W71" s="4">
        <f>IF(ISNUMBER(SEARCH("营",'18.05'!AE71)),(-$Y71+50*IF('18.05'!$AK71="是",'18.05'!$BB$4,'18.05'!$BB$3)),(VLOOKUP('18.05'!AE71,'18.05'!$AO$4:$AQ$55,2,FALSE))*IF('18.05'!$AK71="是",'18.05'!$BB$4,'18.05'!$BB$3))</f>
        <v>0</v>
      </c>
      <c r="X71" s="4">
        <f>IF(ISNUMBER(SEARCH("营",'18.05'!AF71)),(-$Y71+50*IF('18.05'!$AK71="是",'18.05'!$BB$4,'18.05'!$BB$3)),(VLOOKUP('18.05'!AF71,'18.05'!$AO$4:$AQ$55,2,FALSE))*IF('18.05'!$AK71="是",'18.05'!$BB$4,'18.05'!$BB$3))</f>
        <v>0</v>
      </c>
      <c r="Y71" s="69">
        <v>100</v>
      </c>
      <c r="Z71" s="75">
        <v>45706</v>
      </c>
    </row>
    <row r="72" spans="1:26">
      <c r="A72" s="4">
        <f>IF(ISNUMBER(SEARCH("营",'18.05'!I72)),(-$Y72+50*IF('18.05'!$AK72="是",'18.05'!$BB$4,'18.05'!$BB$3)),(VLOOKUP('18.05'!I72,'18.05'!$AO$4:$AQ$55,2,FALSE))*IF('18.05'!$AK72="是",'18.05'!$BB$4,'18.05'!$BB$3))</f>
        <v>144</v>
      </c>
      <c r="B72" s="4">
        <f>IF(ISNUMBER(SEARCH("营",'18.05'!J72)),(-$Y72+50*IF('18.05'!$AK72="是",'18.05'!$BB$4,'18.05'!$BB$3)),(VLOOKUP('18.05'!J72,'18.05'!$AO$4:$AQ$55,2,FALSE))*IF('18.05'!$AK72="是",'18.05'!$BB$4,'18.05'!$BB$3))</f>
        <v>144</v>
      </c>
      <c r="C72" s="4">
        <f>IF(ISNUMBER(SEARCH("营",'18.05'!K72)),(-$Y72+50*IF('18.05'!$AK72="是",'18.05'!$BB$4,'18.05'!$BB$3)),(VLOOKUP('18.05'!K72,'18.05'!$AO$4:$AQ$55,2,FALSE))*IF('18.05'!$AK72="是",'18.05'!$BB$4,'18.05'!$BB$3))</f>
        <v>144</v>
      </c>
      <c r="D72" s="4">
        <f>IF(ISNUMBER(SEARCH("营",'18.05'!L72)),(-$Y72+50*IF('18.05'!$AK72="是",'18.05'!$BB$4,'18.05'!$BB$3)),(VLOOKUP('18.05'!L72,'18.05'!$AO$4:$AQ$55,2,FALSE))*IF('18.05'!$AK72="是",'18.05'!$BB$4,'18.05'!$BB$3))</f>
        <v>144</v>
      </c>
      <c r="E72" s="4">
        <f>IF(ISNUMBER(SEARCH("营",'18.05'!M72)),(-$Y72+50*IF('18.05'!$AK72="是",'18.05'!$BB$4,'18.05'!$BB$3)),(VLOOKUP('18.05'!M72,'18.05'!$AO$4:$AQ$55,2,FALSE))*IF('18.05'!$AK72="是",'18.05'!$BB$4,'18.05'!$BB$3))</f>
        <v>144</v>
      </c>
      <c r="F72" s="4">
        <f>IF(ISNUMBER(SEARCH("营",'18.05'!N72)),(-$Y72+50*IF('18.05'!$AK72="是",'18.05'!$BB$4,'18.05'!$BB$3)),(VLOOKUP('18.05'!N72,'18.05'!$AO$4:$AQ$55,2,FALSE))*IF('18.05'!$AK72="是",'18.05'!$BB$4,'18.05'!$BB$3))</f>
        <v>144</v>
      </c>
      <c r="G72" s="4">
        <f>IF(ISNUMBER(SEARCH("营",'18.05'!O72)),(-$Y72+50*IF('18.05'!$AK72="是",'18.05'!$BB$4,'18.05'!$BB$3)),(VLOOKUP('18.05'!O72,'18.05'!$AO$4:$AQ$55,2,FALSE))*IF('18.05'!$AK72="是",'18.05'!$BB$4,'18.05'!$BB$3))</f>
        <v>0</v>
      </c>
      <c r="H72" s="4">
        <f>IF(ISNUMBER(SEARCH("营",'18.05'!P72)),(-$Y72+50*IF('18.05'!$AK72="是",'18.05'!$BB$4,'18.05'!$BB$3)),(VLOOKUP('18.05'!P72,'18.05'!$AO$4:$AQ$55,2,FALSE))*IF('18.05'!$AK72="是",'18.05'!$BB$4,'18.05'!$BB$3))</f>
        <v>0</v>
      </c>
      <c r="I72" s="4">
        <f>IF(ISNUMBER(SEARCH("营",'18.05'!Q72)),(-$Y72+50*IF('18.05'!$AK72="是",'18.05'!$BB$4,'18.05'!$BB$3)),(VLOOKUP('18.05'!Q72,'18.05'!$AO$4:$AQ$55,2,FALSE))*IF('18.05'!$AK72="是",'18.05'!$BB$4,'18.05'!$BB$3))</f>
        <v>152</v>
      </c>
      <c r="J72" s="4">
        <f>IF(ISNUMBER(SEARCH("营",'18.05'!R72)),(-$Y72+50*IF('18.05'!$AK72="是",'18.05'!$BB$4,'18.05'!$BB$3)),(VLOOKUP('18.05'!R72,'18.05'!$AO$4:$AQ$55,2,FALSE))*IF('18.05'!$AK72="是",'18.05'!$BB$4,'18.05'!$BB$3))</f>
        <v>136</v>
      </c>
      <c r="K72" s="4">
        <f>IF(ISNUMBER(SEARCH("营",'18.05'!S72)),(-$Y72+50*IF('18.05'!$AK72="是",'18.05'!$BB$4,'18.05'!$BB$3)),(VLOOKUP('18.05'!S72,'18.05'!$AO$4:$AQ$55,2,FALSE))*IF('18.05'!$AK72="是",'18.05'!$BB$4,'18.05'!$BB$3))</f>
        <v>40</v>
      </c>
      <c r="L72" s="4">
        <f>IF(ISNUMBER(SEARCH("营",'18.05'!T72)),(-$Y72+50*IF('18.05'!$AK72="是",'18.05'!$BB$4,'18.05'!$BB$3)),(VLOOKUP('18.05'!T72,'18.05'!$AO$4:$AQ$55,2,FALSE))*IF('18.05'!$AK72="是",'18.05'!$BB$4,'18.05'!$BB$3))</f>
        <v>136</v>
      </c>
      <c r="M72" s="4">
        <f>IF(ISNUMBER(SEARCH("营",'18.05'!U72)),(-$Y72+50*IF('18.05'!$AK72="是",'18.05'!$BB$4,'18.05'!$BB$3)),(VLOOKUP('18.05'!U72,'18.05'!$AO$4:$AQ$55,2,FALSE))*IF('18.05'!$AK72="是",'18.05'!$BB$4,'18.05'!$BB$3))</f>
        <v>136</v>
      </c>
      <c r="N72" s="4">
        <f>IF(ISNUMBER(SEARCH("营",'18.05'!V72)),(-$Y72+50*IF('18.05'!$AK72="是",'18.05'!$BB$4,'18.05'!$BB$3)),(VLOOKUP('18.05'!V72,'18.05'!$AO$4:$AQ$55,2,FALSE))*IF('18.05'!$AK72="是",'18.05'!$BB$4,'18.05'!$BB$3))</f>
        <v>136</v>
      </c>
      <c r="O72" s="4">
        <f>IF(ISNUMBER(SEARCH("营",'18.05'!W72)),(-$Y72+50*IF('18.05'!$AK72="是",'18.05'!$BB$4,'18.05'!$BB$3)),(VLOOKUP('18.05'!W72,'18.05'!$AO$4:$AQ$55,2,FALSE))*IF('18.05'!$AK72="是",'18.05'!$BB$4,'18.05'!$BB$3))</f>
        <v>0</v>
      </c>
      <c r="P72" s="4">
        <f>IF(ISNUMBER(SEARCH("营",'18.05'!X72)),(-$Y72+50*IF('18.05'!$AK72="是",'18.05'!$BB$4,'18.05'!$BB$3)),(VLOOKUP('18.05'!X72,'18.05'!$AO$4:$AQ$55,2,FALSE))*IF('18.05'!$AK72="是",'18.05'!$BB$4,'18.05'!$BB$3))</f>
        <v>0</v>
      </c>
      <c r="Q72" s="4">
        <f>IF(ISNUMBER(SEARCH("营",'18.05'!Y72)),(-$Y72+50*IF('18.05'!$AK72="是",'18.05'!$BB$4,'18.05'!$BB$3)),(VLOOKUP('18.05'!Y72,'18.05'!$AO$4:$AQ$55,2,FALSE))*IF('18.05'!$AK72="是",'18.05'!$BB$4,'18.05'!$BB$3))</f>
        <v>0</v>
      </c>
      <c r="R72" s="4">
        <f>IF(ISNUMBER(SEARCH("营",'18.05'!Z72)),(-$Y72+50*IF('18.05'!$AK72="是",'18.05'!$BB$4,'18.05'!$BB$3)),(VLOOKUP('18.05'!Z72,'18.05'!$AO$4:$AQ$55,2,FALSE))*IF('18.05'!$AK72="是",'18.05'!$BB$4,'18.05'!$BB$3))</f>
        <v>0</v>
      </c>
      <c r="S72" s="4">
        <f>IF(ISNUMBER(SEARCH("营",'18.05'!AA72)),(-$Y72+50*IF('18.05'!$AK72="是",'18.05'!$BB$4,'18.05'!$BB$3)),(VLOOKUP('18.05'!AA72,'18.05'!$AO$4:$AQ$55,2,FALSE))*IF('18.05'!$AK72="是",'18.05'!$BB$4,'18.05'!$BB$3))</f>
        <v>0</v>
      </c>
      <c r="T72" s="4">
        <f>IF(ISNUMBER(SEARCH("营",'18.05'!AB72)),(-$Y72+50*IF('18.05'!$AK72="是",'18.05'!$BB$4,'18.05'!$BB$3)),(VLOOKUP('18.05'!AB72,'18.05'!$AO$4:$AQ$55,2,FALSE))*IF('18.05'!$AK72="是",'18.05'!$BB$4,'18.05'!$BB$3))</f>
        <v>0</v>
      </c>
      <c r="U72" s="4">
        <f>IF(ISNUMBER(SEARCH("营",'18.05'!AC72)),(-$Y72+50*IF('18.05'!$AK72="是",'18.05'!$BB$4,'18.05'!$BB$3)),(VLOOKUP('18.05'!AC72,'18.05'!$AO$4:$AQ$55,2,FALSE))*IF('18.05'!$AK72="是",'18.05'!$BB$4,'18.05'!$BB$3))</f>
        <v>0</v>
      </c>
      <c r="V72" s="4">
        <f>IF(ISNUMBER(SEARCH("营",'18.05'!AD72)),(-$Y72+50*IF('18.05'!$AK72="是",'18.05'!$BB$4,'18.05'!$BB$3)),(VLOOKUP('18.05'!AD72,'18.05'!$AO$4:$AQ$55,2,FALSE))*IF('18.05'!$AK72="是",'18.05'!$BB$4,'18.05'!$BB$3))</f>
        <v>0</v>
      </c>
      <c r="W72" s="4">
        <f>IF(ISNUMBER(SEARCH("营",'18.05'!AE72)),(-$Y72+50*IF('18.05'!$AK72="是",'18.05'!$BB$4,'18.05'!$BB$3)),(VLOOKUP('18.05'!AE72,'18.05'!$AO$4:$AQ$55,2,FALSE))*IF('18.05'!$AK72="是",'18.05'!$BB$4,'18.05'!$BB$3))</f>
        <v>0</v>
      </c>
      <c r="X72" s="4">
        <f>IF(ISNUMBER(SEARCH("营",'18.05'!AF72)),(-$Y72+50*IF('18.05'!$AK72="是",'18.05'!$BB$4,'18.05'!$BB$3)),(VLOOKUP('18.05'!AF72,'18.05'!$AO$4:$AQ$55,2,FALSE))*IF('18.05'!$AK72="是",'18.05'!$BB$4,'18.05'!$BB$3))</f>
        <v>0</v>
      </c>
      <c r="Y72" s="69">
        <v>100</v>
      </c>
      <c r="Z72" s="75">
        <v>45707</v>
      </c>
    </row>
    <row r="73" spans="1:26">
      <c r="A73" s="4">
        <f>IF(ISNUMBER(SEARCH("营",'18.05'!I73)),(-$Y73+50*IF('18.05'!$AK73="是",'18.05'!$BB$4,'18.05'!$BB$3)),(VLOOKUP('18.05'!I73,'18.05'!$AO$4:$AQ$55,2,FALSE))*IF('18.05'!$AK73="是",'18.05'!$BB$4,'18.05'!$BB$3))</f>
        <v>144</v>
      </c>
      <c r="B73" s="4">
        <f>IF(ISNUMBER(SEARCH("营",'18.05'!J73)),(-$Y73+50*IF('18.05'!$AK73="是",'18.05'!$BB$4,'18.05'!$BB$3)),(VLOOKUP('18.05'!J73,'18.05'!$AO$4:$AQ$55,2,FALSE))*IF('18.05'!$AK73="是",'18.05'!$BB$4,'18.05'!$BB$3))</f>
        <v>144</v>
      </c>
      <c r="C73" s="4">
        <f>IF(ISNUMBER(SEARCH("营",'18.05'!K73)),(-$Y73+50*IF('18.05'!$AK73="是",'18.05'!$BB$4,'18.05'!$BB$3)),(VLOOKUP('18.05'!K73,'18.05'!$AO$4:$AQ$55,2,FALSE))*IF('18.05'!$AK73="是",'18.05'!$BB$4,'18.05'!$BB$3))</f>
        <v>144</v>
      </c>
      <c r="D73" s="4">
        <f>IF(ISNUMBER(SEARCH("营",'18.05'!L73)),(-$Y73+50*IF('18.05'!$AK73="是",'18.05'!$BB$4,'18.05'!$BB$3)),(VLOOKUP('18.05'!L73,'18.05'!$AO$4:$AQ$55,2,FALSE))*IF('18.05'!$AK73="是",'18.05'!$BB$4,'18.05'!$BB$3))</f>
        <v>144</v>
      </c>
      <c r="E73" s="4">
        <f>IF(ISNUMBER(SEARCH("营",'18.05'!M73)),(-$Y73+50*IF('18.05'!$AK73="是",'18.05'!$BB$4,'18.05'!$BB$3)),(VLOOKUP('18.05'!M73,'18.05'!$AO$4:$AQ$55,2,FALSE))*IF('18.05'!$AK73="是",'18.05'!$BB$4,'18.05'!$BB$3))</f>
        <v>144</v>
      </c>
      <c r="F73" s="4">
        <f>IF(ISNUMBER(SEARCH("营",'18.05'!N73)),(-$Y73+50*IF('18.05'!$AK73="是",'18.05'!$BB$4,'18.05'!$BB$3)),(VLOOKUP('18.05'!N73,'18.05'!$AO$4:$AQ$55,2,FALSE))*IF('18.05'!$AK73="是",'18.05'!$BB$4,'18.05'!$BB$3))</f>
        <v>136</v>
      </c>
      <c r="G73" s="4">
        <f>IF(ISNUMBER(SEARCH("营",'18.05'!O73)),(-$Y73+50*IF('18.05'!$AK73="是",'18.05'!$BB$4,'18.05'!$BB$3)),(VLOOKUP('18.05'!O73,'18.05'!$AO$4:$AQ$55,2,FALSE))*IF('18.05'!$AK73="是",'18.05'!$BB$4,'18.05'!$BB$3))</f>
        <v>0</v>
      </c>
      <c r="H73" s="4">
        <f>IF(ISNUMBER(SEARCH("营",'18.05'!P73)),(-$Y73+50*IF('18.05'!$AK73="是",'18.05'!$BB$4,'18.05'!$BB$3)),(VLOOKUP('18.05'!P73,'18.05'!$AO$4:$AQ$55,2,FALSE))*IF('18.05'!$AK73="是",'18.05'!$BB$4,'18.05'!$BB$3))</f>
        <v>0</v>
      </c>
      <c r="I73" s="4">
        <f>IF(ISNUMBER(SEARCH("营",'18.05'!Q73)),(-$Y73+50*IF('18.05'!$AK73="是",'18.05'!$BB$4,'18.05'!$BB$3)),(VLOOKUP('18.05'!Q73,'18.05'!$AO$4:$AQ$55,2,FALSE))*IF('18.05'!$AK73="是",'18.05'!$BB$4,'18.05'!$BB$3))</f>
        <v>40</v>
      </c>
      <c r="J73" s="4">
        <f>IF(ISNUMBER(SEARCH("营",'18.05'!R73)),(-$Y73+50*IF('18.05'!$AK73="是",'18.05'!$BB$4,'18.05'!$BB$3)),(VLOOKUP('18.05'!R73,'18.05'!$AO$4:$AQ$55,2,FALSE))*IF('18.05'!$AK73="是",'18.05'!$BB$4,'18.05'!$BB$3))</f>
        <v>136</v>
      </c>
      <c r="K73" s="4">
        <f>IF(ISNUMBER(SEARCH("营",'18.05'!S73)),(-$Y73+50*IF('18.05'!$AK73="是",'18.05'!$BB$4,'18.05'!$BB$3)),(VLOOKUP('18.05'!S73,'18.05'!$AO$4:$AQ$55,2,FALSE))*IF('18.05'!$AK73="是",'18.05'!$BB$4,'18.05'!$BB$3))</f>
        <v>152</v>
      </c>
      <c r="L73" s="4">
        <f>IF(ISNUMBER(SEARCH("营",'18.05'!T73)),(-$Y73+50*IF('18.05'!$AK73="是",'18.05'!$BB$4,'18.05'!$BB$3)),(VLOOKUP('18.05'!T73,'18.05'!$AO$4:$AQ$55,2,FALSE))*IF('18.05'!$AK73="是",'18.05'!$BB$4,'18.05'!$BB$3))</f>
        <v>152</v>
      </c>
      <c r="M73" s="4">
        <f>IF(ISNUMBER(SEARCH("营",'18.05'!U73)),(-$Y73+50*IF('18.05'!$AK73="是",'18.05'!$BB$4,'18.05'!$BB$3)),(VLOOKUP('18.05'!U73,'18.05'!$AO$4:$AQ$55,2,FALSE))*IF('18.05'!$AK73="是",'18.05'!$BB$4,'18.05'!$BB$3))</f>
        <v>152</v>
      </c>
      <c r="N73" s="4">
        <f>IF(ISNUMBER(SEARCH("营",'18.05'!V73)),(-$Y73+50*IF('18.05'!$AK73="是",'18.05'!$BB$4,'18.05'!$BB$3)),(VLOOKUP('18.05'!V73,'18.05'!$AO$4:$AQ$55,2,FALSE))*IF('18.05'!$AK73="是",'18.05'!$BB$4,'18.05'!$BB$3))</f>
        <v>152</v>
      </c>
      <c r="O73" s="4">
        <f>IF(ISNUMBER(SEARCH("营",'18.05'!W73)),(-$Y73+50*IF('18.05'!$AK73="是",'18.05'!$BB$4,'18.05'!$BB$3)),(VLOOKUP('18.05'!W73,'18.05'!$AO$4:$AQ$55,2,FALSE))*IF('18.05'!$AK73="是",'18.05'!$BB$4,'18.05'!$BB$3))</f>
        <v>0</v>
      </c>
      <c r="P73" s="4">
        <f>IF(ISNUMBER(SEARCH("营",'18.05'!X73)),(-$Y73+50*IF('18.05'!$AK73="是",'18.05'!$BB$4,'18.05'!$BB$3)),(VLOOKUP('18.05'!X73,'18.05'!$AO$4:$AQ$55,2,FALSE))*IF('18.05'!$AK73="是",'18.05'!$BB$4,'18.05'!$BB$3))</f>
        <v>0</v>
      </c>
      <c r="Q73" s="4">
        <f>IF(ISNUMBER(SEARCH("营",'18.05'!Y73)),(-$Y73+50*IF('18.05'!$AK73="是",'18.05'!$BB$4,'18.05'!$BB$3)),(VLOOKUP('18.05'!Y73,'18.05'!$AO$4:$AQ$55,2,FALSE))*IF('18.05'!$AK73="是",'18.05'!$BB$4,'18.05'!$BB$3))</f>
        <v>0</v>
      </c>
      <c r="R73" s="4">
        <f>IF(ISNUMBER(SEARCH("营",'18.05'!Z73)),(-$Y73+50*IF('18.05'!$AK73="是",'18.05'!$BB$4,'18.05'!$BB$3)),(VLOOKUP('18.05'!Z73,'18.05'!$AO$4:$AQ$55,2,FALSE))*IF('18.05'!$AK73="是",'18.05'!$BB$4,'18.05'!$BB$3))</f>
        <v>0</v>
      </c>
      <c r="S73" s="4">
        <f>IF(ISNUMBER(SEARCH("营",'18.05'!AA73)),(-$Y73+50*IF('18.05'!$AK73="是",'18.05'!$BB$4,'18.05'!$BB$3)),(VLOOKUP('18.05'!AA73,'18.05'!$AO$4:$AQ$55,2,FALSE))*IF('18.05'!$AK73="是",'18.05'!$BB$4,'18.05'!$BB$3))</f>
        <v>0</v>
      </c>
      <c r="T73" s="4">
        <f>IF(ISNUMBER(SEARCH("营",'18.05'!AB73)),(-$Y73+50*IF('18.05'!$AK73="是",'18.05'!$BB$4,'18.05'!$BB$3)),(VLOOKUP('18.05'!AB73,'18.05'!$AO$4:$AQ$55,2,FALSE))*IF('18.05'!$AK73="是",'18.05'!$BB$4,'18.05'!$BB$3))</f>
        <v>0</v>
      </c>
      <c r="U73" s="4">
        <f>IF(ISNUMBER(SEARCH("营",'18.05'!AC73)),(-$Y73+50*IF('18.05'!$AK73="是",'18.05'!$BB$4,'18.05'!$BB$3)),(VLOOKUP('18.05'!AC73,'18.05'!$AO$4:$AQ$55,2,FALSE))*IF('18.05'!$AK73="是",'18.05'!$BB$4,'18.05'!$BB$3))</f>
        <v>0</v>
      </c>
      <c r="V73" s="4">
        <f>IF(ISNUMBER(SEARCH("营",'18.05'!AD73)),(-$Y73+50*IF('18.05'!$AK73="是",'18.05'!$BB$4,'18.05'!$BB$3)),(VLOOKUP('18.05'!AD73,'18.05'!$AO$4:$AQ$55,2,FALSE))*IF('18.05'!$AK73="是",'18.05'!$BB$4,'18.05'!$BB$3))</f>
        <v>0</v>
      </c>
      <c r="W73" s="4">
        <f>IF(ISNUMBER(SEARCH("营",'18.05'!AE73)),(-$Y73+50*IF('18.05'!$AK73="是",'18.05'!$BB$4,'18.05'!$BB$3)),(VLOOKUP('18.05'!AE73,'18.05'!$AO$4:$AQ$55,2,FALSE))*IF('18.05'!$AK73="是",'18.05'!$BB$4,'18.05'!$BB$3))</f>
        <v>0</v>
      </c>
      <c r="X73" s="4">
        <f>IF(ISNUMBER(SEARCH("营",'18.05'!AF73)),(-$Y73+50*IF('18.05'!$AK73="是",'18.05'!$BB$4,'18.05'!$BB$3)),(VLOOKUP('18.05'!AF73,'18.05'!$AO$4:$AQ$55,2,FALSE))*IF('18.05'!$AK73="是",'18.05'!$BB$4,'18.05'!$BB$3))</f>
        <v>0</v>
      </c>
      <c r="Y73" s="69">
        <v>100</v>
      </c>
      <c r="Z73" s="75">
        <v>45708</v>
      </c>
    </row>
    <row r="74" spans="1:26">
      <c r="A74" s="4">
        <f>IF(ISNUMBER(SEARCH("营",'18.05'!I74)),(-$Y74+50*IF('18.05'!$AK74="是",'18.05'!$BB$4,'18.05'!$BB$3)),(VLOOKUP('18.05'!I74,'18.05'!$AO$4:$AQ$55,2,FALSE))*IF('18.05'!$AK74="是",'18.05'!$BB$4,'18.05'!$BB$3))</f>
        <v>136</v>
      </c>
      <c r="B74" s="4">
        <f>IF(ISNUMBER(SEARCH("营",'18.05'!J74)),(-$Y74+50*IF('18.05'!$AK74="是",'18.05'!$BB$4,'18.05'!$BB$3)),(VLOOKUP('18.05'!J74,'18.05'!$AO$4:$AQ$55,2,FALSE))*IF('18.05'!$AK74="是",'18.05'!$BB$4,'18.05'!$BB$3))</f>
        <v>136</v>
      </c>
      <c r="C74" s="4">
        <f>IF(ISNUMBER(SEARCH("营",'18.05'!K74)),(-$Y74+50*IF('18.05'!$AK74="是",'18.05'!$BB$4,'18.05'!$BB$3)),(VLOOKUP('18.05'!K74,'18.05'!$AO$4:$AQ$55,2,FALSE))*IF('18.05'!$AK74="是",'18.05'!$BB$4,'18.05'!$BB$3))</f>
        <v>40</v>
      </c>
      <c r="D74" s="4">
        <f>IF(ISNUMBER(SEARCH("营",'18.05'!L74)),(-$Y74+50*IF('18.05'!$AK74="是",'18.05'!$BB$4,'18.05'!$BB$3)),(VLOOKUP('18.05'!L74,'18.05'!$AO$4:$AQ$55,2,FALSE))*IF('18.05'!$AK74="是",'18.05'!$BB$4,'18.05'!$BB$3))</f>
        <v>136</v>
      </c>
      <c r="E74" s="4">
        <f>IF(ISNUMBER(SEARCH("营",'18.05'!M74)),(-$Y74+50*IF('18.05'!$AK74="是",'18.05'!$BB$4,'18.05'!$BB$3)),(VLOOKUP('18.05'!M74,'18.05'!$AO$4:$AQ$55,2,FALSE))*IF('18.05'!$AK74="是",'18.05'!$BB$4,'18.05'!$BB$3))</f>
        <v>136</v>
      </c>
      <c r="F74" s="4">
        <f>IF(ISNUMBER(SEARCH("营",'18.05'!N74)),(-$Y74+50*IF('18.05'!$AK74="是",'18.05'!$BB$4,'18.05'!$BB$3)),(VLOOKUP('18.05'!N74,'18.05'!$AO$4:$AQ$55,2,FALSE))*IF('18.05'!$AK74="是",'18.05'!$BB$4,'18.05'!$BB$3))</f>
        <v>0</v>
      </c>
      <c r="G74" s="4">
        <f>IF(ISNUMBER(SEARCH("营",'18.05'!O74)),(-$Y74+50*IF('18.05'!$AK74="是",'18.05'!$BB$4,'18.05'!$BB$3)),(VLOOKUP('18.05'!O74,'18.05'!$AO$4:$AQ$55,2,FALSE))*IF('18.05'!$AK74="是",'18.05'!$BB$4,'18.05'!$BB$3))</f>
        <v>0</v>
      </c>
      <c r="H74" s="4">
        <f>IF(ISNUMBER(SEARCH("营",'18.05'!P74)),(-$Y74+50*IF('18.05'!$AK74="是",'18.05'!$BB$4,'18.05'!$BB$3)),(VLOOKUP('18.05'!P74,'18.05'!$AO$4:$AQ$55,2,FALSE))*IF('18.05'!$AK74="是",'18.05'!$BB$4,'18.05'!$BB$3))</f>
        <v>0</v>
      </c>
      <c r="I74" s="4">
        <f>IF(ISNUMBER(SEARCH("营",'18.05'!Q74)),(-$Y74+50*IF('18.05'!$AK74="是",'18.05'!$BB$4,'18.05'!$BB$3)),(VLOOKUP('18.05'!Q74,'18.05'!$AO$4:$AQ$55,2,FALSE))*IF('18.05'!$AK74="是",'18.05'!$BB$4,'18.05'!$BB$3))</f>
        <v>152</v>
      </c>
      <c r="J74" s="4">
        <f>IF(ISNUMBER(SEARCH("营",'18.05'!R74)),(-$Y74+50*IF('18.05'!$AK74="是",'18.05'!$BB$4,'18.05'!$BB$3)),(VLOOKUP('18.05'!R74,'18.05'!$AO$4:$AQ$55,2,FALSE))*IF('18.05'!$AK74="是",'18.05'!$BB$4,'18.05'!$BB$3))</f>
        <v>152</v>
      </c>
      <c r="K74" s="4">
        <f>IF(ISNUMBER(SEARCH("营",'18.05'!S74)),(-$Y74+50*IF('18.05'!$AK74="是",'18.05'!$BB$4,'18.05'!$BB$3)),(VLOOKUP('18.05'!S74,'18.05'!$AO$4:$AQ$55,2,FALSE))*IF('18.05'!$AK74="是",'18.05'!$BB$4,'18.05'!$BB$3))</f>
        <v>152</v>
      </c>
      <c r="L74" s="4">
        <f>IF(ISNUMBER(SEARCH("营",'18.05'!T74)),(-$Y74+50*IF('18.05'!$AK74="是",'18.05'!$BB$4,'18.05'!$BB$3)),(VLOOKUP('18.05'!T74,'18.05'!$AO$4:$AQ$55,2,FALSE))*IF('18.05'!$AK74="是",'18.05'!$BB$4,'18.05'!$BB$3))</f>
        <v>160</v>
      </c>
      <c r="M74" s="4">
        <f>IF(ISNUMBER(SEARCH("营",'18.05'!U74)),(-$Y74+50*IF('18.05'!$AK74="是",'18.05'!$BB$4,'18.05'!$BB$3)),(VLOOKUP('18.05'!U74,'18.05'!$AO$4:$AQ$55,2,FALSE))*IF('18.05'!$AK74="是",'18.05'!$BB$4,'18.05'!$BB$3))</f>
        <v>160</v>
      </c>
      <c r="N74" s="4">
        <f>IF(ISNUMBER(SEARCH("营",'18.05'!V74)),(-$Y74+50*IF('18.05'!$AK74="是",'18.05'!$BB$4,'18.05'!$BB$3)),(VLOOKUP('18.05'!V74,'18.05'!$AO$4:$AQ$55,2,FALSE))*IF('18.05'!$AK74="是",'18.05'!$BB$4,'18.05'!$BB$3))</f>
        <v>160</v>
      </c>
      <c r="O74" s="4">
        <f>IF(ISNUMBER(SEARCH("营",'18.05'!W74)),(-$Y74+50*IF('18.05'!$AK74="是",'18.05'!$BB$4,'18.05'!$BB$3)),(VLOOKUP('18.05'!W74,'18.05'!$AO$4:$AQ$55,2,FALSE))*IF('18.05'!$AK74="是",'18.05'!$BB$4,'18.05'!$BB$3))</f>
        <v>0</v>
      </c>
      <c r="P74" s="4">
        <f>IF(ISNUMBER(SEARCH("营",'18.05'!X74)),(-$Y74+50*IF('18.05'!$AK74="是",'18.05'!$BB$4,'18.05'!$BB$3)),(VLOOKUP('18.05'!X74,'18.05'!$AO$4:$AQ$55,2,FALSE))*IF('18.05'!$AK74="是",'18.05'!$BB$4,'18.05'!$BB$3))</f>
        <v>0</v>
      </c>
      <c r="Q74" s="4">
        <f>IF(ISNUMBER(SEARCH("营",'18.05'!Y74)),(-$Y74+50*IF('18.05'!$AK74="是",'18.05'!$BB$4,'18.05'!$BB$3)),(VLOOKUP('18.05'!Y74,'18.05'!$AO$4:$AQ$55,2,FALSE))*IF('18.05'!$AK74="是",'18.05'!$BB$4,'18.05'!$BB$3))</f>
        <v>0</v>
      </c>
      <c r="R74" s="4">
        <f>IF(ISNUMBER(SEARCH("营",'18.05'!Z74)),(-$Y74+50*IF('18.05'!$AK74="是",'18.05'!$BB$4,'18.05'!$BB$3)),(VLOOKUP('18.05'!Z74,'18.05'!$AO$4:$AQ$55,2,FALSE))*IF('18.05'!$AK74="是",'18.05'!$BB$4,'18.05'!$BB$3))</f>
        <v>0</v>
      </c>
      <c r="S74" s="4">
        <f>IF(ISNUMBER(SEARCH("营",'18.05'!AA74)),(-$Y74+50*IF('18.05'!$AK74="是",'18.05'!$BB$4,'18.05'!$BB$3)),(VLOOKUP('18.05'!AA74,'18.05'!$AO$4:$AQ$55,2,FALSE))*IF('18.05'!$AK74="是",'18.05'!$BB$4,'18.05'!$BB$3))</f>
        <v>0</v>
      </c>
      <c r="T74" s="4">
        <f>IF(ISNUMBER(SEARCH("营",'18.05'!AB74)),(-$Y74+50*IF('18.05'!$AK74="是",'18.05'!$BB$4,'18.05'!$BB$3)),(VLOOKUP('18.05'!AB74,'18.05'!$AO$4:$AQ$55,2,FALSE))*IF('18.05'!$AK74="是",'18.05'!$BB$4,'18.05'!$BB$3))</f>
        <v>0</v>
      </c>
      <c r="U74" s="4">
        <f>IF(ISNUMBER(SEARCH("营",'18.05'!AC74)),(-$Y74+50*IF('18.05'!$AK74="是",'18.05'!$BB$4,'18.05'!$BB$3)),(VLOOKUP('18.05'!AC74,'18.05'!$AO$4:$AQ$55,2,FALSE))*IF('18.05'!$AK74="是",'18.05'!$BB$4,'18.05'!$BB$3))</f>
        <v>0</v>
      </c>
      <c r="V74" s="4">
        <f>IF(ISNUMBER(SEARCH("营",'18.05'!AD74)),(-$Y74+50*IF('18.05'!$AK74="是",'18.05'!$BB$4,'18.05'!$BB$3)),(VLOOKUP('18.05'!AD74,'18.05'!$AO$4:$AQ$55,2,FALSE))*IF('18.05'!$AK74="是",'18.05'!$BB$4,'18.05'!$BB$3))</f>
        <v>0</v>
      </c>
      <c r="W74" s="4">
        <f>IF(ISNUMBER(SEARCH("营",'18.05'!AE74)),(-$Y74+50*IF('18.05'!$AK74="是",'18.05'!$BB$4,'18.05'!$BB$3)),(VLOOKUP('18.05'!AE74,'18.05'!$AO$4:$AQ$55,2,FALSE))*IF('18.05'!$AK74="是",'18.05'!$BB$4,'18.05'!$BB$3))</f>
        <v>0</v>
      </c>
      <c r="X74" s="4">
        <f>IF(ISNUMBER(SEARCH("营",'18.05'!AF74)),(-$Y74+50*IF('18.05'!$AK74="是",'18.05'!$BB$4,'18.05'!$BB$3)),(VLOOKUP('18.05'!AF74,'18.05'!$AO$4:$AQ$55,2,FALSE))*IF('18.05'!$AK74="是",'18.05'!$BB$4,'18.05'!$BB$3))</f>
        <v>0</v>
      </c>
      <c r="Y74" s="69">
        <v>100</v>
      </c>
      <c r="Z74" s="75">
        <v>45709</v>
      </c>
    </row>
    <row r="75" spans="1:26">
      <c r="A75" s="4">
        <f>IF(ISNUMBER(SEARCH("营",'18.05'!I75)),(-$Y75+50*IF('18.05'!$AK75="是",'18.05'!$BB$4,'18.05'!$BB$3)),(VLOOKUP('18.05'!I75,'18.05'!$AO$4:$AQ$55,2,FALSE))*IF('18.05'!$AK75="是",'18.05'!$BB$4,'18.05'!$BB$3))</f>
        <v>144</v>
      </c>
      <c r="B75" s="4">
        <f>IF(ISNUMBER(SEARCH("营",'18.05'!J75)),(-$Y75+50*IF('18.05'!$AK75="是",'18.05'!$BB$4,'18.05'!$BB$3)),(VLOOKUP('18.05'!J75,'18.05'!$AO$4:$AQ$55,2,FALSE))*IF('18.05'!$AK75="是",'18.05'!$BB$4,'18.05'!$BB$3))</f>
        <v>144</v>
      </c>
      <c r="C75" s="4">
        <f>IF(ISNUMBER(SEARCH("营",'18.05'!K75)),(-$Y75+50*IF('18.05'!$AK75="是",'18.05'!$BB$4,'18.05'!$BB$3)),(VLOOKUP('18.05'!K75,'18.05'!$AO$4:$AQ$55,2,FALSE))*IF('18.05'!$AK75="是",'18.05'!$BB$4,'18.05'!$BB$3))</f>
        <v>144</v>
      </c>
      <c r="D75" s="4">
        <f>IF(ISNUMBER(SEARCH("营",'18.05'!L75)),(-$Y75+50*IF('18.05'!$AK75="是",'18.05'!$BB$4,'18.05'!$BB$3)),(VLOOKUP('18.05'!L75,'18.05'!$AO$4:$AQ$55,2,FALSE))*IF('18.05'!$AK75="是",'18.05'!$BB$4,'18.05'!$BB$3))</f>
        <v>144</v>
      </c>
      <c r="E75" s="4">
        <f>IF(ISNUMBER(SEARCH("营",'18.05'!M75)),(-$Y75+50*IF('18.05'!$AK75="是",'18.05'!$BB$4,'18.05'!$BB$3)),(VLOOKUP('18.05'!M75,'18.05'!$AO$4:$AQ$55,2,FALSE))*IF('18.05'!$AK75="是",'18.05'!$BB$4,'18.05'!$BB$3))</f>
        <v>144</v>
      </c>
      <c r="F75" s="4">
        <f>IF(ISNUMBER(SEARCH("营",'18.05'!N75)),(-$Y75+50*IF('18.05'!$AK75="是",'18.05'!$BB$4,'18.05'!$BB$3)),(VLOOKUP('18.05'!N75,'18.05'!$AO$4:$AQ$55,2,FALSE))*IF('18.05'!$AK75="是",'18.05'!$BB$4,'18.05'!$BB$3))</f>
        <v>160</v>
      </c>
      <c r="G75" s="4">
        <f>IF(ISNUMBER(SEARCH("营",'18.05'!O75)),(-$Y75+50*IF('18.05'!$AK75="是",'18.05'!$BB$4,'18.05'!$BB$3)),(VLOOKUP('18.05'!O75,'18.05'!$AO$4:$AQ$55,2,FALSE))*IF('18.05'!$AK75="是",'18.05'!$BB$4,'18.05'!$BB$3))</f>
        <v>0</v>
      </c>
      <c r="H75" s="4">
        <f>IF(ISNUMBER(SEARCH("营",'18.05'!P75)),(-$Y75+50*IF('18.05'!$AK75="是",'18.05'!$BB$4,'18.05'!$BB$3)),(VLOOKUP('18.05'!P75,'18.05'!$AO$4:$AQ$55,2,FALSE))*IF('18.05'!$AK75="是",'18.05'!$BB$4,'18.05'!$BB$3))</f>
        <v>0</v>
      </c>
      <c r="I75" s="4">
        <f>IF(ISNUMBER(SEARCH("营",'18.05'!Q75)),(-$Y75+50*IF('18.05'!$AK75="是",'18.05'!$BB$4,'18.05'!$BB$3)),(VLOOKUP('18.05'!Q75,'18.05'!$AO$4:$AQ$55,2,FALSE))*IF('18.05'!$AK75="是",'18.05'!$BB$4,'18.05'!$BB$3))</f>
        <v>40</v>
      </c>
      <c r="J75" s="4">
        <f>IF(ISNUMBER(SEARCH("营",'18.05'!R75)),(-$Y75+50*IF('18.05'!$AK75="是",'18.05'!$BB$4,'18.05'!$BB$3)),(VLOOKUP('18.05'!R75,'18.05'!$AO$4:$AQ$55,2,FALSE))*IF('18.05'!$AK75="是",'18.05'!$BB$4,'18.05'!$BB$3))</f>
        <v>144</v>
      </c>
      <c r="K75" s="4">
        <f>IF(ISNUMBER(SEARCH("营",'18.05'!S75)),(-$Y75+50*IF('18.05'!$AK75="是",'18.05'!$BB$4,'18.05'!$BB$3)),(VLOOKUP('18.05'!S75,'18.05'!$AO$4:$AQ$55,2,FALSE))*IF('18.05'!$AK75="是",'18.05'!$BB$4,'18.05'!$BB$3))</f>
        <v>160</v>
      </c>
      <c r="L75" s="4">
        <f>IF(ISNUMBER(SEARCH("营",'18.05'!T75)),(-$Y75+50*IF('18.05'!$AK75="是",'18.05'!$BB$4,'18.05'!$BB$3)),(VLOOKUP('18.05'!T75,'18.05'!$AO$4:$AQ$55,2,FALSE))*IF('18.05'!$AK75="是",'18.05'!$BB$4,'18.05'!$BB$3))</f>
        <v>160</v>
      </c>
      <c r="M75" s="4">
        <f>IF(ISNUMBER(SEARCH("营",'18.05'!U75)),(-$Y75+50*IF('18.05'!$AK75="是",'18.05'!$BB$4,'18.05'!$BB$3)),(VLOOKUP('18.05'!U75,'18.05'!$AO$4:$AQ$55,2,FALSE))*IF('18.05'!$AK75="是",'18.05'!$BB$4,'18.05'!$BB$3))</f>
        <v>160</v>
      </c>
      <c r="N75" s="4">
        <f>IF(ISNUMBER(SEARCH("营",'18.05'!V75)),(-$Y75+50*IF('18.05'!$AK75="是",'18.05'!$BB$4,'18.05'!$BB$3)),(VLOOKUP('18.05'!V75,'18.05'!$AO$4:$AQ$55,2,FALSE))*IF('18.05'!$AK75="是",'18.05'!$BB$4,'18.05'!$BB$3))</f>
        <v>160</v>
      </c>
      <c r="O75" s="4">
        <f>IF(ISNUMBER(SEARCH("营",'18.05'!W75)),(-$Y75+50*IF('18.05'!$AK75="是",'18.05'!$BB$4,'18.05'!$BB$3)),(VLOOKUP('18.05'!W75,'18.05'!$AO$4:$AQ$55,2,FALSE))*IF('18.05'!$AK75="是",'18.05'!$BB$4,'18.05'!$BB$3))</f>
        <v>0</v>
      </c>
      <c r="P75" s="4">
        <f>IF(ISNUMBER(SEARCH("营",'18.05'!X75)),(-$Y75+50*IF('18.05'!$AK75="是",'18.05'!$BB$4,'18.05'!$BB$3)),(VLOOKUP('18.05'!X75,'18.05'!$AO$4:$AQ$55,2,FALSE))*IF('18.05'!$AK75="是",'18.05'!$BB$4,'18.05'!$BB$3))</f>
        <v>0</v>
      </c>
      <c r="Q75" s="4">
        <f>IF(ISNUMBER(SEARCH("营",'18.05'!Y75)),(-$Y75+50*IF('18.05'!$AK75="是",'18.05'!$BB$4,'18.05'!$BB$3)),(VLOOKUP('18.05'!Y75,'18.05'!$AO$4:$AQ$55,2,FALSE))*IF('18.05'!$AK75="是",'18.05'!$BB$4,'18.05'!$BB$3))</f>
        <v>0</v>
      </c>
      <c r="R75" s="4">
        <f>IF(ISNUMBER(SEARCH("营",'18.05'!Z75)),(-$Y75+50*IF('18.05'!$AK75="是",'18.05'!$BB$4,'18.05'!$BB$3)),(VLOOKUP('18.05'!Z75,'18.05'!$AO$4:$AQ$55,2,FALSE))*IF('18.05'!$AK75="是",'18.05'!$BB$4,'18.05'!$BB$3))</f>
        <v>0</v>
      </c>
      <c r="S75" s="4">
        <f>IF(ISNUMBER(SEARCH("营",'18.05'!AA75)),(-$Y75+50*IF('18.05'!$AK75="是",'18.05'!$BB$4,'18.05'!$BB$3)),(VLOOKUP('18.05'!AA75,'18.05'!$AO$4:$AQ$55,2,FALSE))*IF('18.05'!$AK75="是",'18.05'!$BB$4,'18.05'!$BB$3))</f>
        <v>0</v>
      </c>
      <c r="T75" s="4">
        <f>IF(ISNUMBER(SEARCH("营",'18.05'!AB75)),(-$Y75+50*IF('18.05'!$AK75="是",'18.05'!$BB$4,'18.05'!$BB$3)),(VLOOKUP('18.05'!AB75,'18.05'!$AO$4:$AQ$55,2,FALSE))*IF('18.05'!$AK75="是",'18.05'!$BB$4,'18.05'!$BB$3))</f>
        <v>0</v>
      </c>
      <c r="U75" s="4">
        <f>IF(ISNUMBER(SEARCH("营",'18.05'!AC75)),(-$Y75+50*IF('18.05'!$AK75="是",'18.05'!$BB$4,'18.05'!$BB$3)),(VLOOKUP('18.05'!AC75,'18.05'!$AO$4:$AQ$55,2,FALSE))*IF('18.05'!$AK75="是",'18.05'!$BB$4,'18.05'!$BB$3))</f>
        <v>0</v>
      </c>
      <c r="V75" s="4">
        <f>IF(ISNUMBER(SEARCH("营",'18.05'!AD75)),(-$Y75+50*IF('18.05'!$AK75="是",'18.05'!$BB$4,'18.05'!$BB$3)),(VLOOKUP('18.05'!AD75,'18.05'!$AO$4:$AQ$55,2,FALSE))*IF('18.05'!$AK75="是",'18.05'!$BB$4,'18.05'!$BB$3))</f>
        <v>0</v>
      </c>
      <c r="W75" s="4">
        <f>IF(ISNUMBER(SEARCH("营",'18.05'!AE75)),(-$Y75+50*IF('18.05'!$AK75="是",'18.05'!$BB$4,'18.05'!$BB$3)),(VLOOKUP('18.05'!AE75,'18.05'!$AO$4:$AQ$55,2,FALSE))*IF('18.05'!$AK75="是",'18.05'!$BB$4,'18.05'!$BB$3))</f>
        <v>0</v>
      </c>
      <c r="X75" s="4">
        <f>IF(ISNUMBER(SEARCH("营",'18.05'!AF75)),(-$Y75+50*IF('18.05'!$AK75="是",'18.05'!$BB$4,'18.05'!$BB$3)),(VLOOKUP('18.05'!AF75,'18.05'!$AO$4:$AQ$55,2,FALSE))*IF('18.05'!$AK75="是",'18.05'!$BB$4,'18.05'!$BB$3))</f>
        <v>0</v>
      </c>
      <c r="Y75" s="69">
        <v>100</v>
      </c>
      <c r="Z75" s="75">
        <v>45710</v>
      </c>
    </row>
    <row r="76" spans="1:26">
      <c r="A76" s="4">
        <f>IF(ISNUMBER(SEARCH("营",'18.05'!I76)),(-$Y76+50*IF('18.05'!$AK76="是",'18.05'!$BB$4,'18.05'!$BB$3)),(VLOOKUP('18.05'!I76,'18.05'!$AO$4:$AQ$55,2,FALSE))*IF('18.05'!$AK76="是",'18.05'!$BB$4,'18.05'!$BB$3))</f>
        <v>0</v>
      </c>
      <c r="B76" s="4">
        <f>IF(ISNUMBER(SEARCH("营",'18.05'!J76)),(-$Y76+50*IF('18.05'!$AK76="是",'18.05'!$BB$4,'18.05'!$BB$3)),(VLOOKUP('18.05'!J76,'18.05'!$AO$4:$AQ$55,2,FALSE))*IF('18.05'!$AK76="是",'18.05'!$BB$4,'18.05'!$BB$3))</f>
        <v>0</v>
      </c>
      <c r="C76" s="4">
        <f>IF(ISNUMBER(SEARCH("营",'18.05'!K76)),(-$Y76+50*IF('18.05'!$AK76="是",'18.05'!$BB$4,'18.05'!$BB$3)),(VLOOKUP('18.05'!K76,'18.05'!$AO$4:$AQ$55,2,FALSE))*IF('18.05'!$AK76="是",'18.05'!$BB$4,'18.05'!$BB$3))</f>
        <v>0</v>
      </c>
      <c r="D76" s="4">
        <f>IF(ISNUMBER(SEARCH("营",'18.05'!L76)),(-$Y76+50*IF('18.05'!$AK76="是",'18.05'!$BB$4,'18.05'!$BB$3)),(VLOOKUP('18.05'!L76,'18.05'!$AO$4:$AQ$55,2,FALSE))*IF('18.05'!$AK76="是",'18.05'!$BB$4,'18.05'!$BB$3))</f>
        <v>0</v>
      </c>
      <c r="E76" s="4">
        <f>IF(ISNUMBER(SEARCH("营",'18.05'!M76)),(-$Y76+50*IF('18.05'!$AK76="是",'18.05'!$BB$4,'18.05'!$BB$3)),(VLOOKUP('18.05'!M76,'18.05'!$AO$4:$AQ$55,2,FALSE))*IF('18.05'!$AK76="是",'18.05'!$BB$4,'18.05'!$BB$3))</f>
        <v>0</v>
      </c>
      <c r="F76" s="4">
        <f>IF(ISNUMBER(SEARCH("营",'18.05'!N76)),(-$Y76+50*IF('18.05'!$AK76="是",'18.05'!$BB$4,'18.05'!$BB$3)),(VLOOKUP('18.05'!N76,'18.05'!$AO$4:$AQ$55,2,FALSE))*IF('18.05'!$AK76="是",'18.05'!$BB$4,'18.05'!$BB$3))</f>
        <v>0</v>
      </c>
      <c r="G76" s="4">
        <f>IF(ISNUMBER(SEARCH("营",'18.05'!O76)),(-$Y76+50*IF('18.05'!$AK76="是",'18.05'!$BB$4,'18.05'!$BB$3)),(VLOOKUP('18.05'!O76,'18.05'!$AO$4:$AQ$55,2,FALSE))*IF('18.05'!$AK76="是",'18.05'!$BB$4,'18.05'!$BB$3))</f>
        <v>0</v>
      </c>
      <c r="H76" s="4">
        <f>IF(ISNUMBER(SEARCH("营",'18.05'!P76)),(-$Y76+50*IF('18.05'!$AK76="是",'18.05'!$BB$4,'18.05'!$BB$3)),(VLOOKUP('18.05'!P76,'18.05'!$AO$4:$AQ$55,2,FALSE))*IF('18.05'!$AK76="是",'18.05'!$BB$4,'18.05'!$BB$3))</f>
        <v>0</v>
      </c>
      <c r="I76" s="4">
        <f>IF(ISNUMBER(SEARCH("营",'18.05'!Q76)),(-$Y76+50*IF('18.05'!$AK76="是",'18.05'!$BB$4,'18.05'!$BB$3)),(VLOOKUP('18.05'!Q76,'18.05'!$AO$4:$AQ$55,2,FALSE))*IF('18.05'!$AK76="是",'18.05'!$BB$4,'18.05'!$BB$3))</f>
        <v>160</v>
      </c>
      <c r="J76" s="4">
        <f>IF(ISNUMBER(SEARCH("营",'18.05'!R76)),(-$Y76+50*IF('18.05'!$AK76="是",'18.05'!$BB$4,'18.05'!$BB$3)),(VLOOKUP('18.05'!R76,'18.05'!$AO$4:$AQ$55,2,FALSE))*IF('18.05'!$AK76="是",'18.05'!$BB$4,'18.05'!$BB$3))</f>
        <v>160</v>
      </c>
      <c r="K76" s="4">
        <f>IF(ISNUMBER(SEARCH("营",'18.05'!S76)),(-$Y76+50*IF('18.05'!$AK76="是",'18.05'!$BB$4,'18.05'!$BB$3)),(VLOOKUP('18.05'!S76,'18.05'!$AO$4:$AQ$55,2,FALSE))*IF('18.05'!$AK76="是",'18.05'!$BB$4,'18.05'!$BB$3))</f>
        <v>160</v>
      </c>
      <c r="L76" s="4">
        <f>IF(ISNUMBER(SEARCH("营",'18.05'!T76)),(-$Y76+50*IF('18.05'!$AK76="是",'18.05'!$BB$4,'18.05'!$BB$3)),(VLOOKUP('18.05'!T76,'18.05'!$AO$4:$AQ$55,2,FALSE))*IF('18.05'!$AK76="是",'18.05'!$BB$4,'18.05'!$BB$3))</f>
        <v>160</v>
      </c>
      <c r="M76" s="4">
        <f>IF(ISNUMBER(SEARCH("营",'18.05'!U76)),(-$Y76+50*IF('18.05'!$AK76="是",'18.05'!$BB$4,'18.05'!$BB$3)),(VLOOKUP('18.05'!U76,'18.05'!$AO$4:$AQ$55,2,FALSE))*IF('18.05'!$AK76="是",'18.05'!$BB$4,'18.05'!$BB$3))</f>
        <v>160</v>
      </c>
      <c r="N76" s="4">
        <f>IF(ISNUMBER(SEARCH("营",'18.05'!V76)),(-$Y76+50*IF('18.05'!$AK76="是",'18.05'!$BB$4,'18.05'!$BB$3)),(VLOOKUP('18.05'!V76,'18.05'!$AO$4:$AQ$55,2,FALSE))*IF('18.05'!$AK76="是",'18.05'!$BB$4,'18.05'!$BB$3))</f>
        <v>160</v>
      </c>
      <c r="O76" s="4">
        <f>IF(ISNUMBER(SEARCH("营",'18.05'!W76)),(-$Y76+50*IF('18.05'!$AK76="是",'18.05'!$BB$4,'18.05'!$BB$3)),(VLOOKUP('18.05'!W76,'18.05'!$AO$4:$AQ$55,2,FALSE))*IF('18.05'!$AK76="是",'18.05'!$BB$4,'18.05'!$BB$3))</f>
        <v>0</v>
      </c>
      <c r="P76" s="4">
        <f>IF(ISNUMBER(SEARCH("营",'18.05'!X76)),(-$Y76+50*IF('18.05'!$AK76="是",'18.05'!$BB$4,'18.05'!$BB$3)),(VLOOKUP('18.05'!X76,'18.05'!$AO$4:$AQ$55,2,FALSE))*IF('18.05'!$AK76="是",'18.05'!$BB$4,'18.05'!$BB$3))</f>
        <v>0</v>
      </c>
      <c r="Q76" s="4">
        <f>IF(ISNUMBER(SEARCH("营",'18.05'!Y76)),(-$Y76+50*IF('18.05'!$AK76="是",'18.05'!$BB$4,'18.05'!$BB$3)),(VLOOKUP('18.05'!Y76,'18.05'!$AO$4:$AQ$55,2,FALSE))*IF('18.05'!$AK76="是",'18.05'!$BB$4,'18.05'!$BB$3))</f>
        <v>0</v>
      </c>
      <c r="R76" s="4">
        <f>IF(ISNUMBER(SEARCH("营",'18.05'!Z76)),(-$Y76+50*IF('18.05'!$AK76="是",'18.05'!$BB$4,'18.05'!$BB$3)),(VLOOKUP('18.05'!Z76,'18.05'!$AO$4:$AQ$55,2,FALSE))*IF('18.05'!$AK76="是",'18.05'!$BB$4,'18.05'!$BB$3))</f>
        <v>0</v>
      </c>
      <c r="S76" s="4">
        <f>IF(ISNUMBER(SEARCH("营",'18.05'!AA76)),(-$Y76+50*IF('18.05'!$AK76="是",'18.05'!$BB$4,'18.05'!$BB$3)),(VLOOKUP('18.05'!AA76,'18.05'!$AO$4:$AQ$55,2,FALSE))*IF('18.05'!$AK76="是",'18.05'!$BB$4,'18.05'!$BB$3))</f>
        <v>0</v>
      </c>
      <c r="T76" s="4">
        <f>IF(ISNUMBER(SEARCH("营",'18.05'!AB76)),(-$Y76+50*IF('18.05'!$AK76="是",'18.05'!$BB$4,'18.05'!$BB$3)),(VLOOKUP('18.05'!AB76,'18.05'!$AO$4:$AQ$55,2,FALSE))*IF('18.05'!$AK76="是",'18.05'!$BB$4,'18.05'!$BB$3))</f>
        <v>0</v>
      </c>
      <c r="U76" s="4">
        <f>IF(ISNUMBER(SEARCH("营",'18.05'!AC76)),(-$Y76+50*IF('18.05'!$AK76="是",'18.05'!$BB$4,'18.05'!$BB$3)),(VLOOKUP('18.05'!AC76,'18.05'!$AO$4:$AQ$55,2,FALSE))*IF('18.05'!$AK76="是",'18.05'!$BB$4,'18.05'!$BB$3))</f>
        <v>0</v>
      </c>
      <c r="V76" s="4">
        <f>IF(ISNUMBER(SEARCH("营",'18.05'!AD76)),(-$Y76+50*IF('18.05'!$AK76="是",'18.05'!$BB$4,'18.05'!$BB$3)),(VLOOKUP('18.05'!AD76,'18.05'!$AO$4:$AQ$55,2,FALSE))*IF('18.05'!$AK76="是",'18.05'!$BB$4,'18.05'!$BB$3))</f>
        <v>0</v>
      </c>
      <c r="W76" s="4">
        <f>IF(ISNUMBER(SEARCH("营",'18.05'!AE76)),(-$Y76+50*IF('18.05'!$AK76="是",'18.05'!$BB$4,'18.05'!$BB$3)),(VLOOKUP('18.05'!AE76,'18.05'!$AO$4:$AQ$55,2,FALSE))*IF('18.05'!$AK76="是",'18.05'!$BB$4,'18.05'!$BB$3))</f>
        <v>0</v>
      </c>
      <c r="X76" s="4">
        <f>IF(ISNUMBER(SEARCH("营",'18.05'!AF76)),(-$Y76+50*IF('18.05'!$AK76="是",'18.05'!$BB$4,'18.05'!$BB$3)),(VLOOKUP('18.05'!AF76,'18.05'!$AO$4:$AQ$55,2,FALSE))*IF('18.05'!$AK76="是",'18.05'!$BB$4,'18.05'!$BB$3))</f>
        <v>0</v>
      </c>
      <c r="Y76" s="69">
        <v>100</v>
      </c>
      <c r="Z76" s="75">
        <v>45711</v>
      </c>
    </row>
    <row r="77" spans="1:26">
      <c r="A77" s="4">
        <f>IF(ISNUMBER(SEARCH("营",'18.05'!I77)),(-$Y77+50*IF('18.05'!$AK77="是",'18.05'!$BB$4,'18.05'!$BB$3)),(VLOOKUP('18.05'!I77,'18.05'!$AO$4:$AQ$55,2,FALSE))*IF('18.05'!$AK77="是",'18.05'!$BB$4,'18.05'!$BB$3))</f>
        <v>160</v>
      </c>
      <c r="B77" s="4">
        <f>IF(ISNUMBER(SEARCH("营",'18.05'!J77)),(-$Y77+50*IF('18.05'!$AK77="是",'18.05'!$BB$4,'18.05'!$BB$3)),(VLOOKUP('18.05'!J77,'18.05'!$AO$4:$AQ$55,2,FALSE))*IF('18.05'!$AK77="是",'18.05'!$BB$4,'18.05'!$BB$3))</f>
        <v>160</v>
      </c>
      <c r="C77" s="4">
        <f>IF(ISNUMBER(SEARCH("营",'18.05'!K77)),(-$Y77+50*IF('18.05'!$AK77="是",'18.05'!$BB$4,'18.05'!$BB$3)),(VLOOKUP('18.05'!K77,'18.05'!$AO$4:$AQ$55,2,FALSE))*IF('18.05'!$AK77="是",'18.05'!$BB$4,'18.05'!$BB$3))</f>
        <v>160</v>
      </c>
      <c r="D77" s="4">
        <f>IF(ISNUMBER(SEARCH("营",'18.05'!L77)),(-$Y77+50*IF('18.05'!$AK77="是",'18.05'!$BB$4,'18.05'!$BB$3)),(VLOOKUP('18.05'!L77,'18.05'!$AO$4:$AQ$55,2,FALSE))*IF('18.05'!$AK77="是",'18.05'!$BB$4,'18.05'!$BB$3))</f>
        <v>160</v>
      </c>
      <c r="E77" s="4">
        <f>IF(ISNUMBER(SEARCH("营",'18.05'!M77)),(-$Y77+50*IF('18.05'!$AK77="是",'18.05'!$BB$4,'18.05'!$BB$3)),(VLOOKUP('18.05'!M77,'18.05'!$AO$4:$AQ$55,2,FALSE))*IF('18.05'!$AK77="是",'18.05'!$BB$4,'18.05'!$BB$3))</f>
        <v>160</v>
      </c>
      <c r="F77" s="4">
        <f>IF(ISNUMBER(SEARCH("营",'18.05'!N77)),(-$Y77+50*IF('18.05'!$AK77="是",'18.05'!$BB$4,'18.05'!$BB$3)),(VLOOKUP('18.05'!N77,'18.05'!$AO$4:$AQ$55,2,FALSE))*IF('18.05'!$AK77="是",'18.05'!$BB$4,'18.05'!$BB$3))</f>
        <v>160</v>
      </c>
      <c r="G77" s="4">
        <f>IF(ISNUMBER(SEARCH("营",'18.05'!O77)),(-$Y77+50*IF('18.05'!$AK77="是",'18.05'!$BB$4,'18.05'!$BB$3)),(VLOOKUP('18.05'!O77,'18.05'!$AO$4:$AQ$55,2,FALSE))*IF('18.05'!$AK77="是",'18.05'!$BB$4,'18.05'!$BB$3))</f>
        <v>0</v>
      </c>
      <c r="H77" s="4">
        <f>IF(ISNUMBER(SEARCH("营",'18.05'!P77)),(-$Y77+50*IF('18.05'!$AK77="是",'18.05'!$BB$4,'18.05'!$BB$3)),(VLOOKUP('18.05'!P77,'18.05'!$AO$4:$AQ$55,2,FALSE))*IF('18.05'!$AK77="是",'18.05'!$BB$4,'18.05'!$BB$3))</f>
        <v>0</v>
      </c>
      <c r="I77" s="4">
        <f>IF(ISNUMBER(SEARCH("营",'18.05'!Q77)),(-$Y77+50*IF('18.05'!$AK77="是",'18.05'!$BB$4,'18.05'!$BB$3)),(VLOOKUP('18.05'!Q77,'18.05'!$AO$4:$AQ$55,2,FALSE))*IF('18.05'!$AK77="是",'18.05'!$BB$4,'18.05'!$BB$3))</f>
        <v>160</v>
      </c>
      <c r="J77" s="4">
        <f>IF(ISNUMBER(SEARCH("营",'18.05'!R77)),(-$Y77+50*IF('18.05'!$AK77="是",'18.05'!$BB$4,'18.05'!$BB$3)),(VLOOKUP('18.05'!R77,'18.05'!$AO$4:$AQ$55,2,FALSE))*IF('18.05'!$AK77="是",'18.05'!$BB$4,'18.05'!$BB$3))</f>
        <v>160</v>
      </c>
      <c r="K77" s="4">
        <f>IF(ISNUMBER(SEARCH("营",'18.05'!S77)),(-$Y77+50*IF('18.05'!$AK77="是",'18.05'!$BB$4,'18.05'!$BB$3)),(VLOOKUP('18.05'!S77,'18.05'!$AO$4:$AQ$55,2,FALSE))*IF('18.05'!$AK77="是",'18.05'!$BB$4,'18.05'!$BB$3))</f>
        <v>144</v>
      </c>
      <c r="L77" s="4">
        <f>IF(ISNUMBER(SEARCH("营",'18.05'!T77)),(-$Y77+50*IF('18.05'!$AK77="是",'18.05'!$BB$4,'18.05'!$BB$3)),(VLOOKUP('18.05'!T77,'18.05'!$AO$4:$AQ$55,2,FALSE))*IF('18.05'!$AK77="是",'18.05'!$BB$4,'18.05'!$BB$3))</f>
        <v>144</v>
      </c>
      <c r="M77" s="4">
        <f>IF(ISNUMBER(SEARCH("营",'18.05'!U77)),(-$Y77+50*IF('18.05'!$AK77="是",'18.05'!$BB$4,'18.05'!$BB$3)),(VLOOKUP('18.05'!U77,'18.05'!$AO$4:$AQ$55,2,FALSE))*IF('18.05'!$AK77="是",'18.05'!$BB$4,'18.05'!$BB$3))</f>
        <v>144</v>
      </c>
      <c r="N77" s="4">
        <f>IF(ISNUMBER(SEARCH("营",'18.05'!V77)),(-$Y77+50*IF('18.05'!$AK77="是",'18.05'!$BB$4,'18.05'!$BB$3)),(VLOOKUP('18.05'!V77,'18.05'!$AO$4:$AQ$55,2,FALSE))*IF('18.05'!$AK77="是",'18.05'!$BB$4,'18.05'!$BB$3))</f>
        <v>136</v>
      </c>
      <c r="O77" s="4">
        <f>IF(ISNUMBER(SEARCH("营",'18.05'!W77)),(-$Y77+50*IF('18.05'!$AK77="是",'18.05'!$BB$4,'18.05'!$BB$3)),(VLOOKUP('18.05'!W77,'18.05'!$AO$4:$AQ$55,2,FALSE))*IF('18.05'!$AK77="是",'18.05'!$BB$4,'18.05'!$BB$3))</f>
        <v>0</v>
      </c>
      <c r="P77" s="4">
        <f>IF(ISNUMBER(SEARCH("营",'18.05'!X77)),(-$Y77+50*IF('18.05'!$AK77="是",'18.05'!$BB$4,'18.05'!$BB$3)),(VLOOKUP('18.05'!X77,'18.05'!$AO$4:$AQ$55,2,FALSE))*IF('18.05'!$AK77="是",'18.05'!$BB$4,'18.05'!$BB$3))</f>
        <v>0</v>
      </c>
      <c r="Q77" s="4">
        <f>IF(ISNUMBER(SEARCH("营",'18.05'!Y77)),(-$Y77+50*IF('18.05'!$AK77="是",'18.05'!$BB$4,'18.05'!$BB$3)),(VLOOKUP('18.05'!Y77,'18.05'!$AO$4:$AQ$55,2,FALSE))*IF('18.05'!$AK77="是",'18.05'!$BB$4,'18.05'!$BB$3))</f>
        <v>128</v>
      </c>
      <c r="R77" s="4">
        <f>IF(ISNUMBER(SEARCH("营",'18.05'!Z77)),(-$Y77+50*IF('18.05'!$AK77="是",'18.05'!$BB$4,'18.05'!$BB$3)),(VLOOKUP('18.05'!Z77,'18.05'!$AO$4:$AQ$55,2,FALSE))*IF('18.05'!$AK77="是",'18.05'!$BB$4,'18.05'!$BB$3))</f>
        <v>128</v>
      </c>
      <c r="S77" s="4">
        <f>IF(ISNUMBER(SEARCH("营",'18.05'!AA77)),(-$Y77+50*IF('18.05'!$AK77="是",'18.05'!$BB$4,'18.05'!$BB$3)),(VLOOKUP('18.05'!AA77,'18.05'!$AO$4:$AQ$55,2,FALSE))*IF('18.05'!$AK77="是",'18.05'!$BB$4,'18.05'!$BB$3))</f>
        <v>40</v>
      </c>
      <c r="T77" s="4">
        <f>IF(ISNUMBER(SEARCH("营",'18.05'!AB77)),(-$Y77+50*IF('18.05'!$AK77="是",'18.05'!$BB$4,'18.05'!$BB$3)),(VLOOKUP('18.05'!AB77,'18.05'!$AO$4:$AQ$55,2,FALSE))*IF('18.05'!$AK77="是",'18.05'!$BB$4,'18.05'!$BB$3))</f>
        <v>0</v>
      </c>
      <c r="U77" s="4">
        <f>IF(ISNUMBER(SEARCH("营",'18.05'!AC77)),(-$Y77+50*IF('18.05'!$AK77="是",'18.05'!$BB$4,'18.05'!$BB$3)),(VLOOKUP('18.05'!AC77,'18.05'!$AO$4:$AQ$55,2,FALSE))*IF('18.05'!$AK77="是",'18.05'!$BB$4,'18.05'!$BB$3))</f>
        <v>0</v>
      </c>
      <c r="V77" s="4">
        <f>IF(ISNUMBER(SEARCH("营",'18.05'!AD77)),(-$Y77+50*IF('18.05'!$AK77="是",'18.05'!$BB$4,'18.05'!$BB$3)),(VLOOKUP('18.05'!AD77,'18.05'!$AO$4:$AQ$55,2,FALSE))*IF('18.05'!$AK77="是",'18.05'!$BB$4,'18.05'!$BB$3))</f>
        <v>0</v>
      </c>
      <c r="W77" s="4">
        <f>IF(ISNUMBER(SEARCH("营",'18.05'!AE77)),(-$Y77+50*IF('18.05'!$AK77="是",'18.05'!$BB$4,'18.05'!$BB$3)),(VLOOKUP('18.05'!AE77,'18.05'!$AO$4:$AQ$55,2,FALSE))*IF('18.05'!$AK77="是",'18.05'!$BB$4,'18.05'!$BB$3))</f>
        <v>0</v>
      </c>
      <c r="X77" s="4">
        <f>IF(ISNUMBER(SEARCH("营",'18.05'!AF77)),(-$Y77+50*IF('18.05'!$AK77="是",'18.05'!$BB$4,'18.05'!$BB$3)),(VLOOKUP('18.05'!AF77,'18.05'!$AO$4:$AQ$55,2,FALSE))*IF('18.05'!$AK77="是",'18.05'!$BB$4,'18.05'!$BB$3))</f>
        <v>0</v>
      </c>
      <c r="Y77" s="69">
        <v>100</v>
      </c>
      <c r="Z77" s="75">
        <v>45712</v>
      </c>
    </row>
    <row r="78" spans="1:26">
      <c r="A78" s="4">
        <f>IF(ISNUMBER(SEARCH("营",'18.05'!I78)),(-$Y78+50*IF('18.05'!$AK78="是",'18.05'!$BB$4,'18.05'!$BB$3)),(VLOOKUP('18.05'!I78,'18.05'!$AO$4:$AQ$55,2,FALSE))*IF('18.05'!$AK78="是",'18.05'!$BB$4,'18.05'!$BB$3))</f>
        <v>160</v>
      </c>
      <c r="B78" s="4">
        <f>IF(ISNUMBER(SEARCH("营",'18.05'!J78)),(-$Y78+50*IF('18.05'!$AK78="是",'18.05'!$BB$4,'18.05'!$BB$3)),(VLOOKUP('18.05'!J78,'18.05'!$AO$4:$AQ$55,2,FALSE))*IF('18.05'!$AK78="是",'18.05'!$BB$4,'18.05'!$BB$3))</f>
        <v>160</v>
      </c>
      <c r="C78" s="4">
        <f>IF(ISNUMBER(SEARCH("营",'18.05'!K78)),(-$Y78+50*IF('18.05'!$AK78="是",'18.05'!$BB$4,'18.05'!$BB$3)),(VLOOKUP('18.05'!K78,'18.05'!$AO$4:$AQ$55,2,FALSE))*IF('18.05'!$AK78="是",'18.05'!$BB$4,'18.05'!$BB$3))</f>
        <v>160</v>
      </c>
      <c r="D78" s="4">
        <f>IF(ISNUMBER(SEARCH("营",'18.05'!L78)),(-$Y78+50*IF('18.05'!$AK78="是",'18.05'!$BB$4,'18.05'!$BB$3)),(VLOOKUP('18.05'!L78,'18.05'!$AO$4:$AQ$55,2,FALSE))*IF('18.05'!$AK78="是",'18.05'!$BB$4,'18.05'!$BB$3))</f>
        <v>160</v>
      </c>
      <c r="E78" s="4">
        <f>IF(ISNUMBER(SEARCH("营",'18.05'!M78)),(-$Y78+50*IF('18.05'!$AK78="是",'18.05'!$BB$4,'18.05'!$BB$3)),(VLOOKUP('18.05'!M78,'18.05'!$AO$4:$AQ$55,2,FALSE))*IF('18.05'!$AK78="是",'18.05'!$BB$4,'18.05'!$BB$3))</f>
        <v>160</v>
      </c>
      <c r="F78" s="4">
        <f>IF(ISNUMBER(SEARCH("营",'18.05'!N78)),(-$Y78+50*IF('18.05'!$AK78="是",'18.05'!$BB$4,'18.05'!$BB$3)),(VLOOKUP('18.05'!N78,'18.05'!$AO$4:$AQ$55,2,FALSE))*IF('18.05'!$AK78="是",'18.05'!$BB$4,'18.05'!$BB$3))</f>
        <v>160</v>
      </c>
      <c r="G78" s="4">
        <f>IF(ISNUMBER(SEARCH("营",'18.05'!O78)),(-$Y78+50*IF('18.05'!$AK78="是",'18.05'!$BB$4,'18.05'!$BB$3)),(VLOOKUP('18.05'!O78,'18.05'!$AO$4:$AQ$55,2,FALSE))*IF('18.05'!$AK78="是",'18.05'!$BB$4,'18.05'!$BB$3))</f>
        <v>0</v>
      </c>
      <c r="H78" s="4">
        <f>IF(ISNUMBER(SEARCH("营",'18.05'!P78)),(-$Y78+50*IF('18.05'!$AK78="是",'18.05'!$BB$4,'18.05'!$BB$3)),(VLOOKUP('18.05'!P78,'18.05'!$AO$4:$AQ$55,2,FALSE))*IF('18.05'!$AK78="是",'18.05'!$BB$4,'18.05'!$BB$3))</f>
        <v>0</v>
      </c>
      <c r="I78" s="4">
        <f>IF(ISNUMBER(SEARCH("营",'18.05'!Q78)),(-$Y78+50*IF('18.05'!$AK78="是",'18.05'!$BB$4,'18.05'!$BB$3)),(VLOOKUP('18.05'!Q78,'18.05'!$AO$4:$AQ$55,2,FALSE))*IF('18.05'!$AK78="是",'18.05'!$BB$4,'18.05'!$BB$3))</f>
        <v>136</v>
      </c>
      <c r="J78" s="4">
        <f>IF(ISNUMBER(SEARCH("营",'18.05'!R78)),(-$Y78+50*IF('18.05'!$AK78="是",'18.05'!$BB$4,'18.05'!$BB$3)),(VLOOKUP('18.05'!R78,'18.05'!$AO$4:$AQ$55,2,FALSE))*IF('18.05'!$AK78="是",'18.05'!$BB$4,'18.05'!$BB$3))</f>
        <v>136</v>
      </c>
      <c r="K78" s="4">
        <f>IF(ISNUMBER(SEARCH("营",'18.05'!S78)),(-$Y78+50*IF('18.05'!$AK78="是",'18.05'!$BB$4,'18.05'!$BB$3)),(VLOOKUP('18.05'!S78,'18.05'!$AO$4:$AQ$55,2,FALSE))*IF('18.05'!$AK78="是",'18.05'!$BB$4,'18.05'!$BB$3))</f>
        <v>136</v>
      </c>
      <c r="L78" s="4">
        <f>IF(ISNUMBER(SEARCH("营",'18.05'!T78)),(-$Y78+50*IF('18.05'!$AK78="是",'18.05'!$BB$4,'18.05'!$BB$3)),(VLOOKUP('18.05'!T78,'18.05'!$AO$4:$AQ$55,2,FALSE))*IF('18.05'!$AK78="是",'18.05'!$BB$4,'18.05'!$BB$3))</f>
        <v>136</v>
      </c>
      <c r="M78" s="4">
        <f>IF(ISNUMBER(SEARCH("营",'18.05'!U78)),(-$Y78+50*IF('18.05'!$AK78="是",'18.05'!$BB$4,'18.05'!$BB$3)),(VLOOKUP('18.05'!U78,'18.05'!$AO$4:$AQ$55,2,FALSE))*IF('18.05'!$AK78="是",'18.05'!$BB$4,'18.05'!$BB$3))</f>
        <v>136</v>
      </c>
      <c r="N78" s="4">
        <f>IF(ISNUMBER(SEARCH("营",'18.05'!V78)),(-$Y78+50*IF('18.05'!$AK78="是",'18.05'!$BB$4,'18.05'!$BB$3)),(VLOOKUP('18.05'!V78,'18.05'!$AO$4:$AQ$55,2,FALSE))*IF('18.05'!$AK78="是",'18.05'!$BB$4,'18.05'!$BB$3))</f>
        <v>0</v>
      </c>
      <c r="O78" s="4">
        <f>IF(ISNUMBER(SEARCH("营",'18.05'!W78)),(-$Y78+50*IF('18.05'!$AK78="是",'18.05'!$BB$4,'18.05'!$BB$3)),(VLOOKUP('18.05'!W78,'18.05'!$AO$4:$AQ$55,2,FALSE))*IF('18.05'!$AK78="是",'18.05'!$BB$4,'18.05'!$BB$3))</f>
        <v>0</v>
      </c>
      <c r="P78" s="4">
        <f>IF(ISNUMBER(SEARCH("营",'18.05'!X78)),(-$Y78+50*IF('18.05'!$AK78="是",'18.05'!$BB$4,'18.05'!$BB$3)),(VLOOKUP('18.05'!X78,'18.05'!$AO$4:$AQ$55,2,FALSE))*IF('18.05'!$AK78="是",'18.05'!$BB$4,'18.05'!$BB$3))</f>
        <v>0</v>
      </c>
      <c r="Q78" s="4">
        <f>IF(ISNUMBER(SEARCH("营",'18.05'!Y78)),(-$Y78+50*IF('18.05'!$AK78="是",'18.05'!$BB$4,'18.05'!$BB$3)),(VLOOKUP('18.05'!Y78,'18.05'!$AO$4:$AQ$55,2,FALSE))*IF('18.05'!$AK78="是",'18.05'!$BB$4,'18.05'!$BB$3))</f>
        <v>0</v>
      </c>
      <c r="R78" s="4">
        <f>IF(ISNUMBER(SEARCH("营",'18.05'!Z78)),(-$Y78+50*IF('18.05'!$AK78="是",'18.05'!$BB$4,'18.05'!$BB$3)),(VLOOKUP('18.05'!Z78,'18.05'!$AO$4:$AQ$55,2,FALSE))*IF('18.05'!$AK78="是",'18.05'!$BB$4,'18.05'!$BB$3))</f>
        <v>0</v>
      </c>
      <c r="S78" s="4">
        <f>IF(ISNUMBER(SEARCH("营",'18.05'!AA78)),(-$Y78+50*IF('18.05'!$AK78="是",'18.05'!$BB$4,'18.05'!$BB$3)),(VLOOKUP('18.05'!AA78,'18.05'!$AO$4:$AQ$55,2,FALSE))*IF('18.05'!$AK78="是",'18.05'!$BB$4,'18.05'!$BB$3))</f>
        <v>0</v>
      </c>
      <c r="T78" s="4">
        <f>IF(ISNUMBER(SEARCH("营",'18.05'!AB78)),(-$Y78+50*IF('18.05'!$AK78="是",'18.05'!$BB$4,'18.05'!$BB$3)),(VLOOKUP('18.05'!AB78,'18.05'!$AO$4:$AQ$55,2,FALSE))*IF('18.05'!$AK78="是",'18.05'!$BB$4,'18.05'!$BB$3))</f>
        <v>0</v>
      </c>
      <c r="U78" s="4">
        <f>IF(ISNUMBER(SEARCH("营",'18.05'!AC78)),(-$Y78+50*IF('18.05'!$AK78="是",'18.05'!$BB$4,'18.05'!$BB$3)),(VLOOKUP('18.05'!AC78,'18.05'!$AO$4:$AQ$55,2,FALSE))*IF('18.05'!$AK78="是",'18.05'!$BB$4,'18.05'!$BB$3))</f>
        <v>0</v>
      </c>
      <c r="V78" s="4">
        <f>IF(ISNUMBER(SEARCH("营",'18.05'!AD78)),(-$Y78+50*IF('18.05'!$AK78="是",'18.05'!$BB$4,'18.05'!$BB$3)),(VLOOKUP('18.05'!AD78,'18.05'!$AO$4:$AQ$55,2,FALSE))*IF('18.05'!$AK78="是",'18.05'!$BB$4,'18.05'!$BB$3))</f>
        <v>0</v>
      </c>
      <c r="W78" s="4">
        <f>IF(ISNUMBER(SEARCH("营",'18.05'!AE78)),(-$Y78+50*IF('18.05'!$AK78="是",'18.05'!$BB$4,'18.05'!$BB$3)),(VLOOKUP('18.05'!AE78,'18.05'!$AO$4:$AQ$55,2,FALSE))*IF('18.05'!$AK78="是",'18.05'!$BB$4,'18.05'!$BB$3))</f>
        <v>0</v>
      </c>
      <c r="X78" s="4">
        <f>IF(ISNUMBER(SEARCH("营",'18.05'!AF78)),(-$Y78+50*IF('18.05'!$AK78="是",'18.05'!$BB$4,'18.05'!$BB$3)),(VLOOKUP('18.05'!AF78,'18.05'!$AO$4:$AQ$55,2,FALSE))*IF('18.05'!$AK78="是",'18.05'!$BB$4,'18.05'!$BB$3))</f>
        <v>0</v>
      </c>
      <c r="Y78" s="69">
        <v>100</v>
      </c>
      <c r="Z78" s="75">
        <v>45713</v>
      </c>
    </row>
    <row r="79" spans="1:26">
      <c r="A79" s="4">
        <f>IF(ISNUMBER(SEARCH("营",'18.05'!I79)),(-$Y79+50*IF('18.05'!$AK79="是",'18.05'!$BB$4,'18.05'!$BB$3)),(VLOOKUP('18.05'!I79,'18.05'!$AO$4:$AQ$55,2,FALSE))*IF('18.05'!$AK79="是",'18.05'!$BB$4,'18.05'!$BB$3))</f>
        <v>160</v>
      </c>
      <c r="B79" s="4">
        <f>IF(ISNUMBER(SEARCH("营",'18.05'!J79)),(-$Y79+50*IF('18.05'!$AK79="是",'18.05'!$BB$4,'18.05'!$BB$3)),(VLOOKUP('18.05'!J79,'18.05'!$AO$4:$AQ$55,2,FALSE))*IF('18.05'!$AK79="是",'18.05'!$BB$4,'18.05'!$BB$3))</f>
        <v>160</v>
      </c>
      <c r="C79" s="4">
        <f>IF(ISNUMBER(SEARCH("营",'18.05'!K79)),(-$Y79+50*IF('18.05'!$AK79="是",'18.05'!$BB$4,'18.05'!$BB$3)),(VLOOKUP('18.05'!K79,'18.05'!$AO$4:$AQ$55,2,FALSE))*IF('18.05'!$AK79="是",'18.05'!$BB$4,'18.05'!$BB$3))</f>
        <v>160</v>
      </c>
      <c r="D79" s="4">
        <f>IF(ISNUMBER(SEARCH("营",'18.05'!L79)),(-$Y79+50*IF('18.05'!$AK79="是",'18.05'!$BB$4,'18.05'!$BB$3)),(VLOOKUP('18.05'!L79,'18.05'!$AO$4:$AQ$55,2,FALSE))*IF('18.05'!$AK79="是",'18.05'!$BB$4,'18.05'!$BB$3))</f>
        <v>160</v>
      </c>
      <c r="E79" s="4">
        <f>IF(ISNUMBER(SEARCH("营",'18.05'!M79)),(-$Y79+50*IF('18.05'!$AK79="是",'18.05'!$BB$4,'18.05'!$BB$3)),(VLOOKUP('18.05'!M79,'18.05'!$AO$4:$AQ$55,2,FALSE))*IF('18.05'!$AK79="是",'18.05'!$BB$4,'18.05'!$BB$3))</f>
        <v>160</v>
      </c>
      <c r="F79" s="4">
        <f>IF(ISNUMBER(SEARCH("营",'18.05'!N79)),(-$Y79+50*IF('18.05'!$AK79="是",'18.05'!$BB$4,'18.05'!$BB$3)),(VLOOKUP('18.05'!N79,'18.05'!$AO$4:$AQ$55,2,FALSE))*IF('18.05'!$AK79="是",'18.05'!$BB$4,'18.05'!$BB$3))</f>
        <v>160</v>
      </c>
      <c r="G79" s="4">
        <f>IF(ISNUMBER(SEARCH("营",'18.05'!O79)),(-$Y79+50*IF('18.05'!$AK79="是",'18.05'!$BB$4,'18.05'!$BB$3)),(VLOOKUP('18.05'!O79,'18.05'!$AO$4:$AQ$55,2,FALSE))*IF('18.05'!$AK79="是",'18.05'!$BB$4,'18.05'!$BB$3))</f>
        <v>0</v>
      </c>
      <c r="H79" s="4">
        <f>IF(ISNUMBER(SEARCH("营",'18.05'!P79)),(-$Y79+50*IF('18.05'!$AK79="是",'18.05'!$BB$4,'18.05'!$BB$3)),(VLOOKUP('18.05'!P79,'18.05'!$AO$4:$AQ$55,2,FALSE))*IF('18.05'!$AK79="是",'18.05'!$BB$4,'18.05'!$BB$3))</f>
        <v>0</v>
      </c>
      <c r="I79" s="4">
        <f>IF(ISNUMBER(SEARCH("营",'18.05'!Q79)),(-$Y79+50*IF('18.05'!$AK79="是",'18.05'!$BB$4,'18.05'!$BB$3)),(VLOOKUP('18.05'!Q79,'18.05'!$AO$4:$AQ$55,2,FALSE))*IF('18.05'!$AK79="是",'18.05'!$BB$4,'18.05'!$BB$3))</f>
        <v>136</v>
      </c>
      <c r="J79" s="4">
        <f>IF(ISNUMBER(SEARCH("营",'18.05'!R79)),(-$Y79+50*IF('18.05'!$AK79="是",'18.05'!$BB$4,'18.05'!$BB$3)),(VLOOKUP('18.05'!R79,'18.05'!$AO$4:$AQ$55,2,FALSE))*IF('18.05'!$AK79="是",'18.05'!$BB$4,'18.05'!$BB$3))</f>
        <v>136</v>
      </c>
      <c r="K79" s="4">
        <f>IF(ISNUMBER(SEARCH("营",'18.05'!S79)),(-$Y79+50*IF('18.05'!$AK79="是",'18.05'!$BB$4,'18.05'!$BB$3)),(VLOOKUP('18.05'!S79,'18.05'!$AO$4:$AQ$55,2,FALSE))*IF('18.05'!$AK79="是",'18.05'!$BB$4,'18.05'!$BB$3))</f>
        <v>136</v>
      </c>
      <c r="L79" s="4">
        <f>IF(ISNUMBER(SEARCH("营",'18.05'!T79)),(-$Y79+50*IF('18.05'!$AK79="是",'18.05'!$BB$4,'18.05'!$BB$3)),(VLOOKUP('18.05'!T79,'18.05'!$AO$4:$AQ$55,2,FALSE))*IF('18.05'!$AK79="是",'18.05'!$BB$4,'18.05'!$BB$3))</f>
        <v>136</v>
      </c>
      <c r="M79" s="4">
        <f>IF(ISNUMBER(SEARCH("营",'18.05'!U79)),(-$Y79+50*IF('18.05'!$AK79="是",'18.05'!$BB$4,'18.05'!$BB$3)),(VLOOKUP('18.05'!U79,'18.05'!$AO$4:$AQ$55,2,FALSE))*IF('18.05'!$AK79="是",'18.05'!$BB$4,'18.05'!$BB$3))</f>
        <v>136</v>
      </c>
      <c r="N79" s="4">
        <f>IF(ISNUMBER(SEARCH("营",'18.05'!V79)),(-$Y79+50*IF('18.05'!$AK79="是",'18.05'!$BB$4,'18.05'!$BB$3)),(VLOOKUP('18.05'!V79,'18.05'!$AO$4:$AQ$55,2,FALSE))*IF('18.05'!$AK79="是",'18.05'!$BB$4,'18.05'!$BB$3))</f>
        <v>136</v>
      </c>
      <c r="O79" s="4">
        <f>IF(ISNUMBER(SEARCH("营",'18.05'!W79)),(-$Y79+50*IF('18.05'!$AK79="是",'18.05'!$BB$4,'18.05'!$BB$3)),(VLOOKUP('18.05'!W79,'18.05'!$AO$4:$AQ$55,2,FALSE))*IF('18.05'!$AK79="是",'18.05'!$BB$4,'18.05'!$BB$3))</f>
        <v>0</v>
      </c>
      <c r="P79" s="4">
        <f>IF(ISNUMBER(SEARCH("营",'18.05'!X79)),(-$Y79+50*IF('18.05'!$AK79="是",'18.05'!$BB$4,'18.05'!$BB$3)),(VLOOKUP('18.05'!X79,'18.05'!$AO$4:$AQ$55,2,FALSE))*IF('18.05'!$AK79="是",'18.05'!$BB$4,'18.05'!$BB$3))</f>
        <v>0</v>
      </c>
      <c r="Q79" s="4">
        <f>IF(ISNUMBER(SEARCH("营",'18.05'!Y79)),(-$Y79+50*IF('18.05'!$AK79="是",'18.05'!$BB$4,'18.05'!$BB$3)),(VLOOKUP('18.05'!Y79,'18.05'!$AO$4:$AQ$55,2,FALSE))*IF('18.05'!$AK79="是",'18.05'!$BB$4,'18.05'!$BB$3))</f>
        <v>0</v>
      </c>
      <c r="R79" s="4">
        <f>IF(ISNUMBER(SEARCH("营",'18.05'!Z79)),(-$Y79+50*IF('18.05'!$AK79="是",'18.05'!$BB$4,'18.05'!$BB$3)),(VLOOKUP('18.05'!Z79,'18.05'!$AO$4:$AQ$55,2,FALSE))*IF('18.05'!$AK79="是",'18.05'!$BB$4,'18.05'!$BB$3))</f>
        <v>0</v>
      </c>
      <c r="S79" s="4">
        <f>IF(ISNUMBER(SEARCH("营",'18.05'!AA79)),(-$Y79+50*IF('18.05'!$AK79="是",'18.05'!$BB$4,'18.05'!$BB$3)),(VLOOKUP('18.05'!AA79,'18.05'!$AO$4:$AQ$55,2,FALSE))*IF('18.05'!$AK79="是",'18.05'!$BB$4,'18.05'!$BB$3))</f>
        <v>0</v>
      </c>
      <c r="T79" s="4">
        <f>IF(ISNUMBER(SEARCH("营",'18.05'!AB79)),(-$Y79+50*IF('18.05'!$AK79="是",'18.05'!$BB$4,'18.05'!$BB$3)),(VLOOKUP('18.05'!AB79,'18.05'!$AO$4:$AQ$55,2,FALSE))*IF('18.05'!$AK79="是",'18.05'!$BB$4,'18.05'!$BB$3))</f>
        <v>0</v>
      </c>
      <c r="U79" s="4">
        <f>IF(ISNUMBER(SEARCH("营",'18.05'!AC79)),(-$Y79+50*IF('18.05'!$AK79="是",'18.05'!$BB$4,'18.05'!$BB$3)),(VLOOKUP('18.05'!AC79,'18.05'!$AO$4:$AQ$55,2,FALSE))*IF('18.05'!$AK79="是",'18.05'!$BB$4,'18.05'!$BB$3))</f>
        <v>0</v>
      </c>
      <c r="V79" s="4">
        <f>IF(ISNUMBER(SEARCH("营",'18.05'!AD79)),(-$Y79+50*IF('18.05'!$AK79="是",'18.05'!$BB$4,'18.05'!$BB$3)),(VLOOKUP('18.05'!AD79,'18.05'!$AO$4:$AQ$55,2,FALSE))*IF('18.05'!$AK79="是",'18.05'!$BB$4,'18.05'!$BB$3))</f>
        <v>0</v>
      </c>
      <c r="W79" s="4">
        <f>IF(ISNUMBER(SEARCH("营",'18.05'!AE79)),(-$Y79+50*IF('18.05'!$AK79="是",'18.05'!$BB$4,'18.05'!$BB$3)),(VLOOKUP('18.05'!AE79,'18.05'!$AO$4:$AQ$55,2,FALSE))*IF('18.05'!$AK79="是",'18.05'!$BB$4,'18.05'!$BB$3))</f>
        <v>0</v>
      </c>
      <c r="X79" s="4">
        <f>IF(ISNUMBER(SEARCH("营",'18.05'!AF79)),(-$Y79+50*IF('18.05'!$AK79="是",'18.05'!$BB$4,'18.05'!$BB$3)),(VLOOKUP('18.05'!AF79,'18.05'!$AO$4:$AQ$55,2,FALSE))*IF('18.05'!$AK79="是",'18.05'!$BB$4,'18.05'!$BB$3))</f>
        <v>0</v>
      </c>
      <c r="Y79" s="69">
        <v>100</v>
      </c>
      <c r="Z79" s="75">
        <v>45714</v>
      </c>
    </row>
    <row r="80" spans="1:26">
      <c r="A80" s="4">
        <f>IF(ISNUMBER(SEARCH("营",'18.05'!I80)),(-$Y80+50*IF('18.05'!$AK80="是",'18.05'!$BB$4,'18.05'!$BB$3)),(VLOOKUP('18.05'!I80,'18.05'!$AO$4:$AQ$55,2,FALSE))*IF('18.05'!$AK80="是",'18.05'!$BB$4,'18.05'!$BB$3))</f>
        <v>160</v>
      </c>
      <c r="B80" s="4">
        <f>IF(ISNUMBER(SEARCH("营",'18.05'!J80)),(-$Y80+50*IF('18.05'!$AK80="是",'18.05'!$BB$4,'18.05'!$BB$3)),(VLOOKUP('18.05'!J80,'18.05'!$AO$4:$AQ$55,2,FALSE))*IF('18.05'!$AK80="是",'18.05'!$BB$4,'18.05'!$BB$3))</f>
        <v>160</v>
      </c>
      <c r="C80" s="4">
        <f>IF(ISNUMBER(SEARCH("营",'18.05'!K80)),(-$Y80+50*IF('18.05'!$AK80="是",'18.05'!$BB$4,'18.05'!$BB$3)),(VLOOKUP('18.05'!K80,'18.05'!$AO$4:$AQ$55,2,FALSE))*IF('18.05'!$AK80="是",'18.05'!$BB$4,'18.05'!$BB$3))</f>
        <v>160</v>
      </c>
      <c r="D80" s="4">
        <f>IF(ISNUMBER(SEARCH("营",'18.05'!L80)),(-$Y80+50*IF('18.05'!$AK80="是",'18.05'!$BB$4,'18.05'!$BB$3)),(VLOOKUP('18.05'!L80,'18.05'!$AO$4:$AQ$55,2,FALSE))*IF('18.05'!$AK80="是",'18.05'!$BB$4,'18.05'!$BB$3))</f>
        <v>160</v>
      </c>
      <c r="E80" s="4">
        <f>IF(ISNUMBER(SEARCH("营",'18.05'!M80)),(-$Y80+50*IF('18.05'!$AK80="是",'18.05'!$BB$4,'18.05'!$BB$3)),(VLOOKUP('18.05'!M80,'18.05'!$AO$4:$AQ$55,2,FALSE))*IF('18.05'!$AK80="是",'18.05'!$BB$4,'18.05'!$BB$3))</f>
        <v>160</v>
      </c>
      <c r="F80" s="4">
        <f>IF(ISNUMBER(SEARCH("营",'18.05'!N80)),(-$Y80+50*IF('18.05'!$AK80="是",'18.05'!$BB$4,'18.05'!$BB$3)),(VLOOKUP('18.05'!N80,'18.05'!$AO$4:$AQ$55,2,FALSE))*IF('18.05'!$AK80="是",'18.05'!$BB$4,'18.05'!$BB$3))</f>
        <v>160</v>
      </c>
      <c r="G80" s="4">
        <f>IF(ISNUMBER(SEARCH("营",'18.05'!O80)),(-$Y80+50*IF('18.05'!$AK80="是",'18.05'!$BB$4,'18.05'!$BB$3)),(VLOOKUP('18.05'!O80,'18.05'!$AO$4:$AQ$55,2,FALSE))*IF('18.05'!$AK80="是",'18.05'!$BB$4,'18.05'!$BB$3))</f>
        <v>0</v>
      </c>
      <c r="H80" s="4">
        <f>IF(ISNUMBER(SEARCH("营",'18.05'!P80)),(-$Y80+50*IF('18.05'!$AK80="是",'18.05'!$BB$4,'18.05'!$BB$3)),(VLOOKUP('18.05'!P80,'18.05'!$AO$4:$AQ$55,2,FALSE))*IF('18.05'!$AK80="是",'18.05'!$BB$4,'18.05'!$BB$3))</f>
        <v>0</v>
      </c>
      <c r="I80" s="4">
        <f>IF(ISNUMBER(SEARCH("营",'18.05'!Q80)),(-$Y80+50*IF('18.05'!$AK80="是",'18.05'!$BB$4,'18.05'!$BB$3)),(VLOOKUP('18.05'!Q80,'18.05'!$AO$4:$AQ$55,2,FALSE))*IF('18.05'!$AK80="是",'18.05'!$BB$4,'18.05'!$BB$3))</f>
        <v>136</v>
      </c>
      <c r="J80" s="4">
        <f>IF(ISNUMBER(SEARCH("营",'18.05'!R80)),(-$Y80+50*IF('18.05'!$AK80="是",'18.05'!$BB$4,'18.05'!$BB$3)),(VLOOKUP('18.05'!R80,'18.05'!$AO$4:$AQ$55,2,FALSE))*IF('18.05'!$AK80="是",'18.05'!$BB$4,'18.05'!$BB$3))</f>
        <v>136</v>
      </c>
      <c r="K80" s="4">
        <f>IF(ISNUMBER(SEARCH("营",'18.05'!S80)),(-$Y80+50*IF('18.05'!$AK80="是",'18.05'!$BB$4,'18.05'!$BB$3)),(VLOOKUP('18.05'!S80,'18.05'!$AO$4:$AQ$55,2,FALSE))*IF('18.05'!$AK80="是",'18.05'!$BB$4,'18.05'!$BB$3))</f>
        <v>136</v>
      </c>
      <c r="L80" s="4">
        <f>IF(ISNUMBER(SEARCH("营",'18.05'!T80)),(-$Y80+50*IF('18.05'!$AK80="是",'18.05'!$BB$4,'18.05'!$BB$3)),(VLOOKUP('18.05'!T80,'18.05'!$AO$4:$AQ$55,2,FALSE))*IF('18.05'!$AK80="是",'18.05'!$BB$4,'18.05'!$BB$3))</f>
        <v>136</v>
      </c>
      <c r="M80" s="4">
        <f>IF(ISNUMBER(SEARCH("营",'18.05'!U80)),(-$Y80+50*IF('18.05'!$AK80="是",'18.05'!$BB$4,'18.05'!$BB$3)),(VLOOKUP('18.05'!U80,'18.05'!$AO$4:$AQ$55,2,FALSE))*IF('18.05'!$AK80="是",'18.05'!$BB$4,'18.05'!$BB$3))</f>
        <v>136</v>
      </c>
      <c r="N80" s="4">
        <f>IF(ISNUMBER(SEARCH("营",'18.05'!V80)),(-$Y80+50*IF('18.05'!$AK80="是",'18.05'!$BB$4,'18.05'!$BB$3)),(VLOOKUP('18.05'!V80,'18.05'!$AO$4:$AQ$55,2,FALSE))*IF('18.05'!$AK80="是",'18.05'!$BB$4,'18.05'!$BB$3))</f>
        <v>136</v>
      </c>
      <c r="O80" s="4">
        <f>IF(ISNUMBER(SEARCH("营",'18.05'!W80)),(-$Y80+50*IF('18.05'!$AK80="是",'18.05'!$BB$4,'18.05'!$BB$3)),(VLOOKUP('18.05'!W80,'18.05'!$AO$4:$AQ$55,2,FALSE))*IF('18.05'!$AK80="是",'18.05'!$BB$4,'18.05'!$BB$3))</f>
        <v>0</v>
      </c>
      <c r="P80" s="4">
        <f>IF(ISNUMBER(SEARCH("营",'18.05'!X80)),(-$Y80+50*IF('18.05'!$AK80="是",'18.05'!$BB$4,'18.05'!$BB$3)),(VLOOKUP('18.05'!X80,'18.05'!$AO$4:$AQ$55,2,FALSE))*IF('18.05'!$AK80="是",'18.05'!$BB$4,'18.05'!$BB$3))</f>
        <v>0</v>
      </c>
      <c r="Q80" s="4">
        <f>IF(ISNUMBER(SEARCH("营",'18.05'!Y80)),(-$Y80+50*IF('18.05'!$AK80="是",'18.05'!$BB$4,'18.05'!$BB$3)),(VLOOKUP('18.05'!Y80,'18.05'!$AO$4:$AQ$55,2,FALSE))*IF('18.05'!$AK80="是",'18.05'!$BB$4,'18.05'!$BB$3))</f>
        <v>0</v>
      </c>
      <c r="R80" s="4">
        <f>IF(ISNUMBER(SEARCH("营",'18.05'!Z80)),(-$Y80+50*IF('18.05'!$AK80="是",'18.05'!$BB$4,'18.05'!$BB$3)),(VLOOKUP('18.05'!Z80,'18.05'!$AO$4:$AQ$55,2,FALSE))*IF('18.05'!$AK80="是",'18.05'!$BB$4,'18.05'!$BB$3))</f>
        <v>0</v>
      </c>
      <c r="S80" s="4">
        <f>IF(ISNUMBER(SEARCH("营",'18.05'!AA80)),(-$Y80+50*IF('18.05'!$AK80="是",'18.05'!$BB$4,'18.05'!$BB$3)),(VLOOKUP('18.05'!AA80,'18.05'!$AO$4:$AQ$55,2,FALSE))*IF('18.05'!$AK80="是",'18.05'!$BB$4,'18.05'!$BB$3))</f>
        <v>0</v>
      </c>
      <c r="T80" s="4">
        <f>IF(ISNUMBER(SEARCH("营",'18.05'!AB80)),(-$Y80+50*IF('18.05'!$AK80="是",'18.05'!$BB$4,'18.05'!$BB$3)),(VLOOKUP('18.05'!AB80,'18.05'!$AO$4:$AQ$55,2,FALSE))*IF('18.05'!$AK80="是",'18.05'!$BB$4,'18.05'!$BB$3))</f>
        <v>0</v>
      </c>
      <c r="U80" s="4">
        <f>IF(ISNUMBER(SEARCH("营",'18.05'!AC80)),(-$Y80+50*IF('18.05'!$AK80="是",'18.05'!$BB$4,'18.05'!$BB$3)),(VLOOKUP('18.05'!AC80,'18.05'!$AO$4:$AQ$55,2,FALSE))*IF('18.05'!$AK80="是",'18.05'!$BB$4,'18.05'!$BB$3))</f>
        <v>0</v>
      </c>
      <c r="V80" s="4">
        <f>IF(ISNUMBER(SEARCH("营",'18.05'!AD80)),(-$Y80+50*IF('18.05'!$AK80="是",'18.05'!$BB$4,'18.05'!$BB$3)),(VLOOKUP('18.05'!AD80,'18.05'!$AO$4:$AQ$55,2,FALSE))*IF('18.05'!$AK80="是",'18.05'!$BB$4,'18.05'!$BB$3))</f>
        <v>0</v>
      </c>
      <c r="W80" s="4">
        <f>IF(ISNUMBER(SEARCH("营",'18.05'!AE80)),(-$Y80+50*IF('18.05'!$AK80="是",'18.05'!$BB$4,'18.05'!$BB$3)),(VLOOKUP('18.05'!AE80,'18.05'!$AO$4:$AQ$55,2,FALSE))*IF('18.05'!$AK80="是",'18.05'!$BB$4,'18.05'!$BB$3))</f>
        <v>0</v>
      </c>
      <c r="X80" s="4">
        <f>IF(ISNUMBER(SEARCH("营",'18.05'!AF80)),(-$Y80+50*IF('18.05'!$AK80="是",'18.05'!$BB$4,'18.05'!$BB$3)),(VLOOKUP('18.05'!AF80,'18.05'!$AO$4:$AQ$55,2,FALSE))*IF('18.05'!$AK80="是",'18.05'!$BB$4,'18.05'!$BB$3))</f>
        <v>0</v>
      </c>
      <c r="Y80" s="69">
        <v>100</v>
      </c>
      <c r="Z80" s="75">
        <v>45715</v>
      </c>
    </row>
    <row r="81" spans="1:26">
      <c r="A81" s="4">
        <f>IF(ISNUMBER(SEARCH("营",'18.05'!I81)),(-$Y81+50*IF('18.05'!$AK81="是",'18.05'!$BB$4,'18.05'!$BB$3)),(VLOOKUP('18.05'!I81,'18.05'!$AO$4:$AQ$55,2,FALSE))*IF('18.05'!$AK81="是",'18.05'!$BB$4,'18.05'!$BB$3))</f>
        <v>160</v>
      </c>
      <c r="B81" s="4">
        <f>IF(ISNUMBER(SEARCH("营",'18.05'!J81)),(-$Y81+50*IF('18.05'!$AK81="是",'18.05'!$BB$4,'18.05'!$BB$3)),(VLOOKUP('18.05'!J81,'18.05'!$AO$4:$AQ$55,2,FALSE))*IF('18.05'!$AK81="是",'18.05'!$BB$4,'18.05'!$BB$3))</f>
        <v>160</v>
      </c>
      <c r="C81" s="4">
        <f>IF(ISNUMBER(SEARCH("营",'18.05'!K81)),(-$Y81+50*IF('18.05'!$AK81="是",'18.05'!$BB$4,'18.05'!$BB$3)),(VLOOKUP('18.05'!K81,'18.05'!$AO$4:$AQ$55,2,FALSE))*IF('18.05'!$AK81="是",'18.05'!$BB$4,'18.05'!$BB$3))</f>
        <v>160</v>
      </c>
      <c r="D81" s="4">
        <f>IF(ISNUMBER(SEARCH("营",'18.05'!L81)),(-$Y81+50*IF('18.05'!$AK81="是",'18.05'!$BB$4,'18.05'!$BB$3)),(VLOOKUP('18.05'!L81,'18.05'!$AO$4:$AQ$55,2,FALSE))*IF('18.05'!$AK81="是",'18.05'!$BB$4,'18.05'!$BB$3))</f>
        <v>0</v>
      </c>
      <c r="E81" s="4">
        <f>IF(ISNUMBER(SEARCH("营",'18.05'!M81)),(-$Y81+50*IF('18.05'!$AK81="是",'18.05'!$BB$4,'18.05'!$BB$3)),(VLOOKUP('18.05'!M81,'18.05'!$AO$4:$AQ$55,2,FALSE))*IF('18.05'!$AK81="是",'18.05'!$BB$4,'18.05'!$BB$3))</f>
        <v>0</v>
      </c>
      <c r="F81" s="4">
        <f>IF(ISNUMBER(SEARCH("营",'18.05'!N81)),(-$Y81+50*IF('18.05'!$AK81="是",'18.05'!$BB$4,'18.05'!$BB$3)),(VLOOKUP('18.05'!N81,'18.05'!$AO$4:$AQ$55,2,FALSE))*IF('18.05'!$AK81="是",'18.05'!$BB$4,'18.05'!$BB$3))</f>
        <v>0</v>
      </c>
      <c r="G81" s="4">
        <f>IF(ISNUMBER(SEARCH("营",'18.05'!O81)),(-$Y81+50*IF('18.05'!$AK81="是",'18.05'!$BB$4,'18.05'!$BB$3)),(VLOOKUP('18.05'!O81,'18.05'!$AO$4:$AQ$55,2,FALSE))*IF('18.05'!$AK81="是",'18.05'!$BB$4,'18.05'!$BB$3))</f>
        <v>0</v>
      </c>
      <c r="H81" s="4">
        <f>IF(ISNUMBER(SEARCH("营",'18.05'!P81)),(-$Y81+50*IF('18.05'!$AK81="是",'18.05'!$BB$4,'18.05'!$BB$3)),(VLOOKUP('18.05'!P81,'18.05'!$AO$4:$AQ$55,2,FALSE))*IF('18.05'!$AK81="是",'18.05'!$BB$4,'18.05'!$BB$3))</f>
        <v>0</v>
      </c>
      <c r="I81" s="4">
        <f>IF(ISNUMBER(SEARCH("营",'18.05'!Q81)),(-$Y81+50*IF('18.05'!$AK81="是",'18.05'!$BB$4,'18.05'!$BB$3)),(VLOOKUP('18.05'!Q81,'18.05'!$AO$4:$AQ$55,2,FALSE))*IF('18.05'!$AK81="是",'18.05'!$BB$4,'18.05'!$BB$3))</f>
        <v>136</v>
      </c>
      <c r="J81" s="4">
        <f>IF(ISNUMBER(SEARCH("营",'18.05'!R81)),(-$Y81+50*IF('18.05'!$AK81="是",'18.05'!$BB$4,'18.05'!$BB$3)),(VLOOKUP('18.05'!R81,'18.05'!$AO$4:$AQ$55,2,FALSE))*IF('18.05'!$AK81="是",'18.05'!$BB$4,'18.05'!$BB$3))</f>
        <v>40</v>
      </c>
      <c r="K81" s="4">
        <f>IF(ISNUMBER(SEARCH("营",'18.05'!S81)),(-$Y81+50*IF('18.05'!$AK81="是",'18.05'!$BB$4,'18.05'!$BB$3)),(VLOOKUP('18.05'!S81,'18.05'!$AO$4:$AQ$55,2,FALSE))*IF('18.05'!$AK81="是",'18.05'!$BB$4,'18.05'!$BB$3))</f>
        <v>144</v>
      </c>
      <c r="L81" s="4">
        <f>IF(ISNUMBER(SEARCH("营",'18.05'!T81)),(-$Y81+50*IF('18.05'!$AK81="是",'18.05'!$BB$4,'18.05'!$BB$3)),(VLOOKUP('18.05'!T81,'18.05'!$AO$4:$AQ$55,2,FALSE))*IF('18.05'!$AK81="是",'18.05'!$BB$4,'18.05'!$BB$3))</f>
        <v>144</v>
      </c>
      <c r="M81" s="4">
        <f>IF(ISNUMBER(SEARCH("营",'18.05'!U81)),(-$Y81+50*IF('18.05'!$AK81="是",'18.05'!$BB$4,'18.05'!$BB$3)),(VLOOKUP('18.05'!U81,'18.05'!$AO$4:$AQ$55,2,FALSE))*IF('18.05'!$AK81="是",'18.05'!$BB$4,'18.05'!$BB$3))</f>
        <v>144</v>
      </c>
      <c r="N81" s="4">
        <f>IF(ISNUMBER(SEARCH("营",'18.05'!V81)),(-$Y81+50*IF('18.05'!$AK81="是",'18.05'!$BB$4,'18.05'!$BB$3)),(VLOOKUP('18.05'!V81,'18.05'!$AO$4:$AQ$55,2,FALSE))*IF('18.05'!$AK81="是",'18.05'!$BB$4,'18.05'!$BB$3))</f>
        <v>144</v>
      </c>
      <c r="O81" s="4">
        <f>IF(ISNUMBER(SEARCH("营",'18.05'!W81)),(-$Y81+50*IF('18.05'!$AK81="是",'18.05'!$BB$4,'18.05'!$BB$3)),(VLOOKUP('18.05'!W81,'18.05'!$AO$4:$AQ$55,2,FALSE))*IF('18.05'!$AK81="是",'18.05'!$BB$4,'18.05'!$BB$3))</f>
        <v>144</v>
      </c>
      <c r="P81" s="4">
        <f>IF(ISNUMBER(SEARCH("营",'18.05'!X81)),(-$Y81+50*IF('18.05'!$AK81="是",'18.05'!$BB$4,'18.05'!$BB$3)),(VLOOKUP('18.05'!X81,'18.05'!$AO$4:$AQ$55,2,FALSE))*IF('18.05'!$AK81="是",'18.05'!$BB$4,'18.05'!$BB$3))</f>
        <v>0</v>
      </c>
      <c r="Q81" s="4">
        <f>IF(ISNUMBER(SEARCH("营",'18.05'!Y81)),(-$Y81+50*IF('18.05'!$AK81="是",'18.05'!$BB$4,'18.05'!$BB$3)),(VLOOKUP('18.05'!Y81,'18.05'!$AO$4:$AQ$55,2,FALSE))*IF('18.05'!$AK81="是",'18.05'!$BB$4,'18.05'!$BB$3))</f>
        <v>0</v>
      </c>
      <c r="R81" s="4">
        <f>IF(ISNUMBER(SEARCH("营",'18.05'!Z81)),(-$Y81+50*IF('18.05'!$AK81="是",'18.05'!$BB$4,'18.05'!$BB$3)),(VLOOKUP('18.05'!Z81,'18.05'!$AO$4:$AQ$55,2,FALSE))*IF('18.05'!$AK81="是",'18.05'!$BB$4,'18.05'!$BB$3))</f>
        <v>0</v>
      </c>
      <c r="S81" s="4">
        <f>IF(ISNUMBER(SEARCH("营",'18.05'!AA81)),(-$Y81+50*IF('18.05'!$AK81="是",'18.05'!$BB$4,'18.05'!$BB$3)),(VLOOKUP('18.05'!AA81,'18.05'!$AO$4:$AQ$55,2,FALSE))*IF('18.05'!$AK81="是",'18.05'!$BB$4,'18.05'!$BB$3))</f>
        <v>0</v>
      </c>
      <c r="T81" s="4">
        <f>IF(ISNUMBER(SEARCH("营",'18.05'!AB81)),(-$Y81+50*IF('18.05'!$AK81="是",'18.05'!$BB$4,'18.05'!$BB$3)),(VLOOKUP('18.05'!AB81,'18.05'!$AO$4:$AQ$55,2,FALSE))*IF('18.05'!$AK81="是",'18.05'!$BB$4,'18.05'!$BB$3))</f>
        <v>0</v>
      </c>
      <c r="U81" s="4">
        <f>IF(ISNUMBER(SEARCH("营",'18.05'!AC81)),(-$Y81+50*IF('18.05'!$AK81="是",'18.05'!$BB$4,'18.05'!$BB$3)),(VLOOKUP('18.05'!AC81,'18.05'!$AO$4:$AQ$55,2,FALSE))*IF('18.05'!$AK81="是",'18.05'!$BB$4,'18.05'!$BB$3))</f>
        <v>0</v>
      </c>
      <c r="V81" s="4">
        <f>IF(ISNUMBER(SEARCH("营",'18.05'!AD81)),(-$Y81+50*IF('18.05'!$AK81="是",'18.05'!$BB$4,'18.05'!$BB$3)),(VLOOKUP('18.05'!AD81,'18.05'!$AO$4:$AQ$55,2,FALSE))*IF('18.05'!$AK81="是",'18.05'!$BB$4,'18.05'!$BB$3))</f>
        <v>0</v>
      </c>
      <c r="W81" s="4">
        <f>IF(ISNUMBER(SEARCH("营",'18.05'!AE81)),(-$Y81+50*IF('18.05'!$AK81="是",'18.05'!$BB$4,'18.05'!$BB$3)),(VLOOKUP('18.05'!AE81,'18.05'!$AO$4:$AQ$55,2,FALSE))*IF('18.05'!$AK81="是",'18.05'!$BB$4,'18.05'!$BB$3))</f>
        <v>0</v>
      </c>
      <c r="X81" s="4">
        <f>IF(ISNUMBER(SEARCH("营",'18.05'!AF81)),(-$Y81+50*IF('18.05'!$AK81="是",'18.05'!$BB$4,'18.05'!$BB$3)),(VLOOKUP('18.05'!AF81,'18.05'!$AO$4:$AQ$55,2,FALSE))*IF('18.05'!$AK81="是",'18.05'!$BB$4,'18.05'!$BB$3))</f>
        <v>0</v>
      </c>
      <c r="Y81" s="69">
        <v>100</v>
      </c>
      <c r="Z81" s="75">
        <v>45716</v>
      </c>
    </row>
    <row r="82" spans="1:26">
      <c r="A82" s="4">
        <f>IF(ISNUMBER(SEARCH("营",'18.05'!I82)),(-$Y82+50*IF('18.05'!$AK82="是",'18.05'!$BB$4,'18.05'!$BB$3)),(VLOOKUP('18.05'!I82,'18.05'!$AO$4:$AQ$55,2,FALSE))*IF('18.05'!$AK82="是",'18.05'!$BB$4,'18.05'!$BB$3))</f>
        <v>160</v>
      </c>
      <c r="B82" s="4">
        <f>IF(ISNUMBER(SEARCH("营",'18.05'!J82)),(-$Y82+50*IF('18.05'!$AK82="是",'18.05'!$BB$4,'18.05'!$BB$3)),(VLOOKUP('18.05'!J82,'18.05'!$AO$4:$AQ$55,2,FALSE))*IF('18.05'!$AK82="是",'18.05'!$BB$4,'18.05'!$BB$3))</f>
        <v>160</v>
      </c>
      <c r="C82" s="4">
        <f>IF(ISNUMBER(SEARCH("营",'18.05'!K82)),(-$Y82+50*IF('18.05'!$AK82="是",'18.05'!$BB$4,'18.05'!$BB$3)),(VLOOKUP('18.05'!K82,'18.05'!$AO$4:$AQ$55,2,FALSE))*IF('18.05'!$AK82="是",'18.05'!$BB$4,'18.05'!$BB$3))</f>
        <v>160</v>
      </c>
      <c r="D82" s="4">
        <f>IF(ISNUMBER(SEARCH("营",'18.05'!L82)),(-$Y82+50*IF('18.05'!$AK82="是",'18.05'!$BB$4,'18.05'!$BB$3)),(VLOOKUP('18.05'!L82,'18.05'!$AO$4:$AQ$55,2,FALSE))*IF('18.05'!$AK82="是",'18.05'!$BB$4,'18.05'!$BB$3))</f>
        <v>0</v>
      </c>
      <c r="E82" s="4">
        <f>IF(ISNUMBER(SEARCH("营",'18.05'!M82)),(-$Y82+50*IF('18.05'!$AK82="是",'18.05'!$BB$4,'18.05'!$BB$3)),(VLOOKUP('18.05'!M82,'18.05'!$AO$4:$AQ$55,2,FALSE))*IF('18.05'!$AK82="是",'18.05'!$BB$4,'18.05'!$BB$3))</f>
        <v>0</v>
      </c>
      <c r="F82" s="4">
        <f>IF(ISNUMBER(SEARCH("营",'18.05'!N82)),(-$Y82+50*IF('18.05'!$AK82="是",'18.05'!$BB$4,'18.05'!$BB$3)),(VLOOKUP('18.05'!N82,'18.05'!$AO$4:$AQ$55,2,FALSE))*IF('18.05'!$AK82="是",'18.05'!$BB$4,'18.05'!$BB$3))</f>
        <v>0</v>
      </c>
      <c r="G82" s="4">
        <f>IF(ISNUMBER(SEARCH("营",'18.05'!O82)),(-$Y82+50*IF('18.05'!$AK82="是",'18.05'!$BB$4,'18.05'!$BB$3)),(VLOOKUP('18.05'!O82,'18.05'!$AO$4:$AQ$55,2,FALSE))*IF('18.05'!$AK82="是",'18.05'!$BB$4,'18.05'!$BB$3))</f>
        <v>0</v>
      </c>
      <c r="H82" s="4">
        <f>IF(ISNUMBER(SEARCH("营",'18.05'!P82)),(-$Y82+50*IF('18.05'!$AK82="是",'18.05'!$BB$4,'18.05'!$BB$3)),(VLOOKUP('18.05'!P82,'18.05'!$AO$4:$AQ$55,2,FALSE))*IF('18.05'!$AK82="是",'18.05'!$BB$4,'18.05'!$BB$3))</f>
        <v>0</v>
      </c>
      <c r="I82" s="4">
        <f>IF(ISNUMBER(SEARCH("营",'18.05'!Q82)),(-$Y82+50*IF('18.05'!$AK82="是",'18.05'!$BB$4,'18.05'!$BB$3)),(VLOOKUP('18.05'!Q82,'18.05'!$AO$4:$AQ$55,2,FALSE))*IF('18.05'!$AK82="是",'18.05'!$BB$4,'18.05'!$BB$3))</f>
        <v>144</v>
      </c>
      <c r="J82" s="4">
        <f>IF(ISNUMBER(SEARCH("营",'18.05'!R82)),(-$Y82+50*IF('18.05'!$AK82="是",'18.05'!$BB$4,'18.05'!$BB$3)),(VLOOKUP('18.05'!R82,'18.05'!$AO$4:$AQ$55,2,FALSE))*IF('18.05'!$AK82="是",'18.05'!$BB$4,'18.05'!$BB$3))</f>
        <v>144</v>
      </c>
      <c r="K82" s="4">
        <f>IF(ISNUMBER(SEARCH("营",'18.05'!S82)),(-$Y82+50*IF('18.05'!$AK82="是",'18.05'!$BB$4,'18.05'!$BB$3)),(VLOOKUP('18.05'!S82,'18.05'!$AO$4:$AQ$55,2,FALSE))*IF('18.05'!$AK82="是",'18.05'!$BB$4,'18.05'!$BB$3))</f>
        <v>144</v>
      </c>
      <c r="L82" s="4">
        <f>IF(ISNUMBER(SEARCH("营",'18.05'!T82)),(-$Y82+50*IF('18.05'!$AK82="是",'18.05'!$BB$4,'18.05'!$BB$3)),(VLOOKUP('18.05'!T82,'18.05'!$AO$4:$AQ$55,2,FALSE))*IF('18.05'!$AK82="是",'18.05'!$BB$4,'18.05'!$BB$3))</f>
        <v>144</v>
      </c>
      <c r="M82" s="4">
        <f>IF(ISNUMBER(SEARCH("营",'18.05'!U82)),(-$Y82+50*IF('18.05'!$AK82="是",'18.05'!$BB$4,'18.05'!$BB$3)),(VLOOKUP('18.05'!U82,'18.05'!$AO$4:$AQ$55,2,FALSE))*IF('18.05'!$AK82="是",'18.05'!$BB$4,'18.05'!$BB$3))</f>
        <v>144</v>
      </c>
      <c r="N82" s="4">
        <f>IF(ISNUMBER(SEARCH("营",'18.05'!V82)),(-$Y82+50*IF('18.05'!$AK82="是",'18.05'!$BB$4,'18.05'!$BB$3)),(VLOOKUP('18.05'!V82,'18.05'!$AO$4:$AQ$55,2,FALSE))*IF('18.05'!$AK82="是",'18.05'!$BB$4,'18.05'!$BB$3))</f>
        <v>0</v>
      </c>
      <c r="O82" s="4">
        <f>IF(ISNUMBER(SEARCH("营",'18.05'!W82)),(-$Y82+50*IF('18.05'!$AK82="是",'18.05'!$BB$4,'18.05'!$BB$3)),(VLOOKUP('18.05'!W82,'18.05'!$AO$4:$AQ$55,2,FALSE))*IF('18.05'!$AK82="是",'18.05'!$BB$4,'18.05'!$BB$3))</f>
        <v>0</v>
      </c>
      <c r="P82" s="4">
        <f>IF(ISNUMBER(SEARCH("营",'18.05'!X82)),(-$Y82+50*IF('18.05'!$AK82="是",'18.05'!$BB$4,'18.05'!$BB$3)),(VLOOKUP('18.05'!X82,'18.05'!$AO$4:$AQ$55,2,FALSE))*IF('18.05'!$AK82="是",'18.05'!$BB$4,'18.05'!$BB$3))</f>
        <v>0</v>
      </c>
      <c r="Q82" s="4">
        <f>IF(ISNUMBER(SEARCH("营",'18.05'!Y82)),(-$Y82+50*IF('18.05'!$AK82="是",'18.05'!$BB$4,'18.05'!$BB$3)),(VLOOKUP('18.05'!Y82,'18.05'!$AO$4:$AQ$55,2,FALSE))*IF('18.05'!$AK82="是",'18.05'!$BB$4,'18.05'!$BB$3))</f>
        <v>0</v>
      </c>
      <c r="R82" s="4">
        <f>IF(ISNUMBER(SEARCH("营",'18.05'!Z82)),(-$Y82+50*IF('18.05'!$AK82="是",'18.05'!$BB$4,'18.05'!$BB$3)),(VLOOKUP('18.05'!Z82,'18.05'!$AO$4:$AQ$55,2,FALSE))*IF('18.05'!$AK82="是",'18.05'!$BB$4,'18.05'!$BB$3))</f>
        <v>0</v>
      </c>
      <c r="S82" s="4">
        <f>IF(ISNUMBER(SEARCH("营",'18.05'!AA82)),(-$Y82+50*IF('18.05'!$AK82="是",'18.05'!$BB$4,'18.05'!$BB$3)),(VLOOKUP('18.05'!AA82,'18.05'!$AO$4:$AQ$55,2,FALSE))*IF('18.05'!$AK82="是",'18.05'!$BB$4,'18.05'!$BB$3))</f>
        <v>0</v>
      </c>
      <c r="T82" s="4">
        <f>IF(ISNUMBER(SEARCH("营",'18.05'!AB82)),(-$Y82+50*IF('18.05'!$AK82="是",'18.05'!$BB$4,'18.05'!$BB$3)),(VLOOKUP('18.05'!AB82,'18.05'!$AO$4:$AQ$55,2,FALSE))*IF('18.05'!$AK82="是",'18.05'!$BB$4,'18.05'!$BB$3))</f>
        <v>0</v>
      </c>
      <c r="U82" s="4">
        <f>IF(ISNUMBER(SEARCH("营",'18.05'!AC82)),(-$Y82+50*IF('18.05'!$AK82="是",'18.05'!$BB$4,'18.05'!$BB$3)),(VLOOKUP('18.05'!AC82,'18.05'!$AO$4:$AQ$55,2,FALSE))*IF('18.05'!$AK82="是",'18.05'!$BB$4,'18.05'!$BB$3))</f>
        <v>0</v>
      </c>
      <c r="V82" s="4">
        <f>IF(ISNUMBER(SEARCH("营",'18.05'!AD82)),(-$Y82+50*IF('18.05'!$AK82="是",'18.05'!$BB$4,'18.05'!$BB$3)),(VLOOKUP('18.05'!AD82,'18.05'!$AO$4:$AQ$55,2,FALSE))*IF('18.05'!$AK82="是",'18.05'!$BB$4,'18.05'!$BB$3))</f>
        <v>0</v>
      </c>
      <c r="W82" s="4">
        <f>IF(ISNUMBER(SEARCH("营",'18.05'!AE82)),(-$Y82+50*IF('18.05'!$AK82="是",'18.05'!$BB$4,'18.05'!$BB$3)),(VLOOKUP('18.05'!AE82,'18.05'!$AO$4:$AQ$55,2,FALSE))*IF('18.05'!$AK82="是",'18.05'!$BB$4,'18.05'!$BB$3))</f>
        <v>0</v>
      </c>
      <c r="X82" s="4">
        <f>IF(ISNUMBER(SEARCH("营",'18.05'!AF82)),(-$Y82+50*IF('18.05'!$AK82="是",'18.05'!$BB$4,'18.05'!$BB$3)),(VLOOKUP('18.05'!AF82,'18.05'!$AO$4:$AQ$55,2,FALSE))*IF('18.05'!$AK82="是",'18.05'!$BB$4,'18.05'!$BB$3))</f>
        <v>0</v>
      </c>
      <c r="Y82" s="69">
        <v>100</v>
      </c>
      <c r="Z82" s="75">
        <v>45717</v>
      </c>
    </row>
    <row r="83" spans="1:26">
      <c r="A83" s="4">
        <f>IF(ISNUMBER(SEARCH("营",'18.05'!I83)),(-$Y83+50*IF('18.05'!$AK83="是",'18.05'!$BB$4,'18.05'!$BB$3)),(VLOOKUP('18.05'!I83,'18.05'!$AO$4:$AQ$55,2,FALSE))*IF('18.05'!$AK83="是",'18.05'!$BB$4,'18.05'!$BB$3))</f>
        <v>160</v>
      </c>
      <c r="B83" s="4">
        <f>IF(ISNUMBER(SEARCH("营",'18.05'!J83)),(-$Y83+50*IF('18.05'!$AK83="是",'18.05'!$BB$4,'18.05'!$BB$3)),(VLOOKUP('18.05'!J83,'18.05'!$AO$4:$AQ$55,2,FALSE))*IF('18.05'!$AK83="是",'18.05'!$BB$4,'18.05'!$BB$3))</f>
        <v>160</v>
      </c>
      <c r="C83" s="4">
        <f>IF(ISNUMBER(SEARCH("营",'18.05'!K83)),(-$Y83+50*IF('18.05'!$AK83="是",'18.05'!$BB$4,'18.05'!$BB$3)),(VLOOKUP('18.05'!K83,'18.05'!$AO$4:$AQ$55,2,FALSE))*IF('18.05'!$AK83="是",'18.05'!$BB$4,'18.05'!$BB$3))</f>
        <v>144</v>
      </c>
      <c r="D83" s="4">
        <f>IF(ISNUMBER(SEARCH("营",'18.05'!L83)),(-$Y83+50*IF('18.05'!$AK83="是",'18.05'!$BB$4,'18.05'!$BB$3)),(VLOOKUP('18.05'!L83,'18.05'!$AO$4:$AQ$55,2,FALSE))*IF('18.05'!$AK83="是",'18.05'!$BB$4,'18.05'!$BB$3))</f>
        <v>160</v>
      </c>
      <c r="E83" s="4">
        <f>IF(ISNUMBER(SEARCH("营",'18.05'!M83)),(-$Y83+50*IF('18.05'!$AK83="是",'18.05'!$BB$4,'18.05'!$BB$3)),(VLOOKUP('18.05'!M83,'18.05'!$AO$4:$AQ$55,2,FALSE))*IF('18.05'!$AK83="是",'18.05'!$BB$4,'18.05'!$BB$3))</f>
        <v>160</v>
      </c>
      <c r="F83" s="4">
        <f>IF(ISNUMBER(SEARCH("营",'18.05'!N83)),(-$Y83+50*IF('18.05'!$AK83="是",'18.05'!$BB$4,'18.05'!$BB$3)),(VLOOKUP('18.05'!N83,'18.05'!$AO$4:$AQ$55,2,FALSE))*IF('18.05'!$AK83="是",'18.05'!$BB$4,'18.05'!$BB$3))</f>
        <v>160</v>
      </c>
      <c r="G83" s="4">
        <f>IF(ISNUMBER(SEARCH("营",'18.05'!O83)),(-$Y83+50*IF('18.05'!$AK83="是",'18.05'!$BB$4,'18.05'!$BB$3)),(VLOOKUP('18.05'!O83,'18.05'!$AO$4:$AQ$55,2,FALSE))*IF('18.05'!$AK83="是",'18.05'!$BB$4,'18.05'!$BB$3))</f>
        <v>0</v>
      </c>
      <c r="H83" s="4">
        <f>IF(ISNUMBER(SEARCH("营",'18.05'!P83)),(-$Y83+50*IF('18.05'!$AK83="是",'18.05'!$BB$4,'18.05'!$BB$3)),(VLOOKUP('18.05'!P83,'18.05'!$AO$4:$AQ$55,2,FALSE))*IF('18.05'!$AK83="是",'18.05'!$BB$4,'18.05'!$BB$3))</f>
        <v>0</v>
      </c>
      <c r="I83" s="4">
        <f>IF(ISNUMBER(SEARCH("营",'18.05'!Q83)),(-$Y83+50*IF('18.05'!$AK83="是",'18.05'!$BB$4,'18.05'!$BB$3)),(VLOOKUP('18.05'!Q83,'18.05'!$AO$4:$AQ$55,2,FALSE))*IF('18.05'!$AK83="是",'18.05'!$BB$4,'18.05'!$BB$3))</f>
        <v>144</v>
      </c>
      <c r="J83" s="4">
        <f>IF(ISNUMBER(SEARCH("营",'18.05'!R83)),(-$Y83+50*IF('18.05'!$AK83="是",'18.05'!$BB$4,'18.05'!$BB$3)),(VLOOKUP('18.05'!R83,'18.05'!$AO$4:$AQ$55,2,FALSE))*IF('18.05'!$AK83="是",'18.05'!$BB$4,'18.05'!$BB$3))</f>
        <v>144</v>
      </c>
      <c r="K83" s="4">
        <f>IF(ISNUMBER(SEARCH("营",'18.05'!S83)),(-$Y83+50*IF('18.05'!$AK83="是",'18.05'!$BB$4,'18.05'!$BB$3)),(VLOOKUP('18.05'!S83,'18.05'!$AO$4:$AQ$55,2,FALSE))*IF('18.05'!$AK83="是",'18.05'!$BB$4,'18.05'!$BB$3))</f>
        <v>144</v>
      </c>
      <c r="L83" s="4">
        <f>IF(ISNUMBER(SEARCH("营",'18.05'!T83)),(-$Y83+50*IF('18.05'!$AK83="是",'18.05'!$BB$4,'18.05'!$BB$3)),(VLOOKUP('18.05'!T83,'18.05'!$AO$4:$AQ$55,2,FALSE))*IF('18.05'!$AK83="是",'18.05'!$BB$4,'18.05'!$BB$3))</f>
        <v>144</v>
      </c>
      <c r="M83" s="4">
        <f>IF(ISNUMBER(SEARCH("营",'18.05'!U83)),(-$Y83+50*IF('18.05'!$AK83="是",'18.05'!$BB$4,'18.05'!$BB$3)),(VLOOKUP('18.05'!U83,'18.05'!$AO$4:$AQ$55,2,FALSE))*IF('18.05'!$AK83="是",'18.05'!$BB$4,'18.05'!$BB$3))</f>
        <v>144</v>
      </c>
      <c r="N83" s="4">
        <f>IF(ISNUMBER(SEARCH("营",'18.05'!V83)),(-$Y83+50*IF('18.05'!$AK83="是",'18.05'!$BB$4,'18.05'!$BB$3)),(VLOOKUP('18.05'!V83,'18.05'!$AO$4:$AQ$55,2,FALSE))*IF('18.05'!$AK83="是",'18.05'!$BB$4,'18.05'!$BB$3))</f>
        <v>144</v>
      </c>
      <c r="O83" s="4">
        <f>IF(ISNUMBER(SEARCH("营",'18.05'!W83)),(-$Y83+50*IF('18.05'!$AK83="是",'18.05'!$BB$4,'18.05'!$BB$3)),(VLOOKUP('18.05'!W83,'18.05'!$AO$4:$AQ$55,2,FALSE))*IF('18.05'!$AK83="是",'18.05'!$BB$4,'18.05'!$BB$3))</f>
        <v>0</v>
      </c>
      <c r="P83" s="4">
        <f>IF(ISNUMBER(SEARCH("营",'18.05'!X83)),(-$Y83+50*IF('18.05'!$AK83="是",'18.05'!$BB$4,'18.05'!$BB$3)),(VLOOKUP('18.05'!X83,'18.05'!$AO$4:$AQ$55,2,FALSE))*IF('18.05'!$AK83="是",'18.05'!$BB$4,'18.05'!$BB$3))</f>
        <v>0</v>
      </c>
      <c r="Q83" s="4">
        <f>IF(ISNUMBER(SEARCH("营",'18.05'!Y83)),(-$Y83+50*IF('18.05'!$AK83="是",'18.05'!$BB$4,'18.05'!$BB$3)),(VLOOKUP('18.05'!Y83,'18.05'!$AO$4:$AQ$55,2,FALSE))*IF('18.05'!$AK83="是",'18.05'!$BB$4,'18.05'!$BB$3))</f>
        <v>0</v>
      </c>
      <c r="R83" s="4">
        <f>IF(ISNUMBER(SEARCH("营",'18.05'!Z83)),(-$Y83+50*IF('18.05'!$AK83="是",'18.05'!$BB$4,'18.05'!$BB$3)),(VLOOKUP('18.05'!Z83,'18.05'!$AO$4:$AQ$55,2,FALSE))*IF('18.05'!$AK83="是",'18.05'!$BB$4,'18.05'!$BB$3))</f>
        <v>0</v>
      </c>
      <c r="S83" s="4">
        <f>IF(ISNUMBER(SEARCH("营",'18.05'!AA83)),(-$Y83+50*IF('18.05'!$AK83="是",'18.05'!$BB$4,'18.05'!$BB$3)),(VLOOKUP('18.05'!AA83,'18.05'!$AO$4:$AQ$55,2,FALSE))*IF('18.05'!$AK83="是",'18.05'!$BB$4,'18.05'!$BB$3))</f>
        <v>0</v>
      </c>
      <c r="T83" s="4">
        <f>IF(ISNUMBER(SEARCH("营",'18.05'!AB83)),(-$Y83+50*IF('18.05'!$AK83="是",'18.05'!$BB$4,'18.05'!$BB$3)),(VLOOKUP('18.05'!AB83,'18.05'!$AO$4:$AQ$55,2,FALSE))*IF('18.05'!$AK83="是",'18.05'!$BB$4,'18.05'!$BB$3))</f>
        <v>0</v>
      </c>
      <c r="U83" s="4">
        <f>IF(ISNUMBER(SEARCH("营",'18.05'!AC83)),(-$Y83+50*IF('18.05'!$AK83="是",'18.05'!$BB$4,'18.05'!$BB$3)),(VLOOKUP('18.05'!AC83,'18.05'!$AO$4:$AQ$55,2,FALSE))*IF('18.05'!$AK83="是",'18.05'!$BB$4,'18.05'!$BB$3))</f>
        <v>0</v>
      </c>
      <c r="V83" s="4">
        <f>IF(ISNUMBER(SEARCH("营",'18.05'!AD83)),(-$Y83+50*IF('18.05'!$AK83="是",'18.05'!$BB$4,'18.05'!$BB$3)),(VLOOKUP('18.05'!AD83,'18.05'!$AO$4:$AQ$55,2,FALSE))*IF('18.05'!$AK83="是",'18.05'!$BB$4,'18.05'!$BB$3))</f>
        <v>0</v>
      </c>
      <c r="W83" s="4">
        <f>IF(ISNUMBER(SEARCH("营",'18.05'!AE83)),(-$Y83+50*IF('18.05'!$AK83="是",'18.05'!$BB$4,'18.05'!$BB$3)),(VLOOKUP('18.05'!AE83,'18.05'!$AO$4:$AQ$55,2,FALSE))*IF('18.05'!$AK83="是",'18.05'!$BB$4,'18.05'!$BB$3))</f>
        <v>0</v>
      </c>
      <c r="X83" s="4">
        <f>IF(ISNUMBER(SEARCH("营",'18.05'!AF83)),(-$Y83+50*IF('18.05'!$AK83="是",'18.05'!$BB$4,'18.05'!$BB$3)),(VLOOKUP('18.05'!AF83,'18.05'!$AO$4:$AQ$55,2,FALSE))*IF('18.05'!$AK83="是",'18.05'!$BB$4,'18.05'!$BB$3))</f>
        <v>0</v>
      </c>
      <c r="Y83" s="69">
        <v>100</v>
      </c>
      <c r="Z83" s="75">
        <v>45718</v>
      </c>
    </row>
    <row r="84" spans="1:26">
      <c r="A84" s="4">
        <f>IF(ISNUMBER(SEARCH("营",'18.05'!I84)),(-$Y84+50*IF('18.05'!$AK84="是",'18.05'!$BB$4,'18.05'!$BB$3)),(VLOOKUP('18.05'!I84,'18.05'!$AO$4:$AQ$55,2,FALSE))*IF('18.05'!$AK84="是",'18.05'!$BB$4,'18.05'!$BB$3))</f>
        <v>160</v>
      </c>
      <c r="B84" s="4">
        <f>IF(ISNUMBER(SEARCH("营",'18.05'!J84)),(-$Y84+50*IF('18.05'!$AK84="是",'18.05'!$BB$4,'18.05'!$BB$3)),(VLOOKUP('18.05'!J84,'18.05'!$AO$4:$AQ$55,2,FALSE))*IF('18.05'!$AK84="是",'18.05'!$BB$4,'18.05'!$BB$3))</f>
        <v>144</v>
      </c>
      <c r="C84" s="4">
        <f>IF(ISNUMBER(SEARCH("营",'18.05'!K84)),(-$Y84+50*IF('18.05'!$AK84="是",'18.05'!$BB$4,'18.05'!$BB$3)),(VLOOKUP('18.05'!K84,'18.05'!$AO$4:$AQ$55,2,FALSE))*IF('18.05'!$AK84="是",'18.05'!$BB$4,'18.05'!$BB$3))</f>
        <v>144</v>
      </c>
      <c r="D84" s="4">
        <f>IF(ISNUMBER(SEARCH("营",'18.05'!L84)),(-$Y84+50*IF('18.05'!$AK84="是",'18.05'!$BB$4,'18.05'!$BB$3)),(VLOOKUP('18.05'!L84,'18.05'!$AO$4:$AQ$55,2,FALSE))*IF('18.05'!$AK84="是",'18.05'!$BB$4,'18.05'!$BB$3))</f>
        <v>144</v>
      </c>
      <c r="E84" s="4">
        <f>IF(ISNUMBER(SEARCH("营",'18.05'!M84)),(-$Y84+50*IF('18.05'!$AK84="是",'18.05'!$BB$4,'18.05'!$BB$3)),(VLOOKUP('18.05'!M84,'18.05'!$AO$4:$AQ$55,2,FALSE))*IF('18.05'!$AK84="是",'18.05'!$BB$4,'18.05'!$BB$3))</f>
        <v>144</v>
      </c>
      <c r="F84" s="4">
        <f>IF(ISNUMBER(SEARCH("营",'18.05'!N84)),(-$Y84+50*IF('18.05'!$AK84="是",'18.05'!$BB$4,'18.05'!$BB$3)),(VLOOKUP('18.05'!N84,'18.05'!$AO$4:$AQ$55,2,FALSE))*IF('18.05'!$AK84="是",'18.05'!$BB$4,'18.05'!$BB$3))</f>
        <v>160</v>
      </c>
      <c r="G84" s="4">
        <f>IF(ISNUMBER(SEARCH("营",'18.05'!O84)),(-$Y84+50*IF('18.05'!$AK84="是",'18.05'!$BB$4,'18.05'!$BB$3)),(VLOOKUP('18.05'!O84,'18.05'!$AO$4:$AQ$55,2,FALSE))*IF('18.05'!$AK84="是",'18.05'!$BB$4,'18.05'!$BB$3))</f>
        <v>0</v>
      </c>
      <c r="H84" s="4">
        <f>IF(ISNUMBER(SEARCH("营",'18.05'!P84)),(-$Y84+50*IF('18.05'!$AK84="是",'18.05'!$BB$4,'18.05'!$BB$3)),(VLOOKUP('18.05'!P84,'18.05'!$AO$4:$AQ$55,2,FALSE))*IF('18.05'!$AK84="是",'18.05'!$BB$4,'18.05'!$BB$3))</f>
        <v>0</v>
      </c>
      <c r="I84" s="4">
        <f>IF(ISNUMBER(SEARCH("营",'18.05'!Q84)),(-$Y84+50*IF('18.05'!$AK84="是",'18.05'!$BB$4,'18.05'!$BB$3)),(VLOOKUP('18.05'!Q84,'18.05'!$AO$4:$AQ$55,2,FALSE))*IF('18.05'!$AK84="是",'18.05'!$BB$4,'18.05'!$BB$3))</f>
        <v>144</v>
      </c>
      <c r="J84" s="4">
        <f>IF(ISNUMBER(SEARCH("营",'18.05'!R84)),(-$Y84+50*IF('18.05'!$AK84="是",'18.05'!$BB$4,'18.05'!$BB$3)),(VLOOKUP('18.05'!R84,'18.05'!$AO$4:$AQ$55,2,FALSE))*IF('18.05'!$AK84="是",'18.05'!$BB$4,'18.05'!$BB$3))</f>
        <v>144</v>
      </c>
      <c r="K84" s="4">
        <f>IF(ISNUMBER(SEARCH("营",'18.05'!S84)),(-$Y84+50*IF('18.05'!$AK84="是",'18.05'!$BB$4,'18.05'!$BB$3)),(VLOOKUP('18.05'!S84,'18.05'!$AO$4:$AQ$55,2,FALSE))*IF('18.05'!$AK84="是",'18.05'!$BB$4,'18.05'!$BB$3))</f>
        <v>40</v>
      </c>
      <c r="L84" s="4">
        <f>IF(ISNUMBER(SEARCH("营",'18.05'!T84)),(-$Y84+50*IF('18.05'!$AK84="是",'18.05'!$BB$4,'18.05'!$BB$3)),(VLOOKUP('18.05'!T84,'18.05'!$AO$4:$AQ$55,2,FALSE))*IF('18.05'!$AK84="是",'18.05'!$BB$4,'18.05'!$BB$3))</f>
        <v>144</v>
      </c>
      <c r="M84" s="4">
        <f>IF(ISNUMBER(SEARCH("营",'18.05'!U84)),(-$Y84+50*IF('18.05'!$AK84="是",'18.05'!$BB$4,'18.05'!$BB$3)),(VLOOKUP('18.05'!U84,'18.05'!$AO$4:$AQ$55,2,FALSE))*IF('18.05'!$AK84="是",'18.05'!$BB$4,'18.05'!$BB$3))</f>
        <v>144</v>
      </c>
      <c r="N84" s="4">
        <f>IF(ISNUMBER(SEARCH("营",'18.05'!V84)),(-$Y84+50*IF('18.05'!$AK84="是",'18.05'!$BB$4,'18.05'!$BB$3)),(VLOOKUP('18.05'!V84,'18.05'!$AO$4:$AQ$55,2,FALSE))*IF('18.05'!$AK84="是",'18.05'!$BB$4,'18.05'!$BB$3))</f>
        <v>144</v>
      </c>
      <c r="O84" s="4">
        <f>IF(ISNUMBER(SEARCH("营",'18.05'!W84)),(-$Y84+50*IF('18.05'!$AK84="是",'18.05'!$BB$4,'18.05'!$BB$3)),(VLOOKUP('18.05'!W84,'18.05'!$AO$4:$AQ$55,2,FALSE))*IF('18.05'!$AK84="是",'18.05'!$BB$4,'18.05'!$BB$3))</f>
        <v>0</v>
      </c>
      <c r="P84" s="4">
        <f>IF(ISNUMBER(SEARCH("营",'18.05'!X84)),(-$Y84+50*IF('18.05'!$AK84="是",'18.05'!$BB$4,'18.05'!$BB$3)),(VLOOKUP('18.05'!X84,'18.05'!$AO$4:$AQ$55,2,FALSE))*IF('18.05'!$AK84="是",'18.05'!$BB$4,'18.05'!$BB$3))</f>
        <v>0</v>
      </c>
      <c r="Q84" s="4">
        <f>IF(ISNUMBER(SEARCH("营",'18.05'!Y84)),(-$Y84+50*IF('18.05'!$AK84="是",'18.05'!$BB$4,'18.05'!$BB$3)),(VLOOKUP('18.05'!Y84,'18.05'!$AO$4:$AQ$55,2,FALSE))*IF('18.05'!$AK84="是",'18.05'!$BB$4,'18.05'!$BB$3))</f>
        <v>0</v>
      </c>
      <c r="R84" s="4">
        <f>IF(ISNUMBER(SEARCH("营",'18.05'!Z84)),(-$Y84+50*IF('18.05'!$AK84="是",'18.05'!$BB$4,'18.05'!$BB$3)),(VLOOKUP('18.05'!Z84,'18.05'!$AO$4:$AQ$55,2,FALSE))*IF('18.05'!$AK84="是",'18.05'!$BB$4,'18.05'!$BB$3))</f>
        <v>0</v>
      </c>
      <c r="S84" s="4">
        <f>IF(ISNUMBER(SEARCH("营",'18.05'!AA84)),(-$Y84+50*IF('18.05'!$AK84="是",'18.05'!$BB$4,'18.05'!$BB$3)),(VLOOKUP('18.05'!AA84,'18.05'!$AO$4:$AQ$55,2,FALSE))*IF('18.05'!$AK84="是",'18.05'!$BB$4,'18.05'!$BB$3))</f>
        <v>0</v>
      </c>
      <c r="T84" s="4">
        <f>IF(ISNUMBER(SEARCH("营",'18.05'!AB84)),(-$Y84+50*IF('18.05'!$AK84="是",'18.05'!$BB$4,'18.05'!$BB$3)),(VLOOKUP('18.05'!AB84,'18.05'!$AO$4:$AQ$55,2,FALSE))*IF('18.05'!$AK84="是",'18.05'!$BB$4,'18.05'!$BB$3))</f>
        <v>0</v>
      </c>
      <c r="U84" s="4">
        <f>IF(ISNUMBER(SEARCH("营",'18.05'!AC84)),(-$Y84+50*IF('18.05'!$AK84="是",'18.05'!$BB$4,'18.05'!$BB$3)),(VLOOKUP('18.05'!AC84,'18.05'!$AO$4:$AQ$55,2,FALSE))*IF('18.05'!$AK84="是",'18.05'!$BB$4,'18.05'!$BB$3))</f>
        <v>0</v>
      </c>
      <c r="V84" s="4">
        <f>IF(ISNUMBER(SEARCH("营",'18.05'!AD84)),(-$Y84+50*IF('18.05'!$AK84="是",'18.05'!$BB$4,'18.05'!$BB$3)),(VLOOKUP('18.05'!AD84,'18.05'!$AO$4:$AQ$55,2,FALSE))*IF('18.05'!$AK84="是",'18.05'!$BB$4,'18.05'!$BB$3))</f>
        <v>0</v>
      </c>
      <c r="W84" s="4">
        <f>IF(ISNUMBER(SEARCH("营",'18.05'!AE84)),(-$Y84+50*IF('18.05'!$AK84="是",'18.05'!$BB$4,'18.05'!$BB$3)),(VLOOKUP('18.05'!AE84,'18.05'!$AO$4:$AQ$55,2,FALSE))*IF('18.05'!$AK84="是",'18.05'!$BB$4,'18.05'!$BB$3))</f>
        <v>0</v>
      </c>
      <c r="X84" s="4">
        <f>IF(ISNUMBER(SEARCH("营",'18.05'!AF84)),(-$Y84+50*IF('18.05'!$AK84="是",'18.05'!$BB$4,'18.05'!$BB$3)),(VLOOKUP('18.05'!AF84,'18.05'!$AO$4:$AQ$55,2,FALSE))*IF('18.05'!$AK84="是",'18.05'!$BB$4,'18.05'!$BB$3))</f>
        <v>0</v>
      </c>
      <c r="Y84" s="69">
        <v>100</v>
      </c>
      <c r="Z84" s="75">
        <v>45719</v>
      </c>
    </row>
    <row r="85" spans="1:26">
      <c r="A85" s="4">
        <f>IF(ISNUMBER(SEARCH("营",'18.05'!I85)),(-$Y85+50*IF('18.05'!$AK85="是",'18.05'!$BB$4,'18.05'!$BB$3)),(VLOOKUP('18.05'!I85,'18.05'!$AO$4:$AQ$55,2,FALSE))*IF('18.05'!$AK85="是",'18.05'!$BB$4,'18.05'!$BB$3))</f>
        <v>160</v>
      </c>
      <c r="B85" s="4">
        <f>IF(ISNUMBER(SEARCH("营",'18.05'!J85)),(-$Y85+50*IF('18.05'!$AK85="是",'18.05'!$BB$4,'18.05'!$BB$3)),(VLOOKUP('18.05'!J85,'18.05'!$AO$4:$AQ$55,2,FALSE))*IF('18.05'!$AK85="是",'18.05'!$BB$4,'18.05'!$BB$3))</f>
        <v>160</v>
      </c>
      <c r="C85" s="4">
        <f>IF(ISNUMBER(SEARCH("营",'18.05'!K85)),(-$Y85+50*IF('18.05'!$AK85="是",'18.05'!$BB$4,'18.05'!$BB$3)),(VLOOKUP('18.05'!K85,'18.05'!$AO$4:$AQ$55,2,FALSE))*IF('18.05'!$AK85="是",'18.05'!$BB$4,'18.05'!$BB$3))</f>
        <v>160</v>
      </c>
      <c r="D85" s="4">
        <f>IF(ISNUMBER(SEARCH("营",'18.05'!L85)),(-$Y85+50*IF('18.05'!$AK85="是",'18.05'!$BB$4,'18.05'!$BB$3)),(VLOOKUP('18.05'!L85,'18.05'!$AO$4:$AQ$55,2,FALSE))*IF('18.05'!$AK85="是",'18.05'!$BB$4,'18.05'!$BB$3))</f>
        <v>144</v>
      </c>
      <c r="E85" s="4">
        <f>IF(ISNUMBER(SEARCH("营",'18.05'!M85)),(-$Y85+50*IF('18.05'!$AK85="是",'18.05'!$BB$4,'18.05'!$BB$3)),(VLOOKUP('18.05'!M85,'18.05'!$AO$4:$AQ$55,2,FALSE))*IF('18.05'!$AK85="是",'18.05'!$BB$4,'18.05'!$BB$3))</f>
        <v>160</v>
      </c>
      <c r="F85" s="4">
        <f>IF(ISNUMBER(SEARCH("营",'18.05'!N85)),(-$Y85+50*IF('18.05'!$AK85="是",'18.05'!$BB$4,'18.05'!$BB$3)),(VLOOKUP('18.05'!N85,'18.05'!$AO$4:$AQ$55,2,FALSE))*IF('18.05'!$AK85="是",'18.05'!$BB$4,'18.05'!$BB$3))</f>
        <v>160</v>
      </c>
      <c r="G85" s="4">
        <f>IF(ISNUMBER(SEARCH("营",'18.05'!O85)),(-$Y85+50*IF('18.05'!$AK85="是",'18.05'!$BB$4,'18.05'!$BB$3)),(VLOOKUP('18.05'!O85,'18.05'!$AO$4:$AQ$55,2,FALSE))*IF('18.05'!$AK85="是",'18.05'!$BB$4,'18.05'!$BB$3))</f>
        <v>0</v>
      </c>
      <c r="H85" s="4">
        <f>IF(ISNUMBER(SEARCH("营",'18.05'!P85)),(-$Y85+50*IF('18.05'!$AK85="是",'18.05'!$BB$4,'18.05'!$BB$3)),(VLOOKUP('18.05'!P85,'18.05'!$AO$4:$AQ$55,2,FALSE))*IF('18.05'!$AK85="是",'18.05'!$BB$4,'18.05'!$BB$3))</f>
        <v>0</v>
      </c>
      <c r="I85" s="4">
        <f>IF(ISNUMBER(SEARCH("营",'18.05'!Q85)),(-$Y85+50*IF('18.05'!$AK85="是",'18.05'!$BB$4,'18.05'!$BB$3)),(VLOOKUP('18.05'!Q85,'18.05'!$AO$4:$AQ$55,2,FALSE))*IF('18.05'!$AK85="是",'18.05'!$BB$4,'18.05'!$BB$3))</f>
        <v>144</v>
      </c>
      <c r="J85" s="4">
        <f>IF(ISNUMBER(SEARCH("营",'18.05'!R85)),(-$Y85+50*IF('18.05'!$AK85="是",'18.05'!$BB$4,'18.05'!$BB$3)),(VLOOKUP('18.05'!R85,'18.05'!$AO$4:$AQ$55,2,FALSE))*IF('18.05'!$AK85="是",'18.05'!$BB$4,'18.05'!$BB$3))</f>
        <v>144</v>
      </c>
      <c r="K85" s="4">
        <f>IF(ISNUMBER(SEARCH("营",'18.05'!S85)),(-$Y85+50*IF('18.05'!$AK85="是",'18.05'!$BB$4,'18.05'!$BB$3)),(VLOOKUP('18.05'!S85,'18.05'!$AO$4:$AQ$55,2,FALSE))*IF('18.05'!$AK85="是",'18.05'!$BB$4,'18.05'!$BB$3))</f>
        <v>144</v>
      </c>
      <c r="L85" s="4">
        <f>IF(ISNUMBER(SEARCH("营",'18.05'!T85)),(-$Y85+50*IF('18.05'!$AK85="是",'18.05'!$BB$4,'18.05'!$BB$3)),(VLOOKUP('18.05'!T85,'18.05'!$AO$4:$AQ$55,2,FALSE))*IF('18.05'!$AK85="是",'18.05'!$BB$4,'18.05'!$BB$3))</f>
        <v>144</v>
      </c>
      <c r="M85" s="4">
        <f>IF(ISNUMBER(SEARCH("营",'18.05'!U85)),(-$Y85+50*IF('18.05'!$AK85="是",'18.05'!$BB$4,'18.05'!$BB$3)),(VLOOKUP('18.05'!U85,'18.05'!$AO$4:$AQ$55,2,FALSE))*IF('18.05'!$AK85="是",'18.05'!$BB$4,'18.05'!$BB$3))</f>
        <v>144</v>
      </c>
      <c r="N85" s="4">
        <f>IF(ISNUMBER(SEARCH("营",'18.05'!V85)),(-$Y85+50*IF('18.05'!$AK85="是",'18.05'!$BB$4,'18.05'!$BB$3)),(VLOOKUP('18.05'!V85,'18.05'!$AO$4:$AQ$55,2,FALSE))*IF('18.05'!$AK85="是",'18.05'!$BB$4,'18.05'!$BB$3))</f>
        <v>144</v>
      </c>
      <c r="O85" s="4">
        <f>IF(ISNUMBER(SEARCH("营",'18.05'!W85)),(-$Y85+50*IF('18.05'!$AK85="是",'18.05'!$BB$4,'18.05'!$BB$3)),(VLOOKUP('18.05'!W85,'18.05'!$AO$4:$AQ$55,2,FALSE))*IF('18.05'!$AK85="是",'18.05'!$BB$4,'18.05'!$BB$3))</f>
        <v>0</v>
      </c>
      <c r="P85" s="4">
        <f>IF(ISNUMBER(SEARCH("营",'18.05'!X85)),(-$Y85+50*IF('18.05'!$AK85="是",'18.05'!$BB$4,'18.05'!$BB$3)),(VLOOKUP('18.05'!X85,'18.05'!$AO$4:$AQ$55,2,FALSE))*IF('18.05'!$AK85="是",'18.05'!$BB$4,'18.05'!$BB$3))</f>
        <v>0</v>
      </c>
      <c r="Q85" s="4">
        <f>IF(ISNUMBER(SEARCH("营",'18.05'!Y85)),(-$Y85+50*IF('18.05'!$AK85="是",'18.05'!$BB$4,'18.05'!$BB$3)),(VLOOKUP('18.05'!Y85,'18.05'!$AO$4:$AQ$55,2,FALSE))*IF('18.05'!$AK85="是",'18.05'!$BB$4,'18.05'!$BB$3))</f>
        <v>0</v>
      </c>
      <c r="R85" s="4">
        <f>IF(ISNUMBER(SEARCH("营",'18.05'!Z85)),(-$Y85+50*IF('18.05'!$AK85="是",'18.05'!$BB$4,'18.05'!$BB$3)),(VLOOKUP('18.05'!Z85,'18.05'!$AO$4:$AQ$55,2,FALSE))*IF('18.05'!$AK85="是",'18.05'!$BB$4,'18.05'!$BB$3))</f>
        <v>0</v>
      </c>
      <c r="S85" s="4">
        <f>IF(ISNUMBER(SEARCH("营",'18.05'!AA85)),(-$Y85+50*IF('18.05'!$AK85="是",'18.05'!$BB$4,'18.05'!$BB$3)),(VLOOKUP('18.05'!AA85,'18.05'!$AO$4:$AQ$55,2,FALSE))*IF('18.05'!$AK85="是",'18.05'!$BB$4,'18.05'!$BB$3))</f>
        <v>0</v>
      </c>
      <c r="T85" s="4">
        <f>IF(ISNUMBER(SEARCH("营",'18.05'!AB85)),(-$Y85+50*IF('18.05'!$AK85="是",'18.05'!$BB$4,'18.05'!$BB$3)),(VLOOKUP('18.05'!AB85,'18.05'!$AO$4:$AQ$55,2,FALSE))*IF('18.05'!$AK85="是",'18.05'!$BB$4,'18.05'!$BB$3))</f>
        <v>0</v>
      </c>
      <c r="U85" s="4">
        <f>IF(ISNUMBER(SEARCH("营",'18.05'!AC85)),(-$Y85+50*IF('18.05'!$AK85="是",'18.05'!$BB$4,'18.05'!$BB$3)),(VLOOKUP('18.05'!AC85,'18.05'!$AO$4:$AQ$55,2,FALSE))*IF('18.05'!$AK85="是",'18.05'!$BB$4,'18.05'!$BB$3))</f>
        <v>0</v>
      </c>
      <c r="V85" s="4">
        <f>IF(ISNUMBER(SEARCH("营",'18.05'!AD85)),(-$Y85+50*IF('18.05'!$AK85="是",'18.05'!$BB$4,'18.05'!$BB$3)),(VLOOKUP('18.05'!AD85,'18.05'!$AO$4:$AQ$55,2,FALSE))*IF('18.05'!$AK85="是",'18.05'!$BB$4,'18.05'!$BB$3))</f>
        <v>0</v>
      </c>
      <c r="W85" s="4">
        <f>IF(ISNUMBER(SEARCH("营",'18.05'!AE85)),(-$Y85+50*IF('18.05'!$AK85="是",'18.05'!$BB$4,'18.05'!$BB$3)),(VLOOKUP('18.05'!AE85,'18.05'!$AO$4:$AQ$55,2,FALSE))*IF('18.05'!$AK85="是",'18.05'!$BB$4,'18.05'!$BB$3))</f>
        <v>0</v>
      </c>
      <c r="X85" s="4">
        <f>IF(ISNUMBER(SEARCH("营",'18.05'!AF85)),(-$Y85+50*IF('18.05'!$AK85="是",'18.05'!$BB$4,'18.05'!$BB$3)),(VLOOKUP('18.05'!AF85,'18.05'!$AO$4:$AQ$55,2,FALSE))*IF('18.05'!$AK85="是",'18.05'!$BB$4,'18.05'!$BB$3))</f>
        <v>0</v>
      </c>
      <c r="Y85" s="69">
        <v>100</v>
      </c>
      <c r="Z85" s="75">
        <v>45720</v>
      </c>
    </row>
    <row r="86" spans="1:26">
      <c r="A86" s="4">
        <f>IF(ISNUMBER(SEARCH("营",'18.05'!I86)),(-$Y86+50*IF('18.05'!$AK86="是",'18.05'!$BB$4,'18.05'!$BB$3)),(VLOOKUP('18.05'!I86,'18.05'!$AO$4:$AQ$55,2,FALSE))*IF('18.05'!$AK86="是",'18.05'!$BB$4,'18.05'!$BB$3))</f>
        <v>0</v>
      </c>
      <c r="B86" s="4">
        <f>IF(ISNUMBER(SEARCH("营",'18.05'!J86)),(-$Y86+50*IF('18.05'!$AK86="是",'18.05'!$BB$4,'18.05'!$BB$3)),(VLOOKUP('18.05'!J86,'18.05'!$AO$4:$AQ$55,2,FALSE))*IF('18.05'!$AK86="是",'18.05'!$BB$4,'18.05'!$BB$3))</f>
        <v>0</v>
      </c>
      <c r="C86" s="4">
        <f>IF(ISNUMBER(SEARCH("营",'18.05'!K86)),(-$Y86+50*IF('18.05'!$AK86="是",'18.05'!$BB$4,'18.05'!$BB$3)),(VLOOKUP('18.05'!K86,'18.05'!$AO$4:$AQ$55,2,FALSE))*IF('18.05'!$AK86="是",'18.05'!$BB$4,'18.05'!$BB$3))</f>
        <v>0</v>
      </c>
      <c r="D86" s="4">
        <f>IF(ISNUMBER(SEARCH("营",'18.05'!L86)),(-$Y86+50*IF('18.05'!$AK86="是",'18.05'!$BB$4,'18.05'!$BB$3)),(VLOOKUP('18.05'!L86,'18.05'!$AO$4:$AQ$55,2,FALSE))*IF('18.05'!$AK86="是",'18.05'!$BB$4,'18.05'!$BB$3))</f>
        <v>0</v>
      </c>
      <c r="E86" s="4">
        <f>IF(ISNUMBER(SEARCH("营",'18.05'!M86)),(-$Y86+50*IF('18.05'!$AK86="是",'18.05'!$BB$4,'18.05'!$BB$3)),(VLOOKUP('18.05'!M86,'18.05'!$AO$4:$AQ$55,2,FALSE))*IF('18.05'!$AK86="是",'18.05'!$BB$4,'18.05'!$BB$3))</f>
        <v>0</v>
      </c>
      <c r="F86" s="4">
        <f>IF(ISNUMBER(SEARCH("营",'18.05'!N86)),(-$Y86+50*IF('18.05'!$AK86="是",'18.05'!$BB$4,'18.05'!$BB$3)),(VLOOKUP('18.05'!N86,'18.05'!$AO$4:$AQ$55,2,FALSE))*IF('18.05'!$AK86="是",'18.05'!$BB$4,'18.05'!$BB$3))</f>
        <v>0</v>
      </c>
      <c r="G86" s="4">
        <f>IF(ISNUMBER(SEARCH("营",'18.05'!O86)),(-$Y86+50*IF('18.05'!$AK86="是",'18.05'!$BB$4,'18.05'!$BB$3)),(VLOOKUP('18.05'!O86,'18.05'!$AO$4:$AQ$55,2,FALSE))*IF('18.05'!$AK86="是",'18.05'!$BB$4,'18.05'!$BB$3))</f>
        <v>0</v>
      </c>
      <c r="H86" s="4">
        <f>IF(ISNUMBER(SEARCH("营",'18.05'!P86)),(-$Y86+50*IF('18.05'!$AK86="是",'18.05'!$BB$4,'18.05'!$BB$3)),(VLOOKUP('18.05'!P86,'18.05'!$AO$4:$AQ$55,2,FALSE))*IF('18.05'!$AK86="是",'18.05'!$BB$4,'18.05'!$BB$3))</f>
        <v>0</v>
      </c>
      <c r="I86" s="4">
        <f>IF(ISNUMBER(SEARCH("营",'18.05'!Q86)),(-$Y86+50*IF('18.05'!$AK86="是",'18.05'!$BB$4,'18.05'!$BB$3)),(VLOOKUP('18.05'!Q86,'18.05'!$AO$4:$AQ$55,2,FALSE))*IF('18.05'!$AK86="是",'18.05'!$BB$4,'18.05'!$BB$3))</f>
        <v>144</v>
      </c>
      <c r="J86" s="4">
        <f>IF(ISNUMBER(SEARCH("营",'18.05'!R86)),(-$Y86+50*IF('18.05'!$AK86="是",'18.05'!$BB$4,'18.05'!$BB$3)),(VLOOKUP('18.05'!R86,'18.05'!$AO$4:$AQ$55,2,FALSE))*IF('18.05'!$AK86="是",'18.05'!$BB$4,'18.05'!$BB$3))</f>
        <v>144</v>
      </c>
      <c r="K86" s="4">
        <f>IF(ISNUMBER(SEARCH("营",'18.05'!S86)),(-$Y86+50*IF('18.05'!$AK86="是",'18.05'!$BB$4,'18.05'!$BB$3)),(VLOOKUP('18.05'!S86,'18.05'!$AO$4:$AQ$55,2,FALSE))*IF('18.05'!$AK86="是",'18.05'!$BB$4,'18.05'!$BB$3))</f>
        <v>144</v>
      </c>
      <c r="L86" s="4">
        <f>IF(ISNUMBER(SEARCH("营",'18.05'!T86)),(-$Y86+50*IF('18.05'!$AK86="是",'18.05'!$BB$4,'18.05'!$BB$3)),(VLOOKUP('18.05'!T86,'18.05'!$AO$4:$AQ$55,2,FALSE))*IF('18.05'!$AK86="是",'18.05'!$BB$4,'18.05'!$BB$3))</f>
        <v>144</v>
      </c>
      <c r="M86" s="4">
        <f>IF(ISNUMBER(SEARCH("营",'18.05'!U86)),(-$Y86+50*IF('18.05'!$AK86="是",'18.05'!$BB$4,'18.05'!$BB$3)),(VLOOKUP('18.05'!U86,'18.05'!$AO$4:$AQ$55,2,FALSE))*IF('18.05'!$AK86="是",'18.05'!$BB$4,'18.05'!$BB$3))</f>
        <v>144</v>
      </c>
      <c r="N86" s="4">
        <f>IF(ISNUMBER(SEARCH("营",'18.05'!V86)),(-$Y86+50*IF('18.05'!$AK86="是",'18.05'!$BB$4,'18.05'!$BB$3)),(VLOOKUP('18.05'!V86,'18.05'!$AO$4:$AQ$55,2,FALSE))*IF('18.05'!$AK86="是",'18.05'!$BB$4,'18.05'!$BB$3))</f>
        <v>40</v>
      </c>
      <c r="O86" s="4">
        <f>IF(ISNUMBER(SEARCH("营",'18.05'!W86)),(-$Y86+50*IF('18.05'!$AK86="是",'18.05'!$BB$4,'18.05'!$BB$3)),(VLOOKUP('18.05'!W86,'18.05'!$AO$4:$AQ$55,2,FALSE))*IF('18.05'!$AK86="是",'18.05'!$BB$4,'18.05'!$BB$3))</f>
        <v>0</v>
      </c>
      <c r="P86" s="4">
        <f>IF(ISNUMBER(SEARCH("营",'18.05'!X86)),(-$Y86+50*IF('18.05'!$AK86="是",'18.05'!$BB$4,'18.05'!$BB$3)),(VLOOKUP('18.05'!X86,'18.05'!$AO$4:$AQ$55,2,FALSE))*IF('18.05'!$AK86="是",'18.05'!$BB$4,'18.05'!$BB$3))</f>
        <v>0</v>
      </c>
      <c r="Q86" s="4">
        <f>IF(ISNUMBER(SEARCH("营",'18.05'!Y86)),(-$Y86+50*IF('18.05'!$AK86="是",'18.05'!$BB$4,'18.05'!$BB$3)),(VLOOKUP('18.05'!Y86,'18.05'!$AO$4:$AQ$55,2,FALSE))*IF('18.05'!$AK86="是",'18.05'!$BB$4,'18.05'!$BB$3))</f>
        <v>0</v>
      </c>
      <c r="R86" s="4">
        <f>IF(ISNUMBER(SEARCH("营",'18.05'!Z86)),(-$Y86+50*IF('18.05'!$AK86="是",'18.05'!$BB$4,'18.05'!$BB$3)),(VLOOKUP('18.05'!Z86,'18.05'!$AO$4:$AQ$55,2,FALSE))*IF('18.05'!$AK86="是",'18.05'!$BB$4,'18.05'!$BB$3))</f>
        <v>0</v>
      </c>
      <c r="S86" s="4">
        <f>IF(ISNUMBER(SEARCH("营",'18.05'!AA86)),(-$Y86+50*IF('18.05'!$AK86="是",'18.05'!$BB$4,'18.05'!$BB$3)),(VLOOKUP('18.05'!AA86,'18.05'!$AO$4:$AQ$55,2,FALSE))*IF('18.05'!$AK86="是",'18.05'!$BB$4,'18.05'!$BB$3))</f>
        <v>0</v>
      </c>
      <c r="T86" s="4">
        <f>IF(ISNUMBER(SEARCH("营",'18.05'!AB86)),(-$Y86+50*IF('18.05'!$AK86="是",'18.05'!$BB$4,'18.05'!$BB$3)),(VLOOKUP('18.05'!AB86,'18.05'!$AO$4:$AQ$55,2,FALSE))*IF('18.05'!$AK86="是",'18.05'!$BB$4,'18.05'!$BB$3))</f>
        <v>0</v>
      </c>
      <c r="U86" s="4">
        <f>IF(ISNUMBER(SEARCH("营",'18.05'!AC86)),(-$Y86+50*IF('18.05'!$AK86="是",'18.05'!$BB$4,'18.05'!$BB$3)),(VLOOKUP('18.05'!AC86,'18.05'!$AO$4:$AQ$55,2,FALSE))*IF('18.05'!$AK86="是",'18.05'!$BB$4,'18.05'!$BB$3))</f>
        <v>0</v>
      </c>
      <c r="V86" s="4">
        <f>IF(ISNUMBER(SEARCH("营",'18.05'!AD86)),(-$Y86+50*IF('18.05'!$AK86="是",'18.05'!$BB$4,'18.05'!$BB$3)),(VLOOKUP('18.05'!AD86,'18.05'!$AO$4:$AQ$55,2,FALSE))*IF('18.05'!$AK86="是",'18.05'!$BB$4,'18.05'!$BB$3))</f>
        <v>0</v>
      </c>
      <c r="W86" s="4">
        <f>IF(ISNUMBER(SEARCH("营",'18.05'!AE86)),(-$Y86+50*IF('18.05'!$AK86="是",'18.05'!$BB$4,'18.05'!$BB$3)),(VLOOKUP('18.05'!AE86,'18.05'!$AO$4:$AQ$55,2,FALSE))*IF('18.05'!$AK86="是",'18.05'!$BB$4,'18.05'!$BB$3))</f>
        <v>0</v>
      </c>
      <c r="X86" s="4">
        <f>IF(ISNUMBER(SEARCH("营",'18.05'!AF86)),(-$Y86+50*IF('18.05'!$AK86="是",'18.05'!$BB$4,'18.05'!$BB$3)),(VLOOKUP('18.05'!AF86,'18.05'!$AO$4:$AQ$55,2,FALSE))*IF('18.05'!$AK86="是",'18.05'!$BB$4,'18.05'!$BB$3))</f>
        <v>0</v>
      </c>
      <c r="Y86" s="69">
        <v>100</v>
      </c>
      <c r="Z86" s="75">
        <v>45721</v>
      </c>
    </row>
    <row r="87" spans="1:26">
      <c r="A87" s="4">
        <f>IF(ISNUMBER(SEARCH("营",'18.05'!I87)),(-$Y87+50*IF('18.05'!$AK87="是",'18.05'!$BB$4,'18.05'!$BB$3)),(VLOOKUP('18.05'!I87,'18.05'!$AO$4:$AQ$55,2,FALSE))*IF('18.05'!$AK87="是",'18.05'!$BB$4,'18.05'!$BB$3))</f>
        <v>144</v>
      </c>
      <c r="B87" s="4">
        <f>IF(ISNUMBER(SEARCH("营",'18.05'!J87)),(-$Y87+50*IF('18.05'!$AK87="是",'18.05'!$BB$4,'18.05'!$BB$3)),(VLOOKUP('18.05'!J87,'18.05'!$AO$4:$AQ$55,2,FALSE))*IF('18.05'!$AK87="是",'18.05'!$BB$4,'18.05'!$BB$3))</f>
        <v>160</v>
      </c>
      <c r="C87" s="4">
        <f>IF(ISNUMBER(SEARCH("营",'18.05'!K87)),(-$Y87+50*IF('18.05'!$AK87="是",'18.05'!$BB$4,'18.05'!$BB$3)),(VLOOKUP('18.05'!K87,'18.05'!$AO$4:$AQ$55,2,FALSE))*IF('18.05'!$AK87="是",'18.05'!$BB$4,'18.05'!$BB$3))</f>
        <v>160</v>
      </c>
      <c r="D87" s="4">
        <f>IF(ISNUMBER(SEARCH("营",'18.05'!L87)),(-$Y87+50*IF('18.05'!$AK87="是",'18.05'!$BB$4,'18.05'!$BB$3)),(VLOOKUP('18.05'!L87,'18.05'!$AO$4:$AQ$55,2,FALSE))*IF('18.05'!$AK87="是",'18.05'!$BB$4,'18.05'!$BB$3))</f>
        <v>160</v>
      </c>
      <c r="E87" s="4">
        <f>IF(ISNUMBER(SEARCH("营",'18.05'!M87)),(-$Y87+50*IF('18.05'!$AK87="是",'18.05'!$BB$4,'18.05'!$BB$3)),(VLOOKUP('18.05'!M87,'18.05'!$AO$4:$AQ$55,2,FALSE))*IF('18.05'!$AK87="是",'18.05'!$BB$4,'18.05'!$BB$3))</f>
        <v>160</v>
      </c>
      <c r="F87" s="4">
        <f>IF(ISNUMBER(SEARCH("营",'18.05'!N87)),(-$Y87+50*IF('18.05'!$AK87="是",'18.05'!$BB$4,'18.05'!$BB$3)),(VLOOKUP('18.05'!N87,'18.05'!$AO$4:$AQ$55,2,FALSE))*IF('18.05'!$AK87="是",'18.05'!$BB$4,'18.05'!$BB$3))</f>
        <v>144</v>
      </c>
      <c r="G87" s="4">
        <f>IF(ISNUMBER(SEARCH("营",'18.05'!O87)),(-$Y87+50*IF('18.05'!$AK87="是",'18.05'!$BB$4,'18.05'!$BB$3)),(VLOOKUP('18.05'!O87,'18.05'!$AO$4:$AQ$55,2,FALSE))*IF('18.05'!$AK87="是",'18.05'!$BB$4,'18.05'!$BB$3))</f>
        <v>0</v>
      </c>
      <c r="H87" s="4">
        <f>IF(ISNUMBER(SEARCH("营",'18.05'!P87)),(-$Y87+50*IF('18.05'!$AK87="是",'18.05'!$BB$4,'18.05'!$BB$3)),(VLOOKUP('18.05'!P87,'18.05'!$AO$4:$AQ$55,2,FALSE))*IF('18.05'!$AK87="是",'18.05'!$BB$4,'18.05'!$BB$3))</f>
        <v>0</v>
      </c>
      <c r="I87" s="4">
        <f>IF(ISNUMBER(SEARCH("营",'18.05'!Q87)),(-$Y87+50*IF('18.05'!$AK87="是",'18.05'!$BB$4,'18.05'!$BB$3)),(VLOOKUP('18.05'!Q87,'18.05'!$AO$4:$AQ$55,2,FALSE))*IF('18.05'!$AK87="是",'18.05'!$BB$4,'18.05'!$BB$3))</f>
        <v>144</v>
      </c>
      <c r="J87" s="4">
        <f>IF(ISNUMBER(SEARCH("营",'18.05'!R87)),(-$Y87+50*IF('18.05'!$AK87="是",'18.05'!$BB$4,'18.05'!$BB$3)),(VLOOKUP('18.05'!R87,'18.05'!$AO$4:$AQ$55,2,FALSE))*IF('18.05'!$AK87="是",'18.05'!$BB$4,'18.05'!$BB$3))</f>
        <v>144</v>
      </c>
      <c r="K87" s="4">
        <f>IF(ISNUMBER(SEARCH("营",'18.05'!S87)),(-$Y87+50*IF('18.05'!$AK87="是",'18.05'!$BB$4,'18.05'!$BB$3)),(VLOOKUP('18.05'!S87,'18.05'!$AO$4:$AQ$55,2,FALSE))*IF('18.05'!$AK87="是",'18.05'!$BB$4,'18.05'!$BB$3))</f>
        <v>144</v>
      </c>
      <c r="L87" s="4">
        <f>IF(ISNUMBER(SEARCH("营",'18.05'!T87)),(-$Y87+50*IF('18.05'!$AK87="是",'18.05'!$BB$4,'18.05'!$BB$3)),(VLOOKUP('18.05'!T87,'18.05'!$AO$4:$AQ$55,2,FALSE))*IF('18.05'!$AK87="是",'18.05'!$BB$4,'18.05'!$BB$3))</f>
        <v>144</v>
      </c>
      <c r="M87" s="4">
        <f>IF(ISNUMBER(SEARCH("营",'18.05'!U87)),(-$Y87+50*IF('18.05'!$AK87="是",'18.05'!$BB$4,'18.05'!$BB$3)),(VLOOKUP('18.05'!U87,'18.05'!$AO$4:$AQ$55,2,FALSE))*IF('18.05'!$AK87="是",'18.05'!$BB$4,'18.05'!$BB$3))</f>
        <v>144</v>
      </c>
      <c r="N87" s="4">
        <f>IF(ISNUMBER(SEARCH("营",'18.05'!V87)),(-$Y87+50*IF('18.05'!$AK87="是",'18.05'!$BB$4,'18.05'!$BB$3)),(VLOOKUP('18.05'!V87,'18.05'!$AO$4:$AQ$55,2,FALSE))*IF('18.05'!$AK87="是",'18.05'!$BB$4,'18.05'!$BB$3))</f>
        <v>144</v>
      </c>
      <c r="O87" s="4">
        <f>IF(ISNUMBER(SEARCH("营",'18.05'!W87)),(-$Y87+50*IF('18.05'!$AK87="是",'18.05'!$BB$4,'18.05'!$BB$3)),(VLOOKUP('18.05'!W87,'18.05'!$AO$4:$AQ$55,2,FALSE))*IF('18.05'!$AK87="是",'18.05'!$BB$4,'18.05'!$BB$3))</f>
        <v>0</v>
      </c>
      <c r="P87" s="4">
        <f>IF(ISNUMBER(SEARCH("营",'18.05'!X87)),(-$Y87+50*IF('18.05'!$AK87="是",'18.05'!$BB$4,'18.05'!$BB$3)),(VLOOKUP('18.05'!X87,'18.05'!$AO$4:$AQ$55,2,FALSE))*IF('18.05'!$AK87="是",'18.05'!$BB$4,'18.05'!$BB$3))</f>
        <v>0</v>
      </c>
      <c r="Q87" s="4">
        <f>IF(ISNUMBER(SEARCH("营",'18.05'!Y87)),(-$Y87+50*IF('18.05'!$AK87="是",'18.05'!$BB$4,'18.05'!$BB$3)),(VLOOKUP('18.05'!Y87,'18.05'!$AO$4:$AQ$55,2,FALSE))*IF('18.05'!$AK87="是",'18.05'!$BB$4,'18.05'!$BB$3))</f>
        <v>0</v>
      </c>
      <c r="R87" s="4">
        <f>IF(ISNUMBER(SEARCH("营",'18.05'!Z87)),(-$Y87+50*IF('18.05'!$AK87="是",'18.05'!$BB$4,'18.05'!$BB$3)),(VLOOKUP('18.05'!Z87,'18.05'!$AO$4:$AQ$55,2,FALSE))*IF('18.05'!$AK87="是",'18.05'!$BB$4,'18.05'!$BB$3))</f>
        <v>0</v>
      </c>
      <c r="S87" s="4">
        <f>IF(ISNUMBER(SEARCH("营",'18.05'!AA87)),(-$Y87+50*IF('18.05'!$AK87="是",'18.05'!$BB$4,'18.05'!$BB$3)),(VLOOKUP('18.05'!AA87,'18.05'!$AO$4:$AQ$55,2,FALSE))*IF('18.05'!$AK87="是",'18.05'!$BB$4,'18.05'!$BB$3))</f>
        <v>0</v>
      </c>
      <c r="T87" s="4">
        <f>IF(ISNUMBER(SEARCH("营",'18.05'!AB87)),(-$Y87+50*IF('18.05'!$AK87="是",'18.05'!$BB$4,'18.05'!$BB$3)),(VLOOKUP('18.05'!AB87,'18.05'!$AO$4:$AQ$55,2,FALSE))*IF('18.05'!$AK87="是",'18.05'!$BB$4,'18.05'!$BB$3))</f>
        <v>0</v>
      </c>
      <c r="U87" s="4">
        <f>IF(ISNUMBER(SEARCH("营",'18.05'!AC87)),(-$Y87+50*IF('18.05'!$AK87="是",'18.05'!$BB$4,'18.05'!$BB$3)),(VLOOKUP('18.05'!AC87,'18.05'!$AO$4:$AQ$55,2,FALSE))*IF('18.05'!$AK87="是",'18.05'!$BB$4,'18.05'!$BB$3))</f>
        <v>0</v>
      </c>
      <c r="V87" s="4">
        <f>IF(ISNUMBER(SEARCH("营",'18.05'!AD87)),(-$Y87+50*IF('18.05'!$AK87="是",'18.05'!$BB$4,'18.05'!$BB$3)),(VLOOKUP('18.05'!AD87,'18.05'!$AO$4:$AQ$55,2,FALSE))*IF('18.05'!$AK87="是",'18.05'!$BB$4,'18.05'!$BB$3))</f>
        <v>0</v>
      </c>
      <c r="W87" s="4">
        <f>IF(ISNUMBER(SEARCH("营",'18.05'!AE87)),(-$Y87+50*IF('18.05'!$AK87="是",'18.05'!$BB$4,'18.05'!$BB$3)),(VLOOKUP('18.05'!AE87,'18.05'!$AO$4:$AQ$55,2,FALSE))*IF('18.05'!$AK87="是",'18.05'!$BB$4,'18.05'!$BB$3))</f>
        <v>0</v>
      </c>
      <c r="X87" s="4">
        <f>IF(ISNUMBER(SEARCH("营",'18.05'!AF87)),(-$Y87+50*IF('18.05'!$AK87="是",'18.05'!$BB$4,'18.05'!$BB$3)),(VLOOKUP('18.05'!AF87,'18.05'!$AO$4:$AQ$55,2,FALSE))*IF('18.05'!$AK87="是",'18.05'!$BB$4,'18.05'!$BB$3))</f>
        <v>0</v>
      </c>
      <c r="Y87" s="69">
        <v>100</v>
      </c>
      <c r="Z87" s="75">
        <v>45722</v>
      </c>
    </row>
    <row r="88" spans="1:26">
      <c r="A88" s="4">
        <f>IF(ISNUMBER(SEARCH("营",'18.05'!I88)),(-$Y88+50*IF('18.05'!$AK88="是",'18.05'!$BB$4,'18.05'!$BB$3)),(VLOOKUP('18.05'!I88,'18.05'!$AO$4:$AQ$55,2,FALSE))*IF('18.05'!$AK88="是",'18.05'!$BB$4,'18.05'!$BB$3))</f>
        <v>144</v>
      </c>
      <c r="B88" s="4">
        <f>IF(ISNUMBER(SEARCH("营",'18.05'!J88)),(-$Y88+50*IF('18.05'!$AK88="是",'18.05'!$BB$4,'18.05'!$BB$3)),(VLOOKUP('18.05'!J88,'18.05'!$AO$4:$AQ$55,2,FALSE))*IF('18.05'!$AK88="是",'18.05'!$BB$4,'18.05'!$BB$3))</f>
        <v>144</v>
      </c>
      <c r="C88" s="4">
        <f>IF(ISNUMBER(SEARCH("营",'18.05'!K88)),(-$Y88+50*IF('18.05'!$AK88="是",'18.05'!$BB$4,'18.05'!$BB$3)),(VLOOKUP('18.05'!K88,'18.05'!$AO$4:$AQ$55,2,FALSE))*IF('18.05'!$AK88="是",'18.05'!$BB$4,'18.05'!$BB$3))</f>
        <v>144</v>
      </c>
      <c r="D88" s="4">
        <f>IF(ISNUMBER(SEARCH("营",'18.05'!L88)),(-$Y88+50*IF('18.05'!$AK88="是",'18.05'!$BB$4,'18.05'!$BB$3)),(VLOOKUP('18.05'!L88,'18.05'!$AO$4:$AQ$55,2,FALSE))*IF('18.05'!$AK88="是",'18.05'!$BB$4,'18.05'!$BB$3))</f>
        <v>144</v>
      </c>
      <c r="E88" s="4">
        <f>IF(ISNUMBER(SEARCH("营",'18.05'!M88)),(-$Y88+50*IF('18.05'!$AK88="是",'18.05'!$BB$4,'18.05'!$BB$3)),(VLOOKUP('18.05'!M88,'18.05'!$AO$4:$AQ$55,2,FALSE))*IF('18.05'!$AK88="是",'18.05'!$BB$4,'18.05'!$BB$3))</f>
        <v>144</v>
      </c>
      <c r="F88" s="4">
        <f>IF(ISNUMBER(SEARCH("营",'18.05'!N88)),(-$Y88+50*IF('18.05'!$AK88="是",'18.05'!$BB$4,'18.05'!$BB$3)),(VLOOKUP('18.05'!N88,'18.05'!$AO$4:$AQ$55,2,FALSE))*IF('18.05'!$AK88="是",'18.05'!$BB$4,'18.05'!$BB$3))</f>
        <v>152</v>
      </c>
      <c r="G88" s="4">
        <f>IF(ISNUMBER(SEARCH("营",'18.05'!O88)),(-$Y88+50*IF('18.05'!$AK88="是",'18.05'!$BB$4,'18.05'!$BB$3)),(VLOOKUP('18.05'!O88,'18.05'!$AO$4:$AQ$55,2,FALSE))*IF('18.05'!$AK88="是",'18.05'!$BB$4,'18.05'!$BB$3))</f>
        <v>0</v>
      </c>
      <c r="H88" s="4">
        <f>IF(ISNUMBER(SEARCH("营",'18.05'!P88)),(-$Y88+50*IF('18.05'!$AK88="是",'18.05'!$BB$4,'18.05'!$BB$3)),(VLOOKUP('18.05'!P88,'18.05'!$AO$4:$AQ$55,2,FALSE))*IF('18.05'!$AK88="是",'18.05'!$BB$4,'18.05'!$BB$3))</f>
        <v>0</v>
      </c>
      <c r="I88" s="4">
        <f>IF(ISNUMBER(SEARCH("营",'18.05'!Q88)),(-$Y88+50*IF('18.05'!$AK88="是",'18.05'!$BB$4,'18.05'!$BB$3)),(VLOOKUP('18.05'!Q88,'18.05'!$AO$4:$AQ$55,2,FALSE))*IF('18.05'!$AK88="是",'18.05'!$BB$4,'18.05'!$BB$3))</f>
        <v>144</v>
      </c>
      <c r="J88" s="4">
        <f>IF(ISNUMBER(SEARCH("营",'18.05'!R88)),(-$Y88+50*IF('18.05'!$AK88="是",'18.05'!$BB$4,'18.05'!$BB$3)),(VLOOKUP('18.05'!R88,'18.05'!$AO$4:$AQ$55,2,FALSE))*IF('18.05'!$AK88="是",'18.05'!$BB$4,'18.05'!$BB$3))</f>
        <v>144</v>
      </c>
      <c r="K88" s="4">
        <f>IF(ISNUMBER(SEARCH("营",'18.05'!S88)),(-$Y88+50*IF('18.05'!$AK88="是",'18.05'!$BB$4,'18.05'!$BB$3)),(VLOOKUP('18.05'!S88,'18.05'!$AO$4:$AQ$55,2,FALSE))*IF('18.05'!$AK88="是",'18.05'!$BB$4,'18.05'!$BB$3))</f>
        <v>144</v>
      </c>
      <c r="L88" s="4">
        <f>IF(ISNUMBER(SEARCH("营",'18.05'!T88)),(-$Y88+50*IF('18.05'!$AK88="是",'18.05'!$BB$4,'18.05'!$BB$3)),(VLOOKUP('18.05'!T88,'18.05'!$AO$4:$AQ$55,2,FALSE))*IF('18.05'!$AK88="是",'18.05'!$BB$4,'18.05'!$BB$3))</f>
        <v>144</v>
      </c>
      <c r="M88" s="4">
        <f>IF(ISNUMBER(SEARCH("营",'18.05'!U88)),(-$Y88+50*IF('18.05'!$AK88="是",'18.05'!$BB$4,'18.05'!$BB$3)),(VLOOKUP('18.05'!U88,'18.05'!$AO$4:$AQ$55,2,FALSE))*IF('18.05'!$AK88="是",'18.05'!$BB$4,'18.05'!$BB$3))</f>
        <v>144</v>
      </c>
      <c r="N88" s="4">
        <f>IF(ISNUMBER(SEARCH("营",'18.05'!V88)),(-$Y88+50*IF('18.05'!$AK88="是",'18.05'!$BB$4,'18.05'!$BB$3)),(VLOOKUP('18.05'!V88,'18.05'!$AO$4:$AQ$55,2,FALSE))*IF('18.05'!$AK88="是",'18.05'!$BB$4,'18.05'!$BB$3))</f>
        <v>144</v>
      </c>
      <c r="O88" s="4">
        <f>IF(ISNUMBER(SEARCH("营",'18.05'!W88)),(-$Y88+50*IF('18.05'!$AK88="是",'18.05'!$BB$4,'18.05'!$BB$3)),(VLOOKUP('18.05'!W88,'18.05'!$AO$4:$AQ$55,2,FALSE))*IF('18.05'!$AK88="是",'18.05'!$BB$4,'18.05'!$BB$3))</f>
        <v>0</v>
      </c>
      <c r="P88" s="4">
        <f>IF(ISNUMBER(SEARCH("营",'18.05'!X88)),(-$Y88+50*IF('18.05'!$AK88="是",'18.05'!$BB$4,'18.05'!$BB$3)),(VLOOKUP('18.05'!X88,'18.05'!$AO$4:$AQ$55,2,FALSE))*IF('18.05'!$AK88="是",'18.05'!$BB$4,'18.05'!$BB$3))</f>
        <v>0</v>
      </c>
      <c r="Q88" s="4">
        <f>IF(ISNUMBER(SEARCH("营",'18.05'!Y88)),(-$Y88+50*IF('18.05'!$AK88="是",'18.05'!$BB$4,'18.05'!$BB$3)),(VLOOKUP('18.05'!Y88,'18.05'!$AO$4:$AQ$55,2,FALSE))*IF('18.05'!$AK88="是",'18.05'!$BB$4,'18.05'!$BB$3))</f>
        <v>0</v>
      </c>
      <c r="R88" s="4">
        <f>IF(ISNUMBER(SEARCH("营",'18.05'!Z88)),(-$Y88+50*IF('18.05'!$AK88="是",'18.05'!$BB$4,'18.05'!$BB$3)),(VLOOKUP('18.05'!Z88,'18.05'!$AO$4:$AQ$55,2,FALSE))*IF('18.05'!$AK88="是",'18.05'!$BB$4,'18.05'!$BB$3))</f>
        <v>0</v>
      </c>
      <c r="S88" s="4">
        <f>IF(ISNUMBER(SEARCH("营",'18.05'!AA88)),(-$Y88+50*IF('18.05'!$AK88="是",'18.05'!$BB$4,'18.05'!$BB$3)),(VLOOKUP('18.05'!AA88,'18.05'!$AO$4:$AQ$55,2,FALSE))*IF('18.05'!$AK88="是",'18.05'!$BB$4,'18.05'!$BB$3))</f>
        <v>0</v>
      </c>
      <c r="T88" s="4">
        <f>IF(ISNUMBER(SEARCH("营",'18.05'!AB88)),(-$Y88+50*IF('18.05'!$AK88="是",'18.05'!$BB$4,'18.05'!$BB$3)),(VLOOKUP('18.05'!AB88,'18.05'!$AO$4:$AQ$55,2,FALSE))*IF('18.05'!$AK88="是",'18.05'!$BB$4,'18.05'!$BB$3))</f>
        <v>0</v>
      </c>
      <c r="U88" s="4">
        <f>IF(ISNUMBER(SEARCH("营",'18.05'!AC88)),(-$Y88+50*IF('18.05'!$AK88="是",'18.05'!$BB$4,'18.05'!$BB$3)),(VLOOKUP('18.05'!AC88,'18.05'!$AO$4:$AQ$55,2,FALSE))*IF('18.05'!$AK88="是",'18.05'!$BB$4,'18.05'!$BB$3))</f>
        <v>0</v>
      </c>
      <c r="V88" s="4">
        <f>IF(ISNUMBER(SEARCH("营",'18.05'!AD88)),(-$Y88+50*IF('18.05'!$AK88="是",'18.05'!$BB$4,'18.05'!$BB$3)),(VLOOKUP('18.05'!AD88,'18.05'!$AO$4:$AQ$55,2,FALSE))*IF('18.05'!$AK88="是",'18.05'!$BB$4,'18.05'!$BB$3))</f>
        <v>0</v>
      </c>
      <c r="W88" s="4">
        <f>IF(ISNUMBER(SEARCH("营",'18.05'!AE88)),(-$Y88+50*IF('18.05'!$AK88="是",'18.05'!$BB$4,'18.05'!$BB$3)),(VLOOKUP('18.05'!AE88,'18.05'!$AO$4:$AQ$55,2,FALSE))*IF('18.05'!$AK88="是",'18.05'!$BB$4,'18.05'!$BB$3))</f>
        <v>0</v>
      </c>
      <c r="X88" s="4">
        <f>IF(ISNUMBER(SEARCH("营",'18.05'!AF88)),(-$Y88+50*IF('18.05'!$AK88="是",'18.05'!$BB$4,'18.05'!$BB$3)),(VLOOKUP('18.05'!AF88,'18.05'!$AO$4:$AQ$55,2,FALSE))*IF('18.05'!$AK88="是",'18.05'!$BB$4,'18.05'!$BB$3))</f>
        <v>0</v>
      </c>
      <c r="Y88" s="69">
        <v>100</v>
      </c>
      <c r="Z88" s="75">
        <v>45723</v>
      </c>
    </row>
    <row r="89" spans="1:26">
      <c r="A89" s="4">
        <f>IF(ISNUMBER(SEARCH("营",'18.05'!I89)),(-$Y89+50*IF('18.05'!$AK89="是",'18.05'!$BB$4,'18.05'!$BB$3)),(VLOOKUP('18.05'!I89,'18.05'!$AO$4:$AQ$55,2,FALSE))*IF('18.05'!$AK89="是",'18.05'!$BB$4,'18.05'!$BB$3))</f>
        <v>152</v>
      </c>
      <c r="B89" s="4">
        <f>IF(ISNUMBER(SEARCH("营",'18.05'!J89)),(-$Y89+50*IF('18.05'!$AK89="是",'18.05'!$BB$4,'18.05'!$BB$3)),(VLOOKUP('18.05'!J89,'18.05'!$AO$4:$AQ$55,2,FALSE))*IF('18.05'!$AK89="是",'18.05'!$BB$4,'18.05'!$BB$3))</f>
        <v>160</v>
      </c>
      <c r="C89" s="4">
        <f>IF(ISNUMBER(SEARCH("营",'18.05'!K89)),(-$Y89+50*IF('18.05'!$AK89="是",'18.05'!$BB$4,'18.05'!$BB$3)),(VLOOKUP('18.05'!K89,'18.05'!$AO$4:$AQ$55,2,FALSE))*IF('18.05'!$AK89="是",'18.05'!$BB$4,'18.05'!$BB$3))</f>
        <v>160</v>
      </c>
      <c r="D89" s="4">
        <f>IF(ISNUMBER(SEARCH("营",'18.05'!L89)),(-$Y89+50*IF('18.05'!$AK89="是",'18.05'!$BB$4,'18.05'!$BB$3)),(VLOOKUP('18.05'!L89,'18.05'!$AO$4:$AQ$55,2,FALSE))*IF('18.05'!$AK89="是",'18.05'!$BB$4,'18.05'!$BB$3))</f>
        <v>144</v>
      </c>
      <c r="E89" s="4">
        <f>IF(ISNUMBER(SEARCH("营",'18.05'!M89)),(-$Y89+50*IF('18.05'!$AK89="是",'18.05'!$BB$4,'18.05'!$BB$3)),(VLOOKUP('18.05'!M89,'18.05'!$AO$4:$AQ$55,2,FALSE))*IF('18.05'!$AK89="是",'18.05'!$BB$4,'18.05'!$BB$3))</f>
        <v>144</v>
      </c>
      <c r="F89" s="4">
        <f>IF(ISNUMBER(SEARCH("营",'18.05'!N89)),(-$Y89+50*IF('18.05'!$AK89="是",'18.05'!$BB$4,'18.05'!$BB$3)),(VLOOKUP('18.05'!N89,'18.05'!$AO$4:$AQ$55,2,FALSE))*IF('18.05'!$AK89="是",'18.05'!$BB$4,'18.05'!$BB$3))</f>
        <v>160</v>
      </c>
      <c r="G89" s="4">
        <f>IF(ISNUMBER(SEARCH("营",'18.05'!O89)),(-$Y89+50*IF('18.05'!$AK89="是",'18.05'!$BB$4,'18.05'!$BB$3)),(VLOOKUP('18.05'!O89,'18.05'!$AO$4:$AQ$55,2,FALSE))*IF('18.05'!$AK89="是",'18.05'!$BB$4,'18.05'!$BB$3))</f>
        <v>0</v>
      </c>
      <c r="H89" s="4">
        <f>IF(ISNUMBER(SEARCH("营",'18.05'!P89)),(-$Y89+50*IF('18.05'!$AK89="是",'18.05'!$BB$4,'18.05'!$BB$3)),(VLOOKUP('18.05'!P89,'18.05'!$AO$4:$AQ$55,2,FALSE))*IF('18.05'!$AK89="是",'18.05'!$BB$4,'18.05'!$BB$3))</f>
        <v>0</v>
      </c>
      <c r="I89" s="4">
        <f>IF(ISNUMBER(SEARCH("营",'18.05'!Q89)),(-$Y89+50*IF('18.05'!$AK89="是",'18.05'!$BB$4,'18.05'!$BB$3)),(VLOOKUP('18.05'!Q89,'18.05'!$AO$4:$AQ$55,2,FALSE))*IF('18.05'!$AK89="是",'18.05'!$BB$4,'18.05'!$BB$3))</f>
        <v>144</v>
      </c>
      <c r="J89" s="4">
        <f>IF(ISNUMBER(SEARCH("营",'18.05'!R89)),(-$Y89+50*IF('18.05'!$AK89="是",'18.05'!$BB$4,'18.05'!$BB$3)),(VLOOKUP('18.05'!R89,'18.05'!$AO$4:$AQ$55,2,FALSE))*IF('18.05'!$AK89="是",'18.05'!$BB$4,'18.05'!$BB$3))</f>
        <v>120</v>
      </c>
      <c r="K89" s="4">
        <f>IF(ISNUMBER(SEARCH("营",'18.05'!S89)),(-$Y89+50*IF('18.05'!$AK89="是",'18.05'!$BB$4,'18.05'!$BB$3)),(VLOOKUP('18.05'!S89,'18.05'!$AO$4:$AQ$55,2,FALSE))*IF('18.05'!$AK89="是",'18.05'!$BB$4,'18.05'!$BB$3))</f>
        <v>144</v>
      </c>
      <c r="L89" s="4">
        <f>IF(ISNUMBER(SEARCH("营",'18.05'!T89)),(-$Y89+50*IF('18.05'!$AK89="是",'18.05'!$BB$4,'18.05'!$BB$3)),(VLOOKUP('18.05'!T89,'18.05'!$AO$4:$AQ$55,2,FALSE))*IF('18.05'!$AK89="是",'18.05'!$BB$4,'18.05'!$BB$3))</f>
        <v>144</v>
      </c>
      <c r="M89" s="4">
        <f>IF(ISNUMBER(SEARCH("营",'18.05'!U89)),(-$Y89+50*IF('18.05'!$AK89="是",'18.05'!$BB$4,'18.05'!$BB$3)),(VLOOKUP('18.05'!U89,'18.05'!$AO$4:$AQ$55,2,FALSE))*IF('18.05'!$AK89="是",'18.05'!$BB$4,'18.05'!$BB$3))</f>
        <v>144</v>
      </c>
      <c r="N89" s="4">
        <f>IF(ISNUMBER(SEARCH("营",'18.05'!V89)),(-$Y89+50*IF('18.05'!$AK89="是",'18.05'!$BB$4,'18.05'!$BB$3)),(VLOOKUP('18.05'!V89,'18.05'!$AO$4:$AQ$55,2,FALSE))*IF('18.05'!$AK89="是",'18.05'!$BB$4,'18.05'!$BB$3))</f>
        <v>144</v>
      </c>
      <c r="O89" s="4">
        <f>IF(ISNUMBER(SEARCH("营",'18.05'!W89)),(-$Y89+50*IF('18.05'!$AK89="是",'18.05'!$BB$4,'18.05'!$BB$3)),(VLOOKUP('18.05'!W89,'18.05'!$AO$4:$AQ$55,2,FALSE))*IF('18.05'!$AK89="是",'18.05'!$BB$4,'18.05'!$BB$3))</f>
        <v>144</v>
      </c>
      <c r="P89" s="4">
        <f>IF(ISNUMBER(SEARCH("营",'18.05'!X89)),(-$Y89+50*IF('18.05'!$AK89="是",'18.05'!$BB$4,'18.05'!$BB$3)),(VLOOKUP('18.05'!X89,'18.05'!$AO$4:$AQ$55,2,FALSE))*IF('18.05'!$AK89="是",'18.05'!$BB$4,'18.05'!$BB$3))</f>
        <v>144</v>
      </c>
      <c r="Q89" s="4">
        <f>IF(ISNUMBER(SEARCH("营",'18.05'!Y89)),(-$Y89+50*IF('18.05'!$AK89="是",'18.05'!$BB$4,'18.05'!$BB$3)),(VLOOKUP('18.05'!Y89,'18.05'!$AO$4:$AQ$55,2,FALSE))*IF('18.05'!$AK89="是",'18.05'!$BB$4,'18.05'!$BB$3))</f>
        <v>0</v>
      </c>
      <c r="R89" s="4">
        <f>IF(ISNUMBER(SEARCH("营",'18.05'!Z89)),(-$Y89+50*IF('18.05'!$AK89="是",'18.05'!$BB$4,'18.05'!$BB$3)),(VLOOKUP('18.05'!Z89,'18.05'!$AO$4:$AQ$55,2,FALSE))*IF('18.05'!$AK89="是",'18.05'!$BB$4,'18.05'!$BB$3))</f>
        <v>0</v>
      </c>
      <c r="S89" s="4">
        <f>IF(ISNUMBER(SEARCH("营",'18.05'!AA89)),(-$Y89+50*IF('18.05'!$AK89="是",'18.05'!$BB$4,'18.05'!$BB$3)),(VLOOKUP('18.05'!AA89,'18.05'!$AO$4:$AQ$55,2,FALSE))*IF('18.05'!$AK89="是",'18.05'!$BB$4,'18.05'!$BB$3))</f>
        <v>0</v>
      </c>
      <c r="T89" s="4">
        <f>IF(ISNUMBER(SEARCH("营",'18.05'!AB89)),(-$Y89+50*IF('18.05'!$AK89="是",'18.05'!$BB$4,'18.05'!$BB$3)),(VLOOKUP('18.05'!AB89,'18.05'!$AO$4:$AQ$55,2,FALSE))*IF('18.05'!$AK89="是",'18.05'!$BB$4,'18.05'!$BB$3))</f>
        <v>0</v>
      </c>
      <c r="U89" s="4">
        <f>IF(ISNUMBER(SEARCH("营",'18.05'!AC89)),(-$Y89+50*IF('18.05'!$AK89="是",'18.05'!$BB$4,'18.05'!$BB$3)),(VLOOKUP('18.05'!AC89,'18.05'!$AO$4:$AQ$55,2,FALSE))*IF('18.05'!$AK89="是",'18.05'!$BB$4,'18.05'!$BB$3))</f>
        <v>0</v>
      </c>
      <c r="V89" s="4">
        <f>IF(ISNUMBER(SEARCH("营",'18.05'!AD89)),(-$Y89+50*IF('18.05'!$AK89="是",'18.05'!$BB$4,'18.05'!$BB$3)),(VLOOKUP('18.05'!AD89,'18.05'!$AO$4:$AQ$55,2,FALSE))*IF('18.05'!$AK89="是",'18.05'!$BB$4,'18.05'!$BB$3))</f>
        <v>0</v>
      </c>
      <c r="W89" s="4">
        <f>IF(ISNUMBER(SEARCH("营",'18.05'!AE89)),(-$Y89+50*IF('18.05'!$AK89="是",'18.05'!$BB$4,'18.05'!$BB$3)),(VLOOKUP('18.05'!AE89,'18.05'!$AO$4:$AQ$55,2,FALSE))*IF('18.05'!$AK89="是",'18.05'!$BB$4,'18.05'!$BB$3))</f>
        <v>0</v>
      </c>
      <c r="X89" s="4">
        <f>IF(ISNUMBER(SEARCH("营",'18.05'!AF89)),(-$Y89+50*IF('18.05'!$AK89="是",'18.05'!$BB$4,'18.05'!$BB$3)),(VLOOKUP('18.05'!AF89,'18.05'!$AO$4:$AQ$55,2,FALSE))*IF('18.05'!$AK89="是",'18.05'!$BB$4,'18.05'!$BB$3))</f>
        <v>0</v>
      </c>
      <c r="Y89" s="69">
        <v>100</v>
      </c>
      <c r="Z89" s="75">
        <v>45724</v>
      </c>
    </row>
    <row r="90" spans="1:26">
      <c r="A90" s="4">
        <f>IF(ISNUMBER(SEARCH("营",'18.05'!I90)),(-$Y90+50*IF('18.05'!$AK90="是",'18.05'!$BB$4,'18.05'!$BB$3)),(VLOOKUP('18.05'!I90,'18.05'!$AO$4:$AQ$55,2,FALSE))*IF('18.05'!$AK90="是",'18.05'!$BB$4,'18.05'!$BB$3))</f>
        <v>160</v>
      </c>
      <c r="B90" s="4">
        <f>IF(ISNUMBER(SEARCH("营",'18.05'!J90)),(-$Y90+50*IF('18.05'!$AK90="是",'18.05'!$BB$4,'18.05'!$BB$3)),(VLOOKUP('18.05'!J90,'18.05'!$AO$4:$AQ$55,2,FALSE))*IF('18.05'!$AK90="是",'18.05'!$BB$4,'18.05'!$BB$3))</f>
        <v>152</v>
      </c>
      <c r="C90" s="4">
        <f>IF(ISNUMBER(SEARCH("营",'18.05'!K90)),(-$Y90+50*IF('18.05'!$AK90="是",'18.05'!$BB$4,'18.05'!$BB$3)),(VLOOKUP('18.05'!K90,'18.05'!$AO$4:$AQ$55,2,FALSE))*IF('18.05'!$AK90="是",'18.05'!$BB$4,'18.05'!$BB$3))</f>
        <v>152</v>
      </c>
      <c r="D90" s="4">
        <f>IF(ISNUMBER(SEARCH("营",'18.05'!L90)),(-$Y90+50*IF('18.05'!$AK90="是",'18.05'!$BB$4,'18.05'!$BB$3)),(VLOOKUP('18.05'!L90,'18.05'!$AO$4:$AQ$55,2,FALSE))*IF('18.05'!$AK90="是",'18.05'!$BB$4,'18.05'!$BB$3))</f>
        <v>152</v>
      </c>
      <c r="E90" s="4">
        <f>IF(ISNUMBER(SEARCH("营",'18.05'!M90)),(-$Y90+50*IF('18.05'!$AK90="是",'18.05'!$BB$4,'18.05'!$BB$3)),(VLOOKUP('18.05'!M90,'18.05'!$AO$4:$AQ$55,2,FALSE))*IF('18.05'!$AK90="是",'18.05'!$BB$4,'18.05'!$BB$3))</f>
        <v>120</v>
      </c>
      <c r="F90" s="4">
        <f>IF(ISNUMBER(SEARCH("营",'18.05'!N90)),(-$Y90+50*IF('18.05'!$AK90="是",'18.05'!$BB$4,'18.05'!$BB$3)),(VLOOKUP('18.05'!N90,'18.05'!$AO$4:$AQ$55,2,FALSE))*IF('18.05'!$AK90="是",'18.05'!$BB$4,'18.05'!$BB$3))</f>
        <v>152</v>
      </c>
      <c r="G90" s="4">
        <f>IF(ISNUMBER(SEARCH("营",'18.05'!O90)),(-$Y90+50*IF('18.05'!$AK90="是",'18.05'!$BB$4,'18.05'!$BB$3)),(VLOOKUP('18.05'!O90,'18.05'!$AO$4:$AQ$55,2,FALSE))*IF('18.05'!$AK90="是",'18.05'!$BB$4,'18.05'!$BB$3))</f>
        <v>0</v>
      </c>
      <c r="H90" s="4">
        <f>IF(ISNUMBER(SEARCH("营",'18.05'!P90)),(-$Y90+50*IF('18.05'!$AK90="是",'18.05'!$BB$4,'18.05'!$BB$3)),(VLOOKUP('18.05'!P90,'18.05'!$AO$4:$AQ$55,2,FALSE))*IF('18.05'!$AK90="是",'18.05'!$BB$4,'18.05'!$BB$3))</f>
        <v>0</v>
      </c>
      <c r="I90" s="4">
        <f>IF(ISNUMBER(SEARCH("营",'18.05'!Q90)),(-$Y90+50*IF('18.05'!$AK90="是",'18.05'!$BB$4,'18.05'!$BB$3)),(VLOOKUP('18.05'!Q90,'18.05'!$AO$4:$AQ$55,2,FALSE))*IF('18.05'!$AK90="是",'18.05'!$BB$4,'18.05'!$BB$3))</f>
        <v>144</v>
      </c>
      <c r="J90" s="4">
        <f>IF(ISNUMBER(SEARCH("营",'18.05'!R90)),(-$Y90+50*IF('18.05'!$AK90="是",'18.05'!$BB$4,'18.05'!$BB$3)),(VLOOKUP('18.05'!R90,'18.05'!$AO$4:$AQ$55,2,FALSE))*IF('18.05'!$AK90="是",'18.05'!$BB$4,'18.05'!$BB$3))</f>
        <v>144</v>
      </c>
      <c r="K90" s="4">
        <f>IF(ISNUMBER(SEARCH("营",'18.05'!S90)),(-$Y90+50*IF('18.05'!$AK90="是",'18.05'!$BB$4,'18.05'!$BB$3)),(VLOOKUP('18.05'!S90,'18.05'!$AO$4:$AQ$55,2,FALSE))*IF('18.05'!$AK90="是",'18.05'!$BB$4,'18.05'!$BB$3))</f>
        <v>144</v>
      </c>
      <c r="L90" s="4">
        <f>IF(ISNUMBER(SEARCH("营",'18.05'!T90)),(-$Y90+50*IF('18.05'!$AK90="是",'18.05'!$BB$4,'18.05'!$BB$3)),(VLOOKUP('18.05'!T90,'18.05'!$AO$4:$AQ$55,2,FALSE))*IF('18.05'!$AK90="是",'18.05'!$BB$4,'18.05'!$BB$3))</f>
        <v>144</v>
      </c>
      <c r="M90" s="4">
        <f>IF(ISNUMBER(SEARCH("营",'18.05'!U90)),(-$Y90+50*IF('18.05'!$AK90="是",'18.05'!$BB$4,'18.05'!$BB$3)),(VLOOKUP('18.05'!U90,'18.05'!$AO$4:$AQ$55,2,FALSE))*IF('18.05'!$AK90="是",'18.05'!$BB$4,'18.05'!$BB$3))</f>
        <v>40</v>
      </c>
      <c r="N90" s="4">
        <f>IF(ISNUMBER(SEARCH("营",'18.05'!V90)),(-$Y90+50*IF('18.05'!$AK90="是",'18.05'!$BB$4,'18.05'!$BB$3)),(VLOOKUP('18.05'!V90,'18.05'!$AO$4:$AQ$55,2,FALSE))*IF('18.05'!$AK90="是",'18.05'!$BB$4,'18.05'!$BB$3))</f>
        <v>144</v>
      </c>
      <c r="O90" s="4">
        <f>IF(ISNUMBER(SEARCH("营",'18.05'!W90)),(-$Y90+50*IF('18.05'!$AK90="是",'18.05'!$BB$4,'18.05'!$BB$3)),(VLOOKUP('18.05'!W90,'18.05'!$AO$4:$AQ$55,2,FALSE))*IF('18.05'!$AK90="是",'18.05'!$BB$4,'18.05'!$BB$3))</f>
        <v>144</v>
      </c>
      <c r="P90" s="4">
        <f>IF(ISNUMBER(SEARCH("营",'18.05'!X90)),(-$Y90+50*IF('18.05'!$AK90="是",'18.05'!$BB$4,'18.05'!$BB$3)),(VLOOKUP('18.05'!X90,'18.05'!$AO$4:$AQ$55,2,FALSE))*IF('18.05'!$AK90="是",'18.05'!$BB$4,'18.05'!$BB$3))</f>
        <v>144</v>
      </c>
      <c r="Q90" s="4">
        <f>IF(ISNUMBER(SEARCH("营",'18.05'!Y90)),(-$Y90+50*IF('18.05'!$AK90="是",'18.05'!$BB$4,'18.05'!$BB$3)),(VLOOKUP('18.05'!Y90,'18.05'!$AO$4:$AQ$55,2,FALSE))*IF('18.05'!$AK90="是",'18.05'!$BB$4,'18.05'!$BB$3))</f>
        <v>0</v>
      </c>
      <c r="R90" s="4">
        <f>IF(ISNUMBER(SEARCH("营",'18.05'!Z90)),(-$Y90+50*IF('18.05'!$AK90="是",'18.05'!$BB$4,'18.05'!$BB$3)),(VLOOKUP('18.05'!Z90,'18.05'!$AO$4:$AQ$55,2,FALSE))*IF('18.05'!$AK90="是",'18.05'!$BB$4,'18.05'!$BB$3))</f>
        <v>0</v>
      </c>
      <c r="S90" s="4">
        <f>IF(ISNUMBER(SEARCH("营",'18.05'!AA90)),(-$Y90+50*IF('18.05'!$AK90="是",'18.05'!$BB$4,'18.05'!$BB$3)),(VLOOKUP('18.05'!AA90,'18.05'!$AO$4:$AQ$55,2,FALSE))*IF('18.05'!$AK90="是",'18.05'!$BB$4,'18.05'!$BB$3))</f>
        <v>0</v>
      </c>
      <c r="T90" s="4">
        <f>IF(ISNUMBER(SEARCH("营",'18.05'!AB90)),(-$Y90+50*IF('18.05'!$AK90="是",'18.05'!$BB$4,'18.05'!$BB$3)),(VLOOKUP('18.05'!AB90,'18.05'!$AO$4:$AQ$55,2,FALSE))*IF('18.05'!$AK90="是",'18.05'!$BB$4,'18.05'!$BB$3))</f>
        <v>0</v>
      </c>
      <c r="U90" s="4">
        <f>IF(ISNUMBER(SEARCH("营",'18.05'!AC90)),(-$Y90+50*IF('18.05'!$AK90="是",'18.05'!$BB$4,'18.05'!$BB$3)),(VLOOKUP('18.05'!AC90,'18.05'!$AO$4:$AQ$55,2,FALSE))*IF('18.05'!$AK90="是",'18.05'!$BB$4,'18.05'!$BB$3))</f>
        <v>0</v>
      </c>
      <c r="V90" s="4">
        <f>IF(ISNUMBER(SEARCH("营",'18.05'!AD90)),(-$Y90+50*IF('18.05'!$AK90="是",'18.05'!$BB$4,'18.05'!$BB$3)),(VLOOKUP('18.05'!AD90,'18.05'!$AO$4:$AQ$55,2,FALSE))*IF('18.05'!$AK90="是",'18.05'!$BB$4,'18.05'!$BB$3))</f>
        <v>0</v>
      </c>
      <c r="W90" s="4">
        <f>IF(ISNUMBER(SEARCH("营",'18.05'!AE90)),(-$Y90+50*IF('18.05'!$AK90="是",'18.05'!$BB$4,'18.05'!$BB$3)),(VLOOKUP('18.05'!AE90,'18.05'!$AO$4:$AQ$55,2,FALSE))*IF('18.05'!$AK90="是",'18.05'!$BB$4,'18.05'!$BB$3))</f>
        <v>0</v>
      </c>
      <c r="X90" s="4">
        <f>IF(ISNUMBER(SEARCH("营",'18.05'!AF90)),(-$Y90+50*IF('18.05'!$AK90="是",'18.05'!$BB$4,'18.05'!$BB$3)),(VLOOKUP('18.05'!AF90,'18.05'!$AO$4:$AQ$55,2,FALSE))*IF('18.05'!$AK90="是",'18.05'!$BB$4,'18.05'!$BB$3))</f>
        <v>0</v>
      </c>
      <c r="Y90" s="69">
        <v>100</v>
      </c>
      <c r="Z90" s="75">
        <v>45725</v>
      </c>
    </row>
    <row r="91" spans="1:26">
      <c r="A91" s="4">
        <f>IF(ISNUMBER(SEARCH("营",'18.05'!I91)),(-$Y91+50*IF('18.05'!$AK91="是",'18.05'!$BB$4,'18.05'!$BB$3)),(VLOOKUP('18.05'!I91,'18.05'!$AO$4:$AQ$55,2,FALSE))*IF('18.05'!$AK91="是",'18.05'!$BB$4,'18.05'!$BB$3))</f>
        <v>0</v>
      </c>
      <c r="B91" s="4">
        <f>IF(ISNUMBER(SEARCH("营",'18.05'!J91)),(-$Y91+50*IF('18.05'!$AK91="是",'18.05'!$BB$4,'18.05'!$BB$3)),(VLOOKUP('18.05'!J91,'18.05'!$AO$4:$AQ$55,2,FALSE))*IF('18.05'!$AK91="是",'18.05'!$BB$4,'18.05'!$BB$3))</f>
        <v>0</v>
      </c>
      <c r="C91" s="4">
        <f>IF(ISNUMBER(SEARCH("营",'18.05'!K91)),(-$Y91+50*IF('18.05'!$AK91="是",'18.05'!$BB$4,'18.05'!$BB$3)),(VLOOKUP('18.05'!K91,'18.05'!$AO$4:$AQ$55,2,FALSE))*IF('18.05'!$AK91="是",'18.05'!$BB$4,'18.05'!$BB$3))</f>
        <v>0</v>
      </c>
      <c r="D91" s="4">
        <f>IF(ISNUMBER(SEARCH("营",'18.05'!L91)),(-$Y91+50*IF('18.05'!$AK91="是",'18.05'!$BB$4,'18.05'!$BB$3)),(VLOOKUP('18.05'!L91,'18.05'!$AO$4:$AQ$55,2,FALSE))*IF('18.05'!$AK91="是",'18.05'!$BB$4,'18.05'!$BB$3))</f>
        <v>0</v>
      </c>
      <c r="E91" s="4">
        <f>IF(ISNUMBER(SEARCH("营",'18.05'!M91)),(-$Y91+50*IF('18.05'!$AK91="是",'18.05'!$BB$4,'18.05'!$BB$3)),(VLOOKUP('18.05'!M91,'18.05'!$AO$4:$AQ$55,2,FALSE))*IF('18.05'!$AK91="是",'18.05'!$BB$4,'18.05'!$BB$3))</f>
        <v>0</v>
      </c>
      <c r="F91" s="4">
        <f>IF(ISNUMBER(SEARCH("营",'18.05'!N91)),(-$Y91+50*IF('18.05'!$AK91="是",'18.05'!$BB$4,'18.05'!$BB$3)),(VLOOKUP('18.05'!N91,'18.05'!$AO$4:$AQ$55,2,FALSE))*IF('18.05'!$AK91="是",'18.05'!$BB$4,'18.05'!$BB$3))</f>
        <v>0</v>
      </c>
      <c r="G91" s="4">
        <f>IF(ISNUMBER(SEARCH("营",'18.05'!O91)),(-$Y91+50*IF('18.05'!$AK91="是",'18.05'!$BB$4,'18.05'!$BB$3)),(VLOOKUP('18.05'!O91,'18.05'!$AO$4:$AQ$55,2,FALSE))*IF('18.05'!$AK91="是",'18.05'!$BB$4,'18.05'!$BB$3))</f>
        <v>0</v>
      </c>
      <c r="H91" s="4">
        <f>IF(ISNUMBER(SEARCH("营",'18.05'!P91)),(-$Y91+50*IF('18.05'!$AK91="是",'18.05'!$BB$4,'18.05'!$BB$3)),(VLOOKUP('18.05'!P91,'18.05'!$AO$4:$AQ$55,2,FALSE))*IF('18.05'!$AK91="是",'18.05'!$BB$4,'18.05'!$BB$3))</f>
        <v>0</v>
      </c>
      <c r="I91" s="4">
        <f>IF(ISNUMBER(SEARCH("营",'18.05'!Q91)),(-$Y91+50*IF('18.05'!$AK91="是",'18.05'!$BB$4,'18.05'!$BB$3)),(VLOOKUP('18.05'!Q91,'18.05'!$AO$4:$AQ$55,2,FALSE))*IF('18.05'!$AK91="是",'18.05'!$BB$4,'18.05'!$BB$3))</f>
        <v>144</v>
      </c>
      <c r="J91" s="4">
        <f>IF(ISNUMBER(SEARCH("营",'18.05'!R91)),(-$Y91+50*IF('18.05'!$AK91="是",'18.05'!$BB$4,'18.05'!$BB$3)),(VLOOKUP('18.05'!R91,'18.05'!$AO$4:$AQ$55,2,FALSE))*IF('18.05'!$AK91="是",'18.05'!$BB$4,'18.05'!$BB$3))</f>
        <v>144</v>
      </c>
      <c r="K91" s="4">
        <f>IF(ISNUMBER(SEARCH("营",'18.05'!S91)),(-$Y91+50*IF('18.05'!$AK91="是",'18.05'!$BB$4,'18.05'!$BB$3)),(VLOOKUP('18.05'!S91,'18.05'!$AO$4:$AQ$55,2,FALSE))*IF('18.05'!$AK91="是",'18.05'!$BB$4,'18.05'!$BB$3))</f>
        <v>144</v>
      </c>
      <c r="L91" s="4">
        <f>IF(ISNUMBER(SEARCH("营",'18.05'!T91)),(-$Y91+50*IF('18.05'!$AK91="是",'18.05'!$BB$4,'18.05'!$BB$3)),(VLOOKUP('18.05'!T91,'18.05'!$AO$4:$AQ$55,2,FALSE))*IF('18.05'!$AK91="是",'18.05'!$BB$4,'18.05'!$BB$3))</f>
        <v>144</v>
      </c>
      <c r="M91" s="4">
        <f>IF(ISNUMBER(SEARCH("营",'18.05'!U91)),(-$Y91+50*IF('18.05'!$AK91="是",'18.05'!$BB$4,'18.05'!$BB$3)),(VLOOKUP('18.05'!U91,'18.05'!$AO$4:$AQ$55,2,FALSE))*IF('18.05'!$AK91="是",'18.05'!$BB$4,'18.05'!$BB$3))</f>
        <v>144</v>
      </c>
      <c r="N91" s="4">
        <f>IF(ISNUMBER(SEARCH("营",'18.05'!V91)),(-$Y91+50*IF('18.05'!$AK91="是",'18.05'!$BB$4,'18.05'!$BB$3)),(VLOOKUP('18.05'!V91,'18.05'!$AO$4:$AQ$55,2,FALSE))*IF('18.05'!$AK91="是",'18.05'!$BB$4,'18.05'!$BB$3))</f>
        <v>144</v>
      </c>
      <c r="O91" s="4">
        <f>IF(ISNUMBER(SEARCH("营",'18.05'!W91)),(-$Y91+50*IF('18.05'!$AK91="是",'18.05'!$BB$4,'18.05'!$BB$3)),(VLOOKUP('18.05'!W91,'18.05'!$AO$4:$AQ$55,2,FALSE))*IF('18.05'!$AK91="是",'18.05'!$BB$4,'18.05'!$BB$3))</f>
        <v>144</v>
      </c>
      <c r="P91" s="4">
        <f>IF(ISNUMBER(SEARCH("营",'18.05'!X91)),(-$Y91+50*IF('18.05'!$AK91="是",'18.05'!$BB$4,'18.05'!$BB$3)),(VLOOKUP('18.05'!X91,'18.05'!$AO$4:$AQ$55,2,FALSE))*IF('18.05'!$AK91="是",'18.05'!$BB$4,'18.05'!$BB$3))</f>
        <v>144</v>
      </c>
      <c r="Q91" s="4">
        <f>IF(ISNUMBER(SEARCH("营",'18.05'!Y91)),(-$Y91+50*IF('18.05'!$AK91="是",'18.05'!$BB$4,'18.05'!$BB$3)),(VLOOKUP('18.05'!Y91,'18.05'!$AO$4:$AQ$55,2,FALSE))*IF('18.05'!$AK91="是",'18.05'!$BB$4,'18.05'!$BB$3))</f>
        <v>0</v>
      </c>
      <c r="R91" s="4">
        <f>IF(ISNUMBER(SEARCH("营",'18.05'!Z91)),(-$Y91+50*IF('18.05'!$AK91="是",'18.05'!$BB$4,'18.05'!$BB$3)),(VLOOKUP('18.05'!Z91,'18.05'!$AO$4:$AQ$55,2,FALSE))*IF('18.05'!$AK91="是",'18.05'!$BB$4,'18.05'!$BB$3))</f>
        <v>0</v>
      </c>
      <c r="S91" s="4">
        <f>IF(ISNUMBER(SEARCH("营",'18.05'!AA91)),(-$Y91+50*IF('18.05'!$AK91="是",'18.05'!$BB$4,'18.05'!$BB$3)),(VLOOKUP('18.05'!AA91,'18.05'!$AO$4:$AQ$55,2,FALSE))*IF('18.05'!$AK91="是",'18.05'!$BB$4,'18.05'!$BB$3))</f>
        <v>0</v>
      </c>
      <c r="T91" s="4">
        <f>IF(ISNUMBER(SEARCH("营",'18.05'!AB91)),(-$Y91+50*IF('18.05'!$AK91="是",'18.05'!$BB$4,'18.05'!$BB$3)),(VLOOKUP('18.05'!AB91,'18.05'!$AO$4:$AQ$55,2,FALSE))*IF('18.05'!$AK91="是",'18.05'!$BB$4,'18.05'!$BB$3))</f>
        <v>0</v>
      </c>
      <c r="U91" s="4">
        <f>IF(ISNUMBER(SEARCH("营",'18.05'!AC91)),(-$Y91+50*IF('18.05'!$AK91="是",'18.05'!$BB$4,'18.05'!$BB$3)),(VLOOKUP('18.05'!AC91,'18.05'!$AO$4:$AQ$55,2,FALSE))*IF('18.05'!$AK91="是",'18.05'!$BB$4,'18.05'!$BB$3))</f>
        <v>0</v>
      </c>
      <c r="V91" s="4">
        <f>IF(ISNUMBER(SEARCH("营",'18.05'!AD91)),(-$Y91+50*IF('18.05'!$AK91="是",'18.05'!$BB$4,'18.05'!$BB$3)),(VLOOKUP('18.05'!AD91,'18.05'!$AO$4:$AQ$55,2,FALSE))*IF('18.05'!$AK91="是",'18.05'!$BB$4,'18.05'!$BB$3))</f>
        <v>0</v>
      </c>
      <c r="W91" s="4">
        <f>IF(ISNUMBER(SEARCH("营",'18.05'!AE91)),(-$Y91+50*IF('18.05'!$AK91="是",'18.05'!$BB$4,'18.05'!$BB$3)),(VLOOKUP('18.05'!AE91,'18.05'!$AO$4:$AQ$55,2,FALSE))*IF('18.05'!$AK91="是",'18.05'!$BB$4,'18.05'!$BB$3))</f>
        <v>0</v>
      </c>
      <c r="X91" s="4">
        <f>IF(ISNUMBER(SEARCH("营",'18.05'!AF91)),(-$Y91+50*IF('18.05'!$AK91="是",'18.05'!$BB$4,'18.05'!$BB$3)),(VLOOKUP('18.05'!AF91,'18.05'!$AO$4:$AQ$55,2,FALSE))*IF('18.05'!$AK91="是",'18.05'!$BB$4,'18.05'!$BB$3))</f>
        <v>0</v>
      </c>
      <c r="Y91" s="69">
        <v>100</v>
      </c>
      <c r="Z91" s="75">
        <v>45726</v>
      </c>
    </row>
    <row r="92" spans="1:26">
      <c r="A92" s="4">
        <f>IF(ISNUMBER(SEARCH("营",'18.05'!I92)),(-$Y92+50*IF('18.05'!$AK92="是",'18.05'!$BB$4,'18.05'!$BB$3)),(VLOOKUP('18.05'!I92,'18.05'!$AO$4:$AQ$55,2,FALSE))*IF('18.05'!$AK92="是",'18.05'!$BB$4,'18.05'!$BB$3))</f>
        <v>152</v>
      </c>
      <c r="B92" s="4">
        <f>IF(ISNUMBER(SEARCH("营",'18.05'!J92)),(-$Y92+50*IF('18.05'!$AK92="是",'18.05'!$BB$4,'18.05'!$BB$3)),(VLOOKUP('18.05'!J92,'18.05'!$AO$4:$AQ$55,2,FALSE))*IF('18.05'!$AK92="是",'18.05'!$BB$4,'18.05'!$BB$3))</f>
        <v>152</v>
      </c>
      <c r="C92" s="4">
        <f>IF(ISNUMBER(SEARCH("营",'18.05'!K92)),(-$Y92+50*IF('18.05'!$AK92="是",'18.05'!$BB$4,'18.05'!$BB$3)),(VLOOKUP('18.05'!K92,'18.05'!$AO$4:$AQ$55,2,FALSE))*IF('18.05'!$AK92="是",'18.05'!$BB$4,'18.05'!$BB$3))</f>
        <v>152</v>
      </c>
      <c r="D92" s="4">
        <f>IF(ISNUMBER(SEARCH("营",'18.05'!L92)),(-$Y92+50*IF('18.05'!$AK92="是",'18.05'!$BB$4,'18.05'!$BB$3)),(VLOOKUP('18.05'!L92,'18.05'!$AO$4:$AQ$55,2,FALSE))*IF('18.05'!$AK92="是",'18.05'!$BB$4,'18.05'!$BB$3))</f>
        <v>152</v>
      </c>
      <c r="E92" s="4">
        <f>IF(ISNUMBER(SEARCH("营",'18.05'!M92)),(-$Y92+50*IF('18.05'!$AK92="是",'18.05'!$BB$4,'18.05'!$BB$3)),(VLOOKUP('18.05'!M92,'18.05'!$AO$4:$AQ$55,2,FALSE))*IF('18.05'!$AK92="是",'18.05'!$BB$4,'18.05'!$BB$3))</f>
        <v>152</v>
      </c>
      <c r="F92" s="4">
        <f>IF(ISNUMBER(SEARCH("营",'18.05'!N92)),(-$Y92+50*IF('18.05'!$AK92="是",'18.05'!$BB$4,'18.05'!$BB$3)),(VLOOKUP('18.05'!N92,'18.05'!$AO$4:$AQ$55,2,FALSE))*IF('18.05'!$AK92="是",'18.05'!$BB$4,'18.05'!$BB$3))</f>
        <v>152</v>
      </c>
      <c r="G92" s="4">
        <f>IF(ISNUMBER(SEARCH("营",'18.05'!O92)),(-$Y92+50*IF('18.05'!$AK92="是",'18.05'!$BB$4,'18.05'!$BB$3)),(VLOOKUP('18.05'!O92,'18.05'!$AO$4:$AQ$55,2,FALSE))*IF('18.05'!$AK92="是",'18.05'!$BB$4,'18.05'!$BB$3))</f>
        <v>0</v>
      </c>
      <c r="H92" s="4">
        <f>IF(ISNUMBER(SEARCH("营",'18.05'!P92)),(-$Y92+50*IF('18.05'!$AK92="是",'18.05'!$BB$4,'18.05'!$BB$3)),(VLOOKUP('18.05'!P92,'18.05'!$AO$4:$AQ$55,2,FALSE))*IF('18.05'!$AK92="是",'18.05'!$BB$4,'18.05'!$BB$3))</f>
        <v>0</v>
      </c>
      <c r="I92" s="4">
        <f>IF(ISNUMBER(SEARCH("营",'18.05'!Q92)),(-$Y92+50*IF('18.05'!$AK92="是",'18.05'!$BB$4,'18.05'!$BB$3)),(VLOOKUP('18.05'!Q92,'18.05'!$AO$4:$AQ$55,2,FALSE))*IF('18.05'!$AK92="是",'18.05'!$BB$4,'18.05'!$BB$3))</f>
        <v>144</v>
      </c>
      <c r="J92" s="4">
        <f>IF(ISNUMBER(SEARCH("营",'18.05'!R92)),(-$Y92+50*IF('18.05'!$AK92="是",'18.05'!$BB$4,'18.05'!$BB$3)),(VLOOKUP('18.05'!R92,'18.05'!$AO$4:$AQ$55,2,FALSE))*IF('18.05'!$AK92="是",'18.05'!$BB$4,'18.05'!$BB$3))</f>
        <v>144</v>
      </c>
      <c r="K92" s="4">
        <f>IF(ISNUMBER(SEARCH("营",'18.05'!S92)),(-$Y92+50*IF('18.05'!$AK92="是",'18.05'!$BB$4,'18.05'!$BB$3)),(VLOOKUP('18.05'!S92,'18.05'!$AO$4:$AQ$55,2,FALSE))*IF('18.05'!$AK92="是",'18.05'!$BB$4,'18.05'!$BB$3))</f>
        <v>120</v>
      </c>
      <c r="L92" s="4">
        <f>IF(ISNUMBER(SEARCH("营",'18.05'!T92)),(-$Y92+50*IF('18.05'!$AK92="是",'18.05'!$BB$4,'18.05'!$BB$3)),(VLOOKUP('18.05'!T92,'18.05'!$AO$4:$AQ$55,2,FALSE))*IF('18.05'!$AK92="是",'18.05'!$BB$4,'18.05'!$BB$3))</f>
        <v>128</v>
      </c>
      <c r="M92" s="4">
        <f>IF(ISNUMBER(SEARCH("营",'18.05'!U92)),(-$Y92+50*IF('18.05'!$AK92="是",'18.05'!$BB$4,'18.05'!$BB$3)),(VLOOKUP('18.05'!U92,'18.05'!$AO$4:$AQ$55,2,FALSE))*IF('18.05'!$AK92="是",'18.05'!$BB$4,'18.05'!$BB$3))</f>
        <v>128</v>
      </c>
      <c r="N92" s="4">
        <f>IF(ISNUMBER(SEARCH("营",'18.05'!V92)),(-$Y92+50*IF('18.05'!$AK92="是",'18.05'!$BB$4,'18.05'!$BB$3)),(VLOOKUP('18.05'!V92,'18.05'!$AO$4:$AQ$55,2,FALSE))*IF('18.05'!$AK92="是",'18.05'!$BB$4,'18.05'!$BB$3))</f>
        <v>40</v>
      </c>
      <c r="O92" s="4">
        <f>IF(ISNUMBER(SEARCH("营",'18.05'!W92)),(-$Y92+50*IF('18.05'!$AK92="是",'18.05'!$BB$4,'18.05'!$BB$3)),(VLOOKUP('18.05'!W92,'18.05'!$AO$4:$AQ$55,2,FALSE))*IF('18.05'!$AK92="是",'18.05'!$BB$4,'18.05'!$BB$3))</f>
        <v>128</v>
      </c>
      <c r="P92" s="4">
        <f>IF(ISNUMBER(SEARCH("营",'18.05'!X92)),(-$Y92+50*IF('18.05'!$AK92="是",'18.05'!$BB$4,'18.05'!$BB$3)),(VLOOKUP('18.05'!X92,'18.05'!$AO$4:$AQ$55,2,FALSE))*IF('18.05'!$AK92="是",'18.05'!$BB$4,'18.05'!$BB$3))</f>
        <v>128</v>
      </c>
      <c r="Q92" s="4">
        <f>IF(ISNUMBER(SEARCH("营",'18.05'!Y92)),(-$Y92+50*IF('18.05'!$AK92="是",'18.05'!$BB$4,'18.05'!$BB$3)),(VLOOKUP('18.05'!Y92,'18.05'!$AO$4:$AQ$55,2,FALSE))*IF('18.05'!$AK92="是",'18.05'!$BB$4,'18.05'!$BB$3))</f>
        <v>0</v>
      </c>
      <c r="R92" s="4">
        <f>IF(ISNUMBER(SEARCH("营",'18.05'!Z92)),(-$Y92+50*IF('18.05'!$AK92="是",'18.05'!$BB$4,'18.05'!$BB$3)),(VLOOKUP('18.05'!Z92,'18.05'!$AO$4:$AQ$55,2,FALSE))*IF('18.05'!$AK92="是",'18.05'!$BB$4,'18.05'!$BB$3))</f>
        <v>0</v>
      </c>
      <c r="S92" s="4">
        <f>IF(ISNUMBER(SEARCH("营",'18.05'!AA92)),(-$Y92+50*IF('18.05'!$AK92="是",'18.05'!$BB$4,'18.05'!$BB$3)),(VLOOKUP('18.05'!AA92,'18.05'!$AO$4:$AQ$55,2,FALSE))*IF('18.05'!$AK92="是",'18.05'!$BB$4,'18.05'!$BB$3))</f>
        <v>0</v>
      </c>
      <c r="T92" s="4">
        <f>IF(ISNUMBER(SEARCH("营",'18.05'!AB92)),(-$Y92+50*IF('18.05'!$AK92="是",'18.05'!$BB$4,'18.05'!$BB$3)),(VLOOKUP('18.05'!AB92,'18.05'!$AO$4:$AQ$55,2,FALSE))*IF('18.05'!$AK92="是",'18.05'!$BB$4,'18.05'!$BB$3))</f>
        <v>0</v>
      </c>
      <c r="U92" s="4">
        <f>IF(ISNUMBER(SEARCH("营",'18.05'!AC92)),(-$Y92+50*IF('18.05'!$AK92="是",'18.05'!$BB$4,'18.05'!$BB$3)),(VLOOKUP('18.05'!AC92,'18.05'!$AO$4:$AQ$55,2,FALSE))*IF('18.05'!$AK92="是",'18.05'!$BB$4,'18.05'!$BB$3))</f>
        <v>0</v>
      </c>
      <c r="V92" s="4">
        <f>IF(ISNUMBER(SEARCH("营",'18.05'!AD92)),(-$Y92+50*IF('18.05'!$AK92="是",'18.05'!$BB$4,'18.05'!$BB$3)),(VLOOKUP('18.05'!AD92,'18.05'!$AO$4:$AQ$55,2,FALSE))*IF('18.05'!$AK92="是",'18.05'!$BB$4,'18.05'!$BB$3))</f>
        <v>0</v>
      </c>
      <c r="W92" s="4">
        <f>IF(ISNUMBER(SEARCH("营",'18.05'!AE92)),(-$Y92+50*IF('18.05'!$AK92="是",'18.05'!$BB$4,'18.05'!$BB$3)),(VLOOKUP('18.05'!AE92,'18.05'!$AO$4:$AQ$55,2,FALSE))*IF('18.05'!$AK92="是",'18.05'!$BB$4,'18.05'!$BB$3))</f>
        <v>0</v>
      </c>
      <c r="X92" s="4">
        <f>IF(ISNUMBER(SEARCH("营",'18.05'!AF92)),(-$Y92+50*IF('18.05'!$AK92="是",'18.05'!$BB$4,'18.05'!$BB$3)),(VLOOKUP('18.05'!AF92,'18.05'!$AO$4:$AQ$55,2,FALSE))*IF('18.05'!$AK92="是",'18.05'!$BB$4,'18.05'!$BB$3))</f>
        <v>0</v>
      </c>
      <c r="Y92" s="69">
        <v>100</v>
      </c>
      <c r="Z92" s="75">
        <v>45727</v>
      </c>
    </row>
    <row r="93" spans="1:26">
      <c r="A93" s="4">
        <f>IF(ISNUMBER(SEARCH("营",'18.05'!I93)),(-$Y93+50*IF('18.05'!$AK93="是",'18.05'!$BB$4,'18.05'!$BB$3)),(VLOOKUP('18.05'!I93,'18.05'!$AO$4:$AQ$55,2,FALSE))*IF('18.05'!$AK93="是",'18.05'!$BB$4,'18.05'!$BB$3))</f>
        <v>152</v>
      </c>
      <c r="B93" s="4">
        <f>IF(ISNUMBER(SEARCH("营",'18.05'!J93)),(-$Y93+50*IF('18.05'!$AK93="是",'18.05'!$BB$4,'18.05'!$BB$3)),(VLOOKUP('18.05'!J93,'18.05'!$AO$4:$AQ$55,2,FALSE))*IF('18.05'!$AK93="是",'18.05'!$BB$4,'18.05'!$BB$3))</f>
        <v>152</v>
      </c>
      <c r="C93" s="4">
        <f>IF(ISNUMBER(SEARCH("营",'18.05'!K93)),(-$Y93+50*IF('18.05'!$AK93="是",'18.05'!$BB$4,'18.05'!$BB$3)),(VLOOKUP('18.05'!K93,'18.05'!$AO$4:$AQ$55,2,FALSE))*IF('18.05'!$AK93="是",'18.05'!$BB$4,'18.05'!$BB$3))</f>
        <v>152</v>
      </c>
      <c r="D93" s="4">
        <f>IF(ISNUMBER(SEARCH("营",'18.05'!L93)),(-$Y93+50*IF('18.05'!$AK93="是",'18.05'!$BB$4,'18.05'!$BB$3)),(VLOOKUP('18.05'!L93,'18.05'!$AO$4:$AQ$55,2,FALSE))*IF('18.05'!$AK93="是",'18.05'!$BB$4,'18.05'!$BB$3))</f>
        <v>152</v>
      </c>
      <c r="E93" s="4">
        <f>IF(ISNUMBER(SEARCH("营",'18.05'!M93)),(-$Y93+50*IF('18.05'!$AK93="是",'18.05'!$BB$4,'18.05'!$BB$3)),(VLOOKUP('18.05'!M93,'18.05'!$AO$4:$AQ$55,2,FALSE))*IF('18.05'!$AK93="是",'18.05'!$BB$4,'18.05'!$BB$3))</f>
        <v>152</v>
      </c>
      <c r="F93" s="4">
        <f>IF(ISNUMBER(SEARCH("营",'18.05'!N93)),(-$Y93+50*IF('18.05'!$AK93="是",'18.05'!$BB$4,'18.05'!$BB$3)),(VLOOKUP('18.05'!N93,'18.05'!$AO$4:$AQ$55,2,FALSE))*IF('18.05'!$AK93="是",'18.05'!$BB$4,'18.05'!$BB$3))</f>
        <v>152</v>
      </c>
      <c r="G93" s="4">
        <f>IF(ISNUMBER(SEARCH("营",'18.05'!O93)),(-$Y93+50*IF('18.05'!$AK93="是",'18.05'!$BB$4,'18.05'!$BB$3)),(VLOOKUP('18.05'!O93,'18.05'!$AO$4:$AQ$55,2,FALSE))*IF('18.05'!$AK93="是",'18.05'!$BB$4,'18.05'!$BB$3))</f>
        <v>152</v>
      </c>
      <c r="H93" s="4">
        <f>IF(ISNUMBER(SEARCH("营",'18.05'!P93)),(-$Y93+50*IF('18.05'!$AK93="是",'18.05'!$BB$4,'18.05'!$BB$3)),(VLOOKUP('18.05'!P93,'18.05'!$AO$4:$AQ$55,2,FALSE))*IF('18.05'!$AK93="是",'18.05'!$BB$4,'18.05'!$BB$3))</f>
        <v>152</v>
      </c>
      <c r="I93" s="4">
        <f>IF(ISNUMBER(SEARCH("营",'18.05'!Q93)),(-$Y93+50*IF('18.05'!$AK93="是",'18.05'!$BB$4,'18.05'!$BB$3)),(VLOOKUP('18.05'!Q93,'18.05'!$AO$4:$AQ$55,2,FALSE))*IF('18.05'!$AK93="是",'18.05'!$BB$4,'18.05'!$BB$3))</f>
        <v>120</v>
      </c>
      <c r="J93" s="4">
        <f>IF(ISNUMBER(SEARCH("营",'18.05'!R93)),(-$Y93+50*IF('18.05'!$AK93="是",'18.05'!$BB$4,'18.05'!$BB$3)),(VLOOKUP('18.05'!R93,'18.05'!$AO$4:$AQ$55,2,FALSE))*IF('18.05'!$AK93="是",'18.05'!$BB$4,'18.05'!$BB$3))</f>
        <v>128</v>
      </c>
      <c r="K93" s="4">
        <f>IF(ISNUMBER(SEARCH("营",'18.05'!S93)),(-$Y93+50*IF('18.05'!$AK93="是",'18.05'!$BB$4,'18.05'!$BB$3)),(VLOOKUP('18.05'!S93,'18.05'!$AO$4:$AQ$55,2,FALSE))*IF('18.05'!$AK93="是",'18.05'!$BB$4,'18.05'!$BB$3))</f>
        <v>40</v>
      </c>
      <c r="L93" s="4">
        <f>IF(ISNUMBER(SEARCH("营",'18.05'!T93)),(-$Y93+50*IF('18.05'!$AK93="是",'18.05'!$BB$4,'18.05'!$BB$3)),(VLOOKUP('18.05'!T93,'18.05'!$AO$4:$AQ$55,2,FALSE))*IF('18.05'!$AK93="是",'18.05'!$BB$4,'18.05'!$BB$3))</f>
        <v>0</v>
      </c>
      <c r="M93" s="4">
        <f>IF(ISNUMBER(SEARCH("营",'18.05'!U93)),(-$Y93+50*IF('18.05'!$AK93="是",'18.05'!$BB$4,'18.05'!$BB$3)),(VLOOKUP('18.05'!U93,'18.05'!$AO$4:$AQ$55,2,FALSE))*IF('18.05'!$AK93="是",'18.05'!$BB$4,'18.05'!$BB$3))</f>
        <v>0</v>
      </c>
      <c r="N93" s="4">
        <f>IF(ISNUMBER(SEARCH("营",'18.05'!V93)),(-$Y93+50*IF('18.05'!$AK93="是",'18.05'!$BB$4,'18.05'!$BB$3)),(VLOOKUP('18.05'!V93,'18.05'!$AO$4:$AQ$55,2,FALSE))*IF('18.05'!$AK93="是",'18.05'!$BB$4,'18.05'!$BB$3))</f>
        <v>0</v>
      </c>
      <c r="O93" s="4">
        <f>IF(ISNUMBER(SEARCH("营",'18.05'!W93)),(-$Y93+50*IF('18.05'!$AK93="是",'18.05'!$BB$4,'18.05'!$BB$3)),(VLOOKUP('18.05'!W93,'18.05'!$AO$4:$AQ$55,2,FALSE))*IF('18.05'!$AK93="是",'18.05'!$BB$4,'18.05'!$BB$3))</f>
        <v>0</v>
      </c>
      <c r="P93" s="4">
        <f>IF(ISNUMBER(SEARCH("营",'18.05'!X93)),(-$Y93+50*IF('18.05'!$AK93="是",'18.05'!$BB$4,'18.05'!$BB$3)),(VLOOKUP('18.05'!X93,'18.05'!$AO$4:$AQ$55,2,FALSE))*IF('18.05'!$AK93="是",'18.05'!$BB$4,'18.05'!$BB$3))</f>
        <v>0</v>
      </c>
      <c r="Q93" s="4">
        <f>IF(ISNUMBER(SEARCH("营",'18.05'!Y93)),(-$Y93+50*IF('18.05'!$AK93="是",'18.05'!$BB$4,'18.05'!$BB$3)),(VLOOKUP('18.05'!Y93,'18.05'!$AO$4:$AQ$55,2,FALSE))*IF('18.05'!$AK93="是",'18.05'!$BB$4,'18.05'!$BB$3))</f>
        <v>0</v>
      </c>
      <c r="R93" s="4">
        <f>IF(ISNUMBER(SEARCH("营",'18.05'!Z93)),(-$Y93+50*IF('18.05'!$AK93="是",'18.05'!$BB$4,'18.05'!$BB$3)),(VLOOKUP('18.05'!Z93,'18.05'!$AO$4:$AQ$55,2,FALSE))*IF('18.05'!$AK93="是",'18.05'!$BB$4,'18.05'!$BB$3))</f>
        <v>0</v>
      </c>
      <c r="S93" s="4">
        <f>IF(ISNUMBER(SEARCH("营",'18.05'!AA93)),(-$Y93+50*IF('18.05'!$AK93="是",'18.05'!$BB$4,'18.05'!$BB$3)),(VLOOKUP('18.05'!AA93,'18.05'!$AO$4:$AQ$55,2,FALSE))*IF('18.05'!$AK93="是",'18.05'!$BB$4,'18.05'!$BB$3))</f>
        <v>0</v>
      </c>
      <c r="T93" s="4">
        <f>IF(ISNUMBER(SEARCH("营",'18.05'!AB93)),(-$Y93+50*IF('18.05'!$AK93="是",'18.05'!$BB$4,'18.05'!$BB$3)),(VLOOKUP('18.05'!AB93,'18.05'!$AO$4:$AQ$55,2,FALSE))*IF('18.05'!$AK93="是",'18.05'!$BB$4,'18.05'!$BB$3))</f>
        <v>0</v>
      </c>
      <c r="U93" s="4">
        <f>IF(ISNUMBER(SEARCH("营",'18.05'!AC93)),(-$Y93+50*IF('18.05'!$AK93="是",'18.05'!$BB$4,'18.05'!$BB$3)),(VLOOKUP('18.05'!AC93,'18.05'!$AO$4:$AQ$55,2,FALSE))*IF('18.05'!$AK93="是",'18.05'!$BB$4,'18.05'!$BB$3))</f>
        <v>0</v>
      </c>
      <c r="V93" s="4">
        <f>IF(ISNUMBER(SEARCH("营",'18.05'!AD93)),(-$Y93+50*IF('18.05'!$AK93="是",'18.05'!$BB$4,'18.05'!$BB$3)),(VLOOKUP('18.05'!AD93,'18.05'!$AO$4:$AQ$55,2,FALSE))*IF('18.05'!$AK93="是",'18.05'!$BB$4,'18.05'!$BB$3))</f>
        <v>0</v>
      </c>
      <c r="W93" s="4">
        <f>IF(ISNUMBER(SEARCH("营",'18.05'!AE93)),(-$Y93+50*IF('18.05'!$AK93="是",'18.05'!$BB$4,'18.05'!$BB$3)),(VLOOKUP('18.05'!AE93,'18.05'!$AO$4:$AQ$55,2,FALSE))*IF('18.05'!$AK93="是",'18.05'!$BB$4,'18.05'!$BB$3))</f>
        <v>0</v>
      </c>
      <c r="X93" s="4">
        <f>IF(ISNUMBER(SEARCH("营",'18.05'!AF93)),(-$Y93+50*IF('18.05'!$AK93="是",'18.05'!$BB$4,'18.05'!$BB$3)),(VLOOKUP('18.05'!AF93,'18.05'!$AO$4:$AQ$55,2,FALSE))*IF('18.05'!$AK93="是",'18.05'!$BB$4,'18.05'!$BB$3))</f>
        <v>0</v>
      </c>
      <c r="Y93" s="69">
        <v>100</v>
      </c>
      <c r="Z93" s="75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(VLOOKUP('18.05'!I4,'18.05'!$AO$4:$AQ$55,3,FALSE))</f>
        <v>35</v>
      </c>
      <c r="B4" s="4">
        <f>(VLOOKUP('18.05'!J4,'18.05'!$AO$4:$AQ$55,3,FALSE))</f>
        <v>35</v>
      </c>
      <c r="C4" s="4">
        <f>(VLOOKUP('18.05'!K4,'18.05'!$AO$4:$AQ$55,3,FALSE))</f>
        <v>35</v>
      </c>
      <c r="D4" s="4">
        <f>(VLOOKUP('18.05'!L4,'18.05'!$AO$4:$AQ$55,3,FALSE))</f>
        <v>35</v>
      </c>
      <c r="E4" s="4">
        <f>(VLOOKUP('18.05'!M4,'18.05'!$AO$4:$AQ$55,3,FALSE))</f>
        <v>35</v>
      </c>
      <c r="F4" s="4">
        <f>(VLOOKUP('18.05'!N4,'18.05'!$AO$4:$AQ$55,3,FALSE))</f>
        <v>0</v>
      </c>
      <c r="G4" s="5">
        <f>(VLOOKUP('18.05'!O4,'18.05'!$AO$4:$AQ$55,3,FALSE))</f>
        <v>0</v>
      </c>
      <c r="H4" s="5">
        <f>(VLOOKUP('18.05'!P4,'18.05'!$AO$4:$AQ$55,3,FALSE))</f>
        <v>0</v>
      </c>
      <c r="I4" s="4">
        <f>(VLOOKUP('18.05'!Q4,'18.05'!$AO$4:$AQ$55,3,FALSE))</f>
        <v>30</v>
      </c>
      <c r="J4" s="4">
        <f>(VLOOKUP('18.05'!R4,'18.05'!$AO$4:$AQ$55,3,FALSE))</f>
        <v>35</v>
      </c>
      <c r="K4" s="4">
        <f>(VLOOKUP('18.05'!S4,'18.05'!$AO$4:$AQ$55,3,FALSE))</f>
        <v>35</v>
      </c>
      <c r="L4" s="4">
        <f>(VLOOKUP('18.05'!T4,'18.05'!$AO$4:$AQ$55,3,FALSE))</f>
        <v>35</v>
      </c>
      <c r="M4" s="4">
        <f>(VLOOKUP('18.05'!U4,'18.05'!$AO$4:$AQ$55,3,FALSE))</f>
        <v>35</v>
      </c>
      <c r="N4" s="4">
        <f>(VLOOKUP('18.05'!V4,'18.05'!$AO$4:$AQ$55,3,FALSE))</f>
        <v>35</v>
      </c>
      <c r="O4" s="5">
        <f>(VLOOKUP('18.05'!W4,'18.05'!$AO$4:$AQ$55,3,FALSE))</f>
        <v>0</v>
      </c>
      <c r="P4" s="5">
        <f>(VLOOKUP('18.05'!X4,'18.05'!$AO$4:$AQ$55,3,FALSE))</f>
        <v>0</v>
      </c>
      <c r="Q4" s="4">
        <f>(VLOOKUP('18.05'!Y4,'18.05'!$AO$4:$AQ$55,3,FALSE))</f>
        <v>0</v>
      </c>
      <c r="R4" s="4">
        <f>(VLOOKUP('18.05'!Z4,'18.05'!$AO$4:$AQ$55,3,FALSE))</f>
        <v>0</v>
      </c>
      <c r="S4" s="4">
        <f>(VLOOKUP('18.05'!AA4,'18.05'!$AO$4:$AQ$55,3,FALSE))</f>
        <v>0</v>
      </c>
      <c r="T4" s="4">
        <f>(VLOOKUP('18.05'!AB4,'18.05'!$AO$4:$AQ$55,3,FALSE))</f>
        <v>0</v>
      </c>
      <c r="U4" s="4">
        <f>(VLOOKUP('18.05'!AC4,'18.05'!$AO$4:$AQ$55,3,FALSE))</f>
        <v>0</v>
      </c>
      <c r="V4" s="4">
        <f>(VLOOKUP('18.05'!AD4,'18.05'!$AO$4:$AQ$55,3,FALSE))</f>
        <v>0</v>
      </c>
      <c r="W4" s="5">
        <f>(VLOOKUP('18.05'!AE4,'18.05'!$AO$4:$AQ$55,3,FALSE))</f>
        <v>0</v>
      </c>
      <c r="X4" s="5">
        <f>(VLOOKUP('18.05'!AF4,'18.05'!$AO$4:$AQ$55,3,FALSE))</f>
        <v>0</v>
      </c>
    </row>
    <row r="5" spans="1:24">
      <c r="A5" s="4">
        <f>(VLOOKUP('18.05'!I5,'18.05'!$AO$4:$AQ$55,3,FALSE))</f>
        <v>0</v>
      </c>
      <c r="B5" s="4">
        <f>(VLOOKUP('18.05'!J5,'18.05'!$AO$4:$AQ$55,3,FALSE))</f>
        <v>0</v>
      </c>
      <c r="C5" s="4">
        <f>(VLOOKUP('18.05'!K5,'18.05'!$AO$4:$AQ$55,3,FALSE))</f>
        <v>0</v>
      </c>
      <c r="D5" s="4">
        <f>(VLOOKUP('18.05'!L5,'18.05'!$AO$4:$AQ$55,3,FALSE))</f>
        <v>0</v>
      </c>
      <c r="E5" s="4">
        <f>(VLOOKUP('18.05'!M5,'18.05'!$AO$4:$AQ$55,3,FALSE))</f>
        <v>0</v>
      </c>
      <c r="F5" s="4">
        <f>(VLOOKUP('18.05'!N5,'18.05'!$AO$4:$AQ$55,3,FALSE))</f>
        <v>0</v>
      </c>
      <c r="G5" s="5">
        <f>(VLOOKUP('18.05'!O5,'18.05'!$AO$4:$AQ$55,3,FALSE))</f>
        <v>0</v>
      </c>
      <c r="H5" s="5">
        <f>(VLOOKUP('18.05'!P5,'18.05'!$AO$4:$AQ$55,3,FALSE))</f>
        <v>0</v>
      </c>
      <c r="I5" s="4">
        <f>(VLOOKUP('18.05'!Q5,'18.05'!$AO$4:$AQ$55,3,FALSE))</f>
        <v>35</v>
      </c>
      <c r="J5" s="4">
        <f>(VLOOKUP('18.05'!R5,'18.05'!$AO$4:$AQ$55,3,FALSE))</f>
        <v>40</v>
      </c>
      <c r="K5" s="4">
        <f>(VLOOKUP('18.05'!S5,'18.05'!$AO$4:$AQ$55,3,FALSE))</f>
        <v>40</v>
      </c>
      <c r="L5" s="4">
        <f>(VLOOKUP('18.05'!T5,'18.05'!$AO$4:$AQ$55,3,FALSE))</f>
        <v>40</v>
      </c>
      <c r="M5" s="4">
        <f>(VLOOKUP('18.05'!U5,'18.05'!$AO$4:$AQ$55,3,FALSE))</f>
        <v>40</v>
      </c>
      <c r="N5" s="4">
        <f>(VLOOKUP('18.05'!V5,'18.05'!$AO$4:$AQ$55,3,FALSE))</f>
        <v>40</v>
      </c>
      <c r="O5" s="5">
        <f>(VLOOKUP('18.05'!W5,'18.05'!$AO$4:$AQ$55,3,FALSE))</f>
        <v>0</v>
      </c>
      <c r="P5" s="5">
        <f>(VLOOKUP('18.05'!X5,'18.05'!$AO$4:$AQ$55,3,FALSE))</f>
        <v>0</v>
      </c>
      <c r="Q5" s="4">
        <f>(VLOOKUP('18.05'!Y5,'18.05'!$AO$4:$AQ$55,3,FALSE))</f>
        <v>30</v>
      </c>
      <c r="R5" s="4">
        <f>(VLOOKUP('18.05'!Z5,'18.05'!$AO$4:$AQ$55,3,FALSE))</f>
        <v>35</v>
      </c>
      <c r="S5" s="4">
        <f>(VLOOKUP('18.05'!AA5,'18.05'!$AO$4:$AQ$55,3,FALSE))</f>
        <v>30</v>
      </c>
      <c r="T5" s="4">
        <f>(VLOOKUP('18.05'!AB5,'18.05'!$AO$4:$AQ$55,3,FALSE))</f>
        <v>40</v>
      </c>
      <c r="U5" s="4">
        <f>(VLOOKUP('18.05'!AC5,'18.05'!$AO$4:$AQ$55,3,FALSE))</f>
        <v>40</v>
      </c>
      <c r="V5" s="4">
        <f>(VLOOKUP('18.05'!AD5,'18.05'!$AO$4:$AQ$55,3,FALSE))</f>
        <v>40</v>
      </c>
      <c r="W5" s="5">
        <f>(VLOOKUP('18.05'!AE5,'18.05'!$AO$4:$AQ$55,3,FALSE))</f>
        <v>0</v>
      </c>
      <c r="X5" s="5">
        <f>(VLOOKUP('18.05'!AF5,'18.05'!$AO$4:$AQ$55,3,FALSE))</f>
        <v>40</v>
      </c>
    </row>
    <row r="6" spans="1:24">
      <c r="A6" s="4">
        <f>(VLOOKUP('18.05'!I6,'18.05'!$AO$4:$AQ$55,3,FALSE))</f>
        <v>0</v>
      </c>
      <c r="B6" s="4">
        <f>(VLOOKUP('18.05'!J6,'18.05'!$AO$4:$AQ$55,3,FALSE))</f>
        <v>0</v>
      </c>
      <c r="C6" s="4">
        <f>(VLOOKUP('18.05'!K6,'18.05'!$AO$4:$AQ$55,3,FALSE))</f>
        <v>0</v>
      </c>
      <c r="D6" s="4">
        <f>(VLOOKUP('18.05'!L6,'18.05'!$AO$4:$AQ$55,3,FALSE))</f>
        <v>0</v>
      </c>
      <c r="E6" s="4">
        <f>(VLOOKUP('18.05'!M6,'18.05'!$AO$4:$AQ$55,3,FALSE))</f>
        <v>0</v>
      </c>
      <c r="F6" s="4">
        <f>(VLOOKUP('18.05'!N6,'18.05'!$AO$4:$AQ$55,3,FALSE))</f>
        <v>0</v>
      </c>
      <c r="G6" s="5">
        <f>(VLOOKUP('18.05'!O6,'18.05'!$AO$4:$AQ$55,3,FALSE))</f>
        <v>0</v>
      </c>
      <c r="H6" s="5">
        <f>(VLOOKUP('18.05'!P6,'18.05'!$AO$4:$AQ$55,3,FALSE))</f>
        <v>0</v>
      </c>
      <c r="I6" s="4">
        <f>(VLOOKUP('18.05'!Q6,'18.05'!$AO$4:$AQ$55,3,FALSE))</f>
        <v>40</v>
      </c>
      <c r="J6" s="4">
        <f>(VLOOKUP('18.05'!R6,'18.05'!$AO$4:$AQ$55,3,FALSE))</f>
        <v>30</v>
      </c>
      <c r="K6" s="4">
        <f>(VLOOKUP('18.05'!S6,'18.05'!$AO$4:$AQ$55,3,FALSE))</f>
        <v>40</v>
      </c>
      <c r="L6" s="4">
        <f>(VLOOKUP('18.05'!T6,'18.05'!$AO$4:$AQ$55,3,FALSE))</f>
        <v>40</v>
      </c>
      <c r="M6" s="4">
        <f>(VLOOKUP('18.05'!U6,'18.05'!$AO$4:$AQ$55,3,FALSE))</f>
        <v>40</v>
      </c>
      <c r="N6" s="4">
        <f>(VLOOKUP('18.05'!V6,'18.05'!$AO$4:$AQ$55,3,FALSE))</f>
        <v>40</v>
      </c>
      <c r="O6" s="5">
        <f>(VLOOKUP('18.05'!W6,'18.05'!$AO$4:$AQ$55,3,FALSE))</f>
        <v>0</v>
      </c>
      <c r="P6" s="5">
        <f>(VLOOKUP('18.05'!X6,'18.05'!$AO$4:$AQ$55,3,FALSE))</f>
        <v>0</v>
      </c>
      <c r="Q6" s="4">
        <f>(VLOOKUP('18.05'!Y6,'18.05'!$AO$4:$AQ$55,3,FALSE))</f>
        <v>40</v>
      </c>
      <c r="R6" s="4">
        <f>(VLOOKUP('18.05'!Z6,'18.05'!$AO$4:$AQ$55,3,FALSE))</f>
        <v>40</v>
      </c>
      <c r="S6" s="4">
        <f>(VLOOKUP('18.05'!AA6,'18.05'!$AO$4:$AQ$55,3,FALSE))</f>
        <v>30</v>
      </c>
      <c r="T6" s="4">
        <f>(VLOOKUP('18.05'!AB6,'18.05'!$AO$4:$AQ$55,3,FALSE))</f>
        <v>40</v>
      </c>
      <c r="U6" s="4">
        <f>(VLOOKUP('18.05'!AC6,'18.05'!$AO$4:$AQ$55,3,FALSE))</f>
        <v>40</v>
      </c>
      <c r="V6" s="4">
        <f>(VLOOKUP('18.05'!AD6,'18.05'!$AO$4:$AQ$55,3,FALSE))</f>
        <v>40</v>
      </c>
      <c r="W6" s="5">
        <f>(VLOOKUP('18.05'!AE6,'18.05'!$AO$4:$AQ$55,3,FALSE))</f>
        <v>40</v>
      </c>
      <c r="X6" s="5">
        <f>(VLOOKUP('18.05'!AF6,'18.05'!$AO$4:$AQ$55,3,FALSE))</f>
        <v>40</v>
      </c>
    </row>
    <row r="7" spans="1:24">
      <c r="A7" s="4">
        <f>(VLOOKUP('18.05'!I7,'18.05'!$AO$4:$AQ$55,3,FALSE))</f>
        <v>0</v>
      </c>
      <c r="B7" s="4">
        <f>(VLOOKUP('18.05'!J7,'18.05'!$AO$4:$AQ$55,3,FALSE))</f>
        <v>0</v>
      </c>
      <c r="C7" s="4">
        <f>(VLOOKUP('18.05'!K7,'18.05'!$AO$4:$AQ$55,3,FALSE))</f>
        <v>0</v>
      </c>
      <c r="D7" s="4">
        <f>(VLOOKUP('18.05'!L7,'18.05'!$AO$4:$AQ$55,3,FALSE))</f>
        <v>0</v>
      </c>
      <c r="E7" s="4">
        <f>(VLOOKUP('18.05'!M7,'18.05'!$AO$4:$AQ$55,3,FALSE))</f>
        <v>0</v>
      </c>
      <c r="F7" s="4">
        <f>(VLOOKUP('18.05'!N7,'18.05'!$AO$4:$AQ$55,3,FALSE))</f>
        <v>0</v>
      </c>
      <c r="G7" s="5">
        <f>(VLOOKUP('18.05'!O7,'18.05'!$AO$4:$AQ$55,3,FALSE))</f>
        <v>0</v>
      </c>
      <c r="H7" s="5">
        <f>(VLOOKUP('18.05'!P7,'18.05'!$AO$4:$AQ$55,3,FALSE))</f>
        <v>0</v>
      </c>
      <c r="I7" s="4">
        <f>(VLOOKUP('18.05'!Q7,'18.05'!$AO$4:$AQ$55,3,FALSE))</f>
        <v>40</v>
      </c>
      <c r="J7" s="4">
        <f>(VLOOKUP('18.05'!R7,'18.05'!$AO$4:$AQ$55,3,FALSE))</f>
        <v>40</v>
      </c>
      <c r="K7" s="4">
        <f>(VLOOKUP('18.05'!S7,'18.05'!$AO$4:$AQ$55,3,FALSE))</f>
        <v>45</v>
      </c>
      <c r="L7" s="4">
        <f>(VLOOKUP('18.05'!T7,'18.05'!$AO$4:$AQ$55,3,FALSE))</f>
        <v>45</v>
      </c>
      <c r="M7" s="4">
        <f>(VLOOKUP('18.05'!U7,'18.05'!$AO$4:$AQ$55,3,FALSE))</f>
        <v>45</v>
      </c>
      <c r="N7" s="4">
        <f>(VLOOKUP('18.05'!V7,'18.05'!$AO$4:$AQ$55,3,FALSE))</f>
        <v>45</v>
      </c>
      <c r="O7" s="5">
        <f>(VLOOKUP('18.05'!W7,'18.05'!$AO$4:$AQ$55,3,FALSE))</f>
        <v>0</v>
      </c>
      <c r="P7" s="5">
        <f>(VLOOKUP('18.05'!X7,'18.05'!$AO$4:$AQ$55,3,FALSE))</f>
        <v>0</v>
      </c>
      <c r="Q7" s="4">
        <f>(VLOOKUP('18.05'!Y7,'18.05'!$AO$4:$AQ$55,3,FALSE))</f>
        <v>40</v>
      </c>
      <c r="R7" s="4">
        <f>(VLOOKUP('18.05'!Z7,'18.05'!$AO$4:$AQ$55,3,FALSE))</f>
        <v>40</v>
      </c>
      <c r="S7" s="4">
        <f>(VLOOKUP('18.05'!AA7,'18.05'!$AO$4:$AQ$55,3,FALSE))</f>
        <v>40</v>
      </c>
      <c r="T7" s="4">
        <f>(VLOOKUP('18.05'!AB7,'18.05'!$AO$4:$AQ$55,3,FALSE))</f>
        <v>40</v>
      </c>
      <c r="U7" s="4">
        <f>(VLOOKUP('18.05'!AC7,'18.05'!$AO$4:$AQ$55,3,FALSE))</f>
        <v>40</v>
      </c>
      <c r="V7" s="4">
        <f>(VLOOKUP('18.05'!AD7,'18.05'!$AO$4:$AQ$55,3,FALSE))</f>
        <v>40</v>
      </c>
      <c r="W7" s="5">
        <f>(VLOOKUP('18.05'!AE7,'18.05'!$AO$4:$AQ$55,3,FALSE))</f>
        <v>45</v>
      </c>
      <c r="X7" s="5">
        <f>(VLOOKUP('18.05'!AF7,'18.05'!$AO$4:$AQ$55,3,FALSE))</f>
        <v>45</v>
      </c>
    </row>
    <row r="8" spans="1:24">
      <c r="A8" s="4">
        <f>(VLOOKUP('18.05'!I8,'18.05'!$AO$4:$AQ$55,3,FALSE))</f>
        <v>0</v>
      </c>
      <c r="B8" s="4">
        <f>(VLOOKUP('18.05'!J8,'18.05'!$AO$4:$AQ$55,3,FALSE))</f>
        <v>0</v>
      </c>
      <c r="C8" s="4">
        <f>(VLOOKUP('18.05'!K8,'18.05'!$AO$4:$AQ$55,3,FALSE))</f>
        <v>0</v>
      </c>
      <c r="D8" s="4">
        <f>(VLOOKUP('18.05'!L8,'18.05'!$AO$4:$AQ$55,3,FALSE))</f>
        <v>0</v>
      </c>
      <c r="E8" s="4">
        <f>(VLOOKUP('18.05'!M8,'18.05'!$AO$4:$AQ$55,3,FALSE))</f>
        <v>0</v>
      </c>
      <c r="F8" s="4">
        <f>(VLOOKUP('18.05'!N8,'18.05'!$AO$4:$AQ$55,3,FALSE))</f>
        <v>0</v>
      </c>
      <c r="G8" s="5">
        <f>(VLOOKUP('18.05'!O8,'18.05'!$AO$4:$AQ$55,3,FALSE))</f>
        <v>0</v>
      </c>
      <c r="H8" s="5">
        <f>(VLOOKUP('18.05'!P8,'18.05'!$AO$4:$AQ$55,3,FALSE))</f>
        <v>0</v>
      </c>
      <c r="I8" s="4">
        <f>(VLOOKUP('18.05'!Q8,'18.05'!$AO$4:$AQ$55,3,FALSE))</f>
        <v>300</v>
      </c>
      <c r="J8" s="4">
        <f>(VLOOKUP('18.05'!R8,'18.05'!$AO$4:$AQ$55,3,FALSE))</f>
        <v>45</v>
      </c>
      <c r="K8" s="4">
        <f>(VLOOKUP('18.05'!S8,'18.05'!$AO$4:$AQ$55,3,FALSE))</f>
        <v>45</v>
      </c>
      <c r="L8" s="4">
        <f>(VLOOKUP('18.05'!T8,'18.05'!$AO$4:$AQ$55,3,FALSE))</f>
        <v>45</v>
      </c>
      <c r="M8" s="4">
        <f>(VLOOKUP('18.05'!U8,'18.05'!$AO$4:$AQ$55,3,FALSE))</f>
        <v>45</v>
      </c>
      <c r="N8" s="4">
        <f>(VLOOKUP('18.05'!V8,'18.05'!$AO$4:$AQ$55,3,FALSE))</f>
        <v>45</v>
      </c>
      <c r="O8" s="5">
        <f>(VLOOKUP('18.05'!W8,'18.05'!$AO$4:$AQ$55,3,FALSE))</f>
        <v>0</v>
      </c>
      <c r="P8" s="5">
        <f>(VLOOKUP('18.05'!X8,'18.05'!$AO$4:$AQ$55,3,FALSE))</f>
        <v>0</v>
      </c>
      <c r="Q8" s="4">
        <f>(VLOOKUP('18.05'!Y8,'18.05'!$AO$4:$AQ$55,3,FALSE))</f>
        <v>45</v>
      </c>
      <c r="R8" s="4">
        <f>(VLOOKUP('18.05'!Z8,'18.05'!$AO$4:$AQ$55,3,FALSE))</f>
        <v>300</v>
      </c>
      <c r="S8" s="4">
        <f>(VLOOKUP('18.05'!AA8,'18.05'!$AO$4:$AQ$55,3,FALSE))</f>
        <v>45</v>
      </c>
      <c r="T8" s="4">
        <f>(VLOOKUP('18.05'!AB8,'18.05'!$AO$4:$AQ$55,3,FALSE))</f>
        <v>45</v>
      </c>
      <c r="U8" s="4">
        <f>(VLOOKUP('18.05'!AC8,'18.05'!$AO$4:$AQ$55,3,FALSE))</f>
        <v>45</v>
      </c>
      <c r="V8" s="4">
        <f>(VLOOKUP('18.05'!AD8,'18.05'!$AO$4:$AQ$55,3,FALSE))</f>
        <v>45</v>
      </c>
      <c r="W8" s="5">
        <f>(VLOOKUP('18.05'!AE8,'18.05'!$AO$4:$AQ$55,3,FALSE))</f>
        <v>45</v>
      </c>
      <c r="X8" s="5">
        <f>(VLOOKUP('18.05'!AF8,'18.05'!$AO$4:$AQ$55,3,FALSE))</f>
        <v>45</v>
      </c>
    </row>
    <row r="9" spans="1:24">
      <c r="A9" s="4">
        <f>(VLOOKUP('18.05'!I9,'18.05'!$AO$4:$AQ$55,3,FALSE))</f>
        <v>0</v>
      </c>
      <c r="B9" s="4">
        <f>(VLOOKUP('18.05'!J9,'18.05'!$AO$4:$AQ$55,3,FALSE))</f>
        <v>0</v>
      </c>
      <c r="C9" s="4">
        <f>(VLOOKUP('18.05'!K9,'18.05'!$AO$4:$AQ$55,3,FALSE))</f>
        <v>0</v>
      </c>
      <c r="D9" s="4">
        <f>(VLOOKUP('18.05'!L9,'18.05'!$AO$4:$AQ$55,3,FALSE))</f>
        <v>0</v>
      </c>
      <c r="E9" s="4">
        <f>(VLOOKUP('18.05'!M9,'18.05'!$AO$4:$AQ$55,3,FALSE))</f>
        <v>0</v>
      </c>
      <c r="F9" s="4">
        <f>(VLOOKUP('18.05'!N9,'18.05'!$AO$4:$AQ$55,3,FALSE))</f>
        <v>0</v>
      </c>
      <c r="G9" s="5">
        <f>(VLOOKUP('18.05'!O9,'18.05'!$AO$4:$AQ$55,3,FALSE))</f>
        <v>0</v>
      </c>
      <c r="H9" s="5">
        <f>(VLOOKUP('18.05'!P9,'18.05'!$AO$4:$AQ$55,3,FALSE))</f>
        <v>0</v>
      </c>
      <c r="I9" s="4">
        <f>(VLOOKUP('18.05'!Q9,'18.05'!$AO$4:$AQ$55,3,FALSE))</f>
        <v>30</v>
      </c>
      <c r="J9" s="4">
        <f>(VLOOKUP('18.05'!R9,'18.05'!$AO$4:$AQ$55,3,FALSE))</f>
        <v>45</v>
      </c>
      <c r="K9" s="4">
        <f>(VLOOKUP('18.05'!S9,'18.05'!$AO$4:$AQ$55,3,FALSE))</f>
        <v>45</v>
      </c>
      <c r="L9" s="4">
        <f>(VLOOKUP('18.05'!T9,'18.05'!$AO$4:$AQ$55,3,FALSE))</f>
        <v>45</v>
      </c>
      <c r="M9" s="4">
        <f>(VLOOKUP('18.05'!U9,'18.05'!$AO$4:$AQ$55,3,FALSE))</f>
        <v>45</v>
      </c>
      <c r="N9" s="4">
        <f>(VLOOKUP('18.05'!V9,'18.05'!$AO$4:$AQ$55,3,FALSE))</f>
        <v>45</v>
      </c>
      <c r="O9" s="5">
        <f>(VLOOKUP('18.05'!W9,'18.05'!$AO$4:$AQ$55,3,FALSE))</f>
        <v>0</v>
      </c>
      <c r="P9" s="5">
        <f>(VLOOKUP('18.05'!X9,'18.05'!$AO$4:$AQ$55,3,FALSE))</f>
        <v>0</v>
      </c>
      <c r="Q9" s="4">
        <f>(VLOOKUP('18.05'!Y9,'18.05'!$AO$4:$AQ$55,3,FALSE))</f>
        <v>45</v>
      </c>
      <c r="R9" s="4">
        <f>(VLOOKUP('18.05'!Z9,'18.05'!$AO$4:$AQ$55,3,FALSE))</f>
        <v>45</v>
      </c>
      <c r="S9" s="4">
        <f>(VLOOKUP('18.05'!AA9,'18.05'!$AO$4:$AQ$55,3,FALSE))</f>
        <v>45</v>
      </c>
      <c r="T9" s="4">
        <f>(VLOOKUP('18.05'!AB9,'18.05'!$AO$4:$AQ$55,3,FALSE))</f>
        <v>45</v>
      </c>
      <c r="U9" s="4">
        <f>(VLOOKUP('18.05'!AC9,'18.05'!$AO$4:$AQ$55,3,FALSE))</f>
        <v>45</v>
      </c>
      <c r="V9" s="4">
        <f>(VLOOKUP('18.05'!AD9,'18.05'!$AO$4:$AQ$55,3,FALSE))</f>
        <v>45</v>
      </c>
      <c r="W9" s="5">
        <f>(VLOOKUP('18.05'!AE9,'18.05'!$AO$4:$AQ$55,3,FALSE))</f>
        <v>0</v>
      </c>
      <c r="X9" s="5">
        <f>(VLOOKUP('18.05'!AF9,'18.05'!$AO$4:$AQ$55,3,FALSE))</f>
        <v>0</v>
      </c>
    </row>
    <row r="10" spans="1:24">
      <c r="A10" s="4">
        <f>(VLOOKUP('18.05'!I10,'18.05'!$AO$4:$AQ$55,3,FALSE))</f>
        <v>0</v>
      </c>
      <c r="B10" s="4">
        <f>(VLOOKUP('18.05'!J10,'18.05'!$AO$4:$AQ$55,3,FALSE))</f>
        <v>0</v>
      </c>
      <c r="C10" s="4">
        <f>(VLOOKUP('18.05'!K10,'18.05'!$AO$4:$AQ$55,3,FALSE))</f>
        <v>0</v>
      </c>
      <c r="D10" s="4">
        <f>(VLOOKUP('18.05'!L10,'18.05'!$AO$4:$AQ$55,3,FALSE))</f>
        <v>0</v>
      </c>
      <c r="E10" s="4">
        <f>(VLOOKUP('18.05'!M10,'18.05'!$AO$4:$AQ$55,3,FALSE))</f>
        <v>0</v>
      </c>
      <c r="F10" s="4">
        <f>(VLOOKUP('18.05'!N10,'18.05'!$AO$4:$AQ$55,3,FALSE))</f>
        <v>0</v>
      </c>
      <c r="G10" s="5">
        <f>(VLOOKUP('18.05'!O10,'18.05'!$AO$4:$AQ$55,3,FALSE))</f>
        <v>0</v>
      </c>
      <c r="H10" s="5">
        <f>(VLOOKUP('18.05'!P10,'18.05'!$AO$4:$AQ$55,3,FALSE))</f>
        <v>0</v>
      </c>
      <c r="I10" s="4">
        <f>(VLOOKUP('18.05'!Q10,'18.05'!$AO$4:$AQ$55,3,FALSE))</f>
        <v>45</v>
      </c>
      <c r="J10" s="4">
        <f>(VLOOKUP('18.05'!R10,'18.05'!$AO$4:$AQ$55,3,FALSE))</f>
        <v>45</v>
      </c>
      <c r="K10" s="4">
        <f>(VLOOKUP('18.05'!S10,'18.05'!$AO$4:$AQ$55,3,FALSE))</f>
        <v>45</v>
      </c>
      <c r="L10" s="4">
        <f>(VLOOKUP('18.05'!T10,'18.05'!$AO$4:$AQ$55,3,FALSE))</f>
        <v>300</v>
      </c>
      <c r="M10" s="4">
        <f>(VLOOKUP('18.05'!U10,'18.05'!$AO$4:$AQ$55,3,FALSE))</f>
        <v>45</v>
      </c>
      <c r="N10" s="4">
        <f>(VLOOKUP('18.05'!V10,'18.05'!$AO$4:$AQ$55,3,FALSE))</f>
        <v>45</v>
      </c>
      <c r="O10" s="5">
        <f>(VLOOKUP('18.05'!W10,'18.05'!$AO$4:$AQ$55,3,FALSE))</f>
        <v>0</v>
      </c>
      <c r="P10" s="5">
        <f>(VLOOKUP('18.05'!X10,'18.05'!$AO$4:$AQ$55,3,FALSE))</f>
        <v>0</v>
      </c>
      <c r="Q10" s="4">
        <f>(VLOOKUP('18.05'!Y10,'18.05'!$AO$4:$AQ$55,3,FALSE))</f>
        <v>45</v>
      </c>
      <c r="R10" s="4">
        <f>(VLOOKUP('18.05'!Z10,'18.05'!$AO$4:$AQ$55,3,FALSE))</f>
        <v>45</v>
      </c>
      <c r="S10" s="4">
        <f>(VLOOKUP('18.05'!AA10,'18.05'!$AO$4:$AQ$55,3,FALSE))</f>
        <v>30</v>
      </c>
      <c r="T10" s="4">
        <f>(VLOOKUP('18.05'!AB10,'18.05'!$AO$4:$AQ$55,3,FALSE))</f>
        <v>45</v>
      </c>
      <c r="U10" s="4">
        <f>(VLOOKUP('18.05'!AC10,'18.05'!$AO$4:$AQ$55,3,FALSE))</f>
        <v>45</v>
      </c>
      <c r="V10" s="4">
        <f>(VLOOKUP('18.05'!AD10,'18.05'!$AO$4:$AQ$55,3,FALSE))</f>
        <v>50</v>
      </c>
      <c r="W10" s="5">
        <f>(VLOOKUP('18.05'!AE10,'18.05'!$AO$4:$AQ$55,3,FALSE))</f>
        <v>0</v>
      </c>
      <c r="X10" s="5">
        <f>(VLOOKUP('18.05'!AF10,'18.05'!$AO$4:$AQ$55,3,FALSE))</f>
        <v>0</v>
      </c>
    </row>
    <row r="11" spans="1:24">
      <c r="A11" s="4">
        <f>(VLOOKUP('18.05'!I11,'18.05'!$AO$4:$AQ$55,3,FALSE))</f>
        <v>0</v>
      </c>
      <c r="B11" s="4">
        <f>(VLOOKUP('18.05'!J11,'18.05'!$AO$4:$AQ$55,3,FALSE))</f>
        <v>0</v>
      </c>
      <c r="C11" s="4">
        <f>(VLOOKUP('18.05'!K11,'18.05'!$AO$4:$AQ$55,3,FALSE))</f>
        <v>0</v>
      </c>
      <c r="D11" s="4">
        <f>(VLOOKUP('18.05'!L11,'18.05'!$AO$4:$AQ$55,3,FALSE))</f>
        <v>0</v>
      </c>
      <c r="E11" s="4">
        <f>(VLOOKUP('18.05'!M11,'18.05'!$AO$4:$AQ$55,3,FALSE))</f>
        <v>0</v>
      </c>
      <c r="F11" s="4">
        <f>(VLOOKUP('18.05'!N11,'18.05'!$AO$4:$AQ$55,3,FALSE))</f>
        <v>0</v>
      </c>
      <c r="G11" s="5">
        <f>(VLOOKUP('18.05'!O11,'18.05'!$AO$4:$AQ$55,3,FALSE))</f>
        <v>0</v>
      </c>
      <c r="H11" s="5">
        <f>(VLOOKUP('18.05'!P11,'18.05'!$AO$4:$AQ$55,3,FALSE))</f>
        <v>0</v>
      </c>
      <c r="I11" s="4">
        <f>(VLOOKUP('18.05'!Q11,'18.05'!$AO$4:$AQ$55,3,FALSE))</f>
        <v>45</v>
      </c>
      <c r="J11" s="4">
        <f>(VLOOKUP('18.05'!R11,'18.05'!$AO$4:$AQ$55,3,FALSE))</f>
        <v>30</v>
      </c>
      <c r="K11" s="4">
        <f>(VLOOKUP('18.05'!S11,'18.05'!$AO$4:$AQ$55,3,FALSE))</f>
        <v>45</v>
      </c>
      <c r="L11" s="4">
        <f>(VLOOKUP('18.05'!T11,'18.05'!$AO$4:$AQ$55,3,FALSE))</f>
        <v>45</v>
      </c>
      <c r="M11" s="4">
        <f>(VLOOKUP('18.05'!U11,'18.05'!$AO$4:$AQ$55,3,FALSE))</f>
        <v>45</v>
      </c>
      <c r="N11" s="4">
        <f>(VLOOKUP('18.05'!V11,'18.05'!$AO$4:$AQ$55,3,FALSE))</f>
        <v>45</v>
      </c>
      <c r="O11" s="5">
        <f>(VLOOKUP('18.05'!W11,'18.05'!$AO$4:$AQ$55,3,FALSE))</f>
        <v>0</v>
      </c>
      <c r="P11" s="5">
        <f>(VLOOKUP('18.05'!X11,'18.05'!$AO$4:$AQ$55,3,FALSE))</f>
        <v>0</v>
      </c>
      <c r="Q11" s="4">
        <f>(VLOOKUP('18.05'!Y11,'18.05'!$AO$4:$AQ$55,3,FALSE))</f>
        <v>50</v>
      </c>
      <c r="R11" s="4">
        <f>(VLOOKUP('18.05'!Z11,'18.05'!$AO$4:$AQ$55,3,FALSE))</f>
        <v>45</v>
      </c>
      <c r="S11" s="4">
        <f>(VLOOKUP('18.05'!AA11,'18.05'!$AO$4:$AQ$55,3,FALSE))</f>
        <v>45</v>
      </c>
      <c r="T11" s="4">
        <f>(VLOOKUP('18.05'!AB11,'18.05'!$AO$4:$AQ$55,3,FALSE))</f>
        <v>45</v>
      </c>
      <c r="U11" s="4">
        <f>(VLOOKUP('18.05'!AC11,'18.05'!$AO$4:$AQ$55,3,FALSE))</f>
        <v>45</v>
      </c>
      <c r="V11" s="4">
        <f>(VLOOKUP('18.05'!AD11,'18.05'!$AO$4:$AQ$55,3,FALSE))</f>
        <v>45</v>
      </c>
      <c r="W11" s="5">
        <f>(VLOOKUP('18.05'!AE11,'18.05'!$AO$4:$AQ$55,3,FALSE))</f>
        <v>0</v>
      </c>
      <c r="X11" s="5">
        <f>(VLOOKUP('18.05'!AF11,'18.05'!$AO$4:$AQ$55,3,FALSE))</f>
        <v>0</v>
      </c>
    </row>
    <row r="12" spans="1:24">
      <c r="A12" s="4">
        <f>(VLOOKUP('18.05'!I12,'18.05'!$AO$4:$AQ$55,3,FALSE))</f>
        <v>40</v>
      </c>
      <c r="B12" s="4">
        <f>(VLOOKUP('18.05'!J12,'18.05'!$AO$4:$AQ$55,3,FALSE))</f>
        <v>40</v>
      </c>
      <c r="C12" s="4">
        <f>(VLOOKUP('18.05'!K12,'18.05'!$AO$4:$AQ$55,3,FALSE))</f>
        <v>40</v>
      </c>
      <c r="D12" s="4">
        <f>(VLOOKUP('18.05'!L12,'18.05'!$AO$4:$AQ$55,3,FALSE))</f>
        <v>30</v>
      </c>
      <c r="E12" s="4">
        <f>(VLOOKUP('18.05'!M12,'18.05'!$AO$4:$AQ$55,3,FALSE))</f>
        <v>40</v>
      </c>
      <c r="F12" s="4">
        <f>(VLOOKUP('18.05'!N12,'18.05'!$AO$4:$AQ$55,3,FALSE))</f>
        <v>40</v>
      </c>
      <c r="G12" s="5">
        <f>(VLOOKUP('18.05'!O12,'18.05'!$AO$4:$AQ$55,3,FALSE))</f>
        <v>40</v>
      </c>
      <c r="H12" s="5">
        <f>(VLOOKUP('18.05'!P12,'18.05'!$AO$4:$AQ$55,3,FALSE))</f>
        <v>0</v>
      </c>
      <c r="I12" s="4">
        <f>(VLOOKUP('18.05'!Q12,'18.05'!$AO$4:$AQ$55,3,FALSE))</f>
        <v>45</v>
      </c>
      <c r="J12" s="4">
        <f>(VLOOKUP('18.05'!R12,'18.05'!$AO$4:$AQ$55,3,FALSE))</f>
        <v>45</v>
      </c>
      <c r="K12" s="4">
        <f>(VLOOKUP('18.05'!S12,'18.05'!$AO$4:$AQ$55,3,FALSE))</f>
        <v>45</v>
      </c>
      <c r="L12" s="4">
        <f>(VLOOKUP('18.05'!T12,'18.05'!$AO$4:$AQ$55,3,FALSE))</f>
        <v>45</v>
      </c>
      <c r="M12" s="4">
        <f>(VLOOKUP('18.05'!U12,'18.05'!$AO$4:$AQ$55,3,FALSE))</f>
        <v>45</v>
      </c>
      <c r="N12" s="4">
        <f>(VLOOKUP('18.05'!V12,'18.05'!$AO$4:$AQ$55,3,FALSE))</f>
        <v>45</v>
      </c>
      <c r="O12" s="5">
        <f>(VLOOKUP('18.05'!W12,'18.05'!$AO$4:$AQ$55,3,FALSE))</f>
        <v>0</v>
      </c>
      <c r="P12" s="5">
        <f>(VLOOKUP('18.05'!X12,'18.05'!$AO$4:$AQ$55,3,FALSE))</f>
        <v>0</v>
      </c>
      <c r="Q12" s="4">
        <f>(VLOOKUP('18.05'!Y12,'18.05'!$AO$4:$AQ$55,3,FALSE))</f>
        <v>45</v>
      </c>
      <c r="R12" s="4">
        <f>(VLOOKUP('18.05'!Z12,'18.05'!$AO$4:$AQ$55,3,FALSE))</f>
        <v>45</v>
      </c>
      <c r="S12" s="4">
        <f>(VLOOKUP('18.05'!AA12,'18.05'!$AO$4:$AQ$55,3,FALSE))</f>
        <v>50</v>
      </c>
      <c r="T12" s="4">
        <f>(VLOOKUP('18.05'!AB12,'18.05'!$AO$4:$AQ$55,3,FALSE))</f>
        <v>50</v>
      </c>
      <c r="U12" s="4">
        <f>(VLOOKUP('18.05'!AC12,'18.05'!$AO$4:$AQ$55,3,FALSE))</f>
        <v>0</v>
      </c>
      <c r="V12" s="4">
        <f>(VLOOKUP('18.05'!AD12,'18.05'!$AO$4:$AQ$55,3,FALSE))</f>
        <v>50</v>
      </c>
      <c r="W12" s="5">
        <f>(VLOOKUP('18.05'!AE12,'18.05'!$AO$4:$AQ$55,3,FALSE))</f>
        <v>60</v>
      </c>
      <c r="X12" s="5">
        <f>(VLOOKUP('18.05'!AF12,'18.05'!$AO$4:$AQ$55,3,FALSE))</f>
        <v>60</v>
      </c>
    </row>
    <row r="13" spans="1:24">
      <c r="A13" s="4">
        <f>(VLOOKUP('18.05'!I13,'18.05'!$AO$4:$AQ$55,3,FALSE))</f>
        <v>40</v>
      </c>
      <c r="B13" s="4">
        <f>(VLOOKUP('18.05'!J13,'18.05'!$AO$4:$AQ$55,3,FALSE))</f>
        <v>0</v>
      </c>
      <c r="C13" s="4">
        <f>(VLOOKUP('18.05'!K13,'18.05'!$AO$4:$AQ$55,3,FALSE))</f>
        <v>40</v>
      </c>
      <c r="D13" s="4">
        <f>(VLOOKUP('18.05'!L13,'18.05'!$AO$4:$AQ$55,3,FALSE))</f>
        <v>40</v>
      </c>
      <c r="E13" s="4">
        <f>(VLOOKUP('18.05'!M13,'18.05'!$AO$4:$AQ$55,3,FALSE))</f>
        <v>40</v>
      </c>
      <c r="F13" s="4">
        <f>(VLOOKUP('18.05'!N13,'18.05'!$AO$4:$AQ$55,3,FALSE))</f>
        <v>30</v>
      </c>
      <c r="G13" s="5">
        <f>(VLOOKUP('18.05'!O13,'18.05'!$AO$4:$AQ$55,3,FALSE))</f>
        <v>45</v>
      </c>
      <c r="H13" s="5">
        <f>(VLOOKUP('18.05'!P13,'18.05'!$AO$4:$AQ$55,3,FALSE))</f>
        <v>45</v>
      </c>
      <c r="I13" s="4">
        <f>(VLOOKUP('18.05'!Q13,'18.05'!$AO$4:$AQ$55,3,FALSE))</f>
        <v>45</v>
      </c>
      <c r="J13" s="4">
        <f>(VLOOKUP('18.05'!R13,'18.05'!$AO$4:$AQ$55,3,FALSE))</f>
        <v>45</v>
      </c>
      <c r="K13" s="4">
        <f>(VLOOKUP('18.05'!S13,'18.05'!$AO$4:$AQ$55,3,FALSE))</f>
        <v>0</v>
      </c>
      <c r="L13" s="4">
        <f>(VLOOKUP('18.05'!T13,'18.05'!$AO$4:$AQ$55,3,FALSE))</f>
        <v>45</v>
      </c>
      <c r="M13" s="4">
        <f>(VLOOKUP('18.05'!U13,'18.05'!$AO$4:$AQ$55,3,FALSE))</f>
        <v>45</v>
      </c>
      <c r="N13" s="4">
        <f>(VLOOKUP('18.05'!V13,'18.05'!$AO$4:$AQ$55,3,FALSE))</f>
        <v>30</v>
      </c>
      <c r="O13" s="5">
        <f>(VLOOKUP('18.05'!W13,'18.05'!$AO$4:$AQ$55,3,FALSE))</f>
        <v>45</v>
      </c>
      <c r="P13" s="5">
        <f>(VLOOKUP('18.05'!X13,'18.05'!$AO$4:$AQ$55,3,FALSE))</f>
        <v>0</v>
      </c>
      <c r="Q13" s="4">
        <f>(VLOOKUP('18.05'!Y13,'18.05'!$AO$4:$AQ$55,3,FALSE))</f>
        <v>0</v>
      </c>
      <c r="R13" s="4">
        <f>(VLOOKUP('18.05'!Z13,'18.05'!$AO$4:$AQ$55,3,FALSE))</f>
        <v>60</v>
      </c>
      <c r="S13" s="4">
        <f>(VLOOKUP('18.05'!AA13,'18.05'!$AO$4:$AQ$55,3,FALSE))</f>
        <v>60</v>
      </c>
      <c r="T13" s="4">
        <f>(VLOOKUP('18.05'!AB13,'18.05'!$AO$4:$AQ$55,3,FALSE))</f>
        <v>60</v>
      </c>
      <c r="U13" s="4">
        <f>(VLOOKUP('18.05'!AC13,'18.05'!$AO$4:$AQ$55,3,FALSE))</f>
        <v>60</v>
      </c>
      <c r="V13" s="4">
        <f>(VLOOKUP('18.05'!AD13,'18.05'!$AO$4:$AQ$55,3,FALSE))</f>
        <v>60</v>
      </c>
      <c r="W13" s="5">
        <f>(VLOOKUP('18.05'!AE13,'18.05'!$AO$4:$AQ$55,3,FALSE))</f>
        <v>60</v>
      </c>
      <c r="X13" s="5">
        <f>(VLOOKUP('18.05'!AF13,'18.05'!$AO$4:$AQ$55,3,FALSE))</f>
        <v>1000</v>
      </c>
    </row>
    <row r="14" spans="1:24">
      <c r="A14" s="4">
        <f>(VLOOKUP('18.05'!I14,'18.05'!$AO$4:$AQ$55,3,FALSE))</f>
        <v>50</v>
      </c>
      <c r="B14" s="4">
        <f>(VLOOKUP('18.05'!J14,'18.05'!$AO$4:$AQ$55,3,FALSE))</f>
        <v>0</v>
      </c>
      <c r="C14" s="4">
        <f>(VLOOKUP('18.05'!K14,'18.05'!$AO$4:$AQ$55,3,FALSE))</f>
        <v>50</v>
      </c>
      <c r="D14" s="4">
        <f>(VLOOKUP('18.05'!L14,'18.05'!$AO$4:$AQ$55,3,FALSE))</f>
        <v>50</v>
      </c>
      <c r="E14" s="4">
        <f>(VLOOKUP('18.05'!M14,'18.05'!$AO$4:$AQ$55,3,FALSE))</f>
        <v>50</v>
      </c>
      <c r="F14" s="4">
        <f>(VLOOKUP('18.05'!N14,'18.05'!$AO$4:$AQ$55,3,FALSE))</f>
        <v>50</v>
      </c>
      <c r="G14" s="5">
        <f>(VLOOKUP('18.05'!O14,'18.05'!$AO$4:$AQ$55,3,FALSE))</f>
        <v>50</v>
      </c>
      <c r="H14" s="5">
        <f>(VLOOKUP('18.05'!P14,'18.05'!$AO$4:$AQ$55,3,FALSE))</f>
        <v>50</v>
      </c>
      <c r="I14" s="4">
        <f>(VLOOKUP('18.05'!Q14,'18.05'!$AO$4:$AQ$55,3,FALSE))</f>
        <v>0</v>
      </c>
      <c r="J14" s="4">
        <f>(VLOOKUP('18.05'!R14,'18.05'!$AO$4:$AQ$55,3,FALSE))</f>
        <v>0</v>
      </c>
      <c r="K14" s="4">
        <f>(VLOOKUP('18.05'!S14,'18.05'!$AO$4:$AQ$55,3,FALSE))</f>
        <v>0</v>
      </c>
      <c r="L14" s="4">
        <f>(VLOOKUP('18.05'!T14,'18.05'!$AO$4:$AQ$55,3,FALSE))</f>
        <v>0</v>
      </c>
      <c r="M14" s="4">
        <f>(VLOOKUP('18.05'!U14,'18.05'!$AO$4:$AQ$55,3,FALSE))</f>
        <v>0</v>
      </c>
      <c r="N14" s="4">
        <f>(VLOOKUP('18.05'!V14,'18.05'!$AO$4:$AQ$55,3,FALSE))</f>
        <v>0</v>
      </c>
      <c r="O14" s="5">
        <f>(VLOOKUP('18.05'!W14,'18.05'!$AO$4:$AQ$55,3,FALSE))</f>
        <v>0</v>
      </c>
      <c r="P14" s="5">
        <f>(VLOOKUP('18.05'!X14,'18.05'!$AO$4:$AQ$55,3,FALSE))</f>
        <v>0</v>
      </c>
      <c r="Q14" s="4">
        <f>(VLOOKUP('18.05'!Y14,'18.05'!$AO$4:$AQ$55,3,FALSE))</f>
        <v>60</v>
      </c>
      <c r="R14" s="4">
        <f>(VLOOKUP('18.05'!Z14,'18.05'!$AO$4:$AQ$55,3,FALSE))</f>
        <v>60</v>
      </c>
      <c r="S14" s="4">
        <f>(VLOOKUP('18.05'!AA14,'18.05'!$AO$4:$AQ$55,3,FALSE))</f>
        <v>50</v>
      </c>
      <c r="T14" s="4">
        <f>(VLOOKUP('18.05'!AB14,'18.05'!$AO$4:$AQ$55,3,FALSE))</f>
        <v>50</v>
      </c>
      <c r="U14" s="4">
        <f>(VLOOKUP('18.05'!AC14,'18.05'!$AO$4:$AQ$55,3,FALSE))</f>
        <v>50</v>
      </c>
      <c r="V14" s="4">
        <f>(VLOOKUP('18.05'!AD14,'18.05'!$AO$4:$AQ$55,3,FALSE))</f>
        <v>50</v>
      </c>
      <c r="W14" s="5">
        <f>(VLOOKUP('18.05'!AE14,'18.05'!$AO$4:$AQ$55,3,FALSE))</f>
        <v>0</v>
      </c>
      <c r="X14" s="5">
        <f>(VLOOKUP('18.05'!AF14,'18.05'!$AO$4:$AQ$55,3,FALSE))</f>
        <v>0</v>
      </c>
    </row>
    <row r="15" spans="1:24">
      <c r="A15" s="4">
        <f>(VLOOKUP('18.05'!I15,'18.05'!$AO$4:$AQ$55,3,FALSE))</f>
        <v>50</v>
      </c>
      <c r="B15" s="4">
        <f>(VLOOKUP('18.05'!J15,'18.05'!$AO$4:$AQ$55,3,FALSE))</f>
        <v>50</v>
      </c>
      <c r="C15" s="4">
        <f>(VLOOKUP('18.05'!K15,'18.05'!$AO$4:$AQ$55,3,FALSE))</f>
        <v>60</v>
      </c>
      <c r="D15" s="4">
        <f>(VLOOKUP('18.05'!L15,'18.05'!$AO$4:$AQ$55,3,FALSE))</f>
        <v>60</v>
      </c>
      <c r="E15" s="4">
        <f>(VLOOKUP('18.05'!M15,'18.05'!$AO$4:$AQ$55,3,FALSE))</f>
        <v>0</v>
      </c>
      <c r="F15" s="4">
        <f>(VLOOKUP('18.05'!N15,'18.05'!$AO$4:$AQ$55,3,FALSE))</f>
        <v>0</v>
      </c>
      <c r="G15" s="5">
        <f>(VLOOKUP('18.05'!O15,'18.05'!$AO$4:$AQ$55,3,FALSE))</f>
        <v>0</v>
      </c>
      <c r="H15" s="5">
        <f>(VLOOKUP('18.05'!P15,'18.05'!$AO$4:$AQ$55,3,FALSE))</f>
        <v>0</v>
      </c>
      <c r="I15" s="4">
        <f>(VLOOKUP('18.05'!Q15,'18.05'!$AO$4:$AQ$55,3,FALSE))</f>
        <v>0</v>
      </c>
      <c r="J15" s="4">
        <f>(VLOOKUP('18.05'!R15,'18.05'!$AO$4:$AQ$55,3,FALSE))</f>
        <v>0</v>
      </c>
      <c r="K15" s="4">
        <f>(VLOOKUP('18.05'!S15,'18.05'!$AO$4:$AQ$55,3,FALSE))</f>
        <v>0</v>
      </c>
      <c r="L15" s="4">
        <f>(VLOOKUP('18.05'!T15,'18.05'!$AO$4:$AQ$55,3,FALSE))</f>
        <v>0</v>
      </c>
      <c r="M15" s="4">
        <f>(VLOOKUP('18.05'!U15,'18.05'!$AO$4:$AQ$55,3,FALSE))</f>
        <v>0</v>
      </c>
      <c r="N15" s="4">
        <f>(VLOOKUP('18.05'!V15,'18.05'!$AO$4:$AQ$55,3,FALSE))</f>
        <v>0</v>
      </c>
      <c r="O15" s="5">
        <f>(VLOOKUP('18.05'!W15,'18.05'!$AO$4:$AQ$55,3,FALSE))</f>
        <v>0</v>
      </c>
      <c r="P15" s="5">
        <f>(VLOOKUP('18.05'!X15,'18.05'!$AO$4:$AQ$55,3,FALSE))</f>
        <v>0</v>
      </c>
      <c r="Q15" s="4">
        <f>(VLOOKUP('18.05'!Y15,'18.05'!$AO$4:$AQ$55,3,FALSE))</f>
        <v>50</v>
      </c>
      <c r="R15" s="4">
        <f>(VLOOKUP('18.05'!Z15,'18.05'!$AO$4:$AQ$55,3,FALSE))</f>
        <v>50</v>
      </c>
      <c r="S15" s="4">
        <f>(VLOOKUP('18.05'!AA15,'18.05'!$AO$4:$AQ$55,3,FALSE))</f>
        <v>50</v>
      </c>
      <c r="T15" s="4">
        <f>(VLOOKUP('18.05'!AB15,'18.05'!$AO$4:$AQ$55,3,FALSE))</f>
        <v>50</v>
      </c>
      <c r="U15" s="4">
        <f>(VLOOKUP('18.05'!AC15,'18.05'!$AO$4:$AQ$55,3,FALSE))</f>
        <v>50</v>
      </c>
      <c r="V15" s="4">
        <f>(VLOOKUP('18.05'!AD15,'18.05'!$AO$4:$AQ$55,3,FALSE))</f>
        <v>30</v>
      </c>
      <c r="W15" s="5">
        <f>(VLOOKUP('18.05'!AE15,'18.05'!$AO$4:$AQ$55,3,FALSE))</f>
        <v>0</v>
      </c>
      <c r="X15" s="5">
        <f>(VLOOKUP('18.05'!AF15,'18.05'!$AO$4:$AQ$55,3,FALSE))</f>
        <v>0</v>
      </c>
    </row>
    <row r="16" spans="1:24">
      <c r="A16" s="4">
        <f>(VLOOKUP('18.05'!I16,'18.05'!$AO$4:$AQ$55,3,FALSE))</f>
        <v>60</v>
      </c>
      <c r="B16" s="4">
        <f>(VLOOKUP('18.05'!J16,'18.05'!$AO$4:$AQ$55,3,FALSE))</f>
        <v>60</v>
      </c>
      <c r="C16" s="4">
        <f>(VLOOKUP('18.05'!K16,'18.05'!$AO$4:$AQ$55,3,FALSE))</f>
        <v>60</v>
      </c>
      <c r="D16" s="4">
        <f>(VLOOKUP('18.05'!L16,'18.05'!$AO$4:$AQ$55,3,FALSE))</f>
        <v>60</v>
      </c>
      <c r="E16" s="4">
        <f>(VLOOKUP('18.05'!M16,'18.05'!$AO$4:$AQ$55,3,FALSE))</f>
        <v>60</v>
      </c>
      <c r="F16" s="4">
        <f>(VLOOKUP('18.05'!N16,'18.05'!$AO$4:$AQ$55,3,FALSE))</f>
        <v>0</v>
      </c>
      <c r="G16" s="5">
        <f>(VLOOKUP('18.05'!O16,'18.05'!$AO$4:$AQ$55,3,FALSE))</f>
        <v>0</v>
      </c>
      <c r="H16" s="5">
        <f>(VLOOKUP('18.05'!P16,'18.05'!$AO$4:$AQ$55,3,FALSE))</f>
        <v>0</v>
      </c>
      <c r="I16" s="4">
        <f>(VLOOKUP('18.05'!Q16,'18.05'!$AO$4:$AQ$55,3,FALSE))</f>
        <v>45</v>
      </c>
      <c r="J16" s="4">
        <f>(VLOOKUP('18.05'!R16,'18.05'!$AO$4:$AQ$55,3,FALSE))</f>
        <v>45</v>
      </c>
      <c r="K16" s="4">
        <f>(VLOOKUP('18.05'!S16,'18.05'!$AO$4:$AQ$55,3,FALSE))</f>
        <v>45</v>
      </c>
      <c r="L16" s="4">
        <f>(VLOOKUP('18.05'!T16,'18.05'!$AO$4:$AQ$55,3,FALSE))</f>
        <v>45</v>
      </c>
      <c r="M16" s="4">
        <f>(VLOOKUP('18.05'!U16,'18.05'!$AO$4:$AQ$55,3,FALSE))</f>
        <v>45</v>
      </c>
      <c r="N16" s="4">
        <f>(VLOOKUP('18.05'!V16,'18.05'!$AO$4:$AQ$55,3,FALSE))</f>
        <v>45</v>
      </c>
      <c r="O16" s="5">
        <f>(VLOOKUP('18.05'!W16,'18.05'!$AO$4:$AQ$55,3,FALSE))</f>
        <v>0</v>
      </c>
      <c r="P16" s="5">
        <f>(VLOOKUP('18.05'!X16,'18.05'!$AO$4:$AQ$55,3,FALSE))</f>
        <v>0</v>
      </c>
      <c r="Q16" s="4">
        <f>(VLOOKUP('18.05'!Y16,'18.05'!$AO$4:$AQ$55,3,FALSE))</f>
        <v>55</v>
      </c>
      <c r="R16" s="4">
        <f>(VLOOKUP('18.05'!Z16,'18.05'!$AO$4:$AQ$55,3,FALSE))</f>
        <v>55</v>
      </c>
      <c r="S16" s="4">
        <f>(VLOOKUP('18.05'!AA16,'18.05'!$AO$4:$AQ$55,3,FALSE))</f>
        <v>55</v>
      </c>
      <c r="T16" s="4">
        <f>(VLOOKUP('18.05'!AB16,'18.05'!$AO$4:$AQ$55,3,FALSE))</f>
        <v>55</v>
      </c>
      <c r="U16" s="4">
        <f>(VLOOKUP('18.05'!AC16,'18.05'!$AO$4:$AQ$55,3,FALSE))</f>
        <v>55</v>
      </c>
      <c r="V16" s="4">
        <f>(VLOOKUP('18.05'!AD16,'18.05'!$AO$4:$AQ$55,3,FALSE))</f>
        <v>55</v>
      </c>
      <c r="W16" s="5">
        <f>(VLOOKUP('18.05'!AE16,'18.05'!$AO$4:$AQ$55,3,FALSE))</f>
        <v>0</v>
      </c>
      <c r="X16" s="5">
        <f>(VLOOKUP('18.05'!AF16,'18.05'!$AO$4:$AQ$55,3,FALSE))</f>
        <v>0</v>
      </c>
    </row>
    <row r="17" spans="1:24">
      <c r="A17" s="4">
        <f>(VLOOKUP('18.05'!I17,'18.05'!$AO$4:$AQ$55,3,FALSE))</f>
        <v>60</v>
      </c>
      <c r="B17" s="4">
        <f>(VLOOKUP('18.05'!J17,'18.05'!$AO$4:$AQ$55,3,FALSE))</f>
        <v>60</v>
      </c>
      <c r="C17" s="4">
        <f>(VLOOKUP('18.05'!K17,'18.05'!$AO$4:$AQ$55,3,FALSE))</f>
        <v>60</v>
      </c>
      <c r="D17" s="4">
        <f>(VLOOKUP('18.05'!L17,'18.05'!$AO$4:$AQ$55,3,FALSE))</f>
        <v>60</v>
      </c>
      <c r="E17" s="4">
        <f>(VLOOKUP('18.05'!M17,'18.05'!$AO$4:$AQ$55,3,FALSE))</f>
        <v>60</v>
      </c>
      <c r="F17" s="4">
        <f>(VLOOKUP('18.05'!N17,'18.05'!$AO$4:$AQ$55,3,FALSE))</f>
        <v>60</v>
      </c>
      <c r="G17" s="5">
        <f>(VLOOKUP('18.05'!O17,'18.05'!$AO$4:$AQ$55,3,FALSE))</f>
        <v>60</v>
      </c>
      <c r="H17" s="5">
        <f>(VLOOKUP('18.05'!P17,'18.05'!$AO$4:$AQ$55,3,FALSE))</f>
        <v>0</v>
      </c>
      <c r="I17" s="4">
        <f>(VLOOKUP('18.05'!Q17,'18.05'!$AO$4:$AQ$55,3,FALSE))</f>
        <v>45</v>
      </c>
      <c r="J17" s="4">
        <f>(VLOOKUP('18.05'!R17,'18.05'!$AO$4:$AQ$55,3,FALSE))</f>
        <v>30</v>
      </c>
      <c r="K17" s="4">
        <f>(VLOOKUP('18.05'!S17,'18.05'!$AO$4:$AQ$55,3,FALSE))</f>
        <v>45</v>
      </c>
      <c r="L17" s="4">
        <f>(VLOOKUP('18.05'!T17,'18.05'!$AO$4:$AQ$55,3,FALSE))</f>
        <v>45</v>
      </c>
      <c r="M17" s="4">
        <f>(VLOOKUP('18.05'!U17,'18.05'!$AO$4:$AQ$55,3,FALSE))</f>
        <v>0</v>
      </c>
      <c r="N17" s="4">
        <f>(VLOOKUP('18.05'!V17,'18.05'!$AO$4:$AQ$55,3,FALSE))</f>
        <v>0</v>
      </c>
      <c r="O17" s="5">
        <f>(VLOOKUP('18.05'!W17,'18.05'!$AO$4:$AQ$55,3,FALSE))</f>
        <v>0</v>
      </c>
      <c r="P17" s="5">
        <f>(VLOOKUP('18.05'!X17,'18.05'!$AO$4:$AQ$55,3,FALSE))</f>
        <v>0</v>
      </c>
      <c r="Q17" s="4">
        <f>(VLOOKUP('18.05'!Y17,'18.05'!$AO$4:$AQ$55,3,FALSE))</f>
        <v>55</v>
      </c>
      <c r="R17" s="4">
        <f>(VLOOKUP('18.05'!Z17,'18.05'!$AO$4:$AQ$55,3,FALSE))</f>
        <v>55</v>
      </c>
      <c r="S17" s="4">
        <f>(VLOOKUP('18.05'!AA17,'18.05'!$AO$4:$AQ$55,3,FALSE))</f>
        <v>55</v>
      </c>
      <c r="T17" s="4">
        <f>(VLOOKUP('18.05'!AB17,'18.05'!$AO$4:$AQ$55,3,FALSE))</f>
        <v>30</v>
      </c>
      <c r="U17" s="4">
        <f>(VLOOKUP('18.05'!AC17,'18.05'!$AO$4:$AQ$55,3,FALSE))</f>
        <v>55</v>
      </c>
      <c r="V17" s="4">
        <f>(VLOOKUP('18.05'!AD17,'18.05'!$AO$4:$AQ$55,3,FALSE))</f>
        <v>55</v>
      </c>
      <c r="W17" s="5">
        <f>(VLOOKUP('18.05'!AE17,'18.05'!$AO$4:$AQ$55,3,FALSE))</f>
        <v>0</v>
      </c>
      <c r="X17" s="5">
        <f>(VLOOKUP('18.05'!AF17,'18.05'!$AO$4:$AQ$55,3,FALSE))</f>
        <v>55</v>
      </c>
    </row>
    <row r="18" spans="1:24">
      <c r="A18" s="4">
        <f>(VLOOKUP('18.05'!I18,'18.05'!$AO$4:$AQ$55,3,FALSE))</f>
        <v>0</v>
      </c>
      <c r="B18" s="4">
        <f>(VLOOKUP('18.05'!J18,'18.05'!$AO$4:$AQ$55,3,FALSE))</f>
        <v>0</v>
      </c>
      <c r="C18" s="4">
        <f>(VLOOKUP('18.05'!K18,'18.05'!$AO$4:$AQ$55,3,FALSE))</f>
        <v>0</v>
      </c>
      <c r="D18" s="4">
        <f>(VLOOKUP('18.05'!L18,'18.05'!$AO$4:$AQ$55,3,FALSE))</f>
        <v>0</v>
      </c>
      <c r="E18" s="4">
        <f>(VLOOKUP('18.05'!M18,'18.05'!$AO$4:$AQ$55,3,FALSE))</f>
        <v>0</v>
      </c>
      <c r="F18" s="4">
        <f>(VLOOKUP('18.05'!N18,'18.05'!$AO$4:$AQ$55,3,FALSE))</f>
        <v>0</v>
      </c>
      <c r="G18" s="5">
        <f>(VLOOKUP('18.05'!O18,'18.05'!$AO$4:$AQ$55,3,FALSE))</f>
        <v>0</v>
      </c>
      <c r="H18" s="5">
        <f>(VLOOKUP('18.05'!P18,'18.05'!$AO$4:$AQ$55,3,FALSE))</f>
        <v>0</v>
      </c>
      <c r="I18" s="4">
        <f>(VLOOKUP('18.05'!Q18,'18.05'!$AO$4:$AQ$55,3,FALSE))</f>
        <v>45</v>
      </c>
      <c r="J18" s="4">
        <f>(VLOOKUP('18.05'!R18,'18.05'!$AO$4:$AQ$55,3,FALSE))</f>
        <v>45</v>
      </c>
      <c r="K18" s="4">
        <f>(VLOOKUP('18.05'!S18,'18.05'!$AO$4:$AQ$55,3,FALSE))</f>
        <v>45</v>
      </c>
      <c r="L18" s="4">
        <f>(VLOOKUP('18.05'!T18,'18.05'!$AO$4:$AQ$55,3,FALSE))</f>
        <v>45</v>
      </c>
      <c r="M18" s="4">
        <f>(VLOOKUP('18.05'!U18,'18.05'!$AO$4:$AQ$55,3,FALSE))</f>
        <v>0</v>
      </c>
      <c r="N18" s="4">
        <f>(VLOOKUP('18.05'!V18,'18.05'!$AO$4:$AQ$55,3,FALSE))</f>
        <v>0</v>
      </c>
      <c r="O18" s="5">
        <f>(VLOOKUP('18.05'!W18,'18.05'!$AO$4:$AQ$55,3,FALSE))</f>
        <v>0</v>
      </c>
      <c r="P18" s="5">
        <f>(VLOOKUP('18.05'!X18,'18.05'!$AO$4:$AQ$55,3,FALSE))</f>
        <v>0</v>
      </c>
      <c r="Q18" s="4">
        <f>(VLOOKUP('18.05'!Y18,'18.05'!$AO$4:$AQ$55,3,FALSE))</f>
        <v>55</v>
      </c>
      <c r="R18" s="4">
        <f>(VLOOKUP('18.05'!Z18,'18.05'!$AO$4:$AQ$55,3,FALSE))</f>
        <v>55</v>
      </c>
      <c r="S18" s="4">
        <f>(VLOOKUP('18.05'!AA18,'18.05'!$AO$4:$AQ$55,3,FALSE))</f>
        <v>55</v>
      </c>
      <c r="T18" s="4">
        <f>(VLOOKUP('18.05'!AB18,'18.05'!$AO$4:$AQ$55,3,FALSE))</f>
        <v>55</v>
      </c>
      <c r="U18" s="4">
        <f>(VLOOKUP('18.05'!AC18,'18.05'!$AO$4:$AQ$55,3,FALSE))</f>
        <v>55</v>
      </c>
      <c r="V18" s="4">
        <f>(VLOOKUP('18.05'!AD18,'18.05'!$AO$4:$AQ$55,3,FALSE))</f>
        <v>55</v>
      </c>
      <c r="W18" s="5">
        <f>(VLOOKUP('18.05'!AE18,'18.05'!$AO$4:$AQ$55,3,FALSE))</f>
        <v>0</v>
      </c>
      <c r="X18" s="5">
        <f>(VLOOKUP('18.05'!AF18,'18.05'!$AO$4:$AQ$55,3,FALSE))</f>
        <v>0</v>
      </c>
    </row>
    <row r="19" spans="1:24">
      <c r="A19" s="4">
        <f>(VLOOKUP('18.05'!I19,'18.05'!$AO$4:$AQ$55,3,FALSE))</f>
        <v>0</v>
      </c>
      <c r="B19" s="4">
        <f>(VLOOKUP('18.05'!J19,'18.05'!$AO$4:$AQ$55,3,FALSE))</f>
        <v>0</v>
      </c>
      <c r="C19" s="4">
        <f>(VLOOKUP('18.05'!K19,'18.05'!$AO$4:$AQ$55,3,FALSE))</f>
        <v>0</v>
      </c>
      <c r="D19" s="4">
        <f>(VLOOKUP('18.05'!L19,'18.05'!$AO$4:$AQ$55,3,FALSE))</f>
        <v>0</v>
      </c>
      <c r="E19" s="4">
        <f>(VLOOKUP('18.05'!M19,'18.05'!$AO$4:$AQ$55,3,FALSE))</f>
        <v>0</v>
      </c>
      <c r="F19" s="4">
        <f>(VLOOKUP('18.05'!N19,'18.05'!$AO$4:$AQ$55,3,FALSE))</f>
        <v>0</v>
      </c>
      <c r="G19" s="5">
        <f>(VLOOKUP('18.05'!O19,'18.05'!$AO$4:$AQ$55,3,FALSE))</f>
        <v>0</v>
      </c>
      <c r="H19" s="5">
        <f>(VLOOKUP('18.05'!P19,'18.05'!$AO$4:$AQ$55,3,FALSE))</f>
        <v>0</v>
      </c>
      <c r="I19" s="4">
        <f>(VLOOKUP('18.05'!Q19,'18.05'!$AO$4:$AQ$55,3,FALSE))</f>
        <v>45</v>
      </c>
      <c r="J19" s="4">
        <f>(VLOOKUP('18.05'!R19,'18.05'!$AO$4:$AQ$55,3,FALSE))</f>
        <v>45</v>
      </c>
      <c r="K19" s="4">
        <f>(VLOOKUP('18.05'!S19,'18.05'!$AO$4:$AQ$55,3,FALSE))</f>
        <v>30</v>
      </c>
      <c r="L19" s="4">
        <f>(VLOOKUP('18.05'!T19,'18.05'!$AO$4:$AQ$55,3,FALSE))</f>
        <v>45</v>
      </c>
      <c r="M19" s="4">
        <f>(VLOOKUP('18.05'!U19,'18.05'!$AO$4:$AQ$55,3,FALSE))</f>
        <v>45</v>
      </c>
      <c r="N19" s="4">
        <f>(VLOOKUP('18.05'!V19,'18.05'!$AO$4:$AQ$55,3,FALSE))</f>
        <v>45</v>
      </c>
      <c r="O19" s="5">
        <f>(VLOOKUP('18.05'!W19,'18.05'!$AO$4:$AQ$55,3,FALSE))</f>
        <v>45</v>
      </c>
      <c r="P19" s="5">
        <f>(VLOOKUP('18.05'!X19,'18.05'!$AO$4:$AQ$55,3,FALSE))</f>
        <v>45</v>
      </c>
      <c r="Q19" s="4">
        <f>(VLOOKUP('18.05'!Y19,'18.05'!$AO$4:$AQ$55,3,FALSE))</f>
        <v>55</v>
      </c>
      <c r="R19" s="4">
        <f>(VLOOKUP('18.05'!Z19,'18.05'!$AO$4:$AQ$55,3,FALSE))</f>
        <v>60</v>
      </c>
      <c r="S19" s="4">
        <f>(VLOOKUP('18.05'!AA19,'18.05'!$AO$4:$AQ$55,3,FALSE))</f>
        <v>60</v>
      </c>
      <c r="T19" s="4">
        <f>(VLOOKUP('18.05'!AB19,'18.05'!$AO$4:$AQ$55,3,FALSE))</f>
        <v>60</v>
      </c>
      <c r="U19" s="4">
        <f>(VLOOKUP('18.05'!AC19,'18.05'!$AO$4:$AQ$55,3,FALSE))</f>
        <v>55</v>
      </c>
      <c r="V19" s="4">
        <f>(VLOOKUP('18.05'!AD19,'18.05'!$AO$4:$AQ$55,3,FALSE))</f>
        <v>55</v>
      </c>
      <c r="W19" s="5">
        <f>(VLOOKUP('18.05'!AE19,'18.05'!$AO$4:$AQ$55,3,FALSE))</f>
        <v>0</v>
      </c>
      <c r="X19" s="5">
        <f>(VLOOKUP('18.05'!AF19,'18.05'!$AO$4:$AQ$55,3,FALSE))</f>
        <v>0</v>
      </c>
    </row>
    <row r="20" spans="1:24">
      <c r="A20" s="4">
        <f>(VLOOKUP('18.05'!I20,'18.05'!$AO$4:$AQ$55,3,FALSE))</f>
        <v>0</v>
      </c>
      <c r="B20" s="4">
        <f>(VLOOKUP('18.05'!J20,'18.05'!$AO$4:$AQ$55,3,FALSE))</f>
        <v>0</v>
      </c>
      <c r="C20" s="4">
        <f>(VLOOKUP('18.05'!K20,'18.05'!$AO$4:$AQ$55,3,FALSE))</f>
        <v>0</v>
      </c>
      <c r="D20" s="4">
        <f>(VLOOKUP('18.05'!L20,'18.05'!$AO$4:$AQ$55,3,FALSE))</f>
        <v>0</v>
      </c>
      <c r="E20" s="4">
        <f>(VLOOKUP('18.05'!M20,'18.05'!$AO$4:$AQ$55,3,FALSE))</f>
        <v>0</v>
      </c>
      <c r="F20" s="4">
        <f>(VLOOKUP('18.05'!N20,'18.05'!$AO$4:$AQ$55,3,FALSE))</f>
        <v>0</v>
      </c>
      <c r="G20" s="5">
        <f>(VLOOKUP('18.05'!O20,'18.05'!$AO$4:$AQ$55,3,FALSE))</f>
        <v>0</v>
      </c>
      <c r="H20" s="5">
        <f>(VLOOKUP('18.05'!P20,'18.05'!$AO$4:$AQ$55,3,FALSE))</f>
        <v>0</v>
      </c>
      <c r="I20" s="4">
        <f>(VLOOKUP('18.05'!Q20,'18.05'!$AO$4:$AQ$55,3,FALSE))</f>
        <v>45</v>
      </c>
      <c r="J20" s="4">
        <f>(VLOOKUP('18.05'!R20,'18.05'!$AO$4:$AQ$55,3,FALSE))</f>
        <v>55</v>
      </c>
      <c r="K20" s="4">
        <f>(VLOOKUP('18.05'!S20,'18.05'!$AO$4:$AQ$55,3,FALSE))</f>
        <v>55</v>
      </c>
      <c r="L20" s="4">
        <f>(VLOOKUP('18.05'!T20,'18.05'!$AO$4:$AQ$55,3,FALSE))</f>
        <v>55</v>
      </c>
      <c r="M20" s="4">
        <f>(VLOOKUP('18.05'!U20,'18.05'!$AO$4:$AQ$55,3,FALSE))</f>
        <v>30</v>
      </c>
      <c r="N20" s="4">
        <f>(VLOOKUP('18.05'!V20,'18.05'!$AO$4:$AQ$55,3,FALSE))</f>
        <v>0</v>
      </c>
      <c r="O20" s="5">
        <f>(VLOOKUP('18.05'!W20,'18.05'!$AO$4:$AQ$55,3,FALSE))</f>
        <v>0</v>
      </c>
      <c r="P20" s="5">
        <f>(VLOOKUP('18.05'!X20,'18.05'!$AO$4:$AQ$55,3,FALSE))</f>
        <v>0</v>
      </c>
      <c r="Q20" s="4">
        <f>(VLOOKUP('18.05'!Y20,'18.05'!$AO$4:$AQ$55,3,FALSE))</f>
        <v>55</v>
      </c>
      <c r="R20" s="4">
        <f>(VLOOKUP('18.05'!Z20,'18.05'!$AO$4:$AQ$55,3,FALSE))</f>
        <v>55</v>
      </c>
      <c r="S20" s="4">
        <f>(VLOOKUP('18.05'!AA20,'18.05'!$AO$4:$AQ$55,3,FALSE))</f>
        <v>55</v>
      </c>
      <c r="T20" s="4">
        <f>(VLOOKUP('18.05'!AB20,'18.05'!$AO$4:$AQ$55,3,FALSE))</f>
        <v>55</v>
      </c>
      <c r="U20" s="4">
        <f>(VLOOKUP('18.05'!AC20,'18.05'!$AO$4:$AQ$55,3,FALSE))</f>
        <v>55</v>
      </c>
      <c r="V20" s="4">
        <f>(VLOOKUP('18.05'!AD20,'18.05'!$AO$4:$AQ$55,3,FALSE))</f>
        <v>55</v>
      </c>
      <c r="W20" s="5">
        <f>(VLOOKUP('18.05'!AE20,'18.05'!$AO$4:$AQ$55,3,FALSE))</f>
        <v>520</v>
      </c>
      <c r="X20" s="5">
        <f>(VLOOKUP('18.05'!AF20,'18.05'!$AO$4:$AQ$55,3,FALSE))</f>
        <v>0</v>
      </c>
    </row>
    <row r="21" spans="1:24">
      <c r="A21" s="4">
        <f>(VLOOKUP('18.05'!I21,'18.05'!$AO$4:$AQ$55,3,FALSE))</f>
        <v>60</v>
      </c>
      <c r="B21" s="4">
        <f>(VLOOKUP('18.05'!J21,'18.05'!$AO$4:$AQ$55,3,FALSE))</f>
        <v>60</v>
      </c>
      <c r="C21" s="4">
        <f>(VLOOKUP('18.05'!K21,'18.05'!$AO$4:$AQ$55,3,FALSE))</f>
        <v>60</v>
      </c>
      <c r="D21" s="4">
        <f>(VLOOKUP('18.05'!L21,'18.05'!$AO$4:$AQ$55,3,FALSE))</f>
        <v>60</v>
      </c>
      <c r="E21" s="4">
        <f>(VLOOKUP('18.05'!M21,'18.05'!$AO$4:$AQ$55,3,FALSE))</f>
        <v>60</v>
      </c>
      <c r="F21" s="4">
        <f>(VLOOKUP('18.05'!N21,'18.05'!$AO$4:$AQ$55,3,FALSE))</f>
        <v>60</v>
      </c>
      <c r="G21" s="5">
        <f>(VLOOKUP('18.05'!O21,'18.05'!$AO$4:$AQ$55,3,FALSE))</f>
        <v>0</v>
      </c>
      <c r="H21" s="5">
        <f>(VLOOKUP('18.05'!P21,'18.05'!$AO$4:$AQ$55,3,FALSE))</f>
        <v>0</v>
      </c>
      <c r="I21" s="4">
        <f>(VLOOKUP('18.05'!Q21,'18.05'!$AO$4:$AQ$55,3,FALSE))</f>
        <v>0</v>
      </c>
      <c r="J21" s="4">
        <f>(VLOOKUP('18.05'!R21,'18.05'!$AO$4:$AQ$55,3,FALSE))</f>
        <v>0</v>
      </c>
      <c r="K21" s="4">
        <f>(VLOOKUP('18.05'!S21,'18.05'!$AO$4:$AQ$55,3,FALSE))</f>
        <v>0</v>
      </c>
      <c r="L21" s="4">
        <f>(VLOOKUP('18.05'!T21,'18.05'!$AO$4:$AQ$55,3,FALSE))</f>
        <v>0</v>
      </c>
      <c r="M21" s="4">
        <f>(VLOOKUP('18.05'!U21,'18.05'!$AO$4:$AQ$55,3,FALSE))</f>
        <v>0</v>
      </c>
      <c r="N21" s="4">
        <f>(VLOOKUP('18.05'!V21,'18.05'!$AO$4:$AQ$55,3,FALSE))</f>
        <v>0</v>
      </c>
      <c r="O21" s="5">
        <f>(VLOOKUP('18.05'!W21,'18.05'!$AO$4:$AQ$55,3,FALSE))</f>
        <v>0</v>
      </c>
      <c r="P21" s="5">
        <f>(VLOOKUP('18.05'!X21,'18.05'!$AO$4:$AQ$55,3,FALSE))</f>
        <v>0</v>
      </c>
      <c r="Q21" s="4">
        <f>(VLOOKUP('18.05'!Y21,'18.05'!$AO$4:$AQ$55,3,FALSE))</f>
        <v>55</v>
      </c>
      <c r="R21" s="4">
        <f>(VLOOKUP('18.05'!Z21,'18.05'!$AO$4:$AQ$55,3,FALSE))</f>
        <v>55</v>
      </c>
      <c r="S21" s="4">
        <f>(VLOOKUP('18.05'!AA21,'18.05'!$AO$4:$AQ$55,3,FALSE))</f>
        <v>55</v>
      </c>
      <c r="T21" s="4">
        <f>(VLOOKUP('18.05'!AB21,'18.05'!$AO$4:$AQ$55,3,FALSE))</f>
        <v>500</v>
      </c>
      <c r="U21" s="4">
        <f>(VLOOKUP('18.05'!AC21,'18.05'!$AO$4:$AQ$55,3,FALSE))</f>
        <v>0</v>
      </c>
      <c r="V21" s="4">
        <f>(VLOOKUP('18.05'!AD21,'18.05'!$AO$4:$AQ$55,3,FALSE))</f>
        <v>0</v>
      </c>
      <c r="W21" s="5">
        <f>(VLOOKUP('18.05'!AE21,'18.05'!$AO$4:$AQ$55,3,FALSE))</f>
        <v>0</v>
      </c>
      <c r="X21" s="5">
        <f>(VLOOKUP('18.05'!AF21,'18.05'!$AO$4:$AQ$55,3,FALSE))</f>
        <v>0</v>
      </c>
    </row>
    <row r="22" spans="1:24">
      <c r="A22" s="4">
        <f>(VLOOKUP('18.05'!I22,'18.05'!$AO$4:$AQ$55,3,FALSE))</f>
        <v>0</v>
      </c>
      <c r="B22" s="4">
        <f>(VLOOKUP('18.05'!J22,'18.05'!$AO$4:$AQ$55,3,FALSE))</f>
        <v>0</v>
      </c>
      <c r="C22" s="4">
        <f>(VLOOKUP('18.05'!K22,'18.05'!$AO$4:$AQ$55,3,FALSE))</f>
        <v>0</v>
      </c>
      <c r="D22" s="4">
        <f>(VLOOKUP('18.05'!L22,'18.05'!$AO$4:$AQ$55,3,FALSE))</f>
        <v>0</v>
      </c>
      <c r="E22" s="4">
        <f>(VLOOKUP('18.05'!M22,'18.05'!$AO$4:$AQ$55,3,FALSE))</f>
        <v>0</v>
      </c>
      <c r="F22" s="4">
        <f>(VLOOKUP('18.05'!N22,'18.05'!$AO$4:$AQ$55,3,FALSE))</f>
        <v>0</v>
      </c>
      <c r="G22" s="5">
        <f>(VLOOKUP('18.05'!O22,'18.05'!$AO$4:$AQ$55,3,FALSE))</f>
        <v>0</v>
      </c>
      <c r="H22" s="5">
        <f>(VLOOKUP('18.05'!P22,'18.05'!$AO$4:$AQ$55,3,FALSE))</f>
        <v>0</v>
      </c>
      <c r="I22" s="4">
        <f>(VLOOKUP('18.05'!Q22,'18.05'!$AO$4:$AQ$55,3,FALSE))</f>
        <v>55</v>
      </c>
      <c r="J22" s="4">
        <f>(VLOOKUP('18.05'!R22,'18.05'!$AO$4:$AQ$55,3,FALSE))</f>
        <v>55</v>
      </c>
      <c r="K22" s="4">
        <f>(VLOOKUP('18.05'!S22,'18.05'!$AO$4:$AQ$55,3,FALSE))</f>
        <v>55</v>
      </c>
      <c r="L22" s="4">
        <f>(VLOOKUP('18.05'!T22,'18.05'!$AO$4:$AQ$55,3,FALSE))</f>
        <v>55</v>
      </c>
      <c r="M22" s="4">
        <f>(VLOOKUP('18.05'!U22,'18.05'!$AO$4:$AQ$55,3,FALSE))</f>
        <v>0</v>
      </c>
      <c r="N22" s="4">
        <f>(VLOOKUP('18.05'!V22,'18.05'!$AO$4:$AQ$55,3,FALSE))</f>
        <v>55</v>
      </c>
      <c r="O22" s="5">
        <f>(VLOOKUP('18.05'!W22,'18.05'!$AO$4:$AQ$55,3,FALSE))</f>
        <v>55</v>
      </c>
      <c r="P22" s="5">
        <f>(VLOOKUP('18.05'!X22,'18.05'!$AO$4:$AQ$55,3,FALSE))</f>
        <v>55</v>
      </c>
      <c r="Q22" s="4">
        <f>(VLOOKUP('18.05'!Y22,'18.05'!$AO$4:$AQ$55,3,FALSE))</f>
        <v>55</v>
      </c>
      <c r="R22" s="4">
        <f>(VLOOKUP('18.05'!Z22,'18.05'!$AO$4:$AQ$55,3,FALSE))</f>
        <v>55</v>
      </c>
      <c r="S22" s="4">
        <f>(VLOOKUP('18.05'!AA22,'18.05'!$AO$4:$AQ$55,3,FALSE))</f>
        <v>55</v>
      </c>
      <c r="T22" s="4">
        <f>(VLOOKUP('18.05'!AB22,'18.05'!$AO$4:$AQ$55,3,FALSE))</f>
        <v>55</v>
      </c>
      <c r="U22" s="4">
        <f>(VLOOKUP('18.05'!AC22,'18.05'!$AO$4:$AQ$55,3,FALSE))</f>
        <v>55</v>
      </c>
      <c r="V22" s="4">
        <f>(VLOOKUP('18.05'!AD22,'18.05'!$AO$4:$AQ$55,3,FALSE))</f>
        <v>0</v>
      </c>
      <c r="W22" s="5">
        <f>(VLOOKUP('18.05'!AE22,'18.05'!$AO$4:$AQ$55,3,FALSE))</f>
        <v>0</v>
      </c>
      <c r="X22" s="5">
        <f>(VLOOKUP('18.05'!AF22,'18.05'!$AO$4:$AQ$55,3,FALSE))</f>
        <v>0</v>
      </c>
    </row>
    <row r="23" spans="1:24">
      <c r="A23" s="4">
        <f>(VLOOKUP('18.05'!I23,'18.05'!$AO$4:$AQ$55,3,FALSE))</f>
        <v>60</v>
      </c>
      <c r="B23" s="4">
        <f>(VLOOKUP('18.05'!J23,'18.05'!$AO$4:$AQ$55,3,FALSE))</f>
        <v>1000</v>
      </c>
      <c r="C23" s="4">
        <f>(VLOOKUP('18.05'!K23,'18.05'!$AO$4:$AQ$55,3,FALSE))</f>
        <v>0</v>
      </c>
      <c r="D23" s="4">
        <f>(VLOOKUP('18.05'!L23,'18.05'!$AO$4:$AQ$55,3,FALSE))</f>
        <v>0</v>
      </c>
      <c r="E23" s="4">
        <f>(VLOOKUP('18.05'!M23,'18.05'!$AO$4:$AQ$55,3,FALSE))</f>
        <v>0</v>
      </c>
      <c r="F23" s="4">
        <f>(VLOOKUP('18.05'!N23,'18.05'!$AO$4:$AQ$55,3,FALSE))</f>
        <v>0</v>
      </c>
      <c r="G23" s="5">
        <f>(VLOOKUP('18.05'!O23,'18.05'!$AO$4:$AQ$55,3,FALSE))</f>
        <v>0</v>
      </c>
      <c r="H23" s="5">
        <f>(VLOOKUP('18.05'!P23,'18.05'!$AO$4:$AQ$55,3,FALSE))</f>
        <v>0</v>
      </c>
      <c r="I23" s="4">
        <f>(VLOOKUP('18.05'!Q23,'18.05'!$AO$4:$AQ$55,3,FALSE))</f>
        <v>50</v>
      </c>
      <c r="J23" s="4">
        <f>(VLOOKUP('18.05'!R23,'18.05'!$AO$4:$AQ$55,3,FALSE))</f>
        <v>50</v>
      </c>
      <c r="K23" s="4">
        <f>(VLOOKUP('18.05'!S23,'18.05'!$AO$4:$AQ$55,3,FALSE))</f>
        <v>50</v>
      </c>
      <c r="L23" s="4">
        <f>(VLOOKUP('18.05'!T23,'18.05'!$AO$4:$AQ$55,3,FALSE))</f>
        <v>50</v>
      </c>
      <c r="M23" s="4">
        <f>(VLOOKUP('18.05'!U23,'18.05'!$AO$4:$AQ$55,3,FALSE))</f>
        <v>0</v>
      </c>
      <c r="N23" s="4">
        <f>(VLOOKUP('18.05'!V23,'18.05'!$AO$4:$AQ$55,3,FALSE))</f>
        <v>0</v>
      </c>
      <c r="O23" s="5">
        <f>(VLOOKUP('18.05'!W23,'18.05'!$AO$4:$AQ$55,3,FALSE))</f>
        <v>0</v>
      </c>
      <c r="P23" s="5">
        <f>(VLOOKUP('18.05'!X23,'18.05'!$AO$4:$AQ$55,3,FALSE))</f>
        <v>0</v>
      </c>
      <c r="Q23" s="4">
        <f>(VLOOKUP('18.05'!Y23,'18.05'!$AO$4:$AQ$55,3,FALSE))</f>
        <v>40</v>
      </c>
      <c r="R23" s="4">
        <f>(VLOOKUP('18.05'!Z23,'18.05'!$AO$4:$AQ$55,3,FALSE))</f>
        <v>40</v>
      </c>
      <c r="S23" s="4">
        <f>(VLOOKUP('18.05'!AA23,'18.05'!$AO$4:$AQ$55,3,FALSE))</f>
        <v>35</v>
      </c>
      <c r="T23" s="4">
        <f>(VLOOKUP('18.05'!AB23,'18.05'!$AO$4:$AQ$55,3,FALSE))</f>
        <v>35</v>
      </c>
      <c r="U23" s="4">
        <f>(VLOOKUP('18.05'!AC23,'18.05'!$AO$4:$AQ$55,3,FALSE))</f>
        <v>30</v>
      </c>
      <c r="V23" s="4">
        <f>(VLOOKUP('18.05'!AD23,'18.05'!$AO$4:$AQ$55,3,FALSE))</f>
        <v>35</v>
      </c>
      <c r="W23" s="5">
        <f>(VLOOKUP('18.05'!AE23,'18.05'!$AO$4:$AQ$55,3,FALSE))</f>
        <v>35</v>
      </c>
      <c r="X23" s="5">
        <f>(VLOOKUP('18.05'!AF23,'18.05'!$AO$4:$AQ$55,3,FALSE))</f>
        <v>35</v>
      </c>
    </row>
    <row r="24" spans="1:24">
      <c r="A24" s="4">
        <f>(VLOOKUP('18.05'!I24,'18.05'!$AO$4:$AQ$55,3,FALSE))</f>
        <v>0</v>
      </c>
      <c r="B24" s="4">
        <f>(VLOOKUP('18.05'!J24,'18.05'!$AO$4:$AQ$55,3,FALSE))</f>
        <v>0</v>
      </c>
      <c r="C24" s="4">
        <f>(VLOOKUP('18.05'!K24,'18.05'!$AO$4:$AQ$55,3,FALSE))</f>
        <v>0</v>
      </c>
      <c r="D24" s="4">
        <f>(VLOOKUP('18.05'!L24,'18.05'!$AO$4:$AQ$55,3,FALSE))</f>
        <v>0</v>
      </c>
      <c r="E24" s="4">
        <f>(VLOOKUP('18.05'!M24,'18.05'!$AO$4:$AQ$55,3,FALSE))</f>
        <v>0</v>
      </c>
      <c r="F24" s="4">
        <f>(VLOOKUP('18.05'!N24,'18.05'!$AO$4:$AQ$55,3,FALSE))</f>
        <v>0</v>
      </c>
      <c r="G24" s="5">
        <f>(VLOOKUP('18.05'!O24,'18.05'!$AO$4:$AQ$55,3,FALSE))</f>
        <v>0</v>
      </c>
      <c r="H24" s="5">
        <f>(VLOOKUP('18.05'!P24,'18.05'!$AO$4:$AQ$55,3,FALSE))</f>
        <v>0</v>
      </c>
      <c r="I24" s="4">
        <f>(VLOOKUP('18.05'!Q24,'18.05'!$AO$4:$AQ$55,3,FALSE))</f>
        <v>50</v>
      </c>
      <c r="J24" s="4">
        <f>(VLOOKUP('18.05'!R24,'18.05'!$AO$4:$AQ$55,3,FALSE))</f>
        <v>50</v>
      </c>
      <c r="K24" s="4">
        <f>(VLOOKUP('18.05'!S24,'18.05'!$AO$4:$AQ$55,3,FALSE))</f>
        <v>50</v>
      </c>
      <c r="L24" s="4">
        <f>(VLOOKUP('18.05'!T24,'18.05'!$AO$4:$AQ$55,3,FALSE))</f>
        <v>50</v>
      </c>
      <c r="M24" s="4">
        <f>(VLOOKUP('18.05'!U24,'18.05'!$AO$4:$AQ$55,3,FALSE))</f>
        <v>50</v>
      </c>
      <c r="N24" s="4">
        <f>(VLOOKUP('18.05'!V24,'18.05'!$AO$4:$AQ$55,3,FALSE))</f>
        <v>50</v>
      </c>
      <c r="O24" s="5">
        <f>(VLOOKUP('18.05'!W24,'18.05'!$AO$4:$AQ$55,3,FALSE))</f>
        <v>50</v>
      </c>
      <c r="P24" s="5">
        <f>(VLOOKUP('18.05'!X24,'18.05'!$AO$4:$AQ$55,3,FALSE))</f>
        <v>0</v>
      </c>
      <c r="Q24" s="4">
        <f>(VLOOKUP('18.05'!Y24,'18.05'!$AO$4:$AQ$55,3,FALSE))</f>
        <v>35</v>
      </c>
      <c r="R24" s="4">
        <f>(VLOOKUP('18.05'!Z24,'18.05'!$AO$4:$AQ$55,3,FALSE))</f>
        <v>35</v>
      </c>
      <c r="S24" s="4">
        <f>(VLOOKUP('18.05'!AA24,'18.05'!$AO$4:$AQ$55,3,FALSE))</f>
        <v>35</v>
      </c>
      <c r="T24" s="4">
        <f>(VLOOKUP('18.05'!AB24,'18.05'!$AO$4:$AQ$55,3,FALSE))</f>
        <v>30</v>
      </c>
      <c r="U24" s="4">
        <f>(VLOOKUP('18.05'!AC24,'18.05'!$AO$4:$AQ$55,3,FALSE))</f>
        <v>40</v>
      </c>
      <c r="V24" s="4">
        <f>(VLOOKUP('18.05'!AD24,'18.05'!$AO$4:$AQ$55,3,FALSE))</f>
        <v>40</v>
      </c>
      <c r="W24" s="5">
        <f>(VLOOKUP('18.05'!AE24,'18.05'!$AO$4:$AQ$55,3,FALSE))</f>
        <v>40</v>
      </c>
      <c r="X24" s="5">
        <f>(VLOOKUP('18.05'!AF24,'18.05'!$AO$4:$AQ$55,3,FALSE))</f>
        <v>0</v>
      </c>
    </row>
    <row r="25" spans="1:24">
      <c r="A25" s="4">
        <f>(VLOOKUP('18.05'!I25,'18.05'!$AO$4:$AQ$55,3,FALSE))</f>
        <v>60</v>
      </c>
      <c r="B25" s="4">
        <f>(VLOOKUP('18.05'!J25,'18.05'!$AO$4:$AQ$55,3,FALSE))</f>
        <v>60</v>
      </c>
      <c r="C25" s="4">
        <f>(VLOOKUP('18.05'!K25,'18.05'!$AO$4:$AQ$55,3,FALSE))</f>
        <v>60</v>
      </c>
      <c r="D25" s="4">
        <f>(VLOOKUP('18.05'!L25,'18.05'!$AO$4:$AQ$55,3,FALSE))</f>
        <v>60</v>
      </c>
      <c r="E25" s="4">
        <f>(VLOOKUP('18.05'!M25,'18.05'!$AO$4:$AQ$55,3,FALSE))</f>
        <v>60</v>
      </c>
      <c r="F25" s="4">
        <f>(VLOOKUP('18.05'!N25,'18.05'!$AO$4:$AQ$55,3,FALSE))</f>
        <v>60</v>
      </c>
      <c r="G25" s="5">
        <f>(VLOOKUP('18.05'!O25,'18.05'!$AO$4:$AQ$55,3,FALSE))</f>
        <v>0</v>
      </c>
      <c r="H25" s="5">
        <f>(VLOOKUP('18.05'!P25,'18.05'!$AO$4:$AQ$55,3,FALSE))</f>
        <v>0</v>
      </c>
      <c r="I25" s="4">
        <f>(VLOOKUP('18.05'!Q25,'18.05'!$AO$4:$AQ$55,3,FALSE))</f>
        <v>50</v>
      </c>
      <c r="J25" s="4">
        <f>(VLOOKUP('18.05'!R25,'18.05'!$AO$4:$AQ$55,3,FALSE))</f>
        <v>50</v>
      </c>
      <c r="K25" s="4">
        <f>(VLOOKUP('18.05'!S25,'18.05'!$AO$4:$AQ$55,3,FALSE))</f>
        <v>50</v>
      </c>
      <c r="L25" s="4">
        <f>(VLOOKUP('18.05'!T25,'18.05'!$AO$4:$AQ$55,3,FALSE))</f>
        <v>50</v>
      </c>
      <c r="M25" s="4">
        <f>(VLOOKUP('18.05'!U25,'18.05'!$AO$4:$AQ$55,3,FALSE))</f>
        <v>50</v>
      </c>
      <c r="N25" s="4">
        <f>(VLOOKUP('18.05'!V25,'18.05'!$AO$4:$AQ$55,3,FALSE))</f>
        <v>50</v>
      </c>
      <c r="O25" s="5">
        <f>(VLOOKUP('18.05'!W25,'18.05'!$AO$4:$AQ$55,3,FALSE))</f>
        <v>0</v>
      </c>
      <c r="P25" s="5">
        <f>(VLOOKUP('18.05'!X25,'18.05'!$AO$4:$AQ$55,3,FALSE))</f>
        <v>0</v>
      </c>
      <c r="Q25" s="4">
        <f>(VLOOKUP('18.05'!Y25,'18.05'!$AO$4:$AQ$55,3,FALSE))</f>
        <v>0</v>
      </c>
      <c r="R25" s="4">
        <f>(VLOOKUP('18.05'!Z25,'18.05'!$AO$4:$AQ$55,3,FALSE))</f>
        <v>0</v>
      </c>
      <c r="S25" s="4">
        <f>(VLOOKUP('18.05'!AA25,'18.05'!$AO$4:$AQ$55,3,FALSE))</f>
        <v>0</v>
      </c>
      <c r="T25" s="4">
        <f>(VLOOKUP('18.05'!AB25,'18.05'!$AO$4:$AQ$55,3,FALSE))</f>
        <v>0</v>
      </c>
      <c r="U25" s="4">
        <f>(VLOOKUP('18.05'!AC25,'18.05'!$AO$4:$AQ$55,3,FALSE))</f>
        <v>0</v>
      </c>
      <c r="V25" s="4">
        <f>(VLOOKUP('18.05'!AD25,'18.05'!$AO$4:$AQ$55,3,FALSE))</f>
        <v>0</v>
      </c>
      <c r="W25" s="5">
        <f>(VLOOKUP('18.05'!AE25,'18.05'!$AO$4:$AQ$55,3,FALSE))</f>
        <v>0</v>
      </c>
      <c r="X25" s="5">
        <f>(VLOOKUP('18.05'!AF25,'18.05'!$AO$4:$AQ$55,3,FALSE))</f>
        <v>0</v>
      </c>
    </row>
    <row r="26" spans="1:24">
      <c r="A26" s="4">
        <f>(VLOOKUP('18.05'!I26,'18.05'!$AO$4:$AQ$55,3,FALSE))</f>
        <v>0</v>
      </c>
      <c r="B26" s="4">
        <f>(VLOOKUP('18.05'!J26,'18.05'!$AO$4:$AQ$55,3,FALSE))</f>
        <v>0</v>
      </c>
      <c r="C26" s="4">
        <f>(VLOOKUP('18.05'!K26,'18.05'!$AO$4:$AQ$55,3,FALSE))</f>
        <v>0</v>
      </c>
      <c r="D26" s="4">
        <f>(VLOOKUP('18.05'!L26,'18.05'!$AO$4:$AQ$55,3,FALSE))</f>
        <v>0</v>
      </c>
      <c r="E26" s="4">
        <f>(VLOOKUP('18.05'!M26,'18.05'!$AO$4:$AQ$55,3,FALSE))</f>
        <v>0</v>
      </c>
      <c r="F26" s="4">
        <f>(VLOOKUP('18.05'!N26,'18.05'!$AO$4:$AQ$55,3,FALSE))</f>
        <v>0</v>
      </c>
      <c r="G26" s="5">
        <f>(VLOOKUP('18.05'!O26,'18.05'!$AO$4:$AQ$55,3,FALSE))</f>
        <v>0</v>
      </c>
      <c r="H26" s="5">
        <f>(VLOOKUP('18.05'!P26,'18.05'!$AO$4:$AQ$55,3,FALSE))</f>
        <v>0</v>
      </c>
      <c r="I26" s="4">
        <f>(VLOOKUP('18.05'!Q26,'18.05'!$AO$4:$AQ$55,3,FALSE))</f>
        <v>50</v>
      </c>
      <c r="J26" s="4">
        <f>(VLOOKUP('18.05'!R26,'18.05'!$AO$4:$AQ$55,3,FALSE))</f>
        <v>50</v>
      </c>
      <c r="K26" s="4">
        <f>(VLOOKUP('18.05'!S26,'18.05'!$AO$4:$AQ$55,3,FALSE))</f>
        <v>50</v>
      </c>
      <c r="L26" s="4">
        <f>(VLOOKUP('18.05'!T26,'18.05'!$AO$4:$AQ$55,3,FALSE))</f>
        <v>50</v>
      </c>
      <c r="M26" s="4">
        <f>(VLOOKUP('18.05'!U26,'18.05'!$AO$4:$AQ$55,3,FALSE))</f>
        <v>50</v>
      </c>
      <c r="N26" s="4">
        <f>(VLOOKUP('18.05'!V26,'18.05'!$AO$4:$AQ$55,3,FALSE))</f>
        <v>50</v>
      </c>
      <c r="O26" s="5">
        <f>(VLOOKUP('18.05'!W26,'18.05'!$AO$4:$AQ$55,3,FALSE))</f>
        <v>0</v>
      </c>
      <c r="P26" s="5">
        <f>(VLOOKUP('18.05'!X26,'18.05'!$AO$4:$AQ$55,3,FALSE))</f>
        <v>0</v>
      </c>
      <c r="Q26" s="4">
        <f>(VLOOKUP('18.05'!Y26,'18.05'!$AO$4:$AQ$55,3,FALSE))</f>
        <v>0</v>
      </c>
      <c r="R26" s="4">
        <f>(VLOOKUP('18.05'!Z26,'18.05'!$AO$4:$AQ$55,3,FALSE))</f>
        <v>0</v>
      </c>
      <c r="S26" s="4">
        <f>(VLOOKUP('18.05'!AA26,'18.05'!$AO$4:$AQ$55,3,FALSE))</f>
        <v>0</v>
      </c>
      <c r="T26" s="4">
        <f>(VLOOKUP('18.05'!AB26,'18.05'!$AO$4:$AQ$55,3,FALSE))</f>
        <v>0</v>
      </c>
      <c r="U26" s="4">
        <f>(VLOOKUP('18.05'!AC26,'18.05'!$AO$4:$AQ$55,3,FALSE))</f>
        <v>0</v>
      </c>
      <c r="V26" s="4">
        <f>(VLOOKUP('18.05'!AD26,'18.05'!$AO$4:$AQ$55,3,FALSE))</f>
        <v>0</v>
      </c>
      <c r="W26" s="5">
        <f>(VLOOKUP('18.05'!AE26,'18.05'!$AO$4:$AQ$55,3,FALSE))</f>
        <v>0</v>
      </c>
      <c r="X26" s="5">
        <f>(VLOOKUP('18.05'!AF26,'18.05'!$AO$4:$AQ$55,3,FALSE))</f>
        <v>0</v>
      </c>
    </row>
    <row r="27" spans="1:24">
      <c r="A27" s="4">
        <f>(VLOOKUP('18.05'!I27,'18.05'!$AO$4:$AQ$55,3,FALSE))</f>
        <v>60</v>
      </c>
      <c r="B27" s="4">
        <f>(VLOOKUP('18.05'!J27,'18.05'!$AO$4:$AQ$55,3,FALSE))</f>
        <v>60</v>
      </c>
      <c r="C27" s="4">
        <f>(VLOOKUP('18.05'!K27,'18.05'!$AO$4:$AQ$55,3,FALSE))</f>
        <v>60</v>
      </c>
      <c r="D27" s="4">
        <f>(VLOOKUP('18.05'!L27,'18.05'!$AO$4:$AQ$55,3,FALSE))</f>
        <v>60</v>
      </c>
      <c r="E27" s="4">
        <f>(VLOOKUP('18.05'!M27,'18.05'!$AO$4:$AQ$55,3,FALSE))</f>
        <v>60</v>
      </c>
      <c r="F27" s="4">
        <f>(VLOOKUP('18.05'!N27,'18.05'!$AO$4:$AQ$55,3,FALSE))</f>
        <v>60</v>
      </c>
      <c r="G27" s="5">
        <f>(VLOOKUP('18.05'!O27,'18.05'!$AO$4:$AQ$55,3,FALSE))</f>
        <v>0</v>
      </c>
      <c r="H27" s="5">
        <f>(VLOOKUP('18.05'!P27,'18.05'!$AO$4:$AQ$55,3,FALSE))</f>
        <v>0</v>
      </c>
      <c r="I27" s="4">
        <f>(VLOOKUP('18.05'!Q27,'18.05'!$AO$4:$AQ$55,3,FALSE))</f>
        <v>50</v>
      </c>
      <c r="J27" s="4">
        <f>(VLOOKUP('18.05'!R27,'18.05'!$AO$4:$AQ$55,3,FALSE))</f>
        <v>50</v>
      </c>
      <c r="K27" s="4">
        <f>(VLOOKUP('18.05'!S27,'18.05'!$AO$4:$AQ$55,3,FALSE))</f>
        <v>50</v>
      </c>
      <c r="L27" s="4">
        <f>(VLOOKUP('18.05'!T27,'18.05'!$AO$4:$AQ$55,3,FALSE))</f>
        <v>50</v>
      </c>
      <c r="M27" s="4">
        <f>(VLOOKUP('18.05'!U27,'18.05'!$AO$4:$AQ$55,3,FALSE))</f>
        <v>50</v>
      </c>
      <c r="N27" s="4">
        <f>(VLOOKUP('18.05'!V27,'18.05'!$AO$4:$AQ$55,3,FALSE))</f>
        <v>50</v>
      </c>
      <c r="O27" s="5">
        <f>(VLOOKUP('18.05'!W27,'18.05'!$AO$4:$AQ$55,3,FALSE))</f>
        <v>0</v>
      </c>
      <c r="P27" s="5">
        <f>(VLOOKUP('18.05'!X27,'18.05'!$AO$4:$AQ$55,3,FALSE))</f>
        <v>0</v>
      </c>
      <c r="Q27" s="4">
        <f>(VLOOKUP('18.05'!Y27,'18.05'!$AO$4:$AQ$55,3,FALSE))</f>
        <v>0</v>
      </c>
      <c r="R27" s="4">
        <f>(VLOOKUP('18.05'!Z27,'18.05'!$AO$4:$AQ$55,3,FALSE))</f>
        <v>0</v>
      </c>
      <c r="S27" s="4">
        <f>(VLOOKUP('18.05'!AA27,'18.05'!$AO$4:$AQ$55,3,FALSE))</f>
        <v>0</v>
      </c>
      <c r="T27" s="4">
        <f>(VLOOKUP('18.05'!AB27,'18.05'!$AO$4:$AQ$55,3,FALSE))</f>
        <v>0</v>
      </c>
      <c r="U27" s="4">
        <f>(VLOOKUP('18.05'!AC27,'18.05'!$AO$4:$AQ$55,3,FALSE))</f>
        <v>0</v>
      </c>
      <c r="V27" s="4">
        <f>(VLOOKUP('18.05'!AD27,'18.05'!$AO$4:$AQ$55,3,FALSE))</f>
        <v>0</v>
      </c>
      <c r="W27" s="5">
        <f>(VLOOKUP('18.05'!AE27,'18.05'!$AO$4:$AQ$55,3,FALSE))</f>
        <v>0</v>
      </c>
      <c r="X27" s="5">
        <f>(VLOOKUP('18.05'!AF27,'18.05'!$AO$4:$AQ$55,3,FALSE))</f>
        <v>0</v>
      </c>
    </row>
    <row r="28" spans="1:24">
      <c r="A28" s="4">
        <f>(VLOOKUP('18.05'!I28,'18.05'!$AO$4:$AQ$55,3,FALSE))</f>
        <v>60</v>
      </c>
      <c r="B28" s="4">
        <f>(VLOOKUP('18.05'!J28,'18.05'!$AO$4:$AQ$55,3,FALSE))</f>
        <v>60</v>
      </c>
      <c r="C28" s="4">
        <f>(VLOOKUP('18.05'!K28,'18.05'!$AO$4:$AQ$55,3,FALSE))</f>
        <v>60</v>
      </c>
      <c r="D28" s="4">
        <f>(VLOOKUP('18.05'!L28,'18.05'!$AO$4:$AQ$55,3,FALSE))</f>
        <v>30</v>
      </c>
      <c r="E28" s="4">
        <f>(VLOOKUP('18.05'!M28,'18.05'!$AO$4:$AQ$55,3,FALSE))</f>
        <v>60</v>
      </c>
      <c r="F28" s="4">
        <f>(VLOOKUP('18.05'!N28,'18.05'!$AO$4:$AQ$55,3,FALSE))</f>
        <v>60</v>
      </c>
      <c r="G28" s="5">
        <f>(VLOOKUP('18.05'!O28,'18.05'!$AO$4:$AQ$55,3,FALSE))</f>
        <v>0</v>
      </c>
      <c r="H28" s="5">
        <f>(VLOOKUP('18.05'!P28,'18.05'!$AO$4:$AQ$55,3,FALSE))</f>
        <v>0</v>
      </c>
      <c r="I28" s="4">
        <f>(VLOOKUP('18.05'!Q28,'18.05'!$AO$4:$AQ$55,3,FALSE))</f>
        <v>50</v>
      </c>
      <c r="J28" s="4">
        <f>(VLOOKUP('18.05'!R28,'18.05'!$AO$4:$AQ$55,3,FALSE))</f>
        <v>30</v>
      </c>
      <c r="K28" s="4">
        <f>(VLOOKUP('18.05'!S28,'18.05'!$AO$4:$AQ$55,3,FALSE))</f>
        <v>50</v>
      </c>
      <c r="L28" s="4">
        <f>(VLOOKUP('18.05'!T28,'18.05'!$AO$4:$AQ$55,3,FALSE))</f>
        <v>50</v>
      </c>
      <c r="M28" s="4">
        <f>(VLOOKUP('18.05'!U28,'18.05'!$AO$4:$AQ$55,3,FALSE))</f>
        <v>50</v>
      </c>
      <c r="N28" s="4">
        <f>(VLOOKUP('18.05'!V28,'18.05'!$AO$4:$AQ$55,3,FALSE))</f>
        <v>50</v>
      </c>
      <c r="O28" s="5">
        <f>(VLOOKUP('18.05'!W28,'18.05'!$AO$4:$AQ$55,3,FALSE))</f>
        <v>0</v>
      </c>
      <c r="P28" s="5">
        <f>(VLOOKUP('18.05'!X28,'18.05'!$AO$4:$AQ$55,3,FALSE))</f>
        <v>0</v>
      </c>
      <c r="Q28" s="4">
        <f>(VLOOKUP('18.05'!Y28,'18.05'!$AO$4:$AQ$55,3,FALSE))</f>
        <v>0</v>
      </c>
      <c r="R28" s="4">
        <f>(VLOOKUP('18.05'!Z28,'18.05'!$AO$4:$AQ$55,3,FALSE))</f>
        <v>0</v>
      </c>
      <c r="S28" s="4">
        <f>(VLOOKUP('18.05'!AA28,'18.05'!$AO$4:$AQ$55,3,FALSE))</f>
        <v>0</v>
      </c>
      <c r="T28" s="4">
        <f>(VLOOKUP('18.05'!AB28,'18.05'!$AO$4:$AQ$55,3,FALSE))</f>
        <v>0</v>
      </c>
      <c r="U28" s="4">
        <f>(VLOOKUP('18.05'!AC28,'18.05'!$AO$4:$AQ$55,3,FALSE))</f>
        <v>0</v>
      </c>
      <c r="V28" s="4">
        <f>(VLOOKUP('18.05'!AD28,'18.05'!$AO$4:$AQ$55,3,FALSE))</f>
        <v>0</v>
      </c>
      <c r="W28" s="5">
        <f>(VLOOKUP('18.05'!AE28,'18.05'!$AO$4:$AQ$55,3,FALSE))</f>
        <v>0</v>
      </c>
      <c r="X28" s="5">
        <f>(VLOOKUP('18.05'!AF28,'18.05'!$AO$4:$AQ$55,3,FALSE))</f>
        <v>0</v>
      </c>
    </row>
    <row r="29" spans="1:24">
      <c r="A29" s="4">
        <f>(VLOOKUP('18.05'!I29,'18.05'!$AO$4:$AQ$55,3,FALSE))</f>
        <v>60</v>
      </c>
      <c r="B29" s="4">
        <f>(VLOOKUP('18.05'!J29,'18.05'!$AO$4:$AQ$55,3,FALSE))</f>
        <v>60</v>
      </c>
      <c r="C29" s="4">
        <f>(VLOOKUP('18.05'!K29,'18.05'!$AO$4:$AQ$55,3,FALSE))</f>
        <v>60</v>
      </c>
      <c r="D29" s="4">
        <f>(VLOOKUP('18.05'!L29,'18.05'!$AO$4:$AQ$55,3,FALSE))</f>
        <v>60</v>
      </c>
      <c r="E29" s="4">
        <f>(VLOOKUP('18.05'!M29,'18.05'!$AO$4:$AQ$55,3,FALSE))</f>
        <v>60</v>
      </c>
      <c r="F29" s="4">
        <f>(VLOOKUP('18.05'!N29,'18.05'!$AO$4:$AQ$55,3,FALSE))</f>
        <v>60</v>
      </c>
      <c r="G29" s="5">
        <f>(VLOOKUP('18.05'!O29,'18.05'!$AO$4:$AQ$55,3,FALSE))</f>
        <v>0</v>
      </c>
      <c r="H29" s="5">
        <f>(VLOOKUP('18.05'!P29,'18.05'!$AO$4:$AQ$55,3,FALSE))</f>
        <v>0</v>
      </c>
      <c r="I29" s="4">
        <f>(VLOOKUP('18.05'!Q29,'18.05'!$AO$4:$AQ$55,3,FALSE))</f>
        <v>50</v>
      </c>
      <c r="J29" s="4">
        <f>(VLOOKUP('18.05'!R29,'18.05'!$AO$4:$AQ$55,3,FALSE))</f>
        <v>50</v>
      </c>
      <c r="K29" s="4">
        <f>(VLOOKUP('18.05'!S29,'18.05'!$AO$4:$AQ$55,3,FALSE))</f>
        <v>50</v>
      </c>
      <c r="L29" s="4">
        <f>(VLOOKUP('18.05'!T29,'18.05'!$AO$4:$AQ$55,3,FALSE))</f>
        <v>55</v>
      </c>
      <c r="M29" s="4">
        <f>(VLOOKUP('18.05'!U29,'18.05'!$AO$4:$AQ$55,3,FALSE))</f>
        <v>55</v>
      </c>
      <c r="N29" s="4">
        <f>(VLOOKUP('18.05'!V29,'18.05'!$AO$4:$AQ$55,3,FALSE))</f>
        <v>55</v>
      </c>
      <c r="O29" s="5">
        <f>(VLOOKUP('18.05'!W29,'18.05'!$AO$4:$AQ$55,3,FALSE))</f>
        <v>0</v>
      </c>
      <c r="P29" s="5">
        <f>(VLOOKUP('18.05'!X29,'18.05'!$AO$4:$AQ$55,3,FALSE))</f>
        <v>0</v>
      </c>
      <c r="Q29" s="4">
        <f>(VLOOKUP('18.05'!Y29,'18.05'!$AO$4:$AQ$55,3,FALSE))</f>
        <v>0</v>
      </c>
      <c r="R29" s="4">
        <f>(VLOOKUP('18.05'!Z29,'18.05'!$AO$4:$AQ$55,3,FALSE))</f>
        <v>0</v>
      </c>
      <c r="S29" s="4">
        <f>(VLOOKUP('18.05'!AA29,'18.05'!$AO$4:$AQ$55,3,FALSE))</f>
        <v>0</v>
      </c>
      <c r="T29" s="4">
        <f>(VLOOKUP('18.05'!AB29,'18.05'!$AO$4:$AQ$55,3,FALSE))</f>
        <v>0</v>
      </c>
      <c r="U29" s="4">
        <f>(VLOOKUP('18.05'!AC29,'18.05'!$AO$4:$AQ$55,3,FALSE))</f>
        <v>0</v>
      </c>
      <c r="V29" s="4">
        <f>(VLOOKUP('18.05'!AD29,'18.05'!$AO$4:$AQ$55,3,FALSE))</f>
        <v>0</v>
      </c>
      <c r="W29" s="5">
        <f>(VLOOKUP('18.05'!AE29,'18.05'!$AO$4:$AQ$55,3,FALSE))</f>
        <v>0</v>
      </c>
      <c r="X29" s="5">
        <f>(VLOOKUP('18.05'!AF29,'18.05'!$AO$4:$AQ$55,3,FALSE))</f>
        <v>0</v>
      </c>
    </row>
    <row r="30" spans="1:24">
      <c r="A30" s="4">
        <f>(VLOOKUP('18.05'!I30,'18.05'!$AO$4:$AQ$55,3,FALSE))</f>
        <v>0</v>
      </c>
      <c r="B30" s="4">
        <f>(VLOOKUP('18.05'!J30,'18.05'!$AO$4:$AQ$55,3,FALSE))</f>
        <v>0</v>
      </c>
      <c r="C30" s="4">
        <f>(VLOOKUP('18.05'!K30,'18.05'!$AO$4:$AQ$55,3,FALSE))</f>
        <v>0</v>
      </c>
      <c r="D30" s="4">
        <f>(VLOOKUP('18.05'!L30,'18.05'!$AO$4:$AQ$55,3,FALSE))</f>
        <v>0</v>
      </c>
      <c r="E30" s="4">
        <f>(VLOOKUP('18.05'!M30,'18.05'!$AO$4:$AQ$55,3,FALSE))</f>
        <v>0</v>
      </c>
      <c r="F30" s="4">
        <f>(VLOOKUP('18.05'!N30,'18.05'!$AO$4:$AQ$55,3,FALSE))</f>
        <v>0</v>
      </c>
      <c r="G30" s="5">
        <f>(VLOOKUP('18.05'!O30,'18.05'!$AO$4:$AQ$55,3,FALSE))</f>
        <v>0</v>
      </c>
      <c r="H30" s="5">
        <f>(VLOOKUP('18.05'!P30,'18.05'!$AO$4:$AQ$55,3,FALSE))</f>
        <v>0</v>
      </c>
      <c r="I30" s="4">
        <f>(VLOOKUP('18.05'!Q30,'18.05'!$AO$4:$AQ$55,3,FALSE))</f>
        <v>55</v>
      </c>
      <c r="J30" s="4">
        <f>(VLOOKUP('18.05'!R30,'18.05'!$AO$4:$AQ$55,3,FALSE))</f>
        <v>55</v>
      </c>
      <c r="K30" s="4">
        <f>(VLOOKUP('18.05'!S30,'18.05'!$AO$4:$AQ$55,3,FALSE))</f>
        <v>55</v>
      </c>
      <c r="L30" s="4">
        <f>(VLOOKUP('18.05'!T30,'18.05'!$AO$4:$AQ$55,3,FALSE))</f>
        <v>55</v>
      </c>
      <c r="M30" s="4">
        <f>(VLOOKUP('18.05'!U30,'18.05'!$AO$4:$AQ$55,3,FALSE))</f>
        <v>55</v>
      </c>
      <c r="N30" s="4">
        <f>(VLOOKUP('18.05'!V30,'18.05'!$AO$4:$AQ$55,3,FALSE))</f>
        <v>55</v>
      </c>
      <c r="O30" s="5">
        <f>(VLOOKUP('18.05'!W30,'18.05'!$AO$4:$AQ$55,3,FALSE))</f>
        <v>0</v>
      </c>
      <c r="P30" s="5">
        <f>(VLOOKUP('18.05'!X30,'18.05'!$AO$4:$AQ$55,3,FALSE))</f>
        <v>0</v>
      </c>
      <c r="Q30" s="4">
        <f>(VLOOKUP('18.05'!Y30,'18.05'!$AO$4:$AQ$55,3,FALSE))</f>
        <v>0</v>
      </c>
      <c r="R30" s="4">
        <f>(VLOOKUP('18.05'!Z30,'18.05'!$AO$4:$AQ$55,3,FALSE))</f>
        <v>0</v>
      </c>
      <c r="S30" s="4">
        <f>(VLOOKUP('18.05'!AA30,'18.05'!$AO$4:$AQ$55,3,FALSE))</f>
        <v>0</v>
      </c>
      <c r="T30" s="4">
        <f>(VLOOKUP('18.05'!AB30,'18.05'!$AO$4:$AQ$55,3,FALSE))</f>
        <v>0</v>
      </c>
      <c r="U30" s="4">
        <f>(VLOOKUP('18.05'!AC30,'18.05'!$AO$4:$AQ$55,3,FALSE))</f>
        <v>0</v>
      </c>
      <c r="V30" s="4">
        <f>(VLOOKUP('18.05'!AD30,'18.05'!$AO$4:$AQ$55,3,FALSE))</f>
        <v>0</v>
      </c>
      <c r="W30" s="5">
        <f>(VLOOKUP('18.05'!AE30,'18.05'!$AO$4:$AQ$55,3,FALSE))</f>
        <v>0</v>
      </c>
      <c r="X30" s="5">
        <f>(VLOOKUP('18.05'!AF30,'18.05'!$AO$4:$AQ$55,3,FALSE))</f>
        <v>0</v>
      </c>
    </row>
    <row r="31" spans="1:24">
      <c r="A31" s="4">
        <f>(VLOOKUP('18.05'!I31,'18.05'!$AO$4:$AQ$55,3,FALSE))</f>
        <v>60</v>
      </c>
      <c r="B31" s="4">
        <f>(VLOOKUP('18.05'!J31,'18.05'!$AO$4:$AQ$55,3,FALSE))</f>
        <v>60</v>
      </c>
      <c r="C31" s="4">
        <f>(VLOOKUP('18.05'!K31,'18.05'!$AO$4:$AQ$55,3,FALSE))</f>
        <v>60</v>
      </c>
      <c r="D31" s="4">
        <f>(VLOOKUP('18.05'!L31,'18.05'!$AO$4:$AQ$55,3,FALSE))</f>
        <v>60</v>
      </c>
      <c r="E31" s="4">
        <f>(VLOOKUP('18.05'!M31,'18.05'!$AO$4:$AQ$55,3,FALSE))</f>
        <v>60</v>
      </c>
      <c r="F31" s="4">
        <f>(VLOOKUP('18.05'!N31,'18.05'!$AO$4:$AQ$55,3,FALSE))</f>
        <v>60</v>
      </c>
      <c r="G31" s="5">
        <f>(VLOOKUP('18.05'!O31,'18.05'!$AO$4:$AQ$55,3,FALSE))</f>
        <v>60</v>
      </c>
      <c r="H31" s="5">
        <f>(VLOOKUP('18.05'!P31,'18.05'!$AO$4:$AQ$55,3,FALSE))</f>
        <v>0</v>
      </c>
      <c r="I31" s="4">
        <f>(VLOOKUP('18.05'!Q31,'18.05'!$AO$4:$AQ$55,3,FALSE))</f>
        <v>55</v>
      </c>
      <c r="J31" s="4">
        <f>(VLOOKUP('18.05'!R31,'18.05'!$AO$4:$AQ$55,3,FALSE))</f>
        <v>55</v>
      </c>
      <c r="K31" s="4">
        <f>(VLOOKUP('18.05'!S31,'18.05'!$AO$4:$AQ$55,3,FALSE))</f>
        <v>55</v>
      </c>
      <c r="L31" s="4">
        <f>(VLOOKUP('18.05'!T31,'18.05'!$AO$4:$AQ$55,3,FALSE))</f>
        <v>55</v>
      </c>
      <c r="M31" s="4">
        <f>(VLOOKUP('18.05'!U31,'18.05'!$AO$4:$AQ$55,3,FALSE))</f>
        <v>55</v>
      </c>
      <c r="N31" s="4">
        <f>(VLOOKUP('18.05'!V31,'18.05'!$AO$4:$AQ$55,3,FALSE))</f>
        <v>55</v>
      </c>
      <c r="O31" s="5">
        <f>(VLOOKUP('18.05'!W31,'18.05'!$AO$4:$AQ$55,3,FALSE))</f>
        <v>0</v>
      </c>
      <c r="P31" s="5">
        <f>(VLOOKUP('18.05'!X31,'18.05'!$AO$4:$AQ$55,3,FALSE))</f>
        <v>0</v>
      </c>
      <c r="Q31" s="4">
        <f>(VLOOKUP('18.05'!Y31,'18.05'!$AO$4:$AQ$55,3,FALSE))</f>
        <v>0</v>
      </c>
      <c r="R31" s="4">
        <f>(VLOOKUP('18.05'!Z31,'18.05'!$AO$4:$AQ$55,3,FALSE))</f>
        <v>0</v>
      </c>
      <c r="S31" s="4">
        <f>(VLOOKUP('18.05'!AA31,'18.05'!$AO$4:$AQ$55,3,FALSE))</f>
        <v>0</v>
      </c>
      <c r="T31" s="4">
        <f>(VLOOKUP('18.05'!AB31,'18.05'!$AO$4:$AQ$55,3,FALSE))</f>
        <v>0</v>
      </c>
      <c r="U31" s="4">
        <f>(VLOOKUP('18.05'!AC31,'18.05'!$AO$4:$AQ$55,3,FALSE))</f>
        <v>0</v>
      </c>
      <c r="V31" s="4">
        <f>(VLOOKUP('18.05'!AD31,'18.05'!$AO$4:$AQ$55,3,FALSE))</f>
        <v>0</v>
      </c>
      <c r="W31" s="5">
        <f>(VLOOKUP('18.05'!AE31,'18.05'!$AO$4:$AQ$55,3,FALSE))</f>
        <v>0</v>
      </c>
      <c r="X31" s="5">
        <f>(VLOOKUP('18.05'!AF31,'18.05'!$AO$4:$AQ$55,3,FALSE))</f>
        <v>0</v>
      </c>
    </row>
    <row r="32" spans="1:24">
      <c r="A32" s="4">
        <f>(VLOOKUP('18.05'!I32,'18.05'!$AO$4:$AQ$55,3,FALSE))</f>
        <v>60</v>
      </c>
      <c r="B32" s="4">
        <f>(VLOOKUP('18.05'!J32,'18.05'!$AO$4:$AQ$55,3,FALSE))</f>
        <v>60</v>
      </c>
      <c r="C32" s="4">
        <f>(VLOOKUP('18.05'!K32,'18.05'!$AO$4:$AQ$55,3,FALSE))</f>
        <v>60</v>
      </c>
      <c r="D32" s="4">
        <f>(VLOOKUP('18.05'!L32,'18.05'!$AO$4:$AQ$55,3,FALSE))</f>
        <v>60</v>
      </c>
      <c r="E32" s="4">
        <f>(VLOOKUP('18.05'!M32,'18.05'!$AO$4:$AQ$55,3,FALSE))</f>
        <v>60</v>
      </c>
      <c r="F32" s="4">
        <f>(VLOOKUP('18.05'!N32,'18.05'!$AO$4:$AQ$55,3,FALSE))</f>
        <v>60</v>
      </c>
      <c r="G32" s="5">
        <f>(VLOOKUP('18.05'!O32,'18.05'!$AO$4:$AQ$55,3,FALSE))</f>
        <v>0</v>
      </c>
      <c r="H32" s="5">
        <f>(VLOOKUP('18.05'!P32,'18.05'!$AO$4:$AQ$55,3,FALSE))</f>
        <v>0</v>
      </c>
      <c r="I32" s="4">
        <f>(VLOOKUP('18.05'!Q32,'18.05'!$AO$4:$AQ$55,3,FALSE))</f>
        <v>55</v>
      </c>
      <c r="J32" s="4">
        <f>(VLOOKUP('18.05'!R32,'18.05'!$AO$4:$AQ$55,3,FALSE))</f>
        <v>55</v>
      </c>
      <c r="K32" s="4">
        <f>(VLOOKUP('18.05'!S32,'18.05'!$AO$4:$AQ$55,3,FALSE))</f>
        <v>55</v>
      </c>
      <c r="L32" s="4">
        <f>(VLOOKUP('18.05'!T32,'18.05'!$AO$4:$AQ$55,3,FALSE))</f>
        <v>55</v>
      </c>
      <c r="M32" s="4">
        <f>(VLOOKUP('18.05'!U32,'18.05'!$AO$4:$AQ$55,3,FALSE))</f>
        <v>55</v>
      </c>
      <c r="N32" s="4">
        <f>(VLOOKUP('18.05'!V32,'18.05'!$AO$4:$AQ$55,3,FALSE))</f>
        <v>55</v>
      </c>
      <c r="O32" s="5">
        <f>(VLOOKUP('18.05'!W32,'18.05'!$AO$4:$AQ$55,3,FALSE))</f>
        <v>0</v>
      </c>
      <c r="P32" s="5">
        <f>(VLOOKUP('18.05'!X32,'18.05'!$AO$4:$AQ$55,3,FALSE))</f>
        <v>0</v>
      </c>
      <c r="Q32" s="4">
        <f>(VLOOKUP('18.05'!Y32,'18.05'!$AO$4:$AQ$55,3,FALSE))</f>
        <v>0</v>
      </c>
      <c r="R32" s="4">
        <f>(VLOOKUP('18.05'!Z32,'18.05'!$AO$4:$AQ$55,3,FALSE))</f>
        <v>0</v>
      </c>
      <c r="S32" s="4">
        <f>(VLOOKUP('18.05'!AA32,'18.05'!$AO$4:$AQ$55,3,FALSE))</f>
        <v>0</v>
      </c>
      <c r="T32" s="4">
        <f>(VLOOKUP('18.05'!AB32,'18.05'!$AO$4:$AQ$55,3,FALSE))</f>
        <v>0</v>
      </c>
      <c r="U32" s="4">
        <f>(VLOOKUP('18.05'!AC32,'18.05'!$AO$4:$AQ$55,3,FALSE))</f>
        <v>0</v>
      </c>
      <c r="V32" s="4">
        <f>(VLOOKUP('18.05'!AD32,'18.05'!$AO$4:$AQ$55,3,FALSE))</f>
        <v>0</v>
      </c>
      <c r="W32" s="5">
        <f>(VLOOKUP('18.05'!AE32,'18.05'!$AO$4:$AQ$55,3,FALSE))</f>
        <v>0</v>
      </c>
      <c r="X32" s="5">
        <f>(VLOOKUP('18.05'!AF32,'18.05'!$AO$4:$AQ$55,3,FALSE))</f>
        <v>0</v>
      </c>
    </row>
    <row r="33" spans="1:24">
      <c r="A33" s="4">
        <f>(VLOOKUP('18.05'!I33,'18.05'!$AO$4:$AQ$55,3,FALSE))</f>
        <v>60</v>
      </c>
      <c r="B33" s="4">
        <f>(VLOOKUP('18.05'!J33,'18.05'!$AO$4:$AQ$55,3,FALSE))</f>
        <v>60</v>
      </c>
      <c r="C33" s="4">
        <f>(VLOOKUP('18.05'!K33,'18.05'!$AO$4:$AQ$55,3,FALSE))</f>
        <v>60</v>
      </c>
      <c r="D33" s="4">
        <f>(VLOOKUP('18.05'!L33,'18.05'!$AO$4:$AQ$55,3,FALSE))</f>
        <v>60</v>
      </c>
      <c r="E33" s="4">
        <f>(VLOOKUP('18.05'!M33,'18.05'!$AO$4:$AQ$55,3,FALSE))</f>
        <v>60</v>
      </c>
      <c r="F33" s="4">
        <f>(VLOOKUP('18.05'!N33,'18.05'!$AO$4:$AQ$55,3,FALSE))</f>
        <v>0</v>
      </c>
      <c r="G33" s="5">
        <f>(VLOOKUP('18.05'!O33,'18.05'!$AO$4:$AQ$55,3,FALSE))</f>
        <v>0</v>
      </c>
      <c r="H33" s="5">
        <f>(VLOOKUP('18.05'!P33,'18.05'!$AO$4:$AQ$55,3,FALSE))</f>
        <v>0</v>
      </c>
      <c r="I33" s="4">
        <f>(VLOOKUP('18.05'!Q33,'18.05'!$AO$4:$AQ$55,3,FALSE))</f>
        <v>55</v>
      </c>
      <c r="J33" s="4">
        <f>(VLOOKUP('18.05'!R33,'18.05'!$AO$4:$AQ$55,3,FALSE))</f>
        <v>50</v>
      </c>
      <c r="K33" s="4">
        <f>(VLOOKUP('18.05'!S33,'18.05'!$AO$4:$AQ$55,3,FALSE))</f>
        <v>50</v>
      </c>
      <c r="L33" s="4">
        <f>(VLOOKUP('18.05'!T33,'18.05'!$AO$4:$AQ$55,3,FALSE))</f>
        <v>50</v>
      </c>
      <c r="M33" s="4">
        <f>(VLOOKUP('18.05'!U33,'18.05'!$AO$4:$AQ$55,3,FALSE))</f>
        <v>50</v>
      </c>
      <c r="N33" s="4">
        <f>(VLOOKUP('18.05'!V33,'18.05'!$AO$4:$AQ$55,3,FALSE))</f>
        <v>50</v>
      </c>
      <c r="O33" s="5">
        <f>(VLOOKUP('18.05'!W33,'18.05'!$AO$4:$AQ$55,3,FALSE))</f>
        <v>0</v>
      </c>
      <c r="P33" s="5">
        <f>(VLOOKUP('18.05'!X33,'18.05'!$AO$4:$AQ$55,3,FALSE))</f>
        <v>0</v>
      </c>
      <c r="Q33" s="4">
        <f>(VLOOKUP('18.05'!Y33,'18.05'!$AO$4:$AQ$55,3,FALSE))</f>
        <v>0</v>
      </c>
      <c r="R33" s="4">
        <f>(VLOOKUP('18.05'!Z33,'18.05'!$AO$4:$AQ$55,3,FALSE))</f>
        <v>0</v>
      </c>
      <c r="S33" s="4">
        <f>(VLOOKUP('18.05'!AA33,'18.05'!$AO$4:$AQ$55,3,FALSE))</f>
        <v>0</v>
      </c>
      <c r="T33" s="4">
        <f>(VLOOKUP('18.05'!AB33,'18.05'!$AO$4:$AQ$55,3,FALSE))</f>
        <v>0</v>
      </c>
      <c r="U33" s="4">
        <f>(VLOOKUP('18.05'!AC33,'18.05'!$AO$4:$AQ$55,3,FALSE))</f>
        <v>0</v>
      </c>
      <c r="V33" s="4">
        <f>(VLOOKUP('18.05'!AD33,'18.05'!$AO$4:$AQ$55,3,FALSE))</f>
        <v>0</v>
      </c>
      <c r="W33" s="5">
        <f>(VLOOKUP('18.05'!AE33,'18.05'!$AO$4:$AQ$55,3,FALSE))</f>
        <v>0</v>
      </c>
      <c r="X33" s="5">
        <f>(VLOOKUP('18.05'!AF33,'18.05'!$AO$4:$AQ$55,3,FALSE))</f>
        <v>0</v>
      </c>
    </row>
    <row r="34" spans="1:24">
      <c r="A34" s="4">
        <f>(VLOOKUP('18.05'!I34,'18.05'!$AO$4:$AQ$55,3,FALSE))</f>
        <v>60</v>
      </c>
      <c r="B34" s="4">
        <f>(VLOOKUP('18.05'!J34,'18.05'!$AO$4:$AQ$55,3,FALSE))</f>
        <v>60</v>
      </c>
      <c r="C34" s="4">
        <f>(VLOOKUP('18.05'!K34,'18.05'!$AO$4:$AQ$55,3,FALSE))</f>
        <v>60</v>
      </c>
      <c r="D34" s="4">
        <f>(VLOOKUP('18.05'!L34,'18.05'!$AO$4:$AQ$55,3,FALSE))</f>
        <v>60</v>
      </c>
      <c r="E34" s="4">
        <f>(VLOOKUP('18.05'!M34,'18.05'!$AO$4:$AQ$55,3,FALSE))</f>
        <v>60</v>
      </c>
      <c r="F34" s="4">
        <f>(VLOOKUP('18.05'!N34,'18.05'!$AO$4:$AQ$55,3,FALSE))</f>
        <v>60</v>
      </c>
      <c r="G34" s="5">
        <f>(VLOOKUP('18.05'!O34,'18.05'!$AO$4:$AQ$55,3,FALSE))</f>
        <v>0</v>
      </c>
      <c r="H34" s="5">
        <f>(VLOOKUP('18.05'!P34,'18.05'!$AO$4:$AQ$55,3,FALSE))</f>
        <v>0</v>
      </c>
      <c r="I34" s="4">
        <f>(VLOOKUP('18.05'!Q34,'18.05'!$AO$4:$AQ$55,3,FALSE))</f>
        <v>50</v>
      </c>
      <c r="J34" s="4">
        <f>(VLOOKUP('18.05'!R34,'18.05'!$AO$4:$AQ$55,3,FALSE))</f>
        <v>50</v>
      </c>
      <c r="K34" s="4">
        <f>(VLOOKUP('18.05'!S34,'18.05'!$AO$4:$AQ$55,3,FALSE))</f>
        <v>50</v>
      </c>
      <c r="L34" s="4">
        <f>(VLOOKUP('18.05'!T34,'18.05'!$AO$4:$AQ$55,3,FALSE))</f>
        <v>50</v>
      </c>
      <c r="M34" s="4">
        <f>(VLOOKUP('18.05'!U34,'18.05'!$AO$4:$AQ$55,3,FALSE))</f>
        <v>50</v>
      </c>
      <c r="N34" s="4">
        <f>(VLOOKUP('18.05'!V34,'18.05'!$AO$4:$AQ$55,3,FALSE))</f>
        <v>55</v>
      </c>
      <c r="O34" s="5">
        <f>(VLOOKUP('18.05'!W34,'18.05'!$AO$4:$AQ$55,3,FALSE))</f>
        <v>0</v>
      </c>
      <c r="P34" s="5">
        <f>(VLOOKUP('18.05'!X34,'18.05'!$AO$4:$AQ$55,3,FALSE))</f>
        <v>0</v>
      </c>
      <c r="Q34" s="4">
        <f>(VLOOKUP('18.05'!Y34,'18.05'!$AO$4:$AQ$55,3,FALSE))</f>
        <v>0</v>
      </c>
      <c r="R34" s="4">
        <f>(VLOOKUP('18.05'!Z34,'18.05'!$AO$4:$AQ$55,3,FALSE))</f>
        <v>0</v>
      </c>
      <c r="S34" s="4">
        <f>(VLOOKUP('18.05'!AA34,'18.05'!$AO$4:$AQ$55,3,FALSE))</f>
        <v>0</v>
      </c>
      <c r="T34" s="4">
        <f>(VLOOKUP('18.05'!AB34,'18.05'!$AO$4:$AQ$55,3,FALSE))</f>
        <v>0</v>
      </c>
      <c r="U34" s="4">
        <f>(VLOOKUP('18.05'!AC34,'18.05'!$AO$4:$AQ$55,3,FALSE))</f>
        <v>0</v>
      </c>
      <c r="V34" s="4">
        <f>(VLOOKUP('18.05'!AD34,'18.05'!$AO$4:$AQ$55,3,FALSE))</f>
        <v>0</v>
      </c>
      <c r="W34" s="5">
        <f>(VLOOKUP('18.05'!AE34,'18.05'!$AO$4:$AQ$55,3,FALSE))</f>
        <v>0</v>
      </c>
      <c r="X34" s="5">
        <f>(VLOOKUP('18.05'!AF34,'18.05'!$AO$4:$AQ$55,3,FALSE))</f>
        <v>0</v>
      </c>
    </row>
    <row r="35" spans="1:24">
      <c r="A35" s="4">
        <f>(VLOOKUP('18.05'!I35,'18.05'!$AO$4:$AQ$55,3,FALSE))</f>
        <v>60</v>
      </c>
      <c r="B35" s="4">
        <f>(VLOOKUP('18.05'!J35,'18.05'!$AO$4:$AQ$55,3,FALSE))</f>
        <v>50</v>
      </c>
      <c r="C35" s="4">
        <f>(VLOOKUP('18.05'!K35,'18.05'!$AO$4:$AQ$55,3,FALSE))</f>
        <v>50</v>
      </c>
      <c r="D35" s="4">
        <f>(VLOOKUP('18.05'!L35,'18.05'!$AO$4:$AQ$55,3,FALSE))</f>
        <v>60</v>
      </c>
      <c r="E35" s="4">
        <f>(VLOOKUP('18.05'!M35,'18.05'!$AO$4:$AQ$55,3,FALSE))</f>
        <v>0</v>
      </c>
      <c r="F35" s="4">
        <f>(VLOOKUP('18.05'!N35,'18.05'!$AO$4:$AQ$55,3,FALSE))</f>
        <v>0</v>
      </c>
      <c r="G35" s="5">
        <f>(VLOOKUP('18.05'!O35,'18.05'!$AO$4:$AQ$55,3,FALSE))</f>
        <v>0</v>
      </c>
      <c r="H35" s="5">
        <f>(VLOOKUP('18.05'!P35,'18.05'!$AO$4:$AQ$55,3,FALSE))</f>
        <v>0</v>
      </c>
      <c r="I35" s="4">
        <f>(VLOOKUP('18.05'!Q35,'18.05'!$AO$4:$AQ$55,3,FALSE))</f>
        <v>55</v>
      </c>
      <c r="J35" s="4">
        <f>(VLOOKUP('18.05'!R35,'18.05'!$AO$4:$AQ$55,3,FALSE))</f>
        <v>55</v>
      </c>
      <c r="K35" s="4">
        <f>(VLOOKUP('18.05'!S35,'18.05'!$AO$4:$AQ$55,3,FALSE))</f>
        <v>55</v>
      </c>
      <c r="L35" s="4">
        <f>(VLOOKUP('18.05'!T35,'18.05'!$AO$4:$AQ$55,3,FALSE))</f>
        <v>55</v>
      </c>
      <c r="M35" s="4">
        <f>(VLOOKUP('18.05'!U35,'18.05'!$AO$4:$AQ$55,3,FALSE))</f>
        <v>55</v>
      </c>
      <c r="N35" s="4">
        <f>(VLOOKUP('18.05'!V35,'18.05'!$AO$4:$AQ$55,3,FALSE))</f>
        <v>55</v>
      </c>
      <c r="O35" s="5">
        <f>(VLOOKUP('18.05'!W35,'18.05'!$AO$4:$AQ$55,3,FALSE))</f>
        <v>0</v>
      </c>
      <c r="P35" s="5">
        <f>(VLOOKUP('18.05'!X35,'18.05'!$AO$4:$AQ$55,3,FALSE))</f>
        <v>0</v>
      </c>
      <c r="Q35" s="4">
        <f>(VLOOKUP('18.05'!Y35,'18.05'!$AO$4:$AQ$55,3,FALSE))</f>
        <v>0</v>
      </c>
      <c r="R35" s="4">
        <f>(VLOOKUP('18.05'!Z35,'18.05'!$AO$4:$AQ$55,3,FALSE))</f>
        <v>0</v>
      </c>
      <c r="S35" s="4">
        <f>(VLOOKUP('18.05'!AA35,'18.05'!$AO$4:$AQ$55,3,FALSE))</f>
        <v>0</v>
      </c>
      <c r="T35" s="4">
        <f>(VLOOKUP('18.05'!AB35,'18.05'!$AO$4:$AQ$55,3,FALSE))</f>
        <v>0</v>
      </c>
      <c r="U35" s="4">
        <f>(VLOOKUP('18.05'!AC35,'18.05'!$AO$4:$AQ$55,3,FALSE))</f>
        <v>0</v>
      </c>
      <c r="V35" s="4">
        <f>(VLOOKUP('18.05'!AD35,'18.05'!$AO$4:$AQ$55,3,FALSE))</f>
        <v>0</v>
      </c>
      <c r="W35" s="5">
        <f>(VLOOKUP('18.05'!AE35,'18.05'!$AO$4:$AQ$55,3,FALSE))</f>
        <v>0</v>
      </c>
      <c r="X35" s="5">
        <f>(VLOOKUP('18.05'!AF35,'18.05'!$AO$4:$AQ$55,3,FALSE))</f>
        <v>0</v>
      </c>
    </row>
    <row r="36" spans="1:24">
      <c r="A36" s="4">
        <f>(VLOOKUP('18.05'!I36,'18.05'!$AO$4:$AQ$55,3,FALSE))</f>
        <v>45</v>
      </c>
      <c r="B36" s="4">
        <f>(VLOOKUP('18.05'!J36,'18.05'!$AO$4:$AQ$55,3,FALSE))</f>
        <v>45</v>
      </c>
      <c r="C36" s="4">
        <f>(VLOOKUP('18.05'!K36,'18.05'!$AO$4:$AQ$55,3,FALSE))</f>
        <v>45</v>
      </c>
      <c r="D36" s="4">
        <f>(VLOOKUP('18.05'!L36,'18.05'!$AO$4:$AQ$55,3,FALSE))</f>
        <v>45</v>
      </c>
      <c r="E36" s="4">
        <f>(VLOOKUP('18.05'!M36,'18.05'!$AO$4:$AQ$55,3,FALSE))</f>
        <v>45</v>
      </c>
      <c r="F36" s="4">
        <f>(VLOOKUP('18.05'!N36,'18.05'!$AO$4:$AQ$55,3,FALSE))</f>
        <v>0</v>
      </c>
      <c r="G36" s="5">
        <f>(VLOOKUP('18.05'!O36,'18.05'!$AO$4:$AQ$55,3,FALSE))</f>
        <v>0</v>
      </c>
      <c r="H36" s="5">
        <f>(VLOOKUP('18.05'!P36,'18.05'!$AO$4:$AQ$55,3,FALSE))</f>
        <v>0</v>
      </c>
      <c r="I36" s="4">
        <f>(VLOOKUP('18.05'!Q36,'18.05'!$AO$4:$AQ$55,3,FALSE))</f>
        <v>55</v>
      </c>
      <c r="J36" s="4">
        <f>(VLOOKUP('18.05'!R36,'18.05'!$AO$4:$AQ$55,3,FALSE))</f>
        <v>55</v>
      </c>
      <c r="K36" s="4">
        <f>(VLOOKUP('18.05'!S36,'18.05'!$AO$4:$AQ$55,3,FALSE))</f>
        <v>55</v>
      </c>
      <c r="L36" s="4">
        <f>(VLOOKUP('18.05'!T36,'18.05'!$AO$4:$AQ$55,3,FALSE))</f>
        <v>55</v>
      </c>
      <c r="M36" s="4">
        <f>(VLOOKUP('18.05'!U36,'18.05'!$AO$4:$AQ$55,3,FALSE))</f>
        <v>55</v>
      </c>
      <c r="N36" s="4">
        <f>(VLOOKUP('18.05'!V36,'18.05'!$AO$4:$AQ$55,3,FALSE))</f>
        <v>55</v>
      </c>
      <c r="O36" s="5">
        <f>(VLOOKUP('18.05'!W36,'18.05'!$AO$4:$AQ$55,3,FALSE))</f>
        <v>0</v>
      </c>
      <c r="P36" s="5">
        <f>(VLOOKUP('18.05'!X36,'18.05'!$AO$4:$AQ$55,3,FALSE))</f>
        <v>0</v>
      </c>
      <c r="Q36" s="4">
        <f>(VLOOKUP('18.05'!Y36,'18.05'!$AO$4:$AQ$55,3,FALSE))</f>
        <v>0</v>
      </c>
      <c r="R36" s="4">
        <f>(VLOOKUP('18.05'!Z36,'18.05'!$AO$4:$AQ$55,3,FALSE))</f>
        <v>0</v>
      </c>
      <c r="S36" s="4">
        <f>(VLOOKUP('18.05'!AA36,'18.05'!$AO$4:$AQ$55,3,FALSE))</f>
        <v>0</v>
      </c>
      <c r="T36" s="4">
        <f>(VLOOKUP('18.05'!AB36,'18.05'!$AO$4:$AQ$55,3,FALSE))</f>
        <v>0</v>
      </c>
      <c r="U36" s="4">
        <f>(VLOOKUP('18.05'!AC36,'18.05'!$AO$4:$AQ$55,3,FALSE))</f>
        <v>0</v>
      </c>
      <c r="V36" s="4">
        <f>(VLOOKUP('18.05'!AD36,'18.05'!$AO$4:$AQ$55,3,FALSE))</f>
        <v>0</v>
      </c>
      <c r="W36" s="5">
        <f>(VLOOKUP('18.05'!AE36,'18.05'!$AO$4:$AQ$55,3,FALSE))</f>
        <v>0</v>
      </c>
      <c r="X36" s="5">
        <f>(VLOOKUP('18.05'!AF36,'18.05'!$AO$4:$AQ$55,3,FALSE))</f>
        <v>0</v>
      </c>
    </row>
    <row r="37" spans="1:24">
      <c r="A37" s="4">
        <f>(VLOOKUP('18.05'!I37,'18.05'!$AO$4:$AQ$55,3,FALSE))</f>
        <v>45</v>
      </c>
      <c r="B37" s="4">
        <f>(VLOOKUP('18.05'!J37,'18.05'!$AO$4:$AQ$55,3,FALSE))</f>
        <v>45</v>
      </c>
      <c r="C37" s="4">
        <f>(VLOOKUP('18.05'!K37,'18.05'!$AO$4:$AQ$55,3,FALSE))</f>
        <v>45</v>
      </c>
      <c r="D37" s="4">
        <f>(VLOOKUP('18.05'!L37,'18.05'!$AO$4:$AQ$55,3,FALSE))</f>
        <v>45</v>
      </c>
      <c r="E37" s="4">
        <f>(VLOOKUP('18.05'!M37,'18.05'!$AO$4:$AQ$55,3,FALSE))</f>
        <v>45</v>
      </c>
      <c r="F37" s="4">
        <f>(VLOOKUP('18.05'!N37,'18.05'!$AO$4:$AQ$55,3,FALSE))</f>
        <v>50</v>
      </c>
      <c r="G37" s="5">
        <f>(VLOOKUP('18.05'!O37,'18.05'!$AO$4:$AQ$55,3,FALSE))</f>
        <v>0</v>
      </c>
      <c r="H37" s="5">
        <f>(VLOOKUP('18.05'!P37,'18.05'!$AO$4:$AQ$55,3,FALSE))</f>
        <v>0</v>
      </c>
      <c r="I37" s="4">
        <f>(VLOOKUP('18.05'!Q37,'18.05'!$AO$4:$AQ$55,3,FALSE))</f>
        <v>55</v>
      </c>
      <c r="J37" s="4">
        <f>(VLOOKUP('18.05'!R37,'18.05'!$AO$4:$AQ$55,3,FALSE))</f>
        <v>55</v>
      </c>
      <c r="K37" s="4">
        <f>(VLOOKUP('18.05'!S37,'18.05'!$AO$4:$AQ$55,3,FALSE))</f>
        <v>55</v>
      </c>
      <c r="L37" s="4">
        <f>(VLOOKUP('18.05'!T37,'18.05'!$AO$4:$AQ$55,3,FALSE))</f>
        <v>55</v>
      </c>
      <c r="M37" s="4">
        <f>(VLOOKUP('18.05'!U37,'18.05'!$AO$4:$AQ$55,3,FALSE))</f>
        <v>55</v>
      </c>
      <c r="N37" s="4">
        <f>(VLOOKUP('18.05'!V37,'18.05'!$AO$4:$AQ$55,3,FALSE))</f>
        <v>0</v>
      </c>
      <c r="O37" s="5">
        <f>(VLOOKUP('18.05'!W37,'18.05'!$AO$4:$AQ$55,3,FALSE))</f>
        <v>0</v>
      </c>
      <c r="P37" s="5">
        <f>(VLOOKUP('18.05'!X37,'18.05'!$AO$4:$AQ$55,3,FALSE))</f>
        <v>0</v>
      </c>
      <c r="Q37" s="4">
        <f>(VLOOKUP('18.05'!Y37,'18.05'!$AO$4:$AQ$55,3,FALSE))</f>
        <v>0</v>
      </c>
      <c r="R37" s="4">
        <f>(VLOOKUP('18.05'!Z37,'18.05'!$AO$4:$AQ$55,3,FALSE))</f>
        <v>0</v>
      </c>
      <c r="S37" s="4">
        <f>(VLOOKUP('18.05'!AA37,'18.05'!$AO$4:$AQ$55,3,FALSE))</f>
        <v>0</v>
      </c>
      <c r="T37" s="4">
        <f>(VLOOKUP('18.05'!AB37,'18.05'!$AO$4:$AQ$55,3,FALSE))</f>
        <v>0</v>
      </c>
      <c r="U37" s="4">
        <f>(VLOOKUP('18.05'!AC37,'18.05'!$AO$4:$AQ$55,3,FALSE))</f>
        <v>0</v>
      </c>
      <c r="V37" s="4">
        <f>(VLOOKUP('18.05'!AD37,'18.05'!$AO$4:$AQ$55,3,FALSE))</f>
        <v>0</v>
      </c>
      <c r="W37" s="5">
        <f>(VLOOKUP('18.05'!AE37,'18.05'!$AO$4:$AQ$55,3,FALSE))</f>
        <v>0</v>
      </c>
      <c r="X37" s="5">
        <f>(VLOOKUP('18.05'!AF37,'18.05'!$AO$4:$AQ$55,3,FALSE))</f>
        <v>0</v>
      </c>
    </row>
    <row r="38" spans="1:24">
      <c r="A38" s="4">
        <f>(VLOOKUP('18.05'!I38,'18.05'!$AO$4:$AQ$55,3,FALSE))</f>
        <v>50</v>
      </c>
      <c r="B38" s="4">
        <f>(VLOOKUP('18.05'!J38,'18.05'!$AO$4:$AQ$55,3,FALSE))</f>
        <v>30</v>
      </c>
      <c r="C38" s="4">
        <f>(VLOOKUP('18.05'!K38,'18.05'!$AO$4:$AQ$55,3,FALSE))</f>
        <v>50</v>
      </c>
      <c r="D38" s="4">
        <f>(VLOOKUP('18.05'!L38,'18.05'!$AO$4:$AQ$55,3,FALSE))</f>
        <v>50</v>
      </c>
      <c r="E38" s="4">
        <f>(VLOOKUP('18.05'!M38,'18.05'!$AO$4:$AQ$55,3,FALSE))</f>
        <v>50</v>
      </c>
      <c r="F38" s="4">
        <f>(VLOOKUP('18.05'!N38,'18.05'!$AO$4:$AQ$55,3,FALSE))</f>
        <v>50</v>
      </c>
      <c r="G38" s="5">
        <f>(VLOOKUP('18.05'!O38,'18.05'!$AO$4:$AQ$55,3,FALSE))</f>
        <v>50</v>
      </c>
      <c r="H38" s="5">
        <f>(VLOOKUP('18.05'!P38,'18.05'!$AO$4:$AQ$55,3,FALSE))</f>
        <v>0</v>
      </c>
      <c r="I38" s="4">
        <f>(VLOOKUP('18.05'!Q38,'18.05'!$AO$4:$AQ$55,3,FALSE))</f>
        <v>55</v>
      </c>
      <c r="J38" s="4">
        <f>(VLOOKUP('18.05'!R38,'18.05'!$AO$4:$AQ$55,3,FALSE))</f>
        <v>50</v>
      </c>
      <c r="K38" s="4">
        <f>(VLOOKUP('18.05'!S38,'18.05'!$AO$4:$AQ$55,3,FALSE))</f>
        <v>50</v>
      </c>
      <c r="L38" s="4">
        <f>(VLOOKUP('18.05'!T38,'18.05'!$AO$4:$AQ$55,3,FALSE))</f>
        <v>50</v>
      </c>
      <c r="M38" s="4">
        <f>(VLOOKUP('18.05'!U38,'18.05'!$AO$4:$AQ$55,3,FALSE))</f>
        <v>50</v>
      </c>
      <c r="N38" s="4">
        <f>(VLOOKUP('18.05'!V38,'18.05'!$AO$4:$AQ$55,3,FALSE))</f>
        <v>50</v>
      </c>
      <c r="O38" s="5">
        <f>(VLOOKUP('18.05'!W38,'18.05'!$AO$4:$AQ$55,3,FALSE))</f>
        <v>0</v>
      </c>
      <c r="P38" s="5">
        <f>(VLOOKUP('18.05'!X38,'18.05'!$AO$4:$AQ$55,3,FALSE))</f>
        <v>0</v>
      </c>
      <c r="Q38" s="4">
        <f>(VLOOKUP('18.05'!Y38,'18.05'!$AO$4:$AQ$55,3,FALSE))</f>
        <v>0</v>
      </c>
      <c r="R38" s="4">
        <f>(VLOOKUP('18.05'!Z38,'18.05'!$AO$4:$AQ$55,3,FALSE))</f>
        <v>0</v>
      </c>
      <c r="S38" s="4">
        <f>(VLOOKUP('18.05'!AA38,'18.05'!$AO$4:$AQ$55,3,FALSE))</f>
        <v>0</v>
      </c>
      <c r="T38" s="4">
        <f>(VLOOKUP('18.05'!AB38,'18.05'!$AO$4:$AQ$55,3,FALSE))</f>
        <v>0</v>
      </c>
      <c r="U38" s="4">
        <f>(VLOOKUP('18.05'!AC38,'18.05'!$AO$4:$AQ$55,3,FALSE))</f>
        <v>0</v>
      </c>
      <c r="V38" s="4">
        <f>(VLOOKUP('18.05'!AD38,'18.05'!$AO$4:$AQ$55,3,FALSE))</f>
        <v>0</v>
      </c>
      <c r="W38" s="5">
        <f>(VLOOKUP('18.05'!AE38,'18.05'!$AO$4:$AQ$55,3,FALSE))</f>
        <v>0</v>
      </c>
      <c r="X38" s="5">
        <f>(VLOOKUP('18.05'!AF38,'18.05'!$AO$4:$AQ$55,3,FALSE))</f>
        <v>0</v>
      </c>
    </row>
    <row r="39" spans="1:24">
      <c r="A39" s="4">
        <f>(VLOOKUP('18.05'!I39,'18.05'!$AO$4:$AQ$55,3,FALSE))</f>
        <v>0</v>
      </c>
      <c r="B39" s="4">
        <f>(VLOOKUP('18.05'!J39,'18.05'!$AO$4:$AQ$55,3,FALSE))</f>
        <v>0</v>
      </c>
      <c r="C39" s="4">
        <f>(VLOOKUP('18.05'!K39,'18.05'!$AO$4:$AQ$55,3,FALSE))</f>
        <v>0</v>
      </c>
      <c r="D39" s="4">
        <f>(VLOOKUP('18.05'!L39,'18.05'!$AO$4:$AQ$55,3,FALSE))</f>
        <v>0</v>
      </c>
      <c r="E39" s="4">
        <f>(VLOOKUP('18.05'!M39,'18.05'!$AO$4:$AQ$55,3,FALSE))</f>
        <v>0</v>
      </c>
      <c r="F39" s="4">
        <f>(VLOOKUP('18.05'!N39,'18.05'!$AO$4:$AQ$55,3,FALSE))</f>
        <v>0</v>
      </c>
      <c r="G39" s="5">
        <f>(VLOOKUP('18.05'!O39,'18.05'!$AO$4:$AQ$55,3,FALSE))</f>
        <v>0</v>
      </c>
      <c r="H39" s="5">
        <f>(VLOOKUP('18.05'!P39,'18.05'!$AO$4:$AQ$55,3,FALSE))</f>
        <v>0</v>
      </c>
      <c r="I39" s="4">
        <f>(VLOOKUP('18.05'!Q39,'18.05'!$AO$4:$AQ$55,3,FALSE))</f>
        <v>50</v>
      </c>
      <c r="J39" s="4">
        <f>(VLOOKUP('18.05'!R39,'18.05'!$AO$4:$AQ$55,3,FALSE))</f>
        <v>55</v>
      </c>
      <c r="K39" s="4">
        <f>(VLOOKUP('18.05'!S39,'18.05'!$AO$4:$AQ$55,3,FALSE))</f>
        <v>55</v>
      </c>
      <c r="L39" s="4">
        <f>(VLOOKUP('18.05'!T39,'18.05'!$AO$4:$AQ$55,3,FALSE))</f>
        <v>55</v>
      </c>
      <c r="M39" s="4">
        <f>(VLOOKUP('18.05'!U39,'18.05'!$AO$4:$AQ$55,3,FALSE))</f>
        <v>50</v>
      </c>
      <c r="N39" s="4">
        <f>(VLOOKUP('18.05'!V39,'18.05'!$AO$4:$AQ$55,3,FALSE))</f>
        <v>50</v>
      </c>
      <c r="O39" s="5">
        <f>(VLOOKUP('18.05'!W39,'18.05'!$AO$4:$AQ$55,3,FALSE))</f>
        <v>50</v>
      </c>
      <c r="P39" s="5">
        <f>(VLOOKUP('18.05'!X39,'18.05'!$AO$4:$AQ$55,3,FALSE))</f>
        <v>50</v>
      </c>
      <c r="Q39" s="4">
        <f>(VLOOKUP('18.05'!Y39,'18.05'!$AO$4:$AQ$55,3,FALSE))</f>
        <v>0</v>
      </c>
      <c r="R39" s="4">
        <f>(VLOOKUP('18.05'!Z39,'18.05'!$AO$4:$AQ$55,3,FALSE))</f>
        <v>0</v>
      </c>
      <c r="S39" s="4">
        <f>(VLOOKUP('18.05'!AA39,'18.05'!$AO$4:$AQ$55,3,FALSE))</f>
        <v>0</v>
      </c>
      <c r="T39" s="4">
        <f>(VLOOKUP('18.05'!AB39,'18.05'!$AO$4:$AQ$55,3,FALSE))</f>
        <v>0</v>
      </c>
      <c r="U39" s="4">
        <f>(VLOOKUP('18.05'!AC39,'18.05'!$AO$4:$AQ$55,3,FALSE))</f>
        <v>0</v>
      </c>
      <c r="V39" s="4">
        <f>(VLOOKUP('18.05'!AD39,'18.05'!$AO$4:$AQ$55,3,FALSE))</f>
        <v>0</v>
      </c>
      <c r="W39" s="5">
        <f>(VLOOKUP('18.05'!AE39,'18.05'!$AO$4:$AQ$55,3,FALSE))</f>
        <v>0</v>
      </c>
      <c r="X39" s="5">
        <f>(VLOOKUP('18.05'!AF39,'18.05'!$AO$4:$AQ$55,3,FALSE))</f>
        <v>0</v>
      </c>
    </row>
    <row r="40" spans="1:24">
      <c r="A40" s="4">
        <f>(VLOOKUP('18.05'!I40,'18.05'!$AO$4:$AQ$55,3,FALSE))</f>
        <v>0</v>
      </c>
      <c r="B40" s="4">
        <f>(VLOOKUP('18.05'!J40,'18.05'!$AO$4:$AQ$55,3,FALSE))</f>
        <v>0</v>
      </c>
      <c r="C40" s="4">
        <f>(VLOOKUP('18.05'!K40,'18.05'!$AO$4:$AQ$55,3,FALSE))</f>
        <v>0</v>
      </c>
      <c r="D40" s="4">
        <f>(VLOOKUP('18.05'!L40,'18.05'!$AO$4:$AQ$55,3,FALSE))</f>
        <v>0</v>
      </c>
      <c r="E40" s="4">
        <f>(VLOOKUP('18.05'!M40,'18.05'!$AO$4:$AQ$55,3,FALSE))</f>
        <v>0</v>
      </c>
      <c r="F40" s="4">
        <f>(VLOOKUP('18.05'!N40,'18.05'!$AO$4:$AQ$55,3,FALSE))</f>
        <v>0</v>
      </c>
      <c r="G40" s="5">
        <f>(VLOOKUP('18.05'!O40,'18.05'!$AO$4:$AQ$55,3,FALSE))</f>
        <v>0</v>
      </c>
      <c r="H40" s="5">
        <f>(VLOOKUP('18.05'!P40,'18.05'!$AO$4:$AQ$55,3,FALSE))</f>
        <v>0</v>
      </c>
      <c r="I40" s="4">
        <f>(VLOOKUP('18.05'!Q40,'18.05'!$AO$4:$AQ$55,3,FALSE))</f>
        <v>50</v>
      </c>
      <c r="J40" s="4">
        <f>(VLOOKUP('18.05'!R40,'18.05'!$AO$4:$AQ$55,3,FALSE))</f>
        <v>50</v>
      </c>
      <c r="K40" s="4">
        <f>(VLOOKUP('18.05'!S40,'18.05'!$AO$4:$AQ$55,3,FALSE))</f>
        <v>50</v>
      </c>
      <c r="L40" s="4">
        <f>(VLOOKUP('18.05'!T40,'18.05'!$AO$4:$AQ$55,3,FALSE))</f>
        <v>50</v>
      </c>
      <c r="M40" s="4">
        <f>(VLOOKUP('18.05'!U40,'18.05'!$AO$4:$AQ$55,3,FALSE))</f>
        <v>50</v>
      </c>
      <c r="N40" s="4">
        <f>(VLOOKUP('18.05'!V40,'18.05'!$AO$4:$AQ$55,3,FALSE))</f>
        <v>50</v>
      </c>
      <c r="O40" s="5">
        <f>(VLOOKUP('18.05'!W40,'18.05'!$AO$4:$AQ$55,3,FALSE))</f>
        <v>0</v>
      </c>
      <c r="P40" s="5">
        <f>(VLOOKUP('18.05'!X40,'18.05'!$AO$4:$AQ$55,3,FALSE))</f>
        <v>0</v>
      </c>
      <c r="Q40" s="4">
        <f>(VLOOKUP('18.05'!Y40,'18.05'!$AO$4:$AQ$55,3,FALSE))</f>
        <v>0</v>
      </c>
      <c r="R40" s="4">
        <f>(VLOOKUP('18.05'!Z40,'18.05'!$AO$4:$AQ$55,3,FALSE))</f>
        <v>0</v>
      </c>
      <c r="S40" s="4">
        <f>(VLOOKUP('18.05'!AA40,'18.05'!$AO$4:$AQ$55,3,FALSE))</f>
        <v>0</v>
      </c>
      <c r="T40" s="4">
        <f>(VLOOKUP('18.05'!AB40,'18.05'!$AO$4:$AQ$55,3,FALSE))</f>
        <v>0</v>
      </c>
      <c r="U40" s="4">
        <f>(VLOOKUP('18.05'!AC40,'18.05'!$AO$4:$AQ$55,3,FALSE))</f>
        <v>0</v>
      </c>
      <c r="V40" s="4">
        <f>(VLOOKUP('18.05'!AD40,'18.05'!$AO$4:$AQ$55,3,FALSE))</f>
        <v>0</v>
      </c>
      <c r="W40" s="5">
        <f>(VLOOKUP('18.05'!AE40,'18.05'!$AO$4:$AQ$55,3,FALSE))</f>
        <v>0</v>
      </c>
      <c r="X40" s="5">
        <f>(VLOOKUP('18.05'!AF40,'18.05'!$AO$4:$AQ$55,3,FALSE))</f>
        <v>0</v>
      </c>
    </row>
    <row r="41" spans="1:24">
      <c r="A41" s="4">
        <f>(VLOOKUP('18.05'!I41,'18.05'!$AO$4:$AQ$55,3,FALSE))</f>
        <v>50</v>
      </c>
      <c r="B41" s="4">
        <f>(VLOOKUP('18.05'!J41,'18.05'!$AO$4:$AQ$55,3,FALSE))</f>
        <v>50</v>
      </c>
      <c r="C41" s="4">
        <f>(VLOOKUP('18.05'!K41,'18.05'!$AO$4:$AQ$55,3,FALSE))</f>
        <v>50</v>
      </c>
      <c r="D41" s="4">
        <f>(VLOOKUP('18.05'!L41,'18.05'!$AO$4:$AQ$55,3,FALSE))</f>
        <v>50</v>
      </c>
      <c r="E41" s="4">
        <f>(VLOOKUP('18.05'!M41,'18.05'!$AO$4:$AQ$55,3,FALSE))</f>
        <v>50</v>
      </c>
      <c r="F41" s="4">
        <f>(VLOOKUP('18.05'!N41,'18.05'!$AO$4:$AQ$55,3,FALSE))</f>
        <v>50</v>
      </c>
      <c r="G41" s="5">
        <f>(VLOOKUP('18.05'!O41,'18.05'!$AO$4:$AQ$55,3,FALSE))</f>
        <v>0</v>
      </c>
      <c r="H41" s="5">
        <f>(VLOOKUP('18.05'!P41,'18.05'!$AO$4:$AQ$55,3,FALSE))</f>
        <v>0</v>
      </c>
      <c r="I41" s="4">
        <f>(VLOOKUP('18.05'!Q41,'18.05'!$AO$4:$AQ$55,3,FALSE))</f>
        <v>50</v>
      </c>
      <c r="J41" s="4">
        <f>(VLOOKUP('18.05'!R41,'18.05'!$AO$4:$AQ$55,3,FALSE))</f>
        <v>50</v>
      </c>
      <c r="K41" s="4">
        <f>(VLOOKUP('18.05'!S41,'18.05'!$AO$4:$AQ$55,3,FALSE))</f>
        <v>50</v>
      </c>
      <c r="L41" s="4">
        <f>(VLOOKUP('18.05'!T41,'18.05'!$AO$4:$AQ$55,3,FALSE))</f>
        <v>50</v>
      </c>
      <c r="M41" s="4">
        <f>(VLOOKUP('18.05'!U41,'18.05'!$AO$4:$AQ$55,3,FALSE))</f>
        <v>50</v>
      </c>
      <c r="N41" s="4">
        <f>(VLOOKUP('18.05'!V41,'18.05'!$AO$4:$AQ$55,3,FALSE))</f>
        <v>50</v>
      </c>
      <c r="O41" s="5">
        <f>(VLOOKUP('18.05'!W41,'18.05'!$AO$4:$AQ$55,3,FALSE))</f>
        <v>0</v>
      </c>
      <c r="P41" s="5">
        <f>(VLOOKUP('18.05'!X41,'18.05'!$AO$4:$AQ$55,3,FALSE))</f>
        <v>0</v>
      </c>
      <c r="Q41" s="4">
        <f>(VLOOKUP('18.05'!Y41,'18.05'!$AO$4:$AQ$55,3,FALSE))</f>
        <v>0</v>
      </c>
      <c r="R41" s="4">
        <f>(VLOOKUP('18.05'!Z41,'18.05'!$AO$4:$AQ$55,3,FALSE))</f>
        <v>0</v>
      </c>
      <c r="S41" s="4">
        <f>(VLOOKUP('18.05'!AA41,'18.05'!$AO$4:$AQ$55,3,FALSE))</f>
        <v>0</v>
      </c>
      <c r="T41" s="4">
        <f>(VLOOKUP('18.05'!AB41,'18.05'!$AO$4:$AQ$55,3,FALSE))</f>
        <v>0</v>
      </c>
      <c r="U41" s="4">
        <f>(VLOOKUP('18.05'!AC41,'18.05'!$AO$4:$AQ$55,3,FALSE))</f>
        <v>0</v>
      </c>
      <c r="V41" s="4">
        <f>(VLOOKUP('18.05'!AD41,'18.05'!$AO$4:$AQ$55,3,FALSE))</f>
        <v>0</v>
      </c>
      <c r="W41" s="5">
        <f>(VLOOKUP('18.05'!AE41,'18.05'!$AO$4:$AQ$55,3,FALSE))</f>
        <v>0</v>
      </c>
      <c r="X41" s="5">
        <f>(VLOOKUP('18.05'!AF41,'18.05'!$AO$4:$AQ$55,3,FALSE))</f>
        <v>0</v>
      </c>
    </row>
    <row r="42" spans="1:24">
      <c r="A42" s="4">
        <f>(VLOOKUP('18.05'!I42,'18.05'!$AO$4:$AQ$55,3,FALSE))</f>
        <v>50</v>
      </c>
      <c r="B42" s="4">
        <f>(VLOOKUP('18.05'!J42,'18.05'!$AO$4:$AQ$55,3,FALSE))</f>
        <v>50</v>
      </c>
      <c r="C42" s="4">
        <f>(VLOOKUP('18.05'!K42,'18.05'!$AO$4:$AQ$55,3,FALSE))</f>
        <v>50</v>
      </c>
      <c r="D42" s="4">
        <f>(VLOOKUP('18.05'!L42,'18.05'!$AO$4:$AQ$55,3,FALSE))</f>
        <v>50</v>
      </c>
      <c r="E42" s="4">
        <f>(VLOOKUP('18.05'!M42,'18.05'!$AO$4:$AQ$55,3,FALSE))</f>
        <v>50</v>
      </c>
      <c r="F42" s="4">
        <f>(VLOOKUP('18.05'!N42,'18.05'!$AO$4:$AQ$55,3,FALSE))</f>
        <v>50</v>
      </c>
      <c r="G42" s="5">
        <f>(VLOOKUP('18.05'!O42,'18.05'!$AO$4:$AQ$55,3,FALSE))</f>
        <v>0</v>
      </c>
      <c r="H42" s="5">
        <f>(VLOOKUP('18.05'!P42,'18.05'!$AO$4:$AQ$55,3,FALSE))</f>
        <v>0</v>
      </c>
      <c r="I42" s="4">
        <f>(VLOOKUP('18.05'!Q42,'18.05'!$AO$4:$AQ$55,3,FALSE))</f>
        <v>50</v>
      </c>
      <c r="J42" s="4">
        <f>(VLOOKUP('18.05'!R42,'18.05'!$AO$4:$AQ$55,3,FALSE))</f>
        <v>50</v>
      </c>
      <c r="K42" s="4">
        <f>(VLOOKUP('18.05'!S42,'18.05'!$AO$4:$AQ$55,3,FALSE))</f>
        <v>50</v>
      </c>
      <c r="L42" s="4">
        <f>(VLOOKUP('18.05'!T42,'18.05'!$AO$4:$AQ$55,3,FALSE))</f>
        <v>50</v>
      </c>
      <c r="M42" s="4">
        <f>(VLOOKUP('18.05'!U42,'18.05'!$AO$4:$AQ$55,3,FALSE))</f>
        <v>55</v>
      </c>
      <c r="N42" s="4">
        <f>(VLOOKUP('18.05'!V42,'18.05'!$AO$4:$AQ$55,3,FALSE))</f>
        <v>55</v>
      </c>
      <c r="O42" s="5">
        <f>(VLOOKUP('18.05'!W42,'18.05'!$AO$4:$AQ$55,3,FALSE))</f>
        <v>0</v>
      </c>
      <c r="P42" s="5">
        <f>(VLOOKUP('18.05'!X42,'18.05'!$AO$4:$AQ$55,3,FALSE))</f>
        <v>0</v>
      </c>
      <c r="Q42" s="4">
        <f>(VLOOKUP('18.05'!Y42,'18.05'!$AO$4:$AQ$55,3,FALSE))</f>
        <v>0</v>
      </c>
      <c r="R42" s="4">
        <f>(VLOOKUP('18.05'!Z42,'18.05'!$AO$4:$AQ$55,3,FALSE))</f>
        <v>0</v>
      </c>
      <c r="S42" s="4">
        <f>(VLOOKUP('18.05'!AA42,'18.05'!$AO$4:$AQ$55,3,FALSE))</f>
        <v>0</v>
      </c>
      <c r="T42" s="4">
        <f>(VLOOKUP('18.05'!AB42,'18.05'!$AO$4:$AQ$55,3,FALSE))</f>
        <v>0</v>
      </c>
      <c r="U42" s="4">
        <f>(VLOOKUP('18.05'!AC42,'18.05'!$AO$4:$AQ$55,3,FALSE))</f>
        <v>0</v>
      </c>
      <c r="V42" s="4">
        <f>(VLOOKUP('18.05'!AD42,'18.05'!$AO$4:$AQ$55,3,FALSE))</f>
        <v>0</v>
      </c>
      <c r="W42" s="5">
        <f>(VLOOKUP('18.05'!AE42,'18.05'!$AO$4:$AQ$55,3,FALSE))</f>
        <v>0</v>
      </c>
      <c r="X42" s="5">
        <f>(VLOOKUP('18.05'!AF42,'18.05'!$AO$4:$AQ$55,3,FALSE))</f>
        <v>0</v>
      </c>
    </row>
    <row r="43" spans="1:24">
      <c r="A43" s="4">
        <f>(VLOOKUP('18.05'!I43,'18.05'!$AO$4:$AQ$55,3,FALSE))</f>
        <v>50</v>
      </c>
      <c r="B43" s="4">
        <f>(VLOOKUP('18.05'!J43,'18.05'!$AO$4:$AQ$55,3,FALSE))</f>
        <v>50</v>
      </c>
      <c r="C43" s="4">
        <f>(VLOOKUP('18.05'!K43,'18.05'!$AO$4:$AQ$55,3,FALSE))</f>
        <v>50</v>
      </c>
      <c r="D43" s="4">
        <f>(VLOOKUP('18.05'!L43,'18.05'!$AO$4:$AQ$55,3,FALSE))</f>
        <v>50</v>
      </c>
      <c r="E43" s="4">
        <f>(VLOOKUP('18.05'!M43,'18.05'!$AO$4:$AQ$55,3,FALSE))</f>
        <v>50</v>
      </c>
      <c r="F43" s="4">
        <f>(VLOOKUP('18.05'!N43,'18.05'!$AO$4:$AQ$55,3,FALSE))</f>
        <v>50</v>
      </c>
      <c r="G43" s="5">
        <f>(VLOOKUP('18.05'!O43,'18.05'!$AO$4:$AQ$55,3,FALSE))</f>
        <v>0</v>
      </c>
      <c r="H43" s="5">
        <f>(VLOOKUP('18.05'!P43,'18.05'!$AO$4:$AQ$55,3,FALSE))</f>
        <v>0</v>
      </c>
      <c r="I43" s="4">
        <f>(VLOOKUP('18.05'!Q43,'18.05'!$AO$4:$AQ$55,3,FALSE))</f>
        <v>50</v>
      </c>
      <c r="J43" s="4">
        <f>(VLOOKUP('18.05'!R43,'18.05'!$AO$4:$AQ$55,3,FALSE))</f>
        <v>55</v>
      </c>
      <c r="K43" s="4">
        <f>(VLOOKUP('18.05'!S43,'18.05'!$AO$4:$AQ$55,3,FALSE))</f>
        <v>55</v>
      </c>
      <c r="L43" s="4">
        <f>(VLOOKUP('18.05'!T43,'18.05'!$AO$4:$AQ$55,3,FALSE))</f>
        <v>55</v>
      </c>
      <c r="M43" s="4">
        <f>(VLOOKUP('18.05'!U43,'18.05'!$AO$4:$AQ$55,3,FALSE))</f>
        <v>55</v>
      </c>
      <c r="N43" s="4">
        <f>(VLOOKUP('18.05'!V43,'18.05'!$AO$4:$AQ$55,3,FALSE))</f>
        <v>55</v>
      </c>
      <c r="O43" s="5">
        <f>(VLOOKUP('18.05'!W43,'18.05'!$AO$4:$AQ$55,3,FALSE))</f>
        <v>0</v>
      </c>
      <c r="P43" s="5">
        <f>(VLOOKUP('18.05'!X43,'18.05'!$AO$4:$AQ$55,3,FALSE))</f>
        <v>0</v>
      </c>
      <c r="Q43" s="4">
        <f>(VLOOKUP('18.05'!Y43,'18.05'!$AO$4:$AQ$55,3,FALSE))</f>
        <v>0</v>
      </c>
      <c r="R43" s="4">
        <f>(VLOOKUP('18.05'!Z43,'18.05'!$AO$4:$AQ$55,3,FALSE))</f>
        <v>0</v>
      </c>
      <c r="S43" s="4">
        <f>(VLOOKUP('18.05'!AA43,'18.05'!$AO$4:$AQ$55,3,FALSE))</f>
        <v>0</v>
      </c>
      <c r="T43" s="4">
        <f>(VLOOKUP('18.05'!AB43,'18.05'!$AO$4:$AQ$55,3,FALSE))</f>
        <v>0</v>
      </c>
      <c r="U43" s="4">
        <f>(VLOOKUP('18.05'!AC43,'18.05'!$AO$4:$AQ$55,3,FALSE))</f>
        <v>0</v>
      </c>
      <c r="V43" s="4">
        <f>(VLOOKUP('18.05'!AD43,'18.05'!$AO$4:$AQ$55,3,FALSE))</f>
        <v>0</v>
      </c>
      <c r="W43" s="5">
        <f>(VLOOKUP('18.05'!AE43,'18.05'!$AO$4:$AQ$55,3,FALSE))</f>
        <v>0</v>
      </c>
      <c r="X43" s="5">
        <f>(VLOOKUP('18.05'!AF43,'18.05'!$AO$4:$AQ$55,3,FALSE))</f>
        <v>0</v>
      </c>
    </row>
    <row r="44" spans="1:24">
      <c r="A44" s="4">
        <f>(VLOOKUP('18.05'!I44,'18.05'!$AO$4:$AQ$55,3,FALSE))</f>
        <v>50</v>
      </c>
      <c r="B44" s="4">
        <f>(VLOOKUP('18.05'!J44,'18.05'!$AO$4:$AQ$55,3,FALSE))</f>
        <v>50</v>
      </c>
      <c r="C44" s="4">
        <f>(VLOOKUP('18.05'!K44,'18.05'!$AO$4:$AQ$55,3,FALSE))</f>
        <v>50</v>
      </c>
      <c r="D44" s="4">
        <f>(VLOOKUP('18.05'!L44,'18.05'!$AO$4:$AQ$55,3,FALSE))</f>
        <v>50</v>
      </c>
      <c r="E44" s="4">
        <f>(VLOOKUP('18.05'!M44,'18.05'!$AO$4:$AQ$55,3,FALSE))</f>
        <v>50</v>
      </c>
      <c r="F44" s="4">
        <f>(VLOOKUP('18.05'!N44,'18.05'!$AO$4:$AQ$55,3,FALSE))</f>
        <v>50</v>
      </c>
      <c r="G44" s="5">
        <f>(VLOOKUP('18.05'!O44,'18.05'!$AO$4:$AQ$55,3,FALSE))</f>
        <v>0</v>
      </c>
      <c r="H44" s="5">
        <f>(VLOOKUP('18.05'!P44,'18.05'!$AO$4:$AQ$55,3,FALSE))</f>
        <v>0</v>
      </c>
      <c r="I44" s="4">
        <f>(VLOOKUP('18.05'!Q44,'18.05'!$AO$4:$AQ$55,3,FALSE))</f>
        <v>55</v>
      </c>
      <c r="J44" s="4">
        <f>(VLOOKUP('18.05'!R44,'18.05'!$AO$4:$AQ$55,3,FALSE))</f>
        <v>45</v>
      </c>
      <c r="K44" s="4">
        <f>(VLOOKUP('18.05'!S44,'18.05'!$AO$4:$AQ$55,3,FALSE))</f>
        <v>45</v>
      </c>
      <c r="L44" s="4">
        <f>(VLOOKUP('18.05'!T44,'18.05'!$AO$4:$AQ$55,3,FALSE))</f>
        <v>45</v>
      </c>
      <c r="M44" s="4">
        <f>(VLOOKUP('18.05'!U44,'18.05'!$AO$4:$AQ$55,3,FALSE))</f>
        <v>45</v>
      </c>
      <c r="N44" s="4">
        <f>(VLOOKUP('18.05'!V44,'18.05'!$AO$4:$AQ$55,3,FALSE))</f>
        <v>45</v>
      </c>
      <c r="O44" s="5">
        <f>(VLOOKUP('18.05'!W44,'18.05'!$AO$4:$AQ$55,3,FALSE))</f>
        <v>0</v>
      </c>
      <c r="P44" s="5">
        <f>(VLOOKUP('18.05'!X44,'18.05'!$AO$4:$AQ$55,3,FALSE))</f>
        <v>0</v>
      </c>
      <c r="Q44" s="4">
        <f>(VLOOKUP('18.05'!Y44,'18.05'!$AO$4:$AQ$55,3,FALSE))</f>
        <v>0</v>
      </c>
      <c r="R44" s="4">
        <f>(VLOOKUP('18.05'!Z44,'18.05'!$AO$4:$AQ$55,3,FALSE))</f>
        <v>0</v>
      </c>
      <c r="S44" s="4">
        <f>(VLOOKUP('18.05'!AA44,'18.05'!$AO$4:$AQ$55,3,FALSE))</f>
        <v>0</v>
      </c>
      <c r="T44" s="4">
        <f>(VLOOKUP('18.05'!AB44,'18.05'!$AO$4:$AQ$55,3,FALSE))</f>
        <v>0</v>
      </c>
      <c r="U44" s="4">
        <f>(VLOOKUP('18.05'!AC44,'18.05'!$AO$4:$AQ$55,3,FALSE))</f>
        <v>0</v>
      </c>
      <c r="V44" s="4">
        <f>(VLOOKUP('18.05'!AD44,'18.05'!$AO$4:$AQ$55,3,FALSE))</f>
        <v>0</v>
      </c>
      <c r="W44" s="5">
        <f>(VLOOKUP('18.05'!AE44,'18.05'!$AO$4:$AQ$55,3,FALSE))</f>
        <v>0</v>
      </c>
      <c r="X44" s="5">
        <f>(VLOOKUP('18.05'!AF44,'18.05'!$AO$4:$AQ$55,3,FALSE))</f>
        <v>0</v>
      </c>
    </row>
    <row r="45" spans="1:24">
      <c r="A45" s="4">
        <f>(VLOOKUP('18.05'!I45,'18.05'!$AO$4:$AQ$55,3,FALSE))</f>
        <v>50</v>
      </c>
      <c r="B45" s="4">
        <f>(VLOOKUP('18.05'!J45,'18.05'!$AO$4:$AQ$55,3,FALSE))</f>
        <v>45</v>
      </c>
      <c r="C45" s="4">
        <f>(VLOOKUP('18.05'!K45,'18.05'!$AO$4:$AQ$55,3,FALSE))</f>
        <v>45</v>
      </c>
      <c r="D45" s="4">
        <f>(VLOOKUP('18.05'!L45,'18.05'!$AO$4:$AQ$55,3,FALSE))</f>
        <v>45</v>
      </c>
      <c r="E45" s="4">
        <f>(VLOOKUP('18.05'!M45,'18.05'!$AO$4:$AQ$55,3,FALSE))</f>
        <v>45</v>
      </c>
      <c r="F45" s="4">
        <f>(VLOOKUP('18.05'!N45,'18.05'!$AO$4:$AQ$55,3,FALSE))</f>
        <v>0</v>
      </c>
      <c r="G45" s="5">
        <f>(VLOOKUP('18.05'!O45,'18.05'!$AO$4:$AQ$55,3,FALSE))</f>
        <v>0</v>
      </c>
      <c r="H45" s="5">
        <f>(VLOOKUP('18.05'!P45,'18.05'!$AO$4:$AQ$55,3,FALSE))</f>
        <v>0</v>
      </c>
      <c r="I45" s="4">
        <f>(VLOOKUP('18.05'!Q45,'18.05'!$AO$4:$AQ$55,3,FALSE))</f>
        <v>45</v>
      </c>
      <c r="J45" s="4">
        <f>(VLOOKUP('18.05'!R45,'18.05'!$AO$4:$AQ$55,3,FALSE))</f>
        <v>45</v>
      </c>
      <c r="K45" s="4">
        <f>(VLOOKUP('18.05'!S45,'18.05'!$AO$4:$AQ$55,3,FALSE))</f>
        <v>45</v>
      </c>
      <c r="L45" s="4">
        <f>(VLOOKUP('18.05'!T45,'18.05'!$AO$4:$AQ$55,3,FALSE))</f>
        <v>45</v>
      </c>
      <c r="M45" s="4">
        <f>(VLOOKUP('18.05'!U45,'18.05'!$AO$4:$AQ$55,3,FALSE))</f>
        <v>45</v>
      </c>
      <c r="N45" s="4">
        <f>(VLOOKUP('18.05'!V45,'18.05'!$AO$4:$AQ$55,3,FALSE))</f>
        <v>45</v>
      </c>
      <c r="O45" s="5">
        <f>(VLOOKUP('18.05'!W45,'18.05'!$AO$4:$AQ$55,3,FALSE))</f>
        <v>0</v>
      </c>
      <c r="P45" s="5">
        <f>(VLOOKUP('18.05'!X45,'18.05'!$AO$4:$AQ$55,3,FALSE))</f>
        <v>0</v>
      </c>
      <c r="Q45" s="4">
        <f>(VLOOKUP('18.05'!Y45,'18.05'!$AO$4:$AQ$55,3,FALSE))</f>
        <v>0</v>
      </c>
      <c r="R45" s="4">
        <f>(VLOOKUP('18.05'!Z45,'18.05'!$AO$4:$AQ$55,3,FALSE))</f>
        <v>0</v>
      </c>
      <c r="S45" s="4">
        <f>(VLOOKUP('18.05'!AA45,'18.05'!$AO$4:$AQ$55,3,FALSE))</f>
        <v>0</v>
      </c>
      <c r="T45" s="4">
        <f>(VLOOKUP('18.05'!AB45,'18.05'!$AO$4:$AQ$55,3,FALSE))</f>
        <v>0</v>
      </c>
      <c r="U45" s="4">
        <f>(VLOOKUP('18.05'!AC45,'18.05'!$AO$4:$AQ$55,3,FALSE))</f>
        <v>0</v>
      </c>
      <c r="V45" s="4">
        <f>(VLOOKUP('18.05'!AD45,'18.05'!$AO$4:$AQ$55,3,FALSE))</f>
        <v>0</v>
      </c>
      <c r="W45" s="5">
        <f>(VLOOKUP('18.05'!AE45,'18.05'!$AO$4:$AQ$55,3,FALSE))</f>
        <v>0</v>
      </c>
      <c r="X45" s="5">
        <f>(VLOOKUP('18.05'!AF45,'18.05'!$AO$4:$AQ$55,3,FALSE))</f>
        <v>0</v>
      </c>
    </row>
    <row r="46" spans="1:24">
      <c r="A46" s="4">
        <f>(VLOOKUP('18.05'!I46,'18.05'!$AO$4:$AQ$55,3,FALSE))</f>
        <v>45</v>
      </c>
      <c r="B46" s="4">
        <f>(VLOOKUP('18.05'!J46,'18.05'!$AO$4:$AQ$55,3,FALSE))</f>
        <v>45</v>
      </c>
      <c r="C46" s="4">
        <f>(VLOOKUP('18.05'!K46,'18.05'!$AO$4:$AQ$55,3,FALSE))</f>
        <v>45</v>
      </c>
      <c r="D46" s="4">
        <f>(VLOOKUP('18.05'!L46,'18.05'!$AO$4:$AQ$55,3,FALSE))</f>
        <v>45</v>
      </c>
      <c r="E46" s="4">
        <f>(VLOOKUP('18.05'!M46,'18.05'!$AO$4:$AQ$55,3,FALSE))</f>
        <v>45</v>
      </c>
      <c r="F46" s="4">
        <f>(VLOOKUP('18.05'!N46,'18.05'!$AO$4:$AQ$55,3,FALSE))</f>
        <v>45</v>
      </c>
      <c r="G46" s="5">
        <f>(VLOOKUP('18.05'!O46,'18.05'!$AO$4:$AQ$55,3,FALSE))</f>
        <v>0</v>
      </c>
      <c r="H46" s="5">
        <f>(VLOOKUP('18.05'!P46,'18.05'!$AO$4:$AQ$55,3,FALSE))</f>
        <v>0</v>
      </c>
      <c r="I46" s="4">
        <f>(VLOOKUP('18.05'!Q46,'18.05'!$AO$4:$AQ$55,3,FALSE))</f>
        <v>55</v>
      </c>
      <c r="J46" s="4">
        <f>(VLOOKUP('18.05'!R46,'18.05'!$AO$4:$AQ$55,3,FALSE))</f>
        <v>55</v>
      </c>
      <c r="K46" s="4">
        <f>(VLOOKUP('18.05'!S46,'18.05'!$AO$4:$AQ$55,3,FALSE))</f>
        <v>55</v>
      </c>
      <c r="L46" s="4">
        <f>(VLOOKUP('18.05'!T46,'18.05'!$AO$4:$AQ$55,3,FALSE))</f>
        <v>55</v>
      </c>
      <c r="M46" s="4">
        <f>(VLOOKUP('18.05'!U46,'18.05'!$AO$4:$AQ$55,3,FALSE))</f>
        <v>55</v>
      </c>
      <c r="N46" s="4">
        <f>(VLOOKUP('18.05'!V46,'18.05'!$AO$4:$AQ$55,3,FALSE))</f>
        <v>55</v>
      </c>
      <c r="O46" s="5">
        <f>(VLOOKUP('18.05'!W46,'18.05'!$AO$4:$AQ$55,3,FALSE))</f>
        <v>0</v>
      </c>
      <c r="P46" s="5">
        <f>(VLOOKUP('18.05'!X46,'18.05'!$AO$4:$AQ$55,3,FALSE))</f>
        <v>0</v>
      </c>
      <c r="Q46" s="4">
        <f>(VLOOKUP('18.05'!Y46,'18.05'!$AO$4:$AQ$55,3,FALSE))</f>
        <v>0</v>
      </c>
      <c r="R46" s="4">
        <f>(VLOOKUP('18.05'!Z46,'18.05'!$AO$4:$AQ$55,3,FALSE))</f>
        <v>0</v>
      </c>
      <c r="S46" s="4">
        <f>(VLOOKUP('18.05'!AA46,'18.05'!$AO$4:$AQ$55,3,FALSE))</f>
        <v>0</v>
      </c>
      <c r="T46" s="4">
        <f>(VLOOKUP('18.05'!AB46,'18.05'!$AO$4:$AQ$55,3,FALSE))</f>
        <v>0</v>
      </c>
      <c r="U46" s="4">
        <f>(VLOOKUP('18.05'!AC46,'18.05'!$AO$4:$AQ$55,3,FALSE))</f>
        <v>0</v>
      </c>
      <c r="V46" s="4">
        <f>(VLOOKUP('18.05'!AD46,'18.05'!$AO$4:$AQ$55,3,FALSE))</f>
        <v>0</v>
      </c>
      <c r="W46" s="5">
        <f>(VLOOKUP('18.05'!AE46,'18.05'!$AO$4:$AQ$55,3,FALSE))</f>
        <v>0</v>
      </c>
      <c r="X46" s="5">
        <f>(VLOOKUP('18.05'!AF46,'18.05'!$AO$4:$AQ$55,3,FALSE))</f>
        <v>0</v>
      </c>
    </row>
    <row r="47" spans="1:24">
      <c r="A47" s="4">
        <f>(VLOOKUP('18.05'!I47,'18.05'!$AO$4:$AQ$55,3,FALSE))</f>
        <v>45</v>
      </c>
      <c r="B47" s="4">
        <f>(VLOOKUP('18.05'!J47,'18.05'!$AO$4:$AQ$55,3,FALSE))</f>
        <v>45</v>
      </c>
      <c r="C47" s="4">
        <f>(VLOOKUP('18.05'!K47,'18.05'!$AO$4:$AQ$55,3,FALSE))</f>
        <v>45</v>
      </c>
      <c r="D47" s="4">
        <f>(VLOOKUP('18.05'!L47,'18.05'!$AO$4:$AQ$55,3,FALSE))</f>
        <v>45</v>
      </c>
      <c r="E47" s="4">
        <f>(VLOOKUP('18.05'!M47,'18.05'!$AO$4:$AQ$55,3,FALSE))</f>
        <v>30</v>
      </c>
      <c r="F47" s="4">
        <f>(VLOOKUP('18.05'!N47,'18.05'!$AO$4:$AQ$55,3,FALSE))</f>
        <v>45</v>
      </c>
      <c r="G47" s="5">
        <f>(VLOOKUP('18.05'!O47,'18.05'!$AO$4:$AQ$55,3,FALSE))</f>
        <v>0</v>
      </c>
      <c r="H47" s="5">
        <f>(VLOOKUP('18.05'!P47,'18.05'!$AO$4:$AQ$55,3,FALSE))</f>
        <v>0</v>
      </c>
      <c r="I47" s="4">
        <f>(VLOOKUP('18.05'!Q47,'18.05'!$AO$4:$AQ$55,3,FALSE))</f>
        <v>55</v>
      </c>
      <c r="J47" s="4">
        <f>(VLOOKUP('18.05'!R47,'18.05'!$AO$4:$AQ$55,3,FALSE))</f>
        <v>55</v>
      </c>
      <c r="K47" s="4">
        <f>(VLOOKUP('18.05'!S47,'18.05'!$AO$4:$AQ$55,3,FALSE))</f>
        <v>55</v>
      </c>
      <c r="L47" s="4">
        <f>(VLOOKUP('18.05'!T47,'18.05'!$AO$4:$AQ$55,3,FALSE))</f>
        <v>55</v>
      </c>
      <c r="M47" s="4">
        <f>(VLOOKUP('18.05'!U47,'18.05'!$AO$4:$AQ$55,3,FALSE))</f>
        <v>55</v>
      </c>
      <c r="N47" s="4">
        <f>(VLOOKUP('18.05'!V47,'18.05'!$AO$4:$AQ$55,3,FALSE))</f>
        <v>55</v>
      </c>
      <c r="O47" s="5">
        <f>(VLOOKUP('18.05'!W47,'18.05'!$AO$4:$AQ$55,3,FALSE))</f>
        <v>0</v>
      </c>
      <c r="P47" s="5">
        <f>(VLOOKUP('18.05'!X47,'18.05'!$AO$4:$AQ$55,3,FALSE))</f>
        <v>0</v>
      </c>
      <c r="Q47" s="4">
        <f>(VLOOKUP('18.05'!Y47,'18.05'!$AO$4:$AQ$55,3,FALSE))</f>
        <v>0</v>
      </c>
      <c r="R47" s="4">
        <f>(VLOOKUP('18.05'!Z47,'18.05'!$AO$4:$AQ$55,3,FALSE))</f>
        <v>0</v>
      </c>
      <c r="S47" s="4">
        <f>(VLOOKUP('18.05'!AA47,'18.05'!$AO$4:$AQ$55,3,FALSE))</f>
        <v>0</v>
      </c>
      <c r="T47" s="4">
        <f>(VLOOKUP('18.05'!AB47,'18.05'!$AO$4:$AQ$55,3,FALSE))</f>
        <v>0</v>
      </c>
      <c r="U47" s="4">
        <f>(VLOOKUP('18.05'!AC47,'18.05'!$AO$4:$AQ$55,3,FALSE))</f>
        <v>0</v>
      </c>
      <c r="V47" s="4">
        <f>(VLOOKUP('18.05'!AD47,'18.05'!$AO$4:$AQ$55,3,FALSE))</f>
        <v>0</v>
      </c>
      <c r="W47" s="5">
        <f>(VLOOKUP('18.05'!AE47,'18.05'!$AO$4:$AQ$55,3,FALSE))</f>
        <v>0</v>
      </c>
      <c r="X47" s="5">
        <f>(VLOOKUP('18.05'!AF47,'18.05'!$AO$4:$AQ$55,3,FALSE))</f>
        <v>0</v>
      </c>
    </row>
    <row r="48" spans="1:24">
      <c r="A48" s="4">
        <f>(VLOOKUP('18.05'!I48,'18.05'!$AO$4:$AQ$55,3,FALSE))</f>
        <v>45</v>
      </c>
      <c r="B48" s="4">
        <f>(VLOOKUP('18.05'!J48,'18.05'!$AO$4:$AQ$55,3,FALSE))</f>
        <v>45</v>
      </c>
      <c r="C48" s="4">
        <f>(VLOOKUP('18.05'!K48,'18.05'!$AO$4:$AQ$55,3,FALSE))</f>
        <v>45</v>
      </c>
      <c r="D48" s="4">
        <f>(VLOOKUP('18.05'!L48,'18.05'!$AO$4:$AQ$55,3,FALSE))</f>
        <v>45</v>
      </c>
      <c r="E48" s="4">
        <f>(VLOOKUP('18.05'!M48,'18.05'!$AO$4:$AQ$55,3,FALSE))</f>
        <v>45</v>
      </c>
      <c r="F48" s="4">
        <f>(VLOOKUP('18.05'!N48,'18.05'!$AO$4:$AQ$55,3,FALSE))</f>
        <v>0</v>
      </c>
      <c r="G48" s="5">
        <f>(VLOOKUP('18.05'!O48,'18.05'!$AO$4:$AQ$55,3,FALSE))</f>
        <v>0</v>
      </c>
      <c r="H48" s="5">
        <f>(VLOOKUP('18.05'!P48,'18.05'!$AO$4:$AQ$55,3,FALSE))</f>
        <v>0</v>
      </c>
      <c r="I48" s="4">
        <f>(VLOOKUP('18.05'!Q48,'18.05'!$AO$4:$AQ$55,3,FALSE))</f>
        <v>55</v>
      </c>
      <c r="J48" s="4">
        <f>(VLOOKUP('18.05'!R48,'18.05'!$AO$4:$AQ$55,3,FALSE))</f>
        <v>55</v>
      </c>
      <c r="K48" s="4">
        <f>(VLOOKUP('18.05'!S48,'18.05'!$AO$4:$AQ$55,3,FALSE))</f>
        <v>55</v>
      </c>
      <c r="L48" s="4">
        <f>(VLOOKUP('18.05'!T48,'18.05'!$AO$4:$AQ$55,3,FALSE))</f>
        <v>55</v>
      </c>
      <c r="M48" s="4">
        <f>(VLOOKUP('18.05'!U48,'18.05'!$AO$4:$AQ$55,3,FALSE))</f>
        <v>55</v>
      </c>
      <c r="N48" s="4">
        <f>(VLOOKUP('18.05'!V48,'18.05'!$AO$4:$AQ$55,3,FALSE))</f>
        <v>55</v>
      </c>
      <c r="O48" s="5">
        <f>(VLOOKUP('18.05'!W48,'18.05'!$AO$4:$AQ$55,3,FALSE))</f>
        <v>0</v>
      </c>
      <c r="P48" s="5">
        <f>(VLOOKUP('18.05'!X48,'18.05'!$AO$4:$AQ$55,3,FALSE))</f>
        <v>0</v>
      </c>
      <c r="Q48" s="4">
        <f>(VLOOKUP('18.05'!Y48,'18.05'!$AO$4:$AQ$55,3,FALSE))</f>
        <v>0</v>
      </c>
      <c r="R48" s="4">
        <f>(VLOOKUP('18.05'!Z48,'18.05'!$AO$4:$AQ$55,3,FALSE))</f>
        <v>0</v>
      </c>
      <c r="S48" s="4">
        <f>(VLOOKUP('18.05'!AA48,'18.05'!$AO$4:$AQ$55,3,FALSE))</f>
        <v>0</v>
      </c>
      <c r="T48" s="4">
        <f>(VLOOKUP('18.05'!AB48,'18.05'!$AO$4:$AQ$55,3,FALSE))</f>
        <v>0</v>
      </c>
      <c r="U48" s="4">
        <f>(VLOOKUP('18.05'!AC48,'18.05'!$AO$4:$AQ$55,3,FALSE))</f>
        <v>0</v>
      </c>
      <c r="V48" s="4">
        <f>(VLOOKUP('18.05'!AD48,'18.05'!$AO$4:$AQ$55,3,FALSE))</f>
        <v>0</v>
      </c>
      <c r="W48" s="5">
        <f>(VLOOKUP('18.05'!AE48,'18.05'!$AO$4:$AQ$55,3,FALSE))</f>
        <v>0</v>
      </c>
      <c r="X48" s="5">
        <f>(VLOOKUP('18.05'!AF48,'18.05'!$AO$4:$AQ$55,3,FALSE))</f>
        <v>0</v>
      </c>
    </row>
    <row r="49" spans="1:24">
      <c r="A49" s="4">
        <f>(VLOOKUP('18.05'!I49,'18.05'!$AO$4:$AQ$55,3,FALSE))</f>
        <v>45</v>
      </c>
      <c r="B49" s="4">
        <f>(VLOOKUP('18.05'!J49,'18.05'!$AO$4:$AQ$55,3,FALSE))</f>
        <v>45</v>
      </c>
      <c r="C49" s="4">
        <f>(VLOOKUP('18.05'!K49,'18.05'!$AO$4:$AQ$55,3,FALSE))</f>
        <v>45</v>
      </c>
      <c r="D49" s="4">
        <f>(VLOOKUP('18.05'!L49,'18.05'!$AO$4:$AQ$55,3,FALSE))</f>
        <v>45</v>
      </c>
      <c r="E49" s="4">
        <f>(VLOOKUP('18.05'!M49,'18.05'!$AO$4:$AQ$55,3,FALSE))</f>
        <v>45</v>
      </c>
      <c r="F49" s="4">
        <f>(VLOOKUP('18.05'!N49,'18.05'!$AO$4:$AQ$55,3,FALSE))</f>
        <v>45</v>
      </c>
      <c r="G49" s="5">
        <f>(VLOOKUP('18.05'!O49,'18.05'!$AO$4:$AQ$55,3,FALSE))</f>
        <v>0</v>
      </c>
      <c r="H49" s="5">
        <f>(VLOOKUP('18.05'!P49,'18.05'!$AO$4:$AQ$55,3,FALSE))</f>
        <v>0</v>
      </c>
      <c r="I49" s="4">
        <f>(VLOOKUP('18.05'!Q49,'18.05'!$AO$4:$AQ$55,3,FALSE))</f>
        <v>55</v>
      </c>
      <c r="J49" s="4">
        <f>(VLOOKUP('18.05'!R49,'18.05'!$AO$4:$AQ$55,3,FALSE))</f>
        <v>55</v>
      </c>
      <c r="K49" s="4">
        <f>(VLOOKUP('18.05'!S49,'18.05'!$AO$4:$AQ$55,3,FALSE))</f>
        <v>55</v>
      </c>
      <c r="L49" s="4">
        <f>(VLOOKUP('18.05'!T49,'18.05'!$AO$4:$AQ$55,3,FALSE))</f>
        <v>55</v>
      </c>
      <c r="M49" s="4">
        <f>(VLOOKUP('18.05'!U49,'18.05'!$AO$4:$AQ$55,3,FALSE))</f>
        <v>55</v>
      </c>
      <c r="N49" s="4">
        <f>(VLOOKUP('18.05'!V49,'18.05'!$AO$4:$AQ$55,3,FALSE))</f>
        <v>55</v>
      </c>
      <c r="O49" s="5">
        <f>(VLOOKUP('18.05'!W49,'18.05'!$AO$4:$AQ$55,3,FALSE))</f>
        <v>0</v>
      </c>
      <c r="P49" s="5">
        <f>(VLOOKUP('18.05'!X49,'18.05'!$AO$4:$AQ$55,3,FALSE))</f>
        <v>0</v>
      </c>
      <c r="Q49" s="4">
        <f>(VLOOKUP('18.05'!Y49,'18.05'!$AO$4:$AQ$55,3,FALSE))</f>
        <v>0</v>
      </c>
      <c r="R49" s="4">
        <f>(VLOOKUP('18.05'!Z49,'18.05'!$AO$4:$AQ$55,3,FALSE))</f>
        <v>0</v>
      </c>
      <c r="S49" s="4">
        <f>(VLOOKUP('18.05'!AA49,'18.05'!$AO$4:$AQ$55,3,FALSE))</f>
        <v>0</v>
      </c>
      <c r="T49" s="4">
        <f>(VLOOKUP('18.05'!AB49,'18.05'!$AO$4:$AQ$55,3,FALSE))</f>
        <v>0</v>
      </c>
      <c r="U49" s="4">
        <f>(VLOOKUP('18.05'!AC49,'18.05'!$AO$4:$AQ$55,3,FALSE))</f>
        <v>0</v>
      </c>
      <c r="V49" s="4">
        <f>(VLOOKUP('18.05'!AD49,'18.05'!$AO$4:$AQ$55,3,FALSE))</f>
        <v>0</v>
      </c>
      <c r="W49" s="5">
        <f>(VLOOKUP('18.05'!AE49,'18.05'!$AO$4:$AQ$55,3,FALSE))</f>
        <v>0</v>
      </c>
      <c r="X49" s="5">
        <f>(VLOOKUP('18.05'!AF49,'18.05'!$AO$4:$AQ$55,3,FALSE))</f>
        <v>0</v>
      </c>
    </row>
    <row r="50" spans="1:24">
      <c r="A50" s="4">
        <f>(VLOOKUP('18.05'!I50,'18.05'!$AO$4:$AQ$55,3,FALSE))</f>
        <v>45</v>
      </c>
      <c r="B50" s="4">
        <f>(VLOOKUP('18.05'!J50,'18.05'!$AO$4:$AQ$55,3,FALSE))</f>
        <v>45</v>
      </c>
      <c r="C50" s="4">
        <f>(VLOOKUP('18.05'!K50,'18.05'!$AO$4:$AQ$55,3,FALSE))</f>
        <v>45</v>
      </c>
      <c r="D50" s="4">
        <f>(VLOOKUP('18.05'!L50,'18.05'!$AO$4:$AQ$55,3,FALSE))</f>
        <v>45</v>
      </c>
      <c r="E50" s="4">
        <f>(VLOOKUP('18.05'!M50,'18.05'!$AO$4:$AQ$55,3,FALSE))</f>
        <v>45</v>
      </c>
      <c r="F50" s="4">
        <f>(VLOOKUP('18.05'!N50,'18.05'!$AO$4:$AQ$55,3,FALSE))</f>
        <v>45</v>
      </c>
      <c r="G50" s="5">
        <f>(VLOOKUP('18.05'!O50,'18.05'!$AO$4:$AQ$55,3,FALSE))</f>
        <v>0</v>
      </c>
      <c r="H50" s="5">
        <f>(VLOOKUP('18.05'!P50,'18.05'!$AO$4:$AQ$55,3,FALSE))</f>
        <v>0</v>
      </c>
      <c r="I50" s="4">
        <f>(VLOOKUP('18.05'!Q50,'18.05'!$AO$4:$AQ$55,3,FALSE))</f>
        <v>55</v>
      </c>
      <c r="J50" s="4">
        <f>(VLOOKUP('18.05'!R50,'18.05'!$AO$4:$AQ$55,3,FALSE))</f>
        <v>55</v>
      </c>
      <c r="K50" s="4">
        <f>(VLOOKUP('18.05'!S50,'18.05'!$AO$4:$AQ$55,3,FALSE))</f>
        <v>55</v>
      </c>
      <c r="L50" s="4">
        <f>(VLOOKUP('18.05'!T50,'18.05'!$AO$4:$AQ$55,3,FALSE))</f>
        <v>55</v>
      </c>
      <c r="M50" s="4">
        <f>(VLOOKUP('18.05'!U50,'18.05'!$AO$4:$AQ$55,3,FALSE))</f>
        <v>55</v>
      </c>
      <c r="N50" s="4">
        <f>(VLOOKUP('18.05'!V50,'18.05'!$AO$4:$AQ$55,3,FALSE))</f>
        <v>55</v>
      </c>
      <c r="O50" s="5">
        <f>(VLOOKUP('18.05'!W50,'18.05'!$AO$4:$AQ$55,3,FALSE))</f>
        <v>0</v>
      </c>
      <c r="P50" s="5">
        <f>(VLOOKUP('18.05'!X50,'18.05'!$AO$4:$AQ$55,3,FALSE))</f>
        <v>0</v>
      </c>
      <c r="Q50" s="4">
        <f>(VLOOKUP('18.05'!Y50,'18.05'!$AO$4:$AQ$55,3,FALSE))</f>
        <v>0</v>
      </c>
      <c r="R50" s="4">
        <f>(VLOOKUP('18.05'!Z50,'18.05'!$AO$4:$AQ$55,3,FALSE))</f>
        <v>0</v>
      </c>
      <c r="S50" s="4">
        <f>(VLOOKUP('18.05'!AA50,'18.05'!$AO$4:$AQ$55,3,FALSE))</f>
        <v>0</v>
      </c>
      <c r="T50" s="4">
        <f>(VLOOKUP('18.05'!AB50,'18.05'!$AO$4:$AQ$55,3,FALSE))</f>
        <v>0</v>
      </c>
      <c r="U50" s="4">
        <f>(VLOOKUP('18.05'!AC50,'18.05'!$AO$4:$AQ$55,3,FALSE))</f>
        <v>0</v>
      </c>
      <c r="V50" s="4">
        <f>(VLOOKUP('18.05'!AD50,'18.05'!$AO$4:$AQ$55,3,FALSE))</f>
        <v>0</v>
      </c>
      <c r="W50" s="5">
        <f>(VLOOKUP('18.05'!AE50,'18.05'!$AO$4:$AQ$55,3,FALSE))</f>
        <v>0</v>
      </c>
      <c r="X50" s="5">
        <f>(VLOOKUP('18.05'!AF50,'18.05'!$AO$4:$AQ$55,3,FALSE))</f>
        <v>0</v>
      </c>
    </row>
    <row r="51" spans="1:24">
      <c r="A51" s="4">
        <f>(VLOOKUP('18.05'!I51,'18.05'!$AO$4:$AQ$55,3,FALSE))</f>
        <v>45</v>
      </c>
      <c r="B51" s="4">
        <f>(VLOOKUP('18.05'!J51,'18.05'!$AO$4:$AQ$55,3,FALSE))</f>
        <v>45</v>
      </c>
      <c r="C51" s="4">
        <f>(VLOOKUP('18.05'!K51,'18.05'!$AO$4:$AQ$55,3,FALSE))</f>
        <v>45</v>
      </c>
      <c r="D51" s="4">
        <f>(VLOOKUP('18.05'!L51,'18.05'!$AO$4:$AQ$55,3,FALSE))</f>
        <v>45</v>
      </c>
      <c r="E51" s="4">
        <f>(VLOOKUP('18.05'!M51,'18.05'!$AO$4:$AQ$55,3,FALSE))</f>
        <v>30</v>
      </c>
      <c r="F51" s="4">
        <f>(VLOOKUP('18.05'!N51,'18.05'!$AO$4:$AQ$55,3,FALSE))</f>
        <v>45</v>
      </c>
      <c r="G51" s="5">
        <f>(VLOOKUP('18.05'!O51,'18.05'!$AO$4:$AQ$55,3,FALSE))</f>
        <v>0</v>
      </c>
      <c r="H51" s="5">
        <f>(VLOOKUP('18.05'!P51,'18.05'!$AO$4:$AQ$55,3,FALSE))</f>
        <v>0</v>
      </c>
      <c r="I51" s="4">
        <f>(VLOOKUP('18.05'!Q51,'18.05'!$AO$4:$AQ$55,3,FALSE))</f>
        <v>55</v>
      </c>
      <c r="J51" s="4">
        <f>(VLOOKUP('18.05'!R51,'18.05'!$AO$4:$AQ$55,3,FALSE))</f>
        <v>55</v>
      </c>
      <c r="K51" s="4">
        <f>(VLOOKUP('18.05'!S51,'18.05'!$AO$4:$AQ$55,3,FALSE))</f>
        <v>55</v>
      </c>
      <c r="L51" s="4">
        <f>(VLOOKUP('18.05'!T51,'18.05'!$AO$4:$AQ$55,3,FALSE))</f>
        <v>30</v>
      </c>
      <c r="M51" s="4">
        <f>(VLOOKUP('18.05'!U51,'18.05'!$AO$4:$AQ$55,3,FALSE))</f>
        <v>55</v>
      </c>
      <c r="N51" s="4">
        <f>(VLOOKUP('18.05'!V51,'18.05'!$AO$4:$AQ$55,3,FALSE))</f>
        <v>55</v>
      </c>
      <c r="O51" s="5">
        <f>(VLOOKUP('18.05'!W51,'18.05'!$AO$4:$AQ$55,3,FALSE))</f>
        <v>0</v>
      </c>
      <c r="P51" s="5">
        <f>(VLOOKUP('18.05'!X51,'18.05'!$AO$4:$AQ$55,3,FALSE))</f>
        <v>0</v>
      </c>
      <c r="Q51" s="4">
        <f>(VLOOKUP('18.05'!Y51,'18.05'!$AO$4:$AQ$55,3,FALSE))</f>
        <v>0</v>
      </c>
      <c r="R51" s="4">
        <f>(VLOOKUP('18.05'!Z51,'18.05'!$AO$4:$AQ$55,3,FALSE))</f>
        <v>0</v>
      </c>
      <c r="S51" s="4">
        <f>(VLOOKUP('18.05'!AA51,'18.05'!$AO$4:$AQ$55,3,FALSE))</f>
        <v>0</v>
      </c>
      <c r="T51" s="4">
        <f>(VLOOKUP('18.05'!AB51,'18.05'!$AO$4:$AQ$55,3,FALSE))</f>
        <v>0</v>
      </c>
      <c r="U51" s="4">
        <f>(VLOOKUP('18.05'!AC51,'18.05'!$AO$4:$AQ$55,3,FALSE))</f>
        <v>0</v>
      </c>
      <c r="V51" s="4">
        <f>(VLOOKUP('18.05'!AD51,'18.05'!$AO$4:$AQ$55,3,FALSE))</f>
        <v>0</v>
      </c>
      <c r="W51" s="5">
        <f>(VLOOKUP('18.05'!AE51,'18.05'!$AO$4:$AQ$55,3,FALSE))</f>
        <v>0</v>
      </c>
      <c r="X51" s="5">
        <f>(VLOOKUP('18.05'!AF51,'18.05'!$AO$4:$AQ$55,3,FALSE))</f>
        <v>0</v>
      </c>
    </row>
    <row r="52" spans="1:24">
      <c r="A52" s="4">
        <f>(VLOOKUP('18.05'!I52,'18.05'!$AO$4:$AQ$55,3,FALSE))</f>
        <v>45</v>
      </c>
      <c r="B52" s="4">
        <f>(VLOOKUP('18.05'!J52,'18.05'!$AO$4:$AQ$55,3,FALSE))</f>
        <v>45</v>
      </c>
      <c r="C52" s="4">
        <f>(VLOOKUP('18.05'!K52,'18.05'!$AO$4:$AQ$55,3,FALSE))</f>
        <v>45</v>
      </c>
      <c r="D52" s="4">
        <f>(VLOOKUP('18.05'!L52,'18.05'!$AO$4:$AQ$55,3,FALSE))</f>
        <v>45</v>
      </c>
      <c r="E52" s="4">
        <f>(VLOOKUP('18.05'!M52,'18.05'!$AO$4:$AQ$55,3,FALSE))</f>
        <v>45</v>
      </c>
      <c r="F52" s="4">
        <f>(VLOOKUP('18.05'!N52,'18.05'!$AO$4:$AQ$55,3,FALSE))</f>
        <v>45</v>
      </c>
      <c r="G52" s="5">
        <f>(VLOOKUP('18.05'!O52,'18.05'!$AO$4:$AQ$55,3,FALSE))</f>
        <v>0</v>
      </c>
      <c r="H52" s="5">
        <f>(VLOOKUP('18.05'!P52,'18.05'!$AO$4:$AQ$55,3,FALSE))</f>
        <v>0</v>
      </c>
      <c r="I52" s="4">
        <f>(VLOOKUP('18.05'!Q52,'18.05'!$AO$4:$AQ$55,3,FALSE))</f>
        <v>55</v>
      </c>
      <c r="J52" s="4">
        <f>(VLOOKUP('18.05'!R52,'18.05'!$AO$4:$AQ$55,3,FALSE))</f>
        <v>55</v>
      </c>
      <c r="K52" s="4">
        <f>(VLOOKUP('18.05'!S52,'18.05'!$AO$4:$AQ$55,3,FALSE))</f>
        <v>55</v>
      </c>
      <c r="L52" s="4">
        <f>(VLOOKUP('18.05'!T52,'18.05'!$AO$4:$AQ$55,3,FALSE))</f>
        <v>55</v>
      </c>
      <c r="M52" s="4">
        <f>(VLOOKUP('18.05'!U52,'18.05'!$AO$4:$AQ$55,3,FALSE))</f>
        <v>55</v>
      </c>
      <c r="N52" s="4">
        <f>(VLOOKUP('18.05'!V52,'18.05'!$AO$4:$AQ$55,3,FALSE))</f>
        <v>55</v>
      </c>
      <c r="O52" s="5">
        <f>(VLOOKUP('18.05'!W52,'18.05'!$AO$4:$AQ$55,3,FALSE))</f>
        <v>0</v>
      </c>
      <c r="P52" s="5">
        <f>(VLOOKUP('18.05'!X52,'18.05'!$AO$4:$AQ$55,3,FALSE))</f>
        <v>0</v>
      </c>
      <c r="Q52" s="4">
        <f>(VLOOKUP('18.05'!Y52,'18.05'!$AO$4:$AQ$55,3,FALSE))</f>
        <v>0</v>
      </c>
      <c r="R52" s="4">
        <f>(VLOOKUP('18.05'!Z52,'18.05'!$AO$4:$AQ$55,3,FALSE))</f>
        <v>0</v>
      </c>
      <c r="S52" s="4">
        <f>(VLOOKUP('18.05'!AA52,'18.05'!$AO$4:$AQ$55,3,FALSE))</f>
        <v>0</v>
      </c>
      <c r="T52" s="4">
        <f>(VLOOKUP('18.05'!AB52,'18.05'!$AO$4:$AQ$55,3,FALSE))</f>
        <v>0</v>
      </c>
      <c r="U52" s="4">
        <f>(VLOOKUP('18.05'!AC52,'18.05'!$AO$4:$AQ$55,3,FALSE))</f>
        <v>0</v>
      </c>
      <c r="V52" s="4">
        <f>(VLOOKUP('18.05'!AD52,'18.05'!$AO$4:$AQ$55,3,FALSE))</f>
        <v>0</v>
      </c>
      <c r="W52" s="5">
        <f>(VLOOKUP('18.05'!AE52,'18.05'!$AO$4:$AQ$55,3,FALSE))</f>
        <v>0</v>
      </c>
      <c r="X52" s="5">
        <f>(VLOOKUP('18.05'!AF52,'18.05'!$AO$4:$AQ$55,3,FALSE))</f>
        <v>0</v>
      </c>
    </row>
    <row r="53" spans="1:24">
      <c r="A53" s="4">
        <f>(VLOOKUP('18.05'!I53,'18.05'!$AO$4:$AQ$55,3,FALSE))</f>
        <v>45</v>
      </c>
      <c r="B53" s="4">
        <f>(VLOOKUP('18.05'!J53,'18.05'!$AO$4:$AQ$55,3,FALSE))</f>
        <v>45</v>
      </c>
      <c r="C53" s="4">
        <f>(VLOOKUP('18.05'!K53,'18.05'!$AO$4:$AQ$55,3,FALSE))</f>
        <v>30</v>
      </c>
      <c r="D53" s="4">
        <f>(VLOOKUP('18.05'!L53,'18.05'!$AO$4:$AQ$55,3,FALSE))</f>
        <v>45</v>
      </c>
      <c r="E53" s="4">
        <f>(VLOOKUP('18.05'!M53,'18.05'!$AO$4:$AQ$55,3,FALSE))</f>
        <v>45</v>
      </c>
      <c r="F53" s="4">
        <f>(VLOOKUP('18.05'!N53,'18.05'!$AO$4:$AQ$55,3,FALSE))</f>
        <v>45</v>
      </c>
      <c r="G53" s="5">
        <f>(VLOOKUP('18.05'!O53,'18.05'!$AO$4:$AQ$55,3,FALSE))</f>
        <v>0</v>
      </c>
      <c r="H53" s="5">
        <f>(VLOOKUP('18.05'!P53,'18.05'!$AO$4:$AQ$55,3,FALSE))</f>
        <v>0</v>
      </c>
      <c r="I53" s="4">
        <f>(VLOOKUP('18.05'!Q53,'18.05'!$AO$4:$AQ$55,3,FALSE))</f>
        <v>55</v>
      </c>
      <c r="J53" s="4">
        <f>(VLOOKUP('18.05'!R53,'18.05'!$AO$4:$AQ$55,3,FALSE))</f>
        <v>55</v>
      </c>
      <c r="K53" s="4">
        <f>(VLOOKUP('18.05'!S53,'18.05'!$AO$4:$AQ$55,3,FALSE))</f>
        <v>55</v>
      </c>
      <c r="L53" s="4">
        <f>(VLOOKUP('18.05'!T53,'18.05'!$AO$4:$AQ$55,3,FALSE))</f>
        <v>55</v>
      </c>
      <c r="M53" s="4">
        <f>(VLOOKUP('18.05'!U53,'18.05'!$AO$4:$AQ$55,3,FALSE))</f>
        <v>55</v>
      </c>
      <c r="N53" s="4">
        <f>(VLOOKUP('18.05'!V53,'18.05'!$AO$4:$AQ$55,3,FALSE))</f>
        <v>55</v>
      </c>
      <c r="O53" s="5">
        <f>(VLOOKUP('18.05'!W53,'18.05'!$AO$4:$AQ$55,3,FALSE))</f>
        <v>0</v>
      </c>
      <c r="P53" s="5">
        <f>(VLOOKUP('18.05'!X53,'18.05'!$AO$4:$AQ$55,3,FALSE))</f>
        <v>0</v>
      </c>
      <c r="Q53" s="4">
        <f>(VLOOKUP('18.05'!Y53,'18.05'!$AO$4:$AQ$55,3,FALSE))</f>
        <v>0</v>
      </c>
      <c r="R53" s="4">
        <f>(VLOOKUP('18.05'!Z53,'18.05'!$AO$4:$AQ$55,3,FALSE))</f>
        <v>0</v>
      </c>
      <c r="S53" s="4">
        <f>(VLOOKUP('18.05'!AA53,'18.05'!$AO$4:$AQ$55,3,FALSE))</f>
        <v>0</v>
      </c>
      <c r="T53" s="4">
        <f>(VLOOKUP('18.05'!AB53,'18.05'!$AO$4:$AQ$55,3,FALSE))</f>
        <v>0</v>
      </c>
      <c r="U53" s="4">
        <f>(VLOOKUP('18.05'!AC53,'18.05'!$AO$4:$AQ$55,3,FALSE))</f>
        <v>0</v>
      </c>
      <c r="V53" s="4">
        <f>(VLOOKUP('18.05'!AD53,'18.05'!$AO$4:$AQ$55,3,FALSE))</f>
        <v>0</v>
      </c>
      <c r="W53" s="5">
        <f>(VLOOKUP('18.05'!AE53,'18.05'!$AO$4:$AQ$55,3,FALSE))</f>
        <v>0</v>
      </c>
      <c r="X53" s="5">
        <f>(VLOOKUP('18.05'!AF53,'18.05'!$AO$4:$AQ$55,3,FALSE))</f>
        <v>0</v>
      </c>
    </row>
    <row r="54" spans="1:24">
      <c r="A54" s="4">
        <f>(VLOOKUP('18.05'!I54,'18.05'!$AO$4:$AQ$55,3,FALSE))</f>
        <v>40</v>
      </c>
      <c r="B54" s="4">
        <f>(VLOOKUP('18.05'!J54,'18.05'!$AO$4:$AQ$55,3,FALSE))</f>
        <v>30</v>
      </c>
      <c r="C54" s="4">
        <f>(VLOOKUP('18.05'!K54,'18.05'!$AO$4:$AQ$55,3,FALSE))</f>
        <v>40</v>
      </c>
      <c r="D54" s="4">
        <f>(VLOOKUP('18.05'!L54,'18.05'!$AO$4:$AQ$55,3,FALSE))</f>
        <v>40</v>
      </c>
      <c r="E54" s="4">
        <f>(VLOOKUP('18.05'!M54,'18.05'!$AO$4:$AQ$55,3,FALSE))</f>
        <v>40</v>
      </c>
      <c r="F54" s="4">
        <f>(VLOOKUP('18.05'!N54,'18.05'!$AO$4:$AQ$55,3,FALSE))</f>
        <v>45</v>
      </c>
      <c r="G54" s="5">
        <f>(VLOOKUP('18.05'!O54,'18.05'!$AO$4:$AQ$55,3,FALSE))</f>
        <v>0</v>
      </c>
      <c r="H54" s="5">
        <f>(VLOOKUP('18.05'!P54,'18.05'!$AO$4:$AQ$55,3,FALSE))</f>
        <v>0</v>
      </c>
      <c r="I54" s="4">
        <f>(VLOOKUP('18.05'!Q54,'18.05'!$AO$4:$AQ$55,3,FALSE))</f>
        <v>55</v>
      </c>
      <c r="J54" s="4">
        <f>(VLOOKUP('18.05'!R54,'18.05'!$AO$4:$AQ$55,3,FALSE))</f>
        <v>55</v>
      </c>
      <c r="K54" s="4">
        <f>(VLOOKUP('18.05'!S54,'18.05'!$AO$4:$AQ$55,3,FALSE))</f>
        <v>55</v>
      </c>
      <c r="L54" s="4">
        <f>(VLOOKUP('18.05'!T54,'18.05'!$AO$4:$AQ$55,3,FALSE))</f>
        <v>55</v>
      </c>
      <c r="M54" s="4">
        <f>(VLOOKUP('18.05'!U54,'18.05'!$AO$4:$AQ$55,3,FALSE))</f>
        <v>55</v>
      </c>
      <c r="N54" s="4">
        <f>(VLOOKUP('18.05'!V54,'18.05'!$AO$4:$AQ$55,3,FALSE))</f>
        <v>55</v>
      </c>
      <c r="O54" s="5">
        <f>(VLOOKUP('18.05'!W54,'18.05'!$AO$4:$AQ$55,3,FALSE))</f>
        <v>0</v>
      </c>
      <c r="P54" s="5">
        <f>(VLOOKUP('18.05'!X54,'18.05'!$AO$4:$AQ$55,3,FALSE))</f>
        <v>0</v>
      </c>
      <c r="Q54" s="4">
        <f>(VLOOKUP('18.05'!Y54,'18.05'!$AO$4:$AQ$55,3,FALSE))</f>
        <v>0</v>
      </c>
      <c r="R54" s="4">
        <f>(VLOOKUP('18.05'!Z54,'18.05'!$AO$4:$AQ$55,3,FALSE))</f>
        <v>0</v>
      </c>
      <c r="S54" s="4">
        <f>(VLOOKUP('18.05'!AA54,'18.05'!$AO$4:$AQ$55,3,FALSE))</f>
        <v>0</v>
      </c>
      <c r="T54" s="4">
        <f>(VLOOKUP('18.05'!AB54,'18.05'!$AO$4:$AQ$55,3,FALSE))</f>
        <v>0</v>
      </c>
      <c r="U54" s="4">
        <f>(VLOOKUP('18.05'!AC54,'18.05'!$AO$4:$AQ$55,3,FALSE))</f>
        <v>0</v>
      </c>
      <c r="V54" s="4">
        <f>(VLOOKUP('18.05'!AD54,'18.05'!$AO$4:$AQ$55,3,FALSE))</f>
        <v>0</v>
      </c>
      <c r="W54" s="5">
        <f>(VLOOKUP('18.05'!AE54,'18.05'!$AO$4:$AQ$55,3,FALSE))</f>
        <v>0</v>
      </c>
      <c r="X54" s="5">
        <f>(VLOOKUP('18.05'!AF54,'18.05'!$AO$4:$AQ$55,3,FALSE))</f>
        <v>0</v>
      </c>
    </row>
    <row r="55" spans="1:24">
      <c r="A55" s="4">
        <f>(VLOOKUP('18.05'!I55,'18.05'!$AO$4:$AQ$55,3,FALSE))</f>
        <v>0</v>
      </c>
      <c r="B55" s="4">
        <f>(VLOOKUP('18.05'!J55,'18.05'!$AO$4:$AQ$55,3,FALSE))</f>
        <v>0</v>
      </c>
      <c r="C55" s="4">
        <f>(VLOOKUP('18.05'!K55,'18.05'!$AO$4:$AQ$55,3,FALSE))</f>
        <v>0</v>
      </c>
      <c r="D55" s="4">
        <f>(VLOOKUP('18.05'!L55,'18.05'!$AO$4:$AQ$55,3,FALSE))</f>
        <v>0</v>
      </c>
      <c r="E55" s="4">
        <f>(VLOOKUP('18.05'!M55,'18.05'!$AO$4:$AQ$55,3,FALSE))</f>
        <v>0</v>
      </c>
      <c r="F55" s="4">
        <f>(VLOOKUP('18.05'!N55,'18.05'!$AO$4:$AQ$55,3,FALSE))</f>
        <v>0</v>
      </c>
      <c r="G55" s="5">
        <f>(VLOOKUP('18.05'!O55,'18.05'!$AO$4:$AQ$55,3,FALSE))</f>
        <v>0</v>
      </c>
      <c r="H55" s="5">
        <f>(VLOOKUP('18.05'!P55,'18.05'!$AO$4:$AQ$55,3,FALSE))</f>
        <v>0</v>
      </c>
      <c r="I55" s="4">
        <f>(VLOOKUP('18.05'!Q55,'18.05'!$AO$4:$AQ$55,3,FALSE))</f>
        <v>55</v>
      </c>
      <c r="J55" s="4">
        <f>(VLOOKUP('18.05'!R55,'18.05'!$AO$4:$AQ$55,3,FALSE))</f>
        <v>55</v>
      </c>
      <c r="K55" s="4">
        <f>(VLOOKUP('18.05'!S55,'18.05'!$AO$4:$AQ$55,3,FALSE))</f>
        <v>55</v>
      </c>
      <c r="L55" s="4">
        <f>(VLOOKUP('18.05'!T55,'18.05'!$AO$4:$AQ$55,3,FALSE))</f>
        <v>55</v>
      </c>
      <c r="M55" s="4">
        <f>(VLOOKUP('18.05'!U55,'18.05'!$AO$4:$AQ$55,3,FALSE))</f>
        <v>55</v>
      </c>
      <c r="N55" s="4">
        <f>(VLOOKUP('18.05'!V55,'18.05'!$AO$4:$AQ$55,3,FALSE))</f>
        <v>55</v>
      </c>
      <c r="O55" s="5">
        <f>(VLOOKUP('18.05'!W55,'18.05'!$AO$4:$AQ$55,3,FALSE))</f>
        <v>0</v>
      </c>
      <c r="P55" s="5">
        <f>(VLOOKUP('18.05'!X55,'18.05'!$AO$4:$AQ$55,3,FALSE))</f>
        <v>0</v>
      </c>
      <c r="Q55" s="4">
        <f>(VLOOKUP('18.05'!Y55,'18.05'!$AO$4:$AQ$55,3,FALSE))</f>
        <v>0</v>
      </c>
      <c r="R55" s="4">
        <f>(VLOOKUP('18.05'!Z55,'18.05'!$AO$4:$AQ$55,3,FALSE))</f>
        <v>0</v>
      </c>
      <c r="S55" s="4">
        <f>(VLOOKUP('18.05'!AA55,'18.05'!$AO$4:$AQ$55,3,FALSE))</f>
        <v>0</v>
      </c>
      <c r="T55" s="4">
        <f>(VLOOKUP('18.05'!AB55,'18.05'!$AO$4:$AQ$55,3,FALSE))</f>
        <v>0</v>
      </c>
      <c r="U55" s="4">
        <f>(VLOOKUP('18.05'!AC55,'18.05'!$AO$4:$AQ$55,3,FALSE))</f>
        <v>0</v>
      </c>
      <c r="V55" s="4">
        <f>(VLOOKUP('18.05'!AD55,'18.05'!$AO$4:$AQ$55,3,FALSE))</f>
        <v>0</v>
      </c>
      <c r="W55" s="5">
        <f>(VLOOKUP('18.05'!AE55,'18.05'!$AO$4:$AQ$55,3,FALSE))</f>
        <v>0</v>
      </c>
      <c r="X55" s="5">
        <f>(VLOOKUP('18.05'!AF55,'18.05'!$AO$4:$AQ$55,3,FALSE))</f>
        <v>0</v>
      </c>
    </row>
    <row r="56" spans="1:24">
      <c r="A56" s="4">
        <f>(VLOOKUP('18.05'!I56,'18.05'!$AO$4:$AQ$55,3,FALSE))</f>
        <v>45</v>
      </c>
      <c r="B56" s="4">
        <f>(VLOOKUP('18.05'!J56,'18.05'!$AO$4:$AQ$55,3,FALSE))</f>
        <v>45</v>
      </c>
      <c r="C56" s="4">
        <f>(VLOOKUP('18.05'!K56,'18.05'!$AO$4:$AQ$55,3,FALSE))</f>
        <v>45</v>
      </c>
      <c r="D56" s="4">
        <f>(VLOOKUP('18.05'!L56,'18.05'!$AO$4:$AQ$55,3,FALSE))</f>
        <v>45</v>
      </c>
      <c r="E56" s="4">
        <f>(VLOOKUP('18.05'!M56,'18.05'!$AO$4:$AQ$55,3,FALSE))</f>
        <v>45</v>
      </c>
      <c r="F56" s="4">
        <f>(VLOOKUP('18.05'!N56,'18.05'!$AO$4:$AQ$55,3,FALSE))</f>
        <v>45</v>
      </c>
      <c r="G56" s="5">
        <f>(VLOOKUP('18.05'!O56,'18.05'!$AO$4:$AQ$55,3,FALSE))</f>
        <v>0</v>
      </c>
      <c r="H56" s="5">
        <f>(VLOOKUP('18.05'!P56,'18.05'!$AO$4:$AQ$55,3,FALSE))</f>
        <v>0</v>
      </c>
      <c r="I56" s="4">
        <f>(VLOOKUP('18.05'!Q56,'18.05'!$AO$4:$AQ$55,3,FALSE))</f>
        <v>55</v>
      </c>
      <c r="J56" s="4">
        <f>(VLOOKUP('18.05'!R56,'18.05'!$AO$4:$AQ$55,3,FALSE))</f>
        <v>55</v>
      </c>
      <c r="K56" s="4">
        <f>(VLOOKUP('18.05'!S56,'18.05'!$AO$4:$AQ$55,3,FALSE))</f>
        <v>500</v>
      </c>
      <c r="L56" s="4">
        <f>(VLOOKUP('18.05'!T56,'18.05'!$AO$4:$AQ$55,3,FALSE))</f>
        <v>55</v>
      </c>
      <c r="M56" s="4">
        <f>(VLOOKUP('18.05'!U56,'18.05'!$AO$4:$AQ$55,3,FALSE))</f>
        <v>55</v>
      </c>
      <c r="N56" s="4">
        <f>(VLOOKUP('18.05'!V56,'18.05'!$AO$4:$AQ$55,3,FALSE))</f>
        <v>55</v>
      </c>
      <c r="O56" s="5">
        <f>(VLOOKUP('18.05'!W56,'18.05'!$AO$4:$AQ$55,3,FALSE))</f>
        <v>0</v>
      </c>
      <c r="P56" s="5">
        <f>(VLOOKUP('18.05'!X56,'18.05'!$AO$4:$AQ$55,3,FALSE))</f>
        <v>0</v>
      </c>
      <c r="Q56" s="4">
        <f>(VLOOKUP('18.05'!Y56,'18.05'!$AO$4:$AQ$55,3,FALSE))</f>
        <v>0</v>
      </c>
      <c r="R56" s="4">
        <f>(VLOOKUP('18.05'!Z56,'18.05'!$AO$4:$AQ$55,3,FALSE))</f>
        <v>0</v>
      </c>
      <c r="S56" s="4">
        <f>(VLOOKUP('18.05'!AA56,'18.05'!$AO$4:$AQ$55,3,FALSE))</f>
        <v>0</v>
      </c>
      <c r="T56" s="4">
        <f>(VLOOKUP('18.05'!AB56,'18.05'!$AO$4:$AQ$55,3,FALSE))</f>
        <v>0</v>
      </c>
      <c r="U56" s="4">
        <f>(VLOOKUP('18.05'!AC56,'18.05'!$AO$4:$AQ$55,3,FALSE))</f>
        <v>0</v>
      </c>
      <c r="V56" s="4">
        <f>(VLOOKUP('18.05'!AD56,'18.05'!$AO$4:$AQ$55,3,FALSE))</f>
        <v>0</v>
      </c>
      <c r="W56" s="5">
        <f>(VLOOKUP('18.05'!AE56,'18.05'!$AO$4:$AQ$55,3,FALSE))</f>
        <v>0</v>
      </c>
      <c r="X56" s="5">
        <f>(VLOOKUP('18.05'!AF56,'18.05'!$AO$4:$AQ$55,3,FALSE))</f>
        <v>0</v>
      </c>
    </row>
    <row r="57" spans="1:24">
      <c r="A57" s="4">
        <f>(VLOOKUP('18.05'!I57,'18.05'!$AO$4:$AQ$55,3,FALSE))</f>
        <v>45</v>
      </c>
      <c r="B57" s="4">
        <f>(VLOOKUP('18.05'!J57,'18.05'!$AO$4:$AQ$55,3,FALSE))</f>
        <v>45</v>
      </c>
      <c r="C57" s="4">
        <f>(VLOOKUP('18.05'!K57,'18.05'!$AO$4:$AQ$55,3,FALSE))</f>
        <v>45</v>
      </c>
      <c r="D57" s="4">
        <f>(VLOOKUP('18.05'!L57,'18.05'!$AO$4:$AQ$55,3,FALSE))</f>
        <v>45</v>
      </c>
      <c r="E57" s="4">
        <f>(VLOOKUP('18.05'!M57,'18.05'!$AO$4:$AQ$55,3,FALSE))</f>
        <v>30</v>
      </c>
      <c r="F57" s="4">
        <f>(VLOOKUP('18.05'!N57,'18.05'!$AO$4:$AQ$55,3,FALSE))</f>
        <v>45</v>
      </c>
      <c r="G57" s="5">
        <f>(VLOOKUP('18.05'!O57,'18.05'!$AO$4:$AQ$55,3,FALSE))</f>
        <v>0</v>
      </c>
      <c r="H57" s="5">
        <f>(VLOOKUP('18.05'!P57,'18.05'!$AO$4:$AQ$55,3,FALSE))</f>
        <v>0</v>
      </c>
      <c r="I57" s="4">
        <f>(VLOOKUP('18.05'!Q57,'18.05'!$AO$4:$AQ$55,3,FALSE))</f>
        <v>55</v>
      </c>
      <c r="J57" s="4">
        <f>(VLOOKUP('18.05'!R57,'18.05'!$AO$4:$AQ$55,3,FALSE))</f>
        <v>55</v>
      </c>
      <c r="K57" s="4">
        <f>(VLOOKUP('18.05'!S57,'18.05'!$AO$4:$AQ$55,3,FALSE))</f>
        <v>55</v>
      </c>
      <c r="L57" s="4">
        <f>(VLOOKUP('18.05'!T57,'18.05'!$AO$4:$AQ$55,3,FALSE))</f>
        <v>55</v>
      </c>
      <c r="M57" s="4">
        <f>(VLOOKUP('18.05'!U57,'18.05'!$AO$4:$AQ$55,3,FALSE))</f>
        <v>55</v>
      </c>
      <c r="N57" s="4">
        <f>(VLOOKUP('18.05'!V57,'18.05'!$AO$4:$AQ$55,3,FALSE))</f>
        <v>55</v>
      </c>
      <c r="O57" s="5">
        <f>(VLOOKUP('18.05'!W57,'18.05'!$AO$4:$AQ$55,3,FALSE))</f>
        <v>0</v>
      </c>
      <c r="P57" s="5">
        <f>(VLOOKUP('18.05'!X57,'18.05'!$AO$4:$AQ$55,3,FALSE))</f>
        <v>0</v>
      </c>
      <c r="Q57" s="4">
        <f>(VLOOKUP('18.05'!Y57,'18.05'!$AO$4:$AQ$55,3,FALSE))</f>
        <v>0</v>
      </c>
      <c r="R57" s="4">
        <f>(VLOOKUP('18.05'!Z57,'18.05'!$AO$4:$AQ$55,3,FALSE))</f>
        <v>0</v>
      </c>
      <c r="S57" s="4">
        <f>(VLOOKUP('18.05'!AA57,'18.05'!$AO$4:$AQ$55,3,FALSE))</f>
        <v>0</v>
      </c>
      <c r="T57" s="4">
        <f>(VLOOKUP('18.05'!AB57,'18.05'!$AO$4:$AQ$55,3,FALSE))</f>
        <v>0</v>
      </c>
      <c r="U57" s="4">
        <f>(VLOOKUP('18.05'!AC57,'18.05'!$AO$4:$AQ$55,3,FALSE))</f>
        <v>0</v>
      </c>
      <c r="V57" s="4">
        <f>(VLOOKUP('18.05'!AD57,'18.05'!$AO$4:$AQ$55,3,FALSE))</f>
        <v>0</v>
      </c>
      <c r="W57" s="5">
        <f>(VLOOKUP('18.05'!AE57,'18.05'!$AO$4:$AQ$55,3,FALSE))</f>
        <v>0</v>
      </c>
      <c r="X57" s="5">
        <f>(VLOOKUP('18.05'!AF57,'18.05'!$AO$4:$AQ$55,3,FALSE))</f>
        <v>0</v>
      </c>
    </row>
    <row r="58" spans="1:24">
      <c r="A58" s="4">
        <f>(VLOOKUP('18.05'!I58,'18.05'!$AO$4:$AQ$55,3,FALSE))</f>
        <v>45</v>
      </c>
      <c r="B58" s="4">
        <f>(VLOOKUP('18.05'!J58,'18.05'!$AO$4:$AQ$55,3,FALSE))</f>
        <v>45</v>
      </c>
      <c r="C58" s="4">
        <f>(VLOOKUP('18.05'!K58,'18.05'!$AO$4:$AQ$55,3,FALSE))</f>
        <v>45</v>
      </c>
      <c r="D58" s="4">
        <f>(VLOOKUP('18.05'!L58,'18.05'!$AO$4:$AQ$55,3,FALSE))</f>
        <v>45</v>
      </c>
      <c r="E58" s="4">
        <f>(VLOOKUP('18.05'!M58,'18.05'!$AO$4:$AQ$55,3,FALSE))</f>
        <v>45</v>
      </c>
      <c r="F58" s="4">
        <f>(VLOOKUP('18.05'!N58,'18.05'!$AO$4:$AQ$55,3,FALSE))</f>
        <v>45</v>
      </c>
      <c r="G58" s="5">
        <f>(VLOOKUP('18.05'!O58,'18.05'!$AO$4:$AQ$55,3,FALSE))</f>
        <v>0</v>
      </c>
      <c r="H58" s="5">
        <f>(VLOOKUP('18.05'!P58,'18.05'!$AO$4:$AQ$55,3,FALSE))</f>
        <v>0</v>
      </c>
      <c r="I58" s="4">
        <f>(VLOOKUP('18.05'!Q58,'18.05'!$AO$4:$AQ$55,3,FALSE))</f>
        <v>55</v>
      </c>
      <c r="J58" s="4">
        <f>(VLOOKUP('18.05'!R58,'18.05'!$AO$4:$AQ$55,3,FALSE))</f>
        <v>55</v>
      </c>
      <c r="K58" s="4">
        <f>(VLOOKUP('18.05'!S58,'18.05'!$AO$4:$AQ$55,3,FALSE))</f>
        <v>30</v>
      </c>
      <c r="L58" s="4">
        <f>(VLOOKUP('18.05'!T58,'18.05'!$AO$4:$AQ$55,3,FALSE))</f>
        <v>55</v>
      </c>
      <c r="M58" s="4">
        <f>(VLOOKUP('18.05'!U58,'18.05'!$AO$4:$AQ$55,3,FALSE))</f>
        <v>55</v>
      </c>
      <c r="N58" s="4">
        <f>(VLOOKUP('18.05'!V58,'18.05'!$AO$4:$AQ$55,3,FALSE))</f>
        <v>55</v>
      </c>
      <c r="O58" s="5">
        <f>(VLOOKUP('18.05'!W58,'18.05'!$AO$4:$AQ$55,3,FALSE))</f>
        <v>0</v>
      </c>
      <c r="P58" s="5">
        <f>(VLOOKUP('18.05'!X58,'18.05'!$AO$4:$AQ$55,3,FALSE))</f>
        <v>0</v>
      </c>
      <c r="Q58" s="4">
        <f>(VLOOKUP('18.05'!Y58,'18.05'!$AO$4:$AQ$55,3,FALSE))</f>
        <v>0</v>
      </c>
      <c r="R58" s="4">
        <f>(VLOOKUP('18.05'!Z58,'18.05'!$AO$4:$AQ$55,3,FALSE))</f>
        <v>0</v>
      </c>
      <c r="S58" s="4">
        <f>(VLOOKUP('18.05'!AA58,'18.05'!$AO$4:$AQ$55,3,FALSE))</f>
        <v>0</v>
      </c>
      <c r="T58" s="4">
        <f>(VLOOKUP('18.05'!AB58,'18.05'!$AO$4:$AQ$55,3,FALSE))</f>
        <v>0</v>
      </c>
      <c r="U58" s="4">
        <f>(VLOOKUP('18.05'!AC58,'18.05'!$AO$4:$AQ$55,3,FALSE))</f>
        <v>0</v>
      </c>
      <c r="V58" s="4">
        <f>(VLOOKUP('18.05'!AD58,'18.05'!$AO$4:$AQ$55,3,FALSE))</f>
        <v>0</v>
      </c>
      <c r="W58" s="5">
        <f>(VLOOKUP('18.05'!AE58,'18.05'!$AO$4:$AQ$55,3,FALSE))</f>
        <v>0</v>
      </c>
      <c r="X58" s="5">
        <f>(VLOOKUP('18.05'!AF58,'18.05'!$AO$4:$AQ$55,3,FALSE))</f>
        <v>0</v>
      </c>
    </row>
    <row r="59" spans="1:24">
      <c r="A59" s="4">
        <f>(VLOOKUP('18.05'!I59,'18.05'!$AO$4:$AQ$55,3,FALSE))</f>
        <v>45</v>
      </c>
      <c r="B59" s="4">
        <f>(VLOOKUP('18.05'!J59,'18.05'!$AO$4:$AQ$55,3,FALSE))</f>
        <v>45</v>
      </c>
      <c r="C59" s="4">
        <f>(VLOOKUP('18.05'!K59,'18.05'!$AO$4:$AQ$55,3,FALSE))</f>
        <v>45</v>
      </c>
      <c r="D59" s="4">
        <f>(VLOOKUP('18.05'!L59,'18.05'!$AO$4:$AQ$55,3,FALSE))</f>
        <v>45</v>
      </c>
      <c r="E59" s="4">
        <f>(VLOOKUP('18.05'!M59,'18.05'!$AO$4:$AQ$55,3,FALSE))</f>
        <v>45</v>
      </c>
      <c r="F59" s="4">
        <f>(VLOOKUP('18.05'!N59,'18.05'!$AO$4:$AQ$55,3,FALSE))</f>
        <v>45</v>
      </c>
      <c r="G59" s="5">
        <f>(VLOOKUP('18.05'!O59,'18.05'!$AO$4:$AQ$55,3,FALSE))</f>
        <v>0</v>
      </c>
      <c r="H59" s="5">
        <f>(VLOOKUP('18.05'!P59,'18.05'!$AO$4:$AQ$55,3,FALSE))</f>
        <v>0</v>
      </c>
      <c r="I59" s="4">
        <f>(VLOOKUP('18.05'!Q59,'18.05'!$AO$4:$AQ$55,3,FALSE))</f>
        <v>55</v>
      </c>
      <c r="J59" s="4">
        <f>(VLOOKUP('18.05'!R59,'18.05'!$AO$4:$AQ$55,3,FALSE))</f>
        <v>520</v>
      </c>
      <c r="K59" s="4">
        <f>(VLOOKUP('18.05'!S59,'18.05'!$AO$4:$AQ$55,3,FALSE))</f>
        <v>55</v>
      </c>
      <c r="L59" s="4">
        <f>(VLOOKUP('18.05'!T59,'18.05'!$AO$4:$AQ$55,3,FALSE))</f>
        <v>55</v>
      </c>
      <c r="M59" s="4">
        <f>(VLOOKUP('18.05'!U59,'18.05'!$AO$4:$AQ$55,3,FALSE))</f>
        <v>55</v>
      </c>
      <c r="N59" s="4">
        <f>(VLOOKUP('18.05'!V59,'18.05'!$AO$4:$AQ$55,3,FALSE))</f>
        <v>55</v>
      </c>
      <c r="O59" s="5">
        <f>(VLOOKUP('18.05'!W59,'18.05'!$AO$4:$AQ$55,3,FALSE))</f>
        <v>0</v>
      </c>
      <c r="P59" s="5">
        <f>(VLOOKUP('18.05'!X59,'18.05'!$AO$4:$AQ$55,3,FALSE))</f>
        <v>0</v>
      </c>
      <c r="Q59" s="4">
        <f>(VLOOKUP('18.05'!Y59,'18.05'!$AO$4:$AQ$55,3,FALSE))</f>
        <v>0</v>
      </c>
      <c r="R59" s="4">
        <f>(VLOOKUP('18.05'!Z59,'18.05'!$AO$4:$AQ$55,3,FALSE))</f>
        <v>0</v>
      </c>
      <c r="S59" s="4">
        <f>(VLOOKUP('18.05'!AA59,'18.05'!$AO$4:$AQ$55,3,FALSE))</f>
        <v>0</v>
      </c>
      <c r="T59" s="4">
        <f>(VLOOKUP('18.05'!AB59,'18.05'!$AO$4:$AQ$55,3,FALSE))</f>
        <v>0</v>
      </c>
      <c r="U59" s="4">
        <f>(VLOOKUP('18.05'!AC59,'18.05'!$AO$4:$AQ$55,3,FALSE))</f>
        <v>0</v>
      </c>
      <c r="V59" s="4">
        <f>(VLOOKUP('18.05'!AD59,'18.05'!$AO$4:$AQ$55,3,FALSE))</f>
        <v>0</v>
      </c>
      <c r="W59" s="5">
        <f>(VLOOKUP('18.05'!AE59,'18.05'!$AO$4:$AQ$55,3,FALSE))</f>
        <v>0</v>
      </c>
      <c r="X59" s="5">
        <f>(VLOOKUP('18.05'!AF59,'18.05'!$AO$4:$AQ$55,3,FALSE))</f>
        <v>0</v>
      </c>
    </row>
    <row r="60" spans="1:24">
      <c r="A60" s="4">
        <f>(VLOOKUP('18.05'!I60,'18.05'!$AO$4:$AQ$55,3,FALSE))</f>
        <v>45</v>
      </c>
      <c r="B60" s="4">
        <f>(VLOOKUP('18.05'!J60,'18.05'!$AO$4:$AQ$55,3,FALSE))</f>
        <v>45</v>
      </c>
      <c r="C60" s="4">
        <f>(VLOOKUP('18.05'!K60,'18.05'!$AO$4:$AQ$55,3,FALSE))</f>
        <v>45</v>
      </c>
      <c r="D60" s="4">
        <f>(VLOOKUP('18.05'!L60,'18.05'!$AO$4:$AQ$55,3,FALSE))</f>
        <v>45</v>
      </c>
      <c r="E60" s="4">
        <f>(VLOOKUP('18.05'!M60,'18.05'!$AO$4:$AQ$55,3,FALSE))</f>
        <v>45</v>
      </c>
      <c r="F60" s="4">
        <f>(VLOOKUP('18.05'!N60,'18.05'!$AO$4:$AQ$55,3,FALSE))</f>
        <v>45</v>
      </c>
      <c r="G60" s="5">
        <f>(VLOOKUP('18.05'!O60,'18.05'!$AO$4:$AQ$55,3,FALSE))</f>
        <v>0</v>
      </c>
      <c r="H60" s="5">
        <f>(VLOOKUP('18.05'!P60,'18.05'!$AO$4:$AQ$55,3,FALSE))</f>
        <v>0</v>
      </c>
      <c r="I60" s="4">
        <f>(VLOOKUP('18.05'!Q60,'18.05'!$AO$4:$AQ$55,3,FALSE))</f>
        <v>55</v>
      </c>
      <c r="J60" s="4">
        <f>(VLOOKUP('18.05'!R60,'18.05'!$AO$4:$AQ$55,3,FALSE))</f>
        <v>55</v>
      </c>
      <c r="K60" s="4">
        <f>(VLOOKUP('18.05'!S60,'18.05'!$AO$4:$AQ$55,3,FALSE))</f>
        <v>55</v>
      </c>
      <c r="L60" s="4">
        <f>(VLOOKUP('18.05'!T60,'18.05'!$AO$4:$AQ$55,3,FALSE))</f>
        <v>55</v>
      </c>
      <c r="M60" s="4">
        <f>(VLOOKUP('18.05'!U60,'18.05'!$AO$4:$AQ$55,3,FALSE))</f>
        <v>55</v>
      </c>
      <c r="N60" s="4">
        <f>(VLOOKUP('18.05'!V60,'18.05'!$AO$4:$AQ$55,3,FALSE))</f>
        <v>55</v>
      </c>
      <c r="O60" s="5">
        <f>(VLOOKUP('18.05'!W60,'18.05'!$AO$4:$AQ$55,3,FALSE))</f>
        <v>0</v>
      </c>
      <c r="P60" s="5">
        <f>(VLOOKUP('18.05'!X60,'18.05'!$AO$4:$AQ$55,3,FALSE))</f>
        <v>0</v>
      </c>
      <c r="Q60" s="4">
        <f>(VLOOKUP('18.05'!Y60,'18.05'!$AO$4:$AQ$55,3,FALSE))</f>
        <v>0</v>
      </c>
      <c r="R60" s="4">
        <f>(VLOOKUP('18.05'!Z60,'18.05'!$AO$4:$AQ$55,3,FALSE))</f>
        <v>0</v>
      </c>
      <c r="S60" s="4">
        <f>(VLOOKUP('18.05'!AA60,'18.05'!$AO$4:$AQ$55,3,FALSE))</f>
        <v>0</v>
      </c>
      <c r="T60" s="4">
        <f>(VLOOKUP('18.05'!AB60,'18.05'!$AO$4:$AQ$55,3,FALSE))</f>
        <v>0</v>
      </c>
      <c r="U60" s="4">
        <f>(VLOOKUP('18.05'!AC60,'18.05'!$AO$4:$AQ$55,3,FALSE))</f>
        <v>0</v>
      </c>
      <c r="V60" s="4">
        <f>(VLOOKUP('18.05'!AD60,'18.05'!$AO$4:$AQ$55,3,FALSE))</f>
        <v>0</v>
      </c>
      <c r="W60" s="5">
        <f>(VLOOKUP('18.05'!AE60,'18.05'!$AO$4:$AQ$55,3,FALSE))</f>
        <v>0</v>
      </c>
      <c r="X60" s="5">
        <f>(VLOOKUP('18.05'!AF60,'18.05'!$AO$4:$AQ$55,3,FALSE))</f>
        <v>0</v>
      </c>
    </row>
    <row r="61" spans="1:24">
      <c r="A61" s="4">
        <f>(VLOOKUP('18.05'!I61,'18.05'!$AO$4:$AQ$55,3,FALSE))</f>
        <v>45</v>
      </c>
      <c r="B61" s="4">
        <f>(VLOOKUP('18.05'!J61,'18.05'!$AO$4:$AQ$55,3,FALSE))</f>
        <v>45</v>
      </c>
      <c r="C61" s="4">
        <f>(VLOOKUP('18.05'!K61,'18.05'!$AO$4:$AQ$55,3,FALSE))</f>
        <v>45</v>
      </c>
      <c r="D61" s="4">
        <f>(VLOOKUP('18.05'!L61,'18.05'!$AO$4:$AQ$55,3,FALSE))</f>
        <v>45</v>
      </c>
      <c r="E61" s="4">
        <f>(VLOOKUP('18.05'!M61,'18.05'!$AO$4:$AQ$55,3,FALSE))</f>
        <v>50</v>
      </c>
      <c r="F61" s="4">
        <f>(VLOOKUP('18.05'!N61,'18.05'!$AO$4:$AQ$55,3,FALSE))</f>
        <v>50</v>
      </c>
      <c r="G61" s="5">
        <f>(VLOOKUP('18.05'!O61,'18.05'!$AO$4:$AQ$55,3,FALSE))</f>
        <v>0</v>
      </c>
      <c r="H61" s="5">
        <f>(VLOOKUP('18.05'!P61,'18.05'!$AO$4:$AQ$55,3,FALSE))</f>
        <v>0</v>
      </c>
      <c r="I61" s="4">
        <f>(VLOOKUP('18.05'!Q61,'18.05'!$AO$4:$AQ$55,3,FALSE))</f>
        <v>55</v>
      </c>
      <c r="J61" s="4">
        <f>(VLOOKUP('18.05'!R61,'18.05'!$AO$4:$AQ$55,3,FALSE))</f>
        <v>55</v>
      </c>
      <c r="K61" s="4">
        <f>(VLOOKUP('18.05'!S61,'18.05'!$AO$4:$AQ$55,3,FALSE))</f>
        <v>55</v>
      </c>
      <c r="L61" s="4">
        <f>(VLOOKUP('18.05'!T61,'18.05'!$AO$4:$AQ$55,3,FALSE))</f>
        <v>55</v>
      </c>
      <c r="M61" s="4">
        <f>(VLOOKUP('18.05'!U61,'18.05'!$AO$4:$AQ$55,3,FALSE))</f>
        <v>45</v>
      </c>
      <c r="N61" s="4">
        <f>(VLOOKUP('18.05'!V61,'18.05'!$AO$4:$AQ$55,3,FALSE))</f>
        <v>45</v>
      </c>
      <c r="O61" s="5">
        <f>(VLOOKUP('18.05'!W61,'18.05'!$AO$4:$AQ$55,3,FALSE))</f>
        <v>0</v>
      </c>
      <c r="P61" s="5">
        <f>(VLOOKUP('18.05'!X61,'18.05'!$AO$4:$AQ$55,3,FALSE))</f>
        <v>0</v>
      </c>
      <c r="Q61" s="4">
        <f>(VLOOKUP('18.05'!Y61,'18.05'!$AO$4:$AQ$55,3,FALSE))</f>
        <v>0</v>
      </c>
      <c r="R61" s="4">
        <f>(VLOOKUP('18.05'!Z61,'18.05'!$AO$4:$AQ$55,3,FALSE))</f>
        <v>0</v>
      </c>
      <c r="S61" s="4">
        <f>(VLOOKUP('18.05'!AA61,'18.05'!$AO$4:$AQ$55,3,FALSE))</f>
        <v>0</v>
      </c>
      <c r="T61" s="4">
        <f>(VLOOKUP('18.05'!AB61,'18.05'!$AO$4:$AQ$55,3,FALSE))</f>
        <v>0</v>
      </c>
      <c r="U61" s="4">
        <f>(VLOOKUP('18.05'!AC61,'18.05'!$AO$4:$AQ$55,3,FALSE))</f>
        <v>0</v>
      </c>
      <c r="V61" s="4">
        <f>(VLOOKUP('18.05'!AD61,'18.05'!$AO$4:$AQ$55,3,FALSE))</f>
        <v>0</v>
      </c>
      <c r="W61" s="5">
        <f>(VLOOKUP('18.05'!AE61,'18.05'!$AO$4:$AQ$55,3,FALSE))</f>
        <v>0</v>
      </c>
      <c r="X61" s="5">
        <f>(VLOOKUP('18.05'!AF61,'18.05'!$AO$4:$AQ$55,3,FALSE))</f>
        <v>0</v>
      </c>
    </row>
    <row r="62" spans="1:24">
      <c r="A62" s="4">
        <f>(VLOOKUP('18.05'!I62,'18.05'!$AO$4:$AQ$55,3,FALSE))</f>
        <v>50</v>
      </c>
      <c r="B62" s="4">
        <f>(VLOOKUP('18.05'!J62,'18.05'!$AO$4:$AQ$55,3,FALSE))</f>
        <v>50</v>
      </c>
      <c r="C62" s="4">
        <f>(VLOOKUP('18.05'!K62,'18.05'!$AO$4:$AQ$55,3,FALSE))</f>
        <v>45</v>
      </c>
      <c r="D62" s="4">
        <f>(VLOOKUP('18.05'!L62,'18.05'!$AO$4:$AQ$55,3,FALSE))</f>
        <v>50</v>
      </c>
      <c r="E62" s="4">
        <f>(VLOOKUP('18.05'!M62,'18.05'!$AO$4:$AQ$55,3,FALSE))</f>
        <v>50</v>
      </c>
      <c r="F62" s="4">
        <f>(VLOOKUP('18.05'!N62,'18.05'!$AO$4:$AQ$55,3,FALSE))</f>
        <v>50</v>
      </c>
      <c r="G62" s="5">
        <f>(VLOOKUP('18.05'!O62,'18.05'!$AO$4:$AQ$55,3,FALSE))</f>
        <v>0</v>
      </c>
      <c r="H62" s="5">
        <f>(VLOOKUP('18.05'!P62,'18.05'!$AO$4:$AQ$55,3,FALSE))</f>
        <v>0</v>
      </c>
      <c r="I62" s="4">
        <f>(VLOOKUP('18.05'!Q62,'18.05'!$AO$4:$AQ$55,3,FALSE))</f>
        <v>55</v>
      </c>
      <c r="J62" s="4">
        <f>(VLOOKUP('18.05'!R62,'18.05'!$AO$4:$AQ$55,3,FALSE))</f>
        <v>55</v>
      </c>
      <c r="K62" s="4">
        <f>(VLOOKUP('18.05'!S62,'18.05'!$AO$4:$AQ$55,3,FALSE))</f>
        <v>55</v>
      </c>
      <c r="L62" s="4">
        <f>(VLOOKUP('18.05'!T62,'18.05'!$AO$4:$AQ$55,3,FALSE))</f>
        <v>55</v>
      </c>
      <c r="M62" s="4">
        <f>(VLOOKUP('18.05'!U62,'18.05'!$AO$4:$AQ$55,3,FALSE))</f>
        <v>55</v>
      </c>
      <c r="N62" s="4">
        <f>(VLOOKUP('18.05'!V62,'18.05'!$AO$4:$AQ$55,3,FALSE))</f>
        <v>55</v>
      </c>
      <c r="O62" s="5">
        <f>(VLOOKUP('18.05'!W62,'18.05'!$AO$4:$AQ$55,3,FALSE))</f>
        <v>0</v>
      </c>
      <c r="P62" s="5">
        <f>(VLOOKUP('18.05'!X62,'18.05'!$AO$4:$AQ$55,3,FALSE))</f>
        <v>0</v>
      </c>
      <c r="Q62" s="4">
        <f>(VLOOKUP('18.05'!Y62,'18.05'!$AO$4:$AQ$55,3,FALSE))</f>
        <v>0</v>
      </c>
      <c r="R62" s="4">
        <f>(VLOOKUP('18.05'!Z62,'18.05'!$AO$4:$AQ$55,3,FALSE))</f>
        <v>0</v>
      </c>
      <c r="S62" s="4">
        <f>(VLOOKUP('18.05'!AA62,'18.05'!$AO$4:$AQ$55,3,FALSE))</f>
        <v>0</v>
      </c>
      <c r="T62" s="4">
        <f>(VLOOKUP('18.05'!AB62,'18.05'!$AO$4:$AQ$55,3,FALSE))</f>
        <v>0</v>
      </c>
      <c r="U62" s="4">
        <f>(VLOOKUP('18.05'!AC62,'18.05'!$AO$4:$AQ$55,3,FALSE))</f>
        <v>0</v>
      </c>
      <c r="V62" s="4">
        <f>(VLOOKUP('18.05'!AD62,'18.05'!$AO$4:$AQ$55,3,FALSE))</f>
        <v>0</v>
      </c>
      <c r="W62" s="5">
        <f>(VLOOKUP('18.05'!AE62,'18.05'!$AO$4:$AQ$55,3,FALSE))</f>
        <v>0</v>
      </c>
      <c r="X62" s="5">
        <f>(VLOOKUP('18.05'!AF62,'18.05'!$AO$4:$AQ$55,3,FALSE))</f>
        <v>0</v>
      </c>
    </row>
    <row r="63" spans="1:24">
      <c r="A63" s="4">
        <f>(VLOOKUP('18.05'!I63,'18.05'!$AO$4:$AQ$55,3,FALSE))</f>
        <v>60</v>
      </c>
      <c r="B63" s="4">
        <f>(VLOOKUP('18.05'!J63,'18.05'!$AO$4:$AQ$55,3,FALSE))</f>
        <v>60</v>
      </c>
      <c r="C63" s="4">
        <f>(VLOOKUP('18.05'!K63,'18.05'!$AO$4:$AQ$55,3,FALSE))</f>
        <v>50</v>
      </c>
      <c r="D63" s="4">
        <f>(VLOOKUP('18.05'!L63,'18.05'!$AO$4:$AQ$55,3,FALSE))</f>
        <v>50</v>
      </c>
      <c r="E63" s="4">
        <f>(VLOOKUP('18.05'!M63,'18.05'!$AO$4:$AQ$55,3,FALSE))</f>
        <v>50</v>
      </c>
      <c r="F63" s="4">
        <f>(VLOOKUP('18.05'!N63,'18.05'!$AO$4:$AQ$55,3,FALSE))</f>
        <v>50</v>
      </c>
      <c r="G63" s="5">
        <f>(VLOOKUP('18.05'!O63,'18.05'!$AO$4:$AQ$55,3,FALSE))</f>
        <v>0</v>
      </c>
      <c r="H63" s="5">
        <f>(VLOOKUP('18.05'!P63,'18.05'!$AO$4:$AQ$55,3,FALSE))</f>
        <v>0</v>
      </c>
      <c r="I63" s="4">
        <f>(VLOOKUP('18.05'!Q63,'18.05'!$AO$4:$AQ$55,3,FALSE))</f>
        <v>55</v>
      </c>
      <c r="J63" s="4">
        <f>(VLOOKUP('18.05'!R63,'18.05'!$AO$4:$AQ$55,3,FALSE))</f>
        <v>55</v>
      </c>
      <c r="K63" s="4">
        <f>(VLOOKUP('18.05'!S63,'18.05'!$AO$4:$AQ$55,3,FALSE))</f>
        <v>55</v>
      </c>
      <c r="L63" s="4">
        <f>(VLOOKUP('18.05'!T63,'18.05'!$AO$4:$AQ$55,3,FALSE))</f>
        <v>55</v>
      </c>
      <c r="M63" s="4">
        <f>(VLOOKUP('18.05'!U63,'18.05'!$AO$4:$AQ$55,3,FALSE))</f>
        <v>55</v>
      </c>
      <c r="N63" s="4">
        <f>(VLOOKUP('18.05'!V63,'18.05'!$AO$4:$AQ$55,3,FALSE))</f>
        <v>55</v>
      </c>
      <c r="O63" s="5">
        <f>(VLOOKUP('18.05'!W63,'18.05'!$AO$4:$AQ$55,3,FALSE))</f>
        <v>0</v>
      </c>
      <c r="P63" s="5">
        <f>(VLOOKUP('18.05'!X63,'18.05'!$AO$4:$AQ$55,3,FALSE))</f>
        <v>0</v>
      </c>
      <c r="Q63" s="4">
        <f>(VLOOKUP('18.05'!Y63,'18.05'!$AO$4:$AQ$55,3,FALSE))</f>
        <v>0</v>
      </c>
      <c r="R63" s="4">
        <f>(VLOOKUP('18.05'!Z63,'18.05'!$AO$4:$AQ$55,3,FALSE))</f>
        <v>0</v>
      </c>
      <c r="S63" s="4">
        <f>(VLOOKUP('18.05'!AA63,'18.05'!$AO$4:$AQ$55,3,FALSE))</f>
        <v>0</v>
      </c>
      <c r="T63" s="4">
        <f>(VLOOKUP('18.05'!AB63,'18.05'!$AO$4:$AQ$55,3,FALSE))</f>
        <v>0</v>
      </c>
      <c r="U63" s="4">
        <f>(VLOOKUP('18.05'!AC63,'18.05'!$AO$4:$AQ$55,3,FALSE))</f>
        <v>0</v>
      </c>
      <c r="V63" s="4">
        <f>(VLOOKUP('18.05'!AD63,'18.05'!$AO$4:$AQ$55,3,FALSE))</f>
        <v>0</v>
      </c>
      <c r="W63" s="5">
        <f>(VLOOKUP('18.05'!AE63,'18.05'!$AO$4:$AQ$55,3,FALSE))</f>
        <v>0</v>
      </c>
      <c r="X63" s="5">
        <f>(VLOOKUP('18.05'!AF63,'18.05'!$AO$4:$AQ$55,3,FALSE))</f>
        <v>0</v>
      </c>
    </row>
    <row r="64" spans="1:24">
      <c r="A64" s="4">
        <f>(VLOOKUP('18.05'!I64,'18.05'!$AO$4:$AQ$55,3,FALSE))</f>
        <v>50</v>
      </c>
      <c r="B64" s="4">
        <f>(VLOOKUP('18.05'!J64,'18.05'!$AO$4:$AQ$55,3,FALSE))</f>
        <v>60</v>
      </c>
      <c r="C64" s="4">
        <f>(VLOOKUP('18.05'!K64,'18.05'!$AO$4:$AQ$55,3,FALSE))</f>
        <v>60</v>
      </c>
      <c r="D64" s="4">
        <f>(VLOOKUP('18.05'!L64,'18.05'!$AO$4:$AQ$55,3,FALSE))</f>
        <v>60</v>
      </c>
      <c r="E64" s="4">
        <f>(VLOOKUP('18.05'!M64,'18.05'!$AO$4:$AQ$55,3,FALSE))</f>
        <v>60</v>
      </c>
      <c r="F64" s="4">
        <f>(VLOOKUP('18.05'!N64,'18.05'!$AO$4:$AQ$55,3,FALSE))</f>
        <v>60</v>
      </c>
      <c r="G64" s="5">
        <f>(VLOOKUP('18.05'!O64,'18.05'!$AO$4:$AQ$55,3,FALSE))</f>
        <v>0</v>
      </c>
      <c r="H64" s="5">
        <f>(VLOOKUP('18.05'!P64,'18.05'!$AO$4:$AQ$55,3,FALSE))</f>
        <v>0</v>
      </c>
      <c r="I64" s="4">
        <f>(VLOOKUP('18.05'!Q64,'18.05'!$AO$4:$AQ$55,3,FALSE))</f>
        <v>55</v>
      </c>
      <c r="J64" s="4">
        <f>(VLOOKUP('18.05'!R64,'18.05'!$AO$4:$AQ$55,3,FALSE))</f>
        <v>50</v>
      </c>
      <c r="K64" s="4">
        <f>(VLOOKUP('18.05'!S64,'18.05'!$AO$4:$AQ$55,3,FALSE))</f>
        <v>50</v>
      </c>
      <c r="L64" s="4">
        <f>(VLOOKUP('18.05'!T64,'18.05'!$AO$4:$AQ$55,3,FALSE))</f>
        <v>50</v>
      </c>
      <c r="M64" s="4">
        <f>(VLOOKUP('18.05'!U64,'18.05'!$AO$4:$AQ$55,3,FALSE))</f>
        <v>50</v>
      </c>
      <c r="N64" s="4">
        <f>(VLOOKUP('18.05'!V64,'18.05'!$AO$4:$AQ$55,3,FALSE))</f>
        <v>50</v>
      </c>
      <c r="O64" s="5">
        <f>(VLOOKUP('18.05'!W64,'18.05'!$AO$4:$AQ$55,3,FALSE))</f>
        <v>0</v>
      </c>
      <c r="P64" s="5">
        <f>(VLOOKUP('18.05'!X64,'18.05'!$AO$4:$AQ$55,3,FALSE))</f>
        <v>0</v>
      </c>
      <c r="Q64" s="4">
        <f>(VLOOKUP('18.05'!Y64,'18.05'!$AO$4:$AQ$55,3,FALSE))</f>
        <v>0</v>
      </c>
      <c r="R64" s="4">
        <f>(VLOOKUP('18.05'!Z64,'18.05'!$AO$4:$AQ$55,3,FALSE))</f>
        <v>0</v>
      </c>
      <c r="S64" s="4">
        <f>(VLOOKUP('18.05'!AA64,'18.05'!$AO$4:$AQ$55,3,FALSE))</f>
        <v>0</v>
      </c>
      <c r="T64" s="4">
        <f>(VLOOKUP('18.05'!AB64,'18.05'!$AO$4:$AQ$55,3,FALSE))</f>
        <v>0</v>
      </c>
      <c r="U64" s="4">
        <f>(VLOOKUP('18.05'!AC64,'18.05'!$AO$4:$AQ$55,3,FALSE))</f>
        <v>0</v>
      </c>
      <c r="V64" s="4">
        <f>(VLOOKUP('18.05'!AD64,'18.05'!$AO$4:$AQ$55,3,FALSE))</f>
        <v>0</v>
      </c>
      <c r="W64" s="5">
        <f>(VLOOKUP('18.05'!AE64,'18.05'!$AO$4:$AQ$55,3,FALSE))</f>
        <v>0</v>
      </c>
      <c r="X64" s="5">
        <f>(VLOOKUP('18.05'!AF64,'18.05'!$AO$4:$AQ$55,3,FALSE))</f>
        <v>0</v>
      </c>
    </row>
    <row r="65" spans="1:24">
      <c r="A65" s="4">
        <f>(VLOOKUP('18.05'!I65,'18.05'!$AO$4:$AQ$55,3,FALSE))</f>
        <v>0</v>
      </c>
      <c r="B65" s="4">
        <f>(VLOOKUP('18.05'!J65,'18.05'!$AO$4:$AQ$55,3,FALSE))</f>
        <v>0</v>
      </c>
      <c r="C65" s="4">
        <f>(VLOOKUP('18.05'!K65,'18.05'!$AO$4:$AQ$55,3,FALSE))</f>
        <v>0</v>
      </c>
      <c r="D65" s="4">
        <f>(VLOOKUP('18.05'!L65,'18.05'!$AO$4:$AQ$55,3,FALSE))</f>
        <v>0</v>
      </c>
      <c r="E65" s="4">
        <f>(VLOOKUP('18.05'!M65,'18.05'!$AO$4:$AQ$55,3,FALSE))</f>
        <v>0</v>
      </c>
      <c r="F65" s="4">
        <f>(VLOOKUP('18.05'!N65,'18.05'!$AO$4:$AQ$55,3,FALSE))</f>
        <v>0</v>
      </c>
      <c r="G65" s="5">
        <f>(VLOOKUP('18.05'!O65,'18.05'!$AO$4:$AQ$55,3,FALSE))</f>
        <v>0</v>
      </c>
      <c r="H65" s="5">
        <f>(VLOOKUP('18.05'!P65,'18.05'!$AO$4:$AQ$55,3,FALSE))</f>
        <v>0</v>
      </c>
      <c r="I65" s="4">
        <f>(VLOOKUP('18.05'!Q65,'18.05'!$AO$4:$AQ$55,3,FALSE))</f>
        <v>50</v>
      </c>
      <c r="J65" s="4">
        <f>(VLOOKUP('18.05'!R65,'18.05'!$AO$4:$AQ$55,3,FALSE))</f>
        <v>50</v>
      </c>
      <c r="K65" s="4">
        <f>(VLOOKUP('18.05'!S65,'18.05'!$AO$4:$AQ$55,3,FALSE))</f>
        <v>50</v>
      </c>
      <c r="L65" s="4">
        <f>(VLOOKUP('18.05'!T65,'18.05'!$AO$4:$AQ$55,3,FALSE))</f>
        <v>50</v>
      </c>
      <c r="M65" s="4">
        <f>(VLOOKUP('18.05'!U65,'18.05'!$AO$4:$AQ$55,3,FALSE))</f>
        <v>60</v>
      </c>
      <c r="N65" s="4">
        <f>(VLOOKUP('18.05'!V65,'18.05'!$AO$4:$AQ$55,3,FALSE))</f>
        <v>50</v>
      </c>
      <c r="O65" s="5">
        <f>(VLOOKUP('18.05'!W65,'18.05'!$AO$4:$AQ$55,3,FALSE))</f>
        <v>0</v>
      </c>
      <c r="P65" s="5">
        <f>(VLOOKUP('18.05'!X65,'18.05'!$AO$4:$AQ$55,3,FALSE))</f>
        <v>0</v>
      </c>
      <c r="Q65" s="4">
        <f>(VLOOKUP('18.05'!Y65,'18.05'!$AO$4:$AQ$55,3,FALSE))</f>
        <v>0</v>
      </c>
      <c r="R65" s="4">
        <f>(VLOOKUP('18.05'!Z65,'18.05'!$AO$4:$AQ$55,3,FALSE))</f>
        <v>0</v>
      </c>
      <c r="S65" s="4">
        <f>(VLOOKUP('18.05'!AA65,'18.05'!$AO$4:$AQ$55,3,FALSE))</f>
        <v>0</v>
      </c>
      <c r="T65" s="4">
        <f>(VLOOKUP('18.05'!AB65,'18.05'!$AO$4:$AQ$55,3,FALSE))</f>
        <v>0</v>
      </c>
      <c r="U65" s="4">
        <f>(VLOOKUP('18.05'!AC65,'18.05'!$AO$4:$AQ$55,3,FALSE))</f>
        <v>0</v>
      </c>
      <c r="V65" s="4">
        <f>(VLOOKUP('18.05'!AD65,'18.05'!$AO$4:$AQ$55,3,FALSE))</f>
        <v>0</v>
      </c>
      <c r="W65" s="5">
        <f>(VLOOKUP('18.05'!AE65,'18.05'!$AO$4:$AQ$55,3,FALSE))</f>
        <v>0</v>
      </c>
      <c r="X65" s="5">
        <f>(VLOOKUP('18.05'!AF65,'18.05'!$AO$4:$AQ$55,3,FALSE))</f>
        <v>0</v>
      </c>
    </row>
    <row r="66" spans="1:24">
      <c r="A66" s="4">
        <f>(VLOOKUP('18.05'!I66,'18.05'!$AO$4:$AQ$55,3,FALSE))</f>
        <v>0</v>
      </c>
      <c r="B66" s="4">
        <f>(VLOOKUP('18.05'!J66,'18.05'!$AO$4:$AQ$55,3,FALSE))</f>
        <v>0</v>
      </c>
      <c r="C66" s="4">
        <f>(VLOOKUP('18.05'!K66,'18.05'!$AO$4:$AQ$55,3,FALSE))</f>
        <v>0</v>
      </c>
      <c r="D66" s="4">
        <f>(VLOOKUP('18.05'!L66,'18.05'!$AO$4:$AQ$55,3,FALSE))</f>
        <v>0</v>
      </c>
      <c r="E66" s="4">
        <f>(VLOOKUP('18.05'!M66,'18.05'!$AO$4:$AQ$55,3,FALSE))</f>
        <v>0</v>
      </c>
      <c r="F66" s="4">
        <f>(VLOOKUP('18.05'!N66,'18.05'!$AO$4:$AQ$55,3,FALSE))</f>
        <v>0</v>
      </c>
      <c r="G66" s="5">
        <f>(VLOOKUP('18.05'!O66,'18.05'!$AO$4:$AQ$55,3,FALSE))</f>
        <v>0</v>
      </c>
      <c r="H66" s="5">
        <f>(VLOOKUP('18.05'!P66,'18.05'!$AO$4:$AQ$55,3,FALSE))</f>
        <v>0</v>
      </c>
      <c r="I66" s="4">
        <f>(VLOOKUP('18.05'!Q66,'18.05'!$AO$4:$AQ$55,3,FALSE))</f>
        <v>50</v>
      </c>
      <c r="J66" s="4">
        <f>(VLOOKUP('18.05'!R66,'18.05'!$AO$4:$AQ$55,3,FALSE))</f>
        <v>50</v>
      </c>
      <c r="K66" s="4">
        <f>(VLOOKUP('18.05'!S66,'18.05'!$AO$4:$AQ$55,3,FALSE))</f>
        <v>60</v>
      </c>
      <c r="L66" s="4">
        <f>(VLOOKUP('18.05'!T66,'18.05'!$AO$4:$AQ$55,3,FALSE))</f>
        <v>60</v>
      </c>
      <c r="M66" s="4">
        <f>(VLOOKUP('18.05'!U66,'18.05'!$AO$4:$AQ$55,3,FALSE))</f>
        <v>50</v>
      </c>
      <c r="N66" s="4">
        <f>(VLOOKUP('18.05'!V66,'18.05'!$AO$4:$AQ$55,3,FALSE))</f>
        <v>50</v>
      </c>
      <c r="O66" s="5">
        <f>(VLOOKUP('18.05'!W66,'18.05'!$AO$4:$AQ$55,3,FALSE))</f>
        <v>0</v>
      </c>
      <c r="P66" s="5">
        <f>(VLOOKUP('18.05'!X66,'18.05'!$AO$4:$AQ$55,3,FALSE))</f>
        <v>0</v>
      </c>
      <c r="Q66" s="4">
        <f>(VLOOKUP('18.05'!Y66,'18.05'!$AO$4:$AQ$55,3,FALSE))</f>
        <v>0</v>
      </c>
      <c r="R66" s="4">
        <f>(VLOOKUP('18.05'!Z66,'18.05'!$AO$4:$AQ$55,3,FALSE))</f>
        <v>0</v>
      </c>
      <c r="S66" s="4">
        <f>(VLOOKUP('18.05'!AA66,'18.05'!$AO$4:$AQ$55,3,FALSE))</f>
        <v>0</v>
      </c>
      <c r="T66" s="4">
        <f>(VLOOKUP('18.05'!AB66,'18.05'!$AO$4:$AQ$55,3,FALSE))</f>
        <v>0</v>
      </c>
      <c r="U66" s="4">
        <f>(VLOOKUP('18.05'!AC66,'18.05'!$AO$4:$AQ$55,3,FALSE))</f>
        <v>0</v>
      </c>
      <c r="V66" s="4">
        <f>(VLOOKUP('18.05'!AD66,'18.05'!$AO$4:$AQ$55,3,FALSE))</f>
        <v>0</v>
      </c>
      <c r="W66" s="5">
        <f>(VLOOKUP('18.05'!AE66,'18.05'!$AO$4:$AQ$55,3,FALSE))</f>
        <v>0</v>
      </c>
      <c r="X66" s="5">
        <f>(VLOOKUP('18.05'!AF66,'18.05'!$AO$4:$AQ$55,3,FALSE))</f>
        <v>0</v>
      </c>
    </row>
    <row r="67" spans="1:24">
      <c r="A67" s="4">
        <f>(VLOOKUP('18.05'!I67,'18.05'!$AO$4:$AQ$55,3,FALSE))</f>
        <v>60</v>
      </c>
      <c r="B67" s="4">
        <f>(VLOOKUP('18.05'!J67,'18.05'!$AO$4:$AQ$55,3,FALSE))</f>
        <v>60</v>
      </c>
      <c r="C67" s="4">
        <f>(VLOOKUP('18.05'!K67,'18.05'!$AO$4:$AQ$55,3,FALSE))</f>
        <v>60</v>
      </c>
      <c r="D67" s="4">
        <f>(VLOOKUP('18.05'!L67,'18.05'!$AO$4:$AQ$55,3,FALSE))</f>
        <v>60</v>
      </c>
      <c r="E67" s="4">
        <f>(VLOOKUP('18.05'!M67,'18.05'!$AO$4:$AQ$55,3,FALSE))</f>
        <v>60</v>
      </c>
      <c r="F67" s="4">
        <f>(VLOOKUP('18.05'!N67,'18.05'!$AO$4:$AQ$55,3,FALSE))</f>
        <v>60</v>
      </c>
      <c r="G67" s="5">
        <f>(VLOOKUP('18.05'!O67,'18.05'!$AO$4:$AQ$55,3,FALSE))</f>
        <v>0</v>
      </c>
      <c r="H67" s="5">
        <f>(VLOOKUP('18.05'!P67,'18.05'!$AO$4:$AQ$55,3,FALSE))</f>
        <v>0</v>
      </c>
      <c r="I67" s="4">
        <f>(VLOOKUP('18.05'!Q67,'18.05'!$AO$4:$AQ$55,3,FALSE))</f>
        <v>50</v>
      </c>
      <c r="J67" s="4">
        <f>(VLOOKUP('18.05'!R67,'18.05'!$AO$4:$AQ$55,3,FALSE))</f>
        <v>50</v>
      </c>
      <c r="K67" s="4">
        <f>(VLOOKUP('18.05'!S67,'18.05'!$AO$4:$AQ$55,3,FALSE))</f>
        <v>55</v>
      </c>
      <c r="L67" s="4">
        <f>(VLOOKUP('18.05'!T67,'18.05'!$AO$4:$AQ$55,3,FALSE))</f>
        <v>55</v>
      </c>
      <c r="M67" s="4">
        <f>(VLOOKUP('18.05'!U67,'18.05'!$AO$4:$AQ$55,3,FALSE))</f>
        <v>55</v>
      </c>
      <c r="N67" s="4">
        <f>(VLOOKUP('18.05'!V67,'18.05'!$AO$4:$AQ$55,3,FALSE))</f>
        <v>55</v>
      </c>
      <c r="O67" s="5">
        <f>(VLOOKUP('18.05'!W67,'18.05'!$AO$4:$AQ$55,3,FALSE))</f>
        <v>0</v>
      </c>
      <c r="P67" s="5">
        <f>(VLOOKUP('18.05'!X67,'18.05'!$AO$4:$AQ$55,3,FALSE))</f>
        <v>0</v>
      </c>
      <c r="Q67" s="4">
        <f>(VLOOKUP('18.05'!Y67,'18.05'!$AO$4:$AQ$55,3,FALSE))</f>
        <v>0</v>
      </c>
      <c r="R67" s="4">
        <f>(VLOOKUP('18.05'!Z67,'18.05'!$AO$4:$AQ$55,3,FALSE))</f>
        <v>0</v>
      </c>
      <c r="S67" s="4">
        <f>(VLOOKUP('18.05'!AA67,'18.05'!$AO$4:$AQ$55,3,FALSE))</f>
        <v>0</v>
      </c>
      <c r="T67" s="4">
        <f>(VLOOKUP('18.05'!AB67,'18.05'!$AO$4:$AQ$55,3,FALSE))</f>
        <v>0</v>
      </c>
      <c r="U67" s="4">
        <f>(VLOOKUP('18.05'!AC67,'18.05'!$AO$4:$AQ$55,3,FALSE))</f>
        <v>0</v>
      </c>
      <c r="V67" s="4">
        <f>(VLOOKUP('18.05'!AD67,'18.05'!$AO$4:$AQ$55,3,FALSE))</f>
        <v>0</v>
      </c>
      <c r="W67" s="5">
        <f>(VLOOKUP('18.05'!AE67,'18.05'!$AO$4:$AQ$55,3,FALSE))</f>
        <v>0</v>
      </c>
      <c r="X67" s="5">
        <f>(VLOOKUP('18.05'!AF67,'18.05'!$AO$4:$AQ$55,3,FALSE))</f>
        <v>0</v>
      </c>
    </row>
    <row r="68" spans="1:24">
      <c r="A68" s="4">
        <f>(VLOOKUP('18.05'!I68,'18.05'!$AO$4:$AQ$55,3,FALSE))</f>
        <v>60</v>
      </c>
      <c r="B68" s="4">
        <f>(VLOOKUP('18.05'!J68,'18.05'!$AO$4:$AQ$55,3,FALSE))</f>
        <v>60</v>
      </c>
      <c r="C68" s="4">
        <f>(VLOOKUP('18.05'!K68,'18.05'!$AO$4:$AQ$55,3,FALSE))</f>
        <v>60</v>
      </c>
      <c r="D68" s="4">
        <f>(VLOOKUP('18.05'!L68,'18.05'!$AO$4:$AQ$55,3,FALSE))</f>
        <v>60</v>
      </c>
      <c r="E68" s="4">
        <f>(VLOOKUP('18.05'!M68,'18.05'!$AO$4:$AQ$55,3,FALSE))</f>
        <v>60</v>
      </c>
      <c r="F68" s="4">
        <f>(VLOOKUP('18.05'!N68,'18.05'!$AO$4:$AQ$55,3,FALSE))</f>
        <v>60</v>
      </c>
      <c r="G68" s="5">
        <f>(VLOOKUP('18.05'!O68,'18.05'!$AO$4:$AQ$55,3,FALSE))</f>
        <v>0</v>
      </c>
      <c r="H68" s="5">
        <f>(VLOOKUP('18.05'!P68,'18.05'!$AO$4:$AQ$55,3,FALSE))</f>
        <v>0</v>
      </c>
      <c r="I68" s="4">
        <f>(VLOOKUP('18.05'!Q68,'18.05'!$AO$4:$AQ$55,3,FALSE))</f>
        <v>45</v>
      </c>
      <c r="J68" s="4">
        <f>(VLOOKUP('18.05'!R68,'18.05'!$AO$4:$AQ$55,3,FALSE))</f>
        <v>55</v>
      </c>
      <c r="K68" s="4">
        <f>(VLOOKUP('18.05'!S68,'18.05'!$AO$4:$AQ$55,3,FALSE))</f>
        <v>55</v>
      </c>
      <c r="L68" s="4">
        <f>(VLOOKUP('18.05'!T68,'18.05'!$AO$4:$AQ$55,3,FALSE))</f>
        <v>55</v>
      </c>
      <c r="M68" s="4">
        <f>(VLOOKUP('18.05'!U68,'18.05'!$AO$4:$AQ$55,3,FALSE))</f>
        <v>55</v>
      </c>
      <c r="N68" s="4">
        <f>(VLOOKUP('18.05'!V68,'18.05'!$AO$4:$AQ$55,3,FALSE))</f>
        <v>50</v>
      </c>
      <c r="O68" s="5">
        <f>(VLOOKUP('18.05'!W68,'18.05'!$AO$4:$AQ$55,3,FALSE))</f>
        <v>0</v>
      </c>
      <c r="P68" s="5">
        <f>(VLOOKUP('18.05'!X68,'18.05'!$AO$4:$AQ$55,3,FALSE))</f>
        <v>0</v>
      </c>
      <c r="Q68" s="4">
        <f>(VLOOKUP('18.05'!Y68,'18.05'!$AO$4:$AQ$55,3,FALSE))</f>
        <v>0</v>
      </c>
      <c r="R68" s="4">
        <f>(VLOOKUP('18.05'!Z68,'18.05'!$AO$4:$AQ$55,3,FALSE))</f>
        <v>0</v>
      </c>
      <c r="S68" s="4">
        <f>(VLOOKUP('18.05'!AA68,'18.05'!$AO$4:$AQ$55,3,FALSE))</f>
        <v>0</v>
      </c>
      <c r="T68" s="4">
        <f>(VLOOKUP('18.05'!AB68,'18.05'!$AO$4:$AQ$55,3,FALSE))</f>
        <v>0</v>
      </c>
      <c r="U68" s="4">
        <f>(VLOOKUP('18.05'!AC68,'18.05'!$AO$4:$AQ$55,3,FALSE))</f>
        <v>0</v>
      </c>
      <c r="V68" s="4">
        <f>(VLOOKUP('18.05'!AD68,'18.05'!$AO$4:$AQ$55,3,FALSE))</f>
        <v>0</v>
      </c>
      <c r="W68" s="5">
        <f>(VLOOKUP('18.05'!AE68,'18.05'!$AO$4:$AQ$55,3,FALSE))</f>
        <v>0</v>
      </c>
      <c r="X68" s="5">
        <f>(VLOOKUP('18.05'!AF68,'18.05'!$AO$4:$AQ$55,3,FALSE))</f>
        <v>0</v>
      </c>
    </row>
    <row r="69" spans="1:24">
      <c r="A69" s="4">
        <f>(VLOOKUP('18.05'!I69,'18.05'!$AO$4:$AQ$55,3,FALSE))</f>
        <v>60</v>
      </c>
      <c r="B69" s="4">
        <f>(VLOOKUP('18.05'!J69,'18.05'!$AO$4:$AQ$55,3,FALSE))</f>
        <v>60</v>
      </c>
      <c r="C69" s="4">
        <f>(VLOOKUP('18.05'!K69,'18.05'!$AO$4:$AQ$55,3,FALSE))</f>
        <v>60</v>
      </c>
      <c r="D69" s="4">
        <f>(VLOOKUP('18.05'!L69,'18.05'!$AO$4:$AQ$55,3,FALSE))</f>
        <v>60</v>
      </c>
      <c r="E69" s="4">
        <f>(VLOOKUP('18.05'!M69,'18.05'!$AO$4:$AQ$55,3,FALSE))</f>
        <v>60</v>
      </c>
      <c r="F69" s="4">
        <f>(VLOOKUP('18.05'!N69,'18.05'!$AO$4:$AQ$55,3,FALSE))</f>
        <v>60</v>
      </c>
      <c r="G69" s="5">
        <f>(VLOOKUP('18.05'!O69,'18.05'!$AO$4:$AQ$55,3,FALSE))</f>
        <v>0</v>
      </c>
      <c r="H69" s="5">
        <f>(VLOOKUP('18.05'!P69,'18.05'!$AO$4:$AQ$55,3,FALSE))</f>
        <v>0</v>
      </c>
      <c r="I69" s="4">
        <f>(VLOOKUP('18.05'!Q69,'18.05'!$AO$4:$AQ$55,3,FALSE))</f>
        <v>50</v>
      </c>
      <c r="J69" s="4">
        <f>(VLOOKUP('18.05'!R69,'18.05'!$AO$4:$AQ$55,3,FALSE))</f>
        <v>50</v>
      </c>
      <c r="K69" s="4">
        <f>(VLOOKUP('18.05'!S69,'18.05'!$AO$4:$AQ$55,3,FALSE))</f>
        <v>50</v>
      </c>
      <c r="L69" s="4">
        <f>(VLOOKUP('18.05'!T69,'18.05'!$AO$4:$AQ$55,3,FALSE))</f>
        <v>50</v>
      </c>
      <c r="M69" s="4">
        <f>(VLOOKUP('18.05'!U69,'18.05'!$AO$4:$AQ$55,3,FALSE))</f>
        <v>50</v>
      </c>
      <c r="N69" s="4">
        <f>(VLOOKUP('18.05'!V69,'18.05'!$AO$4:$AQ$55,3,FALSE))</f>
        <v>50</v>
      </c>
      <c r="O69" s="5">
        <f>(VLOOKUP('18.05'!W69,'18.05'!$AO$4:$AQ$55,3,FALSE))</f>
        <v>0</v>
      </c>
      <c r="P69" s="5">
        <f>(VLOOKUP('18.05'!X69,'18.05'!$AO$4:$AQ$55,3,FALSE))</f>
        <v>0</v>
      </c>
      <c r="Q69" s="4">
        <f>(VLOOKUP('18.05'!Y69,'18.05'!$AO$4:$AQ$55,3,FALSE))</f>
        <v>0</v>
      </c>
      <c r="R69" s="4">
        <f>(VLOOKUP('18.05'!Z69,'18.05'!$AO$4:$AQ$55,3,FALSE))</f>
        <v>0</v>
      </c>
      <c r="S69" s="4">
        <f>(VLOOKUP('18.05'!AA69,'18.05'!$AO$4:$AQ$55,3,FALSE))</f>
        <v>0</v>
      </c>
      <c r="T69" s="4">
        <f>(VLOOKUP('18.05'!AB69,'18.05'!$AO$4:$AQ$55,3,FALSE))</f>
        <v>0</v>
      </c>
      <c r="U69" s="4">
        <f>(VLOOKUP('18.05'!AC69,'18.05'!$AO$4:$AQ$55,3,FALSE))</f>
        <v>0</v>
      </c>
      <c r="V69" s="4">
        <f>(VLOOKUP('18.05'!AD69,'18.05'!$AO$4:$AQ$55,3,FALSE))</f>
        <v>0</v>
      </c>
      <c r="W69" s="5">
        <f>(VLOOKUP('18.05'!AE69,'18.05'!$AO$4:$AQ$55,3,FALSE))</f>
        <v>0</v>
      </c>
      <c r="X69" s="5">
        <f>(VLOOKUP('18.05'!AF69,'18.05'!$AO$4:$AQ$55,3,FALSE))</f>
        <v>0</v>
      </c>
    </row>
    <row r="70" spans="1:24">
      <c r="A70" s="4">
        <f>(VLOOKUP('18.05'!I70,'18.05'!$AO$4:$AQ$55,3,FALSE))</f>
        <v>60</v>
      </c>
      <c r="B70" s="4">
        <f>(VLOOKUP('18.05'!J70,'18.05'!$AO$4:$AQ$55,3,FALSE))</f>
        <v>50</v>
      </c>
      <c r="C70" s="4">
        <f>(VLOOKUP('18.05'!K70,'18.05'!$AO$4:$AQ$55,3,FALSE))</f>
        <v>50</v>
      </c>
      <c r="D70" s="4">
        <f>(VLOOKUP('18.05'!L70,'18.05'!$AO$4:$AQ$55,3,FALSE))</f>
        <v>50</v>
      </c>
      <c r="E70" s="4">
        <f>(VLOOKUP('18.05'!M70,'18.05'!$AO$4:$AQ$55,3,FALSE))</f>
        <v>60</v>
      </c>
      <c r="F70" s="4">
        <f>(VLOOKUP('18.05'!N70,'18.05'!$AO$4:$AQ$55,3,FALSE))</f>
        <v>50</v>
      </c>
      <c r="G70" s="5">
        <f>(VLOOKUP('18.05'!O70,'18.05'!$AO$4:$AQ$55,3,FALSE))</f>
        <v>0</v>
      </c>
      <c r="H70" s="5">
        <f>(VLOOKUP('18.05'!P70,'18.05'!$AO$4:$AQ$55,3,FALSE))</f>
        <v>0</v>
      </c>
      <c r="I70" s="4">
        <f>(VLOOKUP('18.05'!Q70,'18.05'!$AO$4:$AQ$55,3,FALSE))</f>
        <v>60</v>
      </c>
      <c r="J70" s="4">
        <f>(VLOOKUP('18.05'!R70,'18.05'!$AO$4:$AQ$55,3,FALSE))</f>
        <v>60</v>
      </c>
      <c r="K70" s="4">
        <f>(VLOOKUP('18.05'!S70,'18.05'!$AO$4:$AQ$55,3,FALSE))</f>
        <v>60</v>
      </c>
      <c r="L70" s="4">
        <f>(VLOOKUP('18.05'!T70,'18.05'!$AO$4:$AQ$55,3,FALSE))</f>
        <v>60</v>
      </c>
      <c r="M70" s="4">
        <f>(VLOOKUP('18.05'!U70,'18.05'!$AO$4:$AQ$55,3,FALSE))</f>
        <v>60</v>
      </c>
      <c r="N70" s="4">
        <f>(VLOOKUP('18.05'!V70,'18.05'!$AO$4:$AQ$55,3,FALSE))</f>
        <v>60</v>
      </c>
      <c r="O70" s="5">
        <f>(VLOOKUP('18.05'!W70,'18.05'!$AO$4:$AQ$55,3,FALSE))</f>
        <v>0</v>
      </c>
      <c r="P70" s="5">
        <f>(VLOOKUP('18.05'!X70,'18.05'!$AO$4:$AQ$55,3,FALSE))</f>
        <v>0</v>
      </c>
      <c r="Q70" s="4">
        <f>(VLOOKUP('18.05'!Y70,'18.05'!$AO$4:$AQ$55,3,FALSE))</f>
        <v>0</v>
      </c>
      <c r="R70" s="4">
        <f>(VLOOKUP('18.05'!Z70,'18.05'!$AO$4:$AQ$55,3,FALSE))</f>
        <v>0</v>
      </c>
      <c r="S70" s="4">
        <f>(VLOOKUP('18.05'!AA70,'18.05'!$AO$4:$AQ$55,3,FALSE))</f>
        <v>0</v>
      </c>
      <c r="T70" s="4">
        <f>(VLOOKUP('18.05'!AB70,'18.05'!$AO$4:$AQ$55,3,FALSE))</f>
        <v>0</v>
      </c>
      <c r="U70" s="4">
        <f>(VLOOKUP('18.05'!AC70,'18.05'!$AO$4:$AQ$55,3,FALSE))</f>
        <v>0</v>
      </c>
      <c r="V70" s="4">
        <f>(VLOOKUP('18.05'!AD70,'18.05'!$AO$4:$AQ$55,3,FALSE))</f>
        <v>0</v>
      </c>
      <c r="W70" s="5">
        <f>(VLOOKUP('18.05'!AE70,'18.05'!$AO$4:$AQ$55,3,FALSE))</f>
        <v>0</v>
      </c>
      <c r="X70" s="5">
        <f>(VLOOKUP('18.05'!AF70,'18.05'!$AO$4:$AQ$55,3,FALSE))</f>
        <v>0</v>
      </c>
    </row>
    <row r="71" spans="1:24">
      <c r="A71" s="4">
        <f>(VLOOKUP('18.05'!I71,'18.05'!$AO$4:$AQ$55,3,FALSE))</f>
        <v>50</v>
      </c>
      <c r="B71" s="4">
        <f>(VLOOKUP('18.05'!J71,'18.05'!$AO$4:$AQ$55,3,FALSE))</f>
        <v>50</v>
      </c>
      <c r="C71" s="4">
        <f>(VLOOKUP('18.05'!K71,'18.05'!$AO$4:$AQ$55,3,FALSE))</f>
        <v>50</v>
      </c>
      <c r="D71" s="4">
        <f>(VLOOKUP('18.05'!L71,'18.05'!$AO$4:$AQ$55,3,FALSE))</f>
        <v>60</v>
      </c>
      <c r="E71" s="4">
        <f>(VLOOKUP('18.05'!M71,'18.05'!$AO$4:$AQ$55,3,FALSE))</f>
        <v>50</v>
      </c>
      <c r="F71" s="4">
        <f>(VLOOKUP('18.05'!N71,'18.05'!$AO$4:$AQ$55,3,FALSE))</f>
        <v>50</v>
      </c>
      <c r="G71" s="5">
        <f>(VLOOKUP('18.05'!O71,'18.05'!$AO$4:$AQ$55,3,FALSE))</f>
        <v>0</v>
      </c>
      <c r="H71" s="5">
        <f>(VLOOKUP('18.05'!P71,'18.05'!$AO$4:$AQ$55,3,FALSE))</f>
        <v>0</v>
      </c>
      <c r="I71" s="4">
        <f>(VLOOKUP('18.05'!Q71,'18.05'!$AO$4:$AQ$55,3,FALSE))</f>
        <v>60</v>
      </c>
      <c r="J71" s="4">
        <f>(VLOOKUP('18.05'!R71,'18.05'!$AO$4:$AQ$55,3,FALSE))</f>
        <v>60</v>
      </c>
      <c r="K71" s="4">
        <f>(VLOOKUP('18.05'!S71,'18.05'!$AO$4:$AQ$55,3,FALSE))</f>
        <v>60</v>
      </c>
      <c r="L71" s="4">
        <f>(VLOOKUP('18.05'!T71,'18.05'!$AO$4:$AQ$55,3,FALSE))</f>
        <v>60</v>
      </c>
      <c r="M71" s="4">
        <f>(VLOOKUP('18.05'!U71,'18.05'!$AO$4:$AQ$55,3,FALSE))</f>
        <v>60</v>
      </c>
      <c r="N71" s="4">
        <f>(VLOOKUP('18.05'!V71,'18.05'!$AO$4:$AQ$55,3,FALSE))</f>
        <v>60</v>
      </c>
      <c r="O71" s="5">
        <f>(VLOOKUP('18.05'!W71,'18.05'!$AO$4:$AQ$55,3,FALSE))</f>
        <v>0</v>
      </c>
      <c r="P71" s="5">
        <f>(VLOOKUP('18.05'!X71,'18.05'!$AO$4:$AQ$55,3,FALSE))</f>
        <v>0</v>
      </c>
      <c r="Q71" s="4">
        <f>(VLOOKUP('18.05'!Y71,'18.05'!$AO$4:$AQ$55,3,FALSE))</f>
        <v>0</v>
      </c>
      <c r="R71" s="4">
        <f>(VLOOKUP('18.05'!Z71,'18.05'!$AO$4:$AQ$55,3,FALSE))</f>
        <v>0</v>
      </c>
      <c r="S71" s="4">
        <f>(VLOOKUP('18.05'!AA71,'18.05'!$AO$4:$AQ$55,3,FALSE))</f>
        <v>0</v>
      </c>
      <c r="T71" s="4">
        <f>(VLOOKUP('18.05'!AB71,'18.05'!$AO$4:$AQ$55,3,FALSE))</f>
        <v>0</v>
      </c>
      <c r="U71" s="4">
        <f>(VLOOKUP('18.05'!AC71,'18.05'!$AO$4:$AQ$55,3,FALSE))</f>
        <v>0</v>
      </c>
      <c r="V71" s="4">
        <f>(VLOOKUP('18.05'!AD71,'18.05'!$AO$4:$AQ$55,3,FALSE))</f>
        <v>0</v>
      </c>
      <c r="W71" s="5">
        <f>(VLOOKUP('18.05'!AE71,'18.05'!$AO$4:$AQ$55,3,FALSE))</f>
        <v>0</v>
      </c>
      <c r="X71" s="5">
        <f>(VLOOKUP('18.05'!AF71,'18.05'!$AO$4:$AQ$55,3,FALSE))</f>
        <v>0</v>
      </c>
    </row>
    <row r="72" spans="1:24">
      <c r="A72" s="4">
        <f>(VLOOKUP('18.05'!I72,'18.05'!$AO$4:$AQ$55,3,FALSE))</f>
        <v>50</v>
      </c>
      <c r="B72" s="4">
        <f>(VLOOKUP('18.05'!J72,'18.05'!$AO$4:$AQ$55,3,FALSE))</f>
        <v>50</v>
      </c>
      <c r="C72" s="4">
        <f>(VLOOKUP('18.05'!K72,'18.05'!$AO$4:$AQ$55,3,FALSE))</f>
        <v>50</v>
      </c>
      <c r="D72" s="4">
        <f>(VLOOKUP('18.05'!L72,'18.05'!$AO$4:$AQ$55,3,FALSE))</f>
        <v>50</v>
      </c>
      <c r="E72" s="4">
        <f>(VLOOKUP('18.05'!M72,'18.05'!$AO$4:$AQ$55,3,FALSE))</f>
        <v>50</v>
      </c>
      <c r="F72" s="4">
        <f>(VLOOKUP('18.05'!N72,'18.05'!$AO$4:$AQ$55,3,FALSE))</f>
        <v>50</v>
      </c>
      <c r="G72" s="5">
        <f>(VLOOKUP('18.05'!O72,'18.05'!$AO$4:$AQ$55,3,FALSE))</f>
        <v>0</v>
      </c>
      <c r="H72" s="5">
        <f>(VLOOKUP('18.05'!P72,'18.05'!$AO$4:$AQ$55,3,FALSE))</f>
        <v>0</v>
      </c>
      <c r="I72" s="4">
        <f>(VLOOKUP('18.05'!Q72,'18.05'!$AO$4:$AQ$55,3,FALSE))</f>
        <v>55</v>
      </c>
      <c r="J72" s="4">
        <f>(VLOOKUP('18.05'!R72,'18.05'!$AO$4:$AQ$55,3,FALSE))</f>
        <v>45</v>
      </c>
      <c r="K72" s="4">
        <f>(VLOOKUP('18.05'!S72,'18.05'!$AO$4:$AQ$55,3,FALSE))</f>
        <v>30</v>
      </c>
      <c r="L72" s="4">
        <f>(VLOOKUP('18.05'!T72,'18.05'!$AO$4:$AQ$55,3,FALSE))</f>
        <v>45</v>
      </c>
      <c r="M72" s="4">
        <f>(VLOOKUP('18.05'!U72,'18.05'!$AO$4:$AQ$55,3,FALSE))</f>
        <v>45</v>
      </c>
      <c r="N72" s="4">
        <f>(VLOOKUP('18.05'!V72,'18.05'!$AO$4:$AQ$55,3,FALSE))</f>
        <v>45</v>
      </c>
      <c r="O72" s="5">
        <f>(VLOOKUP('18.05'!W72,'18.05'!$AO$4:$AQ$55,3,FALSE))</f>
        <v>0</v>
      </c>
      <c r="P72" s="5">
        <f>(VLOOKUP('18.05'!X72,'18.05'!$AO$4:$AQ$55,3,FALSE))</f>
        <v>0</v>
      </c>
      <c r="Q72" s="4">
        <f>(VLOOKUP('18.05'!Y72,'18.05'!$AO$4:$AQ$55,3,FALSE))</f>
        <v>0</v>
      </c>
      <c r="R72" s="4">
        <f>(VLOOKUP('18.05'!Z72,'18.05'!$AO$4:$AQ$55,3,FALSE))</f>
        <v>0</v>
      </c>
      <c r="S72" s="4">
        <f>(VLOOKUP('18.05'!AA72,'18.05'!$AO$4:$AQ$55,3,FALSE))</f>
        <v>0</v>
      </c>
      <c r="T72" s="4">
        <f>(VLOOKUP('18.05'!AB72,'18.05'!$AO$4:$AQ$55,3,FALSE))</f>
        <v>0</v>
      </c>
      <c r="U72" s="4">
        <f>(VLOOKUP('18.05'!AC72,'18.05'!$AO$4:$AQ$55,3,FALSE))</f>
        <v>0</v>
      </c>
      <c r="V72" s="4">
        <f>(VLOOKUP('18.05'!AD72,'18.05'!$AO$4:$AQ$55,3,FALSE))</f>
        <v>0</v>
      </c>
      <c r="W72" s="5">
        <f>(VLOOKUP('18.05'!AE72,'18.05'!$AO$4:$AQ$55,3,FALSE))</f>
        <v>0</v>
      </c>
      <c r="X72" s="5">
        <f>(VLOOKUP('18.05'!AF72,'18.05'!$AO$4:$AQ$55,3,FALSE))</f>
        <v>0</v>
      </c>
    </row>
    <row r="73" spans="1:24">
      <c r="A73" s="4">
        <f>(VLOOKUP('18.05'!I73,'18.05'!$AO$4:$AQ$55,3,FALSE))</f>
        <v>50</v>
      </c>
      <c r="B73" s="4">
        <f>(VLOOKUP('18.05'!J73,'18.05'!$AO$4:$AQ$55,3,FALSE))</f>
        <v>50</v>
      </c>
      <c r="C73" s="4">
        <f>(VLOOKUP('18.05'!K73,'18.05'!$AO$4:$AQ$55,3,FALSE))</f>
        <v>50</v>
      </c>
      <c r="D73" s="4">
        <f>(VLOOKUP('18.05'!L73,'18.05'!$AO$4:$AQ$55,3,FALSE))</f>
        <v>50</v>
      </c>
      <c r="E73" s="4">
        <f>(VLOOKUP('18.05'!M73,'18.05'!$AO$4:$AQ$55,3,FALSE))</f>
        <v>50</v>
      </c>
      <c r="F73" s="4">
        <f>(VLOOKUP('18.05'!N73,'18.05'!$AO$4:$AQ$55,3,FALSE))</f>
        <v>45</v>
      </c>
      <c r="G73" s="5">
        <f>(VLOOKUP('18.05'!O73,'18.05'!$AO$4:$AQ$55,3,FALSE))</f>
        <v>0</v>
      </c>
      <c r="H73" s="5">
        <f>(VLOOKUP('18.05'!P73,'18.05'!$AO$4:$AQ$55,3,FALSE))</f>
        <v>0</v>
      </c>
      <c r="I73" s="4">
        <f>(VLOOKUP('18.05'!Q73,'18.05'!$AO$4:$AQ$55,3,FALSE))</f>
        <v>30</v>
      </c>
      <c r="J73" s="4">
        <f>(VLOOKUP('18.05'!R73,'18.05'!$AO$4:$AQ$55,3,FALSE))</f>
        <v>45</v>
      </c>
      <c r="K73" s="4">
        <f>(VLOOKUP('18.05'!S73,'18.05'!$AO$4:$AQ$55,3,FALSE))</f>
        <v>55</v>
      </c>
      <c r="L73" s="4">
        <f>(VLOOKUP('18.05'!T73,'18.05'!$AO$4:$AQ$55,3,FALSE))</f>
        <v>55</v>
      </c>
      <c r="M73" s="4">
        <f>(VLOOKUP('18.05'!U73,'18.05'!$AO$4:$AQ$55,3,FALSE))</f>
        <v>55</v>
      </c>
      <c r="N73" s="4">
        <f>(VLOOKUP('18.05'!V73,'18.05'!$AO$4:$AQ$55,3,FALSE))</f>
        <v>55</v>
      </c>
      <c r="O73" s="5">
        <f>(VLOOKUP('18.05'!W73,'18.05'!$AO$4:$AQ$55,3,FALSE))</f>
        <v>0</v>
      </c>
      <c r="P73" s="5">
        <f>(VLOOKUP('18.05'!X73,'18.05'!$AO$4:$AQ$55,3,FALSE))</f>
        <v>0</v>
      </c>
      <c r="Q73" s="4">
        <f>(VLOOKUP('18.05'!Y73,'18.05'!$AO$4:$AQ$55,3,FALSE))</f>
        <v>0</v>
      </c>
      <c r="R73" s="4">
        <f>(VLOOKUP('18.05'!Z73,'18.05'!$AO$4:$AQ$55,3,FALSE))</f>
        <v>0</v>
      </c>
      <c r="S73" s="4">
        <f>(VLOOKUP('18.05'!AA73,'18.05'!$AO$4:$AQ$55,3,FALSE))</f>
        <v>0</v>
      </c>
      <c r="T73" s="4">
        <f>(VLOOKUP('18.05'!AB73,'18.05'!$AO$4:$AQ$55,3,FALSE))</f>
        <v>0</v>
      </c>
      <c r="U73" s="4">
        <f>(VLOOKUP('18.05'!AC73,'18.05'!$AO$4:$AQ$55,3,FALSE))</f>
        <v>0</v>
      </c>
      <c r="V73" s="4">
        <f>(VLOOKUP('18.05'!AD73,'18.05'!$AO$4:$AQ$55,3,FALSE))</f>
        <v>0</v>
      </c>
      <c r="W73" s="5">
        <f>(VLOOKUP('18.05'!AE73,'18.05'!$AO$4:$AQ$55,3,FALSE))</f>
        <v>0</v>
      </c>
      <c r="X73" s="5">
        <f>(VLOOKUP('18.05'!AF73,'18.05'!$AO$4:$AQ$55,3,FALSE))</f>
        <v>0</v>
      </c>
    </row>
    <row r="74" spans="1:24">
      <c r="A74" s="4">
        <f>(VLOOKUP('18.05'!I74,'18.05'!$AO$4:$AQ$55,3,FALSE))</f>
        <v>45</v>
      </c>
      <c r="B74" s="4">
        <f>(VLOOKUP('18.05'!J74,'18.05'!$AO$4:$AQ$55,3,FALSE))</f>
        <v>45</v>
      </c>
      <c r="C74" s="4">
        <f>(VLOOKUP('18.05'!K74,'18.05'!$AO$4:$AQ$55,3,FALSE))</f>
        <v>30</v>
      </c>
      <c r="D74" s="4">
        <f>(VLOOKUP('18.05'!L74,'18.05'!$AO$4:$AQ$55,3,FALSE))</f>
        <v>45</v>
      </c>
      <c r="E74" s="4">
        <f>(VLOOKUP('18.05'!M74,'18.05'!$AO$4:$AQ$55,3,FALSE))</f>
        <v>45</v>
      </c>
      <c r="F74" s="4">
        <f>(VLOOKUP('18.05'!N74,'18.05'!$AO$4:$AQ$55,3,FALSE))</f>
        <v>0</v>
      </c>
      <c r="G74" s="5">
        <f>(VLOOKUP('18.05'!O74,'18.05'!$AO$4:$AQ$55,3,FALSE))</f>
        <v>0</v>
      </c>
      <c r="H74" s="5">
        <f>(VLOOKUP('18.05'!P74,'18.05'!$AO$4:$AQ$55,3,FALSE))</f>
        <v>0</v>
      </c>
      <c r="I74" s="4">
        <f>(VLOOKUP('18.05'!Q74,'18.05'!$AO$4:$AQ$55,3,FALSE))</f>
        <v>55</v>
      </c>
      <c r="J74" s="4">
        <f>(VLOOKUP('18.05'!R74,'18.05'!$AO$4:$AQ$55,3,FALSE))</f>
        <v>55</v>
      </c>
      <c r="K74" s="4">
        <f>(VLOOKUP('18.05'!S74,'18.05'!$AO$4:$AQ$55,3,FALSE))</f>
        <v>55</v>
      </c>
      <c r="L74" s="4">
        <f>(VLOOKUP('18.05'!T74,'18.05'!$AO$4:$AQ$55,3,FALSE))</f>
        <v>60</v>
      </c>
      <c r="M74" s="4">
        <f>(VLOOKUP('18.05'!U74,'18.05'!$AO$4:$AQ$55,3,FALSE))</f>
        <v>60</v>
      </c>
      <c r="N74" s="4">
        <f>(VLOOKUP('18.05'!V74,'18.05'!$AO$4:$AQ$55,3,FALSE))</f>
        <v>60</v>
      </c>
      <c r="O74" s="5">
        <f>(VLOOKUP('18.05'!W74,'18.05'!$AO$4:$AQ$55,3,FALSE))</f>
        <v>0</v>
      </c>
      <c r="P74" s="5">
        <f>(VLOOKUP('18.05'!X74,'18.05'!$AO$4:$AQ$55,3,FALSE))</f>
        <v>0</v>
      </c>
      <c r="Q74" s="4">
        <f>(VLOOKUP('18.05'!Y74,'18.05'!$AO$4:$AQ$55,3,FALSE))</f>
        <v>0</v>
      </c>
      <c r="R74" s="4">
        <f>(VLOOKUP('18.05'!Z74,'18.05'!$AO$4:$AQ$55,3,FALSE))</f>
        <v>0</v>
      </c>
      <c r="S74" s="4">
        <f>(VLOOKUP('18.05'!AA74,'18.05'!$AO$4:$AQ$55,3,FALSE))</f>
        <v>0</v>
      </c>
      <c r="T74" s="4">
        <f>(VLOOKUP('18.05'!AB74,'18.05'!$AO$4:$AQ$55,3,FALSE))</f>
        <v>0</v>
      </c>
      <c r="U74" s="4">
        <f>(VLOOKUP('18.05'!AC74,'18.05'!$AO$4:$AQ$55,3,FALSE))</f>
        <v>0</v>
      </c>
      <c r="V74" s="4">
        <f>(VLOOKUP('18.05'!AD74,'18.05'!$AO$4:$AQ$55,3,FALSE))</f>
        <v>0</v>
      </c>
      <c r="W74" s="5">
        <f>(VLOOKUP('18.05'!AE74,'18.05'!$AO$4:$AQ$55,3,FALSE))</f>
        <v>0</v>
      </c>
      <c r="X74" s="5">
        <f>(VLOOKUP('18.05'!AF74,'18.05'!$AO$4:$AQ$55,3,FALSE))</f>
        <v>0</v>
      </c>
    </row>
    <row r="75" spans="1:24">
      <c r="A75" s="4">
        <f>(VLOOKUP('18.05'!I75,'18.05'!$AO$4:$AQ$55,3,FALSE))</f>
        <v>50</v>
      </c>
      <c r="B75" s="4">
        <f>(VLOOKUP('18.05'!J75,'18.05'!$AO$4:$AQ$55,3,FALSE))</f>
        <v>50</v>
      </c>
      <c r="C75" s="4">
        <f>(VLOOKUP('18.05'!K75,'18.05'!$AO$4:$AQ$55,3,FALSE))</f>
        <v>50</v>
      </c>
      <c r="D75" s="4">
        <f>(VLOOKUP('18.05'!L75,'18.05'!$AO$4:$AQ$55,3,FALSE))</f>
        <v>50</v>
      </c>
      <c r="E75" s="4">
        <f>(VLOOKUP('18.05'!M75,'18.05'!$AO$4:$AQ$55,3,FALSE))</f>
        <v>50</v>
      </c>
      <c r="F75" s="4">
        <f>(VLOOKUP('18.05'!N75,'18.05'!$AO$4:$AQ$55,3,FALSE))</f>
        <v>60</v>
      </c>
      <c r="G75" s="5">
        <f>(VLOOKUP('18.05'!O75,'18.05'!$AO$4:$AQ$55,3,FALSE))</f>
        <v>0</v>
      </c>
      <c r="H75" s="5">
        <f>(VLOOKUP('18.05'!P75,'18.05'!$AO$4:$AQ$55,3,FALSE))</f>
        <v>0</v>
      </c>
      <c r="I75" s="4">
        <f>(VLOOKUP('18.05'!Q75,'18.05'!$AO$4:$AQ$55,3,FALSE))</f>
        <v>30</v>
      </c>
      <c r="J75" s="4">
        <f>(VLOOKUP('18.05'!R75,'18.05'!$AO$4:$AQ$55,3,FALSE))</f>
        <v>50</v>
      </c>
      <c r="K75" s="4">
        <f>(VLOOKUP('18.05'!S75,'18.05'!$AO$4:$AQ$55,3,FALSE))</f>
        <v>60</v>
      </c>
      <c r="L75" s="4">
        <f>(VLOOKUP('18.05'!T75,'18.05'!$AO$4:$AQ$55,3,FALSE))</f>
        <v>60</v>
      </c>
      <c r="M75" s="4">
        <f>(VLOOKUP('18.05'!U75,'18.05'!$AO$4:$AQ$55,3,FALSE))</f>
        <v>60</v>
      </c>
      <c r="N75" s="4">
        <f>(VLOOKUP('18.05'!V75,'18.05'!$AO$4:$AQ$55,3,FALSE))</f>
        <v>60</v>
      </c>
      <c r="O75" s="5">
        <f>(VLOOKUP('18.05'!W75,'18.05'!$AO$4:$AQ$55,3,FALSE))</f>
        <v>0</v>
      </c>
      <c r="P75" s="5">
        <f>(VLOOKUP('18.05'!X75,'18.05'!$AO$4:$AQ$55,3,FALSE))</f>
        <v>0</v>
      </c>
      <c r="Q75" s="4">
        <f>(VLOOKUP('18.05'!Y75,'18.05'!$AO$4:$AQ$55,3,FALSE))</f>
        <v>0</v>
      </c>
      <c r="R75" s="4">
        <f>(VLOOKUP('18.05'!Z75,'18.05'!$AO$4:$AQ$55,3,FALSE))</f>
        <v>0</v>
      </c>
      <c r="S75" s="4">
        <f>(VLOOKUP('18.05'!AA75,'18.05'!$AO$4:$AQ$55,3,FALSE))</f>
        <v>0</v>
      </c>
      <c r="T75" s="4">
        <f>(VLOOKUP('18.05'!AB75,'18.05'!$AO$4:$AQ$55,3,FALSE))</f>
        <v>0</v>
      </c>
      <c r="U75" s="4">
        <f>(VLOOKUP('18.05'!AC75,'18.05'!$AO$4:$AQ$55,3,FALSE))</f>
        <v>0</v>
      </c>
      <c r="V75" s="4">
        <f>(VLOOKUP('18.05'!AD75,'18.05'!$AO$4:$AQ$55,3,FALSE))</f>
        <v>0</v>
      </c>
      <c r="W75" s="5">
        <f>(VLOOKUP('18.05'!AE75,'18.05'!$AO$4:$AQ$55,3,FALSE))</f>
        <v>0</v>
      </c>
      <c r="X75" s="5">
        <f>(VLOOKUP('18.05'!AF75,'18.05'!$AO$4:$AQ$55,3,FALSE))</f>
        <v>0</v>
      </c>
    </row>
    <row r="76" spans="1:24">
      <c r="A76" s="4">
        <f>(VLOOKUP('18.05'!I76,'18.05'!$AO$4:$AQ$55,3,FALSE))</f>
        <v>0</v>
      </c>
      <c r="B76" s="4">
        <f>(VLOOKUP('18.05'!J76,'18.05'!$AO$4:$AQ$55,3,FALSE))</f>
        <v>0</v>
      </c>
      <c r="C76" s="4">
        <f>(VLOOKUP('18.05'!K76,'18.05'!$AO$4:$AQ$55,3,FALSE))</f>
        <v>0</v>
      </c>
      <c r="D76" s="4">
        <f>(VLOOKUP('18.05'!L76,'18.05'!$AO$4:$AQ$55,3,FALSE))</f>
        <v>0</v>
      </c>
      <c r="E76" s="4">
        <f>(VLOOKUP('18.05'!M76,'18.05'!$AO$4:$AQ$55,3,FALSE))</f>
        <v>0</v>
      </c>
      <c r="F76" s="4">
        <f>(VLOOKUP('18.05'!N76,'18.05'!$AO$4:$AQ$55,3,FALSE))</f>
        <v>0</v>
      </c>
      <c r="G76" s="5">
        <f>(VLOOKUP('18.05'!O76,'18.05'!$AO$4:$AQ$55,3,FALSE))</f>
        <v>0</v>
      </c>
      <c r="H76" s="5">
        <f>(VLOOKUP('18.05'!P76,'18.05'!$AO$4:$AQ$55,3,FALSE))</f>
        <v>0</v>
      </c>
      <c r="I76" s="4">
        <f>(VLOOKUP('18.05'!Q76,'18.05'!$AO$4:$AQ$55,3,FALSE))</f>
        <v>60</v>
      </c>
      <c r="J76" s="4">
        <f>(VLOOKUP('18.05'!R76,'18.05'!$AO$4:$AQ$55,3,FALSE))</f>
        <v>60</v>
      </c>
      <c r="K76" s="4">
        <f>(VLOOKUP('18.05'!S76,'18.05'!$AO$4:$AQ$55,3,FALSE))</f>
        <v>60</v>
      </c>
      <c r="L76" s="4">
        <f>(VLOOKUP('18.05'!T76,'18.05'!$AO$4:$AQ$55,3,FALSE))</f>
        <v>60</v>
      </c>
      <c r="M76" s="4">
        <f>(VLOOKUP('18.05'!U76,'18.05'!$AO$4:$AQ$55,3,FALSE))</f>
        <v>60</v>
      </c>
      <c r="N76" s="4">
        <f>(VLOOKUP('18.05'!V76,'18.05'!$AO$4:$AQ$55,3,FALSE))</f>
        <v>60</v>
      </c>
      <c r="O76" s="5">
        <f>(VLOOKUP('18.05'!W76,'18.05'!$AO$4:$AQ$55,3,FALSE))</f>
        <v>0</v>
      </c>
      <c r="P76" s="5">
        <f>(VLOOKUP('18.05'!X76,'18.05'!$AO$4:$AQ$55,3,FALSE))</f>
        <v>0</v>
      </c>
      <c r="Q76" s="4">
        <f>(VLOOKUP('18.05'!Y76,'18.05'!$AO$4:$AQ$55,3,FALSE))</f>
        <v>0</v>
      </c>
      <c r="R76" s="4">
        <f>(VLOOKUP('18.05'!Z76,'18.05'!$AO$4:$AQ$55,3,FALSE))</f>
        <v>0</v>
      </c>
      <c r="S76" s="4">
        <f>(VLOOKUP('18.05'!AA76,'18.05'!$AO$4:$AQ$55,3,FALSE))</f>
        <v>0</v>
      </c>
      <c r="T76" s="4">
        <f>(VLOOKUP('18.05'!AB76,'18.05'!$AO$4:$AQ$55,3,FALSE))</f>
        <v>0</v>
      </c>
      <c r="U76" s="4">
        <f>(VLOOKUP('18.05'!AC76,'18.05'!$AO$4:$AQ$55,3,FALSE))</f>
        <v>0</v>
      </c>
      <c r="V76" s="4">
        <f>(VLOOKUP('18.05'!AD76,'18.05'!$AO$4:$AQ$55,3,FALSE))</f>
        <v>0</v>
      </c>
      <c r="W76" s="5">
        <f>(VLOOKUP('18.05'!AE76,'18.05'!$AO$4:$AQ$55,3,FALSE))</f>
        <v>0</v>
      </c>
      <c r="X76" s="5">
        <f>(VLOOKUP('18.05'!AF76,'18.05'!$AO$4:$AQ$55,3,FALSE))</f>
        <v>0</v>
      </c>
    </row>
    <row r="77" spans="1:24">
      <c r="A77" s="4">
        <f>(VLOOKUP('18.05'!I77,'18.05'!$AO$4:$AQ$55,3,FALSE))</f>
        <v>60</v>
      </c>
      <c r="B77" s="4">
        <f>(VLOOKUP('18.05'!J77,'18.05'!$AO$4:$AQ$55,3,FALSE))</f>
        <v>60</v>
      </c>
      <c r="C77" s="4">
        <f>(VLOOKUP('18.05'!K77,'18.05'!$AO$4:$AQ$55,3,FALSE))</f>
        <v>60</v>
      </c>
      <c r="D77" s="4">
        <f>(VLOOKUP('18.05'!L77,'18.05'!$AO$4:$AQ$55,3,FALSE))</f>
        <v>60</v>
      </c>
      <c r="E77" s="4">
        <f>(VLOOKUP('18.05'!M77,'18.05'!$AO$4:$AQ$55,3,FALSE))</f>
        <v>60</v>
      </c>
      <c r="F77" s="4">
        <f>(VLOOKUP('18.05'!N77,'18.05'!$AO$4:$AQ$55,3,FALSE))</f>
        <v>60</v>
      </c>
      <c r="G77" s="5">
        <f>(VLOOKUP('18.05'!O77,'18.05'!$AO$4:$AQ$55,3,FALSE))</f>
        <v>0</v>
      </c>
      <c r="H77" s="5">
        <f>(VLOOKUP('18.05'!P77,'18.05'!$AO$4:$AQ$55,3,FALSE))</f>
        <v>0</v>
      </c>
      <c r="I77" s="4">
        <f>(VLOOKUP('18.05'!Q77,'18.05'!$AO$4:$AQ$55,3,FALSE))</f>
        <v>60</v>
      </c>
      <c r="J77" s="4">
        <f>(VLOOKUP('18.05'!R77,'18.05'!$AO$4:$AQ$55,3,FALSE))</f>
        <v>60</v>
      </c>
      <c r="K77" s="4">
        <f>(VLOOKUP('18.05'!S77,'18.05'!$AO$4:$AQ$55,3,FALSE))</f>
        <v>50</v>
      </c>
      <c r="L77" s="4">
        <f>(VLOOKUP('18.05'!T77,'18.05'!$AO$4:$AQ$55,3,FALSE))</f>
        <v>50</v>
      </c>
      <c r="M77" s="4">
        <f>(VLOOKUP('18.05'!U77,'18.05'!$AO$4:$AQ$55,3,FALSE))</f>
        <v>50</v>
      </c>
      <c r="N77" s="4">
        <f>(VLOOKUP('18.05'!V77,'18.05'!$AO$4:$AQ$55,3,FALSE))</f>
        <v>45</v>
      </c>
      <c r="O77" s="5">
        <f>(VLOOKUP('18.05'!W77,'18.05'!$AO$4:$AQ$55,3,FALSE))</f>
        <v>0</v>
      </c>
      <c r="P77" s="5">
        <f>(VLOOKUP('18.05'!X77,'18.05'!$AO$4:$AQ$55,3,FALSE))</f>
        <v>0</v>
      </c>
      <c r="Q77" s="4">
        <f>(VLOOKUP('18.05'!Y77,'18.05'!$AO$4:$AQ$55,3,FALSE))</f>
        <v>40</v>
      </c>
      <c r="R77" s="4">
        <f>(VLOOKUP('18.05'!Z77,'18.05'!$AO$4:$AQ$55,3,FALSE))</f>
        <v>40</v>
      </c>
      <c r="S77" s="4">
        <f>(VLOOKUP('18.05'!AA77,'18.05'!$AO$4:$AQ$55,3,FALSE))</f>
        <v>520</v>
      </c>
      <c r="T77" s="4">
        <f>(VLOOKUP('18.05'!AB77,'18.05'!$AO$4:$AQ$55,3,FALSE))</f>
        <v>0</v>
      </c>
      <c r="U77" s="4">
        <f>(VLOOKUP('18.05'!AC77,'18.05'!$AO$4:$AQ$55,3,FALSE))</f>
        <v>0</v>
      </c>
      <c r="V77" s="4">
        <f>(VLOOKUP('18.05'!AD77,'18.05'!$AO$4:$AQ$55,3,FALSE))</f>
        <v>0</v>
      </c>
      <c r="W77" s="5">
        <f>(VLOOKUP('18.05'!AE77,'18.05'!$AO$4:$AQ$55,3,FALSE))</f>
        <v>0</v>
      </c>
      <c r="X77" s="5">
        <f>(VLOOKUP('18.05'!AF77,'18.05'!$AO$4:$AQ$55,3,FALSE))</f>
        <v>0</v>
      </c>
    </row>
    <row r="78" spans="1:24">
      <c r="A78" s="4">
        <f>(VLOOKUP('18.05'!I78,'18.05'!$AO$4:$AQ$55,3,FALSE))</f>
        <v>60</v>
      </c>
      <c r="B78" s="4">
        <f>(VLOOKUP('18.05'!J78,'18.05'!$AO$4:$AQ$55,3,FALSE))</f>
        <v>60</v>
      </c>
      <c r="C78" s="4">
        <f>(VLOOKUP('18.05'!K78,'18.05'!$AO$4:$AQ$55,3,FALSE))</f>
        <v>60</v>
      </c>
      <c r="D78" s="4">
        <f>(VLOOKUP('18.05'!L78,'18.05'!$AO$4:$AQ$55,3,FALSE))</f>
        <v>60</v>
      </c>
      <c r="E78" s="4">
        <f>(VLOOKUP('18.05'!M78,'18.05'!$AO$4:$AQ$55,3,FALSE))</f>
        <v>60</v>
      </c>
      <c r="F78" s="4">
        <f>(VLOOKUP('18.05'!N78,'18.05'!$AO$4:$AQ$55,3,FALSE))</f>
        <v>60</v>
      </c>
      <c r="G78" s="5">
        <f>(VLOOKUP('18.05'!O78,'18.05'!$AO$4:$AQ$55,3,FALSE))</f>
        <v>0</v>
      </c>
      <c r="H78" s="5">
        <f>(VLOOKUP('18.05'!P78,'18.05'!$AO$4:$AQ$55,3,FALSE))</f>
        <v>0</v>
      </c>
      <c r="I78" s="4">
        <f>(VLOOKUP('18.05'!Q78,'18.05'!$AO$4:$AQ$55,3,FALSE))</f>
        <v>45</v>
      </c>
      <c r="J78" s="4">
        <f>(VLOOKUP('18.05'!R78,'18.05'!$AO$4:$AQ$55,3,FALSE))</f>
        <v>45</v>
      </c>
      <c r="K78" s="4">
        <f>(VLOOKUP('18.05'!S78,'18.05'!$AO$4:$AQ$55,3,FALSE))</f>
        <v>45</v>
      </c>
      <c r="L78" s="4">
        <f>(VLOOKUP('18.05'!T78,'18.05'!$AO$4:$AQ$55,3,FALSE))</f>
        <v>45</v>
      </c>
      <c r="M78" s="4">
        <f>(VLOOKUP('18.05'!U78,'18.05'!$AO$4:$AQ$55,3,FALSE))</f>
        <v>45</v>
      </c>
      <c r="N78" s="4">
        <f>(VLOOKUP('18.05'!V78,'18.05'!$AO$4:$AQ$55,3,FALSE))</f>
        <v>0</v>
      </c>
      <c r="O78" s="5">
        <f>(VLOOKUP('18.05'!W78,'18.05'!$AO$4:$AQ$55,3,FALSE))</f>
        <v>0</v>
      </c>
      <c r="P78" s="5">
        <f>(VLOOKUP('18.05'!X78,'18.05'!$AO$4:$AQ$55,3,FALSE))</f>
        <v>0</v>
      </c>
      <c r="Q78" s="4">
        <f>(VLOOKUP('18.05'!Y78,'18.05'!$AO$4:$AQ$55,3,FALSE))</f>
        <v>0</v>
      </c>
      <c r="R78" s="4">
        <f>(VLOOKUP('18.05'!Z78,'18.05'!$AO$4:$AQ$55,3,FALSE))</f>
        <v>0</v>
      </c>
      <c r="S78" s="4">
        <f>(VLOOKUP('18.05'!AA78,'18.05'!$AO$4:$AQ$55,3,FALSE))</f>
        <v>0</v>
      </c>
      <c r="T78" s="4">
        <f>(VLOOKUP('18.05'!AB78,'18.05'!$AO$4:$AQ$55,3,FALSE))</f>
        <v>0</v>
      </c>
      <c r="U78" s="4">
        <f>(VLOOKUP('18.05'!AC78,'18.05'!$AO$4:$AQ$55,3,FALSE))</f>
        <v>0</v>
      </c>
      <c r="V78" s="4">
        <f>(VLOOKUP('18.05'!AD78,'18.05'!$AO$4:$AQ$55,3,FALSE))</f>
        <v>0</v>
      </c>
      <c r="W78" s="5">
        <f>(VLOOKUP('18.05'!AE78,'18.05'!$AO$4:$AQ$55,3,FALSE))</f>
        <v>0</v>
      </c>
      <c r="X78" s="5">
        <f>(VLOOKUP('18.05'!AF78,'18.05'!$AO$4:$AQ$55,3,FALSE))</f>
        <v>0</v>
      </c>
    </row>
    <row r="79" spans="1:24">
      <c r="A79" s="4">
        <f>(VLOOKUP('18.05'!I79,'18.05'!$AO$4:$AQ$55,3,FALSE))</f>
        <v>60</v>
      </c>
      <c r="B79" s="4">
        <f>(VLOOKUP('18.05'!J79,'18.05'!$AO$4:$AQ$55,3,FALSE))</f>
        <v>60</v>
      </c>
      <c r="C79" s="4">
        <f>(VLOOKUP('18.05'!K79,'18.05'!$AO$4:$AQ$55,3,FALSE))</f>
        <v>60</v>
      </c>
      <c r="D79" s="4">
        <f>(VLOOKUP('18.05'!L79,'18.05'!$AO$4:$AQ$55,3,FALSE))</f>
        <v>60</v>
      </c>
      <c r="E79" s="4">
        <f>(VLOOKUP('18.05'!M79,'18.05'!$AO$4:$AQ$55,3,FALSE))</f>
        <v>60</v>
      </c>
      <c r="F79" s="4">
        <f>(VLOOKUP('18.05'!N79,'18.05'!$AO$4:$AQ$55,3,FALSE))</f>
        <v>60</v>
      </c>
      <c r="G79" s="5">
        <f>(VLOOKUP('18.05'!O79,'18.05'!$AO$4:$AQ$55,3,FALSE))</f>
        <v>0</v>
      </c>
      <c r="H79" s="5">
        <f>(VLOOKUP('18.05'!P79,'18.05'!$AO$4:$AQ$55,3,FALSE))</f>
        <v>0</v>
      </c>
      <c r="I79" s="4">
        <f>(VLOOKUP('18.05'!Q79,'18.05'!$AO$4:$AQ$55,3,FALSE))</f>
        <v>45</v>
      </c>
      <c r="J79" s="4">
        <f>(VLOOKUP('18.05'!R79,'18.05'!$AO$4:$AQ$55,3,FALSE))</f>
        <v>45</v>
      </c>
      <c r="K79" s="4">
        <f>(VLOOKUP('18.05'!S79,'18.05'!$AO$4:$AQ$55,3,FALSE))</f>
        <v>45</v>
      </c>
      <c r="L79" s="4">
        <f>(VLOOKUP('18.05'!T79,'18.05'!$AO$4:$AQ$55,3,FALSE))</f>
        <v>45</v>
      </c>
      <c r="M79" s="4">
        <f>(VLOOKUP('18.05'!U79,'18.05'!$AO$4:$AQ$55,3,FALSE))</f>
        <v>45</v>
      </c>
      <c r="N79" s="4">
        <f>(VLOOKUP('18.05'!V79,'18.05'!$AO$4:$AQ$55,3,FALSE))</f>
        <v>45</v>
      </c>
      <c r="O79" s="5">
        <f>(VLOOKUP('18.05'!W79,'18.05'!$AO$4:$AQ$55,3,FALSE))</f>
        <v>0</v>
      </c>
      <c r="P79" s="5">
        <f>(VLOOKUP('18.05'!X79,'18.05'!$AO$4:$AQ$55,3,FALSE))</f>
        <v>0</v>
      </c>
      <c r="Q79" s="4">
        <f>(VLOOKUP('18.05'!Y79,'18.05'!$AO$4:$AQ$55,3,FALSE))</f>
        <v>0</v>
      </c>
      <c r="R79" s="4">
        <f>(VLOOKUP('18.05'!Z79,'18.05'!$AO$4:$AQ$55,3,FALSE))</f>
        <v>0</v>
      </c>
      <c r="S79" s="4">
        <f>(VLOOKUP('18.05'!AA79,'18.05'!$AO$4:$AQ$55,3,FALSE))</f>
        <v>0</v>
      </c>
      <c r="T79" s="4">
        <f>(VLOOKUP('18.05'!AB79,'18.05'!$AO$4:$AQ$55,3,FALSE))</f>
        <v>0</v>
      </c>
      <c r="U79" s="4">
        <f>(VLOOKUP('18.05'!AC79,'18.05'!$AO$4:$AQ$55,3,FALSE))</f>
        <v>0</v>
      </c>
      <c r="V79" s="4">
        <f>(VLOOKUP('18.05'!AD79,'18.05'!$AO$4:$AQ$55,3,FALSE))</f>
        <v>0</v>
      </c>
      <c r="W79" s="5">
        <f>(VLOOKUP('18.05'!AE79,'18.05'!$AO$4:$AQ$55,3,FALSE))</f>
        <v>0</v>
      </c>
      <c r="X79" s="5">
        <f>(VLOOKUP('18.05'!AF79,'18.05'!$AO$4:$AQ$55,3,FALSE))</f>
        <v>0</v>
      </c>
    </row>
    <row r="80" spans="1:24">
      <c r="A80" s="4">
        <f>(VLOOKUP('18.05'!I80,'18.05'!$AO$4:$AQ$55,3,FALSE))</f>
        <v>60</v>
      </c>
      <c r="B80" s="4">
        <f>(VLOOKUP('18.05'!J80,'18.05'!$AO$4:$AQ$55,3,FALSE))</f>
        <v>60</v>
      </c>
      <c r="C80" s="4">
        <f>(VLOOKUP('18.05'!K80,'18.05'!$AO$4:$AQ$55,3,FALSE))</f>
        <v>60</v>
      </c>
      <c r="D80" s="4">
        <f>(VLOOKUP('18.05'!L80,'18.05'!$AO$4:$AQ$55,3,FALSE))</f>
        <v>60</v>
      </c>
      <c r="E80" s="4">
        <f>(VLOOKUP('18.05'!M80,'18.05'!$AO$4:$AQ$55,3,FALSE))</f>
        <v>60</v>
      </c>
      <c r="F80" s="4">
        <f>(VLOOKUP('18.05'!N80,'18.05'!$AO$4:$AQ$55,3,FALSE))</f>
        <v>60</v>
      </c>
      <c r="G80" s="5">
        <f>(VLOOKUP('18.05'!O80,'18.05'!$AO$4:$AQ$55,3,FALSE))</f>
        <v>0</v>
      </c>
      <c r="H80" s="5">
        <f>(VLOOKUP('18.05'!P80,'18.05'!$AO$4:$AQ$55,3,FALSE))</f>
        <v>0</v>
      </c>
      <c r="I80" s="4">
        <f>(VLOOKUP('18.05'!Q80,'18.05'!$AO$4:$AQ$55,3,FALSE))</f>
        <v>45</v>
      </c>
      <c r="J80" s="4">
        <f>(VLOOKUP('18.05'!R80,'18.05'!$AO$4:$AQ$55,3,FALSE))</f>
        <v>45</v>
      </c>
      <c r="K80" s="4">
        <f>(VLOOKUP('18.05'!S80,'18.05'!$AO$4:$AQ$55,3,FALSE))</f>
        <v>45</v>
      </c>
      <c r="L80" s="4">
        <f>(VLOOKUP('18.05'!T80,'18.05'!$AO$4:$AQ$55,3,FALSE))</f>
        <v>45</v>
      </c>
      <c r="M80" s="4">
        <f>(VLOOKUP('18.05'!U80,'18.05'!$AO$4:$AQ$55,3,FALSE))</f>
        <v>45</v>
      </c>
      <c r="N80" s="4">
        <f>(VLOOKUP('18.05'!V80,'18.05'!$AO$4:$AQ$55,3,FALSE))</f>
        <v>45</v>
      </c>
      <c r="O80" s="5">
        <f>(VLOOKUP('18.05'!W80,'18.05'!$AO$4:$AQ$55,3,FALSE))</f>
        <v>0</v>
      </c>
      <c r="P80" s="5">
        <f>(VLOOKUP('18.05'!X80,'18.05'!$AO$4:$AQ$55,3,FALSE))</f>
        <v>0</v>
      </c>
      <c r="Q80" s="4">
        <f>(VLOOKUP('18.05'!Y80,'18.05'!$AO$4:$AQ$55,3,FALSE))</f>
        <v>0</v>
      </c>
      <c r="R80" s="4">
        <f>(VLOOKUP('18.05'!Z80,'18.05'!$AO$4:$AQ$55,3,FALSE))</f>
        <v>0</v>
      </c>
      <c r="S80" s="4">
        <f>(VLOOKUP('18.05'!AA80,'18.05'!$AO$4:$AQ$55,3,FALSE))</f>
        <v>0</v>
      </c>
      <c r="T80" s="4">
        <f>(VLOOKUP('18.05'!AB80,'18.05'!$AO$4:$AQ$55,3,FALSE))</f>
        <v>0</v>
      </c>
      <c r="U80" s="4">
        <f>(VLOOKUP('18.05'!AC80,'18.05'!$AO$4:$AQ$55,3,FALSE))</f>
        <v>0</v>
      </c>
      <c r="V80" s="4">
        <f>(VLOOKUP('18.05'!AD80,'18.05'!$AO$4:$AQ$55,3,FALSE))</f>
        <v>0</v>
      </c>
      <c r="W80" s="5">
        <f>(VLOOKUP('18.05'!AE80,'18.05'!$AO$4:$AQ$55,3,FALSE))</f>
        <v>0</v>
      </c>
      <c r="X80" s="5">
        <f>(VLOOKUP('18.05'!AF80,'18.05'!$AO$4:$AQ$55,3,FALSE))</f>
        <v>0</v>
      </c>
    </row>
    <row r="81" spans="1:24">
      <c r="A81" s="4">
        <f>(VLOOKUP('18.05'!I81,'18.05'!$AO$4:$AQ$55,3,FALSE))</f>
        <v>60</v>
      </c>
      <c r="B81" s="4">
        <f>(VLOOKUP('18.05'!J81,'18.05'!$AO$4:$AQ$55,3,FALSE))</f>
        <v>60</v>
      </c>
      <c r="C81" s="4">
        <f>(VLOOKUP('18.05'!K81,'18.05'!$AO$4:$AQ$55,3,FALSE))</f>
        <v>60</v>
      </c>
      <c r="D81" s="4">
        <f>(VLOOKUP('18.05'!L81,'18.05'!$AO$4:$AQ$55,3,FALSE))</f>
        <v>0</v>
      </c>
      <c r="E81" s="4">
        <f>(VLOOKUP('18.05'!M81,'18.05'!$AO$4:$AQ$55,3,FALSE))</f>
        <v>0</v>
      </c>
      <c r="F81" s="4">
        <f>(VLOOKUP('18.05'!N81,'18.05'!$AO$4:$AQ$55,3,FALSE))</f>
        <v>0</v>
      </c>
      <c r="G81" s="5">
        <f>(VLOOKUP('18.05'!O81,'18.05'!$AO$4:$AQ$55,3,FALSE))</f>
        <v>0</v>
      </c>
      <c r="H81" s="5">
        <f>(VLOOKUP('18.05'!P81,'18.05'!$AO$4:$AQ$55,3,FALSE))</f>
        <v>0</v>
      </c>
      <c r="I81" s="4">
        <f>(VLOOKUP('18.05'!Q81,'18.05'!$AO$4:$AQ$55,3,FALSE))</f>
        <v>45</v>
      </c>
      <c r="J81" s="4">
        <f>(VLOOKUP('18.05'!R81,'18.05'!$AO$4:$AQ$55,3,FALSE))</f>
        <v>30</v>
      </c>
      <c r="K81" s="4">
        <f>(VLOOKUP('18.05'!S81,'18.05'!$AO$4:$AQ$55,3,FALSE))</f>
        <v>50</v>
      </c>
      <c r="L81" s="4">
        <f>(VLOOKUP('18.05'!T81,'18.05'!$AO$4:$AQ$55,3,FALSE))</f>
        <v>50</v>
      </c>
      <c r="M81" s="4">
        <f>(VLOOKUP('18.05'!U81,'18.05'!$AO$4:$AQ$55,3,FALSE))</f>
        <v>50</v>
      </c>
      <c r="N81" s="4">
        <f>(VLOOKUP('18.05'!V81,'18.05'!$AO$4:$AQ$55,3,FALSE))</f>
        <v>50</v>
      </c>
      <c r="O81" s="5">
        <f>(VLOOKUP('18.05'!W81,'18.05'!$AO$4:$AQ$55,3,FALSE))</f>
        <v>50</v>
      </c>
      <c r="P81" s="5">
        <f>(VLOOKUP('18.05'!X81,'18.05'!$AO$4:$AQ$55,3,FALSE))</f>
        <v>0</v>
      </c>
      <c r="Q81" s="4">
        <f>(VLOOKUP('18.05'!Y81,'18.05'!$AO$4:$AQ$55,3,FALSE))</f>
        <v>0</v>
      </c>
      <c r="R81" s="4">
        <f>(VLOOKUP('18.05'!Z81,'18.05'!$AO$4:$AQ$55,3,FALSE))</f>
        <v>0</v>
      </c>
      <c r="S81" s="4">
        <f>(VLOOKUP('18.05'!AA81,'18.05'!$AO$4:$AQ$55,3,FALSE))</f>
        <v>0</v>
      </c>
      <c r="T81" s="4">
        <f>(VLOOKUP('18.05'!AB81,'18.05'!$AO$4:$AQ$55,3,FALSE))</f>
        <v>0</v>
      </c>
      <c r="U81" s="4">
        <f>(VLOOKUP('18.05'!AC81,'18.05'!$AO$4:$AQ$55,3,FALSE))</f>
        <v>0</v>
      </c>
      <c r="V81" s="4">
        <f>(VLOOKUP('18.05'!AD81,'18.05'!$AO$4:$AQ$55,3,FALSE))</f>
        <v>0</v>
      </c>
      <c r="W81" s="5">
        <f>(VLOOKUP('18.05'!AE81,'18.05'!$AO$4:$AQ$55,3,FALSE))</f>
        <v>0</v>
      </c>
      <c r="X81" s="5">
        <f>(VLOOKUP('18.05'!AF81,'18.05'!$AO$4:$AQ$55,3,FALSE))</f>
        <v>0</v>
      </c>
    </row>
    <row r="82" spans="1:24">
      <c r="A82" s="4">
        <f>(VLOOKUP('18.05'!I82,'18.05'!$AO$4:$AQ$55,3,FALSE))</f>
        <v>60</v>
      </c>
      <c r="B82" s="4">
        <f>(VLOOKUP('18.05'!J82,'18.05'!$AO$4:$AQ$55,3,FALSE))</f>
        <v>60</v>
      </c>
      <c r="C82" s="4">
        <f>(VLOOKUP('18.05'!K82,'18.05'!$AO$4:$AQ$55,3,FALSE))</f>
        <v>60</v>
      </c>
      <c r="D82" s="4">
        <f>(VLOOKUP('18.05'!L82,'18.05'!$AO$4:$AQ$55,3,FALSE))</f>
        <v>0</v>
      </c>
      <c r="E82" s="4">
        <f>(VLOOKUP('18.05'!M82,'18.05'!$AO$4:$AQ$55,3,FALSE))</f>
        <v>0</v>
      </c>
      <c r="F82" s="4">
        <f>(VLOOKUP('18.05'!N82,'18.05'!$AO$4:$AQ$55,3,FALSE))</f>
        <v>0</v>
      </c>
      <c r="G82" s="5">
        <f>(VLOOKUP('18.05'!O82,'18.05'!$AO$4:$AQ$55,3,FALSE))</f>
        <v>0</v>
      </c>
      <c r="H82" s="5">
        <f>(VLOOKUP('18.05'!P82,'18.05'!$AO$4:$AQ$55,3,FALSE))</f>
        <v>0</v>
      </c>
      <c r="I82" s="4">
        <f>(VLOOKUP('18.05'!Q82,'18.05'!$AO$4:$AQ$55,3,FALSE))</f>
        <v>50</v>
      </c>
      <c r="J82" s="4">
        <f>(VLOOKUP('18.05'!R82,'18.05'!$AO$4:$AQ$55,3,FALSE))</f>
        <v>50</v>
      </c>
      <c r="K82" s="4">
        <f>(VLOOKUP('18.05'!S82,'18.05'!$AO$4:$AQ$55,3,FALSE))</f>
        <v>50</v>
      </c>
      <c r="L82" s="4">
        <f>(VLOOKUP('18.05'!T82,'18.05'!$AO$4:$AQ$55,3,FALSE))</f>
        <v>50</v>
      </c>
      <c r="M82" s="4">
        <f>(VLOOKUP('18.05'!U82,'18.05'!$AO$4:$AQ$55,3,FALSE))</f>
        <v>50</v>
      </c>
      <c r="N82" s="4">
        <f>(VLOOKUP('18.05'!V82,'18.05'!$AO$4:$AQ$55,3,FALSE))</f>
        <v>0</v>
      </c>
      <c r="O82" s="5">
        <f>(VLOOKUP('18.05'!W82,'18.05'!$AO$4:$AQ$55,3,FALSE))</f>
        <v>0</v>
      </c>
      <c r="P82" s="5">
        <f>(VLOOKUP('18.05'!X82,'18.05'!$AO$4:$AQ$55,3,FALSE))</f>
        <v>0</v>
      </c>
      <c r="Q82" s="4">
        <f>(VLOOKUP('18.05'!Y82,'18.05'!$AO$4:$AQ$55,3,FALSE))</f>
        <v>0</v>
      </c>
      <c r="R82" s="4">
        <f>(VLOOKUP('18.05'!Z82,'18.05'!$AO$4:$AQ$55,3,FALSE))</f>
        <v>0</v>
      </c>
      <c r="S82" s="4">
        <f>(VLOOKUP('18.05'!AA82,'18.05'!$AO$4:$AQ$55,3,FALSE))</f>
        <v>0</v>
      </c>
      <c r="T82" s="4">
        <f>(VLOOKUP('18.05'!AB82,'18.05'!$AO$4:$AQ$55,3,FALSE))</f>
        <v>0</v>
      </c>
      <c r="U82" s="4">
        <f>(VLOOKUP('18.05'!AC82,'18.05'!$AO$4:$AQ$55,3,FALSE))</f>
        <v>0</v>
      </c>
      <c r="V82" s="4">
        <f>(VLOOKUP('18.05'!AD82,'18.05'!$AO$4:$AQ$55,3,FALSE))</f>
        <v>0</v>
      </c>
      <c r="W82" s="5">
        <f>(VLOOKUP('18.05'!AE82,'18.05'!$AO$4:$AQ$55,3,FALSE))</f>
        <v>0</v>
      </c>
      <c r="X82" s="5">
        <f>(VLOOKUP('18.05'!AF82,'18.05'!$AO$4:$AQ$55,3,FALSE))</f>
        <v>0</v>
      </c>
    </row>
    <row r="83" spans="1:24">
      <c r="A83" s="4">
        <f>(VLOOKUP('18.05'!I83,'18.05'!$AO$4:$AQ$55,3,FALSE))</f>
        <v>60</v>
      </c>
      <c r="B83" s="4">
        <f>(VLOOKUP('18.05'!J83,'18.05'!$AO$4:$AQ$55,3,FALSE))</f>
        <v>60</v>
      </c>
      <c r="C83" s="4">
        <f>(VLOOKUP('18.05'!K83,'18.05'!$AO$4:$AQ$55,3,FALSE))</f>
        <v>50</v>
      </c>
      <c r="D83" s="4">
        <f>(VLOOKUP('18.05'!L83,'18.05'!$AO$4:$AQ$55,3,FALSE))</f>
        <v>60</v>
      </c>
      <c r="E83" s="4">
        <f>(VLOOKUP('18.05'!M83,'18.05'!$AO$4:$AQ$55,3,FALSE))</f>
        <v>60</v>
      </c>
      <c r="F83" s="4">
        <f>(VLOOKUP('18.05'!N83,'18.05'!$AO$4:$AQ$55,3,FALSE))</f>
        <v>60</v>
      </c>
      <c r="G83" s="5">
        <f>(VLOOKUP('18.05'!O83,'18.05'!$AO$4:$AQ$55,3,FALSE))</f>
        <v>0</v>
      </c>
      <c r="H83" s="5">
        <f>(VLOOKUP('18.05'!P83,'18.05'!$AO$4:$AQ$55,3,FALSE))</f>
        <v>0</v>
      </c>
      <c r="I83" s="4">
        <f>(VLOOKUP('18.05'!Q83,'18.05'!$AO$4:$AQ$55,3,FALSE))</f>
        <v>50</v>
      </c>
      <c r="J83" s="4">
        <f>(VLOOKUP('18.05'!R83,'18.05'!$AO$4:$AQ$55,3,FALSE))</f>
        <v>50</v>
      </c>
      <c r="K83" s="4">
        <f>(VLOOKUP('18.05'!S83,'18.05'!$AO$4:$AQ$55,3,FALSE))</f>
        <v>50</v>
      </c>
      <c r="L83" s="4">
        <f>(VLOOKUP('18.05'!T83,'18.05'!$AO$4:$AQ$55,3,FALSE))</f>
        <v>50</v>
      </c>
      <c r="M83" s="4">
        <f>(VLOOKUP('18.05'!U83,'18.05'!$AO$4:$AQ$55,3,FALSE))</f>
        <v>50</v>
      </c>
      <c r="N83" s="4">
        <f>(VLOOKUP('18.05'!V83,'18.05'!$AO$4:$AQ$55,3,FALSE))</f>
        <v>50</v>
      </c>
      <c r="O83" s="5">
        <f>(VLOOKUP('18.05'!W83,'18.05'!$AO$4:$AQ$55,3,FALSE))</f>
        <v>0</v>
      </c>
      <c r="P83" s="5">
        <f>(VLOOKUP('18.05'!X83,'18.05'!$AO$4:$AQ$55,3,FALSE))</f>
        <v>0</v>
      </c>
      <c r="Q83" s="4">
        <f>(VLOOKUP('18.05'!Y83,'18.05'!$AO$4:$AQ$55,3,FALSE))</f>
        <v>0</v>
      </c>
      <c r="R83" s="4">
        <f>(VLOOKUP('18.05'!Z83,'18.05'!$AO$4:$AQ$55,3,FALSE))</f>
        <v>0</v>
      </c>
      <c r="S83" s="4">
        <f>(VLOOKUP('18.05'!AA83,'18.05'!$AO$4:$AQ$55,3,FALSE))</f>
        <v>0</v>
      </c>
      <c r="T83" s="4">
        <f>(VLOOKUP('18.05'!AB83,'18.05'!$AO$4:$AQ$55,3,FALSE))</f>
        <v>0</v>
      </c>
      <c r="U83" s="4">
        <f>(VLOOKUP('18.05'!AC83,'18.05'!$AO$4:$AQ$55,3,FALSE))</f>
        <v>0</v>
      </c>
      <c r="V83" s="4">
        <f>(VLOOKUP('18.05'!AD83,'18.05'!$AO$4:$AQ$55,3,FALSE))</f>
        <v>0</v>
      </c>
      <c r="W83" s="5">
        <f>(VLOOKUP('18.05'!AE83,'18.05'!$AO$4:$AQ$55,3,FALSE))</f>
        <v>0</v>
      </c>
      <c r="X83" s="5">
        <f>(VLOOKUP('18.05'!AF83,'18.05'!$AO$4:$AQ$55,3,FALSE))</f>
        <v>0</v>
      </c>
    </row>
    <row r="84" spans="1:24">
      <c r="A84" s="4">
        <f>(VLOOKUP('18.05'!I84,'18.05'!$AO$4:$AQ$55,3,FALSE))</f>
        <v>60</v>
      </c>
      <c r="B84" s="4">
        <f>(VLOOKUP('18.05'!J84,'18.05'!$AO$4:$AQ$55,3,FALSE))</f>
        <v>50</v>
      </c>
      <c r="C84" s="4">
        <f>(VLOOKUP('18.05'!K84,'18.05'!$AO$4:$AQ$55,3,FALSE))</f>
        <v>50</v>
      </c>
      <c r="D84" s="4">
        <f>(VLOOKUP('18.05'!L84,'18.05'!$AO$4:$AQ$55,3,FALSE))</f>
        <v>50</v>
      </c>
      <c r="E84" s="4">
        <f>(VLOOKUP('18.05'!M84,'18.05'!$AO$4:$AQ$55,3,FALSE))</f>
        <v>50</v>
      </c>
      <c r="F84" s="4">
        <f>(VLOOKUP('18.05'!N84,'18.05'!$AO$4:$AQ$55,3,FALSE))</f>
        <v>60</v>
      </c>
      <c r="G84" s="5">
        <f>(VLOOKUP('18.05'!O84,'18.05'!$AO$4:$AQ$55,3,FALSE))</f>
        <v>0</v>
      </c>
      <c r="H84" s="5">
        <f>(VLOOKUP('18.05'!P84,'18.05'!$AO$4:$AQ$55,3,FALSE))</f>
        <v>0</v>
      </c>
      <c r="I84" s="4">
        <f>(VLOOKUP('18.05'!Q84,'18.05'!$AO$4:$AQ$55,3,FALSE))</f>
        <v>50</v>
      </c>
      <c r="J84" s="4">
        <f>(VLOOKUP('18.05'!R84,'18.05'!$AO$4:$AQ$55,3,FALSE))</f>
        <v>50</v>
      </c>
      <c r="K84" s="4">
        <f>(VLOOKUP('18.05'!S84,'18.05'!$AO$4:$AQ$55,3,FALSE))</f>
        <v>30</v>
      </c>
      <c r="L84" s="4">
        <f>(VLOOKUP('18.05'!T84,'18.05'!$AO$4:$AQ$55,3,FALSE))</f>
        <v>50</v>
      </c>
      <c r="M84" s="4">
        <f>(VLOOKUP('18.05'!U84,'18.05'!$AO$4:$AQ$55,3,FALSE))</f>
        <v>50</v>
      </c>
      <c r="N84" s="4">
        <f>(VLOOKUP('18.05'!V84,'18.05'!$AO$4:$AQ$55,3,FALSE))</f>
        <v>50</v>
      </c>
      <c r="O84" s="5">
        <f>(VLOOKUP('18.05'!W84,'18.05'!$AO$4:$AQ$55,3,FALSE))</f>
        <v>0</v>
      </c>
      <c r="P84" s="5">
        <f>(VLOOKUP('18.05'!X84,'18.05'!$AO$4:$AQ$55,3,FALSE))</f>
        <v>0</v>
      </c>
      <c r="Q84" s="4">
        <f>(VLOOKUP('18.05'!Y84,'18.05'!$AO$4:$AQ$55,3,FALSE))</f>
        <v>0</v>
      </c>
      <c r="R84" s="4">
        <f>(VLOOKUP('18.05'!Z84,'18.05'!$AO$4:$AQ$55,3,FALSE))</f>
        <v>0</v>
      </c>
      <c r="S84" s="4">
        <f>(VLOOKUP('18.05'!AA84,'18.05'!$AO$4:$AQ$55,3,FALSE))</f>
        <v>0</v>
      </c>
      <c r="T84" s="4">
        <f>(VLOOKUP('18.05'!AB84,'18.05'!$AO$4:$AQ$55,3,FALSE))</f>
        <v>0</v>
      </c>
      <c r="U84" s="4">
        <f>(VLOOKUP('18.05'!AC84,'18.05'!$AO$4:$AQ$55,3,FALSE))</f>
        <v>0</v>
      </c>
      <c r="V84" s="4">
        <f>(VLOOKUP('18.05'!AD84,'18.05'!$AO$4:$AQ$55,3,FALSE))</f>
        <v>0</v>
      </c>
      <c r="W84" s="5">
        <f>(VLOOKUP('18.05'!AE84,'18.05'!$AO$4:$AQ$55,3,FALSE))</f>
        <v>0</v>
      </c>
      <c r="X84" s="5">
        <f>(VLOOKUP('18.05'!AF84,'18.05'!$AO$4:$AQ$55,3,FALSE))</f>
        <v>0</v>
      </c>
    </row>
    <row r="85" spans="1:24">
      <c r="A85" s="4">
        <f>(VLOOKUP('18.05'!I85,'18.05'!$AO$4:$AQ$55,3,FALSE))</f>
        <v>60</v>
      </c>
      <c r="B85" s="4">
        <f>(VLOOKUP('18.05'!J85,'18.05'!$AO$4:$AQ$55,3,FALSE))</f>
        <v>60</v>
      </c>
      <c r="C85" s="4">
        <f>(VLOOKUP('18.05'!K85,'18.05'!$AO$4:$AQ$55,3,FALSE))</f>
        <v>60</v>
      </c>
      <c r="D85" s="4">
        <f>(VLOOKUP('18.05'!L85,'18.05'!$AO$4:$AQ$55,3,FALSE))</f>
        <v>50</v>
      </c>
      <c r="E85" s="4">
        <f>(VLOOKUP('18.05'!M85,'18.05'!$AO$4:$AQ$55,3,FALSE))</f>
        <v>60</v>
      </c>
      <c r="F85" s="4">
        <f>(VLOOKUP('18.05'!N85,'18.05'!$AO$4:$AQ$55,3,FALSE))</f>
        <v>60</v>
      </c>
      <c r="G85" s="5">
        <f>(VLOOKUP('18.05'!O85,'18.05'!$AO$4:$AQ$55,3,FALSE))</f>
        <v>0</v>
      </c>
      <c r="H85" s="5">
        <f>(VLOOKUP('18.05'!P85,'18.05'!$AO$4:$AQ$55,3,FALSE))</f>
        <v>0</v>
      </c>
      <c r="I85" s="4">
        <f>(VLOOKUP('18.05'!Q85,'18.05'!$AO$4:$AQ$55,3,FALSE))</f>
        <v>50</v>
      </c>
      <c r="J85" s="4">
        <f>(VLOOKUP('18.05'!R85,'18.05'!$AO$4:$AQ$55,3,FALSE))</f>
        <v>50</v>
      </c>
      <c r="K85" s="4">
        <f>(VLOOKUP('18.05'!S85,'18.05'!$AO$4:$AQ$55,3,FALSE))</f>
        <v>50</v>
      </c>
      <c r="L85" s="4">
        <f>(VLOOKUP('18.05'!T85,'18.05'!$AO$4:$AQ$55,3,FALSE))</f>
        <v>50</v>
      </c>
      <c r="M85" s="4">
        <f>(VLOOKUP('18.05'!U85,'18.05'!$AO$4:$AQ$55,3,FALSE))</f>
        <v>50</v>
      </c>
      <c r="N85" s="4">
        <f>(VLOOKUP('18.05'!V85,'18.05'!$AO$4:$AQ$55,3,FALSE))</f>
        <v>50</v>
      </c>
      <c r="O85" s="5">
        <f>(VLOOKUP('18.05'!W85,'18.05'!$AO$4:$AQ$55,3,FALSE))</f>
        <v>0</v>
      </c>
      <c r="P85" s="5">
        <f>(VLOOKUP('18.05'!X85,'18.05'!$AO$4:$AQ$55,3,FALSE))</f>
        <v>0</v>
      </c>
      <c r="Q85" s="4">
        <f>(VLOOKUP('18.05'!Y85,'18.05'!$AO$4:$AQ$55,3,FALSE))</f>
        <v>0</v>
      </c>
      <c r="R85" s="4">
        <f>(VLOOKUP('18.05'!Z85,'18.05'!$AO$4:$AQ$55,3,FALSE))</f>
        <v>0</v>
      </c>
      <c r="S85" s="4">
        <f>(VLOOKUP('18.05'!AA85,'18.05'!$AO$4:$AQ$55,3,FALSE))</f>
        <v>0</v>
      </c>
      <c r="T85" s="4">
        <f>(VLOOKUP('18.05'!AB85,'18.05'!$AO$4:$AQ$55,3,FALSE))</f>
        <v>0</v>
      </c>
      <c r="U85" s="4">
        <f>(VLOOKUP('18.05'!AC85,'18.05'!$AO$4:$AQ$55,3,FALSE))</f>
        <v>0</v>
      </c>
      <c r="V85" s="4">
        <f>(VLOOKUP('18.05'!AD85,'18.05'!$AO$4:$AQ$55,3,FALSE))</f>
        <v>0</v>
      </c>
      <c r="W85" s="5">
        <f>(VLOOKUP('18.05'!AE85,'18.05'!$AO$4:$AQ$55,3,FALSE))</f>
        <v>0</v>
      </c>
      <c r="X85" s="5">
        <f>(VLOOKUP('18.05'!AF85,'18.05'!$AO$4:$AQ$55,3,FALSE))</f>
        <v>0</v>
      </c>
    </row>
    <row r="86" spans="1:24">
      <c r="A86" s="4">
        <f>(VLOOKUP('18.05'!I86,'18.05'!$AO$4:$AQ$55,3,FALSE))</f>
        <v>0</v>
      </c>
      <c r="B86" s="4">
        <f>(VLOOKUP('18.05'!J86,'18.05'!$AO$4:$AQ$55,3,FALSE))</f>
        <v>0</v>
      </c>
      <c r="C86" s="4">
        <f>(VLOOKUP('18.05'!K86,'18.05'!$AO$4:$AQ$55,3,FALSE))</f>
        <v>0</v>
      </c>
      <c r="D86" s="4">
        <f>(VLOOKUP('18.05'!L86,'18.05'!$AO$4:$AQ$55,3,FALSE))</f>
        <v>0</v>
      </c>
      <c r="E86" s="4">
        <f>(VLOOKUP('18.05'!M86,'18.05'!$AO$4:$AQ$55,3,FALSE))</f>
        <v>0</v>
      </c>
      <c r="F86" s="4">
        <f>(VLOOKUP('18.05'!N86,'18.05'!$AO$4:$AQ$55,3,FALSE))</f>
        <v>0</v>
      </c>
      <c r="G86" s="5">
        <f>(VLOOKUP('18.05'!O86,'18.05'!$AO$4:$AQ$55,3,FALSE))</f>
        <v>0</v>
      </c>
      <c r="H86" s="5">
        <f>(VLOOKUP('18.05'!P86,'18.05'!$AO$4:$AQ$55,3,FALSE))</f>
        <v>0</v>
      </c>
      <c r="I86" s="4">
        <f>(VLOOKUP('18.05'!Q86,'18.05'!$AO$4:$AQ$55,3,FALSE))</f>
        <v>50</v>
      </c>
      <c r="J86" s="4">
        <f>(VLOOKUP('18.05'!R86,'18.05'!$AO$4:$AQ$55,3,FALSE))</f>
        <v>50</v>
      </c>
      <c r="K86" s="4">
        <f>(VLOOKUP('18.05'!S86,'18.05'!$AO$4:$AQ$55,3,FALSE))</f>
        <v>50</v>
      </c>
      <c r="L86" s="4">
        <f>(VLOOKUP('18.05'!T86,'18.05'!$AO$4:$AQ$55,3,FALSE))</f>
        <v>50</v>
      </c>
      <c r="M86" s="4">
        <f>(VLOOKUP('18.05'!U86,'18.05'!$AO$4:$AQ$55,3,FALSE))</f>
        <v>50</v>
      </c>
      <c r="N86" s="4">
        <f>(VLOOKUP('18.05'!V86,'18.05'!$AO$4:$AQ$55,3,FALSE))</f>
        <v>30</v>
      </c>
      <c r="O86" s="5">
        <f>(VLOOKUP('18.05'!W86,'18.05'!$AO$4:$AQ$55,3,FALSE))</f>
        <v>0</v>
      </c>
      <c r="P86" s="5">
        <f>(VLOOKUP('18.05'!X86,'18.05'!$AO$4:$AQ$55,3,FALSE))</f>
        <v>0</v>
      </c>
      <c r="Q86" s="4">
        <f>(VLOOKUP('18.05'!Y86,'18.05'!$AO$4:$AQ$55,3,FALSE))</f>
        <v>0</v>
      </c>
      <c r="R86" s="4">
        <f>(VLOOKUP('18.05'!Z86,'18.05'!$AO$4:$AQ$55,3,FALSE))</f>
        <v>0</v>
      </c>
      <c r="S86" s="4">
        <f>(VLOOKUP('18.05'!AA86,'18.05'!$AO$4:$AQ$55,3,FALSE))</f>
        <v>0</v>
      </c>
      <c r="T86" s="4">
        <f>(VLOOKUP('18.05'!AB86,'18.05'!$AO$4:$AQ$55,3,FALSE))</f>
        <v>0</v>
      </c>
      <c r="U86" s="4">
        <f>(VLOOKUP('18.05'!AC86,'18.05'!$AO$4:$AQ$55,3,FALSE))</f>
        <v>0</v>
      </c>
      <c r="V86" s="4">
        <f>(VLOOKUP('18.05'!AD86,'18.05'!$AO$4:$AQ$55,3,FALSE))</f>
        <v>0</v>
      </c>
      <c r="W86" s="5">
        <f>(VLOOKUP('18.05'!AE86,'18.05'!$AO$4:$AQ$55,3,FALSE))</f>
        <v>0</v>
      </c>
      <c r="X86" s="5">
        <f>(VLOOKUP('18.05'!AF86,'18.05'!$AO$4:$AQ$55,3,FALSE))</f>
        <v>0</v>
      </c>
    </row>
    <row r="87" spans="1:24">
      <c r="A87" s="4">
        <f>(VLOOKUP('18.05'!I87,'18.05'!$AO$4:$AQ$55,3,FALSE))</f>
        <v>50</v>
      </c>
      <c r="B87" s="4">
        <f>(VLOOKUP('18.05'!J87,'18.05'!$AO$4:$AQ$55,3,FALSE))</f>
        <v>60</v>
      </c>
      <c r="C87" s="4">
        <f>(VLOOKUP('18.05'!K87,'18.05'!$AO$4:$AQ$55,3,FALSE))</f>
        <v>60</v>
      </c>
      <c r="D87" s="4">
        <f>(VLOOKUP('18.05'!L87,'18.05'!$AO$4:$AQ$55,3,FALSE))</f>
        <v>60</v>
      </c>
      <c r="E87" s="4">
        <f>(VLOOKUP('18.05'!M87,'18.05'!$AO$4:$AQ$55,3,FALSE))</f>
        <v>60</v>
      </c>
      <c r="F87" s="4">
        <f>(VLOOKUP('18.05'!N87,'18.05'!$AO$4:$AQ$55,3,FALSE))</f>
        <v>50</v>
      </c>
      <c r="G87" s="5">
        <f>(VLOOKUP('18.05'!O87,'18.05'!$AO$4:$AQ$55,3,FALSE))</f>
        <v>0</v>
      </c>
      <c r="H87" s="5">
        <f>(VLOOKUP('18.05'!P87,'18.05'!$AO$4:$AQ$55,3,FALSE))</f>
        <v>0</v>
      </c>
      <c r="I87" s="4">
        <f>(VLOOKUP('18.05'!Q87,'18.05'!$AO$4:$AQ$55,3,FALSE))</f>
        <v>50</v>
      </c>
      <c r="J87" s="4">
        <f>(VLOOKUP('18.05'!R87,'18.05'!$AO$4:$AQ$55,3,FALSE))</f>
        <v>50</v>
      </c>
      <c r="K87" s="4">
        <f>(VLOOKUP('18.05'!S87,'18.05'!$AO$4:$AQ$55,3,FALSE))</f>
        <v>50</v>
      </c>
      <c r="L87" s="4">
        <f>(VLOOKUP('18.05'!T87,'18.05'!$AO$4:$AQ$55,3,FALSE))</f>
        <v>50</v>
      </c>
      <c r="M87" s="4">
        <f>(VLOOKUP('18.05'!U87,'18.05'!$AO$4:$AQ$55,3,FALSE))</f>
        <v>50</v>
      </c>
      <c r="N87" s="4">
        <f>(VLOOKUP('18.05'!V87,'18.05'!$AO$4:$AQ$55,3,FALSE))</f>
        <v>50</v>
      </c>
      <c r="O87" s="5">
        <f>(VLOOKUP('18.05'!W87,'18.05'!$AO$4:$AQ$55,3,FALSE))</f>
        <v>0</v>
      </c>
      <c r="P87" s="5">
        <f>(VLOOKUP('18.05'!X87,'18.05'!$AO$4:$AQ$55,3,FALSE))</f>
        <v>0</v>
      </c>
      <c r="Q87" s="4">
        <f>(VLOOKUP('18.05'!Y87,'18.05'!$AO$4:$AQ$55,3,FALSE))</f>
        <v>0</v>
      </c>
      <c r="R87" s="4">
        <f>(VLOOKUP('18.05'!Z87,'18.05'!$AO$4:$AQ$55,3,FALSE))</f>
        <v>0</v>
      </c>
      <c r="S87" s="4">
        <f>(VLOOKUP('18.05'!AA87,'18.05'!$AO$4:$AQ$55,3,FALSE))</f>
        <v>0</v>
      </c>
      <c r="T87" s="4">
        <f>(VLOOKUP('18.05'!AB87,'18.05'!$AO$4:$AQ$55,3,FALSE))</f>
        <v>0</v>
      </c>
      <c r="U87" s="4">
        <f>(VLOOKUP('18.05'!AC87,'18.05'!$AO$4:$AQ$55,3,FALSE))</f>
        <v>0</v>
      </c>
      <c r="V87" s="4">
        <f>(VLOOKUP('18.05'!AD87,'18.05'!$AO$4:$AQ$55,3,FALSE))</f>
        <v>0</v>
      </c>
      <c r="W87" s="5">
        <f>(VLOOKUP('18.05'!AE87,'18.05'!$AO$4:$AQ$55,3,FALSE))</f>
        <v>0</v>
      </c>
      <c r="X87" s="5">
        <f>(VLOOKUP('18.05'!AF87,'18.05'!$AO$4:$AQ$55,3,FALSE))</f>
        <v>0</v>
      </c>
    </row>
    <row r="88" spans="1:24">
      <c r="A88" s="4">
        <f>(VLOOKUP('18.05'!I88,'18.05'!$AO$4:$AQ$55,3,FALSE))</f>
        <v>50</v>
      </c>
      <c r="B88" s="4">
        <f>(VLOOKUP('18.05'!J88,'18.05'!$AO$4:$AQ$55,3,FALSE))</f>
        <v>50</v>
      </c>
      <c r="C88" s="4">
        <f>(VLOOKUP('18.05'!K88,'18.05'!$AO$4:$AQ$55,3,FALSE))</f>
        <v>50</v>
      </c>
      <c r="D88" s="4">
        <f>(VLOOKUP('18.05'!L88,'18.05'!$AO$4:$AQ$55,3,FALSE))</f>
        <v>50</v>
      </c>
      <c r="E88" s="4">
        <f>(VLOOKUP('18.05'!M88,'18.05'!$AO$4:$AQ$55,3,FALSE))</f>
        <v>50</v>
      </c>
      <c r="F88" s="4">
        <f>(VLOOKUP('18.05'!N88,'18.05'!$AO$4:$AQ$55,3,FALSE))</f>
        <v>55</v>
      </c>
      <c r="G88" s="5">
        <f>(VLOOKUP('18.05'!O88,'18.05'!$AO$4:$AQ$55,3,FALSE))</f>
        <v>0</v>
      </c>
      <c r="H88" s="5">
        <f>(VLOOKUP('18.05'!P88,'18.05'!$AO$4:$AQ$55,3,FALSE))</f>
        <v>0</v>
      </c>
      <c r="I88" s="4">
        <f>(VLOOKUP('18.05'!Q88,'18.05'!$AO$4:$AQ$55,3,FALSE))</f>
        <v>50</v>
      </c>
      <c r="J88" s="4">
        <f>(VLOOKUP('18.05'!R88,'18.05'!$AO$4:$AQ$55,3,FALSE))</f>
        <v>50</v>
      </c>
      <c r="K88" s="4">
        <f>(VLOOKUP('18.05'!S88,'18.05'!$AO$4:$AQ$55,3,FALSE))</f>
        <v>50</v>
      </c>
      <c r="L88" s="4">
        <f>(VLOOKUP('18.05'!T88,'18.05'!$AO$4:$AQ$55,3,FALSE))</f>
        <v>50</v>
      </c>
      <c r="M88" s="4">
        <f>(VLOOKUP('18.05'!U88,'18.05'!$AO$4:$AQ$55,3,FALSE))</f>
        <v>50</v>
      </c>
      <c r="N88" s="4">
        <f>(VLOOKUP('18.05'!V88,'18.05'!$AO$4:$AQ$55,3,FALSE))</f>
        <v>50</v>
      </c>
      <c r="O88" s="5">
        <f>(VLOOKUP('18.05'!W88,'18.05'!$AO$4:$AQ$55,3,FALSE))</f>
        <v>0</v>
      </c>
      <c r="P88" s="5">
        <f>(VLOOKUP('18.05'!X88,'18.05'!$AO$4:$AQ$55,3,FALSE))</f>
        <v>0</v>
      </c>
      <c r="Q88" s="4">
        <f>(VLOOKUP('18.05'!Y88,'18.05'!$AO$4:$AQ$55,3,FALSE))</f>
        <v>0</v>
      </c>
      <c r="R88" s="4">
        <f>(VLOOKUP('18.05'!Z88,'18.05'!$AO$4:$AQ$55,3,FALSE))</f>
        <v>0</v>
      </c>
      <c r="S88" s="4">
        <f>(VLOOKUP('18.05'!AA88,'18.05'!$AO$4:$AQ$55,3,FALSE))</f>
        <v>0</v>
      </c>
      <c r="T88" s="4">
        <f>(VLOOKUP('18.05'!AB88,'18.05'!$AO$4:$AQ$55,3,FALSE))</f>
        <v>0</v>
      </c>
      <c r="U88" s="4">
        <f>(VLOOKUP('18.05'!AC88,'18.05'!$AO$4:$AQ$55,3,FALSE))</f>
        <v>0</v>
      </c>
      <c r="V88" s="4">
        <f>(VLOOKUP('18.05'!AD88,'18.05'!$AO$4:$AQ$55,3,FALSE))</f>
        <v>0</v>
      </c>
      <c r="W88" s="5">
        <f>(VLOOKUP('18.05'!AE88,'18.05'!$AO$4:$AQ$55,3,FALSE))</f>
        <v>0</v>
      </c>
      <c r="X88" s="5">
        <f>(VLOOKUP('18.05'!AF88,'18.05'!$AO$4:$AQ$55,3,FALSE))</f>
        <v>0</v>
      </c>
    </row>
    <row r="89" spans="1:24">
      <c r="A89" s="4">
        <f>(VLOOKUP('18.05'!I89,'18.05'!$AO$4:$AQ$55,3,FALSE))</f>
        <v>55</v>
      </c>
      <c r="B89" s="4">
        <f>(VLOOKUP('18.05'!J89,'18.05'!$AO$4:$AQ$55,3,FALSE))</f>
        <v>60</v>
      </c>
      <c r="C89" s="4">
        <f>(VLOOKUP('18.05'!K89,'18.05'!$AO$4:$AQ$55,3,FALSE))</f>
        <v>60</v>
      </c>
      <c r="D89" s="4">
        <f>(VLOOKUP('18.05'!L89,'18.05'!$AO$4:$AQ$55,3,FALSE))</f>
        <v>50</v>
      </c>
      <c r="E89" s="4">
        <f>(VLOOKUP('18.05'!M89,'18.05'!$AO$4:$AQ$55,3,FALSE))</f>
        <v>50</v>
      </c>
      <c r="F89" s="4">
        <f>(VLOOKUP('18.05'!N89,'18.05'!$AO$4:$AQ$55,3,FALSE))</f>
        <v>60</v>
      </c>
      <c r="G89" s="5">
        <f>(VLOOKUP('18.05'!O89,'18.05'!$AO$4:$AQ$55,3,FALSE))</f>
        <v>0</v>
      </c>
      <c r="H89" s="5">
        <f>(VLOOKUP('18.05'!P89,'18.05'!$AO$4:$AQ$55,3,FALSE))</f>
        <v>0</v>
      </c>
      <c r="I89" s="4">
        <f>(VLOOKUP('18.05'!Q89,'18.05'!$AO$4:$AQ$55,3,FALSE))</f>
        <v>50</v>
      </c>
      <c r="J89" s="4">
        <f>(VLOOKUP('18.05'!R89,'18.05'!$AO$4:$AQ$55,3,FALSE))</f>
        <v>50</v>
      </c>
      <c r="K89" s="4">
        <f>(VLOOKUP('18.05'!S89,'18.05'!$AO$4:$AQ$55,3,FALSE))</f>
        <v>50</v>
      </c>
      <c r="L89" s="4">
        <f>(VLOOKUP('18.05'!T89,'18.05'!$AO$4:$AQ$55,3,FALSE))</f>
        <v>50</v>
      </c>
      <c r="M89" s="4">
        <f>(VLOOKUP('18.05'!U89,'18.05'!$AO$4:$AQ$55,3,FALSE))</f>
        <v>50</v>
      </c>
      <c r="N89" s="4">
        <f>(VLOOKUP('18.05'!V89,'18.05'!$AO$4:$AQ$55,3,FALSE))</f>
        <v>50</v>
      </c>
      <c r="O89" s="5">
        <f>(VLOOKUP('18.05'!W89,'18.05'!$AO$4:$AQ$55,3,FALSE))</f>
        <v>50</v>
      </c>
      <c r="P89" s="5">
        <f>(VLOOKUP('18.05'!X89,'18.05'!$AO$4:$AQ$55,3,FALSE))</f>
        <v>50</v>
      </c>
      <c r="Q89" s="4">
        <f>(VLOOKUP('18.05'!Y89,'18.05'!$AO$4:$AQ$55,3,FALSE))</f>
        <v>0</v>
      </c>
      <c r="R89" s="4">
        <f>(VLOOKUP('18.05'!Z89,'18.05'!$AO$4:$AQ$55,3,FALSE))</f>
        <v>0</v>
      </c>
      <c r="S89" s="4">
        <f>(VLOOKUP('18.05'!AA89,'18.05'!$AO$4:$AQ$55,3,FALSE))</f>
        <v>0</v>
      </c>
      <c r="T89" s="4">
        <f>(VLOOKUP('18.05'!AB89,'18.05'!$AO$4:$AQ$55,3,FALSE))</f>
        <v>0</v>
      </c>
      <c r="U89" s="4">
        <f>(VLOOKUP('18.05'!AC89,'18.05'!$AO$4:$AQ$55,3,FALSE))</f>
        <v>0</v>
      </c>
      <c r="V89" s="4">
        <f>(VLOOKUP('18.05'!AD89,'18.05'!$AO$4:$AQ$55,3,FALSE))</f>
        <v>0</v>
      </c>
      <c r="W89" s="5">
        <f>(VLOOKUP('18.05'!AE89,'18.05'!$AO$4:$AQ$55,3,FALSE))</f>
        <v>0</v>
      </c>
      <c r="X89" s="5">
        <f>(VLOOKUP('18.05'!AF89,'18.05'!$AO$4:$AQ$55,3,FALSE))</f>
        <v>0</v>
      </c>
    </row>
    <row r="90" spans="1:24">
      <c r="A90" s="4">
        <f>(VLOOKUP('18.05'!I90,'18.05'!$AO$4:$AQ$55,3,FALSE))</f>
        <v>60</v>
      </c>
      <c r="B90" s="4">
        <f>(VLOOKUP('18.05'!J90,'18.05'!$AO$4:$AQ$55,3,FALSE))</f>
        <v>55</v>
      </c>
      <c r="C90" s="4">
        <f>(VLOOKUP('18.05'!K90,'18.05'!$AO$4:$AQ$55,3,FALSE))</f>
        <v>55</v>
      </c>
      <c r="D90" s="4">
        <f>(VLOOKUP('18.05'!L90,'18.05'!$AO$4:$AQ$55,3,FALSE))</f>
        <v>55</v>
      </c>
      <c r="E90" s="4">
        <f>(VLOOKUP('18.05'!M90,'18.05'!$AO$4:$AQ$55,3,FALSE))</f>
        <v>55</v>
      </c>
      <c r="F90" s="4">
        <f>(VLOOKUP('18.05'!N90,'18.05'!$AO$4:$AQ$55,3,FALSE))</f>
        <v>55</v>
      </c>
      <c r="G90" s="5">
        <f>(VLOOKUP('18.05'!O90,'18.05'!$AO$4:$AQ$55,3,FALSE))</f>
        <v>0</v>
      </c>
      <c r="H90" s="5">
        <f>(VLOOKUP('18.05'!P90,'18.05'!$AO$4:$AQ$55,3,FALSE))</f>
        <v>0</v>
      </c>
      <c r="I90" s="4">
        <f>(VLOOKUP('18.05'!Q90,'18.05'!$AO$4:$AQ$55,3,FALSE))</f>
        <v>50</v>
      </c>
      <c r="J90" s="4">
        <f>(VLOOKUP('18.05'!R90,'18.05'!$AO$4:$AQ$55,3,FALSE))</f>
        <v>50</v>
      </c>
      <c r="K90" s="4">
        <f>(VLOOKUP('18.05'!S90,'18.05'!$AO$4:$AQ$55,3,FALSE))</f>
        <v>50</v>
      </c>
      <c r="L90" s="4">
        <f>(VLOOKUP('18.05'!T90,'18.05'!$AO$4:$AQ$55,3,FALSE))</f>
        <v>50</v>
      </c>
      <c r="M90" s="4">
        <f>(VLOOKUP('18.05'!U90,'18.05'!$AO$4:$AQ$55,3,FALSE))</f>
        <v>30</v>
      </c>
      <c r="N90" s="4">
        <f>(VLOOKUP('18.05'!V90,'18.05'!$AO$4:$AQ$55,3,FALSE))</f>
        <v>50</v>
      </c>
      <c r="O90" s="5">
        <f>(VLOOKUP('18.05'!W90,'18.05'!$AO$4:$AQ$55,3,FALSE))</f>
        <v>50</v>
      </c>
      <c r="P90" s="5">
        <f>(VLOOKUP('18.05'!X90,'18.05'!$AO$4:$AQ$55,3,FALSE))</f>
        <v>50</v>
      </c>
      <c r="Q90" s="4">
        <f>(VLOOKUP('18.05'!Y90,'18.05'!$AO$4:$AQ$55,3,FALSE))</f>
        <v>0</v>
      </c>
      <c r="R90" s="4">
        <f>(VLOOKUP('18.05'!Z90,'18.05'!$AO$4:$AQ$55,3,FALSE))</f>
        <v>0</v>
      </c>
      <c r="S90" s="4">
        <f>(VLOOKUP('18.05'!AA90,'18.05'!$AO$4:$AQ$55,3,FALSE))</f>
        <v>0</v>
      </c>
      <c r="T90" s="4">
        <f>(VLOOKUP('18.05'!AB90,'18.05'!$AO$4:$AQ$55,3,FALSE))</f>
        <v>0</v>
      </c>
      <c r="U90" s="4">
        <f>(VLOOKUP('18.05'!AC90,'18.05'!$AO$4:$AQ$55,3,FALSE))</f>
        <v>0</v>
      </c>
      <c r="V90" s="4">
        <f>(VLOOKUP('18.05'!AD90,'18.05'!$AO$4:$AQ$55,3,FALSE))</f>
        <v>0</v>
      </c>
      <c r="W90" s="5">
        <f>(VLOOKUP('18.05'!AE90,'18.05'!$AO$4:$AQ$55,3,FALSE))</f>
        <v>0</v>
      </c>
      <c r="X90" s="5">
        <f>(VLOOKUP('18.05'!AF90,'18.05'!$AO$4:$AQ$55,3,FALSE))</f>
        <v>0</v>
      </c>
    </row>
    <row r="91" spans="1:24">
      <c r="A91" s="4">
        <f>(VLOOKUP('18.05'!I91,'18.05'!$AO$4:$AQ$55,3,FALSE))</f>
        <v>0</v>
      </c>
      <c r="B91" s="4">
        <f>(VLOOKUP('18.05'!J91,'18.05'!$AO$4:$AQ$55,3,FALSE))</f>
        <v>0</v>
      </c>
      <c r="C91" s="4">
        <f>(VLOOKUP('18.05'!K91,'18.05'!$AO$4:$AQ$55,3,FALSE))</f>
        <v>0</v>
      </c>
      <c r="D91" s="4">
        <f>(VLOOKUP('18.05'!L91,'18.05'!$AO$4:$AQ$55,3,FALSE))</f>
        <v>0</v>
      </c>
      <c r="E91" s="4">
        <f>(VLOOKUP('18.05'!M91,'18.05'!$AO$4:$AQ$55,3,FALSE))</f>
        <v>0</v>
      </c>
      <c r="F91" s="4">
        <f>(VLOOKUP('18.05'!N91,'18.05'!$AO$4:$AQ$55,3,FALSE))</f>
        <v>0</v>
      </c>
      <c r="G91" s="5">
        <f>(VLOOKUP('18.05'!O91,'18.05'!$AO$4:$AQ$55,3,FALSE))</f>
        <v>0</v>
      </c>
      <c r="H91" s="5">
        <f>(VLOOKUP('18.05'!P91,'18.05'!$AO$4:$AQ$55,3,FALSE))</f>
        <v>0</v>
      </c>
      <c r="I91" s="4">
        <f>(VLOOKUP('18.05'!Q91,'18.05'!$AO$4:$AQ$55,3,FALSE))</f>
        <v>50</v>
      </c>
      <c r="J91" s="4">
        <f>(VLOOKUP('18.05'!R91,'18.05'!$AO$4:$AQ$55,3,FALSE))</f>
        <v>50</v>
      </c>
      <c r="K91" s="4">
        <f>(VLOOKUP('18.05'!S91,'18.05'!$AO$4:$AQ$55,3,FALSE))</f>
        <v>50</v>
      </c>
      <c r="L91" s="4">
        <f>(VLOOKUP('18.05'!T91,'18.05'!$AO$4:$AQ$55,3,FALSE))</f>
        <v>50</v>
      </c>
      <c r="M91" s="4">
        <f>(VLOOKUP('18.05'!U91,'18.05'!$AO$4:$AQ$55,3,FALSE))</f>
        <v>50</v>
      </c>
      <c r="N91" s="4">
        <f>(VLOOKUP('18.05'!V91,'18.05'!$AO$4:$AQ$55,3,FALSE))</f>
        <v>50</v>
      </c>
      <c r="O91" s="5">
        <f>(VLOOKUP('18.05'!W91,'18.05'!$AO$4:$AQ$55,3,FALSE))</f>
        <v>50</v>
      </c>
      <c r="P91" s="5">
        <f>(VLOOKUP('18.05'!X91,'18.05'!$AO$4:$AQ$55,3,FALSE))</f>
        <v>50</v>
      </c>
      <c r="Q91" s="4">
        <f>(VLOOKUP('18.05'!Y91,'18.05'!$AO$4:$AQ$55,3,FALSE))</f>
        <v>0</v>
      </c>
      <c r="R91" s="4">
        <f>(VLOOKUP('18.05'!Z91,'18.05'!$AO$4:$AQ$55,3,FALSE))</f>
        <v>0</v>
      </c>
      <c r="S91" s="4">
        <f>(VLOOKUP('18.05'!AA91,'18.05'!$AO$4:$AQ$55,3,FALSE))</f>
        <v>0</v>
      </c>
      <c r="T91" s="4">
        <f>(VLOOKUP('18.05'!AB91,'18.05'!$AO$4:$AQ$55,3,FALSE))</f>
        <v>0</v>
      </c>
      <c r="U91" s="4">
        <f>(VLOOKUP('18.05'!AC91,'18.05'!$AO$4:$AQ$55,3,FALSE))</f>
        <v>0</v>
      </c>
      <c r="V91" s="4">
        <f>(VLOOKUP('18.05'!AD91,'18.05'!$AO$4:$AQ$55,3,FALSE))</f>
        <v>0</v>
      </c>
      <c r="W91" s="5">
        <f>(VLOOKUP('18.05'!AE91,'18.05'!$AO$4:$AQ$55,3,FALSE))</f>
        <v>0</v>
      </c>
      <c r="X91" s="5">
        <f>(VLOOKUP('18.05'!AF91,'18.05'!$AO$4:$AQ$55,3,FALSE))</f>
        <v>0</v>
      </c>
    </row>
    <row r="92" spans="1:24">
      <c r="A92" s="4">
        <f>(VLOOKUP('18.05'!I92,'18.05'!$AO$4:$AQ$55,3,FALSE))</f>
        <v>55</v>
      </c>
      <c r="B92" s="4">
        <f>(VLOOKUP('18.05'!J92,'18.05'!$AO$4:$AQ$55,3,FALSE))</f>
        <v>55</v>
      </c>
      <c r="C92" s="4">
        <f>(VLOOKUP('18.05'!K92,'18.05'!$AO$4:$AQ$55,3,FALSE))</f>
        <v>55</v>
      </c>
      <c r="D92" s="4">
        <f>(VLOOKUP('18.05'!L92,'18.05'!$AO$4:$AQ$55,3,FALSE))</f>
        <v>55</v>
      </c>
      <c r="E92" s="4">
        <f>(VLOOKUP('18.05'!M92,'18.05'!$AO$4:$AQ$55,3,FALSE))</f>
        <v>55</v>
      </c>
      <c r="F92" s="4">
        <f>(VLOOKUP('18.05'!N92,'18.05'!$AO$4:$AQ$55,3,FALSE))</f>
        <v>55</v>
      </c>
      <c r="G92" s="5">
        <f>(VLOOKUP('18.05'!O92,'18.05'!$AO$4:$AQ$55,3,FALSE))</f>
        <v>0</v>
      </c>
      <c r="H92" s="5">
        <f>(VLOOKUP('18.05'!P92,'18.05'!$AO$4:$AQ$55,3,FALSE))</f>
        <v>0</v>
      </c>
      <c r="I92" s="4">
        <f>(VLOOKUP('18.05'!Q92,'18.05'!$AO$4:$AQ$55,3,FALSE))</f>
        <v>50</v>
      </c>
      <c r="J92" s="4">
        <f>(VLOOKUP('18.05'!R92,'18.05'!$AO$4:$AQ$55,3,FALSE))</f>
        <v>50</v>
      </c>
      <c r="K92" s="4">
        <f>(VLOOKUP('18.05'!S92,'18.05'!$AO$4:$AQ$55,3,FALSE))</f>
        <v>40</v>
      </c>
      <c r="L92" s="4">
        <f>(VLOOKUP('18.05'!T92,'18.05'!$AO$4:$AQ$55,3,FALSE))</f>
        <v>40</v>
      </c>
      <c r="M92" s="4">
        <f>(VLOOKUP('18.05'!U92,'18.05'!$AO$4:$AQ$55,3,FALSE))</f>
        <v>40</v>
      </c>
      <c r="N92" s="4">
        <f>(VLOOKUP('18.05'!V92,'18.05'!$AO$4:$AQ$55,3,FALSE))</f>
        <v>30</v>
      </c>
      <c r="O92" s="5">
        <f>(VLOOKUP('18.05'!W92,'18.05'!$AO$4:$AQ$55,3,FALSE))</f>
        <v>40</v>
      </c>
      <c r="P92" s="5">
        <f>(VLOOKUP('18.05'!X92,'18.05'!$AO$4:$AQ$55,3,FALSE))</f>
        <v>40</v>
      </c>
      <c r="Q92" s="4">
        <f>(VLOOKUP('18.05'!Y92,'18.05'!$AO$4:$AQ$55,3,FALSE))</f>
        <v>0</v>
      </c>
      <c r="R92" s="4">
        <f>(VLOOKUP('18.05'!Z92,'18.05'!$AO$4:$AQ$55,3,FALSE))</f>
        <v>0</v>
      </c>
      <c r="S92" s="4">
        <f>(VLOOKUP('18.05'!AA92,'18.05'!$AO$4:$AQ$55,3,FALSE))</f>
        <v>0</v>
      </c>
      <c r="T92" s="4">
        <f>(VLOOKUP('18.05'!AB92,'18.05'!$AO$4:$AQ$55,3,FALSE))</f>
        <v>0</v>
      </c>
      <c r="U92" s="4">
        <f>(VLOOKUP('18.05'!AC92,'18.05'!$AO$4:$AQ$55,3,FALSE))</f>
        <v>0</v>
      </c>
      <c r="V92" s="4">
        <f>(VLOOKUP('18.05'!AD92,'18.05'!$AO$4:$AQ$55,3,FALSE))</f>
        <v>0</v>
      </c>
      <c r="W92" s="5">
        <f>(VLOOKUP('18.05'!AE92,'18.05'!$AO$4:$AQ$55,3,FALSE))</f>
        <v>0</v>
      </c>
      <c r="X92" s="5">
        <f>(VLOOKUP('18.05'!AF92,'18.05'!$AO$4:$AQ$55,3,FALSE))</f>
        <v>0</v>
      </c>
    </row>
    <row r="93" spans="1:24">
      <c r="A93" s="4">
        <f>(VLOOKUP('18.05'!I93,'18.05'!$AO$4:$AQ$55,3,FALSE))</f>
        <v>55</v>
      </c>
      <c r="B93" s="4">
        <f>(VLOOKUP('18.05'!J93,'18.05'!$AO$4:$AQ$55,3,FALSE))</f>
        <v>55</v>
      </c>
      <c r="C93" s="4">
        <f>(VLOOKUP('18.05'!K93,'18.05'!$AO$4:$AQ$55,3,FALSE))</f>
        <v>55</v>
      </c>
      <c r="D93" s="4">
        <f>(VLOOKUP('18.05'!L93,'18.05'!$AO$4:$AQ$55,3,FALSE))</f>
        <v>55</v>
      </c>
      <c r="E93" s="4">
        <f>(VLOOKUP('18.05'!M93,'18.05'!$AO$4:$AQ$55,3,FALSE))</f>
        <v>55</v>
      </c>
      <c r="F93" s="4">
        <f>(VLOOKUP('18.05'!N93,'18.05'!$AO$4:$AQ$55,3,FALSE))</f>
        <v>55</v>
      </c>
      <c r="G93" s="5">
        <f>(VLOOKUP('18.05'!O93,'18.05'!$AO$4:$AQ$55,3,FALSE))</f>
        <v>55</v>
      </c>
      <c r="H93" s="5">
        <f>(VLOOKUP('18.05'!P93,'18.05'!$AO$4:$AQ$55,3,FALSE))</f>
        <v>55</v>
      </c>
      <c r="I93" s="4">
        <f>(VLOOKUP('18.05'!Q93,'18.05'!$AO$4:$AQ$55,3,FALSE))</f>
        <v>40</v>
      </c>
      <c r="J93" s="4">
        <f>(VLOOKUP('18.05'!R93,'18.05'!$AO$4:$AQ$55,3,FALSE))</f>
        <v>40</v>
      </c>
      <c r="K93" s="4">
        <f>(VLOOKUP('18.05'!S93,'18.05'!$AO$4:$AQ$55,3,FALSE))</f>
        <v>30</v>
      </c>
      <c r="L93" s="4">
        <f>(VLOOKUP('18.05'!T93,'18.05'!$AO$4:$AQ$55,3,FALSE))</f>
        <v>0</v>
      </c>
      <c r="M93" s="4">
        <f>(VLOOKUP('18.05'!U93,'18.05'!$AO$4:$AQ$55,3,FALSE))</f>
        <v>0</v>
      </c>
      <c r="N93" s="4">
        <f>(VLOOKUP('18.05'!V93,'18.05'!$AO$4:$AQ$55,3,FALSE))</f>
        <v>0</v>
      </c>
      <c r="O93" s="5">
        <f>(VLOOKUP('18.05'!W93,'18.05'!$AO$4:$AQ$55,3,FALSE))</f>
        <v>0</v>
      </c>
      <c r="P93" s="5">
        <f>(VLOOKUP('18.05'!X93,'18.05'!$AO$4:$AQ$55,3,FALSE))</f>
        <v>0</v>
      </c>
      <c r="Q93" s="4">
        <f>(VLOOKUP('18.05'!Y93,'18.05'!$AO$4:$AQ$55,3,FALSE))</f>
        <v>0</v>
      </c>
      <c r="R93" s="4">
        <f>(VLOOKUP('18.05'!Z93,'18.05'!$AO$4:$AQ$55,3,FALSE))</f>
        <v>0</v>
      </c>
      <c r="S93" s="4">
        <f>(VLOOKUP('18.05'!AA93,'18.05'!$AO$4:$AQ$55,3,FALSE))</f>
        <v>0</v>
      </c>
      <c r="T93" s="4">
        <f>(VLOOKUP('18.05'!AB93,'18.05'!$AO$4:$AQ$55,3,FALSE))</f>
        <v>0</v>
      </c>
      <c r="U93" s="4">
        <f>(VLOOKUP('18.05'!AC93,'18.05'!$AO$4:$AQ$55,3,FALSE))</f>
        <v>0</v>
      </c>
      <c r="V93" s="4">
        <f>(VLOOKUP('18.05'!AD93,'18.05'!$AO$4:$AQ$55,3,FALSE))</f>
        <v>0</v>
      </c>
      <c r="W93" s="5">
        <f>(VLOOKUP('18.05'!AE93,'18.05'!$AO$4:$AQ$55,3,FALSE))</f>
        <v>0</v>
      </c>
      <c r="X93" s="5">
        <f>(VLOOKUP('18.05'!AF93,'18.05'!$AO$4:$AQ$55,3,FALSE))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(VLOOKUP('18.05'!I4,'18.05'!$AO$4:$AR$55,4,FALSE))</f>
        <v>44.222109392472248</v>
      </c>
      <c r="B4" s="4">
        <f>(VLOOKUP('18.05'!J4,'18.05'!$AO$4:$AR$55,4,FALSE))</f>
        <v>44.222109392472248</v>
      </c>
      <c r="C4" s="4">
        <f>(VLOOKUP('18.05'!K4,'18.05'!$AO$4:$AR$55,4,FALSE))</f>
        <v>44.222109392472248</v>
      </c>
      <c r="D4" s="4">
        <f>(VLOOKUP('18.05'!L4,'18.05'!$AO$4:$AR$55,4,FALSE))</f>
        <v>44.222109392472248</v>
      </c>
      <c r="E4" s="4">
        <f>(VLOOKUP('18.05'!M4,'18.05'!$AO$4:$AR$55,4,FALSE))</f>
        <v>44.222109392472248</v>
      </c>
      <c r="F4" s="4">
        <f>(VLOOKUP('18.05'!N4,'18.05'!$AO$4:$AR$55,4,FALSE))</f>
        <v>0</v>
      </c>
      <c r="G4" s="4">
        <f>(VLOOKUP('18.05'!O4,'18.05'!$AO$4:$AR$55,4,FALSE))</f>
        <v>0</v>
      </c>
      <c r="H4" s="4">
        <f>(VLOOKUP('18.05'!P4,'18.05'!$AO$4:$AR$55,4,FALSE))</f>
        <v>0</v>
      </c>
      <c r="I4" s="4">
        <f>(VLOOKUP('18.05'!Q4,'18.05'!$AO$4:$AR$55,4,FALSE))</f>
        <v>10</v>
      </c>
      <c r="J4" s="4">
        <f>(VLOOKUP('18.05'!R4,'18.05'!$AO$4:$AR$55,4,FALSE))</f>
        <v>44.222109392472248</v>
      </c>
      <c r="K4" s="4">
        <f>(VLOOKUP('18.05'!S4,'18.05'!$AO$4:$AR$55,4,FALSE))</f>
        <v>44.222109392472248</v>
      </c>
      <c r="L4" s="4">
        <f>(VLOOKUP('18.05'!T4,'18.05'!$AO$4:$AR$55,4,FALSE))</f>
        <v>44.222109392472248</v>
      </c>
      <c r="M4" s="4">
        <f>(VLOOKUP('18.05'!U4,'18.05'!$AO$4:$AR$55,4,FALSE))</f>
        <v>44.222109392472248</v>
      </c>
      <c r="N4" s="4">
        <f>(VLOOKUP('18.05'!V4,'18.05'!$AO$4:$AR$55,4,FALSE))</f>
        <v>44.222109392472248</v>
      </c>
      <c r="O4" s="4">
        <f>(VLOOKUP('18.05'!W4,'18.05'!$AO$4:$AR$55,4,FALSE))</f>
        <v>0</v>
      </c>
      <c r="P4" s="4">
        <f>(VLOOKUP('18.05'!X4,'18.05'!$AO$4:$AR$55,4,FALSE))</f>
        <v>0</v>
      </c>
      <c r="Q4" s="4">
        <f>(VLOOKUP('18.05'!Y4,'18.05'!$AO$4:$AR$55,4,FALSE))</f>
        <v>0</v>
      </c>
      <c r="R4" s="4">
        <f>(VLOOKUP('18.05'!Z4,'18.05'!$AO$4:$AR$55,4,FALSE))</f>
        <v>0</v>
      </c>
      <c r="S4" s="4">
        <f>(VLOOKUP('18.05'!AA4,'18.05'!$AO$4:$AR$55,4,FALSE))</f>
        <v>0</v>
      </c>
      <c r="T4" s="4">
        <f>(VLOOKUP('18.05'!AB4,'18.05'!$AO$4:$AR$55,4,FALSE))</f>
        <v>0</v>
      </c>
      <c r="U4" s="4">
        <f>(VLOOKUP('18.05'!AC4,'18.05'!$AO$4:$AR$55,4,FALSE))</f>
        <v>0</v>
      </c>
      <c r="V4" s="4">
        <f>(VLOOKUP('18.05'!AD4,'18.05'!$AO$4:$AR$55,4,FALSE))</f>
        <v>0</v>
      </c>
      <c r="W4" s="4">
        <f>(VLOOKUP('18.05'!AE4,'18.05'!$AO$4:$AR$55,4,FALSE))</f>
        <v>0</v>
      </c>
      <c r="X4" s="4">
        <f>(VLOOKUP('18.05'!AF4,'18.05'!$AO$4:$AR$55,4,FALSE))</f>
        <v>0</v>
      </c>
    </row>
    <row r="5" spans="1:24">
      <c r="A5" s="4">
        <f>(VLOOKUP('18.05'!I5,'18.05'!$AO$4:$AR$55,4,FALSE))</f>
        <v>0</v>
      </c>
      <c r="B5" s="4">
        <f>(VLOOKUP('18.05'!J5,'18.05'!$AO$4:$AR$55,4,FALSE))</f>
        <v>0</v>
      </c>
      <c r="C5" s="4">
        <f>(VLOOKUP('18.05'!K5,'18.05'!$AO$4:$AR$55,4,FALSE))</f>
        <v>0</v>
      </c>
      <c r="D5" s="4">
        <f>(VLOOKUP('18.05'!L5,'18.05'!$AO$4:$AR$55,4,FALSE))</f>
        <v>0</v>
      </c>
      <c r="E5" s="4">
        <f>(VLOOKUP('18.05'!M5,'18.05'!$AO$4:$AR$55,4,FALSE))</f>
        <v>0</v>
      </c>
      <c r="F5" s="4">
        <f>(VLOOKUP('18.05'!N5,'18.05'!$AO$4:$AR$55,4,FALSE))</f>
        <v>0</v>
      </c>
      <c r="G5" s="4">
        <f>(VLOOKUP('18.05'!O5,'18.05'!$AO$4:$AR$55,4,FALSE))</f>
        <v>0</v>
      </c>
      <c r="H5" s="4">
        <f>(VLOOKUP('18.05'!P5,'18.05'!$AO$4:$AR$55,4,FALSE))</f>
        <v>0</v>
      </c>
      <c r="I5" s="4">
        <f>(VLOOKUP('18.05'!Q5,'18.05'!$AO$4:$AR$55,4,FALSE))</f>
        <v>44.222109392472248</v>
      </c>
      <c r="J5" s="4">
        <f>(VLOOKUP('18.05'!R5,'18.05'!$AO$4:$AR$55,4,FALSE))</f>
        <v>39.110982162825422</v>
      </c>
      <c r="K5" s="4">
        <f>(VLOOKUP('18.05'!S5,'18.05'!$AO$4:$AR$55,4,FALSE))</f>
        <v>39.110982162825422</v>
      </c>
      <c r="L5" s="4">
        <f>(VLOOKUP('18.05'!T5,'18.05'!$AO$4:$AR$55,4,FALSE))</f>
        <v>39.110982162825422</v>
      </c>
      <c r="M5" s="4">
        <f>(VLOOKUP('18.05'!U5,'18.05'!$AO$4:$AR$55,4,FALSE))</f>
        <v>39.110982162825422</v>
      </c>
      <c r="N5" s="4">
        <f>(VLOOKUP('18.05'!V5,'18.05'!$AO$4:$AR$55,4,FALSE))</f>
        <v>39.110982162825422</v>
      </c>
      <c r="O5" s="4">
        <f>(VLOOKUP('18.05'!W5,'18.05'!$AO$4:$AR$55,4,FALSE))</f>
        <v>0</v>
      </c>
      <c r="P5" s="4">
        <f>(VLOOKUP('18.05'!X5,'18.05'!$AO$4:$AR$55,4,FALSE))</f>
        <v>0</v>
      </c>
      <c r="Q5" s="4">
        <f>(VLOOKUP('18.05'!Y5,'18.05'!$AO$4:$AR$55,4,FALSE))</f>
        <v>10</v>
      </c>
      <c r="R5" s="4">
        <f>(VLOOKUP('18.05'!Z5,'18.05'!$AO$4:$AR$55,4,FALSE))</f>
        <v>44.222109392472248</v>
      </c>
      <c r="S5" s="4">
        <f>(VLOOKUP('18.05'!AA5,'18.05'!$AO$4:$AR$55,4,FALSE))</f>
        <v>10</v>
      </c>
      <c r="T5" s="4">
        <f>(VLOOKUP('18.05'!AB5,'18.05'!$AO$4:$AR$55,4,FALSE))</f>
        <v>39.110982162825422</v>
      </c>
      <c r="U5" s="4">
        <f>(VLOOKUP('18.05'!AC5,'18.05'!$AO$4:$AR$55,4,FALSE))</f>
        <v>39.110982162825422</v>
      </c>
      <c r="V5" s="4">
        <f>(VLOOKUP('18.05'!AD5,'18.05'!$AO$4:$AR$55,4,FALSE))</f>
        <v>39.110982162825422</v>
      </c>
      <c r="W5" s="4">
        <f>(VLOOKUP('18.05'!AE5,'18.05'!$AO$4:$AR$55,4,FALSE))</f>
        <v>10</v>
      </c>
      <c r="X5" s="4">
        <f>(VLOOKUP('18.05'!AF5,'18.05'!$AO$4:$AR$55,4,FALSE))</f>
        <v>39.110982162825422</v>
      </c>
    </row>
    <row r="6" spans="1:24">
      <c r="A6" s="4">
        <f>(VLOOKUP('18.05'!I6,'18.05'!$AO$4:$AR$55,4,FALSE))</f>
        <v>0</v>
      </c>
      <c r="B6" s="4">
        <f>(VLOOKUP('18.05'!J6,'18.05'!$AO$4:$AR$55,4,FALSE))</f>
        <v>0</v>
      </c>
      <c r="C6" s="4">
        <f>(VLOOKUP('18.05'!K6,'18.05'!$AO$4:$AR$55,4,FALSE))</f>
        <v>0</v>
      </c>
      <c r="D6" s="4">
        <f>(VLOOKUP('18.05'!L6,'18.05'!$AO$4:$AR$55,4,FALSE))</f>
        <v>0</v>
      </c>
      <c r="E6" s="4">
        <f>(VLOOKUP('18.05'!M6,'18.05'!$AO$4:$AR$55,4,FALSE))</f>
        <v>0</v>
      </c>
      <c r="F6" s="4">
        <f>(VLOOKUP('18.05'!N6,'18.05'!$AO$4:$AR$55,4,FALSE))</f>
        <v>0</v>
      </c>
      <c r="G6" s="4">
        <f>(VLOOKUP('18.05'!O6,'18.05'!$AO$4:$AR$55,4,FALSE))</f>
        <v>0</v>
      </c>
      <c r="H6" s="4">
        <f>(VLOOKUP('18.05'!P6,'18.05'!$AO$4:$AR$55,4,FALSE))</f>
        <v>0</v>
      </c>
      <c r="I6" s="4">
        <f>(VLOOKUP('18.05'!Q6,'18.05'!$AO$4:$AR$55,4,FALSE))</f>
        <v>39.110982162825422</v>
      </c>
      <c r="J6" s="4">
        <f>(VLOOKUP('18.05'!R6,'18.05'!$AO$4:$AR$55,4,FALSE))</f>
        <v>10</v>
      </c>
      <c r="K6" s="4">
        <f>(VLOOKUP('18.05'!S6,'18.05'!$AO$4:$AR$55,4,FALSE))</f>
        <v>39.110982162825422</v>
      </c>
      <c r="L6" s="4">
        <f>(VLOOKUP('18.05'!T6,'18.05'!$AO$4:$AR$55,4,FALSE))</f>
        <v>39.110982162825422</v>
      </c>
      <c r="M6" s="4">
        <f>(VLOOKUP('18.05'!U6,'18.05'!$AO$4:$AR$55,4,FALSE))</f>
        <v>29.110982162825422</v>
      </c>
      <c r="N6" s="4">
        <f>(VLOOKUP('18.05'!V6,'18.05'!$AO$4:$AR$55,4,FALSE))</f>
        <v>39.110982162825422</v>
      </c>
      <c r="O6" s="4">
        <f>(VLOOKUP('18.05'!W6,'18.05'!$AO$4:$AR$55,4,FALSE))</f>
        <v>0</v>
      </c>
      <c r="P6" s="4">
        <f>(VLOOKUP('18.05'!X6,'18.05'!$AO$4:$AR$55,4,FALSE))</f>
        <v>0</v>
      </c>
      <c r="Q6" s="4">
        <f>(VLOOKUP('18.05'!Y6,'18.05'!$AO$4:$AR$55,4,FALSE))</f>
        <v>39.110982162825422</v>
      </c>
      <c r="R6" s="4">
        <f>(VLOOKUP('18.05'!Z6,'18.05'!$AO$4:$AR$55,4,FALSE))</f>
        <v>39.110982162825422</v>
      </c>
      <c r="S6" s="4">
        <f>(VLOOKUP('18.05'!AA6,'18.05'!$AO$4:$AR$55,4,FALSE))</f>
        <v>10</v>
      </c>
      <c r="T6" s="4">
        <f>(VLOOKUP('18.05'!AB6,'18.05'!$AO$4:$AR$55,4,FALSE))</f>
        <v>39.110982162825422</v>
      </c>
      <c r="U6" s="4">
        <f>(VLOOKUP('18.05'!AC6,'18.05'!$AO$4:$AR$55,4,FALSE))</f>
        <v>39.110982162825422</v>
      </c>
      <c r="V6" s="4">
        <f>(VLOOKUP('18.05'!AD6,'18.05'!$AO$4:$AR$55,4,FALSE))</f>
        <v>39.110982162825422</v>
      </c>
      <c r="W6" s="4">
        <f>(VLOOKUP('18.05'!AE6,'18.05'!$AO$4:$AR$55,4,FALSE))</f>
        <v>39.110982162825422</v>
      </c>
      <c r="X6" s="4">
        <f>(VLOOKUP('18.05'!AF6,'18.05'!$AO$4:$AR$55,4,FALSE))</f>
        <v>39.110982162825422</v>
      </c>
    </row>
    <row r="7" spans="1:24">
      <c r="A7" s="4">
        <f>(VLOOKUP('18.05'!I7,'18.05'!$AO$4:$AR$55,4,FALSE))</f>
        <v>0</v>
      </c>
      <c r="B7" s="4">
        <f>(VLOOKUP('18.05'!J7,'18.05'!$AO$4:$AR$55,4,FALSE))</f>
        <v>0</v>
      </c>
      <c r="C7" s="4">
        <f>(VLOOKUP('18.05'!K7,'18.05'!$AO$4:$AR$55,4,FALSE))</f>
        <v>0</v>
      </c>
      <c r="D7" s="4">
        <f>(VLOOKUP('18.05'!L7,'18.05'!$AO$4:$AR$55,4,FALSE))</f>
        <v>0</v>
      </c>
      <c r="E7" s="4">
        <f>(VLOOKUP('18.05'!M7,'18.05'!$AO$4:$AR$55,4,FALSE))</f>
        <v>0</v>
      </c>
      <c r="F7" s="4">
        <f>(VLOOKUP('18.05'!N7,'18.05'!$AO$4:$AR$55,4,FALSE))</f>
        <v>0</v>
      </c>
      <c r="G7" s="4">
        <f>(VLOOKUP('18.05'!O7,'18.05'!$AO$4:$AR$55,4,FALSE))</f>
        <v>0</v>
      </c>
      <c r="H7" s="4">
        <f>(VLOOKUP('18.05'!P7,'18.05'!$AO$4:$AR$55,4,FALSE))</f>
        <v>0</v>
      </c>
      <c r="I7" s="4">
        <f>(VLOOKUP('18.05'!Q7,'18.05'!$AO$4:$AR$55,4,FALSE))</f>
        <v>39.110982162825422</v>
      </c>
      <c r="J7" s="4">
        <f>(VLOOKUP('18.05'!R7,'18.05'!$AO$4:$AR$55,4,FALSE))</f>
        <v>39.110982162825422</v>
      </c>
      <c r="K7" s="4">
        <f>(VLOOKUP('18.05'!S7,'18.05'!$AO$4:$AR$55,4,FALSE))</f>
        <v>34</v>
      </c>
      <c r="L7" s="4">
        <f>(VLOOKUP('18.05'!T7,'18.05'!$AO$4:$AR$55,4,FALSE))</f>
        <v>34</v>
      </c>
      <c r="M7" s="4">
        <f>(VLOOKUP('18.05'!U7,'18.05'!$AO$4:$AR$55,4,FALSE))</f>
        <v>34</v>
      </c>
      <c r="N7" s="4">
        <f>(VLOOKUP('18.05'!V7,'18.05'!$AO$4:$AR$55,4,FALSE))</f>
        <v>34</v>
      </c>
      <c r="O7" s="4">
        <f>(VLOOKUP('18.05'!W7,'18.05'!$AO$4:$AR$55,4,FALSE))</f>
        <v>0</v>
      </c>
      <c r="P7" s="4">
        <f>(VLOOKUP('18.05'!X7,'18.05'!$AO$4:$AR$55,4,FALSE))</f>
        <v>0</v>
      </c>
      <c r="Q7" s="4">
        <f>(VLOOKUP('18.05'!Y7,'18.05'!$AO$4:$AR$55,4,FALSE))</f>
        <v>39.110982162825422</v>
      </c>
      <c r="R7" s="4">
        <f>(VLOOKUP('18.05'!Z7,'18.05'!$AO$4:$AR$55,4,FALSE))</f>
        <v>39.110982162825422</v>
      </c>
      <c r="S7" s="4">
        <f>(VLOOKUP('18.05'!AA7,'18.05'!$AO$4:$AR$55,4,FALSE))</f>
        <v>39.110982162825422</v>
      </c>
      <c r="T7" s="4">
        <f>(VLOOKUP('18.05'!AB7,'18.05'!$AO$4:$AR$55,4,FALSE))</f>
        <v>39.110982162825422</v>
      </c>
      <c r="U7" s="4">
        <f>(VLOOKUP('18.05'!AC7,'18.05'!$AO$4:$AR$55,4,FALSE))</f>
        <v>39.110982162825422</v>
      </c>
      <c r="V7" s="4">
        <f>(VLOOKUP('18.05'!AD7,'18.05'!$AO$4:$AR$55,4,FALSE))</f>
        <v>39.110982162825422</v>
      </c>
      <c r="W7" s="4">
        <f>(VLOOKUP('18.05'!AE7,'18.05'!$AO$4:$AR$55,4,FALSE))</f>
        <v>34</v>
      </c>
      <c r="X7" s="4">
        <f>(VLOOKUP('18.05'!AF7,'18.05'!$AO$4:$AR$55,4,FALSE))</f>
        <v>34</v>
      </c>
    </row>
    <row r="8" spans="1:24">
      <c r="A8" s="4">
        <f>(VLOOKUP('18.05'!I8,'18.05'!$AO$4:$AR$55,4,FALSE))</f>
        <v>0</v>
      </c>
      <c r="B8" s="4">
        <f>(VLOOKUP('18.05'!J8,'18.05'!$AO$4:$AR$55,4,FALSE))</f>
        <v>0</v>
      </c>
      <c r="C8" s="4">
        <f>(VLOOKUP('18.05'!K8,'18.05'!$AO$4:$AR$55,4,FALSE))</f>
        <v>0</v>
      </c>
      <c r="D8" s="4">
        <f>(VLOOKUP('18.05'!L8,'18.05'!$AO$4:$AR$55,4,FALSE))</f>
        <v>0</v>
      </c>
      <c r="E8" s="4">
        <f>(VLOOKUP('18.05'!M8,'18.05'!$AO$4:$AR$55,4,FALSE))</f>
        <v>0</v>
      </c>
      <c r="F8" s="4">
        <f>(VLOOKUP('18.05'!N8,'18.05'!$AO$4:$AR$55,4,FALSE))</f>
        <v>0</v>
      </c>
      <c r="G8" s="4">
        <f>(VLOOKUP('18.05'!O8,'18.05'!$AO$4:$AR$55,4,FALSE))</f>
        <v>0</v>
      </c>
      <c r="H8" s="4">
        <f>(VLOOKUP('18.05'!P8,'18.05'!$AO$4:$AR$55,4,FALSE))</f>
        <v>0</v>
      </c>
      <c r="I8" s="4">
        <f>(VLOOKUP('18.05'!Q8,'18.05'!$AO$4:$AR$55,4,FALSE))</f>
        <v>0</v>
      </c>
      <c r="J8" s="4">
        <f>(VLOOKUP('18.05'!R8,'18.05'!$AO$4:$AR$55,4,FALSE))</f>
        <v>34</v>
      </c>
      <c r="K8" s="4">
        <f>(VLOOKUP('18.05'!S8,'18.05'!$AO$4:$AR$55,4,FALSE))</f>
        <v>34</v>
      </c>
      <c r="L8" s="4">
        <f>(VLOOKUP('18.05'!T8,'18.05'!$AO$4:$AR$55,4,FALSE))</f>
        <v>34</v>
      </c>
      <c r="M8" s="4">
        <f>(VLOOKUP('18.05'!U8,'18.05'!$AO$4:$AR$55,4,FALSE))</f>
        <v>34</v>
      </c>
      <c r="N8" s="4">
        <f>(VLOOKUP('18.05'!V8,'18.05'!$AO$4:$AR$55,4,FALSE))</f>
        <v>34</v>
      </c>
      <c r="O8" s="4">
        <f>(VLOOKUP('18.05'!W8,'18.05'!$AO$4:$AR$55,4,FALSE))</f>
        <v>0</v>
      </c>
      <c r="P8" s="4">
        <f>(VLOOKUP('18.05'!X8,'18.05'!$AO$4:$AR$55,4,FALSE))</f>
        <v>0</v>
      </c>
      <c r="Q8" s="4">
        <f>(VLOOKUP('18.05'!Y8,'18.05'!$AO$4:$AR$55,4,FALSE))</f>
        <v>34</v>
      </c>
      <c r="R8" s="4">
        <f>(VLOOKUP('18.05'!Z8,'18.05'!$AO$4:$AR$55,4,FALSE))</f>
        <v>0</v>
      </c>
      <c r="S8" s="4">
        <f>(VLOOKUP('18.05'!AA8,'18.05'!$AO$4:$AR$55,4,FALSE))</f>
        <v>34</v>
      </c>
      <c r="T8" s="4">
        <f>(VLOOKUP('18.05'!AB8,'18.05'!$AO$4:$AR$55,4,FALSE))</f>
        <v>34</v>
      </c>
      <c r="U8" s="4">
        <f>(VLOOKUP('18.05'!AC8,'18.05'!$AO$4:$AR$55,4,FALSE))</f>
        <v>34</v>
      </c>
      <c r="V8" s="4">
        <f>(VLOOKUP('18.05'!AD8,'18.05'!$AO$4:$AR$55,4,FALSE))</f>
        <v>34</v>
      </c>
      <c r="W8" s="4">
        <f>(VLOOKUP('18.05'!AE8,'18.05'!$AO$4:$AR$55,4,FALSE))</f>
        <v>0</v>
      </c>
      <c r="X8" s="4">
        <f>(VLOOKUP('18.05'!AF8,'18.05'!$AO$4:$AR$55,4,FALSE))</f>
        <v>34</v>
      </c>
    </row>
    <row r="9" spans="1:24">
      <c r="A9" s="4">
        <f>(VLOOKUP('18.05'!I9,'18.05'!$AO$4:$AR$55,4,FALSE))</f>
        <v>0</v>
      </c>
      <c r="B9" s="4">
        <f>(VLOOKUP('18.05'!J9,'18.05'!$AO$4:$AR$55,4,FALSE))</f>
        <v>0</v>
      </c>
      <c r="C9" s="4">
        <f>(VLOOKUP('18.05'!K9,'18.05'!$AO$4:$AR$55,4,FALSE))</f>
        <v>0</v>
      </c>
      <c r="D9" s="4">
        <f>(VLOOKUP('18.05'!L9,'18.05'!$AO$4:$AR$55,4,FALSE))</f>
        <v>0</v>
      </c>
      <c r="E9" s="4">
        <f>(VLOOKUP('18.05'!M9,'18.05'!$AO$4:$AR$55,4,FALSE))</f>
        <v>0</v>
      </c>
      <c r="F9" s="4">
        <f>(VLOOKUP('18.05'!N9,'18.05'!$AO$4:$AR$55,4,FALSE))</f>
        <v>0</v>
      </c>
      <c r="G9" s="4">
        <f>(VLOOKUP('18.05'!O9,'18.05'!$AO$4:$AR$55,4,FALSE))</f>
        <v>0</v>
      </c>
      <c r="H9" s="4">
        <f>(VLOOKUP('18.05'!P9,'18.05'!$AO$4:$AR$55,4,FALSE))</f>
        <v>0</v>
      </c>
      <c r="I9" s="4">
        <f>(VLOOKUP('18.05'!Q9,'18.05'!$AO$4:$AR$55,4,FALSE))</f>
        <v>10</v>
      </c>
      <c r="J9" s="4">
        <f>(VLOOKUP('18.05'!R9,'18.05'!$AO$4:$AR$55,4,FALSE))</f>
        <v>34</v>
      </c>
      <c r="K9" s="4">
        <f>(VLOOKUP('18.05'!S9,'18.05'!$AO$4:$AR$55,4,FALSE))</f>
        <v>34</v>
      </c>
      <c r="L9" s="4">
        <f>(VLOOKUP('18.05'!T9,'18.05'!$AO$4:$AR$55,4,FALSE))</f>
        <v>34</v>
      </c>
      <c r="M9" s="4">
        <f>(VLOOKUP('18.05'!U9,'18.05'!$AO$4:$AR$55,4,FALSE))</f>
        <v>34</v>
      </c>
      <c r="N9" s="4">
        <f>(VLOOKUP('18.05'!V9,'18.05'!$AO$4:$AR$55,4,FALSE))</f>
        <v>34</v>
      </c>
      <c r="O9" s="4">
        <f>(VLOOKUP('18.05'!W9,'18.05'!$AO$4:$AR$55,4,FALSE))</f>
        <v>0</v>
      </c>
      <c r="P9" s="4">
        <f>(VLOOKUP('18.05'!X9,'18.05'!$AO$4:$AR$55,4,FALSE))</f>
        <v>0</v>
      </c>
      <c r="Q9" s="4">
        <f>(VLOOKUP('18.05'!Y9,'18.05'!$AO$4:$AR$55,4,FALSE))</f>
        <v>34</v>
      </c>
      <c r="R9" s="4">
        <f>(VLOOKUP('18.05'!Z9,'18.05'!$AO$4:$AR$55,4,FALSE))</f>
        <v>34</v>
      </c>
      <c r="S9" s="4">
        <f>(VLOOKUP('18.05'!AA9,'18.05'!$AO$4:$AR$55,4,FALSE))</f>
        <v>34</v>
      </c>
      <c r="T9" s="4">
        <f>(VLOOKUP('18.05'!AB9,'18.05'!$AO$4:$AR$55,4,FALSE))</f>
        <v>34</v>
      </c>
      <c r="U9" s="4">
        <f>(VLOOKUP('18.05'!AC9,'18.05'!$AO$4:$AR$55,4,FALSE))</f>
        <v>34</v>
      </c>
      <c r="V9" s="4">
        <f>(VLOOKUP('18.05'!AD9,'18.05'!$AO$4:$AR$55,4,FALSE))</f>
        <v>0</v>
      </c>
      <c r="W9" s="4">
        <f>(VLOOKUP('18.05'!AE9,'18.05'!$AO$4:$AR$55,4,FALSE))</f>
        <v>0</v>
      </c>
      <c r="X9" s="4">
        <f>(VLOOKUP('18.05'!AF9,'18.05'!$AO$4:$AR$55,4,FALSE))</f>
        <v>0</v>
      </c>
    </row>
    <row r="10" spans="1:24">
      <c r="A10" s="4">
        <f>(VLOOKUP('18.05'!I10,'18.05'!$AO$4:$AR$55,4,FALSE))</f>
        <v>0</v>
      </c>
      <c r="B10" s="4">
        <f>(VLOOKUP('18.05'!J10,'18.05'!$AO$4:$AR$55,4,FALSE))</f>
        <v>0</v>
      </c>
      <c r="C10" s="4">
        <f>(VLOOKUP('18.05'!K10,'18.05'!$AO$4:$AR$55,4,FALSE))</f>
        <v>0</v>
      </c>
      <c r="D10" s="4">
        <f>(VLOOKUP('18.05'!L10,'18.05'!$AO$4:$AR$55,4,FALSE))</f>
        <v>0</v>
      </c>
      <c r="E10" s="4">
        <f>(VLOOKUP('18.05'!M10,'18.05'!$AO$4:$AR$55,4,FALSE))</f>
        <v>0</v>
      </c>
      <c r="F10" s="4">
        <f>(VLOOKUP('18.05'!N10,'18.05'!$AO$4:$AR$55,4,FALSE))</f>
        <v>0</v>
      </c>
      <c r="G10" s="4">
        <f>(VLOOKUP('18.05'!O10,'18.05'!$AO$4:$AR$55,4,FALSE))</f>
        <v>0</v>
      </c>
      <c r="H10" s="4">
        <f>(VLOOKUP('18.05'!P10,'18.05'!$AO$4:$AR$55,4,FALSE))</f>
        <v>0</v>
      </c>
      <c r="I10" s="4">
        <f>(VLOOKUP('18.05'!Q10,'18.05'!$AO$4:$AR$55,4,FALSE))</f>
        <v>0</v>
      </c>
      <c r="J10" s="4">
        <f>(VLOOKUP('18.05'!R10,'18.05'!$AO$4:$AR$55,4,FALSE))</f>
        <v>34</v>
      </c>
      <c r="K10" s="4">
        <f>(VLOOKUP('18.05'!S10,'18.05'!$AO$4:$AR$55,4,FALSE))</f>
        <v>34</v>
      </c>
      <c r="L10" s="4">
        <f>(VLOOKUP('18.05'!T10,'18.05'!$AO$4:$AR$55,4,FALSE))</f>
        <v>0</v>
      </c>
      <c r="M10" s="4">
        <f>(VLOOKUP('18.05'!U10,'18.05'!$AO$4:$AR$55,4,FALSE))</f>
        <v>34</v>
      </c>
      <c r="N10" s="4">
        <f>(VLOOKUP('18.05'!V10,'18.05'!$AO$4:$AR$55,4,FALSE))</f>
        <v>34</v>
      </c>
      <c r="O10" s="4">
        <f>(VLOOKUP('18.05'!W10,'18.05'!$AO$4:$AR$55,4,FALSE))</f>
        <v>0</v>
      </c>
      <c r="P10" s="4">
        <f>(VLOOKUP('18.05'!X10,'18.05'!$AO$4:$AR$55,4,FALSE))</f>
        <v>0</v>
      </c>
      <c r="Q10" s="4">
        <f>(VLOOKUP('18.05'!Y10,'18.05'!$AO$4:$AR$55,4,FALSE))</f>
        <v>13.999854933178597</v>
      </c>
      <c r="R10" s="4">
        <f>(VLOOKUP('18.05'!Z10,'18.05'!$AO$4:$AR$55,4,FALSE))</f>
        <v>34</v>
      </c>
      <c r="S10" s="4">
        <f>(VLOOKUP('18.05'!AA10,'18.05'!$AO$4:$AR$55,4,FALSE))</f>
        <v>10</v>
      </c>
      <c r="T10" s="4">
        <f>(VLOOKUP('18.05'!AB10,'18.05'!$AO$4:$AR$55,4,FALSE))</f>
        <v>34</v>
      </c>
      <c r="U10" s="4">
        <f>(VLOOKUP('18.05'!AC10,'18.05'!$AO$4:$AR$55,4,FALSE))</f>
        <v>34</v>
      </c>
      <c r="V10" s="4">
        <f>(VLOOKUP('18.05'!AD10,'18.05'!$AO$4:$AR$55,4,FALSE))</f>
        <v>36</v>
      </c>
      <c r="W10" s="4">
        <f>(VLOOKUP('18.05'!AE10,'18.05'!$AO$4:$AR$55,4,FALSE))</f>
        <v>0</v>
      </c>
      <c r="X10" s="4">
        <f>(VLOOKUP('18.05'!AF10,'18.05'!$AO$4:$AR$55,4,FALSE))</f>
        <v>0</v>
      </c>
    </row>
    <row r="11" spans="1:24">
      <c r="A11" s="4">
        <f>(VLOOKUP('18.05'!I11,'18.05'!$AO$4:$AR$55,4,FALSE))</f>
        <v>0</v>
      </c>
      <c r="B11" s="4">
        <f>(VLOOKUP('18.05'!J11,'18.05'!$AO$4:$AR$55,4,FALSE))</f>
        <v>0</v>
      </c>
      <c r="C11" s="4">
        <f>(VLOOKUP('18.05'!K11,'18.05'!$AO$4:$AR$55,4,FALSE))</f>
        <v>0</v>
      </c>
      <c r="D11" s="4">
        <f>(VLOOKUP('18.05'!L11,'18.05'!$AO$4:$AR$55,4,FALSE))</f>
        <v>0</v>
      </c>
      <c r="E11" s="4">
        <f>(VLOOKUP('18.05'!M11,'18.05'!$AO$4:$AR$55,4,FALSE))</f>
        <v>0</v>
      </c>
      <c r="F11" s="4">
        <f>(VLOOKUP('18.05'!N11,'18.05'!$AO$4:$AR$55,4,FALSE))</f>
        <v>0</v>
      </c>
      <c r="G11" s="4">
        <f>(VLOOKUP('18.05'!O11,'18.05'!$AO$4:$AR$55,4,FALSE))</f>
        <v>0</v>
      </c>
      <c r="H11" s="4">
        <f>(VLOOKUP('18.05'!P11,'18.05'!$AO$4:$AR$55,4,FALSE))</f>
        <v>0</v>
      </c>
      <c r="I11" s="4">
        <f>(VLOOKUP('18.05'!Q11,'18.05'!$AO$4:$AR$55,4,FALSE))</f>
        <v>34</v>
      </c>
      <c r="J11" s="4">
        <f>(VLOOKUP('18.05'!R11,'18.05'!$AO$4:$AR$55,4,FALSE))</f>
        <v>10</v>
      </c>
      <c r="K11" s="4">
        <f>(VLOOKUP('18.05'!S11,'18.05'!$AO$4:$AR$55,4,FALSE))</f>
        <v>34</v>
      </c>
      <c r="L11" s="4">
        <f>(VLOOKUP('18.05'!T11,'18.05'!$AO$4:$AR$55,4,FALSE))</f>
        <v>34</v>
      </c>
      <c r="M11" s="4">
        <f>(VLOOKUP('18.05'!U11,'18.05'!$AO$4:$AR$55,4,FALSE))</f>
        <v>34</v>
      </c>
      <c r="N11" s="4">
        <f>(VLOOKUP('18.05'!V11,'18.05'!$AO$4:$AR$55,4,FALSE))</f>
        <v>0</v>
      </c>
      <c r="O11" s="4">
        <f>(VLOOKUP('18.05'!W11,'18.05'!$AO$4:$AR$55,4,FALSE))</f>
        <v>0</v>
      </c>
      <c r="P11" s="4">
        <f>(VLOOKUP('18.05'!X11,'18.05'!$AO$4:$AR$55,4,FALSE))</f>
        <v>0</v>
      </c>
      <c r="Q11" s="4">
        <f>(VLOOKUP('18.05'!Y11,'18.05'!$AO$4:$AR$55,4,FALSE))</f>
        <v>36</v>
      </c>
      <c r="R11" s="4">
        <f>(VLOOKUP('18.05'!Z11,'18.05'!$AO$4:$AR$55,4,FALSE))</f>
        <v>34</v>
      </c>
      <c r="S11" s="4">
        <f>(VLOOKUP('18.05'!AA11,'18.05'!$AO$4:$AR$55,4,FALSE))</f>
        <v>34</v>
      </c>
      <c r="T11" s="4">
        <f>(VLOOKUP('18.05'!AB11,'18.05'!$AO$4:$AR$55,4,FALSE))</f>
        <v>34</v>
      </c>
      <c r="U11" s="4">
        <f>(VLOOKUP('18.05'!AC11,'18.05'!$AO$4:$AR$55,4,FALSE))</f>
        <v>34</v>
      </c>
      <c r="V11" s="4">
        <f>(VLOOKUP('18.05'!AD11,'18.05'!$AO$4:$AR$55,4,FALSE))</f>
        <v>0</v>
      </c>
      <c r="W11" s="4">
        <f>(VLOOKUP('18.05'!AE11,'18.05'!$AO$4:$AR$55,4,FALSE))</f>
        <v>0</v>
      </c>
      <c r="X11" s="4">
        <f>(VLOOKUP('18.05'!AF11,'18.05'!$AO$4:$AR$55,4,FALSE))</f>
        <v>0</v>
      </c>
    </row>
    <row r="12" spans="1:24">
      <c r="A12" s="4">
        <f>(VLOOKUP('18.05'!I12,'18.05'!$AO$4:$AR$55,4,FALSE))</f>
        <v>39.110982162825422</v>
      </c>
      <c r="B12" s="4">
        <f>(VLOOKUP('18.05'!J12,'18.05'!$AO$4:$AR$55,4,FALSE))</f>
        <v>39.110982162825422</v>
      </c>
      <c r="C12" s="4">
        <f>(VLOOKUP('18.05'!K12,'18.05'!$AO$4:$AR$55,4,FALSE))</f>
        <v>39.110982162825422</v>
      </c>
      <c r="D12" s="4">
        <f>(VLOOKUP('18.05'!L12,'18.05'!$AO$4:$AR$55,4,FALSE))</f>
        <v>10</v>
      </c>
      <c r="E12" s="4">
        <f>(VLOOKUP('18.05'!M12,'18.05'!$AO$4:$AR$55,4,FALSE))</f>
        <v>39.110982162825422</v>
      </c>
      <c r="F12" s="4">
        <f>(VLOOKUP('18.05'!N12,'18.05'!$AO$4:$AR$55,4,FALSE))</f>
        <v>29.110982162825422</v>
      </c>
      <c r="G12" s="4">
        <f>(VLOOKUP('18.05'!O12,'18.05'!$AO$4:$AR$55,4,FALSE))</f>
        <v>39.110982162825422</v>
      </c>
      <c r="H12" s="4">
        <f>(VLOOKUP('18.05'!P12,'18.05'!$AO$4:$AR$55,4,FALSE))</f>
        <v>0</v>
      </c>
      <c r="I12" s="4">
        <f>(VLOOKUP('18.05'!Q12,'18.05'!$AO$4:$AR$55,4,FALSE))</f>
        <v>34</v>
      </c>
      <c r="J12" s="4">
        <f>(VLOOKUP('18.05'!R12,'18.05'!$AO$4:$AR$55,4,FALSE))</f>
        <v>34</v>
      </c>
      <c r="K12" s="4">
        <f>(VLOOKUP('18.05'!S12,'18.05'!$AO$4:$AR$55,4,FALSE))</f>
        <v>34</v>
      </c>
      <c r="L12" s="4">
        <f>(VLOOKUP('18.05'!T12,'18.05'!$AO$4:$AR$55,4,FALSE))</f>
        <v>13.999854933178597</v>
      </c>
      <c r="M12" s="4">
        <f>(VLOOKUP('18.05'!U12,'18.05'!$AO$4:$AR$55,4,FALSE))</f>
        <v>34</v>
      </c>
      <c r="N12" s="4">
        <f>(VLOOKUP('18.05'!V12,'18.05'!$AO$4:$AR$55,4,FALSE))</f>
        <v>34</v>
      </c>
      <c r="O12" s="4">
        <f>(VLOOKUP('18.05'!W12,'18.05'!$AO$4:$AR$55,4,FALSE))</f>
        <v>0</v>
      </c>
      <c r="P12" s="4">
        <f>(VLOOKUP('18.05'!X12,'18.05'!$AO$4:$AR$55,4,FALSE))</f>
        <v>0</v>
      </c>
      <c r="Q12" s="4">
        <f>(VLOOKUP('18.05'!Y12,'18.05'!$AO$4:$AR$55,4,FALSE))</f>
        <v>34</v>
      </c>
      <c r="R12" s="4">
        <f>(VLOOKUP('18.05'!Z12,'18.05'!$AO$4:$AR$55,4,FALSE))</f>
        <v>34</v>
      </c>
      <c r="S12" s="4">
        <f>(VLOOKUP('18.05'!AA12,'18.05'!$AO$4:$AR$55,4,FALSE))</f>
        <v>0</v>
      </c>
      <c r="T12" s="4">
        <f>(VLOOKUP('18.05'!AB12,'18.05'!$AO$4:$AR$55,4,FALSE))</f>
        <v>36</v>
      </c>
      <c r="U12" s="4">
        <f>(VLOOKUP('18.05'!AC12,'18.05'!$AO$4:$AR$55,4,FALSE))</f>
        <v>10</v>
      </c>
      <c r="V12" s="4">
        <f>(VLOOKUP('18.05'!AD12,'18.05'!$AO$4:$AR$55,4,FALSE))</f>
        <v>36</v>
      </c>
      <c r="W12" s="4">
        <f>(VLOOKUP('18.05'!AE12,'18.05'!$AO$4:$AR$55,4,FALSE))</f>
        <v>0</v>
      </c>
      <c r="X12" s="4">
        <f>(VLOOKUP('18.05'!AF12,'18.05'!$AO$4:$AR$55,4,FALSE))</f>
        <v>0</v>
      </c>
    </row>
    <row r="13" spans="1:24">
      <c r="A13" s="4">
        <f>(VLOOKUP('18.05'!I13,'18.05'!$AO$4:$AR$55,4,FALSE))</f>
        <v>39.110982162825422</v>
      </c>
      <c r="B13" s="4">
        <f>(VLOOKUP('18.05'!J13,'18.05'!$AO$4:$AR$55,4,FALSE))</f>
        <v>10</v>
      </c>
      <c r="C13" s="4">
        <f>(VLOOKUP('18.05'!K13,'18.05'!$AO$4:$AR$55,4,FALSE))</f>
        <v>39.110982162825422</v>
      </c>
      <c r="D13" s="4">
        <f>(VLOOKUP('18.05'!L13,'18.05'!$AO$4:$AR$55,4,FALSE))</f>
        <v>39.110982162825422</v>
      </c>
      <c r="E13" s="4">
        <f>(VLOOKUP('18.05'!M13,'18.05'!$AO$4:$AR$55,4,FALSE))</f>
        <v>39.110982162825422</v>
      </c>
      <c r="F13" s="4">
        <f>(VLOOKUP('18.05'!N13,'18.05'!$AO$4:$AR$55,4,FALSE))</f>
        <v>10</v>
      </c>
      <c r="G13" s="4">
        <f>(VLOOKUP('18.05'!O13,'18.05'!$AO$4:$AR$55,4,FALSE))</f>
        <v>34</v>
      </c>
      <c r="H13" s="4">
        <f>(VLOOKUP('18.05'!P13,'18.05'!$AO$4:$AR$55,4,FALSE))</f>
        <v>34</v>
      </c>
      <c r="I13" s="4">
        <f>(VLOOKUP('18.05'!Q13,'18.05'!$AO$4:$AR$55,4,FALSE))</f>
        <v>34</v>
      </c>
      <c r="J13" s="4">
        <f>(VLOOKUP('18.05'!R13,'18.05'!$AO$4:$AR$55,4,FALSE))</f>
        <v>34</v>
      </c>
      <c r="K13" s="4">
        <f>(VLOOKUP('18.05'!S13,'18.05'!$AO$4:$AR$55,4,FALSE))</f>
        <v>10</v>
      </c>
      <c r="L13" s="4">
        <f>(VLOOKUP('18.05'!T13,'18.05'!$AO$4:$AR$55,4,FALSE))</f>
        <v>34</v>
      </c>
      <c r="M13" s="4">
        <f>(VLOOKUP('18.05'!U13,'18.05'!$AO$4:$AR$55,4,FALSE))</f>
        <v>34</v>
      </c>
      <c r="N13" s="4">
        <f>(VLOOKUP('18.05'!V13,'18.05'!$AO$4:$AR$55,4,FALSE))</f>
        <v>10</v>
      </c>
      <c r="O13" s="4">
        <f>(VLOOKUP('18.05'!W13,'18.05'!$AO$4:$AR$55,4,FALSE))</f>
        <v>34</v>
      </c>
      <c r="P13" s="4">
        <f>(VLOOKUP('18.05'!X13,'18.05'!$AO$4:$AR$55,4,FALSE))</f>
        <v>0</v>
      </c>
      <c r="Q13" s="4">
        <f>(VLOOKUP('18.05'!Y13,'18.05'!$AO$4:$AR$55,4,FALSE))</f>
        <v>10</v>
      </c>
      <c r="R13" s="4">
        <f>(VLOOKUP('18.05'!Z13,'18.05'!$AO$4:$AR$55,4,FALSE))</f>
        <v>0</v>
      </c>
      <c r="S13" s="4">
        <f>(VLOOKUP('18.05'!AA13,'18.05'!$AO$4:$AR$55,4,FALSE))</f>
        <v>0</v>
      </c>
      <c r="T13" s="4">
        <f>(VLOOKUP('18.05'!AB13,'18.05'!$AO$4:$AR$55,4,FALSE))</f>
        <v>0</v>
      </c>
      <c r="U13" s="4">
        <f>(VLOOKUP('18.05'!AC13,'18.05'!$AO$4:$AR$55,4,FALSE))</f>
        <v>0</v>
      </c>
      <c r="V13" s="4">
        <f>(VLOOKUP('18.05'!AD13,'18.05'!$AO$4:$AR$55,4,FALSE))</f>
        <v>0</v>
      </c>
      <c r="W13" s="4">
        <f>(VLOOKUP('18.05'!AE13,'18.05'!$AO$4:$AR$55,4,FALSE))</f>
        <v>0</v>
      </c>
      <c r="X13" s="4">
        <f>(VLOOKUP('18.05'!AF13,'18.05'!$AO$4:$AR$55,4,FALSE))</f>
        <v>0</v>
      </c>
    </row>
    <row r="14" spans="1:24">
      <c r="A14" s="4">
        <f>(VLOOKUP('18.05'!I14,'18.05'!$AO$4:$AR$55,4,FALSE))</f>
        <v>36</v>
      </c>
      <c r="B14" s="4">
        <f>(VLOOKUP('18.05'!J14,'18.05'!$AO$4:$AR$55,4,FALSE))</f>
        <v>10</v>
      </c>
      <c r="C14" s="4">
        <f>(VLOOKUP('18.05'!K14,'18.05'!$AO$4:$AR$55,4,FALSE))</f>
        <v>36</v>
      </c>
      <c r="D14" s="4">
        <f>(VLOOKUP('18.05'!L14,'18.05'!$AO$4:$AR$55,4,FALSE))</f>
        <v>36</v>
      </c>
      <c r="E14" s="4">
        <f>(VLOOKUP('18.05'!M14,'18.05'!$AO$4:$AR$55,4,FALSE))</f>
        <v>36</v>
      </c>
      <c r="F14" s="4">
        <f>(VLOOKUP('18.05'!N14,'18.05'!$AO$4:$AR$55,4,FALSE))</f>
        <v>36</v>
      </c>
      <c r="G14" s="4">
        <f>(VLOOKUP('18.05'!O14,'18.05'!$AO$4:$AR$55,4,FALSE))</f>
        <v>36</v>
      </c>
      <c r="H14" s="4">
        <f>(VLOOKUP('18.05'!P14,'18.05'!$AO$4:$AR$55,4,FALSE))</f>
        <v>36</v>
      </c>
      <c r="I14" s="4">
        <f>(VLOOKUP('18.05'!Q14,'18.05'!$AO$4:$AR$55,4,FALSE))</f>
        <v>0</v>
      </c>
      <c r="J14" s="4">
        <f>(VLOOKUP('18.05'!R14,'18.05'!$AO$4:$AR$55,4,FALSE))</f>
        <v>0</v>
      </c>
      <c r="K14" s="4">
        <f>(VLOOKUP('18.05'!S14,'18.05'!$AO$4:$AR$55,4,FALSE))</f>
        <v>0</v>
      </c>
      <c r="L14" s="4">
        <f>(VLOOKUP('18.05'!T14,'18.05'!$AO$4:$AR$55,4,FALSE))</f>
        <v>0</v>
      </c>
      <c r="M14" s="4">
        <f>(VLOOKUP('18.05'!U14,'18.05'!$AO$4:$AR$55,4,FALSE))</f>
        <v>0</v>
      </c>
      <c r="N14" s="4">
        <f>(VLOOKUP('18.05'!V14,'18.05'!$AO$4:$AR$55,4,FALSE))</f>
        <v>0</v>
      </c>
      <c r="O14" s="4">
        <f>(VLOOKUP('18.05'!W14,'18.05'!$AO$4:$AR$55,4,FALSE))</f>
        <v>0</v>
      </c>
      <c r="P14" s="4">
        <f>(VLOOKUP('18.05'!X14,'18.05'!$AO$4:$AR$55,4,FALSE))</f>
        <v>0</v>
      </c>
      <c r="Q14" s="4">
        <f>(VLOOKUP('18.05'!Y14,'18.05'!$AO$4:$AR$55,4,FALSE))</f>
        <v>0</v>
      </c>
      <c r="R14" s="4">
        <f>(VLOOKUP('18.05'!Z14,'18.05'!$AO$4:$AR$55,4,FALSE))</f>
        <v>0</v>
      </c>
      <c r="S14" s="4">
        <f>(VLOOKUP('18.05'!AA14,'18.05'!$AO$4:$AR$55,4,FALSE))</f>
        <v>36</v>
      </c>
      <c r="T14" s="4">
        <f>(VLOOKUP('18.05'!AB14,'18.05'!$AO$4:$AR$55,4,FALSE))</f>
        <v>36</v>
      </c>
      <c r="U14" s="4">
        <f>(VLOOKUP('18.05'!AC14,'18.05'!$AO$4:$AR$55,4,FALSE))</f>
        <v>36</v>
      </c>
      <c r="V14" s="4">
        <f>(VLOOKUP('18.05'!AD14,'18.05'!$AO$4:$AR$55,4,FALSE))</f>
        <v>36</v>
      </c>
      <c r="W14" s="4">
        <f>(VLOOKUP('18.05'!AE14,'18.05'!$AO$4:$AR$55,4,FALSE))</f>
        <v>0</v>
      </c>
      <c r="X14" s="4">
        <f>(VLOOKUP('18.05'!AF14,'18.05'!$AO$4:$AR$55,4,FALSE))</f>
        <v>0</v>
      </c>
    </row>
    <row r="15" spans="1:24">
      <c r="A15" s="4">
        <f>(VLOOKUP('18.05'!I15,'18.05'!$AO$4:$AR$55,4,FALSE))</f>
        <v>36</v>
      </c>
      <c r="B15" s="4">
        <f>(VLOOKUP('18.05'!J15,'18.05'!$AO$4:$AR$55,4,FALSE))</f>
        <v>36</v>
      </c>
      <c r="C15" s="4">
        <f>(VLOOKUP('18.05'!K15,'18.05'!$AO$4:$AR$55,4,FALSE))</f>
        <v>0</v>
      </c>
      <c r="D15" s="4">
        <f>(VLOOKUP('18.05'!L15,'18.05'!$AO$4:$AR$55,4,FALSE))</f>
        <v>0</v>
      </c>
      <c r="E15" s="4">
        <f>(VLOOKUP('18.05'!M15,'18.05'!$AO$4:$AR$55,4,FALSE))</f>
        <v>10</v>
      </c>
      <c r="F15" s="4">
        <f>(VLOOKUP('18.05'!N15,'18.05'!$AO$4:$AR$55,4,FALSE))</f>
        <v>0</v>
      </c>
      <c r="G15" s="4">
        <f>(VLOOKUP('18.05'!O15,'18.05'!$AO$4:$AR$55,4,FALSE))</f>
        <v>0</v>
      </c>
      <c r="H15" s="4">
        <f>(VLOOKUP('18.05'!P15,'18.05'!$AO$4:$AR$55,4,FALSE))</f>
        <v>0</v>
      </c>
      <c r="I15" s="4">
        <f>(VLOOKUP('18.05'!Q15,'18.05'!$AO$4:$AR$55,4,FALSE))</f>
        <v>0</v>
      </c>
      <c r="J15" s="4">
        <f>(VLOOKUP('18.05'!R15,'18.05'!$AO$4:$AR$55,4,FALSE))</f>
        <v>0</v>
      </c>
      <c r="K15" s="4">
        <f>(VLOOKUP('18.05'!S15,'18.05'!$AO$4:$AR$55,4,FALSE))</f>
        <v>0</v>
      </c>
      <c r="L15" s="4">
        <f>(VLOOKUP('18.05'!T15,'18.05'!$AO$4:$AR$55,4,FALSE))</f>
        <v>0</v>
      </c>
      <c r="M15" s="4">
        <f>(VLOOKUP('18.05'!U15,'18.05'!$AO$4:$AR$55,4,FALSE))</f>
        <v>0</v>
      </c>
      <c r="N15" s="4">
        <f>(VLOOKUP('18.05'!V15,'18.05'!$AO$4:$AR$55,4,FALSE))</f>
        <v>0</v>
      </c>
      <c r="O15" s="4">
        <f>(VLOOKUP('18.05'!W15,'18.05'!$AO$4:$AR$55,4,FALSE))</f>
        <v>0</v>
      </c>
      <c r="P15" s="4">
        <f>(VLOOKUP('18.05'!X15,'18.05'!$AO$4:$AR$55,4,FALSE))</f>
        <v>0</v>
      </c>
      <c r="Q15" s="4">
        <f>(VLOOKUP('18.05'!Y15,'18.05'!$AO$4:$AR$55,4,FALSE))</f>
        <v>36</v>
      </c>
      <c r="R15" s="4">
        <f>(VLOOKUP('18.05'!Z15,'18.05'!$AO$4:$AR$55,4,FALSE))</f>
        <v>36</v>
      </c>
      <c r="S15" s="4">
        <f>(VLOOKUP('18.05'!AA15,'18.05'!$AO$4:$AR$55,4,FALSE))</f>
        <v>36</v>
      </c>
      <c r="T15" s="4">
        <f>(VLOOKUP('18.05'!AB15,'18.05'!$AO$4:$AR$55,4,FALSE))</f>
        <v>36</v>
      </c>
      <c r="U15" s="4">
        <f>(VLOOKUP('18.05'!AC15,'18.05'!$AO$4:$AR$55,4,FALSE))</f>
        <v>36</v>
      </c>
      <c r="V15" s="4">
        <f>(VLOOKUP('18.05'!AD15,'18.05'!$AO$4:$AR$55,4,FALSE))</f>
        <v>10</v>
      </c>
      <c r="W15" s="4">
        <f>(VLOOKUP('18.05'!AE15,'18.05'!$AO$4:$AR$55,4,FALSE))</f>
        <v>0</v>
      </c>
      <c r="X15" s="4">
        <f>(VLOOKUP('18.05'!AF15,'18.05'!$AO$4:$AR$55,4,FALSE))</f>
        <v>0</v>
      </c>
    </row>
    <row r="16" spans="1:24">
      <c r="A16" s="4">
        <f>(VLOOKUP('18.05'!I16,'18.05'!$AO$4:$AR$55,4,FALSE))</f>
        <v>0</v>
      </c>
      <c r="B16" s="4">
        <f>(VLOOKUP('18.05'!J16,'18.05'!$AO$4:$AR$55,4,FALSE))</f>
        <v>0</v>
      </c>
      <c r="C16" s="4">
        <f>(VLOOKUP('18.05'!K16,'18.05'!$AO$4:$AR$55,4,FALSE))</f>
        <v>0</v>
      </c>
      <c r="D16" s="4">
        <f>(VLOOKUP('18.05'!L16,'18.05'!$AO$4:$AR$55,4,FALSE))</f>
        <v>0</v>
      </c>
      <c r="E16" s="4">
        <f>(VLOOKUP('18.05'!M16,'18.05'!$AO$4:$AR$55,4,FALSE))</f>
        <v>0</v>
      </c>
      <c r="F16" s="4">
        <f>(VLOOKUP('18.05'!N16,'18.05'!$AO$4:$AR$55,4,FALSE))</f>
        <v>0</v>
      </c>
      <c r="G16" s="4">
        <f>(VLOOKUP('18.05'!O16,'18.05'!$AO$4:$AR$55,4,FALSE))</f>
        <v>0</v>
      </c>
      <c r="H16" s="4">
        <f>(VLOOKUP('18.05'!P16,'18.05'!$AO$4:$AR$55,4,FALSE))</f>
        <v>0</v>
      </c>
      <c r="I16" s="4">
        <f>(VLOOKUP('18.05'!Q16,'18.05'!$AO$4:$AR$55,4,FALSE))</f>
        <v>34</v>
      </c>
      <c r="J16" s="4">
        <f>(VLOOKUP('18.05'!R16,'18.05'!$AO$4:$AR$55,4,FALSE))</f>
        <v>34</v>
      </c>
      <c r="K16" s="4">
        <f>(VLOOKUP('18.05'!S16,'18.05'!$AO$4:$AR$55,4,FALSE))</f>
        <v>34</v>
      </c>
      <c r="L16" s="4">
        <f>(VLOOKUP('18.05'!T16,'18.05'!$AO$4:$AR$55,4,FALSE))</f>
        <v>13.999854933178597</v>
      </c>
      <c r="M16" s="4">
        <f>(VLOOKUP('18.05'!U16,'18.05'!$AO$4:$AR$55,4,FALSE))</f>
        <v>34</v>
      </c>
      <c r="N16" s="4">
        <f>(VLOOKUP('18.05'!V16,'18.05'!$AO$4:$AR$55,4,FALSE))</f>
        <v>34</v>
      </c>
      <c r="O16" s="4">
        <f>(VLOOKUP('18.05'!W16,'18.05'!$AO$4:$AR$55,4,FALSE))</f>
        <v>0</v>
      </c>
      <c r="P16" s="4">
        <f>(VLOOKUP('18.05'!X16,'18.05'!$AO$4:$AR$55,4,FALSE))</f>
        <v>0</v>
      </c>
      <c r="Q16" s="4">
        <f>(VLOOKUP('18.05'!Y16,'18.05'!$AO$4:$AR$55,4,FALSE))</f>
        <v>38</v>
      </c>
      <c r="R16" s="4">
        <f>(VLOOKUP('18.05'!Z16,'18.05'!$AO$4:$AR$55,4,FALSE))</f>
        <v>38</v>
      </c>
      <c r="S16" s="4">
        <f>(VLOOKUP('18.05'!AA16,'18.05'!$AO$4:$AR$55,4,FALSE))</f>
        <v>38</v>
      </c>
      <c r="T16" s="4">
        <f>(VLOOKUP('18.05'!AB16,'18.05'!$AO$4:$AR$55,4,FALSE))</f>
        <v>38</v>
      </c>
      <c r="U16" s="4">
        <f>(VLOOKUP('18.05'!AC16,'18.05'!$AO$4:$AR$55,4,FALSE))</f>
        <v>38</v>
      </c>
      <c r="V16" s="4">
        <f>(VLOOKUP('18.05'!AD16,'18.05'!$AO$4:$AR$55,4,FALSE))</f>
        <v>38</v>
      </c>
      <c r="W16" s="4">
        <f>(VLOOKUP('18.05'!AE16,'18.05'!$AO$4:$AR$55,4,FALSE))</f>
        <v>0</v>
      </c>
      <c r="X16" s="4">
        <f>(VLOOKUP('18.05'!AF16,'18.05'!$AO$4:$AR$55,4,FALSE))</f>
        <v>0</v>
      </c>
    </row>
    <row r="17" spans="1:24">
      <c r="A17" s="4">
        <f>(VLOOKUP('18.05'!I17,'18.05'!$AO$4:$AR$55,4,FALSE))</f>
        <v>0</v>
      </c>
      <c r="B17" s="4">
        <f>(VLOOKUP('18.05'!J17,'18.05'!$AO$4:$AR$55,4,FALSE))</f>
        <v>0</v>
      </c>
      <c r="C17" s="4">
        <f>(VLOOKUP('18.05'!K17,'18.05'!$AO$4:$AR$55,4,FALSE))</f>
        <v>0</v>
      </c>
      <c r="D17" s="4">
        <f>(VLOOKUP('18.05'!L17,'18.05'!$AO$4:$AR$55,4,FALSE))</f>
        <v>0</v>
      </c>
      <c r="E17" s="4">
        <f>(VLOOKUP('18.05'!M17,'18.05'!$AO$4:$AR$55,4,FALSE))</f>
        <v>0</v>
      </c>
      <c r="F17" s="4">
        <f>(VLOOKUP('18.05'!N17,'18.05'!$AO$4:$AR$55,4,FALSE))</f>
        <v>0</v>
      </c>
      <c r="G17" s="4">
        <f>(VLOOKUP('18.05'!O17,'18.05'!$AO$4:$AR$55,4,FALSE))</f>
        <v>0</v>
      </c>
      <c r="H17" s="4">
        <f>(VLOOKUP('18.05'!P17,'18.05'!$AO$4:$AR$55,4,FALSE))</f>
        <v>10</v>
      </c>
      <c r="I17" s="4">
        <f>(VLOOKUP('18.05'!Q17,'18.05'!$AO$4:$AR$55,4,FALSE))</f>
        <v>34</v>
      </c>
      <c r="J17" s="4">
        <f>(VLOOKUP('18.05'!R17,'18.05'!$AO$4:$AR$55,4,FALSE))</f>
        <v>10</v>
      </c>
      <c r="K17" s="4">
        <f>(VLOOKUP('18.05'!S17,'18.05'!$AO$4:$AR$55,4,FALSE))</f>
        <v>34</v>
      </c>
      <c r="L17" s="4">
        <f>(VLOOKUP('18.05'!T17,'18.05'!$AO$4:$AR$55,4,FALSE))</f>
        <v>34</v>
      </c>
      <c r="M17" s="4">
        <f>(VLOOKUP('18.05'!U17,'18.05'!$AO$4:$AR$55,4,FALSE))</f>
        <v>10</v>
      </c>
      <c r="N17" s="4">
        <f>(VLOOKUP('18.05'!V17,'18.05'!$AO$4:$AR$55,4,FALSE))</f>
        <v>0</v>
      </c>
      <c r="O17" s="4">
        <f>(VLOOKUP('18.05'!W17,'18.05'!$AO$4:$AR$55,4,FALSE))</f>
        <v>0</v>
      </c>
      <c r="P17" s="4">
        <f>(VLOOKUP('18.05'!X17,'18.05'!$AO$4:$AR$55,4,FALSE))</f>
        <v>0</v>
      </c>
      <c r="Q17" s="4">
        <f>(VLOOKUP('18.05'!Y17,'18.05'!$AO$4:$AR$55,4,FALSE))</f>
        <v>38</v>
      </c>
      <c r="R17" s="4">
        <f>(VLOOKUP('18.05'!Z17,'18.05'!$AO$4:$AR$55,4,FALSE))</f>
        <v>38</v>
      </c>
      <c r="S17" s="4">
        <f>(VLOOKUP('18.05'!AA17,'18.05'!$AO$4:$AR$55,4,FALSE))</f>
        <v>38</v>
      </c>
      <c r="T17" s="4">
        <f>(VLOOKUP('18.05'!AB17,'18.05'!$AO$4:$AR$55,4,FALSE))</f>
        <v>10</v>
      </c>
      <c r="U17" s="4">
        <f>(VLOOKUP('18.05'!AC17,'18.05'!$AO$4:$AR$55,4,FALSE))</f>
        <v>38</v>
      </c>
      <c r="V17" s="4">
        <f>(VLOOKUP('18.05'!AD17,'18.05'!$AO$4:$AR$55,4,FALSE))</f>
        <v>38</v>
      </c>
      <c r="W17" s="4">
        <f>(VLOOKUP('18.05'!AE17,'18.05'!$AO$4:$AR$55,4,FALSE))</f>
        <v>10</v>
      </c>
      <c r="X17" s="4">
        <f>(VLOOKUP('18.05'!AF17,'18.05'!$AO$4:$AR$55,4,FALSE))</f>
        <v>38</v>
      </c>
    </row>
    <row r="18" spans="1:24">
      <c r="A18" s="4">
        <f>(VLOOKUP('18.05'!I18,'18.05'!$AO$4:$AR$55,4,FALSE))</f>
        <v>0</v>
      </c>
      <c r="B18" s="4">
        <f>(VLOOKUP('18.05'!J18,'18.05'!$AO$4:$AR$55,4,FALSE))</f>
        <v>0</v>
      </c>
      <c r="C18" s="4">
        <f>(VLOOKUP('18.05'!K18,'18.05'!$AO$4:$AR$55,4,FALSE))</f>
        <v>0</v>
      </c>
      <c r="D18" s="4">
        <f>(VLOOKUP('18.05'!L18,'18.05'!$AO$4:$AR$55,4,FALSE))</f>
        <v>0</v>
      </c>
      <c r="E18" s="4">
        <f>(VLOOKUP('18.05'!M18,'18.05'!$AO$4:$AR$55,4,FALSE))</f>
        <v>0</v>
      </c>
      <c r="F18" s="4">
        <f>(VLOOKUP('18.05'!N18,'18.05'!$AO$4:$AR$55,4,FALSE))</f>
        <v>0</v>
      </c>
      <c r="G18" s="4">
        <f>(VLOOKUP('18.05'!O18,'18.05'!$AO$4:$AR$55,4,FALSE))</f>
        <v>0</v>
      </c>
      <c r="H18" s="4">
        <f>(VLOOKUP('18.05'!P18,'18.05'!$AO$4:$AR$55,4,FALSE))</f>
        <v>0</v>
      </c>
      <c r="I18" s="4">
        <f>(VLOOKUP('18.05'!Q18,'18.05'!$AO$4:$AR$55,4,FALSE))</f>
        <v>34</v>
      </c>
      <c r="J18" s="4">
        <f>(VLOOKUP('18.05'!R18,'18.05'!$AO$4:$AR$55,4,FALSE))</f>
        <v>34</v>
      </c>
      <c r="K18" s="4">
        <f>(VLOOKUP('18.05'!S18,'18.05'!$AO$4:$AR$55,4,FALSE))</f>
        <v>34</v>
      </c>
      <c r="L18" s="4">
        <f>(VLOOKUP('18.05'!T18,'18.05'!$AO$4:$AR$55,4,FALSE))</f>
        <v>34</v>
      </c>
      <c r="M18" s="4">
        <f>(VLOOKUP('18.05'!U18,'18.05'!$AO$4:$AR$55,4,FALSE))</f>
        <v>0</v>
      </c>
      <c r="N18" s="4">
        <f>(VLOOKUP('18.05'!V18,'18.05'!$AO$4:$AR$55,4,FALSE))</f>
        <v>0</v>
      </c>
      <c r="O18" s="4">
        <f>(VLOOKUP('18.05'!W18,'18.05'!$AO$4:$AR$55,4,FALSE))</f>
        <v>0</v>
      </c>
      <c r="P18" s="4">
        <f>(VLOOKUP('18.05'!X18,'18.05'!$AO$4:$AR$55,4,FALSE))</f>
        <v>0</v>
      </c>
      <c r="Q18" s="4">
        <f>(VLOOKUP('18.05'!Y18,'18.05'!$AO$4:$AR$55,4,FALSE))</f>
        <v>38</v>
      </c>
      <c r="R18" s="4">
        <f>(VLOOKUP('18.05'!Z18,'18.05'!$AO$4:$AR$55,4,FALSE))</f>
        <v>38</v>
      </c>
      <c r="S18" s="4">
        <f>(VLOOKUP('18.05'!AA18,'18.05'!$AO$4:$AR$55,4,FALSE))</f>
        <v>38</v>
      </c>
      <c r="T18" s="4">
        <f>(VLOOKUP('18.05'!AB18,'18.05'!$AO$4:$AR$55,4,FALSE))</f>
        <v>38</v>
      </c>
      <c r="U18" s="4">
        <f>(VLOOKUP('18.05'!AC18,'18.05'!$AO$4:$AR$55,4,FALSE))</f>
        <v>38</v>
      </c>
      <c r="V18" s="4">
        <f>(VLOOKUP('18.05'!AD18,'18.05'!$AO$4:$AR$55,4,FALSE))</f>
        <v>38</v>
      </c>
      <c r="W18" s="4">
        <f>(VLOOKUP('18.05'!AE18,'18.05'!$AO$4:$AR$55,4,FALSE))</f>
        <v>0</v>
      </c>
      <c r="X18" s="4">
        <f>(VLOOKUP('18.05'!AF18,'18.05'!$AO$4:$AR$55,4,FALSE))</f>
        <v>0</v>
      </c>
    </row>
    <row r="19" spans="1:24">
      <c r="A19" s="4">
        <f>(VLOOKUP('18.05'!I19,'18.05'!$AO$4:$AR$55,4,FALSE))</f>
        <v>0</v>
      </c>
      <c r="B19" s="4">
        <f>(VLOOKUP('18.05'!J19,'18.05'!$AO$4:$AR$55,4,FALSE))</f>
        <v>0</v>
      </c>
      <c r="C19" s="4">
        <f>(VLOOKUP('18.05'!K19,'18.05'!$AO$4:$AR$55,4,FALSE))</f>
        <v>0</v>
      </c>
      <c r="D19" s="4">
        <f>(VLOOKUP('18.05'!L19,'18.05'!$AO$4:$AR$55,4,FALSE))</f>
        <v>0</v>
      </c>
      <c r="E19" s="4">
        <f>(VLOOKUP('18.05'!M19,'18.05'!$AO$4:$AR$55,4,FALSE))</f>
        <v>0</v>
      </c>
      <c r="F19" s="4">
        <f>(VLOOKUP('18.05'!N19,'18.05'!$AO$4:$AR$55,4,FALSE))</f>
        <v>0</v>
      </c>
      <c r="G19" s="4">
        <f>(VLOOKUP('18.05'!O19,'18.05'!$AO$4:$AR$55,4,FALSE))</f>
        <v>0</v>
      </c>
      <c r="H19" s="4">
        <f>(VLOOKUP('18.05'!P19,'18.05'!$AO$4:$AR$55,4,FALSE))</f>
        <v>0</v>
      </c>
      <c r="I19" s="4">
        <f>(VLOOKUP('18.05'!Q19,'18.05'!$AO$4:$AR$55,4,FALSE))</f>
        <v>34</v>
      </c>
      <c r="J19" s="4">
        <f>(VLOOKUP('18.05'!R19,'18.05'!$AO$4:$AR$55,4,FALSE))</f>
        <v>34</v>
      </c>
      <c r="K19" s="4">
        <f>(VLOOKUP('18.05'!S19,'18.05'!$AO$4:$AR$55,4,FALSE))</f>
        <v>10</v>
      </c>
      <c r="L19" s="4">
        <f>(VLOOKUP('18.05'!T19,'18.05'!$AO$4:$AR$55,4,FALSE))</f>
        <v>34</v>
      </c>
      <c r="M19" s="4">
        <f>(VLOOKUP('18.05'!U19,'18.05'!$AO$4:$AR$55,4,FALSE))</f>
        <v>34</v>
      </c>
      <c r="N19" s="4">
        <f>(VLOOKUP('18.05'!V19,'18.05'!$AO$4:$AR$55,4,FALSE))</f>
        <v>34</v>
      </c>
      <c r="O19" s="4">
        <f>(VLOOKUP('18.05'!W19,'18.05'!$AO$4:$AR$55,4,FALSE))</f>
        <v>34</v>
      </c>
      <c r="P19" s="4">
        <f>(VLOOKUP('18.05'!X19,'18.05'!$AO$4:$AR$55,4,FALSE))</f>
        <v>34</v>
      </c>
      <c r="Q19" s="4">
        <f>(VLOOKUP('18.05'!Y19,'18.05'!$AO$4:$AR$55,4,FALSE))</f>
        <v>38</v>
      </c>
      <c r="R19" s="4">
        <f>(VLOOKUP('18.05'!Z19,'18.05'!$AO$4:$AR$55,4,FALSE))</f>
        <v>0</v>
      </c>
      <c r="S19" s="4">
        <f>(VLOOKUP('18.05'!AA19,'18.05'!$AO$4:$AR$55,4,FALSE))</f>
        <v>0</v>
      </c>
      <c r="T19" s="4">
        <f>(VLOOKUP('18.05'!AB19,'18.05'!$AO$4:$AR$55,4,FALSE))</f>
        <v>0</v>
      </c>
      <c r="U19" s="4">
        <f>(VLOOKUP('18.05'!AC19,'18.05'!$AO$4:$AR$55,4,FALSE))</f>
        <v>38</v>
      </c>
      <c r="V19" s="4">
        <f>(VLOOKUP('18.05'!AD19,'18.05'!$AO$4:$AR$55,4,FALSE))</f>
        <v>38</v>
      </c>
      <c r="W19" s="4">
        <f>(VLOOKUP('18.05'!AE19,'18.05'!$AO$4:$AR$55,4,FALSE))</f>
        <v>0</v>
      </c>
      <c r="X19" s="4">
        <f>(VLOOKUP('18.05'!AF19,'18.05'!$AO$4:$AR$55,4,FALSE))</f>
        <v>0</v>
      </c>
    </row>
    <row r="20" spans="1:24">
      <c r="A20" s="4">
        <f>(VLOOKUP('18.05'!I20,'18.05'!$AO$4:$AR$55,4,FALSE))</f>
        <v>0</v>
      </c>
      <c r="B20" s="4">
        <f>(VLOOKUP('18.05'!J20,'18.05'!$AO$4:$AR$55,4,FALSE))</f>
        <v>0</v>
      </c>
      <c r="C20" s="4">
        <f>(VLOOKUP('18.05'!K20,'18.05'!$AO$4:$AR$55,4,FALSE))</f>
        <v>0</v>
      </c>
      <c r="D20" s="4">
        <f>(VLOOKUP('18.05'!L20,'18.05'!$AO$4:$AR$55,4,FALSE))</f>
        <v>0</v>
      </c>
      <c r="E20" s="4">
        <f>(VLOOKUP('18.05'!M20,'18.05'!$AO$4:$AR$55,4,FALSE))</f>
        <v>0</v>
      </c>
      <c r="F20" s="4">
        <f>(VLOOKUP('18.05'!N20,'18.05'!$AO$4:$AR$55,4,FALSE))</f>
        <v>0</v>
      </c>
      <c r="G20" s="4">
        <f>(VLOOKUP('18.05'!O20,'18.05'!$AO$4:$AR$55,4,FALSE))</f>
        <v>0</v>
      </c>
      <c r="H20" s="4">
        <f>(VLOOKUP('18.05'!P20,'18.05'!$AO$4:$AR$55,4,FALSE))</f>
        <v>0</v>
      </c>
      <c r="I20" s="4">
        <f>(VLOOKUP('18.05'!Q20,'18.05'!$AO$4:$AR$55,4,FALSE))</f>
        <v>34</v>
      </c>
      <c r="J20" s="4">
        <f>(VLOOKUP('18.05'!R20,'18.05'!$AO$4:$AR$55,4,FALSE))</f>
        <v>38</v>
      </c>
      <c r="K20" s="4">
        <f>(VLOOKUP('18.05'!S20,'18.05'!$AO$4:$AR$55,4,FALSE))</f>
        <v>38</v>
      </c>
      <c r="L20" s="4">
        <f>(VLOOKUP('18.05'!T20,'18.05'!$AO$4:$AR$55,4,FALSE))</f>
        <v>38</v>
      </c>
      <c r="M20" s="4">
        <f>(VLOOKUP('18.05'!U20,'18.05'!$AO$4:$AR$55,4,FALSE))</f>
        <v>10</v>
      </c>
      <c r="N20" s="4">
        <f>(VLOOKUP('18.05'!V20,'18.05'!$AO$4:$AR$55,4,FALSE))</f>
        <v>0</v>
      </c>
      <c r="O20" s="4">
        <f>(VLOOKUP('18.05'!W20,'18.05'!$AO$4:$AR$55,4,FALSE))</f>
        <v>0</v>
      </c>
      <c r="P20" s="4">
        <f>(VLOOKUP('18.05'!X20,'18.05'!$AO$4:$AR$55,4,FALSE))</f>
        <v>0</v>
      </c>
      <c r="Q20" s="4">
        <f>(VLOOKUP('18.05'!Y20,'18.05'!$AO$4:$AR$55,4,FALSE))</f>
        <v>38</v>
      </c>
      <c r="R20" s="4">
        <f>(VLOOKUP('18.05'!Z20,'18.05'!$AO$4:$AR$55,4,FALSE))</f>
        <v>38</v>
      </c>
      <c r="S20" s="4">
        <f>(VLOOKUP('18.05'!AA20,'18.05'!$AO$4:$AR$55,4,FALSE))</f>
        <v>38</v>
      </c>
      <c r="T20" s="4">
        <f>(VLOOKUP('18.05'!AB20,'18.05'!$AO$4:$AR$55,4,FALSE))</f>
        <v>38</v>
      </c>
      <c r="U20" s="4">
        <f>(VLOOKUP('18.05'!AC20,'18.05'!$AO$4:$AR$55,4,FALSE))</f>
        <v>38</v>
      </c>
      <c r="V20" s="4">
        <f>(VLOOKUP('18.05'!AD20,'18.05'!$AO$4:$AR$55,4,FALSE))</f>
        <v>38</v>
      </c>
      <c r="W20" s="4">
        <f>(VLOOKUP('18.05'!AE20,'18.05'!$AO$4:$AR$55,4,FALSE))</f>
        <v>0</v>
      </c>
      <c r="X20" s="4">
        <f>(VLOOKUP('18.05'!AF20,'18.05'!$AO$4:$AR$55,4,FALSE))</f>
        <v>0</v>
      </c>
    </row>
    <row r="21" spans="1:24">
      <c r="A21" s="4">
        <f>(VLOOKUP('18.05'!I21,'18.05'!$AO$4:$AR$55,4,FALSE))</f>
        <v>0</v>
      </c>
      <c r="B21" s="4">
        <f>(VLOOKUP('18.05'!J21,'18.05'!$AO$4:$AR$55,4,FALSE))</f>
        <v>0</v>
      </c>
      <c r="C21" s="4">
        <f>(VLOOKUP('18.05'!K21,'18.05'!$AO$4:$AR$55,4,FALSE))</f>
        <v>0</v>
      </c>
      <c r="D21" s="4">
        <f>(VLOOKUP('18.05'!L21,'18.05'!$AO$4:$AR$55,4,FALSE))</f>
        <v>0</v>
      </c>
      <c r="E21" s="4">
        <f>(VLOOKUP('18.05'!M21,'18.05'!$AO$4:$AR$55,4,FALSE))</f>
        <v>0</v>
      </c>
      <c r="F21" s="4">
        <f>(VLOOKUP('18.05'!N21,'18.05'!$AO$4:$AR$55,4,FALSE))</f>
        <v>0</v>
      </c>
      <c r="G21" s="4">
        <f>(VLOOKUP('18.05'!O21,'18.05'!$AO$4:$AR$55,4,FALSE))</f>
        <v>0</v>
      </c>
      <c r="H21" s="4">
        <f>(VLOOKUP('18.05'!P21,'18.05'!$AO$4:$AR$55,4,FALSE))</f>
        <v>0</v>
      </c>
      <c r="I21" s="4">
        <f>(VLOOKUP('18.05'!Q21,'18.05'!$AO$4:$AR$55,4,FALSE))</f>
        <v>0</v>
      </c>
      <c r="J21" s="4">
        <f>(VLOOKUP('18.05'!R21,'18.05'!$AO$4:$AR$55,4,FALSE))</f>
        <v>0</v>
      </c>
      <c r="K21" s="4">
        <f>(VLOOKUP('18.05'!S21,'18.05'!$AO$4:$AR$55,4,FALSE))</f>
        <v>0</v>
      </c>
      <c r="L21" s="4">
        <f>(VLOOKUP('18.05'!T21,'18.05'!$AO$4:$AR$55,4,FALSE))</f>
        <v>0</v>
      </c>
      <c r="M21" s="4">
        <f>(VLOOKUP('18.05'!U21,'18.05'!$AO$4:$AR$55,4,FALSE))</f>
        <v>0</v>
      </c>
      <c r="N21" s="4">
        <f>(VLOOKUP('18.05'!V21,'18.05'!$AO$4:$AR$55,4,FALSE))</f>
        <v>0</v>
      </c>
      <c r="O21" s="4">
        <f>(VLOOKUP('18.05'!W21,'18.05'!$AO$4:$AR$55,4,FALSE))</f>
        <v>0</v>
      </c>
      <c r="P21" s="4">
        <f>(VLOOKUP('18.05'!X21,'18.05'!$AO$4:$AR$55,4,FALSE))</f>
        <v>0</v>
      </c>
      <c r="Q21" s="4">
        <f>(VLOOKUP('18.05'!Y21,'18.05'!$AO$4:$AR$55,4,FALSE))</f>
        <v>38</v>
      </c>
      <c r="R21" s="4">
        <f>(VLOOKUP('18.05'!Z21,'18.05'!$AO$4:$AR$55,4,FALSE))</f>
        <v>38</v>
      </c>
      <c r="S21" s="4">
        <f>(VLOOKUP('18.05'!AA21,'18.05'!$AO$4:$AR$55,4,FALSE))</f>
        <v>38</v>
      </c>
      <c r="T21" s="4">
        <f>(VLOOKUP('18.05'!AB21,'18.05'!$AO$4:$AR$55,4,FALSE))</f>
        <v>0</v>
      </c>
      <c r="U21" s="4">
        <f>(VLOOKUP('18.05'!AC21,'18.05'!$AO$4:$AR$55,4,FALSE))</f>
        <v>0</v>
      </c>
      <c r="V21" s="4">
        <f>(VLOOKUP('18.05'!AD21,'18.05'!$AO$4:$AR$55,4,FALSE))</f>
        <v>0</v>
      </c>
      <c r="W21" s="4">
        <f>(VLOOKUP('18.05'!AE21,'18.05'!$AO$4:$AR$55,4,FALSE))</f>
        <v>0</v>
      </c>
      <c r="X21" s="4">
        <f>(VLOOKUP('18.05'!AF21,'18.05'!$AO$4:$AR$55,4,FALSE))</f>
        <v>0</v>
      </c>
    </row>
    <row r="22" spans="1:24">
      <c r="A22" s="4">
        <f>(VLOOKUP('18.05'!I22,'18.05'!$AO$4:$AR$55,4,FALSE))</f>
        <v>0</v>
      </c>
      <c r="B22" s="4">
        <f>(VLOOKUP('18.05'!J22,'18.05'!$AO$4:$AR$55,4,FALSE))</f>
        <v>0</v>
      </c>
      <c r="C22" s="4">
        <f>(VLOOKUP('18.05'!K22,'18.05'!$AO$4:$AR$55,4,FALSE))</f>
        <v>0</v>
      </c>
      <c r="D22" s="4">
        <f>(VLOOKUP('18.05'!L22,'18.05'!$AO$4:$AR$55,4,FALSE))</f>
        <v>0</v>
      </c>
      <c r="E22" s="4">
        <f>(VLOOKUP('18.05'!M22,'18.05'!$AO$4:$AR$55,4,FALSE))</f>
        <v>0</v>
      </c>
      <c r="F22" s="4">
        <f>(VLOOKUP('18.05'!N22,'18.05'!$AO$4:$AR$55,4,FALSE))</f>
        <v>0</v>
      </c>
      <c r="G22" s="4">
        <f>(VLOOKUP('18.05'!O22,'18.05'!$AO$4:$AR$55,4,FALSE))</f>
        <v>0</v>
      </c>
      <c r="H22" s="4">
        <f>(VLOOKUP('18.05'!P22,'18.05'!$AO$4:$AR$55,4,FALSE))</f>
        <v>0</v>
      </c>
      <c r="I22" s="4">
        <f>(VLOOKUP('18.05'!Q22,'18.05'!$AO$4:$AR$55,4,FALSE))</f>
        <v>38</v>
      </c>
      <c r="J22" s="4">
        <f>(VLOOKUP('18.05'!R22,'18.05'!$AO$4:$AR$55,4,FALSE))</f>
        <v>38</v>
      </c>
      <c r="K22" s="4">
        <f>(VLOOKUP('18.05'!S22,'18.05'!$AO$4:$AR$55,4,FALSE))</f>
        <v>38</v>
      </c>
      <c r="L22" s="4">
        <f>(VLOOKUP('18.05'!T22,'18.05'!$AO$4:$AR$55,4,FALSE))</f>
        <v>38</v>
      </c>
      <c r="M22" s="4">
        <f>(VLOOKUP('18.05'!U22,'18.05'!$AO$4:$AR$55,4,FALSE))</f>
        <v>10</v>
      </c>
      <c r="N22" s="4">
        <f>(VLOOKUP('18.05'!V22,'18.05'!$AO$4:$AR$55,4,FALSE))</f>
        <v>38</v>
      </c>
      <c r="O22" s="4">
        <f>(VLOOKUP('18.05'!W22,'18.05'!$AO$4:$AR$55,4,FALSE))</f>
        <v>38</v>
      </c>
      <c r="P22" s="4">
        <f>(VLOOKUP('18.05'!X22,'18.05'!$AO$4:$AR$55,4,FALSE))</f>
        <v>38</v>
      </c>
      <c r="Q22" s="4">
        <f>(VLOOKUP('18.05'!Y22,'18.05'!$AO$4:$AR$55,4,FALSE))</f>
        <v>38</v>
      </c>
      <c r="R22" s="4">
        <f>(VLOOKUP('18.05'!Z22,'18.05'!$AO$4:$AR$55,4,FALSE))</f>
        <v>38</v>
      </c>
      <c r="S22" s="4">
        <f>(VLOOKUP('18.05'!AA22,'18.05'!$AO$4:$AR$55,4,FALSE))</f>
        <v>38</v>
      </c>
      <c r="T22" s="4">
        <f>(VLOOKUP('18.05'!AB22,'18.05'!$AO$4:$AR$55,4,FALSE))</f>
        <v>38</v>
      </c>
      <c r="U22" s="4">
        <f>(VLOOKUP('18.05'!AC22,'18.05'!$AO$4:$AR$55,4,FALSE))</f>
        <v>38</v>
      </c>
      <c r="V22" s="4">
        <f>(VLOOKUP('18.05'!AD22,'18.05'!$AO$4:$AR$55,4,FALSE))</f>
        <v>10</v>
      </c>
      <c r="W22" s="4">
        <f>(VLOOKUP('18.05'!AE22,'18.05'!$AO$4:$AR$55,4,FALSE))</f>
        <v>0</v>
      </c>
      <c r="X22" s="4">
        <f>(VLOOKUP('18.05'!AF22,'18.05'!$AO$4:$AR$55,4,FALSE))</f>
        <v>0</v>
      </c>
    </row>
    <row r="23" spans="1:24">
      <c r="A23" s="4">
        <f>(VLOOKUP('18.05'!I23,'18.05'!$AO$4:$AR$55,4,FALSE))</f>
        <v>0</v>
      </c>
      <c r="B23" s="4">
        <f>(VLOOKUP('18.05'!J23,'18.05'!$AO$4:$AR$55,4,FALSE))</f>
        <v>0</v>
      </c>
      <c r="C23" s="4">
        <f>(VLOOKUP('18.05'!K23,'18.05'!$AO$4:$AR$55,4,FALSE))</f>
        <v>0</v>
      </c>
      <c r="D23" s="4">
        <f>(VLOOKUP('18.05'!L23,'18.05'!$AO$4:$AR$55,4,FALSE))</f>
        <v>0</v>
      </c>
      <c r="E23" s="4">
        <f>(VLOOKUP('18.05'!M23,'18.05'!$AO$4:$AR$55,4,FALSE))</f>
        <v>0</v>
      </c>
      <c r="F23" s="4">
        <f>(VLOOKUP('18.05'!N23,'18.05'!$AO$4:$AR$55,4,FALSE))</f>
        <v>0</v>
      </c>
      <c r="G23" s="4">
        <f>(VLOOKUP('18.05'!O23,'18.05'!$AO$4:$AR$55,4,FALSE))</f>
        <v>0</v>
      </c>
      <c r="H23" s="4">
        <f>(VLOOKUP('18.05'!P23,'18.05'!$AO$4:$AR$55,4,FALSE))</f>
        <v>0</v>
      </c>
      <c r="I23" s="4">
        <f>(VLOOKUP('18.05'!Q23,'18.05'!$AO$4:$AR$55,4,FALSE))</f>
        <v>36</v>
      </c>
      <c r="J23" s="4">
        <f>(VLOOKUP('18.05'!R23,'18.05'!$AO$4:$AR$55,4,FALSE))</f>
        <v>0</v>
      </c>
      <c r="K23" s="4">
        <f>(VLOOKUP('18.05'!S23,'18.05'!$AO$4:$AR$55,4,FALSE))</f>
        <v>36</v>
      </c>
      <c r="L23" s="4">
        <f>(VLOOKUP('18.05'!T23,'18.05'!$AO$4:$AR$55,4,FALSE))</f>
        <v>36</v>
      </c>
      <c r="M23" s="4">
        <f>(VLOOKUP('18.05'!U23,'18.05'!$AO$4:$AR$55,4,FALSE))</f>
        <v>0</v>
      </c>
      <c r="N23" s="4">
        <f>(VLOOKUP('18.05'!V23,'18.05'!$AO$4:$AR$55,4,FALSE))</f>
        <v>0</v>
      </c>
      <c r="O23" s="4">
        <f>(VLOOKUP('18.05'!W23,'18.05'!$AO$4:$AR$55,4,FALSE))</f>
        <v>0</v>
      </c>
      <c r="P23" s="4">
        <f>(VLOOKUP('18.05'!X23,'18.05'!$AO$4:$AR$55,4,FALSE))</f>
        <v>0</v>
      </c>
      <c r="Q23" s="4">
        <f>(VLOOKUP('18.05'!Y23,'18.05'!$AO$4:$AR$55,4,FALSE))</f>
        <v>39.110982162825422</v>
      </c>
      <c r="R23" s="4">
        <f>(VLOOKUP('18.05'!Z23,'18.05'!$AO$4:$AR$55,4,FALSE))</f>
        <v>39.110982162825422</v>
      </c>
      <c r="S23" s="4">
        <f>(VLOOKUP('18.05'!AA23,'18.05'!$AO$4:$AR$55,4,FALSE))</f>
        <v>44.222109392472248</v>
      </c>
      <c r="T23" s="4">
        <f>(VLOOKUP('18.05'!AB23,'18.05'!$AO$4:$AR$55,4,FALSE))</f>
        <v>44.222109392472248</v>
      </c>
      <c r="U23" s="4">
        <f>(VLOOKUP('18.05'!AC23,'18.05'!$AO$4:$AR$55,4,FALSE))</f>
        <v>10</v>
      </c>
      <c r="V23" s="4">
        <f>(VLOOKUP('18.05'!AD23,'18.05'!$AO$4:$AR$55,4,FALSE))</f>
        <v>44.222109392472248</v>
      </c>
      <c r="W23" s="4">
        <f>(VLOOKUP('18.05'!AE23,'18.05'!$AO$4:$AR$55,4,FALSE))</f>
        <v>44.222109392472248</v>
      </c>
      <c r="X23" s="4">
        <f>(VLOOKUP('18.05'!AF23,'18.05'!$AO$4:$AR$55,4,FALSE))</f>
        <v>44.222109392472248</v>
      </c>
    </row>
    <row r="24" spans="1:24">
      <c r="A24" s="4">
        <f>(VLOOKUP('18.05'!I24,'18.05'!$AO$4:$AR$55,4,FALSE))</f>
        <v>0</v>
      </c>
      <c r="B24" s="4">
        <f>(VLOOKUP('18.05'!J24,'18.05'!$AO$4:$AR$55,4,FALSE))</f>
        <v>0</v>
      </c>
      <c r="C24" s="4">
        <f>(VLOOKUP('18.05'!K24,'18.05'!$AO$4:$AR$55,4,FALSE))</f>
        <v>0</v>
      </c>
      <c r="D24" s="4">
        <f>(VLOOKUP('18.05'!L24,'18.05'!$AO$4:$AR$55,4,FALSE))</f>
        <v>0</v>
      </c>
      <c r="E24" s="4">
        <f>(VLOOKUP('18.05'!M24,'18.05'!$AO$4:$AR$55,4,FALSE))</f>
        <v>0</v>
      </c>
      <c r="F24" s="4">
        <f>(VLOOKUP('18.05'!N24,'18.05'!$AO$4:$AR$55,4,FALSE))</f>
        <v>0</v>
      </c>
      <c r="G24" s="4">
        <f>(VLOOKUP('18.05'!O24,'18.05'!$AO$4:$AR$55,4,FALSE))</f>
        <v>0</v>
      </c>
      <c r="H24" s="4">
        <f>(VLOOKUP('18.05'!P24,'18.05'!$AO$4:$AR$55,4,FALSE))</f>
        <v>0</v>
      </c>
      <c r="I24" s="4">
        <f>(VLOOKUP('18.05'!Q24,'18.05'!$AO$4:$AR$55,4,FALSE))</f>
        <v>36</v>
      </c>
      <c r="J24" s="4">
        <f>(VLOOKUP('18.05'!R24,'18.05'!$AO$4:$AR$55,4,FALSE))</f>
        <v>36</v>
      </c>
      <c r="K24" s="4">
        <f>(VLOOKUP('18.05'!S24,'18.05'!$AO$4:$AR$55,4,FALSE))</f>
        <v>36</v>
      </c>
      <c r="L24" s="4">
        <f>(VLOOKUP('18.05'!T24,'18.05'!$AO$4:$AR$55,4,FALSE))</f>
        <v>36</v>
      </c>
      <c r="M24" s="4">
        <f>(VLOOKUP('18.05'!U24,'18.05'!$AO$4:$AR$55,4,FALSE))</f>
        <v>36</v>
      </c>
      <c r="N24" s="4">
        <f>(VLOOKUP('18.05'!V24,'18.05'!$AO$4:$AR$55,4,FALSE))</f>
        <v>36</v>
      </c>
      <c r="O24" s="4">
        <f>(VLOOKUP('18.05'!W24,'18.05'!$AO$4:$AR$55,4,FALSE))</f>
        <v>36</v>
      </c>
      <c r="P24" s="4">
        <f>(VLOOKUP('18.05'!X24,'18.05'!$AO$4:$AR$55,4,FALSE))</f>
        <v>10</v>
      </c>
      <c r="Q24" s="4">
        <f>(VLOOKUP('18.05'!Y24,'18.05'!$AO$4:$AR$55,4,FALSE))</f>
        <v>44.222109392472248</v>
      </c>
      <c r="R24" s="4">
        <f>(VLOOKUP('18.05'!Z24,'18.05'!$AO$4:$AR$55,4,FALSE))</f>
        <v>44.222109392472248</v>
      </c>
      <c r="S24" s="4">
        <f>(VLOOKUP('18.05'!AA24,'18.05'!$AO$4:$AR$55,4,FALSE))</f>
        <v>44.222109392472248</v>
      </c>
      <c r="T24" s="4">
        <f>(VLOOKUP('18.05'!AB24,'18.05'!$AO$4:$AR$55,4,FALSE))</f>
        <v>10</v>
      </c>
      <c r="U24" s="4">
        <f>(VLOOKUP('18.05'!AC24,'18.05'!$AO$4:$AR$55,4,FALSE))</f>
        <v>39.110982162825422</v>
      </c>
      <c r="V24" s="4">
        <f>(VLOOKUP('18.05'!AD24,'18.05'!$AO$4:$AR$55,4,FALSE))</f>
        <v>39.110982162825422</v>
      </c>
      <c r="W24" s="4">
        <f>(VLOOKUP('18.05'!AE24,'18.05'!$AO$4:$AR$55,4,FALSE))</f>
        <v>39.110982162825422</v>
      </c>
      <c r="X24" s="4">
        <f>(VLOOKUP('18.05'!AF24,'18.05'!$AO$4:$AR$55,4,FALSE))</f>
        <v>10</v>
      </c>
    </row>
    <row r="25" spans="1:24">
      <c r="A25" s="4">
        <f>(VLOOKUP('18.05'!I25,'18.05'!$AO$4:$AR$55,4,FALSE))</f>
        <v>0</v>
      </c>
      <c r="B25" s="4">
        <f>(VLOOKUP('18.05'!J25,'18.05'!$AO$4:$AR$55,4,FALSE))</f>
        <v>0</v>
      </c>
      <c r="C25" s="4">
        <f>(VLOOKUP('18.05'!K25,'18.05'!$AO$4:$AR$55,4,FALSE))</f>
        <v>0</v>
      </c>
      <c r="D25" s="4">
        <f>(VLOOKUP('18.05'!L25,'18.05'!$AO$4:$AR$55,4,FALSE))</f>
        <v>0</v>
      </c>
      <c r="E25" s="4">
        <f>(VLOOKUP('18.05'!M25,'18.05'!$AO$4:$AR$55,4,FALSE))</f>
        <v>0</v>
      </c>
      <c r="F25" s="4">
        <f>(VLOOKUP('18.05'!N25,'18.05'!$AO$4:$AR$55,4,FALSE))</f>
        <v>0</v>
      </c>
      <c r="G25" s="4">
        <f>(VLOOKUP('18.05'!O25,'18.05'!$AO$4:$AR$55,4,FALSE))</f>
        <v>0</v>
      </c>
      <c r="H25" s="4">
        <f>(VLOOKUP('18.05'!P25,'18.05'!$AO$4:$AR$55,4,FALSE))</f>
        <v>0</v>
      </c>
      <c r="I25" s="4">
        <f>(VLOOKUP('18.05'!Q25,'18.05'!$AO$4:$AR$55,4,FALSE))</f>
        <v>36</v>
      </c>
      <c r="J25" s="4">
        <f>(VLOOKUP('18.05'!R25,'18.05'!$AO$4:$AR$55,4,FALSE))</f>
        <v>36</v>
      </c>
      <c r="K25" s="4">
        <f>(VLOOKUP('18.05'!S25,'18.05'!$AO$4:$AR$55,4,FALSE))</f>
        <v>36</v>
      </c>
      <c r="L25" s="4">
        <f>(VLOOKUP('18.05'!T25,'18.05'!$AO$4:$AR$55,4,FALSE))</f>
        <v>36</v>
      </c>
      <c r="M25" s="4">
        <f>(VLOOKUP('18.05'!U25,'18.05'!$AO$4:$AR$55,4,FALSE))</f>
        <v>36</v>
      </c>
      <c r="N25" s="4">
        <f>(VLOOKUP('18.05'!V25,'18.05'!$AO$4:$AR$55,4,FALSE))</f>
        <v>36</v>
      </c>
      <c r="O25" s="4">
        <f>(VLOOKUP('18.05'!W25,'18.05'!$AO$4:$AR$55,4,FALSE))</f>
        <v>0</v>
      </c>
      <c r="P25" s="4">
        <f>(VLOOKUP('18.05'!X25,'18.05'!$AO$4:$AR$55,4,FALSE))</f>
        <v>0</v>
      </c>
      <c r="Q25" s="4">
        <f>(VLOOKUP('18.05'!Y25,'18.05'!$AO$4:$AR$55,4,FALSE))</f>
        <v>0</v>
      </c>
      <c r="R25" s="4">
        <f>(VLOOKUP('18.05'!Z25,'18.05'!$AO$4:$AR$55,4,FALSE))</f>
        <v>0</v>
      </c>
      <c r="S25" s="4">
        <f>(VLOOKUP('18.05'!AA25,'18.05'!$AO$4:$AR$55,4,FALSE))</f>
        <v>0</v>
      </c>
      <c r="T25" s="4">
        <f>(VLOOKUP('18.05'!AB25,'18.05'!$AO$4:$AR$55,4,FALSE))</f>
        <v>0</v>
      </c>
      <c r="U25" s="4">
        <f>(VLOOKUP('18.05'!AC25,'18.05'!$AO$4:$AR$55,4,FALSE))</f>
        <v>0</v>
      </c>
      <c r="V25" s="4">
        <f>(VLOOKUP('18.05'!AD25,'18.05'!$AO$4:$AR$55,4,FALSE))</f>
        <v>0</v>
      </c>
      <c r="W25" s="4">
        <f>(VLOOKUP('18.05'!AE25,'18.05'!$AO$4:$AR$55,4,FALSE))</f>
        <v>0</v>
      </c>
      <c r="X25" s="4">
        <f>(VLOOKUP('18.05'!AF25,'18.05'!$AO$4:$AR$55,4,FALSE))</f>
        <v>0</v>
      </c>
    </row>
    <row r="26" spans="1:24">
      <c r="A26" s="4">
        <f>(VLOOKUP('18.05'!I26,'18.05'!$AO$4:$AR$55,4,FALSE))</f>
        <v>0</v>
      </c>
      <c r="B26" s="4">
        <f>(VLOOKUP('18.05'!J26,'18.05'!$AO$4:$AR$55,4,FALSE))</f>
        <v>0</v>
      </c>
      <c r="C26" s="4">
        <f>(VLOOKUP('18.05'!K26,'18.05'!$AO$4:$AR$55,4,FALSE))</f>
        <v>0</v>
      </c>
      <c r="D26" s="4">
        <f>(VLOOKUP('18.05'!L26,'18.05'!$AO$4:$AR$55,4,FALSE))</f>
        <v>0</v>
      </c>
      <c r="E26" s="4">
        <f>(VLOOKUP('18.05'!M26,'18.05'!$AO$4:$AR$55,4,FALSE))</f>
        <v>0</v>
      </c>
      <c r="F26" s="4">
        <f>(VLOOKUP('18.05'!N26,'18.05'!$AO$4:$AR$55,4,FALSE))</f>
        <v>0</v>
      </c>
      <c r="G26" s="4">
        <f>(VLOOKUP('18.05'!O26,'18.05'!$AO$4:$AR$55,4,FALSE))</f>
        <v>0</v>
      </c>
      <c r="H26" s="4">
        <f>(VLOOKUP('18.05'!P26,'18.05'!$AO$4:$AR$55,4,FALSE))</f>
        <v>0</v>
      </c>
      <c r="I26" s="4">
        <f>(VLOOKUP('18.05'!Q26,'18.05'!$AO$4:$AR$55,4,FALSE))</f>
        <v>36</v>
      </c>
      <c r="J26" s="4">
        <f>(VLOOKUP('18.05'!R26,'18.05'!$AO$4:$AR$55,4,FALSE))</f>
        <v>36</v>
      </c>
      <c r="K26" s="4">
        <f>(VLOOKUP('18.05'!S26,'18.05'!$AO$4:$AR$55,4,FALSE))</f>
        <v>36</v>
      </c>
      <c r="L26" s="4">
        <f>(VLOOKUP('18.05'!T26,'18.05'!$AO$4:$AR$55,4,FALSE))</f>
        <v>36</v>
      </c>
      <c r="M26" s="4">
        <f>(VLOOKUP('18.05'!U26,'18.05'!$AO$4:$AR$55,4,FALSE))</f>
        <v>36</v>
      </c>
      <c r="N26" s="4">
        <f>(VLOOKUP('18.05'!V26,'18.05'!$AO$4:$AR$55,4,FALSE))</f>
        <v>36</v>
      </c>
      <c r="O26" s="4">
        <f>(VLOOKUP('18.05'!W26,'18.05'!$AO$4:$AR$55,4,FALSE))</f>
        <v>0</v>
      </c>
      <c r="P26" s="4">
        <f>(VLOOKUP('18.05'!X26,'18.05'!$AO$4:$AR$55,4,FALSE))</f>
        <v>0</v>
      </c>
      <c r="Q26" s="4">
        <f>(VLOOKUP('18.05'!Y26,'18.05'!$AO$4:$AR$55,4,FALSE))</f>
        <v>0</v>
      </c>
      <c r="R26" s="4">
        <f>(VLOOKUP('18.05'!Z26,'18.05'!$AO$4:$AR$55,4,FALSE))</f>
        <v>0</v>
      </c>
      <c r="S26" s="4">
        <f>(VLOOKUP('18.05'!AA26,'18.05'!$AO$4:$AR$55,4,FALSE))</f>
        <v>0</v>
      </c>
      <c r="T26" s="4">
        <f>(VLOOKUP('18.05'!AB26,'18.05'!$AO$4:$AR$55,4,FALSE))</f>
        <v>0</v>
      </c>
      <c r="U26" s="4">
        <f>(VLOOKUP('18.05'!AC26,'18.05'!$AO$4:$AR$55,4,FALSE))</f>
        <v>0</v>
      </c>
      <c r="V26" s="4">
        <f>(VLOOKUP('18.05'!AD26,'18.05'!$AO$4:$AR$55,4,FALSE))</f>
        <v>0</v>
      </c>
      <c r="W26" s="4">
        <f>(VLOOKUP('18.05'!AE26,'18.05'!$AO$4:$AR$55,4,FALSE))</f>
        <v>0</v>
      </c>
      <c r="X26" s="4">
        <f>(VLOOKUP('18.05'!AF26,'18.05'!$AO$4:$AR$55,4,FALSE))</f>
        <v>0</v>
      </c>
    </row>
    <row r="27" spans="1:24">
      <c r="A27" s="4">
        <f>(VLOOKUP('18.05'!I27,'18.05'!$AO$4:$AR$55,4,FALSE))</f>
        <v>0</v>
      </c>
      <c r="B27" s="4">
        <f>(VLOOKUP('18.05'!J27,'18.05'!$AO$4:$AR$55,4,FALSE))</f>
        <v>0</v>
      </c>
      <c r="C27" s="4">
        <f>(VLOOKUP('18.05'!K27,'18.05'!$AO$4:$AR$55,4,FALSE))</f>
        <v>0</v>
      </c>
      <c r="D27" s="4">
        <f>(VLOOKUP('18.05'!L27,'18.05'!$AO$4:$AR$55,4,FALSE))</f>
        <v>0</v>
      </c>
      <c r="E27" s="4">
        <f>(VLOOKUP('18.05'!M27,'18.05'!$AO$4:$AR$55,4,FALSE))</f>
        <v>0</v>
      </c>
      <c r="F27" s="4">
        <f>(VLOOKUP('18.05'!N27,'18.05'!$AO$4:$AR$55,4,FALSE))</f>
        <v>0</v>
      </c>
      <c r="G27" s="4">
        <f>(VLOOKUP('18.05'!O27,'18.05'!$AO$4:$AR$55,4,FALSE))</f>
        <v>0</v>
      </c>
      <c r="H27" s="4">
        <f>(VLOOKUP('18.05'!P27,'18.05'!$AO$4:$AR$55,4,FALSE))</f>
        <v>0</v>
      </c>
      <c r="I27" s="4">
        <f>(VLOOKUP('18.05'!Q27,'18.05'!$AO$4:$AR$55,4,FALSE))</f>
        <v>36</v>
      </c>
      <c r="J27" s="4">
        <f>(VLOOKUP('18.05'!R27,'18.05'!$AO$4:$AR$55,4,FALSE))</f>
        <v>36</v>
      </c>
      <c r="K27" s="4">
        <f>(VLOOKUP('18.05'!S27,'18.05'!$AO$4:$AR$55,4,FALSE))</f>
        <v>36</v>
      </c>
      <c r="L27" s="4">
        <f>(VLOOKUP('18.05'!T27,'18.05'!$AO$4:$AR$55,4,FALSE))</f>
        <v>36</v>
      </c>
      <c r="M27" s="4">
        <f>(VLOOKUP('18.05'!U27,'18.05'!$AO$4:$AR$55,4,FALSE))</f>
        <v>36</v>
      </c>
      <c r="N27" s="4">
        <f>(VLOOKUP('18.05'!V27,'18.05'!$AO$4:$AR$55,4,FALSE))</f>
        <v>36</v>
      </c>
      <c r="O27" s="4">
        <f>(VLOOKUP('18.05'!W27,'18.05'!$AO$4:$AR$55,4,FALSE))</f>
        <v>0</v>
      </c>
      <c r="P27" s="4">
        <f>(VLOOKUP('18.05'!X27,'18.05'!$AO$4:$AR$55,4,FALSE))</f>
        <v>0</v>
      </c>
      <c r="Q27" s="4">
        <f>(VLOOKUP('18.05'!Y27,'18.05'!$AO$4:$AR$55,4,FALSE))</f>
        <v>0</v>
      </c>
      <c r="R27" s="4">
        <f>(VLOOKUP('18.05'!Z27,'18.05'!$AO$4:$AR$55,4,FALSE))</f>
        <v>0</v>
      </c>
      <c r="S27" s="4">
        <f>(VLOOKUP('18.05'!AA27,'18.05'!$AO$4:$AR$55,4,FALSE))</f>
        <v>0</v>
      </c>
      <c r="T27" s="4">
        <f>(VLOOKUP('18.05'!AB27,'18.05'!$AO$4:$AR$55,4,FALSE))</f>
        <v>0</v>
      </c>
      <c r="U27" s="4">
        <f>(VLOOKUP('18.05'!AC27,'18.05'!$AO$4:$AR$55,4,FALSE))</f>
        <v>0</v>
      </c>
      <c r="V27" s="4">
        <f>(VLOOKUP('18.05'!AD27,'18.05'!$AO$4:$AR$55,4,FALSE))</f>
        <v>0</v>
      </c>
      <c r="W27" s="4">
        <f>(VLOOKUP('18.05'!AE27,'18.05'!$AO$4:$AR$55,4,FALSE))</f>
        <v>0</v>
      </c>
      <c r="X27" s="4">
        <f>(VLOOKUP('18.05'!AF27,'18.05'!$AO$4:$AR$55,4,FALSE))</f>
        <v>0</v>
      </c>
    </row>
    <row r="28" spans="1:24">
      <c r="A28" s="4">
        <f>(VLOOKUP('18.05'!I28,'18.05'!$AO$4:$AR$55,4,FALSE))</f>
        <v>0</v>
      </c>
      <c r="B28" s="4">
        <f>(VLOOKUP('18.05'!J28,'18.05'!$AO$4:$AR$55,4,FALSE))</f>
        <v>0</v>
      </c>
      <c r="C28" s="4">
        <f>(VLOOKUP('18.05'!K28,'18.05'!$AO$4:$AR$55,4,FALSE))</f>
        <v>0</v>
      </c>
      <c r="D28" s="4">
        <f>(VLOOKUP('18.05'!L28,'18.05'!$AO$4:$AR$55,4,FALSE))</f>
        <v>10</v>
      </c>
      <c r="E28" s="4">
        <f>(VLOOKUP('18.05'!M28,'18.05'!$AO$4:$AR$55,4,FALSE))</f>
        <v>0</v>
      </c>
      <c r="F28" s="4">
        <f>(VLOOKUP('18.05'!N28,'18.05'!$AO$4:$AR$55,4,FALSE))</f>
        <v>0</v>
      </c>
      <c r="G28" s="4">
        <f>(VLOOKUP('18.05'!O28,'18.05'!$AO$4:$AR$55,4,FALSE))</f>
        <v>0</v>
      </c>
      <c r="H28" s="4">
        <f>(VLOOKUP('18.05'!P28,'18.05'!$AO$4:$AR$55,4,FALSE))</f>
        <v>0</v>
      </c>
      <c r="I28" s="4">
        <f>(VLOOKUP('18.05'!Q28,'18.05'!$AO$4:$AR$55,4,FALSE))</f>
        <v>36</v>
      </c>
      <c r="J28" s="4">
        <f>(VLOOKUP('18.05'!R28,'18.05'!$AO$4:$AR$55,4,FALSE))</f>
        <v>10</v>
      </c>
      <c r="K28" s="4">
        <f>(VLOOKUP('18.05'!S28,'18.05'!$AO$4:$AR$55,4,FALSE))</f>
        <v>36</v>
      </c>
      <c r="L28" s="4">
        <f>(VLOOKUP('18.05'!T28,'18.05'!$AO$4:$AR$55,4,FALSE))</f>
        <v>36</v>
      </c>
      <c r="M28" s="4">
        <f>(VLOOKUP('18.05'!U28,'18.05'!$AO$4:$AR$55,4,FALSE))</f>
        <v>36</v>
      </c>
      <c r="N28" s="4">
        <f>(VLOOKUP('18.05'!V28,'18.05'!$AO$4:$AR$55,4,FALSE))</f>
        <v>36</v>
      </c>
      <c r="O28" s="4">
        <f>(VLOOKUP('18.05'!W28,'18.05'!$AO$4:$AR$55,4,FALSE))</f>
        <v>0</v>
      </c>
      <c r="P28" s="4">
        <f>(VLOOKUP('18.05'!X28,'18.05'!$AO$4:$AR$55,4,FALSE))</f>
        <v>0</v>
      </c>
      <c r="Q28" s="4">
        <f>(VLOOKUP('18.05'!Y28,'18.05'!$AO$4:$AR$55,4,FALSE))</f>
        <v>0</v>
      </c>
      <c r="R28" s="4">
        <f>(VLOOKUP('18.05'!Z28,'18.05'!$AO$4:$AR$55,4,FALSE))</f>
        <v>0</v>
      </c>
      <c r="S28" s="4">
        <f>(VLOOKUP('18.05'!AA28,'18.05'!$AO$4:$AR$55,4,FALSE))</f>
        <v>0</v>
      </c>
      <c r="T28" s="4">
        <f>(VLOOKUP('18.05'!AB28,'18.05'!$AO$4:$AR$55,4,FALSE))</f>
        <v>0</v>
      </c>
      <c r="U28" s="4">
        <f>(VLOOKUP('18.05'!AC28,'18.05'!$AO$4:$AR$55,4,FALSE))</f>
        <v>0</v>
      </c>
      <c r="V28" s="4">
        <f>(VLOOKUP('18.05'!AD28,'18.05'!$AO$4:$AR$55,4,FALSE))</f>
        <v>0</v>
      </c>
      <c r="W28" s="4">
        <f>(VLOOKUP('18.05'!AE28,'18.05'!$AO$4:$AR$55,4,FALSE))</f>
        <v>0</v>
      </c>
      <c r="X28" s="4">
        <f>(VLOOKUP('18.05'!AF28,'18.05'!$AO$4:$AR$55,4,FALSE))</f>
        <v>0</v>
      </c>
    </row>
    <row r="29" spans="1:24">
      <c r="A29" s="4">
        <f>(VLOOKUP('18.05'!I29,'18.05'!$AO$4:$AR$55,4,FALSE))</f>
        <v>0</v>
      </c>
      <c r="B29" s="4">
        <f>(VLOOKUP('18.05'!J29,'18.05'!$AO$4:$AR$55,4,FALSE))</f>
        <v>0</v>
      </c>
      <c r="C29" s="4">
        <f>(VLOOKUP('18.05'!K29,'18.05'!$AO$4:$AR$55,4,FALSE))</f>
        <v>0</v>
      </c>
      <c r="D29" s="4">
        <f>(VLOOKUP('18.05'!L29,'18.05'!$AO$4:$AR$55,4,FALSE))</f>
        <v>0</v>
      </c>
      <c r="E29" s="4">
        <f>(VLOOKUP('18.05'!M29,'18.05'!$AO$4:$AR$55,4,FALSE))</f>
        <v>0</v>
      </c>
      <c r="F29" s="4">
        <f>(VLOOKUP('18.05'!N29,'18.05'!$AO$4:$AR$55,4,FALSE))</f>
        <v>0</v>
      </c>
      <c r="G29" s="4">
        <f>(VLOOKUP('18.05'!O29,'18.05'!$AO$4:$AR$55,4,FALSE))</f>
        <v>0</v>
      </c>
      <c r="H29" s="4">
        <f>(VLOOKUP('18.05'!P29,'18.05'!$AO$4:$AR$55,4,FALSE))</f>
        <v>0</v>
      </c>
      <c r="I29" s="4">
        <f>(VLOOKUP('18.05'!Q29,'18.05'!$AO$4:$AR$55,4,FALSE))</f>
        <v>36</v>
      </c>
      <c r="J29" s="4">
        <f>(VLOOKUP('18.05'!R29,'18.05'!$AO$4:$AR$55,4,FALSE))</f>
        <v>36</v>
      </c>
      <c r="K29" s="4">
        <f>(VLOOKUP('18.05'!S29,'18.05'!$AO$4:$AR$55,4,FALSE))</f>
        <v>36</v>
      </c>
      <c r="L29" s="4">
        <f>(VLOOKUP('18.05'!T29,'18.05'!$AO$4:$AR$55,4,FALSE))</f>
        <v>38</v>
      </c>
      <c r="M29" s="4">
        <f>(VLOOKUP('18.05'!U29,'18.05'!$AO$4:$AR$55,4,FALSE))</f>
        <v>38</v>
      </c>
      <c r="N29" s="4">
        <f>(VLOOKUP('18.05'!V29,'18.05'!$AO$4:$AR$55,4,FALSE))</f>
        <v>38</v>
      </c>
      <c r="O29" s="4">
        <f>(VLOOKUP('18.05'!W29,'18.05'!$AO$4:$AR$55,4,FALSE))</f>
        <v>0</v>
      </c>
      <c r="P29" s="4">
        <f>(VLOOKUP('18.05'!X29,'18.05'!$AO$4:$AR$55,4,FALSE))</f>
        <v>0</v>
      </c>
      <c r="Q29" s="4">
        <f>(VLOOKUP('18.05'!Y29,'18.05'!$AO$4:$AR$55,4,FALSE))</f>
        <v>0</v>
      </c>
      <c r="R29" s="4">
        <f>(VLOOKUP('18.05'!Z29,'18.05'!$AO$4:$AR$55,4,FALSE))</f>
        <v>0</v>
      </c>
      <c r="S29" s="4">
        <f>(VLOOKUP('18.05'!AA29,'18.05'!$AO$4:$AR$55,4,FALSE))</f>
        <v>0</v>
      </c>
      <c r="T29" s="4">
        <f>(VLOOKUP('18.05'!AB29,'18.05'!$AO$4:$AR$55,4,FALSE))</f>
        <v>0</v>
      </c>
      <c r="U29" s="4">
        <f>(VLOOKUP('18.05'!AC29,'18.05'!$AO$4:$AR$55,4,FALSE))</f>
        <v>0</v>
      </c>
      <c r="V29" s="4">
        <f>(VLOOKUP('18.05'!AD29,'18.05'!$AO$4:$AR$55,4,FALSE))</f>
        <v>0</v>
      </c>
      <c r="W29" s="4">
        <f>(VLOOKUP('18.05'!AE29,'18.05'!$AO$4:$AR$55,4,FALSE))</f>
        <v>0</v>
      </c>
      <c r="X29" s="4">
        <f>(VLOOKUP('18.05'!AF29,'18.05'!$AO$4:$AR$55,4,FALSE))</f>
        <v>0</v>
      </c>
    </row>
    <row r="30" spans="1:24">
      <c r="A30" s="4">
        <f>(VLOOKUP('18.05'!I30,'18.05'!$AO$4:$AR$55,4,FALSE))</f>
        <v>0</v>
      </c>
      <c r="B30" s="4">
        <f>(VLOOKUP('18.05'!J30,'18.05'!$AO$4:$AR$55,4,FALSE))</f>
        <v>0</v>
      </c>
      <c r="C30" s="4">
        <f>(VLOOKUP('18.05'!K30,'18.05'!$AO$4:$AR$55,4,FALSE))</f>
        <v>0</v>
      </c>
      <c r="D30" s="4">
        <f>(VLOOKUP('18.05'!L30,'18.05'!$AO$4:$AR$55,4,FALSE))</f>
        <v>0</v>
      </c>
      <c r="E30" s="4">
        <f>(VLOOKUP('18.05'!M30,'18.05'!$AO$4:$AR$55,4,FALSE))</f>
        <v>0</v>
      </c>
      <c r="F30" s="4">
        <f>(VLOOKUP('18.05'!N30,'18.05'!$AO$4:$AR$55,4,FALSE))</f>
        <v>0</v>
      </c>
      <c r="G30" s="4">
        <f>(VLOOKUP('18.05'!O30,'18.05'!$AO$4:$AR$55,4,FALSE))</f>
        <v>0</v>
      </c>
      <c r="H30" s="4">
        <f>(VLOOKUP('18.05'!P30,'18.05'!$AO$4:$AR$55,4,FALSE))</f>
        <v>0</v>
      </c>
      <c r="I30" s="4">
        <f>(VLOOKUP('18.05'!Q30,'18.05'!$AO$4:$AR$55,4,FALSE))</f>
        <v>38</v>
      </c>
      <c r="J30" s="4">
        <f>(VLOOKUP('18.05'!R30,'18.05'!$AO$4:$AR$55,4,FALSE))</f>
        <v>38</v>
      </c>
      <c r="K30" s="4">
        <f>(VLOOKUP('18.05'!S30,'18.05'!$AO$4:$AR$55,4,FALSE))</f>
        <v>38</v>
      </c>
      <c r="L30" s="4">
        <f>(VLOOKUP('18.05'!T30,'18.05'!$AO$4:$AR$55,4,FALSE))</f>
        <v>38</v>
      </c>
      <c r="M30" s="4">
        <f>(VLOOKUP('18.05'!U30,'18.05'!$AO$4:$AR$55,4,FALSE))</f>
        <v>38</v>
      </c>
      <c r="N30" s="4">
        <f>(VLOOKUP('18.05'!V30,'18.05'!$AO$4:$AR$55,4,FALSE))</f>
        <v>38</v>
      </c>
      <c r="O30" s="4">
        <f>(VLOOKUP('18.05'!W30,'18.05'!$AO$4:$AR$55,4,FALSE))</f>
        <v>0</v>
      </c>
      <c r="P30" s="4">
        <f>(VLOOKUP('18.05'!X30,'18.05'!$AO$4:$AR$55,4,FALSE))</f>
        <v>0</v>
      </c>
      <c r="Q30" s="4">
        <f>(VLOOKUP('18.05'!Y30,'18.05'!$AO$4:$AR$55,4,FALSE))</f>
        <v>0</v>
      </c>
      <c r="R30" s="4">
        <f>(VLOOKUP('18.05'!Z30,'18.05'!$AO$4:$AR$55,4,FALSE))</f>
        <v>0</v>
      </c>
      <c r="S30" s="4">
        <f>(VLOOKUP('18.05'!AA30,'18.05'!$AO$4:$AR$55,4,FALSE))</f>
        <v>0</v>
      </c>
      <c r="T30" s="4">
        <f>(VLOOKUP('18.05'!AB30,'18.05'!$AO$4:$AR$55,4,FALSE))</f>
        <v>0</v>
      </c>
      <c r="U30" s="4">
        <f>(VLOOKUP('18.05'!AC30,'18.05'!$AO$4:$AR$55,4,FALSE))</f>
        <v>0</v>
      </c>
      <c r="V30" s="4">
        <f>(VLOOKUP('18.05'!AD30,'18.05'!$AO$4:$AR$55,4,FALSE))</f>
        <v>0</v>
      </c>
      <c r="W30" s="4">
        <f>(VLOOKUP('18.05'!AE30,'18.05'!$AO$4:$AR$55,4,FALSE))</f>
        <v>0</v>
      </c>
      <c r="X30" s="4">
        <f>(VLOOKUP('18.05'!AF30,'18.05'!$AO$4:$AR$55,4,FALSE))</f>
        <v>0</v>
      </c>
    </row>
    <row r="31" spans="1:24">
      <c r="A31" s="4">
        <f>(VLOOKUP('18.05'!I31,'18.05'!$AO$4:$AR$55,4,FALSE))</f>
        <v>0</v>
      </c>
      <c r="B31" s="4">
        <f>(VLOOKUP('18.05'!J31,'18.05'!$AO$4:$AR$55,4,FALSE))</f>
        <v>0</v>
      </c>
      <c r="C31" s="4">
        <f>(VLOOKUP('18.05'!K31,'18.05'!$AO$4:$AR$55,4,FALSE))</f>
        <v>0</v>
      </c>
      <c r="D31" s="4">
        <f>(VLOOKUP('18.05'!L31,'18.05'!$AO$4:$AR$55,4,FALSE))</f>
        <v>0</v>
      </c>
      <c r="E31" s="4">
        <f>(VLOOKUP('18.05'!M31,'18.05'!$AO$4:$AR$55,4,FALSE))</f>
        <v>0</v>
      </c>
      <c r="F31" s="4">
        <f>(VLOOKUP('18.05'!N31,'18.05'!$AO$4:$AR$55,4,FALSE))</f>
        <v>0</v>
      </c>
      <c r="G31" s="4">
        <f>(VLOOKUP('18.05'!O31,'18.05'!$AO$4:$AR$55,4,FALSE))</f>
        <v>0</v>
      </c>
      <c r="H31" s="4">
        <f>(VLOOKUP('18.05'!P31,'18.05'!$AO$4:$AR$55,4,FALSE))</f>
        <v>0</v>
      </c>
      <c r="I31" s="4">
        <f>(VLOOKUP('18.05'!Q31,'18.05'!$AO$4:$AR$55,4,FALSE))</f>
        <v>38</v>
      </c>
      <c r="J31" s="4">
        <f>(VLOOKUP('18.05'!R31,'18.05'!$AO$4:$AR$55,4,FALSE))</f>
        <v>38</v>
      </c>
      <c r="K31" s="4">
        <f>(VLOOKUP('18.05'!S31,'18.05'!$AO$4:$AR$55,4,FALSE))</f>
        <v>38</v>
      </c>
      <c r="L31" s="4">
        <f>(VLOOKUP('18.05'!T31,'18.05'!$AO$4:$AR$55,4,FALSE))</f>
        <v>38</v>
      </c>
      <c r="M31" s="4">
        <f>(VLOOKUP('18.05'!U31,'18.05'!$AO$4:$AR$55,4,FALSE))</f>
        <v>38</v>
      </c>
      <c r="N31" s="4">
        <f>(VLOOKUP('18.05'!V31,'18.05'!$AO$4:$AR$55,4,FALSE))</f>
        <v>38</v>
      </c>
      <c r="O31" s="4">
        <f>(VLOOKUP('18.05'!W31,'18.05'!$AO$4:$AR$55,4,FALSE))</f>
        <v>0</v>
      </c>
      <c r="P31" s="4">
        <f>(VLOOKUP('18.05'!X31,'18.05'!$AO$4:$AR$55,4,FALSE))</f>
        <v>0</v>
      </c>
      <c r="Q31" s="4">
        <f>(VLOOKUP('18.05'!Y31,'18.05'!$AO$4:$AR$55,4,FALSE))</f>
        <v>0</v>
      </c>
      <c r="R31" s="4">
        <f>(VLOOKUP('18.05'!Z31,'18.05'!$AO$4:$AR$55,4,FALSE))</f>
        <v>0</v>
      </c>
      <c r="S31" s="4">
        <f>(VLOOKUP('18.05'!AA31,'18.05'!$AO$4:$AR$55,4,FALSE))</f>
        <v>0</v>
      </c>
      <c r="T31" s="4">
        <f>(VLOOKUP('18.05'!AB31,'18.05'!$AO$4:$AR$55,4,FALSE))</f>
        <v>0</v>
      </c>
      <c r="U31" s="4">
        <f>(VLOOKUP('18.05'!AC31,'18.05'!$AO$4:$AR$55,4,FALSE))</f>
        <v>0</v>
      </c>
      <c r="V31" s="4">
        <f>(VLOOKUP('18.05'!AD31,'18.05'!$AO$4:$AR$55,4,FALSE))</f>
        <v>0</v>
      </c>
      <c r="W31" s="4">
        <f>(VLOOKUP('18.05'!AE31,'18.05'!$AO$4:$AR$55,4,FALSE))</f>
        <v>0</v>
      </c>
      <c r="X31" s="4">
        <f>(VLOOKUP('18.05'!AF31,'18.05'!$AO$4:$AR$55,4,FALSE))</f>
        <v>0</v>
      </c>
    </row>
    <row r="32" spans="1:24">
      <c r="A32" s="4">
        <f>(VLOOKUP('18.05'!I32,'18.05'!$AO$4:$AR$55,4,FALSE))</f>
        <v>0</v>
      </c>
      <c r="B32" s="4">
        <f>(VLOOKUP('18.05'!J32,'18.05'!$AO$4:$AR$55,4,FALSE))</f>
        <v>0</v>
      </c>
      <c r="C32" s="4">
        <f>(VLOOKUP('18.05'!K32,'18.05'!$AO$4:$AR$55,4,FALSE))</f>
        <v>0</v>
      </c>
      <c r="D32" s="4">
        <f>(VLOOKUP('18.05'!L32,'18.05'!$AO$4:$AR$55,4,FALSE))</f>
        <v>0</v>
      </c>
      <c r="E32" s="4">
        <f>(VLOOKUP('18.05'!M32,'18.05'!$AO$4:$AR$55,4,FALSE))</f>
        <v>0</v>
      </c>
      <c r="F32" s="4">
        <f>(VLOOKUP('18.05'!N32,'18.05'!$AO$4:$AR$55,4,FALSE))</f>
        <v>0</v>
      </c>
      <c r="G32" s="4">
        <f>(VLOOKUP('18.05'!O32,'18.05'!$AO$4:$AR$55,4,FALSE))</f>
        <v>0</v>
      </c>
      <c r="H32" s="4">
        <f>(VLOOKUP('18.05'!P32,'18.05'!$AO$4:$AR$55,4,FALSE))</f>
        <v>0</v>
      </c>
      <c r="I32" s="4">
        <f>(VLOOKUP('18.05'!Q32,'18.05'!$AO$4:$AR$55,4,FALSE))</f>
        <v>38</v>
      </c>
      <c r="J32" s="4">
        <f>(VLOOKUP('18.05'!R32,'18.05'!$AO$4:$AR$55,4,FALSE))</f>
        <v>38</v>
      </c>
      <c r="K32" s="4">
        <f>(VLOOKUP('18.05'!S32,'18.05'!$AO$4:$AR$55,4,FALSE))</f>
        <v>38</v>
      </c>
      <c r="L32" s="4">
        <f>(VLOOKUP('18.05'!T32,'18.05'!$AO$4:$AR$55,4,FALSE))</f>
        <v>38</v>
      </c>
      <c r="M32" s="4">
        <f>(VLOOKUP('18.05'!U32,'18.05'!$AO$4:$AR$55,4,FALSE))</f>
        <v>38</v>
      </c>
      <c r="N32" s="4">
        <f>(VLOOKUP('18.05'!V32,'18.05'!$AO$4:$AR$55,4,FALSE))</f>
        <v>38</v>
      </c>
      <c r="O32" s="4">
        <f>(VLOOKUP('18.05'!W32,'18.05'!$AO$4:$AR$55,4,FALSE))</f>
        <v>0</v>
      </c>
      <c r="P32" s="4">
        <f>(VLOOKUP('18.05'!X32,'18.05'!$AO$4:$AR$55,4,FALSE))</f>
        <v>0</v>
      </c>
      <c r="Q32" s="4">
        <f>(VLOOKUP('18.05'!Y32,'18.05'!$AO$4:$AR$55,4,FALSE))</f>
        <v>0</v>
      </c>
      <c r="R32" s="4">
        <f>(VLOOKUP('18.05'!Z32,'18.05'!$AO$4:$AR$55,4,FALSE))</f>
        <v>0</v>
      </c>
      <c r="S32" s="4">
        <f>(VLOOKUP('18.05'!AA32,'18.05'!$AO$4:$AR$55,4,FALSE))</f>
        <v>0</v>
      </c>
      <c r="T32" s="4">
        <f>(VLOOKUP('18.05'!AB32,'18.05'!$AO$4:$AR$55,4,FALSE))</f>
        <v>0</v>
      </c>
      <c r="U32" s="4">
        <f>(VLOOKUP('18.05'!AC32,'18.05'!$AO$4:$AR$55,4,FALSE))</f>
        <v>0</v>
      </c>
      <c r="V32" s="4">
        <f>(VLOOKUP('18.05'!AD32,'18.05'!$AO$4:$AR$55,4,FALSE))</f>
        <v>0</v>
      </c>
      <c r="W32" s="4">
        <f>(VLOOKUP('18.05'!AE32,'18.05'!$AO$4:$AR$55,4,FALSE))</f>
        <v>0</v>
      </c>
      <c r="X32" s="4">
        <f>(VLOOKUP('18.05'!AF32,'18.05'!$AO$4:$AR$55,4,FALSE))</f>
        <v>0</v>
      </c>
    </row>
    <row r="33" spans="1:24">
      <c r="A33" s="4">
        <f>(VLOOKUP('18.05'!I33,'18.05'!$AO$4:$AR$55,4,FALSE))</f>
        <v>0</v>
      </c>
      <c r="B33" s="4">
        <f>(VLOOKUP('18.05'!J33,'18.05'!$AO$4:$AR$55,4,FALSE))</f>
        <v>0</v>
      </c>
      <c r="C33" s="4">
        <f>(VLOOKUP('18.05'!K33,'18.05'!$AO$4:$AR$55,4,FALSE))</f>
        <v>0</v>
      </c>
      <c r="D33" s="4">
        <f>(VLOOKUP('18.05'!L33,'18.05'!$AO$4:$AR$55,4,FALSE))</f>
        <v>0</v>
      </c>
      <c r="E33" s="4">
        <f>(VLOOKUP('18.05'!M33,'18.05'!$AO$4:$AR$55,4,FALSE))</f>
        <v>0</v>
      </c>
      <c r="F33" s="4">
        <f>(VLOOKUP('18.05'!N33,'18.05'!$AO$4:$AR$55,4,FALSE))</f>
        <v>0</v>
      </c>
      <c r="G33" s="4">
        <f>(VLOOKUP('18.05'!O33,'18.05'!$AO$4:$AR$55,4,FALSE))</f>
        <v>0</v>
      </c>
      <c r="H33" s="4">
        <f>(VLOOKUP('18.05'!P33,'18.05'!$AO$4:$AR$55,4,FALSE))</f>
        <v>0</v>
      </c>
      <c r="I33" s="4">
        <f>(VLOOKUP('18.05'!Q33,'18.05'!$AO$4:$AR$55,4,FALSE))</f>
        <v>38</v>
      </c>
      <c r="J33" s="4">
        <f>(VLOOKUP('18.05'!R33,'18.05'!$AO$4:$AR$55,4,FALSE))</f>
        <v>36</v>
      </c>
      <c r="K33" s="4">
        <f>(VLOOKUP('18.05'!S33,'18.05'!$AO$4:$AR$55,4,FALSE))</f>
        <v>36</v>
      </c>
      <c r="L33" s="4">
        <f>(VLOOKUP('18.05'!T33,'18.05'!$AO$4:$AR$55,4,FALSE))</f>
        <v>36</v>
      </c>
      <c r="M33" s="4">
        <f>(VLOOKUP('18.05'!U33,'18.05'!$AO$4:$AR$55,4,FALSE))</f>
        <v>36</v>
      </c>
      <c r="N33" s="4">
        <f>(VLOOKUP('18.05'!V33,'18.05'!$AO$4:$AR$55,4,FALSE))</f>
        <v>36</v>
      </c>
      <c r="O33" s="4">
        <f>(VLOOKUP('18.05'!W33,'18.05'!$AO$4:$AR$55,4,FALSE))</f>
        <v>0</v>
      </c>
      <c r="P33" s="4">
        <f>(VLOOKUP('18.05'!X33,'18.05'!$AO$4:$AR$55,4,FALSE))</f>
        <v>0</v>
      </c>
      <c r="Q33" s="4">
        <f>(VLOOKUP('18.05'!Y33,'18.05'!$AO$4:$AR$55,4,FALSE))</f>
        <v>0</v>
      </c>
      <c r="R33" s="4">
        <f>(VLOOKUP('18.05'!Z33,'18.05'!$AO$4:$AR$55,4,FALSE))</f>
        <v>0</v>
      </c>
      <c r="S33" s="4">
        <f>(VLOOKUP('18.05'!AA33,'18.05'!$AO$4:$AR$55,4,FALSE))</f>
        <v>0</v>
      </c>
      <c r="T33" s="4">
        <f>(VLOOKUP('18.05'!AB33,'18.05'!$AO$4:$AR$55,4,FALSE))</f>
        <v>0</v>
      </c>
      <c r="U33" s="4">
        <f>(VLOOKUP('18.05'!AC33,'18.05'!$AO$4:$AR$55,4,FALSE))</f>
        <v>0</v>
      </c>
      <c r="V33" s="4">
        <f>(VLOOKUP('18.05'!AD33,'18.05'!$AO$4:$AR$55,4,FALSE))</f>
        <v>0</v>
      </c>
      <c r="W33" s="4">
        <f>(VLOOKUP('18.05'!AE33,'18.05'!$AO$4:$AR$55,4,FALSE))</f>
        <v>0</v>
      </c>
      <c r="X33" s="4">
        <f>(VLOOKUP('18.05'!AF33,'18.05'!$AO$4:$AR$55,4,FALSE))</f>
        <v>0</v>
      </c>
    </row>
    <row r="34" spans="1:24">
      <c r="A34" s="4">
        <f>(VLOOKUP('18.05'!I34,'18.05'!$AO$4:$AR$55,4,FALSE))</f>
        <v>0</v>
      </c>
      <c r="B34" s="4">
        <f>(VLOOKUP('18.05'!J34,'18.05'!$AO$4:$AR$55,4,FALSE))</f>
        <v>0</v>
      </c>
      <c r="C34" s="4">
        <f>(VLOOKUP('18.05'!K34,'18.05'!$AO$4:$AR$55,4,FALSE))</f>
        <v>0</v>
      </c>
      <c r="D34" s="4">
        <f>(VLOOKUP('18.05'!L34,'18.05'!$AO$4:$AR$55,4,FALSE))</f>
        <v>0</v>
      </c>
      <c r="E34" s="4">
        <f>(VLOOKUP('18.05'!M34,'18.05'!$AO$4:$AR$55,4,FALSE))</f>
        <v>0</v>
      </c>
      <c r="F34" s="4">
        <f>(VLOOKUP('18.05'!N34,'18.05'!$AO$4:$AR$55,4,FALSE))</f>
        <v>0</v>
      </c>
      <c r="G34" s="4">
        <f>(VLOOKUP('18.05'!O34,'18.05'!$AO$4:$AR$55,4,FALSE))</f>
        <v>0</v>
      </c>
      <c r="H34" s="4">
        <f>(VLOOKUP('18.05'!P34,'18.05'!$AO$4:$AR$55,4,FALSE))</f>
        <v>0</v>
      </c>
      <c r="I34" s="4">
        <f>(VLOOKUP('18.05'!Q34,'18.05'!$AO$4:$AR$55,4,FALSE))</f>
        <v>36</v>
      </c>
      <c r="J34" s="4">
        <f>(VLOOKUP('18.05'!R34,'18.05'!$AO$4:$AR$55,4,FALSE))</f>
        <v>36</v>
      </c>
      <c r="K34" s="4">
        <f>(VLOOKUP('18.05'!S34,'18.05'!$AO$4:$AR$55,4,FALSE))</f>
        <v>36</v>
      </c>
      <c r="L34" s="4">
        <f>(VLOOKUP('18.05'!T34,'18.05'!$AO$4:$AR$55,4,FALSE))</f>
        <v>36</v>
      </c>
      <c r="M34" s="4">
        <f>(VLOOKUP('18.05'!U34,'18.05'!$AO$4:$AR$55,4,FALSE))</f>
        <v>36</v>
      </c>
      <c r="N34" s="4">
        <f>(VLOOKUP('18.05'!V34,'18.05'!$AO$4:$AR$55,4,FALSE))</f>
        <v>38</v>
      </c>
      <c r="O34" s="4">
        <f>(VLOOKUP('18.05'!W34,'18.05'!$AO$4:$AR$55,4,FALSE))</f>
        <v>0</v>
      </c>
      <c r="P34" s="4">
        <f>(VLOOKUP('18.05'!X34,'18.05'!$AO$4:$AR$55,4,FALSE))</f>
        <v>0</v>
      </c>
      <c r="Q34" s="4">
        <f>(VLOOKUP('18.05'!Y34,'18.05'!$AO$4:$AR$55,4,FALSE))</f>
        <v>0</v>
      </c>
      <c r="R34" s="4">
        <f>(VLOOKUP('18.05'!Z34,'18.05'!$AO$4:$AR$55,4,FALSE))</f>
        <v>0</v>
      </c>
      <c r="S34" s="4">
        <f>(VLOOKUP('18.05'!AA34,'18.05'!$AO$4:$AR$55,4,FALSE))</f>
        <v>0</v>
      </c>
      <c r="T34" s="4">
        <f>(VLOOKUP('18.05'!AB34,'18.05'!$AO$4:$AR$55,4,FALSE))</f>
        <v>0</v>
      </c>
      <c r="U34" s="4">
        <f>(VLOOKUP('18.05'!AC34,'18.05'!$AO$4:$AR$55,4,FALSE))</f>
        <v>0</v>
      </c>
      <c r="V34" s="4">
        <f>(VLOOKUP('18.05'!AD34,'18.05'!$AO$4:$AR$55,4,FALSE))</f>
        <v>0</v>
      </c>
      <c r="W34" s="4">
        <f>(VLOOKUP('18.05'!AE34,'18.05'!$AO$4:$AR$55,4,FALSE))</f>
        <v>0</v>
      </c>
      <c r="X34" s="4">
        <f>(VLOOKUP('18.05'!AF34,'18.05'!$AO$4:$AR$55,4,FALSE))</f>
        <v>0</v>
      </c>
    </row>
    <row r="35" spans="1:24">
      <c r="A35" s="4">
        <f>(VLOOKUP('18.05'!I35,'18.05'!$AO$4:$AR$55,4,FALSE))</f>
        <v>0</v>
      </c>
      <c r="B35" s="4">
        <f>(VLOOKUP('18.05'!J35,'18.05'!$AO$4:$AR$55,4,FALSE))</f>
        <v>36</v>
      </c>
      <c r="C35" s="4">
        <f>(VLOOKUP('18.05'!K35,'18.05'!$AO$4:$AR$55,4,FALSE))</f>
        <v>36</v>
      </c>
      <c r="D35" s="4">
        <f>(VLOOKUP('18.05'!L35,'18.05'!$AO$4:$AR$55,4,FALSE))</f>
        <v>0</v>
      </c>
      <c r="E35" s="4">
        <f>(VLOOKUP('18.05'!M35,'18.05'!$AO$4:$AR$55,4,FALSE))</f>
        <v>0</v>
      </c>
      <c r="F35" s="4">
        <f>(VLOOKUP('18.05'!N35,'18.05'!$AO$4:$AR$55,4,FALSE))</f>
        <v>0</v>
      </c>
      <c r="G35" s="4">
        <f>(VLOOKUP('18.05'!O35,'18.05'!$AO$4:$AR$55,4,FALSE))</f>
        <v>0</v>
      </c>
      <c r="H35" s="4">
        <f>(VLOOKUP('18.05'!P35,'18.05'!$AO$4:$AR$55,4,FALSE))</f>
        <v>0</v>
      </c>
      <c r="I35" s="4">
        <f>(VLOOKUP('18.05'!Q35,'18.05'!$AO$4:$AR$55,4,FALSE))</f>
        <v>38</v>
      </c>
      <c r="J35" s="4">
        <f>(VLOOKUP('18.05'!R35,'18.05'!$AO$4:$AR$55,4,FALSE))</f>
        <v>38</v>
      </c>
      <c r="K35" s="4">
        <f>(VLOOKUP('18.05'!S35,'18.05'!$AO$4:$AR$55,4,FALSE))</f>
        <v>38</v>
      </c>
      <c r="L35" s="4">
        <f>(VLOOKUP('18.05'!T35,'18.05'!$AO$4:$AR$55,4,FALSE))</f>
        <v>38</v>
      </c>
      <c r="M35" s="4">
        <f>(VLOOKUP('18.05'!U35,'18.05'!$AO$4:$AR$55,4,FALSE))</f>
        <v>38</v>
      </c>
      <c r="N35" s="4">
        <f>(VLOOKUP('18.05'!V35,'18.05'!$AO$4:$AR$55,4,FALSE))</f>
        <v>38</v>
      </c>
      <c r="O35" s="4">
        <f>(VLOOKUP('18.05'!W35,'18.05'!$AO$4:$AR$55,4,FALSE))</f>
        <v>0</v>
      </c>
      <c r="P35" s="4">
        <f>(VLOOKUP('18.05'!X35,'18.05'!$AO$4:$AR$55,4,FALSE))</f>
        <v>0</v>
      </c>
      <c r="Q35" s="4">
        <f>(VLOOKUP('18.05'!Y35,'18.05'!$AO$4:$AR$55,4,FALSE))</f>
        <v>0</v>
      </c>
      <c r="R35" s="4">
        <f>(VLOOKUP('18.05'!Z35,'18.05'!$AO$4:$AR$55,4,FALSE))</f>
        <v>0</v>
      </c>
      <c r="S35" s="4">
        <f>(VLOOKUP('18.05'!AA35,'18.05'!$AO$4:$AR$55,4,FALSE))</f>
        <v>0</v>
      </c>
      <c r="T35" s="4">
        <f>(VLOOKUP('18.05'!AB35,'18.05'!$AO$4:$AR$55,4,FALSE))</f>
        <v>0</v>
      </c>
      <c r="U35" s="4">
        <f>(VLOOKUP('18.05'!AC35,'18.05'!$AO$4:$AR$55,4,FALSE))</f>
        <v>0</v>
      </c>
      <c r="V35" s="4">
        <f>(VLOOKUP('18.05'!AD35,'18.05'!$AO$4:$AR$55,4,FALSE))</f>
        <v>0</v>
      </c>
      <c r="W35" s="4">
        <f>(VLOOKUP('18.05'!AE35,'18.05'!$AO$4:$AR$55,4,FALSE))</f>
        <v>0</v>
      </c>
      <c r="X35" s="4">
        <f>(VLOOKUP('18.05'!AF35,'18.05'!$AO$4:$AR$55,4,FALSE))</f>
        <v>0</v>
      </c>
    </row>
    <row r="36" spans="1:24">
      <c r="A36" s="4">
        <f>(VLOOKUP('18.05'!I36,'18.05'!$AO$4:$AR$55,4,FALSE))</f>
        <v>34</v>
      </c>
      <c r="B36" s="4">
        <f>(VLOOKUP('18.05'!J36,'18.05'!$AO$4:$AR$55,4,FALSE))</f>
        <v>34</v>
      </c>
      <c r="C36" s="4">
        <f>(VLOOKUP('18.05'!K36,'18.05'!$AO$4:$AR$55,4,FALSE))</f>
        <v>34</v>
      </c>
      <c r="D36" s="4">
        <f>(VLOOKUP('18.05'!L36,'18.05'!$AO$4:$AR$55,4,FALSE))</f>
        <v>34</v>
      </c>
      <c r="E36" s="4">
        <f>(VLOOKUP('18.05'!M36,'18.05'!$AO$4:$AR$55,4,FALSE))</f>
        <v>34</v>
      </c>
      <c r="F36" s="4">
        <f>(VLOOKUP('18.05'!N36,'18.05'!$AO$4:$AR$55,4,FALSE))</f>
        <v>0</v>
      </c>
      <c r="G36" s="4">
        <f>(VLOOKUP('18.05'!O36,'18.05'!$AO$4:$AR$55,4,FALSE))</f>
        <v>0</v>
      </c>
      <c r="H36" s="4">
        <f>(VLOOKUP('18.05'!P36,'18.05'!$AO$4:$AR$55,4,FALSE))</f>
        <v>0</v>
      </c>
      <c r="I36" s="4">
        <f>(VLOOKUP('18.05'!Q36,'18.05'!$AO$4:$AR$55,4,FALSE))</f>
        <v>38</v>
      </c>
      <c r="J36" s="4">
        <f>(VLOOKUP('18.05'!R36,'18.05'!$AO$4:$AR$55,4,FALSE))</f>
        <v>38</v>
      </c>
      <c r="K36" s="4">
        <f>(VLOOKUP('18.05'!S36,'18.05'!$AO$4:$AR$55,4,FALSE))</f>
        <v>38</v>
      </c>
      <c r="L36" s="4">
        <f>(VLOOKUP('18.05'!T36,'18.05'!$AO$4:$AR$55,4,FALSE))</f>
        <v>38</v>
      </c>
      <c r="M36" s="4">
        <f>(VLOOKUP('18.05'!U36,'18.05'!$AO$4:$AR$55,4,FALSE))</f>
        <v>38</v>
      </c>
      <c r="N36" s="4">
        <f>(VLOOKUP('18.05'!V36,'18.05'!$AO$4:$AR$55,4,FALSE))</f>
        <v>0</v>
      </c>
      <c r="O36" s="4">
        <f>(VLOOKUP('18.05'!W36,'18.05'!$AO$4:$AR$55,4,FALSE))</f>
        <v>0</v>
      </c>
      <c r="P36" s="4">
        <f>(VLOOKUP('18.05'!X36,'18.05'!$AO$4:$AR$55,4,FALSE))</f>
        <v>0</v>
      </c>
      <c r="Q36" s="4">
        <f>(VLOOKUP('18.05'!Y36,'18.05'!$AO$4:$AR$55,4,FALSE))</f>
        <v>0</v>
      </c>
      <c r="R36" s="4">
        <f>(VLOOKUP('18.05'!Z36,'18.05'!$AO$4:$AR$55,4,FALSE))</f>
        <v>0</v>
      </c>
      <c r="S36" s="4">
        <f>(VLOOKUP('18.05'!AA36,'18.05'!$AO$4:$AR$55,4,FALSE))</f>
        <v>0</v>
      </c>
      <c r="T36" s="4">
        <f>(VLOOKUP('18.05'!AB36,'18.05'!$AO$4:$AR$55,4,FALSE))</f>
        <v>0</v>
      </c>
      <c r="U36" s="4">
        <f>(VLOOKUP('18.05'!AC36,'18.05'!$AO$4:$AR$55,4,FALSE))</f>
        <v>0</v>
      </c>
      <c r="V36" s="4">
        <f>(VLOOKUP('18.05'!AD36,'18.05'!$AO$4:$AR$55,4,FALSE))</f>
        <v>0</v>
      </c>
      <c r="W36" s="4">
        <f>(VLOOKUP('18.05'!AE36,'18.05'!$AO$4:$AR$55,4,FALSE))</f>
        <v>0</v>
      </c>
      <c r="X36" s="4">
        <f>(VLOOKUP('18.05'!AF36,'18.05'!$AO$4:$AR$55,4,FALSE))</f>
        <v>0</v>
      </c>
    </row>
    <row r="37" spans="1:24">
      <c r="A37" s="4">
        <f>(VLOOKUP('18.05'!I37,'18.05'!$AO$4:$AR$55,4,FALSE))</f>
        <v>34</v>
      </c>
      <c r="B37" s="4">
        <f>(VLOOKUP('18.05'!J37,'18.05'!$AO$4:$AR$55,4,FALSE))</f>
        <v>34</v>
      </c>
      <c r="C37" s="4">
        <f>(VLOOKUP('18.05'!K37,'18.05'!$AO$4:$AR$55,4,FALSE))</f>
        <v>34</v>
      </c>
      <c r="D37" s="4">
        <f>(VLOOKUP('18.05'!L37,'18.05'!$AO$4:$AR$55,4,FALSE))</f>
        <v>34</v>
      </c>
      <c r="E37" s="4">
        <f>(VLOOKUP('18.05'!M37,'18.05'!$AO$4:$AR$55,4,FALSE))</f>
        <v>34</v>
      </c>
      <c r="F37" s="4">
        <f>(VLOOKUP('18.05'!N37,'18.05'!$AO$4:$AR$55,4,FALSE))</f>
        <v>36</v>
      </c>
      <c r="G37" s="4">
        <f>(VLOOKUP('18.05'!O37,'18.05'!$AO$4:$AR$55,4,FALSE))</f>
        <v>0</v>
      </c>
      <c r="H37" s="4">
        <f>(VLOOKUP('18.05'!P37,'18.05'!$AO$4:$AR$55,4,FALSE))</f>
        <v>0</v>
      </c>
      <c r="I37" s="4">
        <f>(VLOOKUP('18.05'!Q37,'18.05'!$AO$4:$AR$55,4,FALSE))</f>
        <v>38</v>
      </c>
      <c r="J37" s="4">
        <f>(VLOOKUP('18.05'!R37,'18.05'!$AO$4:$AR$55,4,FALSE))</f>
        <v>38</v>
      </c>
      <c r="K37" s="4">
        <f>(VLOOKUP('18.05'!S37,'18.05'!$AO$4:$AR$55,4,FALSE))</f>
        <v>38</v>
      </c>
      <c r="L37" s="4">
        <f>(VLOOKUP('18.05'!T37,'18.05'!$AO$4:$AR$55,4,FALSE))</f>
        <v>38</v>
      </c>
      <c r="M37" s="4">
        <f>(VLOOKUP('18.05'!U37,'18.05'!$AO$4:$AR$55,4,FALSE))</f>
        <v>38</v>
      </c>
      <c r="N37" s="4">
        <f>(VLOOKUP('18.05'!V37,'18.05'!$AO$4:$AR$55,4,FALSE))</f>
        <v>0</v>
      </c>
      <c r="O37" s="4">
        <f>(VLOOKUP('18.05'!W37,'18.05'!$AO$4:$AR$55,4,FALSE))</f>
        <v>0</v>
      </c>
      <c r="P37" s="4">
        <f>(VLOOKUP('18.05'!X37,'18.05'!$AO$4:$AR$55,4,FALSE))</f>
        <v>0</v>
      </c>
      <c r="Q37" s="4">
        <f>(VLOOKUP('18.05'!Y37,'18.05'!$AO$4:$AR$55,4,FALSE))</f>
        <v>0</v>
      </c>
      <c r="R37" s="4">
        <f>(VLOOKUP('18.05'!Z37,'18.05'!$AO$4:$AR$55,4,FALSE))</f>
        <v>0</v>
      </c>
      <c r="S37" s="4">
        <f>(VLOOKUP('18.05'!AA37,'18.05'!$AO$4:$AR$55,4,FALSE))</f>
        <v>0</v>
      </c>
      <c r="T37" s="4">
        <f>(VLOOKUP('18.05'!AB37,'18.05'!$AO$4:$AR$55,4,FALSE))</f>
        <v>0</v>
      </c>
      <c r="U37" s="4">
        <f>(VLOOKUP('18.05'!AC37,'18.05'!$AO$4:$AR$55,4,FALSE))</f>
        <v>0</v>
      </c>
      <c r="V37" s="4">
        <f>(VLOOKUP('18.05'!AD37,'18.05'!$AO$4:$AR$55,4,FALSE))</f>
        <v>0</v>
      </c>
      <c r="W37" s="4">
        <f>(VLOOKUP('18.05'!AE37,'18.05'!$AO$4:$AR$55,4,FALSE))</f>
        <v>0</v>
      </c>
      <c r="X37" s="4">
        <f>(VLOOKUP('18.05'!AF37,'18.05'!$AO$4:$AR$55,4,FALSE))</f>
        <v>0</v>
      </c>
    </row>
    <row r="38" spans="1:24">
      <c r="A38" s="4">
        <f>(VLOOKUP('18.05'!I38,'18.05'!$AO$4:$AR$55,4,FALSE))</f>
        <v>36</v>
      </c>
      <c r="B38" s="4">
        <f>(VLOOKUP('18.05'!J38,'18.05'!$AO$4:$AR$55,4,FALSE))</f>
        <v>10</v>
      </c>
      <c r="C38" s="4">
        <f>(VLOOKUP('18.05'!K38,'18.05'!$AO$4:$AR$55,4,FALSE))</f>
        <v>36</v>
      </c>
      <c r="D38" s="4">
        <f>(VLOOKUP('18.05'!L38,'18.05'!$AO$4:$AR$55,4,FALSE))</f>
        <v>36</v>
      </c>
      <c r="E38" s="4">
        <f>(VLOOKUP('18.05'!M38,'18.05'!$AO$4:$AR$55,4,FALSE))</f>
        <v>36</v>
      </c>
      <c r="F38" s="4">
        <f>(VLOOKUP('18.05'!N38,'18.05'!$AO$4:$AR$55,4,FALSE))</f>
        <v>36</v>
      </c>
      <c r="G38" s="4">
        <f>(VLOOKUP('18.05'!O38,'18.05'!$AO$4:$AR$55,4,FALSE))</f>
        <v>36</v>
      </c>
      <c r="H38" s="4">
        <f>(VLOOKUP('18.05'!P38,'18.05'!$AO$4:$AR$55,4,FALSE))</f>
        <v>10</v>
      </c>
      <c r="I38" s="4">
        <f>(VLOOKUP('18.05'!Q38,'18.05'!$AO$4:$AR$55,4,FALSE))</f>
        <v>38</v>
      </c>
      <c r="J38" s="4">
        <f>(VLOOKUP('18.05'!R38,'18.05'!$AO$4:$AR$55,4,FALSE))</f>
        <v>36</v>
      </c>
      <c r="K38" s="4">
        <f>(VLOOKUP('18.05'!S38,'18.05'!$AO$4:$AR$55,4,FALSE))</f>
        <v>36</v>
      </c>
      <c r="L38" s="4">
        <f>(VLOOKUP('18.05'!T38,'18.05'!$AO$4:$AR$55,4,FALSE))</f>
        <v>36</v>
      </c>
      <c r="M38" s="4">
        <f>(VLOOKUP('18.05'!U38,'18.05'!$AO$4:$AR$55,4,FALSE))</f>
        <v>36</v>
      </c>
      <c r="N38" s="4">
        <f>(VLOOKUP('18.05'!V38,'18.05'!$AO$4:$AR$55,4,FALSE))</f>
        <v>36</v>
      </c>
      <c r="O38" s="4">
        <f>(VLOOKUP('18.05'!W38,'18.05'!$AO$4:$AR$55,4,FALSE))</f>
        <v>0</v>
      </c>
      <c r="P38" s="4">
        <f>(VLOOKUP('18.05'!X38,'18.05'!$AO$4:$AR$55,4,FALSE))</f>
        <v>0</v>
      </c>
      <c r="Q38" s="4">
        <f>(VLOOKUP('18.05'!Y38,'18.05'!$AO$4:$AR$55,4,FALSE))</f>
        <v>0</v>
      </c>
      <c r="R38" s="4">
        <f>(VLOOKUP('18.05'!Z38,'18.05'!$AO$4:$AR$55,4,FALSE))</f>
        <v>0</v>
      </c>
      <c r="S38" s="4">
        <f>(VLOOKUP('18.05'!AA38,'18.05'!$AO$4:$AR$55,4,FALSE))</f>
        <v>0</v>
      </c>
      <c r="T38" s="4">
        <f>(VLOOKUP('18.05'!AB38,'18.05'!$AO$4:$AR$55,4,FALSE))</f>
        <v>0</v>
      </c>
      <c r="U38" s="4">
        <f>(VLOOKUP('18.05'!AC38,'18.05'!$AO$4:$AR$55,4,FALSE))</f>
        <v>0</v>
      </c>
      <c r="V38" s="4">
        <f>(VLOOKUP('18.05'!AD38,'18.05'!$AO$4:$AR$55,4,FALSE))</f>
        <v>0</v>
      </c>
      <c r="W38" s="4">
        <f>(VLOOKUP('18.05'!AE38,'18.05'!$AO$4:$AR$55,4,FALSE))</f>
        <v>0</v>
      </c>
      <c r="X38" s="4">
        <f>(VLOOKUP('18.05'!AF38,'18.05'!$AO$4:$AR$55,4,FALSE))</f>
        <v>0</v>
      </c>
    </row>
    <row r="39" spans="1:24">
      <c r="A39" s="4">
        <f>(VLOOKUP('18.05'!I39,'18.05'!$AO$4:$AR$55,4,FALSE))</f>
        <v>0</v>
      </c>
      <c r="B39" s="4">
        <f>(VLOOKUP('18.05'!J39,'18.05'!$AO$4:$AR$55,4,FALSE))</f>
        <v>0</v>
      </c>
      <c r="C39" s="4">
        <f>(VLOOKUP('18.05'!K39,'18.05'!$AO$4:$AR$55,4,FALSE))</f>
        <v>0</v>
      </c>
      <c r="D39" s="4">
        <f>(VLOOKUP('18.05'!L39,'18.05'!$AO$4:$AR$55,4,FALSE))</f>
        <v>0</v>
      </c>
      <c r="E39" s="4">
        <f>(VLOOKUP('18.05'!M39,'18.05'!$AO$4:$AR$55,4,FALSE))</f>
        <v>0</v>
      </c>
      <c r="F39" s="4">
        <f>(VLOOKUP('18.05'!N39,'18.05'!$AO$4:$AR$55,4,FALSE))</f>
        <v>0</v>
      </c>
      <c r="G39" s="4">
        <f>(VLOOKUP('18.05'!O39,'18.05'!$AO$4:$AR$55,4,FALSE))</f>
        <v>0</v>
      </c>
      <c r="H39" s="4">
        <f>(VLOOKUP('18.05'!P39,'18.05'!$AO$4:$AR$55,4,FALSE))</f>
        <v>0</v>
      </c>
      <c r="I39" s="4">
        <f>(VLOOKUP('18.05'!Q39,'18.05'!$AO$4:$AR$55,4,FALSE))</f>
        <v>36</v>
      </c>
      <c r="J39" s="4">
        <f>(VLOOKUP('18.05'!R39,'18.05'!$AO$4:$AR$55,4,FALSE))</f>
        <v>38</v>
      </c>
      <c r="K39" s="4">
        <f>(VLOOKUP('18.05'!S39,'18.05'!$AO$4:$AR$55,4,FALSE))</f>
        <v>38</v>
      </c>
      <c r="L39" s="4">
        <f>(VLOOKUP('18.05'!T39,'18.05'!$AO$4:$AR$55,4,FALSE))</f>
        <v>38</v>
      </c>
      <c r="M39" s="4">
        <f>(VLOOKUP('18.05'!U39,'18.05'!$AO$4:$AR$55,4,FALSE))</f>
        <v>36</v>
      </c>
      <c r="N39" s="4">
        <f>(VLOOKUP('18.05'!V39,'18.05'!$AO$4:$AR$55,4,FALSE))</f>
        <v>36</v>
      </c>
      <c r="O39" s="4">
        <f>(VLOOKUP('18.05'!W39,'18.05'!$AO$4:$AR$55,4,FALSE))</f>
        <v>36</v>
      </c>
      <c r="P39" s="4">
        <f>(VLOOKUP('18.05'!X39,'18.05'!$AO$4:$AR$55,4,FALSE))</f>
        <v>36</v>
      </c>
      <c r="Q39" s="4">
        <f>(VLOOKUP('18.05'!Y39,'18.05'!$AO$4:$AR$55,4,FALSE))</f>
        <v>0</v>
      </c>
      <c r="R39" s="4">
        <f>(VLOOKUP('18.05'!Z39,'18.05'!$AO$4:$AR$55,4,FALSE))</f>
        <v>0</v>
      </c>
      <c r="S39" s="4">
        <f>(VLOOKUP('18.05'!AA39,'18.05'!$AO$4:$AR$55,4,FALSE))</f>
        <v>0</v>
      </c>
      <c r="T39" s="4">
        <f>(VLOOKUP('18.05'!AB39,'18.05'!$AO$4:$AR$55,4,FALSE))</f>
        <v>0</v>
      </c>
      <c r="U39" s="4">
        <f>(VLOOKUP('18.05'!AC39,'18.05'!$AO$4:$AR$55,4,FALSE))</f>
        <v>0</v>
      </c>
      <c r="V39" s="4">
        <f>(VLOOKUP('18.05'!AD39,'18.05'!$AO$4:$AR$55,4,FALSE))</f>
        <v>0</v>
      </c>
      <c r="W39" s="4">
        <f>(VLOOKUP('18.05'!AE39,'18.05'!$AO$4:$AR$55,4,FALSE))</f>
        <v>0</v>
      </c>
      <c r="X39" s="4">
        <f>(VLOOKUP('18.05'!AF39,'18.05'!$AO$4:$AR$55,4,FALSE))</f>
        <v>0</v>
      </c>
    </row>
    <row r="40" spans="1:24">
      <c r="A40" s="4">
        <f>(VLOOKUP('18.05'!I40,'18.05'!$AO$4:$AR$55,4,FALSE))</f>
        <v>0</v>
      </c>
      <c r="B40" s="4">
        <f>(VLOOKUP('18.05'!J40,'18.05'!$AO$4:$AR$55,4,FALSE))</f>
        <v>0</v>
      </c>
      <c r="C40" s="4">
        <f>(VLOOKUP('18.05'!K40,'18.05'!$AO$4:$AR$55,4,FALSE))</f>
        <v>0</v>
      </c>
      <c r="D40" s="4">
        <f>(VLOOKUP('18.05'!L40,'18.05'!$AO$4:$AR$55,4,FALSE))</f>
        <v>0</v>
      </c>
      <c r="E40" s="4">
        <f>(VLOOKUP('18.05'!M40,'18.05'!$AO$4:$AR$55,4,FALSE))</f>
        <v>0</v>
      </c>
      <c r="F40" s="4">
        <f>(VLOOKUP('18.05'!N40,'18.05'!$AO$4:$AR$55,4,FALSE))</f>
        <v>0</v>
      </c>
      <c r="G40" s="4">
        <f>(VLOOKUP('18.05'!O40,'18.05'!$AO$4:$AR$55,4,FALSE))</f>
        <v>0</v>
      </c>
      <c r="H40" s="4">
        <f>(VLOOKUP('18.05'!P40,'18.05'!$AO$4:$AR$55,4,FALSE))</f>
        <v>0</v>
      </c>
      <c r="I40" s="4">
        <f>(VLOOKUP('18.05'!Q40,'18.05'!$AO$4:$AR$55,4,FALSE))</f>
        <v>36</v>
      </c>
      <c r="J40" s="4">
        <f>(VLOOKUP('18.05'!R40,'18.05'!$AO$4:$AR$55,4,FALSE))</f>
        <v>36</v>
      </c>
      <c r="K40" s="4">
        <f>(VLOOKUP('18.05'!S40,'18.05'!$AO$4:$AR$55,4,FALSE))</f>
        <v>36</v>
      </c>
      <c r="L40" s="4">
        <f>(VLOOKUP('18.05'!T40,'18.05'!$AO$4:$AR$55,4,FALSE))</f>
        <v>36</v>
      </c>
      <c r="M40" s="4">
        <f>(VLOOKUP('18.05'!U40,'18.05'!$AO$4:$AR$55,4,FALSE))</f>
        <v>36</v>
      </c>
      <c r="N40" s="4">
        <f>(VLOOKUP('18.05'!V40,'18.05'!$AO$4:$AR$55,4,FALSE))</f>
        <v>36</v>
      </c>
      <c r="O40" s="4">
        <f>(VLOOKUP('18.05'!W40,'18.05'!$AO$4:$AR$55,4,FALSE))</f>
        <v>0</v>
      </c>
      <c r="P40" s="4">
        <f>(VLOOKUP('18.05'!X40,'18.05'!$AO$4:$AR$55,4,FALSE))</f>
        <v>0</v>
      </c>
      <c r="Q40" s="4">
        <f>(VLOOKUP('18.05'!Y40,'18.05'!$AO$4:$AR$55,4,FALSE))</f>
        <v>0</v>
      </c>
      <c r="R40" s="4">
        <f>(VLOOKUP('18.05'!Z40,'18.05'!$AO$4:$AR$55,4,FALSE))</f>
        <v>0</v>
      </c>
      <c r="S40" s="4">
        <f>(VLOOKUP('18.05'!AA40,'18.05'!$AO$4:$AR$55,4,FALSE))</f>
        <v>0</v>
      </c>
      <c r="T40" s="4">
        <f>(VLOOKUP('18.05'!AB40,'18.05'!$AO$4:$AR$55,4,FALSE))</f>
        <v>0</v>
      </c>
      <c r="U40" s="4">
        <f>(VLOOKUP('18.05'!AC40,'18.05'!$AO$4:$AR$55,4,FALSE))</f>
        <v>0</v>
      </c>
      <c r="V40" s="4">
        <f>(VLOOKUP('18.05'!AD40,'18.05'!$AO$4:$AR$55,4,FALSE))</f>
        <v>0</v>
      </c>
      <c r="W40" s="4">
        <f>(VLOOKUP('18.05'!AE40,'18.05'!$AO$4:$AR$55,4,FALSE))</f>
        <v>0</v>
      </c>
      <c r="X40" s="4">
        <f>(VLOOKUP('18.05'!AF40,'18.05'!$AO$4:$AR$55,4,FALSE))</f>
        <v>0</v>
      </c>
    </row>
    <row r="41" spans="1:24">
      <c r="A41" s="4">
        <f>(VLOOKUP('18.05'!I41,'18.05'!$AO$4:$AR$55,4,FALSE))</f>
        <v>36</v>
      </c>
      <c r="B41" s="4">
        <f>(VLOOKUP('18.05'!J41,'18.05'!$AO$4:$AR$55,4,FALSE))</f>
        <v>36</v>
      </c>
      <c r="C41" s="4">
        <f>(VLOOKUP('18.05'!K41,'18.05'!$AO$4:$AR$55,4,FALSE))</f>
        <v>36</v>
      </c>
      <c r="D41" s="4">
        <f>(VLOOKUP('18.05'!L41,'18.05'!$AO$4:$AR$55,4,FALSE))</f>
        <v>36</v>
      </c>
      <c r="E41" s="4">
        <f>(VLOOKUP('18.05'!M41,'18.05'!$AO$4:$AR$55,4,FALSE))</f>
        <v>36</v>
      </c>
      <c r="F41" s="4">
        <f>(VLOOKUP('18.05'!N41,'18.05'!$AO$4:$AR$55,4,FALSE))</f>
        <v>36</v>
      </c>
      <c r="G41" s="4">
        <f>(VLOOKUP('18.05'!O41,'18.05'!$AO$4:$AR$55,4,FALSE))</f>
        <v>0</v>
      </c>
      <c r="H41" s="4">
        <f>(VLOOKUP('18.05'!P41,'18.05'!$AO$4:$AR$55,4,FALSE))</f>
        <v>0</v>
      </c>
      <c r="I41" s="4">
        <f>(VLOOKUP('18.05'!Q41,'18.05'!$AO$4:$AR$55,4,FALSE))</f>
        <v>36</v>
      </c>
      <c r="J41" s="4">
        <f>(VLOOKUP('18.05'!R41,'18.05'!$AO$4:$AR$55,4,FALSE))</f>
        <v>36</v>
      </c>
      <c r="K41" s="4">
        <f>(VLOOKUP('18.05'!S41,'18.05'!$AO$4:$AR$55,4,FALSE))</f>
        <v>36</v>
      </c>
      <c r="L41" s="4">
        <f>(VLOOKUP('18.05'!T41,'18.05'!$AO$4:$AR$55,4,FALSE))</f>
        <v>36</v>
      </c>
      <c r="M41" s="4">
        <f>(VLOOKUP('18.05'!U41,'18.05'!$AO$4:$AR$55,4,FALSE))</f>
        <v>36</v>
      </c>
      <c r="N41" s="4">
        <f>(VLOOKUP('18.05'!V41,'18.05'!$AO$4:$AR$55,4,FALSE))</f>
        <v>36</v>
      </c>
      <c r="O41" s="4">
        <f>(VLOOKUP('18.05'!W41,'18.05'!$AO$4:$AR$55,4,FALSE))</f>
        <v>0</v>
      </c>
      <c r="P41" s="4">
        <f>(VLOOKUP('18.05'!X41,'18.05'!$AO$4:$AR$55,4,FALSE))</f>
        <v>0</v>
      </c>
      <c r="Q41" s="4">
        <f>(VLOOKUP('18.05'!Y41,'18.05'!$AO$4:$AR$55,4,FALSE))</f>
        <v>0</v>
      </c>
      <c r="R41" s="4">
        <f>(VLOOKUP('18.05'!Z41,'18.05'!$AO$4:$AR$55,4,FALSE))</f>
        <v>0</v>
      </c>
      <c r="S41" s="4">
        <f>(VLOOKUP('18.05'!AA41,'18.05'!$AO$4:$AR$55,4,FALSE))</f>
        <v>0</v>
      </c>
      <c r="T41" s="4">
        <f>(VLOOKUP('18.05'!AB41,'18.05'!$AO$4:$AR$55,4,FALSE))</f>
        <v>0</v>
      </c>
      <c r="U41" s="4">
        <f>(VLOOKUP('18.05'!AC41,'18.05'!$AO$4:$AR$55,4,FALSE))</f>
        <v>0</v>
      </c>
      <c r="V41" s="4">
        <f>(VLOOKUP('18.05'!AD41,'18.05'!$AO$4:$AR$55,4,FALSE))</f>
        <v>0</v>
      </c>
      <c r="W41" s="4">
        <f>(VLOOKUP('18.05'!AE41,'18.05'!$AO$4:$AR$55,4,FALSE))</f>
        <v>0</v>
      </c>
      <c r="X41" s="4">
        <f>(VLOOKUP('18.05'!AF41,'18.05'!$AO$4:$AR$55,4,FALSE))</f>
        <v>0</v>
      </c>
    </row>
    <row r="42" spans="1:24">
      <c r="A42" s="4">
        <f>(VLOOKUP('18.05'!I42,'18.05'!$AO$4:$AR$55,4,FALSE))</f>
        <v>36</v>
      </c>
      <c r="B42" s="4">
        <f>(VLOOKUP('18.05'!J42,'18.05'!$AO$4:$AR$55,4,FALSE))</f>
        <v>36</v>
      </c>
      <c r="C42" s="4">
        <f>(VLOOKUP('18.05'!K42,'18.05'!$AO$4:$AR$55,4,FALSE))</f>
        <v>36</v>
      </c>
      <c r="D42" s="4">
        <f>(VLOOKUP('18.05'!L42,'18.05'!$AO$4:$AR$55,4,FALSE))</f>
        <v>36</v>
      </c>
      <c r="E42" s="4">
        <f>(VLOOKUP('18.05'!M42,'18.05'!$AO$4:$AR$55,4,FALSE))</f>
        <v>36</v>
      </c>
      <c r="F42" s="4">
        <f>(VLOOKUP('18.05'!N42,'18.05'!$AO$4:$AR$55,4,FALSE))</f>
        <v>36</v>
      </c>
      <c r="G42" s="4">
        <f>(VLOOKUP('18.05'!O42,'18.05'!$AO$4:$AR$55,4,FALSE))</f>
        <v>0</v>
      </c>
      <c r="H42" s="4">
        <f>(VLOOKUP('18.05'!P42,'18.05'!$AO$4:$AR$55,4,FALSE))</f>
        <v>0</v>
      </c>
      <c r="I42" s="4">
        <f>(VLOOKUP('18.05'!Q42,'18.05'!$AO$4:$AR$55,4,FALSE))</f>
        <v>36</v>
      </c>
      <c r="J42" s="4">
        <f>(VLOOKUP('18.05'!R42,'18.05'!$AO$4:$AR$55,4,FALSE))</f>
        <v>36</v>
      </c>
      <c r="K42" s="4">
        <f>(VLOOKUP('18.05'!S42,'18.05'!$AO$4:$AR$55,4,FALSE))</f>
        <v>36</v>
      </c>
      <c r="L42" s="4">
        <f>(VLOOKUP('18.05'!T42,'18.05'!$AO$4:$AR$55,4,FALSE))</f>
        <v>36</v>
      </c>
      <c r="M42" s="4">
        <f>(VLOOKUP('18.05'!U42,'18.05'!$AO$4:$AR$55,4,FALSE))</f>
        <v>38</v>
      </c>
      <c r="N42" s="4">
        <f>(VLOOKUP('18.05'!V42,'18.05'!$AO$4:$AR$55,4,FALSE))</f>
        <v>38</v>
      </c>
      <c r="O42" s="4">
        <f>(VLOOKUP('18.05'!W42,'18.05'!$AO$4:$AR$55,4,FALSE))</f>
        <v>0</v>
      </c>
      <c r="P42" s="4">
        <f>(VLOOKUP('18.05'!X42,'18.05'!$AO$4:$AR$55,4,FALSE))</f>
        <v>0</v>
      </c>
      <c r="Q42" s="4">
        <f>(VLOOKUP('18.05'!Y42,'18.05'!$AO$4:$AR$55,4,FALSE))</f>
        <v>0</v>
      </c>
      <c r="R42" s="4">
        <f>(VLOOKUP('18.05'!Z42,'18.05'!$AO$4:$AR$55,4,FALSE))</f>
        <v>0</v>
      </c>
      <c r="S42" s="4">
        <f>(VLOOKUP('18.05'!AA42,'18.05'!$AO$4:$AR$55,4,FALSE))</f>
        <v>0</v>
      </c>
      <c r="T42" s="4">
        <f>(VLOOKUP('18.05'!AB42,'18.05'!$AO$4:$AR$55,4,FALSE))</f>
        <v>0</v>
      </c>
      <c r="U42" s="4">
        <f>(VLOOKUP('18.05'!AC42,'18.05'!$AO$4:$AR$55,4,FALSE))</f>
        <v>0</v>
      </c>
      <c r="V42" s="4">
        <f>(VLOOKUP('18.05'!AD42,'18.05'!$AO$4:$AR$55,4,FALSE))</f>
        <v>0</v>
      </c>
      <c r="W42" s="4">
        <f>(VLOOKUP('18.05'!AE42,'18.05'!$AO$4:$AR$55,4,FALSE))</f>
        <v>0</v>
      </c>
      <c r="X42" s="4">
        <f>(VLOOKUP('18.05'!AF42,'18.05'!$AO$4:$AR$55,4,FALSE))</f>
        <v>0</v>
      </c>
    </row>
    <row r="43" spans="1:24">
      <c r="A43" s="4">
        <f>(VLOOKUP('18.05'!I43,'18.05'!$AO$4:$AR$55,4,FALSE))</f>
        <v>36</v>
      </c>
      <c r="B43" s="4">
        <f>(VLOOKUP('18.05'!J43,'18.05'!$AO$4:$AR$55,4,FALSE))</f>
        <v>36</v>
      </c>
      <c r="C43" s="4">
        <f>(VLOOKUP('18.05'!K43,'18.05'!$AO$4:$AR$55,4,FALSE))</f>
        <v>36</v>
      </c>
      <c r="D43" s="4">
        <f>(VLOOKUP('18.05'!L43,'18.05'!$AO$4:$AR$55,4,FALSE))</f>
        <v>36</v>
      </c>
      <c r="E43" s="4">
        <f>(VLOOKUP('18.05'!M43,'18.05'!$AO$4:$AR$55,4,FALSE))</f>
        <v>36</v>
      </c>
      <c r="F43" s="4">
        <f>(VLOOKUP('18.05'!N43,'18.05'!$AO$4:$AR$55,4,FALSE))</f>
        <v>36</v>
      </c>
      <c r="G43" s="4">
        <f>(VLOOKUP('18.05'!O43,'18.05'!$AO$4:$AR$55,4,FALSE))</f>
        <v>0</v>
      </c>
      <c r="H43" s="4">
        <f>(VLOOKUP('18.05'!P43,'18.05'!$AO$4:$AR$55,4,FALSE))</f>
        <v>0</v>
      </c>
      <c r="I43" s="4">
        <f>(VLOOKUP('18.05'!Q43,'18.05'!$AO$4:$AR$55,4,FALSE))</f>
        <v>36</v>
      </c>
      <c r="J43" s="4">
        <f>(VLOOKUP('18.05'!R43,'18.05'!$AO$4:$AR$55,4,FALSE))</f>
        <v>38</v>
      </c>
      <c r="K43" s="4">
        <f>(VLOOKUP('18.05'!S43,'18.05'!$AO$4:$AR$55,4,FALSE))</f>
        <v>38</v>
      </c>
      <c r="L43" s="4">
        <f>(VLOOKUP('18.05'!T43,'18.05'!$AO$4:$AR$55,4,FALSE))</f>
        <v>38</v>
      </c>
      <c r="M43" s="4">
        <f>(VLOOKUP('18.05'!U43,'18.05'!$AO$4:$AR$55,4,FALSE))</f>
        <v>38</v>
      </c>
      <c r="N43" s="4">
        <f>(VLOOKUP('18.05'!V43,'18.05'!$AO$4:$AR$55,4,FALSE))</f>
        <v>38</v>
      </c>
      <c r="O43" s="4">
        <f>(VLOOKUP('18.05'!W43,'18.05'!$AO$4:$AR$55,4,FALSE))</f>
        <v>0</v>
      </c>
      <c r="P43" s="4">
        <f>(VLOOKUP('18.05'!X43,'18.05'!$AO$4:$AR$55,4,FALSE))</f>
        <v>0</v>
      </c>
      <c r="Q43" s="4">
        <f>(VLOOKUP('18.05'!Y43,'18.05'!$AO$4:$AR$55,4,FALSE))</f>
        <v>0</v>
      </c>
      <c r="R43" s="4">
        <f>(VLOOKUP('18.05'!Z43,'18.05'!$AO$4:$AR$55,4,FALSE))</f>
        <v>0</v>
      </c>
      <c r="S43" s="4">
        <f>(VLOOKUP('18.05'!AA43,'18.05'!$AO$4:$AR$55,4,FALSE))</f>
        <v>0</v>
      </c>
      <c r="T43" s="4">
        <f>(VLOOKUP('18.05'!AB43,'18.05'!$AO$4:$AR$55,4,FALSE))</f>
        <v>0</v>
      </c>
      <c r="U43" s="4">
        <f>(VLOOKUP('18.05'!AC43,'18.05'!$AO$4:$AR$55,4,FALSE))</f>
        <v>0</v>
      </c>
      <c r="V43" s="4">
        <f>(VLOOKUP('18.05'!AD43,'18.05'!$AO$4:$AR$55,4,FALSE))</f>
        <v>0</v>
      </c>
      <c r="W43" s="4">
        <f>(VLOOKUP('18.05'!AE43,'18.05'!$AO$4:$AR$55,4,FALSE))</f>
        <v>0</v>
      </c>
      <c r="X43" s="4">
        <f>(VLOOKUP('18.05'!AF43,'18.05'!$AO$4:$AR$55,4,FALSE))</f>
        <v>0</v>
      </c>
    </row>
    <row r="44" spans="1:24">
      <c r="A44" s="4">
        <f>(VLOOKUP('18.05'!I44,'18.05'!$AO$4:$AR$55,4,FALSE))</f>
        <v>36</v>
      </c>
      <c r="B44" s="4">
        <f>(VLOOKUP('18.05'!J44,'18.05'!$AO$4:$AR$55,4,FALSE))</f>
        <v>36</v>
      </c>
      <c r="C44" s="4">
        <f>(VLOOKUP('18.05'!K44,'18.05'!$AO$4:$AR$55,4,FALSE))</f>
        <v>36</v>
      </c>
      <c r="D44" s="4">
        <f>(VLOOKUP('18.05'!L44,'18.05'!$AO$4:$AR$55,4,FALSE))</f>
        <v>36</v>
      </c>
      <c r="E44" s="4">
        <f>(VLOOKUP('18.05'!M44,'18.05'!$AO$4:$AR$55,4,FALSE))</f>
        <v>36</v>
      </c>
      <c r="F44" s="4">
        <f>(VLOOKUP('18.05'!N44,'18.05'!$AO$4:$AR$55,4,FALSE))</f>
        <v>36</v>
      </c>
      <c r="G44" s="4">
        <f>(VLOOKUP('18.05'!O44,'18.05'!$AO$4:$AR$55,4,FALSE))</f>
        <v>0</v>
      </c>
      <c r="H44" s="4">
        <f>(VLOOKUP('18.05'!P44,'18.05'!$AO$4:$AR$55,4,FALSE))</f>
        <v>0</v>
      </c>
      <c r="I44" s="4">
        <f>(VLOOKUP('18.05'!Q44,'18.05'!$AO$4:$AR$55,4,FALSE))</f>
        <v>38</v>
      </c>
      <c r="J44" s="4">
        <f>(VLOOKUP('18.05'!R44,'18.05'!$AO$4:$AR$55,4,FALSE))</f>
        <v>34</v>
      </c>
      <c r="K44" s="4">
        <f>(VLOOKUP('18.05'!S44,'18.05'!$AO$4:$AR$55,4,FALSE))</f>
        <v>34</v>
      </c>
      <c r="L44" s="4">
        <f>(VLOOKUP('18.05'!T44,'18.05'!$AO$4:$AR$55,4,FALSE))</f>
        <v>34</v>
      </c>
      <c r="M44" s="4">
        <f>(VLOOKUP('18.05'!U44,'18.05'!$AO$4:$AR$55,4,FALSE))</f>
        <v>34</v>
      </c>
      <c r="N44" s="4">
        <f>(VLOOKUP('18.05'!V44,'18.05'!$AO$4:$AR$55,4,FALSE))</f>
        <v>34</v>
      </c>
      <c r="O44" s="4">
        <f>(VLOOKUP('18.05'!W44,'18.05'!$AO$4:$AR$55,4,FALSE))</f>
        <v>0</v>
      </c>
      <c r="P44" s="4">
        <f>(VLOOKUP('18.05'!X44,'18.05'!$AO$4:$AR$55,4,FALSE))</f>
        <v>0</v>
      </c>
      <c r="Q44" s="4">
        <f>(VLOOKUP('18.05'!Y44,'18.05'!$AO$4:$AR$55,4,FALSE))</f>
        <v>0</v>
      </c>
      <c r="R44" s="4">
        <f>(VLOOKUP('18.05'!Z44,'18.05'!$AO$4:$AR$55,4,FALSE))</f>
        <v>0</v>
      </c>
      <c r="S44" s="4">
        <f>(VLOOKUP('18.05'!AA44,'18.05'!$AO$4:$AR$55,4,FALSE))</f>
        <v>0</v>
      </c>
      <c r="T44" s="4">
        <f>(VLOOKUP('18.05'!AB44,'18.05'!$AO$4:$AR$55,4,FALSE))</f>
        <v>0</v>
      </c>
      <c r="U44" s="4">
        <f>(VLOOKUP('18.05'!AC44,'18.05'!$AO$4:$AR$55,4,FALSE))</f>
        <v>0</v>
      </c>
      <c r="V44" s="4">
        <f>(VLOOKUP('18.05'!AD44,'18.05'!$AO$4:$AR$55,4,FALSE))</f>
        <v>0</v>
      </c>
      <c r="W44" s="4">
        <f>(VLOOKUP('18.05'!AE44,'18.05'!$AO$4:$AR$55,4,FALSE))</f>
        <v>0</v>
      </c>
      <c r="X44" s="4">
        <f>(VLOOKUP('18.05'!AF44,'18.05'!$AO$4:$AR$55,4,FALSE))</f>
        <v>0</v>
      </c>
    </row>
    <row r="45" spans="1:24">
      <c r="A45" s="4">
        <f>(VLOOKUP('18.05'!I45,'18.05'!$AO$4:$AR$55,4,FALSE))</f>
        <v>36</v>
      </c>
      <c r="B45" s="4">
        <f>(VLOOKUP('18.05'!J45,'18.05'!$AO$4:$AR$55,4,FALSE))</f>
        <v>34</v>
      </c>
      <c r="C45" s="4">
        <f>(VLOOKUP('18.05'!K45,'18.05'!$AO$4:$AR$55,4,FALSE))</f>
        <v>34</v>
      </c>
      <c r="D45" s="4">
        <f>(VLOOKUP('18.05'!L45,'18.05'!$AO$4:$AR$55,4,FALSE))</f>
        <v>34</v>
      </c>
      <c r="E45" s="4">
        <f>(VLOOKUP('18.05'!M45,'18.05'!$AO$4:$AR$55,4,FALSE))</f>
        <v>34</v>
      </c>
      <c r="F45" s="4">
        <f>(VLOOKUP('18.05'!N45,'18.05'!$AO$4:$AR$55,4,FALSE))</f>
        <v>0</v>
      </c>
      <c r="G45" s="4">
        <f>(VLOOKUP('18.05'!O45,'18.05'!$AO$4:$AR$55,4,FALSE))</f>
        <v>0</v>
      </c>
      <c r="H45" s="4">
        <f>(VLOOKUP('18.05'!P45,'18.05'!$AO$4:$AR$55,4,FALSE))</f>
        <v>0</v>
      </c>
      <c r="I45" s="4">
        <f>(VLOOKUP('18.05'!Q45,'18.05'!$AO$4:$AR$55,4,FALSE))</f>
        <v>34</v>
      </c>
      <c r="J45" s="4">
        <f>(VLOOKUP('18.05'!R45,'18.05'!$AO$4:$AR$55,4,FALSE))</f>
        <v>34</v>
      </c>
      <c r="K45" s="4">
        <f>(VLOOKUP('18.05'!S45,'18.05'!$AO$4:$AR$55,4,FALSE))</f>
        <v>34</v>
      </c>
      <c r="L45" s="4">
        <f>(VLOOKUP('18.05'!T45,'18.05'!$AO$4:$AR$55,4,FALSE))</f>
        <v>34</v>
      </c>
      <c r="M45" s="4">
        <f>(VLOOKUP('18.05'!U45,'18.05'!$AO$4:$AR$55,4,FALSE))</f>
        <v>34</v>
      </c>
      <c r="N45" s="4">
        <f>(VLOOKUP('18.05'!V45,'18.05'!$AO$4:$AR$55,4,FALSE))</f>
        <v>34</v>
      </c>
      <c r="O45" s="4">
        <f>(VLOOKUP('18.05'!W45,'18.05'!$AO$4:$AR$55,4,FALSE))</f>
        <v>0</v>
      </c>
      <c r="P45" s="4">
        <f>(VLOOKUP('18.05'!X45,'18.05'!$AO$4:$AR$55,4,FALSE))</f>
        <v>0</v>
      </c>
      <c r="Q45" s="4">
        <f>(VLOOKUP('18.05'!Y45,'18.05'!$AO$4:$AR$55,4,FALSE))</f>
        <v>0</v>
      </c>
      <c r="R45" s="4">
        <f>(VLOOKUP('18.05'!Z45,'18.05'!$AO$4:$AR$55,4,FALSE))</f>
        <v>0</v>
      </c>
      <c r="S45" s="4">
        <f>(VLOOKUP('18.05'!AA45,'18.05'!$AO$4:$AR$55,4,FALSE))</f>
        <v>0</v>
      </c>
      <c r="T45" s="4">
        <f>(VLOOKUP('18.05'!AB45,'18.05'!$AO$4:$AR$55,4,FALSE))</f>
        <v>0</v>
      </c>
      <c r="U45" s="4">
        <f>(VLOOKUP('18.05'!AC45,'18.05'!$AO$4:$AR$55,4,FALSE))</f>
        <v>0</v>
      </c>
      <c r="V45" s="4">
        <f>(VLOOKUP('18.05'!AD45,'18.05'!$AO$4:$AR$55,4,FALSE))</f>
        <v>0</v>
      </c>
      <c r="W45" s="4">
        <f>(VLOOKUP('18.05'!AE45,'18.05'!$AO$4:$AR$55,4,FALSE))</f>
        <v>0</v>
      </c>
      <c r="X45" s="4">
        <f>(VLOOKUP('18.05'!AF45,'18.05'!$AO$4:$AR$55,4,FALSE))</f>
        <v>0</v>
      </c>
    </row>
    <row r="46" spans="1:24">
      <c r="A46" s="4">
        <f>(VLOOKUP('18.05'!I46,'18.05'!$AO$4:$AR$55,4,FALSE))</f>
        <v>34</v>
      </c>
      <c r="B46" s="4">
        <f>(VLOOKUP('18.05'!J46,'18.05'!$AO$4:$AR$55,4,FALSE))</f>
        <v>13.999854933178597</v>
      </c>
      <c r="C46" s="4">
        <f>(VLOOKUP('18.05'!K46,'18.05'!$AO$4:$AR$55,4,FALSE))</f>
        <v>34</v>
      </c>
      <c r="D46" s="4">
        <f>(VLOOKUP('18.05'!L46,'18.05'!$AO$4:$AR$55,4,FALSE))</f>
        <v>34</v>
      </c>
      <c r="E46" s="4">
        <f>(VLOOKUP('18.05'!M46,'18.05'!$AO$4:$AR$55,4,FALSE))</f>
        <v>34</v>
      </c>
      <c r="F46" s="4">
        <f>(VLOOKUP('18.05'!N46,'18.05'!$AO$4:$AR$55,4,FALSE))</f>
        <v>34</v>
      </c>
      <c r="G46" s="4">
        <f>(VLOOKUP('18.05'!O46,'18.05'!$AO$4:$AR$55,4,FALSE))</f>
        <v>0</v>
      </c>
      <c r="H46" s="4">
        <f>(VLOOKUP('18.05'!P46,'18.05'!$AO$4:$AR$55,4,FALSE))</f>
        <v>0</v>
      </c>
      <c r="I46" s="4">
        <f>(VLOOKUP('18.05'!Q46,'18.05'!$AO$4:$AR$55,4,FALSE))</f>
        <v>38</v>
      </c>
      <c r="J46" s="4">
        <f>(VLOOKUP('18.05'!R46,'18.05'!$AO$4:$AR$55,4,FALSE))</f>
        <v>38</v>
      </c>
      <c r="K46" s="4">
        <f>(VLOOKUP('18.05'!S46,'18.05'!$AO$4:$AR$55,4,FALSE))</f>
        <v>38</v>
      </c>
      <c r="L46" s="4">
        <f>(VLOOKUP('18.05'!T46,'18.05'!$AO$4:$AR$55,4,FALSE))</f>
        <v>38</v>
      </c>
      <c r="M46" s="4">
        <f>(VLOOKUP('18.05'!U46,'18.05'!$AO$4:$AR$55,4,FALSE))</f>
        <v>38</v>
      </c>
      <c r="N46" s="4">
        <f>(VLOOKUP('18.05'!V46,'18.05'!$AO$4:$AR$55,4,FALSE))</f>
        <v>38</v>
      </c>
      <c r="O46" s="4">
        <f>(VLOOKUP('18.05'!W46,'18.05'!$AO$4:$AR$55,4,FALSE))</f>
        <v>0</v>
      </c>
      <c r="P46" s="4">
        <f>(VLOOKUP('18.05'!X46,'18.05'!$AO$4:$AR$55,4,FALSE))</f>
        <v>0</v>
      </c>
      <c r="Q46" s="4">
        <f>(VLOOKUP('18.05'!Y46,'18.05'!$AO$4:$AR$55,4,FALSE))</f>
        <v>0</v>
      </c>
      <c r="R46" s="4">
        <f>(VLOOKUP('18.05'!Z46,'18.05'!$AO$4:$AR$55,4,FALSE))</f>
        <v>0</v>
      </c>
      <c r="S46" s="4">
        <f>(VLOOKUP('18.05'!AA46,'18.05'!$AO$4:$AR$55,4,FALSE))</f>
        <v>0</v>
      </c>
      <c r="T46" s="4">
        <f>(VLOOKUP('18.05'!AB46,'18.05'!$AO$4:$AR$55,4,FALSE))</f>
        <v>0</v>
      </c>
      <c r="U46" s="4">
        <f>(VLOOKUP('18.05'!AC46,'18.05'!$AO$4:$AR$55,4,FALSE))</f>
        <v>0</v>
      </c>
      <c r="V46" s="4">
        <f>(VLOOKUP('18.05'!AD46,'18.05'!$AO$4:$AR$55,4,FALSE))</f>
        <v>0</v>
      </c>
      <c r="W46" s="4">
        <f>(VLOOKUP('18.05'!AE46,'18.05'!$AO$4:$AR$55,4,FALSE))</f>
        <v>0</v>
      </c>
      <c r="X46" s="4">
        <f>(VLOOKUP('18.05'!AF46,'18.05'!$AO$4:$AR$55,4,FALSE))</f>
        <v>0</v>
      </c>
    </row>
    <row r="47" spans="1:24">
      <c r="A47" s="4">
        <f>(VLOOKUP('18.05'!I47,'18.05'!$AO$4:$AR$55,4,FALSE))</f>
        <v>34</v>
      </c>
      <c r="B47" s="4">
        <f>(VLOOKUP('18.05'!J47,'18.05'!$AO$4:$AR$55,4,FALSE))</f>
        <v>34</v>
      </c>
      <c r="C47" s="4">
        <f>(VLOOKUP('18.05'!K47,'18.05'!$AO$4:$AR$55,4,FALSE))</f>
        <v>34</v>
      </c>
      <c r="D47" s="4">
        <f>(VLOOKUP('18.05'!L47,'18.05'!$AO$4:$AR$55,4,FALSE))</f>
        <v>34</v>
      </c>
      <c r="E47" s="4">
        <f>(VLOOKUP('18.05'!M47,'18.05'!$AO$4:$AR$55,4,FALSE))</f>
        <v>10</v>
      </c>
      <c r="F47" s="4">
        <f>(VLOOKUP('18.05'!N47,'18.05'!$AO$4:$AR$55,4,FALSE))</f>
        <v>34</v>
      </c>
      <c r="G47" s="4">
        <f>(VLOOKUP('18.05'!O47,'18.05'!$AO$4:$AR$55,4,FALSE))</f>
        <v>0</v>
      </c>
      <c r="H47" s="4">
        <f>(VLOOKUP('18.05'!P47,'18.05'!$AO$4:$AR$55,4,FALSE))</f>
        <v>0</v>
      </c>
      <c r="I47" s="4">
        <f>(VLOOKUP('18.05'!Q47,'18.05'!$AO$4:$AR$55,4,FALSE))</f>
        <v>38</v>
      </c>
      <c r="J47" s="4">
        <f>(VLOOKUP('18.05'!R47,'18.05'!$AO$4:$AR$55,4,FALSE))</f>
        <v>38</v>
      </c>
      <c r="K47" s="4">
        <f>(VLOOKUP('18.05'!S47,'18.05'!$AO$4:$AR$55,4,FALSE))</f>
        <v>38</v>
      </c>
      <c r="L47" s="4">
        <f>(VLOOKUP('18.05'!T47,'18.05'!$AO$4:$AR$55,4,FALSE))</f>
        <v>38</v>
      </c>
      <c r="M47" s="4">
        <f>(VLOOKUP('18.05'!U47,'18.05'!$AO$4:$AR$55,4,FALSE))</f>
        <v>38</v>
      </c>
      <c r="N47" s="4">
        <f>(VLOOKUP('18.05'!V47,'18.05'!$AO$4:$AR$55,4,FALSE))</f>
        <v>38</v>
      </c>
      <c r="O47" s="4">
        <f>(VLOOKUP('18.05'!W47,'18.05'!$AO$4:$AR$55,4,FALSE))</f>
        <v>0</v>
      </c>
      <c r="P47" s="4">
        <f>(VLOOKUP('18.05'!X47,'18.05'!$AO$4:$AR$55,4,FALSE))</f>
        <v>0</v>
      </c>
      <c r="Q47" s="4">
        <f>(VLOOKUP('18.05'!Y47,'18.05'!$AO$4:$AR$55,4,FALSE))</f>
        <v>0</v>
      </c>
      <c r="R47" s="4">
        <f>(VLOOKUP('18.05'!Z47,'18.05'!$AO$4:$AR$55,4,FALSE))</f>
        <v>0</v>
      </c>
      <c r="S47" s="4">
        <f>(VLOOKUP('18.05'!AA47,'18.05'!$AO$4:$AR$55,4,FALSE))</f>
        <v>0</v>
      </c>
      <c r="T47" s="4">
        <f>(VLOOKUP('18.05'!AB47,'18.05'!$AO$4:$AR$55,4,FALSE))</f>
        <v>0</v>
      </c>
      <c r="U47" s="4">
        <f>(VLOOKUP('18.05'!AC47,'18.05'!$AO$4:$AR$55,4,FALSE))</f>
        <v>0</v>
      </c>
      <c r="V47" s="4">
        <f>(VLOOKUP('18.05'!AD47,'18.05'!$AO$4:$AR$55,4,FALSE))</f>
        <v>0</v>
      </c>
      <c r="W47" s="4">
        <f>(VLOOKUP('18.05'!AE47,'18.05'!$AO$4:$AR$55,4,FALSE))</f>
        <v>0</v>
      </c>
      <c r="X47" s="4">
        <f>(VLOOKUP('18.05'!AF47,'18.05'!$AO$4:$AR$55,4,FALSE))</f>
        <v>0</v>
      </c>
    </row>
    <row r="48" spans="1:24">
      <c r="A48" s="4">
        <f>(VLOOKUP('18.05'!I48,'18.05'!$AO$4:$AR$55,4,FALSE))</f>
        <v>34</v>
      </c>
      <c r="B48" s="4">
        <f>(VLOOKUP('18.05'!J48,'18.05'!$AO$4:$AR$55,4,FALSE))</f>
        <v>34</v>
      </c>
      <c r="C48" s="4">
        <f>(VLOOKUP('18.05'!K48,'18.05'!$AO$4:$AR$55,4,FALSE))</f>
        <v>34</v>
      </c>
      <c r="D48" s="4">
        <f>(VLOOKUP('18.05'!L48,'18.05'!$AO$4:$AR$55,4,FALSE))</f>
        <v>34</v>
      </c>
      <c r="E48" s="4">
        <f>(VLOOKUP('18.05'!M48,'18.05'!$AO$4:$AR$55,4,FALSE))</f>
        <v>34</v>
      </c>
      <c r="F48" s="4">
        <f>(VLOOKUP('18.05'!N48,'18.05'!$AO$4:$AR$55,4,FALSE))</f>
        <v>0</v>
      </c>
      <c r="G48" s="4">
        <f>(VLOOKUP('18.05'!O48,'18.05'!$AO$4:$AR$55,4,FALSE))</f>
        <v>0</v>
      </c>
      <c r="H48" s="4">
        <f>(VLOOKUP('18.05'!P48,'18.05'!$AO$4:$AR$55,4,FALSE))</f>
        <v>0</v>
      </c>
      <c r="I48" s="4">
        <f>(VLOOKUP('18.05'!Q48,'18.05'!$AO$4:$AR$55,4,FALSE))</f>
        <v>38</v>
      </c>
      <c r="J48" s="4">
        <f>(VLOOKUP('18.05'!R48,'18.05'!$AO$4:$AR$55,4,FALSE))</f>
        <v>38</v>
      </c>
      <c r="K48" s="4">
        <f>(VLOOKUP('18.05'!S48,'18.05'!$AO$4:$AR$55,4,FALSE))</f>
        <v>38</v>
      </c>
      <c r="L48" s="4">
        <f>(VLOOKUP('18.05'!T48,'18.05'!$AO$4:$AR$55,4,FALSE))</f>
        <v>38</v>
      </c>
      <c r="M48" s="4">
        <f>(VLOOKUP('18.05'!U48,'18.05'!$AO$4:$AR$55,4,FALSE))</f>
        <v>38</v>
      </c>
      <c r="N48" s="4">
        <f>(VLOOKUP('18.05'!V48,'18.05'!$AO$4:$AR$55,4,FALSE))</f>
        <v>38</v>
      </c>
      <c r="O48" s="4">
        <f>(VLOOKUP('18.05'!W48,'18.05'!$AO$4:$AR$55,4,FALSE))</f>
        <v>0</v>
      </c>
      <c r="P48" s="4">
        <f>(VLOOKUP('18.05'!X48,'18.05'!$AO$4:$AR$55,4,FALSE))</f>
        <v>0</v>
      </c>
      <c r="Q48" s="4">
        <f>(VLOOKUP('18.05'!Y48,'18.05'!$AO$4:$AR$55,4,FALSE))</f>
        <v>0</v>
      </c>
      <c r="R48" s="4">
        <f>(VLOOKUP('18.05'!Z48,'18.05'!$AO$4:$AR$55,4,FALSE))</f>
        <v>0</v>
      </c>
      <c r="S48" s="4">
        <f>(VLOOKUP('18.05'!AA48,'18.05'!$AO$4:$AR$55,4,FALSE))</f>
        <v>0</v>
      </c>
      <c r="T48" s="4">
        <f>(VLOOKUP('18.05'!AB48,'18.05'!$AO$4:$AR$55,4,FALSE))</f>
        <v>0</v>
      </c>
      <c r="U48" s="4">
        <f>(VLOOKUP('18.05'!AC48,'18.05'!$AO$4:$AR$55,4,FALSE))</f>
        <v>0</v>
      </c>
      <c r="V48" s="4">
        <f>(VLOOKUP('18.05'!AD48,'18.05'!$AO$4:$AR$55,4,FALSE))</f>
        <v>0</v>
      </c>
      <c r="W48" s="4">
        <f>(VLOOKUP('18.05'!AE48,'18.05'!$AO$4:$AR$55,4,FALSE))</f>
        <v>0</v>
      </c>
      <c r="X48" s="4">
        <f>(VLOOKUP('18.05'!AF48,'18.05'!$AO$4:$AR$55,4,FALSE))</f>
        <v>0</v>
      </c>
    </row>
    <row r="49" spans="1:24">
      <c r="A49" s="4">
        <f>(VLOOKUP('18.05'!I49,'18.05'!$AO$4:$AR$55,4,FALSE))</f>
        <v>34</v>
      </c>
      <c r="B49" s="4">
        <f>(VLOOKUP('18.05'!J49,'18.05'!$AO$4:$AR$55,4,FALSE))</f>
        <v>34</v>
      </c>
      <c r="C49" s="4">
        <f>(VLOOKUP('18.05'!K49,'18.05'!$AO$4:$AR$55,4,FALSE))</f>
        <v>34</v>
      </c>
      <c r="D49" s="4">
        <f>(VLOOKUP('18.05'!L49,'18.05'!$AO$4:$AR$55,4,FALSE))</f>
        <v>34</v>
      </c>
      <c r="E49" s="4">
        <f>(VLOOKUP('18.05'!M49,'18.05'!$AO$4:$AR$55,4,FALSE))</f>
        <v>34</v>
      </c>
      <c r="F49" s="4">
        <f>(VLOOKUP('18.05'!N49,'18.05'!$AO$4:$AR$55,4,FALSE))</f>
        <v>34</v>
      </c>
      <c r="G49" s="4">
        <f>(VLOOKUP('18.05'!O49,'18.05'!$AO$4:$AR$55,4,FALSE))</f>
        <v>0</v>
      </c>
      <c r="H49" s="4">
        <f>(VLOOKUP('18.05'!P49,'18.05'!$AO$4:$AR$55,4,FALSE))</f>
        <v>0</v>
      </c>
      <c r="I49" s="4">
        <f>(VLOOKUP('18.05'!Q49,'18.05'!$AO$4:$AR$55,4,FALSE))</f>
        <v>38</v>
      </c>
      <c r="J49" s="4">
        <f>(VLOOKUP('18.05'!R49,'18.05'!$AO$4:$AR$55,4,FALSE))</f>
        <v>38</v>
      </c>
      <c r="K49" s="4">
        <f>(VLOOKUP('18.05'!S49,'18.05'!$AO$4:$AR$55,4,FALSE))</f>
        <v>38</v>
      </c>
      <c r="L49" s="4">
        <f>(VLOOKUP('18.05'!T49,'18.05'!$AO$4:$AR$55,4,FALSE))</f>
        <v>38</v>
      </c>
      <c r="M49" s="4">
        <f>(VLOOKUP('18.05'!U49,'18.05'!$AO$4:$AR$55,4,FALSE))</f>
        <v>38</v>
      </c>
      <c r="N49" s="4">
        <f>(VLOOKUP('18.05'!V49,'18.05'!$AO$4:$AR$55,4,FALSE))</f>
        <v>38</v>
      </c>
      <c r="O49" s="4">
        <f>(VLOOKUP('18.05'!W49,'18.05'!$AO$4:$AR$55,4,FALSE))</f>
        <v>0</v>
      </c>
      <c r="P49" s="4">
        <f>(VLOOKUP('18.05'!X49,'18.05'!$AO$4:$AR$55,4,FALSE))</f>
        <v>0</v>
      </c>
      <c r="Q49" s="4">
        <f>(VLOOKUP('18.05'!Y49,'18.05'!$AO$4:$AR$55,4,FALSE))</f>
        <v>0</v>
      </c>
      <c r="R49" s="4">
        <f>(VLOOKUP('18.05'!Z49,'18.05'!$AO$4:$AR$55,4,FALSE))</f>
        <v>0</v>
      </c>
      <c r="S49" s="4">
        <f>(VLOOKUP('18.05'!AA49,'18.05'!$AO$4:$AR$55,4,FALSE))</f>
        <v>0</v>
      </c>
      <c r="T49" s="4">
        <f>(VLOOKUP('18.05'!AB49,'18.05'!$AO$4:$AR$55,4,FALSE))</f>
        <v>0</v>
      </c>
      <c r="U49" s="4">
        <f>(VLOOKUP('18.05'!AC49,'18.05'!$AO$4:$AR$55,4,FALSE))</f>
        <v>0</v>
      </c>
      <c r="V49" s="4">
        <f>(VLOOKUP('18.05'!AD49,'18.05'!$AO$4:$AR$55,4,FALSE))</f>
        <v>0</v>
      </c>
      <c r="W49" s="4">
        <f>(VLOOKUP('18.05'!AE49,'18.05'!$AO$4:$AR$55,4,FALSE))</f>
        <v>0</v>
      </c>
      <c r="X49" s="4">
        <f>(VLOOKUP('18.05'!AF49,'18.05'!$AO$4:$AR$55,4,FALSE))</f>
        <v>0</v>
      </c>
    </row>
    <row r="50" spans="1:24">
      <c r="A50" s="4">
        <f>(VLOOKUP('18.05'!I50,'18.05'!$AO$4:$AR$55,4,FALSE))</f>
        <v>34</v>
      </c>
      <c r="B50" s="4">
        <f>(VLOOKUP('18.05'!J50,'18.05'!$AO$4:$AR$55,4,FALSE))</f>
        <v>34</v>
      </c>
      <c r="C50" s="4">
        <f>(VLOOKUP('18.05'!K50,'18.05'!$AO$4:$AR$55,4,FALSE))</f>
        <v>34</v>
      </c>
      <c r="D50" s="4">
        <f>(VLOOKUP('18.05'!L50,'18.05'!$AO$4:$AR$55,4,FALSE))</f>
        <v>34</v>
      </c>
      <c r="E50" s="4">
        <f>(VLOOKUP('18.05'!M50,'18.05'!$AO$4:$AR$55,4,FALSE))</f>
        <v>34</v>
      </c>
      <c r="F50" s="4">
        <f>(VLOOKUP('18.05'!N50,'18.05'!$AO$4:$AR$55,4,FALSE))</f>
        <v>34</v>
      </c>
      <c r="G50" s="4">
        <f>(VLOOKUP('18.05'!O50,'18.05'!$AO$4:$AR$55,4,FALSE))</f>
        <v>0</v>
      </c>
      <c r="H50" s="4">
        <f>(VLOOKUP('18.05'!P50,'18.05'!$AO$4:$AR$55,4,FALSE))</f>
        <v>0</v>
      </c>
      <c r="I50" s="4">
        <f>(VLOOKUP('18.05'!Q50,'18.05'!$AO$4:$AR$55,4,FALSE))</f>
        <v>38</v>
      </c>
      <c r="J50" s="4">
        <f>(VLOOKUP('18.05'!R50,'18.05'!$AO$4:$AR$55,4,FALSE))</f>
        <v>38</v>
      </c>
      <c r="K50" s="4">
        <f>(VLOOKUP('18.05'!S50,'18.05'!$AO$4:$AR$55,4,FALSE))</f>
        <v>38</v>
      </c>
      <c r="L50" s="4">
        <f>(VLOOKUP('18.05'!T50,'18.05'!$AO$4:$AR$55,4,FALSE))</f>
        <v>38</v>
      </c>
      <c r="M50" s="4">
        <f>(VLOOKUP('18.05'!U50,'18.05'!$AO$4:$AR$55,4,FALSE))</f>
        <v>38</v>
      </c>
      <c r="N50" s="4">
        <f>(VLOOKUP('18.05'!V50,'18.05'!$AO$4:$AR$55,4,FALSE))</f>
        <v>38</v>
      </c>
      <c r="O50" s="4">
        <f>(VLOOKUP('18.05'!W50,'18.05'!$AO$4:$AR$55,4,FALSE))</f>
        <v>0</v>
      </c>
      <c r="P50" s="4">
        <f>(VLOOKUP('18.05'!X50,'18.05'!$AO$4:$AR$55,4,FALSE))</f>
        <v>0</v>
      </c>
      <c r="Q50" s="4">
        <f>(VLOOKUP('18.05'!Y50,'18.05'!$AO$4:$AR$55,4,FALSE))</f>
        <v>0</v>
      </c>
      <c r="R50" s="4">
        <f>(VLOOKUP('18.05'!Z50,'18.05'!$AO$4:$AR$55,4,FALSE))</f>
        <v>0</v>
      </c>
      <c r="S50" s="4">
        <f>(VLOOKUP('18.05'!AA50,'18.05'!$AO$4:$AR$55,4,FALSE))</f>
        <v>0</v>
      </c>
      <c r="T50" s="4">
        <f>(VLOOKUP('18.05'!AB50,'18.05'!$AO$4:$AR$55,4,FALSE))</f>
        <v>0</v>
      </c>
      <c r="U50" s="4">
        <f>(VLOOKUP('18.05'!AC50,'18.05'!$AO$4:$AR$55,4,FALSE))</f>
        <v>0</v>
      </c>
      <c r="V50" s="4">
        <f>(VLOOKUP('18.05'!AD50,'18.05'!$AO$4:$AR$55,4,FALSE))</f>
        <v>0</v>
      </c>
      <c r="W50" s="4">
        <f>(VLOOKUP('18.05'!AE50,'18.05'!$AO$4:$AR$55,4,FALSE))</f>
        <v>0</v>
      </c>
      <c r="X50" s="4">
        <f>(VLOOKUP('18.05'!AF50,'18.05'!$AO$4:$AR$55,4,FALSE))</f>
        <v>0</v>
      </c>
    </row>
    <row r="51" spans="1:24">
      <c r="A51" s="4">
        <f>(VLOOKUP('18.05'!I51,'18.05'!$AO$4:$AR$55,4,FALSE))</f>
        <v>34</v>
      </c>
      <c r="B51" s="4">
        <f>(VLOOKUP('18.05'!J51,'18.05'!$AO$4:$AR$55,4,FALSE))</f>
        <v>34</v>
      </c>
      <c r="C51" s="4">
        <f>(VLOOKUP('18.05'!K51,'18.05'!$AO$4:$AR$55,4,FALSE))</f>
        <v>34</v>
      </c>
      <c r="D51" s="4">
        <f>(VLOOKUP('18.05'!L51,'18.05'!$AO$4:$AR$55,4,FALSE))</f>
        <v>34</v>
      </c>
      <c r="E51" s="4">
        <f>(VLOOKUP('18.05'!M51,'18.05'!$AO$4:$AR$55,4,FALSE))</f>
        <v>10</v>
      </c>
      <c r="F51" s="4">
        <f>(VLOOKUP('18.05'!N51,'18.05'!$AO$4:$AR$55,4,FALSE))</f>
        <v>34</v>
      </c>
      <c r="G51" s="4">
        <f>(VLOOKUP('18.05'!O51,'18.05'!$AO$4:$AR$55,4,FALSE))</f>
        <v>0</v>
      </c>
      <c r="H51" s="4">
        <f>(VLOOKUP('18.05'!P51,'18.05'!$AO$4:$AR$55,4,FALSE))</f>
        <v>0</v>
      </c>
      <c r="I51" s="4">
        <f>(VLOOKUP('18.05'!Q51,'18.05'!$AO$4:$AR$55,4,FALSE))</f>
        <v>38</v>
      </c>
      <c r="J51" s="4">
        <f>(VLOOKUP('18.05'!R51,'18.05'!$AO$4:$AR$55,4,FALSE))</f>
        <v>38</v>
      </c>
      <c r="K51" s="4">
        <f>(VLOOKUP('18.05'!S51,'18.05'!$AO$4:$AR$55,4,FALSE))</f>
        <v>38</v>
      </c>
      <c r="L51" s="4">
        <f>(VLOOKUP('18.05'!T51,'18.05'!$AO$4:$AR$55,4,FALSE))</f>
        <v>10</v>
      </c>
      <c r="M51" s="4">
        <f>(VLOOKUP('18.05'!U51,'18.05'!$AO$4:$AR$55,4,FALSE))</f>
        <v>38</v>
      </c>
      <c r="N51" s="4">
        <f>(VLOOKUP('18.05'!V51,'18.05'!$AO$4:$AR$55,4,FALSE))</f>
        <v>38</v>
      </c>
      <c r="O51" s="4">
        <f>(VLOOKUP('18.05'!W51,'18.05'!$AO$4:$AR$55,4,FALSE))</f>
        <v>0</v>
      </c>
      <c r="P51" s="4">
        <f>(VLOOKUP('18.05'!X51,'18.05'!$AO$4:$AR$55,4,FALSE))</f>
        <v>0</v>
      </c>
      <c r="Q51" s="4">
        <f>(VLOOKUP('18.05'!Y51,'18.05'!$AO$4:$AR$55,4,FALSE))</f>
        <v>0</v>
      </c>
      <c r="R51" s="4">
        <f>(VLOOKUP('18.05'!Z51,'18.05'!$AO$4:$AR$55,4,FALSE))</f>
        <v>0</v>
      </c>
      <c r="S51" s="4">
        <f>(VLOOKUP('18.05'!AA51,'18.05'!$AO$4:$AR$55,4,FALSE))</f>
        <v>0</v>
      </c>
      <c r="T51" s="4">
        <f>(VLOOKUP('18.05'!AB51,'18.05'!$AO$4:$AR$55,4,FALSE))</f>
        <v>0</v>
      </c>
      <c r="U51" s="4">
        <f>(VLOOKUP('18.05'!AC51,'18.05'!$AO$4:$AR$55,4,FALSE))</f>
        <v>0</v>
      </c>
      <c r="V51" s="4">
        <f>(VLOOKUP('18.05'!AD51,'18.05'!$AO$4:$AR$55,4,FALSE))</f>
        <v>0</v>
      </c>
      <c r="W51" s="4">
        <f>(VLOOKUP('18.05'!AE51,'18.05'!$AO$4:$AR$55,4,FALSE))</f>
        <v>0</v>
      </c>
      <c r="X51" s="4">
        <f>(VLOOKUP('18.05'!AF51,'18.05'!$AO$4:$AR$55,4,FALSE))</f>
        <v>0</v>
      </c>
    </row>
    <row r="52" spans="1:24">
      <c r="A52" s="4">
        <f>(VLOOKUP('18.05'!I52,'18.05'!$AO$4:$AR$55,4,FALSE))</f>
        <v>34</v>
      </c>
      <c r="B52" s="4">
        <f>(VLOOKUP('18.05'!J52,'18.05'!$AO$4:$AR$55,4,FALSE))</f>
        <v>34</v>
      </c>
      <c r="C52" s="4">
        <f>(VLOOKUP('18.05'!K52,'18.05'!$AO$4:$AR$55,4,FALSE))</f>
        <v>34</v>
      </c>
      <c r="D52" s="4">
        <f>(VLOOKUP('18.05'!L52,'18.05'!$AO$4:$AR$55,4,FALSE))</f>
        <v>34</v>
      </c>
      <c r="E52" s="4">
        <f>(VLOOKUP('18.05'!M52,'18.05'!$AO$4:$AR$55,4,FALSE))</f>
        <v>34</v>
      </c>
      <c r="F52" s="4">
        <f>(VLOOKUP('18.05'!N52,'18.05'!$AO$4:$AR$55,4,FALSE))</f>
        <v>34</v>
      </c>
      <c r="G52" s="4">
        <f>(VLOOKUP('18.05'!O52,'18.05'!$AO$4:$AR$55,4,FALSE))</f>
        <v>0</v>
      </c>
      <c r="H52" s="4">
        <f>(VLOOKUP('18.05'!P52,'18.05'!$AO$4:$AR$55,4,FALSE))</f>
        <v>0</v>
      </c>
      <c r="I52" s="4">
        <f>(VLOOKUP('18.05'!Q52,'18.05'!$AO$4:$AR$55,4,FALSE))</f>
        <v>38</v>
      </c>
      <c r="J52" s="4">
        <f>(VLOOKUP('18.05'!R52,'18.05'!$AO$4:$AR$55,4,FALSE))</f>
        <v>38</v>
      </c>
      <c r="K52" s="4">
        <f>(VLOOKUP('18.05'!S52,'18.05'!$AO$4:$AR$55,4,FALSE))</f>
        <v>38</v>
      </c>
      <c r="L52" s="4">
        <f>(VLOOKUP('18.05'!T52,'18.05'!$AO$4:$AR$55,4,FALSE))</f>
        <v>38</v>
      </c>
      <c r="M52" s="4">
        <f>(VLOOKUP('18.05'!U52,'18.05'!$AO$4:$AR$55,4,FALSE))</f>
        <v>38</v>
      </c>
      <c r="N52" s="4">
        <f>(VLOOKUP('18.05'!V52,'18.05'!$AO$4:$AR$55,4,FALSE))</f>
        <v>38</v>
      </c>
      <c r="O52" s="4">
        <f>(VLOOKUP('18.05'!W52,'18.05'!$AO$4:$AR$55,4,FALSE))</f>
        <v>0</v>
      </c>
      <c r="P52" s="4">
        <f>(VLOOKUP('18.05'!X52,'18.05'!$AO$4:$AR$55,4,FALSE))</f>
        <v>0</v>
      </c>
      <c r="Q52" s="4">
        <f>(VLOOKUP('18.05'!Y52,'18.05'!$AO$4:$AR$55,4,FALSE))</f>
        <v>0</v>
      </c>
      <c r="R52" s="4">
        <f>(VLOOKUP('18.05'!Z52,'18.05'!$AO$4:$AR$55,4,FALSE))</f>
        <v>0</v>
      </c>
      <c r="S52" s="4">
        <f>(VLOOKUP('18.05'!AA52,'18.05'!$AO$4:$AR$55,4,FALSE))</f>
        <v>0</v>
      </c>
      <c r="T52" s="4">
        <f>(VLOOKUP('18.05'!AB52,'18.05'!$AO$4:$AR$55,4,FALSE))</f>
        <v>0</v>
      </c>
      <c r="U52" s="4">
        <f>(VLOOKUP('18.05'!AC52,'18.05'!$AO$4:$AR$55,4,FALSE))</f>
        <v>0</v>
      </c>
      <c r="V52" s="4">
        <f>(VLOOKUP('18.05'!AD52,'18.05'!$AO$4:$AR$55,4,FALSE))</f>
        <v>0</v>
      </c>
      <c r="W52" s="4">
        <f>(VLOOKUP('18.05'!AE52,'18.05'!$AO$4:$AR$55,4,FALSE))</f>
        <v>0</v>
      </c>
      <c r="X52" s="4">
        <f>(VLOOKUP('18.05'!AF52,'18.05'!$AO$4:$AR$55,4,FALSE))</f>
        <v>0</v>
      </c>
    </row>
    <row r="53" spans="1:24">
      <c r="A53" s="4">
        <f>(VLOOKUP('18.05'!I53,'18.05'!$AO$4:$AR$55,4,FALSE))</f>
        <v>34</v>
      </c>
      <c r="B53" s="4">
        <f>(VLOOKUP('18.05'!J53,'18.05'!$AO$4:$AR$55,4,FALSE))</f>
        <v>34</v>
      </c>
      <c r="C53" s="4">
        <f>(VLOOKUP('18.05'!K53,'18.05'!$AO$4:$AR$55,4,FALSE))</f>
        <v>10</v>
      </c>
      <c r="D53" s="4">
        <f>(VLOOKUP('18.05'!L53,'18.05'!$AO$4:$AR$55,4,FALSE))</f>
        <v>34</v>
      </c>
      <c r="E53" s="4">
        <f>(VLOOKUP('18.05'!M53,'18.05'!$AO$4:$AR$55,4,FALSE))</f>
        <v>34</v>
      </c>
      <c r="F53" s="4">
        <f>(VLOOKUP('18.05'!N53,'18.05'!$AO$4:$AR$55,4,FALSE))</f>
        <v>34</v>
      </c>
      <c r="G53" s="4">
        <f>(VLOOKUP('18.05'!O53,'18.05'!$AO$4:$AR$55,4,FALSE))</f>
        <v>0</v>
      </c>
      <c r="H53" s="4">
        <f>(VLOOKUP('18.05'!P53,'18.05'!$AO$4:$AR$55,4,FALSE))</f>
        <v>0</v>
      </c>
      <c r="I53" s="4">
        <f>(VLOOKUP('18.05'!Q53,'18.05'!$AO$4:$AR$55,4,FALSE))</f>
        <v>38</v>
      </c>
      <c r="J53" s="4">
        <f>(VLOOKUP('18.05'!R53,'18.05'!$AO$4:$AR$55,4,FALSE))</f>
        <v>38</v>
      </c>
      <c r="K53" s="4">
        <f>(VLOOKUP('18.05'!S53,'18.05'!$AO$4:$AR$55,4,FALSE))</f>
        <v>38</v>
      </c>
      <c r="L53" s="4">
        <f>(VLOOKUP('18.05'!T53,'18.05'!$AO$4:$AR$55,4,FALSE))</f>
        <v>38</v>
      </c>
      <c r="M53" s="4">
        <f>(VLOOKUP('18.05'!U53,'18.05'!$AO$4:$AR$55,4,FALSE))</f>
        <v>38</v>
      </c>
      <c r="N53" s="4">
        <f>(VLOOKUP('18.05'!V53,'18.05'!$AO$4:$AR$55,4,FALSE))</f>
        <v>38</v>
      </c>
      <c r="O53" s="4">
        <f>(VLOOKUP('18.05'!W53,'18.05'!$AO$4:$AR$55,4,FALSE))</f>
        <v>0</v>
      </c>
      <c r="P53" s="4">
        <f>(VLOOKUP('18.05'!X53,'18.05'!$AO$4:$AR$55,4,FALSE))</f>
        <v>0</v>
      </c>
      <c r="Q53" s="4">
        <f>(VLOOKUP('18.05'!Y53,'18.05'!$AO$4:$AR$55,4,FALSE))</f>
        <v>0</v>
      </c>
      <c r="R53" s="4">
        <f>(VLOOKUP('18.05'!Z53,'18.05'!$AO$4:$AR$55,4,FALSE))</f>
        <v>0</v>
      </c>
      <c r="S53" s="4">
        <f>(VLOOKUP('18.05'!AA53,'18.05'!$AO$4:$AR$55,4,FALSE))</f>
        <v>0</v>
      </c>
      <c r="T53" s="4">
        <f>(VLOOKUP('18.05'!AB53,'18.05'!$AO$4:$AR$55,4,FALSE))</f>
        <v>0</v>
      </c>
      <c r="U53" s="4">
        <f>(VLOOKUP('18.05'!AC53,'18.05'!$AO$4:$AR$55,4,FALSE))</f>
        <v>0</v>
      </c>
      <c r="V53" s="4">
        <f>(VLOOKUP('18.05'!AD53,'18.05'!$AO$4:$AR$55,4,FALSE))</f>
        <v>0</v>
      </c>
      <c r="W53" s="4">
        <f>(VLOOKUP('18.05'!AE53,'18.05'!$AO$4:$AR$55,4,FALSE))</f>
        <v>0</v>
      </c>
      <c r="X53" s="4">
        <f>(VLOOKUP('18.05'!AF53,'18.05'!$AO$4:$AR$55,4,FALSE))</f>
        <v>0</v>
      </c>
    </row>
    <row r="54" spans="1:24">
      <c r="A54" s="4">
        <f>(VLOOKUP('18.05'!I54,'18.05'!$AO$4:$AR$55,4,FALSE))</f>
        <v>39.110982162825422</v>
      </c>
      <c r="B54" s="4">
        <f>(VLOOKUP('18.05'!J54,'18.05'!$AO$4:$AR$55,4,FALSE))</f>
        <v>10</v>
      </c>
      <c r="C54" s="4">
        <f>(VLOOKUP('18.05'!K54,'18.05'!$AO$4:$AR$55,4,FALSE))</f>
        <v>39.110982162825422</v>
      </c>
      <c r="D54" s="4">
        <f>(VLOOKUP('18.05'!L54,'18.05'!$AO$4:$AR$55,4,FALSE))</f>
        <v>39.110982162825422</v>
      </c>
      <c r="E54" s="4">
        <f>(VLOOKUP('18.05'!M54,'18.05'!$AO$4:$AR$55,4,FALSE))</f>
        <v>29.110982162825422</v>
      </c>
      <c r="F54" s="4">
        <f>(VLOOKUP('18.05'!N54,'18.05'!$AO$4:$AR$55,4,FALSE))</f>
        <v>34</v>
      </c>
      <c r="G54" s="4">
        <f>(VLOOKUP('18.05'!O54,'18.05'!$AO$4:$AR$55,4,FALSE))</f>
        <v>0</v>
      </c>
      <c r="H54" s="4">
        <f>(VLOOKUP('18.05'!P54,'18.05'!$AO$4:$AR$55,4,FALSE))</f>
        <v>0</v>
      </c>
      <c r="I54" s="4">
        <f>(VLOOKUP('18.05'!Q54,'18.05'!$AO$4:$AR$55,4,FALSE))</f>
        <v>38</v>
      </c>
      <c r="J54" s="4">
        <f>(VLOOKUP('18.05'!R54,'18.05'!$AO$4:$AR$55,4,FALSE))</f>
        <v>38</v>
      </c>
      <c r="K54" s="4">
        <f>(VLOOKUP('18.05'!S54,'18.05'!$AO$4:$AR$55,4,FALSE))</f>
        <v>38</v>
      </c>
      <c r="L54" s="4">
        <f>(VLOOKUP('18.05'!T54,'18.05'!$AO$4:$AR$55,4,FALSE))</f>
        <v>38</v>
      </c>
      <c r="M54" s="4">
        <f>(VLOOKUP('18.05'!U54,'18.05'!$AO$4:$AR$55,4,FALSE))</f>
        <v>38</v>
      </c>
      <c r="N54" s="4">
        <f>(VLOOKUP('18.05'!V54,'18.05'!$AO$4:$AR$55,4,FALSE))</f>
        <v>38</v>
      </c>
      <c r="O54" s="4">
        <f>(VLOOKUP('18.05'!W54,'18.05'!$AO$4:$AR$55,4,FALSE))</f>
        <v>0</v>
      </c>
      <c r="P54" s="4">
        <f>(VLOOKUP('18.05'!X54,'18.05'!$AO$4:$AR$55,4,FALSE))</f>
        <v>0</v>
      </c>
      <c r="Q54" s="4">
        <f>(VLOOKUP('18.05'!Y54,'18.05'!$AO$4:$AR$55,4,FALSE))</f>
        <v>0</v>
      </c>
      <c r="R54" s="4">
        <f>(VLOOKUP('18.05'!Z54,'18.05'!$AO$4:$AR$55,4,FALSE))</f>
        <v>0</v>
      </c>
      <c r="S54" s="4">
        <f>(VLOOKUP('18.05'!AA54,'18.05'!$AO$4:$AR$55,4,FALSE))</f>
        <v>0</v>
      </c>
      <c r="T54" s="4">
        <f>(VLOOKUP('18.05'!AB54,'18.05'!$AO$4:$AR$55,4,FALSE))</f>
        <v>0</v>
      </c>
      <c r="U54" s="4">
        <f>(VLOOKUP('18.05'!AC54,'18.05'!$AO$4:$AR$55,4,FALSE))</f>
        <v>0</v>
      </c>
      <c r="V54" s="4">
        <f>(VLOOKUP('18.05'!AD54,'18.05'!$AO$4:$AR$55,4,FALSE))</f>
        <v>0</v>
      </c>
      <c r="W54" s="4">
        <f>(VLOOKUP('18.05'!AE54,'18.05'!$AO$4:$AR$55,4,FALSE))</f>
        <v>0</v>
      </c>
      <c r="X54" s="4">
        <f>(VLOOKUP('18.05'!AF54,'18.05'!$AO$4:$AR$55,4,FALSE))</f>
        <v>0</v>
      </c>
    </row>
    <row r="55" spans="1:24">
      <c r="A55" s="4">
        <f>(VLOOKUP('18.05'!I55,'18.05'!$AO$4:$AR$55,4,FALSE))</f>
        <v>0</v>
      </c>
      <c r="B55" s="4">
        <f>(VLOOKUP('18.05'!J55,'18.05'!$AO$4:$AR$55,4,FALSE))</f>
        <v>0</v>
      </c>
      <c r="C55" s="4">
        <f>(VLOOKUP('18.05'!K55,'18.05'!$AO$4:$AR$55,4,FALSE))</f>
        <v>0</v>
      </c>
      <c r="D55" s="4">
        <f>(VLOOKUP('18.05'!L55,'18.05'!$AO$4:$AR$55,4,FALSE))</f>
        <v>0</v>
      </c>
      <c r="E55" s="4">
        <f>(VLOOKUP('18.05'!M55,'18.05'!$AO$4:$AR$55,4,FALSE))</f>
        <v>0</v>
      </c>
      <c r="F55" s="4">
        <f>(VLOOKUP('18.05'!N55,'18.05'!$AO$4:$AR$55,4,FALSE))</f>
        <v>0</v>
      </c>
      <c r="G55" s="4">
        <f>(VLOOKUP('18.05'!O55,'18.05'!$AO$4:$AR$55,4,FALSE))</f>
        <v>0</v>
      </c>
      <c r="H55" s="4">
        <f>(VLOOKUP('18.05'!P55,'18.05'!$AO$4:$AR$55,4,FALSE))</f>
        <v>0</v>
      </c>
      <c r="I55" s="4">
        <f>(VLOOKUP('18.05'!Q55,'18.05'!$AO$4:$AR$55,4,FALSE))</f>
        <v>38</v>
      </c>
      <c r="J55" s="4">
        <f>(VLOOKUP('18.05'!R55,'18.05'!$AO$4:$AR$55,4,FALSE))</f>
        <v>38</v>
      </c>
      <c r="K55" s="4">
        <f>(VLOOKUP('18.05'!S55,'18.05'!$AO$4:$AR$55,4,FALSE))</f>
        <v>0</v>
      </c>
      <c r="L55" s="4">
        <f>(VLOOKUP('18.05'!T55,'18.05'!$AO$4:$AR$55,4,FALSE))</f>
        <v>38</v>
      </c>
      <c r="M55" s="4">
        <f>(VLOOKUP('18.05'!U55,'18.05'!$AO$4:$AR$55,4,FALSE))</f>
        <v>38</v>
      </c>
      <c r="N55" s="4">
        <f>(VLOOKUP('18.05'!V55,'18.05'!$AO$4:$AR$55,4,FALSE))</f>
        <v>38</v>
      </c>
      <c r="O55" s="4">
        <f>(VLOOKUP('18.05'!W55,'18.05'!$AO$4:$AR$55,4,FALSE))</f>
        <v>0</v>
      </c>
      <c r="P55" s="4">
        <f>(VLOOKUP('18.05'!X55,'18.05'!$AO$4:$AR$55,4,FALSE))</f>
        <v>0</v>
      </c>
      <c r="Q55" s="4">
        <f>(VLOOKUP('18.05'!Y55,'18.05'!$AO$4:$AR$55,4,FALSE))</f>
        <v>0</v>
      </c>
      <c r="R55" s="4">
        <f>(VLOOKUP('18.05'!Z55,'18.05'!$AO$4:$AR$55,4,FALSE))</f>
        <v>0</v>
      </c>
      <c r="S55" s="4">
        <f>(VLOOKUP('18.05'!AA55,'18.05'!$AO$4:$AR$55,4,FALSE))</f>
        <v>0</v>
      </c>
      <c r="T55" s="4">
        <f>(VLOOKUP('18.05'!AB55,'18.05'!$AO$4:$AR$55,4,FALSE))</f>
        <v>0</v>
      </c>
      <c r="U55" s="4">
        <f>(VLOOKUP('18.05'!AC55,'18.05'!$AO$4:$AR$55,4,FALSE))</f>
        <v>0</v>
      </c>
      <c r="V55" s="4">
        <f>(VLOOKUP('18.05'!AD55,'18.05'!$AO$4:$AR$55,4,FALSE))</f>
        <v>0</v>
      </c>
      <c r="W55" s="4">
        <f>(VLOOKUP('18.05'!AE55,'18.05'!$AO$4:$AR$55,4,FALSE))</f>
        <v>0</v>
      </c>
      <c r="X55" s="4">
        <f>(VLOOKUP('18.05'!AF55,'18.05'!$AO$4:$AR$55,4,FALSE))</f>
        <v>0</v>
      </c>
    </row>
    <row r="56" spans="1:24">
      <c r="A56" s="4">
        <f>(VLOOKUP('18.05'!I56,'18.05'!$AO$4:$AR$55,4,FALSE))</f>
        <v>34</v>
      </c>
      <c r="B56" s="4">
        <f>(VLOOKUP('18.05'!J56,'18.05'!$AO$4:$AR$55,4,FALSE))</f>
        <v>34</v>
      </c>
      <c r="C56" s="4">
        <f>(VLOOKUP('18.05'!K56,'18.05'!$AO$4:$AR$55,4,FALSE))</f>
        <v>34</v>
      </c>
      <c r="D56" s="4">
        <f>(VLOOKUP('18.05'!L56,'18.05'!$AO$4:$AR$55,4,FALSE))</f>
        <v>34</v>
      </c>
      <c r="E56" s="4">
        <f>(VLOOKUP('18.05'!M56,'18.05'!$AO$4:$AR$55,4,FALSE))</f>
        <v>34</v>
      </c>
      <c r="F56" s="4">
        <f>(VLOOKUP('18.05'!N56,'18.05'!$AO$4:$AR$55,4,FALSE))</f>
        <v>34</v>
      </c>
      <c r="G56" s="4">
        <f>(VLOOKUP('18.05'!O56,'18.05'!$AO$4:$AR$55,4,FALSE))</f>
        <v>0</v>
      </c>
      <c r="H56" s="4">
        <f>(VLOOKUP('18.05'!P56,'18.05'!$AO$4:$AR$55,4,FALSE))</f>
        <v>0</v>
      </c>
      <c r="I56" s="4">
        <f>(VLOOKUP('18.05'!Q56,'18.05'!$AO$4:$AR$55,4,FALSE))</f>
        <v>38</v>
      </c>
      <c r="J56" s="4">
        <f>(VLOOKUP('18.05'!R56,'18.05'!$AO$4:$AR$55,4,FALSE))</f>
        <v>38</v>
      </c>
      <c r="K56" s="4">
        <f>(VLOOKUP('18.05'!S56,'18.05'!$AO$4:$AR$55,4,FALSE))</f>
        <v>0</v>
      </c>
      <c r="L56" s="4">
        <f>(VLOOKUP('18.05'!T56,'18.05'!$AO$4:$AR$55,4,FALSE))</f>
        <v>38</v>
      </c>
      <c r="M56" s="4">
        <f>(VLOOKUP('18.05'!U56,'18.05'!$AO$4:$AR$55,4,FALSE))</f>
        <v>38</v>
      </c>
      <c r="N56" s="4">
        <f>(VLOOKUP('18.05'!V56,'18.05'!$AO$4:$AR$55,4,FALSE))</f>
        <v>38</v>
      </c>
      <c r="O56" s="4">
        <f>(VLOOKUP('18.05'!W56,'18.05'!$AO$4:$AR$55,4,FALSE))</f>
        <v>0</v>
      </c>
      <c r="P56" s="4">
        <f>(VLOOKUP('18.05'!X56,'18.05'!$AO$4:$AR$55,4,FALSE))</f>
        <v>0</v>
      </c>
      <c r="Q56" s="4">
        <f>(VLOOKUP('18.05'!Y56,'18.05'!$AO$4:$AR$55,4,FALSE))</f>
        <v>0</v>
      </c>
      <c r="R56" s="4">
        <f>(VLOOKUP('18.05'!Z56,'18.05'!$AO$4:$AR$55,4,FALSE))</f>
        <v>0</v>
      </c>
      <c r="S56" s="4">
        <f>(VLOOKUP('18.05'!AA56,'18.05'!$AO$4:$AR$55,4,FALSE))</f>
        <v>0</v>
      </c>
      <c r="T56" s="4">
        <f>(VLOOKUP('18.05'!AB56,'18.05'!$AO$4:$AR$55,4,FALSE))</f>
        <v>0</v>
      </c>
      <c r="U56" s="4">
        <f>(VLOOKUP('18.05'!AC56,'18.05'!$AO$4:$AR$55,4,FALSE))</f>
        <v>0</v>
      </c>
      <c r="V56" s="4">
        <f>(VLOOKUP('18.05'!AD56,'18.05'!$AO$4:$AR$55,4,FALSE))</f>
        <v>0</v>
      </c>
      <c r="W56" s="4">
        <f>(VLOOKUP('18.05'!AE56,'18.05'!$AO$4:$AR$55,4,FALSE))</f>
        <v>0</v>
      </c>
      <c r="X56" s="4">
        <f>(VLOOKUP('18.05'!AF56,'18.05'!$AO$4:$AR$55,4,FALSE))</f>
        <v>0</v>
      </c>
    </row>
    <row r="57" spans="1:24">
      <c r="A57" s="4">
        <f>(VLOOKUP('18.05'!I57,'18.05'!$AO$4:$AR$55,4,FALSE))</f>
        <v>34</v>
      </c>
      <c r="B57" s="4">
        <f>(VLOOKUP('18.05'!J57,'18.05'!$AO$4:$AR$55,4,FALSE))</f>
        <v>34</v>
      </c>
      <c r="C57" s="4">
        <f>(VLOOKUP('18.05'!K57,'18.05'!$AO$4:$AR$55,4,FALSE))</f>
        <v>34</v>
      </c>
      <c r="D57" s="4">
        <f>(VLOOKUP('18.05'!L57,'18.05'!$AO$4:$AR$55,4,FALSE))</f>
        <v>34</v>
      </c>
      <c r="E57" s="4">
        <f>(VLOOKUP('18.05'!M57,'18.05'!$AO$4:$AR$55,4,FALSE))</f>
        <v>10</v>
      </c>
      <c r="F57" s="4">
        <f>(VLOOKUP('18.05'!N57,'18.05'!$AO$4:$AR$55,4,FALSE))</f>
        <v>34</v>
      </c>
      <c r="G57" s="4">
        <f>(VLOOKUP('18.05'!O57,'18.05'!$AO$4:$AR$55,4,FALSE))</f>
        <v>0</v>
      </c>
      <c r="H57" s="4">
        <f>(VLOOKUP('18.05'!P57,'18.05'!$AO$4:$AR$55,4,FALSE))</f>
        <v>0</v>
      </c>
      <c r="I57" s="4">
        <f>(VLOOKUP('18.05'!Q57,'18.05'!$AO$4:$AR$55,4,FALSE))</f>
        <v>38</v>
      </c>
      <c r="J57" s="4">
        <f>(VLOOKUP('18.05'!R57,'18.05'!$AO$4:$AR$55,4,FALSE))</f>
        <v>38</v>
      </c>
      <c r="K57" s="4">
        <f>(VLOOKUP('18.05'!S57,'18.05'!$AO$4:$AR$55,4,FALSE))</f>
        <v>38</v>
      </c>
      <c r="L57" s="4">
        <f>(VLOOKUP('18.05'!T57,'18.05'!$AO$4:$AR$55,4,FALSE))</f>
        <v>38</v>
      </c>
      <c r="M57" s="4">
        <f>(VLOOKUP('18.05'!U57,'18.05'!$AO$4:$AR$55,4,FALSE))</f>
        <v>38</v>
      </c>
      <c r="N57" s="4">
        <f>(VLOOKUP('18.05'!V57,'18.05'!$AO$4:$AR$55,4,FALSE))</f>
        <v>38</v>
      </c>
      <c r="O57" s="4">
        <f>(VLOOKUP('18.05'!W57,'18.05'!$AO$4:$AR$55,4,FALSE))</f>
        <v>0</v>
      </c>
      <c r="P57" s="4">
        <f>(VLOOKUP('18.05'!X57,'18.05'!$AO$4:$AR$55,4,FALSE))</f>
        <v>0</v>
      </c>
      <c r="Q57" s="4">
        <f>(VLOOKUP('18.05'!Y57,'18.05'!$AO$4:$AR$55,4,FALSE))</f>
        <v>0</v>
      </c>
      <c r="R57" s="4">
        <f>(VLOOKUP('18.05'!Z57,'18.05'!$AO$4:$AR$55,4,FALSE))</f>
        <v>0</v>
      </c>
      <c r="S57" s="4">
        <f>(VLOOKUP('18.05'!AA57,'18.05'!$AO$4:$AR$55,4,FALSE))</f>
        <v>0</v>
      </c>
      <c r="T57" s="4">
        <f>(VLOOKUP('18.05'!AB57,'18.05'!$AO$4:$AR$55,4,FALSE))</f>
        <v>0</v>
      </c>
      <c r="U57" s="4">
        <f>(VLOOKUP('18.05'!AC57,'18.05'!$AO$4:$AR$55,4,FALSE))</f>
        <v>0</v>
      </c>
      <c r="V57" s="4">
        <f>(VLOOKUP('18.05'!AD57,'18.05'!$AO$4:$AR$55,4,FALSE))</f>
        <v>0</v>
      </c>
      <c r="W57" s="4">
        <f>(VLOOKUP('18.05'!AE57,'18.05'!$AO$4:$AR$55,4,FALSE))</f>
        <v>0</v>
      </c>
      <c r="X57" s="4">
        <f>(VLOOKUP('18.05'!AF57,'18.05'!$AO$4:$AR$55,4,FALSE))</f>
        <v>0</v>
      </c>
    </row>
    <row r="58" spans="1:24">
      <c r="A58" s="4">
        <f>(VLOOKUP('18.05'!I58,'18.05'!$AO$4:$AR$55,4,FALSE))</f>
        <v>34</v>
      </c>
      <c r="B58" s="4">
        <f>(VLOOKUP('18.05'!J58,'18.05'!$AO$4:$AR$55,4,FALSE))</f>
        <v>34</v>
      </c>
      <c r="C58" s="4">
        <f>(VLOOKUP('18.05'!K58,'18.05'!$AO$4:$AR$55,4,FALSE))</f>
        <v>34</v>
      </c>
      <c r="D58" s="4">
        <f>(VLOOKUP('18.05'!L58,'18.05'!$AO$4:$AR$55,4,FALSE))</f>
        <v>34</v>
      </c>
      <c r="E58" s="4">
        <f>(VLOOKUP('18.05'!M58,'18.05'!$AO$4:$AR$55,4,FALSE))</f>
        <v>34</v>
      </c>
      <c r="F58" s="4">
        <f>(VLOOKUP('18.05'!N58,'18.05'!$AO$4:$AR$55,4,FALSE))</f>
        <v>34</v>
      </c>
      <c r="G58" s="4">
        <f>(VLOOKUP('18.05'!O58,'18.05'!$AO$4:$AR$55,4,FALSE))</f>
        <v>0</v>
      </c>
      <c r="H58" s="4">
        <f>(VLOOKUP('18.05'!P58,'18.05'!$AO$4:$AR$55,4,FALSE))</f>
        <v>0</v>
      </c>
      <c r="I58" s="4">
        <f>(VLOOKUP('18.05'!Q58,'18.05'!$AO$4:$AR$55,4,FALSE))</f>
        <v>38</v>
      </c>
      <c r="J58" s="4">
        <f>(VLOOKUP('18.05'!R58,'18.05'!$AO$4:$AR$55,4,FALSE))</f>
        <v>38</v>
      </c>
      <c r="K58" s="4">
        <f>(VLOOKUP('18.05'!S58,'18.05'!$AO$4:$AR$55,4,FALSE))</f>
        <v>10</v>
      </c>
      <c r="L58" s="4">
        <f>(VLOOKUP('18.05'!T58,'18.05'!$AO$4:$AR$55,4,FALSE))</f>
        <v>38</v>
      </c>
      <c r="M58" s="4">
        <f>(VLOOKUP('18.05'!U58,'18.05'!$AO$4:$AR$55,4,FALSE))</f>
        <v>38</v>
      </c>
      <c r="N58" s="4">
        <f>(VLOOKUP('18.05'!V58,'18.05'!$AO$4:$AR$55,4,FALSE))</f>
        <v>38</v>
      </c>
      <c r="O58" s="4">
        <f>(VLOOKUP('18.05'!W58,'18.05'!$AO$4:$AR$55,4,FALSE))</f>
        <v>0</v>
      </c>
      <c r="P58" s="4">
        <f>(VLOOKUP('18.05'!X58,'18.05'!$AO$4:$AR$55,4,FALSE))</f>
        <v>0</v>
      </c>
      <c r="Q58" s="4">
        <f>(VLOOKUP('18.05'!Y58,'18.05'!$AO$4:$AR$55,4,FALSE))</f>
        <v>0</v>
      </c>
      <c r="R58" s="4">
        <f>(VLOOKUP('18.05'!Z58,'18.05'!$AO$4:$AR$55,4,FALSE))</f>
        <v>0</v>
      </c>
      <c r="S58" s="4">
        <f>(VLOOKUP('18.05'!AA58,'18.05'!$AO$4:$AR$55,4,FALSE))</f>
        <v>0</v>
      </c>
      <c r="T58" s="4">
        <f>(VLOOKUP('18.05'!AB58,'18.05'!$AO$4:$AR$55,4,FALSE))</f>
        <v>0</v>
      </c>
      <c r="U58" s="4">
        <f>(VLOOKUP('18.05'!AC58,'18.05'!$AO$4:$AR$55,4,FALSE))</f>
        <v>0</v>
      </c>
      <c r="V58" s="4">
        <f>(VLOOKUP('18.05'!AD58,'18.05'!$AO$4:$AR$55,4,FALSE))</f>
        <v>0</v>
      </c>
      <c r="W58" s="4">
        <f>(VLOOKUP('18.05'!AE58,'18.05'!$AO$4:$AR$55,4,FALSE))</f>
        <v>0</v>
      </c>
      <c r="X58" s="4">
        <f>(VLOOKUP('18.05'!AF58,'18.05'!$AO$4:$AR$55,4,FALSE))</f>
        <v>0</v>
      </c>
    </row>
    <row r="59" spans="1:24">
      <c r="A59" s="4">
        <f>(VLOOKUP('18.05'!I59,'18.05'!$AO$4:$AR$55,4,FALSE))</f>
        <v>34</v>
      </c>
      <c r="B59" s="4">
        <f>(VLOOKUP('18.05'!J59,'18.05'!$AO$4:$AR$55,4,FALSE))</f>
        <v>34</v>
      </c>
      <c r="C59" s="4">
        <f>(VLOOKUP('18.05'!K59,'18.05'!$AO$4:$AR$55,4,FALSE))</f>
        <v>34</v>
      </c>
      <c r="D59" s="4">
        <f>(VLOOKUP('18.05'!L59,'18.05'!$AO$4:$AR$55,4,FALSE))</f>
        <v>34</v>
      </c>
      <c r="E59" s="4">
        <f>(VLOOKUP('18.05'!M59,'18.05'!$AO$4:$AR$55,4,FALSE))</f>
        <v>34</v>
      </c>
      <c r="F59" s="4">
        <f>(VLOOKUP('18.05'!N59,'18.05'!$AO$4:$AR$55,4,FALSE))</f>
        <v>34</v>
      </c>
      <c r="G59" s="4">
        <f>(VLOOKUP('18.05'!O59,'18.05'!$AO$4:$AR$55,4,FALSE))</f>
        <v>0</v>
      </c>
      <c r="H59" s="4">
        <f>(VLOOKUP('18.05'!P59,'18.05'!$AO$4:$AR$55,4,FALSE))</f>
        <v>0</v>
      </c>
      <c r="I59" s="4">
        <f>(VLOOKUP('18.05'!Q59,'18.05'!$AO$4:$AR$55,4,FALSE))</f>
        <v>38</v>
      </c>
      <c r="J59" s="4">
        <f>(VLOOKUP('18.05'!R59,'18.05'!$AO$4:$AR$55,4,FALSE))</f>
        <v>0</v>
      </c>
      <c r="K59" s="4">
        <f>(VLOOKUP('18.05'!S59,'18.05'!$AO$4:$AR$55,4,FALSE))</f>
        <v>38</v>
      </c>
      <c r="L59" s="4">
        <f>(VLOOKUP('18.05'!T59,'18.05'!$AO$4:$AR$55,4,FALSE))</f>
        <v>38</v>
      </c>
      <c r="M59" s="4">
        <f>(VLOOKUP('18.05'!U59,'18.05'!$AO$4:$AR$55,4,FALSE))</f>
        <v>38</v>
      </c>
      <c r="N59" s="4">
        <f>(VLOOKUP('18.05'!V59,'18.05'!$AO$4:$AR$55,4,FALSE))</f>
        <v>38</v>
      </c>
      <c r="O59" s="4">
        <f>(VLOOKUP('18.05'!W59,'18.05'!$AO$4:$AR$55,4,FALSE))</f>
        <v>0</v>
      </c>
      <c r="P59" s="4">
        <f>(VLOOKUP('18.05'!X59,'18.05'!$AO$4:$AR$55,4,FALSE))</f>
        <v>0</v>
      </c>
      <c r="Q59" s="4">
        <f>(VLOOKUP('18.05'!Y59,'18.05'!$AO$4:$AR$55,4,FALSE))</f>
        <v>0</v>
      </c>
      <c r="R59" s="4">
        <f>(VLOOKUP('18.05'!Z59,'18.05'!$AO$4:$AR$55,4,FALSE))</f>
        <v>0</v>
      </c>
      <c r="S59" s="4">
        <f>(VLOOKUP('18.05'!AA59,'18.05'!$AO$4:$AR$55,4,FALSE))</f>
        <v>0</v>
      </c>
      <c r="T59" s="4">
        <f>(VLOOKUP('18.05'!AB59,'18.05'!$AO$4:$AR$55,4,FALSE))</f>
        <v>0</v>
      </c>
      <c r="U59" s="4">
        <f>(VLOOKUP('18.05'!AC59,'18.05'!$AO$4:$AR$55,4,FALSE))</f>
        <v>0</v>
      </c>
      <c r="V59" s="4">
        <f>(VLOOKUP('18.05'!AD59,'18.05'!$AO$4:$AR$55,4,FALSE))</f>
        <v>0</v>
      </c>
      <c r="W59" s="4">
        <f>(VLOOKUP('18.05'!AE59,'18.05'!$AO$4:$AR$55,4,FALSE))</f>
        <v>0</v>
      </c>
      <c r="X59" s="4">
        <f>(VLOOKUP('18.05'!AF59,'18.05'!$AO$4:$AR$55,4,FALSE))</f>
        <v>0</v>
      </c>
    </row>
    <row r="60" spans="1:24">
      <c r="A60" s="4">
        <f>(VLOOKUP('18.05'!I60,'18.05'!$AO$4:$AR$55,4,FALSE))</f>
        <v>34</v>
      </c>
      <c r="B60" s="4">
        <f>(VLOOKUP('18.05'!J60,'18.05'!$AO$4:$AR$55,4,FALSE))</f>
        <v>34</v>
      </c>
      <c r="C60" s="4">
        <f>(VLOOKUP('18.05'!K60,'18.05'!$AO$4:$AR$55,4,FALSE))</f>
        <v>34</v>
      </c>
      <c r="D60" s="4">
        <f>(VLOOKUP('18.05'!L60,'18.05'!$AO$4:$AR$55,4,FALSE))</f>
        <v>34</v>
      </c>
      <c r="E60" s="4">
        <f>(VLOOKUP('18.05'!M60,'18.05'!$AO$4:$AR$55,4,FALSE))</f>
        <v>34</v>
      </c>
      <c r="F60" s="4">
        <f>(VLOOKUP('18.05'!N60,'18.05'!$AO$4:$AR$55,4,FALSE))</f>
        <v>34</v>
      </c>
      <c r="G60" s="4">
        <f>(VLOOKUP('18.05'!O60,'18.05'!$AO$4:$AR$55,4,FALSE))</f>
        <v>0</v>
      </c>
      <c r="H60" s="4">
        <f>(VLOOKUP('18.05'!P60,'18.05'!$AO$4:$AR$55,4,FALSE))</f>
        <v>0</v>
      </c>
      <c r="I60" s="4">
        <f>(VLOOKUP('18.05'!Q60,'18.05'!$AO$4:$AR$55,4,FALSE))</f>
        <v>38</v>
      </c>
      <c r="J60" s="4">
        <f>(VLOOKUP('18.05'!R60,'18.05'!$AO$4:$AR$55,4,FALSE))</f>
        <v>38</v>
      </c>
      <c r="K60" s="4">
        <f>(VLOOKUP('18.05'!S60,'18.05'!$AO$4:$AR$55,4,FALSE))</f>
        <v>38</v>
      </c>
      <c r="L60" s="4">
        <f>(VLOOKUP('18.05'!T60,'18.05'!$AO$4:$AR$55,4,FALSE))</f>
        <v>38</v>
      </c>
      <c r="M60" s="4">
        <f>(VLOOKUP('18.05'!U60,'18.05'!$AO$4:$AR$55,4,FALSE))</f>
        <v>38</v>
      </c>
      <c r="N60" s="4">
        <f>(VLOOKUP('18.05'!V60,'18.05'!$AO$4:$AR$55,4,FALSE))</f>
        <v>38</v>
      </c>
      <c r="O60" s="4">
        <f>(VLOOKUP('18.05'!W60,'18.05'!$AO$4:$AR$55,4,FALSE))</f>
        <v>0</v>
      </c>
      <c r="P60" s="4">
        <f>(VLOOKUP('18.05'!X60,'18.05'!$AO$4:$AR$55,4,FALSE))</f>
        <v>0</v>
      </c>
      <c r="Q60" s="4">
        <f>(VLOOKUP('18.05'!Y60,'18.05'!$AO$4:$AR$55,4,FALSE))</f>
        <v>0</v>
      </c>
      <c r="R60" s="4">
        <f>(VLOOKUP('18.05'!Z60,'18.05'!$AO$4:$AR$55,4,FALSE))</f>
        <v>0</v>
      </c>
      <c r="S60" s="4">
        <f>(VLOOKUP('18.05'!AA60,'18.05'!$AO$4:$AR$55,4,FALSE))</f>
        <v>0</v>
      </c>
      <c r="T60" s="4">
        <f>(VLOOKUP('18.05'!AB60,'18.05'!$AO$4:$AR$55,4,FALSE))</f>
        <v>0</v>
      </c>
      <c r="U60" s="4">
        <f>(VLOOKUP('18.05'!AC60,'18.05'!$AO$4:$AR$55,4,FALSE))</f>
        <v>0</v>
      </c>
      <c r="V60" s="4">
        <f>(VLOOKUP('18.05'!AD60,'18.05'!$AO$4:$AR$55,4,FALSE))</f>
        <v>0</v>
      </c>
      <c r="W60" s="4">
        <f>(VLOOKUP('18.05'!AE60,'18.05'!$AO$4:$AR$55,4,FALSE))</f>
        <v>0</v>
      </c>
      <c r="X60" s="4">
        <f>(VLOOKUP('18.05'!AF60,'18.05'!$AO$4:$AR$55,4,FALSE))</f>
        <v>0</v>
      </c>
    </row>
    <row r="61" spans="1:24">
      <c r="A61" s="4">
        <f>(VLOOKUP('18.05'!I61,'18.05'!$AO$4:$AR$55,4,FALSE))</f>
        <v>34</v>
      </c>
      <c r="B61" s="4">
        <f>(VLOOKUP('18.05'!J61,'18.05'!$AO$4:$AR$55,4,FALSE))</f>
        <v>34</v>
      </c>
      <c r="C61" s="4">
        <f>(VLOOKUP('18.05'!K61,'18.05'!$AO$4:$AR$55,4,FALSE))</f>
        <v>13.999854933178597</v>
      </c>
      <c r="D61" s="4">
        <f>(VLOOKUP('18.05'!L61,'18.05'!$AO$4:$AR$55,4,FALSE))</f>
        <v>34</v>
      </c>
      <c r="E61" s="4">
        <f>(VLOOKUP('18.05'!M61,'18.05'!$AO$4:$AR$55,4,FALSE))</f>
        <v>36</v>
      </c>
      <c r="F61" s="4">
        <f>(VLOOKUP('18.05'!N61,'18.05'!$AO$4:$AR$55,4,FALSE))</f>
        <v>36</v>
      </c>
      <c r="G61" s="4">
        <f>(VLOOKUP('18.05'!O61,'18.05'!$AO$4:$AR$55,4,FALSE))</f>
        <v>0</v>
      </c>
      <c r="H61" s="4">
        <f>(VLOOKUP('18.05'!P61,'18.05'!$AO$4:$AR$55,4,FALSE))</f>
        <v>0</v>
      </c>
      <c r="I61" s="4">
        <f>(VLOOKUP('18.05'!Q61,'18.05'!$AO$4:$AR$55,4,FALSE))</f>
        <v>38</v>
      </c>
      <c r="J61" s="4">
        <f>(VLOOKUP('18.05'!R61,'18.05'!$AO$4:$AR$55,4,FALSE))</f>
        <v>38</v>
      </c>
      <c r="K61" s="4">
        <f>(VLOOKUP('18.05'!S61,'18.05'!$AO$4:$AR$55,4,FALSE))</f>
        <v>38</v>
      </c>
      <c r="L61" s="4">
        <f>(VLOOKUP('18.05'!T61,'18.05'!$AO$4:$AR$55,4,FALSE))</f>
        <v>38</v>
      </c>
      <c r="M61" s="4">
        <f>(VLOOKUP('18.05'!U61,'18.05'!$AO$4:$AR$55,4,FALSE))</f>
        <v>34</v>
      </c>
      <c r="N61" s="4">
        <f>(VLOOKUP('18.05'!V61,'18.05'!$AO$4:$AR$55,4,FALSE))</f>
        <v>34</v>
      </c>
      <c r="O61" s="4">
        <f>(VLOOKUP('18.05'!W61,'18.05'!$AO$4:$AR$55,4,FALSE))</f>
        <v>0</v>
      </c>
      <c r="P61" s="4">
        <f>(VLOOKUP('18.05'!X61,'18.05'!$AO$4:$AR$55,4,FALSE))</f>
        <v>0</v>
      </c>
      <c r="Q61" s="4">
        <f>(VLOOKUP('18.05'!Y61,'18.05'!$AO$4:$AR$55,4,FALSE))</f>
        <v>0</v>
      </c>
      <c r="R61" s="4">
        <f>(VLOOKUP('18.05'!Z61,'18.05'!$AO$4:$AR$55,4,FALSE))</f>
        <v>0</v>
      </c>
      <c r="S61" s="4">
        <f>(VLOOKUP('18.05'!AA61,'18.05'!$AO$4:$AR$55,4,FALSE))</f>
        <v>0</v>
      </c>
      <c r="T61" s="4">
        <f>(VLOOKUP('18.05'!AB61,'18.05'!$AO$4:$AR$55,4,FALSE))</f>
        <v>0</v>
      </c>
      <c r="U61" s="4">
        <f>(VLOOKUP('18.05'!AC61,'18.05'!$AO$4:$AR$55,4,FALSE))</f>
        <v>0</v>
      </c>
      <c r="V61" s="4">
        <f>(VLOOKUP('18.05'!AD61,'18.05'!$AO$4:$AR$55,4,FALSE))</f>
        <v>0</v>
      </c>
      <c r="W61" s="4">
        <f>(VLOOKUP('18.05'!AE61,'18.05'!$AO$4:$AR$55,4,FALSE))</f>
        <v>0</v>
      </c>
      <c r="X61" s="4">
        <f>(VLOOKUP('18.05'!AF61,'18.05'!$AO$4:$AR$55,4,FALSE))</f>
        <v>0</v>
      </c>
    </row>
    <row r="62" spans="1:24">
      <c r="A62" s="4">
        <f>(VLOOKUP('18.05'!I62,'18.05'!$AO$4:$AR$55,4,FALSE))</f>
        <v>36</v>
      </c>
      <c r="B62" s="4">
        <f>(VLOOKUP('18.05'!J62,'18.05'!$AO$4:$AR$55,4,FALSE))</f>
        <v>36</v>
      </c>
      <c r="C62" s="4">
        <f>(VLOOKUP('18.05'!K62,'18.05'!$AO$4:$AR$55,4,FALSE))</f>
        <v>34</v>
      </c>
      <c r="D62" s="4">
        <f>(VLOOKUP('18.05'!L62,'18.05'!$AO$4:$AR$55,4,FALSE))</f>
        <v>36</v>
      </c>
      <c r="E62" s="4">
        <f>(VLOOKUP('18.05'!M62,'18.05'!$AO$4:$AR$55,4,FALSE))</f>
        <v>36</v>
      </c>
      <c r="F62" s="4">
        <f>(VLOOKUP('18.05'!N62,'18.05'!$AO$4:$AR$55,4,FALSE))</f>
        <v>36</v>
      </c>
      <c r="G62" s="4">
        <f>(VLOOKUP('18.05'!O62,'18.05'!$AO$4:$AR$55,4,FALSE))</f>
        <v>0</v>
      </c>
      <c r="H62" s="4">
        <f>(VLOOKUP('18.05'!P62,'18.05'!$AO$4:$AR$55,4,FALSE))</f>
        <v>0</v>
      </c>
      <c r="I62" s="4">
        <f>(VLOOKUP('18.05'!Q62,'18.05'!$AO$4:$AR$55,4,FALSE))</f>
        <v>38</v>
      </c>
      <c r="J62" s="4">
        <f>(VLOOKUP('18.05'!R62,'18.05'!$AO$4:$AR$55,4,FALSE))</f>
        <v>38</v>
      </c>
      <c r="K62" s="4">
        <f>(VLOOKUP('18.05'!S62,'18.05'!$AO$4:$AR$55,4,FALSE))</f>
        <v>38</v>
      </c>
      <c r="L62" s="4">
        <f>(VLOOKUP('18.05'!T62,'18.05'!$AO$4:$AR$55,4,FALSE))</f>
        <v>38</v>
      </c>
      <c r="M62" s="4">
        <f>(VLOOKUP('18.05'!U62,'18.05'!$AO$4:$AR$55,4,FALSE))</f>
        <v>38</v>
      </c>
      <c r="N62" s="4">
        <f>(VLOOKUP('18.05'!V62,'18.05'!$AO$4:$AR$55,4,FALSE))</f>
        <v>38</v>
      </c>
      <c r="O62" s="4">
        <f>(VLOOKUP('18.05'!W62,'18.05'!$AO$4:$AR$55,4,FALSE))</f>
        <v>0</v>
      </c>
      <c r="P62" s="4">
        <f>(VLOOKUP('18.05'!X62,'18.05'!$AO$4:$AR$55,4,FALSE))</f>
        <v>0</v>
      </c>
      <c r="Q62" s="4">
        <f>(VLOOKUP('18.05'!Y62,'18.05'!$AO$4:$AR$55,4,FALSE))</f>
        <v>0</v>
      </c>
      <c r="R62" s="4">
        <f>(VLOOKUP('18.05'!Z62,'18.05'!$AO$4:$AR$55,4,FALSE))</f>
        <v>0</v>
      </c>
      <c r="S62" s="4">
        <f>(VLOOKUP('18.05'!AA62,'18.05'!$AO$4:$AR$55,4,FALSE))</f>
        <v>0</v>
      </c>
      <c r="T62" s="4">
        <f>(VLOOKUP('18.05'!AB62,'18.05'!$AO$4:$AR$55,4,FALSE))</f>
        <v>0</v>
      </c>
      <c r="U62" s="4">
        <f>(VLOOKUP('18.05'!AC62,'18.05'!$AO$4:$AR$55,4,FALSE))</f>
        <v>0</v>
      </c>
      <c r="V62" s="4">
        <f>(VLOOKUP('18.05'!AD62,'18.05'!$AO$4:$AR$55,4,FALSE))</f>
        <v>0</v>
      </c>
      <c r="W62" s="4">
        <f>(VLOOKUP('18.05'!AE62,'18.05'!$AO$4:$AR$55,4,FALSE))</f>
        <v>0</v>
      </c>
      <c r="X62" s="4">
        <f>(VLOOKUP('18.05'!AF62,'18.05'!$AO$4:$AR$55,4,FALSE))</f>
        <v>0</v>
      </c>
    </row>
    <row r="63" spans="1:24">
      <c r="A63" s="4">
        <f>(VLOOKUP('18.05'!I63,'18.05'!$AO$4:$AR$55,4,FALSE))</f>
        <v>0</v>
      </c>
      <c r="B63" s="4">
        <f>(VLOOKUP('18.05'!J63,'18.05'!$AO$4:$AR$55,4,FALSE))</f>
        <v>0</v>
      </c>
      <c r="C63" s="4">
        <f>(VLOOKUP('18.05'!K63,'18.05'!$AO$4:$AR$55,4,FALSE))</f>
        <v>36</v>
      </c>
      <c r="D63" s="4">
        <f>(VLOOKUP('18.05'!L63,'18.05'!$AO$4:$AR$55,4,FALSE))</f>
        <v>36</v>
      </c>
      <c r="E63" s="4">
        <f>(VLOOKUP('18.05'!M63,'18.05'!$AO$4:$AR$55,4,FALSE))</f>
        <v>36</v>
      </c>
      <c r="F63" s="4">
        <f>(VLOOKUP('18.05'!N63,'18.05'!$AO$4:$AR$55,4,FALSE))</f>
        <v>36</v>
      </c>
      <c r="G63" s="4">
        <f>(VLOOKUP('18.05'!O63,'18.05'!$AO$4:$AR$55,4,FALSE))</f>
        <v>0</v>
      </c>
      <c r="H63" s="4">
        <f>(VLOOKUP('18.05'!P63,'18.05'!$AO$4:$AR$55,4,FALSE))</f>
        <v>0</v>
      </c>
      <c r="I63" s="4">
        <f>(VLOOKUP('18.05'!Q63,'18.05'!$AO$4:$AR$55,4,FALSE))</f>
        <v>38</v>
      </c>
      <c r="J63" s="4">
        <f>(VLOOKUP('18.05'!R63,'18.05'!$AO$4:$AR$55,4,FALSE))</f>
        <v>38</v>
      </c>
      <c r="K63" s="4">
        <f>(VLOOKUP('18.05'!S63,'18.05'!$AO$4:$AR$55,4,FALSE))</f>
        <v>38</v>
      </c>
      <c r="L63" s="4">
        <f>(VLOOKUP('18.05'!T63,'18.05'!$AO$4:$AR$55,4,FALSE))</f>
        <v>38</v>
      </c>
      <c r="M63" s="4">
        <f>(VLOOKUP('18.05'!U63,'18.05'!$AO$4:$AR$55,4,FALSE))</f>
        <v>38</v>
      </c>
      <c r="N63" s="4">
        <f>(VLOOKUP('18.05'!V63,'18.05'!$AO$4:$AR$55,4,FALSE))</f>
        <v>38</v>
      </c>
      <c r="O63" s="4">
        <f>(VLOOKUP('18.05'!W63,'18.05'!$AO$4:$AR$55,4,FALSE))</f>
        <v>0</v>
      </c>
      <c r="P63" s="4">
        <f>(VLOOKUP('18.05'!X63,'18.05'!$AO$4:$AR$55,4,FALSE))</f>
        <v>0</v>
      </c>
      <c r="Q63" s="4">
        <f>(VLOOKUP('18.05'!Y63,'18.05'!$AO$4:$AR$55,4,FALSE))</f>
        <v>0</v>
      </c>
      <c r="R63" s="4">
        <f>(VLOOKUP('18.05'!Z63,'18.05'!$AO$4:$AR$55,4,FALSE))</f>
        <v>0</v>
      </c>
      <c r="S63" s="4">
        <f>(VLOOKUP('18.05'!AA63,'18.05'!$AO$4:$AR$55,4,FALSE))</f>
        <v>0</v>
      </c>
      <c r="T63" s="4">
        <f>(VLOOKUP('18.05'!AB63,'18.05'!$AO$4:$AR$55,4,FALSE))</f>
        <v>0</v>
      </c>
      <c r="U63" s="4">
        <f>(VLOOKUP('18.05'!AC63,'18.05'!$AO$4:$AR$55,4,FALSE))</f>
        <v>0</v>
      </c>
      <c r="V63" s="4">
        <f>(VLOOKUP('18.05'!AD63,'18.05'!$AO$4:$AR$55,4,FALSE))</f>
        <v>0</v>
      </c>
      <c r="W63" s="4">
        <f>(VLOOKUP('18.05'!AE63,'18.05'!$AO$4:$AR$55,4,FALSE))</f>
        <v>0</v>
      </c>
      <c r="X63" s="4">
        <f>(VLOOKUP('18.05'!AF63,'18.05'!$AO$4:$AR$55,4,FALSE))</f>
        <v>0</v>
      </c>
    </row>
    <row r="64" spans="1:24">
      <c r="A64" s="4">
        <f>(VLOOKUP('18.05'!I64,'18.05'!$AO$4:$AR$55,4,FALSE))</f>
        <v>36</v>
      </c>
      <c r="B64" s="4">
        <f>(VLOOKUP('18.05'!J64,'18.05'!$AO$4:$AR$55,4,FALSE))</f>
        <v>0</v>
      </c>
      <c r="C64" s="4">
        <f>(VLOOKUP('18.05'!K64,'18.05'!$AO$4:$AR$55,4,FALSE))</f>
        <v>0</v>
      </c>
      <c r="D64" s="4">
        <f>(VLOOKUP('18.05'!L64,'18.05'!$AO$4:$AR$55,4,FALSE))</f>
        <v>0</v>
      </c>
      <c r="E64" s="4">
        <f>(VLOOKUP('18.05'!M64,'18.05'!$AO$4:$AR$55,4,FALSE))</f>
        <v>0</v>
      </c>
      <c r="F64" s="4">
        <f>(VLOOKUP('18.05'!N64,'18.05'!$AO$4:$AR$55,4,FALSE))</f>
        <v>0</v>
      </c>
      <c r="G64" s="4">
        <f>(VLOOKUP('18.05'!O64,'18.05'!$AO$4:$AR$55,4,FALSE))</f>
        <v>0</v>
      </c>
      <c r="H64" s="4">
        <f>(VLOOKUP('18.05'!P64,'18.05'!$AO$4:$AR$55,4,FALSE))</f>
        <v>0</v>
      </c>
      <c r="I64" s="4">
        <f>(VLOOKUP('18.05'!Q64,'18.05'!$AO$4:$AR$55,4,FALSE))</f>
        <v>38</v>
      </c>
      <c r="J64" s="4">
        <f>(VLOOKUP('18.05'!R64,'18.05'!$AO$4:$AR$55,4,FALSE))</f>
        <v>36</v>
      </c>
      <c r="K64" s="4">
        <f>(VLOOKUP('18.05'!S64,'18.05'!$AO$4:$AR$55,4,FALSE))</f>
        <v>36</v>
      </c>
      <c r="L64" s="4">
        <f>(VLOOKUP('18.05'!T64,'18.05'!$AO$4:$AR$55,4,FALSE))</f>
        <v>36</v>
      </c>
      <c r="M64" s="4">
        <f>(VLOOKUP('18.05'!U64,'18.05'!$AO$4:$AR$55,4,FALSE))</f>
        <v>36</v>
      </c>
      <c r="N64" s="4">
        <f>(VLOOKUP('18.05'!V64,'18.05'!$AO$4:$AR$55,4,FALSE))</f>
        <v>36</v>
      </c>
      <c r="O64" s="4">
        <f>(VLOOKUP('18.05'!W64,'18.05'!$AO$4:$AR$55,4,FALSE))</f>
        <v>0</v>
      </c>
      <c r="P64" s="4">
        <f>(VLOOKUP('18.05'!X64,'18.05'!$AO$4:$AR$55,4,FALSE))</f>
        <v>0</v>
      </c>
      <c r="Q64" s="4">
        <f>(VLOOKUP('18.05'!Y64,'18.05'!$AO$4:$AR$55,4,FALSE))</f>
        <v>0</v>
      </c>
      <c r="R64" s="4">
        <f>(VLOOKUP('18.05'!Z64,'18.05'!$AO$4:$AR$55,4,FALSE))</f>
        <v>0</v>
      </c>
      <c r="S64" s="4">
        <f>(VLOOKUP('18.05'!AA64,'18.05'!$AO$4:$AR$55,4,FALSE))</f>
        <v>0</v>
      </c>
      <c r="T64" s="4">
        <f>(VLOOKUP('18.05'!AB64,'18.05'!$AO$4:$AR$55,4,FALSE))</f>
        <v>0</v>
      </c>
      <c r="U64" s="4">
        <f>(VLOOKUP('18.05'!AC64,'18.05'!$AO$4:$AR$55,4,FALSE))</f>
        <v>0</v>
      </c>
      <c r="V64" s="4">
        <f>(VLOOKUP('18.05'!AD64,'18.05'!$AO$4:$AR$55,4,FALSE))</f>
        <v>0</v>
      </c>
      <c r="W64" s="4">
        <f>(VLOOKUP('18.05'!AE64,'18.05'!$AO$4:$AR$55,4,FALSE))</f>
        <v>0</v>
      </c>
      <c r="X64" s="4">
        <f>(VLOOKUP('18.05'!AF64,'18.05'!$AO$4:$AR$55,4,FALSE))</f>
        <v>0</v>
      </c>
    </row>
    <row r="65" spans="1:24">
      <c r="A65" s="4">
        <f>(VLOOKUP('18.05'!I65,'18.05'!$AO$4:$AR$55,4,FALSE))</f>
        <v>0</v>
      </c>
      <c r="B65" s="4">
        <f>(VLOOKUP('18.05'!J65,'18.05'!$AO$4:$AR$55,4,FALSE))</f>
        <v>0</v>
      </c>
      <c r="C65" s="4">
        <f>(VLOOKUP('18.05'!K65,'18.05'!$AO$4:$AR$55,4,FALSE))</f>
        <v>0</v>
      </c>
      <c r="D65" s="4">
        <f>(VLOOKUP('18.05'!L65,'18.05'!$AO$4:$AR$55,4,FALSE))</f>
        <v>0</v>
      </c>
      <c r="E65" s="4">
        <f>(VLOOKUP('18.05'!M65,'18.05'!$AO$4:$AR$55,4,FALSE))</f>
        <v>0</v>
      </c>
      <c r="F65" s="4">
        <f>(VLOOKUP('18.05'!N65,'18.05'!$AO$4:$AR$55,4,FALSE))</f>
        <v>0</v>
      </c>
      <c r="G65" s="4">
        <f>(VLOOKUP('18.05'!O65,'18.05'!$AO$4:$AR$55,4,FALSE))</f>
        <v>0</v>
      </c>
      <c r="H65" s="4">
        <f>(VLOOKUP('18.05'!P65,'18.05'!$AO$4:$AR$55,4,FALSE))</f>
        <v>0</v>
      </c>
      <c r="I65" s="4">
        <f>(VLOOKUP('18.05'!Q65,'18.05'!$AO$4:$AR$55,4,FALSE))</f>
        <v>36</v>
      </c>
      <c r="J65" s="4">
        <f>(VLOOKUP('18.05'!R65,'18.05'!$AO$4:$AR$55,4,FALSE))</f>
        <v>36</v>
      </c>
      <c r="K65" s="4">
        <f>(VLOOKUP('18.05'!S65,'18.05'!$AO$4:$AR$55,4,FALSE))</f>
        <v>36</v>
      </c>
      <c r="L65" s="4">
        <f>(VLOOKUP('18.05'!T65,'18.05'!$AO$4:$AR$55,4,FALSE))</f>
        <v>36</v>
      </c>
      <c r="M65" s="4">
        <f>(VLOOKUP('18.05'!U65,'18.05'!$AO$4:$AR$55,4,FALSE))</f>
        <v>0</v>
      </c>
      <c r="N65" s="4">
        <f>(VLOOKUP('18.05'!V65,'18.05'!$AO$4:$AR$55,4,FALSE))</f>
        <v>36</v>
      </c>
      <c r="O65" s="4">
        <f>(VLOOKUP('18.05'!W65,'18.05'!$AO$4:$AR$55,4,FALSE))</f>
        <v>0</v>
      </c>
      <c r="P65" s="4">
        <f>(VLOOKUP('18.05'!X65,'18.05'!$AO$4:$AR$55,4,FALSE))</f>
        <v>0</v>
      </c>
      <c r="Q65" s="4">
        <f>(VLOOKUP('18.05'!Y65,'18.05'!$AO$4:$AR$55,4,FALSE))</f>
        <v>0</v>
      </c>
      <c r="R65" s="4">
        <f>(VLOOKUP('18.05'!Z65,'18.05'!$AO$4:$AR$55,4,FALSE))</f>
        <v>0</v>
      </c>
      <c r="S65" s="4">
        <f>(VLOOKUP('18.05'!AA65,'18.05'!$AO$4:$AR$55,4,FALSE))</f>
        <v>0</v>
      </c>
      <c r="T65" s="4">
        <f>(VLOOKUP('18.05'!AB65,'18.05'!$AO$4:$AR$55,4,FALSE))</f>
        <v>0</v>
      </c>
      <c r="U65" s="4">
        <f>(VLOOKUP('18.05'!AC65,'18.05'!$AO$4:$AR$55,4,FALSE))</f>
        <v>0</v>
      </c>
      <c r="V65" s="4">
        <f>(VLOOKUP('18.05'!AD65,'18.05'!$AO$4:$AR$55,4,FALSE))</f>
        <v>0</v>
      </c>
      <c r="W65" s="4">
        <f>(VLOOKUP('18.05'!AE65,'18.05'!$AO$4:$AR$55,4,FALSE))</f>
        <v>0</v>
      </c>
      <c r="X65" s="4">
        <f>(VLOOKUP('18.05'!AF65,'18.05'!$AO$4:$AR$55,4,FALSE))</f>
        <v>0</v>
      </c>
    </row>
    <row r="66" spans="1:24">
      <c r="A66" s="4">
        <f>(VLOOKUP('18.05'!I66,'18.05'!$AO$4:$AR$55,4,FALSE))</f>
        <v>0</v>
      </c>
      <c r="B66" s="4">
        <f>(VLOOKUP('18.05'!J66,'18.05'!$AO$4:$AR$55,4,FALSE))</f>
        <v>0</v>
      </c>
      <c r="C66" s="4">
        <f>(VLOOKUP('18.05'!K66,'18.05'!$AO$4:$AR$55,4,FALSE))</f>
        <v>0</v>
      </c>
      <c r="D66" s="4">
        <f>(VLOOKUP('18.05'!L66,'18.05'!$AO$4:$AR$55,4,FALSE))</f>
        <v>0</v>
      </c>
      <c r="E66" s="4">
        <f>(VLOOKUP('18.05'!M66,'18.05'!$AO$4:$AR$55,4,FALSE))</f>
        <v>0</v>
      </c>
      <c r="F66" s="4">
        <f>(VLOOKUP('18.05'!N66,'18.05'!$AO$4:$AR$55,4,FALSE))</f>
        <v>0</v>
      </c>
      <c r="G66" s="4">
        <f>(VLOOKUP('18.05'!O66,'18.05'!$AO$4:$AR$55,4,FALSE))</f>
        <v>0</v>
      </c>
      <c r="H66" s="4">
        <f>(VLOOKUP('18.05'!P66,'18.05'!$AO$4:$AR$55,4,FALSE))</f>
        <v>0</v>
      </c>
      <c r="I66" s="4">
        <f>(VLOOKUP('18.05'!Q66,'18.05'!$AO$4:$AR$55,4,FALSE))</f>
        <v>36</v>
      </c>
      <c r="J66" s="4">
        <f>(VLOOKUP('18.05'!R66,'18.05'!$AO$4:$AR$55,4,FALSE))</f>
        <v>36</v>
      </c>
      <c r="K66" s="4">
        <f>(VLOOKUP('18.05'!S66,'18.05'!$AO$4:$AR$55,4,FALSE))</f>
        <v>0</v>
      </c>
      <c r="L66" s="4">
        <f>(VLOOKUP('18.05'!T66,'18.05'!$AO$4:$AR$55,4,FALSE))</f>
        <v>0</v>
      </c>
      <c r="M66" s="4">
        <f>(VLOOKUP('18.05'!U66,'18.05'!$AO$4:$AR$55,4,FALSE))</f>
        <v>36</v>
      </c>
      <c r="N66" s="4">
        <f>(VLOOKUP('18.05'!V66,'18.05'!$AO$4:$AR$55,4,FALSE))</f>
        <v>36</v>
      </c>
      <c r="O66" s="4">
        <f>(VLOOKUP('18.05'!W66,'18.05'!$AO$4:$AR$55,4,FALSE))</f>
        <v>0</v>
      </c>
      <c r="P66" s="4">
        <f>(VLOOKUP('18.05'!X66,'18.05'!$AO$4:$AR$55,4,FALSE))</f>
        <v>0</v>
      </c>
      <c r="Q66" s="4">
        <f>(VLOOKUP('18.05'!Y66,'18.05'!$AO$4:$AR$55,4,FALSE))</f>
        <v>0</v>
      </c>
      <c r="R66" s="4">
        <f>(VLOOKUP('18.05'!Z66,'18.05'!$AO$4:$AR$55,4,FALSE))</f>
        <v>0</v>
      </c>
      <c r="S66" s="4">
        <f>(VLOOKUP('18.05'!AA66,'18.05'!$AO$4:$AR$55,4,FALSE))</f>
        <v>0</v>
      </c>
      <c r="T66" s="4">
        <f>(VLOOKUP('18.05'!AB66,'18.05'!$AO$4:$AR$55,4,FALSE))</f>
        <v>0</v>
      </c>
      <c r="U66" s="4">
        <f>(VLOOKUP('18.05'!AC66,'18.05'!$AO$4:$AR$55,4,FALSE))</f>
        <v>0</v>
      </c>
      <c r="V66" s="4">
        <f>(VLOOKUP('18.05'!AD66,'18.05'!$AO$4:$AR$55,4,FALSE))</f>
        <v>0</v>
      </c>
      <c r="W66" s="4">
        <f>(VLOOKUP('18.05'!AE66,'18.05'!$AO$4:$AR$55,4,FALSE))</f>
        <v>0</v>
      </c>
      <c r="X66" s="4">
        <f>(VLOOKUP('18.05'!AF66,'18.05'!$AO$4:$AR$55,4,FALSE))</f>
        <v>0</v>
      </c>
    </row>
    <row r="67" spans="1:24">
      <c r="A67" s="4">
        <f>(VLOOKUP('18.05'!I67,'18.05'!$AO$4:$AR$55,4,FALSE))</f>
        <v>0</v>
      </c>
      <c r="B67" s="4">
        <f>(VLOOKUP('18.05'!J67,'18.05'!$AO$4:$AR$55,4,FALSE))</f>
        <v>0</v>
      </c>
      <c r="C67" s="4">
        <f>(VLOOKUP('18.05'!K67,'18.05'!$AO$4:$AR$55,4,FALSE))</f>
        <v>0</v>
      </c>
      <c r="D67" s="4">
        <f>(VLOOKUP('18.05'!L67,'18.05'!$AO$4:$AR$55,4,FALSE))</f>
        <v>0</v>
      </c>
      <c r="E67" s="4">
        <f>(VLOOKUP('18.05'!M67,'18.05'!$AO$4:$AR$55,4,FALSE))</f>
        <v>0</v>
      </c>
      <c r="F67" s="4">
        <f>(VLOOKUP('18.05'!N67,'18.05'!$AO$4:$AR$55,4,FALSE))</f>
        <v>0</v>
      </c>
      <c r="G67" s="4">
        <f>(VLOOKUP('18.05'!O67,'18.05'!$AO$4:$AR$55,4,FALSE))</f>
        <v>0</v>
      </c>
      <c r="H67" s="4">
        <f>(VLOOKUP('18.05'!P67,'18.05'!$AO$4:$AR$55,4,FALSE))</f>
        <v>0</v>
      </c>
      <c r="I67" s="4">
        <f>(VLOOKUP('18.05'!Q67,'18.05'!$AO$4:$AR$55,4,FALSE))</f>
        <v>36</v>
      </c>
      <c r="J67" s="4">
        <f>(VLOOKUP('18.05'!R67,'18.05'!$AO$4:$AR$55,4,FALSE))</f>
        <v>36</v>
      </c>
      <c r="K67" s="4">
        <f>(VLOOKUP('18.05'!S67,'18.05'!$AO$4:$AR$55,4,FALSE))</f>
        <v>38</v>
      </c>
      <c r="L67" s="4">
        <f>(VLOOKUP('18.05'!T67,'18.05'!$AO$4:$AR$55,4,FALSE))</f>
        <v>38</v>
      </c>
      <c r="M67" s="4">
        <f>(VLOOKUP('18.05'!U67,'18.05'!$AO$4:$AR$55,4,FALSE))</f>
        <v>38</v>
      </c>
      <c r="N67" s="4">
        <f>(VLOOKUP('18.05'!V67,'18.05'!$AO$4:$AR$55,4,FALSE))</f>
        <v>38</v>
      </c>
      <c r="O67" s="4">
        <f>(VLOOKUP('18.05'!W67,'18.05'!$AO$4:$AR$55,4,FALSE))</f>
        <v>0</v>
      </c>
      <c r="P67" s="4">
        <f>(VLOOKUP('18.05'!X67,'18.05'!$AO$4:$AR$55,4,FALSE))</f>
        <v>0</v>
      </c>
      <c r="Q67" s="4">
        <f>(VLOOKUP('18.05'!Y67,'18.05'!$AO$4:$AR$55,4,FALSE))</f>
        <v>0</v>
      </c>
      <c r="R67" s="4">
        <f>(VLOOKUP('18.05'!Z67,'18.05'!$AO$4:$AR$55,4,FALSE))</f>
        <v>0</v>
      </c>
      <c r="S67" s="4">
        <f>(VLOOKUP('18.05'!AA67,'18.05'!$AO$4:$AR$55,4,FALSE))</f>
        <v>0</v>
      </c>
      <c r="T67" s="4">
        <f>(VLOOKUP('18.05'!AB67,'18.05'!$AO$4:$AR$55,4,FALSE))</f>
        <v>0</v>
      </c>
      <c r="U67" s="4">
        <f>(VLOOKUP('18.05'!AC67,'18.05'!$AO$4:$AR$55,4,FALSE))</f>
        <v>0</v>
      </c>
      <c r="V67" s="4">
        <f>(VLOOKUP('18.05'!AD67,'18.05'!$AO$4:$AR$55,4,FALSE))</f>
        <v>0</v>
      </c>
      <c r="W67" s="4">
        <f>(VLOOKUP('18.05'!AE67,'18.05'!$AO$4:$AR$55,4,FALSE))</f>
        <v>0</v>
      </c>
      <c r="X67" s="4">
        <f>(VLOOKUP('18.05'!AF67,'18.05'!$AO$4:$AR$55,4,FALSE))</f>
        <v>0</v>
      </c>
    </row>
    <row r="68" spans="1:24">
      <c r="A68" s="4">
        <f>(VLOOKUP('18.05'!I68,'18.05'!$AO$4:$AR$55,4,FALSE))</f>
        <v>0</v>
      </c>
      <c r="B68" s="4">
        <f>(VLOOKUP('18.05'!J68,'18.05'!$AO$4:$AR$55,4,FALSE))</f>
        <v>0</v>
      </c>
      <c r="C68" s="4">
        <f>(VLOOKUP('18.05'!K68,'18.05'!$AO$4:$AR$55,4,FALSE))</f>
        <v>0</v>
      </c>
      <c r="D68" s="4">
        <f>(VLOOKUP('18.05'!L68,'18.05'!$AO$4:$AR$55,4,FALSE))</f>
        <v>0</v>
      </c>
      <c r="E68" s="4">
        <f>(VLOOKUP('18.05'!M68,'18.05'!$AO$4:$AR$55,4,FALSE))</f>
        <v>0</v>
      </c>
      <c r="F68" s="4">
        <f>(VLOOKUP('18.05'!N68,'18.05'!$AO$4:$AR$55,4,FALSE))</f>
        <v>0</v>
      </c>
      <c r="G68" s="4">
        <f>(VLOOKUP('18.05'!O68,'18.05'!$AO$4:$AR$55,4,FALSE))</f>
        <v>0</v>
      </c>
      <c r="H68" s="4">
        <f>(VLOOKUP('18.05'!P68,'18.05'!$AO$4:$AR$55,4,FALSE))</f>
        <v>0</v>
      </c>
      <c r="I68" s="4">
        <f>(VLOOKUP('18.05'!Q68,'18.05'!$AO$4:$AR$55,4,FALSE))</f>
        <v>13.999854933178597</v>
      </c>
      <c r="J68" s="4">
        <f>(VLOOKUP('18.05'!R68,'18.05'!$AO$4:$AR$55,4,FALSE))</f>
        <v>38</v>
      </c>
      <c r="K68" s="4">
        <f>(VLOOKUP('18.05'!S68,'18.05'!$AO$4:$AR$55,4,FALSE))</f>
        <v>38</v>
      </c>
      <c r="L68" s="4">
        <f>(VLOOKUP('18.05'!T68,'18.05'!$AO$4:$AR$55,4,FALSE))</f>
        <v>38</v>
      </c>
      <c r="M68" s="4">
        <f>(VLOOKUP('18.05'!U68,'18.05'!$AO$4:$AR$55,4,FALSE))</f>
        <v>38</v>
      </c>
      <c r="N68" s="4">
        <f>(VLOOKUP('18.05'!V68,'18.05'!$AO$4:$AR$55,4,FALSE))</f>
        <v>36</v>
      </c>
      <c r="O68" s="4">
        <f>(VLOOKUP('18.05'!W68,'18.05'!$AO$4:$AR$55,4,FALSE))</f>
        <v>0</v>
      </c>
      <c r="P68" s="4">
        <f>(VLOOKUP('18.05'!X68,'18.05'!$AO$4:$AR$55,4,FALSE))</f>
        <v>0</v>
      </c>
      <c r="Q68" s="4">
        <f>(VLOOKUP('18.05'!Y68,'18.05'!$AO$4:$AR$55,4,FALSE))</f>
        <v>0</v>
      </c>
      <c r="R68" s="4">
        <f>(VLOOKUP('18.05'!Z68,'18.05'!$AO$4:$AR$55,4,FALSE))</f>
        <v>0</v>
      </c>
      <c r="S68" s="4">
        <f>(VLOOKUP('18.05'!AA68,'18.05'!$AO$4:$AR$55,4,FALSE))</f>
        <v>0</v>
      </c>
      <c r="T68" s="4">
        <f>(VLOOKUP('18.05'!AB68,'18.05'!$AO$4:$AR$55,4,FALSE))</f>
        <v>0</v>
      </c>
      <c r="U68" s="4">
        <f>(VLOOKUP('18.05'!AC68,'18.05'!$AO$4:$AR$55,4,FALSE))</f>
        <v>0</v>
      </c>
      <c r="V68" s="4">
        <f>(VLOOKUP('18.05'!AD68,'18.05'!$AO$4:$AR$55,4,FALSE))</f>
        <v>0</v>
      </c>
      <c r="W68" s="4">
        <f>(VLOOKUP('18.05'!AE68,'18.05'!$AO$4:$AR$55,4,FALSE))</f>
        <v>0</v>
      </c>
      <c r="X68" s="4">
        <f>(VLOOKUP('18.05'!AF68,'18.05'!$AO$4:$AR$55,4,FALSE))</f>
        <v>0</v>
      </c>
    </row>
    <row r="69" spans="1:24">
      <c r="A69" s="4">
        <f>(VLOOKUP('18.05'!I69,'18.05'!$AO$4:$AR$55,4,FALSE))</f>
        <v>0</v>
      </c>
      <c r="B69" s="4">
        <f>(VLOOKUP('18.05'!J69,'18.05'!$AO$4:$AR$55,4,FALSE))</f>
        <v>0</v>
      </c>
      <c r="C69" s="4">
        <f>(VLOOKUP('18.05'!K69,'18.05'!$AO$4:$AR$55,4,FALSE))</f>
        <v>0</v>
      </c>
      <c r="D69" s="4">
        <f>(VLOOKUP('18.05'!L69,'18.05'!$AO$4:$AR$55,4,FALSE))</f>
        <v>0</v>
      </c>
      <c r="E69" s="4">
        <f>(VLOOKUP('18.05'!M69,'18.05'!$AO$4:$AR$55,4,FALSE))</f>
        <v>0</v>
      </c>
      <c r="F69" s="4">
        <f>(VLOOKUP('18.05'!N69,'18.05'!$AO$4:$AR$55,4,FALSE))</f>
        <v>0</v>
      </c>
      <c r="G69" s="4">
        <f>(VLOOKUP('18.05'!O69,'18.05'!$AO$4:$AR$55,4,FALSE))</f>
        <v>0</v>
      </c>
      <c r="H69" s="4">
        <f>(VLOOKUP('18.05'!P69,'18.05'!$AO$4:$AR$55,4,FALSE))</f>
        <v>0</v>
      </c>
      <c r="I69" s="4">
        <f>(VLOOKUP('18.05'!Q69,'18.05'!$AO$4:$AR$55,4,FALSE))</f>
        <v>36</v>
      </c>
      <c r="J69" s="4">
        <f>(VLOOKUP('18.05'!R69,'18.05'!$AO$4:$AR$55,4,FALSE))</f>
        <v>36</v>
      </c>
      <c r="K69" s="4">
        <f>(VLOOKUP('18.05'!S69,'18.05'!$AO$4:$AR$55,4,FALSE))</f>
        <v>36</v>
      </c>
      <c r="L69" s="4">
        <f>(VLOOKUP('18.05'!T69,'18.05'!$AO$4:$AR$55,4,FALSE))</f>
        <v>36</v>
      </c>
      <c r="M69" s="4">
        <f>(VLOOKUP('18.05'!U69,'18.05'!$AO$4:$AR$55,4,FALSE))</f>
        <v>36</v>
      </c>
      <c r="N69" s="4">
        <f>(VLOOKUP('18.05'!V69,'18.05'!$AO$4:$AR$55,4,FALSE))</f>
        <v>36</v>
      </c>
      <c r="O69" s="4">
        <f>(VLOOKUP('18.05'!W69,'18.05'!$AO$4:$AR$55,4,FALSE))</f>
        <v>0</v>
      </c>
      <c r="P69" s="4">
        <f>(VLOOKUP('18.05'!X69,'18.05'!$AO$4:$AR$55,4,FALSE))</f>
        <v>0</v>
      </c>
      <c r="Q69" s="4">
        <f>(VLOOKUP('18.05'!Y69,'18.05'!$AO$4:$AR$55,4,FALSE))</f>
        <v>0</v>
      </c>
      <c r="R69" s="4">
        <f>(VLOOKUP('18.05'!Z69,'18.05'!$AO$4:$AR$55,4,FALSE))</f>
        <v>0</v>
      </c>
      <c r="S69" s="4">
        <f>(VLOOKUP('18.05'!AA69,'18.05'!$AO$4:$AR$55,4,FALSE))</f>
        <v>0</v>
      </c>
      <c r="T69" s="4">
        <f>(VLOOKUP('18.05'!AB69,'18.05'!$AO$4:$AR$55,4,FALSE))</f>
        <v>0</v>
      </c>
      <c r="U69" s="4">
        <f>(VLOOKUP('18.05'!AC69,'18.05'!$AO$4:$AR$55,4,FALSE))</f>
        <v>0</v>
      </c>
      <c r="V69" s="4">
        <f>(VLOOKUP('18.05'!AD69,'18.05'!$AO$4:$AR$55,4,FALSE))</f>
        <v>0</v>
      </c>
      <c r="W69" s="4">
        <f>(VLOOKUP('18.05'!AE69,'18.05'!$AO$4:$AR$55,4,FALSE))</f>
        <v>0</v>
      </c>
      <c r="X69" s="4">
        <f>(VLOOKUP('18.05'!AF69,'18.05'!$AO$4:$AR$55,4,FALSE))</f>
        <v>0</v>
      </c>
    </row>
    <row r="70" spans="1:24">
      <c r="A70" s="4">
        <f>(VLOOKUP('18.05'!I70,'18.05'!$AO$4:$AR$55,4,FALSE))</f>
        <v>0</v>
      </c>
      <c r="B70" s="4">
        <f>(VLOOKUP('18.05'!J70,'18.05'!$AO$4:$AR$55,4,FALSE))</f>
        <v>36</v>
      </c>
      <c r="C70" s="4">
        <f>(VLOOKUP('18.05'!K70,'18.05'!$AO$4:$AR$55,4,FALSE))</f>
        <v>36</v>
      </c>
      <c r="D70" s="4">
        <f>(VLOOKUP('18.05'!L70,'18.05'!$AO$4:$AR$55,4,FALSE))</f>
        <v>36</v>
      </c>
      <c r="E70" s="4">
        <f>(VLOOKUP('18.05'!M70,'18.05'!$AO$4:$AR$55,4,FALSE))</f>
        <v>0</v>
      </c>
      <c r="F70" s="4">
        <f>(VLOOKUP('18.05'!N70,'18.05'!$AO$4:$AR$55,4,FALSE))</f>
        <v>36</v>
      </c>
      <c r="G70" s="4">
        <f>(VLOOKUP('18.05'!O70,'18.05'!$AO$4:$AR$55,4,FALSE))</f>
        <v>0</v>
      </c>
      <c r="H70" s="4">
        <f>(VLOOKUP('18.05'!P70,'18.05'!$AO$4:$AR$55,4,FALSE))</f>
        <v>0</v>
      </c>
      <c r="I70" s="4">
        <f>(VLOOKUP('18.05'!Q70,'18.05'!$AO$4:$AR$55,4,FALSE))</f>
        <v>0</v>
      </c>
      <c r="J70" s="4">
        <f>(VLOOKUP('18.05'!R70,'18.05'!$AO$4:$AR$55,4,FALSE))</f>
        <v>0</v>
      </c>
      <c r="K70" s="4">
        <f>(VLOOKUP('18.05'!S70,'18.05'!$AO$4:$AR$55,4,FALSE))</f>
        <v>0</v>
      </c>
      <c r="L70" s="4">
        <f>(VLOOKUP('18.05'!T70,'18.05'!$AO$4:$AR$55,4,FALSE))</f>
        <v>0</v>
      </c>
      <c r="M70" s="4">
        <f>(VLOOKUP('18.05'!U70,'18.05'!$AO$4:$AR$55,4,FALSE))</f>
        <v>0</v>
      </c>
      <c r="N70" s="4">
        <f>(VLOOKUP('18.05'!V70,'18.05'!$AO$4:$AR$55,4,FALSE))</f>
        <v>0</v>
      </c>
      <c r="O70" s="4">
        <f>(VLOOKUP('18.05'!W70,'18.05'!$AO$4:$AR$55,4,FALSE))</f>
        <v>0</v>
      </c>
      <c r="P70" s="4">
        <f>(VLOOKUP('18.05'!X70,'18.05'!$AO$4:$AR$55,4,FALSE))</f>
        <v>0</v>
      </c>
      <c r="Q70" s="4">
        <f>(VLOOKUP('18.05'!Y70,'18.05'!$AO$4:$AR$55,4,FALSE))</f>
        <v>0</v>
      </c>
      <c r="R70" s="4">
        <f>(VLOOKUP('18.05'!Z70,'18.05'!$AO$4:$AR$55,4,FALSE))</f>
        <v>0</v>
      </c>
      <c r="S70" s="4">
        <f>(VLOOKUP('18.05'!AA70,'18.05'!$AO$4:$AR$55,4,FALSE))</f>
        <v>0</v>
      </c>
      <c r="T70" s="4">
        <f>(VLOOKUP('18.05'!AB70,'18.05'!$AO$4:$AR$55,4,FALSE))</f>
        <v>0</v>
      </c>
      <c r="U70" s="4">
        <f>(VLOOKUP('18.05'!AC70,'18.05'!$AO$4:$AR$55,4,FALSE))</f>
        <v>0</v>
      </c>
      <c r="V70" s="4">
        <f>(VLOOKUP('18.05'!AD70,'18.05'!$AO$4:$AR$55,4,FALSE))</f>
        <v>0</v>
      </c>
      <c r="W70" s="4">
        <f>(VLOOKUP('18.05'!AE70,'18.05'!$AO$4:$AR$55,4,FALSE))</f>
        <v>0</v>
      </c>
      <c r="X70" s="4">
        <f>(VLOOKUP('18.05'!AF70,'18.05'!$AO$4:$AR$55,4,FALSE))</f>
        <v>0</v>
      </c>
    </row>
    <row r="71" spans="1:24">
      <c r="A71" s="4">
        <f>(VLOOKUP('18.05'!I71,'18.05'!$AO$4:$AR$55,4,FALSE))</f>
        <v>36</v>
      </c>
      <c r="B71" s="4">
        <f>(VLOOKUP('18.05'!J71,'18.05'!$AO$4:$AR$55,4,FALSE))</f>
        <v>36</v>
      </c>
      <c r="C71" s="4">
        <f>(VLOOKUP('18.05'!K71,'18.05'!$AO$4:$AR$55,4,FALSE))</f>
        <v>36</v>
      </c>
      <c r="D71" s="4">
        <f>(VLOOKUP('18.05'!L71,'18.05'!$AO$4:$AR$55,4,FALSE))</f>
        <v>0</v>
      </c>
      <c r="E71" s="4">
        <f>(VLOOKUP('18.05'!M71,'18.05'!$AO$4:$AR$55,4,FALSE))</f>
        <v>36</v>
      </c>
      <c r="F71" s="4">
        <f>(VLOOKUP('18.05'!N71,'18.05'!$AO$4:$AR$55,4,FALSE))</f>
        <v>36</v>
      </c>
      <c r="G71" s="4">
        <f>(VLOOKUP('18.05'!O71,'18.05'!$AO$4:$AR$55,4,FALSE))</f>
        <v>0</v>
      </c>
      <c r="H71" s="4">
        <f>(VLOOKUP('18.05'!P71,'18.05'!$AO$4:$AR$55,4,FALSE))</f>
        <v>0</v>
      </c>
      <c r="I71" s="4">
        <f>(VLOOKUP('18.05'!Q71,'18.05'!$AO$4:$AR$55,4,FALSE))</f>
        <v>0</v>
      </c>
      <c r="J71" s="4">
        <f>(VLOOKUP('18.05'!R71,'18.05'!$AO$4:$AR$55,4,FALSE))</f>
        <v>0</v>
      </c>
      <c r="K71" s="4">
        <f>(VLOOKUP('18.05'!S71,'18.05'!$AO$4:$AR$55,4,FALSE))</f>
        <v>0</v>
      </c>
      <c r="L71" s="4">
        <f>(VLOOKUP('18.05'!T71,'18.05'!$AO$4:$AR$55,4,FALSE))</f>
        <v>0</v>
      </c>
      <c r="M71" s="4">
        <f>(VLOOKUP('18.05'!U71,'18.05'!$AO$4:$AR$55,4,FALSE))</f>
        <v>0</v>
      </c>
      <c r="N71" s="4">
        <f>(VLOOKUP('18.05'!V71,'18.05'!$AO$4:$AR$55,4,FALSE))</f>
        <v>0</v>
      </c>
      <c r="O71" s="4">
        <f>(VLOOKUP('18.05'!W71,'18.05'!$AO$4:$AR$55,4,FALSE))</f>
        <v>0</v>
      </c>
      <c r="P71" s="4">
        <f>(VLOOKUP('18.05'!X71,'18.05'!$AO$4:$AR$55,4,FALSE))</f>
        <v>0</v>
      </c>
      <c r="Q71" s="4">
        <f>(VLOOKUP('18.05'!Y71,'18.05'!$AO$4:$AR$55,4,FALSE))</f>
        <v>0</v>
      </c>
      <c r="R71" s="4">
        <f>(VLOOKUP('18.05'!Z71,'18.05'!$AO$4:$AR$55,4,FALSE))</f>
        <v>0</v>
      </c>
      <c r="S71" s="4">
        <f>(VLOOKUP('18.05'!AA71,'18.05'!$AO$4:$AR$55,4,FALSE))</f>
        <v>0</v>
      </c>
      <c r="T71" s="4">
        <f>(VLOOKUP('18.05'!AB71,'18.05'!$AO$4:$AR$55,4,FALSE))</f>
        <v>0</v>
      </c>
      <c r="U71" s="4">
        <f>(VLOOKUP('18.05'!AC71,'18.05'!$AO$4:$AR$55,4,FALSE))</f>
        <v>0</v>
      </c>
      <c r="V71" s="4">
        <f>(VLOOKUP('18.05'!AD71,'18.05'!$AO$4:$AR$55,4,FALSE))</f>
        <v>0</v>
      </c>
      <c r="W71" s="4">
        <f>(VLOOKUP('18.05'!AE71,'18.05'!$AO$4:$AR$55,4,FALSE))</f>
        <v>0</v>
      </c>
      <c r="X71" s="4">
        <f>(VLOOKUP('18.05'!AF71,'18.05'!$AO$4:$AR$55,4,FALSE))</f>
        <v>0</v>
      </c>
    </row>
    <row r="72" spans="1:24">
      <c r="A72" s="4">
        <f>(VLOOKUP('18.05'!I72,'18.05'!$AO$4:$AR$55,4,FALSE))</f>
        <v>36</v>
      </c>
      <c r="B72" s="4">
        <f>(VLOOKUP('18.05'!J72,'18.05'!$AO$4:$AR$55,4,FALSE))</f>
        <v>36</v>
      </c>
      <c r="C72" s="4">
        <f>(VLOOKUP('18.05'!K72,'18.05'!$AO$4:$AR$55,4,FALSE))</f>
        <v>36</v>
      </c>
      <c r="D72" s="4">
        <f>(VLOOKUP('18.05'!L72,'18.05'!$AO$4:$AR$55,4,FALSE))</f>
        <v>36</v>
      </c>
      <c r="E72" s="4">
        <f>(VLOOKUP('18.05'!M72,'18.05'!$AO$4:$AR$55,4,FALSE))</f>
        <v>36</v>
      </c>
      <c r="F72" s="4">
        <f>(VLOOKUP('18.05'!N72,'18.05'!$AO$4:$AR$55,4,FALSE))</f>
        <v>36</v>
      </c>
      <c r="G72" s="4">
        <f>(VLOOKUP('18.05'!O72,'18.05'!$AO$4:$AR$55,4,FALSE))</f>
        <v>0</v>
      </c>
      <c r="H72" s="4">
        <f>(VLOOKUP('18.05'!P72,'18.05'!$AO$4:$AR$55,4,FALSE))</f>
        <v>0</v>
      </c>
      <c r="I72" s="4">
        <f>(VLOOKUP('18.05'!Q72,'18.05'!$AO$4:$AR$55,4,FALSE))</f>
        <v>38</v>
      </c>
      <c r="J72" s="4">
        <f>(VLOOKUP('18.05'!R72,'18.05'!$AO$4:$AR$55,4,FALSE))</f>
        <v>34</v>
      </c>
      <c r="K72" s="4">
        <f>(VLOOKUP('18.05'!S72,'18.05'!$AO$4:$AR$55,4,FALSE))</f>
        <v>10</v>
      </c>
      <c r="L72" s="4">
        <f>(VLOOKUP('18.05'!T72,'18.05'!$AO$4:$AR$55,4,FALSE))</f>
        <v>34</v>
      </c>
      <c r="M72" s="4">
        <f>(VLOOKUP('18.05'!U72,'18.05'!$AO$4:$AR$55,4,FALSE))</f>
        <v>34</v>
      </c>
      <c r="N72" s="4">
        <f>(VLOOKUP('18.05'!V72,'18.05'!$AO$4:$AR$55,4,FALSE))</f>
        <v>34</v>
      </c>
      <c r="O72" s="4">
        <f>(VLOOKUP('18.05'!W72,'18.05'!$AO$4:$AR$55,4,FALSE))</f>
        <v>0</v>
      </c>
      <c r="P72" s="4">
        <f>(VLOOKUP('18.05'!X72,'18.05'!$AO$4:$AR$55,4,FALSE))</f>
        <v>0</v>
      </c>
      <c r="Q72" s="4">
        <f>(VLOOKUP('18.05'!Y72,'18.05'!$AO$4:$AR$55,4,FALSE))</f>
        <v>0</v>
      </c>
      <c r="R72" s="4">
        <f>(VLOOKUP('18.05'!Z72,'18.05'!$AO$4:$AR$55,4,FALSE))</f>
        <v>0</v>
      </c>
      <c r="S72" s="4">
        <f>(VLOOKUP('18.05'!AA72,'18.05'!$AO$4:$AR$55,4,FALSE))</f>
        <v>0</v>
      </c>
      <c r="T72" s="4">
        <f>(VLOOKUP('18.05'!AB72,'18.05'!$AO$4:$AR$55,4,FALSE))</f>
        <v>0</v>
      </c>
      <c r="U72" s="4">
        <f>(VLOOKUP('18.05'!AC72,'18.05'!$AO$4:$AR$55,4,FALSE))</f>
        <v>0</v>
      </c>
      <c r="V72" s="4">
        <f>(VLOOKUP('18.05'!AD72,'18.05'!$AO$4:$AR$55,4,FALSE))</f>
        <v>0</v>
      </c>
      <c r="W72" s="4">
        <f>(VLOOKUP('18.05'!AE72,'18.05'!$AO$4:$AR$55,4,FALSE))</f>
        <v>0</v>
      </c>
      <c r="X72" s="4">
        <f>(VLOOKUP('18.05'!AF72,'18.05'!$AO$4:$AR$55,4,FALSE))</f>
        <v>0</v>
      </c>
    </row>
    <row r="73" spans="1:24">
      <c r="A73" s="4">
        <f>(VLOOKUP('18.05'!I73,'18.05'!$AO$4:$AR$55,4,FALSE))</f>
        <v>36</v>
      </c>
      <c r="B73" s="4">
        <f>(VLOOKUP('18.05'!J73,'18.05'!$AO$4:$AR$55,4,FALSE))</f>
        <v>36</v>
      </c>
      <c r="C73" s="4">
        <f>(VLOOKUP('18.05'!K73,'18.05'!$AO$4:$AR$55,4,FALSE))</f>
        <v>36</v>
      </c>
      <c r="D73" s="4">
        <f>(VLOOKUP('18.05'!L73,'18.05'!$AO$4:$AR$55,4,FALSE))</f>
        <v>36</v>
      </c>
      <c r="E73" s="4">
        <f>(VLOOKUP('18.05'!M73,'18.05'!$AO$4:$AR$55,4,FALSE))</f>
        <v>36</v>
      </c>
      <c r="F73" s="4">
        <f>(VLOOKUP('18.05'!N73,'18.05'!$AO$4:$AR$55,4,FALSE))</f>
        <v>34</v>
      </c>
      <c r="G73" s="4">
        <f>(VLOOKUP('18.05'!O73,'18.05'!$AO$4:$AR$55,4,FALSE))</f>
        <v>0</v>
      </c>
      <c r="H73" s="4">
        <f>(VLOOKUP('18.05'!P73,'18.05'!$AO$4:$AR$55,4,FALSE))</f>
        <v>0</v>
      </c>
      <c r="I73" s="4">
        <f>(VLOOKUP('18.05'!Q73,'18.05'!$AO$4:$AR$55,4,FALSE))</f>
        <v>10</v>
      </c>
      <c r="J73" s="4">
        <f>(VLOOKUP('18.05'!R73,'18.05'!$AO$4:$AR$55,4,FALSE))</f>
        <v>34</v>
      </c>
      <c r="K73" s="4">
        <f>(VLOOKUP('18.05'!S73,'18.05'!$AO$4:$AR$55,4,FALSE))</f>
        <v>38</v>
      </c>
      <c r="L73" s="4">
        <f>(VLOOKUP('18.05'!T73,'18.05'!$AO$4:$AR$55,4,FALSE))</f>
        <v>38</v>
      </c>
      <c r="M73" s="4">
        <f>(VLOOKUP('18.05'!U73,'18.05'!$AO$4:$AR$55,4,FALSE))</f>
        <v>38</v>
      </c>
      <c r="N73" s="4">
        <f>(VLOOKUP('18.05'!V73,'18.05'!$AO$4:$AR$55,4,FALSE))</f>
        <v>38</v>
      </c>
      <c r="O73" s="4">
        <f>(VLOOKUP('18.05'!W73,'18.05'!$AO$4:$AR$55,4,FALSE))</f>
        <v>0</v>
      </c>
      <c r="P73" s="4">
        <f>(VLOOKUP('18.05'!X73,'18.05'!$AO$4:$AR$55,4,FALSE))</f>
        <v>0</v>
      </c>
      <c r="Q73" s="4">
        <f>(VLOOKUP('18.05'!Y73,'18.05'!$AO$4:$AR$55,4,FALSE))</f>
        <v>0</v>
      </c>
      <c r="R73" s="4">
        <f>(VLOOKUP('18.05'!Z73,'18.05'!$AO$4:$AR$55,4,FALSE))</f>
        <v>0</v>
      </c>
      <c r="S73" s="4">
        <f>(VLOOKUP('18.05'!AA73,'18.05'!$AO$4:$AR$55,4,FALSE))</f>
        <v>0</v>
      </c>
      <c r="T73" s="4">
        <f>(VLOOKUP('18.05'!AB73,'18.05'!$AO$4:$AR$55,4,FALSE))</f>
        <v>0</v>
      </c>
      <c r="U73" s="4">
        <f>(VLOOKUP('18.05'!AC73,'18.05'!$AO$4:$AR$55,4,FALSE))</f>
        <v>0</v>
      </c>
      <c r="V73" s="4">
        <f>(VLOOKUP('18.05'!AD73,'18.05'!$AO$4:$AR$55,4,FALSE))</f>
        <v>0</v>
      </c>
      <c r="W73" s="4">
        <f>(VLOOKUP('18.05'!AE73,'18.05'!$AO$4:$AR$55,4,FALSE))</f>
        <v>0</v>
      </c>
      <c r="X73" s="4">
        <f>(VLOOKUP('18.05'!AF73,'18.05'!$AO$4:$AR$55,4,FALSE))</f>
        <v>0</v>
      </c>
    </row>
    <row r="74" spans="1:24">
      <c r="A74" s="4">
        <f>(VLOOKUP('18.05'!I74,'18.05'!$AO$4:$AR$55,4,FALSE))</f>
        <v>34</v>
      </c>
      <c r="B74" s="4">
        <f>(VLOOKUP('18.05'!J74,'18.05'!$AO$4:$AR$55,4,FALSE))</f>
        <v>34</v>
      </c>
      <c r="C74" s="4">
        <f>(VLOOKUP('18.05'!K74,'18.05'!$AO$4:$AR$55,4,FALSE))</f>
        <v>10</v>
      </c>
      <c r="D74" s="4">
        <f>(VLOOKUP('18.05'!L74,'18.05'!$AO$4:$AR$55,4,FALSE))</f>
        <v>34</v>
      </c>
      <c r="E74" s="4">
        <f>(VLOOKUP('18.05'!M74,'18.05'!$AO$4:$AR$55,4,FALSE))</f>
        <v>34</v>
      </c>
      <c r="F74" s="4">
        <f>(VLOOKUP('18.05'!N74,'18.05'!$AO$4:$AR$55,4,FALSE))</f>
        <v>0</v>
      </c>
      <c r="G74" s="4">
        <f>(VLOOKUP('18.05'!O74,'18.05'!$AO$4:$AR$55,4,FALSE))</f>
        <v>0</v>
      </c>
      <c r="H74" s="4">
        <f>(VLOOKUP('18.05'!P74,'18.05'!$AO$4:$AR$55,4,FALSE))</f>
        <v>0</v>
      </c>
      <c r="I74" s="4">
        <f>(VLOOKUP('18.05'!Q74,'18.05'!$AO$4:$AR$55,4,FALSE))</f>
        <v>38</v>
      </c>
      <c r="J74" s="4">
        <f>(VLOOKUP('18.05'!R74,'18.05'!$AO$4:$AR$55,4,FALSE))</f>
        <v>38</v>
      </c>
      <c r="K74" s="4">
        <f>(VLOOKUP('18.05'!S74,'18.05'!$AO$4:$AR$55,4,FALSE))</f>
        <v>38</v>
      </c>
      <c r="L74" s="4">
        <f>(VLOOKUP('18.05'!T74,'18.05'!$AO$4:$AR$55,4,FALSE))</f>
        <v>0</v>
      </c>
      <c r="M74" s="4">
        <f>(VLOOKUP('18.05'!U74,'18.05'!$AO$4:$AR$55,4,FALSE))</f>
        <v>0</v>
      </c>
      <c r="N74" s="4">
        <f>(VLOOKUP('18.05'!V74,'18.05'!$AO$4:$AR$55,4,FALSE))</f>
        <v>0</v>
      </c>
      <c r="O74" s="4">
        <f>(VLOOKUP('18.05'!W74,'18.05'!$AO$4:$AR$55,4,FALSE))</f>
        <v>0</v>
      </c>
      <c r="P74" s="4">
        <f>(VLOOKUP('18.05'!X74,'18.05'!$AO$4:$AR$55,4,FALSE))</f>
        <v>0</v>
      </c>
      <c r="Q74" s="4">
        <f>(VLOOKUP('18.05'!Y74,'18.05'!$AO$4:$AR$55,4,FALSE))</f>
        <v>0</v>
      </c>
      <c r="R74" s="4">
        <f>(VLOOKUP('18.05'!Z74,'18.05'!$AO$4:$AR$55,4,FALSE))</f>
        <v>0</v>
      </c>
      <c r="S74" s="4">
        <f>(VLOOKUP('18.05'!AA74,'18.05'!$AO$4:$AR$55,4,FALSE))</f>
        <v>0</v>
      </c>
      <c r="T74" s="4">
        <f>(VLOOKUP('18.05'!AB74,'18.05'!$AO$4:$AR$55,4,FALSE))</f>
        <v>0</v>
      </c>
      <c r="U74" s="4">
        <f>(VLOOKUP('18.05'!AC74,'18.05'!$AO$4:$AR$55,4,FALSE))</f>
        <v>0</v>
      </c>
      <c r="V74" s="4">
        <f>(VLOOKUP('18.05'!AD74,'18.05'!$AO$4:$AR$55,4,FALSE))</f>
        <v>0</v>
      </c>
      <c r="W74" s="4">
        <f>(VLOOKUP('18.05'!AE74,'18.05'!$AO$4:$AR$55,4,FALSE))</f>
        <v>0</v>
      </c>
      <c r="X74" s="4">
        <f>(VLOOKUP('18.05'!AF74,'18.05'!$AO$4:$AR$55,4,FALSE))</f>
        <v>0</v>
      </c>
    </row>
    <row r="75" spans="1:24">
      <c r="A75" s="4">
        <f>(VLOOKUP('18.05'!I75,'18.05'!$AO$4:$AR$55,4,FALSE))</f>
        <v>36</v>
      </c>
      <c r="B75" s="4">
        <f>(VLOOKUP('18.05'!J75,'18.05'!$AO$4:$AR$55,4,FALSE))</f>
        <v>36</v>
      </c>
      <c r="C75" s="4">
        <f>(VLOOKUP('18.05'!K75,'18.05'!$AO$4:$AR$55,4,FALSE))</f>
        <v>36</v>
      </c>
      <c r="D75" s="4">
        <f>(VLOOKUP('18.05'!L75,'18.05'!$AO$4:$AR$55,4,FALSE))</f>
        <v>36</v>
      </c>
      <c r="E75" s="4">
        <f>(VLOOKUP('18.05'!M75,'18.05'!$AO$4:$AR$55,4,FALSE))</f>
        <v>36</v>
      </c>
      <c r="F75" s="4">
        <f>(VLOOKUP('18.05'!N75,'18.05'!$AO$4:$AR$55,4,FALSE))</f>
        <v>0</v>
      </c>
      <c r="G75" s="4">
        <f>(VLOOKUP('18.05'!O75,'18.05'!$AO$4:$AR$55,4,FALSE))</f>
        <v>0</v>
      </c>
      <c r="H75" s="4">
        <f>(VLOOKUP('18.05'!P75,'18.05'!$AO$4:$AR$55,4,FALSE))</f>
        <v>0</v>
      </c>
      <c r="I75" s="4">
        <f>(VLOOKUP('18.05'!Q75,'18.05'!$AO$4:$AR$55,4,FALSE))</f>
        <v>10</v>
      </c>
      <c r="J75" s="4">
        <f>(VLOOKUP('18.05'!R75,'18.05'!$AO$4:$AR$55,4,FALSE))</f>
        <v>36</v>
      </c>
      <c r="K75" s="4">
        <f>(VLOOKUP('18.05'!S75,'18.05'!$AO$4:$AR$55,4,FALSE))</f>
        <v>0</v>
      </c>
      <c r="L75" s="4">
        <f>(VLOOKUP('18.05'!T75,'18.05'!$AO$4:$AR$55,4,FALSE))</f>
        <v>0</v>
      </c>
      <c r="M75" s="4">
        <f>(VLOOKUP('18.05'!U75,'18.05'!$AO$4:$AR$55,4,FALSE))</f>
        <v>0</v>
      </c>
      <c r="N75" s="4">
        <f>(VLOOKUP('18.05'!V75,'18.05'!$AO$4:$AR$55,4,FALSE))</f>
        <v>0</v>
      </c>
      <c r="O75" s="4">
        <f>(VLOOKUP('18.05'!W75,'18.05'!$AO$4:$AR$55,4,FALSE))</f>
        <v>0</v>
      </c>
      <c r="P75" s="4">
        <f>(VLOOKUP('18.05'!X75,'18.05'!$AO$4:$AR$55,4,FALSE))</f>
        <v>0</v>
      </c>
      <c r="Q75" s="4">
        <f>(VLOOKUP('18.05'!Y75,'18.05'!$AO$4:$AR$55,4,FALSE))</f>
        <v>0</v>
      </c>
      <c r="R75" s="4">
        <f>(VLOOKUP('18.05'!Z75,'18.05'!$AO$4:$AR$55,4,FALSE))</f>
        <v>0</v>
      </c>
      <c r="S75" s="4">
        <f>(VLOOKUP('18.05'!AA75,'18.05'!$AO$4:$AR$55,4,FALSE))</f>
        <v>0</v>
      </c>
      <c r="T75" s="4">
        <f>(VLOOKUP('18.05'!AB75,'18.05'!$AO$4:$AR$55,4,FALSE))</f>
        <v>0</v>
      </c>
      <c r="U75" s="4">
        <f>(VLOOKUP('18.05'!AC75,'18.05'!$AO$4:$AR$55,4,FALSE))</f>
        <v>0</v>
      </c>
      <c r="V75" s="4">
        <f>(VLOOKUP('18.05'!AD75,'18.05'!$AO$4:$AR$55,4,FALSE))</f>
        <v>0</v>
      </c>
      <c r="W75" s="4">
        <f>(VLOOKUP('18.05'!AE75,'18.05'!$AO$4:$AR$55,4,FALSE))</f>
        <v>0</v>
      </c>
      <c r="X75" s="4">
        <f>(VLOOKUP('18.05'!AF75,'18.05'!$AO$4:$AR$55,4,FALSE))</f>
        <v>0</v>
      </c>
    </row>
    <row r="76" spans="1:24">
      <c r="A76" s="4">
        <f>(VLOOKUP('18.05'!I76,'18.05'!$AO$4:$AR$55,4,FALSE))</f>
        <v>0</v>
      </c>
      <c r="B76" s="4">
        <f>(VLOOKUP('18.05'!J76,'18.05'!$AO$4:$AR$55,4,FALSE))</f>
        <v>0</v>
      </c>
      <c r="C76" s="4">
        <f>(VLOOKUP('18.05'!K76,'18.05'!$AO$4:$AR$55,4,FALSE))</f>
        <v>0</v>
      </c>
      <c r="D76" s="4">
        <f>(VLOOKUP('18.05'!L76,'18.05'!$AO$4:$AR$55,4,FALSE))</f>
        <v>0</v>
      </c>
      <c r="E76" s="4">
        <f>(VLOOKUP('18.05'!M76,'18.05'!$AO$4:$AR$55,4,FALSE))</f>
        <v>0</v>
      </c>
      <c r="F76" s="4">
        <f>(VLOOKUP('18.05'!N76,'18.05'!$AO$4:$AR$55,4,FALSE))</f>
        <v>0</v>
      </c>
      <c r="G76" s="4">
        <f>(VLOOKUP('18.05'!O76,'18.05'!$AO$4:$AR$55,4,FALSE))</f>
        <v>0</v>
      </c>
      <c r="H76" s="4">
        <f>(VLOOKUP('18.05'!P76,'18.05'!$AO$4:$AR$55,4,FALSE))</f>
        <v>0</v>
      </c>
      <c r="I76" s="4">
        <f>(VLOOKUP('18.05'!Q76,'18.05'!$AO$4:$AR$55,4,FALSE))</f>
        <v>0</v>
      </c>
      <c r="J76" s="4">
        <f>(VLOOKUP('18.05'!R76,'18.05'!$AO$4:$AR$55,4,FALSE))</f>
        <v>0</v>
      </c>
      <c r="K76" s="4">
        <f>(VLOOKUP('18.05'!S76,'18.05'!$AO$4:$AR$55,4,FALSE))</f>
        <v>0</v>
      </c>
      <c r="L76" s="4">
        <f>(VLOOKUP('18.05'!T76,'18.05'!$AO$4:$AR$55,4,FALSE))</f>
        <v>0</v>
      </c>
      <c r="M76" s="4">
        <f>(VLOOKUP('18.05'!U76,'18.05'!$AO$4:$AR$55,4,FALSE))</f>
        <v>0</v>
      </c>
      <c r="N76" s="4">
        <f>(VLOOKUP('18.05'!V76,'18.05'!$AO$4:$AR$55,4,FALSE))</f>
        <v>0</v>
      </c>
      <c r="O76" s="4">
        <f>(VLOOKUP('18.05'!W76,'18.05'!$AO$4:$AR$55,4,FALSE))</f>
        <v>0</v>
      </c>
      <c r="P76" s="4">
        <f>(VLOOKUP('18.05'!X76,'18.05'!$AO$4:$AR$55,4,FALSE))</f>
        <v>0</v>
      </c>
      <c r="Q76" s="4">
        <f>(VLOOKUP('18.05'!Y76,'18.05'!$AO$4:$AR$55,4,FALSE))</f>
        <v>0</v>
      </c>
      <c r="R76" s="4">
        <f>(VLOOKUP('18.05'!Z76,'18.05'!$AO$4:$AR$55,4,FALSE))</f>
        <v>0</v>
      </c>
      <c r="S76" s="4">
        <f>(VLOOKUP('18.05'!AA76,'18.05'!$AO$4:$AR$55,4,FALSE))</f>
        <v>0</v>
      </c>
      <c r="T76" s="4">
        <f>(VLOOKUP('18.05'!AB76,'18.05'!$AO$4:$AR$55,4,FALSE))</f>
        <v>0</v>
      </c>
      <c r="U76" s="4">
        <f>(VLOOKUP('18.05'!AC76,'18.05'!$AO$4:$AR$55,4,FALSE))</f>
        <v>0</v>
      </c>
      <c r="V76" s="4">
        <f>(VLOOKUP('18.05'!AD76,'18.05'!$AO$4:$AR$55,4,FALSE))</f>
        <v>0</v>
      </c>
      <c r="W76" s="4">
        <f>(VLOOKUP('18.05'!AE76,'18.05'!$AO$4:$AR$55,4,FALSE))</f>
        <v>0</v>
      </c>
      <c r="X76" s="4">
        <f>(VLOOKUP('18.05'!AF76,'18.05'!$AO$4:$AR$55,4,FALSE))</f>
        <v>0</v>
      </c>
    </row>
    <row r="77" spans="1:24">
      <c r="A77" s="4">
        <f>(VLOOKUP('18.05'!I77,'18.05'!$AO$4:$AR$55,4,FALSE))</f>
        <v>0</v>
      </c>
      <c r="B77" s="4">
        <f>(VLOOKUP('18.05'!J77,'18.05'!$AO$4:$AR$55,4,FALSE))</f>
        <v>0</v>
      </c>
      <c r="C77" s="4">
        <f>(VLOOKUP('18.05'!K77,'18.05'!$AO$4:$AR$55,4,FALSE))</f>
        <v>0</v>
      </c>
      <c r="D77" s="4">
        <f>(VLOOKUP('18.05'!L77,'18.05'!$AO$4:$AR$55,4,FALSE))</f>
        <v>0</v>
      </c>
      <c r="E77" s="4">
        <f>(VLOOKUP('18.05'!M77,'18.05'!$AO$4:$AR$55,4,FALSE))</f>
        <v>0</v>
      </c>
      <c r="F77" s="4">
        <f>(VLOOKUP('18.05'!N77,'18.05'!$AO$4:$AR$55,4,FALSE))</f>
        <v>0</v>
      </c>
      <c r="G77" s="4">
        <f>(VLOOKUP('18.05'!O77,'18.05'!$AO$4:$AR$55,4,FALSE))</f>
        <v>0</v>
      </c>
      <c r="H77" s="4">
        <f>(VLOOKUP('18.05'!P77,'18.05'!$AO$4:$AR$55,4,FALSE))</f>
        <v>0</v>
      </c>
      <c r="I77" s="4">
        <f>(VLOOKUP('18.05'!Q77,'18.05'!$AO$4:$AR$55,4,FALSE))</f>
        <v>0</v>
      </c>
      <c r="J77" s="4">
        <f>(VLOOKUP('18.05'!R77,'18.05'!$AO$4:$AR$55,4,FALSE))</f>
        <v>0</v>
      </c>
      <c r="K77" s="4">
        <f>(VLOOKUP('18.05'!S77,'18.05'!$AO$4:$AR$55,4,FALSE))</f>
        <v>36</v>
      </c>
      <c r="L77" s="4">
        <f>(VLOOKUP('18.05'!T77,'18.05'!$AO$4:$AR$55,4,FALSE))</f>
        <v>36</v>
      </c>
      <c r="M77" s="4">
        <f>(VLOOKUP('18.05'!U77,'18.05'!$AO$4:$AR$55,4,FALSE))</f>
        <v>36</v>
      </c>
      <c r="N77" s="4">
        <f>(VLOOKUP('18.05'!V77,'18.05'!$AO$4:$AR$55,4,FALSE))</f>
        <v>34</v>
      </c>
      <c r="O77" s="4">
        <f>(VLOOKUP('18.05'!W77,'18.05'!$AO$4:$AR$55,4,FALSE))</f>
        <v>0</v>
      </c>
      <c r="P77" s="4">
        <f>(VLOOKUP('18.05'!X77,'18.05'!$AO$4:$AR$55,4,FALSE))</f>
        <v>0</v>
      </c>
      <c r="Q77" s="4">
        <f>(VLOOKUP('18.05'!Y77,'18.05'!$AO$4:$AR$55,4,FALSE))</f>
        <v>39.110982162825422</v>
      </c>
      <c r="R77" s="4">
        <f>(VLOOKUP('18.05'!Z77,'18.05'!$AO$4:$AR$55,4,FALSE))</f>
        <v>39.110982162825422</v>
      </c>
      <c r="S77" s="4">
        <f>(VLOOKUP('18.05'!AA77,'18.05'!$AO$4:$AR$55,4,FALSE))</f>
        <v>0</v>
      </c>
      <c r="T77" s="4">
        <f>(VLOOKUP('18.05'!AB77,'18.05'!$AO$4:$AR$55,4,FALSE))</f>
        <v>0</v>
      </c>
      <c r="U77" s="4">
        <f>(VLOOKUP('18.05'!AC77,'18.05'!$AO$4:$AR$55,4,FALSE))</f>
        <v>0</v>
      </c>
      <c r="V77" s="4">
        <f>(VLOOKUP('18.05'!AD77,'18.05'!$AO$4:$AR$55,4,FALSE))</f>
        <v>0</v>
      </c>
      <c r="W77" s="4">
        <f>(VLOOKUP('18.05'!AE77,'18.05'!$AO$4:$AR$55,4,FALSE))</f>
        <v>0</v>
      </c>
      <c r="X77" s="4">
        <f>(VLOOKUP('18.05'!AF77,'18.05'!$AO$4:$AR$55,4,FALSE))</f>
        <v>0</v>
      </c>
    </row>
    <row r="78" spans="1:24">
      <c r="A78" s="4">
        <f>(VLOOKUP('18.05'!I78,'18.05'!$AO$4:$AR$55,4,FALSE))</f>
        <v>0</v>
      </c>
      <c r="B78" s="4">
        <f>(VLOOKUP('18.05'!J78,'18.05'!$AO$4:$AR$55,4,FALSE))</f>
        <v>0</v>
      </c>
      <c r="C78" s="4">
        <f>(VLOOKUP('18.05'!K78,'18.05'!$AO$4:$AR$55,4,FALSE))</f>
        <v>0</v>
      </c>
      <c r="D78" s="4">
        <f>(VLOOKUP('18.05'!L78,'18.05'!$AO$4:$AR$55,4,FALSE))</f>
        <v>0</v>
      </c>
      <c r="E78" s="4">
        <f>(VLOOKUP('18.05'!M78,'18.05'!$AO$4:$AR$55,4,FALSE))</f>
        <v>0</v>
      </c>
      <c r="F78" s="4">
        <f>(VLOOKUP('18.05'!N78,'18.05'!$AO$4:$AR$55,4,FALSE))</f>
        <v>0</v>
      </c>
      <c r="G78" s="4">
        <f>(VLOOKUP('18.05'!O78,'18.05'!$AO$4:$AR$55,4,FALSE))</f>
        <v>0</v>
      </c>
      <c r="H78" s="4">
        <f>(VLOOKUP('18.05'!P78,'18.05'!$AO$4:$AR$55,4,FALSE))</f>
        <v>0</v>
      </c>
      <c r="I78" s="4">
        <f>(VLOOKUP('18.05'!Q78,'18.05'!$AO$4:$AR$55,4,FALSE))</f>
        <v>34</v>
      </c>
      <c r="J78" s="4">
        <f>(VLOOKUP('18.05'!R78,'18.05'!$AO$4:$AR$55,4,FALSE))</f>
        <v>34</v>
      </c>
      <c r="K78" s="4">
        <f>(VLOOKUP('18.05'!S78,'18.05'!$AO$4:$AR$55,4,FALSE))</f>
        <v>34</v>
      </c>
      <c r="L78" s="4">
        <f>(VLOOKUP('18.05'!T78,'18.05'!$AO$4:$AR$55,4,FALSE))</f>
        <v>34</v>
      </c>
      <c r="M78" s="4">
        <f>(VLOOKUP('18.05'!U78,'18.05'!$AO$4:$AR$55,4,FALSE))</f>
        <v>34</v>
      </c>
      <c r="N78" s="4">
        <f>(VLOOKUP('18.05'!V78,'18.05'!$AO$4:$AR$55,4,FALSE))</f>
        <v>0</v>
      </c>
      <c r="O78" s="4">
        <f>(VLOOKUP('18.05'!W78,'18.05'!$AO$4:$AR$55,4,FALSE))</f>
        <v>0</v>
      </c>
      <c r="P78" s="4">
        <f>(VLOOKUP('18.05'!X78,'18.05'!$AO$4:$AR$55,4,FALSE))</f>
        <v>0</v>
      </c>
      <c r="Q78" s="4">
        <f>(VLOOKUP('18.05'!Y78,'18.05'!$AO$4:$AR$55,4,FALSE))</f>
        <v>0</v>
      </c>
      <c r="R78" s="4">
        <f>(VLOOKUP('18.05'!Z78,'18.05'!$AO$4:$AR$55,4,FALSE))</f>
        <v>0</v>
      </c>
      <c r="S78" s="4">
        <f>(VLOOKUP('18.05'!AA78,'18.05'!$AO$4:$AR$55,4,FALSE))</f>
        <v>0</v>
      </c>
      <c r="T78" s="4">
        <f>(VLOOKUP('18.05'!AB78,'18.05'!$AO$4:$AR$55,4,FALSE))</f>
        <v>0</v>
      </c>
      <c r="U78" s="4">
        <f>(VLOOKUP('18.05'!AC78,'18.05'!$AO$4:$AR$55,4,FALSE))</f>
        <v>0</v>
      </c>
      <c r="V78" s="4">
        <f>(VLOOKUP('18.05'!AD78,'18.05'!$AO$4:$AR$55,4,FALSE))</f>
        <v>0</v>
      </c>
      <c r="W78" s="4">
        <f>(VLOOKUP('18.05'!AE78,'18.05'!$AO$4:$AR$55,4,FALSE))</f>
        <v>0</v>
      </c>
      <c r="X78" s="4">
        <f>(VLOOKUP('18.05'!AF78,'18.05'!$AO$4:$AR$55,4,FALSE))</f>
        <v>0</v>
      </c>
    </row>
    <row r="79" spans="1:24">
      <c r="A79" s="4">
        <f>(VLOOKUP('18.05'!I79,'18.05'!$AO$4:$AR$55,4,FALSE))</f>
        <v>0</v>
      </c>
      <c r="B79" s="4">
        <f>(VLOOKUP('18.05'!J79,'18.05'!$AO$4:$AR$55,4,FALSE))</f>
        <v>0</v>
      </c>
      <c r="C79" s="4">
        <f>(VLOOKUP('18.05'!K79,'18.05'!$AO$4:$AR$55,4,FALSE))</f>
        <v>0</v>
      </c>
      <c r="D79" s="4">
        <f>(VLOOKUP('18.05'!L79,'18.05'!$AO$4:$AR$55,4,FALSE))</f>
        <v>0</v>
      </c>
      <c r="E79" s="4">
        <f>(VLOOKUP('18.05'!M79,'18.05'!$AO$4:$AR$55,4,FALSE))</f>
        <v>0</v>
      </c>
      <c r="F79" s="4">
        <f>(VLOOKUP('18.05'!N79,'18.05'!$AO$4:$AR$55,4,FALSE))</f>
        <v>0</v>
      </c>
      <c r="G79" s="4">
        <f>(VLOOKUP('18.05'!O79,'18.05'!$AO$4:$AR$55,4,FALSE))</f>
        <v>0</v>
      </c>
      <c r="H79" s="4">
        <f>(VLOOKUP('18.05'!P79,'18.05'!$AO$4:$AR$55,4,FALSE))</f>
        <v>0</v>
      </c>
      <c r="I79" s="4">
        <f>(VLOOKUP('18.05'!Q79,'18.05'!$AO$4:$AR$55,4,FALSE))</f>
        <v>34</v>
      </c>
      <c r="J79" s="4">
        <f>(VLOOKUP('18.05'!R79,'18.05'!$AO$4:$AR$55,4,FALSE))</f>
        <v>34</v>
      </c>
      <c r="K79" s="4">
        <f>(VLOOKUP('18.05'!S79,'18.05'!$AO$4:$AR$55,4,FALSE))</f>
        <v>34</v>
      </c>
      <c r="L79" s="4">
        <f>(VLOOKUP('18.05'!T79,'18.05'!$AO$4:$AR$55,4,FALSE))</f>
        <v>34</v>
      </c>
      <c r="M79" s="4">
        <f>(VLOOKUP('18.05'!U79,'18.05'!$AO$4:$AR$55,4,FALSE))</f>
        <v>34</v>
      </c>
      <c r="N79" s="4">
        <f>(VLOOKUP('18.05'!V79,'18.05'!$AO$4:$AR$55,4,FALSE))</f>
        <v>34</v>
      </c>
      <c r="O79" s="4">
        <f>(VLOOKUP('18.05'!W79,'18.05'!$AO$4:$AR$55,4,FALSE))</f>
        <v>0</v>
      </c>
      <c r="P79" s="4">
        <f>(VLOOKUP('18.05'!X79,'18.05'!$AO$4:$AR$55,4,FALSE))</f>
        <v>0</v>
      </c>
      <c r="Q79" s="4">
        <f>(VLOOKUP('18.05'!Y79,'18.05'!$AO$4:$AR$55,4,FALSE))</f>
        <v>0</v>
      </c>
      <c r="R79" s="4">
        <f>(VLOOKUP('18.05'!Z79,'18.05'!$AO$4:$AR$55,4,FALSE))</f>
        <v>0</v>
      </c>
      <c r="S79" s="4">
        <f>(VLOOKUP('18.05'!AA79,'18.05'!$AO$4:$AR$55,4,FALSE))</f>
        <v>0</v>
      </c>
      <c r="T79" s="4">
        <f>(VLOOKUP('18.05'!AB79,'18.05'!$AO$4:$AR$55,4,FALSE))</f>
        <v>0</v>
      </c>
      <c r="U79" s="4">
        <f>(VLOOKUP('18.05'!AC79,'18.05'!$AO$4:$AR$55,4,FALSE))</f>
        <v>0</v>
      </c>
      <c r="V79" s="4">
        <f>(VLOOKUP('18.05'!AD79,'18.05'!$AO$4:$AR$55,4,FALSE))</f>
        <v>0</v>
      </c>
      <c r="W79" s="4">
        <f>(VLOOKUP('18.05'!AE79,'18.05'!$AO$4:$AR$55,4,FALSE))</f>
        <v>0</v>
      </c>
      <c r="X79" s="4">
        <f>(VLOOKUP('18.05'!AF79,'18.05'!$AO$4:$AR$55,4,FALSE))</f>
        <v>0</v>
      </c>
    </row>
    <row r="80" spans="1:24">
      <c r="A80" s="4">
        <f>(VLOOKUP('18.05'!I80,'18.05'!$AO$4:$AR$55,4,FALSE))</f>
        <v>0</v>
      </c>
      <c r="B80" s="4">
        <f>(VLOOKUP('18.05'!J80,'18.05'!$AO$4:$AR$55,4,FALSE))</f>
        <v>0</v>
      </c>
      <c r="C80" s="4">
        <f>(VLOOKUP('18.05'!K80,'18.05'!$AO$4:$AR$55,4,FALSE))</f>
        <v>0</v>
      </c>
      <c r="D80" s="4">
        <f>(VLOOKUP('18.05'!L80,'18.05'!$AO$4:$AR$55,4,FALSE))</f>
        <v>0</v>
      </c>
      <c r="E80" s="4">
        <f>(VLOOKUP('18.05'!M80,'18.05'!$AO$4:$AR$55,4,FALSE))</f>
        <v>0</v>
      </c>
      <c r="F80" s="4">
        <f>(VLOOKUP('18.05'!N80,'18.05'!$AO$4:$AR$55,4,FALSE))</f>
        <v>0</v>
      </c>
      <c r="G80" s="4">
        <f>(VLOOKUP('18.05'!O80,'18.05'!$AO$4:$AR$55,4,FALSE))</f>
        <v>0</v>
      </c>
      <c r="H80" s="4">
        <f>(VLOOKUP('18.05'!P80,'18.05'!$AO$4:$AR$55,4,FALSE))</f>
        <v>0</v>
      </c>
      <c r="I80" s="4">
        <f>(VLOOKUP('18.05'!Q80,'18.05'!$AO$4:$AR$55,4,FALSE))</f>
        <v>34</v>
      </c>
      <c r="J80" s="4">
        <f>(VLOOKUP('18.05'!R80,'18.05'!$AO$4:$AR$55,4,FALSE))</f>
        <v>34</v>
      </c>
      <c r="K80" s="4">
        <f>(VLOOKUP('18.05'!S80,'18.05'!$AO$4:$AR$55,4,FALSE))</f>
        <v>34</v>
      </c>
      <c r="L80" s="4">
        <f>(VLOOKUP('18.05'!T80,'18.05'!$AO$4:$AR$55,4,FALSE))</f>
        <v>34</v>
      </c>
      <c r="M80" s="4">
        <f>(VLOOKUP('18.05'!U80,'18.05'!$AO$4:$AR$55,4,FALSE))</f>
        <v>34</v>
      </c>
      <c r="N80" s="4">
        <f>(VLOOKUP('18.05'!V80,'18.05'!$AO$4:$AR$55,4,FALSE))</f>
        <v>34</v>
      </c>
      <c r="O80" s="4">
        <f>(VLOOKUP('18.05'!W80,'18.05'!$AO$4:$AR$55,4,FALSE))</f>
        <v>0</v>
      </c>
      <c r="P80" s="4">
        <f>(VLOOKUP('18.05'!X80,'18.05'!$AO$4:$AR$55,4,FALSE))</f>
        <v>0</v>
      </c>
      <c r="Q80" s="4">
        <f>(VLOOKUP('18.05'!Y80,'18.05'!$AO$4:$AR$55,4,FALSE))</f>
        <v>0</v>
      </c>
      <c r="R80" s="4">
        <f>(VLOOKUP('18.05'!Z80,'18.05'!$AO$4:$AR$55,4,FALSE))</f>
        <v>0</v>
      </c>
      <c r="S80" s="4">
        <f>(VLOOKUP('18.05'!AA80,'18.05'!$AO$4:$AR$55,4,FALSE))</f>
        <v>0</v>
      </c>
      <c r="T80" s="4">
        <f>(VLOOKUP('18.05'!AB80,'18.05'!$AO$4:$AR$55,4,FALSE))</f>
        <v>0</v>
      </c>
      <c r="U80" s="4">
        <f>(VLOOKUP('18.05'!AC80,'18.05'!$AO$4:$AR$55,4,FALSE))</f>
        <v>0</v>
      </c>
      <c r="V80" s="4">
        <f>(VLOOKUP('18.05'!AD80,'18.05'!$AO$4:$AR$55,4,FALSE))</f>
        <v>0</v>
      </c>
      <c r="W80" s="4">
        <f>(VLOOKUP('18.05'!AE80,'18.05'!$AO$4:$AR$55,4,FALSE))</f>
        <v>0</v>
      </c>
      <c r="X80" s="4">
        <f>(VLOOKUP('18.05'!AF80,'18.05'!$AO$4:$AR$55,4,FALSE))</f>
        <v>0</v>
      </c>
    </row>
    <row r="81" spans="1:24">
      <c r="A81" s="4">
        <f>(VLOOKUP('18.05'!I81,'18.05'!$AO$4:$AR$55,4,FALSE))</f>
        <v>0</v>
      </c>
      <c r="B81" s="4">
        <f>(VLOOKUP('18.05'!J81,'18.05'!$AO$4:$AR$55,4,FALSE))</f>
        <v>0</v>
      </c>
      <c r="C81" s="4">
        <f>(VLOOKUP('18.05'!K81,'18.05'!$AO$4:$AR$55,4,FALSE))</f>
        <v>0</v>
      </c>
      <c r="D81" s="4">
        <f>(VLOOKUP('18.05'!L81,'18.05'!$AO$4:$AR$55,4,FALSE))</f>
        <v>0</v>
      </c>
      <c r="E81" s="4">
        <f>(VLOOKUP('18.05'!M81,'18.05'!$AO$4:$AR$55,4,FALSE))</f>
        <v>0</v>
      </c>
      <c r="F81" s="4">
        <f>(VLOOKUP('18.05'!N81,'18.05'!$AO$4:$AR$55,4,FALSE))</f>
        <v>0</v>
      </c>
      <c r="G81" s="4">
        <f>(VLOOKUP('18.05'!O81,'18.05'!$AO$4:$AR$55,4,FALSE))</f>
        <v>0</v>
      </c>
      <c r="H81" s="4">
        <f>(VLOOKUP('18.05'!P81,'18.05'!$AO$4:$AR$55,4,FALSE))</f>
        <v>0</v>
      </c>
      <c r="I81" s="4">
        <f>(VLOOKUP('18.05'!Q81,'18.05'!$AO$4:$AR$55,4,FALSE))</f>
        <v>34</v>
      </c>
      <c r="J81" s="4">
        <f>(VLOOKUP('18.05'!R81,'18.05'!$AO$4:$AR$55,4,FALSE))</f>
        <v>10</v>
      </c>
      <c r="K81" s="4">
        <f>(VLOOKUP('18.05'!S81,'18.05'!$AO$4:$AR$55,4,FALSE))</f>
        <v>36</v>
      </c>
      <c r="L81" s="4">
        <f>(VLOOKUP('18.05'!T81,'18.05'!$AO$4:$AR$55,4,FALSE))</f>
        <v>36</v>
      </c>
      <c r="M81" s="4">
        <f>(VLOOKUP('18.05'!U81,'18.05'!$AO$4:$AR$55,4,FALSE))</f>
        <v>36</v>
      </c>
      <c r="N81" s="4">
        <f>(VLOOKUP('18.05'!V81,'18.05'!$AO$4:$AR$55,4,FALSE))</f>
        <v>36</v>
      </c>
      <c r="O81" s="4">
        <f>(VLOOKUP('18.05'!W81,'18.05'!$AO$4:$AR$55,4,FALSE))</f>
        <v>36</v>
      </c>
      <c r="P81" s="4">
        <f>(VLOOKUP('18.05'!X81,'18.05'!$AO$4:$AR$55,4,FALSE))</f>
        <v>0</v>
      </c>
      <c r="Q81" s="4">
        <f>(VLOOKUP('18.05'!Y81,'18.05'!$AO$4:$AR$55,4,FALSE))</f>
        <v>0</v>
      </c>
      <c r="R81" s="4">
        <f>(VLOOKUP('18.05'!Z81,'18.05'!$AO$4:$AR$55,4,FALSE))</f>
        <v>0</v>
      </c>
      <c r="S81" s="4">
        <f>(VLOOKUP('18.05'!AA81,'18.05'!$AO$4:$AR$55,4,FALSE))</f>
        <v>0</v>
      </c>
      <c r="T81" s="4">
        <f>(VLOOKUP('18.05'!AB81,'18.05'!$AO$4:$AR$55,4,FALSE))</f>
        <v>0</v>
      </c>
      <c r="U81" s="4">
        <f>(VLOOKUP('18.05'!AC81,'18.05'!$AO$4:$AR$55,4,FALSE))</f>
        <v>0</v>
      </c>
      <c r="V81" s="4">
        <f>(VLOOKUP('18.05'!AD81,'18.05'!$AO$4:$AR$55,4,FALSE))</f>
        <v>0</v>
      </c>
      <c r="W81" s="4">
        <f>(VLOOKUP('18.05'!AE81,'18.05'!$AO$4:$AR$55,4,FALSE))</f>
        <v>0</v>
      </c>
      <c r="X81" s="4">
        <f>(VLOOKUP('18.05'!AF81,'18.05'!$AO$4:$AR$55,4,FALSE))</f>
        <v>0</v>
      </c>
    </row>
    <row r="82" spans="1:24">
      <c r="A82" s="4">
        <f>(VLOOKUP('18.05'!I82,'18.05'!$AO$4:$AR$55,4,FALSE))</f>
        <v>0</v>
      </c>
      <c r="B82" s="4">
        <f>(VLOOKUP('18.05'!J82,'18.05'!$AO$4:$AR$55,4,FALSE))</f>
        <v>0</v>
      </c>
      <c r="C82" s="4">
        <f>(VLOOKUP('18.05'!K82,'18.05'!$AO$4:$AR$55,4,FALSE))</f>
        <v>0</v>
      </c>
      <c r="D82" s="4">
        <f>(VLOOKUP('18.05'!L82,'18.05'!$AO$4:$AR$55,4,FALSE))</f>
        <v>0</v>
      </c>
      <c r="E82" s="4">
        <f>(VLOOKUP('18.05'!M82,'18.05'!$AO$4:$AR$55,4,FALSE))</f>
        <v>0</v>
      </c>
      <c r="F82" s="4">
        <f>(VLOOKUP('18.05'!N82,'18.05'!$AO$4:$AR$55,4,FALSE))</f>
        <v>0</v>
      </c>
      <c r="G82" s="4">
        <f>(VLOOKUP('18.05'!O82,'18.05'!$AO$4:$AR$55,4,FALSE))</f>
        <v>0</v>
      </c>
      <c r="H82" s="4">
        <f>(VLOOKUP('18.05'!P82,'18.05'!$AO$4:$AR$55,4,FALSE))</f>
        <v>0</v>
      </c>
      <c r="I82" s="4">
        <f>(VLOOKUP('18.05'!Q82,'18.05'!$AO$4:$AR$55,4,FALSE))</f>
        <v>36</v>
      </c>
      <c r="J82" s="4">
        <f>(VLOOKUP('18.05'!R82,'18.05'!$AO$4:$AR$55,4,FALSE))</f>
        <v>36</v>
      </c>
      <c r="K82" s="4">
        <f>(VLOOKUP('18.05'!S82,'18.05'!$AO$4:$AR$55,4,FALSE))</f>
        <v>36</v>
      </c>
      <c r="L82" s="4">
        <f>(VLOOKUP('18.05'!T82,'18.05'!$AO$4:$AR$55,4,FALSE))</f>
        <v>36</v>
      </c>
      <c r="M82" s="4">
        <f>(VLOOKUP('18.05'!U82,'18.05'!$AO$4:$AR$55,4,FALSE))</f>
        <v>36</v>
      </c>
      <c r="N82" s="4">
        <f>(VLOOKUP('18.05'!V82,'18.05'!$AO$4:$AR$55,4,FALSE))</f>
        <v>0</v>
      </c>
      <c r="O82" s="4">
        <f>(VLOOKUP('18.05'!W82,'18.05'!$AO$4:$AR$55,4,FALSE))</f>
        <v>0</v>
      </c>
      <c r="P82" s="4">
        <f>(VLOOKUP('18.05'!X82,'18.05'!$AO$4:$AR$55,4,FALSE))</f>
        <v>0</v>
      </c>
      <c r="Q82" s="4">
        <f>(VLOOKUP('18.05'!Y82,'18.05'!$AO$4:$AR$55,4,FALSE))</f>
        <v>0</v>
      </c>
      <c r="R82" s="4">
        <f>(VLOOKUP('18.05'!Z82,'18.05'!$AO$4:$AR$55,4,FALSE))</f>
        <v>0</v>
      </c>
      <c r="S82" s="4">
        <f>(VLOOKUP('18.05'!AA82,'18.05'!$AO$4:$AR$55,4,FALSE))</f>
        <v>0</v>
      </c>
      <c r="T82" s="4">
        <f>(VLOOKUP('18.05'!AB82,'18.05'!$AO$4:$AR$55,4,FALSE))</f>
        <v>0</v>
      </c>
      <c r="U82" s="4">
        <f>(VLOOKUP('18.05'!AC82,'18.05'!$AO$4:$AR$55,4,FALSE))</f>
        <v>0</v>
      </c>
      <c r="V82" s="4">
        <f>(VLOOKUP('18.05'!AD82,'18.05'!$AO$4:$AR$55,4,FALSE))</f>
        <v>0</v>
      </c>
      <c r="W82" s="4">
        <f>(VLOOKUP('18.05'!AE82,'18.05'!$AO$4:$AR$55,4,FALSE))</f>
        <v>0</v>
      </c>
      <c r="X82" s="4">
        <f>(VLOOKUP('18.05'!AF82,'18.05'!$AO$4:$AR$55,4,FALSE))</f>
        <v>0</v>
      </c>
    </row>
    <row r="83" spans="1:24">
      <c r="A83" s="4">
        <f>(VLOOKUP('18.05'!I83,'18.05'!$AO$4:$AR$55,4,FALSE))</f>
        <v>0</v>
      </c>
      <c r="B83" s="4">
        <f>(VLOOKUP('18.05'!J83,'18.05'!$AO$4:$AR$55,4,FALSE))</f>
        <v>0</v>
      </c>
      <c r="C83" s="4">
        <f>(VLOOKUP('18.05'!K83,'18.05'!$AO$4:$AR$55,4,FALSE))</f>
        <v>36</v>
      </c>
      <c r="D83" s="4">
        <f>(VLOOKUP('18.05'!L83,'18.05'!$AO$4:$AR$55,4,FALSE))</f>
        <v>0</v>
      </c>
      <c r="E83" s="4">
        <f>(VLOOKUP('18.05'!M83,'18.05'!$AO$4:$AR$55,4,FALSE))</f>
        <v>0</v>
      </c>
      <c r="F83" s="4">
        <f>(VLOOKUP('18.05'!N83,'18.05'!$AO$4:$AR$55,4,FALSE))</f>
        <v>0</v>
      </c>
      <c r="G83" s="4">
        <f>(VLOOKUP('18.05'!O83,'18.05'!$AO$4:$AR$55,4,FALSE))</f>
        <v>0</v>
      </c>
      <c r="H83" s="4">
        <f>(VLOOKUP('18.05'!P83,'18.05'!$AO$4:$AR$55,4,FALSE))</f>
        <v>0</v>
      </c>
      <c r="I83" s="4">
        <f>(VLOOKUP('18.05'!Q83,'18.05'!$AO$4:$AR$55,4,FALSE))</f>
        <v>36</v>
      </c>
      <c r="J83" s="4">
        <f>(VLOOKUP('18.05'!R83,'18.05'!$AO$4:$AR$55,4,FALSE))</f>
        <v>36</v>
      </c>
      <c r="K83" s="4">
        <f>(VLOOKUP('18.05'!S83,'18.05'!$AO$4:$AR$55,4,FALSE))</f>
        <v>36</v>
      </c>
      <c r="L83" s="4">
        <f>(VLOOKUP('18.05'!T83,'18.05'!$AO$4:$AR$55,4,FALSE))</f>
        <v>36</v>
      </c>
      <c r="M83" s="4">
        <f>(VLOOKUP('18.05'!U83,'18.05'!$AO$4:$AR$55,4,FALSE))</f>
        <v>36</v>
      </c>
      <c r="N83" s="4">
        <f>(VLOOKUP('18.05'!V83,'18.05'!$AO$4:$AR$55,4,FALSE))</f>
        <v>36</v>
      </c>
      <c r="O83" s="4">
        <f>(VLOOKUP('18.05'!W83,'18.05'!$AO$4:$AR$55,4,FALSE))</f>
        <v>0</v>
      </c>
      <c r="P83" s="4">
        <f>(VLOOKUP('18.05'!X83,'18.05'!$AO$4:$AR$55,4,FALSE))</f>
        <v>0</v>
      </c>
      <c r="Q83" s="4">
        <f>(VLOOKUP('18.05'!Y83,'18.05'!$AO$4:$AR$55,4,FALSE))</f>
        <v>0</v>
      </c>
      <c r="R83" s="4">
        <f>(VLOOKUP('18.05'!Z83,'18.05'!$AO$4:$AR$55,4,FALSE))</f>
        <v>0</v>
      </c>
      <c r="S83" s="4">
        <f>(VLOOKUP('18.05'!AA83,'18.05'!$AO$4:$AR$55,4,FALSE))</f>
        <v>0</v>
      </c>
      <c r="T83" s="4">
        <f>(VLOOKUP('18.05'!AB83,'18.05'!$AO$4:$AR$55,4,FALSE))</f>
        <v>0</v>
      </c>
      <c r="U83" s="4">
        <f>(VLOOKUP('18.05'!AC83,'18.05'!$AO$4:$AR$55,4,FALSE))</f>
        <v>0</v>
      </c>
      <c r="V83" s="4">
        <f>(VLOOKUP('18.05'!AD83,'18.05'!$AO$4:$AR$55,4,FALSE))</f>
        <v>0</v>
      </c>
      <c r="W83" s="4">
        <f>(VLOOKUP('18.05'!AE83,'18.05'!$AO$4:$AR$55,4,FALSE))</f>
        <v>0</v>
      </c>
      <c r="X83" s="4">
        <f>(VLOOKUP('18.05'!AF83,'18.05'!$AO$4:$AR$55,4,FALSE))</f>
        <v>0</v>
      </c>
    </row>
    <row r="84" spans="1:24">
      <c r="A84" s="4">
        <f>(VLOOKUP('18.05'!I84,'18.05'!$AO$4:$AR$55,4,FALSE))</f>
        <v>0</v>
      </c>
      <c r="B84" s="4">
        <f>(VLOOKUP('18.05'!J84,'18.05'!$AO$4:$AR$55,4,FALSE))</f>
        <v>36</v>
      </c>
      <c r="C84" s="4">
        <f>(VLOOKUP('18.05'!K84,'18.05'!$AO$4:$AR$55,4,FALSE))</f>
        <v>36</v>
      </c>
      <c r="D84" s="4">
        <f>(VLOOKUP('18.05'!L84,'18.05'!$AO$4:$AR$55,4,FALSE))</f>
        <v>36</v>
      </c>
      <c r="E84" s="4">
        <f>(VLOOKUP('18.05'!M84,'18.05'!$AO$4:$AR$55,4,FALSE))</f>
        <v>36</v>
      </c>
      <c r="F84" s="4">
        <f>(VLOOKUP('18.05'!N84,'18.05'!$AO$4:$AR$55,4,FALSE))</f>
        <v>0</v>
      </c>
      <c r="G84" s="4">
        <f>(VLOOKUP('18.05'!O84,'18.05'!$AO$4:$AR$55,4,FALSE))</f>
        <v>0</v>
      </c>
      <c r="H84" s="4">
        <f>(VLOOKUP('18.05'!P84,'18.05'!$AO$4:$AR$55,4,FALSE))</f>
        <v>0</v>
      </c>
      <c r="I84" s="4">
        <f>(VLOOKUP('18.05'!Q84,'18.05'!$AO$4:$AR$55,4,FALSE))</f>
        <v>36</v>
      </c>
      <c r="J84" s="4">
        <f>(VLOOKUP('18.05'!R84,'18.05'!$AO$4:$AR$55,4,FALSE))</f>
        <v>36</v>
      </c>
      <c r="K84" s="4">
        <f>(VLOOKUP('18.05'!S84,'18.05'!$AO$4:$AR$55,4,FALSE))</f>
        <v>10</v>
      </c>
      <c r="L84" s="4">
        <f>(VLOOKUP('18.05'!T84,'18.05'!$AO$4:$AR$55,4,FALSE))</f>
        <v>36</v>
      </c>
      <c r="M84" s="4">
        <f>(VLOOKUP('18.05'!U84,'18.05'!$AO$4:$AR$55,4,FALSE))</f>
        <v>36</v>
      </c>
      <c r="N84" s="4">
        <f>(VLOOKUP('18.05'!V84,'18.05'!$AO$4:$AR$55,4,FALSE))</f>
        <v>36</v>
      </c>
      <c r="O84" s="4">
        <f>(VLOOKUP('18.05'!W84,'18.05'!$AO$4:$AR$55,4,FALSE))</f>
        <v>0</v>
      </c>
      <c r="P84" s="4">
        <f>(VLOOKUP('18.05'!X84,'18.05'!$AO$4:$AR$55,4,FALSE))</f>
        <v>0</v>
      </c>
      <c r="Q84" s="4">
        <f>(VLOOKUP('18.05'!Y84,'18.05'!$AO$4:$AR$55,4,FALSE))</f>
        <v>0</v>
      </c>
      <c r="R84" s="4">
        <f>(VLOOKUP('18.05'!Z84,'18.05'!$AO$4:$AR$55,4,FALSE))</f>
        <v>0</v>
      </c>
      <c r="S84" s="4">
        <f>(VLOOKUP('18.05'!AA84,'18.05'!$AO$4:$AR$55,4,FALSE))</f>
        <v>0</v>
      </c>
      <c r="T84" s="4">
        <f>(VLOOKUP('18.05'!AB84,'18.05'!$AO$4:$AR$55,4,FALSE))</f>
        <v>0</v>
      </c>
      <c r="U84" s="4">
        <f>(VLOOKUP('18.05'!AC84,'18.05'!$AO$4:$AR$55,4,FALSE))</f>
        <v>0</v>
      </c>
      <c r="V84" s="4">
        <f>(VLOOKUP('18.05'!AD84,'18.05'!$AO$4:$AR$55,4,FALSE))</f>
        <v>0</v>
      </c>
      <c r="W84" s="4">
        <f>(VLOOKUP('18.05'!AE84,'18.05'!$AO$4:$AR$55,4,FALSE))</f>
        <v>0</v>
      </c>
      <c r="X84" s="4">
        <f>(VLOOKUP('18.05'!AF84,'18.05'!$AO$4:$AR$55,4,FALSE))</f>
        <v>0</v>
      </c>
    </row>
    <row r="85" spans="1:24">
      <c r="A85" s="4">
        <f>(VLOOKUP('18.05'!I85,'18.05'!$AO$4:$AR$55,4,FALSE))</f>
        <v>0</v>
      </c>
      <c r="B85" s="4">
        <f>(VLOOKUP('18.05'!J85,'18.05'!$AO$4:$AR$55,4,FALSE))</f>
        <v>0</v>
      </c>
      <c r="C85" s="4">
        <f>(VLOOKUP('18.05'!K85,'18.05'!$AO$4:$AR$55,4,FALSE))</f>
        <v>0</v>
      </c>
      <c r="D85" s="4">
        <f>(VLOOKUP('18.05'!L85,'18.05'!$AO$4:$AR$55,4,FALSE))</f>
        <v>36</v>
      </c>
      <c r="E85" s="4">
        <f>(VLOOKUP('18.05'!M85,'18.05'!$AO$4:$AR$55,4,FALSE))</f>
        <v>0</v>
      </c>
      <c r="F85" s="4">
        <f>(VLOOKUP('18.05'!N85,'18.05'!$AO$4:$AR$55,4,FALSE))</f>
        <v>0</v>
      </c>
      <c r="G85" s="4">
        <f>(VLOOKUP('18.05'!O85,'18.05'!$AO$4:$AR$55,4,FALSE))</f>
        <v>0</v>
      </c>
      <c r="H85" s="4">
        <f>(VLOOKUP('18.05'!P85,'18.05'!$AO$4:$AR$55,4,FALSE))</f>
        <v>0</v>
      </c>
      <c r="I85" s="4">
        <f>(VLOOKUP('18.05'!Q85,'18.05'!$AO$4:$AR$55,4,FALSE))</f>
        <v>36</v>
      </c>
      <c r="J85" s="4">
        <f>(VLOOKUP('18.05'!R85,'18.05'!$AO$4:$AR$55,4,FALSE))</f>
        <v>36</v>
      </c>
      <c r="K85" s="4">
        <f>(VLOOKUP('18.05'!S85,'18.05'!$AO$4:$AR$55,4,FALSE))</f>
        <v>36</v>
      </c>
      <c r="L85" s="4">
        <f>(VLOOKUP('18.05'!T85,'18.05'!$AO$4:$AR$55,4,FALSE))</f>
        <v>36</v>
      </c>
      <c r="M85" s="4">
        <f>(VLOOKUP('18.05'!U85,'18.05'!$AO$4:$AR$55,4,FALSE))</f>
        <v>36</v>
      </c>
      <c r="N85" s="4">
        <f>(VLOOKUP('18.05'!V85,'18.05'!$AO$4:$AR$55,4,FALSE))</f>
        <v>36</v>
      </c>
      <c r="O85" s="4">
        <f>(VLOOKUP('18.05'!W85,'18.05'!$AO$4:$AR$55,4,FALSE))</f>
        <v>0</v>
      </c>
      <c r="P85" s="4">
        <f>(VLOOKUP('18.05'!X85,'18.05'!$AO$4:$AR$55,4,FALSE))</f>
        <v>0</v>
      </c>
      <c r="Q85" s="4">
        <f>(VLOOKUP('18.05'!Y85,'18.05'!$AO$4:$AR$55,4,FALSE))</f>
        <v>0</v>
      </c>
      <c r="R85" s="4">
        <f>(VLOOKUP('18.05'!Z85,'18.05'!$AO$4:$AR$55,4,FALSE))</f>
        <v>0</v>
      </c>
      <c r="S85" s="4">
        <f>(VLOOKUP('18.05'!AA85,'18.05'!$AO$4:$AR$55,4,FALSE))</f>
        <v>0</v>
      </c>
      <c r="T85" s="4">
        <f>(VLOOKUP('18.05'!AB85,'18.05'!$AO$4:$AR$55,4,FALSE))</f>
        <v>0</v>
      </c>
      <c r="U85" s="4">
        <f>(VLOOKUP('18.05'!AC85,'18.05'!$AO$4:$AR$55,4,FALSE))</f>
        <v>0</v>
      </c>
      <c r="V85" s="4">
        <f>(VLOOKUP('18.05'!AD85,'18.05'!$AO$4:$AR$55,4,FALSE))</f>
        <v>0</v>
      </c>
      <c r="W85" s="4">
        <f>(VLOOKUP('18.05'!AE85,'18.05'!$AO$4:$AR$55,4,FALSE))</f>
        <v>0</v>
      </c>
      <c r="X85" s="4">
        <f>(VLOOKUP('18.05'!AF85,'18.05'!$AO$4:$AR$55,4,FALSE))</f>
        <v>0</v>
      </c>
    </row>
    <row r="86" spans="1:24">
      <c r="A86" s="4">
        <f>(VLOOKUP('18.05'!I86,'18.05'!$AO$4:$AR$55,4,FALSE))</f>
        <v>0</v>
      </c>
      <c r="B86" s="4">
        <f>(VLOOKUP('18.05'!J86,'18.05'!$AO$4:$AR$55,4,FALSE))</f>
        <v>0</v>
      </c>
      <c r="C86" s="4">
        <f>(VLOOKUP('18.05'!K86,'18.05'!$AO$4:$AR$55,4,FALSE))</f>
        <v>0</v>
      </c>
      <c r="D86" s="4">
        <f>(VLOOKUP('18.05'!L86,'18.05'!$AO$4:$AR$55,4,FALSE))</f>
        <v>0</v>
      </c>
      <c r="E86" s="4">
        <f>(VLOOKUP('18.05'!M86,'18.05'!$AO$4:$AR$55,4,FALSE))</f>
        <v>0</v>
      </c>
      <c r="F86" s="4">
        <f>(VLOOKUP('18.05'!N86,'18.05'!$AO$4:$AR$55,4,FALSE))</f>
        <v>0</v>
      </c>
      <c r="G86" s="4">
        <f>(VLOOKUP('18.05'!O86,'18.05'!$AO$4:$AR$55,4,FALSE))</f>
        <v>0</v>
      </c>
      <c r="H86" s="4">
        <f>(VLOOKUP('18.05'!P86,'18.05'!$AO$4:$AR$55,4,FALSE))</f>
        <v>0</v>
      </c>
      <c r="I86" s="4">
        <f>(VLOOKUP('18.05'!Q86,'18.05'!$AO$4:$AR$55,4,FALSE))</f>
        <v>36</v>
      </c>
      <c r="J86" s="4">
        <f>(VLOOKUP('18.05'!R86,'18.05'!$AO$4:$AR$55,4,FALSE))</f>
        <v>36</v>
      </c>
      <c r="K86" s="4">
        <f>(VLOOKUP('18.05'!S86,'18.05'!$AO$4:$AR$55,4,FALSE))</f>
        <v>36</v>
      </c>
      <c r="L86" s="4">
        <f>(VLOOKUP('18.05'!T86,'18.05'!$AO$4:$AR$55,4,FALSE))</f>
        <v>36</v>
      </c>
      <c r="M86" s="4">
        <f>(VLOOKUP('18.05'!U86,'18.05'!$AO$4:$AR$55,4,FALSE))</f>
        <v>36</v>
      </c>
      <c r="N86" s="4">
        <f>(VLOOKUP('18.05'!V86,'18.05'!$AO$4:$AR$55,4,FALSE))</f>
        <v>10</v>
      </c>
      <c r="O86" s="4">
        <f>(VLOOKUP('18.05'!W86,'18.05'!$AO$4:$AR$55,4,FALSE))</f>
        <v>0</v>
      </c>
      <c r="P86" s="4">
        <f>(VLOOKUP('18.05'!X86,'18.05'!$AO$4:$AR$55,4,FALSE))</f>
        <v>0</v>
      </c>
      <c r="Q86" s="4">
        <f>(VLOOKUP('18.05'!Y86,'18.05'!$AO$4:$AR$55,4,FALSE))</f>
        <v>0</v>
      </c>
      <c r="R86" s="4">
        <f>(VLOOKUP('18.05'!Z86,'18.05'!$AO$4:$AR$55,4,FALSE))</f>
        <v>0</v>
      </c>
      <c r="S86" s="4">
        <f>(VLOOKUP('18.05'!AA86,'18.05'!$AO$4:$AR$55,4,FALSE))</f>
        <v>0</v>
      </c>
      <c r="T86" s="4">
        <f>(VLOOKUP('18.05'!AB86,'18.05'!$AO$4:$AR$55,4,FALSE))</f>
        <v>0</v>
      </c>
      <c r="U86" s="4">
        <f>(VLOOKUP('18.05'!AC86,'18.05'!$AO$4:$AR$55,4,FALSE))</f>
        <v>0</v>
      </c>
      <c r="V86" s="4">
        <f>(VLOOKUP('18.05'!AD86,'18.05'!$AO$4:$AR$55,4,FALSE))</f>
        <v>0</v>
      </c>
      <c r="W86" s="4">
        <f>(VLOOKUP('18.05'!AE86,'18.05'!$AO$4:$AR$55,4,FALSE))</f>
        <v>0</v>
      </c>
      <c r="X86" s="4">
        <f>(VLOOKUP('18.05'!AF86,'18.05'!$AO$4:$AR$55,4,FALSE))</f>
        <v>0</v>
      </c>
    </row>
    <row r="87" spans="1:24">
      <c r="A87" s="4">
        <f>(VLOOKUP('18.05'!I87,'18.05'!$AO$4:$AR$55,4,FALSE))</f>
        <v>36</v>
      </c>
      <c r="B87" s="4">
        <f>(VLOOKUP('18.05'!J87,'18.05'!$AO$4:$AR$55,4,FALSE))</f>
        <v>0</v>
      </c>
      <c r="C87" s="4">
        <f>(VLOOKUP('18.05'!K87,'18.05'!$AO$4:$AR$55,4,FALSE))</f>
        <v>0</v>
      </c>
      <c r="D87" s="4">
        <f>(VLOOKUP('18.05'!L87,'18.05'!$AO$4:$AR$55,4,FALSE))</f>
        <v>0</v>
      </c>
      <c r="E87" s="4">
        <f>(VLOOKUP('18.05'!M87,'18.05'!$AO$4:$AR$55,4,FALSE))</f>
        <v>0</v>
      </c>
      <c r="F87" s="4">
        <f>(VLOOKUP('18.05'!N87,'18.05'!$AO$4:$AR$55,4,FALSE))</f>
        <v>36</v>
      </c>
      <c r="G87" s="4">
        <f>(VLOOKUP('18.05'!O87,'18.05'!$AO$4:$AR$55,4,FALSE))</f>
        <v>0</v>
      </c>
      <c r="H87" s="4">
        <f>(VLOOKUP('18.05'!P87,'18.05'!$AO$4:$AR$55,4,FALSE))</f>
        <v>0</v>
      </c>
      <c r="I87" s="4">
        <f>(VLOOKUP('18.05'!Q87,'18.05'!$AO$4:$AR$55,4,FALSE))</f>
        <v>36</v>
      </c>
      <c r="J87" s="4">
        <f>(VLOOKUP('18.05'!R87,'18.05'!$AO$4:$AR$55,4,FALSE))</f>
        <v>36</v>
      </c>
      <c r="K87" s="4">
        <f>(VLOOKUP('18.05'!S87,'18.05'!$AO$4:$AR$55,4,FALSE))</f>
        <v>36</v>
      </c>
      <c r="L87" s="4">
        <f>(VLOOKUP('18.05'!T87,'18.05'!$AO$4:$AR$55,4,FALSE))</f>
        <v>36</v>
      </c>
      <c r="M87" s="4">
        <f>(VLOOKUP('18.05'!U87,'18.05'!$AO$4:$AR$55,4,FALSE))</f>
        <v>36</v>
      </c>
      <c r="N87" s="4">
        <f>(VLOOKUP('18.05'!V87,'18.05'!$AO$4:$AR$55,4,FALSE))</f>
        <v>36</v>
      </c>
      <c r="O87" s="4">
        <f>(VLOOKUP('18.05'!W87,'18.05'!$AO$4:$AR$55,4,FALSE))</f>
        <v>0</v>
      </c>
      <c r="P87" s="4">
        <f>(VLOOKUP('18.05'!X87,'18.05'!$AO$4:$AR$55,4,FALSE))</f>
        <v>0</v>
      </c>
      <c r="Q87" s="4">
        <f>(VLOOKUP('18.05'!Y87,'18.05'!$AO$4:$AR$55,4,FALSE))</f>
        <v>0</v>
      </c>
      <c r="R87" s="4">
        <f>(VLOOKUP('18.05'!Z87,'18.05'!$AO$4:$AR$55,4,FALSE))</f>
        <v>0</v>
      </c>
      <c r="S87" s="4">
        <f>(VLOOKUP('18.05'!AA87,'18.05'!$AO$4:$AR$55,4,FALSE))</f>
        <v>0</v>
      </c>
      <c r="T87" s="4">
        <f>(VLOOKUP('18.05'!AB87,'18.05'!$AO$4:$AR$55,4,FALSE))</f>
        <v>0</v>
      </c>
      <c r="U87" s="4">
        <f>(VLOOKUP('18.05'!AC87,'18.05'!$AO$4:$AR$55,4,FALSE))</f>
        <v>0</v>
      </c>
      <c r="V87" s="4">
        <f>(VLOOKUP('18.05'!AD87,'18.05'!$AO$4:$AR$55,4,FALSE))</f>
        <v>0</v>
      </c>
      <c r="W87" s="4">
        <f>(VLOOKUP('18.05'!AE87,'18.05'!$AO$4:$AR$55,4,FALSE))</f>
        <v>0</v>
      </c>
      <c r="X87" s="4">
        <f>(VLOOKUP('18.05'!AF87,'18.05'!$AO$4:$AR$55,4,FALSE))</f>
        <v>0</v>
      </c>
    </row>
    <row r="88" spans="1:24">
      <c r="A88" s="4">
        <f>(VLOOKUP('18.05'!I88,'18.05'!$AO$4:$AR$55,4,FALSE))</f>
        <v>36</v>
      </c>
      <c r="B88" s="4">
        <f>(VLOOKUP('18.05'!J88,'18.05'!$AO$4:$AR$55,4,FALSE))</f>
        <v>36</v>
      </c>
      <c r="C88" s="4">
        <f>(VLOOKUP('18.05'!K88,'18.05'!$AO$4:$AR$55,4,FALSE))</f>
        <v>36</v>
      </c>
      <c r="D88" s="4">
        <f>(VLOOKUP('18.05'!L88,'18.05'!$AO$4:$AR$55,4,FALSE))</f>
        <v>36</v>
      </c>
      <c r="E88" s="4">
        <f>(VLOOKUP('18.05'!M88,'18.05'!$AO$4:$AR$55,4,FALSE))</f>
        <v>36</v>
      </c>
      <c r="F88" s="4">
        <f>(VLOOKUP('18.05'!N88,'18.05'!$AO$4:$AR$55,4,FALSE))</f>
        <v>38</v>
      </c>
      <c r="G88" s="4">
        <f>(VLOOKUP('18.05'!O88,'18.05'!$AO$4:$AR$55,4,FALSE))</f>
        <v>0</v>
      </c>
      <c r="H88" s="4">
        <f>(VLOOKUP('18.05'!P88,'18.05'!$AO$4:$AR$55,4,FALSE))</f>
        <v>0</v>
      </c>
      <c r="I88" s="4">
        <f>(VLOOKUP('18.05'!Q88,'18.05'!$AO$4:$AR$55,4,FALSE))</f>
        <v>36</v>
      </c>
      <c r="J88" s="4">
        <f>(VLOOKUP('18.05'!R88,'18.05'!$AO$4:$AR$55,4,FALSE))</f>
        <v>36</v>
      </c>
      <c r="K88" s="4">
        <f>(VLOOKUP('18.05'!S88,'18.05'!$AO$4:$AR$55,4,FALSE))</f>
        <v>36</v>
      </c>
      <c r="L88" s="4">
        <f>(VLOOKUP('18.05'!T88,'18.05'!$AO$4:$AR$55,4,FALSE))</f>
        <v>36</v>
      </c>
      <c r="M88" s="4">
        <f>(VLOOKUP('18.05'!U88,'18.05'!$AO$4:$AR$55,4,FALSE))</f>
        <v>36</v>
      </c>
      <c r="N88" s="4">
        <f>(VLOOKUP('18.05'!V88,'18.05'!$AO$4:$AR$55,4,FALSE))</f>
        <v>36</v>
      </c>
      <c r="O88" s="4">
        <f>(VLOOKUP('18.05'!W88,'18.05'!$AO$4:$AR$55,4,FALSE))</f>
        <v>0</v>
      </c>
      <c r="P88" s="4">
        <f>(VLOOKUP('18.05'!X88,'18.05'!$AO$4:$AR$55,4,FALSE))</f>
        <v>0</v>
      </c>
      <c r="Q88" s="4">
        <f>(VLOOKUP('18.05'!Y88,'18.05'!$AO$4:$AR$55,4,FALSE))</f>
        <v>0</v>
      </c>
      <c r="R88" s="4">
        <f>(VLOOKUP('18.05'!Z88,'18.05'!$AO$4:$AR$55,4,FALSE))</f>
        <v>0</v>
      </c>
      <c r="S88" s="4">
        <f>(VLOOKUP('18.05'!AA88,'18.05'!$AO$4:$AR$55,4,FALSE))</f>
        <v>0</v>
      </c>
      <c r="T88" s="4">
        <f>(VLOOKUP('18.05'!AB88,'18.05'!$AO$4:$AR$55,4,FALSE))</f>
        <v>0</v>
      </c>
      <c r="U88" s="4">
        <f>(VLOOKUP('18.05'!AC88,'18.05'!$AO$4:$AR$55,4,FALSE))</f>
        <v>0</v>
      </c>
      <c r="V88" s="4">
        <f>(VLOOKUP('18.05'!AD88,'18.05'!$AO$4:$AR$55,4,FALSE))</f>
        <v>0</v>
      </c>
      <c r="W88" s="4">
        <f>(VLOOKUP('18.05'!AE88,'18.05'!$AO$4:$AR$55,4,FALSE))</f>
        <v>0</v>
      </c>
      <c r="X88" s="4">
        <f>(VLOOKUP('18.05'!AF88,'18.05'!$AO$4:$AR$55,4,FALSE))</f>
        <v>0</v>
      </c>
    </row>
    <row r="89" spans="1:24">
      <c r="A89" s="4">
        <f>(VLOOKUP('18.05'!I89,'18.05'!$AO$4:$AR$55,4,FALSE))</f>
        <v>38</v>
      </c>
      <c r="B89" s="4">
        <f>(VLOOKUP('18.05'!J89,'18.05'!$AO$4:$AR$55,4,FALSE))</f>
        <v>0</v>
      </c>
      <c r="C89" s="4">
        <f>(VLOOKUP('18.05'!K89,'18.05'!$AO$4:$AR$55,4,FALSE))</f>
        <v>0</v>
      </c>
      <c r="D89" s="4">
        <f>(VLOOKUP('18.05'!L89,'18.05'!$AO$4:$AR$55,4,FALSE))</f>
        <v>36</v>
      </c>
      <c r="E89" s="4">
        <f>(VLOOKUP('18.05'!M89,'18.05'!$AO$4:$AR$55,4,FALSE))</f>
        <v>36</v>
      </c>
      <c r="F89" s="4">
        <f>(VLOOKUP('18.05'!N89,'18.05'!$AO$4:$AR$55,4,FALSE))</f>
        <v>0</v>
      </c>
      <c r="G89" s="4">
        <f>(VLOOKUP('18.05'!O89,'18.05'!$AO$4:$AR$55,4,FALSE))</f>
        <v>0</v>
      </c>
      <c r="H89" s="4">
        <f>(VLOOKUP('18.05'!P89,'18.05'!$AO$4:$AR$55,4,FALSE))</f>
        <v>0</v>
      </c>
      <c r="I89" s="4">
        <f>(VLOOKUP('18.05'!Q89,'18.05'!$AO$4:$AR$55,4,FALSE))</f>
        <v>36</v>
      </c>
      <c r="J89" s="4">
        <f>(VLOOKUP('18.05'!R89,'18.05'!$AO$4:$AR$55,4,FALSE))</f>
        <v>0</v>
      </c>
      <c r="K89" s="4">
        <f>(VLOOKUP('18.05'!S89,'18.05'!$AO$4:$AR$55,4,FALSE))</f>
        <v>36</v>
      </c>
      <c r="L89" s="4">
        <f>(VLOOKUP('18.05'!T89,'18.05'!$AO$4:$AR$55,4,FALSE))</f>
        <v>36</v>
      </c>
      <c r="M89" s="4">
        <f>(VLOOKUP('18.05'!U89,'18.05'!$AO$4:$AR$55,4,FALSE))</f>
        <v>36</v>
      </c>
      <c r="N89" s="4">
        <f>(VLOOKUP('18.05'!V89,'18.05'!$AO$4:$AR$55,4,FALSE))</f>
        <v>36</v>
      </c>
      <c r="O89" s="4">
        <f>(VLOOKUP('18.05'!W89,'18.05'!$AO$4:$AR$55,4,FALSE))</f>
        <v>36</v>
      </c>
      <c r="P89" s="4">
        <f>(VLOOKUP('18.05'!X89,'18.05'!$AO$4:$AR$55,4,FALSE))</f>
        <v>36</v>
      </c>
      <c r="Q89" s="4">
        <f>(VLOOKUP('18.05'!Y89,'18.05'!$AO$4:$AR$55,4,FALSE))</f>
        <v>0</v>
      </c>
      <c r="R89" s="4">
        <f>(VLOOKUP('18.05'!Z89,'18.05'!$AO$4:$AR$55,4,FALSE))</f>
        <v>0</v>
      </c>
      <c r="S89" s="4">
        <f>(VLOOKUP('18.05'!AA89,'18.05'!$AO$4:$AR$55,4,FALSE))</f>
        <v>0</v>
      </c>
      <c r="T89" s="4">
        <f>(VLOOKUP('18.05'!AB89,'18.05'!$AO$4:$AR$55,4,FALSE))</f>
        <v>0</v>
      </c>
      <c r="U89" s="4">
        <f>(VLOOKUP('18.05'!AC89,'18.05'!$AO$4:$AR$55,4,FALSE))</f>
        <v>0</v>
      </c>
      <c r="V89" s="4">
        <f>(VLOOKUP('18.05'!AD89,'18.05'!$AO$4:$AR$55,4,FALSE))</f>
        <v>0</v>
      </c>
      <c r="W89" s="4">
        <f>(VLOOKUP('18.05'!AE89,'18.05'!$AO$4:$AR$55,4,FALSE))</f>
        <v>0</v>
      </c>
      <c r="X89" s="4">
        <f>(VLOOKUP('18.05'!AF89,'18.05'!$AO$4:$AR$55,4,FALSE))</f>
        <v>0</v>
      </c>
    </row>
    <row r="90" spans="1:24">
      <c r="A90" s="4">
        <f>(VLOOKUP('18.05'!I90,'18.05'!$AO$4:$AR$55,4,FALSE))</f>
        <v>0</v>
      </c>
      <c r="B90" s="4">
        <f>(VLOOKUP('18.05'!J90,'18.05'!$AO$4:$AR$55,4,FALSE))</f>
        <v>38</v>
      </c>
      <c r="C90" s="4">
        <f>(VLOOKUP('18.05'!K90,'18.05'!$AO$4:$AR$55,4,FALSE))</f>
        <v>38</v>
      </c>
      <c r="D90" s="4">
        <f>(VLOOKUP('18.05'!L90,'18.05'!$AO$4:$AR$55,4,FALSE))</f>
        <v>38</v>
      </c>
      <c r="E90" s="4">
        <f>(VLOOKUP('18.05'!M90,'18.05'!$AO$4:$AR$55,4,FALSE))</f>
        <v>0</v>
      </c>
      <c r="F90" s="4">
        <f>(VLOOKUP('18.05'!N90,'18.05'!$AO$4:$AR$55,4,FALSE))</f>
        <v>38</v>
      </c>
      <c r="G90" s="4">
        <f>(VLOOKUP('18.05'!O90,'18.05'!$AO$4:$AR$55,4,FALSE))</f>
        <v>0</v>
      </c>
      <c r="H90" s="4">
        <f>(VLOOKUP('18.05'!P90,'18.05'!$AO$4:$AR$55,4,FALSE))</f>
        <v>0</v>
      </c>
      <c r="I90" s="4">
        <f>(VLOOKUP('18.05'!Q90,'18.05'!$AO$4:$AR$55,4,FALSE))</f>
        <v>36</v>
      </c>
      <c r="J90" s="4">
        <f>(VLOOKUP('18.05'!R90,'18.05'!$AO$4:$AR$55,4,FALSE))</f>
        <v>36</v>
      </c>
      <c r="K90" s="4">
        <f>(VLOOKUP('18.05'!S90,'18.05'!$AO$4:$AR$55,4,FALSE))</f>
        <v>36</v>
      </c>
      <c r="L90" s="4">
        <f>(VLOOKUP('18.05'!T90,'18.05'!$AO$4:$AR$55,4,FALSE))</f>
        <v>36</v>
      </c>
      <c r="M90" s="4">
        <f>(VLOOKUP('18.05'!U90,'18.05'!$AO$4:$AR$55,4,FALSE))</f>
        <v>10</v>
      </c>
      <c r="N90" s="4">
        <f>(VLOOKUP('18.05'!V90,'18.05'!$AO$4:$AR$55,4,FALSE))</f>
        <v>36</v>
      </c>
      <c r="O90" s="4">
        <f>(VLOOKUP('18.05'!W90,'18.05'!$AO$4:$AR$55,4,FALSE))</f>
        <v>36</v>
      </c>
      <c r="P90" s="4">
        <f>(VLOOKUP('18.05'!X90,'18.05'!$AO$4:$AR$55,4,FALSE))</f>
        <v>36</v>
      </c>
      <c r="Q90" s="4">
        <f>(VLOOKUP('18.05'!Y90,'18.05'!$AO$4:$AR$55,4,FALSE))</f>
        <v>0</v>
      </c>
      <c r="R90" s="4">
        <f>(VLOOKUP('18.05'!Z90,'18.05'!$AO$4:$AR$55,4,FALSE))</f>
        <v>0</v>
      </c>
      <c r="S90" s="4">
        <f>(VLOOKUP('18.05'!AA90,'18.05'!$AO$4:$AR$55,4,FALSE))</f>
        <v>0</v>
      </c>
      <c r="T90" s="4">
        <f>(VLOOKUP('18.05'!AB90,'18.05'!$AO$4:$AR$55,4,FALSE))</f>
        <v>0</v>
      </c>
      <c r="U90" s="4">
        <f>(VLOOKUP('18.05'!AC90,'18.05'!$AO$4:$AR$55,4,FALSE))</f>
        <v>0</v>
      </c>
      <c r="V90" s="4">
        <f>(VLOOKUP('18.05'!AD90,'18.05'!$AO$4:$AR$55,4,FALSE))</f>
        <v>0</v>
      </c>
      <c r="W90" s="4">
        <f>(VLOOKUP('18.05'!AE90,'18.05'!$AO$4:$AR$55,4,FALSE))</f>
        <v>0</v>
      </c>
      <c r="X90" s="4">
        <f>(VLOOKUP('18.05'!AF90,'18.05'!$AO$4:$AR$55,4,FALSE))</f>
        <v>0</v>
      </c>
    </row>
    <row r="91" spans="1:24">
      <c r="A91" s="4">
        <f>(VLOOKUP('18.05'!I91,'18.05'!$AO$4:$AR$55,4,FALSE))</f>
        <v>0</v>
      </c>
      <c r="B91" s="4">
        <f>(VLOOKUP('18.05'!J91,'18.05'!$AO$4:$AR$55,4,FALSE))</f>
        <v>0</v>
      </c>
      <c r="C91" s="4">
        <f>(VLOOKUP('18.05'!K91,'18.05'!$AO$4:$AR$55,4,FALSE))</f>
        <v>0</v>
      </c>
      <c r="D91" s="4">
        <f>(VLOOKUP('18.05'!L91,'18.05'!$AO$4:$AR$55,4,FALSE))</f>
        <v>0</v>
      </c>
      <c r="E91" s="4">
        <f>(VLOOKUP('18.05'!M91,'18.05'!$AO$4:$AR$55,4,FALSE))</f>
        <v>0</v>
      </c>
      <c r="F91" s="4">
        <f>(VLOOKUP('18.05'!N91,'18.05'!$AO$4:$AR$55,4,FALSE))</f>
        <v>0</v>
      </c>
      <c r="G91" s="4">
        <f>(VLOOKUP('18.05'!O91,'18.05'!$AO$4:$AR$55,4,FALSE))</f>
        <v>0</v>
      </c>
      <c r="H91" s="4">
        <f>(VLOOKUP('18.05'!P91,'18.05'!$AO$4:$AR$55,4,FALSE))</f>
        <v>0</v>
      </c>
      <c r="I91" s="4">
        <f>(VLOOKUP('18.05'!Q91,'18.05'!$AO$4:$AR$55,4,FALSE))</f>
        <v>36</v>
      </c>
      <c r="J91" s="4">
        <f>(VLOOKUP('18.05'!R91,'18.05'!$AO$4:$AR$55,4,FALSE))</f>
        <v>36</v>
      </c>
      <c r="K91" s="4">
        <f>(VLOOKUP('18.05'!S91,'18.05'!$AO$4:$AR$55,4,FALSE))</f>
        <v>36</v>
      </c>
      <c r="L91" s="4">
        <f>(VLOOKUP('18.05'!T91,'18.05'!$AO$4:$AR$55,4,FALSE))</f>
        <v>36</v>
      </c>
      <c r="M91" s="4">
        <f>(VLOOKUP('18.05'!U91,'18.05'!$AO$4:$AR$55,4,FALSE))</f>
        <v>36</v>
      </c>
      <c r="N91" s="4">
        <f>(VLOOKUP('18.05'!V91,'18.05'!$AO$4:$AR$55,4,FALSE))</f>
        <v>36</v>
      </c>
      <c r="O91" s="4">
        <f>(VLOOKUP('18.05'!W91,'18.05'!$AO$4:$AR$55,4,FALSE))</f>
        <v>36</v>
      </c>
      <c r="P91" s="4">
        <f>(VLOOKUP('18.05'!X91,'18.05'!$AO$4:$AR$55,4,FALSE))</f>
        <v>36</v>
      </c>
      <c r="Q91" s="4">
        <f>(VLOOKUP('18.05'!Y91,'18.05'!$AO$4:$AR$55,4,FALSE))</f>
        <v>0</v>
      </c>
      <c r="R91" s="4">
        <f>(VLOOKUP('18.05'!Z91,'18.05'!$AO$4:$AR$55,4,FALSE))</f>
        <v>0</v>
      </c>
      <c r="S91" s="4">
        <f>(VLOOKUP('18.05'!AA91,'18.05'!$AO$4:$AR$55,4,FALSE))</f>
        <v>0</v>
      </c>
      <c r="T91" s="4">
        <f>(VLOOKUP('18.05'!AB91,'18.05'!$AO$4:$AR$55,4,FALSE))</f>
        <v>0</v>
      </c>
      <c r="U91" s="4">
        <f>(VLOOKUP('18.05'!AC91,'18.05'!$AO$4:$AR$55,4,FALSE))</f>
        <v>0</v>
      </c>
      <c r="V91" s="4">
        <f>(VLOOKUP('18.05'!AD91,'18.05'!$AO$4:$AR$55,4,FALSE))</f>
        <v>0</v>
      </c>
      <c r="W91" s="4">
        <f>(VLOOKUP('18.05'!AE91,'18.05'!$AO$4:$AR$55,4,FALSE))</f>
        <v>0</v>
      </c>
      <c r="X91" s="4">
        <f>(VLOOKUP('18.05'!AF91,'18.05'!$AO$4:$AR$55,4,FALSE))</f>
        <v>0</v>
      </c>
    </row>
    <row r="92" spans="1:24">
      <c r="A92" s="4">
        <f>(VLOOKUP('18.05'!I92,'18.05'!$AO$4:$AR$55,4,FALSE))</f>
        <v>38</v>
      </c>
      <c r="B92" s="4">
        <f>(VLOOKUP('18.05'!J92,'18.05'!$AO$4:$AR$55,4,FALSE))</f>
        <v>38</v>
      </c>
      <c r="C92" s="4">
        <f>(VLOOKUP('18.05'!K92,'18.05'!$AO$4:$AR$55,4,FALSE))</f>
        <v>38</v>
      </c>
      <c r="D92" s="4">
        <f>(VLOOKUP('18.05'!L92,'18.05'!$AO$4:$AR$55,4,FALSE))</f>
        <v>38</v>
      </c>
      <c r="E92" s="4">
        <f>(VLOOKUP('18.05'!M92,'18.05'!$AO$4:$AR$55,4,FALSE))</f>
        <v>38</v>
      </c>
      <c r="F92" s="4">
        <f>(VLOOKUP('18.05'!N92,'18.05'!$AO$4:$AR$55,4,FALSE))</f>
        <v>38</v>
      </c>
      <c r="G92" s="4">
        <f>(VLOOKUP('18.05'!O92,'18.05'!$AO$4:$AR$55,4,FALSE))</f>
        <v>0</v>
      </c>
      <c r="H92" s="4">
        <f>(VLOOKUP('18.05'!P92,'18.05'!$AO$4:$AR$55,4,FALSE))</f>
        <v>0</v>
      </c>
      <c r="I92" s="4">
        <f>(VLOOKUP('18.05'!Q92,'18.05'!$AO$4:$AR$55,4,FALSE))</f>
        <v>36</v>
      </c>
      <c r="J92" s="4">
        <f>(VLOOKUP('18.05'!R92,'18.05'!$AO$4:$AR$55,4,FALSE))</f>
        <v>36</v>
      </c>
      <c r="K92" s="4">
        <f>(VLOOKUP('18.05'!S92,'18.05'!$AO$4:$AR$55,4,FALSE))</f>
        <v>29.110982162825422</v>
      </c>
      <c r="L92" s="4">
        <f>(VLOOKUP('18.05'!T92,'18.05'!$AO$4:$AR$55,4,FALSE))</f>
        <v>39.110982162825422</v>
      </c>
      <c r="M92" s="4">
        <f>(VLOOKUP('18.05'!U92,'18.05'!$AO$4:$AR$55,4,FALSE))</f>
        <v>39.110982162825422</v>
      </c>
      <c r="N92" s="4">
        <f>(VLOOKUP('18.05'!V92,'18.05'!$AO$4:$AR$55,4,FALSE))</f>
        <v>10</v>
      </c>
      <c r="O92" s="4">
        <f>(VLOOKUP('18.05'!W92,'18.05'!$AO$4:$AR$55,4,FALSE))</f>
        <v>39.110982162825422</v>
      </c>
      <c r="P92" s="4">
        <f>(VLOOKUP('18.05'!X92,'18.05'!$AO$4:$AR$55,4,FALSE))</f>
        <v>39.110982162825422</v>
      </c>
      <c r="Q92" s="4">
        <f>(VLOOKUP('18.05'!Y92,'18.05'!$AO$4:$AR$55,4,FALSE))</f>
        <v>0</v>
      </c>
      <c r="R92" s="4">
        <f>(VLOOKUP('18.05'!Z92,'18.05'!$AO$4:$AR$55,4,FALSE))</f>
        <v>0</v>
      </c>
      <c r="S92" s="4">
        <f>(VLOOKUP('18.05'!AA92,'18.05'!$AO$4:$AR$55,4,FALSE))</f>
        <v>0</v>
      </c>
      <c r="T92" s="4">
        <f>(VLOOKUP('18.05'!AB92,'18.05'!$AO$4:$AR$55,4,FALSE))</f>
        <v>0</v>
      </c>
      <c r="U92" s="4">
        <f>(VLOOKUP('18.05'!AC92,'18.05'!$AO$4:$AR$55,4,FALSE))</f>
        <v>0</v>
      </c>
      <c r="V92" s="4">
        <f>(VLOOKUP('18.05'!AD92,'18.05'!$AO$4:$AR$55,4,FALSE))</f>
        <v>0</v>
      </c>
      <c r="W92" s="4">
        <f>(VLOOKUP('18.05'!AE92,'18.05'!$AO$4:$AR$55,4,FALSE))</f>
        <v>0</v>
      </c>
      <c r="X92" s="4">
        <f>(VLOOKUP('18.05'!AF92,'18.05'!$AO$4:$AR$55,4,FALSE))</f>
        <v>0</v>
      </c>
    </row>
    <row r="93" spans="1:24">
      <c r="A93" s="4">
        <f>(VLOOKUP('18.05'!I93,'18.05'!$AO$4:$AR$55,4,FALSE))</f>
        <v>38</v>
      </c>
      <c r="B93" s="4">
        <f>(VLOOKUP('18.05'!J93,'18.05'!$AO$4:$AR$55,4,FALSE))</f>
        <v>38</v>
      </c>
      <c r="C93" s="4">
        <f>(VLOOKUP('18.05'!K93,'18.05'!$AO$4:$AR$55,4,FALSE))</f>
        <v>38</v>
      </c>
      <c r="D93" s="4">
        <f>(VLOOKUP('18.05'!L93,'18.05'!$AO$4:$AR$55,4,FALSE))</f>
        <v>38</v>
      </c>
      <c r="E93" s="4">
        <f>(VLOOKUP('18.05'!M93,'18.05'!$AO$4:$AR$55,4,FALSE))</f>
        <v>38</v>
      </c>
      <c r="F93" s="4">
        <f>(VLOOKUP('18.05'!N93,'18.05'!$AO$4:$AR$55,4,FALSE))</f>
        <v>38</v>
      </c>
      <c r="G93" s="4">
        <f>(VLOOKUP('18.05'!O93,'18.05'!$AO$4:$AR$55,4,FALSE))</f>
        <v>38</v>
      </c>
      <c r="H93" s="4">
        <f>(VLOOKUP('18.05'!P93,'18.05'!$AO$4:$AR$55,4,FALSE))</f>
        <v>38</v>
      </c>
      <c r="I93" s="4">
        <f>(VLOOKUP('18.05'!Q93,'18.05'!$AO$4:$AR$55,4,FALSE))</f>
        <v>29.110982162825422</v>
      </c>
      <c r="J93" s="4">
        <f>(VLOOKUP('18.05'!R93,'18.05'!$AO$4:$AR$55,4,FALSE))</f>
        <v>39.110982162825422</v>
      </c>
      <c r="K93" s="4">
        <f>(VLOOKUP('18.05'!S93,'18.05'!$AO$4:$AR$55,4,FALSE))</f>
        <v>10</v>
      </c>
      <c r="L93" s="4">
        <f>(VLOOKUP('18.05'!T93,'18.05'!$AO$4:$AR$55,4,FALSE))</f>
        <v>0</v>
      </c>
      <c r="M93" s="4">
        <f>(VLOOKUP('18.05'!U93,'18.05'!$AO$4:$AR$55,4,FALSE))</f>
        <v>0</v>
      </c>
      <c r="N93" s="4">
        <f>(VLOOKUP('18.05'!V93,'18.05'!$AO$4:$AR$55,4,FALSE))</f>
        <v>0</v>
      </c>
      <c r="O93" s="4">
        <f>(VLOOKUP('18.05'!W93,'18.05'!$AO$4:$AR$55,4,FALSE))</f>
        <v>0</v>
      </c>
      <c r="P93" s="4">
        <f>(VLOOKUP('18.05'!X93,'18.05'!$AO$4:$AR$55,4,FALSE))</f>
        <v>0</v>
      </c>
      <c r="Q93" s="4">
        <f>(VLOOKUP('18.05'!Y93,'18.05'!$AO$4:$AR$55,4,FALSE))</f>
        <v>0</v>
      </c>
      <c r="R93" s="4">
        <f>(VLOOKUP('18.05'!Z93,'18.05'!$AO$4:$AR$55,4,FALSE))</f>
        <v>0</v>
      </c>
      <c r="S93" s="4">
        <f>(VLOOKUP('18.05'!AA93,'18.05'!$AO$4:$AR$55,4,FALSE))</f>
        <v>0</v>
      </c>
      <c r="T93" s="4">
        <f>(VLOOKUP('18.05'!AB93,'18.05'!$AO$4:$AR$55,4,FALSE))</f>
        <v>0</v>
      </c>
      <c r="U93" s="4">
        <f>(VLOOKUP('18.05'!AC93,'18.05'!$AO$4:$AR$55,4,FALSE))</f>
        <v>0</v>
      </c>
      <c r="V93" s="4">
        <f>(VLOOKUP('18.05'!AD93,'18.05'!$AO$4:$AR$55,4,FALSE))</f>
        <v>0</v>
      </c>
      <c r="W93" s="4">
        <f>(VLOOKUP('18.05'!AE93,'18.05'!$AO$4:$AR$55,4,FALSE))</f>
        <v>0</v>
      </c>
      <c r="X93" s="4">
        <f>(VLOOKUP('18.05'!AF93,'18.05'!$AO$4:$AR$55,4,FALSE))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dcterms:created xsi:type="dcterms:W3CDTF">2021-06-17T16:09:00Z</dcterms:created>
  <dcterms:modified xsi:type="dcterms:W3CDTF">2025-02-28T01:16:01Z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