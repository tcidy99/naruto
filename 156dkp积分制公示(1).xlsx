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/>
  <mc:AlternateContent xmlns:mc="http://schemas.openxmlformats.org/markup-compatibility/2006">
    <mc:Choice Requires="x15">
      <x15ac:absPath xmlns:x15ac="http://schemas.microsoft.com/office/spreadsheetml/2010/11/ac" url="C:\Users\Lin-xio\Desktop\"/>
    </mc:Choice>
  </mc:AlternateContent>
  <xr:revisionPtr revIDLastSave="0" documentId="13_ncr:1_{31270F37-F78E-4E17-8E30-AB238242E9F4}" xr6:coauthVersionLast="45" xr6:coauthVersionMax="45" xr10:uidLastSave="{00000000-0000-0000-0000-000000000000}"/>
  <bookViews>
    <workbookView xWindow="-110" yWindow="-110" windowWidth="29020" windowHeight="17620" xr2:uid="{00000000-000D-0000-FFFF-FFFF00000000}"/>
  </bookViews>
  <sheets>
    <sheet name="组织分包" sheetId="2" r:id="rId1"/>
    <sheet name="List" sheetId="4" r:id="rId2"/>
    <sheet name="战力表" sheetId="3" r:id="rId3"/>
    <sheet name="礼包" sheetId="5" r:id="rId4"/>
  </sheets>
  <externalReferences>
    <externalReference r:id="rId5"/>
  </externalReferences>
  <definedNames>
    <definedName name="_xlnm._FilterDatabase" localSheetId="0" hidden="1">组织分包!$A$17:$Y$88</definedName>
  </definedNames>
  <calcPr calcId="181029"/>
</workbook>
</file>

<file path=xl/calcChain.xml><?xml version="1.0" encoding="utf-8"?>
<calcChain xmlns="http://schemas.openxmlformats.org/spreadsheetml/2006/main">
  <c r="T57" i="2" l="1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Y18" i="2"/>
  <c r="P18" i="2" l="1"/>
  <c r="O18" i="2"/>
  <c r="N18" i="2"/>
  <c r="M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M20" i="2"/>
  <c r="M42" i="2"/>
  <c r="M19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Y89" i="2"/>
  <c r="W89" i="2"/>
  <c r="V89" i="2"/>
  <c r="Z2" i="2"/>
  <c r="T35" i="2" l="1"/>
  <c r="T27" i="2"/>
  <c r="T42" i="2"/>
  <c r="T34" i="2"/>
  <c r="T50" i="2"/>
  <c r="T41" i="2"/>
  <c r="T29" i="2"/>
  <c r="T36" i="2"/>
  <c r="T19" i="2"/>
  <c r="T18" i="2"/>
  <c r="O19" i="2"/>
  <c r="O20" i="2"/>
  <c r="T20" i="2" s="1"/>
  <c r="O21" i="2"/>
  <c r="T21" i="2" s="1"/>
  <c r="O22" i="2"/>
  <c r="T22" i="2" s="1"/>
  <c r="O23" i="2"/>
  <c r="T23" i="2" s="1"/>
  <c r="O24" i="2"/>
  <c r="O25" i="2"/>
  <c r="O26" i="2"/>
  <c r="T26" i="2" s="1"/>
  <c r="O27" i="2"/>
  <c r="O28" i="2"/>
  <c r="T28" i="2" s="1"/>
  <c r="O29" i="2"/>
  <c r="O30" i="2"/>
  <c r="T30" i="2" s="1"/>
  <c r="O31" i="2"/>
  <c r="T31" i="2" s="1"/>
  <c r="O32" i="2"/>
  <c r="O33" i="2"/>
  <c r="T33" i="2" s="1"/>
  <c r="O34" i="2"/>
  <c r="O35" i="2"/>
  <c r="O36" i="2"/>
  <c r="O37" i="2"/>
  <c r="T37" i="2" s="1"/>
  <c r="O38" i="2"/>
  <c r="T38" i="2" s="1"/>
  <c r="O39" i="2"/>
  <c r="T39" i="2" s="1"/>
  <c r="O40" i="2"/>
  <c r="O41" i="2"/>
  <c r="O42" i="2"/>
  <c r="O43" i="2"/>
  <c r="T43" i="2" s="1"/>
  <c r="O44" i="2"/>
  <c r="T44" i="2" s="1"/>
  <c r="O45" i="2"/>
  <c r="T45" i="2" s="1"/>
  <c r="O46" i="2"/>
  <c r="T46" i="2" s="1"/>
  <c r="O47" i="2"/>
  <c r="T47" i="2" s="1"/>
  <c r="O48" i="2"/>
  <c r="O49" i="2"/>
  <c r="T49" i="2" s="1"/>
  <c r="O50" i="2"/>
  <c r="O51" i="2"/>
  <c r="T51" i="2" s="1"/>
  <c r="O52" i="2"/>
  <c r="T52" i="2" s="1"/>
  <c r="O53" i="2"/>
  <c r="T53" i="2" s="1"/>
  <c r="O54" i="2"/>
  <c r="T54" i="2" s="1"/>
  <c r="O55" i="2"/>
  <c r="T55" i="2" s="1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T32" i="2" s="1"/>
  <c r="P33" i="2"/>
  <c r="P34" i="2"/>
  <c r="P35" i="2"/>
  <c r="P36" i="2"/>
  <c r="P37" i="2"/>
  <c r="P38" i="2"/>
  <c r="P39" i="2"/>
  <c r="P40" i="2"/>
  <c r="T40" i="2" s="1"/>
  <c r="P41" i="2"/>
  <c r="P42" i="2"/>
  <c r="P43" i="2"/>
  <c r="P44" i="2"/>
  <c r="P45" i="2"/>
  <c r="P46" i="2"/>
  <c r="P47" i="2"/>
  <c r="P48" i="2"/>
  <c r="T48" i="2" s="1"/>
  <c r="P49" i="2"/>
  <c r="P50" i="2"/>
  <c r="P51" i="2"/>
  <c r="P52" i="2"/>
  <c r="P53" i="2"/>
  <c r="P54" i="2"/>
  <c r="P55" i="2"/>
  <c r="P56" i="2"/>
  <c r="T56" i="2" s="1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18" i="2"/>
  <c r="W18" i="2"/>
  <c r="T25" i="2" l="1"/>
  <c r="T24" i="2"/>
  <c r="X89" i="2"/>
  <c r="V19" i="2"/>
  <c r="Y78" i="2" l="1"/>
  <c r="W78" i="2"/>
  <c r="V78" i="2"/>
  <c r="Y20" i="2" l="1"/>
  <c r="W20" i="2"/>
  <c r="V20" i="2"/>
  <c r="X20" i="2" l="1"/>
  <c r="Z4" i="2" l="1"/>
  <c r="Z3" i="2"/>
  <c r="V52" i="2"/>
  <c r="W52" i="2"/>
  <c r="X52" i="2" l="1"/>
  <c r="Y88" i="2" l="1"/>
  <c r="W88" i="2"/>
  <c r="V88" i="2"/>
  <c r="X88" i="2" l="1"/>
  <c r="Y87" i="2"/>
  <c r="W87" i="2"/>
  <c r="V87" i="2"/>
  <c r="V79" i="2"/>
  <c r="W79" i="2"/>
  <c r="V80" i="2"/>
  <c r="W80" i="2"/>
  <c r="V81" i="2"/>
  <c r="W81" i="2"/>
  <c r="V82" i="2"/>
  <c r="W82" i="2"/>
  <c r="V83" i="2"/>
  <c r="W83" i="2"/>
  <c r="V84" i="2"/>
  <c r="W84" i="2"/>
  <c r="V85" i="2"/>
  <c r="W85" i="2"/>
  <c r="V86" i="2"/>
  <c r="W86" i="2"/>
  <c r="Y86" i="2"/>
  <c r="Y85" i="2"/>
  <c r="Y84" i="2"/>
  <c r="Y83" i="2"/>
  <c r="Y82" i="2"/>
  <c r="Y81" i="2"/>
  <c r="X78" i="2" l="1"/>
  <c r="X87" i="2"/>
  <c r="X86" i="2"/>
  <c r="X85" i="2"/>
  <c r="X84" i="2"/>
  <c r="X79" i="2"/>
  <c r="X82" i="2"/>
  <c r="X81" i="2"/>
  <c r="X80" i="2"/>
  <c r="X83" i="2"/>
  <c r="I16" i="5"/>
  <c r="H10" i="5"/>
  <c r="H8" i="5"/>
  <c r="H6" i="5"/>
  <c r="G16" i="5"/>
  <c r="G14" i="5"/>
  <c r="I14" i="5" s="1"/>
  <c r="G12" i="5"/>
  <c r="G10" i="5"/>
  <c r="G8" i="5"/>
  <c r="G6" i="5"/>
  <c r="F16" i="5"/>
  <c r="F14" i="5"/>
  <c r="F12" i="5"/>
  <c r="I12" i="5" s="1"/>
  <c r="F10" i="5"/>
  <c r="I10" i="5" s="1"/>
  <c r="F8" i="5"/>
  <c r="I8" i="5" s="1"/>
  <c r="F6" i="5"/>
  <c r="I6" i="5" s="1"/>
  <c r="AA4" i="2" l="1"/>
  <c r="AA3" i="2"/>
  <c r="AA2" i="2"/>
  <c r="W19" i="2"/>
  <c r="Y19" i="2"/>
  <c r="V21" i="2"/>
  <c r="W21" i="2"/>
  <c r="Y21" i="2"/>
  <c r="V26" i="2"/>
  <c r="W26" i="2"/>
  <c r="Y26" i="2"/>
  <c r="V28" i="2"/>
  <c r="W28" i="2"/>
  <c r="Y28" i="2"/>
  <c r="V29" i="2"/>
  <c r="W29" i="2"/>
  <c r="Y29" i="2"/>
  <c r="V30" i="2"/>
  <c r="W30" i="2"/>
  <c r="Y30" i="2"/>
  <c r="V32" i="2"/>
  <c r="W32" i="2"/>
  <c r="Y32" i="2"/>
  <c r="V35" i="2"/>
  <c r="W35" i="2"/>
  <c r="Y35" i="2"/>
  <c r="V38" i="2"/>
  <c r="W38" i="2"/>
  <c r="Y38" i="2"/>
  <c r="V39" i="2"/>
  <c r="W39" i="2"/>
  <c r="Y39" i="2"/>
  <c r="V42" i="2"/>
  <c r="W42" i="2"/>
  <c r="Y42" i="2"/>
  <c r="Y52" i="2"/>
  <c r="V18" i="2"/>
  <c r="V22" i="2"/>
  <c r="W22" i="2"/>
  <c r="Y22" i="2"/>
  <c r="V24" i="2"/>
  <c r="W24" i="2"/>
  <c r="Y24" i="2"/>
  <c r="V27" i="2"/>
  <c r="W27" i="2"/>
  <c r="Y27" i="2"/>
  <c r="V43" i="2"/>
  <c r="W43" i="2"/>
  <c r="Y43" i="2"/>
  <c r="V25" i="2"/>
  <c r="W25" i="2"/>
  <c r="Y25" i="2"/>
  <c r="V31" i="2"/>
  <c r="W31" i="2"/>
  <c r="Y31" i="2"/>
  <c r="V40" i="2"/>
  <c r="W40" i="2"/>
  <c r="Y40" i="2"/>
  <c r="V45" i="2"/>
  <c r="W45" i="2"/>
  <c r="Y45" i="2"/>
  <c r="V47" i="2"/>
  <c r="W47" i="2"/>
  <c r="Y47" i="2"/>
  <c r="V49" i="2"/>
  <c r="W49" i="2"/>
  <c r="Y49" i="2"/>
  <c r="V50" i="2"/>
  <c r="W50" i="2"/>
  <c r="Y50" i="2"/>
  <c r="V51" i="2"/>
  <c r="W51" i="2"/>
  <c r="Y51" i="2"/>
  <c r="V53" i="2"/>
  <c r="W53" i="2"/>
  <c r="Y53" i="2"/>
  <c r="V54" i="2"/>
  <c r="W54" i="2"/>
  <c r="Y54" i="2"/>
  <c r="V55" i="2"/>
  <c r="W55" i="2"/>
  <c r="Y55" i="2"/>
  <c r="V56" i="2"/>
  <c r="W56" i="2"/>
  <c r="Y56" i="2"/>
  <c r="V41" i="2"/>
  <c r="W41" i="2"/>
  <c r="Y41" i="2"/>
  <c r="V46" i="2"/>
  <c r="W46" i="2"/>
  <c r="Y46" i="2"/>
  <c r="V33" i="2"/>
  <c r="W33" i="2"/>
  <c r="Y33" i="2"/>
  <c r="V23" i="2"/>
  <c r="W23" i="2"/>
  <c r="Y23" i="2"/>
  <c r="V36" i="2"/>
  <c r="W36" i="2"/>
  <c r="Y36" i="2"/>
  <c r="V37" i="2"/>
  <c r="W37" i="2"/>
  <c r="Y37" i="2"/>
  <c r="V44" i="2"/>
  <c r="W44" i="2"/>
  <c r="Y44" i="2"/>
  <c r="V48" i="2"/>
  <c r="W48" i="2"/>
  <c r="Y48" i="2"/>
  <c r="V57" i="2"/>
  <c r="W57" i="2"/>
  <c r="Y57" i="2"/>
  <c r="V58" i="2"/>
  <c r="W58" i="2"/>
  <c r="Y58" i="2"/>
  <c r="V59" i="2"/>
  <c r="W59" i="2"/>
  <c r="Y59" i="2"/>
  <c r="V60" i="2"/>
  <c r="W60" i="2"/>
  <c r="Y60" i="2"/>
  <c r="V61" i="2"/>
  <c r="W61" i="2"/>
  <c r="Y61" i="2"/>
  <c r="V62" i="2"/>
  <c r="W62" i="2"/>
  <c r="Y62" i="2"/>
  <c r="V63" i="2"/>
  <c r="W63" i="2"/>
  <c r="Y63" i="2"/>
  <c r="V64" i="2"/>
  <c r="W64" i="2"/>
  <c r="Y64" i="2"/>
  <c r="V65" i="2"/>
  <c r="W65" i="2"/>
  <c r="Y65" i="2"/>
  <c r="V66" i="2"/>
  <c r="W66" i="2"/>
  <c r="Y66" i="2"/>
  <c r="V67" i="2"/>
  <c r="W67" i="2"/>
  <c r="Y67" i="2"/>
  <c r="V68" i="2"/>
  <c r="W68" i="2"/>
  <c r="Y68" i="2"/>
  <c r="V69" i="2"/>
  <c r="W69" i="2"/>
  <c r="Y69" i="2"/>
  <c r="V70" i="2"/>
  <c r="W70" i="2"/>
  <c r="Y70" i="2"/>
  <c r="V34" i="2"/>
  <c r="W34" i="2"/>
  <c r="Y34" i="2"/>
  <c r="V71" i="2"/>
  <c r="W71" i="2"/>
  <c r="Y71" i="2"/>
  <c r="V72" i="2"/>
  <c r="W72" i="2"/>
  <c r="Y72" i="2"/>
  <c r="V73" i="2"/>
  <c r="W73" i="2"/>
  <c r="Y73" i="2"/>
  <c r="V74" i="2"/>
  <c r="W74" i="2"/>
  <c r="Y74" i="2"/>
  <c r="V75" i="2"/>
  <c r="W75" i="2"/>
  <c r="Y75" i="2"/>
  <c r="V76" i="2"/>
  <c r="W76" i="2"/>
  <c r="Y76" i="2"/>
  <c r="V77" i="2"/>
  <c r="W77" i="2"/>
  <c r="Y77" i="2"/>
  <c r="Y79" i="2"/>
  <c r="Y80" i="2"/>
  <c r="X77" i="2" l="1"/>
  <c r="X76" i="2"/>
  <c r="X67" i="2"/>
  <c r="X73" i="2"/>
  <c r="X71" i="2"/>
  <c r="X27" i="2"/>
  <c r="X22" i="2"/>
  <c r="X72" i="2"/>
  <c r="X61" i="2"/>
  <c r="X59" i="2"/>
  <c r="X44" i="2"/>
  <c r="X40" i="2"/>
  <c r="X24" i="2"/>
  <c r="X65" i="2"/>
  <c r="X18" i="2"/>
  <c r="X47" i="2"/>
  <c r="X33" i="2"/>
  <c r="X38" i="2"/>
  <c r="X57" i="2"/>
  <c r="X55" i="2"/>
  <c r="X42" i="2"/>
  <c r="X69" i="2"/>
  <c r="X50" i="2"/>
  <c r="X68" i="2"/>
  <c r="X25" i="2"/>
  <c r="X70" i="2"/>
  <c r="X45" i="2"/>
  <c r="X31" i="2"/>
  <c r="X66" i="2"/>
  <c r="X35" i="2"/>
  <c r="X30" i="2"/>
  <c r="X37" i="2"/>
  <c r="X54" i="2"/>
  <c r="X63" i="2"/>
  <c r="X29" i="2"/>
  <c r="X60" i="2"/>
  <c r="X49" i="2"/>
  <c r="X62" i="2"/>
  <c r="X26" i="2"/>
  <c r="X39" i="2"/>
  <c r="X48" i="2"/>
  <c r="X56" i="2"/>
  <c r="X36" i="2"/>
  <c r="X32" i="2"/>
  <c r="X58" i="2"/>
  <c r="X23" i="2"/>
  <c r="X75" i="2"/>
  <c r="X41" i="2"/>
  <c r="X43" i="2"/>
  <c r="X74" i="2"/>
  <c r="X28" i="2"/>
  <c r="X34" i="2"/>
  <c r="X51" i="2"/>
  <c r="X21" i="2"/>
  <c r="X19" i="2"/>
  <c r="X64" i="2"/>
  <c r="X46" i="2"/>
  <c r="X53" i="2"/>
</calcChain>
</file>

<file path=xl/sharedStrings.xml><?xml version="1.0" encoding="utf-8"?>
<sst xmlns="http://schemas.openxmlformats.org/spreadsheetml/2006/main" count="167" uniqueCount="109">
  <si>
    <t>成员名字</t>
  </si>
  <si>
    <t>战力</t>
  </si>
  <si>
    <t>贡献值/周</t>
  </si>
  <si>
    <t>3.组织战全勤，DKP+1</t>
  </si>
  <si>
    <t>4.参加忍战，单场获得DKP+1</t>
  </si>
  <si>
    <t>DKP值加成</t>
  </si>
  <si>
    <t>忍战参战</t>
  </si>
  <si>
    <t>忍战全勤</t>
  </si>
  <si>
    <t>本周礼包</t>
  </si>
  <si>
    <t>DKP上周结余</t>
  </si>
  <si>
    <t>本周DKP值</t>
  </si>
  <si>
    <t>传说</t>
  </si>
  <si>
    <t>英雄</t>
  </si>
  <si>
    <t>精英</t>
  </si>
  <si>
    <t>礼包扣除DKP</t>
  </si>
  <si>
    <t>DKP结余</t>
  </si>
  <si>
    <t>周贡献</t>
  </si>
  <si>
    <t>统计时间</t>
  </si>
  <si>
    <t>起</t>
  </si>
  <si>
    <t>止</t>
  </si>
  <si>
    <t>绿色格子为自动计算</t>
  </si>
  <si>
    <t>本周忍战为</t>
  </si>
  <si>
    <t>礼包扣除DKP值</t>
  </si>
  <si>
    <t>备注</t>
  </si>
  <si>
    <t>没有忍战，无法分包</t>
  </si>
  <si>
    <t>种类</t>
  </si>
  <si>
    <t>数量</t>
  </si>
  <si>
    <t>备注2</t>
  </si>
  <si>
    <t>已发放数量</t>
  </si>
  <si>
    <t>剩余数量</t>
  </si>
  <si>
    <t>序号</t>
  </si>
  <si>
    <t>下次礼包</t>
  </si>
  <si>
    <t>跨服</t>
  </si>
  <si>
    <t>本服</t>
  </si>
  <si>
    <t>封印</t>
  </si>
  <si>
    <t>通灵</t>
  </si>
  <si>
    <t>原石</t>
  </si>
  <si>
    <t>元宝</t>
  </si>
  <si>
    <t>小计</t>
  </si>
  <si>
    <t>消耗积分</t>
  </si>
  <si>
    <t>礼包积分计算</t>
  </si>
  <si>
    <t>单价（元宝）</t>
  </si>
  <si>
    <t>积分原则</t>
  </si>
  <si>
    <t>本周忍战全勤，额外活动2分</t>
  </si>
  <si>
    <t>获得礼包时扣除相应的积分。</t>
  </si>
  <si>
    <t>发放礼包时不因礼包颜色而有区别，当前分高者优先获得橙色，橙色发放完，发紫色，直至没有礼包。</t>
  </si>
  <si>
    <t>黄色标记格子需要输入</t>
  </si>
  <si>
    <t>参战次数</t>
  </si>
  <si>
    <t>战力调整值</t>
  </si>
  <si>
    <t>单次忍战积分</t>
  </si>
  <si>
    <t>参加忍战一次，积2分</t>
  </si>
  <si>
    <t>忍战全勤额外积分</t>
  </si>
  <si>
    <t>本周忍战全勤次数</t>
  </si>
  <si>
    <t>花小鹿</t>
  </si>
  <si>
    <t>鬼月</t>
  </si>
  <si>
    <t>蛋总</t>
  </si>
  <si>
    <t>佐助</t>
  </si>
  <si>
    <t>智恩</t>
  </si>
  <si>
    <t>残梦</t>
  </si>
  <si>
    <t>阿水</t>
  </si>
  <si>
    <t>霂霖</t>
  </si>
  <si>
    <t>端弟</t>
  </si>
  <si>
    <t>欧蜃</t>
  </si>
  <si>
    <t>醉逍遥</t>
  </si>
  <si>
    <t>咸鱼</t>
  </si>
  <si>
    <t>危险小子</t>
  </si>
  <si>
    <t>云朵朵</t>
  </si>
  <si>
    <t>扉间</t>
  </si>
  <si>
    <t>小柠檬</t>
  </si>
  <si>
    <t>Kolos</t>
  </si>
  <si>
    <t>浪漫本希</t>
  </si>
  <si>
    <t>爱老婆薪</t>
  </si>
  <si>
    <t>雨</t>
  </si>
  <si>
    <t>小乐</t>
  </si>
  <si>
    <t>赌圣</t>
  </si>
  <si>
    <t>鸭咧鸭咧</t>
  </si>
  <si>
    <t>大黄蜂</t>
  </si>
  <si>
    <t>呐泥哚</t>
  </si>
  <si>
    <t>野原君</t>
  </si>
  <si>
    <t>憨憨</t>
  </si>
  <si>
    <t>陌尊哥哥</t>
  </si>
  <si>
    <t>未央</t>
  </si>
  <si>
    <t>鱼摆摆</t>
    <phoneticPr fontId="4" type="noConversion"/>
  </si>
  <si>
    <t>路明畅</t>
  </si>
  <si>
    <t>狮子座</t>
  </si>
  <si>
    <t>裤裤破了</t>
  </si>
  <si>
    <t>裤裤旧了</t>
  </si>
  <si>
    <t>干你老师</t>
    <phoneticPr fontId="4" type="noConversion"/>
  </si>
  <si>
    <t>裤裤火了</t>
  </si>
  <si>
    <t>miku</t>
    <phoneticPr fontId="4" type="noConversion"/>
  </si>
  <si>
    <t>奥卡</t>
  </si>
  <si>
    <t>深田&amp;咏美</t>
  </si>
  <si>
    <t>鱼摆摆</t>
  </si>
  <si>
    <t>干你老师</t>
  </si>
  <si>
    <t>miku</t>
  </si>
  <si>
    <t>月日</t>
    <phoneticPr fontId="4" type="noConversion"/>
  </si>
  <si>
    <t>组织集结</t>
    <phoneticPr fontId="4" type="noConversion"/>
  </si>
  <si>
    <t>1.战力先攻每两周更新一次，阵容不同会有所浮动</t>
    <phoneticPr fontId="4" type="noConversion"/>
  </si>
  <si>
    <t>2.战力加成按照当前战力值的十万分之一计算，四舍五入并减去3，计入DKP值，组织集结打满得1分，未打满记0分</t>
    <phoneticPr fontId="4" type="noConversion"/>
  </si>
  <si>
    <t>先攻</t>
    <phoneticPr fontId="4" type="noConversion"/>
  </si>
  <si>
    <t>战力</t>
    <phoneticPr fontId="4" type="noConversion"/>
  </si>
  <si>
    <t>战力对应积分计算。当前战力，除以10万，取整数，再减去3。举例65万战力，（65/10）四舍五入-3 = 4积分</t>
    <phoneticPr fontId="4" type="noConversion"/>
  </si>
  <si>
    <t>先攻对应积分计算。当前先攻，除以1万，保留两位小数再乘5，举例3300先攻（3300/10000*5）=1.65</t>
    <phoneticPr fontId="4" type="noConversion"/>
  </si>
  <si>
    <t>6.周贡献值小于6000，DKP+1；大于等于6000且小于12000，DKP+2;大于等于12000，DKP+3</t>
    <phoneticPr fontId="4" type="noConversion"/>
  </si>
  <si>
    <t>5.周贡献值统计时间为每周一早上5点，至周六下午3点(左右）</t>
    <phoneticPr fontId="4" type="noConversion"/>
  </si>
  <si>
    <t>7.未参加忍战者本周无dkp</t>
    <phoneticPr fontId="4" type="noConversion"/>
  </si>
  <si>
    <t>全勤</t>
    <phoneticPr fontId="4" type="noConversion"/>
  </si>
  <si>
    <t>忍战缺1</t>
    <phoneticPr fontId="4" type="noConversion"/>
  </si>
  <si>
    <t>忍战未参加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</si>
</sst>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color theme="0" tint="-0.1499984740745262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B2B2B2"/>
      </left>
      <right style="medium">
        <color rgb="FFFF0000"/>
      </right>
      <top style="medium">
        <color rgb="FFFF0000"/>
      </top>
      <bottom style="thin">
        <color rgb="FFB2B2B2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7" borderId="17" applyNumberFormat="0" applyFont="0" applyAlignment="0" applyProtection="0"/>
    <xf numFmtId="0" fontId="3" fillId="8" borderId="0" applyNumberFormat="0" applyBorder="0" applyAlignment="0" applyProtection="0"/>
  </cellStyleXfs>
  <cellXfs count="58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2" xfId="0" applyBorder="1"/>
    <xf numFmtId="0" fontId="0" fillId="0" borderId="2" xfId="0" applyFill="1" applyBorder="1"/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1" fillId="6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2" fillId="0" borderId="0" xfId="0" applyFont="1"/>
    <xf numFmtId="0" fontId="2" fillId="0" borderId="0" xfId="0" applyFont="1" applyFill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7" borderId="17" xfId="1" applyFont="1"/>
    <xf numFmtId="0" fontId="3" fillId="8" borderId="1" xfId="2" applyBorder="1"/>
    <xf numFmtId="0" fontId="0" fillId="0" borderId="5" xfId="0" applyBorder="1"/>
    <xf numFmtId="0" fontId="1" fillId="7" borderId="1" xfId="1" applyFont="1" applyBorder="1"/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0" fillId="7" borderId="21" xfId="1" applyFont="1" applyBorder="1"/>
    <xf numFmtId="0" fontId="0" fillId="7" borderId="22" xfId="1" applyFont="1" applyBorder="1"/>
    <xf numFmtId="0" fontId="0" fillId="7" borderId="23" xfId="1" applyFont="1" applyBorder="1"/>
    <xf numFmtId="0" fontId="1" fillId="2" borderId="1" xfId="0" applyFont="1" applyFill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0" fontId="0" fillId="7" borderId="24" xfId="1" applyFont="1" applyBorder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9" borderId="1" xfId="0" applyFill="1" applyBorder="1"/>
  </cellXfs>
  <cellStyles count="3">
    <cellStyle name="20% - 着色 6" xfId="2" builtinId="50"/>
    <cellStyle name="常规" xfId="0" builtinId="0"/>
    <cellStyle name="注释" xfId="1" builtinId="10"/>
  </cellStyles>
  <dxfs count="16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>
        <row r="5">
          <cell r="C5" t="str">
            <v>没有忍战，无法分包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92"/>
  <sheetViews>
    <sheetView tabSelected="1" zoomScale="110" zoomScaleNormal="110" zoomScalePageLayoutView="90" workbookViewId="0">
      <selection activeCell="D25" sqref="D25"/>
    </sheetView>
  </sheetViews>
  <sheetFormatPr defaultColWidth="8.83203125" defaultRowHeight="14" x14ac:dyDescent="0.3"/>
  <cols>
    <col min="1" max="1" width="11.25" customWidth="1"/>
    <col min="2" max="2" width="5.83203125" customWidth="1"/>
    <col min="3" max="3" width="13.83203125" customWidth="1"/>
    <col min="4" max="4" width="18.25" customWidth="1"/>
    <col min="5" max="5" width="0.33203125" customWidth="1"/>
    <col min="6" max="6" width="9" customWidth="1"/>
    <col min="7" max="7" width="0.33203125" style="1" customWidth="1"/>
    <col min="8" max="8" width="8.83203125" customWidth="1"/>
    <col min="9" max="9" width="13.83203125" customWidth="1"/>
    <col min="10" max="10" width="10.33203125" customWidth="1"/>
    <col min="11" max="11" width="2.1640625" customWidth="1"/>
    <col min="12" max="12" width="9.58203125" customWidth="1"/>
    <col min="18" max="18" width="1.75" customWidth="1"/>
    <col min="19" max="19" width="13" customWidth="1"/>
    <col min="20" max="20" width="11.83203125" customWidth="1"/>
    <col min="21" max="21" width="2.33203125" customWidth="1"/>
    <col min="22" max="22" width="18.08203125" customWidth="1"/>
    <col min="23" max="23" width="15.08203125" customWidth="1"/>
    <col min="25" max="25" width="31.08203125" style="2" customWidth="1"/>
    <col min="26" max="26" width="20.08203125" customWidth="1"/>
  </cols>
  <sheetData>
    <row r="1" spans="1:27" x14ac:dyDescent="0.3">
      <c r="A1" t="s">
        <v>30</v>
      </c>
      <c r="B1" s="32">
        <v>1</v>
      </c>
      <c r="D1" t="s">
        <v>97</v>
      </c>
      <c r="W1" t="s">
        <v>22</v>
      </c>
      <c r="Y1" s="2" t="s">
        <v>26</v>
      </c>
      <c r="Z1" t="s">
        <v>28</v>
      </c>
      <c r="AA1" t="s">
        <v>29</v>
      </c>
    </row>
    <row r="2" spans="1:27" x14ac:dyDescent="0.3">
      <c r="D2" t="s">
        <v>98</v>
      </c>
      <c r="U2">
        <v>1</v>
      </c>
      <c r="V2" s="3" t="s">
        <v>11</v>
      </c>
      <c r="W2" s="32">
        <v>19</v>
      </c>
      <c r="Y2">
        <v>8</v>
      </c>
      <c r="Z2">
        <f>COUNTIF($U$18:$U$289,1)</f>
        <v>0</v>
      </c>
      <c r="AA2">
        <f>Y2-Z2</f>
        <v>8</v>
      </c>
    </row>
    <row r="3" spans="1:27" x14ac:dyDescent="0.3">
      <c r="D3" t="s">
        <v>3</v>
      </c>
      <c r="U3">
        <v>2</v>
      </c>
      <c r="V3" s="4" t="s">
        <v>12</v>
      </c>
      <c r="W3" s="32">
        <v>15</v>
      </c>
      <c r="Y3">
        <v>8</v>
      </c>
      <c r="Z3">
        <f>COUNTIF($U$18:$U$289,2)</f>
        <v>0</v>
      </c>
      <c r="AA3">
        <f>Y3-Z3</f>
        <v>8</v>
      </c>
    </row>
    <row r="4" spans="1:27" x14ac:dyDescent="0.3">
      <c r="D4" t="s">
        <v>4</v>
      </c>
      <c r="U4">
        <v>3</v>
      </c>
      <c r="V4" s="5" t="s">
        <v>13</v>
      </c>
      <c r="W4" s="32">
        <v>12</v>
      </c>
      <c r="Y4">
        <v>12</v>
      </c>
      <c r="Z4">
        <f>COUNTIF($U$18:$U$289,3)</f>
        <v>0</v>
      </c>
      <c r="AA4">
        <f>Y4-Z4</f>
        <v>12</v>
      </c>
    </row>
    <row r="5" spans="1:27" x14ac:dyDescent="0.3">
      <c r="D5" s="47" t="s">
        <v>104</v>
      </c>
      <c r="E5" s="21"/>
      <c r="F5" s="21"/>
      <c r="G5" s="22"/>
      <c r="H5" s="21"/>
      <c r="I5" s="21"/>
      <c r="J5" s="21"/>
      <c r="K5" s="21"/>
      <c r="L5" s="21"/>
      <c r="M5" s="21"/>
      <c r="N5" s="21"/>
      <c r="O5" s="21"/>
      <c r="P5" s="21"/>
    </row>
    <row r="6" spans="1:27" x14ac:dyDescent="0.3">
      <c r="D6" s="47" t="s">
        <v>103</v>
      </c>
      <c r="E6" s="21"/>
      <c r="F6" s="21"/>
      <c r="G6" s="22"/>
      <c r="H6" s="21"/>
      <c r="I6" s="21"/>
      <c r="J6" s="21"/>
      <c r="K6" s="21"/>
      <c r="L6" s="21"/>
      <c r="M6" s="21"/>
      <c r="N6" s="21"/>
      <c r="O6" s="21"/>
      <c r="P6" s="21"/>
    </row>
    <row r="7" spans="1:27" x14ac:dyDescent="0.3">
      <c r="D7" t="s">
        <v>105</v>
      </c>
      <c r="V7" s="32"/>
      <c r="W7" t="s">
        <v>46</v>
      </c>
    </row>
    <row r="8" spans="1:27" ht="14.5" thickBot="1" x14ac:dyDescent="0.35">
      <c r="V8" s="6"/>
      <c r="W8" t="s">
        <v>20</v>
      </c>
    </row>
    <row r="9" spans="1:27" x14ac:dyDescent="0.3">
      <c r="V9" s="37" t="s">
        <v>48</v>
      </c>
      <c r="W9" s="39">
        <v>3</v>
      </c>
    </row>
    <row r="10" spans="1:27" x14ac:dyDescent="0.3">
      <c r="A10" t="s">
        <v>17</v>
      </c>
      <c r="B10" t="s">
        <v>18</v>
      </c>
      <c r="C10" s="32" t="s">
        <v>95</v>
      </c>
      <c r="V10" s="38" t="s">
        <v>49</v>
      </c>
      <c r="W10" s="40">
        <v>2</v>
      </c>
    </row>
    <row r="11" spans="1:27" x14ac:dyDescent="0.3">
      <c r="B11" t="s">
        <v>19</v>
      </c>
      <c r="C11" s="32" t="s">
        <v>95</v>
      </c>
      <c r="V11" s="38" t="s">
        <v>51</v>
      </c>
      <c r="W11" s="40">
        <v>2</v>
      </c>
    </row>
    <row r="12" spans="1:27" ht="14.5" thickBot="1" x14ac:dyDescent="0.35">
      <c r="V12" s="36" t="s">
        <v>52</v>
      </c>
      <c r="W12" s="41">
        <v>4</v>
      </c>
    </row>
    <row r="13" spans="1:27" s="7" customFormat="1" ht="14.5" thickBot="1" x14ac:dyDescent="0.35">
      <c r="A13" s="7" t="s">
        <v>21</v>
      </c>
      <c r="B13" s="7" t="s">
        <v>32</v>
      </c>
      <c r="G13" s="8"/>
      <c r="V13" s="8"/>
      <c r="Y13" s="9"/>
    </row>
    <row r="14" spans="1:27" s="10" customFormat="1" x14ac:dyDescent="0.3">
      <c r="G14" s="11"/>
      <c r="V14" s="11"/>
      <c r="Y14" s="12"/>
    </row>
    <row r="15" spans="1:27" s="10" customFormat="1" x14ac:dyDescent="0.3">
      <c r="G15" s="11"/>
      <c r="V15" s="11"/>
      <c r="Y15" s="12"/>
    </row>
    <row r="16" spans="1:27" x14ac:dyDescent="0.3">
      <c r="A16" s="48"/>
      <c r="B16" s="48"/>
      <c r="C16" s="2"/>
      <c r="M16" s="48" t="s">
        <v>5</v>
      </c>
      <c r="N16" s="48"/>
      <c r="O16" s="48"/>
      <c r="P16" s="48"/>
      <c r="Q16" s="2"/>
    </row>
    <row r="17" spans="1:27" x14ac:dyDescent="0.3">
      <c r="D17" t="s">
        <v>0</v>
      </c>
      <c r="F17" t="s">
        <v>1</v>
      </c>
      <c r="H17" t="s">
        <v>99</v>
      </c>
      <c r="I17" t="s">
        <v>47</v>
      </c>
      <c r="J17" t="s">
        <v>2</v>
      </c>
      <c r="L17" t="s">
        <v>96</v>
      </c>
      <c r="M17" t="s">
        <v>100</v>
      </c>
      <c r="N17" t="s">
        <v>99</v>
      </c>
      <c r="O17" t="s">
        <v>6</v>
      </c>
      <c r="P17" t="s">
        <v>7</v>
      </c>
      <c r="Q17" t="s">
        <v>16</v>
      </c>
      <c r="S17" t="s">
        <v>9</v>
      </c>
      <c r="T17" t="s">
        <v>10</v>
      </c>
      <c r="U17" s="49" t="s">
        <v>8</v>
      </c>
      <c r="V17" s="49"/>
      <c r="W17" t="s">
        <v>14</v>
      </c>
      <c r="X17" t="s">
        <v>15</v>
      </c>
      <c r="Y17" s="2" t="s">
        <v>23</v>
      </c>
      <c r="Z17" s="13" t="s">
        <v>27</v>
      </c>
      <c r="AA17" t="s">
        <v>31</v>
      </c>
    </row>
    <row r="18" spans="1:27" s="14" customFormat="1" x14ac:dyDescent="0.3">
      <c r="A18" s="57" t="s">
        <v>106</v>
      </c>
      <c r="C18" s="15">
        <v>1</v>
      </c>
      <c r="D18" s="45" t="s">
        <v>66</v>
      </c>
      <c r="E18" s="17"/>
      <c r="F18" s="42">
        <v>736640</v>
      </c>
      <c r="G18" s="20"/>
      <c r="H18" s="42">
        <v>3769</v>
      </c>
      <c r="I18" s="35">
        <v>4</v>
      </c>
      <c r="J18" s="18"/>
      <c r="K18" s="17"/>
      <c r="L18" s="32"/>
      <c r="M18" s="16">
        <f>IF(F18&gt;200000,IF(I18&gt;0,ROUND(F18/100000,1)-$W$9,0),0)</f>
        <v>4.4000000000000004</v>
      </c>
      <c r="N18" s="16">
        <f>IF(H18&gt;2000,IF(I18&gt;0,ROUND(H18/10000,2),0),0)*5</f>
        <v>1.9</v>
      </c>
      <c r="O18" s="16">
        <f t="shared" ref="O18:O49" si="0">I18*$W$10</f>
        <v>8</v>
      </c>
      <c r="P18" s="16">
        <f t="shared" ref="P18:P49" si="1">IF(I18=$W$12,$W$11,0)</f>
        <v>2</v>
      </c>
      <c r="Q18" s="16" t="b">
        <f t="shared" ref="Q18:Q49" si="2">IF(AND(J18&lt;6000,J18&gt;0),1,IF(AND(J18&lt;12000,J18&gt;=6000),2,IF(AND(J18&lt;=30000,J18&gt;=12000),3)))</f>
        <v>0</v>
      </c>
      <c r="R18" s="17"/>
      <c r="S18" s="35"/>
      <c r="T18" s="33">
        <f>M18+O18+P18+Q18+L18+N18</f>
        <v>16.3</v>
      </c>
      <c r="U18" s="35"/>
      <c r="V18" s="33" t="b">
        <f t="shared" ref="V18:V49" si="3">IF(U18=$U$2,$V$2,IF(U18=$U$3,$V$3,IF(U18=$U$4,$V$4)))</f>
        <v>0</v>
      </c>
      <c r="W18" s="33">
        <f t="shared" ref="W18:W49" si="4">-IF(U18=$U$2,$W$2,IF(U18=$U$3,$W$3,IF(U18=$U$4,$W$4)))</f>
        <v>0</v>
      </c>
      <c r="X18" s="33">
        <f t="shared" ref="X18:X49" si="5">S18+T18+W18</f>
        <v>16.3</v>
      </c>
      <c r="Y18" s="19">
        <f>IF(I18=0,List!$C$5,$C$3)</f>
        <v>0</v>
      </c>
    </row>
    <row r="19" spans="1:27" s="14" customFormat="1" x14ac:dyDescent="0.3">
      <c r="A19" s="57" t="s">
        <v>107</v>
      </c>
      <c r="C19" s="15">
        <v>2</v>
      </c>
      <c r="D19" s="43" t="s">
        <v>53</v>
      </c>
      <c r="E19" s="17"/>
      <c r="F19" s="42">
        <v>690700</v>
      </c>
      <c r="G19" s="20"/>
      <c r="H19" s="42">
        <v>3300</v>
      </c>
      <c r="I19" s="35">
        <v>3</v>
      </c>
      <c r="J19" s="42"/>
      <c r="K19" s="17"/>
      <c r="L19" s="32"/>
      <c r="M19" s="16">
        <f t="shared" ref="M19:M82" si="6">IF(F19&gt;200000,IF(I19&gt;0,ROUND(F19/100000,1)-$W$9,0),0)</f>
        <v>3.9000000000000004</v>
      </c>
      <c r="N19" s="16">
        <f t="shared" ref="N19:N82" si="7">IF(H19&gt;2000,IF(I19&gt;0,ROUND(H19/10000,2),0),0)*5</f>
        <v>1.6500000000000001</v>
      </c>
      <c r="O19" s="16">
        <f t="shared" si="0"/>
        <v>6</v>
      </c>
      <c r="P19" s="16">
        <f t="shared" si="1"/>
        <v>0</v>
      </c>
      <c r="Q19" s="16" t="b">
        <f t="shared" si="2"/>
        <v>0</v>
      </c>
      <c r="R19" s="17"/>
      <c r="S19" s="35"/>
      <c r="T19" s="33">
        <f t="shared" ref="T19:T82" si="8">M19+O19+P19+Q19+L19+N19</f>
        <v>11.55</v>
      </c>
      <c r="U19" s="35"/>
      <c r="V19" s="33" t="b">
        <f t="shared" si="3"/>
        <v>0</v>
      </c>
      <c r="W19" s="33">
        <f t="shared" si="4"/>
        <v>0</v>
      </c>
      <c r="X19" s="33">
        <f t="shared" si="5"/>
        <v>11.55</v>
      </c>
      <c r="Y19" s="19">
        <f>IF(I19=0,List!$C$5,$C$3)</f>
        <v>0</v>
      </c>
    </row>
    <row r="20" spans="1:27" s="14" customFormat="1" ht="15" customHeight="1" x14ac:dyDescent="0.3">
      <c r="C20" s="15">
        <v>3</v>
      </c>
      <c r="D20" s="45" t="s">
        <v>85</v>
      </c>
      <c r="E20" s="17"/>
      <c r="F20" s="42">
        <v>671896</v>
      </c>
      <c r="G20" s="20"/>
      <c r="H20" s="42">
        <v>3130</v>
      </c>
      <c r="I20" s="35"/>
      <c r="J20" s="42"/>
      <c r="K20" s="17"/>
      <c r="L20" s="32"/>
      <c r="M20" s="16">
        <f>IF(F20&gt;200000,IF(I20&gt;0,ROUND(F20/100000,1)-$W$9,0),0)</f>
        <v>0</v>
      </c>
      <c r="N20" s="16">
        <f t="shared" si="7"/>
        <v>0</v>
      </c>
      <c r="O20" s="16">
        <f t="shared" si="0"/>
        <v>0</v>
      </c>
      <c r="P20" s="16">
        <f t="shared" si="1"/>
        <v>0</v>
      </c>
      <c r="Q20" s="16" t="b">
        <f t="shared" si="2"/>
        <v>0</v>
      </c>
      <c r="R20" s="17"/>
      <c r="S20" s="35"/>
      <c r="T20" s="33">
        <f>M20+O20+P20+Q20+L20+N20</f>
        <v>0</v>
      </c>
      <c r="U20" s="35"/>
      <c r="V20" s="33" t="b">
        <f t="shared" si="3"/>
        <v>0</v>
      </c>
      <c r="W20" s="33">
        <f t="shared" si="4"/>
        <v>0</v>
      </c>
      <c r="X20" s="33">
        <f t="shared" si="5"/>
        <v>0</v>
      </c>
      <c r="Y20" s="19" t="str">
        <f>IF(I20=0,List!$C$5,$C$3)</f>
        <v>没有忍战，无法分包</v>
      </c>
    </row>
    <row r="21" spans="1:27" s="14" customFormat="1" x14ac:dyDescent="0.3">
      <c r="A21" s="57" t="s">
        <v>108</v>
      </c>
      <c r="C21" s="15">
        <v>4</v>
      </c>
      <c r="D21" s="43" t="s">
        <v>54</v>
      </c>
      <c r="E21" s="17"/>
      <c r="F21" s="42">
        <v>639288</v>
      </c>
      <c r="G21" s="20"/>
      <c r="H21" s="42">
        <v>3080</v>
      </c>
      <c r="I21" s="35">
        <v>0</v>
      </c>
      <c r="J21" s="42"/>
      <c r="K21" s="17"/>
      <c r="L21" s="32"/>
      <c r="M21" s="16">
        <f t="shared" si="6"/>
        <v>0</v>
      </c>
      <c r="N21" s="16">
        <f t="shared" si="7"/>
        <v>0</v>
      </c>
      <c r="O21" s="16">
        <f t="shared" si="0"/>
        <v>0</v>
      </c>
      <c r="P21" s="16">
        <f t="shared" si="1"/>
        <v>0</v>
      </c>
      <c r="Q21" s="16" t="b">
        <f t="shared" si="2"/>
        <v>0</v>
      </c>
      <c r="R21" s="17"/>
      <c r="S21" s="35"/>
      <c r="T21" s="33">
        <f t="shared" si="8"/>
        <v>0</v>
      </c>
      <c r="U21" s="35"/>
      <c r="V21" s="33" t="b">
        <f t="shared" si="3"/>
        <v>0</v>
      </c>
      <c r="W21" s="33">
        <f t="shared" si="4"/>
        <v>0</v>
      </c>
      <c r="X21" s="33">
        <f t="shared" si="5"/>
        <v>0</v>
      </c>
      <c r="Y21" s="19" t="str">
        <f>IF(I21=0,List!$C$5,$C$3)</f>
        <v>没有忍战，无法分包</v>
      </c>
    </row>
    <row r="22" spans="1:27" s="14" customFormat="1" ht="15" customHeight="1" x14ac:dyDescent="0.3">
      <c r="C22" s="15">
        <v>5</v>
      </c>
      <c r="D22" s="45" t="s">
        <v>67</v>
      </c>
      <c r="E22" s="17"/>
      <c r="F22" s="42">
        <v>637707</v>
      </c>
      <c r="G22" s="20"/>
      <c r="H22" s="42">
        <v>3006</v>
      </c>
      <c r="I22" s="35"/>
      <c r="J22" s="42"/>
      <c r="K22" s="17"/>
      <c r="L22" s="32"/>
      <c r="M22" s="16">
        <f t="shared" si="6"/>
        <v>0</v>
      </c>
      <c r="N22" s="16">
        <f t="shared" si="7"/>
        <v>0</v>
      </c>
      <c r="O22" s="16">
        <f t="shared" si="0"/>
        <v>0</v>
      </c>
      <c r="P22" s="16">
        <f t="shared" si="1"/>
        <v>0</v>
      </c>
      <c r="Q22" s="16" t="b">
        <f t="shared" si="2"/>
        <v>0</v>
      </c>
      <c r="R22" s="17"/>
      <c r="S22" s="35"/>
      <c r="T22" s="33">
        <f t="shared" si="8"/>
        <v>0</v>
      </c>
      <c r="U22" s="35"/>
      <c r="V22" s="33" t="b">
        <f t="shared" si="3"/>
        <v>0</v>
      </c>
      <c r="W22" s="33">
        <f t="shared" si="4"/>
        <v>0</v>
      </c>
      <c r="X22" s="33">
        <f t="shared" si="5"/>
        <v>0</v>
      </c>
      <c r="Y22" s="19" t="str">
        <f>IF(I22=0,List!$C$5,$C$3)</f>
        <v>没有忍战，无法分包</v>
      </c>
    </row>
    <row r="23" spans="1:27" s="14" customFormat="1" ht="15" customHeight="1" x14ac:dyDescent="0.3">
      <c r="C23" s="15">
        <v>6</v>
      </c>
      <c r="D23" s="43" t="s">
        <v>87</v>
      </c>
      <c r="E23" s="17"/>
      <c r="F23" s="42">
        <v>634778</v>
      </c>
      <c r="G23" s="20"/>
      <c r="H23" s="42">
        <v>2954</v>
      </c>
      <c r="I23" s="35"/>
      <c r="J23" s="42"/>
      <c r="K23" s="17"/>
      <c r="L23" s="32"/>
      <c r="M23" s="16">
        <f t="shared" si="6"/>
        <v>0</v>
      </c>
      <c r="N23" s="16">
        <f t="shared" si="7"/>
        <v>0</v>
      </c>
      <c r="O23" s="16">
        <f t="shared" si="0"/>
        <v>0</v>
      </c>
      <c r="P23" s="16">
        <f t="shared" si="1"/>
        <v>0</v>
      </c>
      <c r="Q23" s="16" t="b">
        <f t="shared" si="2"/>
        <v>0</v>
      </c>
      <c r="R23" s="17"/>
      <c r="S23" s="35"/>
      <c r="T23" s="33">
        <f t="shared" si="8"/>
        <v>0</v>
      </c>
      <c r="U23" s="35"/>
      <c r="V23" s="33" t="b">
        <f t="shared" si="3"/>
        <v>0</v>
      </c>
      <c r="W23" s="33">
        <f t="shared" si="4"/>
        <v>0</v>
      </c>
      <c r="X23" s="33">
        <f t="shared" si="5"/>
        <v>0</v>
      </c>
      <c r="Y23" s="19" t="str">
        <f>IF(I23=0,List!$C$5,$C$3)</f>
        <v>没有忍战，无法分包</v>
      </c>
    </row>
    <row r="24" spans="1:27" s="14" customFormat="1" x14ac:dyDescent="0.3">
      <c r="C24" s="15">
        <v>7</v>
      </c>
      <c r="D24" s="45" t="s">
        <v>68</v>
      </c>
      <c r="E24" s="17"/>
      <c r="F24" s="42">
        <v>634252</v>
      </c>
      <c r="G24" s="20"/>
      <c r="H24" s="42">
        <v>3190</v>
      </c>
      <c r="I24" s="35"/>
      <c r="J24" s="42"/>
      <c r="K24" s="17"/>
      <c r="L24" s="32"/>
      <c r="M24" s="16">
        <f t="shared" si="6"/>
        <v>0</v>
      </c>
      <c r="N24" s="16">
        <f t="shared" si="7"/>
        <v>0</v>
      </c>
      <c r="O24" s="16">
        <f t="shared" si="0"/>
        <v>0</v>
      </c>
      <c r="P24" s="16">
        <f t="shared" si="1"/>
        <v>0</v>
      </c>
      <c r="Q24" s="16" t="b">
        <f t="shared" si="2"/>
        <v>0</v>
      </c>
      <c r="R24" s="17"/>
      <c r="S24" s="35"/>
      <c r="T24" s="33">
        <f t="shared" si="8"/>
        <v>0</v>
      </c>
      <c r="U24" s="35"/>
      <c r="V24" s="33" t="b">
        <f t="shared" si="3"/>
        <v>0</v>
      </c>
      <c r="W24" s="33">
        <f t="shared" si="4"/>
        <v>0</v>
      </c>
      <c r="X24" s="33">
        <f t="shared" si="5"/>
        <v>0</v>
      </c>
      <c r="Y24" s="19" t="str">
        <f>IF(I24=0,List!$C$5,$C$3)</f>
        <v>没有忍战，无法分包</v>
      </c>
    </row>
    <row r="25" spans="1:27" s="14" customFormat="1" x14ac:dyDescent="0.3">
      <c r="C25" s="15">
        <v>8</v>
      </c>
      <c r="D25" s="45" t="s">
        <v>71</v>
      </c>
      <c r="E25" s="17"/>
      <c r="F25" s="42">
        <v>629148</v>
      </c>
      <c r="G25" s="20"/>
      <c r="H25" s="42">
        <v>2828</v>
      </c>
      <c r="I25" s="35"/>
      <c r="J25" s="42"/>
      <c r="K25" s="17"/>
      <c r="L25" s="32"/>
      <c r="M25" s="16">
        <f t="shared" si="6"/>
        <v>0</v>
      </c>
      <c r="N25" s="16">
        <f t="shared" si="7"/>
        <v>0</v>
      </c>
      <c r="O25" s="16">
        <f t="shared" si="0"/>
        <v>0</v>
      </c>
      <c r="P25" s="16">
        <f t="shared" si="1"/>
        <v>0</v>
      </c>
      <c r="Q25" s="16" t="b">
        <f t="shared" si="2"/>
        <v>0</v>
      </c>
      <c r="R25" s="17"/>
      <c r="S25" s="35"/>
      <c r="T25" s="33">
        <f t="shared" si="8"/>
        <v>0</v>
      </c>
      <c r="U25" s="35"/>
      <c r="V25" s="33" t="b">
        <f t="shared" si="3"/>
        <v>0</v>
      </c>
      <c r="W25" s="33">
        <f t="shared" si="4"/>
        <v>0</v>
      </c>
      <c r="X25" s="33">
        <f t="shared" si="5"/>
        <v>0</v>
      </c>
      <c r="Y25" s="19" t="str">
        <f>IF(I25=0,List!$C$5,$C$3)</f>
        <v>没有忍战，无法分包</v>
      </c>
    </row>
    <row r="26" spans="1:27" s="14" customFormat="1" ht="15" customHeight="1" x14ac:dyDescent="0.3">
      <c r="C26" s="15">
        <v>9</v>
      </c>
      <c r="D26" s="44" t="s">
        <v>55</v>
      </c>
      <c r="E26" s="17"/>
      <c r="F26" s="42">
        <v>615876</v>
      </c>
      <c r="G26" s="20"/>
      <c r="H26" s="42">
        <v>2741</v>
      </c>
      <c r="I26" s="35"/>
      <c r="J26" s="42"/>
      <c r="K26" s="17"/>
      <c r="L26" s="32"/>
      <c r="M26" s="16">
        <f t="shared" si="6"/>
        <v>0</v>
      </c>
      <c r="N26" s="16">
        <f t="shared" si="7"/>
        <v>0</v>
      </c>
      <c r="O26" s="16">
        <f t="shared" si="0"/>
        <v>0</v>
      </c>
      <c r="P26" s="16">
        <f t="shared" si="1"/>
        <v>0</v>
      </c>
      <c r="Q26" s="16" t="b">
        <f t="shared" si="2"/>
        <v>0</v>
      </c>
      <c r="R26" s="17"/>
      <c r="S26" s="35"/>
      <c r="T26" s="33">
        <f t="shared" si="8"/>
        <v>0</v>
      </c>
      <c r="U26" s="35"/>
      <c r="V26" s="33" t="b">
        <f t="shared" si="3"/>
        <v>0</v>
      </c>
      <c r="W26" s="33">
        <f t="shared" si="4"/>
        <v>0</v>
      </c>
      <c r="X26" s="33">
        <f t="shared" si="5"/>
        <v>0</v>
      </c>
      <c r="Y26" s="19" t="str">
        <f>IF(I26=0,List!$C$5,$C$3)</f>
        <v>没有忍战，无法分包</v>
      </c>
    </row>
    <row r="27" spans="1:27" s="14" customFormat="1" x14ac:dyDescent="0.3">
      <c r="C27" s="15">
        <v>10</v>
      </c>
      <c r="D27" s="45" t="s">
        <v>69</v>
      </c>
      <c r="E27" s="17"/>
      <c r="F27" s="42">
        <v>595824</v>
      </c>
      <c r="G27" s="20"/>
      <c r="H27" s="42">
        <v>2913</v>
      </c>
      <c r="I27" s="35"/>
      <c r="J27" s="42"/>
      <c r="K27" s="17"/>
      <c r="L27" s="32"/>
      <c r="M27" s="16">
        <f t="shared" si="6"/>
        <v>0</v>
      </c>
      <c r="N27" s="16">
        <f t="shared" si="7"/>
        <v>0</v>
      </c>
      <c r="O27" s="16">
        <f t="shared" si="0"/>
        <v>0</v>
      </c>
      <c r="P27" s="16">
        <f t="shared" si="1"/>
        <v>0</v>
      </c>
      <c r="Q27" s="16" t="b">
        <f t="shared" si="2"/>
        <v>0</v>
      </c>
      <c r="R27" s="17"/>
      <c r="S27" s="35"/>
      <c r="T27" s="33">
        <f t="shared" si="8"/>
        <v>0</v>
      </c>
      <c r="U27" s="35"/>
      <c r="V27" s="33" t="b">
        <f t="shared" si="3"/>
        <v>0</v>
      </c>
      <c r="W27" s="33">
        <f t="shared" si="4"/>
        <v>0</v>
      </c>
      <c r="X27" s="33">
        <f t="shared" si="5"/>
        <v>0</v>
      </c>
      <c r="Y27" s="19" t="str">
        <f>IF(I27=0,List!$C$5,$C$3)</f>
        <v>没有忍战，无法分包</v>
      </c>
    </row>
    <row r="28" spans="1:27" s="14" customFormat="1" x14ac:dyDescent="0.3">
      <c r="C28" s="15">
        <v>11</v>
      </c>
      <c r="D28" s="44" t="s">
        <v>56</v>
      </c>
      <c r="E28" s="17"/>
      <c r="F28" s="42">
        <v>589370</v>
      </c>
      <c r="G28" s="20"/>
      <c r="H28" s="42">
        <v>2721</v>
      </c>
      <c r="I28" s="35"/>
      <c r="J28" s="42"/>
      <c r="K28" s="17"/>
      <c r="L28" s="32"/>
      <c r="M28" s="16">
        <f t="shared" si="6"/>
        <v>0</v>
      </c>
      <c r="N28" s="16">
        <f t="shared" si="7"/>
        <v>0</v>
      </c>
      <c r="O28" s="16">
        <f t="shared" si="0"/>
        <v>0</v>
      </c>
      <c r="P28" s="16">
        <f t="shared" si="1"/>
        <v>0</v>
      </c>
      <c r="Q28" s="16" t="b">
        <f t="shared" si="2"/>
        <v>0</v>
      </c>
      <c r="R28" s="17"/>
      <c r="S28" s="35"/>
      <c r="T28" s="33">
        <f t="shared" si="8"/>
        <v>0</v>
      </c>
      <c r="U28" s="35"/>
      <c r="V28" s="33" t="b">
        <f t="shared" si="3"/>
        <v>0</v>
      </c>
      <c r="W28" s="33">
        <f t="shared" si="4"/>
        <v>0</v>
      </c>
      <c r="X28" s="33">
        <f t="shared" si="5"/>
        <v>0</v>
      </c>
      <c r="Y28" s="19" t="str">
        <f>IF(I28=0,List!$C$5,$C$3)</f>
        <v>没有忍战，无法分包</v>
      </c>
    </row>
    <row r="29" spans="1:27" s="14" customFormat="1" x14ac:dyDescent="0.3">
      <c r="C29" s="15">
        <v>12</v>
      </c>
      <c r="D29" s="43" t="s">
        <v>57</v>
      </c>
      <c r="E29" s="17"/>
      <c r="F29" s="42">
        <v>583620</v>
      </c>
      <c r="G29" s="20"/>
      <c r="H29" s="42">
        <v>3042</v>
      </c>
      <c r="I29" s="35"/>
      <c r="J29" s="42"/>
      <c r="K29" s="17"/>
      <c r="L29" s="32"/>
      <c r="M29" s="16">
        <f t="shared" si="6"/>
        <v>0</v>
      </c>
      <c r="N29" s="16">
        <f t="shared" si="7"/>
        <v>0</v>
      </c>
      <c r="O29" s="16">
        <f t="shared" si="0"/>
        <v>0</v>
      </c>
      <c r="P29" s="16">
        <f t="shared" si="1"/>
        <v>0</v>
      </c>
      <c r="Q29" s="16" t="b">
        <f t="shared" si="2"/>
        <v>0</v>
      </c>
      <c r="R29" s="17"/>
      <c r="S29" s="35"/>
      <c r="T29" s="33">
        <f t="shared" si="8"/>
        <v>0</v>
      </c>
      <c r="U29" s="35"/>
      <c r="V29" s="33" t="b">
        <f t="shared" si="3"/>
        <v>0</v>
      </c>
      <c r="W29" s="33">
        <f t="shared" si="4"/>
        <v>0</v>
      </c>
      <c r="X29" s="33">
        <f t="shared" si="5"/>
        <v>0</v>
      </c>
      <c r="Y29" s="19" t="str">
        <f>IF(I29=0,List!$C$5,$C$3)</f>
        <v>没有忍战，无法分包</v>
      </c>
    </row>
    <row r="30" spans="1:27" s="14" customFormat="1" x14ac:dyDescent="0.3">
      <c r="C30" s="15">
        <v>13</v>
      </c>
      <c r="D30" s="43" t="s">
        <v>59</v>
      </c>
      <c r="E30" s="17"/>
      <c r="F30" s="42">
        <v>575751</v>
      </c>
      <c r="G30" s="20"/>
      <c r="H30" s="42">
        <v>2768</v>
      </c>
      <c r="I30" s="35"/>
      <c r="J30" s="42"/>
      <c r="K30" s="17"/>
      <c r="L30" s="32"/>
      <c r="M30" s="16">
        <f t="shared" si="6"/>
        <v>0</v>
      </c>
      <c r="N30" s="16">
        <f t="shared" si="7"/>
        <v>0</v>
      </c>
      <c r="O30" s="16">
        <f t="shared" si="0"/>
        <v>0</v>
      </c>
      <c r="P30" s="16">
        <f t="shared" si="1"/>
        <v>0</v>
      </c>
      <c r="Q30" s="16" t="b">
        <f t="shared" si="2"/>
        <v>0</v>
      </c>
      <c r="R30" s="17"/>
      <c r="S30" s="35"/>
      <c r="T30" s="33">
        <f t="shared" si="8"/>
        <v>0</v>
      </c>
      <c r="U30" s="35"/>
      <c r="V30" s="33" t="b">
        <f t="shared" si="3"/>
        <v>0</v>
      </c>
      <c r="W30" s="33">
        <f t="shared" si="4"/>
        <v>0</v>
      </c>
      <c r="X30" s="33">
        <f t="shared" si="5"/>
        <v>0</v>
      </c>
      <c r="Y30" s="19" t="str">
        <f>IF(I30=0,List!$C$5,$C$3)</f>
        <v>没有忍战，无法分包</v>
      </c>
    </row>
    <row r="31" spans="1:27" s="14" customFormat="1" x14ac:dyDescent="0.3">
      <c r="C31" s="15">
        <v>14</v>
      </c>
      <c r="D31" s="45" t="s">
        <v>72</v>
      </c>
      <c r="E31" s="17"/>
      <c r="F31" s="42">
        <v>566756</v>
      </c>
      <c r="G31" s="20"/>
      <c r="H31" s="42">
        <v>2485</v>
      </c>
      <c r="I31" s="35"/>
      <c r="J31" s="42"/>
      <c r="K31" s="17"/>
      <c r="L31" s="32"/>
      <c r="M31" s="16">
        <f t="shared" si="6"/>
        <v>0</v>
      </c>
      <c r="N31" s="16">
        <f t="shared" si="7"/>
        <v>0</v>
      </c>
      <c r="O31" s="16">
        <f t="shared" si="0"/>
        <v>0</v>
      </c>
      <c r="P31" s="16">
        <f t="shared" si="1"/>
        <v>0</v>
      </c>
      <c r="Q31" s="16" t="b">
        <f t="shared" si="2"/>
        <v>0</v>
      </c>
      <c r="R31" s="17"/>
      <c r="S31" s="35"/>
      <c r="T31" s="33">
        <f t="shared" si="8"/>
        <v>0</v>
      </c>
      <c r="U31" s="35"/>
      <c r="V31" s="33" t="b">
        <f t="shared" si="3"/>
        <v>0</v>
      </c>
      <c r="W31" s="33">
        <f t="shared" si="4"/>
        <v>0</v>
      </c>
      <c r="X31" s="33">
        <f t="shared" si="5"/>
        <v>0</v>
      </c>
      <c r="Y31" s="19" t="str">
        <f>IF(I31=0,List!$C$5,$C$3)</f>
        <v>没有忍战，无法分包</v>
      </c>
    </row>
    <row r="32" spans="1:27" s="14" customFormat="1" x14ac:dyDescent="0.3">
      <c r="C32" s="15">
        <v>15</v>
      </c>
      <c r="D32" s="43" t="s">
        <v>60</v>
      </c>
      <c r="E32" s="17"/>
      <c r="F32" s="42">
        <v>561014</v>
      </c>
      <c r="G32" s="20"/>
      <c r="H32" s="42">
        <v>2515</v>
      </c>
      <c r="I32" s="35"/>
      <c r="J32" s="42"/>
      <c r="K32" s="17"/>
      <c r="L32" s="32"/>
      <c r="M32" s="16">
        <f t="shared" si="6"/>
        <v>0</v>
      </c>
      <c r="N32" s="16">
        <f t="shared" si="7"/>
        <v>0</v>
      </c>
      <c r="O32" s="16">
        <f t="shared" si="0"/>
        <v>0</v>
      </c>
      <c r="P32" s="16">
        <f t="shared" si="1"/>
        <v>0</v>
      </c>
      <c r="Q32" s="16" t="b">
        <f t="shared" si="2"/>
        <v>0</v>
      </c>
      <c r="R32" s="17"/>
      <c r="S32" s="35"/>
      <c r="T32" s="33">
        <f t="shared" si="8"/>
        <v>0</v>
      </c>
      <c r="U32" s="35"/>
      <c r="V32" s="33" t="b">
        <f t="shared" si="3"/>
        <v>0</v>
      </c>
      <c r="W32" s="33">
        <f t="shared" si="4"/>
        <v>0</v>
      </c>
      <c r="X32" s="33">
        <f t="shared" si="5"/>
        <v>0</v>
      </c>
      <c r="Y32" s="19" t="str">
        <f>IF(I32=0,List!$C$5,$C$3)</f>
        <v>没有忍战，无法分包</v>
      </c>
    </row>
    <row r="33" spans="1:25" s="14" customFormat="1" x14ac:dyDescent="0.3">
      <c r="C33" s="15">
        <v>16</v>
      </c>
      <c r="D33" s="45" t="s">
        <v>86</v>
      </c>
      <c r="E33" s="17"/>
      <c r="F33" s="42">
        <v>545640</v>
      </c>
      <c r="G33" s="20"/>
      <c r="H33" s="42">
        <v>2739</v>
      </c>
      <c r="I33" s="35"/>
      <c r="J33" s="42"/>
      <c r="K33" s="17"/>
      <c r="L33" s="32"/>
      <c r="M33" s="16">
        <f t="shared" si="6"/>
        <v>0</v>
      </c>
      <c r="N33" s="16">
        <f t="shared" si="7"/>
        <v>0</v>
      </c>
      <c r="O33" s="16">
        <f t="shared" si="0"/>
        <v>0</v>
      </c>
      <c r="P33" s="16">
        <f t="shared" si="1"/>
        <v>0</v>
      </c>
      <c r="Q33" s="16" t="b">
        <f t="shared" si="2"/>
        <v>0</v>
      </c>
      <c r="R33" s="17"/>
      <c r="S33" s="35"/>
      <c r="T33" s="33">
        <f t="shared" si="8"/>
        <v>0</v>
      </c>
      <c r="U33" s="35"/>
      <c r="V33" s="33" t="b">
        <f t="shared" si="3"/>
        <v>0</v>
      </c>
      <c r="W33" s="33">
        <f t="shared" si="4"/>
        <v>0</v>
      </c>
      <c r="X33" s="33">
        <f t="shared" si="5"/>
        <v>0</v>
      </c>
      <c r="Y33" s="19" t="str">
        <f>IF(I33=0,List!$C$5,$C$3)</f>
        <v>没有忍战，无法分包</v>
      </c>
    </row>
    <row r="34" spans="1:25" s="14" customFormat="1" x14ac:dyDescent="0.3">
      <c r="C34" s="15">
        <v>17</v>
      </c>
      <c r="D34" s="43" t="s">
        <v>58</v>
      </c>
      <c r="E34" s="17"/>
      <c r="F34" s="42">
        <v>538826</v>
      </c>
      <c r="G34" s="20"/>
      <c r="H34" s="42">
        <v>2607</v>
      </c>
      <c r="I34" s="35"/>
      <c r="J34" s="42"/>
      <c r="K34" s="17"/>
      <c r="L34" s="32"/>
      <c r="M34" s="16">
        <f t="shared" si="6"/>
        <v>0</v>
      </c>
      <c r="N34" s="16">
        <f t="shared" si="7"/>
        <v>0</v>
      </c>
      <c r="O34" s="16">
        <f t="shared" si="0"/>
        <v>0</v>
      </c>
      <c r="P34" s="16">
        <f t="shared" si="1"/>
        <v>0</v>
      </c>
      <c r="Q34" s="16" t="b">
        <f t="shared" si="2"/>
        <v>0</v>
      </c>
      <c r="R34" s="17"/>
      <c r="S34" s="35"/>
      <c r="T34" s="33">
        <f t="shared" si="8"/>
        <v>0</v>
      </c>
      <c r="U34" s="35"/>
      <c r="V34" s="33" t="b">
        <f t="shared" si="3"/>
        <v>0</v>
      </c>
      <c r="W34" s="33">
        <f t="shared" si="4"/>
        <v>0</v>
      </c>
      <c r="X34" s="33">
        <f t="shared" si="5"/>
        <v>0</v>
      </c>
      <c r="Y34" s="19" t="str">
        <f>IF(I34=0,List!$C$5,$C$3)</f>
        <v>没有忍战，无法分包</v>
      </c>
    </row>
    <row r="35" spans="1:25" s="14" customFormat="1" x14ac:dyDescent="0.3">
      <c r="C35" s="15">
        <v>18</v>
      </c>
      <c r="D35" s="44" t="s">
        <v>61</v>
      </c>
      <c r="E35" s="17"/>
      <c r="F35" s="42">
        <v>536955</v>
      </c>
      <c r="G35" s="20"/>
      <c r="H35" s="42">
        <v>2261</v>
      </c>
      <c r="I35" s="35"/>
      <c r="J35" s="42"/>
      <c r="K35" s="17"/>
      <c r="L35" s="32"/>
      <c r="M35" s="16">
        <f t="shared" si="6"/>
        <v>0</v>
      </c>
      <c r="N35" s="16">
        <f t="shared" si="7"/>
        <v>0</v>
      </c>
      <c r="O35" s="16">
        <f t="shared" si="0"/>
        <v>0</v>
      </c>
      <c r="P35" s="16">
        <f t="shared" si="1"/>
        <v>0</v>
      </c>
      <c r="Q35" s="16" t="b">
        <f t="shared" si="2"/>
        <v>0</v>
      </c>
      <c r="R35" s="17"/>
      <c r="S35" s="35"/>
      <c r="T35" s="33">
        <f t="shared" si="8"/>
        <v>0</v>
      </c>
      <c r="U35" s="35"/>
      <c r="V35" s="33" t="b">
        <f t="shared" si="3"/>
        <v>0</v>
      </c>
      <c r="W35" s="33">
        <f t="shared" si="4"/>
        <v>0</v>
      </c>
      <c r="X35" s="33">
        <f t="shared" si="5"/>
        <v>0</v>
      </c>
      <c r="Y35" s="19" t="str">
        <f>IF(I35=0,List!$C$5,$C$3)</f>
        <v>没有忍战，无法分包</v>
      </c>
    </row>
    <row r="36" spans="1:25" s="14" customFormat="1" x14ac:dyDescent="0.3">
      <c r="C36" s="15">
        <v>19</v>
      </c>
      <c r="D36" s="45" t="s">
        <v>88</v>
      </c>
      <c r="E36" s="17"/>
      <c r="F36" s="42">
        <v>535264</v>
      </c>
      <c r="G36" s="20"/>
      <c r="H36" s="42">
        <v>2446</v>
      </c>
      <c r="I36" s="35"/>
      <c r="J36" s="42"/>
      <c r="K36" s="17"/>
      <c r="L36" s="32"/>
      <c r="M36" s="16">
        <f t="shared" si="6"/>
        <v>0</v>
      </c>
      <c r="N36" s="16">
        <f t="shared" si="7"/>
        <v>0</v>
      </c>
      <c r="O36" s="16">
        <f t="shared" si="0"/>
        <v>0</v>
      </c>
      <c r="P36" s="16">
        <f t="shared" si="1"/>
        <v>0</v>
      </c>
      <c r="Q36" s="16" t="b">
        <f t="shared" si="2"/>
        <v>0</v>
      </c>
      <c r="R36" s="17"/>
      <c r="S36" s="35"/>
      <c r="T36" s="33">
        <f t="shared" si="8"/>
        <v>0</v>
      </c>
      <c r="U36" s="35"/>
      <c r="V36" s="33" t="b">
        <f t="shared" si="3"/>
        <v>0</v>
      </c>
      <c r="W36" s="33">
        <f t="shared" si="4"/>
        <v>0</v>
      </c>
      <c r="X36" s="33">
        <f t="shared" si="5"/>
        <v>0</v>
      </c>
      <c r="Y36" s="19" t="str">
        <f>IF(I36=0,List!$C$5,$C$3)</f>
        <v>没有忍战，无法分包</v>
      </c>
    </row>
    <row r="37" spans="1:25" s="14" customFormat="1" x14ac:dyDescent="0.3">
      <c r="C37" s="15">
        <v>20</v>
      </c>
      <c r="D37" s="43" t="s">
        <v>89</v>
      </c>
      <c r="E37" s="17"/>
      <c r="F37" s="42">
        <v>532216</v>
      </c>
      <c r="G37" s="20"/>
      <c r="H37" s="42">
        <v>2687</v>
      </c>
      <c r="I37" s="35"/>
      <c r="J37" s="42"/>
      <c r="K37" s="17"/>
      <c r="L37" s="32"/>
      <c r="M37" s="16">
        <f t="shared" si="6"/>
        <v>0</v>
      </c>
      <c r="N37" s="16">
        <f t="shared" si="7"/>
        <v>0</v>
      </c>
      <c r="O37" s="16">
        <f t="shared" si="0"/>
        <v>0</v>
      </c>
      <c r="P37" s="16">
        <f t="shared" si="1"/>
        <v>0</v>
      </c>
      <c r="Q37" s="16" t="b">
        <f t="shared" si="2"/>
        <v>0</v>
      </c>
      <c r="R37" s="17"/>
      <c r="S37" s="35"/>
      <c r="T37" s="33">
        <f t="shared" si="8"/>
        <v>0</v>
      </c>
      <c r="U37" s="35"/>
      <c r="V37" s="33" t="b">
        <f t="shared" si="3"/>
        <v>0</v>
      </c>
      <c r="W37" s="33">
        <f t="shared" si="4"/>
        <v>0</v>
      </c>
      <c r="X37" s="33">
        <f t="shared" si="5"/>
        <v>0</v>
      </c>
      <c r="Y37" s="19" t="str">
        <f>IF(I37=0,List!$C$5,$C$3)</f>
        <v>没有忍战，无法分包</v>
      </c>
    </row>
    <row r="38" spans="1:25" s="14" customFormat="1" x14ac:dyDescent="0.3">
      <c r="C38" s="15">
        <v>21</v>
      </c>
      <c r="D38" s="43" t="s">
        <v>62</v>
      </c>
      <c r="E38" s="17"/>
      <c r="F38" s="42">
        <v>515757</v>
      </c>
      <c r="G38" s="20"/>
      <c r="H38" s="42">
        <v>2329</v>
      </c>
      <c r="I38" s="35"/>
      <c r="J38" s="42"/>
      <c r="K38" s="17"/>
      <c r="L38" s="32"/>
      <c r="M38" s="16">
        <f t="shared" si="6"/>
        <v>0</v>
      </c>
      <c r="N38" s="16">
        <f t="shared" si="7"/>
        <v>0</v>
      </c>
      <c r="O38" s="16">
        <f t="shared" si="0"/>
        <v>0</v>
      </c>
      <c r="P38" s="16">
        <f t="shared" si="1"/>
        <v>0</v>
      </c>
      <c r="Q38" s="16" t="b">
        <f t="shared" si="2"/>
        <v>0</v>
      </c>
      <c r="R38" s="17"/>
      <c r="S38" s="35"/>
      <c r="T38" s="33">
        <f t="shared" si="8"/>
        <v>0</v>
      </c>
      <c r="U38" s="35"/>
      <c r="V38" s="33" t="b">
        <f t="shared" si="3"/>
        <v>0</v>
      </c>
      <c r="W38" s="33">
        <f t="shared" si="4"/>
        <v>0</v>
      </c>
      <c r="X38" s="33">
        <f t="shared" si="5"/>
        <v>0</v>
      </c>
      <c r="Y38" s="19" t="str">
        <f>IF(I38=0,List!$C$5,$C$3)</f>
        <v>没有忍战，无法分包</v>
      </c>
    </row>
    <row r="39" spans="1:25" s="14" customFormat="1" x14ac:dyDescent="0.3">
      <c r="C39" s="15">
        <v>22</v>
      </c>
      <c r="D39" s="43" t="s">
        <v>63</v>
      </c>
      <c r="E39" s="17"/>
      <c r="F39" s="42">
        <v>514761</v>
      </c>
      <c r="G39" s="20"/>
      <c r="H39" s="42">
        <v>2347</v>
      </c>
      <c r="I39" s="35"/>
      <c r="J39" s="42"/>
      <c r="K39" s="17"/>
      <c r="L39" s="32"/>
      <c r="M39" s="16">
        <f t="shared" si="6"/>
        <v>0</v>
      </c>
      <c r="N39" s="16">
        <f t="shared" si="7"/>
        <v>0</v>
      </c>
      <c r="O39" s="16">
        <f t="shared" si="0"/>
        <v>0</v>
      </c>
      <c r="P39" s="16">
        <f t="shared" si="1"/>
        <v>0</v>
      </c>
      <c r="Q39" s="16" t="b">
        <f t="shared" si="2"/>
        <v>0</v>
      </c>
      <c r="R39" s="17"/>
      <c r="S39" s="35"/>
      <c r="T39" s="33">
        <f t="shared" si="8"/>
        <v>0</v>
      </c>
      <c r="U39" s="35"/>
      <c r="V39" s="33" t="b">
        <f t="shared" si="3"/>
        <v>0</v>
      </c>
      <c r="W39" s="33">
        <f t="shared" si="4"/>
        <v>0</v>
      </c>
      <c r="X39" s="33">
        <f t="shared" si="5"/>
        <v>0</v>
      </c>
      <c r="Y39" s="19" t="str">
        <f>IF(I39=0,List!$C$5,$C$3)</f>
        <v>没有忍战，无法分包</v>
      </c>
    </row>
    <row r="40" spans="1:25" s="14" customFormat="1" x14ac:dyDescent="0.3">
      <c r="C40" s="15">
        <v>23</v>
      </c>
      <c r="D40" s="45" t="s">
        <v>73</v>
      </c>
      <c r="E40" s="17"/>
      <c r="F40" s="42">
        <v>510052</v>
      </c>
      <c r="G40" s="20"/>
      <c r="H40" s="42">
        <v>2171</v>
      </c>
      <c r="I40" s="35"/>
      <c r="J40" s="42"/>
      <c r="K40" s="17"/>
      <c r="L40" s="32"/>
      <c r="M40" s="16">
        <f t="shared" si="6"/>
        <v>0</v>
      </c>
      <c r="N40" s="16">
        <f t="shared" si="7"/>
        <v>0</v>
      </c>
      <c r="O40" s="16">
        <f t="shared" si="0"/>
        <v>0</v>
      </c>
      <c r="P40" s="16">
        <f t="shared" si="1"/>
        <v>0</v>
      </c>
      <c r="Q40" s="16" t="b">
        <f t="shared" si="2"/>
        <v>0</v>
      </c>
      <c r="R40" s="17"/>
      <c r="S40" s="35"/>
      <c r="T40" s="33">
        <f t="shared" si="8"/>
        <v>0</v>
      </c>
      <c r="U40" s="35"/>
      <c r="V40" s="33" t="b">
        <f t="shared" si="3"/>
        <v>0</v>
      </c>
      <c r="W40" s="33">
        <f t="shared" si="4"/>
        <v>0</v>
      </c>
      <c r="X40" s="33">
        <f t="shared" si="5"/>
        <v>0</v>
      </c>
      <c r="Y40" s="19" t="str">
        <f>IF(I40=0,List!$C$5,$C$3)</f>
        <v>没有忍战，无法分包</v>
      </c>
    </row>
    <row r="41" spans="1:25" s="14" customFormat="1" x14ac:dyDescent="0.3">
      <c r="C41" s="15">
        <v>24</v>
      </c>
      <c r="D41" s="45" t="s">
        <v>83</v>
      </c>
      <c r="E41" s="17"/>
      <c r="F41" s="42">
        <v>507146</v>
      </c>
      <c r="G41" s="20"/>
      <c r="H41" s="42">
        <v>2578</v>
      </c>
      <c r="I41" s="35"/>
      <c r="J41" s="42"/>
      <c r="K41" s="17"/>
      <c r="L41" s="32"/>
      <c r="M41" s="16">
        <f t="shared" si="6"/>
        <v>0</v>
      </c>
      <c r="N41" s="16">
        <f t="shared" si="7"/>
        <v>0</v>
      </c>
      <c r="O41" s="16">
        <f t="shared" si="0"/>
        <v>0</v>
      </c>
      <c r="P41" s="16">
        <f t="shared" si="1"/>
        <v>0</v>
      </c>
      <c r="Q41" s="16" t="b">
        <f t="shared" si="2"/>
        <v>0</v>
      </c>
      <c r="R41" s="17"/>
      <c r="S41" s="35"/>
      <c r="T41" s="33">
        <f t="shared" si="8"/>
        <v>0</v>
      </c>
      <c r="U41" s="35"/>
      <c r="V41" s="33" t="b">
        <f t="shared" si="3"/>
        <v>0</v>
      </c>
      <c r="W41" s="33">
        <f t="shared" si="4"/>
        <v>0</v>
      </c>
      <c r="X41" s="33">
        <f t="shared" si="5"/>
        <v>0</v>
      </c>
      <c r="Y41" s="19" t="str">
        <f>IF(I41=0,List!$C$5,$C$3)</f>
        <v>没有忍战，无法分包</v>
      </c>
    </row>
    <row r="42" spans="1:25" s="14" customFormat="1" x14ac:dyDescent="0.3">
      <c r="A42" s="57" t="s">
        <v>106</v>
      </c>
      <c r="C42" s="15">
        <v>25</v>
      </c>
      <c r="D42" s="43" t="s">
        <v>64</v>
      </c>
      <c r="E42" s="17"/>
      <c r="F42" s="42">
        <v>501846</v>
      </c>
      <c r="G42" s="20"/>
      <c r="H42" s="42">
        <v>2214</v>
      </c>
      <c r="I42" s="35">
        <v>4</v>
      </c>
      <c r="J42" s="42"/>
      <c r="K42" s="17"/>
      <c r="L42" s="32"/>
      <c r="M42" s="16">
        <f>IF(F42&gt;200000,IF(I42&gt;0,ROUND(F42/100000,1)-$W$9,0),0)</f>
        <v>2</v>
      </c>
      <c r="N42" s="16">
        <f t="shared" si="7"/>
        <v>1.1000000000000001</v>
      </c>
      <c r="O42" s="16">
        <f t="shared" si="0"/>
        <v>8</v>
      </c>
      <c r="P42" s="16">
        <f t="shared" si="1"/>
        <v>2</v>
      </c>
      <c r="Q42" s="16" t="b">
        <f t="shared" si="2"/>
        <v>0</v>
      </c>
      <c r="R42" s="17"/>
      <c r="S42" s="35"/>
      <c r="T42" s="33">
        <f t="shared" si="8"/>
        <v>13.1</v>
      </c>
      <c r="U42" s="35"/>
      <c r="V42" s="33" t="b">
        <f t="shared" si="3"/>
        <v>0</v>
      </c>
      <c r="W42" s="33">
        <f t="shared" si="4"/>
        <v>0</v>
      </c>
      <c r="X42" s="33">
        <f t="shared" si="5"/>
        <v>13.1</v>
      </c>
      <c r="Y42" s="19">
        <f>IF(I42=0,List!$C$5,$C$3)</f>
        <v>0</v>
      </c>
    </row>
    <row r="43" spans="1:25" s="14" customFormat="1" ht="15" customHeight="1" x14ac:dyDescent="0.3">
      <c r="C43" s="15">
        <v>26</v>
      </c>
      <c r="D43" s="45" t="s">
        <v>70</v>
      </c>
      <c r="E43" s="17"/>
      <c r="F43" s="42">
        <v>501068</v>
      </c>
      <c r="G43" s="20"/>
      <c r="H43" s="42">
        <v>2661</v>
      </c>
      <c r="I43" s="35"/>
      <c r="J43" s="42"/>
      <c r="K43" s="17"/>
      <c r="L43" s="32"/>
      <c r="M43" s="16">
        <f t="shared" si="6"/>
        <v>0</v>
      </c>
      <c r="N43" s="16">
        <f t="shared" si="7"/>
        <v>0</v>
      </c>
      <c r="O43" s="16">
        <f t="shared" si="0"/>
        <v>0</v>
      </c>
      <c r="P43" s="16">
        <f t="shared" si="1"/>
        <v>0</v>
      </c>
      <c r="Q43" s="16" t="b">
        <f t="shared" si="2"/>
        <v>0</v>
      </c>
      <c r="R43" s="17"/>
      <c r="S43" s="35"/>
      <c r="T43" s="33">
        <f t="shared" si="8"/>
        <v>0</v>
      </c>
      <c r="U43" s="35"/>
      <c r="V43" s="33" t="b">
        <f t="shared" si="3"/>
        <v>0</v>
      </c>
      <c r="W43" s="33">
        <f t="shared" si="4"/>
        <v>0</v>
      </c>
      <c r="X43" s="33">
        <f t="shared" si="5"/>
        <v>0</v>
      </c>
      <c r="Y43" s="19" t="str">
        <f>IF(I43=0,List!$C$5,$C$3)</f>
        <v>没有忍战，无法分包</v>
      </c>
    </row>
    <row r="44" spans="1:25" s="14" customFormat="1" ht="15" customHeight="1" x14ac:dyDescent="0.3">
      <c r="C44" s="15">
        <v>27</v>
      </c>
      <c r="D44" s="45" t="s">
        <v>90</v>
      </c>
      <c r="E44" s="17"/>
      <c r="F44" s="42">
        <v>497280</v>
      </c>
      <c r="G44" s="20"/>
      <c r="H44" s="42">
        <v>2481</v>
      </c>
      <c r="I44" s="35"/>
      <c r="J44" s="42"/>
      <c r="K44" s="17"/>
      <c r="L44" s="32"/>
      <c r="M44" s="16">
        <f t="shared" si="6"/>
        <v>0</v>
      </c>
      <c r="N44" s="16">
        <f t="shared" si="7"/>
        <v>0</v>
      </c>
      <c r="O44" s="16">
        <f t="shared" si="0"/>
        <v>0</v>
      </c>
      <c r="P44" s="16">
        <f t="shared" si="1"/>
        <v>0</v>
      </c>
      <c r="Q44" s="16" t="b">
        <f t="shared" si="2"/>
        <v>0</v>
      </c>
      <c r="R44" s="17"/>
      <c r="S44" s="35"/>
      <c r="T44" s="33">
        <f t="shared" si="8"/>
        <v>0</v>
      </c>
      <c r="U44" s="35"/>
      <c r="V44" s="33" t="b">
        <f t="shared" si="3"/>
        <v>0</v>
      </c>
      <c r="W44" s="33">
        <f t="shared" si="4"/>
        <v>0</v>
      </c>
      <c r="X44" s="33">
        <f t="shared" si="5"/>
        <v>0</v>
      </c>
      <c r="Y44" s="19" t="str">
        <f>IF(I44=0,List!$C$5,$C$3)</f>
        <v>没有忍战，无法分包</v>
      </c>
    </row>
    <row r="45" spans="1:25" s="14" customFormat="1" x14ac:dyDescent="0.3">
      <c r="C45" s="15">
        <v>28</v>
      </c>
      <c r="D45" s="45" t="s">
        <v>74</v>
      </c>
      <c r="E45" s="17"/>
      <c r="F45" s="42">
        <v>490240</v>
      </c>
      <c r="G45" s="20"/>
      <c r="H45" s="42">
        <v>2330</v>
      </c>
      <c r="I45" s="35"/>
      <c r="J45" s="42"/>
      <c r="K45" s="17"/>
      <c r="L45" s="32"/>
      <c r="M45" s="16">
        <f t="shared" si="6"/>
        <v>0</v>
      </c>
      <c r="N45" s="16">
        <f t="shared" si="7"/>
        <v>0</v>
      </c>
      <c r="O45" s="16">
        <f t="shared" si="0"/>
        <v>0</v>
      </c>
      <c r="P45" s="16">
        <f t="shared" si="1"/>
        <v>0</v>
      </c>
      <c r="Q45" s="16" t="b">
        <f t="shared" si="2"/>
        <v>0</v>
      </c>
      <c r="R45" s="17"/>
      <c r="S45" s="35"/>
      <c r="T45" s="33">
        <f t="shared" si="8"/>
        <v>0</v>
      </c>
      <c r="U45" s="35"/>
      <c r="V45" s="33" t="b">
        <f t="shared" si="3"/>
        <v>0</v>
      </c>
      <c r="W45" s="33">
        <f t="shared" si="4"/>
        <v>0</v>
      </c>
      <c r="X45" s="33">
        <f t="shared" si="5"/>
        <v>0</v>
      </c>
      <c r="Y45" s="19" t="str">
        <f>IF(I45=0,List!$C$5,$C$3)</f>
        <v>没有忍战，无法分包</v>
      </c>
    </row>
    <row r="46" spans="1:25" s="14" customFormat="1" x14ac:dyDescent="0.3">
      <c r="C46" s="15">
        <v>29</v>
      </c>
      <c r="D46" s="45" t="s">
        <v>84</v>
      </c>
      <c r="E46" s="17"/>
      <c r="F46" s="42">
        <v>490023</v>
      </c>
      <c r="G46" s="20"/>
      <c r="H46" s="42">
        <v>2378</v>
      </c>
      <c r="I46" s="35"/>
      <c r="J46" s="42"/>
      <c r="K46" s="17"/>
      <c r="L46" s="32"/>
      <c r="M46" s="16">
        <f t="shared" si="6"/>
        <v>0</v>
      </c>
      <c r="N46" s="16">
        <f t="shared" si="7"/>
        <v>0</v>
      </c>
      <c r="O46" s="16">
        <f t="shared" si="0"/>
        <v>0</v>
      </c>
      <c r="P46" s="16">
        <f t="shared" si="1"/>
        <v>0</v>
      </c>
      <c r="Q46" s="16" t="b">
        <f t="shared" si="2"/>
        <v>0</v>
      </c>
      <c r="R46" s="17"/>
      <c r="S46" s="35"/>
      <c r="T46" s="33">
        <f t="shared" si="8"/>
        <v>0</v>
      </c>
      <c r="U46" s="35"/>
      <c r="V46" s="33" t="b">
        <f t="shared" si="3"/>
        <v>0</v>
      </c>
      <c r="W46" s="33">
        <f t="shared" si="4"/>
        <v>0</v>
      </c>
      <c r="X46" s="33">
        <f t="shared" si="5"/>
        <v>0</v>
      </c>
      <c r="Y46" s="19" t="str">
        <f>IF(I46=0,List!$C$5,$C$3)</f>
        <v>没有忍战，无法分包</v>
      </c>
    </row>
    <row r="47" spans="1:25" s="14" customFormat="1" x14ac:dyDescent="0.3">
      <c r="C47" s="15">
        <v>30</v>
      </c>
      <c r="D47" s="45" t="s">
        <v>75</v>
      </c>
      <c r="E47" s="17"/>
      <c r="F47" s="42">
        <v>477340</v>
      </c>
      <c r="G47" s="20"/>
      <c r="H47" s="42">
        <v>2463</v>
      </c>
      <c r="I47" s="35"/>
      <c r="J47" s="42"/>
      <c r="K47" s="17"/>
      <c r="L47" s="32"/>
      <c r="M47" s="16">
        <f t="shared" si="6"/>
        <v>0</v>
      </c>
      <c r="N47" s="16">
        <f t="shared" si="7"/>
        <v>0</v>
      </c>
      <c r="O47" s="16">
        <f t="shared" si="0"/>
        <v>0</v>
      </c>
      <c r="P47" s="16">
        <f t="shared" si="1"/>
        <v>0</v>
      </c>
      <c r="Q47" s="16" t="b">
        <f t="shared" si="2"/>
        <v>0</v>
      </c>
      <c r="R47" s="17"/>
      <c r="S47" s="35"/>
      <c r="T47" s="33">
        <f t="shared" si="8"/>
        <v>0</v>
      </c>
      <c r="U47" s="35"/>
      <c r="V47" s="33" t="b">
        <f t="shared" si="3"/>
        <v>0</v>
      </c>
      <c r="W47" s="33">
        <f t="shared" si="4"/>
        <v>0</v>
      </c>
      <c r="X47" s="33">
        <f t="shared" si="5"/>
        <v>0</v>
      </c>
      <c r="Y47" s="19" t="str">
        <f>IF(I47=0,List!$C$5,$C$3)</f>
        <v>没有忍战，无法分包</v>
      </c>
    </row>
    <row r="48" spans="1:25" s="14" customFormat="1" ht="15" customHeight="1" x14ac:dyDescent="0.3">
      <c r="C48" s="15">
        <v>31</v>
      </c>
      <c r="D48" s="45" t="s">
        <v>91</v>
      </c>
      <c r="E48" s="17"/>
      <c r="F48" s="42">
        <v>472926</v>
      </c>
      <c r="G48" s="20"/>
      <c r="H48" s="42">
        <v>2489</v>
      </c>
      <c r="I48" s="35"/>
      <c r="J48" s="42"/>
      <c r="K48" s="17"/>
      <c r="L48" s="32"/>
      <c r="M48" s="16">
        <f t="shared" si="6"/>
        <v>0</v>
      </c>
      <c r="N48" s="16">
        <f t="shared" si="7"/>
        <v>0</v>
      </c>
      <c r="O48" s="16">
        <f t="shared" si="0"/>
        <v>0</v>
      </c>
      <c r="P48" s="16">
        <f t="shared" si="1"/>
        <v>0</v>
      </c>
      <c r="Q48" s="16" t="b">
        <f t="shared" si="2"/>
        <v>0</v>
      </c>
      <c r="R48" s="17"/>
      <c r="S48" s="35"/>
      <c r="T48" s="33">
        <f t="shared" si="8"/>
        <v>0</v>
      </c>
      <c r="U48" s="35"/>
      <c r="V48" s="33" t="b">
        <f t="shared" si="3"/>
        <v>0</v>
      </c>
      <c r="W48" s="33">
        <f t="shared" si="4"/>
        <v>0</v>
      </c>
      <c r="X48" s="33">
        <f t="shared" si="5"/>
        <v>0</v>
      </c>
      <c r="Y48" s="19" t="str">
        <f>IF(I48=0,List!$C$5,$C$3)</f>
        <v>没有忍战，无法分包</v>
      </c>
    </row>
    <row r="49" spans="3:25" s="14" customFormat="1" x14ac:dyDescent="0.3">
      <c r="C49" s="15">
        <v>32</v>
      </c>
      <c r="D49" s="45" t="s">
        <v>76</v>
      </c>
      <c r="E49" s="17"/>
      <c r="F49" s="42">
        <v>471531</v>
      </c>
      <c r="G49" s="20"/>
      <c r="H49" s="42">
        <v>2437</v>
      </c>
      <c r="I49" s="35"/>
      <c r="J49" s="42"/>
      <c r="K49" s="17"/>
      <c r="L49" s="32"/>
      <c r="M49" s="16">
        <f t="shared" si="6"/>
        <v>0</v>
      </c>
      <c r="N49" s="16">
        <f t="shared" si="7"/>
        <v>0</v>
      </c>
      <c r="O49" s="16">
        <f t="shared" si="0"/>
        <v>0</v>
      </c>
      <c r="P49" s="16">
        <f t="shared" si="1"/>
        <v>0</v>
      </c>
      <c r="Q49" s="16" t="b">
        <f t="shared" si="2"/>
        <v>0</v>
      </c>
      <c r="R49" s="17"/>
      <c r="S49" s="35"/>
      <c r="T49" s="33">
        <f t="shared" si="8"/>
        <v>0</v>
      </c>
      <c r="U49" s="35"/>
      <c r="V49" s="33" t="b">
        <f t="shared" si="3"/>
        <v>0</v>
      </c>
      <c r="W49" s="33">
        <f t="shared" si="4"/>
        <v>0</v>
      </c>
      <c r="X49" s="33">
        <f t="shared" si="5"/>
        <v>0</v>
      </c>
      <c r="Y49" s="19" t="str">
        <f>IF(I49=0,List!$C$5,$C$3)</f>
        <v>没有忍战，无法分包</v>
      </c>
    </row>
    <row r="50" spans="3:25" s="14" customFormat="1" x14ac:dyDescent="0.3">
      <c r="C50" s="15">
        <v>33</v>
      </c>
      <c r="D50" s="45" t="s">
        <v>77</v>
      </c>
      <c r="E50" s="17"/>
      <c r="F50" s="42">
        <v>465203</v>
      </c>
      <c r="G50" s="20"/>
      <c r="H50" s="42">
        <v>2217</v>
      </c>
      <c r="I50" s="35"/>
      <c r="J50" s="42"/>
      <c r="K50" s="17"/>
      <c r="L50" s="32"/>
      <c r="M50" s="16">
        <f t="shared" si="6"/>
        <v>0</v>
      </c>
      <c r="N50" s="16">
        <f t="shared" si="7"/>
        <v>0</v>
      </c>
      <c r="O50" s="16">
        <f t="shared" ref="O50:O81" si="9">I50*$W$10</f>
        <v>0</v>
      </c>
      <c r="P50" s="16">
        <f t="shared" ref="P50:P81" si="10">IF(I50=$W$12,$W$11,0)</f>
        <v>0</v>
      </c>
      <c r="Q50" s="16" t="b">
        <f t="shared" ref="Q50:Q81" si="11">IF(AND(J50&lt;6000,J50&gt;0),1,IF(AND(J50&lt;12000,J50&gt;=6000),2,IF(AND(J50&lt;=30000,J50&gt;=12000),3)))</f>
        <v>0</v>
      </c>
      <c r="R50" s="17"/>
      <c r="S50" s="35"/>
      <c r="T50" s="33">
        <f t="shared" si="8"/>
        <v>0</v>
      </c>
      <c r="U50" s="35"/>
      <c r="V50" s="33" t="b">
        <f t="shared" ref="V50:V81" si="12">IF(U50=$U$2,$V$2,IF(U50=$U$3,$V$3,IF(U50=$U$4,$V$4)))</f>
        <v>0</v>
      </c>
      <c r="W50" s="33">
        <f t="shared" ref="W50:W81" si="13">-IF(U50=$U$2,$W$2,IF(U50=$U$3,$W$3,IF(U50=$U$4,$W$4)))</f>
        <v>0</v>
      </c>
      <c r="X50" s="33">
        <f t="shared" ref="X50:X81" si="14">S50+T50+W50</f>
        <v>0</v>
      </c>
      <c r="Y50" s="19" t="str">
        <f>IF(I50=0,List!$C$5,$C$3)</f>
        <v>没有忍战，无法分包</v>
      </c>
    </row>
    <row r="51" spans="3:25" s="14" customFormat="1" x14ac:dyDescent="0.3">
      <c r="C51" s="15">
        <v>34</v>
      </c>
      <c r="D51" s="45" t="s">
        <v>78</v>
      </c>
      <c r="E51" s="17"/>
      <c r="F51" s="42">
        <v>461108</v>
      </c>
      <c r="G51" s="20"/>
      <c r="H51" s="42">
        <v>2073</v>
      </c>
      <c r="I51" s="35"/>
      <c r="J51" s="42"/>
      <c r="K51" s="17"/>
      <c r="L51" s="32"/>
      <c r="M51" s="16">
        <f t="shared" si="6"/>
        <v>0</v>
      </c>
      <c r="N51" s="16">
        <f t="shared" si="7"/>
        <v>0</v>
      </c>
      <c r="O51" s="16">
        <f t="shared" si="9"/>
        <v>0</v>
      </c>
      <c r="P51" s="16">
        <f t="shared" si="10"/>
        <v>0</v>
      </c>
      <c r="Q51" s="16" t="b">
        <f t="shared" si="11"/>
        <v>0</v>
      </c>
      <c r="R51" s="17"/>
      <c r="S51" s="35"/>
      <c r="T51" s="33">
        <f t="shared" si="8"/>
        <v>0</v>
      </c>
      <c r="U51" s="35"/>
      <c r="V51" s="33" t="b">
        <f t="shared" si="12"/>
        <v>0</v>
      </c>
      <c r="W51" s="33">
        <f t="shared" si="13"/>
        <v>0</v>
      </c>
      <c r="X51" s="33">
        <f t="shared" si="14"/>
        <v>0</v>
      </c>
      <c r="Y51" s="19" t="str">
        <f>IF(I51=0,List!$C$5,$C$3)</f>
        <v>没有忍战，无法分包</v>
      </c>
    </row>
    <row r="52" spans="3:25" s="14" customFormat="1" x14ac:dyDescent="0.3">
      <c r="C52" s="15">
        <v>35</v>
      </c>
      <c r="D52" s="43" t="s">
        <v>65</v>
      </c>
      <c r="E52" s="17"/>
      <c r="F52" s="42">
        <v>444985</v>
      </c>
      <c r="G52" s="20"/>
      <c r="H52" s="42">
        <v>2100</v>
      </c>
      <c r="I52" s="35"/>
      <c r="J52" s="42"/>
      <c r="K52" s="17"/>
      <c r="L52" s="32"/>
      <c r="M52" s="16">
        <f t="shared" si="6"/>
        <v>0</v>
      </c>
      <c r="N52" s="16">
        <f t="shared" si="7"/>
        <v>0</v>
      </c>
      <c r="O52" s="16">
        <f t="shared" si="9"/>
        <v>0</v>
      </c>
      <c r="P52" s="16">
        <f t="shared" si="10"/>
        <v>0</v>
      </c>
      <c r="Q52" s="16" t="b">
        <f t="shared" si="11"/>
        <v>0</v>
      </c>
      <c r="R52" s="17"/>
      <c r="S52" s="35"/>
      <c r="T52" s="33">
        <f t="shared" si="8"/>
        <v>0</v>
      </c>
      <c r="U52" s="35"/>
      <c r="V52" s="33" t="b">
        <f t="shared" si="12"/>
        <v>0</v>
      </c>
      <c r="W52" s="33">
        <f t="shared" si="13"/>
        <v>0</v>
      </c>
      <c r="X52" s="33">
        <f t="shared" si="14"/>
        <v>0</v>
      </c>
      <c r="Y52" s="19" t="str">
        <f>IF(I52=0,List!$C$5,$C$3)</f>
        <v>没有忍战，无法分包</v>
      </c>
    </row>
    <row r="53" spans="3:25" s="14" customFormat="1" x14ac:dyDescent="0.3">
      <c r="C53" s="15">
        <v>36</v>
      </c>
      <c r="D53" s="45" t="s">
        <v>79</v>
      </c>
      <c r="E53" s="17"/>
      <c r="F53" s="18">
        <v>437777</v>
      </c>
      <c r="G53" s="20"/>
      <c r="H53" s="42">
        <v>2284</v>
      </c>
      <c r="I53" s="35"/>
      <c r="J53" s="42"/>
      <c r="K53" s="17"/>
      <c r="L53" s="32"/>
      <c r="M53" s="16">
        <f t="shared" si="6"/>
        <v>0</v>
      </c>
      <c r="N53" s="16">
        <f t="shared" si="7"/>
        <v>0</v>
      </c>
      <c r="O53" s="16">
        <f t="shared" si="9"/>
        <v>0</v>
      </c>
      <c r="P53" s="16">
        <f t="shared" si="10"/>
        <v>0</v>
      </c>
      <c r="Q53" s="16" t="b">
        <f t="shared" si="11"/>
        <v>0</v>
      </c>
      <c r="R53" s="17"/>
      <c r="S53" s="35"/>
      <c r="T53" s="33">
        <f t="shared" si="8"/>
        <v>0</v>
      </c>
      <c r="U53" s="35"/>
      <c r="V53" s="33" t="b">
        <f t="shared" si="12"/>
        <v>0</v>
      </c>
      <c r="W53" s="33">
        <f t="shared" si="13"/>
        <v>0</v>
      </c>
      <c r="X53" s="33">
        <f t="shared" si="14"/>
        <v>0</v>
      </c>
      <c r="Y53" s="19" t="str">
        <f>IF(I53=0,List!$C$5,$C$3)</f>
        <v>没有忍战，无法分包</v>
      </c>
    </row>
    <row r="54" spans="3:25" s="14" customFormat="1" x14ac:dyDescent="0.3">
      <c r="C54" s="15">
        <v>37</v>
      </c>
      <c r="D54" s="45" t="s">
        <v>80</v>
      </c>
      <c r="E54" s="17"/>
      <c r="F54" s="18">
        <v>436507</v>
      </c>
      <c r="G54" s="20"/>
      <c r="H54" s="42">
        <v>2228</v>
      </c>
      <c r="I54" s="35"/>
      <c r="J54" s="42"/>
      <c r="K54" s="17"/>
      <c r="L54" s="32"/>
      <c r="M54" s="16">
        <f t="shared" si="6"/>
        <v>0</v>
      </c>
      <c r="N54" s="16">
        <f t="shared" si="7"/>
        <v>0</v>
      </c>
      <c r="O54" s="16">
        <f t="shared" si="9"/>
        <v>0</v>
      </c>
      <c r="P54" s="16">
        <f t="shared" si="10"/>
        <v>0</v>
      </c>
      <c r="Q54" s="16" t="b">
        <f t="shared" si="11"/>
        <v>0</v>
      </c>
      <c r="R54" s="17"/>
      <c r="S54" s="35"/>
      <c r="T54" s="33">
        <f t="shared" si="8"/>
        <v>0</v>
      </c>
      <c r="U54" s="35"/>
      <c r="V54" s="33" t="b">
        <f t="shared" si="12"/>
        <v>0</v>
      </c>
      <c r="W54" s="33">
        <f t="shared" si="13"/>
        <v>0</v>
      </c>
      <c r="X54" s="33">
        <f t="shared" si="14"/>
        <v>0</v>
      </c>
      <c r="Y54" s="19" t="str">
        <f>IF(I54=0,List!$C$5,$C$3)</f>
        <v>没有忍战，无法分包</v>
      </c>
    </row>
    <row r="55" spans="3:25" s="14" customFormat="1" x14ac:dyDescent="0.3">
      <c r="C55" s="15">
        <v>38</v>
      </c>
      <c r="D55" s="45" t="s">
        <v>81</v>
      </c>
      <c r="E55" s="17"/>
      <c r="F55" s="18">
        <v>433469</v>
      </c>
      <c r="G55" s="20"/>
      <c r="H55" s="42">
        <v>2296</v>
      </c>
      <c r="I55" s="35"/>
      <c r="J55" s="42"/>
      <c r="K55" s="17"/>
      <c r="L55" s="32"/>
      <c r="M55" s="16">
        <f t="shared" si="6"/>
        <v>0</v>
      </c>
      <c r="N55" s="16">
        <f t="shared" si="7"/>
        <v>0</v>
      </c>
      <c r="O55" s="16">
        <f t="shared" si="9"/>
        <v>0</v>
      </c>
      <c r="P55" s="16">
        <f t="shared" si="10"/>
        <v>0</v>
      </c>
      <c r="Q55" s="16" t="b">
        <f t="shared" si="11"/>
        <v>0</v>
      </c>
      <c r="R55" s="17"/>
      <c r="S55" s="35"/>
      <c r="T55" s="33">
        <f t="shared" si="8"/>
        <v>0</v>
      </c>
      <c r="U55" s="35"/>
      <c r="V55" s="33" t="b">
        <f t="shared" si="12"/>
        <v>0</v>
      </c>
      <c r="W55" s="33">
        <f t="shared" si="13"/>
        <v>0</v>
      </c>
      <c r="X55" s="33">
        <f t="shared" si="14"/>
        <v>0</v>
      </c>
      <c r="Y55" s="19" t="str">
        <f>IF(I55=0,List!$C$5,$C$3)</f>
        <v>没有忍战，无法分包</v>
      </c>
    </row>
    <row r="56" spans="3:25" s="14" customFormat="1" x14ac:dyDescent="0.3">
      <c r="C56" s="15">
        <v>39</v>
      </c>
      <c r="D56" s="43" t="s">
        <v>82</v>
      </c>
      <c r="E56" s="17"/>
      <c r="F56" s="18">
        <v>370935</v>
      </c>
      <c r="G56" s="20"/>
      <c r="H56" s="42">
        <v>2064</v>
      </c>
      <c r="I56" s="35"/>
      <c r="J56" s="42"/>
      <c r="K56" s="17"/>
      <c r="L56" s="32"/>
      <c r="M56" s="16">
        <f t="shared" si="6"/>
        <v>0</v>
      </c>
      <c r="N56" s="16">
        <f t="shared" si="7"/>
        <v>0</v>
      </c>
      <c r="O56" s="16">
        <f t="shared" si="9"/>
        <v>0</v>
      </c>
      <c r="P56" s="16">
        <f t="shared" si="10"/>
        <v>0</v>
      </c>
      <c r="Q56" s="16" t="b">
        <f t="shared" si="11"/>
        <v>0</v>
      </c>
      <c r="R56" s="17"/>
      <c r="S56" s="35"/>
      <c r="T56" s="33">
        <f t="shared" si="8"/>
        <v>0</v>
      </c>
      <c r="U56" s="35"/>
      <c r="V56" s="33" t="b">
        <f t="shared" si="12"/>
        <v>0</v>
      </c>
      <c r="W56" s="33">
        <f t="shared" si="13"/>
        <v>0</v>
      </c>
      <c r="X56" s="33">
        <f t="shared" si="14"/>
        <v>0</v>
      </c>
      <c r="Y56" s="19" t="str">
        <f>IF(I56=0,List!$C$5,$C$3)</f>
        <v>没有忍战，无法分包</v>
      </c>
    </row>
    <row r="57" spans="3:25" s="14" customFormat="1" x14ac:dyDescent="0.3">
      <c r="C57" s="15"/>
      <c r="E57" s="17"/>
      <c r="F57" s="18">
        <v>0</v>
      </c>
      <c r="G57" s="20"/>
      <c r="H57" s="42"/>
      <c r="I57" s="35"/>
      <c r="J57" s="18"/>
      <c r="K57" s="17"/>
      <c r="L57" s="32"/>
      <c r="M57" s="16">
        <f t="shared" si="6"/>
        <v>0</v>
      </c>
      <c r="N57" s="16">
        <f t="shared" si="7"/>
        <v>0</v>
      </c>
      <c r="O57" s="16">
        <f t="shared" si="9"/>
        <v>0</v>
      </c>
      <c r="P57" s="16">
        <f t="shared" si="10"/>
        <v>0</v>
      </c>
      <c r="Q57" s="16" t="b">
        <f t="shared" si="11"/>
        <v>0</v>
      </c>
      <c r="R57" s="17"/>
      <c r="S57" s="35"/>
      <c r="T57" s="33">
        <f t="shared" si="8"/>
        <v>0</v>
      </c>
      <c r="U57" s="35"/>
      <c r="V57" s="33" t="b">
        <f t="shared" si="12"/>
        <v>0</v>
      </c>
      <c r="W57" s="33">
        <f t="shared" si="13"/>
        <v>0</v>
      </c>
      <c r="X57" s="33">
        <f t="shared" si="14"/>
        <v>0</v>
      </c>
      <c r="Y57" s="19" t="str">
        <f>IF(I57=0,List!$C$5,$C$3)</f>
        <v>没有忍战，无法分包</v>
      </c>
    </row>
    <row r="58" spans="3:25" s="14" customFormat="1" x14ac:dyDescent="0.3">
      <c r="C58" s="15"/>
      <c r="D58" s="17"/>
      <c r="E58" s="17"/>
      <c r="F58" s="42">
        <v>0</v>
      </c>
      <c r="G58" s="20"/>
      <c r="H58" s="42"/>
      <c r="I58" s="35"/>
      <c r="J58" s="18"/>
      <c r="K58" s="17"/>
      <c r="L58" s="32"/>
      <c r="M58" s="16">
        <f t="shared" si="6"/>
        <v>0</v>
      </c>
      <c r="N58" s="16">
        <f t="shared" si="7"/>
        <v>0</v>
      </c>
      <c r="O58" s="16">
        <f t="shared" si="9"/>
        <v>0</v>
      </c>
      <c r="P58" s="16">
        <f t="shared" si="10"/>
        <v>0</v>
      </c>
      <c r="Q58" s="16" t="b">
        <f t="shared" si="11"/>
        <v>0</v>
      </c>
      <c r="R58" s="17"/>
      <c r="S58" s="35"/>
      <c r="T58" s="33">
        <f t="shared" si="8"/>
        <v>0</v>
      </c>
      <c r="U58" s="35"/>
      <c r="V58" s="33" t="b">
        <f t="shared" si="12"/>
        <v>0</v>
      </c>
      <c r="W58" s="33">
        <f t="shared" si="13"/>
        <v>0</v>
      </c>
      <c r="X58" s="33">
        <f t="shared" si="14"/>
        <v>0</v>
      </c>
      <c r="Y58" s="19" t="str">
        <f>IF(I58=0,List!$C$5,$C$3)</f>
        <v>没有忍战，无法分包</v>
      </c>
    </row>
    <row r="59" spans="3:25" s="14" customFormat="1" x14ac:dyDescent="0.3">
      <c r="C59" s="15"/>
      <c r="D59" s="17"/>
      <c r="E59" s="17"/>
      <c r="F59" s="42">
        <v>0</v>
      </c>
      <c r="G59" s="20"/>
      <c r="H59" s="42"/>
      <c r="I59" s="35"/>
      <c r="J59" s="18"/>
      <c r="K59" s="17"/>
      <c r="L59" s="32"/>
      <c r="M59" s="16">
        <f t="shared" si="6"/>
        <v>0</v>
      </c>
      <c r="N59" s="16">
        <f t="shared" si="7"/>
        <v>0</v>
      </c>
      <c r="O59" s="16">
        <f t="shared" si="9"/>
        <v>0</v>
      </c>
      <c r="P59" s="16">
        <f t="shared" si="10"/>
        <v>0</v>
      </c>
      <c r="Q59" s="16" t="b">
        <f t="shared" si="11"/>
        <v>0</v>
      </c>
      <c r="R59" s="17"/>
      <c r="S59" s="35"/>
      <c r="T59" s="33">
        <f t="shared" si="8"/>
        <v>0</v>
      </c>
      <c r="U59" s="35"/>
      <c r="V59" s="33" t="b">
        <f t="shared" si="12"/>
        <v>0</v>
      </c>
      <c r="W59" s="33">
        <f t="shared" si="13"/>
        <v>0</v>
      </c>
      <c r="X59" s="33">
        <f t="shared" si="14"/>
        <v>0</v>
      </c>
      <c r="Y59" s="19" t="str">
        <f>IF(I59=0,List!$C$5,$C$3)</f>
        <v>没有忍战，无法分包</v>
      </c>
    </row>
    <row r="60" spans="3:25" s="14" customFormat="1" x14ac:dyDescent="0.3">
      <c r="C60" s="15"/>
      <c r="D60" s="17"/>
      <c r="E60" s="17"/>
      <c r="F60" s="42">
        <v>0</v>
      </c>
      <c r="G60" s="20"/>
      <c r="H60" s="42"/>
      <c r="I60" s="35"/>
      <c r="J60" s="18"/>
      <c r="K60" s="17"/>
      <c r="L60" s="32"/>
      <c r="M60" s="16">
        <f t="shared" si="6"/>
        <v>0</v>
      </c>
      <c r="N60" s="16">
        <f t="shared" si="7"/>
        <v>0</v>
      </c>
      <c r="O60" s="16">
        <f t="shared" si="9"/>
        <v>0</v>
      </c>
      <c r="P60" s="16">
        <f t="shared" si="10"/>
        <v>0</v>
      </c>
      <c r="Q60" s="16" t="b">
        <f t="shared" si="11"/>
        <v>0</v>
      </c>
      <c r="R60" s="17"/>
      <c r="S60" s="35"/>
      <c r="T60" s="33">
        <f t="shared" si="8"/>
        <v>0</v>
      </c>
      <c r="U60" s="35"/>
      <c r="V60" s="33" t="b">
        <f t="shared" si="12"/>
        <v>0</v>
      </c>
      <c r="W60" s="33">
        <f t="shared" si="13"/>
        <v>0</v>
      </c>
      <c r="X60" s="33">
        <f t="shared" si="14"/>
        <v>0</v>
      </c>
      <c r="Y60" s="19" t="str">
        <f>IF(I60=0,List!$C$5,$C$3)</f>
        <v>没有忍战，无法分包</v>
      </c>
    </row>
    <row r="61" spans="3:25" s="14" customFormat="1" x14ac:dyDescent="0.3">
      <c r="C61" s="15"/>
      <c r="D61" s="20"/>
      <c r="E61" s="17"/>
      <c r="F61" s="42">
        <v>0</v>
      </c>
      <c r="G61" s="20"/>
      <c r="H61" s="42"/>
      <c r="I61" s="35"/>
      <c r="J61" s="18"/>
      <c r="K61" s="17"/>
      <c r="L61" s="32"/>
      <c r="M61" s="16">
        <f t="shared" si="6"/>
        <v>0</v>
      </c>
      <c r="N61" s="16">
        <f t="shared" si="7"/>
        <v>0</v>
      </c>
      <c r="O61" s="16">
        <f t="shared" si="9"/>
        <v>0</v>
      </c>
      <c r="P61" s="16">
        <f t="shared" si="10"/>
        <v>0</v>
      </c>
      <c r="Q61" s="16" t="b">
        <f t="shared" si="11"/>
        <v>0</v>
      </c>
      <c r="R61" s="17"/>
      <c r="S61" s="35"/>
      <c r="T61" s="33">
        <f t="shared" si="8"/>
        <v>0</v>
      </c>
      <c r="U61" s="35"/>
      <c r="V61" s="33" t="b">
        <f t="shared" si="12"/>
        <v>0</v>
      </c>
      <c r="W61" s="33">
        <f t="shared" si="13"/>
        <v>0</v>
      </c>
      <c r="X61" s="33">
        <f t="shared" si="14"/>
        <v>0</v>
      </c>
      <c r="Y61" s="19" t="str">
        <f>IF(I61=0,List!$C$5,$C$3)</f>
        <v>没有忍战，无法分包</v>
      </c>
    </row>
    <row r="62" spans="3:25" s="14" customFormat="1" x14ac:dyDescent="0.3">
      <c r="C62" s="15"/>
      <c r="D62" s="17"/>
      <c r="E62" s="17"/>
      <c r="F62" s="42">
        <v>0</v>
      </c>
      <c r="G62" s="20"/>
      <c r="H62" s="42"/>
      <c r="I62" s="35"/>
      <c r="J62" s="18"/>
      <c r="K62" s="17"/>
      <c r="L62" s="32"/>
      <c r="M62" s="16">
        <f t="shared" si="6"/>
        <v>0</v>
      </c>
      <c r="N62" s="16">
        <f t="shared" si="7"/>
        <v>0</v>
      </c>
      <c r="O62" s="16">
        <f t="shared" si="9"/>
        <v>0</v>
      </c>
      <c r="P62" s="16">
        <f t="shared" si="10"/>
        <v>0</v>
      </c>
      <c r="Q62" s="16" t="b">
        <f t="shared" si="11"/>
        <v>0</v>
      </c>
      <c r="R62" s="17"/>
      <c r="S62" s="35"/>
      <c r="T62" s="33">
        <f t="shared" si="8"/>
        <v>0</v>
      </c>
      <c r="U62" s="35"/>
      <c r="V62" s="33" t="b">
        <f t="shared" si="12"/>
        <v>0</v>
      </c>
      <c r="W62" s="33">
        <f t="shared" si="13"/>
        <v>0</v>
      </c>
      <c r="X62" s="33">
        <f t="shared" si="14"/>
        <v>0</v>
      </c>
      <c r="Y62" s="19" t="str">
        <f>IF(I62=0,List!$C$5,$C$3)</f>
        <v>没有忍战，无法分包</v>
      </c>
    </row>
    <row r="63" spans="3:25" s="14" customFormat="1" x14ac:dyDescent="0.3">
      <c r="C63" s="15"/>
      <c r="D63" s="17"/>
      <c r="E63" s="17"/>
      <c r="F63" s="42">
        <v>0</v>
      </c>
      <c r="G63" s="20"/>
      <c r="H63" s="42"/>
      <c r="I63" s="35"/>
      <c r="J63" s="18"/>
      <c r="K63" s="17"/>
      <c r="L63" s="32"/>
      <c r="M63" s="16">
        <f t="shared" si="6"/>
        <v>0</v>
      </c>
      <c r="N63" s="16">
        <f t="shared" si="7"/>
        <v>0</v>
      </c>
      <c r="O63" s="16">
        <f t="shared" si="9"/>
        <v>0</v>
      </c>
      <c r="P63" s="16">
        <f t="shared" si="10"/>
        <v>0</v>
      </c>
      <c r="Q63" s="16" t="b">
        <f t="shared" si="11"/>
        <v>0</v>
      </c>
      <c r="R63" s="17"/>
      <c r="S63" s="35"/>
      <c r="T63" s="33">
        <f t="shared" si="8"/>
        <v>0</v>
      </c>
      <c r="U63" s="35"/>
      <c r="V63" s="33" t="b">
        <f t="shared" si="12"/>
        <v>0</v>
      </c>
      <c r="W63" s="33">
        <f t="shared" si="13"/>
        <v>0</v>
      </c>
      <c r="X63" s="33">
        <f t="shared" si="14"/>
        <v>0</v>
      </c>
      <c r="Y63" s="19" t="str">
        <f>IF(I63=0,List!$C$5,$C$3)</f>
        <v>没有忍战，无法分包</v>
      </c>
    </row>
    <row r="64" spans="3:25" s="14" customFormat="1" hidden="1" x14ac:dyDescent="0.3">
      <c r="C64" s="15"/>
      <c r="D64" s="17"/>
      <c r="E64" s="17"/>
      <c r="F64" s="42">
        <v>0</v>
      </c>
      <c r="G64" s="20"/>
      <c r="H64" s="42"/>
      <c r="I64" s="35"/>
      <c r="J64" s="18"/>
      <c r="K64" s="17"/>
      <c r="L64" s="32"/>
      <c r="M64" s="16">
        <f t="shared" si="6"/>
        <v>0</v>
      </c>
      <c r="N64" s="16">
        <f t="shared" si="7"/>
        <v>0</v>
      </c>
      <c r="O64" s="16">
        <f t="shared" si="9"/>
        <v>0</v>
      </c>
      <c r="P64" s="16">
        <f t="shared" si="10"/>
        <v>0</v>
      </c>
      <c r="Q64" s="16" t="b">
        <f t="shared" si="11"/>
        <v>0</v>
      </c>
      <c r="R64" s="17"/>
      <c r="S64" s="35"/>
      <c r="T64" s="33">
        <f t="shared" si="8"/>
        <v>0</v>
      </c>
      <c r="U64" s="35"/>
      <c r="V64" s="33" t="b">
        <f t="shared" si="12"/>
        <v>0</v>
      </c>
      <c r="W64" s="33">
        <f t="shared" si="13"/>
        <v>0</v>
      </c>
      <c r="X64" s="33">
        <f t="shared" si="14"/>
        <v>0</v>
      </c>
      <c r="Y64" s="19" t="str">
        <f>IF(I64=0,List!$C$5,$C$3)</f>
        <v>没有忍战，无法分包</v>
      </c>
    </row>
    <row r="65" spans="3:26" s="14" customFormat="1" ht="15" customHeight="1" x14ac:dyDescent="0.3">
      <c r="C65" s="15"/>
      <c r="D65" s="17"/>
      <c r="E65" s="17"/>
      <c r="F65" s="42">
        <v>0</v>
      </c>
      <c r="G65" s="20"/>
      <c r="H65" s="42"/>
      <c r="I65" s="35"/>
      <c r="J65" s="18"/>
      <c r="K65" s="17"/>
      <c r="L65" s="32"/>
      <c r="M65" s="16">
        <f t="shared" si="6"/>
        <v>0</v>
      </c>
      <c r="N65" s="16">
        <f t="shared" si="7"/>
        <v>0</v>
      </c>
      <c r="O65" s="16">
        <f t="shared" si="9"/>
        <v>0</v>
      </c>
      <c r="P65" s="16">
        <f t="shared" si="10"/>
        <v>0</v>
      </c>
      <c r="Q65" s="16" t="b">
        <f t="shared" si="11"/>
        <v>0</v>
      </c>
      <c r="R65" s="17"/>
      <c r="S65" s="35"/>
      <c r="T65" s="33">
        <f t="shared" si="8"/>
        <v>0</v>
      </c>
      <c r="U65" s="35"/>
      <c r="V65" s="33" t="b">
        <f t="shared" si="12"/>
        <v>0</v>
      </c>
      <c r="W65" s="33">
        <f t="shared" si="13"/>
        <v>0</v>
      </c>
      <c r="X65" s="33">
        <f t="shared" si="14"/>
        <v>0</v>
      </c>
      <c r="Y65" s="19" t="str">
        <f>IF(I65=0,List!$C$5,$C$3)</f>
        <v>没有忍战，无法分包</v>
      </c>
      <c r="Z65" s="17"/>
    </row>
    <row r="66" spans="3:26" s="14" customFormat="1" ht="15" customHeight="1" x14ac:dyDescent="0.3">
      <c r="C66" s="15"/>
      <c r="D66" s="17"/>
      <c r="E66" s="17"/>
      <c r="F66" s="42">
        <v>0</v>
      </c>
      <c r="G66" s="20"/>
      <c r="H66" s="42"/>
      <c r="I66" s="35"/>
      <c r="J66" s="18"/>
      <c r="K66" s="17"/>
      <c r="L66" s="32"/>
      <c r="M66" s="16">
        <f t="shared" si="6"/>
        <v>0</v>
      </c>
      <c r="N66" s="16">
        <f t="shared" si="7"/>
        <v>0</v>
      </c>
      <c r="O66" s="16">
        <f t="shared" si="9"/>
        <v>0</v>
      </c>
      <c r="P66" s="16">
        <f t="shared" si="10"/>
        <v>0</v>
      </c>
      <c r="Q66" s="16" t="b">
        <f t="shared" si="11"/>
        <v>0</v>
      </c>
      <c r="R66" s="17"/>
      <c r="S66" s="35"/>
      <c r="T66" s="33">
        <f t="shared" si="8"/>
        <v>0</v>
      </c>
      <c r="U66" s="35"/>
      <c r="V66" s="33" t="b">
        <f t="shared" si="12"/>
        <v>0</v>
      </c>
      <c r="W66" s="33">
        <f t="shared" si="13"/>
        <v>0</v>
      </c>
      <c r="X66" s="33">
        <f t="shared" si="14"/>
        <v>0</v>
      </c>
      <c r="Y66" s="19" t="str">
        <f>IF(I66=0,List!$C$5,$C$3)</f>
        <v>没有忍战，无法分包</v>
      </c>
    </row>
    <row r="67" spans="3:26" s="14" customFormat="1" x14ac:dyDescent="0.3">
      <c r="C67" s="15"/>
      <c r="D67" s="15"/>
      <c r="E67" s="17"/>
      <c r="F67" s="42">
        <v>0</v>
      </c>
      <c r="G67" s="20"/>
      <c r="H67" s="42"/>
      <c r="I67" s="35"/>
      <c r="J67" s="18"/>
      <c r="K67" s="17"/>
      <c r="L67" s="32"/>
      <c r="M67" s="16">
        <f t="shared" si="6"/>
        <v>0</v>
      </c>
      <c r="N67" s="16">
        <f t="shared" si="7"/>
        <v>0</v>
      </c>
      <c r="O67" s="16">
        <f t="shared" si="9"/>
        <v>0</v>
      </c>
      <c r="P67" s="16">
        <f t="shared" si="10"/>
        <v>0</v>
      </c>
      <c r="Q67" s="16" t="b">
        <f t="shared" si="11"/>
        <v>0</v>
      </c>
      <c r="R67" s="17"/>
      <c r="S67" s="35"/>
      <c r="T67" s="33">
        <f t="shared" si="8"/>
        <v>0</v>
      </c>
      <c r="U67" s="35"/>
      <c r="V67" s="33" t="b">
        <f t="shared" si="12"/>
        <v>0</v>
      </c>
      <c r="W67" s="33">
        <f t="shared" si="13"/>
        <v>0</v>
      </c>
      <c r="X67" s="33">
        <f t="shared" si="14"/>
        <v>0</v>
      </c>
      <c r="Y67" s="19" t="str">
        <f>IF(I67=0,List!$C$5,$C$3)</f>
        <v>没有忍战，无法分包</v>
      </c>
    </row>
    <row r="68" spans="3:26" s="14" customFormat="1" ht="15" hidden="1" customHeight="1" x14ac:dyDescent="0.3">
      <c r="C68" s="15"/>
      <c r="D68" s="17"/>
      <c r="E68" s="17"/>
      <c r="F68" s="42">
        <v>0</v>
      </c>
      <c r="G68" s="20"/>
      <c r="H68" s="42"/>
      <c r="I68" s="35"/>
      <c r="J68" s="18"/>
      <c r="K68" s="17"/>
      <c r="L68" s="32"/>
      <c r="M68" s="16">
        <f t="shared" si="6"/>
        <v>0</v>
      </c>
      <c r="N68" s="16">
        <f t="shared" si="7"/>
        <v>0</v>
      </c>
      <c r="O68" s="16">
        <f t="shared" si="9"/>
        <v>0</v>
      </c>
      <c r="P68" s="16">
        <f t="shared" si="10"/>
        <v>0</v>
      </c>
      <c r="Q68" s="16" t="b">
        <f t="shared" si="11"/>
        <v>0</v>
      </c>
      <c r="R68" s="17"/>
      <c r="S68" s="35"/>
      <c r="T68" s="33">
        <f t="shared" si="8"/>
        <v>0</v>
      </c>
      <c r="U68" s="35"/>
      <c r="V68" s="33" t="b">
        <f t="shared" si="12"/>
        <v>0</v>
      </c>
      <c r="W68" s="33">
        <f t="shared" si="13"/>
        <v>0</v>
      </c>
      <c r="X68" s="33">
        <f t="shared" si="14"/>
        <v>0</v>
      </c>
      <c r="Y68" s="19" t="str">
        <f>IF(I68=0,List!$C$5,$C$3)</f>
        <v>没有忍战，无法分包</v>
      </c>
    </row>
    <row r="69" spans="3:26" s="14" customFormat="1" ht="15" hidden="1" customHeight="1" x14ac:dyDescent="0.3">
      <c r="C69" s="15"/>
      <c r="D69" s="17"/>
      <c r="E69" s="17"/>
      <c r="F69" s="42">
        <v>0</v>
      </c>
      <c r="G69" s="20"/>
      <c r="H69" s="42"/>
      <c r="I69" s="35"/>
      <c r="J69" s="18"/>
      <c r="K69" s="17"/>
      <c r="L69" s="32"/>
      <c r="M69" s="16">
        <f t="shared" si="6"/>
        <v>0</v>
      </c>
      <c r="N69" s="16">
        <f t="shared" si="7"/>
        <v>0</v>
      </c>
      <c r="O69" s="16">
        <f t="shared" si="9"/>
        <v>0</v>
      </c>
      <c r="P69" s="16">
        <f t="shared" si="10"/>
        <v>0</v>
      </c>
      <c r="Q69" s="16" t="b">
        <f t="shared" si="11"/>
        <v>0</v>
      </c>
      <c r="R69" s="17"/>
      <c r="S69" s="35"/>
      <c r="T69" s="33">
        <f t="shared" si="8"/>
        <v>0</v>
      </c>
      <c r="U69" s="35"/>
      <c r="V69" s="33" t="b">
        <f t="shared" si="12"/>
        <v>0</v>
      </c>
      <c r="W69" s="33">
        <f t="shared" si="13"/>
        <v>0</v>
      </c>
      <c r="X69" s="33">
        <f t="shared" si="14"/>
        <v>0</v>
      </c>
      <c r="Y69" s="19" t="str">
        <f>IF(I69=0,List!$C$5,$C$3)</f>
        <v>没有忍战，无法分包</v>
      </c>
    </row>
    <row r="70" spans="3:26" s="14" customFormat="1" x14ac:dyDescent="0.3">
      <c r="C70" s="15"/>
      <c r="E70" s="17"/>
      <c r="F70" s="42">
        <v>0</v>
      </c>
      <c r="G70" s="20"/>
      <c r="H70" s="42"/>
      <c r="I70" s="35"/>
      <c r="J70" s="18"/>
      <c r="K70" s="17"/>
      <c r="L70" s="32"/>
      <c r="M70" s="16">
        <f t="shared" si="6"/>
        <v>0</v>
      </c>
      <c r="N70" s="16">
        <f t="shared" si="7"/>
        <v>0</v>
      </c>
      <c r="O70" s="16">
        <f t="shared" si="9"/>
        <v>0</v>
      </c>
      <c r="P70" s="16">
        <f t="shared" si="10"/>
        <v>0</v>
      </c>
      <c r="Q70" s="16" t="b">
        <f t="shared" si="11"/>
        <v>0</v>
      </c>
      <c r="R70" s="17"/>
      <c r="S70" s="35"/>
      <c r="T70" s="33">
        <f t="shared" si="8"/>
        <v>0</v>
      </c>
      <c r="U70" s="35"/>
      <c r="V70" s="33" t="b">
        <f t="shared" si="12"/>
        <v>0</v>
      </c>
      <c r="W70" s="33">
        <f t="shared" si="13"/>
        <v>0</v>
      </c>
      <c r="X70" s="33">
        <f t="shared" si="14"/>
        <v>0</v>
      </c>
      <c r="Y70" s="19" t="str">
        <f>IF(I70=0,List!$C$5,$C$3)</f>
        <v>没有忍战，无法分包</v>
      </c>
    </row>
    <row r="71" spans="3:26" s="14" customFormat="1" hidden="1" x14ac:dyDescent="0.3">
      <c r="C71" s="15"/>
      <c r="D71" s="17"/>
      <c r="E71" s="17"/>
      <c r="F71" s="42">
        <v>0</v>
      </c>
      <c r="G71" s="20"/>
      <c r="H71" s="42"/>
      <c r="I71" s="35"/>
      <c r="J71" s="18"/>
      <c r="K71" s="17"/>
      <c r="L71" s="32"/>
      <c r="M71" s="16">
        <f t="shared" si="6"/>
        <v>0</v>
      </c>
      <c r="N71" s="16">
        <f t="shared" si="7"/>
        <v>0</v>
      </c>
      <c r="O71" s="16">
        <f t="shared" si="9"/>
        <v>0</v>
      </c>
      <c r="P71" s="16">
        <f t="shared" si="10"/>
        <v>0</v>
      </c>
      <c r="Q71" s="16" t="b">
        <f t="shared" si="11"/>
        <v>0</v>
      </c>
      <c r="R71" s="17"/>
      <c r="S71" s="35"/>
      <c r="T71" s="33">
        <f t="shared" si="8"/>
        <v>0</v>
      </c>
      <c r="U71" s="35"/>
      <c r="V71" s="33" t="b">
        <f t="shared" si="12"/>
        <v>0</v>
      </c>
      <c r="W71" s="33">
        <f t="shared" si="13"/>
        <v>0</v>
      </c>
      <c r="X71" s="33">
        <f t="shared" si="14"/>
        <v>0</v>
      </c>
      <c r="Y71" s="19" t="str">
        <f>IF(I71=0,List!$C$5,$C$3)</f>
        <v>没有忍战，无法分包</v>
      </c>
    </row>
    <row r="72" spans="3:26" s="14" customFormat="1" x14ac:dyDescent="0.3">
      <c r="C72" s="15"/>
      <c r="E72" s="17"/>
      <c r="F72" s="42">
        <v>0</v>
      </c>
      <c r="G72" s="20"/>
      <c r="H72" s="42"/>
      <c r="I72" s="35"/>
      <c r="J72" s="18"/>
      <c r="K72" s="17"/>
      <c r="L72" s="32"/>
      <c r="M72" s="16">
        <f t="shared" si="6"/>
        <v>0</v>
      </c>
      <c r="N72" s="16">
        <f t="shared" si="7"/>
        <v>0</v>
      </c>
      <c r="O72" s="16">
        <f t="shared" si="9"/>
        <v>0</v>
      </c>
      <c r="P72" s="16">
        <f t="shared" si="10"/>
        <v>0</v>
      </c>
      <c r="Q72" s="16" t="b">
        <f t="shared" si="11"/>
        <v>0</v>
      </c>
      <c r="R72" s="17"/>
      <c r="S72" s="35"/>
      <c r="T72" s="33">
        <f t="shared" si="8"/>
        <v>0</v>
      </c>
      <c r="U72" s="35"/>
      <c r="V72" s="33" t="b">
        <f t="shared" si="12"/>
        <v>0</v>
      </c>
      <c r="W72" s="33">
        <f t="shared" si="13"/>
        <v>0</v>
      </c>
      <c r="X72" s="33">
        <f t="shared" si="14"/>
        <v>0</v>
      </c>
      <c r="Y72" s="19" t="str">
        <f>IF(I72=0,List!$C$5,$C$3)</f>
        <v>没有忍战，无法分包</v>
      </c>
    </row>
    <row r="73" spans="3:26" s="14" customFormat="1" hidden="1" x14ac:dyDescent="0.3">
      <c r="C73" s="15"/>
      <c r="D73" s="17"/>
      <c r="E73" s="17"/>
      <c r="F73" s="42">
        <v>0</v>
      </c>
      <c r="G73" s="20"/>
      <c r="H73" s="42"/>
      <c r="I73" s="35"/>
      <c r="J73" s="18"/>
      <c r="K73" s="17"/>
      <c r="L73" s="32"/>
      <c r="M73" s="16">
        <f t="shared" si="6"/>
        <v>0</v>
      </c>
      <c r="N73" s="16">
        <f t="shared" si="7"/>
        <v>0</v>
      </c>
      <c r="O73" s="16">
        <f t="shared" si="9"/>
        <v>0</v>
      </c>
      <c r="P73" s="16">
        <f t="shared" si="10"/>
        <v>0</v>
      </c>
      <c r="Q73" s="16" t="b">
        <f t="shared" si="11"/>
        <v>0</v>
      </c>
      <c r="R73" s="17"/>
      <c r="S73" s="35"/>
      <c r="T73" s="33">
        <f t="shared" si="8"/>
        <v>0</v>
      </c>
      <c r="U73" s="35"/>
      <c r="V73" s="33" t="b">
        <f t="shared" si="12"/>
        <v>0</v>
      </c>
      <c r="W73" s="33">
        <f t="shared" si="13"/>
        <v>0</v>
      </c>
      <c r="X73" s="33">
        <f t="shared" si="14"/>
        <v>0</v>
      </c>
      <c r="Y73" s="19" t="str">
        <f>IF(I73=0,List!$C$5,$C$3)</f>
        <v>没有忍战，无法分包</v>
      </c>
    </row>
    <row r="74" spans="3:26" s="14" customFormat="1" hidden="1" x14ac:dyDescent="0.3">
      <c r="C74" s="15"/>
      <c r="D74" s="17"/>
      <c r="E74" s="17"/>
      <c r="F74" s="42">
        <v>0</v>
      </c>
      <c r="G74" s="20"/>
      <c r="H74" s="42"/>
      <c r="I74" s="35"/>
      <c r="J74" s="18"/>
      <c r="K74" s="17"/>
      <c r="L74" s="32"/>
      <c r="M74" s="16">
        <f t="shared" si="6"/>
        <v>0</v>
      </c>
      <c r="N74" s="16">
        <f t="shared" si="7"/>
        <v>0</v>
      </c>
      <c r="O74" s="16">
        <f t="shared" si="9"/>
        <v>0</v>
      </c>
      <c r="P74" s="16">
        <f t="shared" si="10"/>
        <v>0</v>
      </c>
      <c r="Q74" s="16" t="b">
        <f t="shared" si="11"/>
        <v>0</v>
      </c>
      <c r="R74" s="17"/>
      <c r="S74" s="35"/>
      <c r="T74" s="33">
        <f t="shared" si="8"/>
        <v>0</v>
      </c>
      <c r="U74" s="35"/>
      <c r="V74" s="33" t="b">
        <f t="shared" si="12"/>
        <v>0</v>
      </c>
      <c r="W74" s="33">
        <f t="shared" si="13"/>
        <v>0</v>
      </c>
      <c r="X74" s="33">
        <f t="shared" si="14"/>
        <v>0</v>
      </c>
      <c r="Y74" s="19" t="str">
        <f>IF(I74=0,List!$C$5,$C$3)</f>
        <v>没有忍战，无法分包</v>
      </c>
    </row>
    <row r="75" spans="3:26" s="14" customFormat="1" x14ac:dyDescent="0.3">
      <c r="C75" s="15"/>
      <c r="D75" s="17"/>
      <c r="E75" s="17"/>
      <c r="F75" s="42">
        <v>0</v>
      </c>
      <c r="G75" s="20"/>
      <c r="H75" s="42"/>
      <c r="I75" s="35"/>
      <c r="J75" s="18"/>
      <c r="K75" s="17"/>
      <c r="L75" s="32"/>
      <c r="M75" s="16">
        <f t="shared" si="6"/>
        <v>0</v>
      </c>
      <c r="N75" s="16">
        <f t="shared" si="7"/>
        <v>0</v>
      </c>
      <c r="O75" s="16">
        <f t="shared" si="9"/>
        <v>0</v>
      </c>
      <c r="P75" s="16">
        <f t="shared" si="10"/>
        <v>0</v>
      </c>
      <c r="Q75" s="16" t="b">
        <f t="shared" si="11"/>
        <v>0</v>
      </c>
      <c r="R75" s="17"/>
      <c r="S75" s="35"/>
      <c r="T75" s="33">
        <f t="shared" si="8"/>
        <v>0</v>
      </c>
      <c r="U75" s="35"/>
      <c r="V75" s="33" t="b">
        <f t="shared" si="12"/>
        <v>0</v>
      </c>
      <c r="W75" s="33">
        <f t="shared" si="13"/>
        <v>0</v>
      </c>
      <c r="X75" s="33">
        <f t="shared" si="14"/>
        <v>0</v>
      </c>
      <c r="Y75" s="19" t="str">
        <f>IF(I75=0,List!$C$5,$C$3)</f>
        <v>没有忍战，无法分包</v>
      </c>
    </row>
    <row r="76" spans="3:26" s="14" customFormat="1" hidden="1" x14ac:dyDescent="0.3">
      <c r="C76" s="15"/>
      <c r="D76" s="17"/>
      <c r="E76" s="17"/>
      <c r="F76" s="42">
        <v>0</v>
      </c>
      <c r="G76" s="20"/>
      <c r="H76" s="42"/>
      <c r="I76" s="35"/>
      <c r="J76" s="18"/>
      <c r="K76" s="17"/>
      <c r="L76" s="32"/>
      <c r="M76" s="16">
        <f t="shared" si="6"/>
        <v>0</v>
      </c>
      <c r="N76" s="16">
        <f t="shared" si="7"/>
        <v>0</v>
      </c>
      <c r="O76" s="16">
        <f t="shared" si="9"/>
        <v>0</v>
      </c>
      <c r="P76" s="16">
        <f t="shared" si="10"/>
        <v>0</v>
      </c>
      <c r="Q76" s="16" t="b">
        <f t="shared" si="11"/>
        <v>0</v>
      </c>
      <c r="R76" s="17"/>
      <c r="S76" s="35"/>
      <c r="T76" s="33">
        <f t="shared" si="8"/>
        <v>0</v>
      </c>
      <c r="U76" s="35"/>
      <c r="V76" s="33" t="b">
        <f t="shared" si="12"/>
        <v>0</v>
      </c>
      <c r="W76" s="33">
        <f t="shared" si="13"/>
        <v>0</v>
      </c>
      <c r="X76" s="33">
        <f t="shared" si="14"/>
        <v>0</v>
      </c>
      <c r="Y76" s="19" t="str">
        <f>IF(I76=0,List!$C$5,$C$3)</f>
        <v>没有忍战，无法分包</v>
      </c>
    </row>
    <row r="77" spans="3:26" s="14" customFormat="1" hidden="1" x14ac:dyDescent="0.3">
      <c r="C77" s="15"/>
      <c r="D77" s="17"/>
      <c r="E77" s="17"/>
      <c r="F77" s="42">
        <v>0</v>
      </c>
      <c r="G77" s="20"/>
      <c r="H77" s="42"/>
      <c r="I77" s="35"/>
      <c r="J77" s="18"/>
      <c r="K77" s="17"/>
      <c r="L77" s="32"/>
      <c r="M77" s="16">
        <f t="shared" si="6"/>
        <v>0</v>
      </c>
      <c r="N77" s="16">
        <f t="shared" si="7"/>
        <v>0</v>
      </c>
      <c r="O77" s="16">
        <f t="shared" si="9"/>
        <v>0</v>
      </c>
      <c r="P77" s="16">
        <f t="shared" si="10"/>
        <v>0</v>
      </c>
      <c r="Q77" s="16" t="b">
        <f t="shared" si="11"/>
        <v>0</v>
      </c>
      <c r="R77" s="17"/>
      <c r="S77" s="35"/>
      <c r="T77" s="33">
        <f t="shared" si="8"/>
        <v>0</v>
      </c>
      <c r="U77" s="35"/>
      <c r="V77" s="33" t="b">
        <f t="shared" si="12"/>
        <v>0</v>
      </c>
      <c r="W77" s="33">
        <f t="shared" si="13"/>
        <v>0</v>
      </c>
      <c r="X77" s="33">
        <f t="shared" si="14"/>
        <v>0</v>
      </c>
      <c r="Y77" s="19" t="str">
        <f>IF(I77=0,List!$C$5,$C$3)</f>
        <v>没有忍战，无法分包</v>
      </c>
    </row>
    <row r="78" spans="3:26" s="14" customFormat="1" x14ac:dyDescent="0.3">
      <c r="E78" s="17"/>
      <c r="F78" s="42">
        <v>0</v>
      </c>
      <c r="G78" s="20"/>
      <c r="H78" s="42"/>
      <c r="I78" s="35"/>
      <c r="J78" s="18"/>
      <c r="K78" s="17"/>
      <c r="L78" s="32"/>
      <c r="M78" s="16">
        <f t="shared" si="6"/>
        <v>0</v>
      </c>
      <c r="N78" s="16">
        <f t="shared" si="7"/>
        <v>0</v>
      </c>
      <c r="O78" s="16">
        <f t="shared" si="9"/>
        <v>0</v>
      </c>
      <c r="P78" s="16">
        <f t="shared" si="10"/>
        <v>0</v>
      </c>
      <c r="Q78" s="16" t="b">
        <f t="shared" si="11"/>
        <v>0</v>
      </c>
      <c r="R78" s="17"/>
      <c r="S78" s="35"/>
      <c r="T78" s="33">
        <f t="shared" si="8"/>
        <v>0</v>
      </c>
      <c r="U78" s="35"/>
      <c r="V78" s="33" t="b">
        <f t="shared" si="12"/>
        <v>0</v>
      </c>
      <c r="W78" s="33">
        <f t="shared" si="13"/>
        <v>0</v>
      </c>
      <c r="X78" s="33">
        <f t="shared" si="14"/>
        <v>0</v>
      </c>
      <c r="Y78" s="19" t="str">
        <f>IF(I78=0,List!$C$5,$C$3)</f>
        <v>没有忍战，无法分包</v>
      </c>
    </row>
    <row r="79" spans="3:26" s="14" customFormat="1" x14ac:dyDescent="0.3">
      <c r="D79" s="17"/>
      <c r="E79" s="17"/>
      <c r="F79" s="42">
        <v>0</v>
      </c>
      <c r="G79" s="20"/>
      <c r="H79" s="42"/>
      <c r="I79" s="35"/>
      <c r="J79" s="18"/>
      <c r="K79" s="17"/>
      <c r="L79" s="32"/>
      <c r="M79" s="16">
        <f t="shared" si="6"/>
        <v>0</v>
      </c>
      <c r="N79" s="16">
        <f t="shared" si="7"/>
        <v>0</v>
      </c>
      <c r="O79" s="16">
        <f t="shared" si="9"/>
        <v>0</v>
      </c>
      <c r="P79" s="16">
        <f t="shared" si="10"/>
        <v>0</v>
      </c>
      <c r="Q79" s="16" t="b">
        <f t="shared" si="11"/>
        <v>0</v>
      </c>
      <c r="R79" s="17"/>
      <c r="S79" s="35"/>
      <c r="T79" s="33">
        <f t="shared" si="8"/>
        <v>0</v>
      </c>
      <c r="U79" s="35"/>
      <c r="V79" s="33" t="b">
        <f t="shared" si="12"/>
        <v>0</v>
      </c>
      <c r="W79" s="33">
        <f t="shared" si="13"/>
        <v>0</v>
      </c>
      <c r="X79" s="33">
        <f t="shared" si="14"/>
        <v>0</v>
      </c>
      <c r="Y79" s="19" t="str">
        <f>IF(I79=0,List!$C$5,$C$3)</f>
        <v>没有忍战，无法分包</v>
      </c>
    </row>
    <row r="80" spans="3:26" s="14" customFormat="1" ht="15" customHeight="1" x14ac:dyDescent="0.3">
      <c r="D80" s="17"/>
      <c r="E80" s="17"/>
      <c r="F80" s="42">
        <v>0</v>
      </c>
      <c r="G80" s="20"/>
      <c r="H80" s="42"/>
      <c r="I80" s="35"/>
      <c r="J80" s="18"/>
      <c r="K80" s="17"/>
      <c r="L80" s="32"/>
      <c r="M80" s="16">
        <f t="shared" si="6"/>
        <v>0</v>
      </c>
      <c r="N80" s="16">
        <f t="shared" si="7"/>
        <v>0</v>
      </c>
      <c r="O80" s="16">
        <f t="shared" si="9"/>
        <v>0</v>
      </c>
      <c r="P80" s="16">
        <f t="shared" si="10"/>
        <v>0</v>
      </c>
      <c r="Q80" s="16" t="b">
        <f t="shared" si="11"/>
        <v>0</v>
      </c>
      <c r="R80" s="17"/>
      <c r="S80" s="35"/>
      <c r="T80" s="33">
        <f t="shared" si="8"/>
        <v>0</v>
      </c>
      <c r="U80" s="35"/>
      <c r="V80" s="33" t="b">
        <f t="shared" si="12"/>
        <v>0</v>
      </c>
      <c r="W80" s="33">
        <f t="shared" si="13"/>
        <v>0</v>
      </c>
      <c r="X80" s="33">
        <f t="shared" si="14"/>
        <v>0</v>
      </c>
      <c r="Y80" s="19" t="str">
        <f>IF(I80=0,List!$C$5,$C$3)</f>
        <v>没有忍战，无法分包</v>
      </c>
    </row>
    <row r="81" spans="4:27" s="14" customFormat="1" x14ac:dyDescent="0.3">
      <c r="D81" s="20"/>
      <c r="E81" s="17"/>
      <c r="F81" s="42">
        <v>0</v>
      </c>
      <c r="G81" s="20"/>
      <c r="H81" s="42"/>
      <c r="I81" s="35"/>
      <c r="J81" s="18"/>
      <c r="K81" s="17"/>
      <c r="L81" s="32"/>
      <c r="M81" s="16">
        <f t="shared" si="6"/>
        <v>0</v>
      </c>
      <c r="N81" s="16">
        <f t="shared" si="7"/>
        <v>0</v>
      </c>
      <c r="O81" s="16">
        <f t="shared" si="9"/>
        <v>0</v>
      </c>
      <c r="P81" s="16">
        <f t="shared" si="10"/>
        <v>0</v>
      </c>
      <c r="Q81" s="16" t="b">
        <f t="shared" si="11"/>
        <v>0</v>
      </c>
      <c r="R81" s="17"/>
      <c r="S81" s="35"/>
      <c r="T81" s="33">
        <f t="shared" si="8"/>
        <v>0</v>
      </c>
      <c r="U81" s="35"/>
      <c r="V81" s="33" t="b">
        <f t="shared" si="12"/>
        <v>0</v>
      </c>
      <c r="W81" s="33">
        <f t="shared" si="13"/>
        <v>0</v>
      </c>
      <c r="X81" s="33">
        <f t="shared" si="14"/>
        <v>0</v>
      </c>
      <c r="Y81" s="19" t="str">
        <f>IF(I81=0,[1]List!$C$5,$C$3)</f>
        <v>没有忍战，无法分包</v>
      </c>
    </row>
    <row r="82" spans="4:27" s="14" customFormat="1" x14ac:dyDescent="0.3">
      <c r="D82" s="20"/>
      <c r="E82" s="17"/>
      <c r="F82" s="42">
        <v>0</v>
      </c>
      <c r="G82" s="20"/>
      <c r="H82" s="42"/>
      <c r="I82" s="35"/>
      <c r="J82" s="18"/>
      <c r="K82" s="17"/>
      <c r="L82" s="32"/>
      <c r="M82" s="16">
        <f t="shared" si="6"/>
        <v>0</v>
      </c>
      <c r="N82" s="16">
        <f t="shared" si="7"/>
        <v>0</v>
      </c>
      <c r="O82" s="16">
        <f t="shared" ref="O82:O88" si="15">I82*$W$10</f>
        <v>0</v>
      </c>
      <c r="P82" s="16">
        <f t="shared" ref="P82:P88" si="16">IF(I82=$W$12,$W$11,0)</f>
        <v>0</v>
      </c>
      <c r="Q82" s="16" t="b">
        <f t="shared" ref="Q82:Q88" si="17">IF(AND(J82&lt;6000,J82&gt;0),1,IF(AND(J82&lt;12000,J82&gt;=6000),2,IF(AND(J82&lt;=30000,J82&gt;=12000),3)))</f>
        <v>0</v>
      </c>
      <c r="R82" s="17"/>
      <c r="S82" s="35"/>
      <c r="T82" s="33">
        <f t="shared" si="8"/>
        <v>0</v>
      </c>
      <c r="U82" s="35"/>
      <c r="V82" s="33" t="b">
        <f t="shared" ref="V82:V89" si="18">IF(U82=$U$2,$V$2,IF(U82=$U$3,$V$3,IF(U82=$U$4,$V$4)))</f>
        <v>0</v>
      </c>
      <c r="W82" s="33">
        <f t="shared" ref="W82:W89" si="19">-IF(U82=$U$2,$W$2,IF(U82=$U$3,$W$3,IF(U82=$U$4,$W$4)))</f>
        <v>0</v>
      </c>
      <c r="X82" s="33">
        <f t="shared" ref="X82:X89" si="20">S82+T82+W82</f>
        <v>0</v>
      </c>
      <c r="Y82" s="19" t="str">
        <f>IF(I82=0,[1]List!$C$5,$C$3)</f>
        <v>没有忍战，无法分包</v>
      </c>
    </row>
    <row r="83" spans="4:27" s="14" customFormat="1" x14ac:dyDescent="0.3">
      <c r="D83" s="20"/>
      <c r="E83" s="17"/>
      <c r="F83" s="42">
        <v>0</v>
      </c>
      <c r="G83" s="20"/>
      <c r="H83" s="42"/>
      <c r="I83" s="35"/>
      <c r="J83" s="18"/>
      <c r="K83" s="17"/>
      <c r="L83" s="32"/>
      <c r="M83" s="16">
        <f t="shared" ref="M83:M89" si="21">IF(F83&gt;200000,IF(I83&gt;0,ROUND(F83/100000,1)-$W$9,0),0)</f>
        <v>0</v>
      </c>
      <c r="N83" s="16">
        <f t="shared" ref="N83:N89" si="22">IF(H83&gt;2000,IF(I83&gt;0,ROUND(H83/10000,2),0),0)*5</f>
        <v>0</v>
      </c>
      <c r="O83" s="16">
        <f t="shared" si="15"/>
        <v>0</v>
      </c>
      <c r="P83" s="16">
        <f t="shared" si="16"/>
        <v>0</v>
      </c>
      <c r="Q83" s="16" t="b">
        <f t="shared" si="17"/>
        <v>0</v>
      </c>
      <c r="R83" s="17"/>
      <c r="S83" s="35"/>
      <c r="T83" s="33">
        <f t="shared" ref="T83:T89" si="23">M83+O83+P83+Q83+L83+N83</f>
        <v>0</v>
      </c>
      <c r="U83" s="35"/>
      <c r="V83" s="33" t="b">
        <f t="shared" si="18"/>
        <v>0</v>
      </c>
      <c r="W83" s="33">
        <f t="shared" si="19"/>
        <v>0</v>
      </c>
      <c r="X83" s="33">
        <f t="shared" si="20"/>
        <v>0</v>
      </c>
      <c r="Y83" s="19" t="str">
        <f>IF(I83=0,[1]List!$C$5,$C$3)</f>
        <v>没有忍战，无法分包</v>
      </c>
    </row>
    <row r="84" spans="4:27" s="14" customFormat="1" x14ac:dyDescent="0.3">
      <c r="D84" s="20"/>
      <c r="E84" s="17"/>
      <c r="F84" s="42">
        <v>0</v>
      </c>
      <c r="G84" s="20"/>
      <c r="H84" s="42"/>
      <c r="I84" s="35"/>
      <c r="J84" s="18"/>
      <c r="K84" s="17"/>
      <c r="L84" s="32"/>
      <c r="M84" s="16">
        <f t="shared" si="21"/>
        <v>0</v>
      </c>
      <c r="N84" s="16">
        <f t="shared" si="22"/>
        <v>0</v>
      </c>
      <c r="O84" s="16">
        <f t="shared" si="15"/>
        <v>0</v>
      </c>
      <c r="P84" s="16">
        <f t="shared" si="16"/>
        <v>0</v>
      </c>
      <c r="Q84" s="16" t="b">
        <f t="shared" si="17"/>
        <v>0</v>
      </c>
      <c r="R84" s="17"/>
      <c r="S84" s="35"/>
      <c r="T84" s="33">
        <f t="shared" si="23"/>
        <v>0</v>
      </c>
      <c r="U84" s="35"/>
      <c r="V84" s="33" t="b">
        <f t="shared" si="18"/>
        <v>0</v>
      </c>
      <c r="W84" s="33">
        <f t="shared" si="19"/>
        <v>0</v>
      </c>
      <c r="X84" s="33">
        <f t="shared" si="20"/>
        <v>0</v>
      </c>
      <c r="Y84" s="19" t="str">
        <f>IF(I84=0,[1]List!$C$5,$C$3)</f>
        <v>没有忍战，无法分包</v>
      </c>
    </row>
    <row r="85" spans="4:27" s="14" customFormat="1" x14ac:dyDescent="0.3">
      <c r="D85" s="20"/>
      <c r="E85" s="17"/>
      <c r="F85" s="42">
        <v>0</v>
      </c>
      <c r="G85" s="20"/>
      <c r="H85" s="42"/>
      <c r="I85" s="35"/>
      <c r="J85" s="18"/>
      <c r="K85" s="17"/>
      <c r="L85" s="32"/>
      <c r="M85" s="16">
        <f t="shared" si="21"/>
        <v>0</v>
      </c>
      <c r="N85" s="16">
        <f t="shared" si="22"/>
        <v>0</v>
      </c>
      <c r="O85" s="16">
        <f t="shared" si="15"/>
        <v>0</v>
      </c>
      <c r="P85" s="16">
        <f t="shared" si="16"/>
        <v>0</v>
      </c>
      <c r="Q85" s="16" t="b">
        <f t="shared" si="17"/>
        <v>0</v>
      </c>
      <c r="R85" s="17"/>
      <c r="S85" s="35"/>
      <c r="T85" s="33">
        <f t="shared" si="23"/>
        <v>0</v>
      </c>
      <c r="U85" s="35"/>
      <c r="V85" s="33" t="b">
        <f t="shared" si="18"/>
        <v>0</v>
      </c>
      <c r="W85" s="33">
        <f t="shared" si="19"/>
        <v>0</v>
      </c>
      <c r="X85" s="33">
        <f t="shared" si="20"/>
        <v>0</v>
      </c>
      <c r="Y85" s="19" t="str">
        <f>IF(I85=0,[1]List!$C$5,$C$3)</f>
        <v>没有忍战，无法分包</v>
      </c>
    </row>
    <row r="86" spans="4:27" s="14" customFormat="1" x14ac:dyDescent="0.3">
      <c r="D86" s="20"/>
      <c r="E86" s="17"/>
      <c r="F86" s="42">
        <v>0</v>
      </c>
      <c r="G86" s="20"/>
      <c r="H86" s="42"/>
      <c r="I86" s="35"/>
      <c r="J86" s="18"/>
      <c r="K86" s="17"/>
      <c r="L86" s="32"/>
      <c r="M86" s="16">
        <f t="shared" si="21"/>
        <v>0</v>
      </c>
      <c r="N86" s="16">
        <f t="shared" si="22"/>
        <v>0</v>
      </c>
      <c r="O86" s="16">
        <f t="shared" si="15"/>
        <v>0</v>
      </c>
      <c r="P86" s="16">
        <f t="shared" si="16"/>
        <v>0</v>
      </c>
      <c r="Q86" s="16" t="b">
        <f t="shared" si="17"/>
        <v>0</v>
      </c>
      <c r="R86" s="17"/>
      <c r="S86" s="35"/>
      <c r="T86" s="33">
        <f t="shared" si="23"/>
        <v>0</v>
      </c>
      <c r="U86" s="35"/>
      <c r="V86" s="33" t="b">
        <f t="shared" si="18"/>
        <v>0</v>
      </c>
      <c r="W86" s="33">
        <f t="shared" si="19"/>
        <v>0</v>
      </c>
      <c r="X86" s="33">
        <f t="shared" si="20"/>
        <v>0</v>
      </c>
      <c r="Y86" s="19" t="str">
        <f>IF(I86=0,[1]List!$C$5,$C$3)</f>
        <v>没有忍战，无法分包</v>
      </c>
    </row>
    <row r="87" spans="4:27" s="14" customFormat="1" x14ac:dyDescent="0.3">
      <c r="D87" s="17"/>
      <c r="E87" s="17"/>
      <c r="F87" s="42">
        <v>0</v>
      </c>
      <c r="G87" s="20"/>
      <c r="H87" s="42"/>
      <c r="I87" s="35"/>
      <c r="J87" s="18"/>
      <c r="K87" s="17"/>
      <c r="L87" s="32"/>
      <c r="M87" s="16">
        <f t="shared" si="21"/>
        <v>0</v>
      </c>
      <c r="N87" s="16">
        <f t="shared" si="22"/>
        <v>0</v>
      </c>
      <c r="O87" s="16">
        <f t="shared" si="15"/>
        <v>0</v>
      </c>
      <c r="P87" s="16">
        <f t="shared" si="16"/>
        <v>0</v>
      </c>
      <c r="Q87" s="16" t="b">
        <f t="shared" si="17"/>
        <v>0</v>
      </c>
      <c r="R87" s="17"/>
      <c r="S87" s="35"/>
      <c r="T87" s="33">
        <f t="shared" si="23"/>
        <v>0</v>
      </c>
      <c r="U87" s="35"/>
      <c r="V87" s="33" t="b">
        <f t="shared" si="18"/>
        <v>0</v>
      </c>
      <c r="W87" s="33">
        <f t="shared" si="19"/>
        <v>0</v>
      </c>
      <c r="X87" s="33">
        <f t="shared" si="20"/>
        <v>0</v>
      </c>
      <c r="Y87" s="19" t="str">
        <f>IF(I87=0,[1]List!$C$5,$C$3)</f>
        <v>没有忍战，无法分包</v>
      </c>
    </row>
    <row r="88" spans="4:27" s="14" customFormat="1" x14ac:dyDescent="0.3">
      <c r="D88" s="20"/>
      <c r="E88" s="17"/>
      <c r="F88" s="42">
        <v>0</v>
      </c>
      <c r="G88" s="20"/>
      <c r="H88" s="42"/>
      <c r="I88" s="35"/>
      <c r="J88" s="18"/>
      <c r="K88" s="17"/>
      <c r="L88" s="32"/>
      <c r="M88" s="16">
        <f t="shared" si="21"/>
        <v>0</v>
      </c>
      <c r="N88" s="16">
        <f t="shared" si="22"/>
        <v>0</v>
      </c>
      <c r="O88" s="16">
        <f t="shared" si="15"/>
        <v>0</v>
      </c>
      <c r="P88" s="16">
        <f t="shared" si="16"/>
        <v>0</v>
      </c>
      <c r="Q88" s="16" t="b">
        <f t="shared" si="17"/>
        <v>0</v>
      </c>
      <c r="R88" s="17"/>
      <c r="S88" s="35"/>
      <c r="T88" s="33">
        <f t="shared" si="23"/>
        <v>0</v>
      </c>
      <c r="U88" s="35"/>
      <c r="V88" s="33" t="b">
        <f t="shared" si="18"/>
        <v>0</v>
      </c>
      <c r="W88" s="33">
        <f t="shared" si="19"/>
        <v>0</v>
      </c>
      <c r="X88" s="33">
        <f t="shared" si="20"/>
        <v>0</v>
      </c>
      <c r="Y88" s="19" t="str">
        <f>IF(I88=0,[1]List!$C$5,$C$3)</f>
        <v>没有忍战，无法分包</v>
      </c>
    </row>
    <row r="89" spans="4:27" x14ac:dyDescent="0.3">
      <c r="F89" s="42">
        <v>0</v>
      </c>
      <c r="H89" s="42"/>
      <c r="I89" s="35"/>
      <c r="J89" s="42"/>
      <c r="L89" s="32"/>
      <c r="M89" s="16">
        <f t="shared" si="21"/>
        <v>0</v>
      </c>
      <c r="N89" s="16">
        <f t="shared" si="22"/>
        <v>0</v>
      </c>
      <c r="O89" s="16">
        <f t="shared" ref="O89" si="24">I89*$W$10</f>
        <v>0</v>
      </c>
      <c r="P89" s="16">
        <f t="shared" ref="P89" si="25">IF(I89=$W$12,$W$11,0)</f>
        <v>0</v>
      </c>
      <c r="Q89" s="16" t="b">
        <f t="shared" ref="Q89" si="26">IF(AND(J89&lt;6000,J89&gt;0),1,IF(AND(J89&lt;12000,J89&gt;=6000),2,IF(AND(J89&lt;=30000,J89&gt;=12000),3)))</f>
        <v>0</v>
      </c>
      <c r="S89" s="35"/>
      <c r="T89" s="33">
        <f t="shared" si="23"/>
        <v>0</v>
      </c>
      <c r="U89" s="35"/>
      <c r="V89" s="33" t="b">
        <f t="shared" si="18"/>
        <v>0</v>
      </c>
      <c r="W89" s="33">
        <f t="shared" si="19"/>
        <v>0</v>
      </c>
      <c r="X89" s="33">
        <f t="shared" si="20"/>
        <v>0</v>
      </c>
      <c r="Y89" s="19" t="str">
        <f>IF(I89=0,[1]List!$C$5,$C$3)</f>
        <v>没有忍战，无法分包</v>
      </c>
      <c r="Z89" s="34"/>
      <c r="AA89" s="34"/>
    </row>
    <row r="90" spans="4:27" x14ac:dyDescent="0.3">
      <c r="Z90" s="14"/>
      <c r="AA90" s="14"/>
    </row>
    <row r="91" spans="4:27" x14ac:dyDescent="0.3">
      <c r="Z91" s="14"/>
      <c r="AA91" s="14"/>
    </row>
    <row r="92" spans="4:27" x14ac:dyDescent="0.3">
      <c r="Z92" s="14"/>
      <c r="AA92" s="14"/>
    </row>
  </sheetData>
  <autoFilter ref="A17:Y88" xr:uid="{21535ADD-4826-497B-96E5-B83E965B1550}">
    <filterColumn colId="20" showButton="0"/>
    <sortState xmlns:xlrd2="http://schemas.microsoft.com/office/spreadsheetml/2017/richdata2" ref="A18:Y88">
      <sortCondition descending="1" ref="F17:F88"/>
    </sortState>
  </autoFilter>
  <mergeCells count="3">
    <mergeCell ref="M16:P16"/>
    <mergeCell ref="A16:B16"/>
    <mergeCell ref="U17:V17"/>
  </mergeCells>
  <phoneticPr fontId="4" type="noConversion"/>
  <conditionalFormatting sqref="Y18:Y49 Y51:Y74">
    <cfRule type="cellIs" dxfId="15" priority="22" operator="notEqual">
      <formula>0</formula>
    </cfRule>
  </conditionalFormatting>
  <conditionalFormatting sqref="Y75">
    <cfRule type="cellIs" dxfId="14" priority="21" operator="notEqual">
      <formula>0</formula>
    </cfRule>
  </conditionalFormatting>
  <conditionalFormatting sqref="Y76">
    <cfRule type="cellIs" dxfId="13" priority="20" operator="notEqual">
      <formula>0</formula>
    </cfRule>
  </conditionalFormatting>
  <conditionalFormatting sqref="Y77">
    <cfRule type="cellIs" dxfId="12" priority="19" operator="notEqual">
      <formula>0</formula>
    </cfRule>
  </conditionalFormatting>
  <conditionalFormatting sqref="Y79">
    <cfRule type="cellIs" dxfId="11" priority="17" operator="notEqual">
      <formula>0</formula>
    </cfRule>
  </conditionalFormatting>
  <conditionalFormatting sqref="Y80">
    <cfRule type="cellIs" dxfId="10" priority="16" operator="notEqual">
      <formula>0</formula>
    </cfRule>
  </conditionalFormatting>
  <conditionalFormatting sqref="Y81">
    <cfRule type="cellIs" dxfId="9" priority="10" operator="notEqual">
      <formula>0</formula>
    </cfRule>
  </conditionalFormatting>
  <conditionalFormatting sqref="Y82">
    <cfRule type="cellIs" dxfId="8" priority="9" operator="notEqual">
      <formula>0</formula>
    </cfRule>
  </conditionalFormatting>
  <conditionalFormatting sqref="Y83">
    <cfRule type="cellIs" dxfId="7" priority="8" operator="notEqual">
      <formula>0</formula>
    </cfRule>
  </conditionalFormatting>
  <conditionalFormatting sqref="Y84">
    <cfRule type="cellIs" dxfId="6" priority="7" operator="notEqual">
      <formula>0</formula>
    </cfRule>
  </conditionalFormatting>
  <conditionalFormatting sqref="Y85">
    <cfRule type="cellIs" dxfId="5" priority="6" operator="notEqual">
      <formula>0</formula>
    </cfRule>
  </conditionalFormatting>
  <conditionalFormatting sqref="Y86">
    <cfRule type="cellIs" dxfId="4" priority="5" operator="notEqual">
      <formula>0</formula>
    </cfRule>
  </conditionalFormatting>
  <conditionalFormatting sqref="Y87">
    <cfRule type="cellIs" dxfId="3" priority="4" operator="notEqual">
      <formula>0</formula>
    </cfRule>
  </conditionalFormatting>
  <conditionalFormatting sqref="Y88:Y89">
    <cfRule type="cellIs" dxfId="2" priority="3" operator="notEqual">
      <formula>0</formula>
    </cfRule>
  </conditionalFormatting>
  <conditionalFormatting sqref="Y50">
    <cfRule type="cellIs" dxfId="1" priority="2" operator="notEqual">
      <formula>0</formula>
    </cfRule>
  </conditionalFormatting>
  <conditionalFormatting sqref="Y78">
    <cfRule type="cellIs" dxfId="0" priority="1" operator="notEqual">
      <formula>0</formula>
    </cfRule>
  </conditionalFormatting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C5"/>
  <sheetViews>
    <sheetView workbookViewId="0">
      <selection activeCell="D5" sqref="D5"/>
    </sheetView>
  </sheetViews>
  <sheetFormatPr defaultColWidth="8.83203125" defaultRowHeight="14" x14ac:dyDescent="0.3"/>
  <sheetData>
    <row r="4" spans="3:3" x14ac:dyDescent="0.3">
      <c r="C4" t="s">
        <v>25</v>
      </c>
    </row>
    <row r="5" spans="3:3" x14ac:dyDescent="0.3">
      <c r="C5" t="s">
        <v>24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workbookViewId="0">
      <selection activeCell="E37" sqref="E37"/>
    </sheetView>
  </sheetViews>
  <sheetFormatPr defaultColWidth="9.33203125" defaultRowHeight="14" x14ac:dyDescent="0.3"/>
  <cols>
    <col min="1" max="1" width="36.83203125" customWidth="1"/>
    <col min="2" max="2" width="14.33203125" customWidth="1"/>
  </cols>
  <sheetData>
    <row r="1" spans="1:2" x14ac:dyDescent="0.3">
      <c r="B1" t="s">
        <v>1</v>
      </c>
    </row>
    <row r="2" spans="1:2" x14ac:dyDescent="0.3">
      <c r="A2" s="14" t="s">
        <v>53</v>
      </c>
      <c r="B2" s="46">
        <v>677760</v>
      </c>
    </row>
    <row r="3" spans="1:2" x14ac:dyDescent="0.3">
      <c r="A3" s="14" t="s">
        <v>54</v>
      </c>
      <c r="B3" s="46">
        <v>639288</v>
      </c>
    </row>
    <row r="4" spans="1:2" x14ac:dyDescent="0.3">
      <c r="A4" s="14" t="s">
        <v>55</v>
      </c>
      <c r="B4" s="46">
        <v>615876</v>
      </c>
    </row>
    <row r="5" spans="1:2" x14ac:dyDescent="0.3">
      <c r="A5" s="14" t="s">
        <v>56</v>
      </c>
      <c r="B5" s="46">
        <v>589370</v>
      </c>
    </row>
    <row r="6" spans="1:2" x14ac:dyDescent="0.3">
      <c r="A6" s="14" t="s">
        <v>57</v>
      </c>
      <c r="B6" s="46">
        <v>583620</v>
      </c>
    </row>
    <row r="7" spans="1:2" x14ac:dyDescent="0.3">
      <c r="A7" s="14" t="s">
        <v>58</v>
      </c>
      <c r="B7" s="46">
        <v>538826</v>
      </c>
    </row>
    <row r="8" spans="1:2" x14ac:dyDescent="0.3">
      <c r="A8" s="14" t="s">
        <v>59</v>
      </c>
      <c r="B8" s="46">
        <v>575751</v>
      </c>
    </row>
    <row r="9" spans="1:2" x14ac:dyDescent="0.3">
      <c r="A9" s="14" t="s">
        <v>60</v>
      </c>
      <c r="B9" s="46">
        <v>561014</v>
      </c>
    </row>
    <row r="10" spans="1:2" x14ac:dyDescent="0.3">
      <c r="A10" s="14" t="s">
        <v>61</v>
      </c>
      <c r="B10" s="46">
        <v>536955</v>
      </c>
    </row>
    <row r="11" spans="1:2" x14ac:dyDescent="0.3">
      <c r="A11" s="14" t="s">
        <v>62</v>
      </c>
      <c r="B11" s="46">
        <v>515757</v>
      </c>
    </row>
    <row r="12" spans="1:2" x14ac:dyDescent="0.3">
      <c r="A12" s="14" t="s">
        <v>63</v>
      </c>
      <c r="B12" s="46">
        <v>514761</v>
      </c>
    </row>
    <row r="13" spans="1:2" x14ac:dyDescent="0.3">
      <c r="A13" s="14" t="s">
        <v>64</v>
      </c>
      <c r="B13" s="46">
        <v>501846</v>
      </c>
    </row>
    <row r="14" spans="1:2" x14ac:dyDescent="0.3">
      <c r="A14" s="14" t="s">
        <v>65</v>
      </c>
      <c r="B14" s="46">
        <v>444985</v>
      </c>
    </row>
    <row r="15" spans="1:2" x14ac:dyDescent="0.3">
      <c r="A15" s="14" t="s">
        <v>66</v>
      </c>
      <c r="B15" s="46">
        <v>736640</v>
      </c>
    </row>
    <row r="16" spans="1:2" x14ac:dyDescent="0.3">
      <c r="A16" s="14" t="s">
        <v>67</v>
      </c>
      <c r="B16" s="46">
        <v>637707</v>
      </c>
    </row>
    <row r="17" spans="1:2" x14ac:dyDescent="0.3">
      <c r="A17" s="14" t="s">
        <v>68</v>
      </c>
      <c r="B17" s="46">
        <v>634252</v>
      </c>
    </row>
    <row r="18" spans="1:2" x14ac:dyDescent="0.3">
      <c r="A18" s="14" t="s">
        <v>69</v>
      </c>
      <c r="B18" s="46">
        <v>595824</v>
      </c>
    </row>
    <row r="19" spans="1:2" x14ac:dyDescent="0.3">
      <c r="A19" s="14" t="s">
        <v>70</v>
      </c>
      <c r="B19" s="46">
        <v>501068</v>
      </c>
    </row>
    <row r="20" spans="1:2" x14ac:dyDescent="0.3">
      <c r="A20" s="14" t="s">
        <v>71</v>
      </c>
      <c r="B20" s="46">
        <v>629148</v>
      </c>
    </row>
    <row r="21" spans="1:2" x14ac:dyDescent="0.3">
      <c r="A21" s="14" t="s">
        <v>72</v>
      </c>
      <c r="B21" s="46">
        <v>566756</v>
      </c>
    </row>
    <row r="22" spans="1:2" x14ac:dyDescent="0.3">
      <c r="A22" s="14" t="s">
        <v>73</v>
      </c>
      <c r="B22" s="46">
        <v>510052</v>
      </c>
    </row>
    <row r="23" spans="1:2" x14ac:dyDescent="0.3">
      <c r="A23" s="14" t="s">
        <v>74</v>
      </c>
      <c r="B23" s="46">
        <v>490240</v>
      </c>
    </row>
    <row r="24" spans="1:2" x14ac:dyDescent="0.3">
      <c r="A24" s="14" t="s">
        <v>75</v>
      </c>
      <c r="B24" s="46">
        <v>477340</v>
      </c>
    </row>
    <row r="25" spans="1:2" x14ac:dyDescent="0.3">
      <c r="A25" s="14" t="s">
        <v>76</v>
      </c>
      <c r="B25" s="46">
        <v>471531</v>
      </c>
    </row>
    <row r="26" spans="1:2" x14ac:dyDescent="0.3">
      <c r="A26" s="14" t="s">
        <v>77</v>
      </c>
      <c r="B26" s="46">
        <v>465203</v>
      </c>
    </row>
    <row r="27" spans="1:2" x14ac:dyDescent="0.3">
      <c r="A27" s="14" t="s">
        <v>78</v>
      </c>
      <c r="B27" s="46">
        <v>461108</v>
      </c>
    </row>
    <row r="28" spans="1:2" x14ac:dyDescent="0.3">
      <c r="A28" s="14" t="s">
        <v>79</v>
      </c>
      <c r="B28" s="46">
        <v>437777</v>
      </c>
    </row>
    <row r="29" spans="1:2" x14ac:dyDescent="0.3">
      <c r="A29" s="14" t="s">
        <v>80</v>
      </c>
      <c r="B29" s="46">
        <v>436507</v>
      </c>
    </row>
    <row r="30" spans="1:2" x14ac:dyDescent="0.3">
      <c r="A30" s="14" t="s">
        <v>81</v>
      </c>
      <c r="B30" s="46">
        <v>433469</v>
      </c>
    </row>
    <row r="31" spans="1:2" x14ac:dyDescent="0.3">
      <c r="A31" s="14" t="s">
        <v>92</v>
      </c>
      <c r="B31" s="46">
        <v>370935</v>
      </c>
    </row>
    <row r="32" spans="1:2" x14ac:dyDescent="0.3">
      <c r="A32" s="14" t="s">
        <v>83</v>
      </c>
      <c r="B32" s="46">
        <v>507146</v>
      </c>
    </row>
    <row r="33" spans="1:2" x14ac:dyDescent="0.3">
      <c r="A33" s="14" t="s">
        <v>84</v>
      </c>
      <c r="B33" s="46">
        <v>490023</v>
      </c>
    </row>
    <row r="34" spans="1:2" x14ac:dyDescent="0.3">
      <c r="A34" s="14" t="s">
        <v>85</v>
      </c>
      <c r="B34" s="46">
        <v>671896</v>
      </c>
    </row>
    <row r="35" spans="1:2" x14ac:dyDescent="0.3">
      <c r="A35" s="14" t="s">
        <v>86</v>
      </c>
      <c r="B35" s="46">
        <v>545640</v>
      </c>
    </row>
    <row r="36" spans="1:2" x14ac:dyDescent="0.3">
      <c r="A36" s="14" t="s">
        <v>93</v>
      </c>
      <c r="B36" s="46">
        <v>634778</v>
      </c>
    </row>
    <row r="37" spans="1:2" x14ac:dyDescent="0.3">
      <c r="A37" s="14" t="s">
        <v>88</v>
      </c>
      <c r="B37" s="46">
        <v>535264</v>
      </c>
    </row>
    <row r="38" spans="1:2" x14ac:dyDescent="0.3">
      <c r="A38" s="14" t="s">
        <v>94</v>
      </c>
      <c r="B38" s="46">
        <v>532216</v>
      </c>
    </row>
    <row r="39" spans="1:2" x14ac:dyDescent="0.3">
      <c r="A39" s="14" t="s">
        <v>90</v>
      </c>
      <c r="B39" s="46">
        <v>497280</v>
      </c>
    </row>
    <row r="40" spans="1:2" x14ac:dyDescent="0.3">
      <c r="A40" s="14" t="s">
        <v>91</v>
      </c>
      <c r="B40" s="46">
        <v>472926</v>
      </c>
    </row>
  </sheetData>
  <sortState xmlns:xlrd2="http://schemas.microsoft.com/office/spreadsheetml/2017/richdata2" ref="A2:B36">
    <sortCondition descending="1" ref="B2:B36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6"/>
  <sheetViews>
    <sheetView workbookViewId="0">
      <selection activeCell="N21" sqref="N21"/>
    </sheetView>
  </sheetViews>
  <sheetFormatPr defaultRowHeight="14" x14ac:dyDescent="0.3"/>
  <cols>
    <col min="5" max="5" width="13.58203125" customWidth="1"/>
  </cols>
  <sheetData>
    <row r="2" spans="3:10" x14ac:dyDescent="0.3">
      <c r="C2" t="s">
        <v>40</v>
      </c>
    </row>
    <row r="3" spans="3:10" ht="14.5" thickBot="1" x14ac:dyDescent="0.35">
      <c r="E3" t="s">
        <v>41</v>
      </c>
      <c r="F3">
        <v>198</v>
      </c>
      <c r="G3">
        <v>100</v>
      </c>
      <c r="H3">
        <v>10</v>
      </c>
    </row>
    <row r="4" spans="3:10" x14ac:dyDescent="0.3">
      <c r="C4" s="23"/>
      <c r="D4" s="24"/>
      <c r="E4" s="24"/>
      <c r="F4" s="24" t="s">
        <v>34</v>
      </c>
      <c r="G4" s="24" t="s">
        <v>35</v>
      </c>
      <c r="H4" s="24" t="s">
        <v>36</v>
      </c>
      <c r="I4" s="24" t="s">
        <v>38</v>
      </c>
      <c r="J4" s="25" t="s">
        <v>39</v>
      </c>
    </row>
    <row r="5" spans="3:10" x14ac:dyDescent="0.3">
      <c r="C5" s="50" t="s">
        <v>32</v>
      </c>
      <c r="D5" s="53" t="s">
        <v>11</v>
      </c>
      <c r="E5" s="26" t="s">
        <v>26</v>
      </c>
      <c r="F5" s="26">
        <v>5</v>
      </c>
      <c r="G5" s="26">
        <v>7</v>
      </c>
      <c r="H5" s="26">
        <v>20</v>
      </c>
      <c r="I5" s="26"/>
      <c r="J5" s="27"/>
    </row>
    <row r="6" spans="3:10" x14ac:dyDescent="0.3">
      <c r="C6" s="51"/>
      <c r="D6" s="54"/>
      <c r="E6" s="26" t="s">
        <v>37</v>
      </c>
      <c r="F6" s="26">
        <f>F5*$F$3</f>
        <v>990</v>
      </c>
      <c r="G6" s="26">
        <f>G5*$G$3</f>
        <v>700</v>
      </c>
      <c r="H6" s="26">
        <f>H5*$H$3</f>
        <v>200</v>
      </c>
      <c r="I6" s="26">
        <f>SUM(F6:H6)</f>
        <v>1890</v>
      </c>
      <c r="J6" s="27">
        <v>19</v>
      </c>
    </row>
    <row r="7" spans="3:10" x14ac:dyDescent="0.3">
      <c r="C7" s="51"/>
      <c r="D7" s="53" t="s">
        <v>12</v>
      </c>
      <c r="E7" s="26" t="s">
        <v>26</v>
      </c>
      <c r="F7" s="26">
        <v>4</v>
      </c>
      <c r="G7" s="26">
        <v>6</v>
      </c>
      <c r="H7" s="26">
        <v>15</v>
      </c>
      <c r="I7" s="26"/>
      <c r="J7" s="27"/>
    </row>
    <row r="8" spans="3:10" x14ac:dyDescent="0.3">
      <c r="C8" s="51"/>
      <c r="D8" s="54"/>
      <c r="E8" s="26" t="s">
        <v>37</v>
      </c>
      <c r="F8" s="26">
        <f>F7*$F$3</f>
        <v>792</v>
      </c>
      <c r="G8" s="26">
        <f>G7*$G$3</f>
        <v>600</v>
      </c>
      <c r="H8" s="26">
        <f>H7*$H$3</f>
        <v>150</v>
      </c>
      <c r="I8" s="26">
        <f>SUM(F8:H8)</f>
        <v>1542</v>
      </c>
      <c r="J8" s="27">
        <v>15</v>
      </c>
    </row>
    <row r="9" spans="3:10" x14ac:dyDescent="0.3">
      <c r="C9" s="51"/>
      <c r="D9" s="53" t="s">
        <v>13</v>
      </c>
      <c r="E9" s="26" t="s">
        <v>26</v>
      </c>
      <c r="F9" s="26">
        <v>3</v>
      </c>
      <c r="G9" s="26">
        <v>5</v>
      </c>
      <c r="H9" s="26">
        <v>10</v>
      </c>
      <c r="I9" s="26"/>
      <c r="J9" s="27"/>
    </row>
    <row r="10" spans="3:10" ht="14.5" thickBot="1" x14ac:dyDescent="0.35">
      <c r="C10" s="52"/>
      <c r="D10" s="55"/>
      <c r="E10" s="28" t="s">
        <v>37</v>
      </c>
      <c r="F10" s="28">
        <f>F9*$F$3</f>
        <v>594</v>
      </c>
      <c r="G10" s="28">
        <f>G9*$G$3</f>
        <v>500</v>
      </c>
      <c r="H10" s="28">
        <f>H9*$H$3</f>
        <v>100</v>
      </c>
      <c r="I10" s="28">
        <f>SUM(F10:H10)</f>
        <v>1194</v>
      </c>
      <c r="J10" s="29">
        <v>12</v>
      </c>
    </row>
    <row r="11" spans="3:10" x14ac:dyDescent="0.3">
      <c r="C11" s="51" t="s">
        <v>33</v>
      </c>
      <c r="D11" s="56" t="s">
        <v>11</v>
      </c>
      <c r="E11" s="30" t="s">
        <v>26</v>
      </c>
      <c r="F11" s="30">
        <v>4</v>
      </c>
      <c r="G11" s="30">
        <v>5</v>
      </c>
      <c r="H11" s="30"/>
      <c r="I11" s="30"/>
      <c r="J11" s="31"/>
    </row>
    <row r="12" spans="3:10" x14ac:dyDescent="0.3">
      <c r="C12" s="51"/>
      <c r="D12" s="54"/>
      <c r="E12" s="26" t="s">
        <v>37</v>
      </c>
      <c r="F12" s="26">
        <f>F11*$F$3</f>
        <v>792</v>
      </c>
      <c r="G12" s="26">
        <f>G11*$G$3</f>
        <v>500</v>
      </c>
      <c r="H12" s="26"/>
      <c r="I12" s="26">
        <f>SUM(F12:H12)</f>
        <v>1292</v>
      </c>
      <c r="J12" s="27">
        <v>13</v>
      </c>
    </row>
    <row r="13" spans="3:10" x14ac:dyDescent="0.3">
      <c r="C13" s="51"/>
      <c r="D13" s="53" t="s">
        <v>12</v>
      </c>
      <c r="E13" s="26" t="s">
        <v>26</v>
      </c>
      <c r="F13" s="26">
        <v>3</v>
      </c>
      <c r="G13" s="26">
        <v>4</v>
      </c>
      <c r="H13" s="26"/>
      <c r="I13" s="26"/>
      <c r="J13" s="27"/>
    </row>
    <row r="14" spans="3:10" x14ac:dyDescent="0.3">
      <c r="C14" s="51"/>
      <c r="D14" s="54"/>
      <c r="E14" s="26" t="s">
        <v>37</v>
      </c>
      <c r="F14" s="26">
        <f>F13*$F$3</f>
        <v>594</v>
      </c>
      <c r="G14" s="26">
        <f>G13*$G$3</f>
        <v>400</v>
      </c>
      <c r="H14" s="26"/>
      <c r="I14" s="26">
        <f>SUM(F14:H14)</f>
        <v>994</v>
      </c>
      <c r="J14" s="27">
        <v>10</v>
      </c>
    </row>
    <row r="15" spans="3:10" x14ac:dyDescent="0.3">
      <c r="C15" s="51"/>
      <c r="D15" s="53" t="s">
        <v>13</v>
      </c>
      <c r="E15" s="26" t="s">
        <v>26</v>
      </c>
      <c r="F15" s="26">
        <v>2</v>
      </c>
      <c r="G15" s="26">
        <v>3</v>
      </c>
      <c r="H15" s="26"/>
      <c r="I15" s="26"/>
      <c r="J15" s="27"/>
    </row>
    <row r="16" spans="3:10" ht="14.5" thickBot="1" x14ac:dyDescent="0.35">
      <c r="C16" s="52"/>
      <c r="D16" s="55"/>
      <c r="E16" s="28" t="s">
        <v>37</v>
      </c>
      <c r="F16" s="28">
        <f>F15*$F$3</f>
        <v>396</v>
      </c>
      <c r="G16" s="28">
        <f>G15*$G$3</f>
        <v>300</v>
      </c>
      <c r="H16" s="28"/>
      <c r="I16" s="28">
        <f>SUM(F16:H16)</f>
        <v>696</v>
      </c>
      <c r="J16" s="29">
        <v>7</v>
      </c>
    </row>
    <row r="19" spans="2:3" x14ac:dyDescent="0.3">
      <c r="C19" t="s">
        <v>42</v>
      </c>
    </row>
    <row r="20" spans="2:3" x14ac:dyDescent="0.3">
      <c r="B20">
        <v>1</v>
      </c>
      <c r="C20" t="s">
        <v>50</v>
      </c>
    </row>
    <row r="21" spans="2:3" x14ac:dyDescent="0.3">
      <c r="B21">
        <v>2</v>
      </c>
      <c r="C21" t="s">
        <v>43</v>
      </c>
    </row>
    <row r="22" spans="2:3" x14ac:dyDescent="0.3">
      <c r="B22">
        <v>3</v>
      </c>
      <c r="C22" t="s">
        <v>101</v>
      </c>
    </row>
    <row r="23" spans="2:3" x14ac:dyDescent="0.3">
      <c r="B23">
        <v>4</v>
      </c>
      <c r="C23" t="s">
        <v>102</v>
      </c>
    </row>
    <row r="25" spans="2:3" x14ac:dyDescent="0.3">
      <c r="C25" t="s">
        <v>44</v>
      </c>
    </row>
    <row r="26" spans="2:3" x14ac:dyDescent="0.3">
      <c r="C26" t="s">
        <v>45</v>
      </c>
    </row>
  </sheetData>
  <mergeCells count="8">
    <mergeCell ref="C5:C10"/>
    <mergeCell ref="C11:C16"/>
    <mergeCell ref="D5:D6"/>
    <mergeCell ref="D7:D8"/>
    <mergeCell ref="D9:D10"/>
    <mergeCell ref="D11:D12"/>
    <mergeCell ref="D13:D14"/>
    <mergeCell ref="D15:D16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组织分包</vt:lpstr>
      <vt:lpstr>List</vt:lpstr>
      <vt:lpstr>战力表</vt:lpstr>
      <vt:lpstr>礼包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Lin-xio</cp:lastModifiedBy>
  <cp:lastPrinted>2019-10-14T00:50:17Z</cp:lastPrinted>
  <dcterms:created xsi:type="dcterms:W3CDTF">2019-09-30T01:29:53Z</dcterms:created>
  <dcterms:modified xsi:type="dcterms:W3CDTF">2020-09-13T12:50:44Z</dcterms:modified>
</cp:coreProperties>
</file>