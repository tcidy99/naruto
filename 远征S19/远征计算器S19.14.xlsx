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4C302C3A-6A52-46EC-9DAB-DD6B9A827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1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<sst xmlns="http://schemas.openxmlformats.org/spreadsheetml/2006/main" count="2377" uniqueCount="81">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</sst>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" fillId="24" borderId="16" xfId="0" applyFont="1" applyFill="1" applyBorder="1"/>
    <xf numFmtId="0" fontId="1" fillId="25" borderId="16" xfId="0" applyFont="1" applyFill="1" applyBorder="1"/>
    <xf numFmtId="0" fontId="1" fillId="27" borderId="16" xfId="0" applyFont="1" applyFill="1" applyBorder="1"/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18" borderId="0" xfId="0" applyFont="1" applyFill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16" activePane="bottomLeft" state="frozen"/>
      <selection pane="bottomLeft" activeCell="A23" sqref="A23:XFD23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9">
        <f ca="1">(_xlfn.DAYS(TODAY(),A4)+2)/((_xlfn.DAYS(A93,A4))+1)</f>
        <v>7.7777777777777779E-2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44"/>
      <c r="AI1" s="44"/>
      <c r="AJ1" s="44"/>
      <c r="AO1" s="117"/>
      <c r="AP1" s="117"/>
      <c r="AQ1" s="117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5" t="s">
        <v>2</v>
      </c>
      <c r="E2" s="126"/>
      <c r="F2" s="127">
        <f>SUM(F4:F93)+SUM(H4:H93)</f>
        <v>31215</v>
      </c>
      <c r="G2" s="127"/>
      <c r="H2" s="128"/>
      <c r="I2" s="129" t="s">
        <v>3</v>
      </c>
      <c r="J2" s="130"/>
      <c r="K2" s="32" t="s">
        <v>4</v>
      </c>
      <c r="L2" s="32">
        <f>COUNTIF(I4:P93,"&lt;&gt;空")</f>
        <v>101</v>
      </c>
      <c r="M2" s="130" t="s">
        <v>5</v>
      </c>
      <c r="N2" s="130"/>
      <c r="O2" s="130"/>
      <c r="P2" s="131"/>
      <c r="Q2" s="132" t="s">
        <v>6</v>
      </c>
      <c r="R2" s="133"/>
      <c r="S2" s="36" t="s">
        <v>4</v>
      </c>
      <c r="T2" s="36">
        <f>COUNTIF(Q4:X93,"&lt;&gt;空")</f>
        <v>212</v>
      </c>
      <c r="U2" s="133" t="s">
        <v>5</v>
      </c>
      <c r="V2" s="133"/>
      <c r="W2" s="133"/>
      <c r="X2" s="134"/>
      <c r="Y2" s="135" t="s">
        <v>7</v>
      </c>
      <c r="Z2" s="136"/>
      <c r="AA2" s="40" t="s">
        <v>8</v>
      </c>
      <c r="AB2" s="39">
        <f>COUNTIF(Y4:AF93,"&lt;&gt;空")</f>
        <v>127</v>
      </c>
      <c r="AC2" s="136" t="s">
        <v>5</v>
      </c>
      <c r="AD2" s="136"/>
      <c r="AE2" s="136"/>
      <c r="AF2" s="137"/>
      <c r="AG2" s="45">
        <f>SUM(AG4:AG93)</f>
        <v>52</v>
      </c>
      <c r="AH2" s="45">
        <f>SUM(AH4:AH93)</f>
        <v>13</v>
      </c>
      <c r="AI2" s="45">
        <f>SUM(AI4:AI93)</f>
        <v>27</v>
      </c>
      <c r="AJ2" s="46">
        <f>SUM(AJ4:AJ93)</f>
        <v>12</v>
      </c>
      <c r="AK2" s="114" t="s">
        <v>9</v>
      </c>
      <c r="AO2" s="118"/>
      <c r="AP2" s="118"/>
      <c r="AQ2" s="118"/>
      <c r="AR2" s="59"/>
      <c r="AU2" t="s">
        <v>10</v>
      </c>
      <c r="AV2">
        <f>SUM(AV4:AV29)</f>
        <v>440</v>
      </c>
      <c r="AW2" s="20" t="s">
        <v>11</v>
      </c>
      <c r="AX2">
        <f>AR47</f>
        <v>128</v>
      </c>
      <c r="AY2" t="s">
        <v>12</v>
      </c>
      <c r="AZ2" s="91">
        <f>SUM(AX4:AZ29)+7000</f>
        <v>31215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5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11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30</v>
      </c>
      <c r="AW4" s="101">
        <v>30</v>
      </c>
      <c r="AX4" s="101">
        <f t="shared" ref="AX4:AX29" si="3">AS4*$AQ4</f>
        <v>385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29</v>
      </c>
      <c r="AT5" s="66">
        <f t="shared" si="1"/>
        <v>14</v>
      </c>
      <c r="AU5" s="66">
        <f t="shared" si="2"/>
        <v>15</v>
      </c>
      <c r="AV5" s="67">
        <f t="shared" ref="AV5:AV26" si="10">AS5+AT5+AU5</f>
        <v>58</v>
      </c>
      <c r="AW5" s="101">
        <v>54</v>
      </c>
      <c r="AX5" s="101">
        <f t="shared" si="3"/>
        <v>1160</v>
      </c>
      <c r="AY5" s="101">
        <f t="shared" si="4"/>
        <v>560</v>
      </c>
      <c r="AZ5" s="101">
        <f t="shared" si="4"/>
        <v>600</v>
      </c>
      <c r="BA5" s="116" t="s">
        <v>45</v>
      </c>
      <c r="BB5" s="116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49</v>
      </c>
      <c r="AU6" s="66">
        <f t="shared" si="2"/>
        <v>37</v>
      </c>
      <c r="AV6" s="67">
        <f t="shared" si="10"/>
        <v>89</v>
      </c>
      <c r="AW6" s="101">
        <v>180</v>
      </c>
      <c r="AX6" s="101">
        <f t="shared" si="3"/>
        <v>135</v>
      </c>
      <c r="AY6" s="101">
        <f t="shared" si="4"/>
        <v>2205</v>
      </c>
      <c r="AZ6" s="101">
        <f t="shared" si="4"/>
        <v>1665</v>
      </c>
      <c r="BA6" s="117"/>
      <c r="BB6" s="117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18</v>
      </c>
      <c r="AT7" s="60">
        <f t="shared" si="1"/>
        <v>24</v>
      </c>
      <c r="AU7" s="60">
        <f t="shared" si="2"/>
        <v>25</v>
      </c>
      <c r="AV7" s="71">
        <f t="shared" si="10"/>
        <v>67</v>
      </c>
      <c r="AW7" s="90">
        <v>104</v>
      </c>
      <c r="AX7" s="90">
        <f t="shared" si="3"/>
        <v>900</v>
      </c>
      <c r="AY7" s="90">
        <f t="shared" si="4"/>
        <v>1200</v>
      </c>
      <c r="AZ7" s="90">
        <f t="shared" si="4"/>
        <v>1250</v>
      </c>
      <c r="BA7" s="117"/>
      <c r="BB7" s="117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7"/>
      <c r="BB8" s="117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38</v>
      </c>
      <c r="AU9" s="60">
        <f t="shared" si="2"/>
        <v>0</v>
      </c>
      <c r="AV9" s="71">
        <f t="shared" si="10"/>
        <v>61</v>
      </c>
      <c r="AW9" s="90">
        <v>98</v>
      </c>
      <c r="AX9" s="90">
        <f t="shared" si="3"/>
        <v>1380</v>
      </c>
      <c r="AY9" s="90">
        <f t="shared" si="4"/>
        <v>2280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2</v>
      </c>
      <c r="AT11" s="60">
        <f t="shared" si="1"/>
        <v>0</v>
      </c>
      <c r="AU11" s="60">
        <f t="shared" si="2"/>
        <v>0</v>
      </c>
      <c r="AV11" s="71">
        <f t="shared" si="10"/>
        <v>2</v>
      </c>
      <c r="AW11" s="90">
        <v>2</v>
      </c>
      <c r="AX11" s="90">
        <f t="shared" si="3"/>
        <v>80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>
        <v>204</v>
      </c>
      <c r="D16" s="28">
        <f>(SUM(粮草!A16:X16)+AG16*10*IF(AK16="是",$BB$4,$BB$3))</f>
        <v>2500</v>
      </c>
      <c r="E16" s="30">
        <f>SUM($B$4:B16)+SUM($C$4:C16)-SUM($D$4:D16)</f>
        <v>664</v>
      </c>
      <c r="F16" s="31">
        <f>SUM(经验!A16:X16)</f>
        <v>905</v>
      </c>
      <c r="G16" s="28">
        <f>SUM($F$4:F16)+SUM($H$4:H16)</f>
        <v>9760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69" t="s">
        <v>46</v>
      </c>
      <c r="Z16" s="69" t="s">
        <v>46</v>
      </c>
      <c r="AA16" s="69" t="s">
        <v>46</v>
      </c>
      <c r="AB16" s="69" t="s">
        <v>46</v>
      </c>
      <c r="AC16" s="69" t="s">
        <v>46</v>
      </c>
      <c r="AD16" s="69" t="s">
        <v>46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3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1182</v>
      </c>
      <c r="E17" s="30">
        <f>SUM($B$4:B17)+SUM($C$4:C17)-SUM($D$4:D17)</f>
        <v>1082</v>
      </c>
      <c r="F17" s="31">
        <f>SUM(经验!A17:X17)</f>
        <v>460</v>
      </c>
      <c r="G17" s="28">
        <f>SUM($F$4:F17)+SUM($H$4:H17)</f>
        <v>10220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20" t="s">
        <v>41</v>
      </c>
      <c r="V17" s="20" t="s">
        <v>41</v>
      </c>
      <c r="W17" s="35" t="s">
        <v>41</v>
      </c>
      <c r="X17" s="35" t="s">
        <v>41</v>
      </c>
      <c r="Y17" s="111" t="s">
        <v>48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20" t="s">
        <v>41</v>
      </c>
      <c r="AE17" s="70" t="s">
        <v>49</v>
      </c>
      <c r="AF17" s="70" t="s">
        <v>49</v>
      </c>
      <c r="AG17" s="54">
        <f t="shared" si="6"/>
        <v>2</v>
      </c>
      <c r="AH17" s="57"/>
      <c r="AI17" s="57">
        <v>1</v>
      </c>
      <c r="AJ17" s="57">
        <v>1</v>
      </c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4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12</v>
      </c>
      <c r="AT17" s="60">
        <f t="shared" si="1"/>
        <v>5</v>
      </c>
      <c r="AU17" s="60">
        <f t="shared" si="2"/>
        <v>9</v>
      </c>
      <c r="AV17" s="71">
        <f t="shared" si="10"/>
        <v>26</v>
      </c>
      <c r="AW17" s="90">
        <v>34</v>
      </c>
      <c r="AX17" s="90">
        <f t="shared" si="3"/>
        <v>360</v>
      </c>
      <c r="AY17" s="90">
        <f t="shared" si="4"/>
        <v>150</v>
      </c>
      <c r="AZ17" s="90">
        <f t="shared" si="4"/>
        <v>270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1590</v>
      </c>
      <c r="E18" s="30">
        <f>SUM($B$4:B18)+SUM($C$4:C18)-SUM($D$4:D18)</f>
        <v>1092</v>
      </c>
      <c r="F18" s="31">
        <f>SUM(经验!A18:X18)</f>
        <v>630</v>
      </c>
      <c r="G18" s="28">
        <f>SUM($F$4:F18)+SUM($H$4:H18)</f>
        <v>10850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70" t="s">
        <v>49</v>
      </c>
      <c r="Z18" s="111" t="s">
        <v>48</v>
      </c>
      <c r="AA18" s="70" t="s">
        <v>49</v>
      </c>
      <c r="AB18" s="65" t="s">
        <v>39</v>
      </c>
      <c r="AC18" s="70" t="s">
        <v>49</v>
      </c>
      <c r="AD18" s="70" t="s">
        <v>49</v>
      </c>
      <c r="AE18" s="110" t="s">
        <v>40</v>
      </c>
      <c r="AF18" s="72" t="s">
        <v>51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4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9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2070</v>
      </c>
      <c r="E19" s="30">
        <f>SUM($B$4:B19)+SUM($C$4:C19)-SUM($D$4:D19)</f>
        <v>622</v>
      </c>
      <c r="F19" s="31">
        <f>SUM(经验!A19:X19)</f>
        <v>820</v>
      </c>
      <c r="G19" s="28">
        <f>SUM($F$4:F19)+SUM($H$4:H19)</f>
        <v>11670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72" t="s">
        <v>51</v>
      </c>
      <c r="Z19" s="72" t="s">
        <v>51</v>
      </c>
      <c r="AA19" s="72" t="s">
        <v>51</v>
      </c>
      <c r="AB19" s="72" t="s">
        <v>51</v>
      </c>
      <c r="AC19" s="72" t="s">
        <v>51</v>
      </c>
      <c r="AD19" s="72" t="s">
        <v>51</v>
      </c>
      <c r="AE19" s="72" t="s">
        <v>51</v>
      </c>
      <c r="AF19" s="70" t="s">
        <v>49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2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1912</v>
      </c>
      <c r="E20" s="30">
        <f>SUM($B$4:B20)+SUM($C$4:C20)-SUM($D$4:D20)</f>
        <v>310</v>
      </c>
      <c r="F20" s="31">
        <f>SUM(经验!A20:X20)</f>
        <v>725</v>
      </c>
      <c r="G20" s="28">
        <f>SUM($F$4:F20)+SUM($H$4:H20)</f>
        <v>12395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0" t="s">
        <v>49</v>
      </c>
      <c r="Z20" s="110" t="s">
        <v>40</v>
      </c>
      <c r="AA20" s="72" t="s">
        <v>51</v>
      </c>
      <c r="AB20" s="72" t="s">
        <v>51</v>
      </c>
      <c r="AC20" s="72" t="s">
        <v>51</v>
      </c>
      <c r="AD20" s="110" t="s">
        <v>40</v>
      </c>
      <c r="AE20" s="72" t="s">
        <v>51</v>
      </c>
      <c r="AF20" s="72" t="s">
        <v>51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2</v>
      </c>
      <c r="AN20" s="109">
        <f t="shared" si="9"/>
        <v>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1734</v>
      </c>
      <c r="E21" s="30">
        <f>SUM($B$4:B21)+SUM($C$4:C21)-SUM($D$4:D21)</f>
        <v>176</v>
      </c>
      <c r="F21" s="31">
        <f>SUM(经验!A21:X21)</f>
        <v>1155</v>
      </c>
      <c r="G21" s="28">
        <f>SUM($F$4:F21)+SUM($H$4:H21)</f>
        <v>13750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73" t="s">
        <v>54</v>
      </c>
      <c r="Y21" s="72" t="s">
        <v>51</v>
      </c>
      <c r="Z21" s="70" t="s">
        <v>49</v>
      </c>
      <c r="AA21" s="70" t="s">
        <v>49</v>
      </c>
      <c r="AB21" s="70" t="s">
        <v>49</v>
      </c>
      <c r="AC21" s="112" t="s">
        <v>64</v>
      </c>
      <c r="AD21" s="110" t="s">
        <v>40</v>
      </c>
      <c r="AE21" s="35" t="s">
        <v>41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2</v>
      </c>
      <c r="AN21" s="109">
        <f t="shared" si="9"/>
        <v>0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>
        <v>40</v>
      </c>
      <c r="D22" s="28">
        <f>(SUM(粮草!A22:X22)+AG22*10*IF(AK22="是",$BB$4,$BB$3))</f>
        <v>1518</v>
      </c>
      <c r="E22" s="30">
        <f>SUM($B$4:B22)+SUM($C$4:C22)-SUM($D$4:D22)</f>
        <v>298</v>
      </c>
      <c r="F22" s="31">
        <f>SUM(经验!A22:X22)</f>
        <v>1540</v>
      </c>
      <c r="G22" s="28">
        <f>SUM($F$4:F22)+SUM($H$4:H22)</f>
        <v>15390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20" t="s">
        <v>41</v>
      </c>
      <c r="N22" s="20" t="s">
        <v>41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70" t="s">
        <v>49</v>
      </c>
      <c r="AA22" s="72" t="s">
        <v>51</v>
      </c>
      <c r="AB22" s="72" t="s">
        <v>51</v>
      </c>
      <c r="AC22" s="111" t="s">
        <v>48</v>
      </c>
      <c r="AD22" s="69" t="s">
        <v>46</v>
      </c>
      <c r="AE22" s="110" t="s">
        <v>40</v>
      </c>
      <c r="AF22" s="35" t="s">
        <v>41</v>
      </c>
      <c r="AG22" s="54">
        <f t="shared" si="6"/>
        <v>5</v>
      </c>
      <c r="AH22" s="57">
        <v>4</v>
      </c>
      <c r="AI22" s="57"/>
      <c r="AJ22" s="57">
        <v>1</v>
      </c>
      <c r="AK22" s="56" t="s">
        <v>61</v>
      </c>
      <c r="AL22" s="107">
        <f t="shared" si="7"/>
        <v>14</v>
      </c>
      <c r="AM22" s="108">
        <f t="shared" si="8"/>
        <v>5</v>
      </c>
      <c r="AN22" s="109">
        <f t="shared" si="9"/>
        <v>1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1594</v>
      </c>
      <c r="E23" s="147">
        <f>SUM($B$4:B23)+SUM($C$4:C23)-SUM($D$4:D23)</f>
        <v>304</v>
      </c>
      <c r="F23" s="31">
        <f>SUM(经验!A23:X23)</f>
        <v>805</v>
      </c>
      <c r="G23" s="28">
        <f>SUM($F$4:F23)+SUM($H$4:H23)</f>
        <v>16395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9" t="s">
        <v>46</v>
      </c>
      <c r="Z23" s="69" t="s">
        <v>46</v>
      </c>
      <c r="AA23" s="68" t="s">
        <v>44</v>
      </c>
      <c r="AB23" s="68" t="s">
        <v>44</v>
      </c>
      <c r="AC23" s="68" t="s">
        <v>44</v>
      </c>
      <c r="AD23" s="110" t="s">
        <v>40</v>
      </c>
      <c r="AE23" s="68" t="s">
        <v>44</v>
      </c>
      <c r="AF23" s="111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6</v>
      </c>
      <c r="AN23" s="109">
        <f t="shared" si="9"/>
        <v>1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168</v>
      </c>
      <c r="E24" s="30">
        <f>SUM($B$4:B24)+SUM($C$4:C24)-SUM($D$4:D24)</f>
        <v>1736</v>
      </c>
      <c r="F24" s="31">
        <f>SUM(经验!A24:X24)</f>
        <v>60</v>
      </c>
      <c r="G24" s="28">
        <f>SUM($F$4:F24)+SUM($H$4:H24)</f>
        <v>16455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18</v>
      </c>
      <c r="AM24" s="108">
        <f t="shared" si="8"/>
        <v>11</v>
      </c>
      <c r="AN24" s="109">
        <f t="shared" si="9"/>
        <v>7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1640</v>
      </c>
      <c r="E25" s="30">
        <f>SUM($B$4:B25)+SUM($C$4:C25)-SUM($D$4:D25)</f>
        <v>1696</v>
      </c>
      <c r="F25" s="31">
        <f>SUM(经验!A25:X25)</f>
        <v>590</v>
      </c>
      <c r="G25" s="28">
        <f>SUM($F$4:F25)+SUM($H$4:H25)</f>
        <v>17045</v>
      </c>
      <c r="H25" s="20">
        <v>0</v>
      </c>
      <c r="I25" s="68" t="s">
        <v>44</v>
      </c>
      <c r="J25" s="68" t="s">
        <v>44</v>
      </c>
      <c r="K25" s="81" t="s">
        <v>40</v>
      </c>
      <c r="L25" s="68" t="s">
        <v>44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11</v>
      </c>
      <c r="AN25" s="109">
        <f t="shared" si="9"/>
        <v>13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1632</v>
      </c>
      <c r="E26" s="30">
        <f>SUM($B$4:B26)+SUM($C$4:C26)-SUM($D$4:D26)</f>
        <v>1664</v>
      </c>
      <c r="F26" s="31">
        <f>SUM(经验!A26:X26)</f>
        <v>590</v>
      </c>
      <c r="G26" s="28">
        <f>SUM($F$4:F26)+SUM($H$4:H26)</f>
        <v>17635</v>
      </c>
      <c r="H26" s="20">
        <v>0</v>
      </c>
      <c r="I26" s="68" t="s">
        <v>44</v>
      </c>
      <c r="J26" s="81" t="s">
        <v>40</v>
      </c>
      <c r="K26" s="68" t="s">
        <v>44</v>
      </c>
      <c r="L26" s="75" t="s">
        <v>56</v>
      </c>
      <c r="M26" s="68" t="s">
        <v>44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11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1552</v>
      </c>
      <c r="E27" s="30">
        <f>SUM($B$4:B27)+SUM($C$4:C27)-SUM($D$4:D27)</f>
        <v>1712</v>
      </c>
      <c r="F27" s="31">
        <f>SUM(经验!A27:X27)</f>
        <v>580</v>
      </c>
      <c r="G27" s="28">
        <f>SUM($F$4:F27)+SUM($H$4:H27)</f>
        <v>18215</v>
      </c>
      <c r="H27" s="20">
        <v>0</v>
      </c>
      <c r="I27" s="81" t="s">
        <v>40</v>
      </c>
      <c r="J27" s="68" t="s">
        <v>44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12</v>
      </c>
      <c r="AM27" s="108">
        <f t="shared" si="8"/>
        <v>11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1472</v>
      </c>
      <c r="E28" s="30">
        <f>SUM($B$4:B28)+SUM($C$4:C28)-SUM($D$4:D28)</f>
        <v>1840</v>
      </c>
      <c r="F28" s="31">
        <f>SUM(经验!A28:X28)</f>
        <v>585</v>
      </c>
      <c r="G28" s="28">
        <f>SUM($F$4:F28)+SUM($H$4:H28)</f>
        <v>19000</v>
      </c>
      <c r="H28" s="28">
        <v>200</v>
      </c>
      <c r="I28" s="68" t="s">
        <v>44</v>
      </c>
      <c r="J28" s="20" t="s">
        <v>41</v>
      </c>
      <c r="K28" s="68" t="s">
        <v>44</v>
      </c>
      <c r="L28" s="68" t="s">
        <v>44</v>
      </c>
      <c r="M28" s="81" t="s">
        <v>40</v>
      </c>
      <c r="N28" s="68" t="s">
        <v>44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13</v>
      </c>
      <c r="AM28" s="108">
        <f t="shared" si="8"/>
        <v>11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2000</v>
      </c>
      <c r="E29" s="30">
        <f>SUM($B$4:B29)+SUM($C$4:C29)-SUM($D$4:D29)</f>
        <v>1440</v>
      </c>
      <c r="F29" s="31">
        <f>SUM(经验!A29:X29)</f>
        <v>1185</v>
      </c>
      <c r="G29" s="28">
        <f>SUM($F$4:F29)+SUM($H$4:H29)</f>
        <v>20285</v>
      </c>
      <c r="H29" s="28">
        <v>100</v>
      </c>
      <c r="I29" s="68" t="s">
        <v>44</v>
      </c>
      <c r="J29" s="68" t="s">
        <v>44</v>
      </c>
      <c r="K29" s="68" t="s">
        <v>44</v>
      </c>
      <c r="L29" s="68" t="s">
        <v>44</v>
      </c>
      <c r="M29" s="68" t="s">
        <v>44</v>
      </c>
      <c r="N29" s="68" t="s">
        <v>44</v>
      </c>
      <c r="O29" s="68" t="s">
        <v>44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11</v>
      </c>
      <c r="AM29" s="108">
        <f t="shared" si="8"/>
        <v>10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1472</v>
      </c>
      <c r="E30" s="30">
        <f>SUM($B$4:B30)+SUM($C$4:C30)-SUM($D$4:D30)</f>
        <v>1568</v>
      </c>
      <c r="F30" s="31">
        <f>SUM(经验!A30:X30)</f>
        <v>550</v>
      </c>
      <c r="G30" s="28">
        <f>SUM($F$4:F30)+SUM($H$4:H30)</f>
        <v>21035</v>
      </c>
      <c r="H30" s="28">
        <v>200</v>
      </c>
      <c r="I30" s="81" t="s">
        <v>40</v>
      </c>
      <c r="J30" s="68" t="s">
        <v>44</v>
      </c>
      <c r="K30" s="75" t="s">
        <v>56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14</v>
      </c>
      <c r="AM30" s="108">
        <f t="shared" si="8"/>
        <v>8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2080</v>
      </c>
      <c r="E31" s="30">
        <f>SUM($B$4:B31)+SUM($C$4:C31)-SUM($D$4:D31)</f>
        <v>1088</v>
      </c>
      <c r="F31" s="31">
        <f>SUM(经验!A31:X31)</f>
        <v>740</v>
      </c>
      <c r="G31" s="28">
        <f>SUM($F$4:F31)+SUM($H$4:H31)</f>
        <v>21775</v>
      </c>
      <c r="H31" s="28">
        <v>0</v>
      </c>
      <c r="I31" s="70" t="s">
        <v>49</v>
      </c>
      <c r="J31" s="70" t="s">
        <v>49</v>
      </c>
      <c r="K31" s="70" t="s">
        <v>49</v>
      </c>
      <c r="L31" s="70" t="s">
        <v>49</v>
      </c>
      <c r="M31" s="70" t="s">
        <v>49</v>
      </c>
      <c r="N31" s="70" t="s">
        <v>49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12</v>
      </c>
      <c r="AM31" s="108">
        <f t="shared" si="8"/>
        <v>6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1776</v>
      </c>
      <c r="E32" s="30">
        <f>SUM($B$4:B32)+SUM($C$4:C32)-SUM($D$4:D32)</f>
        <v>912</v>
      </c>
      <c r="F32" s="31">
        <f>SUM(经验!A32:X32)</f>
        <v>630</v>
      </c>
      <c r="G32" s="28">
        <f>SUM($F$4:F32)+SUM($H$4:H32)</f>
        <v>22405</v>
      </c>
      <c r="H32" s="28">
        <v>0</v>
      </c>
      <c r="I32" s="70" t="s">
        <v>49</v>
      </c>
      <c r="J32" s="70" t="s">
        <v>49</v>
      </c>
      <c r="K32" s="70" t="s">
        <v>49</v>
      </c>
      <c r="L32" s="70" t="s">
        <v>49</v>
      </c>
      <c r="M32" s="70" t="s">
        <v>49</v>
      </c>
      <c r="N32" s="70" t="s">
        <v>49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12</v>
      </c>
      <c r="AM32" s="108">
        <f t="shared" si="8"/>
        <v>6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1784</v>
      </c>
      <c r="E33" s="30">
        <f>SUM($B$4:B33)+SUM($C$4:C33)-SUM($D$4:D33)</f>
        <v>728</v>
      </c>
      <c r="F33" s="31">
        <f>SUM(经验!A33:X33)</f>
        <v>625</v>
      </c>
      <c r="G33" s="28">
        <f>SUM($F$4:F33)+SUM($H$4:H33)</f>
        <v>23030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70" t="s">
        <v>49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2</v>
      </c>
      <c r="AH33" s="57">
        <v>2</v>
      </c>
      <c r="AI33" s="57"/>
      <c r="AJ33" s="57"/>
      <c r="AK33" s="56" t="s">
        <v>61</v>
      </c>
      <c r="AL33" s="107">
        <f t="shared" si="7"/>
        <v>12</v>
      </c>
      <c r="AM33" s="108">
        <f t="shared" si="8"/>
        <v>6</v>
      </c>
      <c r="AN33" s="109">
        <f t="shared" si="9"/>
        <v>18</v>
      </c>
      <c r="AO33" s="69" t="s">
        <v>46</v>
      </c>
      <c r="AP33" s="60">
        <v>178</v>
      </c>
      <c r="AQ33" s="60">
        <f>AP33-AV6</f>
        <v>89</v>
      </c>
      <c r="AR33" s="90">
        <f>AQ33*AP6*0.8</f>
        <v>12104</v>
      </c>
      <c r="AS33" s="90">
        <f>AQ33*AQ6</f>
        <v>4005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408</v>
      </c>
      <c r="E34" s="30">
        <f>SUM($B$4:B34)+SUM($C$4:C34)-SUM($D$4:D34)</f>
        <v>1920</v>
      </c>
      <c r="F34" s="31">
        <f>SUM(经验!A34:X34)</f>
        <v>135</v>
      </c>
      <c r="G34" s="28">
        <f>SUM($F$4:F34)+SUM($H$4:H34)</f>
        <v>23165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12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1536</v>
      </c>
      <c r="E35" s="30">
        <f>SUM($B$4:B35)+SUM($C$4:C35)-SUM($D$4:D35)</f>
        <v>1984</v>
      </c>
      <c r="F35" s="31">
        <f>SUM(经验!A35:X35)</f>
        <v>560</v>
      </c>
      <c r="G35" s="28">
        <f>SUM($F$4:F35)+SUM($H$4:H35)</f>
        <v>23925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14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1680</v>
      </c>
      <c r="E36" s="30">
        <f>SUM($B$4:B36)+SUM($C$4:C36)-SUM($D$4:D36)</f>
        <v>1904</v>
      </c>
      <c r="F36" s="31">
        <f>SUM(经验!A36:X36)</f>
        <v>610</v>
      </c>
      <c r="G36" s="28">
        <f>SUM($F$4:F36)+SUM($H$4:H36)</f>
        <v>24635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13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132</v>
      </c>
      <c r="AR36" s="90">
        <f>AQ36*AP9*0.8</f>
        <v>21120</v>
      </c>
      <c r="AS36" s="90">
        <f t="shared" si="13"/>
        <v>7920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1520</v>
      </c>
      <c r="E37" s="30">
        <f>SUM($B$4:B37)+SUM($C$4:C37)-SUM($D$4:D37)</f>
        <v>1984</v>
      </c>
      <c r="F37" s="31">
        <f>SUM(经验!A37:X37)</f>
        <v>610</v>
      </c>
      <c r="G37" s="28">
        <f>SUM($F$4:F37)+SUM($H$4:H37)</f>
        <v>25445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1560</v>
      </c>
      <c r="E38" s="30">
        <f>SUM($B$4:B38)+SUM($C$4:C38)-SUM($D$4:D38)</f>
        <v>2024</v>
      </c>
      <c r="F38" s="31">
        <f>SUM(经验!A38:X38)</f>
        <v>1550</v>
      </c>
      <c r="G38" s="28">
        <f>SUM($F$4:F38)+SUM($H$4:H38)</f>
        <v>26995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2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3624</v>
      </c>
      <c r="F39" s="31">
        <f>SUM(经验!A39:X39)</f>
        <v>0</v>
      </c>
      <c r="G39" s="28">
        <f>SUM($F$4:F39)+SUM($H$4:H39)</f>
        <v>26995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616</v>
      </c>
      <c r="E40" s="30">
        <f>SUM($B$4:B40)+SUM($C$4:C40)-SUM($D$4:D40)</f>
        <v>4608</v>
      </c>
      <c r="F40" s="31">
        <f>SUM(经验!A40:X40)</f>
        <v>220</v>
      </c>
      <c r="G40" s="28">
        <f>SUM($F$4:F40)+SUM($H$4:H40)</f>
        <v>27215</v>
      </c>
      <c r="H40" s="20">
        <v>0</v>
      </c>
      <c r="I40" s="68" t="s">
        <v>44</v>
      </c>
      <c r="J40" s="68" t="s">
        <v>44</v>
      </c>
      <c r="K40" s="81" t="s">
        <v>40</v>
      </c>
      <c r="L40" s="68" t="s">
        <v>44</v>
      </c>
      <c r="M40" s="68" t="s">
        <v>44</v>
      </c>
      <c r="N40" s="20" t="s">
        <v>41</v>
      </c>
      <c r="O40" s="81" t="s">
        <v>40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3</v>
      </c>
      <c r="AH40" s="57">
        <v>3</v>
      </c>
      <c r="AI40" s="57"/>
      <c r="AJ40" s="57"/>
      <c r="AK40" s="56" t="s">
        <v>61</v>
      </c>
      <c r="AL40" s="107">
        <f t="shared" si="14"/>
        <v>12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6208</v>
      </c>
      <c r="F41" s="31">
        <f>SUM(经验!A41:X41)</f>
        <v>0</v>
      </c>
      <c r="G41" s="28">
        <f>SUM($F$4:F41)+SUM($H$4:H41)</f>
        <v>27215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7808</v>
      </c>
      <c r="F42" s="31">
        <f>SUM(经验!A42:X42)</f>
        <v>0</v>
      </c>
      <c r="G42" s="28">
        <f>SUM($F$4:F42)+SUM($H$4:H42)</f>
        <v>27515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9408</v>
      </c>
      <c r="F43" s="31">
        <f>SUM(经验!A43:X43)</f>
        <v>0</v>
      </c>
      <c r="G43" s="28">
        <f>SUM($F$4:F43)+SUM($H$4:H43)</f>
        <v>27515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11008</v>
      </c>
      <c r="F44" s="31">
        <f>SUM(经验!A44:X44)</f>
        <v>0</v>
      </c>
      <c r="G44" s="28">
        <f>SUM($F$4:F44)+SUM($H$4:H44)</f>
        <v>27715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12608</v>
      </c>
      <c r="F45" s="31">
        <f>SUM(经验!A45:X45)</f>
        <v>0</v>
      </c>
      <c r="G45" s="28">
        <f>SUM($F$4:F45)+SUM($H$4:H45)</f>
        <v>27715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14208</v>
      </c>
      <c r="F46" s="31">
        <f>SUM(经验!A46:X46)</f>
        <v>0</v>
      </c>
      <c r="G46" s="28">
        <f>SUM($F$4:F46)+SUM($H$4:H46)</f>
        <v>27715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611</v>
      </c>
      <c r="AR46" s="91">
        <f>SUM(AR33:AR45)</f>
        <v>89208</v>
      </c>
      <c r="AS46" s="91">
        <f>SUM(AS33:AS45)</f>
        <v>32940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15808</v>
      </c>
      <c r="F47" s="31">
        <f>SUM(经验!A47:X47)</f>
        <v>0</v>
      </c>
      <c r="G47" s="28">
        <f>SUM($F$4:F47)+SUM($H$4:H47)</f>
        <v>27715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128</v>
      </c>
      <c r="AS47" s="95">
        <f>AS46+G93</f>
        <v>64155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17408</v>
      </c>
      <c r="F48" s="31">
        <f>SUM(经验!A48:X48)</f>
        <v>0</v>
      </c>
      <c r="G48" s="28">
        <f>SUM($F$4:F48)+SUM($H$4:H48)</f>
        <v>27715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3" t="s">
        <v>75</v>
      </c>
      <c r="AR48" s="113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19008</v>
      </c>
      <c r="F49" s="31">
        <f>SUM(经验!A49:X49)</f>
        <v>0</v>
      </c>
      <c r="G49" s="28">
        <f>SUM($F$4:F49)+SUM($H$4:H49)</f>
        <v>27915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20608</v>
      </c>
      <c r="F50" s="31">
        <f>SUM(经验!A50:X50)</f>
        <v>0</v>
      </c>
      <c r="G50" s="28">
        <f>SUM($F$4:F50)+SUM($H$4:H50)</f>
        <v>28015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22208</v>
      </c>
      <c r="F51" s="31">
        <f>SUM(经验!A51:X51)</f>
        <v>0</v>
      </c>
      <c r="G51" s="28">
        <f>SUM($F$4:F51)+SUM($H$4:H51)</f>
        <v>28215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23808</v>
      </c>
      <c r="F52" s="31">
        <f>SUM(经验!A52:X52)</f>
        <v>0</v>
      </c>
      <c r="G52" s="28">
        <f>SUM($F$4:F52)+SUM($H$4:H52)</f>
        <v>28215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25408</v>
      </c>
      <c r="F53" s="31">
        <f>SUM(经验!A53:X53)</f>
        <v>0</v>
      </c>
      <c r="G53" s="28">
        <f>SUM($F$4:F53)+SUM($H$4:H53)</f>
        <v>28215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27008</v>
      </c>
      <c r="F54" s="31">
        <f>SUM(经验!A54:X54)</f>
        <v>0</v>
      </c>
      <c r="G54" s="28">
        <f>SUM($F$4:F54)+SUM($H$4:H54)</f>
        <v>28215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28608</v>
      </c>
      <c r="F55" s="31">
        <f>SUM(经验!A55:X55)</f>
        <v>0</v>
      </c>
      <c r="G55" s="28">
        <f>SUM($F$4:F55)+SUM($H$4:H55)</f>
        <v>28215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30208</v>
      </c>
      <c r="F56" s="31">
        <f>SUM(经验!A56:X56)</f>
        <v>0</v>
      </c>
      <c r="G56" s="28">
        <f>SUM($F$4:F56)+SUM($H$4:H56)</f>
        <v>28515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31808</v>
      </c>
      <c r="F57" s="31">
        <f>SUM(经验!A57:X57)</f>
        <v>0</v>
      </c>
      <c r="G57" s="28">
        <f>SUM($F$4:F57)+SUM($H$4:H57)</f>
        <v>28515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33408</v>
      </c>
      <c r="F58" s="31">
        <f>SUM(经验!A58:X58)</f>
        <v>0</v>
      </c>
      <c r="G58" s="28">
        <f>SUM($F$4:F58)+SUM($H$4:H58)</f>
        <v>28715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35008</v>
      </c>
      <c r="F59" s="31">
        <f>SUM(经验!A59:X59)</f>
        <v>0</v>
      </c>
      <c r="G59" s="28">
        <f>SUM($F$4:F59)+SUM($H$4:H59)</f>
        <v>28715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36608</v>
      </c>
      <c r="F60" s="31">
        <f>SUM(经验!A60:X60)</f>
        <v>0</v>
      </c>
      <c r="G60" s="28">
        <f>SUM($F$4:F60)+SUM($H$4:H60)</f>
        <v>28715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38208</v>
      </c>
      <c r="F61" s="31">
        <f>SUM(经验!A61:X61)</f>
        <v>0</v>
      </c>
      <c r="G61" s="28">
        <f>SUM($F$4:F61)+SUM($H$4:H61)</f>
        <v>28715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39808</v>
      </c>
      <c r="F62" s="31">
        <f>SUM(经验!A62:X62)</f>
        <v>0</v>
      </c>
      <c r="G62" s="28">
        <f>SUM($F$4:F62)+SUM($H$4:H62)</f>
        <v>28715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41408</v>
      </c>
      <c r="F63" s="31">
        <f>SUM(经验!A63:X63)</f>
        <v>0</v>
      </c>
      <c r="G63" s="28">
        <f>SUM($F$4:F63)+SUM($H$4:H63)</f>
        <v>29015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43008</v>
      </c>
      <c r="F64" s="31">
        <f>SUM(经验!A64:X64)</f>
        <v>0</v>
      </c>
      <c r="G64" s="28">
        <f>SUM($F$4:F64)+SUM($H$4:H64)</f>
        <v>29015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44608</v>
      </c>
      <c r="F65" s="31">
        <f>SUM(经验!A65:X65)</f>
        <v>0</v>
      </c>
      <c r="G65" s="28">
        <f>SUM($F$4:F65)+SUM($H$4:H65)</f>
        <v>29215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46208</v>
      </c>
      <c r="F66" s="31">
        <f>SUM(经验!A66:X66)</f>
        <v>0</v>
      </c>
      <c r="G66" s="28">
        <f>SUM($F$4:F66)+SUM($H$4:H66)</f>
        <v>29215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47808</v>
      </c>
      <c r="F67" s="31">
        <f>SUM(经验!A67:X67)</f>
        <v>0</v>
      </c>
      <c r="G67" s="28">
        <f>SUM($F$4:F67)+SUM($H$4:H67)</f>
        <v>29215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49408</v>
      </c>
      <c r="F68" s="31">
        <f>SUM(经验!A68:X68)</f>
        <v>0</v>
      </c>
      <c r="G68" s="28">
        <f>SUM($F$4:F68)+SUM($H$4:H68)</f>
        <v>29215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51008</v>
      </c>
      <c r="F69" s="31">
        <f>SUM(经验!A69:X69)</f>
        <v>0</v>
      </c>
      <c r="G69" s="28">
        <f>SUM($F$4:F69)+SUM($H$4:H69)</f>
        <v>29215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52608</v>
      </c>
      <c r="F70" s="31">
        <f>SUM(经验!A70:X70)</f>
        <v>0</v>
      </c>
      <c r="G70" s="28">
        <f>SUM($F$4:F70)+SUM($H$4:H70)</f>
        <v>29515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54208</v>
      </c>
      <c r="F71" s="31">
        <f>SUM(经验!A71:X71)</f>
        <v>0</v>
      </c>
      <c r="G71" s="28">
        <f>SUM($F$4:F71)+SUM($H$4:H71)</f>
        <v>29515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55808</v>
      </c>
      <c r="F72" s="31">
        <f>SUM(经验!A72:X72)</f>
        <v>0</v>
      </c>
      <c r="G72" s="28">
        <f>SUM($F$4:F72)+SUM($H$4:H72)</f>
        <v>29715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57408</v>
      </c>
      <c r="F73" s="31">
        <f>SUM(经验!A73:X73)</f>
        <v>0</v>
      </c>
      <c r="G73" s="28">
        <f>SUM($F$4:F73)+SUM($H$4:H73)</f>
        <v>29715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59008</v>
      </c>
      <c r="F74" s="31">
        <f>SUM(经验!A74:X74)</f>
        <v>0</v>
      </c>
      <c r="G74" s="28">
        <f>SUM($F$4:F74)+SUM($H$4:H74)</f>
        <v>29715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60608</v>
      </c>
      <c r="F75" s="31">
        <f>SUM(经验!A75:X75)</f>
        <v>0</v>
      </c>
      <c r="G75" s="28">
        <f>SUM($F$4:F75)+SUM($H$4:H75)</f>
        <v>29715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62208</v>
      </c>
      <c r="F76" s="31">
        <f>SUM(经验!A76:X76)</f>
        <v>0</v>
      </c>
      <c r="G76" s="28">
        <f>SUM($F$4:F76)+SUM($H$4:H76)</f>
        <v>29715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63808</v>
      </c>
      <c r="F77" s="31">
        <f>SUM(经验!A77:X77)</f>
        <v>0</v>
      </c>
      <c r="G77" s="28">
        <f>SUM($F$4:F77)+SUM($H$4:H77)</f>
        <v>30015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65408</v>
      </c>
      <c r="F78" s="31">
        <f>SUM(经验!A78:X78)</f>
        <v>0</v>
      </c>
      <c r="G78" s="28">
        <f>SUM($F$4:F78)+SUM($H$4:H78)</f>
        <v>30015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67008</v>
      </c>
      <c r="F79" s="31">
        <f>SUM(经验!A79:X79)</f>
        <v>0</v>
      </c>
      <c r="G79" s="28">
        <f>SUM($F$4:F79)+SUM($H$4:H79)</f>
        <v>30215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68608</v>
      </c>
      <c r="F80" s="31">
        <f>SUM(经验!A80:X80)</f>
        <v>0</v>
      </c>
      <c r="G80" s="28">
        <f>SUM($F$4:F80)+SUM($H$4:H80)</f>
        <v>30215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70208</v>
      </c>
      <c r="F81" s="31">
        <f>SUM(经验!A81:X81)</f>
        <v>0</v>
      </c>
      <c r="G81" s="28">
        <f>SUM($F$4:F81)+SUM($H$4:H81)</f>
        <v>30215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71808</v>
      </c>
      <c r="F82" s="31">
        <f>SUM(经验!A82:X82)</f>
        <v>0</v>
      </c>
      <c r="G82" s="28">
        <f>SUM($F$4:F82)+SUM($H$4:H82)</f>
        <v>30215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73408</v>
      </c>
      <c r="F83" s="31">
        <f>SUM(经验!A83:X83)</f>
        <v>0</v>
      </c>
      <c r="G83" s="28">
        <f>SUM($F$4:F83)+SUM($H$4:H83)</f>
        <v>30215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75008</v>
      </c>
      <c r="F84" s="31">
        <f>SUM(经验!A84:X84)</f>
        <v>0</v>
      </c>
      <c r="G84" s="28">
        <f>SUM($F$4:F84)+SUM($H$4:H84)</f>
        <v>30415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76608</v>
      </c>
      <c r="F85" s="31">
        <f>SUM(经验!A85:X85)</f>
        <v>0</v>
      </c>
      <c r="G85" s="28">
        <f>SUM($F$4:F85)+SUM($H$4:H85)</f>
        <v>30415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78208</v>
      </c>
      <c r="F86" s="31">
        <f>SUM(经验!A86:X86)</f>
        <v>0</v>
      </c>
      <c r="G86" s="28">
        <f>SUM($F$4:F86)+SUM($H$4:H86)</f>
        <v>30715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79808</v>
      </c>
      <c r="F87" s="31">
        <f>SUM(经验!A87:X87)</f>
        <v>0</v>
      </c>
      <c r="G87" s="28">
        <f>SUM($F$4:F87)+SUM($H$4:H87)</f>
        <v>30715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81408</v>
      </c>
      <c r="F88" s="31">
        <f>SUM(经验!A88:X88)</f>
        <v>0</v>
      </c>
      <c r="G88" s="28">
        <f>SUM($F$4:F88)+SUM($H$4:H88)</f>
        <v>30715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83008</v>
      </c>
      <c r="F89" s="31">
        <f>SUM(经验!A89:X89)</f>
        <v>0</v>
      </c>
      <c r="G89" s="28">
        <f>SUM($F$4:F89)+SUM($H$4:H89)</f>
        <v>30715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84608</v>
      </c>
      <c r="F90" s="31">
        <f>SUM(经验!A90:X90)</f>
        <v>0</v>
      </c>
      <c r="G90" s="28">
        <f>SUM($F$4:F90)+SUM($H$4:H90)</f>
        <v>30715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86208</v>
      </c>
      <c r="F91" s="31">
        <f>SUM(经验!A91:X91)</f>
        <v>0</v>
      </c>
      <c r="G91" s="28">
        <f>SUM($F$4:F91)+SUM($H$4:H91)</f>
        <v>30915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87808</v>
      </c>
      <c r="F92" s="31">
        <f>SUM(经验!A92:X92)</f>
        <v>0</v>
      </c>
      <c r="G92" s="28">
        <f>SUM($F$4:F92)+SUM($H$4:H92)</f>
        <v>31015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89336</v>
      </c>
      <c r="F93" s="31">
        <f>SUM(经验!A93:X93)</f>
        <v>0</v>
      </c>
      <c r="G93" s="28">
        <f>SUM($F$4:F93)+SUM($H$4:H93)</f>
        <v>31215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IF(ISNUMBER(SEARCH("营",'19.12'!I4)),(-$Y4+50*IF('19.12'!$AK4="是",'19.12'!$BB$4,'19.12'!$BB$3)),(VLOOKUP('19.12'!I4,'19.12'!$AO$4:$AQ$55,2,FALSE))*IF('19.12'!$AK4="是",'19.12'!$BB$4,'19.12'!$BB$3))</f>
        <v>150</v>
      </c>
      <c r="B4" s="4">
        <f>IF(ISNUMBER(SEARCH("营",'19.12'!J4)),(-$Y4+50*IF('19.12'!$AK4="是",'19.12'!$BB$4,'19.12'!$BB$3)),(VLOOKUP('19.12'!J4,'19.12'!$AO$4:$AQ$55,2,FALSE))*IF('19.12'!$AK4="是",'19.12'!$BB$4,'19.12'!$BB$3))</f>
        <v>150</v>
      </c>
      <c r="C4" s="4">
        <f>IF(ISNUMBER(SEARCH("营",'19.12'!K4)),(-$Y4+50*IF('19.12'!$AK4="是",'19.12'!$BB$4,'19.12'!$BB$3)),(VLOOKUP('19.12'!K4,'19.12'!$AO$4:$AQ$55,2,FALSE))*IF('19.12'!$AK4="是",'19.12'!$BB$4,'19.12'!$BB$3))</f>
        <v>150</v>
      </c>
      <c r="D4" s="4">
        <f>IF(ISNUMBER(SEARCH("营",'19.12'!L4)),(-$Y4+50*IF('19.12'!$AK4="是",'19.12'!$BB$4,'19.12'!$BB$3)),(VLOOKUP('19.12'!L4,'19.12'!$AO$4:$AQ$55,2,FALSE))*IF('19.12'!$AK4="是",'19.12'!$BB$4,'19.12'!$BB$3))</f>
        <v>150</v>
      </c>
      <c r="E4" s="4">
        <f>IF(ISNUMBER(SEARCH("营",'19.12'!M4)),(-$Y4+50*IF('19.12'!$AK4="是",'19.12'!$BB$4,'19.12'!$BB$3)),(VLOOKUP('19.12'!M4,'19.12'!$AO$4:$AQ$55,2,FALSE))*IF('19.12'!$AK4="是",'19.12'!$BB$4,'19.12'!$BB$3))</f>
        <v>150</v>
      </c>
      <c r="F4" s="4">
        <f>IF(ISNUMBER(SEARCH("营",'19.12'!N4)),(-$Y4+50*IF('19.12'!$AK4="是",'19.12'!$BB$4,'19.12'!$BB$3)),(VLOOKUP('19.12'!N4,'19.12'!$AO$4:$AQ$55,2,FALSE))*IF('19.12'!$AK4="是",'19.12'!$BB$4,'19.12'!$BB$3))</f>
        <v>50</v>
      </c>
      <c r="G4" s="4">
        <f>IF(ISNUMBER(SEARCH("营",'19.12'!O4)),(-$Y4+50*IF('19.12'!$AK4="是",'19.12'!$BB$4,'19.12'!$BB$3)),(VLOOKUP('19.12'!O4,'19.12'!$AO$4:$AQ$55,2,FALSE))*IF('19.12'!$AK4="是",'19.12'!$BB$4,'19.12'!$BB$3))</f>
        <v>0</v>
      </c>
      <c r="H4" s="4">
        <f>IF(ISNUMBER(SEARCH("营",'19.12'!P4)),(-$Y4+50*IF('19.12'!$AK4="是",'19.12'!$BB$4,'19.12'!$BB$3)),(VLOOKUP('19.12'!P4,'19.12'!$AO$4:$AQ$55,2,FALSE))*IF('19.12'!$AK4="是",'19.12'!$BB$4,'19.12'!$BB$3))</f>
        <v>0</v>
      </c>
      <c r="I4" s="4">
        <f>IF(ISNUMBER(SEARCH("营",'19.12'!Q4)),(-$Y4+50*IF('19.12'!$AK4="是",'19.12'!$BB$4,'19.12'!$BB$3)),(VLOOKUP('19.12'!Q4,'19.12'!$AO$4:$AQ$55,2,FALSE))*IF('19.12'!$AK4="是",'19.12'!$BB$4,'19.12'!$BB$3))</f>
        <v>150</v>
      </c>
      <c r="J4" s="4">
        <f>IF(ISNUMBER(SEARCH("营",'19.12'!R4)),(-$Y4+50*IF('19.12'!$AK4="是",'19.12'!$BB$4,'19.12'!$BB$3)),(VLOOKUP('19.12'!R4,'19.12'!$AO$4:$AQ$55,2,FALSE))*IF('19.12'!$AK4="是",'19.12'!$BB$4,'19.12'!$BB$3))</f>
        <v>150</v>
      </c>
      <c r="K4" s="4">
        <f>IF(ISNUMBER(SEARCH("营",'19.12'!S4)),(-$Y4+50*IF('19.12'!$AK4="是",'19.12'!$BB$4,'19.12'!$BB$3)),(VLOOKUP('19.12'!S4,'19.12'!$AO$4:$AQ$55,2,FALSE))*IF('19.12'!$AK4="是",'19.12'!$BB$4,'19.12'!$BB$3))</f>
        <v>150</v>
      </c>
      <c r="L4" s="4">
        <f>IF(ISNUMBER(SEARCH("营",'19.12'!T4)),(-$Y4+50*IF('19.12'!$AK4="是",'19.12'!$BB$4,'19.12'!$BB$3)),(VLOOKUP('19.12'!T4,'19.12'!$AO$4:$AQ$55,2,FALSE))*IF('19.12'!$AK4="是",'19.12'!$BB$4,'19.12'!$BB$3))</f>
        <v>150</v>
      </c>
      <c r="M4" s="4">
        <f>IF(ISNUMBER(SEARCH("营",'19.12'!U4)),(-$Y4+50*IF('19.12'!$AK4="是",'19.12'!$BB$4,'19.12'!$BB$3)),(VLOOKUP('19.12'!U4,'19.12'!$AO$4:$AQ$55,2,FALSE))*IF('19.12'!$AK4="是",'19.12'!$BB$4,'19.12'!$BB$3))</f>
        <v>150</v>
      </c>
      <c r="N4" s="4">
        <f>IF(ISNUMBER(SEARCH("营",'19.12'!V4)),(-$Y4+50*IF('19.12'!$AK4="是",'19.12'!$BB$4,'19.12'!$BB$3)),(VLOOKUP('19.12'!V4,'19.12'!$AO$4:$AQ$55,2,FALSE))*IF('19.12'!$AK4="是",'19.12'!$BB$4,'19.12'!$BB$3))</f>
        <v>50</v>
      </c>
      <c r="O4" s="4">
        <f>IF(ISNUMBER(SEARCH("营",'19.12'!W4)),(-$Y4+50*IF('19.12'!$AK4="是",'19.12'!$BB$4,'19.12'!$BB$3)),(VLOOKUP('19.12'!W4,'19.12'!$AO$4:$AQ$55,2,FALSE))*IF('19.12'!$AK4="是",'19.12'!$BB$4,'19.12'!$BB$3))</f>
        <v>0</v>
      </c>
      <c r="P4" s="4">
        <f>IF(ISNUMBER(SEARCH("营",'19.12'!X4)),(-$Y4+50*IF('19.12'!$AK4="是",'19.12'!$BB$4,'19.12'!$BB$3)),(VLOOKUP('19.12'!X4,'19.12'!$AO$4:$AQ$55,2,FALSE))*IF('19.12'!$AK4="是",'19.12'!$BB$4,'19.12'!$BB$3))</f>
        <v>0</v>
      </c>
      <c r="Q4" s="4">
        <f>IF(ISNUMBER(SEARCH("营",'19.12'!Y4)),(-$Y4+50*IF('19.12'!$AK4="是",'19.12'!$BB$4,'19.12'!$BB$3)),(VLOOKUP('19.12'!Y4,'19.12'!$AO$4:$AQ$55,2,FALSE))*IF('19.12'!$AK4="是",'19.12'!$BB$4,'19.12'!$BB$3))</f>
        <v>0</v>
      </c>
      <c r="R4" s="4">
        <f>IF(ISNUMBER(SEARCH("营",'19.12'!Z4)),(-$Y4+50*IF('19.12'!$AK4="是",'19.12'!$BB$4,'19.12'!$BB$3)),(VLOOKUP('19.12'!Z4,'19.12'!$AO$4:$AQ$55,2,FALSE))*IF('19.12'!$AK4="是",'19.12'!$BB$4,'19.12'!$BB$3))</f>
        <v>0</v>
      </c>
      <c r="S4" s="4">
        <f>IF(ISNUMBER(SEARCH("营",'19.12'!AA4)),(-$Y4+50*IF('19.12'!$AK4="是",'19.12'!$BB$4,'19.12'!$BB$3)),(VLOOKUP('19.12'!AA4,'19.12'!$AO$4:$AQ$55,2,FALSE))*IF('19.12'!$AK4="是",'19.12'!$BB$4,'19.12'!$BB$3))</f>
        <v>0</v>
      </c>
      <c r="T4" s="4">
        <f>IF(ISNUMBER(SEARCH("营",'19.12'!AB4)),(-$Y4+50*IF('19.12'!$AK4="是",'19.12'!$BB$4,'19.12'!$BB$3)),(VLOOKUP('19.12'!AB4,'19.12'!$AO$4:$AQ$55,2,FALSE))*IF('19.12'!$AK4="是",'19.12'!$BB$4,'19.12'!$BB$3))</f>
        <v>0</v>
      </c>
      <c r="U4" s="4">
        <f>IF(ISNUMBER(SEARCH("营",'19.12'!AC4)),(-$Y4+50*IF('19.12'!$AK4="是",'19.12'!$BB$4,'19.12'!$BB$3)),(VLOOKUP('19.12'!AC4,'19.12'!$AO$4:$AQ$55,2,FALSE))*IF('19.12'!$AK4="是",'19.12'!$BB$4,'19.12'!$BB$3))</f>
        <v>0</v>
      </c>
      <c r="V4" s="4">
        <f>IF(ISNUMBER(SEARCH("营",'19.12'!AD4)),(-$Y4+50*IF('19.12'!$AK4="是",'19.12'!$BB$4,'19.12'!$BB$3)),(VLOOKUP('19.12'!AD4,'19.12'!$AO$4:$AQ$55,2,FALSE))*IF('19.12'!$AK4="是",'19.12'!$BB$4,'19.12'!$BB$3))</f>
        <v>0</v>
      </c>
      <c r="W4" s="4">
        <f>IF(ISNUMBER(SEARCH("营",'19.12'!AE4)),(-$Y4+50*IF('19.12'!$AK4="是",'19.12'!$BB$4,'19.12'!$BB$3)),(VLOOKUP('19.12'!AE4,'19.12'!$AO$4:$AQ$55,2,FALSE))*IF('19.12'!$AK4="是",'19.12'!$BB$4,'19.12'!$BB$3))</f>
        <v>0</v>
      </c>
      <c r="X4" s="4">
        <f>IF(ISNUMBER(SEARCH("营",'19.12'!AF4)),(-$Y4+50*IF('19.12'!$AK4="是",'19.12'!$BB$4,'19.12'!$BB$3)),(VLOOKUP('19.12'!AF4,'19.12'!$AO$4:$AQ$55,2,FALSE))*IF('19.12'!$AK4="是",'19.12'!$BB$4,'19.12'!$BB$3))</f>
        <v>150</v>
      </c>
      <c r="Y4" s="14">
        <v>300</v>
      </c>
      <c r="Z4" s="15">
        <v>45730</v>
      </c>
    </row>
    <row r="5" spans="1:26">
      <c r="A5" s="4">
        <f>IF(ISNUMBER(SEARCH("营",'19.12'!I5)),(-$Y5+50*IF('19.12'!$AK5="是",'19.12'!$BB$4,'19.12'!$BB$3)),(VLOOKUP('19.12'!I5,'19.12'!$AO$4:$AQ$55,2,FALSE))*IF('19.12'!$AK5="是",'19.12'!$BB$4,'19.12'!$BB$3))</f>
        <v>0</v>
      </c>
      <c r="B5" s="4">
        <f>IF(ISNUMBER(SEARCH("营",'19.12'!J5)),(-$Y5+50*IF('19.12'!$AK5="是",'19.12'!$BB$4,'19.12'!$BB$3)),(VLOOKUP('19.12'!J5,'19.12'!$AO$4:$AQ$55,2,FALSE))*IF('19.12'!$AK5="是",'19.12'!$BB$4,'19.12'!$BB$3))</f>
        <v>0</v>
      </c>
      <c r="C5" s="4">
        <f>IF(ISNUMBER(SEARCH("营",'19.12'!K5)),(-$Y5+50*IF('19.12'!$AK5="是",'19.12'!$BB$4,'19.12'!$BB$3)),(VLOOKUP('19.12'!K5,'19.12'!$AO$4:$AQ$55,2,FALSE))*IF('19.12'!$AK5="是",'19.12'!$BB$4,'19.12'!$BB$3))</f>
        <v>0</v>
      </c>
      <c r="D5" s="4">
        <f>IF(ISNUMBER(SEARCH("营",'19.12'!L5)),(-$Y5+50*IF('19.12'!$AK5="是",'19.12'!$BB$4,'19.12'!$BB$3)),(VLOOKUP('19.12'!L5,'19.12'!$AO$4:$AQ$55,2,FALSE))*IF('19.12'!$AK5="是",'19.12'!$BB$4,'19.12'!$BB$3))</f>
        <v>0</v>
      </c>
      <c r="E5" s="4">
        <f>IF(ISNUMBER(SEARCH("营",'19.12'!M5)),(-$Y5+50*IF('19.12'!$AK5="是",'19.12'!$BB$4,'19.12'!$BB$3)),(VLOOKUP('19.12'!M5,'19.12'!$AO$4:$AQ$55,2,FALSE))*IF('19.12'!$AK5="是",'19.12'!$BB$4,'19.12'!$BB$3))</f>
        <v>0</v>
      </c>
      <c r="F5" s="4">
        <f>IF(ISNUMBER(SEARCH("营",'19.12'!N5)),(-$Y5+50*IF('19.12'!$AK5="是",'19.12'!$BB$4,'19.12'!$BB$3)),(VLOOKUP('19.12'!N5,'19.12'!$AO$4:$AQ$55,2,FALSE))*IF('19.12'!$AK5="是",'19.12'!$BB$4,'19.12'!$BB$3))</f>
        <v>0</v>
      </c>
      <c r="G5" s="4">
        <f>IF(ISNUMBER(SEARCH("营",'19.12'!O5)),(-$Y5+50*IF('19.12'!$AK5="是",'19.12'!$BB$4,'19.12'!$BB$3)),(VLOOKUP('19.12'!O5,'19.12'!$AO$4:$AQ$55,2,FALSE))*IF('19.12'!$AK5="是",'19.12'!$BB$4,'19.12'!$BB$3))</f>
        <v>0</v>
      </c>
      <c r="H5" s="4">
        <f>IF(ISNUMBER(SEARCH("营",'19.12'!P5)),(-$Y5+50*IF('19.12'!$AK5="是",'19.12'!$BB$4,'19.12'!$BB$3)),(VLOOKUP('19.12'!P5,'19.12'!$AO$4:$AQ$55,2,FALSE))*IF('19.12'!$AK5="是",'19.12'!$BB$4,'19.12'!$BB$3))</f>
        <v>0</v>
      </c>
      <c r="I5" s="4">
        <f>IF(ISNUMBER(SEARCH("营",'19.12'!Q5)),(-$Y5+50*IF('19.12'!$AK5="是",'19.12'!$BB$4,'19.12'!$BB$3)),(VLOOKUP('19.12'!Q5,'19.12'!$AO$4:$AQ$55,2,FALSE))*IF('19.12'!$AK5="是",'19.12'!$BB$4,'19.12'!$BB$3))</f>
        <v>0</v>
      </c>
      <c r="J5" s="4">
        <f>IF(ISNUMBER(SEARCH("营",'19.12'!R5)),(-$Y5+50*IF('19.12'!$AK5="是",'19.12'!$BB$4,'19.12'!$BB$3)),(VLOOKUP('19.12'!R5,'19.12'!$AO$4:$AQ$55,2,FALSE))*IF('19.12'!$AK5="是",'19.12'!$BB$4,'19.12'!$BB$3))</f>
        <v>160</v>
      </c>
      <c r="K5" s="4">
        <f>IF(ISNUMBER(SEARCH("营",'19.12'!S5)),(-$Y5+50*IF('19.12'!$AK5="是",'19.12'!$BB$4,'19.12'!$BB$3)),(VLOOKUP('19.12'!S5,'19.12'!$AO$4:$AQ$55,2,FALSE))*IF('19.12'!$AK5="是",'19.12'!$BB$4,'19.12'!$BB$3))</f>
        <v>160</v>
      </c>
      <c r="L5" s="4">
        <f>IF(ISNUMBER(SEARCH("营",'19.12'!T5)),(-$Y5+50*IF('19.12'!$AK5="是",'19.12'!$BB$4,'19.12'!$BB$3)),(VLOOKUP('19.12'!T5,'19.12'!$AO$4:$AQ$55,2,FALSE))*IF('19.12'!$AK5="是",'19.12'!$BB$4,'19.12'!$BB$3))</f>
        <v>50</v>
      </c>
      <c r="M5" s="4">
        <f>IF(ISNUMBER(SEARCH("营",'19.12'!U5)),(-$Y5+50*IF('19.12'!$AK5="是",'19.12'!$BB$4,'19.12'!$BB$3)),(VLOOKUP('19.12'!U5,'19.12'!$AO$4:$AQ$55,2,FALSE))*IF('19.12'!$AK5="是",'19.12'!$BB$4,'19.12'!$BB$3))</f>
        <v>160</v>
      </c>
      <c r="N5" s="4">
        <f>IF(ISNUMBER(SEARCH("营",'19.12'!V5)),(-$Y5+50*IF('19.12'!$AK5="是",'19.12'!$BB$4,'19.12'!$BB$3)),(VLOOKUP('19.12'!V5,'19.12'!$AO$4:$AQ$55,2,FALSE))*IF('19.12'!$AK5="是",'19.12'!$BB$4,'19.12'!$BB$3))</f>
        <v>160</v>
      </c>
      <c r="O5" s="4">
        <f>IF(ISNUMBER(SEARCH("营",'19.12'!W5)),(-$Y5+50*IF('19.12'!$AK5="是",'19.12'!$BB$4,'19.12'!$BB$3)),(VLOOKUP('19.12'!W5,'19.12'!$AO$4:$AQ$55,2,FALSE))*IF('19.12'!$AK5="是",'19.12'!$BB$4,'19.12'!$BB$3))</f>
        <v>0</v>
      </c>
      <c r="P5" s="4">
        <f>IF(ISNUMBER(SEARCH("营",'19.12'!X5)),(-$Y5+50*IF('19.12'!$AK5="是",'19.12'!$BB$4,'19.12'!$BB$3)),(VLOOKUP('19.12'!X5,'19.12'!$AO$4:$AQ$55,2,FALSE))*IF('19.12'!$AK5="是",'19.12'!$BB$4,'19.12'!$BB$3))</f>
        <v>0</v>
      </c>
      <c r="Q5" s="4">
        <f>IF(ISNUMBER(SEARCH("营",'19.12'!Y5)),(-$Y5+50*IF('19.12'!$AK5="是",'19.12'!$BB$4,'19.12'!$BB$3)),(VLOOKUP('19.12'!Y5,'19.12'!$AO$4:$AQ$55,2,FALSE))*IF('19.12'!$AK5="是",'19.12'!$BB$4,'19.12'!$BB$3))</f>
        <v>150</v>
      </c>
      <c r="R5" s="4">
        <f>IF(ISNUMBER(SEARCH("营",'19.12'!Z5)),(-$Y5+50*IF('19.12'!$AK5="是",'19.12'!$BB$4,'19.12'!$BB$3)),(VLOOKUP('19.12'!Z5,'19.12'!$AO$4:$AQ$55,2,FALSE))*IF('19.12'!$AK5="是",'19.12'!$BB$4,'19.12'!$BB$3))</f>
        <v>150</v>
      </c>
      <c r="S5" s="4">
        <f>IF(ISNUMBER(SEARCH("营",'19.12'!AA5)),(-$Y5+50*IF('19.12'!$AK5="是",'19.12'!$BB$4,'19.12'!$BB$3)),(VLOOKUP('19.12'!AA5,'19.12'!$AO$4:$AQ$55,2,FALSE))*IF('19.12'!$AK5="是",'19.12'!$BB$4,'19.12'!$BB$3))</f>
        <v>150</v>
      </c>
      <c r="T5" s="4">
        <f>IF(ISNUMBER(SEARCH("营",'19.12'!AB5)),(-$Y5+50*IF('19.12'!$AK5="是",'19.12'!$BB$4,'19.12'!$BB$3)),(VLOOKUP('19.12'!AB5,'19.12'!$AO$4:$AQ$55,2,FALSE))*IF('19.12'!$AK5="是",'19.12'!$BB$4,'19.12'!$BB$3))</f>
        <v>150</v>
      </c>
      <c r="U5" s="4">
        <f>IF(ISNUMBER(SEARCH("营",'19.12'!AC5)),(-$Y5+50*IF('19.12'!$AK5="是",'19.12'!$BB$4,'19.12'!$BB$3)),(VLOOKUP('19.12'!AC5,'19.12'!$AO$4:$AQ$55,2,FALSE))*IF('19.12'!$AK5="是",'19.12'!$BB$4,'19.12'!$BB$3))</f>
        <v>150</v>
      </c>
      <c r="V5" s="4">
        <f>IF(ISNUMBER(SEARCH("营",'19.12'!AD5)),(-$Y5+50*IF('19.12'!$AK5="是",'19.12'!$BB$4,'19.12'!$BB$3)),(VLOOKUP('19.12'!AD5,'19.12'!$AO$4:$AQ$55,2,FALSE))*IF('19.12'!$AK5="是",'19.12'!$BB$4,'19.12'!$BB$3))</f>
        <v>150</v>
      </c>
      <c r="W5" s="4">
        <f>IF(ISNUMBER(SEARCH("营",'19.12'!AE5)),(-$Y5+50*IF('19.12'!$AK5="是",'19.12'!$BB$4,'19.12'!$BB$3)),(VLOOKUP('19.12'!AE5,'19.12'!$AO$4:$AQ$55,2,FALSE))*IF('19.12'!$AK5="是",'19.12'!$BB$4,'19.12'!$BB$3))</f>
        <v>150</v>
      </c>
      <c r="X5" s="4">
        <f>IF(ISNUMBER(SEARCH("营",'19.12'!AF5)),(-$Y5+50*IF('19.12'!$AK5="是",'19.12'!$BB$4,'19.12'!$BB$3)),(VLOOKUP('19.12'!AF5,'19.12'!$AO$4:$AQ$55,2,FALSE))*IF('19.12'!$AK5="是",'19.12'!$BB$4,'19.12'!$BB$3))</f>
        <v>150</v>
      </c>
      <c r="Y5" s="14">
        <v>300</v>
      </c>
      <c r="Z5" s="15">
        <v>45731</v>
      </c>
    </row>
    <row r="6" spans="1:26">
      <c r="A6" s="4">
        <f>IF(ISNUMBER(SEARCH("营",'19.12'!I6)),(-$Y6+50*IF('19.12'!$AK6="是",'19.12'!$BB$4,'19.12'!$BB$3)),(VLOOKUP('19.12'!I6,'19.12'!$AO$4:$AQ$55,2,FALSE))*IF('19.12'!$AK6="是",'19.12'!$BB$4,'19.12'!$BB$3))</f>
        <v>0</v>
      </c>
      <c r="B6" s="4">
        <f>IF(ISNUMBER(SEARCH("营",'19.12'!J6)),(-$Y6+50*IF('19.12'!$AK6="是",'19.12'!$BB$4,'19.12'!$BB$3)),(VLOOKUP('19.12'!J6,'19.12'!$AO$4:$AQ$55,2,FALSE))*IF('19.12'!$AK6="是",'19.12'!$BB$4,'19.12'!$BB$3))</f>
        <v>0</v>
      </c>
      <c r="C6" s="4">
        <f>IF(ISNUMBER(SEARCH("营",'19.12'!K6)),(-$Y6+50*IF('19.12'!$AK6="是",'19.12'!$BB$4,'19.12'!$BB$3)),(VLOOKUP('19.12'!K6,'19.12'!$AO$4:$AQ$55,2,FALSE))*IF('19.12'!$AK6="是",'19.12'!$BB$4,'19.12'!$BB$3))</f>
        <v>0</v>
      </c>
      <c r="D6" s="4">
        <f>IF(ISNUMBER(SEARCH("营",'19.12'!L6)),(-$Y6+50*IF('19.12'!$AK6="是",'19.12'!$BB$4,'19.12'!$BB$3)),(VLOOKUP('19.12'!L6,'19.12'!$AO$4:$AQ$55,2,FALSE))*IF('19.12'!$AK6="是",'19.12'!$BB$4,'19.12'!$BB$3))</f>
        <v>0</v>
      </c>
      <c r="E6" s="4">
        <f>IF(ISNUMBER(SEARCH("营",'19.12'!M6)),(-$Y6+50*IF('19.12'!$AK6="是",'19.12'!$BB$4,'19.12'!$BB$3)),(VLOOKUP('19.12'!M6,'19.12'!$AO$4:$AQ$55,2,FALSE))*IF('19.12'!$AK6="是",'19.12'!$BB$4,'19.12'!$BB$3))</f>
        <v>0</v>
      </c>
      <c r="F6" s="4">
        <f>IF(ISNUMBER(SEARCH("营",'19.12'!N6)),(-$Y6+50*IF('19.12'!$AK6="是",'19.12'!$BB$4,'19.12'!$BB$3)),(VLOOKUP('19.12'!N6,'19.12'!$AO$4:$AQ$55,2,FALSE))*IF('19.12'!$AK6="是",'19.12'!$BB$4,'19.12'!$BB$3))</f>
        <v>0</v>
      </c>
      <c r="G6" s="4">
        <f>IF(ISNUMBER(SEARCH("营",'19.12'!O6)),(-$Y6+50*IF('19.12'!$AK6="是",'19.12'!$BB$4,'19.12'!$BB$3)),(VLOOKUP('19.12'!O6,'19.12'!$AO$4:$AQ$55,2,FALSE))*IF('19.12'!$AK6="是",'19.12'!$BB$4,'19.12'!$BB$3))</f>
        <v>0</v>
      </c>
      <c r="H6" s="4">
        <f>IF(ISNUMBER(SEARCH("营",'19.12'!P6)),(-$Y6+50*IF('19.12'!$AK6="是",'19.12'!$BB$4,'19.12'!$BB$3)),(VLOOKUP('19.12'!P6,'19.12'!$AO$4:$AQ$55,2,FALSE))*IF('19.12'!$AK6="是",'19.12'!$BB$4,'19.12'!$BB$3))</f>
        <v>0</v>
      </c>
      <c r="I6" s="4">
        <f>IF(ISNUMBER(SEARCH("营",'19.12'!Q6)),(-$Y6+50*IF('19.12'!$AK6="是",'19.12'!$BB$4,'19.12'!$BB$3)),(VLOOKUP('19.12'!Q6,'19.12'!$AO$4:$AQ$55,2,FALSE))*IF('19.12'!$AK6="是",'19.12'!$BB$4,'19.12'!$BB$3))</f>
        <v>160</v>
      </c>
      <c r="J6" s="4">
        <f>IF(ISNUMBER(SEARCH("营",'19.12'!R6)),(-$Y6+50*IF('19.12'!$AK6="是",'19.12'!$BB$4,'19.12'!$BB$3)),(VLOOKUP('19.12'!R6,'19.12'!$AO$4:$AQ$55,2,FALSE))*IF('19.12'!$AK6="是",'19.12'!$BB$4,'19.12'!$BB$3))</f>
        <v>160</v>
      </c>
      <c r="K6" s="4">
        <f>IF(ISNUMBER(SEARCH("营",'19.12'!S6)),(-$Y6+50*IF('19.12'!$AK6="是",'19.12'!$BB$4,'19.12'!$BB$3)),(VLOOKUP('19.12'!S6,'19.12'!$AO$4:$AQ$55,2,FALSE))*IF('19.12'!$AK6="是",'19.12'!$BB$4,'19.12'!$BB$3))</f>
        <v>160</v>
      </c>
      <c r="L6" s="4">
        <f>IF(ISNUMBER(SEARCH("营",'19.12'!T6)),(-$Y6+50*IF('19.12'!$AK6="是",'19.12'!$BB$4,'19.12'!$BB$3)),(VLOOKUP('19.12'!T6,'19.12'!$AO$4:$AQ$55,2,FALSE))*IF('19.12'!$AK6="是",'19.12'!$BB$4,'19.12'!$BB$3))</f>
        <v>160</v>
      </c>
      <c r="M6" s="4">
        <f>IF(ISNUMBER(SEARCH("营",'19.12'!U6)),(-$Y6+50*IF('19.12'!$AK6="是",'19.12'!$BB$4,'19.12'!$BB$3)),(VLOOKUP('19.12'!U6,'19.12'!$AO$4:$AQ$55,2,FALSE))*IF('19.12'!$AK6="是",'19.12'!$BB$4,'19.12'!$BB$3))</f>
        <v>160</v>
      </c>
      <c r="N6" s="4">
        <f>IF(ISNUMBER(SEARCH("营",'19.12'!V6)),(-$Y6+50*IF('19.12'!$AK6="是",'19.12'!$BB$4,'19.12'!$BB$3)),(VLOOKUP('19.12'!V6,'19.12'!$AO$4:$AQ$55,2,FALSE))*IF('19.12'!$AK6="是",'19.12'!$BB$4,'19.12'!$BB$3))</f>
        <v>160</v>
      </c>
      <c r="O6" s="4">
        <f>IF(ISNUMBER(SEARCH("营",'19.12'!W6)),(-$Y6+50*IF('19.12'!$AK6="是",'19.12'!$BB$4,'19.12'!$BB$3)),(VLOOKUP('19.12'!W6,'19.12'!$AO$4:$AQ$55,2,FALSE))*IF('19.12'!$AK6="是",'19.12'!$BB$4,'19.12'!$BB$3))</f>
        <v>0</v>
      </c>
      <c r="P6" s="4">
        <f>IF(ISNUMBER(SEARCH("营",'19.12'!X6)),(-$Y6+50*IF('19.12'!$AK6="是",'19.12'!$BB$4,'19.12'!$BB$3)),(VLOOKUP('19.12'!X6,'19.12'!$AO$4:$AQ$55,2,FALSE))*IF('19.12'!$AK6="是",'19.12'!$BB$4,'19.12'!$BB$3))</f>
        <v>0</v>
      </c>
      <c r="Q6" s="4">
        <f>IF(ISNUMBER(SEARCH("营",'19.12'!Y6)),(-$Y6+50*IF('19.12'!$AK6="是",'19.12'!$BB$4,'19.12'!$BB$3)),(VLOOKUP('19.12'!Y6,'19.12'!$AO$4:$AQ$55,2,FALSE))*IF('19.12'!$AK6="是",'19.12'!$BB$4,'19.12'!$BB$3))</f>
        <v>160</v>
      </c>
      <c r="R6" s="4">
        <f>IF(ISNUMBER(SEARCH("营",'19.12'!Z6)),(-$Y6+50*IF('19.12'!$AK6="是",'19.12'!$BB$4,'19.12'!$BB$3)),(VLOOKUP('19.12'!Z6,'19.12'!$AO$4:$AQ$55,2,FALSE))*IF('19.12'!$AK6="是",'19.12'!$BB$4,'19.12'!$BB$3))</f>
        <v>160</v>
      </c>
      <c r="S6" s="4">
        <f>IF(ISNUMBER(SEARCH("营",'19.12'!AA6)),(-$Y6+50*IF('19.12'!$AK6="是",'19.12'!$BB$4,'19.12'!$BB$3)),(VLOOKUP('19.12'!AA6,'19.12'!$AO$4:$AQ$55,2,FALSE))*IF('19.12'!$AK6="是",'19.12'!$BB$4,'19.12'!$BB$3))</f>
        <v>160</v>
      </c>
      <c r="T6" s="4">
        <f>IF(ISNUMBER(SEARCH("营",'19.12'!AB6)),(-$Y6+50*IF('19.12'!$AK6="是",'19.12'!$BB$4,'19.12'!$BB$3)),(VLOOKUP('19.12'!AB6,'19.12'!$AO$4:$AQ$55,2,FALSE))*IF('19.12'!$AK6="是",'19.12'!$BB$4,'19.12'!$BB$3))</f>
        <v>160</v>
      </c>
      <c r="U6" s="4">
        <f>IF(ISNUMBER(SEARCH("营",'19.12'!AC6)),(-$Y6+50*IF('19.12'!$AK6="是",'19.12'!$BB$4,'19.12'!$BB$3)),(VLOOKUP('19.12'!AC6,'19.12'!$AO$4:$AQ$55,2,FALSE))*IF('19.12'!$AK6="是",'19.12'!$BB$4,'19.12'!$BB$3))</f>
        <v>160</v>
      </c>
      <c r="V6" s="4">
        <f>IF(ISNUMBER(SEARCH("营",'19.12'!AD6)),(-$Y6+50*IF('19.12'!$AK6="是",'19.12'!$BB$4,'19.12'!$BB$3)),(VLOOKUP('19.12'!AD6,'19.12'!$AO$4:$AQ$55,2,FALSE))*IF('19.12'!$AK6="是",'19.12'!$BB$4,'19.12'!$BB$3))</f>
        <v>150</v>
      </c>
      <c r="W6" s="4">
        <f>IF(ISNUMBER(SEARCH("营",'19.12'!AE6)),(-$Y6+50*IF('19.12'!$AK6="是",'19.12'!$BB$4,'19.12'!$BB$3)),(VLOOKUP('19.12'!AE6,'19.12'!$AO$4:$AQ$55,2,FALSE))*IF('19.12'!$AK6="是",'19.12'!$BB$4,'19.12'!$BB$3))</f>
        <v>160</v>
      </c>
      <c r="X6" s="4">
        <f>IF(ISNUMBER(SEARCH("营",'19.12'!AF6)),(-$Y6+50*IF('19.12'!$AK6="是",'19.12'!$BB$4,'19.12'!$BB$3)),(VLOOKUP('19.12'!AF6,'19.12'!$AO$4:$AQ$55,2,FALSE))*IF('19.12'!$AK6="是",'19.12'!$BB$4,'19.12'!$BB$3))</f>
        <v>160</v>
      </c>
      <c r="Y6" s="14">
        <v>300</v>
      </c>
      <c r="Z6" s="15">
        <v>45732</v>
      </c>
    </row>
    <row r="7" spans="1:26">
      <c r="A7" s="4">
        <f>IF(ISNUMBER(SEARCH("营",'19.12'!I7)),(-$Y7+50*IF('19.12'!$AK7="是",'19.12'!$BB$4,'19.12'!$BB$3)),(VLOOKUP('19.12'!I7,'19.12'!$AO$4:$AQ$55,2,FALSE))*IF('19.12'!$AK7="是",'19.12'!$BB$4,'19.12'!$BB$3))</f>
        <v>0</v>
      </c>
      <c r="B7" s="4">
        <f>IF(ISNUMBER(SEARCH("营",'19.12'!J7)),(-$Y7+50*IF('19.12'!$AK7="是",'19.12'!$BB$4,'19.12'!$BB$3)),(VLOOKUP('19.12'!J7,'19.12'!$AO$4:$AQ$55,2,FALSE))*IF('19.12'!$AK7="是",'19.12'!$BB$4,'19.12'!$BB$3))</f>
        <v>0</v>
      </c>
      <c r="C7" s="4">
        <f>IF(ISNUMBER(SEARCH("营",'19.12'!K7)),(-$Y7+50*IF('19.12'!$AK7="是",'19.12'!$BB$4,'19.12'!$BB$3)),(VLOOKUP('19.12'!K7,'19.12'!$AO$4:$AQ$55,2,FALSE))*IF('19.12'!$AK7="是",'19.12'!$BB$4,'19.12'!$BB$3))</f>
        <v>0</v>
      </c>
      <c r="D7" s="4">
        <f>IF(ISNUMBER(SEARCH("营",'19.12'!L7)),(-$Y7+50*IF('19.12'!$AK7="是",'19.12'!$BB$4,'19.12'!$BB$3)),(VLOOKUP('19.12'!L7,'19.12'!$AO$4:$AQ$55,2,FALSE))*IF('19.12'!$AK7="是",'19.12'!$BB$4,'19.12'!$BB$3))</f>
        <v>0</v>
      </c>
      <c r="E7" s="4">
        <f>IF(ISNUMBER(SEARCH("营",'19.12'!M7)),(-$Y7+50*IF('19.12'!$AK7="是",'19.12'!$BB$4,'19.12'!$BB$3)),(VLOOKUP('19.12'!M7,'19.12'!$AO$4:$AQ$55,2,FALSE))*IF('19.12'!$AK7="是",'19.12'!$BB$4,'19.12'!$BB$3))</f>
        <v>0</v>
      </c>
      <c r="F7" s="4">
        <f>IF(ISNUMBER(SEARCH("营",'19.12'!N7)),(-$Y7+50*IF('19.12'!$AK7="是",'19.12'!$BB$4,'19.12'!$BB$3)),(VLOOKUP('19.12'!N7,'19.12'!$AO$4:$AQ$55,2,FALSE))*IF('19.12'!$AK7="是",'19.12'!$BB$4,'19.12'!$BB$3))</f>
        <v>0</v>
      </c>
      <c r="G7" s="4">
        <f>IF(ISNUMBER(SEARCH("营",'19.12'!O7)),(-$Y7+50*IF('19.12'!$AK7="是",'19.12'!$BB$4,'19.12'!$BB$3)),(VLOOKUP('19.12'!O7,'19.12'!$AO$4:$AQ$55,2,FALSE))*IF('19.12'!$AK7="是",'19.12'!$BB$4,'19.12'!$BB$3))</f>
        <v>0</v>
      </c>
      <c r="H7" s="4">
        <f>IF(ISNUMBER(SEARCH("营",'19.12'!P7)),(-$Y7+50*IF('19.12'!$AK7="是",'19.12'!$BB$4,'19.12'!$BB$3)),(VLOOKUP('19.12'!P7,'19.12'!$AO$4:$AQ$55,2,FALSE))*IF('19.12'!$AK7="是",'19.12'!$BB$4,'19.12'!$BB$3))</f>
        <v>0</v>
      </c>
      <c r="I7" s="4">
        <f>IF(ISNUMBER(SEARCH("营",'19.12'!Q7)),(-$Y7+50*IF('19.12'!$AK7="是",'19.12'!$BB$4,'19.12'!$BB$3)),(VLOOKUP('19.12'!Q7,'19.12'!$AO$4:$AQ$55,2,FALSE))*IF('19.12'!$AK7="是",'19.12'!$BB$4,'19.12'!$BB$3))</f>
        <v>160</v>
      </c>
      <c r="J7" s="4">
        <f>IF(ISNUMBER(SEARCH("营",'19.12'!R7)),(-$Y7+50*IF('19.12'!$AK7="是",'19.12'!$BB$4,'19.12'!$BB$3)),(VLOOKUP('19.12'!R7,'19.12'!$AO$4:$AQ$55,2,FALSE))*IF('19.12'!$AK7="是",'19.12'!$BB$4,'19.12'!$BB$3))</f>
        <v>50</v>
      </c>
      <c r="K7" s="4">
        <f>IF(ISNUMBER(SEARCH("营",'19.12'!S7)),(-$Y7+50*IF('19.12'!$AK7="是",'19.12'!$BB$4,'19.12'!$BB$3)),(VLOOKUP('19.12'!S7,'19.12'!$AO$4:$AQ$55,2,FALSE))*IF('19.12'!$AK7="是",'19.12'!$BB$4,'19.12'!$BB$3))</f>
        <v>160</v>
      </c>
      <c r="L7" s="4">
        <f>IF(ISNUMBER(SEARCH("营",'19.12'!T7)),(-$Y7+50*IF('19.12'!$AK7="是",'19.12'!$BB$4,'19.12'!$BB$3)),(VLOOKUP('19.12'!T7,'19.12'!$AO$4:$AQ$55,2,FALSE))*IF('19.12'!$AK7="是",'19.12'!$BB$4,'19.12'!$BB$3))</f>
        <v>160</v>
      </c>
      <c r="M7" s="4">
        <f>IF(ISNUMBER(SEARCH("营",'19.12'!U7)),(-$Y7+50*IF('19.12'!$AK7="是",'19.12'!$BB$4,'19.12'!$BB$3)),(VLOOKUP('19.12'!U7,'19.12'!$AO$4:$AQ$55,2,FALSE))*IF('19.12'!$AK7="是",'19.12'!$BB$4,'19.12'!$BB$3))</f>
        <v>-250</v>
      </c>
      <c r="N7" s="4">
        <f>IF(ISNUMBER(SEARCH("营",'19.12'!V7)),(-$Y7+50*IF('19.12'!$AK7="是",'19.12'!$BB$4,'19.12'!$BB$3)),(VLOOKUP('19.12'!V7,'19.12'!$AO$4:$AQ$55,2,FALSE))*IF('19.12'!$AK7="是",'19.12'!$BB$4,'19.12'!$BB$3))</f>
        <v>160</v>
      </c>
      <c r="O7" s="4">
        <f>IF(ISNUMBER(SEARCH("营",'19.12'!W7)),(-$Y7+50*IF('19.12'!$AK7="是",'19.12'!$BB$4,'19.12'!$BB$3)),(VLOOKUP('19.12'!W7,'19.12'!$AO$4:$AQ$55,2,FALSE))*IF('19.12'!$AK7="是",'19.12'!$BB$4,'19.12'!$BB$3))</f>
        <v>0</v>
      </c>
      <c r="P7" s="4">
        <f>IF(ISNUMBER(SEARCH("营",'19.12'!X7)),(-$Y7+50*IF('19.12'!$AK7="是",'19.12'!$BB$4,'19.12'!$BB$3)),(VLOOKUP('19.12'!X7,'19.12'!$AO$4:$AQ$55,2,FALSE))*IF('19.12'!$AK7="是",'19.12'!$BB$4,'19.12'!$BB$3))</f>
        <v>0</v>
      </c>
      <c r="Q7" s="4">
        <f>IF(ISNUMBER(SEARCH("营",'19.12'!Y7)),(-$Y7+50*IF('19.12'!$AK7="是",'19.12'!$BB$4,'19.12'!$BB$3)),(VLOOKUP('19.12'!Y7,'19.12'!$AO$4:$AQ$55,2,FALSE))*IF('19.12'!$AK7="是",'19.12'!$BB$4,'19.12'!$BB$3))</f>
        <v>160</v>
      </c>
      <c r="R7" s="4">
        <f>IF(ISNUMBER(SEARCH("营",'19.12'!Z7)),(-$Y7+50*IF('19.12'!$AK7="是",'19.12'!$BB$4,'19.12'!$BB$3)),(VLOOKUP('19.12'!Z7,'19.12'!$AO$4:$AQ$55,2,FALSE))*IF('19.12'!$AK7="是",'19.12'!$BB$4,'19.12'!$BB$3))</f>
        <v>160</v>
      </c>
      <c r="S7" s="4">
        <f>IF(ISNUMBER(SEARCH("营",'19.12'!AA7)),(-$Y7+50*IF('19.12'!$AK7="是",'19.12'!$BB$4,'19.12'!$BB$3)),(VLOOKUP('19.12'!AA7,'19.12'!$AO$4:$AQ$55,2,FALSE))*IF('19.12'!$AK7="是",'19.12'!$BB$4,'19.12'!$BB$3))</f>
        <v>160</v>
      </c>
      <c r="T7" s="4">
        <f>IF(ISNUMBER(SEARCH("营",'19.12'!AB7)),(-$Y7+50*IF('19.12'!$AK7="是",'19.12'!$BB$4,'19.12'!$BB$3)),(VLOOKUP('19.12'!AB7,'19.12'!$AO$4:$AQ$55,2,FALSE))*IF('19.12'!$AK7="是",'19.12'!$BB$4,'19.12'!$BB$3))</f>
        <v>50</v>
      </c>
      <c r="U7" s="4">
        <f>IF(ISNUMBER(SEARCH("营",'19.12'!AC7)),(-$Y7+50*IF('19.12'!$AK7="是",'19.12'!$BB$4,'19.12'!$BB$3)),(VLOOKUP('19.12'!AC7,'19.12'!$AO$4:$AQ$55,2,FALSE))*IF('19.12'!$AK7="是",'19.12'!$BB$4,'19.12'!$BB$3))</f>
        <v>160</v>
      </c>
      <c r="V7" s="4">
        <f>IF(ISNUMBER(SEARCH("营",'19.12'!AD7)),(-$Y7+50*IF('19.12'!$AK7="是",'19.12'!$BB$4,'19.12'!$BB$3)),(VLOOKUP('19.12'!AD7,'19.12'!$AO$4:$AQ$55,2,FALSE))*IF('19.12'!$AK7="是",'19.12'!$BB$4,'19.12'!$BB$3))</f>
        <v>150</v>
      </c>
      <c r="W7" s="4">
        <f>IF(ISNUMBER(SEARCH("营",'19.12'!AE7)),(-$Y7+50*IF('19.12'!$AK7="是",'19.12'!$BB$4,'19.12'!$BB$3)),(VLOOKUP('19.12'!AE7,'19.12'!$AO$4:$AQ$55,2,FALSE))*IF('19.12'!$AK7="是",'19.12'!$BB$4,'19.12'!$BB$3))</f>
        <v>170</v>
      </c>
      <c r="X7" s="4">
        <f>IF(ISNUMBER(SEARCH("营",'19.12'!AF7)),(-$Y7+50*IF('19.12'!$AK7="是",'19.12'!$BB$4,'19.12'!$BB$3)),(VLOOKUP('19.12'!AF7,'19.12'!$AO$4:$AQ$55,2,FALSE))*IF('19.12'!$AK7="是",'19.12'!$BB$4,'19.12'!$BB$3))</f>
        <v>0</v>
      </c>
      <c r="Y7" s="14">
        <v>300</v>
      </c>
      <c r="Z7" s="15">
        <v>45733</v>
      </c>
    </row>
    <row r="8" spans="1:26">
      <c r="A8" s="4">
        <f>IF(ISNUMBER(SEARCH("营",'19.12'!I8)),(-$Y8+50*IF('19.12'!$AK8="是",'19.12'!$BB$4,'19.12'!$BB$3)),(VLOOKUP('19.12'!I8,'19.12'!$AO$4:$AQ$55,2,FALSE))*IF('19.12'!$AK8="是",'19.12'!$BB$4,'19.12'!$BB$3))</f>
        <v>0</v>
      </c>
      <c r="B8" s="4">
        <f>IF(ISNUMBER(SEARCH("营",'19.12'!J8)),(-$Y8+50*IF('19.12'!$AK8="是",'19.12'!$BB$4,'19.12'!$BB$3)),(VLOOKUP('19.12'!J8,'19.12'!$AO$4:$AQ$55,2,FALSE))*IF('19.12'!$AK8="是",'19.12'!$BB$4,'19.12'!$BB$3))</f>
        <v>0</v>
      </c>
      <c r="C8" s="4">
        <f>IF(ISNUMBER(SEARCH("营",'19.12'!K8)),(-$Y8+50*IF('19.12'!$AK8="是",'19.12'!$BB$4,'19.12'!$BB$3)),(VLOOKUP('19.12'!K8,'19.12'!$AO$4:$AQ$55,2,FALSE))*IF('19.12'!$AK8="是",'19.12'!$BB$4,'19.12'!$BB$3))</f>
        <v>0</v>
      </c>
      <c r="D8" s="4">
        <f>IF(ISNUMBER(SEARCH("营",'19.12'!L8)),(-$Y8+50*IF('19.12'!$AK8="是",'19.12'!$BB$4,'19.12'!$BB$3)),(VLOOKUP('19.12'!L8,'19.12'!$AO$4:$AQ$55,2,FALSE))*IF('19.12'!$AK8="是",'19.12'!$BB$4,'19.12'!$BB$3))</f>
        <v>0</v>
      </c>
      <c r="E8" s="4">
        <f>IF(ISNUMBER(SEARCH("营",'19.12'!M8)),(-$Y8+50*IF('19.12'!$AK8="是",'19.12'!$BB$4,'19.12'!$BB$3)),(VLOOKUP('19.12'!M8,'19.12'!$AO$4:$AQ$55,2,FALSE))*IF('19.12'!$AK8="是",'19.12'!$BB$4,'19.12'!$BB$3))</f>
        <v>0</v>
      </c>
      <c r="F8" s="4">
        <f>IF(ISNUMBER(SEARCH("营",'19.12'!N8)),(-$Y8+50*IF('19.12'!$AK8="是",'19.12'!$BB$4,'19.12'!$BB$3)),(VLOOKUP('19.12'!N8,'19.12'!$AO$4:$AQ$55,2,FALSE))*IF('19.12'!$AK8="是",'19.12'!$BB$4,'19.12'!$BB$3))</f>
        <v>0</v>
      </c>
      <c r="G8" s="4">
        <f>IF(ISNUMBER(SEARCH("营",'19.12'!O8)),(-$Y8+50*IF('19.12'!$AK8="是",'19.12'!$BB$4,'19.12'!$BB$3)),(VLOOKUP('19.12'!O8,'19.12'!$AO$4:$AQ$55,2,FALSE))*IF('19.12'!$AK8="是",'19.12'!$BB$4,'19.12'!$BB$3))</f>
        <v>0</v>
      </c>
      <c r="H8" s="4">
        <f>IF(ISNUMBER(SEARCH("营",'19.12'!P8)),(-$Y8+50*IF('19.12'!$AK8="是",'19.12'!$BB$4,'19.12'!$BB$3)),(VLOOKUP('19.12'!P8,'19.12'!$AO$4:$AQ$55,2,FALSE))*IF('19.12'!$AK8="是",'19.12'!$BB$4,'19.12'!$BB$3))</f>
        <v>0</v>
      </c>
      <c r="I8" s="4">
        <f>IF(ISNUMBER(SEARCH("营",'19.12'!Q8)),(-$Y8+50*IF('19.12'!$AK8="是",'19.12'!$BB$4,'19.12'!$BB$3)),(VLOOKUP('19.12'!Q8,'19.12'!$AO$4:$AQ$55,2,FALSE))*IF('19.12'!$AK8="是",'19.12'!$BB$4,'19.12'!$BB$3))</f>
        <v>180</v>
      </c>
      <c r="J8" s="4">
        <f>IF(ISNUMBER(SEARCH("营",'19.12'!R8)),(-$Y8+50*IF('19.12'!$AK8="是",'19.12'!$BB$4,'19.12'!$BB$3)),(VLOOKUP('19.12'!R8,'19.12'!$AO$4:$AQ$55,2,FALSE))*IF('19.12'!$AK8="是",'19.12'!$BB$4,'19.12'!$BB$3))</f>
        <v>180</v>
      </c>
      <c r="K8" s="4">
        <f>IF(ISNUMBER(SEARCH("营",'19.12'!S8)),(-$Y8+50*IF('19.12'!$AK8="是",'19.12'!$BB$4,'19.12'!$BB$3)),(VLOOKUP('19.12'!S8,'19.12'!$AO$4:$AQ$55,2,FALSE))*IF('19.12'!$AK8="是",'19.12'!$BB$4,'19.12'!$BB$3))</f>
        <v>180</v>
      </c>
      <c r="L8" s="4">
        <f>IF(ISNUMBER(SEARCH("营",'19.12'!T8)),(-$Y8+50*IF('19.12'!$AK8="是",'19.12'!$BB$4,'19.12'!$BB$3)),(VLOOKUP('19.12'!T8,'19.12'!$AO$4:$AQ$55,2,FALSE))*IF('19.12'!$AK8="是",'19.12'!$BB$4,'19.12'!$BB$3))</f>
        <v>-250</v>
      </c>
      <c r="M8" s="4">
        <f>IF(ISNUMBER(SEARCH("营",'19.12'!U8)),(-$Y8+50*IF('19.12'!$AK8="是",'19.12'!$BB$4,'19.12'!$BB$3)),(VLOOKUP('19.12'!U8,'19.12'!$AO$4:$AQ$55,2,FALSE))*IF('19.12'!$AK8="是",'19.12'!$BB$4,'19.12'!$BB$3))</f>
        <v>180</v>
      </c>
      <c r="N8" s="4">
        <f>IF(ISNUMBER(SEARCH("营",'19.12'!V8)),(-$Y8+50*IF('19.12'!$AK8="是",'19.12'!$BB$4,'19.12'!$BB$3)),(VLOOKUP('19.12'!V8,'19.12'!$AO$4:$AQ$55,2,FALSE))*IF('19.12'!$AK8="是",'19.12'!$BB$4,'19.12'!$BB$3))</f>
        <v>0</v>
      </c>
      <c r="O8" s="4">
        <f>IF(ISNUMBER(SEARCH("营",'19.12'!W8)),(-$Y8+50*IF('19.12'!$AK8="是",'19.12'!$BB$4,'19.12'!$BB$3)),(VLOOKUP('19.12'!W8,'19.12'!$AO$4:$AQ$55,2,FALSE))*IF('19.12'!$AK8="是",'19.12'!$BB$4,'19.12'!$BB$3))</f>
        <v>0</v>
      </c>
      <c r="P8" s="4">
        <f>IF(ISNUMBER(SEARCH("营",'19.12'!X8)),(-$Y8+50*IF('19.12'!$AK8="是",'19.12'!$BB$4,'19.12'!$BB$3)),(VLOOKUP('19.12'!X8,'19.12'!$AO$4:$AQ$55,2,FALSE))*IF('19.12'!$AK8="是",'19.12'!$BB$4,'19.12'!$BB$3))</f>
        <v>0</v>
      </c>
      <c r="Q8" s="4">
        <f>IF(ISNUMBER(SEARCH("营",'19.12'!Y8)),(-$Y8+50*IF('19.12'!$AK8="是",'19.12'!$BB$4,'19.12'!$BB$3)),(VLOOKUP('19.12'!Y8,'19.12'!$AO$4:$AQ$55,2,FALSE))*IF('19.12'!$AK8="是",'19.12'!$BB$4,'19.12'!$BB$3))</f>
        <v>170</v>
      </c>
      <c r="R8" s="4">
        <f>IF(ISNUMBER(SEARCH("营",'19.12'!Z8)),(-$Y8+50*IF('19.12'!$AK8="是",'19.12'!$BB$4,'19.12'!$BB$3)),(VLOOKUP('19.12'!Z8,'19.12'!$AO$4:$AQ$55,2,FALSE))*IF('19.12'!$AK8="是",'19.12'!$BB$4,'19.12'!$BB$3))</f>
        <v>170</v>
      </c>
      <c r="S8" s="4">
        <f>IF(ISNUMBER(SEARCH("营",'19.12'!AA8)),(-$Y8+50*IF('19.12'!$AK8="是",'19.12'!$BB$4,'19.12'!$BB$3)),(VLOOKUP('19.12'!AA8,'19.12'!$AO$4:$AQ$55,2,FALSE))*IF('19.12'!$AK8="是",'19.12'!$BB$4,'19.12'!$BB$3))</f>
        <v>170</v>
      </c>
      <c r="T8" s="4">
        <f>IF(ISNUMBER(SEARCH("营",'19.12'!AB8)),(-$Y8+50*IF('19.12'!$AK8="是",'19.12'!$BB$4,'19.12'!$BB$3)),(VLOOKUP('19.12'!AB8,'19.12'!$AO$4:$AQ$55,2,FALSE))*IF('19.12'!$AK8="是",'19.12'!$BB$4,'19.12'!$BB$3))</f>
        <v>170</v>
      </c>
      <c r="U8" s="4">
        <f>IF(ISNUMBER(SEARCH("营",'19.12'!AC8)),(-$Y8+50*IF('19.12'!$AK8="是",'19.12'!$BB$4,'19.12'!$BB$3)),(VLOOKUP('19.12'!AC8,'19.12'!$AO$4:$AQ$55,2,FALSE))*IF('19.12'!$AK8="是",'19.12'!$BB$4,'19.12'!$BB$3))</f>
        <v>170</v>
      </c>
      <c r="V8" s="4">
        <f>IF(ISNUMBER(SEARCH("营",'19.12'!AD8)),(-$Y8+50*IF('19.12'!$AK8="是",'19.12'!$BB$4,'19.12'!$BB$3)),(VLOOKUP('19.12'!AD8,'19.12'!$AO$4:$AQ$55,2,FALSE))*IF('19.12'!$AK8="是",'19.12'!$BB$4,'19.12'!$BB$3))</f>
        <v>150</v>
      </c>
      <c r="W8" s="4">
        <f>IF(ISNUMBER(SEARCH("营",'19.12'!AE8)),(-$Y8+50*IF('19.12'!$AK8="是",'19.12'!$BB$4,'19.12'!$BB$3)),(VLOOKUP('19.12'!AE8,'19.12'!$AO$4:$AQ$55,2,FALSE))*IF('19.12'!$AK8="是",'19.12'!$BB$4,'19.12'!$BB$3))</f>
        <v>0</v>
      </c>
      <c r="X8" s="4">
        <f>IF(ISNUMBER(SEARCH("营",'19.12'!AF8)),(-$Y8+50*IF('19.12'!$AK8="是",'19.12'!$BB$4,'19.12'!$BB$3)),(VLOOKUP('19.12'!AF8,'19.12'!$AO$4:$AQ$55,2,FALSE))*IF('19.12'!$AK8="是",'19.12'!$BB$4,'19.12'!$BB$3))</f>
        <v>0</v>
      </c>
      <c r="Y8" s="14">
        <v>300</v>
      </c>
      <c r="Z8" s="15">
        <v>45734</v>
      </c>
    </row>
    <row r="9" spans="1:26">
      <c r="A9" s="4">
        <f>IF(ISNUMBER(SEARCH("营",'19.12'!I9)),(-$Y9+50*IF('19.12'!$AK9="是",'19.12'!$BB$4,'19.12'!$BB$3)),(VLOOKUP('19.12'!I9,'19.12'!$AO$4:$AQ$55,2,FALSE))*IF('19.12'!$AK9="是",'19.12'!$BB$4,'19.12'!$BB$3))</f>
        <v>0</v>
      </c>
      <c r="B9" s="4">
        <f>IF(ISNUMBER(SEARCH("营",'19.12'!J9)),(-$Y9+50*IF('19.12'!$AK9="是",'19.12'!$BB$4,'19.12'!$BB$3)),(VLOOKUP('19.12'!J9,'19.12'!$AO$4:$AQ$55,2,FALSE))*IF('19.12'!$AK9="是",'19.12'!$BB$4,'19.12'!$BB$3))</f>
        <v>0</v>
      </c>
      <c r="C9" s="4">
        <f>IF(ISNUMBER(SEARCH("营",'19.12'!K9)),(-$Y9+50*IF('19.12'!$AK9="是",'19.12'!$BB$4,'19.12'!$BB$3)),(VLOOKUP('19.12'!K9,'19.12'!$AO$4:$AQ$55,2,FALSE))*IF('19.12'!$AK9="是",'19.12'!$BB$4,'19.12'!$BB$3))</f>
        <v>0</v>
      </c>
      <c r="D9" s="4">
        <f>IF(ISNUMBER(SEARCH("营",'19.12'!L9)),(-$Y9+50*IF('19.12'!$AK9="是",'19.12'!$BB$4,'19.12'!$BB$3)),(VLOOKUP('19.12'!L9,'19.12'!$AO$4:$AQ$55,2,FALSE))*IF('19.12'!$AK9="是",'19.12'!$BB$4,'19.12'!$BB$3))</f>
        <v>0</v>
      </c>
      <c r="E9" s="4">
        <f>IF(ISNUMBER(SEARCH("营",'19.12'!M9)),(-$Y9+50*IF('19.12'!$AK9="是",'19.12'!$BB$4,'19.12'!$BB$3)),(VLOOKUP('19.12'!M9,'19.12'!$AO$4:$AQ$55,2,FALSE))*IF('19.12'!$AK9="是",'19.12'!$BB$4,'19.12'!$BB$3))</f>
        <v>0</v>
      </c>
      <c r="F9" s="4">
        <f>IF(ISNUMBER(SEARCH("营",'19.12'!N9)),(-$Y9+50*IF('19.12'!$AK9="是",'19.12'!$BB$4,'19.12'!$BB$3)),(VLOOKUP('19.12'!N9,'19.12'!$AO$4:$AQ$55,2,FALSE))*IF('19.12'!$AK9="是",'19.12'!$BB$4,'19.12'!$BB$3))</f>
        <v>0</v>
      </c>
      <c r="G9" s="4">
        <f>IF(ISNUMBER(SEARCH("营",'19.12'!O9)),(-$Y9+50*IF('19.12'!$AK9="是",'19.12'!$BB$4,'19.12'!$BB$3)),(VLOOKUP('19.12'!O9,'19.12'!$AO$4:$AQ$55,2,FALSE))*IF('19.12'!$AK9="是",'19.12'!$BB$4,'19.12'!$BB$3))</f>
        <v>0</v>
      </c>
      <c r="H9" s="4">
        <f>IF(ISNUMBER(SEARCH("营",'19.12'!P9)),(-$Y9+50*IF('19.12'!$AK9="是",'19.12'!$BB$4,'19.12'!$BB$3)),(VLOOKUP('19.12'!P9,'19.12'!$AO$4:$AQ$55,2,FALSE))*IF('19.12'!$AK9="是",'19.12'!$BB$4,'19.12'!$BB$3))</f>
        <v>0</v>
      </c>
      <c r="I9" s="4">
        <f>IF(ISNUMBER(SEARCH("营",'19.12'!Q9)),(-$Y9+50*IF('19.12'!$AK9="是",'19.12'!$BB$4,'19.12'!$BB$3)),(VLOOKUP('19.12'!Q9,'19.12'!$AO$4:$AQ$55,2,FALSE))*IF('19.12'!$AK9="是",'19.12'!$BB$4,'19.12'!$BB$3))</f>
        <v>170</v>
      </c>
      <c r="J9" s="4">
        <f>IF(ISNUMBER(SEARCH("营",'19.12'!R9)),(-$Y9+50*IF('19.12'!$AK9="是",'19.12'!$BB$4,'19.12'!$BB$3)),(VLOOKUP('19.12'!R9,'19.12'!$AO$4:$AQ$55,2,FALSE))*IF('19.12'!$AK9="是",'19.12'!$BB$4,'19.12'!$BB$3))</f>
        <v>170</v>
      </c>
      <c r="K9" s="4">
        <f>IF(ISNUMBER(SEARCH("营",'19.12'!S9)),(-$Y9+50*IF('19.12'!$AK9="是",'19.12'!$BB$4,'19.12'!$BB$3)),(VLOOKUP('19.12'!S9,'19.12'!$AO$4:$AQ$55,2,FALSE))*IF('19.12'!$AK9="是",'19.12'!$BB$4,'19.12'!$BB$3))</f>
        <v>250</v>
      </c>
      <c r="L9" s="4">
        <f>IF(ISNUMBER(SEARCH("营",'19.12'!T9)),(-$Y9+50*IF('19.12'!$AK9="是",'19.12'!$BB$4,'19.12'!$BB$3)),(VLOOKUP('19.12'!T9,'19.12'!$AO$4:$AQ$55,2,FALSE))*IF('19.12'!$AK9="是",'19.12'!$BB$4,'19.12'!$BB$3))</f>
        <v>170</v>
      </c>
      <c r="M9" s="4">
        <f>IF(ISNUMBER(SEARCH("营",'19.12'!U9)),(-$Y9+50*IF('19.12'!$AK9="是",'19.12'!$BB$4,'19.12'!$BB$3)),(VLOOKUP('19.12'!U9,'19.12'!$AO$4:$AQ$55,2,FALSE))*IF('19.12'!$AK9="是",'19.12'!$BB$4,'19.12'!$BB$3))</f>
        <v>170</v>
      </c>
      <c r="N9" s="4">
        <f>IF(ISNUMBER(SEARCH("营",'19.12'!V9)),(-$Y9+50*IF('19.12'!$AK9="是",'19.12'!$BB$4,'19.12'!$BB$3)),(VLOOKUP('19.12'!V9,'19.12'!$AO$4:$AQ$55,2,FALSE))*IF('19.12'!$AK9="是",'19.12'!$BB$4,'19.12'!$BB$3))</f>
        <v>170</v>
      </c>
      <c r="O9" s="4">
        <f>IF(ISNUMBER(SEARCH("营",'19.12'!W9)),(-$Y9+50*IF('19.12'!$AK9="是",'19.12'!$BB$4,'19.12'!$BB$3)),(VLOOKUP('19.12'!W9,'19.12'!$AO$4:$AQ$55,2,FALSE))*IF('19.12'!$AK9="是",'19.12'!$BB$4,'19.12'!$BB$3))</f>
        <v>170</v>
      </c>
      <c r="P9" s="4">
        <f>IF(ISNUMBER(SEARCH("营",'19.12'!X9)),(-$Y9+50*IF('19.12'!$AK9="是",'19.12'!$BB$4,'19.12'!$BB$3)),(VLOOKUP('19.12'!X9,'19.12'!$AO$4:$AQ$55,2,FALSE))*IF('19.12'!$AK9="是",'19.12'!$BB$4,'19.12'!$BB$3))</f>
        <v>-250</v>
      </c>
      <c r="Q9" s="4">
        <f>IF(ISNUMBER(SEARCH("营",'19.12'!Y9)),(-$Y9+50*IF('19.12'!$AK9="是",'19.12'!$BB$4,'19.12'!$BB$3)),(VLOOKUP('19.12'!Y9,'19.12'!$AO$4:$AQ$55,2,FALSE))*IF('19.12'!$AK9="是",'19.12'!$BB$4,'19.12'!$BB$3))</f>
        <v>170</v>
      </c>
      <c r="R9" s="4">
        <f>IF(ISNUMBER(SEARCH("营",'19.12'!Z9)),(-$Y9+50*IF('19.12'!$AK9="是",'19.12'!$BB$4,'19.12'!$BB$3)),(VLOOKUP('19.12'!Z9,'19.12'!$AO$4:$AQ$55,2,FALSE))*IF('19.12'!$AK9="是",'19.12'!$BB$4,'19.12'!$BB$3))</f>
        <v>50</v>
      </c>
      <c r="S9" s="4">
        <f>IF(ISNUMBER(SEARCH("营",'19.12'!AA9)),(-$Y9+50*IF('19.12'!$AK9="是",'19.12'!$BB$4,'19.12'!$BB$3)),(VLOOKUP('19.12'!AA9,'19.12'!$AO$4:$AQ$55,2,FALSE))*IF('19.12'!$AK9="是",'19.12'!$BB$4,'19.12'!$BB$3))</f>
        <v>170</v>
      </c>
      <c r="T9" s="4">
        <f>IF(ISNUMBER(SEARCH("营",'19.12'!AB9)),(-$Y9+50*IF('19.12'!$AK9="是",'19.12'!$BB$4,'19.12'!$BB$3)),(VLOOKUP('19.12'!AB9,'19.12'!$AO$4:$AQ$55,2,FALSE))*IF('19.12'!$AK9="是",'19.12'!$BB$4,'19.12'!$BB$3))</f>
        <v>150</v>
      </c>
      <c r="U9" s="4">
        <f>IF(ISNUMBER(SEARCH("营",'19.12'!AC9)),(-$Y9+50*IF('19.12'!$AK9="是",'19.12'!$BB$4,'19.12'!$BB$3)),(VLOOKUP('19.12'!AC9,'19.12'!$AO$4:$AQ$55,2,FALSE))*IF('19.12'!$AK9="是",'19.12'!$BB$4,'19.12'!$BB$3))</f>
        <v>170</v>
      </c>
      <c r="V9" s="4">
        <f>IF(ISNUMBER(SEARCH("营",'19.12'!AD9)),(-$Y9+50*IF('19.12'!$AK9="是",'19.12'!$BB$4,'19.12'!$BB$3)),(VLOOKUP('19.12'!AD9,'19.12'!$AO$4:$AQ$55,2,FALSE))*IF('19.12'!$AK9="是",'19.12'!$BB$4,'19.12'!$BB$3))</f>
        <v>170</v>
      </c>
      <c r="W9" s="4">
        <f>IF(ISNUMBER(SEARCH("营",'19.12'!AE9)),(-$Y9+50*IF('19.12'!$AK9="是",'19.12'!$BB$4,'19.12'!$BB$3)),(VLOOKUP('19.12'!AE9,'19.12'!$AO$4:$AQ$55,2,FALSE))*IF('19.12'!$AK9="是",'19.12'!$BB$4,'19.12'!$BB$3))</f>
        <v>0</v>
      </c>
      <c r="X9" s="4">
        <f>IF(ISNUMBER(SEARCH("营",'19.12'!AF9)),(-$Y9+50*IF('19.12'!$AK9="是",'19.12'!$BB$4,'19.12'!$BB$3)),(VLOOKUP('19.12'!AF9,'19.12'!$AO$4:$AQ$55,2,FALSE))*IF('19.12'!$AK9="是",'19.12'!$BB$4,'19.12'!$BB$3))</f>
        <v>0</v>
      </c>
      <c r="Y9" s="14">
        <v>300</v>
      </c>
      <c r="Z9" s="15">
        <v>45735</v>
      </c>
    </row>
    <row r="10" spans="1:26">
      <c r="A10" s="4">
        <f>IF(ISNUMBER(SEARCH("营",'19.12'!I10)),(-$Y10+50*IF('19.12'!$AK10="是",'19.12'!$BB$4,'19.12'!$BB$3)),(VLOOKUP('19.12'!I10,'19.12'!$AO$4:$AQ$55,2,FALSE))*IF('19.12'!$AK10="是",'19.12'!$BB$4,'19.12'!$BB$3))</f>
        <v>0</v>
      </c>
      <c r="B10" s="4">
        <f>IF(ISNUMBER(SEARCH("营",'19.12'!J10)),(-$Y10+50*IF('19.12'!$AK10="是",'19.12'!$BB$4,'19.12'!$BB$3)),(VLOOKUP('19.12'!J10,'19.12'!$AO$4:$AQ$55,2,FALSE))*IF('19.12'!$AK10="是",'19.12'!$BB$4,'19.12'!$BB$3))</f>
        <v>0</v>
      </c>
      <c r="C10" s="4">
        <f>IF(ISNUMBER(SEARCH("营",'19.12'!K10)),(-$Y10+50*IF('19.12'!$AK10="是",'19.12'!$BB$4,'19.12'!$BB$3)),(VLOOKUP('19.12'!K10,'19.12'!$AO$4:$AQ$55,2,FALSE))*IF('19.12'!$AK10="是",'19.12'!$BB$4,'19.12'!$BB$3))</f>
        <v>0</v>
      </c>
      <c r="D10" s="4">
        <f>IF(ISNUMBER(SEARCH("营",'19.12'!L10)),(-$Y10+50*IF('19.12'!$AK10="是",'19.12'!$BB$4,'19.12'!$BB$3)),(VLOOKUP('19.12'!L10,'19.12'!$AO$4:$AQ$55,2,FALSE))*IF('19.12'!$AK10="是",'19.12'!$BB$4,'19.12'!$BB$3))</f>
        <v>0</v>
      </c>
      <c r="E10" s="4">
        <f>IF(ISNUMBER(SEARCH("营",'19.12'!M10)),(-$Y10+50*IF('19.12'!$AK10="是",'19.12'!$BB$4,'19.12'!$BB$3)),(VLOOKUP('19.12'!M10,'19.12'!$AO$4:$AQ$55,2,FALSE))*IF('19.12'!$AK10="是",'19.12'!$BB$4,'19.12'!$BB$3))</f>
        <v>0</v>
      </c>
      <c r="F10" s="4">
        <f>IF(ISNUMBER(SEARCH("营",'19.12'!N10)),(-$Y10+50*IF('19.12'!$AK10="是",'19.12'!$BB$4,'19.12'!$BB$3)),(VLOOKUP('19.12'!N10,'19.12'!$AO$4:$AQ$55,2,FALSE))*IF('19.12'!$AK10="是",'19.12'!$BB$4,'19.12'!$BB$3))</f>
        <v>0</v>
      </c>
      <c r="G10" s="4">
        <f>IF(ISNUMBER(SEARCH("营",'19.12'!O10)),(-$Y10+50*IF('19.12'!$AK10="是",'19.12'!$BB$4,'19.12'!$BB$3)),(VLOOKUP('19.12'!O10,'19.12'!$AO$4:$AQ$55,2,FALSE))*IF('19.12'!$AK10="是",'19.12'!$BB$4,'19.12'!$BB$3))</f>
        <v>0</v>
      </c>
      <c r="H10" s="4">
        <f>IF(ISNUMBER(SEARCH("营",'19.12'!P10)),(-$Y10+50*IF('19.12'!$AK10="是",'19.12'!$BB$4,'19.12'!$BB$3)),(VLOOKUP('19.12'!P10,'19.12'!$AO$4:$AQ$55,2,FALSE))*IF('19.12'!$AK10="是",'19.12'!$BB$4,'19.12'!$BB$3))</f>
        <v>0</v>
      </c>
      <c r="I10" s="4">
        <f>IF(ISNUMBER(SEARCH("营",'19.12'!Q10)),(-$Y10+50*IF('19.12'!$AK10="是",'19.12'!$BB$4,'19.12'!$BB$3)),(VLOOKUP('19.12'!Q10,'19.12'!$AO$4:$AQ$55,2,FALSE))*IF('19.12'!$AK10="是",'19.12'!$BB$4,'19.12'!$BB$3))</f>
        <v>170</v>
      </c>
      <c r="J10" s="4">
        <f>IF(ISNUMBER(SEARCH("营",'19.12'!R10)),(-$Y10+50*IF('19.12'!$AK10="是",'19.12'!$BB$4,'19.12'!$BB$3)),(VLOOKUP('19.12'!R10,'19.12'!$AO$4:$AQ$55,2,FALSE))*IF('19.12'!$AK10="是",'19.12'!$BB$4,'19.12'!$BB$3))</f>
        <v>170</v>
      </c>
      <c r="K10" s="4">
        <f>IF(ISNUMBER(SEARCH("营",'19.12'!S10)),(-$Y10+50*IF('19.12'!$AK10="是",'19.12'!$BB$4,'19.12'!$BB$3)),(VLOOKUP('19.12'!S10,'19.12'!$AO$4:$AQ$55,2,FALSE))*IF('19.12'!$AK10="是",'19.12'!$BB$4,'19.12'!$BB$3))</f>
        <v>170</v>
      </c>
      <c r="L10" s="4">
        <f>IF(ISNUMBER(SEARCH("营",'19.12'!T10)),(-$Y10+50*IF('19.12'!$AK10="是",'19.12'!$BB$4,'19.12'!$BB$3)),(VLOOKUP('19.12'!T10,'19.12'!$AO$4:$AQ$55,2,FALSE))*IF('19.12'!$AK10="是",'19.12'!$BB$4,'19.12'!$BB$3))</f>
        <v>170</v>
      </c>
      <c r="M10" s="4">
        <f>IF(ISNUMBER(SEARCH("营",'19.12'!U10)),(-$Y10+50*IF('19.12'!$AK10="是",'19.12'!$BB$4,'19.12'!$BB$3)),(VLOOKUP('19.12'!U10,'19.12'!$AO$4:$AQ$55,2,FALSE))*IF('19.12'!$AK10="是",'19.12'!$BB$4,'19.12'!$BB$3))</f>
        <v>50</v>
      </c>
      <c r="N10" s="4">
        <f>IF(ISNUMBER(SEARCH("营",'19.12'!V10)),(-$Y10+50*IF('19.12'!$AK10="是",'19.12'!$BB$4,'19.12'!$BB$3)),(VLOOKUP('19.12'!V10,'19.12'!$AO$4:$AQ$55,2,FALSE))*IF('19.12'!$AK10="是",'19.12'!$BB$4,'19.12'!$BB$3))</f>
        <v>170</v>
      </c>
      <c r="O10" s="4">
        <f>IF(ISNUMBER(SEARCH("营",'19.12'!W10)),(-$Y10+50*IF('19.12'!$AK10="是",'19.12'!$BB$4,'19.12'!$BB$3)),(VLOOKUP('19.12'!W10,'19.12'!$AO$4:$AQ$55,2,FALSE))*IF('19.12'!$AK10="是",'19.12'!$BB$4,'19.12'!$BB$3))</f>
        <v>170</v>
      </c>
      <c r="P10" s="4">
        <f>IF(ISNUMBER(SEARCH("营",'19.12'!X10)),(-$Y10+50*IF('19.12'!$AK10="是",'19.12'!$BB$4,'19.12'!$BB$3)),(VLOOKUP('19.12'!X10,'19.12'!$AO$4:$AQ$55,2,FALSE))*IF('19.12'!$AK10="是",'19.12'!$BB$4,'19.12'!$BB$3))</f>
        <v>150</v>
      </c>
      <c r="Q10" s="4">
        <f>IF(ISNUMBER(SEARCH("营",'19.12'!Y10)),(-$Y10+50*IF('19.12'!$AK10="是",'19.12'!$BB$4,'19.12'!$BB$3)),(VLOOKUP('19.12'!Y10,'19.12'!$AO$4:$AQ$55,2,FALSE))*IF('19.12'!$AK10="是",'19.12'!$BB$4,'19.12'!$BB$3))</f>
        <v>170</v>
      </c>
      <c r="R10" s="4">
        <f>IF(ISNUMBER(SEARCH("营",'19.12'!Z10)),(-$Y10+50*IF('19.12'!$AK10="是",'19.12'!$BB$4,'19.12'!$BB$3)),(VLOOKUP('19.12'!Z10,'19.12'!$AO$4:$AQ$55,2,FALSE))*IF('19.12'!$AK10="是",'19.12'!$BB$4,'19.12'!$BB$3))</f>
        <v>170</v>
      </c>
      <c r="S10" s="4">
        <f>IF(ISNUMBER(SEARCH("营",'19.12'!AA10)),(-$Y10+50*IF('19.12'!$AK10="是",'19.12'!$BB$4,'19.12'!$BB$3)),(VLOOKUP('19.12'!AA10,'19.12'!$AO$4:$AQ$55,2,FALSE))*IF('19.12'!$AK10="是",'19.12'!$BB$4,'19.12'!$BB$3))</f>
        <v>170</v>
      </c>
      <c r="T10" s="4">
        <f>IF(ISNUMBER(SEARCH("营",'19.12'!AB10)),(-$Y10+50*IF('19.12'!$AK10="是",'19.12'!$BB$4,'19.12'!$BB$3)),(VLOOKUP('19.12'!AB10,'19.12'!$AO$4:$AQ$55,2,FALSE))*IF('19.12'!$AK10="是",'19.12'!$BB$4,'19.12'!$BB$3))</f>
        <v>170</v>
      </c>
      <c r="U10" s="4">
        <f>IF(ISNUMBER(SEARCH("营",'19.12'!AC10)),(-$Y10+50*IF('19.12'!$AK10="是",'19.12'!$BB$4,'19.12'!$BB$3)),(VLOOKUP('19.12'!AC10,'19.12'!$AO$4:$AQ$55,2,FALSE))*IF('19.12'!$AK10="是",'19.12'!$BB$4,'19.12'!$BB$3))</f>
        <v>170</v>
      </c>
      <c r="V10" s="4">
        <f>IF(ISNUMBER(SEARCH("营",'19.12'!AD10)),(-$Y10+50*IF('19.12'!$AK10="是",'19.12'!$BB$4,'19.12'!$BB$3)),(VLOOKUP('19.12'!AD10,'19.12'!$AO$4:$AQ$55,2,FALSE))*IF('19.12'!$AK10="是",'19.12'!$BB$4,'19.12'!$BB$3))</f>
        <v>170</v>
      </c>
      <c r="W10" s="4">
        <f>IF(ISNUMBER(SEARCH("营",'19.12'!AE10)),(-$Y10+50*IF('19.12'!$AK10="是",'19.12'!$BB$4,'19.12'!$BB$3)),(VLOOKUP('19.12'!AE10,'19.12'!$AO$4:$AQ$55,2,FALSE))*IF('19.12'!$AK10="是",'19.12'!$BB$4,'19.12'!$BB$3))</f>
        <v>0</v>
      </c>
      <c r="X10" s="4">
        <f>IF(ISNUMBER(SEARCH("营",'19.12'!AF10)),(-$Y10+50*IF('19.12'!$AK10="是",'19.12'!$BB$4,'19.12'!$BB$3)),(VLOOKUP('19.12'!AF10,'19.12'!$AO$4:$AQ$55,2,FALSE))*IF('19.12'!$AK10="是",'19.12'!$BB$4,'19.12'!$BB$3))</f>
        <v>0</v>
      </c>
      <c r="Y10" s="14">
        <v>300</v>
      </c>
      <c r="Z10" s="15">
        <v>45736</v>
      </c>
    </row>
    <row r="11" spans="1:26">
      <c r="A11" s="4">
        <f>IF(ISNUMBER(SEARCH("营",'19.12'!I11)),(-$Y11+50*IF('19.12'!$AK11="是",'19.12'!$BB$4,'19.12'!$BB$3)),(VLOOKUP('19.12'!I11,'19.12'!$AO$4:$AQ$55,2,FALSE))*IF('19.12'!$AK11="是",'19.12'!$BB$4,'19.12'!$BB$3))</f>
        <v>0</v>
      </c>
      <c r="B11" s="4">
        <f>IF(ISNUMBER(SEARCH("营",'19.12'!J11)),(-$Y11+50*IF('19.12'!$AK11="是",'19.12'!$BB$4,'19.12'!$BB$3)),(VLOOKUP('19.12'!J11,'19.12'!$AO$4:$AQ$55,2,FALSE))*IF('19.12'!$AK11="是",'19.12'!$BB$4,'19.12'!$BB$3))</f>
        <v>0</v>
      </c>
      <c r="C11" s="4">
        <f>IF(ISNUMBER(SEARCH("营",'19.12'!K11)),(-$Y11+50*IF('19.12'!$AK11="是",'19.12'!$BB$4,'19.12'!$BB$3)),(VLOOKUP('19.12'!K11,'19.12'!$AO$4:$AQ$55,2,FALSE))*IF('19.12'!$AK11="是",'19.12'!$BB$4,'19.12'!$BB$3))</f>
        <v>0</v>
      </c>
      <c r="D11" s="4">
        <f>IF(ISNUMBER(SEARCH("营",'19.12'!L11)),(-$Y11+50*IF('19.12'!$AK11="是",'19.12'!$BB$4,'19.12'!$BB$3)),(VLOOKUP('19.12'!L11,'19.12'!$AO$4:$AQ$55,2,FALSE))*IF('19.12'!$AK11="是",'19.12'!$BB$4,'19.12'!$BB$3))</f>
        <v>0</v>
      </c>
      <c r="E11" s="4">
        <f>IF(ISNUMBER(SEARCH("营",'19.12'!M11)),(-$Y11+50*IF('19.12'!$AK11="是",'19.12'!$BB$4,'19.12'!$BB$3)),(VLOOKUP('19.12'!M11,'19.12'!$AO$4:$AQ$55,2,FALSE))*IF('19.12'!$AK11="是",'19.12'!$BB$4,'19.12'!$BB$3))</f>
        <v>0</v>
      </c>
      <c r="F11" s="4">
        <f>IF(ISNUMBER(SEARCH("营",'19.12'!N11)),(-$Y11+50*IF('19.12'!$AK11="是",'19.12'!$BB$4,'19.12'!$BB$3)),(VLOOKUP('19.12'!N11,'19.12'!$AO$4:$AQ$55,2,FALSE))*IF('19.12'!$AK11="是",'19.12'!$BB$4,'19.12'!$BB$3))</f>
        <v>0</v>
      </c>
      <c r="G11" s="4">
        <f>IF(ISNUMBER(SEARCH("营",'19.12'!O11)),(-$Y11+50*IF('19.12'!$AK11="是",'19.12'!$BB$4,'19.12'!$BB$3)),(VLOOKUP('19.12'!O11,'19.12'!$AO$4:$AQ$55,2,FALSE))*IF('19.12'!$AK11="是",'19.12'!$BB$4,'19.12'!$BB$3))</f>
        <v>0</v>
      </c>
      <c r="H11" s="4">
        <f>IF(ISNUMBER(SEARCH("营",'19.12'!P11)),(-$Y11+50*IF('19.12'!$AK11="是",'19.12'!$BB$4,'19.12'!$BB$3)),(VLOOKUP('19.12'!P11,'19.12'!$AO$4:$AQ$55,2,FALSE))*IF('19.12'!$AK11="是",'19.12'!$BB$4,'19.12'!$BB$3))</f>
        <v>0</v>
      </c>
      <c r="I11" s="4">
        <f>IF(ISNUMBER(SEARCH("营",'19.12'!Q11)),(-$Y11+50*IF('19.12'!$AK11="是",'19.12'!$BB$4,'19.12'!$BB$3)),(VLOOKUP('19.12'!Q11,'19.12'!$AO$4:$AQ$55,2,FALSE))*IF('19.12'!$AK11="是",'19.12'!$BB$4,'19.12'!$BB$3))</f>
        <v>170</v>
      </c>
      <c r="J11" s="4">
        <f>IF(ISNUMBER(SEARCH("营",'19.12'!R11)),(-$Y11+50*IF('19.12'!$AK11="是",'19.12'!$BB$4,'19.12'!$BB$3)),(VLOOKUP('19.12'!R11,'19.12'!$AO$4:$AQ$55,2,FALSE))*IF('19.12'!$AK11="是",'19.12'!$BB$4,'19.12'!$BB$3))</f>
        <v>170</v>
      </c>
      <c r="K11" s="4">
        <f>IF(ISNUMBER(SEARCH("营",'19.12'!S11)),(-$Y11+50*IF('19.12'!$AK11="是",'19.12'!$BB$4,'19.12'!$BB$3)),(VLOOKUP('19.12'!S11,'19.12'!$AO$4:$AQ$55,2,FALSE))*IF('19.12'!$AK11="是",'19.12'!$BB$4,'19.12'!$BB$3))</f>
        <v>170</v>
      </c>
      <c r="L11" s="4">
        <f>IF(ISNUMBER(SEARCH("营",'19.12'!T11)),(-$Y11+50*IF('19.12'!$AK11="是",'19.12'!$BB$4,'19.12'!$BB$3)),(VLOOKUP('19.12'!T11,'19.12'!$AO$4:$AQ$55,2,FALSE))*IF('19.12'!$AK11="是",'19.12'!$BB$4,'19.12'!$BB$3))</f>
        <v>50</v>
      </c>
      <c r="M11" s="4">
        <f>IF(ISNUMBER(SEARCH("营",'19.12'!U11)),(-$Y11+50*IF('19.12'!$AK11="是",'19.12'!$BB$4,'19.12'!$BB$3)),(VLOOKUP('19.12'!U11,'19.12'!$AO$4:$AQ$55,2,FALSE))*IF('19.12'!$AK11="是",'19.12'!$BB$4,'19.12'!$BB$3))</f>
        <v>170</v>
      </c>
      <c r="N11" s="4">
        <f>IF(ISNUMBER(SEARCH("营",'19.12'!V11)),(-$Y11+50*IF('19.12'!$AK11="是",'19.12'!$BB$4,'19.12'!$BB$3)),(VLOOKUP('19.12'!V11,'19.12'!$AO$4:$AQ$55,2,FALSE))*IF('19.12'!$AK11="是",'19.12'!$BB$4,'19.12'!$BB$3))</f>
        <v>170</v>
      </c>
      <c r="O11" s="4">
        <f>IF(ISNUMBER(SEARCH("营",'19.12'!W11)),(-$Y11+50*IF('19.12'!$AK11="是",'19.12'!$BB$4,'19.12'!$BB$3)),(VLOOKUP('19.12'!W11,'19.12'!$AO$4:$AQ$55,2,FALSE))*IF('19.12'!$AK11="是",'19.12'!$BB$4,'19.12'!$BB$3))</f>
        <v>170</v>
      </c>
      <c r="P11" s="4">
        <f>IF(ISNUMBER(SEARCH("营",'19.12'!X11)),(-$Y11+50*IF('19.12'!$AK11="是",'19.12'!$BB$4,'19.12'!$BB$3)),(VLOOKUP('19.12'!X11,'19.12'!$AO$4:$AQ$55,2,FALSE))*IF('19.12'!$AK11="是",'19.12'!$BB$4,'19.12'!$BB$3))</f>
        <v>-250</v>
      </c>
      <c r="Q11" s="4">
        <f>IF(ISNUMBER(SEARCH("营",'19.12'!Y11)),(-$Y11+50*IF('19.12'!$AK11="是",'19.12'!$BB$4,'19.12'!$BB$3)),(VLOOKUP('19.12'!Y11,'19.12'!$AO$4:$AQ$55,2,FALSE))*IF('19.12'!$AK11="是",'19.12'!$BB$4,'19.12'!$BB$3))</f>
        <v>170</v>
      </c>
      <c r="R11" s="4">
        <f>IF(ISNUMBER(SEARCH("营",'19.12'!Z11)),(-$Y11+50*IF('19.12'!$AK11="是",'19.12'!$BB$4,'19.12'!$BB$3)),(VLOOKUP('19.12'!Z11,'19.12'!$AO$4:$AQ$55,2,FALSE))*IF('19.12'!$AK11="是",'19.12'!$BB$4,'19.12'!$BB$3))</f>
        <v>170</v>
      </c>
      <c r="S11" s="4">
        <f>IF(ISNUMBER(SEARCH("营",'19.12'!AA11)),(-$Y11+50*IF('19.12'!$AK11="是",'19.12'!$BB$4,'19.12'!$BB$3)),(VLOOKUP('19.12'!AA11,'19.12'!$AO$4:$AQ$55,2,FALSE))*IF('19.12'!$AK11="是",'19.12'!$BB$4,'19.12'!$BB$3))</f>
        <v>150</v>
      </c>
      <c r="T11" s="4">
        <f>IF(ISNUMBER(SEARCH("营",'19.12'!AB11)),(-$Y11+50*IF('19.12'!$AK11="是",'19.12'!$BB$4,'19.12'!$BB$3)),(VLOOKUP('19.12'!AB11,'19.12'!$AO$4:$AQ$55,2,FALSE))*IF('19.12'!$AK11="是",'19.12'!$BB$4,'19.12'!$BB$3))</f>
        <v>170</v>
      </c>
      <c r="U11" s="4">
        <f>IF(ISNUMBER(SEARCH("营",'19.12'!AC11)),(-$Y11+50*IF('19.12'!$AK11="是",'19.12'!$BB$4,'19.12'!$BB$3)),(VLOOKUP('19.12'!AC11,'19.12'!$AO$4:$AQ$55,2,FALSE))*IF('19.12'!$AK11="是",'19.12'!$BB$4,'19.12'!$BB$3))</f>
        <v>180</v>
      </c>
      <c r="V11" s="4">
        <f>IF(ISNUMBER(SEARCH("营",'19.12'!AD11)),(-$Y11+50*IF('19.12'!$AK11="是",'19.12'!$BB$4,'19.12'!$BB$3)),(VLOOKUP('19.12'!AD11,'19.12'!$AO$4:$AQ$55,2,FALSE))*IF('19.12'!$AK11="是",'19.12'!$BB$4,'19.12'!$BB$3))</f>
        <v>180</v>
      </c>
      <c r="W11" s="4">
        <f>IF(ISNUMBER(SEARCH("营",'19.12'!AE11)),(-$Y11+50*IF('19.12'!$AK11="是",'19.12'!$BB$4,'19.12'!$BB$3)),(VLOOKUP('19.12'!AE11,'19.12'!$AO$4:$AQ$55,2,FALSE))*IF('19.12'!$AK11="是",'19.12'!$BB$4,'19.12'!$BB$3))</f>
        <v>0</v>
      </c>
      <c r="X11" s="4">
        <f>IF(ISNUMBER(SEARCH("营",'19.12'!AF11)),(-$Y11+50*IF('19.12'!$AK11="是",'19.12'!$BB$4,'19.12'!$BB$3)),(VLOOKUP('19.12'!AF11,'19.12'!$AO$4:$AQ$55,2,FALSE))*IF('19.12'!$AK11="是",'19.12'!$BB$4,'19.12'!$BB$3))</f>
        <v>0</v>
      </c>
      <c r="Y11" s="14">
        <v>300</v>
      </c>
      <c r="Z11" s="15">
        <v>45737</v>
      </c>
    </row>
    <row r="12" spans="1:26">
      <c r="A12" s="4">
        <f>IF(ISNUMBER(SEARCH("营",'19.12'!I12)),(-$Y12+50*IF('19.12'!$AK12="是",'19.12'!$BB$4,'19.12'!$BB$3)),(VLOOKUP('19.12'!I12,'19.12'!$AO$4:$AQ$55,2,FALSE))*IF('19.12'!$AK12="是",'19.12'!$BB$4,'19.12'!$BB$3))</f>
        <v>0</v>
      </c>
      <c r="B12" s="4">
        <f>IF(ISNUMBER(SEARCH("营",'19.12'!J12)),(-$Y12+50*IF('19.12'!$AK12="是",'19.12'!$BB$4,'19.12'!$BB$3)),(VLOOKUP('19.12'!J12,'19.12'!$AO$4:$AQ$55,2,FALSE))*IF('19.12'!$AK12="是",'19.12'!$BB$4,'19.12'!$BB$3))</f>
        <v>0</v>
      </c>
      <c r="C12" s="4">
        <f>IF(ISNUMBER(SEARCH("营",'19.12'!K12)),(-$Y12+50*IF('19.12'!$AK12="是",'19.12'!$BB$4,'19.12'!$BB$3)),(VLOOKUP('19.12'!K12,'19.12'!$AO$4:$AQ$55,2,FALSE))*IF('19.12'!$AK12="是",'19.12'!$BB$4,'19.12'!$BB$3))</f>
        <v>0</v>
      </c>
      <c r="D12" s="4">
        <f>IF(ISNUMBER(SEARCH("营",'19.12'!L12)),(-$Y12+50*IF('19.12'!$AK12="是",'19.12'!$BB$4,'19.12'!$BB$3)),(VLOOKUP('19.12'!L12,'19.12'!$AO$4:$AQ$55,2,FALSE))*IF('19.12'!$AK12="是",'19.12'!$BB$4,'19.12'!$BB$3))</f>
        <v>0</v>
      </c>
      <c r="E12" s="4">
        <f>IF(ISNUMBER(SEARCH("营",'19.12'!M12)),(-$Y12+50*IF('19.12'!$AK12="是",'19.12'!$BB$4,'19.12'!$BB$3)),(VLOOKUP('19.12'!M12,'19.12'!$AO$4:$AQ$55,2,FALSE))*IF('19.12'!$AK12="是",'19.12'!$BB$4,'19.12'!$BB$3))</f>
        <v>0</v>
      </c>
      <c r="F12" s="4">
        <f>IF(ISNUMBER(SEARCH("营",'19.12'!N12)),(-$Y12+50*IF('19.12'!$AK12="是",'19.12'!$BB$4,'19.12'!$BB$3)),(VLOOKUP('19.12'!N12,'19.12'!$AO$4:$AQ$55,2,FALSE))*IF('19.12'!$AK12="是",'19.12'!$BB$4,'19.12'!$BB$3))</f>
        <v>0</v>
      </c>
      <c r="G12" s="4">
        <f>IF(ISNUMBER(SEARCH("营",'19.12'!O12)),(-$Y12+50*IF('19.12'!$AK12="是",'19.12'!$BB$4,'19.12'!$BB$3)),(VLOOKUP('19.12'!O12,'19.12'!$AO$4:$AQ$55,2,FALSE))*IF('19.12'!$AK12="是",'19.12'!$BB$4,'19.12'!$BB$3))</f>
        <v>0</v>
      </c>
      <c r="H12" s="4">
        <f>IF(ISNUMBER(SEARCH("营",'19.12'!P12)),(-$Y12+50*IF('19.12'!$AK12="是",'19.12'!$BB$4,'19.12'!$BB$3)),(VLOOKUP('19.12'!P12,'19.12'!$AO$4:$AQ$55,2,FALSE))*IF('19.12'!$AK12="是",'19.12'!$BB$4,'19.12'!$BB$3))</f>
        <v>0</v>
      </c>
      <c r="I12" s="4">
        <f>IF(ISNUMBER(SEARCH("营",'19.12'!Q12)),(-$Y12+50*IF('19.12'!$AK12="是",'19.12'!$BB$4,'19.12'!$BB$3)),(VLOOKUP('19.12'!Q12,'19.12'!$AO$4:$AQ$55,2,FALSE))*IF('19.12'!$AK12="是",'19.12'!$BB$4,'19.12'!$BB$3))</f>
        <v>170</v>
      </c>
      <c r="J12" s="4">
        <f>IF(ISNUMBER(SEARCH("营",'19.12'!R12)),(-$Y12+50*IF('19.12'!$AK12="是",'19.12'!$BB$4,'19.12'!$BB$3)),(VLOOKUP('19.12'!R12,'19.12'!$AO$4:$AQ$55,2,FALSE))*IF('19.12'!$AK12="是",'19.12'!$BB$4,'19.12'!$BB$3))</f>
        <v>170</v>
      </c>
      <c r="K12" s="4">
        <f>IF(ISNUMBER(SEARCH("营",'19.12'!S12)),(-$Y12+50*IF('19.12'!$AK12="是",'19.12'!$BB$4,'19.12'!$BB$3)),(VLOOKUP('19.12'!S12,'19.12'!$AO$4:$AQ$55,2,FALSE))*IF('19.12'!$AK12="是",'19.12'!$BB$4,'19.12'!$BB$3))</f>
        <v>170</v>
      </c>
      <c r="L12" s="4">
        <f>IF(ISNUMBER(SEARCH("营",'19.12'!T12)),(-$Y12+50*IF('19.12'!$AK12="是",'19.12'!$BB$4,'19.12'!$BB$3)),(VLOOKUP('19.12'!T12,'19.12'!$AO$4:$AQ$55,2,FALSE))*IF('19.12'!$AK12="是",'19.12'!$BB$4,'19.12'!$BB$3))</f>
        <v>170</v>
      </c>
      <c r="M12" s="4">
        <f>IF(ISNUMBER(SEARCH("营",'19.12'!U12)),(-$Y12+50*IF('19.12'!$AK12="是",'19.12'!$BB$4,'19.12'!$BB$3)),(VLOOKUP('19.12'!U12,'19.12'!$AO$4:$AQ$55,2,FALSE))*IF('19.12'!$AK12="是",'19.12'!$BB$4,'19.12'!$BB$3))</f>
        <v>170</v>
      </c>
      <c r="N12" s="4">
        <f>IF(ISNUMBER(SEARCH("营",'19.12'!V12)),(-$Y12+50*IF('19.12'!$AK12="是",'19.12'!$BB$4,'19.12'!$BB$3)),(VLOOKUP('19.12'!V12,'19.12'!$AO$4:$AQ$55,2,FALSE))*IF('19.12'!$AK12="是",'19.12'!$BB$4,'19.12'!$BB$3))</f>
        <v>170</v>
      </c>
      <c r="O12" s="4">
        <f>IF(ISNUMBER(SEARCH("营",'19.12'!W12)),(-$Y12+50*IF('19.12'!$AK12="是",'19.12'!$BB$4,'19.12'!$BB$3)),(VLOOKUP('19.12'!W12,'19.12'!$AO$4:$AQ$55,2,FALSE))*IF('19.12'!$AK12="是",'19.12'!$BB$4,'19.12'!$BB$3))</f>
        <v>50</v>
      </c>
      <c r="P12" s="4">
        <f>IF(ISNUMBER(SEARCH("营",'19.12'!X12)),(-$Y12+50*IF('19.12'!$AK12="是",'19.12'!$BB$4,'19.12'!$BB$3)),(VLOOKUP('19.12'!X12,'19.12'!$AO$4:$AQ$55,2,FALSE))*IF('19.12'!$AK12="是",'19.12'!$BB$4,'19.12'!$BB$3))</f>
        <v>170</v>
      </c>
      <c r="Q12" s="4">
        <f>IF(ISNUMBER(SEARCH("营",'19.12'!Y12)),(-$Y12+50*IF('19.12'!$AK12="是",'19.12'!$BB$4,'19.12'!$BB$3)),(VLOOKUP('19.12'!Y12,'19.12'!$AO$4:$AQ$55,2,FALSE))*IF('19.12'!$AK12="是",'19.12'!$BB$4,'19.12'!$BB$3))</f>
        <v>180</v>
      </c>
      <c r="R12" s="4">
        <f>IF(ISNUMBER(SEARCH("营",'19.12'!Z12)),(-$Y12+50*IF('19.12'!$AK12="是",'19.12'!$BB$4,'19.12'!$BB$3)),(VLOOKUP('19.12'!Z12,'19.12'!$AO$4:$AQ$55,2,FALSE))*IF('19.12'!$AK12="是",'19.12'!$BB$4,'19.12'!$BB$3))</f>
        <v>180</v>
      </c>
      <c r="S12" s="4">
        <f>IF(ISNUMBER(SEARCH("营",'19.12'!AA12)),(-$Y12+50*IF('19.12'!$AK12="是",'19.12'!$BB$4,'19.12'!$BB$3)),(VLOOKUP('19.12'!AA12,'19.12'!$AO$4:$AQ$55,2,FALSE))*IF('19.12'!$AK12="是",'19.12'!$BB$4,'19.12'!$BB$3))</f>
        <v>170</v>
      </c>
      <c r="T12" s="4">
        <f>IF(ISNUMBER(SEARCH("营",'19.12'!AB12)),(-$Y12+50*IF('19.12'!$AK12="是",'19.12'!$BB$4,'19.12'!$BB$3)),(VLOOKUP('19.12'!AB12,'19.12'!$AO$4:$AQ$55,2,FALSE))*IF('19.12'!$AK12="是",'19.12'!$BB$4,'19.12'!$BB$3))</f>
        <v>170</v>
      </c>
      <c r="U12" s="4">
        <f>IF(ISNUMBER(SEARCH("营",'19.12'!AC12)),(-$Y12+50*IF('19.12'!$AK12="是",'19.12'!$BB$4,'19.12'!$BB$3)),(VLOOKUP('19.12'!AC12,'19.12'!$AO$4:$AQ$55,2,FALSE))*IF('19.12'!$AK12="是",'19.12'!$BB$4,'19.12'!$BB$3))</f>
        <v>170</v>
      </c>
      <c r="V12" s="4">
        <f>IF(ISNUMBER(SEARCH("营",'19.12'!AD12)),(-$Y12+50*IF('19.12'!$AK12="是",'19.12'!$BB$4,'19.12'!$BB$3)),(VLOOKUP('19.12'!AD12,'19.12'!$AO$4:$AQ$55,2,FALSE))*IF('19.12'!$AK12="是",'19.12'!$BB$4,'19.12'!$BB$3))</f>
        <v>180</v>
      </c>
      <c r="W12" s="4">
        <f>IF(ISNUMBER(SEARCH("营",'19.12'!AE12)),(-$Y12+50*IF('19.12'!$AK12="是",'19.12'!$BB$4,'19.12'!$BB$3)),(VLOOKUP('19.12'!AE12,'19.12'!$AO$4:$AQ$55,2,FALSE))*IF('19.12'!$AK12="是",'19.12'!$BB$4,'19.12'!$BB$3))</f>
        <v>0</v>
      </c>
      <c r="X12" s="4">
        <f>IF(ISNUMBER(SEARCH("营",'19.12'!AF12)),(-$Y12+50*IF('19.12'!$AK12="是",'19.12'!$BB$4,'19.12'!$BB$3)),(VLOOKUP('19.12'!AF12,'19.12'!$AO$4:$AQ$55,2,FALSE))*IF('19.12'!$AK12="是",'19.12'!$BB$4,'19.12'!$BB$3))</f>
        <v>0</v>
      </c>
      <c r="Y12" s="14">
        <v>300</v>
      </c>
      <c r="Z12" s="15">
        <v>45738</v>
      </c>
    </row>
    <row r="13" spans="1:26">
      <c r="A13" s="4">
        <f>IF(ISNUMBER(SEARCH("营",'19.12'!I13)),(-$Y13+50*IF('19.12'!$AK13="是",'19.12'!$BB$4,'19.12'!$BB$3)),(VLOOKUP('19.12'!I13,'19.12'!$AO$4:$AQ$55,2,FALSE))*IF('19.12'!$AK13="是",'19.12'!$BB$4,'19.12'!$BB$3))</f>
        <v>0</v>
      </c>
      <c r="B13" s="4">
        <f>IF(ISNUMBER(SEARCH("营",'19.12'!J13)),(-$Y13+50*IF('19.12'!$AK13="是",'19.12'!$BB$4,'19.12'!$BB$3)),(VLOOKUP('19.12'!J13,'19.12'!$AO$4:$AQ$55,2,FALSE))*IF('19.12'!$AK13="是",'19.12'!$BB$4,'19.12'!$BB$3))</f>
        <v>0</v>
      </c>
      <c r="C13" s="4">
        <f>IF(ISNUMBER(SEARCH("营",'19.12'!K13)),(-$Y13+50*IF('19.12'!$AK13="是",'19.12'!$BB$4,'19.12'!$BB$3)),(VLOOKUP('19.12'!K13,'19.12'!$AO$4:$AQ$55,2,FALSE))*IF('19.12'!$AK13="是",'19.12'!$BB$4,'19.12'!$BB$3))</f>
        <v>0</v>
      </c>
      <c r="D13" s="4">
        <f>IF(ISNUMBER(SEARCH("营",'19.12'!L13)),(-$Y13+50*IF('19.12'!$AK13="是",'19.12'!$BB$4,'19.12'!$BB$3)),(VLOOKUP('19.12'!L13,'19.12'!$AO$4:$AQ$55,2,FALSE))*IF('19.12'!$AK13="是",'19.12'!$BB$4,'19.12'!$BB$3))</f>
        <v>0</v>
      </c>
      <c r="E13" s="4">
        <f>IF(ISNUMBER(SEARCH("营",'19.12'!M13)),(-$Y13+50*IF('19.12'!$AK13="是",'19.12'!$BB$4,'19.12'!$BB$3)),(VLOOKUP('19.12'!M13,'19.12'!$AO$4:$AQ$55,2,FALSE))*IF('19.12'!$AK13="是",'19.12'!$BB$4,'19.12'!$BB$3))</f>
        <v>0</v>
      </c>
      <c r="F13" s="4">
        <f>IF(ISNUMBER(SEARCH("营",'19.12'!N13)),(-$Y13+50*IF('19.12'!$AK13="是",'19.12'!$BB$4,'19.12'!$BB$3)),(VLOOKUP('19.12'!N13,'19.12'!$AO$4:$AQ$55,2,FALSE))*IF('19.12'!$AK13="是",'19.12'!$BB$4,'19.12'!$BB$3))</f>
        <v>0</v>
      </c>
      <c r="G13" s="4">
        <f>IF(ISNUMBER(SEARCH("营",'19.12'!O13)),(-$Y13+50*IF('19.12'!$AK13="是",'19.12'!$BB$4,'19.12'!$BB$3)),(VLOOKUP('19.12'!O13,'19.12'!$AO$4:$AQ$55,2,FALSE))*IF('19.12'!$AK13="是",'19.12'!$BB$4,'19.12'!$BB$3))</f>
        <v>0</v>
      </c>
      <c r="H13" s="4">
        <f>IF(ISNUMBER(SEARCH("营",'19.12'!P13)),(-$Y13+50*IF('19.12'!$AK13="是",'19.12'!$BB$4,'19.12'!$BB$3)),(VLOOKUP('19.12'!P13,'19.12'!$AO$4:$AQ$55,2,FALSE))*IF('19.12'!$AK13="是",'19.12'!$BB$4,'19.12'!$BB$3))</f>
        <v>0</v>
      </c>
      <c r="I13" s="4">
        <f>IF(ISNUMBER(SEARCH("营",'19.12'!Q13)),(-$Y13+50*IF('19.12'!$AK13="是",'19.12'!$BB$4,'19.12'!$BB$3)),(VLOOKUP('19.12'!Q13,'19.12'!$AO$4:$AQ$55,2,FALSE))*IF('19.12'!$AK13="是",'19.12'!$BB$4,'19.12'!$BB$3))</f>
        <v>170</v>
      </c>
      <c r="J13" s="4">
        <f>IF(ISNUMBER(SEARCH("营",'19.12'!R13)),(-$Y13+50*IF('19.12'!$AK13="是",'19.12'!$BB$4,'19.12'!$BB$3)),(VLOOKUP('19.12'!R13,'19.12'!$AO$4:$AQ$55,2,FALSE))*IF('19.12'!$AK13="是",'19.12'!$BB$4,'19.12'!$BB$3))</f>
        <v>170</v>
      </c>
      <c r="K13" s="4">
        <f>IF(ISNUMBER(SEARCH("营",'19.12'!S13)),(-$Y13+50*IF('19.12'!$AK13="是",'19.12'!$BB$4,'19.12'!$BB$3)),(VLOOKUP('19.12'!S13,'19.12'!$AO$4:$AQ$55,2,FALSE))*IF('19.12'!$AK13="是",'19.12'!$BB$4,'19.12'!$BB$3))</f>
        <v>170</v>
      </c>
      <c r="L13" s="4">
        <f>IF(ISNUMBER(SEARCH("营",'19.12'!T13)),(-$Y13+50*IF('19.12'!$AK13="是",'19.12'!$BB$4,'19.12'!$BB$3)),(VLOOKUP('19.12'!T13,'19.12'!$AO$4:$AQ$55,2,FALSE))*IF('19.12'!$AK13="是",'19.12'!$BB$4,'19.12'!$BB$3))</f>
        <v>170</v>
      </c>
      <c r="M13" s="4">
        <f>IF(ISNUMBER(SEARCH("营",'19.12'!U13)),(-$Y13+50*IF('19.12'!$AK13="是",'19.12'!$BB$4,'19.12'!$BB$3)),(VLOOKUP('19.12'!U13,'19.12'!$AO$4:$AQ$55,2,FALSE))*IF('19.12'!$AK13="是",'19.12'!$BB$4,'19.12'!$BB$3))</f>
        <v>170</v>
      </c>
      <c r="N13" s="4">
        <f>IF(ISNUMBER(SEARCH("营",'19.12'!V13)),(-$Y13+50*IF('19.12'!$AK13="是",'19.12'!$BB$4,'19.12'!$BB$3)),(VLOOKUP('19.12'!V13,'19.12'!$AO$4:$AQ$55,2,FALSE))*IF('19.12'!$AK13="是",'19.12'!$BB$4,'19.12'!$BB$3))</f>
        <v>170</v>
      </c>
      <c r="O13" s="4">
        <f>IF(ISNUMBER(SEARCH("营",'19.12'!W13)),(-$Y13+50*IF('19.12'!$AK13="是",'19.12'!$BB$4,'19.12'!$BB$3)),(VLOOKUP('19.12'!W13,'19.12'!$AO$4:$AQ$55,2,FALSE))*IF('19.12'!$AK13="是",'19.12'!$BB$4,'19.12'!$BB$3))</f>
        <v>170</v>
      </c>
      <c r="P13" s="4">
        <f>IF(ISNUMBER(SEARCH("营",'19.12'!X13)),(-$Y13+50*IF('19.12'!$AK13="是",'19.12'!$BB$4,'19.12'!$BB$3)),(VLOOKUP('19.12'!X13,'19.12'!$AO$4:$AQ$55,2,FALSE))*IF('19.12'!$AK13="是",'19.12'!$BB$4,'19.12'!$BB$3))</f>
        <v>0</v>
      </c>
      <c r="Q13" s="4">
        <f>IF(ISNUMBER(SEARCH("营",'19.12'!Y13)),(-$Y13+50*IF('19.12'!$AK13="是",'19.12'!$BB$4,'19.12'!$BB$3)),(VLOOKUP('19.12'!Y13,'19.12'!$AO$4:$AQ$55,2,FALSE))*IF('19.12'!$AK13="是",'19.12'!$BB$4,'19.12'!$BB$3))</f>
        <v>180</v>
      </c>
      <c r="R13" s="4">
        <f>IF(ISNUMBER(SEARCH("营",'19.12'!Z13)),(-$Y13+50*IF('19.12'!$AK13="是",'19.12'!$BB$4,'19.12'!$BB$3)),(VLOOKUP('19.12'!Z13,'19.12'!$AO$4:$AQ$55,2,FALSE))*IF('19.12'!$AK13="是",'19.12'!$BB$4,'19.12'!$BB$3))</f>
        <v>180</v>
      </c>
      <c r="S13" s="4">
        <f>IF(ISNUMBER(SEARCH("营",'19.12'!AA13)),(-$Y13+50*IF('19.12'!$AK13="是",'19.12'!$BB$4,'19.12'!$BB$3)),(VLOOKUP('19.12'!AA13,'19.12'!$AO$4:$AQ$55,2,FALSE))*IF('19.12'!$AK13="是",'19.12'!$BB$4,'19.12'!$BB$3))</f>
        <v>180</v>
      </c>
      <c r="T13" s="4">
        <f>IF(ISNUMBER(SEARCH("营",'19.12'!AB13)),(-$Y13+50*IF('19.12'!$AK13="是",'19.12'!$BB$4,'19.12'!$BB$3)),(VLOOKUP('19.12'!AB13,'19.12'!$AO$4:$AQ$55,2,FALSE))*IF('19.12'!$AK13="是",'19.12'!$BB$4,'19.12'!$BB$3))</f>
        <v>180</v>
      </c>
      <c r="U13" s="4">
        <f>IF(ISNUMBER(SEARCH("营",'19.12'!AC13)),(-$Y13+50*IF('19.12'!$AK13="是",'19.12'!$BB$4,'19.12'!$BB$3)),(VLOOKUP('19.12'!AC13,'19.12'!$AO$4:$AQ$55,2,FALSE))*IF('19.12'!$AK13="是",'19.12'!$BB$4,'19.12'!$BB$3))</f>
        <v>180</v>
      </c>
      <c r="V13" s="4">
        <f>IF(ISNUMBER(SEARCH("营",'19.12'!AD13)),(-$Y13+50*IF('19.12'!$AK13="是",'19.12'!$BB$4,'19.12'!$BB$3)),(VLOOKUP('19.12'!AD13,'19.12'!$AO$4:$AQ$55,2,FALSE))*IF('19.12'!$AK13="是",'19.12'!$BB$4,'19.12'!$BB$3))</f>
        <v>180</v>
      </c>
      <c r="W13" s="4">
        <f>IF(ISNUMBER(SEARCH("营",'19.12'!AE13)),(-$Y13+50*IF('19.12'!$AK13="是",'19.12'!$BB$4,'19.12'!$BB$3)),(VLOOKUP('19.12'!AE13,'19.12'!$AO$4:$AQ$55,2,FALSE))*IF('19.12'!$AK13="是",'19.12'!$BB$4,'19.12'!$BB$3))</f>
        <v>0</v>
      </c>
      <c r="X13" s="4">
        <f>IF(ISNUMBER(SEARCH("营",'19.12'!AF13)),(-$Y13+50*IF('19.12'!$AK13="是",'19.12'!$BB$4,'19.12'!$BB$3)),(VLOOKUP('19.12'!AF13,'19.12'!$AO$4:$AQ$55,2,FALSE))*IF('19.12'!$AK13="是",'19.12'!$BB$4,'19.12'!$BB$3))</f>
        <v>0</v>
      </c>
      <c r="Y13" s="14">
        <v>300</v>
      </c>
      <c r="Z13" s="15">
        <v>45739</v>
      </c>
    </row>
    <row r="14" spans="1:26">
      <c r="A14" s="4">
        <f>IF(ISNUMBER(SEARCH("营",'19.12'!I14)),(-$Y14+50*IF('19.12'!$AK14="是",'19.12'!$BB$4,'19.12'!$BB$3)),(VLOOKUP('19.12'!I14,'19.12'!$AO$4:$AQ$55,2,FALSE))*IF('19.12'!$AK14="是",'19.12'!$BB$4,'19.12'!$BB$3))</f>
        <v>0</v>
      </c>
      <c r="B14" s="4">
        <f>IF(ISNUMBER(SEARCH("营",'19.12'!J14)),(-$Y14+50*IF('19.12'!$AK14="是",'19.12'!$BB$4,'19.12'!$BB$3)),(VLOOKUP('19.12'!J14,'19.12'!$AO$4:$AQ$55,2,FALSE))*IF('19.12'!$AK14="是",'19.12'!$BB$4,'19.12'!$BB$3))</f>
        <v>0</v>
      </c>
      <c r="C14" s="4">
        <f>IF(ISNUMBER(SEARCH("营",'19.12'!K14)),(-$Y14+50*IF('19.12'!$AK14="是",'19.12'!$BB$4,'19.12'!$BB$3)),(VLOOKUP('19.12'!K14,'19.12'!$AO$4:$AQ$55,2,FALSE))*IF('19.12'!$AK14="是",'19.12'!$BB$4,'19.12'!$BB$3))</f>
        <v>0</v>
      </c>
      <c r="D14" s="4">
        <f>IF(ISNUMBER(SEARCH("营",'19.12'!L14)),(-$Y14+50*IF('19.12'!$AK14="是",'19.12'!$BB$4,'19.12'!$BB$3)),(VLOOKUP('19.12'!L14,'19.12'!$AO$4:$AQ$55,2,FALSE))*IF('19.12'!$AK14="是",'19.12'!$BB$4,'19.12'!$BB$3))</f>
        <v>0</v>
      </c>
      <c r="E14" s="4">
        <f>IF(ISNUMBER(SEARCH("营",'19.12'!M14)),(-$Y14+50*IF('19.12'!$AK14="是",'19.12'!$BB$4,'19.12'!$BB$3)),(VLOOKUP('19.12'!M14,'19.12'!$AO$4:$AQ$55,2,FALSE))*IF('19.12'!$AK14="是",'19.12'!$BB$4,'19.12'!$BB$3))</f>
        <v>0</v>
      </c>
      <c r="F14" s="4">
        <f>IF(ISNUMBER(SEARCH("营",'19.12'!N14)),(-$Y14+50*IF('19.12'!$AK14="是",'19.12'!$BB$4,'19.12'!$BB$3)),(VLOOKUP('19.12'!N14,'19.12'!$AO$4:$AQ$55,2,FALSE))*IF('19.12'!$AK14="是",'19.12'!$BB$4,'19.12'!$BB$3))</f>
        <v>0</v>
      </c>
      <c r="G14" s="4">
        <f>IF(ISNUMBER(SEARCH("营",'19.12'!O14)),(-$Y14+50*IF('19.12'!$AK14="是",'19.12'!$BB$4,'19.12'!$BB$3)),(VLOOKUP('19.12'!O14,'19.12'!$AO$4:$AQ$55,2,FALSE))*IF('19.12'!$AK14="是",'19.12'!$BB$4,'19.12'!$BB$3))</f>
        <v>0</v>
      </c>
      <c r="H14" s="4">
        <f>IF(ISNUMBER(SEARCH("营",'19.12'!P14)),(-$Y14+50*IF('19.12'!$AK14="是",'19.12'!$BB$4,'19.12'!$BB$3)),(VLOOKUP('19.12'!P14,'19.12'!$AO$4:$AQ$55,2,FALSE))*IF('19.12'!$AK14="是",'19.12'!$BB$4,'19.12'!$BB$3))</f>
        <v>0</v>
      </c>
      <c r="I14" s="4">
        <f>IF(ISNUMBER(SEARCH("营",'19.12'!Q14)),(-$Y14+50*IF('19.12'!$AK14="是",'19.12'!$BB$4,'19.12'!$BB$3)),(VLOOKUP('19.12'!Q14,'19.12'!$AO$4:$AQ$55,2,FALSE))*IF('19.12'!$AK14="是",'19.12'!$BB$4,'19.12'!$BB$3))</f>
        <v>170</v>
      </c>
      <c r="J14" s="4">
        <f>IF(ISNUMBER(SEARCH("营",'19.12'!R14)),(-$Y14+50*IF('19.12'!$AK14="是",'19.12'!$BB$4,'19.12'!$BB$3)),(VLOOKUP('19.12'!R14,'19.12'!$AO$4:$AQ$55,2,FALSE))*IF('19.12'!$AK14="是",'19.12'!$BB$4,'19.12'!$BB$3))</f>
        <v>170</v>
      </c>
      <c r="K14" s="4">
        <f>IF(ISNUMBER(SEARCH("营",'19.12'!S14)),(-$Y14+50*IF('19.12'!$AK14="是",'19.12'!$BB$4,'19.12'!$BB$3)),(VLOOKUP('19.12'!S14,'19.12'!$AO$4:$AQ$55,2,FALSE))*IF('19.12'!$AK14="是",'19.12'!$BB$4,'19.12'!$BB$3))</f>
        <v>170</v>
      </c>
      <c r="L14" s="4">
        <f>IF(ISNUMBER(SEARCH("营",'19.12'!T14)),(-$Y14+50*IF('19.12'!$AK14="是",'19.12'!$BB$4,'19.12'!$BB$3)),(VLOOKUP('19.12'!T14,'19.12'!$AO$4:$AQ$55,2,FALSE))*IF('19.12'!$AK14="是",'19.12'!$BB$4,'19.12'!$BB$3))</f>
        <v>170</v>
      </c>
      <c r="M14" s="4">
        <f>IF(ISNUMBER(SEARCH("营",'19.12'!U14)),(-$Y14+50*IF('19.12'!$AK14="是",'19.12'!$BB$4,'19.12'!$BB$3)),(VLOOKUP('19.12'!U14,'19.12'!$AO$4:$AQ$55,2,FALSE))*IF('19.12'!$AK14="是",'19.12'!$BB$4,'19.12'!$BB$3))</f>
        <v>170</v>
      </c>
      <c r="N14" s="4">
        <f>IF(ISNUMBER(SEARCH("营",'19.12'!V14)),(-$Y14+50*IF('19.12'!$AK14="是",'19.12'!$BB$4,'19.12'!$BB$3)),(VLOOKUP('19.12'!V14,'19.12'!$AO$4:$AQ$55,2,FALSE))*IF('19.12'!$AK14="是",'19.12'!$BB$4,'19.12'!$BB$3))</f>
        <v>170</v>
      </c>
      <c r="O14" s="4">
        <f>IF(ISNUMBER(SEARCH("营",'19.12'!W14)),(-$Y14+50*IF('19.12'!$AK14="是",'19.12'!$BB$4,'19.12'!$BB$3)),(VLOOKUP('19.12'!W14,'19.12'!$AO$4:$AQ$55,2,FALSE))*IF('19.12'!$AK14="是",'19.12'!$BB$4,'19.12'!$BB$3))</f>
        <v>0</v>
      </c>
      <c r="P14" s="4">
        <f>IF(ISNUMBER(SEARCH("营",'19.12'!X14)),(-$Y14+50*IF('19.12'!$AK14="是",'19.12'!$BB$4,'19.12'!$BB$3)),(VLOOKUP('19.12'!X14,'19.12'!$AO$4:$AQ$55,2,FALSE))*IF('19.12'!$AK14="是",'19.12'!$BB$4,'19.12'!$BB$3))</f>
        <v>0</v>
      </c>
      <c r="Q14" s="4">
        <f>IF(ISNUMBER(SEARCH("营",'19.12'!Y14)),(-$Y14+50*IF('19.12'!$AK14="是",'19.12'!$BB$4,'19.12'!$BB$3)),(VLOOKUP('19.12'!Y14,'19.12'!$AO$4:$AQ$55,2,FALSE))*IF('19.12'!$AK14="是",'19.12'!$BB$4,'19.12'!$BB$3))</f>
        <v>180</v>
      </c>
      <c r="R14" s="4">
        <f>IF(ISNUMBER(SEARCH("营",'19.12'!Z14)),(-$Y14+50*IF('19.12'!$AK14="是",'19.12'!$BB$4,'19.12'!$BB$3)),(VLOOKUP('19.12'!Z14,'19.12'!$AO$4:$AQ$55,2,FALSE))*IF('19.12'!$AK14="是",'19.12'!$BB$4,'19.12'!$BB$3))</f>
        <v>170</v>
      </c>
      <c r="S14" s="4">
        <f>IF(ISNUMBER(SEARCH("营",'19.12'!AA14)),(-$Y14+50*IF('19.12'!$AK14="是",'19.12'!$BB$4,'19.12'!$BB$3)),(VLOOKUP('19.12'!AA14,'19.12'!$AO$4:$AQ$55,2,FALSE))*IF('19.12'!$AK14="是",'19.12'!$BB$4,'19.12'!$BB$3))</f>
        <v>150</v>
      </c>
      <c r="T14" s="4">
        <f>IF(ISNUMBER(SEARCH("营",'19.12'!AB14)),(-$Y14+50*IF('19.12'!$AK14="是",'19.12'!$BB$4,'19.12'!$BB$3)),(VLOOKUP('19.12'!AB14,'19.12'!$AO$4:$AQ$55,2,FALSE))*IF('19.12'!$AK14="是",'19.12'!$BB$4,'19.12'!$BB$3))</f>
        <v>170</v>
      </c>
      <c r="U14" s="4">
        <f>IF(ISNUMBER(SEARCH("营",'19.12'!AC14)),(-$Y14+50*IF('19.12'!$AK14="是",'19.12'!$BB$4,'19.12'!$BB$3)),(VLOOKUP('19.12'!AC14,'19.12'!$AO$4:$AQ$55,2,FALSE))*IF('19.12'!$AK14="是",'19.12'!$BB$4,'19.12'!$BB$3))</f>
        <v>50</v>
      </c>
      <c r="V14" s="4">
        <f>IF(ISNUMBER(SEARCH("营",'19.12'!AD14)),(-$Y14+50*IF('19.12'!$AK14="是",'19.12'!$BB$4,'19.12'!$BB$3)),(VLOOKUP('19.12'!AD14,'19.12'!$AO$4:$AQ$55,2,FALSE))*IF('19.12'!$AK14="是",'19.12'!$BB$4,'19.12'!$BB$3))</f>
        <v>170</v>
      </c>
      <c r="W14" s="4">
        <f>IF(ISNUMBER(SEARCH("营",'19.12'!AE14)),(-$Y14+50*IF('19.12'!$AK14="是",'19.12'!$BB$4,'19.12'!$BB$3)),(VLOOKUP('19.12'!AE14,'19.12'!$AO$4:$AQ$55,2,FALSE))*IF('19.12'!$AK14="是",'19.12'!$BB$4,'19.12'!$BB$3))</f>
        <v>0</v>
      </c>
      <c r="X14" s="4">
        <f>IF(ISNUMBER(SEARCH("营",'19.12'!AF14)),(-$Y14+50*IF('19.12'!$AK14="是",'19.12'!$BB$4,'19.12'!$BB$3)),(VLOOKUP('19.12'!AF14,'19.12'!$AO$4:$AQ$55,2,FALSE))*IF('19.12'!$AK14="是",'19.12'!$BB$4,'19.12'!$BB$3))</f>
        <v>0</v>
      </c>
      <c r="Y14" s="16">
        <v>250</v>
      </c>
      <c r="Z14" s="17">
        <v>45740</v>
      </c>
    </row>
    <row r="15" spans="1:26">
      <c r="A15" s="4">
        <f>IF(ISNUMBER(SEARCH("营",'19.12'!I15)),(-$Y15+50*IF('19.12'!$AK15="是",'19.12'!$BB$4,'19.12'!$BB$3)),(VLOOKUP('19.12'!I15,'19.12'!$AO$4:$AQ$55,2,FALSE))*IF('19.12'!$AK15="是",'19.12'!$BB$4,'19.12'!$BB$3))</f>
        <v>0</v>
      </c>
      <c r="B15" s="4">
        <f>IF(ISNUMBER(SEARCH("营",'19.12'!J15)),(-$Y15+50*IF('19.12'!$AK15="是",'19.12'!$BB$4,'19.12'!$BB$3)),(VLOOKUP('19.12'!J15,'19.12'!$AO$4:$AQ$55,2,FALSE))*IF('19.12'!$AK15="是",'19.12'!$BB$4,'19.12'!$BB$3))</f>
        <v>0</v>
      </c>
      <c r="C15" s="4">
        <f>IF(ISNUMBER(SEARCH("营",'19.12'!K15)),(-$Y15+50*IF('19.12'!$AK15="是",'19.12'!$BB$4,'19.12'!$BB$3)),(VLOOKUP('19.12'!K15,'19.12'!$AO$4:$AQ$55,2,FALSE))*IF('19.12'!$AK15="是",'19.12'!$BB$4,'19.12'!$BB$3))</f>
        <v>0</v>
      </c>
      <c r="D15" s="4">
        <f>IF(ISNUMBER(SEARCH("营",'19.12'!L15)),(-$Y15+50*IF('19.12'!$AK15="是",'19.12'!$BB$4,'19.12'!$BB$3)),(VLOOKUP('19.12'!L15,'19.12'!$AO$4:$AQ$55,2,FALSE))*IF('19.12'!$AK15="是",'19.12'!$BB$4,'19.12'!$BB$3))</f>
        <v>0</v>
      </c>
      <c r="E15" s="4">
        <f>IF(ISNUMBER(SEARCH("营",'19.12'!M15)),(-$Y15+50*IF('19.12'!$AK15="是",'19.12'!$BB$4,'19.12'!$BB$3)),(VLOOKUP('19.12'!M15,'19.12'!$AO$4:$AQ$55,2,FALSE))*IF('19.12'!$AK15="是",'19.12'!$BB$4,'19.12'!$BB$3))</f>
        <v>0</v>
      </c>
      <c r="F15" s="4">
        <f>IF(ISNUMBER(SEARCH("营",'19.12'!N15)),(-$Y15+50*IF('19.12'!$AK15="是",'19.12'!$BB$4,'19.12'!$BB$3)),(VLOOKUP('19.12'!N15,'19.12'!$AO$4:$AQ$55,2,FALSE))*IF('19.12'!$AK15="是",'19.12'!$BB$4,'19.12'!$BB$3))</f>
        <v>0</v>
      </c>
      <c r="G15" s="4">
        <f>IF(ISNUMBER(SEARCH("营",'19.12'!O15)),(-$Y15+50*IF('19.12'!$AK15="是",'19.12'!$BB$4,'19.12'!$BB$3)),(VLOOKUP('19.12'!O15,'19.12'!$AO$4:$AQ$55,2,FALSE))*IF('19.12'!$AK15="是",'19.12'!$BB$4,'19.12'!$BB$3))</f>
        <v>0</v>
      </c>
      <c r="H15" s="4">
        <f>IF(ISNUMBER(SEARCH("营",'19.12'!P15)),(-$Y15+50*IF('19.12'!$AK15="是",'19.12'!$BB$4,'19.12'!$BB$3)),(VLOOKUP('19.12'!P15,'19.12'!$AO$4:$AQ$55,2,FALSE))*IF('19.12'!$AK15="是",'19.12'!$BB$4,'19.12'!$BB$3))</f>
        <v>0</v>
      </c>
      <c r="I15" s="4">
        <f>IF(ISNUMBER(SEARCH("营",'19.12'!Q15)),(-$Y15+50*IF('19.12'!$AK15="是",'19.12'!$BB$4,'19.12'!$BB$3)),(VLOOKUP('19.12'!Q15,'19.12'!$AO$4:$AQ$55,2,FALSE))*IF('19.12'!$AK15="是",'19.12'!$BB$4,'19.12'!$BB$3))</f>
        <v>170</v>
      </c>
      <c r="J15" s="4">
        <f>IF(ISNUMBER(SEARCH("营",'19.12'!R15)),(-$Y15+50*IF('19.12'!$AK15="是",'19.12'!$BB$4,'19.12'!$BB$3)),(VLOOKUP('19.12'!R15,'19.12'!$AO$4:$AQ$55,2,FALSE))*IF('19.12'!$AK15="是",'19.12'!$BB$4,'19.12'!$BB$3))</f>
        <v>170</v>
      </c>
      <c r="K15" s="4">
        <f>IF(ISNUMBER(SEARCH("营",'19.12'!S15)),(-$Y15+50*IF('19.12'!$AK15="是",'19.12'!$BB$4,'19.12'!$BB$3)),(VLOOKUP('19.12'!S15,'19.12'!$AO$4:$AQ$55,2,FALSE))*IF('19.12'!$AK15="是",'19.12'!$BB$4,'19.12'!$BB$3))</f>
        <v>170</v>
      </c>
      <c r="L15" s="4">
        <f>IF(ISNUMBER(SEARCH("营",'19.12'!T15)),(-$Y15+50*IF('19.12'!$AK15="是",'19.12'!$BB$4,'19.12'!$BB$3)),(VLOOKUP('19.12'!T15,'19.12'!$AO$4:$AQ$55,2,FALSE))*IF('19.12'!$AK15="是",'19.12'!$BB$4,'19.12'!$BB$3))</f>
        <v>170</v>
      </c>
      <c r="M15" s="4">
        <f>IF(ISNUMBER(SEARCH("营",'19.12'!U15)),(-$Y15+50*IF('19.12'!$AK15="是",'19.12'!$BB$4,'19.12'!$BB$3)),(VLOOKUP('19.12'!U15,'19.12'!$AO$4:$AQ$55,2,FALSE))*IF('19.12'!$AK15="是",'19.12'!$BB$4,'19.12'!$BB$3))</f>
        <v>190</v>
      </c>
      <c r="N15" s="4">
        <f>IF(ISNUMBER(SEARCH("营",'19.12'!V15)),(-$Y15+50*IF('19.12'!$AK15="是",'19.12'!$BB$4,'19.12'!$BB$3)),(VLOOKUP('19.12'!V15,'19.12'!$AO$4:$AQ$55,2,FALSE))*IF('19.12'!$AK15="是",'19.12'!$BB$4,'19.12'!$BB$3))</f>
        <v>190</v>
      </c>
      <c r="O15" s="4">
        <f>IF(ISNUMBER(SEARCH("营",'19.12'!W15)),(-$Y15+50*IF('19.12'!$AK15="是",'19.12'!$BB$4,'19.12'!$BB$3)),(VLOOKUP('19.12'!W15,'19.12'!$AO$4:$AQ$55,2,FALSE))*IF('19.12'!$AK15="是",'19.12'!$BB$4,'19.12'!$BB$3))</f>
        <v>0</v>
      </c>
      <c r="P15" s="4">
        <f>IF(ISNUMBER(SEARCH("营",'19.12'!X15)),(-$Y15+50*IF('19.12'!$AK15="是",'19.12'!$BB$4,'19.12'!$BB$3)),(VLOOKUP('19.12'!X15,'19.12'!$AO$4:$AQ$55,2,FALSE))*IF('19.12'!$AK15="是",'19.12'!$BB$4,'19.12'!$BB$3))</f>
        <v>0</v>
      </c>
      <c r="Q15" s="4">
        <f>IF(ISNUMBER(SEARCH("营",'19.12'!Y15)),(-$Y15+50*IF('19.12'!$AK15="是",'19.12'!$BB$4,'19.12'!$BB$3)),(VLOOKUP('19.12'!Y15,'19.12'!$AO$4:$AQ$55,2,FALSE))*IF('19.12'!$AK15="是",'19.12'!$BB$4,'19.12'!$BB$3))</f>
        <v>170</v>
      </c>
      <c r="R15" s="4">
        <f>IF(ISNUMBER(SEARCH("营",'19.12'!Z15)),(-$Y15+50*IF('19.12'!$AK15="是",'19.12'!$BB$4,'19.12'!$BB$3)),(VLOOKUP('19.12'!Z15,'19.12'!$AO$4:$AQ$55,2,FALSE))*IF('19.12'!$AK15="是",'19.12'!$BB$4,'19.12'!$BB$3))</f>
        <v>170</v>
      </c>
      <c r="S15" s="4">
        <f>IF(ISNUMBER(SEARCH("营",'19.12'!AA15)),(-$Y15+50*IF('19.12'!$AK15="是",'19.12'!$BB$4,'19.12'!$BB$3)),(VLOOKUP('19.12'!AA15,'19.12'!$AO$4:$AQ$55,2,FALSE))*IF('19.12'!$AK15="是",'19.12'!$BB$4,'19.12'!$BB$3))</f>
        <v>250</v>
      </c>
      <c r="T15" s="4">
        <f>IF(ISNUMBER(SEARCH("营",'19.12'!AB15)),(-$Y15+50*IF('19.12'!$AK15="是",'19.12'!$BB$4,'19.12'!$BB$3)),(VLOOKUP('19.12'!AB15,'19.12'!$AO$4:$AQ$55,2,FALSE))*IF('19.12'!$AK15="是",'19.12'!$BB$4,'19.12'!$BB$3))</f>
        <v>0</v>
      </c>
      <c r="U15" s="4">
        <f>IF(ISNUMBER(SEARCH("营",'19.12'!AC15)),(-$Y15+50*IF('19.12'!$AK15="是",'19.12'!$BB$4,'19.12'!$BB$3)),(VLOOKUP('19.12'!AC15,'19.12'!$AO$4:$AQ$55,2,FALSE))*IF('19.12'!$AK15="是",'19.12'!$BB$4,'19.12'!$BB$3))</f>
        <v>0</v>
      </c>
      <c r="V15" s="4">
        <f>IF(ISNUMBER(SEARCH("营",'19.12'!AD15)),(-$Y15+50*IF('19.12'!$AK15="是",'19.12'!$BB$4,'19.12'!$BB$3)),(VLOOKUP('19.12'!AD15,'19.12'!$AO$4:$AQ$55,2,FALSE))*IF('19.12'!$AK15="是",'19.12'!$BB$4,'19.12'!$BB$3))</f>
        <v>0</v>
      </c>
      <c r="W15" s="4">
        <f>IF(ISNUMBER(SEARCH("营",'19.12'!AE15)),(-$Y15+50*IF('19.12'!$AK15="是",'19.12'!$BB$4,'19.12'!$BB$3)),(VLOOKUP('19.12'!AE15,'19.12'!$AO$4:$AQ$55,2,FALSE))*IF('19.12'!$AK15="是",'19.12'!$BB$4,'19.12'!$BB$3))</f>
        <v>0</v>
      </c>
      <c r="X15" s="4">
        <f>IF(ISNUMBER(SEARCH("营",'19.12'!AF15)),(-$Y15+50*IF('19.12'!$AK15="是",'19.12'!$BB$4,'19.12'!$BB$3)),(VLOOKUP('19.12'!AF15,'19.12'!$AO$4:$AQ$55,2,FALSE))*IF('19.12'!$AK15="是",'19.12'!$BB$4,'19.12'!$BB$3))</f>
        <v>0</v>
      </c>
      <c r="Y15" s="16">
        <v>250</v>
      </c>
      <c r="Z15" s="17">
        <v>45741</v>
      </c>
    </row>
    <row r="16" spans="1:26">
      <c r="A16" s="4">
        <f>IF(ISNUMBER(SEARCH("营",'19.12'!I16)),(-$Y16+50*IF('19.12'!$AK16="是",'19.12'!$BB$4,'19.12'!$BB$3)),(VLOOKUP('19.12'!I16,'19.12'!$AO$4:$AQ$55,2,FALSE))*IF('19.12'!$AK16="是",'19.12'!$BB$4,'19.12'!$BB$3))</f>
        <v>0</v>
      </c>
      <c r="B16" s="4">
        <f>IF(ISNUMBER(SEARCH("营",'19.12'!J16)),(-$Y16+50*IF('19.12'!$AK16="是",'19.12'!$BB$4,'19.12'!$BB$3)),(VLOOKUP('19.12'!J16,'19.12'!$AO$4:$AQ$55,2,FALSE))*IF('19.12'!$AK16="是",'19.12'!$BB$4,'19.12'!$BB$3))</f>
        <v>0</v>
      </c>
      <c r="C16" s="4">
        <f>IF(ISNUMBER(SEARCH("营",'19.12'!K16)),(-$Y16+50*IF('19.12'!$AK16="是",'19.12'!$BB$4,'19.12'!$BB$3)),(VLOOKUP('19.12'!K16,'19.12'!$AO$4:$AQ$55,2,FALSE))*IF('19.12'!$AK16="是",'19.12'!$BB$4,'19.12'!$BB$3))</f>
        <v>0</v>
      </c>
      <c r="D16" s="4">
        <f>IF(ISNUMBER(SEARCH("营",'19.12'!L16)),(-$Y16+50*IF('19.12'!$AK16="是",'19.12'!$BB$4,'19.12'!$BB$3)),(VLOOKUP('19.12'!L16,'19.12'!$AO$4:$AQ$55,2,FALSE))*IF('19.12'!$AK16="是",'19.12'!$BB$4,'19.12'!$BB$3))</f>
        <v>0</v>
      </c>
      <c r="E16" s="4">
        <f>IF(ISNUMBER(SEARCH("营",'19.12'!M16)),(-$Y16+50*IF('19.12'!$AK16="是",'19.12'!$BB$4,'19.12'!$BB$3)),(VLOOKUP('19.12'!M16,'19.12'!$AO$4:$AQ$55,2,FALSE))*IF('19.12'!$AK16="是",'19.12'!$BB$4,'19.12'!$BB$3))</f>
        <v>0</v>
      </c>
      <c r="F16" s="4">
        <f>IF(ISNUMBER(SEARCH("营",'19.12'!N16)),(-$Y16+50*IF('19.12'!$AK16="是",'19.12'!$BB$4,'19.12'!$BB$3)),(VLOOKUP('19.12'!N16,'19.12'!$AO$4:$AQ$55,2,FALSE))*IF('19.12'!$AK16="是",'19.12'!$BB$4,'19.12'!$BB$3))</f>
        <v>0</v>
      </c>
      <c r="G16" s="4">
        <f>IF(ISNUMBER(SEARCH("营",'19.12'!O16)),(-$Y16+50*IF('19.12'!$AK16="是",'19.12'!$BB$4,'19.12'!$BB$3)),(VLOOKUP('19.12'!O16,'19.12'!$AO$4:$AQ$55,2,FALSE))*IF('19.12'!$AK16="是",'19.12'!$BB$4,'19.12'!$BB$3))</f>
        <v>0</v>
      </c>
      <c r="H16" s="4">
        <f>IF(ISNUMBER(SEARCH("营",'19.12'!P16)),(-$Y16+50*IF('19.12'!$AK16="是",'19.12'!$BB$4,'19.12'!$BB$3)),(VLOOKUP('19.12'!P16,'19.12'!$AO$4:$AQ$55,2,FALSE))*IF('19.12'!$AK16="是",'19.12'!$BB$4,'19.12'!$BB$3))</f>
        <v>0</v>
      </c>
      <c r="I16" s="4">
        <f>IF(ISNUMBER(SEARCH("营",'19.12'!Q16)),(-$Y16+50*IF('19.12'!$AK16="是",'19.12'!$BB$4,'19.12'!$BB$3)),(VLOOKUP('19.12'!Q16,'19.12'!$AO$4:$AQ$55,2,FALSE))*IF('19.12'!$AK16="是",'19.12'!$BB$4,'19.12'!$BB$3))</f>
        <v>190</v>
      </c>
      <c r="J16" s="4">
        <f>IF(ISNUMBER(SEARCH("营",'19.12'!R16)),(-$Y16+50*IF('19.12'!$AK16="是",'19.12'!$BB$4,'19.12'!$BB$3)),(VLOOKUP('19.12'!R16,'19.12'!$AO$4:$AQ$55,2,FALSE))*IF('19.12'!$AK16="是",'19.12'!$BB$4,'19.12'!$BB$3))</f>
        <v>190</v>
      </c>
      <c r="K16" s="4">
        <f>IF(ISNUMBER(SEARCH("营",'19.12'!S16)),(-$Y16+50*IF('19.12'!$AK16="是",'19.12'!$BB$4,'19.12'!$BB$3)),(VLOOKUP('19.12'!S16,'19.12'!$AO$4:$AQ$55,2,FALSE))*IF('19.12'!$AK16="是",'19.12'!$BB$4,'19.12'!$BB$3))</f>
        <v>170</v>
      </c>
      <c r="L16" s="4">
        <f>IF(ISNUMBER(SEARCH("营",'19.12'!T16)),(-$Y16+50*IF('19.12'!$AK16="是",'19.12'!$BB$4,'19.12'!$BB$3)),(VLOOKUP('19.12'!T16,'19.12'!$AO$4:$AQ$55,2,FALSE))*IF('19.12'!$AK16="是",'19.12'!$BB$4,'19.12'!$BB$3))</f>
        <v>170</v>
      </c>
      <c r="M16" s="4">
        <f>IF(ISNUMBER(SEARCH("营",'19.12'!U16)),(-$Y16+50*IF('19.12'!$AK16="是",'19.12'!$BB$4,'19.12'!$BB$3)),(VLOOKUP('19.12'!U16,'19.12'!$AO$4:$AQ$55,2,FALSE))*IF('19.12'!$AK16="是",'19.12'!$BB$4,'19.12'!$BB$3))</f>
        <v>170</v>
      </c>
      <c r="N16" s="4">
        <f>IF(ISNUMBER(SEARCH("营",'19.12'!V16)),(-$Y16+50*IF('19.12'!$AK16="是",'19.12'!$BB$4,'19.12'!$BB$3)),(VLOOKUP('19.12'!V16,'19.12'!$AO$4:$AQ$55,2,FALSE))*IF('19.12'!$AK16="是",'19.12'!$BB$4,'19.12'!$BB$3))</f>
        <v>170</v>
      </c>
      <c r="O16" s="4">
        <f>IF(ISNUMBER(SEARCH("营",'19.12'!W16)),(-$Y16+50*IF('19.12'!$AK16="是",'19.12'!$BB$4,'19.12'!$BB$3)),(VLOOKUP('19.12'!W16,'19.12'!$AO$4:$AQ$55,2,FALSE))*IF('19.12'!$AK16="是",'19.12'!$BB$4,'19.12'!$BB$3))</f>
        <v>170</v>
      </c>
      <c r="P16" s="4">
        <f>IF(ISNUMBER(SEARCH("营",'19.12'!X16)),(-$Y16+50*IF('19.12'!$AK16="是",'19.12'!$BB$4,'19.12'!$BB$3)),(VLOOKUP('19.12'!X16,'19.12'!$AO$4:$AQ$55,2,FALSE))*IF('19.12'!$AK16="是",'19.12'!$BB$4,'19.12'!$BB$3))</f>
        <v>250</v>
      </c>
      <c r="Q16" s="4">
        <f>IF(ISNUMBER(SEARCH("营",'19.12'!Y16)),(-$Y16+50*IF('19.12'!$AK16="是",'19.12'!$BB$4,'19.12'!$BB$3)),(VLOOKUP('19.12'!Y16,'19.12'!$AO$4:$AQ$55,2,FALSE))*IF('19.12'!$AK16="是",'19.12'!$BB$4,'19.12'!$BB$3))</f>
        <v>170</v>
      </c>
      <c r="R16" s="4">
        <f>IF(ISNUMBER(SEARCH("营",'19.12'!Z16)),(-$Y16+50*IF('19.12'!$AK16="是",'19.12'!$BB$4,'19.12'!$BB$3)),(VLOOKUP('19.12'!Z16,'19.12'!$AO$4:$AQ$55,2,FALSE))*IF('19.12'!$AK16="是",'19.12'!$BB$4,'19.12'!$BB$3))</f>
        <v>170</v>
      </c>
      <c r="S16" s="4">
        <f>IF(ISNUMBER(SEARCH("营",'19.12'!AA16)),(-$Y16+50*IF('19.12'!$AK16="是",'19.12'!$BB$4,'19.12'!$BB$3)),(VLOOKUP('19.12'!AA16,'19.12'!$AO$4:$AQ$55,2,FALSE))*IF('19.12'!$AK16="是",'19.12'!$BB$4,'19.12'!$BB$3))</f>
        <v>170</v>
      </c>
      <c r="T16" s="4">
        <f>IF(ISNUMBER(SEARCH("营",'19.12'!AB16)),(-$Y16+50*IF('19.12'!$AK16="是",'19.12'!$BB$4,'19.12'!$BB$3)),(VLOOKUP('19.12'!AB16,'19.12'!$AO$4:$AQ$55,2,FALSE))*IF('19.12'!$AK16="是",'19.12'!$BB$4,'19.12'!$BB$3))</f>
        <v>170</v>
      </c>
      <c r="U16" s="4">
        <f>IF(ISNUMBER(SEARCH("营",'19.12'!AC16)),(-$Y16+50*IF('19.12'!$AK16="是",'19.12'!$BB$4,'19.12'!$BB$3)),(VLOOKUP('19.12'!AC16,'19.12'!$AO$4:$AQ$55,2,FALSE))*IF('19.12'!$AK16="是",'19.12'!$BB$4,'19.12'!$BB$3))</f>
        <v>170</v>
      </c>
      <c r="V16" s="4">
        <f>IF(ISNUMBER(SEARCH("营",'19.12'!AD16)),(-$Y16+50*IF('19.12'!$AK16="是",'19.12'!$BB$4,'19.12'!$BB$3)),(VLOOKUP('19.12'!AD16,'19.12'!$AO$4:$AQ$55,2,FALSE))*IF('19.12'!$AK16="是",'19.12'!$BB$4,'19.12'!$BB$3))</f>
        <v>170</v>
      </c>
      <c r="W16" s="4">
        <f>IF(ISNUMBER(SEARCH("营",'19.12'!AE16)),(-$Y16+50*IF('19.12'!$AK16="是",'19.12'!$BB$4,'19.12'!$BB$3)),(VLOOKUP('19.12'!AE16,'19.12'!$AO$4:$AQ$55,2,FALSE))*IF('19.12'!$AK16="是",'19.12'!$BB$4,'19.12'!$BB$3))</f>
        <v>0</v>
      </c>
      <c r="X16" s="4">
        <f>IF(ISNUMBER(SEARCH("营",'19.12'!AF16)),(-$Y16+50*IF('19.12'!$AK16="是",'19.12'!$BB$4,'19.12'!$BB$3)),(VLOOKUP('19.12'!AF16,'19.12'!$AO$4:$AQ$55,2,FALSE))*IF('19.12'!$AK16="是",'19.12'!$BB$4,'19.12'!$BB$3))</f>
        <v>0</v>
      </c>
      <c r="Y16" s="16">
        <v>250</v>
      </c>
      <c r="Z16" s="17">
        <v>45742</v>
      </c>
    </row>
    <row r="17" spans="1:26">
      <c r="A17" s="4">
        <f>IF(ISNUMBER(SEARCH("营",'19.12'!I17)),(-$Y17+50*IF('19.12'!$AK17="是",'19.12'!$BB$4,'19.12'!$BB$3)),(VLOOKUP('19.12'!I17,'19.12'!$AO$4:$AQ$55,2,FALSE))*IF('19.12'!$AK17="是",'19.12'!$BB$4,'19.12'!$BB$3))</f>
        <v>0</v>
      </c>
      <c r="B17" s="4">
        <f>IF(ISNUMBER(SEARCH("营",'19.12'!J17)),(-$Y17+50*IF('19.12'!$AK17="是",'19.12'!$BB$4,'19.12'!$BB$3)),(VLOOKUP('19.12'!J17,'19.12'!$AO$4:$AQ$55,2,FALSE))*IF('19.12'!$AK17="是",'19.12'!$BB$4,'19.12'!$BB$3))</f>
        <v>0</v>
      </c>
      <c r="C17" s="4">
        <f>IF(ISNUMBER(SEARCH("营",'19.12'!K17)),(-$Y17+50*IF('19.12'!$AK17="是",'19.12'!$BB$4,'19.12'!$BB$3)),(VLOOKUP('19.12'!K17,'19.12'!$AO$4:$AQ$55,2,FALSE))*IF('19.12'!$AK17="是",'19.12'!$BB$4,'19.12'!$BB$3))</f>
        <v>0</v>
      </c>
      <c r="D17" s="4">
        <f>IF(ISNUMBER(SEARCH("营",'19.12'!L17)),(-$Y17+50*IF('19.12'!$AK17="是",'19.12'!$BB$4,'19.12'!$BB$3)),(VLOOKUP('19.12'!L17,'19.12'!$AO$4:$AQ$55,2,FALSE))*IF('19.12'!$AK17="是",'19.12'!$BB$4,'19.12'!$BB$3))</f>
        <v>0</v>
      </c>
      <c r="E17" s="4">
        <f>IF(ISNUMBER(SEARCH("营",'19.12'!M17)),(-$Y17+50*IF('19.12'!$AK17="是",'19.12'!$BB$4,'19.12'!$BB$3)),(VLOOKUP('19.12'!M17,'19.12'!$AO$4:$AQ$55,2,FALSE))*IF('19.12'!$AK17="是",'19.12'!$BB$4,'19.12'!$BB$3))</f>
        <v>0</v>
      </c>
      <c r="F17" s="4">
        <f>IF(ISNUMBER(SEARCH("营",'19.12'!N17)),(-$Y17+50*IF('19.12'!$AK17="是",'19.12'!$BB$4,'19.12'!$BB$3)),(VLOOKUP('19.12'!N17,'19.12'!$AO$4:$AQ$55,2,FALSE))*IF('19.12'!$AK17="是",'19.12'!$BB$4,'19.12'!$BB$3))</f>
        <v>0</v>
      </c>
      <c r="G17" s="4">
        <f>IF(ISNUMBER(SEARCH("营",'19.12'!O17)),(-$Y17+50*IF('19.12'!$AK17="是",'19.12'!$BB$4,'19.12'!$BB$3)),(VLOOKUP('19.12'!O17,'19.12'!$AO$4:$AQ$55,2,FALSE))*IF('19.12'!$AK17="是",'19.12'!$BB$4,'19.12'!$BB$3))</f>
        <v>0</v>
      </c>
      <c r="H17" s="4">
        <f>IF(ISNUMBER(SEARCH("营",'19.12'!P17)),(-$Y17+50*IF('19.12'!$AK17="是",'19.12'!$BB$4,'19.12'!$BB$3)),(VLOOKUP('19.12'!P17,'19.12'!$AO$4:$AQ$55,2,FALSE))*IF('19.12'!$AK17="是",'19.12'!$BB$4,'19.12'!$BB$3))</f>
        <v>0</v>
      </c>
      <c r="I17" s="4">
        <f>IF(ISNUMBER(SEARCH("营",'19.12'!Q17)),(-$Y17+50*IF('19.12'!$AK17="是",'19.12'!$BB$4,'19.12'!$BB$3)),(VLOOKUP('19.12'!Q17,'19.12'!$AO$4:$AQ$55,2,FALSE))*IF('19.12'!$AK17="是",'19.12'!$BB$4,'19.12'!$BB$3))</f>
        <v>136</v>
      </c>
      <c r="J17" s="4">
        <f>IF(ISNUMBER(SEARCH("营",'19.12'!R17)),(-$Y17+50*IF('19.12'!$AK17="是",'19.12'!$BB$4,'19.12'!$BB$3)),(VLOOKUP('19.12'!R17,'19.12'!$AO$4:$AQ$55,2,FALSE))*IF('19.12'!$AK17="是",'19.12'!$BB$4,'19.12'!$BB$3))</f>
        <v>136</v>
      </c>
      <c r="K17" s="4">
        <f>IF(ISNUMBER(SEARCH("营",'19.12'!S17)),(-$Y17+50*IF('19.12'!$AK17="是",'19.12'!$BB$4,'19.12'!$BB$3)),(VLOOKUP('19.12'!S17,'19.12'!$AO$4:$AQ$55,2,FALSE))*IF('19.12'!$AK17="是",'19.12'!$BB$4,'19.12'!$BB$3))</f>
        <v>136</v>
      </c>
      <c r="L17" s="4">
        <f>IF(ISNUMBER(SEARCH("营",'19.12'!T17)),(-$Y17+50*IF('19.12'!$AK17="是",'19.12'!$BB$4,'19.12'!$BB$3)),(VLOOKUP('19.12'!T17,'19.12'!$AO$4:$AQ$55,2,FALSE))*IF('19.12'!$AK17="是",'19.12'!$BB$4,'19.12'!$BB$3))</f>
        <v>136</v>
      </c>
      <c r="M17" s="4">
        <f>IF(ISNUMBER(SEARCH("营",'19.12'!U17)),(-$Y17+50*IF('19.12'!$AK17="是",'19.12'!$BB$4,'19.12'!$BB$3)),(VLOOKUP('19.12'!U17,'19.12'!$AO$4:$AQ$55,2,FALSE))*IF('19.12'!$AK17="是",'19.12'!$BB$4,'19.12'!$BB$3))</f>
        <v>0</v>
      </c>
      <c r="N17" s="4">
        <f>IF(ISNUMBER(SEARCH("营",'19.12'!V17)),(-$Y17+50*IF('19.12'!$AK17="是",'19.12'!$BB$4,'19.12'!$BB$3)),(VLOOKUP('19.12'!V17,'19.12'!$AO$4:$AQ$55,2,FALSE))*IF('19.12'!$AK17="是",'19.12'!$BB$4,'19.12'!$BB$3))</f>
        <v>0</v>
      </c>
      <c r="O17" s="4">
        <f>IF(ISNUMBER(SEARCH("营",'19.12'!W17)),(-$Y17+50*IF('19.12'!$AK17="是",'19.12'!$BB$4,'19.12'!$BB$3)),(VLOOKUP('19.12'!W17,'19.12'!$AO$4:$AQ$55,2,FALSE))*IF('19.12'!$AK17="是",'19.12'!$BB$4,'19.12'!$BB$3))</f>
        <v>0</v>
      </c>
      <c r="P17" s="4">
        <f>IF(ISNUMBER(SEARCH("营",'19.12'!X17)),(-$Y17+50*IF('19.12'!$AK17="是",'19.12'!$BB$4,'19.12'!$BB$3)),(VLOOKUP('19.12'!X17,'19.12'!$AO$4:$AQ$55,2,FALSE))*IF('19.12'!$AK17="是",'19.12'!$BB$4,'19.12'!$BB$3))</f>
        <v>0</v>
      </c>
      <c r="Q17" s="4">
        <f>IF(ISNUMBER(SEARCH("营",'19.12'!Y17)),(-$Y17+50*IF('19.12'!$AK17="是",'19.12'!$BB$4,'19.12'!$BB$3)),(VLOOKUP('19.12'!Y17,'19.12'!$AO$4:$AQ$55,2,FALSE))*IF('19.12'!$AK17="是",'19.12'!$BB$4,'19.12'!$BB$3))</f>
        <v>-210</v>
      </c>
      <c r="R17" s="4">
        <f>IF(ISNUMBER(SEARCH("营",'19.12'!Z17)),(-$Y17+50*IF('19.12'!$AK17="是",'19.12'!$BB$4,'19.12'!$BB$3)),(VLOOKUP('19.12'!Z17,'19.12'!$AO$4:$AQ$55,2,FALSE))*IF('19.12'!$AK17="是",'19.12'!$BB$4,'19.12'!$BB$3))</f>
        <v>136</v>
      </c>
      <c r="S17" s="4">
        <f>IF(ISNUMBER(SEARCH("营",'19.12'!AA17)),(-$Y17+50*IF('19.12'!$AK17="是",'19.12'!$BB$4,'19.12'!$BB$3)),(VLOOKUP('19.12'!AA17,'19.12'!$AO$4:$AQ$55,2,FALSE))*IF('19.12'!$AK17="是",'19.12'!$BB$4,'19.12'!$BB$3))</f>
        <v>136</v>
      </c>
      <c r="T17" s="4">
        <f>IF(ISNUMBER(SEARCH("营",'19.12'!AB17)),(-$Y17+50*IF('19.12'!$AK17="是",'19.12'!$BB$4,'19.12'!$BB$3)),(VLOOKUP('19.12'!AB17,'19.12'!$AO$4:$AQ$55,2,FALSE))*IF('19.12'!$AK17="是",'19.12'!$BB$4,'19.12'!$BB$3))</f>
        <v>136</v>
      </c>
      <c r="U17" s="4">
        <f>IF(ISNUMBER(SEARCH("营",'19.12'!AC17)),(-$Y17+50*IF('19.12'!$AK17="是",'19.12'!$BB$4,'19.12'!$BB$3)),(VLOOKUP('19.12'!AC17,'19.12'!$AO$4:$AQ$55,2,FALSE))*IF('19.12'!$AK17="是",'19.12'!$BB$4,'19.12'!$BB$3))</f>
        <v>136</v>
      </c>
      <c r="V17" s="4">
        <f>IF(ISNUMBER(SEARCH("营",'19.12'!AD17)),(-$Y17+50*IF('19.12'!$AK17="是",'19.12'!$BB$4,'19.12'!$BB$3)),(VLOOKUP('19.12'!AD17,'19.12'!$AO$4:$AQ$55,2,FALSE))*IF('19.12'!$AK17="是",'19.12'!$BB$4,'19.12'!$BB$3))</f>
        <v>0</v>
      </c>
      <c r="W17" s="4">
        <f>IF(ISNUMBER(SEARCH("营",'19.12'!AE17)),(-$Y17+50*IF('19.12'!$AK17="是",'19.12'!$BB$4,'19.12'!$BB$3)),(VLOOKUP('19.12'!AE17,'19.12'!$AO$4:$AQ$55,2,FALSE))*IF('19.12'!$AK17="是",'19.12'!$BB$4,'19.12'!$BB$3))</f>
        <v>144</v>
      </c>
      <c r="X17" s="4">
        <f>IF(ISNUMBER(SEARCH("营",'19.12'!AF17)),(-$Y17+50*IF('19.12'!$AK17="是",'19.12'!$BB$4,'19.12'!$BB$3)),(VLOOKUP('19.12'!AF17,'19.12'!$AO$4:$AQ$55,2,FALSE))*IF('19.12'!$AK17="是",'19.12'!$BB$4,'19.12'!$BB$3))</f>
        <v>144</v>
      </c>
      <c r="Y17" s="16">
        <v>250</v>
      </c>
      <c r="Z17" s="17">
        <v>45743</v>
      </c>
    </row>
    <row r="18" spans="1:26">
      <c r="A18" s="4">
        <f>IF(ISNUMBER(SEARCH("营",'19.12'!I18)),(-$Y18+50*IF('19.12'!$AK18="是",'19.12'!$BB$4,'19.12'!$BB$3)),(VLOOKUP('19.12'!I18,'19.12'!$AO$4:$AQ$55,2,FALSE))*IF('19.12'!$AK18="是",'19.12'!$BB$4,'19.12'!$BB$3))</f>
        <v>0</v>
      </c>
      <c r="B18" s="4">
        <f>IF(ISNUMBER(SEARCH("营",'19.12'!J18)),(-$Y18+50*IF('19.12'!$AK18="是",'19.12'!$BB$4,'19.12'!$BB$3)),(VLOOKUP('19.12'!J18,'19.12'!$AO$4:$AQ$55,2,FALSE))*IF('19.12'!$AK18="是",'19.12'!$BB$4,'19.12'!$BB$3))</f>
        <v>0</v>
      </c>
      <c r="C18" s="4">
        <f>IF(ISNUMBER(SEARCH("营",'19.12'!K18)),(-$Y18+50*IF('19.12'!$AK18="是",'19.12'!$BB$4,'19.12'!$BB$3)),(VLOOKUP('19.12'!K18,'19.12'!$AO$4:$AQ$55,2,FALSE))*IF('19.12'!$AK18="是",'19.12'!$BB$4,'19.12'!$BB$3))</f>
        <v>0</v>
      </c>
      <c r="D18" s="4">
        <f>IF(ISNUMBER(SEARCH("营",'19.12'!L18)),(-$Y18+50*IF('19.12'!$AK18="是",'19.12'!$BB$4,'19.12'!$BB$3)),(VLOOKUP('19.12'!L18,'19.12'!$AO$4:$AQ$55,2,FALSE))*IF('19.12'!$AK18="是",'19.12'!$BB$4,'19.12'!$BB$3))</f>
        <v>0</v>
      </c>
      <c r="E18" s="4">
        <f>IF(ISNUMBER(SEARCH("营",'19.12'!M18)),(-$Y18+50*IF('19.12'!$AK18="是",'19.12'!$BB$4,'19.12'!$BB$3)),(VLOOKUP('19.12'!M18,'19.12'!$AO$4:$AQ$55,2,FALSE))*IF('19.12'!$AK18="是",'19.12'!$BB$4,'19.12'!$BB$3))</f>
        <v>0</v>
      </c>
      <c r="F18" s="4">
        <f>IF(ISNUMBER(SEARCH("营",'19.12'!N18)),(-$Y18+50*IF('19.12'!$AK18="是",'19.12'!$BB$4,'19.12'!$BB$3)),(VLOOKUP('19.12'!N18,'19.12'!$AO$4:$AQ$55,2,FALSE))*IF('19.12'!$AK18="是",'19.12'!$BB$4,'19.12'!$BB$3))</f>
        <v>0</v>
      </c>
      <c r="G18" s="4">
        <f>IF(ISNUMBER(SEARCH("营",'19.12'!O18)),(-$Y18+50*IF('19.12'!$AK18="是",'19.12'!$BB$4,'19.12'!$BB$3)),(VLOOKUP('19.12'!O18,'19.12'!$AO$4:$AQ$55,2,FALSE))*IF('19.12'!$AK18="是",'19.12'!$BB$4,'19.12'!$BB$3))</f>
        <v>0</v>
      </c>
      <c r="H18" s="4">
        <f>IF(ISNUMBER(SEARCH("营",'19.12'!P18)),(-$Y18+50*IF('19.12'!$AK18="是",'19.12'!$BB$4,'19.12'!$BB$3)),(VLOOKUP('19.12'!P18,'19.12'!$AO$4:$AQ$55,2,FALSE))*IF('19.12'!$AK18="是",'19.12'!$BB$4,'19.12'!$BB$3))</f>
        <v>0</v>
      </c>
      <c r="I18" s="4">
        <f>IF(ISNUMBER(SEARCH("营",'19.12'!Q18)),(-$Y18+50*IF('19.12'!$AK18="是",'19.12'!$BB$4,'19.12'!$BB$3)),(VLOOKUP('19.12'!Q18,'19.12'!$AO$4:$AQ$55,2,FALSE))*IF('19.12'!$AK18="是",'19.12'!$BB$4,'19.12'!$BB$3))</f>
        <v>152</v>
      </c>
      <c r="J18" s="4">
        <f>IF(ISNUMBER(SEARCH("营",'19.12'!R18)),(-$Y18+50*IF('19.12'!$AK18="是",'19.12'!$BB$4,'19.12'!$BB$3)),(VLOOKUP('19.12'!R18,'19.12'!$AO$4:$AQ$55,2,FALSE))*IF('19.12'!$AK18="是",'19.12'!$BB$4,'19.12'!$BB$3))</f>
        <v>152</v>
      </c>
      <c r="K18" s="4">
        <f>IF(ISNUMBER(SEARCH("营",'19.12'!S18)),(-$Y18+50*IF('19.12'!$AK18="是",'19.12'!$BB$4,'19.12'!$BB$3)),(VLOOKUP('19.12'!S18,'19.12'!$AO$4:$AQ$55,2,FALSE))*IF('19.12'!$AK18="是",'19.12'!$BB$4,'19.12'!$BB$3))</f>
        <v>152</v>
      </c>
      <c r="L18" s="4">
        <f>IF(ISNUMBER(SEARCH("营",'19.12'!T18)),(-$Y18+50*IF('19.12'!$AK18="是",'19.12'!$BB$4,'19.12'!$BB$3)),(VLOOKUP('19.12'!T18,'19.12'!$AO$4:$AQ$55,2,FALSE))*IF('19.12'!$AK18="是",'19.12'!$BB$4,'19.12'!$BB$3))</f>
        <v>120</v>
      </c>
      <c r="M18" s="4">
        <f>IF(ISNUMBER(SEARCH("营",'19.12'!U18)),(-$Y18+50*IF('19.12'!$AK18="是",'19.12'!$BB$4,'19.12'!$BB$3)),(VLOOKUP('19.12'!U18,'19.12'!$AO$4:$AQ$55,2,FALSE))*IF('19.12'!$AK18="是",'19.12'!$BB$4,'19.12'!$BB$3))</f>
        <v>152</v>
      </c>
      <c r="N18" s="4">
        <f>IF(ISNUMBER(SEARCH("营",'19.12'!V18)),(-$Y18+50*IF('19.12'!$AK18="是",'19.12'!$BB$4,'19.12'!$BB$3)),(VLOOKUP('19.12'!V18,'19.12'!$AO$4:$AQ$55,2,FALSE))*IF('19.12'!$AK18="是",'19.12'!$BB$4,'19.12'!$BB$3))</f>
        <v>152</v>
      </c>
      <c r="O18" s="4">
        <f>IF(ISNUMBER(SEARCH("营",'19.12'!W18)),(-$Y18+50*IF('19.12'!$AK18="是",'19.12'!$BB$4,'19.12'!$BB$3)),(VLOOKUP('19.12'!W18,'19.12'!$AO$4:$AQ$55,2,FALSE))*IF('19.12'!$AK18="是",'19.12'!$BB$4,'19.12'!$BB$3))</f>
        <v>0</v>
      </c>
      <c r="P18" s="4">
        <f>IF(ISNUMBER(SEARCH("营",'19.12'!X18)),(-$Y18+50*IF('19.12'!$AK18="是",'19.12'!$BB$4,'19.12'!$BB$3)),(VLOOKUP('19.12'!X18,'19.12'!$AO$4:$AQ$55,2,FALSE))*IF('19.12'!$AK18="是",'19.12'!$BB$4,'19.12'!$BB$3))</f>
        <v>0</v>
      </c>
      <c r="Q18" s="4">
        <f>IF(ISNUMBER(SEARCH("营",'19.12'!Y18)),(-$Y18+50*IF('19.12'!$AK18="是",'19.12'!$BB$4,'19.12'!$BB$3)),(VLOOKUP('19.12'!Y18,'19.12'!$AO$4:$AQ$55,2,FALSE))*IF('19.12'!$AK18="是",'19.12'!$BB$4,'19.12'!$BB$3))</f>
        <v>144</v>
      </c>
      <c r="R18" s="4">
        <f>IF(ISNUMBER(SEARCH("营",'19.12'!Z18)),(-$Y18+50*IF('19.12'!$AK18="是",'19.12'!$BB$4,'19.12'!$BB$3)),(VLOOKUP('19.12'!Z18,'19.12'!$AO$4:$AQ$55,2,FALSE))*IF('19.12'!$AK18="是",'19.12'!$BB$4,'19.12'!$BB$3))</f>
        <v>-210</v>
      </c>
      <c r="S18" s="4">
        <f>IF(ISNUMBER(SEARCH("营",'19.12'!AA18)),(-$Y18+50*IF('19.12'!$AK18="是",'19.12'!$BB$4,'19.12'!$BB$3)),(VLOOKUP('19.12'!AA18,'19.12'!$AO$4:$AQ$55,2,FALSE))*IF('19.12'!$AK18="是",'19.12'!$BB$4,'19.12'!$BB$3))</f>
        <v>144</v>
      </c>
      <c r="T18" s="4">
        <f>IF(ISNUMBER(SEARCH("营",'19.12'!AB18)),(-$Y18+50*IF('19.12'!$AK18="是",'19.12'!$BB$4,'19.12'!$BB$3)),(VLOOKUP('19.12'!AB18,'19.12'!$AO$4:$AQ$55,2,FALSE))*IF('19.12'!$AK18="是",'19.12'!$BB$4,'19.12'!$BB$3))</f>
        <v>120</v>
      </c>
      <c r="U18" s="4">
        <f>IF(ISNUMBER(SEARCH("营",'19.12'!AC18)),(-$Y18+50*IF('19.12'!$AK18="是",'19.12'!$BB$4,'19.12'!$BB$3)),(VLOOKUP('19.12'!AC18,'19.12'!$AO$4:$AQ$55,2,FALSE))*IF('19.12'!$AK18="是",'19.12'!$BB$4,'19.12'!$BB$3))</f>
        <v>144</v>
      </c>
      <c r="V18" s="4">
        <f>IF(ISNUMBER(SEARCH("营",'19.12'!AD18)),(-$Y18+50*IF('19.12'!$AK18="是",'19.12'!$BB$4,'19.12'!$BB$3)),(VLOOKUP('19.12'!AD18,'19.12'!$AO$4:$AQ$55,2,FALSE))*IF('19.12'!$AK18="是",'19.12'!$BB$4,'19.12'!$BB$3))</f>
        <v>144</v>
      </c>
      <c r="W18" s="4">
        <f>IF(ISNUMBER(SEARCH("营",'19.12'!AE18)),(-$Y18+50*IF('19.12'!$AK18="是",'19.12'!$BB$4,'19.12'!$BB$3)),(VLOOKUP('19.12'!AE18,'19.12'!$AO$4:$AQ$55,2,FALSE))*IF('19.12'!$AK18="是",'19.12'!$BB$4,'19.12'!$BB$3))</f>
        <v>40</v>
      </c>
      <c r="X18" s="4">
        <f>IF(ISNUMBER(SEARCH("营",'19.12'!AF18)),(-$Y18+50*IF('19.12'!$AK18="是",'19.12'!$BB$4,'19.12'!$BB$3)),(VLOOKUP('19.12'!AF18,'19.12'!$AO$4:$AQ$55,2,FALSE))*IF('19.12'!$AK18="是",'19.12'!$BB$4,'19.12'!$BB$3))</f>
        <v>152</v>
      </c>
      <c r="Y18" s="16">
        <v>250</v>
      </c>
      <c r="Z18" s="17">
        <v>45744</v>
      </c>
    </row>
    <row r="19" spans="1:26">
      <c r="A19" s="4">
        <f>IF(ISNUMBER(SEARCH("营",'19.12'!I19)),(-$Y19+50*IF('19.12'!$AK19="是",'19.12'!$BB$4,'19.12'!$BB$3)),(VLOOKUP('19.12'!I19,'19.12'!$AO$4:$AQ$55,2,FALSE))*IF('19.12'!$AK19="是",'19.12'!$BB$4,'19.12'!$BB$3))</f>
        <v>0</v>
      </c>
      <c r="B19" s="4">
        <f>IF(ISNUMBER(SEARCH("营",'19.12'!J19)),(-$Y19+50*IF('19.12'!$AK19="是",'19.12'!$BB$4,'19.12'!$BB$3)),(VLOOKUP('19.12'!J19,'19.12'!$AO$4:$AQ$55,2,FALSE))*IF('19.12'!$AK19="是",'19.12'!$BB$4,'19.12'!$BB$3))</f>
        <v>0</v>
      </c>
      <c r="C19" s="4">
        <f>IF(ISNUMBER(SEARCH("营",'19.12'!K19)),(-$Y19+50*IF('19.12'!$AK19="是",'19.12'!$BB$4,'19.12'!$BB$3)),(VLOOKUP('19.12'!K19,'19.12'!$AO$4:$AQ$55,2,FALSE))*IF('19.12'!$AK19="是",'19.12'!$BB$4,'19.12'!$BB$3))</f>
        <v>0</v>
      </c>
      <c r="D19" s="4">
        <f>IF(ISNUMBER(SEARCH("营",'19.12'!L19)),(-$Y19+50*IF('19.12'!$AK19="是",'19.12'!$BB$4,'19.12'!$BB$3)),(VLOOKUP('19.12'!L19,'19.12'!$AO$4:$AQ$55,2,FALSE))*IF('19.12'!$AK19="是",'19.12'!$BB$4,'19.12'!$BB$3))</f>
        <v>0</v>
      </c>
      <c r="E19" s="4">
        <f>IF(ISNUMBER(SEARCH("营",'19.12'!M19)),(-$Y19+50*IF('19.12'!$AK19="是",'19.12'!$BB$4,'19.12'!$BB$3)),(VLOOKUP('19.12'!M19,'19.12'!$AO$4:$AQ$55,2,FALSE))*IF('19.12'!$AK19="是",'19.12'!$BB$4,'19.12'!$BB$3))</f>
        <v>0</v>
      </c>
      <c r="F19" s="4">
        <f>IF(ISNUMBER(SEARCH("营",'19.12'!N19)),(-$Y19+50*IF('19.12'!$AK19="是",'19.12'!$BB$4,'19.12'!$BB$3)),(VLOOKUP('19.12'!N19,'19.12'!$AO$4:$AQ$55,2,FALSE))*IF('19.12'!$AK19="是",'19.12'!$BB$4,'19.12'!$BB$3))</f>
        <v>0</v>
      </c>
      <c r="G19" s="4">
        <f>IF(ISNUMBER(SEARCH("营",'19.12'!O19)),(-$Y19+50*IF('19.12'!$AK19="是",'19.12'!$BB$4,'19.12'!$BB$3)),(VLOOKUP('19.12'!O19,'19.12'!$AO$4:$AQ$55,2,FALSE))*IF('19.12'!$AK19="是",'19.12'!$BB$4,'19.12'!$BB$3))</f>
        <v>0</v>
      </c>
      <c r="H19" s="4">
        <f>IF(ISNUMBER(SEARCH("营",'19.12'!P19)),(-$Y19+50*IF('19.12'!$AK19="是",'19.12'!$BB$4,'19.12'!$BB$3)),(VLOOKUP('19.12'!P19,'19.12'!$AO$4:$AQ$55,2,FALSE))*IF('19.12'!$AK19="是",'19.12'!$BB$4,'19.12'!$BB$3))</f>
        <v>0</v>
      </c>
      <c r="I19" s="4">
        <f>IF(ISNUMBER(SEARCH("营",'19.12'!Q19)),(-$Y19+50*IF('19.12'!$AK19="是",'19.12'!$BB$4,'19.12'!$BB$3)),(VLOOKUP('19.12'!Q19,'19.12'!$AO$4:$AQ$55,2,FALSE))*IF('19.12'!$AK19="是",'19.12'!$BB$4,'19.12'!$BB$3))</f>
        <v>152</v>
      </c>
      <c r="J19" s="4">
        <f>IF(ISNUMBER(SEARCH("营",'19.12'!R19)),(-$Y19+50*IF('19.12'!$AK19="是",'19.12'!$BB$4,'19.12'!$BB$3)),(VLOOKUP('19.12'!R19,'19.12'!$AO$4:$AQ$55,2,FALSE))*IF('19.12'!$AK19="是",'19.12'!$BB$4,'19.12'!$BB$3))</f>
        <v>152</v>
      </c>
      <c r="K19" s="4">
        <f>IF(ISNUMBER(SEARCH("营",'19.12'!S19)),(-$Y19+50*IF('19.12'!$AK19="是",'19.12'!$BB$4,'19.12'!$BB$3)),(VLOOKUP('19.12'!S19,'19.12'!$AO$4:$AQ$55,2,FALSE))*IF('19.12'!$AK19="是",'19.12'!$BB$4,'19.12'!$BB$3))</f>
        <v>152</v>
      </c>
      <c r="L19" s="4">
        <f>IF(ISNUMBER(SEARCH("营",'19.12'!T19)),(-$Y19+50*IF('19.12'!$AK19="是",'19.12'!$BB$4,'19.12'!$BB$3)),(VLOOKUP('19.12'!T19,'19.12'!$AO$4:$AQ$55,2,FALSE))*IF('19.12'!$AK19="是",'19.12'!$BB$4,'19.12'!$BB$3))</f>
        <v>152</v>
      </c>
      <c r="M19" s="4">
        <f>IF(ISNUMBER(SEARCH("营",'19.12'!U19)),(-$Y19+50*IF('19.12'!$AK19="是",'19.12'!$BB$4,'19.12'!$BB$3)),(VLOOKUP('19.12'!U19,'19.12'!$AO$4:$AQ$55,2,FALSE))*IF('19.12'!$AK19="是",'19.12'!$BB$4,'19.12'!$BB$3))</f>
        <v>-210</v>
      </c>
      <c r="N19" s="4">
        <f>IF(ISNUMBER(SEARCH("营",'19.12'!V19)),(-$Y19+50*IF('19.12'!$AK19="是",'19.12'!$BB$4,'19.12'!$BB$3)),(VLOOKUP('19.12'!V19,'19.12'!$AO$4:$AQ$55,2,FALSE))*IF('19.12'!$AK19="是",'19.12'!$BB$4,'19.12'!$BB$3))</f>
        <v>152</v>
      </c>
      <c r="O19" s="4">
        <f>IF(ISNUMBER(SEARCH("营",'19.12'!W19)),(-$Y19+50*IF('19.12'!$AK19="是",'19.12'!$BB$4,'19.12'!$BB$3)),(VLOOKUP('19.12'!W19,'19.12'!$AO$4:$AQ$55,2,FALSE))*IF('19.12'!$AK19="是",'19.12'!$BB$4,'19.12'!$BB$3))</f>
        <v>152</v>
      </c>
      <c r="P19" s="4">
        <f>IF(ISNUMBER(SEARCH("营",'19.12'!X19)),(-$Y19+50*IF('19.12'!$AK19="是",'19.12'!$BB$4,'19.12'!$BB$3)),(VLOOKUP('19.12'!X19,'19.12'!$AO$4:$AQ$55,2,FALSE))*IF('19.12'!$AK19="是",'19.12'!$BB$4,'19.12'!$BB$3))</f>
        <v>152</v>
      </c>
      <c r="Q19" s="4">
        <f>IF(ISNUMBER(SEARCH("营",'19.12'!Y19)),(-$Y19+50*IF('19.12'!$AK19="是",'19.12'!$BB$4,'19.12'!$BB$3)),(VLOOKUP('19.12'!Y19,'19.12'!$AO$4:$AQ$55,2,FALSE))*IF('19.12'!$AK19="是",'19.12'!$BB$4,'19.12'!$BB$3))</f>
        <v>152</v>
      </c>
      <c r="R19" s="4">
        <f>IF(ISNUMBER(SEARCH("营",'19.12'!Z19)),(-$Y19+50*IF('19.12'!$AK19="是",'19.12'!$BB$4,'19.12'!$BB$3)),(VLOOKUP('19.12'!Z19,'19.12'!$AO$4:$AQ$55,2,FALSE))*IF('19.12'!$AK19="是",'19.12'!$BB$4,'19.12'!$BB$3))</f>
        <v>152</v>
      </c>
      <c r="S19" s="4">
        <f>IF(ISNUMBER(SEARCH("营",'19.12'!AA19)),(-$Y19+50*IF('19.12'!$AK19="是",'19.12'!$BB$4,'19.12'!$BB$3)),(VLOOKUP('19.12'!AA19,'19.12'!$AO$4:$AQ$55,2,FALSE))*IF('19.12'!$AK19="是",'19.12'!$BB$4,'19.12'!$BB$3))</f>
        <v>152</v>
      </c>
      <c r="T19" s="4">
        <f>IF(ISNUMBER(SEARCH("营",'19.12'!AB19)),(-$Y19+50*IF('19.12'!$AK19="是",'19.12'!$BB$4,'19.12'!$BB$3)),(VLOOKUP('19.12'!AB19,'19.12'!$AO$4:$AQ$55,2,FALSE))*IF('19.12'!$AK19="是",'19.12'!$BB$4,'19.12'!$BB$3))</f>
        <v>152</v>
      </c>
      <c r="U19" s="4">
        <f>IF(ISNUMBER(SEARCH("营",'19.12'!AC19)),(-$Y19+50*IF('19.12'!$AK19="是",'19.12'!$BB$4,'19.12'!$BB$3)),(VLOOKUP('19.12'!AC19,'19.12'!$AO$4:$AQ$55,2,FALSE))*IF('19.12'!$AK19="是",'19.12'!$BB$4,'19.12'!$BB$3))</f>
        <v>152</v>
      </c>
      <c r="V19" s="4">
        <f>IF(ISNUMBER(SEARCH("营",'19.12'!AD19)),(-$Y19+50*IF('19.12'!$AK19="是",'19.12'!$BB$4,'19.12'!$BB$3)),(VLOOKUP('19.12'!AD19,'19.12'!$AO$4:$AQ$55,2,FALSE))*IF('19.12'!$AK19="是",'19.12'!$BB$4,'19.12'!$BB$3))</f>
        <v>152</v>
      </c>
      <c r="W19" s="4">
        <f>IF(ISNUMBER(SEARCH("营",'19.12'!AE19)),(-$Y19+50*IF('19.12'!$AK19="是",'19.12'!$BB$4,'19.12'!$BB$3)),(VLOOKUP('19.12'!AE19,'19.12'!$AO$4:$AQ$55,2,FALSE))*IF('19.12'!$AK19="是",'19.12'!$BB$4,'19.12'!$BB$3))</f>
        <v>152</v>
      </c>
      <c r="X19" s="4">
        <f>IF(ISNUMBER(SEARCH("营",'19.12'!AF19)),(-$Y19+50*IF('19.12'!$AK19="是",'19.12'!$BB$4,'19.12'!$BB$3)),(VLOOKUP('19.12'!AF19,'19.12'!$AO$4:$AQ$55,2,FALSE))*IF('19.12'!$AK19="是",'19.12'!$BB$4,'19.12'!$BB$3))</f>
        <v>144</v>
      </c>
      <c r="Y19" s="16">
        <v>250</v>
      </c>
      <c r="Z19" s="17">
        <v>45745</v>
      </c>
    </row>
    <row r="20" spans="1:26">
      <c r="A20" s="4">
        <f>IF(ISNUMBER(SEARCH("营",'19.12'!I20)),(-$Y20+50*IF('19.12'!$AK20="是",'19.12'!$BB$4,'19.12'!$BB$3)),(VLOOKUP('19.12'!I20,'19.12'!$AO$4:$AQ$55,2,FALSE))*IF('19.12'!$AK20="是",'19.12'!$BB$4,'19.12'!$BB$3))</f>
        <v>0</v>
      </c>
      <c r="B20" s="4">
        <f>IF(ISNUMBER(SEARCH("营",'19.12'!J20)),(-$Y20+50*IF('19.12'!$AK20="是",'19.12'!$BB$4,'19.12'!$BB$3)),(VLOOKUP('19.12'!J20,'19.12'!$AO$4:$AQ$55,2,FALSE))*IF('19.12'!$AK20="是",'19.12'!$BB$4,'19.12'!$BB$3))</f>
        <v>0</v>
      </c>
      <c r="C20" s="4">
        <f>IF(ISNUMBER(SEARCH("营",'19.12'!K20)),(-$Y20+50*IF('19.12'!$AK20="是",'19.12'!$BB$4,'19.12'!$BB$3)),(VLOOKUP('19.12'!K20,'19.12'!$AO$4:$AQ$55,2,FALSE))*IF('19.12'!$AK20="是",'19.12'!$BB$4,'19.12'!$BB$3))</f>
        <v>0</v>
      </c>
      <c r="D20" s="4">
        <f>IF(ISNUMBER(SEARCH("营",'19.12'!L20)),(-$Y20+50*IF('19.12'!$AK20="是",'19.12'!$BB$4,'19.12'!$BB$3)),(VLOOKUP('19.12'!L20,'19.12'!$AO$4:$AQ$55,2,FALSE))*IF('19.12'!$AK20="是",'19.12'!$BB$4,'19.12'!$BB$3))</f>
        <v>0</v>
      </c>
      <c r="E20" s="4">
        <f>IF(ISNUMBER(SEARCH("营",'19.12'!M20)),(-$Y20+50*IF('19.12'!$AK20="是",'19.12'!$BB$4,'19.12'!$BB$3)),(VLOOKUP('19.12'!M20,'19.12'!$AO$4:$AQ$55,2,FALSE))*IF('19.12'!$AK20="是",'19.12'!$BB$4,'19.12'!$BB$3))</f>
        <v>0</v>
      </c>
      <c r="F20" s="4">
        <f>IF(ISNUMBER(SEARCH("营",'19.12'!N20)),(-$Y20+50*IF('19.12'!$AK20="是",'19.12'!$BB$4,'19.12'!$BB$3)),(VLOOKUP('19.12'!N20,'19.12'!$AO$4:$AQ$55,2,FALSE))*IF('19.12'!$AK20="是",'19.12'!$BB$4,'19.12'!$BB$3))</f>
        <v>0</v>
      </c>
      <c r="G20" s="4">
        <f>IF(ISNUMBER(SEARCH("营",'19.12'!O20)),(-$Y20+50*IF('19.12'!$AK20="是",'19.12'!$BB$4,'19.12'!$BB$3)),(VLOOKUP('19.12'!O20,'19.12'!$AO$4:$AQ$55,2,FALSE))*IF('19.12'!$AK20="是",'19.12'!$BB$4,'19.12'!$BB$3))</f>
        <v>0</v>
      </c>
      <c r="H20" s="4">
        <f>IF(ISNUMBER(SEARCH("营",'19.12'!P20)),(-$Y20+50*IF('19.12'!$AK20="是",'19.12'!$BB$4,'19.12'!$BB$3)),(VLOOKUP('19.12'!P20,'19.12'!$AO$4:$AQ$55,2,FALSE))*IF('19.12'!$AK20="是",'19.12'!$BB$4,'19.12'!$BB$3))</f>
        <v>0</v>
      </c>
      <c r="I20" s="4">
        <f>IF(ISNUMBER(SEARCH("营",'19.12'!Q20)),(-$Y20+50*IF('19.12'!$AK20="是",'19.12'!$BB$4,'19.12'!$BB$3)),(VLOOKUP('19.12'!Q20,'19.12'!$AO$4:$AQ$55,2,FALSE))*IF('19.12'!$AK20="是",'19.12'!$BB$4,'19.12'!$BB$3))</f>
        <v>152</v>
      </c>
      <c r="J20" s="4">
        <f>IF(ISNUMBER(SEARCH("营",'19.12'!R20)),(-$Y20+50*IF('19.12'!$AK20="是",'19.12'!$BB$4,'19.12'!$BB$3)),(VLOOKUP('19.12'!R20,'19.12'!$AO$4:$AQ$55,2,FALSE))*IF('19.12'!$AK20="是",'19.12'!$BB$4,'19.12'!$BB$3))</f>
        <v>152</v>
      </c>
      <c r="K20" s="4">
        <f>IF(ISNUMBER(SEARCH("营",'19.12'!S20)),(-$Y20+50*IF('19.12'!$AK20="是",'19.12'!$BB$4,'19.12'!$BB$3)),(VLOOKUP('19.12'!S20,'19.12'!$AO$4:$AQ$55,2,FALSE))*IF('19.12'!$AK20="是",'19.12'!$BB$4,'19.12'!$BB$3))</f>
        <v>152</v>
      </c>
      <c r="L20" s="4">
        <f>IF(ISNUMBER(SEARCH("营",'19.12'!T20)),(-$Y20+50*IF('19.12'!$AK20="是",'19.12'!$BB$4,'19.12'!$BB$3)),(VLOOKUP('19.12'!T20,'19.12'!$AO$4:$AQ$55,2,FALSE))*IF('19.12'!$AK20="是",'19.12'!$BB$4,'19.12'!$BB$3))</f>
        <v>152</v>
      </c>
      <c r="M20" s="4">
        <f>IF(ISNUMBER(SEARCH("营",'19.12'!U20)),(-$Y20+50*IF('19.12'!$AK20="是",'19.12'!$BB$4,'19.12'!$BB$3)),(VLOOKUP('19.12'!U20,'19.12'!$AO$4:$AQ$55,2,FALSE))*IF('19.12'!$AK20="是",'19.12'!$BB$4,'19.12'!$BB$3))</f>
        <v>160</v>
      </c>
      <c r="N20" s="4">
        <f>IF(ISNUMBER(SEARCH("营",'19.12'!V20)),(-$Y20+50*IF('19.12'!$AK20="是",'19.12'!$BB$4,'19.12'!$BB$3)),(VLOOKUP('19.12'!V20,'19.12'!$AO$4:$AQ$55,2,FALSE))*IF('19.12'!$AK20="是",'19.12'!$BB$4,'19.12'!$BB$3))</f>
        <v>160</v>
      </c>
      <c r="O20" s="4">
        <f>IF(ISNUMBER(SEARCH("营",'19.12'!W20)),(-$Y20+50*IF('19.12'!$AK20="是",'19.12'!$BB$4,'19.12'!$BB$3)),(VLOOKUP('19.12'!W20,'19.12'!$AO$4:$AQ$55,2,FALSE))*IF('19.12'!$AK20="是",'19.12'!$BB$4,'19.12'!$BB$3))</f>
        <v>0</v>
      </c>
      <c r="P20" s="4">
        <f>IF(ISNUMBER(SEARCH("营",'19.12'!X20)),(-$Y20+50*IF('19.12'!$AK20="是",'19.12'!$BB$4,'19.12'!$BB$3)),(VLOOKUP('19.12'!X20,'19.12'!$AO$4:$AQ$55,2,FALSE))*IF('19.12'!$AK20="是",'19.12'!$BB$4,'19.12'!$BB$3))</f>
        <v>0</v>
      </c>
      <c r="Q20" s="4">
        <f>IF(ISNUMBER(SEARCH("营",'19.12'!Y20)),(-$Y20+50*IF('19.12'!$AK20="是",'19.12'!$BB$4,'19.12'!$BB$3)),(VLOOKUP('19.12'!Y20,'19.12'!$AO$4:$AQ$55,2,FALSE))*IF('19.12'!$AK20="是",'19.12'!$BB$4,'19.12'!$BB$3))</f>
        <v>144</v>
      </c>
      <c r="R20" s="4">
        <f>IF(ISNUMBER(SEARCH("营",'19.12'!Z20)),(-$Y20+50*IF('19.12'!$AK20="是",'19.12'!$BB$4,'19.12'!$BB$3)),(VLOOKUP('19.12'!Z20,'19.12'!$AO$4:$AQ$55,2,FALSE))*IF('19.12'!$AK20="是",'19.12'!$BB$4,'19.12'!$BB$3))</f>
        <v>40</v>
      </c>
      <c r="S20" s="4">
        <f>IF(ISNUMBER(SEARCH("营",'19.12'!AA20)),(-$Y20+50*IF('19.12'!$AK20="是",'19.12'!$BB$4,'19.12'!$BB$3)),(VLOOKUP('19.12'!AA20,'19.12'!$AO$4:$AQ$55,2,FALSE))*IF('19.12'!$AK20="是",'19.12'!$BB$4,'19.12'!$BB$3))</f>
        <v>152</v>
      </c>
      <c r="T20" s="4">
        <f>IF(ISNUMBER(SEARCH("营",'19.12'!AB20)),(-$Y20+50*IF('19.12'!$AK20="是",'19.12'!$BB$4,'19.12'!$BB$3)),(VLOOKUP('19.12'!AB20,'19.12'!$AO$4:$AQ$55,2,FALSE))*IF('19.12'!$AK20="是",'19.12'!$BB$4,'19.12'!$BB$3))</f>
        <v>152</v>
      </c>
      <c r="U20" s="4">
        <f>IF(ISNUMBER(SEARCH("营",'19.12'!AC20)),(-$Y20+50*IF('19.12'!$AK20="是",'19.12'!$BB$4,'19.12'!$BB$3)),(VLOOKUP('19.12'!AC20,'19.12'!$AO$4:$AQ$55,2,FALSE))*IF('19.12'!$AK20="是",'19.12'!$BB$4,'19.12'!$BB$3))</f>
        <v>152</v>
      </c>
      <c r="V20" s="4">
        <f>IF(ISNUMBER(SEARCH("营",'19.12'!AD20)),(-$Y20+50*IF('19.12'!$AK20="是",'19.12'!$BB$4,'19.12'!$BB$3)),(VLOOKUP('19.12'!AD20,'19.12'!$AO$4:$AQ$55,2,FALSE))*IF('19.12'!$AK20="是",'19.12'!$BB$4,'19.12'!$BB$3))</f>
        <v>40</v>
      </c>
      <c r="W20" s="4">
        <f>IF(ISNUMBER(SEARCH("营",'19.12'!AE20)),(-$Y20+50*IF('19.12'!$AK20="是",'19.12'!$BB$4,'19.12'!$BB$3)),(VLOOKUP('19.12'!AE20,'19.12'!$AO$4:$AQ$55,2,FALSE))*IF('19.12'!$AK20="是",'19.12'!$BB$4,'19.12'!$BB$3))</f>
        <v>152</v>
      </c>
      <c r="X20" s="4">
        <f>IF(ISNUMBER(SEARCH("营",'19.12'!AF20)),(-$Y20+50*IF('19.12'!$AK20="是",'19.12'!$BB$4,'19.12'!$BB$3)),(VLOOKUP('19.12'!AF20,'19.12'!$AO$4:$AQ$55,2,FALSE))*IF('19.12'!$AK20="是",'19.12'!$BB$4,'19.12'!$BB$3))</f>
        <v>152</v>
      </c>
      <c r="Y20" s="16">
        <v>250</v>
      </c>
      <c r="Z20" s="17">
        <v>45746</v>
      </c>
    </row>
    <row r="21" spans="1:26">
      <c r="A21" s="4">
        <f>IF(ISNUMBER(SEARCH("营",'19.12'!I21)),(-$Y21+50*IF('19.12'!$AK21="是",'19.12'!$BB$4,'19.12'!$BB$3)),(VLOOKUP('19.12'!I21,'19.12'!$AO$4:$AQ$55,2,FALSE))*IF('19.12'!$AK21="是",'19.12'!$BB$4,'19.12'!$BB$3))</f>
        <v>0</v>
      </c>
      <c r="B21" s="4">
        <f>IF(ISNUMBER(SEARCH("营",'19.12'!J21)),(-$Y21+50*IF('19.12'!$AK21="是",'19.12'!$BB$4,'19.12'!$BB$3)),(VLOOKUP('19.12'!J21,'19.12'!$AO$4:$AQ$55,2,FALSE))*IF('19.12'!$AK21="是",'19.12'!$BB$4,'19.12'!$BB$3))</f>
        <v>0</v>
      </c>
      <c r="C21" s="4">
        <f>IF(ISNUMBER(SEARCH("营",'19.12'!K21)),(-$Y21+50*IF('19.12'!$AK21="是",'19.12'!$BB$4,'19.12'!$BB$3)),(VLOOKUP('19.12'!K21,'19.12'!$AO$4:$AQ$55,2,FALSE))*IF('19.12'!$AK21="是",'19.12'!$BB$4,'19.12'!$BB$3))</f>
        <v>0</v>
      </c>
      <c r="D21" s="4">
        <f>IF(ISNUMBER(SEARCH("营",'19.12'!L21)),(-$Y21+50*IF('19.12'!$AK21="是",'19.12'!$BB$4,'19.12'!$BB$3)),(VLOOKUP('19.12'!L21,'19.12'!$AO$4:$AQ$55,2,FALSE))*IF('19.12'!$AK21="是",'19.12'!$BB$4,'19.12'!$BB$3))</f>
        <v>0</v>
      </c>
      <c r="E21" s="4">
        <f>IF(ISNUMBER(SEARCH("营",'19.12'!M21)),(-$Y21+50*IF('19.12'!$AK21="是",'19.12'!$BB$4,'19.12'!$BB$3)),(VLOOKUP('19.12'!M21,'19.12'!$AO$4:$AQ$55,2,FALSE))*IF('19.12'!$AK21="是",'19.12'!$BB$4,'19.12'!$BB$3))</f>
        <v>0</v>
      </c>
      <c r="F21" s="4">
        <f>IF(ISNUMBER(SEARCH("营",'19.12'!N21)),(-$Y21+50*IF('19.12'!$AK21="是",'19.12'!$BB$4,'19.12'!$BB$3)),(VLOOKUP('19.12'!N21,'19.12'!$AO$4:$AQ$55,2,FALSE))*IF('19.12'!$AK21="是",'19.12'!$BB$4,'19.12'!$BB$3))</f>
        <v>0</v>
      </c>
      <c r="G21" s="4">
        <f>IF(ISNUMBER(SEARCH("营",'19.12'!O21)),(-$Y21+50*IF('19.12'!$AK21="是",'19.12'!$BB$4,'19.12'!$BB$3)),(VLOOKUP('19.12'!O21,'19.12'!$AO$4:$AQ$55,2,FALSE))*IF('19.12'!$AK21="是",'19.12'!$BB$4,'19.12'!$BB$3))</f>
        <v>0</v>
      </c>
      <c r="H21" s="4">
        <f>IF(ISNUMBER(SEARCH("营",'19.12'!P21)),(-$Y21+50*IF('19.12'!$AK21="是",'19.12'!$BB$4,'19.12'!$BB$3)),(VLOOKUP('19.12'!P21,'19.12'!$AO$4:$AQ$55,2,FALSE))*IF('19.12'!$AK21="是",'19.12'!$BB$4,'19.12'!$BB$3))</f>
        <v>0</v>
      </c>
      <c r="I21" s="4">
        <f>IF(ISNUMBER(SEARCH("营",'19.12'!Q21)),(-$Y21+50*IF('19.12'!$AK21="是",'19.12'!$BB$4,'19.12'!$BB$3)),(VLOOKUP('19.12'!Q21,'19.12'!$AO$4:$AQ$55,2,FALSE))*IF('19.12'!$AK21="是",'19.12'!$BB$4,'19.12'!$BB$3))</f>
        <v>160</v>
      </c>
      <c r="J21" s="4">
        <f>IF(ISNUMBER(SEARCH("营",'19.12'!R21)),(-$Y21+50*IF('19.12'!$AK21="是",'19.12'!$BB$4,'19.12'!$BB$3)),(VLOOKUP('19.12'!R21,'19.12'!$AO$4:$AQ$55,2,FALSE))*IF('19.12'!$AK21="是",'19.12'!$BB$4,'19.12'!$BB$3))</f>
        <v>160</v>
      </c>
      <c r="K21" s="4">
        <f>IF(ISNUMBER(SEARCH("营",'19.12'!S21)),(-$Y21+50*IF('19.12'!$AK21="是",'19.12'!$BB$4,'19.12'!$BB$3)),(VLOOKUP('19.12'!S21,'19.12'!$AO$4:$AQ$55,2,FALSE))*IF('19.12'!$AK21="是",'19.12'!$BB$4,'19.12'!$BB$3))</f>
        <v>-210</v>
      </c>
      <c r="L21" s="4">
        <f>IF(ISNUMBER(SEARCH("营",'19.12'!T21)),(-$Y21+50*IF('19.12'!$AK21="是",'19.12'!$BB$4,'19.12'!$BB$3)),(VLOOKUP('19.12'!T21,'19.12'!$AO$4:$AQ$55,2,FALSE))*IF('19.12'!$AK21="是",'19.12'!$BB$4,'19.12'!$BB$3))</f>
        <v>160</v>
      </c>
      <c r="M21" s="4">
        <f>IF(ISNUMBER(SEARCH("营",'19.12'!U21)),(-$Y21+50*IF('19.12'!$AK21="是",'19.12'!$BB$4,'19.12'!$BB$3)),(VLOOKUP('19.12'!U21,'19.12'!$AO$4:$AQ$55,2,FALSE))*IF('19.12'!$AK21="是",'19.12'!$BB$4,'19.12'!$BB$3))</f>
        <v>160</v>
      </c>
      <c r="N21" s="4">
        <f>IF(ISNUMBER(SEARCH("营",'19.12'!V21)),(-$Y21+50*IF('19.12'!$AK21="是",'19.12'!$BB$4,'19.12'!$BB$3)),(VLOOKUP('19.12'!V21,'19.12'!$AO$4:$AQ$55,2,FALSE))*IF('19.12'!$AK21="是",'19.12'!$BB$4,'19.12'!$BB$3))</f>
        <v>160</v>
      </c>
      <c r="O21" s="4">
        <f>IF(ISNUMBER(SEARCH("营",'19.12'!W21)),(-$Y21+50*IF('19.12'!$AK21="是",'19.12'!$BB$4,'19.12'!$BB$3)),(VLOOKUP('19.12'!W21,'19.12'!$AO$4:$AQ$55,2,FALSE))*IF('19.12'!$AK21="是",'19.12'!$BB$4,'19.12'!$BB$3))</f>
        <v>160</v>
      </c>
      <c r="P21" s="4">
        <f>IF(ISNUMBER(SEARCH("营",'19.12'!X21)),(-$Y21+50*IF('19.12'!$AK21="是",'19.12'!$BB$4,'19.12'!$BB$3)),(VLOOKUP('19.12'!X21,'19.12'!$AO$4:$AQ$55,2,FALSE))*IF('19.12'!$AK21="是",'19.12'!$BB$4,'19.12'!$BB$3))</f>
        <v>160</v>
      </c>
      <c r="Q21" s="4">
        <f>IF(ISNUMBER(SEARCH("营",'19.12'!Y21)),(-$Y21+50*IF('19.12'!$AK21="是",'19.12'!$BB$4,'19.12'!$BB$3)),(VLOOKUP('19.12'!Y21,'19.12'!$AO$4:$AQ$55,2,FALSE))*IF('19.12'!$AK21="是",'19.12'!$BB$4,'19.12'!$BB$3))</f>
        <v>152</v>
      </c>
      <c r="R21" s="4">
        <f>IF(ISNUMBER(SEARCH("营",'19.12'!Z21)),(-$Y21+50*IF('19.12'!$AK21="是",'19.12'!$BB$4,'19.12'!$BB$3)),(VLOOKUP('19.12'!Z21,'19.12'!$AO$4:$AQ$55,2,FALSE))*IF('19.12'!$AK21="是",'19.12'!$BB$4,'19.12'!$BB$3))</f>
        <v>144</v>
      </c>
      <c r="S21" s="4">
        <f>IF(ISNUMBER(SEARCH("营",'19.12'!AA21)),(-$Y21+50*IF('19.12'!$AK21="是",'19.12'!$BB$4,'19.12'!$BB$3)),(VLOOKUP('19.12'!AA21,'19.12'!$AO$4:$AQ$55,2,FALSE))*IF('19.12'!$AK21="是",'19.12'!$BB$4,'19.12'!$BB$3))</f>
        <v>144</v>
      </c>
      <c r="T21" s="4">
        <f>IF(ISNUMBER(SEARCH("营",'19.12'!AB21)),(-$Y21+50*IF('19.12'!$AK21="是",'19.12'!$BB$4,'19.12'!$BB$3)),(VLOOKUP('19.12'!AB21,'19.12'!$AO$4:$AQ$55,2,FALSE))*IF('19.12'!$AK21="是",'19.12'!$BB$4,'19.12'!$BB$3))</f>
        <v>144</v>
      </c>
      <c r="U21" s="4">
        <f>IF(ISNUMBER(SEARCH("营",'19.12'!AC21)),(-$Y21+50*IF('19.12'!$AK21="是",'19.12'!$BB$4,'19.12'!$BB$3)),(VLOOKUP('19.12'!AC21,'19.12'!$AO$4:$AQ$55,2,FALSE))*IF('19.12'!$AK21="是",'19.12'!$BB$4,'19.12'!$BB$3))</f>
        <v>200</v>
      </c>
      <c r="V21" s="4">
        <f>IF(ISNUMBER(SEARCH("营",'19.12'!AD21)),(-$Y21+50*IF('19.12'!$AK21="是",'19.12'!$BB$4,'19.12'!$BB$3)),(VLOOKUP('19.12'!AD21,'19.12'!$AO$4:$AQ$55,2,FALSE))*IF('19.12'!$AK21="是",'19.12'!$BB$4,'19.12'!$BB$3))</f>
        <v>40</v>
      </c>
      <c r="W21" s="4">
        <f>IF(ISNUMBER(SEARCH("营",'19.12'!AE21)),(-$Y21+50*IF('19.12'!$AK21="是",'19.12'!$BB$4,'19.12'!$BB$3)),(VLOOKUP('19.12'!AE21,'19.12'!$AO$4:$AQ$55,2,FALSE))*IF('19.12'!$AK21="是",'19.12'!$BB$4,'19.12'!$BB$3))</f>
        <v>0</v>
      </c>
      <c r="X21" s="4">
        <f>IF(ISNUMBER(SEARCH("营",'19.12'!AF21)),(-$Y21+50*IF('19.12'!$AK21="是",'19.12'!$BB$4,'19.12'!$BB$3)),(VLOOKUP('19.12'!AF21,'19.12'!$AO$4:$AQ$55,2,FALSE))*IF('19.12'!$AK21="是",'19.12'!$BB$4,'19.12'!$BB$3))</f>
        <v>0</v>
      </c>
      <c r="Y21" s="16">
        <v>250</v>
      </c>
      <c r="Z21" s="17">
        <v>45747</v>
      </c>
    </row>
    <row r="22" spans="1:26">
      <c r="A22" s="4">
        <f>IF(ISNUMBER(SEARCH("营",'19.12'!I22)),(-$Y22+50*IF('19.12'!$AK22="是",'19.12'!$BB$4,'19.12'!$BB$3)),(VLOOKUP('19.12'!I22,'19.12'!$AO$4:$AQ$55,2,FALSE))*IF('19.12'!$AK22="是",'19.12'!$BB$4,'19.12'!$BB$3))</f>
        <v>120</v>
      </c>
      <c r="B22" s="4">
        <f>IF(ISNUMBER(SEARCH("营",'19.12'!J22)),(-$Y22+50*IF('19.12'!$AK22="是",'19.12'!$BB$4,'19.12'!$BB$3)),(VLOOKUP('19.12'!J22,'19.12'!$AO$4:$AQ$55,2,FALSE))*IF('19.12'!$AK22="是",'19.12'!$BB$4,'19.12'!$BB$3))</f>
        <v>40</v>
      </c>
      <c r="C22" s="4">
        <f>IF(ISNUMBER(SEARCH("营",'19.12'!K22)),(-$Y22+50*IF('19.12'!$AK22="是",'19.12'!$BB$4,'19.12'!$BB$3)),(VLOOKUP('19.12'!K22,'19.12'!$AO$4:$AQ$55,2,FALSE))*IF('19.12'!$AK22="是",'19.12'!$BB$4,'19.12'!$BB$3))</f>
        <v>120</v>
      </c>
      <c r="D22" s="4">
        <f>IF(ISNUMBER(SEARCH("营",'19.12'!L22)),(-$Y22+50*IF('19.12'!$AK22="是",'19.12'!$BB$4,'19.12'!$BB$3)),(VLOOKUP('19.12'!L22,'19.12'!$AO$4:$AQ$55,2,FALSE))*IF('19.12'!$AK22="是",'19.12'!$BB$4,'19.12'!$BB$3))</f>
        <v>120</v>
      </c>
      <c r="E22" s="4">
        <f>IF(ISNUMBER(SEARCH("营",'19.12'!M22)),(-$Y22+50*IF('19.12'!$AK22="是",'19.12'!$BB$4,'19.12'!$BB$3)),(VLOOKUP('19.12'!M22,'19.12'!$AO$4:$AQ$55,2,FALSE))*IF('19.12'!$AK22="是",'19.12'!$BB$4,'19.12'!$BB$3))</f>
        <v>0</v>
      </c>
      <c r="F22" s="4">
        <f>IF(ISNUMBER(SEARCH("营",'19.12'!N22)),(-$Y22+50*IF('19.12'!$AK22="是",'19.12'!$BB$4,'19.12'!$BB$3)),(VLOOKUP('19.12'!N22,'19.12'!$AO$4:$AQ$55,2,FALSE))*IF('19.12'!$AK22="是",'19.12'!$BB$4,'19.12'!$BB$3))</f>
        <v>0</v>
      </c>
      <c r="G22" s="4">
        <f>IF(ISNUMBER(SEARCH("营",'19.12'!O22)),(-$Y22+50*IF('19.12'!$AK22="是",'19.12'!$BB$4,'19.12'!$BB$3)),(VLOOKUP('19.12'!O22,'19.12'!$AO$4:$AQ$55,2,FALSE))*IF('19.12'!$AK22="是",'19.12'!$BB$4,'19.12'!$BB$3))</f>
        <v>0</v>
      </c>
      <c r="H22" s="4">
        <f>IF(ISNUMBER(SEARCH("营",'19.12'!P22)),(-$Y22+50*IF('19.12'!$AK22="是",'19.12'!$BB$4,'19.12'!$BB$3)),(VLOOKUP('19.12'!P22,'19.12'!$AO$4:$AQ$55,2,FALSE))*IF('19.12'!$AK22="是",'19.12'!$BB$4,'19.12'!$BB$3))</f>
        <v>0</v>
      </c>
      <c r="I22" s="4">
        <f>IF(ISNUMBER(SEARCH("营",'19.12'!Q22)),(-$Y22+50*IF('19.12'!$AK22="是",'19.12'!$BB$4,'19.12'!$BB$3)),(VLOOKUP('19.12'!Q22,'19.12'!$AO$4:$AQ$55,2,FALSE))*IF('19.12'!$AK22="是",'19.12'!$BB$4,'19.12'!$BB$3))</f>
        <v>200</v>
      </c>
      <c r="J22" s="4">
        <f>IF(ISNUMBER(SEARCH("营",'19.12'!R22)),(-$Y22+50*IF('19.12'!$AK22="是",'19.12'!$BB$4,'19.12'!$BB$3)),(VLOOKUP('19.12'!R22,'19.12'!$AO$4:$AQ$55,2,FALSE))*IF('19.12'!$AK22="是",'19.12'!$BB$4,'19.12'!$BB$3))</f>
        <v>160</v>
      </c>
      <c r="K22" s="4">
        <f>IF(ISNUMBER(SEARCH("营",'19.12'!S22)),(-$Y22+50*IF('19.12'!$AK22="是",'19.12'!$BB$4,'19.12'!$BB$3)),(VLOOKUP('19.12'!S22,'19.12'!$AO$4:$AQ$55,2,FALSE))*IF('19.12'!$AK22="是",'19.12'!$BB$4,'19.12'!$BB$3))</f>
        <v>160</v>
      </c>
      <c r="L22" s="4">
        <f>IF(ISNUMBER(SEARCH("营",'19.12'!T22)),(-$Y22+50*IF('19.12'!$AK22="是",'19.12'!$BB$4,'19.12'!$BB$3)),(VLOOKUP('19.12'!T22,'19.12'!$AO$4:$AQ$55,2,FALSE))*IF('19.12'!$AK22="是",'19.12'!$BB$4,'19.12'!$BB$3))</f>
        <v>0</v>
      </c>
      <c r="M22" s="4">
        <f>IF(ISNUMBER(SEARCH("营",'19.12'!U22)),(-$Y22+50*IF('19.12'!$AK22="是",'19.12'!$BB$4,'19.12'!$BB$3)),(VLOOKUP('19.12'!U22,'19.12'!$AO$4:$AQ$55,2,FALSE))*IF('19.12'!$AK22="是",'19.12'!$BB$4,'19.12'!$BB$3))</f>
        <v>0</v>
      </c>
      <c r="N22" s="4">
        <f>IF(ISNUMBER(SEARCH("营",'19.12'!V22)),(-$Y22+50*IF('19.12'!$AK22="是",'19.12'!$BB$4,'19.12'!$BB$3)),(VLOOKUP('19.12'!V22,'19.12'!$AO$4:$AQ$55,2,FALSE))*IF('19.12'!$AK22="是",'19.12'!$BB$4,'19.12'!$BB$3))</f>
        <v>0</v>
      </c>
      <c r="O22" s="4">
        <f>IF(ISNUMBER(SEARCH("营",'19.12'!W22)),(-$Y22+50*IF('19.12'!$AK22="是",'19.12'!$BB$4,'19.12'!$BB$3)),(VLOOKUP('19.12'!W22,'19.12'!$AO$4:$AQ$55,2,FALSE))*IF('19.12'!$AK22="是",'19.12'!$BB$4,'19.12'!$BB$3))</f>
        <v>0</v>
      </c>
      <c r="P22" s="4">
        <f>IF(ISNUMBER(SEARCH("营",'19.12'!X22)),(-$Y22+50*IF('19.12'!$AK22="是",'19.12'!$BB$4,'19.12'!$BB$3)),(VLOOKUP('19.12'!X22,'19.12'!$AO$4:$AQ$55,2,FALSE))*IF('19.12'!$AK22="是",'19.12'!$BB$4,'19.12'!$BB$3))</f>
        <v>0</v>
      </c>
      <c r="Q22" s="4">
        <f>IF(ISNUMBER(SEARCH("营",'19.12'!Y22)),(-$Y22+50*IF('19.12'!$AK22="是",'19.12'!$BB$4,'19.12'!$BB$3)),(VLOOKUP('19.12'!Y22,'19.12'!$AO$4:$AQ$55,2,FALSE))*IF('19.12'!$AK22="是",'19.12'!$BB$4,'19.12'!$BB$3))</f>
        <v>144</v>
      </c>
      <c r="R22" s="4">
        <f>IF(ISNUMBER(SEARCH("营",'19.12'!Z22)),(-$Y22+50*IF('19.12'!$AK22="是",'19.12'!$BB$4,'19.12'!$BB$3)),(VLOOKUP('19.12'!Z22,'19.12'!$AO$4:$AQ$55,2,FALSE))*IF('19.12'!$AK22="是",'19.12'!$BB$4,'19.12'!$BB$3))</f>
        <v>144</v>
      </c>
      <c r="S22" s="4">
        <f>IF(ISNUMBER(SEARCH("营",'19.12'!AA22)),(-$Y22+50*IF('19.12'!$AK22="是",'19.12'!$BB$4,'19.12'!$BB$3)),(VLOOKUP('19.12'!AA22,'19.12'!$AO$4:$AQ$55,2,FALSE))*IF('19.12'!$AK22="是",'19.12'!$BB$4,'19.12'!$BB$3))</f>
        <v>152</v>
      </c>
      <c r="T22" s="4">
        <f>IF(ISNUMBER(SEARCH("营",'19.12'!AB22)),(-$Y22+50*IF('19.12'!$AK22="是",'19.12'!$BB$4,'19.12'!$BB$3)),(VLOOKUP('19.12'!AB22,'19.12'!$AO$4:$AQ$55,2,FALSE))*IF('19.12'!$AK22="是",'19.12'!$BB$4,'19.12'!$BB$3))</f>
        <v>152</v>
      </c>
      <c r="U22" s="4">
        <f>IF(ISNUMBER(SEARCH("营",'19.12'!AC22)),(-$Y22+50*IF('19.12'!$AK22="是",'19.12'!$BB$4,'19.12'!$BB$3)),(VLOOKUP('19.12'!AC22,'19.12'!$AO$4:$AQ$55,2,FALSE))*IF('19.12'!$AK22="是",'19.12'!$BB$4,'19.12'!$BB$3))</f>
        <v>-210</v>
      </c>
      <c r="V22" s="4">
        <f>IF(ISNUMBER(SEARCH("营",'19.12'!AD22)),(-$Y22+50*IF('19.12'!$AK22="是",'19.12'!$BB$4,'19.12'!$BB$3)),(VLOOKUP('19.12'!AD22,'19.12'!$AO$4:$AQ$55,2,FALSE))*IF('19.12'!$AK22="是",'19.12'!$BB$4,'19.12'!$BB$3))</f>
        <v>136</v>
      </c>
      <c r="W22" s="4">
        <f>IF(ISNUMBER(SEARCH("营",'19.12'!AE22)),(-$Y22+50*IF('19.12'!$AK22="是",'19.12'!$BB$4,'19.12'!$BB$3)),(VLOOKUP('19.12'!AE22,'19.12'!$AO$4:$AQ$55,2,FALSE))*IF('19.12'!$AK22="是",'19.12'!$BB$4,'19.12'!$BB$3))</f>
        <v>40</v>
      </c>
      <c r="X22" s="4">
        <f>IF(ISNUMBER(SEARCH("营",'19.12'!AF22)),(-$Y22+50*IF('19.12'!$AK22="是",'19.12'!$BB$4,'19.12'!$BB$3)),(VLOOKUP('19.12'!AF22,'19.12'!$AO$4:$AQ$55,2,FALSE))*IF('19.12'!$AK22="是",'19.12'!$BB$4,'19.12'!$BB$3))</f>
        <v>0</v>
      </c>
      <c r="Y22" s="16">
        <v>250</v>
      </c>
      <c r="Z22" s="17">
        <v>45748</v>
      </c>
    </row>
    <row r="23" spans="1:26">
      <c r="A23" s="4">
        <f>IF(ISNUMBER(SEARCH("营",'19.12'!I23)),(-$Y23+50*IF('19.12'!$AK23="是",'19.12'!$BB$4,'19.12'!$BB$3)),(VLOOKUP('19.12'!I23,'19.12'!$AO$4:$AQ$55,2,FALSE))*IF('19.12'!$AK23="是",'19.12'!$BB$4,'19.12'!$BB$3))</f>
        <v>40</v>
      </c>
      <c r="B23" s="4">
        <f>IF(ISNUMBER(SEARCH("营",'19.12'!J23)),(-$Y23+50*IF('19.12'!$AK23="是",'19.12'!$BB$4,'19.12'!$BB$3)),(VLOOKUP('19.12'!J23,'19.12'!$AO$4:$AQ$55,2,FALSE))*IF('19.12'!$AK23="是",'19.12'!$BB$4,'19.12'!$BB$3))</f>
        <v>120</v>
      </c>
      <c r="C23" s="4">
        <f>IF(ISNUMBER(SEARCH("营",'19.12'!K23)),(-$Y23+50*IF('19.12'!$AK23="是",'19.12'!$BB$4,'19.12'!$BB$3)),(VLOOKUP('19.12'!K23,'19.12'!$AO$4:$AQ$55,2,FALSE))*IF('19.12'!$AK23="是",'19.12'!$BB$4,'19.12'!$BB$3))</f>
        <v>120</v>
      </c>
      <c r="D23" s="4">
        <f>IF(ISNUMBER(SEARCH("营",'19.12'!L23)),(-$Y23+50*IF('19.12'!$AK23="是",'19.12'!$BB$4,'19.12'!$BB$3)),(VLOOKUP('19.12'!L23,'19.12'!$AO$4:$AQ$55,2,FALSE))*IF('19.12'!$AK23="是",'19.12'!$BB$4,'19.12'!$BB$3))</f>
        <v>40</v>
      </c>
      <c r="E23" s="4">
        <f>IF(ISNUMBER(SEARCH("营",'19.12'!M23)),(-$Y23+50*IF('19.12'!$AK23="是",'19.12'!$BB$4,'19.12'!$BB$3)),(VLOOKUP('19.12'!M23,'19.12'!$AO$4:$AQ$55,2,FALSE))*IF('19.12'!$AK23="是",'19.12'!$BB$4,'19.12'!$BB$3))</f>
        <v>120</v>
      </c>
      <c r="F23" s="4">
        <f>IF(ISNUMBER(SEARCH("营",'19.12'!N23)),(-$Y23+50*IF('19.12'!$AK23="是",'19.12'!$BB$4,'19.12'!$BB$3)),(VLOOKUP('19.12'!N23,'19.12'!$AO$4:$AQ$55,2,FALSE))*IF('19.12'!$AK23="是",'19.12'!$BB$4,'19.12'!$BB$3))</f>
        <v>-210</v>
      </c>
      <c r="G23" s="4">
        <f>IF(ISNUMBER(SEARCH("营",'19.12'!O23)),(-$Y23+50*IF('19.12'!$AK23="是",'19.12'!$BB$4,'19.12'!$BB$3)),(VLOOKUP('19.12'!O23,'19.12'!$AO$4:$AQ$55,2,FALSE))*IF('19.12'!$AK23="是",'19.12'!$BB$4,'19.12'!$BB$3))</f>
        <v>0</v>
      </c>
      <c r="H23" s="4">
        <f>IF(ISNUMBER(SEARCH("营",'19.12'!P23)),(-$Y23+50*IF('19.12'!$AK23="是",'19.12'!$BB$4,'19.12'!$BB$3)),(VLOOKUP('19.12'!P23,'19.12'!$AO$4:$AQ$55,2,FALSE))*IF('19.12'!$AK23="是",'19.12'!$BB$4,'19.12'!$BB$3))</f>
        <v>0</v>
      </c>
      <c r="I23" s="4">
        <f>IF(ISNUMBER(SEARCH("营",'19.12'!Q23)),(-$Y23+50*IF('19.12'!$AK23="是",'19.12'!$BB$4,'19.12'!$BB$3)),(VLOOKUP('19.12'!Q23,'19.12'!$AO$4:$AQ$55,2,FALSE))*IF('19.12'!$AK23="是",'19.12'!$BB$4,'19.12'!$BB$3))</f>
        <v>160</v>
      </c>
      <c r="J23" s="4">
        <f>IF(ISNUMBER(SEARCH("营",'19.12'!R23)),(-$Y23+50*IF('19.12'!$AK23="是",'19.12'!$BB$4,'19.12'!$BB$3)),(VLOOKUP('19.12'!R23,'19.12'!$AO$4:$AQ$55,2,FALSE))*IF('19.12'!$AK23="是",'19.12'!$BB$4,'19.12'!$BB$3))</f>
        <v>160</v>
      </c>
      <c r="K23" s="4">
        <f>IF(ISNUMBER(SEARCH("营",'19.12'!S23)),(-$Y23+50*IF('19.12'!$AK23="是",'19.12'!$BB$4,'19.12'!$BB$3)),(VLOOKUP('19.12'!S23,'19.12'!$AO$4:$AQ$55,2,FALSE))*IF('19.12'!$AK23="是",'19.12'!$BB$4,'19.12'!$BB$3))</f>
        <v>160</v>
      </c>
      <c r="L23" s="4">
        <f>IF(ISNUMBER(SEARCH("营",'19.12'!T23)),(-$Y23+50*IF('19.12'!$AK23="是",'19.12'!$BB$4,'19.12'!$BB$3)),(VLOOKUP('19.12'!T23,'19.12'!$AO$4:$AQ$55,2,FALSE))*IF('19.12'!$AK23="是",'19.12'!$BB$4,'19.12'!$BB$3))</f>
        <v>160</v>
      </c>
      <c r="M23" s="4">
        <f>IF(ISNUMBER(SEARCH("营",'19.12'!U23)),(-$Y23+50*IF('19.12'!$AK23="是",'19.12'!$BB$4,'19.12'!$BB$3)),(VLOOKUP('19.12'!U23,'19.12'!$AO$4:$AQ$55,2,FALSE))*IF('19.12'!$AK23="是",'19.12'!$BB$4,'19.12'!$BB$3))</f>
        <v>160</v>
      </c>
      <c r="N23" s="4">
        <f>IF(ISNUMBER(SEARCH("营",'19.12'!V23)),(-$Y23+50*IF('19.12'!$AK23="是",'19.12'!$BB$4,'19.12'!$BB$3)),(VLOOKUP('19.12'!V23,'19.12'!$AO$4:$AQ$55,2,FALSE))*IF('19.12'!$AK23="是",'19.12'!$BB$4,'19.12'!$BB$3))</f>
        <v>160</v>
      </c>
      <c r="O23" s="4">
        <f>IF(ISNUMBER(SEARCH("营",'19.12'!W23)),(-$Y23+50*IF('19.12'!$AK23="是",'19.12'!$BB$4,'19.12'!$BB$3)),(VLOOKUP('19.12'!W23,'19.12'!$AO$4:$AQ$55,2,FALSE))*IF('19.12'!$AK23="是",'19.12'!$BB$4,'19.12'!$BB$3))</f>
        <v>-210</v>
      </c>
      <c r="P23" s="4">
        <f>IF(ISNUMBER(SEARCH("营",'19.12'!X23)),(-$Y23+50*IF('19.12'!$AK23="是",'19.12'!$BB$4,'19.12'!$BB$3)),(VLOOKUP('19.12'!X23,'19.12'!$AO$4:$AQ$55,2,FALSE))*IF('19.12'!$AK23="是",'19.12'!$BB$4,'19.12'!$BB$3))</f>
        <v>0</v>
      </c>
      <c r="Q23" s="4">
        <f>IF(ISNUMBER(SEARCH("营",'19.12'!Y23)),(-$Y23+50*IF('19.12'!$AK23="是",'19.12'!$BB$4,'19.12'!$BB$3)),(VLOOKUP('19.12'!Y23,'19.12'!$AO$4:$AQ$55,2,FALSE))*IF('19.12'!$AK23="是",'19.12'!$BB$4,'19.12'!$BB$3))</f>
        <v>136</v>
      </c>
      <c r="R23" s="4">
        <f>IF(ISNUMBER(SEARCH("营",'19.12'!Z23)),(-$Y23+50*IF('19.12'!$AK23="是",'19.12'!$BB$4,'19.12'!$BB$3)),(VLOOKUP('19.12'!Z23,'19.12'!$AO$4:$AQ$55,2,FALSE))*IF('19.12'!$AK23="是",'19.12'!$BB$4,'19.12'!$BB$3))</f>
        <v>136</v>
      </c>
      <c r="S23" s="4">
        <f>IF(ISNUMBER(SEARCH("营",'19.12'!AA23)),(-$Y23+50*IF('19.12'!$AK23="是",'19.12'!$BB$4,'19.12'!$BB$3)),(VLOOKUP('19.12'!AA23,'19.12'!$AO$4:$AQ$55,2,FALSE))*IF('19.12'!$AK23="是",'19.12'!$BB$4,'19.12'!$BB$3))</f>
        <v>128</v>
      </c>
      <c r="T23" s="4">
        <f>IF(ISNUMBER(SEARCH("营",'19.12'!AB23)),(-$Y23+50*IF('19.12'!$AK23="是",'19.12'!$BB$4,'19.12'!$BB$3)),(VLOOKUP('19.12'!AB23,'19.12'!$AO$4:$AQ$55,2,FALSE))*IF('19.12'!$AK23="是",'19.12'!$BB$4,'19.12'!$BB$3))</f>
        <v>128</v>
      </c>
      <c r="U23" s="4">
        <f>IF(ISNUMBER(SEARCH("营",'19.12'!AC23)),(-$Y23+50*IF('19.12'!$AK23="是",'19.12'!$BB$4,'19.12'!$BB$3)),(VLOOKUP('19.12'!AC23,'19.12'!$AO$4:$AQ$55,2,FALSE))*IF('19.12'!$AK23="是",'19.12'!$BB$4,'19.12'!$BB$3))</f>
        <v>128</v>
      </c>
      <c r="V23" s="4">
        <f>IF(ISNUMBER(SEARCH("营",'19.12'!AD23)),(-$Y23+50*IF('19.12'!$AK23="是",'19.12'!$BB$4,'19.12'!$BB$3)),(VLOOKUP('19.12'!AD23,'19.12'!$AO$4:$AQ$55,2,FALSE))*IF('19.12'!$AK23="是",'19.12'!$BB$4,'19.12'!$BB$3))</f>
        <v>40</v>
      </c>
      <c r="W23" s="4">
        <f>IF(ISNUMBER(SEARCH("营",'19.12'!AE23)),(-$Y23+50*IF('19.12'!$AK23="是",'19.12'!$BB$4,'19.12'!$BB$3)),(VLOOKUP('19.12'!AE23,'19.12'!$AO$4:$AQ$55,2,FALSE))*IF('19.12'!$AK23="是",'19.12'!$BB$4,'19.12'!$BB$3))</f>
        <v>128</v>
      </c>
      <c r="X23" s="4">
        <f>IF(ISNUMBER(SEARCH("营",'19.12'!AF23)),(-$Y23+50*IF('19.12'!$AK23="是",'19.12'!$BB$4,'19.12'!$BB$3)),(VLOOKUP('19.12'!AF23,'19.12'!$AO$4:$AQ$55,2,FALSE))*IF('19.12'!$AK23="是",'19.12'!$BB$4,'19.12'!$BB$3))</f>
        <v>-210</v>
      </c>
      <c r="Y23" s="16">
        <v>250</v>
      </c>
      <c r="Z23" s="17">
        <v>45749</v>
      </c>
    </row>
    <row r="24" spans="1:26">
      <c r="A24" s="4">
        <f>IF(ISNUMBER(SEARCH("营",'19.12'!I24)),(-$Y24+50*IF('19.12'!$AK24="是",'19.12'!$BB$4,'19.12'!$BB$3)),(VLOOKUP('19.12'!I24,'19.12'!$AO$4:$AQ$55,2,FALSE))*IF('19.12'!$AK24="是",'19.12'!$BB$4,'19.12'!$BB$3))</f>
        <v>0</v>
      </c>
      <c r="B24" s="4">
        <f>IF(ISNUMBER(SEARCH("营",'19.12'!J24)),(-$Y24+50*IF('19.12'!$AK24="是",'19.12'!$BB$4,'19.12'!$BB$3)),(VLOOKUP('19.12'!J24,'19.12'!$AO$4:$AQ$55,2,FALSE))*IF('19.12'!$AK24="是",'19.12'!$BB$4,'19.12'!$BB$3))</f>
        <v>0</v>
      </c>
      <c r="C24" s="4">
        <f>IF(ISNUMBER(SEARCH("营",'19.12'!K24)),(-$Y24+50*IF('19.12'!$AK24="是",'19.12'!$BB$4,'19.12'!$BB$3)),(VLOOKUP('19.12'!K24,'19.12'!$AO$4:$AQ$55,2,FALSE))*IF('19.12'!$AK24="是",'19.12'!$BB$4,'19.12'!$BB$3))</f>
        <v>0</v>
      </c>
      <c r="D24" s="4">
        <f>IF(ISNUMBER(SEARCH("营",'19.12'!L24)),(-$Y24+50*IF('19.12'!$AK24="是",'19.12'!$BB$4,'19.12'!$BB$3)),(VLOOKUP('19.12'!L24,'19.12'!$AO$4:$AQ$55,2,FALSE))*IF('19.12'!$AK24="是",'19.12'!$BB$4,'19.12'!$BB$3))</f>
        <v>0</v>
      </c>
      <c r="E24" s="4">
        <f>IF(ISNUMBER(SEARCH("营",'19.12'!M24)),(-$Y24+50*IF('19.12'!$AK24="是",'19.12'!$BB$4,'19.12'!$BB$3)),(VLOOKUP('19.12'!M24,'19.12'!$AO$4:$AQ$55,2,FALSE))*IF('19.12'!$AK24="是",'19.12'!$BB$4,'19.12'!$BB$3))</f>
        <v>0</v>
      </c>
      <c r="F24" s="4">
        <f>IF(ISNUMBER(SEARCH("营",'19.12'!N24)),(-$Y24+50*IF('19.12'!$AK24="是",'19.12'!$BB$4,'19.12'!$BB$3)),(VLOOKUP('19.12'!N24,'19.12'!$AO$4:$AQ$55,2,FALSE))*IF('19.12'!$AK24="是",'19.12'!$BB$4,'19.12'!$BB$3))</f>
        <v>0</v>
      </c>
      <c r="G24" s="4">
        <f>IF(ISNUMBER(SEARCH("营",'19.12'!O24)),(-$Y24+50*IF('19.12'!$AK24="是",'19.12'!$BB$4,'19.12'!$BB$3)),(VLOOKUP('19.12'!O24,'19.12'!$AO$4:$AQ$55,2,FALSE))*IF('19.12'!$AK24="是",'19.12'!$BB$4,'19.12'!$BB$3))</f>
        <v>0</v>
      </c>
      <c r="H24" s="4">
        <f>IF(ISNUMBER(SEARCH("营",'19.12'!P24)),(-$Y24+50*IF('19.12'!$AK24="是",'19.12'!$BB$4,'19.12'!$BB$3)),(VLOOKUP('19.12'!P24,'19.12'!$AO$4:$AQ$55,2,FALSE))*IF('19.12'!$AK24="是",'19.12'!$BB$4,'19.12'!$BB$3))</f>
        <v>0</v>
      </c>
      <c r="I24" s="4">
        <f>IF(ISNUMBER(SEARCH("营",'19.12'!Q24)),(-$Y24+50*IF('19.12'!$AK24="是",'19.12'!$BB$4,'19.12'!$BB$3)),(VLOOKUP('19.12'!Q24,'19.12'!$AO$4:$AQ$55,2,FALSE))*IF('19.12'!$AK24="是",'19.12'!$BB$4,'19.12'!$BB$3))</f>
        <v>160</v>
      </c>
      <c r="J24" s="4">
        <f>IF(ISNUMBER(SEARCH("营",'19.12'!R24)),(-$Y24+50*IF('19.12'!$AK24="是",'19.12'!$BB$4,'19.12'!$BB$3)),(VLOOKUP('19.12'!R24,'19.12'!$AO$4:$AQ$55,2,FALSE))*IF('19.12'!$AK24="是",'19.12'!$BB$4,'19.12'!$BB$3))</f>
        <v>0</v>
      </c>
      <c r="K24" s="4">
        <f>IF(ISNUMBER(SEARCH("营",'19.12'!S24)),(-$Y24+50*IF('19.12'!$AK24="是",'19.12'!$BB$4,'19.12'!$BB$3)),(VLOOKUP('19.12'!S24,'19.12'!$AO$4:$AQ$55,2,FALSE))*IF('19.12'!$AK24="是",'19.12'!$BB$4,'19.12'!$BB$3))</f>
        <v>0</v>
      </c>
      <c r="L24" s="4">
        <f>IF(ISNUMBER(SEARCH("营",'19.12'!T24)),(-$Y24+50*IF('19.12'!$AK24="是",'19.12'!$BB$4,'19.12'!$BB$3)),(VLOOKUP('19.12'!T24,'19.12'!$AO$4:$AQ$55,2,FALSE))*IF('19.12'!$AK24="是",'19.12'!$BB$4,'19.12'!$BB$3))</f>
        <v>0</v>
      </c>
      <c r="M24" s="4">
        <f>IF(ISNUMBER(SEARCH("营",'19.12'!U24)),(-$Y24+50*IF('19.12'!$AK24="是",'19.12'!$BB$4,'19.12'!$BB$3)),(VLOOKUP('19.12'!U24,'19.12'!$AO$4:$AQ$55,2,FALSE))*IF('19.12'!$AK24="是",'19.12'!$BB$4,'19.12'!$BB$3))</f>
        <v>0</v>
      </c>
      <c r="N24" s="4">
        <f>IF(ISNUMBER(SEARCH("营",'19.12'!V24)),(-$Y24+50*IF('19.12'!$AK24="是",'19.12'!$BB$4,'19.12'!$BB$3)),(VLOOKUP('19.12'!V24,'19.12'!$AO$4:$AQ$55,2,FALSE))*IF('19.12'!$AK24="是",'19.12'!$BB$4,'19.12'!$BB$3))</f>
        <v>0</v>
      </c>
      <c r="O24" s="4">
        <f>IF(ISNUMBER(SEARCH("营",'19.12'!W24)),(-$Y24+50*IF('19.12'!$AK24="是",'19.12'!$BB$4,'19.12'!$BB$3)),(VLOOKUP('19.12'!W24,'19.12'!$AO$4:$AQ$55,2,FALSE))*IF('19.12'!$AK24="是",'19.12'!$BB$4,'19.12'!$BB$3))</f>
        <v>0</v>
      </c>
      <c r="P24" s="4">
        <f>IF(ISNUMBER(SEARCH("营",'19.12'!X24)),(-$Y24+50*IF('19.12'!$AK24="是",'19.12'!$BB$4,'19.12'!$BB$3)),(VLOOKUP('19.12'!X24,'19.12'!$AO$4:$AQ$55,2,FALSE))*IF('19.12'!$AK24="是",'19.12'!$BB$4,'19.12'!$BB$3))</f>
        <v>0</v>
      </c>
      <c r="Q24" s="4">
        <f>IF(ISNUMBER(SEARCH("营",'19.12'!Y24)),(-$Y24+50*IF('19.12'!$AK24="是",'19.12'!$BB$4,'19.12'!$BB$3)),(VLOOKUP('19.12'!Y24,'19.12'!$AO$4:$AQ$55,2,FALSE))*IF('19.12'!$AK24="是",'19.12'!$BB$4,'19.12'!$BB$3))</f>
        <v>0</v>
      </c>
      <c r="R24" s="4">
        <f>IF(ISNUMBER(SEARCH("营",'19.12'!Z24)),(-$Y24+50*IF('19.12'!$AK24="是",'19.12'!$BB$4,'19.12'!$BB$3)),(VLOOKUP('19.12'!Z24,'19.12'!$AO$4:$AQ$55,2,FALSE))*IF('19.12'!$AK24="是",'19.12'!$BB$4,'19.12'!$BB$3))</f>
        <v>0</v>
      </c>
      <c r="S24" s="4">
        <f>IF(ISNUMBER(SEARCH("营",'19.12'!AA24)),(-$Y24+50*IF('19.12'!$AK24="是",'19.12'!$BB$4,'19.12'!$BB$3)),(VLOOKUP('19.12'!AA24,'19.12'!$AO$4:$AQ$55,2,FALSE))*IF('19.12'!$AK24="是",'19.12'!$BB$4,'19.12'!$BB$3))</f>
        <v>0</v>
      </c>
      <c r="T24" s="4">
        <f>IF(ISNUMBER(SEARCH("营",'19.12'!AB24)),(-$Y24+50*IF('19.12'!$AK24="是",'19.12'!$BB$4,'19.12'!$BB$3)),(VLOOKUP('19.12'!AB24,'19.12'!$AO$4:$AQ$55,2,FALSE))*IF('19.12'!$AK24="是",'19.12'!$BB$4,'19.12'!$BB$3))</f>
        <v>0</v>
      </c>
      <c r="U24" s="4">
        <f>IF(ISNUMBER(SEARCH("营",'19.12'!AC24)),(-$Y24+50*IF('19.12'!$AK24="是",'19.12'!$BB$4,'19.12'!$BB$3)),(VLOOKUP('19.12'!AC24,'19.12'!$AO$4:$AQ$55,2,FALSE))*IF('19.12'!$AK24="是",'19.12'!$BB$4,'19.12'!$BB$3))</f>
        <v>0</v>
      </c>
      <c r="V24" s="4">
        <f>IF(ISNUMBER(SEARCH("营",'19.12'!AD24)),(-$Y24+50*IF('19.12'!$AK24="是",'19.12'!$BB$4,'19.12'!$BB$3)),(VLOOKUP('19.12'!AD24,'19.12'!$AO$4:$AQ$55,2,FALSE))*IF('19.12'!$AK24="是",'19.12'!$BB$4,'19.12'!$BB$3))</f>
        <v>0</v>
      </c>
      <c r="W24" s="4">
        <f>IF(ISNUMBER(SEARCH("营",'19.12'!AE24)),(-$Y24+50*IF('19.12'!$AK24="是",'19.12'!$BB$4,'19.12'!$BB$3)),(VLOOKUP('19.12'!AE24,'19.12'!$AO$4:$AQ$55,2,FALSE))*IF('19.12'!$AK24="是",'19.12'!$BB$4,'19.12'!$BB$3))</f>
        <v>0</v>
      </c>
      <c r="X24" s="4">
        <f>IF(ISNUMBER(SEARCH("营",'19.12'!AF24)),(-$Y24+50*IF('19.12'!$AK24="是",'19.12'!$BB$4,'19.12'!$BB$3)),(VLOOKUP('19.12'!AF24,'19.12'!$AO$4:$AQ$55,2,FALSE))*IF('19.12'!$AK24="是",'19.12'!$BB$4,'19.12'!$BB$3))</f>
        <v>0</v>
      </c>
      <c r="Y24" s="18">
        <v>200</v>
      </c>
      <c r="Z24" s="15">
        <v>45750</v>
      </c>
    </row>
    <row r="25" spans="1:26">
      <c r="A25" s="4">
        <f>IF(ISNUMBER(SEARCH("营",'19.12'!I25)),(-$Y25+50*IF('19.12'!$AK25="是",'19.12'!$BB$4,'19.12'!$BB$3)),(VLOOKUP('19.12'!I25,'19.12'!$AO$4:$AQ$55,2,FALSE))*IF('19.12'!$AK25="是",'19.12'!$BB$4,'19.12'!$BB$3))</f>
        <v>128</v>
      </c>
      <c r="B25" s="4">
        <f>IF(ISNUMBER(SEARCH("营",'19.12'!J25)),(-$Y25+50*IF('19.12'!$AK25="是",'19.12'!$BB$4,'19.12'!$BB$3)),(VLOOKUP('19.12'!J25,'19.12'!$AO$4:$AQ$55,2,FALSE))*IF('19.12'!$AK25="是",'19.12'!$BB$4,'19.12'!$BB$3))</f>
        <v>128</v>
      </c>
      <c r="C25" s="4">
        <f>IF(ISNUMBER(SEARCH("营",'19.12'!K25)),(-$Y25+50*IF('19.12'!$AK25="是",'19.12'!$BB$4,'19.12'!$BB$3)),(VLOOKUP('19.12'!K25,'19.12'!$AO$4:$AQ$55,2,FALSE))*IF('19.12'!$AK25="是",'19.12'!$BB$4,'19.12'!$BB$3))</f>
        <v>40</v>
      </c>
      <c r="D25" s="4">
        <f>IF(ISNUMBER(SEARCH("营",'19.12'!L25)),(-$Y25+50*IF('19.12'!$AK25="是",'19.12'!$BB$4,'19.12'!$BB$3)),(VLOOKUP('19.12'!L25,'19.12'!$AO$4:$AQ$55,2,FALSE))*IF('19.12'!$AK25="是",'19.12'!$BB$4,'19.12'!$BB$3))</f>
        <v>128</v>
      </c>
      <c r="E25" s="4">
        <f>IF(ISNUMBER(SEARCH("营",'19.12'!M25)),(-$Y25+50*IF('19.12'!$AK25="是",'19.12'!$BB$4,'19.12'!$BB$3)),(VLOOKUP('19.12'!M25,'19.12'!$AO$4:$AQ$55,2,FALSE))*IF('19.12'!$AK25="是",'19.12'!$BB$4,'19.12'!$BB$3))</f>
        <v>128</v>
      </c>
      <c r="F25" s="4">
        <f>IF(ISNUMBER(SEARCH("营",'19.12'!N25)),(-$Y25+50*IF('19.12'!$AK25="是",'19.12'!$BB$4,'19.12'!$BB$3)),(VLOOKUP('19.12'!N25,'19.12'!$AO$4:$AQ$55,2,FALSE))*IF('19.12'!$AK25="是",'19.12'!$BB$4,'19.12'!$BB$3))</f>
        <v>128</v>
      </c>
      <c r="G25" s="4">
        <f>IF(ISNUMBER(SEARCH("营",'19.12'!O25)),(-$Y25+50*IF('19.12'!$AK25="是",'19.12'!$BB$4,'19.12'!$BB$3)),(VLOOKUP('19.12'!O25,'19.12'!$AO$4:$AQ$55,2,FALSE))*IF('19.12'!$AK25="是",'19.12'!$BB$4,'19.12'!$BB$3))</f>
        <v>0</v>
      </c>
      <c r="H25" s="4">
        <f>IF(ISNUMBER(SEARCH("营",'19.12'!P25)),(-$Y25+50*IF('19.12'!$AK25="是",'19.12'!$BB$4,'19.12'!$BB$3)),(VLOOKUP('19.12'!P25,'19.12'!$AO$4:$AQ$55,2,FALSE))*IF('19.12'!$AK25="是",'19.12'!$BB$4,'19.12'!$BB$3))</f>
        <v>0</v>
      </c>
      <c r="I25" s="4">
        <f>IF(ISNUMBER(SEARCH("营",'19.12'!Q25)),(-$Y25+50*IF('19.12'!$AK25="是",'19.12'!$BB$4,'19.12'!$BB$3)),(VLOOKUP('19.12'!Q25,'19.12'!$AO$4:$AQ$55,2,FALSE))*IF('19.12'!$AK25="是",'19.12'!$BB$4,'19.12'!$BB$3))</f>
        <v>160</v>
      </c>
      <c r="J25" s="4">
        <f>IF(ISNUMBER(SEARCH("营",'19.12'!R25)),(-$Y25+50*IF('19.12'!$AK25="是",'19.12'!$BB$4,'19.12'!$BB$3)),(VLOOKUP('19.12'!R25,'19.12'!$AO$4:$AQ$55,2,FALSE))*IF('19.12'!$AK25="是",'19.12'!$BB$4,'19.12'!$BB$3))</f>
        <v>160</v>
      </c>
      <c r="K25" s="4">
        <f>IF(ISNUMBER(SEARCH("营",'19.12'!S25)),(-$Y25+50*IF('19.12'!$AK25="是",'19.12'!$BB$4,'19.12'!$BB$3)),(VLOOKUP('19.12'!S25,'19.12'!$AO$4:$AQ$55,2,FALSE))*IF('19.12'!$AK25="是",'19.12'!$BB$4,'19.12'!$BB$3))</f>
        <v>160</v>
      </c>
      <c r="L25" s="4">
        <f>IF(ISNUMBER(SEARCH("营",'19.12'!T25)),(-$Y25+50*IF('19.12'!$AK25="是",'19.12'!$BB$4,'19.12'!$BB$3)),(VLOOKUP('19.12'!T25,'19.12'!$AO$4:$AQ$55,2,FALSE))*IF('19.12'!$AK25="是",'19.12'!$BB$4,'19.12'!$BB$3))</f>
        <v>160</v>
      </c>
      <c r="M25" s="4">
        <f>IF(ISNUMBER(SEARCH("营",'19.12'!U25)),(-$Y25+50*IF('19.12'!$AK25="是",'19.12'!$BB$4,'19.12'!$BB$3)),(VLOOKUP('19.12'!U25,'19.12'!$AO$4:$AQ$55,2,FALSE))*IF('19.12'!$AK25="是",'19.12'!$BB$4,'19.12'!$BB$3))</f>
        <v>160</v>
      </c>
      <c r="N25" s="4">
        <f>IF(ISNUMBER(SEARCH("营",'19.12'!V25)),(-$Y25+50*IF('19.12'!$AK25="是",'19.12'!$BB$4,'19.12'!$BB$3)),(VLOOKUP('19.12'!V25,'19.12'!$AO$4:$AQ$55,2,FALSE))*IF('19.12'!$AK25="是",'19.12'!$BB$4,'19.12'!$BB$3))</f>
        <v>160</v>
      </c>
      <c r="O25" s="4">
        <f>IF(ISNUMBER(SEARCH("营",'19.12'!W25)),(-$Y25+50*IF('19.12'!$AK25="是",'19.12'!$BB$4,'19.12'!$BB$3)),(VLOOKUP('19.12'!W25,'19.12'!$AO$4:$AQ$55,2,FALSE))*IF('19.12'!$AK25="是",'19.12'!$BB$4,'19.12'!$BB$3))</f>
        <v>0</v>
      </c>
      <c r="P25" s="4">
        <f>IF(ISNUMBER(SEARCH("营",'19.12'!X25)),(-$Y25+50*IF('19.12'!$AK25="是",'19.12'!$BB$4,'19.12'!$BB$3)),(VLOOKUP('19.12'!X25,'19.12'!$AO$4:$AQ$55,2,FALSE))*IF('19.12'!$AK25="是",'19.12'!$BB$4,'19.12'!$BB$3))</f>
        <v>0</v>
      </c>
      <c r="Q25" s="4">
        <f>IF(ISNUMBER(SEARCH("营",'19.12'!Y25)),(-$Y25+50*IF('19.12'!$AK25="是",'19.12'!$BB$4,'19.12'!$BB$3)),(VLOOKUP('19.12'!Y25,'19.12'!$AO$4:$AQ$55,2,FALSE))*IF('19.12'!$AK25="是",'19.12'!$BB$4,'19.12'!$BB$3))</f>
        <v>0</v>
      </c>
      <c r="R25" s="4">
        <f>IF(ISNUMBER(SEARCH("营",'19.12'!Z25)),(-$Y25+50*IF('19.12'!$AK25="是",'19.12'!$BB$4,'19.12'!$BB$3)),(VLOOKUP('19.12'!Z25,'19.12'!$AO$4:$AQ$55,2,FALSE))*IF('19.12'!$AK25="是",'19.12'!$BB$4,'19.12'!$BB$3))</f>
        <v>0</v>
      </c>
      <c r="S25" s="4">
        <f>IF(ISNUMBER(SEARCH("营",'19.12'!AA25)),(-$Y25+50*IF('19.12'!$AK25="是",'19.12'!$BB$4,'19.12'!$BB$3)),(VLOOKUP('19.12'!AA25,'19.12'!$AO$4:$AQ$55,2,FALSE))*IF('19.12'!$AK25="是",'19.12'!$BB$4,'19.12'!$BB$3))</f>
        <v>0</v>
      </c>
      <c r="T25" s="4">
        <f>IF(ISNUMBER(SEARCH("营",'19.12'!AB25)),(-$Y25+50*IF('19.12'!$AK25="是",'19.12'!$BB$4,'19.12'!$BB$3)),(VLOOKUP('19.12'!AB25,'19.12'!$AO$4:$AQ$55,2,FALSE))*IF('19.12'!$AK25="是",'19.12'!$BB$4,'19.12'!$BB$3))</f>
        <v>0</v>
      </c>
      <c r="U25" s="4">
        <f>IF(ISNUMBER(SEARCH("营",'19.12'!AC25)),(-$Y25+50*IF('19.12'!$AK25="是",'19.12'!$BB$4,'19.12'!$BB$3)),(VLOOKUP('19.12'!AC25,'19.12'!$AO$4:$AQ$55,2,FALSE))*IF('19.12'!$AK25="是",'19.12'!$BB$4,'19.12'!$BB$3))</f>
        <v>0</v>
      </c>
      <c r="V25" s="4">
        <f>IF(ISNUMBER(SEARCH("营",'19.12'!AD25)),(-$Y25+50*IF('19.12'!$AK25="是",'19.12'!$BB$4,'19.12'!$BB$3)),(VLOOKUP('19.12'!AD25,'19.12'!$AO$4:$AQ$55,2,FALSE))*IF('19.12'!$AK25="是",'19.12'!$BB$4,'19.12'!$BB$3))</f>
        <v>0</v>
      </c>
      <c r="W25" s="4">
        <f>IF(ISNUMBER(SEARCH("营",'19.12'!AE25)),(-$Y25+50*IF('19.12'!$AK25="是",'19.12'!$BB$4,'19.12'!$BB$3)),(VLOOKUP('19.12'!AE25,'19.12'!$AO$4:$AQ$55,2,FALSE))*IF('19.12'!$AK25="是",'19.12'!$BB$4,'19.12'!$BB$3))</f>
        <v>0</v>
      </c>
      <c r="X25" s="4">
        <f>IF(ISNUMBER(SEARCH("营",'19.12'!AF25)),(-$Y25+50*IF('19.12'!$AK25="是",'19.12'!$BB$4,'19.12'!$BB$3)),(VLOOKUP('19.12'!AF25,'19.12'!$AO$4:$AQ$55,2,FALSE))*IF('19.12'!$AK25="是",'19.12'!$BB$4,'19.12'!$BB$3))</f>
        <v>0</v>
      </c>
      <c r="Y25" s="18">
        <v>200</v>
      </c>
      <c r="Z25" s="15">
        <v>45751</v>
      </c>
    </row>
    <row r="26" spans="1:26">
      <c r="A26" s="4">
        <f>IF(ISNUMBER(SEARCH("营",'19.12'!I26)),(-$Y26+50*IF('19.12'!$AK26="是",'19.12'!$BB$4,'19.12'!$BB$3)),(VLOOKUP('19.12'!I26,'19.12'!$AO$4:$AQ$55,2,FALSE))*IF('19.12'!$AK26="是",'19.12'!$BB$4,'19.12'!$BB$3))</f>
        <v>128</v>
      </c>
      <c r="B26" s="4">
        <f>IF(ISNUMBER(SEARCH("营",'19.12'!J26)),(-$Y26+50*IF('19.12'!$AK26="是",'19.12'!$BB$4,'19.12'!$BB$3)),(VLOOKUP('19.12'!J26,'19.12'!$AO$4:$AQ$55,2,FALSE))*IF('19.12'!$AK26="是",'19.12'!$BB$4,'19.12'!$BB$3))</f>
        <v>40</v>
      </c>
      <c r="C26" s="4">
        <f>IF(ISNUMBER(SEARCH("营",'19.12'!K26)),(-$Y26+50*IF('19.12'!$AK26="是",'19.12'!$BB$4,'19.12'!$BB$3)),(VLOOKUP('19.12'!K26,'19.12'!$AO$4:$AQ$55,2,FALSE))*IF('19.12'!$AK26="是",'19.12'!$BB$4,'19.12'!$BB$3))</f>
        <v>128</v>
      </c>
      <c r="D26" s="4">
        <f>IF(ISNUMBER(SEARCH("营",'19.12'!L26)),(-$Y26+50*IF('19.12'!$AK26="是",'19.12'!$BB$4,'19.12'!$BB$3)),(VLOOKUP('19.12'!L26,'19.12'!$AO$4:$AQ$55,2,FALSE))*IF('19.12'!$AK26="是",'19.12'!$BB$4,'19.12'!$BB$3))</f>
        <v>120</v>
      </c>
      <c r="E26" s="4">
        <f>IF(ISNUMBER(SEARCH("营",'19.12'!M26)),(-$Y26+50*IF('19.12'!$AK26="是",'19.12'!$BB$4,'19.12'!$BB$3)),(VLOOKUP('19.12'!M26,'19.12'!$AO$4:$AQ$55,2,FALSE))*IF('19.12'!$AK26="是",'19.12'!$BB$4,'19.12'!$BB$3))</f>
        <v>128</v>
      </c>
      <c r="F26" s="4">
        <f>IF(ISNUMBER(SEARCH("营",'19.12'!N26)),(-$Y26+50*IF('19.12'!$AK26="是",'19.12'!$BB$4,'19.12'!$BB$3)),(VLOOKUP('19.12'!N26,'19.12'!$AO$4:$AQ$55,2,FALSE))*IF('19.12'!$AK26="是",'19.12'!$BB$4,'19.12'!$BB$3))</f>
        <v>128</v>
      </c>
      <c r="G26" s="4">
        <f>IF(ISNUMBER(SEARCH("营",'19.12'!O26)),(-$Y26+50*IF('19.12'!$AK26="是",'19.12'!$BB$4,'19.12'!$BB$3)),(VLOOKUP('19.12'!O26,'19.12'!$AO$4:$AQ$55,2,FALSE))*IF('19.12'!$AK26="是",'19.12'!$BB$4,'19.12'!$BB$3))</f>
        <v>0</v>
      </c>
      <c r="H26" s="4">
        <f>IF(ISNUMBER(SEARCH("营",'19.12'!P26)),(-$Y26+50*IF('19.12'!$AK26="是",'19.12'!$BB$4,'19.12'!$BB$3)),(VLOOKUP('19.12'!P26,'19.12'!$AO$4:$AQ$55,2,FALSE))*IF('19.12'!$AK26="是",'19.12'!$BB$4,'19.12'!$BB$3))</f>
        <v>0</v>
      </c>
      <c r="I26" s="4">
        <f>IF(ISNUMBER(SEARCH("营",'19.12'!Q26)),(-$Y26+50*IF('19.12'!$AK26="是",'19.12'!$BB$4,'19.12'!$BB$3)),(VLOOKUP('19.12'!Q26,'19.12'!$AO$4:$AQ$55,2,FALSE))*IF('19.12'!$AK26="是",'19.12'!$BB$4,'19.12'!$BB$3))</f>
        <v>160</v>
      </c>
      <c r="J26" s="4">
        <f>IF(ISNUMBER(SEARCH("营",'19.12'!R26)),(-$Y26+50*IF('19.12'!$AK26="是",'19.12'!$BB$4,'19.12'!$BB$3)),(VLOOKUP('19.12'!R26,'19.12'!$AO$4:$AQ$55,2,FALSE))*IF('19.12'!$AK26="是",'19.12'!$BB$4,'19.12'!$BB$3))</f>
        <v>160</v>
      </c>
      <c r="K26" s="4">
        <f>IF(ISNUMBER(SEARCH("营",'19.12'!S26)),(-$Y26+50*IF('19.12'!$AK26="是",'19.12'!$BB$4,'19.12'!$BB$3)),(VLOOKUP('19.12'!S26,'19.12'!$AO$4:$AQ$55,2,FALSE))*IF('19.12'!$AK26="是",'19.12'!$BB$4,'19.12'!$BB$3))</f>
        <v>160</v>
      </c>
      <c r="L26" s="4">
        <f>IF(ISNUMBER(SEARCH("营",'19.12'!T26)),(-$Y26+50*IF('19.12'!$AK26="是",'19.12'!$BB$4,'19.12'!$BB$3)),(VLOOKUP('19.12'!T26,'19.12'!$AO$4:$AQ$55,2,FALSE))*IF('19.12'!$AK26="是",'19.12'!$BB$4,'19.12'!$BB$3))</f>
        <v>160</v>
      </c>
      <c r="M26" s="4">
        <f>IF(ISNUMBER(SEARCH("营",'19.12'!U26)),(-$Y26+50*IF('19.12'!$AK26="是",'19.12'!$BB$4,'19.12'!$BB$3)),(VLOOKUP('19.12'!U26,'19.12'!$AO$4:$AQ$55,2,FALSE))*IF('19.12'!$AK26="是",'19.12'!$BB$4,'19.12'!$BB$3))</f>
        <v>160</v>
      </c>
      <c r="N26" s="4">
        <f>IF(ISNUMBER(SEARCH("营",'19.12'!V26)),(-$Y26+50*IF('19.12'!$AK26="是",'19.12'!$BB$4,'19.12'!$BB$3)),(VLOOKUP('19.12'!V26,'19.12'!$AO$4:$AQ$55,2,FALSE))*IF('19.12'!$AK26="是",'19.12'!$BB$4,'19.12'!$BB$3))</f>
        <v>160</v>
      </c>
      <c r="O26" s="4">
        <f>IF(ISNUMBER(SEARCH("营",'19.12'!W26)),(-$Y26+50*IF('19.12'!$AK26="是",'19.12'!$BB$4,'19.12'!$BB$3)),(VLOOKUP('19.12'!W26,'19.12'!$AO$4:$AQ$55,2,FALSE))*IF('19.12'!$AK26="是",'19.12'!$BB$4,'19.12'!$BB$3))</f>
        <v>0</v>
      </c>
      <c r="P26" s="4">
        <f>IF(ISNUMBER(SEARCH("营",'19.12'!X26)),(-$Y26+50*IF('19.12'!$AK26="是",'19.12'!$BB$4,'19.12'!$BB$3)),(VLOOKUP('19.12'!X26,'19.12'!$AO$4:$AQ$55,2,FALSE))*IF('19.12'!$AK26="是",'19.12'!$BB$4,'19.12'!$BB$3))</f>
        <v>0</v>
      </c>
      <c r="Q26" s="4">
        <f>IF(ISNUMBER(SEARCH("营",'19.12'!Y26)),(-$Y26+50*IF('19.12'!$AK26="是",'19.12'!$BB$4,'19.12'!$BB$3)),(VLOOKUP('19.12'!Y26,'19.12'!$AO$4:$AQ$55,2,FALSE))*IF('19.12'!$AK26="是",'19.12'!$BB$4,'19.12'!$BB$3))</f>
        <v>0</v>
      </c>
      <c r="R26" s="4">
        <f>IF(ISNUMBER(SEARCH("营",'19.12'!Z26)),(-$Y26+50*IF('19.12'!$AK26="是",'19.12'!$BB$4,'19.12'!$BB$3)),(VLOOKUP('19.12'!Z26,'19.12'!$AO$4:$AQ$55,2,FALSE))*IF('19.12'!$AK26="是",'19.12'!$BB$4,'19.12'!$BB$3))</f>
        <v>0</v>
      </c>
      <c r="S26" s="4">
        <f>IF(ISNUMBER(SEARCH("营",'19.12'!AA26)),(-$Y26+50*IF('19.12'!$AK26="是",'19.12'!$BB$4,'19.12'!$BB$3)),(VLOOKUP('19.12'!AA26,'19.12'!$AO$4:$AQ$55,2,FALSE))*IF('19.12'!$AK26="是",'19.12'!$BB$4,'19.12'!$BB$3))</f>
        <v>0</v>
      </c>
      <c r="T26" s="4">
        <f>IF(ISNUMBER(SEARCH("营",'19.12'!AB26)),(-$Y26+50*IF('19.12'!$AK26="是",'19.12'!$BB$4,'19.12'!$BB$3)),(VLOOKUP('19.12'!AB26,'19.12'!$AO$4:$AQ$55,2,FALSE))*IF('19.12'!$AK26="是",'19.12'!$BB$4,'19.12'!$BB$3))</f>
        <v>0</v>
      </c>
      <c r="U26" s="4">
        <f>IF(ISNUMBER(SEARCH("营",'19.12'!AC26)),(-$Y26+50*IF('19.12'!$AK26="是",'19.12'!$BB$4,'19.12'!$BB$3)),(VLOOKUP('19.12'!AC26,'19.12'!$AO$4:$AQ$55,2,FALSE))*IF('19.12'!$AK26="是",'19.12'!$BB$4,'19.12'!$BB$3))</f>
        <v>0</v>
      </c>
      <c r="V26" s="4">
        <f>IF(ISNUMBER(SEARCH("营",'19.12'!AD26)),(-$Y26+50*IF('19.12'!$AK26="是",'19.12'!$BB$4,'19.12'!$BB$3)),(VLOOKUP('19.12'!AD26,'19.12'!$AO$4:$AQ$55,2,FALSE))*IF('19.12'!$AK26="是",'19.12'!$BB$4,'19.12'!$BB$3))</f>
        <v>0</v>
      </c>
      <c r="W26" s="4">
        <f>IF(ISNUMBER(SEARCH("营",'19.12'!AE26)),(-$Y26+50*IF('19.12'!$AK26="是",'19.12'!$BB$4,'19.12'!$BB$3)),(VLOOKUP('19.12'!AE26,'19.12'!$AO$4:$AQ$55,2,FALSE))*IF('19.12'!$AK26="是",'19.12'!$BB$4,'19.12'!$BB$3))</f>
        <v>0</v>
      </c>
      <c r="X26" s="4">
        <f>IF(ISNUMBER(SEARCH("营",'19.12'!AF26)),(-$Y26+50*IF('19.12'!$AK26="是",'19.12'!$BB$4,'19.12'!$BB$3)),(VLOOKUP('19.12'!AF26,'19.12'!$AO$4:$AQ$55,2,FALSE))*IF('19.12'!$AK26="是",'19.12'!$BB$4,'19.12'!$BB$3))</f>
        <v>0</v>
      </c>
      <c r="Y26" s="18">
        <v>200</v>
      </c>
      <c r="Z26" s="15">
        <v>45752</v>
      </c>
    </row>
    <row r="27" spans="1:26">
      <c r="A27" s="4">
        <f>IF(ISNUMBER(SEARCH("营",'19.12'!I27)),(-$Y27+50*IF('19.12'!$AK27="是",'19.12'!$BB$4,'19.12'!$BB$3)),(VLOOKUP('19.12'!I27,'19.12'!$AO$4:$AQ$55,2,FALSE))*IF('19.12'!$AK27="是",'19.12'!$BB$4,'19.12'!$BB$3))</f>
        <v>40</v>
      </c>
      <c r="B27" s="4">
        <f>IF(ISNUMBER(SEARCH("营",'19.12'!J27)),(-$Y27+50*IF('19.12'!$AK27="是",'19.12'!$BB$4,'19.12'!$BB$3)),(VLOOKUP('19.12'!J27,'19.12'!$AO$4:$AQ$55,2,FALSE))*IF('19.12'!$AK27="是",'19.12'!$BB$4,'19.12'!$BB$3))</f>
        <v>128</v>
      </c>
      <c r="C27" s="4">
        <f>IF(ISNUMBER(SEARCH("营",'19.12'!K27)),(-$Y27+50*IF('19.12'!$AK27="是",'19.12'!$BB$4,'19.12'!$BB$3)),(VLOOKUP('19.12'!K27,'19.12'!$AO$4:$AQ$55,2,FALSE))*IF('19.12'!$AK27="是",'19.12'!$BB$4,'19.12'!$BB$3))</f>
        <v>128</v>
      </c>
      <c r="D27" s="4">
        <f>IF(ISNUMBER(SEARCH("营",'19.12'!L27)),(-$Y27+50*IF('19.12'!$AK27="是",'19.12'!$BB$4,'19.12'!$BB$3)),(VLOOKUP('19.12'!L27,'19.12'!$AO$4:$AQ$55,2,FALSE))*IF('19.12'!$AK27="是",'19.12'!$BB$4,'19.12'!$BB$3))</f>
        <v>128</v>
      </c>
      <c r="E27" s="4">
        <f>IF(ISNUMBER(SEARCH("营",'19.12'!M27)),(-$Y27+50*IF('19.12'!$AK27="是",'19.12'!$BB$4,'19.12'!$BB$3)),(VLOOKUP('19.12'!M27,'19.12'!$AO$4:$AQ$55,2,FALSE))*IF('19.12'!$AK27="是",'19.12'!$BB$4,'19.12'!$BB$3))</f>
        <v>40</v>
      </c>
      <c r="F27" s="4">
        <f>IF(ISNUMBER(SEARCH("营",'19.12'!N27)),(-$Y27+50*IF('19.12'!$AK27="是",'19.12'!$BB$4,'19.12'!$BB$3)),(VLOOKUP('19.12'!N27,'19.12'!$AO$4:$AQ$55,2,FALSE))*IF('19.12'!$AK27="是",'19.12'!$BB$4,'19.12'!$BB$3))</f>
        <v>128</v>
      </c>
      <c r="G27" s="4">
        <f>IF(ISNUMBER(SEARCH("营",'19.12'!O27)),(-$Y27+50*IF('19.12'!$AK27="是",'19.12'!$BB$4,'19.12'!$BB$3)),(VLOOKUP('19.12'!O27,'19.12'!$AO$4:$AQ$55,2,FALSE))*IF('19.12'!$AK27="是",'19.12'!$BB$4,'19.12'!$BB$3))</f>
        <v>0</v>
      </c>
      <c r="H27" s="4">
        <f>IF(ISNUMBER(SEARCH("营",'19.12'!P27)),(-$Y27+50*IF('19.12'!$AK27="是",'19.12'!$BB$4,'19.12'!$BB$3)),(VLOOKUP('19.12'!P27,'19.12'!$AO$4:$AQ$55,2,FALSE))*IF('19.12'!$AK27="是",'19.12'!$BB$4,'19.12'!$BB$3))</f>
        <v>0</v>
      </c>
      <c r="I27" s="4">
        <f>IF(ISNUMBER(SEARCH("营",'19.12'!Q27)),(-$Y27+50*IF('19.12'!$AK27="是",'19.12'!$BB$4,'19.12'!$BB$3)),(VLOOKUP('19.12'!Q27,'19.12'!$AO$4:$AQ$55,2,FALSE))*IF('19.12'!$AK27="是",'19.12'!$BB$4,'19.12'!$BB$3))</f>
        <v>160</v>
      </c>
      <c r="J27" s="4">
        <f>IF(ISNUMBER(SEARCH("营",'19.12'!R27)),(-$Y27+50*IF('19.12'!$AK27="是",'19.12'!$BB$4,'19.12'!$BB$3)),(VLOOKUP('19.12'!R27,'19.12'!$AO$4:$AQ$55,2,FALSE))*IF('19.12'!$AK27="是",'19.12'!$BB$4,'19.12'!$BB$3))</f>
        <v>160</v>
      </c>
      <c r="K27" s="4">
        <f>IF(ISNUMBER(SEARCH("营",'19.12'!S27)),(-$Y27+50*IF('19.12'!$AK27="是",'19.12'!$BB$4,'19.12'!$BB$3)),(VLOOKUP('19.12'!S27,'19.12'!$AO$4:$AQ$55,2,FALSE))*IF('19.12'!$AK27="是",'19.12'!$BB$4,'19.12'!$BB$3))</f>
        <v>160</v>
      </c>
      <c r="L27" s="4">
        <f>IF(ISNUMBER(SEARCH("营",'19.12'!T27)),(-$Y27+50*IF('19.12'!$AK27="是",'19.12'!$BB$4,'19.12'!$BB$3)),(VLOOKUP('19.12'!T27,'19.12'!$AO$4:$AQ$55,2,FALSE))*IF('19.12'!$AK27="是",'19.12'!$BB$4,'19.12'!$BB$3))</f>
        <v>160</v>
      </c>
      <c r="M27" s="4">
        <f>IF(ISNUMBER(SEARCH("营",'19.12'!U27)),(-$Y27+50*IF('19.12'!$AK27="是",'19.12'!$BB$4,'19.12'!$BB$3)),(VLOOKUP('19.12'!U27,'19.12'!$AO$4:$AQ$55,2,FALSE))*IF('19.12'!$AK27="是",'19.12'!$BB$4,'19.12'!$BB$3))</f>
        <v>160</v>
      </c>
      <c r="N27" s="4">
        <f>IF(ISNUMBER(SEARCH("营",'19.12'!V27)),(-$Y27+50*IF('19.12'!$AK27="是",'19.12'!$BB$4,'19.12'!$BB$3)),(VLOOKUP('19.12'!V27,'19.12'!$AO$4:$AQ$55,2,FALSE))*IF('19.12'!$AK27="是",'19.12'!$BB$4,'19.12'!$BB$3))</f>
        <v>160</v>
      </c>
      <c r="O27" s="4">
        <f>IF(ISNUMBER(SEARCH("营",'19.12'!W27)),(-$Y27+50*IF('19.12'!$AK27="是",'19.12'!$BB$4,'19.12'!$BB$3)),(VLOOKUP('19.12'!W27,'19.12'!$AO$4:$AQ$55,2,FALSE))*IF('19.12'!$AK27="是",'19.12'!$BB$4,'19.12'!$BB$3))</f>
        <v>0</v>
      </c>
      <c r="P27" s="4">
        <f>IF(ISNUMBER(SEARCH("营",'19.12'!X27)),(-$Y27+50*IF('19.12'!$AK27="是",'19.12'!$BB$4,'19.12'!$BB$3)),(VLOOKUP('19.12'!X27,'19.12'!$AO$4:$AQ$55,2,FALSE))*IF('19.12'!$AK27="是",'19.12'!$BB$4,'19.12'!$BB$3))</f>
        <v>0</v>
      </c>
      <c r="Q27" s="4">
        <f>IF(ISNUMBER(SEARCH("营",'19.12'!Y27)),(-$Y27+50*IF('19.12'!$AK27="是",'19.12'!$BB$4,'19.12'!$BB$3)),(VLOOKUP('19.12'!Y27,'19.12'!$AO$4:$AQ$55,2,FALSE))*IF('19.12'!$AK27="是",'19.12'!$BB$4,'19.12'!$BB$3))</f>
        <v>0</v>
      </c>
      <c r="R27" s="4">
        <f>IF(ISNUMBER(SEARCH("营",'19.12'!Z27)),(-$Y27+50*IF('19.12'!$AK27="是",'19.12'!$BB$4,'19.12'!$BB$3)),(VLOOKUP('19.12'!Z27,'19.12'!$AO$4:$AQ$55,2,FALSE))*IF('19.12'!$AK27="是",'19.12'!$BB$4,'19.12'!$BB$3))</f>
        <v>0</v>
      </c>
      <c r="S27" s="4">
        <f>IF(ISNUMBER(SEARCH("营",'19.12'!AA27)),(-$Y27+50*IF('19.12'!$AK27="是",'19.12'!$BB$4,'19.12'!$BB$3)),(VLOOKUP('19.12'!AA27,'19.12'!$AO$4:$AQ$55,2,FALSE))*IF('19.12'!$AK27="是",'19.12'!$BB$4,'19.12'!$BB$3))</f>
        <v>0</v>
      </c>
      <c r="T27" s="4">
        <f>IF(ISNUMBER(SEARCH("营",'19.12'!AB27)),(-$Y27+50*IF('19.12'!$AK27="是",'19.12'!$BB$4,'19.12'!$BB$3)),(VLOOKUP('19.12'!AB27,'19.12'!$AO$4:$AQ$55,2,FALSE))*IF('19.12'!$AK27="是",'19.12'!$BB$4,'19.12'!$BB$3))</f>
        <v>0</v>
      </c>
      <c r="U27" s="4">
        <f>IF(ISNUMBER(SEARCH("营",'19.12'!AC27)),(-$Y27+50*IF('19.12'!$AK27="是",'19.12'!$BB$4,'19.12'!$BB$3)),(VLOOKUP('19.12'!AC27,'19.12'!$AO$4:$AQ$55,2,FALSE))*IF('19.12'!$AK27="是",'19.12'!$BB$4,'19.12'!$BB$3))</f>
        <v>0</v>
      </c>
      <c r="V27" s="4">
        <f>IF(ISNUMBER(SEARCH("营",'19.12'!AD27)),(-$Y27+50*IF('19.12'!$AK27="是",'19.12'!$BB$4,'19.12'!$BB$3)),(VLOOKUP('19.12'!AD27,'19.12'!$AO$4:$AQ$55,2,FALSE))*IF('19.12'!$AK27="是",'19.12'!$BB$4,'19.12'!$BB$3))</f>
        <v>0</v>
      </c>
      <c r="W27" s="4">
        <f>IF(ISNUMBER(SEARCH("营",'19.12'!AE27)),(-$Y27+50*IF('19.12'!$AK27="是",'19.12'!$BB$4,'19.12'!$BB$3)),(VLOOKUP('19.12'!AE27,'19.12'!$AO$4:$AQ$55,2,FALSE))*IF('19.12'!$AK27="是",'19.12'!$BB$4,'19.12'!$BB$3))</f>
        <v>0</v>
      </c>
      <c r="X27" s="4">
        <f>IF(ISNUMBER(SEARCH("营",'19.12'!AF27)),(-$Y27+50*IF('19.12'!$AK27="是",'19.12'!$BB$4,'19.12'!$BB$3)),(VLOOKUP('19.12'!AF27,'19.12'!$AO$4:$AQ$55,2,FALSE))*IF('19.12'!$AK27="是",'19.12'!$BB$4,'19.12'!$BB$3))</f>
        <v>0</v>
      </c>
      <c r="Y27" s="18">
        <v>200</v>
      </c>
      <c r="Z27" s="15">
        <v>45753</v>
      </c>
    </row>
    <row r="28" spans="1:26">
      <c r="A28" s="4">
        <f>IF(ISNUMBER(SEARCH("营",'19.12'!I28)),(-$Y28+50*IF('19.12'!$AK28="是",'19.12'!$BB$4,'19.12'!$BB$3)),(VLOOKUP('19.12'!I28,'19.12'!$AO$4:$AQ$55,2,FALSE))*IF('19.12'!$AK28="是",'19.12'!$BB$4,'19.12'!$BB$3))</f>
        <v>128</v>
      </c>
      <c r="B28" s="4">
        <f>IF(ISNUMBER(SEARCH("营",'19.12'!J28)),(-$Y28+50*IF('19.12'!$AK28="是",'19.12'!$BB$4,'19.12'!$BB$3)),(VLOOKUP('19.12'!J28,'19.12'!$AO$4:$AQ$55,2,FALSE))*IF('19.12'!$AK28="是",'19.12'!$BB$4,'19.12'!$BB$3))</f>
        <v>0</v>
      </c>
      <c r="C28" s="4">
        <f>IF(ISNUMBER(SEARCH("营",'19.12'!K28)),(-$Y28+50*IF('19.12'!$AK28="是",'19.12'!$BB$4,'19.12'!$BB$3)),(VLOOKUP('19.12'!K28,'19.12'!$AO$4:$AQ$55,2,FALSE))*IF('19.12'!$AK28="是",'19.12'!$BB$4,'19.12'!$BB$3))</f>
        <v>128</v>
      </c>
      <c r="D28" s="4">
        <f>IF(ISNUMBER(SEARCH("营",'19.12'!L28)),(-$Y28+50*IF('19.12'!$AK28="是",'19.12'!$BB$4,'19.12'!$BB$3)),(VLOOKUP('19.12'!L28,'19.12'!$AO$4:$AQ$55,2,FALSE))*IF('19.12'!$AK28="是",'19.12'!$BB$4,'19.12'!$BB$3))</f>
        <v>128</v>
      </c>
      <c r="E28" s="4">
        <f>IF(ISNUMBER(SEARCH("营",'19.12'!M28)),(-$Y28+50*IF('19.12'!$AK28="是",'19.12'!$BB$4,'19.12'!$BB$3)),(VLOOKUP('19.12'!M28,'19.12'!$AO$4:$AQ$55,2,FALSE))*IF('19.12'!$AK28="是",'19.12'!$BB$4,'19.12'!$BB$3))</f>
        <v>40</v>
      </c>
      <c r="F28" s="4">
        <f>IF(ISNUMBER(SEARCH("营",'19.12'!N28)),(-$Y28+50*IF('19.12'!$AK28="是",'19.12'!$BB$4,'19.12'!$BB$3)),(VLOOKUP('19.12'!N28,'19.12'!$AO$4:$AQ$55,2,FALSE))*IF('19.12'!$AK28="是",'19.12'!$BB$4,'19.12'!$BB$3))</f>
        <v>128</v>
      </c>
      <c r="G28" s="4">
        <f>IF(ISNUMBER(SEARCH("营",'19.12'!O28)),(-$Y28+50*IF('19.12'!$AK28="是",'19.12'!$BB$4,'19.12'!$BB$3)),(VLOOKUP('19.12'!O28,'19.12'!$AO$4:$AQ$55,2,FALSE))*IF('19.12'!$AK28="是",'19.12'!$BB$4,'19.12'!$BB$3))</f>
        <v>0</v>
      </c>
      <c r="H28" s="4">
        <f>IF(ISNUMBER(SEARCH("营",'19.12'!P28)),(-$Y28+50*IF('19.12'!$AK28="是",'19.12'!$BB$4,'19.12'!$BB$3)),(VLOOKUP('19.12'!P28,'19.12'!$AO$4:$AQ$55,2,FALSE))*IF('19.12'!$AK28="是",'19.12'!$BB$4,'19.12'!$BB$3))</f>
        <v>0</v>
      </c>
      <c r="I28" s="4">
        <f>IF(ISNUMBER(SEARCH("营",'19.12'!Q28)),(-$Y28+50*IF('19.12'!$AK28="是",'19.12'!$BB$4,'19.12'!$BB$3)),(VLOOKUP('19.12'!Q28,'19.12'!$AO$4:$AQ$55,2,FALSE))*IF('19.12'!$AK28="是",'19.12'!$BB$4,'19.12'!$BB$3))</f>
        <v>160</v>
      </c>
      <c r="J28" s="4">
        <f>IF(ISNUMBER(SEARCH("营",'19.12'!R28)),(-$Y28+50*IF('19.12'!$AK28="是",'19.12'!$BB$4,'19.12'!$BB$3)),(VLOOKUP('19.12'!R28,'19.12'!$AO$4:$AQ$55,2,FALSE))*IF('19.12'!$AK28="是",'19.12'!$BB$4,'19.12'!$BB$3))</f>
        <v>160</v>
      </c>
      <c r="K28" s="4">
        <f>IF(ISNUMBER(SEARCH("营",'19.12'!S28)),(-$Y28+50*IF('19.12'!$AK28="是",'19.12'!$BB$4,'19.12'!$BB$3)),(VLOOKUP('19.12'!S28,'19.12'!$AO$4:$AQ$55,2,FALSE))*IF('19.12'!$AK28="是",'19.12'!$BB$4,'19.12'!$BB$3))</f>
        <v>152</v>
      </c>
      <c r="L28" s="4">
        <f>IF(ISNUMBER(SEARCH("营",'19.12'!T28)),(-$Y28+50*IF('19.12'!$AK28="是",'19.12'!$BB$4,'19.12'!$BB$3)),(VLOOKUP('19.12'!T28,'19.12'!$AO$4:$AQ$55,2,FALSE))*IF('19.12'!$AK28="是",'19.12'!$BB$4,'19.12'!$BB$3))</f>
        <v>152</v>
      </c>
      <c r="M28" s="4">
        <f>IF(ISNUMBER(SEARCH("营",'19.12'!U28)),(-$Y28+50*IF('19.12'!$AK28="是",'19.12'!$BB$4,'19.12'!$BB$3)),(VLOOKUP('19.12'!U28,'19.12'!$AO$4:$AQ$55,2,FALSE))*IF('19.12'!$AK28="是",'19.12'!$BB$4,'19.12'!$BB$3))</f>
        <v>152</v>
      </c>
      <c r="N28" s="4">
        <f>IF(ISNUMBER(SEARCH("营",'19.12'!V28)),(-$Y28+50*IF('19.12'!$AK28="是",'19.12'!$BB$4,'19.12'!$BB$3)),(VLOOKUP('19.12'!V28,'19.12'!$AO$4:$AQ$55,2,FALSE))*IF('19.12'!$AK28="是",'19.12'!$BB$4,'19.12'!$BB$3))</f>
        <v>-160</v>
      </c>
      <c r="O28" s="4">
        <f>IF(ISNUMBER(SEARCH("营",'19.12'!W28)),(-$Y28+50*IF('19.12'!$AK28="是",'19.12'!$BB$4,'19.12'!$BB$3)),(VLOOKUP('19.12'!W28,'19.12'!$AO$4:$AQ$55,2,FALSE))*IF('19.12'!$AK28="是",'19.12'!$BB$4,'19.12'!$BB$3))</f>
        <v>152</v>
      </c>
      <c r="P28" s="4">
        <f>IF(ISNUMBER(SEARCH("营",'19.12'!X28)),(-$Y28+50*IF('19.12'!$AK28="是",'19.12'!$BB$4,'19.12'!$BB$3)),(VLOOKUP('19.12'!X28,'19.12'!$AO$4:$AQ$55,2,FALSE))*IF('19.12'!$AK28="是",'19.12'!$BB$4,'19.12'!$BB$3))</f>
        <v>152</v>
      </c>
      <c r="Q28" s="4">
        <f>IF(ISNUMBER(SEARCH("营",'19.12'!Y28)),(-$Y28+50*IF('19.12'!$AK28="是",'19.12'!$BB$4,'19.12'!$BB$3)),(VLOOKUP('19.12'!Y28,'19.12'!$AO$4:$AQ$55,2,FALSE))*IF('19.12'!$AK28="是",'19.12'!$BB$4,'19.12'!$BB$3))</f>
        <v>0</v>
      </c>
      <c r="R28" s="4">
        <f>IF(ISNUMBER(SEARCH("营",'19.12'!Z28)),(-$Y28+50*IF('19.12'!$AK28="是",'19.12'!$BB$4,'19.12'!$BB$3)),(VLOOKUP('19.12'!Z28,'19.12'!$AO$4:$AQ$55,2,FALSE))*IF('19.12'!$AK28="是",'19.12'!$BB$4,'19.12'!$BB$3))</f>
        <v>0</v>
      </c>
      <c r="S28" s="4">
        <f>IF(ISNUMBER(SEARCH("营",'19.12'!AA28)),(-$Y28+50*IF('19.12'!$AK28="是",'19.12'!$BB$4,'19.12'!$BB$3)),(VLOOKUP('19.12'!AA28,'19.12'!$AO$4:$AQ$55,2,FALSE))*IF('19.12'!$AK28="是",'19.12'!$BB$4,'19.12'!$BB$3))</f>
        <v>0</v>
      </c>
      <c r="T28" s="4">
        <f>IF(ISNUMBER(SEARCH("营",'19.12'!AB28)),(-$Y28+50*IF('19.12'!$AK28="是",'19.12'!$BB$4,'19.12'!$BB$3)),(VLOOKUP('19.12'!AB28,'19.12'!$AO$4:$AQ$55,2,FALSE))*IF('19.12'!$AK28="是",'19.12'!$BB$4,'19.12'!$BB$3))</f>
        <v>0</v>
      </c>
      <c r="U28" s="4">
        <f>IF(ISNUMBER(SEARCH("营",'19.12'!AC28)),(-$Y28+50*IF('19.12'!$AK28="是",'19.12'!$BB$4,'19.12'!$BB$3)),(VLOOKUP('19.12'!AC28,'19.12'!$AO$4:$AQ$55,2,FALSE))*IF('19.12'!$AK28="是",'19.12'!$BB$4,'19.12'!$BB$3))</f>
        <v>0</v>
      </c>
      <c r="V28" s="4">
        <f>IF(ISNUMBER(SEARCH("营",'19.12'!AD28)),(-$Y28+50*IF('19.12'!$AK28="是",'19.12'!$BB$4,'19.12'!$BB$3)),(VLOOKUP('19.12'!AD28,'19.12'!$AO$4:$AQ$55,2,FALSE))*IF('19.12'!$AK28="是",'19.12'!$BB$4,'19.12'!$BB$3))</f>
        <v>0</v>
      </c>
      <c r="W28" s="4">
        <f>IF(ISNUMBER(SEARCH("营",'19.12'!AE28)),(-$Y28+50*IF('19.12'!$AK28="是",'19.12'!$BB$4,'19.12'!$BB$3)),(VLOOKUP('19.12'!AE28,'19.12'!$AO$4:$AQ$55,2,FALSE))*IF('19.12'!$AK28="是",'19.12'!$BB$4,'19.12'!$BB$3))</f>
        <v>0</v>
      </c>
      <c r="X28" s="4">
        <f>IF(ISNUMBER(SEARCH("营",'19.12'!AF28)),(-$Y28+50*IF('19.12'!$AK28="是",'19.12'!$BB$4,'19.12'!$BB$3)),(VLOOKUP('19.12'!AF28,'19.12'!$AO$4:$AQ$55,2,FALSE))*IF('19.12'!$AK28="是",'19.12'!$BB$4,'19.12'!$BB$3))</f>
        <v>0</v>
      </c>
      <c r="Y28" s="18">
        <v>200</v>
      </c>
      <c r="Z28" s="15">
        <v>45754</v>
      </c>
    </row>
    <row r="29" spans="1:26">
      <c r="A29" s="4">
        <f>IF(ISNUMBER(SEARCH("营",'19.12'!I29)),(-$Y29+50*IF('19.12'!$AK29="是",'19.12'!$BB$4,'19.12'!$BB$3)),(VLOOKUP('19.12'!I29,'19.12'!$AO$4:$AQ$55,2,FALSE))*IF('19.12'!$AK29="是",'19.12'!$BB$4,'19.12'!$BB$3))</f>
        <v>128</v>
      </c>
      <c r="B29" s="4">
        <f>IF(ISNUMBER(SEARCH("营",'19.12'!J29)),(-$Y29+50*IF('19.12'!$AK29="是",'19.12'!$BB$4,'19.12'!$BB$3)),(VLOOKUP('19.12'!J29,'19.12'!$AO$4:$AQ$55,2,FALSE))*IF('19.12'!$AK29="是",'19.12'!$BB$4,'19.12'!$BB$3))</f>
        <v>128</v>
      </c>
      <c r="C29" s="4">
        <f>IF(ISNUMBER(SEARCH("营",'19.12'!K29)),(-$Y29+50*IF('19.12'!$AK29="是",'19.12'!$BB$4,'19.12'!$BB$3)),(VLOOKUP('19.12'!K29,'19.12'!$AO$4:$AQ$55,2,FALSE))*IF('19.12'!$AK29="是",'19.12'!$BB$4,'19.12'!$BB$3))</f>
        <v>128</v>
      </c>
      <c r="D29" s="4">
        <f>IF(ISNUMBER(SEARCH("营",'19.12'!L29)),(-$Y29+50*IF('19.12'!$AK29="是",'19.12'!$BB$4,'19.12'!$BB$3)),(VLOOKUP('19.12'!L29,'19.12'!$AO$4:$AQ$55,2,FALSE))*IF('19.12'!$AK29="是",'19.12'!$BB$4,'19.12'!$BB$3))</f>
        <v>128</v>
      </c>
      <c r="E29" s="4">
        <f>IF(ISNUMBER(SEARCH("营",'19.12'!M29)),(-$Y29+50*IF('19.12'!$AK29="是",'19.12'!$BB$4,'19.12'!$BB$3)),(VLOOKUP('19.12'!M29,'19.12'!$AO$4:$AQ$55,2,FALSE))*IF('19.12'!$AK29="是",'19.12'!$BB$4,'19.12'!$BB$3))</f>
        <v>128</v>
      </c>
      <c r="F29" s="4">
        <f>IF(ISNUMBER(SEARCH("营",'19.12'!N29)),(-$Y29+50*IF('19.12'!$AK29="是",'19.12'!$BB$4,'19.12'!$BB$3)),(VLOOKUP('19.12'!N29,'19.12'!$AO$4:$AQ$55,2,FALSE))*IF('19.12'!$AK29="是",'19.12'!$BB$4,'19.12'!$BB$3))</f>
        <v>128</v>
      </c>
      <c r="G29" s="4">
        <f>IF(ISNUMBER(SEARCH("营",'19.12'!O29)),(-$Y29+50*IF('19.12'!$AK29="是",'19.12'!$BB$4,'19.12'!$BB$3)),(VLOOKUP('19.12'!O29,'19.12'!$AO$4:$AQ$55,2,FALSE))*IF('19.12'!$AK29="是",'19.12'!$BB$4,'19.12'!$BB$3))</f>
        <v>128</v>
      </c>
      <c r="H29" s="4">
        <f>IF(ISNUMBER(SEARCH("营",'19.12'!P29)),(-$Y29+50*IF('19.12'!$AK29="是",'19.12'!$BB$4,'19.12'!$BB$3)),(VLOOKUP('19.12'!P29,'19.12'!$AO$4:$AQ$55,2,FALSE))*IF('19.12'!$AK29="是",'19.12'!$BB$4,'19.12'!$BB$3))</f>
        <v>0</v>
      </c>
      <c r="I29" s="4">
        <f>IF(ISNUMBER(SEARCH("营",'19.12'!Q29)),(-$Y29+50*IF('19.12'!$AK29="是",'19.12'!$BB$4,'19.12'!$BB$3)),(VLOOKUP('19.12'!Q29,'19.12'!$AO$4:$AQ$55,2,FALSE))*IF('19.12'!$AK29="是",'19.12'!$BB$4,'19.12'!$BB$3))</f>
        <v>40</v>
      </c>
      <c r="J29" s="4">
        <f>IF(ISNUMBER(SEARCH("营",'19.12'!R29)),(-$Y29+50*IF('19.12'!$AK29="是",'19.12'!$BB$4,'19.12'!$BB$3)),(VLOOKUP('19.12'!R29,'19.12'!$AO$4:$AQ$55,2,FALSE))*IF('19.12'!$AK29="是",'19.12'!$BB$4,'19.12'!$BB$3))</f>
        <v>152</v>
      </c>
      <c r="K29" s="4">
        <f>IF(ISNUMBER(SEARCH("营",'19.12'!S29)),(-$Y29+50*IF('19.12'!$AK29="是",'19.12'!$BB$4,'19.12'!$BB$3)),(VLOOKUP('19.12'!S29,'19.12'!$AO$4:$AQ$55,2,FALSE))*IF('19.12'!$AK29="是",'19.12'!$BB$4,'19.12'!$BB$3))</f>
        <v>152</v>
      </c>
      <c r="L29" s="4">
        <f>IF(ISNUMBER(SEARCH("营",'19.12'!T29)),(-$Y29+50*IF('19.12'!$AK29="是",'19.12'!$BB$4,'19.12'!$BB$3)),(VLOOKUP('19.12'!T29,'19.12'!$AO$4:$AQ$55,2,FALSE))*IF('19.12'!$AK29="是",'19.12'!$BB$4,'19.12'!$BB$3))</f>
        <v>152</v>
      </c>
      <c r="M29" s="4">
        <f>IF(ISNUMBER(SEARCH("营",'19.12'!U29)),(-$Y29+50*IF('19.12'!$AK29="是",'19.12'!$BB$4,'19.12'!$BB$3)),(VLOOKUP('19.12'!U29,'19.12'!$AO$4:$AQ$55,2,FALSE))*IF('19.12'!$AK29="是",'19.12'!$BB$4,'19.12'!$BB$3))</f>
        <v>152</v>
      </c>
      <c r="N29" s="4">
        <f>IF(ISNUMBER(SEARCH("营",'19.12'!V29)),(-$Y29+50*IF('19.12'!$AK29="是",'19.12'!$BB$4,'19.12'!$BB$3)),(VLOOKUP('19.12'!V29,'19.12'!$AO$4:$AQ$55,2,FALSE))*IF('19.12'!$AK29="是",'19.12'!$BB$4,'19.12'!$BB$3))</f>
        <v>152</v>
      </c>
      <c r="O29" s="4">
        <f>IF(ISNUMBER(SEARCH("营",'19.12'!W29)),(-$Y29+50*IF('19.12'!$AK29="是",'19.12'!$BB$4,'19.12'!$BB$3)),(VLOOKUP('19.12'!W29,'19.12'!$AO$4:$AQ$55,2,FALSE))*IF('19.12'!$AK29="是",'19.12'!$BB$4,'19.12'!$BB$3))</f>
        <v>152</v>
      </c>
      <c r="P29" s="4">
        <f>IF(ISNUMBER(SEARCH("营",'19.12'!X29)),(-$Y29+50*IF('19.12'!$AK29="是",'19.12'!$BB$4,'19.12'!$BB$3)),(VLOOKUP('19.12'!X29,'19.12'!$AO$4:$AQ$55,2,FALSE))*IF('19.12'!$AK29="是",'19.12'!$BB$4,'19.12'!$BB$3))</f>
        <v>152</v>
      </c>
      <c r="Q29" s="4">
        <f>IF(ISNUMBER(SEARCH("营",'19.12'!Y29)),(-$Y29+50*IF('19.12'!$AK29="是",'19.12'!$BB$4,'19.12'!$BB$3)),(VLOOKUP('19.12'!Y29,'19.12'!$AO$4:$AQ$55,2,FALSE))*IF('19.12'!$AK29="是",'19.12'!$BB$4,'19.12'!$BB$3))</f>
        <v>0</v>
      </c>
      <c r="R29" s="4">
        <f>IF(ISNUMBER(SEARCH("营",'19.12'!Z29)),(-$Y29+50*IF('19.12'!$AK29="是",'19.12'!$BB$4,'19.12'!$BB$3)),(VLOOKUP('19.12'!Z29,'19.12'!$AO$4:$AQ$55,2,FALSE))*IF('19.12'!$AK29="是",'19.12'!$BB$4,'19.12'!$BB$3))</f>
        <v>0</v>
      </c>
      <c r="S29" s="4">
        <f>IF(ISNUMBER(SEARCH("营",'19.12'!AA29)),(-$Y29+50*IF('19.12'!$AK29="是",'19.12'!$BB$4,'19.12'!$BB$3)),(VLOOKUP('19.12'!AA29,'19.12'!$AO$4:$AQ$55,2,FALSE))*IF('19.12'!$AK29="是",'19.12'!$BB$4,'19.12'!$BB$3))</f>
        <v>0</v>
      </c>
      <c r="T29" s="4">
        <f>IF(ISNUMBER(SEARCH("营",'19.12'!AB29)),(-$Y29+50*IF('19.12'!$AK29="是",'19.12'!$BB$4,'19.12'!$BB$3)),(VLOOKUP('19.12'!AB29,'19.12'!$AO$4:$AQ$55,2,FALSE))*IF('19.12'!$AK29="是",'19.12'!$BB$4,'19.12'!$BB$3))</f>
        <v>0</v>
      </c>
      <c r="U29" s="4">
        <f>IF(ISNUMBER(SEARCH("营",'19.12'!AC29)),(-$Y29+50*IF('19.12'!$AK29="是",'19.12'!$BB$4,'19.12'!$BB$3)),(VLOOKUP('19.12'!AC29,'19.12'!$AO$4:$AQ$55,2,FALSE))*IF('19.12'!$AK29="是",'19.12'!$BB$4,'19.12'!$BB$3))</f>
        <v>0</v>
      </c>
      <c r="V29" s="4">
        <f>IF(ISNUMBER(SEARCH("营",'19.12'!AD29)),(-$Y29+50*IF('19.12'!$AK29="是",'19.12'!$BB$4,'19.12'!$BB$3)),(VLOOKUP('19.12'!AD29,'19.12'!$AO$4:$AQ$55,2,FALSE))*IF('19.12'!$AK29="是",'19.12'!$BB$4,'19.12'!$BB$3))</f>
        <v>0</v>
      </c>
      <c r="W29" s="4">
        <f>IF(ISNUMBER(SEARCH("营",'19.12'!AE29)),(-$Y29+50*IF('19.12'!$AK29="是",'19.12'!$BB$4,'19.12'!$BB$3)),(VLOOKUP('19.12'!AE29,'19.12'!$AO$4:$AQ$55,2,FALSE))*IF('19.12'!$AK29="是",'19.12'!$BB$4,'19.12'!$BB$3))</f>
        <v>0</v>
      </c>
      <c r="X29" s="4">
        <f>IF(ISNUMBER(SEARCH("营",'19.12'!AF29)),(-$Y29+50*IF('19.12'!$AK29="是",'19.12'!$BB$4,'19.12'!$BB$3)),(VLOOKUP('19.12'!AF29,'19.12'!$AO$4:$AQ$55,2,FALSE))*IF('19.12'!$AK29="是",'19.12'!$BB$4,'19.12'!$BB$3))</f>
        <v>0</v>
      </c>
      <c r="Y29" s="18">
        <v>200</v>
      </c>
      <c r="Z29" s="15">
        <v>45755</v>
      </c>
    </row>
    <row r="30" spans="1:26">
      <c r="A30" s="4">
        <f>IF(ISNUMBER(SEARCH("营",'19.12'!I30)),(-$Y30+50*IF('19.12'!$AK30="是",'19.12'!$BB$4,'19.12'!$BB$3)),(VLOOKUP('19.12'!I30,'19.12'!$AO$4:$AQ$55,2,FALSE))*IF('19.12'!$AK30="是",'19.12'!$BB$4,'19.12'!$BB$3))</f>
        <v>40</v>
      </c>
      <c r="B30" s="4">
        <f>IF(ISNUMBER(SEARCH("营",'19.12'!J30)),(-$Y30+50*IF('19.12'!$AK30="是",'19.12'!$BB$4,'19.12'!$BB$3)),(VLOOKUP('19.12'!J30,'19.12'!$AO$4:$AQ$55,2,FALSE))*IF('19.12'!$AK30="是",'19.12'!$BB$4,'19.12'!$BB$3))</f>
        <v>128</v>
      </c>
      <c r="C30" s="4">
        <f>IF(ISNUMBER(SEARCH("营",'19.12'!K30)),(-$Y30+50*IF('19.12'!$AK30="是",'19.12'!$BB$4,'19.12'!$BB$3)),(VLOOKUP('19.12'!K30,'19.12'!$AO$4:$AQ$55,2,FALSE))*IF('19.12'!$AK30="是",'19.12'!$BB$4,'19.12'!$BB$3))</f>
        <v>120</v>
      </c>
      <c r="D30" s="4">
        <f>IF(ISNUMBER(SEARCH("营",'19.12'!L30)),(-$Y30+50*IF('19.12'!$AK30="是",'19.12'!$BB$4,'19.12'!$BB$3)),(VLOOKUP('19.12'!L30,'19.12'!$AO$4:$AQ$55,2,FALSE))*IF('19.12'!$AK30="是",'19.12'!$BB$4,'19.12'!$BB$3))</f>
        <v>0</v>
      </c>
      <c r="E30" s="4">
        <f>IF(ISNUMBER(SEARCH("营",'19.12'!M30)),(-$Y30+50*IF('19.12'!$AK30="是",'19.12'!$BB$4,'19.12'!$BB$3)),(VLOOKUP('19.12'!M30,'19.12'!$AO$4:$AQ$55,2,FALSE))*IF('19.12'!$AK30="是",'19.12'!$BB$4,'19.12'!$BB$3))</f>
        <v>0</v>
      </c>
      <c r="F30" s="4">
        <f>IF(ISNUMBER(SEARCH("营",'19.12'!N30)),(-$Y30+50*IF('19.12'!$AK30="是",'19.12'!$BB$4,'19.12'!$BB$3)),(VLOOKUP('19.12'!N30,'19.12'!$AO$4:$AQ$55,2,FALSE))*IF('19.12'!$AK30="是",'19.12'!$BB$4,'19.12'!$BB$3))</f>
        <v>0</v>
      </c>
      <c r="G30" s="4">
        <f>IF(ISNUMBER(SEARCH("营",'19.12'!O30)),(-$Y30+50*IF('19.12'!$AK30="是",'19.12'!$BB$4,'19.12'!$BB$3)),(VLOOKUP('19.12'!O30,'19.12'!$AO$4:$AQ$55,2,FALSE))*IF('19.12'!$AK30="是",'19.12'!$BB$4,'19.12'!$BB$3))</f>
        <v>0</v>
      </c>
      <c r="H30" s="4">
        <f>IF(ISNUMBER(SEARCH("营",'19.12'!P30)),(-$Y30+50*IF('19.12'!$AK30="是",'19.12'!$BB$4,'19.12'!$BB$3)),(VLOOKUP('19.12'!P30,'19.12'!$AO$4:$AQ$55,2,FALSE))*IF('19.12'!$AK30="是",'19.12'!$BB$4,'19.12'!$BB$3))</f>
        <v>0</v>
      </c>
      <c r="I30" s="4">
        <f>IF(ISNUMBER(SEARCH("营",'19.12'!Q30)),(-$Y30+50*IF('19.12'!$AK30="是",'19.12'!$BB$4,'19.12'!$BB$3)),(VLOOKUP('19.12'!Q30,'19.12'!$AO$4:$AQ$55,2,FALSE))*IF('19.12'!$AK30="是",'19.12'!$BB$4,'19.12'!$BB$3))</f>
        <v>152</v>
      </c>
      <c r="J30" s="4">
        <f>IF(ISNUMBER(SEARCH("营",'19.12'!R30)),(-$Y30+50*IF('19.12'!$AK30="是",'19.12'!$BB$4,'19.12'!$BB$3)),(VLOOKUP('19.12'!R30,'19.12'!$AO$4:$AQ$55,2,FALSE))*IF('19.12'!$AK30="是",'19.12'!$BB$4,'19.12'!$BB$3))</f>
        <v>152</v>
      </c>
      <c r="K30" s="4">
        <f>IF(ISNUMBER(SEARCH("营",'19.12'!S30)),(-$Y30+50*IF('19.12'!$AK30="是",'19.12'!$BB$4,'19.12'!$BB$3)),(VLOOKUP('19.12'!S30,'19.12'!$AO$4:$AQ$55,2,FALSE))*IF('19.12'!$AK30="是",'19.12'!$BB$4,'19.12'!$BB$3))</f>
        <v>152</v>
      </c>
      <c r="L30" s="4">
        <f>IF(ISNUMBER(SEARCH("营",'19.12'!T30)),(-$Y30+50*IF('19.12'!$AK30="是",'19.12'!$BB$4,'19.12'!$BB$3)),(VLOOKUP('19.12'!T30,'19.12'!$AO$4:$AQ$55,2,FALSE))*IF('19.12'!$AK30="是",'19.12'!$BB$4,'19.12'!$BB$3))</f>
        <v>152</v>
      </c>
      <c r="M30" s="4">
        <f>IF(ISNUMBER(SEARCH("营",'19.12'!U30)),(-$Y30+50*IF('19.12'!$AK30="是",'19.12'!$BB$4,'19.12'!$BB$3)),(VLOOKUP('19.12'!U30,'19.12'!$AO$4:$AQ$55,2,FALSE))*IF('19.12'!$AK30="是",'19.12'!$BB$4,'19.12'!$BB$3))</f>
        <v>152</v>
      </c>
      <c r="N30" s="4">
        <f>IF(ISNUMBER(SEARCH("营",'19.12'!V30)),(-$Y30+50*IF('19.12'!$AK30="是",'19.12'!$BB$4,'19.12'!$BB$3)),(VLOOKUP('19.12'!V30,'19.12'!$AO$4:$AQ$55,2,FALSE))*IF('19.12'!$AK30="是",'19.12'!$BB$4,'19.12'!$BB$3))</f>
        <v>120</v>
      </c>
      <c r="O30" s="4">
        <f>IF(ISNUMBER(SEARCH("营",'19.12'!W30)),(-$Y30+50*IF('19.12'!$AK30="是",'19.12'!$BB$4,'19.12'!$BB$3)),(VLOOKUP('19.12'!W30,'19.12'!$AO$4:$AQ$55,2,FALSE))*IF('19.12'!$AK30="是",'19.12'!$BB$4,'19.12'!$BB$3))</f>
        <v>152</v>
      </c>
      <c r="P30" s="4">
        <f>IF(ISNUMBER(SEARCH("营",'19.12'!X30)),(-$Y30+50*IF('19.12'!$AK30="是",'19.12'!$BB$4,'19.12'!$BB$3)),(VLOOKUP('19.12'!X30,'19.12'!$AO$4:$AQ$55,2,FALSE))*IF('19.12'!$AK30="是",'19.12'!$BB$4,'19.12'!$BB$3))</f>
        <v>152</v>
      </c>
      <c r="Q30" s="4">
        <f>IF(ISNUMBER(SEARCH("营",'19.12'!Y30)),(-$Y30+50*IF('19.12'!$AK30="是",'19.12'!$BB$4,'19.12'!$BB$3)),(VLOOKUP('19.12'!Y30,'19.12'!$AO$4:$AQ$55,2,FALSE))*IF('19.12'!$AK30="是",'19.12'!$BB$4,'19.12'!$BB$3))</f>
        <v>0</v>
      </c>
      <c r="R30" s="4">
        <f>IF(ISNUMBER(SEARCH("营",'19.12'!Z30)),(-$Y30+50*IF('19.12'!$AK30="是",'19.12'!$BB$4,'19.12'!$BB$3)),(VLOOKUP('19.12'!Z30,'19.12'!$AO$4:$AQ$55,2,FALSE))*IF('19.12'!$AK30="是",'19.12'!$BB$4,'19.12'!$BB$3))</f>
        <v>0</v>
      </c>
      <c r="S30" s="4">
        <f>IF(ISNUMBER(SEARCH("营",'19.12'!AA30)),(-$Y30+50*IF('19.12'!$AK30="是",'19.12'!$BB$4,'19.12'!$BB$3)),(VLOOKUP('19.12'!AA30,'19.12'!$AO$4:$AQ$55,2,FALSE))*IF('19.12'!$AK30="是",'19.12'!$BB$4,'19.12'!$BB$3))</f>
        <v>0</v>
      </c>
      <c r="T30" s="4">
        <f>IF(ISNUMBER(SEARCH("营",'19.12'!AB30)),(-$Y30+50*IF('19.12'!$AK30="是",'19.12'!$BB$4,'19.12'!$BB$3)),(VLOOKUP('19.12'!AB30,'19.12'!$AO$4:$AQ$55,2,FALSE))*IF('19.12'!$AK30="是",'19.12'!$BB$4,'19.12'!$BB$3))</f>
        <v>0</v>
      </c>
      <c r="U30" s="4">
        <f>IF(ISNUMBER(SEARCH("营",'19.12'!AC30)),(-$Y30+50*IF('19.12'!$AK30="是",'19.12'!$BB$4,'19.12'!$BB$3)),(VLOOKUP('19.12'!AC30,'19.12'!$AO$4:$AQ$55,2,FALSE))*IF('19.12'!$AK30="是",'19.12'!$BB$4,'19.12'!$BB$3))</f>
        <v>0</v>
      </c>
      <c r="V30" s="4">
        <f>IF(ISNUMBER(SEARCH("营",'19.12'!AD30)),(-$Y30+50*IF('19.12'!$AK30="是",'19.12'!$BB$4,'19.12'!$BB$3)),(VLOOKUP('19.12'!AD30,'19.12'!$AO$4:$AQ$55,2,FALSE))*IF('19.12'!$AK30="是",'19.12'!$BB$4,'19.12'!$BB$3))</f>
        <v>0</v>
      </c>
      <c r="W30" s="4">
        <f>IF(ISNUMBER(SEARCH("营",'19.12'!AE30)),(-$Y30+50*IF('19.12'!$AK30="是",'19.12'!$BB$4,'19.12'!$BB$3)),(VLOOKUP('19.12'!AE30,'19.12'!$AO$4:$AQ$55,2,FALSE))*IF('19.12'!$AK30="是",'19.12'!$BB$4,'19.12'!$BB$3))</f>
        <v>0</v>
      </c>
      <c r="X30" s="4">
        <f>IF(ISNUMBER(SEARCH("营",'19.12'!AF30)),(-$Y30+50*IF('19.12'!$AK30="是",'19.12'!$BB$4,'19.12'!$BB$3)),(VLOOKUP('19.12'!AF30,'19.12'!$AO$4:$AQ$55,2,FALSE))*IF('19.12'!$AK30="是",'19.12'!$BB$4,'19.12'!$BB$3))</f>
        <v>0</v>
      </c>
      <c r="Y30" s="18">
        <v>200</v>
      </c>
      <c r="Z30" s="15">
        <v>45756</v>
      </c>
    </row>
    <row r="31" spans="1:26">
      <c r="A31" s="4">
        <f>IF(ISNUMBER(SEARCH("营",'19.12'!I31)),(-$Y31+50*IF('19.12'!$AK31="是",'19.12'!$BB$4,'19.12'!$BB$3)),(VLOOKUP('19.12'!I31,'19.12'!$AO$4:$AQ$55,2,FALSE))*IF('19.12'!$AK31="是",'19.12'!$BB$4,'19.12'!$BB$3))</f>
        <v>144</v>
      </c>
      <c r="B31" s="4">
        <f>IF(ISNUMBER(SEARCH("营",'19.12'!J31)),(-$Y31+50*IF('19.12'!$AK31="是",'19.12'!$BB$4,'19.12'!$BB$3)),(VLOOKUP('19.12'!J31,'19.12'!$AO$4:$AQ$55,2,FALSE))*IF('19.12'!$AK31="是",'19.12'!$BB$4,'19.12'!$BB$3))</f>
        <v>144</v>
      </c>
      <c r="C31" s="4">
        <f>IF(ISNUMBER(SEARCH("营",'19.12'!K31)),(-$Y31+50*IF('19.12'!$AK31="是",'19.12'!$BB$4,'19.12'!$BB$3)),(VLOOKUP('19.12'!K31,'19.12'!$AO$4:$AQ$55,2,FALSE))*IF('19.12'!$AK31="是",'19.12'!$BB$4,'19.12'!$BB$3))</f>
        <v>144</v>
      </c>
      <c r="D31" s="4">
        <f>IF(ISNUMBER(SEARCH("营",'19.12'!L31)),(-$Y31+50*IF('19.12'!$AK31="是",'19.12'!$BB$4,'19.12'!$BB$3)),(VLOOKUP('19.12'!L31,'19.12'!$AO$4:$AQ$55,2,FALSE))*IF('19.12'!$AK31="是",'19.12'!$BB$4,'19.12'!$BB$3))</f>
        <v>144</v>
      </c>
      <c r="E31" s="4">
        <f>IF(ISNUMBER(SEARCH("营",'19.12'!M31)),(-$Y31+50*IF('19.12'!$AK31="是",'19.12'!$BB$4,'19.12'!$BB$3)),(VLOOKUP('19.12'!M31,'19.12'!$AO$4:$AQ$55,2,FALSE))*IF('19.12'!$AK31="是",'19.12'!$BB$4,'19.12'!$BB$3))</f>
        <v>144</v>
      </c>
      <c r="F31" s="4">
        <f>IF(ISNUMBER(SEARCH("营",'19.12'!N31)),(-$Y31+50*IF('19.12'!$AK31="是",'19.12'!$BB$4,'19.12'!$BB$3)),(VLOOKUP('19.12'!N31,'19.12'!$AO$4:$AQ$55,2,FALSE))*IF('19.12'!$AK31="是",'19.12'!$BB$4,'19.12'!$BB$3))</f>
        <v>144</v>
      </c>
      <c r="G31" s="4">
        <f>IF(ISNUMBER(SEARCH("营",'19.12'!O31)),(-$Y31+50*IF('19.12'!$AK31="是",'19.12'!$BB$4,'19.12'!$BB$3)),(VLOOKUP('19.12'!O31,'19.12'!$AO$4:$AQ$55,2,FALSE))*IF('19.12'!$AK31="是",'19.12'!$BB$4,'19.12'!$BB$3))</f>
        <v>0</v>
      </c>
      <c r="H31" s="4">
        <f>IF(ISNUMBER(SEARCH("营",'19.12'!P31)),(-$Y31+50*IF('19.12'!$AK31="是",'19.12'!$BB$4,'19.12'!$BB$3)),(VLOOKUP('19.12'!P31,'19.12'!$AO$4:$AQ$55,2,FALSE))*IF('19.12'!$AK31="是",'19.12'!$BB$4,'19.12'!$BB$3))</f>
        <v>0</v>
      </c>
      <c r="I31" s="4">
        <f>IF(ISNUMBER(SEARCH("营",'19.12'!Q31)),(-$Y31+50*IF('19.12'!$AK31="是",'19.12'!$BB$4,'19.12'!$BB$3)),(VLOOKUP('19.12'!Q31,'19.12'!$AO$4:$AQ$55,2,FALSE))*IF('19.12'!$AK31="是",'19.12'!$BB$4,'19.12'!$BB$3))</f>
        <v>152</v>
      </c>
      <c r="J31" s="4">
        <f>IF(ISNUMBER(SEARCH("营",'19.12'!R31)),(-$Y31+50*IF('19.12'!$AK31="是",'19.12'!$BB$4,'19.12'!$BB$3)),(VLOOKUP('19.12'!R31,'19.12'!$AO$4:$AQ$55,2,FALSE))*IF('19.12'!$AK31="是",'19.12'!$BB$4,'19.12'!$BB$3))</f>
        <v>152</v>
      </c>
      <c r="K31" s="4">
        <f>IF(ISNUMBER(SEARCH("营",'19.12'!S31)),(-$Y31+50*IF('19.12'!$AK31="是",'19.12'!$BB$4,'19.12'!$BB$3)),(VLOOKUP('19.12'!S31,'19.12'!$AO$4:$AQ$55,2,FALSE))*IF('19.12'!$AK31="是",'19.12'!$BB$4,'19.12'!$BB$3))</f>
        <v>152</v>
      </c>
      <c r="L31" s="4">
        <f>IF(ISNUMBER(SEARCH("营",'19.12'!T31)),(-$Y31+50*IF('19.12'!$AK31="是",'19.12'!$BB$4,'19.12'!$BB$3)),(VLOOKUP('19.12'!T31,'19.12'!$AO$4:$AQ$55,2,FALSE))*IF('19.12'!$AK31="是",'19.12'!$BB$4,'19.12'!$BB$3))</f>
        <v>152</v>
      </c>
      <c r="M31" s="4">
        <f>IF(ISNUMBER(SEARCH("营",'19.12'!U31)),(-$Y31+50*IF('19.12'!$AK31="是",'19.12'!$BB$4,'19.12'!$BB$3)),(VLOOKUP('19.12'!U31,'19.12'!$AO$4:$AQ$55,2,FALSE))*IF('19.12'!$AK31="是",'19.12'!$BB$4,'19.12'!$BB$3))</f>
        <v>152</v>
      </c>
      <c r="N31" s="4">
        <f>IF(ISNUMBER(SEARCH("营",'19.12'!V31)),(-$Y31+50*IF('19.12'!$AK31="是",'19.12'!$BB$4,'19.12'!$BB$3)),(VLOOKUP('19.12'!V31,'19.12'!$AO$4:$AQ$55,2,FALSE))*IF('19.12'!$AK31="是",'19.12'!$BB$4,'19.12'!$BB$3))</f>
        <v>152</v>
      </c>
      <c r="O31" s="4">
        <f>IF(ISNUMBER(SEARCH("营",'19.12'!W31)),(-$Y31+50*IF('19.12'!$AK31="是",'19.12'!$BB$4,'19.12'!$BB$3)),(VLOOKUP('19.12'!W31,'19.12'!$AO$4:$AQ$55,2,FALSE))*IF('19.12'!$AK31="是",'19.12'!$BB$4,'19.12'!$BB$3))</f>
        <v>152</v>
      </c>
      <c r="P31" s="4">
        <f>IF(ISNUMBER(SEARCH("营",'19.12'!X31)),(-$Y31+50*IF('19.12'!$AK31="是",'19.12'!$BB$4,'19.12'!$BB$3)),(VLOOKUP('19.12'!X31,'19.12'!$AO$4:$AQ$55,2,FALSE))*IF('19.12'!$AK31="是",'19.12'!$BB$4,'19.12'!$BB$3))</f>
        <v>152</v>
      </c>
      <c r="Q31" s="4">
        <f>IF(ISNUMBER(SEARCH("营",'19.12'!Y31)),(-$Y31+50*IF('19.12'!$AK31="是",'19.12'!$BB$4,'19.12'!$BB$3)),(VLOOKUP('19.12'!Y31,'19.12'!$AO$4:$AQ$55,2,FALSE))*IF('19.12'!$AK31="是",'19.12'!$BB$4,'19.12'!$BB$3))</f>
        <v>0</v>
      </c>
      <c r="R31" s="4">
        <f>IF(ISNUMBER(SEARCH("营",'19.12'!Z31)),(-$Y31+50*IF('19.12'!$AK31="是",'19.12'!$BB$4,'19.12'!$BB$3)),(VLOOKUP('19.12'!Z31,'19.12'!$AO$4:$AQ$55,2,FALSE))*IF('19.12'!$AK31="是",'19.12'!$BB$4,'19.12'!$BB$3))</f>
        <v>0</v>
      </c>
      <c r="S31" s="4">
        <f>IF(ISNUMBER(SEARCH("营",'19.12'!AA31)),(-$Y31+50*IF('19.12'!$AK31="是",'19.12'!$BB$4,'19.12'!$BB$3)),(VLOOKUP('19.12'!AA31,'19.12'!$AO$4:$AQ$55,2,FALSE))*IF('19.12'!$AK31="是",'19.12'!$BB$4,'19.12'!$BB$3))</f>
        <v>0</v>
      </c>
      <c r="T31" s="4">
        <f>IF(ISNUMBER(SEARCH("营",'19.12'!AB31)),(-$Y31+50*IF('19.12'!$AK31="是",'19.12'!$BB$4,'19.12'!$BB$3)),(VLOOKUP('19.12'!AB31,'19.12'!$AO$4:$AQ$55,2,FALSE))*IF('19.12'!$AK31="是",'19.12'!$BB$4,'19.12'!$BB$3))</f>
        <v>0</v>
      </c>
      <c r="U31" s="4">
        <f>IF(ISNUMBER(SEARCH("营",'19.12'!AC31)),(-$Y31+50*IF('19.12'!$AK31="是",'19.12'!$BB$4,'19.12'!$BB$3)),(VLOOKUP('19.12'!AC31,'19.12'!$AO$4:$AQ$55,2,FALSE))*IF('19.12'!$AK31="是",'19.12'!$BB$4,'19.12'!$BB$3))</f>
        <v>0</v>
      </c>
      <c r="V31" s="4">
        <f>IF(ISNUMBER(SEARCH("营",'19.12'!AD31)),(-$Y31+50*IF('19.12'!$AK31="是",'19.12'!$BB$4,'19.12'!$BB$3)),(VLOOKUP('19.12'!AD31,'19.12'!$AO$4:$AQ$55,2,FALSE))*IF('19.12'!$AK31="是",'19.12'!$BB$4,'19.12'!$BB$3))</f>
        <v>0</v>
      </c>
      <c r="W31" s="4">
        <f>IF(ISNUMBER(SEARCH("营",'19.12'!AE31)),(-$Y31+50*IF('19.12'!$AK31="是",'19.12'!$BB$4,'19.12'!$BB$3)),(VLOOKUP('19.12'!AE31,'19.12'!$AO$4:$AQ$55,2,FALSE))*IF('19.12'!$AK31="是",'19.12'!$BB$4,'19.12'!$BB$3))</f>
        <v>0</v>
      </c>
      <c r="X31" s="4">
        <f>IF(ISNUMBER(SEARCH("营",'19.12'!AF31)),(-$Y31+50*IF('19.12'!$AK31="是",'19.12'!$BB$4,'19.12'!$BB$3)),(VLOOKUP('19.12'!AF31,'19.12'!$AO$4:$AQ$55,2,FALSE))*IF('19.12'!$AK31="是",'19.12'!$BB$4,'19.12'!$BB$3))</f>
        <v>0</v>
      </c>
      <c r="Y31" s="18">
        <v>200</v>
      </c>
      <c r="Z31" s="15">
        <v>45757</v>
      </c>
    </row>
    <row r="32" spans="1:26">
      <c r="A32" s="4">
        <f>IF(ISNUMBER(SEARCH("营",'19.12'!I32)),(-$Y32+50*IF('19.12'!$AK32="是",'19.12'!$BB$4,'19.12'!$BB$3)),(VLOOKUP('19.12'!I32,'19.12'!$AO$4:$AQ$55,2,FALSE))*IF('19.12'!$AK32="是",'19.12'!$BB$4,'19.12'!$BB$3))</f>
        <v>144</v>
      </c>
      <c r="B32" s="4">
        <f>IF(ISNUMBER(SEARCH("营",'19.12'!J32)),(-$Y32+50*IF('19.12'!$AK32="是",'19.12'!$BB$4,'19.12'!$BB$3)),(VLOOKUP('19.12'!J32,'19.12'!$AO$4:$AQ$55,2,FALSE))*IF('19.12'!$AK32="是",'19.12'!$BB$4,'19.12'!$BB$3))</f>
        <v>144</v>
      </c>
      <c r="C32" s="4">
        <f>IF(ISNUMBER(SEARCH("营",'19.12'!K32)),(-$Y32+50*IF('19.12'!$AK32="是",'19.12'!$BB$4,'19.12'!$BB$3)),(VLOOKUP('19.12'!K32,'19.12'!$AO$4:$AQ$55,2,FALSE))*IF('19.12'!$AK32="是",'19.12'!$BB$4,'19.12'!$BB$3))</f>
        <v>144</v>
      </c>
      <c r="D32" s="4">
        <f>IF(ISNUMBER(SEARCH("营",'19.12'!L32)),(-$Y32+50*IF('19.12'!$AK32="是",'19.12'!$BB$4,'19.12'!$BB$3)),(VLOOKUP('19.12'!L32,'19.12'!$AO$4:$AQ$55,2,FALSE))*IF('19.12'!$AK32="是",'19.12'!$BB$4,'19.12'!$BB$3))</f>
        <v>144</v>
      </c>
      <c r="E32" s="4">
        <f>IF(ISNUMBER(SEARCH("营",'19.12'!M32)),(-$Y32+50*IF('19.12'!$AK32="是",'19.12'!$BB$4,'19.12'!$BB$3)),(VLOOKUP('19.12'!M32,'19.12'!$AO$4:$AQ$55,2,FALSE))*IF('19.12'!$AK32="是",'19.12'!$BB$4,'19.12'!$BB$3))</f>
        <v>144</v>
      </c>
      <c r="F32" s="4">
        <f>IF(ISNUMBER(SEARCH("营",'19.12'!N32)),(-$Y32+50*IF('19.12'!$AK32="是",'19.12'!$BB$4,'19.12'!$BB$3)),(VLOOKUP('19.12'!N32,'19.12'!$AO$4:$AQ$55,2,FALSE))*IF('19.12'!$AK32="是",'19.12'!$BB$4,'19.12'!$BB$3))</f>
        <v>144</v>
      </c>
      <c r="G32" s="4">
        <f>IF(ISNUMBER(SEARCH("营",'19.12'!O32)),(-$Y32+50*IF('19.12'!$AK32="是",'19.12'!$BB$4,'19.12'!$BB$3)),(VLOOKUP('19.12'!O32,'19.12'!$AO$4:$AQ$55,2,FALSE))*IF('19.12'!$AK32="是",'19.12'!$BB$4,'19.12'!$BB$3))</f>
        <v>0</v>
      </c>
      <c r="H32" s="4">
        <f>IF(ISNUMBER(SEARCH("营",'19.12'!P32)),(-$Y32+50*IF('19.12'!$AK32="是",'19.12'!$BB$4,'19.12'!$BB$3)),(VLOOKUP('19.12'!P32,'19.12'!$AO$4:$AQ$55,2,FALSE))*IF('19.12'!$AK32="是",'19.12'!$BB$4,'19.12'!$BB$3))</f>
        <v>0</v>
      </c>
      <c r="I32" s="4">
        <f>IF(ISNUMBER(SEARCH("营",'19.12'!Q32)),(-$Y32+50*IF('19.12'!$AK32="是",'19.12'!$BB$4,'19.12'!$BB$3)),(VLOOKUP('19.12'!Q32,'19.12'!$AO$4:$AQ$55,2,FALSE))*IF('19.12'!$AK32="是",'19.12'!$BB$4,'19.12'!$BB$3))</f>
        <v>152</v>
      </c>
      <c r="J32" s="4">
        <f>IF(ISNUMBER(SEARCH("营",'19.12'!R32)),(-$Y32+50*IF('19.12'!$AK32="是",'19.12'!$BB$4,'19.12'!$BB$3)),(VLOOKUP('19.12'!R32,'19.12'!$AO$4:$AQ$55,2,FALSE))*IF('19.12'!$AK32="是",'19.12'!$BB$4,'19.12'!$BB$3))</f>
        <v>152</v>
      </c>
      <c r="K32" s="4">
        <f>IF(ISNUMBER(SEARCH("营",'19.12'!S32)),(-$Y32+50*IF('19.12'!$AK32="是",'19.12'!$BB$4,'19.12'!$BB$3)),(VLOOKUP('19.12'!S32,'19.12'!$AO$4:$AQ$55,2,FALSE))*IF('19.12'!$AK32="是",'19.12'!$BB$4,'19.12'!$BB$3))</f>
        <v>152</v>
      </c>
      <c r="L32" s="4">
        <f>IF(ISNUMBER(SEARCH("营",'19.12'!T32)),(-$Y32+50*IF('19.12'!$AK32="是",'19.12'!$BB$4,'19.12'!$BB$3)),(VLOOKUP('19.12'!T32,'19.12'!$AO$4:$AQ$55,2,FALSE))*IF('19.12'!$AK32="是",'19.12'!$BB$4,'19.12'!$BB$3))</f>
        <v>152</v>
      </c>
      <c r="M32" s="4">
        <f>IF(ISNUMBER(SEARCH("营",'19.12'!U32)),(-$Y32+50*IF('19.12'!$AK32="是",'19.12'!$BB$4,'19.12'!$BB$3)),(VLOOKUP('19.12'!U32,'19.12'!$AO$4:$AQ$55,2,FALSE))*IF('19.12'!$AK32="是",'19.12'!$BB$4,'19.12'!$BB$3))</f>
        <v>152</v>
      </c>
      <c r="N32" s="4">
        <f>IF(ISNUMBER(SEARCH("营",'19.12'!V32)),(-$Y32+50*IF('19.12'!$AK32="是",'19.12'!$BB$4,'19.12'!$BB$3)),(VLOOKUP('19.12'!V32,'19.12'!$AO$4:$AQ$55,2,FALSE))*IF('19.12'!$AK32="是",'19.12'!$BB$4,'19.12'!$BB$3))</f>
        <v>152</v>
      </c>
      <c r="O32" s="4">
        <f>IF(ISNUMBER(SEARCH("营",'19.12'!W32)),(-$Y32+50*IF('19.12'!$AK32="是",'19.12'!$BB$4,'19.12'!$BB$3)),(VLOOKUP('19.12'!W32,'19.12'!$AO$4:$AQ$55,2,FALSE))*IF('19.12'!$AK32="是",'19.12'!$BB$4,'19.12'!$BB$3))</f>
        <v>0</v>
      </c>
      <c r="P32" s="4">
        <f>IF(ISNUMBER(SEARCH("营",'19.12'!X32)),(-$Y32+50*IF('19.12'!$AK32="是",'19.12'!$BB$4,'19.12'!$BB$3)),(VLOOKUP('19.12'!X32,'19.12'!$AO$4:$AQ$55,2,FALSE))*IF('19.12'!$AK32="是",'19.12'!$BB$4,'19.12'!$BB$3))</f>
        <v>0</v>
      </c>
      <c r="Q32" s="4">
        <f>IF(ISNUMBER(SEARCH("营",'19.12'!Y32)),(-$Y32+50*IF('19.12'!$AK32="是",'19.12'!$BB$4,'19.12'!$BB$3)),(VLOOKUP('19.12'!Y32,'19.12'!$AO$4:$AQ$55,2,FALSE))*IF('19.12'!$AK32="是",'19.12'!$BB$4,'19.12'!$BB$3))</f>
        <v>0</v>
      </c>
      <c r="R32" s="4">
        <f>IF(ISNUMBER(SEARCH("营",'19.12'!Z32)),(-$Y32+50*IF('19.12'!$AK32="是",'19.12'!$BB$4,'19.12'!$BB$3)),(VLOOKUP('19.12'!Z32,'19.12'!$AO$4:$AQ$55,2,FALSE))*IF('19.12'!$AK32="是",'19.12'!$BB$4,'19.12'!$BB$3))</f>
        <v>0</v>
      </c>
      <c r="S32" s="4">
        <f>IF(ISNUMBER(SEARCH("营",'19.12'!AA32)),(-$Y32+50*IF('19.12'!$AK32="是",'19.12'!$BB$4,'19.12'!$BB$3)),(VLOOKUP('19.12'!AA32,'19.12'!$AO$4:$AQ$55,2,FALSE))*IF('19.12'!$AK32="是",'19.12'!$BB$4,'19.12'!$BB$3))</f>
        <v>0</v>
      </c>
      <c r="T32" s="4">
        <f>IF(ISNUMBER(SEARCH("营",'19.12'!AB32)),(-$Y32+50*IF('19.12'!$AK32="是",'19.12'!$BB$4,'19.12'!$BB$3)),(VLOOKUP('19.12'!AB32,'19.12'!$AO$4:$AQ$55,2,FALSE))*IF('19.12'!$AK32="是",'19.12'!$BB$4,'19.12'!$BB$3))</f>
        <v>0</v>
      </c>
      <c r="U32" s="4">
        <f>IF(ISNUMBER(SEARCH("营",'19.12'!AC32)),(-$Y32+50*IF('19.12'!$AK32="是",'19.12'!$BB$4,'19.12'!$BB$3)),(VLOOKUP('19.12'!AC32,'19.12'!$AO$4:$AQ$55,2,FALSE))*IF('19.12'!$AK32="是",'19.12'!$BB$4,'19.12'!$BB$3))</f>
        <v>0</v>
      </c>
      <c r="V32" s="4">
        <f>IF(ISNUMBER(SEARCH("营",'19.12'!AD32)),(-$Y32+50*IF('19.12'!$AK32="是",'19.12'!$BB$4,'19.12'!$BB$3)),(VLOOKUP('19.12'!AD32,'19.12'!$AO$4:$AQ$55,2,FALSE))*IF('19.12'!$AK32="是",'19.12'!$BB$4,'19.12'!$BB$3))</f>
        <v>0</v>
      </c>
      <c r="W32" s="4">
        <f>IF(ISNUMBER(SEARCH("营",'19.12'!AE32)),(-$Y32+50*IF('19.12'!$AK32="是",'19.12'!$BB$4,'19.12'!$BB$3)),(VLOOKUP('19.12'!AE32,'19.12'!$AO$4:$AQ$55,2,FALSE))*IF('19.12'!$AK32="是",'19.12'!$BB$4,'19.12'!$BB$3))</f>
        <v>0</v>
      </c>
      <c r="X32" s="4">
        <f>IF(ISNUMBER(SEARCH("营",'19.12'!AF32)),(-$Y32+50*IF('19.12'!$AK32="是",'19.12'!$BB$4,'19.12'!$BB$3)),(VLOOKUP('19.12'!AF32,'19.12'!$AO$4:$AQ$55,2,FALSE))*IF('19.12'!$AK32="是",'19.12'!$BB$4,'19.12'!$BB$3))</f>
        <v>0</v>
      </c>
      <c r="Y32" s="18">
        <v>200</v>
      </c>
      <c r="Z32" s="15">
        <v>45758</v>
      </c>
    </row>
    <row r="33" spans="1:26">
      <c r="A33" s="4">
        <f>IF(ISNUMBER(SEARCH("营",'19.12'!I33)),(-$Y33+50*IF('19.12'!$AK33="是",'19.12'!$BB$4,'19.12'!$BB$3)),(VLOOKUP('19.12'!I33,'19.12'!$AO$4:$AQ$55,2,FALSE))*IF('19.12'!$AK33="是",'19.12'!$BB$4,'19.12'!$BB$3))</f>
        <v>144</v>
      </c>
      <c r="B33" s="4">
        <f>IF(ISNUMBER(SEARCH("营",'19.12'!J33)),(-$Y33+50*IF('19.12'!$AK33="是",'19.12'!$BB$4,'19.12'!$BB$3)),(VLOOKUP('19.12'!J33,'19.12'!$AO$4:$AQ$55,2,FALSE))*IF('19.12'!$AK33="是",'19.12'!$BB$4,'19.12'!$BB$3))</f>
        <v>144</v>
      </c>
      <c r="C33" s="4">
        <f>IF(ISNUMBER(SEARCH("营",'19.12'!K33)),(-$Y33+50*IF('19.12'!$AK33="是",'19.12'!$BB$4,'19.12'!$BB$3)),(VLOOKUP('19.12'!K33,'19.12'!$AO$4:$AQ$55,2,FALSE))*IF('19.12'!$AK33="是",'19.12'!$BB$4,'19.12'!$BB$3))</f>
        <v>144</v>
      </c>
      <c r="D33" s="4">
        <f>IF(ISNUMBER(SEARCH("营",'19.12'!L33)),(-$Y33+50*IF('19.12'!$AK33="是",'19.12'!$BB$4,'19.12'!$BB$3)),(VLOOKUP('19.12'!L33,'19.12'!$AO$4:$AQ$55,2,FALSE))*IF('19.12'!$AK33="是",'19.12'!$BB$4,'19.12'!$BB$3))</f>
        <v>144</v>
      </c>
      <c r="E33" s="4">
        <f>IF(ISNUMBER(SEARCH("营",'19.12'!M33)),(-$Y33+50*IF('19.12'!$AK33="是",'19.12'!$BB$4,'19.12'!$BB$3)),(VLOOKUP('19.12'!M33,'19.12'!$AO$4:$AQ$55,2,FALSE))*IF('19.12'!$AK33="是",'19.12'!$BB$4,'19.12'!$BB$3))</f>
        <v>144</v>
      </c>
      <c r="F33" s="4">
        <f>IF(ISNUMBER(SEARCH("营",'19.12'!N33)),(-$Y33+50*IF('19.12'!$AK33="是",'19.12'!$BB$4,'19.12'!$BB$3)),(VLOOKUP('19.12'!N33,'19.12'!$AO$4:$AQ$55,2,FALSE))*IF('19.12'!$AK33="是",'19.12'!$BB$4,'19.12'!$BB$3))</f>
        <v>144</v>
      </c>
      <c r="G33" s="4">
        <f>IF(ISNUMBER(SEARCH("营",'19.12'!O33)),(-$Y33+50*IF('19.12'!$AK33="是",'19.12'!$BB$4,'19.12'!$BB$3)),(VLOOKUP('19.12'!O33,'19.12'!$AO$4:$AQ$55,2,FALSE))*IF('19.12'!$AK33="是",'19.12'!$BB$4,'19.12'!$BB$3))</f>
        <v>0</v>
      </c>
      <c r="H33" s="4">
        <f>IF(ISNUMBER(SEARCH("营",'19.12'!P33)),(-$Y33+50*IF('19.12'!$AK33="是",'19.12'!$BB$4,'19.12'!$BB$3)),(VLOOKUP('19.12'!P33,'19.12'!$AO$4:$AQ$55,2,FALSE))*IF('19.12'!$AK33="是",'19.12'!$BB$4,'19.12'!$BB$3))</f>
        <v>0</v>
      </c>
      <c r="I33" s="4">
        <f>IF(ISNUMBER(SEARCH("营",'19.12'!Q33)),(-$Y33+50*IF('19.12'!$AK33="是",'19.12'!$BB$4,'19.12'!$BB$3)),(VLOOKUP('19.12'!Q33,'19.12'!$AO$4:$AQ$55,2,FALSE))*IF('19.12'!$AK33="是",'19.12'!$BB$4,'19.12'!$BB$3))</f>
        <v>152</v>
      </c>
      <c r="J33" s="4">
        <f>IF(ISNUMBER(SEARCH("营",'19.12'!R33)),(-$Y33+50*IF('19.12'!$AK33="是",'19.12'!$BB$4,'19.12'!$BB$3)),(VLOOKUP('19.12'!R33,'19.12'!$AO$4:$AQ$55,2,FALSE))*IF('19.12'!$AK33="是",'19.12'!$BB$4,'19.12'!$BB$3))</f>
        <v>152</v>
      </c>
      <c r="K33" s="4">
        <f>IF(ISNUMBER(SEARCH("营",'19.12'!S33)),(-$Y33+50*IF('19.12'!$AK33="是",'19.12'!$BB$4,'19.12'!$BB$3)),(VLOOKUP('19.12'!S33,'19.12'!$AO$4:$AQ$55,2,FALSE))*IF('19.12'!$AK33="是",'19.12'!$BB$4,'19.12'!$BB$3))</f>
        <v>152</v>
      </c>
      <c r="L33" s="4">
        <f>IF(ISNUMBER(SEARCH("营",'19.12'!T33)),(-$Y33+50*IF('19.12'!$AK33="是",'19.12'!$BB$4,'19.12'!$BB$3)),(VLOOKUP('19.12'!T33,'19.12'!$AO$4:$AQ$55,2,FALSE))*IF('19.12'!$AK33="是",'19.12'!$BB$4,'19.12'!$BB$3))</f>
        <v>152</v>
      </c>
      <c r="M33" s="4">
        <f>IF(ISNUMBER(SEARCH("营",'19.12'!U33)),(-$Y33+50*IF('19.12'!$AK33="是",'19.12'!$BB$4,'19.12'!$BB$3)),(VLOOKUP('19.12'!U33,'19.12'!$AO$4:$AQ$55,2,FALSE))*IF('19.12'!$AK33="是",'19.12'!$BB$4,'19.12'!$BB$3))</f>
        <v>152</v>
      </c>
      <c r="N33" s="4">
        <f>IF(ISNUMBER(SEARCH("营",'19.12'!V33)),(-$Y33+50*IF('19.12'!$AK33="是",'19.12'!$BB$4,'19.12'!$BB$3)),(VLOOKUP('19.12'!V33,'19.12'!$AO$4:$AQ$55,2,FALSE))*IF('19.12'!$AK33="是",'19.12'!$BB$4,'19.12'!$BB$3))</f>
        <v>144</v>
      </c>
      <c r="O33" s="4">
        <f>IF(ISNUMBER(SEARCH("营",'19.12'!W33)),(-$Y33+50*IF('19.12'!$AK33="是",'19.12'!$BB$4,'19.12'!$BB$3)),(VLOOKUP('19.12'!W33,'19.12'!$AO$4:$AQ$55,2,FALSE))*IF('19.12'!$AK33="是",'19.12'!$BB$4,'19.12'!$BB$3))</f>
        <v>0</v>
      </c>
      <c r="P33" s="4">
        <f>IF(ISNUMBER(SEARCH("营",'19.12'!X33)),(-$Y33+50*IF('19.12'!$AK33="是",'19.12'!$BB$4,'19.12'!$BB$3)),(VLOOKUP('19.12'!X33,'19.12'!$AO$4:$AQ$55,2,FALSE))*IF('19.12'!$AK33="是",'19.12'!$BB$4,'19.12'!$BB$3))</f>
        <v>0</v>
      </c>
      <c r="Q33" s="4">
        <f>IF(ISNUMBER(SEARCH("营",'19.12'!Y33)),(-$Y33+50*IF('19.12'!$AK33="是",'19.12'!$BB$4,'19.12'!$BB$3)),(VLOOKUP('19.12'!Y33,'19.12'!$AO$4:$AQ$55,2,FALSE))*IF('19.12'!$AK33="是",'19.12'!$BB$4,'19.12'!$BB$3))</f>
        <v>0</v>
      </c>
      <c r="R33" s="4">
        <f>IF(ISNUMBER(SEARCH("营",'19.12'!Z33)),(-$Y33+50*IF('19.12'!$AK33="是",'19.12'!$BB$4,'19.12'!$BB$3)),(VLOOKUP('19.12'!Z33,'19.12'!$AO$4:$AQ$55,2,FALSE))*IF('19.12'!$AK33="是",'19.12'!$BB$4,'19.12'!$BB$3))</f>
        <v>0</v>
      </c>
      <c r="S33" s="4">
        <f>IF(ISNUMBER(SEARCH("营",'19.12'!AA33)),(-$Y33+50*IF('19.12'!$AK33="是",'19.12'!$BB$4,'19.12'!$BB$3)),(VLOOKUP('19.12'!AA33,'19.12'!$AO$4:$AQ$55,2,FALSE))*IF('19.12'!$AK33="是",'19.12'!$BB$4,'19.12'!$BB$3))</f>
        <v>0</v>
      </c>
      <c r="T33" s="4">
        <f>IF(ISNUMBER(SEARCH("营",'19.12'!AB33)),(-$Y33+50*IF('19.12'!$AK33="是",'19.12'!$BB$4,'19.12'!$BB$3)),(VLOOKUP('19.12'!AB33,'19.12'!$AO$4:$AQ$55,2,FALSE))*IF('19.12'!$AK33="是",'19.12'!$BB$4,'19.12'!$BB$3))</f>
        <v>0</v>
      </c>
      <c r="U33" s="4">
        <f>IF(ISNUMBER(SEARCH("营",'19.12'!AC33)),(-$Y33+50*IF('19.12'!$AK33="是",'19.12'!$BB$4,'19.12'!$BB$3)),(VLOOKUP('19.12'!AC33,'19.12'!$AO$4:$AQ$55,2,FALSE))*IF('19.12'!$AK33="是",'19.12'!$BB$4,'19.12'!$BB$3))</f>
        <v>0</v>
      </c>
      <c r="V33" s="4">
        <f>IF(ISNUMBER(SEARCH("营",'19.12'!AD33)),(-$Y33+50*IF('19.12'!$AK33="是",'19.12'!$BB$4,'19.12'!$BB$3)),(VLOOKUP('19.12'!AD33,'19.12'!$AO$4:$AQ$55,2,FALSE))*IF('19.12'!$AK33="是",'19.12'!$BB$4,'19.12'!$BB$3))</f>
        <v>0</v>
      </c>
      <c r="W33" s="4">
        <f>IF(ISNUMBER(SEARCH("营",'19.12'!AE33)),(-$Y33+50*IF('19.12'!$AK33="是",'19.12'!$BB$4,'19.12'!$BB$3)),(VLOOKUP('19.12'!AE33,'19.12'!$AO$4:$AQ$55,2,FALSE))*IF('19.12'!$AK33="是",'19.12'!$BB$4,'19.12'!$BB$3))</f>
        <v>0</v>
      </c>
      <c r="X33" s="4">
        <f>IF(ISNUMBER(SEARCH("营",'19.12'!AF33)),(-$Y33+50*IF('19.12'!$AK33="是",'19.12'!$BB$4,'19.12'!$BB$3)),(VLOOKUP('19.12'!AF33,'19.12'!$AO$4:$AQ$55,2,FALSE))*IF('19.12'!$AK33="是",'19.12'!$BB$4,'19.12'!$BB$3))</f>
        <v>0</v>
      </c>
      <c r="Y33" s="18">
        <v>200</v>
      </c>
      <c r="Z33" s="15">
        <v>45759</v>
      </c>
    </row>
    <row r="34" spans="1:26">
      <c r="A34" s="4">
        <f>IF(ISNUMBER(SEARCH("营",'19.12'!I34)),(-$Y34+50*IF('19.12'!$AK34="是",'19.12'!$BB$4,'19.12'!$BB$3)),(VLOOKUP('19.12'!I34,'19.12'!$AO$4:$AQ$55,2,FALSE))*IF('19.12'!$AK34="是",'19.12'!$BB$4,'19.12'!$BB$3))</f>
        <v>136</v>
      </c>
      <c r="B34" s="4">
        <f>IF(ISNUMBER(SEARCH("营",'19.12'!J34)),(-$Y34+50*IF('19.12'!$AK34="是",'19.12'!$BB$4,'19.12'!$BB$3)),(VLOOKUP('19.12'!J34,'19.12'!$AO$4:$AQ$55,2,FALSE))*IF('19.12'!$AK34="是",'19.12'!$BB$4,'19.12'!$BB$3))</f>
        <v>136</v>
      </c>
      <c r="C34" s="4">
        <f>IF(ISNUMBER(SEARCH("营",'19.12'!K34)),(-$Y34+50*IF('19.12'!$AK34="是",'19.12'!$BB$4,'19.12'!$BB$3)),(VLOOKUP('19.12'!K34,'19.12'!$AO$4:$AQ$55,2,FALSE))*IF('19.12'!$AK34="是",'19.12'!$BB$4,'19.12'!$BB$3))</f>
        <v>136</v>
      </c>
      <c r="D34" s="4">
        <f>IF(ISNUMBER(SEARCH("营",'19.12'!L34)),(-$Y34+50*IF('19.12'!$AK34="是",'19.12'!$BB$4,'19.12'!$BB$3)),(VLOOKUP('19.12'!L34,'19.12'!$AO$4:$AQ$55,2,FALSE))*IF('19.12'!$AK34="是",'19.12'!$BB$4,'19.12'!$BB$3))</f>
        <v>0</v>
      </c>
      <c r="E34" s="4">
        <f>IF(ISNUMBER(SEARCH("营",'19.12'!M34)),(-$Y34+50*IF('19.12'!$AK34="是",'19.12'!$BB$4,'19.12'!$BB$3)),(VLOOKUP('19.12'!M34,'19.12'!$AO$4:$AQ$55,2,FALSE))*IF('19.12'!$AK34="是",'19.12'!$BB$4,'19.12'!$BB$3))</f>
        <v>0</v>
      </c>
      <c r="F34" s="4">
        <f>IF(ISNUMBER(SEARCH("营",'19.12'!N34)),(-$Y34+50*IF('19.12'!$AK34="是",'19.12'!$BB$4,'19.12'!$BB$3)),(VLOOKUP('19.12'!N34,'19.12'!$AO$4:$AQ$55,2,FALSE))*IF('19.12'!$AK34="是",'19.12'!$BB$4,'19.12'!$BB$3))</f>
        <v>0</v>
      </c>
      <c r="G34" s="4">
        <f>IF(ISNUMBER(SEARCH("营",'19.12'!O34)),(-$Y34+50*IF('19.12'!$AK34="是",'19.12'!$BB$4,'19.12'!$BB$3)),(VLOOKUP('19.12'!O34,'19.12'!$AO$4:$AQ$55,2,FALSE))*IF('19.12'!$AK34="是",'19.12'!$BB$4,'19.12'!$BB$3))</f>
        <v>0</v>
      </c>
      <c r="H34" s="4">
        <f>IF(ISNUMBER(SEARCH("营",'19.12'!P34)),(-$Y34+50*IF('19.12'!$AK34="是",'19.12'!$BB$4,'19.12'!$BB$3)),(VLOOKUP('19.12'!P34,'19.12'!$AO$4:$AQ$55,2,FALSE))*IF('19.12'!$AK34="是",'19.12'!$BB$4,'19.12'!$BB$3))</f>
        <v>0</v>
      </c>
      <c r="I34" s="4">
        <f>IF(ISNUMBER(SEARCH("营",'19.12'!Q34)),(-$Y34+50*IF('19.12'!$AK34="是",'19.12'!$BB$4,'19.12'!$BB$3)),(VLOOKUP('19.12'!Q34,'19.12'!$AO$4:$AQ$55,2,FALSE))*IF('19.12'!$AK34="是",'19.12'!$BB$4,'19.12'!$BB$3))</f>
        <v>0</v>
      </c>
      <c r="J34" s="4">
        <f>IF(ISNUMBER(SEARCH("营",'19.12'!R34)),(-$Y34+50*IF('19.12'!$AK34="是",'19.12'!$BB$4,'19.12'!$BB$3)),(VLOOKUP('19.12'!R34,'19.12'!$AO$4:$AQ$55,2,FALSE))*IF('19.12'!$AK34="是",'19.12'!$BB$4,'19.12'!$BB$3))</f>
        <v>0</v>
      </c>
      <c r="K34" s="4">
        <f>IF(ISNUMBER(SEARCH("营",'19.12'!S34)),(-$Y34+50*IF('19.12'!$AK34="是",'19.12'!$BB$4,'19.12'!$BB$3)),(VLOOKUP('19.12'!S34,'19.12'!$AO$4:$AQ$55,2,FALSE))*IF('19.12'!$AK34="是",'19.12'!$BB$4,'19.12'!$BB$3))</f>
        <v>0</v>
      </c>
      <c r="L34" s="4">
        <f>IF(ISNUMBER(SEARCH("营",'19.12'!T34)),(-$Y34+50*IF('19.12'!$AK34="是",'19.12'!$BB$4,'19.12'!$BB$3)),(VLOOKUP('19.12'!T34,'19.12'!$AO$4:$AQ$55,2,FALSE))*IF('19.12'!$AK34="是",'19.12'!$BB$4,'19.12'!$BB$3))</f>
        <v>0</v>
      </c>
      <c r="M34" s="4">
        <f>IF(ISNUMBER(SEARCH("营",'19.12'!U34)),(-$Y34+50*IF('19.12'!$AK34="是",'19.12'!$BB$4,'19.12'!$BB$3)),(VLOOKUP('19.12'!U34,'19.12'!$AO$4:$AQ$55,2,FALSE))*IF('19.12'!$AK34="是",'19.12'!$BB$4,'19.12'!$BB$3))</f>
        <v>0</v>
      </c>
      <c r="N34" s="4">
        <f>IF(ISNUMBER(SEARCH("营",'19.12'!V34)),(-$Y34+50*IF('19.12'!$AK34="是",'19.12'!$BB$4,'19.12'!$BB$3)),(VLOOKUP('19.12'!V34,'19.12'!$AO$4:$AQ$55,2,FALSE))*IF('19.12'!$AK34="是",'19.12'!$BB$4,'19.12'!$BB$3))</f>
        <v>0</v>
      </c>
      <c r="O34" s="4">
        <f>IF(ISNUMBER(SEARCH("营",'19.12'!W34)),(-$Y34+50*IF('19.12'!$AK34="是",'19.12'!$BB$4,'19.12'!$BB$3)),(VLOOKUP('19.12'!W34,'19.12'!$AO$4:$AQ$55,2,FALSE))*IF('19.12'!$AK34="是",'19.12'!$BB$4,'19.12'!$BB$3))</f>
        <v>0</v>
      </c>
      <c r="P34" s="4">
        <f>IF(ISNUMBER(SEARCH("营",'19.12'!X34)),(-$Y34+50*IF('19.12'!$AK34="是",'19.12'!$BB$4,'19.12'!$BB$3)),(VLOOKUP('19.12'!X34,'19.12'!$AO$4:$AQ$55,2,FALSE))*IF('19.12'!$AK34="是",'19.12'!$BB$4,'19.12'!$BB$3))</f>
        <v>0</v>
      </c>
      <c r="Q34" s="4">
        <f>IF(ISNUMBER(SEARCH("营",'19.12'!Y34)),(-$Y34+50*IF('19.12'!$AK34="是",'19.12'!$BB$4,'19.12'!$BB$3)),(VLOOKUP('19.12'!Y34,'19.12'!$AO$4:$AQ$55,2,FALSE))*IF('19.12'!$AK34="是",'19.12'!$BB$4,'19.12'!$BB$3))</f>
        <v>0</v>
      </c>
      <c r="R34" s="4">
        <f>IF(ISNUMBER(SEARCH("营",'19.12'!Z34)),(-$Y34+50*IF('19.12'!$AK34="是",'19.12'!$BB$4,'19.12'!$BB$3)),(VLOOKUP('19.12'!Z34,'19.12'!$AO$4:$AQ$55,2,FALSE))*IF('19.12'!$AK34="是",'19.12'!$BB$4,'19.12'!$BB$3))</f>
        <v>0</v>
      </c>
      <c r="S34" s="4">
        <f>IF(ISNUMBER(SEARCH("营",'19.12'!AA34)),(-$Y34+50*IF('19.12'!$AK34="是",'19.12'!$BB$4,'19.12'!$BB$3)),(VLOOKUP('19.12'!AA34,'19.12'!$AO$4:$AQ$55,2,FALSE))*IF('19.12'!$AK34="是",'19.12'!$BB$4,'19.12'!$BB$3))</f>
        <v>0</v>
      </c>
      <c r="T34" s="4">
        <f>IF(ISNUMBER(SEARCH("营",'19.12'!AB34)),(-$Y34+50*IF('19.12'!$AK34="是",'19.12'!$BB$4,'19.12'!$BB$3)),(VLOOKUP('19.12'!AB34,'19.12'!$AO$4:$AQ$55,2,FALSE))*IF('19.12'!$AK34="是",'19.12'!$BB$4,'19.12'!$BB$3))</f>
        <v>0</v>
      </c>
      <c r="U34" s="4">
        <f>IF(ISNUMBER(SEARCH("营",'19.12'!AC34)),(-$Y34+50*IF('19.12'!$AK34="是",'19.12'!$BB$4,'19.12'!$BB$3)),(VLOOKUP('19.12'!AC34,'19.12'!$AO$4:$AQ$55,2,FALSE))*IF('19.12'!$AK34="是",'19.12'!$BB$4,'19.12'!$BB$3))</f>
        <v>0</v>
      </c>
      <c r="V34" s="4">
        <f>IF(ISNUMBER(SEARCH("营",'19.12'!AD34)),(-$Y34+50*IF('19.12'!$AK34="是",'19.12'!$BB$4,'19.12'!$BB$3)),(VLOOKUP('19.12'!AD34,'19.12'!$AO$4:$AQ$55,2,FALSE))*IF('19.12'!$AK34="是",'19.12'!$BB$4,'19.12'!$BB$3))</f>
        <v>0</v>
      </c>
      <c r="W34" s="4">
        <f>IF(ISNUMBER(SEARCH("营",'19.12'!AE34)),(-$Y34+50*IF('19.12'!$AK34="是",'19.12'!$BB$4,'19.12'!$BB$3)),(VLOOKUP('19.12'!AE34,'19.12'!$AO$4:$AQ$55,2,FALSE))*IF('19.12'!$AK34="是",'19.12'!$BB$4,'19.12'!$BB$3))</f>
        <v>0</v>
      </c>
      <c r="X34" s="4">
        <f>IF(ISNUMBER(SEARCH("营",'19.12'!AF34)),(-$Y34+50*IF('19.12'!$AK34="是",'19.12'!$BB$4,'19.12'!$BB$3)),(VLOOKUP('19.12'!AF34,'19.12'!$AO$4:$AQ$55,2,FALSE))*IF('19.12'!$AK34="是",'19.12'!$BB$4,'19.12'!$BB$3))</f>
        <v>0</v>
      </c>
      <c r="Y34" s="18">
        <v>200</v>
      </c>
      <c r="Z34" s="15">
        <v>45760</v>
      </c>
    </row>
    <row r="35" spans="1:26">
      <c r="A35" s="4">
        <f>IF(ISNUMBER(SEARCH("营",'19.12'!I35)),(-$Y35+50*IF('19.12'!$AK35="是",'19.12'!$BB$4,'19.12'!$BB$3)),(VLOOKUP('19.12'!I35,'19.12'!$AO$4:$AQ$55,2,FALSE))*IF('19.12'!$AK35="是",'19.12'!$BB$4,'19.12'!$BB$3))</f>
        <v>160</v>
      </c>
      <c r="B35" s="4">
        <f>IF(ISNUMBER(SEARCH("营",'19.12'!J35)),(-$Y35+50*IF('19.12'!$AK35="是",'19.12'!$BB$4,'19.12'!$BB$3)),(VLOOKUP('19.12'!J35,'19.12'!$AO$4:$AQ$55,2,FALSE))*IF('19.12'!$AK35="是",'19.12'!$BB$4,'19.12'!$BB$3))</f>
        <v>160</v>
      </c>
      <c r="C35" s="4">
        <f>IF(ISNUMBER(SEARCH("营",'19.12'!K35)),(-$Y35+50*IF('19.12'!$AK35="是",'19.12'!$BB$4,'19.12'!$BB$3)),(VLOOKUP('19.12'!K35,'19.12'!$AO$4:$AQ$55,2,FALSE))*IF('19.12'!$AK35="是",'19.12'!$BB$4,'19.12'!$BB$3))</f>
        <v>160</v>
      </c>
      <c r="D35" s="4">
        <f>IF(ISNUMBER(SEARCH("营",'19.12'!L35)),(-$Y35+50*IF('19.12'!$AK35="是",'19.12'!$BB$4,'19.12'!$BB$3)),(VLOOKUP('19.12'!L35,'19.12'!$AO$4:$AQ$55,2,FALSE))*IF('19.12'!$AK35="是",'19.12'!$BB$4,'19.12'!$BB$3))</f>
        <v>160</v>
      </c>
      <c r="E35" s="4">
        <f>IF(ISNUMBER(SEARCH("营",'19.12'!M35)),(-$Y35+50*IF('19.12'!$AK35="是",'19.12'!$BB$4,'19.12'!$BB$3)),(VLOOKUP('19.12'!M35,'19.12'!$AO$4:$AQ$55,2,FALSE))*IF('19.12'!$AK35="是",'19.12'!$BB$4,'19.12'!$BB$3))</f>
        <v>160</v>
      </c>
      <c r="F35" s="4">
        <f>IF(ISNUMBER(SEARCH("营",'19.12'!N35)),(-$Y35+50*IF('19.12'!$AK35="是",'19.12'!$BB$4,'19.12'!$BB$3)),(VLOOKUP('19.12'!N35,'19.12'!$AO$4:$AQ$55,2,FALSE))*IF('19.12'!$AK35="是",'19.12'!$BB$4,'19.12'!$BB$3))</f>
        <v>160</v>
      </c>
      <c r="G35" s="4">
        <f>IF(ISNUMBER(SEARCH("营",'19.12'!O35)),(-$Y35+50*IF('19.12'!$AK35="是",'19.12'!$BB$4,'19.12'!$BB$3)),(VLOOKUP('19.12'!O35,'19.12'!$AO$4:$AQ$55,2,FALSE))*IF('19.12'!$AK35="是",'19.12'!$BB$4,'19.12'!$BB$3))</f>
        <v>0</v>
      </c>
      <c r="H35" s="4">
        <f>IF(ISNUMBER(SEARCH("营",'19.12'!P35)),(-$Y35+50*IF('19.12'!$AK35="是",'19.12'!$BB$4,'19.12'!$BB$3)),(VLOOKUP('19.12'!P35,'19.12'!$AO$4:$AQ$55,2,FALSE))*IF('19.12'!$AK35="是",'19.12'!$BB$4,'19.12'!$BB$3))</f>
        <v>0</v>
      </c>
      <c r="I35" s="4">
        <f>IF(ISNUMBER(SEARCH("营",'19.12'!Q35)),(-$Y35+50*IF('19.12'!$AK35="是",'19.12'!$BB$4,'19.12'!$BB$3)),(VLOOKUP('19.12'!Q35,'19.12'!$AO$4:$AQ$55,2,FALSE))*IF('19.12'!$AK35="是",'19.12'!$BB$4,'19.12'!$BB$3))</f>
        <v>144</v>
      </c>
      <c r="J35" s="4">
        <f>IF(ISNUMBER(SEARCH("营",'19.12'!R35)),(-$Y35+50*IF('19.12'!$AK35="是",'19.12'!$BB$4,'19.12'!$BB$3)),(VLOOKUP('19.12'!R35,'19.12'!$AO$4:$AQ$55,2,FALSE))*IF('19.12'!$AK35="是",'19.12'!$BB$4,'19.12'!$BB$3))</f>
        <v>144</v>
      </c>
      <c r="K35" s="4">
        <f>IF(ISNUMBER(SEARCH("营",'19.12'!S35)),(-$Y35+50*IF('19.12'!$AK35="是",'19.12'!$BB$4,'19.12'!$BB$3)),(VLOOKUP('19.12'!S35,'19.12'!$AO$4:$AQ$55,2,FALSE))*IF('19.12'!$AK35="是",'19.12'!$BB$4,'19.12'!$BB$3))</f>
        <v>144</v>
      </c>
      <c r="L35" s="4">
        <f>IF(ISNUMBER(SEARCH("营",'19.12'!T35)),(-$Y35+50*IF('19.12'!$AK35="是",'19.12'!$BB$4,'19.12'!$BB$3)),(VLOOKUP('19.12'!T35,'19.12'!$AO$4:$AQ$55,2,FALSE))*IF('19.12'!$AK35="是",'19.12'!$BB$4,'19.12'!$BB$3))</f>
        <v>144</v>
      </c>
      <c r="M35" s="4">
        <f>IF(ISNUMBER(SEARCH("营",'19.12'!U35)),(-$Y35+50*IF('19.12'!$AK35="是",'19.12'!$BB$4,'19.12'!$BB$3)),(VLOOKUP('19.12'!U35,'19.12'!$AO$4:$AQ$55,2,FALSE))*IF('19.12'!$AK35="是",'19.12'!$BB$4,'19.12'!$BB$3))</f>
        <v>0</v>
      </c>
      <c r="N35" s="4">
        <f>IF(ISNUMBER(SEARCH("营",'19.12'!V35)),(-$Y35+50*IF('19.12'!$AK35="是",'19.12'!$BB$4,'19.12'!$BB$3)),(VLOOKUP('19.12'!V35,'19.12'!$AO$4:$AQ$55,2,FALSE))*IF('19.12'!$AK35="是",'19.12'!$BB$4,'19.12'!$BB$3))</f>
        <v>0</v>
      </c>
      <c r="O35" s="4">
        <f>IF(ISNUMBER(SEARCH("营",'19.12'!W35)),(-$Y35+50*IF('19.12'!$AK35="是",'19.12'!$BB$4,'19.12'!$BB$3)),(VLOOKUP('19.12'!W35,'19.12'!$AO$4:$AQ$55,2,FALSE))*IF('19.12'!$AK35="是",'19.12'!$BB$4,'19.12'!$BB$3))</f>
        <v>0</v>
      </c>
      <c r="P35" s="4">
        <f>IF(ISNUMBER(SEARCH("营",'19.12'!X35)),(-$Y35+50*IF('19.12'!$AK35="是",'19.12'!$BB$4,'19.12'!$BB$3)),(VLOOKUP('19.12'!X35,'19.12'!$AO$4:$AQ$55,2,FALSE))*IF('19.12'!$AK35="是",'19.12'!$BB$4,'19.12'!$BB$3))</f>
        <v>0</v>
      </c>
      <c r="Q35" s="4">
        <f>IF(ISNUMBER(SEARCH("营",'19.12'!Y35)),(-$Y35+50*IF('19.12'!$AK35="是",'19.12'!$BB$4,'19.12'!$BB$3)),(VLOOKUP('19.12'!Y35,'19.12'!$AO$4:$AQ$55,2,FALSE))*IF('19.12'!$AK35="是",'19.12'!$BB$4,'19.12'!$BB$3))</f>
        <v>0</v>
      </c>
      <c r="R35" s="4">
        <f>IF(ISNUMBER(SEARCH("营",'19.12'!Z35)),(-$Y35+50*IF('19.12'!$AK35="是",'19.12'!$BB$4,'19.12'!$BB$3)),(VLOOKUP('19.12'!Z35,'19.12'!$AO$4:$AQ$55,2,FALSE))*IF('19.12'!$AK35="是",'19.12'!$BB$4,'19.12'!$BB$3))</f>
        <v>0</v>
      </c>
      <c r="S35" s="4">
        <f>IF(ISNUMBER(SEARCH("营",'19.12'!AA35)),(-$Y35+50*IF('19.12'!$AK35="是",'19.12'!$BB$4,'19.12'!$BB$3)),(VLOOKUP('19.12'!AA35,'19.12'!$AO$4:$AQ$55,2,FALSE))*IF('19.12'!$AK35="是",'19.12'!$BB$4,'19.12'!$BB$3))</f>
        <v>0</v>
      </c>
      <c r="T35" s="4">
        <f>IF(ISNUMBER(SEARCH("营",'19.12'!AB35)),(-$Y35+50*IF('19.12'!$AK35="是",'19.12'!$BB$4,'19.12'!$BB$3)),(VLOOKUP('19.12'!AB35,'19.12'!$AO$4:$AQ$55,2,FALSE))*IF('19.12'!$AK35="是",'19.12'!$BB$4,'19.12'!$BB$3))</f>
        <v>0</v>
      </c>
      <c r="U35" s="4">
        <f>IF(ISNUMBER(SEARCH("营",'19.12'!AC35)),(-$Y35+50*IF('19.12'!$AK35="是",'19.12'!$BB$4,'19.12'!$BB$3)),(VLOOKUP('19.12'!AC35,'19.12'!$AO$4:$AQ$55,2,FALSE))*IF('19.12'!$AK35="是",'19.12'!$BB$4,'19.12'!$BB$3))</f>
        <v>0</v>
      </c>
      <c r="V35" s="4">
        <f>IF(ISNUMBER(SEARCH("营",'19.12'!AD35)),(-$Y35+50*IF('19.12'!$AK35="是",'19.12'!$BB$4,'19.12'!$BB$3)),(VLOOKUP('19.12'!AD35,'19.12'!$AO$4:$AQ$55,2,FALSE))*IF('19.12'!$AK35="是",'19.12'!$BB$4,'19.12'!$BB$3))</f>
        <v>0</v>
      </c>
      <c r="W35" s="4">
        <f>IF(ISNUMBER(SEARCH("营",'19.12'!AE35)),(-$Y35+50*IF('19.12'!$AK35="是",'19.12'!$BB$4,'19.12'!$BB$3)),(VLOOKUP('19.12'!AE35,'19.12'!$AO$4:$AQ$55,2,FALSE))*IF('19.12'!$AK35="是",'19.12'!$BB$4,'19.12'!$BB$3))</f>
        <v>0</v>
      </c>
      <c r="X35" s="4">
        <f>IF(ISNUMBER(SEARCH("营",'19.12'!AF35)),(-$Y35+50*IF('19.12'!$AK35="是",'19.12'!$BB$4,'19.12'!$BB$3)),(VLOOKUP('19.12'!AF35,'19.12'!$AO$4:$AQ$55,2,FALSE))*IF('19.12'!$AK35="是",'19.12'!$BB$4,'19.12'!$BB$3))</f>
        <v>0</v>
      </c>
      <c r="Y35" s="18">
        <v>200</v>
      </c>
      <c r="Z35" s="15">
        <v>45761</v>
      </c>
    </row>
    <row r="36" spans="1:26">
      <c r="A36" s="4">
        <f>IF(ISNUMBER(SEARCH("营",'19.12'!I36)),(-$Y36+50*IF('19.12'!$AK36="是",'19.12'!$BB$4,'19.12'!$BB$3)),(VLOOKUP('19.12'!I36,'19.12'!$AO$4:$AQ$55,2,FALSE))*IF('19.12'!$AK36="是",'19.12'!$BB$4,'19.12'!$BB$3))</f>
        <v>160</v>
      </c>
      <c r="B36" s="4">
        <f>IF(ISNUMBER(SEARCH("营",'19.12'!J36)),(-$Y36+50*IF('19.12'!$AK36="是",'19.12'!$BB$4,'19.12'!$BB$3)),(VLOOKUP('19.12'!J36,'19.12'!$AO$4:$AQ$55,2,FALSE))*IF('19.12'!$AK36="是",'19.12'!$BB$4,'19.12'!$BB$3))</f>
        <v>160</v>
      </c>
      <c r="C36" s="4">
        <f>IF(ISNUMBER(SEARCH("营",'19.12'!K36)),(-$Y36+50*IF('19.12'!$AK36="是",'19.12'!$BB$4,'19.12'!$BB$3)),(VLOOKUP('19.12'!K36,'19.12'!$AO$4:$AQ$55,2,FALSE))*IF('19.12'!$AK36="是",'19.12'!$BB$4,'19.12'!$BB$3))</f>
        <v>160</v>
      </c>
      <c r="D36" s="4">
        <f>IF(ISNUMBER(SEARCH("营",'19.12'!L36)),(-$Y36+50*IF('19.12'!$AK36="是",'19.12'!$BB$4,'19.12'!$BB$3)),(VLOOKUP('19.12'!L36,'19.12'!$AO$4:$AQ$55,2,FALSE))*IF('19.12'!$AK36="是",'19.12'!$BB$4,'19.12'!$BB$3))</f>
        <v>160</v>
      </c>
      <c r="E36" s="4">
        <f>IF(ISNUMBER(SEARCH("营",'19.12'!M36)),(-$Y36+50*IF('19.12'!$AK36="是",'19.12'!$BB$4,'19.12'!$BB$3)),(VLOOKUP('19.12'!M36,'19.12'!$AO$4:$AQ$55,2,FALSE))*IF('19.12'!$AK36="是",'19.12'!$BB$4,'19.12'!$BB$3))</f>
        <v>160</v>
      </c>
      <c r="F36" s="4">
        <f>IF(ISNUMBER(SEARCH("营",'19.12'!N36)),(-$Y36+50*IF('19.12'!$AK36="是",'19.12'!$BB$4,'19.12'!$BB$3)),(VLOOKUP('19.12'!N36,'19.12'!$AO$4:$AQ$55,2,FALSE))*IF('19.12'!$AK36="是",'19.12'!$BB$4,'19.12'!$BB$3))</f>
        <v>160</v>
      </c>
      <c r="G36" s="4">
        <f>IF(ISNUMBER(SEARCH("营",'19.12'!O36)),(-$Y36+50*IF('19.12'!$AK36="是",'19.12'!$BB$4,'19.12'!$BB$3)),(VLOOKUP('19.12'!O36,'19.12'!$AO$4:$AQ$55,2,FALSE))*IF('19.12'!$AK36="是",'19.12'!$BB$4,'19.12'!$BB$3))</f>
        <v>0</v>
      </c>
      <c r="H36" s="4">
        <f>IF(ISNUMBER(SEARCH("营",'19.12'!P36)),(-$Y36+50*IF('19.12'!$AK36="是",'19.12'!$BB$4,'19.12'!$BB$3)),(VLOOKUP('19.12'!P36,'19.12'!$AO$4:$AQ$55,2,FALSE))*IF('19.12'!$AK36="是",'19.12'!$BB$4,'19.12'!$BB$3))</f>
        <v>0</v>
      </c>
      <c r="I36" s="4">
        <f>IF(ISNUMBER(SEARCH("营",'19.12'!Q36)),(-$Y36+50*IF('19.12'!$AK36="是",'19.12'!$BB$4,'19.12'!$BB$3)),(VLOOKUP('19.12'!Q36,'19.12'!$AO$4:$AQ$55,2,FALSE))*IF('19.12'!$AK36="是",'19.12'!$BB$4,'19.12'!$BB$3))</f>
        <v>144</v>
      </c>
      <c r="J36" s="4">
        <f>IF(ISNUMBER(SEARCH("营",'19.12'!R36)),(-$Y36+50*IF('19.12'!$AK36="是",'19.12'!$BB$4,'19.12'!$BB$3)),(VLOOKUP('19.12'!R36,'19.12'!$AO$4:$AQ$55,2,FALSE))*IF('19.12'!$AK36="是",'19.12'!$BB$4,'19.12'!$BB$3))</f>
        <v>144</v>
      </c>
      <c r="K36" s="4">
        <f>IF(ISNUMBER(SEARCH("营",'19.12'!S36)),(-$Y36+50*IF('19.12'!$AK36="是",'19.12'!$BB$4,'19.12'!$BB$3)),(VLOOKUP('19.12'!S36,'19.12'!$AO$4:$AQ$55,2,FALSE))*IF('19.12'!$AK36="是",'19.12'!$BB$4,'19.12'!$BB$3))</f>
        <v>144</v>
      </c>
      <c r="L36" s="4">
        <f>IF(ISNUMBER(SEARCH("营",'19.12'!T36)),(-$Y36+50*IF('19.12'!$AK36="是",'19.12'!$BB$4,'19.12'!$BB$3)),(VLOOKUP('19.12'!T36,'19.12'!$AO$4:$AQ$55,2,FALSE))*IF('19.12'!$AK36="是",'19.12'!$BB$4,'19.12'!$BB$3))</f>
        <v>144</v>
      </c>
      <c r="M36" s="4">
        <f>IF(ISNUMBER(SEARCH("营",'19.12'!U36)),(-$Y36+50*IF('19.12'!$AK36="是",'19.12'!$BB$4,'19.12'!$BB$3)),(VLOOKUP('19.12'!U36,'19.12'!$AO$4:$AQ$55,2,FALSE))*IF('19.12'!$AK36="是",'19.12'!$BB$4,'19.12'!$BB$3))</f>
        <v>144</v>
      </c>
      <c r="N36" s="4">
        <f>IF(ISNUMBER(SEARCH("营",'19.12'!V36)),(-$Y36+50*IF('19.12'!$AK36="是",'19.12'!$BB$4,'19.12'!$BB$3)),(VLOOKUP('19.12'!V36,'19.12'!$AO$4:$AQ$55,2,FALSE))*IF('19.12'!$AK36="是",'19.12'!$BB$4,'19.12'!$BB$3))</f>
        <v>0</v>
      </c>
      <c r="O36" s="4">
        <f>IF(ISNUMBER(SEARCH("营",'19.12'!W36)),(-$Y36+50*IF('19.12'!$AK36="是",'19.12'!$BB$4,'19.12'!$BB$3)),(VLOOKUP('19.12'!W36,'19.12'!$AO$4:$AQ$55,2,FALSE))*IF('19.12'!$AK36="是",'19.12'!$BB$4,'19.12'!$BB$3))</f>
        <v>0</v>
      </c>
      <c r="P36" s="4">
        <f>IF(ISNUMBER(SEARCH("营",'19.12'!X36)),(-$Y36+50*IF('19.12'!$AK36="是",'19.12'!$BB$4,'19.12'!$BB$3)),(VLOOKUP('19.12'!X36,'19.12'!$AO$4:$AQ$55,2,FALSE))*IF('19.12'!$AK36="是",'19.12'!$BB$4,'19.12'!$BB$3))</f>
        <v>0</v>
      </c>
      <c r="Q36" s="4">
        <f>IF(ISNUMBER(SEARCH("营",'19.12'!Y36)),(-$Y36+50*IF('19.12'!$AK36="是",'19.12'!$BB$4,'19.12'!$BB$3)),(VLOOKUP('19.12'!Y36,'19.12'!$AO$4:$AQ$55,2,FALSE))*IF('19.12'!$AK36="是",'19.12'!$BB$4,'19.12'!$BB$3))</f>
        <v>0</v>
      </c>
      <c r="R36" s="4">
        <f>IF(ISNUMBER(SEARCH("营",'19.12'!Z36)),(-$Y36+50*IF('19.12'!$AK36="是",'19.12'!$BB$4,'19.12'!$BB$3)),(VLOOKUP('19.12'!Z36,'19.12'!$AO$4:$AQ$55,2,FALSE))*IF('19.12'!$AK36="是",'19.12'!$BB$4,'19.12'!$BB$3))</f>
        <v>0</v>
      </c>
      <c r="S36" s="4">
        <f>IF(ISNUMBER(SEARCH("营",'19.12'!AA36)),(-$Y36+50*IF('19.12'!$AK36="是",'19.12'!$BB$4,'19.12'!$BB$3)),(VLOOKUP('19.12'!AA36,'19.12'!$AO$4:$AQ$55,2,FALSE))*IF('19.12'!$AK36="是",'19.12'!$BB$4,'19.12'!$BB$3))</f>
        <v>0</v>
      </c>
      <c r="T36" s="4">
        <f>IF(ISNUMBER(SEARCH("营",'19.12'!AB36)),(-$Y36+50*IF('19.12'!$AK36="是",'19.12'!$BB$4,'19.12'!$BB$3)),(VLOOKUP('19.12'!AB36,'19.12'!$AO$4:$AQ$55,2,FALSE))*IF('19.12'!$AK36="是",'19.12'!$BB$4,'19.12'!$BB$3))</f>
        <v>0</v>
      </c>
      <c r="U36" s="4">
        <f>IF(ISNUMBER(SEARCH("营",'19.12'!AC36)),(-$Y36+50*IF('19.12'!$AK36="是",'19.12'!$BB$4,'19.12'!$BB$3)),(VLOOKUP('19.12'!AC36,'19.12'!$AO$4:$AQ$55,2,FALSE))*IF('19.12'!$AK36="是",'19.12'!$BB$4,'19.12'!$BB$3))</f>
        <v>0</v>
      </c>
      <c r="V36" s="4">
        <f>IF(ISNUMBER(SEARCH("营",'19.12'!AD36)),(-$Y36+50*IF('19.12'!$AK36="是",'19.12'!$BB$4,'19.12'!$BB$3)),(VLOOKUP('19.12'!AD36,'19.12'!$AO$4:$AQ$55,2,FALSE))*IF('19.12'!$AK36="是",'19.12'!$BB$4,'19.12'!$BB$3))</f>
        <v>0</v>
      </c>
      <c r="W36" s="4">
        <f>IF(ISNUMBER(SEARCH("营",'19.12'!AE36)),(-$Y36+50*IF('19.12'!$AK36="是",'19.12'!$BB$4,'19.12'!$BB$3)),(VLOOKUP('19.12'!AE36,'19.12'!$AO$4:$AQ$55,2,FALSE))*IF('19.12'!$AK36="是",'19.12'!$BB$4,'19.12'!$BB$3))</f>
        <v>0</v>
      </c>
      <c r="X36" s="4">
        <f>IF(ISNUMBER(SEARCH("营",'19.12'!AF36)),(-$Y36+50*IF('19.12'!$AK36="是",'19.12'!$BB$4,'19.12'!$BB$3)),(VLOOKUP('19.12'!AF36,'19.12'!$AO$4:$AQ$55,2,FALSE))*IF('19.12'!$AK36="是",'19.12'!$BB$4,'19.12'!$BB$3))</f>
        <v>0</v>
      </c>
      <c r="Y36" s="18">
        <v>200</v>
      </c>
      <c r="Z36" s="15">
        <v>45762</v>
      </c>
    </row>
    <row r="37" spans="1:26">
      <c r="A37" s="4">
        <f>IF(ISNUMBER(SEARCH("营",'19.12'!I37)),(-$Y37+50*IF('19.12'!$AK37="是",'19.12'!$BB$4,'19.12'!$BB$3)),(VLOOKUP('19.12'!I37,'19.12'!$AO$4:$AQ$55,2,FALSE))*IF('19.12'!$AK37="是",'19.12'!$BB$4,'19.12'!$BB$3))</f>
        <v>160</v>
      </c>
      <c r="B37" s="4">
        <f>IF(ISNUMBER(SEARCH("营",'19.12'!J37)),(-$Y37+50*IF('19.12'!$AK37="是",'19.12'!$BB$4,'19.12'!$BB$3)),(VLOOKUP('19.12'!J37,'19.12'!$AO$4:$AQ$55,2,FALSE))*IF('19.12'!$AK37="是",'19.12'!$BB$4,'19.12'!$BB$3))</f>
        <v>160</v>
      </c>
      <c r="C37" s="4">
        <f>IF(ISNUMBER(SEARCH("营",'19.12'!K37)),(-$Y37+50*IF('19.12'!$AK37="是",'19.12'!$BB$4,'19.12'!$BB$3)),(VLOOKUP('19.12'!K37,'19.12'!$AO$4:$AQ$55,2,FALSE))*IF('19.12'!$AK37="是",'19.12'!$BB$4,'19.12'!$BB$3))</f>
        <v>160</v>
      </c>
      <c r="D37" s="4">
        <f>IF(ISNUMBER(SEARCH("营",'19.12'!L37)),(-$Y37+50*IF('19.12'!$AK37="是",'19.12'!$BB$4,'19.12'!$BB$3)),(VLOOKUP('19.12'!L37,'19.12'!$AO$4:$AQ$55,2,FALSE))*IF('19.12'!$AK37="是",'19.12'!$BB$4,'19.12'!$BB$3))</f>
        <v>160</v>
      </c>
      <c r="E37" s="4">
        <f>IF(ISNUMBER(SEARCH("营",'19.12'!M37)),(-$Y37+50*IF('19.12'!$AK37="是",'19.12'!$BB$4,'19.12'!$BB$3)),(VLOOKUP('19.12'!M37,'19.12'!$AO$4:$AQ$55,2,FALSE))*IF('19.12'!$AK37="是",'19.12'!$BB$4,'19.12'!$BB$3))</f>
        <v>160</v>
      </c>
      <c r="F37" s="4">
        <f>IF(ISNUMBER(SEARCH("营",'19.12'!N37)),(-$Y37+50*IF('19.12'!$AK37="是",'19.12'!$BB$4,'19.12'!$BB$3)),(VLOOKUP('19.12'!N37,'19.12'!$AO$4:$AQ$55,2,FALSE))*IF('19.12'!$AK37="是",'19.12'!$BB$4,'19.12'!$BB$3))</f>
        <v>160</v>
      </c>
      <c r="G37" s="4">
        <f>IF(ISNUMBER(SEARCH("营",'19.12'!O37)),(-$Y37+50*IF('19.12'!$AK37="是",'19.12'!$BB$4,'19.12'!$BB$3)),(VLOOKUP('19.12'!O37,'19.12'!$AO$4:$AQ$55,2,FALSE))*IF('19.12'!$AK37="是",'19.12'!$BB$4,'19.12'!$BB$3))</f>
        <v>-160</v>
      </c>
      <c r="H37" s="4">
        <f>IF(ISNUMBER(SEARCH("营",'19.12'!P37)),(-$Y37+50*IF('19.12'!$AK37="是",'19.12'!$BB$4,'19.12'!$BB$3)),(VLOOKUP('19.12'!P37,'19.12'!$AO$4:$AQ$55,2,FALSE))*IF('19.12'!$AK37="是",'19.12'!$BB$4,'19.12'!$BB$3))</f>
        <v>0</v>
      </c>
      <c r="I37" s="4">
        <f>IF(ISNUMBER(SEARCH("营",'19.12'!Q37)),(-$Y37+50*IF('19.12'!$AK37="是",'19.12'!$BB$4,'19.12'!$BB$3)),(VLOOKUP('19.12'!Q37,'19.12'!$AO$4:$AQ$55,2,FALSE))*IF('19.12'!$AK37="是",'19.12'!$BB$4,'19.12'!$BB$3))</f>
        <v>144</v>
      </c>
      <c r="J37" s="4">
        <f>IF(ISNUMBER(SEARCH("营",'19.12'!R37)),(-$Y37+50*IF('19.12'!$AK37="是",'19.12'!$BB$4,'19.12'!$BB$3)),(VLOOKUP('19.12'!R37,'19.12'!$AO$4:$AQ$55,2,FALSE))*IF('19.12'!$AK37="是",'19.12'!$BB$4,'19.12'!$BB$3))</f>
        <v>144</v>
      </c>
      <c r="K37" s="4">
        <f>IF(ISNUMBER(SEARCH("营",'19.12'!S37)),(-$Y37+50*IF('19.12'!$AK37="是",'19.12'!$BB$4,'19.12'!$BB$3)),(VLOOKUP('19.12'!S37,'19.12'!$AO$4:$AQ$55,2,FALSE))*IF('19.12'!$AK37="是",'19.12'!$BB$4,'19.12'!$BB$3))</f>
        <v>144</v>
      </c>
      <c r="L37" s="4">
        <f>IF(ISNUMBER(SEARCH("营",'19.12'!T37)),(-$Y37+50*IF('19.12'!$AK37="是",'19.12'!$BB$4,'19.12'!$BB$3)),(VLOOKUP('19.12'!T37,'19.12'!$AO$4:$AQ$55,2,FALSE))*IF('19.12'!$AK37="是",'19.12'!$BB$4,'19.12'!$BB$3))</f>
        <v>144</v>
      </c>
      <c r="M37" s="4">
        <f>IF(ISNUMBER(SEARCH("营",'19.12'!U37)),(-$Y37+50*IF('19.12'!$AK37="是",'19.12'!$BB$4,'19.12'!$BB$3)),(VLOOKUP('19.12'!U37,'19.12'!$AO$4:$AQ$55,2,FALSE))*IF('19.12'!$AK37="是",'19.12'!$BB$4,'19.12'!$BB$3))</f>
        <v>144</v>
      </c>
      <c r="N37" s="4">
        <f>IF(ISNUMBER(SEARCH("营",'19.12'!V37)),(-$Y37+50*IF('19.12'!$AK37="是",'19.12'!$BB$4,'19.12'!$BB$3)),(VLOOKUP('19.12'!V37,'19.12'!$AO$4:$AQ$55,2,FALSE))*IF('19.12'!$AK37="是",'19.12'!$BB$4,'19.12'!$BB$3))</f>
        <v>0</v>
      </c>
      <c r="O37" s="4">
        <f>IF(ISNUMBER(SEARCH("营",'19.12'!W37)),(-$Y37+50*IF('19.12'!$AK37="是",'19.12'!$BB$4,'19.12'!$BB$3)),(VLOOKUP('19.12'!W37,'19.12'!$AO$4:$AQ$55,2,FALSE))*IF('19.12'!$AK37="是",'19.12'!$BB$4,'19.12'!$BB$3))</f>
        <v>0</v>
      </c>
      <c r="P37" s="4">
        <f>IF(ISNUMBER(SEARCH("营",'19.12'!X37)),(-$Y37+50*IF('19.12'!$AK37="是",'19.12'!$BB$4,'19.12'!$BB$3)),(VLOOKUP('19.12'!X37,'19.12'!$AO$4:$AQ$55,2,FALSE))*IF('19.12'!$AK37="是",'19.12'!$BB$4,'19.12'!$BB$3))</f>
        <v>0</v>
      </c>
      <c r="Q37" s="4">
        <f>IF(ISNUMBER(SEARCH("营",'19.12'!Y37)),(-$Y37+50*IF('19.12'!$AK37="是",'19.12'!$BB$4,'19.12'!$BB$3)),(VLOOKUP('19.12'!Y37,'19.12'!$AO$4:$AQ$55,2,FALSE))*IF('19.12'!$AK37="是",'19.12'!$BB$4,'19.12'!$BB$3))</f>
        <v>0</v>
      </c>
      <c r="R37" s="4">
        <f>IF(ISNUMBER(SEARCH("营",'19.12'!Z37)),(-$Y37+50*IF('19.12'!$AK37="是",'19.12'!$BB$4,'19.12'!$BB$3)),(VLOOKUP('19.12'!Z37,'19.12'!$AO$4:$AQ$55,2,FALSE))*IF('19.12'!$AK37="是",'19.12'!$BB$4,'19.12'!$BB$3))</f>
        <v>0</v>
      </c>
      <c r="S37" s="4">
        <f>IF(ISNUMBER(SEARCH("营",'19.12'!AA37)),(-$Y37+50*IF('19.12'!$AK37="是",'19.12'!$BB$4,'19.12'!$BB$3)),(VLOOKUP('19.12'!AA37,'19.12'!$AO$4:$AQ$55,2,FALSE))*IF('19.12'!$AK37="是",'19.12'!$BB$4,'19.12'!$BB$3))</f>
        <v>0</v>
      </c>
      <c r="T37" s="4">
        <f>IF(ISNUMBER(SEARCH("营",'19.12'!AB37)),(-$Y37+50*IF('19.12'!$AK37="是",'19.12'!$BB$4,'19.12'!$BB$3)),(VLOOKUP('19.12'!AB37,'19.12'!$AO$4:$AQ$55,2,FALSE))*IF('19.12'!$AK37="是",'19.12'!$BB$4,'19.12'!$BB$3))</f>
        <v>0</v>
      </c>
      <c r="U37" s="4">
        <f>IF(ISNUMBER(SEARCH("营",'19.12'!AC37)),(-$Y37+50*IF('19.12'!$AK37="是",'19.12'!$BB$4,'19.12'!$BB$3)),(VLOOKUP('19.12'!AC37,'19.12'!$AO$4:$AQ$55,2,FALSE))*IF('19.12'!$AK37="是",'19.12'!$BB$4,'19.12'!$BB$3))</f>
        <v>0</v>
      </c>
      <c r="V37" s="4">
        <f>IF(ISNUMBER(SEARCH("营",'19.12'!AD37)),(-$Y37+50*IF('19.12'!$AK37="是",'19.12'!$BB$4,'19.12'!$BB$3)),(VLOOKUP('19.12'!AD37,'19.12'!$AO$4:$AQ$55,2,FALSE))*IF('19.12'!$AK37="是",'19.12'!$BB$4,'19.12'!$BB$3))</f>
        <v>0</v>
      </c>
      <c r="W37" s="4">
        <f>IF(ISNUMBER(SEARCH("营",'19.12'!AE37)),(-$Y37+50*IF('19.12'!$AK37="是",'19.12'!$BB$4,'19.12'!$BB$3)),(VLOOKUP('19.12'!AE37,'19.12'!$AO$4:$AQ$55,2,FALSE))*IF('19.12'!$AK37="是",'19.12'!$BB$4,'19.12'!$BB$3))</f>
        <v>0</v>
      </c>
      <c r="X37" s="4">
        <f>IF(ISNUMBER(SEARCH("营",'19.12'!AF37)),(-$Y37+50*IF('19.12'!$AK37="是",'19.12'!$BB$4,'19.12'!$BB$3)),(VLOOKUP('19.12'!AF37,'19.12'!$AO$4:$AQ$55,2,FALSE))*IF('19.12'!$AK37="是",'19.12'!$BB$4,'19.12'!$BB$3))</f>
        <v>0</v>
      </c>
      <c r="Y37" s="18">
        <v>200</v>
      </c>
      <c r="Z37" s="15">
        <v>45763</v>
      </c>
    </row>
    <row r="38" spans="1:26">
      <c r="A38" s="4">
        <f>IF(ISNUMBER(SEARCH("营",'19.12'!I38)),(-$Y38+50*IF('19.12'!$AK38="是",'19.12'!$BB$4,'19.12'!$BB$3)),(VLOOKUP('19.12'!I38,'19.12'!$AO$4:$AQ$55,2,FALSE))*IF('19.12'!$AK38="是",'19.12'!$BB$4,'19.12'!$BB$3))</f>
        <v>160</v>
      </c>
      <c r="B38" s="4">
        <f>IF(ISNUMBER(SEARCH("营",'19.12'!J38)),(-$Y38+50*IF('19.12'!$AK38="是",'19.12'!$BB$4,'19.12'!$BB$3)),(VLOOKUP('19.12'!J38,'19.12'!$AO$4:$AQ$55,2,FALSE))*IF('19.12'!$AK38="是",'19.12'!$BB$4,'19.12'!$BB$3))</f>
        <v>160</v>
      </c>
      <c r="C38" s="4">
        <f>IF(ISNUMBER(SEARCH("营",'19.12'!K38)),(-$Y38+50*IF('19.12'!$AK38="是",'19.12'!$BB$4,'19.12'!$BB$3)),(VLOOKUP('19.12'!K38,'19.12'!$AO$4:$AQ$55,2,FALSE))*IF('19.12'!$AK38="是",'19.12'!$BB$4,'19.12'!$BB$3))</f>
        <v>160</v>
      </c>
      <c r="D38" s="4">
        <f>IF(ISNUMBER(SEARCH("营",'19.12'!L38)),(-$Y38+50*IF('19.12'!$AK38="是",'19.12'!$BB$4,'19.12'!$BB$3)),(VLOOKUP('19.12'!L38,'19.12'!$AO$4:$AQ$55,2,FALSE))*IF('19.12'!$AK38="是",'19.12'!$BB$4,'19.12'!$BB$3))</f>
        <v>160</v>
      </c>
      <c r="E38" s="4">
        <f>IF(ISNUMBER(SEARCH("营",'19.12'!M38)),(-$Y38+50*IF('19.12'!$AK38="是",'19.12'!$BB$4,'19.12'!$BB$3)),(VLOOKUP('19.12'!M38,'19.12'!$AO$4:$AQ$55,2,FALSE))*IF('19.12'!$AK38="是",'19.12'!$BB$4,'19.12'!$BB$3))</f>
        <v>160</v>
      </c>
      <c r="F38" s="4">
        <f>IF(ISNUMBER(SEARCH("营",'19.12'!N38)),(-$Y38+50*IF('19.12'!$AK38="是",'19.12'!$BB$4,'19.12'!$BB$3)),(VLOOKUP('19.12'!N38,'19.12'!$AO$4:$AQ$55,2,FALSE))*IF('19.12'!$AK38="是",'19.12'!$BB$4,'19.12'!$BB$3))</f>
        <v>200</v>
      </c>
      <c r="G38" s="4">
        <f>IF(ISNUMBER(SEARCH("营",'19.12'!O38)),(-$Y38+50*IF('19.12'!$AK38="是",'19.12'!$BB$4,'19.12'!$BB$3)),(VLOOKUP('19.12'!O38,'19.12'!$AO$4:$AQ$55,2,FALSE))*IF('19.12'!$AK38="是",'19.12'!$BB$4,'19.12'!$BB$3))</f>
        <v>0</v>
      </c>
      <c r="H38" s="4">
        <f>IF(ISNUMBER(SEARCH("营",'19.12'!P38)),(-$Y38+50*IF('19.12'!$AK38="是",'19.12'!$BB$4,'19.12'!$BB$3)),(VLOOKUP('19.12'!P38,'19.12'!$AO$4:$AQ$55,2,FALSE))*IF('19.12'!$AK38="是",'19.12'!$BB$4,'19.12'!$BB$3))</f>
        <v>0</v>
      </c>
      <c r="I38" s="4">
        <f>IF(ISNUMBER(SEARCH("营",'19.12'!Q38)),(-$Y38+50*IF('19.12'!$AK38="是",'19.12'!$BB$4,'19.12'!$BB$3)),(VLOOKUP('19.12'!Q38,'19.12'!$AO$4:$AQ$55,2,FALSE))*IF('19.12'!$AK38="是",'19.12'!$BB$4,'19.12'!$BB$3))</f>
        <v>144</v>
      </c>
      <c r="J38" s="4">
        <f>IF(ISNUMBER(SEARCH("营",'19.12'!R38)),(-$Y38+50*IF('19.12'!$AK38="是",'19.12'!$BB$4,'19.12'!$BB$3)),(VLOOKUP('19.12'!R38,'19.12'!$AO$4:$AQ$55,2,FALSE))*IF('19.12'!$AK38="是",'19.12'!$BB$4,'19.12'!$BB$3))</f>
        <v>144</v>
      </c>
      <c r="K38" s="4">
        <f>IF(ISNUMBER(SEARCH("营",'19.12'!S38)),(-$Y38+50*IF('19.12'!$AK38="是",'19.12'!$BB$4,'19.12'!$BB$3)),(VLOOKUP('19.12'!S38,'19.12'!$AO$4:$AQ$55,2,FALSE))*IF('19.12'!$AK38="是",'19.12'!$BB$4,'19.12'!$BB$3))</f>
        <v>144</v>
      </c>
      <c r="L38" s="4">
        <f>IF(ISNUMBER(SEARCH("营",'19.12'!T38)),(-$Y38+50*IF('19.12'!$AK38="是",'19.12'!$BB$4,'19.12'!$BB$3)),(VLOOKUP('19.12'!T38,'19.12'!$AO$4:$AQ$55,2,FALSE))*IF('19.12'!$AK38="是",'19.12'!$BB$4,'19.12'!$BB$3))</f>
        <v>144</v>
      </c>
      <c r="M38" s="4">
        <f>IF(ISNUMBER(SEARCH("营",'19.12'!U38)),(-$Y38+50*IF('19.12'!$AK38="是",'19.12'!$BB$4,'19.12'!$BB$3)),(VLOOKUP('19.12'!U38,'19.12'!$AO$4:$AQ$55,2,FALSE))*IF('19.12'!$AK38="是",'19.12'!$BB$4,'19.12'!$BB$3))</f>
        <v>144</v>
      </c>
      <c r="N38" s="4">
        <f>IF(ISNUMBER(SEARCH("营",'19.12'!V38)),(-$Y38+50*IF('19.12'!$AK38="是",'19.12'!$BB$4,'19.12'!$BB$3)),(VLOOKUP('19.12'!V38,'19.12'!$AO$4:$AQ$55,2,FALSE))*IF('19.12'!$AK38="是",'19.12'!$BB$4,'19.12'!$BB$3))</f>
        <v>-160</v>
      </c>
      <c r="O38" s="4">
        <f>IF(ISNUMBER(SEARCH("营",'19.12'!W38)),(-$Y38+50*IF('19.12'!$AK38="是",'19.12'!$BB$4,'19.12'!$BB$3)),(VLOOKUP('19.12'!W38,'19.12'!$AO$4:$AQ$55,2,FALSE))*IF('19.12'!$AK38="是",'19.12'!$BB$4,'19.12'!$BB$3))</f>
        <v>0</v>
      </c>
      <c r="P38" s="4">
        <f>IF(ISNUMBER(SEARCH("营",'19.12'!X38)),(-$Y38+50*IF('19.12'!$AK38="是",'19.12'!$BB$4,'19.12'!$BB$3)),(VLOOKUP('19.12'!X38,'19.12'!$AO$4:$AQ$55,2,FALSE))*IF('19.12'!$AK38="是",'19.12'!$BB$4,'19.12'!$BB$3))</f>
        <v>0</v>
      </c>
      <c r="Q38" s="4">
        <f>IF(ISNUMBER(SEARCH("营",'19.12'!Y38)),(-$Y38+50*IF('19.12'!$AK38="是",'19.12'!$BB$4,'19.12'!$BB$3)),(VLOOKUP('19.12'!Y38,'19.12'!$AO$4:$AQ$55,2,FALSE))*IF('19.12'!$AK38="是",'19.12'!$BB$4,'19.12'!$BB$3))</f>
        <v>0</v>
      </c>
      <c r="R38" s="4">
        <f>IF(ISNUMBER(SEARCH("营",'19.12'!Z38)),(-$Y38+50*IF('19.12'!$AK38="是",'19.12'!$BB$4,'19.12'!$BB$3)),(VLOOKUP('19.12'!Z38,'19.12'!$AO$4:$AQ$55,2,FALSE))*IF('19.12'!$AK38="是",'19.12'!$BB$4,'19.12'!$BB$3))</f>
        <v>0</v>
      </c>
      <c r="S38" s="4">
        <f>IF(ISNUMBER(SEARCH("营",'19.12'!AA38)),(-$Y38+50*IF('19.12'!$AK38="是",'19.12'!$BB$4,'19.12'!$BB$3)),(VLOOKUP('19.12'!AA38,'19.12'!$AO$4:$AQ$55,2,FALSE))*IF('19.12'!$AK38="是",'19.12'!$BB$4,'19.12'!$BB$3))</f>
        <v>0</v>
      </c>
      <c r="T38" s="4">
        <f>IF(ISNUMBER(SEARCH("营",'19.12'!AB38)),(-$Y38+50*IF('19.12'!$AK38="是",'19.12'!$BB$4,'19.12'!$BB$3)),(VLOOKUP('19.12'!AB38,'19.12'!$AO$4:$AQ$55,2,FALSE))*IF('19.12'!$AK38="是",'19.12'!$BB$4,'19.12'!$BB$3))</f>
        <v>0</v>
      </c>
      <c r="U38" s="4">
        <f>IF(ISNUMBER(SEARCH("营",'19.12'!AC38)),(-$Y38+50*IF('19.12'!$AK38="是",'19.12'!$BB$4,'19.12'!$BB$3)),(VLOOKUP('19.12'!AC38,'19.12'!$AO$4:$AQ$55,2,FALSE))*IF('19.12'!$AK38="是",'19.12'!$BB$4,'19.12'!$BB$3))</f>
        <v>0</v>
      </c>
      <c r="V38" s="4">
        <f>IF(ISNUMBER(SEARCH("营",'19.12'!AD38)),(-$Y38+50*IF('19.12'!$AK38="是",'19.12'!$BB$4,'19.12'!$BB$3)),(VLOOKUP('19.12'!AD38,'19.12'!$AO$4:$AQ$55,2,FALSE))*IF('19.12'!$AK38="是",'19.12'!$BB$4,'19.12'!$BB$3))</f>
        <v>0</v>
      </c>
      <c r="W38" s="4">
        <f>IF(ISNUMBER(SEARCH("营",'19.12'!AE38)),(-$Y38+50*IF('19.12'!$AK38="是",'19.12'!$BB$4,'19.12'!$BB$3)),(VLOOKUP('19.12'!AE38,'19.12'!$AO$4:$AQ$55,2,FALSE))*IF('19.12'!$AK38="是",'19.12'!$BB$4,'19.12'!$BB$3))</f>
        <v>0</v>
      </c>
      <c r="X38" s="4">
        <f>IF(ISNUMBER(SEARCH("营",'19.12'!AF38)),(-$Y38+50*IF('19.12'!$AK38="是",'19.12'!$BB$4,'19.12'!$BB$3)),(VLOOKUP('19.12'!AF38,'19.12'!$AO$4:$AQ$55,2,FALSE))*IF('19.12'!$AK38="是",'19.12'!$BB$4,'19.12'!$BB$3))</f>
        <v>0</v>
      </c>
      <c r="Y38" s="18">
        <v>200</v>
      </c>
      <c r="Z38" s="15">
        <v>45764</v>
      </c>
    </row>
    <row r="39" spans="1:26">
      <c r="A39" s="4">
        <f>IF(ISNUMBER(SEARCH("营",'19.12'!I39)),(-$Y39+50*IF('19.12'!$AK39="是",'19.12'!$BB$4,'19.12'!$BB$3)),(VLOOKUP('19.12'!I39,'19.12'!$AO$4:$AQ$55,2,FALSE))*IF('19.12'!$AK39="是",'19.12'!$BB$4,'19.12'!$BB$3))</f>
        <v>0</v>
      </c>
      <c r="B39" s="4">
        <f>IF(ISNUMBER(SEARCH("营",'19.12'!J39)),(-$Y39+50*IF('19.12'!$AK39="是",'19.12'!$BB$4,'19.12'!$BB$3)),(VLOOKUP('19.12'!J39,'19.12'!$AO$4:$AQ$55,2,FALSE))*IF('19.12'!$AK39="是",'19.12'!$BB$4,'19.12'!$BB$3))</f>
        <v>0</v>
      </c>
      <c r="C39" s="4">
        <f>IF(ISNUMBER(SEARCH("营",'19.12'!K39)),(-$Y39+50*IF('19.12'!$AK39="是",'19.12'!$BB$4,'19.12'!$BB$3)),(VLOOKUP('19.12'!K39,'19.12'!$AO$4:$AQ$55,2,FALSE))*IF('19.12'!$AK39="是",'19.12'!$BB$4,'19.12'!$BB$3))</f>
        <v>0</v>
      </c>
      <c r="D39" s="4">
        <f>IF(ISNUMBER(SEARCH("营",'19.12'!L39)),(-$Y39+50*IF('19.12'!$AK39="是",'19.12'!$BB$4,'19.12'!$BB$3)),(VLOOKUP('19.12'!L39,'19.12'!$AO$4:$AQ$55,2,FALSE))*IF('19.12'!$AK39="是",'19.12'!$BB$4,'19.12'!$BB$3))</f>
        <v>0</v>
      </c>
      <c r="E39" s="4">
        <f>IF(ISNUMBER(SEARCH("营",'19.12'!M39)),(-$Y39+50*IF('19.12'!$AK39="是",'19.12'!$BB$4,'19.12'!$BB$3)),(VLOOKUP('19.12'!M39,'19.12'!$AO$4:$AQ$55,2,FALSE))*IF('19.12'!$AK39="是",'19.12'!$BB$4,'19.12'!$BB$3))</f>
        <v>0</v>
      </c>
      <c r="F39" s="4">
        <f>IF(ISNUMBER(SEARCH("营",'19.12'!N39)),(-$Y39+50*IF('19.12'!$AK39="是",'19.12'!$BB$4,'19.12'!$BB$3)),(VLOOKUP('19.12'!N39,'19.12'!$AO$4:$AQ$55,2,FALSE))*IF('19.12'!$AK39="是",'19.12'!$BB$4,'19.12'!$BB$3))</f>
        <v>0</v>
      </c>
      <c r="G39" s="4">
        <f>IF(ISNUMBER(SEARCH("营",'19.12'!O39)),(-$Y39+50*IF('19.12'!$AK39="是",'19.12'!$BB$4,'19.12'!$BB$3)),(VLOOKUP('19.12'!O39,'19.12'!$AO$4:$AQ$55,2,FALSE))*IF('19.12'!$AK39="是",'19.12'!$BB$4,'19.12'!$BB$3))</f>
        <v>0</v>
      </c>
      <c r="H39" s="4">
        <f>IF(ISNUMBER(SEARCH("营",'19.12'!P39)),(-$Y39+50*IF('19.12'!$AK39="是",'19.12'!$BB$4,'19.12'!$BB$3)),(VLOOKUP('19.12'!P39,'19.12'!$AO$4:$AQ$55,2,FALSE))*IF('19.12'!$AK39="是",'19.12'!$BB$4,'19.12'!$BB$3))</f>
        <v>0</v>
      </c>
      <c r="I39" s="4">
        <f>IF(ISNUMBER(SEARCH("营",'19.12'!Q39)),(-$Y39+50*IF('19.12'!$AK39="是",'19.12'!$BB$4,'19.12'!$BB$3)),(VLOOKUP('19.12'!Q39,'19.12'!$AO$4:$AQ$55,2,FALSE))*IF('19.12'!$AK39="是",'19.12'!$BB$4,'19.12'!$BB$3))</f>
        <v>0</v>
      </c>
      <c r="J39" s="4">
        <f>IF(ISNUMBER(SEARCH("营",'19.12'!R39)),(-$Y39+50*IF('19.12'!$AK39="是",'19.12'!$BB$4,'19.12'!$BB$3)),(VLOOKUP('19.12'!R39,'19.12'!$AO$4:$AQ$55,2,FALSE))*IF('19.12'!$AK39="是",'19.12'!$BB$4,'19.12'!$BB$3))</f>
        <v>0</v>
      </c>
      <c r="K39" s="4">
        <f>IF(ISNUMBER(SEARCH("营",'19.12'!S39)),(-$Y39+50*IF('19.12'!$AK39="是",'19.12'!$BB$4,'19.12'!$BB$3)),(VLOOKUP('19.12'!S39,'19.12'!$AO$4:$AQ$55,2,FALSE))*IF('19.12'!$AK39="是",'19.12'!$BB$4,'19.12'!$BB$3))</f>
        <v>0</v>
      </c>
      <c r="L39" s="4">
        <f>IF(ISNUMBER(SEARCH("营",'19.12'!T39)),(-$Y39+50*IF('19.12'!$AK39="是",'19.12'!$BB$4,'19.12'!$BB$3)),(VLOOKUP('19.12'!T39,'19.12'!$AO$4:$AQ$55,2,FALSE))*IF('19.12'!$AK39="是",'19.12'!$BB$4,'19.12'!$BB$3))</f>
        <v>0</v>
      </c>
      <c r="M39" s="4">
        <f>IF(ISNUMBER(SEARCH("营",'19.12'!U39)),(-$Y39+50*IF('19.12'!$AK39="是",'19.12'!$BB$4,'19.12'!$BB$3)),(VLOOKUP('19.12'!U39,'19.12'!$AO$4:$AQ$55,2,FALSE))*IF('19.12'!$AK39="是",'19.12'!$BB$4,'19.12'!$BB$3))</f>
        <v>0</v>
      </c>
      <c r="N39" s="4">
        <f>IF(ISNUMBER(SEARCH("营",'19.12'!V39)),(-$Y39+50*IF('19.12'!$AK39="是",'19.12'!$BB$4,'19.12'!$BB$3)),(VLOOKUP('19.12'!V39,'19.12'!$AO$4:$AQ$55,2,FALSE))*IF('19.12'!$AK39="是",'19.12'!$BB$4,'19.12'!$BB$3))</f>
        <v>0</v>
      </c>
      <c r="O39" s="4">
        <f>IF(ISNUMBER(SEARCH("营",'19.12'!W39)),(-$Y39+50*IF('19.12'!$AK39="是",'19.12'!$BB$4,'19.12'!$BB$3)),(VLOOKUP('19.12'!W39,'19.12'!$AO$4:$AQ$55,2,FALSE))*IF('19.12'!$AK39="是",'19.12'!$BB$4,'19.12'!$BB$3))</f>
        <v>0</v>
      </c>
      <c r="P39" s="4">
        <f>IF(ISNUMBER(SEARCH("营",'19.12'!X39)),(-$Y39+50*IF('19.12'!$AK39="是",'19.12'!$BB$4,'19.12'!$BB$3)),(VLOOKUP('19.12'!X39,'19.12'!$AO$4:$AQ$55,2,FALSE))*IF('19.12'!$AK39="是",'19.12'!$BB$4,'19.12'!$BB$3))</f>
        <v>0</v>
      </c>
      <c r="Q39" s="4">
        <f>IF(ISNUMBER(SEARCH("营",'19.12'!Y39)),(-$Y39+50*IF('19.12'!$AK39="是",'19.12'!$BB$4,'19.12'!$BB$3)),(VLOOKUP('19.12'!Y39,'19.12'!$AO$4:$AQ$55,2,FALSE))*IF('19.12'!$AK39="是",'19.12'!$BB$4,'19.12'!$BB$3))</f>
        <v>0</v>
      </c>
      <c r="R39" s="4">
        <f>IF(ISNUMBER(SEARCH("营",'19.12'!Z39)),(-$Y39+50*IF('19.12'!$AK39="是",'19.12'!$BB$4,'19.12'!$BB$3)),(VLOOKUP('19.12'!Z39,'19.12'!$AO$4:$AQ$55,2,FALSE))*IF('19.12'!$AK39="是",'19.12'!$BB$4,'19.12'!$BB$3))</f>
        <v>0</v>
      </c>
      <c r="S39" s="4">
        <f>IF(ISNUMBER(SEARCH("营",'19.12'!AA39)),(-$Y39+50*IF('19.12'!$AK39="是",'19.12'!$BB$4,'19.12'!$BB$3)),(VLOOKUP('19.12'!AA39,'19.12'!$AO$4:$AQ$55,2,FALSE))*IF('19.12'!$AK39="是",'19.12'!$BB$4,'19.12'!$BB$3))</f>
        <v>0</v>
      </c>
      <c r="T39" s="4">
        <f>IF(ISNUMBER(SEARCH("营",'19.12'!AB39)),(-$Y39+50*IF('19.12'!$AK39="是",'19.12'!$BB$4,'19.12'!$BB$3)),(VLOOKUP('19.12'!AB39,'19.12'!$AO$4:$AQ$55,2,FALSE))*IF('19.12'!$AK39="是",'19.12'!$BB$4,'19.12'!$BB$3))</f>
        <v>0</v>
      </c>
      <c r="U39" s="4">
        <f>IF(ISNUMBER(SEARCH("营",'19.12'!AC39)),(-$Y39+50*IF('19.12'!$AK39="是",'19.12'!$BB$4,'19.12'!$BB$3)),(VLOOKUP('19.12'!AC39,'19.12'!$AO$4:$AQ$55,2,FALSE))*IF('19.12'!$AK39="是",'19.12'!$BB$4,'19.12'!$BB$3))</f>
        <v>0</v>
      </c>
      <c r="V39" s="4">
        <f>IF(ISNUMBER(SEARCH("营",'19.12'!AD39)),(-$Y39+50*IF('19.12'!$AK39="是",'19.12'!$BB$4,'19.12'!$BB$3)),(VLOOKUP('19.12'!AD39,'19.12'!$AO$4:$AQ$55,2,FALSE))*IF('19.12'!$AK39="是",'19.12'!$BB$4,'19.12'!$BB$3))</f>
        <v>0</v>
      </c>
      <c r="W39" s="4">
        <f>IF(ISNUMBER(SEARCH("营",'19.12'!AE39)),(-$Y39+50*IF('19.12'!$AK39="是",'19.12'!$BB$4,'19.12'!$BB$3)),(VLOOKUP('19.12'!AE39,'19.12'!$AO$4:$AQ$55,2,FALSE))*IF('19.12'!$AK39="是",'19.12'!$BB$4,'19.12'!$BB$3))</f>
        <v>0</v>
      </c>
      <c r="X39" s="4">
        <f>IF(ISNUMBER(SEARCH("营",'19.12'!AF39)),(-$Y39+50*IF('19.12'!$AK39="是",'19.12'!$BB$4,'19.12'!$BB$3)),(VLOOKUP('19.12'!AF39,'19.12'!$AO$4:$AQ$55,2,FALSE))*IF('19.12'!$AK39="是",'19.12'!$BB$4,'19.12'!$BB$3))</f>
        <v>0</v>
      </c>
      <c r="Y39" s="16">
        <v>150</v>
      </c>
      <c r="Z39" s="17">
        <v>45765</v>
      </c>
    </row>
    <row r="40" spans="1:26">
      <c r="A40" s="4">
        <f>IF(ISNUMBER(SEARCH("营",'19.12'!I40)),(-$Y40+50*IF('19.12'!$AK40="是",'19.12'!$BB$4,'19.12'!$BB$3)),(VLOOKUP('19.12'!I40,'19.12'!$AO$4:$AQ$55,2,FALSE))*IF('19.12'!$AK40="是",'19.12'!$BB$4,'19.12'!$BB$3))</f>
        <v>128</v>
      </c>
      <c r="B40" s="4">
        <f>IF(ISNUMBER(SEARCH("营",'19.12'!J40)),(-$Y40+50*IF('19.12'!$AK40="是",'19.12'!$BB$4,'19.12'!$BB$3)),(VLOOKUP('19.12'!J40,'19.12'!$AO$4:$AQ$55,2,FALSE))*IF('19.12'!$AK40="是",'19.12'!$BB$4,'19.12'!$BB$3))</f>
        <v>128</v>
      </c>
      <c r="C40" s="4">
        <f>IF(ISNUMBER(SEARCH("营",'19.12'!K40)),(-$Y40+50*IF('19.12'!$AK40="是",'19.12'!$BB$4,'19.12'!$BB$3)),(VLOOKUP('19.12'!K40,'19.12'!$AO$4:$AQ$55,2,FALSE))*IF('19.12'!$AK40="是",'19.12'!$BB$4,'19.12'!$BB$3))</f>
        <v>40</v>
      </c>
      <c r="D40" s="4">
        <f>IF(ISNUMBER(SEARCH("营",'19.12'!L40)),(-$Y40+50*IF('19.12'!$AK40="是",'19.12'!$BB$4,'19.12'!$BB$3)),(VLOOKUP('19.12'!L40,'19.12'!$AO$4:$AQ$55,2,FALSE))*IF('19.12'!$AK40="是",'19.12'!$BB$4,'19.12'!$BB$3))</f>
        <v>128</v>
      </c>
      <c r="E40" s="4">
        <f>IF(ISNUMBER(SEARCH("营",'19.12'!M40)),(-$Y40+50*IF('19.12'!$AK40="是",'19.12'!$BB$4,'19.12'!$BB$3)),(VLOOKUP('19.12'!M40,'19.12'!$AO$4:$AQ$55,2,FALSE))*IF('19.12'!$AK40="是",'19.12'!$BB$4,'19.12'!$BB$3))</f>
        <v>128</v>
      </c>
      <c r="F40" s="4">
        <f>IF(ISNUMBER(SEARCH("营",'19.12'!N40)),(-$Y40+50*IF('19.12'!$AK40="是",'19.12'!$BB$4,'19.12'!$BB$3)),(VLOOKUP('19.12'!N40,'19.12'!$AO$4:$AQ$55,2,FALSE))*IF('19.12'!$AK40="是",'19.12'!$BB$4,'19.12'!$BB$3))</f>
        <v>0</v>
      </c>
      <c r="G40" s="4">
        <f>IF(ISNUMBER(SEARCH("营",'19.12'!O40)),(-$Y40+50*IF('19.12'!$AK40="是",'19.12'!$BB$4,'19.12'!$BB$3)),(VLOOKUP('19.12'!O40,'19.12'!$AO$4:$AQ$55,2,FALSE))*IF('19.12'!$AK40="是",'19.12'!$BB$4,'19.12'!$BB$3))</f>
        <v>40</v>
      </c>
      <c r="H40" s="4">
        <f>IF(ISNUMBER(SEARCH("营",'19.12'!P40)),(-$Y40+50*IF('19.12'!$AK40="是",'19.12'!$BB$4,'19.12'!$BB$3)),(VLOOKUP('19.12'!P40,'19.12'!$AO$4:$AQ$55,2,FALSE))*IF('19.12'!$AK40="是",'19.12'!$BB$4,'19.12'!$BB$3))</f>
        <v>0</v>
      </c>
      <c r="I40" s="4">
        <f>IF(ISNUMBER(SEARCH("营",'19.12'!Q40)),(-$Y40+50*IF('19.12'!$AK40="是",'19.12'!$BB$4,'19.12'!$BB$3)),(VLOOKUP('19.12'!Q40,'19.12'!$AO$4:$AQ$55,2,FALSE))*IF('19.12'!$AK40="是",'19.12'!$BB$4,'19.12'!$BB$3))</f>
        <v>0</v>
      </c>
      <c r="J40" s="4">
        <f>IF(ISNUMBER(SEARCH("营",'19.12'!R40)),(-$Y40+50*IF('19.12'!$AK40="是",'19.12'!$BB$4,'19.12'!$BB$3)),(VLOOKUP('19.12'!R40,'19.12'!$AO$4:$AQ$55,2,FALSE))*IF('19.12'!$AK40="是",'19.12'!$BB$4,'19.12'!$BB$3))</f>
        <v>0</v>
      </c>
      <c r="K40" s="4">
        <f>IF(ISNUMBER(SEARCH("营",'19.12'!S40)),(-$Y40+50*IF('19.12'!$AK40="是",'19.12'!$BB$4,'19.12'!$BB$3)),(VLOOKUP('19.12'!S40,'19.12'!$AO$4:$AQ$55,2,FALSE))*IF('19.12'!$AK40="是",'19.12'!$BB$4,'19.12'!$BB$3))</f>
        <v>0</v>
      </c>
      <c r="L40" s="4">
        <f>IF(ISNUMBER(SEARCH("营",'19.12'!T40)),(-$Y40+50*IF('19.12'!$AK40="是",'19.12'!$BB$4,'19.12'!$BB$3)),(VLOOKUP('19.12'!T40,'19.12'!$AO$4:$AQ$55,2,FALSE))*IF('19.12'!$AK40="是",'19.12'!$BB$4,'19.12'!$BB$3))</f>
        <v>0</v>
      </c>
      <c r="M40" s="4">
        <f>IF(ISNUMBER(SEARCH("营",'19.12'!U40)),(-$Y40+50*IF('19.12'!$AK40="是",'19.12'!$BB$4,'19.12'!$BB$3)),(VLOOKUP('19.12'!U40,'19.12'!$AO$4:$AQ$55,2,FALSE))*IF('19.12'!$AK40="是",'19.12'!$BB$4,'19.12'!$BB$3))</f>
        <v>0</v>
      </c>
      <c r="N40" s="4">
        <f>IF(ISNUMBER(SEARCH("营",'19.12'!V40)),(-$Y40+50*IF('19.12'!$AK40="是",'19.12'!$BB$4,'19.12'!$BB$3)),(VLOOKUP('19.12'!V40,'19.12'!$AO$4:$AQ$55,2,FALSE))*IF('19.12'!$AK40="是",'19.12'!$BB$4,'19.12'!$BB$3))</f>
        <v>0</v>
      </c>
      <c r="O40" s="4">
        <f>IF(ISNUMBER(SEARCH("营",'19.12'!W40)),(-$Y40+50*IF('19.12'!$AK40="是",'19.12'!$BB$4,'19.12'!$BB$3)),(VLOOKUP('19.12'!W40,'19.12'!$AO$4:$AQ$55,2,FALSE))*IF('19.12'!$AK40="是",'19.12'!$BB$4,'19.12'!$BB$3))</f>
        <v>0</v>
      </c>
      <c r="P40" s="4">
        <f>IF(ISNUMBER(SEARCH("营",'19.12'!X40)),(-$Y40+50*IF('19.12'!$AK40="是",'19.12'!$BB$4,'19.12'!$BB$3)),(VLOOKUP('19.12'!X40,'19.12'!$AO$4:$AQ$55,2,FALSE))*IF('19.12'!$AK40="是",'19.12'!$BB$4,'19.12'!$BB$3))</f>
        <v>0</v>
      </c>
      <c r="Q40" s="4">
        <f>IF(ISNUMBER(SEARCH("营",'19.12'!Y40)),(-$Y40+50*IF('19.12'!$AK40="是",'19.12'!$BB$4,'19.12'!$BB$3)),(VLOOKUP('19.12'!Y40,'19.12'!$AO$4:$AQ$55,2,FALSE))*IF('19.12'!$AK40="是",'19.12'!$BB$4,'19.12'!$BB$3))</f>
        <v>0</v>
      </c>
      <c r="R40" s="4">
        <f>IF(ISNUMBER(SEARCH("营",'19.12'!Z40)),(-$Y40+50*IF('19.12'!$AK40="是",'19.12'!$BB$4,'19.12'!$BB$3)),(VLOOKUP('19.12'!Z40,'19.12'!$AO$4:$AQ$55,2,FALSE))*IF('19.12'!$AK40="是",'19.12'!$BB$4,'19.12'!$BB$3))</f>
        <v>0</v>
      </c>
      <c r="S40" s="4">
        <f>IF(ISNUMBER(SEARCH("营",'19.12'!AA40)),(-$Y40+50*IF('19.12'!$AK40="是",'19.12'!$BB$4,'19.12'!$BB$3)),(VLOOKUP('19.12'!AA40,'19.12'!$AO$4:$AQ$55,2,FALSE))*IF('19.12'!$AK40="是",'19.12'!$BB$4,'19.12'!$BB$3))</f>
        <v>0</v>
      </c>
      <c r="T40" s="4">
        <f>IF(ISNUMBER(SEARCH("营",'19.12'!AB40)),(-$Y40+50*IF('19.12'!$AK40="是",'19.12'!$BB$4,'19.12'!$BB$3)),(VLOOKUP('19.12'!AB40,'19.12'!$AO$4:$AQ$55,2,FALSE))*IF('19.12'!$AK40="是",'19.12'!$BB$4,'19.12'!$BB$3))</f>
        <v>0</v>
      </c>
      <c r="U40" s="4">
        <f>IF(ISNUMBER(SEARCH("营",'19.12'!AC40)),(-$Y40+50*IF('19.12'!$AK40="是",'19.12'!$BB$4,'19.12'!$BB$3)),(VLOOKUP('19.12'!AC40,'19.12'!$AO$4:$AQ$55,2,FALSE))*IF('19.12'!$AK40="是",'19.12'!$BB$4,'19.12'!$BB$3))</f>
        <v>0</v>
      </c>
      <c r="V40" s="4">
        <f>IF(ISNUMBER(SEARCH("营",'19.12'!AD40)),(-$Y40+50*IF('19.12'!$AK40="是",'19.12'!$BB$4,'19.12'!$BB$3)),(VLOOKUP('19.12'!AD40,'19.12'!$AO$4:$AQ$55,2,FALSE))*IF('19.12'!$AK40="是",'19.12'!$BB$4,'19.12'!$BB$3))</f>
        <v>0</v>
      </c>
      <c r="W40" s="4">
        <f>IF(ISNUMBER(SEARCH("营",'19.12'!AE40)),(-$Y40+50*IF('19.12'!$AK40="是",'19.12'!$BB$4,'19.12'!$BB$3)),(VLOOKUP('19.12'!AE40,'19.12'!$AO$4:$AQ$55,2,FALSE))*IF('19.12'!$AK40="是",'19.12'!$BB$4,'19.12'!$BB$3))</f>
        <v>0</v>
      </c>
      <c r="X40" s="4">
        <f>IF(ISNUMBER(SEARCH("营",'19.12'!AF40)),(-$Y40+50*IF('19.12'!$AK40="是",'19.12'!$BB$4,'19.12'!$BB$3)),(VLOOKUP('19.12'!AF40,'19.12'!$AO$4:$AQ$55,2,FALSE))*IF('19.12'!$AK40="是",'19.12'!$BB$4,'19.12'!$BB$3))</f>
        <v>0</v>
      </c>
      <c r="Y40" s="16">
        <v>150</v>
      </c>
      <c r="Z40" s="17">
        <v>45766</v>
      </c>
    </row>
    <row r="41" spans="1:26">
      <c r="A41" s="4">
        <f>IF(ISNUMBER(SEARCH("营",'19.12'!I41)),(-$Y41+50*IF('19.12'!$AK41="是",'19.12'!$BB$4,'19.12'!$BB$3)),(VLOOKUP('19.12'!I41,'19.12'!$AO$4:$AQ$55,2,FALSE))*IF('19.12'!$AK41="是",'19.12'!$BB$4,'19.12'!$BB$3))</f>
        <v>0</v>
      </c>
      <c r="B41" s="4">
        <f>IF(ISNUMBER(SEARCH("营",'19.12'!J41)),(-$Y41+50*IF('19.12'!$AK41="是",'19.12'!$BB$4,'19.12'!$BB$3)),(VLOOKUP('19.12'!J41,'19.12'!$AO$4:$AQ$55,2,FALSE))*IF('19.12'!$AK41="是",'19.12'!$BB$4,'19.12'!$BB$3))</f>
        <v>0</v>
      </c>
      <c r="C41" s="4">
        <f>IF(ISNUMBER(SEARCH("营",'19.12'!K41)),(-$Y41+50*IF('19.12'!$AK41="是",'19.12'!$BB$4,'19.12'!$BB$3)),(VLOOKUP('19.12'!K41,'19.12'!$AO$4:$AQ$55,2,FALSE))*IF('19.12'!$AK41="是",'19.12'!$BB$4,'19.12'!$BB$3))</f>
        <v>0</v>
      </c>
      <c r="D41" s="4">
        <f>IF(ISNUMBER(SEARCH("营",'19.12'!L41)),(-$Y41+50*IF('19.12'!$AK41="是",'19.12'!$BB$4,'19.12'!$BB$3)),(VLOOKUP('19.12'!L41,'19.12'!$AO$4:$AQ$55,2,FALSE))*IF('19.12'!$AK41="是",'19.12'!$BB$4,'19.12'!$BB$3))</f>
        <v>0</v>
      </c>
      <c r="E41" s="4">
        <f>IF(ISNUMBER(SEARCH("营",'19.12'!M41)),(-$Y41+50*IF('19.12'!$AK41="是",'19.12'!$BB$4,'19.12'!$BB$3)),(VLOOKUP('19.12'!M41,'19.12'!$AO$4:$AQ$55,2,FALSE))*IF('19.12'!$AK41="是",'19.12'!$BB$4,'19.12'!$BB$3))</f>
        <v>0</v>
      </c>
      <c r="F41" s="4">
        <f>IF(ISNUMBER(SEARCH("营",'19.12'!N41)),(-$Y41+50*IF('19.12'!$AK41="是",'19.12'!$BB$4,'19.12'!$BB$3)),(VLOOKUP('19.12'!N41,'19.12'!$AO$4:$AQ$55,2,FALSE))*IF('19.12'!$AK41="是",'19.12'!$BB$4,'19.12'!$BB$3))</f>
        <v>0</v>
      </c>
      <c r="G41" s="4">
        <f>IF(ISNUMBER(SEARCH("营",'19.12'!O41)),(-$Y41+50*IF('19.12'!$AK41="是",'19.12'!$BB$4,'19.12'!$BB$3)),(VLOOKUP('19.12'!O41,'19.12'!$AO$4:$AQ$55,2,FALSE))*IF('19.12'!$AK41="是",'19.12'!$BB$4,'19.12'!$BB$3))</f>
        <v>0</v>
      </c>
      <c r="H41" s="4">
        <f>IF(ISNUMBER(SEARCH("营",'19.12'!P41)),(-$Y41+50*IF('19.12'!$AK41="是",'19.12'!$BB$4,'19.12'!$BB$3)),(VLOOKUP('19.12'!P41,'19.12'!$AO$4:$AQ$55,2,FALSE))*IF('19.12'!$AK41="是",'19.12'!$BB$4,'19.12'!$BB$3))</f>
        <v>0</v>
      </c>
      <c r="I41" s="4">
        <f>IF(ISNUMBER(SEARCH("营",'19.12'!Q41)),(-$Y41+50*IF('19.12'!$AK41="是",'19.12'!$BB$4,'19.12'!$BB$3)),(VLOOKUP('19.12'!Q41,'19.12'!$AO$4:$AQ$55,2,FALSE))*IF('19.12'!$AK41="是",'19.12'!$BB$4,'19.12'!$BB$3))</f>
        <v>0</v>
      </c>
      <c r="J41" s="4">
        <f>IF(ISNUMBER(SEARCH("营",'19.12'!R41)),(-$Y41+50*IF('19.12'!$AK41="是",'19.12'!$BB$4,'19.12'!$BB$3)),(VLOOKUP('19.12'!R41,'19.12'!$AO$4:$AQ$55,2,FALSE))*IF('19.12'!$AK41="是",'19.12'!$BB$4,'19.12'!$BB$3))</f>
        <v>0</v>
      </c>
      <c r="K41" s="4">
        <f>IF(ISNUMBER(SEARCH("营",'19.12'!S41)),(-$Y41+50*IF('19.12'!$AK41="是",'19.12'!$BB$4,'19.12'!$BB$3)),(VLOOKUP('19.12'!S41,'19.12'!$AO$4:$AQ$55,2,FALSE))*IF('19.12'!$AK41="是",'19.12'!$BB$4,'19.12'!$BB$3))</f>
        <v>0</v>
      </c>
      <c r="L41" s="4">
        <f>IF(ISNUMBER(SEARCH("营",'19.12'!T41)),(-$Y41+50*IF('19.12'!$AK41="是",'19.12'!$BB$4,'19.12'!$BB$3)),(VLOOKUP('19.12'!T41,'19.12'!$AO$4:$AQ$55,2,FALSE))*IF('19.12'!$AK41="是",'19.12'!$BB$4,'19.12'!$BB$3))</f>
        <v>0</v>
      </c>
      <c r="M41" s="4">
        <f>IF(ISNUMBER(SEARCH("营",'19.12'!U41)),(-$Y41+50*IF('19.12'!$AK41="是",'19.12'!$BB$4,'19.12'!$BB$3)),(VLOOKUP('19.12'!U41,'19.12'!$AO$4:$AQ$55,2,FALSE))*IF('19.12'!$AK41="是",'19.12'!$BB$4,'19.12'!$BB$3))</f>
        <v>0</v>
      </c>
      <c r="N41" s="4">
        <f>IF(ISNUMBER(SEARCH("营",'19.12'!V41)),(-$Y41+50*IF('19.12'!$AK41="是",'19.12'!$BB$4,'19.12'!$BB$3)),(VLOOKUP('19.12'!V41,'19.12'!$AO$4:$AQ$55,2,FALSE))*IF('19.12'!$AK41="是",'19.12'!$BB$4,'19.12'!$BB$3))</f>
        <v>0</v>
      </c>
      <c r="O41" s="4">
        <f>IF(ISNUMBER(SEARCH("营",'19.12'!W41)),(-$Y41+50*IF('19.12'!$AK41="是",'19.12'!$BB$4,'19.12'!$BB$3)),(VLOOKUP('19.12'!W41,'19.12'!$AO$4:$AQ$55,2,FALSE))*IF('19.12'!$AK41="是",'19.12'!$BB$4,'19.12'!$BB$3))</f>
        <v>0</v>
      </c>
      <c r="P41" s="4">
        <f>IF(ISNUMBER(SEARCH("营",'19.12'!X41)),(-$Y41+50*IF('19.12'!$AK41="是",'19.12'!$BB$4,'19.12'!$BB$3)),(VLOOKUP('19.12'!X41,'19.12'!$AO$4:$AQ$55,2,FALSE))*IF('19.12'!$AK41="是",'19.12'!$BB$4,'19.12'!$BB$3))</f>
        <v>0</v>
      </c>
      <c r="Q41" s="4">
        <f>IF(ISNUMBER(SEARCH("营",'19.12'!Y41)),(-$Y41+50*IF('19.12'!$AK41="是",'19.12'!$BB$4,'19.12'!$BB$3)),(VLOOKUP('19.12'!Y41,'19.12'!$AO$4:$AQ$55,2,FALSE))*IF('19.12'!$AK41="是",'19.12'!$BB$4,'19.12'!$BB$3))</f>
        <v>0</v>
      </c>
      <c r="R41" s="4">
        <f>IF(ISNUMBER(SEARCH("营",'19.12'!Z41)),(-$Y41+50*IF('19.12'!$AK41="是",'19.12'!$BB$4,'19.12'!$BB$3)),(VLOOKUP('19.12'!Z41,'19.12'!$AO$4:$AQ$55,2,FALSE))*IF('19.12'!$AK41="是",'19.12'!$BB$4,'19.12'!$BB$3))</f>
        <v>0</v>
      </c>
      <c r="S41" s="4">
        <f>IF(ISNUMBER(SEARCH("营",'19.12'!AA41)),(-$Y41+50*IF('19.12'!$AK41="是",'19.12'!$BB$4,'19.12'!$BB$3)),(VLOOKUP('19.12'!AA41,'19.12'!$AO$4:$AQ$55,2,FALSE))*IF('19.12'!$AK41="是",'19.12'!$BB$4,'19.12'!$BB$3))</f>
        <v>0</v>
      </c>
      <c r="T41" s="4">
        <f>IF(ISNUMBER(SEARCH("营",'19.12'!AB41)),(-$Y41+50*IF('19.12'!$AK41="是",'19.12'!$BB$4,'19.12'!$BB$3)),(VLOOKUP('19.12'!AB41,'19.12'!$AO$4:$AQ$55,2,FALSE))*IF('19.12'!$AK41="是",'19.12'!$BB$4,'19.12'!$BB$3))</f>
        <v>0</v>
      </c>
      <c r="U41" s="4">
        <f>IF(ISNUMBER(SEARCH("营",'19.12'!AC41)),(-$Y41+50*IF('19.12'!$AK41="是",'19.12'!$BB$4,'19.12'!$BB$3)),(VLOOKUP('19.12'!AC41,'19.12'!$AO$4:$AQ$55,2,FALSE))*IF('19.12'!$AK41="是",'19.12'!$BB$4,'19.12'!$BB$3))</f>
        <v>0</v>
      </c>
      <c r="V41" s="4">
        <f>IF(ISNUMBER(SEARCH("营",'19.12'!AD41)),(-$Y41+50*IF('19.12'!$AK41="是",'19.12'!$BB$4,'19.12'!$BB$3)),(VLOOKUP('19.12'!AD41,'19.12'!$AO$4:$AQ$55,2,FALSE))*IF('19.12'!$AK41="是",'19.12'!$BB$4,'19.12'!$BB$3))</f>
        <v>0</v>
      </c>
      <c r="W41" s="4">
        <f>IF(ISNUMBER(SEARCH("营",'19.12'!AE41)),(-$Y41+50*IF('19.12'!$AK41="是",'19.12'!$BB$4,'19.12'!$BB$3)),(VLOOKUP('19.12'!AE41,'19.12'!$AO$4:$AQ$55,2,FALSE))*IF('19.12'!$AK41="是",'19.12'!$BB$4,'19.12'!$BB$3))</f>
        <v>0</v>
      </c>
      <c r="X41" s="4">
        <f>IF(ISNUMBER(SEARCH("营",'19.12'!AF41)),(-$Y41+50*IF('19.12'!$AK41="是",'19.12'!$BB$4,'19.12'!$BB$3)),(VLOOKUP('19.12'!AF41,'19.12'!$AO$4:$AQ$55,2,FALSE))*IF('19.12'!$AK41="是",'19.12'!$BB$4,'19.12'!$BB$3))</f>
        <v>0</v>
      </c>
      <c r="Y41" s="16">
        <v>150</v>
      </c>
      <c r="Z41" s="17">
        <v>45767</v>
      </c>
    </row>
    <row r="42" spans="1:26">
      <c r="A42" s="4">
        <f>IF(ISNUMBER(SEARCH("营",'19.12'!I42)),(-$Y42+50*IF('19.12'!$AK42="是",'19.12'!$BB$4,'19.12'!$BB$3)),(VLOOKUP('19.12'!I42,'19.12'!$AO$4:$AQ$55,2,FALSE))*IF('19.12'!$AK42="是",'19.12'!$BB$4,'19.12'!$BB$3))</f>
        <v>0</v>
      </c>
      <c r="B42" s="4">
        <f>IF(ISNUMBER(SEARCH("营",'19.12'!J42)),(-$Y42+50*IF('19.12'!$AK42="是",'19.12'!$BB$4,'19.12'!$BB$3)),(VLOOKUP('19.12'!J42,'19.12'!$AO$4:$AQ$55,2,FALSE))*IF('19.12'!$AK42="是",'19.12'!$BB$4,'19.12'!$BB$3))</f>
        <v>0</v>
      </c>
      <c r="C42" s="4">
        <f>IF(ISNUMBER(SEARCH("营",'19.12'!K42)),(-$Y42+50*IF('19.12'!$AK42="是",'19.12'!$BB$4,'19.12'!$BB$3)),(VLOOKUP('19.12'!K42,'19.12'!$AO$4:$AQ$55,2,FALSE))*IF('19.12'!$AK42="是",'19.12'!$BB$4,'19.12'!$BB$3))</f>
        <v>0</v>
      </c>
      <c r="D42" s="4">
        <f>IF(ISNUMBER(SEARCH("营",'19.12'!L42)),(-$Y42+50*IF('19.12'!$AK42="是",'19.12'!$BB$4,'19.12'!$BB$3)),(VLOOKUP('19.12'!L42,'19.12'!$AO$4:$AQ$55,2,FALSE))*IF('19.12'!$AK42="是",'19.12'!$BB$4,'19.12'!$BB$3))</f>
        <v>0</v>
      </c>
      <c r="E42" s="4">
        <f>IF(ISNUMBER(SEARCH("营",'19.12'!M42)),(-$Y42+50*IF('19.12'!$AK42="是",'19.12'!$BB$4,'19.12'!$BB$3)),(VLOOKUP('19.12'!M42,'19.12'!$AO$4:$AQ$55,2,FALSE))*IF('19.12'!$AK42="是",'19.12'!$BB$4,'19.12'!$BB$3))</f>
        <v>0</v>
      </c>
      <c r="F42" s="4">
        <f>IF(ISNUMBER(SEARCH("营",'19.12'!N42)),(-$Y42+50*IF('19.12'!$AK42="是",'19.12'!$BB$4,'19.12'!$BB$3)),(VLOOKUP('19.12'!N42,'19.12'!$AO$4:$AQ$55,2,FALSE))*IF('19.12'!$AK42="是",'19.12'!$BB$4,'19.12'!$BB$3))</f>
        <v>0</v>
      </c>
      <c r="G42" s="4">
        <f>IF(ISNUMBER(SEARCH("营",'19.12'!O42)),(-$Y42+50*IF('19.12'!$AK42="是",'19.12'!$BB$4,'19.12'!$BB$3)),(VLOOKUP('19.12'!O42,'19.12'!$AO$4:$AQ$55,2,FALSE))*IF('19.12'!$AK42="是",'19.12'!$BB$4,'19.12'!$BB$3))</f>
        <v>0</v>
      </c>
      <c r="H42" s="4">
        <f>IF(ISNUMBER(SEARCH("营",'19.12'!P42)),(-$Y42+50*IF('19.12'!$AK42="是",'19.12'!$BB$4,'19.12'!$BB$3)),(VLOOKUP('19.12'!P42,'19.12'!$AO$4:$AQ$55,2,FALSE))*IF('19.12'!$AK42="是",'19.12'!$BB$4,'19.12'!$BB$3))</f>
        <v>0</v>
      </c>
      <c r="I42" s="4">
        <f>IF(ISNUMBER(SEARCH("营",'19.12'!Q42)),(-$Y42+50*IF('19.12'!$AK42="是",'19.12'!$BB$4,'19.12'!$BB$3)),(VLOOKUP('19.12'!Q42,'19.12'!$AO$4:$AQ$55,2,FALSE))*IF('19.12'!$AK42="是",'19.12'!$BB$4,'19.12'!$BB$3))</f>
        <v>0</v>
      </c>
      <c r="J42" s="4">
        <f>IF(ISNUMBER(SEARCH("营",'19.12'!R42)),(-$Y42+50*IF('19.12'!$AK42="是",'19.12'!$BB$4,'19.12'!$BB$3)),(VLOOKUP('19.12'!R42,'19.12'!$AO$4:$AQ$55,2,FALSE))*IF('19.12'!$AK42="是",'19.12'!$BB$4,'19.12'!$BB$3))</f>
        <v>0</v>
      </c>
      <c r="K42" s="4">
        <f>IF(ISNUMBER(SEARCH("营",'19.12'!S42)),(-$Y42+50*IF('19.12'!$AK42="是",'19.12'!$BB$4,'19.12'!$BB$3)),(VLOOKUP('19.12'!S42,'19.12'!$AO$4:$AQ$55,2,FALSE))*IF('19.12'!$AK42="是",'19.12'!$BB$4,'19.12'!$BB$3))</f>
        <v>0</v>
      </c>
      <c r="L42" s="4">
        <f>IF(ISNUMBER(SEARCH("营",'19.12'!T42)),(-$Y42+50*IF('19.12'!$AK42="是",'19.12'!$BB$4,'19.12'!$BB$3)),(VLOOKUP('19.12'!T42,'19.12'!$AO$4:$AQ$55,2,FALSE))*IF('19.12'!$AK42="是",'19.12'!$BB$4,'19.12'!$BB$3))</f>
        <v>0</v>
      </c>
      <c r="M42" s="4">
        <f>IF(ISNUMBER(SEARCH("营",'19.12'!U42)),(-$Y42+50*IF('19.12'!$AK42="是",'19.12'!$BB$4,'19.12'!$BB$3)),(VLOOKUP('19.12'!U42,'19.12'!$AO$4:$AQ$55,2,FALSE))*IF('19.12'!$AK42="是",'19.12'!$BB$4,'19.12'!$BB$3))</f>
        <v>0</v>
      </c>
      <c r="N42" s="4">
        <f>IF(ISNUMBER(SEARCH("营",'19.12'!V42)),(-$Y42+50*IF('19.12'!$AK42="是",'19.12'!$BB$4,'19.12'!$BB$3)),(VLOOKUP('19.12'!V42,'19.12'!$AO$4:$AQ$55,2,FALSE))*IF('19.12'!$AK42="是",'19.12'!$BB$4,'19.12'!$BB$3))</f>
        <v>0</v>
      </c>
      <c r="O42" s="4">
        <f>IF(ISNUMBER(SEARCH("营",'19.12'!W42)),(-$Y42+50*IF('19.12'!$AK42="是",'19.12'!$BB$4,'19.12'!$BB$3)),(VLOOKUP('19.12'!W42,'19.12'!$AO$4:$AQ$55,2,FALSE))*IF('19.12'!$AK42="是",'19.12'!$BB$4,'19.12'!$BB$3))</f>
        <v>0</v>
      </c>
      <c r="P42" s="4">
        <f>IF(ISNUMBER(SEARCH("营",'19.12'!X42)),(-$Y42+50*IF('19.12'!$AK42="是",'19.12'!$BB$4,'19.12'!$BB$3)),(VLOOKUP('19.12'!X42,'19.12'!$AO$4:$AQ$55,2,FALSE))*IF('19.12'!$AK42="是",'19.12'!$BB$4,'19.12'!$BB$3))</f>
        <v>0</v>
      </c>
      <c r="Q42" s="4">
        <f>IF(ISNUMBER(SEARCH("营",'19.12'!Y42)),(-$Y42+50*IF('19.12'!$AK42="是",'19.12'!$BB$4,'19.12'!$BB$3)),(VLOOKUP('19.12'!Y42,'19.12'!$AO$4:$AQ$55,2,FALSE))*IF('19.12'!$AK42="是",'19.12'!$BB$4,'19.12'!$BB$3))</f>
        <v>0</v>
      </c>
      <c r="R42" s="4">
        <f>IF(ISNUMBER(SEARCH("营",'19.12'!Z42)),(-$Y42+50*IF('19.12'!$AK42="是",'19.12'!$BB$4,'19.12'!$BB$3)),(VLOOKUP('19.12'!Z42,'19.12'!$AO$4:$AQ$55,2,FALSE))*IF('19.12'!$AK42="是",'19.12'!$BB$4,'19.12'!$BB$3))</f>
        <v>0</v>
      </c>
      <c r="S42" s="4">
        <f>IF(ISNUMBER(SEARCH("营",'19.12'!AA42)),(-$Y42+50*IF('19.12'!$AK42="是",'19.12'!$BB$4,'19.12'!$BB$3)),(VLOOKUP('19.12'!AA42,'19.12'!$AO$4:$AQ$55,2,FALSE))*IF('19.12'!$AK42="是",'19.12'!$BB$4,'19.12'!$BB$3))</f>
        <v>0</v>
      </c>
      <c r="T42" s="4">
        <f>IF(ISNUMBER(SEARCH("营",'19.12'!AB42)),(-$Y42+50*IF('19.12'!$AK42="是",'19.12'!$BB$4,'19.12'!$BB$3)),(VLOOKUP('19.12'!AB42,'19.12'!$AO$4:$AQ$55,2,FALSE))*IF('19.12'!$AK42="是",'19.12'!$BB$4,'19.12'!$BB$3))</f>
        <v>0</v>
      </c>
      <c r="U42" s="4">
        <f>IF(ISNUMBER(SEARCH("营",'19.12'!AC42)),(-$Y42+50*IF('19.12'!$AK42="是",'19.12'!$BB$4,'19.12'!$BB$3)),(VLOOKUP('19.12'!AC42,'19.12'!$AO$4:$AQ$55,2,FALSE))*IF('19.12'!$AK42="是",'19.12'!$BB$4,'19.12'!$BB$3))</f>
        <v>0</v>
      </c>
      <c r="V42" s="4">
        <f>IF(ISNUMBER(SEARCH("营",'19.12'!AD42)),(-$Y42+50*IF('19.12'!$AK42="是",'19.12'!$BB$4,'19.12'!$BB$3)),(VLOOKUP('19.12'!AD42,'19.12'!$AO$4:$AQ$55,2,FALSE))*IF('19.12'!$AK42="是",'19.12'!$BB$4,'19.12'!$BB$3))</f>
        <v>0</v>
      </c>
      <c r="W42" s="4">
        <f>IF(ISNUMBER(SEARCH("营",'19.12'!AE42)),(-$Y42+50*IF('19.12'!$AK42="是",'19.12'!$BB$4,'19.12'!$BB$3)),(VLOOKUP('19.12'!AE42,'19.12'!$AO$4:$AQ$55,2,FALSE))*IF('19.12'!$AK42="是",'19.12'!$BB$4,'19.12'!$BB$3))</f>
        <v>0</v>
      </c>
      <c r="X42" s="4">
        <f>IF(ISNUMBER(SEARCH("营",'19.12'!AF42)),(-$Y42+50*IF('19.12'!$AK42="是",'19.12'!$BB$4,'19.12'!$BB$3)),(VLOOKUP('19.12'!AF42,'19.12'!$AO$4:$AQ$55,2,FALSE))*IF('19.12'!$AK42="是",'19.12'!$BB$4,'19.12'!$BB$3))</f>
        <v>0</v>
      </c>
      <c r="Y42" s="16">
        <v>150</v>
      </c>
      <c r="Z42" s="17">
        <v>45768</v>
      </c>
    </row>
    <row r="43" spans="1:26">
      <c r="A43" s="4">
        <f>IF(ISNUMBER(SEARCH("营",'19.12'!I43)),(-$Y43+50*IF('19.12'!$AK43="是",'19.12'!$BB$4,'19.12'!$BB$3)),(VLOOKUP('19.12'!I43,'19.12'!$AO$4:$AQ$55,2,FALSE))*IF('19.12'!$AK43="是",'19.12'!$BB$4,'19.12'!$BB$3))</f>
        <v>0</v>
      </c>
      <c r="B43" s="4">
        <f>IF(ISNUMBER(SEARCH("营",'19.12'!J43)),(-$Y43+50*IF('19.12'!$AK43="是",'19.12'!$BB$4,'19.12'!$BB$3)),(VLOOKUP('19.12'!J43,'19.12'!$AO$4:$AQ$55,2,FALSE))*IF('19.12'!$AK43="是",'19.12'!$BB$4,'19.12'!$BB$3))</f>
        <v>0</v>
      </c>
      <c r="C43" s="4">
        <f>IF(ISNUMBER(SEARCH("营",'19.12'!K43)),(-$Y43+50*IF('19.12'!$AK43="是",'19.12'!$BB$4,'19.12'!$BB$3)),(VLOOKUP('19.12'!K43,'19.12'!$AO$4:$AQ$55,2,FALSE))*IF('19.12'!$AK43="是",'19.12'!$BB$4,'19.12'!$BB$3))</f>
        <v>0</v>
      </c>
      <c r="D43" s="4">
        <f>IF(ISNUMBER(SEARCH("营",'19.12'!L43)),(-$Y43+50*IF('19.12'!$AK43="是",'19.12'!$BB$4,'19.12'!$BB$3)),(VLOOKUP('19.12'!L43,'19.12'!$AO$4:$AQ$55,2,FALSE))*IF('19.12'!$AK43="是",'19.12'!$BB$4,'19.12'!$BB$3))</f>
        <v>0</v>
      </c>
      <c r="E43" s="4">
        <f>IF(ISNUMBER(SEARCH("营",'19.12'!M43)),(-$Y43+50*IF('19.12'!$AK43="是",'19.12'!$BB$4,'19.12'!$BB$3)),(VLOOKUP('19.12'!M43,'19.12'!$AO$4:$AQ$55,2,FALSE))*IF('19.12'!$AK43="是",'19.12'!$BB$4,'19.12'!$BB$3))</f>
        <v>0</v>
      </c>
      <c r="F43" s="4">
        <f>IF(ISNUMBER(SEARCH("营",'19.12'!N43)),(-$Y43+50*IF('19.12'!$AK43="是",'19.12'!$BB$4,'19.12'!$BB$3)),(VLOOKUP('19.12'!N43,'19.12'!$AO$4:$AQ$55,2,FALSE))*IF('19.12'!$AK43="是",'19.12'!$BB$4,'19.12'!$BB$3))</f>
        <v>0</v>
      </c>
      <c r="G43" s="4">
        <f>IF(ISNUMBER(SEARCH("营",'19.12'!O43)),(-$Y43+50*IF('19.12'!$AK43="是",'19.12'!$BB$4,'19.12'!$BB$3)),(VLOOKUP('19.12'!O43,'19.12'!$AO$4:$AQ$55,2,FALSE))*IF('19.12'!$AK43="是",'19.12'!$BB$4,'19.12'!$BB$3))</f>
        <v>0</v>
      </c>
      <c r="H43" s="4">
        <f>IF(ISNUMBER(SEARCH("营",'19.12'!P43)),(-$Y43+50*IF('19.12'!$AK43="是",'19.12'!$BB$4,'19.12'!$BB$3)),(VLOOKUP('19.12'!P43,'19.12'!$AO$4:$AQ$55,2,FALSE))*IF('19.12'!$AK43="是",'19.12'!$BB$4,'19.12'!$BB$3))</f>
        <v>0</v>
      </c>
      <c r="I43" s="4">
        <f>IF(ISNUMBER(SEARCH("营",'19.12'!Q43)),(-$Y43+50*IF('19.12'!$AK43="是",'19.12'!$BB$4,'19.12'!$BB$3)),(VLOOKUP('19.12'!Q43,'19.12'!$AO$4:$AQ$55,2,FALSE))*IF('19.12'!$AK43="是",'19.12'!$BB$4,'19.12'!$BB$3))</f>
        <v>0</v>
      </c>
      <c r="J43" s="4">
        <f>IF(ISNUMBER(SEARCH("营",'19.12'!R43)),(-$Y43+50*IF('19.12'!$AK43="是",'19.12'!$BB$4,'19.12'!$BB$3)),(VLOOKUP('19.12'!R43,'19.12'!$AO$4:$AQ$55,2,FALSE))*IF('19.12'!$AK43="是",'19.12'!$BB$4,'19.12'!$BB$3))</f>
        <v>0</v>
      </c>
      <c r="K43" s="4">
        <f>IF(ISNUMBER(SEARCH("营",'19.12'!S43)),(-$Y43+50*IF('19.12'!$AK43="是",'19.12'!$BB$4,'19.12'!$BB$3)),(VLOOKUP('19.12'!S43,'19.12'!$AO$4:$AQ$55,2,FALSE))*IF('19.12'!$AK43="是",'19.12'!$BB$4,'19.12'!$BB$3))</f>
        <v>0</v>
      </c>
      <c r="L43" s="4">
        <f>IF(ISNUMBER(SEARCH("营",'19.12'!T43)),(-$Y43+50*IF('19.12'!$AK43="是",'19.12'!$BB$4,'19.12'!$BB$3)),(VLOOKUP('19.12'!T43,'19.12'!$AO$4:$AQ$55,2,FALSE))*IF('19.12'!$AK43="是",'19.12'!$BB$4,'19.12'!$BB$3))</f>
        <v>0</v>
      </c>
      <c r="M43" s="4">
        <f>IF(ISNUMBER(SEARCH("营",'19.12'!U43)),(-$Y43+50*IF('19.12'!$AK43="是",'19.12'!$BB$4,'19.12'!$BB$3)),(VLOOKUP('19.12'!U43,'19.12'!$AO$4:$AQ$55,2,FALSE))*IF('19.12'!$AK43="是",'19.12'!$BB$4,'19.12'!$BB$3))</f>
        <v>0</v>
      </c>
      <c r="N43" s="4">
        <f>IF(ISNUMBER(SEARCH("营",'19.12'!V43)),(-$Y43+50*IF('19.12'!$AK43="是",'19.12'!$BB$4,'19.12'!$BB$3)),(VLOOKUP('19.12'!V43,'19.12'!$AO$4:$AQ$55,2,FALSE))*IF('19.12'!$AK43="是",'19.12'!$BB$4,'19.12'!$BB$3))</f>
        <v>0</v>
      </c>
      <c r="O43" s="4">
        <f>IF(ISNUMBER(SEARCH("营",'19.12'!W43)),(-$Y43+50*IF('19.12'!$AK43="是",'19.12'!$BB$4,'19.12'!$BB$3)),(VLOOKUP('19.12'!W43,'19.12'!$AO$4:$AQ$55,2,FALSE))*IF('19.12'!$AK43="是",'19.12'!$BB$4,'19.12'!$BB$3))</f>
        <v>0</v>
      </c>
      <c r="P43" s="4">
        <f>IF(ISNUMBER(SEARCH("营",'19.12'!X43)),(-$Y43+50*IF('19.12'!$AK43="是",'19.12'!$BB$4,'19.12'!$BB$3)),(VLOOKUP('19.12'!X43,'19.12'!$AO$4:$AQ$55,2,FALSE))*IF('19.12'!$AK43="是",'19.12'!$BB$4,'19.12'!$BB$3))</f>
        <v>0</v>
      </c>
      <c r="Q43" s="4">
        <f>IF(ISNUMBER(SEARCH("营",'19.12'!Y43)),(-$Y43+50*IF('19.12'!$AK43="是",'19.12'!$BB$4,'19.12'!$BB$3)),(VLOOKUP('19.12'!Y43,'19.12'!$AO$4:$AQ$55,2,FALSE))*IF('19.12'!$AK43="是",'19.12'!$BB$4,'19.12'!$BB$3))</f>
        <v>0</v>
      </c>
      <c r="R43" s="4">
        <f>IF(ISNUMBER(SEARCH("营",'19.12'!Z43)),(-$Y43+50*IF('19.12'!$AK43="是",'19.12'!$BB$4,'19.12'!$BB$3)),(VLOOKUP('19.12'!Z43,'19.12'!$AO$4:$AQ$55,2,FALSE))*IF('19.12'!$AK43="是",'19.12'!$BB$4,'19.12'!$BB$3))</f>
        <v>0</v>
      </c>
      <c r="S43" s="4">
        <f>IF(ISNUMBER(SEARCH("营",'19.12'!AA43)),(-$Y43+50*IF('19.12'!$AK43="是",'19.12'!$BB$4,'19.12'!$BB$3)),(VLOOKUP('19.12'!AA43,'19.12'!$AO$4:$AQ$55,2,FALSE))*IF('19.12'!$AK43="是",'19.12'!$BB$4,'19.12'!$BB$3))</f>
        <v>0</v>
      </c>
      <c r="T43" s="4">
        <f>IF(ISNUMBER(SEARCH("营",'19.12'!AB43)),(-$Y43+50*IF('19.12'!$AK43="是",'19.12'!$BB$4,'19.12'!$BB$3)),(VLOOKUP('19.12'!AB43,'19.12'!$AO$4:$AQ$55,2,FALSE))*IF('19.12'!$AK43="是",'19.12'!$BB$4,'19.12'!$BB$3))</f>
        <v>0</v>
      </c>
      <c r="U43" s="4">
        <f>IF(ISNUMBER(SEARCH("营",'19.12'!AC43)),(-$Y43+50*IF('19.12'!$AK43="是",'19.12'!$BB$4,'19.12'!$BB$3)),(VLOOKUP('19.12'!AC43,'19.12'!$AO$4:$AQ$55,2,FALSE))*IF('19.12'!$AK43="是",'19.12'!$BB$4,'19.12'!$BB$3))</f>
        <v>0</v>
      </c>
      <c r="V43" s="4">
        <f>IF(ISNUMBER(SEARCH("营",'19.12'!AD43)),(-$Y43+50*IF('19.12'!$AK43="是",'19.12'!$BB$4,'19.12'!$BB$3)),(VLOOKUP('19.12'!AD43,'19.12'!$AO$4:$AQ$55,2,FALSE))*IF('19.12'!$AK43="是",'19.12'!$BB$4,'19.12'!$BB$3))</f>
        <v>0</v>
      </c>
      <c r="W43" s="4">
        <f>IF(ISNUMBER(SEARCH("营",'19.12'!AE43)),(-$Y43+50*IF('19.12'!$AK43="是",'19.12'!$BB$4,'19.12'!$BB$3)),(VLOOKUP('19.12'!AE43,'19.12'!$AO$4:$AQ$55,2,FALSE))*IF('19.12'!$AK43="是",'19.12'!$BB$4,'19.12'!$BB$3))</f>
        <v>0</v>
      </c>
      <c r="X43" s="4">
        <f>IF(ISNUMBER(SEARCH("营",'19.12'!AF43)),(-$Y43+50*IF('19.12'!$AK43="是",'19.12'!$BB$4,'19.12'!$BB$3)),(VLOOKUP('19.12'!AF43,'19.12'!$AO$4:$AQ$55,2,FALSE))*IF('19.12'!$AK43="是",'19.12'!$BB$4,'19.12'!$BB$3))</f>
        <v>0</v>
      </c>
      <c r="Y43" s="16">
        <v>150</v>
      </c>
      <c r="Z43" s="17">
        <v>45769</v>
      </c>
    </row>
    <row r="44" spans="1:26">
      <c r="A44" s="4">
        <f>IF(ISNUMBER(SEARCH("营",'19.12'!I44)),(-$Y44+50*IF('19.12'!$AK44="是",'19.12'!$BB$4,'19.12'!$BB$3)),(VLOOKUP('19.12'!I44,'19.12'!$AO$4:$AQ$55,2,FALSE))*IF('19.12'!$AK44="是",'19.12'!$BB$4,'19.12'!$BB$3))</f>
        <v>0</v>
      </c>
      <c r="B44" s="4">
        <f>IF(ISNUMBER(SEARCH("营",'19.12'!J44)),(-$Y44+50*IF('19.12'!$AK44="是",'19.12'!$BB$4,'19.12'!$BB$3)),(VLOOKUP('19.12'!J44,'19.12'!$AO$4:$AQ$55,2,FALSE))*IF('19.12'!$AK44="是",'19.12'!$BB$4,'19.12'!$BB$3))</f>
        <v>0</v>
      </c>
      <c r="C44" s="4">
        <f>IF(ISNUMBER(SEARCH("营",'19.12'!K44)),(-$Y44+50*IF('19.12'!$AK44="是",'19.12'!$BB$4,'19.12'!$BB$3)),(VLOOKUP('19.12'!K44,'19.12'!$AO$4:$AQ$55,2,FALSE))*IF('19.12'!$AK44="是",'19.12'!$BB$4,'19.12'!$BB$3))</f>
        <v>0</v>
      </c>
      <c r="D44" s="4">
        <f>IF(ISNUMBER(SEARCH("营",'19.12'!L44)),(-$Y44+50*IF('19.12'!$AK44="是",'19.12'!$BB$4,'19.12'!$BB$3)),(VLOOKUP('19.12'!L44,'19.12'!$AO$4:$AQ$55,2,FALSE))*IF('19.12'!$AK44="是",'19.12'!$BB$4,'19.12'!$BB$3))</f>
        <v>0</v>
      </c>
      <c r="E44" s="4">
        <f>IF(ISNUMBER(SEARCH("营",'19.12'!M44)),(-$Y44+50*IF('19.12'!$AK44="是",'19.12'!$BB$4,'19.12'!$BB$3)),(VLOOKUP('19.12'!M44,'19.12'!$AO$4:$AQ$55,2,FALSE))*IF('19.12'!$AK44="是",'19.12'!$BB$4,'19.12'!$BB$3))</f>
        <v>0</v>
      </c>
      <c r="F44" s="4">
        <f>IF(ISNUMBER(SEARCH("营",'19.12'!N44)),(-$Y44+50*IF('19.12'!$AK44="是",'19.12'!$BB$4,'19.12'!$BB$3)),(VLOOKUP('19.12'!N44,'19.12'!$AO$4:$AQ$55,2,FALSE))*IF('19.12'!$AK44="是",'19.12'!$BB$4,'19.12'!$BB$3))</f>
        <v>0</v>
      </c>
      <c r="G44" s="4">
        <f>IF(ISNUMBER(SEARCH("营",'19.12'!O44)),(-$Y44+50*IF('19.12'!$AK44="是",'19.12'!$BB$4,'19.12'!$BB$3)),(VLOOKUP('19.12'!O44,'19.12'!$AO$4:$AQ$55,2,FALSE))*IF('19.12'!$AK44="是",'19.12'!$BB$4,'19.12'!$BB$3))</f>
        <v>0</v>
      </c>
      <c r="H44" s="4">
        <f>IF(ISNUMBER(SEARCH("营",'19.12'!P44)),(-$Y44+50*IF('19.12'!$AK44="是",'19.12'!$BB$4,'19.12'!$BB$3)),(VLOOKUP('19.12'!P44,'19.12'!$AO$4:$AQ$55,2,FALSE))*IF('19.12'!$AK44="是",'19.12'!$BB$4,'19.12'!$BB$3))</f>
        <v>0</v>
      </c>
      <c r="I44" s="4">
        <f>IF(ISNUMBER(SEARCH("营",'19.12'!Q44)),(-$Y44+50*IF('19.12'!$AK44="是",'19.12'!$BB$4,'19.12'!$BB$3)),(VLOOKUP('19.12'!Q44,'19.12'!$AO$4:$AQ$55,2,FALSE))*IF('19.12'!$AK44="是",'19.12'!$BB$4,'19.12'!$BB$3))</f>
        <v>0</v>
      </c>
      <c r="J44" s="4">
        <f>IF(ISNUMBER(SEARCH("营",'19.12'!R44)),(-$Y44+50*IF('19.12'!$AK44="是",'19.12'!$BB$4,'19.12'!$BB$3)),(VLOOKUP('19.12'!R44,'19.12'!$AO$4:$AQ$55,2,FALSE))*IF('19.12'!$AK44="是",'19.12'!$BB$4,'19.12'!$BB$3))</f>
        <v>0</v>
      </c>
      <c r="K44" s="4">
        <f>IF(ISNUMBER(SEARCH("营",'19.12'!S44)),(-$Y44+50*IF('19.12'!$AK44="是",'19.12'!$BB$4,'19.12'!$BB$3)),(VLOOKUP('19.12'!S44,'19.12'!$AO$4:$AQ$55,2,FALSE))*IF('19.12'!$AK44="是",'19.12'!$BB$4,'19.12'!$BB$3))</f>
        <v>0</v>
      </c>
      <c r="L44" s="4">
        <f>IF(ISNUMBER(SEARCH("营",'19.12'!T44)),(-$Y44+50*IF('19.12'!$AK44="是",'19.12'!$BB$4,'19.12'!$BB$3)),(VLOOKUP('19.12'!T44,'19.12'!$AO$4:$AQ$55,2,FALSE))*IF('19.12'!$AK44="是",'19.12'!$BB$4,'19.12'!$BB$3))</f>
        <v>0</v>
      </c>
      <c r="M44" s="4">
        <f>IF(ISNUMBER(SEARCH("营",'19.12'!U44)),(-$Y44+50*IF('19.12'!$AK44="是",'19.12'!$BB$4,'19.12'!$BB$3)),(VLOOKUP('19.12'!U44,'19.12'!$AO$4:$AQ$55,2,FALSE))*IF('19.12'!$AK44="是",'19.12'!$BB$4,'19.12'!$BB$3))</f>
        <v>0</v>
      </c>
      <c r="N44" s="4">
        <f>IF(ISNUMBER(SEARCH("营",'19.12'!V44)),(-$Y44+50*IF('19.12'!$AK44="是",'19.12'!$BB$4,'19.12'!$BB$3)),(VLOOKUP('19.12'!V44,'19.12'!$AO$4:$AQ$55,2,FALSE))*IF('19.12'!$AK44="是",'19.12'!$BB$4,'19.12'!$BB$3))</f>
        <v>0</v>
      </c>
      <c r="O44" s="4">
        <f>IF(ISNUMBER(SEARCH("营",'19.12'!W44)),(-$Y44+50*IF('19.12'!$AK44="是",'19.12'!$BB$4,'19.12'!$BB$3)),(VLOOKUP('19.12'!W44,'19.12'!$AO$4:$AQ$55,2,FALSE))*IF('19.12'!$AK44="是",'19.12'!$BB$4,'19.12'!$BB$3))</f>
        <v>0</v>
      </c>
      <c r="P44" s="4">
        <f>IF(ISNUMBER(SEARCH("营",'19.12'!X44)),(-$Y44+50*IF('19.12'!$AK44="是",'19.12'!$BB$4,'19.12'!$BB$3)),(VLOOKUP('19.12'!X44,'19.12'!$AO$4:$AQ$55,2,FALSE))*IF('19.12'!$AK44="是",'19.12'!$BB$4,'19.12'!$BB$3))</f>
        <v>0</v>
      </c>
      <c r="Q44" s="4">
        <f>IF(ISNUMBER(SEARCH("营",'19.12'!Y44)),(-$Y44+50*IF('19.12'!$AK44="是",'19.12'!$BB$4,'19.12'!$BB$3)),(VLOOKUP('19.12'!Y44,'19.12'!$AO$4:$AQ$55,2,FALSE))*IF('19.12'!$AK44="是",'19.12'!$BB$4,'19.12'!$BB$3))</f>
        <v>0</v>
      </c>
      <c r="R44" s="4">
        <f>IF(ISNUMBER(SEARCH("营",'19.12'!Z44)),(-$Y44+50*IF('19.12'!$AK44="是",'19.12'!$BB$4,'19.12'!$BB$3)),(VLOOKUP('19.12'!Z44,'19.12'!$AO$4:$AQ$55,2,FALSE))*IF('19.12'!$AK44="是",'19.12'!$BB$4,'19.12'!$BB$3))</f>
        <v>0</v>
      </c>
      <c r="S44" s="4">
        <f>IF(ISNUMBER(SEARCH("营",'19.12'!AA44)),(-$Y44+50*IF('19.12'!$AK44="是",'19.12'!$BB$4,'19.12'!$BB$3)),(VLOOKUP('19.12'!AA44,'19.12'!$AO$4:$AQ$55,2,FALSE))*IF('19.12'!$AK44="是",'19.12'!$BB$4,'19.12'!$BB$3))</f>
        <v>0</v>
      </c>
      <c r="T44" s="4">
        <f>IF(ISNUMBER(SEARCH("营",'19.12'!AB44)),(-$Y44+50*IF('19.12'!$AK44="是",'19.12'!$BB$4,'19.12'!$BB$3)),(VLOOKUP('19.12'!AB44,'19.12'!$AO$4:$AQ$55,2,FALSE))*IF('19.12'!$AK44="是",'19.12'!$BB$4,'19.12'!$BB$3))</f>
        <v>0</v>
      </c>
      <c r="U44" s="4">
        <f>IF(ISNUMBER(SEARCH("营",'19.12'!AC44)),(-$Y44+50*IF('19.12'!$AK44="是",'19.12'!$BB$4,'19.12'!$BB$3)),(VLOOKUP('19.12'!AC44,'19.12'!$AO$4:$AQ$55,2,FALSE))*IF('19.12'!$AK44="是",'19.12'!$BB$4,'19.12'!$BB$3))</f>
        <v>0</v>
      </c>
      <c r="V44" s="4">
        <f>IF(ISNUMBER(SEARCH("营",'19.12'!AD44)),(-$Y44+50*IF('19.12'!$AK44="是",'19.12'!$BB$4,'19.12'!$BB$3)),(VLOOKUP('19.12'!AD44,'19.12'!$AO$4:$AQ$55,2,FALSE))*IF('19.12'!$AK44="是",'19.12'!$BB$4,'19.12'!$BB$3))</f>
        <v>0</v>
      </c>
      <c r="W44" s="4">
        <f>IF(ISNUMBER(SEARCH("营",'19.12'!AE44)),(-$Y44+50*IF('19.12'!$AK44="是",'19.12'!$BB$4,'19.12'!$BB$3)),(VLOOKUP('19.12'!AE44,'19.12'!$AO$4:$AQ$55,2,FALSE))*IF('19.12'!$AK44="是",'19.12'!$BB$4,'19.12'!$BB$3))</f>
        <v>0</v>
      </c>
      <c r="X44" s="4">
        <f>IF(ISNUMBER(SEARCH("营",'19.12'!AF44)),(-$Y44+50*IF('19.12'!$AK44="是",'19.12'!$BB$4,'19.12'!$BB$3)),(VLOOKUP('19.12'!AF44,'19.12'!$AO$4:$AQ$55,2,FALSE))*IF('19.12'!$AK44="是",'19.12'!$BB$4,'19.12'!$BB$3))</f>
        <v>0</v>
      </c>
      <c r="Y44" s="16">
        <v>150</v>
      </c>
      <c r="Z44" s="17">
        <v>45770</v>
      </c>
    </row>
    <row r="45" spans="1:26">
      <c r="A45" s="4">
        <f>IF(ISNUMBER(SEARCH("营",'19.12'!I45)),(-$Y45+50*IF('19.12'!$AK45="是",'19.12'!$BB$4,'19.12'!$BB$3)),(VLOOKUP('19.12'!I45,'19.12'!$AO$4:$AQ$55,2,FALSE))*IF('19.12'!$AK45="是",'19.12'!$BB$4,'19.12'!$BB$3))</f>
        <v>0</v>
      </c>
      <c r="B45" s="4">
        <f>IF(ISNUMBER(SEARCH("营",'19.12'!J45)),(-$Y45+50*IF('19.12'!$AK45="是",'19.12'!$BB$4,'19.12'!$BB$3)),(VLOOKUP('19.12'!J45,'19.12'!$AO$4:$AQ$55,2,FALSE))*IF('19.12'!$AK45="是",'19.12'!$BB$4,'19.12'!$BB$3))</f>
        <v>0</v>
      </c>
      <c r="C45" s="4">
        <f>IF(ISNUMBER(SEARCH("营",'19.12'!K45)),(-$Y45+50*IF('19.12'!$AK45="是",'19.12'!$BB$4,'19.12'!$BB$3)),(VLOOKUP('19.12'!K45,'19.12'!$AO$4:$AQ$55,2,FALSE))*IF('19.12'!$AK45="是",'19.12'!$BB$4,'19.12'!$BB$3))</f>
        <v>0</v>
      </c>
      <c r="D45" s="4">
        <f>IF(ISNUMBER(SEARCH("营",'19.12'!L45)),(-$Y45+50*IF('19.12'!$AK45="是",'19.12'!$BB$4,'19.12'!$BB$3)),(VLOOKUP('19.12'!L45,'19.12'!$AO$4:$AQ$55,2,FALSE))*IF('19.12'!$AK45="是",'19.12'!$BB$4,'19.12'!$BB$3))</f>
        <v>0</v>
      </c>
      <c r="E45" s="4">
        <f>IF(ISNUMBER(SEARCH("营",'19.12'!M45)),(-$Y45+50*IF('19.12'!$AK45="是",'19.12'!$BB$4,'19.12'!$BB$3)),(VLOOKUP('19.12'!M45,'19.12'!$AO$4:$AQ$55,2,FALSE))*IF('19.12'!$AK45="是",'19.12'!$BB$4,'19.12'!$BB$3))</f>
        <v>0</v>
      </c>
      <c r="F45" s="4">
        <f>IF(ISNUMBER(SEARCH("营",'19.12'!N45)),(-$Y45+50*IF('19.12'!$AK45="是",'19.12'!$BB$4,'19.12'!$BB$3)),(VLOOKUP('19.12'!N45,'19.12'!$AO$4:$AQ$55,2,FALSE))*IF('19.12'!$AK45="是",'19.12'!$BB$4,'19.12'!$BB$3))</f>
        <v>0</v>
      </c>
      <c r="G45" s="4">
        <f>IF(ISNUMBER(SEARCH("营",'19.12'!O45)),(-$Y45+50*IF('19.12'!$AK45="是",'19.12'!$BB$4,'19.12'!$BB$3)),(VLOOKUP('19.12'!O45,'19.12'!$AO$4:$AQ$55,2,FALSE))*IF('19.12'!$AK45="是",'19.12'!$BB$4,'19.12'!$BB$3))</f>
        <v>0</v>
      </c>
      <c r="H45" s="4">
        <f>IF(ISNUMBER(SEARCH("营",'19.12'!P45)),(-$Y45+50*IF('19.12'!$AK45="是",'19.12'!$BB$4,'19.12'!$BB$3)),(VLOOKUP('19.12'!P45,'19.12'!$AO$4:$AQ$55,2,FALSE))*IF('19.12'!$AK45="是",'19.12'!$BB$4,'19.12'!$BB$3))</f>
        <v>0</v>
      </c>
      <c r="I45" s="4">
        <f>IF(ISNUMBER(SEARCH("营",'19.12'!Q45)),(-$Y45+50*IF('19.12'!$AK45="是",'19.12'!$BB$4,'19.12'!$BB$3)),(VLOOKUP('19.12'!Q45,'19.12'!$AO$4:$AQ$55,2,FALSE))*IF('19.12'!$AK45="是",'19.12'!$BB$4,'19.12'!$BB$3))</f>
        <v>0</v>
      </c>
      <c r="J45" s="4">
        <f>IF(ISNUMBER(SEARCH("营",'19.12'!R45)),(-$Y45+50*IF('19.12'!$AK45="是",'19.12'!$BB$4,'19.12'!$BB$3)),(VLOOKUP('19.12'!R45,'19.12'!$AO$4:$AQ$55,2,FALSE))*IF('19.12'!$AK45="是",'19.12'!$BB$4,'19.12'!$BB$3))</f>
        <v>0</v>
      </c>
      <c r="K45" s="4">
        <f>IF(ISNUMBER(SEARCH("营",'19.12'!S45)),(-$Y45+50*IF('19.12'!$AK45="是",'19.12'!$BB$4,'19.12'!$BB$3)),(VLOOKUP('19.12'!S45,'19.12'!$AO$4:$AQ$55,2,FALSE))*IF('19.12'!$AK45="是",'19.12'!$BB$4,'19.12'!$BB$3))</f>
        <v>0</v>
      </c>
      <c r="L45" s="4">
        <f>IF(ISNUMBER(SEARCH("营",'19.12'!T45)),(-$Y45+50*IF('19.12'!$AK45="是",'19.12'!$BB$4,'19.12'!$BB$3)),(VLOOKUP('19.12'!T45,'19.12'!$AO$4:$AQ$55,2,FALSE))*IF('19.12'!$AK45="是",'19.12'!$BB$4,'19.12'!$BB$3))</f>
        <v>0</v>
      </c>
      <c r="M45" s="4">
        <f>IF(ISNUMBER(SEARCH("营",'19.12'!U45)),(-$Y45+50*IF('19.12'!$AK45="是",'19.12'!$BB$4,'19.12'!$BB$3)),(VLOOKUP('19.12'!U45,'19.12'!$AO$4:$AQ$55,2,FALSE))*IF('19.12'!$AK45="是",'19.12'!$BB$4,'19.12'!$BB$3))</f>
        <v>0</v>
      </c>
      <c r="N45" s="4">
        <f>IF(ISNUMBER(SEARCH("营",'19.12'!V45)),(-$Y45+50*IF('19.12'!$AK45="是",'19.12'!$BB$4,'19.12'!$BB$3)),(VLOOKUP('19.12'!V45,'19.12'!$AO$4:$AQ$55,2,FALSE))*IF('19.12'!$AK45="是",'19.12'!$BB$4,'19.12'!$BB$3))</f>
        <v>0</v>
      </c>
      <c r="O45" s="4">
        <f>IF(ISNUMBER(SEARCH("营",'19.12'!W45)),(-$Y45+50*IF('19.12'!$AK45="是",'19.12'!$BB$4,'19.12'!$BB$3)),(VLOOKUP('19.12'!W45,'19.12'!$AO$4:$AQ$55,2,FALSE))*IF('19.12'!$AK45="是",'19.12'!$BB$4,'19.12'!$BB$3))</f>
        <v>0</v>
      </c>
      <c r="P45" s="4">
        <f>IF(ISNUMBER(SEARCH("营",'19.12'!X45)),(-$Y45+50*IF('19.12'!$AK45="是",'19.12'!$BB$4,'19.12'!$BB$3)),(VLOOKUP('19.12'!X45,'19.12'!$AO$4:$AQ$55,2,FALSE))*IF('19.12'!$AK45="是",'19.12'!$BB$4,'19.12'!$BB$3))</f>
        <v>0</v>
      </c>
      <c r="Q45" s="4">
        <f>IF(ISNUMBER(SEARCH("营",'19.12'!Y45)),(-$Y45+50*IF('19.12'!$AK45="是",'19.12'!$BB$4,'19.12'!$BB$3)),(VLOOKUP('19.12'!Y45,'19.12'!$AO$4:$AQ$55,2,FALSE))*IF('19.12'!$AK45="是",'19.12'!$BB$4,'19.12'!$BB$3))</f>
        <v>0</v>
      </c>
      <c r="R45" s="4">
        <f>IF(ISNUMBER(SEARCH("营",'19.12'!Z45)),(-$Y45+50*IF('19.12'!$AK45="是",'19.12'!$BB$4,'19.12'!$BB$3)),(VLOOKUP('19.12'!Z45,'19.12'!$AO$4:$AQ$55,2,FALSE))*IF('19.12'!$AK45="是",'19.12'!$BB$4,'19.12'!$BB$3))</f>
        <v>0</v>
      </c>
      <c r="S45" s="4">
        <f>IF(ISNUMBER(SEARCH("营",'19.12'!AA45)),(-$Y45+50*IF('19.12'!$AK45="是",'19.12'!$BB$4,'19.12'!$BB$3)),(VLOOKUP('19.12'!AA45,'19.12'!$AO$4:$AQ$55,2,FALSE))*IF('19.12'!$AK45="是",'19.12'!$BB$4,'19.12'!$BB$3))</f>
        <v>0</v>
      </c>
      <c r="T45" s="4">
        <f>IF(ISNUMBER(SEARCH("营",'19.12'!AB45)),(-$Y45+50*IF('19.12'!$AK45="是",'19.12'!$BB$4,'19.12'!$BB$3)),(VLOOKUP('19.12'!AB45,'19.12'!$AO$4:$AQ$55,2,FALSE))*IF('19.12'!$AK45="是",'19.12'!$BB$4,'19.12'!$BB$3))</f>
        <v>0</v>
      </c>
      <c r="U45" s="4">
        <f>IF(ISNUMBER(SEARCH("营",'19.12'!AC45)),(-$Y45+50*IF('19.12'!$AK45="是",'19.12'!$BB$4,'19.12'!$BB$3)),(VLOOKUP('19.12'!AC45,'19.12'!$AO$4:$AQ$55,2,FALSE))*IF('19.12'!$AK45="是",'19.12'!$BB$4,'19.12'!$BB$3))</f>
        <v>0</v>
      </c>
      <c r="V45" s="4">
        <f>IF(ISNUMBER(SEARCH("营",'19.12'!AD45)),(-$Y45+50*IF('19.12'!$AK45="是",'19.12'!$BB$4,'19.12'!$BB$3)),(VLOOKUP('19.12'!AD45,'19.12'!$AO$4:$AQ$55,2,FALSE))*IF('19.12'!$AK45="是",'19.12'!$BB$4,'19.12'!$BB$3))</f>
        <v>0</v>
      </c>
      <c r="W45" s="4">
        <f>IF(ISNUMBER(SEARCH("营",'19.12'!AE45)),(-$Y45+50*IF('19.12'!$AK45="是",'19.12'!$BB$4,'19.12'!$BB$3)),(VLOOKUP('19.12'!AE45,'19.12'!$AO$4:$AQ$55,2,FALSE))*IF('19.12'!$AK45="是",'19.12'!$BB$4,'19.12'!$BB$3))</f>
        <v>0</v>
      </c>
      <c r="X45" s="4">
        <f>IF(ISNUMBER(SEARCH("营",'19.12'!AF45)),(-$Y45+50*IF('19.12'!$AK45="是",'19.12'!$BB$4,'19.12'!$BB$3)),(VLOOKUP('19.12'!AF45,'19.12'!$AO$4:$AQ$55,2,FALSE))*IF('19.12'!$AK45="是",'19.12'!$BB$4,'19.12'!$BB$3))</f>
        <v>0</v>
      </c>
      <c r="Y45" s="16">
        <v>150</v>
      </c>
      <c r="Z45" s="17">
        <v>45771</v>
      </c>
    </row>
    <row r="46" spans="1:26">
      <c r="A46" s="4">
        <f>IF(ISNUMBER(SEARCH("营",'19.12'!I46)),(-$Y46+50*IF('19.12'!$AK46="是",'19.12'!$BB$4,'19.12'!$BB$3)),(VLOOKUP('19.12'!I46,'19.12'!$AO$4:$AQ$55,2,FALSE))*IF('19.12'!$AK46="是",'19.12'!$BB$4,'19.12'!$BB$3))</f>
        <v>0</v>
      </c>
      <c r="B46" s="4">
        <f>IF(ISNUMBER(SEARCH("营",'19.12'!J46)),(-$Y46+50*IF('19.12'!$AK46="是",'19.12'!$BB$4,'19.12'!$BB$3)),(VLOOKUP('19.12'!J46,'19.12'!$AO$4:$AQ$55,2,FALSE))*IF('19.12'!$AK46="是",'19.12'!$BB$4,'19.12'!$BB$3))</f>
        <v>0</v>
      </c>
      <c r="C46" s="4">
        <f>IF(ISNUMBER(SEARCH("营",'19.12'!K46)),(-$Y46+50*IF('19.12'!$AK46="是",'19.12'!$BB$4,'19.12'!$BB$3)),(VLOOKUP('19.12'!K46,'19.12'!$AO$4:$AQ$55,2,FALSE))*IF('19.12'!$AK46="是",'19.12'!$BB$4,'19.12'!$BB$3))</f>
        <v>0</v>
      </c>
      <c r="D46" s="4">
        <f>IF(ISNUMBER(SEARCH("营",'19.12'!L46)),(-$Y46+50*IF('19.12'!$AK46="是",'19.12'!$BB$4,'19.12'!$BB$3)),(VLOOKUP('19.12'!L46,'19.12'!$AO$4:$AQ$55,2,FALSE))*IF('19.12'!$AK46="是",'19.12'!$BB$4,'19.12'!$BB$3))</f>
        <v>0</v>
      </c>
      <c r="E46" s="4">
        <f>IF(ISNUMBER(SEARCH("营",'19.12'!M46)),(-$Y46+50*IF('19.12'!$AK46="是",'19.12'!$BB$4,'19.12'!$BB$3)),(VLOOKUP('19.12'!M46,'19.12'!$AO$4:$AQ$55,2,FALSE))*IF('19.12'!$AK46="是",'19.12'!$BB$4,'19.12'!$BB$3))</f>
        <v>0</v>
      </c>
      <c r="F46" s="4">
        <f>IF(ISNUMBER(SEARCH("营",'19.12'!N46)),(-$Y46+50*IF('19.12'!$AK46="是",'19.12'!$BB$4,'19.12'!$BB$3)),(VLOOKUP('19.12'!N46,'19.12'!$AO$4:$AQ$55,2,FALSE))*IF('19.12'!$AK46="是",'19.12'!$BB$4,'19.12'!$BB$3))</f>
        <v>0</v>
      </c>
      <c r="G46" s="4">
        <f>IF(ISNUMBER(SEARCH("营",'19.12'!O46)),(-$Y46+50*IF('19.12'!$AK46="是",'19.12'!$BB$4,'19.12'!$BB$3)),(VLOOKUP('19.12'!O46,'19.12'!$AO$4:$AQ$55,2,FALSE))*IF('19.12'!$AK46="是",'19.12'!$BB$4,'19.12'!$BB$3))</f>
        <v>0</v>
      </c>
      <c r="H46" s="4">
        <f>IF(ISNUMBER(SEARCH("营",'19.12'!P46)),(-$Y46+50*IF('19.12'!$AK46="是",'19.12'!$BB$4,'19.12'!$BB$3)),(VLOOKUP('19.12'!P46,'19.12'!$AO$4:$AQ$55,2,FALSE))*IF('19.12'!$AK46="是",'19.12'!$BB$4,'19.12'!$BB$3))</f>
        <v>0</v>
      </c>
      <c r="I46" s="4">
        <f>IF(ISNUMBER(SEARCH("营",'19.12'!Q46)),(-$Y46+50*IF('19.12'!$AK46="是",'19.12'!$BB$4,'19.12'!$BB$3)),(VLOOKUP('19.12'!Q46,'19.12'!$AO$4:$AQ$55,2,FALSE))*IF('19.12'!$AK46="是",'19.12'!$BB$4,'19.12'!$BB$3))</f>
        <v>0</v>
      </c>
      <c r="J46" s="4">
        <f>IF(ISNUMBER(SEARCH("营",'19.12'!R46)),(-$Y46+50*IF('19.12'!$AK46="是",'19.12'!$BB$4,'19.12'!$BB$3)),(VLOOKUP('19.12'!R46,'19.12'!$AO$4:$AQ$55,2,FALSE))*IF('19.12'!$AK46="是",'19.12'!$BB$4,'19.12'!$BB$3))</f>
        <v>0</v>
      </c>
      <c r="K46" s="4">
        <f>IF(ISNUMBER(SEARCH("营",'19.12'!S46)),(-$Y46+50*IF('19.12'!$AK46="是",'19.12'!$BB$4,'19.12'!$BB$3)),(VLOOKUP('19.12'!S46,'19.12'!$AO$4:$AQ$55,2,FALSE))*IF('19.12'!$AK46="是",'19.12'!$BB$4,'19.12'!$BB$3))</f>
        <v>0</v>
      </c>
      <c r="L46" s="4">
        <f>IF(ISNUMBER(SEARCH("营",'19.12'!T46)),(-$Y46+50*IF('19.12'!$AK46="是",'19.12'!$BB$4,'19.12'!$BB$3)),(VLOOKUP('19.12'!T46,'19.12'!$AO$4:$AQ$55,2,FALSE))*IF('19.12'!$AK46="是",'19.12'!$BB$4,'19.12'!$BB$3))</f>
        <v>0</v>
      </c>
      <c r="M46" s="4">
        <f>IF(ISNUMBER(SEARCH("营",'19.12'!U46)),(-$Y46+50*IF('19.12'!$AK46="是",'19.12'!$BB$4,'19.12'!$BB$3)),(VLOOKUP('19.12'!U46,'19.12'!$AO$4:$AQ$55,2,FALSE))*IF('19.12'!$AK46="是",'19.12'!$BB$4,'19.12'!$BB$3))</f>
        <v>0</v>
      </c>
      <c r="N46" s="4">
        <f>IF(ISNUMBER(SEARCH("营",'19.12'!V46)),(-$Y46+50*IF('19.12'!$AK46="是",'19.12'!$BB$4,'19.12'!$BB$3)),(VLOOKUP('19.12'!V46,'19.12'!$AO$4:$AQ$55,2,FALSE))*IF('19.12'!$AK46="是",'19.12'!$BB$4,'19.12'!$BB$3))</f>
        <v>0</v>
      </c>
      <c r="O46" s="4">
        <f>IF(ISNUMBER(SEARCH("营",'19.12'!W46)),(-$Y46+50*IF('19.12'!$AK46="是",'19.12'!$BB$4,'19.12'!$BB$3)),(VLOOKUP('19.12'!W46,'19.12'!$AO$4:$AQ$55,2,FALSE))*IF('19.12'!$AK46="是",'19.12'!$BB$4,'19.12'!$BB$3))</f>
        <v>0</v>
      </c>
      <c r="P46" s="4">
        <f>IF(ISNUMBER(SEARCH("营",'19.12'!X46)),(-$Y46+50*IF('19.12'!$AK46="是",'19.12'!$BB$4,'19.12'!$BB$3)),(VLOOKUP('19.12'!X46,'19.12'!$AO$4:$AQ$55,2,FALSE))*IF('19.12'!$AK46="是",'19.12'!$BB$4,'19.12'!$BB$3))</f>
        <v>0</v>
      </c>
      <c r="Q46" s="4">
        <f>IF(ISNUMBER(SEARCH("营",'19.12'!Y46)),(-$Y46+50*IF('19.12'!$AK46="是",'19.12'!$BB$4,'19.12'!$BB$3)),(VLOOKUP('19.12'!Y46,'19.12'!$AO$4:$AQ$55,2,FALSE))*IF('19.12'!$AK46="是",'19.12'!$BB$4,'19.12'!$BB$3))</f>
        <v>0</v>
      </c>
      <c r="R46" s="4">
        <f>IF(ISNUMBER(SEARCH("营",'19.12'!Z46)),(-$Y46+50*IF('19.12'!$AK46="是",'19.12'!$BB$4,'19.12'!$BB$3)),(VLOOKUP('19.12'!Z46,'19.12'!$AO$4:$AQ$55,2,FALSE))*IF('19.12'!$AK46="是",'19.12'!$BB$4,'19.12'!$BB$3))</f>
        <v>0</v>
      </c>
      <c r="S46" s="4">
        <f>IF(ISNUMBER(SEARCH("营",'19.12'!AA46)),(-$Y46+50*IF('19.12'!$AK46="是",'19.12'!$BB$4,'19.12'!$BB$3)),(VLOOKUP('19.12'!AA46,'19.12'!$AO$4:$AQ$55,2,FALSE))*IF('19.12'!$AK46="是",'19.12'!$BB$4,'19.12'!$BB$3))</f>
        <v>0</v>
      </c>
      <c r="T46" s="4">
        <f>IF(ISNUMBER(SEARCH("营",'19.12'!AB46)),(-$Y46+50*IF('19.12'!$AK46="是",'19.12'!$BB$4,'19.12'!$BB$3)),(VLOOKUP('19.12'!AB46,'19.12'!$AO$4:$AQ$55,2,FALSE))*IF('19.12'!$AK46="是",'19.12'!$BB$4,'19.12'!$BB$3))</f>
        <v>0</v>
      </c>
      <c r="U46" s="4">
        <f>IF(ISNUMBER(SEARCH("营",'19.12'!AC46)),(-$Y46+50*IF('19.12'!$AK46="是",'19.12'!$BB$4,'19.12'!$BB$3)),(VLOOKUP('19.12'!AC46,'19.12'!$AO$4:$AQ$55,2,FALSE))*IF('19.12'!$AK46="是",'19.12'!$BB$4,'19.12'!$BB$3))</f>
        <v>0</v>
      </c>
      <c r="V46" s="4">
        <f>IF(ISNUMBER(SEARCH("营",'19.12'!AD46)),(-$Y46+50*IF('19.12'!$AK46="是",'19.12'!$BB$4,'19.12'!$BB$3)),(VLOOKUP('19.12'!AD46,'19.12'!$AO$4:$AQ$55,2,FALSE))*IF('19.12'!$AK46="是",'19.12'!$BB$4,'19.12'!$BB$3))</f>
        <v>0</v>
      </c>
      <c r="W46" s="4">
        <f>IF(ISNUMBER(SEARCH("营",'19.12'!AE46)),(-$Y46+50*IF('19.12'!$AK46="是",'19.12'!$BB$4,'19.12'!$BB$3)),(VLOOKUP('19.12'!AE46,'19.12'!$AO$4:$AQ$55,2,FALSE))*IF('19.12'!$AK46="是",'19.12'!$BB$4,'19.12'!$BB$3))</f>
        <v>0</v>
      </c>
      <c r="X46" s="4">
        <f>IF(ISNUMBER(SEARCH("营",'19.12'!AF46)),(-$Y46+50*IF('19.12'!$AK46="是",'19.12'!$BB$4,'19.12'!$BB$3)),(VLOOKUP('19.12'!AF46,'19.12'!$AO$4:$AQ$55,2,FALSE))*IF('19.12'!$AK46="是",'19.12'!$BB$4,'19.12'!$BB$3))</f>
        <v>0</v>
      </c>
      <c r="Y46" s="16">
        <v>150</v>
      </c>
      <c r="Z46" s="17">
        <v>45772</v>
      </c>
    </row>
    <row r="47" spans="1:26">
      <c r="A47" s="4">
        <f>IF(ISNUMBER(SEARCH("营",'19.12'!I47)),(-$Y47+50*IF('19.12'!$AK47="是",'19.12'!$BB$4,'19.12'!$BB$3)),(VLOOKUP('19.12'!I47,'19.12'!$AO$4:$AQ$55,2,FALSE))*IF('19.12'!$AK47="是",'19.12'!$BB$4,'19.12'!$BB$3))</f>
        <v>0</v>
      </c>
      <c r="B47" s="4">
        <f>IF(ISNUMBER(SEARCH("营",'19.12'!J47)),(-$Y47+50*IF('19.12'!$AK47="是",'19.12'!$BB$4,'19.12'!$BB$3)),(VLOOKUP('19.12'!J47,'19.12'!$AO$4:$AQ$55,2,FALSE))*IF('19.12'!$AK47="是",'19.12'!$BB$4,'19.12'!$BB$3))</f>
        <v>0</v>
      </c>
      <c r="C47" s="4">
        <f>IF(ISNUMBER(SEARCH("营",'19.12'!K47)),(-$Y47+50*IF('19.12'!$AK47="是",'19.12'!$BB$4,'19.12'!$BB$3)),(VLOOKUP('19.12'!K47,'19.12'!$AO$4:$AQ$55,2,FALSE))*IF('19.12'!$AK47="是",'19.12'!$BB$4,'19.12'!$BB$3))</f>
        <v>0</v>
      </c>
      <c r="D47" s="4">
        <f>IF(ISNUMBER(SEARCH("营",'19.12'!L47)),(-$Y47+50*IF('19.12'!$AK47="是",'19.12'!$BB$4,'19.12'!$BB$3)),(VLOOKUP('19.12'!L47,'19.12'!$AO$4:$AQ$55,2,FALSE))*IF('19.12'!$AK47="是",'19.12'!$BB$4,'19.12'!$BB$3))</f>
        <v>0</v>
      </c>
      <c r="E47" s="4">
        <f>IF(ISNUMBER(SEARCH("营",'19.12'!M47)),(-$Y47+50*IF('19.12'!$AK47="是",'19.12'!$BB$4,'19.12'!$BB$3)),(VLOOKUP('19.12'!M47,'19.12'!$AO$4:$AQ$55,2,FALSE))*IF('19.12'!$AK47="是",'19.12'!$BB$4,'19.12'!$BB$3))</f>
        <v>0</v>
      </c>
      <c r="F47" s="4">
        <f>IF(ISNUMBER(SEARCH("营",'19.12'!N47)),(-$Y47+50*IF('19.12'!$AK47="是",'19.12'!$BB$4,'19.12'!$BB$3)),(VLOOKUP('19.12'!N47,'19.12'!$AO$4:$AQ$55,2,FALSE))*IF('19.12'!$AK47="是",'19.12'!$BB$4,'19.12'!$BB$3))</f>
        <v>0</v>
      </c>
      <c r="G47" s="4">
        <f>IF(ISNUMBER(SEARCH("营",'19.12'!O47)),(-$Y47+50*IF('19.12'!$AK47="是",'19.12'!$BB$4,'19.12'!$BB$3)),(VLOOKUP('19.12'!O47,'19.12'!$AO$4:$AQ$55,2,FALSE))*IF('19.12'!$AK47="是",'19.12'!$BB$4,'19.12'!$BB$3))</f>
        <v>0</v>
      </c>
      <c r="H47" s="4">
        <f>IF(ISNUMBER(SEARCH("营",'19.12'!P47)),(-$Y47+50*IF('19.12'!$AK47="是",'19.12'!$BB$4,'19.12'!$BB$3)),(VLOOKUP('19.12'!P47,'19.12'!$AO$4:$AQ$55,2,FALSE))*IF('19.12'!$AK47="是",'19.12'!$BB$4,'19.12'!$BB$3))</f>
        <v>0</v>
      </c>
      <c r="I47" s="4">
        <f>IF(ISNUMBER(SEARCH("营",'19.12'!Q47)),(-$Y47+50*IF('19.12'!$AK47="是",'19.12'!$BB$4,'19.12'!$BB$3)),(VLOOKUP('19.12'!Q47,'19.12'!$AO$4:$AQ$55,2,FALSE))*IF('19.12'!$AK47="是",'19.12'!$BB$4,'19.12'!$BB$3))</f>
        <v>0</v>
      </c>
      <c r="J47" s="4">
        <f>IF(ISNUMBER(SEARCH("营",'19.12'!R47)),(-$Y47+50*IF('19.12'!$AK47="是",'19.12'!$BB$4,'19.12'!$BB$3)),(VLOOKUP('19.12'!R47,'19.12'!$AO$4:$AQ$55,2,FALSE))*IF('19.12'!$AK47="是",'19.12'!$BB$4,'19.12'!$BB$3))</f>
        <v>0</v>
      </c>
      <c r="K47" s="4">
        <f>IF(ISNUMBER(SEARCH("营",'19.12'!S47)),(-$Y47+50*IF('19.12'!$AK47="是",'19.12'!$BB$4,'19.12'!$BB$3)),(VLOOKUP('19.12'!S47,'19.12'!$AO$4:$AQ$55,2,FALSE))*IF('19.12'!$AK47="是",'19.12'!$BB$4,'19.12'!$BB$3))</f>
        <v>0</v>
      </c>
      <c r="L47" s="4">
        <f>IF(ISNUMBER(SEARCH("营",'19.12'!T47)),(-$Y47+50*IF('19.12'!$AK47="是",'19.12'!$BB$4,'19.12'!$BB$3)),(VLOOKUP('19.12'!T47,'19.12'!$AO$4:$AQ$55,2,FALSE))*IF('19.12'!$AK47="是",'19.12'!$BB$4,'19.12'!$BB$3))</f>
        <v>0</v>
      </c>
      <c r="M47" s="4">
        <f>IF(ISNUMBER(SEARCH("营",'19.12'!U47)),(-$Y47+50*IF('19.12'!$AK47="是",'19.12'!$BB$4,'19.12'!$BB$3)),(VLOOKUP('19.12'!U47,'19.12'!$AO$4:$AQ$55,2,FALSE))*IF('19.12'!$AK47="是",'19.12'!$BB$4,'19.12'!$BB$3))</f>
        <v>0</v>
      </c>
      <c r="N47" s="4">
        <f>IF(ISNUMBER(SEARCH("营",'19.12'!V47)),(-$Y47+50*IF('19.12'!$AK47="是",'19.12'!$BB$4,'19.12'!$BB$3)),(VLOOKUP('19.12'!V47,'19.12'!$AO$4:$AQ$55,2,FALSE))*IF('19.12'!$AK47="是",'19.12'!$BB$4,'19.12'!$BB$3))</f>
        <v>0</v>
      </c>
      <c r="O47" s="4">
        <f>IF(ISNUMBER(SEARCH("营",'19.12'!W47)),(-$Y47+50*IF('19.12'!$AK47="是",'19.12'!$BB$4,'19.12'!$BB$3)),(VLOOKUP('19.12'!W47,'19.12'!$AO$4:$AQ$55,2,FALSE))*IF('19.12'!$AK47="是",'19.12'!$BB$4,'19.12'!$BB$3))</f>
        <v>0</v>
      </c>
      <c r="P47" s="4">
        <f>IF(ISNUMBER(SEARCH("营",'19.12'!X47)),(-$Y47+50*IF('19.12'!$AK47="是",'19.12'!$BB$4,'19.12'!$BB$3)),(VLOOKUP('19.12'!X47,'19.12'!$AO$4:$AQ$55,2,FALSE))*IF('19.12'!$AK47="是",'19.12'!$BB$4,'19.12'!$BB$3))</f>
        <v>0</v>
      </c>
      <c r="Q47" s="4">
        <f>IF(ISNUMBER(SEARCH("营",'19.12'!Y47)),(-$Y47+50*IF('19.12'!$AK47="是",'19.12'!$BB$4,'19.12'!$BB$3)),(VLOOKUP('19.12'!Y47,'19.12'!$AO$4:$AQ$55,2,FALSE))*IF('19.12'!$AK47="是",'19.12'!$BB$4,'19.12'!$BB$3))</f>
        <v>0</v>
      </c>
      <c r="R47" s="4">
        <f>IF(ISNUMBER(SEARCH("营",'19.12'!Z47)),(-$Y47+50*IF('19.12'!$AK47="是",'19.12'!$BB$4,'19.12'!$BB$3)),(VLOOKUP('19.12'!Z47,'19.12'!$AO$4:$AQ$55,2,FALSE))*IF('19.12'!$AK47="是",'19.12'!$BB$4,'19.12'!$BB$3))</f>
        <v>0</v>
      </c>
      <c r="S47" s="4">
        <f>IF(ISNUMBER(SEARCH("营",'19.12'!AA47)),(-$Y47+50*IF('19.12'!$AK47="是",'19.12'!$BB$4,'19.12'!$BB$3)),(VLOOKUP('19.12'!AA47,'19.12'!$AO$4:$AQ$55,2,FALSE))*IF('19.12'!$AK47="是",'19.12'!$BB$4,'19.12'!$BB$3))</f>
        <v>0</v>
      </c>
      <c r="T47" s="4">
        <f>IF(ISNUMBER(SEARCH("营",'19.12'!AB47)),(-$Y47+50*IF('19.12'!$AK47="是",'19.12'!$BB$4,'19.12'!$BB$3)),(VLOOKUP('19.12'!AB47,'19.12'!$AO$4:$AQ$55,2,FALSE))*IF('19.12'!$AK47="是",'19.12'!$BB$4,'19.12'!$BB$3))</f>
        <v>0</v>
      </c>
      <c r="U47" s="4">
        <f>IF(ISNUMBER(SEARCH("营",'19.12'!AC47)),(-$Y47+50*IF('19.12'!$AK47="是",'19.12'!$BB$4,'19.12'!$BB$3)),(VLOOKUP('19.12'!AC47,'19.12'!$AO$4:$AQ$55,2,FALSE))*IF('19.12'!$AK47="是",'19.12'!$BB$4,'19.12'!$BB$3))</f>
        <v>0</v>
      </c>
      <c r="V47" s="4">
        <f>IF(ISNUMBER(SEARCH("营",'19.12'!AD47)),(-$Y47+50*IF('19.12'!$AK47="是",'19.12'!$BB$4,'19.12'!$BB$3)),(VLOOKUP('19.12'!AD47,'19.12'!$AO$4:$AQ$55,2,FALSE))*IF('19.12'!$AK47="是",'19.12'!$BB$4,'19.12'!$BB$3))</f>
        <v>0</v>
      </c>
      <c r="W47" s="4">
        <f>IF(ISNUMBER(SEARCH("营",'19.12'!AE47)),(-$Y47+50*IF('19.12'!$AK47="是",'19.12'!$BB$4,'19.12'!$BB$3)),(VLOOKUP('19.12'!AE47,'19.12'!$AO$4:$AQ$55,2,FALSE))*IF('19.12'!$AK47="是",'19.12'!$BB$4,'19.12'!$BB$3))</f>
        <v>0</v>
      </c>
      <c r="X47" s="4">
        <f>IF(ISNUMBER(SEARCH("营",'19.12'!AF47)),(-$Y47+50*IF('19.12'!$AK47="是",'19.12'!$BB$4,'19.12'!$BB$3)),(VLOOKUP('19.12'!AF47,'19.12'!$AO$4:$AQ$55,2,FALSE))*IF('19.12'!$AK47="是",'19.12'!$BB$4,'19.12'!$BB$3))</f>
        <v>0</v>
      </c>
      <c r="Y47" s="16">
        <v>150</v>
      </c>
      <c r="Z47" s="17">
        <v>45773</v>
      </c>
    </row>
    <row r="48" spans="1:26">
      <c r="A48" s="4">
        <f>IF(ISNUMBER(SEARCH("营",'19.12'!I48)),(-$Y48+50*IF('19.12'!$AK48="是",'19.12'!$BB$4,'19.12'!$BB$3)),(VLOOKUP('19.12'!I48,'19.12'!$AO$4:$AQ$55,2,FALSE))*IF('19.12'!$AK48="是",'19.12'!$BB$4,'19.12'!$BB$3))</f>
        <v>0</v>
      </c>
      <c r="B48" s="4">
        <f>IF(ISNUMBER(SEARCH("营",'19.12'!J48)),(-$Y48+50*IF('19.12'!$AK48="是",'19.12'!$BB$4,'19.12'!$BB$3)),(VLOOKUP('19.12'!J48,'19.12'!$AO$4:$AQ$55,2,FALSE))*IF('19.12'!$AK48="是",'19.12'!$BB$4,'19.12'!$BB$3))</f>
        <v>0</v>
      </c>
      <c r="C48" s="4">
        <f>IF(ISNUMBER(SEARCH("营",'19.12'!K48)),(-$Y48+50*IF('19.12'!$AK48="是",'19.12'!$BB$4,'19.12'!$BB$3)),(VLOOKUP('19.12'!K48,'19.12'!$AO$4:$AQ$55,2,FALSE))*IF('19.12'!$AK48="是",'19.12'!$BB$4,'19.12'!$BB$3))</f>
        <v>0</v>
      </c>
      <c r="D48" s="4">
        <f>IF(ISNUMBER(SEARCH("营",'19.12'!L48)),(-$Y48+50*IF('19.12'!$AK48="是",'19.12'!$BB$4,'19.12'!$BB$3)),(VLOOKUP('19.12'!L48,'19.12'!$AO$4:$AQ$55,2,FALSE))*IF('19.12'!$AK48="是",'19.12'!$BB$4,'19.12'!$BB$3))</f>
        <v>0</v>
      </c>
      <c r="E48" s="4">
        <f>IF(ISNUMBER(SEARCH("营",'19.12'!M48)),(-$Y48+50*IF('19.12'!$AK48="是",'19.12'!$BB$4,'19.12'!$BB$3)),(VLOOKUP('19.12'!M48,'19.12'!$AO$4:$AQ$55,2,FALSE))*IF('19.12'!$AK48="是",'19.12'!$BB$4,'19.12'!$BB$3))</f>
        <v>0</v>
      </c>
      <c r="F48" s="4">
        <f>IF(ISNUMBER(SEARCH("营",'19.12'!N48)),(-$Y48+50*IF('19.12'!$AK48="是",'19.12'!$BB$4,'19.12'!$BB$3)),(VLOOKUP('19.12'!N48,'19.12'!$AO$4:$AQ$55,2,FALSE))*IF('19.12'!$AK48="是",'19.12'!$BB$4,'19.12'!$BB$3))</f>
        <v>0</v>
      </c>
      <c r="G48" s="4">
        <f>IF(ISNUMBER(SEARCH("营",'19.12'!O48)),(-$Y48+50*IF('19.12'!$AK48="是",'19.12'!$BB$4,'19.12'!$BB$3)),(VLOOKUP('19.12'!O48,'19.12'!$AO$4:$AQ$55,2,FALSE))*IF('19.12'!$AK48="是",'19.12'!$BB$4,'19.12'!$BB$3))</f>
        <v>0</v>
      </c>
      <c r="H48" s="4">
        <f>IF(ISNUMBER(SEARCH("营",'19.12'!P48)),(-$Y48+50*IF('19.12'!$AK48="是",'19.12'!$BB$4,'19.12'!$BB$3)),(VLOOKUP('19.12'!P48,'19.12'!$AO$4:$AQ$55,2,FALSE))*IF('19.12'!$AK48="是",'19.12'!$BB$4,'19.12'!$BB$3))</f>
        <v>0</v>
      </c>
      <c r="I48" s="4">
        <f>IF(ISNUMBER(SEARCH("营",'19.12'!Q48)),(-$Y48+50*IF('19.12'!$AK48="是",'19.12'!$BB$4,'19.12'!$BB$3)),(VLOOKUP('19.12'!Q48,'19.12'!$AO$4:$AQ$55,2,FALSE))*IF('19.12'!$AK48="是",'19.12'!$BB$4,'19.12'!$BB$3))</f>
        <v>0</v>
      </c>
      <c r="J48" s="4">
        <f>IF(ISNUMBER(SEARCH("营",'19.12'!R48)),(-$Y48+50*IF('19.12'!$AK48="是",'19.12'!$BB$4,'19.12'!$BB$3)),(VLOOKUP('19.12'!R48,'19.12'!$AO$4:$AQ$55,2,FALSE))*IF('19.12'!$AK48="是",'19.12'!$BB$4,'19.12'!$BB$3))</f>
        <v>0</v>
      </c>
      <c r="K48" s="4">
        <f>IF(ISNUMBER(SEARCH("营",'19.12'!S48)),(-$Y48+50*IF('19.12'!$AK48="是",'19.12'!$BB$4,'19.12'!$BB$3)),(VLOOKUP('19.12'!S48,'19.12'!$AO$4:$AQ$55,2,FALSE))*IF('19.12'!$AK48="是",'19.12'!$BB$4,'19.12'!$BB$3))</f>
        <v>0</v>
      </c>
      <c r="L48" s="4">
        <f>IF(ISNUMBER(SEARCH("营",'19.12'!T48)),(-$Y48+50*IF('19.12'!$AK48="是",'19.12'!$BB$4,'19.12'!$BB$3)),(VLOOKUP('19.12'!T48,'19.12'!$AO$4:$AQ$55,2,FALSE))*IF('19.12'!$AK48="是",'19.12'!$BB$4,'19.12'!$BB$3))</f>
        <v>0</v>
      </c>
      <c r="M48" s="4">
        <f>IF(ISNUMBER(SEARCH("营",'19.12'!U48)),(-$Y48+50*IF('19.12'!$AK48="是",'19.12'!$BB$4,'19.12'!$BB$3)),(VLOOKUP('19.12'!U48,'19.12'!$AO$4:$AQ$55,2,FALSE))*IF('19.12'!$AK48="是",'19.12'!$BB$4,'19.12'!$BB$3))</f>
        <v>0</v>
      </c>
      <c r="N48" s="4">
        <f>IF(ISNUMBER(SEARCH("营",'19.12'!V48)),(-$Y48+50*IF('19.12'!$AK48="是",'19.12'!$BB$4,'19.12'!$BB$3)),(VLOOKUP('19.12'!V48,'19.12'!$AO$4:$AQ$55,2,FALSE))*IF('19.12'!$AK48="是",'19.12'!$BB$4,'19.12'!$BB$3))</f>
        <v>0</v>
      </c>
      <c r="O48" s="4">
        <f>IF(ISNUMBER(SEARCH("营",'19.12'!W48)),(-$Y48+50*IF('19.12'!$AK48="是",'19.12'!$BB$4,'19.12'!$BB$3)),(VLOOKUP('19.12'!W48,'19.12'!$AO$4:$AQ$55,2,FALSE))*IF('19.12'!$AK48="是",'19.12'!$BB$4,'19.12'!$BB$3))</f>
        <v>0</v>
      </c>
      <c r="P48" s="4">
        <f>IF(ISNUMBER(SEARCH("营",'19.12'!X48)),(-$Y48+50*IF('19.12'!$AK48="是",'19.12'!$BB$4,'19.12'!$BB$3)),(VLOOKUP('19.12'!X48,'19.12'!$AO$4:$AQ$55,2,FALSE))*IF('19.12'!$AK48="是",'19.12'!$BB$4,'19.12'!$BB$3))</f>
        <v>0</v>
      </c>
      <c r="Q48" s="4">
        <f>IF(ISNUMBER(SEARCH("营",'19.12'!Y48)),(-$Y48+50*IF('19.12'!$AK48="是",'19.12'!$BB$4,'19.12'!$BB$3)),(VLOOKUP('19.12'!Y48,'19.12'!$AO$4:$AQ$55,2,FALSE))*IF('19.12'!$AK48="是",'19.12'!$BB$4,'19.12'!$BB$3))</f>
        <v>0</v>
      </c>
      <c r="R48" s="4">
        <f>IF(ISNUMBER(SEARCH("营",'19.12'!Z48)),(-$Y48+50*IF('19.12'!$AK48="是",'19.12'!$BB$4,'19.12'!$BB$3)),(VLOOKUP('19.12'!Z48,'19.12'!$AO$4:$AQ$55,2,FALSE))*IF('19.12'!$AK48="是",'19.12'!$BB$4,'19.12'!$BB$3))</f>
        <v>0</v>
      </c>
      <c r="S48" s="4">
        <f>IF(ISNUMBER(SEARCH("营",'19.12'!AA48)),(-$Y48+50*IF('19.12'!$AK48="是",'19.12'!$BB$4,'19.12'!$BB$3)),(VLOOKUP('19.12'!AA48,'19.12'!$AO$4:$AQ$55,2,FALSE))*IF('19.12'!$AK48="是",'19.12'!$BB$4,'19.12'!$BB$3))</f>
        <v>0</v>
      </c>
      <c r="T48" s="4">
        <f>IF(ISNUMBER(SEARCH("营",'19.12'!AB48)),(-$Y48+50*IF('19.12'!$AK48="是",'19.12'!$BB$4,'19.12'!$BB$3)),(VLOOKUP('19.12'!AB48,'19.12'!$AO$4:$AQ$55,2,FALSE))*IF('19.12'!$AK48="是",'19.12'!$BB$4,'19.12'!$BB$3))</f>
        <v>0</v>
      </c>
      <c r="U48" s="4">
        <f>IF(ISNUMBER(SEARCH("营",'19.12'!AC48)),(-$Y48+50*IF('19.12'!$AK48="是",'19.12'!$BB$4,'19.12'!$BB$3)),(VLOOKUP('19.12'!AC48,'19.12'!$AO$4:$AQ$55,2,FALSE))*IF('19.12'!$AK48="是",'19.12'!$BB$4,'19.12'!$BB$3))</f>
        <v>0</v>
      </c>
      <c r="V48" s="4">
        <f>IF(ISNUMBER(SEARCH("营",'19.12'!AD48)),(-$Y48+50*IF('19.12'!$AK48="是",'19.12'!$BB$4,'19.12'!$BB$3)),(VLOOKUP('19.12'!AD48,'19.12'!$AO$4:$AQ$55,2,FALSE))*IF('19.12'!$AK48="是",'19.12'!$BB$4,'19.12'!$BB$3))</f>
        <v>0</v>
      </c>
      <c r="W48" s="4">
        <f>IF(ISNUMBER(SEARCH("营",'19.12'!AE48)),(-$Y48+50*IF('19.12'!$AK48="是",'19.12'!$BB$4,'19.12'!$BB$3)),(VLOOKUP('19.12'!AE48,'19.12'!$AO$4:$AQ$55,2,FALSE))*IF('19.12'!$AK48="是",'19.12'!$BB$4,'19.12'!$BB$3))</f>
        <v>0</v>
      </c>
      <c r="X48" s="4">
        <f>IF(ISNUMBER(SEARCH("营",'19.12'!AF48)),(-$Y48+50*IF('19.12'!$AK48="是",'19.12'!$BB$4,'19.12'!$BB$3)),(VLOOKUP('19.12'!AF48,'19.12'!$AO$4:$AQ$55,2,FALSE))*IF('19.12'!$AK48="是",'19.12'!$BB$4,'19.12'!$BB$3))</f>
        <v>0</v>
      </c>
      <c r="Y48" s="16">
        <v>150</v>
      </c>
      <c r="Z48" s="17">
        <v>45774</v>
      </c>
    </row>
    <row r="49" spans="1:26">
      <c r="A49" s="4">
        <f>IF(ISNUMBER(SEARCH("营",'19.12'!I49)),(-$Y49+50*IF('19.12'!$AK49="是",'19.12'!$BB$4,'19.12'!$BB$3)),(VLOOKUP('19.12'!I49,'19.12'!$AO$4:$AQ$55,2,FALSE))*IF('19.12'!$AK49="是",'19.12'!$BB$4,'19.12'!$BB$3))</f>
        <v>0</v>
      </c>
      <c r="B49" s="4">
        <f>IF(ISNUMBER(SEARCH("营",'19.12'!J49)),(-$Y49+50*IF('19.12'!$AK49="是",'19.12'!$BB$4,'19.12'!$BB$3)),(VLOOKUP('19.12'!J49,'19.12'!$AO$4:$AQ$55,2,FALSE))*IF('19.12'!$AK49="是",'19.12'!$BB$4,'19.12'!$BB$3))</f>
        <v>0</v>
      </c>
      <c r="C49" s="4">
        <f>IF(ISNUMBER(SEARCH("营",'19.12'!K49)),(-$Y49+50*IF('19.12'!$AK49="是",'19.12'!$BB$4,'19.12'!$BB$3)),(VLOOKUP('19.12'!K49,'19.12'!$AO$4:$AQ$55,2,FALSE))*IF('19.12'!$AK49="是",'19.12'!$BB$4,'19.12'!$BB$3))</f>
        <v>0</v>
      </c>
      <c r="D49" s="4">
        <f>IF(ISNUMBER(SEARCH("营",'19.12'!L49)),(-$Y49+50*IF('19.12'!$AK49="是",'19.12'!$BB$4,'19.12'!$BB$3)),(VLOOKUP('19.12'!L49,'19.12'!$AO$4:$AQ$55,2,FALSE))*IF('19.12'!$AK49="是",'19.12'!$BB$4,'19.12'!$BB$3))</f>
        <v>0</v>
      </c>
      <c r="E49" s="4">
        <f>IF(ISNUMBER(SEARCH("营",'19.12'!M49)),(-$Y49+50*IF('19.12'!$AK49="是",'19.12'!$BB$4,'19.12'!$BB$3)),(VLOOKUP('19.12'!M49,'19.12'!$AO$4:$AQ$55,2,FALSE))*IF('19.12'!$AK49="是",'19.12'!$BB$4,'19.12'!$BB$3))</f>
        <v>0</v>
      </c>
      <c r="F49" s="4">
        <f>IF(ISNUMBER(SEARCH("营",'19.12'!N49)),(-$Y49+50*IF('19.12'!$AK49="是",'19.12'!$BB$4,'19.12'!$BB$3)),(VLOOKUP('19.12'!N49,'19.12'!$AO$4:$AQ$55,2,FALSE))*IF('19.12'!$AK49="是",'19.12'!$BB$4,'19.12'!$BB$3))</f>
        <v>0</v>
      </c>
      <c r="G49" s="4">
        <f>IF(ISNUMBER(SEARCH("营",'19.12'!O49)),(-$Y49+50*IF('19.12'!$AK49="是",'19.12'!$BB$4,'19.12'!$BB$3)),(VLOOKUP('19.12'!O49,'19.12'!$AO$4:$AQ$55,2,FALSE))*IF('19.12'!$AK49="是",'19.12'!$BB$4,'19.12'!$BB$3))</f>
        <v>0</v>
      </c>
      <c r="H49" s="4">
        <f>IF(ISNUMBER(SEARCH("营",'19.12'!P49)),(-$Y49+50*IF('19.12'!$AK49="是",'19.12'!$BB$4,'19.12'!$BB$3)),(VLOOKUP('19.12'!P49,'19.12'!$AO$4:$AQ$55,2,FALSE))*IF('19.12'!$AK49="是",'19.12'!$BB$4,'19.12'!$BB$3))</f>
        <v>0</v>
      </c>
      <c r="I49" s="4">
        <f>IF(ISNUMBER(SEARCH("营",'19.12'!Q49)),(-$Y49+50*IF('19.12'!$AK49="是",'19.12'!$BB$4,'19.12'!$BB$3)),(VLOOKUP('19.12'!Q49,'19.12'!$AO$4:$AQ$55,2,FALSE))*IF('19.12'!$AK49="是",'19.12'!$BB$4,'19.12'!$BB$3))</f>
        <v>0</v>
      </c>
      <c r="J49" s="4">
        <f>IF(ISNUMBER(SEARCH("营",'19.12'!R49)),(-$Y49+50*IF('19.12'!$AK49="是",'19.12'!$BB$4,'19.12'!$BB$3)),(VLOOKUP('19.12'!R49,'19.12'!$AO$4:$AQ$55,2,FALSE))*IF('19.12'!$AK49="是",'19.12'!$BB$4,'19.12'!$BB$3))</f>
        <v>0</v>
      </c>
      <c r="K49" s="4">
        <f>IF(ISNUMBER(SEARCH("营",'19.12'!S49)),(-$Y49+50*IF('19.12'!$AK49="是",'19.12'!$BB$4,'19.12'!$BB$3)),(VLOOKUP('19.12'!S49,'19.12'!$AO$4:$AQ$55,2,FALSE))*IF('19.12'!$AK49="是",'19.12'!$BB$4,'19.12'!$BB$3))</f>
        <v>0</v>
      </c>
      <c r="L49" s="4">
        <f>IF(ISNUMBER(SEARCH("营",'19.12'!T49)),(-$Y49+50*IF('19.12'!$AK49="是",'19.12'!$BB$4,'19.12'!$BB$3)),(VLOOKUP('19.12'!T49,'19.12'!$AO$4:$AQ$55,2,FALSE))*IF('19.12'!$AK49="是",'19.12'!$BB$4,'19.12'!$BB$3))</f>
        <v>0</v>
      </c>
      <c r="M49" s="4">
        <f>IF(ISNUMBER(SEARCH("营",'19.12'!U49)),(-$Y49+50*IF('19.12'!$AK49="是",'19.12'!$BB$4,'19.12'!$BB$3)),(VLOOKUP('19.12'!U49,'19.12'!$AO$4:$AQ$55,2,FALSE))*IF('19.12'!$AK49="是",'19.12'!$BB$4,'19.12'!$BB$3))</f>
        <v>0</v>
      </c>
      <c r="N49" s="4">
        <f>IF(ISNUMBER(SEARCH("营",'19.12'!V49)),(-$Y49+50*IF('19.12'!$AK49="是",'19.12'!$BB$4,'19.12'!$BB$3)),(VLOOKUP('19.12'!V49,'19.12'!$AO$4:$AQ$55,2,FALSE))*IF('19.12'!$AK49="是",'19.12'!$BB$4,'19.12'!$BB$3))</f>
        <v>0</v>
      </c>
      <c r="O49" s="4">
        <f>IF(ISNUMBER(SEARCH("营",'19.12'!W49)),(-$Y49+50*IF('19.12'!$AK49="是",'19.12'!$BB$4,'19.12'!$BB$3)),(VLOOKUP('19.12'!W49,'19.12'!$AO$4:$AQ$55,2,FALSE))*IF('19.12'!$AK49="是",'19.12'!$BB$4,'19.12'!$BB$3))</f>
        <v>0</v>
      </c>
      <c r="P49" s="4">
        <f>IF(ISNUMBER(SEARCH("营",'19.12'!X49)),(-$Y49+50*IF('19.12'!$AK49="是",'19.12'!$BB$4,'19.12'!$BB$3)),(VLOOKUP('19.12'!X49,'19.12'!$AO$4:$AQ$55,2,FALSE))*IF('19.12'!$AK49="是",'19.12'!$BB$4,'19.12'!$BB$3))</f>
        <v>0</v>
      </c>
      <c r="Q49" s="4">
        <f>IF(ISNUMBER(SEARCH("营",'19.12'!Y49)),(-$Y49+50*IF('19.12'!$AK49="是",'19.12'!$BB$4,'19.12'!$BB$3)),(VLOOKUP('19.12'!Y49,'19.12'!$AO$4:$AQ$55,2,FALSE))*IF('19.12'!$AK49="是",'19.12'!$BB$4,'19.12'!$BB$3))</f>
        <v>0</v>
      </c>
      <c r="R49" s="4">
        <f>IF(ISNUMBER(SEARCH("营",'19.12'!Z49)),(-$Y49+50*IF('19.12'!$AK49="是",'19.12'!$BB$4,'19.12'!$BB$3)),(VLOOKUP('19.12'!Z49,'19.12'!$AO$4:$AQ$55,2,FALSE))*IF('19.12'!$AK49="是",'19.12'!$BB$4,'19.12'!$BB$3))</f>
        <v>0</v>
      </c>
      <c r="S49" s="4">
        <f>IF(ISNUMBER(SEARCH("营",'19.12'!AA49)),(-$Y49+50*IF('19.12'!$AK49="是",'19.12'!$BB$4,'19.12'!$BB$3)),(VLOOKUP('19.12'!AA49,'19.12'!$AO$4:$AQ$55,2,FALSE))*IF('19.12'!$AK49="是",'19.12'!$BB$4,'19.12'!$BB$3))</f>
        <v>0</v>
      </c>
      <c r="T49" s="4">
        <f>IF(ISNUMBER(SEARCH("营",'19.12'!AB49)),(-$Y49+50*IF('19.12'!$AK49="是",'19.12'!$BB$4,'19.12'!$BB$3)),(VLOOKUP('19.12'!AB49,'19.12'!$AO$4:$AQ$55,2,FALSE))*IF('19.12'!$AK49="是",'19.12'!$BB$4,'19.12'!$BB$3))</f>
        <v>0</v>
      </c>
      <c r="U49" s="4">
        <f>IF(ISNUMBER(SEARCH("营",'19.12'!AC49)),(-$Y49+50*IF('19.12'!$AK49="是",'19.12'!$BB$4,'19.12'!$BB$3)),(VLOOKUP('19.12'!AC49,'19.12'!$AO$4:$AQ$55,2,FALSE))*IF('19.12'!$AK49="是",'19.12'!$BB$4,'19.12'!$BB$3))</f>
        <v>0</v>
      </c>
      <c r="V49" s="4">
        <f>IF(ISNUMBER(SEARCH("营",'19.12'!AD49)),(-$Y49+50*IF('19.12'!$AK49="是",'19.12'!$BB$4,'19.12'!$BB$3)),(VLOOKUP('19.12'!AD49,'19.12'!$AO$4:$AQ$55,2,FALSE))*IF('19.12'!$AK49="是",'19.12'!$BB$4,'19.12'!$BB$3))</f>
        <v>0</v>
      </c>
      <c r="W49" s="4">
        <f>IF(ISNUMBER(SEARCH("营",'19.12'!AE49)),(-$Y49+50*IF('19.12'!$AK49="是",'19.12'!$BB$4,'19.12'!$BB$3)),(VLOOKUP('19.12'!AE49,'19.12'!$AO$4:$AQ$55,2,FALSE))*IF('19.12'!$AK49="是",'19.12'!$BB$4,'19.12'!$BB$3))</f>
        <v>0</v>
      </c>
      <c r="X49" s="4">
        <f>IF(ISNUMBER(SEARCH("营",'19.12'!AF49)),(-$Y49+50*IF('19.12'!$AK49="是",'19.12'!$BB$4,'19.12'!$BB$3)),(VLOOKUP('19.12'!AF49,'19.12'!$AO$4:$AQ$55,2,FALSE))*IF('19.12'!$AK49="是",'19.12'!$BB$4,'19.12'!$BB$3))</f>
        <v>0</v>
      </c>
      <c r="Y49" s="16">
        <v>150</v>
      </c>
      <c r="Z49" s="17">
        <v>45775</v>
      </c>
    </row>
    <row r="50" spans="1:26">
      <c r="A50" s="4">
        <f>IF(ISNUMBER(SEARCH("营",'19.12'!I50)),(-$Y50+50*IF('19.12'!$AK50="是",'19.12'!$BB$4,'19.12'!$BB$3)),(VLOOKUP('19.12'!I50,'19.12'!$AO$4:$AQ$55,2,FALSE))*IF('19.12'!$AK50="是",'19.12'!$BB$4,'19.12'!$BB$3))</f>
        <v>0</v>
      </c>
      <c r="B50" s="4">
        <f>IF(ISNUMBER(SEARCH("营",'19.12'!J50)),(-$Y50+50*IF('19.12'!$AK50="是",'19.12'!$BB$4,'19.12'!$BB$3)),(VLOOKUP('19.12'!J50,'19.12'!$AO$4:$AQ$55,2,FALSE))*IF('19.12'!$AK50="是",'19.12'!$BB$4,'19.12'!$BB$3))</f>
        <v>0</v>
      </c>
      <c r="C50" s="4">
        <f>IF(ISNUMBER(SEARCH("营",'19.12'!K50)),(-$Y50+50*IF('19.12'!$AK50="是",'19.12'!$BB$4,'19.12'!$BB$3)),(VLOOKUP('19.12'!K50,'19.12'!$AO$4:$AQ$55,2,FALSE))*IF('19.12'!$AK50="是",'19.12'!$BB$4,'19.12'!$BB$3))</f>
        <v>0</v>
      </c>
      <c r="D50" s="4">
        <f>IF(ISNUMBER(SEARCH("营",'19.12'!L50)),(-$Y50+50*IF('19.12'!$AK50="是",'19.12'!$BB$4,'19.12'!$BB$3)),(VLOOKUP('19.12'!L50,'19.12'!$AO$4:$AQ$55,2,FALSE))*IF('19.12'!$AK50="是",'19.12'!$BB$4,'19.12'!$BB$3))</f>
        <v>0</v>
      </c>
      <c r="E50" s="4">
        <f>IF(ISNUMBER(SEARCH("营",'19.12'!M50)),(-$Y50+50*IF('19.12'!$AK50="是",'19.12'!$BB$4,'19.12'!$BB$3)),(VLOOKUP('19.12'!M50,'19.12'!$AO$4:$AQ$55,2,FALSE))*IF('19.12'!$AK50="是",'19.12'!$BB$4,'19.12'!$BB$3))</f>
        <v>0</v>
      </c>
      <c r="F50" s="4">
        <f>IF(ISNUMBER(SEARCH("营",'19.12'!N50)),(-$Y50+50*IF('19.12'!$AK50="是",'19.12'!$BB$4,'19.12'!$BB$3)),(VLOOKUP('19.12'!N50,'19.12'!$AO$4:$AQ$55,2,FALSE))*IF('19.12'!$AK50="是",'19.12'!$BB$4,'19.12'!$BB$3))</f>
        <v>0</v>
      </c>
      <c r="G50" s="4">
        <f>IF(ISNUMBER(SEARCH("营",'19.12'!O50)),(-$Y50+50*IF('19.12'!$AK50="是",'19.12'!$BB$4,'19.12'!$BB$3)),(VLOOKUP('19.12'!O50,'19.12'!$AO$4:$AQ$55,2,FALSE))*IF('19.12'!$AK50="是",'19.12'!$BB$4,'19.12'!$BB$3))</f>
        <v>0</v>
      </c>
      <c r="H50" s="4">
        <f>IF(ISNUMBER(SEARCH("营",'19.12'!P50)),(-$Y50+50*IF('19.12'!$AK50="是",'19.12'!$BB$4,'19.12'!$BB$3)),(VLOOKUP('19.12'!P50,'19.12'!$AO$4:$AQ$55,2,FALSE))*IF('19.12'!$AK50="是",'19.12'!$BB$4,'19.12'!$BB$3))</f>
        <v>0</v>
      </c>
      <c r="I50" s="4">
        <f>IF(ISNUMBER(SEARCH("营",'19.12'!Q50)),(-$Y50+50*IF('19.12'!$AK50="是",'19.12'!$BB$4,'19.12'!$BB$3)),(VLOOKUP('19.12'!Q50,'19.12'!$AO$4:$AQ$55,2,FALSE))*IF('19.12'!$AK50="是",'19.12'!$BB$4,'19.12'!$BB$3))</f>
        <v>0</v>
      </c>
      <c r="J50" s="4">
        <f>IF(ISNUMBER(SEARCH("营",'19.12'!R50)),(-$Y50+50*IF('19.12'!$AK50="是",'19.12'!$BB$4,'19.12'!$BB$3)),(VLOOKUP('19.12'!R50,'19.12'!$AO$4:$AQ$55,2,FALSE))*IF('19.12'!$AK50="是",'19.12'!$BB$4,'19.12'!$BB$3))</f>
        <v>0</v>
      </c>
      <c r="K50" s="4">
        <f>IF(ISNUMBER(SEARCH("营",'19.12'!S50)),(-$Y50+50*IF('19.12'!$AK50="是",'19.12'!$BB$4,'19.12'!$BB$3)),(VLOOKUP('19.12'!S50,'19.12'!$AO$4:$AQ$55,2,FALSE))*IF('19.12'!$AK50="是",'19.12'!$BB$4,'19.12'!$BB$3))</f>
        <v>0</v>
      </c>
      <c r="L50" s="4">
        <f>IF(ISNUMBER(SEARCH("营",'19.12'!T50)),(-$Y50+50*IF('19.12'!$AK50="是",'19.12'!$BB$4,'19.12'!$BB$3)),(VLOOKUP('19.12'!T50,'19.12'!$AO$4:$AQ$55,2,FALSE))*IF('19.12'!$AK50="是",'19.12'!$BB$4,'19.12'!$BB$3))</f>
        <v>0</v>
      </c>
      <c r="M50" s="4">
        <f>IF(ISNUMBER(SEARCH("营",'19.12'!U50)),(-$Y50+50*IF('19.12'!$AK50="是",'19.12'!$BB$4,'19.12'!$BB$3)),(VLOOKUP('19.12'!U50,'19.12'!$AO$4:$AQ$55,2,FALSE))*IF('19.12'!$AK50="是",'19.12'!$BB$4,'19.12'!$BB$3))</f>
        <v>0</v>
      </c>
      <c r="N50" s="4">
        <f>IF(ISNUMBER(SEARCH("营",'19.12'!V50)),(-$Y50+50*IF('19.12'!$AK50="是",'19.12'!$BB$4,'19.12'!$BB$3)),(VLOOKUP('19.12'!V50,'19.12'!$AO$4:$AQ$55,2,FALSE))*IF('19.12'!$AK50="是",'19.12'!$BB$4,'19.12'!$BB$3))</f>
        <v>0</v>
      </c>
      <c r="O50" s="4">
        <f>IF(ISNUMBER(SEARCH("营",'19.12'!W50)),(-$Y50+50*IF('19.12'!$AK50="是",'19.12'!$BB$4,'19.12'!$BB$3)),(VLOOKUP('19.12'!W50,'19.12'!$AO$4:$AQ$55,2,FALSE))*IF('19.12'!$AK50="是",'19.12'!$BB$4,'19.12'!$BB$3))</f>
        <v>0</v>
      </c>
      <c r="P50" s="4">
        <f>IF(ISNUMBER(SEARCH("营",'19.12'!X50)),(-$Y50+50*IF('19.12'!$AK50="是",'19.12'!$BB$4,'19.12'!$BB$3)),(VLOOKUP('19.12'!X50,'19.12'!$AO$4:$AQ$55,2,FALSE))*IF('19.12'!$AK50="是",'19.12'!$BB$4,'19.12'!$BB$3))</f>
        <v>0</v>
      </c>
      <c r="Q50" s="4">
        <f>IF(ISNUMBER(SEARCH("营",'19.12'!Y50)),(-$Y50+50*IF('19.12'!$AK50="是",'19.12'!$BB$4,'19.12'!$BB$3)),(VLOOKUP('19.12'!Y50,'19.12'!$AO$4:$AQ$55,2,FALSE))*IF('19.12'!$AK50="是",'19.12'!$BB$4,'19.12'!$BB$3))</f>
        <v>0</v>
      </c>
      <c r="R50" s="4">
        <f>IF(ISNUMBER(SEARCH("营",'19.12'!Z50)),(-$Y50+50*IF('19.12'!$AK50="是",'19.12'!$BB$4,'19.12'!$BB$3)),(VLOOKUP('19.12'!Z50,'19.12'!$AO$4:$AQ$55,2,FALSE))*IF('19.12'!$AK50="是",'19.12'!$BB$4,'19.12'!$BB$3))</f>
        <v>0</v>
      </c>
      <c r="S50" s="4">
        <f>IF(ISNUMBER(SEARCH("营",'19.12'!AA50)),(-$Y50+50*IF('19.12'!$AK50="是",'19.12'!$BB$4,'19.12'!$BB$3)),(VLOOKUP('19.12'!AA50,'19.12'!$AO$4:$AQ$55,2,FALSE))*IF('19.12'!$AK50="是",'19.12'!$BB$4,'19.12'!$BB$3))</f>
        <v>0</v>
      </c>
      <c r="T50" s="4">
        <f>IF(ISNUMBER(SEARCH("营",'19.12'!AB50)),(-$Y50+50*IF('19.12'!$AK50="是",'19.12'!$BB$4,'19.12'!$BB$3)),(VLOOKUP('19.12'!AB50,'19.12'!$AO$4:$AQ$55,2,FALSE))*IF('19.12'!$AK50="是",'19.12'!$BB$4,'19.12'!$BB$3))</f>
        <v>0</v>
      </c>
      <c r="U50" s="4">
        <f>IF(ISNUMBER(SEARCH("营",'19.12'!AC50)),(-$Y50+50*IF('19.12'!$AK50="是",'19.12'!$BB$4,'19.12'!$BB$3)),(VLOOKUP('19.12'!AC50,'19.12'!$AO$4:$AQ$55,2,FALSE))*IF('19.12'!$AK50="是",'19.12'!$BB$4,'19.12'!$BB$3))</f>
        <v>0</v>
      </c>
      <c r="V50" s="4">
        <f>IF(ISNUMBER(SEARCH("营",'19.12'!AD50)),(-$Y50+50*IF('19.12'!$AK50="是",'19.12'!$BB$4,'19.12'!$BB$3)),(VLOOKUP('19.12'!AD50,'19.12'!$AO$4:$AQ$55,2,FALSE))*IF('19.12'!$AK50="是",'19.12'!$BB$4,'19.12'!$BB$3))</f>
        <v>0</v>
      </c>
      <c r="W50" s="4">
        <f>IF(ISNUMBER(SEARCH("营",'19.12'!AE50)),(-$Y50+50*IF('19.12'!$AK50="是",'19.12'!$BB$4,'19.12'!$BB$3)),(VLOOKUP('19.12'!AE50,'19.12'!$AO$4:$AQ$55,2,FALSE))*IF('19.12'!$AK50="是",'19.12'!$BB$4,'19.12'!$BB$3))</f>
        <v>0</v>
      </c>
      <c r="X50" s="4">
        <f>IF(ISNUMBER(SEARCH("营",'19.12'!AF50)),(-$Y50+50*IF('19.12'!$AK50="是",'19.12'!$BB$4,'19.12'!$BB$3)),(VLOOKUP('19.12'!AF50,'19.12'!$AO$4:$AQ$55,2,FALSE))*IF('19.12'!$AK50="是",'19.12'!$BB$4,'19.12'!$BB$3))</f>
        <v>0</v>
      </c>
      <c r="Y50" s="16">
        <v>150</v>
      </c>
      <c r="Z50" s="17">
        <v>45776</v>
      </c>
    </row>
    <row r="51" spans="1:26">
      <c r="A51" s="4">
        <f>IF(ISNUMBER(SEARCH("营",'19.12'!I51)),(-$Y51+50*IF('19.12'!$AK51="是",'19.12'!$BB$4,'19.12'!$BB$3)),(VLOOKUP('19.12'!I51,'19.12'!$AO$4:$AQ$55,2,FALSE))*IF('19.12'!$AK51="是",'19.12'!$BB$4,'19.12'!$BB$3))</f>
        <v>0</v>
      </c>
      <c r="B51" s="4">
        <f>IF(ISNUMBER(SEARCH("营",'19.12'!J51)),(-$Y51+50*IF('19.12'!$AK51="是",'19.12'!$BB$4,'19.12'!$BB$3)),(VLOOKUP('19.12'!J51,'19.12'!$AO$4:$AQ$55,2,FALSE))*IF('19.12'!$AK51="是",'19.12'!$BB$4,'19.12'!$BB$3))</f>
        <v>0</v>
      </c>
      <c r="C51" s="4">
        <f>IF(ISNUMBER(SEARCH("营",'19.12'!K51)),(-$Y51+50*IF('19.12'!$AK51="是",'19.12'!$BB$4,'19.12'!$BB$3)),(VLOOKUP('19.12'!K51,'19.12'!$AO$4:$AQ$55,2,FALSE))*IF('19.12'!$AK51="是",'19.12'!$BB$4,'19.12'!$BB$3))</f>
        <v>0</v>
      </c>
      <c r="D51" s="4">
        <f>IF(ISNUMBER(SEARCH("营",'19.12'!L51)),(-$Y51+50*IF('19.12'!$AK51="是",'19.12'!$BB$4,'19.12'!$BB$3)),(VLOOKUP('19.12'!L51,'19.12'!$AO$4:$AQ$55,2,FALSE))*IF('19.12'!$AK51="是",'19.12'!$BB$4,'19.12'!$BB$3))</f>
        <v>0</v>
      </c>
      <c r="E51" s="4">
        <f>IF(ISNUMBER(SEARCH("营",'19.12'!M51)),(-$Y51+50*IF('19.12'!$AK51="是",'19.12'!$BB$4,'19.12'!$BB$3)),(VLOOKUP('19.12'!M51,'19.12'!$AO$4:$AQ$55,2,FALSE))*IF('19.12'!$AK51="是",'19.12'!$BB$4,'19.12'!$BB$3))</f>
        <v>0</v>
      </c>
      <c r="F51" s="4">
        <f>IF(ISNUMBER(SEARCH("营",'19.12'!N51)),(-$Y51+50*IF('19.12'!$AK51="是",'19.12'!$BB$4,'19.12'!$BB$3)),(VLOOKUP('19.12'!N51,'19.12'!$AO$4:$AQ$55,2,FALSE))*IF('19.12'!$AK51="是",'19.12'!$BB$4,'19.12'!$BB$3))</f>
        <v>0</v>
      </c>
      <c r="G51" s="4">
        <f>IF(ISNUMBER(SEARCH("营",'19.12'!O51)),(-$Y51+50*IF('19.12'!$AK51="是",'19.12'!$BB$4,'19.12'!$BB$3)),(VLOOKUP('19.12'!O51,'19.12'!$AO$4:$AQ$55,2,FALSE))*IF('19.12'!$AK51="是",'19.12'!$BB$4,'19.12'!$BB$3))</f>
        <v>0</v>
      </c>
      <c r="H51" s="4">
        <f>IF(ISNUMBER(SEARCH("营",'19.12'!P51)),(-$Y51+50*IF('19.12'!$AK51="是",'19.12'!$BB$4,'19.12'!$BB$3)),(VLOOKUP('19.12'!P51,'19.12'!$AO$4:$AQ$55,2,FALSE))*IF('19.12'!$AK51="是",'19.12'!$BB$4,'19.12'!$BB$3))</f>
        <v>0</v>
      </c>
      <c r="I51" s="4">
        <f>IF(ISNUMBER(SEARCH("营",'19.12'!Q51)),(-$Y51+50*IF('19.12'!$AK51="是",'19.12'!$BB$4,'19.12'!$BB$3)),(VLOOKUP('19.12'!Q51,'19.12'!$AO$4:$AQ$55,2,FALSE))*IF('19.12'!$AK51="是",'19.12'!$BB$4,'19.12'!$BB$3))</f>
        <v>0</v>
      </c>
      <c r="J51" s="4">
        <f>IF(ISNUMBER(SEARCH("营",'19.12'!R51)),(-$Y51+50*IF('19.12'!$AK51="是",'19.12'!$BB$4,'19.12'!$BB$3)),(VLOOKUP('19.12'!R51,'19.12'!$AO$4:$AQ$55,2,FALSE))*IF('19.12'!$AK51="是",'19.12'!$BB$4,'19.12'!$BB$3))</f>
        <v>0</v>
      </c>
      <c r="K51" s="4">
        <f>IF(ISNUMBER(SEARCH("营",'19.12'!S51)),(-$Y51+50*IF('19.12'!$AK51="是",'19.12'!$BB$4,'19.12'!$BB$3)),(VLOOKUP('19.12'!S51,'19.12'!$AO$4:$AQ$55,2,FALSE))*IF('19.12'!$AK51="是",'19.12'!$BB$4,'19.12'!$BB$3))</f>
        <v>0</v>
      </c>
      <c r="L51" s="4">
        <f>IF(ISNUMBER(SEARCH("营",'19.12'!T51)),(-$Y51+50*IF('19.12'!$AK51="是",'19.12'!$BB$4,'19.12'!$BB$3)),(VLOOKUP('19.12'!T51,'19.12'!$AO$4:$AQ$55,2,FALSE))*IF('19.12'!$AK51="是",'19.12'!$BB$4,'19.12'!$BB$3))</f>
        <v>0</v>
      </c>
      <c r="M51" s="4">
        <f>IF(ISNUMBER(SEARCH("营",'19.12'!U51)),(-$Y51+50*IF('19.12'!$AK51="是",'19.12'!$BB$4,'19.12'!$BB$3)),(VLOOKUP('19.12'!U51,'19.12'!$AO$4:$AQ$55,2,FALSE))*IF('19.12'!$AK51="是",'19.12'!$BB$4,'19.12'!$BB$3))</f>
        <v>0</v>
      </c>
      <c r="N51" s="4">
        <f>IF(ISNUMBER(SEARCH("营",'19.12'!V51)),(-$Y51+50*IF('19.12'!$AK51="是",'19.12'!$BB$4,'19.12'!$BB$3)),(VLOOKUP('19.12'!V51,'19.12'!$AO$4:$AQ$55,2,FALSE))*IF('19.12'!$AK51="是",'19.12'!$BB$4,'19.12'!$BB$3))</f>
        <v>0</v>
      </c>
      <c r="O51" s="4">
        <f>IF(ISNUMBER(SEARCH("营",'19.12'!W51)),(-$Y51+50*IF('19.12'!$AK51="是",'19.12'!$BB$4,'19.12'!$BB$3)),(VLOOKUP('19.12'!W51,'19.12'!$AO$4:$AQ$55,2,FALSE))*IF('19.12'!$AK51="是",'19.12'!$BB$4,'19.12'!$BB$3))</f>
        <v>0</v>
      </c>
      <c r="P51" s="4">
        <f>IF(ISNUMBER(SEARCH("营",'19.12'!X51)),(-$Y51+50*IF('19.12'!$AK51="是",'19.12'!$BB$4,'19.12'!$BB$3)),(VLOOKUP('19.12'!X51,'19.12'!$AO$4:$AQ$55,2,FALSE))*IF('19.12'!$AK51="是",'19.12'!$BB$4,'19.12'!$BB$3))</f>
        <v>0</v>
      </c>
      <c r="Q51" s="4">
        <f>IF(ISNUMBER(SEARCH("营",'19.12'!Y51)),(-$Y51+50*IF('19.12'!$AK51="是",'19.12'!$BB$4,'19.12'!$BB$3)),(VLOOKUP('19.12'!Y51,'19.12'!$AO$4:$AQ$55,2,FALSE))*IF('19.12'!$AK51="是",'19.12'!$BB$4,'19.12'!$BB$3))</f>
        <v>0</v>
      </c>
      <c r="R51" s="4">
        <f>IF(ISNUMBER(SEARCH("营",'19.12'!Z51)),(-$Y51+50*IF('19.12'!$AK51="是",'19.12'!$BB$4,'19.12'!$BB$3)),(VLOOKUP('19.12'!Z51,'19.12'!$AO$4:$AQ$55,2,FALSE))*IF('19.12'!$AK51="是",'19.12'!$BB$4,'19.12'!$BB$3))</f>
        <v>0</v>
      </c>
      <c r="S51" s="4">
        <f>IF(ISNUMBER(SEARCH("营",'19.12'!AA51)),(-$Y51+50*IF('19.12'!$AK51="是",'19.12'!$BB$4,'19.12'!$BB$3)),(VLOOKUP('19.12'!AA51,'19.12'!$AO$4:$AQ$55,2,FALSE))*IF('19.12'!$AK51="是",'19.12'!$BB$4,'19.12'!$BB$3))</f>
        <v>0</v>
      </c>
      <c r="T51" s="4">
        <f>IF(ISNUMBER(SEARCH("营",'19.12'!AB51)),(-$Y51+50*IF('19.12'!$AK51="是",'19.12'!$BB$4,'19.12'!$BB$3)),(VLOOKUP('19.12'!AB51,'19.12'!$AO$4:$AQ$55,2,FALSE))*IF('19.12'!$AK51="是",'19.12'!$BB$4,'19.12'!$BB$3))</f>
        <v>0</v>
      </c>
      <c r="U51" s="4">
        <f>IF(ISNUMBER(SEARCH("营",'19.12'!AC51)),(-$Y51+50*IF('19.12'!$AK51="是",'19.12'!$BB$4,'19.12'!$BB$3)),(VLOOKUP('19.12'!AC51,'19.12'!$AO$4:$AQ$55,2,FALSE))*IF('19.12'!$AK51="是",'19.12'!$BB$4,'19.12'!$BB$3))</f>
        <v>0</v>
      </c>
      <c r="V51" s="4">
        <f>IF(ISNUMBER(SEARCH("营",'19.12'!AD51)),(-$Y51+50*IF('19.12'!$AK51="是",'19.12'!$BB$4,'19.12'!$BB$3)),(VLOOKUP('19.12'!AD51,'19.12'!$AO$4:$AQ$55,2,FALSE))*IF('19.12'!$AK51="是",'19.12'!$BB$4,'19.12'!$BB$3))</f>
        <v>0</v>
      </c>
      <c r="W51" s="4">
        <f>IF(ISNUMBER(SEARCH("营",'19.12'!AE51)),(-$Y51+50*IF('19.12'!$AK51="是",'19.12'!$BB$4,'19.12'!$BB$3)),(VLOOKUP('19.12'!AE51,'19.12'!$AO$4:$AQ$55,2,FALSE))*IF('19.12'!$AK51="是",'19.12'!$BB$4,'19.12'!$BB$3))</f>
        <v>0</v>
      </c>
      <c r="X51" s="4">
        <f>IF(ISNUMBER(SEARCH("营",'19.12'!AF51)),(-$Y51+50*IF('19.12'!$AK51="是",'19.12'!$BB$4,'19.12'!$BB$3)),(VLOOKUP('19.12'!AF51,'19.12'!$AO$4:$AQ$55,2,FALSE))*IF('19.12'!$AK51="是",'19.12'!$BB$4,'19.12'!$BB$3))</f>
        <v>0</v>
      </c>
      <c r="Y51" s="16">
        <v>150</v>
      </c>
      <c r="Z51" s="17">
        <v>45777</v>
      </c>
    </row>
    <row r="52" spans="1:26">
      <c r="A52" s="4">
        <f>IF(ISNUMBER(SEARCH("营",'19.12'!I52)),(-$Y52+50*IF('19.12'!$AK52="是",'19.12'!$BB$4,'19.12'!$BB$3)),(VLOOKUP('19.12'!I52,'19.12'!$AO$4:$AQ$55,2,FALSE))*IF('19.12'!$AK52="是",'19.12'!$BB$4,'19.12'!$BB$3))</f>
        <v>0</v>
      </c>
      <c r="B52" s="4">
        <f>IF(ISNUMBER(SEARCH("营",'19.12'!J52)),(-$Y52+50*IF('19.12'!$AK52="是",'19.12'!$BB$4,'19.12'!$BB$3)),(VLOOKUP('19.12'!J52,'19.12'!$AO$4:$AQ$55,2,FALSE))*IF('19.12'!$AK52="是",'19.12'!$BB$4,'19.12'!$BB$3))</f>
        <v>0</v>
      </c>
      <c r="C52" s="4">
        <f>IF(ISNUMBER(SEARCH("营",'19.12'!K52)),(-$Y52+50*IF('19.12'!$AK52="是",'19.12'!$BB$4,'19.12'!$BB$3)),(VLOOKUP('19.12'!K52,'19.12'!$AO$4:$AQ$55,2,FALSE))*IF('19.12'!$AK52="是",'19.12'!$BB$4,'19.12'!$BB$3))</f>
        <v>0</v>
      </c>
      <c r="D52" s="4">
        <f>IF(ISNUMBER(SEARCH("营",'19.12'!L52)),(-$Y52+50*IF('19.12'!$AK52="是",'19.12'!$BB$4,'19.12'!$BB$3)),(VLOOKUP('19.12'!L52,'19.12'!$AO$4:$AQ$55,2,FALSE))*IF('19.12'!$AK52="是",'19.12'!$BB$4,'19.12'!$BB$3))</f>
        <v>0</v>
      </c>
      <c r="E52" s="4">
        <f>IF(ISNUMBER(SEARCH("营",'19.12'!M52)),(-$Y52+50*IF('19.12'!$AK52="是",'19.12'!$BB$4,'19.12'!$BB$3)),(VLOOKUP('19.12'!M52,'19.12'!$AO$4:$AQ$55,2,FALSE))*IF('19.12'!$AK52="是",'19.12'!$BB$4,'19.12'!$BB$3))</f>
        <v>0</v>
      </c>
      <c r="F52" s="4">
        <f>IF(ISNUMBER(SEARCH("营",'19.12'!N52)),(-$Y52+50*IF('19.12'!$AK52="是",'19.12'!$BB$4,'19.12'!$BB$3)),(VLOOKUP('19.12'!N52,'19.12'!$AO$4:$AQ$55,2,FALSE))*IF('19.12'!$AK52="是",'19.12'!$BB$4,'19.12'!$BB$3))</f>
        <v>0</v>
      </c>
      <c r="G52" s="4">
        <f>IF(ISNUMBER(SEARCH("营",'19.12'!O52)),(-$Y52+50*IF('19.12'!$AK52="是",'19.12'!$BB$4,'19.12'!$BB$3)),(VLOOKUP('19.12'!O52,'19.12'!$AO$4:$AQ$55,2,FALSE))*IF('19.12'!$AK52="是",'19.12'!$BB$4,'19.12'!$BB$3))</f>
        <v>0</v>
      </c>
      <c r="H52" s="4">
        <f>IF(ISNUMBER(SEARCH("营",'19.12'!P52)),(-$Y52+50*IF('19.12'!$AK52="是",'19.12'!$BB$4,'19.12'!$BB$3)),(VLOOKUP('19.12'!P52,'19.12'!$AO$4:$AQ$55,2,FALSE))*IF('19.12'!$AK52="是",'19.12'!$BB$4,'19.12'!$BB$3))</f>
        <v>0</v>
      </c>
      <c r="I52" s="4">
        <f>IF(ISNUMBER(SEARCH("营",'19.12'!Q52)),(-$Y52+50*IF('19.12'!$AK52="是",'19.12'!$BB$4,'19.12'!$BB$3)),(VLOOKUP('19.12'!Q52,'19.12'!$AO$4:$AQ$55,2,FALSE))*IF('19.12'!$AK52="是",'19.12'!$BB$4,'19.12'!$BB$3))</f>
        <v>0</v>
      </c>
      <c r="J52" s="4">
        <f>IF(ISNUMBER(SEARCH("营",'19.12'!R52)),(-$Y52+50*IF('19.12'!$AK52="是",'19.12'!$BB$4,'19.12'!$BB$3)),(VLOOKUP('19.12'!R52,'19.12'!$AO$4:$AQ$55,2,FALSE))*IF('19.12'!$AK52="是",'19.12'!$BB$4,'19.12'!$BB$3))</f>
        <v>0</v>
      </c>
      <c r="K52" s="4">
        <f>IF(ISNUMBER(SEARCH("营",'19.12'!S52)),(-$Y52+50*IF('19.12'!$AK52="是",'19.12'!$BB$4,'19.12'!$BB$3)),(VLOOKUP('19.12'!S52,'19.12'!$AO$4:$AQ$55,2,FALSE))*IF('19.12'!$AK52="是",'19.12'!$BB$4,'19.12'!$BB$3))</f>
        <v>0</v>
      </c>
      <c r="L52" s="4">
        <f>IF(ISNUMBER(SEARCH("营",'19.12'!T52)),(-$Y52+50*IF('19.12'!$AK52="是",'19.12'!$BB$4,'19.12'!$BB$3)),(VLOOKUP('19.12'!T52,'19.12'!$AO$4:$AQ$55,2,FALSE))*IF('19.12'!$AK52="是",'19.12'!$BB$4,'19.12'!$BB$3))</f>
        <v>0</v>
      </c>
      <c r="M52" s="4">
        <f>IF(ISNUMBER(SEARCH("营",'19.12'!U52)),(-$Y52+50*IF('19.12'!$AK52="是",'19.12'!$BB$4,'19.12'!$BB$3)),(VLOOKUP('19.12'!U52,'19.12'!$AO$4:$AQ$55,2,FALSE))*IF('19.12'!$AK52="是",'19.12'!$BB$4,'19.12'!$BB$3))</f>
        <v>0</v>
      </c>
      <c r="N52" s="4">
        <f>IF(ISNUMBER(SEARCH("营",'19.12'!V52)),(-$Y52+50*IF('19.12'!$AK52="是",'19.12'!$BB$4,'19.12'!$BB$3)),(VLOOKUP('19.12'!V52,'19.12'!$AO$4:$AQ$55,2,FALSE))*IF('19.12'!$AK52="是",'19.12'!$BB$4,'19.12'!$BB$3))</f>
        <v>0</v>
      </c>
      <c r="O52" s="4">
        <f>IF(ISNUMBER(SEARCH("营",'19.12'!W52)),(-$Y52+50*IF('19.12'!$AK52="是",'19.12'!$BB$4,'19.12'!$BB$3)),(VLOOKUP('19.12'!W52,'19.12'!$AO$4:$AQ$55,2,FALSE))*IF('19.12'!$AK52="是",'19.12'!$BB$4,'19.12'!$BB$3))</f>
        <v>0</v>
      </c>
      <c r="P52" s="4">
        <f>IF(ISNUMBER(SEARCH("营",'19.12'!X52)),(-$Y52+50*IF('19.12'!$AK52="是",'19.12'!$BB$4,'19.12'!$BB$3)),(VLOOKUP('19.12'!X52,'19.12'!$AO$4:$AQ$55,2,FALSE))*IF('19.12'!$AK52="是",'19.12'!$BB$4,'19.12'!$BB$3))</f>
        <v>0</v>
      </c>
      <c r="Q52" s="4">
        <f>IF(ISNUMBER(SEARCH("营",'19.12'!Y52)),(-$Y52+50*IF('19.12'!$AK52="是",'19.12'!$BB$4,'19.12'!$BB$3)),(VLOOKUP('19.12'!Y52,'19.12'!$AO$4:$AQ$55,2,FALSE))*IF('19.12'!$AK52="是",'19.12'!$BB$4,'19.12'!$BB$3))</f>
        <v>0</v>
      </c>
      <c r="R52" s="4">
        <f>IF(ISNUMBER(SEARCH("营",'19.12'!Z52)),(-$Y52+50*IF('19.12'!$AK52="是",'19.12'!$BB$4,'19.12'!$BB$3)),(VLOOKUP('19.12'!Z52,'19.12'!$AO$4:$AQ$55,2,FALSE))*IF('19.12'!$AK52="是",'19.12'!$BB$4,'19.12'!$BB$3))</f>
        <v>0</v>
      </c>
      <c r="S52" s="4">
        <f>IF(ISNUMBER(SEARCH("营",'19.12'!AA52)),(-$Y52+50*IF('19.12'!$AK52="是",'19.12'!$BB$4,'19.12'!$BB$3)),(VLOOKUP('19.12'!AA52,'19.12'!$AO$4:$AQ$55,2,FALSE))*IF('19.12'!$AK52="是",'19.12'!$BB$4,'19.12'!$BB$3))</f>
        <v>0</v>
      </c>
      <c r="T52" s="4">
        <f>IF(ISNUMBER(SEARCH("营",'19.12'!AB52)),(-$Y52+50*IF('19.12'!$AK52="是",'19.12'!$BB$4,'19.12'!$BB$3)),(VLOOKUP('19.12'!AB52,'19.12'!$AO$4:$AQ$55,2,FALSE))*IF('19.12'!$AK52="是",'19.12'!$BB$4,'19.12'!$BB$3))</f>
        <v>0</v>
      </c>
      <c r="U52" s="4">
        <f>IF(ISNUMBER(SEARCH("营",'19.12'!AC52)),(-$Y52+50*IF('19.12'!$AK52="是",'19.12'!$BB$4,'19.12'!$BB$3)),(VLOOKUP('19.12'!AC52,'19.12'!$AO$4:$AQ$55,2,FALSE))*IF('19.12'!$AK52="是",'19.12'!$BB$4,'19.12'!$BB$3))</f>
        <v>0</v>
      </c>
      <c r="V52" s="4">
        <f>IF(ISNUMBER(SEARCH("营",'19.12'!AD52)),(-$Y52+50*IF('19.12'!$AK52="是",'19.12'!$BB$4,'19.12'!$BB$3)),(VLOOKUP('19.12'!AD52,'19.12'!$AO$4:$AQ$55,2,FALSE))*IF('19.12'!$AK52="是",'19.12'!$BB$4,'19.12'!$BB$3))</f>
        <v>0</v>
      </c>
      <c r="W52" s="4">
        <f>IF(ISNUMBER(SEARCH("营",'19.12'!AE52)),(-$Y52+50*IF('19.12'!$AK52="是",'19.12'!$BB$4,'19.12'!$BB$3)),(VLOOKUP('19.12'!AE52,'19.12'!$AO$4:$AQ$55,2,FALSE))*IF('19.12'!$AK52="是",'19.12'!$BB$4,'19.12'!$BB$3))</f>
        <v>0</v>
      </c>
      <c r="X52" s="4">
        <f>IF(ISNUMBER(SEARCH("营",'19.12'!AF52)),(-$Y52+50*IF('19.12'!$AK52="是",'19.12'!$BB$4,'19.12'!$BB$3)),(VLOOKUP('19.12'!AF52,'19.12'!$AO$4:$AQ$55,2,FALSE))*IF('19.12'!$AK52="是",'19.12'!$BB$4,'19.12'!$BB$3))</f>
        <v>0</v>
      </c>
      <c r="Y52" s="16">
        <v>150</v>
      </c>
      <c r="Z52" s="17">
        <v>45778</v>
      </c>
    </row>
    <row r="53" spans="1:26">
      <c r="A53" s="4">
        <f>IF(ISNUMBER(SEARCH("营",'19.12'!I53)),(-$Y53+50*IF('19.12'!$AK53="是",'19.12'!$BB$4,'19.12'!$BB$3)),(VLOOKUP('19.12'!I53,'19.12'!$AO$4:$AQ$55,2,FALSE))*IF('19.12'!$AK53="是",'19.12'!$BB$4,'19.12'!$BB$3))</f>
        <v>0</v>
      </c>
      <c r="B53" s="4">
        <f>IF(ISNUMBER(SEARCH("营",'19.12'!J53)),(-$Y53+50*IF('19.12'!$AK53="是",'19.12'!$BB$4,'19.12'!$BB$3)),(VLOOKUP('19.12'!J53,'19.12'!$AO$4:$AQ$55,2,FALSE))*IF('19.12'!$AK53="是",'19.12'!$BB$4,'19.12'!$BB$3))</f>
        <v>0</v>
      </c>
      <c r="C53" s="4">
        <f>IF(ISNUMBER(SEARCH("营",'19.12'!K53)),(-$Y53+50*IF('19.12'!$AK53="是",'19.12'!$BB$4,'19.12'!$BB$3)),(VLOOKUP('19.12'!K53,'19.12'!$AO$4:$AQ$55,2,FALSE))*IF('19.12'!$AK53="是",'19.12'!$BB$4,'19.12'!$BB$3))</f>
        <v>0</v>
      </c>
      <c r="D53" s="4">
        <f>IF(ISNUMBER(SEARCH("营",'19.12'!L53)),(-$Y53+50*IF('19.12'!$AK53="是",'19.12'!$BB$4,'19.12'!$BB$3)),(VLOOKUP('19.12'!L53,'19.12'!$AO$4:$AQ$55,2,FALSE))*IF('19.12'!$AK53="是",'19.12'!$BB$4,'19.12'!$BB$3))</f>
        <v>0</v>
      </c>
      <c r="E53" s="4">
        <f>IF(ISNUMBER(SEARCH("营",'19.12'!M53)),(-$Y53+50*IF('19.12'!$AK53="是",'19.12'!$BB$4,'19.12'!$BB$3)),(VLOOKUP('19.12'!M53,'19.12'!$AO$4:$AQ$55,2,FALSE))*IF('19.12'!$AK53="是",'19.12'!$BB$4,'19.12'!$BB$3))</f>
        <v>0</v>
      </c>
      <c r="F53" s="4">
        <f>IF(ISNUMBER(SEARCH("营",'19.12'!N53)),(-$Y53+50*IF('19.12'!$AK53="是",'19.12'!$BB$4,'19.12'!$BB$3)),(VLOOKUP('19.12'!N53,'19.12'!$AO$4:$AQ$55,2,FALSE))*IF('19.12'!$AK53="是",'19.12'!$BB$4,'19.12'!$BB$3))</f>
        <v>0</v>
      </c>
      <c r="G53" s="4">
        <f>IF(ISNUMBER(SEARCH("营",'19.12'!O53)),(-$Y53+50*IF('19.12'!$AK53="是",'19.12'!$BB$4,'19.12'!$BB$3)),(VLOOKUP('19.12'!O53,'19.12'!$AO$4:$AQ$55,2,FALSE))*IF('19.12'!$AK53="是",'19.12'!$BB$4,'19.12'!$BB$3))</f>
        <v>0</v>
      </c>
      <c r="H53" s="4">
        <f>IF(ISNUMBER(SEARCH("营",'19.12'!P53)),(-$Y53+50*IF('19.12'!$AK53="是",'19.12'!$BB$4,'19.12'!$BB$3)),(VLOOKUP('19.12'!P53,'19.12'!$AO$4:$AQ$55,2,FALSE))*IF('19.12'!$AK53="是",'19.12'!$BB$4,'19.12'!$BB$3))</f>
        <v>0</v>
      </c>
      <c r="I53" s="4">
        <f>IF(ISNUMBER(SEARCH("营",'19.12'!Q53)),(-$Y53+50*IF('19.12'!$AK53="是",'19.12'!$BB$4,'19.12'!$BB$3)),(VLOOKUP('19.12'!Q53,'19.12'!$AO$4:$AQ$55,2,FALSE))*IF('19.12'!$AK53="是",'19.12'!$BB$4,'19.12'!$BB$3))</f>
        <v>0</v>
      </c>
      <c r="J53" s="4">
        <f>IF(ISNUMBER(SEARCH("营",'19.12'!R53)),(-$Y53+50*IF('19.12'!$AK53="是",'19.12'!$BB$4,'19.12'!$BB$3)),(VLOOKUP('19.12'!R53,'19.12'!$AO$4:$AQ$55,2,FALSE))*IF('19.12'!$AK53="是",'19.12'!$BB$4,'19.12'!$BB$3))</f>
        <v>0</v>
      </c>
      <c r="K53" s="4">
        <f>IF(ISNUMBER(SEARCH("营",'19.12'!S53)),(-$Y53+50*IF('19.12'!$AK53="是",'19.12'!$BB$4,'19.12'!$BB$3)),(VLOOKUP('19.12'!S53,'19.12'!$AO$4:$AQ$55,2,FALSE))*IF('19.12'!$AK53="是",'19.12'!$BB$4,'19.12'!$BB$3))</f>
        <v>0</v>
      </c>
      <c r="L53" s="4">
        <f>IF(ISNUMBER(SEARCH("营",'19.12'!T53)),(-$Y53+50*IF('19.12'!$AK53="是",'19.12'!$BB$4,'19.12'!$BB$3)),(VLOOKUP('19.12'!T53,'19.12'!$AO$4:$AQ$55,2,FALSE))*IF('19.12'!$AK53="是",'19.12'!$BB$4,'19.12'!$BB$3))</f>
        <v>0</v>
      </c>
      <c r="M53" s="4">
        <f>IF(ISNUMBER(SEARCH("营",'19.12'!U53)),(-$Y53+50*IF('19.12'!$AK53="是",'19.12'!$BB$4,'19.12'!$BB$3)),(VLOOKUP('19.12'!U53,'19.12'!$AO$4:$AQ$55,2,FALSE))*IF('19.12'!$AK53="是",'19.12'!$BB$4,'19.12'!$BB$3))</f>
        <v>0</v>
      </c>
      <c r="N53" s="4">
        <f>IF(ISNUMBER(SEARCH("营",'19.12'!V53)),(-$Y53+50*IF('19.12'!$AK53="是",'19.12'!$BB$4,'19.12'!$BB$3)),(VLOOKUP('19.12'!V53,'19.12'!$AO$4:$AQ$55,2,FALSE))*IF('19.12'!$AK53="是",'19.12'!$BB$4,'19.12'!$BB$3))</f>
        <v>0</v>
      </c>
      <c r="O53" s="4">
        <f>IF(ISNUMBER(SEARCH("营",'19.12'!W53)),(-$Y53+50*IF('19.12'!$AK53="是",'19.12'!$BB$4,'19.12'!$BB$3)),(VLOOKUP('19.12'!W53,'19.12'!$AO$4:$AQ$55,2,FALSE))*IF('19.12'!$AK53="是",'19.12'!$BB$4,'19.12'!$BB$3))</f>
        <v>0</v>
      </c>
      <c r="P53" s="4">
        <f>IF(ISNUMBER(SEARCH("营",'19.12'!X53)),(-$Y53+50*IF('19.12'!$AK53="是",'19.12'!$BB$4,'19.12'!$BB$3)),(VLOOKUP('19.12'!X53,'19.12'!$AO$4:$AQ$55,2,FALSE))*IF('19.12'!$AK53="是",'19.12'!$BB$4,'19.12'!$BB$3))</f>
        <v>0</v>
      </c>
      <c r="Q53" s="4">
        <f>IF(ISNUMBER(SEARCH("营",'19.12'!Y53)),(-$Y53+50*IF('19.12'!$AK53="是",'19.12'!$BB$4,'19.12'!$BB$3)),(VLOOKUP('19.12'!Y53,'19.12'!$AO$4:$AQ$55,2,FALSE))*IF('19.12'!$AK53="是",'19.12'!$BB$4,'19.12'!$BB$3))</f>
        <v>0</v>
      </c>
      <c r="R53" s="4">
        <f>IF(ISNUMBER(SEARCH("营",'19.12'!Z53)),(-$Y53+50*IF('19.12'!$AK53="是",'19.12'!$BB$4,'19.12'!$BB$3)),(VLOOKUP('19.12'!Z53,'19.12'!$AO$4:$AQ$55,2,FALSE))*IF('19.12'!$AK53="是",'19.12'!$BB$4,'19.12'!$BB$3))</f>
        <v>0</v>
      </c>
      <c r="S53" s="4">
        <f>IF(ISNUMBER(SEARCH("营",'19.12'!AA53)),(-$Y53+50*IF('19.12'!$AK53="是",'19.12'!$BB$4,'19.12'!$BB$3)),(VLOOKUP('19.12'!AA53,'19.12'!$AO$4:$AQ$55,2,FALSE))*IF('19.12'!$AK53="是",'19.12'!$BB$4,'19.12'!$BB$3))</f>
        <v>0</v>
      </c>
      <c r="T53" s="4">
        <f>IF(ISNUMBER(SEARCH("营",'19.12'!AB53)),(-$Y53+50*IF('19.12'!$AK53="是",'19.12'!$BB$4,'19.12'!$BB$3)),(VLOOKUP('19.12'!AB53,'19.12'!$AO$4:$AQ$55,2,FALSE))*IF('19.12'!$AK53="是",'19.12'!$BB$4,'19.12'!$BB$3))</f>
        <v>0</v>
      </c>
      <c r="U53" s="4">
        <f>IF(ISNUMBER(SEARCH("营",'19.12'!AC53)),(-$Y53+50*IF('19.12'!$AK53="是",'19.12'!$BB$4,'19.12'!$BB$3)),(VLOOKUP('19.12'!AC53,'19.12'!$AO$4:$AQ$55,2,FALSE))*IF('19.12'!$AK53="是",'19.12'!$BB$4,'19.12'!$BB$3))</f>
        <v>0</v>
      </c>
      <c r="V53" s="4">
        <f>IF(ISNUMBER(SEARCH("营",'19.12'!AD53)),(-$Y53+50*IF('19.12'!$AK53="是",'19.12'!$BB$4,'19.12'!$BB$3)),(VLOOKUP('19.12'!AD53,'19.12'!$AO$4:$AQ$55,2,FALSE))*IF('19.12'!$AK53="是",'19.12'!$BB$4,'19.12'!$BB$3))</f>
        <v>0</v>
      </c>
      <c r="W53" s="4">
        <f>IF(ISNUMBER(SEARCH("营",'19.12'!AE53)),(-$Y53+50*IF('19.12'!$AK53="是",'19.12'!$BB$4,'19.12'!$BB$3)),(VLOOKUP('19.12'!AE53,'19.12'!$AO$4:$AQ$55,2,FALSE))*IF('19.12'!$AK53="是",'19.12'!$BB$4,'19.12'!$BB$3))</f>
        <v>0</v>
      </c>
      <c r="X53" s="4">
        <f>IF(ISNUMBER(SEARCH("营",'19.12'!AF53)),(-$Y53+50*IF('19.12'!$AK53="是",'19.12'!$BB$4,'19.12'!$BB$3)),(VLOOKUP('19.12'!AF53,'19.12'!$AO$4:$AQ$55,2,FALSE))*IF('19.12'!$AK53="是",'19.12'!$BB$4,'19.12'!$BB$3))</f>
        <v>0</v>
      </c>
      <c r="Y53" s="16">
        <v>150</v>
      </c>
      <c r="Z53" s="17">
        <v>45779</v>
      </c>
    </row>
    <row r="54" spans="1:26">
      <c r="A54" s="4">
        <f>IF(ISNUMBER(SEARCH("营",'19.12'!I54)),(-$Y54+50*IF('19.12'!$AK54="是",'19.12'!$BB$4,'19.12'!$BB$3)),(VLOOKUP('19.12'!I54,'19.12'!$AO$4:$AQ$55,2,FALSE))*IF('19.12'!$AK54="是",'19.12'!$BB$4,'19.12'!$BB$3))</f>
        <v>0</v>
      </c>
      <c r="B54" s="4">
        <f>IF(ISNUMBER(SEARCH("营",'19.12'!J54)),(-$Y54+50*IF('19.12'!$AK54="是",'19.12'!$BB$4,'19.12'!$BB$3)),(VLOOKUP('19.12'!J54,'19.12'!$AO$4:$AQ$55,2,FALSE))*IF('19.12'!$AK54="是",'19.12'!$BB$4,'19.12'!$BB$3))</f>
        <v>0</v>
      </c>
      <c r="C54" s="4">
        <f>IF(ISNUMBER(SEARCH("营",'19.12'!K54)),(-$Y54+50*IF('19.12'!$AK54="是",'19.12'!$BB$4,'19.12'!$BB$3)),(VLOOKUP('19.12'!K54,'19.12'!$AO$4:$AQ$55,2,FALSE))*IF('19.12'!$AK54="是",'19.12'!$BB$4,'19.12'!$BB$3))</f>
        <v>0</v>
      </c>
      <c r="D54" s="4">
        <f>IF(ISNUMBER(SEARCH("营",'19.12'!L54)),(-$Y54+50*IF('19.12'!$AK54="是",'19.12'!$BB$4,'19.12'!$BB$3)),(VLOOKUP('19.12'!L54,'19.12'!$AO$4:$AQ$55,2,FALSE))*IF('19.12'!$AK54="是",'19.12'!$BB$4,'19.12'!$BB$3))</f>
        <v>0</v>
      </c>
      <c r="E54" s="4">
        <f>IF(ISNUMBER(SEARCH("营",'19.12'!M54)),(-$Y54+50*IF('19.12'!$AK54="是",'19.12'!$BB$4,'19.12'!$BB$3)),(VLOOKUP('19.12'!M54,'19.12'!$AO$4:$AQ$55,2,FALSE))*IF('19.12'!$AK54="是",'19.12'!$BB$4,'19.12'!$BB$3))</f>
        <v>0</v>
      </c>
      <c r="F54" s="4">
        <f>IF(ISNUMBER(SEARCH("营",'19.12'!N54)),(-$Y54+50*IF('19.12'!$AK54="是",'19.12'!$BB$4,'19.12'!$BB$3)),(VLOOKUP('19.12'!N54,'19.12'!$AO$4:$AQ$55,2,FALSE))*IF('19.12'!$AK54="是",'19.12'!$BB$4,'19.12'!$BB$3))</f>
        <v>0</v>
      </c>
      <c r="G54" s="4">
        <f>IF(ISNUMBER(SEARCH("营",'19.12'!O54)),(-$Y54+50*IF('19.12'!$AK54="是",'19.12'!$BB$4,'19.12'!$BB$3)),(VLOOKUP('19.12'!O54,'19.12'!$AO$4:$AQ$55,2,FALSE))*IF('19.12'!$AK54="是",'19.12'!$BB$4,'19.12'!$BB$3))</f>
        <v>0</v>
      </c>
      <c r="H54" s="4">
        <f>IF(ISNUMBER(SEARCH("营",'19.12'!P54)),(-$Y54+50*IF('19.12'!$AK54="是",'19.12'!$BB$4,'19.12'!$BB$3)),(VLOOKUP('19.12'!P54,'19.12'!$AO$4:$AQ$55,2,FALSE))*IF('19.12'!$AK54="是",'19.12'!$BB$4,'19.12'!$BB$3))</f>
        <v>0</v>
      </c>
      <c r="I54" s="4">
        <f>IF(ISNUMBER(SEARCH("营",'19.12'!Q54)),(-$Y54+50*IF('19.12'!$AK54="是",'19.12'!$BB$4,'19.12'!$BB$3)),(VLOOKUP('19.12'!Q54,'19.12'!$AO$4:$AQ$55,2,FALSE))*IF('19.12'!$AK54="是",'19.12'!$BB$4,'19.12'!$BB$3))</f>
        <v>0</v>
      </c>
      <c r="J54" s="4">
        <f>IF(ISNUMBER(SEARCH("营",'19.12'!R54)),(-$Y54+50*IF('19.12'!$AK54="是",'19.12'!$BB$4,'19.12'!$BB$3)),(VLOOKUP('19.12'!R54,'19.12'!$AO$4:$AQ$55,2,FALSE))*IF('19.12'!$AK54="是",'19.12'!$BB$4,'19.12'!$BB$3))</f>
        <v>0</v>
      </c>
      <c r="K54" s="4">
        <f>IF(ISNUMBER(SEARCH("营",'19.12'!S54)),(-$Y54+50*IF('19.12'!$AK54="是",'19.12'!$BB$4,'19.12'!$BB$3)),(VLOOKUP('19.12'!S54,'19.12'!$AO$4:$AQ$55,2,FALSE))*IF('19.12'!$AK54="是",'19.12'!$BB$4,'19.12'!$BB$3))</f>
        <v>0</v>
      </c>
      <c r="L54" s="4">
        <f>IF(ISNUMBER(SEARCH("营",'19.12'!T54)),(-$Y54+50*IF('19.12'!$AK54="是",'19.12'!$BB$4,'19.12'!$BB$3)),(VLOOKUP('19.12'!T54,'19.12'!$AO$4:$AQ$55,2,FALSE))*IF('19.12'!$AK54="是",'19.12'!$BB$4,'19.12'!$BB$3))</f>
        <v>0</v>
      </c>
      <c r="M54" s="4">
        <f>IF(ISNUMBER(SEARCH("营",'19.12'!U54)),(-$Y54+50*IF('19.12'!$AK54="是",'19.12'!$BB$4,'19.12'!$BB$3)),(VLOOKUP('19.12'!U54,'19.12'!$AO$4:$AQ$55,2,FALSE))*IF('19.12'!$AK54="是",'19.12'!$BB$4,'19.12'!$BB$3))</f>
        <v>0</v>
      </c>
      <c r="N54" s="4">
        <f>IF(ISNUMBER(SEARCH("营",'19.12'!V54)),(-$Y54+50*IF('19.12'!$AK54="是",'19.12'!$BB$4,'19.12'!$BB$3)),(VLOOKUP('19.12'!V54,'19.12'!$AO$4:$AQ$55,2,FALSE))*IF('19.12'!$AK54="是",'19.12'!$BB$4,'19.12'!$BB$3))</f>
        <v>0</v>
      </c>
      <c r="O54" s="4">
        <f>IF(ISNUMBER(SEARCH("营",'19.12'!W54)),(-$Y54+50*IF('19.12'!$AK54="是",'19.12'!$BB$4,'19.12'!$BB$3)),(VLOOKUP('19.12'!W54,'19.12'!$AO$4:$AQ$55,2,FALSE))*IF('19.12'!$AK54="是",'19.12'!$BB$4,'19.12'!$BB$3))</f>
        <v>0</v>
      </c>
      <c r="P54" s="4">
        <f>IF(ISNUMBER(SEARCH("营",'19.12'!X54)),(-$Y54+50*IF('19.12'!$AK54="是",'19.12'!$BB$4,'19.12'!$BB$3)),(VLOOKUP('19.12'!X54,'19.12'!$AO$4:$AQ$55,2,FALSE))*IF('19.12'!$AK54="是",'19.12'!$BB$4,'19.12'!$BB$3))</f>
        <v>0</v>
      </c>
      <c r="Q54" s="4">
        <f>IF(ISNUMBER(SEARCH("营",'19.12'!Y54)),(-$Y54+50*IF('19.12'!$AK54="是",'19.12'!$BB$4,'19.12'!$BB$3)),(VLOOKUP('19.12'!Y54,'19.12'!$AO$4:$AQ$55,2,FALSE))*IF('19.12'!$AK54="是",'19.12'!$BB$4,'19.12'!$BB$3))</f>
        <v>0</v>
      </c>
      <c r="R54" s="4">
        <f>IF(ISNUMBER(SEARCH("营",'19.12'!Z54)),(-$Y54+50*IF('19.12'!$AK54="是",'19.12'!$BB$4,'19.12'!$BB$3)),(VLOOKUP('19.12'!Z54,'19.12'!$AO$4:$AQ$55,2,FALSE))*IF('19.12'!$AK54="是",'19.12'!$BB$4,'19.12'!$BB$3))</f>
        <v>0</v>
      </c>
      <c r="S54" s="4">
        <f>IF(ISNUMBER(SEARCH("营",'19.12'!AA54)),(-$Y54+50*IF('19.12'!$AK54="是",'19.12'!$BB$4,'19.12'!$BB$3)),(VLOOKUP('19.12'!AA54,'19.12'!$AO$4:$AQ$55,2,FALSE))*IF('19.12'!$AK54="是",'19.12'!$BB$4,'19.12'!$BB$3))</f>
        <v>0</v>
      </c>
      <c r="T54" s="4">
        <f>IF(ISNUMBER(SEARCH("营",'19.12'!AB54)),(-$Y54+50*IF('19.12'!$AK54="是",'19.12'!$BB$4,'19.12'!$BB$3)),(VLOOKUP('19.12'!AB54,'19.12'!$AO$4:$AQ$55,2,FALSE))*IF('19.12'!$AK54="是",'19.12'!$BB$4,'19.12'!$BB$3))</f>
        <v>0</v>
      </c>
      <c r="U54" s="4">
        <f>IF(ISNUMBER(SEARCH("营",'19.12'!AC54)),(-$Y54+50*IF('19.12'!$AK54="是",'19.12'!$BB$4,'19.12'!$BB$3)),(VLOOKUP('19.12'!AC54,'19.12'!$AO$4:$AQ$55,2,FALSE))*IF('19.12'!$AK54="是",'19.12'!$BB$4,'19.12'!$BB$3))</f>
        <v>0</v>
      </c>
      <c r="V54" s="4">
        <f>IF(ISNUMBER(SEARCH("营",'19.12'!AD54)),(-$Y54+50*IF('19.12'!$AK54="是",'19.12'!$BB$4,'19.12'!$BB$3)),(VLOOKUP('19.12'!AD54,'19.12'!$AO$4:$AQ$55,2,FALSE))*IF('19.12'!$AK54="是",'19.12'!$BB$4,'19.12'!$BB$3))</f>
        <v>0</v>
      </c>
      <c r="W54" s="4">
        <f>IF(ISNUMBER(SEARCH("营",'19.12'!AE54)),(-$Y54+50*IF('19.12'!$AK54="是",'19.12'!$BB$4,'19.12'!$BB$3)),(VLOOKUP('19.12'!AE54,'19.12'!$AO$4:$AQ$55,2,FALSE))*IF('19.12'!$AK54="是",'19.12'!$BB$4,'19.12'!$BB$3))</f>
        <v>0</v>
      </c>
      <c r="X54" s="4">
        <f>IF(ISNUMBER(SEARCH("营",'19.12'!AF54)),(-$Y54+50*IF('19.12'!$AK54="是",'19.12'!$BB$4,'19.12'!$BB$3)),(VLOOKUP('19.12'!AF54,'19.12'!$AO$4:$AQ$55,2,FALSE))*IF('19.12'!$AK54="是",'19.12'!$BB$4,'19.12'!$BB$3))</f>
        <v>0</v>
      </c>
      <c r="Y54" s="18">
        <v>100</v>
      </c>
      <c r="Z54" s="15">
        <v>45780</v>
      </c>
    </row>
    <row r="55" spans="1:26">
      <c r="A55" s="4">
        <f>IF(ISNUMBER(SEARCH("营",'19.12'!I55)),(-$Y55+50*IF('19.12'!$AK55="是",'19.12'!$BB$4,'19.12'!$BB$3)),(VLOOKUP('19.12'!I55,'19.12'!$AO$4:$AQ$55,2,FALSE))*IF('19.12'!$AK55="是",'19.12'!$BB$4,'19.12'!$BB$3))</f>
        <v>0</v>
      </c>
      <c r="B55" s="4">
        <f>IF(ISNUMBER(SEARCH("营",'19.12'!J55)),(-$Y55+50*IF('19.12'!$AK55="是",'19.12'!$BB$4,'19.12'!$BB$3)),(VLOOKUP('19.12'!J55,'19.12'!$AO$4:$AQ$55,2,FALSE))*IF('19.12'!$AK55="是",'19.12'!$BB$4,'19.12'!$BB$3))</f>
        <v>0</v>
      </c>
      <c r="C55" s="4">
        <f>IF(ISNUMBER(SEARCH("营",'19.12'!K55)),(-$Y55+50*IF('19.12'!$AK55="是",'19.12'!$BB$4,'19.12'!$BB$3)),(VLOOKUP('19.12'!K55,'19.12'!$AO$4:$AQ$55,2,FALSE))*IF('19.12'!$AK55="是",'19.12'!$BB$4,'19.12'!$BB$3))</f>
        <v>0</v>
      </c>
      <c r="D55" s="4">
        <f>IF(ISNUMBER(SEARCH("营",'19.12'!L55)),(-$Y55+50*IF('19.12'!$AK55="是",'19.12'!$BB$4,'19.12'!$BB$3)),(VLOOKUP('19.12'!L55,'19.12'!$AO$4:$AQ$55,2,FALSE))*IF('19.12'!$AK55="是",'19.12'!$BB$4,'19.12'!$BB$3))</f>
        <v>0</v>
      </c>
      <c r="E55" s="4">
        <f>IF(ISNUMBER(SEARCH("营",'19.12'!M55)),(-$Y55+50*IF('19.12'!$AK55="是",'19.12'!$BB$4,'19.12'!$BB$3)),(VLOOKUP('19.12'!M55,'19.12'!$AO$4:$AQ$55,2,FALSE))*IF('19.12'!$AK55="是",'19.12'!$BB$4,'19.12'!$BB$3))</f>
        <v>0</v>
      </c>
      <c r="F55" s="4">
        <f>IF(ISNUMBER(SEARCH("营",'19.12'!N55)),(-$Y55+50*IF('19.12'!$AK55="是",'19.12'!$BB$4,'19.12'!$BB$3)),(VLOOKUP('19.12'!N55,'19.12'!$AO$4:$AQ$55,2,FALSE))*IF('19.12'!$AK55="是",'19.12'!$BB$4,'19.12'!$BB$3))</f>
        <v>0</v>
      </c>
      <c r="G55" s="4">
        <f>IF(ISNUMBER(SEARCH("营",'19.12'!O55)),(-$Y55+50*IF('19.12'!$AK55="是",'19.12'!$BB$4,'19.12'!$BB$3)),(VLOOKUP('19.12'!O55,'19.12'!$AO$4:$AQ$55,2,FALSE))*IF('19.12'!$AK55="是",'19.12'!$BB$4,'19.12'!$BB$3))</f>
        <v>0</v>
      </c>
      <c r="H55" s="4">
        <f>IF(ISNUMBER(SEARCH("营",'19.12'!P55)),(-$Y55+50*IF('19.12'!$AK55="是",'19.12'!$BB$4,'19.12'!$BB$3)),(VLOOKUP('19.12'!P55,'19.12'!$AO$4:$AQ$55,2,FALSE))*IF('19.12'!$AK55="是",'19.12'!$BB$4,'19.12'!$BB$3))</f>
        <v>0</v>
      </c>
      <c r="I55" s="4">
        <f>IF(ISNUMBER(SEARCH("营",'19.12'!Q55)),(-$Y55+50*IF('19.12'!$AK55="是",'19.12'!$BB$4,'19.12'!$BB$3)),(VLOOKUP('19.12'!Q55,'19.12'!$AO$4:$AQ$55,2,FALSE))*IF('19.12'!$AK55="是",'19.12'!$BB$4,'19.12'!$BB$3))</f>
        <v>0</v>
      </c>
      <c r="J55" s="4">
        <f>IF(ISNUMBER(SEARCH("营",'19.12'!R55)),(-$Y55+50*IF('19.12'!$AK55="是",'19.12'!$BB$4,'19.12'!$BB$3)),(VLOOKUP('19.12'!R55,'19.12'!$AO$4:$AQ$55,2,FALSE))*IF('19.12'!$AK55="是",'19.12'!$BB$4,'19.12'!$BB$3))</f>
        <v>0</v>
      </c>
      <c r="K55" s="4">
        <f>IF(ISNUMBER(SEARCH("营",'19.12'!S55)),(-$Y55+50*IF('19.12'!$AK55="是",'19.12'!$BB$4,'19.12'!$BB$3)),(VLOOKUP('19.12'!S55,'19.12'!$AO$4:$AQ$55,2,FALSE))*IF('19.12'!$AK55="是",'19.12'!$BB$4,'19.12'!$BB$3))</f>
        <v>0</v>
      </c>
      <c r="L55" s="4">
        <f>IF(ISNUMBER(SEARCH("营",'19.12'!T55)),(-$Y55+50*IF('19.12'!$AK55="是",'19.12'!$BB$4,'19.12'!$BB$3)),(VLOOKUP('19.12'!T55,'19.12'!$AO$4:$AQ$55,2,FALSE))*IF('19.12'!$AK55="是",'19.12'!$BB$4,'19.12'!$BB$3))</f>
        <v>0</v>
      </c>
      <c r="M55" s="4">
        <f>IF(ISNUMBER(SEARCH("营",'19.12'!U55)),(-$Y55+50*IF('19.12'!$AK55="是",'19.12'!$BB$4,'19.12'!$BB$3)),(VLOOKUP('19.12'!U55,'19.12'!$AO$4:$AQ$55,2,FALSE))*IF('19.12'!$AK55="是",'19.12'!$BB$4,'19.12'!$BB$3))</f>
        <v>0</v>
      </c>
      <c r="N55" s="4">
        <f>IF(ISNUMBER(SEARCH("营",'19.12'!V55)),(-$Y55+50*IF('19.12'!$AK55="是",'19.12'!$BB$4,'19.12'!$BB$3)),(VLOOKUP('19.12'!V55,'19.12'!$AO$4:$AQ$55,2,FALSE))*IF('19.12'!$AK55="是",'19.12'!$BB$4,'19.12'!$BB$3))</f>
        <v>0</v>
      </c>
      <c r="O55" s="4">
        <f>IF(ISNUMBER(SEARCH("营",'19.12'!W55)),(-$Y55+50*IF('19.12'!$AK55="是",'19.12'!$BB$4,'19.12'!$BB$3)),(VLOOKUP('19.12'!W55,'19.12'!$AO$4:$AQ$55,2,FALSE))*IF('19.12'!$AK55="是",'19.12'!$BB$4,'19.12'!$BB$3))</f>
        <v>0</v>
      </c>
      <c r="P55" s="4">
        <f>IF(ISNUMBER(SEARCH("营",'19.12'!X55)),(-$Y55+50*IF('19.12'!$AK55="是",'19.12'!$BB$4,'19.12'!$BB$3)),(VLOOKUP('19.12'!X55,'19.12'!$AO$4:$AQ$55,2,FALSE))*IF('19.12'!$AK55="是",'19.12'!$BB$4,'19.12'!$BB$3))</f>
        <v>0</v>
      </c>
      <c r="Q55" s="4">
        <f>IF(ISNUMBER(SEARCH("营",'19.12'!Y55)),(-$Y55+50*IF('19.12'!$AK55="是",'19.12'!$BB$4,'19.12'!$BB$3)),(VLOOKUP('19.12'!Y55,'19.12'!$AO$4:$AQ$55,2,FALSE))*IF('19.12'!$AK55="是",'19.12'!$BB$4,'19.12'!$BB$3))</f>
        <v>0</v>
      </c>
      <c r="R55" s="4">
        <f>IF(ISNUMBER(SEARCH("营",'19.12'!Z55)),(-$Y55+50*IF('19.12'!$AK55="是",'19.12'!$BB$4,'19.12'!$BB$3)),(VLOOKUP('19.12'!Z55,'19.12'!$AO$4:$AQ$55,2,FALSE))*IF('19.12'!$AK55="是",'19.12'!$BB$4,'19.12'!$BB$3))</f>
        <v>0</v>
      </c>
      <c r="S55" s="4">
        <f>IF(ISNUMBER(SEARCH("营",'19.12'!AA55)),(-$Y55+50*IF('19.12'!$AK55="是",'19.12'!$BB$4,'19.12'!$BB$3)),(VLOOKUP('19.12'!AA55,'19.12'!$AO$4:$AQ$55,2,FALSE))*IF('19.12'!$AK55="是",'19.12'!$BB$4,'19.12'!$BB$3))</f>
        <v>0</v>
      </c>
      <c r="T55" s="4">
        <f>IF(ISNUMBER(SEARCH("营",'19.12'!AB55)),(-$Y55+50*IF('19.12'!$AK55="是",'19.12'!$BB$4,'19.12'!$BB$3)),(VLOOKUP('19.12'!AB55,'19.12'!$AO$4:$AQ$55,2,FALSE))*IF('19.12'!$AK55="是",'19.12'!$BB$4,'19.12'!$BB$3))</f>
        <v>0</v>
      </c>
      <c r="U55" s="4">
        <f>IF(ISNUMBER(SEARCH("营",'19.12'!AC55)),(-$Y55+50*IF('19.12'!$AK55="是",'19.12'!$BB$4,'19.12'!$BB$3)),(VLOOKUP('19.12'!AC55,'19.12'!$AO$4:$AQ$55,2,FALSE))*IF('19.12'!$AK55="是",'19.12'!$BB$4,'19.12'!$BB$3))</f>
        <v>0</v>
      </c>
      <c r="V55" s="4">
        <f>IF(ISNUMBER(SEARCH("营",'19.12'!AD55)),(-$Y55+50*IF('19.12'!$AK55="是",'19.12'!$BB$4,'19.12'!$BB$3)),(VLOOKUP('19.12'!AD55,'19.12'!$AO$4:$AQ$55,2,FALSE))*IF('19.12'!$AK55="是",'19.12'!$BB$4,'19.12'!$BB$3))</f>
        <v>0</v>
      </c>
      <c r="W55" s="4">
        <f>IF(ISNUMBER(SEARCH("营",'19.12'!AE55)),(-$Y55+50*IF('19.12'!$AK55="是",'19.12'!$BB$4,'19.12'!$BB$3)),(VLOOKUP('19.12'!AE55,'19.12'!$AO$4:$AQ$55,2,FALSE))*IF('19.12'!$AK55="是",'19.12'!$BB$4,'19.12'!$BB$3))</f>
        <v>0</v>
      </c>
      <c r="X55" s="4">
        <f>IF(ISNUMBER(SEARCH("营",'19.12'!AF55)),(-$Y55+50*IF('19.12'!$AK55="是",'19.12'!$BB$4,'19.12'!$BB$3)),(VLOOKUP('19.12'!AF55,'19.12'!$AO$4:$AQ$55,2,FALSE))*IF('19.12'!$AK55="是",'19.12'!$BB$4,'19.12'!$BB$3))</f>
        <v>0</v>
      </c>
      <c r="Y55" s="18">
        <v>100</v>
      </c>
      <c r="Z55" s="15">
        <v>45781</v>
      </c>
    </row>
    <row r="56" spans="1:26">
      <c r="A56" s="4">
        <f>IF(ISNUMBER(SEARCH("营",'19.12'!I56)),(-$Y56+50*IF('19.12'!$AK56="是",'19.12'!$BB$4,'19.12'!$BB$3)),(VLOOKUP('19.12'!I56,'19.12'!$AO$4:$AQ$55,2,FALSE))*IF('19.12'!$AK56="是",'19.12'!$BB$4,'19.12'!$BB$3))</f>
        <v>0</v>
      </c>
      <c r="B56" s="4">
        <f>IF(ISNUMBER(SEARCH("营",'19.12'!J56)),(-$Y56+50*IF('19.12'!$AK56="是",'19.12'!$BB$4,'19.12'!$BB$3)),(VLOOKUP('19.12'!J56,'19.12'!$AO$4:$AQ$55,2,FALSE))*IF('19.12'!$AK56="是",'19.12'!$BB$4,'19.12'!$BB$3))</f>
        <v>0</v>
      </c>
      <c r="C56" s="4">
        <f>IF(ISNUMBER(SEARCH("营",'19.12'!K56)),(-$Y56+50*IF('19.12'!$AK56="是",'19.12'!$BB$4,'19.12'!$BB$3)),(VLOOKUP('19.12'!K56,'19.12'!$AO$4:$AQ$55,2,FALSE))*IF('19.12'!$AK56="是",'19.12'!$BB$4,'19.12'!$BB$3))</f>
        <v>0</v>
      </c>
      <c r="D56" s="4">
        <f>IF(ISNUMBER(SEARCH("营",'19.12'!L56)),(-$Y56+50*IF('19.12'!$AK56="是",'19.12'!$BB$4,'19.12'!$BB$3)),(VLOOKUP('19.12'!L56,'19.12'!$AO$4:$AQ$55,2,FALSE))*IF('19.12'!$AK56="是",'19.12'!$BB$4,'19.12'!$BB$3))</f>
        <v>0</v>
      </c>
      <c r="E56" s="4">
        <f>IF(ISNUMBER(SEARCH("营",'19.12'!M56)),(-$Y56+50*IF('19.12'!$AK56="是",'19.12'!$BB$4,'19.12'!$BB$3)),(VLOOKUP('19.12'!M56,'19.12'!$AO$4:$AQ$55,2,FALSE))*IF('19.12'!$AK56="是",'19.12'!$BB$4,'19.12'!$BB$3))</f>
        <v>0</v>
      </c>
      <c r="F56" s="4">
        <f>IF(ISNUMBER(SEARCH("营",'19.12'!N56)),(-$Y56+50*IF('19.12'!$AK56="是",'19.12'!$BB$4,'19.12'!$BB$3)),(VLOOKUP('19.12'!N56,'19.12'!$AO$4:$AQ$55,2,FALSE))*IF('19.12'!$AK56="是",'19.12'!$BB$4,'19.12'!$BB$3))</f>
        <v>0</v>
      </c>
      <c r="G56" s="4">
        <f>IF(ISNUMBER(SEARCH("营",'19.12'!O56)),(-$Y56+50*IF('19.12'!$AK56="是",'19.12'!$BB$4,'19.12'!$BB$3)),(VLOOKUP('19.12'!O56,'19.12'!$AO$4:$AQ$55,2,FALSE))*IF('19.12'!$AK56="是",'19.12'!$BB$4,'19.12'!$BB$3))</f>
        <v>0</v>
      </c>
      <c r="H56" s="4">
        <f>IF(ISNUMBER(SEARCH("营",'19.12'!P56)),(-$Y56+50*IF('19.12'!$AK56="是",'19.12'!$BB$4,'19.12'!$BB$3)),(VLOOKUP('19.12'!P56,'19.12'!$AO$4:$AQ$55,2,FALSE))*IF('19.12'!$AK56="是",'19.12'!$BB$4,'19.12'!$BB$3))</f>
        <v>0</v>
      </c>
      <c r="I56" s="4">
        <f>IF(ISNUMBER(SEARCH("营",'19.12'!Q56)),(-$Y56+50*IF('19.12'!$AK56="是",'19.12'!$BB$4,'19.12'!$BB$3)),(VLOOKUP('19.12'!Q56,'19.12'!$AO$4:$AQ$55,2,FALSE))*IF('19.12'!$AK56="是",'19.12'!$BB$4,'19.12'!$BB$3))</f>
        <v>0</v>
      </c>
      <c r="J56" s="4">
        <f>IF(ISNUMBER(SEARCH("营",'19.12'!R56)),(-$Y56+50*IF('19.12'!$AK56="是",'19.12'!$BB$4,'19.12'!$BB$3)),(VLOOKUP('19.12'!R56,'19.12'!$AO$4:$AQ$55,2,FALSE))*IF('19.12'!$AK56="是",'19.12'!$BB$4,'19.12'!$BB$3))</f>
        <v>0</v>
      </c>
      <c r="K56" s="4">
        <f>IF(ISNUMBER(SEARCH("营",'19.12'!S56)),(-$Y56+50*IF('19.12'!$AK56="是",'19.12'!$BB$4,'19.12'!$BB$3)),(VLOOKUP('19.12'!S56,'19.12'!$AO$4:$AQ$55,2,FALSE))*IF('19.12'!$AK56="是",'19.12'!$BB$4,'19.12'!$BB$3))</f>
        <v>0</v>
      </c>
      <c r="L56" s="4">
        <f>IF(ISNUMBER(SEARCH("营",'19.12'!T56)),(-$Y56+50*IF('19.12'!$AK56="是",'19.12'!$BB$4,'19.12'!$BB$3)),(VLOOKUP('19.12'!T56,'19.12'!$AO$4:$AQ$55,2,FALSE))*IF('19.12'!$AK56="是",'19.12'!$BB$4,'19.12'!$BB$3))</f>
        <v>0</v>
      </c>
      <c r="M56" s="4">
        <f>IF(ISNUMBER(SEARCH("营",'19.12'!U56)),(-$Y56+50*IF('19.12'!$AK56="是",'19.12'!$BB$4,'19.12'!$BB$3)),(VLOOKUP('19.12'!U56,'19.12'!$AO$4:$AQ$55,2,FALSE))*IF('19.12'!$AK56="是",'19.12'!$BB$4,'19.12'!$BB$3))</f>
        <v>0</v>
      </c>
      <c r="N56" s="4">
        <f>IF(ISNUMBER(SEARCH("营",'19.12'!V56)),(-$Y56+50*IF('19.12'!$AK56="是",'19.12'!$BB$4,'19.12'!$BB$3)),(VLOOKUP('19.12'!V56,'19.12'!$AO$4:$AQ$55,2,FALSE))*IF('19.12'!$AK56="是",'19.12'!$BB$4,'19.12'!$BB$3))</f>
        <v>0</v>
      </c>
      <c r="O56" s="4">
        <f>IF(ISNUMBER(SEARCH("营",'19.12'!W56)),(-$Y56+50*IF('19.12'!$AK56="是",'19.12'!$BB$4,'19.12'!$BB$3)),(VLOOKUP('19.12'!W56,'19.12'!$AO$4:$AQ$55,2,FALSE))*IF('19.12'!$AK56="是",'19.12'!$BB$4,'19.12'!$BB$3))</f>
        <v>0</v>
      </c>
      <c r="P56" s="4">
        <f>IF(ISNUMBER(SEARCH("营",'19.12'!X56)),(-$Y56+50*IF('19.12'!$AK56="是",'19.12'!$BB$4,'19.12'!$BB$3)),(VLOOKUP('19.12'!X56,'19.12'!$AO$4:$AQ$55,2,FALSE))*IF('19.12'!$AK56="是",'19.12'!$BB$4,'19.12'!$BB$3))</f>
        <v>0</v>
      </c>
      <c r="Q56" s="4">
        <f>IF(ISNUMBER(SEARCH("营",'19.12'!Y56)),(-$Y56+50*IF('19.12'!$AK56="是",'19.12'!$BB$4,'19.12'!$BB$3)),(VLOOKUP('19.12'!Y56,'19.12'!$AO$4:$AQ$55,2,FALSE))*IF('19.12'!$AK56="是",'19.12'!$BB$4,'19.12'!$BB$3))</f>
        <v>0</v>
      </c>
      <c r="R56" s="4">
        <f>IF(ISNUMBER(SEARCH("营",'19.12'!Z56)),(-$Y56+50*IF('19.12'!$AK56="是",'19.12'!$BB$4,'19.12'!$BB$3)),(VLOOKUP('19.12'!Z56,'19.12'!$AO$4:$AQ$55,2,FALSE))*IF('19.12'!$AK56="是",'19.12'!$BB$4,'19.12'!$BB$3))</f>
        <v>0</v>
      </c>
      <c r="S56" s="4">
        <f>IF(ISNUMBER(SEARCH("营",'19.12'!AA56)),(-$Y56+50*IF('19.12'!$AK56="是",'19.12'!$BB$4,'19.12'!$BB$3)),(VLOOKUP('19.12'!AA56,'19.12'!$AO$4:$AQ$55,2,FALSE))*IF('19.12'!$AK56="是",'19.12'!$BB$4,'19.12'!$BB$3))</f>
        <v>0</v>
      </c>
      <c r="T56" s="4">
        <f>IF(ISNUMBER(SEARCH("营",'19.12'!AB56)),(-$Y56+50*IF('19.12'!$AK56="是",'19.12'!$BB$4,'19.12'!$BB$3)),(VLOOKUP('19.12'!AB56,'19.12'!$AO$4:$AQ$55,2,FALSE))*IF('19.12'!$AK56="是",'19.12'!$BB$4,'19.12'!$BB$3))</f>
        <v>0</v>
      </c>
      <c r="U56" s="4">
        <f>IF(ISNUMBER(SEARCH("营",'19.12'!AC56)),(-$Y56+50*IF('19.12'!$AK56="是",'19.12'!$BB$4,'19.12'!$BB$3)),(VLOOKUP('19.12'!AC56,'19.12'!$AO$4:$AQ$55,2,FALSE))*IF('19.12'!$AK56="是",'19.12'!$BB$4,'19.12'!$BB$3))</f>
        <v>0</v>
      </c>
      <c r="V56" s="4">
        <f>IF(ISNUMBER(SEARCH("营",'19.12'!AD56)),(-$Y56+50*IF('19.12'!$AK56="是",'19.12'!$BB$4,'19.12'!$BB$3)),(VLOOKUP('19.12'!AD56,'19.12'!$AO$4:$AQ$55,2,FALSE))*IF('19.12'!$AK56="是",'19.12'!$BB$4,'19.12'!$BB$3))</f>
        <v>0</v>
      </c>
      <c r="W56" s="4">
        <f>IF(ISNUMBER(SEARCH("营",'19.12'!AE56)),(-$Y56+50*IF('19.12'!$AK56="是",'19.12'!$BB$4,'19.12'!$BB$3)),(VLOOKUP('19.12'!AE56,'19.12'!$AO$4:$AQ$55,2,FALSE))*IF('19.12'!$AK56="是",'19.12'!$BB$4,'19.12'!$BB$3))</f>
        <v>0</v>
      </c>
      <c r="X56" s="4">
        <f>IF(ISNUMBER(SEARCH("营",'19.12'!AF56)),(-$Y56+50*IF('19.12'!$AK56="是",'19.12'!$BB$4,'19.12'!$BB$3)),(VLOOKUP('19.12'!AF56,'19.12'!$AO$4:$AQ$55,2,FALSE))*IF('19.12'!$AK56="是",'19.12'!$BB$4,'19.12'!$BB$3))</f>
        <v>0</v>
      </c>
      <c r="Y56" s="18">
        <v>100</v>
      </c>
      <c r="Z56" s="15">
        <v>45782</v>
      </c>
    </row>
    <row r="57" spans="1:26">
      <c r="A57" s="4">
        <f>IF(ISNUMBER(SEARCH("营",'19.12'!I57)),(-$Y57+50*IF('19.12'!$AK57="是",'19.12'!$BB$4,'19.12'!$BB$3)),(VLOOKUP('19.12'!I57,'19.12'!$AO$4:$AQ$55,2,FALSE))*IF('19.12'!$AK57="是",'19.12'!$BB$4,'19.12'!$BB$3))</f>
        <v>0</v>
      </c>
      <c r="B57" s="4">
        <f>IF(ISNUMBER(SEARCH("营",'19.12'!J57)),(-$Y57+50*IF('19.12'!$AK57="是",'19.12'!$BB$4,'19.12'!$BB$3)),(VLOOKUP('19.12'!J57,'19.12'!$AO$4:$AQ$55,2,FALSE))*IF('19.12'!$AK57="是",'19.12'!$BB$4,'19.12'!$BB$3))</f>
        <v>0</v>
      </c>
      <c r="C57" s="4">
        <f>IF(ISNUMBER(SEARCH("营",'19.12'!K57)),(-$Y57+50*IF('19.12'!$AK57="是",'19.12'!$BB$4,'19.12'!$BB$3)),(VLOOKUP('19.12'!K57,'19.12'!$AO$4:$AQ$55,2,FALSE))*IF('19.12'!$AK57="是",'19.12'!$BB$4,'19.12'!$BB$3))</f>
        <v>0</v>
      </c>
      <c r="D57" s="4">
        <f>IF(ISNUMBER(SEARCH("营",'19.12'!L57)),(-$Y57+50*IF('19.12'!$AK57="是",'19.12'!$BB$4,'19.12'!$BB$3)),(VLOOKUP('19.12'!L57,'19.12'!$AO$4:$AQ$55,2,FALSE))*IF('19.12'!$AK57="是",'19.12'!$BB$4,'19.12'!$BB$3))</f>
        <v>0</v>
      </c>
      <c r="E57" s="4">
        <f>IF(ISNUMBER(SEARCH("营",'19.12'!M57)),(-$Y57+50*IF('19.12'!$AK57="是",'19.12'!$BB$4,'19.12'!$BB$3)),(VLOOKUP('19.12'!M57,'19.12'!$AO$4:$AQ$55,2,FALSE))*IF('19.12'!$AK57="是",'19.12'!$BB$4,'19.12'!$BB$3))</f>
        <v>0</v>
      </c>
      <c r="F57" s="4">
        <f>IF(ISNUMBER(SEARCH("营",'19.12'!N57)),(-$Y57+50*IF('19.12'!$AK57="是",'19.12'!$BB$4,'19.12'!$BB$3)),(VLOOKUP('19.12'!N57,'19.12'!$AO$4:$AQ$55,2,FALSE))*IF('19.12'!$AK57="是",'19.12'!$BB$4,'19.12'!$BB$3))</f>
        <v>0</v>
      </c>
      <c r="G57" s="4">
        <f>IF(ISNUMBER(SEARCH("营",'19.12'!O57)),(-$Y57+50*IF('19.12'!$AK57="是",'19.12'!$BB$4,'19.12'!$BB$3)),(VLOOKUP('19.12'!O57,'19.12'!$AO$4:$AQ$55,2,FALSE))*IF('19.12'!$AK57="是",'19.12'!$BB$4,'19.12'!$BB$3))</f>
        <v>0</v>
      </c>
      <c r="H57" s="4">
        <f>IF(ISNUMBER(SEARCH("营",'19.12'!P57)),(-$Y57+50*IF('19.12'!$AK57="是",'19.12'!$BB$4,'19.12'!$BB$3)),(VLOOKUP('19.12'!P57,'19.12'!$AO$4:$AQ$55,2,FALSE))*IF('19.12'!$AK57="是",'19.12'!$BB$4,'19.12'!$BB$3))</f>
        <v>0</v>
      </c>
      <c r="I57" s="4">
        <f>IF(ISNUMBER(SEARCH("营",'19.12'!Q57)),(-$Y57+50*IF('19.12'!$AK57="是",'19.12'!$BB$4,'19.12'!$BB$3)),(VLOOKUP('19.12'!Q57,'19.12'!$AO$4:$AQ$55,2,FALSE))*IF('19.12'!$AK57="是",'19.12'!$BB$4,'19.12'!$BB$3))</f>
        <v>0</v>
      </c>
      <c r="J57" s="4">
        <f>IF(ISNUMBER(SEARCH("营",'19.12'!R57)),(-$Y57+50*IF('19.12'!$AK57="是",'19.12'!$BB$4,'19.12'!$BB$3)),(VLOOKUP('19.12'!R57,'19.12'!$AO$4:$AQ$55,2,FALSE))*IF('19.12'!$AK57="是",'19.12'!$BB$4,'19.12'!$BB$3))</f>
        <v>0</v>
      </c>
      <c r="K57" s="4">
        <f>IF(ISNUMBER(SEARCH("营",'19.12'!S57)),(-$Y57+50*IF('19.12'!$AK57="是",'19.12'!$BB$4,'19.12'!$BB$3)),(VLOOKUP('19.12'!S57,'19.12'!$AO$4:$AQ$55,2,FALSE))*IF('19.12'!$AK57="是",'19.12'!$BB$4,'19.12'!$BB$3))</f>
        <v>0</v>
      </c>
      <c r="L57" s="4">
        <f>IF(ISNUMBER(SEARCH("营",'19.12'!T57)),(-$Y57+50*IF('19.12'!$AK57="是",'19.12'!$BB$4,'19.12'!$BB$3)),(VLOOKUP('19.12'!T57,'19.12'!$AO$4:$AQ$55,2,FALSE))*IF('19.12'!$AK57="是",'19.12'!$BB$4,'19.12'!$BB$3))</f>
        <v>0</v>
      </c>
      <c r="M57" s="4">
        <f>IF(ISNUMBER(SEARCH("营",'19.12'!U57)),(-$Y57+50*IF('19.12'!$AK57="是",'19.12'!$BB$4,'19.12'!$BB$3)),(VLOOKUP('19.12'!U57,'19.12'!$AO$4:$AQ$55,2,FALSE))*IF('19.12'!$AK57="是",'19.12'!$BB$4,'19.12'!$BB$3))</f>
        <v>0</v>
      </c>
      <c r="N57" s="4">
        <f>IF(ISNUMBER(SEARCH("营",'19.12'!V57)),(-$Y57+50*IF('19.12'!$AK57="是",'19.12'!$BB$4,'19.12'!$BB$3)),(VLOOKUP('19.12'!V57,'19.12'!$AO$4:$AQ$55,2,FALSE))*IF('19.12'!$AK57="是",'19.12'!$BB$4,'19.12'!$BB$3))</f>
        <v>0</v>
      </c>
      <c r="O57" s="4">
        <f>IF(ISNUMBER(SEARCH("营",'19.12'!W57)),(-$Y57+50*IF('19.12'!$AK57="是",'19.12'!$BB$4,'19.12'!$BB$3)),(VLOOKUP('19.12'!W57,'19.12'!$AO$4:$AQ$55,2,FALSE))*IF('19.12'!$AK57="是",'19.12'!$BB$4,'19.12'!$BB$3))</f>
        <v>0</v>
      </c>
      <c r="P57" s="4">
        <f>IF(ISNUMBER(SEARCH("营",'19.12'!X57)),(-$Y57+50*IF('19.12'!$AK57="是",'19.12'!$BB$4,'19.12'!$BB$3)),(VLOOKUP('19.12'!X57,'19.12'!$AO$4:$AQ$55,2,FALSE))*IF('19.12'!$AK57="是",'19.12'!$BB$4,'19.12'!$BB$3))</f>
        <v>0</v>
      </c>
      <c r="Q57" s="4">
        <f>IF(ISNUMBER(SEARCH("营",'19.12'!Y57)),(-$Y57+50*IF('19.12'!$AK57="是",'19.12'!$BB$4,'19.12'!$BB$3)),(VLOOKUP('19.12'!Y57,'19.12'!$AO$4:$AQ$55,2,FALSE))*IF('19.12'!$AK57="是",'19.12'!$BB$4,'19.12'!$BB$3))</f>
        <v>0</v>
      </c>
      <c r="R57" s="4">
        <f>IF(ISNUMBER(SEARCH("营",'19.12'!Z57)),(-$Y57+50*IF('19.12'!$AK57="是",'19.12'!$BB$4,'19.12'!$BB$3)),(VLOOKUP('19.12'!Z57,'19.12'!$AO$4:$AQ$55,2,FALSE))*IF('19.12'!$AK57="是",'19.12'!$BB$4,'19.12'!$BB$3))</f>
        <v>0</v>
      </c>
      <c r="S57" s="4">
        <f>IF(ISNUMBER(SEARCH("营",'19.12'!AA57)),(-$Y57+50*IF('19.12'!$AK57="是",'19.12'!$BB$4,'19.12'!$BB$3)),(VLOOKUP('19.12'!AA57,'19.12'!$AO$4:$AQ$55,2,FALSE))*IF('19.12'!$AK57="是",'19.12'!$BB$4,'19.12'!$BB$3))</f>
        <v>0</v>
      </c>
      <c r="T57" s="4">
        <f>IF(ISNUMBER(SEARCH("营",'19.12'!AB57)),(-$Y57+50*IF('19.12'!$AK57="是",'19.12'!$BB$4,'19.12'!$BB$3)),(VLOOKUP('19.12'!AB57,'19.12'!$AO$4:$AQ$55,2,FALSE))*IF('19.12'!$AK57="是",'19.12'!$BB$4,'19.12'!$BB$3))</f>
        <v>0</v>
      </c>
      <c r="U57" s="4">
        <f>IF(ISNUMBER(SEARCH("营",'19.12'!AC57)),(-$Y57+50*IF('19.12'!$AK57="是",'19.12'!$BB$4,'19.12'!$BB$3)),(VLOOKUP('19.12'!AC57,'19.12'!$AO$4:$AQ$55,2,FALSE))*IF('19.12'!$AK57="是",'19.12'!$BB$4,'19.12'!$BB$3))</f>
        <v>0</v>
      </c>
      <c r="V57" s="4">
        <f>IF(ISNUMBER(SEARCH("营",'19.12'!AD57)),(-$Y57+50*IF('19.12'!$AK57="是",'19.12'!$BB$4,'19.12'!$BB$3)),(VLOOKUP('19.12'!AD57,'19.12'!$AO$4:$AQ$55,2,FALSE))*IF('19.12'!$AK57="是",'19.12'!$BB$4,'19.12'!$BB$3))</f>
        <v>0</v>
      </c>
      <c r="W57" s="4">
        <f>IF(ISNUMBER(SEARCH("营",'19.12'!AE57)),(-$Y57+50*IF('19.12'!$AK57="是",'19.12'!$BB$4,'19.12'!$BB$3)),(VLOOKUP('19.12'!AE57,'19.12'!$AO$4:$AQ$55,2,FALSE))*IF('19.12'!$AK57="是",'19.12'!$BB$4,'19.12'!$BB$3))</f>
        <v>0</v>
      </c>
      <c r="X57" s="4">
        <f>IF(ISNUMBER(SEARCH("营",'19.12'!AF57)),(-$Y57+50*IF('19.12'!$AK57="是",'19.12'!$BB$4,'19.12'!$BB$3)),(VLOOKUP('19.12'!AF57,'19.12'!$AO$4:$AQ$55,2,FALSE))*IF('19.12'!$AK57="是",'19.12'!$BB$4,'19.12'!$BB$3))</f>
        <v>0</v>
      </c>
      <c r="Y57" s="18">
        <v>100</v>
      </c>
      <c r="Z57" s="15">
        <v>45783</v>
      </c>
    </row>
    <row r="58" spans="1:26">
      <c r="A58" s="4">
        <f>IF(ISNUMBER(SEARCH("营",'19.12'!I58)),(-$Y58+50*IF('19.12'!$AK58="是",'19.12'!$BB$4,'19.12'!$BB$3)),(VLOOKUP('19.12'!I58,'19.12'!$AO$4:$AQ$55,2,FALSE))*IF('19.12'!$AK58="是",'19.12'!$BB$4,'19.12'!$BB$3))</f>
        <v>0</v>
      </c>
      <c r="B58" s="4">
        <f>IF(ISNUMBER(SEARCH("营",'19.12'!J58)),(-$Y58+50*IF('19.12'!$AK58="是",'19.12'!$BB$4,'19.12'!$BB$3)),(VLOOKUP('19.12'!J58,'19.12'!$AO$4:$AQ$55,2,FALSE))*IF('19.12'!$AK58="是",'19.12'!$BB$4,'19.12'!$BB$3))</f>
        <v>0</v>
      </c>
      <c r="C58" s="4">
        <f>IF(ISNUMBER(SEARCH("营",'19.12'!K58)),(-$Y58+50*IF('19.12'!$AK58="是",'19.12'!$BB$4,'19.12'!$BB$3)),(VLOOKUP('19.12'!K58,'19.12'!$AO$4:$AQ$55,2,FALSE))*IF('19.12'!$AK58="是",'19.12'!$BB$4,'19.12'!$BB$3))</f>
        <v>0</v>
      </c>
      <c r="D58" s="4">
        <f>IF(ISNUMBER(SEARCH("营",'19.12'!L58)),(-$Y58+50*IF('19.12'!$AK58="是",'19.12'!$BB$4,'19.12'!$BB$3)),(VLOOKUP('19.12'!L58,'19.12'!$AO$4:$AQ$55,2,FALSE))*IF('19.12'!$AK58="是",'19.12'!$BB$4,'19.12'!$BB$3))</f>
        <v>0</v>
      </c>
      <c r="E58" s="4">
        <f>IF(ISNUMBER(SEARCH("营",'19.12'!M58)),(-$Y58+50*IF('19.12'!$AK58="是",'19.12'!$BB$4,'19.12'!$BB$3)),(VLOOKUP('19.12'!M58,'19.12'!$AO$4:$AQ$55,2,FALSE))*IF('19.12'!$AK58="是",'19.12'!$BB$4,'19.12'!$BB$3))</f>
        <v>0</v>
      </c>
      <c r="F58" s="4">
        <f>IF(ISNUMBER(SEARCH("营",'19.12'!N58)),(-$Y58+50*IF('19.12'!$AK58="是",'19.12'!$BB$4,'19.12'!$BB$3)),(VLOOKUP('19.12'!N58,'19.12'!$AO$4:$AQ$55,2,FALSE))*IF('19.12'!$AK58="是",'19.12'!$BB$4,'19.12'!$BB$3))</f>
        <v>0</v>
      </c>
      <c r="G58" s="4">
        <f>IF(ISNUMBER(SEARCH("营",'19.12'!O58)),(-$Y58+50*IF('19.12'!$AK58="是",'19.12'!$BB$4,'19.12'!$BB$3)),(VLOOKUP('19.12'!O58,'19.12'!$AO$4:$AQ$55,2,FALSE))*IF('19.12'!$AK58="是",'19.12'!$BB$4,'19.12'!$BB$3))</f>
        <v>0</v>
      </c>
      <c r="H58" s="4">
        <f>IF(ISNUMBER(SEARCH("营",'19.12'!P58)),(-$Y58+50*IF('19.12'!$AK58="是",'19.12'!$BB$4,'19.12'!$BB$3)),(VLOOKUP('19.12'!P58,'19.12'!$AO$4:$AQ$55,2,FALSE))*IF('19.12'!$AK58="是",'19.12'!$BB$4,'19.12'!$BB$3))</f>
        <v>0</v>
      </c>
      <c r="I58" s="4">
        <f>IF(ISNUMBER(SEARCH("营",'19.12'!Q58)),(-$Y58+50*IF('19.12'!$AK58="是",'19.12'!$BB$4,'19.12'!$BB$3)),(VLOOKUP('19.12'!Q58,'19.12'!$AO$4:$AQ$55,2,FALSE))*IF('19.12'!$AK58="是",'19.12'!$BB$4,'19.12'!$BB$3))</f>
        <v>0</v>
      </c>
      <c r="J58" s="4">
        <f>IF(ISNUMBER(SEARCH("营",'19.12'!R58)),(-$Y58+50*IF('19.12'!$AK58="是",'19.12'!$BB$4,'19.12'!$BB$3)),(VLOOKUP('19.12'!R58,'19.12'!$AO$4:$AQ$55,2,FALSE))*IF('19.12'!$AK58="是",'19.12'!$BB$4,'19.12'!$BB$3))</f>
        <v>0</v>
      </c>
      <c r="K58" s="4">
        <f>IF(ISNUMBER(SEARCH("营",'19.12'!S58)),(-$Y58+50*IF('19.12'!$AK58="是",'19.12'!$BB$4,'19.12'!$BB$3)),(VLOOKUP('19.12'!S58,'19.12'!$AO$4:$AQ$55,2,FALSE))*IF('19.12'!$AK58="是",'19.12'!$BB$4,'19.12'!$BB$3))</f>
        <v>0</v>
      </c>
      <c r="L58" s="4">
        <f>IF(ISNUMBER(SEARCH("营",'19.12'!T58)),(-$Y58+50*IF('19.12'!$AK58="是",'19.12'!$BB$4,'19.12'!$BB$3)),(VLOOKUP('19.12'!T58,'19.12'!$AO$4:$AQ$55,2,FALSE))*IF('19.12'!$AK58="是",'19.12'!$BB$4,'19.12'!$BB$3))</f>
        <v>0</v>
      </c>
      <c r="M58" s="4">
        <f>IF(ISNUMBER(SEARCH("营",'19.12'!U58)),(-$Y58+50*IF('19.12'!$AK58="是",'19.12'!$BB$4,'19.12'!$BB$3)),(VLOOKUP('19.12'!U58,'19.12'!$AO$4:$AQ$55,2,FALSE))*IF('19.12'!$AK58="是",'19.12'!$BB$4,'19.12'!$BB$3))</f>
        <v>0</v>
      </c>
      <c r="N58" s="4">
        <f>IF(ISNUMBER(SEARCH("营",'19.12'!V58)),(-$Y58+50*IF('19.12'!$AK58="是",'19.12'!$BB$4,'19.12'!$BB$3)),(VLOOKUP('19.12'!V58,'19.12'!$AO$4:$AQ$55,2,FALSE))*IF('19.12'!$AK58="是",'19.12'!$BB$4,'19.12'!$BB$3))</f>
        <v>0</v>
      </c>
      <c r="O58" s="4">
        <f>IF(ISNUMBER(SEARCH("营",'19.12'!W58)),(-$Y58+50*IF('19.12'!$AK58="是",'19.12'!$BB$4,'19.12'!$BB$3)),(VLOOKUP('19.12'!W58,'19.12'!$AO$4:$AQ$55,2,FALSE))*IF('19.12'!$AK58="是",'19.12'!$BB$4,'19.12'!$BB$3))</f>
        <v>0</v>
      </c>
      <c r="P58" s="4">
        <f>IF(ISNUMBER(SEARCH("营",'19.12'!X58)),(-$Y58+50*IF('19.12'!$AK58="是",'19.12'!$BB$4,'19.12'!$BB$3)),(VLOOKUP('19.12'!X58,'19.12'!$AO$4:$AQ$55,2,FALSE))*IF('19.12'!$AK58="是",'19.12'!$BB$4,'19.12'!$BB$3))</f>
        <v>0</v>
      </c>
      <c r="Q58" s="4">
        <f>IF(ISNUMBER(SEARCH("营",'19.12'!Y58)),(-$Y58+50*IF('19.12'!$AK58="是",'19.12'!$BB$4,'19.12'!$BB$3)),(VLOOKUP('19.12'!Y58,'19.12'!$AO$4:$AQ$55,2,FALSE))*IF('19.12'!$AK58="是",'19.12'!$BB$4,'19.12'!$BB$3))</f>
        <v>0</v>
      </c>
      <c r="R58" s="4">
        <f>IF(ISNUMBER(SEARCH("营",'19.12'!Z58)),(-$Y58+50*IF('19.12'!$AK58="是",'19.12'!$BB$4,'19.12'!$BB$3)),(VLOOKUP('19.12'!Z58,'19.12'!$AO$4:$AQ$55,2,FALSE))*IF('19.12'!$AK58="是",'19.12'!$BB$4,'19.12'!$BB$3))</f>
        <v>0</v>
      </c>
      <c r="S58" s="4">
        <f>IF(ISNUMBER(SEARCH("营",'19.12'!AA58)),(-$Y58+50*IF('19.12'!$AK58="是",'19.12'!$BB$4,'19.12'!$BB$3)),(VLOOKUP('19.12'!AA58,'19.12'!$AO$4:$AQ$55,2,FALSE))*IF('19.12'!$AK58="是",'19.12'!$BB$4,'19.12'!$BB$3))</f>
        <v>0</v>
      </c>
      <c r="T58" s="4">
        <f>IF(ISNUMBER(SEARCH("营",'19.12'!AB58)),(-$Y58+50*IF('19.12'!$AK58="是",'19.12'!$BB$4,'19.12'!$BB$3)),(VLOOKUP('19.12'!AB58,'19.12'!$AO$4:$AQ$55,2,FALSE))*IF('19.12'!$AK58="是",'19.12'!$BB$4,'19.12'!$BB$3))</f>
        <v>0</v>
      </c>
      <c r="U58" s="4">
        <f>IF(ISNUMBER(SEARCH("营",'19.12'!AC58)),(-$Y58+50*IF('19.12'!$AK58="是",'19.12'!$BB$4,'19.12'!$BB$3)),(VLOOKUP('19.12'!AC58,'19.12'!$AO$4:$AQ$55,2,FALSE))*IF('19.12'!$AK58="是",'19.12'!$BB$4,'19.12'!$BB$3))</f>
        <v>0</v>
      </c>
      <c r="V58" s="4">
        <f>IF(ISNUMBER(SEARCH("营",'19.12'!AD58)),(-$Y58+50*IF('19.12'!$AK58="是",'19.12'!$BB$4,'19.12'!$BB$3)),(VLOOKUP('19.12'!AD58,'19.12'!$AO$4:$AQ$55,2,FALSE))*IF('19.12'!$AK58="是",'19.12'!$BB$4,'19.12'!$BB$3))</f>
        <v>0</v>
      </c>
      <c r="W58" s="4">
        <f>IF(ISNUMBER(SEARCH("营",'19.12'!AE58)),(-$Y58+50*IF('19.12'!$AK58="是",'19.12'!$BB$4,'19.12'!$BB$3)),(VLOOKUP('19.12'!AE58,'19.12'!$AO$4:$AQ$55,2,FALSE))*IF('19.12'!$AK58="是",'19.12'!$BB$4,'19.12'!$BB$3))</f>
        <v>0</v>
      </c>
      <c r="X58" s="4">
        <f>IF(ISNUMBER(SEARCH("营",'19.12'!AF58)),(-$Y58+50*IF('19.12'!$AK58="是",'19.12'!$BB$4,'19.12'!$BB$3)),(VLOOKUP('19.12'!AF58,'19.12'!$AO$4:$AQ$55,2,FALSE))*IF('19.12'!$AK58="是",'19.12'!$BB$4,'19.12'!$BB$3))</f>
        <v>0</v>
      </c>
      <c r="Y58" s="18">
        <v>100</v>
      </c>
      <c r="Z58" s="15">
        <v>45784</v>
      </c>
    </row>
    <row r="59" spans="1:26">
      <c r="A59" s="4">
        <f>IF(ISNUMBER(SEARCH("营",'19.12'!I59)),(-$Y59+50*IF('19.12'!$AK59="是",'19.12'!$BB$4,'19.12'!$BB$3)),(VLOOKUP('19.12'!I59,'19.12'!$AO$4:$AQ$55,2,FALSE))*IF('19.12'!$AK59="是",'19.12'!$BB$4,'19.12'!$BB$3))</f>
        <v>0</v>
      </c>
      <c r="B59" s="4">
        <f>IF(ISNUMBER(SEARCH("营",'19.12'!J59)),(-$Y59+50*IF('19.12'!$AK59="是",'19.12'!$BB$4,'19.12'!$BB$3)),(VLOOKUP('19.12'!J59,'19.12'!$AO$4:$AQ$55,2,FALSE))*IF('19.12'!$AK59="是",'19.12'!$BB$4,'19.12'!$BB$3))</f>
        <v>0</v>
      </c>
      <c r="C59" s="4">
        <f>IF(ISNUMBER(SEARCH("营",'19.12'!K59)),(-$Y59+50*IF('19.12'!$AK59="是",'19.12'!$BB$4,'19.12'!$BB$3)),(VLOOKUP('19.12'!K59,'19.12'!$AO$4:$AQ$55,2,FALSE))*IF('19.12'!$AK59="是",'19.12'!$BB$4,'19.12'!$BB$3))</f>
        <v>0</v>
      </c>
      <c r="D59" s="4">
        <f>IF(ISNUMBER(SEARCH("营",'19.12'!L59)),(-$Y59+50*IF('19.12'!$AK59="是",'19.12'!$BB$4,'19.12'!$BB$3)),(VLOOKUP('19.12'!L59,'19.12'!$AO$4:$AQ$55,2,FALSE))*IF('19.12'!$AK59="是",'19.12'!$BB$4,'19.12'!$BB$3))</f>
        <v>0</v>
      </c>
      <c r="E59" s="4">
        <f>IF(ISNUMBER(SEARCH("营",'19.12'!M59)),(-$Y59+50*IF('19.12'!$AK59="是",'19.12'!$BB$4,'19.12'!$BB$3)),(VLOOKUP('19.12'!M59,'19.12'!$AO$4:$AQ$55,2,FALSE))*IF('19.12'!$AK59="是",'19.12'!$BB$4,'19.12'!$BB$3))</f>
        <v>0</v>
      </c>
      <c r="F59" s="4">
        <f>IF(ISNUMBER(SEARCH("营",'19.12'!N59)),(-$Y59+50*IF('19.12'!$AK59="是",'19.12'!$BB$4,'19.12'!$BB$3)),(VLOOKUP('19.12'!N59,'19.12'!$AO$4:$AQ$55,2,FALSE))*IF('19.12'!$AK59="是",'19.12'!$BB$4,'19.12'!$BB$3))</f>
        <v>0</v>
      </c>
      <c r="G59" s="4">
        <f>IF(ISNUMBER(SEARCH("营",'19.12'!O59)),(-$Y59+50*IF('19.12'!$AK59="是",'19.12'!$BB$4,'19.12'!$BB$3)),(VLOOKUP('19.12'!O59,'19.12'!$AO$4:$AQ$55,2,FALSE))*IF('19.12'!$AK59="是",'19.12'!$BB$4,'19.12'!$BB$3))</f>
        <v>0</v>
      </c>
      <c r="H59" s="4">
        <f>IF(ISNUMBER(SEARCH("营",'19.12'!P59)),(-$Y59+50*IF('19.12'!$AK59="是",'19.12'!$BB$4,'19.12'!$BB$3)),(VLOOKUP('19.12'!P59,'19.12'!$AO$4:$AQ$55,2,FALSE))*IF('19.12'!$AK59="是",'19.12'!$BB$4,'19.12'!$BB$3))</f>
        <v>0</v>
      </c>
      <c r="I59" s="4">
        <f>IF(ISNUMBER(SEARCH("营",'19.12'!Q59)),(-$Y59+50*IF('19.12'!$AK59="是",'19.12'!$BB$4,'19.12'!$BB$3)),(VLOOKUP('19.12'!Q59,'19.12'!$AO$4:$AQ$55,2,FALSE))*IF('19.12'!$AK59="是",'19.12'!$BB$4,'19.12'!$BB$3))</f>
        <v>0</v>
      </c>
      <c r="J59" s="4">
        <f>IF(ISNUMBER(SEARCH("营",'19.12'!R59)),(-$Y59+50*IF('19.12'!$AK59="是",'19.12'!$BB$4,'19.12'!$BB$3)),(VLOOKUP('19.12'!R59,'19.12'!$AO$4:$AQ$55,2,FALSE))*IF('19.12'!$AK59="是",'19.12'!$BB$4,'19.12'!$BB$3))</f>
        <v>0</v>
      </c>
      <c r="K59" s="4">
        <f>IF(ISNUMBER(SEARCH("营",'19.12'!S59)),(-$Y59+50*IF('19.12'!$AK59="是",'19.12'!$BB$4,'19.12'!$BB$3)),(VLOOKUP('19.12'!S59,'19.12'!$AO$4:$AQ$55,2,FALSE))*IF('19.12'!$AK59="是",'19.12'!$BB$4,'19.12'!$BB$3))</f>
        <v>0</v>
      </c>
      <c r="L59" s="4">
        <f>IF(ISNUMBER(SEARCH("营",'19.12'!T59)),(-$Y59+50*IF('19.12'!$AK59="是",'19.12'!$BB$4,'19.12'!$BB$3)),(VLOOKUP('19.12'!T59,'19.12'!$AO$4:$AQ$55,2,FALSE))*IF('19.12'!$AK59="是",'19.12'!$BB$4,'19.12'!$BB$3))</f>
        <v>0</v>
      </c>
      <c r="M59" s="4">
        <f>IF(ISNUMBER(SEARCH("营",'19.12'!U59)),(-$Y59+50*IF('19.12'!$AK59="是",'19.12'!$BB$4,'19.12'!$BB$3)),(VLOOKUP('19.12'!U59,'19.12'!$AO$4:$AQ$55,2,FALSE))*IF('19.12'!$AK59="是",'19.12'!$BB$4,'19.12'!$BB$3))</f>
        <v>0</v>
      </c>
      <c r="N59" s="4">
        <f>IF(ISNUMBER(SEARCH("营",'19.12'!V59)),(-$Y59+50*IF('19.12'!$AK59="是",'19.12'!$BB$4,'19.12'!$BB$3)),(VLOOKUP('19.12'!V59,'19.12'!$AO$4:$AQ$55,2,FALSE))*IF('19.12'!$AK59="是",'19.12'!$BB$4,'19.12'!$BB$3))</f>
        <v>0</v>
      </c>
      <c r="O59" s="4">
        <f>IF(ISNUMBER(SEARCH("营",'19.12'!W59)),(-$Y59+50*IF('19.12'!$AK59="是",'19.12'!$BB$4,'19.12'!$BB$3)),(VLOOKUP('19.12'!W59,'19.12'!$AO$4:$AQ$55,2,FALSE))*IF('19.12'!$AK59="是",'19.12'!$BB$4,'19.12'!$BB$3))</f>
        <v>0</v>
      </c>
      <c r="P59" s="4">
        <f>IF(ISNUMBER(SEARCH("营",'19.12'!X59)),(-$Y59+50*IF('19.12'!$AK59="是",'19.12'!$BB$4,'19.12'!$BB$3)),(VLOOKUP('19.12'!X59,'19.12'!$AO$4:$AQ$55,2,FALSE))*IF('19.12'!$AK59="是",'19.12'!$BB$4,'19.12'!$BB$3))</f>
        <v>0</v>
      </c>
      <c r="Q59" s="4">
        <f>IF(ISNUMBER(SEARCH("营",'19.12'!Y59)),(-$Y59+50*IF('19.12'!$AK59="是",'19.12'!$BB$4,'19.12'!$BB$3)),(VLOOKUP('19.12'!Y59,'19.12'!$AO$4:$AQ$55,2,FALSE))*IF('19.12'!$AK59="是",'19.12'!$BB$4,'19.12'!$BB$3))</f>
        <v>0</v>
      </c>
      <c r="R59" s="4">
        <f>IF(ISNUMBER(SEARCH("营",'19.12'!Z59)),(-$Y59+50*IF('19.12'!$AK59="是",'19.12'!$BB$4,'19.12'!$BB$3)),(VLOOKUP('19.12'!Z59,'19.12'!$AO$4:$AQ$55,2,FALSE))*IF('19.12'!$AK59="是",'19.12'!$BB$4,'19.12'!$BB$3))</f>
        <v>0</v>
      </c>
      <c r="S59" s="4">
        <f>IF(ISNUMBER(SEARCH("营",'19.12'!AA59)),(-$Y59+50*IF('19.12'!$AK59="是",'19.12'!$BB$4,'19.12'!$BB$3)),(VLOOKUP('19.12'!AA59,'19.12'!$AO$4:$AQ$55,2,FALSE))*IF('19.12'!$AK59="是",'19.12'!$BB$4,'19.12'!$BB$3))</f>
        <v>0</v>
      </c>
      <c r="T59" s="4">
        <f>IF(ISNUMBER(SEARCH("营",'19.12'!AB59)),(-$Y59+50*IF('19.12'!$AK59="是",'19.12'!$BB$4,'19.12'!$BB$3)),(VLOOKUP('19.12'!AB59,'19.12'!$AO$4:$AQ$55,2,FALSE))*IF('19.12'!$AK59="是",'19.12'!$BB$4,'19.12'!$BB$3))</f>
        <v>0</v>
      </c>
      <c r="U59" s="4">
        <f>IF(ISNUMBER(SEARCH("营",'19.12'!AC59)),(-$Y59+50*IF('19.12'!$AK59="是",'19.12'!$BB$4,'19.12'!$BB$3)),(VLOOKUP('19.12'!AC59,'19.12'!$AO$4:$AQ$55,2,FALSE))*IF('19.12'!$AK59="是",'19.12'!$BB$4,'19.12'!$BB$3))</f>
        <v>0</v>
      </c>
      <c r="V59" s="4">
        <f>IF(ISNUMBER(SEARCH("营",'19.12'!AD59)),(-$Y59+50*IF('19.12'!$AK59="是",'19.12'!$BB$4,'19.12'!$BB$3)),(VLOOKUP('19.12'!AD59,'19.12'!$AO$4:$AQ$55,2,FALSE))*IF('19.12'!$AK59="是",'19.12'!$BB$4,'19.12'!$BB$3))</f>
        <v>0</v>
      </c>
      <c r="W59" s="4">
        <f>IF(ISNUMBER(SEARCH("营",'19.12'!AE59)),(-$Y59+50*IF('19.12'!$AK59="是",'19.12'!$BB$4,'19.12'!$BB$3)),(VLOOKUP('19.12'!AE59,'19.12'!$AO$4:$AQ$55,2,FALSE))*IF('19.12'!$AK59="是",'19.12'!$BB$4,'19.12'!$BB$3))</f>
        <v>0</v>
      </c>
      <c r="X59" s="4">
        <f>IF(ISNUMBER(SEARCH("营",'19.12'!AF59)),(-$Y59+50*IF('19.12'!$AK59="是",'19.12'!$BB$4,'19.12'!$BB$3)),(VLOOKUP('19.12'!AF59,'19.12'!$AO$4:$AQ$55,2,FALSE))*IF('19.12'!$AK59="是",'19.12'!$BB$4,'19.12'!$BB$3))</f>
        <v>0</v>
      </c>
      <c r="Y59" s="18">
        <v>100</v>
      </c>
      <c r="Z59" s="15">
        <v>45785</v>
      </c>
    </row>
    <row r="60" spans="1:26">
      <c r="A60" s="4">
        <f>IF(ISNUMBER(SEARCH("营",'19.12'!I60)),(-$Y60+50*IF('19.12'!$AK60="是",'19.12'!$BB$4,'19.12'!$BB$3)),(VLOOKUP('19.12'!I60,'19.12'!$AO$4:$AQ$55,2,FALSE))*IF('19.12'!$AK60="是",'19.12'!$BB$4,'19.12'!$BB$3))</f>
        <v>0</v>
      </c>
      <c r="B60" s="4">
        <f>IF(ISNUMBER(SEARCH("营",'19.12'!J60)),(-$Y60+50*IF('19.12'!$AK60="是",'19.12'!$BB$4,'19.12'!$BB$3)),(VLOOKUP('19.12'!J60,'19.12'!$AO$4:$AQ$55,2,FALSE))*IF('19.12'!$AK60="是",'19.12'!$BB$4,'19.12'!$BB$3))</f>
        <v>0</v>
      </c>
      <c r="C60" s="4">
        <f>IF(ISNUMBER(SEARCH("营",'19.12'!K60)),(-$Y60+50*IF('19.12'!$AK60="是",'19.12'!$BB$4,'19.12'!$BB$3)),(VLOOKUP('19.12'!K60,'19.12'!$AO$4:$AQ$55,2,FALSE))*IF('19.12'!$AK60="是",'19.12'!$BB$4,'19.12'!$BB$3))</f>
        <v>0</v>
      </c>
      <c r="D60" s="4">
        <f>IF(ISNUMBER(SEARCH("营",'19.12'!L60)),(-$Y60+50*IF('19.12'!$AK60="是",'19.12'!$BB$4,'19.12'!$BB$3)),(VLOOKUP('19.12'!L60,'19.12'!$AO$4:$AQ$55,2,FALSE))*IF('19.12'!$AK60="是",'19.12'!$BB$4,'19.12'!$BB$3))</f>
        <v>0</v>
      </c>
      <c r="E60" s="4">
        <f>IF(ISNUMBER(SEARCH("营",'19.12'!M60)),(-$Y60+50*IF('19.12'!$AK60="是",'19.12'!$BB$4,'19.12'!$BB$3)),(VLOOKUP('19.12'!M60,'19.12'!$AO$4:$AQ$55,2,FALSE))*IF('19.12'!$AK60="是",'19.12'!$BB$4,'19.12'!$BB$3))</f>
        <v>0</v>
      </c>
      <c r="F60" s="4">
        <f>IF(ISNUMBER(SEARCH("营",'19.12'!N60)),(-$Y60+50*IF('19.12'!$AK60="是",'19.12'!$BB$4,'19.12'!$BB$3)),(VLOOKUP('19.12'!N60,'19.12'!$AO$4:$AQ$55,2,FALSE))*IF('19.12'!$AK60="是",'19.12'!$BB$4,'19.12'!$BB$3))</f>
        <v>0</v>
      </c>
      <c r="G60" s="4">
        <f>IF(ISNUMBER(SEARCH("营",'19.12'!O60)),(-$Y60+50*IF('19.12'!$AK60="是",'19.12'!$BB$4,'19.12'!$BB$3)),(VLOOKUP('19.12'!O60,'19.12'!$AO$4:$AQ$55,2,FALSE))*IF('19.12'!$AK60="是",'19.12'!$BB$4,'19.12'!$BB$3))</f>
        <v>0</v>
      </c>
      <c r="H60" s="4">
        <f>IF(ISNUMBER(SEARCH("营",'19.12'!P60)),(-$Y60+50*IF('19.12'!$AK60="是",'19.12'!$BB$4,'19.12'!$BB$3)),(VLOOKUP('19.12'!P60,'19.12'!$AO$4:$AQ$55,2,FALSE))*IF('19.12'!$AK60="是",'19.12'!$BB$4,'19.12'!$BB$3))</f>
        <v>0</v>
      </c>
      <c r="I60" s="4">
        <f>IF(ISNUMBER(SEARCH("营",'19.12'!Q60)),(-$Y60+50*IF('19.12'!$AK60="是",'19.12'!$BB$4,'19.12'!$BB$3)),(VLOOKUP('19.12'!Q60,'19.12'!$AO$4:$AQ$55,2,FALSE))*IF('19.12'!$AK60="是",'19.12'!$BB$4,'19.12'!$BB$3))</f>
        <v>0</v>
      </c>
      <c r="J60" s="4">
        <f>IF(ISNUMBER(SEARCH("营",'19.12'!R60)),(-$Y60+50*IF('19.12'!$AK60="是",'19.12'!$BB$4,'19.12'!$BB$3)),(VLOOKUP('19.12'!R60,'19.12'!$AO$4:$AQ$55,2,FALSE))*IF('19.12'!$AK60="是",'19.12'!$BB$4,'19.12'!$BB$3))</f>
        <v>0</v>
      </c>
      <c r="K60" s="4">
        <f>IF(ISNUMBER(SEARCH("营",'19.12'!S60)),(-$Y60+50*IF('19.12'!$AK60="是",'19.12'!$BB$4,'19.12'!$BB$3)),(VLOOKUP('19.12'!S60,'19.12'!$AO$4:$AQ$55,2,FALSE))*IF('19.12'!$AK60="是",'19.12'!$BB$4,'19.12'!$BB$3))</f>
        <v>0</v>
      </c>
      <c r="L60" s="4">
        <f>IF(ISNUMBER(SEARCH("营",'19.12'!T60)),(-$Y60+50*IF('19.12'!$AK60="是",'19.12'!$BB$4,'19.12'!$BB$3)),(VLOOKUP('19.12'!T60,'19.12'!$AO$4:$AQ$55,2,FALSE))*IF('19.12'!$AK60="是",'19.12'!$BB$4,'19.12'!$BB$3))</f>
        <v>0</v>
      </c>
      <c r="M60" s="4">
        <f>IF(ISNUMBER(SEARCH("营",'19.12'!U60)),(-$Y60+50*IF('19.12'!$AK60="是",'19.12'!$BB$4,'19.12'!$BB$3)),(VLOOKUP('19.12'!U60,'19.12'!$AO$4:$AQ$55,2,FALSE))*IF('19.12'!$AK60="是",'19.12'!$BB$4,'19.12'!$BB$3))</f>
        <v>0</v>
      </c>
      <c r="N60" s="4">
        <f>IF(ISNUMBER(SEARCH("营",'19.12'!V60)),(-$Y60+50*IF('19.12'!$AK60="是",'19.12'!$BB$4,'19.12'!$BB$3)),(VLOOKUP('19.12'!V60,'19.12'!$AO$4:$AQ$55,2,FALSE))*IF('19.12'!$AK60="是",'19.12'!$BB$4,'19.12'!$BB$3))</f>
        <v>0</v>
      </c>
      <c r="O60" s="4">
        <f>IF(ISNUMBER(SEARCH("营",'19.12'!W60)),(-$Y60+50*IF('19.12'!$AK60="是",'19.12'!$BB$4,'19.12'!$BB$3)),(VLOOKUP('19.12'!W60,'19.12'!$AO$4:$AQ$55,2,FALSE))*IF('19.12'!$AK60="是",'19.12'!$BB$4,'19.12'!$BB$3))</f>
        <v>0</v>
      </c>
      <c r="P60" s="4">
        <f>IF(ISNUMBER(SEARCH("营",'19.12'!X60)),(-$Y60+50*IF('19.12'!$AK60="是",'19.12'!$BB$4,'19.12'!$BB$3)),(VLOOKUP('19.12'!X60,'19.12'!$AO$4:$AQ$55,2,FALSE))*IF('19.12'!$AK60="是",'19.12'!$BB$4,'19.12'!$BB$3))</f>
        <v>0</v>
      </c>
      <c r="Q60" s="4">
        <f>IF(ISNUMBER(SEARCH("营",'19.12'!Y60)),(-$Y60+50*IF('19.12'!$AK60="是",'19.12'!$BB$4,'19.12'!$BB$3)),(VLOOKUP('19.12'!Y60,'19.12'!$AO$4:$AQ$55,2,FALSE))*IF('19.12'!$AK60="是",'19.12'!$BB$4,'19.12'!$BB$3))</f>
        <v>0</v>
      </c>
      <c r="R60" s="4">
        <f>IF(ISNUMBER(SEARCH("营",'19.12'!Z60)),(-$Y60+50*IF('19.12'!$AK60="是",'19.12'!$BB$4,'19.12'!$BB$3)),(VLOOKUP('19.12'!Z60,'19.12'!$AO$4:$AQ$55,2,FALSE))*IF('19.12'!$AK60="是",'19.12'!$BB$4,'19.12'!$BB$3))</f>
        <v>0</v>
      </c>
      <c r="S60" s="4">
        <f>IF(ISNUMBER(SEARCH("营",'19.12'!AA60)),(-$Y60+50*IF('19.12'!$AK60="是",'19.12'!$BB$4,'19.12'!$BB$3)),(VLOOKUP('19.12'!AA60,'19.12'!$AO$4:$AQ$55,2,FALSE))*IF('19.12'!$AK60="是",'19.12'!$BB$4,'19.12'!$BB$3))</f>
        <v>0</v>
      </c>
      <c r="T60" s="4">
        <f>IF(ISNUMBER(SEARCH("营",'19.12'!AB60)),(-$Y60+50*IF('19.12'!$AK60="是",'19.12'!$BB$4,'19.12'!$BB$3)),(VLOOKUP('19.12'!AB60,'19.12'!$AO$4:$AQ$55,2,FALSE))*IF('19.12'!$AK60="是",'19.12'!$BB$4,'19.12'!$BB$3))</f>
        <v>0</v>
      </c>
      <c r="U60" s="4">
        <f>IF(ISNUMBER(SEARCH("营",'19.12'!AC60)),(-$Y60+50*IF('19.12'!$AK60="是",'19.12'!$BB$4,'19.12'!$BB$3)),(VLOOKUP('19.12'!AC60,'19.12'!$AO$4:$AQ$55,2,FALSE))*IF('19.12'!$AK60="是",'19.12'!$BB$4,'19.12'!$BB$3))</f>
        <v>0</v>
      </c>
      <c r="V60" s="4">
        <f>IF(ISNUMBER(SEARCH("营",'19.12'!AD60)),(-$Y60+50*IF('19.12'!$AK60="是",'19.12'!$BB$4,'19.12'!$BB$3)),(VLOOKUP('19.12'!AD60,'19.12'!$AO$4:$AQ$55,2,FALSE))*IF('19.12'!$AK60="是",'19.12'!$BB$4,'19.12'!$BB$3))</f>
        <v>0</v>
      </c>
      <c r="W60" s="4">
        <f>IF(ISNUMBER(SEARCH("营",'19.12'!AE60)),(-$Y60+50*IF('19.12'!$AK60="是",'19.12'!$BB$4,'19.12'!$BB$3)),(VLOOKUP('19.12'!AE60,'19.12'!$AO$4:$AQ$55,2,FALSE))*IF('19.12'!$AK60="是",'19.12'!$BB$4,'19.12'!$BB$3))</f>
        <v>0</v>
      </c>
      <c r="X60" s="4">
        <f>IF(ISNUMBER(SEARCH("营",'19.12'!AF60)),(-$Y60+50*IF('19.12'!$AK60="是",'19.12'!$BB$4,'19.12'!$BB$3)),(VLOOKUP('19.12'!AF60,'19.12'!$AO$4:$AQ$55,2,FALSE))*IF('19.12'!$AK60="是",'19.12'!$BB$4,'19.12'!$BB$3))</f>
        <v>0</v>
      </c>
      <c r="Y60" s="18">
        <v>100</v>
      </c>
      <c r="Z60" s="15">
        <v>45786</v>
      </c>
    </row>
    <row r="61" spans="1:26">
      <c r="A61" s="4">
        <f>IF(ISNUMBER(SEARCH("营",'19.12'!I61)),(-$Y61+50*IF('19.12'!$AK61="是",'19.12'!$BB$4,'19.12'!$BB$3)),(VLOOKUP('19.12'!I61,'19.12'!$AO$4:$AQ$55,2,FALSE))*IF('19.12'!$AK61="是",'19.12'!$BB$4,'19.12'!$BB$3))</f>
        <v>0</v>
      </c>
      <c r="B61" s="4">
        <f>IF(ISNUMBER(SEARCH("营",'19.12'!J61)),(-$Y61+50*IF('19.12'!$AK61="是",'19.12'!$BB$4,'19.12'!$BB$3)),(VLOOKUP('19.12'!J61,'19.12'!$AO$4:$AQ$55,2,FALSE))*IF('19.12'!$AK61="是",'19.12'!$BB$4,'19.12'!$BB$3))</f>
        <v>0</v>
      </c>
      <c r="C61" s="4">
        <f>IF(ISNUMBER(SEARCH("营",'19.12'!K61)),(-$Y61+50*IF('19.12'!$AK61="是",'19.12'!$BB$4,'19.12'!$BB$3)),(VLOOKUP('19.12'!K61,'19.12'!$AO$4:$AQ$55,2,FALSE))*IF('19.12'!$AK61="是",'19.12'!$BB$4,'19.12'!$BB$3))</f>
        <v>0</v>
      </c>
      <c r="D61" s="4">
        <f>IF(ISNUMBER(SEARCH("营",'19.12'!L61)),(-$Y61+50*IF('19.12'!$AK61="是",'19.12'!$BB$4,'19.12'!$BB$3)),(VLOOKUP('19.12'!L61,'19.12'!$AO$4:$AQ$55,2,FALSE))*IF('19.12'!$AK61="是",'19.12'!$BB$4,'19.12'!$BB$3))</f>
        <v>0</v>
      </c>
      <c r="E61" s="4">
        <f>IF(ISNUMBER(SEARCH("营",'19.12'!M61)),(-$Y61+50*IF('19.12'!$AK61="是",'19.12'!$BB$4,'19.12'!$BB$3)),(VLOOKUP('19.12'!M61,'19.12'!$AO$4:$AQ$55,2,FALSE))*IF('19.12'!$AK61="是",'19.12'!$BB$4,'19.12'!$BB$3))</f>
        <v>0</v>
      </c>
      <c r="F61" s="4">
        <f>IF(ISNUMBER(SEARCH("营",'19.12'!N61)),(-$Y61+50*IF('19.12'!$AK61="是",'19.12'!$BB$4,'19.12'!$BB$3)),(VLOOKUP('19.12'!N61,'19.12'!$AO$4:$AQ$55,2,FALSE))*IF('19.12'!$AK61="是",'19.12'!$BB$4,'19.12'!$BB$3))</f>
        <v>0</v>
      </c>
      <c r="G61" s="4">
        <f>IF(ISNUMBER(SEARCH("营",'19.12'!O61)),(-$Y61+50*IF('19.12'!$AK61="是",'19.12'!$BB$4,'19.12'!$BB$3)),(VLOOKUP('19.12'!O61,'19.12'!$AO$4:$AQ$55,2,FALSE))*IF('19.12'!$AK61="是",'19.12'!$BB$4,'19.12'!$BB$3))</f>
        <v>0</v>
      </c>
      <c r="H61" s="4">
        <f>IF(ISNUMBER(SEARCH("营",'19.12'!P61)),(-$Y61+50*IF('19.12'!$AK61="是",'19.12'!$BB$4,'19.12'!$BB$3)),(VLOOKUP('19.12'!P61,'19.12'!$AO$4:$AQ$55,2,FALSE))*IF('19.12'!$AK61="是",'19.12'!$BB$4,'19.12'!$BB$3))</f>
        <v>0</v>
      </c>
      <c r="I61" s="4">
        <f>IF(ISNUMBER(SEARCH("营",'19.12'!Q61)),(-$Y61+50*IF('19.12'!$AK61="是",'19.12'!$BB$4,'19.12'!$BB$3)),(VLOOKUP('19.12'!Q61,'19.12'!$AO$4:$AQ$55,2,FALSE))*IF('19.12'!$AK61="是",'19.12'!$BB$4,'19.12'!$BB$3))</f>
        <v>0</v>
      </c>
      <c r="J61" s="4">
        <f>IF(ISNUMBER(SEARCH("营",'19.12'!R61)),(-$Y61+50*IF('19.12'!$AK61="是",'19.12'!$BB$4,'19.12'!$BB$3)),(VLOOKUP('19.12'!R61,'19.12'!$AO$4:$AQ$55,2,FALSE))*IF('19.12'!$AK61="是",'19.12'!$BB$4,'19.12'!$BB$3))</f>
        <v>0</v>
      </c>
      <c r="K61" s="4">
        <f>IF(ISNUMBER(SEARCH("营",'19.12'!S61)),(-$Y61+50*IF('19.12'!$AK61="是",'19.12'!$BB$4,'19.12'!$BB$3)),(VLOOKUP('19.12'!S61,'19.12'!$AO$4:$AQ$55,2,FALSE))*IF('19.12'!$AK61="是",'19.12'!$BB$4,'19.12'!$BB$3))</f>
        <v>0</v>
      </c>
      <c r="L61" s="4">
        <f>IF(ISNUMBER(SEARCH("营",'19.12'!T61)),(-$Y61+50*IF('19.12'!$AK61="是",'19.12'!$BB$4,'19.12'!$BB$3)),(VLOOKUP('19.12'!T61,'19.12'!$AO$4:$AQ$55,2,FALSE))*IF('19.12'!$AK61="是",'19.12'!$BB$4,'19.12'!$BB$3))</f>
        <v>0</v>
      </c>
      <c r="M61" s="4">
        <f>IF(ISNUMBER(SEARCH("营",'19.12'!U61)),(-$Y61+50*IF('19.12'!$AK61="是",'19.12'!$BB$4,'19.12'!$BB$3)),(VLOOKUP('19.12'!U61,'19.12'!$AO$4:$AQ$55,2,FALSE))*IF('19.12'!$AK61="是",'19.12'!$BB$4,'19.12'!$BB$3))</f>
        <v>0</v>
      </c>
      <c r="N61" s="4">
        <f>IF(ISNUMBER(SEARCH("营",'19.12'!V61)),(-$Y61+50*IF('19.12'!$AK61="是",'19.12'!$BB$4,'19.12'!$BB$3)),(VLOOKUP('19.12'!V61,'19.12'!$AO$4:$AQ$55,2,FALSE))*IF('19.12'!$AK61="是",'19.12'!$BB$4,'19.12'!$BB$3))</f>
        <v>0</v>
      </c>
      <c r="O61" s="4">
        <f>IF(ISNUMBER(SEARCH("营",'19.12'!W61)),(-$Y61+50*IF('19.12'!$AK61="是",'19.12'!$BB$4,'19.12'!$BB$3)),(VLOOKUP('19.12'!W61,'19.12'!$AO$4:$AQ$55,2,FALSE))*IF('19.12'!$AK61="是",'19.12'!$BB$4,'19.12'!$BB$3))</f>
        <v>0</v>
      </c>
      <c r="P61" s="4">
        <f>IF(ISNUMBER(SEARCH("营",'19.12'!X61)),(-$Y61+50*IF('19.12'!$AK61="是",'19.12'!$BB$4,'19.12'!$BB$3)),(VLOOKUP('19.12'!X61,'19.12'!$AO$4:$AQ$55,2,FALSE))*IF('19.12'!$AK61="是",'19.12'!$BB$4,'19.12'!$BB$3))</f>
        <v>0</v>
      </c>
      <c r="Q61" s="4">
        <f>IF(ISNUMBER(SEARCH("营",'19.12'!Y61)),(-$Y61+50*IF('19.12'!$AK61="是",'19.12'!$BB$4,'19.12'!$BB$3)),(VLOOKUP('19.12'!Y61,'19.12'!$AO$4:$AQ$55,2,FALSE))*IF('19.12'!$AK61="是",'19.12'!$BB$4,'19.12'!$BB$3))</f>
        <v>0</v>
      </c>
      <c r="R61" s="4">
        <f>IF(ISNUMBER(SEARCH("营",'19.12'!Z61)),(-$Y61+50*IF('19.12'!$AK61="是",'19.12'!$BB$4,'19.12'!$BB$3)),(VLOOKUP('19.12'!Z61,'19.12'!$AO$4:$AQ$55,2,FALSE))*IF('19.12'!$AK61="是",'19.12'!$BB$4,'19.12'!$BB$3))</f>
        <v>0</v>
      </c>
      <c r="S61" s="4">
        <f>IF(ISNUMBER(SEARCH("营",'19.12'!AA61)),(-$Y61+50*IF('19.12'!$AK61="是",'19.12'!$BB$4,'19.12'!$BB$3)),(VLOOKUP('19.12'!AA61,'19.12'!$AO$4:$AQ$55,2,FALSE))*IF('19.12'!$AK61="是",'19.12'!$BB$4,'19.12'!$BB$3))</f>
        <v>0</v>
      </c>
      <c r="T61" s="4">
        <f>IF(ISNUMBER(SEARCH("营",'19.12'!AB61)),(-$Y61+50*IF('19.12'!$AK61="是",'19.12'!$BB$4,'19.12'!$BB$3)),(VLOOKUP('19.12'!AB61,'19.12'!$AO$4:$AQ$55,2,FALSE))*IF('19.12'!$AK61="是",'19.12'!$BB$4,'19.12'!$BB$3))</f>
        <v>0</v>
      </c>
      <c r="U61" s="4">
        <f>IF(ISNUMBER(SEARCH("营",'19.12'!AC61)),(-$Y61+50*IF('19.12'!$AK61="是",'19.12'!$BB$4,'19.12'!$BB$3)),(VLOOKUP('19.12'!AC61,'19.12'!$AO$4:$AQ$55,2,FALSE))*IF('19.12'!$AK61="是",'19.12'!$BB$4,'19.12'!$BB$3))</f>
        <v>0</v>
      </c>
      <c r="V61" s="4">
        <f>IF(ISNUMBER(SEARCH("营",'19.12'!AD61)),(-$Y61+50*IF('19.12'!$AK61="是",'19.12'!$BB$4,'19.12'!$BB$3)),(VLOOKUP('19.12'!AD61,'19.12'!$AO$4:$AQ$55,2,FALSE))*IF('19.12'!$AK61="是",'19.12'!$BB$4,'19.12'!$BB$3))</f>
        <v>0</v>
      </c>
      <c r="W61" s="4">
        <f>IF(ISNUMBER(SEARCH("营",'19.12'!AE61)),(-$Y61+50*IF('19.12'!$AK61="是",'19.12'!$BB$4,'19.12'!$BB$3)),(VLOOKUP('19.12'!AE61,'19.12'!$AO$4:$AQ$55,2,FALSE))*IF('19.12'!$AK61="是",'19.12'!$BB$4,'19.12'!$BB$3))</f>
        <v>0</v>
      </c>
      <c r="X61" s="4">
        <f>IF(ISNUMBER(SEARCH("营",'19.12'!AF61)),(-$Y61+50*IF('19.12'!$AK61="是",'19.12'!$BB$4,'19.12'!$BB$3)),(VLOOKUP('19.12'!AF61,'19.12'!$AO$4:$AQ$55,2,FALSE))*IF('19.12'!$AK61="是",'19.12'!$BB$4,'19.12'!$BB$3))</f>
        <v>0</v>
      </c>
      <c r="Y61" s="18">
        <v>100</v>
      </c>
      <c r="Z61" s="15">
        <v>45787</v>
      </c>
    </row>
    <row r="62" spans="1:26">
      <c r="A62" s="4">
        <f>IF(ISNUMBER(SEARCH("营",'19.12'!I62)),(-$Y62+50*IF('19.12'!$AK62="是",'19.12'!$BB$4,'19.12'!$BB$3)),(VLOOKUP('19.12'!I62,'19.12'!$AO$4:$AQ$55,2,FALSE))*IF('19.12'!$AK62="是",'19.12'!$BB$4,'19.12'!$BB$3))</f>
        <v>0</v>
      </c>
      <c r="B62" s="4">
        <f>IF(ISNUMBER(SEARCH("营",'19.12'!J62)),(-$Y62+50*IF('19.12'!$AK62="是",'19.12'!$BB$4,'19.12'!$BB$3)),(VLOOKUP('19.12'!J62,'19.12'!$AO$4:$AQ$55,2,FALSE))*IF('19.12'!$AK62="是",'19.12'!$BB$4,'19.12'!$BB$3))</f>
        <v>0</v>
      </c>
      <c r="C62" s="4">
        <f>IF(ISNUMBER(SEARCH("营",'19.12'!K62)),(-$Y62+50*IF('19.12'!$AK62="是",'19.12'!$BB$4,'19.12'!$BB$3)),(VLOOKUP('19.12'!K62,'19.12'!$AO$4:$AQ$55,2,FALSE))*IF('19.12'!$AK62="是",'19.12'!$BB$4,'19.12'!$BB$3))</f>
        <v>0</v>
      </c>
      <c r="D62" s="4">
        <f>IF(ISNUMBER(SEARCH("营",'19.12'!L62)),(-$Y62+50*IF('19.12'!$AK62="是",'19.12'!$BB$4,'19.12'!$BB$3)),(VLOOKUP('19.12'!L62,'19.12'!$AO$4:$AQ$55,2,FALSE))*IF('19.12'!$AK62="是",'19.12'!$BB$4,'19.12'!$BB$3))</f>
        <v>0</v>
      </c>
      <c r="E62" s="4">
        <f>IF(ISNUMBER(SEARCH("营",'19.12'!M62)),(-$Y62+50*IF('19.12'!$AK62="是",'19.12'!$BB$4,'19.12'!$BB$3)),(VLOOKUP('19.12'!M62,'19.12'!$AO$4:$AQ$55,2,FALSE))*IF('19.12'!$AK62="是",'19.12'!$BB$4,'19.12'!$BB$3))</f>
        <v>0</v>
      </c>
      <c r="F62" s="4">
        <f>IF(ISNUMBER(SEARCH("营",'19.12'!N62)),(-$Y62+50*IF('19.12'!$AK62="是",'19.12'!$BB$4,'19.12'!$BB$3)),(VLOOKUP('19.12'!N62,'19.12'!$AO$4:$AQ$55,2,FALSE))*IF('19.12'!$AK62="是",'19.12'!$BB$4,'19.12'!$BB$3))</f>
        <v>0</v>
      </c>
      <c r="G62" s="4">
        <f>IF(ISNUMBER(SEARCH("营",'19.12'!O62)),(-$Y62+50*IF('19.12'!$AK62="是",'19.12'!$BB$4,'19.12'!$BB$3)),(VLOOKUP('19.12'!O62,'19.12'!$AO$4:$AQ$55,2,FALSE))*IF('19.12'!$AK62="是",'19.12'!$BB$4,'19.12'!$BB$3))</f>
        <v>0</v>
      </c>
      <c r="H62" s="4">
        <f>IF(ISNUMBER(SEARCH("营",'19.12'!P62)),(-$Y62+50*IF('19.12'!$AK62="是",'19.12'!$BB$4,'19.12'!$BB$3)),(VLOOKUP('19.12'!P62,'19.12'!$AO$4:$AQ$55,2,FALSE))*IF('19.12'!$AK62="是",'19.12'!$BB$4,'19.12'!$BB$3))</f>
        <v>0</v>
      </c>
      <c r="I62" s="4">
        <f>IF(ISNUMBER(SEARCH("营",'19.12'!Q62)),(-$Y62+50*IF('19.12'!$AK62="是",'19.12'!$BB$4,'19.12'!$BB$3)),(VLOOKUP('19.12'!Q62,'19.12'!$AO$4:$AQ$55,2,FALSE))*IF('19.12'!$AK62="是",'19.12'!$BB$4,'19.12'!$BB$3))</f>
        <v>0</v>
      </c>
      <c r="J62" s="4">
        <f>IF(ISNUMBER(SEARCH("营",'19.12'!R62)),(-$Y62+50*IF('19.12'!$AK62="是",'19.12'!$BB$4,'19.12'!$BB$3)),(VLOOKUP('19.12'!R62,'19.12'!$AO$4:$AQ$55,2,FALSE))*IF('19.12'!$AK62="是",'19.12'!$BB$4,'19.12'!$BB$3))</f>
        <v>0</v>
      </c>
      <c r="K62" s="4">
        <f>IF(ISNUMBER(SEARCH("营",'19.12'!S62)),(-$Y62+50*IF('19.12'!$AK62="是",'19.12'!$BB$4,'19.12'!$BB$3)),(VLOOKUP('19.12'!S62,'19.12'!$AO$4:$AQ$55,2,FALSE))*IF('19.12'!$AK62="是",'19.12'!$BB$4,'19.12'!$BB$3))</f>
        <v>0</v>
      </c>
      <c r="L62" s="4">
        <f>IF(ISNUMBER(SEARCH("营",'19.12'!T62)),(-$Y62+50*IF('19.12'!$AK62="是",'19.12'!$BB$4,'19.12'!$BB$3)),(VLOOKUP('19.12'!T62,'19.12'!$AO$4:$AQ$55,2,FALSE))*IF('19.12'!$AK62="是",'19.12'!$BB$4,'19.12'!$BB$3))</f>
        <v>0</v>
      </c>
      <c r="M62" s="4">
        <f>IF(ISNUMBER(SEARCH("营",'19.12'!U62)),(-$Y62+50*IF('19.12'!$AK62="是",'19.12'!$BB$4,'19.12'!$BB$3)),(VLOOKUP('19.12'!U62,'19.12'!$AO$4:$AQ$55,2,FALSE))*IF('19.12'!$AK62="是",'19.12'!$BB$4,'19.12'!$BB$3))</f>
        <v>0</v>
      </c>
      <c r="N62" s="4">
        <f>IF(ISNUMBER(SEARCH("营",'19.12'!V62)),(-$Y62+50*IF('19.12'!$AK62="是",'19.12'!$BB$4,'19.12'!$BB$3)),(VLOOKUP('19.12'!V62,'19.12'!$AO$4:$AQ$55,2,FALSE))*IF('19.12'!$AK62="是",'19.12'!$BB$4,'19.12'!$BB$3))</f>
        <v>0</v>
      </c>
      <c r="O62" s="4">
        <f>IF(ISNUMBER(SEARCH("营",'19.12'!W62)),(-$Y62+50*IF('19.12'!$AK62="是",'19.12'!$BB$4,'19.12'!$BB$3)),(VLOOKUP('19.12'!W62,'19.12'!$AO$4:$AQ$55,2,FALSE))*IF('19.12'!$AK62="是",'19.12'!$BB$4,'19.12'!$BB$3))</f>
        <v>0</v>
      </c>
      <c r="P62" s="4">
        <f>IF(ISNUMBER(SEARCH("营",'19.12'!X62)),(-$Y62+50*IF('19.12'!$AK62="是",'19.12'!$BB$4,'19.12'!$BB$3)),(VLOOKUP('19.12'!X62,'19.12'!$AO$4:$AQ$55,2,FALSE))*IF('19.12'!$AK62="是",'19.12'!$BB$4,'19.12'!$BB$3))</f>
        <v>0</v>
      </c>
      <c r="Q62" s="4">
        <f>IF(ISNUMBER(SEARCH("营",'19.12'!Y62)),(-$Y62+50*IF('19.12'!$AK62="是",'19.12'!$BB$4,'19.12'!$BB$3)),(VLOOKUP('19.12'!Y62,'19.12'!$AO$4:$AQ$55,2,FALSE))*IF('19.12'!$AK62="是",'19.12'!$BB$4,'19.12'!$BB$3))</f>
        <v>0</v>
      </c>
      <c r="R62" s="4">
        <f>IF(ISNUMBER(SEARCH("营",'19.12'!Z62)),(-$Y62+50*IF('19.12'!$AK62="是",'19.12'!$BB$4,'19.12'!$BB$3)),(VLOOKUP('19.12'!Z62,'19.12'!$AO$4:$AQ$55,2,FALSE))*IF('19.12'!$AK62="是",'19.12'!$BB$4,'19.12'!$BB$3))</f>
        <v>0</v>
      </c>
      <c r="S62" s="4">
        <f>IF(ISNUMBER(SEARCH("营",'19.12'!AA62)),(-$Y62+50*IF('19.12'!$AK62="是",'19.12'!$BB$4,'19.12'!$BB$3)),(VLOOKUP('19.12'!AA62,'19.12'!$AO$4:$AQ$55,2,FALSE))*IF('19.12'!$AK62="是",'19.12'!$BB$4,'19.12'!$BB$3))</f>
        <v>0</v>
      </c>
      <c r="T62" s="4">
        <f>IF(ISNUMBER(SEARCH("营",'19.12'!AB62)),(-$Y62+50*IF('19.12'!$AK62="是",'19.12'!$BB$4,'19.12'!$BB$3)),(VLOOKUP('19.12'!AB62,'19.12'!$AO$4:$AQ$55,2,FALSE))*IF('19.12'!$AK62="是",'19.12'!$BB$4,'19.12'!$BB$3))</f>
        <v>0</v>
      </c>
      <c r="U62" s="4">
        <f>IF(ISNUMBER(SEARCH("营",'19.12'!AC62)),(-$Y62+50*IF('19.12'!$AK62="是",'19.12'!$BB$4,'19.12'!$BB$3)),(VLOOKUP('19.12'!AC62,'19.12'!$AO$4:$AQ$55,2,FALSE))*IF('19.12'!$AK62="是",'19.12'!$BB$4,'19.12'!$BB$3))</f>
        <v>0</v>
      </c>
      <c r="V62" s="4">
        <f>IF(ISNUMBER(SEARCH("营",'19.12'!AD62)),(-$Y62+50*IF('19.12'!$AK62="是",'19.12'!$BB$4,'19.12'!$BB$3)),(VLOOKUP('19.12'!AD62,'19.12'!$AO$4:$AQ$55,2,FALSE))*IF('19.12'!$AK62="是",'19.12'!$BB$4,'19.12'!$BB$3))</f>
        <v>0</v>
      </c>
      <c r="W62" s="4">
        <f>IF(ISNUMBER(SEARCH("营",'19.12'!AE62)),(-$Y62+50*IF('19.12'!$AK62="是",'19.12'!$BB$4,'19.12'!$BB$3)),(VLOOKUP('19.12'!AE62,'19.12'!$AO$4:$AQ$55,2,FALSE))*IF('19.12'!$AK62="是",'19.12'!$BB$4,'19.12'!$BB$3))</f>
        <v>0</v>
      </c>
      <c r="X62" s="4">
        <f>IF(ISNUMBER(SEARCH("营",'19.12'!AF62)),(-$Y62+50*IF('19.12'!$AK62="是",'19.12'!$BB$4,'19.12'!$BB$3)),(VLOOKUP('19.12'!AF62,'19.12'!$AO$4:$AQ$55,2,FALSE))*IF('19.12'!$AK62="是",'19.12'!$BB$4,'19.12'!$BB$3))</f>
        <v>0</v>
      </c>
      <c r="Y62" s="18">
        <v>100</v>
      </c>
      <c r="Z62" s="15">
        <v>45788</v>
      </c>
    </row>
    <row r="63" spans="1:26">
      <c r="A63" s="4">
        <f>IF(ISNUMBER(SEARCH("营",'19.12'!I63)),(-$Y63+50*IF('19.12'!$AK63="是",'19.12'!$BB$4,'19.12'!$BB$3)),(VLOOKUP('19.12'!I63,'19.12'!$AO$4:$AQ$55,2,FALSE))*IF('19.12'!$AK63="是",'19.12'!$BB$4,'19.12'!$BB$3))</f>
        <v>0</v>
      </c>
      <c r="B63" s="4">
        <f>IF(ISNUMBER(SEARCH("营",'19.12'!J63)),(-$Y63+50*IF('19.12'!$AK63="是",'19.12'!$BB$4,'19.12'!$BB$3)),(VLOOKUP('19.12'!J63,'19.12'!$AO$4:$AQ$55,2,FALSE))*IF('19.12'!$AK63="是",'19.12'!$BB$4,'19.12'!$BB$3))</f>
        <v>0</v>
      </c>
      <c r="C63" s="4">
        <f>IF(ISNUMBER(SEARCH("营",'19.12'!K63)),(-$Y63+50*IF('19.12'!$AK63="是",'19.12'!$BB$4,'19.12'!$BB$3)),(VLOOKUP('19.12'!K63,'19.12'!$AO$4:$AQ$55,2,FALSE))*IF('19.12'!$AK63="是",'19.12'!$BB$4,'19.12'!$BB$3))</f>
        <v>0</v>
      </c>
      <c r="D63" s="4">
        <f>IF(ISNUMBER(SEARCH("营",'19.12'!L63)),(-$Y63+50*IF('19.12'!$AK63="是",'19.12'!$BB$4,'19.12'!$BB$3)),(VLOOKUP('19.12'!L63,'19.12'!$AO$4:$AQ$55,2,FALSE))*IF('19.12'!$AK63="是",'19.12'!$BB$4,'19.12'!$BB$3))</f>
        <v>0</v>
      </c>
      <c r="E63" s="4">
        <f>IF(ISNUMBER(SEARCH("营",'19.12'!M63)),(-$Y63+50*IF('19.12'!$AK63="是",'19.12'!$BB$4,'19.12'!$BB$3)),(VLOOKUP('19.12'!M63,'19.12'!$AO$4:$AQ$55,2,FALSE))*IF('19.12'!$AK63="是",'19.12'!$BB$4,'19.12'!$BB$3))</f>
        <v>0</v>
      </c>
      <c r="F63" s="4">
        <f>IF(ISNUMBER(SEARCH("营",'19.12'!N63)),(-$Y63+50*IF('19.12'!$AK63="是",'19.12'!$BB$4,'19.12'!$BB$3)),(VLOOKUP('19.12'!N63,'19.12'!$AO$4:$AQ$55,2,FALSE))*IF('19.12'!$AK63="是",'19.12'!$BB$4,'19.12'!$BB$3))</f>
        <v>0</v>
      </c>
      <c r="G63" s="4">
        <f>IF(ISNUMBER(SEARCH("营",'19.12'!O63)),(-$Y63+50*IF('19.12'!$AK63="是",'19.12'!$BB$4,'19.12'!$BB$3)),(VLOOKUP('19.12'!O63,'19.12'!$AO$4:$AQ$55,2,FALSE))*IF('19.12'!$AK63="是",'19.12'!$BB$4,'19.12'!$BB$3))</f>
        <v>0</v>
      </c>
      <c r="H63" s="4">
        <f>IF(ISNUMBER(SEARCH("营",'19.12'!P63)),(-$Y63+50*IF('19.12'!$AK63="是",'19.12'!$BB$4,'19.12'!$BB$3)),(VLOOKUP('19.12'!P63,'19.12'!$AO$4:$AQ$55,2,FALSE))*IF('19.12'!$AK63="是",'19.12'!$BB$4,'19.12'!$BB$3))</f>
        <v>0</v>
      </c>
      <c r="I63" s="4">
        <f>IF(ISNUMBER(SEARCH("营",'19.12'!Q63)),(-$Y63+50*IF('19.12'!$AK63="是",'19.12'!$BB$4,'19.12'!$BB$3)),(VLOOKUP('19.12'!Q63,'19.12'!$AO$4:$AQ$55,2,FALSE))*IF('19.12'!$AK63="是",'19.12'!$BB$4,'19.12'!$BB$3))</f>
        <v>0</v>
      </c>
      <c r="J63" s="4">
        <f>IF(ISNUMBER(SEARCH("营",'19.12'!R63)),(-$Y63+50*IF('19.12'!$AK63="是",'19.12'!$BB$4,'19.12'!$BB$3)),(VLOOKUP('19.12'!R63,'19.12'!$AO$4:$AQ$55,2,FALSE))*IF('19.12'!$AK63="是",'19.12'!$BB$4,'19.12'!$BB$3))</f>
        <v>0</v>
      </c>
      <c r="K63" s="4">
        <f>IF(ISNUMBER(SEARCH("营",'19.12'!S63)),(-$Y63+50*IF('19.12'!$AK63="是",'19.12'!$BB$4,'19.12'!$BB$3)),(VLOOKUP('19.12'!S63,'19.12'!$AO$4:$AQ$55,2,FALSE))*IF('19.12'!$AK63="是",'19.12'!$BB$4,'19.12'!$BB$3))</f>
        <v>0</v>
      </c>
      <c r="L63" s="4">
        <f>IF(ISNUMBER(SEARCH("营",'19.12'!T63)),(-$Y63+50*IF('19.12'!$AK63="是",'19.12'!$BB$4,'19.12'!$BB$3)),(VLOOKUP('19.12'!T63,'19.12'!$AO$4:$AQ$55,2,FALSE))*IF('19.12'!$AK63="是",'19.12'!$BB$4,'19.12'!$BB$3))</f>
        <v>0</v>
      </c>
      <c r="M63" s="4">
        <f>IF(ISNUMBER(SEARCH("营",'19.12'!U63)),(-$Y63+50*IF('19.12'!$AK63="是",'19.12'!$BB$4,'19.12'!$BB$3)),(VLOOKUP('19.12'!U63,'19.12'!$AO$4:$AQ$55,2,FALSE))*IF('19.12'!$AK63="是",'19.12'!$BB$4,'19.12'!$BB$3))</f>
        <v>0</v>
      </c>
      <c r="N63" s="4">
        <f>IF(ISNUMBER(SEARCH("营",'19.12'!V63)),(-$Y63+50*IF('19.12'!$AK63="是",'19.12'!$BB$4,'19.12'!$BB$3)),(VLOOKUP('19.12'!V63,'19.12'!$AO$4:$AQ$55,2,FALSE))*IF('19.12'!$AK63="是",'19.12'!$BB$4,'19.12'!$BB$3))</f>
        <v>0</v>
      </c>
      <c r="O63" s="4">
        <f>IF(ISNUMBER(SEARCH("营",'19.12'!W63)),(-$Y63+50*IF('19.12'!$AK63="是",'19.12'!$BB$4,'19.12'!$BB$3)),(VLOOKUP('19.12'!W63,'19.12'!$AO$4:$AQ$55,2,FALSE))*IF('19.12'!$AK63="是",'19.12'!$BB$4,'19.12'!$BB$3))</f>
        <v>0</v>
      </c>
      <c r="P63" s="4">
        <f>IF(ISNUMBER(SEARCH("营",'19.12'!X63)),(-$Y63+50*IF('19.12'!$AK63="是",'19.12'!$BB$4,'19.12'!$BB$3)),(VLOOKUP('19.12'!X63,'19.12'!$AO$4:$AQ$55,2,FALSE))*IF('19.12'!$AK63="是",'19.12'!$BB$4,'19.12'!$BB$3))</f>
        <v>0</v>
      </c>
      <c r="Q63" s="4">
        <f>IF(ISNUMBER(SEARCH("营",'19.12'!Y63)),(-$Y63+50*IF('19.12'!$AK63="是",'19.12'!$BB$4,'19.12'!$BB$3)),(VLOOKUP('19.12'!Y63,'19.12'!$AO$4:$AQ$55,2,FALSE))*IF('19.12'!$AK63="是",'19.12'!$BB$4,'19.12'!$BB$3))</f>
        <v>0</v>
      </c>
      <c r="R63" s="4">
        <f>IF(ISNUMBER(SEARCH("营",'19.12'!Z63)),(-$Y63+50*IF('19.12'!$AK63="是",'19.12'!$BB$4,'19.12'!$BB$3)),(VLOOKUP('19.12'!Z63,'19.12'!$AO$4:$AQ$55,2,FALSE))*IF('19.12'!$AK63="是",'19.12'!$BB$4,'19.12'!$BB$3))</f>
        <v>0</v>
      </c>
      <c r="S63" s="4">
        <f>IF(ISNUMBER(SEARCH("营",'19.12'!AA63)),(-$Y63+50*IF('19.12'!$AK63="是",'19.12'!$BB$4,'19.12'!$BB$3)),(VLOOKUP('19.12'!AA63,'19.12'!$AO$4:$AQ$55,2,FALSE))*IF('19.12'!$AK63="是",'19.12'!$BB$4,'19.12'!$BB$3))</f>
        <v>0</v>
      </c>
      <c r="T63" s="4">
        <f>IF(ISNUMBER(SEARCH("营",'19.12'!AB63)),(-$Y63+50*IF('19.12'!$AK63="是",'19.12'!$BB$4,'19.12'!$BB$3)),(VLOOKUP('19.12'!AB63,'19.12'!$AO$4:$AQ$55,2,FALSE))*IF('19.12'!$AK63="是",'19.12'!$BB$4,'19.12'!$BB$3))</f>
        <v>0</v>
      </c>
      <c r="U63" s="4">
        <f>IF(ISNUMBER(SEARCH("营",'19.12'!AC63)),(-$Y63+50*IF('19.12'!$AK63="是",'19.12'!$BB$4,'19.12'!$BB$3)),(VLOOKUP('19.12'!AC63,'19.12'!$AO$4:$AQ$55,2,FALSE))*IF('19.12'!$AK63="是",'19.12'!$BB$4,'19.12'!$BB$3))</f>
        <v>0</v>
      </c>
      <c r="V63" s="4">
        <f>IF(ISNUMBER(SEARCH("营",'19.12'!AD63)),(-$Y63+50*IF('19.12'!$AK63="是",'19.12'!$BB$4,'19.12'!$BB$3)),(VLOOKUP('19.12'!AD63,'19.12'!$AO$4:$AQ$55,2,FALSE))*IF('19.12'!$AK63="是",'19.12'!$BB$4,'19.12'!$BB$3))</f>
        <v>0</v>
      </c>
      <c r="W63" s="4">
        <f>IF(ISNUMBER(SEARCH("营",'19.12'!AE63)),(-$Y63+50*IF('19.12'!$AK63="是",'19.12'!$BB$4,'19.12'!$BB$3)),(VLOOKUP('19.12'!AE63,'19.12'!$AO$4:$AQ$55,2,FALSE))*IF('19.12'!$AK63="是",'19.12'!$BB$4,'19.12'!$BB$3))</f>
        <v>0</v>
      </c>
      <c r="X63" s="4">
        <f>IF(ISNUMBER(SEARCH("营",'19.12'!AF63)),(-$Y63+50*IF('19.12'!$AK63="是",'19.12'!$BB$4,'19.12'!$BB$3)),(VLOOKUP('19.12'!AF63,'19.12'!$AO$4:$AQ$55,2,FALSE))*IF('19.12'!$AK63="是",'19.12'!$BB$4,'19.12'!$BB$3))</f>
        <v>0</v>
      </c>
      <c r="Y63" s="18">
        <v>100</v>
      </c>
      <c r="Z63" s="15">
        <v>45789</v>
      </c>
    </row>
    <row r="64" spans="1:26">
      <c r="A64" s="4">
        <f>IF(ISNUMBER(SEARCH("营",'19.12'!I64)),(-$Y64+50*IF('19.12'!$AK64="是",'19.12'!$BB$4,'19.12'!$BB$3)),(VLOOKUP('19.12'!I64,'19.12'!$AO$4:$AQ$55,2,FALSE))*IF('19.12'!$AK64="是",'19.12'!$BB$4,'19.12'!$BB$3))</f>
        <v>0</v>
      </c>
      <c r="B64" s="4">
        <f>IF(ISNUMBER(SEARCH("营",'19.12'!J64)),(-$Y64+50*IF('19.12'!$AK64="是",'19.12'!$BB$4,'19.12'!$BB$3)),(VLOOKUP('19.12'!J64,'19.12'!$AO$4:$AQ$55,2,FALSE))*IF('19.12'!$AK64="是",'19.12'!$BB$4,'19.12'!$BB$3))</f>
        <v>0</v>
      </c>
      <c r="C64" s="4">
        <f>IF(ISNUMBER(SEARCH("营",'19.12'!K64)),(-$Y64+50*IF('19.12'!$AK64="是",'19.12'!$BB$4,'19.12'!$BB$3)),(VLOOKUP('19.12'!K64,'19.12'!$AO$4:$AQ$55,2,FALSE))*IF('19.12'!$AK64="是",'19.12'!$BB$4,'19.12'!$BB$3))</f>
        <v>0</v>
      </c>
      <c r="D64" s="4">
        <f>IF(ISNUMBER(SEARCH("营",'19.12'!L64)),(-$Y64+50*IF('19.12'!$AK64="是",'19.12'!$BB$4,'19.12'!$BB$3)),(VLOOKUP('19.12'!L64,'19.12'!$AO$4:$AQ$55,2,FALSE))*IF('19.12'!$AK64="是",'19.12'!$BB$4,'19.12'!$BB$3))</f>
        <v>0</v>
      </c>
      <c r="E64" s="4">
        <f>IF(ISNUMBER(SEARCH("营",'19.12'!M64)),(-$Y64+50*IF('19.12'!$AK64="是",'19.12'!$BB$4,'19.12'!$BB$3)),(VLOOKUP('19.12'!M64,'19.12'!$AO$4:$AQ$55,2,FALSE))*IF('19.12'!$AK64="是",'19.12'!$BB$4,'19.12'!$BB$3))</f>
        <v>0</v>
      </c>
      <c r="F64" s="4">
        <f>IF(ISNUMBER(SEARCH("营",'19.12'!N64)),(-$Y64+50*IF('19.12'!$AK64="是",'19.12'!$BB$4,'19.12'!$BB$3)),(VLOOKUP('19.12'!N64,'19.12'!$AO$4:$AQ$55,2,FALSE))*IF('19.12'!$AK64="是",'19.12'!$BB$4,'19.12'!$BB$3))</f>
        <v>0</v>
      </c>
      <c r="G64" s="4">
        <f>IF(ISNUMBER(SEARCH("营",'19.12'!O64)),(-$Y64+50*IF('19.12'!$AK64="是",'19.12'!$BB$4,'19.12'!$BB$3)),(VLOOKUP('19.12'!O64,'19.12'!$AO$4:$AQ$55,2,FALSE))*IF('19.12'!$AK64="是",'19.12'!$BB$4,'19.12'!$BB$3))</f>
        <v>0</v>
      </c>
      <c r="H64" s="4">
        <f>IF(ISNUMBER(SEARCH("营",'19.12'!P64)),(-$Y64+50*IF('19.12'!$AK64="是",'19.12'!$BB$4,'19.12'!$BB$3)),(VLOOKUP('19.12'!P64,'19.12'!$AO$4:$AQ$55,2,FALSE))*IF('19.12'!$AK64="是",'19.12'!$BB$4,'19.12'!$BB$3))</f>
        <v>0</v>
      </c>
      <c r="I64" s="4">
        <f>IF(ISNUMBER(SEARCH("营",'19.12'!Q64)),(-$Y64+50*IF('19.12'!$AK64="是",'19.12'!$BB$4,'19.12'!$BB$3)),(VLOOKUP('19.12'!Q64,'19.12'!$AO$4:$AQ$55,2,FALSE))*IF('19.12'!$AK64="是",'19.12'!$BB$4,'19.12'!$BB$3))</f>
        <v>0</v>
      </c>
      <c r="J64" s="4">
        <f>IF(ISNUMBER(SEARCH("营",'19.12'!R64)),(-$Y64+50*IF('19.12'!$AK64="是",'19.12'!$BB$4,'19.12'!$BB$3)),(VLOOKUP('19.12'!R64,'19.12'!$AO$4:$AQ$55,2,FALSE))*IF('19.12'!$AK64="是",'19.12'!$BB$4,'19.12'!$BB$3))</f>
        <v>0</v>
      </c>
      <c r="K64" s="4">
        <f>IF(ISNUMBER(SEARCH("营",'19.12'!S64)),(-$Y64+50*IF('19.12'!$AK64="是",'19.12'!$BB$4,'19.12'!$BB$3)),(VLOOKUP('19.12'!S64,'19.12'!$AO$4:$AQ$55,2,FALSE))*IF('19.12'!$AK64="是",'19.12'!$BB$4,'19.12'!$BB$3))</f>
        <v>0</v>
      </c>
      <c r="L64" s="4">
        <f>IF(ISNUMBER(SEARCH("营",'19.12'!T64)),(-$Y64+50*IF('19.12'!$AK64="是",'19.12'!$BB$4,'19.12'!$BB$3)),(VLOOKUP('19.12'!T64,'19.12'!$AO$4:$AQ$55,2,FALSE))*IF('19.12'!$AK64="是",'19.12'!$BB$4,'19.12'!$BB$3))</f>
        <v>0</v>
      </c>
      <c r="M64" s="4">
        <f>IF(ISNUMBER(SEARCH("营",'19.12'!U64)),(-$Y64+50*IF('19.12'!$AK64="是",'19.12'!$BB$4,'19.12'!$BB$3)),(VLOOKUP('19.12'!U64,'19.12'!$AO$4:$AQ$55,2,FALSE))*IF('19.12'!$AK64="是",'19.12'!$BB$4,'19.12'!$BB$3))</f>
        <v>0</v>
      </c>
      <c r="N64" s="4">
        <f>IF(ISNUMBER(SEARCH("营",'19.12'!V64)),(-$Y64+50*IF('19.12'!$AK64="是",'19.12'!$BB$4,'19.12'!$BB$3)),(VLOOKUP('19.12'!V64,'19.12'!$AO$4:$AQ$55,2,FALSE))*IF('19.12'!$AK64="是",'19.12'!$BB$4,'19.12'!$BB$3))</f>
        <v>0</v>
      </c>
      <c r="O64" s="4">
        <f>IF(ISNUMBER(SEARCH("营",'19.12'!W64)),(-$Y64+50*IF('19.12'!$AK64="是",'19.12'!$BB$4,'19.12'!$BB$3)),(VLOOKUP('19.12'!W64,'19.12'!$AO$4:$AQ$55,2,FALSE))*IF('19.12'!$AK64="是",'19.12'!$BB$4,'19.12'!$BB$3))</f>
        <v>0</v>
      </c>
      <c r="P64" s="4">
        <f>IF(ISNUMBER(SEARCH("营",'19.12'!X64)),(-$Y64+50*IF('19.12'!$AK64="是",'19.12'!$BB$4,'19.12'!$BB$3)),(VLOOKUP('19.12'!X64,'19.12'!$AO$4:$AQ$55,2,FALSE))*IF('19.12'!$AK64="是",'19.12'!$BB$4,'19.12'!$BB$3))</f>
        <v>0</v>
      </c>
      <c r="Q64" s="4">
        <f>IF(ISNUMBER(SEARCH("营",'19.12'!Y64)),(-$Y64+50*IF('19.12'!$AK64="是",'19.12'!$BB$4,'19.12'!$BB$3)),(VLOOKUP('19.12'!Y64,'19.12'!$AO$4:$AQ$55,2,FALSE))*IF('19.12'!$AK64="是",'19.12'!$BB$4,'19.12'!$BB$3))</f>
        <v>0</v>
      </c>
      <c r="R64" s="4">
        <f>IF(ISNUMBER(SEARCH("营",'19.12'!Z64)),(-$Y64+50*IF('19.12'!$AK64="是",'19.12'!$BB$4,'19.12'!$BB$3)),(VLOOKUP('19.12'!Z64,'19.12'!$AO$4:$AQ$55,2,FALSE))*IF('19.12'!$AK64="是",'19.12'!$BB$4,'19.12'!$BB$3))</f>
        <v>0</v>
      </c>
      <c r="S64" s="4">
        <f>IF(ISNUMBER(SEARCH("营",'19.12'!AA64)),(-$Y64+50*IF('19.12'!$AK64="是",'19.12'!$BB$4,'19.12'!$BB$3)),(VLOOKUP('19.12'!AA64,'19.12'!$AO$4:$AQ$55,2,FALSE))*IF('19.12'!$AK64="是",'19.12'!$BB$4,'19.12'!$BB$3))</f>
        <v>0</v>
      </c>
      <c r="T64" s="4">
        <f>IF(ISNUMBER(SEARCH("营",'19.12'!AB64)),(-$Y64+50*IF('19.12'!$AK64="是",'19.12'!$BB$4,'19.12'!$BB$3)),(VLOOKUP('19.12'!AB64,'19.12'!$AO$4:$AQ$55,2,FALSE))*IF('19.12'!$AK64="是",'19.12'!$BB$4,'19.12'!$BB$3))</f>
        <v>0</v>
      </c>
      <c r="U64" s="4">
        <f>IF(ISNUMBER(SEARCH("营",'19.12'!AC64)),(-$Y64+50*IF('19.12'!$AK64="是",'19.12'!$BB$4,'19.12'!$BB$3)),(VLOOKUP('19.12'!AC64,'19.12'!$AO$4:$AQ$55,2,FALSE))*IF('19.12'!$AK64="是",'19.12'!$BB$4,'19.12'!$BB$3))</f>
        <v>0</v>
      </c>
      <c r="V64" s="4">
        <f>IF(ISNUMBER(SEARCH("营",'19.12'!AD64)),(-$Y64+50*IF('19.12'!$AK64="是",'19.12'!$BB$4,'19.12'!$BB$3)),(VLOOKUP('19.12'!AD64,'19.12'!$AO$4:$AQ$55,2,FALSE))*IF('19.12'!$AK64="是",'19.12'!$BB$4,'19.12'!$BB$3))</f>
        <v>0</v>
      </c>
      <c r="W64" s="4">
        <f>IF(ISNUMBER(SEARCH("营",'19.12'!AE64)),(-$Y64+50*IF('19.12'!$AK64="是",'19.12'!$BB$4,'19.12'!$BB$3)),(VLOOKUP('19.12'!AE64,'19.12'!$AO$4:$AQ$55,2,FALSE))*IF('19.12'!$AK64="是",'19.12'!$BB$4,'19.12'!$BB$3))</f>
        <v>0</v>
      </c>
      <c r="X64" s="4">
        <f>IF(ISNUMBER(SEARCH("营",'19.12'!AF64)),(-$Y64+50*IF('19.12'!$AK64="是",'19.12'!$BB$4,'19.12'!$BB$3)),(VLOOKUP('19.12'!AF64,'19.12'!$AO$4:$AQ$55,2,FALSE))*IF('19.12'!$AK64="是",'19.12'!$BB$4,'19.12'!$BB$3))</f>
        <v>0</v>
      </c>
      <c r="Y64" s="18">
        <v>100</v>
      </c>
      <c r="Z64" s="15">
        <v>45790</v>
      </c>
    </row>
    <row r="65" spans="1:26">
      <c r="A65" s="4">
        <f>IF(ISNUMBER(SEARCH("营",'19.12'!I65)),(-$Y65+50*IF('19.12'!$AK65="是",'19.12'!$BB$4,'19.12'!$BB$3)),(VLOOKUP('19.12'!I65,'19.12'!$AO$4:$AQ$55,2,FALSE))*IF('19.12'!$AK65="是",'19.12'!$BB$4,'19.12'!$BB$3))</f>
        <v>0</v>
      </c>
      <c r="B65" s="4">
        <f>IF(ISNUMBER(SEARCH("营",'19.12'!J65)),(-$Y65+50*IF('19.12'!$AK65="是",'19.12'!$BB$4,'19.12'!$BB$3)),(VLOOKUP('19.12'!J65,'19.12'!$AO$4:$AQ$55,2,FALSE))*IF('19.12'!$AK65="是",'19.12'!$BB$4,'19.12'!$BB$3))</f>
        <v>0</v>
      </c>
      <c r="C65" s="4">
        <f>IF(ISNUMBER(SEARCH("营",'19.12'!K65)),(-$Y65+50*IF('19.12'!$AK65="是",'19.12'!$BB$4,'19.12'!$BB$3)),(VLOOKUP('19.12'!K65,'19.12'!$AO$4:$AQ$55,2,FALSE))*IF('19.12'!$AK65="是",'19.12'!$BB$4,'19.12'!$BB$3))</f>
        <v>0</v>
      </c>
      <c r="D65" s="4">
        <f>IF(ISNUMBER(SEARCH("营",'19.12'!L65)),(-$Y65+50*IF('19.12'!$AK65="是",'19.12'!$BB$4,'19.12'!$BB$3)),(VLOOKUP('19.12'!L65,'19.12'!$AO$4:$AQ$55,2,FALSE))*IF('19.12'!$AK65="是",'19.12'!$BB$4,'19.12'!$BB$3))</f>
        <v>0</v>
      </c>
      <c r="E65" s="4">
        <f>IF(ISNUMBER(SEARCH("营",'19.12'!M65)),(-$Y65+50*IF('19.12'!$AK65="是",'19.12'!$BB$4,'19.12'!$BB$3)),(VLOOKUP('19.12'!M65,'19.12'!$AO$4:$AQ$55,2,FALSE))*IF('19.12'!$AK65="是",'19.12'!$BB$4,'19.12'!$BB$3))</f>
        <v>0</v>
      </c>
      <c r="F65" s="4">
        <f>IF(ISNUMBER(SEARCH("营",'19.12'!N65)),(-$Y65+50*IF('19.12'!$AK65="是",'19.12'!$BB$4,'19.12'!$BB$3)),(VLOOKUP('19.12'!N65,'19.12'!$AO$4:$AQ$55,2,FALSE))*IF('19.12'!$AK65="是",'19.12'!$BB$4,'19.12'!$BB$3))</f>
        <v>0</v>
      </c>
      <c r="G65" s="4">
        <f>IF(ISNUMBER(SEARCH("营",'19.12'!O65)),(-$Y65+50*IF('19.12'!$AK65="是",'19.12'!$BB$4,'19.12'!$BB$3)),(VLOOKUP('19.12'!O65,'19.12'!$AO$4:$AQ$55,2,FALSE))*IF('19.12'!$AK65="是",'19.12'!$BB$4,'19.12'!$BB$3))</f>
        <v>0</v>
      </c>
      <c r="H65" s="4">
        <f>IF(ISNUMBER(SEARCH("营",'19.12'!P65)),(-$Y65+50*IF('19.12'!$AK65="是",'19.12'!$BB$4,'19.12'!$BB$3)),(VLOOKUP('19.12'!P65,'19.12'!$AO$4:$AQ$55,2,FALSE))*IF('19.12'!$AK65="是",'19.12'!$BB$4,'19.12'!$BB$3))</f>
        <v>0</v>
      </c>
      <c r="I65" s="4">
        <f>IF(ISNUMBER(SEARCH("营",'19.12'!Q65)),(-$Y65+50*IF('19.12'!$AK65="是",'19.12'!$BB$4,'19.12'!$BB$3)),(VLOOKUP('19.12'!Q65,'19.12'!$AO$4:$AQ$55,2,FALSE))*IF('19.12'!$AK65="是",'19.12'!$BB$4,'19.12'!$BB$3))</f>
        <v>0</v>
      </c>
      <c r="J65" s="4">
        <f>IF(ISNUMBER(SEARCH("营",'19.12'!R65)),(-$Y65+50*IF('19.12'!$AK65="是",'19.12'!$BB$4,'19.12'!$BB$3)),(VLOOKUP('19.12'!R65,'19.12'!$AO$4:$AQ$55,2,FALSE))*IF('19.12'!$AK65="是",'19.12'!$BB$4,'19.12'!$BB$3))</f>
        <v>0</v>
      </c>
      <c r="K65" s="4">
        <f>IF(ISNUMBER(SEARCH("营",'19.12'!S65)),(-$Y65+50*IF('19.12'!$AK65="是",'19.12'!$BB$4,'19.12'!$BB$3)),(VLOOKUP('19.12'!S65,'19.12'!$AO$4:$AQ$55,2,FALSE))*IF('19.12'!$AK65="是",'19.12'!$BB$4,'19.12'!$BB$3))</f>
        <v>0</v>
      </c>
      <c r="L65" s="4">
        <f>IF(ISNUMBER(SEARCH("营",'19.12'!T65)),(-$Y65+50*IF('19.12'!$AK65="是",'19.12'!$BB$4,'19.12'!$BB$3)),(VLOOKUP('19.12'!T65,'19.12'!$AO$4:$AQ$55,2,FALSE))*IF('19.12'!$AK65="是",'19.12'!$BB$4,'19.12'!$BB$3))</f>
        <v>0</v>
      </c>
      <c r="M65" s="4">
        <f>IF(ISNUMBER(SEARCH("营",'19.12'!U65)),(-$Y65+50*IF('19.12'!$AK65="是",'19.12'!$BB$4,'19.12'!$BB$3)),(VLOOKUP('19.12'!U65,'19.12'!$AO$4:$AQ$55,2,FALSE))*IF('19.12'!$AK65="是",'19.12'!$BB$4,'19.12'!$BB$3))</f>
        <v>0</v>
      </c>
      <c r="N65" s="4">
        <f>IF(ISNUMBER(SEARCH("营",'19.12'!V65)),(-$Y65+50*IF('19.12'!$AK65="是",'19.12'!$BB$4,'19.12'!$BB$3)),(VLOOKUP('19.12'!V65,'19.12'!$AO$4:$AQ$55,2,FALSE))*IF('19.12'!$AK65="是",'19.12'!$BB$4,'19.12'!$BB$3))</f>
        <v>0</v>
      </c>
      <c r="O65" s="4">
        <f>IF(ISNUMBER(SEARCH("营",'19.12'!W65)),(-$Y65+50*IF('19.12'!$AK65="是",'19.12'!$BB$4,'19.12'!$BB$3)),(VLOOKUP('19.12'!W65,'19.12'!$AO$4:$AQ$55,2,FALSE))*IF('19.12'!$AK65="是",'19.12'!$BB$4,'19.12'!$BB$3))</f>
        <v>0</v>
      </c>
      <c r="P65" s="4">
        <f>IF(ISNUMBER(SEARCH("营",'19.12'!X65)),(-$Y65+50*IF('19.12'!$AK65="是",'19.12'!$BB$4,'19.12'!$BB$3)),(VLOOKUP('19.12'!X65,'19.12'!$AO$4:$AQ$55,2,FALSE))*IF('19.12'!$AK65="是",'19.12'!$BB$4,'19.12'!$BB$3))</f>
        <v>0</v>
      </c>
      <c r="Q65" s="4">
        <f>IF(ISNUMBER(SEARCH("营",'19.12'!Y65)),(-$Y65+50*IF('19.12'!$AK65="是",'19.12'!$BB$4,'19.12'!$BB$3)),(VLOOKUP('19.12'!Y65,'19.12'!$AO$4:$AQ$55,2,FALSE))*IF('19.12'!$AK65="是",'19.12'!$BB$4,'19.12'!$BB$3))</f>
        <v>0</v>
      </c>
      <c r="R65" s="4">
        <f>IF(ISNUMBER(SEARCH("营",'19.12'!Z65)),(-$Y65+50*IF('19.12'!$AK65="是",'19.12'!$BB$4,'19.12'!$BB$3)),(VLOOKUP('19.12'!Z65,'19.12'!$AO$4:$AQ$55,2,FALSE))*IF('19.12'!$AK65="是",'19.12'!$BB$4,'19.12'!$BB$3))</f>
        <v>0</v>
      </c>
      <c r="S65" s="4">
        <f>IF(ISNUMBER(SEARCH("营",'19.12'!AA65)),(-$Y65+50*IF('19.12'!$AK65="是",'19.12'!$BB$4,'19.12'!$BB$3)),(VLOOKUP('19.12'!AA65,'19.12'!$AO$4:$AQ$55,2,FALSE))*IF('19.12'!$AK65="是",'19.12'!$BB$4,'19.12'!$BB$3))</f>
        <v>0</v>
      </c>
      <c r="T65" s="4">
        <f>IF(ISNUMBER(SEARCH("营",'19.12'!AB65)),(-$Y65+50*IF('19.12'!$AK65="是",'19.12'!$BB$4,'19.12'!$BB$3)),(VLOOKUP('19.12'!AB65,'19.12'!$AO$4:$AQ$55,2,FALSE))*IF('19.12'!$AK65="是",'19.12'!$BB$4,'19.12'!$BB$3))</f>
        <v>0</v>
      </c>
      <c r="U65" s="4">
        <f>IF(ISNUMBER(SEARCH("营",'19.12'!AC65)),(-$Y65+50*IF('19.12'!$AK65="是",'19.12'!$BB$4,'19.12'!$BB$3)),(VLOOKUP('19.12'!AC65,'19.12'!$AO$4:$AQ$55,2,FALSE))*IF('19.12'!$AK65="是",'19.12'!$BB$4,'19.12'!$BB$3))</f>
        <v>0</v>
      </c>
      <c r="V65" s="4">
        <f>IF(ISNUMBER(SEARCH("营",'19.12'!AD65)),(-$Y65+50*IF('19.12'!$AK65="是",'19.12'!$BB$4,'19.12'!$BB$3)),(VLOOKUP('19.12'!AD65,'19.12'!$AO$4:$AQ$55,2,FALSE))*IF('19.12'!$AK65="是",'19.12'!$BB$4,'19.12'!$BB$3))</f>
        <v>0</v>
      </c>
      <c r="W65" s="4">
        <f>IF(ISNUMBER(SEARCH("营",'19.12'!AE65)),(-$Y65+50*IF('19.12'!$AK65="是",'19.12'!$BB$4,'19.12'!$BB$3)),(VLOOKUP('19.12'!AE65,'19.12'!$AO$4:$AQ$55,2,FALSE))*IF('19.12'!$AK65="是",'19.12'!$BB$4,'19.12'!$BB$3))</f>
        <v>0</v>
      </c>
      <c r="X65" s="4">
        <f>IF(ISNUMBER(SEARCH("营",'19.12'!AF65)),(-$Y65+50*IF('19.12'!$AK65="是",'19.12'!$BB$4,'19.12'!$BB$3)),(VLOOKUP('19.12'!AF65,'19.12'!$AO$4:$AQ$55,2,FALSE))*IF('19.12'!$AK65="是",'19.12'!$BB$4,'19.12'!$BB$3))</f>
        <v>0</v>
      </c>
      <c r="Y65" s="18">
        <v>100</v>
      </c>
      <c r="Z65" s="15">
        <v>45791</v>
      </c>
    </row>
    <row r="66" spans="1:26">
      <c r="A66" s="4">
        <f>IF(ISNUMBER(SEARCH("营",'19.12'!I66)),(-$Y66+50*IF('19.12'!$AK66="是",'19.12'!$BB$4,'19.12'!$BB$3)),(VLOOKUP('19.12'!I66,'19.12'!$AO$4:$AQ$55,2,FALSE))*IF('19.12'!$AK66="是",'19.12'!$BB$4,'19.12'!$BB$3))</f>
        <v>0</v>
      </c>
      <c r="B66" s="4">
        <f>IF(ISNUMBER(SEARCH("营",'19.12'!J66)),(-$Y66+50*IF('19.12'!$AK66="是",'19.12'!$BB$4,'19.12'!$BB$3)),(VLOOKUP('19.12'!J66,'19.12'!$AO$4:$AQ$55,2,FALSE))*IF('19.12'!$AK66="是",'19.12'!$BB$4,'19.12'!$BB$3))</f>
        <v>0</v>
      </c>
      <c r="C66" s="4">
        <f>IF(ISNUMBER(SEARCH("营",'19.12'!K66)),(-$Y66+50*IF('19.12'!$AK66="是",'19.12'!$BB$4,'19.12'!$BB$3)),(VLOOKUP('19.12'!K66,'19.12'!$AO$4:$AQ$55,2,FALSE))*IF('19.12'!$AK66="是",'19.12'!$BB$4,'19.12'!$BB$3))</f>
        <v>0</v>
      </c>
      <c r="D66" s="4">
        <f>IF(ISNUMBER(SEARCH("营",'19.12'!L66)),(-$Y66+50*IF('19.12'!$AK66="是",'19.12'!$BB$4,'19.12'!$BB$3)),(VLOOKUP('19.12'!L66,'19.12'!$AO$4:$AQ$55,2,FALSE))*IF('19.12'!$AK66="是",'19.12'!$BB$4,'19.12'!$BB$3))</f>
        <v>0</v>
      </c>
      <c r="E66" s="4">
        <f>IF(ISNUMBER(SEARCH("营",'19.12'!M66)),(-$Y66+50*IF('19.12'!$AK66="是",'19.12'!$BB$4,'19.12'!$BB$3)),(VLOOKUP('19.12'!M66,'19.12'!$AO$4:$AQ$55,2,FALSE))*IF('19.12'!$AK66="是",'19.12'!$BB$4,'19.12'!$BB$3))</f>
        <v>0</v>
      </c>
      <c r="F66" s="4">
        <f>IF(ISNUMBER(SEARCH("营",'19.12'!N66)),(-$Y66+50*IF('19.12'!$AK66="是",'19.12'!$BB$4,'19.12'!$BB$3)),(VLOOKUP('19.12'!N66,'19.12'!$AO$4:$AQ$55,2,FALSE))*IF('19.12'!$AK66="是",'19.12'!$BB$4,'19.12'!$BB$3))</f>
        <v>0</v>
      </c>
      <c r="G66" s="4">
        <f>IF(ISNUMBER(SEARCH("营",'19.12'!O66)),(-$Y66+50*IF('19.12'!$AK66="是",'19.12'!$BB$4,'19.12'!$BB$3)),(VLOOKUP('19.12'!O66,'19.12'!$AO$4:$AQ$55,2,FALSE))*IF('19.12'!$AK66="是",'19.12'!$BB$4,'19.12'!$BB$3))</f>
        <v>0</v>
      </c>
      <c r="H66" s="4">
        <f>IF(ISNUMBER(SEARCH("营",'19.12'!P66)),(-$Y66+50*IF('19.12'!$AK66="是",'19.12'!$BB$4,'19.12'!$BB$3)),(VLOOKUP('19.12'!P66,'19.12'!$AO$4:$AQ$55,2,FALSE))*IF('19.12'!$AK66="是",'19.12'!$BB$4,'19.12'!$BB$3))</f>
        <v>0</v>
      </c>
      <c r="I66" s="4">
        <f>IF(ISNUMBER(SEARCH("营",'19.12'!Q66)),(-$Y66+50*IF('19.12'!$AK66="是",'19.12'!$BB$4,'19.12'!$BB$3)),(VLOOKUP('19.12'!Q66,'19.12'!$AO$4:$AQ$55,2,FALSE))*IF('19.12'!$AK66="是",'19.12'!$BB$4,'19.12'!$BB$3))</f>
        <v>0</v>
      </c>
      <c r="J66" s="4">
        <f>IF(ISNUMBER(SEARCH("营",'19.12'!R66)),(-$Y66+50*IF('19.12'!$AK66="是",'19.12'!$BB$4,'19.12'!$BB$3)),(VLOOKUP('19.12'!R66,'19.12'!$AO$4:$AQ$55,2,FALSE))*IF('19.12'!$AK66="是",'19.12'!$BB$4,'19.12'!$BB$3))</f>
        <v>0</v>
      </c>
      <c r="K66" s="4">
        <f>IF(ISNUMBER(SEARCH("营",'19.12'!S66)),(-$Y66+50*IF('19.12'!$AK66="是",'19.12'!$BB$4,'19.12'!$BB$3)),(VLOOKUP('19.12'!S66,'19.12'!$AO$4:$AQ$55,2,FALSE))*IF('19.12'!$AK66="是",'19.12'!$BB$4,'19.12'!$BB$3))</f>
        <v>0</v>
      </c>
      <c r="L66" s="4">
        <f>IF(ISNUMBER(SEARCH("营",'19.12'!T66)),(-$Y66+50*IF('19.12'!$AK66="是",'19.12'!$BB$4,'19.12'!$BB$3)),(VLOOKUP('19.12'!T66,'19.12'!$AO$4:$AQ$55,2,FALSE))*IF('19.12'!$AK66="是",'19.12'!$BB$4,'19.12'!$BB$3))</f>
        <v>0</v>
      </c>
      <c r="M66" s="4">
        <f>IF(ISNUMBER(SEARCH("营",'19.12'!U66)),(-$Y66+50*IF('19.12'!$AK66="是",'19.12'!$BB$4,'19.12'!$BB$3)),(VLOOKUP('19.12'!U66,'19.12'!$AO$4:$AQ$55,2,FALSE))*IF('19.12'!$AK66="是",'19.12'!$BB$4,'19.12'!$BB$3))</f>
        <v>0</v>
      </c>
      <c r="N66" s="4">
        <f>IF(ISNUMBER(SEARCH("营",'19.12'!V66)),(-$Y66+50*IF('19.12'!$AK66="是",'19.12'!$BB$4,'19.12'!$BB$3)),(VLOOKUP('19.12'!V66,'19.12'!$AO$4:$AQ$55,2,FALSE))*IF('19.12'!$AK66="是",'19.12'!$BB$4,'19.12'!$BB$3))</f>
        <v>0</v>
      </c>
      <c r="O66" s="4">
        <f>IF(ISNUMBER(SEARCH("营",'19.12'!W66)),(-$Y66+50*IF('19.12'!$AK66="是",'19.12'!$BB$4,'19.12'!$BB$3)),(VLOOKUP('19.12'!W66,'19.12'!$AO$4:$AQ$55,2,FALSE))*IF('19.12'!$AK66="是",'19.12'!$BB$4,'19.12'!$BB$3))</f>
        <v>0</v>
      </c>
      <c r="P66" s="4">
        <f>IF(ISNUMBER(SEARCH("营",'19.12'!X66)),(-$Y66+50*IF('19.12'!$AK66="是",'19.12'!$BB$4,'19.12'!$BB$3)),(VLOOKUP('19.12'!X66,'19.12'!$AO$4:$AQ$55,2,FALSE))*IF('19.12'!$AK66="是",'19.12'!$BB$4,'19.12'!$BB$3))</f>
        <v>0</v>
      </c>
      <c r="Q66" s="4">
        <f>IF(ISNUMBER(SEARCH("营",'19.12'!Y66)),(-$Y66+50*IF('19.12'!$AK66="是",'19.12'!$BB$4,'19.12'!$BB$3)),(VLOOKUP('19.12'!Y66,'19.12'!$AO$4:$AQ$55,2,FALSE))*IF('19.12'!$AK66="是",'19.12'!$BB$4,'19.12'!$BB$3))</f>
        <v>0</v>
      </c>
      <c r="R66" s="4">
        <f>IF(ISNUMBER(SEARCH("营",'19.12'!Z66)),(-$Y66+50*IF('19.12'!$AK66="是",'19.12'!$BB$4,'19.12'!$BB$3)),(VLOOKUP('19.12'!Z66,'19.12'!$AO$4:$AQ$55,2,FALSE))*IF('19.12'!$AK66="是",'19.12'!$BB$4,'19.12'!$BB$3))</f>
        <v>0</v>
      </c>
      <c r="S66" s="4">
        <f>IF(ISNUMBER(SEARCH("营",'19.12'!AA66)),(-$Y66+50*IF('19.12'!$AK66="是",'19.12'!$BB$4,'19.12'!$BB$3)),(VLOOKUP('19.12'!AA66,'19.12'!$AO$4:$AQ$55,2,FALSE))*IF('19.12'!$AK66="是",'19.12'!$BB$4,'19.12'!$BB$3))</f>
        <v>0</v>
      </c>
      <c r="T66" s="4">
        <f>IF(ISNUMBER(SEARCH("营",'19.12'!AB66)),(-$Y66+50*IF('19.12'!$AK66="是",'19.12'!$BB$4,'19.12'!$BB$3)),(VLOOKUP('19.12'!AB66,'19.12'!$AO$4:$AQ$55,2,FALSE))*IF('19.12'!$AK66="是",'19.12'!$BB$4,'19.12'!$BB$3))</f>
        <v>0</v>
      </c>
      <c r="U66" s="4">
        <f>IF(ISNUMBER(SEARCH("营",'19.12'!AC66)),(-$Y66+50*IF('19.12'!$AK66="是",'19.12'!$BB$4,'19.12'!$BB$3)),(VLOOKUP('19.12'!AC66,'19.12'!$AO$4:$AQ$55,2,FALSE))*IF('19.12'!$AK66="是",'19.12'!$BB$4,'19.12'!$BB$3))</f>
        <v>0</v>
      </c>
      <c r="V66" s="4">
        <f>IF(ISNUMBER(SEARCH("营",'19.12'!AD66)),(-$Y66+50*IF('19.12'!$AK66="是",'19.12'!$BB$4,'19.12'!$BB$3)),(VLOOKUP('19.12'!AD66,'19.12'!$AO$4:$AQ$55,2,FALSE))*IF('19.12'!$AK66="是",'19.12'!$BB$4,'19.12'!$BB$3))</f>
        <v>0</v>
      </c>
      <c r="W66" s="4">
        <f>IF(ISNUMBER(SEARCH("营",'19.12'!AE66)),(-$Y66+50*IF('19.12'!$AK66="是",'19.12'!$BB$4,'19.12'!$BB$3)),(VLOOKUP('19.12'!AE66,'19.12'!$AO$4:$AQ$55,2,FALSE))*IF('19.12'!$AK66="是",'19.12'!$BB$4,'19.12'!$BB$3))</f>
        <v>0</v>
      </c>
      <c r="X66" s="4">
        <f>IF(ISNUMBER(SEARCH("营",'19.12'!AF66)),(-$Y66+50*IF('19.12'!$AK66="是",'19.12'!$BB$4,'19.12'!$BB$3)),(VLOOKUP('19.12'!AF66,'19.12'!$AO$4:$AQ$55,2,FALSE))*IF('19.12'!$AK66="是",'19.12'!$BB$4,'19.12'!$BB$3))</f>
        <v>0</v>
      </c>
      <c r="Y66" s="18">
        <v>100</v>
      </c>
      <c r="Z66" s="15">
        <v>45792</v>
      </c>
    </row>
    <row r="67" spans="1:26">
      <c r="A67" s="4">
        <f>IF(ISNUMBER(SEARCH("营",'19.12'!I67)),(-$Y67+50*IF('19.12'!$AK67="是",'19.12'!$BB$4,'19.12'!$BB$3)),(VLOOKUP('19.12'!I67,'19.12'!$AO$4:$AQ$55,2,FALSE))*IF('19.12'!$AK67="是",'19.12'!$BB$4,'19.12'!$BB$3))</f>
        <v>0</v>
      </c>
      <c r="B67" s="4">
        <f>IF(ISNUMBER(SEARCH("营",'19.12'!J67)),(-$Y67+50*IF('19.12'!$AK67="是",'19.12'!$BB$4,'19.12'!$BB$3)),(VLOOKUP('19.12'!J67,'19.12'!$AO$4:$AQ$55,2,FALSE))*IF('19.12'!$AK67="是",'19.12'!$BB$4,'19.12'!$BB$3))</f>
        <v>0</v>
      </c>
      <c r="C67" s="4">
        <f>IF(ISNUMBER(SEARCH("营",'19.12'!K67)),(-$Y67+50*IF('19.12'!$AK67="是",'19.12'!$BB$4,'19.12'!$BB$3)),(VLOOKUP('19.12'!K67,'19.12'!$AO$4:$AQ$55,2,FALSE))*IF('19.12'!$AK67="是",'19.12'!$BB$4,'19.12'!$BB$3))</f>
        <v>0</v>
      </c>
      <c r="D67" s="4">
        <f>IF(ISNUMBER(SEARCH("营",'19.12'!L67)),(-$Y67+50*IF('19.12'!$AK67="是",'19.12'!$BB$4,'19.12'!$BB$3)),(VLOOKUP('19.12'!L67,'19.12'!$AO$4:$AQ$55,2,FALSE))*IF('19.12'!$AK67="是",'19.12'!$BB$4,'19.12'!$BB$3))</f>
        <v>0</v>
      </c>
      <c r="E67" s="4">
        <f>IF(ISNUMBER(SEARCH("营",'19.12'!M67)),(-$Y67+50*IF('19.12'!$AK67="是",'19.12'!$BB$4,'19.12'!$BB$3)),(VLOOKUP('19.12'!M67,'19.12'!$AO$4:$AQ$55,2,FALSE))*IF('19.12'!$AK67="是",'19.12'!$BB$4,'19.12'!$BB$3))</f>
        <v>0</v>
      </c>
      <c r="F67" s="4">
        <f>IF(ISNUMBER(SEARCH("营",'19.12'!N67)),(-$Y67+50*IF('19.12'!$AK67="是",'19.12'!$BB$4,'19.12'!$BB$3)),(VLOOKUP('19.12'!N67,'19.12'!$AO$4:$AQ$55,2,FALSE))*IF('19.12'!$AK67="是",'19.12'!$BB$4,'19.12'!$BB$3))</f>
        <v>0</v>
      </c>
      <c r="G67" s="4">
        <f>IF(ISNUMBER(SEARCH("营",'19.12'!O67)),(-$Y67+50*IF('19.12'!$AK67="是",'19.12'!$BB$4,'19.12'!$BB$3)),(VLOOKUP('19.12'!O67,'19.12'!$AO$4:$AQ$55,2,FALSE))*IF('19.12'!$AK67="是",'19.12'!$BB$4,'19.12'!$BB$3))</f>
        <v>0</v>
      </c>
      <c r="H67" s="4">
        <f>IF(ISNUMBER(SEARCH("营",'19.12'!P67)),(-$Y67+50*IF('19.12'!$AK67="是",'19.12'!$BB$4,'19.12'!$BB$3)),(VLOOKUP('19.12'!P67,'19.12'!$AO$4:$AQ$55,2,FALSE))*IF('19.12'!$AK67="是",'19.12'!$BB$4,'19.12'!$BB$3))</f>
        <v>0</v>
      </c>
      <c r="I67" s="4">
        <f>IF(ISNUMBER(SEARCH("营",'19.12'!Q67)),(-$Y67+50*IF('19.12'!$AK67="是",'19.12'!$BB$4,'19.12'!$BB$3)),(VLOOKUP('19.12'!Q67,'19.12'!$AO$4:$AQ$55,2,FALSE))*IF('19.12'!$AK67="是",'19.12'!$BB$4,'19.12'!$BB$3))</f>
        <v>0</v>
      </c>
      <c r="J67" s="4">
        <f>IF(ISNUMBER(SEARCH("营",'19.12'!R67)),(-$Y67+50*IF('19.12'!$AK67="是",'19.12'!$BB$4,'19.12'!$BB$3)),(VLOOKUP('19.12'!R67,'19.12'!$AO$4:$AQ$55,2,FALSE))*IF('19.12'!$AK67="是",'19.12'!$BB$4,'19.12'!$BB$3))</f>
        <v>0</v>
      </c>
      <c r="K67" s="4">
        <f>IF(ISNUMBER(SEARCH("营",'19.12'!S67)),(-$Y67+50*IF('19.12'!$AK67="是",'19.12'!$BB$4,'19.12'!$BB$3)),(VLOOKUP('19.12'!S67,'19.12'!$AO$4:$AQ$55,2,FALSE))*IF('19.12'!$AK67="是",'19.12'!$BB$4,'19.12'!$BB$3))</f>
        <v>0</v>
      </c>
      <c r="L67" s="4">
        <f>IF(ISNUMBER(SEARCH("营",'19.12'!T67)),(-$Y67+50*IF('19.12'!$AK67="是",'19.12'!$BB$4,'19.12'!$BB$3)),(VLOOKUP('19.12'!T67,'19.12'!$AO$4:$AQ$55,2,FALSE))*IF('19.12'!$AK67="是",'19.12'!$BB$4,'19.12'!$BB$3))</f>
        <v>0</v>
      </c>
      <c r="M67" s="4">
        <f>IF(ISNUMBER(SEARCH("营",'19.12'!U67)),(-$Y67+50*IF('19.12'!$AK67="是",'19.12'!$BB$4,'19.12'!$BB$3)),(VLOOKUP('19.12'!U67,'19.12'!$AO$4:$AQ$55,2,FALSE))*IF('19.12'!$AK67="是",'19.12'!$BB$4,'19.12'!$BB$3))</f>
        <v>0</v>
      </c>
      <c r="N67" s="4">
        <f>IF(ISNUMBER(SEARCH("营",'19.12'!V67)),(-$Y67+50*IF('19.12'!$AK67="是",'19.12'!$BB$4,'19.12'!$BB$3)),(VLOOKUP('19.12'!V67,'19.12'!$AO$4:$AQ$55,2,FALSE))*IF('19.12'!$AK67="是",'19.12'!$BB$4,'19.12'!$BB$3))</f>
        <v>0</v>
      </c>
      <c r="O67" s="4">
        <f>IF(ISNUMBER(SEARCH("营",'19.12'!W67)),(-$Y67+50*IF('19.12'!$AK67="是",'19.12'!$BB$4,'19.12'!$BB$3)),(VLOOKUP('19.12'!W67,'19.12'!$AO$4:$AQ$55,2,FALSE))*IF('19.12'!$AK67="是",'19.12'!$BB$4,'19.12'!$BB$3))</f>
        <v>0</v>
      </c>
      <c r="P67" s="4">
        <f>IF(ISNUMBER(SEARCH("营",'19.12'!X67)),(-$Y67+50*IF('19.12'!$AK67="是",'19.12'!$BB$4,'19.12'!$BB$3)),(VLOOKUP('19.12'!X67,'19.12'!$AO$4:$AQ$55,2,FALSE))*IF('19.12'!$AK67="是",'19.12'!$BB$4,'19.12'!$BB$3))</f>
        <v>0</v>
      </c>
      <c r="Q67" s="4">
        <f>IF(ISNUMBER(SEARCH("营",'19.12'!Y67)),(-$Y67+50*IF('19.12'!$AK67="是",'19.12'!$BB$4,'19.12'!$BB$3)),(VLOOKUP('19.12'!Y67,'19.12'!$AO$4:$AQ$55,2,FALSE))*IF('19.12'!$AK67="是",'19.12'!$BB$4,'19.12'!$BB$3))</f>
        <v>0</v>
      </c>
      <c r="R67" s="4">
        <f>IF(ISNUMBER(SEARCH("营",'19.12'!Z67)),(-$Y67+50*IF('19.12'!$AK67="是",'19.12'!$BB$4,'19.12'!$BB$3)),(VLOOKUP('19.12'!Z67,'19.12'!$AO$4:$AQ$55,2,FALSE))*IF('19.12'!$AK67="是",'19.12'!$BB$4,'19.12'!$BB$3))</f>
        <v>0</v>
      </c>
      <c r="S67" s="4">
        <f>IF(ISNUMBER(SEARCH("营",'19.12'!AA67)),(-$Y67+50*IF('19.12'!$AK67="是",'19.12'!$BB$4,'19.12'!$BB$3)),(VLOOKUP('19.12'!AA67,'19.12'!$AO$4:$AQ$55,2,FALSE))*IF('19.12'!$AK67="是",'19.12'!$BB$4,'19.12'!$BB$3))</f>
        <v>0</v>
      </c>
      <c r="T67" s="4">
        <f>IF(ISNUMBER(SEARCH("营",'19.12'!AB67)),(-$Y67+50*IF('19.12'!$AK67="是",'19.12'!$BB$4,'19.12'!$BB$3)),(VLOOKUP('19.12'!AB67,'19.12'!$AO$4:$AQ$55,2,FALSE))*IF('19.12'!$AK67="是",'19.12'!$BB$4,'19.12'!$BB$3))</f>
        <v>0</v>
      </c>
      <c r="U67" s="4">
        <f>IF(ISNUMBER(SEARCH("营",'19.12'!AC67)),(-$Y67+50*IF('19.12'!$AK67="是",'19.12'!$BB$4,'19.12'!$BB$3)),(VLOOKUP('19.12'!AC67,'19.12'!$AO$4:$AQ$55,2,FALSE))*IF('19.12'!$AK67="是",'19.12'!$BB$4,'19.12'!$BB$3))</f>
        <v>0</v>
      </c>
      <c r="V67" s="4">
        <f>IF(ISNUMBER(SEARCH("营",'19.12'!AD67)),(-$Y67+50*IF('19.12'!$AK67="是",'19.12'!$BB$4,'19.12'!$BB$3)),(VLOOKUP('19.12'!AD67,'19.12'!$AO$4:$AQ$55,2,FALSE))*IF('19.12'!$AK67="是",'19.12'!$BB$4,'19.12'!$BB$3))</f>
        <v>0</v>
      </c>
      <c r="W67" s="4">
        <f>IF(ISNUMBER(SEARCH("营",'19.12'!AE67)),(-$Y67+50*IF('19.12'!$AK67="是",'19.12'!$BB$4,'19.12'!$BB$3)),(VLOOKUP('19.12'!AE67,'19.12'!$AO$4:$AQ$55,2,FALSE))*IF('19.12'!$AK67="是",'19.12'!$BB$4,'19.12'!$BB$3))</f>
        <v>0</v>
      </c>
      <c r="X67" s="4">
        <f>IF(ISNUMBER(SEARCH("营",'19.12'!AF67)),(-$Y67+50*IF('19.12'!$AK67="是",'19.12'!$BB$4,'19.12'!$BB$3)),(VLOOKUP('19.12'!AF67,'19.12'!$AO$4:$AQ$55,2,FALSE))*IF('19.12'!$AK67="是",'19.12'!$BB$4,'19.12'!$BB$3))</f>
        <v>0</v>
      </c>
      <c r="Y67" s="18">
        <v>100</v>
      </c>
      <c r="Z67" s="15">
        <v>45793</v>
      </c>
    </row>
    <row r="68" spans="1:26">
      <c r="A68" s="4">
        <f>IF(ISNUMBER(SEARCH("营",'19.12'!I68)),(-$Y68+50*IF('19.12'!$AK68="是",'19.12'!$BB$4,'19.12'!$BB$3)),(VLOOKUP('19.12'!I68,'19.12'!$AO$4:$AQ$55,2,FALSE))*IF('19.12'!$AK68="是",'19.12'!$BB$4,'19.12'!$BB$3))</f>
        <v>0</v>
      </c>
      <c r="B68" s="4">
        <f>IF(ISNUMBER(SEARCH("营",'19.12'!J68)),(-$Y68+50*IF('19.12'!$AK68="是",'19.12'!$BB$4,'19.12'!$BB$3)),(VLOOKUP('19.12'!J68,'19.12'!$AO$4:$AQ$55,2,FALSE))*IF('19.12'!$AK68="是",'19.12'!$BB$4,'19.12'!$BB$3))</f>
        <v>0</v>
      </c>
      <c r="C68" s="4">
        <f>IF(ISNUMBER(SEARCH("营",'19.12'!K68)),(-$Y68+50*IF('19.12'!$AK68="是",'19.12'!$BB$4,'19.12'!$BB$3)),(VLOOKUP('19.12'!K68,'19.12'!$AO$4:$AQ$55,2,FALSE))*IF('19.12'!$AK68="是",'19.12'!$BB$4,'19.12'!$BB$3))</f>
        <v>0</v>
      </c>
      <c r="D68" s="4">
        <f>IF(ISNUMBER(SEARCH("营",'19.12'!L68)),(-$Y68+50*IF('19.12'!$AK68="是",'19.12'!$BB$4,'19.12'!$BB$3)),(VLOOKUP('19.12'!L68,'19.12'!$AO$4:$AQ$55,2,FALSE))*IF('19.12'!$AK68="是",'19.12'!$BB$4,'19.12'!$BB$3))</f>
        <v>0</v>
      </c>
      <c r="E68" s="4">
        <f>IF(ISNUMBER(SEARCH("营",'19.12'!M68)),(-$Y68+50*IF('19.12'!$AK68="是",'19.12'!$BB$4,'19.12'!$BB$3)),(VLOOKUP('19.12'!M68,'19.12'!$AO$4:$AQ$55,2,FALSE))*IF('19.12'!$AK68="是",'19.12'!$BB$4,'19.12'!$BB$3))</f>
        <v>0</v>
      </c>
      <c r="F68" s="4">
        <f>IF(ISNUMBER(SEARCH("营",'19.12'!N68)),(-$Y68+50*IF('19.12'!$AK68="是",'19.12'!$BB$4,'19.12'!$BB$3)),(VLOOKUP('19.12'!N68,'19.12'!$AO$4:$AQ$55,2,FALSE))*IF('19.12'!$AK68="是",'19.12'!$BB$4,'19.12'!$BB$3))</f>
        <v>0</v>
      </c>
      <c r="G68" s="4">
        <f>IF(ISNUMBER(SEARCH("营",'19.12'!O68)),(-$Y68+50*IF('19.12'!$AK68="是",'19.12'!$BB$4,'19.12'!$BB$3)),(VLOOKUP('19.12'!O68,'19.12'!$AO$4:$AQ$55,2,FALSE))*IF('19.12'!$AK68="是",'19.12'!$BB$4,'19.12'!$BB$3))</f>
        <v>0</v>
      </c>
      <c r="H68" s="4">
        <f>IF(ISNUMBER(SEARCH("营",'19.12'!P68)),(-$Y68+50*IF('19.12'!$AK68="是",'19.12'!$BB$4,'19.12'!$BB$3)),(VLOOKUP('19.12'!P68,'19.12'!$AO$4:$AQ$55,2,FALSE))*IF('19.12'!$AK68="是",'19.12'!$BB$4,'19.12'!$BB$3))</f>
        <v>0</v>
      </c>
      <c r="I68" s="4">
        <f>IF(ISNUMBER(SEARCH("营",'19.12'!Q68)),(-$Y68+50*IF('19.12'!$AK68="是",'19.12'!$BB$4,'19.12'!$BB$3)),(VLOOKUP('19.12'!Q68,'19.12'!$AO$4:$AQ$55,2,FALSE))*IF('19.12'!$AK68="是",'19.12'!$BB$4,'19.12'!$BB$3))</f>
        <v>0</v>
      </c>
      <c r="J68" s="4">
        <f>IF(ISNUMBER(SEARCH("营",'19.12'!R68)),(-$Y68+50*IF('19.12'!$AK68="是",'19.12'!$BB$4,'19.12'!$BB$3)),(VLOOKUP('19.12'!R68,'19.12'!$AO$4:$AQ$55,2,FALSE))*IF('19.12'!$AK68="是",'19.12'!$BB$4,'19.12'!$BB$3))</f>
        <v>0</v>
      </c>
      <c r="K68" s="4">
        <f>IF(ISNUMBER(SEARCH("营",'19.12'!S68)),(-$Y68+50*IF('19.12'!$AK68="是",'19.12'!$BB$4,'19.12'!$BB$3)),(VLOOKUP('19.12'!S68,'19.12'!$AO$4:$AQ$55,2,FALSE))*IF('19.12'!$AK68="是",'19.12'!$BB$4,'19.12'!$BB$3))</f>
        <v>0</v>
      </c>
      <c r="L68" s="4">
        <f>IF(ISNUMBER(SEARCH("营",'19.12'!T68)),(-$Y68+50*IF('19.12'!$AK68="是",'19.12'!$BB$4,'19.12'!$BB$3)),(VLOOKUP('19.12'!T68,'19.12'!$AO$4:$AQ$55,2,FALSE))*IF('19.12'!$AK68="是",'19.12'!$BB$4,'19.12'!$BB$3))</f>
        <v>0</v>
      </c>
      <c r="M68" s="4">
        <f>IF(ISNUMBER(SEARCH("营",'19.12'!U68)),(-$Y68+50*IF('19.12'!$AK68="是",'19.12'!$BB$4,'19.12'!$BB$3)),(VLOOKUP('19.12'!U68,'19.12'!$AO$4:$AQ$55,2,FALSE))*IF('19.12'!$AK68="是",'19.12'!$BB$4,'19.12'!$BB$3))</f>
        <v>0</v>
      </c>
      <c r="N68" s="4">
        <f>IF(ISNUMBER(SEARCH("营",'19.12'!V68)),(-$Y68+50*IF('19.12'!$AK68="是",'19.12'!$BB$4,'19.12'!$BB$3)),(VLOOKUP('19.12'!V68,'19.12'!$AO$4:$AQ$55,2,FALSE))*IF('19.12'!$AK68="是",'19.12'!$BB$4,'19.12'!$BB$3))</f>
        <v>0</v>
      </c>
      <c r="O68" s="4">
        <f>IF(ISNUMBER(SEARCH("营",'19.12'!W68)),(-$Y68+50*IF('19.12'!$AK68="是",'19.12'!$BB$4,'19.12'!$BB$3)),(VLOOKUP('19.12'!W68,'19.12'!$AO$4:$AQ$55,2,FALSE))*IF('19.12'!$AK68="是",'19.12'!$BB$4,'19.12'!$BB$3))</f>
        <v>0</v>
      </c>
      <c r="P68" s="4">
        <f>IF(ISNUMBER(SEARCH("营",'19.12'!X68)),(-$Y68+50*IF('19.12'!$AK68="是",'19.12'!$BB$4,'19.12'!$BB$3)),(VLOOKUP('19.12'!X68,'19.12'!$AO$4:$AQ$55,2,FALSE))*IF('19.12'!$AK68="是",'19.12'!$BB$4,'19.12'!$BB$3))</f>
        <v>0</v>
      </c>
      <c r="Q68" s="4">
        <f>IF(ISNUMBER(SEARCH("营",'19.12'!Y68)),(-$Y68+50*IF('19.12'!$AK68="是",'19.12'!$BB$4,'19.12'!$BB$3)),(VLOOKUP('19.12'!Y68,'19.12'!$AO$4:$AQ$55,2,FALSE))*IF('19.12'!$AK68="是",'19.12'!$BB$4,'19.12'!$BB$3))</f>
        <v>0</v>
      </c>
      <c r="R68" s="4">
        <f>IF(ISNUMBER(SEARCH("营",'19.12'!Z68)),(-$Y68+50*IF('19.12'!$AK68="是",'19.12'!$BB$4,'19.12'!$BB$3)),(VLOOKUP('19.12'!Z68,'19.12'!$AO$4:$AQ$55,2,FALSE))*IF('19.12'!$AK68="是",'19.12'!$BB$4,'19.12'!$BB$3))</f>
        <v>0</v>
      </c>
      <c r="S68" s="4">
        <f>IF(ISNUMBER(SEARCH("营",'19.12'!AA68)),(-$Y68+50*IF('19.12'!$AK68="是",'19.12'!$BB$4,'19.12'!$BB$3)),(VLOOKUP('19.12'!AA68,'19.12'!$AO$4:$AQ$55,2,FALSE))*IF('19.12'!$AK68="是",'19.12'!$BB$4,'19.12'!$BB$3))</f>
        <v>0</v>
      </c>
      <c r="T68" s="4">
        <f>IF(ISNUMBER(SEARCH("营",'19.12'!AB68)),(-$Y68+50*IF('19.12'!$AK68="是",'19.12'!$BB$4,'19.12'!$BB$3)),(VLOOKUP('19.12'!AB68,'19.12'!$AO$4:$AQ$55,2,FALSE))*IF('19.12'!$AK68="是",'19.12'!$BB$4,'19.12'!$BB$3))</f>
        <v>0</v>
      </c>
      <c r="U68" s="4">
        <f>IF(ISNUMBER(SEARCH("营",'19.12'!AC68)),(-$Y68+50*IF('19.12'!$AK68="是",'19.12'!$BB$4,'19.12'!$BB$3)),(VLOOKUP('19.12'!AC68,'19.12'!$AO$4:$AQ$55,2,FALSE))*IF('19.12'!$AK68="是",'19.12'!$BB$4,'19.12'!$BB$3))</f>
        <v>0</v>
      </c>
      <c r="V68" s="4">
        <f>IF(ISNUMBER(SEARCH("营",'19.12'!AD68)),(-$Y68+50*IF('19.12'!$AK68="是",'19.12'!$BB$4,'19.12'!$BB$3)),(VLOOKUP('19.12'!AD68,'19.12'!$AO$4:$AQ$55,2,FALSE))*IF('19.12'!$AK68="是",'19.12'!$BB$4,'19.12'!$BB$3))</f>
        <v>0</v>
      </c>
      <c r="W68" s="4">
        <f>IF(ISNUMBER(SEARCH("营",'19.12'!AE68)),(-$Y68+50*IF('19.12'!$AK68="是",'19.12'!$BB$4,'19.12'!$BB$3)),(VLOOKUP('19.12'!AE68,'19.12'!$AO$4:$AQ$55,2,FALSE))*IF('19.12'!$AK68="是",'19.12'!$BB$4,'19.12'!$BB$3))</f>
        <v>0</v>
      </c>
      <c r="X68" s="4">
        <f>IF(ISNUMBER(SEARCH("营",'19.12'!AF68)),(-$Y68+50*IF('19.12'!$AK68="是",'19.12'!$BB$4,'19.12'!$BB$3)),(VLOOKUP('19.12'!AF68,'19.12'!$AO$4:$AQ$55,2,FALSE))*IF('19.12'!$AK68="是",'19.12'!$BB$4,'19.12'!$BB$3))</f>
        <v>0</v>
      </c>
      <c r="Y68" s="18">
        <v>100</v>
      </c>
      <c r="Z68" s="15">
        <v>45794</v>
      </c>
    </row>
    <row r="69" spans="1:26">
      <c r="A69" s="4">
        <f>IF(ISNUMBER(SEARCH("营",'19.12'!I69)),(-$Y69+50*IF('19.12'!$AK69="是",'19.12'!$BB$4,'19.12'!$BB$3)),(VLOOKUP('19.12'!I69,'19.12'!$AO$4:$AQ$55,2,FALSE))*IF('19.12'!$AK69="是",'19.12'!$BB$4,'19.12'!$BB$3))</f>
        <v>0</v>
      </c>
      <c r="B69" s="4">
        <f>IF(ISNUMBER(SEARCH("营",'19.12'!J69)),(-$Y69+50*IF('19.12'!$AK69="是",'19.12'!$BB$4,'19.12'!$BB$3)),(VLOOKUP('19.12'!J69,'19.12'!$AO$4:$AQ$55,2,FALSE))*IF('19.12'!$AK69="是",'19.12'!$BB$4,'19.12'!$BB$3))</f>
        <v>0</v>
      </c>
      <c r="C69" s="4">
        <f>IF(ISNUMBER(SEARCH("营",'19.12'!K69)),(-$Y69+50*IF('19.12'!$AK69="是",'19.12'!$BB$4,'19.12'!$BB$3)),(VLOOKUP('19.12'!K69,'19.12'!$AO$4:$AQ$55,2,FALSE))*IF('19.12'!$AK69="是",'19.12'!$BB$4,'19.12'!$BB$3))</f>
        <v>0</v>
      </c>
      <c r="D69" s="4">
        <f>IF(ISNUMBER(SEARCH("营",'19.12'!L69)),(-$Y69+50*IF('19.12'!$AK69="是",'19.12'!$BB$4,'19.12'!$BB$3)),(VLOOKUP('19.12'!L69,'19.12'!$AO$4:$AQ$55,2,FALSE))*IF('19.12'!$AK69="是",'19.12'!$BB$4,'19.12'!$BB$3))</f>
        <v>0</v>
      </c>
      <c r="E69" s="4">
        <f>IF(ISNUMBER(SEARCH("营",'19.12'!M69)),(-$Y69+50*IF('19.12'!$AK69="是",'19.12'!$BB$4,'19.12'!$BB$3)),(VLOOKUP('19.12'!M69,'19.12'!$AO$4:$AQ$55,2,FALSE))*IF('19.12'!$AK69="是",'19.12'!$BB$4,'19.12'!$BB$3))</f>
        <v>0</v>
      </c>
      <c r="F69" s="4">
        <f>IF(ISNUMBER(SEARCH("营",'19.12'!N69)),(-$Y69+50*IF('19.12'!$AK69="是",'19.12'!$BB$4,'19.12'!$BB$3)),(VLOOKUP('19.12'!N69,'19.12'!$AO$4:$AQ$55,2,FALSE))*IF('19.12'!$AK69="是",'19.12'!$BB$4,'19.12'!$BB$3))</f>
        <v>0</v>
      </c>
      <c r="G69" s="4">
        <f>IF(ISNUMBER(SEARCH("营",'19.12'!O69)),(-$Y69+50*IF('19.12'!$AK69="是",'19.12'!$BB$4,'19.12'!$BB$3)),(VLOOKUP('19.12'!O69,'19.12'!$AO$4:$AQ$55,2,FALSE))*IF('19.12'!$AK69="是",'19.12'!$BB$4,'19.12'!$BB$3))</f>
        <v>0</v>
      </c>
      <c r="H69" s="4">
        <f>IF(ISNUMBER(SEARCH("营",'19.12'!P69)),(-$Y69+50*IF('19.12'!$AK69="是",'19.12'!$BB$4,'19.12'!$BB$3)),(VLOOKUP('19.12'!P69,'19.12'!$AO$4:$AQ$55,2,FALSE))*IF('19.12'!$AK69="是",'19.12'!$BB$4,'19.12'!$BB$3))</f>
        <v>0</v>
      </c>
      <c r="I69" s="4">
        <f>IF(ISNUMBER(SEARCH("营",'19.12'!Q69)),(-$Y69+50*IF('19.12'!$AK69="是",'19.12'!$BB$4,'19.12'!$BB$3)),(VLOOKUP('19.12'!Q69,'19.12'!$AO$4:$AQ$55,2,FALSE))*IF('19.12'!$AK69="是",'19.12'!$BB$4,'19.12'!$BB$3))</f>
        <v>0</v>
      </c>
      <c r="J69" s="4">
        <f>IF(ISNUMBER(SEARCH("营",'19.12'!R69)),(-$Y69+50*IF('19.12'!$AK69="是",'19.12'!$BB$4,'19.12'!$BB$3)),(VLOOKUP('19.12'!R69,'19.12'!$AO$4:$AQ$55,2,FALSE))*IF('19.12'!$AK69="是",'19.12'!$BB$4,'19.12'!$BB$3))</f>
        <v>0</v>
      </c>
      <c r="K69" s="4">
        <f>IF(ISNUMBER(SEARCH("营",'19.12'!S69)),(-$Y69+50*IF('19.12'!$AK69="是",'19.12'!$BB$4,'19.12'!$BB$3)),(VLOOKUP('19.12'!S69,'19.12'!$AO$4:$AQ$55,2,FALSE))*IF('19.12'!$AK69="是",'19.12'!$BB$4,'19.12'!$BB$3))</f>
        <v>0</v>
      </c>
      <c r="L69" s="4">
        <f>IF(ISNUMBER(SEARCH("营",'19.12'!T69)),(-$Y69+50*IF('19.12'!$AK69="是",'19.12'!$BB$4,'19.12'!$BB$3)),(VLOOKUP('19.12'!T69,'19.12'!$AO$4:$AQ$55,2,FALSE))*IF('19.12'!$AK69="是",'19.12'!$BB$4,'19.12'!$BB$3))</f>
        <v>0</v>
      </c>
      <c r="M69" s="4">
        <f>IF(ISNUMBER(SEARCH("营",'19.12'!U69)),(-$Y69+50*IF('19.12'!$AK69="是",'19.12'!$BB$4,'19.12'!$BB$3)),(VLOOKUP('19.12'!U69,'19.12'!$AO$4:$AQ$55,2,FALSE))*IF('19.12'!$AK69="是",'19.12'!$BB$4,'19.12'!$BB$3))</f>
        <v>0</v>
      </c>
      <c r="N69" s="4">
        <f>IF(ISNUMBER(SEARCH("营",'19.12'!V69)),(-$Y69+50*IF('19.12'!$AK69="是",'19.12'!$BB$4,'19.12'!$BB$3)),(VLOOKUP('19.12'!V69,'19.12'!$AO$4:$AQ$55,2,FALSE))*IF('19.12'!$AK69="是",'19.12'!$BB$4,'19.12'!$BB$3))</f>
        <v>0</v>
      </c>
      <c r="O69" s="4">
        <f>IF(ISNUMBER(SEARCH("营",'19.12'!W69)),(-$Y69+50*IF('19.12'!$AK69="是",'19.12'!$BB$4,'19.12'!$BB$3)),(VLOOKUP('19.12'!W69,'19.12'!$AO$4:$AQ$55,2,FALSE))*IF('19.12'!$AK69="是",'19.12'!$BB$4,'19.12'!$BB$3))</f>
        <v>0</v>
      </c>
      <c r="P69" s="4">
        <f>IF(ISNUMBER(SEARCH("营",'19.12'!X69)),(-$Y69+50*IF('19.12'!$AK69="是",'19.12'!$BB$4,'19.12'!$BB$3)),(VLOOKUP('19.12'!X69,'19.12'!$AO$4:$AQ$55,2,FALSE))*IF('19.12'!$AK69="是",'19.12'!$BB$4,'19.12'!$BB$3))</f>
        <v>0</v>
      </c>
      <c r="Q69" s="4">
        <f>IF(ISNUMBER(SEARCH("营",'19.12'!Y69)),(-$Y69+50*IF('19.12'!$AK69="是",'19.12'!$BB$4,'19.12'!$BB$3)),(VLOOKUP('19.12'!Y69,'19.12'!$AO$4:$AQ$55,2,FALSE))*IF('19.12'!$AK69="是",'19.12'!$BB$4,'19.12'!$BB$3))</f>
        <v>0</v>
      </c>
      <c r="R69" s="4">
        <f>IF(ISNUMBER(SEARCH("营",'19.12'!Z69)),(-$Y69+50*IF('19.12'!$AK69="是",'19.12'!$BB$4,'19.12'!$BB$3)),(VLOOKUP('19.12'!Z69,'19.12'!$AO$4:$AQ$55,2,FALSE))*IF('19.12'!$AK69="是",'19.12'!$BB$4,'19.12'!$BB$3))</f>
        <v>0</v>
      </c>
      <c r="S69" s="4">
        <f>IF(ISNUMBER(SEARCH("营",'19.12'!AA69)),(-$Y69+50*IF('19.12'!$AK69="是",'19.12'!$BB$4,'19.12'!$BB$3)),(VLOOKUP('19.12'!AA69,'19.12'!$AO$4:$AQ$55,2,FALSE))*IF('19.12'!$AK69="是",'19.12'!$BB$4,'19.12'!$BB$3))</f>
        <v>0</v>
      </c>
      <c r="T69" s="4">
        <f>IF(ISNUMBER(SEARCH("营",'19.12'!AB69)),(-$Y69+50*IF('19.12'!$AK69="是",'19.12'!$BB$4,'19.12'!$BB$3)),(VLOOKUP('19.12'!AB69,'19.12'!$AO$4:$AQ$55,2,FALSE))*IF('19.12'!$AK69="是",'19.12'!$BB$4,'19.12'!$BB$3))</f>
        <v>0</v>
      </c>
      <c r="U69" s="4">
        <f>IF(ISNUMBER(SEARCH("营",'19.12'!AC69)),(-$Y69+50*IF('19.12'!$AK69="是",'19.12'!$BB$4,'19.12'!$BB$3)),(VLOOKUP('19.12'!AC69,'19.12'!$AO$4:$AQ$55,2,FALSE))*IF('19.12'!$AK69="是",'19.12'!$BB$4,'19.12'!$BB$3))</f>
        <v>0</v>
      </c>
      <c r="V69" s="4">
        <f>IF(ISNUMBER(SEARCH("营",'19.12'!AD69)),(-$Y69+50*IF('19.12'!$AK69="是",'19.12'!$BB$4,'19.12'!$BB$3)),(VLOOKUP('19.12'!AD69,'19.12'!$AO$4:$AQ$55,2,FALSE))*IF('19.12'!$AK69="是",'19.12'!$BB$4,'19.12'!$BB$3))</f>
        <v>0</v>
      </c>
      <c r="W69" s="4">
        <f>IF(ISNUMBER(SEARCH("营",'19.12'!AE69)),(-$Y69+50*IF('19.12'!$AK69="是",'19.12'!$BB$4,'19.12'!$BB$3)),(VLOOKUP('19.12'!AE69,'19.12'!$AO$4:$AQ$55,2,FALSE))*IF('19.12'!$AK69="是",'19.12'!$BB$4,'19.12'!$BB$3))</f>
        <v>0</v>
      </c>
      <c r="X69" s="4">
        <f>IF(ISNUMBER(SEARCH("营",'19.12'!AF69)),(-$Y69+50*IF('19.12'!$AK69="是",'19.12'!$BB$4,'19.12'!$BB$3)),(VLOOKUP('19.12'!AF69,'19.12'!$AO$4:$AQ$55,2,FALSE))*IF('19.12'!$AK69="是",'19.12'!$BB$4,'19.12'!$BB$3))</f>
        <v>0</v>
      </c>
      <c r="Y69" s="18">
        <v>100</v>
      </c>
      <c r="Z69" s="15">
        <v>45795</v>
      </c>
    </row>
    <row r="70" spans="1:26">
      <c r="A70" s="4">
        <f>IF(ISNUMBER(SEARCH("营",'19.12'!I70)),(-$Y70+50*IF('19.12'!$AK70="是",'19.12'!$BB$4,'19.12'!$BB$3)),(VLOOKUP('19.12'!I70,'19.12'!$AO$4:$AQ$55,2,FALSE))*IF('19.12'!$AK70="是",'19.12'!$BB$4,'19.12'!$BB$3))</f>
        <v>0</v>
      </c>
      <c r="B70" s="4">
        <f>IF(ISNUMBER(SEARCH("营",'19.12'!J70)),(-$Y70+50*IF('19.12'!$AK70="是",'19.12'!$BB$4,'19.12'!$BB$3)),(VLOOKUP('19.12'!J70,'19.12'!$AO$4:$AQ$55,2,FALSE))*IF('19.12'!$AK70="是",'19.12'!$BB$4,'19.12'!$BB$3))</f>
        <v>0</v>
      </c>
      <c r="C70" s="4">
        <f>IF(ISNUMBER(SEARCH("营",'19.12'!K70)),(-$Y70+50*IF('19.12'!$AK70="是",'19.12'!$BB$4,'19.12'!$BB$3)),(VLOOKUP('19.12'!K70,'19.12'!$AO$4:$AQ$55,2,FALSE))*IF('19.12'!$AK70="是",'19.12'!$BB$4,'19.12'!$BB$3))</f>
        <v>0</v>
      </c>
      <c r="D70" s="4">
        <f>IF(ISNUMBER(SEARCH("营",'19.12'!L70)),(-$Y70+50*IF('19.12'!$AK70="是",'19.12'!$BB$4,'19.12'!$BB$3)),(VLOOKUP('19.12'!L70,'19.12'!$AO$4:$AQ$55,2,FALSE))*IF('19.12'!$AK70="是",'19.12'!$BB$4,'19.12'!$BB$3))</f>
        <v>0</v>
      </c>
      <c r="E70" s="4">
        <f>IF(ISNUMBER(SEARCH("营",'19.12'!M70)),(-$Y70+50*IF('19.12'!$AK70="是",'19.12'!$BB$4,'19.12'!$BB$3)),(VLOOKUP('19.12'!M70,'19.12'!$AO$4:$AQ$55,2,FALSE))*IF('19.12'!$AK70="是",'19.12'!$BB$4,'19.12'!$BB$3))</f>
        <v>0</v>
      </c>
      <c r="F70" s="4">
        <f>IF(ISNUMBER(SEARCH("营",'19.12'!N70)),(-$Y70+50*IF('19.12'!$AK70="是",'19.12'!$BB$4,'19.12'!$BB$3)),(VLOOKUP('19.12'!N70,'19.12'!$AO$4:$AQ$55,2,FALSE))*IF('19.12'!$AK70="是",'19.12'!$BB$4,'19.12'!$BB$3))</f>
        <v>0</v>
      </c>
      <c r="G70" s="4">
        <f>IF(ISNUMBER(SEARCH("营",'19.12'!O70)),(-$Y70+50*IF('19.12'!$AK70="是",'19.12'!$BB$4,'19.12'!$BB$3)),(VLOOKUP('19.12'!O70,'19.12'!$AO$4:$AQ$55,2,FALSE))*IF('19.12'!$AK70="是",'19.12'!$BB$4,'19.12'!$BB$3))</f>
        <v>0</v>
      </c>
      <c r="H70" s="4">
        <f>IF(ISNUMBER(SEARCH("营",'19.12'!P70)),(-$Y70+50*IF('19.12'!$AK70="是",'19.12'!$BB$4,'19.12'!$BB$3)),(VLOOKUP('19.12'!P70,'19.12'!$AO$4:$AQ$55,2,FALSE))*IF('19.12'!$AK70="是",'19.12'!$BB$4,'19.12'!$BB$3))</f>
        <v>0</v>
      </c>
      <c r="I70" s="4">
        <f>IF(ISNUMBER(SEARCH("营",'19.12'!Q70)),(-$Y70+50*IF('19.12'!$AK70="是",'19.12'!$BB$4,'19.12'!$BB$3)),(VLOOKUP('19.12'!Q70,'19.12'!$AO$4:$AQ$55,2,FALSE))*IF('19.12'!$AK70="是",'19.12'!$BB$4,'19.12'!$BB$3))</f>
        <v>0</v>
      </c>
      <c r="J70" s="4">
        <f>IF(ISNUMBER(SEARCH("营",'19.12'!R70)),(-$Y70+50*IF('19.12'!$AK70="是",'19.12'!$BB$4,'19.12'!$BB$3)),(VLOOKUP('19.12'!R70,'19.12'!$AO$4:$AQ$55,2,FALSE))*IF('19.12'!$AK70="是",'19.12'!$BB$4,'19.12'!$BB$3))</f>
        <v>0</v>
      </c>
      <c r="K70" s="4">
        <f>IF(ISNUMBER(SEARCH("营",'19.12'!S70)),(-$Y70+50*IF('19.12'!$AK70="是",'19.12'!$BB$4,'19.12'!$BB$3)),(VLOOKUP('19.12'!S70,'19.12'!$AO$4:$AQ$55,2,FALSE))*IF('19.12'!$AK70="是",'19.12'!$BB$4,'19.12'!$BB$3))</f>
        <v>0</v>
      </c>
      <c r="L70" s="4">
        <f>IF(ISNUMBER(SEARCH("营",'19.12'!T70)),(-$Y70+50*IF('19.12'!$AK70="是",'19.12'!$BB$4,'19.12'!$BB$3)),(VLOOKUP('19.12'!T70,'19.12'!$AO$4:$AQ$55,2,FALSE))*IF('19.12'!$AK70="是",'19.12'!$BB$4,'19.12'!$BB$3))</f>
        <v>0</v>
      </c>
      <c r="M70" s="4">
        <f>IF(ISNUMBER(SEARCH("营",'19.12'!U70)),(-$Y70+50*IF('19.12'!$AK70="是",'19.12'!$BB$4,'19.12'!$BB$3)),(VLOOKUP('19.12'!U70,'19.12'!$AO$4:$AQ$55,2,FALSE))*IF('19.12'!$AK70="是",'19.12'!$BB$4,'19.12'!$BB$3))</f>
        <v>0</v>
      </c>
      <c r="N70" s="4">
        <f>IF(ISNUMBER(SEARCH("营",'19.12'!V70)),(-$Y70+50*IF('19.12'!$AK70="是",'19.12'!$BB$4,'19.12'!$BB$3)),(VLOOKUP('19.12'!V70,'19.12'!$AO$4:$AQ$55,2,FALSE))*IF('19.12'!$AK70="是",'19.12'!$BB$4,'19.12'!$BB$3))</f>
        <v>0</v>
      </c>
      <c r="O70" s="4">
        <f>IF(ISNUMBER(SEARCH("营",'19.12'!W70)),(-$Y70+50*IF('19.12'!$AK70="是",'19.12'!$BB$4,'19.12'!$BB$3)),(VLOOKUP('19.12'!W70,'19.12'!$AO$4:$AQ$55,2,FALSE))*IF('19.12'!$AK70="是",'19.12'!$BB$4,'19.12'!$BB$3))</f>
        <v>0</v>
      </c>
      <c r="P70" s="4">
        <f>IF(ISNUMBER(SEARCH("营",'19.12'!X70)),(-$Y70+50*IF('19.12'!$AK70="是",'19.12'!$BB$4,'19.12'!$BB$3)),(VLOOKUP('19.12'!X70,'19.12'!$AO$4:$AQ$55,2,FALSE))*IF('19.12'!$AK70="是",'19.12'!$BB$4,'19.12'!$BB$3))</f>
        <v>0</v>
      </c>
      <c r="Q70" s="4">
        <f>IF(ISNUMBER(SEARCH("营",'19.12'!Y70)),(-$Y70+50*IF('19.12'!$AK70="是",'19.12'!$BB$4,'19.12'!$BB$3)),(VLOOKUP('19.12'!Y70,'19.12'!$AO$4:$AQ$55,2,FALSE))*IF('19.12'!$AK70="是",'19.12'!$BB$4,'19.12'!$BB$3))</f>
        <v>0</v>
      </c>
      <c r="R70" s="4">
        <f>IF(ISNUMBER(SEARCH("营",'19.12'!Z70)),(-$Y70+50*IF('19.12'!$AK70="是",'19.12'!$BB$4,'19.12'!$BB$3)),(VLOOKUP('19.12'!Z70,'19.12'!$AO$4:$AQ$55,2,FALSE))*IF('19.12'!$AK70="是",'19.12'!$BB$4,'19.12'!$BB$3))</f>
        <v>0</v>
      </c>
      <c r="S70" s="4">
        <f>IF(ISNUMBER(SEARCH("营",'19.12'!AA70)),(-$Y70+50*IF('19.12'!$AK70="是",'19.12'!$BB$4,'19.12'!$BB$3)),(VLOOKUP('19.12'!AA70,'19.12'!$AO$4:$AQ$55,2,FALSE))*IF('19.12'!$AK70="是",'19.12'!$BB$4,'19.12'!$BB$3))</f>
        <v>0</v>
      </c>
      <c r="T70" s="4">
        <f>IF(ISNUMBER(SEARCH("营",'19.12'!AB70)),(-$Y70+50*IF('19.12'!$AK70="是",'19.12'!$BB$4,'19.12'!$BB$3)),(VLOOKUP('19.12'!AB70,'19.12'!$AO$4:$AQ$55,2,FALSE))*IF('19.12'!$AK70="是",'19.12'!$BB$4,'19.12'!$BB$3))</f>
        <v>0</v>
      </c>
      <c r="U70" s="4">
        <f>IF(ISNUMBER(SEARCH("营",'19.12'!AC70)),(-$Y70+50*IF('19.12'!$AK70="是",'19.12'!$BB$4,'19.12'!$BB$3)),(VLOOKUP('19.12'!AC70,'19.12'!$AO$4:$AQ$55,2,FALSE))*IF('19.12'!$AK70="是",'19.12'!$BB$4,'19.12'!$BB$3))</f>
        <v>0</v>
      </c>
      <c r="V70" s="4">
        <f>IF(ISNUMBER(SEARCH("营",'19.12'!AD70)),(-$Y70+50*IF('19.12'!$AK70="是",'19.12'!$BB$4,'19.12'!$BB$3)),(VLOOKUP('19.12'!AD70,'19.12'!$AO$4:$AQ$55,2,FALSE))*IF('19.12'!$AK70="是",'19.12'!$BB$4,'19.12'!$BB$3))</f>
        <v>0</v>
      </c>
      <c r="W70" s="4">
        <f>IF(ISNUMBER(SEARCH("营",'19.12'!AE70)),(-$Y70+50*IF('19.12'!$AK70="是",'19.12'!$BB$4,'19.12'!$BB$3)),(VLOOKUP('19.12'!AE70,'19.12'!$AO$4:$AQ$55,2,FALSE))*IF('19.12'!$AK70="是",'19.12'!$BB$4,'19.12'!$BB$3))</f>
        <v>0</v>
      </c>
      <c r="X70" s="4">
        <f>IF(ISNUMBER(SEARCH("营",'19.12'!AF70)),(-$Y70+50*IF('19.12'!$AK70="是",'19.12'!$BB$4,'19.12'!$BB$3)),(VLOOKUP('19.12'!AF70,'19.12'!$AO$4:$AQ$55,2,FALSE))*IF('19.12'!$AK70="是",'19.12'!$BB$4,'19.12'!$BB$3))</f>
        <v>0</v>
      </c>
      <c r="Y70" s="18">
        <v>100</v>
      </c>
      <c r="Z70" s="15">
        <v>45796</v>
      </c>
    </row>
    <row r="71" spans="1:26">
      <c r="A71" s="4">
        <f>IF(ISNUMBER(SEARCH("营",'19.12'!I71)),(-$Y71+50*IF('19.12'!$AK71="是",'19.12'!$BB$4,'19.12'!$BB$3)),(VLOOKUP('19.12'!I71,'19.12'!$AO$4:$AQ$55,2,FALSE))*IF('19.12'!$AK71="是",'19.12'!$BB$4,'19.12'!$BB$3))</f>
        <v>0</v>
      </c>
      <c r="B71" s="4">
        <f>IF(ISNUMBER(SEARCH("营",'19.12'!J71)),(-$Y71+50*IF('19.12'!$AK71="是",'19.12'!$BB$4,'19.12'!$BB$3)),(VLOOKUP('19.12'!J71,'19.12'!$AO$4:$AQ$55,2,FALSE))*IF('19.12'!$AK71="是",'19.12'!$BB$4,'19.12'!$BB$3))</f>
        <v>0</v>
      </c>
      <c r="C71" s="4">
        <f>IF(ISNUMBER(SEARCH("营",'19.12'!K71)),(-$Y71+50*IF('19.12'!$AK71="是",'19.12'!$BB$4,'19.12'!$BB$3)),(VLOOKUP('19.12'!K71,'19.12'!$AO$4:$AQ$55,2,FALSE))*IF('19.12'!$AK71="是",'19.12'!$BB$4,'19.12'!$BB$3))</f>
        <v>0</v>
      </c>
      <c r="D71" s="4">
        <f>IF(ISNUMBER(SEARCH("营",'19.12'!L71)),(-$Y71+50*IF('19.12'!$AK71="是",'19.12'!$BB$4,'19.12'!$BB$3)),(VLOOKUP('19.12'!L71,'19.12'!$AO$4:$AQ$55,2,FALSE))*IF('19.12'!$AK71="是",'19.12'!$BB$4,'19.12'!$BB$3))</f>
        <v>0</v>
      </c>
      <c r="E71" s="4">
        <f>IF(ISNUMBER(SEARCH("营",'19.12'!M71)),(-$Y71+50*IF('19.12'!$AK71="是",'19.12'!$BB$4,'19.12'!$BB$3)),(VLOOKUP('19.12'!M71,'19.12'!$AO$4:$AQ$55,2,FALSE))*IF('19.12'!$AK71="是",'19.12'!$BB$4,'19.12'!$BB$3))</f>
        <v>0</v>
      </c>
      <c r="F71" s="4">
        <f>IF(ISNUMBER(SEARCH("营",'19.12'!N71)),(-$Y71+50*IF('19.12'!$AK71="是",'19.12'!$BB$4,'19.12'!$BB$3)),(VLOOKUP('19.12'!N71,'19.12'!$AO$4:$AQ$55,2,FALSE))*IF('19.12'!$AK71="是",'19.12'!$BB$4,'19.12'!$BB$3))</f>
        <v>0</v>
      </c>
      <c r="G71" s="4">
        <f>IF(ISNUMBER(SEARCH("营",'19.12'!O71)),(-$Y71+50*IF('19.12'!$AK71="是",'19.12'!$BB$4,'19.12'!$BB$3)),(VLOOKUP('19.12'!O71,'19.12'!$AO$4:$AQ$55,2,FALSE))*IF('19.12'!$AK71="是",'19.12'!$BB$4,'19.12'!$BB$3))</f>
        <v>0</v>
      </c>
      <c r="H71" s="4">
        <f>IF(ISNUMBER(SEARCH("营",'19.12'!P71)),(-$Y71+50*IF('19.12'!$AK71="是",'19.12'!$BB$4,'19.12'!$BB$3)),(VLOOKUP('19.12'!P71,'19.12'!$AO$4:$AQ$55,2,FALSE))*IF('19.12'!$AK71="是",'19.12'!$BB$4,'19.12'!$BB$3))</f>
        <v>0</v>
      </c>
      <c r="I71" s="4">
        <f>IF(ISNUMBER(SEARCH("营",'19.12'!Q71)),(-$Y71+50*IF('19.12'!$AK71="是",'19.12'!$BB$4,'19.12'!$BB$3)),(VLOOKUP('19.12'!Q71,'19.12'!$AO$4:$AQ$55,2,FALSE))*IF('19.12'!$AK71="是",'19.12'!$BB$4,'19.12'!$BB$3))</f>
        <v>0</v>
      </c>
      <c r="J71" s="4">
        <f>IF(ISNUMBER(SEARCH("营",'19.12'!R71)),(-$Y71+50*IF('19.12'!$AK71="是",'19.12'!$BB$4,'19.12'!$BB$3)),(VLOOKUP('19.12'!R71,'19.12'!$AO$4:$AQ$55,2,FALSE))*IF('19.12'!$AK71="是",'19.12'!$BB$4,'19.12'!$BB$3))</f>
        <v>0</v>
      </c>
      <c r="K71" s="4">
        <f>IF(ISNUMBER(SEARCH("营",'19.12'!S71)),(-$Y71+50*IF('19.12'!$AK71="是",'19.12'!$BB$4,'19.12'!$BB$3)),(VLOOKUP('19.12'!S71,'19.12'!$AO$4:$AQ$55,2,FALSE))*IF('19.12'!$AK71="是",'19.12'!$BB$4,'19.12'!$BB$3))</f>
        <v>0</v>
      </c>
      <c r="L71" s="4">
        <f>IF(ISNUMBER(SEARCH("营",'19.12'!T71)),(-$Y71+50*IF('19.12'!$AK71="是",'19.12'!$BB$4,'19.12'!$BB$3)),(VLOOKUP('19.12'!T71,'19.12'!$AO$4:$AQ$55,2,FALSE))*IF('19.12'!$AK71="是",'19.12'!$BB$4,'19.12'!$BB$3))</f>
        <v>0</v>
      </c>
      <c r="M71" s="4">
        <f>IF(ISNUMBER(SEARCH("营",'19.12'!U71)),(-$Y71+50*IF('19.12'!$AK71="是",'19.12'!$BB$4,'19.12'!$BB$3)),(VLOOKUP('19.12'!U71,'19.12'!$AO$4:$AQ$55,2,FALSE))*IF('19.12'!$AK71="是",'19.12'!$BB$4,'19.12'!$BB$3))</f>
        <v>0</v>
      </c>
      <c r="N71" s="4">
        <f>IF(ISNUMBER(SEARCH("营",'19.12'!V71)),(-$Y71+50*IF('19.12'!$AK71="是",'19.12'!$BB$4,'19.12'!$BB$3)),(VLOOKUP('19.12'!V71,'19.12'!$AO$4:$AQ$55,2,FALSE))*IF('19.12'!$AK71="是",'19.12'!$BB$4,'19.12'!$BB$3))</f>
        <v>0</v>
      </c>
      <c r="O71" s="4">
        <f>IF(ISNUMBER(SEARCH("营",'19.12'!W71)),(-$Y71+50*IF('19.12'!$AK71="是",'19.12'!$BB$4,'19.12'!$BB$3)),(VLOOKUP('19.12'!W71,'19.12'!$AO$4:$AQ$55,2,FALSE))*IF('19.12'!$AK71="是",'19.12'!$BB$4,'19.12'!$BB$3))</f>
        <v>0</v>
      </c>
      <c r="P71" s="4">
        <f>IF(ISNUMBER(SEARCH("营",'19.12'!X71)),(-$Y71+50*IF('19.12'!$AK71="是",'19.12'!$BB$4,'19.12'!$BB$3)),(VLOOKUP('19.12'!X71,'19.12'!$AO$4:$AQ$55,2,FALSE))*IF('19.12'!$AK71="是",'19.12'!$BB$4,'19.12'!$BB$3))</f>
        <v>0</v>
      </c>
      <c r="Q71" s="4">
        <f>IF(ISNUMBER(SEARCH("营",'19.12'!Y71)),(-$Y71+50*IF('19.12'!$AK71="是",'19.12'!$BB$4,'19.12'!$BB$3)),(VLOOKUP('19.12'!Y71,'19.12'!$AO$4:$AQ$55,2,FALSE))*IF('19.12'!$AK71="是",'19.12'!$BB$4,'19.12'!$BB$3))</f>
        <v>0</v>
      </c>
      <c r="R71" s="4">
        <f>IF(ISNUMBER(SEARCH("营",'19.12'!Z71)),(-$Y71+50*IF('19.12'!$AK71="是",'19.12'!$BB$4,'19.12'!$BB$3)),(VLOOKUP('19.12'!Z71,'19.12'!$AO$4:$AQ$55,2,FALSE))*IF('19.12'!$AK71="是",'19.12'!$BB$4,'19.12'!$BB$3))</f>
        <v>0</v>
      </c>
      <c r="S71" s="4">
        <f>IF(ISNUMBER(SEARCH("营",'19.12'!AA71)),(-$Y71+50*IF('19.12'!$AK71="是",'19.12'!$BB$4,'19.12'!$BB$3)),(VLOOKUP('19.12'!AA71,'19.12'!$AO$4:$AQ$55,2,FALSE))*IF('19.12'!$AK71="是",'19.12'!$BB$4,'19.12'!$BB$3))</f>
        <v>0</v>
      </c>
      <c r="T71" s="4">
        <f>IF(ISNUMBER(SEARCH("营",'19.12'!AB71)),(-$Y71+50*IF('19.12'!$AK71="是",'19.12'!$BB$4,'19.12'!$BB$3)),(VLOOKUP('19.12'!AB71,'19.12'!$AO$4:$AQ$55,2,FALSE))*IF('19.12'!$AK71="是",'19.12'!$BB$4,'19.12'!$BB$3))</f>
        <v>0</v>
      </c>
      <c r="U71" s="4">
        <f>IF(ISNUMBER(SEARCH("营",'19.12'!AC71)),(-$Y71+50*IF('19.12'!$AK71="是",'19.12'!$BB$4,'19.12'!$BB$3)),(VLOOKUP('19.12'!AC71,'19.12'!$AO$4:$AQ$55,2,FALSE))*IF('19.12'!$AK71="是",'19.12'!$BB$4,'19.12'!$BB$3))</f>
        <v>0</v>
      </c>
      <c r="V71" s="4">
        <f>IF(ISNUMBER(SEARCH("营",'19.12'!AD71)),(-$Y71+50*IF('19.12'!$AK71="是",'19.12'!$BB$4,'19.12'!$BB$3)),(VLOOKUP('19.12'!AD71,'19.12'!$AO$4:$AQ$55,2,FALSE))*IF('19.12'!$AK71="是",'19.12'!$BB$4,'19.12'!$BB$3))</f>
        <v>0</v>
      </c>
      <c r="W71" s="4">
        <f>IF(ISNUMBER(SEARCH("营",'19.12'!AE71)),(-$Y71+50*IF('19.12'!$AK71="是",'19.12'!$BB$4,'19.12'!$BB$3)),(VLOOKUP('19.12'!AE71,'19.12'!$AO$4:$AQ$55,2,FALSE))*IF('19.12'!$AK71="是",'19.12'!$BB$4,'19.12'!$BB$3))</f>
        <v>0</v>
      </c>
      <c r="X71" s="4">
        <f>IF(ISNUMBER(SEARCH("营",'19.12'!AF71)),(-$Y71+50*IF('19.12'!$AK71="是",'19.12'!$BB$4,'19.12'!$BB$3)),(VLOOKUP('19.12'!AF71,'19.12'!$AO$4:$AQ$55,2,FALSE))*IF('19.12'!$AK71="是",'19.12'!$BB$4,'19.12'!$BB$3))</f>
        <v>0</v>
      </c>
      <c r="Y71" s="18">
        <v>100</v>
      </c>
      <c r="Z71" s="15">
        <v>45797</v>
      </c>
    </row>
    <row r="72" spans="1:26">
      <c r="A72" s="4">
        <f>IF(ISNUMBER(SEARCH("营",'19.12'!I72)),(-$Y72+50*IF('19.12'!$AK72="是",'19.12'!$BB$4,'19.12'!$BB$3)),(VLOOKUP('19.12'!I72,'19.12'!$AO$4:$AQ$55,2,FALSE))*IF('19.12'!$AK72="是",'19.12'!$BB$4,'19.12'!$BB$3))</f>
        <v>0</v>
      </c>
      <c r="B72" s="4">
        <f>IF(ISNUMBER(SEARCH("营",'19.12'!J72)),(-$Y72+50*IF('19.12'!$AK72="是",'19.12'!$BB$4,'19.12'!$BB$3)),(VLOOKUP('19.12'!J72,'19.12'!$AO$4:$AQ$55,2,FALSE))*IF('19.12'!$AK72="是",'19.12'!$BB$4,'19.12'!$BB$3))</f>
        <v>0</v>
      </c>
      <c r="C72" s="4">
        <f>IF(ISNUMBER(SEARCH("营",'19.12'!K72)),(-$Y72+50*IF('19.12'!$AK72="是",'19.12'!$BB$4,'19.12'!$BB$3)),(VLOOKUP('19.12'!K72,'19.12'!$AO$4:$AQ$55,2,FALSE))*IF('19.12'!$AK72="是",'19.12'!$BB$4,'19.12'!$BB$3))</f>
        <v>0</v>
      </c>
      <c r="D72" s="4">
        <f>IF(ISNUMBER(SEARCH("营",'19.12'!L72)),(-$Y72+50*IF('19.12'!$AK72="是",'19.12'!$BB$4,'19.12'!$BB$3)),(VLOOKUP('19.12'!L72,'19.12'!$AO$4:$AQ$55,2,FALSE))*IF('19.12'!$AK72="是",'19.12'!$BB$4,'19.12'!$BB$3))</f>
        <v>0</v>
      </c>
      <c r="E72" s="4">
        <f>IF(ISNUMBER(SEARCH("营",'19.12'!M72)),(-$Y72+50*IF('19.12'!$AK72="是",'19.12'!$BB$4,'19.12'!$BB$3)),(VLOOKUP('19.12'!M72,'19.12'!$AO$4:$AQ$55,2,FALSE))*IF('19.12'!$AK72="是",'19.12'!$BB$4,'19.12'!$BB$3))</f>
        <v>0</v>
      </c>
      <c r="F72" s="4">
        <f>IF(ISNUMBER(SEARCH("营",'19.12'!N72)),(-$Y72+50*IF('19.12'!$AK72="是",'19.12'!$BB$4,'19.12'!$BB$3)),(VLOOKUP('19.12'!N72,'19.12'!$AO$4:$AQ$55,2,FALSE))*IF('19.12'!$AK72="是",'19.12'!$BB$4,'19.12'!$BB$3))</f>
        <v>0</v>
      </c>
      <c r="G72" s="4">
        <f>IF(ISNUMBER(SEARCH("营",'19.12'!O72)),(-$Y72+50*IF('19.12'!$AK72="是",'19.12'!$BB$4,'19.12'!$BB$3)),(VLOOKUP('19.12'!O72,'19.12'!$AO$4:$AQ$55,2,FALSE))*IF('19.12'!$AK72="是",'19.12'!$BB$4,'19.12'!$BB$3))</f>
        <v>0</v>
      </c>
      <c r="H72" s="4">
        <f>IF(ISNUMBER(SEARCH("营",'19.12'!P72)),(-$Y72+50*IF('19.12'!$AK72="是",'19.12'!$BB$4,'19.12'!$BB$3)),(VLOOKUP('19.12'!P72,'19.12'!$AO$4:$AQ$55,2,FALSE))*IF('19.12'!$AK72="是",'19.12'!$BB$4,'19.12'!$BB$3))</f>
        <v>0</v>
      </c>
      <c r="I72" s="4">
        <f>IF(ISNUMBER(SEARCH("营",'19.12'!Q72)),(-$Y72+50*IF('19.12'!$AK72="是",'19.12'!$BB$4,'19.12'!$BB$3)),(VLOOKUP('19.12'!Q72,'19.12'!$AO$4:$AQ$55,2,FALSE))*IF('19.12'!$AK72="是",'19.12'!$BB$4,'19.12'!$BB$3))</f>
        <v>0</v>
      </c>
      <c r="J72" s="4">
        <f>IF(ISNUMBER(SEARCH("营",'19.12'!R72)),(-$Y72+50*IF('19.12'!$AK72="是",'19.12'!$BB$4,'19.12'!$BB$3)),(VLOOKUP('19.12'!R72,'19.12'!$AO$4:$AQ$55,2,FALSE))*IF('19.12'!$AK72="是",'19.12'!$BB$4,'19.12'!$BB$3))</f>
        <v>0</v>
      </c>
      <c r="K72" s="4">
        <f>IF(ISNUMBER(SEARCH("营",'19.12'!S72)),(-$Y72+50*IF('19.12'!$AK72="是",'19.12'!$BB$4,'19.12'!$BB$3)),(VLOOKUP('19.12'!S72,'19.12'!$AO$4:$AQ$55,2,FALSE))*IF('19.12'!$AK72="是",'19.12'!$BB$4,'19.12'!$BB$3))</f>
        <v>0</v>
      </c>
      <c r="L72" s="4">
        <f>IF(ISNUMBER(SEARCH("营",'19.12'!T72)),(-$Y72+50*IF('19.12'!$AK72="是",'19.12'!$BB$4,'19.12'!$BB$3)),(VLOOKUP('19.12'!T72,'19.12'!$AO$4:$AQ$55,2,FALSE))*IF('19.12'!$AK72="是",'19.12'!$BB$4,'19.12'!$BB$3))</f>
        <v>0</v>
      </c>
      <c r="M72" s="4">
        <f>IF(ISNUMBER(SEARCH("营",'19.12'!U72)),(-$Y72+50*IF('19.12'!$AK72="是",'19.12'!$BB$4,'19.12'!$BB$3)),(VLOOKUP('19.12'!U72,'19.12'!$AO$4:$AQ$55,2,FALSE))*IF('19.12'!$AK72="是",'19.12'!$BB$4,'19.12'!$BB$3))</f>
        <v>0</v>
      </c>
      <c r="N72" s="4">
        <f>IF(ISNUMBER(SEARCH("营",'19.12'!V72)),(-$Y72+50*IF('19.12'!$AK72="是",'19.12'!$BB$4,'19.12'!$BB$3)),(VLOOKUP('19.12'!V72,'19.12'!$AO$4:$AQ$55,2,FALSE))*IF('19.12'!$AK72="是",'19.12'!$BB$4,'19.12'!$BB$3))</f>
        <v>0</v>
      </c>
      <c r="O72" s="4">
        <f>IF(ISNUMBER(SEARCH("营",'19.12'!W72)),(-$Y72+50*IF('19.12'!$AK72="是",'19.12'!$BB$4,'19.12'!$BB$3)),(VLOOKUP('19.12'!W72,'19.12'!$AO$4:$AQ$55,2,FALSE))*IF('19.12'!$AK72="是",'19.12'!$BB$4,'19.12'!$BB$3))</f>
        <v>0</v>
      </c>
      <c r="P72" s="4">
        <f>IF(ISNUMBER(SEARCH("营",'19.12'!X72)),(-$Y72+50*IF('19.12'!$AK72="是",'19.12'!$BB$4,'19.12'!$BB$3)),(VLOOKUP('19.12'!X72,'19.12'!$AO$4:$AQ$55,2,FALSE))*IF('19.12'!$AK72="是",'19.12'!$BB$4,'19.12'!$BB$3))</f>
        <v>0</v>
      </c>
      <c r="Q72" s="4">
        <f>IF(ISNUMBER(SEARCH("营",'19.12'!Y72)),(-$Y72+50*IF('19.12'!$AK72="是",'19.12'!$BB$4,'19.12'!$BB$3)),(VLOOKUP('19.12'!Y72,'19.12'!$AO$4:$AQ$55,2,FALSE))*IF('19.12'!$AK72="是",'19.12'!$BB$4,'19.12'!$BB$3))</f>
        <v>0</v>
      </c>
      <c r="R72" s="4">
        <f>IF(ISNUMBER(SEARCH("营",'19.12'!Z72)),(-$Y72+50*IF('19.12'!$AK72="是",'19.12'!$BB$4,'19.12'!$BB$3)),(VLOOKUP('19.12'!Z72,'19.12'!$AO$4:$AQ$55,2,FALSE))*IF('19.12'!$AK72="是",'19.12'!$BB$4,'19.12'!$BB$3))</f>
        <v>0</v>
      </c>
      <c r="S72" s="4">
        <f>IF(ISNUMBER(SEARCH("营",'19.12'!AA72)),(-$Y72+50*IF('19.12'!$AK72="是",'19.12'!$BB$4,'19.12'!$BB$3)),(VLOOKUP('19.12'!AA72,'19.12'!$AO$4:$AQ$55,2,FALSE))*IF('19.12'!$AK72="是",'19.12'!$BB$4,'19.12'!$BB$3))</f>
        <v>0</v>
      </c>
      <c r="T72" s="4">
        <f>IF(ISNUMBER(SEARCH("营",'19.12'!AB72)),(-$Y72+50*IF('19.12'!$AK72="是",'19.12'!$BB$4,'19.12'!$BB$3)),(VLOOKUP('19.12'!AB72,'19.12'!$AO$4:$AQ$55,2,FALSE))*IF('19.12'!$AK72="是",'19.12'!$BB$4,'19.12'!$BB$3))</f>
        <v>0</v>
      </c>
      <c r="U72" s="4">
        <f>IF(ISNUMBER(SEARCH("营",'19.12'!AC72)),(-$Y72+50*IF('19.12'!$AK72="是",'19.12'!$BB$4,'19.12'!$BB$3)),(VLOOKUP('19.12'!AC72,'19.12'!$AO$4:$AQ$55,2,FALSE))*IF('19.12'!$AK72="是",'19.12'!$BB$4,'19.12'!$BB$3))</f>
        <v>0</v>
      </c>
      <c r="V72" s="4">
        <f>IF(ISNUMBER(SEARCH("营",'19.12'!AD72)),(-$Y72+50*IF('19.12'!$AK72="是",'19.12'!$BB$4,'19.12'!$BB$3)),(VLOOKUP('19.12'!AD72,'19.12'!$AO$4:$AQ$55,2,FALSE))*IF('19.12'!$AK72="是",'19.12'!$BB$4,'19.12'!$BB$3))</f>
        <v>0</v>
      </c>
      <c r="W72" s="4">
        <f>IF(ISNUMBER(SEARCH("营",'19.12'!AE72)),(-$Y72+50*IF('19.12'!$AK72="是",'19.12'!$BB$4,'19.12'!$BB$3)),(VLOOKUP('19.12'!AE72,'19.12'!$AO$4:$AQ$55,2,FALSE))*IF('19.12'!$AK72="是",'19.12'!$BB$4,'19.12'!$BB$3))</f>
        <v>0</v>
      </c>
      <c r="X72" s="4">
        <f>IF(ISNUMBER(SEARCH("营",'19.12'!AF72)),(-$Y72+50*IF('19.12'!$AK72="是",'19.12'!$BB$4,'19.12'!$BB$3)),(VLOOKUP('19.12'!AF72,'19.12'!$AO$4:$AQ$55,2,FALSE))*IF('19.12'!$AK72="是",'19.12'!$BB$4,'19.12'!$BB$3))</f>
        <v>0</v>
      </c>
      <c r="Y72" s="18">
        <v>100</v>
      </c>
      <c r="Z72" s="15">
        <v>45798</v>
      </c>
    </row>
    <row r="73" spans="1:26">
      <c r="A73" s="4">
        <f>IF(ISNUMBER(SEARCH("营",'19.12'!I73)),(-$Y73+50*IF('19.12'!$AK73="是",'19.12'!$BB$4,'19.12'!$BB$3)),(VLOOKUP('19.12'!I73,'19.12'!$AO$4:$AQ$55,2,FALSE))*IF('19.12'!$AK73="是",'19.12'!$BB$4,'19.12'!$BB$3))</f>
        <v>0</v>
      </c>
      <c r="B73" s="4">
        <f>IF(ISNUMBER(SEARCH("营",'19.12'!J73)),(-$Y73+50*IF('19.12'!$AK73="是",'19.12'!$BB$4,'19.12'!$BB$3)),(VLOOKUP('19.12'!J73,'19.12'!$AO$4:$AQ$55,2,FALSE))*IF('19.12'!$AK73="是",'19.12'!$BB$4,'19.12'!$BB$3))</f>
        <v>0</v>
      </c>
      <c r="C73" s="4">
        <f>IF(ISNUMBER(SEARCH("营",'19.12'!K73)),(-$Y73+50*IF('19.12'!$AK73="是",'19.12'!$BB$4,'19.12'!$BB$3)),(VLOOKUP('19.12'!K73,'19.12'!$AO$4:$AQ$55,2,FALSE))*IF('19.12'!$AK73="是",'19.12'!$BB$4,'19.12'!$BB$3))</f>
        <v>0</v>
      </c>
      <c r="D73" s="4">
        <f>IF(ISNUMBER(SEARCH("营",'19.12'!L73)),(-$Y73+50*IF('19.12'!$AK73="是",'19.12'!$BB$4,'19.12'!$BB$3)),(VLOOKUP('19.12'!L73,'19.12'!$AO$4:$AQ$55,2,FALSE))*IF('19.12'!$AK73="是",'19.12'!$BB$4,'19.12'!$BB$3))</f>
        <v>0</v>
      </c>
      <c r="E73" s="4">
        <f>IF(ISNUMBER(SEARCH("营",'19.12'!M73)),(-$Y73+50*IF('19.12'!$AK73="是",'19.12'!$BB$4,'19.12'!$BB$3)),(VLOOKUP('19.12'!M73,'19.12'!$AO$4:$AQ$55,2,FALSE))*IF('19.12'!$AK73="是",'19.12'!$BB$4,'19.12'!$BB$3))</f>
        <v>0</v>
      </c>
      <c r="F73" s="4">
        <f>IF(ISNUMBER(SEARCH("营",'19.12'!N73)),(-$Y73+50*IF('19.12'!$AK73="是",'19.12'!$BB$4,'19.12'!$BB$3)),(VLOOKUP('19.12'!N73,'19.12'!$AO$4:$AQ$55,2,FALSE))*IF('19.12'!$AK73="是",'19.12'!$BB$4,'19.12'!$BB$3))</f>
        <v>0</v>
      </c>
      <c r="G73" s="4">
        <f>IF(ISNUMBER(SEARCH("营",'19.12'!O73)),(-$Y73+50*IF('19.12'!$AK73="是",'19.12'!$BB$4,'19.12'!$BB$3)),(VLOOKUP('19.12'!O73,'19.12'!$AO$4:$AQ$55,2,FALSE))*IF('19.12'!$AK73="是",'19.12'!$BB$4,'19.12'!$BB$3))</f>
        <v>0</v>
      </c>
      <c r="H73" s="4">
        <f>IF(ISNUMBER(SEARCH("营",'19.12'!P73)),(-$Y73+50*IF('19.12'!$AK73="是",'19.12'!$BB$4,'19.12'!$BB$3)),(VLOOKUP('19.12'!P73,'19.12'!$AO$4:$AQ$55,2,FALSE))*IF('19.12'!$AK73="是",'19.12'!$BB$4,'19.12'!$BB$3))</f>
        <v>0</v>
      </c>
      <c r="I73" s="4">
        <f>IF(ISNUMBER(SEARCH("营",'19.12'!Q73)),(-$Y73+50*IF('19.12'!$AK73="是",'19.12'!$BB$4,'19.12'!$BB$3)),(VLOOKUP('19.12'!Q73,'19.12'!$AO$4:$AQ$55,2,FALSE))*IF('19.12'!$AK73="是",'19.12'!$BB$4,'19.12'!$BB$3))</f>
        <v>0</v>
      </c>
      <c r="J73" s="4">
        <f>IF(ISNUMBER(SEARCH("营",'19.12'!R73)),(-$Y73+50*IF('19.12'!$AK73="是",'19.12'!$BB$4,'19.12'!$BB$3)),(VLOOKUP('19.12'!R73,'19.12'!$AO$4:$AQ$55,2,FALSE))*IF('19.12'!$AK73="是",'19.12'!$BB$4,'19.12'!$BB$3))</f>
        <v>0</v>
      </c>
      <c r="K73" s="4">
        <f>IF(ISNUMBER(SEARCH("营",'19.12'!S73)),(-$Y73+50*IF('19.12'!$AK73="是",'19.12'!$BB$4,'19.12'!$BB$3)),(VLOOKUP('19.12'!S73,'19.12'!$AO$4:$AQ$55,2,FALSE))*IF('19.12'!$AK73="是",'19.12'!$BB$4,'19.12'!$BB$3))</f>
        <v>0</v>
      </c>
      <c r="L73" s="4">
        <f>IF(ISNUMBER(SEARCH("营",'19.12'!T73)),(-$Y73+50*IF('19.12'!$AK73="是",'19.12'!$BB$4,'19.12'!$BB$3)),(VLOOKUP('19.12'!T73,'19.12'!$AO$4:$AQ$55,2,FALSE))*IF('19.12'!$AK73="是",'19.12'!$BB$4,'19.12'!$BB$3))</f>
        <v>0</v>
      </c>
      <c r="M73" s="4">
        <f>IF(ISNUMBER(SEARCH("营",'19.12'!U73)),(-$Y73+50*IF('19.12'!$AK73="是",'19.12'!$BB$4,'19.12'!$BB$3)),(VLOOKUP('19.12'!U73,'19.12'!$AO$4:$AQ$55,2,FALSE))*IF('19.12'!$AK73="是",'19.12'!$BB$4,'19.12'!$BB$3))</f>
        <v>0</v>
      </c>
      <c r="N73" s="4">
        <f>IF(ISNUMBER(SEARCH("营",'19.12'!V73)),(-$Y73+50*IF('19.12'!$AK73="是",'19.12'!$BB$4,'19.12'!$BB$3)),(VLOOKUP('19.12'!V73,'19.12'!$AO$4:$AQ$55,2,FALSE))*IF('19.12'!$AK73="是",'19.12'!$BB$4,'19.12'!$BB$3))</f>
        <v>0</v>
      </c>
      <c r="O73" s="4">
        <f>IF(ISNUMBER(SEARCH("营",'19.12'!W73)),(-$Y73+50*IF('19.12'!$AK73="是",'19.12'!$BB$4,'19.12'!$BB$3)),(VLOOKUP('19.12'!W73,'19.12'!$AO$4:$AQ$55,2,FALSE))*IF('19.12'!$AK73="是",'19.12'!$BB$4,'19.12'!$BB$3))</f>
        <v>0</v>
      </c>
      <c r="P73" s="4">
        <f>IF(ISNUMBER(SEARCH("营",'19.12'!X73)),(-$Y73+50*IF('19.12'!$AK73="是",'19.12'!$BB$4,'19.12'!$BB$3)),(VLOOKUP('19.12'!X73,'19.12'!$AO$4:$AQ$55,2,FALSE))*IF('19.12'!$AK73="是",'19.12'!$BB$4,'19.12'!$BB$3))</f>
        <v>0</v>
      </c>
      <c r="Q73" s="4">
        <f>IF(ISNUMBER(SEARCH("营",'19.12'!Y73)),(-$Y73+50*IF('19.12'!$AK73="是",'19.12'!$BB$4,'19.12'!$BB$3)),(VLOOKUP('19.12'!Y73,'19.12'!$AO$4:$AQ$55,2,FALSE))*IF('19.12'!$AK73="是",'19.12'!$BB$4,'19.12'!$BB$3))</f>
        <v>0</v>
      </c>
      <c r="R73" s="4">
        <f>IF(ISNUMBER(SEARCH("营",'19.12'!Z73)),(-$Y73+50*IF('19.12'!$AK73="是",'19.12'!$BB$4,'19.12'!$BB$3)),(VLOOKUP('19.12'!Z73,'19.12'!$AO$4:$AQ$55,2,FALSE))*IF('19.12'!$AK73="是",'19.12'!$BB$4,'19.12'!$BB$3))</f>
        <v>0</v>
      </c>
      <c r="S73" s="4">
        <f>IF(ISNUMBER(SEARCH("营",'19.12'!AA73)),(-$Y73+50*IF('19.12'!$AK73="是",'19.12'!$BB$4,'19.12'!$BB$3)),(VLOOKUP('19.12'!AA73,'19.12'!$AO$4:$AQ$55,2,FALSE))*IF('19.12'!$AK73="是",'19.12'!$BB$4,'19.12'!$BB$3))</f>
        <v>0</v>
      </c>
      <c r="T73" s="4">
        <f>IF(ISNUMBER(SEARCH("营",'19.12'!AB73)),(-$Y73+50*IF('19.12'!$AK73="是",'19.12'!$BB$4,'19.12'!$BB$3)),(VLOOKUP('19.12'!AB73,'19.12'!$AO$4:$AQ$55,2,FALSE))*IF('19.12'!$AK73="是",'19.12'!$BB$4,'19.12'!$BB$3))</f>
        <v>0</v>
      </c>
      <c r="U73" s="4">
        <f>IF(ISNUMBER(SEARCH("营",'19.12'!AC73)),(-$Y73+50*IF('19.12'!$AK73="是",'19.12'!$BB$4,'19.12'!$BB$3)),(VLOOKUP('19.12'!AC73,'19.12'!$AO$4:$AQ$55,2,FALSE))*IF('19.12'!$AK73="是",'19.12'!$BB$4,'19.12'!$BB$3))</f>
        <v>0</v>
      </c>
      <c r="V73" s="4">
        <f>IF(ISNUMBER(SEARCH("营",'19.12'!AD73)),(-$Y73+50*IF('19.12'!$AK73="是",'19.12'!$BB$4,'19.12'!$BB$3)),(VLOOKUP('19.12'!AD73,'19.12'!$AO$4:$AQ$55,2,FALSE))*IF('19.12'!$AK73="是",'19.12'!$BB$4,'19.12'!$BB$3))</f>
        <v>0</v>
      </c>
      <c r="W73" s="4">
        <f>IF(ISNUMBER(SEARCH("营",'19.12'!AE73)),(-$Y73+50*IF('19.12'!$AK73="是",'19.12'!$BB$4,'19.12'!$BB$3)),(VLOOKUP('19.12'!AE73,'19.12'!$AO$4:$AQ$55,2,FALSE))*IF('19.12'!$AK73="是",'19.12'!$BB$4,'19.12'!$BB$3))</f>
        <v>0</v>
      </c>
      <c r="X73" s="4">
        <f>IF(ISNUMBER(SEARCH("营",'19.12'!AF73)),(-$Y73+50*IF('19.12'!$AK73="是",'19.12'!$BB$4,'19.12'!$BB$3)),(VLOOKUP('19.12'!AF73,'19.12'!$AO$4:$AQ$55,2,FALSE))*IF('19.12'!$AK73="是",'19.12'!$BB$4,'19.12'!$BB$3))</f>
        <v>0</v>
      </c>
      <c r="Y73" s="18">
        <v>100</v>
      </c>
      <c r="Z73" s="15">
        <v>45799</v>
      </c>
    </row>
    <row r="74" spans="1:26">
      <c r="A74" s="4">
        <f>IF(ISNUMBER(SEARCH("营",'19.12'!I74)),(-$Y74+50*IF('19.12'!$AK74="是",'19.12'!$BB$4,'19.12'!$BB$3)),(VLOOKUP('19.12'!I74,'19.12'!$AO$4:$AQ$55,2,FALSE))*IF('19.12'!$AK74="是",'19.12'!$BB$4,'19.12'!$BB$3))</f>
        <v>0</v>
      </c>
      <c r="B74" s="4">
        <f>IF(ISNUMBER(SEARCH("营",'19.12'!J74)),(-$Y74+50*IF('19.12'!$AK74="是",'19.12'!$BB$4,'19.12'!$BB$3)),(VLOOKUP('19.12'!J74,'19.12'!$AO$4:$AQ$55,2,FALSE))*IF('19.12'!$AK74="是",'19.12'!$BB$4,'19.12'!$BB$3))</f>
        <v>0</v>
      </c>
      <c r="C74" s="4">
        <f>IF(ISNUMBER(SEARCH("营",'19.12'!K74)),(-$Y74+50*IF('19.12'!$AK74="是",'19.12'!$BB$4,'19.12'!$BB$3)),(VLOOKUP('19.12'!K74,'19.12'!$AO$4:$AQ$55,2,FALSE))*IF('19.12'!$AK74="是",'19.12'!$BB$4,'19.12'!$BB$3))</f>
        <v>0</v>
      </c>
      <c r="D74" s="4">
        <f>IF(ISNUMBER(SEARCH("营",'19.12'!L74)),(-$Y74+50*IF('19.12'!$AK74="是",'19.12'!$BB$4,'19.12'!$BB$3)),(VLOOKUP('19.12'!L74,'19.12'!$AO$4:$AQ$55,2,FALSE))*IF('19.12'!$AK74="是",'19.12'!$BB$4,'19.12'!$BB$3))</f>
        <v>0</v>
      </c>
      <c r="E74" s="4">
        <f>IF(ISNUMBER(SEARCH("营",'19.12'!M74)),(-$Y74+50*IF('19.12'!$AK74="是",'19.12'!$BB$4,'19.12'!$BB$3)),(VLOOKUP('19.12'!M74,'19.12'!$AO$4:$AQ$55,2,FALSE))*IF('19.12'!$AK74="是",'19.12'!$BB$4,'19.12'!$BB$3))</f>
        <v>0</v>
      </c>
      <c r="F74" s="4">
        <f>IF(ISNUMBER(SEARCH("营",'19.12'!N74)),(-$Y74+50*IF('19.12'!$AK74="是",'19.12'!$BB$4,'19.12'!$BB$3)),(VLOOKUP('19.12'!N74,'19.12'!$AO$4:$AQ$55,2,FALSE))*IF('19.12'!$AK74="是",'19.12'!$BB$4,'19.12'!$BB$3))</f>
        <v>0</v>
      </c>
      <c r="G74" s="4">
        <f>IF(ISNUMBER(SEARCH("营",'19.12'!O74)),(-$Y74+50*IF('19.12'!$AK74="是",'19.12'!$BB$4,'19.12'!$BB$3)),(VLOOKUP('19.12'!O74,'19.12'!$AO$4:$AQ$55,2,FALSE))*IF('19.12'!$AK74="是",'19.12'!$BB$4,'19.12'!$BB$3))</f>
        <v>0</v>
      </c>
      <c r="H74" s="4">
        <f>IF(ISNUMBER(SEARCH("营",'19.12'!P74)),(-$Y74+50*IF('19.12'!$AK74="是",'19.12'!$BB$4,'19.12'!$BB$3)),(VLOOKUP('19.12'!P74,'19.12'!$AO$4:$AQ$55,2,FALSE))*IF('19.12'!$AK74="是",'19.12'!$BB$4,'19.12'!$BB$3))</f>
        <v>0</v>
      </c>
      <c r="I74" s="4">
        <f>IF(ISNUMBER(SEARCH("营",'19.12'!Q74)),(-$Y74+50*IF('19.12'!$AK74="是",'19.12'!$BB$4,'19.12'!$BB$3)),(VLOOKUP('19.12'!Q74,'19.12'!$AO$4:$AQ$55,2,FALSE))*IF('19.12'!$AK74="是",'19.12'!$BB$4,'19.12'!$BB$3))</f>
        <v>0</v>
      </c>
      <c r="J74" s="4">
        <f>IF(ISNUMBER(SEARCH("营",'19.12'!R74)),(-$Y74+50*IF('19.12'!$AK74="是",'19.12'!$BB$4,'19.12'!$BB$3)),(VLOOKUP('19.12'!R74,'19.12'!$AO$4:$AQ$55,2,FALSE))*IF('19.12'!$AK74="是",'19.12'!$BB$4,'19.12'!$BB$3))</f>
        <v>0</v>
      </c>
      <c r="K74" s="4">
        <f>IF(ISNUMBER(SEARCH("营",'19.12'!S74)),(-$Y74+50*IF('19.12'!$AK74="是",'19.12'!$BB$4,'19.12'!$BB$3)),(VLOOKUP('19.12'!S74,'19.12'!$AO$4:$AQ$55,2,FALSE))*IF('19.12'!$AK74="是",'19.12'!$BB$4,'19.12'!$BB$3))</f>
        <v>0</v>
      </c>
      <c r="L74" s="4">
        <f>IF(ISNUMBER(SEARCH("营",'19.12'!T74)),(-$Y74+50*IF('19.12'!$AK74="是",'19.12'!$BB$4,'19.12'!$BB$3)),(VLOOKUP('19.12'!T74,'19.12'!$AO$4:$AQ$55,2,FALSE))*IF('19.12'!$AK74="是",'19.12'!$BB$4,'19.12'!$BB$3))</f>
        <v>0</v>
      </c>
      <c r="M74" s="4">
        <f>IF(ISNUMBER(SEARCH("营",'19.12'!U74)),(-$Y74+50*IF('19.12'!$AK74="是",'19.12'!$BB$4,'19.12'!$BB$3)),(VLOOKUP('19.12'!U74,'19.12'!$AO$4:$AQ$55,2,FALSE))*IF('19.12'!$AK74="是",'19.12'!$BB$4,'19.12'!$BB$3))</f>
        <v>0</v>
      </c>
      <c r="N74" s="4">
        <f>IF(ISNUMBER(SEARCH("营",'19.12'!V74)),(-$Y74+50*IF('19.12'!$AK74="是",'19.12'!$BB$4,'19.12'!$BB$3)),(VLOOKUP('19.12'!V74,'19.12'!$AO$4:$AQ$55,2,FALSE))*IF('19.12'!$AK74="是",'19.12'!$BB$4,'19.12'!$BB$3))</f>
        <v>0</v>
      </c>
      <c r="O74" s="4">
        <f>IF(ISNUMBER(SEARCH("营",'19.12'!W74)),(-$Y74+50*IF('19.12'!$AK74="是",'19.12'!$BB$4,'19.12'!$BB$3)),(VLOOKUP('19.12'!W74,'19.12'!$AO$4:$AQ$55,2,FALSE))*IF('19.12'!$AK74="是",'19.12'!$BB$4,'19.12'!$BB$3))</f>
        <v>0</v>
      </c>
      <c r="P74" s="4">
        <f>IF(ISNUMBER(SEARCH("营",'19.12'!X74)),(-$Y74+50*IF('19.12'!$AK74="是",'19.12'!$BB$4,'19.12'!$BB$3)),(VLOOKUP('19.12'!X74,'19.12'!$AO$4:$AQ$55,2,FALSE))*IF('19.12'!$AK74="是",'19.12'!$BB$4,'19.12'!$BB$3))</f>
        <v>0</v>
      </c>
      <c r="Q74" s="4">
        <f>IF(ISNUMBER(SEARCH("营",'19.12'!Y74)),(-$Y74+50*IF('19.12'!$AK74="是",'19.12'!$BB$4,'19.12'!$BB$3)),(VLOOKUP('19.12'!Y74,'19.12'!$AO$4:$AQ$55,2,FALSE))*IF('19.12'!$AK74="是",'19.12'!$BB$4,'19.12'!$BB$3))</f>
        <v>0</v>
      </c>
      <c r="R74" s="4">
        <f>IF(ISNUMBER(SEARCH("营",'19.12'!Z74)),(-$Y74+50*IF('19.12'!$AK74="是",'19.12'!$BB$4,'19.12'!$BB$3)),(VLOOKUP('19.12'!Z74,'19.12'!$AO$4:$AQ$55,2,FALSE))*IF('19.12'!$AK74="是",'19.12'!$BB$4,'19.12'!$BB$3))</f>
        <v>0</v>
      </c>
      <c r="S74" s="4">
        <f>IF(ISNUMBER(SEARCH("营",'19.12'!AA74)),(-$Y74+50*IF('19.12'!$AK74="是",'19.12'!$BB$4,'19.12'!$BB$3)),(VLOOKUP('19.12'!AA74,'19.12'!$AO$4:$AQ$55,2,FALSE))*IF('19.12'!$AK74="是",'19.12'!$BB$4,'19.12'!$BB$3))</f>
        <v>0</v>
      </c>
      <c r="T74" s="4">
        <f>IF(ISNUMBER(SEARCH("营",'19.12'!AB74)),(-$Y74+50*IF('19.12'!$AK74="是",'19.12'!$BB$4,'19.12'!$BB$3)),(VLOOKUP('19.12'!AB74,'19.12'!$AO$4:$AQ$55,2,FALSE))*IF('19.12'!$AK74="是",'19.12'!$BB$4,'19.12'!$BB$3))</f>
        <v>0</v>
      </c>
      <c r="U74" s="4">
        <f>IF(ISNUMBER(SEARCH("营",'19.12'!AC74)),(-$Y74+50*IF('19.12'!$AK74="是",'19.12'!$BB$4,'19.12'!$BB$3)),(VLOOKUP('19.12'!AC74,'19.12'!$AO$4:$AQ$55,2,FALSE))*IF('19.12'!$AK74="是",'19.12'!$BB$4,'19.12'!$BB$3))</f>
        <v>0</v>
      </c>
      <c r="V74" s="4">
        <f>IF(ISNUMBER(SEARCH("营",'19.12'!AD74)),(-$Y74+50*IF('19.12'!$AK74="是",'19.12'!$BB$4,'19.12'!$BB$3)),(VLOOKUP('19.12'!AD74,'19.12'!$AO$4:$AQ$55,2,FALSE))*IF('19.12'!$AK74="是",'19.12'!$BB$4,'19.12'!$BB$3))</f>
        <v>0</v>
      </c>
      <c r="W74" s="4">
        <f>IF(ISNUMBER(SEARCH("营",'19.12'!AE74)),(-$Y74+50*IF('19.12'!$AK74="是",'19.12'!$BB$4,'19.12'!$BB$3)),(VLOOKUP('19.12'!AE74,'19.12'!$AO$4:$AQ$55,2,FALSE))*IF('19.12'!$AK74="是",'19.12'!$BB$4,'19.12'!$BB$3))</f>
        <v>0</v>
      </c>
      <c r="X74" s="4">
        <f>IF(ISNUMBER(SEARCH("营",'19.12'!AF74)),(-$Y74+50*IF('19.12'!$AK74="是",'19.12'!$BB$4,'19.12'!$BB$3)),(VLOOKUP('19.12'!AF74,'19.12'!$AO$4:$AQ$55,2,FALSE))*IF('19.12'!$AK74="是",'19.12'!$BB$4,'19.12'!$BB$3))</f>
        <v>0</v>
      </c>
      <c r="Y74" s="18">
        <v>100</v>
      </c>
      <c r="Z74" s="15">
        <v>45800</v>
      </c>
    </row>
    <row r="75" spans="1:26">
      <c r="A75" s="4">
        <f>IF(ISNUMBER(SEARCH("营",'19.12'!I75)),(-$Y75+50*IF('19.12'!$AK75="是",'19.12'!$BB$4,'19.12'!$BB$3)),(VLOOKUP('19.12'!I75,'19.12'!$AO$4:$AQ$55,2,FALSE))*IF('19.12'!$AK75="是",'19.12'!$BB$4,'19.12'!$BB$3))</f>
        <v>0</v>
      </c>
      <c r="B75" s="4">
        <f>IF(ISNUMBER(SEARCH("营",'19.12'!J75)),(-$Y75+50*IF('19.12'!$AK75="是",'19.12'!$BB$4,'19.12'!$BB$3)),(VLOOKUP('19.12'!J75,'19.12'!$AO$4:$AQ$55,2,FALSE))*IF('19.12'!$AK75="是",'19.12'!$BB$4,'19.12'!$BB$3))</f>
        <v>0</v>
      </c>
      <c r="C75" s="4">
        <f>IF(ISNUMBER(SEARCH("营",'19.12'!K75)),(-$Y75+50*IF('19.12'!$AK75="是",'19.12'!$BB$4,'19.12'!$BB$3)),(VLOOKUP('19.12'!K75,'19.12'!$AO$4:$AQ$55,2,FALSE))*IF('19.12'!$AK75="是",'19.12'!$BB$4,'19.12'!$BB$3))</f>
        <v>0</v>
      </c>
      <c r="D75" s="4">
        <f>IF(ISNUMBER(SEARCH("营",'19.12'!L75)),(-$Y75+50*IF('19.12'!$AK75="是",'19.12'!$BB$4,'19.12'!$BB$3)),(VLOOKUP('19.12'!L75,'19.12'!$AO$4:$AQ$55,2,FALSE))*IF('19.12'!$AK75="是",'19.12'!$BB$4,'19.12'!$BB$3))</f>
        <v>0</v>
      </c>
      <c r="E75" s="4">
        <f>IF(ISNUMBER(SEARCH("营",'19.12'!M75)),(-$Y75+50*IF('19.12'!$AK75="是",'19.12'!$BB$4,'19.12'!$BB$3)),(VLOOKUP('19.12'!M75,'19.12'!$AO$4:$AQ$55,2,FALSE))*IF('19.12'!$AK75="是",'19.12'!$BB$4,'19.12'!$BB$3))</f>
        <v>0</v>
      </c>
      <c r="F75" s="4">
        <f>IF(ISNUMBER(SEARCH("营",'19.12'!N75)),(-$Y75+50*IF('19.12'!$AK75="是",'19.12'!$BB$4,'19.12'!$BB$3)),(VLOOKUP('19.12'!N75,'19.12'!$AO$4:$AQ$55,2,FALSE))*IF('19.12'!$AK75="是",'19.12'!$BB$4,'19.12'!$BB$3))</f>
        <v>0</v>
      </c>
      <c r="G75" s="4">
        <f>IF(ISNUMBER(SEARCH("营",'19.12'!O75)),(-$Y75+50*IF('19.12'!$AK75="是",'19.12'!$BB$4,'19.12'!$BB$3)),(VLOOKUP('19.12'!O75,'19.12'!$AO$4:$AQ$55,2,FALSE))*IF('19.12'!$AK75="是",'19.12'!$BB$4,'19.12'!$BB$3))</f>
        <v>0</v>
      </c>
      <c r="H75" s="4">
        <f>IF(ISNUMBER(SEARCH("营",'19.12'!P75)),(-$Y75+50*IF('19.12'!$AK75="是",'19.12'!$BB$4,'19.12'!$BB$3)),(VLOOKUP('19.12'!P75,'19.12'!$AO$4:$AQ$55,2,FALSE))*IF('19.12'!$AK75="是",'19.12'!$BB$4,'19.12'!$BB$3))</f>
        <v>0</v>
      </c>
      <c r="I75" s="4">
        <f>IF(ISNUMBER(SEARCH("营",'19.12'!Q75)),(-$Y75+50*IF('19.12'!$AK75="是",'19.12'!$BB$4,'19.12'!$BB$3)),(VLOOKUP('19.12'!Q75,'19.12'!$AO$4:$AQ$55,2,FALSE))*IF('19.12'!$AK75="是",'19.12'!$BB$4,'19.12'!$BB$3))</f>
        <v>0</v>
      </c>
      <c r="J75" s="4">
        <f>IF(ISNUMBER(SEARCH("营",'19.12'!R75)),(-$Y75+50*IF('19.12'!$AK75="是",'19.12'!$BB$4,'19.12'!$BB$3)),(VLOOKUP('19.12'!R75,'19.12'!$AO$4:$AQ$55,2,FALSE))*IF('19.12'!$AK75="是",'19.12'!$BB$4,'19.12'!$BB$3))</f>
        <v>0</v>
      </c>
      <c r="K75" s="4">
        <f>IF(ISNUMBER(SEARCH("营",'19.12'!S75)),(-$Y75+50*IF('19.12'!$AK75="是",'19.12'!$BB$4,'19.12'!$BB$3)),(VLOOKUP('19.12'!S75,'19.12'!$AO$4:$AQ$55,2,FALSE))*IF('19.12'!$AK75="是",'19.12'!$BB$4,'19.12'!$BB$3))</f>
        <v>0</v>
      </c>
      <c r="L75" s="4">
        <f>IF(ISNUMBER(SEARCH("营",'19.12'!T75)),(-$Y75+50*IF('19.12'!$AK75="是",'19.12'!$BB$4,'19.12'!$BB$3)),(VLOOKUP('19.12'!T75,'19.12'!$AO$4:$AQ$55,2,FALSE))*IF('19.12'!$AK75="是",'19.12'!$BB$4,'19.12'!$BB$3))</f>
        <v>0</v>
      </c>
      <c r="M75" s="4">
        <f>IF(ISNUMBER(SEARCH("营",'19.12'!U75)),(-$Y75+50*IF('19.12'!$AK75="是",'19.12'!$BB$4,'19.12'!$BB$3)),(VLOOKUP('19.12'!U75,'19.12'!$AO$4:$AQ$55,2,FALSE))*IF('19.12'!$AK75="是",'19.12'!$BB$4,'19.12'!$BB$3))</f>
        <v>0</v>
      </c>
      <c r="N75" s="4">
        <f>IF(ISNUMBER(SEARCH("营",'19.12'!V75)),(-$Y75+50*IF('19.12'!$AK75="是",'19.12'!$BB$4,'19.12'!$BB$3)),(VLOOKUP('19.12'!V75,'19.12'!$AO$4:$AQ$55,2,FALSE))*IF('19.12'!$AK75="是",'19.12'!$BB$4,'19.12'!$BB$3))</f>
        <v>0</v>
      </c>
      <c r="O75" s="4">
        <f>IF(ISNUMBER(SEARCH("营",'19.12'!W75)),(-$Y75+50*IF('19.12'!$AK75="是",'19.12'!$BB$4,'19.12'!$BB$3)),(VLOOKUP('19.12'!W75,'19.12'!$AO$4:$AQ$55,2,FALSE))*IF('19.12'!$AK75="是",'19.12'!$BB$4,'19.12'!$BB$3))</f>
        <v>0</v>
      </c>
      <c r="P75" s="4">
        <f>IF(ISNUMBER(SEARCH("营",'19.12'!X75)),(-$Y75+50*IF('19.12'!$AK75="是",'19.12'!$BB$4,'19.12'!$BB$3)),(VLOOKUP('19.12'!X75,'19.12'!$AO$4:$AQ$55,2,FALSE))*IF('19.12'!$AK75="是",'19.12'!$BB$4,'19.12'!$BB$3))</f>
        <v>0</v>
      </c>
      <c r="Q75" s="4">
        <f>IF(ISNUMBER(SEARCH("营",'19.12'!Y75)),(-$Y75+50*IF('19.12'!$AK75="是",'19.12'!$BB$4,'19.12'!$BB$3)),(VLOOKUP('19.12'!Y75,'19.12'!$AO$4:$AQ$55,2,FALSE))*IF('19.12'!$AK75="是",'19.12'!$BB$4,'19.12'!$BB$3))</f>
        <v>0</v>
      </c>
      <c r="R75" s="4">
        <f>IF(ISNUMBER(SEARCH("营",'19.12'!Z75)),(-$Y75+50*IF('19.12'!$AK75="是",'19.12'!$BB$4,'19.12'!$BB$3)),(VLOOKUP('19.12'!Z75,'19.12'!$AO$4:$AQ$55,2,FALSE))*IF('19.12'!$AK75="是",'19.12'!$BB$4,'19.12'!$BB$3))</f>
        <v>0</v>
      </c>
      <c r="S75" s="4">
        <f>IF(ISNUMBER(SEARCH("营",'19.12'!AA75)),(-$Y75+50*IF('19.12'!$AK75="是",'19.12'!$BB$4,'19.12'!$BB$3)),(VLOOKUP('19.12'!AA75,'19.12'!$AO$4:$AQ$55,2,FALSE))*IF('19.12'!$AK75="是",'19.12'!$BB$4,'19.12'!$BB$3))</f>
        <v>0</v>
      </c>
      <c r="T75" s="4">
        <f>IF(ISNUMBER(SEARCH("营",'19.12'!AB75)),(-$Y75+50*IF('19.12'!$AK75="是",'19.12'!$BB$4,'19.12'!$BB$3)),(VLOOKUP('19.12'!AB75,'19.12'!$AO$4:$AQ$55,2,FALSE))*IF('19.12'!$AK75="是",'19.12'!$BB$4,'19.12'!$BB$3))</f>
        <v>0</v>
      </c>
      <c r="U75" s="4">
        <f>IF(ISNUMBER(SEARCH("营",'19.12'!AC75)),(-$Y75+50*IF('19.12'!$AK75="是",'19.12'!$BB$4,'19.12'!$BB$3)),(VLOOKUP('19.12'!AC75,'19.12'!$AO$4:$AQ$55,2,FALSE))*IF('19.12'!$AK75="是",'19.12'!$BB$4,'19.12'!$BB$3))</f>
        <v>0</v>
      </c>
      <c r="V75" s="4">
        <f>IF(ISNUMBER(SEARCH("营",'19.12'!AD75)),(-$Y75+50*IF('19.12'!$AK75="是",'19.12'!$BB$4,'19.12'!$BB$3)),(VLOOKUP('19.12'!AD75,'19.12'!$AO$4:$AQ$55,2,FALSE))*IF('19.12'!$AK75="是",'19.12'!$BB$4,'19.12'!$BB$3))</f>
        <v>0</v>
      </c>
      <c r="W75" s="4">
        <f>IF(ISNUMBER(SEARCH("营",'19.12'!AE75)),(-$Y75+50*IF('19.12'!$AK75="是",'19.12'!$BB$4,'19.12'!$BB$3)),(VLOOKUP('19.12'!AE75,'19.12'!$AO$4:$AQ$55,2,FALSE))*IF('19.12'!$AK75="是",'19.12'!$BB$4,'19.12'!$BB$3))</f>
        <v>0</v>
      </c>
      <c r="X75" s="4">
        <f>IF(ISNUMBER(SEARCH("营",'19.12'!AF75)),(-$Y75+50*IF('19.12'!$AK75="是",'19.12'!$BB$4,'19.12'!$BB$3)),(VLOOKUP('19.12'!AF75,'19.12'!$AO$4:$AQ$55,2,FALSE))*IF('19.12'!$AK75="是",'19.12'!$BB$4,'19.12'!$BB$3))</f>
        <v>0</v>
      </c>
      <c r="Y75" s="18">
        <v>100</v>
      </c>
      <c r="Z75" s="15">
        <v>45801</v>
      </c>
    </row>
    <row r="76" spans="1:26">
      <c r="A76" s="4">
        <f>IF(ISNUMBER(SEARCH("营",'19.12'!I76)),(-$Y76+50*IF('19.12'!$AK76="是",'19.12'!$BB$4,'19.12'!$BB$3)),(VLOOKUP('19.12'!I76,'19.12'!$AO$4:$AQ$55,2,FALSE))*IF('19.12'!$AK76="是",'19.12'!$BB$4,'19.12'!$BB$3))</f>
        <v>0</v>
      </c>
      <c r="B76" s="4">
        <f>IF(ISNUMBER(SEARCH("营",'19.12'!J76)),(-$Y76+50*IF('19.12'!$AK76="是",'19.12'!$BB$4,'19.12'!$BB$3)),(VLOOKUP('19.12'!J76,'19.12'!$AO$4:$AQ$55,2,FALSE))*IF('19.12'!$AK76="是",'19.12'!$BB$4,'19.12'!$BB$3))</f>
        <v>0</v>
      </c>
      <c r="C76" s="4">
        <f>IF(ISNUMBER(SEARCH("营",'19.12'!K76)),(-$Y76+50*IF('19.12'!$AK76="是",'19.12'!$BB$4,'19.12'!$BB$3)),(VLOOKUP('19.12'!K76,'19.12'!$AO$4:$AQ$55,2,FALSE))*IF('19.12'!$AK76="是",'19.12'!$BB$4,'19.12'!$BB$3))</f>
        <v>0</v>
      </c>
      <c r="D76" s="4">
        <f>IF(ISNUMBER(SEARCH("营",'19.12'!L76)),(-$Y76+50*IF('19.12'!$AK76="是",'19.12'!$BB$4,'19.12'!$BB$3)),(VLOOKUP('19.12'!L76,'19.12'!$AO$4:$AQ$55,2,FALSE))*IF('19.12'!$AK76="是",'19.12'!$BB$4,'19.12'!$BB$3))</f>
        <v>0</v>
      </c>
      <c r="E76" s="4">
        <f>IF(ISNUMBER(SEARCH("营",'19.12'!M76)),(-$Y76+50*IF('19.12'!$AK76="是",'19.12'!$BB$4,'19.12'!$BB$3)),(VLOOKUP('19.12'!M76,'19.12'!$AO$4:$AQ$55,2,FALSE))*IF('19.12'!$AK76="是",'19.12'!$BB$4,'19.12'!$BB$3))</f>
        <v>0</v>
      </c>
      <c r="F76" s="4">
        <f>IF(ISNUMBER(SEARCH("营",'19.12'!N76)),(-$Y76+50*IF('19.12'!$AK76="是",'19.12'!$BB$4,'19.12'!$BB$3)),(VLOOKUP('19.12'!N76,'19.12'!$AO$4:$AQ$55,2,FALSE))*IF('19.12'!$AK76="是",'19.12'!$BB$4,'19.12'!$BB$3))</f>
        <v>0</v>
      </c>
      <c r="G76" s="4">
        <f>IF(ISNUMBER(SEARCH("营",'19.12'!O76)),(-$Y76+50*IF('19.12'!$AK76="是",'19.12'!$BB$4,'19.12'!$BB$3)),(VLOOKUP('19.12'!O76,'19.12'!$AO$4:$AQ$55,2,FALSE))*IF('19.12'!$AK76="是",'19.12'!$BB$4,'19.12'!$BB$3))</f>
        <v>0</v>
      </c>
      <c r="H76" s="4">
        <f>IF(ISNUMBER(SEARCH("营",'19.12'!P76)),(-$Y76+50*IF('19.12'!$AK76="是",'19.12'!$BB$4,'19.12'!$BB$3)),(VLOOKUP('19.12'!P76,'19.12'!$AO$4:$AQ$55,2,FALSE))*IF('19.12'!$AK76="是",'19.12'!$BB$4,'19.12'!$BB$3))</f>
        <v>0</v>
      </c>
      <c r="I76" s="4">
        <f>IF(ISNUMBER(SEARCH("营",'19.12'!Q76)),(-$Y76+50*IF('19.12'!$AK76="是",'19.12'!$BB$4,'19.12'!$BB$3)),(VLOOKUP('19.12'!Q76,'19.12'!$AO$4:$AQ$55,2,FALSE))*IF('19.12'!$AK76="是",'19.12'!$BB$4,'19.12'!$BB$3))</f>
        <v>0</v>
      </c>
      <c r="J76" s="4">
        <f>IF(ISNUMBER(SEARCH("营",'19.12'!R76)),(-$Y76+50*IF('19.12'!$AK76="是",'19.12'!$BB$4,'19.12'!$BB$3)),(VLOOKUP('19.12'!R76,'19.12'!$AO$4:$AQ$55,2,FALSE))*IF('19.12'!$AK76="是",'19.12'!$BB$4,'19.12'!$BB$3))</f>
        <v>0</v>
      </c>
      <c r="K76" s="4">
        <f>IF(ISNUMBER(SEARCH("营",'19.12'!S76)),(-$Y76+50*IF('19.12'!$AK76="是",'19.12'!$BB$4,'19.12'!$BB$3)),(VLOOKUP('19.12'!S76,'19.12'!$AO$4:$AQ$55,2,FALSE))*IF('19.12'!$AK76="是",'19.12'!$BB$4,'19.12'!$BB$3))</f>
        <v>0</v>
      </c>
      <c r="L76" s="4">
        <f>IF(ISNUMBER(SEARCH("营",'19.12'!T76)),(-$Y76+50*IF('19.12'!$AK76="是",'19.12'!$BB$4,'19.12'!$BB$3)),(VLOOKUP('19.12'!T76,'19.12'!$AO$4:$AQ$55,2,FALSE))*IF('19.12'!$AK76="是",'19.12'!$BB$4,'19.12'!$BB$3))</f>
        <v>0</v>
      </c>
      <c r="M76" s="4">
        <f>IF(ISNUMBER(SEARCH("营",'19.12'!U76)),(-$Y76+50*IF('19.12'!$AK76="是",'19.12'!$BB$4,'19.12'!$BB$3)),(VLOOKUP('19.12'!U76,'19.12'!$AO$4:$AQ$55,2,FALSE))*IF('19.12'!$AK76="是",'19.12'!$BB$4,'19.12'!$BB$3))</f>
        <v>0</v>
      </c>
      <c r="N76" s="4">
        <f>IF(ISNUMBER(SEARCH("营",'19.12'!V76)),(-$Y76+50*IF('19.12'!$AK76="是",'19.12'!$BB$4,'19.12'!$BB$3)),(VLOOKUP('19.12'!V76,'19.12'!$AO$4:$AQ$55,2,FALSE))*IF('19.12'!$AK76="是",'19.12'!$BB$4,'19.12'!$BB$3))</f>
        <v>0</v>
      </c>
      <c r="O76" s="4">
        <f>IF(ISNUMBER(SEARCH("营",'19.12'!W76)),(-$Y76+50*IF('19.12'!$AK76="是",'19.12'!$BB$4,'19.12'!$BB$3)),(VLOOKUP('19.12'!W76,'19.12'!$AO$4:$AQ$55,2,FALSE))*IF('19.12'!$AK76="是",'19.12'!$BB$4,'19.12'!$BB$3))</f>
        <v>0</v>
      </c>
      <c r="P76" s="4">
        <f>IF(ISNUMBER(SEARCH("营",'19.12'!X76)),(-$Y76+50*IF('19.12'!$AK76="是",'19.12'!$BB$4,'19.12'!$BB$3)),(VLOOKUP('19.12'!X76,'19.12'!$AO$4:$AQ$55,2,FALSE))*IF('19.12'!$AK76="是",'19.12'!$BB$4,'19.12'!$BB$3))</f>
        <v>0</v>
      </c>
      <c r="Q76" s="4">
        <f>IF(ISNUMBER(SEARCH("营",'19.12'!Y76)),(-$Y76+50*IF('19.12'!$AK76="是",'19.12'!$BB$4,'19.12'!$BB$3)),(VLOOKUP('19.12'!Y76,'19.12'!$AO$4:$AQ$55,2,FALSE))*IF('19.12'!$AK76="是",'19.12'!$BB$4,'19.12'!$BB$3))</f>
        <v>0</v>
      </c>
      <c r="R76" s="4">
        <f>IF(ISNUMBER(SEARCH("营",'19.12'!Z76)),(-$Y76+50*IF('19.12'!$AK76="是",'19.12'!$BB$4,'19.12'!$BB$3)),(VLOOKUP('19.12'!Z76,'19.12'!$AO$4:$AQ$55,2,FALSE))*IF('19.12'!$AK76="是",'19.12'!$BB$4,'19.12'!$BB$3))</f>
        <v>0</v>
      </c>
      <c r="S76" s="4">
        <f>IF(ISNUMBER(SEARCH("营",'19.12'!AA76)),(-$Y76+50*IF('19.12'!$AK76="是",'19.12'!$BB$4,'19.12'!$BB$3)),(VLOOKUP('19.12'!AA76,'19.12'!$AO$4:$AQ$55,2,FALSE))*IF('19.12'!$AK76="是",'19.12'!$BB$4,'19.12'!$BB$3))</f>
        <v>0</v>
      </c>
      <c r="T76" s="4">
        <f>IF(ISNUMBER(SEARCH("营",'19.12'!AB76)),(-$Y76+50*IF('19.12'!$AK76="是",'19.12'!$BB$4,'19.12'!$BB$3)),(VLOOKUP('19.12'!AB76,'19.12'!$AO$4:$AQ$55,2,FALSE))*IF('19.12'!$AK76="是",'19.12'!$BB$4,'19.12'!$BB$3))</f>
        <v>0</v>
      </c>
      <c r="U76" s="4">
        <f>IF(ISNUMBER(SEARCH("营",'19.12'!AC76)),(-$Y76+50*IF('19.12'!$AK76="是",'19.12'!$BB$4,'19.12'!$BB$3)),(VLOOKUP('19.12'!AC76,'19.12'!$AO$4:$AQ$55,2,FALSE))*IF('19.12'!$AK76="是",'19.12'!$BB$4,'19.12'!$BB$3))</f>
        <v>0</v>
      </c>
      <c r="V76" s="4">
        <f>IF(ISNUMBER(SEARCH("营",'19.12'!AD76)),(-$Y76+50*IF('19.12'!$AK76="是",'19.12'!$BB$4,'19.12'!$BB$3)),(VLOOKUP('19.12'!AD76,'19.12'!$AO$4:$AQ$55,2,FALSE))*IF('19.12'!$AK76="是",'19.12'!$BB$4,'19.12'!$BB$3))</f>
        <v>0</v>
      </c>
      <c r="W76" s="4">
        <f>IF(ISNUMBER(SEARCH("营",'19.12'!AE76)),(-$Y76+50*IF('19.12'!$AK76="是",'19.12'!$BB$4,'19.12'!$BB$3)),(VLOOKUP('19.12'!AE76,'19.12'!$AO$4:$AQ$55,2,FALSE))*IF('19.12'!$AK76="是",'19.12'!$BB$4,'19.12'!$BB$3))</f>
        <v>0</v>
      </c>
      <c r="X76" s="4">
        <f>IF(ISNUMBER(SEARCH("营",'19.12'!AF76)),(-$Y76+50*IF('19.12'!$AK76="是",'19.12'!$BB$4,'19.12'!$BB$3)),(VLOOKUP('19.12'!AF76,'19.12'!$AO$4:$AQ$55,2,FALSE))*IF('19.12'!$AK76="是",'19.12'!$BB$4,'19.12'!$BB$3))</f>
        <v>0</v>
      </c>
      <c r="Y76" s="18">
        <v>100</v>
      </c>
      <c r="Z76" s="15">
        <v>45802</v>
      </c>
    </row>
    <row r="77" spans="1:26">
      <c r="A77" s="4">
        <f>IF(ISNUMBER(SEARCH("营",'19.12'!I77)),(-$Y77+50*IF('19.12'!$AK77="是",'19.12'!$BB$4,'19.12'!$BB$3)),(VLOOKUP('19.12'!I77,'19.12'!$AO$4:$AQ$55,2,FALSE))*IF('19.12'!$AK77="是",'19.12'!$BB$4,'19.12'!$BB$3))</f>
        <v>0</v>
      </c>
      <c r="B77" s="4">
        <f>IF(ISNUMBER(SEARCH("营",'19.12'!J77)),(-$Y77+50*IF('19.12'!$AK77="是",'19.12'!$BB$4,'19.12'!$BB$3)),(VLOOKUP('19.12'!J77,'19.12'!$AO$4:$AQ$55,2,FALSE))*IF('19.12'!$AK77="是",'19.12'!$BB$4,'19.12'!$BB$3))</f>
        <v>0</v>
      </c>
      <c r="C77" s="4">
        <f>IF(ISNUMBER(SEARCH("营",'19.12'!K77)),(-$Y77+50*IF('19.12'!$AK77="是",'19.12'!$BB$4,'19.12'!$BB$3)),(VLOOKUP('19.12'!K77,'19.12'!$AO$4:$AQ$55,2,FALSE))*IF('19.12'!$AK77="是",'19.12'!$BB$4,'19.12'!$BB$3))</f>
        <v>0</v>
      </c>
      <c r="D77" s="4">
        <f>IF(ISNUMBER(SEARCH("营",'19.12'!L77)),(-$Y77+50*IF('19.12'!$AK77="是",'19.12'!$BB$4,'19.12'!$BB$3)),(VLOOKUP('19.12'!L77,'19.12'!$AO$4:$AQ$55,2,FALSE))*IF('19.12'!$AK77="是",'19.12'!$BB$4,'19.12'!$BB$3))</f>
        <v>0</v>
      </c>
      <c r="E77" s="4">
        <f>IF(ISNUMBER(SEARCH("营",'19.12'!M77)),(-$Y77+50*IF('19.12'!$AK77="是",'19.12'!$BB$4,'19.12'!$BB$3)),(VLOOKUP('19.12'!M77,'19.12'!$AO$4:$AQ$55,2,FALSE))*IF('19.12'!$AK77="是",'19.12'!$BB$4,'19.12'!$BB$3))</f>
        <v>0</v>
      </c>
      <c r="F77" s="4">
        <f>IF(ISNUMBER(SEARCH("营",'19.12'!N77)),(-$Y77+50*IF('19.12'!$AK77="是",'19.12'!$BB$4,'19.12'!$BB$3)),(VLOOKUP('19.12'!N77,'19.12'!$AO$4:$AQ$55,2,FALSE))*IF('19.12'!$AK77="是",'19.12'!$BB$4,'19.12'!$BB$3))</f>
        <v>0</v>
      </c>
      <c r="G77" s="4">
        <f>IF(ISNUMBER(SEARCH("营",'19.12'!O77)),(-$Y77+50*IF('19.12'!$AK77="是",'19.12'!$BB$4,'19.12'!$BB$3)),(VLOOKUP('19.12'!O77,'19.12'!$AO$4:$AQ$55,2,FALSE))*IF('19.12'!$AK77="是",'19.12'!$BB$4,'19.12'!$BB$3))</f>
        <v>0</v>
      </c>
      <c r="H77" s="4">
        <f>IF(ISNUMBER(SEARCH("营",'19.12'!P77)),(-$Y77+50*IF('19.12'!$AK77="是",'19.12'!$BB$4,'19.12'!$BB$3)),(VLOOKUP('19.12'!P77,'19.12'!$AO$4:$AQ$55,2,FALSE))*IF('19.12'!$AK77="是",'19.12'!$BB$4,'19.12'!$BB$3))</f>
        <v>0</v>
      </c>
      <c r="I77" s="4">
        <f>IF(ISNUMBER(SEARCH("营",'19.12'!Q77)),(-$Y77+50*IF('19.12'!$AK77="是",'19.12'!$BB$4,'19.12'!$BB$3)),(VLOOKUP('19.12'!Q77,'19.12'!$AO$4:$AQ$55,2,FALSE))*IF('19.12'!$AK77="是",'19.12'!$BB$4,'19.12'!$BB$3))</f>
        <v>0</v>
      </c>
      <c r="J77" s="4">
        <f>IF(ISNUMBER(SEARCH("营",'19.12'!R77)),(-$Y77+50*IF('19.12'!$AK77="是",'19.12'!$BB$4,'19.12'!$BB$3)),(VLOOKUP('19.12'!R77,'19.12'!$AO$4:$AQ$55,2,FALSE))*IF('19.12'!$AK77="是",'19.12'!$BB$4,'19.12'!$BB$3))</f>
        <v>0</v>
      </c>
      <c r="K77" s="4">
        <f>IF(ISNUMBER(SEARCH("营",'19.12'!S77)),(-$Y77+50*IF('19.12'!$AK77="是",'19.12'!$BB$4,'19.12'!$BB$3)),(VLOOKUP('19.12'!S77,'19.12'!$AO$4:$AQ$55,2,FALSE))*IF('19.12'!$AK77="是",'19.12'!$BB$4,'19.12'!$BB$3))</f>
        <v>0</v>
      </c>
      <c r="L77" s="4">
        <f>IF(ISNUMBER(SEARCH("营",'19.12'!T77)),(-$Y77+50*IF('19.12'!$AK77="是",'19.12'!$BB$4,'19.12'!$BB$3)),(VLOOKUP('19.12'!T77,'19.12'!$AO$4:$AQ$55,2,FALSE))*IF('19.12'!$AK77="是",'19.12'!$BB$4,'19.12'!$BB$3))</f>
        <v>0</v>
      </c>
      <c r="M77" s="4">
        <f>IF(ISNUMBER(SEARCH("营",'19.12'!U77)),(-$Y77+50*IF('19.12'!$AK77="是",'19.12'!$BB$4,'19.12'!$BB$3)),(VLOOKUP('19.12'!U77,'19.12'!$AO$4:$AQ$55,2,FALSE))*IF('19.12'!$AK77="是",'19.12'!$BB$4,'19.12'!$BB$3))</f>
        <v>0</v>
      </c>
      <c r="N77" s="4">
        <f>IF(ISNUMBER(SEARCH("营",'19.12'!V77)),(-$Y77+50*IF('19.12'!$AK77="是",'19.12'!$BB$4,'19.12'!$BB$3)),(VLOOKUP('19.12'!V77,'19.12'!$AO$4:$AQ$55,2,FALSE))*IF('19.12'!$AK77="是",'19.12'!$BB$4,'19.12'!$BB$3))</f>
        <v>0</v>
      </c>
      <c r="O77" s="4">
        <f>IF(ISNUMBER(SEARCH("营",'19.12'!W77)),(-$Y77+50*IF('19.12'!$AK77="是",'19.12'!$BB$4,'19.12'!$BB$3)),(VLOOKUP('19.12'!W77,'19.12'!$AO$4:$AQ$55,2,FALSE))*IF('19.12'!$AK77="是",'19.12'!$BB$4,'19.12'!$BB$3))</f>
        <v>0</v>
      </c>
      <c r="P77" s="4">
        <f>IF(ISNUMBER(SEARCH("营",'19.12'!X77)),(-$Y77+50*IF('19.12'!$AK77="是",'19.12'!$BB$4,'19.12'!$BB$3)),(VLOOKUP('19.12'!X77,'19.12'!$AO$4:$AQ$55,2,FALSE))*IF('19.12'!$AK77="是",'19.12'!$BB$4,'19.12'!$BB$3))</f>
        <v>0</v>
      </c>
      <c r="Q77" s="4">
        <f>IF(ISNUMBER(SEARCH("营",'19.12'!Y77)),(-$Y77+50*IF('19.12'!$AK77="是",'19.12'!$BB$4,'19.12'!$BB$3)),(VLOOKUP('19.12'!Y77,'19.12'!$AO$4:$AQ$55,2,FALSE))*IF('19.12'!$AK77="是",'19.12'!$BB$4,'19.12'!$BB$3))</f>
        <v>0</v>
      </c>
      <c r="R77" s="4">
        <f>IF(ISNUMBER(SEARCH("营",'19.12'!Z77)),(-$Y77+50*IF('19.12'!$AK77="是",'19.12'!$BB$4,'19.12'!$BB$3)),(VLOOKUP('19.12'!Z77,'19.12'!$AO$4:$AQ$55,2,FALSE))*IF('19.12'!$AK77="是",'19.12'!$BB$4,'19.12'!$BB$3))</f>
        <v>0</v>
      </c>
      <c r="S77" s="4">
        <f>IF(ISNUMBER(SEARCH("营",'19.12'!AA77)),(-$Y77+50*IF('19.12'!$AK77="是",'19.12'!$BB$4,'19.12'!$BB$3)),(VLOOKUP('19.12'!AA77,'19.12'!$AO$4:$AQ$55,2,FALSE))*IF('19.12'!$AK77="是",'19.12'!$BB$4,'19.12'!$BB$3))</f>
        <v>0</v>
      </c>
      <c r="T77" s="4">
        <f>IF(ISNUMBER(SEARCH("营",'19.12'!AB77)),(-$Y77+50*IF('19.12'!$AK77="是",'19.12'!$BB$4,'19.12'!$BB$3)),(VLOOKUP('19.12'!AB77,'19.12'!$AO$4:$AQ$55,2,FALSE))*IF('19.12'!$AK77="是",'19.12'!$BB$4,'19.12'!$BB$3))</f>
        <v>0</v>
      </c>
      <c r="U77" s="4">
        <f>IF(ISNUMBER(SEARCH("营",'19.12'!AC77)),(-$Y77+50*IF('19.12'!$AK77="是",'19.12'!$BB$4,'19.12'!$BB$3)),(VLOOKUP('19.12'!AC77,'19.12'!$AO$4:$AQ$55,2,FALSE))*IF('19.12'!$AK77="是",'19.12'!$BB$4,'19.12'!$BB$3))</f>
        <v>0</v>
      </c>
      <c r="V77" s="4">
        <f>IF(ISNUMBER(SEARCH("营",'19.12'!AD77)),(-$Y77+50*IF('19.12'!$AK77="是",'19.12'!$BB$4,'19.12'!$BB$3)),(VLOOKUP('19.12'!AD77,'19.12'!$AO$4:$AQ$55,2,FALSE))*IF('19.12'!$AK77="是",'19.12'!$BB$4,'19.12'!$BB$3))</f>
        <v>0</v>
      </c>
      <c r="W77" s="4">
        <f>IF(ISNUMBER(SEARCH("营",'19.12'!AE77)),(-$Y77+50*IF('19.12'!$AK77="是",'19.12'!$BB$4,'19.12'!$BB$3)),(VLOOKUP('19.12'!AE77,'19.12'!$AO$4:$AQ$55,2,FALSE))*IF('19.12'!$AK77="是",'19.12'!$BB$4,'19.12'!$BB$3))</f>
        <v>0</v>
      </c>
      <c r="X77" s="4">
        <f>IF(ISNUMBER(SEARCH("营",'19.12'!AF77)),(-$Y77+50*IF('19.12'!$AK77="是",'19.12'!$BB$4,'19.12'!$BB$3)),(VLOOKUP('19.12'!AF77,'19.12'!$AO$4:$AQ$55,2,FALSE))*IF('19.12'!$AK77="是",'19.12'!$BB$4,'19.12'!$BB$3))</f>
        <v>0</v>
      </c>
      <c r="Y77" s="18">
        <v>100</v>
      </c>
      <c r="Z77" s="15">
        <v>45803</v>
      </c>
    </row>
    <row r="78" spans="1:26">
      <c r="A78" s="4">
        <f>IF(ISNUMBER(SEARCH("营",'19.12'!I78)),(-$Y78+50*IF('19.12'!$AK78="是",'19.12'!$BB$4,'19.12'!$BB$3)),(VLOOKUP('19.12'!I78,'19.12'!$AO$4:$AQ$55,2,FALSE))*IF('19.12'!$AK78="是",'19.12'!$BB$4,'19.12'!$BB$3))</f>
        <v>0</v>
      </c>
      <c r="B78" s="4">
        <f>IF(ISNUMBER(SEARCH("营",'19.12'!J78)),(-$Y78+50*IF('19.12'!$AK78="是",'19.12'!$BB$4,'19.12'!$BB$3)),(VLOOKUP('19.12'!J78,'19.12'!$AO$4:$AQ$55,2,FALSE))*IF('19.12'!$AK78="是",'19.12'!$BB$4,'19.12'!$BB$3))</f>
        <v>0</v>
      </c>
      <c r="C78" s="4">
        <f>IF(ISNUMBER(SEARCH("营",'19.12'!K78)),(-$Y78+50*IF('19.12'!$AK78="是",'19.12'!$BB$4,'19.12'!$BB$3)),(VLOOKUP('19.12'!K78,'19.12'!$AO$4:$AQ$55,2,FALSE))*IF('19.12'!$AK78="是",'19.12'!$BB$4,'19.12'!$BB$3))</f>
        <v>0</v>
      </c>
      <c r="D78" s="4">
        <f>IF(ISNUMBER(SEARCH("营",'19.12'!L78)),(-$Y78+50*IF('19.12'!$AK78="是",'19.12'!$BB$4,'19.12'!$BB$3)),(VLOOKUP('19.12'!L78,'19.12'!$AO$4:$AQ$55,2,FALSE))*IF('19.12'!$AK78="是",'19.12'!$BB$4,'19.12'!$BB$3))</f>
        <v>0</v>
      </c>
      <c r="E78" s="4">
        <f>IF(ISNUMBER(SEARCH("营",'19.12'!M78)),(-$Y78+50*IF('19.12'!$AK78="是",'19.12'!$BB$4,'19.12'!$BB$3)),(VLOOKUP('19.12'!M78,'19.12'!$AO$4:$AQ$55,2,FALSE))*IF('19.12'!$AK78="是",'19.12'!$BB$4,'19.12'!$BB$3))</f>
        <v>0</v>
      </c>
      <c r="F78" s="4">
        <f>IF(ISNUMBER(SEARCH("营",'19.12'!N78)),(-$Y78+50*IF('19.12'!$AK78="是",'19.12'!$BB$4,'19.12'!$BB$3)),(VLOOKUP('19.12'!N78,'19.12'!$AO$4:$AQ$55,2,FALSE))*IF('19.12'!$AK78="是",'19.12'!$BB$4,'19.12'!$BB$3))</f>
        <v>0</v>
      </c>
      <c r="G78" s="4">
        <f>IF(ISNUMBER(SEARCH("营",'19.12'!O78)),(-$Y78+50*IF('19.12'!$AK78="是",'19.12'!$BB$4,'19.12'!$BB$3)),(VLOOKUP('19.12'!O78,'19.12'!$AO$4:$AQ$55,2,FALSE))*IF('19.12'!$AK78="是",'19.12'!$BB$4,'19.12'!$BB$3))</f>
        <v>0</v>
      </c>
      <c r="H78" s="4">
        <f>IF(ISNUMBER(SEARCH("营",'19.12'!P78)),(-$Y78+50*IF('19.12'!$AK78="是",'19.12'!$BB$4,'19.12'!$BB$3)),(VLOOKUP('19.12'!P78,'19.12'!$AO$4:$AQ$55,2,FALSE))*IF('19.12'!$AK78="是",'19.12'!$BB$4,'19.12'!$BB$3))</f>
        <v>0</v>
      </c>
      <c r="I78" s="4">
        <f>IF(ISNUMBER(SEARCH("营",'19.12'!Q78)),(-$Y78+50*IF('19.12'!$AK78="是",'19.12'!$BB$4,'19.12'!$BB$3)),(VLOOKUP('19.12'!Q78,'19.12'!$AO$4:$AQ$55,2,FALSE))*IF('19.12'!$AK78="是",'19.12'!$BB$4,'19.12'!$BB$3))</f>
        <v>0</v>
      </c>
      <c r="J78" s="4">
        <f>IF(ISNUMBER(SEARCH("营",'19.12'!R78)),(-$Y78+50*IF('19.12'!$AK78="是",'19.12'!$BB$4,'19.12'!$BB$3)),(VLOOKUP('19.12'!R78,'19.12'!$AO$4:$AQ$55,2,FALSE))*IF('19.12'!$AK78="是",'19.12'!$BB$4,'19.12'!$BB$3))</f>
        <v>0</v>
      </c>
      <c r="K78" s="4">
        <f>IF(ISNUMBER(SEARCH("营",'19.12'!S78)),(-$Y78+50*IF('19.12'!$AK78="是",'19.12'!$BB$4,'19.12'!$BB$3)),(VLOOKUP('19.12'!S78,'19.12'!$AO$4:$AQ$55,2,FALSE))*IF('19.12'!$AK78="是",'19.12'!$BB$4,'19.12'!$BB$3))</f>
        <v>0</v>
      </c>
      <c r="L78" s="4">
        <f>IF(ISNUMBER(SEARCH("营",'19.12'!T78)),(-$Y78+50*IF('19.12'!$AK78="是",'19.12'!$BB$4,'19.12'!$BB$3)),(VLOOKUP('19.12'!T78,'19.12'!$AO$4:$AQ$55,2,FALSE))*IF('19.12'!$AK78="是",'19.12'!$BB$4,'19.12'!$BB$3))</f>
        <v>0</v>
      </c>
      <c r="M78" s="4">
        <f>IF(ISNUMBER(SEARCH("营",'19.12'!U78)),(-$Y78+50*IF('19.12'!$AK78="是",'19.12'!$BB$4,'19.12'!$BB$3)),(VLOOKUP('19.12'!U78,'19.12'!$AO$4:$AQ$55,2,FALSE))*IF('19.12'!$AK78="是",'19.12'!$BB$4,'19.12'!$BB$3))</f>
        <v>0</v>
      </c>
      <c r="N78" s="4">
        <f>IF(ISNUMBER(SEARCH("营",'19.12'!V78)),(-$Y78+50*IF('19.12'!$AK78="是",'19.12'!$BB$4,'19.12'!$BB$3)),(VLOOKUP('19.12'!V78,'19.12'!$AO$4:$AQ$55,2,FALSE))*IF('19.12'!$AK78="是",'19.12'!$BB$4,'19.12'!$BB$3))</f>
        <v>0</v>
      </c>
      <c r="O78" s="4">
        <f>IF(ISNUMBER(SEARCH("营",'19.12'!W78)),(-$Y78+50*IF('19.12'!$AK78="是",'19.12'!$BB$4,'19.12'!$BB$3)),(VLOOKUP('19.12'!W78,'19.12'!$AO$4:$AQ$55,2,FALSE))*IF('19.12'!$AK78="是",'19.12'!$BB$4,'19.12'!$BB$3))</f>
        <v>0</v>
      </c>
      <c r="P78" s="4">
        <f>IF(ISNUMBER(SEARCH("营",'19.12'!X78)),(-$Y78+50*IF('19.12'!$AK78="是",'19.12'!$BB$4,'19.12'!$BB$3)),(VLOOKUP('19.12'!X78,'19.12'!$AO$4:$AQ$55,2,FALSE))*IF('19.12'!$AK78="是",'19.12'!$BB$4,'19.12'!$BB$3))</f>
        <v>0</v>
      </c>
      <c r="Q78" s="4">
        <f>IF(ISNUMBER(SEARCH("营",'19.12'!Y78)),(-$Y78+50*IF('19.12'!$AK78="是",'19.12'!$BB$4,'19.12'!$BB$3)),(VLOOKUP('19.12'!Y78,'19.12'!$AO$4:$AQ$55,2,FALSE))*IF('19.12'!$AK78="是",'19.12'!$BB$4,'19.12'!$BB$3))</f>
        <v>0</v>
      </c>
      <c r="R78" s="4">
        <f>IF(ISNUMBER(SEARCH("营",'19.12'!Z78)),(-$Y78+50*IF('19.12'!$AK78="是",'19.12'!$BB$4,'19.12'!$BB$3)),(VLOOKUP('19.12'!Z78,'19.12'!$AO$4:$AQ$55,2,FALSE))*IF('19.12'!$AK78="是",'19.12'!$BB$4,'19.12'!$BB$3))</f>
        <v>0</v>
      </c>
      <c r="S78" s="4">
        <f>IF(ISNUMBER(SEARCH("营",'19.12'!AA78)),(-$Y78+50*IF('19.12'!$AK78="是",'19.12'!$BB$4,'19.12'!$BB$3)),(VLOOKUP('19.12'!AA78,'19.12'!$AO$4:$AQ$55,2,FALSE))*IF('19.12'!$AK78="是",'19.12'!$BB$4,'19.12'!$BB$3))</f>
        <v>0</v>
      </c>
      <c r="T78" s="4">
        <f>IF(ISNUMBER(SEARCH("营",'19.12'!AB78)),(-$Y78+50*IF('19.12'!$AK78="是",'19.12'!$BB$4,'19.12'!$BB$3)),(VLOOKUP('19.12'!AB78,'19.12'!$AO$4:$AQ$55,2,FALSE))*IF('19.12'!$AK78="是",'19.12'!$BB$4,'19.12'!$BB$3))</f>
        <v>0</v>
      </c>
      <c r="U78" s="4">
        <f>IF(ISNUMBER(SEARCH("营",'19.12'!AC78)),(-$Y78+50*IF('19.12'!$AK78="是",'19.12'!$BB$4,'19.12'!$BB$3)),(VLOOKUP('19.12'!AC78,'19.12'!$AO$4:$AQ$55,2,FALSE))*IF('19.12'!$AK78="是",'19.12'!$BB$4,'19.12'!$BB$3))</f>
        <v>0</v>
      </c>
      <c r="V78" s="4">
        <f>IF(ISNUMBER(SEARCH("营",'19.12'!AD78)),(-$Y78+50*IF('19.12'!$AK78="是",'19.12'!$BB$4,'19.12'!$BB$3)),(VLOOKUP('19.12'!AD78,'19.12'!$AO$4:$AQ$55,2,FALSE))*IF('19.12'!$AK78="是",'19.12'!$BB$4,'19.12'!$BB$3))</f>
        <v>0</v>
      </c>
      <c r="W78" s="4">
        <f>IF(ISNUMBER(SEARCH("营",'19.12'!AE78)),(-$Y78+50*IF('19.12'!$AK78="是",'19.12'!$BB$4,'19.12'!$BB$3)),(VLOOKUP('19.12'!AE78,'19.12'!$AO$4:$AQ$55,2,FALSE))*IF('19.12'!$AK78="是",'19.12'!$BB$4,'19.12'!$BB$3))</f>
        <v>0</v>
      </c>
      <c r="X78" s="4">
        <f>IF(ISNUMBER(SEARCH("营",'19.12'!AF78)),(-$Y78+50*IF('19.12'!$AK78="是",'19.12'!$BB$4,'19.12'!$BB$3)),(VLOOKUP('19.12'!AF78,'19.12'!$AO$4:$AQ$55,2,FALSE))*IF('19.12'!$AK78="是",'19.12'!$BB$4,'19.12'!$BB$3))</f>
        <v>0</v>
      </c>
      <c r="Y78" s="18">
        <v>100</v>
      </c>
      <c r="Z78" s="15">
        <v>45804</v>
      </c>
    </row>
    <row r="79" spans="1:26">
      <c r="A79" s="4">
        <f>IF(ISNUMBER(SEARCH("营",'19.12'!I79)),(-$Y79+50*IF('19.12'!$AK79="是",'19.12'!$BB$4,'19.12'!$BB$3)),(VLOOKUP('19.12'!I79,'19.12'!$AO$4:$AQ$55,2,FALSE))*IF('19.12'!$AK79="是",'19.12'!$BB$4,'19.12'!$BB$3))</f>
        <v>0</v>
      </c>
      <c r="B79" s="4">
        <f>IF(ISNUMBER(SEARCH("营",'19.12'!J79)),(-$Y79+50*IF('19.12'!$AK79="是",'19.12'!$BB$4,'19.12'!$BB$3)),(VLOOKUP('19.12'!J79,'19.12'!$AO$4:$AQ$55,2,FALSE))*IF('19.12'!$AK79="是",'19.12'!$BB$4,'19.12'!$BB$3))</f>
        <v>0</v>
      </c>
      <c r="C79" s="4">
        <f>IF(ISNUMBER(SEARCH("营",'19.12'!K79)),(-$Y79+50*IF('19.12'!$AK79="是",'19.12'!$BB$4,'19.12'!$BB$3)),(VLOOKUP('19.12'!K79,'19.12'!$AO$4:$AQ$55,2,FALSE))*IF('19.12'!$AK79="是",'19.12'!$BB$4,'19.12'!$BB$3))</f>
        <v>0</v>
      </c>
      <c r="D79" s="4">
        <f>IF(ISNUMBER(SEARCH("营",'19.12'!L79)),(-$Y79+50*IF('19.12'!$AK79="是",'19.12'!$BB$4,'19.12'!$BB$3)),(VLOOKUP('19.12'!L79,'19.12'!$AO$4:$AQ$55,2,FALSE))*IF('19.12'!$AK79="是",'19.12'!$BB$4,'19.12'!$BB$3))</f>
        <v>0</v>
      </c>
      <c r="E79" s="4">
        <f>IF(ISNUMBER(SEARCH("营",'19.12'!M79)),(-$Y79+50*IF('19.12'!$AK79="是",'19.12'!$BB$4,'19.12'!$BB$3)),(VLOOKUP('19.12'!M79,'19.12'!$AO$4:$AQ$55,2,FALSE))*IF('19.12'!$AK79="是",'19.12'!$BB$4,'19.12'!$BB$3))</f>
        <v>0</v>
      </c>
      <c r="F79" s="4">
        <f>IF(ISNUMBER(SEARCH("营",'19.12'!N79)),(-$Y79+50*IF('19.12'!$AK79="是",'19.12'!$BB$4,'19.12'!$BB$3)),(VLOOKUP('19.12'!N79,'19.12'!$AO$4:$AQ$55,2,FALSE))*IF('19.12'!$AK79="是",'19.12'!$BB$4,'19.12'!$BB$3))</f>
        <v>0</v>
      </c>
      <c r="G79" s="4">
        <f>IF(ISNUMBER(SEARCH("营",'19.12'!O79)),(-$Y79+50*IF('19.12'!$AK79="是",'19.12'!$BB$4,'19.12'!$BB$3)),(VLOOKUP('19.12'!O79,'19.12'!$AO$4:$AQ$55,2,FALSE))*IF('19.12'!$AK79="是",'19.12'!$BB$4,'19.12'!$BB$3))</f>
        <v>0</v>
      </c>
      <c r="H79" s="4">
        <f>IF(ISNUMBER(SEARCH("营",'19.12'!P79)),(-$Y79+50*IF('19.12'!$AK79="是",'19.12'!$BB$4,'19.12'!$BB$3)),(VLOOKUP('19.12'!P79,'19.12'!$AO$4:$AQ$55,2,FALSE))*IF('19.12'!$AK79="是",'19.12'!$BB$4,'19.12'!$BB$3))</f>
        <v>0</v>
      </c>
      <c r="I79" s="4">
        <f>IF(ISNUMBER(SEARCH("营",'19.12'!Q79)),(-$Y79+50*IF('19.12'!$AK79="是",'19.12'!$BB$4,'19.12'!$BB$3)),(VLOOKUP('19.12'!Q79,'19.12'!$AO$4:$AQ$55,2,FALSE))*IF('19.12'!$AK79="是",'19.12'!$BB$4,'19.12'!$BB$3))</f>
        <v>0</v>
      </c>
      <c r="J79" s="4">
        <f>IF(ISNUMBER(SEARCH("营",'19.12'!R79)),(-$Y79+50*IF('19.12'!$AK79="是",'19.12'!$BB$4,'19.12'!$BB$3)),(VLOOKUP('19.12'!R79,'19.12'!$AO$4:$AQ$55,2,FALSE))*IF('19.12'!$AK79="是",'19.12'!$BB$4,'19.12'!$BB$3))</f>
        <v>0</v>
      </c>
      <c r="K79" s="4">
        <f>IF(ISNUMBER(SEARCH("营",'19.12'!S79)),(-$Y79+50*IF('19.12'!$AK79="是",'19.12'!$BB$4,'19.12'!$BB$3)),(VLOOKUP('19.12'!S79,'19.12'!$AO$4:$AQ$55,2,FALSE))*IF('19.12'!$AK79="是",'19.12'!$BB$4,'19.12'!$BB$3))</f>
        <v>0</v>
      </c>
      <c r="L79" s="4">
        <f>IF(ISNUMBER(SEARCH("营",'19.12'!T79)),(-$Y79+50*IF('19.12'!$AK79="是",'19.12'!$BB$4,'19.12'!$BB$3)),(VLOOKUP('19.12'!T79,'19.12'!$AO$4:$AQ$55,2,FALSE))*IF('19.12'!$AK79="是",'19.12'!$BB$4,'19.12'!$BB$3))</f>
        <v>0</v>
      </c>
      <c r="M79" s="4">
        <f>IF(ISNUMBER(SEARCH("营",'19.12'!U79)),(-$Y79+50*IF('19.12'!$AK79="是",'19.12'!$BB$4,'19.12'!$BB$3)),(VLOOKUP('19.12'!U79,'19.12'!$AO$4:$AQ$55,2,FALSE))*IF('19.12'!$AK79="是",'19.12'!$BB$4,'19.12'!$BB$3))</f>
        <v>0</v>
      </c>
      <c r="N79" s="4">
        <f>IF(ISNUMBER(SEARCH("营",'19.12'!V79)),(-$Y79+50*IF('19.12'!$AK79="是",'19.12'!$BB$4,'19.12'!$BB$3)),(VLOOKUP('19.12'!V79,'19.12'!$AO$4:$AQ$55,2,FALSE))*IF('19.12'!$AK79="是",'19.12'!$BB$4,'19.12'!$BB$3))</f>
        <v>0</v>
      </c>
      <c r="O79" s="4">
        <f>IF(ISNUMBER(SEARCH("营",'19.12'!W79)),(-$Y79+50*IF('19.12'!$AK79="是",'19.12'!$BB$4,'19.12'!$BB$3)),(VLOOKUP('19.12'!W79,'19.12'!$AO$4:$AQ$55,2,FALSE))*IF('19.12'!$AK79="是",'19.12'!$BB$4,'19.12'!$BB$3))</f>
        <v>0</v>
      </c>
      <c r="P79" s="4">
        <f>IF(ISNUMBER(SEARCH("营",'19.12'!X79)),(-$Y79+50*IF('19.12'!$AK79="是",'19.12'!$BB$4,'19.12'!$BB$3)),(VLOOKUP('19.12'!X79,'19.12'!$AO$4:$AQ$55,2,FALSE))*IF('19.12'!$AK79="是",'19.12'!$BB$4,'19.12'!$BB$3))</f>
        <v>0</v>
      </c>
      <c r="Q79" s="4">
        <f>IF(ISNUMBER(SEARCH("营",'19.12'!Y79)),(-$Y79+50*IF('19.12'!$AK79="是",'19.12'!$BB$4,'19.12'!$BB$3)),(VLOOKUP('19.12'!Y79,'19.12'!$AO$4:$AQ$55,2,FALSE))*IF('19.12'!$AK79="是",'19.12'!$BB$4,'19.12'!$BB$3))</f>
        <v>0</v>
      </c>
      <c r="R79" s="4">
        <f>IF(ISNUMBER(SEARCH("营",'19.12'!Z79)),(-$Y79+50*IF('19.12'!$AK79="是",'19.12'!$BB$4,'19.12'!$BB$3)),(VLOOKUP('19.12'!Z79,'19.12'!$AO$4:$AQ$55,2,FALSE))*IF('19.12'!$AK79="是",'19.12'!$BB$4,'19.12'!$BB$3))</f>
        <v>0</v>
      </c>
      <c r="S79" s="4">
        <f>IF(ISNUMBER(SEARCH("营",'19.12'!AA79)),(-$Y79+50*IF('19.12'!$AK79="是",'19.12'!$BB$4,'19.12'!$BB$3)),(VLOOKUP('19.12'!AA79,'19.12'!$AO$4:$AQ$55,2,FALSE))*IF('19.12'!$AK79="是",'19.12'!$BB$4,'19.12'!$BB$3))</f>
        <v>0</v>
      </c>
      <c r="T79" s="4">
        <f>IF(ISNUMBER(SEARCH("营",'19.12'!AB79)),(-$Y79+50*IF('19.12'!$AK79="是",'19.12'!$BB$4,'19.12'!$BB$3)),(VLOOKUP('19.12'!AB79,'19.12'!$AO$4:$AQ$55,2,FALSE))*IF('19.12'!$AK79="是",'19.12'!$BB$4,'19.12'!$BB$3))</f>
        <v>0</v>
      </c>
      <c r="U79" s="4">
        <f>IF(ISNUMBER(SEARCH("营",'19.12'!AC79)),(-$Y79+50*IF('19.12'!$AK79="是",'19.12'!$BB$4,'19.12'!$BB$3)),(VLOOKUP('19.12'!AC79,'19.12'!$AO$4:$AQ$55,2,FALSE))*IF('19.12'!$AK79="是",'19.12'!$BB$4,'19.12'!$BB$3))</f>
        <v>0</v>
      </c>
      <c r="V79" s="4">
        <f>IF(ISNUMBER(SEARCH("营",'19.12'!AD79)),(-$Y79+50*IF('19.12'!$AK79="是",'19.12'!$BB$4,'19.12'!$BB$3)),(VLOOKUP('19.12'!AD79,'19.12'!$AO$4:$AQ$55,2,FALSE))*IF('19.12'!$AK79="是",'19.12'!$BB$4,'19.12'!$BB$3))</f>
        <v>0</v>
      </c>
      <c r="W79" s="4">
        <f>IF(ISNUMBER(SEARCH("营",'19.12'!AE79)),(-$Y79+50*IF('19.12'!$AK79="是",'19.12'!$BB$4,'19.12'!$BB$3)),(VLOOKUP('19.12'!AE79,'19.12'!$AO$4:$AQ$55,2,FALSE))*IF('19.12'!$AK79="是",'19.12'!$BB$4,'19.12'!$BB$3))</f>
        <v>0</v>
      </c>
      <c r="X79" s="4">
        <f>IF(ISNUMBER(SEARCH("营",'19.12'!AF79)),(-$Y79+50*IF('19.12'!$AK79="是",'19.12'!$BB$4,'19.12'!$BB$3)),(VLOOKUP('19.12'!AF79,'19.12'!$AO$4:$AQ$55,2,FALSE))*IF('19.12'!$AK79="是",'19.12'!$BB$4,'19.12'!$BB$3))</f>
        <v>0</v>
      </c>
      <c r="Y79" s="18">
        <v>100</v>
      </c>
      <c r="Z79" s="15">
        <v>45805</v>
      </c>
    </row>
    <row r="80" spans="1:26">
      <c r="A80" s="4">
        <f>IF(ISNUMBER(SEARCH("营",'19.12'!I80)),(-$Y80+50*IF('19.12'!$AK80="是",'19.12'!$BB$4,'19.12'!$BB$3)),(VLOOKUP('19.12'!I80,'19.12'!$AO$4:$AQ$55,2,FALSE))*IF('19.12'!$AK80="是",'19.12'!$BB$4,'19.12'!$BB$3))</f>
        <v>0</v>
      </c>
      <c r="B80" s="4">
        <f>IF(ISNUMBER(SEARCH("营",'19.12'!J80)),(-$Y80+50*IF('19.12'!$AK80="是",'19.12'!$BB$4,'19.12'!$BB$3)),(VLOOKUP('19.12'!J80,'19.12'!$AO$4:$AQ$55,2,FALSE))*IF('19.12'!$AK80="是",'19.12'!$BB$4,'19.12'!$BB$3))</f>
        <v>0</v>
      </c>
      <c r="C80" s="4">
        <f>IF(ISNUMBER(SEARCH("营",'19.12'!K80)),(-$Y80+50*IF('19.12'!$AK80="是",'19.12'!$BB$4,'19.12'!$BB$3)),(VLOOKUP('19.12'!K80,'19.12'!$AO$4:$AQ$55,2,FALSE))*IF('19.12'!$AK80="是",'19.12'!$BB$4,'19.12'!$BB$3))</f>
        <v>0</v>
      </c>
      <c r="D80" s="4">
        <f>IF(ISNUMBER(SEARCH("营",'19.12'!L80)),(-$Y80+50*IF('19.12'!$AK80="是",'19.12'!$BB$4,'19.12'!$BB$3)),(VLOOKUP('19.12'!L80,'19.12'!$AO$4:$AQ$55,2,FALSE))*IF('19.12'!$AK80="是",'19.12'!$BB$4,'19.12'!$BB$3))</f>
        <v>0</v>
      </c>
      <c r="E80" s="4">
        <f>IF(ISNUMBER(SEARCH("营",'19.12'!M80)),(-$Y80+50*IF('19.12'!$AK80="是",'19.12'!$BB$4,'19.12'!$BB$3)),(VLOOKUP('19.12'!M80,'19.12'!$AO$4:$AQ$55,2,FALSE))*IF('19.12'!$AK80="是",'19.12'!$BB$4,'19.12'!$BB$3))</f>
        <v>0</v>
      </c>
      <c r="F80" s="4">
        <f>IF(ISNUMBER(SEARCH("营",'19.12'!N80)),(-$Y80+50*IF('19.12'!$AK80="是",'19.12'!$BB$4,'19.12'!$BB$3)),(VLOOKUP('19.12'!N80,'19.12'!$AO$4:$AQ$55,2,FALSE))*IF('19.12'!$AK80="是",'19.12'!$BB$4,'19.12'!$BB$3))</f>
        <v>0</v>
      </c>
      <c r="G80" s="4">
        <f>IF(ISNUMBER(SEARCH("营",'19.12'!O80)),(-$Y80+50*IF('19.12'!$AK80="是",'19.12'!$BB$4,'19.12'!$BB$3)),(VLOOKUP('19.12'!O80,'19.12'!$AO$4:$AQ$55,2,FALSE))*IF('19.12'!$AK80="是",'19.12'!$BB$4,'19.12'!$BB$3))</f>
        <v>0</v>
      </c>
      <c r="H80" s="4">
        <f>IF(ISNUMBER(SEARCH("营",'19.12'!P80)),(-$Y80+50*IF('19.12'!$AK80="是",'19.12'!$BB$4,'19.12'!$BB$3)),(VLOOKUP('19.12'!P80,'19.12'!$AO$4:$AQ$55,2,FALSE))*IF('19.12'!$AK80="是",'19.12'!$BB$4,'19.12'!$BB$3))</f>
        <v>0</v>
      </c>
      <c r="I80" s="4">
        <f>IF(ISNUMBER(SEARCH("营",'19.12'!Q80)),(-$Y80+50*IF('19.12'!$AK80="是",'19.12'!$BB$4,'19.12'!$BB$3)),(VLOOKUP('19.12'!Q80,'19.12'!$AO$4:$AQ$55,2,FALSE))*IF('19.12'!$AK80="是",'19.12'!$BB$4,'19.12'!$BB$3))</f>
        <v>0</v>
      </c>
      <c r="J80" s="4">
        <f>IF(ISNUMBER(SEARCH("营",'19.12'!R80)),(-$Y80+50*IF('19.12'!$AK80="是",'19.12'!$BB$4,'19.12'!$BB$3)),(VLOOKUP('19.12'!R80,'19.12'!$AO$4:$AQ$55,2,FALSE))*IF('19.12'!$AK80="是",'19.12'!$BB$4,'19.12'!$BB$3))</f>
        <v>0</v>
      </c>
      <c r="K80" s="4">
        <f>IF(ISNUMBER(SEARCH("营",'19.12'!S80)),(-$Y80+50*IF('19.12'!$AK80="是",'19.12'!$BB$4,'19.12'!$BB$3)),(VLOOKUP('19.12'!S80,'19.12'!$AO$4:$AQ$55,2,FALSE))*IF('19.12'!$AK80="是",'19.12'!$BB$4,'19.12'!$BB$3))</f>
        <v>0</v>
      </c>
      <c r="L80" s="4">
        <f>IF(ISNUMBER(SEARCH("营",'19.12'!T80)),(-$Y80+50*IF('19.12'!$AK80="是",'19.12'!$BB$4,'19.12'!$BB$3)),(VLOOKUP('19.12'!T80,'19.12'!$AO$4:$AQ$55,2,FALSE))*IF('19.12'!$AK80="是",'19.12'!$BB$4,'19.12'!$BB$3))</f>
        <v>0</v>
      </c>
      <c r="M80" s="4">
        <f>IF(ISNUMBER(SEARCH("营",'19.12'!U80)),(-$Y80+50*IF('19.12'!$AK80="是",'19.12'!$BB$4,'19.12'!$BB$3)),(VLOOKUP('19.12'!U80,'19.12'!$AO$4:$AQ$55,2,FALSE))*IF('19.12'!$AK80="是",'19.12'!$BB$4,'19.12'!$BB$3))</f>
        <v>0</v>
      </c>
      <c r="N80" s="4">
        <f>IF(ISNUMBER(SEARCH("营",'19.12'!V80)),(-$Y80+50*IF('19.12'!$AK80="是",'19.12'!$BB$4,'19.12'!$BB$3)),(VLOOKUP('19.12'!V80,'19.12'!$AO$4:$AQ$55,2,FALSE))*IF('19.12'!$AK80="是",'19.12'!$BB$4,'19.12'!$BB$3))</f>
        <v>0</v>
      </c>
      <c r="O80" s="4">
        <f>IF(ISNUMBER(SEARCH("营",'19.12'!W80)),(-$Y80+50*IF('19.12'!$AK80="是",'19.12'!$BB$4,'19.12'!$BB$3)),(VLOOKUP('19.12'!W80,'19.12'!$AO$4:$AQ$55,2,FALSE))*IF('19.12'!$AK80="是",'19.12'!$BB$4,'19.12'!$BB$3))</f>
        <v>0</v>
      </c>
      <c r="P80" s="4">
        <f>IF(ISNUMBER(SEARCH("营",'19.12'!X80)),(-$Y80+50*IF('19.12'!$AK80="是",'19.12'!$BB$4,'19.12'!$BB$3)),(VLOOKUP('19.12'!X80,'19.12'!$AO$4:$AQ$55,2,FALSE))*IF('19.12'!$AK80="是",'19.12'!$BB$4,'19.12'!$BB$3))</f>
        <v>0</v>
      </c>
      <c r="Q80" s="4">
        <f>IF(ISNUMBER(SEARCH("营",'19.12'!Y80)),(-$Y80+50*IF('19.12'!$AK80="是",'19.12'!$BB$4,'19.12'!$BB$3)),(VLOOKUP('19.12'!Y80,'19.12'!$AO$4:$AQ$55,2,FALSE))*IF('19.12'!$AK80="是",'19.12'!$BB$4,'19.12'!$BB$3))</f>
        <v>0</v>
      </c>
      <c r="R80" s="4">
        <f>IF(ISNUMBER(SEARCH("营",'19.12'!Z80)),(-$Y80+50*IF('19.12'!$AK80="是",'19.12'!$BB$4,'19.12'!$BB$3)),(VLOOKUP('19.12'!Z80,'19.12'!$AO$4:$AQ$55,2,FALSE))*IF('19.12'!$AK80="是",'19.12'!$BB$4,'19.12'!$BB$3))</f>
        <v>0</v>
      </c>
      <c r="S80" s="4">
        <f>IF(ISNUMBER(SEARCH("营",'19.12'!AA80)),(-$Y80+50*IF('19.12'!$AK80="是",'19.12'!$BB$4,'19.12'!$BB$3)),(VLOOKUP('19.12'!AA80,'19.12'!$AO$4:$AQ$55,2,FALSE))*IF('19.12'!$AK80="是",'19.12'!$BB$4,'19.12'!$BB$3))</f>
        <v>0</v>
      </c>
      <c r="T80" s="4">
        <f>IF(ISNUMBER(SEARCH("营",'19.12'!AB80)),(-$Y80+50*IF('19.12'!$AK80="是",'19.12'!$BB$4,'19.12'!$BB$3)),(VLOOKUP('19.12'!AB80,'19.12'!$AO$4:$AQ$55,2,FALSE))*IF('19.12'!$AK80="是",'19.12'!$BB$4,'19.12'!$BB$3))</f>
        <v>0</v>
      </c>
      <c r="U80" s="4">
        <f>IF(ISNUMBER(SEARCH("营",'19.12'!AC80)),(-$Y80+50*IF('19.12'!$AK80="是",'19.12'!$BB$4,'19.12'!$BB$3)),(VLOOKUP('19.12'!AC80,'19.12'!$AO$4:$AQ$55,2,FALSE))*IF('19.12'!$AK80="是",'19.12'!$BB$4,'19.12'!$BB$3))</f>
        <v>0</v>
      </c>
      <c r="V80" s="4">
        <f>IF(ISNUMBER(SEARCH("营",'19.12'!AD80)),(-$Y80+50*IF('19.12'!$AK80="是",'19.12'!$BB$4,'19.12'!$BB$3)),(VLOOKUP('19.12'!AD80,'19.12'!$AO$4:$AQ$55,2,FALSE))*IF('19.12'!$AK80="是",'19.12'!$BB$4,'19.12'!$BB$3))</f>
        <v>0</v>
      </c>
      <c r="W80" s="4">
        <f>IF(ISNUMBER(SEARCH("营",'19.12'!AE80)),(-$Y80+50*IF('19.12'!$AK80="是",'19.12'!$BB$4,'19.12'!$BB$3)),(VLOOKUP('19.12'!AE80,'19.12'!$AO$4:$AQ$55,2,FALSE))*IF('19.12'!$AK80="是",'19.12'!$BB$4,'19.12'!$BB$3))</f>
        <v>0</v>
      </c>
      <c r="X80" s="4">
        <f>IF(ISNUMBER(SEARCH("营",'19.12'!AF80)),(-$Y80+50*IF('19.12'!$AK80="是",'19.12'!$BB$4,'19.12'!$BB$3)),(VLOOKUP('19.12'!AF80,'19.12'!$AO$4:$AQ$55,2,FALSE))*IF('19.12'!$AK80="是",'19.12'!$BB$4,'19.12'!$BB$3))</f>
        <v>0</v>
      </c>
      <c r="Y80" s="18">
        <v>100</v>
      </c>
      <c r="Z80" s="15">
        <v>45806</v>
      </c>
    </row>
    <row r="81" spans="1:26">
      <c r="A81" s="4">
        <f>IF(ISNUMBER(SEARCH("营",'19.12'!I81)),(-$Y81+50*IF('19.12'!$AK81="是",'19.12'!$BB$4,'19.12'!$BB$3)),(VLOOKUP('19.12'!I81,'19.12'!$AO$4:$AQ$55,2,FALSE))*IF('19.12'!$AK81="是",'19.12'!$BB$4,'19.12'!$BB$3))</f>
        <v>0</v>
      </c>
      <c r="B81" s="4">
        <f>IF(ISNUMBER(SEARCH("营",'19.12'!J81)),(-$Y81+50*IF('19.12'!$AK81="是",'19.12'!$BB$4,'19.12'!$BB$3)),(VLOOKUP('19.12'!J81,'19.12'!$AO$4:$AQ$55,2,FALSE))*IF('19.12'!$AK81="是",'19.12'!$BB$4,'19.12'!$BB$3))</f>
        <v>0</v>
      </c>
      <c r="C81" s="4">
        <f>IF(ISNUMBER(SEARCH("营",'19.12'!K81)),(-$Y81+50*IF('19.12'!$AK81="是",'19.12'!$BB$4,'19.12'!$BB$3)),(VLOOKUP('19.12'!K81,'19.12'!$AO$4:$AQ$55,2,FALSE))*IF('19.12'!$AK81="是",'19.12'!$BB$4,'19.12'!$BB$3))</f>
        <v>0</v>
      </c>
      <c r="D81" s="4">
        <f>IF(ISNUMBER(SEARCH("营",'19.12'!L81)),(-$Y81+50*IF('19.12'!$AK81="是",'19.12'!$BB$4,'19.12'!$BB$3)),(VLOOKUP('19.12'!L81,'19.12'!$AO$4:$AQ$55,2,FALSE))*IF('19.12'!$AK81="是",'19.12'!$BB$4,'19.12'!$BB$3))</f>
        <v>0</v>
      </c>
      <c r="E81" s="4">
        <f>IF(ISNUMBER(SEARCH("营",'19.12'!M81)),(-$Y81+50*IF('19.12'!$AK81="是",'19.12'!$BB$4,'19.12'!$BB$3)),(VLOOKUP('19.12'!M81,'19.12'!$AO$4:$AQ$55,2,FALSE))*IF('19.12'!$AK81="是",'19.12'!$BB$4,'19.12'!$BB$3))</f>
        <v>0</v>
      </c>
      <c r="F81" s="4">
        <f>IF(ISNUMBER(SEARCH("营",'19.12'!N81)),(-$Y81+50*IF('19.12'!$AK81="是",'19.12'!$BB$4,'19.12'!$BB$3)),(VLOOKUP('19.12'!N81,'19.12'!$AO$4:$AQ$55,2,FALSE))*IF('19.12'!$AK81="是",'19.12'!$BB$4,'19.12'!$BB$3))</f>
        <v>0</v>
      </c>
      <c r="G81" s="4">
        <f>IF(ISNUMBER(SEARCH("营",'19.12'!O81)),(-$Y81+50*IF('19.12'!$AK81="是",'19.12'!$BB$4,'19.12'!$BB$3)),(VLOOKUP('19.12'!O81,'19.12'!$AO$4:$AQ$55,2,FALSE))*IF('19.12'!$AK81="是",'19.12'!$BB$4,'19.12'!$BB$3))</f>
        <v>0</v>
      </c>
      <c r="H81" s="4">
        <f>IF(ISNUMBER(SEARCH("营",'19.12'!P81)),(-$Y81+50*IF('19.12'!$AK81="是",'19.12'!$BB$4,'19.12'!$BB$3)),(VLOOKUP('19.12'!P81,'19.12'!$AO$4:$AQ$55,2,FALSE))*IF('19.12'!$AK81="是",'19.12'!$BB$4,'19.12'!$BB$3))</f>
        <v>0</v>
      </c>
      <c r="I81" s="4">
        <f>IF(ISNUMBER(SEARCH("营",'19.12'!Q81)),(-$Y81+50*IF('19.12'!$AK81="是",'19.12'!$BB$4,'19.12'!$BB$3)),(VLOOKUP('19.12'!Q81,'19.12'!$AO$4:$AQ$55,2,FALSE))*IF('19.12'!$AK81="是",'19.12'!$BB$4,'19.12'!$BB$3))</f>
        <v>0</v>
      </c>
      <c r="J81" s="4">
        <f>IF(ISNUMBER(SEARCH("营",'19.12'!R81)),(-$Y81+50*IF('19.12'!$AK81="是",'19.12'!$BB$4,'19.12'!$BB$3)),(VLOOKUP('19.12'!R81,'19.12'!$AO$4:$AQ$55,2,FALSE))*IF('19.12'!$AK81="是",'19.12'!$BB$4,'19.12'!$BB$3))</f>
        <v>0</v>
      </c>
      <c r="K81" s="4">
        <f>IF(ISNUMBER(SEARCH("营",'19.12'!S81)),(-$Y81+50*IF('19.12'!$AK81="是",'19.12'!$BB$4,'19.12'!$BB$3)),(VLOOKUP('19.12'!S81,'19.12'!$AO$4:$AQ$55,2,FALSE))*IF('19.12'!$AK81="是",'19.12'!$BB$4,'19.12'!$BB$3))</f>
        <v>0</v>
      </c>
      <c r="L81" s="4">
        <f>IF(ISNUMBER(SEARCH("营",'19.12'!T81)),(-$Y81+50*IF('19.12'!$AK81="是",'19.12'!$BB$4,'19.12'!$BB$3)),(VLOOKUP('19.12'!T81,'19.12'!$AO$4:$AQ$55,2,FALSE))*IF('19.12'!$AK81="是",'19.12'!$BB$4,'19.12'!$BB$3))</f>
        <v>0</v>
      </c>
      <c r="M81" s="4">
        <f>IF(ISNUMBER(SEARCH("营",'19.12'!U81)),(-$Y81+50*IF('19.12'!$AK81="是",'19.12'!$BB$4,'19.12'!$BB$3)),(VLOOKUP('19.12'!U81,'19.12'!$AO$4:$AQ$55,2,FALSE))*IF('19.12'!$AK81="是",'19.12'!$BB$4,'19.12'!$BB$3))</f>
        <v>0</v>
      </c>
      <c r="N81" s="4">
        <f>IF(ISNUMBER(SEARCH("营",'19.12'!V81)),(-$Y81+50*IF('19.12'!$AK81="是",'19.12'!$BB$4,'19.12'!$BB$3)),(VLOOKUP('19.12'!V81,'19.12'!$AO$4:$AQ$55,2,FALSE))*IF('19.12'!$AK81="是",'19.12'!$BB$4,'19.12'!$BB$3))</f>
        <v>0</v>
      </c>
      <c r="O81" s="4">
        <f>IF(ISNUMBER(SEARCH("营",'19.12'!W81)),(-$Y81+50*IF('19.12'!$AK81="是",'19.12'!$BB$4,'19.12'!$BB$3)),(VLOOKUP('19.12'!W81,'19.12'!$AO$4:$AQ$55,2,FALSE))*IF('19.12'!$AK81="是",'19.12'!$BB$4,'19.12'!$BB$3))</f>
        <v>0</v>
      </c>
      <c r="P81" s="4">
        <f>IF(ISNUMBER(SEARCH("营",'19.12'!X81)),(-$Y81+50*IF('19.12'!$AK81="是",'19.12'!$BB$4,'19.12'!$BB$3)),(VLOOKUP('19.12'!X81,'19.12'!$AO$4:$AQ$55,2,FALSE))*IF('19.12'!$AK81="是",'19.12'!$BB$4,'19.12'!$BB$3))</f>
        <v>0</v>
      </c>
      <c r="Q81" s="4">
        <f>IF(ISNUMBER(SEARCH("营",'19.12'!Y81)),(-$Y81+50*IF('19.12'!$AK81="是",'19.12'!$BB$4,'19.12'!$BB$3)),(VLOOKUP('19.12'!Y81,'19.12'!$AO$4:$AQ$55,2,FALSE))*IF('19.12'!$AK81="是",'19.12'!$BB$4,'19.12'!$BB$3))</f>
        <v>0</v>
      </c>
      <c r="R81" s="4">
        <f>IF(ISNUMBER(SEARCH("营",'19.12'!Z81)),(-$Y81+50*IF('19.12'!$AK81="是",'19.12'!$BB$4,'19.12'!$BB$3)),(VLOOKUP('19.12'!Z81,'19.12'!$AO$4:$AQ$55,2,FALSE))*IF('19.12'!$AK81="是",'19.12'!$BB$4,'19.12'!$BB$3))</f>
        <v>0</v>
      </c>
      <c r="S81" s="4">
        <f>IF(ISNUMBER(SEARCH("营",'19.12'!AA81)),(-$Y81+50*IF('19.12'!$AK81="是",'19.12'!$BB$4,'19.12'!$BB$3)),(VLOOKUP('19.12'!AA81,'19.12'!$AO$4:$AQ$55,2,FALSE))*IF('19.12'!$AK81="是",'19.12'!$BB$4,'19.12'!$BB$3))</f>
        <v>0</v>
      </c>
      <c r="T81" s="4">
        <f>IF(ISNUMBER(SEARCH("营",'19.12'!AB81)),(-$Y81+50*IF('19.12'!$AK81="是",'19.12'!$BB$4,'19.12'!$BB$3)),(VLOOKUP('19.12'!AB81,'19.12'!$AO$4:$AQ$55,2,FALSE))*IF('19.12'!$AK81="是",'19.12'!$BB$4,'19.12'!$BB$3))</f>
        <v>0</v>
      </c>
      <c r="U81" s="4">
        <f>IF(ISNUMBER(SEARCH("营",'19.12'!AC81)),(-$Y81+50*IF('19.12'!$AK81="是",'19.12'!$BB$4,'19.12'!$BB$3)),(VLOOKUP('19.12'!AC81,'19.12'!$AO$4:$AQ$55,2,FALSE))*IF('19.12'!$AK81="是",'19.12'!$BB$4,'19.12'!$BB$3))</f>
        <v>0</v>
      </c>
      <c r="V81" s="4">
        <f>IF(ISNUMBER(SEARCH("营",'19.12'!AD81)),(-$Y81+50*IF('19.12'!$AK81="是",'19.12'!$BB$4,'19.12'!$BB$3)),(VLOOKUP('19.12'!AD81,'19.12'!$AO$4:$AQ$55,2,FALSE))*IF('19.12'!$AK81="是",'19.12'!$BB$4,'19.12'!$BB$3))</f>
        <v>0</v>
      </c>
      <c r="W81" s="4">
        <f>IF(ISNUMBER(SEARCH("营",'19.12'!AE81)),(-$Y81+50*IF('19.12'!$AK81="是",'19.12'!$BB$4,'19.12'!$BB$3)),(VLOOKUP('19.12'!AE81,'19.12'!$AO$4:$AQ$55,2,FALSE))*IF('19.12'!$AK81="是",'19.12'!$BB$4,'19.12'!$BB$3))</f>
        <v>0</v>
      </c>
      <c r="X81" s="4">
        <f>IF(ISNUMBER(SEARCH("营",'19.12'!AF81)),(-$Y81+50*IF('19.12'!$AK81="是",'19.12'!$BB$4,'19.12'!$BB$3)),(VLOOKUP('19.12'!AF81,'19.12'!$AO$4:$AQ$55,2,FALSE))*IF('19.12'!$AK81="是",'19.12'!$BB$4,'19.12'!$BB$3))</f>
        <v>0</v>
      </c>
      <c r="Y81" s="18">
        <v>100</v>
      </c>
      <c r="Z81" s="15">
        <v>45807</v>
      </c>
    </row>
    <row r="82" spans="1:26">
      <c r="A82" s="4">
        <f>IF(ISNUMBER(SEARCH("营",'19.12'!I82)),(-$Y82+50*IF('19.12'!$AK82="是",'19.12'!$BB$4,'19.12'!$BB$3)),(VLOOKUP('19.12'!I82,'19.12'!$AO$4:$AQ$55,2,FALSE))*IF('19.12'!$AK82="是",'19.12'!$BB$4,'19.12'!$BB$3))</f>
        <v>0</v>
      </c>
      <c r="B82" s="4">
        <f>IF(ISNUMBER(SEARCH("营",'19.12'!J82)),(-$Y82+50*IF('19.12'!$AK82="是",'19.12'!$BB$4,'19.12'!$BB$3)),(VLOOKUP('19.12'!J82,'19.12'!$AO$4:$AQ$55,2,FALSE))*IF('19.12'!$AK82="是",'19.12'!$BB$4,'19.12'!$BB$3))</f>
        <v>0</v>
      </c>
      <c r="C82" s="4">
        <f>IF(ISNUMBER(SEARCH("营",'19.12'!K82)),(-$Y82+50*IF('19.12'!$AK82="是",'19.12'!$BB$4,'19.12'!$BB$3)),(VLOOKUP('19.12'!K82,'19.12'!$AO$4:$AQ$55,2,FALSE))*IF('19.12'!$AK82="是",'19.12'!$BB$4,'19.12'!$BB$3))</f>
        <v>0</v>
      </c>
      <c r="D82" s="4">
        <f>IF(ISNUMBER(SEARCH("营",'19.12'!L82)),(-$Y82+50*IF('19.12'!$AK82="是",'19.12'!$BB$4,'19.12'!$BB$3)),(VLOOKUP('19.12'!L82,'19.12'!$AO$4:$AQ$55,2,FALSE))*IF('19.12'!$AK82="是",'19.12'!$BB$4,'19.12'!$BB$3))</f>
        <v>0</v>
      </c>
      <c r="E82" s="4">
        <f>IF(ISNUMBER(SEARCH("营",'19.12'!M82)),(-$Y82+50*IF('19.12'!$AK82="是",'19.12'!$BB$4,'19.12'!$BB$3)),(VLOOKUP('19.12'!M82,'19.12'!$AO$4:$AQ$55,2,FALSE))*IF('19.12'!$AK82="是",'19.12'!$BB$4,'19.12'!$BB$3))</f>
        <v>0</v>
      </c>
      <c r="F82" s="4">
        <f>IF(ISNUMBER(SEARCH("营",'19.12'!N82)),(-$Y82+50*IF('19.12'!$AK82="是",'19.12'!$BB$4,'19.12'!$BB$3)),(VLOOKUP('19.12'!N82,'19.12'!$AO$4:$AQ$55,2,FALSE))*IF('19.12'!$AK82="是",'19.12'!$BB$4,'19.12'!$BB$3))</f>
        <v>0</v>
      </c>
      <c r="G82" s="4">
        <f>IF(ISNUMBER(SEARCH("营",'19.12'!O82)),(-$Y82+50*IF('19.12'!$AK82="是",'19.12'!$BB$4,'19.12'!$BB$3)),(VLOOKUP('19.12'!O82,'19.12'!$AO$4:$AQ$55,2,FALSE))*IF('19.12'!$AK82="是",'19.12'!$BB$4,'19.12'!$BB$3))</f>
        <v>0</v>
      </c>
      <c r="H82" s="4">
        <f>IF(ISNUMBER(SEARCH("营",'19.12'!P82)),(-$Y82+50*IF('19.12'!$AK82="是",'19.12'!$BB$4,'19.12'!$BB$3)),(VLOOKUP('19.12'!P82,'19.12'!$AO$4:$AQ$55,2,FALSE))*IF('19.12'!$AK82="是",'19.12'!$BB$4,'19.12'!$BB$3))</f>
        <v>0</v>
      </c>
      <c r="I82" s="4">
        <f>IF(ISNUMBER(SEARCH("营",'19.12'!Q82)),(-$Y82+50*IF('19.12'!$AK82="是",'19.12'!$BB$4,'19.12'!$BB$3)),(VLOOKUP('19.12'!Q82,'19.12'!$AO$4:$AQ$55,2,FALSE))*IF('19.12'!$AK82="是",'19.12'!$BB$4,'19.12'!$BB$3))</f>
        <v>0</v>
      </c>
      <c r="J82" s="4">
        <f>IF(ISNUMBER(SEARCH("营",'19.12'!R82)),(-$Y82+50*IF('19.12'!$AK82="是",'19.12'!$BB$4,'19.12'!$BB$3)),(VLOOKUP('19.12'!R82,'19.12'!$AO$4:$AQ$55,2,FALSE))*IF('19.12'!$AK82="是",'19.12'!$BB$4,'19.12'!$BB$3))</f>
        <v>0</v>
      </c>
      <c r="K82" s="4">
        <f>IF(ISNUMBER(SEARCH("营",'19.12'!S82)),(-$Y82+50*IF('19.12'!$AK82="是",'19.12'!$BB$4,'19.12'!$BB$3)),(VLOOKUP('19.12'!S82,'19.12'!$AO$4:$AQ$55,2,FALSE))*IF('19.12'!$AK82="是",'19.12'!$BB$4,'19.12'!$BB$3))</f>
        <v>0</v>
      </c>
      <c r="L82" s="4">
        <f>IF(ISNUMBER(SEARCH("营",'19.12'!T82)),(-$Y82+50*IF('19.12'!$AK82="是",'19.12'!$BB$4,'19.12'!$BB$3)),(VLOOKUP('19.12'!T82,'19.12'!$AO$4:$AQ$55,2,FALSE))*IF('19.12'!$AK82="是",'19.12'!$BB$4,'19.12'!$BB$3))</f>
        <v>0</v>
      </c>
      <c r="M82" s="4">
        <f>IF(ISNUMBER(SEARCH("营",'19.12'!U82)),(-$Y82+50*IF('19.12'!$AK82="是",'19.12'!$BB$4,'19.12'!$BB$3)),(VLOOKUP('19.12'!U82,'19.12'!$AO$4:$AQ$55,2,FALSE))*IF('19.12'!$AK82="是",'19.12'!$BB$4,'19.12'!$BB$3))</f>
        <v>0</v>
      </c>
      <c r="N82" s="4">
        <f>IF(ISNUMBER(SEARCH("营",'19.12'!V82)),(-$Y82+50*IF('19.12'!$AK82="是",'19.12'!$BB$4,'19.12'!$BB$3)),(VLOOKUP('19.12'!V82,'19.12'!$AO$4:$AQ$55,2,FALSE))*IF('19.12'!$AK82="是",'19.12'!$BB$4,'19.12'!$BB$3))</f>
        <v>0</v>
      </c>
      <c r="O82" s="4">
        <f>IF(ISNUMBER(SEARCH("营",'19.12'!W82)),(-$Y82+50*IF('19.12'!$AK82="是",'19.12'!$BB$4,'19.12'!$BB$3)),(VLOOKUP('19.12'!W82,'19.12'!$AO$4:$AQ$55,2,FALSE))*IF('19.12'!$AK82="是",'19.12'!$BB$4,'19.12'!$BB$3))</f>
        <v>0</v>
      </c>
      <c r="P82" s="4">
        <f>IF(ISNUMBER(SEARCH("营",'19.12'!X82)),(-$Y82+50*IF('19.12'!$AK82="是",'19.12'!$BB$4,'19.12'!$BB$3)),(VLOOKUP('19.12'!X82,'19.12'!$AO$4:$AQ$55,2,FALSE))*IF('19.12'!$AK82="是",'19.12'!$BB$4,'19.12'!$BB$3))</f>
        <v>0</v>
      </c>
      <c r="Q82" s="4">
        <f>IF(ISNUMBER(SEARCH("营",'19.12'!Y82)),(-$Y82+50*IF('19.12'!$AK82="是",'19.12'!$BB$4,'19.12'!$BB$3)),(VLOOKUP('19.12'!Y82,'19.12'!$AO$4:$AQ$55,2,FALSE))*IF('19.12'!$AK82="是",'19.12'!$BB$4,'19.12'!$BB$3))</f>
        <v>0</v>
      </c>
      <c r="R82" s="4">
        <f>IF(ISNUMBER(SEARCH("营",'19.12'!Z82)),(-$Y82+50*IF('19.12'!$AK82="是",'19.12'!$BB$4,'19.12'!$BB$3)),(VLOOKUP('19.12'!Z82,'19.12'!$AO$4:$AQ$55,2,FALSE))*IF('19.12'!$AK82="是",'19.12'!$BB$4,'19.12'!$BB$3))</f>
        <v>0</v>
      </c>
      <c r="S82" s="4">
        <f>IF(ISNUMBER(SEARCH("营",'19.12'!AA82)),(-$Y82+50*IF('19.12'!$AK82="是",'19.12'!$BB$4,'19.12'!$BB$3)),(VLOOKUP('19.12'!AA82,'19.12'!$AO$4:$AQ$55,2,FALSE))*IF('19.12'!$AK82="是",'19.12'!$BB$4,'19.12'!$BB$3))</f>
        <v>0</v>
      </c>
      <c r="T82" s="4">
        <f>IF(ISNUMBER(SEARCH("营",'19.12'!AB82)),(-$Y82+50*IF('19.12'!$AK82="是",'19.12'!$BB$4,'19.12'!$BB$3)),(VLOOKUP('19.12'!AB82,'19.12'!$AO$4:$AQ$55,2,FALSE))*IF('19.12'!$AK82="是",'19.12'!$BB$4,'19.12'!$BB$3))</f>
        <v>0</v>
      </c>
      <c r="U82" s="4">
        <f>IF(ISNUMBER(SEARCH("营",'19.12'!AC82)),(-$Y82+50*IF('19.12'!$AK82="是",'19.12'!$BB$4,'19.12'!$BB$3)),(VLOOKUP('19.12'!AC82,'19.12'!$AO$4:$AQ$55,2,FALSE))*IF('19.12'!$AK82="是",'19.12'!$BB$4,'19.12'!$BB$3))</f>
        <v>0</v>
      </c>
      <c r="V82" s="4">
        <f>IF(ISNUMBER(SEARCH("营",'19.12'!AD82)),(-$Y82+50*IF('19.12'!$AK82="是",'19.12'!$BB$4,'19.12'!$BB$3)),(VLOOKUP('19.12'!AD82,'19.12'!$AO$4:$AQ$55,2,FALSE))*IF('19.12'!$AK82="是",'19.12'!$BB$4,'19.12'!$BB$3))</f>
        <v>0</v>
      </c>
      <c r="W82" s="4">
        <f>IF(ISNUMBER(SEARCH("营",'19.12'!AE82)),(-$Y82+50*IF('19.12'!$AK82="是",'19.12'!$BB$4,'19.12'!$BB$3)),(VLOOKUP('19.12'!AE82,'19.12'!$AO$4:$AQ$55,2,FALSE))*IF('19.12'!$AK82="是",'19.12'!$BB$4,'19.12'!$BB$3))</f>
        <v>0</v>
      </c>
      <c r="X82" s="4">
        <f>IF(ISNUMBER(SEARCH("营",'19.12'!AF82)),(-$Y82+50*IF('19.12'!$AK82="是",'19.12'!$BB$4,'19.12'!$BB$3)),(VLOOKUP('19.12'!AF82,'19.12'!$AO$4:$AQ$55,2,FALSE))*IF('19.12'!$AK82="是",'19.12'!$BB$4,'19.12'!$BB$3))</f>
        <v>0</v>
      </c>
      <c r="Y82" s="18">
        <v>100</v>
      </c>
      <c r="Z82" s="15">
        <v>45808</v>
      </c>
    </row>
    <row r="83" spans="1:26">
      <c r="A83" s="4">
        <f>IF(ISNUMBER(SEARCH("营",'19.12'!I83)),(-$Y83+50*IF('19.12'!$AK83="是",'19.12'!$BB$4,'19.12'!$BB$3)),(VLOOKUP('19.12'!I83,'19.12'!$AO$4:$AQ$55,2,FALSE))*IF('19.12'!$AK83="是",'19.12'!$BB$4,'19.12'!$BB$3))</f>
        <v>0</v>
      </c>
      <c r="B83" s="4">
        <f>IF(ISNUMBER(SEARCH("营",'19.12'!J83)),(-$Y83+50*IF('19.12'!$AK83="是",'19.12'!$BB$4,'19.12'!$BB$3)),(VLOOKUP('19.12'!J83,'19.12'!$AO$4:$AQ$55,2,FALSE))*IF('19.12'!$AK83="是",'19.12'!$BB$4,'19.12'!$BB$3))</f>
        <v>0</v>
      </c>
      <c r="C83" s="4">
        <f>IF(ISNUMBER(SEARCH("营",'19.12'!K83)),(-$Y83+50*IF('19.12'!$AK83="是",'19.12'!$BB$4,'19.12'!$BB$3)),(VLOOKUP('19.12'!K83,'19.12'!$AO$4:$AQ$55,2,FALSE))*IF('19.12'!$AK83="是",'19.12'!$BB$4,'19.12'!$BB$3))</f>
        <v>0</v>
      </c>
      <c r="D83" s="4">
        <f>IF(ISNUMBER(SEARCH("营",'19.12'!L83)),(-$Y83+50*IF('19.12'!$AK83="是",'19.12'!$BB$4,'19.12'!$BB$3)),(VLOOKUP('19.12'!L83,'19.12'!$AO$4:$AQ$55,2,FALSE))*IF('19.12'!$AK83="是",'19.12'!$BB$4,'19.12'!$BB$3))</f>
        <v>0</v>
      </c>
      <c r="E83" s="4">
        <f>IF(ISNUMBER(SEARCH("营",'19.12'!M83)),(-$Y83+50*IF('19.12'!$AK83="是",'19.12'!$BB$4,'19.12'!$BB$3)),(VLOOKUP('19.12'!M83,'19.12'!$AO$4:$AQ$55,2,FALSE))*IF('19.12'!$AK83="是",'19.12'!$BB$4,'19.12'!$BB$3))</f>
        <v>0</v>
      </c>
      <c r="F83" s="4">
        <f>IF(ISNUMBER(SEARCH("营",'19.12'!N83)),(-$Y83+50*IF('19.12'!$AK83="是",'19.12'!$BB$4,'19.12'!$BB$3)),(VLOOKUP('19.12'!N83,'19.12'!$AO$4:$AQ$55,2,FALSE))*IF('19.12'!$AK83="是",'19.12'!$BB$4,'19.12'!$BB$3))</f>
        <v>0</v>
      </c>
      <c r="G83" s="4">
        <f>IF(ISNUMBER(SEARCH("营",'19.12'!O83)),(-$Y83+50*IF('19.12'!$AK83="是",'19.12'!$BB$4,'19.12'!$BB$3)),(VLOOKUP('19.12'!O83,'19.12'!$AO$4:$AQ$55,2,FALSE))*IF('19.12'!$AK83="是",'19.12'!$BB$4,'19.12'!$BB$3))</f>
        <v>0</v>
      </c>
      <c r="H83" s="4">
        <f>IF(ISNUMBER(SEARCH("营",'19.12'!P83)),(-$Y83+50*IF('19.12'!$AK83="是",'19.12'!$BB$4,'19.12'!$BB$3)),(VLOOKUP('19.12'!P83,'19.12'!$AO$4:$AQ$55,2,FALSE))*IF('19.12'!$AK83="是",'19.12'!$BB$4,'19.12'!$BB$3))</f>
        <v>0</v>
      </c>
      <c r="I83" s="4">
        <f>IF(ISNUMBER(SEARCH("营",'19.12'!Q83)),(-$Y83+50*IF('19.12'!$AK83="是",'19.12'!$BB$4,'19.12'!$BB$3)),(VLOOKUP('19.12'!Q83,'19.12'!$AO$4:$AQ$55,2,FALSE))*IF('19.12'!$AK83="是",'19.12'!$BB$4,'19.12'!$BB$3))</f>
        <v>0</v>
      </c>
      <c r="J83" s="4">
        <f>IF(ISNUMBER(SEARCH("营",'19.12'!R83)),(-$Y83+50*IF('19.12'!$AK83="是",'19.12'!$BB$4,'19.12'!$BB$3)),(VLOOKUP('19.12'!R83,'19.12'!$AO$4:$AQ$55,2,FALSE))*IF('19.12'!$AK83="是",'19.12'!$BB$4,'19.12'!$BB$3))</f>
        <v>0</v>
      </c>
      <c r="K83" s="4">
        <f>IF(ISNUMBER(SEARCH("营",'19.12'!S83)),(-$Y83+50*IF('19.12'!$AK83="是",'19.12'!$BB$4,'19.12'!$BB$3)),(VLOOKUP('19.12'!S83,'19.12'!$AO$4:$AQ$55,2,FALSE))*IF('19.12'!$AK83="是",'19.12'!$BB$4,'19.12'!$BB$3))</f>
        <v>0</v>
      </c>
      <c r="L83" s="4">
        <f>IF(ISNUMBER(SEARCH("营",'19.12'!T83)),(-$Y83+50*IF('19.12'!$AK83="是",'19.12'!$BB$4,'19.12'!$BB$3)),(VLOOKUP('19.12'!T83,'19.12'!$AO$4:$AQ$55,2,FALSE))*IF('19.12'!$AK83="是",'19.12'!$BB$4,'19.12'!$BB$3))</f>
        <v>0</v>
      </c>
      <c r="M83" s="4">
        <f>IF(ISNUMBER(SEARCH("营",'19.12'!U83)),(-$Y83+50*IF('19.12'!$AK83="是",'19.12'!$BB$4,'19.12'!$BB$3)),(VLOOKUP('19.12'!U83,'19.12'!$AO$4:$AQ$55,2,FALSE))*IF('19.12'!$AK83="是",'19.12'!$BB$4,'19.12'!$BB$3))</f>
        <v>0</v>
      </c>
      <c r="N83" s="4">
        <f>IF(ISNUMBER(SEARCH("营",'19.12'!V83)),(-$Y83+50*IF('19.12'!$AK83="是",'19.12'!$BB$4,'19.12'!$BB$3)),(VLOOKUP('19.12'!V83,'19.12'!$AO$4:$AQ$55,2,FALSE))*IF('19.12'!$AK83="是",'19.12'!$BB$4,'19.12'!$BB$3))</f>
        <v>0</v>
      </c>
      <c r="O83" s="4">
        <f>IF(ISNUMBER(SEARCH("营",'19.12'!W83)),(-$Y83+50*IF('19.12'!$AK83="是",'19.12'!$BB$4,'19.12'!$BB$3)),(VLOOKUP('19.12'!W83,'19.12'!$AO$4:$AQ$55,2,FALSE))*IF('19.12'!$AK83="是",'19.12'!$BB$4,'19.12'!$BB$3))</f>
        <v>0</v>
      </c>
      <c r="P83" s="4">
        <f>IF(ISNUMBER(SEARCH("营",'19.12'!X83)),(-$Y83+50*IF('19.12'!$AK83="是",'19.12'!$BB$4,'19.12'!$BB$3)),(VLOOKUP('19.12'!X83,'19.12'!$AO$4:$AQ$55,2,FALSE))*IF('19.12'!$AK83="是",'19.12'!$BB$4,'19.12'!$BB$3))</f>
        <v>0</v>
      </c>
      <c r="Q83" s="4">
        <f>IF(ISNUMBER(SEARCH("营",'19.12'!Y83)),(-$Y83+50*IF('19.12'!$AK83="是",'19.12'!$BB$4,'19.12'!$BB$3)),(VLOOKUP('19.12'!Y83,'19.12'!$AO$4:$AQ$55,2,FALSE))*IF('19.12'!$AK83="是",'19.12'!$BB$4,'19.12'!$BB$3))</f>
        <v>0</v>
      </c>
      <c r="R83" s="4">
        <f>IF(ISNUMBER(SEARCH("营",'19.12'!Z83)),(-$Y83+50*IF('19.12'!$AK83="是",'19.12'!$BB$4,'19.12'!$BB$3)),(VLOOKUP('19.12'!Z83,'19.12'!$AO$4:$AQ$55,2,FALSE))*IF('19.12'!$AK83="是",'19.12'!$BB$4,'19.12'!$BB$3))</f>
        <v>0</v>
      </c>
      <c r="S83" s="4">
        <f>IF(ISNUMBER(SEARCH("营",'19.12'!AA83)),(-$Y83+50*IF('19.12'!$AK83="是",'19.12'!$BB$4,'19.12'!$BB$3)),(VLOOKUP('19.12'!AA83,'19.12'!$AO$4:$AQ$55,2,FALSE))*IF('19.12'!$AK83="是",'19.12'!$BB$4,'19.12'!$BB$3))</f>
        <v>0</v>
      </c>
      <c r="T83" s="4">
        <f>IF(ISNUMBER(SEARCH("营",'19.12'!AB83)),(-$Y83+50*IF('19.12'!$AK83="是",'19.12'!$BB$4,'19.12'!$BB$3)),(VLOOKUP('19.12'!AB83,'19.12'!$AO$4:$AQ$55,2,FALSE))*IF('19.12'!$AK83="是",'19.12'!$BB$4,'19.12'!$BB$3))</f>
        <v>0</v>
      </c>
      <c r="U83" s="4">
        <f>IF(ISNUMBER(SEARCH("营",'19.12'!AC83)),(-$Y83+50*IF('19.12'!$AK83="是",'19.12'!$BB$4,'19.12'!$BB$3)),(VLOOKUP('19.12'!AC83,'19.12'!$AO$4:$AQ$55,2,FALSE))*IF('19.12'!$AK83="是",'19.12'!$BB$4,'19.12'!$BB$3))</f>
        <v>0</v>
      </c>
      <c r="V83" s="4">
        <f>IF(ISNUMBER(SEARCH("营",'19.12'!AD83)),(-$Y83+50*IF('19.12'!$AK83="是",'19.12'!$BB$4,'19.12'!$BB$3)),(VLOOKUP('19.12'!AD83,'19.12'!$AO$4:$AQ$55,2,FALSE))*IF('19.12'!$AK83="是",'19.12'!$BB$4,'19.12'!$BB$3))</f>
        <v>0</v>
      </c>
      <c r="W83" s="4">
        <f>IF(ISNUMBER(SEARCH("营",'19.12'!AE83)),(-$Y83+50*IF('19.12'!$AK83="是",'19.12'!$BB$4,'19.12'!$BB$3)),(VLOOKUP('19.12'!AE83,'19.12'!$AO$4:$AQ$55,2,FALSE))*IF('19.12'!$AK83="是",'19.12'!$BB$4,'19.12'!$BB$3))</f>
        <v>0</v>
      </c>
      <c r="X83" s="4">
        <f>IF(ISNUMBER(SEARCH("营",'19.12'!AF83)),(-$Y83+50*IF('19.12'!$AK83="是",'19.12'!$BB$4,'19.12'!$BB$3)),(VLOOKUP('19.12'!AF83,'19.12'!$AO$4:$AQ$55,2,FALSE))*IF('19.12'!$AK83="是",'19.12'!$BB$4,'19.12'!$BB$3))</f>
        <v>0</v>
      </c>
      <c r="Y83" s="18">
        <v>100</v>
      </c>
      <c r="Z83" s="15">
        <v>45809</v>
      </c>
    </row>
    <row r="84" spans="1:26">
      <c r="A84" s="4">
        <f>IF(ISNUMBER(SEARCH("营",'19.12'!I84)),(-$Y84+50*IF('19.12'!$AK84="是",'19.12'!$BB$4,'19.12'!$BB$3)),(VLOOKUP('19.12'!I84,'19.12'!$AO$4:$AQ$55,2,FALSE))*IF('19.12'!$AK84="是",'19.12'!$BB$4,'19.12'!$BB$3))</f>
        <v>0</v>
      </c>
      <c r="B84" s="4">
        <f>IF(ISNUMBER(SEARCH("营",'19.12'!J84)),(-$Y84+50*IF('19.12'!$AK84="是",'19.12'!$BB$4,'19.12'!$BB$3)),(VLOOKUP('19.12'!J84,'19.12'!$AO$4:$AQ$55,2,FALSE))*IF('19.12'!$AK84="是",'19.12'!$BB$4,'19.12'!$BB$3))</f>
        <v>0</v>
      </c>
      <c r="C84" s="4">
        <f>IF(ISNUMBER(SEARCH("营",'19.12'!K84)),(-$Y84+50*IF('19.12'!$AK84="是",'19.12'!$BB$4,'19.12'!$BB$3)),(VLOOKUP('19.12'!K84,'19.12'!$AO$4:$AQ$55,2,FALSE))*IF('19.12'!$AK84="是",'19.12'!$BB$4,'19.12'!$BB$3))</f>
        <v>0</v>
      </c>
      <c r="D84" s="4">
        <f>IF(ISNUMBER(SEARCH("营",'19.12'!L84)),(-$Y84+50*IF('19.12'!$AK84="是",'19.12'!$BB$4,'19.12'!$BB$3)),(VLOOKUP('19.12'!L84,'19.12'!$AO$4:$AQ$55,2,FALSE))*IF('19.12'!$AK84="是",'19.12'!$BB$4,'19.12'!$BB$3))</f>
        <v>0</v>
      </c>
      <c r="E84" s="4">
        <f>IF(ISNUMBER(SEARCH("营",'19.12'!M84)),(-$Y84+50*IF('19.12'!$AK84="是",'19.12'!$BB$4,'19.12'!$BB$3)),(VLOOKUP('19.12'!M84,'19.12'!$AO$4:$AQ$55,2,FALSE))*IF('19.12'!$AK84="是",'19.12'!$BB$4,'19.12'!$BB$3))</f>
        <v>0</v>
      </c>
      <c r="F84" s="4">
        <f>IF(ISNUMBER(SEARCH("营",'19.12'!N84)),(-$Y84+50*IF('19.12'!$AK84="是",'19.12'!$BB$4,'19.12'!$BB$3)),(VLOOKUP('19.12'!N84,'19.12'!$AO$4:$AQ$55,2,FALSE))*IF('19.12'!$AK84="是",'19.12'!$BB$4,'19.12'!$BB$3))</f>
        <v>0</v>
      </c>
      <c r="G84" s="4">
        <f>IF(ISNUMBER(SEARCH("营",'19.12'!O84)),(-$Y84+50*IF('19.12'!$AK84="是",'19.12'!$BB$4,'19.12'!$BB$3)),(VLOOKUP('19.12'!O84,'19.12'!$AO$4:$AQ$55,2,FALSE))*IF('19.12'!$AK84="是",'19.12'!$BB$4,'19.12'!$BB$3))</f>
        <v>0</v>
      </c>
      <c r="H84" s="4">
        <f>IF(ISNUMBER(SEARCH("营",'19.12'!P84)),(-$Y84+50*IF('19.12'!$AK84="是",'19.12'!$BB$4,'19.12'!$BB$3)),(VLOOKUP('19.12'!P84,'19.12'!$AO$4:$AQ$55,2,FALSE))*IF('19.12'!$AK84="是",'19.12'!$BB$4,'19.12'!$BB$3))</f>
        <v>0</v>
      </c>
      <c r="I84" s="4">
        <f>IF(ISNUMBER(SEARCH("营",'19.12'!Q84)),(-$Y84+50*IF('19.12'!$AK84="是",'19.12'!$BB$4,'19.12'!$BB$3)),(VLOOKUP('19.12'!Q84,'19.12'!$AO$4:$AQ$55,2,FALSE))*IF('19.12'!$AK84="是",'19.12'!$BB$4,'19.12'!$BB$3))</f>
        <v>0</v>
      </c>
      <c r="J84" s="4">
        <f>IF(ISNUMBER(SEARCH("营",'19.12'!R84)),(-$Y84+50*IF('19.12'!$AK84="是",'19.12'!$BB$4,'19.12'!$BB$3)),(VLOOKUP('19.12'!R84,'19.12'!$AO$4:$AQ$55,2,FALSE))*IF('19.12'!$AK84="是",'19.12'!$BB$4,'19.12'!$BB$3))</f>
        <v>0</v>
      </c>
      <c r="K84" s="4">
        <f>IF(ISNUMBER(SEARCH("营",'19.12'!S84)),(-$Y84+50*IF('19.12'!$AK84="是",'19.12'!$BB$4,'19.12'!$BB$3)),(VLOOKUP('19.12'!S84,'19.12'!$AO$4:$AQ$55,2,FALSE))*IF('19.12'!$AK84="是",'19.12'!$BB$4,'19.12'!$BB$3))</f>
        <v>0</v>
      </c>
      <c r="L84" s="4">
        <f>IF(ISNUMBER(SEARCH("营",'19.12'!T84)),(-$Y84+50*IF('19.12'!$AK84="是",'19.12'!$BB$4,'19.12'!$BB$3)),(VLOOKUP('19.12'!T84,'19.12'!$AO$4:$AQ$55,2,FALSE))*IF('19.12'!$AK84="是",'19.12'!$BB$4,'19.12'!$BB$3))</f>
        <v>0</v>
      </c>
      <c r="M84" s="4">
        <f>IF(ISNUMBER(SEARCH("营",'19.12'!U84)),(-$Y84+50*IF('19.12'!$AK84="是",'19.12'!$BB$4,'19.12'!$BB$3)),(VLOOKUP('19.12'!U84,'19.12'!$AO$4:$AQ$55,2,FALSE))*IF('19.12'!$AK84="是",'19.12'!$BB$4,'19.12'!$BB$3))</f>
        <v>0</v>
      </c>
      <c r="N84" s="4">
        <f>IF(ISNUMBER(SEARCH("营",'19.12'!V84)),(-$Y84+50*IF('19.12'!$AK84="是",'19.12'!$BB$4,'19.12'!$BB$3)),(VLOOKUP('19.12'!V84,'19.12'!$AO$4:$AQ$55,2,FALSE))*IF('19.12'!$AK84="是",'19.12'!$BB$4,'19.12'!$BB$3))</f>
        <v>0</v>
      </c>
      <c r="O84" s="4">
        <f>IF(ISNUMBER(SEARCH("营",'19.12'!W84)),(-$Y84+50*IF('19.12'!$AK84="是",'19.12'!$BB$4,'19.12'!$BB$3)),(VLOOKUP('19.12'!W84,'19.12'!$AO$4:$AQ$55,2,FALSE))*IF('19.12'!$AK84="是",'19.12'!$BB$4,'19.12'!$BB$3))</f>
        <v>0</v>
      </c>
      <c r="P84" s="4">
        <f>IF(ISNUMBER(SEARCH("营",'19.12'!X84)),(-$Y84+50*IF('19.12'!$AK84="是",'19.12'!$BB$4,'19.12'!$BB$3)),(VLOOKUP('19.12'!X84,'19.12'!$AO$4:$AQ$55,2,FALSE))*IF('19.12'!$AK84="是",'19.12'!$BB$4,'19.12'!$BB$3))</f>
        <v>0</v>
      </c>
      <c r="Q84" s="4">
        <f>IF(ISNUMBER(SEARCH("营",'19.12'!Y84)),(-$Y84+50*IF('19.12'!$AK84="是",'19.12'!$BB$4,'19.12'!$BB$3)),(VLOOKUP('19.12'!Y84,'19.12'!$AO$4:$AQ$55,2,FALSE))*IF('19.12'!$AK84="是",'19.12'!$BB$4,'19.12'!$BB$3))</f>
        <v>0</v>
      </c>
      <c r="R84" s="4">
        <f>IF(ISNUMBER(SEARCH("营",'19.12'!Z84)),(-$Y84+50*IF('19.12'!$AK84="是",'19.12'!$BB$4,'19.12'!$BB$3)),(VLOOKUP('19.12'!Z84,'19.12'!$AO$4:$AQ$55,2,FALSE))*IF('19.12'!$AK84="是",'19.12'!$BB$4,'19.12'!$BB$3))</f>
        <v>0</v>
      </c>
      <c r="S84" s="4">
        <f>IF(ISNUMBER(SEARCH("营",'19.12'!AA84)),(-$Y84+50*IF('19.12'!$AK84="是",'19.12'!$BB$4,'19.12'!$BB$3)),(VLOOKUP('19.12'!AA84,'19.12'!$AO$4:$AQ$55,2,FALSE))*IF('19.12'!$AK84="是",'19.12'!$BB$4,'19.12'!$BB$3))</f>
        <v>0</v>
      </c>
      <c r="T84" s="4">
        <f>IF(ISNUMBER(SEARCH("营",'19.12'!AB84)),(-$Y84+50*IF('19.12'!$AK84="是",'19.12'!$BB$4,'19.12'!$BB$3)),(VLOOKUP('19.12'!AB84,'19.12'!$AO$4:$AQ$55,2,FALSE))*IF('19.12'!$AK84="是",'19.12'!$BB$4,'19.12'!$BB$3))</f>
        <v>0</v>
      </c>
      <c r="U84" s="4">
        <f>IF(ISNUMBER(SEARCH("营",'19.12'!AC84)),(-$Y84+50*IF('19.12'!$AK84="是",'19.12'!$BB$4,'19.12'!$BB$3)),(VLOOKUP('19.12'!AC84,'19.12'!$AO$4:$AQ$55,2,FALSE))*IF('19.12'!$AK84="是",'19.12'!$BB$4,'19.12'!$BB$3))</f>
        <v>0</v>
      </c>
      <c r="V84" s="4">
        <f>IF(ISNUMBER(SEARCH("营",'19.12'!AD84)),(-$Y84+50*IF('19.12'!$AK84="是",'19.12'!$BB$4,'19.12'!$BB$3)),(VLOOKUP('19.12'!AD84,'19.12'!$AO$4:$AQ$55,2,FALSE))*IF('19.12'!$AK84="是",'19.12'!$BB$4,'19.12'!$BB$3))</f>
        <v>0</v>
      </c>
      <c r="W84" s="4">
        <f>IF(ISNUMBER(SEARCH("营",'19.12'!AE84)),(-$Y84+50*IF('19.12'!$AK84="是",'19.12'!$BB$4,'19.12'!$BB$3)),(VLOOKUP('19.12'!AE84,'19.12'!$AO$4:$AQ$55,2,FALSE))*IF('19.12'!$AK84="是",'19.12'!$BB$4,'19.12'!$BB$3))</f>
        <v>0</v>
      </c>
      <c r="X84" s="4">
        <f>IF(ISNUMBER(SEARCH("营",'19.12'!AF84)),(-$Y84+50*IF('19.12'!$AK84="是",'19.12'!$BB$4,'19.12'!$BB$3)),(VLOOKUP('19.12'!AF84,'19.12'!$AO$4:$AQ$55,2,FALSE))*IF('19.12'!$AK84="是",'19.12'!$BB$4,'19.12'!$BB$3))</f>
        <v>0</v>
      </c>
      <c r="Y84" s="18">
        <v>100</v>
      </c>
      <c r="Z84" s="15">
        <v>45810</v>
      </c>
    </row>
    <row r="85" spans="1:26">
      <c r="A85" s="4">
        <f>IF(ISNUMBER(SEARCH("营",'19.12'!I85)),(-$Y85+50*IF('19.12'!$AK85="是",'19.12'!$BB$4,'19.12'!$BB$3)),(VLOOKUP('19.12'!I85,'19.12'!$AO$4:$AQ$55,2,FALSE))*IF('19.12'!$AK85="是",'19.12'!$BB$4,'19.12'!$BB$3))</f>
        <v>0</v>
      </c>
      <c r="B85" s="4">
        <f>IF(ISNUMBER(SEARCH("营",'19.12'!J85)),(-$Y85+50*IF('19.12'!$AK85="是",'19.12'!$BB$4,'19.12'!$BB$3)),(VLOOKUP('19.12'!J85,'19.12'!$AO$4:$AQ$55,2,FALSE))*IF('19.12'!$AK85="是",'19.12'!$BB$4,'19.12'!$BB$3))</f>
        <v>0</v>
      </c>
      <c r="C85" s="4">
        <f>IF(ISNUMBER(SEARCH("营",'19.12'!K85)),(-$Y85+50*IF('19.12'!$AK85="是",'19.12'!$BB$4,'19.12'!$BB$3)),(VLOOKUP('19.12'!K85,'19.12'!$AO$4:$AQ$55,2,FALSE))*IF('19.12'!$AK85="是",'19.12'!$BB$4,'19.12'!$BB$3))</f>
        <v>0</v>
      </c>
      <c r="D85" s="4">
        <f>IF(ISNUMBER(SEARCH("营",'19.12'!L85)),(-$Y85+50*IF('19.12'!$AK85="是",'19.12'!$BB$4,'19.12'!$BB$3)),(VLOOKUP('19.12'!L85,'19.12'!$AO$4:$AQ$55,2,FALSE))*IF('19.12'!$AK85="是",'19.12'!$BB$4,'19.12'!$BB$3))</f>
        <v>0</v>
      </c>
      <c r="E85" s="4">
        <f>IF(ISNUMBER(SEARCH("营",'19.12'!M85)),(-$Y85+50*IF('19.12'!$AK85="是",'19.12'!$BB$4,'19.12'!$BB$3)),(VLOOKUP('19.12'!M85,'19.12'!$AO$4:$AQ$55,2,FALSE))*IF('19.12'!$AK85="是",'19.12'!$BB$4,'19.12'!$BB$3))</f>
        <v>0</v>
      </c>
      <c r="F85" s="4">
        <f>IF(ISNUMBER(SEARCH("营",'19.12'!N85)),(-$Y85+50*IF('19.12'!$AK85="是",'19.12'!$BB$4,'19.12'!$BB$3)),(VLOOKUP('19.12'!N85,'19.12'!$AO$4:$AQ$55,2,FALSE))*IF('19.12'!$AK85="是",'19.12'!$BB$4,'19.12'!$BB$3))</f>
        <v>0</v>
      </c>
      <c r="G85" s="4">
        <f>IF(ISNUMBER(SEARCH("营",'19.12'!O85)),(-$Y85+50*IF('19.12'!$AK85="是",'19.12'!$BB$4,'19.12'!$BB$3)),(VLOOKUP('19.12'!O85,'19.12'!$AO$4:$AQ$55,2,FALSE))*IF('19.12'!$AK85="是",'19.12'!$BB$4,'19.12'!$BB$3))</f>
        <v>0</v>
      </c>
      <c r="H85" s="4">
        <f>IF(ISNUMBER(SEARCH("营",'19.12'!P85)),(-$Y85+50*IF('19.12'!$AK85="是",'19.12'!$BB$4,'19.12'!$BB$3)),(VLOOKUP('19.12'!P85,'19.12'!$AO$4:$AQ$55,2,FALSE))*IF('19.12'!$AK85="是",'19.12'!$BB$4,'19.12'!$BB$3))</f>
        <v>0</v>
      </c>
      <c r="I85" s="4">
        <f>IF(ISNUMBER(SEARCH("营",'19.12'!Q85)),(-$Y85+50*IF('19.12'!$AK85="是",'19.12'!$BB$4,'19.12'!$BB$3)),(VLOOKUP('19.12'!Q85,'19.12'!$AO$4:$AQ$55,2,FALSE))*IF('19.12'!$AK85="是",'19.12'!$BB$4,'19.12'!$BB$3))</f>
        <v>0</v>
      </c>
      <c r="J85" s="4">
        <f>IF(ISNUMBER(SEARCH("营",'19.12'!R85)),(-$Y85+50*IF('19.12'!$AK85="是",'19.12'!$BB$4,'19.12'!$BB$3)),(VLOOKUP('19.12'!R85,'19.12'!$AO$4:$AQ$55,2,FALSE))*IF('19.12'!$AK85="是",'19.12'!$BB$4,'19.12'!$BB$3))</f>
        <v>0</v>
      </c>
      <c r="K85" s="4">
        <f>IF(ISNUMBER(SEARCH("营",'19.12'!S85)),(-$Y85+50*IF('19.12'!$AK85="是",'19.12'!$BB$4,'19.12'!$BB$3)),(VLOOKUP('19.12'!S85,'19.12'!$AO$4:$AQ$55,2,FALSE))*IF('19.12'!$AK85="是",'19.12'!$BB$4,'19.12'!$BB$3))</f>
        <v>0</v>
      </c>
      <c r="L85" s="4">
        <f>IF(ISNUMBER(SEARCH("营",'19.12'!T85)),(-$Y85+50*IF('19.12'!$AK85="是",'19.12'!$BB$4,'19.12'!$BB$3)),(VLOOKUP('19.12'!T85,'19.12'!$AO$4:$AQ$55,2,FALSE))*IF('19.12'!$AK85="是",'19.12'!$BB$4,'19.12'!$BB$3))</f>
        <v>0</v>
      </c>
      <c r="M85" s="4">
        <f>IF(ISNUMBER(SEARCH("营",'19.12'!U85)),(-$Y85+50*IF('19.12'!$AK85="是",'19.12'!$BB$4,'19.12'!$BB$3)),(VLOOKUP('19.12'!U85,'19.12'!$AO$4:$AQ$55,2,FALSE))*IF('19.12'!$AK85="是",'19.12'!$BB$4,'19.12'!$BB$3))</f>
        <v>0</v>
      </c>
      <c r="N85" s="4">
        <f>IF(ISNUMBER(SEARCH("营",'19.12'!V85)),(-$Y85+50*IF('19.12'!$AK85="是",'19.12'!$BB$4,'19.12'!$BB$3)),(VLOOKUP('19.12'!V85,'19.12'!$AO$4:$AQ$55,2,FALSE))*IF('19.12'!$AK85="是",'19.12'!$BB$4,'19.12'!$BB$3))</f>
        <v>0</v>
      </c>
      <c r="O85" s="4">
        <f>IF(ISNUMBER(SEARCH("营",'19.12'!W85)),(-$Y85+50*IF('19.12'!$AK85="是",'19.12'!$BB$4,'19.12'!$BB$3)),(VLOOKUP('19.12'!W85,'19.12'!$AO$4:$AQ$55,2,FALSE))*IF('19.12'!$AK85="是",'19.12'!$BB$4,'19.12'!$BB$3))</f>
        <v>0</v>
      </c>
      <c r="P85" s="4">
        <f>IF(ISNUMBER(SEARCH("营",'19.12'!X85)),(-$Y85+50*IF('19.12'!$AK85="是",'19.12'!$BB$4,'19.12'!$BB$3)),(VLOOKUP('19.12'!X85,'19.12'!$AO$4:$AQ$55,2,FALSE))*IF('19.12'!$AK85="是",'19.12'!$BB$4,'19.12'!$BB$3))</f>
        <v>0</v>
      </c>
      <c r="Q85" s="4">
        <f>IF(ISNUMBER(SEARCH("营",'19.12'!Y85)),(-$Y85+50*IF('19.12'!$AK85="是",'19.12'!$BB$4,'19.12'!$BB$3)),(VLOOKUP('19.12'!Y85,'19.12'!$AO$4:$AQ$55,2,FALSE))*IF('19.12'!$AK85="是",'19.12'!$BB$4,'19.12'!$BB$3))</f>
        <v>0</v>
      </c>
      <c r="R85" s="4">
        <f>IF(ISNUMBER(SEARCH("营",'19.12'!Z85)),(-$Y85+50*IF('19.12'!$AK85="是",'19.12'!$BB$4,'19.12'!$BB$3)),(VLOOKUP('19.12'!Z85,'19.12'!$AO$4:$AQ$55,2,FALSE))*IF('19.12'!$AK85="是",'19.12'!$BB$4,'19.12'!$BB$3))</f>
        <v>0</v>
      </c>
      <c r="S85" s="4">
        <f>IF(ISNUMBER(SEARCH("营",'19.12'!AA85)),(-$Y85+50*IF('19.12'!$AK85="是",'19.12'!$BB$4,'19.12'!$BB$3)),(VLOOKUP('19.12'!AA85,'19.12'!$AO$4:$AQ$55,2,FALSE))*IF('19.12'!$AK85="是",'19.12'!$BB$4,'19.12'!$BB$3))</f>
        <v>0</v>
      </c>
      <c r="T85" s="4">
        <f>IF(ISNUMBER(SEARCH("营",'19.12'!AB85)),(-$Y85+50*IF('19.12'!$AK85="是",'19.12'!$BB$4,'19.12'!$BB$3)),(VLOOKUP('19.12'!AB85,'19.12'!$AO$4:$AQ$55,2,FALSE))*IF('19.12'!$AK85="是",'19.12'!$BB$4,'19.12'!$BB$3))</f>
        <v>0</v>
      </c>
      <c r="U85" s="4">
        <f>IF(ISNUMBER(SEARCH("营",'19.12'!AC85)),(-$Y85+50*IF('19.12'!$AK85="是",'19.12'!$BB$4,'19.12'!$BB$3)),(VLOOKUP('19.12'!AC85,'19.12'!$AO$4:$AQ$55,2,FALSE))*IF('19.12'!$AK85="是",'19.12'!$BB$4,'19.12'!$BB$3))</f>
        <v>0</v>
      </c>
      <c r="V85" s="4">
        <f>IF(ISNUMBER(SEARCH("营",'19.12'!AD85)),(-$Y85+50*IF('19.12'!$AK85="是",'19.12'!$BB$4,'19.12'!$BB$3)),(VLOOKUP('19.12'!AD85,'19.12'!$AO$4:$AQ$55,2,FALSE))*IF('19.12'!$AK85="是",'19.12'!$BB$4,'19.12'!$BB$3))</f>
        <v>0</v>
      </c>
      <c r="W85" s="4">
        <f>IF(ISNUMBER(SEARCH("营",'19.12'!AE85)),(-$Y85+50*IF('19.12'!$AK85="是",'19.12'!$BB$4,'19.12'!$BB$3)),(VLOOKUP('19.12'!AE85,'19.12'!$AO$4:$AQ$55,2,FALSE))*IF('19.12'!$AK85="是",'19.12'!$BB$4,'19.12'!$BB$3))</f>
        <v>0</v>
      </c>
      <c r="X85" s="4">
        <f>IF(ISNUMBER(SEARCH("营",'19.12'!AF85)),(-$Y85+50*IF('19.12'!$AK85="是",'19.12'!$BB$4,'19.12'!$BB$3)),(VLOOKUP('19.12'!AF85,'19.12'!$AO$4:$AQ$55,2,FALSE))*IF('19.12'!$AK85="是",'19.12'!$BB$4,'19.12'!$BB$3))</f>
        <v>0</v>
      </c>
      <c r="Y85" s="18">
        <v>100</v>
      </c>
      <c r="Z85" s="15">
        <v>45811</v>
      </c>
    </row>
    <row r="86" spans="1:26">
      <c r="A86" s="4">
        <f>IF(ISNUMBER(SEARCH("营",'19.12'!I86)),(-$Y86+50*IF('19.12'!$AK86="是",'19.12'!$BB$4,'19.12'!$BB$3)),(VLOOKUP('19.12'!I86,'19.12'!$AO$4:$AQ$55,2,FALSE))*IF('19.12'!$AK86="是",'19.12'!$BB$4,'19.12'!$BB$3))</f>
        <v>0</v>
      </c>
      <c r="B86" s="4">
        <f>IF(ISNUMBER(SEARCH("营",'19.12'!J86)),(-$Y86+50*IF('19.12'!$AK86="是",'19.12'!$BB$4,'19.12'!$BB$3)),(VLOOKUP('19.12'!J86,'19.12'!$AO$4:$AQ$55,2,FALSE))*IF('19.12'!$AK86="是",'19.12'!$BB$4,'19.12'!$BB$3))</f>
        <v>0</v>
      </c>
      <c r="C86" s="4">
        <f>IF(ISNUMBER(SEARCH("营",'19.12'!K86)),(-$Y86+50*IF('19.12'!$AK86="是",'19.12'!$BB$4,'19.12'!$BB$3)),(VLOOKUP('19.12'!K86,'19.12'!$AO$4:$AQ$55,2,FALSE))*IF('19.12'!$AK86="是",'19.12'!$BB$4,'19.12'!$BB$3))</f>
        <v>0</v>
      </c>
      <c r="D86" s="4">
        <f>IF(ISNUMBER(SEARCH("营",'19.12'!L86)),(-$Y86+50*IF('19.12'!$AK86="是",'19.12'!$BB$4,'19.12'!$BB$3)),(VLOOKUP('19.12'!L86,'19.12'!$AO$4:$AQ$55,2,FALSE))*IF('19.12'!$AK86="是",'19.12'!$BB$4,'19.12'!$BB$3))</f>
        <v>0</v>
      </c>
      <c r="E86" s="4">
        <f>IF(ISNUMBER(SEARCH("营",'19.12'!M86)),(-$Y86+50*IF('19.12'!$AK86="是",'19.12'!$BB$4,'19.12'!$BB$3)),(VLOOKUP('19.12'!M86,'19.12'!$AO$4:$AQ$55,2,FALSE))*IF('19.12'!$AK86="是",'19.12'!$BB$4,'19.12'!$BB$3))</f>
        <v>0</v>
      </c>
      <c r="F86" s="4">
        <f>IF(ISNUMBER(SEARCH("营",'19.12'!N86)),(-$Y86+50*IF('19.12'!$AK86="是",'19.12'!$BB$4,'19.12'!$BB$3)),(VLOOKUP('19.12'!N86,'19.12'!$AO$4:$AQ$55,2,FALSE))*IF('19.12'!$AK86="是",'19.12'!$BB$4,'19.12'!$BB$3))</f>
        <v>0</v>
      </c>
      <c r="G86" s="4">
        <f>IF(ISNUMBER(SEARCH("营",'19.12'!O86)),(-$Y86+50*IF('19.12'!$AK86="是",'19.12'!$BB$4,'19.12'!$BB$3)),(VLOOKUP('19.12'!O86,'19.12'!$AO$4:$AQ$55,2,FALSE))*IF('19.12'!$AK86="是",'19.12'!$BB$4,'19.12'!$BB$3))</f>
        <v>0</v>
      </c>
      <c r="H86" s="4">
        <f>IF(ISNUMBER(SEARCH("营",'19.12'!P86)),(-$Y86+50*IF('19.12'!$AK86="是",'19.12'!$BB$4,'19.12'!$BB$3)),(VLOOKUP('19.12'!P86,'19.12'!$AO$4:$AQ$55,2,FALSE))*IF('19.12'!$AK86="是",'19.12'!$BB$4,'19.12'!$BB$3))</f>
        <v>0</v>
      </c>
      <c r="I86" s="4">
        <f>IF(ISNUMBER(SEARCH("营",'19.12'!Q86)),(-$Y86+50*IF('19.12'!$AK86="是",'19.12'!$BB$4,'19.12'!$BB$3)),(VLOOKUP('19.12'!Q86,'19.12'!$AO$4:$AQ$55,2,FALSE))*IF('19.12'!$AK86="是",'19.12'!$BB$4,'19.12'!$BB$3))</f>
        <v>0</v>
      </c>
      <c r="J86" s="4">
        <f>IF(ISNUMBER(SEARCH("营",'19.12'!R86)),(-$Y86+50*IF('19.12'!$AK86="是",'19.12'!$BB$4,'19.12'!$BB$3)),(VLOOKUP('19.12'!R86,'19.12'!$AO$4:$AQ$55,2,FALSE))*IF('19.12'!$AK86="是",'19.12'!$BB$4,'19.12'!$BB$3))</f>
        <v>0</v>
      </c>
      <c r="K86" s="4">
        <f>IF(ISNUMBER(SEARCH("营",'19.12'!S86)),(-$Y86+50*IF('19.12'!$AK86="是",'19.12'!$BB$4,'19.12'!$BB$3)),(VLOOKUP('19.12'!S86,'19.12'!$AO$4:$AQ$55,2,FALSE))*IF('19.12'!$AK86="是",'19.12'!$BB$4,'19.12'!$BB$3))</f>
        <v>0</v>
      </c>
      <c r="L86" s="4">
        <f>IF(ISNUMBER(SEARCH("营",'19.12'!T86)),(-$Y86+50*IF('19.12'!$AK86="是",'19.12'!$BB$4,'19.12'!$BB$3)),(VLOOKUP('19.12'!T86,'19.12'!$AO$4:$AQ$55,2,FALSE))*IF('19.12'!$AK86="是",'19.12'!$BB$4,'19.12'!$BB$3))</f>
        <v>0</v>
      </c>
      <c r="M86" s="4">
        <f>IF(ISNUMBER(SEARCH("营",'19.12'!U86)),(-$Y86+50*IF('19.12'!$AK86="是",'19.12'!$BB$4,'19.12'!$BB$3)),(VLOOKUP('19.12'!U86,'19.12'!$AO$4:$AQ$55,2,FALSE))*IF('19.12'!$AK86="是",'19.12'!$BB$4,'19.12'!$BB$3))</f>
        <v>0</v>
      </c>
      <c r="N86" s="4">
        <f>IF(ISNUMBER(SEARCH("营",'19.12'!V86)),(-$Y86+50*IF('19.12'!$AK86="是",'19.12'!$BB$4,'19.12'!$BB$3)),(VLOOKUP('19.12'!V86,'19.12'!$AO$4:$AQ$55,2,FALSE))*IF('19.12'!$AK86="是",'19.12'!$BB$4,'19.12'!$BB$3))</f>
        <v>0</v>
      </c>
      <c r="O86" s="4">
        <f>IF(ISNUMBER(SEARCH("营",'19.12'!W86)),(-$Y86+50*IF('19.12'!$AK86="是",'19.12'!$BB$4,'19.12'!$BB$3)),(VLOOKUP('19.12'!W86,'19.12'!$AO$4:$AQ$55,2,FALSE))*IF('19.12'!$AK86="是",'19.12'!$BB$4,'19.12'!$BB$3))</f>
        <v>0</v>
      </c>
      <c r="P86" s="4">
        <f>IF(ISNUMBER(SEARCH("营",'19.12'!X86)),(-$Y86+50*IF('19.12'!$AK86="是",'19.12'!$BB$4,'19.12'!$BB$3)),(VLOOKUP('19.12'!X86,'19.12'!$AO$4:$AQ$55,2,FALSE))*IF('19.12'!$AK86="是",'19.12'!$BB$4,'19.12'!$BB$3))</f>
        <v>0</v>
      </c>
      <c r="Q86" s="4">
        <f>IF(ISNUMBER(SEARCH("营",'19.12'!Y86)),(-$Y86+50*IF('19.12'!$AK86="是",'19.12'!$BB$4,'19.12'!$BB$3)),(VLOOKUP('19.12'!Y86,'19.12'!$AO$4:$AQ$55,2,FALSE))*IF('19.12'!$AK86="是",'19.12'!$BB$4,'19.12'!$BB$3))</f>
        <v>0</v>
      </c>
      <c r="R86" s="4">
        <f>IF(ISNUMBER(SEARCH("营",'19.12'!Z86)),(-$Y86+50*IF('19.12'!$AK86="是",'19.12'!$BB$4,'19.12'!$BB$3)),(VLOOKUP('19.12'!Z86,'19.12'!$AO$4:$AQ$55,2,FALSE))*IF('19.12'!$AK86="是",'19.12'!$BB$4,'19.12'!$BB$3))</f>
        <v>0</v>
      </c>
      <c r="S86" s="4">
        <f>IF(ISNUMBER(SEARCH("营",'19.12'!AA86)),(-$Y86+50*IF('19.12'!$AK86="是",'19.12'!$BB$4,'19.12'!$BB$3)),(VLOOKUP('19.12'!AA86,'19.12'!$AO$4:$AQ$55,2,FALSE))*IF('19.12'!$AK86="是",'19.12'!$BB$4,'19.12'!$BB$3))</f>
        <v>0</v>
      </c>
      <c r="T86" s="4">
        <f>IF(ISNUMBER(SEARCH("营",'19.12'!AB86)),(-$Y86+50*IF('19.12'!$AK86="是",'19.12'!$BB$4,'19.12'!$BB$3)),(VLOOKUP('19.12'!AB86,'19.12'!$AO$4:$AQ$55,2,FALSE))*IF('19.12'!$AK86="是",'19.12'!$BB$4,'19.12'!$BB$3))</f>
        <v>0</v>
      </c>
      <c r="U86" s="4">
        <f>IF(ISNUMBER(SEARCH("营",'19.12'!AC86)),(-$Y86+50*IF('19.12'!$AK86="是",'19.12'!$BB$4,'19.12'!$BB$3)),(VLOOKUP('19.12'!AC86,'19.12'!$AO$4:$AQ$55,2,FALSE))*IF('19.12'!$AK86="是",'19.12'!$BB$4,'19.12'!$BB$3))</f>
        <v>0</v>
      </c>
      <c r="V86" s="4">
        <f>IF(ISNUMBER(SEARCH("营",'19.12'!AD86)),(-$Y86+50*IF('19.12'!$AK86="是",'19.12'!$BB$4,'19.12'!$BB$3)),(VLOOKUP('19.12'!AD86,'19.12'!$AO$4:$AQ$55,2,FALSE))*IF('19.12'!$AK86="是",'19.12'!$BB$4,'19.12'!$BB$3))</f>
        <v>0</v>
      </c>
      <c r="W86" s="4">
        <f>IF(ISNUMBER(SEARCH("营",'19.12'!AE86)),(-$Y86+50*IF('19.12'!$AK86="是",'19.12'!$BB$4,'19.12'!$BB$3)),(VLOOKUP('19.12'!AE86,'19.12'!$AO$4:$AQ$55,2,FALSE))*IF('19.12'!$AK86="是",'19.12'!$BB$4,'19.12'!$BB$3))</f>
        <v>0</v>
      </c>
      <c r="X86" s="4">
        <f>IF(ISNUMBER(SEARCH("营",'19.12'!AF86)),(-$Y86+50*IF('19.12'!$AK86="是",'19.12'!$BB$4,'19.12'!$BB$3)),(VLOOKUP('19.12'!AF86,'19.12'!$AO$4:$AQ$55,2,FALSE))*IF('19.12'!$AK86="是",'19.12'!$BB$4,'19.12'!$BB$3))</f>
        <v>0</v>
      </c>
      <c r="Y86" s="18">
        <v>100</v>
      </c>
      <c r="Z86" s="15">
        <v>45812</v>
      </c>
    </row>
    <row r="87" spans="1:26">
      <c r="A87" s="4">
        <f>IF(ISNUMBER(SEARCH("营",'19.12'!I87)),(-$Y87+50*IF('19.12'!$AK87="是",'19.12'!$BB$4,'19.12'!$BB$3)),(VLOOKUP('19.12'!I87,'19.12'!$AO$4:$AQ$55,2,FALSE))*IF('19.12'!$AK87="是",'19.12'!$BB$4,'19.12'!$BB$3))</f>
        <v>0</v>
      </c>
      <c r="B87" s="4">
        <f>IF(ISNUMBER(SEARCH("营",'19.12'!J87)),(-$Y87+50*IF('19.12'!$AK87="是",'19.12'!$BB$4,'19.12'!$BB$3)),(VLOOKUP('19.12'!J87,'19.12'!$AO$4:$AQ$55,2,FALSE))*IF('19.12'!$AK87="是",'19.12'!$BB$4,'19.12'!$BB$3))</f>
        <v>0</v>
      </c>
      <c r="C87" s="4">
        <f>IF(ISNUMBER(SEARCH("营",'19.12'!K87)),(-$Y87+50*IF('19.12'!$AK87="是",'19.12'!$BB$4,'19.12'!$BB$3)),(VLOOKUP('19.12'!K87,'19.12'!$AO$4:$AQ$55,2,FALSE))*IF('19.12'!$AK87="是",'19.12'!$BB$4,'19.12'!$BB$3))</f>
        <v>0</v>
      </c>
      <c r="D87" s="4">
        <f>IF(ISNUMBER(SEARCH("营",'19.12'!L87)),(-$Y87+50*IF('19.12'!$AK87="是",'19.12'!$BB$4,'19.12'!$BB$3)),(VLOOKUP('19.12'!L87,'19.12'!$AO$4:$AQ$55,2,FALSE))*IF('19.12'!$AK87="是",'19.12'!$BB$4,'19.12'!$BB$3))</f>
        <v>0</v>
      </c>
      <c r="E87" s="4">
        <f>IF(ISNUMBER(SEARCH("营",'19.12'!M87)),(-$Y87+50*IF('19.12'!$AK87="是",'19.12'!$BB$4,'19.12'!$BB$3)),(VLOOKUP('19.12'!M87,'19.12'!$AO$4:$AQ$55,2,FALSE))*IF('19.12'!$AK87="是",'19.12'!$BB$4,'19.12'!$BB$3))</f>
        <v>0</v>
      </c>
      <c r="F87" s="4">
        <f>IF(ISNUMBER(SEARCH("营",'19.12'!N87)),(-$Y87+50*IF('19.12'!$AK87="是",'19.12'!$BB$4,'19.12'!$BB$3)),(VLOOKUP('19.12'!N87,'19.12'!$AO$4:$AQ$55,2,FALSE))*IF('19.12'!$AK87="是",'19.12'!$BB$4,'19.12'!$BB$3))</f>
        <v>0</v>
      </c>
      <c r="G87" s="4">
        <f>IF(ISNUMBER(SEARCH("营",'19.12'!O87)),(-$Y87+50*IF('19.12'!$AK87="是",'19.12'!$BB$4,'19.12'!$BB$3)),(VLOOKUP('19.12'!O87,'19.12'!$AO$4:$AQ$55,2,FALSE))*IF('19.12'!$AK87="是",'19.12'!$BB$4,'19.12'!$BB$3))</f>
        <v>0</v>
      </c>
      <c r="H87" s="4">
        <f>IF(ISNUMBER(SEARCH("营",'19.12'!P87)),(-$Y87+50*IF('19.12'!$AK87="是",'19.12'!$BB$4,'19.12'!$BB$3)),(VLOOKUP('19.12'!P87,'19.12'!$AO$4:$AQ$55,2,FALSE))*IF('19.12'!$AK87="是",'19.12'!$BB$4,'19.12'!$BB$3))</f>
        <v>0</v>
      </c>
      <c r="I87" s="4">
        <f>IF(ISNUMBER(SEARCH("营",'19.12'!Q87)),(-$Y87+50*IF('19.12'!$AK87="是",'19.12'!$BB$4,'19.12'!$BB$3)),(VLOOKUP('19.12'!Q87,'19.12'!$AO$4:$AQ$55,2,FALSE))*IF('19.12'!$AK87="是",'19.12'!$BB$4,'19.12'!$BB$3))</f>
        <v>0</v>
      </c>
      <c r="J87" s="4">
        <f>IF(ISNUMBER(SEARCH("营",'19.12'!R87)),(-$Y87+50*IF('19.12'!$AK87="是",'19.12'!$BB$4,'19.12'!$BB$3)),(VLOOKUP('19.12'!R87,'19.12'!$AO$4:$AQ$55,2,FALSE))*IF('19.12'!$AK87="是",'19.12'!$BB$4,'19.12'!$BB$3))</f>
        <v>0</v>
      </c>
      <c r="K87" s="4">
        <f>IF(ISNUMBER(SEARCH("营",'19.12'!S87)),(-$Y87+50*IF('19.12'!$AK87="是",'19.12'!$BB$4,'19.12'!$BB$3)),(VLOOKUP('19.12'!S87,'19.12'!$AO$4:$AQ$55,2,FALSE))*IF('19.12'!$AK87="是",'19.12'!$BB$4,'19.12'!$BB$3))</f>
        <v>0</v>
      </c>
      <c r="L87" s="4">
        <f>IF(ISNUMBER(SEARCH("营",'19.12'!T87)),(-$Y87+50*IF('19.12'!$AK87="是",'19.12'!$BB$4,'19.12'!$BB$3)),(VLOOKUP('19.12'!T87,'19.12'!$AO$4:$AQ$55,2,FALSE))*IF('19.12'!$AK87="是",'19.12'!$BB$4,'19.12'!$BB$3))</f>
        <v>0</v>
      </c>
      <c r="M87" s="4">
        <f>IF(ISNUMBER(SEARCH("营",'19.12'!U87)),(-$Y87+50*IF('19.12'!$AK87="是",'19.12'!$BB$4,'19.12'!$BB$3)),(VLOOKUP('19.12'!U87,'19.12'!$AO$4:$AQ$55,2,FALSE))*IF('19.12'!$AK87="是",'19.12'!$BB$4,'19.12'!$BB$3))</f>
        <v>0</v>
      </c>
      <c r="N87" s="4">
        <f>IF(ISNUMBER(SEARCH("营",'19.12'!V87)),(-$Y87+50*IF('19.12'!$AK87="是",'19.12'!$BB$4,'19.12'!$BB$3)),(VLOOKUP('19.12'!V87,'19.12'!$AO$4:$AQ$55,2,FALSE))*IF('19.12'!$AK87="是",'19.12'!$BB$4,'19.12'!$BB$3))</f>
        <v>0</v>
      </c>
      <c r="O87" s="4">
        <f>IF(ISNUMBER(SEARCH("营",'19.12'!W87)),(-$Y87+50*IF('19.12'!$AK87="是",'19.12'!$BB$4,'19.12'!$BB$3)),(VLOOKUP('19.12'!W87,'19.12'!$AO$4:$AQ$55,2,FALSE))*IF('19.12'!$AK87="是",'19.12'!$BB$4,'19.12'!$BB$3))</f>
        <v>0</v>
      </c>
      <c r="P87" s="4">
        <f>IF(ISNUMBER(SEARCH("营",'19.12'!X87)),(-$Y87+50*IF('19.12'!$AK87="是",'19.12'!$BB$4,'19.12'!$BB$3)),(VLOOKUP('19.12'!X87,'19.12'!$AO$4:$AQ$55,2,FALSE))*IF('19.12'!$AK87="是",'19.12'!$BB$4,'19.12'!$BB$3))</f>
        <v>0</v>
      </c>
      <c r="Q87" s="4">
        <f>IF(ISNUMBER(SEARCH("营",'19.12'!Y87)),(-$Y87+50*IF('19.12'!$AK87="是",'19.12'!$BB$4,'19.12'!$BB$3)),(VLOOKUP('19.12'!Y87,'19.12'!$AO$4:$AQ$55,2,FALSE))*IF('19.12'!$AK87="是",'19.12'!$BB$4,'19.12'!$BB$3))</f>
        <v>0</v>
      </c>
      <c r="R87" s="4">
        <f>IF(ISNUMBER(SEARCH("营",'19.12'!Z87)),(-$Y87+50*IF('19.12'!$AK87="是",'19.12'!$BB$4,'19.12'!$BB$3)),(VLOOKUP('19.12'!Z87,'19.12'!$AO$4:$AQ$55,2,FALSE))*IF('19.12'!$AK87="是",'19.12'!$BB$4,'19.12'!$BB$3))</f>
        <v>0</v>
      </c>
      <c r="S87" s="4">
        <f>IF(ISNUMBER(SEARCH("营",'19.12'!AA87)),(-$Y87+50*IF('19.12'!$AK87="是",'19.12'!$BB$4,'19.12'!$BB$3)),(VLOOKUP('19.12'!AA87,'19.12'!$AO$4:$AQ$55,2,FALSE))*IF('19.12'!$AK87="是",'19.12'!$BB$4,'19.12'!$BB$3))</f>
        <v>0</v>
      </c>
      <c r="T87" s="4">
        <f>IF(ISNUMBER(SEARCH("营",'19.12'!AB87)),(-$Y87+50*IF('19.12'!$AK87="是",'19.12'!$BB$4,'19.12'!$BB$3)),(VLOOKUP('19.12'!AB87,'19.12'!$AO$4:$AQ$55,2,FALSE))*IF('19.12'!$AK87="是",'19.12'!$BB$4,'19.12'!$BB$3))</f>
        <v>0</v>
      </c>
      <c r="U87" s="4">
        <f>IF(ISNUMBER(SEARCH("营",'19.12'!AC87)),(-$Y87+50*IF('19.12'!$AK87="是",'19.12'!$BB$4,'19.12'!$BB$3)),(VLOOKUP('19.12'!AC87,'19.12'!$AO$4:$AQ$55,2,FALSE))*IF('19.12'!$AK87="是",'19.12'!$BB$4,'19.12'!$BB$3))</f>
        <v>0</v>
      </c>
      <c r="V87" s="4">
        <f>IF(ISNUMBER(SEARCH("营",'19.12'!AD87)),(-$Y87+50*IF('19.12'!$AK87="是",'19.12'!$BB$4,'19.12'!$BB$3)),(VLOOKUP('19.12'!AD87,'19.12'!$AO$4:$AQ$55,2,FALSE))*IF('19.12'!$AK87="是",'19.12'!$BB$4,'19.12'!$BB$3))</f>
        <v>0</v>
      </c>
      <c r="W87" s="4">
        <f>IF(ISNUMBER(SEARCH("营",'19.12'!AE87)),(-$Y87+50*IF('19.12'!$AK87="是",'19.12'!$BB$4,'19.12'!$BB$3)),(VLOOKUP('19.12'!AE87,'19.12'!$AO$4:$AQ$55,2,FALSE))*IF('19.12'!$AK87="是",'19.12'!$BB$4,'19.12'!$BB$3))</f>
        <v>0</v>
      </c>
      <c r="X87" s="4">
        <f>IF(ISNUMBER(SEARCH("营",'19.12'!AF87)),(-$Y87+50*IF('19.12'!$AK87="是",'19.12'!$BB$4,'19.12'!$BB$3)),(VLOOKUP('19.12'!AF87,'19.12'!$AO$4:$AQ$55,2,FALSE))*IF('19.12'!$AK87="是",'19.12'!$BB$4,'19.12'!$BB$3))</f>
        <v>0</v>
      </c>
      <c r="Y87" s="18">
        <v>100</v>
      </c>
      <c r="Z87" s="15">
        <v>45813</v>
      </c>
    </row>
    <row r="88" spans="1:26">
      <c r="A88" s="4">
        <f>IF(ISNUMBER(SEARCH("营",'19.12'!I88)),(-$Y88+50*IF('19.12'!$AK88="是",'19.12'!$BB$4,'19.12'!$BB$3)),(VLOOKUP('19.12'!I88,'19.12'!$AO$4:$AQ$55,2,FALSE))*IF('19.12'!$AK88="是",'19.12'!$BB$4,'19.12'!$BB$3))</f>
        <v>0</v>
      </c>
      <c r="B88" s="4">
        <f>IF(ISNUMBER(SEARCH("营",'19.12'!J88)),(-$Y88+50*IF('19.12'!$AK88="是",'19.12'!$BB$4,'19.12'!$BB$3)),(VLOOKUP('19.12'!J88,'19.12'!$AO$4:$AQ$55,2,FALSE))*IF('19.12'!$AK88="是",'19.12'!$BB$4,'19.12'!$BB$3))</f>
        <v>0</v>
      </c>
      <c r="C88" s="4">
        <f>IF(ISNUMBER(SEARCH("营",'19.12'!K88)),(-$Y88+50*IF('19.12'!$AK88="是",'19.12'!$BB$4,'19.12'!$BB$3)),(VLOOKUP('19.12'!K88,'19.12'!$AO$4:$AQ$55,2,FALSE))*IF('19.12'!$AK88="是",'19.12'!$BB$4,'19.12'!$BB$3))</f>
        <v>0</v>
      </c>
      <c r="D88" s="4">
        <f>IF(ISNUMBER(SEARCH("营",'19.12'!L88)),(-$Y88+50*IF('19.12'!$AK88="是",'19.12'!$BB$4,'19.12'!$BB$3)),(VLOOKUP('19.12'!L88,'19.12'!$AO$4:$AQ$55,2,FALSE))*IF('19.12'!$AK88="是",'19.12'!$BB$4,'19.12'!$BB$3))</f>
        <v>0</v>
      </c>
      <c r="E88" s="4">
        <f>IF(ISNUMBER(SEARCH("营",'19.12'!M88)),(-$Y88+50*IF('19.12'!$AK88="是",'19.12'!$BB$4,'19.12'!$BB$3)),(VLOOKUP('19.12'!M88,'19.12'!$AO$4:$AQ$55,2,FALSE))*IF('19.12'!$AK88="是",'19.12'!$BB$4,'19.12'!$BB$3))</f>
        <v>0</v>
      </c>
      <c r="F88" s="4">
        <f>IF(ISNUMBER(SEARCH("营",'19.12'!N88)),(-$Y88+50*IF('19.12'!$AK88="是",'19.12'!$BB$4,'19.12'!$BB$3)),(VLOOKUP('19.12'!N88,'19.12'!$AO$4:$AQ$55,2,FALSE))*IF('19.12'!$AK88="是",'19.12'!$BB$4,'19.12'!$BB$3))</f>
        <v>0</v>
      </c>
      <c r="G88" s="4">
        <f>IF(ISNUMBER(SEARCH("营",'19.12'!O88)),(-$Y88+50*IF('19.12'!$AK88="是",'19.12'!$BB$4,'19.12'!$BB$3)),(VLOOKUP('19.12'!O88,'19.12'!$AO$4:$AQ$55,2,FALSE))*IF('19.12'!$AK88="是",'19.12'!$BB$4,'19.12'!$BB$3))</f>
        <v>0</v>
      </c>
      <c r="H88" s="4">
        <f>IF(ISNUMBER(SEARCH("营",'19.12'!P88)),(-$Y88+50*IF('19.12'!$AK88="是",'19.12'!$BB$4,'19.12'!$BB$3)),(VLOOKUP('19.12'!P88,'19.12'!$AO$4:$AQ$55,2,FALSE))*IF('19.12'!$AK88="是",'19.12'!$BB$4,'19.12'!$BB$3))</f>
        <v>0</v>
      </c>
      <c r="I88" s="4">
        <f>IF(ISNUMBER(SEARCH("营",'19.12'!Q88)),(-$Y88+50*IF('19.12'!$AK88="是",'19.12'!$BB$4,'19.12'!$BB$3)),(VLOOKUP('19.12'!Q88,'19.12'!$AO$4:$AQ$55,2,FALSE))*IF('19.12'!$AK88="是",'19.12'!$BB$4,'19.12'!$BB$3))</f>
        <v>0</v>
      </c>
      <c r="J88" s="4">
        <f>IF(ISNUMBER(SEARCH("营",'19.12'!R88)),(-$Y88+50*IF('19.12'!$AK88="是",'19.12'!$BB$4,'19.12'!$BB$3)),(VLOOKUP('19.12'!R88,'19.12'!$AO$4:$AQ$55,2,FALSE))*IF('19.12'!$AK88="是",'19.12'!$BB$4,'19.12'!$BB$3))</f>
        <v>0</v>
      </c>
      <c r="K88" s="4">
        <f>IF(ISNUMBER(SEARCH("营",'19.12'!S88)),(-$Y88+50*IF('19.12'!$AK88="是",'19.12'!$BB$4,'19.12'!$BB$3)),(VLOOKUP('19.12'!S88,'19.12'!$AO$4:$AQ$55,2,FALSE))*IF('19.12'!$AK88="是",'19.12'!$BB$4,'19.12'!$BB$3))</f>
        <v>0</v>
      </c>
      <c r="L88" s="4">
        <f>IF(ISNUMBER(SEARCH("营",'19.12'!T88)),(-$Y88+50*IF('19.12'!$AK88="是",'19.12'!$BB$4,'19.12'!$BB$3)),(VLOOKUP('19.12'!T88,'19.12'!$AO$4:$AQ$55,2,FALSE))*IF('19.12'!$AK88="是",'19.12'!$BB$4,'19.12'!$BB$3))</f>
        <v>0</v>
      </c>
      <c r="M88" s="4">
        <f>IF(ISNUMBER(SEARCH("营",'19.12'!U88)),(-$Y88+50*IF('19.12'!$AK88="是",'19.12'!$BB$4,'19.12'!$BB$3)),(VLOOKUP('19.12'!U88,'19.12'!$AO$4:$AQ$55,2,FALSE))*IF('19.12'!$AK88="是",'19.12'!$BB$4,'19.12'!$BB$3))</f>
        <v>0</v>
      </c>
      <c r="N88" s="4">
        <f>IF(ISNUMBER(SEARCH("营",'19.12'!V88)),(-$Y88+50*IF('19.12'!$AK88="是",'19.12'!$BB$4,'19.12'!$BB$3)),(VLOOKUP('19.12'!V88,'19.12'!$AO$4:$AQ$55,2,FALSE))*IF('19.12'!$AK88="是",'19.12'!$BB$4,'19.12'!$BB$3))</f>
        <v>0</v>
      </c>
      <c r="O88" s="4">
        <f>IF(ISNUMBER(SEARCH("营",'19.12'!W88)),(-$Y88+50*IF('19.12'!$AK88="是",'19.12'!$BB$4,'19.12'!$BB$3)),(VLOOKUP('19.12'!W88,'19.12'!$AO$4:$AQ$55,2,FALSE))*IF('19.12'!$AK88="是",'19.12'!$BB$4,'19.12'!$BB$3))</f>
        <v>0</v>
      </c>
      <c r="P88" s="4">
        <f>IF(ISNUMBER(SEARCH("营",'19.12'!X88)),(-$Y88+50*IF('19.12'!$AK88="是",'19.12'!$BB$4,'19.12'!$BB$3)),(VLOOKUP('19.12'!X88,'19.12'!$AO$4:$AQ$55,2,FALSE))*IF('19.12'!$AK88="是",'19.12'!$BB$4,'19.12'!$BB$3))</f>
        <v>0</v>
      </c>
      <c r="Q88" s="4">
        <f>IF(ISNUMBER(SEARCH("营",'19.12'!Y88)),(-$Y88+50*IF('19.12'!$AK88="是",'19.12'!$BB$4,'19.12'!$BB$3)),(VLOOKUP('19.12'!Y88,'19.12'!$AO$4:$AQ$55,2,FALSE))*IF('19.12'!$AK88="是",'19.12'!$BB$4,'19.12'!$BB$3))</f>
        <v>0</v>
      </c>
      <c r="R88" s="4">
        <f>IF(ISNUMBER(SEARCH("营",'19.12'!Z88)),(-$Y88+50*IF('19.12'!$AK88="是",'19.12'!$BB$4,'19.12'!$BB$3)),(VLOOKUP('19.12'!Z88,'19.12'!$AO$4:$AQ$55,2,FALSE))*IF('19.12'!$AK88="是",'19.12'!$BB$4,'19.12'!$BB$3))</f>
        <v>0</v>
      </c>
      <c r="S88" s="4">
        <f>IF(ISNUMBER(SEARCH("营",'19.12'!AA88)),(-$Y88+50*IF('19.12'!$AK88="是",'19.12'!$BB$4,'19.12'!$BB$3)),(VLOOKUP('19.12'!AA88,'19.12'!$AO$4:$AQ$55,2,FALSE))*IF('19.12'!$AK88="是",'19.12'!$BB$4,'19.12'!$BB$3))</f>
        <v>0</v>
      </c>
      <c r="T88" s="4">
        <f>IF(ISNUMBER(SEARCH("营",'19.12'!AB88)),(-$Y88+50*IF('19.12'!$AK88="是",'19.12'!$BB$4,'19.12'!$BB$3)),(VLOOKUP('19.12'!AB88,'19.12'!$AO$4:$AQ$55,2,FALSE))*IF('19.12'!$AK88="是",'19.12'!$BB$4,'19.12'!$BB$3))</f>
        <v>0</v>
      </c>
      <c r="U88" s="4">
        <f>IF(ISNUMBER(SEARCH("营",'19.12'!AC88)),(-$Y88+50*IF('19.12'!$AK88="是",'19.12'!$BB$4,'19.12'!$BB$3)),(VLOOKUP('19.12'!AC88,'19.12'!$AO$4:$AQ$55,2,FALSE))*IF('19.12'!$AK88="是",'19.12'!$BB$4,'19.12'!$BB$3))</f>
        <v>0</v>
      </c>
      <c r="V88" s="4">
        <f>IF(ISNUMBER(SEARCH("营",'19.12'!AD88)),(-$Y88+50*IF('19.12'!$AK88="是",'19.12'!$BB$4,'19.12'!$BB$3)),(VLOOKUP('19.12'!AD88,'19.12'!$AO$4:$AQ$55,2,FALSE))*IF('19.12'!$AK88="是",'19.12'!$BB$4,'19.12'!$BB$3))</f>
        <v>0</v>
      </c>
      <c r="W88" s="4">
        <f>IF(ISNUMBER(SEARCH("营",'19.12'!AE88)),(-$Y88+50*IF('19.12'!$AK88="是",'19.12'!$BB$4,'19.12'!$BB$3)),(VLOOKUP('19.12'!AE88,'19.12'!$AO$4:$AQ$55,2,FALSE))*IF('19.12'!$AK88="是",'19.12'!$BB$4,'19.12'!$BB$3))</f>
        <v>0</v>
      </c>
      <c r="X88" s="4">
        <f>IF(ISNUMBER(SEARCH("营",'19.12'!AF88)),(-$Y88+50*IF('19.12'!$AK88="是",'19.12'!$BB$4,'19.12'!$BB$3)),(VLOOKUP('19.12'!AF88,'19.12'!$AO$4:$AQ$55,2,FALSE))*IF('19.12'!$AK88="是",'19.12'!$BB$4,'19.12'!$BB$3))</f>
        <v>0</v>
      </c>
      <c r="Y88" s="18">
        <v>100</v>
      </c>
      <c r="Z88" s="15">
        <v>45814</v>
      </c>
    </row>
    <row r="89" spans="1:26">
      <c r="A89" s="4">
        <f>IF(ISNUMBER(SEARCH("营",'19.12'!I89)),(-$Y89+50*IF('19.12'!$AK89="是",'19.12'!$BB$4,'19.12'!$BB$3)),(VLOOKUP('19.12'!I89,'19.12'!$AO$4:$AQ$55,2,FALSE))*IF('19.12'!$AK89="是",'19.12'!$BB$4,'19.12'!$BB$3))</f>
        <v>0</v>
      </c>
      <c r="B89" s="4">
        <f>IF(ISNUMBER(SEARCH("营",'19.12'!J89)),(-$Y89+50*IF('19.12'!$AK89="是",'19.12'!$BB$4,'19.12'!$BB$3)),(VLOOKUP('19.12'!J89,'19.12'!$AO$4:$AQ$55,2,FALSE))*IF('19.12'!$AK89="是",'19.12'!$BB$4,'19.12'!$BB$3))</f>
        <v>0</v>
      </c>
      <c r="C89" s="4">
        <f>IF(ISNUMBER(SEARCH("营",'19.12'!K89)),(-$Y89+50*IF('19.12'!$AK89="是",'19.12'!$BB$4,'19.12'!$BB$3)),(VLOOKUP('19.12'!K89,'19.12'!$AO$4:$AQ$55,2,FALSE))*IF('19.12'!$AK89="是",'19.12'!$BB$4,'19.12'!$BB$3))</f>
        <v>0</v>
      </c>
      <c r="D89" s="4">
        <f>IF(ISNUMBER(SEARCH("营",'19.12'!L89)),(-$Y89+50*IF('19.12'!$AK89="是",'19.12'!$BB$4,'19.12'!$BB$3)),(VLOOKUP('19.12'!L89,'19.12'!$AO$4:$AQ$55,2,FALSE))*IF('19.12'!$AK89="是",'19.12'!$BB$4,'19.12'!$BB$3))</f>
        <v>0</v>
      </c>
      <c r="E89" s="4">
        <f>IF(ISNUMBER(SEARCH("营",'19.12'!M89)),(-$Y89+50*IF('19.12'!$AK89="是",'19.12'!$BB$4,'19.12'!$BB$3)),(VLOOKUP('19.12'!M89,'19.12'!$AO$4:$AQ$55,2,FALSE))*IF('19.12'!$AK89="是",'19.12'!$BB$4,'19.12'!$BB$3))</f>
        <v>0</v>
      </c>
      <c r="F89" s="4">
        <f>IF(ISNUMBER(SEARCH("营",'19.12'!N89)),(-$Y89+50*IF('19.12'!$AK89="是",'19.12'!$BB$4,'19.12'!$BB$3)),(VLOOKUP('19.12'!N89,'19.12'!$AO$4:$AQ$55,2,FALSE))*IF('19.12'!$AK89="是",'19.12'!$BB$4,'19.12'!$BB$3))</f>
        <v>0</v>
      </c>
      <c r="G89" s="4">
        <f>IF(ISNUMBER(SEARCH("营",'19.12'!O89)),(-$Y89+50*IF('19.12'!$AK89="是",'19.12'!$BB$4,'19.12'!$BB$3)),(VLOOKUP('19.12'!O89,'19.12'!$AO$4:$AQ$55,2,FALSE))*IF('19.12'!$AK89="是",'19.12'!$BB$4,'19.12'!$BB$3))</f>
        <v>0</v>
      </c>
      <c r="H89" s="4">
        <f>IF(ISNUMBER(SEARCH("营",'19.12'!P89)),(-$Y89+50*IF('19.12'!$AK89="是",'19.12'!$BB$4,'19.12'!$BB$3)),(VLOOKUP('19.12'!P89,'19.12'!$AO$4:$AQ$55,2,FALSE))*IF('19.12'!$AK89="是",'19.12'!$BB$4,'19.12'!$BB$3))</f>
        <v>0</v>
      </c>
      <c r="I89" s="4">
        <f>IF(ISNUMBER(SEARCH("营",'19.12'!Q89)),(-$Y89+50*IF('19.12'!$AK89="是",'19.12'!$BB$4,'19.12'!$BB$3)),(VLOOKUP('19.12'!Q89,'19.12'!$AO$4:$AQ$55,2,FALSE))*IF('19.12'!$AK89="是",'19.12'!$BB$4,'19.12'!$BB$3))</f>
        <v>0</v>
      </c>
      <c r="J89" s="4">
        <f>IF(ISNUMBER(SEARCH("营",'19.12'!R89)),(-$Y89+50*IF('19.12'!$AK89="是",'19.12'!$BB$4,'19.12'!$BB$3)),(VLOOKUP('19.12'!R89,'19.12'!$AO$4:$AQ$55,2,FALSE))*IF('19.12'!$AK89="是",'19.12'!$BB$4,'19.12'!$BB$3))</f>
        <v>0</v>
      </c>
      <c r="K89" s="4">
        <f>IF(ISNUMBER(SEARCH("营",'19.12'!S89)),(-$Y89+50*IF('19.12'!$AK89="是",'19.12'!$BB$4,'19.12'!$BB$3)),(VLOOKUP('19.12'!S89,'19.12'!$AO$4:$AQ$55,2,FALSE))*IF('19.12'!$AK89="是",'19.12'!$BB$4,'19.12'!$BB$3))</f>
        <v>0</v>
      </c>
      <c r="L89" s="4">
        <f>IF(ISNUMBER(SEARCH("营",'19.12'!T89)),(-$Y89+50*IF('19.12'!$AK89="是",'19.12'!$BB$4,'19.12'!$BB$3)),(VLOOKUP('19.12'!T89,'19.12'!$AO$4:$AQ$55,2,FALSE))*IF('19.12'!$AK89="是",'19.12'!$BB$4,'19.12'!$BB$3))</f>
        <v>0</v>
      </c>
      <c r="M89" s="4">
        <f>IF(ISNUMBER(SEARCH("营",'19.12'!U89)),(-$Y89+50*IF('19.12'!$AK89="是",'19.12'!$BB$4,'19.12'!$BB$3)),(VLOOKUP('19.12'!U89,'19.12'!$AO$4:$AQ$55,2,FALSE))*IF('19.12'!$AK89="是",'19.12'!$BB$4,'19.12'!$BB$3))</f>
        <v>0</v>
      </c>
      <c r="N89" s="4">
        <f>IF(ISNUMBER(SEARCH("营",'19.12'!V89)),(-$Y89+50*IF('19.12'!$AK89="是",'19.12'!$BB$4,'19.12'!$BB$3)),(VLOOKUP('19.12'!V89,'19.12'!$AO$4:$AQ$55,2,FALSE))*IF('19.12'!$AK89="是",'19.12'!$BB$4,'19.12'!$BB$3))</f>
        <v>0</v>
      </c>
      <c r="O89" s="4">
        <f>IF(ISNUMBER(SEARCH("营",'19.12'!W89)),(-$Y89+50*IF('19.12'!$AK89="是",'19.12'!$BB$4,'19.12'!$BB$3)),(VLOOKUP('19.12'!W89,'19.12'!$AO$4:$AQ$55,2,FALSE))*IF('19.12'!$AK89="是",'19.12'!$BB$4,'19.12'!$BB$3))</f>
        <v>0</v>
      </c>
      <c r="P89" s="4">
        <f>IF(ISNUMBER(SEARCH("营",'19.12'!X89)),(-$Y89+50*IF('19.12'!$AK89="是",'19.12'!$BB$4,'19.12'!$BB$3)),(VLOOKUP('19.12'!X89,'19.12'!$AO$4:$AQ$55,2,FALSE))*IF('19.12'!$AK89="是",'19.12'!$BB$4,'19.12'!$BB$3))</f>
        <v>0</v>
      </c>
      <c r="Q89" s="4">
        <f>IF(ISNUMBER(SEARCH("营",'19.12'!Y89)),(-$Y89+50*IF('19.12'!$AK89="是",'19.12'!$BB$4,'19.12'!$BB$3)),(VLOOKUP('19.12'!Y89,'19.12'!$AO$4:$AQ$55,2,FALSE))*IF('19.12'!$AK89="是",'19.12'!$BB$4,'19.12'!$BB$3))</f>
        <v>0</v>
      </c>
      <c r="R89" s="4">
        <f>IF(ISNUMBER(SEARCH("营",'19.12'!Z89)),(-$Y89+50*IF('19.12'!$AK89="是",'19.12'!$BB$4,'19.12'!$BB$3)),(VLOOKUP('19.12'!Z89,'19.12'!$AO$4:$AQ$55,2,FALSE))*IF('19.12'!$AK89="是",'19.12'!$BB$4,'19.12'!$BB$3))</f>
        <v>0</v>
      </c>
      <c r="S89" s="4">
        <f>IF(ISNUMBER(SEARCH("营",'19.12'!AA89)),(-$Y89+50*IF('19.12'!$AK89="是",'19.12'!$BB$4,'19.12'!$BB$3)),(VLOOKUP('19.12'!AA89,'19.12'!$AO$4:$AQ$55,2,FALSE))*IF('19.12'!$AK89="是",'19.12'!$BB$4,'19.12'!$BB$3))</f>
        <v>0</v>
      </c>
      <c r="T89" s="4">
        <f>IF(ISNUMBER(SEARCH("营",'19.12'!AB89)),(-$Y89+50*IF('19.12'!$AK89="是",'19.12'!$BB$4,'19.12'!$BB$3)),(VLOOKUP('19.12'!AB89,'19.12'!$AO$4:$AQ$55,2,FALSE))*IF('19.12'!$AK89="是",'19.12'!$BB$4,'19.12'!$BB$3))</f>
        <v>0</v>
      </c>
      <c r="U89" s="4">
        <f>IF(ISNUMBER(SEARCH("营",'19.12'!AC89)),(-$Y89+50*IF('19.12'!$AK89="是",'19.12'!$BB$4,'19.12'!$BB$3)),(VLOOKUP('19.12'!AC89,'19.12'!$AO$4:$AQ$55,2,FALSE))*IF('19.12'!$AK89="是",'19.12'!$BB$4,'19.12'!$BB$3))</f>
        <v>0</v>
      </c>
      <c r="V89" s="4">
        <f>IF(ISNUMBER(SEARCH("营",'19.12'!AD89)),(-$Y89+50*IF('19.12'!$AK89="是",'19.12'!$BB$4,'19.12'!$BB$3)),(VLOOKUP('19.12'!AD89,'19.12'!$AO$4:$AQ$55,2,FALSE))*IF('19.12'!$AK89="是",'19.12'!$BB$4,'19.12'!$BB$3))</f>
        <v>0</v>
      </c>
      <c r="W89" s="4">
        <f>IF(ISNUMBER(SEARCH("营",'19.12'!AE89)),(-$Y89+50*IF('19.12'!$AK89="是",'19.12'!$BB$4,'19.12'!$BB$3)),(VLOOKUP('19.12'!AE89,'19.12'!$AO$4:$AQ$55,2,FALSE))*IF('19.12'!$AK89="是",'19.12'!$BB$4,'19.12'!$BB$3))</f>
        <v>0</v>
      </c>
      <c r="X89" s="4">
        <f>IF(ISNUMBER(SEARCH("营",'19.12'!AF89)),(-$Y89+50*IF('19.12'!$AK89="是",'19.12'!$BB$4,'19.12'!$BB$3)),(VLOOKUP('19.12'!AF89,'19.12'!$AO$4:$AQ$55,2,FALSE))*IF('19.12'!$AK89="是",'19.12'!$BB$4,'19.12'!$BB$3))</f>
        <v>0</v>
      </c>
      <c r="Y89" s="18">
        <v>100</v>
      </c>
      <c r="Z89" s="15">
        <v>45815</v>
      </c>
    </row>
    <row r="90" spans="1:26">
      <c r="A90" s="4">
        <f>IF(ISNUMBER(SEARCH("营",'19.12'!I90)),(-$Y90+50*IF('19.12'!$AK90="是",'19.12'!$BB$4,'19.12'!$BB$3)),(VLOOKUP('19.12'!I90,'19.12'!$AO$4:$AQ$55,2,FALSE))*IF('19.12'!$AK90="是",'19.12'!$BB$4,'19.12'!$BB$3))</f>
        <v>0</v>
      </c>
      <c r="B90" s="4">
        <f>IF(ISNUMBER(SEARCH("营",'19.12'!J90)),(-$Y90+50*IF('19.12'!$AK90="是",'19.12'!$BB$4,'19.12'!$BB$3)),(VLOOKUP('19.12'!J90,'19.12'!$AO$4:$AQ$55,2,FALSE))*IF('19.12'!$AK90="是",'19.12'!$BB$4,'19.12'!$BB$3))</f>
        <v>0</v>
      </c>
      <c r="C90" s="4">
        <f>IF(ISNUMBER(SEARCH("营",'19.12'!K90)),(-$Y90+50*IF('19.12'!$AK90="是",'19.12'!$BB$4,'19.12'!$BB$3)),(VLOOKUP('19.12'!K90,'19.12'!$AO$4:$AQ$55,2,FALSE))*IF('19.12'!$AK90="是",'19.12'!$BB$4,'19.12'!$BB$3))</f>
        <v>0</v>
      </c>
      <c r="D90" s="4">
        <f>IF(ISNUMBER(SEARCH("营",'19.12'!L90)),(-$Y90+50*IF('19.12'!$AK90="是",'19.12'!$BB$4,'19.12'!$BB$3)),(VLOOKUP('19.12'!L90,'19.12'!$AO$4:$AQ$55,2,FALSE))*IF('19.12'!$AK90="是",'19.12'!$BB$4,'19.12'!$BB$3))</f>
        <v>0</v>
      </c>
      <c r="E90" s="4">
        <f>IF(ISNUMBER(SEARCH("营",'19.12'!M90)),(-$Y90+50*IF('19.12'!$AK90="是",'19.12'!$BB$4,'19.12'!$BB$3)),(VLOOKUP('19.12'!M90,'19.12'!$AO$4:$AQ$55,2,FALSE))*IF('19.12'!$AK90="是",'19.12'!$BB$4,'19.12'!$BB$3))</f>
        <v>0</v>
      </c>
      <c r="F90" s="4">
        <f>IF(ISNUMBER(SEARCH("营",'19.12'!N90)),(-$Y90+50*IF('19.12'!$AK90="是",'19.12'!$BB$4,'19.12'!$BB$3)),(VLOOKUP('19.12'!N90,'19.12'!$AO$4:$AQ$55,2,FALSE))*IF('19.12'!$AK90="是",'19.12'!$BB$4,'19.12'!$BB$3))</f>
        <v>0</v>
      </c>
      <c r="G90" s="4">
        <f>IF(ISNUMBER(SEARCH("营",'19.12'!O90)),(-$Y90+50*IF('19.12'!$AK90="是",'19.12'!$BB$4,'19.12'!$BB$3)),(VLOOKUP('19.12'!O90,'19.12'!$AO$4:$AQ$55,2,FALSE))*IF('19.12'!$AK90="是",'19.12'!$BB$4,'19.12'!$BB$3))</f>
        <v>0</v>
      </c>
      <c r="H90" s="4">
        <f>IF(ISNUMBER(SEARCH("营",'19.12'!P90)),(-$Y90+50*IF('19.12'!$AK90="是",'19.12'!$BB$4,'19.12'!$BB$3)),(VLOOKUP('19.12'!P90,'19.12'!$AO$4:$AQ$55,2,FALSE))*IF('19.12'!$AK90="是",'19.12'!$BB$4,'19.12'!$BB$3))</f>
        <v>0</v>
      </c>
      <c r="I90" s="4">
        <f>IF(ISNUMBER(SEARCH("营",'19.12'!Q90)),(-$Y90+50*IF('19.12'!$AK90="是",'19.12'!$BB$4,'19.12'!$BB$3)),(VLOOKUP('19.12'!Q90,'19.12'!$AO$4:$AQ$55,2,FALSE))*IF('19.12'!$AK90="是",'19.12'!$BB$4,'19.12'!$BB$3))</f>
        <v>0</v>
      </c>
      <c r="J90" s="4">
        <f>IF(ISNUMBER(SEARCH("营",'19.12'!R90)),(-$Y90+50*IF('19.12'!$AK90="是",'19.12'!$BB$4,'19.12'!$BB$3)),(VLOOKUP('19.12'!R90,'19.12'!$AO$4:$AQ$55,2,FALSE))*IF('19.12'!$AK90="是",'19.12'!$BB$4,'19.12'!$BB$3))</f>
        <v>0</v>
      </c>
      <c r="K90" s="4">
        <f>IF(ISNUMBER(SEARCH("营",'19.12'!S90)),(-$Y90+50*IF('19.12'!$AK90="是",'19.12'!$BB$4,'19.12'!$BB$3)),(VLOOKUP('19.12'!S90,'19.12'!$AO$4:$AQ$55,2,FALSE))*IF('19.12'!$AK90="是",'19.12'!$BB$4,'19.12'!$BB$3))</f>
        <v>0</v>
      </c>
      <c r="L90" s="4">
        <f>IF(ISNUMBER(SEARCH("营",'19.12'!T90)),(-$Y90+50*IF('19.12'!$AK90="是",'19.12'!$BB$4,'19.12'!$BB$3)),(VLOOKUP('19.12'!T90,'19.12'!$AO$4:$AQ$55,2,FALSE))*IF('19.12'!$AK90="是",'19.12'!$BB$4,'19.12'!$BB$3))</f>
        <v>0</v>
      </c>
      <c r="M90" s="4">
        <f>IF(ISNUMBER(SEARCH("营",'19.12'!U90)),(-$Y90+50*IF('19.12'!$AK90="是",'19.12'!$BB$4,'19.12'!$BB$3)),(VLOOKUP('19.12'!U90,'19.12'!$AO$4:$AQ$55,2,FALSE))*IF('19.12'!$AK90="是",'19.12'!$BB$4,'19.12'!$BB$3))</f>
        <v>0</v>
      </c>
      <c r="N90" s="4">
        <f>IF(ISNUMBER(SEARCH("营",'19.12'!V90)),(-$Y90+50*IF('19.12'!$AK90="是",'19.12'!$BB$4,'19.12'!$BB$3)),(VLOOKUP('19.12'!V90,'19.12'!$AO$4:$AQ$55,2,FALSE))*IF('19.12'!$AK90="是",'19.12'!$BB$4,'19.12'!$BB$3))</f>
        <v>0</v>
      </c>
      <c r="O90" s="4">
        <f>IF(ISNUMBER(SEARCH("营",'19.12'!W90)),(-$Y90+50*IF('19.12'!$AK90="是",'19.12'!$BB$4,'19.12'!$BB$3)),(VLOOKUP('19.12'!W90,'19.12'!$AO$4:$AQ$55,2,FALSE))*IF('19.12'!$AK90="是",'19.12'!$BB$4,'19.12'!$BB$3))</f>
        <v>0</v>
      </c>
      <c r="P90" s="4">
        <f>IF(ISNUMBER(SEARCH("营",'19.12'!X90)),(-$Y90+50*IF('19.12'!$AK90="是",'19.12'!$BB$4,'19.12'!$BB$3)),(VLOOKUP('19.12'!X90,'19.12'!$AO$4:$AQ$55,2,FALSE))*IF('19.12'!$AK90="是",'19.12'!$BB$4,'19.12'!$BB$3))</f>
        <v>0</v>
      </c>
      <c r="Q90" s="4">
        <f>IF(ISNUMBER(SEARCH("营",'19.12'!Y90)),(-$Y90+50*IF('19.12'!$AK90="是",'19.12'!$BB$4,'19.12'!$BB$3)),(VLOOKUP('19.12'!Y90,'19.12'!$AO$4:$AQ$55,2,FALSE))*IF('19.12'!$AK90="是",'19.12'!$BB$4,'19.12'!$BB$3))</f>
        <v>0</v>
      </c>
      <c r="R90" s="4">
        <f>IF(ISNUMBER(SEARCH("营",'19.12'!Z90)),(-$Y90+50*IF('19.12'!$AK90="是",'19.12'!$BB$4,'19.12'!$BB$3)),(VLOOKUP('19.12'!Z90,'19.12'!$AO$4:$AQ$55,2,FALSE))*IF('19.12'!$AK90="是",'19.12'!$BB$4,'19.12'!$BB$3))</f>
        <v>0</v>
      </c>
      <c r="S90" s="4">
        <f>IF(ISNUMBER(SEARCH("营",'19.12'!AA90)),(-$Y90+50*IF('19.12'!$AK90="是",'19.12'!$BB$4,'19.12'!$BB$3)),(VLOOKUP('19.12'!AA90,'19.12'!$AO$4:$AQ$55,2,FALSE))*IF('19.12'!$AK90="是",'19.12'!$BB$4,'19.12'!$BB$3))</f>
        <v>0</v>
      </c>
      <c r="T90" s="4">
        <f>IF(ISNUMBER(SEARCH("营",'19.12'!AB90)),(-$Y90+50*IF('19.12'!$AK90="是",'19.12'!$BB$4,'19.12'!$BB$3)),(VLOOKUP('19.12'!AB90,'19.12'!$AO$4:$AQ$55,2,FALSE))*IF('19.12'!$AK90="是",'19.12'!$BB$4,'19.12'!$BB$3))</f>
        <v>0</v>
      </c>
      <c r="U90" s="4">
        <f>IF(ISNUMBER(SEARCH("营",'19.12'!AC90)),(-$Y90+50*IF('19.12'!$AK90="是",'19.12'!$BB$4,'19.12'!$BB$3)),(VLOOKUP('19.12'!AC90,'19.12'!$AO$4:$AQ$55,2,FALSE))*IF('19.12'!$AK90="是",'19.12'!$BB$4,'19.12'!$BB$3))</f>
        <v>0</v>
      </c>
      <c r="V90" s="4">
        <f>IF(ISNUMBER(SEARCH("营",'19.12'!AD90)),(-$Y90+50*IF('19.12'!$AK90="是",'19.12'!$BB$4,'19.12'!$BB$3)),(VLOOKUP('19.12'!AD90,'19.12'!$AO$4:$AQ$55,2,FALSE))*IF('19.12'!$AK90="是",'19.12'!$BB$4,'19.12'!$BB$3))</f>
        <v>0</v>
      </c>
      <c r="W90" s="4">
        <f>IF(ISNUMBER(SEARCH("营",'19.12'!AE90)),(-$Y90+50*IF('19.12'!$AK90="是",'19.12'!$BB$4,'19.12'!$BB$3)),(VLOOKUP('19.12'!AE90,'19.12'!$AO$4:$AQ$55,2,FALSE))*IF('19.12'!$AK90="是",'19.12'!$BB$4,'19.12'!$BB$3))</f>
        <v>0</v>
      </c>
      <c r="X90" s="4">
        <f>IF(ISNUMBER(SEARCH("营",'19.12'!AF90)),(-$Y90+50*IF('19.12'!$AK90="是",'19.12'!$BB$4,'19.12'!$BB$3)),(VLOOKUP('19.12'!AF90,'19.12'!$AO$4:$AQ$55,2,FALSE))*IF('19.12'!$AK90="是",'19.12'!$BB$4,'19.12'!$BB$3))</f>
        <v>0</v>
      </c>
      <c r="Y90" s="18">
        <v>100</v>
      </c>
      <c r="Z90" s="15">
        <v>45816</v>
      </c>
    </row>
    <row r="91" spans="1:26">
      <c r="A91" s="4">
        <f>IF(ISNUMBER(SEARCH("营",'19.12'!I91)),(-$Y91+50*IF('19.12'!$AK91="是",'19.12'!$BB$4,'19.12'!$BB$3)),(VLOOKUP('19.12'!I91,'19.12'!$AO$4:$AQ$55,2,FALSE))*IF('19.12'!$AK91="是",'19.12'!$BB$4,'19.12'!$BB$3))</f>
        <v>0</v>
      </c>
      <c r="B91" s="4">
        <f>IF(ISNUMBER(SEARCH("营",'19.12'!J91)),(-$Y91+50*IF('19.12'!$AK91="是",'19.12'!$BB$4,'19.12'!$BB$3)),(VLOOKUP('19.12'!J91,'19.12'!$AO$4:$AQ$55,2,FALSE))*IF('19.12'!$AK91="是",'19.12'!$BB$4,'19.12'!$BB$3))</f>
        <v>0</v>
      </c>
      <c r="C91" s="4">
        <f>IF(ISNUMBER(SEARCH("营",'19.12'!K91)),(-$Y91+50*IF('19.12'!$AK91="是",'19.12'!$BB$4,'19.12'!$BB$3)),(VLOOKUP('19.12'!K91,'19.12'!$AO$4:$AQ$55,2,FALSE))*IF('19.12'!$AK91="是",'19.12'!$BB$4,'19.12'!$BB$3))</f>
        <v>0</v>
      </c>
      <c r="D91" s="4">
        <f>IF(ISNUMBER(SEARCH("营",'19.12'!L91)),(-$Y91+50*IF('19.12'!$AK91="是",'19.12'!$BB$4,'19.12'!$BB$3)),(VLOOKUP('19.12'!L91,'19.12'!$AO$4:$AQ$55,2,FALSE))*IF('19.12'!$AK91="是",'19.12'!$BB$4,'19.12'!$BB$3))</f>
        <v>0</v>
      </c>
      <c r="E91" s="4">
        <f>IF(ISNUMBER(SEARCH("营",'19.12'!M91)),(-$Y91+50*IF('19.12'!$AK91="是",'19.12'!$BB$4,'19.12'!$BB$3)),(VLOOKUP('19.12'!M91,'19.12'!$AO$4:$AQ$55,2,FALSE))*IF('19.12'!$AK91="是",'19.12'!$BB$4,'19.12'!$BB$3))</f>
        <v>0</v>
      </c>
      <c r="F91" s="4">
        <f>IF(ISNUMBER(SEARCH("营",'19.12'!N91)),(-$Y91+50*IF('19.12'!$AK91="是",'19.12'!$BB$4,'19.12'!$BB$3)),(VLOOKUP('19.12'!N91,'19.12'!$AO$4:$AQ$55,2,FALSE))*IF('19.12'!$AK91="是",'19.12'!$BB$4,'19.12'!$BB$3))</f>
        <v>0</v>
      </c>
      <c r="G91" s="4">
        <f>IF(ISNUMBER(SEARCH("营",'19.12'!O91)),(-$Y91+50*IF('19.12'!$AK91="是",'19.12'!$BB$4,'19.12'!$BB$3)),(VLOOKUP('19.12'!O91,'19.12'!$AO$4:$AQ$55,2,FALSE))*IF('19.12'!$AK91="是",'19.12'!$BB$4,'19.12'!$BB$3))</f>
        <v>0</v>
      </c>
      <c r="H91" s="4">
        <f>IF(ISNUMBER(SEARCH("营",'19.12'!P91)),(-$Y91+50*IF('19.12'!$AK91="是",'19.12'!$BB$4,'19.12'!$BB$3)),(VLOOKUP('19.12'!P91,'19.12'!$AO$4:$AQ$55,2,FALSE))*IF('19.12'!$AK91="是",'19.12'!$BB$4,'19.12'!$BB$3))</f>
        <v>0</v>
      </c>
      <c r="I91" s="4">
        <f>IF(ISNUMBER(SEARCH("营",'19.12'!Q91)),(-$Y91+50*IF('19.12'!$AK91="是",'19.12'!$BB$4,'19.12'!$BB$3)),(VLOOKUP('19.12'!Q91,'19.12'!$AO$4:$AQ$55,2,FALSE))*IF('19.12'!$AK91="是",'19.12'!$BB$4,'19.12'!$BB$3))</f>
        <v>0</v>
      </c>
      <c r="J91" s="4">
        <f>IF(ISNUMBER(SEARCH("营",'19.12'!R91)),(-$Y91+50*IF('19.12'!$AK91="是",'19.12'!$BB$4,'19.12'!$BB$3)),(VLOOKUP('19.12'!R91,'19.12'!$AO$4:$AQ$55,2,FALSE))*IF('19.12'!$AK91="是",'19.12'!$BB$4,'19.12'!$BB$3))</f>
        <v>0</v>
      </c>
      <c r="K91" s="4">
        <f>IF(ISNUMBER(SEARCH("营",'19.12'!S91)),(-$Y91+50*IF('19.12'!$AK91="是",'19.12'!$BB$4,'19.12'!$BB$3)),(VLOOKUP('19.12'!S91,'19.12'!$AO$4:$AQ$55,2,FALSE))*IF('19.12'!$AK91="是",'19.12'!$BB$4,'19.12'!$BB$3))</f>
        <v>0</v>
      </c>
      <c r="L91" s="4">
        <f>IF(ISNUMBER(SEARCH("营",'19.12'!T91)),(-$Y91+50*IF('19.12'!$AK91="是",'19.12'!$BB$4,'19.12'!$BB$3)),(VLOOKUP('19.12'!T91,'19.12'!$AO$4:$AQ$55,2,FALSE))*IF('19.12'!$AK91="是",'19.12'!$BB$4,'19.12'!$BB$3))</f>
        <v>0</v>
      </c>
      <c r="M91" s="4">
        <f>IF(ISNUMBER(SEARCH("营",'19.12'!U91)),(-$Y91+50*IF('19.12'!$AK91="是",'19.12'!$BB$4,'19.12'!$BB$3)),(VLOOKUP('19.12'!U91,'19.12'!$AO$4:$AQ$55,2,FALSE))*IF('19.12'!$AK91="是",'19.12'!$BB$4,'19.12'!$BB$3))</f>
        <v>0</v>
      </c>
      <c r="N91" s="4">
        <f>IF(ISNUMBER(SEARCH("营",'19.12'!V91)),(-$Y91+50*IF('19.12'!$AK91="是",'19.12'!$BB$4,'19.12'!$BB$3)),(VLOOKUP('19.12'!V91,'19.12'!$AO$4:$AQ$55,2,FALSE))*IF('19.12'!$AK91="是",'19.12'!$BB$4,'19.12'!$BB$3))</f>
        <v>0</v>
      </c>
      <c r="O91" s="4">
        <f>IF(ISNUMBER(SEARCH("营",'19.12'!W91)),(-$Y91+50*IF('19.12'!$AK91="是",'19.12'!$BB$4,'19.12'!$BB$3)),(VLOOKUP('19.12'!W91,'19.12'!$AO$4:$AQ$55,2,FALSE))*IF('19.12'!$AK91="是",'19.12'!$BB$4,'19.12'!$BB$3))</f>
        <v>0</v>
      </c>
      <c r="P91" s="4">
        <f>IF(ISNUMBER(SEARCH("营",'19.12'!X91)),(-$Y91+50*IF('19.12'!$AK91="是",'19.12'!$BB$4,'19.12'!$BB$3)),(VLOOKUP('19.12'!X91,'19.12'!$AO$4:$AQ$55,2,FALSE))*IF('19.12'!$AK91="是",'19.12'!$BB$4,'19.12'!$BB$3))</f>
        <v>0</v>
      </c>
      <c r="Q91" s="4">
        <f>IF(ISNUMBER(SEARCH("营",'19.12'!Y91)),(-$Y91+50*IF('19.12'!$AK91="是",'19.12'!$BB$4,'19.12'!$BB$3)),(VLOOKUP('19.12'!Y91,'19.12'!$AO$4:$AQ$55,2,FALSE))*IF('19.12'!$AK91="是",'19.12'!$BB$4,'19.12'!$BB$3))</f>
        <v>0</v>
      </c>
      <c r="R91" s="4">
        <f>IF(ISNUMBER(SEARCH("营",'19.12'!Z91)),(-$Y91+50*IF('19.12'!$AK91="是",'19.12'!$BB$4,'19.12'!$BB$3)),(VLOOKUP('19.12'!Z91,'19.12'!$AO$4:$AQ$55,2,FALSE))*IF('19.12'!$AK91="是",'19.12'!$BB$4,'19.12'!$BB$3))</f>
        <v>0</v>
      </c>
      <c r="S91" s="4">
        <f>IF(ISNUMBER(SEARCH("营",'19.12'!AA91)),(-$Y91+50*IF('19.12'!$AK91="是",'19.12'!$BB$4,'19.12'!$BB$3)),(VLOOKUP('19.12'!AA91,'19.12'!$AO$4:$AQ$55,2,FALSE))*IF('19.12'!$AK91="是",'19.12'!$BB$4,'19.12'!$BB$3))</f>
        <v>0</v>
      </c>
      <c r="T91" s="4">
        <f>IF(ISNUMBER(SEARCH("营",'19.12'!AB91)),(-$Y91+50*IF('19.12'!$AK91="是",'19.12'!$BB$4,'19.12'!$BB$3)),(VLOOKUP('19.12'!AB91,'19.12'!$AO$4:$AQ$55,2,FALSE))*IF('19.12'!$AK91="是",'19.12'!$BB$4,'19.12'!$BB$3))</f>
        <v>0</v>
      </c>
      <c r="U91" s="4">
        <f>IF(ISNUMBER(SEARCH("营",'19.12'!AC91)),(-$Y91+50*IF('19.12'!$AK91="是",'19.12'!$BB$4,'19.12'!$BB$3)),(VLOOKUP('19.12'!AC91,'19.12'!$AO$4:$AQ$55,2,FALSE))*IF('19.12'!$AK91="是",'19.12'!$BB$4,'19.12'!$BB$3))</f>
        <v>0</v>
      </c>
      <c r="V91" s="4">
        <f>IF(ISNUMBER(SEARCH("营",'19.12'!AD91)),(-$Y91+50*IF('19.12'!$AK91="是",'19.12'!$BB$4,'19.12'!$BB$3)),(VLOOKUP('19.12'!AD91,'19.12'!$AO$4:$AQ$55,2,FALSE))*IF('19.12'!$AK91="是",'19.12'!$BB$4,'19.12'!$BB$3))</f>
        <v>0</v>
      </c>
      <c r="W91" s="4">
        <f>IF(ISNUMBER(SEARCH("营",'19.12'!AE91)),(-$Y91+50*IF('19.12'!$AK91="是",'19.12'!$BB$4,'19.12'!$BB$3)),(VLOOKUP('19.12'!AE91,'19.12'!$AO$4:$AQ$55,2,FALSE))*IF('19.12'!$AK91="是",'19.12'!$BB$4,'19.12'!$BB$3))</f>
        <v>0</v>
      </c>
      <c r="X91" s="4">
        <f>IF(ISNUMBER(SEARCH("营",'19.12'!AF91)),(-$Y91+50*IF('19.12'!$AK91="是",'19.12'!$BB$4,'19.12'!$BB$3)),(VLOOKUP('19.12'!AF91,'19.12'!$AO$4:$AQ$55,2,FALSE))*IF('19.12'!$AK91="是",'19.12'!$BB$4,'19.12'!$BB$3))</f>
        <v>0</v>
      </c>
      <c r="Y91" s="18">
        <v>100</v>
      </c>
      <c r="Z91" s="15">
        <v>45817</v>
      </c>
    </row>
    <row r="92" spans="1:26">
      <c r="A92" s="4">
        <f>IF(ISNUMBER(SEARCH("营",'19.12'!I92)),(-$Y92+50*IF('19.12'!$AK92="是",'19.12'!$BB$4,'19.12'!$BB$3)),(VLOOKUP('19.12'!I92,'19.12'!$AO$4:$AQ$55,2,FALSE))*IF('19.12'!$AK92="是",'19.12'!$BB$4,'19.12'!$BB$3))</f>
        <v>0</v>
      </c>
      <c r="B92" s="4">
        <f>IF(ISNUMBER(SEARCH("营",'19.12'!J92)),(-$Y92+50*IF('19.12'!$AK92="是",'19.12'!$BB$4,'19.12'!$BB$3)),(VLOOKUP('19.12'!J92,'19.12'!$AO$4:$AQ$55,2,FALSE))*IF('19.12'!$AK92="是",'19.12'!$BB$4,'19.12'!$BB$3))</f>
        <v>0</v>
      </c>
      <c r="C92" s="4">
        <f>IF(ISNUMBER(SEARCH("营",'19.12'!K92)),(-$Y92+50*IF('19.12'!$AK92="是",'19.12'!$BB$4,'19.12'!$BB$3)),(VLOOKUP('19.12'!K92,'19.12'!$AO$4:$AQ$55,2,FALSE))*IF('19.12'!$AK92="是",'19.12'!$BB$4,'19.12'!$BB$3))</f>
        <v>0</v>
      </c>
      <c r="D92" s="4">
        <f>IF(ISNUMBER(SEARCH("营",'19.12'!L92)),(-$Y92+50*IF('19.12'!$AK92="是",'19.12'!$BB$4,'19.12'!$BB$3)),(VLOOKUP('19.12'!L92,'19.12'!$AO$4:$AQ$55,2,FALSE))*IF('19.12'!$AK92="是",'19.12'!$BB$4,'19.12'!$BB$3))</f>
        <v>0</v>
      </c>
      <c r="E92" s="4">
        <f>IF(ISNUMBER(SEARCH("营",'19.12'!M92)),(-$Y92+50*IF('19.12'!$AK92="是",'19.12'!$BB$4,'19.12'!$BB$3)),(VLOOKUP('19.12'!M92,'19.12'!$AO$4:$AQ$55,2,FALSE))*IF('19.12'!$AK92="是",'19.12'!$BB$4,'19.12'!$BB$3))</f>
        <v>0</v>
      </c>
      <c r="F92" s="4">
        <f>IF(ISNUMBER(SEARCH("营",'19.12'!N92)),(-$Y92+50*IF('19.12'!$AK92="是",'19.12'!$BB$4,'19.12'!$BB$3)),(VLOOKUP('19.12'!N92,'19.12'!$AO$4:$AQ$55,2,FALSE))*IF('19.12'!$AK92="是",'19.12'!$BB$4,'19.12'!$BB$3))</f>
        <v>0</v>
      </c>
      <c r="G92" s="4">
        <f>IF(ISNUMBER(SEARCH("营",'19.12'!O92)),(-$Y92+50*IF('19.12'!$AK92="是",'19.12'!$BB$4,'19.12'!$BB$3)),(VLOOKUP('19.12'!O92,'19.12'!$AO$4:$AQ$55,2,FALSE))*IF('19.12'!$AK92="是",'19.12'!$BB$4,'19.12'!$BB$3))</f>
        <v>0</v>
      </c>
      <c r="H92" s="4">
        <f>IF(ISNUMBER(SEARCH("营",'19.12'!P92)),(-$Y92+50*IF('19.12'!$AK92="是",'19.12'!$BB$4,'19.12'!$BB$3)),(VLOOKUP('19.12'!P92,'19.12'!$AO$4:$AQ$55,2,FALSE))*IF('19.12'!$AK92="是",'19.12'!$BB$4,'19.12'!$BB$3))</f>
        <v>0</v>
      </c>
      <c r="I92" s="4">
        <f>IF(ISNUMBER(SEARCH("营",'19.12'!Q92)),(-$Y92+50*IF('19.12'!$AK92="是",'19.12'!$BB$4,'19.12'!$BB$3)),(VLOOKUP('19.12'!Q92,'19.12'!$AO$4:$AQ$55,2,FALSE))*IF('19.12'!$AK92="是",'19.12'!$BB$4,'19.12'!$BB$3))</f>
        <v>0</v>
      </c>
      <c r="J92" s="4">
        <f>IF(ISNUMBER(SEARCH("营",'19.12'!R92)),(-$Y92+50*IF('19.12'!$AK92="是",'19.12'!$BB$4,'19.12'!$BB$3)),(VLOOKUP('19.12'!R92,'19.12'!$AO$4:$AQ$55,2,FALSE))*IF('19.12'!$AK92="是",'19.12'!$BB$4,'19.12'!$BB$3))</f>
        <v>0</v>
      </c>
      <c r="K92" s="4">
        <f>IF(ISNUMBER(SEARCH("营",'19.12'!S92)),(-$Y92+50*IF('19.12'!$AK92="是",'19.12'!$BB$4,'19.12'!$BB$3)),(VLOOKUP('19.12'!S92,'19.12'!$AO$4:$AQ$55,2,FALSE))*IF('19.12'!$AK92="是",'19.12'!$BB$4,'19.12'!$BB$3))</f>
        <v>0</v>
      </c>
      <c r="L92" s="4">
        <f>IF(ISNUMBER(SEARCH("营",'19.12'!T92)),(-$Y92+50*IF('19.12'!$AK92="是",'19.12'!$BB$4,'19.12'!$BB$3)),(VLOOKUP('19.12'!T92,'19.12'!$AO$4:$AQ$55,2,FALSE))*IF('19.12'!$AK92="是",'19.12'!$BB$4,'19.12'!$BB$3))</f>
        <v>0</v>
      </c>
      <c r="M92" s="4">
        <f>IF(ISNUMBER(SEARCH("营",'19.12'!U92)),(-$Y92+50*IF('19.12'!$AK92="是",'19.12'!$BB$4,'19.12'!$BB$3)),(VLOOKUP('19.12'!U92,'19.12'!$AO$4:$AQ$55,2,FALSE))*IF('19.12'!$AK92="是",'19.12'!$BB$4,'19.12'!$BB$3))</f>
        <v>0</v>
      </c>
      <c r="N92" s="4">
        <f>IF(ISNUMBER(SEARCH("营",'19.12'!V92)),(-$Y92+50*IF('19.12'!$AK92="是",'19.12'!$BB$4,'19.12'!$BB$3)),(VLOOKUP('19.12'!V92,'19.12'!$AO$4:$AQ$55,2,FALSE))*IF('19.12'!$AK92="是",'19.12'!$BB$4,'19.12'!$BB$3))</f>
        <v>0</v>
      </c>
      <c r="O92" s="4">
        <f>IF(ISNUMBER(SEARCH("营",'19.12'!W92)),(-$Y92+50*IF('19.12'!$AK92="是",'19.12'!$BB$4,'19.12'!$BB$3)),(VLOOKUP('19.12'!W92,'19.12'!$AO$4:$AQ$55,2,FALSE))*IF('19.12'!$AK92="是",'19.12'!$BB$4,'19.12'!$BB$3))</f>
        <v>0</v>
      </c>
      <c r="P92" s="4">
        <f>IF(ISNUMBER(SEARCH("营",'19.12'!X92)),(-$Y92+50*IF('19.12'!$AK92="是",'19.12'!$BB$4,'19.12'!$BB$3)),(VLOOKUP('19.12'!X92,'19.12'!$AO$4:$AQ$55,2,FALSE))*IF('19.12'!$AK92="是",'19.12'!$BB$4,'19.12'!$BB$3))</f>
        <v>0</v>
      </c>
      <c r="Q92" s="4">
        <f>IF(ISNUMBER(SEARCH("营",'19.12'!Y92)),(-$Y92+50*IF('19.12'!$AK92="是",'19.12'!$BB$4,'19.12'!$BB$3)),(VLOOKUP('19.12'!Y92,'19.12'!$AO$4:$AQ$55,2,FALSE))*IF('19.12'!$AK92="是",'19.12'!$BB$4,'19.12'!$BB$3))</f>
        <v>0</v>
      </c>
      <c r="R92" s="4">
        <f>IF(ISNUMBER(SEARCH("营",'19.12'!Z92)),(-$Y92+50*IF('19.12'!$AK92="是",'19.12'!$BB$4,'19.12'!$BB$3)),(VLOOKUP('19.12'!Z92,'19.12'!$AO$4:$AQ$55,2,FALSE))*IF('19.12'!$AK92="是",'19.12'!$BB$4,'19.12'!$BB$3))</f>
        <v>0</v>
      </c>
      <c r="S92" s="4">
        <f>IF(ISNUMBER(SEARCH("营",'19.12'!AA92)),(-$Y92+50*IF('19.12'!$AK92="是",'19.12'!$BB$4,'19.12'!$BB$3)),(VLOOKUP('19.12'!AA92,'19.12'!$AO$4:$AQ$55,2,FALSE))*IF('19.12'!$AK92="是",'19.12'!$BB$4,'19.12'!$BB$3))</f>
        <v>0</v>
      </c>
      <c r="T92" s="4">
        <f>IF(ISNUMBER(SEARCH("营",'19.12'!AB92)),(-$Y92+50*IF('19.12'!$AK92="是",'19.12'!$BB$4,'19.12'!$BB$3)),(VLOOKUP('19.12'!AB92,'19.12'!$AO$4:$AQ$55,2,FALSE))*IF('19.12'!$AK92="是",'19.12'!$BB$4,'19.12'!$BB$3))</f>
        <v>0</v>
      </c>
      <c r="U92" s="4">
        <f>IF(ISNUMBER(SEARCH("营",'19.12'!AC92)),(-$Y92+50*IF('19.12'!$AK92="是",'19.12'!$BB$4,'19.12'!$BB$3)),(VLOOKUP('19.12'!AC92,'19.12'!$AO$4:$AQ$55,2,FALSE))*IF('19.12'!$AK92="是",'19.12'!$BB$4,'19.12'!$BB$3))</f>
        <v>0</v>
      </c>
      <c r="V92" s="4">
        <f>IF(ISNUMBER(SEARCH("营",'19.12'!AD92)),(-$Y92+50*IF('19.12'!$AK92="是",'19.12'!$BB$4,'19.12'!$BB$3)),(VLOOKUP('19.12'!AD92,'19.12'!$AO$4:$AQ$55,2,FALSE))*IF('19.12'!$AK92="是",'19.12'!$BB$4,'19.12'!$BB$3))</f>
        <v>0</v>
      </c>
      <c r="W92" s="4">
        <f>IF(ISNUMBER(SEARCH("营",'19.12'!AE92)),(-$Y92+50*IF('19.12'!$AK92="是",'19.12'!$BB$4,'19.12'!$BB$3)),(VLOOKUP('19.12'!AE92,'19.12'!$AO$4:$AQ$55,2,FALSE))*IF('19.12'!$AK92="是",'19.12'!$BB$4,'19.12'!$BB$3))</f>
        <v>0</v>
      </c>
      <c r="X92" s="4">
        <f>IF(ISNUMBER(SEARCH("营",'19.12'!AF92)),(-$Y92+50*IF('19.12'!$AK92="是",'19.12'!$BB$4,'19.12'!$BB$3)),(VLOOKUP('19.12'!AF92,'19.12'!$AO$4:$AQ$55,2,FALSE))*IF('19.12'!$AK92="是",'19.12'!$BB$4,'19.12'!$BB$3))</f>
        <v>0</v>
      </c>
      <c r="Y92" s="18">
        <v>100</v>
      </c>
      <c r="Z92" s="15">
        <v>45818</v>
      </c>
    </row>
    <row r="93" spans="1:26">
      <c r="A93" s="4">
        <f>IF(ISNUMBER(SEARCH("营",'19.12'!I93)),(-$Y93+50*IF('19.12'!$AK93="是",'19.12'!$BB$4,'19.12'!$BB$3)),(VLOOKUP('19.12'!I93,'19.12'!$AO$4:$AQ$55,2,FALSE))*IF('19.12'!$AK93="是",'19.12'!$BB$4,'19.12'!$BB$3))</f>
        <v>0</v>
      </c>
      <c r="B93" s="4">
        <f>IF(ISNUMBER(SEARCH("营",'19.12'!J93)),(-$Y93+50*IF('19.12'!$AK93="是",'19.12'!$BB$4,'19.12'!$BB$3)),(VLOOKUP('19.12'!J93,'19.12'!$AO$4:$AQ$55,2,FALSE))*IF('19.12'!$AK93="是",'19.12'!$BB$4,'19.12'!$BB$3))</f>
        <v>0</v>
      </c>
      <c r="C93" s="4">
        <f>IF(ISNUMBER(SEARCH("营",'19.12'!K93)),(-$Y93+50*IF('19.12'!$AK93="是",'19.12'!$BB$4,'19.12'!$BB$3)),(VLOOKUP('19.12'!K93,'19.12'!$AO$4:$AQ$55,2,FALSE))*IF('19.12'!$AK93="是",'19.12'!$BB$4,'19.12'!$BB$3))</f>
        <v>0</v>
      </c>
      <c r="D93" s="4">
        <f>IF(ISNUMBER(SEARCH("营",'19.12'!L93)),(-$Y93+50*IF('19.12'!$AK93="是",'19.12'!$BB$4,'19.12'!$BB$3)),(VLOOKUP('19.12'!L93,'19.12'!$AO$4:$AQ$55,2,FALSE))*IF('19.12'!$AK93="是",'19.12'!$BB$4,'19.12'!$BB$3))</f>
        <v>0</v>
      </c>
      <c r="E93" s="4">
        <f>IF(ISNUMBER(SEARCH("营",'19.12'!M93)),(-$Y93+50*IF('19.12'!$AK93="是",'19.12'!$BB$4,'19.12'!$BB$3)),(VLOOKUP('19.12'!M93,'19.12'!$AO$4:$AQ$55,2,FALSE))*IF('19.12'!$AK93="是",'19.12'!$BB$4,'19.12'!$BB$3))</f>
        <v>0</v>
      </c>
      <c r="F93" s="4">
        <f>IF(ISNUMBER(SEARCH("营",'19.12'!N93)),(-$Y93+50*IF('19.12'!$AK93="是",'19.12'!$BB$4,'19.12'!$BB$3)),(VLOOKUP('19.12'!N93,'19.12'!$AO$4:$AQ$55,2,FALSE))*IF('19.12'!$AK93="是",'19.12'!$BB$4,'19.12'!$BB$3))</f>
        <v>0</v>
      </c>
      <c r="G93" s="4">
        <f>IF(ISNUMBER(SEARCH("营",'19.12'!O93)),(-$Y93+50*IF('19.12'!$AK93="是",'19.12'!$BB$4,'19.12'!$BB$3)),(VLOOKUP('19.12'!O93,'19.12'!$AO$4:$AQ$55,2,FALSE))*IF('19.12'!$AK93="是",'19.12'!$BB$4,'19.12'!$BB$3))</f>
        <v>0</v>
      </c>
      <c r="H93" s="4">
        <f>IF(ISNUMBER(SEARCH("营",'19.12'!P93)),(-$Y93+50*IF('19.12'!$AK93="是",'19.12'!$BB$4,'19.12'!$BB$3)),(VLOOKUP('19.12'!P93,'19.12'!$AO$4:$AQ$55,2,FALSE))*IF('19.12'!$AK93="是",'19.12'!$BB$4,'19.12'!$BB$3))</f>
        <v>0</v>
      </c>
      <c r="I93" s="4">
        <f>IF(ISNUMBER(SEARCH("营",'19.12'!Q93)),(-$Y93+50*IF('19.12'!$AK93="是",'19.12'!$BB$4,'19.12'!$BB$3)),(VLOOKUP('19.12'!Q93,'19.12'!$AO$4:$AQ$55,2,FALSE))*IF('19.12'!$AK93="是",'19.12'!$BB$4,'19.12'!$BB$3))</f>
        <v>0</v>
      </c>
      <c r="J93" s="4">
        <f>IF(ISNUMBER(SEARCH("营",'19.12'!R93)),(-$Y93+50*IF('19.12'!$AK93="是",'19.12'!$BB$4,'19.12'!$BB$3)),(VLOOKUP('19.12'!R93,'19.12'!$AO$4:$AQ$55,2,FALSE))*IF('19.12'!$AK93="是",'19.12'!$BB$4,'19.12'!$BB$3))</f>
        <v>0</v>
      </c>
      <c r="K93" s="4">
        <f>IF(ISNUMBER(SEARCH("营",'19.12'!S93)),(-$Y93+50*IF('19.12'!$AK93="是",'19.12'!$BB$4,'19.12'!$BB$3)),(VLOOKUP('19.12'!S93,'19.12'!$AO$4:$AQ$55,2,FALSE))*IF('19.12'!$AK93="是",'19.12'!$BB$4,'19.12'!$BB$3))</f>
        <v>0</v>
      </c>
      <c r="L93" s="4">
        <f>IF(ISNUMBER(SEARCH("营",'19.12'!T93)),(-$Y93+50*IF('19.12'!$AK93="是",'19.12'!$BB$4,'19.12'!$BB$3)),(VLOOKUP('19.12'!T93,'19.12'!$AO$4:$AQ$55,2,FALSE))*IF('19.12'!$AK93="是",'19.12'!$BB$4,'19.12'!$BB$3))</f>
        <v>0</v>
      </c>
      <c r="M93" s="4">
        <f>IF(ISNUMBER(SEARCH("营",'19.12'!U93)),(-$Y93+50*IF('19.12'!$AK93="是",'19.12'!$BB$4,'19.12'!$BB$3)),(VLOOKUP('19.12'!U93,'19.12'!$AO$4:$AQ$55,2,FALSE))*IF('19.12'!$AK93="是",'19.12'!$BB$4,'19.12'!$BB$3))</f>
        <v>0</v>
      </c>
      <c r="N93" s="4">
        <f>IF(ISNUMBER(SEARCH("营",'19.12'!V93)),(-$Y93+50*IF('19.12'!$AK93="是",'19.12'!$BB$4,'19.12'!$BB$3)),(VLOOKUP('19.12'!V93,'19.12'!$AO$4:$AQ$55,2,FALSE))*IF('19.12'!$AK93="是",'19.12'!$BB$4,'19.12'!$BB$3))</f>
        <v>0</v>
      </c>
      <c r="O93" s="4">
        <f>IF(ISNUMBER(SEARCH("营",'19.12'!W93)),(-$Y93+50*IF('19.12'!$AK93="是",'19.12'!$BB$4,'19.12'!$BB$3)),(VLOOKUP('19.12'!W93,'19.12'!$AO$4:$AQ$55,2,FALSE))*IF('19.12'!$AK93="是",'19.12'!$BB$4,'19.12'!$BB$3))</f>
        <v>0</v>
      </c>
      <c r="P93" s="4">
        <f>IF(ISNUMBER(SEARCH("营",'19.12'!X93)),(-$Y93+50*IF('19.12'!$AK93="是",'19.12'!$BB$4,'19.12'!$BB$3)),(VLOOKUP('19.12'!X93,'19.12'!$AO$4:$AQ$55,2,FALSE))*IF('19.12'!$AK93="是",'19.12'!$BB$4,'19.12'!$BB$3))</f>
        <v>0</v>
      </c>
      <c r="Q93" s="4">
        <f>IF(ISNUMBER(SEARCH("营",'19.12'!Y93)),(-$Y93+50*IF('19.12'!$AK93="是",'19.12'!$BB$4,'19.12'!$BB$3)),(VLOOKUP('19.12'!Y93,'19.12'!$AO$4:$AQ$55,2,FALSE))*IF('19.12'!$AK93="是",'19.12'!$BB$4,'19.12'!$BB$3))</f>
        <v>0</v>
      </c>
      <c r="R93" s="4">
        <f>IF(ISNUMBER(SEARCH("营",'19.12'!Z93)),(-$Y93+50*IF('19.12'!$AK93="是",'19.12'!$BB$4,'19.12'!$BB$3)),(VLOOKUP('19.12'!Z93,'19.12'!$AO$4:$AQ$55,2,FALSE))*IF('19.12'!$AK93="是",'19.12'!$BB$4,'19.12'!$BB$3))</f>
        <v>0</v>
      </c>
      <c r="S93" s="4">
        <f>IF(ISNUMBER(SEARCH("营",'19.12'!AA93)),(-$Y93+50*IF('19.12'!$AK93="是",'19.12'!$BB$4,'19.12'!$BB$3)),(VLOOKUP('19.12'!AA93,'19.12'!$AO$4:$AQ$55,2,FALSE))*IF('19.12'!$AK93="是",'19.12'!$BB$4,'19.12'!$BB$3))</f>
        <v>0</v>
      </c>
      <c r="T93" s="4">
        <f>IF(ISNUMBER(SEARCH("营",'19.12'!AB93)),(-$Y93+50*IF('19.12'!$AK93="是",'19.12'!$BB$4,'19.12'!$BB$3)),(VLOOKUP('19.12'!AB93,'19.12'!$AO$4:$AQ$55,2,FALSE))*IF('19.12'!$AK93="是",'19.12'!$BB$4,'19.12'!$BB$3))</f>
        <v>0</v>
      </c>
      <c r="U93" s="4">
        <f>IF(ISNUMBER(SEARCH("营",'19.12'!AC93)),(-$Y93+50*IF('19.12'!$AK93="是",'19.12'!$BB$4,'19.12'!$BB$3)),(VLOOKUP('19.12'!AC93,'19.12'!$AO$4:$AQ$55,2,FALSE))*IF('19.12'!$AK93="是",'19.12'!$BB$4,'19.12'!$BB$3))</f>
        <v>0</v>
      </c>
      <c r="V93" s="4">
        <f>IF(ISNUMBER(SEARCH("营",'19.12'!AD93)),(-$Y93+50*IF('19.12'!$AK93="是",'19.12'!$BB$4,'19.12'!$BB$3)),(VLOOKUP('19.12'!AD93,'19.12'!$AO$4:$AQ$55,2,FALSE))*IF('19.12'!$AK93="是",'19.12'!$BB$4,'19.12'!$BB$3))</f>
        <v>0</v>
      </c>
      <c r="W93" s="4">
        <f>IF(ISNUMBER(SEARCH("营",'19.12'!AE93)),(-$Y93+50*IF('19.12'!$AK93="是",'19.12'!$BB$4,'19.12'!$BB$3)),(VLOOKUP('19.12'!AE93,'19.12'!$AO$4:$AQ$55,2,FALSE))*IF('19.12'!$AK93="是",'19.12'!$BB$4,'19.12'!$BB$3))</f>
        <v>0</v>
      </c>
      <c r="X93" s="4">
        <f>IF(ISNUMBER(SEARCH("营",'19.12'!AF93)),(-$Y93+50*IF('19.12'!$AK93="是",'19.12'!$BB$4,'19.12'!$BB$3)),(VLOOKUP('19.12'!AF93,'19.12'!$AO$4:$AQ$55,2,FALSE))*IF('19.12'!$AK93="是",'19.12'!$BB$4,'19.12'!$BB$3))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(VLOOKUP('19.12'!I4,'19.12'!$AO$4:$AQ$55,3,FALSE))</f>
        <v>35</v>
      </c>
      <c r="B4" s="4">
        <f>(VLOOKUP('19.12'!J4,'19.12'!$AO$4:$AQ$55,3,FALSE))</f>
        <v>35</v>
      </c>
      <c r="C4" s="4">
        <f>(VLOOKUP('19.12'!K4,'19.12'!$AO$4:$AQ$55,3,FALSE))</f>
        <v>35</v>
      </c>
      <c r="D4" s="4">
        <f>(VLOOKUP('19.12'!L4,'19.12'!$AO$4:$AQ$55,3,FALSE))</f>
        <v>35</v>
      </c>
      <c r="E4" s="4">
        <f>(VLOOKUP('19.12'!M4,'19.12'!$AO$4:$AQ$55,3,FALSE))</f>
        <v>35</v>
      </c>
      <c r="F4" s="4">
        <f>(VLOOKUP('19.12'!N4,'19.12'!$AO$4:$AQ$55,3,FALSE))</f>
        <v>30</v>
      </c>
      <c r="G4" s="13">
        <f>(VLOOKUP('19.12'!O4,'19.12'!$AO$4:$AQ$55,3,FALSE))</f>
        <v>0</v>
      </c>
      <c r="H4" s="13">
        <f>(VLOOKUP('19.12'!P4,'19.12'!$AO$4:$AQ$55,3,FALSE))</f>
        <v>0</v>
      </c>
      <c r="I4" s="4">
        <f>(VLOOKUP('19.12'!Q4,'19.12'!$AO$4:$AQ$55,3,FALSE))</f>
        <v>35</v>
      </c>
      <c r="J4" s="4">
        <f>(VLOOKUP('19.12'!R4,'19.12'!$AO$4:$AQ$55,3,FALSE))</f>
        <v>35</v>
      </c>
      <c r="K4" s="4">
        <f>(VLOOKUP('19.12'!S4,'19.12'!$AO$4:$AQ$55,3,FALSE))</f>
        <v>35</v>
      </c>
      <c r="L4" s="4">
        <f>(VLOOKUP('19.12'!T4,'19.12'!$AO$4:$AQ$55,3,FALSE))</f>
        <v>35</v>
      </c>
      <c r="M4" s="4">
        <f>(VLOOKUP('19.12'!U4,'19.12'!$AO$4:$AQ$55,3,FALSE))</f>
        <v>35</v>
      </c>
      <c r="N4" s="4">
        <f>(VLOOKUP('19.12'!V4,'19.12'!$AO$4:$AQ$55,3,FALSE))</f>
        <v>30</v>
      </c>
      <c r="O4" s="13">
        <f>(VLOOKUP('19.12'!W4,'19.12'!$AO$4:$AQ$55,3,FALSE))</f>
        <v>0</v>
      </c>
      <c r="P4" s="13">
        <f>(VLOOKUP('19.12'!X4,'19.12'!$AO$4:$AQ$55,3,FALSE))</f>
        <v>0</v>
      </c>
      <c r="Q4" s="4">
        <f>(VLOOKUP('19.12'!Y4,'19.12'!$AO$4:$AQ$55,3,FALSE))</f>
        <v>0</v>
      </c>
      <c r="R4" s="4">
        <f>(VLOOKUP('19.12'!Z4,'19.12'!$AO$4:$AQ$55,3,FALSE))</f>
        <v>0</v>
      </c>
      <c r="S4" s="4">
        <f>(VLOOKUP('19.12'!AA4,'19.12'!$AO$4:$AQ$55,3,FALSE))</f>
        <v>0</v>
      </c>
      <c r="T4" s="4">
        <f>(VLOOKUP('19.12'!AB4,'19.12'!$AO$4:$AQ$55,3,FALSE))</f>
        <v>0</v>
      </c>
      <c r="U4" s="4">
        <f>(VLOOKUP('19.12'!AC4,'19.12'!$AO$4:$AQ$55,3,FALSE))</f>
        <v>0</v>
      </c>
      <c r="V4" s="4">
        <f>(VLOOKUP('19.12'!AD4,'19.12'!$AO$4:$AQ$55,3,FALSE))</f>
        <v>0</v>
      </c>
      <c r="W4" s="13">
        <f>(VLOOKUP('19.12'!AE4,'19.12'!$AO$4:$AQ$55,3,FALSE))</f>
        <v>0</v>
      </c>
      <c r="X4" s="13">
        <f>(VLOOKUP('19.12'!AF4,'19.12'!$AO$4:$AQ$55,3,FALSE))</f>
        <v>35</v>
      </c>
    </row>
    <row r="5" spans="1:24">
      <c r="A5" s="4">
        <f>(VLOOKUP('19.12'!I5,'19.12'!$AO$4:$AQ$55,3,FALSE))</f>
        <v>0</v>
      </c>
      <c r="B5" s="4">
        <f>(VLOOKUP('19.12'!J5,'19.12'!$AO$4:$AQ$55,3,FALSE))</f>
        <v>0</v>
      </c>
      <c r="C5" s="4">
        <f>(VLOOKUP('19.12'!K5,'19.12'!$AO$4:$AQ$55,3,FALSE))</f>
        <v>0</v>
      </c>
      <c r="D5" s="4">
        <f>(VLOOKUP('19.12'!L5,'19.12'!$AO$4:$AQ$55,3,FALSE))</f>
        <v>0</v>
      </c>
      <c r="E5" s="4">
        <f>(VLOOKUP('19.12'!M5,'19.12'!$AO$4:$AQ$55,3,FALSE))</f>
        <v>0</v>
      </c>
      <c r="F5" s="4">
        <f>(VLOOKUP('19.12'!N5,'19.12'!$AO$4:$AQ$55,3,FALSE))</f>
        <v>0</v>
      </c>
      <c r="G5" s="13">
        <f>(VLOOKUP('19.12'!O5,'19.12'!$AO$4:$AQ$55,3,FALSE))</f>
        <v>0</v>
      </c>
      <c r="H5" s="13">
        <f>(VLOOKUP('19.12'!P5,'19.12'!$AO$4:$AQ$55,3,FALSE))</f>
        <v>0</v>
      </c>
      <c r="I5" s="4">
        <f>(VLOOKUP('19.12'!Q5,'19.12'!$AO$4:$AQ$55,3,FALSE))</f>
        <v>0</v>
      </c>
      <c r="J5" s="4">
        <f>(VLOOKUP('19.12'!R5,'19.12'!$AO$4:$AQ$55,3,FALSE))</f>
        <v>40</v>
      </c>
      <c r="K5" s="4">
        <f>(VLOOKUP('19.12'!S5,'19.12'!$AO$4:$AQ$55,3,FALSE))</f>
        <v>40</v>
      </c>
      <c r="L5" s="4">
        <f>(VLOOKUP('19.12'!T5,'19.12'!$AO$4:$AQ$55,3,FALSE))</f>
        <v>30</v>
      </c>
      <c r="M5" s="4">
        <f>(VLOOKUP('19.12'!U5,'19.12'!$AO$4:$AQ$55,3,FALSE))</f>
        <v>40</v>
      </c>
      <c r="N5" s="4">
        <f>(VLOOKUP('19.12'!V5,'19.12'!$AO$4:$AQ$55,3,FALSE))</f>
        <v>40</v>
      </c>
      <c r="O5" s="13">
        <f>(VLOOKUP('19.12'!W5,'19.12'!$AO$4:$AQ$55,3,FALSE))</f>
        <v>0</v>
      </c>
      <c r="P5" s="13">
        <f>(VLOOKUP('19.12'!X5,'19.12'!$AO$4:$AQ$55,3,FALSE))</f>
        <v>0</v>
      </c>
      <c r="Q5" s="4">
        <f>(VLOOKUP('19.12'!Y5,'19.12'!$AO$4:$AQ$55,3,FALSE))</f>
        <v>35</v>
      </c>
      <c r="R5" s="4">
        <f>(VLOOKUP('19.12'!Z5,'19.12'!$AO$4:$AQ$55,3,FALSE))</f>
        <v>35</v>
      </c>
      <c r="S5" s="4">
        <f>(VLOOKUP('19.12'!AA5,'19.12'!$AO$4:$AQ$55,3,FALSE))</f>
        <v>35</v>
      </c>
      <c r="T5" s="4">
        <f>(VLOOKUP('19.12'!AB5,'19.12'!$AO$4:$AQ$55,3,FALSE))</f>
        <v>35</v>
      </c>
      <c r="U5" s="4">
        <f>(VLOOKUP('19.12'!AC5,'19.12'!$AO$4:$AQ$55,3,FALSE))</f>
        <v>35</v>
      </c>
      <c r="V5" s="4">
        <f>(VLOOKUP('19.12'!AD5,'19.12'!$AO$4:$AQ$55,3,FALSE))</f>
        <v>35</v>
      </c>
      <c r="W5" s="13">
        <f>(VLOOKUP('19.12'!AE5,'19.12'!$AO$4:$AQ$55,3,FALSE))</f>
        <v>35</v>
      </c>
      <c r="X5" s="13">
        <f>(VLOOKUP('19.12'!AF5,'19.12'!$AO$4:$AQ$55,3,FALSE))</f>
        <v>35</v>
      </c>
    </row>
    <row r="6" spans="1:24">
      <c r="A6" s="4">
        <f>(VLOOKUP('19.12'!I6,'19.12'!$AO$4:$AQ$55,3,FALSE))</f>
        <v>0</v>
      </c>
      <c r="B6" s="4">
        <f>(VLOOKUP('19.12'!J6,'19.12'!$AO$4:$AQ$55,3,FALSE))</f>
        <v>0</v>
      </c>
      <c r="C6" s="4">
        <f>(VLOOKUP('19.12'!K6,'19.12'!$AO$4:$AQ$55,3,FALSE))</f>
        <v>0</v>
      </c>
      <c r="D6" s="4">
        <f>(VLOOKUP('19.12'!L6,'19.12'!$AO$4:$AQ$55,3,FALSE))</f>
        <v>0</v>
      </c>
      <c r="E6" s="4">
        <f>(VLOOKUP('19.12'!M6,'19.12'!$AO$4:$AQ$55,3,FALSE))</f>
        <v>0</v>
      </c>
      <c r="F6" s="4">
        <f>(VLOOKUP('19.12'!N6,'19.12'!$AO$4:$AQ$55,3,FALSE))</f>
        <v>0</v>
      </c>
      <c r="G6" s="13">
        <f>(VLOOKUP('19.12'!O6,'19.12'!$AO$4:$AQ$55,3,FALSE))</f>
        <v>0</v>
      </c>
      <c r="H6" s="13">
        <f>(VLOOKUP('19.12'!P6,'19.12'!$AO$4:$AQ$55,3,FALSE))</f>
        <v>0</v>
      </c>
      <c r="I6" s="4">
        <f>(VLOOKUP('19.12'!Q6,'19.12'!$AO$4:$AQ$55,3,FALSE))</f>
        <v>40</v>
      </c>
      <c r="J6" s="4">
        <f>(VLOOKUP('19.12'!R6,'19.12'!$AO$4:$AQ$55,3,FALSE))</f>
        <v>40</v>
      </c>
      <c r="K6" s="4">
        <f>(VLOOKUP('19.12'!S6,'19.12'!$AO$4:$AQ$55,3,FALSE))</f>
        <v>40</v>
      </c>
      <c r="L6" s="4">
        <f>(VLOOKUP('19.12'!T6,'19.12'!$AO$4:$AQ$55,3,FALSE))</f>
        <v>40</v>
      </c>
      <c r="M6" s="4">
        <f>(VLOOKUP('19.12'!U6,'19.12'!$AO$4:$AQ$55,3,FALSE))</f>
        <v>40</v>
      </c>
      <c r="N6" s="4">
        <f>(VLOOKUP('19.12'!V6,'19.12'!$AO$4:$AQ$55,3,FALSE))</f>
        <v>40</v>
      </c>
      <c r="O6" s="13">
        <f>(VLOOKUP('19.12'!W6,'19.12'!$AO$4:$AQ$55,3,FALSE))</f>
        <v>0</v>
      </c>
      <c r="P6" s="13">
        <f>(VLOOKUP('19.12'!X6,'19.12'!$AO$4:$AQ$55,3,FALSE))</f>
        <v>0</v>
      </c>
      <c r="Q6" s="4">
        <f>(VLOOKUP('19.12'!Y6,'19.12'!$AO$4:$AQ$55,3,FALSE))</f>
        <v>40</v>
      </c>
      <c r="R6" s="4">
        <f>(VLOOKUP('19.12'!Z6,'19.12'!$AO$4:$AQ$55,3,FALSE))</f>
        <v>40</v>
      </c>
      <c r="S6" s="4">
        <f>(VLOOKUP('19.12'!AA6,'19.12'!$AO$4:$AQ$55,3,FALSE))</f>
        <v>40</v>
      </c>
      <c r="T6" s="4">
        <f>(VLOOKUP('19.12'!AB6,'19.12'!$AO$4:$AQ$55,3,FALSE))</f>
        <v>40</v>
      </c>
      <c r="U6" s="4">
        <f>(VLOOKUP('19.12'!AC6,'19.12'!$AO$4:$AQ$55,3,FALSE))</f>
        <v>40</v>
      </c>
      <c r="V6" s="4">
        <f>(VLOOKUP('19.12'!AD6,'19.12'!$AO$4:$AQ$55,3,FALSE))</f>
        <v>35</v>
      </c>
      <c r="W6" s="13">
        <f>(VLOOKUP('19.12'!AE6,'19.12'!$AO$4:$AQ$55,3,FALSE))</f>
        <v>40</v>
      </c>
      <c r="X6" s="13">
        <f>(VLOOKUP('19.12'!AF6,'19.12'!$AO$4:$AQ$55,3,FALSE))</f>
        <v>40</v>
      </c>
    </row>
    <row r="7" spans="1:24">
      <c r="A7" s="4">
        <f>(VLOOKUP('19.12'!I7,'19.12'!$AO$4:$AQ$55,3,FALSE))</f>
        <v>0</v>
      </c>
      <c r="B7" s="4">
        <f>(VLOOKUP('19.12'!J7,'19.12'!$AO$4:$AQ$55,3,FALSE))</f>
        <v>0</v>
      </c>
      <c r="C7" s="4">
        <f>(VLOOKUP('19.12'!K7,'19.12'!$AO$4:$AQ$55,3,FALSE))</f>
        <v>0</v>
      </c>
      <c r="D7" s="4">
        <f>(VLOOKUP('19.12'!L7,'19.12'!$AO$4:$AQ$55,3,FALSE))</f>
        <v>0</v>
      </c>
      <c r="E7" s="4">
        <f>(VLOOKUP('19.12'!M7,'19.12'!$AO$4:$AQ$55,3,FALSE))</f>
        <v>0</v>
      </c>
      <c r="F7" s="4">
        <f>(VLOOKUP('19.12'!N7,'19.12'!$AO$4:$AQ$55,3,FALSE))</f>
        <v>0</v>
      </c>
      <c r="G7" s="13">
        <f>(VLOOKUP('19.12'!O7,'19.12'!$AO$4:$AQ$55,3,FALSE))</f>
        <v>0</v>
      </c>
      <c r="H7" s="13">
        <f>(VLOOKUP('19.12'!P7,'19.12'!$AO$4:$AQ$55,3,FALSE))</f>
        <v>0</v>
      </c>
      <c r="I7" s="4">
        <f>(VLOOKUP('19.12'!Q7,'19.12'!$AO$4:$AQ$55,3,FALSE))</f>
        <v>40</v>
      </c>
      <c r="J7" s="4">
        <f>(VLOOKUP('19.12'!R7,'19.12'!$AO$4:$AQ$55,3,FALSE))</f>
        <v>520</v>
      </c>
      <c r="K7" s="4">
        <f>(VLOOKUP('19.12'!S7,'19.12'!$AO$4:$AQ$55,3,FALSE))</f>
        <v>40</v>
      </c>
      <c r="L7" s="4">
        <f>(VLOOKUP('19.12'!T7,'19.12'!$AO$4:$AQ$55,3,FALSE))</f>
        <v>40</v>
      </c>
      <c r="M7" s="4">
        <f>(VLOOKUP('19.12'!U7,'19.12'!$AO$4:$AQ$55,3,FALSE))</f>
        <v>0</v>
      </c>
      <c r="N7" s="4">
        <f>(VLOOKUP('19.12'!V7,'19.12'!$AO$4:$AQ$55,3,FALSE))</f>
        <v>40</v>
      </c>
      <c r="O7" s="13">
        <f>(VLOOKUP('19.12'!W7,'19.12'!$AO$4:$AQ$55,3,FALSE))</f>
        <v>0</v>
      </c>
      <c r="P7" s="13">
        <f>(VLOOKUP('19.12'!X7,'19.12'!$AO$4:$AQ$55,3,FALSE))</f>
        <v>0</v>
      </c>
      <c r="Q7" s="4">
        <f>(VLOOKUP('19.12'!Y7,'19.12'!$AO$4:$AQ$55,3,FALSE))</f>
        <v>40</v>
      </c>
      <c r="R7" s="4">
        <f>(VLOOKUP('19.12'!Z7,'19.12'!$AO$4:$AQ$55,3,FALSE))</f>
        <v>40</v>
      </c>
      <c r="S7" s="4">
        <f>(VLOOKUP('19.12'!AA7,'19.12'!$AO$4:$AQ$55,3,FALSE))</f>
        <v>40</v>
      </c>
      <c r="T7" s="4">
        <f>(VLOOKUP('19.12'!AB7,'19.12'!$AO$4:$AQ$55,3,FALSE))</f>
        <v>30</v>
      </c>
      <c r="U7" s="4">
        <f>(VLOOKUP('19.12'!AC7,'19.12'!$AO$4:$AQ$55,3,FALSE))</f>
        <v>40</v>
      </c>
      <c r="V7" s="4">
        <f>(VLOOKUP('19.12'!AD7,'19.12'!$AO$4:$AQ$55,3,FALSE))</f>
        <v>35</v>
      </c>
      <c r="W7" s="13">
        <f>(VLOOKUP('19.12'!AE7,'19.12'!$AO$4:$AQ$55,3,FALSE))</f>
        <v>45</v>
      </c>
      <c r="X7" s="13">
        <f>(VLOOKUP('19.12'!AF7,'19.12'!$AO$4:$AQ$55,3,FALSE))</f>
        <v>0</v>
      </c>
    </row>
    <row r="8" spans="1:24">
      <c r="A8" s="4">
        <f>(VLOOKUP('19.12'!I8,'19.12'!$AO$4:$AQ$55,3,FALSE))</f>
        <v>0</v>
      </c>
      <c r="B8" s="4">
        <f>(VLOOKUP('19.12'!J8,'19.12'!$AO$4:$AQ$55,3,FALSE))</f>
        <v>0</v>
      </c>
      <c r="C8" s="4">
        <f>(VLOOKUP('19.12'!K8,'19.12'!$AO$4:$AQ$55,3,FALSE))</f>
        <v>0</v>
      </c>
      <c r="D8" s="4">
        <f>(VLOOKUP('19.12'!L8,'19.12'!$AO$4:$AQ$55,3,FALSE))</f>
        <v>0</v>
      </c>
      <c r="E8" s="4">
        <f>(VLOOKUP('19.12'!M8,'19.12'!$AO$4:$AQ$55,3,FALSE))</f>
        <v>0</v>
      </c>
      <c r="F8" s="4">
        <f>(VLOOKUP('19.12'!N8,'19.12'!$AO$4:$AQ$55,3,FALSE))</f>
        <v>0</v>
      </c>
      <c r="G8" s="13">
        <f>(VLOOKUP('19.12'!O8,'19.12'!$AO$4:$AQ$55,3,FALSE))</f>
        <v>0</v>
      </c>
      <c r="H8" s="13">
        <f>(VLOOKUP('19.12'!P8,'19.12'!$AO$4:$AQ$55,3,FALSE))</f>
        <v>0</v>
      </c>
      <c r="I8" s="4">
        <f>(VLOOKUP('19.12'!Q8,'19.12'!$AO$4:$AQ$55,3,FALSE))</f>
        <v>50</v>
      </c>
      <c r="J8" s="4">
        <f>(VLOOKUP('19.12'!R8,'19.12'!$AO$4:$AQ$55,3,FALSE))</f>
        <v>50</v>
      </c>
      <c r="K8" s="4">
        <f>(VLOOKUP('19.12'!S8,'19.12'!$AO$4:$AQ$55,3,FALSE))</f>
        <v>50</v>
      </c>
      <c r="L8" s="4">
        <f>(VLOOKUP('19.12'!T8,'19.12'!$AO$4:$AQ$55,3,FALSE))</f>
        <v>0</v>
      </c>
      <c r="M8" s="4">
        <f>(VLOOKUP('19.12'!U8,'19.12'!$AO$4:$AQ$55,3,FALSE))</f>
        <v>50</v>
      </c>
      <c r="N8" s="4">
        <f>(VLOOKUP('19.12'!V8,'19.12'!$AO$4:$AQ$55,3,FALSE))</f>
        <v>0</v>
      </c>
      <c r="O8" s="13">
        <f>(VLOOKUP('19.12'!W8,'19.12'!$AO$4:$AQ$55,3,FALSE))</f>
        <v>0</v>
      </c>
      <c r="P8" s="13">
        <f>(VLOOKUP('19.12'!X8,'19.12'!$AO$4:$AQ$55,3,FALSE))</f>
        <v>0</v>
      </c>
      <c r="Q8" s="4">
        <f>(VLOOKUP('19.12'!Y8,'19.12'!$AO$4:$AQ$55,3,FALSE))</f>
        <v>45</v>
      </c>
      <c r="R8" s="4">
        <f>(VLOOKUP('19.12'!Z8,'19.12'!$AO$4:$AQ$55,3,FALSE))</f>
        <v>45</v>
      </c>
      <c r="S8" s="4">
        <f>(VLOOKUP('19.12'!AA8,'19.12'!$AO$4:$AQ$55,3,FALSE))</f>
        <v>45</v>
      </c>
      <c r="T8" s="4">
        <f>(VLOOKUP('19.12'!AB8,'19.12'!$AO$4:$AQ$55,3,FALSE))</f>
        <v>45</v>
      </c>
      <c r="U8" s="4">
        <f>(VLOOKUP('19.12'!AC8,'19.12'!$AO$4:$AQ$55,3,FALSE))</f>
        <v>45</v>
      </c>
      <c r="V8" s="4">
        <f>(VLOOKUP('19.12'!AD8,'19.12'!$AO$4:$AQ$55,3,FALSE))</f>
        <v>35</v>
      </c>
      <c r="W8" s="13">
        <f>(VLOOKUP('19.12'!AE8,'19.12'!$AO$4:$AQ$55,3,FALSE))</f>
        <v>0</v>
      </c>
      <c r="X8" s="13">
        <f>(VLOOKUP('19.12'!AF8,'19.12'!$AO$4:$AQ$55,3,FALSE))</f>
        <v>0</v>
      </c>
    </row>
    <row r="9" spans="1:24">
      <c r="A9" s="4">
        <f>(VLOOKUP('19.12'!I9,'19.12'!$AO$4:$AQ$55,3,FALSE))</f>
        <v>0</v>
      </c>
      <c r="B9" s="4">
        <f>(VLOOKUP('19.12'!J9,'19.12'!$AO$4:$AQ$55,3,FALSE))</f>
        <v>0</v>
      </c>
      <c r="C9" s="4">
        <f>(VLOOKUP('19.12'!K9,'19.12'!$AO$4:$AQ$55,3,FALSE))</f>
        <v>0</v>
      </c>
      <c r="D9" s="4">
        <f>(VLOOKUP('19.12'!L9,'19.12'!$AO$4:$AQ$55,3,FALSE))</f>
        <v>0</v>
      </c>
      <c r="E9" s="4">
        <f>(VLOOKUP('19.12'!M9,'19.12'!$AO$4:$AQ$55,3,FALSE))</f>
        <v>0</v>
      </c>
      <c r="F9" s="4">
        <f>(VLOOKUP('19.12'!N9,'19.12'!$AO$4:$AQ$55,3,FALSE))</f>
        <v>0</v>
      </c>
      <c r="G9" s="13">
        <f>(VLOOKUP('19.12'!O9,'19.12'!$AO$4:$AQ$55,3,FALSE))</f>
        <v>0</v>
      </c>
      <c r="H9" s="13">
        <f>(VLOOKUP('19.12'!P9,'19.12'!$AO$4:$AQ$55,3,FALSE))</f>
        <v>0</v>
      </c>
      <c r="I9" s="4">
        <f>(VLOOKUP('19.12'!Q9,'19.12'!$AO$4:$AQ$55,3,FALSE))</f>
        <v>45</v>
      </c>
      <c r="J9" s="4">
        <f>(VLOOKUP('19.12'!R9,'19.12'!$AO$4:$AQ$55,3,FALSE))</f>
        <v>45</v>
      </c>
      <c r="K9" s="4">
        <f>(VLOOKUP('19.12'!S9,'19.12'!$AO$4:$AQ$55,3,FALSE))</f>
        <v>300</v>
      </c>
      <c r="L9" s="4">
        <f>(VLOOKUP('19.12'!T9,'19.12'!$AO$4:$AQ$55,3,FALSE))</f>
        <v>45</v>
      </c>
      <c r="M9" s="4">
        <f>(VLOOKUP('19.12'!U9,'19.12'!$AO$4:$AQ$55,3,FALSE))</f>
        <v>45</v>
      </c>
      <c r="N9" s="4">
        <f>(VLOOKUP('19.12'!V9,'19.12'!$AO$4:$AQ$55,3,FALSE))</f>
        <v>45</v>
      </c>
      <c r="O9" s="13">
        <f>(VLOOKUP('19.12'!W9,'19.12'!$AO$4:$AQ$55,3,FALSE))</f>
        <v>45</v>
      </c>
      <c r="P9" s="13">
        <f>(VLOOKUP('19.12'!X9,'19.12'!$AO$4:$AQ$55,3,FALSE))</f>
        <v>0</v>
      </c>
      <c r="Q9" s="4">
        <f>(VLOOKUP('19.12'!Y9,'19.12'!$AO$4:$AQ$55,3,FALSE))</f>
        <v>45</v>
      </c>
      <c r="R9" s="4">
        <f>(VLOOKUP('19.12'!Z9,'19.12'!$AO$4:$AQ$55,3,FALSE))</f>
        <v>30</v>
      </c>
      <c r="S9" s="4">
        <f>(VLOOKUP('19.12'!AA9,'19.12'!$AO$4:$AQ$55,3,FALSE))</f>
        <v>45</v>
      </c>
      <c r="T9" s="4">
        <f>(VLOOKUP('19.12'!AB9,'19.12'!$AO$4:$AQ$55,3,FALSE))</f>
        <v>45</v>
      </c>
      <c r="U9" s="4">
        <f>(VLOOKUP('19.12'!AC9,'19.12'!$AO$4:$AQ$55,3,FALSE))</f>
        <v>45</v>
      </c>
      <c r="V9" s="4">
        <f>(VLOOKUP('19.12'!AD9,'19.12'!$AO$4:$AQ$55,3,FALSE))</f>
        <v>45</v>
      </c>
      <c r="W9" s="13">
        <f>(VLOOKUP('19.12'!AE9,'19.12'!$AO$4:$AQ$55,3,FALSE))</f>
        <v>0</v>
      </c>
      <c r="X9" s="13">
        <f>(VLOOKUP('19.12'!AF9,'19.12'!$AO$4:$AQ$55,3,FALSE))</f>
        <v>0</v>
      </c>
    </row>
    <row r="10" spans="1:24">
      <c r="A10" s="4">
        <f>(VLOOKUP('19.12'!I10,'19.12'!$AO$4:$AQ$55,3,FALSE))</f>
        <v>0</v>
      </c>
      <c r="B10" s="4">
        <f>(VLOOKUP('19.12'!J10,'19.12'!$AO$4:$AQ$55,3,FALSE))</f>
        <v>0</v>
      </c>
      <c r="C10" s="4">
        <f>(VLOOKUP('19.12'!K10,'19.12'!$AO$4:$AQ$55,3,FALSE))</f>
        <v>0</v>
      </c>
      <c r="D10" s="4">
        <f>(VLOOKUP('19.12'!L10,'19.12'!$AO$4:$AQ$55,3,FALSE))</f>
        <v>0</v>
      </c>
      <c r="E10" s="4">
        <f>(VLOOKUP('19.12'!M10,'19.12'!$AO$4:$AQ$55,3,FALSE))</f>
        <v>0</v>
      </c>
      <c r="F10" s="4">
        <f>(VLOOKUP('19.12'!N10,'19.12'!$AO$4:$AQ$55,3,FALSE))</f>
        <v>0</v>
      </c>
      <c r="G10" s="13">
        <f>(VLOOKUP('19.12'!O10,'19.12'!$AO$4:$AQ$55,3,FALSE))</f>
        <v>0</v>
      </c>
      <c r="H10" s="13">
        <f>(VLOOKUP('19.12'!P10,'19.12'!$AO$4:$AQ$55,3,FALSE))</f>
        <v>0</v>
      </c>
      <c r="I10" s="4">
        <f>(VLOOKUP('19.12'!Q10,'19.12'!$AO$4:$AQ$55,3,FALSE))</f>
        <v>45</v>
      </c>
      <c r="J10" s="4">
        <f>(VLOOKUP('19.12'!R10,'19.12'!$AO$4:$AQ$55,3,FALSE))</f>
        <v>45</v>
      </c>
      <c r="K10" s="4">
        <f>(VLOOKUP('19.12'!S10,'19.12'!$AO$4:$AQ$55,3,FALSE))</f>
        <v>45</v>
      </c>
      <c r="L10" s="4">
        <f>(VLOOKUP('19.12'!T10,'19.12'!$AO$4:$AQ$55,3,FALSE))</f>
        <v>45</v>
      </c>
      <c r="M10" s="4">
        <f>(VLOOKUP('19.12'!U10,'19.12'!$AO$4:$AQ$55,3,FALSE))</f>
        <v>30</v>
      </c>
      <c r="N10" s="4">
        <f>(VLOOKUP('19.12'!V10,'19.12'!$AO$4:$AQ$55,3,FALSE))</f>
        <v>45</v>
      </c>
      <c r="O10" s="13">
        <f>(VLOOKUP('19.12'!W10,'19.12'!$AO$4:$AQ$55,3,FALSE))</f>
        <v>45</v>
      </c>
      <c r="P10" s="13">
        <f>(VLOOKUP('19.12'!X10,'19.12'!$AO$4:$AQ$55,3,FALSE))</f>
        <v>45</v>
      </c>
      <c r="Q10" s="4">
        <f>(VLOOKUP('19.12'!Y10,'19.12'!$AO$4:$AQ$55,3,FALSE))</f>
        <v>45</v>
      </c>
      <c r="R10" s="4">
        <f>(VLOOKUP('19.12'!Z10,'19.12'!$AO$4:$AQ$55,3,FALSE))</f>
        <v>45</v>
      </c>
      <c r="S10" s="4">
        <f>(VLOOKUP('19.12'!AA10,'19.12'!$AO$4:$AQ$55,3,FALSE))</f>
        <v>45</v>
      </c>
      <c r="T10" s="4">
        <f>(VLOOKUP('19.12'!AB10,'19.12'!$AO$4:$AQ$55,3,FALSE))</f>
        <v>45</v>
      </c>
      <c r="U10" s="4">
        <f>(VLOOKUP('19.12'!AC10,'19.12'!$AO$4:$AQ$55,3,FALSE))</f>
        <v>45</v>
      </c>
      <c r="V10" s="4">
        <f>(VLOOKUP('19.12'!AD10,'19.12'!$AO$4:$AQ$55,3,FALSE))</f>
        <v>45</v>
      </c>
      <c r="W10" s="13">
        <f>(VLOOKUP('19.12'!AE10,'19.12'!$AO$4:$AQ$55,3,FALSE))</f>
        <v>0</v>
      </c>
      <c r="X10" s="13">
        <f>(VLOOKUP('19.12'!AF10,'19.12'!$AO$4:$AQ$55,3,FALSE))</f>
        <v>0</v>
      </c>
    </row>
    <row r="11" spans="1:24">
      <c r="A11" s="4">
        <f>(VLOOKUP('19.12'!I11,'19.12'!$AO$4:$AQ$55,3,FALSE))</f>
        <v>0</v>
      </c>
      <c r="B11" s="4">
        <f>(VLOOKUP('19.12'!J11,'19.12'!$AO$4:$AQ$55,3,FALSE))</f>
        <v>0</v>
      </c>
      <c r="C11" s="4">
        <f>(VLOOKUP('19.12'!K11,'19.12'!$AO$4:$AQ$55,3,FALSE))</f>
        <v>0</v>
      </c>
      <c r="D11" s="4">
        <f>(VLOOKUP('19.12'!L11,'19.12'!$AO$4:$AQ$55,3,FALSE))</f>
        <v>0</v>
      </c>
      <c r="E11" s="4">
        <f>(VLOOKUP('19.12'!M11,'19.12'!$AO$4:$AQ$55,3,FALSE))</f>
        <v>0</v>
      </c>
      <c r="F11" s="4">
        <f>(VLOOKUP('19.12'!N11,'19.12'!$AO$4:$AQ$55,3,FALSE))</f>
        <v>0</v>
      </c>
      <c r="G11" s="13">
        <f>(VLOOKUP('19.12'!O11,'19.12'!$AO$4:$AQ$55,3,FALSE))</f>
        <v>0</v>
      </c>
      <c r="H11" s="13">
        <f>(VLOOKUP('19.12'!P11,'19.12'!$AO$4:$AQ$55,3,FALSE))</f>
        <v>0</v>
      </c>
      <c r="I11" s="4">
        <f>(VLOOKUP('19.12'!Q11,'19.12'!$AO$4:$AQ$55,3,FALSE))</f>
        <v>45</v>
      </c>
      <c r="J11" s="4">
        <f>(VLOOKUP('19.12'!R11,'19.12'!$AO$4:$AQ$55,3,FALSE))</f>
        <v>45</v>
      </c>
      <c r="K11" s="4">
        <f>(VLOOKUP('19.12'!S11,'19.12'!$AO$4:$AQ$55,3,FALSE))</f>
        <v>45</v>
      </c>
      <c r="L11" s="4">
        <f>(VLOOKUP('19.12'!T11,'19.12'!$AO$4:$AQ$55,3,FALSE))</f>
        <v>30</v>
      </c>
      <c r="M11" s="4">
        <f>(VLOOKUP('19.12'!U11,'19.12'!$AO$4:$AQ$55,3,FALSE))</f>
        <v>45</v>
      </c>
      <c r="N11" s="4">
        <f>(VLOOKUP('19.12'!V11,'19.12'!$AO$4:$AQ$55,3,FALSE))</f>
        <v>45</v>
      </c>
      <c r="O11" s="13">
        <f>(VLOOKUP('19.12'!W11,'19.12'!$AO$4:$AQ$55,3,FALSE))</f>
        <v>45</v>
      </c>
      <c r="P11" s="13">
        <f>(VLOOKUP('19.12'!X11,'19.12'!$AO$4:$AQ$55,3,FALSE))</f>
        <v>0</v>
      </c>
      <c r="Q11" s="4">
        <f>(VLOOKUP('19.12'!Y11,'19.12'!$AO$4:$AQ$55,3,FALSE))</f>
        <v>45</v>
      </c>
      <c r="R11" s="4">
        <f>(VLOOKUP('19.12'!Z11,'19.12'!$AO$4:$AQ$55,3,FALSE))</f>
        <v>45</v>
      </c>
      <c r="S11" s="4">
        <f>(VLOOKUP('19.12'!AA11,'19.12'!$AO$4:$AQ$55,3,FALSE))</f>
        <v>45</v>
      </c>
      <c r="T11" s="4">
        <f>(VLOOKUP('19.12'!AB11,'19.12'!$AO$4:$AQ$55,3,FALSE))</f>
        <v>45</v>
      </c>
      <c r="U11" s="4">
        <f>(VLOOKUP('19.12'!AC11,'19.12'!$AO$4:$AQ$55,3,FALSE))</f>
        <v>50</v>
      </c>
      <c r="V11" s="4">
        <f>(VLOOKUP('19.12'!AD11,'19.12'!$AO$4:$AQ$55,3,FALSE))</f>
        <v>50</v>
      </c>
      <c r="W11" s="13">
        <f>(VLOOKUP('19.12'!AE11,'19.12'!$AO$4:$AQ$55,3,FALSE))</f>
        <v>0</v>
      </c>
      <c r="X11" s="13">
        <f>(VLOOKUP('19.12'!AF11,'19.12'!$AO$4:$AQ$55,3,FALSE))</f>
        <v>0</v>
      </c>
    </row>
    <row r="12" spans="1:24">
      <c r="A12" s="4">
        <f>(VLOOKUP('19.12'!I12,'19.12'!$AO$4:$AQ$55,3,FALSE))</f>
        <v>0</v>
      </c>
      <c r="B12" s="4">
        <f>(VLOOKUP('19.12'!J12,'19.12'!$AO$4:$AQ$55,3,FALSE))</f>
        <v>0</v>
      </c>
      <c r="C12" s="4">
        <f>(VLOOKUP('19.12'!K12,'19.12'!$AO$4:$AQ$55,3,FALSE))</f>
        <v>0</v>
      </c>
      <c r="D12" s="4">
        <f>(VLOOKUP('19.12'!L12,'19.12'!$AO$4:$AQ$55,3,FALSE))</f>
        <v>0</v>
      </c>
      <c r="E12" s="4">
        <f>(VLOOKUP('19.12'!M12,'19.12'!$AO$4:$AQ$55,3,FALSE))</f>
        <v>0</v>
      </c>
      <c r="F12" s="4">
        <f>(VLOOKUP('19.12'!N12,'19.12'!$AO$4:$AQ$55,3,FALSE))</f>
        <v>0</v>
      </c>
      <c r="G12" s="13">
        <f>(VLOOKUP('19.12'!O12,'19.12'!$AO$4:$AQ$55,3,FALSE))</f>
        <v>0</v>
      </c>
      <c r="H12" s="13">
        <f>(VLOOKUP('19.12'!P12,'19.12'!$AO$4:$AQ$55,3,FALSE))</f>
        <v>0</v>
      </c>
      <c r="I12" s="4">
        <f>(VLOOKUP('19.12'!Q12,'19.12'!$AO$4:$AQ$55,3,FALSE))</f>
        <v>45</v>
      </c>
      <c r="J12" s="4">
        <f>(VLOOKUP('19.12'!R12,'19.12'!$AO$4:$AQ$55,3,FALSE))</f>
        <v>45</v>
      </c>
      <c r="K12" s="4">
        <f>(VLOOKUP('19.12'!S12,'19.12'!$AO$4:$AQ$55,3,FALSE))</f>
        <v>45</v>
      </c>
      <c r="L12" s="4">
        <f>(VLOOKUP('19.12'!T12,'19.12'!$AO$4:$AQ$55,3,FALSE))</f>
        <v>45</v>
      </c>
      <c r="M12" s="4">
        <f>(VLOOKUP('19.12'!U12,'19.12'!$AO$4:$AQ$55,3,FALSE))</f>
        <v>45</v>
      </c>
      <c r="N12" s="4">
        <f>(VLOOKUP('19.12'!V12,'19.12'!$AO$4:$AQ$55,3,FALSE))</f>
        <v>45</v>
      </c>
      <c r="O12" s="13">
        <f>(VLOOKUP('19.12'!W12,'19.12'!$AO$4:$AQ$55,3,FALSE))</f>
        <v>30</v>
      </c>
      <c r="P12" s="13">
        <f>(VLOOKUP('19.12'!X12,'19.12'!$AO$4:$AQ$55,3,FALSE))</f>
        <v>45</v>
      </c>
      <c r="Q12" s="4">
        <f>(VLOOKUP('19.12'!Y12,'19.12'!$AO$4:$AQ$55,3,FALSE))</f>
        <v>50</v>
      </c>
      <c r="R12" s="4">
        <f>(VLOOKUP('19.12'!Z12,'19.12'!$AO$4:$AQ$55,3,FALSE))</f>
        <v>50</v>
      </c>
      <c r="S12" s="4">
        <f>(VLOOKUP('19.12'!AA12,'19.12'!$AO$4:$AQ$55,3,FALSE))</f>
        <v>45</v>
      </c>
      <c r="T12" s="4">
        <f>(VLOOKUP('19.12'!AB12,'19.12'!$AO$4:$AQ$55,3,FALSE))</f>
        <v>45</v>
      </c>
      <c r="U12" s="4">
        <f>(VLOOKUP('19.12'!AC12,'19.12'!$AO$4:$AQ$55,3,FALSE))</f>
        <v>45</v>
      </c>
      <c r="V12" s="4">
        <f>(VLOOKUP('19.12'!AD12,'19.12'!$AO$4:$AQ$55,3,FALSE))</f>
        <v>50</v>
      </c>
      <c r="W12" s="13">
        <f>(VLOOKUP('19.12'!AE12,'19.12'!$AO$4:$AQ$55,3,FALSE))</f>
        <v>0</v>
      </c>
      <c r="X12" s="13">
        <f>(VLOOKUP('19.12'!AF12,'19.12'!$AO$4:$AQ$55,3,FALSE))</f>
        <v>0</v>
      </c>
    </row>
    <row r="13" spans="1:24">
      <c r="A13" s="4">
        <f>(VLOOKUP('19.12'!I13,'19.12'!$AO$4:$AQ$55,3,FALSE))</f>
        <v>0</v>
      </c>
      <c r="B13" s="4">
        <f>(VLOOKUP('19.12'!J13,'19.12'!$AO$4:$AQ$55,3,FALSE))</f>
        <v>0</v>
      </c>
      <c r="C13" s="4">
        <f>(VLOOKUP('19.12'!K13,'19.12'!$AO$4:$AQ$55,3,FALSE))</f>
        <v>0</v>
      </c>
      <c r="D13" s="4">
        <f>(VLOOKUP('19.12'!L13,'19.12'!$AO$4:$AQ$55,3,FALSE))</f>
        <v>0</v>
      </c>
      <c r="E13" s="4">
        <f>(VLOOKUP('19.12'!M13,'19.12'!$AO$4:$AQ$55,3,FALSE))</f>
        <v>0</v>
      </c>
      <c r="F13" s="4">
        <f>(VLOOKUP('19.12'!N13,'19.12'!$AO$4:$AQ$55,3,FALSE))</f>
        <v>0</v>
      </c>
      <c r="G13" s="13">
        <f>(VLOOKUP('19.12'!O13,'19.12'!$AO$4:$AQ$55,3,FALSE))</f>
        <v>0</v>
      </c>
      <c r="H13" s="13">
        <f>(VLOOKUP('19.12'!P13,'19.12'!$AO$4:$AQ$55,3,FALSE))</f>
        <v>0</v>
      </c>
      <c r="I13" s="4">
        <f>(VLOOKUP('19.12'!Q13,'19.12'!$AO$4:$AQ$55,3,FALSE))</f>
        <v>45</v>
      </c>
      <c r="J13" s="4">
        <f>(VLOOKUP('19.12'!R13,'19.12'!$AO$4:$AQ$55,3,FALSE))</f>
        <v>45</v>
      </c>
      <c r="K13" s="4">
        <f>(VLOOKUP('19.12'!S13,'19.12'!$AO$4:$AQ$55,3,FALSE))</f>
        <v>45</v>
      </c>
      <c r="L13" s="4">
        <f>(VLOOKUP('19.12'!T13,'19.12'!$AO$4:$AQ$55,3,FALSE))</f>
        <v>45</v>
      </c>
      <c r="M13" s="4">
        <f>(VLOOKUP('19.12'!U13,'19.12'!$AO$4:$AQ$55,3,FALSE))</f>
        <v>45</v>
      </c>
      <c r="N13" s="4">
        <f>(VLOOKUP('19.12'!V13,'19.12'!$AO$4:$AQ$55,3,FALSE))</f>
        <v>45</v>
      </c>
      <c r="O13" s="13">
        <f>(VLOOKUP('19.12'!W13,'19.12'!$AO$4:$AQ$55,3,FALSE))</f>
        <v>45</v>
      </c>
      <c r="P13" s="13">
        <f>(VLOOKUP('19.12'!X13,'19.12'!$AO$4:$AQ$55,3,FALSE))</f>
        <v>0</v>
      </c>
      <c r="Q13" s="4">
        <f>(VLOOKUP('19.12'!Y13,'19.12'!$AO$4:$AQ$55,3,FALSE))</f>
        <v>50</v>
      </c>
      <c r="R13" s="4">
        <f>(VLOOKUP('19.12'!Z13,'19.12'!$AO$4:$AQ$55,3,FALSE))</f>
        <v>50</v>
      </c>
      <c r="S13" s="4">
        <f>(VLOOKUP('19.12'!AA13,'19.12'!$AO$4:$AQ$55,3,FALSE))</f>
        <v>50</v>
      </c>
      <c r="T13" s="4">
        <f>(VLOOKUP('19.12'!AB13,'19.12'!$AO$4:$AQ$55,3,FALSE))</f>
        <v>50</v>
      </c>
      <c r="U13" s="4">
        <f>(VLOOKUP('19.12'!AC13,'19.12'!$AO$4:$AQ$55,3,FALSE))</f>
        <v>50</v>
      </c>
      <c r="V13" s="4">
        <f>(VLOOKUP('19.12'!AD13,'19.12'!$AO$4:$AQ$55,3,FALSE))</f>
        <v>50</v>
      </c>
      <c r="W13" s="13">
        <f>(VLOOKUP('19.12'!AE13,'19.12'!$AO$4:$AQ$55,3,FALSE))</f>
        <v>0</v>
      </c>
      <c r="X13" s="13">
        <f>(VLOOKUP('19.12'!AF13,'19.12'!$AO$4:$AQ$55,3,FALSE))</f>
        <v>0</v>
      </c>
    </row>
    <row r="14" spans="1:24">
      <c r="A14" s="4">
        <f>(VLOOKUP('19.12'!I14,'19.12'!$AO$4:$AQ$55,3,FALSE))</f>
        <v>0</v>
      </c>
      <c r="B14" s="4">
        <f>(VLOOKUP('19.12'!J14,'19.12'!$AO$4:$AQ$55,3,FALSE))</f>
        <v>0</v>
      </c>
      <c r="C14" s="4">
        <f>(VLOOKUP('19.12'!K14,'19.12'!$AO$4:$AQ$55,3,FALSE))</f>
        <v>0</v>
      </c>
      <c r="D14" s="4">
        <f>(VLOOKUP('19.12'!L14,'19.12'!$AO$4:$AQ$55,3,FALSE))</f>
        <v>0</v>
      </c>
      <c r="E14" s="4">
        <f>(VLOOKUP('19.12'!M14,'19.12'!$AO$4:$AQ$55,3,FALSE))</f>
        <v>0</v>
      </c>
      <c r="F14" s="4">
        <f>(VLOOKUP('19.12'!N14,'19.12'!$AO$4:$AQ$55,3,FALSE))</f>
        <v>0</v>
      </c>
      <c r="G14" s="13">
        <f>(VLOOKUP('19.12'!O14,'19.12'!$AO$4:$AQ$55,3,FALSE))</f>
        <v>0</v>
      </c>
      <c r="H14" s="13">
        <f>(VLOOKUP('19.12'!P14,'19.12'!$AO$4:$AQ$55,3,FALSE))</f>
        <v>0</v>
      </c>
      <c r="I14" s="4">
        <f>(VLOOKUP('19.12'!Q14,'19.12'!$AO$4:$AQ$55,3,FALSE))</f>
        <v>45</v>
      </c>
      <c r="J14" s="4">
        <f>(VLOOKUP('19.12'!R14,'19.12'!$AO$4:$AQ$55,3,FALSE))</f>
        <v>45</v>
      </c>
      <c r="K14" s="4">
        <f>(VLOOKUP('19.12'!S14,'19.12'!$AO$4:$AQ$55,3,FALSE))</f>
        <v>45</v>
      </c>
      <c r="L14" s="4">
        <f>(VLOOKUP('19.12'!T14,'19.12'!$AO$4:$AQ$55,3,FALSE))</f>
        <v>45</v>
      </c>
      <c r="M14" s="4">
        <f>(VLOOKUP('19.12'!U14,'19.12'!$AO$4:$AQ$55,3,FALSE))</f>
        <v>45</v>
      </c>
      <c r="N14" s="4">
        <f>(VLOOKUP('19.12'!V14,'19.12'!$AO$4:$AQ$55,3,FALSE))</f>
        <v>45</v>
      </c>
      <c r="O14" s="13">
        <f>(VLOOKUP('19.12'!W14,'19.12'!$AO$4:$AQ$55,3,FALSE))</f>
        <v>0</v>
      </c>
      <c r="P14" s="13">
        <f>(VLOOKUP('19.12'!X14,'19.12'!$AO$4:$AQ$55,3,FALSE))</f>
        <v>0</v>
      </c>
      <c r="Q14" s="4">
        <f>(VLOOKUP('19.12'!Y14,'19.12'!$AO$4:$AQ$55,3,FALSE))</f>
        <v>50</v>
      </c>
      <c r="R14" s="4">
        <f>(VLOOKUP('19.12'!Z14,'19.12'!$AO$4:$AQ$55,3,FALSE))</f>
        <v>45</v>
      </c>
      <c r="S14" s="4">
        <f>(VLOOKUP('19.12'!AA14,'19.12'!$AO$4:$AQ$55,3,FALSE))</f>
        <v>45</v>
      </c>
      <c r="T14" s="4">
        <f>(VLOOKUP('19.12'!AB14,'19.12'!$AO$4:$AQ$55,3,FALSE))</f>
        <v>45</v>
      </c>
      <c r="U14" s="4">
        <f>(VLOOKUP('19.12'!AC14,'19.12'!$AO$4:$AQ$55,3,FALSE))</f>
        <v>30</v>
      </c>
      <c r="V14" s="4">
        <f>(VLOOKUP('19.12'!AD14,'19.12'!$AO$4:$AQ$55,3,FALSE))</f>
        <v>45</v>
      </c>
      <c r="W14" s="13">
        <f>(VLOOKUP('19.12'!AE14,'19.12'!$AO$4:$AQ$55,3,FALSE))</f>
        <v>0</v>
      </c>
      <c r="X14" s="13">
        <f>(VLOOKUP('19.12'!AF14,'19.12'!$AO$4:$AQ$55,3,FALSE))</f>
        <v>0</v>
      </c>
    </row>
    <row r="15" spans="1:24">
      <c r="A15" s="4">
        <f>(VLOOKUP('19.12'!I15,'19.12'!$AO$4:$AQ$55,3,FALSE))</f>
        <v>0</v>
      </c>
      <c r="B15" s="4">
        <f>(VLOOKUP('19.12'!J15,'19.12'!$AO$4:$AQ$55,3,FALSE))</f>
        <v>0</v>
      </c>
      <c r="C15" s="4">
        <f>(VLOOKUP('19.12'!K15,'19.12'!$AO$4:$AQ$55,3,FALSE))</f>
        <v>0</v>
      </c>
      <c r="D15" s="4">
        <f>(VLOOKUP('19.12'!L15,'19.12'!$AO$4:$AQ$55,3,FALSE))</f>
        <v>0</v>
      </c>
      <c r="E15" s="4">
        <f>(VLOOKUP('19.12'!M15,'19.12'!$AO$4:$AQ$55,3,FALSE))</f>
        <v>0</v>
      </c>
      <c r="F15" s="4">
        <f>(VLOOKUP('19.12'!N15,'19.12'!$AO$4:$AQ$55,3,FALSE))</f>
        <v>0</v>
      </c>
      <c r="G15" s="13">
        <f>(VLOOKUP('19.12'!O15,'19.12'!$AO$4:$AQ$55,3,FALSE))</f>
        <v>0</v>
      </c>
      <c r="H15" s="13">
        <f>(VLOOKUP('19.12'!P15,'19.12'!$AO$4:$AQ$55,3,FALSE))</f>
        <v>0</v>
      </c>
      <c r="I15" s="4">
        <f>(VLOOKUP('19.12'!Q15,'19.12'!$AO$4:$AQ$55,3,FALSE))</f>
        <v>45</v>
      </c>
      <c r="J15" s="4">
        <f>(VLOOKUP('19.12'!R15,'19.12'!$AO$4:$AQ$55,3,FALSE))</f>
        <v>45</v>
      </c>
      <c r="K15" s="4">
        <f>(VLOOKUP('19.12'!S15,'19.12'!$AO$4:$AQ$55,3,FALSE))</f>
        <v>45</v>
      </c>
      <c r="L15" s="4">
        <f>(VLOOKUP('19.12'!T15,'19.12'!$AO$4:$AQ$55,3,FALSE))</f>
        <v>45</v>
      </c>
      <c r="M15" s="4">
        <f>(VLOOKUP('19.12'!U15,'19.12'!$AO$4:$AQ$55,3,FALSE))</f>
        <v>55</v>
      </c>
      <c r="N15" s="4">
        <f>(VLOOKUP('19.12'!V15,'19.12'!$AO$4:$AQ$55,3,FALSE))</f>
        <v>55</v>
      </c>
      <c r="O15" s="13">
        <f>(VLOOKUP('19.12'!W15,'19.12'!$AO$4:$AQ$55,3,FALSE))</f>
        <v>0</v>
      </c>
      <c r="P15" s="13">
        <f>(VLOOKUP('19.12'!X15,'19.12'!$AO$4:$AQ$55,3,FALSE))</f>
        <v>0</v>
      </c>
      <c r="Q15" s="4">
        <f>(VLOOKUP('19.12'!Y15,'19.12'!$AO$4:$AQ$55,3,FALSE))</f>
        <v>45</v>
      </c>
      <c r="R15" s="4">
        <f>(VLOOKUP('19.12'!Z15,'19.12'!$AO$4:$AQ$55,3,FALSE))</f>
        <v>45</v>
      </c>
      <c r="S15" s="4">
        <f>(VLOOKUP('19.12'!AA15,'19.12'!$AO$4:$AQ$55,3,FALSE))</f>
        <v>300</v>
      </c>
      <c r="T15" s="4">
        <f>(VLOOKUP('19.12'!AB15,'19.12'!$AO$4:$AQ$55,3,FALSE))</f>
        <v>0</v>
      </c>
      <c r="U15" s="4">
        <f>(VLOOKUP('19.12'!AC15,'19.12'!$AO$4:$AQ$55,3,FALSE))</f>
        <v>0</v>
      </c>
      <c r="V15" s="4">
        <f>(VLOOKUP('19.12'!AD15,'19.12'!$AO$4:$AQ$55,3,FALSE))</f>
        <v>0</v>
      </c>
      <c r="W15" s="13">
        <f>(VLOOKUP('19.12'!AE15,'19.12'!$AO$4:$AQ$55,3,FALSE))</f>
        <v>0</v>
      </c>
      <c r="X15" s="13">
        <f>(VLOOKUP('19.12'!AF15,'19.12'!$AO$4:$AQ$55,3,FALSE))</f>
        <v>0</v>
      </c>
    </row>
    <row r="16" spans="1:24">
      <c r="A16" s="4">
        <f>(VLOOKUP('19.12'!I16,'19.12'!$AO$4:$AQ$55,3,FALSE))</f>
        <v>0</v>
      </c>
      <c r="B16" s="4">
        <f>(VLOOKUP('19.12'!J16,'19.12'!$AO$4:$AQ$55,3,FALSE))</f>
        <v>0</v>
      </c>
      <c r="C16" s="4">
        <f>(VLOOKUP('19.12'!K16,'19.12'!$AO$4:$AQ$55,3,FALSE))</f>
        <v>0</v>
      </c>
      <c r="D16" s="4">
        <f>(VLOOKUP('19.12'!L16,'19.12'!$AO$4:$AQ$55,3,FALSE))</f>
        <v>0</v>
      </c>
      <c r="E16" s="4">
        <f>(VLOOKUP('19.12'!M16,'19.12'!$AO$4:$AQ$55,3,FALSE))</f>
        <v>0</v>
      </c>
      <c r="F16" s="4">
        <f>(VLOOKUP('19.12'!N16,'19.12'!$AO$4:$AQ$55,3,FALSE))</f>
        <v>0</v>
      </c>
      <c r="G16" s="13">
        <f>(VLOOKUP('19.12'!O16,'19.12'!$AO$4:$AQ$55,3,FALSE))</f>
        <v>0</v>
      </c>
      <c r="H16" s="13">
        <f>(VLOOKUP('19.12'!P16,'19.12'!$AO$4:$AQ$55,3,FALSE))</f>
        <v>0</v>
      </c>
      <c r="I16" s="4">
        <f>(VLOOKUP('19.12'!Q16,'19.12'!$AO$4:$AQ$55,3,FALSE))</f>
        <v>55</v>
      </c>
      <c r="J16" s="4">
        <f>(VLOOKUP('19.12'!R16,'19.12'!$AO$4:$AQ$55,3,FALSE))</f>
        <v>55</v>
      </c>
      <c r="K16" s="4">
        <f>(VLOOKUP('19.12'!S16,'19.12'!$AO$4:$AQ$55,3,FALSE))</f>
        <v>45</v>
      </c>
      <c r="L16" s="4">
        <f>(VLOOKUP('19.12'!T16,'19.12'!$AO$4:$AQ$55,3,FALSE))</f>
        <v>45</v>
      </c>
      <c r="M16" s="4">
        <f>(VLOOKUP('19.12'!U16,'19.12'!$AO$4:$AQ$55,3,FALSE))</f>
        <v>45</v>
      </c>
      <c r="N16" s="4">
        <f>(VLOOKUP('19.12'!V16,'19.12'!$AO$4:$AQ$55,3,FALSE))</f>
        <v>45</v>
      </c>
      <c r="O16" s="13">
        <f>(VLOOKUP('19.12'!W16,'19.12'!$AO$4:$AQ$55,3,FALSE))</f>
        <v>45</v>
      </c>
      <c r="P16" s="13">
        <f>(VLOOKUP('19.12'!X16,'19.12'!$AO$4:$AQ$55,3,FALSE))</f>
        <v>300</v>
      </c>
      <c r="Q16" s="4">
        <f>(VLOOKUP('19.12'!Y16,'19.12'!$AO$4:$AQ$55,3,FALSE))</f>
        <v>45</v>
      </c>
      <c r="R16" s="4">
        <f>(VLOOKUP('19.12'!Z16,'19.12'!$AO$4:$AQ$55,3,FALSE))</f>
        <v>45</v>
      </c>
      <c r="S16" s="4">
        <f>(VLOOKUP('19.12'!AA16,'19.12'!$AO$4:$AQ$55,3,FALSE))</f>
        <v>45</v>
      </c>
      <c r="T16" s="4">
        <f>(VLOOKUP('19.12'!AB16,'19.12'!$AO$4:$AQ$55,3,FALSE))</f>
        <v>45</v>
      </c>
      <c r="U16" s="4">
        <f>(VLOOKUP('19.12'!AC16,'19.12'!$AO$4:$AQ$55,3,FALSE))</f>
        <v>45</v>
      </c>
      <c r="V16" s="4">
        <f>(VLOOKUP('19.12'!AD16,'19.12'!$AO$4:$AQ$55,3,FALSE))</f>
        <v>45</v>
      </c>
      <c r="W16" s="13">
        <f>(VLOOKUP('19.12'!AE16,'19.12'!$AO$4:$AQ$55,3,FALSE))</f>
        <v>0</v>
      </c>
      <c r="X16" s="13">
        <f>(VLOOKUP('19.12'!AF16,'19.12'!$AO$4:$AQ$55,3,FALSE))</f>
        <v>0</v>
      </c>
    </row>
    <row r="17" spans="1:24">
      <c r="A17" s="4">
        <f>(VLOOKUP('19.12'!I17,'19.12'!$AO$4:$AQ$55,3,FALSE))</f>
        <v>0</v>
      </c>
      <c r="B17" s="4">
        <f>(VLOOKUP('19.12'!J17,'19.12'!$AO$4:$AQ$55,3,FALSE))</f>
        <v>0</v>
      </c>
      <c r="C17" s="4">
        <f>(VLOOKUP('19.12'!K17,'19.12'!$AO$4:$AQ$55,3,FALSE))</f>
        <v>0</v>
      </c>
      <c r="D17" s="4">
        <f>(VLOOKUP('19.12'!L17,'19.12'!$AO$4:$AQ$55,3,FALSE))</f>
        <v>0</v>
      </c>
      <c r="E17" s="4">
        <f>(VLOOKUP('19.12'!M17,'19.12'!$AO$4:$AQ$55,3,FALSE))</f>
        <v>0</v>
      </c>
      <c r="F17" s="4">
        <f>(VLOOKUP('19.12'!N17,'19.12'!$AO$4:$AQ$55,3,FALSE))</f>
        <v>0</v>
      </c>
      <c r="G17" s="13">
        <f>(VLOOKUP('19.12'!O17,'19.12'!$AO$4:$AQ$55,3,FALSE))</f>
        <v>0</v>
      </c>
      <c r="H17" s="13">
        <f>(VLOOKUP('19.12'!P17,'19.12'!$AO$4:$AQ$55,3,FALSE))</f>
        <v>0</v>
      </c>
      <c r="I17" s="4">
        <f>(VLOOKUP('19.12'!Q17,'19.12'!$AO$4:$AQ$55,3,FALSE))</f>
        <v>45</v>
      </c>
      <c r="J17" s="4">
        <f>(VLOOKUP('19.12'!R17,'19.12'!$AO$4:$AQ$55,3,FALSE))</f>
        <v>45</v>
      </c>
      <c r="K17" s="4">
        <f>(VLOOKUP('19.12'!S17,'19.12'!$AO$4:$AQ$55,3,FALSE))</f>
        <v>45</v>
      </c>
      <c r="L17" s="4">
        <f>(VLOOKUP('19.12'!T17,'19.12'!$AO$4:$AQ$55,3,FALSE))</f>
        <v>45</v>
      </c>
      <c r="M17" s="4">
        <f>(VLOOKUP('19.12'!U17,'19.12'!$AO$4:$AQ$55,3,FALSE))</f>
        <v>0</v>
      </c>
      <c r="N17" s="4">
        <f>(VLOOKUP('19.12'!V17,'19.12'!$AO$4:$AQ$55,3,FALSE))</f>
        <v>0</v>
      </c>
      <c r="O17" s="13">
        <f>(VLOOKUP('19.12'!W17,'19.12'!$AO$4:$AQ$55,3,FALSE))</f>
        <v>0</v>
      </c>
      <c r="P17" s="13">
        <f>(VLOOKUP('19.12'!X17,'19.12'!$AO$4:$AQ$55,3,FALSE))</f>
        <v>0</v>
      </c>
      <c r="Q17" s="4">
        <f>(VLOOKUP('19.12'!Y17,'19.12'!$AO$4:$AQ$55,3,FALSE))</f>
        <v>0</v>
      </c>
      <c r="R17" s="4">
        <f>(VLOOKUP('19.12'!Z17,'19.12'!$AO$4:$AQ$55,3,FALSE))</f>
        <v>45</v>
      </c>
      <c r="S17" s="4">
        <f>(VLOOKUP('19.12'!AA17,'19.12'!$AO$4:$AQ$55,3,FALSE))</f>
        <v>45</v>
      </c>
      <c r="T17" s="4">
        <f>(VLOOKUP('19.12'!AB17,'19.12'!$AO$4:$AQ$55,3,FALSE))</f>
        <v>45</v>
      </c>
      <c r="U17" s="4">
        <f>(VLOOKUP('19.12'!AC17,'19.12'!$AO$4:$AQ$55,3,FALSE))</f>
        <v>45</v>
      </c>
      <c r="V17" s="4">
        <f>(VLOOKUP('19.12'!AD17,'19.12'!$AO$4:$AQ$55,3,FALSE))</f>
        <v>0</v>
      </c>
      <c r="W17" s="13">
        <f>(VLOOKUP('19.12'!AE17,'19.12'!$AO$4:$AQ$55,3,FALSE))</f>
        <v>50</v>
      </c>
      <c r="X17" s="13">
        <f>(VLOOKUP('19.12'!AF17,'19.12'!$AO$4:$AQ$55,3,FALSE))</f>
        <v>50</v>
      </c>
    </row>
    <row r="18" spans="1:24">
      <c r="A18" s="4">
        <f>(VLOOKUP('19.12'!I18,'19.12'!$AO$4:$AQ$55,3,FALSE))</f>
        <v>0</v>
      </c>
      <c r="B18" s="4">
        <f>(VLOOKUP('19.12'!J18,'19.12'!$AO$4:$AQ$55,3,FALSE))</f>
        <v>0</v>
      </c>
      <c r="C18" s="4">
        <f>(VLOOKUP('19.12'!K18,'19.12'!$AO$4:$AQ$55,3,FALSE))</f>
        <v>0</v>
      </c>
      <c r="D18" s="4">
        <f>(VLOOKUP('19.12'!L18,'19.12'!$AO$4:$AQ$55,3,FALSE))</f>
        <v>0</v>
      </c>
      <c r="E18" s="4">
        <f>(VLOOKUP('19.12'!M18,'19.12'!$AO$4:$AQ$55,3,FALSE))</f>
        <v>0</v>
      </c>
      <c r="F18" s="4">
        <f>(VLOOKUP('19.12'!N18,'19.12'!$AO$4:$AQ$55,3,FALSE))</f>
        <v>0</v>
      </c>
      <c r="G18" s="13">
        <f>(VLOOKUP('19.12'!O18,'19.12'!$AO$4:$AQ$55,3,FALSE))</f>
        <v>0</v>
      </c>
      <c r="H18" s="13">
        <f>(VLOOKUP('19.12'!P18,'19.12'!$AO$4:$AQ$55,3,FALSE))</f>
        <v>0</v>
      </c>
      <c r="I18" s="4">
        <f>(VLOOKUP('19.12'!Q18,'19.12'!$AO$4:$AQ$55,3,FALSE))</f>
        <v>55</v>
      </c>
      <c r="J18" s="4">
        <f>(VLOOKUP('19.12'!R18,'19.12'!$AO$4:$AQ$55,3,FALSE))</f>
        <v>55</v>
      </c>
      <c r="K18" s="4">
        <f>(VLOOKUP('19.12'!S18,'19.12'!$AO$4:$AQ$55,3,FALSE))</f>
        <v>55</v>
      </c>
      <c r="L18" s="4">
        <f>(VLOOKUP('19.12'!T18,'19.12'!$AO$4:$AQ$55,3,FALSE))</f>
        <v>35</v>
      </c>
      <c r="M18" s="4">
        <f>(VLOOKUP('19.12'!U18,'19.12'!$AO$4:$AQ$55,3,FALSE))</f>
        <v>55</v>
      </c>
      <c r="N18" s="4">
        <f>(VLOOKUP('19.12'!V18,'19.12'!$AO$4:$AQ$55,3,FALSE))</f>
        <v>55</v>
      </c>
      <c r="O18" s="13">
        <f>(VLOOKUP('19.12'!W18,'19.12'!$AO$4:$AQ$55,3,FALSE))</f>
        <v>0</v>
      </c>
      <c r="P18" s="13">
        <f>(VLOOKUP('19.12'!X18,'19.12'!$AO$4:$AQ$55,3,FALSE))</f>
        <v>0</v>
      </c>
      <c r="Q18" s="4">
        <f>(VLOOKUP('19.12'!Y18,'19.12'!$AO$4:$AQ$55,3,FALSE))</f>
        <v>50</v>
      </c>
      <c r="R18" s="4">
        <f>(VLOOKUP('19.12'!Z18,'19.12'!$AO$4:$AQ$55,3,FALSE))</f>
        <v>0</v>
      </c>
      <c r="S18" s="4">
        <f>(VLOOKUP('19.12'!AA18,'19.12'!$AO$4:$AQ$55,3,FALSE))</f>
        <v>50</v>
      </c>
      <c r="T18" s="4">
        <f>(VLOOKUP('19.12'!AB18,'19.12'!$AO$4:$AQ$55,3,FALSE))</f>
        <v>35</v>
      </c>
      <c r="U18" s="4">
        <f>(VLOOKUP('19.12'!AC18,'19.12'!$AO$4:$AQ$55,3,FALSE))</f>
        <v>50</v>
      </c>
      <c r="V18" s="4">
        <f>(VLOOKUP('19.12'!AD18,'19.12'!$AO$4:$AQ$55,3,FALSE))</f>
        <v>50</v>
      </c>
      <c r="W18" s="13">
        <f>(VLOOKUP('19.12'!AE18,'19.12'!$AO$4:$AQ$55,3,FALSE))</f>
        <v>30</v>
      </c>
      <c r="X18" s="13">
        <f>(VLOOKUP('19.12'!AF18,'19.12'!$AO$4:$AQ$55,3,FALSE))</f>
        <v>55</v>
      </c>
    </row>
    <row r="19" spans="1:24">
      <c r="A19" s="4">
        <f>(VLOOKUP('19.12'!I19,'19.12'!$AO$4:$AQ$55,3,FALSE))</f>
        <v>0</v>
      </c>
      <c r="B19" s="4">
        <f>(VLOOKUP('19.12'!J19,'19.12'!$AO$4:$AQ$55,3,FALSE))</f>
        <v>0</v>
      </c>
      <c r="C19" s="4">
        <f>(VLOOKUP('19.12'!K19,'19.12'!$AO$4:$AQ$55,3,FALSE))</f>
        <v>0</v>
      </c>
      <c r="D19" s="4">
        <f>(VLOOKUP('19.12'!L19,'19.12'!$AO$4:$AQ$55,3,FALSE))</f>
        <v>0</v>
      </c>
      <c r="E19" s="4">
        <f>(VLOOKUP('19.12'!M19,'19.12'!$AO$4:$AQ$55,3,FALSE))</f>
        <v>0</v>
      </c>
      <c r="F19" s="4">
        <f>(VLOOKUP('19.12'!N19,'19.12'!$AO$4:$AQ$55,3,FALSE))</f>
        <v>0</v>
      </c>
      <c r="G19" s="13">
        <f>(VLOOKUP('19.12'!O19,'19.12'!$AO$4:$AQ$55,3,FALSE))</f>
        <v>0</v>
      </c>
      <c r="H19" s="13">
        <f>(VLOOKUP('19.12'!P19,'19.12'!$AO$4:$AQ$55,3,FALSE))</f>
        <v>0</v>
      </c>
      <c r="I19" s="4">
        <f>(VLOOKUP('19.12'!Q19,'19.12'!$AO$4:$AQ$55,3,FALSE))</f>
        <v>55</v>
      </c>
      <c r="J19" s="4">
        <f>(VLOOKUP('19.12'!R19,'19.12'!$AO$4:$AQ$55,3,FALSE))</f>
        <v>55</v>
      </c>
      <c r="K19" s="4">
        <f>(VLOOKUP('19.12'!S19,'19.12'!$AO$4:$AQ$55,3,FALSE))</f>
        <v>55</v>
      </c>
      <c r="L19" s="4">
        <f>(VLOOKUP('19.12'!T19,'19.12'!$AO$4:$AQ$55,3,FALSE))</f>
        <v>55</v>
      </c>
      <c r="M19" s="4">
        <f>(VLOOKUP('19.12'!U19,'19.12'!$AO$4:$AQ$55,3,FALSE))</f>
        <v>0</v>
      </c>
      <c r="N19" s="4">
        <f>(VLOOKUP('19.12'!V19,'19.12'!$AO$4:$AQ$55,3,FALSE))</f>
        <v>55</v>
      </c>
      <c r="O19" s="13">
        <f>(VLOOKUP('19.12'!W19,'19.12'!$AO$4:$AQ$55,3,FALSE))</f>
        <v>55</v>
      </c>
      <c r="P19" s="13">
        <f>(VLOOKUP('19.12'!X19,'19.12'!$AO$4:$AQ$55,3,FALSE))</f>
        <v>55</v>
      </c>
      <c r="Q19" s="4">
        <f>(VLOOKUP('19.12'!Y19,'19.12'!$AO$4:$AQ$55,3,FALSE))</f>
        <v>55</v>
      </c>
      <c r="R19" s="4">
        <f>(VLOOKUP('19.12'!Z19,'19.12'!$AO$4:$AQ$55,3,FALSE))</f>
        <v>55</v>
      </c>
      <c r="S19" s="4">
        <f>(VLOOKUP('19.12'!AA19,'19.12'!$AO$4:$AQ$55,3,FALSE))</f>
        <v>55</v>
      </c>
      <c r="T19" s="4">
        <f>(VLOOKUP('19.12'!AB19,'19.12'!$AO$4:$AQ$55,3,FALSE))</f>
        <v>55</v>
      </c>
      <c r="U19" s="4">
        <f>(VLOOKUP('19.12'!AC19,'19.12'!$AO$4:$AQ$55,3,FALSE))</f>
        <v>55</v>
      </c>
      <c r="V19" s="4">
        <f>(VLOOKUP('19.12'!AD19,'19.12'!$AO$4:$AQ$55,3,FALSE))</f>
        <v>55</v>
      </c>
      <c r="W19" s="13">
        <f>(VLOOKUP('19.12'!AE19,'19.12'!$AO$4:$AQ$55,3,FALSE))</f>
        <v>55</v>
      </c>
      <c r="X19" s="13">
        <f>(VLOOKUP('19.12'!AF19,'19.12'!$AO$4:$AQ$55,3,FALSE))</f>
        <v>50</v>
      </c>
    </row>
    <row r="20" spans="1:24">
      <c r="A20" s="4">
        <f>(VLOOKUP('19.12'!I20,'19.12'!$AO$4:$AQ$55,3,FALSE))</f>
        <v>0</v>
      </c>
      <c r="B20" s="4">
        <f>(VLOOKUP('19.12'!J20,'19.12'!$AO$4:$AQ$55,3,FALSE))</f>
        <v>0</v>
      </c>
      <c r="C20" s="4">
        <f>(VLOOKUP('19.12'!K20,'19.12'!$AO$4:$AQ$55,3,FALSE))</f>
        <v>0</v>
      </c>
      <c r="D20" s="4">
        <f>(VLOOKUP('19.12'!L20,'19.12'!$AO$4:$AQ$55,3,FALSE))</f>
        <v>0</v>
      </c>
      <c r="E20" s="4">
        <f>(VLOOKUP('19.12'!M20,'19.12'!$AO$4:$AQ$55,3,FALSE))</f>
        <v>0</v>
      </c>
      <c r="F20" s="4">
        <f>(VLOOKUP('19.12'!N20,'19.12'!$AO$4:$AQ$55,3,FALSE))</f>
        <v>0</v>
      </c>
      <c r="G20" s="13">
        <f>(VLOOKUP('19.12'!O20,'19.12'!$AO$4:$AQ$55,3,FALSE))</f>
        <v>0</v>
      </c>
      <c r="H20" s="13">
        <f>(VLOOKUP('19.12'!P20,'19.12'!$AO$4:$AQ$55,3,FALSE))</f>
        <v>0</v>
      </c>
      <c r="I20" s="4">
        <f>(VLOOKUP('19.12'!Q20,'19.12'!$AO$4:$AQ$55,3,FALSE))</f>
        <v>55</v>
      </c>
      <c r="J20" s="4">
        <f>(VLOOKUP('19.12'!R20,'19.12'!$AO$4:$AQ$55,3,FALSE))</f>
        <v>55</v>
      </c>
      <c r="K20" s="4">
        <f>(VLOOKUP('19.12'!S20,'19.12'!$AO$4:$AQ$55,3,FALSE))</f>
        <v>55</v>
      </c>
      <c r="L20" s="4">
        <f>(VLOOKUP('19.12'!T20,'19.12'!$AO$4:$AQ$55,3,FALSE))</f>
        <v>55</v>
      </c>
      <c r="M20" s="4">
        <f>(VLOOKUP('19.12'!U20,'19.12'!$AO$4:$AQ$55,3,FALSE))</f>
        <v>60</v>
      </c>
      <c r="N20" s="4">
        <f>(VLOOKUP('19.12'!V20,'19.12'!$AO$4:$AQ$55,3,FALSE))</f>
        <v>60</v>
      </c>
      <c r="O20" s="13">
        <f>(VLOOKUP('19.12'!W20,'19.12'!$AO$4:$AQ$55,3,FALSE))</f>
        <v>0</v>
      </c>
      <c r="P20" s="13">
        <f>(VLOOKUP('19.12'!X20,'19.12'!$AO$4:$AQ$55,3,FALSE))</f>
        <v>0</v>
      </c>
      <c r="Q20" s="4">
        <f>(VLOOKUP('19.12'!Y20,'19.12'!$AO$4:$AQ$55,3,FALSE))</f>
        <v>50</v>
      </c>
      <c r="R20" s="4">
        <f>(VLOOKUP('19.12'!Z20,'19.12'!$AO$4:$AQ$55,3,FALSE))</f>
        <v>30</v>
      </c>
      <c r="S20" s="4">
        <f>(VLOOKUP('19.12'!AA20,'19.12'!$AO$4:$AQ$55,3,FALSE))</f>
        <v>55</v>
      </c>
      <c r="T20" s="4">
        <f>(VLOOKUP('19.12'!AB20,'19.12'!$AO$4:$AQ$55,3,FALSE))</f>
        <v>55</v>
      </c>
      <c r="U20" s="4">
        <f>(VLOOKUP('19.12'!AC20,'19.12'!$AO$4:$AQ$55,3,FALSE))</f>
        <v>55</v>
      </c>
      <c r="V20" s="4">
        <f>(VLOOKUP('19.12'!AD20,'19.12'!$AO$4:$AQ$55,3,FALSE))</f>
        <v>30</v>
      </c>
      <c r="W20" s="13">
        <f>(VLOOKUP('19.12'!AE20,'19.12'!$AO$4:$AQ$55,3,FALSE))</f>
        <v>55</v>
      </c>
      <c r="X20" s="13">
        <f>(VLOOKUP('19.12'!AF20,'19.12'!$AO$4:$AQ$55,3,FALSE))</f>
        <v>55</v>
      </c>
    </row>
    <row r="21" spans="1:24">
      <c r="A21" s="4">
        <f>(VLOOKUP('19.12'!I21,'19.12'!$AO$4:$AQ$55,3,FALSE))</f>
        <v>0</v>
      </c>
      <c r="B21" s="4">
        <f>(VLOOKUP('19.12'!J21,'19.12'!$AO$4:$AQ$55,3,FALSE))</f>
        <v>0</v>
      </c>
      <c r="C21" s="4">
        <f>(VLOOKUP('19.12'!K21,'19.12'!$AO$4:$AQ$55,3,FALSE))</f>
        <v>0</v>
      </c>
      <c r="D21" s="4">
        <f>(VLOOKUP('19.12'!L21,'19.12'!$AO$4:$AQ$55,3,FALSE))</f>
        <v>0</v>
      </c>
      <c r="E21" s="4">
        <f>(VLOOKUP('19.12'!M21,'19.12'!$AO$4:$AQ$55,3,FALSE))</f>
        <v>0</v>
      </c>
      <c r="F21" s="4">
        <f>(VLOOKUP('19.12'!N21,'19.12'!$AO$4:$AQ$55,3,FALSE))</f>
        <v>0</v>
      </c>
      <c r="G21" s="13">
        <f>(VLOOKUP('19.12'!O21,'19.12'!$AO$4:$AQ$55,3,FALSE))</f>
        <v>0</v>
      </c>
      <c r="H21" s="13">
        <f>(VLOOKUP('19.12'!P21,'19.12'!$AO$4:$AQ$55,3,FALSE))</f>
        <v>0</v>
      </c>
      <c r="I21" s="4">
        <f>(VLOOKUP('19.12'!Q21,'19.12'!$AO$4:$AQ$55,3,FALSE))</f>
        <v>60</v>
      </c>
      <c r="J21" s="4">
        <f>(VLOOKUP('19.12'!R21,'19.12'!$AO$4:$AQ$55,3,FALSE))</f>
        <v>60</v>
      </c>
      <c r="K21" s="4">
        <f>(VLOOKUP('19.12'!S21,'19.12'!$AO$4:$AQ$55,3,FALSE))</f>
        <v>0</v>
      </c>
      <c r="L21" s="4">
        <f>(VLOOKUP('19.12'!T21,'19.12'!$AO$4:$AQ$55,3,FALSE))</f>
        <v>60</v>
      </c>
      <c r="M21" s="4">
        <f>(VLOOKUP('19.12'!U21,'19.12'!$AO$4:$AQ$55,3,FALSE))</f>
        <v>60</v>
      </c>
      <c r="N21" s="4">
        <f>(VLOOKUP('19.12'!V21,'19.12'!$AO$4:$AQ$55,3,FALSE))</f>
        <v>60</v>
      </c>
      <c r="O21" s="13">
        <f>(VLOOKUP('19.12'!W21,'19.12'!$AO$4:$AQ$55,3,FALSE))</f>
        <v>60</v>
      </c>
      <c r="P21" s="13">
        <f>(VLOOKUP('19.12'!X21,'19.12'!$AO$4:$AQ$55,3,FALSE))</f>
        <v>60</v>
      </c>
      <c r="Q21" s="4">
        <f>(VLOOKUP('19.12'!Y21,'19.12'!$AO$4:$AQ$55,3,FALSE))</f>
        <v>55</v>
      </c>
      <c r="R21" s="4">
        <f>(VLOOKUP('19.12'!Z21,'19.12'!$AO$4:$AQ$55,3,FALSE))</f>
        <v>50</v>
      </c>
      <c r="S21" s="4">
        <f>(VLOOKUP('19.12'!AA21,'19.12'!$AO$4:$AQ$55,3,FALSE))</f>
        <v>50</v>
      </c>
      <c r="T21" s="4">
        <f>(VLOOKUP('19.12'!AB21,'19.12'!$AO$4:$AQ$55,3,FALSE))</f>
        <v>50</v>
      </c>
      <c r="U21" s="4">
        <f>(VLOOKUP('19.12'!AC21,'19.12'!$AO$4:$AQ$55,3,FALSE))</f>
        <v>500</v>
      </c>
      <c r="V21" s="4">
        <f>(VLOOKUP('19.12'!AD21,'19.12'!$AO$4:$AQ$55,3,FALSE))</f>
        <v>30</v>
      </c>
      <c r="W21" s="13">
        <f>(VLOOKUP('19.12'!AE21,'19.12'!$AO$4:$AQ$55,3,FALSE))</f>
        <v>0</v>
      </c>
      <c r="X21" s="13">
        <f>(VLOOKUP('19.12'!AF21,'19.12'!$AO$4:$AQ$55,3,FALSE))</f>
        <v>0</v>
      </c>
    </row>
    <row r="22" spans="1:24">
      <c r="A22" s="4">
        <f>(VLOOKUP('19.12'!I22,'19.12'!$AO$4:$AQ$55,3,FALSE))</f>
        <v>35</v>
      </c>
      <c r="B22" s="4">
        <f>(VLOOKUP('19.12'!J22,'19.12'!$AO$4:$AQ$55,3,FALSE))</f>
        <v>30</v>
      </c>
      <c r="C22" s="4">
        <f>(VLOOKUP('19.12'!K22,'19.12'!$AO$4:$AQ$55,3,FALSE))</f>
        <v>35</v>
      </c>
      <c r="D22" s="4">
        <f>(VLOOKUP('19.12'!L22,'19.12'!$AO$4:$AQ$55,3,FALSE))</f>
        <v>35</v>
      </c>
      <c r="E22" s="4">
        <f>(VLOOKUP('19.12'!M22,'19.12'!$AO$4:$AQ$55,3,FALSE))</f>
        <v>0</v>
      </c>
      <c r="F22" s="4">
        <f>(VLOOKUP('19.12'!N22,'19.12'!$AO$4:$AQ$55,3,FALSE))</f>
        <v>0</v>
      </c>
      <c r="G22" s="13">
        <f>(VLOOKUP('19.12'!O22,'19.12'!$AO$4:$AQ$55,3,FALSE))</f>
        <v>0</v>
      </c>
      <c r="H22" s="13">
        <f>(VLOOKUP('19.12'!P22,'19.12'!$AO$4:$AQ$55,3,FALSE))</f>
        <v>0</v>
      </c>
      <c r="I22" s="4">
        <f>(VLOOKUP('19.12'!Q22,'19.12'!$AO$4:$AQ$55,3,FALSE))</f>
        <v>1000</v>
      </c>
      <c r="J22" s="4">
        <f>(VLOOKUP('19.12'!R22,'19.12'!$AO$4:$AQ$55,3,FALSE))</f>
        <v>60</v>
      </c>
      <c r="K22" s="4">
        <f>(VLOOKUP('19.12'!S22,'19.12'!$AO$4:$AQ$55,3,FALSE))</f>
        <v>60</v>
      </c>
      <c r="L22" s="4">
        <f>(VLOOKUP('19.12'!T22,'19.12'!$AO$4:$AQ$55,3,FALSE))</f>
        <v>0</v>
      </c>
      <c r="M22" s="4">
        <f>(VLOOKUP('19.12'!U22,'19.12'!$AO$4:$AQ$55,3,FALSE))</f>
        <v>0</v>
      </c>
      <c r="N22" s="4">
        <f>(VLOOKUP('19.12'!V22,'19.12'!$AO$4:$AQ$55,3,FALSE))</f>
        <v>0</v>
      </c>
      <c r="O22" s="13">
        <f>(VLOOKUP('19.12'!W22,'19.12'!$AO$4:$AQ$55,3,FALSE))</f>
        <v>0</v>
      </c>
      <c r="P22" s="13">
        <f>(VLOOKUP('19.12'!X22,'19.12'!$AO$4:$AQ$55,3,FALSE))</f>
        <v>0</v>
      </c>
      <c r="Q22" s="4">
        <f>(VLOOKUP('19.12'!Y22,'19.12'!$AO$4:$AQ$55,3,FALSE))</f>
        <v>50</v>
      </c>
      <c r="R22" s="4">
        <f>(VLOOKUP('19.12'!Z22,'19.12'!$AO$4:$AQ$55,3,FALSE))</f>
        <v>50</v>
      </c>
      <c r="S22" s="4">
        <f>(VLOOKUP('19.12'!AA22,'19.12'!$AO$4:$AQ$55,3,FALSE))</f>
        <v>55</v>
      </c>
      <c r="T22" s="4">
        <f>(VLOOKUP('19.12'!AB22,'19.12'!$AO$4:$AQ$55,3,FALSE))</f>
        <v>55</v>
      </c>
      <c r="U22" s="4">
        <f>(VLOOKUP('19.12'!AC22,'19.12'!$AO$4:$AQ$55,3,FALSE))</f>
        <v>0</v>
      </c>
      <c r="V22" s="4">
        <f>(VLOOKUP('19.12'!AD22,'19.12'!$AO$4:$AQ$55,3,FALSE))</f>
        <v>45</v>
      </c>
      <c r="W22" s="13">
        <f>(VLOOKUP('19.12'!AE22,'19.12'!$AO$4:$AQ$55,3,FALSE))</f>
        <v>30</v>
      </c>
      <c r="X22" s="13">
        <f>(VLOOKUP('19.12'!AF22,'19.12'!$AO$4:$AQ$55,3,FALSE))</f>
        <v>0</v>
      </c>
    </row>
    <row r="23" spans="1:24">
      <c r="A23" s="4">
        <f>(VLOOKUP('19.12'!I23,'19.12'!$AO$4:$AQ$55,3,FALSE))</f>
        <v>30</v>
      </c>
      <c r="B23" s="4">
        <f>(VLOOKUP('19.12'!J23,'19.12'!$AO$4:$AQ$55,3,FALSE))</f>
        <v>35</v>
      </c>
      <c r="C23" s="4">
        <f>(VLOOKUP('19.12'!K23,'19.12'!$AO$4:$AQ$55,3,FALSE))</f>
        <v>35</v>
      </c>
      <c r="D23" s="4">
        <f>(VLOOKUP('19.12'!L23,'19.12'!$AO$4:$AQ$55,3,FALSE))</f>
        <v>30</v>
      </c>
      <c r="E23" s="4">
        <f>(VLOOKUP('19.12'!M23,'19.12'!$AO$4:$AQ$55,3,FALSE))</f>
        <v>35</v>
      </c>
      <c r="F23" s="4">
        <f>(VLOOKUP('19.12'!N23,'19.12'!$AO$4:$AQ$55,3,FALSE))</f>
        <v>0</v>
      </c>
      <c r="G23" s="13">
        <f>(VLOOKUP('19.12'!O23,'19.12'!$AO$4:$AQ$55,3,FALSE))</f>
        <v>0</v>
      </c>
      <c r="H23" s="13">
        <f>(VLOOKUP('19.12'!P23,'19.12'!$AO$4:$AQ$55,3,FALSE))</f>
        <v>0</v>
      </c>
      <c r="I23" s="4">
        <f>(VLOOKUP('19.12'!Q23,'19.12'!$AO$4:$AQ$55,3,FALSE))</f>
        <v>60</v>
      </c>
      <c r="J23" s="4">
        <f>(VLOOKUP('19.12'!R23,'19.12'!$AO$4:$AQ$55,3,FALSE))</f>
        <v>60</v>
      </c>
      <c r="K23" s="4">
        <f>(VLOOKUP('19.12'!S23,'19.12'!$AO$4:$AQ$55,3,FALSE))</f>
        <v>60</v>
      </c>
      <c r="L23" s="4">
        <f>(VLOOKUP('19.12'!T23,'19.12'!$AO$4:$AQ$55,3,FALSE))</f>
        <v>60</v>
      </c>
      <c r="M23" s="4">
        <f>(VLOOKUP('19.12'!U23,'19.12'!$AO$4:$AQ$55,3,FALSE))</f>
        <v>60</v>
      </c>
      <c r="N23" s="4">
        <f>(VLOOKUP('19.12'!V23,'19.12'!$AO$4:$AQ$55,3,FALSE))</f>
        <v>60</v>
      </c>
      <c r="O23" s="13">
        <f>(VLOOKUP('19.12'!W23,'19.12'!$AO$4:$AQ$55,3,FALSE))</f>
        <v>0</v>
      </c>
      <c r="P23" s="13">
        <f>(VLOOKUP('19.12'!X23,'19.12'!$AO$4:$AQ$55,3,FALSE))</f>
        <v>0</v>
      </c>
      <c r="Q23" s="4">
        <f>(VLOOKUP('19.12'!Y23,'19.12'!$AO$4:$AQ$55,3,FALSE))</f>
        <v>45</v>
      </c>
      <c r="R23" s="4">
        <f>(VLOOKUP('19.12'!Z23,'19.12'!$AO$4:$AQ$55,3,FALSE))</f>
        <v>45</v>
      </c>
      <c r="S23" s="4">
        <f>(VLOOKUP('19.12'!AA23,'19.12'!$AO$4:$AQ$55,3,FALSE))</f>
        <v>40</v>
      </c>
      <c r="T23" s="4">
        <f>(VLOOKUP('19.12'!AB23,'19.12'!$AO$4:$AQ$55,3,FALSE))</f>
        <v>40</v>
      </c>
      <c r="U23" s="4">
        <f>(VLOOKUP('19.12'!AC23,'19.12'!$AO$4:$AQ$55,3,FALSE))</f>
        <v>40</v>
      </c>
      <c r="V23" s="4">
        <f>(VLOOKUP('19.12'!AD23,'19.12'!$AO$4:$AQ$55,3,FALSE))</f>
        <v>30</v>
      </c>
      <c r="W23" s="13">
        <f>(VLOOKUP('19.12'!AE23,'19.12'!$AO$4:$AQ$55,3,FALSE))</f>
        <v>40</v>
      </c>
      <c r="X23" s="13">
        <f>(VLOOKUP('19.12'!AF23,'19.12'!$AO$4:$AQ$55,3,FALSE))</f>
        <v>0</v>
      </c>
    </row>
    <row r="24" spans="1:24">
      <c r="A24" s="4">
        <f>(VLOOKUP('19.12'!I24,'19.12'!$AO$4:$AQ$55,3,FALSE))</f>
        <v>0</v>
      </c>
      <c r="B24" s="4">
        <f>(VLOOKUP('19.12'!J24,'19.12'!$AO$4:$AQ$55,3,FALSE))</f>
        <v>0</v>
      </c>
      <c r="C24" s="4">
        <f>(VLOOKUP('19.12'!K24,'19.12'!$AO$4:$AQ$55,3,FALSE))</f>
        <v>0</v>
      </c>
      <c r="D24" s="4">
        <f>(VLOOKUP('19.12'!L24,'19.12'!$AO$4:$AQ$55,3,FALSE))</f>
        <v>0</v>
      </c>
      <c r="E24" s="4">
        <f>(VLOOKUP('19.12'!M24,'19.12'!$AO$4:$AQ$55,3,FALSE))</f>
        <v>0</v>
      </c>
      <c r="F24" s="4">
        <f>(VLOOKUP('19.12'!N24,'19.12'!$AO$4:$AQ$55,3,FALSE))</f>
        <v>0</v>
      </c>
      <c r="G24" s="13">
        <f>(VLOOKUP('19.12'!O24,'19.12'!$AO$4:$AQ$55,3,FALSE))</f>
        <v>0</v>
      </c>
      <c r="H24" s="13">
        <f>(VLOOKUP('19.12'!P24,'19.12'!$AO$4:$AQ$55,3,FALSE))</f>
        <v>0</v>
      </c>
      <c r="I24" s="4">
        <f>(VLOOKUP('19.12'!Q24,'19.12'!$AO$4:$AQ$55,3,FALSE))</f>
        <v>60</v>
      </c>
      <c r="J24" s="4">
        <f>(VLOOKUP('19.12'!R24,'19.12'!$AO$4:$AQ$55,3,FALSE))</f>
        <v>0</v>
      </c>
      <c r="K24" s="4">
        <f>(VLOOKUP('19.12'!S24,'19.12'!$AO$4:$AQ$55,3,FALSE))</f>
        <v>0</v>
      </c>
      <c r="L24" s="4">
        <f>(VLOOKUP('19.12'!T24,'19.12'!$AO$4:$AQ$55,3,FALSE))</f>
        <v>0</v>
      </c>
      <c r="M24" s="4">
        <f>(VLOOKUP('19.12'!U24,'19.12'!$AO$4:$AQ$55,3,FALSE))</f>
        <v>0</v>
      </c>
      <c r="N24" s="4">
        <f>(VLOOKUP('19.12'!V24,'19.12'!$AO$4:$AQ$55,3,FALSE))</f>
        <v>0</v>
      </c>
      <c r="O24" s="13">
        <f>(VLOOKUP('19.12'!W24,'19.12'!$AO$4:$AQ$55,3,FALSE))</f>
        <v>0</v>
      </c>
      <c r="P24" s="13">
        <f>(VLOOKUP('19.12'!X24,'19.12'!$AO$4:$AQ$55,3,FALSE))</f>
        <v>0</v>
      </c>
      <c r="Q24" s="4">
        <f>(VLOOKUP('19.12'!Y24,'19.12'!$AO$4:$AQ$55,3,FALSE))</f>
        <v>0</v>
      </c>
      <c r="R24" s="4">
        <f>(VLOOKUP('19.12'!Z24,'19.12'!$AO$4:$AQ$55,3,FALSE))</f>
        <v>0</v>
      </c>
      <c r="S24" s="4">
        <f>(VLOOKUP('19.12'!AA24,'19.12'!$AO$4:$AQ$55,3,FALSE))</f>
        <v>0</v>
      </c>
      <c r="T24" s="4">
        <f>(VLOOKUP('19.12'!AB24,'19.12'!$AO$4:$AQ$55,3,FALSE))</f>
        <v>0</v>
      </c>
      <c r="U24" s="4">
        <f>(VLOOKUP('19.12'!AC24,'19.12'!$AO$4:$AQ$55,3,FALSE))</f>
        <v>0</v>
      </c>
      <c r="V24" s="4">
        <f>(VLOOKUP('19.12'!AD24,'19.12'!$AO$4:$AQ$55,3,FALSE))</f>
        <v>0</v>
      </c>
      <c r="W24" s="13">
        <f>(VLOOKUP('19.12'!AE24,'19.12'!$AO$4:$AQ$55,3,FALSE))</f>
        <v>0</v>
      </c>
      <c r="X24" s="13">
        <f>(VLOOKUP('19.12'!AF24,'19.12'!$AO$4:$AQ$55,3,FALSE))</f>
        <v>0</v>
      </c>
    </row>
    <row r="25" spans="1:24">
      <c r="A25" s="4">
        <f>(VLOOKUP('19.12'!I25,'19.12'!$AO$4:$AQ$55,3,FALSE))</f>
        <v>40</v>
      </c>
      <c r="B25" s="4">
        <f>(VLOOKUP('19.12'!J25,'19.12'!$AO$4:$AQ$55,3,FALSE))</f>
        <v>40</v>
      </c>
      <c r="C25" s="4">
        <f>(VLOOKUP('19.12'!K25,'19.12'!$AO$4:$AQ$55,3,FALSE))</f>
        <v>30</v>
      </c>
      <c r="D25" s="4">
        <f>(VLOOKUP('19.12'!L25,'19.12'!$AO$4:$AQ$55,3,FALSE))</f>
        <v>40</v>
      </c>
      <c r="E25" s="4">
        <f>(VLOOKUP('19.12'!M25,'19.12'!$AO$4:$AQ$55,3,FALSE))</f>
        <v>40</v>
      </c>
      <c r="F25" s="4">
        <f>(VLOOKUP('19.12'!N25,'19.12'!$AO$4:$AQ$55,3,FALSE))</f>
        <v>40</v>
      </c>
      <c r="G25" s="13">
        <f>(VLOOKUP('19.12'!O25,'19.12'!$AO$4:$AQ$55,3,FALSE))</f>
        <v>0</v>
      </c>
      <c r="H25" s="13">
        <f>(VLOOKUP('19.12'!P25,'19.12'!$AO$4:$AQ$55,3,FALSE))</f>
        <v>0</v>
      </c>
      <c r="I25" s="4">
        <f>(VLOOKUP('19.12'!Q25,'19.12'!$AO$4:$AQ$55,3,FALSE))</f>
        <v>60</v>
      </c>
      <c r="J25" s="4">
        <f>(VLOOKUP('19.12'!R25,'19.12'!$AO$4:$AQ$55,3,FALSE))</f>
        <v>60</v>
      </c>
      <c r="K25" s="4">
        <f>(VLOOKUP('19.12'!S25,'19.12'!$AO$4:$AQ$55,3,FALSE))</f>
        <v>60</v>
      </c>
      <c r="L25" s="4">
        <f>(VLOOKUP('19.12'!T25,'19.12'!$AO$4:$AQ$55,3,FALSE))</f>
        <v>60</v>
      </c>
      <c r="M25" s="4">
        <f>(VLOOKUP('19.12'!U25,'19.12'!$AO$4:$AQ$55,3,FALSE))</f>
        <v>60</v>
      </c>
      <c r="N25" s="4">
        <f>(VLOOKUP('19.12'!V25,'19.12'!$AO$4:$AQ$55,3,FALSE))</f>
        <v>60</v>
      </c>
      <c r="O25" s="13">
        <f>(VLOOKUP('19.12'!W25,'19.12'!$AO$4:$AQ$55,3,FALSE))</f>
        <v>0</v>
      </c>
      <c r="P25" s="13">
        <f>(VLOOKUP('19.12'!X25,'19.12'!$AO$4:$AQ$55,3,FALSE))</f>
        <v>0</v>
      </c>
      <c r="Q25" s="4">
        <f>(VLOOKUP('19.12'!Y25,'19.12'!$AO$4:$AQ$55,3,FALSE))</f>
        <v>0</v>
      </c>
      <c r="R25" s="4">
        <f>(VLOOKUP('19.12'!Z25,'19.12'!$AO$4:$AQ$55,3,FALSE))</f>
        <v>0</v>
      </c>
      <c r="S25" s="4">
        <f>(VLOOKUP('19.12'!AA25,'19.12'!$AO$4:$AQ$55,3,FALSE))</f>
        <v>0</v>
      </c>
      <c r="T25" s="4">
        <f>(VLOOKUP('19.12'!AB25,'19.12'!$AO$4:$AQ$55,3,FALSE))</f>
        <v>0</v>
      </c>
      <c r="U25" s="4">
        <f>(VLOOKUP('19.12'!AC25,'19.12'!$AO$4:$AQ$55,3,FALSE))</f>
        <v>0</v>
      </c>
      <c r="V25" s="4">
        <f>(VLOOKUP('19.12'!AD25,'19.12'!$AO$4:$AQ$55,3,FALSE))</f>
        <v>0</v>
      </c>
      <c r="W25" s="13">
        <f>(VLOOKUP('19.12'!AE25,'19.12'!$AO$4:$AQ$55,3,FALSE))</f>
        <v>0</v>
      </c>
      <c r="X25" s="13">
        <f>(VLOOKUP('19.12'!AF25,'19.12'!$AO$4:$AQ$55,3,FALSE))</f>
        <v>0</v>
      </c>
    </row>
    <row r="26" spans="1:24">
      <c r="A26" s="4">
        <f>(VLOOKUP('19.12'!I26,'19.12'!$AO$4:$AQ$55,3,FALSE))</f>
        <v>40</v>
      </c>
      <c r="B26" s="4">
        <f>(VLOOKUP('19.12'!J26,'19.12'!$AO$4:$AQ$55,3,FALSE))</f>
        <v>30</v>
      </c>
      <c r="C26" s="4">
        <f>(VLOOKUP('19.12'!K26,'19.12'!$AO$4:$AQ$55,3,FALSE))</f>
        <v>40</v>
      </c>
      <c r="D26" s="4">
        <f>(VLOOKUP('19.12'!L26,'19.12'!$AO$4:$AQ$55,3,FALSE))</f>
        <v>40</v>
      </c>
      <c r="E26" s="4">
        <f>(VLOOKUP('19.12'!M26,'19.12'!$AO$4:$AQ$55,3,FALSE))</f>
        <v>40</v>
      </c>
      <c r="F26" s="4">
        <f>(VLOOKUP('19.12'!N26,'19.12'!$AO$4:$AQ$55,3,FALSE))</f>
        <v>40</v>
      </c>
      <c r="G26" s="13">
        <f>(VLOOKUP('19.12'!O26,'19.12'!$AO$4:$AQ$55,3,FALSE))</f>
        <v>0</v>
      </c>
      <c r="H26" s="13">
        <f>(VLOOKUP('19.12'!P26,'19.12'!$AO$4:$AQ$55,3,FALSE))</f>
        <v>0</v>
      </c>
      <c r="I26" s="4">
        <f>(VLOOKUP('19.12'!Q26,'19.12'!$AO$4:$AQ$55,3,FALSE))</f>
        <v>60</v>
      </c>
      <c r="J26" s="4">
        <f>(VLOOKUP('19.12'!R26,'19.12'!$AO$4:$AQ$55,3,FALSE))</f>
        <v>60</v>
      </c>
      <c r="K26" s="4">
        <f>(VLOOKUP('19.12'!S26,'19.12'!$AO$4:$AQ$55,3,FALSE))</f>
        <v>60</v>
      </c>
      <c r="L26" s="4">
        <f>(VLOOKUP('19.12'!T26,'19.12'!$AO$4:$AQ$55,3,FALSE))</f>
        <v>60</v>
      </c>
      <c r="M26" s="4">
        <f>(VLOOKUP('19.12'!U26,'19.12'!$AO$4:$AQ$55,3,FALSE))</f>
        <v>60</v>
      </c>
      <c r="N26" s="4">
        <f>(VLOOKUP('19.12'!V26,'19.12'!$AO$4:$AQ$55,3,FALSE))</f>
        <v>60</v>
      </c>
      <c r="O26" s="13">
        <f>(VLOOKUP('19.12'!W26,'19.12'!$AO$4:$AQ$55,3,FALSE))</f>
        <v>0</v>
      </c>
      <c r="P26" s="13">
        <f>(VLOOKUP('19.12'!X26,'19.12'!$AO$4:$AQ$55,3,FALSE))</f>
        <v>0</v>
      </c>
      <c r="Q26" s="4">
        <f>(VLOOKUP('19.12'!Y26,'19.12'!$AO$4:$AQ$55,3,FALSE))</f>
        <v>0</v>
      </c>
      <c r="R26" s="4">
        <f>(VLOOKUP('19.12'!Z26,'19.12'!$AO$4:$AQ$55,3,FALSE))</f>
        <v>0</v>
      </c>
      <c r="S26" s="4">
        <f>(VLOOKUP('19.12'!AA26,'19.12'!$AO$4:$AQ$55,3,FALSE))</f>
        <v>0</v>
      </c>
      <c r="T26" s="4">
        <f>(VLOOKUP('19.12'!AB26,'19.12'!$AO$4:$AQ$55,3,FALSE))</f>
        <v>0</v>
      </c>
      <c r="U26" s="4">
        <f>(VLOOKUP('19.12'!AC26,'19.12'!$AO$4:$AQ$55,3,FALSE))</f>
        <v>0</v>
      </c>
      <c r="V26" s="4">
        <f>(VLOOKUP('19.12'!AD26,'19.12'!$AO$4:$AQ$55,3,FALSE))</f>
        <v>0</v>
      </c>
      <c r="W26" s="13">
        <f>(VLOOKUP('19.12'!AE26,'19.12'!$AO$4:$AQ$55,3,FALSE))</f>
        <v>0</v>
      </c>
      <c r="X26" s="13">
        <f>(VLOOKUP('19.12'!AF26,'19.12'!$AO$4:$AQ$55,3,FALSE))</f>
        <v>0</v>
      </c>
    </row>
    <row r="27" spans="1:24">
      <c r="A27" s="4">
        <f>(VLOOKUP('19.12'!I27,'19.12'!$AO$4:$AQ$55,3,FALSE))</f>
        <v>30</v>
      </c>
      <c r="B27" s="4">
        <f>(VLOOKUP('19.12'!J27,'19.12'!$AO$4:$AQ$55,3,FALSE))</f>
        <v>40</v>
      </c>
      <c r="C27" s="4">
        <f>(VLOOKUP('19.12'!K27,'19.12'!$AO$4:$AQ$55,3,FALSE))</f>
        <v>40</v>
      </c>
      <c r="D27" s="4">
        <f>(VLOOKUP('19.12'!L27,'19.12'!$AO$4:$AQ$55,3,FALSE))</f>
        <v>40</v>
      </c>
      <c r="E27" s="4">
        <f>(VLOOKUP('19.12'!M27,'19.12'!$AO$4:$AQ$55,3,FALSE))</f>
        <v>30</v>
      </c>
      <c r="F27" s="4">
        <f>(VLOOKUP('19.12'!N27,'19.12'!$AO$4:$AQ$55,3,FALSE))</f>
        <v>40</v>
      </c>
      <c r="G27" s="13">
        <f>(VLOOKUP('19.12'!O27,'19.12'!$AO$4:$AQ$55,3,FALSE))</f>
        <v>0</v>
      </c>
      <c r="H27" s="13">
        <f>(VLOOKUP('19.12'!P27,'19.12'!$AO$4:$AQ$55,3,FALSE))</f>
        <v>0</v>
      </c>
      <c r="I27" s="4">
        <f>(VLOOKUP('19.12'!Q27,'19.12'!$AO$4:$AQ$55,3,FALSE))</f>
        <v>60</v>
      </c>
      <c r="J27" s="4">
        <f>(VLOOKUP('19.12'!R27,'19.12'!$AO$4:$AQ$55,3,FALSE))</f>
        <v>60</v>
      </c>
      <c r="K27" s="4">
        <f>(VLOOKUP('19.12'!S27,'19.12'!$AO$4:$AQ$55,3,FALSE))</f>
        <v>60</v>
      </c>
      <c r="L27" s="4">
        <f>(VLOOKUP('19.12'!T27,'19.12'!$AO$4:$AQ$55,3,FALSE))</f>
        <v>60</v>
      </c>
      <c r="M27" s="4">
        <f>(VLOOKUP('19.12'!U27,'19.12'!$AO$4:$AQ$55,3,FALSE))</f>
        <v>60</v>
      </c>
      <c r="N27" s="4">
        <f>(VLOOKUP('19.12'!V27,'19.12'!$AO$4:$AQ$55,3,FALSE))</f>
        <v>60</v>
      </c>
      <c r="O27" s="13">
        <f>(VLOOKUP('19.12'!W27,'19.12'!$AO$4:$AQ$55,3,FALSE))</f>
        <v>0</v>
      </c>
      <c r="P27" s="13">
        <f>(VLOOKUP('19.12'!X27,'19.12'!$AO$4:$AQ$55,3,FALSE))</f>
        <v>0</v>
      </c>
      <c r="Q27" s="4">
        <f>(VLOOKUP('19.12'!Y27,'19.12'!$AO$4:$AQ$55,3,FALSE))</f>
        <v>0</v>
      </c>
      <c r="R27" s="4">
        <f>(VLOOKUP('19.12'!Z27,'19.12'!$AO$4:$AQ$55,3,FALSE))</f>
        <v>0</v>
      </c>
      <c r="S27" s="4">
        <f>(VLOOKUP('19.12'!AA27,'19.12'!$AO$4:$AQ$55,3,FALSE))</f>
        <v>0</v>
      </c>
      <c r="T27" s="4">
        <f>(VLOOKUP('19.12'!AB27,'19.12'!$AO$4:$AQ$55,3,FALSE))</f>
        <v>0</v>
      </c>
      <c r="U27" s="4">
        <f>(VLOOKUP('19.12'!AC27,'19.12'!$AO$4:$AQ$55,3,FALSE))</f>
        <v>0</v>
      </c>
      <c r="V27" s="4">
        <f>(VLOOKUP('19.12'!AD27,'19.12'!$AO$4:$AQ$55,3,FALSE))</f>
        <v>0</v>
      </c>
      <c r="W27" s="13">
        <f>(VLOOKUP('19.12'!AE27,'19.12'!$AO$4:$AQ$55,3,FALSE))</f>
        <v>0</v>
      </c>
      <c r="X27" s="13">
        <f>(VLOOKUP('19.12'!AF27,'19.12'!$AO$4:$AQ$55,3,FALSE))</f>
        <v>0</v>
      </c>
    </row>
    <row r="28" spans="1:24">
      <c r="A28" s="4">
        <f>(VLOOKUP('19.12'!I28,'19.12'!$AO$4:$AQ$55,3,FALSE))</f>
        <v>40</v>
      </c>
      <c r="B28" s="4">
        <f>(VLOOKUP('19.12'!J28,'19.12'!$AO$4:$AQ$55,3,FALSE))</f>
        <v>0</v>
      </c>
      <c r="C28" s="4">
        <f>(VLOOKUP('19.12'!K28,'19.12'!$AO$4:$AQ$55,3,FALSE))</f>
        <v>40</v>
      </c>
      <c r="D28" s="4">
        <f>(VLOOKUP('19.12'!L28,'19.12'!$AO$4:$AQ$55,3,FALSE))</f>
        <v>40</v>
      </c>
      <c r="E28" s="4">
        <f>(VLOOKUP('19.12'!M28,'19.12'!$AO$4:$AQ$55,3,FALSE))</f>
        <v>30</v>
      </c>
      <c r="F28" s="4">
        <f>(VLOOKUP('19.12'!N28,'19.12'!$AO$4:$AQ$55,3,FALSE))</f>
        <v>40</v>
      </c>
      <c r="G28" s="13">
        <f>(VLOOKUP('19.12'!O28,'19.12'!$AO$4:$AQ$55,3,FALSE))</f>
        <v>0</v>
      </c>
      <c r="H28" s="13">
        <f>(VLOOKUP('19.12'!P28,'19.12'!$AO$4:$AQ$55,3,FALSE))</f>
        <v>0</v>
      </c>
      <c r="I28" s="4">
        <f>(VLOOKUP('19.12'!Q28,'19.12'!$AO$4:$AQ$55,3,FALSE))</f>
        <v>60</v>
      </c>
      <c r="J28" s="4">
        <f>(VLOOKUP('19.12'!R28,'19.12'!$AO$4:$AQ$55,3,FALSE))</f>
        <v>60</v>
      </c>
      <c r="K28" s="4">
        <f>(VLOOKUP('19.12'!S28,'19.12'!$AO$4:$AQ$55,3,FALSE))</f>
        <v>55</v>
      </c>
      <c r="L28" s="4">
        <f>(VLOOKUP('19.12'!T28,'19.12'!$AO$4:$AQ$55,3,FALSE))</f>
        <v>55</v>
      </c>
      <c r="M28" s="4">
        <f>(VLOOKUP('19.12'!U28,'19.12'!$AO$4:$AQ$55,3,FALSE))</f>
        <v>55</v>
      </c>
      <c r="N28" s="4">
        <f>(VLOOKUP('19.12'!V28,'19.12'!$AO$4:$AQ$55,3,FALSE))</f>
        <v>0</v>
      </c>
      <c r="O28" s="13">
        <f>(VLOOKUP('19.12'!W28,'19.12'!$AO$4:$AQ$55,3,FALSE))</f>
        <v>55</v>
      </c>
      <c r="P28" s="13">
        <f>(VLOOKUP('19.12'!X28,'19.12'!$AO$4:$AQ$55,3,FALSE))</f>
        <v>55</v>
      </c>
      <c r="Q28" s="4">
        <f>(VLOOKUP('19.12'!Y28,'19.12'!$AO$4:$AQ$55,3,FALSE))</f>
        <v>0</v>
      </c>
      <c r="R28" s="4">
        <f>(VLOOKUP('19.12'!Z28,'19.12'!$AO$4:$AQ$55,3,FALSE))</f>
        <v>0</v>
      </c>
      <c r="S28" s="4">
        <f>(VLOOKUP('19.12'!AA28,'19.12'!$AO$4:$AQ$55,3,FALSE))</f>
        <v>0</v>
      </c>
      <c r="T28" s="4">
        <f>(VLOOKUP('19.12'!AB28,'19.12'!$AO$4:$AQ$55,3,FALSE))</f>
        <v>0</v>
      </c>
      <c r="U28" s="4">
        <f>(VLOOKUP('19.12'!AC28,'19.12'!$AO$4:$AQ$55,3,FALSE))</f>
        <v>0</v>
      </c>
      <c r="V28" s="4">
        <f>(VLOOKUP('19.12'!AD28,'19.12'!$AO$4:$AQ$55,3,FALSE))</f>
        <v>0</v>
      </c>
      <c r="W28" s="13">
        <f>(VLOOKUP('19.12'!AE28,'19.12'!$AO$4:$AQ$55,3,FALSE))</f>
        <v>0</v>
      </c>
      <c r="X28" s="13">
        <f>(VLOOKUP('19.12'!AF28,'19.12'!$AO$4:$AQ$55,3,FALSE))</f>
        <v>0</v>
      </c>
    </row>
    <row r="29" spans="1:24">
      <c r="A29" s="4">
        <f>(VLOOKUP('19.12'!I29,'19.12'!$AO$4:$AQ$55,3,FALSE))</f>
        <v>40</v>
      </c>
      <c r="B29" s="4">
        <f>(VLOOKUP('19.12'!J29,'19.12'!$AO$4:$AQ$55,3,FALSE))</f>
        <v>40</v>
      </c>
      <c r="C29" s="4">
        <f>(VLOOKUP('19.12'!K29,'19.12'!$AO$4:$AQ$55,3,FALSE))</f>
        <v>40</v>
      </c>
      <c r="D29" s="4">
        <f>(VLOOKUP('19.12'!L29,'19.12'!$AO$4:$AQ$55,3,FALSE))</f>
        <v>40</v>
      </c>
      <c r="E29" s="4">
        <f>(VLOOKUP('19.12'!M29,'19.12'!$AO$4:$AQ$55,3,FALSE))</f>
        <v>40</v>
      </c>
      <c r="F29" s="4">
        <f>(VLOOKUP('19.12'!N29,'19.12'!$AO$4:$AQ$55,3,FALSE))</f>
        <v>40</v>
      </c>
      <c r="G29" s="13">
        <f>(VLOOKUP('19.12'!O29,'19.12'!$AO$4:$AQ$55,3,FALSE))</f>
        <v>40</v>
      </c>
      <c r="H29" s="13">
        <f>(VLOOKUP('19.12'!P29,'19.12'!$AO$4:$AQ$55,3,FALSE))</f>
        <v>0</v>
      </c>
      <c r="I29" s="4">
        <f>(VLOOKUP('19.12'!Q29,'19.12'!$AO$4:$AQ$55,3,FALSE))</f>
        <v>520</v>
      </c>
      <c r="J29" s="4">
        <f>(VLOOKUP('19.12'!R29,'19.12'!$AO$4:$AQ$55,3,FALSE))</f>
        <v>55</v>
      </c>
      <c r="K29" s="4">
        <f>(VLOOKUP('19.12'!S29,'19.12'!$AO$4:$AQ$55,3,FALSE))</f>
        <v>55</v>
      </c>
      <c r="L29" s="4">
        <f>(VLOOKUP('19.12'!T29,'19.12'!$AO$4:$AQ$55,3,FALSE))</f>
        <v>55</v>
      </c>
      <c r="M29" s="4">
        <f>(VLOOKUP('19.12'!U29,'19.12'!$AO$4:$AQ$55,3,FALSE))</f>
        <v>55</v>
      </c>
      <c r="N29" s="4">
        <f>(VLOOKUP('19.12'!V29,'19.12'!$AO$4:$AQ$55,3,FALSE))</f>
        <v>55</v>
      </c>
      <c r="O29" s="13">
        <f>(VLOOKUP('19.12'!W29,'19.12'!$AO$4:$AQ$55,3,FALSE))</f>
        <v>55</v>
      </c>
      <c r="P29" s="13">
        <f>(VLOOKUP('19.12'!X29,'19.12'!$AO$4:$AQ$55,3,FALSE))</f>
        <v>55</v>
      </c>
      <c r="Q29" s="4">
        <f>(VLOOKUP('19.12'!Y29,'19.12'!$AO$4:$AQ$55,3,FALSE))</f>
        <v>0</v>
      </c>
      <c r="R29" s="4">
        <f>(VLOOKUP('19.12'!Z29,'19.12'!$AO$4:$AQ$55,3,FALSE))</f>
        <v>0</v>
      </c>
      <c r="S29" s="4">
        <f>(VLOOKUP('19.12'!AA29,'19.12'!$AO$4:$AQ$55,3,FALSE))</f>
        <v>0</v>
      </c>
      <c r="T29" s="4">
        <f>(VLOOKUP('19.12'!AB29,'19.12'!$AO$4:$AQ$55,3,FALSE))</f>
        <v>0</v>
      </c>
      <c r="U29" s="4">
        <f>(VLOOKUP('19.12'!AC29,'19.12'!$AO$4:$AQ$55,3,FALSE))</f>
        <v>0</v>
      </c>
      <c r="V29" s="4">
        <f>(VLOOKUP('19.12'!AD29,'19.12'!$AO$4:$AQ$55,3,FALSE))</f>
        <v>0</v>
      </c>
      <c r="W29" s="13">
        <f>(VLOOKUP('19.12'!AE29,'19.12'!$AO$4:$AQ$55,3,FALSE))</f>
        <v>0</v>
      </c>
      <c r="X29" s="13">
        <f>(VLOOKUP('19.12'!AF29,'19.12'!$AO$4:$AQ$55,3,FALSE))</f>
        <v>0</v>
      </c>
    </row>
    <row r="30" spans="1:24">
      <c r="A30" s="4">
        <f>(VLOOKUP('19.12'!I30,'19.12'!$AO$4:$AQ$55,3,FALSE))</f>
        <v>30</v>
      </c>
      <c r="B30" s="4">
        <f>(VLOOKUP('19.12'!J30,'19.12'!$AO$4:$AQ$55,3,FALSE))</f>
        <v>40</v>
      </c>
      <c r="C30" s="4">
        <f>(VLOOKUP('19.12'!K30,'19.12'!$AO$4:$AQ$55,3,FALSE))</f>
        <v>40</v>
      </c>
      <c r="D30" s="4">
        <f>(VLOOKUP('19.12'!L30,'19.12'!$AO$4:$AQ$55,3,FALSE))</f>
        <v>0</v>
      </c>
      <c r="E30" s="4">
        <f>(VLOOKUP('19.12'!M30,'19.12'!$AO$4:$AQ$55,3,FALSE))</f>
        <v>0</v>
      </c>
      <c r="F30" s="4">
        <f>(VLOOKUP('19.12'!N30,'19.12'!$AO$4:$AQ$55,3,FALSE))</f>
        <v>0</v>
      </c>
      <c r="G30" s="13">
        <f>(VLOOKUP('19.12'!O30,'19.12'!$AO$4:$AQ$55,3,FALSE))</f>
        <v>0</v>
      </c>
      <c r="H30" s="13">
        <f>(VLOOKUP('19.12'!P30,'19.12'!$AO$4:$AQ$55,3,FALSE))</f>
        <v>0</v>
      </c>
      <c r="I30" s="4">
        <f>(VLOOKUP('19.12'!Q30,'19.12'!$AO$4:$AQ$55,3,FALSE))</f>
        <v>55</v>
      </c>
      <c r="J30" s="4">
        <f>(VLOOKUP('19.12'!R30,'19.12'!$AO$4:$AQ$55,3,FALSE))</f>
        <v>55</v>
      </c>
      <c r="K30" s="4">
        <f>(VLOOKUP('19.12'!S30,'19.12'!$AO$4:$AQ$55,3,FALSE))</f>
        <v>55</v>
      </c>
      <c r="L30" s="4">
        <f>(VLOOKUP('19.12'!T30,'19.12'!$AO$4:$AQ$55,3,FALSE))</f>
        <v>55</v>
      </c>
      <c r="M30" s="4">
        <f>(VLOOKUP('19.12'!U30,'19.12'!$AO$4:$AQ$55,3,FALSE))</f>
        <v>55</v>
      </c>
      <c r="N30" s="4">
        <f>(VLOOKUP('19.12'!V30,'19.12'!$AO$4:$AQ$55,3,FALSE))</f>
        <v>55</v>
      </c>
      <c r="O30" s="13">
        <f>(VLOOKUP('19.12'!W30,'19.12'!$AO$4:$AQ$55,3,FALSE))</f>
        <v>55</v>
      </c>
      <c r="P30" s="13">
        <f>(VLOOKUP('19.12'!X30,'19.12'!$AO$4:$AQ$55,3,FALSE))</f>
        <v>55</v>
      </c>
      <c r="Q30" s="4">
        <f>(VLOOKUP('19.12'!Y30,'19.12'!$AO$4:$AQ$55,3,FALSE))</f>
        <v>0</v>
      </c>
      <c r="R30" s="4">
        <f>(VLOOKUP('19.12'!Z30,'19.12'!$AO$4:$AQ$55,3,FALSE))</f>
        <v>0</v>
      </c>
      <c r="S30" s="4">
        <f>(VLOOKUP('19.12'!AA30,'19.12'!$AO$4:$AQ$55,3,FALSE))</f>
        <v>0</v>
      </c>
      <c r="T30" s="4">
        <f>(VLOOKUP('19.12'!AB30,'19.12'!$AO$4:$AQ$55,3,FALSE))</f>
        <v>0</v>
      </c>
      <c r="U30" s="4">
        <f>(VLOOKUP('19.12'!AC30,'19.12'!$AO$4:$AQ$55,3,FALSE))</f>
        <v>0</v>
      </c>
      <c r="V30" s="4">
        <f>(VLOOKUP('19.12'!AD30,'19.12'!$AO$4:$AQ$55,3,FALSE))</f>
        <v>0</v>
      </c>
      <c r="W30" s="13">
        <f>(VLOOKUP('19.12'!AE30,'19.12'!$AO$4:$AQ$55,3,FALSE))</f>
        <v>0</v>
      </c>
      <c r="X30" s="13">
        <f>(VLOOKUP('19.12'!AF30,'19.12'!$AO$4:$AQ$55,3,FALSE))</f>
        <v>0</v>
      </c>
    </row>
    <row r="31" spans="1:24">
      <c r="A31" s="4">
        <f>(VLOOKUP('19.12'!I31,'19.12'!$AO$4:$AQ$55,3,FALSE))</f>
        <v>50</v>
      </c>
      <c r="B31" s="4">
        <f>(VLOOKUP('19.12'!J31,'19.12'!$AO$4:$AQ$55,3,FALSE))</f>
        <v>50</v>
      </c>
      <c r="C31" s="4">
        <f>(VLOOKUP('19.12'!K31,'19.12'!$AO$4:$AQ$55,3,FALSE))</f>
        <v>50</v>
      </c>
      <c r="D31" s="4">
        <f>(VLOOKUP('19.12'!L31,'19.12'!$AO$4:$AQ$55,3,FALSE))</f>
        <v>50</v>
      </c>
      <c r="E31" s="4">
        <f>(VLOOKUP('19.12'!M31,'19.12'!$AO$4:$AQ$55,3,FALSE))</f>
        <v>50</v>
      </c>
      <c r="F31" s="4">
        <f>(VLOOKUP('19.12'!N31,'19.12'!$AO$4:$AQ$55,3,FALSE))</f>
        <v>50</v>
      </c>
      <c r="G31" s="13">
        <f>(VLOOKUP('19.12'!O31,'19.12'!$AO$4:$AQ$55,3,FALSE))</f>
        <v>0</v>
      </c>
      <c r="H31" s="13">
        <f>(VLOOKUP('19.12'!P31,'19.12'!$AO$4:$AQ$55,3,FALSE))</f>
        <v>0</v>
      </c>
      <c r="I31" s="4">
        <f>(VLOOKUP('19.12'!Q31,'19.12'!$AO$4:$AQ$55,3,FALSE))</f>
        <v>55</v>
      </c>
      <c r="J31" s="4">
        <f>(VLOOKUP('19.12'!R31,'19.12'!$AO$4:$AQ$55,3,FALSE))</f>
        <v>55</v>
      </c>
      <c r="K31" s="4">
        <f>(VLOOKUP('19.12'!S31,'19.12'!$AO$4:$AQ$55,3,FALSE))</f>
        <v>55</v>
      </c>
      <c r="L31" s="4">
        <f>(VLOOKUP('19.12'!T31,'19.12'!$AO$4:$AQ$55,3,FALSE))</f>
        <v>55</v>
      </c>
      <c r="M31" s="4">
        <f>(VLOOKUP('19.12'!U31,'19.12'!$AO$4:$AQ$55,3,FALSE))</f>
        <v>55</v>
      </c>
      <c r="N31" s="4">
        <f>(VLOOKUP('19.12'!V31,'19.12'!$AO$4:$AQ$55,3,FALSE))</f>
        <v>55</v>
      </c>
      <c r="O31" s="13">
        <f>(VLOOKUP('19.12'!W31,'19.12'!$AO$4:$AQ$55,3,FALSE))</f>
        <v>55</v>
      </c>
      <c r="P31" s="13">
        <f>(VLOOKUP('19.12'!X31,'19.12'!$AO$4:$AQ$55,3,FALSE))</f>
        <v>55</v>
      </c>
      <c r="Q31" s="4">
        <f>(VLOOKUP('19.12'!Y31,'19.12'!$AO$4:$AQ$55,3,FALSE))</f>
        <v>0</v>
      </c>
      <c r="R31" s="4">
        <f>(VLOOKUP('19.12'!Z31,'19.12'!$AO$4:$AQ$55,3,FALSE))</f>
        <v>0</v>
      </c>
      <c r="S31" s="4">
        <f>(VLOOKUP('19.12'!AA31,'19.12'!$AO$4:$AQ$55,3,FALSE))</f>
        <v>0</v>
      </c>
      <c r="T31" s="4">
        <f>(VLOOKUP('19.12'!AB31,'19.12'!$AO$4:$AQ$55,3,FALSE))</f>
        <v>0</v>
      </c>
      <c r="U31" s="4">
        <f>(VLOOKUP('19.12'!AC31,'19.12'!$AO$4:$AQ$55,3,FALSE))</f>
        <v>0</v>
      </c>
      <c r="V31" s="4">
        <f>(VLOOKUP('19.12'!AD31,'19.12'!$AO$4:$AQ$55,3,FALSE))</f>
        <v>0</v>
      </c>
      <c r="W31" s="13">
        <f>(VLOOKUP('19.12'!AE31,'19.12'!$AO$4:$AQ$55,3,FALSE))</f>
        <v>0</v>
      </c>
      <c r="X31" s="13">
        <f>(VLOOKUP('19.12'!AF31,'19.12'!$AO$4:$AQ$55,3,FALSE))</f>
        <v>0</v>
      </c>
    </row>
    <row r="32" spans="1:24">
      <c r="A32" s="4">
        <f>(VLOOKUP('19.12'!I32,'19.12'!$AO$4:$AQ$55,3,FALSE))</f>
        <v>50</v>
      </c>
      <c r="B32" s="4">
        <f>(VLOOKUP('19.12'!J32,'19.12'!$AO$4:$AQ$55,3,FALSE))</f>
        <v>50</v>
      </c>
      <c r="C32" s="4">
        <f>(VLOOKUP('19.12'!K32,'19.12'!$AO$4:$AQ$55,3,FALSE))</f>
        <v>50</v>
      </c>
      <c r="D32" s="4">
        <f>(VLOOKUP('19.12'!L32,'19.12'!$AO$4:$AQ$55,3,FALSE))</f>
        <v>50</v>
      </c>
      <c r="E32" s="4">
        <f>(VLOOKUP('19.12'!M32,'19.12'!$AO$4:$AQ$55,3,FALSE))</f>
        <v>50</v>
      </c>
      <c r="F32" s="4">
        <f>(VLOOKUP('19.12'!N32,'19.12'!$AO$4:$AQ$55,3,FALSE))</f>
        <v>50</v>
      </c>
      <c r="G32" s="13">
        <f>(VLOOKUP('19.12'!O32,'19.12'!$AO$4:$AQ$55,3,FALSE))</f>
        <v>0</v>
      </c>
      <c r="H32" s="13">
        <f>(VLOOKUP('19.12'!P32,'19.12'!$AO$4:$AQ$55,3,FALSE))</f>
        <v>0</v>
      </c>
      <c r="I32" s="4">
        <f>(VLOOKUP('19.12'!Q32,'19.12'!$AO$4:$AQ$55,3,FALSE))</f>
        <v>55</v>
      </c>
      <c r="J32" s="4">
        <f>(VLOOKUP('19.12'!R32,'19.12'!$AO$4:$AQ$55,3,FALSE))</f>
        <v>55</v>
      </c>
      <c r="K32" s="4">
        <f>(VLOOKUP('19.12'!S32,'19.12'!$AO$4:$AQ$55,3,FALSE))</f>
        <v>55</v>
      </c>
      <c r="L32" s="4">
        <f>(VLOOKUP('19.12'!T32,'19.12'!$AO$4:$AQ$55,3,FALSE))</f>
        <v>55</v>
      </c>
      <c r="M32" s="4">
        <f>(VLOOKUP('19.12'!U32,'19.12'!$AO$4:$AQ$55,3,FALSE))</f>
        <v>55</v>
      </c>
      <c r="N32" s="4">
        <f>(VLOOKUP('19.12'!V32,'19.12'!$AO$4:$AQ$55,3,FALSE))</f>
        <v>55</v>
      </c>
      <c r="O32" s="13">
        <f>(VLOOKUP('19.12'!W32,'19.12'!$AO$4:$AQ$55,3,FALSE))</f>
        <v>0</v>
      </c>
      <c r="P32" s="13">
        <f>(VLOOKUP('19.12'!X32,'19.12'!$AO$4:$AQ$55,3,FALSE))</f>
        <v>0</v>
      </c>
      <c r="Q32" s="4">
        <f>(VLOOKUP('19.12'!Y32,'19.12'!$AO$4:$AQ$55,3,FALSE))</f>
        <v>0</v>
      </c>
      <c r="R32" s="4">
        <f>(VLOOKUP('19.12'!Z32,'19.12'!$AO$4:$AQ$55,3,FALSE))</f>
        <v>0</v>
      </c>
      <c r="S32" s="4">
        <f>(VLOOKUP('19.12'!AA32,'19.12'!$AO$4:$AQ$55,3,FALSE))</f>
        <v>0</v>
      </c>
      <c r="T32" s="4">
        <f>(VLOOKUP('19.12'!AB32,'19.12'!$AO$4:$AQ$55,3,FALSE))</f>
        <v>0</v>
      </c>
      <c r="U32" s="4">
        <f>(VLOOKUP('19.12'!AC32,'19.12'!$AO$4:$AQ$55,3,FALSE))</f>
        <v>0</v>
      </c>
      <c r="V32" s="4">
        <f>(VLOOKUP('19.12'!AD32,'19.12'!$AO$4:$AQ$55,3,FALSE))</f>
        <v>0</v>
      </c>
      <c r="W32" s="13">
        <f>(VLOOKUP('19.12'!AE32,'19.12'!$AO$4:$AQ$55,3,FALSE))</f>
        <v>0</v>
      </c>
      <c r="X32" s="13">
        <f>(VLOOKUP('19.12'!AF32,'19.12'!$AO$4:$AQ$55,3,FALSE))</f>
        <v>0</v>
      </c>
    </row>
    <row r="33" spans="1:24">
      <c r="A33" s="4">
        <f>(VLOOKUP('19.12'!I33,'19.12'!$AO$4:$AQ$55,3,FALSE))</f>
        <v>50</v>
      </c>
      <c r="B33" s="4">
        <f>(VLOOKUP('19.12'!J33,'19.12'!$AO$4:$AQ$55,3,FALSE))</f>
        <v>50</v>
      </c>
      <c r="C33" s="4">
        <f>(VLOOKUP('19.12'!K33,'19.12'!$AO$4:$AQ$55,3,FALSE))</f>
        <v>50</v>
      </c>
      <c r="D33" s="4">
        <f>(VLOOKUP('19.12'!L33,'19.12'!$AO$4:$AQ$55,3,FALSE))</f>
        <v>50</v>
      </c>
      <c r="E33" s="4">
        <f>(VLOOKUP('19.12'!M33,'19.12'!$AO$4:$AQ$55,3,FALSE))</f>
        <v>50</v>
      </c>
      <c r="F33" s="4">
        <f>(VLOOKUP('19.12'!N33,'19.12'!$AO$4:$AQ$55,3,FALSE))</f>
        <v>50</v>
      </c>
      <c r="G33" s="13">
        <f>(VLOOKUP('19.12'!O33,'19.12'!$AO$4:$AQ$55,3,FALSE))</f>
        <v>0</v>
      </c>
      <c r="H33" s="13">
        <f>(VLOOKUP('19.12'!P33,'19.12'!$AO$4:$AQ$55,3,FALSE))</f>
        <v>0</v>
      </c>
      <c r="I33" s="4">
        <f>(VLOOKUP('19.12'!Q33,'19.12'!$AO$4:$AQ$55,3,FALSE))</f>
        <v>55</v>
      </c>
      <c r="J33" s="4">
        <f>(VLOOKUP('19.12'!R33,'19.12'!$AO$4:$AQ$55,3,FALSE))</f>
        <v>55</v>
      </c>
      <c r="K33" s="4">
        <f>(VLOOKUP('19.12'!S33,'19.12'!$AO$4:$AQ$55,3,FALSE))</f>
        <v>55</v>
      </c>
      <c r="L33" s="4">
        <f>(VLOOKUP('19.12'!T33,'19.12'!$AO$4:$AQ$55,3,FALSE))</f>
        <v>55</v>
      </c>
      <c r="M33" s="4">
        <f>(VLOOKUP('19.12'!U33,'19.12'!$AO$4:$AQ$55,3,FALSE))</f>
        <v>55</v>
      </c>
      <c r="N33" s="4">
        <f>(VLOOKUP('19.12'!V33,'19.12'!$AO$4:$AQ$55,3,FALSE))</f>
        <v>50</v>
      </c>
      <c r="O33" s="13">
        <f>(VLOOKUP('19.12'!W33,'19.12'!$AO$4:$AQ$55,3,FALSE))</f>
        <v>0</v>
      </c>
      <c r="P33" s="13">
        <f>(VLOOKUP('19.12'!X33,'19.12'!$AO$4:$AQ$55,3,FALSE))</f>
        <v>0</v>
      </c>
      <c r="Q33" s="4">
        <f>(VLOOKUP('19.12'!Y33,'19.12'!$AO$4:$AQ$55,3,FALSE))</f>
        <v>0</v>
      </c>
      <c r="R33" s="4">
        <f>(VLOOKUP('19.12'!Z33,'19.12'!$AO$4:$AQ$55,3,FALSE))</f>
        <v>0</v>
      </c>
      <c r="S33" s="4">
        <f>(VLOOKUP('19.12'!AA33,'19.12'!$AO$4:$AQ$55,3,FALSE))</f>
        <v>0</v>
      </c>
      <c r="T33" s="4">
        <f>(VLOOKUP('19.12'!AB33,'19.12'!$AO$4:$AQ$55,3,FALSE))</f>
        <v>0</v>
      </c>
      <c r="U33" s="4">
        <f>(VLOOKUP('19.12'!AC33,'19.12'!$AO$4:$AQ$55,3,FALSE))</f>
        <v>0</v>
      </c>
      <c r="V33" s="4">
        <f>(VLOOKUP('19.12'!AD33,'19.12'!$AO$4:$AQ$55,3,FALSE))</f>
        <v>0</v>
      </c>
      <c r="W33" s="13">
        <f>(VLOOKUP('19.12'!AE33,'19.12'!$AO$4:$AQ$55,3,FALSE))</f>
        <v>0</v>
      </c>
      <c r="X33" s="13">
        <f>(VLOOKUP('19.12'!AF33,'19.12'!$AO$4:$AQ$55,3,FALSE))</f>
        <v>0</v>
      </c>
    </row>
    <row r="34" spans="1:24">
      <c r="A34" s="4">
        <f>(VLOOKUP('19.12'!I34,'19.12'!$AO$4:$AQ$55,3,FALSE))</f>
        <v>45</v>
      </c>
      <c r="B34" s="4">
        <f>(VLOOKUP('19.12'!J34,'19.12'!$AO$4:$AQ$55,3,FALSE))</f>
        <v>45</v>
      </c>
      <c r="C34" s="4">
        <f>(VLOOKUP('19.12'!K34,'19.12'!$AO$4:$AQ$55,3,FALSE))</f>
        <v>45</v>
      </c>
      <c r="D34" s="4">
        <f>(VLOOKUP('19.12'!L34,'19.12'!$AO$4:$AQ$55,3,FALSE))</f>
        <v>0</v>
      </c>
      <c r="E34" s="4">
        <f>(VLOOKUP('19.12'!M34,'19.12'!$AO$4:$AQ$55,3,FALSE))</f>
        <v>0</v>
      </c>
      <c r="F34" s="4">
        <f>(VLOOKUP('19.12'!N34,'19.12'!$AO$4:$AQ$55,3,FALSE))</f>
        <v>0</v>
      </c>
      <c r="G34" s="13">
        <f>(VLOOKUP('19.12'!O34,'19.12'!$AO$4:$AQ$55,3,FALSE))</f>
        <v>0</v>
      </c>
      <c r="H34" s="13">
        <f>(VLOOKUP('19.12'!P34,'19.12'!$AO$4:$AQ$55,3,FALSE))</f>
        <v>0</v>
      </c>
      <c r="I34" s="4">
        <f>(VLOOKUP('19.12'!Q34,'19.12'!$AO$4:$AQ$55,3,FALSE))</f>
        <v>0</v>
      </c>
      <c r="J34" s="4">
        <f>(VLOOKUP('19.12'!R34,'19.12'!$AO$4:$AQ$55,3,FALSE))</f>
        <v>0</v>
      </c>
      <c r="K34" s="4">
        <f>(VLOOKUP('19.12'!S34,'19.12'!$AO$4:$AQ$55,3,FALSE))</f>
        <v>0</v>
      </c>
      <c r="L34" s="4">
        <f>(VLOOKUP('19.12'!T34,'19.12'!$AO$4:$AQ$55,3,FALSE))</f>
        <v>0</v>
      </c>
      <c r="M34" s="4">
        <f>(VLOOKUP('19.12'!U34,'19.12'!$AO$4:$AQ$55,3,FALSE))</f>
        <v>0</v>
      </c>
      <c r="N34" s="4">
        <f>(VLOOKUP('19.12'!V34,'19.12'!$AO$4:$AQ$55,3,FALSE))</f>
        <v>0</v>
      </c>
      <c r="O34" s="13">
        <f>(VLOOKUP('19.12'!W34,'19.12'!$AO$4:$AQ$55,3,FALSE))</f>
        <v>0</v>
      </c>
      <c r="P34" s="13">
        <f>(VLOOKUP('19.12'!X34,'19.12'!$AO$4:$AQ$55,3,FALSE))</f>
        <v>0</v>
      </c>
      <c r="Q34" s="4">
        <f>(VLOOKUP('19.12'!Y34,'19.12'!$AO$4:$AQ$55,3,FALSE))</f>
        <v>0</v>
      </c>
      <c r="R34" s="4">
        <f>(VLOOKUP('19.12'!Z34,'19.12'!$AO$4:$AQ$55,3,FALSE))</f>
        <v>0</v>
      </c>
      <c r="S34" s="4">
        <f>(VLOOKUP('19.12'!AA34,'19.12'!$AO$4:$AQ$55,3,FALSE))</f>
        <v>0</v>
      </c>
      <c r="T34" s="4">
        <f>(VLOOKUP('19.12'!AB34,'19.12'!$AO$4:$AQ$55,3,FALSE))</f>
        <v>0</v>
      </c>
      <c r="U34" s="4">
        <f>(VLOOKUP('19.12'!AC34,'19.12'!$AO$4:$AQ$55,3,FALSE))</f>
        <v>0</v>
      </c>
      <c r="V34" s="4">
        <f>(VLOOKUP('19.12'!AD34,'19.12'!$AO$4:$AQ$55,3,FALSE))</f>
        <v>0</v>
      </c>
      <c r="W34" s="13">
        <f>(VLOOKUP('19.12'!AE34,'19.12'!$AO$4:$AQ$55,3,FALSE))</f>
        <v>0</v>
      </c>
      <c r="X34" s="13">
        <f>(VLOOKUP('19.12'!AF34,'19.12'!$AO$4:$AQ$55,3,FALSE))</f>
        <v>0</v>
      </c>
    </row>
    <row r="35" spans="1:24">
      <c r="A35" s="4">
        <f>(VLOOKUP('19.12'!I35,'19.12'!$AO$4:$AQ$55,3,FALSE))</f>
        <v>60</v>
      </c>
      <c r="B35" s="4">
        <f>(VLOOKUP('19.12'!J35,'19.12'!$AO$4:$AQ$55,3,FALSE))</f>
        <v>60</v>
      </c>
      <c r="C35" s="4">
        <f>(VLOOKUP('19.12'!K35,'19.12'!$AO$4:$AQ$55,3,FALSE))</f>
        <v>60</v>
      </c>
      <c r="D35" s="4">
        <f>(VLOOKUP('19.12'!L35,'19.12'!$AO$4:$AQ$55,3,FALSE))</f>
        <v>60</v>
      </c>
      <c r="E35" s="4">
        <f>(VLOOKUP('19.12'!M35,'19.12'!$AO$4:$AQ$55,3,FALSE))</f>
        <v>60</v>
      </c>
      <c r="F35" s="4">
        <f>(VLOOKUP('19.12'!N35,'19.12'!$AO$4:$AQ$55,3,FALSE))</f>
        <v>60</v>
      </c>
      <c r="G35" s="13">
        <f>(VLOOKUP('19.12'!O35,'19.12'!$AO$4:$AQ$55,3,FALSE))</f>
        <v>0</v>
      </c>
      <c r="H35" s="13">
        <f>(VLOOKUP('19.12'!P35,'19.12'!$AO$4:$AQ$55,3,FALSE))</f>
        <v>0</v>
      </c>
      <c r="I35" s="4">
        <f>(VLOOKUP('19.12'!Q35,'19.12'!$AO$4:$AQ$55,3,FALSE))</f>
        <v>50</v>
      </c>
      <c r="J35" s="4">
        <f>(VLOOKUP('19.12'!R35,'19.12'!$AO$4:$AQ$55,3,FALSE))</f>
        <v>50</v>
      </c>
      <c r="K35" s="4">
        <f>(VLOOKUP('19.12'!S35,'19.12'!$AO$4:$AQ$55,3,FALSE))</f>
        <v>50</v>
      </c>
      <c r="L35" s="4">
        <f>(VLOOKUP('19.12'!T35,'19.12'!$AO$4:$AQ$55,3,FALSE))</f>
        <v>50</v>
      </c>
      <c r="M35" s="4">
        <f>(VLOOKUP('19.12'!U35,'19.12'!$AO$4:$AQ$55,3,FALSE))</f>
        <v>0</v>
      </c>
      <c r="N35" s="4">
        <f>(VLOOKUP('19.12'!V35,'19.12'!$AO$4:$AQ$55,3,FALSE))</f>
        <v>0</v>
      </c>
      <c r="O35" s="13">
        <f>(VLOOKUP('19.12'!W35,'19.12'!$AO$4:$AQ$55,3,FALSE))</f>
        <v>0</v>
      </c>
      <c r="P35" s="13">
        <f>(VLOOKUP('19.12'!X35,'19.12'!$AO$4:$AQ$55,3,FALSE))</f>
        <v>0</v>
      </c>
      <c r="Q35" s="4">
        <f>(VLOOKUP('19.12'!Y35,'19.12'!$AO$4:$AQ$55,3,FALSE))</f>
        <v>0</v>
      </c>
      <c r="R35" s="4">
        <f>(VLOOKUP('19.12'!Z35,'19.12'!$AO$4:$AQ$55,3,FALSE))</f>
        <v>0</v>
      </c>
      <c r="S35" s="4">
        <f>(VLOOKUP('19.12'!AA35,'19.12'!$AO$4:$AQ$55,3,FALSE))</f>
        <v>0</v>
      </c>
      <c r="T35" s="4">
        <f>(VLOOKUP('19.12'!AB35,'19.12'!$AO$4:$AQ$55,3,FALSE))</f>
        <v>0</v>
      </c>
      <c r="U35" s="4">
        <f>(VLOOKUP('19.12'!AC35,'19.12'!$AO$4:$AQ$55,3,FALSE))</f>
        <v>0</v>
      </c>
      <c r="V35" s="4">
        <f>(VLOOKUP('19.12'!AD35,'19.12'!$AO$4:$AQ$55,3,FALSE))</f>
        <v>0</v>
      </c>
      <c r="W35" s="13">
        <f>(VLOOKUP('19.12'!AE35,'19.12'!$AO$4:$AQ$55,3,FALSE))</f>
        <v>0</v>
      </c>
      <c r="X35" s="13">
        <f>(VLOOKUP('19.12'!AF35,'19.12'!$AO$4:$AQ$55,3,FALSE))</f>
        <v>0</v>
      </c>
    </row>
    <row r="36" spans="1:24">
      <c r="A36" s="4">
        <f>(VLOOKUP('19.12'!I36,'19.12'!$AO$4:$AQ$55,3,FALSE))</f>
        <v>60</v>
      </c>
      <c r="B36" s="4">
        <f>(VLOOKUP('19.12'!J36,'19.12'!$AO$4:$AQ$55,3,FALSE))</f>
        <v>60</v>
      </c>
      <c r="C36" s="4">
        <f>(VLOOKUP('19.12'!K36,'19.12'!$AO$4:$AQ$55,3,FALSE))</f>
        <v>60</v>
      </c>
      <c r="D36" s="4">
        <f>(VLOOKUP('19.12'!L36,'19.12'!$AO$4:$AQ$55,3,FALSE))</f>
        <v>60</v>
      </c>
      <c r="E36" s="4">
        <f>(VLOOKUP('19.12'!M36,'19.12'!$AO$4:$AQ$55,3,FALSE))</f>
        <v>60</v>
      </c>
      <c r="F36" s="4">
        <f>(VLOOKUP('19.12'!N36,'19.12'!$AO$4:$AQ$55,3,FALSE))</f>
        <v>60</v>
      </c>
      <c r="G36" s="13">
        <f>(VLOOKUP('19.12'!O36,'19.12'!$AO$4:$AQ$55,3,FALSE))</f>
        <v>0</v>
      </c>
      <c r="H36" s="13">
        <f>(VLOOKUP('19.12'!P36,'19.12'!$AO$4:$AQ$55,3,FALSE))</f>
        <v>0</v>
      </c>
      <c r="I36" s="4">
        <f>(VLOOKUP('19.12'!Q36,'19.12'!$AO$4:$AQ$55,3,FALSE))</f>
        <v>50</v>
      </c>
      <c r="J36" s="4">
        <f>(VLOOKUP('19.12'!R36,'19.12'!$AO$4:$AQ$55,3,FALSE))</f>
        <v>50</v>
      </c>
      <c r="K36" s="4">
        <f>(VLOOKUP('19.12'!S36,'19.12'!$AO$4:$AQ$55,3,FALSE))</f>
        <v>50</v>
      </c>
      <c r="L36" s="4">
        <f>(VLOOKUP('19.12'!T36,'19.12'!$AO$4:$AQ$55,3,FALSE))</f>
        <v>50</v>
      </c>
      <c r="M36" s="4">
        <f>(VLOOKUP('19.12'!U36,'19.12'!$AO$4:$AQ$55,3,FALSE))</f>
        <v>50</v>
      </c>
      <c r="N36" s="4">
        <f>(VLOOKUP('19.12'!V36,'19.12'!$AO$4:$AQ$55,3,FALSE))</f>
        <v>0</v>
      </c>
      <c r="O36" s="13">
        <f>(VLOOKUP('19.12'!W36,'19.12'!$AO$4:$AQ$55,3,FALSE))</f>
        <v>0</v>
      </c>
      <c r="P36" s="13">
        <f>(VLOOKUP('19.12'!X36,'19.12'!$AO$4:$AQ$55,3,FALSE))</f>
        <v>0</v>
      </c>
      <c r="Q36" s="4">
        <f>(VLOOKUP('19.12'!Y36,'19.12'!$AO$4:$AQ$55,3,FALSE))</f>
        <v>0</v>
      </c>
      <c r="R36" s="4">
        <f>(VLOOKUP('19.12'!Z36,'19.12'!$AO$4:$AQ$55,3,FALSE))</f>
        <v>0</v>
      </c>
      <c r="S36" s="4">
        <f>(VLOOKUP('19.12'!AA36,'19.12'!$AO$4:$AQ$55,3,FALSE))</f>
        <v>0</v>
      </c>
      <c r="T36" s="4">
        <f>(VLOOKUP('19.12'!AB36,'19.12'!$AO$4:$AQ$55,3,FALSE))</f>
        <v>0</v>
      </c>
      <c r="U36" s="4">
        <f>(VLOOKUP('19.12'!AC36,'19.12'!$AO$4:$AQ$55,3,FALSE))</f>
        <v>0</v>
      </c>
      <c r="V36" s="4">
        <f>(VLOOKUP('19.12'!AD36,'19.12'!$AO$4:$AQ$55,3,FALSE))</f>
        <v>0</v>
      </c>
      <c r="W36" s="13">
        <f>(VLOOKUP('19.12'!AE36,'19.12'!$AO$4:$AQ$55,3,FALSE))</f>
        <v>0</v>
      </c>
      <c r="X36" s="13">
        <f>(VLOOKUP('19.12'!AF36,'19.12'!$AO$4:$AQ$55,3,FALSE))</f>
        <v>0</v>
      </c>
    </row>
    <row r="37" spans="1:24">
      <c r="A37" s="4">
        <f>(VLOOKUP('19.12'!I37,'19.12'!$AO$4:$AQ$55,3,FALSE))</f>
        <v>60</v>
      </c>
      <c r="B37" s="4">
        <f>(VLOOKUP('19.12'!J37,'19.12'!$AO$4:$AQ$55,3,FALSE))</f>
        <v>60</v>
      </c>
      <c r="C37" s="4">
        <f>(VLOOKUP('19.12'!K37,'19.12'!$AO$4:$AQ$55,3,FALSE))</f>
        <v>60</v>
      </c>
      <c r="D37" s="4">
        <f>(VLOOKUP('19.12'!L37,'19.12'!$AO$4:$AQ$55,3,FALSE))</f>
        <v>60</v>
      </c>
      <c r="E37" s="4">
        <f>(VLOOKUP('19.12'!M37,'19.12'!$AO$4:$AQ$55,3,FALSE))</f>
        <v>60</v>
      </c>
      <c r="F37" s="4">
        <f>(VLOOKUP('19.12'!N37,'19.12'!$AO$4:$AQ$55,3,FALSE))</f>
        <v>60</v>
      </c>
      <c r="G37" s="13">
        <f>(VLOOKUP('19.12'!O37,'19.12'!$AO$4:$AQ$55,3,FALSE))</f>
        <v>0</v>
      </c>
      <c r="H37" s="13">
        <f>(VLOOKUP('19.12'!P37,'19.12'!$AO$4:$AQ$55,3,FALSE))</f>
        <v>0</v>
      </c>
      <c r="I37" s="4">
        <f>(VLOOKUP('19.12'!Q37,'19.12'!$AO$4:$AQ$55,3,FALSE))</f>
        <v>50</v>
      </c>
      <c r="J37" s="4">
        <f>(VLOOKUP('19.12'!R37,'19.12'!$AO$4:$AQ$55,3,FALSE))</f>
        <v>50</v>
      </c>
      <c r="K37" s="4">
        <f>(VLOOKUP('19.12'!S37,'19.12'!$AO$4:$AQ$55,3,FALSE))</f>
        <v>50</v>
      </c>
      <c r="L37" s="4">
        <f>(VLOOKUP('19.12'!T37,'19.12'!$AO$4:$AQ$55,3,FALSE))</f>
        <v>50</v>
      </c>
      <c r="M37" s="4">
        <f>(VLOOKUP('19.12'!U37,'19.12'!$AO$4:$AQ$55,3,FALSE))</f>
        <v>50</v>
      </c>
      <c r="N37" s="4">
        <f>(VLOOKUP('19.12'!V37,'19.12'!$AO$4:$AQ$55,3,FALSE))</f>
        <v>0</v>
      </c>
      <c r="O37" s="13">
        <f>(VLOOKUP('19.12'!W37,'19.12'!$AO$4:$AQ$55,3,FALSE))</f>
        <v>0</v>
      </c>
      <c r="P37" s="13">
        <f>(VLOOKUP('19.12'!X37,'19.12'!$AO$4:$AQ$55,3,FALSE))</f>
        <v>0</v>
      </c>
      <c r="Q37" s="4">
        <f>(VLOOKUP('19.12'!Y37,'19.12'!$AO$4:$AQ$55,3,FALSE))</f>
        <v>0</v>
      </c>
      <c r="R37" s="4">
        <f>(VLOOKUP('19.12'!Z37,'19.12'!$AO$4:$AQ$55,3,FALSE))</f>
        <v>0</v>
      </c>
      <c r="S37" s="4">
        <f>(VLOOKUP('19.12'!AA37,'19.12'!$AO$4:$AQ$55,3,FALSE))</f>
        <v>0</v>
      </c>
      <c r="T37" s="4">
        <f>(VLOOKUP('19.12'!AB37,'19.12'!$AO$4:$AQ$55,3,FALSE))</f>
        <v>0</v>
      </c>
      <c r="U37" s="4">
        <f>(VLOOKUP('19.12'!AC37,'19.12'!$AO$4:$AQ$55,3,FALSE))</f>
        <v>0</v>
      </c>
      <c r="V37" s="4">
        <f>(VLOOKUP('19.12'!AD37,'19.12'!$AO$4:$AQ$55,3,FALSE))</f>
        <v>0</v>
      </c>
      <c r="W37" s="13">
        <f>(VLOOKUP('19.12'!AE37,'19.12'!$AO$4:$AQ$55,3,FALSE))</f>
        <v>0</v>
      </c>
      <c r="X37" s="13">
        <f>(VLOOKUP('19.12'!AF37,'19.12'!$AO$4:$AQ$55,3,FALSE))</f>
        <v>0</v>
      </c>
    </row>
    <row r="38" spans="1:24">
      <c r="A38" s="4">
        <f>(VLOOKUP('19.12'!I38,'19.12'!$AO$4:$AQ$55,3,FALSE))</f>
        <v>60</v>
      </c>
      <c r="B38" s="4">
        <f>(VLOOKUP('19.12'!J38,'19.12'!$AO$4:$AQ$55,3,FALSE))</f>
        <v>60</v>
      </c>
      <c r="C38" s="4">
        <f>(VLOOKUP('19.12'!K38,'19.12'!$AO$4:$AQ$55,3,FALSE))</f>
        <v>60</v>
      </c>
      <c r="D38" s="4">
        <f>(VLOOKUP('19.12'!L38,'19.12'!$AO$4:$AQ$55,3,FALSE))</f>
        <v>60</v>
      </c>
      <c r="E38" s="4">
        <f>(VLOOKUP('19.12'!M38,'19.12'!$AO$4:$AQ$55,3,FALSE))</f>
        <v>60</v>
      </c>
      <c r="F38" s="4">
        <f>(VLOOKUP('19.12'!N38,'19.12'!$AO$4:$AQ$55,3,FALSE))</f>
        <v>1000</v>
      </c>
      <c r="G38" s="13">
        <f>(VLOOKUP('19.12'!O38,'19.12'!$AO$4:$AQ$55,3,FALSE))</f>
        <v>0</v>
      </c>
      <c r="H38" s="13">
        <f>(VLOOKUP('19.12'!P38,'19.12'!$AO$4:$AQ$55,3,FALSE))</f>
        <v>0</v>
      </c>
      <c r="I38" s="4">
        <f>(VLOOKUP('19.12'!Q38,'19.12'!$AO$4:$AQ$55,3,FALSE))</f>
        <v>50</v>
      </c>
      <c r="J38" s="4">
        <f>(VLOOKUP('19.12'!R38,'19.12'!$AO$4:$AQ$55,3,FALSE))</f>
        <v>50</v>
      </c>
      <c r="K38" s="4">
        <f>(VLOOKUP('19.12'!S38,'19.12'!$AO$4:$AQ$55,3,FALSE))</f>
        <v>50</v>
      </c>
      <c r="L38" s="4">
        <f>(VLOOKUP('19.12'!T38,'19.12'!$AO$4:$AQ$55,3,FALSE))</f>
        <v>50</v>
      </c>
      <c r="M38" s="4">
        <f>(VLOOKUP('19.12'!U38,'19.12'!$AO$4:$AQ$55,3,FALSE))</f>
        <v>50</v>
      </c>
      <c r="N38" s="4">
        <f>(VLOOKUP('19.12'!V38,'19.12'!$AO$4:$AQ$55,3,FALSE))</f>
        <v>0</v>
      </c>
      <c r="O38" s="13">
        <f>(VLOOKUP('19.12'!W38,'19.12'!$AO$4:$AQ$55,3,FALSE))</f>
        <v>0</v>
      </c>
      <c r="P38" s="13">
        <f>(VLOOKUP('19.12'!X38,'19.12'!$AO$4:$AQ$55,3,FALSE))</f>
        <v>0</v>
      </c>
      <c r="Q38" s="4">
        <f>(VLOOKUP('19.12'!Y38,'19.12'!$AO$4:$AQ$55,3,FALSE))</f>
        <v>0</v>
      </c>
      <c r="R38" s="4">
        <f>(VLOOKUP('19.12'!Z38,'19.12'!$AO$4:$AQ$55,3,FALSE))</f>
        <v>0</v>
      </c>
      <c r="S38" s="4">
        <f>(VLOOKUP('19.12'!AA38,'19.12'!$AO$4:$AQ$55,3,FALSE))</f>
        <v>0</v>
      </c>
      <c r="T38" s="4">
        <f>(VLOOKUP('19.12'!AB38,'19.12'!$AO$4:$AQ$55,3,FALSE))</f>
        <v>0</v>
      </c>
      <c r="U38" s="4">
        <f>(VLOOKUP('19.12'!AC38,'19.12'!$AO$4:$AQ$55,3,FALSE))</f>
        <v>0</v>
      </c>
      <c r="V38" s="4">
        <f>(VLOOKUP('19.12'!AD38,'19.12'!$AO$4:$AQ$55,3,FALSE))</f>
        <v>0</v>
      </c>
      <c r="W38" s="13">
        <f>(VLOOKUP('19.12'!AE38,'19.12'!$AO$4:$AQ$55,3,FALSE))</f>
        <v>0</v>
      </c>
      <c r="X38" s="13">
        <f>(VLOOKUP('19.12'!AF38,'19.12'!$AO$4:$AQ$55,3,FALSE))</f>
        <v>0</v>
      </c>
    </row>
    <row r="39" spans="1:24">
      <c r="A39" s="4">
        <f>(VLOOKUP('19.12'!I39,'19.12'!$AO$4:$AQ$55,3,FALSE))</f>
        <v>0</v>
      </c>
      <c r="B39" s="4">
        <f>(VLOOKUP('19.12'!J39,'19.12'!$AO$4:$AQ$55,3,FALSE))</f>
        <v>0</v>
      </c>
      <c r="C39" s="4">
        <f>(VLOOKUP('19.12'!K39,'19.12'!$AO$4:$AQ$55,3,FALSE))</f>
        <v>0</v>
      </c>
      <c r="D39" s="4">
        <f>(VLOOKUP('19.12'!L39,'19.12'!$AO$4:$AQ$55,3,FALSE))</f>
        <v>0</v>
      </c>
      <c r="E39" s="4">
        <f>(VLOOKUP('19.12'!M39,'19.12'!$AO$4:$AQ$55,3,FALSE))</f>
        <v>0</v>
      </c>
      <c r="F39" s="4">
        <f>(VLOOKUP('19.12'!N39,'19.12'!$AO$4:$AQ$55,3,FALSE))</f>
        <v>0</v>
      </c>
      <c r="G39" s="13">
        <f>(VLOOKUP('19.12'!O39,'19.12'!$AO$4:$AQ$55,3,FALSE))</f>
        <v>0</v>
      </c>
      <c r="H39" s="13">
        <f>(VLOOKUP('19.12'!P39,'19.12'!$AO$4:$AQ$55,3,FALSE))</f>
        <v>0</v>
      </c>
      <c r="I39" s="4">
        <f>(VLOOKUP('19.12'!Q39,'19.12'!$AO$4:$AQ$55,3,FALSE))</f>
        <v>0</v>
      </c>
      <c r="J39" s="4">
        <f>(VLOOKUP('19.12'!R39,'19.12'!$AO$4:$AQ$55,3,FALSE))</f>
        <v>0</v>
      </c>
      <c r="K39" s="4">
        <f>(VLOOKUP('19.12'!S39,'19.12'!$AO$4:$AQ$55,3,FALSE))</f>
        <v>0</v>
      </c>
      <c r="L39" s="4">
        <f>(VLOOKUP('19.12'!T39,'19.12'!$AO$4:$AQ$55,3,FALSE))</f>
        <v>0</v>
      </c>
      <c r="M39" s="4">
        <f>(VLOOKUP('19.12'!U39,'19.12'!$AO$4:$AQ$55,3,FALSE))</f>
        <v>0</v>
      </c>
      <c r="N39" s="4">
        <f>(VLOOKUP('19.12'!V39,'19.12'!$AO$4:$AQ$55,3,FALSE))</f>
        <v>0</v>
      </c>
      <c r="O39" s="13">
        <f>(VLOOKUP('19.12'!W39,'19.12'!$AO$4:$AQ$55,3,FALSE))</f>
        <v>0</v>
      </c>
      <c r="P39" s="13">
        <f>(VLOOKUP('19.12'!X39,'19.12'!$AO$4:$AQ$55,3,FALSE))</f>
        <v>0</v>
      </c>
      <c r="Q39" s="4">
        <f>(VLOOKUP('19.12'!Y39,'19.12'!$AO$4:$AQ$55,3,FALSE))</f>
        <v>0</v>
      </c>
      <c r="R39" s="4">
        <f>(VLOOKUP('19.12'!Z39,'19.12'!$AO$4:$AQ$55,3,FALSE))</f>
        <v>0</v>
      </c>
      <c r="S39" s="4">
        <f>(VLOOKUP('19.12'!AA39,'19.12'!$AO$4:$AQ$55,3,FALSE))</f>
        <v>0</v>
      </c>
      <c r="T39" s="4">
        <f>(VLOOKUP('19.12'!AB39,'19.12'!$AO$4:$AQ$55,3,FALSE))</f>
        <v>0</v>
      </c>
      <c r="U39" s="4">
        <f>(VLOOKUP('19.12'!AC39,'19.12'!$AO$4:$AQ$55,3,FALSE))</f>
        <v>0</v>
      </c>
      <c r="V39" s="4">
        <f>(VLOOKUP('19.12'!AD39,'19.12'!$AO$4:$AQ$55,3,FALSE))</f>
        <v>0</v>
      </c>
      <c r="W39" s="13">
        <f>(VLOOKUP('19.12'!AE39,'19.12'!$AO$4:$AQ$55,3,FALSE))</f>
        <v>0</v>
      </c>
      <c r="X39" s="13">
        <f>(VLOOKUP('19.12'!AF39,'19.12'!$AO$4:$AQ$55,3,FALSE))</f>
        <v>0</v>
      </c>
    </row>
    <row r="40" spans="1:24">
      <c r="A40" s="4">
        <f>(VLOOKUP('19.12'!I40,'19.12'!$AO$4:$AQ$55,3,FALSE))</f>
        <v>40</v>
      </c>
      <c r="B40" s="4">
        <f>(VLOOKUP('19.12'!J40,'19.12'!$AO$4:$AQ$55,3,FALSE))</f>
        <v>40</v>
      </c>
      <c r="C40" s="4">
        <f>(VLOOKUP('19.12'!K40,'19.12'!$AO$4:$AQ$55,3,FALSE))</f>
        <v>30</v>
      </c>
      <c r="D40" s="4">
        <f>(VLOOKUP('19.12'!L40,'19.12'!$AO$4:$AQ$55,3,FALSE))</f>
        <v>40</v>
      </c>
      <c r="E40" s="4">
        <f>(VLOOKUP('19.12'!M40,'19.12'!$AO$4:$AQ$55,3,FALSE))</f>
        <v>40</v>
      </c>
      <c r="F40" s="4">
        <f>(VLOOKUP('19.12'!N40,'19.12'!$AO$4:$AQ$55,3,FALSE))</f>
        <v>0</v>
      </c>
      <c r="G40" s="13">
        <f>(VLOOKUP('19.12'!O40,'19.12'!$AO$4:$AQ$55,3,FALSE))</f>
        <v>30</v>
      </c>
      <c r="H40" s="13">
        <f>(VLOOKUP('19.12'!P40,'19.12'!$AO$4:$AQ$55,3,FALSE))</f>
        <v>0</v>
      </c>
      <c r="I40" s="4">
        <f>(VLOOKUP('19.12'!Q40,'19.12'!$AO$4:$AQ$55,3,FALSE))</f>
        <v>0</v>
      </c>
      <c r="J40" s="4">
        <f>(VLOOKUP('19.12'!R40,'19.12'!$AO$4:$AQ$55,3,FALSE))</f>
        <v>0</v>
      </c>
      <c r="K40" s="4">
        <f>(VLOOKUP('19.12'!S40,'19.12'!$AO$4:$AQ$55,3,FALSE))</f>
        <v>0</v>
      </c>
      <c r="L40" s="4">
        <f>(VLOOKUP('19.12'!T40,'19.12'!$AO$4:$AQ$55,3,FALSE))</f>
        <v>0</v>
      </c>
      <c r="M40" s="4">
        <f>(VLOOKUP('19.12'!U40,'19.12'!$AO$4:$AQ$55,3,FALSE))</f>
        <v>0</v>
      </c>
      <c r="N40" s="4">
        <f>(VLOOKUP('19.12'!V40,'19.12'!$AO$4:$AQ$55,3,FALSE))</f>
        <v>0</v>
      </c>
      <c r="O40" s="13">
        <f>(VLOOKUP('19.12'!W40,'19.12'!$AO$4:$AQ$55,3,FALSE))</f>
        <v>0</v>
      </c>
      <c r="P40" s="13">
        <f>(VLOOKUP('19.12'!X40,'19.12'!$AO$4:$AQ$55,3,FALSE))</f>
        <v>0</v>
      </c>
      <c r="Q40" s="4">
        <f>(VLOOKUP('19.12'!Y40,'19.12'!$AO$4:$AQ$55,3,FALSE))</f>
        <v>0</v>
      </c>
      <c r="R40" s="4">
        <f>(VLOOKUP('19.12'!Z40,'19.12'!$AO$4:$AQ$55,3,FALSE))</f>
        <v>0</v>
      </c>
      <c r="S40" s="4">
        <f>(VLOOKUP('19.12'!AA40,'19.12'!$AO$4:$AQ$55,3,FALSE))</f>
        <v>0</v>
      </c>
      <c r="T40" s="4">
        <f>(VLOOKUP('19.12'!AB40,'19.12'!$AO$4:$AQ$55,3,FALSE))</f>
        <v>0</v>
      </c>
      <c r="U40" s="4">
        <f>(VLOOKUP('19.12'!AC40,'19.12'!$AO$4:$AQ$55,3,FALSE))</f>
        <v>0</v>
      </c>
      <c r="V40" s="4">
        <f>(VLOOKUP('19.12'!AD40,'19.12'!$AO$4:$AQ$55,3,FALSE))</f>
        <v>0</v>
      </c>
      <c r="W40" s="13">
        <f>(VLOOKUP('19.12'!AE40,'19.12'!$AO$4:$AQ$55,3,FALSE))</f>
        <v>0</v>
      </c>
      <c r="X40" s="13">
        <f>(VLOOKUP('19.12'!AF40,'19.12'!$AO$4:$AQ$55,3,FALSE))</f>
        <v>0</v>
      </c>
    </row>
    <row r="41" spans="1:24">
      <c r="A41" s="4">
        <f>(VLOOKUP('19.12'!I41,'19.12'!$AO$4:$AQ$55,3,FALSE))</f>
        <v>0</v>
      </c>
      <c r="B41" s="4">
        <f>(VLOOKUP('19.12'!J41,'19.12'!$AO$4:$AQ$55,3,FALSE))</f>
        <v>0</v>
      </c>
      <c r="C41" s="4">
        <f>(VLOOKUP('19.12'!K41,'19.12'!$AO$4:$AQ$55,3,FALSE))</f>
        <v>0</v>
      </c>
      <c r="D41" s="4">
        <f>(VLOOKUP('19.12'!L41,'19.12'!$AO$4:$AQ$55,3,FALSE))</f>
        <v>0</v>
      </c>
      <c r="E41" s="4">
        <f>(VLOOKUP('19.12'!M41,'19.12'!$AO$4:$AQ$55,3,FALSE))</f>
        <v>0</v>
      </c>
      <c r="F41" s="4">
        <f>(VLOOKUP('19.12'!N41,'19.12'!$AO$4:$AQ$55,3,FALSE))</f>
        <v>0</v>
      </c>
      <c r="G41" s="13">
        <f>(VLOOKUP('19.12'!O41,'19.12'!$AO$4:$AQ$55,3,FALSE))</f>
        <v>0</v>
      </c>
      <c r="H41" s="13">
        <f>(VLOOKUP('19.12'!P41,'19.12'!$AO$4:$AQ$55,3,FALSE))</f>
        <v>0</v>
      </c>
      <c r="I41" s="4">
        <f>(VLOOKUP('19.12'!Q41,'19.12'!$AO$4:$AQ$55,3,FALSE))</f>
        <v>0</v>
      </c>
      <c r="J41" s="4">
        <f>(VLOOKUP('19.12'!R41,'19.12'!$AO$4:$AQ$55,3,FALSE))</f>
        <v>0</v>
      </c>
      <c r="K41" s="4">
        <f>(VLOOKUP('19.12'!S41,'19.12'!$AO$4:$AQ$55,3,FALSE))</f>
        <v>0</v>
      </c>
      <c r="L41" s="4">
        <f>(VLOOKUP('19.12'!T41,'19.12'!$AO$4:$AQ$55,3,FALSE))</f>
        <v>0</v>
      </c>
      <c r="M41" s="4">
        <f>(VLOOKUP('19.12'!U41,'19.12'!$AO$4:$AQ$55,3,FALSE))</f>
        <v>0</v>
      </c>
      <c r="N41" s="4">
        <f>(VLOOKUP('19.12'!V41,'19.12'!$AO$4:$AQ$55,3,FALSE))</f>
        <v>0</v>
      </c>
      <c r="O41" s="13">
        <f>(VLOOKUP('19.12'!W41,'19.12'!$AO$4:$AQ$55,3,FALSE))</f>
        <v>0</v>
      </c>
      <c r="P41" s="13">
        <f>(VLOOKUP('19.12'!X41,'19.12'!$AO$4:$AQ$55,3,FALSE))</f>
        <v>0</v>
      </c>
      <c r="Q41" s="4">
        <f>(VLOOKUP('19.12'!Y41,'19.12'!$AO$4:$AQ$55,3,FALSE))</f>
        <v>0</v>
      </c>
      <c r="R41" s="4">
        <f>(VLOOKUP('19.12'!Z41,'19.12'!$AO$4:$AQ$55,3,FALSE))</f>
        <v>0</v>
      </c>
      <c r="S41" s="4">
        <f>(VLOOKUP('19.12'!AA41,'19.12'!$AO$4:$AQ$55,3,FALSE))</f>
        <v>0</v>
      </c>
      <c r="T41" s="4">
        <f>(VLOOKUP('19.12'!AB41,'19.12'!$AO$4:$AQ$55,3,FALSE))</f>
        <v>0</v>
      </c>
      <c r="U41" s="4">
        <f>(VLOOKUP('19.12'!AC41,'19.12'!$AO$4:$AQ$55,3,FALSE))</f>
        <v>0</v>
      </c>
      <c r="V41" s="4">
        <f>(VLOOKUP('19.12'!AD41,'19.12'!$AO$4:$AQ$55,3,FALSE))</f>
        <v>0</v>
      </c>
      <c r="W41" s="13">
        <f>(VLOOKUP('19.12'!AE41,'19.12'!$AO$4:$AQ$55,3,FALSE))</f>
        <v>0</v>
      </c>
      <c r="X41" s="13">
        <f>(VLOOKUP('19.12'!AF41,'19.12'!$AO$4:$AQ$55,3,FALSE))</f>
        <v>0</v>
      </c>
    </row>
    <row r="42" spans="1:24">
      <c r="A42" s="4">
        <f>(VLOOKUP('19.12'!I42,'19.12'!$AO$4:$AQ$55,3,FALSE))</f>
        <v>0</v>
      </c>
      <c r="B42" s="4">
        <f>(VLOOKUP('19.12'!J42,'19.12'!$AO$4:$AQ$55,3,FALSE))</f>
        <v>0</v>
      </c>
      <c r="C42" s="4">
        <f>(VLOOKUP('19.12'!K42,'19.12'!$AO$4:$AQ$55,3,FALSE))</f>
        <v>0</v>
      </c>
      <c r="D42" s="4">
        <f>(VLOOKUP('19.12'!L42,'19.12'!$AO$4:$AQ$55,3,FALSE))</f>
        <v>0</v>
      </c>
      <c r="E42" s="4">
        <f>(VLOOKUP('19.12'!M42,'19.12'!$AO$4:$AQ$55,3,FALSE))</f>
        <v>0</v>
      </c>
      <c r="F42" s="4">
        <f>(VLOOKUP('19.12'!N42,'19.12'!$AO$4:$AQ$55,3,FALSE))</f>
        <v>0</v>
      </c>
      <c r="G42" s="13">
        <f>(VLOOKUP('19.12'!O42,'19.12'!$AO$4:$AQ$55,3,FALSE))</f>
        <v>0</v>
      </c>
      <c r="H42" s="13">
        <f>(VLOOKUP('19.12'!P42,'19.12'!$AO$4:$AQ$55,3,FALSE))</f>
        <v>0</v>
      </c>
      <c r="I42" s="4">
        <f>(VLOOKUP('19.12'!Q42,'19.12'!$AO$4:$AQ$55,3,FALSE))</f>
        <v>0</v>
      </c>
      <c r="J42" s="4">
        <f>(VLOOKUP('19.12'!R42,'19.12'!$AO$4:$AQ$55,3,FALSE))</f>
        <v>0</v>
      </c>
      <c r="K42" s="4">
        <f>(VLOOKUP('19.12'!S42,'19.12'!$AO$4:$AQ$55,3,FALSE))</f>
        <v>0</v>
      </c>
      <c r="L42" s="4">
        <f>(VLOOKUP('19.12'!T42,'19.12'!$AO$4:$AQ$55,3,FALSE))</f>
        <v>0</v>
      </c>
      <c r="M42" s="4">
        <f>(VLOOKUP('19.12'!U42,'19.12'!$AO$4:$AQ$55,3,FALSE))</f>
        <v>0</v>
      </c>
      <c r="N42" s="4">
        <f>(VLOOKUP('19.12'!V42,'19.12'!$AO$4:$AQ$55,3,FALSE))</f>
        <v>0</v>
      </c>
      <c r="O42" s="13">
        <f>(VLOOKUP('19.12'!W42,'19.12'!$AO$4:$AQ$55,3,FALSE))</f>
        <v>0</v>
      </c>
      <c r="P42" s="13">
        <f>(VLOOKUP('19.12'!X42,'19.12'!$AO$4:$AQ$55,3,FALSE))</f>
        <v>0</v>
      </c>
      <c r="Q42" s="4">
        <f>(VLOOKUP('19.12'!Y42,'19.12'!$AO$4:$AQ$55,3,FALSE))</f>
        <v>0</v>
      </c>
      <c r="R42" s="4">
        <f>(VLOOKUP('19.12'!Z42,'19.12'!$AO$4:$AQ$55,3,FALSE))</f>
        <v>0</v>
      </c>
      <c r="S42" s="4">
        <f>(VLOOKUP('19.12'!AA42,'19.12'!$AO$4:$AQ$55,3,FALSE))</f>
        <v>0</v>
      </c>
      <c r="T42" s="4">
        <f>(VLOOKUP('19.12'!AB42,'19.12'!$AO$4:$AQ$55,3,FALSE))</f>
        <v>0</v>
      </c>
      <c r="U42" s="4">
        <f>(VLOOKUP('19.12'!AC42,'19.12'!$AO$4:$AQ$55,3,FALSE))</f>
        <v>0</v>
      </c>
      <c r="V42" s="4">
        <f>(VLOOKUP('19.12'!AD42,'19.12'!$AO$4:$AQ$55,3,FALSE))</f>
        <v>0</v>
      </c>
      <c r="W42" s="13">
        <f>(VLOOKUP('19.12'!AE42,'19.12'!$AO$4:$AQ$55,3,FALSE))</f>
        <v>0</v>
      </c>
      <c r="X42" s="13">
        <f>(VLOOKUP('19.12'!AF42,'19.12'!$AO$4:$AQ$55,3,FALSE))</f>
        <v>0</v>
      </c>
    </row>
    <row r="43" spans="1:24">
      <c r="A43" s="4">
        <f>(VLOOKUP('19.12'!I43,'19.12'!$AO$4:$AQ$55,3,FALSE))</f>
        <v>0</v>
      </c>
      <c r="B43" s="4">
        <f>(VLOOKUP('19.12'!J43,'19.12'!$AO$4:$AQ$55,3,FALSE))</f>
        <v>0</v>
      </c>
      <c r="C43" s="4">
        <f>(VLOOKUP('19.12'!K43,'19.12'!$AO$4:$AQ$55,3,FALSE))</f>
        <v>0</v>
      </c>
      <c r="D43" s="4">
        <f>(VLOOKUP('19.12'!L43,'19.12'!$AO$4:$AQ$55,3,FALSE))</f>
        <v>0</v>
      </c>
      <c r="E43" s="4">
        <f>(VLOOKUP('19.12'!M43,'19.12'!$AO$4:$AQ$55,3,FALSE))</f>
        <v>0</v>
      </c>
      <c r="F43" s="4">
        <f>(VLOOKUP('19.12'!N43,'19.12'!$AO$4:$AQ$55,3,FALSE))</f>
        <v>0</v>
      </c>
      <c r="G43" s="13">
        <f>(VLOOKUP('19.12'!O43,'19.12'!$AO$4:$AQ$55,3,FALSE))</f>
        <v>0</v>
      </c>
      <c r="H43" s="13">
        <f>(VLOOKUP('19.12'!P43,'19.12'!$AO$4:$AQ$55,3,FALSE))</f>
        <v>0</v>
      </c>
      <c r="I43" s="4">
        <f>(VLOOKUP('19.12'!Q43,'19.12'!$AO$4:$AQ$55,3,FALSE))</f>
        <v>0</v>
      </c>
      <c r="J43" s="4">
        <f>(VLOOKUP('19.12'!R43,'19.12'!$AO$4:$AQ$55,3,FALSE))</f>
        <v>0</v>
      </c>
      <c r="K43" s="4">
        <f>(VLOOKUP('19.12'!S43,'19.12'!$AO$4:$AQ$55,3,FALSE))</f>
        <v>0</v>
      </c>
      <c r="L43" s="4">
        <f>(VLOOKUP('19.12'!T43,'19.12'!$AO$4:$AQ$55,3,FALSE))</f>
        <v>0</v>
      </c>
      <c r="M43" s="4">
        <f>(VLOOKUP('19.12'!U43,'19.12'!$AO$4:$AQ$55,3,FALSE))</f>
        <v>0</v>
      </c>
      <c r="N43" s="4">
        <f>(VLOOKUP('19.12'!V43,'19.12'!$AO$4:$AQ$55,3,FALSE))</f>
        <v>0</v>
      </c>
      <c r="O43" s="13">
        <f>(VLOOKUP('19.12'!W43,'19.12'!$AO$4:$AQ$55,3,FALSE))</f>
        <v>0</v>
      </c>
      <c r="P43" s="13">
        <f>(VLOOKUP('19.12'!X43,'19.12'!$AO$4:$AQ$55,3,FALSE))</f>
        <v>0</v>
      </c>
      <c r="Q43" s="4">
        <f>(VLOOKUP('19.12'!Y43,'19.12'!$AO$4:$AQ$55,3,FALSE))</f>
        <v>0</v>
      </c>
      <c r="R43" s="4">
        <f>(VLOOKUP('19.12'!Z43,'19.12'!$AO$4:$AQ$55,3,FALSE))</f>
        <v>0</v>
      </c>
      <c r="S43" s="4">
        <f>(VLOOKUP('19.12'!AA43,'19.12'!$AO$4:$AQ$55,3,FALSE))</f>
        <v>0</v>
      </c>
      <c r="T43" s="4">
        <f>(VLOOKUP('19.12'!AB43,'19.12'!$AO$4:$AQ$55,3,FALSE))</f>
        <v>0</v>
      </c>
      <c r="U43" s="4">
        <f>(VLOOKUP('19.12'!AC43,'19.12'!$AO$4:$AQ$55,3,FALSE))</f>
        <v>0</v>
      </c>
      <c r="V43" s="4">
        <f>(VLOOKUP('19.12'!AD43,'19.12'!$AO$4:$AQ$55,3,FALSE))</f>
        <v>0</v>
      </c>
      <c r="W43" s="13">
        <f>(VLOOKUP('19.12'!AE43,'19.12'!$AO$4:$AQ$55,3,FALSE))</f>
        <v>0</v>
      </c>
      <c r="X43" s="13">
        <f>(VLOOKUP('19.12'!AF43,'19.12'!$AO$4:$AQ$55,3,FALSE))</f>
        <v>0</v>
      </c>
    </row>
    <row r="44" spans="1:24">
      <c r="A44" s="4">
        <f>(VLOOKUP('19.12'!I44,'19.12'!$AO$4:$AQ$55,3,FALSE))</f>
        <v>0</v>
      </c>
      <c r="B44" s="4">
        <f>(VLOOKUP('19.12'!J44,'19.12'!$AO$4:$AQ$55,3,FALSE))</f>
        <v>0</v>
      </c>
      <c r="C44" s="4">
        <f>(VLOOKUP('19.12'!K44,'19.12'!$AO$4:$AQ$55,3,FALSE))</f>
        <v>0</v>
      </c>
      <c r="D44" s="4">
        <f>(VLOOKUP('19.12'!L44,'19.12'!$AO$4:$AQ$55,3,FALSE))</f>
        <v>0</v>
      </c>
      <c r="E44" s="4">
        <f>(VLOOKUP('19.12'!M44,'19.12'!$AO$4:$AQ$55,3,FALSE))</f>
        <v>0</v>
      </c>
      <c r="F44" s="4">
        <f>(VLOOKUP('19.12'!N44,'19.12'!$AO$4:$AQ$55,3,FALSE))</f>
        <v>0</v>
      </c>
      <c r="G44" s="13">
        <f>(VLOOKUP('19.12'!O44,'19.12'!$AO$4:$AQ$55,3,FALSE))</f>
        <v>0</v>
      </c>
      <c r="H44" s="13">
        <f>(VLOOKUP('19.12'!P44,'19.12'!$AO$4:$AQ$55,3,FALSE))</f>
        <v>0</v>
      </c>
      <c r="I44" s="4">
        <f>(VLOOKUP('19.12'!Q44,'19.12'!$AO$4:$AQ$55,3,FALSE))</f>
        <v>0</v>
      </c>
      <c r="J44" s="4">
        <f>(VLOOKUP('19.12'!R44,'19.12'!$AO$4:$AQ$55,3,FALSE))</f>
        <v>0</v>
      </c>
      <c r="K44" s="4">
        <f>(VLOOKUP('19.12'!S44,'19.12'!$AO$4:$AQ$55,3,FALSE))</f>
        <v>0</v>
      </c>
      <c r="L44" s="4">
        <f>(VLOOKUP('19.12'!T44,'19.12'!$AO$4:$AQ$55,3,FALSE))</f>
        <v>0</v>
      </c>
      <c r="M44" s="4">
        <f>(VLOOKUP('19.12'!U44,'19.12'!$AO$4:$AQ$55,3,FALSE))</f>
        <v>0</v>
      </c>
      <c r="N44" s="4">
        <f>(VLOOKUP('19.12'!V44,'19.12'!$AO$4:$AQ$55,3,FALSE))</f>
        <v>0</v>
      </c>
      <c r="O44" s="13">
        <f>(VLOOKUP('19.12'!W44,'19.12'!$AO$4:$AQ$55,3,FALSE))</f>
        <v>0</v>
      </c>
      <c r="P44" s="13">
        <f>(VLOOKUP('19.12'!X44,'19.12'!$AO$4:$AQ$55,3,FALSE))</f>
        <v>0</v>
      </c>
      <c r="Q44" s="4">
        <f>(VLOOKUP('19.12'!Y44,'19.12'!$AO$4:$AQ$55,3,FALSE))</f>
        <v>0</v>
      </c>
      <c r="R44" s="4">
        <f>(VLOOKUP('19.12'!Z44,'19.12'!$AO$4:$AQ$55,3,FALSE))</f>
        <v>0</v>
      </c>
      <c r="S44" s="4">
        <f>(VLOOKUP('19.12'!AA44,'19.12'!$AO$4:$AQ$55,3,FALSE))</f>
        <v>0</v>
      </c>
      <c r="T44" s="4">
        <f>(VLOOKUP('19.12'!AB44,'19.12'!$AO$4:$AQ$55,3,FALSE))</f>
        <v>0</v>
      </c>
      <c r="U44" s="4">
        <f>(VLOOKUP('19.12'!AC44,'19.12'!$AO$4:$AQ$55,3,FALSE))</f>
        <v>0</v>
      </c>
      <c r="V44" s="4">
        <f>(VLOOKUP('19.12'!AD44,'19.12'!$AO$4:$AQ$55,3,FALSE))</f>
        <v>0</v>
      </c>
      <c r="W44" s="13">
        <f>(VLOOKUP('19.12'!AE44,'19.12'!$AO$4:$AQ$55,3,FALSE))</f>
        <v>0</v>
      </c>
      <c r="X44" s="13">
        <f>(VLOOKUP('19.12'!AF44,'19.12'!$AO$4:$AQ$55,3,FALSE))</f>
        <v>0</v>
      </c>
    </row>
    <row r="45" spans="1:24">
      <c r="A45" s="4">
        <f>(VLOOKUP('19.12'!I45,'19.12'!$AO$4:$AQ$55,3,FALSE))</f>
        <v>0</v>
      </c>
      <c r="B45" s="4">
        <f>(VLOOKUP('19.12'!J45,'19.12'!$AO$4:$AQ$55,3,FALSE))</f>
        <v>0</v>
      </c>
      <c r="C45" s="4">
        <f>(VLOOKUP('19.12'!K45,'19.12'!$AO$4:$AQ$55,3,FALSE))</f>
        <v>0</v>
      </c>
      <c r="D45" s="4">
        <f>(VLOOKUP('19.12'!L45,'19.12'!$AO$4:$AQ$55,3,FALSE))</f>
        <v>0</v>
      </c>
      <c r="E45" s="4">
        <f>(VLOOKUP('19.12'!M45,'19.12'!$AO$4:$AQ$55,3,FALSE))</f>
        <v>0</v>
      </c>
      <c r="F45" s="4">
        <f>(VLOOKUP('19.12'!N45,'19.12'!$AO$4:$AQ$55,3,FALSE))</f>
        <v>0</v>
      </c>
      <c r="G45" s="13">
        <f>(VLOOKUP('19.12'!O45,'19.12'!$AO$4:$AQ$55,3,FALSE))</f>
        <v>0</v>
      </c>
      <c r="H45" s="13">
        <f>(VLOOKUP('19.12'!P45,'19.12'!$AO$4:$AQ$55,3,FALSE))</f>
        <v>0</v>
      </c>
      <c r="I45" s="4">
        <f>(VLOOKUP('19.12'!Q45,'19.12'!$AO$4:$AQ$55,3,FALSE))</f>
        <v>0</v>
      </c>
      <c r="J45" s="4">
        <f>(VLOOKUP('19.12'!R45,'19.12'!$AO$4:$AQ$55,3,FALSE))</f>
        <v>0</v>
      </c>
      <c r="K45" s="4">
        <f>(VLOOKUP('19.12'!S45,'19.12'!$AO$4:$AQ$55,3,FALSE))</f>
        <v>0</v>
      </c>
      <c r="L45" s="4">
        <f>(VLOOKUP('19.12'!T45,'19.12'!$AO$4:$AQ$55,3,FALSE))</f>
        <v>0</v>
      </c>
      <c r="M45" s="4">
        <f>(VLOOKUP('19.12'!U45,'19.12'!$AO$4:$AQ$55,3,FALSE))</f>
        <v>0</v>
      </c>
      <c r="N45" s="4">
        <f>(VLOOKUP('19.12'!V45,'19.12'!$AO$4:$AQ$55,3,FALSE))</f>
        <v>0</v>
      </c>
      <c r="O45" s="13">
        <f>(VLOOKUP('19.12'!W45,'19.12'!$AO$4:$AQ$55,3,FALSE))</f>
        <v>0</v>
      </c>
      <c r="P45" s="13">
        <f>(VLOOKUP('19.12'!X45,'19.12'!$AO$4:$AQ$55,3,FALSE))</f>
        <v>0</v>
      </c>
      <c r="Q45" s="4">
        <f>(VLOOKUP('19.12'!Y45,'19.12'!$AO$4:$AQ$55,3,FALSE))</f>
        <v>0</v>
      </c>
      <c r="R45" s="4">
        <f>(VLOOKUP('19.12'!Z45,'19.12'!$AO$4:$AQ$55,3,FALSE))</f>
        <v>0</v>
      </c>
      <c r="S45" s="4">
        <f>(VLOOKUP('19.12'!AA45,'19.12'!$AO$4:$AQ$55,3,FALSE))</f>
        <v>0</v>
      </c>
      <c r="T45" s="4">
        <f>(VLOOKUP('19.12'!AB45,'19.12'!$AO$4:$AQ$55,3,FALSE))</f>
        <v>0</v>
      </c>
      <c r="U45" s="4">
        <f>(VLOOKUP('19.12'!AC45,'19.12'!$AO$4:$AQ$55,3,FALSE))</f>
        <v>0</v>
      </c>
      <c r="V45" s="4">
        <f>(VLOOKUP('19.12'!AD45,'19.12'!$AO$4:$AQ$55,3,FALSE))</f>
        <v>0</v>
      </c>
      <c r="W45" s="13">
        <f>(VLOOKUP('19.12'!AE45,'19.12'!$AO$4:$AQ$55,3,FALSE))</f>
        <v>0</v>
      </c>
      <c r="X45" s="13">
        <f>(VLOOKUP('19.12'!AF45,'19.12'!$AO$4:$AQ$55,3,FALSE))</f>
        <v>0</v>
      </c>
    </row>
    <row r="46" spans="1:24">
      <c r="A46" s="4">
        <f>(VLOOKUP('19.12'!I46,'19.12'!$AO$4:$AQ$55,3,FALSE))</f>
        <v>0</v>
      </c>
      <c r="B46" s="4">
        <f>(VLOOKUP('19.12'!J46,'19.12'!$AO$4:$AQ$55,3,FALSE))</f>
        <v>0</v>
      </c>
      <c r="C46" s="4">
        <f>(VLOOKUP('19.12'!K46,'19.12'!$AO$4:$AQ$55,3,FALSE))</f>
        <v>0</v>
      </c>
      <c r="D46" s="4">
        <f>(VLOOKUP('19.12'!L46,'19.12'!$AO$4:$AQ$55,3,FALSE))</f>
        <v>0</v>
      </c>
      <c r="E46" s="4">
        <f>(VLOOKUP('19.12'!M46,'19.12'!$AO$4:$AQ$55,3,FALSE))</f>
        <v>0</v>
      </c>
      <c r="F46" s="4">
        <f>(VLOOKUP('19.12'!N46,'19.12'!$AO$4:$AQ$55,3,FALSE))</f>
        <v>0</v>
      </c>
      <c r="G46" s="13">
        <f>(VLOOKUP('19.12'!O46,'19.12'!$AO$4:$AQ$55,3,FALSE))</f>
        <v>0</v>
      </c>
      <c r="H46" s="13">
        <f>(VLOOKUP('19.12'!P46,'19.12'!$AO$4:$AQ$55,3,FALSE))</f>
        <v>0</v>
      </c>
      <c r="I46" s="4">
        <f>(VLOOKUP('19.12'!Q46,'19.12'!$AO$4:$AQ$55,3,FALSE))</f>
        <v>0</v>
      </c>
      <c r="J46" s="4">
        <f>(VLOOKUP('19.12'!R46,'19.12'!$AO$4:$AQ$55,3,FALSE))</f>
        <v>0</v>
      </c>
      <c r="K46" s="4">
        <f>(VLOOKUP('19.12'!S46,'19.12'!$AO$4:$AQ$55,3,FALSE))</f>
        <v>0</v>
      </c>
      <c r="L46" s="4">
        <f>(VLOOKUP('19.12'!T46,'19.12'!$AO$4:$AQ$55,3,FALSE))</f>
        <v>0</v>
      </c>
      <c r="M46" s="4">
        <f>(VLOOKUP('19.12'!U46,'19.12'!$AO$4:$AQ$55,3,FALSE))</f>
        <v>0</v>
      </c>
      <c r="N46" s="4">
        <f>(VLOOKUP('19.12'!V46,'19.12'!$AO$4:$AQ$55,3,FALSE))</f>
        <v>0</v>
      </c>
      <c r="O46" s="13">
        <f>(VLOOKUP('19.12'!W46,'19.12'!$AO$4:$AQ$55,3,FALSE))</f>
        <v>0</v>
      </c>
      <c r="P46" s="13">
        <f>(VLOOKUP('19.12'!X46,'19.12'!$AO$4:$AQ$55,3,FALSE))</f>
        <v>0</v>
      </c>
      <c r="Q46" s="4">
        <f>(VLOOKUP('19.12'!Y46,'19.12'!$AO$4:$AQ$55,3,FALSE))</f>
        <v>0</v>
      </c>
      <c r="R46" s="4">
        <f>(VLOOKUP('19.12'!Z46,'19.12'!$AO$4:$AQ$55,3,FALSE))</f>
        <v>0</v>
      </c>
      <c r="S46" s="4">
        <f>(VLOOKUP('19.12'!AA46,'19.12'!$AO$4:$AQ$55,3,FALSE))</f>
        <v>0</v>
      </c>
      <c r="T46" s="4">
        <f>(VLOOKUP('19.12'!AB46,'19.12'!$AO$4:$AQ$55,3,FALSE))</f>
        <v>0</v>
      </c>
      <c r="U46" s="4">
        <f>(VLOOKUP('19.12'!AC46,'19.12'!$AO$4:$AQ$55,3,FALSE))</f>
        <v>0</v>
      </c>
      <c r="V46" s="4">
        <f>(VLOOKUP('19.12'!AD46,'19.12'!$AO$4:$AQ$55,3,FALSE))</f>
        <v>0</v>
      </c>
      <c r="W46" s="13">
        <f>(VLOOKUP('19.12'!AE46,'19.12'!$AO$4:$AQ$55,3,FALSE))</f>
        <v>0</v>
      </c>
      <c r="X46" s="13">
        <f>(VLOOKUP('19.12'!AF46,'19.12'!$AO$4:$AQ$55,3,FALSE))</f>
        <v>0</v>
      </c>
    </row>
    <row r="47" spans="1:24">
      <c r="A47" s="4">
        <f>(VLOOKUP('19.12'!I47,'19.12'!$AO$4:$AQ$55,3,FALSE))</f>
        <v>0</v>
      </c>
      <c r="B47" s="4">
        <f>(VLOOKUP('19.12'!J47,'19.12'!$AO$4:$AQ$55,3,FALSE))</f>
        <v>0</v>
      </c>
      <c r="C47" s="4">
        <f>(VLOOKUP('19.12'!K47,'19.12'!$AO$4:$AQ$55,3,FALSE))</f>
        <v>0</v>
      </c>
      <c r="D47" s="4">
        <f>(VLOOKUP('19.12'!L47,'19.12'!$AO$4:$AQ$55,3,FALSE))</f>
        <v>0</v>
      </c>
      <c r="E47" s="4">
        <f>(VLOOKUP('19.12'!M47,'19.12'!$AO$4:$AQ$55,3,FALSE))</f>
        <v>0</v>
      </c>
      <c r="F47" s="4">
        <f>(VLOOKUP('19.12'!N47,'19.12'!$AO$4:$AQ$55,3,FALSE))</f>
        <v>0</v>
      </c>
      <c r="G47" s="13">
        <f>(VLOOKUP('19.12'!O47,'19.12'!$AO$4:$AQ$55,3,FALSE))</f>
        <v>0</v>
      </c>
      <c r="H47" s="13">
        <f>(VLOOKUP('19.12'!P47,'19.12'!$AO$4:$AQ$55,3,FALSE))</f>
        <v>0</v>
      </c>
      <c r="I47" s="4">
        <f>(VLOOKUP('19.12'!Q47,'19.12'!$AO$4:$AQ$55,3,FALSE))</f>
        <v>0</v>
      </c>
      <c r="J47" s="4">
        <f>(VLOOKUP('19.12'!R47,'19.12'!$AO$4:$AQ$55,3,FALSE))</f>
        <v>0</v>
      </c>
      <c r="K47" s="4">
        <f>(VLOOKUP('19.12'!S47,'19.12'!$AO$4:$AQ$55,3,FALSE))</f>
        <v>0</v>
      </c>
      <c r="L47" s="4">
        <f>(VLOOKUP('19.12'!T47,'19.12'!$AO$4:$AQ$55,3,FALSE))</f>
        <v>0</v>
      </c>
      <c r="M47" s="4">
        <f>(VLOOKUP('19.12'!U47,'19.12'!$AO$4:$AQ$55,3,FALSE))</f>
        <v>0</v>
      </c>
      <c r="N47" s="4">
        <f>(VLOOKUP('19.12'!V47,'19.12'!$AO$4:$AQ$55,3,FALSE))</f>
        <v>0</v>
      </c>
      <c r="O47" s="13">
        <f>(VLOOKUP('19.12'!W47,'19.12'!$AO$4:$AQ$55,3,FALSE))</f>
        <v>0</v>
      </c>
      <c r="P47" s="13">
        <f>(VLOOKUP('19.12'!X47,'19.12'!$AO$4:$AQ$55,3,FALSE))</f>
        <v>0</v>
      </c>
      <c r="Q47" s="4">
        <f>(VLOOKUP('19.12'!Y47,'19.12'!$AO$4:$AQ$55,3,FALSE))</f>
        <v>0</v>
      </c>
      <c r="R47" s="4">
        <f>(VLOOKUP('19.12'!Z47,'19.12'!$AO$4:$AQ$55,3,FALSE))</f>
        <v>0</v>
      </c>
      <c r="S47" s="4">
        <f>(VLOOKUP('19.12'!AA47,'19.12'!$AO$4:$AQ$55,3,FALSE))</f>
        <v>0</v>
      </c>
      <c r="T47" s="4">
        <f>(VLOOKUP('19.12'!AB47,'19.12'!$AO$4:$AQ$55,3,FALSE))</f>
        <v>0</v>
      </c>
      <c r="U47" s="4">
        <f>(VLOOKUP('19.12'!AC47,'19.12'!$AO$4:$AQ$55,3,FALSE))</f>
        <v>0</v>
      </c>
      <c r="V47" s="4">
        <f>(VLOOKUP('19.12'!AD47,'19.12'!$AO$4:$AQ$55,3,FALSE))</f>
        <v>0</v>
      </c>
      <c r="W47" s="13">
        <f>(VLOOKUP('19.12'!AE47,'19.12'!$AO$4:$AQ$55,3,FALSE))</f>
        <v>0</v>
      </c>
      <c r="X47" s="13">
        <f>(VLOOKUP('19.12'!AF47,'19.12'!$AO$4:$AQ$55,3,FALSE))</f>
        <v>0</v>
      </c>
    </row>
    <row r="48" spans="1:24">
      <c r="A48" s="4">
        <f>(VLOOKUP('19.12'!I48,'19.12'!$AO$4:$AQ$55,3,FALSE))</f>
        <v>0</v>
      </c>
      <c r="B48" s="4">
        <f>(VLOOKUP('19.12'!J48,'19.12'!$AO$4:$AQ$55,3,FALSE))</f>
        <v>0</v>
      </c>
      <c r="C48" s="4">
        <f>(VLOOKUP('19.12'!K48,'19.12'!$AO$4:$AQ$55,3,FALSE))</f>
        <v>0</v>
      </c>
      <c r="D48" s="4">
        <f>(VLOOKUP('19.12'!L48,'19.12'!$AO$4:$AQ$55,3,FALSE))</f>
        <v>0</v>
      </c>
      <c r="E48" s="4">
        <f>(VLOOKUP('19.12'!M48,'19.12'!$AO$4:$AQ$55,3,FALSE))</f>
        <v>0</v>
      </c>
      <c r="F48" s="4">
        <f>(VLOOKUP('19.12'!N48,'19.12'!$AO$4:$AQ$55,3,FALSE))</f>
        <v>0</v>
      </c>
      <c r="G48" s="13">
        <f>(VLOOKUP('19.12'!O48,'19.12'!$AO$4:$AQ$55,3,FALSE))</f>
        <v>0</v>
      </c>
      <c r="H48" s="13">
        <f>(VLOOKUP('19.12'!P48,'19.12'!$AO$4:$AQ$55,3,FALSE))</f>
        <v>0</v>
      </c>
      <c r="I48" s="4">
        <f>(VLOOKUP('19.12'!Q48,'19.12'!$AO$4:$AQ$55,3,FALSE))</f>
        <v>0</v>
      </c>
      <c r="J48" s="4">
        <f>(VLOOKUP('19.12'!R48,'19.12'!$AO$4:$AQ$55,3,FALSE))</f>
        <v>0</v>
      </c>
      <c r="K48" s="4">
        <f>(VLOOKUP('19.12'!S48,'19.12'!$AO$4:$AQ$55,3,FALSE))</f>
        <v>0</v>
      </c>
      <c r="L48" s="4">
        <f>(VLOOKUP('19.12'!T48,'19.12'!$AO$4:$AQ$55,3,FALSE))</f>
        <v>0</v>
      </c>
      <c r="M48" s="4">
        <f>(VLOOKUP('19.12'!U48,'19.12'!$AO$4:$AQ$55,3,FALSE))</f>
        <v>0</v>
      </c>
      <c r="N48" s="4">
        <f>(VLOOKUP('19.12'!V48,'19.12'!$AO$4:$AQ$55,3,FALSE))</f>
        <v>0</v>
      </c>
      <c r="O48" s="13">
        <f>(VLOOKUP('19.12'!W48,'19.12'!$AO$4:$AQ$55,3,FALSE))</f>
        <v>0</v>
      </c>
      <c r="P48" s="13">
        <f>(VLOOKUP('19.12'!X48,'19.12'!$AO$4:$AQ$55,3,FALSE))</f>
        <v>0</v>
      </c>
      <c r="Q48" s="4">
        <f>(VLOOKUP('19.12'!Y48,'19.12'!$AO$4:$AQ$55,3,FALSE))</f>
        <v>0</v>
      </c>
      <c r="R48" s="4">
        <f>(VLOOKUP('19.12'!Z48,'19.12'!$AO$4:$AQ$55,3,FALSE))</f>
        <v>0</v>
      </c>
      <c r="S48" s="4">
        <f>(VLOOKUP('19.12'!AA48,'19.12'!$AO$4:$AQ$55,3,FALSE))</f>
        <v>0</v>
      </c>
      <c r="T48" s="4">
        <f>(VLOOKUP('19.12'!AB48,'19.12'!$AO$4:$AQ$55,3,FALSE))</f>
        <v>0</v>
      </c>
      <c r="U48" s="4">
        <f>(VLOOKUP('19.12'!AC48,'19.12'!$AO$4:$AQ$55,3,FALSE))</f>
        <v>0</v>
      </c>
      <c r="V48" s="4">
        <f>(VLOOKUP('19.12'!AD48,'19.12'!$AO$4:$AQ$55,3,FALSE))</f>
        <v>0</v>
      </c>
      <c r="W48" s="13">
        <f>(VLOOKUP('19.12'!AE48,'19.12'!$AO$4:$AQ$55,3,FALSE))</f>
        <v>0</v>
      </c>
      <c r="X48" s="13">
        <f>(VLOOKUP('19.12'!AF48,'19.12'!$AO$4:$AQ$55,3,FALSE))</f>
        <v>0</v>
      </c>
    </row>
    <row r="49" spans="1:24">
      <c r="A49" s="4">
        <f>(VLOOKUP('19.12'!I49,'19.12'!$AO$4:$AQ$55,3,FALSE))</f>
        <v>0</v>
      </c>
      <c r="B49" s="4">
        <f>(VLOOKUP('19.12'!J49,'19.12'!$AO$4:$AQ$55,3,FALSE))</f>
        <v>0</v>
      </c>
      <c r="C49" s="4">
        <f>(VLOOKUP('19.12'!K49,'19.12'!$AO$4:$AQ$55,3,FALSE))</f>
        <v>0</v>
      </c>
      <c r="D49" s="4">
        <f>(VLOOKUP('19.12'!L49,'19.12'!$AO$4:$AQ$55,3,FALSE))</f>
        <v>0</v>
      </c>
      <c r="E49" s="4">
        <f>(VLOOKUP('19.12'!M49,'19.12'!$AO$4:$AQ$55,3,FALSE))</f>
        <v>0</v>
      </c>
      <c r="F49" s="4">
        <f>(VLOOKUP('19.12'!N49,'19.12'!$AO$4:$AQ$55,3,FALSE))</f>
        <v>0</v>
      </c>
      <c r="G49" s="13">
        <f>(VLOOKUP('19.12'!O49,'19.12'!$AO$4:$AQ$55,3,FALSE))</f>
        <v>0</v>
      </c>
      <c r="H49" s="13">
        <f>(VLOOKUP('19.12'!P49,'19.12'!$AO$4:$AQ$55,3,FALSE))</f>
        <v>0</v>
      </c>
      <c r="I49" s="4">
        <f>(VLOOKUP('19.12'!Q49,'19.12'!$AO$4:$AQ$55,3,FALSE))</f>
        <v>0</v>
      </c>
      <c r="J49" s="4">
        <f>(VLOOKUP('19.12'!R49,'19.12'!$AO$4:$AQ$55,3,FALSE))</f>
        <v>0</v>
      </c>
      <c r="K49" s="4">
        <f>(VLOOKUP('19.12'!S49,'19.12'!$AO$4:$AQ$55,3,FALSE))</f>
        <v>0</v>
      </c>
      <c r="L49" s="4">
        <f>(VLOOKUP('19.12'!T49,'19.12'!$AO$4:$AQ$55,3,FALSE))</f>
        <v>0</v>
      </c>
      <c r="M49" s="4">
        <f>(VLOOKUP('19.12'!U49,'19.12'!$AO$4:$AQ$55,3,FALSE))</f>
        <v>0</v>
      </c>
      <c r="N49" s="4">
        <f>(VLOOKUP('19.12'!V49,'19.12'!$AO$4:$AQ$55,3,FALSE))</f>
        <v>0</v>
      </c>
      <c r="O49" s="13">
        <f>(VLOOKUP('19.12'!W49,'19.12'!$AO$4:$AQ$55,3,FALSE))</f>
        <v>0</v>
      </c>
      <c r="P49" s="13">
        <f>(VLOOKUP('19.12'!X49,'19.12'!$AO$4:$AQ$55,3,FALSE))</f>
        <v>0</v>
      </c>
      <c r="Q49" s="4">
        <f>(VLOOKUP('19.12'!Y49,'19.12'!$AO$4:$AQ$55,3,FALSE))</f>
        <v>0</v>
      </c>
      <c r="R49" s="4">
        <f>(VLOOKUP('19.12'!Z49,'19.12'!$AO$4:$AQ$55,3,FALSE))</f>
        <v>0</v>
      </c>
      <c r="S49" s="4">
        <f>(VLOOKUP('19.12'!AA49,'19.12'!$AO$4:$AQ$55,3,FALSE))</f>
        <v>0</v>
      </c>
      <c r="T49" s="4">
        <f>(VLOOKUP('19.12'!AB49,'19.12'!$AO$4:$AQ$55,3,FALSE))</f>
        <v>0</v>
      </c>
      <c r="U49" s="4">
        <f>(VLOOKUP('19.12'!AC49,'19.12'!$AO$4:$AQ$55,3,FALSE))</f>
        <v>0</v>
      </c>
      <c r="V49" s="4">
        <f>(VLOOKUP('19.12'!AD49,'19.12'!$AO$4:$AQ$55,3,FALSE))</f>
        <v>0</v>
      </c>
      <c r="W49" s="13">
        <f>(VLOOKUP('19.12'!AE49,'19.12'!$AO$4:$AQ$55,3,FALSE))</f>
        <v>0</v>
      </c>
      <c r="X49" s="13">
        <f>(VLOOKUP('19.12'!AF49,'19.12'!$AO$4:$AQ$55,3,FALSE))</f>
        <v>0</v>
      </c>
    </row>
    <row r="50" spans="1:24">
      <c r="A50" s="4">
        <f>(VLOOKUP('19.12'!I50,'19.12'!$AO$4:$AQ$55,3,FALSE))</f>
        <v>0</v>
      </c>
      <c r="B50" s="4">
        <f>(VLOOKUP('19.12'!J50,'19.12'!$AO$4:$AQ$55,3,FALSE))</f>
        <v>0</v>
      </c>
      <c r="C50" s="4">
        <f>(VLOOKUP('19.12'!K50,'19.12'!$AO$4:$AQ$55,3,FALSE))</f>
        <v>0</v>
      </c>
      <c r="D50" s="4">
        <f>(VLOOKUP('19.12'!L50,'19.12'!$AO$4:$AQ$55,3,FALSE))</f>
        <v>0</v>
      </c>
      <c r="E50" s="4">
        <f>(VLOOKUP('19.12'!M50,'19.12'!$AO$4:$AQ$55,3,FALSE))</f>
        <v>0</v>
      </c>
      <c r="F50" s="4">
        <f>(VLOOKUP('19.12'!N50,'19.12'!$AO$4:$AQ$55,3,FALSE))</f>
        <v>0</v>
      </c>
      <c r="G50" s="13">
        <f>(VLOOKUP('19.12'!O50,'19.12'!$AO$4:$AQ$55,3,FALSE))</f>
        <v>0</v>
      </c>
      <c r="H50" s="13">
        <f>(VLOOKUP('19.12'!P50,'19.12'!$AO$4:$AQ$55,3,FALSE))</f>
        <v>0</v>
      </c>
      <c r="I50" s="4">
        <f>(VLOOKUP('19.12'!Q50,'19.12'!$AO$4:$AQ$55,3,FALSE))</f>
        <v>0</v>
      </c>
      <c r="J50" s="4">
        <f>(VLOOKUP('19.12'!R50,'19.12'!$AO$4:$AQ$55,3,FALSE))</f>
        <v>0</v>
      </c>
      <c r="K50" s="4">
        <f>(VLOOKUP('19.12'!S50,'19.12'!$AO$4:$AQ$55,3,FALSE))</f>
        <v>0</v>
      </c>
      <c r="L50" s="4">
        <f>(VLOOKUP('19.12'!T50,'19.12'!$AO$4:$AQ$55,3,FALSE))</f>
        <v>0</v>
      </c>
      <c r="M50" s="4">
        <f>(VLOOKUP('19.12'!U50,'19.12'!$AO$4:$AQ$55,3,FALSE))</f>
        <v>0</v>
      </c>
      <c r="N50" s="4">
        <f>(VLOOKUP('19.12'!V50,'19.12'!$AO$4:$AQ$55,3,FALSE))</f>
        <v>0</v>
      </c>
      <c r="O50" s="13">
        <f>(VLOOKUP('19.12'!W50,'19.12'!$AO$4:$AQ$55,3,FALSE))</f>
        <v>0</v>
      </c>
      <c r="P50" s="13">
        <f>(VLOOKUP('19.12'!X50,'19.12'!$AO$4:$AQ$55,3,FALSE))</f>
        <v>0</v>
      </c>
      <c r="Q50" s="4">
        <f>(VLOOKUP('19.12'!Y50,'19.12'!$AO$4:$AQ$55,3,FALSE))</f>
        <v>0</v>
      </c>
      <c r="R50" s="4">
        <f>(VLOOKUP('19.12'!Z50,'19.12'!$AO$4:$AQ$55,3,FALSE))</f>
        <v>0</v>
      </c>
      <c r="S50" s="4">
        <f>(VLOOKUP('19.12'!AA50,'19.12'!$AO$4:$AQ$55,3,FALSE))</f>
        <v>0</v>
      </c>
      <c r="T50" s="4">
        <f>(VLOOKUP('19.12'!AB50,'19.12'!$AO$4:$AQ$55,3,FALSE))</f>
        <v>0</v>
      </c>
      <c r="U50" s="4">
        <f>(VLOOKUP('19.12'!AC50,'19.12'!$AO$4:$AQ$55,3,FALSE))</f>
        <v>0</v>
      </c>
      <c r="V50" s="4">
        <f>(VLOOKUP('19.12'!AD50,'19.12'!$AO$4:$AQ$55,3,FALSE))</f>
        <v>0</v>
      </c>
      <c r="W50" s="13">
        <f>(VLOOKUP('19.12'!AE50,'19.12'!$AO$4:$AQ$55,3,FALSE))</f>
        <v>0</v>
      </c>
      <c r="X50" s="13">
        <f>(VLOOKUP('19.12'!AF50,'19.12'!$AO$4:$AQ$55,3,FALSE))</f>
        <v>0</v>
      </c>
    </row>
    <row r="51" spans="1:24">
      <c r="A51" s="4">
        <f>(VLOOKUP('19.12'!I51,'19.12'!$AO$4:$AQ$55,3,FALSE))</f>
        <v>0</v>
      </c>
      <c r="B51" s="4">
        <f>(VLOOKUP('19.12'!J51,'19.12'!$AO$4:$AQ$55,3,FALSE))</f>
        <v>0</v>
      </c>
      <c r="C51" s="4">
        <f>(VLOOKUP('19.12'!K51,'19.12'!$AO$4:$AQ$55,3,FALSE))</f>
        <v>0</v>
      </c>
      <c r="D51" s="4">
        <f>(VLOOKUP('19.12'!L51,'19.12'!$AO$4:$AQ$55,3,FALSE))</f>
        <v>0</v>
      </c>
      <c r="E51" s="4">
        <f>(VLOOKUP('19.12'!M51,'19.12'!$AO$4:$AQ$55,3,FALSE))</f>
        <v>0</v>
      </c>
      <c r="F51" s="4">
        <f>(VLOOKUP('19.12'!N51,'19.12'!$AO$4:$AQ$55,3,FALSE))</f>
        <v>0</v>
      </c>
      <c r="G51" s="13">
        <f>(VLOOKUP('19.12'!O51,'19.12'!$AO$4:$AQ$55,3,FALSE))</f>
        <v>0</v>
      </c>
      <c r="H51" s="13">
        <f>(VLOOKUP('19.12'!P51,'19.12'!$AO$4:$AQ$55,3,FALSE))</f>
        <v>0</v>
      </c>
      <c r="I51" s="4">
        <f>(VLOOKUP('19.12'!Q51,'19.12'!$AO$4:$AQ$55,3,FALSE))</f>
        <v>0</v>
      </c>
      <c r="J51" s="4">
        <f>(VLOOKUP('19.12'!R51,'19.12'!$AO$4:$AQ$55,3,FALSE))</f>
        <v>0</v>
      </c>
      <c r="K51" s="4">
        <f>(VLOOKUP('19.12'!S51,'19.12'!$AO$4:$AQ$55,3,FALSE))</f>
        <v>0</v>
      </c>
      <c r="L51" s="4">
        <f>(VLOOKUP('19.12'!T51,'19.12'!$AO$4:$AQ$55,3,FALSE))</f>
        <v>0</v>
      </c>
      <c r="M51" s="4">
        <f>(VLOOKUP('19.12'!U51,'19.12'!$AO$4:$AQ$55,3,FALSE))</f>
        <v>0</v>
      </c>
      <c r="N51" s="4">
        <f>(VLOOKUP('19.12'!V51,'19.12'!$AO$4:$AQ$55,3,FALSE))</f>
        <v>0</v>
      </c>
      <c r="O51" s="13">
        <f>(VLOOKUP('19.12'!W51,'19.12'!$AO$4:$AQ$55,3,FALSE))</f>
        <v>0</v>
      </c>
      <c r="P51" s="13">
        <f>(VLOOKUP('19.12'!X51,'19.12'!$AO$4:$AQ$55,3,FALSE))</f>
        <v>0</v>
      </c>
      <c r="Q51" s="4">
        <f>(VLOOKUP('19.12'!Y51,'19.12'!$AO$4:$AQ$55,3,FALSE))</f>
        <v>0</v>
      </c>
      <c r="R51" s="4">
        <f>(VLOOKUP('19.12'!Z51,'19.12'!$AO$4:$AQ$55,3,FALSE))</f>
        <v>0</v>
      </c>
      <c r="S51" s="4">
        <f>(VLOOKUP('19.12'!AA51,'19.12'!$AO$4:$AQ$55,3,FALSE))</f>
        <v>0</v>
      </c>
      <c r="T51" s="4">
        <f>(VLOOKUP('19.12'!AB51,'19.12'!$AO$4:$AQ$55,3,FALSE))</f>
        <v>0</v>
      </c>
      <c r="U51" s="4">
        <f>(VLOOKUP('19.12'!AC51,'19.12'!$AO$4:$AQ$55,3,FALSE))</f>
        <v>0</v>
      </c>
      <c r="V51" s="4">
        <f>(VLOOKUP('19.12'!AD51,'19.12'!$AO$4:$AQ$55,3,FALSE))</f>
        <v>0</v>
      </c>
      <c r="W51" s="13">
        <f>(VLOOKUP('19.12'!AE51,'19.12'!$AO$4:$AQ$55,3,FALSE))</f>
        <v>0</v>
      </c>
      <c r="X51" s="13">
        <f>(VLOOKUP('19.12'!AF51,'19.12'!$AO$4:$AQ$55,3,FALSE))</f>
        <v>0</v>
      </c>
    </row>
    <row r="52" spans="1:24">
      <c r="A52" s="4">
        <f>(VLOOKUP('19.12'!I52,'19.12'!$AO$4:$AQ$55,3,FALSE))</f>
        <v>0</v>
      </c>
      <c r="B52" s="4">
        <f>(VLOOKUP('19.12'!J52,'19.12'!$AO$4:$AQ$55,3,FALSE))</f>
        <v>0</v>
      </c>
      <c r="C52" s="4">
        <f>(VLOOKUP('19.12'!K52,'19.12'!$AO$4:$AQ$55,3,FALSE))</f>
        <v>0</v>
      </c>
      <c r="D52" s="4">
        <f>(VLOOKUP('19.12'!L52,'19.12'!$AO$4:$AQ$55,3,FALSE))</f>
        <v>0</v>
      </c>
      <c r="E52" s="4">
        <f>(VLOOKUP('19.12'!M52,'19.12'!$AO$4:$AQ$55,3,FALSE))</f>
        <v>0</v>
      </c>
      <c r="F52" s="4">
        <f>(VLOOKUP('19.12'!N52,'19.12'!$AO$4:$AQ$55,3,FALSE))</f>
        <v>0</v>
      </c>
      <c r="G52" s="13">
        <f>(VLOOKUP('19.12'!O52,'19.12'!$AO$4:$AQ$55,3,FALSE))</f>
        <v>0</v>
      </c>
      <c r="H52" s="13">
        <f>(VLOOKUP('19.12'!P52,'19.12'!$AO$4:$AQ$55,3,FALSE))</f>
        <v>0</v>
      </c>
      <c r="I52" s="4">
        <f>(VLOOKUP('19.12'!Q52,'19.12'!$AO$4:$AQ$55,3,FALSE))</f>
        <v>0</v>
      </c>
      <c r="J52" s="4">
        <f>(VLOOKUP('19.12'!R52,'19.12'!$AO$4:$AQ$55,3,FALSE))</f>
        <v>0</v>
      </c>
      <c r="K52" s="4">
        <f>(VLOOKUP('19.12'!S52,'19.12'!$AO$4:$AQ$55,3,FALSE))</f>
        <v>0</v>
      </c>
      <c r="L52" s="4">
        <f>(VLOOKUP('19.12'!T52,'19.12'!$AO$4:$AQ$55,3,FALSE))</f>
        <v>0</v>
      </c>
      <c r="M52" s="4">
        <f>(VLOOKUP('19.12'!U52,'19.12'!$AO$4:$AQ$55,3,FALSE))</f>
        <v>0</v>
      </c>
      <c r="N52" s="4">
        <f>(VLOOKUP('19.12'!V52,'19.12'!$AO$4:$AQ$55,3,FALSE))</f>
        <v>0</v>
      </c>
      <c r="O52" s="13">
        <f>(VLOOKUP('19.12'!W52,'19.12'!$AO$4:$AQ$55,3,FALSE))</f>
        <v>0</v>
      </c>
      <c r="P52" s="13">
        <f>(VLOOKUP('19.12'!X52,'19.12'!$AO$4:$AQ$55,3,FALSE))</f>
        <v>0</v>
      </c>
      <c r="Q52" s="4">
        <f>(VLOOKUP('19.12'!Y52,'19.12'!$AO$4:$AQ$55,3,FALSE))</f>
        <v>0</v>
      </c>
      <c r="R52" s="4">
        <f>(VLOOKUP('19.12'!Z52,'19.12'!$AO$4:$AQ$55,3,FALSE))</f>
        <v>0</v>
      </c>
      <c r="S52" s="4">
        <f>(VLOOKUP('19.12'!AA52,'19.12'!$AO$4:$AQ$55,3,FALSE))</f>
        <v>0</v>
      </c>
      <c r="T52" s="4">
        <f>(VLOOKUP('19.12'!AB52,'19.12'!$AO$4:$AQ$55,3,FALSE))</f>
        <v>0</v>
      </c>
      <c r="U52" s="4">
        <f>(VLOOKUP('19.12'!AC52,'19.12'!$AO$4:$AQ$55,3,FALSE))</f>
        <v>0</v>
      </c>
      <c r="V52" s="4">
        <f>(VLOOKUP('19.12'!AD52,'19.12'!$AO$4:$AQ$55,3,FALSE))</f>
        <v>0</v>
      </c>
      <c r="W52" s="13">
        <f>(VLOOKUP('19.12'!AE52,'19.12'!$AO$4:$AQ$55,3,FALSE))</f>
        <v>0</v>
      </c>
      <c r="X52" s="13">
        <f>(VLOOKUP('19.12'!AF52,'19.12'!$AO$4:$AQ$55,3,FALSE))</f>
        <v>0</v>
      </c>
    </row>
    <row r="53" spans="1:24">
      <c r="A53" s="4">
        <f>(VLOOKUP('19.12'!I53,'19.12'!$AO$4:$AQ$55,3,FALSE))</f>
        <v>0</v>
      </c>
      <c r="B53" s="4">
        <f>(VLOOKUP('19.12'!J53,'19.12'!$AO$4:$AQ$55,3,FALSE))</f>
        <v>0</v>
      </c>
      <c r="C53" s="4">
        <f>(VLOOKUP('19.12'!K53,'19.12'!$AO$4:$AQ$55,3,FALSE))</f>
        <v>0</v>
      </c>
      <c r="D53" s="4">
        <f>(VLOOKUP('19.12'!L53,'19.12'!$AO$4:$AQ$55,3,FALSE))</f>
        <v>0</v>
      </c>
      <c r="E53" s="4">
        <f>(VLOOKUP('19.12'!M53,'19.12'!$AO$4:$AQ$55,3,FALSE))</f>
        <v>0</v>
      </c>
      <c r="F53" s="4">
        <f>(VLOOKUP('19.12'!N53,'19.12'!$AO$4:$AQ$55,3,FALSE))</f>
        <v>0</v>
      </c>
      <c r="G53" s="13">
        <f>(VLOOKUP('19.12'!O53,'19.12'!$AO$4:$AQ$55,3,FALSE))</f>
        <v>0</v>
      </c>
      <c r="H53" s="13">
        <f>(VLOOKUP('19.12'!P53,'19.12'!$AO$4:$AQ$55,3,FALSE))</f>
        <v>0</v>
      </c>
      <c r="I53" s="4">
        <f>(VLOOKUP('19.12'!Q53,'19.12'!$AO$4:$AQ$55,3,FALSE))</f>
        <v>0</v>
      </c>
      <c r="J53" s="4">
        <f>(VLOOKUP('19.12'!R53,'19.12'!$AO$4:$AQ$55,3,FALSE))</f>
        <v>0</v>
      </c>
      <c r="K53" s="4">
        <f>(VLOOKUP('19.12'!S53,'19.12'!$AO$4:$AQ$55,3,FALSE))</f>
        <v>0</v>
      </c>
      <c r="L53" s="4">
        <f>(VLOOKUP('19.12'!T53,'19.12'!$AO$4:$AQ$55,3,FALSE))</f>
        <v>0</v>
      </c>
      <c r="M53" s="4">
        <f>(VLOOKUP('19.12'!U53,'19.12'!$AO$4:$AQ$55,3,FALSE))</f>
        <v>0</v>
      </c>
      <c r="N53" s="4">
        <f>(VLOOKUP('19.12'!V53,'19.12'!$AO$4:$AQ$55,3,FALSE))</f>
        <v>0</v>
      </c>
      <c r="O53" s="13">
        <f>(VLOOKUP('19.12'!W53,'19.12'!$AO$4:$AQ$55,3,FALSE))</f>
        <v>0</v>
      </c>
      <c r="P53" s="13">
        <f>(VLOOKUP('19.12'!X53,'19.12'!$AO$4:$AQ$55,3,FALSE))</f>
        <v>0</v>
      </c>
      <c r="Q53" s="4">
        <f>(VLOOKUP('19.12'!Y53,'19.12'!$AO$4:$AQ$55,3,FALSE))</f>
        <v>0</v>
      </c>
      <c r="R53" s="4">
        <f>(VLOOKUP('19.12'!Z53,'19.12'!$AO$4:$AQ$55,3,FALSE))</f>
        <v>0</v>
      </c>
      <c r="S53" s="4">
        <f>(VLOOKUP('19.12'!AA53,'19.12'!$AO$4:$AQ$55,3,FALSE))</f>
        <v>0</v>
      </c>
      <c r="T53" s="4">
        <f>(VLOOKUP('19.12'!AB53,'19.12'!$AO$4:$AQ$55,3,FALSE))</f>
        <v>0</v>
      </c>
      <c r="U53" s="4">
        <f>(VLOOKUP('19.12'!AC53,'19.12'!$AO$4:$AQ$55,3,FALSE))</f>
        <v>0</v>
      </c>
      <c r="V53" s="4">
        <f>(VLOOKUP('19.12'!AD53,'19.12'!$AO$4:$AQ$55,3,FALSE))</f>
        <v>0</v>
      </c>
      <c r="W53" s="13">
        <f>(VLOOKUP('19.12'!AE53,'19.12'!$AO$4:$AQ$55,3,FALSE))</f>
        <v>0</v>
      </c>
      <c r="X53" s="13">
        <f>(VLOOKUP('19.12'!AF53,'19.12'!$AO$4:$AQ$55,3,FALSE))</f>
        <v>0</v>
      </c>
    </row>
    <row r="54" spans="1:24">
      <c r="A54" s="4">
        <f>(VLOOKUP('19.12'!I54,'19.12'!$AO$4:$AQ$55,3,FALSE))</f>
        <v>0</v>
      </c>
      <c r="B54" s="4">
        <f>(VLOOKUP('19.12'!J54,'19.12'!$AO$4:$AQ$55,3,FALSE))</f>
        <v>0</v>
      </c>
      <c r="C54" s="4">
        <f>(VLOOKUP('19.12'!K54,'19.12'!$AO$4:$AQ$55,3,FALSE))</f>
        <v>0</v>
      </c>
      <c r="D54" s="4">
        <f>(VLOOKUP('19.12'!L54,'19.12'!$AO$4:$AQ$55,3,FALSE))</f>
        <v>0</v>
      </c>
      <c r="E54" s="4">
        <f>(VLOOKUP('19.12'!M54,'19.12'!$AO$4:$AQ$55,3,FALSE))</f>
        <v>0</v>
      </c>
      <c r="F54" s="4">
        <f>(VLOOKUP('19.12'!N54,'19.12'!$AO$4:$AQ$55,3,FALSE))</f>
        <v>0</v>
      </c>
      <c r="G54" s="13">
        <f>(VLOOKUP('19.12'!O54,'19.12'!$AO$4:$AQ$55,3,FALSE))</f>
        <v>0</v>
      </c>
      <c r="H54" s="13">
        <f>(VLOOKUP('19.12'!P54,'19.12'!$AO$4:$AQ$55,3,FALSE))</f>
        <v>0</v>
      </c>
      <c r="I54" s="4">
        <f>(VLOOKUP('19.12'!Q54,'19.12'!$AO$4:$AQ$55,3,FALSE))</f>
        <v>0</v>
      </c>
      <c r="J54" s="4">
        <f>(VLOOKUP('19.12'!R54,'19.12'!$AO$4:$AQ$55,3,FALSE))</f>
        <v>0</v>
      </c>
      <c r="K54" s="4">
        <f>(VLOOKUP('19.12'!S54,'19.12'!$AO$4:$AQ$55,3,FALSE))</f>
        <v>0</v>
      </c>
      <c r="L54" s="4">
        <f>(VLOOKUP('19.12'!T54,'19.12'!$AO$4:$AQ$55,3,FALSE))</f>
        <v>0</v>
      </c>
      <c r="M54" s="4">
        <f>(VLOOKUP('19.12'!U54,'19.12'!$AO$4:$AQ$55,3,FALSE))</f>
        <v>0</v>
      </c>
      <c r="N54" s="4">
        <f>(VLOOKUP('19.12'!V54,'19.12'!$AO$4:$AQ$55,3,FALSE))</f>
        <v>0</v>
      </c>
      <c r="O54" s="13">
        <f>(VLOOKUP('19.12'!W54,'19.12'!$AO$4:$AQ$55,3,FALSE))</f>
        <v>0</v>
      </c>
      <c r="P54" s="13">
        <f>(VLOOKUP('19.12'!X54,'19.12'!$AO$4:$AQ$55,3,FALSE))</f>
        <v>0</v>
      </c>
      <c r="Q54" s="4">
        <f>(VLOOKUP('19.12'!Y54,'19.12'!$AO$4:$AQ$55,3,FALSE))</f>
        <v>0</v>
      </c>
      <c r="R54" s="4">
        <f>(VLOOKUP('19.12'!Z54,'19.12'!$AO$4:$AQ$55,3,FALSE))</f>
        <v>0</v>
      </c>
      <c r="S54" s="4">
        <f>(VLOOKUP('19.12'!AA54,'19.12'!$AO$4:$AQ$55,3,FALSE))</f>
        <v>0</v>
      </c>
      <c r="T54" s="4">
        <f>(VLOOKUP('19.12'!AB54,'19.12'!$AO$4:$AQ$55,3,FALSE))</f>
        <v>0</v>
      </c>
      <c r="U54" s="4">
        <f>(VLOOKUP('19.12'!AC54,'19.12'!$AO$4:$AQ$55,3,FALSE))</f>
        <v>0</v>
      </c>
      <c r="V54" s="4">
        <f>(VLOOKUP('19.12'!AD54,'19.12'!$AO$4:$AQ$55,3,FALSE))</f>
        <v>0</v>
      </c>
      <c r="W54" s="13">
        <f>(VLOOKUP('19.12'!AE54,'19.12'!$AO$4:$AQ$55,3,FALSE))</f>
        <v>0</v>
      </c>
      <c r="X54" s="13">
        <f>(VLOOKUP('19.12'!AF54,'19.12'!$AO$4:$AQ$55,3,FALSE))</f>
        <v>0</v>
      </c>
    </row>
    <row r="55" spans="1:24">
      <c r="A55" s="4">
        <f>(VLOOKUP('19.12'!I55,'19.12'!$AO$4:$AQ$55,3,FALSE))</f>
        <v>0</v>
      </c>
      <c r="B55" s="4">
        <f>(VLOOKUP('19.12'!J55,'19.12'!$AO$4:$AQ$55,3,FALSE))</f>
        <v>0</v>
      </c>
      <c r="C55" s="4">
        <f>(VLOOKUP('19.12'!K55,'19.12'!$AO$4:$AQ$55,3,FALSE))</f>
        <v>0</v>
      </c>
      <c r="D55" s="4">
        <f>(VLOOKUP('19.12'!L55,'19.12'!$AO$4:$AQ$55,3,FALSE))</f>
        <v>0</v>
      </c>
      <c r="E55" s="4">
        <f>(VLOOKUP('19.12'!M55,'19.12'!$AO$4:$AQ$55,3,FALSE))</f>
        <v>0</v>
      </c>
      <c r="F55" s="4">
        <f>(VLOOKUP('19.12'!N55,'19.12'!$AO$4:$AQ$55,3,FALSE))</f>
        <v>0</v>
      </c>
      <c r="G55" s="13">
        <f>(VLOOKUP('19.12'!O55,'19.12'!$AO$4:$AQ$55,3,FALSE))</f>
        <v>0</v>
      </c>
      <c r="H55" s="13">
        <f>(VLOOKUP('19.12'!P55,'19.12'!$AO$4:$AQ$55,3,FALSE))</f>
        <v>0</v>
      </c>
      <c r="I55" s="4">
        <f>(VLOOKUP('19.12'!Q55,'19.12'!$AO$4:$AQ$55,3,FALSE))</f>
        <v>0</v>
      </c>
      <c r="J55" s="4">
        <f>(VLOOKUP('19.12'!R55,'19.12'!$AO$4:$AQ$55,3,FALSE))</f>
        <v>0</v>
      </c>
      <c r="K55" s="4">
        <f>(VLOOKUP('19.12'!S55,'19.12'!$AO$4:$AQ$55,3,FALSE))</f>
        <v>0</v>
      </c>
      <c r="L55" s="4">
        <f>(VLOOKUP('19.12'!T55,'19.12'!$AO$4:$AQ$55,3,FALSE))</f>
        <v>0</v>
      </c>
      <c r="M55" s="4">
        <f>(VLOOKUP('19.12'!U55,'19.12'!$AO$4:$AQ$55,3,FALSE))</f>
        <v>0</v>
      </c>
      <c r="N55" s="4">
        <f>(VLOOKUP('19.12'!V55,'19.12'!$AO$4:$AQ$55,3,FALSE))</f>
        <v>0</v>
      </c>
      <c r="O55" s="13">
        <f>(VLOOKUP('19.12'!W55,'19.12'!$AO$4:$AQ$55,3,FALSE))</f>
        <v>0</v>
      </c>
      <c r="P55" s="13">
        <f>(VLOOKUP('19.12'!X55,'19.12'!$AO$4:$AQ$55,3,FALSE))</f>
        <v>0</v>
      </c>
      <c r="Q55" s="4">
        <f>(VLOOKUP('19.12'!Y55,'19.12'!$AO$4:$AQ$55,3,FALSE))</f>
        <v>0</v>
      </c>
      <c r="R55" s="4">
        <f>(VLOOKUP('19.12'!Z55,'19.12'!$AO$4:$AQ$55,3,FALSE))</f>
        <v>0</v>
      </c>
      <c r="S55" s="4">
        <f>(VLOOKUP('19.12'!AA55,'19.12'!$AO$4:$AQ$55,3,FALSE))</f>
        <v>0</v>
      </c>
      <c r="T55" s="4">
        <f>(VLOOKUP('19.12'!AB55,'19.12'!$AO$4:$AQ$55,3,FALSE))</f>
        <v>0</v>
      </c>
      <c r="U55" s="4">
        <f>(VLOOKUP('19.12'!AC55,'19.12'!$AO$4:$AQ$55,3,FALSE))</f>
        <v>0</v>
      </c>
      <c r="V55" s="4">
        <f>(VLOOKUP('19.12'!AD55,'19.12'!$AO$4:$AQ$55,3,FALSE))</f>
        <v>0</v>
      </c>
      <c r="W55" s="13">
        <f>(VLOOKUP('19.12'!AE55,'19.12'!$AO$4:$AQ$55,3,FALSE))</f>
        <v>0</v>
      </c>
      <c r="X55" s="13">
        <f>(VLOOKUP('19.12'!AF55,'19.12'!$AO$4:$AQ$55,3,FALSE))</f>
        <v>0</v>
      </c>
    </row>
    <row r="56" spans="1:24">
      <c r="A56" s="4">
        <f>(VLOOKUP('19.12'!I56,'19.12'!$AO$4:$AQ$55,3,FALSE))</f>
        <v>0</v>
      </c>
      <c r="B56" s="4">
        <f>(VLOOKUP('19.12'!J56,'19.12'!$AO$4:$AQ$55,3,FALSE))</f>
        <v>0</v>
      </c>
      <c r="C56" s="4">
        <f>(VLOOKUP('19.12'!K56,'19.12'!$AO$4:$AQ$55,3,FALSE))</f>
        <v>0</v>
      </c>
      <c r="D56" s="4">
        <f>(VLOOKUP('19.12'!L56,'19.12'!$AO$4:$AQ$55,3,FALSE))</f>
        <v>0</v>
      </c>
      <c r="E56" s="4">
        <f>(VLOOKUP('19.12'!M56,'19.12'!$AO$4:$AQ$55,3,FALSE))</f>
        <v>0</v>
      </c>
      <c r="F56" s="4">
        <f>(VLOOKUP('19.12'!N56,'19.12'!$AO$4:$AQ$55,3,FALSE))</f>
        <v>0</v>
      </c>
      <c r="G56" s="13">
        <f>(VLOOKUP('19.12'!O56,'19.12'!$AO$4:$AQ$55,3,FALSE))</f>
        <v>0</v>
      </c>
      <c r="H56" s="13">
        <f>(VLOOKUP('19.12'!P56,'19.12'!$AO$4:$AQ$55,3,FALSE))</f>
        <v>0</v>
      </c>
      <c r="I56" s="4">
        <f>(VLOOKUP('19.12'!Q56,'19.12'!$AO$4:$AQ$55,3,FALSE))</f>
        <v>0</v>
      </c>
      <c r="J56" s="4">
        <f>(VLOOKUP('19.12'!R56,'19.12'!$AO$4:$AQ$55,3,FALSE))</f>
        <v>0</v>
      </c>
      <c r="K56" s="4">
        <f>(VLOOKUP('19.12'!S56,'19.12'!$AO$4:$AQ$55,3,FALSE))</f>
        <v>0</v>
      </c>
      <c r="L56" s="4">
        <f>(VLOOKUP('19.12'!T56,'19.12'!$AO$4:$AQ$55,3,FALSE))</f>
        <v>0</v>
      </c>
      <c r="M56" s="4">
        <f>(VLOOKUP('19.12'!U56,'19.12'!$AO$4:$AQ$55,3,FALSE))</f>
        <v>0</v>
      </c>
      <c r="N56" s="4">
        <f>(VLOOKUP('19.12'!V56,'19.12'!$AO$4:$AQ$55,3,FALSE))</f>
        <v>0</v>
      </c>
      <c r="O56" s="13">
        <f>(VLOOKUP('19.12'!W56,'19.12'!$AO$4:$AQ$55,3,FALSE))</f>
        <v>0</v>
      </c>
      <c r="P56" s="13">
        <f>(VLOOKUP('19.12'!X56,'19.12'!$AO$4:$AQ$55,3,FALSE))</f>
        <v>0</v>
      </c>
      <c r="Q56" s="4">
        <f>(VLOOKUP('19.12'!Y56,'19.12'!$AO$4:$AQ$55,3,FALSE))</f>
        <v>0</v>
      </c>
      <c r="R56" s="4">
        <f>(VLOOKUP('19.12'!Z56,'19.12'!$AO$4:$AQ$55,3,FALSE))</f>
        <v>0</v>
      </c>
      <c r="S56" s="4">
        <f>(VLOOKUP('19.12'!AA56,'19.12'!$AO$4:$AQ$55,3,FALSE))</f>
        <v>0</v>
      </c>
      <c r="T56" s="4">
        <f>(VLOOKUP('19.12'!AB56,'19.12'!$AO$4:$AQ$55,3,FALSE))</f>
        <v>0</v>
      </c>
      <c r="U56" s="4">
        <f>(VLOOKUP('19.12'!AC56,'19.12'!$AO$4:$AQ$55,3,FALSE))</f>
        <v>0</v>
      </c>
      <c r="V56" s="4">
        <f>(VLOOKUP('19.12'!AD56,'19.12'!$AO$4:$AQ$55,3,FALSE))</f>
        <v>0</v>
      </c>
      <c r="W56" s="13">
        <f>(VLOOKUP('19.12'!AE56,'19.12'!$AO$4:$AQ$55,3,FALSE))</f>
        <v>0</v>
      </c>
      <c r="X56" s="13">
        <f>(VLOOKUP('19.12'!AF56,'19.12'!$AO$4:$AQ$55,3,FALSE))</f>
        <v>0</v>
      </c>
    </row>
    <row r="57" spans="1:24">
      <c r="A57" s="4">
        <f>(VLOOKUP('19.12'!I57,'19.12'!$AO$4:$AQ$55,3,FALSE))</f>
        <v>0</v>
      </c>
      <c r="B57" s="4">
        <f>(VLOOKUP('19.12'!J57,'19.12'!$AO$4:$AQ$55,3,FALSE))</f>
        <v>0</v>
      </c>
      <c r="C57" s="4">
        <f>(VLOOKUP('19.12'!K57,'19.12'!$AO$4:$AQ$55,3,FALSE))</f>
        <v>0</v>
      </c>
      <c r="D57" s="4">
        <f>(VLOOKUP('19.12'!L57,'19.12'!$AO$4:$AQ$55,3,FALSE))</f>
        <v>0</v>
      </c>
      <c r="E57" s="4">
        <f>(VLOOKUP('19.12'!M57,'19.12'!$AO$4:$AQ$55,3,FALSE))</f>
        <v>0</v>
      </c>
      <c r="F57" s="4">
        <f>(VLOOKUP('19.12'!N57,'19.12'!$AO$4:$AQ$55,3,FALSE))</f>
        <v>0</v>
      </c>
      <c r="G57" s="13">
        <f>(VLOOKUP('19.12'!O57,'19.12'!$AO$4:$AQ$55,3,FALSE))</f>
        <v>0</v>
      </c>
      <c r="H57" s="13">
        <f>(VLOOKUP('19.12'!P57,'19.12'!$AO$4:$AQ$55,3,FALSE))</f>
        <v>0</v>
      </c>
      <c r="I57" s="4">
        <f>(VLOOKUP('19.12'!Q57,'19.12'!$AO$4:$AQ$55,3,FALSE))</f>
        <v>0</v>
      </c>
      <c r="J57" s="4">
        <f>(VLOOKUP('19.12'!R57,'19.12'!$AO$4:$AQ$55,3,FALSE))</f>
        <v>0</v>
      </c>
      <c r="K57" s="4">
        <f>(VLOOKUP('19.12'!S57,'19.12'!$AO$4:$AQ$55,3,FALSE))</f>
        <v>0</v>
      </c>
      <c r="L57" s="4">
        <f>(VLOOKUP('19.12'!T57,'19.12'!$AO$4:$AQ$55,3,FALSE))</f>
        <v>0</v>
      </c>
      <c r="M57" s="4">
        <f>(VLOOKUP('19.12'!U57,'19.12'!$AO$4:$AQ$55,3,FALSE))</f>
        <v>0</v>
      </c>
      <c r="N57" s="4">
        <f>(VLOOKUP('19.12'!V57,'19.12'!$AO$4:$AQ$55,3,FALSE))</f>
        <v>0</v>
      </c>
      <c r="O57" s="13">
        <f>(VLOOKUP('19.12'!W57,'19.12'!$AO$4:$AQ$55,3,FALSE))</f>
        <v>0</v>
      </c>
      <c r="P57" s="13">
        <f>(VLOOKUP('19.12'!X57,'19.12'!$AO$4:$AQ$55,3,FALSE))</f>
        <v>0</v>
      </c>
      <c r="Q57" s="4">
        <f>(VLOOKUP('19.12'!Y57,'19.12'!$AO$4:$AQ$55,3,FALSE))</f>
        <v>0</v>
      </c>
      <c r="R57" s="4">
        <f>(VLOOKUP('19.12'!Z57,'19.12'!$AO$4:$AQ$55,3,FALSE))</f>
        <v>0</v>
      </c>
      <c r="S57" s="4">
        <f>(VLOOKUP('19.12'!AA57,'19.12'!$AO$4:$AQ$55,3,FALSE))</f>
        <v>0</v>
      </c>
      <c r="T57" s="4">
        <f>(VLOOKUP('19.12'!AB57,'19.12'!$AO$4:$AQ$55,3,FALSE))</f>
        <v>0</v>
      </c>
      <c r="U57" s="4">
        <f>(VLOOKUP('19.12'!AC57,'19.12'!$AO$4:$AQ$55,3,FALSE))</f>
        <v>0</v>
      </c>
      <c r="V57" s="4">
        <f>(VLOOKUP('19.12'!AD57,'19.12'!$AO$4:$AQ$55,3,FALSE))</f>
        <v>0</v>
      </c>
      <c r="W57" s="13">
        <f>(VLOOKUP('19.12'!AE57,'19.12'!$AO$4:$AQ$55,3,FALSE))</f>
        <v>0</v>
      </c>
      <c r="X57" s="13">
        <f>(VLOOKUP('19.12'!AF57,'19.12'!$AO$4:$AQ$55,3,FALSE))</f>
        <v>0</v>
      </c>
    </row>
    <row r="58" spans="1:24">
      <c r="A58" s="4">
        <f>(VLOOKUP('19.12'!I58,'19.12'!$AO$4:$AQ$55,3,FALSE))</f>
        <v>0</v>
      </c>
      <c r="B58" s="4">
        <f>(VLOOKUP('19.12'!J58,'19.12'!$AO$4:$AQ$55,3,FALSE))</f>
        <v>0</v>
      </c>
      <c r="C58" s="4">
        <f>(VLOOKUP('19.12'!K58,'19.12'!$AO$4:$AQ$55,3,FALSE))</f>
        <v>0</v>
      </c>
      <c r="D58" s="4">
        <f>(VLOOKUP('19.12'!L58,'19.12'!$AO$4:$AQ$55,3,FALSE))</f>
        <v>0</v>
      </c>
      <c r="E58" s="4">
        <f>(VLOOKUP('19.12'!M58,'19.12'!$AO$4:$AQ$55,3,FALSE))</f>
        <v>0</v>
      </c>
      <c r="F58" s="4">
        <f>(VLOOKUP('19.12'!N58,'19.12'!$AO$4:$AQ$55,3,FALSE))</f>
        <v>0</v>
      </c>
      <c r="G58" s="13">
        <f>(VLOOKUP('19.12'!O58,'19.12'!$AO$4:$AQ$55,3,FALSE))</f>
        <v>0</v>
      </c>
      <c r="H58" s="13">
        <f>(VLOOKUP('19.12'!P58,'19.12'!$AO$4:$AQ$55,3,FALSE))</f>
        <v>0</v>
      </c>
      <c r="I58" s="4">
        <f>(VLOOKUP('19.12'!Q58,'19.12'!$AO$4:$AQ$55,3,FALSE))</f>
        <v>0</v>
      </c>
      <c r="J58" s="4">
        <f>(VLOOKUP('19.12'!R58,'19.12'!$AO$4:$AQ$55,3,FALSE))</f>
        <v>0</v>
      </c>
      <c r="K58" s="4">
        <f>(VLOOKUP('19.12'!S58,'19.12'!$AO$4:$AQ$55,3,FALSE))</f>
        <v>0</v>
      </c>
      <c r="L58" s="4">
        <f>(VLOOKUP('19.12'!T58,'19.12'!$AO$4:$AQ$55,3,FALSE))</f>
        <v>0</v>
      </c>
      <c r="M58" s="4">
        <f>(VLOOKUP('19.12'!U58,'19.12'!$AO$4:$AQ$55,3,FALSE))</f>
        <v>0</v>
      </c>
      <c r="N58" s="4">
        <f>(VLOOKUP('19.12'!V58,'19.12'!$AO$4:$AQ$55,3,FALSE))</f>
        <v>0</v>
      </c>
      <c r="O58" s="13">
        <f>(VLOOKUP('19.12'!W58,'19.12'!$AO$4:$AQ$55,3,FALSE))</f>
        <v>0</v>
      </c>
      <c r="P58" s="13">
        <f>(VLOOKUP('19.12'!X58,'19.12'!$AO$4:$AQ$55,3,FALSE))</f>
        <v>0</v>
      </c>
      <c r="Q58" s="4">
        <f>(VLOOKUP('19.12'!Y58,'19.12'!$AO$4:$AQ$55,3,FALSE))</f>
        <v>0</v>
      </c>
      <c r="R58" s="4">
        <f>(VLOOKUP('19.12'!Z58,'19.12'!$AO$4:$AQ$55,3,FALSE))</f>
        <v>0</v>
      </c>
      <c r="S58" s="4">
        <f>(VLOOKUP('19.12'!AA58,'19.12'!$AO$4:$AQ$55,3,FALSE))</f>
        <v>0</v>
      </c>
      <c r="T58" s="4">
        <f>(VLOOKUP('19.12'!AB58,'19.12'!$AO$4:$AQ$55,3,FALSE))</f>
        <v>0</v>
      </c>
      <c r="U58" s="4">
        <f>(VLOOKUP('19.12'!AC58,'19.12'!$AO$4:$AQ$55,3,FALSE))</f>
        <v>0</v>
      </c>
      <c r="V58" s="4">
        <f>(VLOOKUP('19.12'!AD58,'19.12'!$AO$4:$AQ$55,3,FALSE))</f>
        <v>0</v>
      </c>
      <c r="W58" s="13">
        <f>(VLOOKUP('19.12'!AE58,'19.12'!$AO$4:$AQ$55,3,FALSE))</f>
        <v>0</v>
      </c>
      <c r="X58" s="13">
        <f>(VLOOKUP('19.12'!AF58,'19.12'!$AO$4:$AQ$55,3,FALSE))</f>
        <v>0</v>
      </c>
    </row>
    <row r="59" spans="1:24">
      <c r="A59" s="4">
        <f>(VLOOKUP('19.12'!I59,'19.12'!$AO$4:$AQ$55,3,FALSE))</f>
        <v>0</v>
      </c>
      <c r="B59" s="4">
        <f>(VLOOKUP('19.12'!J59,'19.12'!$AO$4:$AQ$55,3,FALSE))</f>
        <v>0</v>
      </c>
      <c r="C59" s="4">
        <f>(VLOOKUP('19.12'!K59,'19.12'!$AO$4:$AQ$55,3,FALSE))</f>
        <v>0</v>
      </c>
      <c r="D59" s="4">
        <f>(VLOOKUP('19.12'!L59,'19.12'!$AO$4:$AQ$55,3,FALSE))</f>
        <v>0</v>
      </c>
      <c r="E59" s="4">
        <f>(VLOOKUP('19.12'!M59,'19.12'!$AO$4:$AQ$55,3,FALSE))</f>
        <v>0</v>
      </c>
      <c r="F59" s="4">
        <f>(VLOOKUP('19.12'!N59,'19.12'!$AO$4:$AQ$55,3,FALSE))</f>
        <v>0</v>
      </c>
      <c r="G59" s="13">
        <f>(VLOOKUP('19.12'!O59,'19.12'!$AO$4:$AQ$55,3,FALSE))</f>
        <v>0</v>
      </c>
      <c r="H59" s="13">
        <f>(VLOOKUP('19.12'!P59,'19.12'!$AO$4:$AQ$55,3,FALSE))</f>
        <v>0</v>
      </c>
      <c r="I59" s="4">
        <f>(VLOOKUP('19.12'!Q59,'19.12'!$AO$4:$AQ$55,3,FALSE))</f>
        <v>0</v>
      </c>
      <c r="J59" s="4">
        <f>(VLOOKUP('19.12'!R59,'19.12'!$AO$4:$AQ$55,3,FALSE))</f>
        <v>0</v>
      </c>
      <c r="K59" s="4">
        <f>(VLOOKUP('19.12'!S59,'19.12'!$AO$4:$AQ$55,3,FALSE))</f>
        <v>0</v>
      </c>
      <c r="L59" s="4">
        <f>(VLOOKUP('19.12'!T59,'19.12'!$AO$4:$AQ$55,3,FALSE))</f>
        <v>0</v>
      </c>
      <c r="M59" s="4">
        <f>(VLOOKUP('19.12'!U59,'19.12'!$AO$4:$AQ$55,3,FALSE))</f>
        <v>0</v>
      </c>
      <c r="N59" s="4">
        <f>(VLOOKUP('19.12'!V59,'19.12'!$AO$4:$AQ$55,3,FALSE))</f>
        <v>0</v>
      </c>
      <c r="O59" s="13">
        <f>(VLOOKUP('19.12'!W59,'19.12'!$AO$4:$AQ$55,3,FALSE))</f>
        <v>0</v>
      </c>
      <c r="P59" s="13">
        <f>(VLOOKUP('19.12'!X59,'19.12'!$AO$4:$AQ$55,3,FALSE))</f>
        <v>0</v>
      </c>
      <c r="Q59" s="4">
        <f>(VLOOKUP('19.12'!Y59,'19.12'!$AO$4:$AQ$55,3,FALSE))</f>
        <v>0</v>
      </c>
      <c r="R59" s="4">
        <f>(VLOOKUP('19.12'!Z59,'19.12'!$AO$4:$AQ$55,3,FALSE))</f>
        <v>0</v>
      </c>
      <c r="S59" s="4">
        <f>(VLOOKUP('19.12'!AA59,'19.12'!$AO$4:$AQ$55,3,FALSE))</f>
        <v>0</v>
      </c>
      <c r="T59" s="4">
        <f>(VLOOKUP('19.12'!AB59,'19.12'!$AO$4:$AQ$55,3,FALSE))</f>
        <v>0</v>
      </c>
      <c r="U59" s="4">
        <f>(VLOOKUP('19.12'!AC59,'19.12'!$AO$4:$AQ$55,3,FALSE))</f>
        <v>0</v>
      </c>
      <c r="V59" s="4">
        <f>(VLOOKUP('19.12'!AD59,'19.12'!$AO$4:$AQ$55,3,FALSE))</f>
        <v>0</v>
      </c>
      <c r="W59" s="13">
        <f>(VLOOKUP('19.12'!AE59,'19.12'!$AO$4:$AQ$55,3,FALSE))</f>
        <v>0</v>
      </c>
      <c r="X59" s="13">
        <f>(VLOOKUP('19.12'!AF59,'19.12'!$AO$4:$AQ$55,3,FALSE))</f>
        <v>0</v>
      </c>
    </row>
    <row r="60" spans="1:24">
      <c r="A60" s="4">
        <f>(VLOOKUP('19.12'!I60,'19.12'!$AO$4:$AQ$55,3,FALSE))</f>
        <v>0</v>
      </c>
      <c r="B60" s="4">
        <f>(VLOOKUP('19.12'!J60,'19.12'!$AO$4:$AQ$55,3,FALSE))</f>
        <v>0</v>
      </c>
      <c r="C60" s="4">
        <f>(VLOOKUP('19.12'!K60,'19.12'!$AO$4:$AQ$55,3,FALSE))</f>
        <v>0</v>
      </c>
      <c r="D60" s="4">
        <f>(VLOOKUP('19.12'!L60,'19.12'!$AO$4:$AQ$55,3,FALSE))</f>
        <v>0</v>
      </c>
      <c r="E60" s="4">
        <f>(VLOOKUP('19.12'!M60,'19.12'!$AO$4:$AQ$55,3,FALSE))</f>
        <v>0</v>
      </c>
      <c r="F60" s="4">
        <f>(VLOOKUP('19.12'!N60,'19.12'!$AO$4:$AQ$55,3,FALSE))</f>
        <v>0</v>
      </c>
      <c r="G60" s="13">
        <f>(VLOOKUP('19.12'!O60,'19.12'!$AO$4:$AQ$55,3,FALSE))</f>
        <v>0</v>
      </c>
      <c r="H60" s="13">
        <f>(VLOOKUP('19.12'!P60,'19.12'!$AO$4:$AQ$55,3,FALSE))</f>
        <v>0</v>
      </c>
      <c r="I60" s="4">
        <f>(VLOOKUP('19.12'!Q60,'19.12'!$AO$4:$AQ$55,3,FALSE))</f>
        <v>0</v>
      </c>
      <c r="J60" s="4">
        <f>(VLOOKUP('19.12'!R60,'19.12'!$AO$4:$AQ$55,3,FALSE))</f>
        <v>0</v>
      </c>
      <c r="K60" s="4">
        <f>(VLOOKUP('19.12'!S60,'19.12'!$AO$4:$AQ$55,3,FALSE))</f>
        <v>0</v>
      </c>
      <c r="L60" s="4">
        <f>(VLOOKUP('19.12'!T60,'19.12'!$AO$4:$AQ$55,3,FALSE))</f>
        <v>0</v>
      </c>
      <c r="M60" s="4">
        <f>(VLOOKUP('19.12'!U60,'19.12'!$AO$4:$AQ$55,3,FALSE))</f>
        <v>0</v>
      </c>
      <c r="N60" s="4">
        <f>(VLOOKUP('19.12'!V60,'19.12'!$AO$4:$AQ$55,3,FALSE))</f>
        <v>0</v>
      </c>
      <c r="O60" s="13">
        <f>(VLOOKUP('19.12'!W60,'19.12'!$AO$4:$AQ$55,3,FALSE))</f>
        <v>0</v>
      </c>
      <c r="P60" s="13">
        <f>(VLOOKUP('19.12'!X60,'19.12'!$AO$4:$AQ$55,3,FALSE))</f>
        <v>0</v>
      </c>
      <c r="Q60" s="4">
        <f>(VLOOKUP('19.12'!Y60,'19.12'!$AO$4:$AQ$55,3,FALSE))</f>
        <v>0</v>
      </c>
      <c r="R60" s="4">
        <f>(VLOOKUP('19.12'!Z60,'19.12'!$AO$4:$AQ$55,3,FALSE))</f>
        <v>0</v>
      </c>
      <c r="S60" s="4">
        <f>(VLOOKUP('19.12'!AA60,'19.12'!$AO$4:$AQ$55,3,FALSE))</f>
        <v>0</v>
      </c>
      <c r="T60" s="4">
        <f>(VLOOKUP('19.12'!AB60,'19.12'!$AO$4:$AQ$55,3,FALSE))</f>
        <v>0</v>
      </c>
      <c r="U60" s="4">
        <f>(VLOOKUP('19.12'!AC60,'19.12'!$AO$4:$AQ$55,3,FALSE))</f>
        <v>0</v>
      </c>
      <c r="V60" s="4">
        <f>(VLOOKUP('19.12'!AD60,'19.12'!$AO$4:$AQ$55,3,FALSE))</f>
        <v>0</v>
      </c>
      <c r="W60" s="13">
        <f>(VLOOKUP('19.12'!AE60,'19.12'!$AO$4:$AQ$55,3,FALSE))</f>
        <v>0</v>
      </c>
      <c r="X60" s="13">
        <f>(VLOOKUP('19.12'!AF60,'19.12'!$AO$4:$AQ$55,3,FALSE))</f>
        <v>0</v>
      </c>
    </row>
    <row r="61" spans="1:24">
      <c r="A61" s="4">
        <f>(VLOOKUP('19.12'!I61,'19.12'!$AO$4:$AQ$55,3,FALSE))</f>
        <v>0</v>
      </c>
      <c r="B61" s="4">
        <f>(VLOOKUP('19.12'!J61,'19.12'!$AO$4:$AQ$55,3,FALSE))</f>
        <v>0</v>
      </c>
      <c r="C61" s="4">
        <f>(VLOOKUP('19.12'!K61,'19.12'!$AO$4:$AQ$55,3,FALSE))</f>
        <v>0</v>
      </c>
      <c r="D61" s="4">
        <f>(VLOOKUP('19.12'!L61,'19.12'!$AO$4:$AQ$55,3,FALSE))</f>
        <v>0</v>
      </c>
      <c r="E61" s="4">
        <f>(VLOOKUP('19.12'!M61,'19.12'!$AO$4:$AQ$55,3,FALSE))</f>
        <v>0</v>
      </c>
      <c r="F61" s="4">
        <f>(VLOOKUP('19.12'!N61,'19.12'!$AO$4:$AQ$55,3,FALSE))</f>
        <v>0</v>
      </c>
      <c r="G61" s="13">
        <f>(VLOOKUP('19.12'!O61,'19.12'!$AO$4:$AQ$55,3,FALSE))</f>
        <v>0</v>
      </c>
      <c r="H61" s="13">
        <f>(VLOOKUP('19.12'!P61,'19.12'!$AO$4:$AQ$55,3,FALSE))</f>
        <v>0</v>
      </c>
      <c r="I61" s="4">
        <f>(VLOOKUP('19.12'!Q61,'19.12'!$AO$4:$AQ$55,3,FALSE))</f>
        <v>0</v>
      </c>
      <c r="J61" s="4">
        <f>(VLOOKUP('19.12'!R61,'19.12'!$AO$4:$AQ$55,3,FALSE))</f>
        <v>0</v>
      </c>
      <c r="K61" s="4">
        <f>(VLOOKUP('19.12'!S61,'19.12'!$AO$4:$AQ$55,3,FALSE))</f>
        <v>0</v>
      </c>
      <c r="L61" s="4">
        <f>(VLOOKUP('19.12'!T61,'19.12'!$AO$4:$AQ$55,3,FALSE))</f>
        <v>0</v>
      </c>
      <c r="M61" s="4">
        <f>(VLOOKUP('19.12'!U61,'19.12'!$AO$4:$AQ$55,3,FALSE))</f>
        <v>0</v>
      </c>
      <c r="N61" s="4">
        <f>(VLOOKUP('19.12'!V61,'19.12'!$AO$4:$AQ$55,3,FALSE))</f>
        <v>0</v>
      </c>
      <c r="O61" s="13">
        <f>(VLOOKUP('19.12'!W61,'19.12'!$AO$4:$AQ$55,3,FALSE))</f>
        <v>0</v>
      </c>
      <c r="P61" s="13">
        <f>(VLOOKUP('19.12'!X61,'19.12'!$AO$4:$AQ$55,3,FALSE))</f>
        <v>0</v>
      </c>
      <c r="Q61" s="4">
        <f>(VLOOKUP('19.12'!Y61,'19.12'!$AO$4:$AQ$55,3,FALSE))</f>
        <v>0</v>
      </c>
      <c r="R61" s="4">
        <f>(VLOOKUP('19.12'!Z61,'19.12'!$AO$4:$AQ$55,3,FALSE))</f>
        <v>0</v>
      </c>
      <c r="S61" s="4">
        <f>(VLOOKUP('19.12'!AA61,'19.12'!$AO$4:$AQ$55,3,FALSE))</f>
        <v>0</v>
      </c>
      <c r="T61" s="4">
        <f>(VLOOKUP('19.12'!AB61,'19.12'!$AO$4:$AQ$55,3,FALSE))</f>
        <v>0</v>
      </c>
      <c r="U61" s="4">
        <f>(VLOOKUP('19.12'!AC61,'19.12'!$AO$4:$AQ$55,3,FALSE))</f>
        <v>0</v>
      </c>
      <c r="V61" s="4">
        <f>(VLOOKUP('19.12'!AD61,'19.12'!$AO$4:$AQ$55,3,FALSE))</f>
        <v>0</v>
      </c>
      <c r="W61" s="13">
        <f>(VLOOKUP('19.12'!AE61,'19.12'!$AO$4:$AQ$55,3,FALSE))</f>
        <v>0</v>
      </c>
      <c r="X61" s="13">
        <f>(VLOOKUP('19.12'!AF61,'19.12'!$AO$4:$AQ$55,3,FALSE))</f>
        <v>0</v>
      </c>
    </row>
    <row r="62" spans="1:24">
      <c r="A62" s="4">
        <f>(VLOOKUP('19.12'!I62,'19.12'!$AO$4:$AQ$55,3,FALSE))</f>
        <v>0</v>
      </c>
      <c r="B62" s="4">
        <f>(VLOOKUP('19.12'!J62,'19.12'!$AO$4:$AQ$55,3,FALSE))</f>
        <v>0</v>
      </c>
      <c r="C62" s="4">
        <f>(VLOOKUP('19.12'!K62,'19.12'!$AO$4:$AQ$55,3,FALSE))</f>
        <v>0</v>
      </c>
      <c r="D62" s="4">
        <f>(VLOOKUP('19.12'!L62,'19.12'!$AO$4:$AQ$55,3,FALSE))</f>
        <v>0</v>
      </c>
      <c r="E62" s="4">
        <f>(VLOOKUP('19.12'!M62,'19.12'!$AO$4:$AQ$55,3,FALSE))</f>
        <v>0</v>
      </c>
      <c r="F62" s="4">
        <f>(VLOOKUP('19.12'!N62,'19.12'!$AO$4:$AQ$55,3,FALSE))</f>
        <v>0</v>
      </c>
      <c r="G62" s="13">
        <f>(VLOOKUP('19.12'!O62,'19.12'!$AO$4:$AQ$55,3,FALSE))</f>
        <v>0</v>
      </c>
      <c r="H62" s="13">
        <f>(VLOOKUP('19.12'!P62,'19.12'!$AO$4:$AQ$55,3,FALSE))</f>
        <v>0</v>
      </c>
      <c r="I62" s="4">
        <f>(VLOOKUP('19.12'!Q62,'19.12'!$AO$4:$AQ$55,3,FALSE))</f>
        <v>0</v>
      </c>
      <c r="J62" s="4">
        <f>(VLOOKUP('19.12'!R62,'19.12'!$AO$4:$AQ$55,3,FALSE))</f>
        <v>0</v>
      </c>
      <c r="K62" s="4">
        <f>(VLOOKUP('19.12'!S62,'19.12'!$AO$4:$AQ$55,3,FALSE))</f>
        <v>0</v>
      </c>
      <c r="L62" s="4">
        <f>(VLOOKUP('19.12'!T62,'19.12'!$AO$4:$AQ$55,3,FALSE))</f>
        <v>0</v>
      </c>
      <c r="M62" s="4">
        <f>(VLOOKUP('19.12'!U62,'19.12'!$AO$4:$AQ$55,3,FALSE))</f>
        <v>0</v>
      </c>
      <c r="N62" s="4">
        <f>(VLOOKUP('19.12'!V62,'19.12'!$AO$4:$AQ$55,3,FALSE))</f>
        <v>0</v>
      </c>
      <c r="O62" s="13">
        <f>(VLOOKUP('19.12'!W62,'19.12'!$AO$4:$AQ$55,3,FALSE))</f>
        <v>0</v>
      </c>
      <c r="P62" s="13">
        <f>(VLOOKUP('19.12'!X62,'19.12'!$AO$4:$AQ$55,3,FALSE))</f>
        <v>0</v>
      </c>
      <c r="Q62" s="4">
        <f>(VLOOKUP('19.12'!Y62,'19.12'!$AO$4:$AQ$55,3,FALSE))</f>
        <v>0</v>
      </c>
      <c r="R62" s="4">
        <f>(VLOOKUP('19.12'!Z62,'19.12'!$AO$4:$AQ$55,3,FALSE))</f>
        <v>0</v>
      </c>
      <c r="S62" s="4">
        <f>(VLOOKUP('19.12'!AA62,'19.12'!$AO$4:$AQ$55,3,FALSE))</f>
        <v>0</v>
      </c>
      <c r="T62" s="4">
        <f>(VLOOKUP('19.12'!AB62,'19.12'!$AO$4:$AQ$55,3,FALSE))</f>
        <v>0</v>
      </c>
      <c r="U62" s="4">
        <f>(VLOOKUP('19.12'!AC62,'19.12'!$AO$4:$AQ$55,3,FALSE))</f>
        <v>0</v>
      </c>
      <c r="V62" s="4">
        <f>(VLOOKUP('19.12'!AD62,'19.12'!$AO$4:$AQ$55,3,FALSE))</f>
        <v>0</v>
      </c>
      <c r="W62" s="13">
        <f>(VLOOKUP('19.12'!AE62,'19.12'!$AO$4:$AQ$55,3,FALSE))</f>
        <v>0</v>
      </c>
      <c r="X62" s="13">
        <f>(VLOOKUP('19.12'!AF62,'19.12'!$AO$4:$AQ$55,3,FALSE))</f>
        <v>0</v>
      </c>
    </row>
    <row r="63" spans="1:24">
      <c r="A63" s="4">
        <f>(VLOOKUP('19.12'!I63,'19.12'!$AO$4:$AQ$55,3,FALSE))</f>
        <v>0</v>
      </c>
      <c r="B63" s="4">
        <f>(VLOOKUP('19.12'!J63,'19.12'!$AO$4:$AQ$55,3,FALSE))</f>
        <v>0</v>
      </c>
      <c r="C63" s="4">
        <f>(VLOOKUP('19.12'!K63,'19.12'!$AO$4:$AQ$55,3,FALSE))</f>
        <v>0</v>
      </c>
      <c r="D63" s="4">
        <f>(VLOOKUP('19.12'!L63,'19.12'!$AO$4:$AQ$55,3,FALSE))</f>
        <v>0</v>
      </c>
      <c r="E63" s="4">
        <f>(VLOOKUP('19.12'!M63,'19.12'!$AO$4:$AQ$55,3,FALSE))</f>
        <v>0</v>
      </c>
      <c r="F63" s="4">
        <f>(VLOOKUP('19.12'!N63,'19.12'!$AO$4:$AQ$55,3,FALSE))</f>
        <v>0</v>
      </c>
      <c r="G63" s="13">
        <f>(VLOOKUP('19.12'!O63,'19.12'!$AO$4:$AQ$55,3,FALSE))</f>
        <v>0</v>
      </c>
      <c r="H63" s="13">
        <f>(VLOOKUP('19.12'!P63,'19.12'!$AO$4:$AQ$55,3,FALSE))</f>
        <v>0</v>
      </c>
      <c r="I63" s="4">
        <f>(VLOOKUP('19.12'!Q63,'19.12'!$AO$4:$AQ$55,3,FALSE))</f>
        <v>0</v>
      </c>
      <c r="J63" s="4">
        <f>(VLOOKUP('19.12'!R63,'19.12'!$AO$4:$AQ$55,3,FALSE))</f>
        <v>0</v>
      </c>
      <c r="K63" s="4">
        <f>(VLOOKUP('19.12'!S63,'19.12'!$AO$4:$AQ$55,3,FALSE))</f>
        <v>0</v>
      </c>
      <c r="L63" s="4">
        <f>(VLOOKUP('19.12'!T63,'19.12'!$AO$4:$AQ$55,3,FALSE))</f>
        <v>0</v>
      </c>
      <c r="M63" s="4">
        <f>(VLOOKUP('19.12'!U63,'19.12'!$AO$4:$AQ$55,3,FALSE))</f>
        <v>0</v>
      </c>
      <c r="N63" s="4">
        <f>(VLOOKUP('19.12'!V63,'19.12'!$AO$4:$AQ$55,3,FALSE))</f>
        <v>0</v>
      </c>
      <c r="O63" s="13">
        <f>(VLOOKUP('19.12'!W63,'19.12'!$AO$4:$AQ$55,3,FALSE))</f>
        <v>0</v>
      </c>
      <c r="P63" s="13">
        <f>(VLOOKUP('19.12'!X63,'19.12'!$AO$4:$AQ$55,3,FALSE))</f>
        <v>0</v>
      </c>
      <c r="Q63" s="4">
        <f>(VLOOKUP('19.12'!Y63,'19.12'!$AO$4:$AQ$55,3,FALSE))</f>
        <v>0</v>
      </c>
      <c r="R63" s="4">
        <f>(VLOOKUP('19.12'!Z63,'19.12'!$AO$4:$AQ$55,3,FALSE))</f>
        <v>0</v>
      </c>
      <c r="S63" s="4">
        <f>(VLOOKUP('19.12'!AA63,'19.12'!$AO$4:$AQ$55,3,FALSE))</f>
        <v>0</v>
      </c>
      <c r="T63" s="4">
        <f>(VLOOKUP('19.12'!AB63,'19.12'!$AO$4:$AQ$55,3,FALSE))</f>
        <v>0</v>
      </c>
      <c r="U63" s="4">
        <f>(VLOOKUP('19.12'!AC63,'19.12'!$AO$4:$AQ$55,3,FALSE))</f>
        <v>0</v>
      </c>
      <c r="V63" s="4">
        <f>(VLOOKUP('19.12'!AD63,'19.12'!$AO$4:$AQ$55,3,FALSE))</f>
        <v>0</v>
      </c>
      <c r="W63" s="13">
        <f>(VLOOKUP('19.12'!AE63,'19.12'!$AO$4:$AQ$55,3,FALSE))</f>
        <v>0</v>
      </c>
      <c r="X63" s="13">
        <f>(VLOOKUP('19.12'!AF63,'19.12'!$AO$4:$AQ$55,3,FALSE))</f>
        <v>0</v>
      </c>
    </row>
    <row r="64" spans="1:24">
      <c r="A64" s="4">
        <f>(VLOOKUP('19.12'!I64,'19.12'!$AO$4:$AQ$55,3,FALSE))</f>
        <v>0</v>
      </c>
      <c r="B64" s="4">
        <f>(VLOOKUP('19.12'!J64,'19.12'!$AO$4:$AQ$55,3,FALSE))</f>
        <v>0</v>
      </c>
      <c r="C64" s="4">
        <f>(VLOOKUP('19.12'!K64,'19.12'!$AO$4:$AQ$55,3,FALSE))</f>
        <v>0</v>
      </c>
      <c r="D64" s="4">
        <f>(VLOOKUP('19.12'!L64,'19.12'!$AO$4:$AQ$55,3,FALSE))</f>
        <v>0</v>
      </c>
      <c r="E64" s="4">
        <f>(VLOOKUP('19.12'!M64,'19.12'!$AO$4:$AQ$55,3,FALSE))</f>
        <v>0</v>
      </c>
      <c r="F64" s="4">
        <f>(VLOOKUP('19.12'!N64,'19.12'!$AO$4:$AQ$55,3,FALSE))</f>
        <v>0</v>
      </c>
      <c r="G64" s="13">
        <f>(VLOOKUP('19.12'!O64,'19.12'!$AO$4:$AQ$55,3,FALSE))</f>
        <v>0</v>
      </c>
      <c r="H64" s="13">
        <f>(VLOOKUP('19.12'!P64,'19.12'!$AO$4:$AQ$55,3,FALSE))</f>
        <v>0</v>
      </c>
      <c r="I64" s="4">
        <f>(VLOOKUP('19.12'!Q64,'19.12'!$AO$4:$AQ$55,3,FALSE))</f>
        <v>0</v>
      </c>
      <c r="J64" s="4">
        <f>(VLOOKUP('19.12'!R64,'19.12'!$AO$4:$AQ$55,3,FALSE))</f>
        <v>0</v>
      </c>
      <c r="K64" s="4">
        <f>(VLOOKUP('19.12'!S64,'19.12'!$AO$4:$AQ$55,3,FALSE))</f>
        <v>0</v>
      </c>
      <c r="L64" s="4">
        <f>(VLOOKUP('19.12'!T64,'19.12'!$AO$4:$AQ$55,3,FALSE))</f>
        <v>0</v>
      </c>
      <c r="M64" s="4">
        <f>(VLOOKUP('19.12'!U64,'19.12'!$AO$4:$AQ$55,3,FALSE))</f>
        <v>0</v>
      </c>
      <c r="N64" s="4">
        <f>(VLOOKUP('19.12'!V64,'19.12'!$AO$4:$AQ$55,3,FALSE))</f>
        <v>0</v>
      </c>
      <c r="O64" s="13">
        <f>(VLOOKUP('19.12'!W64,'19.12'!$AO$4:$AQ$55,3,FALSE))</f>
        <v>0</v>
      </c>
      <c r="P64" s="13">
        <f>(VLOOKUP('19.12'!X64,'19.12'!$AO$4:$AQ$55,3,FALSE))</f>
        <v>0</v>
      </c>
      <c r="Q64" s="4">
        <f>(VLOOKUP('19.12'!Y64,'19.12'!$AO$4:$AQ$55,3,FALSE))</f>
        <v>0</v>
      </c>
      <c r="R64" s="4">
        <f>(VLOOKUP('19.12'!Z64,'19.12'!$AO$4:$AQ$55,3,FALSE))</f>
        <v>0</v>
      </c>
      <c r="S64" s="4">
        <f>(VLOOKUP('19.12'!AA64,'19.12'!$AO$4:$AQ$55,3,FALSE))</f>
        <v>0</v>
      </c>
      <c r="T64" s="4">
        <f>(VLOOKUP('19.12'!AB64,'19.12'!$AO$4:$AQ$55,3,FALSE))</f>
        <v>0</v>
      </c>
      <c r="U64" s="4">
        <f>(VLOOKUP('19.12'!AC64,'19.12'!$AO$4:$AQ$55,3,FALSE))</f>
        <v>0</v>
      </c>
      <c r="V64" s="4">
        <f>(VLOOKUP('19.12'!AD64,'19.12'!$AO$4:$AQ$55,3,FALSE))</f>
        <v>0</v>
      </c>
      <c r="W64" s="13">
        <f>(VLOOKUP('19.12'!AE64,'19.12'!$AO$4:$AQ$55,3,FALSE))</f>
        <v>0</v>
      </c>
      <c r="X64" s="13">
        <f>(VLOOKUP('19.12'!AF64,'19.12'!$AO$4:$AQ$55,3,FALSE))</f>
        <v>0</v>
      </c>
    </row>
    <row r="65" spans="1:24">
      <c r="A65" s="4">
        <f>(VLOOKUP('19.12'!I65,'19.12'!$AO$4:$AQ$55,3,FALSE))</f>
        <v>0</v>
      </c>
      <c r="B65" s="4">
        <f>(VLOOKUP('19.12'!J65,'19.12'!$AO$4:$AQ$55,3,FALSE))</f>
        <v>0</v>
      </c>
      <c r="C65" s="4">
        <f>(VLOOKUP('19.12'!K65,'19.12'!$AO$4:$AQ$55,3,FALSE))</f>
        <v>0</v>
      </c>
      <c r="D65" s="4">
        <f>(VLOOKUP('19.12'!L65,'19.12'!$AO$4:$AQ$55,3,FALSE))</f>
        <v>0</v>
      </c>
      <c r="E65" s="4">
        <f>(VLOOKUP('19.12'!M65,'19.12'!$AO$4:$AQ$55,3,FALSE))</f>
        <v>0</v>
      </c>
      <c r="F65" s="4">
        <f>(VLOOKUP('19.12'!N65,'19.12'!$AO$4:$AQ$55,3,FALSE))</f>
        <v>0</v>
      </c>
      <c r="G65" s="13">
        <f>(VLOOKUP('19.12'!O65,'19.12'!$AO$4:$AQ$55,3,FALSE))</f>
        <v>0</v>
      </c>
      <c r="H65" s="13">
        <f>(VLOOKUP('19.12'!P65,'19.12'!$AO$4:$AQ$55,3,FALSE))</f>
        <v>0</v>
      </c>
      <c r="I65" s="4">
        <f>(VLOOKUP('19.12'!Q65,'19.12'!$AO$4:$AQ$55,3,FALSE))</f>
        <v>0</v>
      </c>
      <c r="J65" s="4">
        <f>(VLOOKUP('19.12'!R65,'19.12'!$AO$4:$AQ$55,3,FALSE))</f>
        <v>0</v>
      </c>
      <c r="K65" s="4">
        <f>(VLOOKUP('19.12'!S65,'19.12'!$AO$4:$AQ$55,3,FALSE))</f>
        <v>0</v>
      </c>
      <c r="L65" s="4">
        <f>(VLOOKUP('19.12'!T65,'19.12'!$AO$4:$AQ$55,3,FALSE))</f>
        <v>0</v>
      </c>
      <c r="M65" s="4">
        <f>(VLOOKUP('19.12'!U65,'19.12'!$AO$4:$AQ$55,3,FALSE))</f>
        <v>0</v>
      </c>
      <c r="N65" s="4">
        <f>(VLOOKUP('19.12'!V65,'19.12'!$AO$4:$AQ$55,3,FALSE))</f>
        <v>0</v>
      </c>
      <c r="O65" s="13">
        <f>(VLOOKUP('19.12'!W65,'19.12'!$AO$4:$AQ$55,3,FALSE))</f>
        <v>0</v>
      </c>
      <c r="P65" s="13">
        <f>(VLOOKUP('19.12'!X65,'19.12'!$AO$4:$AQ$55,3,FALSE))</f>
        <v>0</v>
      </c>
      <c r="Q65" s="4">
        <f>(VLOOKUP('19.12'!Y65,'19.12'!$AO$4:$AQ$55,3,FALSE))</f>
        <v>0</v>
      </c>
      <c r="R65" s="4">
        <f>(VLOOKUP('19.12'!Z65,'19.12'!$AO$4:$AQ$55,3,FALSE))</f>
        <v>0</v>
      </c>
      <c r="S65" s="4">
        <f>(VLOOKUP('19.12'!AA65,'19.12'!$AO$4:$AQ$55,3,FALSE))</f>
        <v>0</v>
      </c>
      <c r="T65" s="4">
        <f>(VLOOKUP('19.12'!AB65,'19.12'!$AO$4:$AQ$55,3,FALSE))</f>
        <v>0</v>
      </c>
      <c r="U65" s="4">
        <f>(VLOOKUP('19.12'!AC65,'19.12'!$AO$4:$AQ$55,3,FALSE))</f>
        <v>0</v>
      </c>
      <c r="V65" s="4">
        <f>(VLOOKUP('19.12'!AD65,'19.12'!$AO$4:$AQ$55,3,FALSE))</f>
        <v>0</v>
      </c>
      <c r="W65" s="13">
        <f>(VLOOKUP('19.12'!AE65,'19.12'!$AO$4:$AQ$55,3,FALSE))</f>
        <v>0</v>
      </c>
      <c r="X65" s="13">
        <f>(VLOOKUP('19.12'!AF65,'19.12'!$AO$4:$AQ$55,3,FALSE))</f>
        <v>0</v>
      </c>
    </row>
    <row r="66" spans="1:24">
      <c r="A66" s="4">
        <f>(VLOOKUP('19.12'!I66,'19.12'!$AO$4:$AQ$55,3,FALSE))</f>
        <v>0</v>
      </c>
      <c r="B66" s="4">
        <f>(VLOOKUP('19.12'!J66,'19.12'!$AO$4:$AQ$55,3,FALSE))</f>
        <v>0</v>
      </c>
      <c r="C66" s="4">
        <f>(VLOOKUP('19.12'!K66,'19.12'!$AO$4:$AQ$55,3,FALSE))</f>
        <v>0</v>
      </c>
      <c r="D66" s="4">
        <f>(VLOOKUP('19.12'!L66,'19.12'!$AO$4:$AQ$55,3,FALSE))</f>
        <v>0</v>
      </c>
      <c r="E66" s="4">
        <f>(VLOOKUP('19.12'!M66,'19.12'!$AO$4:$AQ$55,3,FALSE))</f>
        <v>0</v>
      </c>
      <c r="F66" s="4">
        <f>(VLOOKUP('19.12'!N66,'19.12'!$AO$4:$AQ$55,3,FALSE))</f>
        <v>0</v>
      </c>
      <c r="G66" s="13">
        <f>(VLOOKUP('19.12'!O66,'19.12'!$AO$4:$AQ$55,3,FALSE))</f>
        <v>0</v>
      </c>
      <c r="H66" s="13">
        <f>(VLOOKUP('19.12'!P66,'19.12'!$AO$4:$AQ$55,3,FALSE))</f>
        <v>0</v>
      </c>
      <c r="I66" s="4">
        <f>(VLOOKUP('19.12'!Q66,'19.12'!$AO$4:$AQ$55,3,FALSE))</f>
        <v>0</v>
      </c>
      <c r="J66" s="4">
        <f>(VLOOKUP('19.12'!R66,'19.12'!$AO$4:$AQ$55,3,FALSE))</f>
        <v>0</v>
      </c>
      <c r="K66" s="4">
        <f>(VLOOKUP('19.12'!S66,'19.12'!$AO$4:$AQ$55,3,FALSE))</f>
        <v>0</v>
      </c>
      <c r="L66" s="4">
        <f>(VLOOKUP('19.12'!T66,'19.12'!$AO$4:$AQ$55,3,FALSE))</f>
        <v>0</v>
      </c>
      <c r="M66" s="4">
        <f>(VLOOKUP('19.12'!U66,'19.12'!$AO$4:$AQ$55,3,FALSE))</f>
        <v>0</v>
      </c>
      <c r="N66" s="4">
        <f>(VLOOKUP('19.12'!V66,'19.12'!$AO$4:$AQ$55,3,FALSE))</f>
        <v>0</v>
      </c>
      <c r="O66" s="13">
        <f>(VLOOKUP('19.12'!W66,'19.12'!$AO$4:$AQ$55,3,FALSE))</f>
        <v>0</v>
      </c>
      <c r="P66" s="13">
        <f>(VLOOKUP('19.12'!X66,'19.12'!$AO$4:$AQ$55,3,FALSE))</f>
        <v>0</v>
      </c>
      <c r="Q66" s="4">
        <f>(VLOOKUP('19.12'!Y66,'19.12'!$AO$4:$AQ$55,3,FALSE))</f>
        <v>0</v>
      </c>
      <c r="R66" s="4">
        <f>(VLOOKUP('19.12'!Z66,'19.12'!$AO$4:$AQ$55,3,FALSE))</f>
        <v>0</v>
      </c>
      <c r="S66" s="4">
        <f>(VLOOKUP('19.12'!AA66,'19.12'!$AO$4:$AQ$55,3,FALSE))</f>
        <v>0</v>
      </c>
      <c r="T66" s="4">
        <f>(VLOOKUP('19.12'!AB66,'19.12'!$AO$4:$AQ$55,3,FALSE))</f>
        <v>0</v>
      </c>
      <c r="U66" s="4">
        <f>(VLOOKUP('19.12'!AC66,'19.12'!$AO$4:$AQ$55,3,FALSE))</f>
        <v>0</v>
      </c>
      <c r="V66" s="4">
        <f>(VLOOKUP('19.12'!AD66,'19.12'!$AO$4:$AQ$55,3,FALSE))</f>
        <v>0</v>
      </c>
      <c r="W66" s="13">
        <f>(VLOOKUP('19.12'!AE66,'19.12'!$AO$4:$AQ$55,3,FALSE))</f>
        <v>0</v>
      </c>
      <c r="X66" s="13">
        <f>(VLOOKUP('19.12'!AF66,'19.12'!$AO$4:$AQ$55,3,FALSE))</f>
        <v>0</v>
      </c>
    </row>
    <row r="67" spans="1:24">
      <c r="A67" s="4">
        <f>(VLOOKUP('19.12'!I67,'19.12'!$AO$4:$AQ$55,3,FALSE))</f>
        <v>0</v>
      </c>
      <c r="B67" s="4">
        <f>(VLOOKUP('19.12'!J67,'19.12'!$AO$4:$AQ$55,3,FALSE))</f>
        <v>0</v>
      </c>
      <c r="C67" s="4">
        <f>(VLOOKUP('19.12'!K67,'19.12'!$AO$4:$AQ$55,3,FALSE))</f>
        <v>0</v>
      </c>
      <c r="D67" s="4">
        <f>(VLOOKUP('19.12'!L67,'19.12'!$AO$4:$AQ$55,3,FALSE))</f>
        <v>0</v>
      </c>
      <c r="E67" s="4">
        <f>(VLOOKUP('19.12'!M67,'19.12'!$AO$4:$AQ$55,3,FALSE))</f>
        <v>0</v>
      </c>
      <c r="F67" s="4">
        <f>(VLOOKUP('19.12'!N67,'19.12'!$AO$4:$AQ$55,3,FALSE))</f>
        <v>0</v>
      </c>
      <c r="G67" s="13">
        <f>(VLOOKUP('19.12'!O67,'19.12'!$AO$4:$AQ$55,3,FALSE))</f>
        <v>0</v>
      </c>
      <c r="H67" s="13">
        <f>(VLOOKUP('19.12'!P67,'19.12'!$AO$4:$AQ$55,3,FALSE))</f>
        <v>0</v>
      </c>
      <c r="I67" s="4">
        <f>(VLOOKUP('19.12'!Q67,'19.12'!$AO$4:$AQ$55,3,FALSE))</f>
        <v>0</v>
      </c>
      <c r="J67" s="4">
        <f>(VLOOKUP('19.12'!R67,'19.12'!$AO$4:$AQ$55,3,FALSE))</f>
        <v>0</v>
      </c>
      <c r="K67" s="4">
        <f>(VLOOKUP('19.12'!S67,'19.12'!$AO$4:$AQ$55,3,FALSE))</f>
        <v>0</v>
      </c>
      <c r="L67" s="4">
        <f>(VLOOKUP('19.12'!T67,'19.12'!$AO$4:$AQ$55,3,FALSE))</f>
        <v>0</v>
      </c>
      <c r="M67" s="4">
        <f>(VLOOKUP('19.12'!U67,'19.12'!$AO$4:$AQ$55,3,FALSE))</f>
        <v>0</v>
      </c>
      <c r="N67" s="4">
        <f>(VLOOKUP('19.12'!V67,'19.12'!$AO$4:$AQ$55,3,FALSE))</f>
        <v>0</v>
      </c>
      <c r="O67" s="13">
        <f>(VLOOKUP('19.12'!W67,'19.12'!$AO$4:$AQ$55,3,FALSE))</f>
        <v>0</v>
      </c>
      <c r="P67" s="13">
        <f>(VLOOKUP('19.12'!X67,'19.12'!$AO$4:$AQ$55,3,FALSE))</f>
        <v>0</v>
      </c>
      <c r="Q67" s="4">
        <f>(VLOOKUP('19.12'!Y67,'19.12'!$AO$4:$AQ$55,3,FALSE))</f>
        <v>0</v>
      </c>
      <c r="R67" s="4">
        <f>(VLOOKUP('19.12'!Z67,'19.12'!$AO$4:$AQ$55,3,FALSE))</f>
        <v>0</v>
      </c>
      <c r="S67" s="4">
        <f>(VLOOKUP('19.12'!AA67,'19.12'!$AO$4:$AQ$55,3,FALSE))</f>
        <v>0</v>
      </c>
      <c r="T67" s="4">
        <f>(VLOOKUP('19.12'!AB67,'19.12'!$AO$4:$AQ$55,3,FALSE))</f>
        <v>0</v>
      </c>
      <c r="U67" s="4">
        <f>(VLOOKUP('19.12'!AC67,'19.12'!$AO$4:$AQ$55,3,FALSE))</f>
        <v>0</v>
      </c>
      <c r="V67" s="4">
        <f>(VLOOKUP('19.12'!AD67,'19.12'!$AO$4:$AQ$55,3,FALSE))</f>
        <v>0</v>
      </c>
      <c r="W67" s="13">
        <f>(VLOOKUP('19.12'!AE67,'19.12'!$AO$4:$AQ$55,3,FALSE))</f>
        <v>0</v>
      </c>
      <c r="X67" s="13">
        <f>(VLOOKUP('19.12'!AF67,'19.12'!$AO$4:$AQ$55,3,FALSE))</f>
        <v>0</v>
      </c>
    </row>
    <row r="68" spans="1:24">
      <c r="A68" s="4">
        <f>(VLOOKUP('19.12'!I68,'19.12'!$AO$4:$AQ$55,3,FALSE))</f>
        <v>0</v>
      </c>
      <c r="B68" s="4">
        <f>(VLOOKUP('19.12'!J68,'19.12'!$AO$4:$AQ$55,3,FALSE))</f>
        <v>0</v>
      </c>
      <c r="C68" s="4">
        <f>(VLOOKUP('19.12'!K68,'19.12'!$AO$4:$AQ$55,3,FALSE))</f>
        <v>0</v>
      </c>
      <c r="D68" s="4">
        <f>(VLOOKUP('19.12'!L68,'19.12'!$AO$4:$AQ$55,3,FALSE))</f>
        <v>0</v>
      </c>
      <c r="E68" s="4">
        <f>(VLOOKUP('19.12'!M68,'19.12'!$AO$4:$AQ$55,3,FALSE))</f>
        <v>0</v>
      </c>
      <c r="F68" s="4">
        <f>(VLOOKUP('19.12'!N68,'19.12'!$AO$4:$AQ$55,3,FALSE))</f>
        <v>0</v>
      </c>
      <c r="G68" s="13">
        <f>(VLOOKUP('19.12'!O68,'19.12'!$AO$4:$AQ$55,3,FALSE))</f>
        <v>0</v>
      </c>
      <c r="H68" s="13">
        <f>(VLOOKUP('19.12'!P68,'19.12'!$AO$4:$AQ$55,3,FALSE))</f>
        <v>0</v>
      </c>
      <c r="I68" s="4">
        <f>(VLOOKUP('19.12'!Q68,'19.12'!$AO$4:$AQ$55,3,FALSE))</f>
        <v>0</v>
      </c>
      <c r="J68" s="4">
        <f>(VLOOKUP('19.12'!R68,'19.12'!$AO$4:$AQ$55,3,FALSE))</f>
        <v>0</v>
      </c>
      <c r="K68" s="4">
        <f>(VLOOKUP('19.12'!S68,'19.12'!$AO$4:$AQ$55,3,FALSE))</f>
        <v>0</v>
      </c>
      <c r="L68" s="4">
        <f>(VLOOKUP('19.12'!T68,'19.12'!$AO$4:$AQ$55,3,FALSE))</f>
        <v>0</v>
      </c>
      <c r="M68" s="4">
        <f>(VLOOKUP('19.12'!U68,'19.12'!$AO$4:$AQ$55,3,FALSE))</f>
        <v>0</v>
      </c>
      <c r="N68" s="4">
        <f>(VLOOKUP('19.12'!V68,'19.12'!$AO$4:$AQ$55,3,FALSE))</f>
        <v>0</v>
      </c>
      <c r="O68" s="13">
        <f>(VLOOKUP('19.12'!W68,'19.12'!$AO$4:$AQ$55,3,FALSE))</f>
        <v>0</v>
      </c>
      <c r="P68" s="13">
        <f>(VLOOKUP('19.12'!X68,'19.12'!$AO$4:$AQ$55,3,FALSE))</f>
        <v>0</v>
      </c>
      <c r="Q68" s="4">
        <f>(VLOOKUP('19.12'!Y68,'19.12'!$AO$4:$AQ$55,3,FALSE))</f>
        <v>0</v>
      </c>
      <c r="R68" s="4">
        <f>(VLOOKUP('19.12'!Z68,'19.12'!$AO$4:$AQ$55,3,FALSE))</f>
        <v>0</v>
      </c>
      <c r="S68" s="4">
        <f>(VLOOKUP('19.12'!AA68,'19.12'!$AO$4:$AQ$55,3,FALSE))</f>
        <v>0</v>
      </c>
      <c r="T68" s="4">
        <f>(VLOOKUP('19.12'!AB68,'19.12'!$AO$4:$AQ$55,3,FALSE))</f>
        <v>0</v>
      </c>
      <c r="U68" s="4">
        <f>(VLOOKUP('19.12'!AC68,'19.12'!$AO$4:$AQ$55,3,FALSE))</f>
        <v>0</v>
      </c>
      <c r="V68" s="4">
        <f>(VLOOKUP('19.12'!AD68,'19.12'!$AO$4:$AQ$55,3,FALSE))</f>
        <v>0</v>
      </c>
      <c r="W68" s="13">
        <f>(VLOOKUP('19.12'!AE68,'19.12'!$AO$4:$AQ$55,3,FALSE))</f>
        <v>0</v>
      </c>
      <c r="X68" s="13">
        <f>(VLOOKUP('19.12'!AF68,'19.12'!$AO$4:$AQ$55,3,FALSE))</f>
        <v>0</v>
      </c>
    </row>
    <row r="69" spans="1:24">
      <c r="A69" s="4">
        <f>(VLOOKUP('19.12'!I69,'19.12'!$AO$4:$AQ$55,3,FALSE))</f>
        <v>0</v>
      </c>
      <c r="B69" s="4">
        <f>(VLOOKUP('19.12'!J69,'19.12'!$AO$4:$AQ$55,3,FALSE))</f>
        <v>0</v>
      </c>
      <c r="C69" s="4">
        <f>(VLOOKUP('19.12'!K69,'19.12'!$AO$4:$AQ$55,3,FALSE))</f>
        <v>0</v>
      </c>
      <c r="D69" s="4">
        <f>(VLOOKUP('19.12'!L69,'19.12'!$AO$4:$AQ$55,3,FALSE))</f>
        <v>0</v>
      </c>
      <c r="E69" s="4">
        <f>(VLOOKUP('19.12'!M69,'19.12'!$AO$4:$AQ$55,3,FALSE))</f>
        <v>0</v>
      </c>
      <c r="F69" s="4">
        <f>(VLOOKUP('19.12'!N69,'19.12'!$AO$4:$AQ$55,3,FALSE))</f>
        <v>0</v>
      </c>
      <c r="G69" s="13">
        <f>(VLOOKUP('19.12'!O69,'19.12'!$AO$4:$AQ$55,3,FALSE))</f>
        <v>0</v>
      </c>
      <c r="H69" s="13">
        <f>(VLOOKUP('19.12'!P69,'19.12'!$AO$4:$AQ$55,3,FALSE))</f>
        <v>0</v>
      </c>
      <c r="I69" s="4">
        <f>(VLOOKUP('19.12'!Q69,'19.12'!$AO$4:$AQ$55,3,FALSE))</f>
        <v>0</v>
      </c>
      <c r="J69" s="4">
        <f>(VLOOKUP('19.12'!R69,'19.12'!$AO$4:$AQ$55,3,FALSE))</f>
        <v>0</v>
      </c>
      <c r="K69" s="4">
        <f>(VLOOKUP('19.12'!S69,'19.12'!$AO$4:$AQ$55,3,FALSE))</f>
        <v>0</v>
      </c>
      <c r="L69" s="4">
        <f>(VLOOKUP('19.12'!T69,'19.12'!$AO$4:$AQ$55,3,FALSE))</f>
        <v>0</v>
      </c>
      <c r="M69" s="4">
        <f>(VLOOKUP('19.12'!U69,'19.12'!$AO$4:$AQ$55,3,FALSE))</f>
        <v>0</v>
      </c>
      <c r="N69" s="4">
        <f>(VLOOKUP('19.12'!V69,'19.12'!$AO$4:$AQ$55,3,FALSE))</f>
        <v>0</v>
      </c>
      <c r="O69" s="13">
        <f>(VLOOKUP('19.12'!W69,'19.12'!$AO$4:$AQ$55,3,FALSE))</f>
        <v>0</v>
      </c>
      <c r="P69" s="13">
        <f>(VLOOKUP('19.12'!X69,'19.12'!$AO$4:$AQ$55,3,FALSE))</f>
        <v>0</v>
      </c>
      <c r="Q69" s="4">
        <f>(VLOOKUP('19.12'!Y69,'19.12'!$AO$4:$AQ$55,3,FALSE))</f>
        <v>0</v>
      </c>
      <c r="R69" s="4">
        <f>(VLOOKUP('19.12'!Z69,'19.12'!$AO$4:$AQ$55,3,FALSE))</f>
        <v>0</v>
      </c>
      <c r="S69" s="4">
        <f>(VLOOKUP('19.12'!AA69,'19.12'!$AO$4:$AQ$55,3,FALSE))</f>
        <v>0</v>
      </c>
      <c r="T69" s="4">
        <f>(VLOOKUP('19.12'!AB69,'19.12'!$AO$4:$AQ$55,3,FALSE))</f>
        <v>0</v>
      </c>
      <c r="U69" s="4">
        <f>(VLOOKUP('19.12'!AC69,'19.12'!$AO$4:$AQ$55,3,FALSE))</f>
        <v>0</v>
      </c>
      <c r="V69" s="4">
        <f>(VLOOKUP('19.12'!AD69,'19.12'!$AO$4:$AQ$55,3,FALSE))</f>
        <v>0</v>
      </c>
      <c r="W69" s="13">
        <f>(VLOOKUP('19.12'!AE69,'19.12'!$AO$4:$AQ$55,3,FALSE))</f>
        <v>0</v>
      </c>
      <c r="X69" s="13">
        <f>(VLOOKUP('19.12'!AF69,'19.12'!$AO$4:$AQ$55,3,FALSE))</f>
        <v>0</v>
      </c>
    </row>
    <row r="70" spans="1:24">
      <c r="A70" s="4">
        <f>(VLOOKUP('19.12'!I70,'19.12'!$AO$4:$AQ$55,3,FALSE))</f>
        <v>0</v>
      </c>
      <c r="B70" s="4">
        <f>(VLOOKUP('19.12'!J70,'19.12'!$AO$4:$AQ$55,3,FALSE))</f>
        <v>0</v>
      </c>
      <c r="C70" s="4">
        <f>(VLOOKUP('19.12'!K70,'19.12'!$AO$4:$AQ$55,3,FALSE))</f>
        <v>0</v>
      </c>
      <c r="D70" s="4">
        <f>(VLOOKUP('19.12'!L70,'19.12'!$AO$4:$AQ$55,3,FALSE))</f>
        <v>0</v>
      </c>
      <c r="E70" s="4">
        <f>(VLOOKUP('19.12'!M70,'19.12'!$AO$4:$AQ$55,3,FALSE))</f>
        <v>0</v>
      </c>
      <c r="F70" s="4">
        <f>(VLOOKUP('19.12'!N70,'19.12'!$AO$4:$AQ$55,3,FALSE))</f>
        <v>0</v>
      </c>
      <c r="G70" s="13">
        <f>(VLOOKUP('19.12'!O70,'19.12'!$AO$4:$AQ$55,3,FALSE))</f>
        <v>0</v>
      </c>
      <c r="H70" s="13">
        <f>(VLOOKUP('19.12'!P70,'19.12'!$AO$4:$AQ$55,3,FALSE))</f>
        <v>0</v>
      </c>
      <c r="I70" s="4">
        <f>(VLOOKUP('19.12'!Q70,'19.12'!$AO$4:$AQ$55,3,FALSE))</f>
        <v>0</v>
      </c>
      <c r="J70" s="4">
        <f>(VLOOKUP('19.12'!R70,'19.12'!$AO$4:$AQ$55,3,FALSE))</f>
        <v>0</v>
      </c>
      <c r="K70" s="4">
        <f>(VLOOKUP('19.12'!S70,'19.12'!$AO$4:$AQ$55,3,FALSE))</f>
        <v>0</v>
      </c>
      <c r="L70" s="4">
        <f>(VLOOKUP('19.12'!T70,'19.12'!$AO$4:$AQ$55,3,FALSE))</f>
        <v>0</v>
      </c>
      <c r="M70" s="4">
        <f>(VLOOKUP('19.12'!U70,'19.12'!$AO$4:$AQ$55,3,FALSE))</f>
        <v>0</v>
      </c>
      <c r="N70" s="4">
        <f>(VLOOKUP('19.12'!V70,'19.12'!$AO$4:$AQ$55,3,FALSE))</f>
        <v>0</v>
      </c>
      <c r="O70" s="13">
        <f>(VLOOKUP('19.12'!W70,'19.12'!$AO$4:$AQ$55,3,FALSE))</f>
        <v>0</v>
      </c>
      <c r="P70" s="13">
        <f>(VLOOKUP('19.12'!X70,'19.12'!$AO$4:$AQ$55,3,FALSE))</f>
        <v>0</v>
      </c>
      <c r="Q70" s="4">
        <f>(VLOOKUP('19.12'!Y70,'19.12'!$AO$4:$AQ$55,3,FALSE))</f>
        <v>0</v>
      </c>
      <c r="R70" s="4">
        <f>(VLOOKUP('19.12'!Z70,'19.12'!$AO$4:$AQ$55,3,FALSE))</f>
        <v>0</v>
      </c>
      <c r="S70" s="4">
        <f>(VLOOKUP('19.12'!AA70,'19.12'!$AO$4:$AQ$55,3,FALSE))</f>
        <v>0</v>
      </c>
      <c r="T70" s="4">
        <f>(VLOOKUP('19.12'!AB70,'19.12'!$AO$4:$AQ$55,3,FALSE))</f>
        <v>0</v>
      </c>
      <c r="U70" s="4">
        <f>(VLOOKUP('19.12'!AC70,'19.12'!$AO$4:$AQ$55,3,FALSE))</f>
        <v>0</v>
      </c>
      <c r="V70" s="4">
        <f>(VLOOKUP('19.12'!AD70,'19.12'!$AO$4:$AQ$55,3,FALSE))</f>
        <v>0</v>
      </c>
      <c r="W70" s="13">
        <f>(VLOOKUP('19.12'!AE70,'19.12'!$AO$4:$AQ$55,3,FALSE))</f>
        <v>0</v>
      </c>
      <c r="X70" s="13">
        <f>(VLOOKUP('19.12'!AF70,'19.12'!$AO$4:$AQ$55,3,FALSE))</f>
        <v>0</v>
      </c>
    </row>
    <row r="71" spans="1:24">
      <c r="A71" s="4">
        <f>(VLOOKUP('19.12'!I71,'19.12'!$AO$4:$AQ$55,3,FALSE))</f>
        <v>0</v>
      </c>
      <c r="B71" s="4">
        <f>(VLOOKUP('19.12'!J71,'19.12'!$AO$4:$AQ$55,3,FALSE))</f>
        <v>0</v>
      </c>
      <c r="C71" s="4">
        <f>(VLOOKUP('19.12'!K71,'19.12'!$AO$4:$AQ$55,3,FALSE))</f>
        <v>0</v>
      </c>
      <c r="D71" s="4">
        <f>(VLOOKUP('19.12'!L71,'19.12'!$AO$4:$AQ$55,3,FALSE))</f>
        <v>0</v>
      </c>
      <c r="E71" s="4">
        <f>(VLOOKUP('19.12'!M71,'19.12'!$AO$4:$AQ$55,3,FALSE))</f>
        <v>0</v>
      </c>
      <c r="F71" s="4">
        <f>(VLOOKUP('19.12'!N71,'19.12'!$AO$4:$AQ$55,3,FALSE))</f>
        <v>0</v>
      </c>
      <c r="G71" s="13">
        <f>(VLOOKUP('19.12'!O71,'19.12'!$AO$4:$AQ$55,3,FALSE))</f>
        <v>0</v>
      </c>
      <c r="H71" s="13">
        <f>(VLOOKUP('19.12'!P71,'19.12'!$AO$4:$AQ$55,3,FALSE))</f>
        <v>0</v>
      </c>
      <c r="I71" s="4">
        <f>(VLOOKUP('19.12'!Q71,'19.12'!$AO$4:$AQ$55,3,FALSE))</f>
        <v>0</v>
      </c>
      <c r="J71" s="4">
        <f>(VLOOKUP('19.12'!R71,'19.12'!$AO$4:$AQ$55,3,FALSE))</f>
        <v>0</v>
      </c>
      <c r="K71" s="4">
        <f>(VLOOKUP('19.12'!S71,'19.12'!$AO$4:$AQ$55,3,FALSE))</f>
        <v>0</v>
      </c>
      <c r="L71" s="4">
        <f>(VLOOKUP('19.12'!T71,'19.12'!$AO$4:$AQ$55,3,FALSE))</f>
        <v>0</v>
      </c>
      <c r="M71" s="4">
        <f>(VLOOKUP('19.12'!U71,'19.12'!$AO$4:$AQ$55,3,FALSE))</f>
        <v>0</v>
      </c>
      <c r="N71" s="4">
        <f>(VLOOKUP('19.12'!V71,'19.12'!$AO$4:$AQ$55,3,FALSE))</f>
        <v>0</v>
      </c>
      <c r="O71" s="13">
        <f>(VLOOKUP('19.12'!W71,'19.12'!$AO$4:$AQ$55,3,FALSE))</f>
        <v>0</v>
      </c>
      <c r="P71" s="13">
        <f>(VLOOKUP('19.12'!X71,'19.12'!$AO$4:$AQ$55,3,FALSE))</f>
        <v>0</v>
      </c>
      <c r="Q71" s="4">
        <f>(VLOOKUP('19.12'!Y71,'19.12'!$AO$4:$AQ$55,3,FALSE))</f>
        <v>0</v>
      </c>
      <c r="R71" s="4">
        <f>(VLOOKUP('19.12'!Z71,'19.12'!$AO$4:$AQ$55,3,FALSE))</f>
        <v>0</v>
      </c>
      <c r="S71" s="4">
        <f>(VLOOKUP('19.12'!AA71,'19.12'!$AO$4:$AQ$55,3,FALSE))</f>
        <v>0</v>
      </c>
      <c r="T71" s="4">
        <f>(VLOOKUP('19.12'!AB71,'19.12'!$AO$4:$AQ$55,3,FALSE))</f>
        <v>0</v>
      </c>
      <c r="U71" s="4">
        <f>(VLOOKUP('19.12'!AC71,'19.12'!$AO$4:$AQ$55,3,FALSE))</f>
        <v>0</v>
      </c>
      <c r="V71" s="4">
        <f>(VLOOKUP('19.12'!AD71,'19.12'!$AO$4:$AQ$55,3,FALSE))</f>
        <v>0</v>
      </c>
      <c r="W71" s="13">
        <f>(VLOOKUP('19.12'!AE71,'19.12'!$AO$4:$AQ$55,3,FALSE))</f>
        <v>0</v>
      </c>
      <c r="X71" s="13">
        <f>(VLOOKUP('19.12'!AF71,'19.12'!$AO$4:$AQ$55,3,FALSE))</f>
        <v>0</v>
      </c>
    </row>
    <row r="72" spans="1:24">
      <c r="A72" s="4">
        <f>(VLOOKUP('19.12'!I72,'19.12'!$AO$4:$AQ$55,3,FALSE))</f>
        <v>0</v>
      </c>
      <c r="B72" s="4">
        <f>(VLOOKUP('19.12'!J72,'19.12'!$AO$4:$AQ$55,3,FALSE))</f>
        <v>0</v>
      </c>
      <c r="C72" s="4">
        <f>(VLOOKUP('19.12'!K72,'19.12'!$AO$4:$AQ$55,3,FALSE))</f>
        <v>0</v>
      </c>
      <c r="D72" s="4">
        <f>(VLOOKUP('19.12'!L72,'19.12'!$AO$4:$AQ$55,3,FALSE))</f>
        <v>0</v>
      </c>
      <c r="E72" s="4">
        <f>(VLOOKUP('19.12'!M72,'19.12'!$AO$4:$AQ$55,3,FALSE))</f>
        <v>0</v>
      </c>
      <c r="F72" s="4">
        <f>(VLOOKUP('19.12'!N72,'19.12'!$AO$4:$AQ$55,3,FALSE))</f>
        <v>0</v>
      </c>
      <c r="G72" s="13">
        <f>(VLOOKUP('19.12'!O72,'19.12'!$AO$4:$AQ$55,3,FALSE))</f>
        <v>0</v>
      </c>
      <c r="H72" s="13">
        <f>(VLOOKUP('19.12'!P72,'19.12'!$AO$4:$AQ$55,3,FALSE))</f>
        <v>0</v>
      </c>
      <c r="I72" s="4">
        <f>(VLOOKUP('19.12'!Q72,'19.12'!$AO$4:$AQ$55,3,FALSE))</f>
        <v>0</v>
      </c>
      <c r="J72" s="4">
        <f>(VLOOKUP('19.12'!R72,'19.12'!$AO$4:$AQ$55,3,FALSE))</f>
        <v>0</v>
      </c>
      <c r="K72" s="4">
        <f>(VLOOKUP('19.12'!S72,'19.12'!$AO$4:$AQ$55,3,FALSE))</f>
        <v>0</v>
      </c>
      <c r="L72" s="4">
        <f>(VLOOKUP('19.12'!T72,'19.12'!$AO$4:$AQ$55,3,FALSE))</f>
        <v>0</v>
      </c>
      <c r="M72" s="4">
        <f>(VLOOKUP('19.12'!U72,'19.12'!$AO$4:$AQ$55,3,FALSE))</f>
        <v>0</v>
      </c>
      <c r="N72" s="4">
        <f>(VLOOKUP('19.12'!V72,'19.12'!$AO$4:$AQ$55,3,FALSE))</f>
        <v>0</v>
      </c>
      <c r="O72" s="13">
        <f>(VLOOKUP('19.12'!W72,'19.12'!$AO$4:$AQ$55,3,FALSE))</f>
        <v>0</v>
      </c>
      <c r="P72" s="13">
        <f>(VLOOKUP('19.12'!X72,'19.12'!$AO$4:$AQ$55,3,FALSE))</f>
        <v>0</v>
      </c>
      <c r="Q72" s="4">
        <f>(VLOOKUP('19.12'!Y72,'19.12'!$AO$4:$AQ$55,3,FALSE))</f>
        <v>0</v>
      </c>
      <c r="R72" s="4">
        <f>(VLOOKUP('19.12'!Z72,'19.12'!$AO$4:$AQ$55,3,FALSE))</f>
        <v>0</v>
      </c>
      <c r="S72" s="4">
        <f>(VLOOKUP('19.12'!AA72,'19.12'!$AO$4:$AQ$55,3,FALSE))</f>
        <v>0</v>
      </c>
      <c r="T72" s="4">
        <f>(VLOOKUP('19.12'!AB72,'19.12'!$AO$4:$AQ$55,3,FALSE))</f>
        <v>0</v>
      </c>
      <c r="U72" s="4">
        <f>(VLOOKUP('19.12'!AC72,'19.12'!$AO$4:$AQ$55,3,FALSE))</f>
        <v>0</v>
      </c>
      <c r="V72" s="4">
        <f>(VLOOKUP('19.12'!AD72,'19.12'!$AO$4:$AQ$55,3,FALSE))</f>
        <v>0</v>
      </c>
      <c r="W72" s="13">
        <f>(VLOOKUP('19.12'!AE72,'19.12'!$AO$4:$AQ$55,3,FALSE))</f>
        <v>0</v>
      </c>
      <c r="X72" s="13">
        <f>(VLOOKUP('19.12'!AF72,'19.12'!$AO$4:$AQ$55,3,FALSE))</f>
        <v>0</v>
      </c>
    </row>
    <row r="73" spans="1:24">
      <c r="A73" s="4">
        <f>(VLOOKUP('19.12'!I73,'19.12'!$AO$4:$AQ$55,3,FALSE))</f>
        <v>0</v>
      </c>
      <c r="B73" s="4">
        <f>(VLOOKUP('19.12'!J73,'19.12'!$AO$4:$AQ$55,3,FALSE))</f>
        <v>0</v>
      </c>
      <c r="C73" s="4">
        <f>(VLOOKUP('19.12'!K73,'19.12'!$AO$4:$AQ$55,3,FALSE))</f>
        <v>0</v>
      </c>
      <c r="D73" s="4">
        <f>(VLOOKUP('19.12'!L73,'19.12'!$AO$4:$AQ$55,3,FALSE))</f>
        <v>0</v>
      </c>
      <c r="E73" s="4">
        <f>(VLOOKUP('19.12'!M73,'19.12'!$AO$4:$AQ$55,3,FALSE))</f>
        <v>0</v>
      </c>
      <c r="F73" s="4">
        <f>(VLOOKUP('19.12'!N73,'19.12'!$AO$4:$AQ$55,3,FALSE))</f>
        <v>0</v>
      </c>
      <c r="G73" s="13">
        <f>(VLOOKUP('19.12'!O73,'19.12'!$AO$4:$AQ$55,3,FALSE))</f>
        <v>0</v>
      </c>
      <c r="H73" s="13">
        <f>(VLOOKUP('19.12'!P73,'19.12'!$AO$4:$AQ$55,3,FALSE))</f>
        <v>0</v>
      </c>
      <c r="I73" s="4">
        <f>(VLOOKUP('19.12'!Q73,'19.12'!$AO$4:$AQ$55,3,FALSE))</f>
        <v>0</v>
      </c>
      <c r="J73" s="4">
        <f>(VLOOKUP('19.12'!R73,'19.12'!$AO$4:$AQ$55,3,FALSE))</f>
        <v>0</v>
      </c>
      <c r="K73" s="4">
        <f>(VLOOKUP('19.12'!S73,'19.12'!$AO$4:$AQ$55,3,FALSE))</f>
        <v>0</v>
      </c>
      <c r="L73" s="4">
        <f>(VLOOKUP('19.12'!T73,'19.12'!$AO$4:$AQ$55,3,FALSE))</f>
        <v>0</v>
      </c>
      <c r="M73" s="4">
        <f>(VLOOKUP('19.12'!U73,'19.12'!$AO$4:$AQ$55,3,FALSE))</f>
        <v>0</v>
      </c>
      <c r="N73" s="4">
        <f>(VLOOKUP('19.12'!V73,'19.12'!$AO$4:$AQ$55,3,FALSE))</f>
        <v>0</v>
      </c>
      <c r="O73" s="13">
        <f>(VLOOKUP('19.12'!W73,'19.12'!$AO$4:$AQ$55,3,FALSE))</f>
        <v>0</v>
      </c>
      <c r="P73" s="13">
        <f>(VLOOKUP('19.12'!X73,'19.12'!$AO$4:$AQ$55,3,FALSE))</f>
        <v>0</v>
      </c>
      <c r="Q73" s="4">
        <f>(VLOOKUP('19.12'!Y73,'19.12'!$AO$4:$AQ$55,3,FALSE))</f>
        <v>0</v>
      </c>
      <c r="R73" s="4">
        <f>(VLOOKUP('19.12'!Z73,'19.12'!$AO$4:$AQ$55,3,FALSE))</f>
        <v>0</v>
      </c>
      <c r="S73" s="4">
        <f>(VLOOKUP('19.12'!AA73,'19.12'!$AO$4:$AQ$55,3,FALSE))</f>
        <v>0</v>
      </c>
      <c r="T73" s="4">
        <f>(VLOOKUP('19.12'!AB73,'19.12'!$AO$4:$AQ$55,3,FALSE))</f>
        <v>0</v>
      </c>
      <c r="U73" s="4">
        <f>(VLOOKUP('19.12'!AC73,'19.12'!$AO$4:$AQ$55,3,FALSE))</f>
        <v>0</v>
      </c>
      <c r="V73" s="4">
        <f>(VLOOKUP('19.12'!AD73,'19.12'!$AO$4:$AQ$55,3,FALSE))</f>
        <v>0</v>
      </c>
      <c r="W73" s="13">
        <f>(VLOOKUP('19.12'!AE73,'19.12'!$AO$4:$AQ$55,3,FALSE))</f>
        <v>0</v>
      </c>
      <c r="X73" s="13">
        <f>(VLOOKUP('19.12'!AF73,'19.12'!$AO$4:$AQ$55,3,FALSE))</f>
        <v>0</v>
      </c>
    </row>
    <row r="74" spans="1:24">
      <c r="A74" s="4">
        <f>(VLOOKUP('19.12'!I74,'19.12'!$AO$4:$AQ$55,3,FALSE))</f>
        <v>0</v>
      </c>
      <c r="B74" s="4">
        <f>(VLOOKUP('19.12'!J74,'19.12'!$AO$4:$AQ$55,3,FALSE))</f>
        <v>0</v>
      </c>
      <c r="C74" s="4">
        <f>(VLOOKUP('19.12'!K74,'19.12'!$AO$4:$AQ$55,3,FALSE))</f>
        <v>0</v>
      </c>
      <c r="D74" s="4">
        <f>(VLOOKUP('19.12'!L74,'19.12'!$AO$4:$AQ$55,3,FALSE))</f>
        <v>0</v>
      </c>
      <c r="E74" s="4">
        <f>(VLOOKUP('19.12'!M74,'19.12'!$AO$4:$AQ$55,3,FALSE))</f>
        <v>0</v>
      </c>
      <c r="F74" s="4">
        <f>(VLOOKUP('19.12'!N74,'19.12'!$AO$4:$AQ$55,3,FALSE))</f>
        <v>0</v>
      </c>
      <c r="G74" s="13">
        <f>(VLOOKUP('19.12'!O74,'19.12'!$AO$4:$AQ$55,3,FALSE))</f>
        <v>0</v>
      </c>
      <c r="H74" s="13">
        <f>(VLOOKUP('19.12'!P74,'19.12'!$AO$4:$AQ$55,3,FALSE))</f>
        <v>0</v>
      </c>
      <c r="I74" s="4">
        <f>(VLOOKUP('19.12'!Q74,'19.12'!$AO$4:$AQ$55,3,FALSE))</f>
        <v>0</v>
      </c>
      <c r="J74" s="4">
        <f>(VLOOKUP('19.12'!R74,'19.12'!$AO$4:$AQ$55,3,FALSE))</f>
        <v>0</v>
      </c>
      <c r="K74" s="4">
        <f>(VLOOKUP('19.12'!S74,'19.12'!$AO$4:$AQ$55,3,FALSE))</f>
        <v>0</v>
      </c>
      <c r="L74" s="4">
        <f>(VLOOKUP('19.12'!T74,'19.12'!$AO$4:$AQ$55,3,FALSE))</f>
        <v>0</v>
      </c>
      <c r="M74" s="4">
        <f>(VLOOKUP('19.12'!U74,'19.12'!$AO$4:$AQ$55,3,FALSE))</f>
        <v>0</v>
      </c>
      <c r="N74" s="4">
        <f>(VLOOKUP('19.12'!V74,'19.12'!$AO$4:$AQ$55,3,FALSE))</f>
        <v>0</v>
      </c>
      <c r="O74" s="13">
        <f>(VLOOKUP('19.12'!W74,'19.12'!$AO$4:$AQ$55,3,FALSE))</f>
        <v>0</v>
      </c>
      <c r="P74" s="13">
        <f>(VLOOKUP('19.12'!X74,'19.12'!$AO$4:$AQ$55,3,FALSE))</f>
        <v>0</v>
      </c>
      <c r="Q74" s="4">
        <f>(VLOOKUP('19.12'!Y74,'19.12'!$AO$4:$AQ$55,3,FALSE))</f>
        <v>0</v>
      </c>
      <c r="R74" s="4">
        <f>(VLOOKUP('19.12'!Z74,'19.12'!$AO$4:$AQ$55,3,FALSE))</f>
        <v>0</v>
      </c>
      <c r="S74" s="4">
        <f>(VLOOKUP('19.12'!AA74,'19.12'!$AO$4:$AQ$55,3,FALSE))</f>
        <v>0</v>
      </c>
      <c r="T74" s="4">
        <f>(VLOOKUP('19.12'!AB74,'19.12'!$AO$4:$AQ$55,3,FALSE))</f>
        <v>0</v>
      </c>
      <c r="U74" s="4">
        <f>(VLOOKUP('19.12'!AC74,'19.12'!$AO$4:$AQ$55,3,FALSE))</f>
        <v>0</v>
      </c>
      <c r="V74" s="4">
        <f>(VLOOKUP('19.12'!AD74,'19.12'!$AO$4:$AQ$55,3,FALSE))</f>
        <v>0</v>
      </c>
      <c r="W74" s="13">
        <f>(VLOOKUP('19.12'!AE74,'19.12'!$AO$4:$AQ$55,3,FALSE))</f>
        <v>0</v>
      </c>
      <c r="X74" s="13">
        <f>(VLOOKUP('19.12'!AF74,'19.12'!$AO$4:$AQ$55,3,FALSE))</f>
        <v>0</v>
      </c>
    </row>
    <row r="75" spans="1:24">
      <c r="A75" s="4">
        <f>(VLOOKUP('19.12'!I75,'19.12'!$AO$4:$AQ$55,3,FALSE))</f>
        <v>0</v>
      </c>
      <c r="B75" s="4">
        <f>(VLOOKUP('19.12'!J75,'19.12'!$AO$4:$AQ$55,3,FALSE))</f>
        <v>0</v>
      </c>
      <c r="C75" s="4">
        <f>(VLOOKUP('19.12'!K75,'19.12'!$AO$4:$AQ$55,3,FALSE))</f>
        <v>0</v>
      </c>
      <c r="D75" s="4">
        <f>(VLOOKUP('19.12'!L75,'19.12'!$AO$4:$AQ$55,3,FALSE))</f>
        <v>0</v>
      </c>
      <c r="E75" s="4">
        <f>(VLOOKUP('19.12'!M75,'19.12'!$AO$4:$AQ$55,3,FALSE))</f>
        <v>0</v>
      </c>
      <c r="F75" s="4">
        <f>(VLOOKUP('19.12'!N75,'19.12'!$AO$4:$AQ$55,3,FALSE))</f>
        <v>0</v>
      </c>
      <c r="G75" s="13">
        <f>(VLOOKUP('19.12'!O75,'19.12'!$AO$4:$AQ$55,3,FALSE))</f>
        <v>0</v>
      </c>
      <c r="H75" s="13">
        <f>(VLOOKUP('19.12'!P75,'19.12'!$AO$4:$AQ$55,3,FALSE))</f>
        <v>0</v>
      </c>
      <c r="I75" s="4">
        <f>(VLOOKUP('19.12'!Q75,'19.12'!$AO$4:$AQ$55,3,FALSE))</f>
        <v>0</v>
      </c>
      <c r="J75" s="4">
        <f>(VLOOKUP('19.12'!R75,'19.12'!$AO$4:$AQ$55,3,FALSE))</f>
        <v>0</v>
      </c>
      <c r="K75" s="4">
        <f>(VLOOKUP('19.12'!S75,'19.12'!$AO$4:$AQ$55,3,FALSE))</f>
        <v>0</v>
      </c>
      <c r="L75" s="4">
        <f>(VLOOKUP('19.12'!T75,'19.12'!$AO$4:$AQ$55,3,FALSE))</f>
        <v>0</v>
      </c>
      <c r="M75" s="4">
        <f>(VLOOKUP('19.12'!U75,'19.12'!$AO$4:$AQ$55,3,FALSE))</f>
        <v>0</v>
      </c>
      <c r="N75" s="4">
        <f>(VLOOKUP('19.12'!V75,'19.12'!$AO$4:$AQ$55,3,FALSE))</f>
        <v>0</v>
      </c>
      <c r="O75" s="13">
        <f>(VLOOKUP('19.12'!W75,'19.12'!$AO$4:$AQ$55,3,FALSE))</f>
        <v>0</v>
      </c>
      <c r="P75" s="13">
        <f>(VLOOKUP('19.12'!X75,'19.12'!$AO$4:$AQ$55,3,FALSE))</f>
        <v>0</v>
      </c>
      <c r="Q75" s="4">
        <f>(VLOOKUP('19.12'!Y75,'19.12'!$AO$4:$AQ$55,3,FALSE))</f>
        <v>0</v>
      </c>
      <c r="R75" s="4">
        <f>(VLOOKUP('19.12'!Z75,'19.12'!$AO$4:$AQ$55,3,FALSE))</f>
        <v>0</v>
      </c>
      <c r="S75" s="4">
        <f>(VLOOKUP('19.12'!AA75,'19.12'!$AO$4:$AQ$55,3,FALSE))</f>
        <v>0</v>
      </c>
      <c r="T75" s="4">
        <f>(VLOOKUP('19.12'!AB75,'19.12'!$AO$4:$AQ$55,3,FALSE))</f>
        <v>0</v>
      </c>
      <c r="U75" s="4">
        <f>(VLOOKUP('19.12'!AC75,'19.12'!$AO$4:$AQ$55,3,FALSE))</f>
        <v>0</v>
      </c>
      <c r="V75" s="4">
        <f>(VLOOKUP('19.12'!AD75,'19.12'!$AO$4:$AQ$55,3,FALSE))</f>
        <v>0</v>
      </c>
      <c r="W75" s="13">
        <f>(VLOOKUP('19.12'!AE75,'19.12'!$AO$4:$AQ$55,3,FALSE))</f>
        <v>0</v>
      </c>
      <c r="X75" s="13">
        <f>(VLOOKUP('19.12'!AF75,'19.12'!$AO$4:$AQ$55,3,FALSE))</f>
        <v>0</v>
      </c>
    </row>
    <row r="76" spans="1:24">
      <c r="A76" s="4">
        <f>(VLOOKUP('19.12'!I76,'19.12'!$AO$4:$AQ$55,3,FALSE))</f>
        <v>0</v>
      </c>
      <c r="B76" s="4">
        <f>(VLOOKUP('19.12'!J76,'19.12'!$AO$4:$AQ$55,3,FALSE))</f>
        <v>0</v>
      </c>
      <c r="C76" s="4">
        <f>(VLOOKUP('19.12'!K76,'19.12'!$AO$4:$AQ$55,3,FALSE))</f>
        <v>0</v>
      </c>
      <c r="D76" s="4">
        <f>(VLOOKUP('19.12'!L76,'19.12'!$AO$4:$AQ$55,3,FALSE))</f>
        <v>0</v>
      </c>
      <c r="E76" s="4">
        <f>(VLOOKUP('19.12'!M76,'19.12'!$AO$4:$AQ$55,3,FALSE))</f>
        <v>0</v>
      </c>
      <c r="F76" s="4">
        <f>(VLOOKUP('19.12'!N76,'19.12'!$AO$4:$AQ$55,3,FALSE))</f>
        <v>0</v>
      </c>
      <c r="G76" s="13">
        <f>(VLOOKUP('19.12'!O76,'19.12'!$AO$4:$AQ$55,3,FALSE))</f>
        <v>0</v>
      </c>
      <c r="H76" s="13">
        <f>(VLOOKUP('19.12'!P76,'19.12'!$AO$4:$AQ$55,3,FALSE))</f>
        <v>0</v>
      </c>
      <c r="I76" s="4">
        <f>(VLOOKUP('19.12'!Q76,'19.12'!$AO$4:$AQ$55,3,FALSE))</f>
        <v>0</v>
      </c>
      <c r="J76" s="4">
        <f>(VLOOKUP('19.12'!R76,'19.12'!$AO$4:$AQ$55,3,FALSE))</f>
        <v>0</v>
      </c>
      <c r="K76" s="4">
        <f>(VLOOKUP('19.12'!S76,'19.12'!$AO$4:$AQ$55,3,FALSE))</f>
        <v>0</v>
      </c>
      <c r="L76" s="4">
        <f>(VLOOKUP('19.12'!T76,'19.12'!$AO$4:$AQ$55,3,FALSE))</f>
        <v>0</v>
      </c>
      <c r="M76" s="4">
        <f>(VLOOKUP('19.12'!U76,'19.12'!$AO$4:$AQ$55,3,FALSE))</f>
        <v>0</v>
      </c>
      <c r="N76" s="4">
        <f>(VLOOKUP('19.12'!V76,'19.12'!$AO$4:$AQ$55,3,FALSE))</f>
        <v>0</v>
      </c>
      <c r="O76" s="13">
        <f>(VLOOKUP('19.12'!W76,'19.12'!$AO$4:$AQ$55,3,FALSE))</f>
        <v>0</v>
      </c>
      <c r="P76" s="13">
        <f>(VLOOKUP('19.12'!X76,'19.12'!$AO$4:$AQ$55,3,FALSE))</f>
        <v>0</v>
      </c>
      <c r="Q76" s="4">
        <f>(VLOOKUP('19.12'!Y76,'19.12'!$AO$4:$AQ$55,3,FALSE))</f>
        <v>0</v>
      </c>
      <c r="R76" s="4">
        <f>(VLOOKUP('19.12'!Z76,'19.12'!$AO$4:$AQ$55,3,FALSE))</f>
        <v>0</v>
      </c>
      <c r="S76" s="4">
        <f>(VLOOKUP('19.12'!AA76,'19.12'!$AO$4:$AQ$55,3,FALSE))</f>
        <v>0</v>
      </c>
      <c r="T76" s="4">
        <f>(VLOOKUP('19.12'!AB76,'19.12'!$AO$4:$AQ$55,3,FALSE))</f>
        <v>0</v>
      </c>
      <c r="U76" s="4">
        <f>(VLOOKUP('19.12'!AC76,'19.12'!$AO$4:$AQ$55,3,FALSE))</f>
        <v>0</v>
      </c>
      <c r="V76" s="4">
        <f>(VLOOKUP('19.12'!AD76,'19.12'!$AO$4:$AQ$55,3,FALSE))</f>
        <v>0</v>
      </c>
      <c r="W76" s="13">
        <f>(VLOOKUP('19.12'!AE76,'19.12'!$AO$4:$AQ$55,3,FALSE))</f>
        <v>0</v>
      </c>
      <c r="X76" s="13">
        <f>(VLOOKUP('19.12'!AF76,'19.12'!$AO$4:$AQ$55,3,FALSE))</f>
        <v>0</v>
      </c>
    </row>
    <row r="77" spans="1:24">
      <c r="A77" s="4">
        <f>(VLOOKUP('19.12'!I77,'19.12'!$AO$4:$AQ$55,3,FALSE))</f>
        <v>0</v>
      </c>
      <c r="B77" s="4">
        <f>(VLOOKUP('19.12'!J77,'19.12'!$AO$4:$AQ$55,3,FALSE))</f>
        <v>0</v>
      </c>
      <c r="C77" s="4">
        <f>(VLOOKUP('19.12'!K77,'19.12'!$AO$4:$AQ$55,3,FALSE))</f>
        <v>0</v>
      </c>
      <c r="D77" s="4">
        <f>(VLOOKUP('19.12'!L77,'19.12'!$AO$4:$AQ$55,3,FALSE))</f>
        <v>0</v>
      </c>
      <c r="E77" s="4">
        <f>(VLOOKUP('19.12'!M77,'19.12'!$AO$4:$AQ$55,3,FALSE))</f>
        <v>0</v>
      </c>
      <c r="F77" s="4">
        <f>(VLOOKUP('19.12'!N77,'19.12'!$AO$4:$AQ$55,3,FALSE))</f>
        <v>0</v>
      </c>
      <c r="G77" s="13">
        <f>(VLOOKUP('19.12'!O77,'19.12'!$AO$4:$AQ$55,3,FALSE))</f>
        <v>0</v>
      </c>
      <c r="H77" s="13">
        <f>(VLOOKUP('19.12'!P77,'19.12'!$AO$4:$AQ$55,3,FALSE))</f>
        <v>0</v>
      </c>
      <c r="I77" s="4">
        <f>(VLOOKUP('19.12'!Q77,'19.12'!$AO$4:$AQ$55,3,FALSE))</f>
        <v>0</v>
      </c>
      <c r="J77" s="4">
        <f>(VLOOKUP('19.12'!R77,'19.12'!$AO$4:$AQ$55,3,FALSE))</f>
        <v>0</v>
      </c>
      <c r="K77" s="4">
        <f>(VLOOKUP('19.12'!S77,'19.12'!$AO$4:$AQ$55,3,FALSE))</f>
        <v>0</v>
      </c>
      <c r="L77" s="4">
        <f>(VLOOKUP('19.12'!T77,'19.12'!$AO$4:$AQ$55,3,FALSE))</f>
        <v>0</v>
      </c>
      <c r="M77" s="4">
        <f>(VLOOKUP('19.12'!U77,'19.12'!$AO$4:$AQ$55,3,FALSE))</f>
        <v>0</v>
      </c>
      <c r="N77" s="4">
        <f>(VLOOKUP('19.12'!V77,'19.12'!$AO$4:$AQ$55,3,FALSE))</f>
        <v>0</v>
      </c>
      <c r="O77" s="13">
        <f>(VLOOKUP('19.12'!W77,'19.12'!$AO$4:$AQ$55,3,FALSE))</f>
        <v>0</v>
      </c>
      <c r="P77" s="13">
        <f>(VLOOKUP('19.12'!X77,'19.12'!$AO$4:$AQ$55,3,FALSE))</f>
        <v>0</v>
      </c>
      <c r="Q77" s="4">
        <f>(VLOOKUP('19.12'!Y77,'19.12'!$AO$4:$AQ$55,3,FALSE))</f>
        <v>0</v>
      </c>
      <c r="R77" s="4">
        <f>(VLOOKUP('19.12'!Z77,'19.12'!$AO$4:$AQ$55,3,FALSE))</f>
        <v>0</v>
      </c>
      <c r="S77" s="4">
        <f>(VLOOKUP('19.12'!AA77,'19.12'!$AO$4:$AQ$55,3,FALSE))</f>
        <v>0</v>
      </c>
      <c r="T77" s="4">
        <f>(VLOOKUP('19.12'!AB77,'19.12'!$AO$4:$AQ$55,3,FALSE))</f>
        <v>0</v>
      </c>
      <c r="U77" s="4">
        <f>(VLOOKUP('19.12'!AC77,'19.12'!$AO$4:$AQ$55,3,FALSE))</f>
        <v>0</v>
      </c>
      <c r="V77" s="4">
        <f>(VLOOKUP('19.12'!AD77,'19.12'!$AO$4:$AQ$55,3,FALSE))</f>
        <v>0</v>
      </c>
      <c r="W77" s="13">
        <f>(VLOOKUP('19.12'!AE77,'19.12'!$AO$4:$AQ$55,3,FALSE))</f>
        <v>0</v>
      </c>
      <c r="X77" s="13">
        <f>(VLOOKUP('19.12'!AF77,'19.12'!$AO$4:$AQ$55,3,FALSE))</f>
        <v>0</v>
      </c>
    </row>
    <row r="78" spans="1:24">
      <c r="A78" s="4">
        <f>(VLOOKUP('19.12'!I78,'19.12'!$AO$4:$AQ$55,3,FALSE))</f>
        <v>0</v>
      </c>
      <c r="B78" s="4">
        <f>(VLOOKUP('19.12'!J78,'19.12'!$AO$4:$AQ$55,3,FALSE))</f>
        <v>0</v>
      </c>
      <c r="C78" s="4">
        <f>(VLOOKUP('19.12'!K78,'19.12'!$AO$4:$AQ$55,3,FALSE))</f>
        <v>0</v>
      </c>
      <c r="D78" s="4">
        <f>(VLOOKUP('19.12'!L78,'19.12'!$AO$4:$AQ$55,3,FALSE))</f>
        <v>0</v>
      </c>
      <c r="E78" s="4">
        <f>(VLOOKUP('19.12'!M78,'19.12'!$AO$4:$AQ$55,3,FALSE))</f>
        <v>0</v>
      </c>
      <c r="F78" s="4">
        <f>(VLOOKUP('19.12'!N78,'19.12'!$AO$4:$AQ$55,3,FALSE))</f>
        <v>0</v>
      </c>
      <c r="G78" s="13">
        <f>(VLOOKUP('19.12'!O78,'19.12'!$AO$4:$AQ$55,3,FALSE))</f>
        <v>0</v>
      </c>
      <c r="H78" s="13">
        <f>(VLOOKUP('19.12'!P78,'19.12'!$AO$4:$AQ$55,3,FALSE))</f>
        <v>0</v>
      </c>
      <c r="I78" s="4">
        <f>(VLOOKUP('19.12'!Q78,'19.12'!$AO$4:$AQ$55,3,FALSE))</f>
        <v>0</v>
      </c>
      <c r="J78" s="4">
        <f>(VLOOKUP('19.12'!R78,'19.12'!$AO$4:$AQ$55,3,FALSE))</f>
        <v>0</v>
      </c>
      <c r="K78" s="4">
        <f>(VLOOKUP('19.12'!S78,'19.12'!$AO$4:$AQ$55,3,FALSE))</f>
        <v>0</v>
      </c>
      <c r="L78" s="4">
        <f>(VLOOKUP('19.12'!T78,'19.12'!$AO$4:$AQ$55,3,FALSE))</f>
        <v>0</v>
      </c>
      <c r="M78" s="4">
        <f>(VLOOKUP('19.12'!U78,'19.12'!$AO$4:$AQ$55,3,FALSE))</f>
        <v>0</v>
      </c>
      <c r="N78" s="4">
        <f>(VLOOKUP('19.12'!V78,'19.12'!$AO$4:$AQ$55,3,FALSE))</f>
        <v>0</v>
      </c>
      <c r="O78" s="13">
        <f>(VLOOKUP('19.12'!W78,'19.12'!$AO$4:$AQ$55,3,FALSE))</f>
        <v>0</v>
      </c>
      <c r="P78" s="13">
        <f>(VLOOKUP('19.12'!X78,'19.12'!$AO$4:$AQ$55,3,FALSE))</f>
        <v>0</v>
      </c>
      <c r="Q78" s="4">
        <f>(VLOOKUP('19.12'!Y78,'19.12'!$AO$4:$AQ$55,3,FALSE))</f>
        <v>0</v>
      </c>
      <c r="R78" s="4">
        <f>(VLOOKUP('19.12'!Z78,'19.12'!$AO$4:$AQ$55,3,FALSE))</f>
        <v>0</v>
      </c>
      <c r="S78" s="4">
        <f>(VLOOKUP('19.12'!AA78,'19.12'!$AO$4:$AQ$55,3,FALSE))</f>
        <v>0</v>
      </c>
      <c r="T78" s="4">
        <f>(VLOOKUP('19.12'!AB78,'19.12'!$AO$4:$AQ$55,3,FALSE))</f>
        <v>0</v>
      </c>
      <c r="U78" s="4">
        <f>(VLOOKUP('19.12'!AC78,'19.12'!$AO$4:$AQ$55,3,FALSE))</f>
        <v>0</v>
      </c>
      <c r="V78" s="4">
        <f>(VLOOKUP('19.12'!AD78,'19.12'!$AO$4:$AQ$55,3,FALSE))</f>
        <v>0</v>
      </c>
      <c r="W78" s="13">
        <f>(VLOOKUP('19.12'!AE78,'19.12'!$AO$4:$AQ$55,3,FALSE))</f>
        <v>0</v>
      </c>
      <c r="X78" s="13">
        <f>(VLOOKUP('19.12'!AF78,'19.12'!$AO$4:$AQ$55,3,FALSE))</f>
        <v>0</v>
      </c>
    </row>
    <row r="79" spans="1:24">
      <c r="A79" s="4">
        <f>(VLOOKUP('19.12'!I79,'19.12'!$AO$4:$AQ$55,3,FALSE))</f>
        <v>0</v>
      </c>
      <c r="B79" s="4">
        <f>(VLOOKUP('19.12'!J79,'19.12'!$AO$4:$AQ$55,3,FALSE))</f>
        <v>0</v>
      </c>
      <c r="C79" s="4">
        <f>(VLOOKUP('19.12'!K79,'19.12'!$AO$4:$AQ$55,3,FALSE))</f>
        <v>0</v>
      </c>
      <c r="D79" s="4">
        <f>(VLOOKUP('19.12'!L79,'19.12'!$AO$4:$AQ$55,3,FALSE))</f>
        <v>0</v>
      </c>
      <c r="E79" s="4">
        <f>(VLOOKUP('19.12'!M79,'19.12'!$AO$4:$AQ$55,3,FALSE))</f>
        <v>0</v>
      </c>
      <c r="F79" s="4">
        <f>(VLOOKUP('19.12'!N79,'19.12'!$AO$4:$AQ$55,3,FALSE))</f>
        <v>0</v>
      </c>
      <c r="G79" s="13">
        <f>(VLOOKUP('19.12'!O79,'19.12'!$AO$4:$AQ$55,3,FALSE))</f>
        <v>0</v>
      </c>
      <c r="H79" s="13">
        <f>(VLOOKUP('19.12'!P79,'19.12'!$AO$4:$AQ$55,3,FALSE))</f>
        <v>0</v>
      </c>
      <c r="I79" s="4">
        <f>(VLOOKUP('19.12'!Q79,'19.12'!$AO$4:$AQ$55,3,FALSE))</f>
        <v>0</v>
      </c>
      <c r="J79" s="4">
        <f>(VLOOKUP('19.12'!R79,'19.12'!$AO$4:$AQ$55,3,FALSE))</f>
        <v>0</v>
      </c>
      <c r="K79" s="4">
        <f>(VLOOKUP('19.12'!S79,'19.12'!$AO$4:$AQ$55,3,FALSE))</f>
        <v>0</v>
      </c>
      <c r="L79" s="4">
        <f>(VLOOKUP('19.12'!T79,'19.12'!$AO$4:$AQ$55,3,FALSE))</f>
        <v>0</v>
      </c>
      <c r="M79" s="4">
        <f>(VLOOKUP('19.12'!U79,'19.12'!$AO$4:$AQ$55,3,FALSE))</f>
        <v>0</v>
      </c>
      <c r="N79" s="4">
        <f>(VLOOKUP('19.12'!V79,'19.12'!$AO$4:$AQ$55,3,FALSE))</f>
        <v>0</v>
      </c>
      <c r="O79" s="13">
        <f>(VLOOKUP('19.12'!W79,'19.12'!$AO$4:$AQ$55,3,FALSE))</f>
        <v>0</v>
      </c>
      <c r="P79" s="13">
        <f>(VLOOKUP('19.12'!X79,'19.12'!$AO$4:$AQ$55,3,FALSE))</f>
        <v>0</v>
      </c>
      <c r="Q79" s="4">
        <f>(VLOOKUP('19.12'!Y79,'19.12'!$AO$4:$AQ$55,3,FALSE))</f>
        <v>0</v>
      </c>
      <c r="R79" s="4">
        <f>(VLOOKUP('19.12'!Z79,'19.12'!$AO$4:$AQ$55,3,FALSE))</f>
        <v>0</v>
      </c>
      <c r="S79" s="4">
        <f>(VLOOKUP('19.12'!AA79,'19.12'!$AO$4:$AQ$55,3,FALSE))</f>
        <v>0</v>
      </c>
      <c r="T79" s="4">
        <f>(VLOOKUP('19.12'!AB79,'19.12'!$AO$4:$AQ$55,3,FALSE))</f>
        <v>0</v>
      </c>
      <c r="U79" s="4">
        <f>(VLOOKUP('19.12'!AC79,'19.12'!$AO$4:$AQ$55,3,FALSE))</f>
        <v>0</v>
      </c>
      <c r="V79" s="4">
        <f>(VLOOKUP('19.12'!AD79,'19.12'!$AO$4:$AQ$55,3,FALSE))</f>
        <v>0</v>
      </c>
      <c r="W79" s="13">
        <f>(VLOOKUP('19.12'!AE79,'19.12'!$AO$4:$AQ$55,3,FALSE))</f>
        <v>0</v>
      </c>
      <c r="X79" s="13">
        <f>(VLOOKUP('19.12'!AF79,'19.12'!$AO$4:$AQ$55,3,FALSE))</f>
        <v>0</v>
      </c>
    </row>
    <row r="80" spans="1:24">
      <c r="A80" s="4">
        <f>(VLOOKUP('19.12'!I80,'19.12'!$AO$4:$AQ$55,3,FALSE))</f>
        <v>0</v>
      </c>
      <c r="B80" s="4">
        <f>(VLOOKUP('19.12'!J80,'19.12'!$AO$4:$AQ$55,3,FALSE))</f>
        <v>0</v>
      </c>
      <c r="C80" s="4">
        <f>(VLOOKUP('19.12'!K80,'19.12'!$AO$4:$AQ$55,3,FALSE))</f>
        <v>0</v>
      </c>
      <c r="D80" s="4">
        <f>(VLOOKUP('19.12'!L80,'19.12'!$AO$4:$AQ$55,3,FALSE))</f>
        <v>0</v>
      </c>
      <c r="E80" s="4">
        <f>(VLOOKUP('19.12'!M80,'19.12'!$AO$4:$AQ$55,3,FALSE))</f>
        <v>0</v>
      </c>
      <c r="F80" s="4">
        <f>(VLOOKUP('19.12'!N80,'19.12'!$AO$4:$AQ$55,3,FALSE))</f>
        <v>0</v>
      </c>
      <c r="G80" s="13">
        <f>(VLOOKUP('19.12'!O80,'19.12'!$AO$4:$AQ$55,3,FALSE))</f>
        <v>0</v>
      </c>
      <c r="H80" s="13">
        <f>(VLOOKUP('19.12'!P80,'19.12'!$AO$4:$AQ$55,3,FALSE))</f>
        <v>0</v>
      </c>
      <c r="I80" s="4">
        <f>(VLOOKUP('19.12'!Q80,'19.12'!$AO$4:$AQ$55,3,FALSE))</f>
        <v>0</v>
      </c>
      <c r="J80" s="4">
        <f>(VLOOKUP('19.12'!R80,'19.12'!$AO$4:$AQ$55,3,FALSE))</f>
        <v>0</v>
      </c>
      <c r="K80" s="4">
        <f>(VLOOKUP('19.12'!S80,'19.12'!$AO$4:$AQ$55,3,FALSE))</f>
        <v>0</v>
      </c>
      <c r="L80" s="4">
        <f>(VLOOKUP('19.12'!T80,'19.12'!$AO$4:$AQ$55,3,FALSE))</f>
        <v>0</v>
      </c>
      <c r="M80" s="4">
        <f>(VLOOKUP('19.12'!U80,'19.12'!$AO$4:$AQ$55,3,FALSE))</f>
        <v>0</v>
      </c>
      <c r="N80" s="4">
        <f>(VLOOKUP('19.12'!V80,'19.12'!$AO$4:$AQ$55,3,FALSE))</f>
        <v>0</v>
      </c>
      <c r="O80" s="13">
        <f>(VLOOKUP('19.12'!W80,'19.12'!$AO$4:$AQ$55,3,FALSE))</f>
        <v>0</v>
      </c>
      <c r="P80" s="13">
        <f>(VLOOKUP('19.12'!X80,'19.12'!$AO$4:$AQ$55,3,FALSE))</f>
        <v>0</v>
      </c>
      <c r="Q80" s="4">
        <f>(VLOOKUP('19.12'!Y80,'19.12'!$AO$4:$AQ$55,3,FALSE))</f>
        <v>0</v>
      </c>
      <c r="R80" s="4">
        <f>(VLOOKUP('19.12'!Z80,'19.12'!$AO$4:$AQ$55,3,FALSE))</f>
        <v>0</v>
      </c>
      <c r="S80" s="4">
        <f>(VLOOKUP('19.12'!AA80,'19.12'!$AO$4:$AQ$55,3,FALSE))</f>
        <v>0</v>
      </c>
      <c r="T80" s="4">
        <f>(VLOOKUP('19.12'!AB80,'19.12'!$AO$4:$AQ$55,3,FALSE))</f>
        <v>0</v>
      </c>
      <c r="U80" s="4">
        <f>(VLOOKUP('19.12'!AC80,'19.12'!$AO$4:$AQ$55,3,FALSE))</f>
        <v>0</v>
      </c>
      <c r="V80" s="4">
        <f>(VLOOKUP('19.12'!AD80,'19.12'!$AO$4:$AQ$55,3,FALSE))</f>
        <v>0</v>
      </c>
      <c r="W80" s="13">
        <f>(VLOOKUP('19.12'!AE80,'19.12'!$AO$4:$AQ$55,3,FALSE))</f>
        <v>0</v>
      </c>
      <c r="X80" s="13">
        <f>(VLOOKUP('19.12'!AF80,'19.12'!$AO$4:$AQ$55,3,FALSE))</f>
        <v>0</v>
      </c>
    </row>
    <row r="81" spans="1:24">
      <c r="A81" s="4">
        <f>(VLOOKUP('19.12'!I81,'19.12'!$AO$4:$AQ$55,3,FALSE))</f>
        <v>0</v>
      </c>
      <c r="B81" s="4">
        <f>(VLOOKUP('19.12'!J81,'19.12'!$AO$4:$AQ$55,3,FALSE))</f>
        <v>0</v>
      </c>
      <c r="C81" s="4">
        <f>(VLOOKUP('19.12'!K81,'19.12'!$AO$4:$AQ$55,3,FALSE))</f>
        <v>0</v>
      </c>
      <c r="D81" s="4">
        <f>(VLOOKUP('19.12'!L81,'19.12'!$AO$4:$AQ$55,3,FALSE))</f>
        <v>0</v>
      </c>
      <c r="E81" s="4">
        <f>(VLOOKUP('19.12'!M81,'19.12'!$AO$4:$AQ$55,3,FALSE))</f>
        <v>0</v>
      </c>
      <c r="F81" s="4">
        <f>(VLOOKUP('19.12'!N81,'19.12'!$AO$4:$AQ$55,3,FALSE))</f>
        <v>0</v>
      </c>
      <c r="G81" s="13">
        <f>(VLOOKUP('19.12'!O81,'19.12'!$AO$4:$AQ$55,3,FALSE))</f>
        <v>0</v>
      </c>
      <c r="H81" s="13">
        <f>(VLOOKUP('19.12'!P81,'19.12'!$AO$4:$AQ$55,3,FALSE))</f>
        <v>0</v>
      </c>
      <c r="I81" s="4">
        <f>(VLOOKUP('19.12'!Q81,'19.12'!$AO$4:$AQ$55,3,FALSE))</f>
        <v>0</v>
      </c>
      <c r="J81" s="4">
        <f>(VLOOKUP('19.12'!R81,'19.12'!$AO$4:$AQ$55,3,FALSE))</f>
        <v>0</v>
      </c>
      <c r="K81" s="4">
        <f>(VLOOKUP('19.12'!S81,'19.12'!$AO$4:$AQ$55,3,FALSE))</f>
        <v>0</v>
      </c>
      <c r="L81" s="4">
        <f>(VLOOKUP('19.12'!T81,'19.12'!$AO$4:$AQ$55,3,FALSE))</f>
        <v>0</v>
      </c>
      <c r="M81" s="4">
        <f>(VLOOKUP('19.12'!U81,'19.12'!$AO$4:$AQ$55,3,FALSE))</f>
        <v>0</v>
      </c>
      <c r="N81" s="4">
        <f>(VLOOKUP('19.12'!V81,'19.12'!$AO$4:$AQ$55,3,FALSE))</f>
        <v>0</v>
      </c>
      <c r="O81" s="13">
        <f>(VLOOKUP('19.12'!W81,'19.12'!$AO$4:$AQ$55,3,FALSE))</f>
        <v>0</v>
      </c>
      <c r="P81" s="13">
        <f>(VLOOKUP('19.12'!X81,'19.12'!$AO$4:$AQ$55,3,FALSE))</f>
        <v>0</v>
      </c>
      <c r="Q81" s="4">
        <f>(VLOOKUP('19.12'!Y81,'19.12'!$AO$4:$AQ$55,3,FALSE))</f>
        <v>0</v>
      </c>
      <c r="R81" s="4">
        <f>(VLOOKUP('19.12'!Z81,'19.12'!$AO$4:$AQ$55,3,FALSE))</f>
        <v>0</v>
      </c>
      <c r="S81" s="4">
        <f>(VLOOKUP('19.12'!AA81,'19.12'!$AO$4:$AQ$55,3,FALSE))</f>
        <v>0</v>
      </c>
      <c r="T81" s="4">
        <f>(VLOOKUP('19.12'!AB81,'19.12'!$AO$4:$AQ$55,3,FALSE))</f>
        <v>0</v>
      </c>
      <c r="U81" s="4">
        <f>(VLOOKUP('19.12'!AC81,'19.12'!$AO$4:$AQ$55,3,FALSE))</f>
        <v>0</v>
      </c>
      <c r="V81" s="4">
        <f>(VLOOKUP('19.12'!AD81,'19.12'!$AO$4:$AQ$55,3,FALSE))</f>
        <v>0</v>
      </c>
      <c r="W81" s="13">
        <f>(VLOOKUP('19.12'!AE81,'19.12'!$AO$4:$AQ$55,3,FALSE))</f>
        <v>0</v>
      </c>
      <c r="X81" s="13">
        <f>(VLOOKUP('19.12'!AF81,'19.12'!$AO$4:$AQ$55,3,FALSE))</f>
        <v>0</v>
      </c>
    </row>
    <row r="82" spans="1:24">
      <c r="A82" s="4">
        <f>(VLOOKUP('19.12'!I82,'19.12'!$AO$4:$AQ$55,3,FALSE))</f>
        <v>0</v>
      </c>
      <c r="B82" s="4">
        <f>(VLOOKUP('19.12'!J82,'19.12'!$AO$4:$AQ$55,3,FALSE))</f>
        <v>0</v>
      </c>
      <c r="C82" s="4">
        <f>(VLOOKUP('19.12'!K82,'19.12'!$AO$4:$AQ$55,3,FALSE))</f>
        <v>0</v>
      </c>
      <c r="D82" s="4">
        <f>(VLOOKUP('19.12'!L82,'19.12'!$AO$4:$AQ$55,3,FALSE))</f>
        <v>0</v>
      </c>
      <c r="E82" s="4">
        <f>(VLOOKUP('19.12'!M82,'19.12'!$AO$4:$AQ$55,3,FALSE))</f>
        <v>0</v>
      </c>
      <c r="F82" s="4">
        <f>(VLOOKUP('19.12'!N82,'19.12'!$AO$4:$AQ$55,3,FALSE))</f>
        <v>0</v>
      </c>
      <c r="G82" s="13">
        <f>(VLOOKUP('19.12'!O82,'19.12'!$AO$4:$AQ$55,3,FALSE))</f>
        <v>0</v>
      </c>
      <c r="H82" s="13">
        <f>(VLOOKUP('19.12'!P82,'19.12'!$AO$4:$AQ$55,3,FALSE))</f>
        <v>0</v>
      </c>
      <c r="I82" s="4">
        <f>(VLOOKUP('19.12'!Q82,'19.12'!$AO$4:$AQ$55,3,FALSE))</f>
        <v>0</v>
      </c>
      <c r="J82" s="4">
        <f>(VLOOKUP('19.12'!R82,'19.12'!$AO$4:$AQ$55,3,FALSE))</f>
        <v>0</v>
      </c>
      <c r="K82" s="4">
        <f>(VLOOKUP('19.12'!S82,'19.12'!$AO$4:$AQ$55,3,FALSE))</f>
        <v>0</v>
      </c>
      <c r="L82" s="4">
        <f>(VLOOKUP('19.12'!T82,'19.12'!$AO$4:$AQ$55,3,FALSE))</f>
        <v>0</v>
      </c>
      <c r="M82" s="4">
        <f>(VLOOKUP('19.12'!U82,'19.12'!$AO$4:$AQ$55,3,FALSE))</f>
        <v>0</v>
      </c>
      <c r="N82" s="4">
        <f>(VLOOKUP('19.12'!V82,'19.12'!$AO$4:$AQ$55,3,FALSE))</f>
        <v>0</v>
      </c>
      <c r="O82" s="13">
        <f>(VLOOKUP('19.12'!W82,'19.12'!$AO$4:$AQ$55,3,FALSE))</f>
        <v>0</v>
      </c>
      <c r="P82" s="13">
        <f>(VLOOKUP('19.12'!X82,'19.12'!$AO$4:$AQ$55,3,FALSE))</f>
        <v>0</v>
      </c>
      <c r="Q82" s="4">
        <f>(VLOOKUP('19.12'!Y82,'19.12'!$AO$4:$AQ$55,3,FALSE))</f>
        <v>0</v>
      </c>
      <c r="R82" s="4">
        <f>(VLOOKUP('19.12'!Z82,'19.12'!$AO$4:$AQ$55,3,FALSE))</f>
        <v>0</v>
      </c>
      <c r="S82" s="4">
        <f>(VLOOKUP('19.12'!AA82,'19.12'!$AO$4:$AQ$55,3,FALSE))</f>
        <v>0</v>
      </c>
      <c r="T82" s="4">
        <f>(VLOOKUP('19.12'!AB82,'19.12'!$AO$4:$AQ$55,3,FALSE))</f>
        <v>0</v>
      </c>
      <c r="U82" s="4">
        <f>(VLOOKUP('19.12'!AC82,'19.12'!$AO$4:$AQ$55,3,FALSE))</f>
        <v>0</v>
      </c>
      <c r="V82" s="4">
        <f>(VLOOKUP('19.12'!AD82,'19.12'!$AO$4:$AQ$55,3,FALSE))</f>
        <v>0</v>
      </c>
      <c r="W82" s="13">
        <f>(VLOOKUP('19.12'!AE82,'19.12'!$AO$4:$AQ$55,3,FALSE))</f>
        <v>0</v>
      </c>
      <c r="X82" s="13">
        <f>(VLOOKUP('19.12'!AF82,'19.12'!$AO$4:$AQ$55,3,FALSE))</f>
        <v>0</v>
      </c>
    </row>
    <row r="83" spans="1:24">
      <c r="A83" s="4">
        <f>(VLOOKUP('19.12'!I83,'19.12'!$AO$4:$AQ$55,3,FALSE))</f>
        <v>0</v>
      </c>
      <c r="B83" s="4">
        <f>(VLOOKUP('19.12'!J83,'19.12'!$AO$4:$AQ$55,3,FALSE))</f>
        <v>0</v>
      </c>
      <c r="C83" s="4">
        <f>(VLOOKUP('19.12'!K83,'19.12'!$AO$4:$AQ$55,3,FALSE))</f>
        <v>0</v>
      </c>
      <c r="D83" s="4">
        <f>(VLOOKUP('19.12'!L83,'19.12'!$AO$4:$AQ$55,3,FALSE))</f>
        <v>0</v>
      </c>
      <c r="E83" s="4">
        <f>(VLOOKUP('19.12'!M83,'19.12'!$AO$4:$AQ$55,3,FALSE))</f>
        <v>0</v>
      </c>
      <c r="F83" s="4">
        <f>(VLOOKUP('19.12'!N83,'19.12'!$AO$4:$AQ$55,3,FALSE))</f>
        <v>0</v>
      </c>
      <c r="G83" s="13">
        <f>(VLOOKUP('19.12'!O83,'19.12'!$AO$4:$AQ$55,3,FALSE))</f>
        <v>0</v>
      </c>
      <c r="H83" s="13">
        <f>(VLOOKUP('19.12'!P83,'19.12'!$AO$4:$AQ$55,3,FALSE))</f>
        <v>0</v>
      </c>
      <c r="I83" s="4">
        <f>(VLOOKUP('19.12'!Q83,'19.12'!$AO$4:$AQ$55,3,FALSE))</f>
        <v>0</v>
      </c>
      <c r="J83" s="4">
        <f>(VLOOKUP('19.12'!R83,'19.12'!$AO$4:$AQ$55,3,FALSE))</f>
        <v>0</v>
      </c>
      <c r="K83" s="4">
        <f>(VLOOKUP('19.12'!S83,'19.12'!$AO$4:$AQ$55,3,FALSE))</f>
        <v>0</v>
      </c>
      <c r="L83" s="4">
        <f>(VLOOKUP('19.12'!T83,'19.12'!$AO$4:$AQ$55,3,FALSE))</f>
        <v>0</v>
      </c>
      <c r="M83" s="4">
        <f>(VLOOKUP('19.12'!U83,'19.12'!$AO$4:$AQ$55,3,FALSE))</f>
        <v>0</v>
      </c>
      <c r="N83" s="4">
        <f>(VLOOKUP('19.12'!V83,'19.12'!$AO$4:$AQ$55,3,FALSE))</f>
        <v>0</v>
      </c>
      <c r="O83" s="13">
        <f>(VLOOKUP('19.12'!W83,'19.12'!$AO$4:$AQ$55,3,FALSE))</f>
        <v>0</v>
      </c>
      <c r="P83" s="13">
        <f>(VLOOKUP('19.12'!X83,'19.12'!$AO$4:$AQ$55,3,FALSE))</f>
        <v>0</v>
      </c>
      <c r="Q83" s="4">
        <f>(VLOOKUP('19.12'!Y83,'19.12'!$AO$4:$AQ$55,3,FALSE))</f>
        <v>0</v>
      </c>
      <c r="R83" s="4">
        <f>(VLOOKUP('19.12'!Z83,'19.12'!$AO$4:$AQ$55,3,FALSE))</f>
        <v>0</v>
      </c>
      <c r="S83" s="4">
        <f>(VLOOKUP('19.12'!AA83,'19.12'!$AO$4:$AQ$55,3,FALSE))</f>
        <v>0</v>
      </c>
      <c r="T83" s="4">
        <f>(VLOOKUP('19.12'!AB83,'19.12'!$AO$4:$AQ$55,3,FALSE))</f>
        <v>0</v>
      </c>
      <c r="U83" s="4">
        <f>(VLOOKUP('19.12'!AC83,'19.12'!$AO$4:$AQ$55,3,FALSE))</f>
        <v>0</v>
      </c>
      <c r="V83" s="4">
        <f>(VLOOKUP('19.12'!AD83,'19.12'!$AO$4:$AQ$55,3,FALSE))</f>
        <v>0</v>
      </c>
      <c r="W83" s="13">
        <f>(VLOOKUP('19.12'!AE83,'19.12'!$AO$4:$AQ$55,3,FALSE))</f>
        <v>0</v>
      </c>
      <c r="X83" s="13">
        <f>(VLOOKUP('19.12'!AF83,'19.12'!$AO$4:$AQ$55,3,FALSE))</f>
        <v>0</v>
      </c>
    </row>
    <row r="84" spans="1:24">
      <c r="A84" s="4">
        <f>(VLOOKUP('19.12'!I84,'19.12'!$AO$4:$AQ$55,3,FALSE))</f>
        <v>0</v>
      </c>
      <c r="B84" s="4">
        <f>(VLOOKUP('19.12'!J84,'19.12'!$AO$4:$AQ$55,3,FALSE))</f>
        <v>0</v>
      </c>
      <c r="C84" s="4">
        <f>(VLOOKUP('19.12'!K84,'19.12'!$AO$4:$AQ$55,3,FALSE))</f>
        <v>0</v>
      </c>
      <c r="D84" s="4">
        <f>(VLOOKUP('19.12'!L84,'19.12'!$AO$4:$AQ$55,3,FALSE))</f>
        <v>0</v>
      </c>
      <c r="E84" s="4">
        <f>(VLOOKUP('19.12'!M84,'19.12'!$AO$4:$AQ$55,3,FALSE))</f>
        <v>0</v>
      </c>
      <c r="F84" s="4">
        <f>(VLOOKUP('19.12'!N84,'19.12'!$AO$4:$AQ$55,3,FALSE))</f>
        <v>0</v>
      </c>
      <c r="G84" s="13">
        <f>(VLOOKUP('19.12'!O84,'19.12'!$AO$4:$AQ$55,3,FALSE))</f>
        <v>0</v>
      </c>
      <c r="H84" s="13">
        <f>(VLOOKUP('19.12'!P84,'19.12'!$AO$4:$AQ$55,3,FALSE))</f>
        <v>0</v>
      </c>
      <c r="I84" s="4">
        <f>(VLOOKUP('19.12'!Q84,'19.12'!$AO$4:$AQ$55,3,FALSE))</f>
        <v>0</v>
      </c>
      <c r="J84" s="4">
        <f>(VLOOKUP('19.12'!R84,'19.12'!$AO$4:$AQ$55,3,FALSE))</f>
        <v>0</v>
      </c>
      <c r="K84" s="4">
        <f>(VLOOKUP('19.12'!S84,'19.12'!$AO$4:$AQ$55,3,FALSE))</f>
        <v>0</v>
      </c>
      <c r="L84" s="4">
        <f>(VLOOKUP('19.12'!T84,'19.12'!$AO$4:$AQ$55,3,FALSE))</f>
        <v>0</v>
      </c>
      <c r="M84" s="4">
        <f>(VLOOKUP('19.12'!U84,'19.12'!$AO$4:$AQ$55,3,FALSE))</f>
        <v>0</v>
      </c>
      <c r="N84" s="4">
        <f>(VLOOKUP('19.12'!V84,'19.12'!$AO$4:$AQ$55,3,FALSE))</f>
        <v>0</v>
      </c>
      <c r="O84" s="13">
        <f>(VLOOKUP('19.12'!W84,'19.12'!$AO$4:$AQ$55,3,FALSE))</f>
        <v>0</v>
      </c>
      <c r="P84" s="13">
        <f>(VLOOKUP('19.12'!X84,'19.12'!$AO$4:$AQ$55,3,FALSE))</f>
        <v>0</v>
      </c>
      <c r="Q84" s="4">
        <f>(VLOOKUP('19.12'!Y84,'19.12'!$AO$4:$AQ$55,3,FALSE))</f>
        <v>0</v>
      </c>
      <c r="R84" s="4">
        <f>(VLOOKUP('19.12'!Z84,'19.12'!$AO$4:$AQ$55,3,FALSE))</f>
        <v>0</v>
      </c>
      <c r="S84" s="4">
        <f>(VLOOKUP('19.12'!AA84,'19.12'!$AO$4:$AQ$55,3,FALSE))</f>
        <v>0</v>
      </c>
      <c r="T84" s="4">
        <f>(VLOOKUP('19.12'!AB84,'19.12'!$AO$4:$AQ$55,3,FALSE))</f>
        <v>0</v>
      </c>
      <c r="U84" s="4">
        <f>(VLOOKUP('19.12'!AC84,'19.12'!$AO$4:$AQ$55,3,FALSE))</f>
        <v>0</v>
      </c>
      <c r="V84" s="4">
        <f>(VLOOKUP('19.12'!AD84,'19.12'!$AO$4:$AQ$55,3,FALSE))</f>
        <v>0</v>
      </c>
      <c r="W84" s="13">
        <f>(VLOOKUP('19.12'!AE84,'19.12'!$AO$4:$AQ$55,3,FALSE))</f>
        <v>0</v>
      </c>
      <c r="X84" s="13">
        <f>(VLOOKUP('19.12'!AF84,'19.12'!$AO$4:$AQ$55,3,FALSE))</f>
        <v>0</v>
      </c>
    </row>
    <row r="85" spans="1:24">
      <c r="A85" s="4">
        <f>(VLOOKUP('19.12'!I85,'19.12'!$AO$4:$AQ$55,3,FALSE))</f>
        <v>0</v>
      </c>
      <c r="B85" s="4">
        <f>(VLOOKUP('19.12'!J85,'19.12'!$AO$4:$AQ$55,3,FALSE))</f>
        <v>0</v>
      </c>
      <c r="C85" s="4">
        <f>(VLOOKUP('19.12'!K85,'19.12'!$AO$4:$AQ$55,3,FALSE))</f>
        <v>0</v>
      </c>
      <c r="D85" s="4">
        <f>(VLOOKUP('19.12'!L85,'19.12'!$AO$4:$AQ$55,3,FALSE))</f>
        <v>0</v>
      </c>
      <c r="E85" s="4">
        <f>(VLOOKUP('19.12'!M85,'19.12'!$AO$4:$AQ$55,3,FALSE))</f>
        <v>0</v>
      </c>
      <c r="F85" s="4">
        <f>(VLOOKUP('19.12'!N85,'19.12'!$AO$4:$AQ$55,3,FALSE))</f>
        <v>0</v>
      </c>
      <c r="G85" s="13">
        <f>(VLOOKUP('19.12'!O85,'19.12'!$AO$4:$AQ$55,3,FALSE))</f>
        <v>0</v>
      </c>
      <c r="H85" s="13">
        <f>(VLOOKUP('19.12'!P85,'19.12'!$AO$4:$AQ$55,3,FALSE))</f>
        <v>0</v>
      </c>
      <c r="I85" s="4">
        <f>(VLOOKUP('19.12'!Q85,'19.12'!$AO$4:$AQ$55,3,FALSE))</f>
        <v>0</v>
      </c>
      <c r="J85" s="4">
        <f>(VLOOKUP('19.12'!R85,'19.12'!$AO$4:$AQ$55,3,FALSE))</f>
        <v>0</v>
      </c>
      <c r="K85" s="4">
        <f>(VLOOKUP('19.12'!S85,'19.12'!$AO$4:$AQ$55,3,FALSE))</f>
        <v>0</v>
      </c>
      <c r="L85" s="4">
        <f>(VLOOKUP('19.12'!T85,'19.12'!$AO$4:$AQ$55,3,FALSE))</f>
        <v>0</v>
      </c>
      <c r="M85" s="4">
        <f>(VLOOKUP('19.12'!U85,'19.12'!$AO$4:$AQ$55,3,FALSE))</f>
        <v>0</v>
      </c>
      <c r="N85" s="4">
        <f>(VLOOKUP('19.12'!V85,'19.12'!$AO$4:$AQ$55,3,FALSE))</f>
        <v>0</v>
      </c>
      <c r="O85" s="13">
        <f>(VLOOKUP('19.12'!W85,'19.12'!$AO$4:$AQ$55,3,FALSE))</f>
        <v>0</v>
      </c>
      <c r="P85" s="13">
        <f>(VLOOKUP('19.12'!X85,'19.12'!$AO$4:$AQ$55,3,FALSE))</f>
        <v>0</v>
      </c>
      <c r="Q85" s="4">
        <f>(VLOOKUP('19.12'!Y85,'19.12'!$AO$4:$AQ$55,3,FALSE))</f>
        <v>0</v>
      </c>
      <c r="R85" s="4">
        <f>(VLOOKUP('19.12'!Z85,'19.12'!$AO$4:$AQ$55,3,FALSE))</f>
        <v>0</v>
      </c>
      <c r="S85" s="4">
        <f>(VLOOKUP('19.12'!AA85,'19.12'!$AO$4:$AQ$55,3,FALSE))</f>
        <v>0</v>
      </c>
      <c r="T85" s="4">
        <f>(VLOOKUP('19.12'!AB85,'19.12'!$AO$4:$AQ$55,3,FALSE))</f>
        <v>0</v>
      </c>
      <c r="U85" s="4">
        <f>(VLOOKUP('19.12'!AC85,'19.12'!$AO$4:$AQ$55,3,FALSE))</f>
        <v>0</v>
      </c>
      <c r="V85" s="4">
        <f>(VLOOKUP('19.12'!AD85,'19.12'!$AO$4:$AQ$55,3,FALSE))</f>
        <v>0</v>
      </c>
      <c r="W85" s="13">
        <f>(VLOOKUP('19.12'!AE85,'19.12'!$AO$4:$AQ$55,3,FALSE))</f>
        <v>0</v>
      </c>
      <c r="X85" s="13">
        <f>(VLOOKUP('19.12'!AF85,'19.12'!$AO$4:$AQ$55,3,FALSE))</f>
        <v>0</v>
      </c>
    </row>
    <row r="86" spans="1:24">
      <c r="A86" s="4">
        <f>(VLOOKUP('19.12'!I86,'19.12'!$AO$4:$AQ$55,3,FALSE))</f>
        <v>0</v>
      </c>
      <c r="B86" s="4">
        <f>(VLOOKUP('19.12'!J86,'19.12'!$AO$4:$AQ$55,3,FALSE))</f>
        <v>0</v>
      </c>
      <c r="C86" s="4">
        <f>(VLOOKUP('19.12'!K86,'19.12'!$AO$4:$AQ$55,3,FALSE))</f>
        <v>0</v>
      </c>
      <c r="D86" s="4">
        <f>(VLOOKUP('19.12'!L86,'19.12'!$AO$4:$AQ$55,3,FALSE))</f>
        <v>0</v>
      </c>
      <c r="E86" s="4">
        <f>(VLOOKUP('19.12'!M86,'19.12'!$AO$4:$AQ$55,3,FALSE))</f>
        <v>0</v>
      </c>
      <c r="F86" s="4">
        <f>(VLOOKUP('19.12'!N86,'19.12'!$AO$4:$AQ$55,3,FALSE))</f>
        <v>0</v>
      </c>
      <c r="G86" s="13">
        <f>(VLOOKUP('19.12'!O86,'19.12'!$AO$4:$AQ$55,3,FALSE))</f>
        <v>0</v>
      </c>
      <c r="H86" s="13">
        <f>(VLOOKUP('19.12'!P86,'19.12'!$AO$4:$AQ$55,3,FALSE))</f>
        <v>0</v>
      </c>
      <c r="I86" s="4">
        <f>(VLOOKUP('19.12'!Q86,'19.12'!$AO$4:$AQ$55,3,FALSE))</f>
        <v>0</v>
      </c>
      <c r="J86" s="4">
        <f>(VLOOKUP('19.12'!R86,'19.12'!$AO$4:$AQ$55,3,FALSE))</f>
        <v>0</v>
      </c>
      <c r="K86" s="4">
        <f>(VLOOKUP('19.12'!S86,'19.12'!$AO$4:$AQ$55,3,FALSE))</f>
        <v>0</v>
      </c>
      <c r="L86" s="4">
        <f>(VLOOKUP('19.12'!T86,'19.12'!$AO$4:$AQ$55,3,FALSE))</f>
        <v>0</v>
      </c>
      <c r="M86" s="4">
        <f>(VLOOKUP('19.12'!U86,'19.12'!$AO$4:$AQ$55,3,FALSE))</f>
        <v>0</v>
      </c>
      <c r="N86" s="4">
        <f>(VLOOKUP('19.12'!V86,'19.12'!$AO$4:$AQ$55,3,FALSE))</f>
        <v>0</v>
      </c>
      <c r="O86" s="13">
        <f>(VLOOKUP('19.12'!W86,'19.12'!$AO$4:$AQ$55,3,FALSE))</f>
        <v>0</v>
      </c>
      <c r="P86" s="13">
        <f>(VLOOKUP('19.12'!X86,'19.12'!$AO$4:$AQ$55,3,FALSE))</f>
        <v>0</v>
      </c>
      <c r="Q86" s="4">
        <f>(VLOOKUP('19.12'!Y86,'19.12'!$AO$4:$AQ$55,3,FALSE))</f>
        <v>0</v>
      </c>
      <c r="R86" s="4">
        <f>(VLOOKUP('19.12'!Z86,'19.12'!$AO$4:$AQ$55,3,FALSE))</f>
        <v>0</v>
      </c>
      <c r="S86" s="4">
        <f>(VLOOKUP('19.12'!AA86,'19.12'!$AO$4:$AQ$55,3,FALSE))</f>
        <v>0</v>
      </c>
      <c r="T86" s="4">
        <f>(VLOOKUP('19.12'!AB86,'19.12'!$AO$4:$AQ$55,3,FALSE))</f>
        <v>0</v>
      </c>
      <c r="U86" s="4">
        <f>(VLOOKUP('19.12'!AC86,'19.12'!$AO$4:$AQ$55,3,FALSE))</f>
        <v>0</v>
      </c>
      <c r="V86" s="4">
        <f>(VLOOKUP('19.12'!AD86,'19.12'!$AO$4:$AQ$55,3,FALSE))</f>
        <v>0</v>
      </c>
      <c r="W86" s="13">
        <f>(VLOOKUP('19.12'!AE86,'19.12'!$AO$4:$AQ$55,3,FALSE))</f>
        <v>0</v>
      </c>
      <c r="X86" s="13">
        <f>(VLOOKUP('19.12'!AF86,'19.12'!$AO$4:$AQ$55,3,FALSE))</f>
        <v>0</v>
      </c>
    </row>
    <row r="87" spans="1:24">
      <c r="A87" s="4">
        <f>(VLOOKUP('19.12'!I87,'19.12'!$AO$4:$AQ$55,3,FALSE))</f>
        <v>0</v>
      </c>
      <c r="B87" s="4">
        <f>(VLOOKUP('19.12'!J87,'19.12'!$AO$4:$AQ$55,3,FALSE))</f>
        <v>0</v>
      </c>
      <c r="C87" s="4">
        <f>(VLOOKUP('19.12'!K87,'19.12'!$AO$4:$AQ$55,3,FALSE))</f>
        <v>0</v>
      </c>
      <c r="D87" s="4">
        <f>(VLOOKUP('19.12'!L87,'19.12'!$AO$4:$AQ$55,3,FALSE))</f>
        <v>0</v>
      </c>
      <c r="E87" s="4">
        <f>(VLOOKUP('19.12'!M87,'19.12'!$AO$4:$AQ$55,3,FALSE))</f>
        <v>0</v>
      </c>
      <c r="F87" s="4">
        <f>(VLOOKUP('19.12'!N87,'19.12'!$AO$4:$AQ$55,3,FALSE))</f>
        <v>0</v>
      </c>
      <c r="G87" s="13">
        <f>(VLOOKUP('19.12'!O87,'19.12'!$AO$4:$AQ$55,3,FALSE))</f>
        <v>0</v>
      </c>
      <c r="H87" s="13">
        <f>(VLOOKUP('19.12'!P87,'19.12'!$AO$4:$AQ$55,3,FALSE))</f>
        <v>0</v>
      </c>
      <c r="I87" s="4">
        <f>(VLOOKUP('19.12'!Q87,'19.12'!$AO$4:$AQ$55,3,FALSE))</f>
        <v>0</v>
      </c>
      <c r="J87" s="4">
        <f>(VLOOKUP('19.12'!R87,'19.12'!$AO$4:$AQ$55,3,FALSE))</f>
        <v>0</v>
      </c>
      <c r="K87" s="4">
        <f>(VLOOKUP('19.12'!S87,'19.12'!$AO$4:$AQ$55,3,FALSE))</f>
        <v>0</v>
      </c>
      <c r="L87" s="4">
        <f>(VLOOKUP('19.12'!T87,'19.12'!$AO$4:$AQ$55,3,FALSE))</f>
        <v>0</v>
      </c>
      <c r="M87" s="4">
        <f>(VLOOKUP('19.12'!U87,'19.12'!$AO$4:$AQ$55,3,FALSE))</f>
        <v>0</v>
      </c>
      <c r="N87" s="4">
        <f>(VLOOKUP('19.12'!V87,'19.12'!$AO$4:$AQ$55,3,FALSE))</f>
        <v>0</v>
      </c>
      <c r="O87" s="13">
        <f>(VLOOKUP('19.12'!W87,'19.12'!$AO$4:$AQ$55,3,FALSE))</f>
        <v>0</v>
      </c>
      <c r="P87" s="13">
        <f>(VLOOKUP('19.12'!X87,'19.12'!$AO$4:$AQ$55,3,FALSE))</f>
        <v>0</v>
      </c>
      <c r="Q87" s="4">
        <f>(VLOOKUP('19.12'!Y87,'19.12'!$AO$4:$AQ$55,3,FALSE))</f>
        <v>0</v>
      </c>
      <c r="R87" s="4">
        <f>(VLOOKUP('19.12'!Z87,'19.12'!$AO$4:$AQ$55,3,FALSE))</f>
        <v>0</v>
      </c>
      <c r="S87" s="4">
        <f>(VLOOKUP('19.12'!AA87,'19.12'!$AO$4:$AQ$55,3,FALSE))</f>
        <v>0</v>
      </c>
      <c r="T87" s="4">
        <f>(VLOOKUP('19.12'!AB87,'19.12'!$AO$4:$AQ$55,3,FALSE))</f>
        <v>0</v>
      </c>
      <c r="U87" s="4">
        <f>(VLOOKUP('19.12'!AC87,'19.12'!$AO$4:$AQ$55,3,FALSE))</f>
        <v>0</v>
      </c>
      <c r="V87" s="4">
        <f>(VLOOKUP('19.12'!AD87,'19.12'!$AO$4:$AQ$55,3,FALSE))</f>
        <v>0</v>
      </c>
      <c r="W87" s="13">
        <f>(VLOOKUP('19.12'!AE87,'19.12'!$AO$4:$AQ$55,3,FALSE))</f>
        <v>0</v>
      </c>
      <c r="X87" s="13">
        <f>(VLOOKUP('19.12'!AF87,'19.12'!$AO$4:$AQ$55,3,FALSE))</f>
        <v>0</v>
      </c>
    </row>
    <row r="88" spans="1:24">
      <c r="A88" s="4">
        <f>(VLOOKUP('19.12'!I88,'19.12'!$AO$4:$AQ$55,3,FALSE))</f>
        <v>0</v>
      </c>
      <c r="B88" s="4">
        <f>(VLOOKUP('19.12'!J88,'19.12'!$AO$4:$AQ$55,3,FALSE))</f>
        <v>0</v>
      </c>
      <c r="C88" s="4">
        <f>(VLOOKUP('19.12'!K88,'19.12'!$AO$4:$AQ$55,3,FALSE))</f>
        <v>0</v>
      </c>
      <c r="D88" s="4">
        <f>(VLOOKUP('19.12'!L88,'19.12'!$AO$4:$AQ$55,3,FALSE))</f>
        <v>0</v>
      </c>
      <c r="E88" s="4">
        <f>(VLOOKUP('19.12'!M88,'19.12'!$AO$4:$AQ$55,3,FALSE))</f>
        <v>0</v>
      </c>
      <c r="F88" s="4">
        <f>(VLOOKUP('19.12'!N88,'19.12'!$AO$4:$AQ$55,3,FALSE))</f>
        <v>0</v>
      </c>
      <c r="G88" s="13">
        <f>(VLOOKUP('19.12'!O88,'19.12'!$AO$4:$AQ$55,3,FALSE))</f>
        <v>0</v>
      </c>
      <c r="H88" s="13">
        <f>(VLOOKUP('19.12'!P88,'19.12'!$AO$4:$AQ$55,3,FALSE))</f>
        <v>0</v>
      </c>
      <c r="I88" s="4">
        <f>(VLOOKUP('19.12'!Q88,'19.12'!$AO$4:$AQ$55,3,FALSE))</f>
        <v>0</v>
      </c>
      <c r="J88" s="4">
        <f>(VLOOKUP('19.12'!R88,'19.12'!$AO$4:$AQ$55,3,FALSE))</f>
        <v>0</v>
      </c>
      <c r="K88" s="4">
        <f>(VLOOKUP('19.12'!S88,'19.12'!$AO$4:$AQ$55,3,FALSE))</f>
        <v>0</v>
      </c>
      <c r="L88" s="4">
        <f>(VLOOKUP('19.12'!T88,'19.12'!$AO$4:$AQ$55,3,FALSE))</f>
        <v>0</v>
      </c>
      <c r="M88" s="4">
        <f>(VLOOKUP('19.12'!U88,'19.12'!$AO$4:$AQ$55,3,FALSE))</f>
        <v>0</v>
      </c>
      <c r="N88" s="4">
        <f>(VLOOKUP('19.12'!V88,'19.12'!$AO$4:$AQ$55,3,FALSE))</f>
        <v>0</v>
      </c>
      <c r="O88" s="13">
        <f>(VLOOKUP('19.12'!W88,'19.12'!$AO$4:$AQ$55,3,FALSE))</f>
        <v>0</v>
      </c>
      <c r="P88" s="13">
        <f>(VLOOKUP('19.12'!X88,'19.12'!$AO$4:$AQ$55,3,FALSE))</f>
        <v>0</v>
      </c>
      <c r="Q88" s="4">
        <f>(VLOOKUP('19.12'!Y88,'19.12'!$AO$4:$AQ$55,3,FALSE))</f>
        <v>0</v>
      </c>
      <c r="R88" s="4">
        <f>(VLOOKUP('19.12'!Z88,'19.12'!$AO$4:$AQ$55,3,FALSE))</f>
        <v>0</v>
      </c>
      <c r="S88" s="4">
        <f>(VLOOKUP('19.12'!AA88,'19.12'!$AO$4:$AQ$55,3,FALSE))</f>
        <v>0</v>
      </c>
      <c r="T88" s="4">
        <f>(VLOOKUP('19.12'!AB88,'19.12'!$AO$4:$AQ$55,3,FALSE))</f>
        <v>0</v>
      </c>
      <c r="U88" s="4">
        <f>(VLOOKUP('19.12'!AC88,'19.12'!$AO$4:$AQ$55,3,FALSE))</f>
        <v>0</v>
      </c>
      <c r="V88" s="4">
        <f>(VLOOKUP('19.12'!AD88,'19.12'!$AO$4:$AQ$55,3,FALSE))</f>
        <v>0</v>
      </c>
      <c r="W88" s="13">
        <f>(VLOOKUP('19.12'!AE88,'19.12'!$AO$4:$AQ$55,3,FALSE))</f>
        <v>0</v>
      </c>
      <c r="X88" s="13">
        <f>(VLOOKUP('19.12'!AF88,'19.12'!$AO$4:$AQ$55,3,FALSE))</f>
        <v>0</v>
      </c>
    </row>
    <row r="89" spans="1:24">
      <c r="A89" s="4">
        <f>(VLOOKUP('19.12'!I89,'19.12'!$AO$4:$AQ$55,3,FALSE))</f>
        <v>0</v>
      </c>
      <c r="B89" s="4">
        <f>(VLOOKUP('19.12'!J89,'19.12'!$AO$4:$AQ$55,3,FALSE))</f>
        <v>0</v>
      </c>
      <c r="C89" s="4">
        <f>(VLOOKUP('19.12'!K89,'19.12'!$AO$4:$AQ$55,3,FALSE))</f>
        <v>0</v>
      </c>
      <c r="D89" s="4">
        <f>(VLOOKUP('19.12'!L89,'19.12'!$AO$4:$AQ$55,3,FALSE))</f>
        <v>0</v>
      </c>
      <c r="E89" s="4">
        <f>(VLOOKUP('19.12'!M89,'19.12'!$AO$4:$AQ$55,3,FALSE))</f>
        <v>0</v>
      </c>
      <c r="F89" s="4">
        <f>(VLOOKUP('19.12'!N89,'19.12'!$AO$4:$AQ$55,3,FALSE))</f>
        <v>0</v>
      </c>
      <c r="G89" s="13">
        <f>(VLOOKUP('19.12'!O89,'19.12'!$AO$4:$AQ$55,3,FALSE))</f>
        <v>0</v>
      </c>
      <c r="H89" s="13">
        <f>(VLOOKUP('19.12'!P89,'19.12'!$AO$4:$AQ$55,3,FALSE))</f>
        <v>0</v>
      </c>
      <c r="I89" s="4">
        <f>(VLOOKUP('19.12'!Q89,'19.12'!$AO$4:$AQ$55,3,FALSE))</f>
        <v>0</v>
      </c>
      <c r="J89" s="4">
        <f>(VLOOKUP('19.12'!R89,'19.12'!$AO$4:$AQ$55,3,FALSE))</f>
        <v>0</v>
      </c>
      <c r="K89" s="4">
        <f>(VLOOKUP('19.12'!S89,'19.12'!$AO$4:$AQ$55,3,FALSE))</f>
        <v>0</v>
      </c>
      <c r="L89" s="4">
        <f>(VLOOKUP('19.12'!T89,'19.12'!$AO$4:$AQ$55,3,FALSE))</f>
        <v>0</v>
      </c>
      <c r="M89" s="4">
        <f>(VLOOKUP('19.12'!U89,'19.12'!$AO$4:$AQ$55,3,FALSE))</f>
        <v>0</v>
      </c>
      <c r="N89" s="4">
        <f>(VLOOKUP('19.12'!V89,'19.12'!$AO$4:$AQ$55,3,FALSE))</f>
        <v>0</v>
      </c>
      <c r="O89" s="13">
        <f>(VLOOKUP('19.12'!W89,'19.12'!$AO$4:$AQ$55,3,FALSE))</f>
        <v>0</v>
      </c>
      <c r="P89" s="13">
        <f>(VLOOKUP('19.12'!X89,'19.12'!$AO$4:$AQ$55,3,FALSE))</f>
        <v>0</v>
      </c>
      <c r="Q89" s="4">
        <f>(VLOOKUP('19.12'!Y89,'19.12'!$AO$4:$AQ$55,3,FALSE))</f>
        <v>0</v>
      </c>
      <c r="R89" s="4">
        <f>(VLOOKUP('19.12'!Z89,'19.12'!$AO$4:$AQ$55,3,FALSE))</f>
        <v>0</v>
      </c>
      <c r="S89" s="4">
        <f>(VLOOKUP('19.12'!AA89,'19.12'!$AO$4:$AQ$55,3,FALSE))</f>
        <v>0</v>
      </c>
      <c r="T89" s="4">
        <f>(VLOOKUP('19.12'!AB89,'19.12'!$AO$4:$AQ$55,3,FALSE))</f>
        <v>0</v>
      </c>
      <c r="U89" s="4">
        <f>(VLOOKUP('19.12'!AC89,'19.12'!$AO$4:$AQ$55,3,FALSE))</f>
        <v>0</v>
      </c>
      <c r="V89" s="4">
        <f>(VLOOKUP('19.12'!AD89,'19.12'!$AO$4:$AQ$55,3,FALSE))</f>
        <v>0</v>
      </c>
      <c r="W89" s="13">
        <f>(VLOOKUP('19.12'!AE89,'19.12'!$AO$4:$AQ$55,3,FALSE))</f>
        <v>0</v>
      </c>
      <c r="X89" s="13">
        <f>(VLOOKUP('19.12'!AF89,'19.12'!$AO$4:$AQ$55,3,FALSE))</f>
        <v>0</v>
      </c>
    </row>
    <row r="90" spans="1:24">
      <c r="A90" s="4">
        <f>(VLOOKUP('19.12'!I90,'19.12'!$AO$4:$AQ$55,3,FALSE))</f>
        <v>0</v>
      </c>
      <c r="B90" s="4">
        <f>(VLOOKUP('19.12'!J90,'19.12'!$AO$4:$AQ$55,3,FALSE))</f>
        <v>0</v>
      </c>
      <c r="C90" s="4">
        <f>(VLOOKUP('19.12'!K90,'19.12'!$AO$4:$AQ$55,3,FALSE))</f>
        <v>0</v>
      </c>
      <c r="D90" s="4">
        <f>(VLOOKUP('19.12'!L90,'19.12'!$AO$4:$AQ$55,3,FALSE))</f>
        <v>0</v>
      </c>
      <c r="E90" s="4">
        <f>(VLOOKUP('19.12'!M90,'19.12'!$AO$4:$AQ$55,3,FALSE))</f>
        <v>0</v>
      </c>
      <c r="F90" s="4">
        <f>(VLOOKUP('19.12'!N90,'19.12'!$AO$4:$AQ$55,3,FALSE))</f>
        <v>0</v>
      </c>
      <c r="G90" s="13">
        <f>(VLOOKUP('19.12'!O90,'19.12'!$AO$4:$AQ$55,3,FALSE))</f>
        <v>0</v>
      </c>
      <c r="H90" s="13">
        <f>(VLOOKUP('19.12'!P90,'19.12'!$AO$4:$AQ$55,3,FALSE))</f>
        <v>0</v>
      </c>
      <c r="I90" s="4">
        <f>(VLOOKUP('19.12'!Q90,'19.12'!$AO$4:$AQ$55,3,FALSE))</f>
        <v>0</v>
      </c>
      <c r="J90" s="4">
        <f>(VLOOKUP('19.12'!R90,'19.12'!$AO$4:$AQ$55,3,FALSE))</f>
        <v>0</v>
      </c>
      <c r="K90" s="4">
        <f>(VLOOKUP('19.12'!S90,'19.12'!$AO$4:$AQ$55,3,FALSE))</f>
        <v>0</v>
      </c>
      <c r="L90" s="4">
        <f>(VLOOKUP('19.12'!T90,'19.12'!$AO$4:$AQ$55,3,FALSE))</f>
        <v>0</v>
      </c>
      <c r="M90" s="4">
        <f>(VLOOKUP('19.12'!U90,'19.12'!$AO$4:$AQ$55,3,FALSE))</f>
        <v>0</v>
      </c>
      <c r="N90" s="4">
        <f>(VLOOKUP('19.12'!V90,'19.12'!$AO$4:$AQ$55,3,FALSE))</f>
        <v>0</v>
      </c>
      <c r="O90" s="13">
        <f>(VLOOKUP('19.12'!W90,'19.12'!$AO$4:$AQ$55,3,FALSE))</f>
        <v>0</v>
      </c>
      <c r="P90" s="13">
        <f>(VLOOKUP('19.12'!X90,'19.12'!$AO$4:$AQ$55,3,FALSE))</f>
        <v>0</v>
      </c>
      <c r="Q90" s="4">
        <f>(VLOOKUP('19.12'!Y90,'19.12'!$AO$4:$AQ$55,3,FALSE))</f>
        <v>0</v>
      </c>
      <c r="R90" s="4">
        <f>(VLOOKUP('19.12'!Z90,'19.12'!$AO$4:$AQ$55,3,FALSE))</f>
        <v>0</v>
      </c>
      <c r="S90" s="4">
        <f>(VLOOKUP('19.12'!AA90,'19.12'!$AO$4:$AQ$55,3,FALSE))</f>
        <v>0</v>
      </c>
      <c r="T90" s="4">
        <f>(VLOOKUP('19.12'!AB90,'19.12'!$AO$4:$AQ$55,3,FALSE))</f>
        <v>0</v>
      </c>
      <c r="U90" s="4">
        <f>(VLOOKUP('19.12'!AC90,'19.12'!$AO$4:$AQ$55,3,FALSE))</f>
        <v>0</v>
      </c>
      <c r="V90" s="4">
        <f>(VLOOKUP('19.12'!AD90,'19.12'!$AO$4:$AQ$55,3,FALSE))</f>
        <v>0</v>
      </c>
      <c r="W90" s="13">
        <f>(VLOOKUP('19.12'!AE90,'19.12'!$AO$4:$AQ$55,3,FALSE))</f>
        <v>0</v>
      </c>
      <c r="X90" s="13">
        <f>(VLOOKUP('19.12'!AF90,'19.12'!$AO$4:$AQ$55,3,FALSE))</f>
        <v>0</v>
      </c>
    </row>
    <row r="91" spans="1:24">
      <c r="A91" s="4">
        <f>(VLOOKUP('19.12'!I91,'19.12'!$AO$4:$AQ$55,3,FALSE))</f>
        <v>0</v>
      </c>
      <c r="B91" s="4">
        <f>(VLOOKUP('19.12'!J91,'19.12'!$AO$4:$AQ$55,3,FALSE))</f>
        <v>0</v>
      </c>
      <c r="C91" s="4">
        <f>(VLOOKUP('19.12'!K91,'19.12'!$AO$4:$AQ$55,3,FALSE))</f>
        <v>0</v>
      </c>
      <c r="D91" s="4">
        <f>(VLOOKUP('19.12'!L91,'19.12'!$AO$4:$AQ$55,3,FALSE))</f>
        <v>0</v>
      </c>
      <c r="E91" s="4">
        <f>(VLOOKUP('19.12'!M91,'19.12'!$AO$4:$AQ$55,3,FALSE))</f>
        <v>0</v>
      </c>
      <c r="F91" s="4">
        <f>(VLOOKUP('19.12'!N91,'19.12'!$AO$4:$AQ$55,3,FALSE))</f>
        <v>0</v>
      </c>
      <c r="G91" s="13">
        <f>(VLOOKUP('19.12'!O91,'19.12'!$AO$4:$AQ$55,3,FALSE))</f>
        <v>0</v>
      </c>
      <c r="H91" s="13">
        <f>(VLOOKUP('19.12'!P91,'19.12'!$AO$4:$AQ$55,3,FALSE))</f>
        <v>0</v>
      </c>
      <c r="I91" s="4">
        <f>(VLOOKUP('19.12'!Q91,'19.12'!$AO$4:$AQ$55,3,FALSE))</f>
        <v>0</v>
      </c>
      <c r="J91" s="4">
        <f>(VLOOKUP('19.12'!R91,'19.12'!$AO$4:$AQ$55,3,FALSE))</f>
        <v>0</v>
      </c>
      <c r="K91" s="4">
        <f>(VLOOKUP('19.12'!S91,'19.12'!$AO$4:$AQ$55,3,FALSE))</f>
        <v>0</v>
      </c>
      <c r="L91" s="4">
        <f>(VLOOKUP('19.12'!T91,'19.12'!$AO$4:$AQ$55,3,FALSE))</f>
        <v>0</v>
      </c>
      <c r="M91" s="4">
        <f>(VLOOKUP('19.12'!U91,'19.12'!$AO$4:$AQ$55,3,FALSE))</f>
        <v>0</v>
      </c>
      <c r="N91" s="4">
        <f>(VLOOKUP('19.12'!V91,'19.12'!$AO$4:$AQ$55,3,FALSE))</f>
        <v>0</v>
      </c>
      <c r="O91" s="13">
        <f>(VLOOKUP('19.12'!W91,'19.12'!$AO$4:$AQ$55,3,FALSE))</f>
        <v>0</v>
      </c>
      <c r="P91" s="13">
        <f>(VLOOKUP('19.12'!X91,'19.12'!$AO$4:$AQ$55,3,FALSE))</f>
        <v>0</v>
      </c>
      <c r="Q91" s="4">
        <f>(VLOOKUP('19.12'!Y91,'19.12'!$AO$4:$AQ$55,3,FALSE))</f>
        <v>0</v>
      </c>
      <c r="R91" s="4">
        <f>(VLOOKUP('19.12'!Z91,'19.12'!$AO$4:$AQ$55,3,FALSE))</f>
        <v>0</v>
      </c>
      <c r="S91" s="4">
        <f>(VLOOKUP('19.12'!AA91,'19.12'!$AO$4:$AQ$55,3,FALSE))</f>
        <v>0</v>
      </c>
      <c r="T91" s="4">
        <f>(VLOOKUP('19.12'!AB91,'19.12'!$AO$4:$AQ$55,3,FALSE))</f>
        <v>0</v>
      </c>
      <c r="U91" s="4">
        <f>(VLOOKUP('19.12'!AC91,'19.12'!$AO$4:$AQ$55,3,FALSE))</f>
        <v>0</v>
      </c>
      <c r="V91" s="4">
        <f>(VLOOKUP('19.12'!AD91,'19.12'!$AO$4:$AQ$55,3,FALSE))</f>
        <v>0</v>
      </c>
      <c r="W91" s="13">
        <f>(VLOOKUP('19.12'!AE91,'19.12'!$AO$4:$AQ$55,3,FALSE))</f>
        <v>0</v>
      </c>
      <c r="X91" s="13">
        <f>(VLOOKUP('19.12'!AF91,'19.12'!$AO$4:$AQ$55,3,FALSE))</f>
        <v>0</v>
      </c>
    </row>
    <row r="92" spans="1:24">
      <c r="A92" s="4">
        <f>(VLOOKUP('19.12'!I92,'19.12'!$AO$4:$AQ$55,3,FALSE))</f>
        <v>0</v>
      </c>
      <c r="B92" s="4">
        <f>(VLOOKUP('19.12'!J92,'19.12'!$AO$4:$AQ$55,3,FALSE))</f>
        <v>0</v>
      </c>
      <c r="C92" s="4">
        <f>(VLOOKUP('19.12'!K92,'19.12'!$AO$4:$AQ$55,3,FALSE))</f>
        <v>0</v>
      </c>
      <c r="D92" s="4">
        <f>(VLOOKUP('19.12'!L92,'19.12'!$AO$4:$AQ$55,3,FALSE))</f>
        <v>0</v>
      </c>
      <c r="E92" s="4">
        <f>(VLOOKUP('19.12'!M92,'19.12'!$AO$4:$AQ$55,3,FALSE))</f>
        <v>0</v>
      </c>
      <c r="F92" s="4">
        <f>(VLOOKUP('19.12'!N92,'19.12'!$AO$4:$AQ$55,3,FALSE))</f>
        <v>0</v>
      </c>
      <c r="G92" s="13">
        <f>(VLOOKUP('19.12'!O92,'19.12'!$AO$4:$AQ$55,3,FALSE))</f>
        <v>0</v>
      </c>
      <c r="H92" s="13">
        <f>(VLOOKUP('19.12'!P92,'19.12'!$AO$4:$AQ$55,3,FALSE))</f>
        <v>0</v>
      </c>
      <c r="I92" s="4">
        <f>(VLOOKUP('19.12'!Q92,'19.12'!$AO$4:$AQ$55,3,FALSE))</f>
        <v>0</v>
      </c>
      <c r="J92" s="4">
        <f>(VLOOKUP('19.12'!R92,'19.12'!$AO$4:$AQ$55,3,FALSE))</f>
        <v>0</v>
      </c>
      <c r="K92" s="4">
        <f>(VLOOKUP('19.12'!S92,'19.12'!$AO$4:$AQ$55,3,FALSE))</f>
        <v>0</v>
      </c>
      <c r="L92" s="4">
        <f>(VLOOKUP('19.12'!T92,'19.12'!$AO$4:$AQ$55,3,FALSE))</f>
        <v>0</v>
      </c>
      <c r="M92" s="4">
        <f>(VLOOKUP('19.12'!U92,'19.12'!$AO$4:$AQ$55,3,FALSE))</f>
        <v>0</v>
      </c>
      <c r="N92" s="4">
        <f>(VLOOKUP('19.12'!V92,'19.12'!$AO$4:$AQ$55,3,FALSE))</f>
        <v>0</v>
      </c>
      <c r="O92" s="13">
        <f>(VLOOKUP('19.12'!W92,'19.12'!$AO$4:$AQ$55,3,FALSE))</f>
        <v>0</v>
      </c>
      <c r="P92" s="13">
        <f>(VLOOKUP('19.12'!X92,'19.12'!$AO$4:$AQ$55,3,FALSE))</f>
        <v>0</v>
      </c>
      <c r="Q92" s="4">
        <f>(VLOOKUP('19.12'!Y92,'19.12'!$AO$4:$AQ$55,3,FALSE))</f>
        <v>0</v>
      </c>
      <c r="R92" s="4">
        <f>(VLOOKUP('19.12'!Z92,'19.12'!$AO$4:$AQ$55,3,FALSE))</f>
        <v>0</v>
      </c>
      <c r="S92" s="4">
        <f>(VLOOKUP('19.12'!AA92,'19.12'!$AO$4:$AQ$55,3,FALSE))</f>
        <v>0</v>
      </c>
      <c r="T92" s="4">
        <f>(VLOOKUP('19.12'!AB92,'19.12'!$AO$4:$AQ$55,3,FALSE))</f>
        <v>0</v>
      </c>
      <c r="U92" s="4">
        <f>(VLOOKUP('19.12'!AC92,'19.12'!$AO$4:$AQ$55,3,FALSE))</f>
        <v>0</v>
      </c>
      <c r="V92" s="4">
        <f>(VLOOKUP('19.12'!AD92,'19.12'!$AO$4:$AQ$55,3,FALSE))</f>
        <v>0</v>
      </c>
      <c r="W92" s="13">
        <f>(VLOOKUP('19.12'!AE92,'19.12'!$AO$4:$AQ$55,3,FALSE))</f>
        <v>0</v>
      </c>
      <c r="X92" s="13">
        <f>(VLOOKUP('19.12'!AF92,'19.12'!$AO$4:$AQ$55,3,FALSE))</f>
        <v>0</v>
      </c>
    </row>
    <row r="93" spans="1:24">
      <c r="A93" s="4">
        <f>(VLOOKUP('19.12'!I93,'19.12'!$AO$4:$AQ$55,3,FALSE))</f>
        <v>0</v>
      </c>
      <c r="B93" s="4">
        <f>(VLOOKUP('19.12'!J93,'19.12'!$AO$4:$AQ$55,3,FALSE))</f>
        <v>0</v>
      </c>
      <c r="C93" s="4">
        <f>(VLOOKUP('19.12'!K93,'19.12'!$AO$4:$AQ$55,3,FALSE))</f>
        <v>0</v>
      </c>
      <c r="D93" s="4">
        <f>(VLOOKUP('19.12'!L93,'19.12'!$AO$4:$AQ$55,3,FALSE))</f>
        <v>0</v>
      </c>
      <c r="E93" s="4">
        <f>(VLOOKUP('19.12'!M93,'19.12'!$AO$4:$AQ$55,3,FALSE))</f>
        <v>0</v>
      </c>
      <c r="F93" s="4">
        <f>(VLOOKUP('19.12'!N93,'19.12'!$AO$4:$AQ$55,3,FALSE))</f>
        <v>0</v>
      </c>
      <c r="G93" s="13">
        <f>(VLOOKUP('19.12'!O93,'19.12'!$AO$4:$AQ$55,3,FALSE))</f>
        <v>0</v>
      </c>
      <c r="H93" s="13">
        <f>(VLOOKUP('19.12'!P93,'19.12'!$AO$4:$AQ$55,3,FALSE))</f>
        <v>0</v>
      </c>
      <c r="I93" s="4">
        <f>(VLOOKUP('19.12'!Q93,'19.12'!$AO$4:$AQ$55,3,FALSE))</f>
        <v>0</v>
      </c>
      <c r="J93" s="4">
        <f>(VLOOKUP('19.12'!R93,'19.12'!$AO$4:$AQ$55,3,FALSE))</f>
        <v>0</v>
      </c>
      <c r="K93" s="4">
        <f>(VLOOKUP('19.12'!S93,'19.12'!$AO$4:$AQ$55,3,FALSE))</f>
        <v>0</v>
      </c>
      <c r="L93" s="4">
        <f>(VLOOKUP('19.12'!T93,'19.12'!$AO$4:$AQ$55,3,FALSE))</f>
        <v>0</v>
      </c>
      <c r="M93" s="4">
        <f>(VLOOKUP('19.12'!U93,'19.12'!$AO$4:$AQ$55,3,FALSE))</f>
        <v>0</v>
      </c>
      <c r="N93" s="4">
        <f>(VLOOKUP('19.12'!V93,'19.12'!$AO$4:$AQ$55,3,FALSE))</f>
        <v>0</v>
      </c>
      <c r="O93" s="13">
        <f>(VLOOKUP('19.12'!W93,'19.12'!$AO$4:$AQ$55,3,FALSE))</f>
        <v>0</v>
      </c>
      <c r="P93" s="13">
        <f>(VLOOKUP('19.12'!X93,'19.12'!$AO$4:$AQ$55,3,FALSE))</f>
        <v>0</v>
      </c>
      <c r="Q93" s="4">
        <f>(VLOOKUP('19.12'!Y93,'19.12'!$AO$4:$AQ$55,3,FALSE))</f>
        <v>0</v>
      </c>
      <c r="R93" s="4">
        <f>(VLOOKUP('19.12'!Z93,'19.12'!$AO$4:$AQ$55,3,FALSE))</f>
        <v>0</v>
      </c>
      <c r="S93" s="4">
        <f>(VLOOKUP('19.12'!AA93,'19.12'!$AO$4:$AQ$55,3,FALSE))</f>
        <v>0</v>
      </c>
      <c r="T93" s="4">
        <f>(VLOOKUP('19.12'!AB93,'19.12'!$AO$4:$AQ$55,3,FALSE))</f>
        <v>0</v>
      </c>
      <c r="U93" s="4">
        <f>(VLOOKUP('19.12'!AC93,'19.12'!$AO$4:$AQ$55,3,FALSE))</f>
        <v>0</v>
      </c>
      <c r="V93" s="4">
        <f>(VLOOKUP('19.12'!AD93,'19.12'!$AO$4:$AQ$55,3,FALSE))</f>
        <v>0</v>
      </c>
      <c r="W93" s="13">
        <f>(VLOOKUP('19.12'!AE93,'19.12'!$AO$4:$AQ$55,3,FALSE))</f>
        <v>0</v>
      </c>
      <c r="X93" s="13">
        <f>(VLOOKUP('19.12'!AF93,'19.12'!$AO$4:$AQ$55,3,FALSE))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(VLOOKUP('19.12'!I4,'19.12'!$AO$4:$AR$55,4,FALSE))</f>
        <v>44.222109392472198</v>
      </c>
      <c r="B4" s="4">
        <f>(VLOOKUP('19.12'!J4,'19.12'!$AO$4:$AR$55,4,FALSE))</f>
        <v>44.222109392472198</v>
      </c>
      <c r="C4" s="4">
        <f>(VLOOKUP('19.12'!K4,'19.12'!$AO$4:$AR$55,4,FALSE))</f>
        <v>44.222109392472198</v>
      </c>
      <c r="D4" s="4">
        <f>(VLOOKUP('19.12'!L4,'19.12'!$AO$4:$AR$55,4,FALSE))</f>
        <v>44.222109392472198</v>
      </c>
      <c r="E4" s="4">
        <f>(VLOOKUP('19.12'!M4,'19.12'!$AO$4:$AR$55,4,FALSE))</f>
        <v>44.222109392472198</v>
      </c>
      <c r="F4" s="4">
        <f>(VLOOKUP('19.12'!N4,'19.12'!$AO$4:$AR$55,4,FALSE))</f>
        <v>10</v>
      </c>
      <c r="G4" s="4">
        <f>(VLOOKUP('19.12'!O4,'19.12'!$AO$4:$AR$55,4,FALSE))</f>
        <v>0</v>
      </c>
      <c r="H4" s="4">
        <f>(VLOOKUP('19.12'!P4,'19.12'!$AO$4:$AR$55,4,FALSE))</f>
        <v>0</v>
      </c>
      <c r="I4" s="4">
        <f>(VLOOKUP('19.12'!Q4,'19.12'!$AO$4:$AR$55,4,FALSE))</f>
        <v>44.222109392472198</v>
      </c>
      <c r="J4" s="4">
        <f>(VLOOKUP('19.12'!R4,'19.12'!$AO$4:$AR$55,4,FALSE))</f>
        <v>44.222109392472198</v>
      </c>
      <c r="K4" s="4">
        <f>(VLOOKUP('19.12'!S4,'19.12'!$AO$4:$AR$55,4,FALSE))</f>
        <v>44.222109392472198</v>
      </c>
      <c r="L4" s="4">
        <f>(VLOOKUP('19.12'!T4,'19.12'!$AO$4:$AR$55,4,FALSE))</f>
        <v>44.222109392472198</v>
      </c>
      <c r="M4" s="4">
        <f>(VLOOKUP('19.12'!U4,'19.12'!$AO$4:$AR$55,4,FALSE))</f>
        <v>44.222109392472198</v>
      </c>
      <c r="N4" s="4">
        <f>(VLOOKUP('19.12'!V4,'19.12'!$AO$4:$AR$55,4,FALSE))</f>
        <v>10</v>
      </c>
      <c r="O4" s="4">
        <f>(VLOOKUP('19.12'!W4,'19.12'!$AO$4:$AR$55,4,FALSE))</f>
        <v>0</v>
      </c>
      <c r="P4" s="4">
        <f>(VLOOKUP('19.12'!X4,'19.12'!$AO$4:$AR$55,4,FALSE))</f>
        <v>0</v>
      </c>
      <c r="Q4" s="4">
        <f>(VLOOKUP('19.12'!Y4,'19.12'!$AO$4:$AR$55,4,FALSE))</f>
        <v>0</v>
      </c>
      <c r="R4" s="4">
        <f>(VLOOKUP('19.12'!Z4,'19.12'!$AO$4:$AR$55,4,FALSE))</f>
        <v>0</v>
      </c>
      <c r="S4" s="4">
        <f>(VLOOKUP('19.12'!AA4,'19.12'!$AO$4:$AR$55,4,FALSE))</f>
        <v>0</v>
      </c>
      <c r="T4" s="4">
        <f>(VLOOKUP('19.12'!AB4,'19.12'!$AO$4:$AR$55,4,FALSE))</f>
        <v>0</v>
      </c>
      <c r="U4" s="4">
        <f>(VLOOKUP('19.12'!AC4,'19.12'!$AO$4:$AR$55,4,FALSE))</f>
        <v>0</v>
      </c>
      <c r="V4" s="4">
        <f>(VLOOKUP('19.12'!AD4,'19.12'!$AO$4:$AR$55,4,FALSE))</f>
        <v>0</v>
      </c>
      <c r="W4" s="4">
        <f>(VLOOKUP('19.12'!AE4,'19.12'!$AO$4:$AR$55,4,FALSE))</f>
        <v>0</v>
      </c>
      <c r="X4" s="4">
        <f>(VLOOKUP('19.12'!AF4,'19.12'!$AO$4:$AR$55,4,FALSE))</f>
        <v>44.222109392472198</v>
      </c>
    </row>
    <row r="5" spans="1:24">
      <c r="A5" s="4">
        <f>(VLOOKUP('19.12'!I5,'19.12'!$AO$4:$AR$55,4,FALSE))</f>
        <v>0</v>
      </c>
      <c r="B5" s="4">
        <f>(VLOOKUP('19.12'!J5,'19.12'!$AO$4:$AR$55,4,FALSE))</f>
        <v>0</v>
      </c>
      <c r="C5" s="4">
        <f>(VLOOKUP('19.12'!K5,'19.12'!$AO$4:$AR$55,4,FALSE))</f>
        <v>0</v>
      </c>
      <c r="D5" s="4">
        <f>(VLOOKUP('19.12'!L5,'19.12'!$AO$4:$AR$55,4,FALSE))</f>
        <v>0</v>
      </c>
      <c r="E5" s="4">
        <f>(VLOOKUP('19.12'!M5,'19.12'!$AO$4:$AR$55,4,FALSE))</f>
        <v>0</v>
      </c>
      <c r="F5" s="4">
        <f>(VLOOKUP('19.12'!N5,'19.12'!$AO$4:$AR$55,4,FALSE))</f>
        <v>0</v>
      </c>
      <c r="G5" s="4">
        <f>(VLOOKUP('19.12'!O5,'19.12'!$AO$4:$AR$55,4,FALSE))</f>
        <v>0</v>
      </c>
      <c r="H5" s="4">
        <f>(VLOOKUP('19.12'!P5,'19.12'!$AO$4:$AR$55,4,FALSE))</f>
        <v>0</v>
      </c>
      <c r="I5" s="4">
        <f>(VLOOKUP('19.12'!Q5,'19.12'!$AO$4:$AR$55,4,FALSE))</f>
        <v>0</v>
      </c>
      <c r="J5" s="4">
        <f>(VLOOKUP('19.12'!R5,'19.12'!$AO$4:$AR$55,4,FALSE))</f>
        <v>39.110982162825401</v>
      </c>
      <c r="K5" s="4">
        <f>(VLOOKUP('19.12'!S5,'19.12'!$AO$4:$AR$55,4,FALSE))</f>
        <v>39.110982162825401</v>
      </c>
      <c r="L5" s="4">
        <f>(VLOOKUP('19.12'!T5,'19.12'!$AO$4:$AR$55,4,FALSE))</f>
        <v>10</v>
      </c>
      <c r="M5" s="4">
        <f>(VLOOKUP('19.12'!U5,'19.12'!$AO$4:$AR$55,4,FALSE))</f>
        <v>39.110982162825401</v>
      </c>
      <c r="N5" s="4">
        <f>(VLOOKUP('19.12'!V5,'19.12'!$AO$4:$AR$55,4,FALSE))</f>
        <v>39.110982162825401</v>
      </c>
      <c r="O5" s="4">
        <f>(VLOOKUP('19.12'!W5,'19.12'!$AO$4:$AR$55,4,FALSE))</f>
        <v>0</v>
      </c>
      <c r="P5" s="4">
        <f>(VLOOKUP('19.12'!X5,'19.12'!$AO$4:$AR$55,4,FALSE))</f>
        <v>0</v>
      </c>
      <c r="Q5" s="4">
        <f>(VLOOKUP('19.12'!Y5,'19.12'!$AO$4:$AR$55,4,FALSE))</f>
        <v>44.222109392472198</v>
      </c>
      <c r="R5" s="4">
        <f>(VLOOKUP('19.12'!Z5,'19.12'!$AO$4:$AR$55,4,FALSE))</f>
        <v>44.222109392472198</v>
      </c>
      <c r="S5" s="4">
        <f>(VLOOKUP('19.12'!AA5,'19.12'!$AO$4:$AR$55,4,FALSE))</f>
        <v>44.222109392472198</v>
      </c>
      <c r="T5" s="4">
        <f>(VLOOKUP('19.12'!AB5,'19.12'!$AO$4:$AR$55,4,FALSE))</f>
        <v>44.222109392472198</v>
      </c>
      <c r="U5" s="4">
        <f>(VLOOKUP('19.12'!AC5,'19.12'!$AO$4:$AR$55,4,FALSE))</f>
        <v>44.222109392472198</v>
      </c>
      <c r="V5" s="4">
        <f>(VLOOKUP('19.12'!AD5,'19.12'!$AO$4:$AR$55,4,FALSE))</f>
        <v>44.222109392472198</v>
      </c>
      <c r="W5" s="4">
        <f>(VLOOKUP('19.12'!AE5,'19.12'!$AO$4:$AR$55,4,FALSE))</f>
        <v>44.222109392472198</v>
      </c>
      <c r="X5" s="4">
        <f>(VLOOKUP('19.12'!AF5,'19.12'!$AO$4:$AR$55,4,FALSE))</f>
        <v>44.222109392472198</v>
      </c>
    </row>
    <row r="6" spans="1:24">
      <c r="A6" s="4">
        <f>(VLOOKUP('19.12'!I6,'19.12'!$AO$4:$AR$55,4,FALSE))</f>
        <v>0</v>
      </c>
      <c r="B6" s="4">
        <f>(VLOOKUP('19.12'!J6,'19.12'!$AO$4:$AR$55,4,FALSE))</f>
        <v>0</v>
      </c>
      <c r="C6" s="4">
        <f>(VLOOKUP('19.12'!K6,'19.12'!$AO$4:$AR$55,4,FALSE))</f>
        <v>0</v>
      </c>
      <c r="D6" s="4">
        <f>(VLOOKUP('19.12'!L6,'19.12'!$AO$4:$AR$55,4,FALSE))</f>
        <v>0</v>
      </c>
      <c r="E6" s="4">
        <f>(VLOOKUP('19.12'!M6,'19.12'!$AO$4:$AR$55,4,FALSE))</f>
        <v>0</v>
      </c>
      <c r="F6" s="4">
        <f>(VLOOKUP('19.12'!N6,'19.12'!$AO$4:$AR$55,4,FALSE))</f>
        <v>0</v>
      </c>
      <c r="G6" s="4">
        <f>(VLOOKUP('19.12'!O6,'19.12'!$AO$4:$AR$55,4,FALSE))</f>
        <v>0</v>
      </c>
      <c r="H6" s="4">
        <f>(VLOOKUP('19.12'!P6,'19.12'!$AO$4:$AR$55,4,FALSE))</f>
        <v>0</v>
      </c>
      <c r="I6" s="4">
        <f>(VLOOKUP('19.12'!Q6,'19.12'!$AO$4:$AR$55,4,FALSE))</f>
        <v>39.110982162825401</v>
      </c>
      <c r="J6" s="4">
        <f>(VLOOKUP('19.12'!R6,'19.12'!$AO$4:$AR$55,4,FALSE))</f>
        <v>39.110982162825401</v>
      </c>
      <c r="K6" s="4">
        <f>(VLOOKUP('19.12'!S6,'19.12'!$AO$4:$AR$55,4,FALSE))</f>
        <v>39.110982162825401</v>
      </c>
      <c r="L6" s="4">
        <f>(VLOOKUP('19.12'!T6,'19.12'!$AO$4:$AR$55,4,FALSE))</f>
        <v>39.110982162825401</v>
      </c>
      <c r="M6" s="4">
        <f>(VLOOKUP('19.12'!U6,'19.12'!$AO$4:$AR$55,4,FALSE))</f>
        <v>39.110982162825401</v>
      </c>
      <c r="N6" s="4">
        <f>(VLOOKUP('19.12'!V6,'19.12'!$AO$4:$AR$55,4,FALSE))</f>
        <v>39.110982162825401</v>
      </c>
      <c r="O6" s="4">
        <f>(VLOOKUP('19.12'!W6,'19.12'!$AO$4:$AR$55,4,FALSE))</f>
        <v>0</v>
      </c>
      <c r="P6" s="4">
        <f>(VLOOKUP('19.12'!X6,'19.12'!$AO$4:$AR$55,4,FALSE))</f>
        <v>0</v>
      </c>
      <c r="Q6" s="4">
        <f>(VLOOKUP('19.12'!Y6,'19.12'!$AO$4:$AR$55,4,FALSE))</f>
        <v>39.110982162825401</v>
      </c>
      <c r="R6" s="4">
        <f>(VLOOKUP('19.12'!Z6,'19.12'!$AO$4:$AR$55,4,FALSE))</f>
        <v>39.110982162825401</v>
      </c>
      <c r="S6" s="4">
        <f>(VLOOKUP('19.12'!AA6,'19.12'!$AO$4:$AR$55,4,FALSE))</f>
        <v>39.110982162825401</v>
      </c>
      <c r="T6" s="4">
        <f>(VLOOKUP('19.12'!AB6,'19.12'!$AO$4:$AR$55,4,FALSE))</f>
        <v>39.110982162825401</v>
      </c>
      <c r="U6" s="4">
        <f>(VLOOKUP('19.12'!AC6,'19.12'!$AO$4:$AR$55,4,FALSE))</f>
        <v>39.110982162825401</v>
      </c>
      <c r="V6" s="4">
        <f>(VLOOKUP('19.12'!AD6,'19.12'!$AO$4:$AR$55,4,FALSE))</f>
        <v>44.222109392472198</v>
      </c>
      <c r="W6" s="4">
        <f>(VLOOKUP('19.12'!AE6,'19.12'!$AO$4:$AR$55,4,FALSE))</f>
        <v>39.110982162825401</v>
      </c>
      <c r="X6" s="4">
        <f>(VLOOKUP('19.12'!AF6,'19.12'!$AO$4:$AR$55,4,FALSE))</f>
        <v>39.110982162825401</v>
      </c>
    </row>
    <row r="7" spans="1:24">
      <c r="A7" s="4">
        <f>(VLOOKUP('19.12'!I7,'19.12'!$AO$4:$AR$55,4,FALSE))</f>
        <v>0</v>
      </c>
      <c r="B7" s="4">
        <f>(VLOOKUP('19.12'!J7,'19.12'!$AO$4:$AR$55,4,FALSE))</f>
        <v>0</v>
      </c>
      <c r="C7" s="4">
        <f>(VLOOKUP('19.12'!K7,'19.12'!$AO$4:$AR$55,4,FALSE))</f>
        <v>0</v>
      </c>
      <c r="D7" s="4">
        <f>(VLOOKUP('19.12'!L7,'19.12'!$AO$4:$AR$55,4,FALSE))</f>
        <v>0</v>
      </c>
      <c r="E7" s="4">
        <f>(VLOOKUP('19.12'!M7,'19.12'!$AO$4:$AR$55,4,FALSE))</f>
        <v>0</v>
      </c>
      <c r="F7" s="4">
        <f>(VLOOKUP('19.12'!N7,'19.12'!$AO$4:$AR$55,4,FALSE))</f>
        <v>0</v>
      </c>
      <c r="G7" s="4">
        <f>(VLOOKUP('19.12'!O7,'19.12'!$AO$4:$AR$55,4,FALSE))</f>
        <v>0</v>
      </c>
      <c r="H7" s="4">
        <f>(VLOOKUP('19.12'!P7,'19.12'!$AO$4:$AR$55,4,FALSE))</f>
        <v>0</v>
      </c>
      <c r="I7" s="4">
        <f>(VLOOKUP('19.12'!Q7,'19.12'!$AO$4:$AR$55,4,FALSE))</f>
        <v>39.110982162825401</v>
      </c>
      <c r="J7" s="4">
        <f>(VLOOKUP('19.12'!R7,'19.12'!$AO$4:$AR$55,4,FALSE))</f>
        <v>0</v>
      </c>
      <c r="K7" s="4">
        <f>(VLOOKUP('19.12'!S7,'19.12'!$AO$4:$AR$55,4,FALSE))</f>
        <v>39.110982162825401</v>
      </c>
      <c r="L7" s="4">
        <f>(VLOOKUP('19.12'!T7,'19.12'!$AO$4:$AR$55,4,FALSE))</f>
        <v>39.110982162825401</v>
      </c>
      <c r="M7" s="4">
        <f>(VLOOKUP('19.12'!U7,'19.12'!$AO$4:$AR$55,4,FALSE))</f>
        <v>10</v>
      </c>
      <c r="N7" s="4">
        <f>(VLOOKUP('19.12'!V7,'19.12'!$AO$4:$AR$55,4,FALSE))</f>
        <v>39.110982162825401</v>
      </c>
      <c r="O7" s="4">
        <f>(VLOOKUP('19.12'!W7,'19.12'!$AO$4:$AR$55,4,FALSE))</f>
        <v>0</v>
      </c>
      <c r="P7" s="4">
        <f>(VLOOKUP('19.12'!X7,'19.12'!$AO$4:$AR$55,4,FALSE))</f>
        <v>0</v>
      </c>
      <c r="Q7" s="4">
        <f>(VLOOKUP('19.12'!Y7,'19.12'!$AO$4:$AR$55,4,FALSE))</f>
        <v>39.110982162825401</v>
      </c>
      <c r="R7" s="4">
        <f>(VLOOKUP('19.12'!Z7,'19.12'!$AO$4:$AR$55,4,FALSE))</f>
        <v>39.110982162825401</v>
      </c>
      <c r="S7" s="4">
        <f>(VLOOKUP('19.12'!AA7,'19.12'!$AO$4:$AR$55,4,FALSE))</f>
        <v>39.110982162825401</v>
      </c>
      <c r="T7" s="4">
        <f>(VLOOKUP('19.12'!AB7,'19.12'!$AO$4:$AR$55,4,FALSE))</f>
        <v>10</v>
      </c>
      <c r="U7" s="4">
        <f>(VLOOKUP('19.12'!AC7,'19.12'!$AO$4:$AR$55,4,FALSE))</f>
        <v>39.110982162825401</v>
      </c>
      <c r="V7" s="4">
        <f>(VLOOKUP('19.12'!AD7,'19.12'!$AO$4:$AR$55,4,FALSE))</f>
        <v>44.222109392472198</v>
      </c>
      <c r="W7" s="4">
        <f>(VLOOKUP('19.12'!AE7,'19.12'!$AO$4:$AR$55,4,FALSE))</f>
        <v>34</v>
      </c>
      <c r="X7" s="4">
        <f>(VLOOKUP('19.12'!AF7,'19.12'!$AO$4:$AR$55,4,FALSE))</f>
        <v>0</v>
      </c>
    </row>
    <row r="8" spans="1:24">
      <c r="A8" s="4">
        <f>(VLOOKUP('19.12'!I8,'19.12'!$AO$4:$AR$55,4,FALSE))</f>
        <v>0</v>
      </c>
      <c r="B8" s="4">
        <f>(VLOOKUP('19.12'!J8,'19.12'!$AO$4:$AR$55,4,FALSE))</f>
        <v>0</v>
      </c>
      <c r="C8" s="4">
        <f>(VLOOKUP('19.12'!K8,'19.12'!$AO$4:$AR$55,4,FALSE))</f>
        <v>0</v>
      </c>
      <c r="D8" s="4">
        <f>(VLOOKUP('19.12'!L8,'19.12'!$AO$4:$AR$55,4,FALSE))</f>
        <v>0</v>
      </c>
      <c r="E8" s="4">
        <f>(VLOOKUP('19.12'!M8,'19.12'!$AO$4:$AR$55,4,FALSE))</f>
        <v>0</v>
      </c>
      <c r="F8" s="4">
        <f>(VLOOKUP('19.12'!N8,'19.12'!$AO$4:$AR$55,4,FALSE))</f>
        <v>0</v>
      </c>
      <c r="G8" s="4">
        <f>(VLOOKUP('19.12'!O8,'19.12'!$AO$4:$AR$55,4,FALSE))</f>
        <v>0</v>
      </c>
      <c r="H8" s="4">
        <f>(VLOOKUP('19.12'!P8,'19.12'!$AO$4:$AR$55,4,FALSE))</f>
        <v>0</v>
      </c>
      <c r="I8" s="4">
        <f>(VLOOKUP('19.12'!Q8,'19.12'!$AO$4:$AR$55,4,FALSE))</f>
        <v>36</v>
      </c>
      <c r="J8" s="4">
        <f>(VLOOKUP('19.12'!R8,'19.12'!$AO$4:$AR$55,4,FALSE))</f>
        <v>36</v>
      </c>
      <c r="K8" s="4">
        <f>(VLOOKUP('19.12'!S8,'19.12'!$AO$4:$AR$55,4,FALSE))</f>
        <v>36</v>
      </c>
      <c r="L8" s="4">
        <f>(VLOOKUP('19.12'!T8,'19.12'!$AO$4:$AR$55,4,FALSE))</f>
        <v>10</v>
      </c>
      <c r="M8" s="4">
        <f>(VLOOKUP('19.12'!U8,'19.12'!$AO$4:$AR$55,4,FALSE))</f>
        <v>36</v>
      </c>
      <c r="N8" s="4">
        <f>(VLOOKUP('19.12'!V8,'19.12'!$AO$4:$AR$55,4,FALSE))</f>
        <v>0</v>
      </c>
      <c r="O8" s="4">
        <f>(VLOOKUP('19.12'!W8,'19.12'!$AO$4:$AR$55,4,FALSE))</f>
        <v>0</v>
      </c>
      <c r="P8" s="4">
        <f>(VLOOKUP('19.12'!X8,'19.12'!$AO$4:$AR$55,4,FALSE))</f>
        <v>0</v>
      </c>
      <c r="Q8" s="4">
        <f>(VLOOKUP('19.12'!Y8,'19.12'!$AO$4:$AR$55,4,FALSE))</f>
        <v>34</v>
      </c>
      <c r="R8" s="4">
        <f>(VLOOKUP('19.12'!Z8,'19.12'!$AO$4:$AR$55,4,FALSE))</f>
        <v>34</v>
      </c>
      <c r="S8" s="4">
        <f>(VLOOKUP('19.12'!AA8,'19.12'!$AO$4:$AR$55,4,FALSE))</f>
        <v>0</v>
      </c>
      <c r="T8" s="4">
        <f>(VLOOKUP('19.12'!AB8,'19.12'!$AO$4:$AR$55,4,FALSE))</f>
        <v>34</v>
      </c>
      <c r="U8" s="4">
        <f>(VLOOKUP('19.12'!AC8,'19.12'!$AO$4:$AR$55,4,FALSE))</f>
        <v>34</v>
      </c>
      <c r="V8" s="4">
        <f>(VLOOKUP('19.12'!AD8,'19.12'!$AO$4:$AR$55,4,FALSE))</f>
        <v>44.222109392472198</v>
      </c>
      <c r="W8" s="4">
        <f>(VLOOKUP('19.12'!AE8,'19.12'!$AO$4:$AR$55,4,FALSE))</f>
        <v>0</v>
      </c>
      <c r="X8" s="4">
        <f>(VLOOKUP('19.12'!AF8,'19.12'!$AO$4:$AR$55,4,FALSE))</f>
        <v>0</v>
      </c>
    </row>
    <row r="9" spans="1:24">
      <c r="A9" s="4">
        <f>(VLOOKUP('19.12'!I9,'19.12'!$AO$4:$AR$55,4,FALSE))</f>
        <v>0</v>
      </c>
      <c r="B9" s="4">
        <f>(VLOOKUP('19.12'!J9,'19.12'!$AO$4:$AR$55,4,FALSE))</f>
        <v>0</v>
      </c>
      <c r="C9" s="4">
        <f>(VLOOKUP('19.12'!K9,'19.12'!$AO$4:$AR$55,4,FALSE))</f>
        <v>0</v>
      </c>
      <c r="D9" s="4">
        <f>(VLOOKUP('19.12'!L9,'19.12'!$AO$4:$AR$55,4,FALSE))</f>
        <v>0</v>
      </c>
      <c r="E9" s="4">
        <f>(VLOOKUP('19.12'!M9,'19.12'!$AO$4:$AR$55,4,FALSE))</f>
        <v>0</v>
      </c>
      <c r="F9" s="4">
        <f>(VLOOKUP('19.12'!N9,'19.12'!$AO$4:$AR$55,4,FALSE))</f>
        <v>0</v>
      </c>
      <c r="G9" s="4">
        <f>(VLOOKUP('19.12'!O9,'19.12'!$AO$4:$AR$55,4,FALSE))</f>
        <v>0</v>
      </c>
      <c r="H9" s="4">
        <f>(VLOOKUP('19.12'!P9,'19.12'!$AO$4:$AR$55,4,FALSE))</f>
        <v>0</v>
      </c>
      <c r="I9" s="4">
        <f>(VLOOKUP('19.12'!Q9,'19.12'!$AO$4:$AR$55,4,FALSE))</f>
        <v>34</v>
      </c>
      <c r="J9" s="4">
        <f>(VLOOKUP('19.12'!R9,'19.12'!$AO$4:$AR$55,4,FALSE))</f>
        <v>34</v>
      </c>
      <c r="K9" s="4">
        <f>(VLOOKUP('19.12'!S9,'19.12'!$AO$4:$AR$55,4,FALSE))</f>
        <v>0</v>
      </c>
      <c r="L9" s="4">
        <f>(VLOOKUP('19.12'!T9,'19.12'!$AO$4:$AR$55,4,FALSE))</f>
        <v>34</v>
      </c>
      <c r="M9" s="4">
        <f>(VLOOKUP('19.12'!U9,'19.12'!$AO$4:$AR$55,4,FALSE))</f>
        <v>34</v>
      </c>
      <c r="N9" s="4">
        <f>(VLOOKUP('19.12'!V9,'19.12'!$AO$4:$AR$55,4,FALSE))</f>
        <v>34</v>
      </c>
      <c r="O9" s="4">
        <f>(VLOOKUP('19.12'!W9,'19.12'!$AO$4:$AR$55,4,FALSE))</f>
        <v>34</v>
      </c>
      <c r="P9" s="4">
        <f>(VLOOKUP('19.12'!X9,'19.12'!$AO$4:$AR$55,4,FALSE))</f>
        <v>10</v>
      </c>
      <c r="Q9" s="4">
        <f>(VLOOKUP('19.12'!Y9,'19.12'!$AO$4:$AR$55,4,FALSE))</f>
        <v>34</v>
      </c>
      <c r="R9" s="4">
        <f>(VLOOKUP('19.12'!Z9,'19.12'!$AO$4:$AR$55,4,FALSE))</f>
        <v>10</v>
      </c>
      <c r="S9" s="4">
        <f>(VLOOKUP('19.12'!AA9,'19.12'!$AO$4:$AR$55,4,FALSE))</f>
        <v>34</v>
      </c>
      <c r="T9" s="4">
        <f>(VLOOKUP('19.12'!AB9,'19.12'!$AO$4:$AR$55,4,FALSE))</f>
        <v>13.9998549331786</v>
      </c>
      <c r="U9" s="4">
        <f>(VLOOKUP('19.12'!AC9,'19.12'!$AO$4:$AR$55,4,FALSE))</f>
        <v>34</v>
      </c>
      <c r="V9" s="4">
        <f>(VLOOKUP('19.12'!AD9,'19.12'!$AO$4:$AR$55,4,FALSE))</f>
        <v>34</v>
      </c>
      <c r="W9" s="4">
        <f>(VLOOKUP('19.12'!AE9,'19.12'!$AO$4:$AR$55,4,FALSE))</f>
        <v>0</v>
      </c>
      <c r="X9" s="4">
        <f>(VLOOKUP('19.12'!AF9,'19.12'!$AO$4:$AR$55,4,FALSE))</f>
        <v>0</v>
      </c>
    </row>
    <row r="10" spans="1:24">
      <c r="A10" s="4">
        <f>(VLOOKUP('19.12'!I10,'19.12'!$AO$4:$AR$55,4,FALSE))</f>
        <v>0</v>
      </c>
      <c r="B10" s="4">
        <f>(VLOOKUP('19.12'!J10,'19.12'!$AO$4:$AR$55,4,FALSE))</f>
        <v>0</v>
      </c>
      <c r="C10" s="4">
        <f>(VLOOKUP('19.12'!K10,'19.12'!$AO$4:$AR$55,4,FALSE))</f>
        <v>0</v>
      </c>
      <c r="D10" s="4">
        <f>(VLOOKUP('19.12'!L10,'19.12'!$AO$4:$AR$55,4,FALSE))</f>
        <v>0</v>
      </c>
      <c r="E10" s="4">
        <f>(VLOOKUP('19.12'!M10,'19.12'!$AO$4:$AR$55,4,FALSE))</f>
        <v>0</v>
      </c>
      <c r="F10" s="4">
        <f>(VLOOKUP('19.12'!N10,'19.12'!$AO$4:$AR$55,4,FALSE))</f>
        <v>0</v>
      </c>
      <c r="G10" s="4">
        <f>(VLOOKUP('19.12'!O10,'19.12'!$AO$4:$AR$55,4,FALSE))</f>
        <v>0</v>
      </c>
      <c r="H10" s="4">
        <f>(VLOOKUP('19.12'!P10,'19.12'!$AO$4:$AR$55,4,FALSE))</f>
        <v>0</v>
      </c>
      <c r="I10" s="4">
        <f>(VLOOKUP('19.12'!Q10,'19.12'!$AO$4:$AR$55,4,FALSE))</f>
        <v>34</v>
      </c>
      <c r="J10" s="4">
        <f>(VLOOKUP('19.12'!R10,'19.12'!$AO$4:$AR$55,4,FALSE))</f>
        <v>34</v>
      </c>
      <c r="K10" s="4">
        <f>(VLOOKUP('19.12'!S10,'19.12'!$AO$4:$AR$55,4,FALSE))</f>
        <v>34</v>
      </c>
      <c r="L10" s="4">
        <f>(VLOOKUP('19.12'!T10,'19.12'!$AO$4:$AR$55,4,FALSE))</f>
        <v>34</v>
      </c>
      <c r="M10" s="4">
        <f>(VLOOKUP('19.12'!U10,'19.12'!$AO$4:$AR$55,4,FALSE))</f>
        <v>10</v>
      </c>
      <c r="N10" s="4">
        <f>(VLOOKUP('19.12'!V10,'19.12'!$AO$4:$AR$55,4,FALSE))</f>
        <v>34</v>
      </c>
      <c r="O10" s="4">
        <f>(VLOOKUP('19.12'!W10,'19.12'!$AO$4:$AR$55,4,FALSE))</f>
        <v>34</v>
      </c>
      <c r="P10" s="4">
        <f>(VLOOKUP('19.12'!X10,'19.12'!$AO$4:$AR$55,4,FALSE))</f>
        <v>13.9998549331786</v>
      </c>
      <c r="Q10" s="4">
        <f>(VLOOKUP('19.12'!Y10,'19.12'!$AO$4:$AR$55,4,FALSE))</f>
        <v>0</v>
      </c>
      <c r="R10" s="4">
        <f>(VLOOKUP('19.12'!Z10,'19.12'!$AO$4:$AR$55,4,FALSE))</f>
        <v>34</v>
      </c>
      <c r="S10" s="4">
        <f>(VLOOKUP('19.12'!AA10,'19.12'!$AO$4:$AR$55,4,FALSE))</f>
        <v>34</v>
      </c>
      <c r="T10" s="4">
        <f>(VLOOKUP('19.12'!AB10,'19.12'!$AO$4:$AR$55,4,FALSE))</f>
        <v>34</v>
      </c>
      <c r="U10" s="4">
        <f>(VLOOKUP('19.12'!AC10,'19.12'!$AO$4:$AR$55,4,FALSE))</f>
        <v>34</v>
      </c>
      <c r="V10" s="4">
        <f>(VLOOKUP('19.12'!AD10,'19.12'!$AO$4:$AR$55,4,FALSE))</f>
        <v>34</v>
      </c>
      <c r="W10" s="4">
        <f>(VLOOKUP('19.12'!AE10,'19.12'!$AO$4:$AR$55,4,FALSE))</f>
        <v>0</v>
      </c>
      <c r="X10" s="4">
        <f>(VLOOKUP('19.12'!AF10,'19.12'!$AO$4:$AR$55,4,FALSE))</f>
        <v>0</v>
      </c>
    </row>
    <row r="11" spans="1:24">
      <c r="A11" s="4">
        <f>(VLOOKUP('19.12'!I11,'19.12'!$AO$4:$AR$55,4,FALSE))</f>
        <v>0</v>
      </c>
      <c r="B11" s="4">
        <f>(VLOOKUP('19.12'!J11,'19.12'!$AO$4:$AR$55,4,FALSE))</f>
        <v>0</v>
      </c>
      <c r="C11" s="4">
        <f>(VLOOKUP('19.12'!K11,'19.12'!$AO$4:$AR$55,4,FALSE))</f>
        <v>0</v>
      </c>
      <c r="D11" s="4">
        <f>(VLOOKUP('19.12'!L11,'19.12'!$AO$4:$AR$55,4,FALSE))</f>
        <v>0</v>
      </c>
      <c r="E11" s="4">
        <f>(VLOOKUP('19.12'!M11,'19.12'!$AO$4:$AR$55,4,FALSE))</f>
        <v>0</v>
      </c>
      <c r="F11" s="4">
        <f>(VLOOKUP('19.12'!N11,'19.12'!$AO$4:$AR$55,4,FALSE))</f>
        <v>0</v>
      </c>
      <c r="G11" s="4">
        <f>(VLOOKUP('19.12'!O11,'19.12'!$AO$4:$AR$55,4,FALSE))</f>
        <v>0</v>
      </c>
      <c r="H11" s="4">
        <f>(VLOOKUP('19.12'!P11,'19.12'!$AO$4:$AR$55,4,FALSE))</f>
        <v>0</v>
      </c>
      <c r="I11" s="4">
        <f>(VLOOKUP('19.12'!Q11,'19.12'!$AO$4:$AR$55,4,FALSE))</f>
        <v>34</v>
      </c>
      <c r="J11" s="4">
        <f>(VLOOKUP('19.12'!R11,'19.12'!$AO$4:$AR$55,4,FALSE))</f>
        <v>34</v>
      </c>
      <c r="K11" s="4">
        <f>(VLOOKUP('19.12'!S11,'19.12'!$AO$4:$AR$55,4,FALSE))</f>
        <v>34</v>
      </c>
      <c r="L11" s="4">
        <f>(VLOOKUP('19.12'!T11,'19.12'!$AO$4:$AR$55,4,FALSE))</f>
        <v>10</v>
      </c>
      <c r="M11" s="4">
        <f>(VLOOKUP('19.12'!U11,'19.12'!$AO$4:$AR$55,4,FALSE))</f>
        <v>34</v>
      </c>
      <c r="N11" s="4">
        <f>(VLOOKUP('19.12'!V11,'19.12'!$AO$4:$AR$55,4,FALSE))</f>
        <v>34</v>
      </c>
      <c r="O11" s="4">
        <f>(VLOOKUP('19.12'!W11,'19.12'!$AO$4:$AR$55,4,FALSE))</f>
        <v>34</v>
      </c>
      <c r="P11" s="4">
        <f>(VLOOKUP('19.12'!X11,'19.12'!$AO$4:$AR$55,4,FALSE))</f>
        <v>10</v>
      </c>
      <c r="Q11" s="4">
        <f>(VLOOKUP('19.12'!Y11,'19.12'!$AO$4:$AR$55,4,FALSE))</f>
        <v>34</v>
      </c>
      <c r="R11" s="4">
        <f>(VLOOKUP('19.12'!Z11,'19.12'!$AO$4:$AR$55,4,FALSE))</f>
        <v>34</v>
      </c>
      <c r="S11" s="4">
        <f>(VLOOKUP('19.12'!AA11,'19.12'!$AO$4:$AR$55,4,FALSE))</f>
        <v>13.9998549331786</v>
      </c>
      <c r="T11" s="4">
        <f>(VLOOKUP('19.12'!AB11,'19.12'!$AO$4:$AR$55,4,FALSE))</f>
        <v>34</v>
      </c>
      <c r="U11" s="4">
        <f>(VLOOKUP('19.12'!AC11,'19.12'!$AO$4:$AR$55,4,FALSE))</f>
        <v>36</v>
      </c>
      <c r="V11" s="4">
        <f>(VLOOKUP('19.12'!AD11,'19.12'!$AO$4:$AR$55,4,FALSE))</f>
        <v>36</v>
      </c>
      <c r="W11" s="4">
        <f>(VLOOKUP('19.12'!AE11,'19.12'!$AO$4:$AR$55,4,FALSE))</f>
        <v>0</v>
      </c>
      <c r="X11" s="4">
        <f>(VLOOKUP('19.12'!AF11,'19.12'!$AO$4:$AR$55,4,FALSE))</f>
        <v>0</v>
      </c>
    </row>
    <row r="12" spans="1:24">
      <c r="A12" s="4">
        <f>(VLOOKUP('19.12'!I12,'19.12'!$AO$4:$AR$55,4,FALSE))</f>
        <v>0</v>
      </c>
      <c r="B12" s="4">
        <f>(VLOOKUP('19.12'!J12,'19.12'!$AO$4:$AR$55,4,FALSE))</f>
        <v>0</v>
      </c>
      <c r="C12" s="4">
        <f>(VLOOKUP('19.12'!K12,'19.12'!$AO$4:$AR$55,4,FALSE))</f>
        <v>0</v>
      </c>
      <c r="D12" s="4">
        <f>(VLOOKUP('19.12'!L12,'19.12'!$AO$4:$AR$55,4,FALSE))</f>
        <v>0</v>
      </c>
      <c r="E12" s="4">
        <f>(VLOOKUP('19.12'!M12,'19.12'!$AO$4:$AR$55,4,FALSE))</f>
        <v>0</v>
      </c>
      <c r="F12" s="4">
        <f>(VLOOKUP('19.12'!N12,'19.12'!$AO$4:$AR$55,4,FALSE))</f>
        <v>0</v>
      </c>
      <c r="G12" s="4">
        <f>(VLOOKUP('19.12'!O12,'19.12'!$AO$4:$AR$55,4,FALSE))</f>
        <v>0</v>
      </c>
      <c r="H12" s="4">
        <f>(VLOOKUP('19.12'!P12,'19.12'!$AO$4:$AR$55,4,FALSE))</f>
        <v>0</v>
      </c>
      <c r="I12" s="4">
        <f>(VLOOKUP('19.12'!Q12,'19.12'!$AO$4:$AR$55,4,FALSE))</f>
        <v>34</v>
      </c>
      <c r="J12" s="4">
        <f>(VLOOKUP('19.12'!R12,'19.12'!$AO$4:$AR$55,4,FALSE))</f>
        <v>34</v>
      </c>
      <c r="K12" s="4">
        <f>(VLOOKUP('19.12'!S12,'19.12'!$AO$4:$AR$55,4,FALSE))</f>
        <v>34</v>
      </c>
      <c r="L12" s="4">
        <f>(VLOOKUP('19.12'!T12,'19.12'!$AO$4:$AR$55,4,FALSE))</f>
        <v>34</v>
      </c>
      <c r="M12" s="4">
        <f>(VLOOKUP('19.12'!U12,'19.12'!$AO$4:$AR$55,4,FALSE))</f>
        <v>34</v>
      </c>
      <c r="N12" s="4">
        <f>(VLOOKUP('19.12'!V12,'19.12'!$AO$4:$AR$55,4,FALSE))</f>
        <v>0</v>
      </c>
      <c r="O12" s="4">
        <f>(VLOOKUP('19.12'!W12,'19.12'!$AO$4:$AR$55,4,FALSE))</f>
        <v>10</v>
      </c>
      <c r="P12" s="4">
        <f>(VLOOKUP('19.12'!X12,'19.12'!$AO$4:$AR$55,4,FALSE))</f>
        <v>34</v>
      </c>
      <c r="Q12" s="4">
        <f>(VLOOKUP('19.12'!Y12,'19.12'!$AO$4:$AR$55,4,FALSE))</f>
        <v>36</v>
      </c>
      <c r="R12" s="4">
        <f>(VLOOKUP('19.12'!Z12,'19.12'!$AO$4:$AR$55,4,FALSE))</f>
        <v>36</v>
      </c>
      <c r="S12" s="4">
        <f>(VLOOKUP('19.12'!AA12,'19.12'!$AO$4:$AR$55,4,FALSE))</f>
        <v>34</v>
      </c>
      <c r="T12" s="4">
        <f>(VLOOKUP('19.12'!AB12,'19.12'!$AO$4:$AR$55,4,FALSE))</f>
        <v>34</v>
      </c>
      <c r="U12" s="4">
        <f>(VLOOKUP('19.12'!AC12,'19.12'!$AO$4:$AR$55,4,FALSE))</f>
        <v>0</v>
      </c>
      <c r="V12" s="4">
        <f>(VLOOKUP('19.12'!AD12,'19.12'!$AO$4:$AR$55,4,FALSE))</f>
        <v>36</v>
      </c>
      <c r="W12" s="4">
        <f>(VLOOKUP('19.12'!AE12,'19.12'!$AO$4:$AR$55,4,FALSE))</f>
        <v>0</v>
      </c>
      <c r="X12" s="4">
        <f>(VLOOKUP('19.12'!AF12,'19.12'!$AO$4:$AR$55,4,FALSE))</f>
        <v>0</v>
      </c>
    </row>
    <row r="13" spans="1:24">
      <c r="A13" s="4">
        <f>(VLOOKUP('19.12'!I13,'19.12'!$AO$4:$AR$55,4,FALSE))</f>
        <v>0</v>
      </c>
      <c r="B13" s="4">
        <f>(VLOOKUP('19.12'!J13,'19.12'!$AO$4:$AR$55,4,FALSE))</f>
        <v>0</v>
      </c>
      <c r="C13" s="4">
        <f>(VLOOKUP('19.12'!K13,'19.12'!$AO$4:$AR$55,4,FALSE))</f>
        <v>0</v>
      </c>
      <c r="D13" s="4">
        <f>(VLOOKUP('19.12'!L13,'19.12'!$AO$4:$AR$55,4,FALSE))</f>
        <v>0</v>
      </c>
      <c r="E13" s="4">
        <f>(VLOOKUP('19.12'!M13,'19.12'!$AO$4:$AR$55,4,FALSE))</f>
        <v>0</v>
      </c>
      <c r="F13" s="4">
        <f>(VLOOKUP('19.12'!N13,'19.12'!$AO$4:$AR$55,4,FALSE))</f>
        <v>0</v>
      </c>
      <c r="G13" s="4">
        <f>(VLOOKUP('19.12'!O13,'19.12'!$AO$4:$AR$55,4,FALSE))</f>
        <v>0</v>
      </c>
      <c r="H13" s="4">
        <f>(VLOOKUP('19.12'!P13,'19.12'!$AO$4:$AR$55,4,FALSE))</f>
        <v>0</v>
      </c>
      <c r="I13" s="4">
        <f>(VLOOKUP('19.12'!Q13,'19.12'!$AO$4:$AR$55,4,FALSE))</f>
        <v>34</v>
      </c>
      <c r="J13" s="4">
        <f>(VLOOKUP('19.12'!R13,'19.12'!$AO$4:$AR$55,4,FALSE))</f>
        <v>34</v>
      </c>
      <c r="K13" s="4">
        <f>(VLOOKUP('19.12'!S13,'19.12'!$AO$4:$AR$55,4,FALSE))</f>
        <v>34</v>
      </c>
      <c r="L13" s="4">
        <f>(VLOOKUP('19.12'!T13,'19.12'!$AO$4:$AR$55,4,FALSE))</f>
        <v>34</v>
      </c>
      <c r="M13" s="4">
        <f>(VLOOKUP('19.12'!U13,'19.12'!$AO$4:$AR$55,4,FALSE))</f>
        <v>34</v>
      </c>
      <c r="N13" s="4">
        <f>(VLOOKUP('19.12'!V13,'19.12'!$AO$4:$AR$55,4,FALSE))</f>
        <v>34</v>
      </c>
      <c r="O13" s="4">
        <f>(VLOOKUP('19.12'!W13,'19.12'!$AO$4:$AR$55,4,FALSE))</f>
        <v>34</v>
      </c>
      <c r="P13" s="4">
        <f>(VLOOKUP('19.12'!X13,'19.12'!$AO$4:$AR$55,4,FALSE))</f>
        <v>0</v>
      </c>
      <c r="Q13" s="4">
        <f>(VLOOKUP('19.12'!Y13,'19.12'!$AO$4:$AR$55,4,FALSE))</f>
        <v>36</v>
      </c>
      <c r="R13" s="4">
        <f>(VLOOKUP('19.12'!Z13,'19.12'!$AO$4:$AR$55,4,FALSE))</f>
        <v>36</v>
      </c>
      <c r="S13" s="4">
        <f>(VLOOKUP('19.12'!AA13,'19.12'!$AO$4:$AR$55,4,FALSE))</f>
        <v>36</v>
      </c>
      <c r="T13" s="4">
        <f>(VLOOKUP('19.12'!AB13,'19.12'!$AO$4:$AR$55,4,FALSE))</f>
        <v>36</v>
      </c>
      <c r="U13" s="4">
        <f>(VLOOKUP('19.12'!AC13,'19.12'!$AO$4:$AR$55,4,FALSE))</f>
        <v>36</v>
      </c>
      <c r="V13" s="4">
        <f>(VLOOKUP('19.12'!AD13,'19.12'!$AO$4:$AR$55,4,FALSE))</f>
        <v>36</v>
      </c>
      <c r="W13" s="4">
        <f>(VLOOKUP('19.12'!AE13,'19.12'!$AO$4:$AR$55,4,FALSE))</f>
        <v>0</v>
      </c>
      <c r="X13" s="4">
        <f>(VLOOKUP('19.12'!AF13,'19.12'!$AO$4:$AR$55,4,FALSE))</f>
        <v>0</v>
      </c>
    </row>
    <row r="14" spans="1:24">
      <c r="A14" s="4">
        <f>(VLOOKUP('19.12'!I14,'19.12'!$AO$4:$AR$55,4,FALSE))</f>
        <v>0</v>
      </c>
      <c r="B14" s="4">
        <f>(VLOOKUP('19.12'!J14,'19.12'!$AO$4:$AR$55,4,FALSE))</f>
        <v>0</v>
      </c>
      <c r="C14" s="4">
        <f>(VLOOKUP('19.12'!K14,'19.12'!$AO$4:$AR$55,4,FALSE))</f>
        <v>0</v>
      </c>
      <c r="D14" s="4">
        <f>(VLOOKUP('19.12'!L14,'19.12'!$AO$4:$AR$55,4,FALSE))</f>
        <v>0</v>
      </c>
      <c r="E14" s="4">
        <f>(VLOOKUP('19.12'!M14,'19.12'!$AO$4:$AR$55,4,FALSE))</f>
        <v>0</v>
      </c>
      <c r="F14" s="4">
        <f>(VLOOKUP('19.12'!N14,'19.12'!$AO$4:$AR$55,4,FALSE))</f>
        <v>0</v>
      </c>
      <c r="G14" s="4">
        <f>(VLOOKUP('19.12'!O14,'19.12'!$AO$4:$AR$55,4,FALSE))</f>
        <v>0</v>
      </c>
      <c r="H14" s="4">
        <f>(VLOOKUP('19.12'!P14,'19.12'!$AO$4:$AR$55,4,FALSE))</f>
        <v>0</v>
      </c>
      <c r="I14" s="4">
        <f>(VLOOKUP('19.12'!Q14,'19.12'!$AO$4:$AR$55,4,FALSE))</f>
        <v>34</v>
      </c>
      <c r="J14" s="4">
        <f>(VLOOKUP('19.12'!R14,'19.12'!$AO$4:$AR$55,4,FALSE))</f>
        <v>34</v>
      </c>
      <c r="K14" s="4">
        <f>(VLOOKUP('19.12'!S14,'19.12'!$AO$4:$AR$55,4,FALSE))</f>
        <v>0</v>
      </c>
      <c r="L14" s="4">
        <f>(VLOOKUP('19.12'!T14,'19.12'!$AO$4:$AR$55,4,FALSE))</f>
        <v>34</v>
      </c>
      <c r="M14" s="4">
        <f>(VLOOKUP('19.12'!U14,'19.12'!$AO$4:$AR$55,4,FALSE))</f>
        <v>34</v>
      </c>
      <c r="N14" s="4">
        <f>(VLOOKUP('19.12'!V14,'19.12'!$AO$4:$AR$55,4,FALSE))</f>
        <v>34</v>
      </c>
      <c r="O14" s="4">
        <f>(VLOOKUP('19.12'!W14,'19.12'!$AO$4:$AR$55,4,FALSE))</f>
        <v>0</v>
      </c>
      <c r="P14" s="4">
        <f>(VLOOKUP('19.12'!X14,'19.12'!$AO$4:$AR$55,4,FALSE))</f>
        <v>0</v>
      </c>
      <c r="Q14" s="4">
        <f>(VLOOKUP('19.12'!Y14,'19.12'!$AO$4:$AR$55,4,FALSE))</f>
        <v>36</v>
      </c>
      <c r="R14" s="4">
        <f>(VLOOKUP('19.12'!Z14,'19.12'!$AO$4:$AR$55,4,FALSE))</f>
        <v>34</v>
      </c>
      <c r="S14" s="4">
        <f>(VLOOKUP('19.12'!AA14,'19.12'!$AO$4:$AR$55,4,FALSE))</f>
        <v>13.9998549331786</v>
      </c>
      <c r="T14" s="4">
        <f>(VLOOKUP('19.12'!AB14,'19.12'!$AO$4:$AR$55,4,FALSE))</f>
        <v>34</v>
      </c>
      <c r="U14" s="4">
        <f>(VLOOKUP('19.12'!AC14,'19.12'!$AO$4:$AR$55,4,FALSE))</f>
        <v>10</v>
      </c>
      <c r="V14" s="4">
        <f>(VLOOKUP('19.12'!AD14,'19.12'!$AO$4:$AR$55,4,FALSE))</f>
        <v>34</v>
      </c>
      <c r="W14" s="4">
        <f>(VLOOKUP('19.12'!AE14,'19.12'!$AO$4:$AR$55,4,FALSE))</f>
        <v>0</v>
      </c>
      <c r="X14" s="4">
        <f>(VLOOKUP('19.12'!AF14,'19.12'!$AO$4:$AR$55,4,FALSE))</f>
        <v>0</v>
      </c>
    </row>
    <row r="15" spans="1:24">
      <c r="A15" s="4">
        <f>(VLOOKUP('19.12'!I15,'19.12'!$AO$4:$AR$55,4,FALSE))</f>
        <v>0</v>
      </c>
      <c r="B15" s="4">
        <f>(VLOOKUP('19.12'!J15,'19.12'!$AO$4:$AR$55,4,FALSE))</f>
        <v>0</v>
      </c>
      <c r="C15" s="4">
        <f>(VLOOKUP('19.12'!K15,'19.12'!$AO$4:$AR$55,4,FALSE))</f>
        <v>0</v>
      </c>
      <c r="D15" s="4">
        <f>(VLOOKUP('19.12'!L15,'19.12'!$AO$4:$AR$55,4,FALSE))</f>
        <v>0</v>
      </c>
      <c r="E15" s="4">
        <f>(VLOOKUP('19.12'!M15,'19.12'!$AO$4:$AR$55,4,FALSE))</f>
        <v>0</v>
      </c>
      <c r="F15" s="4">
        <f>(VLOOKUP('19.12'!N15,'19.12'!$AO$4:$AR$55,4,FALSE))</f>
        <v>0</v>
      </c>
      <c r="G15" s="4">
        <f>(VLOOKUP('19.12'!O15,'19.12'!$AO$4:$AR$55,4,FALSE))</f>
        <v>0</v>
      </c>
      <c r="H15" s="4">
        <f>(VLOOKUP('19.12'!P15,'19.12'!$AO$4:$AR$55,4,FALSE))</f>
        <v>0</v>
      </c>
      <c r="I15" s="4">
        <f>(VLOOKUP('19.12'!Q15,'19.12'!$AO$4:$AR$55,4,FALSE))</f>
        <v>34</v>
      </c>
      <c r="J15" s="4">
        <f>(VLOOKUP('19.12'!R15,'19.12'!$AO$4:$AR$55,4,FALSE))</f>
        <v>34</v>
      </c>
      <c r="K15" s="4">
        <f>(VLOOKUP('19.12'!S15,'19.12'!$AO$4:$AR$55,4,FALSE))</f>
        <v>34</v>
      </c>
      <c r="L15" s="4">
        <f>(VLOOKUP('19.12'!T15,'19.12'!$AO$4:$AR$55,4,FALSE))</f>
        <v>34</v>
      </c>
      <c r="M15" s="4">
        <f>(VLOOKUP('19.12'!U15,'19.12'!$AO$4:$AR$55,4,FALSE))</f>
        <v>38</v>
      </c>
      <c r="N15" s="4">
        <f>(VLOOKUP('19.12'!V15,'19.12'!$AO$4:$AR$55,4,FALSE))</f>
        <v>38</v>
      </c>
      <c r="O15" s="4">
        <f>(VLOOKUP('19.12'!W15,'19.12'!$AO$4:$AR$55,4,FALSE))</f>
        <v>0</v>
      </c>
      <c r="P15" s="4">
        <f>(VLOOKUP('19.12'!X15,'19.12'!$AO$4:$AR$55,4,FALSE))</f>
        <v>0</v>
      </c>
      <c r="Q15" s="4">
        <f>(VLOOKUP('19.12'!Y15,'19.12'!$AO$4:$AR$55,4,FALSE))</f>
        <v>34</v>
      </c>
      <c r="R15" s="4">
        <f>(VLOOKUP('19.12'!Z15,'19.12'!$AO$4:$AR$55,4,FALSE))</f>
        <v>34</v>
      </c>
      <c r="S15" s="4">
        <f>(VLOOKUP('19.12'!AA15,'19.12'!$AO$4:$AR$55,4,FALSE))</f>
        <v>0</v>
      </c>
      <c r="T15" s="4">
        <f>(VLOOKUP('19.12'!AB15,'19.12'!$AO$4:$AR$55,4,FALSE))</f>
        <v>0</v>
      </c>
      <c r="U15" s="4">
        <f>(VLOOKUP('19.12'!AC15,'19.12'!$AO$4:$AR$55,4,FALSE))</f>
        <v>0</v>
      </c>
      <c r="V15" s="4">
        <f>(VLOOKUP('19.12'!AD15,'19.12'!$AO$4:$AR$55,4,FALSE))</f>
        <v>0</v>
      </c>
      <c r="W15" s="4">
        <f>(VLOOKUP('19.12'!AE15,'19.12'!$AO$4:$AR$55,4,FALSE))</f>
        <v>0</v>
      </c>
      <c r="X15" s="4">
        <f>(VLOOKUP('19.12'!AF15,'19.12'!$AO$4:$AR$55,4,FALSE))</f>
        <v>0</v>
      </c>
    </row>
    <row r="16" spans="1:24">
      <c r="A16" s="4">
        <f>(VLOOKUP('19.12'!I16,'19.12'!$AO$4:$AR$55,4,FALSE))</f>
        <v>0</v>
      </c>
      <c r="B16" s="4">
        <f>(VLOOKUP('19.12'!J16,'19.12'!$AO$4:$AR$55,4,FALSE))</f>
        <v>0</v>
      </c>
      <c r="C16" s="4">
        <f>(VLOOKUP('19.12'!K16,'19.12'!$AO$4:$AR$55,4,FALSE))</f>
        <v>0</v>
      </c>
      <c r="D16" s="4">
        <f>(VLOOKUP('19.12'!L16,'19.12'!$AO$4:$AR$55,4,FALSE))</f>
        <v>0</v>
      </c>
      <c r="E16" s="4">
        <f>(VLOOKUP('19.12'!M16,'19.12'!$AO$4:$AR$55,4,FALSE))</f>
        <v>0</v>
      </c>
      <c r="F16" s="4">
        <f>(VLOOKUP('19.12'!N16,'19.12'!$AO$4:$AR$55,4,FALSE))</f>
        <v>0</v>
      </c>
      <c r="G16" s="4">
        <f>(VLOOKUP('19.12'!O16,'19.12'!$AO$4:$AR$55,4,FALSE))</f>
        <v>0</v>
      </c>
      <c r="H16" s="4">
        <f>(VLOOKUP('19.12'!P16,'19.12'!$AO$4:$AR$55,4,FALSE))</f>
        <v>0</v>
      </c>
      <c r="I16" s="4">
        <f>(VLOOKUP('19.12'!Q16,'19.12'!$AO$4:$AR$55,4,FALSE))</f>
        <v>38</v>
      </c>
      <c r="J16" s="4">
        <f>(VLOOKUP('19.12'!R16,'19.12'!$AO$4:$AR$55,4,FALSE))</f>
        <v>38</v>
      </c>
      <c r="K16" s="4">
        <f>(VLOOKUP('19.12'!S16,'19.12'!$AO$4:$AR$55,4,FALSE))</f>
        <v>34</v>
      </c>
      <c r="L16" s="4">
        <f>(VLOOKUP('19.12'!T16,'19.12'!$AO$4:$AR$55,4,FALSE))</f>
        <v>34</v>
      </c>
      <c r="M16" s="4">
        <f>(VLOOKUP('19.12'!U16,'19.12'!$AO$4:$AR$55,4,FALSE))</f>
        <v>34</v>
      </c>
      <c r="N16" s="4">
        <f>(VLOOKUP('19.12'!V16,'19.12'!$AO$4:$AR$55,4,FALSE))</f>
        <v>34</v>
      </c>
      <c r="O16" s="4">
        <f>(VLOOKUP('19.12'!W16,'19.12'!$AO$4:$AR$55,4,FALSE))</f>
        <v>34</v>
      </c>
      <c r="P16" s="4">
        <f>(VLOOKUP('19.12'!X16,'19.12'!$AO$4:$AR$55,4,FALSE))</f>
        <v>0</v>
      </c>
      <c r="Q16" s="4">
        <f>(VLOOKUP('19.12'!Y16,'19.12'!$AO$4:$AR$55,4,FALSE))</f>
        <v>34</v>
      </c>
      <c r="R16" s="4">
        <f>(VLOOKUP('19.12'!Z16,'19.12'!$AO$4:$AR$55,4,FALSE))</f>
        <v>34</v>
      </c>
      <c r="S16" s="4">
        <f>(VLOOKUP('19.12'!AA16,'19.12'!$AO$4:$AR$55,4,FALSE))</f>
        <v>34</v>
      </c>
      <c r="T16" s="4">
        <f>(VLOOKUP('19.12'!AB16,'19.12'!$AO$4:$AR$55,4,FALSE))</f>
        <v>34</v>
      </c>
      <c r="U16" s="4">
        <f>(VLOOKUP('19.12'!AC16,'19.12'!$AO$4:$AR$55,4,FALSE))</f>
        <v>34</v>
      </c>
      <c r="V16" s="4">
        <f>(VLOOKUP('19.12'!AD16,'19.12'!$AO$4:$AR$55,4,FALSE))</f>
        <v>34</v>
      </c>
      <c r="W16" s="4">
        <f>(VLOOKUP('19.12'!AE16,'19.12'!$AO$4:$AR$55,4,FALSE))</f>
        <v>0</v>
      </c>
      <c r="X16" s="4">
        <f>(VLOOKUP('19.12'!AF16,'19.12'!$AO$4:$AR$55,4,FALSE))</f>
        <v>0</v>
      </c>
    </row>
    <row r="17" spans="1:24">
      <c r="A17" s="4">
        <f>(VLOOKUP('19.12'!I17,'19.12'!$AO$4:$AR$55,4,FALSE))</f>
        <v>0</v>
      </c>
      <c r="B17" s="4">
        <f>(VLOOKUP('19.12'!J17,'19.12'!$AO$4:$AR$55,4,FALSE))</f>
        <v>0</v>
      </c>
      <c r="C17" s="4">
        <f>(VLOOKUP('19.12'!K17,'19.12'!$AO$4:$AR$55,4,FALSE))</f>
        <v>0</v>
      </c>
      <c r="D17" s="4">
        <f>(VLOOKUP('19.12'!L17,'19.12'!$AO$4:$AR$55,4,FALSE))</f>
        <v>0</v>
      </c>
      <c r="E17" s="4">
        <f>(VLOOKUP('19.12'!M17,'19.12'!$AO$4:$AR$55,4,FALSE))</f>
        <v>0</v>
      </c>
      <c r="F17" s="4">
        <f>(VLOOKUP('19.12'!N17,'19.12'!$AO$4:$AR$55,4,FALSE))</f>
        <v>0</v>
      </c>
      <c r="G17" s="4">
        <f>(VLOOKUP('19.12'!O17,'19.12'!$AO$4:$AR$55,4,FALSE))</f>
        <v>0</v>
      </c>
      <c r="H17" s="4">
        <f>(VLOOKUP('19.12'!P17,'19.12'!$AO$4:$AR$55,4,FALSE))</f>
        <v>0</v>
      </c>
      <c r="I17" s="4">
        <f>(VLOOKUP('19.12'!Q17,'19.12'!$AO$4:$AR$55,4,FALSE))</f>
        <v>34</v>
      </c>
      <c r="J17" s="4">
        <f>(VLOOKUP('19.12'!R17,'19.12'!$AO$4:$AR$55,4,FALSE))</f>
        <v>34</v>
      </c>
      <c r="K17" s="4">
        <f>(VLOOKUP('19.12'!S17,'19.12'!$AO$4:$AR$55,4,FALSE))</f>
        <v>34</v>
      </c>
      <c r="L17" s="4">
        <f>(VLOOKUP('19.12'!T17,'19.12'!$AO$4:$AR$55,4,FALSE))</f>
        <v>34</v>
      </c>
      <c r="M17" s="4">
        <f>(VLOOKUP('19.12'!U17,'19.12'!$AO$4:$AR$55,4,FALSE))</f>
        <v>0</v>
      </c>
      <c r="N17" s="4">
        <f>(VLOOKUP('19.12'!V17,'19.12'!$AO$4:$AR$55,4,FALSE))</f>
        <v>0</v>
      </c>
      <c r="O17" s="4">
        <f>(VLOOKUP('19.12'!W17,'19.12'!$AO$4:$AR$55,4,FALSE))</f>
        <v>0</v>
      </c>
      <c r="P17" s="4">
        <f>(VLOOKUP('19.12'!X17,'19.12'!$AO$4:$AR$55,4,FALSE))</f>
        <v>0</v>
      </c>
      <c r="Q17" s="4">
        <f>(VLOOKUP('19.12'!Y17,'19.12'!$AO$4:$AR$55,4,FALSE))</f>
        <v>10</v>
      </c>
      <c r="R17" s="4">
        <f>(VLOOKUP('19.12'!Z17,'19.12'!$AO$4:$AR$55,4,FALSE))</f>
        <v>34</v>
      </c>
      <c r="S17" s="4">
        <f>(VLOOKUP('19.12'!AA17,'19.12'!$AO$4:$AR$55,4,FALSE))</f>
        <v>34</v>
      </c>
      <c r="T17" s="4">
        <f>(VLOOKUP('19.12'!AB17,'19.12'!$AO$4:$AR$55,4,FALSE))</f>
        <v>34</v>
      </c>
      <c r="U17" s="4">
        <f>(VLOOKUP('19.12'!AC17,'19.12'!$AO$4:$AR$55,4,FALSE))</f>
        <v>34</v>
      </c>
      <c r="V17" s="4">
        <f>(VLOOKUP('19.12'!AD17,'19.12'!$AO$4:$AR$55,4,FALSE))</f>
        <v>0</v>
      </c>
      <c r="W17" s="4">
        <f>(VLOOKUP('19.12'!AE17,'19.12'!$AO$4:$AR$55,4,FALSE))</f>
        <v>36</v>
      </c>
      <c r="X17" s="4">
        <f>(VLOOKUP('19.12'!AF17,'19.12'!$AO$4:$AR$55,4,FALSE))</f>
        <v>36</v>
      </c>
    </row>
    <row r="18" spans="1:24">
      <c r="A18" s="4">
        <f>(VLOOKUP('19.12'!I18,'19.12'!$AO$4:$AR$55,4,FALSE))</f>
        <v>0</v>
      </c>
      <c r="B18" s="4">
        <f>(VLOOKUP('19.12'!J18,'19.12'!$AO$4:$AR$55,4,FALSE))</f>
        <v>0</v>
      </c>
      <c r="C18" s="4">
        <f>(VLOOKUP('19.12'!K18,'19.12'!$AO$4:$AR$55,4,FALSE))</f>
        <v>0</v>
      </c>
      <c r="D18" s="4">
        <f>(VLOOKUP('19.12'!L18,'19.12'!$AO$4:$AR$55,4,FALSE))</f>
        <v>0</v>
      </c>
      <c r="E18" s="4">
        <f>(VLOOKUP('19.12'!M18,'19.12'!$AO$4:$AR$55,4,FALSE))</f>
        <v>0</v>
      </c>
      <c r="F18" s="4">
        <f>(VLOOKUP('19.12'!N18,'19.12'!$AO$4:$AR$55,4,FALSE))</f>
        <v>0</v>
      </c>
      <c r="G18" s="4">
        <f>(VLOOKUP('19.12'!O18,'19.12'!$AO$4:$AR$55,4,FALSE))</f>
        <v>0</v>
      </c>
      <c r="H18" s="4">
        <f>(VLOOKUP('19.12'!P18,'19.12'!$AO$4:$AR$55,4,FALSE))</f>
        <v>0</v>
      </c>
      <c r="I18" s="4">
        <f>(VLOOKUP('19.12'!Q18,'19.12'!$AO$4:$AR$55,4,FALSE))</f>
        <v>38</v>
      </c>
      <c r="J18" s="4">
        <f>(VLOOKUP('19.12'!R18,'19.12'!$AO$4:$AR$55,4,FALSE))</f>
        <v>38</v>
      </c>
      <c r="K18" s="4">
        <f>(VLOOKUP('19.12'!S18,'19.12'!$AO$4:$AR$55,4,FALSE))</f>
        <v>38</v>
      </c>
      <c r="L18" s="4">
        <f>(VLOOKUP('19.12'!T18,'19.12'!$AO$4:$AR$55,4,FALSE))</f>
        <v>44.222109392472198</v>
      </c>
      <c r="M18" s="4">
        <f>(VLOOKUP('19.12'!U18,'19.12'!$AO$4:$AR$55,4,FALSE))</f>
        <v>38</v>
      </c>
      <c r="N18" s="4">
        <f>(VLOOKUP('19.12'!V18,'19.12'!$AO$4:$AR$55,4,FALSE))</f>
        <v>38</v>
      </c>
      <c r="O18" s="4">
        <f>(VLOOKUP('19.12'!W18,'19.12'!$AO$4:$AR$55,4,FALSE))</f>
        <v>0</v>
      </c>
      <c r="P18" s="4">
        <f>(VLOOKUP('19.12'!X18,'19.12'!$AO$4:$AR$55,4,FALSE))</f>
        <v>0</v>
      </c>
      <c r="Q18" s="4">
        <f>(VLOOKUP('19.12'!Y18,'19.12'!$AO$4:$AR$55,4,FALSE))</f>
        <v>36</v>
      </c>
      <c r="R18" s="4">
        <f>(VLOOKUP('19.12'!Z18,'19.12'!$AO$4:$AR$55,4,FALSE))</f>
        <v>10</v>
      </c>
      <c r="S18" s="4">
        <f>(VLOOKUP('19.12'!AA18,'19.12'!$AO$4:$AR$55,4,FALSE))</f>
        <v>36</v>
      </c>
      <c r="T18" s="4">
        <f>(VLOOKUP('19.12'!AB18,'19.12'!$AO$4:$AR$55,4,FALSE))</f>
        <v>44.222109392472198</v>
      </c>
      <c r="U18" s="4">
        <f>(VLOOKUP('19.12'!AC18,'19.12'!$AO$4:$AR$55,4,FALSE))</f>
        <v>36</v>
      </c>
      <c r="V18" s="4">
        <f>(VLOOKUP('19.12'!AD18,'19.12'!$AO$4:$AR$55,4,FALSE))</f>
        <v>36</v>
      </c>
      <c r="W18" s="4">
        <f>(VLOOKUP('19.12'!AE18,'19.12'!$AO$4:$AR$55,4,FALSE))</f>
        <v>10</v>
      </c>
      <c r="X18" s="4">
        <f>(VLOOKUP('19.12'!AF18,'19.12'!$AO$4:$AR$55,4,FALSE))</f>
        <v>38</v>
      </c>
    </row>
    <row r="19" spans="1:24">
      <c r="A19" s="4">
        <f>(VLOOKUP('19.12'!I19,'19.12'!$AO$4:$AR$55,4,FALSE))</f>
        <v>0</v>
      </c>
      <c r="B19" s="4">
        <f>(VLOOKUP('19.12'!J19,'19.12'!$AO$4:$AR$55,4,FALSE))</f>
        <v>0</v>
      </c>
      <c r="C19" s="4">
        <f>(VLOOKUP('19.12'!K19,'19.12'!$AO$4:$AR$55,4,FALSE))</f>
        <v>0</v>
      </c>
      <c r="D19" s="4">
        <f>(VLOOKUP('19.12'!L19,'19.12'!$AO$4:$AR$55,4,FALSE))</f>
        <v>0</v>
      </c>
      <c r="E19" s="4">
        <f>(VLOOKUP('19.12'!M19,'19.12'!$AO$4:$AR$55,4,FALSE))</f>
        <v>0</v>
      </c>
      <c r="F19" s="4">
        <f>(VLOOKUP('19.12'!N19,'19.12'!$AO$4:$AR$55,4,FALSE))</f>
        <v>0</v>
      </c>
      <c r="G19" s="4">
        <f>(VLOOKUP('19.12'!O19,'19.12'!$AO$4:$AR$55,4,FALSE))</f>
        <v>0</v>
      </c>
      <c r="H19" s="4">
        <f>(VLOOKUP('19.12'!P19,'19.12'!$AO$4:$AR$55,4,FALSE))</f>
        <v>0</v>
      </c>
      <c r="I19" s="4">
        <f>(VLOOKUP('19.12'!Q19,'19.12'!$AO$4:$AR$55,4,FALSE))</f>
        <v>38</v>
      </c>
      <c r="J19" s="4">
        <f>(VLOOKUP('19.12'!R19,'19.12'!$AO$4:$AR$55,4,FALSE))</f>
        <v>38</v>
      </c>
      <c r="K19" s="4">
        <f>(VLOOKUP('19.12'!S19,'19.12'!$AO$4:$AR$55,4,FALSE))</f>
        <v>38</v>
      </c>
      <c r="L19" s="4">
        <f>(VLOOKUP('19.12'!T19,'19.12'!$AO$4:$AR$55,4,FALSE))</f>
        <v>38</v>
      </c>
      <c r="M19" s="4">
        <f>(VLOOKUP('19.12'!U19,'19.12'!$AO$4:$AR$55,4,FALSE))</f>
        <v>10</v>
      </c>
      <c r="N19" s="4">
        <f>(VLOOKUP('19.12'!V19,'19.12'!$AO$4:$AR$55,4,FALSE))</f>
        <v>38</v>
      </c>
      <c r="O19" s="4">
        <f>(VLOOKUP('19.12'!W19,'19.12'!$AO$4:$AR$55,4,FALSE))</f>
        <v>38</v>
      </c>
      <c r="P19" s="4">
        <f>(VLOOKUP('19.12'!X19,'19.12'!$AO$4:$AR$55,4,FALSE))</f>
        <v>38</v>
      </c>
      <c r="Q19" s="4">
        <f>(VLOOKUP('19.12'!Y19,'19.12'!$AO$4:$AR$55,4,FALSE))</f>
        <v>38</v>
      </c>
      <c r="R19" s="4">
        <f>(VLOOKUP('19.12'!Z19,'19.12'!$AO$4:$AR$55,4,FALSE))</f>
        <v>38</v>
      </c>
      <c r="S19" s="4">
        <f>(VLOOKUP('19.12'!AA19,'19.12'!$AO$4:$AR$55,4,FALSE))</f>
        <v>38</v>
      </c>
      <c r="T19" s="4">
        <f>(VLOOKUP('19.12'!AB19,'19.12'!$AO$4:$AR$55,4,FALSE))</f>
        <v>38</v>
      </c>
      <c r="U19" s="4">
        <f>(VLOOKUP('19.12'!AC19,'19.12'!$AO$4:$AR$55,4,FALSE))</f>
        <v>38</v>
      </c>
      <c r="V19" s="4">
        <f>(VLOOKUP('19.12'!AD19,'19.12'!$AO$4:$AR$55,4,FALSE))</f>
        <v>38</v>
      </c>
      <c r="W19" s="4">
        <f>(VLOOKUP('19.12'!AE19,'19.12'!$AO$4:$AR$55,4,FALSE))</f>
        <v>38</v>
      </c>
      <c r="X19" s="4">
        <f>(VLOOKUP('19.12'!AF19,'19.12'!$AO$4:$AR$55,4,FALSE))</f>
        <v>36</v>
      </c>
    </row>
    <row r="20" spans="1:24">
      <c r="A20" s="4">
        <f>(VLOOKUP('19.12'!I20,'19.12'!$AO$4:$AR$55,4,FALSE))</f>
        <v>0</v>
      </c>
      <c r="B20" s="4">
        <f>(VLOOKUP('19.12'!J20,'19.12'!$AO$4:$AR$55,4,FALSE))</f>
        <v>0</v>
      </c>
      <c r="C20" s="4">
        <f>(VLOOKUP('19.12'!K20,'19.12'!$AO$4:$AR$55,4,FALSE))</f>
        <v>0</v>
      </c>
      <c r="D20" s="4">
        <f>(VLOOKUP('19.12'!L20,'19.12'!$AO$4:$AR$55,4,FALSE))</f>
        <v>0</v>
      </c>
      <c r="E20" s="4">
        <f>(VLOOKUP('19.12'!M20,'19.12'!$AO$4:$AR$55,4,FALSE))</f>
        <v>0</v>
      </c>
      <c r="F20" s="4">
        <f>(VLOOKUP('19.12'!N20,'19.12'!$AO$4:$AR$55,4,FALSE))</f>
        <v>0</v>
      </c>
      <c r="G20" s="4">
        <f>(VLOOKUP('19.12'!O20,'19.12'!$AO$4:$AR$55,4,FALSE))</f>
        <v>0</v>
      </c>
      <c r="H20" s="4">
        <f>(VLOOKUP('19.12'!P20,'19.12'!$AO$4:$AR$55,4,FALSE))</f>
        <v>0</v>
      </c>
      <c r="I20" s="4">
        <f>(VLOOKUP('19.12'!Q20,'19.12'!$AO$4:$AR$55,4,FALSE))</f>
        <v>38</v>
      </c>
      <c r="J20" s="4">
        <f>(VLOOKUP('19.12'!R20,'19.12'!$AO$4:$AR$55,4,FALSE))</f>
        <v>38</v>
      </c>
      <c r="K20" s="4">
        <f>(VLOOKUP('19.12'!S20,'19.12'!$AO$4:$AR$55,4,FALSE))</f>
        <v>38</v>
      </c>
      <c r="L20" s="4">
        <f>(VLOOKUP('19.12'!T20,'19.12'!$AO$4:$AR$55,4,FALSE))</f>
        <v>38</v>
      </c>
      <c r="M20" s="4">
        <f>(VLOOKUP('19.12'!U20,'19.12'!$AO$4:$AR$55,4,FALSE))</f>
        <v>0</v>
      </c>
      <c r="N20" s="4">
        <f>(VLOOKUP('19.12'!V20,'19.12'!$AO$4:$AR$55,4,FALSE))</f>
        <v>0</v>
      </c>
      <c r="O20" s="4">
        <f>(VLOOKUP('19.12'!W20,'19.12'!$AO$4:$AR$55,4,FALSE))</f>
        <v>0</v>
      </c>
      <c r="P20" s="4">
        <f>(VLOOKUP('19.12'!X20,'19.12'!$AO$4:$AR$55,4,FALSE))</f>
        <v>0</v>
      </c>
      <c r="Q20" s="4">
        <f>(VLOOKUP('19.12'!Y20,'19.12'!$AO$4:$AR$55,4,FALSE))</f>
        <v>36</v>
      </c>
      <c r="R20" s="4">
        <f>(VLOOKUP('19.12'!Z20,'19.12'!$AO$4:$AR$55,4,FALSE))</f>
        <v>10</v>
      </c>
      <c r="S20" s="4">
        <f>(VLOOKUP('19.12'!AA20,'19.12'!$AO$4:$AR$55,4,FALSE))</f>
        <v>38</v>
      </c>
      <c r="T20" s="4">
        <f>(VLOOKUP('19.12'!AB20,'19.12'!$AO$4:$AR$55,4,FALSE))</f>
        <v>38</v>
      </c>
      <c r="U20" s="4">
        <f>(VLOOKUP('19.12'!AC20,'19.12'!$AO$4:$AR$55,4,FALSE))</f>
        <v>38</v>
      </c>
      <c r="V20" s="4">
        <f>(VLOOKUP('19.12'!AD20,'19.12'!$AO$4:$AR$55,4,FALSE))</f>
        <v>10</v>
      </c>
      <c r="W20" s="4">
        <f>(VLOOKUP('19.12'!AE20,'19.12'!$AO$4:$AR$55,4,FALSE))</f>
        <v>38</v>
      </c>
      <c r="X20" s="4">
        <f>(VLOOKUP('19.12'!AF20,'19.12'!$AO$4:$AR$55,4,FALSE))</f>
        <v>38</v>
      </c>
    </row>
    <row r="21" spans="1:24">
      <c r="A21" s="4">
        <f>(VLOOKUP('19.12'!I21,'19.12'!$AO$4:$AR$55,4,FALSE))</f>
        <v>0</v>
      </c>
      <c r="B21" s="4">
        <f>(VLOOKUP('19.12'!J21,'19.12'!$AO$4:$AR$55,4,FALSE))</f>
        <v>0</v>
      </c>
      <c r="C21" s="4">
        <f>(VLOOKUP('19.12'!K21,'19.12'!$AO$4:$AR$55,4,FALSE))</f>
        <v>0</v>
      </c>
      <c r="D21" s="4">
        <f>(VLOOKUP('19.12'!L21,'19.12'!$AO$4:$AR$55,4,FALSE))</f>
        <v>0</v>
      </c>
      <c r="E21" s="4">
        <f>(VLOOKUP('19.12'!M21,'19.12'!$AO$4:$AR$55,4,FALSE))</f>
        <v>0</v>
      </c>
      <c r="F21" s="4">
        <f>(VLOOKUP('19.12'!N21,'19.12'!$AO$4:$AR$55,4,FALSE))</f>
        <v>0</v>
      </c>
      <c r="G21" s="4">
        <f>(VLOOKUP('19.12'!O21,'19.12'!$AO$4:$AR$55,4,FALSE))</f>
        <v>0</v>
      </c>
      <c r="H21" s="4">
        <f>(VLOOKUP('19.12'!P21,'19.12'!$AO$4:$AR$55,4,FALSE))</f>
        <v>0</v>
      </c>
      <c r="I21" s="4">
        <f>(VLOOKUP('19.12'!Q21,'19.12'!$AO$4:$AR$55,4,FALSE))</f>
        <v>0</v>
      </c>
      <c r="J21" s="4">
        <f>(VLOOKUP('19.12'!R21,'19.12'!$AO$4:$AR$55,4,FALSE))</f>
        <v>0</v>
      </c>
      <c r="K21" s="4">
        <f>(VLOOKUP('19.12'!S21,'19.12'!$AO$4:$AR$55,4,FALSE))</f>
        <v>10</v>
      </c>
      <c r="L21" s="4">
        <f>(VLOOKUP('19.12'!T21,'19.12'!$AO$4:$AR$55,4,FALSE))</f>
        <v>0</v>
      </c>
      <c r="M21" s="4">
        <f>(VLOOKUP('19.12'!U21,'19.12'!$AO$4:$AR$55,4,FALSE))</f>
        <v>0</v>
      </c>
      <c r="N21" s="4">
        <f>(VLOOKUP('19.12'!V21,'19.12'!$AO$4:$AR$55,4,FALSE))</f>
        <v>0</v>
      </c>
      <c r="O21" s="4">
        <f>(VLOOKUP('19.12'!W21,'19.12'!$AO$4:$AR$55,4,FALSE))</f>
        <v>0</v>
      </c>
      <c r="P21" s="4">
        <f>(VLOOKUP('19.12'!X21,'19.12'!$AO$4:$AR$55,4,FALSE))</f>
        <v>0</v>
      </c>
      <c r="Q21" s="4">
        <f>(VLOOKUP('19.12'!Y21,'19.12'!$AO$4:$AR$55,4,FALSE))</f>
        <v>38</v>
      </c>
      <c r="R21" s="4">
        <f>(VLOOKUP('19.12'!Z21,'19.12'!$AO$4:$AR$55,4,FALSE))</f>
        <v>36</v>
      </c>
      <c r="S21" s="4">
        <f>(VLOOKUP('19.12'!AA21,'19.12'!$AO$4:$AR$55,4,FALSE))</f>
        <v>36</v>
      </c>
      <c r="T21" s="4">
        <f>(VLOOKUP('19.12'!AB21,'19.12'!$AO$4:$AR$55,4,FALSE))</f>
        <v>36</v>
      </c>
      <c r="U21" s="4">
        <f>(VLOOKUP('19.12'!AC21,'19.12'!$AO$4:$AR$55,4,FALSE))</f>
        <v>0</v>
      </c>
      <c r="V21" s="4">
        <f>(VLOOKUP('19.12'!AD21,'19.12'!$AO$4:$AR$55,4,FALSE))</f>
        <v>10</v>
      </c>
      <c r="W21" s="4">
        <f>(VLOOKUP('19.12'!AE21,'19.12'!$AO$4:$AR$55,4,FALSE))</f>
        <v>0</v>
      </c>
      <c r="X21" s="4">
        <f>(VLOOKUP('19.12'!AF21,'19.12'!$AO$4:$AR$55,4,FALSE))</f>
        <v>0</v>
      </c>
    </row>
    <row r="22" spans="1:24">
      <c r="A22" s="4">
        <f>(VLOOKUP('19.12'!I22,'19.12'!$AO$4:$AR$55,4,FALSE))</f>
        <v>44.222109392472198</v>
      </c>
      <c r="B22" s="4">
        <f>(VLOOKUP('19.12'!J22,'19.12'!$AO$4:$AR$55,4,FALSE))</f>
        <v>10</v>
      </c>
      <c r="C22" s="4">
        <f>(VLOOKUP('19.12'!K22,'19.12'!$AO$4:$AR$55,4,FALSE))</f>
        <v>44.222109392472198</v>
      </c>
      <c r="D22" s="4">
        <f>(VLOOKUP('19.12'!L22,'19.12'!$AO$4:$AR$55,4,FALSE))</f>
        <v>44.222109392472198</v>
      </c>
      <c r="E22" s="4">
        <f>(VLOOKUP('19.12'!M22,'19.12'!$AO$4:$AR$55,4,FALSE))</f>
        <v>0</v>
      </c>
      <c r="F22" s="4">
        <f>(VLOOKUP('19.12'!N22,'19.12'!$AO$4:$AR$55,4,FALSE))</f>
        <v>0</v>
      </c>
      <c r="G22" s="4">
        <f>(VLOOKUP('19.12'!O22,'19.12'!$AO$4:$AR$55,4,FALSE))</f>
        <v>0</v>
      </c>
      <c r="H22" s="4">
        <f>(VLOOKUP('19.12'!P22,'19.12'!$AO$4:$AR$55,4,FALSE))</f>
        <v>0</v>
      </c>
      <c r="I22" s="4">
        <f>(VLOOKUP('19.12'!Q22,'19.12'!$AO$4:$AR$55,4,FALSE))</f>
        <v>0</v>
      </c>
      <c r="J22" s="4">
        <f>(VLOOKUP('19.12'!R22,'19.12'!$AO$4:$AR$55,4,FALSE))</f>
        <v>0</v>
      </c>
      <c r="K22" s="4">
        <f>(VLOOKUP('19.12'!S22,'19.12'!$AO$4:$AR$55,4,FALSE))</f>
        <v>0</v>
      </c>
      <c r="L22" s="4">
        <f>(VLOOKUP('19.12'!T22,'19.12'!$AO$4:$AR$55,4,FALSE))</f>
        <v>0</v>
      </c>
      <c r="M22" s="4">
        <f>(VLOOKUP('19.12'!U22,'19.12'!$AO$4:$AR$55,4,FALSE))</f>
        <v>0</v>
      </c>
      <c r="N22" s="4">
        <f>(VLOOKUP('19.12'!V22,'19.12'!$AO$4:$AR$55,4,FALSE))</f>
        <v>0</v>
      </c>
      <c r="O22" s="4">
        <f>(VLOOKUP('19.12'!W22,'19.12'!$AO$4:$AR$55,4,FALSE))</f>
        <v>0</v>
      </c>
      <c r="P22" s="4">
        <f>(VLOOKUP('19.12'!X22,'19.12'!$AO$4:$AR$55,4,FALSE))</f>
        <v>0</v>
      </c>
      <c r="Q22" s="4">
        <f>(VLOOKUP('19.12'!Y22,'19.12'!$AO$4:$AR$55,4,FALSE))</f>
        <v>36</v>
      </c>
      <c r="R22" s="4">
        <f>(VLOOKUP('19.12'!Z22,'19.12'!$AO$4:$AR$55,4,FALSE))</f>
        <v>36</v>
      </c>
      <c r="S22" s="4">
        <f>(VLOOKUP('19.12'!AA22,'19.12'!$AO$4:$AR$55,4,FALSE))</f>
        <v>38</v>
      </c>
      <c r="T22" s="4">
        <f>(VLOOKUP('19.12'!AB22,'19.12'!$AO$4:$AR$55,4,FALSE))</f>
        <v>38</v>
      </c>
      <c r="U22" s="4">
        <f>(VLOOKUP('19.12'!AC22,'19.12'!$AO$4:$AR$55,4,FALSE))</f>
        <v>10</v>
      </c>
      <c r="V22" s="4">
        <f>(VLOOKUP('19.12'!AD22,'19.12'!$AO$4:$AR$55,4,FALSE))</f>
        <v>34</v>
      </c>
      <c r="W22" s="4">
        <f>(VLOOKUP('19.12'!AE22,'19.12'!$AO$4:$AR$55,4,FALSE))</f>
        <v>10</v>
      </c>
      <c r="X22" s="4">
        <f>(VLOOKUP('19.12'!AF22,'19.12'!$AO$4:$AR$55,4,FALSE))</f>
        <v>0</v>
      </c>
    </row>
    <row r="23" spans="1:24">
      <c r="A23" s="4">
        <f>(VLOOKUP('19.12'!I23,'19.12'!$AO$4:$AR$55,4,FALSE))</f>
        <v>10</v>
      </c>
      <c r="B23" s="4">
        <f>(VLOOKUP('19.12'!J23,'19.12'!$AO$4:$AR$55,4,FALSE))</f>
        <v>44.222109392472198</v>
      </c>
      <c r="C23" s="4">
        <f>(VLOOKUP('19.12'!K23,'19.12'!$AO$4:$AR$55,4,FALSE))</f>
        <v>44.222109392472198</v>
      </c>
      <c r="D23" s="4">
        <f>(VLOOKUP('19.12'!L23,'19.12'!$AO$4:$AR$55,4,FALSE))</f>
        <v>10</v>
      </c>
      <c r="E23" s="4">
        <f>(VLOOKUP('19.12'!M23,'19.12'!$AO$4:$AR$55,4,FALSE))</f>
        <v>44.222109392472198</v>
      </c>
      <c r="F23" s="4">
        <f>(VLOOKUP('19.12'!N23,'19.12'!$AO$4:$AR$55,4,FALSE))</f>
        <v>10</v>
      </c>
      <c r="G23" s="4">
        <f>(VLOOKUP('19.12'!O23,'19.12'!$AO$4:$AR$55,4,FALSE))</f>
        <v>0</v>
      </c>
      <c r="H23" s="4">
        <f>(VLOOKUP('19.12'!P23,'19.12'!$AO$4:$AR$55,4,FALSE))</f>
        <v>0</v>
      </c>
      <c r="I23" s="4">
        <f>(VLOOKUP('19.12'!Q23,'19.12'!$AO$4:$AR$55,4,FALSE))</f>
        <v>0</v>
      </c>
      <c r="J23" s="4">
        <f>(VLOOKUP('19.12'!R23,'19.12'!$AO$4:$AR$55,4,FALSE))</f>
        <v>0</v>
      </c>
      <c r="K23" s="4">
        <f>(VLOOKUP('19.12'!S23,'19.12'!$AO$4:$AR$55,4,FALSE))</f>
        <v>0</v>
      </c>
      <c r="L23" s="4">
        <f>(VLOOKUP('19.12'!T23,'19.12'!$AO$4:$AR$55,4,FALSE))</f>
        <v>0</v>
      </c>
      <c r="M23" s="4">
        <f>(VLOOKUP('19.12'!U23,'19.12'!$AO$4:$AR$55,4,FALSE))</f>
        <v>0</v>
      </c>
      <c r="N23" s="4">
        <f>(VLOOKUP('19.12'!V23,'19.12'!$AO$4:$AR$55,4,FALSE))</f>
        <v>0</v>
      </c>
      <c r="O23" s="4">
        <f>(VLOOKUP('19.12'!W23,'19.12'!$AO$4:$AR$55,4,FALSE))</f>
        <v>10</v>
      </c>
      <c r="P23" s="4">
        <f>(VLOOKUP('19.12'!X23,'19.12'!$AO$4:$AR$55,4,FALSE))</f>
        <v>0</v>
      </c>
      <c r="Q23" s="4">
        <f>(VLOOKUP('19.12'!Y23,'19.12'!$AO$4:$AR$55,4,FALSE))</f>
        <v>34</v>
      </c>
      <c r="R23" s="4">
        <f>(VLOOKUP('19.12'!Z23,'19.12'!$AO$4:$AR$55,4,FALSE))</f>
        <v>34</v>
      </c>
      <c r="S23" s="4">
        <f>(VLOOKUP('19.12'!AA23,'19.12'!$AO$4:$AR$55,4,FALSE))</f>
        <v>39.110982162825401</v>
      </c>
      <c r="T23" s="4">
        <f>(VLOOKUP('19.12'!AB23,'19.12'!$AO$4:$AR$55,4,FALSE))</f>
        <v>39.110982162825401</v>
      </c>
      <c r="U23" s="4">
        <f>(VLOOKUP('19.12'!AC23,'19.12'!$AO$4:$AR$55,4,FALSE))</f>
        <v>39.110982162825401</v>
      </c>
      <c r="V23" s="4">
        <f>(VLOOKUP('19.12'!AD23,'19.12'!$AO$4:$AR$55,4,FALSE))</f>
        <v>10</v>
      </c>
      <c r="W23" s="4">
        <f>(VLOOKUP('19.12'!AE23,'19.12'!$AO$4:$AR$55,4,FALSE))</f>
        <v>39.110982162825401</v>
      </c>
      <c r="X23" s="4">
        <f>(VLOOKUP('19.12'!AF23,'19.12'!$AO$4:$AR$55,4,FALSE))</f>
        <v>10</v>
      </c>
    </row>
    <row r="24" spans="1:24">
      <c r="A24" s="4">
        <f>(VLOOKUP('19.12'!I24,'19.12'!$AO$4:$AR$55,4,FALSE))</f>
        <v>0</v>
      </c>
      <c r="B24" s="4">
        <f>(VLOOKUP('19.12'!J24,'19.12'!$AO$4:$AR$55,4,FALSE))</f>
        <v>0</v>
      </c>
      <c r="C24" s="4">
        <f>(VLOOKUP('19.12'!K24,'19.12'!$AO$4:$AR$55,4,FALSE))</f>
        <v>0</v>
      </c>
      <c r="D24" s="4">
        <f>(VLOOKUP('19.12'!L24,'19.12'!$AO$4:$AR$55,4,FALSE))</f>
        <v>0</v>
      </c>
      <c r="E24" s="4">
        <f>(VLOOKUP('19.12'!M24,'19.12'!$AO$4:$AR$55,4,FALSE))</f>
        <v>0</v>
      </c>
      <c r="F24" s="4">
        <f>(VLOOKUP('19.12'!N24,'19.12'!$AO$4:$AR$55,4,FALSE))</f>
        <v>0</v>
      </c>
      <c r="G24" s="4">
        <f>(VLOOKUP('19.12'!O24,'19.12'!$AO$4:$AR$55,4,FALSE))</f>
        <v>0</v>
      </c>
      <c r="H24" s="4">
        <f>(VLOOKUP('19.12'!P24,'19.12'!$AO$4:$AR$55,4,FALSE))</f>
        <v>0</v>
      </c>
      <c r="I24" s="4">
        <f>(VLOOKUP('19.12'!Q24,'19.12'!$AO$4:$AR$55,4,FALSE))</f>
        <v>0</v>
      </c>
      <c r="J24" s="4">
        <f>(VLOOKUP('19.12'!R24,'19.12'!$AO$4:$AR$55,4,FALSE))</f>
        <v>0</v>
      </c>
      <c r="K24" s="4">
        <f>(VLOOKUP('19.12'!S24,'19.12'!$AO$4:$AR$55,4,FALSE))</f>
        <v>0</v>
      </c>
      <c r="L24" s="4">
        <f>(VLOOKUP('19.12'!T24,'19.12'!$AO$4:$AR$55,4,FALSE))</f>
        <v>0</v>
      </c>
      <c r="M24" s="4">
        <f>(VLOOKUP('19.12'!U24,'19.12'!$AO$4:$AR$55,4,FALSE))</f>
        <v>0</v>
      </c>
      <c r="N24" s="4">
        <f>(VLOOKUP('19.12'!V24,'19.12'!$AO$4:$AR$55,4,FALSE))</f>
        <v>0</v>
      </c>
      <c r="O24" s="4">
        <f>(VLOOKUP('19.12'!W24,'19.12'!$AO$4:$AR$55,4,FALSE))</f>
        <v>0</v>
      </c>
      <c r="P24" s="4">
        <f>(VLOOKUP('19.12'!X24,'19.12'!$AO$4:$AR$55,4,FALSE))</f>
        <v>0</v>
      </c>
      <c r="Q24" s="4">
        <f>(VLOOKUP('19.12'!Y24,'19.12'!$AO$4:$AR$55,4,FALSE))</f>
        <v>0</v>
      </c>
      <c r="R24" s="4">
        <f>(VLOOKUP('19.12'!Z24,'19.12'!$AO$4:$AR$55,4,FALSE))</f>
        <v>0</v>
      </c>
      <c r="S24" s="4">
        <f>(VLOOKUP('19.12'!AA24,'19.12'!$AO$4:$AR$55,4,FALSE))</f>
        <v>0</v>
      </c>
      <c r="T24" s="4">
        <f>(VLOOKUP('19.12'!AB24,'19.12'!$AO$4:$AR$55,4,FALSE))</f>
        <v>0</v>
      </c>
      <c r="U24" s="4">
        <f>(VLOOKUP('19.12'!AC24,'19.12'!$AO$4:$AR$55,4,FALSE))</f>
        <v>0</v>
      </c>
      <c r="V24" s="4">
        <f>(VLOOKUP('19.12'!AD24,'19.12'!$AO$4:$AR$55,4,FALSE))</f>
        <v>0</v>
      </c>
      <c r="W24" s="4">
        <f>(VLOOKUP('19.12'!AE24,'19.12'!$AO$4:$AR$55,4,FALSE))</f>
        <v>0</v>
      </c>
      <c r="X24" s="4">
        <f>(VLOOKUP('19.12'!AF24,'19.12'!$AO$4:$AR$55,4,FALSE))</f>
        <v>0</v>
      </c>
    </row>
    <row r="25" spans="1:24">
      <c r="A25" s="4">
        <f>(VLOOKUP('19.12'!I25,'19.12'!$AO$4:$AR$55,4,FALSE))</f>
        <v>39.110982162825401</v>
      </c>
      <c r="B25" s="4">
        <f>(VLOOKUP('19.12'!J25,'19.12'!$AO$4:$AR$55,4,FALSE))</f>
        <v>39.110982162825401</v>
      </c>
      <c r="C25" s="4">
        <f>(VLOOKUP('19.12'!K25,'19.12'!$AO$4:$AR$55,4,FALSE))</f>
        <v>10</v>
      </c>
      <c r="D25" s="4">
        <f>(VLOOKUP('19.12'!L25,'19.12'!$AO$4:$AR$55,4,FALSE))</f>
        <v>39.110982162825401</v>
      </c>
      <c r="E25" s="4">
        <f>(VLOOKUP('19.12'!M25,'19.12'!$AO$4:$AR$55,4,FALSE))</f>
        <v>39.110982162825401</v>
      </c>
      <c r="F25" s="4">
        <f>(VLOOKUP('19.12'!N25,'19.12'!$AO$4:$AR$55,4,FALSE))</f>
        <v>39.110982162825401</v>
      </c>
      <c r="G25" s="4">
        <f>(VLOOKUP('19.12'!O25,'19.12'!$AO$4:$AR$55,4,FALSE))</f>
        <v>0</v>
      </c>
      <c r="H25" s="4">
        <f>(VLOOKUP('19.12'!P25,'19.12'!$AO$4:$AR$55,4,FALSE))</f>
        <v>0</v>
      </c>
      <c r="I25" s="4">
        <f>(VLOOKUP('19.12'!Q25,'19.12'!$AO$4:$AR$55,4,FALSE))</f>
        <v>0</v>
      </c>
      <c r="J25" s="4">
        <f>(VLOOKUP('19.12'!R25,'19.12'!$AO$4:$AR$55,4,FALSE))</f>
        <v>0</v>
      </c>
      <c r="K25" s="4">
        <f>(VLOOKUP('19.12'!S25,'19.12'!$AO$4:$AR$55,4,FALSE))</f>
        <v>0</v>
      </c>
      <c r="L25" s="4">
        <f>(VLOOKUP('19.12'!T25,'19.12'!$AO$4:$AR$55,4,FALSE))</f>
        <v>0</v>
      </c>
      <c r="M25" s="4">
        <f>(VLOOKUP('19.12'!U25,'19.12'!$AO$4:$AR$55,4,FALSE))</f>
        <v>0</v>
      </c>
      <c r="N25" s="4">
        <f>(VLOOKUP('19.12'!V25,'19.12'!$AO$4:$AR$55,4,FALSE))</f>
        <v>0</v>
      </c>
      <c r="O25" s="4">
        <f>(VLOOKUP('19.12'!W25,'19.12'!$AO$4:$AR$55,4,FALSE))</f>
        <v>0</v>
      </c>
      <c r="P25" s="4">
        <f>(VLOOKUP('19.12'!X25,'19.12'!$AO$4:$AR$55,4,FALSE))</f>
        <v>0</v>
      </c>
      <c r="Q25" s="4">
        <f>(VLOOKUP('19.12'!Y25,'19.12'!$AO$4:$AR$55,4,FALSE))</f>
        <v>0</v>
      </c>
      <c r="R25" s="4">
        <f>(VLOOKUP('19.12'!Z25,'19.12'!$AO$4:$AR$55,4,FALSE))</f>
        <v>0</v>
      </c>
      <c r="S25" s="4">
        <f>(VLOOKUP('19.12'!AA25,'19.12'!$AO$4:$AR$55,4,FALSE))</f>
        <v>0</v>
      </c>
      <c r="T25" s="4">
        <f>(VLOOKUP('19.12'!AB25,'19.12'!$AO$4:$AR$55,4,FALSE))</f>
        <v>0</v>
      </c>
      <c r="U25" s="4">
        <f>(VLOOKUP('19.12'!AC25,'19.12'!$AO$4:$AR$55,4,FALSE))</f>
        <v>0</v>
      </c>
      <c r="V25" s="4">
        <f>(VLOOKUP('19.12'!AD25,'19.12'!$AO$4:$AR$55,4,FALSE))</f>
        <v>0</v>
      </c>
      <c r="W25" s="4">
        <f>(VLOOKUP('19.12'!AE25,'19.12'!$AO$4:$AR$55,4,FALSE))</f>
        <v>0</v>
      </c>
      <c r="X25" s="4">
        <f>(VLOOKUP('19.12'!AF25,'19.12'!$AO$4:$AR$55,4,FALSE))</f>
        <v>0</v>
      </c>
    </row>
    <row r="26" spans="1:24">
      <c r="A26" s="4">
        <f>(VLOOKUP('19.12'!I26,'19.12'!$AO$4:$AR$55,4,FALSE))</f>
        <v>39.110982162825401</v>
      </c>
      <c r="B26" s="4">
        <f>(VLOOKUP('19.12'!J26,'19.12'!$AO$4:$AR$55,4,FALSE))</f>
        <v>10</v>
      </c>
      <c r="C26" s="4">
        <f>(VLOOKUP('19.12'!K26,'19.12'!$AO$4:$AR$55,4,FALSE))</f>
        <v>39.110982162825401</v>
      </c>
      <c r="D26" s="4">
        <f>(VLOOKUP('19.12'!L26,'19.12'!$AO$4:$AR$55,4,FALSE))</f>
        <v>29.110982162825401</v>
      </c>
      <c r="E26" s="4">
        <f>(VLOOKUP('19.12'!M26,'19.12'!$AO$4:$AR$55,4,FALSE))</f>
        <v>39.110982162825401</v>
      </c>
      <c r="F26" s="4">
        <f>(VLOOKUP('19.12'!N26,'19.12'!$AO$4:$AR$55,4,FALSE))</f>
        <v>39.110982162825401</v>
      </c>
      <c r="G26" s="4">
        <f>(VLOOKUP('19.12'!O26,'19.12'!$AO$4:$AR$55,4,FALSE))</f>
        <v>0</v>
      </c>
      <c r="H26" s="4">
        <f>(VLOOKUP('19.12'!P26,'19.12'!$AO$4:$AR$55,4,FALSE))</f>
        <v>0</v>
      </c>
      <c r="I26" s="4">
        <f>(VLOOKUP('19.12'!Q26,'19.12'!$AO$4:$AR$55,4,FALSE))</f>
        <v>0</v>
      </c>
      <c r="J26" s="4">
        <f>(VLOOKUP('19.12'!R26,'19.12'!$AO$4:$AR$55,4,FALSE))</f>
        <v>0</v>
      </c>
      <c r="K26" s="4">
        <f>(VLOOKUP('19.12'!S26,'19.12'!$AO$4:$AR$55,4,FALSE))</f>
        <v>0</v>
      </c>
      <c r="L26" s="4">
        <f>(VLOOKUP('19.12'!T26,'19.12'!$AO$4:$AR$55,4,FALSE))</f>
        <v>0</v>
      </c>
      <c r="M26" s="4">
        <f>(VLOOKUP('19.12'!U26,'19.12'!$AO$4:$AR$55,4,FALSE))</f>
        <v>0</v>
      </c>
      <c r="N26" s="4">
        <f>(VLOOKUP('19.12'!V26,'19.12'!$AO$4:$AR$55,4,FALSE))</f>
        <v>0</v>
      </c>
      <c r="O26" s="4">
        <f>(VLOOKUP('19.12'!W26,'19.12'!$AO$4:$AR$55,4,FALSE))</f>
        <v>0</v>
      </c>
      <c r="P26" s="4">
        <f>(VLOOKUP('19.12'!X26,'19.12'!$AO$4:$AR$55,4,FALSE))</f>
        <v>0</v>
      </c>
      <c r="Q26" s="4">
        <f>(VLOOKUP('19.12'!Y26,'19.12'!$AO$4:$AR$55,4,FALSE))</f>
        <v>0</v>
      </c>
      <c r="R26" s="4">
        <f>(VLOOKUP('19.12'!Z26,'19.12'!$AO$4:$AR$55,4,FALSE))</f>
        <v>0</v>
      </c>
      <c r="S26" s="4">
        <f>(VLOOKUP('19.12'!AA26,'19.12'!$AO$4:$AR$55,4,FALSE))</f>
        <v>0</v>
      </c>
      <c r="T26" s="4">
        <f>(VLOOKUP('19.12'!AB26,'19.12'!$AO$4:$AR$55,4,FALSE))</f>
        <v>0</v>
      </c>
      <c r="U26" s="4">
        <f>(VLOOKUP('19.12'!AC26,'19.12'!$AO$4:$AR$55,4,FALSE))</f>
        <v>0</v>
      </c>
      <c r="V26" s="4">
        <f>(VLOOKUP('19.12'!AD26,'19.12'!$AO$4:$AR$55,4,FALSE))</f>
        <v>0</v>
      </c>
      <c r="W26" s="4">
        <f>(VLOOKUP('19.12'!AE26,'19.12'!$AO$4:$AR$55,4,FALSE))</f>
        <v>0</v>
      </c>
      <c r="X26" s="4">
        <f>(VLOOKUP('19.12'!AF26,'19.12'!$AO$4:$AR$55,4,FALSE))</f>
        <v>0</v>
      </c>
    </row>
    <row r="27" spans="1:24">
      <c r="A27" s="4">
        <f>(VLOOKUP('19.12'!I27,'19.12'!$AO$4:$AR$55,4,FALSE))</f>
        <v>10</v>
      </c>
      <c r="B27" s="4">
        <f>(VLOOKUP('19.12'!J27,'19.12'!$AO$4:$AR$55,4,FALSE))</f>
        <v>39.110982162825401</v>
      </c>
      <c r="C27" s="4">
        <f>(VLOOKUP('19.12'!K27,'19.12'!$AO$4:$AR$55,4,FALSE))</f>
        <v>39.110982162825401</v>
      </c>
      <c r="D27" s="4">
        <f>(VLOOKUP('19.12'!L27,'19.12'!$AO$4:$AR$55,4,FALSE))</f>
        <v>39.110982162825401</v>
      </c>
      <c r="E27" s="4">
        <f>(VLOOKUP('19.12'!M27,'19.12'!$AO$4:$AR$55,4,FALSE))</f>
        <v>10</v>
      </c>
      <c r="F27" s="4">
        <f>(VLOOKUP('19.12'!N27,'19.12'!$AO$4:$AR$55,4,FALSE))</f>
        <v>39.110982162825401</v>
      </c>
      <c r="G27" s="4">
        <f>(VLOOKUP('19.12'!O27,'19.12'!$AO$4:$AR$55,4,FALSE))</f>
        <v>0</v>
      </c>
      <c r="H27" s="4">
        <f>(VLOOKUP('19.12'!P27,'19.12'!$AO$4:$AR$55,4,FALSE))</f>
        <v>0</v>
      </c>
      <c r="I27" s="4">
        <f>(VLOOKUP('19.12'!Q27,'19.12'!$AO$4:$AR$55,4,FALSE))</f>
        <v>0</v>
      </c>
      <c r="J27" s="4">
        <f>(VLOOKUP('19.12'!R27,'19.12'!$AO$4:$AR$55,4,FALSE))</f>
        <v>0</v>
      </c>
      <c r="K27" s="4">
        <f>(VLOOKUP('19.12'!S27,'19.12'!$AO$4:$AR$55,4,FALSE))</f>
        <v>0</v>
      </c>
      <c r="L27" s="4">
        <f>(VLOOKUP('19.12'!T27,'19.12'!$AO$4:$AR$55,4,FALSE))</f>
        <v>0</v>
      </c>
      <c r="M27" s="4">
        <f>(VLOOKUP('19.12'!U27,'19.12'!$AO$4:$AR$55,4,FALSE))</f>
        <v>0</v>
      </c>
      <c r="N27" s="4">
        <f>(VLOOKUP('19.12'!V27,'19.12'!$AO$4:$AR$55,4,FALSE))</f>
        <v>0</v>
      </c>
      <c r="O27" s="4">
        <f>(VLOOKUP('19.12'!W27,'19.12'!$AO$4:$AR$55,4,FALSE))</f>
        <v>0</v>
      </c>
      <c r="P27" s="4">
        <f>(VLOOKUP('19.12'!X27,'19.12'!$AO$4:$AR$55,4,FALSE))</f>
        <v>0</v>
      </c>
      <c r="Q27" s="4">
        <f>(VLOOKUP('19.12'!Y27,'19.12'!$AO$4:$AR$55,4,FALSE))</f>
        <v>0</v>
      </c>
      <c r="R27" s="4">
        <f>(VLOOKUP('19.12'!Z27,'19.12'!$AO$4:$AR$55,4,FALSE))</f>
        <v>0</v>
      </c>
      <c r="S27" s="4">
        <f>(VLOOKUP('19.12'!AA27,'19.12'!$AO$4:$AR$55,4,FALSE))</f>
        <v>0</v>
      </c>
      <c r="T27" s="4">
        <f>(VLOOKUP('19.12'!AB27,'19.12'!$AO$4:$AR$55,4,FALSE))</f>
        <v>0</v>
      </c>
      <c r="U27" s="4">
        <f>(VLOOKUP('19.12'!AC27,'19.12'!$AO$4:$AR$55,4,FALSE))</f>
        <v>0</v>
      </c>
      <c r="V27" s="4">
        <f>(VLOOKUP('19.12'!AD27,'19.12'!$AO$4:$AR$55,4,FALSE))</f>
        <v>0</v>
      </c>
      <c r="W27" s="4">
        <f>(VLOOKUP('19.12'!AE27,'19.12'!$AO$4:$AR$55,4,FALSE))</f>
        <v>0</v>
      </c>
      <c r="X27" s="4">
        <f>(VLOOKUP('19.12'!AF27,'19.12'!$AO$4:$AR$55,4,FALSE))</f>
        <v>0</v>
      </c>
    </row>
    <row r="28" spans="1:24">
      <c r="A28" s="4">
        <f>(VLOOKUP('19.12'!I28,'19.12'!$AO$4:$AR$55,4,FALSE))</f>
        <v>39.110982162825401</v>
      </c>
      <c r="B28" s="4">
        <f>(VLOOKUP('19.12'!J28,'19.12'!$AO$4:$AR$55,4,FALSE))</f>
        <v>0</v>
      </c>
      <c r="C28" s="4">
        <f>(VLOOKUP('19.12'!K28,'19.12'!$AO$4:$AR$55,4,FALSE))</f>
        <v>39.110982162825401</v>
      </c>
      <c r="D28" s="4">
        <f>(VLOOKUP('19.12'!L28,'19.12'!$AO$4:$AR$55,4,FALSE))</f>
        <v>39.110982162825401</v>
      </c>
      <c r="E28" s="4">
        <f>(VLOOKUP('19.12'!M28,'19.12'!$AO$4:$AR$55,4,FALSE))</f>
        <v>10</v>
      </c>
      <c r="F28" s="4">
        <f>(VLOOKUP('19.12'!N28,'19.12'!$AO$4:$AR$55,4,FALSE))</f>
        <v>39.110982162825401</v>
      </c>
      <c r="G28" s="4">
        <f>(VLOOKUP('19.12'!O28,'19.12'!$AO$4:$AR$55,4,FALSE))</f>
        <v>0</v>
      </c>
      <c r="H28" s="4">
        <f>(VLOOKUP('19.12'!P28,'19.12'!$AO$4:$AR$55,4,FALSE))</f>
        <v>0</v>
      </c>
      <c r="I28" s="4">
        <f>(VLOOKUP('19.12'!Q28,'19.12'!$AO$4:$AR$55,4,FALSE))</f>
        <v>0</v>
      </c>
      <c r="J28" s="4">
        <f>(VLOOKUP('19.12'!R28,'19.12'!$AO$4:$AR$55,4,FALSE))</f>
        <v>0</v>
      </c>
      <c r="K28" s="4">
        <f>(VLOOKUP('19.12'!S28,'19.12'!$AO$4:$AR$55,4,FALSE))</f>
        <v>38</v>
      </c>
      <c r="L28" s="4">
        <f>(VLOOKUP('19.12'!T28,'19.12'!$AO$4:$AR$55,4,FALSE))</f>
        <v>38</v>
      </c>
      <c r="M28" s="4">
        <f>(VLOOKUP('19.12'!U28,'19.12'!$AO$4:$AR$55,4,FALSE))</f>
        <v>38</v>
      </c>
      <c r="N28" s="4">
        <f>(VLOOKUP('19.12'!V28,'19.12'!$AO$4:$AR$55,4,FALSE))</f>
        <v>10</v>
      </c>
      <c r="O28" s="4">
        <f>(VLOOKUP('19.12'!W28,'19.12'!$AO$4:$AR$55,4,FALSE))</f>
        <v>38</v>
      </c>
      <c r="P28" s="4">
        <f>(VLOOKUP('19.12'!X28,'19.12'!$AO$4:$AR$55,4,FALSE))</f>
        <v>38</v>
      </c>
      <c r="Q28" s="4">
        <f>(VLOOKUP('19.12'!Y28,'19.12'!$AO$4:$AR$55,4,FALSE))</f>
        <v>0</v>
      </c>
      <c r="R28" s="4">
        <f>(VLOOKUP('19.12'!Z28,'19.12'!$AO$4:$AR$55,4,FALSE))</f>
        <v>0</v>
      </c>
      <c r="S28" s="4">
        <f>(VLOOKUP('19.12'!AA28,'19.12'!$AO$4:$AR$55,4,FALSE))</f>
        <v>0</v>
      </c>
      <c r="T28" s="4">
        <f>(VLOOKUP('19.12'!AB28,'19.12'!$AO$4:$AR$55,4,FALSE))</f>
        <v>0</v>
      </c>
      <c r="U28" s="4">
        <f>(VLOOKUP('19.12'!AC28,'19.12'!$AO$4:$AR$55,4,FALSE))</f>
        <v>0</v>
      </c>
      <c r="V28" s="4">
        <f>(VLOOKUP('19.12'!AD28,'19.12'!$AO$4:$AR$55,4,FALSE))</f>
        <v>0</v>
      </c>
      <c r="W28" s="4">
        <f>(VLOOKUP('19.12'!AE28,'19.12'!$AO$4:$AR$55,4,FALSE))</f>
        <v>0</v>
      </c>
      <c r="X28" s="4">
        <f>(VLOOKUP('19.12'!AF28,'19.12'!$AO$4:$AR$55,4,FALSE))</f>
        <v>0</v>
      </c>
    </row>
    <row r="29" spans="1:24">
      <c r="A29" s="4">
        <f>(VLOOKUP('19.12'!I29,'19.12'!$AO$4:$AR$55,4,FALSE))</f>
        <v>39.110982162825401</v>
      </c>
      <c r="B29" s="4">
        <f>(VLOOKUP('19.12'!J29,'19.12'!$AO$4:$AR$55,4,FALSE))</f>
        <v>39.110982162825401</v>
      </c>
      <c r="C29" s="4">
        <f>(VLOOKUP('19.12'!K29,'19.12'!$AO$4:$AR$55,4,FALSE))</f>
        <v>39.110982162825401</v>
      </c>
      <c r="D29" s="4">
        <f>(VLOOKUP('19.12'!L29,'19.12'!$AO$4:$AR$55,4,FALSE))</f>
        <v>39.110982162825401</v>
      </c>
      <c r="E29" s="4">
        <f>(VLOOKUP('19.12'!M29,'19.12'!$AO$4:$AR$55,4,FALSE))</f>
        <v>39.110982162825401</v>
      </c>
      <c r="F29" s="4">
        <f>(VLOOKUP('19.12'!N29,'19.12'!$AO$4:$AR$55,4,FALSE))</f>
        <v>39.110982162825401</v>
      </c>
      <c r="G29" s="4">
        <f>(VLOOKUP('19.12'!O29,'19.12'!$AO$4:$AR$55,4,FALSE))</f>
        <v>39.110982162825401</v>
      </c>
      <c r="H29" s="4">
        <f>(VLOOKUP('19.12'!P29,'19.12'!$AO$4:$AR$55,4,FALSE))</f>
        <v>0</v>
      </c>
      <c r="I29" s="4">
        <f>(VLOOKUP('19.12'!Q29,'19.12'!$AO$4:$AR$55,4,FALSE))</f>
        <v>0</v>
      </c>
      <c r="J29" s="4">
        <f>(VLOOKUP('19.12'!R29,'19.12'!$AO$4:$AR$55,4,FALSE))</f>
        <v>38</v>
      </c>
      <c r="K29" s="4">
        <f>(VLOOKUP('19.12'!S29,'19.12'!$AO$4:$AR$55,4,FALSE))</f>
        <v>38</v>
      </c>
      <c r="L29" s="4">
        <f>(VLOOKUP('19.12'!T29,'19.12'!$AO$4:$AR$55,4,FALSE))</f>
        <v>38</v>
      </c>
      <c r="M29" s="4">
        <f>(VLOOKUP('19.12'!U29,'19.12'!$AO$4:$AR$55,4,FALSE))</f>
        <v>38</v>
      </c>
      <c r="N29" s="4">
        <f>(VLOOKUP('19.12'!V29,'19.12'!$AO$4:$AR$55,4,FALSE))</f>
        <v>38</v>
      </c>
      <c r="O29" s="4">
        <f>(VLOOKUP('19.12'!W29,'19.12'!$AO$4:$AR$55,4,FALSE))</f>
        <v>38</v>
      </c>
      <c r="P29" s="4">
        <f>(VLOOKUP('19.12'!X29,'19.12'!$AO$4:$AR$55,4,FALSE))</f>
        <v>38</v>
      </c>
      <c r="Q29" s="4">
        <f>(VLOOKUP('19.12'!Y29,'19.12'!$AO$4:$AR$55,4,FALSE))</f>
        <v>0</v>
      </c>
      <c r="R29" s="4">
        <f>(VLOOKUP('19.12'!Z29,'19.12'!$AO$4:$AR$55,4,FALSE))</f>
        <v>0</v>
      </c>
      <c r="S29" s="4">
        <f>(VLOOKUP('19.12'!AA29,'19.12'!$AO$4:$AR$55,4,FALSE))</f>
        <v>0</v>
      </c>
      <c r="T29" s="4">
        <f>(VLOOKUP('19.12'!AB29,'19.12'!$AO$4:$AR$55,4,FALSE))</f>
        <v>0</v>
      </c>
      <c r="U29" s="4">
        <f>(VLOOKUP('19.12'!AC29,'19.12'!$AO$4:$AR$55,4,FALSE))</f>
        <v>0</v>
      </c>
      <c r="V29" s="4">
        <f>(VLOOKUP('19.12'!AD29,'19.12'!$AO$4:$AR$55,4,FALSE))</f>
        <v>0</v>
      </c>
      <c r="W29" s="4">
        <f>(VLOOKUP('19.12'!AE29,'19.12'!$AO$4:$AR$55,4,FALSE))</f>
        <v>0</v>
      </c>
      <c r="X29" s="4">
        <f>(VLOOKUP('19.12'!AF29,'19.12'!$AO$4:$AR$55,4,FALSE))</f>
        <v>0</v>
      </c>
    </row>
    <row r="30" spans="1:24">
      <c r="A30" s="4">
        <f>(VLOOKUP('19.12'!I30,'19.12'!$AO$4:$AR$55,4,FALSE))</f>
        <v>10</v>
      </c>
      <c r="B30" s="4">
        <f>(VLOOKUP('19.12'!J30,'19.12'!$AO$4:$AR$55,4,FALSE))</f>
        <v>39.110982162825401</v>
      </c>
      <c r="C30" s="4">
        <f>(VLOOKUP('19.12'!K30,'19.12'!$AO$4:$AR$55,4,FALSE))</f>
        <v>29.110982162825401</v>
      </c>
      <c r="D30" s="4">
        <f>(VLOOKUP('19.12'!L30,'19.12'!$AO$4:$AR$55,4,FALSE))</f>
        <v>0</v>
      </c>
      <c r="E30" s="4">
        <f>(VLOOKUP('19.12'!M30,'19.12'!$AO$4:$AR$55,4,FALSE))</f>
        <v>0</v>
      </c>
      <c r="F30" s="4">
        <f>(VLOOKUP('19.12'!N30,'19.12'!$AO$4:$AR$55,4,FALSE))</f>
        <v>0</v>
      </c>
      <c r="G30" s="4">
        <f>(VLOOKUP('19.12'!O30,'19.12'!$AO$4:$AR$55,4,FALSE))</f>
        <v>0</v>
      </c>
      <c r="H30" s="4">
        <f>(VLOOKUP('19.12'!P30,'19.12'!$AO$4:$AR$55,4,FALSE))</f>
        <v>0</v>
      </c>
      <c r="I30" s="4">
        <f>(VLOOKUP('19.12'!Q30,'19.12'!$AO$4:$AR$55,4,FALSE))</f>
        <v>38</v>
      </c>
      <c r="J30" s="4">
        <f>(VLOOKUP('19.12'!R30,'19.12'!$AO$4:$AR$55,4,FALSE))</f>
        <v>38</v>
      </c>
      <c r="K30" s="4">
        <f>(VLOOKUP('19.12'!S30,'19.12'!$AO$4:$AR$55,4,FALSE))</f>
        <v>38</v>
      </c>
      <c r="L30" s="4">
        <f>(VLOOKUP('19.12'!T30,'19.12'!$AO$4:$AR$55,4,FALSE))</f>
        <v>38</v>
      </c>
      <c r="M30" s="4">
        <f>(VLOOKUP('19.12'!U30,'19.12'!$AO$4:$AR$55,4,FALSE))</f>
        <v>38</v>
      </c>
      <c r="N30" s="4">
        <f>(VLOOKUP('19.12'!V30,'19.12'!$AO$4:$AR$55,4,FALSE))</f>
        <v>0</v>
      </c>
      <c r="O30" s="4">
        <f>(VLOOKUP('19.12'!W30,'19.12'!$AO$4:$AR$55,4,FALSE))</f>
        <v>38</v>
      </c>
      <c r="P30" s="4">
        <f>(VLOOKUP('19.12'!X30,'19.12'!$AO$4:$AR$55,4,FALSE))</f>
        <v>38</v>
      </c>
      <c r="Q30" s="4">
        <f>(VLOOKUP('19.12'!Y30,'19.12'!$AO$4:$AR$55,4,FALSE))</f>
        <v>0</v>
      </c>
      <c r="R30" s="4">
        <f>(VLOOKUP('19.12'!Z30,'19.12'!$AO$4:$AR$55,4,FALSE))</f>
        <v>0</v>
      </c>
      <c r="S30" s="4">
        <f>(VLOOKUP('19.12'!AA30,'19.12'!$AO$4:$AR$55,4,FALSE))</f>
        <v>0</v>
      </c>
      <c r="T30" s="4">
        <f>(VLOOKUP('19.12'!AB30,'19.12'!$AO$4:$AR$55,4,FALSE))</f>
        <v>0</v>
      </c>
      <c r="U30" s="4">
        <f>(VLOOKUP('19.12'!AC30,'19.12'!$AO$4:$AR$55,4,FALSE))</f>
        <v>0</v>
      </c>
      <c r="V30" s="4">
        <f>(VLOOKUP('19.12'!AD30,'19.12'!$AO$4:$AR$55,4,FALSE))</f>
        <v>0</v>
      </c>
      <c r="W30" s="4">
        <f>(VLOOKUP('19.12'!AE30,'19.12'!$AO$4:$AR$55,4,FALSE))</f>
        <v>0</v>
      </c>
      <c r="X30" s="4">
        <f>(VLOOKUP('19.12'!AF30,'19.12'!$AO$4:$AR$55,4,FALSE))</f>
        <v>0</v>
      </c>
    </row>
    <row r="31" spans="1:24">
      <c r="A31" s="4">
        <f>(VLOOKUP('19.12'!I31,'19.12'!$AO$4:$AR$55,4,FALSE))</f>
        <v>36</v>
      </c>
      <c r="B31" s="4">
        <f>(VLOOKUP('19.12'!J31,'19.12'!$AO$4:$AR$55,4,FALSE))</f>
        <v>36</v>
      </c>
      <c r="C31" s="4">
        <f>(VLOOKUP('19.12'!K31,'19.12'!$AO$4:$AR$55,4,FALSE))</f>
        <v>36</v>
      </c>
      <c r="D31" s="4">
        <f>(VLOOKUP('19.12'!L31,'19.12'!$AO$4:$AR$55,4,FALSE))</f>
        <v>36</v>
      </c>
      <c r="E31" s="4">
        <f>(VLOOKUP('19.12'!M31,'19.12'!$AO$4:$AR$55,4,FALSE))</f>
        <v>36</v>
      </c>
      <c r="F31" s="4">
        <f>(VLOOKUP('19.12'!N31,'19.12'!$AO$4:$AR$55,4,FALSE))</f>
        <v>36</v>
      </c>
      <c r="G31" s="4">
        <f>(VLOOKUP('19.12'!O31,'19.12'!$AO$4:$AR$55,4,FALSE))</f>
        <v>0</v>
      </c>
      <c r="H31" s="4">
        <f>(VLOOKUP('19.12'!P31,'19.12'!$AO$4:$AR$55,4,FALSE))</f>
        <v>0</v>
      </c>
      <c r="I31" s="4">
        <f>(VLOOKUP('19.12'!Q31,'19.12'!$AO$4:$AR$55,4,FALSE))</f>
        <v>38</v>
      </c>
      <c r="J31" s="4">
        <f>(VLOOKUP('19.12'!R31,'19.12'!$AO$4:$AR$55,4,FALSE))</f>
        <v>38</v>
      </c>
      <c r="K31" s="4">
        <f>(VLOOKUP('19.12'!S31,'19.12'!$AO$4:$AR$55,4,FALSE))</f>
        <v>38</v>
      </c>
      <c r="L31" s="4">
        <f>(VLOOKUP('19.12'!T31,'19.12'!$AO$4:$AR$55,4,FALSE))</f>
        <v>38</v>
      </c>
      <c r="M31" s="4">
        <f>(VLOOKUP('19.12'!U31,'19.12'!$AO$4:$AR$55,4,FALSE))</f>
        <v>38</v>
      </c>
      <c r="N31" s="4">
        <f>(VLOOKUP('19.12'!V31,'19.12'!$AO$4:$AR$55,4,FALSE))</f>
        <v>38</v>
      </c>
      <c r="O31" s="4">
        <f>(VLOOKUP('19.12'!W31,'19.12'!$AO$4:$AR$55,4,FALSE))</f>
        <v>38</v>
      </c>
      <c r="P31" s="4">
        <f>(VLOOKUP('19.12'!X31,'19.12'!$AO$4:$AR$55,4,FALSE))</f>
        <v>38</v>
      </c>
      <c r="Q31" s="4">
        <f>(VLOOKUP('19.12'!Y31,'19.12'!$AO$4:$AR$55,4,FALSE))</f>
        <v>0</v>
      </c>
      <c r="R31" s="4">
        <f>(VLOOKUP('19.12'!Z31,'19.12'!$AO$4:$AR$55,4,FALSE))</f>
        <v>0</v>
      </c>
      <c r="S31" s="4">
        <f>(VLOOKUP('19.12'!AA31,'19.12'!$AO$4:$AR$55,4,FALSE))</f>
        <v>0</v>
      </c>
      <c r="T31" s="4">
        <f>(VLOOKUP('19.12'!AB31,'19.12'!$AO$4:$AR$55,4,FALSE))</f>
        <v>0</v>
      </c>
      <c r="U31" s="4">
        <f>(VLOOKUP('19.12'!AC31,'19.12'!$AO$4:$AR$55,4,FALSE))</f>
        <v>0</v>
      </c>
      <c r="V31" s="4">
        <f>(VLOOKUP('19.12'!AD31,'19.12'!$AO$4:$AR$55,4,FALSE))</f>
        <v>0</v>
      </c>
      <c r="W31" s="4">
        <f>(VLOOKUP('19.12'!AE31,'19.12'!$AO$4:$AR$55,4,FALSE))</f>
        <v>0</v>
      </c>
      <c r="X31" s="4">
        <f>(VLOOKUP('19.12'!AF31,'19.12'!$AO$4:$AR$55,4,FALSE))</f>
        <v>0</v>
      </c>
    </row>
    <row r="32" spans="1:24">
      <c r="A32" s="4">
        <f>(VLOOKUP('19.12'!I32,'19.12'!$AO$4:$AR$55,4,FALSE))</f>
        <v>36</v>
      </c>
      <c r="B32" s="4">
        <f>(VLOOKUP('19.12'!J32,'19.12'!$AO$4:$AR$55,4,FALSE))</f>
        <v>36</v>
      </c>
      <c r="C32" s="4">
        <f>(VLOOKUP('19.12'!K32,'19.12'!$AO$4:$AR$55,4,FALSE))</f>
        <v>36</v>
      </c>
      <c r="D32" s="4">
        <f>(VLOOKUP('19.12'!L32,'19.12'!$AO$4:$AR$55,4,FALSE))</f>
        <v>36</v>
      </c>
      <c r="E32" s="4">
        <f>(VLOOKUP('19.12'!M32,'19.12'!$AO$4:$AR$55,4,FALSE))</f>
        <v>36</v>
      </c>
      <c r="F32" s="4">
        <f>(VLOOKUP('19.12'!N32,'19.12'!$AO$4:$AR$55,4,FALSE))</f>
        <v>36</v>
      </c>
      <c r="G32" s="4">
        <f>(VLOOKUP('19.12'!O32,'19.12'!$AO$4:$AR$55,4,FALSE))</f>
        <v>0</v>
      </c>
      <c r="H32" s="4">
        <f>(VLOOKUP('19.12'!P32,'19.12'!$AO$4:$AR$55,4,FALSE))</f>
        <v>0</v>
      </c>
      <c r="I32" s="4">
        <f>(VLOOKUP('19.12'!Q32,'19.12'!$AO$4:$AR$55,4,FALSE))</f>
        <v>38</v>
      </c>
      <c r="J32" s="4">
        <f>(VLOOKUP('19.12'!R32,'19.12'!$AO$4:$AR$55,4,FALSE))</f>
        <v>38</v>
      </c>
      <c r="K32" s="4">
        <f>(VLOOKUP('19.12'!S32,'19.12'!$AO$4:$AR$55,4,FALSE))</f>
        <v>38</v>
      </c>
      <c r="L32" s="4">
        <f>(VLOOKUP('19.12'!T32,'19.12'!$AO$4:$AR$55,4,FALSE))</f>
        <v>38</v>
      </c>
      <c r="M32" s="4">
        <f>(VLOOKUP('19.12'!U32,'19.12'!$AO$4:$AR$55,4,FALSE))</f>
        <v>38</v>
      </c>
      <c r="N32" s="4">
        <f>(VLOOKUP('19.12'!V32,'19.12'!$AO$4:$AR$55,4,FALSE))</f>
        <v>38</v>
      </c>
      <c r="O32" s="4">
        <f>(VLOOKUP('19.12'!W32,'19.12'!$AO$4:$AR$55,4,FALSE))</f>
        <v>0</v>
      </c>
      <c r="P32" s="4">
        <f>(VLOOKUP('19.12'!X32,'19.12'!$AO$4:$AR$55,4,FALSE))</f>
        <v>0</v>
      </c>
      <c r="Q32" s="4">
        <f>(VLOOKUP('19.12'!Y32,'19.12'!$AO$4:$AR$55,4,FALSE))</f>
        <v>0</v>
      </c>
      <c r="R32" s="4">
        <f>(VLOOKUP('19.12'!Z32,'19.12'!$AO$4:$AR$55,4,FALSE))</f>
        <v>0</v>
      </c>
      <c r="S32" s="4">
        <f>(VLOOKUP('19.12'!AA32,'19.12'!$AO$4:$AR$55,4,FALSE))</f>
        <v>0</v>
      </c>
      <c r="T32" s="4">
        <f>(VLOOKUP('19.12'!AB32,'19.12'!$AO$4:$AR$55,4,FALSE))</f>
        <v>0</v>
      </c>
      <c r="U32" s="4">
        <f>(VLOOKUP('19.12'!AC32,'19.12'!$AO$4:$AR$55,4,FALSE))</f>
        <v>0</v>
      </c>
      <c r="V32" s="4">
        <f>(VLOOKUP('19.12'!AD32,'19.12'!$AO$4:$AR$55,4,FALSE))</f>
        <v>0</v>
      </c>
      <c r="W32" s="4">
        <f>(VLOOKUP('19.12'!AE32,'19.12'!$AO$4:$AR$55,4,FALSE))</f>
        <v>0</v>
      </c>
      <c r="X32" s="4">
        <f>(VLOOKUP('19.12'!AF32,'19.12'!$AO$4:$AR$55,4,FALSE))</f>
        <v>0</v>
      </c>
    </row>
    <row r="33" spans="1:24">
      <c r="A33" s="4">
        <f>(VLOOKUP('19.12'!I33,'19.12'!$AO$4:$AR$55,4,FALSE))</f>
        <v>36</v>
      </c>
      <c r="B33" s="4">
        <f>(VLOOKUP('19.12'!J33,'19.12'!$AO$4:$AR$55,4,FALSE))</f>
        <v>36</v>
      </c>
      <c r="C33" s="4">
        <f>(VLOOKUP('19.12'!K33,'19.12'!$AO$4:$AR$55,4,FALSE))</f>
        <v>36</v>
      </c>
      <c r="D33" s="4">
        <f>(VLOOKUP('19.12'!L33,'19.12'!$AO$4:$AR$55,4,FALSE))</f>
        <v>36</v>
      </c>
      <c r="E33" s="4">
        <f>(VLOOKUP('19.12'!M33,'19.12'!$AO$4:$AR$55,4,FALSE))</f>
        <v>36</v>
      </c>
      <c r="F33" s="4">
        <f>(VLOOKUP('19.12'!N33,'19.12'!$AO$4:$AR$55,4,FALSE))</f>
        <v>36</v>
      </c>
      <c r="G33" s="4">
        <f>(VLOOKUP('19.12'!O33,'19.12'!$AO$4:$AR$55,4,FALSE))</f>
        <v>0</v>
      </c>
      <c r="H33" s="4">
        <f>(VLOOKUP('19.12'!P33,'19.12'!$AO$4:$AR$55,4,FALSE))</f>
        <v>0</v>
      </c>
      <c r="I33" s="4">
        <f>(VLOOKUP('19.12'!Q33,'19.12'!$AO$4:$AR$55,4,FALSE))</f>
        <v>38</v>
      </c>
      <c r="J33" s="4">
        <f>(VLOOKUP('19.12'!R33,'19.12'!$AO$4:$AR$55,4,FALSE))</f>
        <v>38</v>
      </c>
      <c r="K33" s="4">
        <f>(VLOOKUP('19.12'!S33,'19.12'!$AO$4:$AR$55,4,FALSE))</f>
        <v>38</v>
      </c>
      <c r="L33" s="4">
        <f>(VLOOKUP('19.12'!T33,'19.12'!$AO$4:$AR$55,4,FALSE))</f>
        <v>38</v>
      </c>
      <c r="M33" s="4">
        <f>(VLOOKUP('19.12'!U33,'19.12'!$AO$4:$AR$55,4,FALSE))</f>
        <v>38</v>
      </c>
      <c r="N33" s="4">
        <f>(VLOOKUP('19.12'!V33,'19.12'!$AO$4:$AR$55,4,FALSE))</f>
        <v>36</v>
      </c>
      <c r="O33" s="4">
        <f>(VLOOKUP('19.12'!W33,'19.12'!$AO$4:$AR$55,4,FALSE))</f>
        <v>0</v>
      </c>
      <c r="P33" s="4">
        <f>(VLOOKUP('19.12'!X33,'19.12'!$AO$4:$AR$55,4,FALSE))</f>
        <v>0</v>
      </c>
      <c r="Q33" s="4">
        <f>(VLOOKUP('19.12'!Y33,'19.12'!$AO$4:$AR$55,4,FALSE))</f>
        <v>0</v>
      </c>
      <c r="R33" s="4">
        <f>(VLOOKUP('19.12'!Z33,'19.12'!$AO$4:$AR$55,4,FALSE))</f>
        <v>0</v>
      </c>
      <c r="S33" s="4">
        <f>(VLOOKUP('19.12'!AA33,'19.12'!$AO$4:$AR$55,4,FALSE))</f>
        <v>0</v>
      </c>
      <c r="T33" s="4">
        <f>(VLOOKUP('19.12'!AB33,'19.12'!$AO$4:$AR$55,4,FALSE))</f>
        <v>0</v>
      </c>
      <c r="U33" s="4">
        <f>(VLOOKUP('19.12'!AC33,'19.12'!$AO$4:$AR$55,4,FALSE))</f>
        <v>0</v>
      </c>
      <c r="V33" s="4">
        <f>(VLOOKUP('19.12'!AD33,'19.12'!$AO$4:$AR$55,4,FALSE))</f>
        <v>0</v>
      </c>
      <c r="W33" s="4">
        <f>(VLOOKUP('19.12'!AE33,'19.12'!$AO$4:$AR$55,4,FALSE))</f>
        <v>0</v>
      </c>
      <c r="X33" s="4">
        <f>(VLOOKUP('19.12'!AF33,'19.12'!$AO$4:$AR$55,4,FALSE))</f>
        <v>0</v>
      </c>
    </row>
    <row r="34" spans="1:24">
      <c r="A34" s="4">
        <f>(VLOOKUP('19.12'!I34,'19.12'!$AO$4:$AR$55,4,FALSE))</f>
        <v>34</v>
      </c>
      <c r="B34" s="4">
        <f>(VLOOKUP('19.12'!J34,'19.12'!$AO$4:$AR$55,4,FALSE))</f>
        <v>34</v>
      </c>
      <c r="C34" s="4">
        <f>(VLOOKUP('19.12'!K34,'19.12'!$AO$4:$AR$55,4,FALSE))</f>
        <v>34</v>
      </c>
      <c r="D34" s="4">
        <f>(VLOOKUP('19.12'!L34,'19.12'!$AO$4:$AR$55,4,FALSE))</f>
        <v>0</v>
      </c>
      <c r="E34" s="4">
        <f>(VLOOKUP('19.12'!M34,'19.12'!$AO$4:$AR$55,4,FALSE))</f>
        <v>0</v>
      </c>
      <c r="F34" s="4">
        <f>(VLOOKUP('19.12'!N34,'19.12'!$AO$4:$AR$55,4,FALSE))</f>
        <v>0</v>
      </c>
      <c r="G34" s="4">
        <f>(VLOOKUP('19.12'!O34,'19.12'!$AO$4:$AR$55,4,FALSE))</f>
        <v>0</v>
      </c>
      <c r="H34" s="4">
        <f>(VLOOKUP('19.12'!P34,'19.12'!$AO$4:$AR$55,4,FALSE))</f>
        <v>0</v>
      </c>
      <c r="I34" s="4">
        <f>(VLOOKUP('19.12'!Q34,'19.12'!$AO$4:$AR$55,4,FALSE))</f>
        <v>0</v>
      </c>
      <c r="J34" s="4">
        <f>(VLOOKUP('19.12'!R34,'19.12'!$AO$4:$AR$55,4,FALSE))</f>
        <v>0</v>
      </c>
      <c r="K34" s="4">
        <f>(VLOOKUP('19.12'!S34,'19.12'!$AO$4:$AR$55,4,FALSE))</f>
        <v>0</v>
      </c>
      <c r="L34" s="4">
        <f>(VLOOKUP('19.12'!T34,'19.12'!$AO$4:$AR$55,4,FALSE))</f>
        <v>0</v>
      </c>
      <c r="M34" s="4">
        <f>(VLOOKUP('19.12'!U34,'19.12'!$AO$4:$AR$55,4,FALSE))</f>
        <v>0</v>
      </c>
      <c r="N34" s="4">
        <f>(VLOOKUP('19.12'!V34,'19.12'!$AO$4:$AR$55,4,FALSE))</f>
        <v>0</v>
      </c>
      <c r="O34" s="4">
        <f>(VLOOKUP('19.12'!W34,'19.12'!$AO$4:$AR$55,4,FALSE))</f>
        <v>0</v>
      </c>
      <c r="P34" s="4">
        <f>(VLOOKUP('19.12'!X34,'19.12'!$AO$4:$AR$55,4,FALSE))</f>
        <v>0</v>
      </c>
      <c r="Q34" s="4">
        <f>(VLOOKUP('19.12'!Y34,'19.12'!$AO$4:$AR$55,4,FALSE))</f>
        <v>0</v>
      </c>
      <c r="R34" s="4">
        <f>(VLOOKUP('19.12'!Z34,'19.12'!$AO$4:$AR$55,4,FALSE))</f>
        <v>0</v>
      </c>
      <c r="S34" s="4">
        <f>(VLOOKUP('19.12'!AA34,'19.12'!$AO$4:$AR$55,4,FALSE))</f>
        <v>0</v>
      </c>
      <c r="T34" s="4">
        <f>(VLOOKUP('19.12'!AB34,'19.12'!$AO$4:$AR$55,4,FALSE))</f>
        <v>0</v>
      </c>
      <c r="U34" s="4">
        <f>(VLOOKUP('19.12'!AC34,'19.12'!$AO$4:$AR$55,4,FALSE))</f>
        <v>0</v>
      </c>
      <c r="V34" s="4">
        <f>(VLOOKUP('19.12'!AD34,'19.12'!$AO$4:$AR$55,4,FALSE))</f>
        <v>0</v>
      </c>
      <c r="W34" s="4">
        <f>(VLOOKUP('19.12'!AE34,'19.12'!$AO$4:$AR$55,4,FALSE))</f>
        <v>0</v>
      </c>
      <c r="X34" s="4">
        <f>(VLOOKUP('19.12'!AF34,'19.12'!$AO$4:$AR$55,4,FALSE))</f>
        <v>0</v>
      </c>
    </row>
    <row r="35" spans="1:24">
      <c r="A35" s="4">
        <f>(VLOOKUP('19.12'!I35,'19.12'!$AO$4:$AR$55,4,FALSE))</f>
        <v>0</v>
      </c>
      <c r="B35" s="4">
        <f>(VLOOKUP('19.12'!J35,'19.12'!$AO$4:$AR$55,4,FALSE))</f>
        <v>0</v>
      </c>
      <c r="C35" s="4">
        <f>(VLOOKUP('19.12'!K35,'19.12'!$AO$4:$AR$55,4,FALSE))</f>
        <v>0</v>
      </c>
      <c r="D35" s="4">
        <f>(VLOOKUP('19.12'!L35,'19.12'!$AO$4:$AR$55,4,FALSE))</f>
        <v>0</v>
      </c>
      <c r="E35" s="4">
        <f>(VLOOKUP('19.12'!M35,'19.12'!$AO$4:$AR$55,4,FALSE))</f>
        <v>0</v>
      </c>
      <c r="F35" s="4">
        <f>(VLOOKUP('19.12'!N35,'19.12'!$AO$4:$AR$55,4,FALSE))</f>
        <v>0</v>
      </c>
      <c r="G35" s="4">
        <f>(VLOOKUP('19.12'!O35,'19.12'!$AO$4:$AR$55,4,FALSE))</f>
        <v>0</v>
      </c>
      <c r="H35" s="4">
        <f>(VLOOKUP('19.12'!P35,'19.12'!$AO$4:$AR$55,4,FALSE))</f>
        <v>0</v>
      </c>
      <c r="I35" s="4">
        <f>(VLOOKUP('19.12'!Q35,'19.12'!$AO$4:$AR$55,4,FALSE))</f>
        <v>36</v>
      </c>
      <c r="J35" s="4">
        <f>(VLOOKUP('19.12'!R35,'19.12'!$AO$4:$AR$55,4,FALSE))</f>
        <v>36</v>
      </c>
      <c r="K35" s="4">
        <f>(VLOOKUP('19.12'!S35,'19.12'!$AO$4:$AR$55,4,FALSE))</f>
        <v>36</v>
      </c>
      <c r="L35" s="4">
        <f>(VLOOKUP('19.12'!T35,'19.12'!$AO$4:$AR$55,4,FALSE))</f>
        <v>36</v>
      </c>
      <c r="M35" s="4">
        <f>(VLOOKUP('19.12'!U35,'19.12'!$AO$4:$AR$55,4,FALSE))</f>
        <v>0</v>
      </c>
      <c r="N35" s="4">
        <f>(VLOOKUP('19.12'!V35,'19.12'!$AO$4:$AR$55,4,FALSE))</f>
        <v>0</v>
      </c>
      <c r="O35" s="4">
        <f>(VLOOKUP('19.12'!W35,'19.12'!$AO$4:$AR$55,4,FALSE))</f>
        <v>0</v>
      </c>
      <c r="P35" s="4">
        <f>(VLOOKUP('19.12'!X35,'19.12'!$AO$4:$AR$55,4,FALSE))</f>
        <v>0</v>
      </c>
      <c r="Q35" s="4">
        <f>(VLOOKUP('19.12'!Y35,'19.12'!$AO$4:$AR$55,4,FALSE))</f>
        <v>0</v>
      </c>
      <c r="R35" s="4">
        <f>(VLOOKUP('19.12'!Z35,'19.12'!$AO$4:$AR$55,4,FALSE))</f>
        <v>0</v>
      </c>
      <c r="S35" s="4">
        <f>(VLOOKUP('19.12'!AA35,'19.12'!$AO$4:$AR$55,4,FALSE))</f>
        <v>0</v>
      </c>
      <c r="T35" s="4">
        <f>(VLOOKUP('19.12'!AB35,'19.12'!$AO$4:$AR$55,4,FALSE))</f>
        <v>0</v>
      </c>
      <c r="U35" s="4">
        <f>(VLOOKUP('19.12'!AC35,'19.12'!$AO$4:$AR$55,4,FALSE))</f>
        <v>0</v>
      </c>
      <c r="V35" s="4">
        <f>(VLOOKUP('19.12'!AD35,'19.12'!$AO$4:$AR$55,4,FALSE))</f>
        <v>0</v>
      </c>
      <c r="W35" s="4">
        <f>(VLOOKUP('19.12'!AE35,'19.12'!$AO$4:$AR$55,4,FALSE))</f>
        <v>0</v>
      </c>
      <c r="X35" s="4">
        <f>(VLOOKUP('19.12'!AF35,'19.12'!$AO$4:$AR$55,4,FALSE))</f>
        <v>0</v>
      </c>
    </row>
    <row r="36" spans="1:24">
      <c r="A36" s="4">
        <f>(VLOOKUP('19.12'!I36,'19.12'!$AO$4:$AR$55,4,FALSE))</f>
        <v>0</v>
      </c>
      <c r="B36" s="4">
        <f>(VLOOKUP('19.12'!J36,'19.12'!$AO$4:$AR$55,4,FALSE))</f>
        <v>0</v>
      </c>
      <c r="C36" s="4">
        <f>(VLOOKUP('19.12'!K36,'19.12'!$AO$4:$AR$55,4,FALSE))</f>
        <v>0</v>
      </c>
      <c r="D36" s="4">
        <f>(VLOOKUP('19.12'!L36,'19.12'!$AO$4:$AR$55,4,FALSE))</f>
        <v>0</v>
      </c>
      <c r="E36" s="4">
        <f>(VLOOKUP('19.12'!M36,'19.12'!$AO$4:$AR$55,4,FALSE))</f>
        <v>0</v>
      </c>
      <c r="F36" s="4">
        <f>(VLOOKUP('19.12'!N36,'19.12'!$AO$4:$AR$55,4,FALSE))</f>
        <v>0</v>
      </c>
      <c r="G36" s="4">
        <f>(VLOOKUP('19.12'!O36,'19.12'!$AO$4:$AR$55,4,FALSE))</f>
        <v>0</v>
      </c>
      <c r="H36" s="4">
        <f>(VLOOKUP('19.12'!P36,'19.12'!$AO$4:$AR$55,4,FALSE))</f>
        <v>0</v>
      </c>
      <c r="I36" s="4">
        <f>(VLOOKUP('19.12'!Q36,'19.12'!$AO$4:$AR$55,4,FALSE))</f>
        <v>36</v>
      </c>
      <c r="J36" s="4">
        <f>(VLOOKUP('19.12'!R36,'19.12'!$AO$4:$AR$55,4,FALSE))</f>
        <v>36</v>
      </c>
      <c r="K36" s="4">
        <f>(VLOOKUP('19.12'!S36,'19.12'!$AO$4:$AR$55,4,FALSE))</f>
        <v>36</v>
      </c>
      <c r="L36" s="4">
        <f>(VLOOKUP('19.12'!T36,'19.12'!$AO$4:$AR$55,4,FALSE))</f>
        <v>36</v>
      </c>
      <c r="M36" s="4">
        <f>(VLOOKUP('19.12'!U36,'19.12'!$AO$4:$AR$55,4,FALSE))</f>
        <v>36</v>
      </c>
      <c r="N36" s="4">
        <f>(VLOOKUP('19.12'!V36,'19.12'!$AO$4:$AR$55,4,FALSE))</f>
        <v>0</v>
      </c>
      <c r="O36" s="4">
        <f>(VLOOKUP('19.12'!W36,'19.12'!$AO$4:$AR$55,4,FALSE))</f>
        <v>0</v>
      </c>
      <c r="P36" s="4">
        <f>(VLOOKUP('19.12'!X36,'19.12'!$AO$4:$AR$55,4,FALSE))</f>
        <v>0</v>
      </c>
      <c r="Q36" s="4">
        <f>(VLOOKUP('19.12'!Y36,'19.12'!$AO$4:$AR$55,4,FALSE))</f>
        <v>0</v>
      </c>
      <c r="R36" s="4">
        <f>(VLOOKUP('19.12'!Z36,'19.12'!$AO$4:$AR$55,4,FALSE))</f>
        <v>0</v>
      </c>
      <c r="S36" s="4">
        <f>(VLOOKUP('19.12'!AA36,'19.12'!$AO$4:$AR$55,4,FALSE))</f>
        <v>0</v>
      </c>
      <c r="T36" s="4">
        <f>(VLOOKUP('19.12'!AB36,'19.12'!$AO$4:$AR$55,4,FALSE))</f>
        <v>0</v>
      </c>
      <c r="U36" s="4">
        <f>(VLOOKUP('19.12'!AC36,'19.12'!$AO$4:$AR$55,4,FALSE))</f>
        <v>0</v>
      </c>
      <c r="V36" s="4">
        <f>(VLOOKUP('19.12'!AD36,'19.12'!$AO$4:$AR$55,4,FALSE))</f>
        <v>0</v>
      </c>
      <c r="W36" s="4">
        <f>(VLOOKUP('19.12'!AE36,'19.12'!$AO$4:$AR$55,4,FALSE))</f>
        <v>0</v>
      </c>
      <c r="X36" s="4">
        <f>(VLOOKUP('19.12'!AF36,'19.12'!$AO$4:$AR$55,4,FALSE))</f>
        <v>0</v>
      </c>
    </row>
    <row r="37" spans="1:24">
      <c r="A37" s="4">
        <f>(VLOOKUP('19.12'!I37,'19.12'!$AO$4:$AR$55,4,FALSE))</f>
        <v>0</v>
      </c>
      <c r="B37" s="4">
        <f>(VLOOKUP('19.12'!J37,'19.12'!$AO$4:$AR$55,4,FALSE))</f>
        <v>0</v>
      </c>
      <c r="C37" s="4">
        <f>(VLOOKUP('19.12'!K37,'19.12'!$AO$4:$AR$55,4,FALSE))</f>
        <v>0</v>
      </c>
      <c r="D37" s="4">
        <f>(VLOOKUP('19.12'!L37,'19.12'!$AO$4:$AR$55,4,FALSE))</f>
        <v>0</v>
      </c>
      <c r="E37" s="4">
        <f>(VLOOKUP('19.12'!M37,'19.12'!$AO$4:$AR$55,4,FALSE))</f>
        <v>0</v>
      </c>
      <c r="F37" s="4">
        <f>(VLOOKUP('19.12'!N37,'19.12'!$AO$4:$AR$55,4,FALSE))</f>
        <v>0</v>
      </c>
      <c r="G37" s="4">
        <f>(VLOOKUP('19.12'!O37,'19.12'!$AO$4:$AR$55,4,FALSE))</f>
        <v>10</v>
      </c>
      <c r="H37" s="4">
        <f>(VLOOKUP('19.12'!P37,'19.12'!$AO$4:$AR$55,4,FALSE))</f>
        <v>0</v>
      </c>
      <c r="I37" s="4">
        <f>(VLOOKUP('19.12'!Q37,'19.12'!$AO$4:$AR$55,4,FALSE))</f>
        <v>36</v>
      </c>
      <c r="J37" s="4">
        <f>(VLOOKUP('19.12'!R37,'19.12'!$AO$4:$AR$55,4,FALSE))</f>
        <v>36</v>
      </c>
      <c r="K37" s="4">
        <f>(VLOOKUP('19.12'!S37,'19.12'!$AO$4:$AR$55,4,FALSE))</f>
        <v>36</v>
      </c>
      <c r="L37" s="4">
        <f>(VLOOKUP('19.12'!T37,'19.12'!$AO$4:$AR$55,4,FALSE))</f>
        <v>36</v>
      </c>
      <c r="M37" s="4">
        <f>(VLOOKUP('19.12'!U37,'19.12'!$AO$4:$AR$55,4,FALSE))</f>
        <v>36</v>
      </c>
      <c r="N37" s="4">
        <f>(VLOOKUP('19.12'!V37,'19.12'!$AO$4:$AR$55,4,FALSE))</f>
        <v>0</v>
      </c>
      <c r="O37" s="4">
        <f>(VLOOKUP('19.12'!W37,'19.12'!$AO$4:$AR$55,4,FALSE))</f>
        <v>0</v>
      </c>
      <c r="P37" s="4">
        <f>(VLOOKUP('19.12'!X37,'19.12'!$AO$4:$AR$55,4,FALSE))</f>
        <v>0</v>
      </c>
      <c r="Q37" s="4">
        <f>(VLOOKUP('19.12'!Y37,'19.12'!$AO$4:$AR$55,4,FALSE))</f>
        <v>0</v>
      </c>
      <c r="R37" s="4">
        <f>(VLOOKUP('19.12'!Z37,'19.12'!$AO$4:$AR$55,4,FALSE))</f>
        <v>0</v>
      </c>
      <c r="S37" s="4">
        <f>(VLOOKUP('19.12'!AA37,'19.12'!$AO$4:$AR$55,4,FALSE))</f>
        <v>0</v>
      </c>
      <c r="T37" s="4">
        <f>(VLOOKUP('19.12'!AB37,'19.12'!$AO$4:$AR$55,4,FALSE))</f>
        <v>0</v>
      </c>
      <c r="U37" s="4">
        <f>(VLOOKUP('19.12'!AC37,'19.12'!$AO$4:$AR$55,4,FALSE))</f>
        <v>0</v>
      </c>
      <c r="V37" s="4">
        <f>(VLOOKUP('19.12'!AD37,'19.12'!$AO$4:$AR$55,4,FALSE))</f>
        <v>0</v>
      </c>
      <c r="W37" s="4">
        <f>(VLOOKUP('19.12'!AE37,'19.12'!$AO$4:$AR$55,4,FALSE))</f>
        <v>0</v>
      </c>
      <c r="X37" s="4">
        <f>(VLOOKUP('19.12'!AF37,'19.12'!$AO$4:$AR$55,4,FALSE))</f>
        <v>0</v>
      </c>
    </row>
    <row r="38" spans="1:24">
      <c r="A38" s="4">
        <f>(VLOOKUP('19.12'!I38,'19.12'!$AO$4:$AR$55,4,FALSE))</f>
        <v>0</v>
      </c>
      <c r="B38" s="4">
        <f>(VLOOKUP('19.12'!J38,'19.12'!$AO$4:$AR$55,4,FALSE))</f>
        <v>0</v>
      </c>
      <c r="C38" s="4">
        <f>(VLOOKUP('19.12'!K38,'19.12'!$AO$4:$AR$55,4,FALSE))</f>
        <v>0</v>
      </c>
      <c r="D38" s="4">
        <f>(VLOOKUP('19.12'!L38,'19.12'!$AO$4:$AR$55,4,FALSE))</f>
        <v>0</v>
      </c>
      <c r="E38" s="4">
        <f>(VLOOKUP('19.12'!M38,'19.12'!$AO$4:$AR$55,4,FALSE))</f>
        <v>0</v>
      </c>
      <c r="F38" s="4">
        <f>(VLOOKUP('19.12'!N38,'19.12'!$AO$4:$AR$55,4,FALSE))</f>
        <v>0</v>
      </c>
      <c r="G38" s="4">
        <f>(VLOOKUP('19.12'!O38,'19.12'!$AO$4:$AR$55,4,FALSE))</f>
        <v>0</v>
      </c>
      <c r="H38" s="4">
        <f>(VLOOKUP('19.12'!P38,'19.12'!$AO$4:$AR$55,4,FALSE))</f>
        <v>0</v>
      </c>
      <c r="I38" s="4">
        <f>(VLOOKUP('19.12'!Q38,'19.12'!$AO$4:$AR$55,4,FALSE))</f>
        <v>36</v>
      </c>
      <c r="J38" s="4">
        <f>(VLOOKUP('19.12'!R38,'19.12'!$AO$4:$AR$55,4,FALSE))</f>
        <v>36</v>
      </c>
      <c r="K38" s="4">
        <f>(VLOOKUP('19.12'!S38,'19.12'!$AO$4:$AR$55,4,FALSE))</f>
        <v>36</v>
      </c>
      <c r="L38" s="4">
        <f>(VLOOKUP('19.12'!T38,'19.12'!$AO$4:$AR$55,4,FALSE))</f>
        <v>36</v>
      </c>
      <c r="M38" s="4">
        <f>(VLOOKUP('19.12'!U38,'19.12'!$AO$4:$AR$55,4,FALSE))</f>
        <v>36</v>
      </c>
      <c r="N38" s="4">
        <f>(VLOOKUP('19.12'!V38,'19.12'!$AO$4:$AR$55,4,FALSE))</f>
        <v>10</v>
      </c>
      <c r="O38" s="4">
        <f>(VLOOKUP('19.12'!W38,'19.12'!$AO$4:$AR$55,4,FALSE))</f>
        <v>0</v>
      </c>
      <c r="P38" s="4">
        <f>(VLOOKUP('19.12'!X38,'19.12'!$AO$4:$AR$55,4,FALSE))</f>
        <v>0</v>
      </c>
      <c r="Q38" s="4">
        <f>(VLOOKUP('19.12'!Y38,'19.12'!$AO$4:$AR$55,4,FALSE))</f>
        <v>0</v>
      </c>
      <c r="R38" s="4">
        <f>(VLOOKUP('19.12'!Z38,'19.12'!$AO$4:$AR$55,4,FALSE))</f>
        <v>0</v>
      </c>
      <c r="S38" s="4">
        <f>(VLOOKUP('19.12'!AA38,'19.12'!$AO$4:$AR$55,4,FALSE))</f>
        <v>0</v>
      </c>
      <c r="T38" s="4">
        <f>(VLOOKUP('19.12'!AB38,'19.12'!$AO$4:$AR$55,4,FALSE))</f>
        <v>0</v>
      </c>
      <c r="U38" s="4">
        <f>(VLOOKUP('19.12'!AC38,'19.12'!$AO$4:$AR$55,4,FALSE))</f>
        <v>0</v>
      </c>
      <c r="V38" s="4">
        <f>(VLOOKUP('19.12'!AD38,'19.12'!$AO$4:$AR$55,4,FALSE))</f>
        <v>0</v>
      </c>
      <c r="W38" s="4">
        <f>(VLOOKUP('19.12'!AE38,'19.12'!$AO$4:$AR$55,4,FALSE))</f>
        <v>0</v>
      </c>
      <c r="X38" s="4">
        <f>(VLOOKUP('19.12'!AF38,'19.12'!$AO$4:$AR$55,4,FALSE))</f>
        <v>0</v>
      </c>
    </row>
    <row r="39" spans="1:24">
      <c r="A39" s="4">
        <f>(VLOOKUP('19.12'!I39,'19.12'!$AO$4:$AR$55,4,FALSE))</f>
        <v>0</v>
      </c>
      <c r="B39" s="4">
        <f>(VLOOKUP('19.12'!J39,'19.12'!$AO$4:$AR$55,4,FALSE))</f>
        <v>0</v>
      </c>
      <c r="C39" s="4">
        <f>(VLOOKUP('19.12'!K39,'19.12'!$AO$4:$AR$55,4,FALSE))</f>
        <v>0</v>
      </c>
      <c r="D39" s="4">
        <f>(VLOOKUP('19.12'!L39,'19.12'!$AO$4:$AR$55,4,FALSE))</f>
        <v>0</v>
      </c>
      <c r="E39" s="4">
        <f>(VLOOKUP('19.12'!M39,'19.12'!$AO$4:$AR$55,4,FALSE))</f>
        <v>0</v>
      </c>
      <c r="F39" s="4">
        <f>(VLOOKUP('19.12'!N39,'19.12'!$AO$4:$AR$55,4,FALSE))</f>
        <v>0</v>
      </c>
      <c r="G39" s="4">
        <f>(VLOOKUP('19.12'!O39,'19.12'!$AO$4:$AR$55,4,FALSE))</f>
        <v>0</v>
      </c>
      <c r="H39" s="4">
        <f>(VLOOKUP('19.12'!P39,'19.12'!$AO$4:$AR$55,4,FALSE))</f>
        <v>0</v>
      </c>
      <c r="I39" s="4">
        <f>(VLOOKUP('19.12'!Q39,'19.12'!$AO$4:$AR$55,4,FALSE))</f>
        <v>0</v>
      </c>
      <c r="J39" s="4">
        <f>(VLOOKUP('19.12'!R39,'19.12'!$AO$4:$AR$55,4,FALSE))</f>
        <v>0</v>
      </c>
      <c r="K39" s="4">
        <f>(VLOOKUP('19.12'!S39,'19.12'!$AO$4:$AR$55,4,FALSE))</f>
        <v>0</v>
      </c>
      <c r="L39" s="4">
        <f>(VLOOKUP('19.12'!T39,'19.12'!$AO$4:$AR$55,4,FALSE))</f>
        <v>0</v>
      </c>
      <c r="M39" s="4">
        <f>(VLOOKUP('19.12'!U39,'19.12'!$AO$4:$AR$55,4,FALSE))</f>
        <v>0</v>
      </c>
      <c r="N39" s="4">
        <f>(VLOOKUP('19.12'!V39,'19.12'!$AO$4:$AR$55,4,FALSE))</f>
        <v>0</v>
      </c>
      <c r="O39" s="4">
        <f>(VLOOKUP('19.12'!W39,'19.12'!$AO$4:$AR$55,4,FALSE))</f>
        <v>0</v>
      </c>
      <c r="P39" s="4">
        <f>(VLOOKUP('19.12'!X39,'19.12'!$AO$4:$AR$55,4,FALSE))</f>
        <v>0</v>
      </c>
      <c r="Q39" s="4">
        <f>(VLOOKUP('19.12'!Y39,'19.12'!$AO$4:$AR$55,4,FALSE))</f>
        <v>0</v>
      </c>
      <c r="R39" s="4">
        <f>(VLOOKUP('19.12'!Z39,'19.12'!$AO$4:$AR$55,4,FALSE))</f>
        <v>0</v>
      </c>
      <c r="S39" s="4">
        <f>(VLOOKUP('19.12'!AA39,'19.12'!$AO$4:$AR$55,4,FALSE))</f>
        <v>0</v>
      </c>
      <c r="T39" s="4">
        <f>(VLOOKUP('19.12'!AB39,'19.12'!$AO$4:$AR$55,4,FALSE))</f>
        <v>0</v>
      </c>
      <c r="U39" s="4">
        <f>(VLOOKUP('19.12'!AC39,'19.12'!$AO$4:$AR$55,4,FALSE))</f>
        <v>0</v>
      </c>
      <c r="V39" s="4">
        <f>(VLOOKUP('19.12'!AD39,'19.12'!$AO$4:$AR$55,4,FALSE))</f>
        <v>0</v>
      </c>
      <c r="W39" s="4">
        <f>(VLOOKUP('19.12'!AE39,'19.12'!$AO$4:$AR$55,4,FALSE))</f>
        <v>0</v>
      </c>
      <c r="X39" s="4">
        <f>(VLOOKUP('19.12'!AF39,'19.12'!$AO$4:$AR$55,4,FALSE))</f>
        <v>0</v>
      </c>
    </row>
    <row r="40" spans="1:24">
      <c r="A40" s="4">
        <f>(VLOOKUP('19.12'!I40,'19.12'!$AO$4:$AR$55,4,FALSE))</f>
        <v>39.110982162825401</v>
      </c>
      <c r="B40" s="4">
        <f>(VLOOKUP('19.12'!J40,'19.12'!$AO$4:$AR$55,4,FALSE))</f>
        <v>39.110982162825401</v>
      </c>
      <c r="C40" s="4">
        <f>(VLOOKUP('19.12'!K40,'19.12'!$AO$4:$AR$55,4,FALSE))</f>
        <v>10</v>
      </c>
      <c r="D40" s="4">
        <f>(VLOOKUP('19.12'!L40,'19.12'!$AO$4:$AR$55,4,FALSE))</f>
        <v>39.110982162825401</v>
      </c>
      <c r="E40" s="4">
        <f>(VLOOKUP('19.12'!M40,'19.12'!$AO$4:$AR$55,4,FALSE))</f>
        <v>39.110982162825401</v>
      </c>
      <c r="F40" s="4">
        <f>(VLOOKUP('19.12'!N40,'19.12'!$AO$4:$AR$55,4,FALSE))</f>
        <v>0</v>
      </c>
      <c r="G40" s="4">
        <f>(VLOOKUP('19.12'!O40,'19.12'!$AO$4:$AR$55,4,FALSE))</f>
        <v>10</v>
      </c>
      <c r="H40" s="4">
        <f>(VLOOKUP('19.12'!P40,'19.12'!$AO$4:$AR$55,4,FALSE))</f>
        <v>0</v>
      </c>
      <c r="I40" s="4">
        <f>(VLOOKUP('19.12'!Q40,'19.12'!$AO$4:$AR$55,4,FALSE))</f>
        <v>0</v>
      </c>
      <c r="J40" s="4">
        <f>(VLOOKUP('19.12'!R40,'19.12'!$AO$4:$AR$55,4,FALSE))</f>
        <v>0</v>
      </c>
      <c r="K40" s="4">
        <f>(VLOOKUP('19.12'!S40,'19.12'!$AO$4:$AR$55,4,FALSE))</f>
        <v>0</v>
      </c>
      <c r="L40" s="4">
        <f>(VLOOKUP('19.12'!T40,'19.12'!$AO$4:$AR$55,4,FALSE))</f>
        <v>0</v>
      </c>
      <c r="M40" s="4">
        <f>(VLOOKUP('19.12'!U40,'19.12'!$AO$4:$AR$55,4,FALSE))</f>
        <v>0</v>
      </c>
      <c r="N40" s="4">
        <f>(VLOOKUP('19.12'!V40,'19.12'!$AO$4:$AR$55,4,FALSE))</f>
        <v>0</v>
      </c>
      <c r="O40" s="4">
        <f>(VLOOKUP('19.12'!W40,'19.12'!$AO$4:$AR$55,4,FALSE))</f>
        <v>0</v>
      </c>
      <c r="P40" s="4">
        <f>(VLOOKUP('19.12'!X40,'19.12'!$AO$4:$AR$55,4,FALSE))</f>
        <v>0</v>
      </c>
      <c r="Q40" s="4">
        <f>(VLOOKUP('19.12'!Y40,'19.12'!$AO$4:$AR$55,4,FALSE))</f>
        <v>0</v>
      </c>
      <c r="R40" s="4">
        <f>(VLOOKUP('19.12'!Z40,'19.12'!$AO$4:$AR$55,4,FALSE))</f>
        <v>0</v>
      </c>
      <c r="S40" s="4">
        <f>(VLOOKUP('19.12'!AA40,'19.12'!$AO$4:$AR$55,4,FALSE))</f>
        <v>0</v>
      </c>
      <c r="T40" s="4">
        <f>(VLOOKUP('19.12'!AB40,'19.12'!$AO$4:$AR$55,4,FALSE))</f>
        <v>0</v>
      </c>
      <c r="U40" s="4">
        <f>(VLOOKUP('19.12'!AC40,'19.12'!$AO$4:$AR$55,4,FALSE))</f>
        <v>0</v>
      </c>
      <c r="V40" s="4">
        <f>(VLOOKUP('19.12'!AD40,'19.12'!$AO$4:$AR$55,4,FALSE))</f>
        <v>0</v>
      </c>
      <c r="W40" s="4">
        <f>(VLOOKUP('19.12'!AE40,'19.12'!$AO$4:$AR$55,4,FALSE))</f>
        <v>0</v>
      </c>
      <c r="X40" s="4">
        <f>(VLOOKUP('19.12'!AF40,'19.12'!$AO$4:$AR$55,4,FALSE))</f>
        <v>0</v>
      </c>
    </row>
    <row r="41" spans="1:24">
      <c r="A41" s="4">
        <f>(VLOOKUP('19.12'!I41,'19.12'!$AO$4:$AR$55,4,FALSE))</f>
        <v>0</v>
      </c>
      <c r="B41" s="4">
        <f>(VLOOKUP('19.12'!J41,'19.12'!$AO$4:$AR$55,4,FALSE))</f>
        <v>0</v>
      </c>
      <c r="C41" s="4">
        <f>(VLOOKUP('19.12'!K41,'19.12'!$AO$4:$AR$55,4,FALSE))</f>
        <v>0</v>
      </c>
      <c r="D41" s="4">
        <f>(VLOOKUP('19.12'!L41,'19.12'!$AO$4:$AR$55,4,FALSE))</f>
        <v>0</v>
      </c>
      <c r="E41" s="4">
        <f>(VLOOKUP('19.12'!M41,'19.12'!$AO$4:$AR$55,4,FALSE))</f>
        <v>0</v>
      </c>
      <c r="F41" s="4">
        <f>(VLOOKUP('19.12'!N41,'19.12'!$AO$4:$AR$55,4,FALSE))</f>
        <v>0</v>
      </c>
      <c r="G41" s="4">
        <f>(VLOOKUP('19.12'!O41,'19.12'!$AO$4:$AR$55,4,FALSE))</f>
        <v>0</v>
      </c>
      <c r="H41" s="4">
        <f>(VLOOKUP('19.12'!P41,'19.12'!$AO$4:$AR$55,4,FALSE))</f>
        <v>0</v>
      </c>
      <c r="I41" s="4">
        <f>(VLOOKUP('19.12'!Q41,'19.12'!$AO$4:$AR$55,4,FALSE))</f>
        <v>0</v>
      </c>
      <c r="J41" s="4">
        <f>(VLOOKUP('19.12'!R41,'19.12'!$AO$4:$AR$55,4,FALSE))</f>
        <v>0</v>
      </c>
      <c r="K41" s="4">
        <f>(VLOOKUP('19.12'!S41,'19.12'!$AO$4:$AR$55,4,FALSE))</f>
        <v>0</v>
      </c>
      <c r="L41" s="4">
        <f>(VLOOKUP('19.12'!T41,'19.12'!$AO$4:$AR$55,4,FALSE))</f>
        <v>0</v>
      </c>
      <c r="M41" s="4">
        <f>(VLOOKUP('19.12'!U41,'19.12'!$AO$4:$AR$55,4,FALSE))</f>
        <v>0</v>
      </c>
      <c r="N41" s="4">
        <f>(VLOOKUP('19.12'!V41,'19.12'!$AO$4:$AR$55,4,FALSE))</f>
        <v>0</v>
      </c>
      <c r="O41" s="4">
        <f>(VLOOKUP('19.12'!W41,'19.12'!$AO$4:$AR$55,4,FALSE))</f>
        <v>0</v>
      </c>
      <c r="P41" s="4">
        <f>(VLOOKUP('19.12'!X41,'19.12'!$AO$4:$AR$55,4,FALSE))</f>
        <v>0</v>
      </c>
      <c r="Q41" s="4">
        <f>(VLOOKUP('19.12'!Y41,'19.12'!$AO$4:$AR$55,4,FALSE))</f>
        <v>0</v>
      </c>
      <c r="R41" s="4">
        <f>(VLOOKUP('19.12'!Z41,'19.12'!$AO$4:$AR$55,4,FALSE))</f>
        <v>0</v>
      </c>
      <c r="S41" s="4">
        <f>(VLOOKUP('19.12'!AA41,'19.12'!$AO$4:$AR$55,4,FALSE))</f>
        <v>0</v>
      </c>
      <c r="T41" s="4">
        <f>(VLOOKUP('19.12'!AB41,'19.12'!$AO$4:$AR$55,4,FALSE))</f>
        <v>0</v>
      </c>
      <c r="U41" s="4">
        <f>(VLOOKUP('19.12'!AC41,'19.12'!$AO$4:$AR$55,4,FALSE))</f>
        <v>0</v>
      </c>
      <c r="V41" s="4">
        <f>(VLOOKUP('19.12'!AD41,'19.12'!$AO$4:$AR$55,4,FALSE))</f>
        <v>0</v>
      </c>
      <c r="W41" s="4">
        <f>(VLOOKUP('19.12'!AE41,'19.12'!$AO$4:$AR$55,4,FALSE))</f>
        <v>0</v>
      </c>
      <c r="X41" s="4">
        <f>(VLOOKUP('19.12'!AF41,'19.12'!$AO$4:$AR$55,4,FALSE))</f>
        <v>0</v>
      </c>
    </row>
    <row r="42" spans="1:24">
      <c r="A42" s="4">
        <f>(VLOOKUP('19.12'!I42,'19.12'!$AO$4:$AR$55,4,FALSE))</f>
        <v>0</v>
      </c>
      <c r="B42" s="4">
        <f>(VLOOKUP('19.12'!J42,'19.12'!$AO$4:$AR$55,4,FALSE))</f>
        <v>0</v>
      </c>
      <c r="C42" s="4">
        <f>(VLOOKUP('19.12'!K42,'19.12'!$AO$4:$AR$55,4,FALSE))</f>
        <v>0</v>
      </c>
      <c r="D42" s="4">
        <f>(VLOOKUP('19.12'!L42,'19.12'!$AO$4:$AR$55,4,FALSE))</f>
        <v>0</v>
      </c>
      <c r="E42" s="4">
        <f>(VLOOKUP('19.12'!M42,'19.12'!$AO$4:$AR$55,4,FALSE))</f>
        <v>0</v>
      </c>
      <c r="F42" s="4">
        <f>(VLOOKUP('19.12'!N42,'19.12'!$AO$4:$AR$55,4,FALSE))</f>
        <v>0</v>
      </c>
      <c r="G42" s="4">
        <f>(VLOOKUP('19.12'!O42,'19.12'!$AO$4:$AR$55,4,FALSE))</f>
        <v>0</v>
      </c>
      <c r="H42" s="4">
        <f>(VLOOKUP('19.12'!P42,'19.12'!$AO$4:$AR$55,4,FALSE))</f>
        <v>0</v>
      </c>
      <c r="I42" s="4">
        <f>(VLOOKUP('19.12'!Q42,'19.12'!$AO$4:$AR$55,4,FALSE))</f>
        <v>0</v>
      </c>
      <c r="J42" s="4">
        <f>(VLOOKUP('19.12'!R42,'19.12'!$AO$4:$AR$55,4,FALSE))</f>
        <v>0</v>
      </c>
      <c r="K42" s="4">
        <f>(VLOOKUP('19.12'!S42,'19.12'!$AO$4:$AR$55,4,FALSE))</f>
        <v>0</v>
      </c>
      <c r="L42" s="4">
        <f>(VLOOKUP('19.12'!T42,'19.12'!$AO$4:$AR$55,4,FALSE))</f>
        <v>0</v>
      </c>
      <c r="M42" s="4">
        <f>(VLOOKUP('19.12'!U42,'19.12'!$AO$4:$AR$55,4,FALSE))</f>
        <v>0</v>
      </c>
      <c r="N42" s="4">
        <f>(VLOOKUP('19.12'!V42,'19.12'!$AO$4:$AR$55,4,FALSE))</f>
        <v>0</v>
      </c>
      <c r="O42" s="4">
        <f>(VLOOKUP('19.12'!W42,'19.12'!$AO$4:$AR$55,4,FALSE))</f>
        <v>0</v>
      </c>
      <c r="P42" s="4">
        <f>(VLOOKUP('19.12'!X42,'19.12'!$AO$4:$AR$55,4,FALSE))</f>
        <v>0</v>
      </c>
      <c r="Q42" s="4">
        <f>(VLOOKUP('19.12'!Y42,'19.12'!$AO$4:$AR$55,4,FALSE))</f>
        <v>0</v>
      </c>
      <c r="R42" s="4">
        <f>(VLOOKUP('19.12'!Z42,'19.12'!$AO$4:$AR$55,4,FALSE))</f>
        <v>0</v>
      </c>
      <c r="S42" s="4">
        <f>(VLOOKUP('19.12'!AA42,'19.12'!$AO$4:$AR$55,4,FALSE))</f>
        <v>0</v>
      </c>
      <c r="T42" s="4">
        <f>(VLOOKUP('19.12'!AB42,'19.12'!$AO$4:$AR$55,4,FALSE))</f>
        <v>0</v>
      </c>
      <c r="U42" s="4">
        <f>(VLOOKUP('19.12'!AC42,'19.12'!$AO$4:$AR$55,4,FALSE))</f>
        <v>0</v>
      </c>
      <c r="V42" s="4">
        <f>(VLOOKUP('19.12'!AD42,'19.12'!$AO$4:$AR$55,4,FALSE))</f>
        <v>0</v>
      </c>
      <c r="W42" s="4">
        <f>(VLOOKUP('19.12'!AE42,'19.12'!$AO$4:$AR$55,4,FALSE))</f>
        <v>0</v>
      </c>
      <c r="X42" s="4">
        <f>(VLOOKUP('19.12'!AF42,'19.12'!$AO$4:$AR$55,4,FALSE))</f>
        <v>0</v>
      </c>
    </row>
    <row r="43" spans="1:24">
      <c r="A43" s="4">
        <f>(VLOOKUP('19.12'!I43,'19.12'!$AO$4:$AR$55,4,FALSE))</f>
        <v>0</v>
      </c>
      <c r="B43" s="4">
        <f>(VLOOKUP('19.12'!J43,'19.12'!$AO$4:$AR$55,4,FALSE))</f>
        <v>0</v>
      </c>
      <c r="C43" s="4">
        <f>(VLOOKUP('19.12'!K43,'19.12'!$AO$4:$AR$55,4,FALSE))</f>
        <v>0</v>
      </c>
      <c r="D43" s="4">
        <f>(VLOOKUP('19.12'!L43,'19.12'!$AO$4:$AR$55,4,FALSE))</f>
        <v>0</v>
      </c>
      <c r="E43" s="4">
        <f>(VLOOKUP('19.12'!M43,'19.12'!$AO$4:$AR$55,4,FALSE))</f>
        <v>0</v>
      </c>
      <c r="F43" s="4">
        <f>(VLOOKUP('19.12'!N43,'19.12'!$AO$4:$AR$55,4,FALSE))</f>
        <v>0</v>
      </c>
      <c r="G43" s="4">
        <f>(VLOOKUP('19.12'!O43,'19.12'!$AO$4:$AR$55,4,FALSE))</f>
        <v>0</v>
      </c>
      <c r="H43" s="4">
        <f>(VLOOKUP('19.12'!P43,'19.12'!$AO$4:$AR$55,4,FALSE))</f>
        <v>0</v>
      </c>
      <c r="I43" s="4">
        <f>(VLOOKUP('19.12'!Q43,'19.12'!$AO$4:$AR$55,4,FALSE))</f>
        <v>0</v>
      </c>
      <c r="J43" s="4">
        <f>(VLOOKUP('19.12'!R43,'19.12'!$AO$4:$AR$55,4,FALSE))</f>
        <v>0</v>
      </c>
      <c r="K43" s="4">
        <f>(VLOOKUP('19.12'!S43,'19.12'!$AO$4:$AR$55,4,FALSE))</f>
        <v>0</v>
      </c>
      <c r="L43" s="4">
        <f>(VLOOKUP('19.12'!T43,'19.12'!$AO$4:$AR$55,4,FALSE))</f>
        <v>0</v>
      </c>
      <c r="M43" s="4">
        <f>(VLOOKUP('19.12'!U43,'19.12'!$AO$4:$AR$55,4,FALSE))</f>
        <v>0</v>
      </c>
      <c r="N43" s="4">
        <f>(VLOOKUP('19.12'!V43,'19.12'!$AO$4:$AR$55,4,FALSE))</f>
        <v>0</v>
      </c>
      <c r="O43" s="4">
        <f>(VLOOKUP('19.12'!W43,'19.12'!$AO$4:$AR$55,4,FALSE))</f>
        <v>0</v>
      </c>
      <c r="P43" s="4">
        <f>(VLOOKUP('19.12'!X43,'19.12'!$AO$4:$AR$55,4,FALSE))</f>
        <v>0</v>
      </c>
      <c r="Q43" s="4">
        <f>(VLOOKUP('19.12'!Y43,'19.12'!$AO$4:$AR$55,4,FALSE))</f>
        <v>0</v>
      </c>
      <c r="R43" s="4">
        <f>(VLOOKUP('19.12'!Z43,'19.12'!$AO$4:$AR$55,4,FALSE))</f>
        <v>0</v>
      </c>
      <c r="S43" s="4">
        <f>(VLOOKUP('19.12'!AA43,'19.12'!$AO$4:$AR$55,4,FALSE))</f>
        <v>0</v>
      </c>
      <c r="T43" s="4">
        <f>(VLOOKUP('19.12'!AB43,'19.12'!$AO$4:$AR$55,4,FALSE))</f>
        <v>0</v>
      </c>
      <c r="U43" s="4">
        <f>(VLOOKUP('19.12'!AC43,'19.12'!$AO$4:$AR$55,4,FALSE))</f>
        <v>0</v>
      </c>
      <c r="V43" s="4">
        <f>(VLOOKUP('19.12'!AD43,'19.12'!$AO$4:$AR$55,4,FALSE))</f>
        <v>0</v>
      </c>
      <c r="W43" s="4">
        <f>(VLOOKUP('19.12'!AE43,'19.12'!$AO$4:$AR$55,4,FALSE))</f>
        <v>0</v>
      </c>
      <c r="X43" s="4">
        <f>(VLOOKUP('19.12'!AF43,'19.12'!$AO$4:$AR$55,4,FALSE))</f>
        <v>0</v>
      </c>
    </row>
    <row r="44" spans="1:24">
      <c r="A44" s="4">
        <f>(VLOOKUP('19.12'!I44,'19.12'!$AO$4:$AR$55,4,FALSE))</f>
        <v>0</v>
      </c>
      <c r="B44" s="4">
        <f>(VLOOKUP('19.12'!J44,'19.12'!$AO$4:$AR$55,4,FALSE))</f>
        <v>0</v>
      </c>
      <c r="C44" s="4">
        <f>(VLOOKUP('19.12'!K44,'19.12'!$AO$4:$AR$55,4,FALSE))</f>
        <v>0</v>
      </c>
      <c r="D44" s="4">
        <f>(VLOOKUP('19.12'!L44,'19.12'!$AO$4:$AR$55,4,FALSE))</f>
        <v>0</v>
      </c>
      <c r="E44" s="4">
        <f>(VLOOKUP('19.12'!M44,'19.12'!$AO$4:$AR$55,4,FALSE))</f>
        <v>0</v>
      </c>
      <c r="F44" s="4">
        <f>(VLOOKUP('19.12'!N44,'19.12'!$AO$4:$AR$55,4,FALSE))</f>
        <v>0</v>
      </c>
      <c r="G44" s="4">
        <f>(VLOOKUP('19.12'!O44,'19.12'!$AO$4:$AR$55,4,FALSE))</f>
        <v>0</v>
      </c>
      <c r="H44" s="4">
        <f>(VLOOKUP('19.12'!P44,'19.12'!$AO$4:$AR$55,4,FALSE))</f>
        <v>0</v>
      </c>
      <c r="I44" s="4">
        <f>(VLOOKUP('19.12'!Q44,'19.12'!$AO$4:$AR$55,4,FALSE))</f>
        <v>0</v>
      </c>
      <c r="J44" s="4">
        <f>(VLOOKUP('19.12'!R44,'19.12'!$AO$4:$AR$55,4,FALSE))</f>
        <v>0</v>
      </c>
      <c r="K44" s="4">
        <f>(VLOOKUP('19.12'!S44,'19.12'!$AO$4:$AR$55,4,FALSE))</f>
        <v>0</v>
      </c>
      <c r="L44" s="4">
        <f>(VLOOKUP('19.12'!T44,'19.12'!$AO$4:$AR$55,4,FALSE))</f>
        <v>0</v>
      </c>
      <c r="M44" s="4">
        <f>(VLOOKUP('19.12'!U44,'19.12'!$AO$4:$AR$55,4,FALSE))</f>
        <v>0</v>
      </c>
      <c r="N44" s="4">
        <f>(VLOOKUP('19.12'!V44,'19.12'!$AO$4:$AR$55,4,FALSE))</f>
        <v>0</v>
      </c>
      <c r="O44" s="4">
        <f>(VLOOKUP('19.12'!W44,'19.12'!$AO$4:$AR$55,4,FALSE))</f>
        <v>0</v>
      </c>
      <c r="P44" s="4">
        <f>(VLOOKUP('19.12'!X44,'19.12'!$AO$4:$AR$55,4,FALSE))</f>
        <v>0</v>
      </c>
      <c r="Q44" s="4">
        <f>(VLOOKUP('19.12'!Y44,'19.12'!$AO$4:$AR$55,4,FALSE))</f>
        <v>0</v>
      </c>
      <c r="R44" s="4">
        <f>(VLOOKUP('19.12'!Z44,'19.12'!$AO$4:$AR$55,4,FALSE))</f>
        <v>0</v>
      </c>
      <c r="S44" s="4">
        <f>(VLOOKUP('19.12'!AA44,'19.12'!$AO$4:$AR$55,4,FALSE))</f>
        <v>0</v>
      </c>
      <c r="T44" s="4">
        <f>(VLOOKUP('19.12'!AB44,'19.12'!$AO$4:$AR$55,4,FALSE))</f>
        <v>0</v>
      </c>
      <c r="U44" s="4">
        <f>(VLOOKUP('19.12'!AC44,'19.12'!$AO$4:$AR$55,4,FALSE))</f>
        <v>0</v>
      </c>
      <c r="V44" s="4">
        <f>(VLOOKUP('19.12'!AD44,'19.12'!$AO$4:$AR$55,4,FALSE))</f>
        <v>0</v>
      </c>
      <c r="W44" s="4">
        <f>(VLOOKUP('19.12'!AE44,'19.12'!$AO$4:$AR$55,4,FALSE))</f>
        <v>0</v>
      </c>
      <c r="X44" s="4">
        <f>(VLOOKUP('19.12'!AF44,'19.12'!$AO$4:$AR$55,4,FALSE))</f>
        <v>0</v>
      </c>
    </row>
    <row r="45" spans="1:24">
      <c r="A45" s="4">
        <f>(VLOOKUP('19.12'!I45,'19.12'!$AO$4:$AR$55,4,FALSE))</f>
        <v>0</v>
      </c>
      <c r="B45" s="4">
        <f>(VLOOKUP('19.12'!J45,'19.12'!$AO$4:$AR$55,4,FALSE))</f>
        <v>0</v>
      </c>
      <c r="C45" s="4">
        <f>(VLOOKUP('19.12'!K45,'19.12'!$AO$4:$AR$55,4,FALSE))</f>
        <v>0</v>
      </c>
      <c r="D45" s="4">
        <f>(VLOOKUP('19.12'!L45,'19.12'!$AO$4:$AR$55,4,FALSE))</f>
        <v>0</v>
      </c>
      <c r="E45" s="4">
        <f>(VLOOKUP('19.12'!M45,'19.12'!$AO$4:$AR$55,4,FALSE))</f>
        <v>0</v>
      </c>
      <c r="F45" s="4">
        <f>(VLOOKUP('19.12'!N45,'19.12'!$AO$4:$AR$55,4,FALSE))</f>
        <v>0</v>
      </c>
      <c r="G45" s="4">
        <f>(VLOOKUP('19.12'!O45,'19.12'!$AO$4:$AR$55,4,FALSE))</f>
        <v>0</v>
      </c>
      <c r="H45" s="4">
        <f>(VLOOKUP('19.12'!P45,'19.12'!$AO$4:$AR$55,4,FALSE))</f>
        <v>0</v>
      </c>
      <c r="I45" s="4">
        <f>(VLOOKUP('19.12'!Q45,'19.12'!$AO$4:$AR$55,4,FALSE))</f>
        <v>0</v>
      </c>
      <c r="J45" s="4">
        <f>(VLOOKUP('19.12'!R45,'19.12'!$AO$4:$AR$55,4,FALSE))</f>
        <v>0</v>
      </c>
      <c r="K45" s="4">
        <f>(VLOOKUP('19.12'!S45,'19.12'!$AO$4:$AR$55,4,FALSE))</f>
        <v>0</v>
      </c>
      <c r="L45" s="4">
        <f>(VLOOKUP('19.12'!T45,'19.12'!$AO$4:$AR$55,4,FALSE))</f>
        <v>0</v>
      </c>
      <c r="M45" s="4">
        <f>(VLOOKUP('19.12'!U45,'19.12'!$AO$4:$AR$55,4,FALSE))</f>
        <v>0</v>
      </c>
      <c r="N45" s="4">
        <f>(VLOOKUP('19.12'!V45,'19.12'!$AO$4:$AR$55,4,FALSE))</f>
        <v>0</v>
      </c>
      <c r="O45" s="4">
        <f>(VLOOKUP('19.12'!W45,'19.12'!$AO$4:$AR$55,4,FALSE))</f>
        <v>0</v>
      </c>
      <c r="P45" s="4">
        <f>(VLOOKUP('19.12'!X45,'19.12'!$AO$4:$AR$55,4,FALSE))</f>
        <v>0</v>
      </c>
      <c r="Q45" s="4">
        <f>(VLOOKUP('19.12'!Y45,'19.12'!$AO$4:$AR$55,4,FALSE))</f>
        <v>0</v>
      </c>
      <c r="R45" s="4">
        <f>(VLOOKUP('19.12'!Z45,'19.12'!$AO$4:$AR$55,4,FALSE))</f>
        <v>0</v>
      </c>
      <c r="S45" s="4">
        <f>(VLOOKUP('19.12'!AA45,'19.12'!$AO$4:$AR$55,4,FALSE))</f>
        <v>0</v>
      </c>
      <c r="T45" s="4">
        <f>(VLOOKUP('19.12'!AB45,'19.12'!$AO$4:$AR$55,4,FALSE))</f>
        <v>0</v>
      </c>
      <c r="U45" s="4">
        <f>(VLOOKUP('19.12'!AC45,'19.12'!$AO$4:$AR$55,4,FALSE))</f>
        <v>0</v>
      </c>
      <c r="V45" s="4">
        <f>(VLOOKUP('19.12'!AD45,'19.12'!$AO$4:$AR$55,4,FALSE))</f>
        <v>0</v>
      </c>
      <c r="W45" s="4">
        <f>(VLOOKUP('19.12'!AE45,'19.12'!$AO$4:$AR$55,4,FALSE))</f>
        <v>0</v>
      </c>
      <c r="X45" s="4">
        <f>(VLOOKUP('19.12'!AF45,'19.12'!$AO$4:$AR$55,4,FALSE))</f>
        <v>0</v>
      </c>
    </row>
    <row r="46" spans="1:24">
      <c r="A46" s="4">
        <f>(VLOOKUP('19.12'!I46,'19.12'!$AO$4:$AR$55,4,FALSE))</f>
        <v>0</v>
      </c>
      <c r="B46" s="4">
        <f>(VLOOKUP('19.12'!J46,'19.12'!$AO$4:$AR$55,4,FALSE))</f>
        <v>0</v>
      </c>
      <c r="C46" s="4">
        <f>(VLOOKUP('19.12'!K46,'19.12'!$AO$4:$AR$55,4,FALSE))</f>
        <v>0</v>
      </c>
      <c r="D46" s="4">
        <f>(VLOOKUP('19.12'!L46,'19.12'!$AO$4:$AR$55,4,FALSE))</f>
        <v>0</v>
      </c>
      <c r="E46" s="4">
        <f>(VLOOKUP('19.12'!M46,'19.12'!$AO$4:$AR$55,4,FALSE))</f>
        <v>0</v>
      </c>
      <c r="F46" s="4">
        <f>(VLOOKUP('19.12'!N46,'19.12'!$AO$4:$AR$55,4,FALSE))</f>
        <v>0</v>
      </c>
      <c r="G46" s="4">
        <f>(VLOOKUP('19.12'!O46,'19.12'!$AO$4:$AR$55,4,FALSE))</f>
        <v>0</v>
      </c>
      <c r="H46" s="4">
        <f>(VLOOKUP('19.12'!P46,'19.12'!$AO$4:$AR$55,4,FALSE))</f>
        <v>0</v>
      </c>
      <c r="I46" s="4">
        <f>(VLOOKUP('19.12'!Q46,'19.12'!$AO$4:$AR$55,4,FALSE))</f>
        <v>0</v>
      </c>
      <c r="J46" s="4">
        <f>(VLOOKUP('19.12'!R46,'19.12'!$AO$4:$AR$55,4,FALSE))</f>
        <v>0</v>
      </c>
      <c r="K46" s="4">
        <f>(VLOOKUP('19.12'!S46,'19.12'!$AO$4:$AR$55,4,FALSE))</f>
        <v>0</v>
      </c>
      <c r="L46" s="4">
        <f>(VLOOKUP('19.12'!T46,'19.12'!$AO$4:$AR$55,4,FALSE))</f>
        <v>0</v>
      </c>
      <c r="M46" s="4">
        <f>(VLOOKUP('19.12'!U46,'19.12'!$AO$4:$AR$55,4,FALSE))</f>
        <v>0</v>
      </c>
      <c r="N46" s="4">
        <f>(VLOOKUP('19.12'!V46,'19.12'!$AO$4:$AR$55,4,FALSE))</f>
        <v>0</v>
      </c>
      <c r="O46" s="4">
        <f>(VLOOKUP('19.12'!W46,'19.12'!$AO$4:$AR$55,4,FALSE))</f>
        <v>0</v>
      </c>
      <c r="P46" s="4">
        <f>(VLOOKUP('19.12'!X46,'19.12'!$AO$4:$AR$55,4,FALSE))</f>
        <v>0</v>
      </c>
      <c r="Q46" s="4">
        <f>(VLOOKUP('19.12'!Y46,'19.12'!$AO$4:$AR$55,4,FALSE))</f>
        <v>0</v>
      </c>
      <c r="R46" s="4">
        <f>(VLOOKUP('19.12'!Z46,'19.12'!$AO$4:$AR$55,4,FALSE))</f>
        <v>0</v>
      </c>
      <c r="S46" s="4">
        <f>(VLOOKUP('19.12'!AA46,'19.12'!$AO$4:$AR$55,4,FALSE))</f>
        <v>0</v>
      </c>
      <c r="T46" s="4">
        <f>(VLOOKUP('19.12'!AB46,'19.12'!$AO$4:$AR$55,4,FALSE))</f>
        <v>0</v>
      </c>
      <c r="U46" s="4">
        <f>(VLOOKUP('19.12'!AC46,'19.12'!$AO$4:$AR$55,4,FALSE))</f>
        <v>0</v>
      </c>
      <c r="V46" s="4">
        <f>(VLOOKUP('19.12'!AD46,'19.12'!$AO$4:$AR$55,4,FALSE))</f>
        <v>0</v>
      </c>
      <c r="W46" s="4">
        <f>(VLOOKUP('19.12'!AE46,'19.12'!$AO$4:$AR$55,4,FALSE))</f>
        <v>0</v>
      </c>
      <c r="X46" s="4">
        <f>(VLOOKUP('19.12'!AF46,'19.12'!$AO$4:$AR$55,4,FALSE))</f>
        <v>0</v>
      </c>
    </row>
    <row r="47" spans="1:24">
      <c r="A47" s="4">
        <f>(VLOOKUP('19.12'!I47,'19.12'!$AO$4:$AR$55,4,FALSE))</f>
        <v>0</v>
      </c>
      <c r="B47" s="4">
        <f>(VLOOKUP('19.12'!J47,'19.12'!$AO$4:$AR$55,4,FALSE))</f>
        <v>0</v>
      </c>
      <c r="C47" s="4">
        <f>(VLOOKUP('19.12'!K47,'19.12'!$AO$4:$AR$55,4,FALSE))</f>
        <v>0</v>
      </c>
      <c r="D47" s="4">
        <f>(VLOOKUP('19.12'!L47,'19.12'!$AO$4:$AR$55,4,FALSE))</f>
        <v>0</v>
      </c>
      <c r="E47" s="4">
        <f>(VLOOKUP('19.12'!M47,'19.12'!$AO$4:$AR$55,4,FALSE))</f>
        <v>0</v>
      </c>
      <c r="F47" s="4">
        <f>(VLOOKUP('19.12'!N47,'19.12'!$AO$4:$AR$55,4,FALSE))</f>
        <v>0</v>
      </c>
      <c r="G47" s="4">
        <f>(VLOOKUP('19.12'!O47,'19.12'!$AO$4:$AR$55,4,FALSE))</f>
        <v>0</v>
      </c>
      <c r="H47" s="4">
        <f>(VLOOKUP('19.12'!P47,'19.12'!$AO$4:$AR$55,4,FALSE))</f>
        <v>0</v>
      </c>
      <c r="I47" s="4">
        <f>(VLOOKUP('19.12'!Q47,'19.12'!$AO$4:$AR$55,4,FALSE))</f>
        <v>0</v>
      </c>
      <c r="J47" s="4">
        <f>(VLOOKUP('19.12'!R47,'19.12'!$AO$4:$AR$55,4,FALSE))</f>
        <v>0</v>
      </c>
      <c r="K47" s="4">
        <f>(VLOOKUP('19.12'!S47,'19.12'!$AO$4:$AR$55,4,FALSE))</f>
        <v>0</v>
      </c>
      <c r="L47" s="4">
        <f>(VLOOKUP('19.12'!T47,'19.12'!$AO$4:$AR$55,4,FALSE))</f>
        <v>0</v>
      </c>
      <c r="M47" s="4">
        <f>(VLOOKUP('19.12'!U47,'19.12'!$AO$4:$AR$55,4,FALSE))</f>
        <v>0</v>
      </c>
      <c r="N47" s="4">
        <f>(VLOOKUP('19.12'!V47,'19.12'!$AO$4:$AR$55,4,FALSE))</f>
        <v>0</v>
      </c>
      <c r="O47" s="4">
        <f>(VLOOKUP('19.12'!W47,'19.12'!$AO$4:$AR$55,4,FALSE))</f>
        <v>0</v>
      </c>
      <c r="P47" s="4">
        <f>(VLOOKUP('19.12'!X47,'19.12'!$AO$4:$AR$55,4,FALSE))</f>
        <v>0</v>
      </c>
      <c r="Q47" s="4">
        <f>(VLOOKUP('19.12'!Y47,'19.12'!$AO$4:$AR$55,4,FALSE))</f>
        <v>0</v>
      </c>
      <c r="R47" s="4">
        <f>(VLOOKUP('19.12'!Z47,'19.12'!$AO$4:$AR$55,4,FALSE))</f>
        <v>0</v>
      </c>
      <c r="S47" s="4">
        <f>(VLOOKUP('19.12'!AA47,'19.12'!$AO$4:$AR$55,4,FALSE))</f>
        <v>0</v>
      </c>
      <c r="T47" s="4">
        <f>(VLOOKUP('19.12'!AB47,'19.12'!$AO$4:$AR$55,4,FALSE))</f>
        <v>0</v>
      </c>
      <c r="U47" s="4">
        <f>(VLOOKUP('19.12'!AC47,'19.12'!$AO$4:$AR$55,4,FALSE))</f>
        <v>0</v>
      </c>
      <c r="V47" s="4">
        <f>(VLOOKUP('19.12'!AD47,'19.12'!$AO$4:$AR$55,4,FALSE))</f>
        <v>0</v>
      </c>
      <c r="W47" s="4">
        <f>(VLOOKUP('19.12'!AE47,'19.12'!$AO$4:$AR$55,4,FALSE))</f>
        <v>0</v>
      </c>
      <c r="X47" s="4">
        <f>(VLOOKUP('19.12'!AF47,'19.12'!$AO$4:$AR$55,4,FALSE))</f>
        <v>0</v>
      </c>
    </row>
    <row r="48" spans="1:24">
      <c r="A48" s="4">
        <f>(VLOOKUP('19.12'!I48,'19.12'!$AO$4:$AR$55,4,FALSE))</f>
        <v>0</v>
      </c>
      <c r="B48" s="4">
        <f>(VLOOKUP('19.12'!J48,'19.12'!$AO$4:$AR$55,4,FALSE))</f>
        <v>0</v>
      </c>
      <c r="C48" s="4">
        <f>(VLOOKUP('19.12'!K48,'19.12'!$AO$4:$AR$55,4,FALSE))</f>
        <v>0</v>
      </c>
      <c r="D48" s="4">
        <f>(VLOOKUP('19.12'!L48,'19.12'!$AO$4:$AR$55,4,FALSE))</f>
        <v>0</v>
      </c>
      <c r="E48" s="4">
        <f>(VLOOKUP('19.12'!M48,'19.12'!$AO$4:$AR$55,4,FALSE))</f>
        <v>0</v>
      </c>
      <c r="F48" s="4">
        <f>(VLOOKUP('19.12'!N48,'19.12'!$AO$4:$AR$55,4,FALSE))</f>
        <v>0</v>
      </c>
      <c r="G48" s="4">
        <f>(VLOOKUP('19.12'!O48,'19.12'!$AO$4:$AR$55,4,FALSE))</f>
        <v>0</v>
      </c>
      <c r="H48" s="4">
        <f>(VLOOKUP('19.12'!P48,'19.12'!$AO$4:$AR$55,4,FALSE))</f>
        <v>0</v>
      </c>
      <c r="I48" s="4">
        <f>(VLOOKUP('19.12'!Q48,'19.12'!$AO$4:$AR$55,4,FALSE))</f>
        <v>0</v>
      </c>
      <c r="J48" s="4">
        <f>(VLOOKUP('19.12'!R48,'19.12'!$AO$4:$AR$55,4,FALSE))</f>
        <v>0</v>
      </c>
      <c r="K48" s="4">
        <f>(VLOOKUP('19.12'!S48,'19.12'!$AO$4:$AR$55,4,FALSE))</f>
        <v>0</v>
      </c>
      <c r="L48" s="4">
        <f>(VLOOKUP('19.12'!T48,'19.12'!$AO$4:$AR$55,4,FALSE))</f>
        <v>0</v>
      </c>
      <c r="M48" s="4">
        <f>(VLOOKUP('19.12'!U48,'19.12'!$AO$4:$AR$55,4,FALSE))</f>
        <v>0</v>
      </c>
      <c r="N48" s="4">
        <f>(VLOOKUP('19.12'!V48,'19.12'!$AO$4:$AR$55,4,FALSE))</f>
        <v>0</v>
      </c>
      <c r="O48" s="4">
        <f>(VLOOKUP('19.12'!W48,'19.12'!$AO$4:$AR$55,4,FALSE))</f>
        <v>0</v>
      </c>
      <c r="P48" s="4">
        <f>(VLOOKUP('19.12'!X48,'19.12'!$AO$4:$AR$55,4,FALSE))</f>
        <v>0</v>
      </c>
      <c r="Q48" s="4">
        <f>(VLOOKUP('19.12'!Y48,'19.12'!$AO$4:$AR$55,4,FALSE))</f>
        <v>0</v>
      </c>
      <c r="R48" s="4">
        <f>(VLOOKUP('19.12'!Z48,'19.12'!$AO$4:$AR$55,4,FALSE))</f>
        <v>0</v>
      </c>
      <c r="S48" s="4">
        <f>(VLOOKUP('19.12'!AA48,'19.12'!$AO$4:$AR$55,4,FALSE))</f>
        <v>0</v>
      </c>
      <c r="T48" s="4">
        <f>(VLOOKUP('19.12'!AB48,'19.12'!$AO$4:$AR$55,4,FALSE))</f>
        <v>0</v>
      </c>
      <c r="U48" s="4">
        <f>(VLOOKUP('19.12'!AC48,'19.12'!$AO$4:$AR$55,4,FALSE))</f>
        <v>0</v>
      </c>
      <c r="V48" s="4">
        <f>(VLOOKUP('19.12'!AD48,'19.12'!$AO$4:$AR$55,4,FALSE))</f>
        <v>0</v>
      </c>
      <c r="W48" s="4">
        <f>(VLOOKUP('19.12'!AE48,'19.12'!$AO$4:$AR$55,4,FALSE))</f>
        <v>0</v>
      </c>
      <c r="X48" s="4">
        <f>(VLOOKUP('19.12'!AF48,'19.12'!$AO$4:$AR$55,4,FALSE))</f>
        <v>0</v>
      </c>
    </row>
    <row r="49" spans="1:24">
      <c r="A49" s="4">
        <f>(VLOOKUP('19.12'!I49,'19.12'!$AO$4:$AR$55,4,FALSE))</f>
        <v>0</v>
      </c>
      <c r="B49" s="4">
        <f>(VLOOKUP('19.12'!J49,'19.12'!$AO$4:$AR$55,4,FALSE))</f>
        <v>0</v>
      </c>
      <c r="C49" s="4">
        <f>(VLOOKUP('19.12'!K49,'19.12'!$AO$4:$AR$55,4,FALSE))</f>
        <v>0</v>
      </c>
      <c r="D49" s="4">
        <f>(VLOOKUP('19.12'!L49,'19.12'!$AO$4:$AR$55,4,FALSE))</f>
        <v>0</v>
      </c>
      <c r="E49" s="4">
        <f>(VLOOKUP('19.12'!M49,'19.12'!$AO$4:$AR$55,4,FALSE))</f>
        <v>0</v>
      </c>
      <c r="F49" s="4">
        <f>(VLOOKUP('19.12'!N49,'19.12'!$AO$4:$AR$55,4,FALSE))</f>
        <v>0</v>
      </c>
      <c r="G49" s="4">
        <f>(VLOOKUP('19.12'!O49,'19.12'!$AO$4:$AR$55,4,FALSE))</f>
        <v>0</v>
      </c>
      <c r="H49" s="4">
        <f>(VLOOKUP('19.12'!P49,'19.12'!$AO$4:$AR$55,4,FALSE))</f>
        <v>0</v>
      </c>
      <c r="I49" s="4">
        <f>(VLOOKUP('19.12'!Q49,'19.12'!$AO$4:$AR$55,4,FALSE))</f>
        <v>0</v>
      </c>
      <c r="J49" s="4">
        <f>(VLOOKUP('19.12'!R49,'19.12'!$AO$4:$AR$55,4,FALSE))</f>
        <v>0</v>
      </c>
      <c r="K49" s="4">
        <f>(VLOOKUP('19.12'!S49,'19.12'!$AO$4:$AR$55,4,FALSE))</f>
        <v>0</v>
      </c>
      <c r="L49" s="4">
        <f>(VLOOKUP('19.12'!T49,'19.12'!$AO$4:$AR$55,4,FALSE))</f>
        <v>0</v>
      </c>
      <c r="M49" s="4">
        <f>(VLOOKUP('19.12'!U49,'19.12'!$AO$4:$AR$55,4,FALSE))</f>
        <v>0</v>
      </c>
      <c r="N49" s="4">
        <f>(VLOOKUP('19.12'!V49,'19.12'!$AO$4:$AR$55,4,FALSE))</f>
        <v>0</v>
      </c>
      <c r="O49" s="4">
        <f>(VLOOKUP('19.12'!W49,'19.12'!$AO$4:$AR$55,4,FALSE))</f>
        <v>0</v>
      </c>
      <c r="P49" s="4">
        <f>(VLOOKUP('19.12'!X49,'19.12'!$AO$4:$AR$55,4,FALSE))</f>
        <v>0</v>
      </c>
      <c r="Q49" s="4">
        <f>(VLOOKUP('19.12'!Y49,'19.12'!$AO$4:$AR$55,4,FALSE))</f>
        <v>0</v>
      </c>
      <c r="R49" s="4">
        <f>(VLOOKUP('19.12'!Z49,'19.12'!$AO$4:$AR$55,4,FALSE))</f>
        <v>0</v>
      </c>
      <c r="S49" s="4">
        <f>(VLOOKUP('19.12'!AA49,'19.12'!$AO$4:$AR$55,4,FALSE))</f>
        <v>0</v>
      </c>
      <c r="T49" s="4">
        <f>(VLOOKUP('19.12'!AB49,'19.12'!$AO$4:$AR$55,4,FALSE))</f>
        <v>0</v>
      </c>
      <c r="U49" s="4">
        <f>(VLOOKUP('19.12'!AC49,'19.12'!$AO$4:$AR$55,4,FALSE))</f>
        <v>0</v>
      </c>
      <c r="V49" s="4">
        <f>(VLOOKUP('19.12'!AD49,'19.12'!$AO$4:$AR$55,4,FALSE))</f>
        <v>0</v>
      </c>
      <c r="W49" s="4">
        <f>(VLOOKUP('19.12'!AE49,'19.12'!$AO$4:$AR$55,4,FALSE))</f>
        <v>0</v>
      </c>
      <c r="X49" s="4">
        <f>(VLOOKUP('19.12'!AF49,'19.12'!$AO$4:$AR$55,4,FALSE))</f>
        <v>0</v>
      </c>
    </row>
    <row r="50" spans="1:24">
      <c r="A50" s="4">
        <f>(VLOOKUP('19.12'!I50,'19.12'!$AO$4:$AR$55,4,FALSE))</f>
        <v>0</v>
      </c>
      <c r="B50" s="4">
        <f>(VLOOKUP('19.12'!J50,'19.12'!$AO$4:$AR$55,4,FALSE))</f>
        <v>0</v>
      </c>
      <c r="C50" s="4">
        <f>(VLOOKUP('19.12'!K50,'19.12'!$AO$4:$AR$55,4,FALSE))</f>
        <v>0</v>
      </c>
      <c r="D50" s="4">
        <f>(VLOOKUP('19.12'!L50,'19.12'!$AO$4:$AR$55,4,FALSE))</f>
        <v>0</v>
      </c>
      <c r="E50" s="4">
        <f>(VLOOKUP('19.12'!M50,'19.12'!$AO$4:$AR$55,4,FALSE))</f>
        <v>0</v>
      </c>
      <c r="F50" s="4">
        <f>(VLOOKUP('19.12'!N50,'19.12'!$AO$4:$AR$55,4,FALSE))</f>
        <v>0</v>
      </c>
      <c r="G50" s="4">
        <f>(VLOOKUP('19.12'!O50,'19.12'!$AO$4:$AR$55,4,FALSE))</f>
        <v>0</v>
      </c>
      <c r="H50" s="4">
        <f>(VLOOKUP('19.12'!P50,'19.12'!$AO$4:$AR$55,4,FALSE))</f>
        <v>0</v>
      </c>
      <c r="I50" s="4">
        <f>(VLOOKUP('19.12'!Q50,'19.12'!$AO$4:$AR$55,4,FALSE))</f>
        <v>0</v>
      </c>
      <c r="J50" s="4">
        <f>(VLOOKUP('19.12'!R50,'19.12'!$AO$4:$AR$55,4,FALSE))</f>
        <v>0</v>
      </c>
      <c r="K50" s="4">
        <f>(VLOOKUP('19.12'!S50,'19.12'!$AO$4:$AR$55,4,FALSE))</f>
        <v>0</v>
      </c>
      <c r="L50" s="4">
        <f>(VLOOKUP('19.12'!T50,'19.12'!$AO$4:$AR$55,4,FALSE))</f>
        <v>0</v>
      </c>
      <c r="M50" s="4">
        <f>(VLOOKUP('19.12'!U50,'19.12'!$AO$4:$AR$55,4,FALSE))</f>
        <v>0</v>
      </c>
      <c r="N50" s="4">
        <f>(VLOOKUP('19.12'!V50,'19.12'!$AO$4:$AR$55,4,FALSE))</f>
        <v>0</v>
      </c>
      <c r="O50" s="4">
        <f>(VLOOKUP('19.12'!W50,'19.12'!$AO$4:$AR$55,4,FALSE))</f>
        <v>0</v>
      </c>
      <c r="P50" s="4">
        <f>(VLOOKUP('19.12'!X50,'19.12'!$AO$4:$AR$55,4,FALSE))</f>
        <v>0</v>
      </c>
      <c r="Q50" s="4">
        <f>(VLOOKUP('19.12'!Y50,'19.12'!$AO$4:$AR$55,4,FALSE))</f>
        <v>0</v>
      </c>
      <c r="R50" s="4">
        <f>(VLOOKUP('19.12'!Z50,'19.12'!$AO$4:$AR$55,4,FALSE))</f>
        <v>0</v>
      </c>
      <c r="S50" s="4">
        <f>(VLOOKUP('19.12'!AA50,'19.12'!$AO$4:$AR$55,4,FALSE))</f>
        <v>0</v>
      </c>
      <c r="T50" s="4">
        <f>(VLOOKUP('19.12'!AB50,'19.12'!$AO$4:$AR$55,4,FALSE))</f>
        <v>0</v>
      </c>
      <c r="U50" s="4">
        <f>(VLOOKUP('19.12'!AC50,'19.12'!$AO$4:$AR$55,4,FALSE))</f>
        <v>0</v>
      </c>
      <c r="V50" s="4">
        <f>(VLOOKUP('19.12'!AD50,'19.12'!$AO$4:$AR$55,4,FALSE))</f>
        <v>0</v>
      </c>
      <c r="W50" s="4">
        <f>(VLOOKUP('19.12'!AE50,'19.12'!$AO$4:$AR$55,4,FALSE))</f>
        <v>0</v>
      </c>
      <c r="X50" s="4">
        <f>(VLOOKUP('19.12'!AF50,'19.12'!$AO$4:$AR$55,4,FALSE))</f>
        <v>0</v>
      </c>
    </row>
    <row r="51" spans="1:24">
      <c r="A51" s="4">
        <f>(VLOOKUP('19.12'!I51,'19.12'!$AO$4:$AR$55,4,FALSE))</f>
        <v>0</v>
      </c>
      <c r="B51" s="4">
        <f>(VLOOKUP('19.12'!J51,'19.12'!$AO$4:$AR$55,4,FALSE))</f>
        <v>0</v>
      </c>
      <c r="C51" s="4">
        <f>(VLOOKUP('19.12'!K51,'19.12'!$AO$4:$AR$55,4,FALSE))</f>
        <v>0</v>
      </c>
      <c r="D51" s="4">
        <f>(VLOOKUP('19.12'!L51,'19.12'!$AO$4:$AR$55,4,FALSE))</f>
        <v>0</v>
      </c>
      <c r="E51" s="4">
        <f>(VLOOKUP('19.12'!M51,'19.12'!$AO$4:$AR$55,4,FALSE))</f>
        <v>0</v>
      </c>
      <c r="F51" s="4">
        <f>(VLOOKUP('19.12'!N51,'19.12'!$AO$4:$AR$55,4,FALSE))</f>
        <v>0</v>
      </c>
      <c r="G51" s="4">
        <f>(VLOOKUP('19.12'!O51,'19.12'!$AO$4:$AR$55,4,FALSE))</f>
        <v>0</v>
      </c>
      <c r="H51" s="4">
        <f>(VLOOKUP('19.12'!P51,'19.12'!$AO$4:$AR$55,4,FALSE))</f>
        <v>0</v>
      </c>
      <c r="I51" s="4">
        <f>(VLOOKUP('19.12'!Q51,'19.12'!$AO$4:$AR$55,4,FALSE))</f>
        <v>0</v>
      </c>
      <c r="J51" s="4">
        <f>(VLOOKUP('19.12'!R51,'19.12'!$AO$4:$AR$55,4,FALSE))</f>
        <v>0</v>
      </c>
      <c r="K51" s="4">
        <f>(VLOOKUP('19.12'!S51,'19.12'!$AO$4:$AR$55,4,FALSE))</f>
        <v>0</v>
      </c>
      <c r="L51" s="4">
        <f>(VLOOKUP('19.12'!T51,'19.12'!$AO$4:$AR$55,4,FALSE))</f>
        <v>0</v>
      </c>
      <c r="M51" s="4">
        <f>(VLOOKUP('19.12'!U51,'19.12'!$AO$4:$AR$55,4,FALSE))</f>
        <v>0</v>
      </c>
      <c r="N51" s="4">
        <f>(VLOOKUP('19.12'!V51,'19.12'!$AO$4:$AR$55,4,FALSE))</f>
        <v>0</v>
      </c>
      <c r="O51" s="4">
        <f>(VLOOKUP('19.12'!W51,'19.12'!$AO$4:$AR$55,4,FALSE))</f>
        <v>0</v>
      </c>
      <c r="P51" s="4">
        <f>(VLOOKUP('19.12'!X51,'19.12'!$AO$4:$AR$55,4,FALSE))</f>
        <v>0</v>
      </c>
      <c r="Q51" s="4">
        <f>(VLOOKUP('19.12'!Y51,'19.12'!$AO$4:$AR$55,4,FALSE))</f>
        <v>0</v>
      </c>
      <c r="R51" s="4">
        <f>(VLOOKUP('19.12'!Z51,'19.12'!$AO$4:$AR$55,4,FALSE))</f>
        <v>0</v>
      </c>
      <c r="S51" s="4">
        <f>(VLOOKUP('19.12'!AA51,'19.12'!$AO$4:$AR$55,4,FALSE))</f>
        <v>0</v>
      </c>
      <c r="T51" s="4">
        <f>(VLOOKUP('19.12'!AB51,'19.12'!$AO$4:$AR$55,4,FALSE))</f>
        <v>0</v>
      </c>
      <c r="U51" s="4">
        <f>(VLOOKUP('19.12'!AC51,'19.12'!$AO$4:$AR$55,4,FALSE))</f>
        <v>0</v>
      </c>
      <c r="V51" s="4">
        <f>(VLOOKUP('19.12'!AD51,'19.12'!$AO$4:$AR$55,4,FALSE))</f>
        <v>0</v>
      </c>
      <c r="W51" s="4">
        <f>(VLOOKUP('19.12'!AE51,'19.12'!$AO$4:$AR$55,4,FALSE))</f>
        <v>0</v>
      </c>
      <c r="X51" s="4">
        <f>(VLOOKUP('19.12'!AF51,'19.12'!$AO$4:$AR$55,4,FALSE))</f>
        <v>0</v>
      </c>
    </row>
    <row r="52" spans="1:24">
      <c r="A52" s="4">
        <f>(VLOOKUP('19.12'!I52,'19.12'!$AO$4:$AR$55,4,FALSE))</f>
        <v>0</v>
      </c>
      <c r="B52" s="4">
        <f>(VLOOKUP('19.12'!J52,'19.12'!$AO$4:$AR$55,4,FALSE))</f>
        <v>0</v>
      </c>
      <c r="C52" s="4">
        <f>(VLOOKUP('19.12'!K52,'19.12'!$AO$4:$AR$55,4,FALSE))</f>
        <v>0</v>
      </c>
      <c r="D52" s="4">
        <f>(VLOOKUP('19.12'!L52,'19.12'!$AO$4:$AR$55,4,FALSE))</f>
        <v>0</v>
      </c>
      <c r="E52" s="4">
        <f>(VLOOKUP('19.12'!M52,'19.12'!$AO$4:$AR$55,4,FALSE))</f>
        <v>0</v>
      </c>
      <c r="F52" s="4">
        <f>(VLOOKUP('19.12'!N52,'19.12'!$AO$4:$AR$55,4,FALSE))</f>
        <v>0</v>
      </c>
      <c r="G52" s="4">
        <f>(VLOOKUP('19.12'!O52,'19.12'!$AO$4:$AR$55,4,FALSE))</f>
        <v>0</v>
      </c>
      <c r="H52" s="4">
        <f>(VLOOKUP('19.12'!P52,'19.12'!$AO$4:$AR$55,4,FALSE))</f>
        <v>0</v>
      </c>
      <c r="I52" s="4">
        <f>(VLOOKUP('19.12'!Q52,'19.12'!$AO$4:$AR$55,4,FALSE))</f>
        <v>0</v>
      </c>
      <c r="J52" s="4">
        <f>(VLOOKUP('19.12'!R52,'19.12'!$AO$4:$AR$55,4,FALSE))</f>
        <v>0</v>
      </c>
      <c r="K52" s="4">
        <f>(VLOOKUP('19.12'!S52,'19.12'!$AO$4:$AR$55,4,FALSE))</f>
        <v>0</v>
      </c>
      <c r="L52" s="4">
        <f>(VLOOKUP('19.12'!T52,'19.12'!$AO$4:$AR$55,4,FALSE))</f>
        <v>0</v>
      </c>
      <c r="M52" s="4">
        <f>(VLOOKUP('19.12'!U52,'19.12'!$AO$4:$AR$55,4,FALSE))</f>
        <v>0</v>
      </c>
      <c r="N52" s="4">
        <f>(VLOOKUP('19.12'!V52,'19.12'!$AO$4:$AR$55,4,FALSE))</f>
        <v>0</v>
      </c>
      <c r="O52" s="4">
        <f>(VLOOKUP('19.12'!W52,'19.12'!$AO$4:$AR$55,4,FALSE))</f>
        <v>0</v>
      </c>
      <c r="P52" s="4">
        <f>(VLOOKUP('19.12'!X52,'19.12'!$AO$4:$AR$55,4,FALSE))</f>
        <v>0</v>
      </c>
      <c r="Q52" s="4">
        <f>(VLOOKUP('19.12'!Y52,'19.12'!$AO$4:$AR$55,4,FALSE))</f>
        <v>0</v>
      </c>
      <c r="R52" s="4">
        <f>(VLOOKUP('19.12'!Z52,'19.12'!$AO$4:$AR$55,4,FALSE))</f>
        <v>0</v>
      </c>
      <c r="S52" s="4">
        <f>(VLOOKUP('19.12'!AA52,'19.12'!$AO$4:$AR$55,4,FALSE))</f>
        <v>0</v>
      </c>
      <c r="T52" s="4">
        <f>(VLOOKUP('19.12'!AB52,'19.12'!$AO$4:$AR$55,4,FALSE))</f>
        <v>0</v>
      </c>
      <c r="U52" s="4">
        <f>(VLOOKUP('19.12'!AC52,'19.12'!$AO$4:$AR$55,4,FALSE))</f>
        <v>0</v>
      </c>
      <c r="V52" s="4">
        <f>(VLOOKUP('19.12'!AD52,'19.12'!$AO$4:$AR$55,4,FALSE))</f>
        <v>0</v>
      </c>
      <c r="W52" s="4">
        <f>(VLOOKUP('19.12'!AE52,'19.12'!$AO$4:$AR$55,4,FALSE))</f>
        <v>0</v>
      </c>
      <c r="X52" s="4">
        <f>(VLOOKUP('19.12'!AF52,'19.12'!$AO$4:$AR$55,4,FALSE))</f>
        <v>0</v>
      </c>
    </row>
    <row r="53" spans="1:24">
      <c r="A53" s="4">
        <f>(VLOOKUP('19.12'!I53,'19.12'!$AO$4:$AR$55,4,FALSE))</f>
        <v>0</v>
      </c>
      <c r="B53" s="4">
        <f>(VLOOKUP('19.12'!J53,'19.12'!$AO$4:$AR$55,4,FALSE))</f>
        <v>0</v>
      </c>
      <c r="C53" s="4">
        <f>(VLOOKUP('19.12'!K53,'19.12'!$AO$4:$AR$55,4,FALSE))</f>
        <v>0</v>
      </c>
      <c r="D53" s="4">
        <f>(VLOOKUP('19.12'!L53,'19.12'!$AO$4:$AR$55,4,FALSE))</f>
        <v>0</v>
      </c>
      <c r="E53" s="4">
        <f>(VLOOKUP('19.12'!M53,'19.12'!$AO$4:$AR$55,4,FALSE))</f>
        <v>0</v>
      </c>
      <c r="F53" s="4">
        <f>(VLOOKUP('19.12'!N53,'19.12'!$AO$4:$AR$55,4,FALSE))</f>
        <v>0</v>
      </c>
      <c r="G53" s="4">
        <f>(VLOOKUP('19.12'!O53,'19.12'!$AO$4:$AR$55,4,FALSE))</f>
        <v>0</v>
      </c>
      <c r="H53" s="4">
        <f>(VLOOKUP('19.12'!P53,'19.12'!$AO$4:$AR$55,4,FALSE))</f>
        <v>0</v>
      </c>
      <c r="I53" s="4">
        <f>(VLOOKUP('19.12'!Q53,'19.12'!$AO$4:$AR$55,4,FALSE))</f>
        <v>0</v>
      </c>
      <c r="J53" s="4">
        <f>(VLOOKUP('19.12'!R53,'19.12'!$AO$4:$AR$55,4,FALSE))</f>
        <v>0</v>
      </c>
      <c r="K53" s="4">
        <f>(VLOOKUP('19.12'!S53,'19.12'!$AO$4:$AR$55,4,FALSE))</f>
        <v>0</v>
      </c>
      <c r="L53" s="4">
        <f>(VLOOKUP('19.12'!T53,'19.12'!$AO$4:$AR$55,4,FALSE))</f>
        <v>0</v>
      </c>
      <c r="M53" s="4">
        <f>(VLOOKUP('19.12'!U53,'19.12'!$AO$4:$AR$55,4,FALSE))</f>
        <v>0</v>
      </c>
      <c r="N53" s="4">
        <f>(VLOOKUP('19.12'!V53,'19.12'!$AO$4:$AR$55,4,FALSE))</f>
        <v>0</v>
      </c>
      <c r="O53" s="4">
        <f>(VLOOKUP('19.12'!W53,'19.12'!$AO$4:$AR$55,4,FALSE))</f>
        <v>0</v>
      </c>
      <c r="P53" s="4">
        <f>(VLOOKUP('19.12'!X53,'19.12'!$AO$4:$AR$55,4,FALSE))</f>
        <v>0</v>
      </c>
      <c r="Q53" s="4">
        <f>(VLOOKUP('19.12'!Y53,'19.12'!$AO$4:$AR$55,4,FALSE))</f>
        <v>0</v>
      </c>
      <c r="R53" s="4">
        <f>(VLOOKUP('19.12'!Z53,'19.12'!$AO$4:$AR$55,4,FALSE))</f>
        <v>0</v>
      </c>
      <c r="S53" s="4">
        <f>(VLOOKUP('19.12'!AA53,'19.12'!$AO$4:$AR$55,4,FALSE))</f>
        <v>0</v>
      </c>
      <c r="T53" s="4">
        <f>(VLOOKUP('19.12'!AB53,'19.12'!$AO$4:$AR$55,4,FALSE))</f>
        <v>0</v>
      </c>
      <c r="U53" s="4">
        <f>(VLOOKUP('19.12'!AC53,'19.12'!$AO$4:$AR$55,4,FALSE))</f>
        <v>0</v>
      </c>
      <c r="V53" s="4">
        <f>(VLOOKUP('19.12'!AD53,'19.12'!$AO$4:$AR$55,4,FALSE))</f>
        <v>0</v>
      </c>
      <c r="W53" s="4">
        <f>(VLOOKUP('19.12'!AE53,'19.12'!$AO$4:$AR$55,4,FALSE))</f>
        <v>0</v>
      </c>
      <c r="X53" s="4">
        <f>(VLOOKUP('19.12'!AF53,'19.12'!$AO$4:$AR$55,4,FALSE))</f>
        <v>0</v>
      </c>
    </row>
    <row r="54" spans="1:24">
      <c r="A54" s="4">
        <f>(VLOOKUP('19.12'!I54,'19.12'!$AO$4:$AR$55,4,FALSE))</f>
        <v>0</v>
      </c>
      <c r="B54" s="4">
        <f>(VLOOKUP('19.12'!J54,'19.12'!$AO$4:$AR$55,4,FALSE))</f>
        <v>0</v>
      </c>
      <c r="C54" s="4">
        <f>(VLOOKUP('19.12'!K54,'19.12'!$AO$4:$AR$55,4,FALSE))</f>
        <v>0</v>
      </c>
      <c r="D54" s="4">
        <f>(VLOOKUP('19.12'!L54,'19.12'!$AO$4:$AR$55,4,FALSE))</f>
        <v>0</v>
      </c>
      <c r="E54" s="4">
        <f>(VLOOKUP('19.12'!M54,'19.12'!$AO$4:$AR$55,4,FALSE))</f>
        <v>0</v>
      </c>
      <c r="F54" s="4">
        <f>(VLOOKUP('19.12'!N54,'19.12'!$AO$4:$AR$55,4,FALSE))</f>
        <v>0</v>
      </c>
      <c r="G54" s="4">
        <f>(VLOOKUP('19.12'!O54,'19.12'!$AO$4:$AR$55,4,FALSE))</f>
        <v>0</v>
      </c>
      <c r="H54" s="4">
        <f>(VLOOKUP('19.12'!P54,'19.12'!$AO$4:$AR$55,4,FALSE))</f>
        <v>0</v>
      </c>
      <c r="I54" s="4">
        <f>(VLOOKUP('19.12'!Q54,'19.12'!$AO$4:$AR$55,4,FALSE))</f>
        <v>0</v>
      </c>
      <c r="J54" s="4">
        <f>(VLOOKUP('19.12'!R54,'19.12'!$AO$4:$AR$55,4,FALSE))</f>
        <v>0</v>
      </c>
      <c r="K54" s="4">
        <f>(VLOOKUP('19.12'!S54,'19.12'!$AO$4:$AR$55,4,FALSE))</f>
        <v>0</v>
      </c>
      <c r="L54" s="4">
        <f>(VLOOKUP('19.12'!T54,'19.12'!$AO$4:$AR$55,4,FALSE))</f>
        <v>0</v>
      </c>
      <c r="M54" s="4">
        <f>(VLOOKUP('19.12'!U54,'19.12'!$AO$4:$AR$55,4,FALSE))</f>
        <v>0</v>
      </c>
      <c r="N54" s="4">
        <f>(VLOOKUP('19.12'!V54,'19.12'!$AO$4:$AR$55,4,FALSE))</f>
        <v>0</v>
      </c>
      <c r="O54" s="4">
        <f>(VLOOKUP('19.12'!W54,'19.12'!$AO$4:$AR$55,4,FALSE))</f>
        <v>0</v>
      </c>
      <c r="P54" s="4">
        <f>(VLOOKUP('19.12'!X54,'19.12'!$AO$4:$AR$55,4,FALSE))</f>
        <v>0</v>
      </c>
      <c r="Q54" s="4">
        <f>(VLOOKUP('19.12'!Y54,'19.12'!$AO$4:$AR$55,4,FALSE))</f>
        <v>0</v>
      </c>
      <c r="R54" s="4">
        <f>(VLOOKUP('19.12'!Z54,'19.12'!$AO$4:$AR$55,4,FALSE))</f>
        <v>0</v>
      </c>
      <c r="S54" s="4">
        <f>(VLOOKUP('19.12'!AA54,'19.12'!$AO$4:$AR$55,4,FALSE))</f>
        <v>0</v>
      </c>
      <c r="T54" s="4">
        <f>(VLOOKUP('19.12'!AB54,'19.12'!$AO$4:$AR$55,4,FALSE))</f>
        <v>0</v>
      </c>
      <c r="U54" s="4">
        <f>(VLOOKUP('19.12'!AC54,'19.12'!$AO$4:$AR$55,4,FALSE))</f>
        <v>0</v>
      </c>
      <c r="V54" s="4">
        <f>(VLOOKUP('19.12'!AD54,'19.12'!$AO$4:$AR$55,4,FALSE))</f>
        <v>0</v>
      </c>
      <c r="W54" s="4">
        <f>(VLOOKUP('19.12'!AE54,'19.12'!$AO$4:$AR$55,4,FALSE))</f>
        <v>0</v>
      </c>
      <c r="X54" s="4">
        <f>(VLOOKUP('19.12'!AF54,'19.12'!$AO$4:$AR$55,4,FALSE))</f>
        <v>0</v>
      </c>
    </row>
    <row r="55" spans="1:24">
      <c r="A55" s="4">
        <f>(VLOOKUP('19.12'!I55,'19.12'!$AO$4:$AR$55,4,FALSE))</f>
        <v>0</v>
      </c>
      <c r="B55" s="4">
        <f>(VLOOKUP('19.12'!J55,'19.12'!$AO$4:$AR$55,4,FALSE))</f>
        <v>0</v>
      </c>
      <c r="C55" s="4">
        <f>(VLOOKUP('19.12'!K55,'19.12'!$AO$4:$AR$55,4,FALSE))</f>
        <v>0</v>
      </c>
      <c r="D55" s="4">
        <f>(VLOOKUP('19.12'!L55,'19.12'!$AO$4:$AR$55,4,FALSE))</f>
        <v>0</v>
      </c>
      <c r="E55" s="4">
        <f>(VLOOKUP('19.12'!M55,'19.12'!$AO$4:$AR$55,4,FALSE))</f>
        <v>0</v>
      </c>
      <c r="F55" s="4">
        <f>(VLOOKUP('19.12'!N55,'19.12'!$AO$4:$AR$55,4,FALSE))</f>
        <v>0</v>
      </c>
      <c r="G55" s="4">
        <f>(VLOOKUP('19.12'!O55,'19.12'!$AO$4:$AR$55,4,FALSE))</f>
        <v>0</v>
      </c>
      <c r="H55" s="4">
        <f>(VLOOKUP('19.12'!P55,'19.12'!$AO$4:$AR$55,4,FALSE))</f>
        <v>0</v>
      </c>
      <c r="I55" s="4">
        <f>(VLOOKUP('19.12'!Q55,'19.12'!$AO$4:$AR$55,4,FALSE))</f>
        <v>0</v>
      </c>
      <c r="J55" s="4">
        <f>(VLOOKUP('19.12'!R55,'19.12'!$AO$4:$AR$55,4,FALSE))</f>
        <v>0</v>
      </c>
      <c r="K55" s="4">
        <f>(VLOOKUP('19.12'!S55,'19.12'!$AO$4:$AR$55,4,FALSE))</f>
        <v>0</v>
      </c>
      <c r="L55" s="4">
        <f>(VLOOKUP('19.12'!T55,'19.12'!$AO$4:$AR$55,4,FALSE))</f>
        <v>0</v>
      </c>
      <c r="M55" s="4">
        <f>(VLOOKUP('19.12'!U55,'19.12'!$AO$4:$AR$55,4,FALSE))</f>
        <v>0</v>
      </c>
      <c r="N55" s="4">
        <f>(VLOOKUP('19.12'!V55,'19.12'!$AO$4:$AR$55,4,FALSE))</f>
        <v>0</v>
      </c>
      <c r="O55" s="4">
        <f>(VLOOKUP('19.12'!W55,'19.12'!$AO$4:$AR$55,4,FALSE))</f>
        <v>0</v>
      </c>
      <c r="P55" s="4">
        <f>(VLOOKUP('19.12'!X55,'19.12'!$AO$4:$AR$55,4,FALSE))</f>
        <v>0</v>
      </c>
      <c r="Q55" s="4">
        <f>(VLOOKUP('19.12'!Y55,'19.12'!$AO$4:$AR$55,4,FALSE))</f>
        <v>0</v>
      </c>
      <c r="R55" s="4">
        <f>(VLOOKUP('19.12'!Z55,'19.12'!$AO$4:$AR$55,4,FALSE))</f>
        <v>0</v>
      </c>
      <c r="S55" s="4">
        <f>(VLOOKUP('19.12'!AA55,'19.12'!$AO$4:$AR$55,4,FALSE))</f>
        <v>0</v>
      </c>
      <c r="T55" s="4">
        <f>(VLOOKUP('19.12'!AB55,'19.12'!$AO$4:$AR$55,4,FALSE))</f>
        <v>0</v>
      </c>
      <c r="U55" s="4">
        <f>(VLOOKUP('19.12'!AC55,'19.12'!$AO$4:$AR$55,4,FALSE))</f>
        <v>0</v>
      </c>
      <c r="V55" s="4">
        <f>(VLOOKUP('19.12'!AD55,'19.12'!$AO$4:$AR$55,4,FALSE))</f>
        <v>0</v>
      </c>
      <c r="W55" s="4">
        <f>(VLOOKUP('19.12'!AE55,'19.12'!$AO$4:$AR$55,4,FALSE))</f>
        <v>0</v>
      </c>
      <c r="X55" s="4">
        <f>(VLOOKUP('19.12'!AF55,'19.12'!$AO$4:$AR$55,4,FALSE))</f>
        <v>0</v>
      </c>
    </row>
    <row r="56" spans="1:24">
      <c r="A56" s="4">
        <f>(VLOOKUP('19.12'!I56,'19.12'!$AO$4:$AR$55,4,FALSE))</f>
        <v>0</v>
      </c>
      <c r="B56" s="4">
        <f>(VLOOKUP('19.12'!J56,'19.12'!$AO$4:$AR$55,4,FALSE))</f>
        <v>0</v>
      </c>
      <c r="C56" s="4">
        <f>(VLOOKUP('19.12'!K56,'19.12'!$AO$4:$AR$55,4,FALSE))</f>
        <v>0</v>
      </c>
      <c r="D56" s="4">
        <f>(VLOOKUP('19.12'!L56,'19.12'!$AO$4:$AR$55,4,FALSE))</f>
        <v>0</v>
      </c>
      <c r="E56" s="4">
        <f>(VLOOKUP('19.12'!M56,'19.12'!$AO$4:$AR$55,4,FALSE))</f>
        <v>0</v>
      </c>
      <c r="F56" s="4">
        <f>(VLOOKUP('19.12'!N56,'19.12'!$AO$4:$AR$55,4,FALSE))</f>
        <v>0</v>
      </c>
      <c r="G56" s="4">
        <f>(VLOOKUP('19.12'!O56,'19.12'!$AO$4:$AR$55,4,FALSE))</f>
        <v>0</v>
      </c>
      <c r="H56" s="4">
        <f>(VLOOKUP('19.12'!P56,'19.12'!$AO$4:$AR$55,4,FALSE))</f>
        <v>0</v>
      </c>
      <c r="I56" s="4">
        <f>(VLOOKUP('19.12'!Q56,'19.12'!$AO$4:$AR$55,4,FALSE))</f>
        <v>0</v>
      </c>
      <c r="J56" s="4">
        <f>(VLOOKUP('19.12'!R56,'19.12'!$AO$4:$AR$55,4,FALSE))</f>
        <v>0</v>
      </c>
      <c r="K56" s="4">
        <f>(VLOOKUP('19.12'!S56,'19.12'!$AO$4:$AR$55,4,FALSE))</f>
        <v>0</v>
      </c>
      <c r="L56" s="4">
        <f>(VLOOKUP('19.12'!T56,'19.12'!$AO$4:$AR$55,4,FALSE))</f>
        <v>0</v>
      </c>
      <c r="M56" s="4">
        <f>(VLOOKUP('19.12'!U56,'19.12'!$AO$4:$AR$55,4,FALSE))</f>
        <v>0</v>
      </c>
      <c r="N56" s="4">
        <f>(VLOOKUP('19.12'!V56,'19.12'!$AO$4:$AR$55,4,FALSE))</f>
        <v>0</v>
      </c>
      <c r="O56" s="4">
        <f>(VLOOKUP('19.12'!W56,'19.12'!$AO$4:$AR$55,4,FALSE))</f>
        <v>0</v>
      </c>
      <c r="P56" s="4">
        <f>(VLOOKUP('19.12'!X56,'19.12'!$AO$4:$AR$55,4,FALSE))</f>
        <v>0</v>
      </c>
      <c r="Q56" s="4">
        <f>(VLOOKUP('19.12'!Y56,'19.12'!$AO$4:$AR$55,4,FALSE))</f>
        <v>0</v>
      </c>
      <c r="R56" s="4">
        <f>(VLOOKUP('19.12'!Z56,'19.12'!$AO$4:$AR$55,4,FALSE))</f>
        <v>0</v>
      </c>
      <c r="S56" s="4">
        <f>(VLOOKUP('19.12'!AA56,'19.12'!$AO$4:$AR$55,4,FALSE))</f>
        <v>0</v>
      </c>
      <c r="T56" s="4">
        <f>(VLOOKUP('19.12'!AB56,'19.12'!$AO$4:$AR$55,4,FALSE))</f>
        <v>0</v>
      </c>
      <c r="U56" s="4">
        <f>(VLOOKUP('19.12'!AC56,'19.12'!$AO$4:$AR$55,4,FALSE))</f>
        <v>0</v>
      </c>
      <c r="V56" s="4">
        <f>(VLOOKUP('19.12'!AD56,'19.12'!$AO$4:$AR$55,4,FALSE))</f>
        <v>0</v>
      </c>
      <c r="W56" s="4">
        <f>(VLOOKUP('19.12'!AE56,'19.12'!$AO$4:$AR$55,4,FALSE))</f>
        <v>0</v>
      </c>
      <c r="X56" s="4">
        <f>(VLOOKUP('19.12'!AF56,'19.12'!$AO$4:$AR$55,4,FALSE))</f>
        <v>0</v>
      </c>
    </row>
    <row r="57" spans="1:24">
      <c r="A57" s="4">
        <f>(VLOOKUP('19.12'!I57,'19.12'!$AO$4:$AR$55,4,FALSE))</f>
        <v>0</v>
      </c>
      <c r="B57" s="4">
        <f>(VLOOKUP('19.12'!J57,'19.12'!$AO$4:$AR$55,4,FALSE))</f>
        <v>0</v>
      </c>
      <c r="C57" s="4">
        <f>(VLOOKUP('19.12'!K57,'19.12'!$AO$4:$AR$55,4,FALSE))</f>
        <v>0</v>
      </c>
      <c r="D57" s="4">
        <f>(VLOOKUP('19.12'!L57,'19.12'!$AO$4:$AR$55,4,FALSE))</f>
        <v>0</v>
      </c>
      <c r="E57" s="4">
        <f>(VLOOKUP('19.12'!M57,'19.12'!$AO$4:$AR$55,4,FALSE))</f>
        <v>0</v>
      </c>
      <c r="F57" s="4">
        <f>(VLOOKUP('19.12'!N57,'19.12'!$AO$4:$AR$55,4,FALSE))</f>
        <v>0</v>
      </c>
      <c r="G57" s="4">
        <f>(VLOOKUP('19.12'!O57,'19.12'!$AO$4:$AR$55,4,FALSE))</f>
        <v>0</v>
      </c>
      <c r="H57" s="4">
        <f>(VLOOKUP('19.12'!P57,'19.12'!$AO$4:$AR$55,4,FALSE))</f>
        <v>0</v>
      </c>
      <c r="I57" s="4">
        <f>(VLOOKUP('19.12'!Q57,'19.12'!$AO$4:$AR$55,4,FALSE))</f>
        <v>0</v>
      </c>
      <c r="J57" s="4">
        <f>(VLOOKUP('19.12'!R57,'19.12'!$AO$4:$AR$55,4,FALSE))</f>
        <v>0</v>
      </c>
      <c r="K57" s="4">
        <f>(VLOOKUP('19.12'!S57,'19.12'!$AO$4:$AR$55,4,FALSE))</f>
        <v>0</v>
      </c>
      <c r="L57" s="4">
        <f>(VLOOKUP('19.12'!T57,'19.12'!$AO$4:$AR$55,4,FALSE))</f>
        <v>0</v>
      </c>
      <c r="M57" s="4">
        <f>(VLOOKUP('19.12'!U57,'19.12'!$AO$4:$AR$55,4,FALSE))</f>
        <v>0</v>
      </c>
      <c r="N57" s="4">
        <f>(VLOOKUP('19.12'!V57,'19.12'!$AO$4:$AR$55,4,FALSE))</f>
        <v>0</v>
      </c>
      <c r="O57" s="4">
        <f>(VLOOKUP('19.12'!W57,'19.12'!$AO$4:$AR$55,4,FALSE))</f>
        <v>0</v>
      </c>
      <c r="P57" s="4">
        <f>(VLOOKUP('19.12'!X57,'19.12'!$AO$4:$AR$55,4,FALSE))</f>
        <v>0</v>
      </c>
      <c r="Q57" s="4">
        <f>(VLOOKUP('19.12'!Y57,'19.12'!$AO$4:$AR$55,4,FALSE))</f>
        <v>0</v>
      </c>
      <c r="R57" s="4">
        <f>(VLOOKUP('19.12'!Z57,'19.12'!$AO$4:$AR$55,4,FALSE))</f>
        <v>0</v>
      </c>
      <c r="S57" s="4">
        <f>(VLOOKUP('19.12'!AA57,'19.12'!$AO$4:$AR$55,4,FALSE))</f>
        <v>0</v>
      </c>
      <c r="T57" s="4">
        <f>(VLOOKUP('19.12'!AB57,'19.12'!$AO$4:$AR$55,4,FALSE))</f>
        <v>0</v>
      </c>
      <c r="U57" s="4">
        <f>(VLOOKUP('19.12'!AC57,'19.12'!$AO$4:$AR$55,4,FALSE))</f>
        <v>0</v>
      </c>
      <c r="V57" s="4">
        <f>(VLOOKUP('19.12'!AD57,'19.12'!$AO$4:$AR$55,4,FALSE))</f>
        <v>0</v>
      </c>
      <c r="W57" s="4">
        <f>(VLOOKUP('19.12'!AE57,'19.12'!$AO$4:$AR$55,4,FALSE))</f>
        <v>0</v>
      </c>
      <c r="X57" s="4">
        <f>(VLOOKUP('19.12'!AF57,'19.12'!$AO$4:$AR$55,4,FALSE))</f>
        <v>0</v>
      </c>
    </row>
    <row r="58" spans="1:24">
      <c r="A58" s="4">
        <f>(VLOOKUP('19.12'!I58,'19.12'!$AO$4:$AR$55,4,FALSE))</f>
        <v>0</v>
      </c>
      <c r="B58" s="4">
        <f>(VLOOKUP('19.12'!J58,'19.12'!$AO$4:$AR$55,4,FALSE))</f>
        <v>0</v>
      </c>
      <c r="C58" s="4">
        <f>(VLOOKUP('19.12'!K58,'19.12'!$AO$4:$AR$55,4,FALSE))</f>
        <v>0</v>
      </c>
      <c r="D58" s="4">
        <f>(VLOOKUP('19.12'!L58,'19.12'!$AO$4:$AR$55,4,FALSE))</f>
        <v>0</v>
      </c>
      <c r="E58" s="4">
        <f>(VLOOKUP('19.12'!M58,'19.12'!$AO$4:$AR$55,4,FALSE))</f>
        <v>0</v>
      </c>
      <c r="F58" s="4">
        <f>(VLOOKUP('19.12'!N58,'19.12'!$AO$4:$AR$55,4,FALSE))</f>
        <v>0</v>
      </c>
      <c r="G58" s="4">
        <f>(VLOOKUP('19.12'!O58,'19.12'!$AO$4:$AR$55,4,FALSE))</f>
        <v>0</v>
      </c>
      <c r="H58" s="4">
        <f>(VLOOKUP('19.12'!P58,'19.12'!$AO$4:$AR$55,4,FALSE))</f>
        <v>0</v>
      </c>
      <c r="I58" s="4">
        <f>(VLOOKUP('19.12'!Q58,'19.12'!$AO$4:$AR$55,4,FALSE))</f>
        <v>0</v>
      </c>
      <c r="J58" s="4">
        <f>(VLOOKUP('19.12'!R58,'19.12'!$AO$4:$AR$55,4,FALSE))</f>
        <v>0</v>
      </c>
      <c r="K58" s="4">
        <f>(VLOOKUP('19.12'!S58,'19.12'!$AO$4:$AR$55,4,FALSE))</f>
        <v>0</v>
      </c>
      <c r="L58" s="4">
        <f>(VLOOKUP('19.12'!T58,'19.12'!$AO$4:$AR$55,4,FALSE))</f>
        <v>0</v>
      </c>
      <c r="M58" s="4">
        <f>(VLOOKUP('19.12'!U58,'19.12'!$AO$4:$AR$55,4,FALSE))</f>
        <v>0</v>
      </c>
      <c r="N58" s="4">
        <f>(VLOOKUP('19.12'!V58,'19.12'!$AO$4:$AR$55,4,FALSE))</f>
        <v>0</v>
      </c>
      <c r="O58" s="4">
        <f>(VLOOKUP('19.12'!W58,'19.12'!$AO$4:$AR$55,4,FALSE))</f>
        <v>0</v>
      </c>
      <c r="P58" s="4">
        <f>(VLOOKUP('19.12'!X58,'19.12'!$AO$4:$AR$55,4,FALSE))</f>
        <v>0</v>
      </c>
      <c r="Q58" s="4">
        <f>(VLOOKUP('19.12'!Y58,'19.12'!$AO$4:$AR$55,4,FALSE))</f>
        <v>0</v>
      </c>
      <c r="R58" s="4">
        <f>(VLOOKUP('19.12'!Z58,'19.12'!$AO$4:$AR$55,4,FALSE))</f>
        <v>0</v>
      </c>
      <c r="S58" s="4">
        <f>(VLOOKUP('19.12'!AA58,'19.12'!$AO$4:$AR$55,4,FALSE))</f>
        <v>0</v>
      </c>
      <c r="T58" s="4">
        <f>(VLOOKUP('19.12'!AB58,'19.12'!$AO$4:$AR$55,4,FALSE))</f>
        <v>0</v>
      </c>
      <c r="U58" s="4">
        <f>(VLOOKUP('19.12'!AC58,'19.12'!$AO$4:$AR$55,4,FALSE))</f>
        <v>0</v>
      </c>
      <c r="V58" s="4">
        <f>(VLOOKUP('19.12'!AD58,'19.12'!$AO$4:$AR$55,4,FALSE))</f>
        <v>0</v>
      </c>
      <c r="W58" s="4">
        <f>(VLOOKUP('19.12'!AE58,'19.12'!$AO$4:$AR$55,4,FALSE))</f>
        <v>0</v>
      </c>
      <c r="X58" s="4">
        <f>(VLOOKUP('19.12'!AF58,'19.12'!$AO$4:$AR$55,4,FALSE))</f>
        <v>0</v>
      </c>
    </row>
    <row r="59" spans="1:24">
      <c r="A59" s="4">
        <f>(VLOOKUP('19.12'!I59,'19.12'!$AO$4:$AR$55,4,FALSE))</f>
        <v>0</v>
      </c>
      <c r="B59" s="4">
        <f>(VLOOKUP('19.12'!J59,'19.12'!$AO$4:$AR$55,4,FALSE))</f>
        <v>0</v>
      </c>
      <c r="C59" s="4">
        <f>(VLOOKUP('19.12'!K59,'19.12'!$AO$4:$AR$55,4,FALSE))</f>
        <v>0</v>
      </c>
      <c r="D59" s="4">
        <f>(VLOOKUP('19.12'!L59,'19.12'!$AO$4:$AR$55,4,FALSE))</f>
        <v>0</v>
      </c>
      <c r="E59" s="4">
        <f>(VLOOKUP('19.12'!M59,'19.12'!$AO$4:$AR$55,4,FALSE))</f>
        <v>0</v>
      </c>
      <c r="F59" s="4">
        <f>(VLOOKUP('19.12'!N59,'19.12'!$AO$4:$AR$55,4,FALSE))</f>
        <v>0</v>
      </c>
      <c r="G59" s="4">
        <f>(VLOOKUP('19.12'!O59,'19.12'!$AO$4:$AR$55,4,FALSE))</f>
        <v>0</v>
      </c>
      <c r="H59" s="4">
        <f>(VLOOKUP('19.12'!P59,'19.12'!$AO$4:$AR$55,4,FALSE))</f>
        <v>0</v>
      </c>
      <c r="I59" s="4">
        <f>(VLOOKUP('19.12'!Q59,'19.12'!$AO$4:$AR$55,4,FALSE))</f>
        <v>0</v>
      </c>
      <c r="J59" s="4">
        <f>(VLOOKUP('19.12'!R59,'19.12'!$AO$4:$AR$55,4,FALSE))</f>
        <v>0</v>
      </c>
      <c r="K59" s="4">
        <f>(VLOOKUP('19.12'!S59,'19.12'!$AO$4:$AR$55,4,FALSE))</f>
        <v>0</v>
      </c>
      <c r="L59" s="4">
        <f>(VLOOKUP('19.12'!T59,'19.12'!$AO$4:$AR$55,4,FALSE))</f>
        <v>0</v>
      </c>
      <c r="M59" s="4">
        <f>(VLOOKUP('19.12'!U59,'19.12'!$AO$4:$AR$55,4,FALSE))</f>
        <v>0</v>
      </c>
      <c r="N59" s="4">
        <f>(VLOOKUP('19.12'!V59,'19.12'!$AO$4:$AR$55,4,FALSE))</f>
        <v>0</v>
      </c>
      <c r="O59" s="4">
        <f>(VLOOKUP('19.12'!W59,'19.12'!$AO$4:$AR$55,4,FALSE))</f>
        <v>0</v>
      </c>
      <c r="P59" s="4">
        <f>(VLOOKUP('19.12'!X59,'19.12'!$AO$4:$AR$55,4,FALSE))</f>
        <v>0</v>
      </c>
      <c r="Q59" s="4">
        <f>(VLOOKUP('19.12'!Y59,'19.12'!$AO$4:$AR$55,4,FALSE))</f>
        <v>0</v>
      </c>
      <c r="R59" s="4">
        <f>(VLOOKUP('19.12'!Z59,'19.12'!$AO$4:$AR$55,4,FALSE))</f>
        <v>0</v>
      </c>
      <c r="S59" s="4">
        <f>(VLOOKUP('19.12'!AA59,'19.12'!$AO$4:$AR$55,4,FALSE))</f>
        <v>0</v>
      </c>
      <c r="T59" s="4">
        <f>(VLOOKUP('19.12'!AB59,'19.12'!$AO$4:$AR$55,4,FALSE))</f>
        <v>0</v>
      </c>
      <c r="U59" s="4">
        <f>(VLOOKUP('19.12'!AC59,'19.12'!$AO$4:$AR$55,4,FALSE))</f>
        <v>0</v>
      </c>
      <c r="V59" s="4">
        <f>(VLOOKUP('19.12'!AD59,'19.12'!$AO$4:$AR$55,4,FALSE))</f>
        <v>0</v>
      </c>
      <c r="W59" s="4">
        <f>(VLOOKUP('19.12'!AE59,'19.12'!$AO$4:$AR$55,4,FALSE))</f>
        <v>0</v>
      </c>
      <c r="X59" s="4">
        <f>(VLOOKUP('19.12'!AF59,'19.12'!$AO$4:$AR$55,4,FALSE))</f>
        <v>0</v>
      </c>
    </row>
    <row r="60" spans="1:24">
      <c r="A60" s="4">
        <f>(VLOOKUP('19.12'!I60,'19.12'!$AO$4:$AR$55,4,FALSE))</f>
        <v>0</v>
      </c>
      <c r="B60" s="4">
        <f>(VLOOKUP('19.12'!J60,'19.12'!$AO$4:$AR$55,4,FALSE))</f>
        <v>0</v>
      </c>
      <c r="C60" s="4">
        <f>(VLOOKUP('19.12'!K60,'19.12'!$AO$4:$AR$55,4,FALSE))</f>
        <v>0</v>
      </c>
      <c r="D60" s="4">
        <f>(VLOOKUP('19.12'!L60,'19.12'!$AO$4:$AR$55,4,FALSE))</f>
        <v>0</v>
      </c>
      <c r="E60" s="4">
        <f>(VLOOKUP('19.12'!M60,'19.12'!$AO$4:$AR$55,4,FALSE))</f>
        <v>0</v>
      </c>
      <c r="F60" s="4">
        <f>(VLOOKUP('19.12'!N60,'19.12'!$AO$4:$AR$55,4,FALSE))</f>
        <v>0</v>
      </c>
      <c r="G60" s="4">
        <f>(VLOOKUP('19.12'!O60,'19.12'!$AO$4:$AR$55,4,FALSE))</f>
        <v>0</v>
      </c>
      <c r="H60" s="4">
        <f>(VLOOKUP('19.12'!P60,'19.12'!$AO$4:$AR$55,4,FALSE))</f>
        <v>0</v>
      </c>
      <c r="I60" s="4">
        <f>(VLOOKUP('19.12'!Q60,'19.12'!$AO$4:$AR$55,4,FALSE))</f>
        <v>0</v>
      </c>
      <c r="J60" s="4">
        <f>(VLOOKUP('19.12'!R60,'19.12'!$AO$4:$AR$55,4,FALSE))</f>
        <v>0</v>
      </c>
      <c r="K60" s="4">
        <f>(VLOOKUP('19.12'!S60,'19.12'!$AO$4:$AR$55,4,FALSE))</f>
        <v>0</v>
      </c>
      <c r="L60" s="4">
        <f>(VLOOKUP('19.12'!T60,'19.12'!$AO$4:$AR$55,4,FALSE))</f>
        <v>0</v>
      </c>
      <c r="M60" s="4">
        <f>(VLOOKUP('19.12'!U60,'19.12'!$AO$4:$AR$55,4,FALSE))</f>
        <v>0</v>
      </c>
      <c r="N60" s="4">
        <f>(VLOOKUP('19.12'!V60,'19.12'!$AO$4:$AR$55,4,FALSE))</f>
        <v>0</v>
      </c>
      <c r="O60" s="4">
        <f>(VLOOKUP('19.12'!W60,'19.12'!$AO$4:$AR$55,4,FALSE))</f>
        <v>0</v>
      </c>
      <c r="P60" s="4">
        <f>(VLOOKUP('19.12'!X60,'19.12'!$AO$4:$AR$55,4,FALSE))</f>
        <v>0</v>
      </c>
      <c r="Q60" s="4">
        <f>(VLOOKUP('19.12'!Y60,'19.12'!$AO$4:$AR$55,4,FALSE))</f>
        <v>0</v>
      </c>
      <c r="R60" s="4">
        <f>(VLOOKUP('19.12'!Z60,'19.12'!$AO$4:$AR$55,4,FALSE))</f>
        <v>0</v>
      </c>
      <c r="S60" s="4">
        <f>(VLOOKUP('19.12'!AA60,'19.12'!$AO$4:$AR$55,4,FALSE))</f>
        <v>0</v>
      </c>
      <c r="T60" s="4">
        <f>(VLOOKUP('19.12'!AB60,'19.12'!$AO$4:$AR$55,4,FALSE))</f>
        <v>0</v>
      </c>
      <c r="U60" s="4">
        <f>(VLOOKUP('19.12'!AC60,'19.12'!$AO$4:$AR$55,4,FALSE))</f>
        <v>0</v>
      </c>
      <c r="V60" s="4">
        <f>(VLOOKUP('19.12'!AD60,'19.12'!$AO$4:$AR$55,4,FALSE))</f>
        <v>0</v>
      </c>
      <c r="W60" s="4">
        <f>(VLOOKUP('19.12'!AE60,'19.12'!$AO$4:$AR$55,4,FALSE))</f>
        <v>0</v>
      </c>
      <c r="X60" s="4">
        <f>(VLOOKUP('19.12'!AF60,'19.12'!$AO$4:$AR$55,4,FALSE))</f>
        <v>0</v>
      </c>
    </row>
    <row r="61" spans="1:24">
      <c r="A61" s="4">
        <f>(VLOOKUP('19.12'!I61,'19.12'!$AO$4:$AR$55,4,FALSE))</f>
        <v>0</v>
      </c>
      <c r="B61" s="4">
        <f>(VLOOKUP('19.12'!J61,'19.12'!$AO$4:$AR$55,4,FALSE))</f>
        <v>0</v>
      </c>
      <c r="C61" s="4">
        <f>(VLOOKUP('19.12'!K61,'19.12'!$AO$4:$AR$55,4,FALSE))</f>
        <v>0</v>
      </c>
      <c r="D61" s="4">
        <f>(VLOOKUP('19.12'!L61,'19.12'!$AO$4:$AR$55,4,FALSE))</f>
        <v>0</v>
      </c>
      <c r="E61" s="4">
        <f>(VLOOKUP('19.12'!M61,'19.12'!$AO$4:$AR$55,4,FALSE))</f>
        <v>0</v>
      </c>
      <c r="F61" s="4">
        <f>(VLOOKUP('19.12'!N61,'19.12'!$AO$4:$AR$55,4,FALSE))</f>
        <v>0</v>
      </c>
      <c r="G61" s="4">
        <f>(VLOOKUP('19.12'!O61,'19.12'!$AO$4:$AR$55,4,FALSE))</f>
        <v>0</v>
      </c>
      <c r="H61" s="4">
        <f>(VLOOKUP('19.12'!P61,'19.12'!$AO$4:$AR$55,4,FALSE))</f>
        <v>0</v>
      </c>
      <c r="I61" s="4">
        <f>(VLOOKUP('19.12'!Q61,'19.12'!$AO$4:$AR$55,4,FALSE))</f>
        <v>0</v>
      </c>
      <c r="J61" s="4">
        <f>(VLOOKUP('19.12'!R61,'19.12'!$AO$4:$AR$55,4,FALSE))</f>
        <v>0</v>
      </c>
      <c r="K61" s="4">
        <f>(VLOOKUP('19.12'!S61,'19.12'!$AO$4:$AR$55,4,FALSE))</f>
        <v>0</v>
      </c>
      <c r="L61" s="4">
        <f>(VLOOKUP('19.12'!T61,'19.12'!$AO$4:$AR$55,4,FALSE))</f>
        <v>0</v>
      </c>
      <c r="M61" s="4">
        <f>(VLOOKUP('19.12'!U61,'19.12'!$AO$4:$AR$55,4,FALSE))</f>
        <v>0</v>
      </c>
      <c r="N61" s="4">
        <f>(VLOOKUP('19.12'!V61,'19.12'!$AO$4:$AR$55,4,FALSE))</f>
        <v>0</v>
      </c>
      <c r="O61" s="4">
        <f>(VLOOKUP('19.12'!W61,'19.12'!$AO$4:$AR$55,4,FALSE))</f>
        <v>0</v>
      </c>
      <c r="P61" s="4">
        <f>(VLOOKUP('19.12'!X61,'19.12'!$AO$4:$AR$55,4,FALSE))</f>
        <v>0</v>
      </c>
      <c r="Q61" s="4">
        <f>(VLOOKUP('19.12'!Y61,'19.12'!$AO$4:$AR$55,4,FALSE))</f>
        <v>0</v>
      </c>
      <c r="R61" s="4">
        <f>(VLOOKUP('19.12'!Z61,'19.12'!$AO$4:$AR$55,4,FALSE))</f>
        <v>0</v>
      </c>
      <c r="S61" s="4">
        <f>(VLOOKUP('19.12'!AA61,'19.12'!$AO$4:$AR$55,4,FALSE))</f>
        <v>0</v>
      </c>
      <c r="T61" s="4">
        <f>(VLOOKUP('19.12'!AB61,'19.12'!$AO$4:$AR$55,4,FALSE))</f>
        <v>0</v>
      </c>
      <c r="U61" s="4">
        <f>(VLOOKUP('19.12'!AC61,'19.12'!$AO$4:$AR$55,4,FALSE))</f>
        <v>0</v>
      </c>
      <c r="V61" s="4">
        <f>(VLOOKUP('19.12'!AD61,'19.12'!$AO$4:$AR$55,4,FALSE))</f>
        <v>0</v>
      </c>
      <c r="W61" s="4">
        <f>(VLOOKUP('19.12'!AE61,'19.12'!$AO$4:$AR$55,4,FALSE))</f>
        <v>0</v>
      </c>
      <c r="X61" s="4">
        <f>(VLOOKUP('19.12'!AF61,'19.12'!$AO$4:$AR$55,4,FALSE))</f>
        <v>0</v>
      </c>
    </row>
    <row r="62" spans="1:24">
      <c r="A62" s="4">
        <f>(VLOOKUP('19.12'!I62,'19.12'!$AO$4:$AR$55,4,FALSE))</f>
        <v>0</v>
      </c>
      <c r="B62" s="4">
        <f>(VLOOKUP('19.12'!J62,'19.12'!$AO$4:$AR$55,4,FALSE))</f>
        <v>0</v>
      </c>
      <c r="C62" s="4">
        <f>(VLOOKUP('19.12'!K62,'19.12'!$AO$4:$AR$55,4,FALSE))</f>
        <v>0</v>
      </c>
      <c r="D62" s="4">
        <f>(VLOOKUP('19.12'!L62,'19.12'!$AO$4:$AR$55,4,FALSE))</f>
        <v>0</v>
      </c>
      <c r="E62" s="4">
        <f>(VLOOKUP('19.12'!M62,'19.12'!$AO$4:$AR$55,4,FALSE))</f>
        <v>0</v>
      </c>
      <c r="F62" s="4">
        <f>(VLOOKUP('19.12'!N62,'19.12'!$AO$4:$AR$55,4,FALSE))</f>
        <v>0</v>
      </c>
      <c r="G62" s="4">
        <f>(VLOOKUP('19.12'!O62,'19.12'!$AO$4:$AR$55,4,FALSE))</f>
        <v>0</v>
      </c>
      <c r="H62" s="4">
        <f>(VLOOKUP('19.12'!P62,'19.12'!$AO$4:$AR$55,4,FALSE))</f>
        <v>0</v>
      </c>
      <c r="I62" s="4">
        <f>(VLOOKUP('19.12'!Q62,'19.12'!$AO$4:$AR$55,4,FALSE))</f>
        <v>0</v>
      </c>
      <c r="J62" s="4">
        <f>(VLOOKUP('19.12'!R62,'19.12'!$AO$4:$AR$55,4,FALSE))</f>
        <v>0</v>
      </c>
      <c r="K62" s="4">
        <f>(VLOOKUP('19.12'!S62,'19.12'!$AO$4:$AR$55,4,FALSE))</f>
        <v>0</v>
      </c>
      <c r="L62" s="4">
        <f>(VLOOKUP('19.12'!T62,'19.12'!$AO$4:$AR$55,4,FALSE))</f>
        <v>0</v>
      </c>
      <c r="M62" s="4">
        <f>(VLOOKUP('19.12'!U62,'19.12'!$AO$4:$AR$55,4,FALSE))</f>
        <v>0</v>
      </c>
      <c r="N62" s="4">
        <f>(VLOOKUP('19.12'!V62,'19.12'!$AO$4:$AR$55,4,FALSE))</f>
        <v>0</v>
      </c>
      <c r="O62" s="4">
        <f>(VLOOKUP('19.12'!W62,'19.12'!$AO$4:$AR$55,4,FALSE))</f>
        <v>0</v>
      </c>
      <c r="P62" s="4">
        <f>(VLOOKUP('19.12'!X62,'19.12'!$AO$4:$AR$55,4,FALSE))</f>
        <v>0</v>
      </c>
      <c r="Q62" s="4">
        <f>(VLOOKUP('19.12'!Y62,'19.12'!$AO$4:$AR$55,4,FALSE))</f>
        <v>0</v>
      </c>
      <c r="R62" s="4">
        <f>(VLOOKUP('19.12'!Z62,'19.12'!$AO$4:$AR$55,4,FALSE))</f>
        <v>0</v>
      </c>
      <c r="S62" s="4">
        <f>(VLOOKUP('19.12'!AA62,'19.12'!$AO$4:$AR$55,4,FALSE))</f>
        <v>0</v>
      </c>
      <c r="T62" s="4">
        <f>(VLOOKUP('19.12'!AB62,'19.12'!$AO$4:$AR$55,4,FALSE))</f>
        <v>0</v>
      </c>
      <c r="U62" s="4">
        <f>(VLOOKUP('19.12'!AC62,'19.12'!$AO$4:$AR$55,4,FALSE))</f>
        <v>0</v>
      </c>
      <c r="V62" s="4">
        <f>(VLOOKUP('19.12'!AD62,'19.12'!$AO$4:$AR$55,4,FALSE))</f>
        <v>0</v>
      </c>
      <c r="W62" s="4">
        <f>(VLOOKUP('19.12'!AE62,'19.12'!$AO$4:$AR$55,4,FALSE))</f>
        <v>0</v>
      </c>
      <c r="X62" s="4">
        <f>(VLOOKUP('19.12'!AF62,'19.12'!$AO$4:$AR$55,4,FALSE))</f>
        <v>0</v>
      </c>
    </row>
    <row r="63" spans="1:24">
      <c r="A63" s="4">
        <f>(VLOOKUP('19.12'!I63,'19.12'!$AO$4:$AR$55,4,FALSE))</f>
        <v>0</v>
      </c>
      <c r="B63" s="4">
        <f>(VLOOKUP('19.12'!J63,'19.12'!$AO$4:$AR$55,4,FALSE))</f>
        <v>0</v>
      </c>
      <c r="C63" s="4">
        <f>(VLOOKUP('19.12'!K63,'19.12'!$AO$4:$AR$55,4,FALSE))</f>
        <v>0</v>
      </c>
      <c r="D63" s="4">
        <f>(VLOOKUP('19.12'!L63,'19.12'!$AO$4:$AR$55,4,FALSE))</f>
        <v>0</v>
      </c>
      <c r="E63" s="4">
        <f>(VLOOKUP('19.12'!M63,'19.12'!$AO$4:$AR$55,4,FALSE))</f>
        <v>0</v>
      </c>
      <c r="F63" s="4">
        <f>(VLOOKUP('19.12'!N63,'19.12'!$AO$4:$AR$55,4,FALSE))</f>
        <v>0</v>
      </c>
      <c r="G63" s="4">
        <f>(VLOOKUP('19.12'!O63,'19.12'!$AO$4:$AR$55,4,FALSE))</f>
        <v>0</v>
      </c>
      <c r="H63" s="4">
        <f>(VLOOKUP('19.12'!P63,'19.12'!$AO$4:$AR$55,4,FALSE))</f>
        <v>0</v>
      </c>
      <c r="I63" s="4">
        <f>(VLOOKUP('19.12'!Q63,'19.12'!$AO$4:$AR$55,4,FALSE))</f>
        <v>0</v>
      </c>
      <c r="J63" s="4">
        <f>(VLOOKUP('19.12'!R63,'19.12'!$AO$4:$AR$55,4,FALSE))</f>
        <v>0</v>
      </c>
      <c r="K63" s="4">
        <f>(VLOOKUP('19.12'!S63,'19.12'!$AO$4:$AR$55,4,FALSE))</f>
        <v>0</v>
      </c>
      <c r="L63" s="4">
        <f>(VLOOKUP('19.12'!T63,'19.12'!$AO$4:$AR$55,4,FALSE))</f>
        <v>0</v>
      </c>
      <c r="M63" s="4">
        <f>(VLOOKUP('19.12'!U63,'19.12'!$AO$4:$AR$55,4,FALSE))</f>
        <v>0</v>
      </c>
      <c r="N63" s="4">
        <f>(VLOOKUP('19.12'!V63,'19.12'!$AO$4:$AR$55,4,FALSE))</f>
        <v>0</v>
      </c>
      <c r="O63" s="4">
        <f>(VLOOKUP('19.12'!W63,'19.12'!$AO$4:$AR$55,4,FALSE))</f>
        <v>0</v>
      </c>
      <c r="P63" s="4">
        <f>(VLOOKUP('19.12'!X63,'19.12'!$AO$4:$AR$55,4,FALSE))</f>
        <v>0</v>
      </c>
      <c r="Q63" s="4">
        <f>(VLOOKUP('19.12'!Y63,'19.12'!$AO$4:$AR$55,4,FALSE))</f>
        <v>0</v>
      </c>
      <c r="R63" s="4">
        <f>(VLOOKUP('19.12'!Z63,'19.12'!$AO$4:$AR$55,4,FALSE))</f>
        <v>0</v>
      </c>
      <c r="S63" s="4">
        <f>(VLOOKUP('19.12'!AA63,'19.12'!$AO$4:$AR$55,4,FALSE))</f>
        <v>0</v>
      </c>
      <c r="T63" s="4">
        <f>(VLOOKUP('19.12'!AB63,'19.12'!$AO$4:$AR$55,4,FALSE))</f>
        <v>0</v>
      </c>
      <c r="U63" s="4">
        <f>(VLOOKUP('19.12'!AC63,'19.12'!$AO$4:$AR$55,4,FALSE))</f>
        <v>0</v>
      </c>
      <c r="V63" s="4">
        <f>(VLOOKUP('19.12'!AD63,'19.12'!$AO$4:$AR$55,4,FALSE))</f>
        <v>0</v>
      </c>
      <c r="W63" s="4">
        <f>(VLOOKUP('19.12'!AE63,'19.12'!$AO$4:$AR$55,4,FALSE))</f>
        <v>0</v>
      </c>
      <c r="X63" s="4">
        <f>(VLOOKUP('19.12'!AF63,'19.12'!$AO$4:$AR$55,4,FALSE))</f>
        <v>0</v>
      </c>
    </row>
    <row r="64" spans="1:24">
      <c r="A64" s="4">
        <f>(VLOOKUP('19.12'!I64,'19.12'!$AO$4:$AR$55,4,FALSE))</f>
        <v>0</v>
      </c>
      <c r="B64" s="4">
        <f>(VLOOKUP('19.12'!J64,'19.12'!$AO$4:$AR$55,4,FALSE))</f>
        <v>0</v>
      </c>
      <c r="C64" s="4">
        <f>(VLOOKUP('19.12'!K64,'19.12'!$AO$4:$AR$55,4,FALSE))</f>
        <v>0</v>
      </c>
      <c r="D64" s="4">
        <f>(VLOOKUP('19.12'!L64,'19.12'!$AO$4:$AR$55,4,FALSE))</f>
        <v>0</v>
      </c>
      <c r="E64" s="4">
        <f>(VLOOKUP('19.12'!M64,'19.12'!$AO$4:$AR$55,4,FALSE))</f>
        <v>0</v>
      </c>
      <c r="F64" s="4">
        <f>(VLOOKUP('19.12'!N64,'19.12'!$AO$4:$AR$55,4,FALSE))</f>
        <v>0</v>
      </c>
      <c r="G64" s="4">
        <f>(VLOOKUP('19.12'!O64,'19.12'!$AO$4:$AR$55,4,FALSE))</f>
        <v>0</v>
      </c>
      <c r="H64" s="4">
        <f>(VLOOKUP('19.12'!P64,'19.12'!$AO$4:$AR$55,4,FALSE))</f>
        <v>0</v>
      </c>
      <c r="I64" s="4">
        <f>(VLOOKUP('19.12'!Q64,'19.12'!$AO$4:$AR$55,4,FALSE))</f>
        <v>0</v>
      </c>
      <c r="J64" s="4">
        <f>(VLOOKUP('19.12'!R64,'19.12'!$AO$4:$AR$55,4,FALSE))</f>
        <v>0</v>
      </c>
      <c r="K64" s="4">
        <f>(VLOOKUP('19.12'!S64,'19.12'!$AO$4:$AR$55,4,FALSE))</f>
        <v>0</v>
      </c>
      <c r="L64" s="4">
        <f>(VLOOKUP('19.12'!T64,'19.12'!$AO$4:$AR$55,4,FALSE))</f>
        <v>0</v>
      </c>
      <c r="M64" s="4">
        <f>(VLOOKUP('19.12'!U64,'19.12'!$AO$4:$AR$55,4,FALSE))</f>
        <v>0</v>
      </c>
      <c r="N64" s="4">
        <f>(VLOOKUP('19.12'!V64,'19.12'!$AO$4:$AR$55,4,FALSE))</f>
        <v>0</v>
      </c>
      <c r="O64" s="4">
        <f>(VLOOKUP('19.12'!W64,'19.12'!$AO$4:$AR$55,4,FALSE))</f>
        <v>0</v>
      </c>
      <c r="P64" s="4">
        <f>(VLOOKUP('19.12'!X64,'19.12'!$AO$4:$AR$55,4,FALSE))</f>
        <v>0</v>
      </c>
      <c r="Q64" s="4">
        <f>(VLOOKUP('19.12'!Y64,'19.12'!$AO$4:$AR$55,4,FALSE))</f>
        <v>0</v>
      </c>
      <c r="R64" s="4">
        <f>(VLOOKUP('19.12'!Z64,'19.12'!$AO$4:$AR$55,4,FALSE))</f>
        <v>0</v>
      </c>
      <c r="S64" s="4">
        <f>(VLOOKUP('19.12'!AA64,'19.12'!$AO$4:$AR$55,4,FALSE))</f>
        <v>0</v>
      </c>
      <c r="T64" s="4">
        <f>(VLOOKUP('19.12'!AB64,'19.12'!$AO$4:$AR$55,4,FALSE))</f>
        <v>0</v>
      </c>
      <c r="U64" s="4">
        <f>(VLOOKUP('19.12'!AC64,'19.12'!$AO$4:$AR$55,4,FALSE))</f>
        <v>0</v>
      </c>
      <c r="V64" s="4">
        <f>(VLOOKUP('19.12'!AD64,'19.12'!$AO$4:$AR$55,4,FALSE))</f>
        <v>0</v>
      </c>
      <c r="W64" s="4">
        <f>(VLOOKUP('19.12'!AE64,'19.12'!$AO$4:$AR$55,4,FALSE))</f>
        <v>0</v>
      </c>
      <c r="X64" s="4">
        <f>(VLOOKUP('19.12'!AF64,'19.12'!$AO$4:$AR$55,4,FALSE))</f>
        <v>0</v>
      </c>
    </row>
    <row r="65" spans="1:24">
      <c r="A65" s="4">
        <f>(VLOOKUP('19.12'!I65,'19.12'!$AO$4:$AR$55,4,FALSE))</f>
        <v>0</v>
      </c>
      <c r="B65" s="4">
        <f>(VLOOKUP('19.12'!J65,'19.12'!$AO$4:$AR$55,4,FALSE))</f>
        <v>0</v>
      </c>
      <c r="C65" s="4">
        <f>(VLOOKUP('19.12'!K65,'19.12'!$AO$4:$AR$55,4,FALSE))</f>
        <v>0</v>
      </c>
      <c r="D65" s="4">
        <f>(VLOOKUP('19.12'!L65,'19.12'!$AO$4:$AR$55,4,FALSE))</f>
        <v>0</v>
      </c>
      <c r="E65" s="4">
        <f>(VLOOKUP('19.12'!M65,'19.12'!$AO$4:$AR$55,4,FALSE))</f>
        <v>0</v>
      </c>
      <c r="F65" s="4">
        <f>(VLOOKUP('19.12'!N65,'19.12'!$AO$4:$AR$55,4,FALSE))</f>
        <v>0</v>
      </c>
      <c r="G65" s="4">
        <f>(VLOOKUP('19.12'!O65,'19.12'!$AO$4:$AR$55,4,FALSE))</f>
        <v>0</v>
      </c>
      <c r="H65" s="4">
        <f>(VLOOKUP('19.12'!P65,'19.12'!$AO$4:$AR$55,4,FALSE))</f>
        <v>0</v>
      </c>
      <c r="I65" s="4">
        <f>(VLOOKUP('19.12'!Q65,'19.12'!$AO$4:$AR$55,4,FALSE))</f>
        <v>0</v>
      </c>
      <c r="J65" s="4">
        <f>(VLOOKUP('19.12'!R65,'19.12'!$AO$4:$AR$55,4,FALSE))</f>
        <v>0</v>
      </c>
      <c r="K65" s="4">
        <f>(VLOOKUP('19.12'!S65,'19.12'!$AO$4:$AR$55,4,FALSE))</f>
        <v>0</v>
      </c>
      <c r="L65" s="4">
        <f>(VLOOKUP('19.12'!T65,'19.12'!$AO$4:$AR$55,4,FALSE))</f>
        <v>0</v>
      </c>
      <c r="M65" s="4">
        <f>(VLOOKUP('19.12'!U65,'19.12'!$AO$4:$AR$55,4,FALSE))</f>
        <v>0</v>
      </c>
      <c r="N65" s="4">
        <f>(VLOOKUP('19.12'!V65,'19.12'!$AO$4:$AR$55,4,FALSE))</f>
        <v>0</v>
      </c>
      <c r="O65" s="4">
        <f>(VLOOKUP('19.12'!W65,'19.12'!$AO$4:$AR$55,4,FALSE))</f>
        <v>0</v>
      </c>
      <c r="P65" s="4">
        <f>(VLOOKUP('19.12'!X65,'19.12'!$AO$4:$AR$55,4,FALSE))</f>
        <v>0</v>
      </c>
      <c r="Q65" s="4">
        <f>(VLOOKUP('19.12'!Y65,'19.12'!$AO$4:$AR$55,4,FALSE))</f>
        <v>0</v>
      </c>
      <c r="R65" s="4">
        <f>(VLOOKUP('19.12'!Z65,'19.12'!$AO$4:$AR$55,4,FALSE))</f>
        <v>0</v>
      </c>
      <c r="S65" s="4">
        <f>(VLOOKUP('19.12'!AA65,'19.12'!$AO$4:$AR$55,4,FALSE))</f>
        <v>0</v>
      </c>
      <c r="T65" s="4">
        <f>(VLOOKUP('19.12'!AB65,'19.12'!$AO$4:$AR$55,4,FALSE))</f>
        <v>0</v>
      </c>
      <c r="U65" s="4">
        <f>(VLOOKUP('19.12'!AC65,'19.12'!$AO$4:$AR$55,4,FALSE))</f>
        <v>0</v>
      </c>
      <c r="V65" s="4">
        <f>(VLOOKUP('19.12'!AD65,'19.12'!$AO$4:$AR$55,4,FALSE))</f>
        <v>0</v>
      </c>
      <c r="W65" s="4">
        <f>(VLOOKUP('19.12'!AE65,'19.12'!$AO$4:$AR$55,4,FALSE))</f>
        <v>0</v>
      </c>
      <c r="X65" s="4">
        <f>(VLOOKUP('19.12'!AF65,'19.12'!$AO$4:$AR$55,4,FALSE))</f>
        <v>0</v>
      </c>
    </row>
    <row r="66" spans="1:24">
      <c r="A66" s="4">
        <f>(VLOOKUP('19.12'!I66,'19.12'!$AO$4:$AR$55,4,FALSE))</f>
        <v>0</v>
      </c>
      <c r="B66" s="4">
        <f>(VLOOKUP('19.12'!J66,'19.12'!$AO$4:$AR$55,4,FALSE))</f>
        <v>0</v>
      </c>
      <c r="C66" s="4">
        <f>(VLOOKUP('19.12'!K66,'19.12'!$AO$4:$AR$55,4,FALSE))</f>
        <v>0</v>
      </c>
      <c r="D66" s="4">
        <f>(VLOOKUP('19.12'!L66,'19.12'!$AO$4:$AR$55,4,FALSE))</f>
        <v>0</v>
      </c>
      <c r="E66" s="4">
        <f>(VLOOKUP('19.12'!M66,'19.12'!$AO$4:$AR$55,4,FALSE))</f>
        <v>0</v>
      </c>
      <c r="F66" s="4">
        <f>(VLOOKUP('19.12'!N66,'19.12'!$AO$4:$AR$55,4,FALSE))</f>
        <v>0</v>
      </c>
      <c r="G66" s="4">
        <f>(VLOOKUP('19.12'!O66,'19.12'!$AO$4:$AR$55,4,FALSE))</f>
        <v>0</v>
      </c>
      <c r="H66" s="4">
        <f>(VLOOKUP('19.12'!P66,'19.12'!$AO$4:$AR$55,4,FALSE))</f>
        <v>0</v>
      </c>
      <c r="I66" s="4">
        <f>(VLOOKUP('19.12'!Q66,'19.12'!$AO$4:$AR$55,4,FALSE))</f>
        <v>0</v>
      </c>
      <c r="J66" s="4">
        <f>(VLOOKUP('19.12'!R66,'19.12'!$AO$4:$AR$55,4,FALSE))</f>
        <v>0</v>
      </c>
      <c r="K66" s="4">
        <f>(VLOOKUP('19.12'!S66,'19.12'!$AO$4:$AR$55,4,FALSE))</f>
        <v>0</v>
      </c>
      <c r="L66" s="4">
        <f>(VLOOKUP('19.12'!T66,'19.12'!$AO$4:$AR$55,4,FALSE))</f>
        <v>0</v>
      </c>
      <c r="M66" s="4">
        <f>(VLOOKUP('19.12'!U66,'19.12'!$AO$4:$AR$55,4,FALSE))</f>
        <v>0</v>
      </c>
      <c r="N66" s="4">
        <f>(VLOOKUP('19.12'!V66,'19.12'!$AO$4:$AR$55,4,FALSE))</f>
        <v>0</v>
      </c>
      <c r="O66" s="4">
        <f>(VLOOKUP('19.12'!W66,'19.12'!$AO$4:$AR$55,4,FALSE))</f>
        <v>0</v>
      </c>
      <c r="P66" s="4">
        <f>(VLOOKUP('19.12'!X66,'19.12'!$AO$4:$AR$55,4,FALSE))</f>
        <v>0</v>
      </c>
      <c r="Q66" s="4">
        <f>(VLOOKUP('19.12'!Y66,'19.12'!$AO$4:$AR$55,4,FALSE))</f>
        <v>0</v>
      </c>
      <c r="R66" s="4">
        <f>(VLOOKUP('19.12'!Z66,'19.12'!$AO$4:$AR$55,4,FALSE))</f>
        <v>0</v>
      </c>
      <c r="S66" s="4">
        <f>(VLOOKUP('19.12'!AA66,'19.12'!$AO$4:$AR$55,4,FALSE))</f>
        <v>0</v>
      </c>
      <c r="T66" s="4">
        <f>(VLOOKUP('19.12'!AB66,'19.12'!$AO$4:$AR$55,4,FALSE))</f>
        <v>0</v>
      </c>
      <c r="U66" s="4">
        <f>(VLOOKUP('19.12'!AC66,'19.12'!$AO$4:$AR$55,4,FALSE))</f>
        <v>0</v>
      </c>
      <c r="V66" s="4">
        <f>(VLOOKUP('19.12'!AD66,'19.12'!$AO$4:$AR$55,4,FALSE))</f>
        <v>0</v>
      </c>
      <c r="W66" s="4">
        <f>(VLOOKUP('19.12'!AE66,'19.12'!$AO$4:$AR$55,4,FALSE))</f>
        <v>0</v>
      </c>
      <c r="X66" s="4">
        <f>(VLOOKUP('19.12'!AF66,'19.12'!$AO$4:$AR$55,4,FALSE))</f>
        <v>0</v>
      </c>
    </row>
    <row r="67" spans="1:24">
      <c r="A67" s="4">
        <f>(VLOOKUP('19.12'!I67,'19.12'!$AO$4:$AR$55,4,FALSE))</f>
        <v>0</v>
      </c>
      <c r="B67" s="4">
        <f>(VLOOKUP('19.12'!J67,'19.12'!$AO$4:$AR$55,4,FALSE))</f>
        <v>0</v>
      </c>
      <c r="C67" s="4">
        <f>(VLOOKUP('19.12'!K67,'19.12'!$AO$4:$AR$55,4,FALSE))</f>
        <v>0</v>
      </c>
      <c r="D67" s="4">
        <f>(VLOOKUP('19.12'!L67,'19.12'!$AO$4:$AR$55,4,FALSE))</f>
        <v>0</v>
      </c>
      <c r="E67" s="4">
        <f>(VLOOKUP('19.12'!M67,'19.12'!$AO$4:$AR$55,4,FALSE))</f>
        <v>0</v>
      </c>
      <c r="F67" s="4">
        <f>(VLOOKUP('19.12'!N67,'19.12'!$AO$4:$AR$55,4,FALSE))</f>
        <v>0</v>
      </c>
      <c r="G67" s="4">
        <f>(VLOOKUP('19.12'!O67,'19.12'!$AO$4:$AR$55,4,FALSE))</f>
        <v>0</v>
      </c>
      <c r="H67" s="4">
        <f>(VLOOKUP('19.12'!P67,'19.12'!$AO$4:$AR$55,4,FALSE))</f>
        <v>0</v>
      </c>
      <c r="I67" s="4">
        <f>(VLOOKUP('19.12'!Q67,'19.12'!$AO$4:$AR$55,4,FALSE))</f>
        <v>0</v>
      </c>
      <c r="J67" s="4">
        <f>(VLOOKUP('19.12'!R67,'19.12'!$AO$4:$AR$55,4,FALSE))</f>
        <v>0</v>
      </c>
      <c r="K67" s="4">
        <f>(VLOOKUP('19.12'!S67,'19.12'!$AO$4:$AR$55,4,FALSE))</f>
        <v>0</v>
      </c>
      <c r="L67" s="4">
        <f>(VLOOKUP('19.12'!T67,'19.12'!$AO$4:$AR$55,4,FALSE))</f>
        <v>0</v>
      </c>
      <c r="M67" s="4">
        <f>(VLOOKUP('19.12'!U67,'19.12'!$AO$4:$AR$55,4,FALSE))</f>
        <v>0</v>
      </c>
      <c r="N67" s="4">
        <f>(VLOOKUP('19.12'!V67,'19.12'!$AO$4:$AR$55,4,FALSE))</f>
        <v>0</v>
      </c>
      <c r="O67" s="4">
        <f>(VLOOKUP('19.12'!W67,'19.12'!$AO$4:$AR$55,4,FALSE))</f>
        <v>0</v>
      </c>
      <c r="P67" s="4">
        <f>(VLOOKUP('19.12'!X67,'19.12'!$AO$4:$AR$55,4,FALSE))</f>
        <v>0</v>
      </c>
      <c r="Q67" s="4">
        <f>(VLOOKUP('19.12'!Y67,'19.12'!$AO$4:$AR$55,4,FALSE))</f>
        <v>0</v>
      </c>
      <c r="R67" s="4">
        <f>(VLOOKUP('19.12'!Z67,'19.12'!$AO$4:$AR$55,4,FALSE))</f>
        <v>0</v>
      </c>
      <c r="S67" s="4">
        <f>(VLOOKUP('19.12'!AA67,'19.12'!$AO$4:$AR$55,4,FALSE))</f>
        <v>0</v>
      </c>
      <c r="T67" s="4">
        <f>(VLOOKUP('19.12'!AB67,'19.12'!$AO$4:$AR$55,4,FALSE))</f>
        <v>0</v>
      </c>
      <c r="U67" s="4">
        <f>(VLOOKUP('19.12'!AC67,'19.12'!$AO$4:$AR$55,4,FALSE))</f>
        <v>0</v>
      </c>
      <c r="V67" s="4">
        <f>(VLOOKUP('19.12'!AD67,'19.12'!$AO$4:$AR$55,4,FALSE))</f>
        <v>0</v>
      </c>
      <c r="W67" s="4">
        <f>(VLOOKUP('19.12'!AE67,'19.12'!$AO$4:$AR$55,4,FALSE))</f>
        <v>0</v>
      </c>
      <c r="X67" s="4">
        <f>(VLOOKUP('19.12'!AF67,'19.12'!$AO$4:$AR$55,4,FALSE))</f>
        <v>0</v>
      </c>
    </row>
    <row r="68" spans="1:24">
      <c r="A68" s="4">
        <f>(VLOOKUP('19.12'!I68,'19.12'!$AO$4:$AR$55,4,FALSE))</f>
        <v>0</v>
      </c>
      <c r="B68" s="4">
        <f>(VLOOKUP('19.12'!J68,'19.12'!$AO$4:$AR$55,4,FALSE))</f>
        <v>0</v>
      </c>
      <c r="C68" s="4">
        <f>(VLOOKUP('19.12'!K68,'19.12'!$AO$4:$AR$55,4,FALSE))</f>
        <v>0</v>
      </c>
      <c r="D68" s="4">
        <f>(VLOOKUP('19.12'!L68,'19.12'!$AO$4:$AR$55,4,FALSE))</f>
        <v>0</v>
      </c>
      <c r="E68" s="4">
        <f>(VLOOKUP('19.12'!M68,'19.12'!$AO$4:$AR$55,4,FALSE))</f>
        <v>0</v>
      </c>
      <c r="F68" s="4">
        <f>(VLOOKUP('19.12'!N68,'19.12'!$AO$4:$AR$55,4,FALSE))</f>
        <v>0</v>
      </c>
      <c r="G68" s="4">
        <f>(VLOOKUP('19.12'!O68,'19.12'!$AO$4:$AR$55,4,FALSE))</f>
        <v>0</v>
      </c>
      <c r="H68" s="4">
        <f>(VLOOKUP('19.12'!P68,'19.12'!$AO$4:$AR$55,4,FALSE))</f>
        <v>0</v>
      </c>
      <c r="I68" s="4">
        <f>(VLOOKUP('19.12'!Q68,'19.12'!$AO$4:$AR$55,4,FALSE))</f>
        <v>0</v>
      </c>
      <c r="J68" s="4">
        <f>(VLOOKUP('19.12'!R68,'19.12'!$AO$4:$AR$55,4,FALSE))</f>
        <v>0</v>
      </c>
      <c r="K68" s="4">
        <f>(VLOOKUP('19.12'!S68,'19.12'!$AO$4:$AR$55,4,FALSE))</f>
        <v>0</v>
      </c>
      <c r="L68" s="4">
        <f>(VLOOKUP('19.12'!T68,'19.12'!$AO$4:$AR$55,4,FALSE))</f>
        <v>0</v>
      </c>
      <c r="M68" s="4">
        <f>(VLOOKUP('19.12'!U68,'19.12'!$AO$4:$AR$55,4,FALSE))</f>
        <v>0</v>
      </c>
      <c r="N68" s="4">
        <f>(VLOOKUP('19.12'!V68,'19.12'!$AO$4:$AR$55,4,FALSE))</f>
        <v>0</v>
      </c>
      <c r="O68" s="4">
        <f>(VLOOKUP('19.12'!W68,'19.12'!$AO$4:$AR$55,4,FALSE))</f>
        <v>0</v>
      </c>
      <c r="P68" s="4">
        <f>(VLOOKUP('19.12'!X68,'19.12'!$AO$4:$AR$55,4,FALSE))</f>
        <v>0</v>
      </c>
      <c r="Q68" s="4">
        <f>(VLOOKUP('19.12'!Y68,'19.12'!$AO$4:$AR$55,4,FALSE))</f>
        <v>0</v>
      </c>
      <c r="R68" s="4">
        <f>(VLOOKUP('19.12'!Z68,'19.12'!$AO$4:$AR$55,4,FALSE))</f>
        <v>0</v>
      </c>
      <c r="S68" s="4">
        <f>(VLOOKUP('19.12'!AA68,'19.12'!$AO$4:$AR$55,4,FALSE))</f>
        <v>0</v>
      </c>
      <c r="T68" s="4">
        <f>(VLOOKUP('19.12'!AB68,'19.12'!$AO$4:$AR$55,4,FALSE))</f>
        <v>0</v>
      </c>
      <c r="U68" s="4">
        <f>(VLOOKUP('19.12'!AC68,'19.12'!$AO$4:$AR$55,4,FALSE))</f>
        <v>0</v>
      </c>
      <c r="V68" s="4">
        <f>(VLOOKUP('19.12'!AD68,'19.12'!$AO$4:$AR$55,4,FALSE))</f>
        <v>0</v>
      </c>
      <c r="W68" s="4">
        <f>(VLOOKUP('19.12'!AE68,'19.12'!$AO$4:$AR$55,4,FALSE))</f>
        <v>0</v>
      </c>
      <c r="X68" s="4">
        <f>(VLOOKUP('19.12'!AF68,'19.12'!$AO$4:$AR$55,4,FALSE))</f>
        <v>0</v>
      </c>
    </row>
    <row r="69" spans="1:24">
      <c r="A69" s="4">
        <f>(VLOOKUP('19.12'!I69,'19.12'!$AO$4:$AR$55,4,FALSE))</f>
        <v>0</v>
      </c>
      <c r="B69" s="4">
        <f>(VLOOKUP('19.12'!J69,'19.12'!$AO$4:$AR$55,4,FALSE))</f>
        <v>0</v>
      </c>
      <c r="C69" s="4">
        <f>(VLOOKUP('19.12'!K69,'19.12'!$AO$4:$AR$55,4,FALSE))</f>
        <v>0</v>
      </c>
      <c r="D69" s="4">
        <f>(VLOOKUP('19.12'!L69,'19.12'!$AO$4:$AR$55,4,FALSE))</f>
        <v>0</v>
      </c>
      <c r="E69" s="4">
        <f>(VLOOKUP('19.12'!M69,'19.12'!$AO$4:$AR$55,4,FALSE))</f>
        <v>0</v>
      </c>
      <c r="F69" s="4">
        <f>(VLOOKUP('19.12'!N69,'19.12'!$AO$4:$AR$55,4,FALSE))</f>
        <v>0</v>
      </c>
      <c r="G69" s="4">
        <f>(VLOOKUP('19.12'!O69,'19.12'!$AO$4:$AR$55,4,FALSE))</f>
        <v>0</v>
      </c>
      <c r="H69" s="4">
        <f>(VLOOKUP('19.12'!P69,'19.12'!$AO$4:$AR$55,4,FALSE))</f>
        <v>0</v>
      </c>
      <c r="I69" s="4">
        <f>(VLOOKUP('19.12'!Q69,'19.12'!$AO$4:$AR$55,4,FALSE))</f>
        <v>0</v>
      </c>
      <c r="J69" s="4">
        <f>(VLOOKUP('19.12'!R69,'19.12'!$AO$4:$AR$55,4,FALSE))</f>
        <v>0</v>
      </c>
      <c r="K69" s="4">
        <f>(VLOOKUP('19.12'!S69,'19.12'!$AO$4:$AR$55,4,FALSE))</f>
        <v>0</v>
      </c>
      <c r="L69" s="4">
        <f>(VLOOKUP('19.12'!T69,'19.12'!$AO$4:$AR$55,4,FALSE))</f>
        <v>0</v>
      </c>
      <c r="M69" s="4">
        <f>(VLOOKUP('19.12'!U69,'19.12'!$AO$4:$AR$55,4,FALSE))</f>
        <v>0</v>
      </c>
      <c r="N69" s="4">
        <f>(VLOOKUP('19.12'!V69,'19.12'!$AO$4:$AR$55,4,FALSE))</f>
        <v>0</v>
      </c>
      <c r="O69" s="4">
        <f>(VLOOKUP('19.12'!W69,'19.12'!$AO$4:$AR$55,4,FALSE))</f>
        <v>0</v>
      </c>
      <c r="P69" s="4">
        <f>(VLOOKUP('19.12'!X69,'19.12'!$AO$4:$AR$55,4,FALSE))</f>
        <v>0</v>
      </c>
      <c r="Q69" s="4">
        <f>(VLOOKUP('19.12'!Y69,'19.12'!$AO$4:$AR$55,4,FALSE))</f>
        <v>0</v>
      </c>
      <c r="R69" s="4">
        <f>(VLOOKUP('19.12'!Z69,'19.12'!$AO$4:$AR$55,4,FALSE))</f>
        <v>0</v>
      </c>
      <c r="S69" s="4">
        <f>(VLOOKUP('19.12'!AA69,'19.12'!$AO$4:$AR$55,4,FALSE))</f>
        <v>0</v>
      </c>
      <c r="T69" s="4">
        <f>(VLOOKUP('19.12'!AB69,'19.12'!$AO$4:$AR$55,4,FALSE))</f>
        <v>0</v>
      </c>
      <c r="U69" s="4">
        <f>(VLOOKUP('19.12'!AC69,'19.12'!$AO$4:$AR$55,4,FALSE))</f>
        <v>0</v>
      </c>
      <c r="V69" s="4">
        <f>(VLOOKUP('19.12'!AD69,'19.12'!$AO$4:$AR$55,4,FALSE))</f>
        <v>0</v>
      </c>
      <c r="W69" s="4">
        <f>(VLOOKUP('19.12'!AE69,'19.12'!$AO$4:$AR$55,4,FALSE))</f>
        <v>0</v>
      </c>
      <c r="X69" s="4">
        <f>(VLOOKUP('19.12'!AF69,'19.12'!$AO$4:$AR$55,4,FALSE))</f>
        <v>0</v>
      </c>
    </row>
    <row r="70" spans="1:24">
      <c r="A70" s="4">
        <f>(VLOOKUP('19.12'!I70,'19.12'!$AO$4:$AR$55,4,FALSE))</f>
        <v>0</v>
      </c>
      <c r="B70" s="4">
        <f>(VLOOKUP('19.12'!J70,'19.12'!$AO$4:$AR$55,4,FALSE))</f>
        <v>0</v>
      </c>
      <c r="C70" s="4">
        <f>(VLOOKUP('19.12'!K70,'19.12'!$AO$4:$AR$55,4,FALSE))</f>
        <v>0</v>
      </c>
      <c r="D70" s="4">
        <f>(VLOOKUP('19.12'!L70,'19.12'!$AO$4:$AR$55,4,FALSE))</f>
        <v>0</v>
      </c>
      <c r="E70" s="4">
        <f>(VLOOKUP('19.12'!M70,'19.12'!$AO$4:$AR$55,4,FALSE))</f>
        <v>0</v>
      </c>
      <c r="F70" s="4">
        <f>(VLOOKUP('19.12'!N70,'19.12'!$AO$4:$AR$55,4,FALSE))</f>
        <v>0</v>
      </c>
      <c r="G70" s="4">
        <f>(VLOOKUP('19.12'!O70,'19.12'!$AO$4:$AR$55,4,FALSE))</f>
        <v>0</v>
      </c>
      <c r="H70" s="4">
        <f>(VLOOKUP('19.12'!P70,'19.12'!$AO$4:$AR$55,4,FALSE))</f>
        <v>0</v>
      </c>
      <c r="I70" s="4">
        <f>(VLOOKUP('19.12'!Q70,'19.12'!$AO$4:$AR$55,4,FALSE))</f>
        <v>0</v>
      </c>
      <c r="J70" s="4">
        <f>(VLOOKUP('19.12'!R70,'19.12'!$AO$4:$AR$55,4,FALSE))</f>
        <v>0</v>
      </c>
      <c r="K70" s="4">
        <f>(VLOOKUP('19.12'!S70,'19.12'!$AO$4:$AR$55,4,FALSE))</f>
        <v>0</v>
      </c>
      <c r="L70" s="4">
        <f>(VLOOKUP('19.12'!T70,'19.12'!$AO$4:$AR$55,4,FALSE))</f>
        <v>0</v>
      </c>
      <c r="M70" s="4">
        <f>(VLOOKUP('19.12'!U70,'19.12'!$AO$4:$AR$55,4,FALSE))</f>
        <v>0</v>
      </c>
      <c r="N70" s="4">
        <f>(VLOOKUP('19.12'!V70,'19.12'!$AO$4:$AR$55,4,FALSE))</f>
        <v>0</v>
      </c>
      <c r="O70" s="4">
        <f>(VLOOKUP('19.12'!W70,'19.12'!$AO$4:$AR$55,4,FALSE))</f>
        <v>0</v>
      </c>
      <c r="P70" s="4">
        <f>(VLOOKUP('19.12'!X70,'19.12'!$AO$4:$AR$55,4,FALSE))</f>
        <v>0</v>
      </c>
      <c r="Q70" s="4">
        <f>(VLOOKUP('19.12'!Y70,'19.12'!$AO$4:$AR$55,4,FALSE))</f>
        <v>0</v>
      </c>
      <c r="R70" s="4">
        <f>(VLOOKUP('19.12'!Z70,'19.12'!$AO$4:$AR$55,4,FALSE))</f>
        <v>0</v>
      </c>
      <c r="S70" s="4">
        <f>(VLOOKUP('19.12'!AA70,'19.12'!$AO$4:$AR$55,4,FALSE))</f>
        <v>0</v>
      </c>
      <c r="T70" s="4">
        <f>(VLOOKUP('19.12'!AB70,'19.12'!$AO$4:$AR$55,4,FALSE))</f>
        <v>0</v>
      </c>
      <c r="U70" s="4">
        <f>(VLOOKUP('19.12'!AC70,'19.12'!$AO$4:$AR$55,4,FALSE))</f>
        <v>0</v>
      </c>
      <c r="V70" s="4">
        <f>(VLOOKUP('19.12'!AD70,'19.12'!$AO$4:$AR$55,4,FALSE))</f>
        <v>0</v>
      </c>
      <c r="W70" s="4">
        <f>(VLOOKUP('19.12'!AE70,'19.12'!$AO$4:$AR$55,4,FALSE))</f>
        <v>0</v>
      </c>
      <c r="X70" s="4">
        <f>(VLOOKUP('19.12'!AF70,'19.12'!$AO$4:$AR$55,4,FALSE))</f>
        <v>0</v>
      </c>
    </row>
    <row r="71" spans="1:24">
      <c r="A71" s="4">
        <f>(VLOOKUP('19.12'!I71,'19.12'!$AO$4:$AR$55,4,FALSE))</f>
        <v>0</v>
      </c>
      <c r="B71" s="4">
        <f>(VLOOKUP('19.12'!J71,'19.12'!$AO$4:$AR$55,4,FALSE))</f>
        <v>0</v>
      </c>
      <c r="C71" s="4">
        <f>(VLOOKUP('19.12'!K71,'19.12'!$AO$4:$AR$55,4,FALSE))</f>
        <v>0</v>
      </c>
      <c r="D71" s="4">
        <f>(VLOOKUP('19.12'!L71,'19.12'!$AO$4:$AR$55,4,FALSE))</f>
        <v>0</v>
      </c>
      <c r="E71" s="4">
        <f>(VLOOKUP('19.12'!M71,'19.12'!$AO$4:$AR$55,4,FALSE))</f>
        <v>0</v>
      </c>
      <c r="F71" s="4">
        <f>(VLOOKUP('19.12'!N71,'19.12'!$AO$4:$AR$55,4,FALSE))</f>
        <v>0</v>
      </c>
      <c r="G71" s="4">
        <f>(VLOOKUP('19.12'!O71,'19.12'!$AO$4:$AR$55,4,FALSE))</f>
        <v>0</v>
      </c>
      <c r="H71" s="4">
        <f>(VLOOKUP('19.12'!P71,'19.12'!$AO$4:$AR$55,4,FALSE))</f>
        <v>0</v>
      </c>
      <c r="I71" s="4">
        <f>(VLOOKUP('19.12'!Q71,'19.12'!$AO$4:$AR$55,4,FALSE))</f>
        <v>0</v>
      </c>
      <c r="J71" s="4">
        <f>(VLOOKUP('19.12'!R71,'19.12'!$AO$4:$AR$55,4,FALSE))</f>
        <v>0</v>
      </c>
      <c r="K71" s="4">
        <f>(VLOOKUP('19.12'!S71,'19.12'!$AO$4:$AR$55,4,FALSE))</f>
        <v>0</v>
      </c>
      <c r="L71" s="4">
        <f>(VLOOKUP('19.12'!T71,'19.12'!$AO$4:$AR$55,4,FALSE))</f>
        <v>0</v>
      </c>
      <c r="M71" s="4">
        <f>(VLOOKUP('19.12'!U71,'19.12'!$AO$4:$AR$55,4,FALSE))</f>
        <v>0</v>
      </c>
      <c r="N71" s="4">
        <f>(VLOOKUP('19.12'!V71,'19.12'!$AO$4:$AR$55,4,FALSE))</f>
        <v>0</v>
      </c>
      <c r="O71" s="4">
        <f>(VLOOKUP('19.12'!W71,'19.12'!$AO$4:$AR$55,4,FALSE))</f>
        <v>0</v>
      </c>
      <c r="P71" s="4">
        <f>(VLOOKUP('19.12'!X71,'19.12'!$AO$4:$AR$55,4,FALSE))</f>
        <v>0</v>
      </c>
      <c r="Q71" s="4">
        <f>(VLOOKUP('19.12'!Y71,'19.12'!$AO$4:$AR$55,4,FALSE))</f>
        <v>0</v>
      </c>
      <c r="R71" s="4">
        <f>(VLOOKUP('19.12'!Z71,'19.12'!$AO$4:$AR$55,4,FALSE))</f>
        <v>0</v>
      </c>
      <c r="S71" s="4">
        <f>(VLOOKUP('19.12'!AA71,'19.12'!$AO$4:$AR$55,4,FALSE))</f>
        <v>0</v>
      </c>
      <c r="T71" s="4">
        <f>(VLOOKUP('19.12'!AB71,'19.12'!$AO$4:$AR$55,4,FALSE))</f>
        <v>0</v>
      </c>
      <c r="U71" s="4">
        <f>(VLOOKUP('19.12'!AC71,'19.12'!$AO$4:$AR$55,4,FALSE))</f>
        <v>0</v>
      </c>
      <c r="V71" s="4">
        <f>(VLOOKUP('19.12'!AD71,'19.12'!$AO$4:$AR$55,4,FALSE))</f>
        <v>0</v>
      </c>
      <c r="W71" s="4">
        <f>(VLOOKUP('19.12'!AE71,'19.12'!$AO$4:$AR$55,4,FALSE))</f>
        <v>0</v>
      </c>
      <c r="X71" s="4">
        <f>(VLOOKUP('19.12'!AF71,'19.12'!$AO$4:$AR$55,4,FALSE))</f>
        <v>0</v>
      </c>
    </row>
    <row r="72" spans="1:24">
      <c r="A72" s="4">
        <f>(VLOOKUP('19.12'!I72,'19.12'!$AO$4:$AR$55,4,FALSE))</f>
        <v>0</v>
      </c>
      <c r="B72" s="4">
        <f>(VLOOKUP('19.12'!J72,'19.12'!$AO$4:$AR$55,4,FALSE))</f>
        <v>0</v>
      </c>
      <c r="C72" s="4">
        <f>(VLOOKUP('19.12'!K72,'19.12'!$AO$4:$AR$55,4,FALSE))</f>
        <v>0</v>
      </c>
      <c r="D72" s="4">
        <f>(VLOOKUP('19.12'!L72,'19.12'!$AO$4:$AR$55,4,FALSE))</f>
        <v>0</v>
      </c>
      <c r="E72" s="4">
        <f>(VLOOKUP('19.12'!M72,'19.12'!$AO$4:$AR$55,4,FALSE))</f>
        <v>0</v>
      </c>
      <c r="F72" s="4">
        <f>(VLOOKUP('19.12'!N72,'19.12'!$AO$4:$AR$55,4,FALSE))</f>
        <v>0</v>
      </c>
      <c r="G72" s="4">
        <f>(VLOOKUP('19.12'!O72,'19.12'!$AO$4:$AR$55,4,FALSE))</f>
        <v>0</v>
      </c>
      <c r="H72" s="4">
        <f>(VLOOKUP('19.12'!P72,'19.12'!$AO$4:$AR$55,4,FALSE))</f>
        <v>0</v>
      </c>
      <c r="I72" s="4">
        <f>(VLOOKUP('19.12'!Q72,'19.12'!$AO$4:$AR$55,4,FALSE))</f>
        <v>0</v>
      </c>
      <c r="J72" s="4">
        <f>(VLOOKUP('19.12'!R72,'19.12'!$AO$4:$AR$55,4,FALSE))</f>
        <v>0</v>
      </c>
      <c r="K72" s="4">
        <f>(VLOOKUP('19.12'!S72,'19.12'!$AO$4:$AR$55,4,FALSE))</f>
        <v>0</v>
      </c>
      <c r="L72" s="4">
        <f>(VLOOKUP('19.12'!T72,'19.12'!$AO$4:$AR$55,4,FALSE))</f>
        <v>0</v>
      </c>
      <c r="M72" s="4">
        <f>(VLOOKUP('19.12'!U72,'19.12'!$AO$4:$AR$55,4,FALSE))</f>
        <v>0</v>
      </c>
      <c r="N72" s="4">
        <f>(VLOOKUP('19.12'!V72,'19.12'!$AO$4:$AR$55,4,FALSE))</f>
        <v>0</v>
      </c>
      <c r="O72" s="4">
        <f>(VLOOKUP('19.12'!W72,'19.12'!$AO$4:$AR$55,4,FALSE))</f>
        <v>0</v>
      </c>
      <c r="P72" s="4">
        <f>(VLOOKUP('19.12'!X72,'19.12'!$AO$4:$AR$55,4,FALSE))</f>
        <v>0</v>
      </c>
      <c r="Q72" s="4">
        <f>(VLOOKUP('19.12'!Y72,'19.12'!$AO$4:$AR$55,4,FALSE))</f>
        <v>0</v>
      </c>
      <c r="R72" s="4">
        <f>(VLOOKUP('19.12'!Z72,'19.12'!$AO$4:$AR$55,4,FALSE))</f>
        <v>0</v>
      </c>
      <c r="S72" s="4">
        <f>(VLOOKUP('19.12'!AA72,'19.12'!$AO$4:$AR$55,4,FALSE))</f>
        <v>0</v>
      </c>
      <c r="T72" s="4">
        <f>(VLOOKUP('19.12'!AB72,'19.12'!$AO$4:$AR$55,4,FALSE))</f>
        <v>0</v>
      </c>
      <c r="U72" s="4">
        <f>(VLOOKUP('19.12'!AC72,'19.12'!$AO$4:$AR$55,4,FALSE))</f>
        <v>0</v>
      </c>
      <c r="V72" s="4">
        <f>(VLOOKUP('19.12'!AD72,'19.12'!$AO$4:$AR$55,4,FALSE))</f>
        <v>0</v>
      </c>
      <c r="W72" s="4">
        <f>(VLOOKUP('19.12'!AE72,'19.12'!$AO$4:$AR$55,4,FALSE))</f>
        <v>0</v>
      </c>
      <c r="X72" s="4">
        <f>(VLOOKUP('19.12'!AF72,'19.12'!$AO$4:$AR$55,4,FALSE))</f>
        <v>0</v>
      </c>
    </row>
    <row r="73" spans="1:24">
      <c r="A73" s="4">
        <f>(VLOOKUP('19.12'!I73,'19.12'!$AO$4:$AR$55,4,FALSE))</f>
        <v>0</v>
      </c>
      <c r="B73" s="4">
        <f>(VLOOKUP('19.12'!J73,'19.12'!$AO$4:$AR$55,4,FALSE))</f>
        <v>0</v>
      </c>
      <c r="C73" s="4">
        <f>(VLOOKUP('19.12'!K73,'19.12'!$AO$4:$AR$55,4,FALSE))</f>
        <v>0</v>
      </c>
      <c r="D73" s="4">
        <f>(VLOOKUP('19.12'!L73,'19.12'!$AO$4:$AR$55,4,FALSE))</f>
        <v>0</v>
      </c>
      <c r="E73" s="4">
        <f>(VLOOKUP('19.12'!M73,'19.12'!$AO$4:$AR$55,4,FALSE))</f>
        <v>0</v>
      </c>
      <c r="F73" s="4">
        <f>(VLOOKUP('19.12'!N73,'19.12'!$AO$4:$AR$55,4,FALSE))</f>
        <v>0</v>
      </c>
      <c r="G73" s="4">
        <f>(VLOOKUP('19.12'!O73,'19.12'!$AO$4:$AR$55,4,FALSE))</f>
        <v>0</v>
      </c>
      <c r="H73" s="4">
        <f>(VLOOKUP('19.12'!P73,'19.12'!$AO$4:$AR$55,4,FALSE))</f>
        <v>0</v>
      </c>
      <c r="I73" s="4">
        <f>(VLOOKUP('19.12'!Q73,'19.12'!$AO$4:$AR$55,4,FALSE))</f>
        <v>0</v>
      </c>
      <c r="J73" s="4">
        <f>(VLOOKUP('19.12'!R73,'19.12'!$AO$4:$AR$55,4,FALSE))</f>
        <v>0</v>
      </c>
      <c r="K73" s="4">
        <f>(VLOOKUP('19.12'!S73,'19.12'!$AO$4:$AR$55,4,FALSE))</f>
        <v>0</v>
      </c>
      <c r="L73" s="4">
        <f>(VLOOKUP('19.12'!T73,'19.12'!$AO$4:$AR$55,4,FALSE))</f>
        <v>0</v>
      </c>
      <c r="M73" s="4">
        <f>(VLOOKUP('19.12'!U73,'19.12'!$AO$4:$AR$55,4,FALSE))</f>
        <v>0</v>
      </c>
      <c r="N73" s="4">
        <f>(VLOOKUP('19.12'!V73,'19.12'!$AO$4:$AR$55,4,FALSE))</f>
        <v>0</v>
      </c>
      <c r="O73" s="4">
        <f>(VLOOKUP('19.12'!W73,'19.12'!$AO$4:$AR$55,4,FALSE))</f>
        <v>0</v>
      </c>
      <c r="P73" s="4">
        <f>(VLOOKUP('19.12'!X73,'19.12'!$AO$4:$AR$55,4,FALSE))</f>
        <v>0</v>
      </c>
      <c r="Q73" s="4">
        <f>(VLOOKUP('19.12'!Y73,'19.12'!$AO$4:$AR$55,4,FALSE))</f>
        <v>0</v>
      </c>
      <c r="R73" s="4">
        <f>(VLOOKUP('19.12'!Z73,'19.12'!$AO$4:$AR$55,4,FALSE))</f>
        <v>0</v>
      </c>
      <c r="S73" s="4">
        <f>(VLOOKUP('19.12'!AA73,'19.12'!$AO$4:$AR$55,4,FALSE))</f>
        <v>0</v>
      </c>
      <c r="T73" s="4">
        <f>(VLOOKUP('19.12'!AB73,'19.12'!$AO$4:$AR$55,4,FALSE))</f>
        <v>0</v>
      </c>
      <c r="U73" s="4">
        <f>(VLOOKUP('19.12'!AC73,'19.12'!$AO$4:$AR$55,4,FALSE))</f>
        <v>0</v>
      </c>
      <c r="V73" s="4">
        <f>(VLOOKUP('19.12'!AD73,'19.12'!$AO$4:$AR$55,4,FALSE))</f>
        <v>0</v>
      </c>
      <c r="W73" s="4">
        <f>(VLOOKUP('19.12'!AE73,'19.12'!$AO$4:$AR$55,4,FALSE))</f>
        <v>0</v>
      </c>
      <c r="X73" s="4">
        <f>(VLOOKUP('19.12'!AF73,'19.12'!$AO$4:$AR$55,4,FALSE))</f>
        <v>0</v>
      </c>
    </row>
    <row r="74" spans="1:24">
      <c r="A74" s="4">
        <f>(VLOOKUP('19.12'!I74,'19.12'!$AO$4:$AR$55,4,FALSE))</f>
        <v>0</v>
      </c>
      <c r="B74" s="4">
        <f>(VLOOKUP('19.12'!J74,'19.12'!$AO$4:$AR$55,4,FALSE))</f>
        <v>0</v>
      </c>
      <c r="C74" s="4">
        <f>(VLOOKUP('19.12'!K74,'19.12'!$AO$4:$AR$55,4,FALSE))</f>
        <v>0</v>
      </c>
      <c r="D74" s="4">
        <f>(VLOOKUP('19.12'!L74,'19.12'!$AO$4:$AR$55,4,FALSE))</f>
        <v>0</v>
      </c>
      <c r="E74" s="4">
        <f>(VLOOKUP('19.12'!M74,'19.12'!$AO$4:$AR$55,4,FALSE))</f>
        <v>0</v>
      </c>
      <c r="F74" s="4">
        <f>(VLOOKUP('19.12'!N74,'19.12'!$AO$4:$AR$55,4,FALSE))</f>
        <v>0</v>
      </c>
      <c r="G74" s="4">
        <f>(VLOOKUP('19.12'!O74,'19.12'!$AO$4:$AR$55,4,FALSE))</f>
        <v>0</v>
      </c>
      <c r="H74" s="4">
        <f>(VLOOKUP('19.12'!P74,'19.12'!$AO$4:$AR$55,4,FALSE))</f>
        <v>0</v>
      </c>
      <c r="I74" s="4">
        <f>(VLOOKUP('19.12'!Q74,'19.12'!$AO$4:$AR$55,4,FALSE))</f>
        <v>0</v>
      </c>
      <c r="J74" s="4">
        <f>(VLOOKUP('19.12'!R74,'19.12'!$AO$4:$AR$55,4,FALSE))</f>
        <v>0</v>
      </c>
      <c r="K74" s="4">
        <f>(VLOOKUP('19.12'!S74,'19.12'!$AO$4:$AR$55,4,FALSE))</f>
        <v>0</v>
      </c>
      <c r="L74" s="4">
        <f>(VLOOKUP('19.12'!T74,'19.12'!$AO$4:$AR$55,4,FALSE))</f>
        <v>0</v>
      </c>
      <c r="M74" s="4">
        <f>(VLOOKUP('19.12'!U74,'19.12'!$AO$4:$AR$55,4,FALSE))</f>
        <v>0</v>
      </c>
      <c r="N74" s="4">
        <f>(VLOOKUP('19.12'!V74,'19.12'!$AO$4:$AR$55,4,FALSE))</f>
        <v>0</v>
      </c>
      <c r="O74" s="4">
        <f>(VLOOKUP('19.12'!W74,'19.12'!$AO$4:$AR$55,4,FALSE))</f>
        <v>0</v>
      </c>
      <c r="P74" s="4">
        <f>(VLOOKUP('19.12'!X74,'19.12'!$AO$4:$AR$55,4,FALSE))</f>
        <v>0</v>
      </c>
      <c r="Q74" s="4">
        <f>(VLOOKUP('19.12'!Y74,'19.12'!$AO$4:$AR$55,4,FALSE))</f>
        <v>0</v>
      </c>
      <c r="R74" s="4">
        <f>(VLOOKUP('19.12'!Z74,'19.12'!$AO$4:$AR$55,4,FALSE))</f>
        <v>0</v>
      </c>
      <c r="S74" s="4">
        <f>(VLOOKUP('19.12'!AA74,'19.12'!$AO$4:$AR$55,4,FALSE))</f>
        <v>0</v>
      </c>
      <c r="T74" s="4">
        <f>(VLOOKUP('19.12'!AB74,'19.12'!$AO$4:$AR$55,4,FALSE))</f>
        <v>0</v>
      </c>
      <c r="U74" s="4">
        <f>(VLOOKUP('19.12'!AC74,'19.12'!$AO$4:$AR$55,4,FALSE))</f>
        <v>0</v>
      </c>
      <c r="V74" s="4">
        <f>(VLOOKUP('19.12'!AD74,'19.12'!$AO$4:$AR$55,4,FALSE))</f>
        <v>0</v>
      </c>
      <c r="W74" s="4">
        <f>(VLOOKUP('19.12'!AE74,'19.12'!$AO$4:$AR$55,4,FALSE))</f>
        <v>0</v>
      </c>
      <c r="X74" s="4">
        <f>(VLOOKUP('19.12'!AF74,'19.12'!$AO$4:$AR$55,4,FALSE))</f>
        <v>0</v>
      </c>
    </row>
    <row r="75" spans="1:24">
      <c r="A75" s="4">
        <f>(VLOOKUP('19.12'!I75,'19.12'!$AO$4:$AR$55,4,FALSE))</f>
        <v>0</v>
      </c>
      <c r="B75" s="4">
        <f>(VLOOKUP('19.12'!J75,'19.12'!$AO$4:$AR$55,4,FALSE))</f>
        <v>0</v>
      </c>
      <c r="C75" s="4">
        <f>(VLOOKUP('19.12'!K75,'19.12'!$AO$4:$AR$55,4,FALSE))</f>
        <v>0</v>
      </c>
      <c r="D75" s="4">
        <f>(VLOOKUP('19.12'!L75,'19.12'!$AO$4:$AR$55,4,FALSE))</f>
        <v>0</v>
      </c>
      <c r="E75" s="4">
        <f>(VLOOKUP('19.12'!M75,'19.12'!$AO$4:$AR$55,4,FALSE))</f>
        <v>0</v>
      </c>
      <c r="F75" s="4">
        <f>(VLOOKUP('19.12'!N75,'19.12'!$AO$4:$AR$55,4,FALSE))</f>
        <v>0</v>
      </c>
      <c r="G75" s="4">
        <f>(VLOOKUP('19.12'!O75,'19.12'!$AO$4:$AR$55,4,FALSE))</f>
        <v>0</v>
      </c>
      <c r="H75" s="4">
        <f>(VLOOKUP('19.12'!P75,'19.12'!$AO$4:$AR$55,4,FALSE))</f>
        <v>0</v>
      </c>
      <c r="I75" s="4">
        <f>(VLOOKUP('19.12'!Q75,'19.12'!$AO$4:$AR$55,4,FALSE))</f>
        <v>0</v>
      </c>
      <c r="J75" s="4">
        <f>(VLOOKUP('19.12'!R75,'19.12'!$AO$4:$AR$55,4,FALSE))</f>
        <v>0</v>
      </c>
      <c r="K75" s="4">
        <f>(VLOOKUP('19.12'!S75,'19.12'!$AO$4:$AR$55,4,FALSE))</f>
        <v>0</v>
      </c>
      <c r="L75" s="4">
        <f>(VLOOKUP('19.12'!T75,'19.12'!$AO$4:$AR$55,4,FALSE))</f>
        <v>0</v>
      </c>
      <c r="M75" s="4">
        <f>(VLOOKUP('19.12'!U75,'19.12'!$AO$4:$AR$55,4,FALSE))</f>
        <v>0</v>
      </c>
      <c r="N75" s="4">
        <f>(VLOOKUP('19.12'!V75,'19.12'!$AO$4:$AR$55,4,FALSE))</f>
        <v>0</v>
      </c>
      <c r="O75" s="4">
        <f>(VLOOKUP('19.12'!W75,'19.12'!$AO$4:$AR$55,4,FALSE))</f>
        <v>0</v>
      </c>
      <c r="P75" s="4">
        <f>(VLOOKUP('19.12'!X75,'19.12'!$AO$4:$AR$55,4,FALSE))</f>
        <v>0</v>
      </c>
      <c r="Q75" s="4">
        <f>(VLOOKUP('19.12'!Y75,'19.12'!$AO$4:$AR$55,4,FALSE))</f>
        <v>0</v>
      </c>
      <c r="R75" s="4">
        <f>(VLOOKUP('19.12'!Z75,'19.12'!$AO$4:$AR$55,4,FALSE))</f>
        <v>0</v>
      </c>
      <c r="S75" s="4">
        <f>(VLOOKUP('19.12'!AA75,'19.12'!$AO$4:$AR$55,4,FALSE))</f>
        <v>0</v>
      </c>
      <c r="T75" s="4">
        <f>(VLOOKUP('19.12'!AB75,'19.12'!$AO$4:$AR$55,4,FALSE))</f>
        <v>0</v>
      </c>
      <c r="U75" s="4">
        <f>(VLOOKUP('19.12'!AC75,'19.12'!$AO$4:$AR$55,4,FALSE))</f>
        <v>0</v>
      </c>
      <c r="V75" s="4">
        <f>(VLOOKUP('19.12'!AD75,'19.12'!$AO$4:$AR$55,4,FALSE))</f>
        <v>0</v>
      </c>
      <c r="W75" s="4">
        <f>(VLOOKUP('19.12'!AE75,'19.12'!$AO$4:$AR$55,4,FALSE))</f>
        <v>0</v>
      </c>
      <c r="X75" s="4">
        <f>(VLOOKUP('19.12'!AF75,'19.12'!$AO$4:$AR$55,4,FALSE))</f>
        <v>0</v>
      </c>
    </row>
    <row r="76" spans="1:24">
      <c r="A76" s="4">
        <f>(VLOOKUP('19.12'!I76,'19.12'!$AO$4:$AR$55,4,FALSE))</f>
        <v>0</v>
      </c>
      <c r="B76" s="4">
        <f>(VLOOKUP('19.12'!J76,'19.12'!$AO$4:$AR$55,4,FALSE))</f>
        <v>0</v>
      </c>
      <c r="C76" s="4">
        <f>(VLOOKUP('19.12'!K76,'19.12'!$AO$4:$AR$55,4,FALSE))</f>
        <v>0</v>
      </c>
      <c r="D76" s="4">
        <f>(VLOOKUP('19.12'!L76,'19.12'!$AO$4:$AR$55,4,FALSE))</f>
        <v>0</v>
      </c>
      <c r="E76" s="4">
        <f>(VLOOKUP('19.12'!M76,'19.12'!$AO$4:$AR$55,4,FALSE))</f>
        <v>0</v>
      </c>
      <c r="F76" s="4">
        <f>(VLOOKUP('19.12'!N76,'19.12'!$AO$4:$AR$55,4,FALSE))</f>
        <v>0</v>
      </c>
      <c r="G76" s="4">
        <f>(VLOOKUP('19.12'!O76,'19.12'!$AO$4:$AR$55,4,FALSE))</f>
        <v>0</v>
      </c>
      <c r="H76" s="4">
        <f>(VLOOKUP('19.12'!P76,'19.12'!$AO$4:$AR$55,4,FALSE))</f>
        <v>0</v>
      </c>
      <c r="I76" s="4">
        <f>(VLOOKUP('19.12'!Q76,'19.12'!$AO$4:$AR$55,4,FALSE))</f>
        <v>0</v>
      </c>
      <c r="J76" s="4">
        <f>(VLOOKUP('19.12'!R76,'19.12'!$AO$4:$AR$55,4,FALSE))</f>
        <v>0</v>
      </c>
      <c r="K76" s="4">
        <f>(VLOOKUP('19.12'!S76,'19.12'!$AO$4:$AR$55,4,FALSE))</f>
        <v>0</v>
      </c>
      <c r="L76" s="4">
        <f>(VLOOKUP('19.12'!T76,'19.12'!$AO$4:$AR$55,4,FALSE))</f>
        <v>0</v>
      </c>
      <c r="M76" s="4">
        <f>(VLOOKUP('19.12'!U76,'19.12'!$AO$4:$AR$55,4,FALSE))</f>
        <v>0</v>
      </c>
      <c r="N76" s="4">
        <f>(VLOOKUP('19.12'!V76,'19.12'!$AO$4:$AR$55,4,FALSE))</f>
        <v>0</v>
      </c>
      <c r="O76" s="4">
        <f>(VLOOKUP('19.12'!W76,'19.12'!$AO$4:$AR$55,4,FALSE))</f>
        <v>0</v>
      </c>
      <c r="P76" s="4">
        <f>(VLOOKUP('19.12'!X76,'19.12'!$AO$4:$AR$55,4,FALSE))</f>
        <v>0</v>
      </c>
      <c r="Q76" s="4">
        <f>(VLOOKUP('19.12'!Y76,'19.12'!$AO$4:$AR$55,4,FALSE))</f>
        <v>0</v>
      </c>
      <c r="R76" s="4">
        <f>(VLOOKUP('19.12'!Z76,'19.12'!$AO$4:$AR$55,4,FALSE))</f>
        <v>0</v>
      </c>
      <c r="S76" s="4">
        <f>(VLOOKUP('19.12'!AA76,'19.12'!$AO$4:$AR$55,4,FALSE))</f>
        <v>0</v>
      </c>
      <c r="T76" s="4">
        <f>(VLOOKUP('19.12'!AB76,'19.12'!$AO$4:$AR$55,4,FALSE))</f>
        <v>0</v>
      </c>
      <c r="U76" s="4">
        <f>(VLOOKUP('19.12'!AC76,'19.12'!$AO$4:$AR$55,4,FALSE))</f>
        <v>0</v>
      </c>
      <c r="V76" s="4">
        <f>(VLOOKUP('19.12'!AD76,'19.12'!$AO$4:$AR$55,4,FALSE))</f>
        <v>0</v>
      </c>
      <c r="W76" s="4">
        <f>(VLOOKUP('19.12'!AE76,'19.12'!$AO$4:$AR$55,4,FALSE))</f>
        <v>0</v>
      </c>
      <c r="X76" s="4">
        <f>(VLOOKUP('19.12'!AF76,'19.12'!$AO$4:$AR$55,4,FALSE))</f>
        <v>0</v>
      </c>
    </row>
    <row r="77" spans="1:24">
      <c r="A77" s="4">
        <f>(VLOOKUP('19.12'!I77,'19.12'!$AO$4:$AR$55,4,FALSE))</f>
        <v>0</v>
      </c>
      <c r="B77" s="4">
        <f>(VLOOKUP('19.12'!J77,'19.12'!$AO$4:$AR$55,4,FALSE))</f>
        <v>0</v>
      </c>
      <c r="C77" s="4">
        <f>(VLOOKUP('19.12'!K77,'19.12'!$AO$4:$AR$55,4,FALSE))</f>
        <v>0</v>
      </c>
      <c r="D77" s="4">
        <f>(VLOOKUP('19.12'!L77,'19.12'!$AO$4:$AR$55,4,FALSE))</f>
        <v>0</v>
      </c>
      <c r="E77" s="4">
        <f>(VLOOKUP('19.12'!M77,'19.12'!$AO$4:$AR$55,4,FALSE))</f>
        <v>0</v>
      </c>
      <c r="F77" s="4">
        <f>(VLOOKUP('19.12'!N77,'19.12'!$AO$4:$AR$55,4,FALSE))</f>
        <v>0</v>
      </c>
      <c r="G77" s="4">
        <f>(VLOOKUP('19.12'!O77,'19.12'!$AO$4:$AR$55,4,FALSE))</f>
        <v>0</v>
      </c>
      <c r="H77" s="4">
        <f>(VLOOKUP('19.12'!P77,'19.12'!$AO$4:$AR$55,4,FALSE))</f>
        <v>0</v>
      </c>
      <c r="I77" s="4">
        <f>(VLOOKUP('19.12'!Q77,'19.12'!$AO$4:$AR$55,4,FALSE))</f>
        <v>0</v>
      </c>
      <c r="J77" s="4">
        <f>(VLOOKUP('19.12'!R77,'19.12'!$AO$4:$AR$55,4,FALSE))</f>
        <v>0</v>
      </c>
      <c r="K77" s="4">
        <f>(VLOOKUP('19.12'!S77,'19.12'!$AO$4:$AR$55,4,FALSE))</f>
        <v>0</v>
      </c>
      <c r="L77" s="4">
        <f>(VLOOKUP('19.12'!T77,'19.12'!$AO$4:$AR$55,4,FALSE))</f>
        <v>0</v>
      </c>
      <c r="M77" s="4">
        <f>(VLOOKUP('19.12'!U77,'19.12'!$AO$4:$AR$55,4,FALSE))</f>
        <v>0</v>
      </c>
      <c r="N77" s="4">
        <f>(VLOOKUP('19.12'!V77,'19.12'!$AO$4:$AR$55,4,FALSE))</f>
        <v>0</v>
      </c>
      <c r="O77" s="4">
        <f>(VLOOKUP('19.12'!W77,'19.12'!$AO$4:$AR$55,4,FALSE))</f>
        <v>0</v>
      </c>
      <c r="P77" s="4">
        <f>(VLOOKUP('19.12'!X77,'19.12'!$AO$4:$AR$55,4,FALSE))</f>
        <v>0</v>
      </c>
      <c r="Q77" s="4">
        <f>(VLOOKUP('19.12'!Y77,'19.12'!$AO$4:$AR$55,4,FALSE))</f>
        <v>0</v>
      </c>
      <c r="R77" s="4">
        <f>(VLOOKUP('19.12'!Z77,'19.12'!$AO$4:$AR$55,4,FALSE))</f>
        <v>0</v>
      </c>
      <c r="S77" s="4">
        <f>(VLOOKUP('19.12'!AA77,'19.12'!$AO$4:$AR$55,4,FALSE))</f>
        <v>0</v>
      </c>
      <c r="T77" s="4">
        <f>(VLOOKUP('19.12'!AB77,'19.12'!$AO$4:$AR$55,4,FALSE))</f>
        <v>0</v>
      </c>
      <c r="U77" s="4">
        <f>(VLOOKUP('19.12'!AC77,'19.12'!$AO$4:$AR$55,4,FALSE))</f>
        <v>0</v>
      </c>
      <c r="V77" s="4">
        <f>(VLOOKUP('19.12'!AD77,'19.12'!$AO$4:$AR$55,4,FALSE))</f>
        <v>0</v>
      </c>
      <c r="W77" s="4">
        <f>(VLOOKUP('19.12'!AE77,'19.12'!$AO$4:$AR$55,4,FALSE))</f>
        <v>0</v>
      </c>
      <c r="X77" s="4">
        <f>(VLOOKUP('19.12'!AF77,'19.12'!$AO$4:$AR$55,4,FALSE))</f>
        <v>0</v>
      </c>
    </row>
    <row r="78" spans="1:24">
      <c r="A78" s="4">
        <f>(VLOOKUP('19.12'!I78,'19.12'!$AO$4:$AR$55,4,FALSE))</f>
        <v>0</v>
      </c>
      <c r="B78" s="4">
        <f>(VLOOKUP('19.12'!J78,'19.12'!$AO$4:$AR$55,4,FALSE))</f>
        <v>0</v>
      </c>
      <c r="C78" s="4">
        <f>(VLOOKUP('19.12'!K78,'19.12'!$AO$4:$AR$55,4,FALSE))</f>
        <v>0</v>
      </c>
      <c r="D78" s="4">
        <f>(VLOOKUP('19.12'!L78,'19.12'!$AO$4:$AR$55,4,FALSE))</f>
        <v>0</v>
      </c>
      <c r="E78" s="4">
        <f>(VLOOKUP('19.12'!M78,'19.12'!$AO$4:$AR$55,4,FALSE))</f>
        <v>0</v>
      </c>
      <c r="F78" s="4">
        <f>(VLOOKUP('19.12'!N78,'19.12'!$AO$4:$AR$55,4,FALSE))</f>
        <v>0</v>
      </c>
      <c r="G78" s="4">
        <f>(VLOOKUP('19.12'!O78,'19.12'!$AO$4:$AR$55,4,FALSE))</f>
        <v>0</v>
      </c>
      <c r="H78" s="4">
        <f>(VLOOKUP('19.12'!P78,'19.12'!$AO$4:$AR$55,4,FALSE))</f>
        <v>0</v>
      </c>
      <c r="I78" s="4">
        <f>(VLOOKUP('19.12'!Q78,'19.12'!$AO$4:$AR$55,4,FALSE))</f>
        <v>0</v>
      </c>
      <c r="J78" s="4">
        <f>(VLOOKUP('19.12'!R78,'19.12'!$AO$4:$AR$55,4,FALSE))</f>
        <v>0</v>
      </c>
      <c r="K78" s="4">
        <f>(VLOOKUP('19.12'!S78,'19.12'!$AO$4:$AR$55,4,FALSE))</f>
        <v>0</v>
      </c>
      <c r="L78" s="4">
        <f>(VLOOKUP('19.12'!T78,'19.12'!$AO$4:$AR$55,4,FALSE))</f>
        <v>0</v>
      </c>
      <c r="M78" s="4">
        <f>(VLOOKUP('19.12'!U78,'19.12'!$AO$4:$AR$55,4,FALSE))</f>
        <v>0</v>
      </c>
      <c r="N78" s="4">
        <f>(VLOOKUP('19.12'!V78,'19.12'!$AO$4:$AR$55,4,FALSE))</f>
        <v>0</v>
      </c>
      <c r="O78" s="4">
        <f>(VLOOKUP('19.12'!W78,'19.12'!$AO$4:$AR$55,4,FALSE))</f>
        <v>0</v>
      </c>
      <c r="P78" s="4">
        <f>(VLOOKUP('19.12'!X78,'19.12'!$AO$4:$AR$55,4,FALSE))</f>
        <v>0</v>
      </c>
      <c r="Q78" s="4">
        <f>(VLOOKUP('19.12'!Y78,'19.12'!$AO$4:$AR$55,4,FALSE))</f>
        <v>0</v>
      </c>
      <c r="R78" s="4">
        <f>(VLOOKUP('19.12'!Z78,'19.12'!$AO$4:$AR$55,4,FALSE))</f>
        <v>0</v>
      </c>
      <c r="S78" s="4">
        <f>(VLOOKUP('19.12'!AA78,'19.12'!$AO$4:$AR$55,4,FALSE))</f>
        <v>0</v>
      </c>
      <c r="T78" s="4">
        <f>(VLOOKUP('19.12'!AB78,'19.12'!$AO$4:$AR$55,4,FALSE))</f>
        <v>0</v>
      </c>
      <c r="U78" s="4">
        <f>(VLOOKUP('19.12'!AC78,'19.12'!$AO$4:$AR$55,4,FALSE))</f>
        <v>0</v>
      </c>
      <c r="V78" s="4">
        <f>(VLOOKUP('19.12'!AD78,'19.12'!$AO$4:$AR$55,4,FALSE))</f>
        <v>0</v>
      </c>
      <c r="W78" s="4">
        <f>(VLOOKUP('19.12'!AE78,'19.12'!$AO$4:$AR$55,4,FALSE))</f>
        <v>0</v>
      </c>
      <c r="X78" s="4">
        <f>(VLOOKUP('19.12'!AF78,'19.12'!$AO$4:$AR$55,4,FALSE))</f>
        <v>0</v>
      </c>
    </row>
    <row r="79" spans="1:24">
      <c r="A79" s="4">
        <f>(VLOOKUP('19.12'!I79,'19.12'!$AO$4:$AR$55,4,FALSE))</f>
        <v>0</v>
      </c>
      <c r="B79" s="4">
        <f>(VLOOKUP('19.12'!J79,'19.12'!$AO$4:$AR$55,4,FALSE))</f>
        <v>0</v>
      </c>
      <c r="C79" s="4">
        <f>(VLOOKUP('19.12'!K79,'19.12'!$AO$4:$AR$55,4,FALSE))</f>
        <v>0</v>
      </c>
      <c r="D79" s="4">
        <f>(VLOOKUP('19.12'!L79,'19.12'!$AO$4:$AR$55,4,FALSE))</f>
        <v>0</v>
      </c>
      <c r="E79" s="4">
        <f>(VLOOKUP('19.12'!M79,'19.12'!$AO$4:$AR$55,4,FALSE))</f>
        <v>0</v>
      </c>
      <c r="F79" s="4">
        <f>(VLOOKUP('19.12'!N79,'19.12'!$AO$4:$AR$55,4,FALSE))</f>
        <v>0</v>
      </c>
      <c r="G79" s="4">
        <f>(VLOOKUP('19.12'!O79,'19.12'!$AO$4:$AR$55,4,FALSE))</f>
        <v>0</v>
      </c>
      <c r="H79" s="4">
        <f>(VLOOKUP('19.12'!P79,'19.12'!$AO$4:$AR$55,4,FALSE))</f>
        <v>0</v>
      </c>
      <c r="I79" s="4">
        <f>(VLOOKUP('19.12'!Q79,'19.12'!$AO$4:$AR$55,4,FALSE))</f>
        <v>0</v>
      </c>
      <c r="J79" s="4">
        <f>(VLOOKUP('19.12'!R79,'19.12'!$AO$4:$AR$55,4,FALSE))</f>
        <v>0</v>
      </c>
      <c r="K79" s="4">
        <f>(VLOOKUP('19.12'!S79,'19.12'!$AO$4:$AR$55,4,FALSE))</f>
        <v>0</v>
      </c>
      <c r="L79" s="4">
        <f>(VLOOKUP('19.12'!T79,'19.12'!$AO$4:$AR$55,4,FALSE))</f>
        <v>0</v>
      </c>
      <c r="M79" s="4">
        <f>(VLOOKUP('19.12'!U79,'19.12'!$AO$4:$AR$55,4,FALSE))</f>
        <v>0</v>
      </c>
      <c r="N79" s="4">
        <f>(VLOOKUP('19.12'!V79,'19.12'!$AO$4:$AR$55,4,FALSE))</f>
        <v>0</v>
      </c>
      <c r="O79" s="4">
        <f>(VLOOKUP('19.12'!W79,'19.12'!$AO$4:$AR$55,4,FALSE))</f>
        <v>0</v>
      </c>
      <c r="P79" s="4">
        <f>(VLOOKUP('19.12'!X79,'19.12'!$AO$4:$AR$55,4,FALSE))</f>
        <v>0</v>
      </c>
      <c r="Q79" s="4">
        <f>(VLOOKUP('19.12'!Y79,'19.12'!$AO$4:$AR$55,4,FALSE))</f>
        <v>0</v>
      </c>
      <c r="R79" s="4">
        <f>(VLOOKUP('19.12'!Z79,'19.12'!$AO$4:$AR$55,4,FALSE))</f>
        <v>0</v>
      </c>
      <c r="S79" s="4">
        <f>(VLOOKUP('19.12'!AA79,'19.12'!$AO$4:$AR$55,4,FALSE))</f>
        <v>0</v>
      </c>
      <c r="T79" s="4">
        <f>(VLOOKUP('19.12'!AB79,'19.12'!$AO$4:$AR$55,4,FALSE))</f>
        <v>0</v>
      </c>
      <c r="U79" s="4">
        <f>(VLOOKUP('19.12'!AC79,'19.12'!$AO$4:$AR$55,4,FALSE))</f>
        <v>0</v>
      </c>
      <c r="V79" s="4">
        <f>(VLOOKUP('19.12'!AD79,'19.12'!$AO$4:$AR$55,4,FALSE))</f>
        <v>0</v>
      </c>
      <c r="W79" s="4">
        <f>(VLOOKUP('19.12'!AE79,'19.12'!$AO$4:$AR$55,4,FALSE))</f>
        <v>0</v>
      </c>
      <c r="X79" s="4">
        <f>(VLOOKUP('19.12'!AF79,'19.12'!$AO$4:$AR$55,4,FALSE))</f>
        <v>0</v>
      </c>
    </row>
    <row r="80" spans="1:24">
      <c r="A80" s="4">
        <f>(VLOOKUP('19.12'!I80,'19.12'!$AO$4:$AR$55,4,FALSE))</f>
        <v>0</v>
      </c>
      <c r="B80" s="4">
        <f>(VLOOKUP('19.12'!J80,'19.12'!$AO$4:$AR$55,4,FALSE))</f>
        <v>0</v>
      </c>
      <c r="C80" s="4">
        <f>(VLOOKUP('19.12'!K80,'19.12'!$AO$4:$AR$55,4,FALSE))</f>
        <v>0</v>
      </c>
      <c r="D80" s="4">
        <f>(VLOOKUP('19.12'!L80,'19.12'!$AO$4:$AR$55,4,FALSE))</f>
        <v>0</v>
      </c>
      <c r="E80" s="4">
        <f>(VLOOKUP('19.12'!M80,'19.12'!$AO$4:$AR$55,4,FALSE))</f>
        <v>0</v>
      </c>
      <c r="F80" s="4">
        <f>(VLOOKUP('19.12'!N80,'19.12'!$AO$4:$AR$55,4,FALSE))</f>
        <v>0</v>
      </c>
      <c r="G80" s="4">
        <f>(VLOOKUP('19.12'!O80,'19.12'!$AO$4:$AR$55,4,FALSE))</f>
        <v>0</v>
      </c>
      <c r="H80" s="4">
        <f>(VLOOKUP('19.12'!P80,'19.12'!$AO$4:$AR$55,4,FALSE))</f>
        <v>0</v>
      </c>
      <c r="I80" s="4">
        <f>(VLOOKUP('19.12'!Q80,'19.12'!$AO$4:$AR$55,4,FALSE))</f>
        <v>0</v>
      </c>
      <c r="J80" s="4">
        <f>(VLOOKUP('19.12'!R80,'19.12'!$AO$4:$AR$55,4,FALSE))</f>
        <v>0</v>
      </c>
      <c r="K80" s="4">
        <f>(VLOOKUP('19.12'!S80,'19.12'!$AO$4:$AR$55,4,FALSE))</f>
        <v>0</v>
      </c>
      <c r="L80" s="4">
        <f>(VLOOKUP('19.12'!T80,'19.12'!$AO$4:$AR$55,4,FALSE))</f>
        <v>0</v>
      </c>
      <c r="M80" s="4">
        <f>(VLOOKUP('19.12'!U80,'19.12'!$AO$4:$AR$55,4,FALSE))</f>
        <v>0</v>
      </c>
      <c r="N80" s="4">
        <f>(VLOOKUP('19.12'!V80,'19.12'!$AO$4:$AR$55,4,FALSE))</f>
        <v>0</v>
      </c>
      <c r="O80" s="4">
        <f>(VLOOKUP('19.12'!W80,'19.12'!$AO$4:$AR$55,4,FALSE))</f>
        <v>0</v>
      </c>
      <c r="P80" s="4">
        <f>(VLOOKUP('19.12'!X80,'19.12'!$AO$4:$AR$55,4,FALSE))</f>
        <v>0</v>
      </c>
      <c r="Q80" s="4">
        <f>(VLOOKUP('19.12'!Y80,'19.12'!$AO$4:$AR$55,4,FALSE))</f>
        <v>0</v>
      </c>
      <c r="R80" s="4">
        <f>(VLOOKUP('19.12'!Z80,'19.12'!$AO$4:$AR$55,4,FALSE))</f>
        <v>0</v>
      </c>
      <c r="S80" s="4">
        <f>(VLOOKUP('19.12'!AA80,'19.12'!$AO$4:$AR$55,4,FALSE))</f>
        <v>0</v>
      </c>
      <c r="T80" s="4">
        <f>(VLOOKUP('19.12'!AB80,'19.12'!$AO$4:$AR$55,4,FALSE))</f>
        <v>0</v>
      </c>
      <c r="U80" s="4">
        <f>(VLOOKUP('19.12'!AC80,'19.12'!$AO$4:$AR$55,4,FALSE))</f>
        <v>0</v>
      </c>
      <c r="V80" s="4">
        <f>(VLOOKUP('19.12'!AD80,'19.12'!$AO$4:$AR$55,4,FALSE))</f>
        <v>0</v>
      </c>
      <c r="W80" s="4">
        <f>(VLOOKUP('19.12'!AE80,'19.12'!$AO$4:$AR$55,4,FALSE))</f>
        <v>0</v>
      </c>
      <c r="X80" s="4">
        <f>(VLOOKUP('19.12'!AF80,'19.12'!$AO$4:$AR$55,4,FALSE))</f>
        <v>0</v>
      </c>
    </row>
    <row r="81" spans="1:24">
      <c r="A81" s="4">
        <f>(VLOOKUP('19.12'!I81,'19.12'!$AO$4:$AR$55,4,FALSE))</f>
        <v>0</v>
      </c>
      <c r="B81" s="4">
        <f>(VLOOKUP('19.12'!J81,'19.12'!$AO$4:$AR$55,4,FALSE))</f>
        <v>0</v>
      </c>
      <c r="C81" s="4">
        <f>(VLOOKUP('19.12'!K81,'19.12'!$AO$4:$AR$55,4,FALSE))</f>
        <v>0</v>
      </c>
      <c r="D81" s="4">
        <f>(VLOOKUP('19.12'!L81,'19.12'!$AO$4:$AR$55,4,FALSE))</f>
        <v>0</v>
      </c>
      <c r="E81" s="4">
        <f>(VLOOKUP('19.12'!M81,'19.12'!$AO$4:$AR$55,4,FALSE))</f>
        <v>0</v>
      </c>
      <c r="F81" s="4">
        <f>(VLOOKUP('19.12'!N81,'19.12'!$AO$4:$AR$55,4,FALSE))</f>
        <v>0</v>
      </c>
      <c r="G81" s="4">
        <f>(VLOOKUP('19.12'!O81,'19.12'!$AO$4:$AR$55,4,FALSE))</f>
        <v>0</v>
      </c>
      <c r="H81" s="4">
        <f>(VLOOKUP('19.12'!P81,'19.12'!$AO$4:$AR$55,4,FALSE))</f>
        <v>0</v>
      </c>
      <c r="I81" s="4">
        <f>(VLOOKUP('19.12'!Q81,'19.12'!$AO$4:$AR$55,4,FALSE))</f>
        <v>0</v>
      </c>
      <c r="J81" s="4">
        <f>(VLOOKUP('19.12'!R81,'19.12'!$AO$4:$AR$55,4,FALSE))</f>
        <v>0</v>
      </c>
      <c r="K81" s="4">
        <f>(VLOOKUP('19.12'!S81,'19.12'!$AO$4:$AR$55,4,FALSE))</f>
        <v>0</v>
      </c>
      <c r="L81" s="4">
        <f>(VLOOKUP('19.12'!T81,'19.12'!$AO$4:$AR$55,4,FALSE))</f>
        <v>0</v>
      </c>
      <c r="M81" s="4">
        <f>(VLOOKUP('19.12'!U81,'19.12'!$AO$4:$AR$55,4,FALSE))</f>
        <v>0</v>
      </c>
      <c r="N81" s="4">
        <f>(VLOOKUP('19.12'!V81,'19.12'!$AO$4:$AR$55,4,FALSE))</f>
        <v>0</v>
      </c>
      <c r="O81" s="4">
        <f>(VLOOKUP('19.12'!W81,'19.12'!$AO$4:$AR$55,4,FALSE))</f>
        <v>0</v>
      </c>
      <c r="P81" s="4">
        <f>(VLOOKUP('19.12'!X81,'19.12'!$AO$4:$AR$55,4,FALSE))</f>
        <v>0</v>
      </c>
      <c r="Q81" s="4">
        <f>(VLOOKUP('19.12'!Y81,'19.12'!$AO$4:$AR$55,4,FALSE))</f>
        <v>0</v>
      </c>
      <c r="R81" s="4">
        <f>(VLOOKUP('19.12'!Z81,'19.12'!$AO$4:$AR$55,4,FALSE))</f>
        <v>0</v>
      </c>
      <c r="S81" s="4">
        <f>(VLOOKUP('19.12'!AA81,'19.12'!$AO$4:$AR$55,4,FALSE))</f>
        <v>0</v>
      </c>
      <c r="T81" s="4">
        <f>(VLOOKUP('19.12'!AB81,'19.12'!$AO$4:$AR$55,4,FALSE))</f>
        <v>0</v>
      </c>
      <c r="U81" s="4">
        <f>(VLOOKUP('19.12'!AC81,'19.12'!$AO$4:$AR$55,4,FALSE))</f>
        <v>0</v>
      </c>
      <c r="V81" s="4">
        <f>(VLOOKUP('19.12'!AD81,'19.12'!$AO$4:$AR$55,4,FALSE))</f>
        <v>0</v>
      </c>
      <c r="W81" s="4">
        <f>(VLOOKUP('19.12'!AE81,'19.12'!$AO$4:$AR$55,4,FALSE))</f>
        <v>0</v>
      </c>
      <c r="X81" s="4">
        <f>(VLOOKUP('19.12'!AF81,'19.12'!$AO$4:$AR$55,4,FALSE))</f>
        <v>0</v>
      </c>
    </row>
    <row r="82" spans="1:24">
      <c r="A82" s="4">
        <f>(VLOOKUP('19.12'!I82,'19.12'!$AO$4:$AR$55,4,FALSE))</f>
        <v>0</v>
      </c>
      <c r="B82" s="4">
        <f>(VLOOKUP('19.12'!J82,'19.12'!$AO$4:$AR$55,4,FALSE))</f>
        <v>0</v>
      </c>
      <c r="C82" s="4">
        <f>(VLOOKUP('19.12'!K82,'19.12'!$AO$4:$AR$55,4,FALSE))</f>
        <v>0</v>
      </c>
      <c r="D82" s="4">
        <f>(VLOOKUP('19.12'!L82,'19.12'!$AO$4:$AR$55,4,FALSE))</f>
        <v>0</v>
      </c>
      <c r="E82" s="4">
        <f>(VLOOKUP('19.12'!M82,'19.12'!$AO$4:$AR$55,4,FALSE))</f>
        <v>0</v>
      </c>
      <c r="F82" s="4">
        <f>(VLOOKUP('19.12'!N82,'19.12'!$AO$4:$AR$55,4,FALSE))</f>
        <v>0</v>
      </c>
      <c r="G82" s="4">
        <f>(VLOOKUP('19.12'!O82,'19.12'!$AO$4:$AR$55,4,FALSE))</f>
        <v>0</v>
      </c>
      <c r="H82" s="4">
        <f>(VLOOKUP('19.12'!P82,'19.12'!$AO$4:$AR$55,4,FALSE))</f>
        <v>0</v>
      </c>
      <c r="I82" s="4">
        <f>(VLOOKUP('19.12'!Q82,'19.12'!$AO$4:$AR$55,4,FALSE))</f>
        <v>0</v>
      </c>
      <c r="J82" s="4">
        <f>(VLOOKUP('19.12'!R82,'19.12'!$AO$4:$AR$55,4,FALSE))</f>
        <v>0</v>
      </c>
      <c r="K82" s="4">
        <f>(VLOOKUP('19.12'!S82,'19.12'!$AO$4:$AR$55,4,FALSE))</f>
        <v>0</v>
      </c>
      <c r="L82" s="4">
        <f>(VLOOKUP('19.12'!T82,'19.12'!$AO$4:$AR$55,4,FALSE))</f>
        <v>0</v>
      </c>
      <c r="M82" s="4">
        <f>(VLOOKUP('19.12'!U82,'19.12'!$AO$4:$AR$55,4,FALSE))</f>
        <v>0</v>
      </c>
      <c r="N82" s="4">
        <f>(VLOOKUP('19.12'!V82,'19.12'!$AO$4:$AR$55,4,FALSE))</f>
        <v>0</v>
      </c>
      <c r="O82" s="4">
        <f>(VLOOKUP('19.12'!W82,'19.12'!$AO$4:$AR$55,4,FALSE))</f>
        <v>0</v>
      </c>
      <c r="P82" s="4">
        <f>(VLOOKUP('19.12'!X82,'19.12'!$AO$4:$AR$55,4,FALSE))</f>
        <v>0</v>
      </c>
      <c r="Q82" s="4">
        <f>(VLOOKUP('19.12'!Y82,'19.12'!$AO$4:$AR$55,4,FALSE))</f>
        <v>0</v>
      </c>
      <c r="R82" s="4">
        <f>(VLOOKUP('19.12'!Z82,'19.12'!$AO$4:$AR$55,4,FALSE))</f>
        <v>0</v>
      </c>
      <c r="S82" s="4">
        <f>(VLOOKUP('19.12'!AA82,'19.12'!$AO$4:$AR$55,4,FALSE))</f>
        <v>0</v>
      </c>
      <c r="T82" s="4">
        <f>(VLOOKUP('19.12'!AB82,'19.12'!$AO$4:$AR$55,4,FALSE))</f>
        <v>0</v>
      </c>
      <c r="U82" s="4">
        <f>(VLOOKUP('19.12'!AC82,'19.12'!$AO$4:$AR$55,4,FALSE))</f>
        <v>0</v>
      </c>
      <c r="V82" s="4">
        <f>(VLOOKUP('19.12'!AD82,'19.12'!$AO$4:$AR$55,4,FALSE))</f>
        <v>0</v>
      </c>
      <c r="W82" s="4">
        <f>(VLOOKUP('19.12'!AE82,'19.12'!$AO$4:$AR$55,4,FALSE))</f>
        <v>0</v>
      </c>
      <c r="X82" s="4">
        <f>(VLOOKUP('19.12'!AF82,'19.12'!$AO$4:$AR$55,4,FALSE))</f>
        <v>0</v>
      </c>
    </row>
    <row r="83" spans="1:24">
      <c r="A83" s="4">
        <f>(VLOOKUP('19.12'!I83,'19.12'!$AO$4:$AR$55,4,FALSE))</f>
        <v>0</v>
      </c>
      <c r="B83" s="4">
        <f>(VLOOKUP('19.12'!J83,'19.12'!$AO$4:$AR$55,4,FALSE))</f>
        <v>0</v>
      </c>
      <c r="C83" s="4">
        <f>(VLOOKUP('19.12'!K83,'19.12'!$AO$4:$AR$55,4,FALSE))</f>
        <v>0</v>
      </c>
      <c r="D83" s="4">
        <f>(VLOOKUP('19.12'!L83,'19.12'!$AO$4:$AR$55,4,FALSE))</f>
        <v>0</v>
      </c>
      <c r="E83" s="4">
        <f>(VLOOKUP('19.12'!M83,'19.12'!$AO$4:$AR$55,4,FALSE))</f>
        <v>0</v>
      </c>
      <c r="F83" s="4">
        <f>(VLOOKUP('19.12'!N83,'19.12'!$AO$4:$AR$55,4,FALSE))</f>
        <v>0</v>
      </c>
      <c r="G83" s="4">
        <f>(VLOOKUP('19.12'!O83,'19.12'!$AO$4:$AR$55,4,FALSE))</f>
        <v>0</v>
      </c>
      <c r="H83" s="4">
        <f>(VLOOKUP('19.12'!P83,'19.12'!$AO$4:$AR$55,4,FALSE))</f>
        <v>0</v>
      </c>
      <c r="I83" s="4">
        <f>(VLOOKUP('19.12'!Q83,'19.12'!$AO$4:$AR$55,4,FALSE))</f>
        <v>0</v>
      </c>
      <c r="J83" s="4">
        <f>(VLOOKUP('19.12'!R83,'19.12'!$AO$4:$AR$55,4,FALSE))</f>
        <v>0</v>
      </c>
      <c r="K83" s="4">
        <f>(VLOOKUP('19.12'!S83,'19.12'!$AO$4:$AR$55,4,FALSE))</f>
        <v>0</v>
      </c>
      <c r="L83" s="4">
        <f>(VLOOKUP('19.12'!T83,'19.12'!$AO$4:$AR$55,4,FALSE))</f>
        <v>0</v>
      </c>
      <c r="M83" s="4">
        <f>(VLOOKUP('19.12'!U83,'19.12'!$AO$4:$AR$55,4,FALSE))</f>
        <v>0</v>
      </c>
      <c r="N83" s="4">
        <f>(VLOOKUP('19.12'!V83,'19.12'!$AO$4:$AR$55,4,FALSE))</f>
        <v>0</v>
      </c>
      <c r="O83" s="4">
        <f>(VLOOKUP('19.12'!W83,'19.12'!$AO$4:$AR$55,4,FALSE))</f>
        <v>0</v>
      </c>
      <c r="P83" s="4">
        <f>(VLOOKUP('19.12'!X83,'19.12'!$AO$4:$AR$55,4,FALSE))</f>
        <v>0</v>
      </c>
      <c r="Q83" s="4">
        <f>(VLOOKUP('19.12'!Y83,'19.12'!$AO$4:$AR$55,4,FALSE))</f>
        <v>0</v>
      </c>
      <c r="R83" s="4">
        <f>(VLOOKUP('19.12'!Z83,'19.12'!$AO$4:$AR$55,4,FALSE))</f>
        <v>0</v>
      </c>
      <c r="S83" s="4">
        <f>(VLOOKUP('19.12'!AA83,'19.12'!$AO$4:$AR$55,4,FALSE))</f>
        <v>0</v>
      </c>
      <c r="T83" s="4">
        <f>(VLOOKUP('19.12'!AB83,'19.12'!$AO$4:$AR$55,4,FALSE))</f>
        <v>0</v>
      </c>
      <c r="U83" s="4">
        <f>(VLOOKUP('19.12'!AC83,'19.12'!$AO$4:$AR$55,4,FALSE))</f>
        <v>0</v>
      </c>
      <c r="V83" s="4">
        <f>(VLOOKUP('19.12'!AD83,'19.12'!$AO$4:$AR$55,4,FALSE))</f>
        <v>0</v>
      </c>
      <c r="W83" s="4">
        <f>(VLOOKUP('19.12'!AE83,'19.12'!$AO$4:$AR$55,4,FALSE))</f>
        <v>0</v>
      </c>
      <c r="X83" s="4">
        <f>(VLOOKUP('19.12'!AF83,'19.12'!$AO$4:$AR$55,4,FALSE))</f>
        <v>0</v>
      </c>
    </row>
    <row r="84" spans="1:24">
      <c r="A84" s="4">
        <f>(VLOOKUP('19.12'!I84,'19.12'!$AO$4:$AR$55,4,FALSE))</f>
        <v>0</v>
      </c>
      <c r="B84" s="4">
        <f>(VLOOKUP('19.12'!J84,'19.12'!$AO$4:$AR$55,4,FALSE))</f>
        <v>0</v>
      </c>
      <c r="C84" s="4">
        <f>(VLOOKUP('19.12'!K84,'19.12'!$AO$4:$AR$55,4,FALSE))</f>
        <v>0</v>
      </c>
      <c r="D84" s="4">
        <f>(VLOOKUP('19.12'!L84,'19.12'!$AO$4:$AR$55,4,FALSE))</f>
        <v>0</v>
      </c>
      <c r="E84" s="4">
        <f>(VLOOKUP('19.12'!M84,'19.12'!$AO$4:$AR$55,4,FALSE))</f>
        <v>0</v>
      </c>
      <c r="F84" s="4">
        <f>(VLOOKUP('19.12'!N84,'19.12'!$AO$4:$AR$55,4,FALSE))</f>
        <v>0</v>
      </c>
      <c r="G84" s="4">
        <f>(VLOOKUP('19.12'!O84,'19.12'!$AO$4:$AR$55,4,FALSE))</f>
        <v>0</v>
      </c>
      <c r="H84" s="4">
        <f>(VLOOKUP('19.12'!P84,'19.12'!$AO$4:$AR$55,4,FALSE))</f>
        <v>0</v>
      </c>
      <c r="I84" s="4">
        <f>(VLOOKUP('19.12'!Q84,'19.12'!$AO$4:$AR$55,4,FALSE))</f>
        <v>0</v>
      </c>
      <c r="J84" s="4">
        <f>(VLOOKUP('19.12'!R84,'19.12'!$AO$4:$AR$55,4,FALSE))</f>
        <v>0</v>
      </c>
      <c r="K84" s="4">
        <f>(VLOOKUP('19.12'!S84,'19.12'!$AO$4:$AR$55,4,FALSE))</f>
        <v>0</v>
      </c>
      <c r="L84" s="4">
        <f>(VLOOKUP('19.12'!T84,'19.12'!$AO$4:$AR$55,4,FALSE))</f>
        <v>0</v>
      </c>
      <c r="M84" s="4">
        <f>(VLOOKUP('19.12'!U84,'19.12'!$AO$4:$AR$55,4,FALSE))</f>
        <v>0</v>
      </c>
      <c r="N84" s="4">
        <f>(VLOOKUP('19.12'!V84,'19.12'!$AO$4:$AR$55,4,FALSE))</f>
        <v>0</v>
      </c>
      <c r="O84" s="4">
        <f>(VLOOKUP('19.12'!W84,'19.12'!$AO$4:$AR$55,4,FALSE))</f>
        <v>0</v>
      </c>
      <c r="P84" s="4">
        <f>(VLOOKUP('19.12'!X84,'19.12'!$AO$4:$AR$55,4,FALSE))</f>
        <v>0</v>
      </c>
      <c r="Q84" s="4">
        <f>(VLOOKUP('19.12'!Y84,'19.12'!$AO$4:$AR$55,4,FALSE))</f>
        <v>0</v>
      </c>
      <c r="R84" s="4">
        <f>(VLOOKUP('19.12'!Z84,'19.12'!$AO$4:$AR$55,4,FALSE))</f>
        <v>0</v>
      </c>
      <c r="S84" s="4">
        <f>(VLOOKUP('19.12'!AA84,'19.12'!$AO$4:$AR$55,4,FALSE))</f>
        <v>0</v>
      </c>
      <c r="T84" s="4">
        <f>(VLOOKUP('19.12'!AB84,'19.12'!$AO$4:$AR$55,4,FALSE))</f>
        <v>0</v>
      </c>
      <c r="U84" s="4">
        <f>(VLOOKUP('19.12'!AC84,'19.12'!$AO$4:$AR$55,4,FALSE))</f>
        <v>0</v>
      </c>
      <c r="V84" s="4">
        <f>(VLOOKUP('19.12'!AD84,'19.12'!$AO$4:$AR$55,4,FALSE))</f>
        <v>0</v>
      </c>
      <c r="W84" s="4">
        <f>(VLOOKUP('19.12'!AE84,'19.12'!$AO$4:$AR$55,4,FALSE))</f>
        <v>0</v>
      </c>
      <c r="X84" s="4">
        <f>(VLOOKUP('19.12'!AF84,'19.12'!$AO$4:$AR$55,4,FALSE))</f>
        <v>0</v>
      </c>
    </row>
    <row r="85" spans="1:24">
      <c r="A85" s="4">
        <f>(VLOOKUP('19.12'!I85,'19.12'!$AO$4:$AR$55,4,FALSE))</f>
        <v>0</v>
      </c>
      <c r="B85" s="4">
        <f>(VLOOKUP('19.12'!J85,'19.12'!$AO$4:$AR$55,4,FALSE))</f>
        <v>0</v>
      </c>
      <c r="C85" s="4">
        <f>(VLOOKUP('19.12'!K85,'19.12'!$AO$4:$AR$55,4,FALSE))</f>
        <v>0</v>
      </c>
      <c r="D85" s="4">
        <f>(VLOOKUP('19.12'!L85,'19.12'!$AO$4:$AR$55,4,FALSE))</f>
        <v>0</v>
      </c>
      <c r="E85" s="4">
        <f>(VLOOKUP('19.12'!M85,'19.12'!$AO$4:$AR$55,4,FALSE))</f>
        <v>0</v>
      </c>
      <c r="F85" s="4">
        <f>(VLOOKUP('19.12'!N85,'19.12'!$AO$4:$AR$55,4,FALSE))</f>
        <v>0</v>
      </c>
      <c r="G85" s="4">
        <f>(VLOOKUP('19.12'!O85,'19.12'!$AO$4:$AR$55,4,FALSE))</f>
        <v>0</v>
      </c>
      <c r="H85" s="4">
        <f>(VLOOKUP('19.12'!P85,'19.12'!$AO$4:$AR$55,4,FALSE))</f>
        <v>0</v>
      </c>
      <c r="I85" s="4">
        <f>(VLOOKUP('19.12'!Q85,'19.12'!$AO$4:$AR$55,4,FALSE))</f>
        <v>0</v>
      </c>
      <c r="J85" s="4">
        <f>(VLOOKUP('19.12'!R85,'19.12'!$AO$4:$AR$55,4,FALSE))</f>
        <v>0</v>
      </c>
      <c r="K85" s="4">
        <f>(VLOOKUP('19.12'!S85,'19.12'!$AO$4:$AR$55,4,FALSE))</f>
        <v>0</v>
      </c>
      <c r="L85" s="4">
        <f>(VLOOKUP('19.12'!T85,'19.12'!$AO$4:$AR$55,4,FALSE))</f>
        <v>0</v>
      </c>
      <c r="M85" s="4">
        <f>(VLOOKUP('19.12'!U85,'19.12'!$AO$4:$AR$55,4,FALSE))</f>
        <v>0</v>
      </c>
      <c r="N85" s="4">
        <f>(VLOOKUP('19.12'!V85,'19.12'!$AO$4:$AR$55,4,FALSE))</f>
        <v>0</v>
      </c>
      <c r="O85" s="4">
        <f>(VLOOKUP('19.12'!W85,'19.12'!$AO$4:$AR$55,4,FALSE))</f>
        <v>0</v>
      </c>
      <c r="P85" s="4">
        <f>(VLOOKUP('19.12'!X85,'19.12'!$AO$4:$AR$55,4,FALSE))</f>
        <v>0</v>
      </c>
      <c r="Q85" s="4">
        <f>(VLOOKUP('19.12'!Y85,'19.12'!$AO$4:$AR$55,4,FALSE))</f>
        <v>0</v>
      </c>
      <c r="R85" s="4">
        <f>(VLOOKUP('19.12'!Z85,'19.12'!$AO$4:$AR$55,4,FALSE))</f>
        <v>0</v>
      </c>
      <c r="S85" s="4">
        <f>(VLOOKUP('19.12'!AA85,'19.12'!$AO$4:$AR$55,4,FALSE))</f>
        <v>0</v>
      </c>
      <c r="T85" s="4">
        <f>(VLOOKUP('19.12'!AB85,'19.12'!$AO$4:$AR$55,4,FALSE))</f>
        <v>0</v>
      </c>
      <c r="U85" s="4">
        <f>(VLOOKUP('19.12'!AC85,'19.12'!$AO$4:$AR$55,4,FALSE))</f>
        <v>0</v>
      </c>
      <c r="V85" s="4">
        <f>(VLOOKUP('19.12'!AD85,'19.12'!$AO$4:$AR$55,4,FALSE))</f>
        <v>0</v>
      </c>
      <c r="W85" s="4">
        <f>(VLOOKUP('19.12'!AE85,'19.12'!$AO$4:$AR$55,4,FALSE))</f>
        <v>0</v>
      </c>
      <c r="X85" s="4">
        <f>(VLOOKUP('19.12'!AF85,'19.12'!$AO$4:$AR$55,4,FALSE))</f>
        <v>0</v>
      </c>
    </row>
    <row r="86" spans="1:24">
      <c r="A86" s="4">
        <f>(VLOOKUP('19.12'!I86,'19.12'!$AO$4:$AR$55,4,FALSE))</f>
        <v>0</v>
      </c>
      <c r="B86" s="4">
        <f>(VLOOKUP('19.12'!J86,'19.12'!$AO$4:$AR$55,4,FALSE))</f>
        <v>0</v>
      </c>
      <c r="C86" s="4">
        <f>(VLOOKUP('19.12'!K86,'19.12'!$AO$4:$AR$55,4,FALSE))</f>
        <v>0</v>
      </c>
      <c r="D86" s="4">
        <f>(VLOOKUP('19.12'!L86,'19.12'!$AO$4:$AR$55,4,FALSE))</f>
        <v>0</v>
      </c>
      <c r="E86" s="4">
        <f>(VLOOKUP('19.12'!M86,'19.12'!$AO$4:$AR$55,4,FALSE))</f>
        <v>0</v>
      </c>
      <c r="F86" s="4">
        <f>(VLOOKUP('19.12'!N86,'19.12'!$AO$4:$AR$55,4,FALSE))</f>
        <v>0</v>
      </c>
      <c r="G86" s="4">
        <f>(VLOOKUP('19.12'!O86,'19.12'!$AO$4:$AR$55,4,FALSE))</f>
        <v>0</v>
      </c>
      <c r="H86" s="4">
        <f>(VLOOKUP('19.12'!P86,'19.12'!$AO$4:$AR$55,4,FALSE))</f>
        <v>0</v>
      </c>
      <c r="I86" s="4">
        <f>(VLOOKUP('19.12'!Q86,'19.12'!$AO$4:$AR$55,4,FALSE))</f>
        <v>0</v>
      </c>
      <c r="J86" s="4">
        <f>(VLOOKUP('19.12'!R86,'19.12'!$AO$4:$AR$55,4,FALSE))</f>
        <v>0</v>
      </c>
      <c r="K86" s="4">
        <f>(VLOOKUP('19.12'!S86,'19.12'!$AO$4:$AR$55,4,FALSE))</f>
        <v>0</v>
      </c>
      <c r="L86" s="4">
        <f>(VLOOKUP('19.12'!T86,'19.12'!$AO$4:$AR$55,4,FALSE))</f>
        <v>0</v>
      </c>
      <c r="M86" s="4">
        <f>(VLOOKUP('19.12'!U86,'19.12'!$AO$4:$AR$55,4,FALSE))</f>
        <v>0</v>
      </c>
      <c r="N86" s="4">
        <f>(VLOOKUP('19.12'!V86,'19.12'!$AO$4:$AR$55,4,FALSE))</f>
        <v>0</v>
      </c>
      <c r="O86" s="4">
        <f>(VLOOKUP('19.12'!W86,'19.12'!$AO$4:$AR$55,4,FALSE))</f>
        <v>0</v>
      </c>
      <c r="P86" s="4">
        <f>(VLOOKUP('19.12'!X86,'19.12'!$AO$4:$AR$55,4,FALSE))</f>
        <v>0</v>
      </c>
      <c r="Q86" s="4">
        <f>(VLOOKUP('19.12'!Y86,'19.12'!$AO$4:$AR$55,4,FALSE))</f>
        <v>0</v>
      </c>
      <c r="R86" s="4">
        <f>(VLOOKUP('19.12'!Z86,'19.12'!$AO$4:$AR$55,4,FALSE))</f>
        <v>0</v>
      </c>
      <c r="S86" s="4">
        <f>(VLOOKUP('19.12'!AA86,'19.12'!$AO$4:$AR$55,4,FALSE))</f>
        <v>0</v>
      </c>
      <c r="T86" s="4">
        <f>(VLOOKUP('19.12'!AB86,'19.12'!$AO$4:$AR$55,4,FALSE))</f>
        <v>0</v>
      </c>
      <c r="U86" s="4">
        <f>(VLOOKUP('19.12'!AC86,'19.12'!$AO$4:$AR$55,4,FALSE))</f>
        <v>0</v>
      </c>
      <c r="V86" s="4">
        <f>(VLOOKUP('19.12'!AD86,'19.12'!$AO$4:$AR$55,4,FALSE))</f>
        <v>0</v>
      </c>
      <c r="W86" s="4">
        <f>(VLOOKUP('19.12'!AE86,'19.12'!$AO$4:$AR$55,4,FALSE))</f>
        <v>0</v>
      </c>
      <c r="X86" s="4">
        <f>(VLOOKUP('19.12'!AF86,'19.12'!$AO$4:$AR$55,4,FALSE))</f>
        <v>0</v>
      </c>
    </row>
    <row r="87" spans="1:24">
      <c r="A87" s="4">
        <f>(VLOOKUP('19.12'!I87,'19.12'!$AO$4:$AR$55,4,FALSE))</f>
        <v>0</v>
      </c>
      <c r="B87" s="4">
        <f>(VLOOKUP('19.12'!J87,'19.12'!$AO$4:$AR$55,4,FALSE))</f>
        <v>0</v>
      </c>
      <c r="C87" s="4">
        <f>(VLOOKUP('19.12'!K87,'19.12'!$AO$4:$AR$55,4,FALSE))</f>
        <v>0</v>
      </c>
      <c r="D87" s="4">
        <f>(VLOOKUP('19.12'!L87,'19.12'!$AO$4:$AR$55,4,FALSE))</f>
        <v>0</v>
      </c>
      <c r="E87" s="4">
        <f>(VLOOKUP('19.12'!M87,'19.12'!$AO$4:$AR$55,4,FALSE))</f>
        <v>0</v>
      </c>
      <c r="F87" s="4">
        <f>(VLOOKUP('19.12'!N87,'19.12'!$AO$4:$AR$55,4,FALSE))</f>
        <v>0</v>
      </c>
      <c r="G87" s="4">
        <f>(VLOOKUP('19.12'!O87,'19.12'!$AO$4:$AR$55,4,FALSE))</f>
        <v>0</v>
      </c>
      <c r="H87" s="4">
        <f>(VLOOKUP('19.12'!P87,'19.12'!$AO$4:$AR$55,4,FALSE))</f>
        <v>0</v>
      </c>
      <c r="I87" s="4">
        <f>(VLOOKUP('19.12'!Q87,'19.12'!$AO$4:$AR$55,4,FALSE))</f>
        <v>0</v>
      </c>
      <c r="J87" s="4">
        <f>(VLOOKUP('19.12'!R87,'19.12'!$AO$4:$AR$55,4,FALSE))</f>
        <v>0</v>
      </c>
      <c r="K87" s="4">
        <f>(VLOOKUP('19.12'!S87,'19.12'!$AO$4:$AR$55,4,FALSE))</f>
        <v>0</v>
      </c>
      <c r="L87" s="4">
        <f>(VLOOKUP('19.12'!T87,'19.12'!$AO$4:$AR$55,4,FALSE))</f>
        <v>0</v>
      </c>
      <c r="M87" s="4">
        <f>(VLOOKUP('19.12'!U87,'19.12'!$AO$4:$AR$55,4,FALSE))</f>
        <v>0</v>
      </c>
      <c r="N87" s="4">
        <f>(VLOOKUP('19.12'!V87,'19.12'!$AO$4:$AR$55,4,FALSE))</f>
        <v>0</v>
      </c>
      <c r="O87" s="4">
        <f>(VLOOKUP('19.12'!W87,'19.12'!$AO$4:$AR$55,4,FALSE))</f>
        <v>0</v>
      </c>
      <c r="P87" s="4">
        <f>(VLOOKUP('19.12'!X87,'19.12'!$AO$4:$AR$55,4,FALSE))</f>
        <v>0</v>
      </c>
      <c r="Q87" s="4">
        <f>(VLOOKUP('19.12'!Y87,'19.12'!$AO$4:$AR$55,4,FALSE))</f>
        <v>0</v>
      </c>
      <c r="R87" s="4">
        <f>(VLOOKUP('19.12'!Z87,'19.12'!$AO$4:$AR$55,4,FALSE))</f>
        <v>0</v>
      </c>
      <c r="S87" s="4">
        <f>(VLOOKUP('19.12'!AA87,'19.12'!$AO$4:$AR$55,4,FALSE))</f>
        <v>0</v>
      </c>
      <c r="T87" s="4">
        <f>(VLOOKUP('19.12'!AB87,'19.12'!$AO$4:$AR$55,4,FALSE))</f>
        <v>0</v>
      </c>
      <c r="U87" s="4">
        <f>(VLOOKUP('19.12'!AC87,'19.12'!$AO$4:$AR$55,4,FALSE))</f>
        <v>0</v>
      </c>
      <c r="V87" s="4">
        <f>(VLOOKUP('19.12'!AD87,'19.12'!$AO$4:$AR$55,4,FALSE))</f>
        <v>0</v>
      </c>
      <c r="W87" s="4">
        <f>(VLOOKUP('19.12'!AE87,'19.12'!$AO$4:$AR$55,4,FALSE))</f>
        <v>0</v>
      </c>
      <c r="X87" s="4">
        <f>(VLOOKUP('19.12'!AF87,'19.12'!$AO$4:$AR$55,4,FALSE))</f>
        <v>0</v>
      </c>
    </row>
    <row r="88" spans="1:24">
      <c r="A88" s="4">
        <f>(VLOOKUP('19.12'!I88,'19.12'!$AO$4:$AR$55,4,FALSE))</f>
        <v>0</v>
      </c>
      <c r="B88" s="4">
        <f>(VLOOKUP('19.12'!J88,'19.12'!$AO$4:$AR$55,4,FALSE))</f>
        <v>0</v>
      </c>
      <c r="C88" s="4">
        <f>(VLOOKUP('19.12'!K88,'19.12'!$AO$4:$AR$55,4,FALSE))</f>
        <v>0</v>
      </c>
      <c r="D88" s="4">
        <f>(VLOOKUP('19.12'!L88,'19.12'!$AO$4:$AR$55,4,FALSE))</f>
        <v>0</v>
      </c>
      <c r="E88" s="4">
        <f>(VLOOKUP('19.12'!M88,'19.12'!$AO$4:$AR$55,4,FALSE))</f>
        <v>0</v>
      </c>
      <c r="F88" s="4">
        <f>(VLOOKUP('19.12'!N88,'19.12'!$AO$4:$AR$55,4,FALSE))</f>
        <v>0</v>
      </c>
      <c r="G88" s="4">
        <f>(VLOOKUP('19.12'!O88,'19.12'!$AO$4:$AR$55,4,FALSE))</f>
        <v>0</v>
      </c>
      <c r="H88" s="4">
        <f>(VLOOKUP('19.12'!P88,'19.12'!$AO$4:$AR$55,4,FALSE))</f>
        <v>0</v>
      </c>
      <c r="I88" s="4">
        <f>(VLOOKUP('19.12'!Q88,'19.12'!$AO$4:$AR$55,4,FALSE))</f>
        <v>0</v>
      </c>
      <c r="J88" s="4">
        <f>(VLOOKUP('19.12'!R88,'19.12'!$AO$4:$AR$55,4,FALSE))</f>
        <v>0</v>
      </c>
      <c r="K88" s="4">
        <f>(VLOOKUP('19.12'!S88,'19.12'!$AO$4:$AR$55,4,FALSE))</f>
        <v>0</v>
      </c>
      <c r="L88" s="4">
        <f>(VLOOKUP('19.12'!T88,'19.12'!$AO$4:$AR$55,4,FALSE))</f>
        <v>0</v>
      </c>
      <c r="M88" s="4">
        <f>(VLOOKUP('19.12'!U88,'19.12'!$AO$4:$AR$55,4,FALSE))</f>
        <v>0</v>
      </c>
      <c r="N88" s="4">
        <f>(VLOOKUP('19.12'!V88,'19.12'!$AO$4:$AR$55,4,FALSE))</f>
        <v>0</v>
      </c>
      <c r="O88" s="4">
        <f>(VLOOKUP('19.12'!W88,'19.12'!$AO$4:$AR$55,4,FALSE))</f>
        <v>0</v>
      </c>
      <c r="P88" s="4">
        <f>(VLOOKUP('19.12'!X88,'19.12'!$AO$4:$AR$55,4,FALSE))</f>
        <v>0</v>
      </c>
      <c r="Q88" s="4">
        <f>(VLOOKUP('19.12'!Y88,'19.12'!$AO$4:$AR$55,4,FALSE))</f>
        <v>0</v>
      </c>
      <c r="R88" s="4">
        <f>(VLOOKUP('19.12'!Z88,'19.12'!$AO$4:$AR$55,4,FALSE))</f>
        <v>0</v>
      </c>
      <c r="S88" s="4">
        <f>(VLOOKUP('19.12'!AA88,'19.12'!$AO$4:$AR$55,4,FALSE))</f>
        <v>0</v>
      </c>
      <c r="T88" s="4">
        <f>(VLOOKUP('19.12'!AB88,'19.12'!$AO$4:$AR$55,4,FALSE))</f>
        <v>0</v>
      </c>
      <c r="U88" s="4">
        <f>(VLOOKUP('19.12'!AC88,'19.12'!$AO$4:$AR$55,4,FALSE))</f>
        <v>0</v>
      </c>
      <c r="V88" s="4">
        <f>(VLOOKUP('19.12'!AD88,'19.12'!$AO$4:$AR$55,4,FALSE))</f>
        <v>0</v>
      </c>
      <c r="W88" s="4">
        <f>(VLOOKUP('19.12'!AE88,'19.12'!$AO$4:$AR$55,4,FALSE))</f>
        <v>0</v>
      </c>
      <c r="X88" s="4">
        <f>(VLOOKUP('19.12'!AF88,'19.12'!$AO$4:$AR$55,4,FALSE))</f>
        <v>0</v>
      </c>
    </row>
    <row r="89" spans="1:24">
      <c r="A89" s="4">
        <f>(VLOOKUP('19.12'!I89,'19.12'!$AO$4:$AR$55,4,FALSE))</f>
        <v>0</v>
      </c>
      <c r="B89" s="4">
        <f>(VLOOKUP('19.12'!J89,'19.12'!$AO$4:$AR$55,4,FALSE))</f>
        <v>0</v>
      </c>
      <c r="C89" s="4">
        <f>(VLOOKUP('19.12'!K89,'19.12'!$AO$4:$AR$55,4,FALSE))</f>
        <v>0</v>
      </c>
      <c r="D89" s="4">
        <f>(VLOOKUP('19.12'!L89,'19.12'!$AO$4:$AR$55,4,FALSE))</f>
        <v>0</v>
      </c>
      <c r="E89" s="4">
        <f>(VLOOKUP('19.12'!M89,'19.12'!$AO$4:$AR$55,4,FALSE))</f>
        <v>0</v>
      </c>
      <c r="F89" s="4">
        <f>(VLOOKUP('19.12'!N89,'19.12'!$AO$4:$AR$55,4,FALSE))</f>
        <v>0</v>
      </c>
      <c r="G89" s="4">
        <f>(VLOOKUP('19.12'!O89,'19.12'!$AO$4:$AR$55,4,FALSE))</f>
        <v>0</v>
      </c>
      <c r="H89" s="4">
        <f>(VLOOKUP('19.12'!P89,'19.12'!$AO$4:$AR$55,4,FALSE))</f>
        <v>0</v>
      </c>
      <c r="I89" s="4">
        <f>(VLOOKUP('19.12'!Q89,'19.12'!$AO$4:$AR$55,4,FALSE))</f>
        <v>0</v>
      </c>
      <c r="J89" s="4">
        <f>(VLOOKUP('19.12'!R89,'19.12'!$AO$4:$AR$55,4,FALSE))</f>
        <v>0</v>
      </c>
      <c r="K89" s="4">
        <f>(VLOOKUP('19.12'!S89,'19.12'!$AO$4:$AR$55,4,FALSE))</f>
        <v>0</v>
      </c>
      <c r="L89" s="4">
        <f>(VLOOKUP('19.12'!T89,'19.12'!$AO$4:$AR$55,4,FALSE))</f>
        <v>0</v>
      </c>
      <c r="M89" s="4">
        <f>(VLOOKUP('19.12'!U89,'19.12'!$AO$4:$AR$55,4,FALSE))</f>
        <v>0</v>
      </c>
      <c r="N89" s="4">
        <f>(VLOOKUP('19.12'!V89,'19.12'!$AO$4:$AR$55,4,FALSE))</f>
        <v>0</v>
      </c>
      <c r="O89" s="4">
        <f>(VLOOKUP('19.12'!W89,'19.12'!$AO$4:$AR$55,4,FALSE))</f>
        <v>0</v>
      </c>
      <c r="P89" s="4">
        <f>(VLOOKUP('19.12'!X89,'19.12'!$AO$4:$AR$55,4,FALSE))</f>
        <v>0</v>
      </c>
      <c r="Q89" s="4">
        <f>(VLOOKUP('19.12'!Y89,'19.12'!$AO$4:$AR$55,4,FALSE))</f>
        <v>0</v>
      </c>
      <c r="R89" s="4">
        <f>(VLOOKUP('19.12'!Z89,'19.12'!$AO$4:$AR$55,4,FALSE))</f>
        <v>0</v>
      </c>
      <c r="S89" s="4">
        <f>(VLOOKUP('19.12'!AA89,'19.12'!$AO$4:$AR$55,4,FALSE))</f>
        <v>0</v>
      </c>
      <c r="T89" s="4">
        <f>(VLOOKUP('19.12'!AB89,'19.12'!$AO$4:$AR$55,4,FALSE))</f>
        <v>0</v>
      </c>
      <c r="U89" s="4">
        <f>(VLOOKUP('19.12'!AC89,'19.12'!$AO$4:$AR$55,4,FALSE))</f>
        <v>0</v>
      </c>
      <c r="V89" s="4">
        <f>(VLOOKUP('19.12'!AD89,'19.12'!$AO$4:$AR$55,4,FALSE))</f>
        <v>0</v>
      </c>
      <c r="W89" s="4">
        <f>(VLOOKUP('19.12'!AE89,'19.12'!$AO$4:$AR$55,4,FALSE))</f>
        <v>0</v>
      </c>
      <c r="X89" s="4">
        <f>(VLOOKUP('19.12'!AF89,'19.12'!$AO$4:$AR$55,4,FALSE))</f>
        <v>0</v>
      </c>
    </row>
    <row r="90" spans="1:24">
      <c r="A90" s="4">
        <f>(VLOOKUP('19.12'!I90,'19.12'!$AO$4:$AR$55,4,FALSE))</f>
        <v>0</v>
      </c>
      <c r="B90" s="4">
        <f>(VLOOKUP('19.12'!J90,'19.12'!$AO$4:$AR$55,4,FALSE))</f>
        <v>0</v>
      </c>
      <c r="C90" s="4">
        <f>(VLOOKUP('19.12'!K90,'19.12'!$AO$4:$AR$55,4,FALSE))</f>
        <v>0</v>
      </c>
      <c r="D90" s="4">
        <f>(VLOOKUP('19.12'!L90,'19.12'!$AO$4:$AR$55,4,FALSE))</f>
        <v>0</v>
      </c>
      <c r="E90" s="4">
        <f>(VLOOKUP('19.12'!M90,'19.12'!$AO$4:$AR$55,4,FALSE))</f>
        <v>0</v>
      </c>
      <c r="F90" s="4">
        <f>(VLOOKUP('19.12'!N90,'19.12'!$AO$4:$AR$55,4,FALSE))</f>
        <v>0</v>
      </c>
      <c r="G90" s="4">
        <f>(VLOOKUP('19.12'!O90,'19.12'!$AO$4:$AR$55,4,FALSE))</f>
        <v>0</v>
      </c>
      <c r="H90" s="4">
        <f>(VLOOKUP('19.12'!P90,'19.12'!$AO$4:$AR$55,4,FALSE))</f>
        <v>0</v>
      </c>
      <c r="I90" s="4">
        <f>(VLOOKUP('19.12'!Q90,'19.12'!$AO$4:$AR$55,4,FALSE))</f>
        <v>0</v>
      </c>
      <c r="J90" s="4">
        <f>(VLOOKUP('19.12'!R90,'19.12'!$AO$4:$AR$55,4,FALSE))</f>
        <v>0</v>
      </c>
      <c r="K90" s="4">
        <f>(VLOOKUP('19.12'!S90,'19.12'!$AO$4:$AR$55,4,FALSE))</f>
        <v>0</v>
      </c>
      <c r="L90" s="4">
        <f>(VLOOKUP('19.12'!T90,'19.12'!$AO$4:$AR$55,4,FALSE))</f>
        <v>0</v>
      </c>
      <c r="M90" s="4">
        <f>(VLOOKUP('19.12'!U90,'19.12'!$AO$4:$AR$55,4,FALSE))</f>
        <v>0</v>
      </c>
      <c r="N90" s="4">
        <f>(VLOOKUP('19.12'!V90,'19.12'!$AO$4:$AR$55,4,FALSE))</f>
        <v>0</v>
      </c>
      <c r="O90" s="4">
        <f>(VLOOKUP('19.12'!W90,'19.12'!$AO$4:$AR$55,4,FALSE))</f>
        <v>0</v>
      </c>
      <c r="P90" s="4">
        <f>(VLOOKUP('19.12'!X90,'19.12'!$AO$4:$AR$55,4,FALSE))</f>
        <v>0</v>
      </c>
      <c r="Q90" s="4">
        <f>(VLOOKUP('19.12'!Y90,'19.12'!$AO$4:$AR$55,4,FALSE))</f>
        <v>0</v>
      </c>
      <c r="R90" s="4">
        <f>(VLOOKUP('19.12'!Z90,'19.12'!$AO$4:$AR$55,4,FALSE))</f>
        <v>0</v>
      </c>
      <c r="S90" s="4">
        <f>(VLOOKUP('19.12'!AA90,'19.12'!$AO$4:$AR$55,4,FALSE))</f>
        <v>0</v>
      </c>
      <c r="T90" s="4">
        <f>(VLOOKUP('19.12'!AB90,'19.12'!$AO$4:$AR$55,4,FALSE))</f>
        <v>0</v>
      </c>
      <c r="U90" s="4">
        <f>(VLOOKUP('19.12'!AC90,'19.12'!$AO$4:$AR$55,4,FALSE))</f>
        <v>0</v>
      </c>
      <c r="V90" s="4">
        <f>(VLOOKUP('19.12'!AD90,'19.12'!$AO$4:$AR$55,4,FALSE))</f>
        <v>0</v>
      </c>
      <c r="W90" s="4">
        <f>(VLOOKUP('19.12'!AE90,'19.12'!$AO$4:$AR$55,4,FALSE))</f>
        <v>0</v>
      </c>
      <c r="X90" s="4">
        <f>(VLOOKUP('19.12'!AF90,'19.12'!$AO$4:$AR$55,4,FALSE))</f>
        <v>0</v>
      </c>
    </row>
    <row r="91" spans="1:24">
      <c r="A91" s="4">
        <f>(VLOOKUP('19.12'!I91,'19.12'!$AO$4:$AR$55,4,FALSE))</f>
        <v>0</v>
      </c>
      <c r="B91" s="4">
        <f>(VLOOKUP('19.12'!J91,'19.12'!$AO$4:$AR$55,4,FALSE))</f>
        <v>0</v>
      </c>
      <c r="C91" s="4">
        <f>(VLOOKUP('19.12'!K91,'19.12'!$AO$4:$AR$55,4,FALSE))</f>
        <v>0</v>
      </c>
      <c r="D91" s="4">
        <f>(VLOOKUP('19.12'!L91,'19.12'!$AO$4:$AR$55,4,FALSE))</f>
        <v>0</v>
      </c>
      <c r="E91" s="4">
        <f>(VLOOKUP('19.12'!M91,'19.12'!$AO$4:$AR$55,4,FALSE))</f>
        <v>0</v>
      </c>
      <c r="F91" s="4">
        <f>(VLOOKUP('19.12'!N91,'19.12'!$AO$4:$AR$55,4,FALSE))</f>
        <v>0</v>
      </c>
      <c r="G91" s="4">
        <f>(VLOOKUP('19.12'!O91,'19.12'!$AO$4:$AR$55,4,FALSE))</f>
        <v>0</v>
      </c>
      <c r="H91" s="4">
        <f>(VLOOKUP('19.12'!P91,'19.12'!$AO$4:$AR$55,4,FALSE))</f>
        <v>0</v>
      </c>
      <c r="I91" s="4">
        <f>(VLOOKUP('19.12'!Q91,'19.12'!$AO$4:$AR$55,4,FALSE))</f>
        <v>0</v>
      </c>
      <c r="J91" s="4">
        <f>(VLOOKUP('19.12'!R91,'19.12'!$AO$4:$AR$55,4,FALSE))</f>
        <v>0</v>
      </c>
      <c r="K91" s="4">
        <f>(VLOOKUP('19.12'!S91,'19.12'!$AO$4:$AR$55,4,FALSE))</f>
        <v>0</v>
      </c>
      <c r="L91" s="4">
        <f>(VLOOKUP('19.12'!T91,'19.12'!$AO$4:$AR$55,4,FALSE))</f>
        <v>0</v>
      </c>
      <c r="M91" s="4">
        <f>(VLOOKUP('19.12'!U91,'19.12'!$AO$4:$AR$55,4,FALSE))</f>
        <v>0</v>
      </c>
      <c r="N91" s="4">
        <f>(VLOOKUP('19.12'!V91,'19.12'!$AO$4:$AR$55,4,FALSE))</f>
        <v>0</v>
      </c>
      <c r="O91" s="4">
        <f>(VLOOKUP('19.12'!W91,'19.12'!$AO$4:$AR$55,4,FALSE))</f>
        <v>0</v>
      </c>
      <c r="P91" s="4">
        <f>(VLOOKUP('19.12'!X91,'19.12'!$AO$4:$AR$55,4,FALSE))</f>
        <v>0</v>
      </c>
      <c r="Q91" s="4">
        <f>(VLOOKUP('19.12'!Y91,'19.12'!$AO$4:$AR$55,4,FALSE))</f>
        <v>0</v>
      </c>
      <c r="R91" s="4">
        <f>(VLOOKUP('19.12'!Z91,'19.12'!$AO$4:$AR$55,4,FALSE))</f>
        <v>0</v>
      </c>
      <c r="S91" s="4">
        <f>(VLOOKUP('19.12'!AA91,'19.12'!$AO$4:$AR$55,4,FALSE))</f>
        <v>0</v>
      </c>
      <c r="T91" s="4">
        <f>(VLOOKUP('19.12'!AB91,'19.12'!$AO$4:$AR$55,4,FALSE))</f>
        <v>0</v>
      </c>
      <c r="U91" s="4">
        <f>(VLOOKUP('19.12'!AC91,'19.12'!$AO$4:$AR$55,4,FALSE))</f>
        <v>0</v>
      </c>
      <c r="V91" s="4">
        <f>(VLOOKUP('19.12'!AD91,'19.12'!$AO$4:$AR$55,4,FALSE))</f>
        <v>0</v>
      </c>
      <c r="W91" s="4">
        <f>(VLOOKUP('19.12'!AE91,'19.12'!$AO$4:$AR$55,4,FALSE))</f>
        <v>0</v>
      </c>
      <c r="X91" s="4">
        <f>(VLOOKUP('19.12'!AF91,'19.12'!$AO$4:$AR$55,4,FALSE))</f>
        <v>0</v>
      </c>
    </row>
    <row r="92" spans="1:24">
      <c r="A92" s="4">
        <f>(VLOOKUP('19.12'!I92,'19.12'!$AO$4:$AR$55,4,FALSE))</f>
        <v>0</v>
      </c>
      <c r="B92" s="4">
        <f>(VLOOKUP('19.12'!J92,'19.12'!$AO$4:$AR$55,4,FALSE))</f>
        <v>0</v>
      </c>
      <c r="C92" s="4">
        <f>(VLOOKUP('19.12'!K92,'19.12'!$AO$4:$AR$55,4,FALSE))</f>
        <v>0</v>
      </c>
      <c r="D92" s="4">
        <f>(VLOOKUP('19.12'!L92,'19.12'!$AO$4:$AR$55,4,FALSE))</f>
        <v>0</v>
      </c>
      <c r="E92" s="4">
        <f>(VLOOKUP('19.12'!M92,'19.12'!$AO$4:$AR$55,4,FALSE))</f>
        <v>0</v>
      </c>
      <c r="F92" s="4">
        <f>(VLOOKUP('19.12'!N92,'19.12'!$AO$4:$AR$55,4,FALSE))</f>
        <v>0</v>
      </c>
      <c r="G92" s="4">
        <f>(VLOOKUP('19.12'!O92,'19.12'!$AO$4:$AR$55,4,FALSE))</f>
        <v>0</v>
      </c>
      <c r="H92" s="4">
        <f>(VLOOKUP('19.12'!P92,'19.12'!$AO$4:$AR$55,4,FALSE))</f>
        <v>0</v>
      </c>
      <c r="I92" s="4">
        <f>(VLOOKUP('19.12'!Q92,'19.12'!$AO$4:$AR$55,4,FALSE))</f>
        <v>0</v>
      </c>
      <c r="J92" s="4">
        <f>(VLOOKUP('19.12'!R92,'19.12'!$AO$4:$AR$55,4,FALSE))</f>
        <v>0</v>
      </c>
      <c r="K92" s="4">
        <f>(VLOOKUP('19.12'!S92,'19.12'!$AO$4:$AR$55,4,FALSE))</f>
        <v>0</v>
      </c>
      <c r="L92" s="4">
        <f>(VLOOKUP('19.12'!T92,'19.12'!$AO$4:$AR$55,4,FALSE))</f>
        <v>0</v>
      </c>
      <c r="M92" s="4">
        <f>(VLOOKUP('19.12'!U92,'19.12'!$AO$4:$AR$55,4,FALSE))</f>
        <v>0</v>
      </c>
      <c r="N92" s="4">
        <f>(VLOOKUP('19.12'!V92,'19.12'!$AO$4:$AR$55,4,FALSE))</f>
        <v>0</v>
      </c>
      <c r="O92" s="4">
        <f>(VLOOKUP('19.12'!W92,'19.12'!$AO$4:$AR$55,4,FALSE))</f>
        <v>0</v>
      </c>
      <c r="P92" s="4">
        <f>(VLOOKUP('19.12'!X92,'19.12'!$AO$4:$AR$55,4,FALSE))</f>
        <v>0</v>
      </c>
      <c r="Q92" s="4">
        <f>(VLOOKUP('19.12'!Y92,'19.12'!$AO$4:$AR$55,4,FALSE))</f>
        <v>0</v>
      </c>
      <c r="R92" s="4">
        <f>(VLOOKUP('19.12'!Z92,'19.12'!$AO$4:$AR$55,4,FALSE))</f>
        <v>0</v>
      </c>
      <c r="S92" s="4">
        <f>(VLOOKUP('19.12'!AA92,'19.12'!$AO$4:$AR$55,4,FALSE))</f>
        <v>0</v>
      </c>
      <c r="T92" s="4">
        <f>(VLOOKUP('19.12'!AB92,'19.12'!$AO$4:$AR$55,4,FALSE))</f>
        <v>0</v>
      </c>
      <c r="U92" s="4">
        <f>(VLOOKUP('19.12'!AC92,'19.12'!$AO$4:$AR$55,4,FALSE))</f>
        <v>0</v>
      </c>
      <c r="V92" s="4">
        <f>(VLOOKUP('19.12'!AD92,'19.12'!$AO$4:$AR$55,4,FALSE))</f>
        <v>0</v>
      </c>
      <c r="W92" s="4">
        <f>(VLOOKUP('19.12'!AE92,'19.12'!$AO$4:$AR$55,4,FALSE))</f>
        <v>0</v>
      </c>
      <c r="X92" s="4">
        <f>(VLOOKUP('19.12'!AF92,'19.12'!$AO$4:$AR$55,4,FALSE))</f>
        <v>0</v>
      </c>
    </row>
    <row r="93" spans="1:24">
      <c r="A93" s="4">
        <f>(VLOOKUP('19.12'!I93,'19.12'!$AO$4:$AR$55,4,FALSE))</f>
        <v>0</v>
      </c>
      <c r="B93" s="4">
        <f>(VLOOKUP('19.12'!J93,'19.12'!$AO$4:$AR$55,4,FALSE))</f>
        <v>0</v>
      </c>
      <c r="C93" s="4">
        <f>(VLOOKUP('19.12'!K93,'19.12'!$AO$4:$AR$55,4,FALSE))</f>
        <v>0</v>
      </c>
      <c r="D93" s="4">
        <f>(VLOOKUP('19.12'!L93,'19.12'!$AO$4:$AR$55,4,FALSE))</f>
        <v>0</v>
      </c>
      <c r="E93" s="4">
        <f>(VLOOKUP('19.12'!M93,'19.12'!$AO$4:$AR$55,4,FALSE))</f>
        <v>0</v>
      </c>
      <c r="F93" s="4">
        <f>(VLOOKUP('19.12'!N93,'19.12'!$AO$4:$AR$55,4,FALSE))</f>
        <v>0</v>
      </c>
      <c r="G93" s="4">
        <f>(VLOOKUP('19.12'!O93,'19.12'!$AO$4:$AR$55,4,FALSE))</f>
        <v>0</v>
      </c>
      <c r="H93" s="4">
        <f>(VLOOKUP('19.12'!P93,'19.12'!$AO$4:$AR$55,4,FALSE))</f>
        <v>0</v>
      </c>
      <c r="I93" s="4">
        <f>(VLOOKUP('19.12'!Q93,'19.12'!$AO$4:$AR$55,4,FALSE))</f>
        <v>0</v>
      </c>
      <c r="J93" s="4">
        <f>(VLOOKUP('19.12'!R93,'19.12'!$AO$4:$AR$55,4,FALSE))</f>
        <v>0</v>
      </c>
      <c r="K93" s="4">
        <f>(VLOOKUP('19.12'!S93,'19.12'!$AO$4:$AR$55,4,FALSE))</f>
        <v>0</v>
      </c>
      <c r="L93" s="4">
        <f>(VLOOKUP('19.12'!T93,'19.12'!$AO$4:$AR$55,4,FALSE))</f>
        <v>0</v>
      </c>
      <c r="M93" s="4">
        <f>(VLOOKUP('19.12'!U93,'19.12'!$AO$4:$AR$55,4,FALSE))</f>
        <v>0</v>
      </c>
      <c r="N93" s="4">
        <f>(VLOOKUP('19.12'!V93,'19.12'!$AO$4:$AR$55,4,FALSE))</f>
        <v>0</v>
      </c>
      <c r="O93" s="4">
        <f>(VLOOKUP('19.12'!W93,'19.12'!$AO$4:$AR$55,4,FALSE))</f>
        <v>0</v>
      </c>
      <c r="P93" s="4">
        <f>(VLOOKUP('19.12'!X93,'19.12'!$AO$4:$AR$55,4,FALSE))</f>
        <v>0</v>
      </c>
      <c r="Q93" s="4">
        <f>(VLOOKUP('19.12'!Y93,'19.12'!$AO$4:$AR$55,4,FALSE))</f>
        <v>0</v>
      </c>
      <c r="R93" s="4">
        <f>(VLOOKUP('19.12'!Z93,'19.12'!$AO$4:$AR$55,4,FALSE))</f>
        <v>0</v>
      </c>
      <c r="S93" s="4">
        <f>(VLOOKUP('19.12'!AA93,'19.12'!$AO$4:$AR$55,4,FALSE))</f>
        <v>0</v>
      </c>
      <c r="T93" s="4">
        <f>(VLOOKUP('19.12'!AB93,'19.12'!$AO$4:$AR$55,4,FALSE))</f>
        <v>0</v>
      </c>
      <c r="U93" s="4">
        <f>(VLOOKUP('19.12'!AC93,'19.12'!$AO$4:$AR$55,4,FALSE))</f>
        <v>0</v>
      </c>
      <c r="V93" s="4">
        <f>(VLOOKUP('19.12'!AD93,'19.12'!$AO$4:$AR$55,4,FALSE))</f>
        <v>0</v>
      </c>
      <c r="W93" s="4">
        <f>(VLOOKUP('19.12'!AE93,'19.12'!$AO$4:$AR$55,4,FALSE))</f>
        <v>0</v>
      </c>
      <c r="X93" s="4">
        <f>(VLOOKUP('19.12'!AF93,'19.12'!$AO$4:$AR$55,4,FALSE))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19.12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2025-03-19T19:57:35Z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